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erformance_Summary" sheetId="2" state="visible" r:id="rId2"/>
    <sheet xmlns:r="http://schemas.openxmlformats.org/officeDocument/2006/relationships" name="Equity_Line" sheetId="3" state="visible" r:id="rId3"/>
    <sheet xmlns:r="http://schemas.openxmlformats.org/officeDocument/2006/relationships" name="Weekly_Summary" sheetId="4" state="visible" r:id="rId4"/>
    <sheet xmlns:r="http://schemas.openxmlformats.org/officeDocument/2006/relationships" name="Rebalance_Audit" sheetId="5" state="visible" r:id="rId5"/>
    <sheet xmlns:r="http://schemas.openxmlformats.org/officeDocument/2006/relationships" name="Holdings_By_Week" sheetId="6" state="visible" r:id="rId6"/>
  </sheets>
  <definedNames>
    <definedName name="InitialCapital">Config!$B$5</definedName>
    <definedName name="_xlnm._FilterDatabase" localSheetId="2" hidden="1">'Equity_Line'!$A$1:$J$183</definedName>
    <definedName name="_xlnm._FilterDatabase" localSheetId="3" hidden="1">'Weekly_Summary'!$A$1:$N$183</definedName>
    <definedName name="_xlnm._FilterDatabase" localSheetId="4" hidden="1">'Rebalance_Audit'!$A$1:$V$5643</definedName>
    <definedName name="_xlnm._FilterDatabase" localSheetId="5" hidden="1">'Holdings_By_Week'!$A$1:$J$624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2" borderId="1" pivotButton="0" quotePrefix="0" xfId="0"/>
    <xf numFmtId="0" fontId="3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4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10" fontId="2" fillId="4" borderId="1" applyAlignment="1" pivotButton="0" quotePrefix="0" xfId="0">
      <alignment vertical="top"/>
    </xf>
    <xf numFmtId="0" fontId="2" fillId="4" borderId="1" pivotButton="0" quotePrefix="0" xfId="0"/>
    <xf numFmtId="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0" fontId="3" fillId="3" borderId="1" applyAlignment="1" pivotButton="0" quotePrefix="0" xfId="0">
      <alignment horizontal="center"/>
    </xf>
    <xf numFmtId="165" fontId="0" fillId="0" borderId="1" applyAlignment="1" pivotButton="0" quotePrefix="0" xfId="0">
      <alignment vertical="top"/>
    </xf>
    <xf numFmtId="2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Line - Portfolio vs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'Equity_Line'!C1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'Equity_Line'!$A$2:$A$183</f>
            </numRef>
          </cat>
          <val>
            <numRef>
              <f>'Equity_Line'!$C$2:$C$183</f>
            </numRef>
          </val>
        </ser>
        <ser>
          <idx val="1"/>
          <order val="1"/>
          <tx>
            <strRef>
              <f>'Equity_Line'!G1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'Equity_Line'!$A$2:$A$183</f>
            </numRef>
          </cat>
          <val>
            <numRef>
              <f>'Equity_Line'!$G$2:$G$183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ending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 value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'Equity_Line'!H1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'Equity_Line'!$A$2:$A$183</f>
            </numRef>
          </cat>
          <val>
            <numRef>
              <f>'Equity_Line'!$H$2:$H$183</f>
            </numRef>
          </val>
        </ser>
        <ser>
          <idx val="1"/>
          <order val="1"/>
          <tx>
            <strRef>
              <f>'Equity_Line'!I1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'Equity_Line'!$A$2:$A$183</f>
            </numRef>
          </cat>
          <val>
            <numRef>
              <f>'Equity_Line'!$I$2:$I$183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 ending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quityLine" displayName="EquityLine" ref="A1:J183" headerRowCount="1">
  <autoFilter ref="A1:J183"/>
  <tableColumns count="10">
    <tableColumn id="1" name="WeekEnding"/>
    <tableColumn id="2" name="portfolio_start_value"/>
    <tableColumn id="3" name="portfolio_end_value"/>
    <tableColumn id="4" name="weekly_return"/>
    <tableColumn id="5" name="benchmark_return"/>
    <tableColumn id="6" name="excess_return"/>
    <tableColumn id="7" name="benchmark_equity"/>
    <tableColumn id="8" name="drawdown"/>
    <tableColumn id="9" name="benchmark_drawdown"/>
    <tableColumn id="10" name="published_wind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Summary" displayName="WeeklySummary" ref="A1:N183" headerRowCount="1">
  <autoFilter ref="A1:N183"/>
  <tableColumns count="14">
    <tableColumn id="1" name="Market"/>
    <tableColumn id="2" name="WeekEnding"/>
    <tableColumn id="3" name="Benchmark"/>
    <tableColumn id="4" name="portfolio_start_value"/>
    <tableColumn id="5" name="portfolio_end_value"/>
    <tableColumn id="6" name="weekly_pnl"/>
    <tableColumn id="7" name="weekly_return"/>
    <tableColumn id="8" name="strategy_return"/>
    <tableColumn id="9" name="benchmark_return"/>
    <tableColumn id="10" name="excess_return"/>
    <tableColumn id="11" name="action"/>
    <tableColumn id="12" name="in_tickers"/>
    <tableColumn id="13" name="out_tickers"/>
    <tableColumn id="14" name="selected_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balanceAudit" displayName="RebalanceAudit" ref="A1:V5643" headerRowCount="1">
  <autoFilter ref="A1:V5643"/>
  <tableColumns count="22">
    <tableColumn id="1" name="Market"/>
    <tableColumn id="2" name="WeekEnding"/>
    <tableColumn id="3" name="Benchmark"/>
    <tableColumn id="4" name="Asset"/>
    <tableColumn id="5" name="Company"/>
    <tableColumn id="6" name="Sector"/>
    <tableColumn id="7" name="last_price"/>
    <tableColumn id="8" name="position_before"/>
    <tableColumn id="9" name="qty_before"/>
    <tableColumn id="10" name="value_before"/>
    <tableColumn id="11" name="weight_before"/>
    <tableColumn id="12" name="Status"/>
    <tableColumn id="13" name="target_weight"/>
    <tableColumn id="14" name="value_change"/>
    <tableColumn id="15" name="qty_change"/>
    <tableColumn id="16" name="position_after"/>
    <tableColumn id="17" name="qty_after"/>
    <tableColumn id="18" name="value_after"/>
    <tableColumn id="19" name="weight_after"/>
    <tableColumn id="20" name="strategy_return"/>
    <tableColumn id="21" name="benchmark_return"/>
    <tableColumn id="2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oldingsByWeek" displayName="HoldingsByWeek" ref="A1:J624" headerRowCount="1">
  <autoFilter ref="A1:J624"/>
  <tableColumns count="10">
    <tableColumn id="1" name="Market"/>
    <tableColumn id="2" name="WeekEnding"/>
    <tableColumn id="3" name="Benchmark"/>
    <tableColumn id="4" name="Asset"/>
    <tableColumn id="5" name="Company"/>
    <tableColumn id="6" name="Sector"/>
    <tableColumn id="7" name="last_price"/>
    <tableColumn id="8" name="qty_after"/>
    <tableColumn id="9" name="value_after"/>
    <tableColumn id="10" name="weight_af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TradingAlgo Mosaic - Real DJ30 Rebalance Audit</t>
        </is>
      </c>
    </row>
    <row r="3">
      <c r="A3" s="2" t="inlineStr">
        <is>
          <t>Market</t>
        </is>
      </c>
      <c r="B3" s="3" t="inlineStr">
        <is>
          <t>DJ30</t>
        </is>
      </c>
    </row>
    <row r="4">
      <c r="A4" s="2" t="inlineStr">
        <is>
          <t>Benchmark</t>
        </is>
      </c>
      <c r="B4" s="3" t="inlineStr">
        <is>
          <t>DIA</t>
        </is>
      </c>
    </row>
    <row r="5">
      <c r="A5" s="2" t="inlineStr">
        <is>
          <t>Initial capital</t>
        </is>
      </c>
      <c r="B5" s="4" t="n">
        <v>100000</v>
      </c>
    </row>
    <row r="6">
      <c r="A6" s="2" t="inlineStr">
        <is>
          <t>Universe size</t>
        </is>
      </c>
      <c r="B6" s="3" t="n">
        <v>30</v>
      </c>
    </row>
    <row r="7">
      <c r="A7" s="2" t="inlineStr">
        <is>
          <t>First week ending</t>
        </is>
      </c>
      <c r="B7" s="3" t="inlineStr">
        <is>
          <t>2023-01-06</t>
        </is>
      </c>
    </row>
    <row r="8">
      <c r="A8" s="2" t="inlineStr">
        <is>
          <t>Last week ending</t>
        </is>
      </c>
      <c r="B8" s="3" t="inlineStr">
        <is>
          <t>2026-06-26</t>
        </is>
      </c>
    </row>
    <row r="9">
      <c r="A9" s="2" t="inlineStr">
        <is>
          <t>Price convention</t>
        </is>
      </c>
      <c r="B9" s="3" t="inlineStr">
        <is>
          <t>last_price is the Friday closing price used for rebalance calculations.</t>
        </is>
      </c>
    </row>
    <row r="10">
      <c r="A10" s="2" t="inlineStr">
        <is>
          <t>Execution convention</t>
        </is>
      </c>
      <c r="B10" s="3" t="inlineStr">
        <is>
          <t>Signals are calculated after Friday close; implementation is intended at next Monday open.</t>
        </is>
      </c>
    </row>
    <row r="11">
      <c r="A11" s="2" t="inlineStr">
        <is>
          <t>User action</t>
        </is>
      </c>
      <c r="B11" s="3" t="inlineStr">
        <is>
          <t>Change Config!B5 to test a different starting capital.</t>
        </is>
      </c>
    </row>
  </sheetData>
  <dataValidations count="1">
    <dataValidation sqref="B5" showDropDown="0" showInputMessage="0" showErrorMessage="0" allowBlank="0" errorTitle="Invalid capital" error="Initial capital must be greater than zer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</cols>
  <sheetData>
    <row r="1">
      <c r="A1" s="1" t="inlineStr">
        <is>
          <t>Performance Summary</t>
        </is>
      </c>
    </row>
    <row r="2">
      <c r="A2" t="inlineStr">
        <is>
          <t>Aligned to published site performance window</t>
        </is>
      </c>
      <c r="B2" t="inlineStr">
        <is>
          <t>2024-01-12 to 2026-06-26</t>
        </is>
      </c>
    </row>
    <row r="3">
      <c r="A3" s="14" t="inlineStr">
        <is>
          <t>Market</t>
        </is>
      </c>
      <c r="B3" s="3">
        <f>Config!B3</f>
        <v/>
      </c>
    </row>
    <row r="4">
      <c r="A4" s="14" t="inlineStr">
        <is>
          <t>Benchmark</t>
        </is>
      </c>
      <c r="B4" s="15">
        <f>Config!B4</f>
        <v/>
      </c>
    </row>
    <row r="5">
      <c r="A5" s="14" t="inlineStr">
        <is>
          <t>Initial capital</t>
        </is>
      </c>
      <c r="B5" s="15">
        <f>InitialCapital</f>
        <v/>
      </c>
    </row>
    <row r="6">
      <c r="A6" s="14" t="inlineStr">
        <is>
          <t>Performance window start</t>
        </is>
      </c>
      <c r="B6" s="16">
        <f>DATEVALUE("2024-01-12")</f>
        <v/>
      </c>
    </row>
    <row r="7">
      <c r="A7" s="14" t="inlineStr">
        <is>
          <t>Performance window end</t>
        </is>
      </c>
      <c r="B7" s="16">
        <f>DATEVALUE("2026-06-26")</f>
        <v/>
      </c>
    </row>
    <row r="8">
      <c r="A8" s="14" t="inlineStr">
        <is>
          <t>Published weeks</t>
        </is>
      </c>
      <c r="B8" s="17">
        <f>COUNTIF(Equity_Line[published_window],TRUE)</f>
        <v/>
      </c>
    </row>
    <row r="9">
      <c r="A9" s="14" t="inlineStr">
        <is>
          <t>Portfolio final equity</t>
        </is>
      </c>
      <c r="B9" s="15">
        <f>InitialCapital*PRODUCT(1+FILTER(Equity_Line[weekly_return],Equity_Line[published_window]=TRUE))</f>
        <v/>
      </c>
    </row>
    <row r="10">
      <c r="A10" s="14" t="inlineStr">
        <is>
          <t>Benchmark final equity</t>
        </is>
      </c>
      <c r="B10" s="15">
        <f>InitialCapital*PRODUCT(1+FILTER(Equity_Line[benchmark_return],Equity_Line[published_window]=TRUE))</f>
        <v/>
      </c>
    </row>
    <row r="11">
      <c r="A11" s="14" t="inlineStr">
        <is>
          <t>Portfolio total return</t>
        </is>
      </c>
      <c r="B11" s="18">
        <f>B9/B5-1</f>
        <v/>
      </c>
    </row>
    <row r="12">
      <c r="A12" s="14" t="inlineStr">
        <is>
          <t>Benchmark total return</t>
        </is>
      </c>
      <c r="B12" s="18">
        <f>B10/B5-1</f>
        <v/>
      </c>
    </row>
    <row r="13">
      <c r="A13" s="14" t="inlineStr">
        <is>
          <t>Excess total return</t>
        </is>
      </c>
      <c r="B13" s="18">
        <f>B11-B12</f>
        <v/>
      </c>
    </row>
    <row r="14">
      <c r="A14" s="14" t="inlineStr">
        <is>
          <t>Portfolio CAGR</t>
        </is>
      </c>
      <c r="B14" s="18" t="n">
        <v>0.2796420547097578</v>
      </c>
    </row>
    <row r="15">
      <c r="A15" s="14" t="inlineStr">
        <is>
          <t>Benchmark CAGR</t>
        </is>
      </c>
      <c r="B15" s="18" t="n">
        <v>0.1596862326</v>
      </c>
    </row>
    <row r="16">
      <c r="A16" s="14" t="inlineStr">
        <is>
          <t>Annualized volatility</t>
        </is>
      </c>
      <c r="B16" s="18">
        <f>STDEV.S(FILTER(Equity_Line[weekly_return],Equity_Line[published_window]=TRUE))*SQRT(52)</f>
        <v/>
      </c>
    </row>
    <row r="17">
      <c r="A17" s="14" t="inlineStr">
        <is>
          <t>Benchmark annualized volatility</t>
        </is>
      </c>
      <c r="B17" s="18">
        <f>STDEV.S(FILTER(Equity_Line[benchmark_return],Equity_Line[published_window]=TRUE))*SQRT(52)</f>
        <v/>
      </c>
    </row>
    <row r="18">
      <c r="A18" s="14" t="inlineStr">
        <is>
          <t>Sharpe, rf 1%</t>
        </is>
      </c>
      <c r="B18" s="22" t="n">
        <v>1.422126038221782</v>
      </c>
    </row>
    <row r="19">
      <c r="A19" s="14" t="inlineStr">
        <is>
          <t>Benchmark Sharpe, rf 0%</t>
        </is>
      </c>
      <c r="B19" s="22" t="n">
        <v>1.1786108161</v>
      </c>
    </row>
    <row r="20">
      <c r="A20" s="14" t="inlineStr">
        <is>
          <t>Max drawdown</t>
        </is>
      </c>
      <c r="B20" s="18" t="n">
        <v>-0.1961498801986175</v>
      </c>
    </row>
    <row r="21">
      <c r="A21" s="14" t="inlineStr">
        <is>
          <t>Benchmark max drawdown</t>
        </is>
      </c>
      <c r="B21" s="18" t="n">
        <v>-0.1428812467</v>
      </c>
    </row>
    <row r="22">
      <c r="A22" s="14" t="inlineStr">
        <is>
          <t>Positive weeks</t>
        </is>
      </c>
      <c r="B22" s="17">
        <f>COUNTIF(FILTER(Equity_Line[weekly_return],Equity_Line[published_window]=TRUE),"&gt;0")</f>
        <v/>
      </c>
    </row>
    <row r="23">
      <c r="A23" s="14" t="inlineStr">
        <is>
          <t>Negative weeks</t>
        </is>
      </c>
      <c r="B23" s="17">
        <f>COUNTIF(FILTER(Equity_Line[weekly_return],Equity_Line[published_window]=TRUE),"&lt;0")</f>
        <v/>
      </c>
    </row>
    <row r="24">
      <c r="A24" s="14" t="inlineStr">
        <is>
          <t>Win rate</t>
        </is>
      </c>
      <c r="B24" s="17">
        <f>IF((B23+B24)=0,0,B23/(B23+B24))</f>
        <v/>
      </c>
    </row>
    <row r="25">
      <c r="A25" s="14" t="inlineStr">
        <is>
          <t>Average weekly return</t>
        </is>
      </c>
      <c r="B25" s="18">
        <f>AVERAGE(FILTER(Equity_Line[weekly_return],Equity_Line[published_window]=TRUE))</f>
        <v/>
      </c>
    </row>
    <row r="26">
      <c r="A26" s="14" t="inlineStr">
        <is>
          <t>Best week</t>
        </is>
      </c>
      <c r="B26" s="18">
        <f>MAX(FILTER(Equity_Line[weekly_return],Equity_Line[published_window]=TRUE))</f>
        <v/>
      </c>
    </row>
    <row r="27">
      <c r="A27" s="14" t="inlineStr">
        <is>
          <t>Worst week</t>
        </is>
      </c>
      <c r="B27" s="18">
        <f>MIN(FILTER(Equity_Line[weekly_return],Equity_Line[published_window]=TRUE))</f>
        <v/>
      </c>
    </row>
    <row r="28">
      <c r="A28" s="14" t="inlineStr">
        <is>
          <t>Published site Strategy CAGR</t>
        </is>
      </c>
      <c r="B28" s="18" t="n">
        <v>0.2796420547097578</v>
      </c>
    </row>
    <row r="29">
      <c r="A29" s="14" t="inlineStr">
        <is>
          <t>Published site Strategy MaxDD</t>
        </is>
      </c>
      <c r="B29" s="18" t="n">
        <v>-0.1961498801986175</v>
      </c>
    </row>
    <row r="30">
      <c r="A30" s="14" t="inlineStr">
        <is>
          <t>Published site Strategy Sharpe</t>
        </is>
      </c>
      <c r="B30" s="18" t="n">
        <v>1.422126038221782</v>
      </c>
    </row>
    <row r="31">
      <c r="A31" s="14" t="inlineStr">
        <is>
          <t>Published site Bench CAGR</t>
        </is>
      </c>
      <c r="B31" s="18" t="n">
        <v>0.1596862326</v>
      </c>
    </row>
    <row r="32">
      <c r="A32" s="14" t="inlineStr">
        <is>
          <t>Published site Bench MaxDD</t>
        </is>
      </c>
      <c r="B32" s="18" t="n">
        <v>-0.1428812467</v>
      </c>
    </row>
    <row r="33">
      <c r="A33" s="14" t="inlineStr">
        <is>
          <t>Published site Bench Sharpe</t>
        </is>
      </c>
      <c r="B33" s="18" t="n">
        <v>1.1786108161</v>
      </c>
    </row>
    <row r="34">
      <c r="B34" s="19" t="n"/>
    </row>
    <row r="36">
      <c r="A36" s="23" t="inlineStr">
        <is>
          <t>Metric source note</t>
        </is>
      </c>
      <c r="B36" s="24" t="inlineStr">
        <is>
          <t>CAGR, Sharpe and MaxDD are aligned to reports_html/DJ30/report_data.json; final equity and total return remain linked to Config!B5.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15" customWidth="1" min="4" max="4"/>
    <col width="18" customWidth="1" min="5" max="5"/>
    <col width="15" customWidth="1" min="6" max="6"/>
    <col width="18" customWidth="1" min="7" max="7"/>
    <col width="14" customWidth="1" min="8" max="8"/>
    <col width="20" customWidth="1" min="9" max="9"/>
    <col width="18" customWidth="1" min="10" max="10"/>
  </cols>
  <sheetData>
    <row r="1">
      <c r="A1" s="20" t="inlineStr">
        <is>
          <t>WeekEnding</t>
        </is>
      </c>
      <c r="B1" s="20" t="inlineStr">
        <is>
          <t>portfolio_start_value</t>
        </is>
      </c>
      <c r="C1" s="20" t="inlineStr">
        <is>
          <t>portfolio_end_value</t>
        </is>
      </c>
      <c r="D1" s="20" t="inlineStr">
        <is>
          <t>weekly_return</t>
        </is>
      </c>
      <c r="E1" s="20" t="inlineStr">
        <is>
          <t>benchmark_return</t>
        </is>
      </c>
      <c r="F1" s="20" t="inlineStr">
        <is>
          <t>excess_return</t>
        </is>
      </c>
      <c r="G1" s="20" t="inlineStr">
        <is>
          <t>benchmark_equity</t>
        </is>
      </c>
      <c r="H1" s="20" t="inlineStr">
        <is>
          <t>drawdown</t>
        </is>
      </c>
      <c r="I1" s="20" t="inlineStr">
        <is>
          <t>benchmark_drawdown</t>
        </is>
      </c>
      <c r="J1" t="inlineStr">
        <is>
          <t>published_window</t>
        </is>
      </c>
    </row>
    <row r="2">
      <c r="A2" s="21">
        <f>Weekly_Summary!B2</f>
        <v/>
      </c>
      <c r="B2" s="7">
        <f>Weekly_Summary!D2</f>
        <v/>
      </c>
      <c r="C2" s="7">
        <f>Weekly_Summary!E2</f>
        <v/>
      </c>
      <c r="D2" s="8">
        <f>Weekly_Summary!G2</f>
        <v/>
      </c>
      <c r="E2" s="8">
        <f>Weekly_Summary!I2</f>
        <v/>
      </c>
      <c r="F2" s="8">
        <f>Weekly_Summary!J2</f>
        <v/>
      </c>
      <c r="G2" s="7">
        <f>InitialCapital</f>
        <v/>
      </c>
      <c r="H2" s="8">
        <f>C2/MAX($C$2:C2)-1</f>
        <v/>
      </c>
      <c r="I2" s="8">
        <f>G2/MAX($G$2:G2)-1</f>
        <v/>
      </c>
      <c r="J2">
        <f>AND(A2&gt;=DATEVALUE("2024-01-12"),A2&lt;=DATEVALUE("2026-06-26"))</f>
        <v/>
      </c>
    </row>
    <row r="3">
      <c r="A3" s="21">
        <f>Weekly_Summary!B3</f>
        <v/>
      </c>
      <c r="B3" s="7">
        <f>Weekly_Summary!D3</f>
        <v/>
      </c>
      <c r="C3" s="7">
        <f>Weekly_Summary!E3</f>
        <v/>
      </c>
      <c r="D3" s="8">
        <f>Weekly_Summary!G3</f>
        <v/>
      </c>
      <c r="E3" s="8">
        <f>Weekly_Summary!I3</f>
        <v/>
      </c>
      <c r="F3" s="8">
        <f>Weekly_Summary!J3</f>
        <v/>
      </c>
      <c r="G3" s="7">
        <f>G2*(1+E3)</f>
        <v/>
      </c>
      <c r="H3" s="8">
        <f>C3/MAX($C$2:C3)-1</f>
        <v/>
      </c>
      <c r="I3" s="8">
        <f>G3/MAX($G$2:G3)-1</f>
        <v/>
      </c>
      <c r="J3">
        <f>AND(A3&gt;=DATEVALUE("2024-01-12"),A3&lt;=DATEVALUE("2026-06-26"))</f>
        <v/>
      </c>
    </row>
    <row r="4">
      <c r="A4" s="21">
        <f>Weekly_Summary!B4</f>
        <v/>
      </c>
      <c r="B4" s="7">
        <f>Weekly_Summary!D4</f>
        <v/>
      </c>
      <c r="C4" s="7">
        <f>Weekly_Summary!E4</f>
        <v/>
      </c>
      <c r="D4" s="8">
        <f>Weekly_Summary!G4</f>
        <v/>
      </c>
      <c r="E4" s="8">
        <f>Weekly_Summary!I4</f>
        <v/>
      </c>
      <c r="F4" s="8">
        <f>Weekly_Summary!J4</f>
        <v/>
      </c>
      <c r="G4" s="7">
        <f>G3*(1+E4)</f>
        <v/>
      </c>
      <c r="H4" s="8">
        <f>C4/MAX($C$2:C4)-1</f>
        <v/>
      </c>
      <c r="I4" s="8">
        <f>G4/MAX($G$2:G4)-1</f>
        <v/>
      </c>
      <c r="J4">
        <f>AND(A4&gt;=DATEVALUE("2024-01-12"),A4&lt;=DATEVALUE("2026-06-26"))</f>
        <v/>
      </c>
    </row>
    <row r="5">
      <c r="A5" s="21">
        <f>Weekly_Summary!B5</f>
        <v/>
      </c>
      <c r="B5" s="7">
        <f>Weekly_Summary!D5</f>
        <v/>
      </c>
      <c r="C5" s="7">
        <f>Weekly_Summary!E5</f>
        <v/>
      </c>
      <c r="D5" s="8">
        <f>Weekly_Summary!G5</f>
        <v/>
      </c>
      <c r="E5" s="8">
        <f>Weekly_Summary!I5</f>
        <v/>
      </c>
      <c r="F5" s="8">
        <f>Weekly_Summary!J5</f>
        <v/>
      </c>
      <c r="G5" s="7">
        <f>G4*(1+E5)</f>
        <v/>
      </c>
      <c r="H5" s="8">
        <f>C5/MAX($C$2:C5)-1</f>
        <v/>
      </c>
      <c r="I5" s="8">
        <f>G5/MAX($G$2:G5)-1</f>
        <v/>
      </c>
      <c r="J5">
        <f>AND(A5&gt;=DATEVALUE("2024-01-12"),A5&lt;=DATEVALUE("2026-06-26"))</f>
        <v/>
      </c>
    </row>
    <row r="6">
      <c r="A6" s="21">
        <f>Weekly_Summary!B6</f>
        <v/>
      </c>
      <c r="B6" s="7">
        <f>Weekly_Summary!D6</f>
        <v/>
      </c>
      <c r="C6" s="7">
        <f>Weekly_Summary!E6</f>
        <v/>
      </c>
      <c r="D6" s="8">
        <f>Weekly_Summary!G6</f>
        <v/>
      </c>
      <c r="E6" s="8">
        <f>Weekly_Summary!I6</f>
        <v/>
      </c>
      <c r="F6" s="8">
        <f>Weekly_Summary!J6</f>
        <v/>
      </c>
      <c r="G6" s="7">
        <f>G5*(1+E6)</f>
        <v/>
      </c>
      <c r="H6" s="8">
        <f>C6/MAX($C$2:C6)-1</f>
        <v/>
      </c>
      <c r="I6" s="8">
        <f>G6/MAX($G$2:G6)-1</f>
        <v/>
      </c>
      <c r="J6">
        <f>AND(A6&gt;=DATEVALUE("2024-01-12"),A6&lt;=DATEVALUE("2026-06-26"))</f>
        <v/>
      </c>
    </row>
    <row r="7">
      <c r="A7" s="21">
        <f>Weekly_Summary!B7</f>
        <v/>
      </c>
      <c r="B7" s="7">
        <f>Weekly_Summary!D7</f>
        <v/>
      </c>
      <c r="C7" s="7">
        <f>Weekly_Summary!E7</f>
        <v/>
      </c>
      <c r="D7" s="8">
        <f>Weekly_Summary!G7</f>
        <v/>
      </c>
      <c r="E7" s="8">
        <f>Weekly_Summary!I7</f>
        <v/>
      </c>
      <c r="F7" s="8">
        <f>Weekly_Summary!J7</f>
        <v/>
      </c>
      <c r="G7" s="7">
        <f>G6*(1+E7)</f>
        <v/>
      </c>
      <c r="H7" s="8">
        <f>C7/MAX($C$2:C7)-1</f>
        <v/>
      </c>
      <c r="I7" s="8">
        <f>G7/MAX($G$2:G7)-1</f>
        <v/>
      </c>
      <c r="J7">
        <f>AND(A7&gt;=DATEVALUE("2024-01-12"),A7&lt;=DATEVALUE("2026-06-26"))</f>
        <v/>
      </c>
    </row>
    <row r="8">
      <c r="A8" s="21">
        <f>Weekly_Summary!B8</f>
        <v/>
      </c>
      <c r="B8" s="7">
        <f>Weekly_Summary!D8</f>
        <v/>
      </c>
      <c r="C8" s="7">
        <f>Weekly_Summary!E8</f>
        <v/>
      </c>
      <c r="D8" s="8">
        <f>Weekly_Summary!G8</f>
        <v/>
      </c>
      <c r="E8" s="8">
        <f>Weekly_Summary!I8</f>
        <v/>
      </c>
      <c r="F8" s="8">
        <f>Weekly_Summary!J8</f>
        <v/>
      </c>
      <c r="G8" s="7">
        <f>G7*(1+E8)</f>
        <v/>
      </c>
      <c r="H8" s="8">
        <f>C8/MAX($C$2:C8)-1</f>
        <v/>
      </c>
      <c r="I8" s="8">
        <f>G8/MAX($G$2:G8)-1</f>
        <v/>
      </c>
      <c r="J8">
        <f>AND(A8&gt;=DATEVALUE("2024-01-12"),A8&lt;=DATEVALUE("2026-06-26"))</f>
        <v/>
      </c>
    </row>
    <row r="9">
      <c r="A9" s="21">
        <f>Weekly_Summary!B9</f>
        <v/>
      </c>
      <c r="B9" s="7">
        <f>Weekly_Summary!D9</f>
        <v/>
      </c>
      <c r="C9" s="7">
        <f>Weekly_Summary!E9</f>
        <v/>
      </c>
      <c r="D9" s="8">
        <f>Weekly_Summary!G9</f>
        <v/>
      </c>
      <c r="E9" s="8">
        <f>Weekly_Summary!I9</f>
        <v/>
      </c>
      <c r="F9" s="8">
        <f>Weekly_Summary!J9</f>
        <v/>
      </c>
      <c r="G9" s="7">
        <f>G8*(1+E9)</f>
        <v/>
      </c>
      <c r="H9" s="8">
        <f>C9/MAX($C$2:C9)-1</f>
        <v/>
      </c>
      <c r="I9" s="8">
        <f>G9/MAX($G$2:G9)-1</f>
        <v/>
      </c>
      <c r="J9">
        <f>AND(A9&gt;=DATEVALUE("2024-01-12"),A9&lt;=DATEVALUE("2026-06-26"))</f>
        <v/>
      </c>
    </row>
    <row r="10">
      <c r="A10" s="21">
        <f>Weekly_Summary!B10</f>
        <v/>
      </c>
      <c r="B10" s="7">
        <f>Weekly_Summary!D10</f>
        <v/>
      </c>
      <c r="C10" s="7">
        <f>Weekly_Summary!E10</f>
        <v/>
      </c>
      <c r="D10" s="8">
        <f>Weekly_Summary!G10</f>
        <v/>
      </c>
      <c r="E10" s="8">
        <f>Weekly_Summary!I10</f>
        <v/>
      </c>
      <c r="F10" s="8">
        <f>Weekly_Summary!J10</f>
        <v/>
      </c>
      <c r="G10" s="7">
        <f>G9*(1+E10)</f>
        <v/>
      </c>
      <c r="H10" s="8">
        <f>C10/MAX($C$2:C10)-1</f>
        <v/>
      </c>
      <c r="I10" s="8">
        <f>G10/MAX($G$2:G10)-1</f>
        <v/>
      </c>
      <c r="J10">
        <f>AND(A10&gt;=DATEVALUE("2024-01-12"),A10&lt;=DATEVALUE("2026-06-26"))</f>
        <v/>
      </c>
    </row>
    <row r="11">
      <c r="A11" s="21">
        <f>Weekly_Summary!B11</f>
        <v/>
      </c>
      <c r="B11" s="7">
        <f>Weekly_Summary!D11</f>
        <v/>
      </c>
      <c r="C11" s="7">
        <f>Weekly_Summary!E11</f>
        <v/>
      </c>
      <c r="D11" s="8">
        <f>Weekly_Summary!G11</f>
        <v/>
      </c>
      <c r="E11" s="8">
        <f>Weekly_Summary!I11</f>
        <v/>
      </c>
      <c r="F11" s="8">
        <f>Weekly_Summary!J11</f>
        <v/>
      </c>
      <c r="G11" s="7">
        <f>G10*(1+E11)</f>
        <v/>
      </c>
      <c r="H11" s="8">
        <f>C11/MAX($C$2:C11)-1</f>
        <v/>
      </c>
      <c r="I11" s="8">
        <f>G11/MAX($G$2:G11)-1</f>
        <v/>
      </c>
      <c r="J11">
        <f>AND(A11&gt;=DATEVALUE("2024-01-12"),A11&lt;=DATEVALUE("2026-06-26"))</f>
        <v/>
      </c>
    </row>
    <row r="12">
      <c r="A12" s="21">
        <f>Weekly_Summary!B12</f>
        <v/>
      </c>
      <c r="B12" s="7">
        <f>Weekly_Summary!D12</f>
        <v/>
      </c>
      <c r="C12" s="7">
        <f>Weekly_Summary!E12</f>
        <v/>
      </c>
      <c r="D12" s="8">
        <f>Weekly_Summary!G12</f>
        <v/>
      </c>
      <c r="E12" s="8">
        <f>Weekly_Summary!I12</f>
        <v/>
      </c>
      <c r="F12" s="8">
        <f>Weekly_Summary!J12</f>
        <v/>
      </c>
      <c r="G12" s="7">
        <f>G11*(1+E12)</f>
        <v/>
      </c>
      <c r="H12" s="8">
        <f>C12/MAX($C$2:C12)-1</f>
        <v/>
      </c>
      <c r="I12" s="8">
        <f>G12/MAX($G$2:G12)-1</f>
        <v/>
      </c>
      <c r="J12">
        <f>AND(A12&gt;=DATEVALUE("2024-01-12"),A12&lt;=DATEVALUE("2026-06-26"))</f>
        <v/>
      </c>
    </row>
    <row r="13">
      <c r="A13" s="21">
        <f>Weekly_Summary!B13</f>
        <v/>
      </c>
      <c r="B13" s="7">
        <f>Weekly_Summary!D13</f>
        <v/>
      </c>
      <c r="C13" s="7">
        <f>Weekly_Summary!E13</f>
        <v/>
      </c>
      <c r="D13" s="8">
        <f>Weekly_Summary!G13</f>
        <v/>
      </c>
      <c r="E13" s="8">
        <f>Weekly_Summary!I13</f>
        <v/>
      </c>
      <c r="F13" s="8">
        <f>Weekly_Summary!J13</f>
        <v/>
      </c>
      <c r="G13" s="7">
        <f>G12*(1+E13)</f>
        <v/>
      </c>
      <c r="H13" s="8">
        <f>C13/MAX($C$2:C13)-1</f>
        <v/>
      </c>
      <c r="I13" s="8">
        <f>G13/MAX($G$2:G13)-1</f>
        <v/>
      </c>
      <c r="J13">
        <f>AND(A13&gt;=DATEVALUE("2024-01-12"),A13&lt;=DATEVALUE("2026-06-26"))</f>
        <v/>
      </c>
    </row>
    <row r="14">
      <c r="A14" s="21">
        <f>Weekly_Summary!B14</f>
        <v/>
      </c>
      <c r="B14" s="7">
        <f>Weekly_Summary!D14</f>
        <v/>
      </c>
      <c r="C14" s="7">
        <f>Weekly_Summary!E14</f>
        <v/>
      </c>
      <c r="D14" s="8">
        <f>Weekly_Summary!G14</f>
        <v/>
      </c>
      <c r="E14" s="8">
        <f>Weekly_Summary!I14</f>
        <v/>
      </c>
      <c r="F14" s="8">
        <f>Weekly_Summary!J14</f>
        <v/>
      </c>
      <c r="G14" s="7">
        <f>G13*(1+E14)</f>
        <v/>
      </c>
      <c r="H14" s="8">
        <f>C14/MAX($C$2:C14)-1</f>
        <v/>
      </c>
      <c r="I14" s="8">
        <f>G14/MAX($G$2:G14)-1</f>
        <v/>
      </c>
      <c r="J14">
        <f>AND(A14&gt;=DATEVALUE("2024-01-12"),A14&lt;=DATEVALUE("2026-06-26"))</f>
        <v/>
      </c>
    </row>
    <row r="15">
      <c r="A15" s="21">
        <f>Weekly_Summary!B15</f>
        <v/>
      </c>
      <c r="B15" s="7">
        <f>Weekly_Summary!D15</f>
        <v/>
      </c>
      <c r="C15" s="7">
        <f>Weekly_Summary!E15</f>
        <v/>
      </c>
      <c r="D15" s="8">
        <f>Weekly_Summary!G15</f>
        <v/>
      </c>
      <c r="E15" s="8">
        <f>Weekly_Summary!I15</f>
        <v/>
      </c>
      <c r="F15" s="8">
        <f>Weekly_Summary!J15</f>
        <v/>
      </c>
      <c r="G15" s="7">
        <f>G14*(1+E15)</f>
        <v/>
      </c>
      <c r="H15" s="8">
        <f>C15/MAX($C$2:C15)-1</f>
        <v/>
      </c>
      <c r="I15" s="8">
        <f>G15/MAX($G$2:G15)-1</f>
        <v/>
      </c>
      <c r="J15">
        <f>AND(A15&gt;=DATEVALUE("2024-01-12"),A15&lt;=DATEVALUE("2026-06-26"))</f>
        <v/>
      </c>
    </row>
    <row r="16">
      <c r="A16" s="21">
        <f>Weekly_Summary!B16</f>
        <v/>
      </c>
      <c r="B16" s="7">
        <f>Weekly_Summary!D16</f>
        <v/>
      </c>
      <c r="C16" s="7">
        <f>Weekly_Summary!E16</f>
        <v/>
      </c>
      <c r="D16" s="8">
        <f>Weekly_Summary!G16</f>
        <v/>
      </c>
      <c r="E16" s="8">
        <f>Weekly_Summary!I16</f>
        <v/>
      </c>
      <c r="F16" s="8">
        <f>Weekly_Summary!J16</f>
        <v/>
      </c>
      <c r="G16" s="7">
        <f>G15*(1+E16)</f>
        <v/>
      </c>
      <c r="H16" s="8">
        <f>C16/MAX($C$2:C16)-1</f>
        <v/>
      </c>
      <c r="I16" s="8">
        <f>G16/MAX($G$2:G16)-1</f>
        <v/>
      </c>
      <c r="J16">
        <f>AND(A16&gt;=DATEVALUE("2024-01-12"),A16&lt;=DATEVALUE("2026-06-26"))</f>
        <v/>
      </c>
    </row>
    <row r="17">
      <c r="A17" s="21">
        <f>Weekly_Summary!B17</f>
        <v/>
      </c>
      <c r="B17" s="7">
        <f>Weekly_Summary!D17</f>
        <v/>
      </c>
      <c r="C17" s="7">
        <f>Weekly_Summary!E17</f>
        <v/>
      </c>
      <c r="D17" s="8">
        <f>Weekly_Summary!G17</f>
        <v/>
      </c>
      <c r="E17" s="8">
        <f>Weekly_Summary!I17</f>
        <v/>
      </c>
      <c r="F17" s="8">
        <f>Weekly_Summary!J17</f>
        <v/>
      </c>
      <c r="G17" s="7">
        <f>G16*(1+E17)</f>
        <v/>
      </c>
      <c r="H17" s="8">
        <f>C17/MAX($C$2:C17)-1</f>
        <v/>
      </c>
      <c r="I17" s="8">
        <f>G17/MAX($G$2:G17)-1</f>
        <v/>
      </c>
      <c r="J17">
        <f>AND(A17&gt;=DATEVALUE("2024-01-12"),A17&lt;=DATEVALUE("2026-06-26"))</f>
        <v/>
      </c>
    </row>
    <row r="18">
      <c r="A18" s="21">
        <f>Weekly_Summary!B18</f>
        <v/>
      </c>
      <c r="B18" s="7">
        <f>Weekly_Summary!D18</f>
        <v/>
      </c>
      <c r="C18" s="7">
        <f>Weekly_Summary!E18</f>
        <v/>
      </c>
      <c r="D18" s="8">
        <f>Weekly_Summary!G18</f>
        <v/>
      </c>
      <c r="E18" s="8">
        <f>Weekly_Summary!I18</f>
        <v/>
      </c>
      <c r="F18" s="8">
        <f>Weekly_Summary!J18</f>
        <v/>
      </c>
      <c r="G18" s="7">
        <f>G17*(1+E18)</f>
        <v/>
      </c>
      <c r="H18" s="8">
        <f>C18/MAX($C$2:C18)-1</f>
        <v/>
      </c>
      <c r="I18" s="8">
        <f>G18/MAX($G$2:G18)-1</f>
        <v/>
      </c>
      <c r="J18">
        <f>AND(A18&gt;=DATEVALUE("2024-01-12"),A18&lt;=DATEVALUE("2026-06-26"))</f>
        <v/>
      </c>
    </row>
    <row r="19">
      <c r="A19" s="21">
        <f>Weekly_Summary!B19</f>
        <v/>
      </c>
      <c r="B19" s="7">
        <f>Weekly_Summary!D19</f>
        <v/>
      </c>
      <c r="C19" s="7">
        <f>Weekly_Summary!E19</f>
        <v/>
      </c>
      <c r="D19" s="8">
        <f>Weekly_Summary!G19</f>
        <v/>
      </c>
      <c r="E19" s="8">
        <f>Weekly_Summary!I19</f>
        <v/>
      </c>
      <c r="F19" s="8">
        <f>Weekly_Summary!J19</f>
        <v/>
      </c>
      <c r="G19" s="7">
        <f>G18*(1+E19)</f>
        <v/>
      </c>
      <c r="H19" s="8">
        <f>C19/MAX($C$2:C19)-1</f>
        <v/>
      </c>
      <c r="I19" s="8">
        <f>G19/MAX($G$2:G19)-1</f>
        <v/>
      </c>
      <c r="J19">
        <f>AND(A19&gt;=DATEVALUE("2024-01-12"),A19&lt;=DATEVALUE("2026-06-26"))</f>
        <v/>
      </c>
    </row>
    <row r="20">
      <c r="A20" s="21">
        <f>Weekly_Summary!B20</f>
        <v/>
      </c>
      <c r="B20" s="7">
        <f>Weekly_Summary!D20</f>
        <v/>
      </c>
      <c r="C20" s="7">
        <f>Weekly_Summary!E20</f>
        <v/>
      </c>
      <c r="D20" s="8">
        <f>Weekly_Summary!G20</f>
        <v/>
      </c>
      <c r="E20" s="8">
        <f>Weekly_Summary!I20</f>
        <v/>
      </c>
      <c r="F20" s="8">
        <f>Weekly_Summary!J20</f>
        <v/>
      </c>
      <c r="G20" s="7">
        <f>G19*(1+E20)</f>
        <v/>
      </c>
      <c r="H20" s="8">
        <f>C20/MAX($C$2:C20)-1</f>
        <v/>
      </c>
      <c r="I20" s="8">
        <f>G20/MAX($G$2:G20)-1</f>
        <v/>
      </c>
      <c r="J20">
        <f>AND(A20&gt;=DATEVALUE("2024-01-12"),A20&lt;=DATEVALUE("2026-06-26"))</f>
        <v/>
      </c>
    </row>
    <row r="21">
      <c r="A21" s="21">
        <f>Weekly_Summary!B21</f>
        <v/>
      </c>
      <c r="B21" s="7">
        <f>Weekly_Summary!D21</f>
        <v/>
      </c>
      <c r="C21" s="7">
        <f>Weekly_Summary!E21</f>
        <v/>
      </c>
      <c r="D21" s="8">
        <f>Weekly_Summary!G21</f>
        <v/>
      </c>
      <c r="E21" s="8">
        <f>Weekly_Summary!I21</f>
        <v/>
      </c>
      <c r="F21" s="8">
        <f>Weekly_Summary!J21</f>
        <v/>
      </c>
      <c r="G21" s="7">
        <f>G20*(1+E21)</f>
        <v/>
      </c>
      <c r="H21" s="8">
        <f>C21/MAX($C$2:C21)-1</f>
        <v/>
      </c>
      <c r="I21" s="8">
        <f>G21/MAX($G$2:G21)-1</f>
        <v/>
      </c>
      <c r="J21">
        <f>AND(A21&gt;=DATEVALUE("2024-01-12"),A21&lt;=DATEVALUE("2026-06-26"))</f>
        <v/>
      </c>
    </row>
    <row r="22">
      <c r="A22" s="21">
        <f>Weekly_Summary!B22</f>
        <v/>
      </c>
      <c r="B22" s="7">
        <f>Weekly_Summary!D22</f>
        <v/>
      </c>
      <c r="C22" s="7">
        <f>Weekly_Summary!E22</f>
        <v/>
      </c>
      <c r="D22" s="8">
        <f>Weekly_Summary!G22</f>
        <v/>
      </c>
      <c r="E22" s="8">
        <f>Weekly_Summary!I22</f>
        <v/>
      </c>
      <c r="F22" s="8">
        <f>Weekly_Summary!J22</f>
        <v/>
      </c>
      <c r="G22" s="7">
        <f>G21*(1+E22)</f>
        <v/>
      </c>
      <c r="H22" s="8">
        <f>C22/MAX($C$2:C22)-1</f>
        <v/>
      </c>
      <c r="I22" s="8">
        <f>G22/MAX($G$2:G22)-1</f>
        <v/>
      </c>
      <c r="J22">
        <f>AND(A22&gt;=DATEVALUE("2024-01-12"),A22&lt;=DATEVALUE("2026-06-26"))</f>
        <v/>
      </c>
    </row>
    <row r="23">
      <c r="A23" s="21">
        <f>Weekly_Summary!B23</f>
        <v/>
      </c>
      <c r="B23" s="7">
        <f>Weekly_Summary!D23</f>
        <v/>
      </c>
      <c r="C23" s="7">
        <f>Weekly_Summary!E23</f>
        <v/>
      </c>
      <c r="D23" s="8">
        <f>Weekly_Summary!G23</f>
        <v/>
      </c>
      <c r="E23" s="8">
        <f>Weekly_Summary!I23</f>
        <v/>
      </c>
      <c r="F23" s="8">
        <f>Weekly_Summary!J23</f>
        <v/>
      </c>
      <c r="G23" s="7">
        <f>G22*(1+E23)</f>
        <v/>
      </c>
      <c r="H23" s="8">
        <f>C23/MAX($C$2:C23)-1</f>
        <v/>
      </c>
      <c r="I23" s="8">
        <f>G23/MAX($G$2:G23)-1</f>
        <v/>
      </c>
      <c r="J23">
        <f>AND(A23&gt;=DATEVALUE("2024-01-12"),A23&lt;=DATEVALUE("2026-06-26"))</f>
        <v/>
      </c>
    </row>
    <row r="24">
      <c r="A24" s="21">
        <f>Weekly_Summary!B24</f>
        <v/>
      </c>
      <c r="B24" s="7">
        <f>Weekly_Summary!D24</f>
        <v/>
      </c>
      <c r="C24" s="7">
        <f>Weekly_Summary!E24</f>
        <v/>
      </c>
      <c r="D24" s="8">
        <f>Weekly_Summary!G24</f>
        <v/>
      </c>
      <c r="E24" s="8">
        <f>Weekly_Summary!I24</f>
        <v/>
      </c>
      <c r="F24" s="8">
        <f>Weekly_Summary!J24</f>
        <v/>
      </c>
      <c r="G24" s="7">
        <f>G23*(1+E24)</f>
        <v/>
      </c>
      <c r="H24" s="8">
        <f>C24/MAX($C$2:C24)-1</f>
        <v/>
      </c>
      <c r="I24" s="8">
        <f>G24/MAX($G$2:G24)-1</f>
        <v/>
      </c>
      <c r="J24">
        <f>AND(A24&gt;=DATEVALUE("2024-01-12"),A24&lt;=DATEVALUE("2026-06-26"))</f>
        <v/>
      </c>
    </row>
    <row r="25">
      <c r="A25" s="21">
        <f>Weekly_Summary!B25</f>
        <v/>
      </c>
      <c r="B25" s="7">
        <f>Weekly_Summary!D25</f>
        <v/>
      </c>
      <c r="C25" s="7">
        <f>Weekly_Summary!E25</f>
        <v/>
      </c>
      <c r="D25" s="8">
        <f>Weekly_Summary!G25</f>
        <v/>
      </c>
      <c r="E25" s="8">
        <f>Weekly_Summary!I25</f>
        <v/>
      </c>
      <c r="F25" s="8">
        <f>Weekly_Summary!J25</f>
        <v/>
      </c>
      <c r="G25" s="7">
        <f>G24*(1+E25)</f>
        <v/>
      </c>
      <c r="H25" s="8">
        <f>C25/MAX($C$2:C25)-1</f>
        <v/>
      </c>
      <c r="I25" s="8">
        <f>G25/MAX($G$2:G25)-1</f>
        <v/>
      </c>
      <c r="J25">
        <f>AND(A25&gt;=DATEVALUE("2024-01-12"),A25&lt;=DATEVALUE("2026-06-26"))</f>
        <v/>
      </c>
    </row>
    <row r="26">
      <c r="A26" s="21">
        <f>Weekly_Summary!B26</f>
        <v/>
      </c>
      <c r="B26" s="7">
        <f>Weekly_Summary!D26</f>
        <v/>
      </c>
      <c r="C26" s="7">
        <f>Weekly_Summary!E26</f>
        <v/>
      </c>
      <c r="D26" s="8">
        <f>Weekly_Summary!G26</f>
        <v/>
      </c>
      <c r="E26" s="8">
        <f>Weekly_Summary!I26</f>
        <v/>
      </c>
      <c r="F26" s="8">
        <f>Weekly_Summary!J26</f>
        <v/>
      </c>
      <c r="G26" s="7">
        <f>G25*(1+E26)</f>
        <v/>
      </c>
      <c r="H26" s="8">
        <f>C26/MAX($C$2:C26)-1</f>
        <v/>
      </c>
      <c r="I26" s="8">
        <f>G26/MAX($G$2:G26)-1</f>
        <v/>
      </c>
      <c r="J26">
        <f>AND(A26&gt;=DATEVALUE("2024-01-12"),A26&lt;=DATEVALUE("2026-06-26"))</f>
        <v/>
      </c>
    </row>
    <row r="27">
      <c r="A27" s="21">
        <f>Weekly_Summary!B27</f>
        <v/>
      </c>
      <c r="B27" s="7">
        <f>Weekly_Summary!D27</f>
        <v/>
      </c>
      <c r="C27" s="7">
        <f>Weekly_Summary!E27</f>
        <v/>
      </c>
      <c r="D27" s="8">
        <f>Weekly_Summary!G27</f>
        <v/>
      </c>
      <c r="E27" s="8">
        <f>Weekly_Summary!I27</f>
        <v/>
      </c>
      <c r="F27" s="8">
        <f>Weekly_Summary!J27</f>
        <v/>
      </c>
      <c r="G27" s="7">
        <f>G26*(1+E27)</f>
        <v/>
      </c>
      <c r="H27" s="8">
        <f>C27/MAX($C$2:C27)-1</f>
        <v/>
      </c>
      <c r="I27" s="8">
        <f>G27/MAX($G$2:G27)-1</f>
        <v/>
      </c>
      <c r="J27">
        <f>AND(A27&gt;=DATEVALUE("2024-01-12"),A27&lt;=DATEVALUE("2026-06-26"))</f>
        <v/>
      </c>
    </row>
    <row r="28">
      <c r="A28" s="21">
        <f>Weekly_Summary!B28</f>
        <v/>
      </c>
      <c r="B28" s="7">
        <f>Weekly_Summary!D28</f>
        <v/>
      </c>
      <c r="C28" s="7">
        <f>Weekly_Summary!E28</f>
        <v/>
      </c>
      <c r="D28" s="8">
        <f>Weekly_Summary!G28</f>
        <v/>
      </c>
      <c r="E28" s="8">
        <f>Weekly_Summary!I28</f>
        <v/>
      </c>
      <c r="F28" s="8">
        <f>Weekly_Summary!J28</f>
        <v/>
      </c>
      <c r="G28" s="7">
        <f>G27*(1+E28)</f>
        <v/>
      </c>
      <c r="H28" s="8">
        <f>C28/MAX($C$2:C28)-1</f>
        <v/>
      </c>
      <c r="I28" s="8">
        <f>G28/MAX($G$2:G28)-1</f>
        <v/>
      </c>
      <c r="J28">
        <f>AND(A28&gt;=DATEVALUE("2024-01-12"),A28&lt;=DATEVALUE("2026-06-26"))</f>
        <v/>
      </c>
    </row>
    <row r="29">
      <c r="A29" s="21">
        <f>Weekly_Summary!B29</f>
        <v/>
      </c>
      <c r="B29" s="7">
        <f>Weekly_Summary!D29</f>
        <v/>
      </c>
      <c r="C29" s="7">
        <f>Weekly_Summary!E29</f>
        <v/>
      </c>
      <c r="D29" s="8">
        <f>Weekly_Summary!G29</f>
        <v/>
      </c>
      <c r="E29" s="8">
        <f>Weekly_Summary!I29</f>
        <v/>
      </c>
      <c r="F29" s="8">
        <f>Weekly_Summary!J29</f>
        <v/>
      </c>
      <c r="G29" s="7">
        <f>G28*(1+E29)</f>
        <v/>
      </c>
      <c r="H29" s="8">
        <f>C29/MAX($C$2:C29)-1</f>
        <v/>
      </c>
      <c r="I29" s="8">
        <f>G29/MAX($G$2:G29)-1</f>
        <v/>
      </c>
      <c r="J29">
        <f>AND(A29&gt;=DATEVALUE("2024-01-12"),A29&lt;=DATEVALUE("2026-06-26"))</f>
        <v/>
      </c>
    </row>
    <row r="30">
      <c r="A30" s="21">
        <f>Weekly_Summary!B30</f>
        <v/>
      </c>
      <c r="B30" s="7">
        <f>Weekly_Summary!D30</f>
        <v/>
      </c>
      <c r="C30" s="7">
        <f>Weekly_Summary!E30</f>
        <v/>
      </c>
      <c r="D30" s="8">
        <f>Weekly_Summary!G30</f>
        <v/>
      </c>
      <c r="E30" s="8">
        <f>Weekly_Summary!I30</f>
        <v/>
      </c>
      <c r="F30" s="8">
        <f>Weekly_Summary!J30</f>
        <v/>
      </c>
      <c r="G30" s="7">
        <f>G29*(1+E30)</f>
        <v/>
      </c>
      <c r="H30" s="8">
        <f>C30/MAX($C$2:C30)-1</f>
        <v/>
      </c>
      <c r="I30" s="8">
        <f>G30/MAX($G$2:G30)-1</f>
        <v/>
      </c>
      <c r="J30">
        <f>AND(A30&gt;=DATEVALUE("2024-01-12"),A30&lt;=DATEVALUE("2026-06-26"))</f>
        <v/>
      </c>
    </row>
    <row r="31">
      <c r="A31" s="21">
        <f>Weekly_Summary!B31</f>
        <v/>
      </c>
      <c r="B31" s="7">
        <f>Weekly_Summary!D31</f>
        <v/>
      </c>
      <c r="C31" s="7">
        <f>Weekly_Summary!E31</f>
        <v/>
      </c>
      <c r="D31" s="8">
        <f>Weekly_Summary!G31</f>
        <v/>
      </c>
      <c r="E31" s="8">
        <f>Weekly_Summary!I31</f>
        <v/>
      </c>
      <c r="F31" s="8">
        <f>Weekly_Summary!J31</f>
        <v/>
      </c>
      <c r="G31" s="7">
        <f>G30*(1+E31)</f>
        <v/>
      </c>
      <c r="H31" s="8">
        <f>C31/MAX($C$2:C31)-1</f>
        <v/>
      </c>
      <c r="I31" s="8">
        <f>G31/MAX($G$2:G31)-1</f>
        <v/>
      </c>
      <c r="J31">
        <f>AND(A31&gt;=DATEVALUE("2024-01-12"),A31&lt;=DATEVALUE("2026-06-26"))</f>
        <v/>
      </c>
    </row>
    <row r="32">
      <c r="A32" s="21">
        <f>Weekly_Summary!B32</f>
        <v/>
      </c>
      <c r="B32" s="7">
        <f>Weekly_Summary!D32</f>
        <v/>
      </c>
      <c r="C32" s="7">
        <f>Weekly_Summary!E32</f>
        <v/>
      </c>
      <c r="D32" s="8">
        <f>Weekly_Summary!G32</f>
        <v/>
      </c>
      <c r="E32" s="8">
        <f>Weekly_Summary!I32</f>
        <v/>
      </c>
      <c r="F32" s="8">
        <f>Weekly_Summary!J32</f>
        <v/>
      </c>
      <c r="G32" s="7">
        <f>G31*(1+E32)</f>
        <v/>
      </c>
      <c r="H32" s="8">
        <f>C32/MAX($C$2:C32)-1</f>
        <v/>
      </c>
      <c r="I32" s="8">
        <f>G32/MAX($G$2:G32)-1</f>
        <v/>
      </c>
      <c r="J32">
        <f>AND(A32&gt;=DATEVALUE("2024-01-12"),A32&lt;=DATEVALUE("2026-06-26"))</f>
        <v/>
      </c>
    </row>
    <row r="33">
      <c r="A33" s="21">
        <f>Weekly_Summary!B33</f>
        <v/>
      </c>
      <c r="B33" s="7">
        <f>Weekly_Summary!D33</f>
        <v/>
      </c>
      <c r="C33" s="7">
        <f>Weekly_Summary!E33</f>
        <v/>
      </c>
      <c r="D33" s="8">
        <f>Weekly_Summary!G33</f>
        <v/>
      </c>
      <c r="E33" s="8">
        <f>Weekly_Summary!I33</f>
        <v/>
      </c>
      <c r="F33" s="8">
        <f>Weekly_Summary!J33</f>
        <v/>
      </c>
      <c r="G33" s="7">
        <f>G32*(1+E33)</f>
        <v/>
      </c>
      <c r="H33" s="8">
        <f>C33/MAX($C$2:C33)-1</f>
        <v/>
      </c>
      <c r="I33" s="8">
        <f>G33/MAX($G$2:G33)-1</f>
        <v/>
      </c>
      <c r="J33">
        <f>AND(A33&gt;=DATEVALUE("2024-01-12"),A33&lt;=DATEVALUE("2026-06-26"))</f>
        <v/>
      </c>
    </row>
    <row r="34">
      <c r="A34" s="21">
        <f>Weekly_Summary!B34</f>
        <v/>
      </c>
      <c r="B34" s="7">
        <f>Weekly_Summary!D34</f>
        <v/>
      </c>
      <c r="C34" s="7">
        <f>Weekly_Summary!E34</f>
        <v/>
      </c>
      <c r="D34" s="8">
        <f>Weekly_Summary!G34</f>
        <v/>
      </c>
      <c r="E34" s="8">
        <f>Weekly_Summary!I34</f>
        <v/>
      </c>
      <c r="F34" s="8">
        <f>Weekly_Summary!J34</f>
        <v/>
      </c>
      <c r="G34" s="7">
        <f>G33*(1+E34)</f>
        <v/>
      </c>
      <c r="H34" s="8">
        <f>C34/MAX($C$2:C34)-1</f>
        <v/>
      </c>
      <c r="I34" s="8">
        <f>G34/MAX($G$2:G34)-1</f>
        <v/>
      </c>
      <c r="J34">
        <f>AND(A34&gt;=DATEVALUE("2024-01-12"),A34&lt;=DATEVALUE("2026-06-26"))</f>
        <v/>
      </c>
    </row>
    <row r="35">
      <c r="A35" s="21">
        <f>Weekly_Summary!B35</f>
        <v/>
      </c>
      <c r="B35" s="7">
        <f>Weekly_Summary!D35</f>
        <v/>
      </c>
      <c r="C35" s="7">
        <f>Weekly_Summary!E35</f>
        <v/>
      </c>
      <c r="D35" s="8">
        <f>Weekly_Summary!G35</f>
        <v/>
      </c>
      <c r="E35" s="8">
        <f>Weekly_Summary!I35</f>
        <v/>
      </c>
      <c r="F35" s="8">
        <f>Weekly_Summary!J35</f>
        <v/>
      </c>
      <c r="G35" s="7">
        <f>G34*(1+E35)</f>
        <v/>
      </c>
      <c r="H35" s="8">
        <f>C35/MAX($C$2:C35)-1</f>
        <v/>
      </c>
      <c r="I35" s="8">
        <f>G35/MAX($G$2:G35)-1</f>
        <v/>
      </c>
      <c r="J35">
        <f>AND(A35&gt;=DATEVALUE("2024-01-12"),A35&lt;=DATEVALUE("2026-06-26"))</f>
        <v/>
      </c>
    </row>
    <row r="36">
      <c r="A36" s="21">
        <f>Weekly_Summary!B36</f>
        <v/>
      </c>
      <c r="B36" s="7">
        <f>Weekly_Summary!D36</f>
        <v/>
      </c>
      <c r="C36" s="7">
        <f>Weekly_Summary!E36</f>
        <v/>
      </c>
      <c r="D36" s="8">
        <f>Weekly_Summary!G36</f>
        <v/>
      </c>
      <c r="E36" s="8">
        <f>Weekly_Summary!I36</f>
        <v/>
      </c>
      <c r="F36" s="8">
        <f>Weekly_Summary!J36</f>
        <v/>
      </c>
      <c r="G36" s="7">
        <f>G35*(1+E36)</f>
        <v/>
      </c>
      <c r="H36" s="8">
        <f>C36/MAX($C$2:C36)-1</f>
        <v/>
      </c>
      <c r="I36" s="8">
        <f>G36/MAX($G$2:G36)-1</f>
        <v/>
      </c>
      <c r="J36">
        <f>AND(A36&gt;=DATEVALUE("2024-01-12"),A36&lt;=DATEVALUE("2026-06-26"))</f>
        <v/>
      </c>
    </row>
    <row r="37">
      <c r="A37" s="21">
        <f>Weekly_Summary!B37</f>
        <v/>
      </c>
      <c r="B37" s="7">
        <f>Weekly_Summary!D37</f>
        <v/>
      </c>
      <c r="C37" s="7">
        <f>Weekly_Summary!E37</f>
        <v/>
      </c>
      <c r="D37" s="8">
        <f>Weekly_Summary!G37</f>
        <v/>
      </c>
      <c r="E37" s="8">
        <f>Weekly_Summary!I37</f>
        <v/>
      </c>
      <c r="F37" s="8">
        <f>Weekly_Summary!J37</f>
        <v/>
      </c>
      <c r="G37" s="7">
        <f>G36*(1+E37)</f>
        <v/>
      </c>
      <c r="H37" s="8">
        <f>C37/MAX($C$2:C37)-1</f>
        <v/>
      </c>
      <c r="I37" s="8">
        <f>G37/MAX($G$2:G37)-1</f>
        <v/>
      </c>
      <c r="J37">
        <f>AND(A37&gt;=DATEVALUE("2024-01-12"),A37&lt;=DATEVALUE("2026-06-26"))</f>
        <v/>
      </c>
    </row>
    <row r="38">
      <c r="A38" s="21">
        <f>Weekly_Summary!B38</f>
        <v/>
      </c>
      <c r="B38" s="7">
        <f>Weekly_Summary!D38</f>
        <v/>
      </c>
      <c r="C38" s="7">
        <f>Weekly_Summary!E38</f>
        <v/>
      </c>
      <c r="D38" s="8">
        <f>Weekly_Summary!G38</f>
        <v/>
      </c>
      <c r="E38" s="8">
        <f>Weekly_Summary!I38</f>
        <v/>
      </c>
      <c r="F38" s="8">
        <f>Weekly_Summary!J38</f>
        <v/>
      </c>
      <c r="G38" s="7">
        <f>G37*(1+E38)</f>
        <v/>
      </c>
      <c r="H38" s="8">
        <f>C38/MAX($C$2:C38)-1</f>
        <v/>
      </c>
      <c r="I38" s="8">
        <f>G38/MAX($G$2:G38)-1</f>
        <v/>
      </c>
      <c r="J38">
        <f>AND(A38&gt;=DATEVALUE("2024-01-12"),A38&lt;=DATEVALUE("2026-06-26"))</f>
        <v/>
      </c>
    </row>
    <row r="39">
      <c r="A39" s="21">
        <f>Weekly_Summary!B39</f>
        <v/>
      </c>
      <c r="B39" s="7">
        <f>Weekly_Summary!D39</f>
        <v/>
      </c>
      <c r="C39" s="7">
        <f>Weekly_Summary!E39</f>
        <v/>
      </c>
      <c r="D39" s="8">
        <f>Weekly_Summary!G39</f>
        <v/>
      </c>
      <c r="E39" s="8">
        <f>Weekly_Summary!I39</f>
        <v/>
      </c>
      <c r="F39" s="8">
        <f>Weekly_Summary!J39</f>
        <v/>
      </c>
      <c r="G39" s="7">
        <f>G38*(1+E39)</f>
        <v/>
      </c>
      <c r="H39" s="8">
        <f>C39/MAX($C$2:C39)-1</f>
        <v/>
      </c>
      <c r="I39" s="8">
        <f>G39/MAX($G$2:G39)-1</f>
        <v/>
      </c>
      <c r="J39">
        <f>AND(A39&gt;=DATEVALUE("2024-01-12"),A39&lt;=DATEVALUE("2026-06-26"))</f>
        <v/>
      </c>
    </row>
    <row r="40">
      <c r="A40" s="21">
        <f>Weekly_Summary!B40</f>
        <v/>
      </c>
      <c r="B40" s="7">
        <f>Weekly_Summary!D40</f>
        <v/>
      </c>
      <c r="C40" s="7">
        <f>Weekly_Summary!E40</f>
        <v/>
      </c>
      <c r="D40" s="8">
        <f>Weekly_Summary!G40</f>
        <v/>
      </c>
      <c r="E40" s="8">
        <f>Weekly_Summary!I40</f>
        <v/>
      </c>
      <c r="F40" s="8">
        <f>Weekly_Summary!J40</f>
        <v/>
      </c>
      <c r="G40" s="7">
        <f>G39*(1+E40)</f>
        <v/>
      </c>
      <c r="H40" s="8">
        <f>C40/MAX($C$2:C40)-1</f>
        <v/>
      </c>
      <c r="I40" s="8">
        <f>G40/MAX($G$2:G40)-1</f>
        <v/>
      </c>
      <c r="J40">
        <f>AND(A40&gt;=DATEVALUE("2024-01-12"),A40&lt;=DATEVALUE("2026-06-26"))</f>
        <v/>
      </c>
    </row>
    <row r="41">
      <c r="A41" s="21">
        <f>Weekly_Summary!B41</f>
        <v/>
      </c>
      <c r="B41" s="7">
        <f>Weekly_Summary!D41</f>
        <v/>
      </c>
      <c r="C41" s="7">
        <f>Weekly_Summary!E41</f>
        <v/>
      </c>
      <c r="D41" s="8">
        <f>Weekly_Summary!G41</f>
        <v/>
      </c>
      <c r="E41" s="8">
        <f>Weekly_Summary!I41</f>
        <v/>
      </c>
      <c r="F41" s="8">
        <f>Weekly_Summary!J41</f>
        <v/>
      </c>
      <c r="G41" s="7">
        <f>G40*(1+E41)</f>
        <v/>
      </c>
      <c r="H41" s="8">
        <f>C41/MAX($C$2:C41)-1</f>
        <v/>
      </c>
      <c r="I41" s="8">
        <f>G41/MAX($G$2:G41)-1</f>
        <v/>
      </c>
      <c r="J41">
        <f>AND(A41&gt;=DATEVALUE("2024-01-12"),A41&lt;=DATEVALUE("2026-06-26"))</f>
        <v/>
      </c>
    </row>
    <row r="42">
      <c r="A42" s="21">
        <f>Weekly_Summary!B42</f>
        <v/>
      </c>
      <c r="B42" s="7">
        <f>Weekly_Summary!D42</f>
        <v/>
      </c>
      <c r="C42" s="7">
        <f>Weekly_Summary!E42</f>
        <v/>
      </c>
      <c r="D42" s="8">
        <f>Weekly_Summary!G42</f>
        <v/>
      </c>
      <c r="E42" s="8">
        <f>Weekly_Summary!I42</f>
        <v/>
      </c>
      <c r="F42" s="8">
        <f>Weekly_Summary!J42</f>
        <v/>
      </c>
      <c r="G42" s="7">
        <f>G41*(1+E42)</f>
        <v/>
      </c>
      <c r="H42" s="8">
        <f>C42/MAX($C$2:C42)-1</f>
        <v/>
      </c>
      <c r="I42" s="8">
        <f>G42/MAX($G$2:G42)-1</f>
        <v/>
      </c>
      <c r="J42">
        <f>AND(A42&gt;=DATEVALUE("2024-01-12"),A42&lt;=DATEVALUE("2026-06-26"))</f>
        <v/>
      </c>
    </row>
    <row r="43">
      <c r="A43" s="21">
        <f>Weekly_Summary!B43</f>
        <v/>
      </c>
      <c r="B43" s="7">
        <f>Weekly_Summary!D43</f>
        <v/>
      </c>
      <c r="C43" s="7">
        <f>Weekly_Summary!E43</f>
        <v/>
      </c>
      <c r="D43" s="8">
        <f>Weekly_Summary!G43</f>
        <v/>
      </c>
      <c r="E43" s="8">
        <f>Weekly_Summary!I43</f>
        <v/>
      </c>
      <c r="F43" s="8">
        <f>Weekly_Summary!J43</f>
        <v/>
      </c>
      <c r="G43" s="7">
        <f>G42*(1+E43)</f>
        <v/>
      </c>
      <c r="H43" s="8">
        <f>C43/MAX($C$2:C43)-1</f>
        <v/>
      </c>
      <c r="I43" s="8">
        <f>G43/MAX($G$2:G43)-1</f>
        <v/>
      </c>
      <c r="J43">
        <f>AND(A43&gt;=DATEVALUE("2024-01-12"),A43&lt;=DATEVALUE("2026-06-26"))</f>
        <v/>
      </c>
    </row>
    <row r="44">
      <c r="A44" s="21">
        <f>Weekly_Summary!B44</f>
        <v/>
      </c>
      <c r="B44" s="7">
        <f>Weekly_Summary!D44</f>
        <v/>
      </c>
      <c r="C44" s="7">
        <f>Weekly_Summary!E44</f>
        <v/>
      </c>
      <c r="D44" s="8">
        <f>Weekly_Summary!G44</f>
        <v/>
      </c>
      <c r="E44" s="8">
        <f>Weekly_Summary!I44</f>
        <v/>
      </c>
      <c r="F44" s="8">
        <f>Weekly_Summary!J44</f>
        <v/>
      </c>
      <c r="G44" s="7">
        <f>G43*(1+E44)</f>
        <v/>
      </c>
      <c r="H44" s="8">
        <f>C44/MAX($C$2:C44)-1</f>
        <v/>
      </c>
      <c r="I44" s="8">
        <f>G44/MAX($G$2:G44)-1</f>
        <v/>
      </c>
      <c r="J44">
        <f>AND(A44&gt;=DATEVALUE("2024-01-12"),A44&lt;=DATEVALUE("2026-06-26"))</f>
        <v/>
      </c>
    </row>
    <row r="45">
      <c r="A45" s="21">
        <f>Weekly_Summary!B45</f>
        <v/>
      </c>
      <c r="B45" s="7">
        <f>Weekly_Summary!D45</f>
        <v/>
      </c>
      <c r="C45" s="7">
        <f>Weekly_Summary!E45</f>
        <v/>
      </c>
      <c r="D45" s="8">
        <f>Weekly_Summary!G45</f>
        <v/>
      </c>
      <c r="E45" s="8">
        <f>Weekly_Summary!I45</f>
        <v/>
      </c>
      <c r="F45" s="8">
        <f>Weekly_Summary!J45</f>
        <v/>
      </c>
      <c r="G45" s="7">
        <f>G44*(1+E45)</f>
        <v/>
      </c>
      <c r="H45" s="8">
        <f>C45/MAX($C$2:C45)-1</f>
        <v/>
      </c>
      <c r="I45" s="8">
        <f>G45/MAX($G$2:G45)-1</f>
        <v/>
      </c>
      <c r="J45">
        <f>AND(A45&gt;=DATEVALUE("2024-01-12"),A45&lt;=DATEVALUE("2026-06-26"))</f>
        <v/>
      </c>
    </row>
    <row r="46">
      <c r="A46" s="21">
        <f>Weekly_Summary!B46</f>
        <v/>
      </c>
      <c r="B46" s="7">
        <f>Weekly_Summary!D46</f>
        <v/>
      </c>
      <c r="C46" s="7">
        <f>Weekly_Summary!E46</f>
        <v/>
      </c>
      <c r="D46" s="8">
        <f>Weekly_Summary!G46</f>
        <v/>
      </c>
      <c r="E46" s="8">
        <f>Weekly_Summary!I46</f>
        <v/>
      </c>
      <c r="F46" s="8">
        <f>Weekly_Summary!J46</f>
        <v/>
      </c>
      <c r="G46" s="7">
        <f>G45*(1+E46)</f>
        <v/>
      </c>
      <c r="H46" s="8">
        <f>C46/MAX($C$2:C46)-1</f>
        <v/>
      </c>
      <c r="I46" s="8">
        <f>G46/MAX($G$2:G46)-1</f>
        <v/>
      </c>
      <c r="J46">
        <f>AND(A46&gt;=DATEVALUE("2024-01-12"),A46&lt;=DATEVALUE("2026-06-26"))</f>
        <v/>
      </c>
    </row>
    <row r="47">
      <c r="A47" s="21">
        <f>Weekly_Summary!B47</f>
        <v/>
      </c>
      <c r="B47" s="7">
        <f>Weekly_Summary!D47</f>
        <v/>
      </c>
      <c r="C47" s="7">
        <f>Weekly_Summary!E47</f>
        <v/>
      </c>
      <c r="D47" s="8">
        <f>Weekly_Summary!G47</f>
        <v/>
      </c>
      <c r="E47" s="8">
        <f>Weekly_Summary!I47</f>
        <v/>
      </c>
      <c r="F47" s="8">
        <f>Weekly_Summary!J47</f>
        <v/>
      </c>
      <c r="G47" s="7">
        <f>G46*(1+E47)</f>
        <v/>
      </c>
      <c r="H47" s="8">
        <f>C47/MAX($C$2:C47)-1</f>
        <v/>
      </c>
      <c r="I47" s="8">
        <f>G47/MAX($G$2:G47)-1</f>
        <v/>
      </c>
      <c r="J47">
        <f>AND(A47&gt;=DATEVALUE("2024-01-12"),A47&lt;=DATEVALUE("2026-06-26"))</f>
        <v/>
      </c>
    </row>
    <row r="48">
      <c r="A48" s="21">
        <f>Weekly_Summary!B48</f>
        <v/>
      </c>
      <c r="B48" s="7">
        <f>Weekly_Summary!D48</f>
        <v/>
      </c>
      <c r="C48" s="7">
        <f>Weekly_Summary!E48</f>
        <v/>
      </c>
      <c r="D48" s="8">
        <f>Weekly_Summary!G48</f>
        <v/>
      </c>
      <c r="E48" s="8">
        <f>Weekly_Summary!I48</f>
        <v/>
      </c>
      <c r="F48" s="8">
        <f>Weekly_Summary!J48</f>
        <v/>
      </c>
      <c r="G48" s="7">
        <f>G47*(1+E48)</f>
        <v/>
      </c>
      <c r="H48" s="8">
        <f>C48/MAX($C$2:C48)-1</f>
        <v/>
      </c>
      <c r="I48" s="8">
        <f>G48/MAX($G$2:G48)-1</f>
        <v/>
      </c>
      <c r="J48">
        <f>AND(A48&gt;=DATEVALUE("2024-01-12"),A48&lt;=DATEVALUE("2026-06-26"))</f>
        <v/>
      </c>
    </row>
    <row r="49">
      <c r="A49" s="21">
        <f>Weekly_Summary!B49</f>
        <v/>
      </c>
      <c r="B49" s="7">
        <f>Weekly_Summary!D49</f>
        <v/>
      </c>
      <c r="C49" s="7">
        <f>Weekly_Summary!E49</f>
        <v/>
      </c>
      <c r="D49" s="8">
        <f>Weekly_Summary!G49</f>
        <v/>
      </c>
      <c r="E49" s="8">
        <f>Weekly_Summary!I49</f>
        <v/>
      </c>
      <c r="F49" s="8">
        <f>Weekly_Summary!J49</f>
        <v/>
      </c>
      <c r="G49" s="7">
        <f>G48*(1+E49)</f>
        <v/>
      </c>
      <c r="H49" s="8">
        <f>C49/MAX($C$2:C49)-1</f>
        <v/>
      </c>
      <c r="I49" s="8">
        <f>G49/MAX($G$2:G49)-1</f>
        <v/>
      </c>
      <c r="J49">
        <f>AND(A49&gt;=DATEVALUE("2024-01-12"),A49&lt;=DATEVALUE("2026-06-26"))</f>
        <v/>
      </c>
    </row>
    <row r="50">
      <c r="A50" s="21">
        <f>Weekly_Summary!B50</f>
        <v/>
      </c>
      <c r="B50" s="7">
        <f>Weekly_Summary!D50</f>
        <v/>
      </c>
      <c r="C50" s="7">
        <f>Weekly_Summary!E50</f>
        <v/>
      </c>
      <c r="D50" s="8">
        <f>Weekly_Summary!G50</f>
        <v/>
      </c>
      <c r="E50" s="8">
        <f>Weekly_Summary!I50</f>
        <v/>
      </c>
      <c r="F50" s="8">
        <f>Weekly_Summary!J50</f>
        <v/>
      </c>
      <c r="G50" s="7">
        <f>G49*(1+E50)</f>
        <v/>
      </c>
      <c r="H50" s="8">
        <f>C50/MAX($C$2:C50)-1</f>
        <v/>
      </c>
      <c r="I50" s="8">
        <f>G50/MAX($G$2:G50)-1</f>
        <v/>
      </c>
      <c r="J50">
        <f>AND(A50&gt;=DATEVALUE("2024-01-12"),A50&lt;=DATEVALUE("2026-06-26"))</f>
        <v/>
      </c>
    </row>
    <row r="51">
      <c r="A51" s="21">
        <f>Weekly_Summary!B51</f>
        <v/>
      </c>
      <c r="B51" s="7">
        <f>Weekly_Summary!D51</f>
        <v/>
      </c>
      <c r="C51" s="7">
        <f>Weekly_Summary!E51</f>
        <v/>
      </c>
      <c r="D51" s="8">
        <f>Weekly_Summary!G51</f>
        <v/>
      </c>
      <c r="E51" s="8">
        <f>Weekly_Summary!I51</f>
        <v/>
      </c>
      <c r="F51" s="8">
        <f>Weekly_Summary!J51</f>
        <v/>
      </c>
      <c r="G51" s="7">
        <f>G50*(1+E51)</f>
        <v/>
      </c>
      <c r="H51" s="8">
        <f>C51/MAX($C$2:C51)-1</f>
        <v/>
      </c>
      <c r="I51" s="8">
        <f>G51/MAX($G$2:G51)-1</f>
        <v/>
      </c>
      <c r="J51">
        <f>AND(A51&gt;=DATEVALUE("2024-01-12"),A51&lt;=DATEVALUE("2026-06-26"))</f>
        <v/>
      </c>
    </row>
    <row r="52">
      <c r="A52" s="21">
        <f>Weekly_Summary!B52</f>
        <v/>
      </c>
      <c r="B52" s="7">
        <f>Weekly_Summary!D52</f>
        <v/>
      </c>
      <c r="C52" s="7">
        <f>Weekly_Summary!E52</f>
        <v/>
      </c>
      <c r="D52" s="8">
        <f>Weekly_Summary!G52</f>
        <v/>
      </c>
      <c r="E52" s="8">
        <f>Weekly_Summary!I52</f>
        <v/>
      </c>
      <c r="F52" s="8">
        <f>Weekly_Summary!J52</f>
        <v/>
      </c>
      <c r="G52" s="7">
        <f>G51*(1+E52)</f>
        <v/>
      </c>
      <c r="H52" s="8">
        <f>C52/MAX($C$2:C52)-1</f>
        <v/>
      </c>
      <c r="I52" s="8">
        <f>G52/MAX($G$2:G52)-1</f>
        <v/>
      </c>
      <c r="J52">
        <f>AND(A52&gt;=DATEVALUE("2024-01-12"),A52&lt;=DATEVALUE("2026-06-26"))</f>
        <v/>
      </c>
    </row>
    <row r="53">
      <c r="A53" s="21">
        <f>Weekly_Summary!B53</f>
        <v/>
      </c>
      <c r="B53" s="7">
        <f>Weekly_Summary!D53</f>
        <v/>
      </c>
      <c r="C53" s="7">
        <f>Weekly_Summary!E53</f>
        <v/>
      </c>
      <c r="D53" s="8">
        <f>Weekly_Summary!G53</f>
        <v/>
      </c>
      <c r="E53" s="8">
        <f>Weekly_Summary!I53</f>
        <v/>
      </c>
      <c r="F53" s="8">
        <f>Weekly_Summary!J53</f>
        <v/>
      </c>
      <c r="G53" s="7">
        <f>G52*(1+E53)</f>
        <v/>
      </c>
      <c r="H53" s="8">
        <f>C53/MAX($C$2:C53)-1</f>
        <v/>
      </c>
      <c r="I53" s="8">
        <f>G53/MAX($G$2:G53)-1</f>
        <v/>
      </c>
      <c r="J53">
        <f>AND(A53&gt;=DATEVALUE("2024-01-12"),A53&lt;=DATEVALUE("2026-06-26"))</f>
        <v/>
      </c>
    </row>
    <row r="54">
      <c r="A54" s="21">
        <f>Weekly_Summary!B54</f>
        <v/>
      </c>
      <c r="B54" s="7">
        <f>Weekly_Summary!D54</f>
        <v/>
      </c>
      <c r="C54" s="7">
        <f>Weekly_Summary!E54</f>
        <v/>
      </c>
      <c r="D54" s="8">
        <f>Weekly_Summary!G54</f>
        <v/>
      </c>
      <c r="E54" s="8">
        <f>Weekly_Summary!I54</f>
        <v/>
      </c>
      <c r="F54" s="8">
        <f>Weekly_Summary!J54</f>
        <v/>
      </c>
      <c r="G54" s="7">
        <f>G53*(1+E54)</f>
        <v/>
      </c>
      <c r="H54" s="8">
        <f>C54/MAX($C$2:C54)-1</f>
        <v/>
      </c>
      <c r="I54" s="8">
        <f>G54/MAX($G$2:G54)-1</f>
        <v/>
      </c>
      <c r="J54">
        <f>AND(A54&gt;=DATEVALUE("2024-01-12"),A54&lt;=DATEVALUE("2026-06-26"))</f>
        <v/>
      </c>
    </row>
    <row r="55">
      <c r="A55" s="21">
        <f>Weekly_Summary!B55</f>
        <v/>
      </c>
      <c r="B55" s="7">
        <f>Weekly_Summary!D55</f>
        <v/>
      </c>
      <c r="C55" s="7">
        <f>Weekly_Summary!E55</f>
        <v/>
      </c>
      <c r="D55" s="8">
        <f>Weekly_Summary!G55</f>
        <v/>
      </c>
      <c r="E55" s="8">
        <f>Weekly_Summary!I55</f>
        <v/>
      </c>
      <c r="F55" s="8">
        <f>Weekly_Summary!J55</f>
        <v/>
      </c>
      <c r="G55" s="7">
        <f>G54*(1+E55)</f>
        <v/>
      </c>
      <c r="H55" s="8">
        <f>C55/MAX($C$2:C55)-1</f>
        <v/>
      </c>
      <c r="I55" s="8">
        <f>G55/MAX($G$2:G55)-1</f>
        <v/>
      </c>
      <c r="J55">
        <f>AND(A55&gt;=DATEVALUE("2024-01-12"),A55&lt;=DATEVALUE("2026-06-26"))</f>
        <v/>
      </c>
    </row>
    <row r="56">
      <c r="A56" s="21">
        <f>Weekly_Summary!B56</f>
        <v/>
      </c>
      <c r="B56" s="7">
        <f>Weekly_Summary!D56</f>
        <v/>
      </c>
      <c r="C56" s="7">
        <f>Weekly_Summary!E56</f>
        <v/>
      </c>
      <c r="D56" s="8">
        <f>Weekly_Summary!G56</f>
        <v/>
      </c>
      <c r="E56" s="8">
        <f>Weekly_Summary!I56</f>
        <v/>
      </c>
      <c r="F56" s="8">
        <f>Weekly_Summary!J56</f>
        <v/>
      </c>
      <c r="G56" s="7">
        <f>G55*(1+E56)</f>
        <v/>
      </c>
      <c r="H56" s="8">
        <f>C56/MAX($C$2:C56)-1</f>
        <v/>
      </c>
      <c r="I56" s="8">
        <f>G56/MAX($G$2:G56)-1</f>
        <v/>
      </c>
      <c r="J56">
        <f>AND(A56&gt;=DATEVALUE("2024-01-12"),A56&lt;=DATEVALUE("2026-06-26"))</f>
        <v/>
      </c>
    </row>
    <row r="57">
      <c r="A57" s="21">
        <f>Weekly_Summary!B57</f>
        <v/>
      </c>
      <c r="B57" s="7">
        <f>Weekly_Summary!D57</f>
        <v/>
      </c>
      <c r="C57" s="7">
        <f>Weekly_Summary!E57</f>
        <v/>
      </c>
      <c r="D57" s="8">
        <f>Weekly_Summary!G57</f>
        <v/>
      </c>
      <c r="E57" s="8">
        <f>Weekly_Summary!I57</f>
        <v/>
      </c>
      <c r="F57" s="8">
        <f>Weekly_Summary!J57</f>
        <v/>
      </c>
      <c r="G57" s="7">
        <f>G56*(1+E57)</f>
        <v/>
      </c>
      <c r="H57" s="8">
        <f>C57/MAX($C$2:C57)-1</f>
        <v/>
      </c>
      <c r="I57" s="8">
        <f>G57/MAX($G$2:G57)-1</f>
        <v/>
      </c>
      <c r="J57">
        <f>AND(A57&gt;=DATEVALUE("2024-01-12"),A57&lt;=DATEVALUE("2026-06-26"))</f>
        <v/>
      </c>
    </row>
    <row r="58">
      <c r="A58" s="21">
        <f>Weekly_Summary!B58</f>
        <v/>
      </c>
      <c r="B58" s="7">
        <f>Weekly_Summary!D58</f>
        <v/>
      </c>
      <c r="C58" s="7">
        <f>Weekly_Summary!E58</f>
        <v/>
      </c>
      <c r="D58" s="8">
        <f>Weekly_Summary!G58</f>
        <v/>
      </c>
      <c r="E58" s="8">
        <f>Weekly_Summary!I58</f>
        <v/>
      </c>
      <c r="F58" s="8">
        <f>Weekly_Summary!J58</f>
        <v/>
      </c>
      <c r="G58" s="7">
        <f>G57*(1+E58)</f>
        <v/>
      </c>
      <c r="H58" s="8">
        <f>C58/MAX($C$2:C58)-1</f>
        <v/>
      </c>
      <c r="I58" s="8">
        <f>G58/MAX($G$2:G58)-1</f>
        <v/>
      </c>
      <c r="J58">
        <f>AND(A58&gt;=DATEVALUE("2024-01-12"),A58&lt;=DATEVALUE("2026-06-26"))</f>
        <v/>
      </c>
    </row>
    <row r="59">
      <c r="A59" s="21">
        <f>Weekly_Summary!B59</f>
        <v/>
      </c>
      <c r="B59" s="7">
        <f>Weekly_Summary!D59</f>
        <v/>
      </c>
      <c r="C59" s="7">
        <f>Weekly_Summary!E59</f>
        <v/>
      </c>
      <c r="D59" s="8">
        <f>Weekly_Summary!G59</f>
        <v/>
      </c>
      <c r="E59" s="8">
        <f>Weekly_Summary!I59</f>
        <v/>
      </c>
      <c r="F59" s="8">
        <f>Weekly_Summary!J59</f>
        <v/>
      </c>
      <c r="G59" s="7">
        <f>G58*(1+E59)</f>
        <v/>
      </c>
      <c r="H59" s="8">
        <f>C59/MAX($C$2:C59)-1</f>
        <v/>
      </c>
      <c r="I59" s="8">
        <f>G59/MAX($G$2:G59)-1</f>
        <v/>
      </c>
      <c r="J59">
        <f>AND(A59&gt;=DATEVALUE("2024-01-12"),A59&lt;=DATEVALUE("2026-06-26"))</f>
        <v/>
      </c>
    </row>
    <row r="60">
      <c r="A60" s="21">
        <f>Weekly_Summary!B60</f>
        <v/>
      </c>
      <c r="B60" s="7">
        <f>Weekly_Summary!D60</f>
        <v/>
      </c>
      <c r="C60" s="7">
        <f>Weekly_Summary!E60</f>
        <v/>
      </c>
      <c r="D60" s="8">
        <f>Weekly_Summary!G60</f>
        <v/>
      </c>
      <c r="E60" s="8">
        <f>Weekly_Summary!I60</f>
        <v/>
      </c>
      <c r="F60" s="8">
        <f>Weekly_Summary!J60</f>
        <v/>
      </c>
      <c r="G60" s="7">
        <f>G59*(1+E60)</f>
        <v/>
      </c>
      <c r="H60" s="8">
        <f>C60/MAX($C$2:C60)-1</f>
        <v/>
      </c>
      <c r="I60" s="8">
        <f>G60/MAX($G$2:G60)-1</f>
        <v/>
      </c>
      <c r="J60">
        <f>AND(A60&gt;=DATEVALUE("2024-01-12"),A60&lt;=DATEVALUE("2026-06-26"))</f>
        <v/>
      </c>
    </row>
    <row r="61">
      <c r="A61" s="21">
        <f>Weekly_Summary!B61</f>
        <v/>
      </c>
      <c r="B61" s="7">
        <f>Weekly_Summary!D61</f>
        <v/>
      </c>
      <c r="C61" s="7">
        <f>Weekly_Summary!E61</f>
        <v/>
      </c>
      <c r="D61" s="8">
        <f>Weekly_Summary!G61</f>
        <v/>
      </c>
      <c r="E61" s="8">
        <f>Weekly_Summary!I61</f>
        <v/>
      </c>
      <c r="F61" s="8">
        <f>Weekly_Summary!J61</f>
        <v/>
      </c>
      <c r="G61" s="7">
        <f>G60*(1+E61)</f>
        <v/>
      </c>
      <c r="H61" s="8">
        <f>C61/MAX($C$2:C61)-1</f>
        <v/>
      </c>
      <c r="I61" s="8">
        <f>G61/MAX($G$2:G61)-1</f>
        <v/>
      </c>
      <c r="J61">
        <f>AND(A61&gt;=DATEVALUE("2024-01-12"),A61&lt;=DATEVALUE("2026-06-26"))</f>
        <v/>
      </c>
    </row>
    <row r="62">
      <c r="A62" s="21">
        <f>Weekly_Summary!B62</f>
        <v/>
      </c>
      <c r="B62" s="7">
        <f>Weekly_Summary!D62</f>
        <v/>
      </c>
      <c r="C62" s="7">
        <f>Weekly_Summary!E62</f>
        <v/>
      </c>
      <c r="D62" s="8">
        <f>Weekly_Summary!G62</f>
        <v/>
      </c>
      <c r="E62" s="8">
        <f>Weekly_Summary!I62</f>
        <v/>
      </c>
      <c r="F62" s="8">
        <f>Weekly_Summary!J62</f>
        <v/>
      </c>
      <c r="G62" s="7">
        <f>G61*(1+E62)</f>
        <v/>
      </c>
      <c r="H62" s="8">
        <f>C62/MAX($C$2:C62)-1</f>
        <v/>
      </c>
      <c r="I62" s="8">
        <f>G62/MAX($G$2:G62)-1</f>
        <v/>
      </c>
      <c r="J62">
        <f>AND(A62&gt;=DATEVALUE("2024-01-12"),A62&lt;=DATEVALUE("2026-06-26"))</f>
        <v/>
      </c>
    </row>
    <row r="63">
      <c r="A63" s="21">
        <f>Weekly_Summary!B63</f>
        <v/>
      </c>
      <c r="B63" s="7">
        <f>Weekly_Summary!D63</f>
        <v/>
      </c>
      <c r="C63" s="7">
        <f>Weekly_Summary!E63</f>
        <v/>
      </c>
      <c r="D63" s="8">
        <f>Weekly_Summary!G63</f>
        <v/>
      </c>
      <c r="E63" s="8">
        <f>Weekly_Summary!I63</f>
        <v/>
      </c>
      <c r="F63" s="8">
        <f>Weekly_Summary!J63</f>
        <v/>
      </c>
      <c r="G63" s="7">
        <f>G62*(1+E63)</f>
        <v/>
      </c>
      <c r="H63" s="8">
        <f>C63/MAX($C$2:C63)-1</f>
        <v/>
      </c>
      <c r="I63" s="8">
        <f>G63/MAX($G$2:G63)-1</f>
        <v/>
      </c>
      <c r="J63">
        <f>AND(A63&gt;=DATEVALUE("2024-01-12"),A63&lt;=DATEVALUE("2026-06-26"))</f>
        <v/>
      </c>
    </row>
    <row r="64">
      <c r="A64" s="21">
        <f>Weekly_Summary!B64</f>
        <v/>
      </c>
      <c r="B64" s="7">
        <f>Weekly_Summary!D64</f>
        <v/>
      </c>
      <c r="C64" s="7">
        <f>Weekly_Summary!E64</f>
        <v/>
      </c>
      <c r="D64" s="8">
        <f>Weekly_Summary!G64</f>
        <v/>
      </c>
      <c r="E64" s="8">
        <f>Weekly_Summary!I64</f>
        <v/>
      </c>
      <c r="F64" s="8">
        <f>Weekly_Summary!J64</f>
        <v/>
      </c>
      <c r="G64" s="7">
        <f>G63*(1+E64)</f>
        <v/>
      </c>
      <c r="H64" s="8">
        <f>C64/MAX($C$2:C64)-1</f>
        <v/>
      </c>
      <c r="I64" s="8">
        <f>G64/MAX($G$2:G64)-1</f>
        <v/>
      </c>
      <c r="J64">
        <f>AND(A64&gt;=DATEVALUE("2024-01-12"),A64&lt;=DATEVALUE("2026-06-26"))</f>
        <v/>
      </c>
    </row>
    <row r="65">
      <c r="A65" s="21">
        <f>Weekly_Summary!B65</f>
        <v/>
      </c>
      <c r="B65" s="7">
        <f>Weekly_Summary!D65</f>
        <v/>
      </c>
      <c r="C65" s="7">
        <f>Weekly_Summary!E65</f>
        <v/>
      </c>
      <c r="D65" s="8">
        <f>Weekly_Summary!G65</f>
        <v/>
      </c>
      <c r="E65" s="8">
        <f>Weekly_Summary!I65</f>
        <v/>
      </c>
      <c r="F65" s="8">
        <f>Weekly_Summary!J65</f>
        <v/>
      </c>
      <c r="G65" s="7">
        <f>G64*(1+E65)</f>
        <v/>
      </c>
      <c r="H65" s="8">
        <f>C65/MAX($C$2:C65)-1</f>
        <v/>
      </c>
      <c r="I65" s="8">
        <f>G65/MAX($G$2:G65)-1</f>
        <v/>
      </c>
      <c r="J65">
        <f>AND(A65&gt;=DATEVALUE("2024-01-12"),A65&lt;=DATEVALUE("2026-06-26"))</f>
        <v/>
      </c>
    </row>
    <row r="66">
      <c r="A66" s="21">
        <f>Weekly_Summary!B66</f>
        <v/>
      </c>
      <c r="B66" s="7">
        <f>Weekly_Summary!D66</f>
        <v/>
      </c>
      <c r="C66" s="7">
        <f>Weekly_Summary!E66</f>
        <v/>
      </c>
      <c r="D66" s="8">
        <f>Weekly_Summary!G66</f>
        <v/>
      </c>
      <c r="E66" s="8">
        <f>Weekly_Summary!I66</f>
        <v/>
      </c>
      <c r="F66" s="8">
        <f>Weekly_Summary!J66</f>
        <v/>
      </c>
      <c r="G66" s="7">
        <f>G65*(1+E66)</f>
        <v/>
      </c>
      <c r="H66" s="8">
        <f>C66/MAX($C$2:C66)-1</f>
        <v/>
      </c>
      <c r="I66" s="8">
        <f>G66/MAX($G$2:G66)-1</f>
        <v/>
      </c>
      <c r="J66">
        <f>AND(A66&gt;=DATEVALUE("2024-01-12"),A66&lt;=DATEVALUE("2026-06-26"))</f>
        <v/>
      </c>
    </row>
    <row r="67">
      <c r="A67" s="21">
        <f>Weekly_Summary!B67</f>
        <v/>
      </c>
      <c r="B67" s="7">
        <f>Weekly_Summary!D67</f>
        <v/>
      </c>
      <c r="C67" s="7">
        <f>Weekly_Summary!E67</f>
        <v/>
      </c>
      <c r="D67" s="8">
        <f>Weekly_Summary!G67</f>
        <v/>
      </c>
      <c r="E67" s="8">
        <f>Weekly_Summary!I67</f>
        <v/>
      </c>
      <c r="F67" s="8">
        <f>Weekly_Summary!J67</f>
        <v/>
      </c>
      <c r="G67" s="7">
        <f>G66*(1+E67)</f>
        <v/>
      </c>
      <c r="H67" s="8">
        <f>C67/MAX($C$2:C67)-1</f>
        <v/>
      </c>
      <c r="I67" s="8">
        <f>G67/MAX($G$2:G67)-1</f>
        <v/>
      </c>
      <c r="J67">
        <f>AND(A67&gt;=DATEVALUE("2024-01-12"),A67&lt;=DATEVALUE("2026-06-26"))</f>
        <v/>
      </c>
    </row>
    <row r="68">
      <c r="A68" s="21">
        <f>Weekly_Summary!B68</f>
        <v/>
      </c>
      <c r="B68" s="7">
        <f>Weekly_Summary!D68</f>
        <v/>
      </c>
      <c r="C68" s="7">
        <f>Weekly_Summary!E68</f>
        <v/>
      </c>
      <c r="D68" s="8">
        <f>Weekly_Summary!G68</f>
        <v/>
      </c>
      <c r="E68" s="8">
        <f>Weekly_Summary!I68</f>
        <v/>
      </c>
      <c r="F68" s="8">
        <f>Weekly_Summary!J68</f>
        <v/>
      </c>
      <c r="G68" s="7">
        <f>G67*(1+E68)</f>
        <v/>
      </c>
      <c r="H68" s="8">
        <f>C68/MAX($C$2:C68)-1</f>
        <v/>
      </c>
      <c r="I68" s="8">
        <f>G68/MAX($G$2:G68)-1</f>
        <v/>
      </c>
      <c r="J68">
        <f>AND(A68&gt;=DATEVALUE("2024-01-12"),A68&lt;=DATEVALUE("2026-06-26"))</f>
        <v/>
      </c>
    </row>
    <row r="69">
      <c r="A69" s="21">
        <f>Weekly_Summary!B69</f>
        <v/>
      </c>
      <c r="B69" s="7">
        <f>Weekly_Summary!D69</f>
        <v/>
      </c>
      <c r="C69" s="7">
        <f>Weekly_Summary!E69</f>
        <v/>
      </c>
      <c r="D69" s="8">
        <f>Weekly_Summary!G69</f>
        <v/>
      </c>
      <c r="E69" s="8">
        <f>Weekly_Summary!I69</f>
        <v/>
      </c>
      <c r="F69" s="8">
        <f>Weekly_Summary!J69</f>
        <v/>
      </c>
      <c r="G69" s="7">
        <f>G68*(1+E69)</f>
        <v/>
      </c>
      <c r="H69" s="8">
        <f>C69/MAX($C$2:C69)-1</f>
        <v/>
      </c>
      <c r="I69" s="8">
        <f>G69/MAX($G$2:G69)-1</f>
        <v/>
      </c>
      <c r="J69">
        <f>AND(A69&gt;=DATEVALUE("2024-01-12"),A69&lt;=DATEVALUE("2026-06-26"))</f>
        <v/>
      </c>
    </row>
    <row r="70">
      <c r="A70" s="21">
        <f>Weekly_Summary!B70</f>
        <v/>
      </c>
      <c r="B70" s="7">
        <f>Weekly_Summary!D70</f>
        <v/>
      </c>
      <c r="C70" s="7">
        <f>Weekly_Summary!E70</f>
        <v/>
      </c>
      <c r="D70" s="8">
        <f>Weekly_Summary!G70</f>
        <v/>
      </c>
      <c r="E70" s="8">
        <f>Weekly_Summary!I70</f>
        <v/>
      </c>
      <c r="F70" s="8">
        <f>Weekly_Summary!J70</f>
        <v/>
      </c>
      <c r="G70" s="7">
        <f>G69*(1+E70)</f>
        <v/>
      </c>
      <c r="H70" s="8">
        <f>C70/MAX($C$2:C70)-1</f>
        <v/>
      </c>
      <c r="I70" s="8">
        <f>G70/MAX($G$2:G70)-1</f>
        <v/>
      </c>
      <c r="J70">
        <f>AND(A70&gt;=DATEVALUE("2024-01-12"),A70&lt;=DATEVALUE("2026-06-26"))</f>
        <v/>
      </c>
    </row>
    <row r="71">
      <c r="A71" s="21">
        <f>Weekly_Summary!B71</f>
        <v/>
      </c>
      <c r="B71" s="7">
        <f>Weekly_Summary!D71</f>
        <v/>
      </c>
      <c r="C71" s="7">
        <f>Weekly_Summary!E71</f>
        <v/>
      </c>
      <c r="D71" s="8">
        <f>Weekly_Summary!G71</f>
        <v/>
      </c>
      <c r="E71" s="8">
        <f>Weekly_Summary!I71</f>
        <v/>
      </c>
      <c r="F71" s="8">
        <f>Weekly_Summary!J71</f>
        <v/>
      </c>
      <c r="G71" s="7">
        <f>G70*(1+E71)</f>
        <v/>
      </c>
      <c r="H71" s="8">
        <f>C71/MAX($C$2:C71)-1</f>
        <v/>
      </c>
      <c r="I71" s="8">
        <f>G71/MAX($G$2:G71)-1</f>
        <v/>
      </c>
      <c r="J71">
        <f>AND(A71&gt;=DATEVALUE("2024-01-12"),A71&lt;=DATEVALUE("2026-06-26"))</f>
        <v/>
      </c>
    </row>
    <row r="72">
      <c r="A72" s="21">
        <f>Weekly_Summary!B72</f>
        <v/>
      </c>
      <c r="B72" s="7">
        <f>Weekly_Summary!D72</f>
        <v/>
      </c>
      <c r="C72" s="7">
        <f>Weekly_Summary!E72</f>
        <v/>
      </c>
      <c r="D72" s="8">
        <f>Weekly_Summary!G72</f>
        <v/>
      </c>
      <c r="E72" s="8">
        <f>Weekly_Summary!I72</f>
        <v/>
      </c>
      <c r="F72" s="8">
        <f>Weekly_Summary!J72</f>
        <v/>
      </c>
      <c r="G72" s="7">
        <f>G71*(1+E72)</f>
        <v/>
      </c>
      <c r="H72" s="8">
        <f>C72/MAX($C$2:C72)-1</f>
        <v/>
      </c>
      <c r="I72" s="8">
        <f>G72/MAX($G$2:G72)-1</f>
        <v/>
      </c>
      <c r="J72">
        <f>AND(A72&gt;=DATEVALUE("2024-01-12"),A72&lt;=DATEVALUE("2026-06-26"))</f>
        <v/>
      </c>
    </row>
    <row r="73">
      <c r="A73" s="21">
        <f>Weekly_Summary!B73</f>
        <v/>
      </c>
      <c r="B73" s="7">
        <f>Weekly_Summary!D73</f>
        <v/>
      </c>
      <c r="C73" s="7">
        <f>Weekly_Summary!E73</f>
        <v/>
      </c>
      <c r="D73" s="8">
        <f>Weekly_Summary!G73</f>
        <v/>
      </c>
      <c r="E73" s="8">
        <f>Weekly_Summary!I73</f>
        <v/>
      </c>
      <c r="F73" s="8">
        <f>Weekly_Summary!J73</f>
        <v/>
      </c>
      <c r="G73" s="7">
        <f>G72*(1+E73)</f>
        <v/>
      </c>
      <c r="H73" s="8">
        <f>C73/MAX($C$2:C73)-1</f>
        <v/>
      </c>
      <c r="I73" s="8">
        <f>G73/MAX($G$2:G73)-1</f>
        <v/>
      </c>
      <c r="J73">
        <f>AND(A73&gt;=DATEVALUE("2024-01-12"),A73&lt;=DATEVALUE("2026-06-26"))</f>
        <v/>
      </c>
    </row>
    <row r="74">
      <c r="A74" s="21">
        <f>Weekly_Summary!B74</f>
        <v/>
      </c>
      <c r="B74" s="7">
        <f>Weekly_Summary!D74</f>
        <v/>
      </c>
      <c r="C74" s="7">
        <f>Weekly_Summary!E74</f>
        <v/>
      </c>
      <c r="D74" s="8">
        <f>Weekly_Summary!G74</f>
        <v/>
      </c>
      <c r="E74" s="8">
        <f>Weekly_Summary!I74</f>
        <v/>
      </c>
      <c r="F74" s="8">
        <f>Weekly_Summary!J74</f>
        <v/>
      </c>
      <c r="G74" s="7">
        <f>G73*(1+E74)</f>
        <v/>
      </c>
      <c r="H74" s="8">
        <f>C74/MAX($C$2:C74)-1</f>
        <v/>
      </c>
      <c r="I74" s="8">
        <f>G74/MAX($G$2:G74)-1</f>
        <v/>
      </c>
      <c r="J74">
        <f>AND(A74&gt;=DATEVALUE("2024-01-12"),A74&lt;=DATEVALUE("2026-06-26"))</f>
        <v/>
      </c>
    </row>
    <row r="75">
      <c r="A75" s="21">
        <f>Weekly_Summary!B75</f>
        <v/>
      </c>
      <c r="B75" s="7">
        <f>Weekly_Summary!D75</f>
        <v/>
      </c>
      <c r="C75" s="7">
        <f>Weekly_Summary!E75</f>
        <v/>
      </c>
      <c r="D75" s="8">
        <f>Weekly_Summary!G75</f>
        <v/>
      </c>
      <c r="E75" s="8">
        <f>Weekly_Summary!I75</f>
        <v/>
      </c>
      <c r="F75" s="8">
        <f>Weekly_Summary!J75</f>
        <v/>
      </c>
      <c r="G75" s="7">
        <f>G74*(1+E75)</f>
        <v/>
      </c>
      <c r="H75" s="8">
        <f>C75/MAX($C$2:C75)-1</f>
        <v/>
      </c>
      <c r="I75" s="8">
        <f>G75/MAX($G$2:G75)-1</f>
        <v/>
      </c>
      <c r="J75">
        <f>AND(A75&gt;=DATEVALUE("2024-01-12"),A75&lt;=DATEVALUE("2026-06-26"))</f>
        <v/>
      </c>
    </row>
    <row r="76">
      <c r="A76" s="21">
        <f>Weekly_Summary!B76</f>
        <v/>
      </c>
      <c r="B76" s="7">
        <f>Weekly_Summary!D76</f>
        <v/>
      </c>
      <c r="C76" s="7">
        <f>Weekly_Summary!E76</f>
        <v/>
      </c>
      <c r="D76" s="8">
        <f>Weekly_Summary!G76</f>
        <v/>
      </c>
      <c r="E76" s="8">
        <f>Weekly_Summary!I76</f>
        <v/>
      </c>
      <c r="F76" s="8">
        <f>Weekly_Summary!J76</f>
        <v/>
      </c>
      <c r="G76" s="7">
        <f>G75*(1+E76)</f>
        <v/>
      </c>
      <c r="H76" s="8">
        <f>C76/MAX($C$2:C76)-1</f>
        <v/>
      </c>
      <c r="I76" s="8">
        <f>G76/MAX($G$2:G76)-1</f>
        <v/>
      </c>
      <c r="J76">
        <f>AND(A76&gt;=DATEVALUE("2024-01-12"),A76&lt;=DATEVALUE("2026-06-26"))</f>
        <v/>
      </c>
    </row>
    <row r="77">
      <c r="A77" s="21">
        <f>Weekly_Summary!B77</f>
        <v/>
      </c>
      <c r="B77" s="7">
        <f>Weekly_Summary!D77</f>
        <v/>
      </c>
      <c r="C77" s="7">
        <f>Weekly_Summary!E77</f>
        <v/>
      </c>
      <c r="D77" s="8">
        <f>Weekly_Summary!G77</f>
        <v/>
      </c>
      <c r="E77" s="8">
        <f>Weekly_Summary!I77</f>
        <v/>
      </c>
      <c r="F77" s="8">
        <f>Weekly_Summary!J77</f>
        <v/>
      </c>
      <c r="G77" s="7">
        <f>G76*(1+E77)</f>
        <v/>
      </c>
      <c r="H77" s="8">
        <f>C77/MAX($C$2:C77)-1</f>
        <v/>
      </c>
      <c r="I77" s="8">
        <f>G77/MAX($G$2:G77)-1</f>
        <v/>
      </c>
      <c r="J77">
        <f>AND(A77&gt;=DATEVALUE("2024-01-12"),A77&lt;=DATEVALUE("2026-06-26"))</f>
        <v/>
      </c>
    </row>
    <row r="78">
      <c r="A78" s="21">
        <f>Weekly_Summary!B78</f>
        <v/>
      </c>
      <c r="B78" s="7">
        <f>Weekly_Summary!D78</f>
        <v/>
      </c>
      <c r="C78" s="7">
        <f>Weekly_Summary!E78</f>
        <v/>
      </c>
      <c r="D78" s="8">
        <f>Weekly_Summary!G78</f>
        <v/>
      </c>
      <c r="E78" s="8">
        <f>Weekly_Summary!I78</f>
        <v/>
      </c>
      <c r="F78" s="8">
        <f>Weekly_Summary!J78</f>
        <v/>
      </c>
      <c r="G78" s="7">
        <f>G77*(1+E78)</f>
        <v/>
      </c>
      <c r="H78" s="8">
        <f>C78/MAX($C$2:C78)-1</f>
        <v/>
      </c>
      <c r="I78" s="8">
        <f>G78/MAX($G$2:G78)-1</f>
        <v/>
      </c>
      <c r="J78">
        <f>AND(A78&gt;=DATEVALUE("2024-01-12"),A78&lt;=DATEVALUE("2026-06-26"))</f>
        <v/>
      </c>
    </row>
    <row r="79">
      <c r="A79" s="21">
        <f>Weekly_Summary!B79</f>
        <v/>
      </c>
      <c r="B79" s="7">
        <f>Weekly_Summary!D79</f>
        <v/>
      </c>
      <c r="C79" s="7">
        <f>Weekly_Summary!E79</f>
        <v/>
      </c>
      <c r="D79" s="8">
        <f>Weekly_Summary!G79</f>
        <v/>
      </c>
      <c r="E79" s="8">
        <f>Weekly_Summary!I79</f>
        <v/>
      </c>
      <c r="F79" s="8">
        <f>Weekly_Summary!J79</f>
        <v/>
      </c>
      <c r="G79" s="7">
        <f>G78*(1+E79)</f>
        <v/>
      </c>
      <c r="H79" s="8">
        <f>C79/MAX($C$2:C79)-1</f>
        <v/>
      </c>
      <c r="I79" s="8">
        <f>G79/MAX($G$2:G79)-1</f>
        <v/>
      </c>
      <c r="J79">
        <f>AND(A79&gt;=DATEVALUE("2024-01-12"),A79&lt;=DATEVALUE("2026-06-26"))</f>
        <v/>
      </c>
    </row>
    <row r="80">
      <c r="A80" s="21">
        <f>Weekly_Summary!B80</f>
        <v/>
      </c>
      <c r="B80" s="7">
        <f>Weekly_Summary!D80</f>
        <v/>
      </c>
      <c r="C80" s="7">
        <f>Weekly_Summary!E80</f>
        <v/>
      </c>
      <c r="D80" s="8">
        <f>Weekly_Summary!G80</f>
        <v/>
      </c>
      <c r="E80" s="8">
        <f>Weekly_Summary!I80</f>
        <v/>
      </c>
      <c r="F80" s="8">
        <f>Weekly_Summary!J80</f>
        <v/>
      </c>
      <c r="G80" s="7">
        <f>G79*(1+E80)</f>
        <v/>
      </c>
      <c r="H80" s="8">
        <f>C80/MAX($C$2:C80)-1</f>
        <v/>
      </c>
      <c r="I80" s="8">
        <f>G80/MAX($G$2:G80)-1</f>
        <v/>
      </c>
      <c r="J80">
        <f>AND(A80&gt;=DATEVALUE("2024-01-12"),A80&lt;=DATEVALUE("2026-06-26"))</f>
        <v/>
      </c>
    </row>
    <row r="81">
      <c r="A81" s="21">
        <f>Weekly_Summary!B81</f>
        <v/>
      </c>
      <c r="B81" s="7">
        <f>Weekly_Summary!D81</f>
        <v/>
      </c>
      <c r="C81" s="7">
        <f>Weekly_Summary!E81</f>
        <v/>
      </c>
      <c r="D81" s="8">
        <f>Weekly_Summary!G81</f>
        <v/>
      </c>
      <c r="E81" s="8">
        <f>Weekly_Summary!I81</f>
        <v/>
      </c>
      <c r="F81" s="8">
        <f>Weekly_Summary!J81</f>
        <v/>
      </c>
      <c r="G81" s="7">
        <f>G80*(1+E81)</f>
        <v/>
      </c>
      <c r="H81" s="8">
        <f>C81/MAX($C$2:C81)-1</f>
        <v/>
      </c>
      <c r="I81" s="8">
        <f>G81/MAX($G$2:G81)-1</f>
        <v/>
      </c>
      <c r="J81">
        <f>AND(A81&gt;=DATEVALUE("2024-01-12"),A81&lt;=DATEVALUE("2026-06-26"))</f>
        <v/>
      </c>
    </row>
    <row r="82">
      <c r="A82" s="21">
        <f>Weekly_Summary!B82</f>
        <v/>
      </c>
      <c r="B82" s="7">
        <f>Weekly_Summary!D82</f>
        <v/>
      </c>
      <c r="C82" s="7">
        <f>Weekly_Summary!E82</f>
        <v/>
      </c>
      <c r="D82" s="8">
        <f>Weekly_Summary!G82</f>
        <v/>
      </c>
      <c r="E82" s="8">
        <f>Weekly_Summary!I82</f>
        <v/>
      </c>
      <c r="F82" s="8">
        <f>Weekly_Summary!J82</f>
        <v/>
      </c>
      <c r="G82" s="7">
        <f>G81*(1+E82)</f>
        <v/>
      </c>
      <c r="H82" s="8">
        <f>C82/MAX($C$2:C82)-1</f>
        <v/>
      </c>
      <c r="I82" s="8">
        <f>G82/MAX($G$2:G82)-1</f>
        <v/>
      </c>
      <c r="J82">
        <f>AND(A82&gt;=DATEVALUE("2024-01-12"),A82&lt;=DATEVALUE("2026-06-26"))</f>
        <v/>
      </c>
    </row>
    <row r="83">
      <c r="A83" s="21">
        <f>Weekly_Summary!B83</f>
        <v/>
      </c>
      <c r="B83" s="7">
        <f>Weekly_Summary!D83</f>
        <v/>
      </c>
      <c r="C83" s="7">
        <f>Weekly_Summary!E83</f>
        <v/>
      </c>
      <c r="D83" s="8">
        <f>Weekly_Summary!G83</f>
        <v/>
      </c>
      <c r="E83" s="8">
        <f>Weekly_Summary!I83</f>
        <v/>
      </c>
      <c r="F83" s="8">
        <f>Weekly_Summary!J83</f>
        <v/>
      </c>
      <c r="G83" s="7">
        <f>G82*(1+E83)</f>
        <v/>
      </c>
      <c r="H83" s="8">
        <f>C83/MAX($C$2:C83)-1</f>
        <v/>
      </c>
      <c r="I83" s="8">
        <f>G83/MAX($G$2:G83)-1</f>
        <v/>
      </c>
      <c r="J83">
        <f>AND(A83&gt;=DATEVALUE("2024-01-12"),A83&lt;=DATEVALUE("2026-06-26"))</f>
        <v/>
      </c>
    </row>
    <row r="84">
      <c r="A84" s="21">
        <f>Weekly_Summary!B84</f>
        <v/>
      </c>
      <c r="B84" s="7">
        <f>Weekly_Summary!D84</f>
        <v/>
      </c>
      <c r="C84" s="7">
        <f>Weekly_Summary!E84</f>
        <v/>
      </c>
      <c r="D84" s="8">
        <f>Weekly_Summary!G84</f>
        <v/>
      </c>
      <c r="E84" s="8">
        <f>Weekly_Summary!I84</f>
        <v/>
      </c>
      <c r="F84" s="8">
        <f>Weekly_Summary!J84</f>
        <v/>
      </c>
      <c r="G84" s="7">
        <f>G83*(1+E84)</f>
        <v/>
      </c>
      <c r="H84" s="8">
        <f>C84/MAX($C$2:C84)-1</f>
        <v/>
      </c>
      <c r="I84" s="8">
        <f>G84/MAX($G$2:G84)-1</f>
        <v/>
      </c>
      <c r="J84">
        <f>AND(A84&gt;=DATEVALUE("2024-01-12"),A84&lt;=DATEVALUE("2026-06-26"))</f>
        <v/>
      </c>
    </row>
    <row r="85">
      <c r="A85" s="21">
        <f>Weekly_Summary!B85</f>
        <v/>
      </c>
      <c r="B85" s="7">
        <f>Weekly_Summary!D85</f>
        <v/>
      </c>
      <c r="C85" s="7">
        <f>Weekly_Summary!E85</f>
        <v/>
      </c>
      <c r="D85" s="8">
        <f>Weekly_Summary!G85</f>
        <v/>
      </c>
      <c r="E85" s="8">
        <f>Weekly_Summary!I85</f>
        <v/>
      </c>
      <c r="F85" s="8">
        <f>Weekly_Summary!J85</f>
        <v/>
      </c>
      <c r="G85" s="7">
        <f>G84*(1+E85)</f>
        <v/>
      </c>
      <c r="H85" s="8">
        <f>C85/MAX($C$2:C85)-1</f>
        <v/>
      </c>
      <c r="I85" s="8">
        <f>G85/MAX($G$2:G85)-1</f>
        <v/>
      </c>
      <c r="J85">
        <f>AND(A85&gt;=DATEVALUE("2024-01-12"),A85&lt;=DATEVALUE("2026-06-26"))</f>
        <v/>
      </c>
    </row>
    <row r="86">
      <c r="A86" s="21">
        <f>Weekly_Summary!B86</f>
        <v/>
      </c>
      <c r="B86" s="7">
        <f>Weekly_Summary!D86</f>
        <v/>
      </c>
      <c r="C86" s="7">
        <f>Weekly_Summary!E86</f>
        <v/>
      </c>
      <c r="D86" s="8">
        <f>Weekly_Summary!G86</f>
        <v/>
      </c>
      <c r="E86" s="8">
        <f>Weekly_Summary!I86</f>
        <v/>
      </c>
      <c r="F86" s="8">
        <f>Weekly_Summary!J86</f>
        <v/>
      </c>
      <c r="G86" s="7">
        <f>G85*(1+E86)</f>
        <v/>
      </c>
      <c r="H86" s="8">
        <f>C86/MAX($C$2:C86)-1</f>
        <v/>
      </c>
      <c r="I86" s="8">
        <f>G86/MAX($G$2:G86)-1</f>
        <v/>
      </c>
      <c r="J86">
        <f>AND(A86&gt;=DATEVALUE("2024-01-12"),A86&lt;=DATEVALUE("2026-06-26"))</f>
        <v/>
      </c>
    </row>
    <row r="87">
      <c r="A87" s="21">
        <f>Weekly_Summary!B87</f>
        <v/>
      </c>
      <c r="B87" s="7">
        <f>Weekly_Summary!D87</f>
        <v/>
      </c>
      <c r="C87" s="7">
        <f>Weekly_Summary!E87</f>
        <v/>
      </c>
      <c r="D87" s="8">
        <f>Weekly_Summary!G87</f>
        <v/>
      </c>
      <c r="E87" s="8">
        <f>Weekly_Summary!I87</f>
        <v/>
      </c>
      <c r="F87" s="8">
        <f>Weekly_Summary!J87</f>
        <v/>
      </c>
      <c r="G87" s="7">
        <f>G86*(1+E87)</f>
        <v/>
      </c>
      <c r="H87" s="8">
        <f>C87/MAX($C$2:C87)-1</f>
        <v/>
      </c>
      <c r="I87" s="8">
        <f>G87/MAX($G$2:G87)-1</f>
        <v/>
      </c>
      <c r="J87">
        <f>AND(A87&gt;=DATEVALUE("2024-01-12"),A87&lt;=DATEVALUE("2026-06-26"))</f>
        <v/>
      </c>
    </row>
    <row r="88">
      <c r="A88" s="21">
        <f>Weekly_Summary!B88</f>
        <v/>
      </c>
      <c r="B88" s="7">
        <f>Weekly_Summary!D88</f>
        <v/>
      </c>
      <c r="C88" s="7">
        <f>Weekly_Summary!E88</f>
        <v/>
      </c>
      <c r="D88" s="8">
        <f>Weekly_Summary!G88</f>
        <v/>
      </c>
      <c r="E88" s="8">
        <f>Weekly_Summary!I88</f>
        <v/>
      </c>
      <c r="F88" s="8">
        <f>Weekly_Summary!J88</f>
        <v/>
      </c>
      <c r="G88" s="7">
        <f>G87*(1+E88)</f>
        <v/>
      </c>
      <c r="H88" s="8">
        <f>C88/MAX($C$2:C88)-1</f>
        <v/>
      </c>
      <c r="I88" s="8">
        <f>G88/MAX($G$2:G88)-1</f>
        <v/>
      </c>
      <c r="J88">
        <f>AND(A88&gt;=DATEVALUE("2024-01-12"),A88&lt;=DATEVALUE("2026-06-26"))</f>
        <v/>
      </c>
    </row>
    <row r="89">
      <c r="A89" s="21">
        <f>Weekly_Summary!B89</f>
        <v/>
      </c>
      <c r="B89" s="7">
        <f>Weekly_Summary!D89</f>
        <v/>
      </c>
      <c r="C89" s="7">
        <f>Weekly_Summary!E89</f>
        <v/>
      </c>
      <c r="D89" s="8">
        <f>Weekly_Summary!G89</f>
        <v/>
      </c>
      <c r="E89" s="8">
        <f>Weekly_Summary!I89</f>
        <v/>
      </c>
      <c r="F89" s="8">
        <f>Weekly_Summary!J89</f>
        <v/>
      </c>
      <c r="G89" s="7">
        <f>G88*(1+E89)</f>
        <v/>
      </c>
      <c r="H89" s="8">
        <f>C89/MAX($C$2:C89)-1</f>
        <v/>
      </c>
      <c r="I89" s="8">
        <f>G89/MAX($G$2:G89)-1</f>
        <v/>
      </c>
      <c r="J89">
        <f>AND(A89&gt;=DATEVALUE("2024-01-12"),A89&lt;=DATEVALUE("2026-06-26"))</f>
        <v/>
      </c>
    </row>
    <row r="90">
      <c r="A90" s="21">
        <f>Weekly_Summary!B90</f>
        <v/>
      </c>
      <c r="B90" s="7">
        <f>Weekly_Summary!D90</f>
        <v/>
      </c>
      <c r="C90" s="7">
        <f>Weekly_Summary!E90</f>
        <v/>
      </c>
      <c r="D90" s="8">
        <f>Weekly_Summary!G90</f>
        <v/>
      </c>
      <c r="E90" s="8">
        <f>Weekly_Summary!I90</f>
        <v/>
      </c>
      <c r="F90" s="8">
        <f>Weekly_Summary!J90</f>
        <v/>
      </c>
      <c r="G90" s="7">
        <f>G89*(1+E90)</f>
        <v/>
      </c>
      <c r="H90" s="8">
        <f>C90/MAX($C$2:C90)-1</f>
        <v/>
      </c>
      <c r="I90" s="8">
        <f>G90/MAX($G$2:G90)-1</f>
        <v/>
      </c>
      <c r="J90">
        <f>AND(A90&gt;=DATEVALUE("2024-01-12"),A90&lt;=DATEVALUE("2026-06-26"))</f>
        <v/>
      </c>
    </row>
    <row r="91">
      <c r="A91" s="21">
        <f>Weekly_Summary!B91</f>
        <v/>
      </c>
      <c r="B91" s="7">
        <f>Weekly_Summary!D91</f>
        <v/>
      </c>
      <c r="C91" s="7">
        <f>Weekly_Summary!E91</f>
        <v/>
      </c>
      <c r="D91" s="8">
        <f>Weekly_Summary!G91</f>
        <v/>
      </c>
      <c r="E91" s="8">
        <f>Weekly_Summary!I91</f>
        <v/>
      </c>
      <c r="F91" s="8">
        <f>Weekly_Summary!J91</f>
        <v/>
      </c>
      <c r="G91" s="7">
        <f>G90*(1+E91)</f>
        <v/>
      </c>
      <c r="H91" s="8">
        <f>C91/MAX($C$2:C91)-1</f>
        <v/>
      </c>
      <c r="I91" s="8">
        <f>G91/MAX($G$2:G91)-1</f>
        <v/>
      </c>
      <c r="J91">
        <f>AND(A91&gt;=DATEVALUE("2024-01-12"),A91&lt;=DATEVALUE("2026-06-26"))</f>
        <v/>
      </c>
    </row>
    <row r="92">
      <c r="A92" s="21">
        <f>Weekly_Summary!B92</f>
        <v/>
      </c>
      <c r="B92" s="7">
        <f>Weekly_Summary!D92</f>
        <v/>
      </c>
      <c r="C92" s="7">
        <f>Weekly_Summary!E92</f>
        <v/>
      </c>
      <c r="D92" s="8">
        <f>Weekly_Summary!G92</f>
        <v/>
      </c>
      <c r="E92" s="8">
        <f>Weekly_Summary!I92</f>
        <v/>
      </c>
      <c r="F92" s="8">
        <f>Weekly_Summary!J92</f>
        <v/>
      </c>
      <c r="G92" s="7">
        <f>G91*(1+E92)</f>
        <v/>
      </c>
      <c r="H92" s="8">
        <f>C92/MAX($C$2:C92)-1</f>
        <v/>
      </c>
      <c r="I92" s="8">
        <f>G92/MAX($G$2:G92)-1</f>
        <v/>
      </c>
      <c r="J92">
        <f>AND(A92&gt;=DATEVALUE("2024-01-12"),A92&lt;=DATEVALUE("2026-06-26"))</f>
        <v/>
      </c>
    </row>
    <row r="93">
      <c r="A93" s="21">
        <f>Weekly_Summary!B93</f>
        <v/>
      </c>
      <c r="B93" s="7">
        <f>Weekly_Summary!D93</f>
        <v/>
      </c>
      <c r="C93" s="7">
        <f>Weekly_Summary!E93</f>
        <v/>
      </c>
      <c r="D93" s="8">
        <f>Weekly_Summary!G93</f>
        <v/>
      </c>
      <c r="E93" s="8">
        <f>Weekly_Summary!I93</f>
        <v/>
      </c>
      <c r="F93" s="8">
        <f>Weekly_Summary!J93</f>
        <v/>
      </c>
      <c r="G93" s="7">
        <f>G92*(1+E93)</f>
        <v/>
      </c>
      <c r="H93" s="8">
        <f>C93/MAX($C$2:C93)-1</f>
        <v/>
      </c>
      <c r="I93" s="8">
        <f>G93/MAX($G$2:G93)-1</f>
        <v/>
      </c>
      <c r="J93">
        <f>AND(A93&gt;=DATEVALUE("2024-01-12"),A93&lt;=DATEVALUE("2026-06-26"))</f>
        <v/>
      </c>
    </row>
    <row r="94">
      <c r="A94" s="21">
        <f>Weekly_Summary!B94</f>
        <v/>
      </c>
      <c r="B94" s="7">
        <f>Weekly_Summary!D94</f>
        <v/>
      </c>
      <c r="C94" s="7">
        <f>Weekly_Summary!E94</f>
        <v/>
      </c>
      <c r="D94" s="8">
        <f>Weekly_Summary!G94</f>
        <v/>
      </c>
      <c r="E94" s="8">
        <f>Weekly_Summary!I94</f>
        <v/>
      </c>
      <c r="F94" s="8">
        <f>Weekly_Summary!J94</f>
        <v/>
      </c>
      <c r="G94" s="7">
        <f>G93*(1+E94)</f>
        <v/>
      </c>
      <c r="H94" s="8">
        <f>C94/MAX($C$2:C94)-1</f>
        <v/>
      </c>
      <c r="I94" s="8">
        <f>G94/MAX($G$2:G94)-1</f>
        <v/>
      </c>
      <c r="J94">
        <f>AND(A94&gt;=DATEVALUE("2024-01-12"),A94&lt;=DATEVALUE("2026-06-26"))</f>
        <v/>
      </c>
    </row>
    <row r="95">
      <c r="A95" s="21">
        <f>Weekly_Summary!B95</f>
        <v/>
      </c>
      <c r="B95" s="7">
        <f>Weekly_Summary!D95</f>
        <v/>
      </c>
      <c r="C95" s="7">
        <f>Weekly_Summary!E95</f>
        <v/>
      </c>
      <c r="D95" s="8">
        <f>Weekly_Summary!G95</f>
        <v/>
      </c>
      <c r="E95" s="8">
        <f>Weekly_Summary!I95</f>
        <v/>
      </c>
      <c r="F95" s="8">
        <f>Weekly_Summary!J95</f>
        <v/>
      </c>
      <c r="G95" s="7">
        <f>G94*(1+E95)</f>
        <v/>
      </c>
      <c r="H95" s="8">
        <f>C95/MAX($C$2:C95)-1</f>
        <v/>
      </c>
      <c r="I95" s="8">
        <f>G95/MAX($G$2:G95)-1</f>
        <v/>
      </c>
      <c r="J95">
        <f>AND(A95&gt;=DATEVALUE("2024-01-12"),A95&lt;=DATEVALUE("2026-06-26"))</f>
        <v/>
      </c>
    </row>
    <row r="96">
      <c r="A96" s="21">
        <f>Weekly_Summary!B96</f>
        <v/>
      </c>
      <c r="B96" s="7">
        <f>Weekly_Summary!D96</f>
        <v/>
      </c>
      <c r="C96" s="7">
        <f>Weekly_Summary!E96</f>
        <v/>
      </c>
      <c r="D96" s="8">
        <f>Weekly_Summary!G96</f>
        <v/>
      </c>
      <c r="E96" s="8">
        <f>Weekly_Summary!I96</f>
        <v/>
      </c>
      <c r="F96" s="8">
        <f>Weekly_Summary!J96</f>
        <v/>
      </c>
      <c r="G96" s="7">
        <f>G95*(1+E96)</f>
        <v/>
      </c>
      <c r="H96" s="8">
        <f>C96/MAX($C$2:C96)-1</f>
        <v/>
      </c>
      <c r="I96" s="8">
        <f>G96/MAX($G$2:G96)-1</f>
        <v/>
      </c>
      <c r="J96">
        <f>AND(A96&gt;=DATEVALUE("2024-01-12"),A96&lt;=DATEVALUE("2026-06-26"))</f>
        <v/>
      </c>
    </row>
    <row r="97">
      <c r="A97" s="21">
        <f>Weekly_Summary!B97</f>
        <v/>
      </c>
      <c r="B97" s="7">
        <f>Weekly_Summary!D97</f>
        <v/>
      </c>
      <c r="C97" s="7">
        <f>Weekly_Summary!E97</f>
        <v/>
      </c>
      <c r="D97" s="8">
        <f>Weekly_Summary!G97</f>
        <v/>
      </c>
      <c r="E97" s="8">
        <f>Weekly_Summary!I97</f>
        <v/>
      </c>
      <c r="F97" s="8">
        <f>Weekly_Summary!J97</f>
        <v/>
      </c>
      <c r="G97" s="7">
        <f>G96*(1+E97)</f>
        <v/>
      </c>
      <c r="H97" s="8">
        <f>C97/MAX($C$2:C97)-1</f>
        <v/>
      </c>
      <c r="I97" s="8">
        <f>G97/MAX($G$2:G97)-1</f>
        <v/>
      </c>
      <c r="J97">
        <f>AND(A97&gt;=DATEVALUE("2024-01-12"),A97&lt;=DATEVALUE("2026-06-26"))</f>
        <v/>
      </c>
    </row>
    <row r="98">
      <c r="A98" s="21">
        <f>Weekly_Summary!B98</f>
        <v/>
      </c>
      <c r="B98" s="7">
        <f>Weekly_Summary!D98</f>
        <v/>
      </c>
      <c r="C98" s="7">
        <f>Weekly_Summary!E98</f>
        <v/>
      </c>
      <c r="D98" s="8">
        <f>Weekly_Summary!G98</f>
        <v/>
      </c>
      <c r="E98" s="8">
        <f>Weekly_Summary!I98</f>
        <v/>
      </c>
      <c r="F98" s="8">
        <f>Weekly_Summary!J98</f>
        <v/>
      </c>
      <c r="G98" s="7">
        <f>G97*(1+E98)</f>
        <v/>
      </c>
      <c r="H98" s="8">
        <f>C98/MAX($C$2:C98)-1</f>
        <v/>
      </c>
      <c r="I98" s="8">
        <f>G98/MAX($G$2:G98)-1</f>
        <v/>
      </c>
      <c r="J98">
        <f>AND(A98&gt;=DATEVALUE("2024-01-12"),A98&lt;=DATEVALUE("2026-06-26"))</f>
        <v/>
      </c>
    </row>
    <row r="99">
      <c r="A99" s="21">
        <f>Weekly_Summary!B99</f>
        <v/>
      </c>
      <c r="B99" s="7">
        <f>Weekly_Summary!D99</f>
        <v/>
      </c>
      <c r="C99" s="7">
        <f>Weekly_Summary!E99</f>
        <v/>
      </c>
      <c r="D99" s="8">
        <f>Weekly_Summary!G99</f>
        <v/>
      </c>
      <c r="E99" s="8">
        <f>Weekly_Summary!I99</f>
        <v/>
      </c>
      <c r="F99" s="8">
        <f>Weekly_Summary!J99</f>
        <v/>
      </c>
      <c r="G99" s="7">
        <f>G98*(1+E99)</f>
        <v/>
      </c>
      <c r="H99" s="8">
        <f>C99/MAX($C$2:C99)-1</f>
        <v/>
      </c>
      <c r="I99" s="8">
        <f>G99/MAX($G$2:G99)-1</f>
        <v/>
      </c>
      <c r="J99">
        <f>AND(A99&gt;=DATEVALUE("2024-01-12"),A99&lt;=DATEVALUE("2026-06-26"))</f>
        <v/>
      </c>
    </row>
    <row r="100">
      <c r="A100" s="21">
        <f>Weekly_Summary!B100</f>
        <v/>
      </c>
      <c r="B100" s="7">
        <f>Weekly_Summary!D100</f>
        <v/>
      </c>
      <c r="C100" s="7">
        <f>Weekly_Summary!E100</f>
        <v/>
      </c>
      <c r="D100" s="8">
        <f>Weekly_Summary!G100</f>
        <v/>
      </c>
      <c r="E100" s="8">
        <f>Weekly_Summary!I100</f>
        <v/>
      </c>
      <c r="F100" s="8">
        <f>Weekly_Summary!J100</f>
        <v/>
      </c>
      <c r="G100" s="7">
        <f>G99*(1+E100)</f>
        <v/>
      </c>
      <c r="H100" s="8">
        <f>C100/MAX($C$2:C100)-1</f>
        <v/>
      </c>
      <c r="I100" s="8">
        <f>G100/MAX($G$2:G100)-1</f>
        <v/>
      </c>
      <c r="J100">
        <f>AND(A100&gt;=DATEVALUE("2024-01-12"),A100&lt;=DATEVALUE("2026-06-26"))</f>
        <v/>
      </c>
    </row>
    <row r="101">
      <c r="A101" s="21">
        <f>Weekly_Summary!B101</f>
        <v/>
      </c>
      <c r="B101" s="7">
        <f>Weekly_Summary!D101</f>
        <v/>
      </c>
      <c r="C101" s="7">
        <f>Weekly_Summary!E101</f>
        <v/>
      </c>
      <c r="D101" s="8">
        <f>Weekly_Summary!G101</f>
        <v/>
      </c>
      <c r="E101" s="8">
        <f>Weekly_Summary!I101</f>
        <v/>
      </c>
      <c r="F101" s="8">
        <f>Weekly_Summary!J101</f>
        <v/>
      </c>
      <c r="G101" s="7">
        <f>G100*(1+E101)</f>
        <v/>
      </c>
      <c r="H101" s="8">
        <f>C101/MAX($C$2:C101)-1</f>
        <v/>
      </c>
      <c r="I101" s="8">
        <f>G101/MAX($G$2:G101)-1</f>
        <v/>
      </c>
      <c r="J101">
        <f>AND(A101&gt;=DATEVALUE("2024-01-12"),A101&lt;=DATEVALUE("2026-06-26"))</f>
        <v/>
      </c>
    </row>
    <row r="102">
      <c r="A102" s="21">
        <f>Weekly_Summary!B102</f>
        <v/>
      </c>
      <c r="B102" s="7">
        <f>Weekly_Summary!D102</f>
        <v/>
      </c>
      <c r="C102" s="7">
        <f>Weekly_Summary!E102</f>
        <v/>
      </c>
      <c r="D102" s="8">
        <f>Weekly_Summary!G102</f>
        <v/>
      </c>
      <c r="E102" s="8">
        <f>Weekly_Summary!I102</f>
        <v/>
      </c>
      <c r="F102" s="8">
        <f>Weekly_Summary!J102</f>
        <v/>
      </c>
      <c r="G102" s="7">
        <f>G101*(1+E102)</f>
        <v/>
      </c>
      <c r="H102" s="8">
        <f>C102/MAX($C$2:C102)-1</f>
        <v/>
      </c>
      <c r="I102" s="8">
        <f>G102/MAX($G$2:G102)-1</f>
        <v/>
      </c>
      <c r="J102">
        <f>AND(A102&gt;=DATEVALUE("2024-01-12"),A102&lt;=DATEVALUE("2026-06-26"))</f>
        <v/>
      </c>
    </row>
    <row r="103">
      <c r="A103" s="21">
        <f>Weekly_Summary!B103</f>
        <v/>
      </c>
      <c r="B103" s="7">
        <f>Weekly_Summary!D103</f>
        <v/>
      </c>
      <c r="C103" s="7">
        <f>Weekly_Summary!E103</f>
        <v/>
      </c>
      <c r="D103" s="8">
        <f>Weekly_Summary!G103</f>
        <v/>
      </c>
      <c r="E103" s="8">
        <f>Weekly_Summary!I103</f>
        <v/>
      </c>
      <c r="F103" s="8">
        <f>Weekly_Summary!J103</f>
        <v/>
      </c>
      <c r="G103" s="7">
        <f>G102*(1+E103)</f>
        <v/>
      </c>
      <c r="H103" s="8">
        <f>C103/MAX($C$2:C103)-1</f>
        <v/>
      </c>
      <c r="I103" s="8">
        <f>G103/MAX($G$2:G103)-1</f>
        <v/>
      </c>
      <c r="J103">
        <f>AND(A103&gt;=DATEVALUE("2024-01-12"),A103&lt;=DATEVALUE("2026-06-26"))</f>
        <v/>
      </c>
    </row>
    <row r="104">
      <c r="A104" s="21">
        <f>Weekly_Summary!B104</f>
        <v/>
      </c>
      <c r="B104" s="7">
        <f>Weekly_Summary!D104</f>
        <v/>
      </c>
      <c r="C104" s="7">
        <f>Weekly_Summary!E104</f>
        <v/>
      </c>
      <c r="D104" s="8">
        <f>Weekly_Summary!G104</f>
        <v/>
      </c>
      <c r="E104" s="8">
        <f>Weekly_Summary!I104</f>
        <v/>
      </c>
      <c r="F104" s="8">
        <f>Weekly_Summary!J104</f>
        <v/>
      </c>
      <c r="G104" s="7">
        <f>G103*(1+E104)</f>
        <v/>
      </c>
      <c r="H104" s="8">
        <f>C104/MAX($C$2:C104)-1</f>
        <v/>
      </c>
      <c r="I104" s="8">
        <f>G104/MAX($G$2:G104)-1</f>
        <v/>
      </c>
      <c r="J104">
        <f>AND(A104&gt;=DATEVALUE("2024-01-12"),A104&lt;=DATEVALUE("2026-06-26"))</f>
        <v/>
      </c>
    </row>
    <row r="105">
      <c r="A105" s="21">
        <f>Weekly_Summary!B105</f>
        <v/>
      </c>
      <c r="B105" s="7">
        <f>Weekly_Summary!D105</f>
        <v/>
      </c>
      <c r="C105" s="7">
        <f>Weekly_Summary!E105</f>
        <v/>
      </c>
      <c r="D105" s="8">
        <f>Weekly_Summary!G105</f>
        <v/>
      </c>
      <c r="E105" s="8">
        <f>Weekly_Summary!I105</f>
        <v/>
      </c>
      <c r="F105" s="8">
        <f>Weekly_Summary!J105</f>
        <v/>
      </c>
      <c r="G105" s="7">
        <f>G104*(1+E105)</f>
        <v/>
      </c>
      <c r="H105" s="8">
        <f>C105/MAX($C$2:C105)-1</f>
        <v/>
      </c>
      <c r="I105" s="8">
        <f>G105/MAX($G$2:G105)-1</f>
        <v/>
      </c>
      <c r="J105">
        <f>AND(A105&gt;=DATEVALUE("2024-01-12"),A105&lt;=DATEVALUE("2026-06-26"))</f>
        <v/>
      </c>
    </row>
    <row r="106">
      <c r="A106" s="21">
        <f>Weekly_Summary!B106</f>
        <v/>
      </c>
      <c r="B106" s="7">
        <f>Weekly_Summary!D106</f>
        <v/>
      </c>
      <c r="C106" s="7">
        <f>Weekly_Summary!E106</f>
        <v/>
      </c>
      <c r="D106" s="8">
        <f>Weekly_Summary!G106</f>
        <v/>
      </c>
      <c r="E106" s="8">
        <f>Weekly_Summary!I106</f>
        <v/>
      </c>
      <c r="F106" s="8">
        <f>Weekly_Summary!J106</f>
        <v/>
      </c>
      <c r="G106" s="7">
        <f>G105*(1+E106)</f>
        <v/>
      </c>
      <c r="H106" s="8">
        <f>C106/MAX($C$2:C106)-1</f>
        <v/>
      </c>
      <c r="I106" s="8">
        <f>G106/MAX($G$2:G106)-1</f>
        <v/>
      </c>
      <c r="J106">
        <f>AND(A106&gt;=DATEVALUE("2024-01-12"),A106&lt;=DATEVALUE("2026-06-26"))</f>
        <v/>
      </c>
    </row>
    <row r="107">
      <c r="A107" s="21">
        <f>Weekly_Summary!B107</f>
        <v/>
      </c>
      <c r="B107" s="7">
        <f>Weekly_Summary!D107</f>
        <v/>
      </c>
      <c r="C107" s="7">
        <f>Weekly_Summary!E107</f>
        <v/>
      </c>
      <c r="D107" s="8">
        <f>Weekly_Summary!G107</f>
        <v/>
      </c>
      <c r="E107" s="8">
        <f>Weekly_Summary!I107</f>
        <v/>
      </c>
      <c r="F107" s="8">
        <f>Weekly_Summary!J107</f>
        <v/>
      </c>
      <c r="G107" s="7">
        <f>G106*(1+E107)</f>
        <v/>
      </c>
      <c r="H107" s="8">
        <f>C107/MAX($C$2:C107)-1</f>
        <v/>
      </c>
      <c r="I107" s="8">
        <f>G107/MAX($G$2:G107)-1</f>
        <v/>
      </c>
      <c r="J107">
        <f>AND(A107&gt;=DATEVALUE("2024-01-12"),A107&lt;=DATEVALUE("2026-06-26"))</f>
        <v/>
      </c>
    </row>
    <row r="108">
      <c r="A108" s="21">
        <f>Weekly_Summary!B108</f>
        <v/>
      </c>
      <c r="B108" s="7">
        <f>Weekly_Summary!D108</f>
        <v/>
      </c>
      <c r="C108" s="7">
        <f>Weekly_Summary!E108</f>
        <v/>
      </c>
      <c r="D108" s="8">
        <f>Weekly_Summary!G108</f>
        <v/>
      </c>
      <c r="E108" s="8">
        <f>Weekly_Summary!I108</f>
        <v/>
      </c>
      <c r="F108" s="8">
        <f>Weekly_Summary!J108</f>
        <v/>
      </c>
      <c r="G108" s="7">
        <f>G107*(1+E108)</f>
        <v/>
      </c>
      <c r="H108" s="8">
        <f>C108/MAX($C$2:C108)-1</f>
        <v/>
      </c>
      <c r="I108" s="8">
        <f>G108/MAX($G$2:G108)-1</f>
        <v/>
      </c>
      <c r="J108">
        <f>AND(A108&gt;=DATEVALUE("2024-01-12"),A108&lt;=DATEVALUE("2026-06-26"))</f>
        <v/>
      </c>
    </row>
    <row r="109">
      <c r="A109" s="21">
        <f>Weekly_Summary!B109</f>
        <v/>
      </c>
      <c r="B109" s="7">
        <f>Weekly_Summary!D109</f>
        <v/>
      </c>
      <c r="C109" s="7">
        <f>Weekly_Summary!E109</f>
        <v/>
      </c>
      <c r="D109" s="8">
        <f>Weekly_Summary!G109</f>
        <v/>
      </c>
      <c r="E109" s="8">
        <f>Weekly_Summary!I109</f>
        <v/>
      </c>
      <c r="F109" s="8">
        <f>Weekly_Summary!J109</f>
        <v/>
      </c>
      <c r="G109" s="7">
        <f>G108*(1+E109)</f>
        <v/>
      </c>
      <c r="H109" s="8">
        <f>C109/MAX($C$2:C109)-1</f>
        <v/>
      </c>
      <c r="I109" s="8">
        <f>G109/MAX($G$2:G109)-1</f>
        <v/>
      </c>
      <c r="J109">
        <f>AND(A109&gt;=DATEVALUE("2024-01-12"),A109&lt;=DATEVALUE("2026-06-26"))</f>
        <v/>
      </c>
    </row>
    <row r="110">
      <c r="A110" s="21">
        <f>Weekly_Summary!B110</f>
        <v/>
      </c>
      <c r="B110" s="7">
        <f>Weekly_Summary!D110</f>
        <v/>
      </c>
      <c r="C110" s="7">
        <f>Weekly_Summary!E110</f>
        <v/>
      </c>
      <c r="D110" s="8">
        <f>Weekly_Summary!G110</f>
        <v/>
      </c>
      <c r="E110" s="8">
        <f>Weekly_Summary!I110</f>
        <v/>
      </c>
      <c r="F110" s="8">
        <f>Weekly_Summary!J110</f>
        <v/>
      </c>
      <c r="G110" s="7">
        <f>G109*(1+E110)</f>
        <v/>
      </c>
      <c r="H110" s="8">
        <f>C110/MAX($C$2:C110)-1</f>
        <v/>
      </c>
      <c r="I110" s="8">
        <f>G110/MAX($G$2:G110)-1</f>
        <v/>
      </c>
      <c r="J110">
        <f>AND(A110&gt;=DATEVALUE("2024-01-12"),A110&lt;=DATEVALUE("2026-06-26"))</f>
        <v/>
      </c>
    </row>
    <row r="111">
      <c r="A111" s="21">
        <f>Weekly_Summary!B111</f>
        <v/>
      </c>
      <c r="B111" s="7">
        <f>Weekly_Summary!D111</f>
        <v/>
      </c>
      <c r="C111" s="7">
        <f>Weekly_Summary!E111</f>
        <v/>
      </c>
      <c r="D111" s="8">
        <f>Weekly_Summary!G111</f>
        <v/>
      </c>
      <c r="E111" s="8">
        <f>Weekly_Summary!I111</f>
        <v/>
      </c>
      <c r="F111" s="8">
        <f>Weekly_Summary!J111</f>
        <v/>
      </c>
      <c r="G111" s="7">
        <f>G110*(1+E111)</f>
        <v/>
      </c>
      <c r="H111" s="8">
        <f>C111/MAX($C$2:C111)-1</f>
        <v/>
      </c>
      <c r="I111" s="8">
        <f>G111/MAX($G$2:G111)-1</f>
        <v/>
      </c>
      <c r="J111">
        <f>AND(A111&gt;=DATEVALUE("2024-01-12"),A111&lt;=DATEVALUE("2026-06-26"))</f>
        <v/>
      </c>
    </row>
    <row r="112">
      <c r="A112" s="21">
        <f>Weekly_Summary!B112</f>
        <v/>
      </c>
      <c r="B112" s="7">
        <f>Weekly_Summary!D112</f>
        <v/>
      </c>
      <c r="C112" s="7">
        <f>Weekly_Summary!E112</f>
        <v/>
      </c>
      <c r="D112" s="8">
        <f>Weekly_Summary!G112</f>
        <v/>
      </c>
      <c r="E112" s="8">
        <f>Weekly_Summary!I112</f>
        <v/>
      </c>
      <c r="F112" s="8">
        <f>Weekly_Summary!J112</f>
        <v/>
      </c>
      <c r="G112" s="7">
        <f>G111*(1+E112)</f>
        <v/>
      </c>
      <c r="H112" s="8">
        <f>C112/MAX($C$2:C112)-1</f>
        <v/>
      </c>
      <c r="I112" s="8">
        <f>G112/MAX($G$2:G112)-1</f>
        <v/>
      </c>
      <c r="J112">
        <f>AND(A112&gt;=DATEVALUE("2024-01-12"),A112&lt;=DATEVALUE("2026-06-26"))</f>
        <v/>
      </c>
    </row>
    <row r="113">
      <c r="A113" s="21">
        <f>Weekly_Summary!B113</f>
        <v/>
      </c>
      <c r="B113" s="7">
        <f>Weekly_Summary!D113</f>
        <v/>
      </c>
      <c r="C113" s="7">
        <f>Weekly_Summary!E113</f>
        <v/>
      </c>
      <c r="D113" s="8">
        <f>Weekly_Summary!G113</f>
        <v/>
      </c>
      <c r="E113" s="8">
        <f>Weekly_Summary!I113</f>
        <v/>
      </c>
      <c r="F113" s="8">
        <f>Weekly_Summary!J113</f>
        <v/>
      </c>
      <c r="G113" s="7">
        <f>G112*(1+E113)</f>
        <v/>
      </c>
      <c r="H113" s="8">
        <f>C113/MAX($C$2:C113)-1</f>
        <v/>
      </c>
      <c r="I113" s="8">
        <f>G113/MAX($G$2:G113)-1</f>
        <v/>
      </c>
      <c r="J113">
        <f>AND(A113&gt;=DATEVALUE("2024-01-12"),A113&lt;=DATEVALUE("2026-06-26"))</f>
        <v/>
      </c>
    </row>
    <row r="114">
      <c r="A114" s="21">
        <f>Weekly_Summary!B114</f>
        <v/>
      </c>
      <c r="B114" s="7">
        <f>Weekly_Summary!D114</f>
        <v/>
      </c>
      <c r="C114" s="7">
        <f>Weekly_Summary!E114</f>
        <v/>
      </c>
      <c r="D114" s="8">
        <f>Weekly_Summary!G114</f>
        <v/>
      </c>
      <c r="E114" s="8">
        <f>Weekly_Summary!I114</f>
        <v/>
      </c>
      <c r="F114" s="8">
        <f>Weekly_Summary!J114</f>
        <v/>
      </c>
      <c r="G114" s="7">
        <f>G113*(1+E114)</f>
        <v/>
      </c>
      <c r="H114" s="8">
        <f>C114/MAX($C$2:C114)-1</f>
        <v/>
      </c>
      <c r="I114" s="8">
        <f>G114/MAX($G$2:G114)-1</f>
        <v/>
      </c>
      <c r="J114">
        <f>AND(A114&gt;=DATEVALUE("2024-01-12"),A114&lt;=DATEVALUE("2026-06-26"))</f>
        <v/>
      </c>
    </row>
    <row r="115">
      <c r="A115" s="21">
        <f>Weekly_Summary!B115</f>
        <v/>
      </c>
      <c r="B115" s="7">
        <f>Weekly_Summary!D115</f>
        <v/>
      </c>
      <c r="C115" s="7">
        <f>Weekly_Summary!E115</f>
        <v/>
      </c>
      <c r="D115" s="8">
        <f>Weekly_Summary!G115</f>
        <v/>
      </c>
      <c r="E115" s="8">
        <f>Weekly_Summary!I115</f>
        <v/>
      </c>
      <c r="F115" s="8">
        <f>Weekly_Summary!J115</f>
        <v/>
      </c>
      <c r="G115" s="7">
        <f>G114*(1+E115)</f>
        <v/>
      </c>
      <c r="H115" s="8">
        <f>C115/MAX($C$2:C115)-1</f>
        <v/>
      </c>
      <c r="I115" s="8">
        <f>G115/MAX($G$2:G115)-1</f>
        <v/>
      </c>
      <c r="J115">
        <f>AND(A115&gt;=DATEVALUE("2024-01-12"),A115&lt;=DATEVALUE("2026-06-26"))</f>
        <v/>
      </c>
    </row>
    <row r="116">
      <c r="A116" s="21">
        <f>Weekly_Summary!B116</f>
        <v/>
      </c>
      <c r="B116" s="7">
        <f>Weekly_Summary!D116</f>
        <v/>
      </c>
      <c r="C116" s="7">
        <f>Weekly_Summary!E116</f>
        <v/>
      </c>
      <c r="D116" s="8">
        <f>Weekly_Summary!G116</f>
        <v/>
      </c>
      <c r="E116" s="8">
        <f>Weekly_Summary!I116</f>
        <v/>
      </c>
      <c r="F116" s="8">
        <f>Weekly_Summary!J116</f>
        <v/>
      </c>
      <c r="G116" s="7">
        <f>G115*(1+E116)</f>
        <v/>
      </c>
      <c r="H116" s="8">
        <f>C116/MAX($C$2:C116)-1</f>
        <v/>
      </c>
      <c r="I116" s="8">
        <f>G116/MAX($G$2:G116)-1</f>
        <v/>
      </c>
      <c r="J116">
        <f>AND(A116&gt;=DATEVALUE("2024-01-12"),A116&lt;=DATEVALUE("2026-06-26"))</f>
        <v/>
      </c>
    </row>
    <row r="117">
      <c r="A117" s="21">
        <f>Weekly_Summary!B117</f>
        <v/>
      </c>
      <c r="B117" s="7">
        <f>Weekly_Summary!D117</f>
        <v/>
      </c>
      <c r="C117" s="7">
        <f>Weekly_Summary!E117</f>
        <v/>
      </c>
      <c r="D117" s="8">
        <f>Weekly_Summary!G117</f>
        <v/>
      </c>
      <c r="E117" s="8">
        <f>Weekly_Summary!I117</f>
        <v/>
      </c>
      <c r="F117" s="8">
        <f>Weekly_Summary!J117</f>
        <v/>
      </c>
      <c r="G117" s="7">
        <f>G116*(1+E117)</f>
        <v/>
      </c>
      <c r="H117" s="8">
        <f>C117/MAX($C$2:C117)-1</f>
        <v/>
      </c>
      <c r="I117" s="8">
        <f>G117/MAX($G$2:G117)-1</f>
        <v/>
      </c>
      <c r="J117">
        <f>AND(A117&gt;=DATEVALUE("2024-01-12"),A117&lt;=DATEVALUE("2026-06-26"))</f>
        <v/>
      </c>
    </row>
    <row r="118">
      <c r="A118" s="21">
        <f>Weekly_Summary!B118</f>
        <v/>
      </c>
      <c r="B118" s="7">
        <f>Weekly_Summary!D118</f>
        <v/>
      </c>
      <c r="C118" s="7">
        <f>Weekly_Summary!E118</f>
        <v/>
      </c>
      <c r="D118" s="8">
        <f>Weekly_Summary!G118</f>
        <v/>
      </c>
      <c r="E118" s="8">
        <f>Weekly_Summary!I118</f>
        <v/>
      </c>
      <c r="F118" s="8">
        <f>Weekly_Summary!J118</f>
        <v/>
      </c>
      <c r="G118" s="7">
        <f>G117*(1+E118)</f>
        <v/>
      </c>
      <c r="H118" s="8">
        <f>C118/MAX($C$2:C118)-1</f>
        <v/>
      </c>
      <c r="I118" s="8">
        <f>G118/MAX($G$2:G118)-1</f>
        <v/>
      </c>
      <c r="J118">
        <f>AND(A118&gt;=DATEVALUE("2024-01-12"),A118&lt;=DATEVALUE("2026-06-26"))</f>
        <v/>
      </c>
    </row>
    <row r="119">
      <c r="A119" s="21">
        <f>Weekly_Summary!B119</f>
        <v/>
      </c>
      <c r="B119" s="7">
        <f>Weekly_Summary!D119</f>
        <v/>
      </c>
      <c r="C119" s="7">
        <f>Weekly_Summary!E119</f>
        <v/>
      </c>
      <c r="D119" s="8">
        <f>Weekly_Summary!G119</f>
        <v/>
      </c>
      <c r="E119" s="8">
        <f>Weekly_Summary!I119</f>
        <v/>
      </c>
      <c r="F119" s="8">
        <f>Weekly_Summary!J119</f>
        <v/>
      </c>
      <c r="G119" s="7">
        <f>G118*(1+E119)</f>
        <v/>
      </c>
      <c r="H119" s="8">
        <f>C119/MAX($C$2:C119)-1</f>
        <v/>
      </c>
      <c r="I119" s="8">
        <f>G119/MAX($G$2:G119)-1</f>
        <v/>
      </c>
      <c r="J119">
        <f>AND(A119&gt;=DATEVALUE("2024-01-12"),A119&lt;=DATEVALUE("2026-06-26"))</f>
        <v/>
      </c>
    </row>
    <row r="120">
      <c r="A120" s="21">
        <f>Weekly_Summary!B120</f>
        <v/>
      </c>
      <c r="B120" s="7">
        <f>Weekly_Summary!D120</f>
        <v/>
      </c>
      <c r="C120" s="7">
        <f>Weekly_Summary!E120</f>
        <v/>
      </c>
      <c r="D120" s="8">
        <f>Weekly_Summary!G120</f>
        <v/>
      </c>
      <c r="E120" s="8">
        <f>Weekly_Summary!I120</f>
        <v/>
      </c>
      <c r="F120" s="8">
        <f>Weekly_Summary!J120</f>
        <v/>
      </c>
      <c r="G120" s="7">
        <f>G119*(1+E120)</f>
        <v/>
      </c>
      <c r="H120" s="8">
        <f>C120/MAX($C$2:C120)-1</f>
        <v/>
      </c>
      <c r="I120" s="8">
        <f>G120/MAX($G$2:G120)-1</f>
        <v/>
      </c>
      <c r="J120">
        <f>AND(A120&gt;=DATEVALUE("2024-01-12"),A120&lt;=DATEVALUE("2026-06-26"))</f>
        <v/>
      </c>
    </row>
    <row r="121">
      <c r="A121" s="21">
        <f>Weekly_Summary!B121</f>
        <v/>
      </c>
      <c r="B121" s="7">
        <f>Weekly_Summary!D121</f>
        <v/>
      </c>
      <c r="C121" s="7">
        <f>Weekly_Summary!E121</f>
        <v/>
      </c>
      <c r="D121" s="8">
        <f>Weekly_Summary!G121</f>
        <v/>
      </c>
      <c r="E121" s="8">
        <f>Weekly_Summary!I121</f>
        <v/>
      </c>
      <c r="F121" s="8">
        <f>Weekly_Summary!J121</f>
        <v/>
      </c>
      <c r="G121" s="7">
        <f>G120*(1+E121)</f>
        <v/>
      </c>
      <c r="H121" s="8">
        <f>C121/MAX($C$2:C121)-1</f>
        <v/>
      </c>
      <c r="I121" s="8">
        <f>G121/MAX($G$2:G121)-1</f>
        <v/>
      </c>
      <c r="J121">
        <f>AND(A121&gt;=DATEVALUE("2024-01-12"),A121&lt;=DATEVALUE("2026-06-26"))</f>
        <v/>
      </c>
    </row>
    <row r="122">
      <c r="A122" s="21">
        <f>Weekly_Summary!B122</f>
        <v/>
      </c>
      <c r="B122" s="7">
        <f>Weekly_Summary!D122</f>
        <v/>
      </c>
      <c r="C122" s="7">
        <f>Weekly_Summary!E122</f>
        <v/>
      </c>
      <c r="D122" s="8">
        <f>Weekly_Summary!G122</f>
        <v/>
      </c>
      <c r="E122" s="8">
        <f>Weekly_Summary!I122</f>
        <v/>
      </c>
      <c r="F122" s="8">
        <f>Weekly_Summary!J122</f>
        <v/>
      </c>
      <c r="G122" s="7">
        <f>G121*(1+E122)</f>
        <v/>
      </c>
      <c r="H122" s="8">
        <f>C122/MAX($C$2:C122)-1</f>
        <v/>
      </c>
      <c r="I122" s="8">
        <f>G122/MAX($G$2:G122)-1</f>
        <v/>
      </c>
      <c r="J122">
        <f>AND(A122&gt;=DATEVALUE("2024-01-12"),A122&lt;=DATEVALUE("2026-06-26"))</f>
        <v/>
      </c>
    </row>
    <row r="123">
      <c r="A123" s="21">
        <f>Weekly_Summary!B123</f>
        <v/>
      </c>
      <c r="B123" s="7">
        <f>Weekly_Summary!D123</f>
        <v/>
      </c>
      <c r="C123" s="7">
        <f>Weekly_Summary!E123</f>
        <v/>
      </c>
      <c r="D123" s="8">
        <f>Weekly_Summary!G123</f>
        <v/>
      </c>
      <c r="E123" s="8">
        <f>Weekly_Summary!I123</f>
        <v/>
      </c>
      <c r="F123" s="8">
        <f>Weekly_Summary!J123</f>
        <v/>
      </c>
      <c r="G123" s="7">
        <f>G122*(1+E123)</f>
        <v/>
      </c>
      <c r="H123" s="8">
        <f>C123/MAX($C$2:C123)-1</f>
        <v/>
      </c>
      <c r="I123" s="8">
        <f>G123/MAX($G$2:G123)-1</f>
        <v/>
      </c>
      <c r="J123">
        <f>AND(A123&gt;=DATEVALUE("2024-01-12"),A123&lt;=DATEVALUE("2026-06-26"))</f>
        <v/>
      </c>
    </row>
    <row r="124">
      <c r="A124" s="21">
        <f>Weekly_Summary!B124</f>
        <v/>
      </c>
      <c r="B124" s="7">
        <f>Weekly_Summary!D124</f>
        <v/>
      </c>
      <c r="C124" s="7">
        <f>Weekly_Summary!E124</f>
        <v/>
      </c>
      <c r="D124" s="8">
        <f>Weekly_Summary!G124</f>
        <v/>
      </c>
      <c r="E124" s="8">
        <f>Weekly_Summary!I124</f>
        <v/>
      </c>
      <c r="F124" s="8">
        <f>Weekly_Summary!J124</f>
        <v/>
      </c>
      <c r="G124" s="7">
        <f>G123*(1+E124)</f>
        <v/>
      </c>
      <c r="H124" s="8">
        <f>C124/MAX($C$2:C124)-1</f>
        <v/>
      </c>
      <c r="I124" s="8">
        <f>G124/MAX($G$2:G124)-1</f>
        <v/>
      </c>
      <c r="J124">
        <f>AND(A124&gt;=DATEVALUE("2024-01-12"),A124&lt;=DATEVALUE("2026-06-26"))</f>
        <v/>
      </c>
    </row>
    <row r="125">
      <c r="A125" s="21">
        <f>Weekly_Summary!B125</f>
        <v/>
      </c>
      <c r="B125" s="7">
        <f>Weekly_Summary!D125</f>
        <v/>
      </c>
      <c r="C125" s="7">
        <f>Weekly_Summary!E125</f>
        <v/>
      </c>
      <c r="D125" s="8">
        <f>Weekly_Summary!G125</f>
        <v/>
      </c>
      <c r="E125" s="8">
        <f>Weekly_Summary!I125</f>
        <v/>
      </c>
      <c r="F125" s="8">
        <f>Weekly_Summary!J125</f>
        <v/>
      </c>
      <c r="G125" s="7">
        <f>G124*(1+E125)</f>
        <v/>
      </c>
      <c r="H125" s="8">
        <f>C125/MAX($C$2:C125)-1</f>
        <v/>
      </c>
      <c r="I125" s="8">
        <f>G125/MAX($G$2:G125)-1</f>
        <v/>
      </c>
      <c r="J125">
        <f>AND(A125&gt;=DATEVALUE("2024-01-12"),A125&lt;=DATEVALUE("2026-06-26"))</f>
        <v/>
      </c>
    </row>
    <row r="126">
      <c r="A126" s="21">
        <f>Weekly_Summary!B126</f>
        <v/>
      </c>
      <c r="B126" s="7">
        <f>Weekly_Summary!D126</f>
        <v/>
      </c>
      <c r="C126" s="7">
        <f>Weekly_Summary!E126</f>
        <v/>
      </c>
      <c r="D126" s="8">
        <f>Weekly_Summary!G126</f>
        <v/>
      </c>
      <c r="E126" s="8">
        <f>Weekly_Summary!I126</f>
        <v/>
      </c>
      <c r="F126" s="8">
        <f>Weekly_Summary!J126</f>
        <v/>
      </c>
      <c r="G126" s="7">
        <f>G125*(1+E126)</f>
        <v/>
      </c>
      <c r="H126" s="8">
        <f>C126/MAX($C$2:C126)-1</f>
        <v/>
      </c>
      <c r="I126" s="8">
        <f>G126/MAX($G$2:G126)-1</f>
        <v/>
      </c>
      <c r="J126">
        <f>AND(A126&gt;=DATEVALUE("2024-01-12"),A126&lt;=DATEVALUE("2026-06-26"))</f>
        <v/>
      </c>
    </row>
    <row r="127">
      <c r="A127" s="21">
        <f>Weekly_Summary!B127</f>
        <v/>
      </c>
      <c r="B127" s="7">
        <f>Weekly_Summary!D127</f>
        <v/>
      </c>
      <c r="C127" s="7">
        <f>Weekly_Summary!E127</f>
        <v/>
      </c>
      <c r="D127" s="8">
        <f>Weekly_Summary!G127</f>
        <v/>
      </c>
      <c r="E127" s="8">
        <f>Weekly_Summary!I127</f>
        <v/>
      </c>
      <c r="F127" s="8">
        <f>Weekly_Summary!J127</f>
        <v/>
      </c>
      <c r="G127" s="7">
        <f>G126*(1+E127)</f>
        <v/>
      </c>
      <c r="H127" s="8">
        <f>C127/MAX($C$2:C127)-1</f>
        <v/>
      </c>
      <c r="I127" s="8">
        <f>G127/MAX($G$2:G127)-1</f>
        <v/>
      </c>
      <c r="J127">
        <f>AND(A127&gt;=DATEVALUE("2024-01-12"),A127&lt;=DATEVALUE("2026-06-26"))</f>
        <v/>
      </c>
    </row>
    <row r="128">
      <c r="A128" s="21">
        <f>Weekly_Summary!B128</f>
        <v/>
      </c>
      <c r="B128" s="7">
        <f>Weekly_Summary!D128</f>
        <v/>
      </c>
      <c r="C128" s="7">
        <f>Weekly_Summary!E128</f>
        <v/>
      </c>
      <c r="D128" s="8">
        <f>Weekly_Summary!G128</f>
        <v/>
      </c>
      <c r="E128" s="8">
        <f>Weekly_Summary!I128</f>
        <v/>
      </c>
      <c r="F128" s="8">
        <f>Weekly_Summary!J128</f>
        <v/>
      </c>
      <c r="G128" s="7">
        <f>G127*(1+E128)</f>
        <v/>
      </c>
      <c r="H128" s="8">
        <f>C128/MAX($C$2:C128)-1</f>
        <v/>
      </c>
      <c r="I128" s="8">
        <f>G128/MAX($G$2:G128)-1</f>
        <v/>
      </c>
      <c r="J128">
        <f>AND(A128&gt;=DATEVALUE("2024-01-12"),A128&lt;=DATEVALUE("2026-06-26"))</f>
        <v/>
      </c>
    </row>
    <row r="129">
      <c r="A129" s="21">
        <f>Weekly_Summary!B129</f>
        <v/>
      </c>
      <c r="B129" s="7">
        <f>Weekly_Summary!D129</f>
        <v/>
      </c>
      <c r="C129" s="7">
        <f>Weekly_Summary!E129</f>
        <v/>
      </c>
      <c r="D129" s="8">
        <f>Weekly_Summary!G129</f>
        <v/>
      </c>
      <c r="E129" s="8">
        <f>Weekly_Summary!I129</f>
        <v/>
      </c>
      <c r="F129" s="8">
        <f>Weekly_Summary!J129</f>
        <v/>
      </c>
      <c r="G129" s="7">
        <f>G128*(1+E129)</f>
        <v/>
      </c>
      <c r="H129" s="8">
        <f>C129/MAX($C$2:C129)-1</f>
        <v/>
      </c>
      <c r="I129" s="8">
        <f>G129/MAX($G$2:G129)-1</f>
        <v/>
      </c>
      <c r="J129">
        <f>AND(A129&gt;=DATEVALUE("2024-01-12"),A129&lt;=DATEVALUE("2026-06-26"))</f>
        <v/>
      </c>
    </row>
    <row r="130">
      <c r="A130" s="21">
        <f>Weekly_Summary!B130</f>
        <v/>
      </c>
      <c r="B130" s="7">
        <f>Weekly_Summary!D130</f>
        <v/>
      </c>
      <c r="C130" s="7">
        <f>Weekly_Summary!E130</f>
        <v/>
      </c>
      <c r="D130" s="8">
        <f>Weekly_Summary!G130</f>
        <v/>
      </c>
      <c r="E130" s="8">
        <f>Weekly_Summary!I130</f>
        <v/>
      </c>
      <c r="F130" s="8">
        <f>Weekly_Summary!J130</f>
        <v/>
      </c>
      <c r="G130" s="7">
        <f>G129*(1+E130)</f>
        <v/>
      </c>
      <c r="H130" s="8">
        <f>C130/MAX($C$2:C130)-1</f>
        <v/>
      </c>
      <c r="I130" s="8">
        <f>G130/MAX($G$2:G130)-1</f>
        <v/>
      </c>
      <c r="J130">
        <f>AND(A130&gt;=DATEVALUE("2024-01-12"),A130&lt;=DATEVALUE("2026-06-26"))</f>
        <v/>
      </c>
    </row>
    <row r="131">
      <c r="A131" s="21">
        <f>Weekly_Summary!B131</f>
        <v/>
      </c>
      <c r="B131" s="7">
        <f>Weekly_Summary!D131</f>
        <v/>
      </c>
      <c r="C131" s="7">
        <f>Weekly_Summary!E131</f>
        <v/>
      </c>
      <c r="D131" s="8">
        <f>Weekly_Summary!G131</f>
        <v/>
      </c>
      <c r="E131" s="8">
        <f>Weekly_Summary!I131</f>
        <v/>
      </c>
      <c r="F131" s="8">
        <f>Weekly_Summary!J131</f>
        <v/>
      </c>
      <c r="G131" s="7">
        <f>G130*(1+E131)</f>
        <v/>
      </c>
      <c r="H131" s="8">
        <f>C131/MAX($C$2:C131)-1</f>
        <v/>
      </c>
      <c r="I131" s="8">
        <f>G131/MAX($G$2:G131)-1</f>
        <v/>
      </c>
      <c r="J131">
        <f>AND(A131&gt;=DATEVALUE("2024-01-12"),A131&lt;=DATEVALUE("2026-06-26"))</f>
        <v/>
      </c>
    </row>
    <row r="132">
      <c r="A132" s="21">
        <f>Weekly_Summary!B132</f>
        <v/>
      </c>
      <c r="B132" s="7">
        <f>Weekly_Summary!D132</f>
        <v/>
      </c>
      <c r="C132" s="7">
        <f>Weekly_Summary!E132</f>
        <v/>
      </c>
      <c r="D132" s="8">
        <f>Weekly_Summary!G132</f>
        <v/>
      </c>
      <c r="E132" s="8">
        <f>Weekly_Summary!I132</f>
        <v/>
      </c>
      <c r="F132" s="8">
        <f>Weekly_Summary!J132</f>
        <v/>
      </c>
      <c r="G132" s="7">
        <f>G131*(1+E132)</f>
        <v/>
      </c>
      <c r="H132" s="8">
        <f>C132/MAX($C$2:C132)-1</f>
        <v/>
      </c>
      <c r="I132" s="8">
        <f>G132/MAX($G$2:G132)-1</f>
        <v/>
      </c>
      <c r="J132">
        <f>AND(A132&gt;=DATEVALUE("2024-01-12"),A132&lt;=DATEVALUE("2026-06-26"))</f>
        <v/>
      </c>
    </row>
    <row r="133">
      <c r="A133" s="21">
        <f>Weekly_Summary!B133</f>
        <v/>
      </c>
      <c r="B133" s="7">
        <f>Weekly_Summary!D133</f>
        <v/>
      </c>
      <c r="C133" s="7">
        <f>Weekly_Summary!E133</f>
        <v/>
      </c>
      <c r="D133" s="8">
        <f>Weekly_Summary!G133</f>
        <v/>
      </c>
      <c r="E133" s="8">
        <f>Weekly_Summary!I133</f>
        <v/>
      </c>
      <c r="F133" s="8">
        <f>Weekly_Summary!J133</f>
        <v/>
      </c>
      <c r="G133" s="7">
        <f>G132*(1+E133)</f>
        <v/>
      </c>
      <c r="H133" s="8">
        <f>C133/MAX($C$2:C133)-1</f>
        <v/>
      </c>
      <c r="I133" s="8">
        <f>G133/MAX($G$2:G133)-1</f>
        <v/>
      </c>
      <c r="J133">
        <f>AND(A133&gt;=DATEVALUE("2024-01-12"),A133&lt;=DATEVALUE("2026-06-26"))</f>
        <v/>
      </c>
    </row>
    <row r="134">
      <c r="A134" s="21">
        <f>Weekly_Summary!B134</f>
        <v/>
      </c>
      <c r="B134" s="7">
        <f>Weekly_Summary!D134</f>
        <v/>
      </c>
      <c r="C134" s="7">
        <f>Weekly_Summary!E134</f>
        <v/>
      </c>
      <c r="D134" s="8">
        <f>Weekly_Summary!G134</f>
        <v/>
      </c>
      <c r="E134" s="8">
        <f>Weekly_Summary!I134</f>
        <v/>
      </c>
      <c r="F134" s="8">
        <f>Weekly_Summary!J134</f>
        <v/>
      </c>
      <c r="G134" s="7">
        <f>G133*(1+E134)</f>
        <v/>
      </c>
      <c r="H134" s="8">
        <f>C134/MAX($C$2:C134)-1</f>
        <v/>
      </c>
      <c r="I134" s="8">
        <f>G134/MAX($G$2:G134)-1</f>
        <v/>
      </c>
      <c r="J134">
        <f>AND(A134&gt;=DATEVALUE("2024-01-12"),A134&lt;=DATEVALUE("2026-06-26"))</f>
        <v/>
      </c>
    </row>
    <row r="135">
      <c r="A135" s="21">
        <f>Weekly_Summary!B135</f>
        <v/>
      </c>
      <c r="B135" s="7">
        <f>Weekly_Summary!D135</f>
        <v/>
      </c>
      <c r="C135" s="7">
        <f>Weekly_Summary!E135</f>
        <v/>
      </c>
      <c r="D135" s="8">
        <f>Weekly_Summary!G135</f>
        <v/>
      </c>
      <c r="E135" s="8">
        <f>Weekly_Summary!I135</f>
        <v/>
      </c>
      <c r="F135" s="8">
        <f>Weekly_Summary!J135</f>
        <v/>
      </c>
      <c r="G135" s="7">
        <f>G134*(1+E135)</f>
        <v/>
      </c>
      <c r="H135" s="8">
        <f>C135/MAX($C$2:C135)-1</f>
        <v/>
      </c>
      <c r="I135" s="8">
        <f>G135/MAX($G$2:G135)-1</f>
        <v/>
      </c>
      <c r="J135">
        <f>AND(A135&gt;=DATEVALUE("2024-01-12"),A135&lt;=DATEVALUE("2026-06-26"))</f>
        <v/>
      </c>
    </row>
    <row r="136">
      <c r="A136" s="21">
        <f>Weekly_Summary!B136</f>
        <v/>
      </c>
      <c r="B136" s="7">
        <f>Weekly_Summary!D136</f>
        <v/>
      </c>
      <c r="C136" s="7">
        <f>Weekly_Summary!E136</f>
        <v/>
      </c>
      <c r="D136" s="8">
        <f>Weekly_Summary!G136</f>
        <v/>
      </c>
      <c r="E136" s="8">
        <f>Weekly_Summary!I136</f>
        <v/>
      </c>
      <c r="F136" s="8">
        <f>Weekly_Summary!J136</f>
        <v/>
      </c>
      <c r="G136" s="7">
        <f>G135*(1+E136)</f>
        <v/>
      </c>
      <c r="H136" s="8">
        <f>C136/MAX($C$2:C136)-1</f>
        <v/>
      </c>
      <c r="I136" s="8">
        <f>G136/MAX($G$2:G136)-1</f>
        <v/>
      </c>
      <c r="J136">
        <f>AND(A136&gt;=DATEVALUE("2024-01-12"),A136&lt;=DATEVALUE("2026-06-26"))</f>
        <v/>
      </c>
    </row>
    <row r="137">
      <c r="A137" s="21">
        <f>Weekly_Summary!B137</f>
        <v/>
      </c>
      <c r="B137" s="7">
        <f>Weekly_Summary!D137</f>
        <v/>
      </c>
      <c r="C137" s="7">
        <f>Weekly_Summary!E137</f>
        <v/>
      </c>
      <c r="D137" s="8">
        <f>Weekly_Summary!G137</f>
        <v/>
      </c>
      <c r="E137" s="8">
        <f>Weekly_Summary!I137</f>
        <v/>
      </c>
      <c r="F137" s="8">
        <f>Weekly_Summary!J137</f>
        <v/>
      </c>
      <c r="G137" s="7">
        <f>G136*(1+E137)</f>
        <v/>
      </c>
      <c r="H137" s="8">
        <f>C137/MAX($C$2:C137)-1</f>
        <v/>
      </c>
      <c r="I137" s="8">
        <f>G137/MAX($G$2:G137)-1</f>
        <v/>
      </c>
      <c r="J137">
        <f>AND(A137&gt;=DATEVALUE("2024-01-12"),A137&lt;=DATEVALUE("2026-06-26"))</f>
        <v/>
      </c>
    </row>
    <row r="138">
      <c r="A138" s="21">
        <f>Weekly_Summary!B138</f>
        <v/>
      </c>
      <c r="B138" s="7">
        <f>Weekly_Summary!D138</f>
        <v/>
      </c>
      <c r="C138" s="7">
        <f>Weekly_Summary!E138</f>
        <v/>
      </c>
      <c r="D138" s="8">
        <f>Weekly_Summary!G138</f>
        <v/>
      </c>
      <c r="E138" s="8">
        <f>Weekly_Summary!I138</f>
        <v/>
      </c>
      <c r="F138" s="8">
        <f>Weekly_Summary!J138</f>
        <v/>
      </c>
      <c r="G138" s="7">
        <f>G137*(1+E138)</f>
        <v/>
      </c>
      <c r="H138" s="8">
        <f>C138/MAX($C$2:C138)-1</f>
        <v/>
      </c>
      <c r="I138" s="8">
        <f>G138/MAX($G$2:G138)-1</f>
        <v/>
      </c>
      <c r="J138">
        <f>AND(A138&gt;=DATEVALUE("2024-01-12"),A138&lt;=DATEVALUE("2026-06-26"))</f>
        <v/>
      </c>
    </row>
    <row r="139">
      <c r="A139" s="21">
        <f>Weekly_Summary!B139</f>
        <v/>
      </c>
      <c r="B139" s="7">
        <f>Weekly_Summary!D139</f>
        <v/>
      </c>
      <c r="C139" s="7">
        <f>Weekly_Summary!E139</f>
        <v/>
      </c>
      <c r="D139" s="8">
        <f>Weekly_Summary!G139</f>
        <v/>
      </c>
      <c r="E139" s="8">
        <f>Weekly_Summary!I139</f>
        <v/>
      </c>
      <c r="F139" s="8">
        <f>Weekly_Summary!J139</f>
        <v/>
      </c>
      <c r="G139" s="7">
        <f>G138*(1+E139)</f>
        <v/>
      </c>
      <c r="H139" s="8">
        <f>C139/MAX($C$2:C139)-1</f>
        <v/>
      </c>
      <c r="I139" s="8">
        <f>G139/MAX($G$2:G139)-1</f>
        <v/>
      </c>
      <c r="J139">
        <f>AND(A139&gt;=DATEVALUE("2024-01-12"),A139&lt;=DATEVALUE("2026-06-26"))</f>
        <v/>
      </c>
    </row>
    <row r="140">
      <c r="A140" s="21">
        <f>Weekly_Summary!B140</f>
        <v/>
      </c>
      <c r="B140" s="7">
        <f>Weekly_Summary!D140</f>
        <v/>
      </c>
      <c r="C140" s="7">
        <f>Weekly_Summary!E140</f>
        <v/>
      </c>
      <c r="D140" s="8">
        <f>Weekly_Summary!G140</f>
        <v/>
      </c>
      <c r="E140" s="8">
        <f>Weekly_Summary!I140</f>
        <v/>
      </c>
      <c r="F140" s="8">
        <f>Weekly_Summary!J140</f>
        <v/>
      </c>
      <c r="G140" s="7">
        <f>G139*(1+E140)</f>
        <v/>
      </c>
      <c r="H140" s="8">
        <f>C140/MAX($C$2:C140)-1</f>
        <v/>
      </c>
      <c r="I140" s="8">
        <f>G140/MAX($G$2:G140)-1</f>
        <v/>
      </c>
      <c r="J140">
        <f>AND(A140&gt;=DATEVALUE("2024-01-12"),A140&lt;=DATEVALUE("2026-06-26"))</f>
        <v/>
      </c>
    </row>
    <row r="141">
      <c r="A141" s="21">
        <f>Weekly_Summary!B141</f>
        <v/>
      </c>
      <c r="B141" s="7">
        <f>Weekly_Summary!D141</f>
        <v/>
      </c>
      <c r="C141" s="7">
        <f>Weekly_Summary!E141</f>
        <v/>
      </c>
      <c r="D141" s="8">
        <f>Weekly_Summary!G141</f>
        <v/>
      </c>
      <c r="E141" s="8">
        <f>Weekly_Summary!I141</f>
        <v/>
      </c>
      <c r="F141" s="8">
        <f>Weekly_Summary!J141</f>
        <v/>
      </c>
      <c r="G141" s="7">
        <f>G140*(1+E141)</f>
        <v/>
      </c>
      <c r="H141" s="8">
        <f>C141/MAX($C$2:C141)-1</f>
        <v/>
      </c>
      <c r="I141" s="8">
        <f>G141/MAX($G$2:G141)-1</f>
        <v/>
      </c>
      <c r="J141">
        <f>AND(A141&gt;=DATEVALUE("2024-01-12"),A141&lt;=DATEVALUE("2026-06-26"))</f>
        <v/>
      </c>
    </row>
    <row r="142">
      <c r="A142" s="21">
        <f>Weekly_Summary!B142</f>
        <v/>
      </c>
      <c r="B142" s="7">
        <f>Weekly_Summary!D142</f>
        <v/>
      </c>
      <c r="C142" s="7">
        <f>Weekly_Summary!E142</f>
        <v/>
      </c>
      <c r="D142" s="8">
        <f>Weekly_Summary!G142</f>
        <v/>
      </c>
      <c r="E142" s="8">
        <f>Weekly_Summary!I142</f>
        <v/>
      </c>
      <c r="F142" s="8">
        <f>Weekly_Summary!J142</f>
        <v/>
      </c>
      <c r="G142" s="7">
        <f>G141*(1+E142)</f>
        <v/>
      </c>
      <c r="H142" s="8">
        <f>C142/MAX($C$2:C142)-1</f>
        <v/>
      </c>
      <c r="I142" s="8">
        <f>G142/MAX($G$2:G142)-1</f>
        <v/>
      </c>
      <c r="J142">
        <f>AND(A142&gt;=DATEVALUE("2024-01-12"),A142&lt;=DATEVALUE("2026-06-26"))</f>
        <v/>
      </c>
    </row>
    <row r="143">
      <c r="A143" s="21">
        <f>Weekly_Summary!B143</f>
        <v/>
      </c>
      <c r="B143" s="7">
        <f>Weekly_Summary!D143</f>
        <v/>
      </c>
      <c r="C143" s="7">
        <f>Weekly_Summary!E143</f>
        <v/>
      </c>
      <c r="D143" s="8">
        <f>Weekly_Summary!G143</f>
        <v/>
      </c>
      <c r="E143" s="8">
        <f>Weekly_Summary!I143</f>
        <v/>
      </c>
      <c r="F143" s="8">
        <f>Weekly_Summary!J143</f>
        <v/>
      </c>
      <c r="G143" s="7">
        <f>G142*(1+E143)</f>
        <v/>
      </c>
      <c r="H143" s="8">
        <f>C143/MAX($C$2:C143)-1</f>
        <v/>
      </c>
      <c r="I143" s="8">
        <f>G143/MAX($G$2:G143)-1</f>
        <v/>
      </c>
      <c r="J143">
        <f>AND(A143&gt;=DATEVALUE("2024-01-12"),A143&lt;=DATEVALUE("2026-06-26"))</f>
        <v/>
      </c>
    </row>
    <row r="144">
      <c r="A144" s="21">
        <f>Weekly_Summary!B144</f>
        <v/>
      </c>
      <c r="B144" s="7">
        <f>Weekly_Summary!D144</f>
        <v/>
      </c>
      <c r="C144" s="7">
        <f>Weekly_Summary!E144</f>
        <v/>
      </c>
      <c r="D144" s="8">
        <f>Weekly_Summary!G144</f>
        <v/>
      </c>
      <c r="E144" s="8">
        <f>Weekly_Summary!I144</f>
        <v/>
      </c>
      <c r="F144" s="8">
        <f>Weekly_Summary!J144</f>
        <v/>
      </c>
      <c r="G144" s="7">
        <f>G143*(1+E144)</f>
        <v/>
      </c>
      <c r="H144" s="8">
        <f>C144/MAX($C$2:C144)-1</f>
        <v/>
      </c>
      <c r="I144" s="8">
        <f>G144/MAX($G$2:G144)-1</f>
        <v/>
      </c>
      <c r="J144">
        <f>AND(A144&gt;=DATEVALUE("2024-01-12"),A144&lt;=DATEVALUE("2026-06-26"))</f>
        <v/>
      </c>
    </row>
    <row r="145">
      <c r="A145" s="21">
        <f>Weekly_Summary!B145</f>
        <v/>
      </c>
      <c r="B145" s="7">
        <f>Weekly_Summary!D145</f>
        <v/>
      </c>
      <c r="C145" s="7">
        <f>Weekly_Summary!E145</f>
        <v/>
      </c>
      <c r="D145" s="8">
        <f>Weekly_Summary!G145</f>
        <v/>
      </c>
      <c r="E145" s="8">
        <f>Weekly_Summary!I145</f>
        <v/>
      </c>
      <c r="F145" s="8">
        <f>Weekly_Summary!J145</f>
        <v/>
      </c>
      <c r="G145" s="7">
        <f>G144*(1+E145)</f>
        <v/>
      </c>
      <c r="H145" s="8">
        <f>C145/MAX($C$2:C145)-1</f>
        <v/>
      </c>
      <c r="I145" s="8">
        <f>G145/MAX($G$2:G145)-1</f>
        <v/>
      </c>
      <c r="J145">
        <f>AND(A145&gt;=DATEVALUE("2024-01-12"),A145&lt;=DATEVALUE("2026-06-26"))</f>
        <v/>
      </c>
    </row>
    <row r="146">
      <c r="A146" s="21">
        <f>Weekly_Summary!B146</f>
        <v/>
      </c>
      <c r="B146" s="7">
        <f>Weekly_Summary!D146</f>
        <v/>
      </c>
      <c r="C146" s="7">
        <f>Weekly_Summary!E146</f>
        <v/>
      </c>
      <c r="D146" s="8">
        <f>Weekly_Summary!G146</f>
        <v/>
      </c>
      <c r="E146" s="8">
        <f>Weekly_Summary!I146</f>
        <v/>
      </c>
      <c r="F146" s="8">
        <f>Weekly_Summary!J146</f>
        <v/>
      </c>
      <c r="G146" s="7">
        <f>G145*(1+E146)</f>
        <v/>
      </c>
      <c r="H146" s="8">
        <f>C146/MAX($C$2:C146)-1</f>
        <v/>
      </c>
      <c r="I146" s="8">
        <f>G146/MAX($G$2:G146)-1</f>
        <v/>
      </c>
      <c r="J146">
        <f>AND(A146&gt;=DATEVALUE("2024-01-12"),A146&lt;=DATEVALUE("2026-06-26"))</f>
        <v/>
      </c>
    </row>
    <row r="147">
      <c r="A147" s="21">
        <f>Weekly_Summary!B147</f>
        <v/>
      </c>
      <c r="B147" s="7">
        <f>Weekly_Summary!D147</f>
        <v/>
      </c>
      <c r="C147" s="7">
        <f>Weekly_Summary!E147</f>
        <v/>
      </c>
      <c r="D147" s="8">
        <f>Weekly_Summary!G147</f>
        <v/>
      </c>
      <c r="E147" s="8">
        <f>Weekly_Summary!I147</f>
        <v/>
      </c>
      <c r="F147" s="8">
        <f>Weekly_Summary!J147</f>
        <v/>
      </c>
      <c r="G147" s="7">
        <f>G146*(1+E147)</f>
        <v/>
      </c>
      <c r="H147" s="8">
        <f>C147/MAX($C$2:C147)-1</f>
        <v/>
      </c>
      <c r="I147" s="8">
        <f>G147/MAX($G$2:G147)-1</f>
        <v/>
      </c>
      <c r="J147">
        <f>AND(A147&gt;=DATEVALUE("2024-01-12"),A147&lt;=DATEVALUE("2026-06-26"))</f>
        <v/>
      </c>
    </row>
    <row r="148">
      <c r="A148" s="21">
        <f>Weekly_Summary!B148</f>
        <v/>
      </c>
      <c r="B148" s="7">
        <f>Weekly_Summary!D148</f>
        <v/>
      </c>
      <c r="C148" s="7">
        <f>Weekly_Summary!E148</f>
        <v/>
      </c>
      <c r="D148" s="8">
        <f>Weekly_Summary!G148</f>
        <v/>
      </c>
      <c r="E148" s="8">
        <f>Weekly_Summary!I148</f>
        <v/>
      </c>
      <c r="F148" s="8">
        <f>Weekly_Summary!J148</f>
        <v/>
      </c>
      <c r="G148" s="7">
        <f>G147*(1+E148)</f>
        <v/>
      </c>
      <c r="H148" s="8">
        <f>C148/MAX($C$2:C148)-1</f>
        <v/>
      </c>
      <c r="I148" s="8">
        <f>G148/MAX($G$2:G148)-1</f>
        <v/>
      </c>
      <c r="J148">
        <f>AND(A148&gt;=DATEVALUE("2024-01-12"),A148&lt;=DATEVALUE("2026-06-26"))</f>
        <v/>
      </c>
    </row>
    <row r="149">
      <c r="A149" s="21">
        <f>Weekly_Summary!B149</f>
        <v/>
      </c>
      <c r="B149" s="7">
        <f>Weekly_Summary!D149</f>
        <v/>
      </c>
      <c r="C149" s="7">
        <f>Weekly_Summary!E149</f>
        <v/>
      </c>
      <c r="D149" s="8">
        <f>Weekly_Summary!G149</f>
        <v/>
      </c>
      <c r="E149" s="8">
        <f>Weekly_Summary!I149</f>
        <v/>
      </c>
      <c r="F149" s="8">
        <f>Weekly_Summary!J149</f>
        <v/>
      </c>
      <c r="G149" s="7">
        <f>G148*(1+E149)</f>
        <v/>
      </c>
      <c r="H149" s="8">
        <f>C149/MAX($C$2:C149)-1</f>
        <v/>
      </c>
      <c r="I149" s="8">
        <f>G149/MAX($G$2:G149)-1</f>
        <v/>
      </c>
      <c r="J149">
        <f>AND(A149&gt;=DATEVALUE("2024-01-12"),A149&lt;=DATEVALUE("2026-06-26"))</f>
        <v/>
      </c>
    </row>
    <row r="150">
      <c r="A150" s="21">
        <f>Weekly_Summary!B150</f>
        <v/>
      </c>
      <c r="B150" s="7">
        <f>Weekly_Summary!D150</f>
        <v/>
      </c>
      <c r="C150" s="7">
        <f>Weekly_Summary!E150</f>
        <v/>
      </c>
      <c r="D150" s="8">
        <f>Weekly_Summary!G150</f>
        <v/>
      </c>
      <c r="E150" s="8">
        <f>Weekly_Summary!I150</f>
        <v/>
      </c>
      <c r="F150" s="8">
        <f>Weekly_Summary!J150</f>
        <v/>
      </c>
      <c r="G150" s="7">
        <f>G149*(1+E150)</f>
        <v/>
      </c>
      <c r="H150" s="8">
        <f>C150/MAX($C$2:C150)-1</f>
        <v/>
      </c>
      <c r="I150" s="8">
        <f>G150/MAX($G$2:G150)-1</f>
        <v/>
      </c>
      <c r="J150">
        <f>AND(A150&gt;=DATEVALUE("2024-01-12"),A150&lt;=DATEVALUE("2026-06-26"))</f>
        <v/>
      </c>
    </row>
    <row r="151">
      <c r="A151" s="21">
        <f>Weekly_Summary!B151</f>
        <v/>
      </c>
      <c r="B151" s="7">
        <f>Weekly_Summary!D151</f>
        <v/>
      </c>
      <c r="C151" s="7">
        <f>Weekly_Summary!E151</f>
        <v/>
      </c>
      <c r="D151" s="8">
        <f>Weekly_Summary!G151</f>
        <v/>
      </c>
      <c r="E151" s="8">
        <f>Weekly_Summary!I151</f>
        <v/>
      </c>
      <c r="F151" s="8">
        <f>Weekly_Summary!J151</f>
        <v/>
      </c>
      <c r="G151" s="7">
        <f>G150*(1+E151)</f>
        <v/>
      </c>
      <c r="H151" s="8">
        <f>C151/MAX($C$2:C151)-1</f>
        <v/>
      </c>
      <c r="I151" s="8">
        <f>G151/MAX($G$2:G151)-1</f>
        <v/>
      </c>
      <c r="J151">
        <f>AND(A151&gt;=DATEVALUE("2024-01-12"),A151&lt;=DATEVALUE("2026-06-26"))</f>
        <v/>
      </c>
    </row>
    <row r="152">
      <c r="A152" s="21">
        <f>Weekly_Summary!B152</f>
        <v/>
      </c>
      <c r="B152" s="7">
        <f>Weekly_Summary!D152</f>
        <v/>
      </c>
      <c r="C152" s="7">
        <f>Weekly_Summary!E152</f>
        <v/>
      </c>
      <c r="D152" s="8">
        <f>Weekly_Summary!G152</f>
        <v/>
      </c>
      <c r="E152" s="8">
        <f>Weekly_Summary!I152</f>
        <v/>
      </c>
      <c r="F152" s="8">
        <f>Weekly_Summary!J152</f>
        <v/>
      </c>
      <c r="G152" s="7">
        <f>G151*(1+E152)</f>
        <v/>
      </c>
      <c r="H152" s="8">
        <f>C152/MAX($C$2:C152)-1</f>
        <v/>
      </c>
      <c r="I152" s="8">
        <f>G152/MAX($G$2:G152)-1</f>
        <v/>
      </c>
      <c r="J152">
        <f>AND(A152&gt;=DATEVALUE("2024-01-12"),A152&lt;=DATEVALUE("2026-06-26"))</f>
        <v/>
      </c>
    </row>
    <row r="153">
      <c r="A153" s="21">
        <f>Weekly_Summary!B153</f>
        <v/>
      </c>
      <c r="B153" s="7">
        <f>Weekly_Summary!D153</f>
        <v/>
      </c>
      <c r="C153" s="7">
        <f>Weekly_Summary!E153</f>
        <v/>
      </c>
      <c r="D153" s="8">
        <f>Weekly_Summary!G153</f>
        <v/>
      </c>
      <c r="E153" s="8">
        <f>Weekly_Summary!I153</f>
        <v/>
      </c>
      <c r="F153" s="8">
        <f>Weekly_Summary!J153</f>
        <v/>
      </c>
      <c r="G153" s="7">
        <f>G152*(1+E153)</f>
        <v/>
      </c>
      <c r="H153" s="8">
        <f>C153/MAX($C$2:C153)-1</f>
        <v/>
      </c>
      <c r="I153" s="8">
        <f>G153/MAX($G$2:G153)-1</f>
        <v/>
      </c>
      <c r="J153">
        <f>AND(A153&gt;=DATEVALUE("2024-01-12"),A153&lt;=DATEVALUE("2026-06-26"))</f>
        <v/>
      </c>
    </row>
    <row r="154">
      <c r="A154" s="21">
        <f>Weekly_Summary!B154</f>
        <v/>
      </c>
      <c r="B154" s="7">
        <f>Weekly_Summary!D154</f>
        <v/>
      </c>
      <c r="C154" s="7">
        <f>Weekly_Summary!E154</f>
        <v/>
      </c>
      <c r="D154" s="8">
        <f>Weekly_Summary!G154</f>
        <v/>
      </c>
      <c r="E154" s="8">
        <f>Weekly_Summary!I154</f>
        <v/>
      </c>
      <c r="F154" s="8">
        <f>Weekly_Summary!J154</f>
        <v/>
      </c>
      <c r="G154" s="7">
        <f>G153*(1+E154)</f>
        <v/>
      </c>
      <c r="H154" s="8">
        <f>C154/MAX($C$2:C154)-1</f>
        <v/>
      </c>
      <c r="I154" s="8">
        <f>G154/MAX($G$2:G154)-1</f>
        <v/>
      </c>
      <c r="J154">
        <f>AND(A154&gt;=DATEVALUE("2024-01-12"),A154&lt;=DATEVALUE("2026-06-26"))</f>
        <v/>
      </c>
    </row>
    <row r="155">
      <c r="A155" s="21">
        <f>Weekly_Summary!B155</f>
        <v/>
      </c>
      <c r="B155" s="7">
        <f>Weekly_Summary!D155</f>
        <v/>
      </c>
      <c r="C155" s="7">
        <f>Weekly_Summary!E155</f>
        <v/>
      </c>
      <c r="D155" s="8">
        <f>Weekly_Summary!G155</f>
        <v/>
      </c>
      <c r="E155" s="8">
        <f>Weekly_Summary!I155</f>
        <v/>
      </c>
      <c r="F155" s="8">
        <f>Weekly_Summary!J155</f>
        <v/>
      </c>
      <c r="G155" s="7">
        <f>G154*(1+E155)</f>
        <v/>
      </c>
      <c r="H155" s="8">
        <f>C155/MAX($C$2:C155)-1</f>
        <v/>
      </c>
      <c r="I155" s="8">
        <f>G155/MAX($G$2:G155)-1</f>
        <v/>
      </c>
      <c r="J155">
        <f>AND(A155&gt;=DATEVALUE("2024-01-12"),A155&lt;=DATEVALUE("2026-06-26"))</f>
        <v/>
      </c>
    </row>
    <row r="156">
      <c r="A156" s="21">
        <f>Weekly_Summary!B156</f>
        <v/>
      </c>
      <c r="B156" s="7">
        <f>Weekly_Summary!D156</f>
        <v/>
      </c>
      <c r="C156" s="7">
        <f>Weekly_Summary!E156</f>
        <v/>
      </c>
      <c r="D156" s="8">
        <f>Weekly_Summary!G156</f>
        <v/>
      </c>
      <c r="E156" s="8">
        <f>Weekly_Summary!I156</f>
        <v/>
      </c>
      <c r="F156" s="8">
        <f>Weekly_Summary!J156</f>
        <v/>
      </c>
      <c r="G156" s="7">
        <f>G155*(1+E156)</f>
        <v/>
      </c>
      <c r="H156" s="8">
        <f>C156/MAX($C$2:C156)-1</f>
        <v/>
      </c>
      <c r="I156" s="8">
        <f>G156/MAX($G$2:G156)-1</f>
        <v/>
      </c>
      <c r="J156">
        <f>AND(A156&gt;=DATEVALUE("2024-01-12"),A156&lt;=DATEVALUE("2026-06-26"))</f>
        <v/>
      </c>
    </row>
    <row r="157">
      <c r="A157" s="21">
        <f>Weekly_Summary!B157</f>
        <v/>
      </c>
      <c r="B157" s="7">
        <f>Weekly_Summary!D157</f>
        <v/>
      </c>
      <c r="C157" s="7">
        <f>Weekly_Summary!E157</f>
        <v/>
      </c>
      <c r="D157" s="8">
        <f>Weekly_Summary!G157</f>
        <v/>
      </c>
      <c r="E157" s="8">
        <f>Weekly_Summary!I157</f>
        <v/>
      </c>
      <c r="F157" s="8">
        <f>Weekly_Summary!J157</f>
        <v/>
      </c>
      <c r="G157" s="7">
        <f>G156*(1+E157)</f>
        <v/>
      </c>
      <c r="H157" s="8">
        <f>C157/MAX($C$2:C157)-1</f>
        <v/>
      </c>
      <c r="I157" s="8">
        <f>G157/MAX($G$2:G157)-1</f>
        <v/>
      </c>
      <c r="J157">
        <f>AND(A157&gt;=DATEVALUE("2024-01-12"),A157&lt;=DATEVALUE("2026-06-26"))</f>
        <v/>
      </c>
    </row>
    <row r="158">
      <c r="A158" s="21">
        <f>Weekly_Summary!B158</f>
        <v/>
      </c>
      <c r="B158" s="7">
        <f>Weekly_Summary!D158</f>
        <v/>
      </c>
      <c r="C158" s="7">
        <f>Weekly_Summary!E158</f>
        <v/>
      </c>
      <c r="D158" s="8">
        <f>Weekly_Summary!G158</f>
        <v/>
      </c>
      <c r="E158" s="8">
        <f>Weekly_Summary!I158</f>
        <v/>
      </c>
      <c r="F158" s="8">
        <f>Weekly_Summary!J158</f>
        <v/>
      </c>
      <c r="G158" s="7">
        <f>G157*(1+E158)</f>
        <v/>
      </c>
      <c r="H158" s="8">
        <f>C158/MAX($C$2:C158)-1</f>
        <v/>
      </c>
      <c r="I158" s="8">
        <f>G158/MAX($G$2:G158)-1</f>
        <v/>
      </c>
      <c r="J158">
        <f>AND(A158&gt;=DATEVALUE("2024-01-12"),A158&lt;=DATEVALUE("2026-06-26"))</f>
        <v/>
      </c>
    </row>
    <row r="159">
      <c r="A159" s="21">
        <f>Weekly_Summary!B159</f>
        <v/>
      </c>
      <c r="B159" s="7">
        <f>Weekly_Summary!D159</f>
        <v/>
      </c>
      <c r="C159" s="7">
        <f>Weekly_Summary!E159</f>
        <v/>
      </c>
      <c r="D159" s="8">
        <f>Weekly_Summary!G159</f>
        <v/>
      </c>
      <c r="E159" s="8">
        <f>Weekly_Summary!I159</f>
        <v/>
      </c>
      <c r="F159" s="8">
        <f>Weekly_Summary!J159</f>
        <v/>
      </c>
      <c r="G159" s="7">
        <f>G158*(1+E159)</f>
        <v/>
      </c>
      <c r="H159" s="8">
        <f>C159/MAX($C$2:C159)-1</f>
        <v/>
      </c>
      <c r="I159" s="8">
        <f>G159/MAX($G$2:G159)-1</f>
        <v/>
      </c>
      <c r="J159">
        <f>AND(A159&gt;=DATEVALUE("2024-01-12"),A159&lt;=DATEVALUE("2026-06-26"))</f>
        <v/>
      </c>
    </row>
    <row r="160">
      <c r="A160" s="21">
        <f>Weekly_Summary!B160</f>
        <v/>
      </c>
      <c r="B160" s="7">
        <f>Weekly_Summary!D160</f>
        <v/>
      </c>
      <c r="C160" s="7">
        <f>Weekly_Summary!E160</f>
        <v/>
      </c>
      <c r="D160" s="8">
        <f>Weekly_Summary!G160</f>
        <v/>
      </c>
      <c r="E160" s="8">
        <f>Weekly_Summary!I160</f>
        <v/>
      </c>
      <c r="F160" s="8">
        <f>Weekly_Summary!J160</f>
        <v/>
      </c>
      <c r="G160" s="7">
        <f>G159*(1+E160)</f>
        <v/>
      </c>
      <c r="H160" s="8">
        <f>C160/MAX($C$2:C160)-1</f>
        <v/>
      </c>
      <c r="I160" s="8">
        <f>G160/MAX($G$2:G160)-1</f>
        <v/>
      </c>
      <c r="J160">
        <f>AND(A160&gt;=DATEVALUE("2024-01-12"),A160&lt;=DATEVALUE("2026-06-26"))</f>
        <v/>
      </c>
    </row>
    <row r="161">
      <c r="A161" s="21">
        <f>Weekly_Summary!B161</f>
        <v/>
      </c>
      <c r="B161" s="7">
        <f>Weekly_Summary!D161</f>
        <v/>
      </c>
      <c r="C161" s="7">
        <f>Weekly_Summary!E161</f>
        <v/>
      </c>
      <c r="D161" s="8">
        <f>Weekly_Summary!G161</f>
        <v/>
      </c>
      <c r="E161" s="8">
        <f>Weekly_Summary!I161</f>
        <v/>
      </c>
      <c r="F161" s="8">
        <f>Weekly_Summary!J161</f>
        <v/>
      </c>
      <c r="G161" s="7">
        <f>G160*(1+E161)</f>
        <v/>
      </c>
      <c r="H161" s="8">
        <f>C161/MAX($C$2:C161)-1</f>
        <v/>
      </c>
      <c r="I161" s="8">
        <f>G161/MAX($G$2:G161)-1</f>
        <v/>
      </c>
      <c r="J161">
        <f>AND(A161&gt;=DATEVALUE("2024-01-12"),A161&lt;=DATEVALUE("2026-06-26"))</f>
        <v/>
      </c>
    </row>
    <row r="162">
      <c r="A162" s="21">
        <f>Weekly_Summary!B162</f>
        <v/>
      </c>
      <c r="B162" s="7">
        <f>Weekly_Summary!D162</f>
        <v/>
      </c>
      <c r="C162" s="7">
        <f>Weekly_Summary!E162</f>
        <v/>
      </c>
      <c r="D162" s="8">
        <f>Weekly_Summary!G162</f>
        <v/>
      </c>
      <c r="E162" s="8">
        <f>Weekly_Summary!I162</f>
        <v/>
      </c>
      <c r="F162" s="8">
        <f>Weekly_Summary!J162</f>
        <v/>
      </c>
      <c r="G162" s="7">
        <f>G161*(1+E162)</f>
        <v/>
      </c>
      <c r="H162" s="8">
        <f>C162/MAX($C$2:C162)-1</f>
        <v/>
      </c>
      <c r="I162" s="8">
        <f>G162/MAX($G$2:G162)-1</f>
        <v/>
      </c>
      <c r="J162">
        <f>AND(A162&gt;=DATEVALUE("2024-01-12"),A162&lt;=DATEVALUE("2026-06-26"))</f>
        <v/>
      </c>
    </row>
    <row r="163">
      <c r="A163" s="21">
        <f>Weekly_Summary!B163</f>
        <v/>
      </c>
      <c r="B163" s="7">
        <f>Weekly_Summary!D163</f>
        <v/>
      </c>
      <c r="C163" s="7">
        <f>Weekly_Summary!E163</f>
        <v/>
      </c>
      <c r="D163" s="8">
        <f>Weekly_Summary!G163</f>
        <v/>
      </c>
      <c r="E163" s="8">
        <f>Weekly_Summary!I163</f>
        <v/>
      </c>
      <c r="F163" s="8">
        <f>Weekly_Summary!J163</f>
        <v/>
      </c>
      <c r="G163" s="7">
        <f>G162*(1+E163)</f>
        <v/>
      </c>
      <c r="H163" s="8">
        <f>C163/MAX($C$2:C163)-1</f>
        <v/>
      </c>
      <c r="I163" s="8">
        <f>G163/MAX($G$2:G163)-1</f>
        <v/>
      </c>
      <c r="J163">
        <f>AND(A163&gt;=DATEVALUE("2024-01-12"),A163&lt;=DATEVALUE("2026-06-26"))</f>
        <v/>
      </c>
    </row>
    <row r="164">
      <c r="A164" s="21">
        <f>Weekly_Summary!B164</f>
        <v/>
      </c>
      <c r="B164" s="7">
        <f>Weekly_Summary!D164</f>
        <v/>
      </c>
      <c r="C164" s="7">
        <f>Weekly_Summary!E164</f>
        <v/>
      </c>
      <c r="D164" s="8">
        <f>Weekly_Summary!G164</f>
        <v/>
      </c>
      <c r="E164" s="8">
        <f>Weekly_Summary!I164</f>
        <v/>
      </c>
      <c r="F164" s="8">
        <f>Weekly_Summary!J164</f>
        <v/>
      </c>
      <c r="G164" s="7">
        <f>G163*(1+E164)</f>
        <v/>
      </c>
      <c r="H164" s="8">
        <f>C164/MAX($C$2:C164)-1</f>
        <v/>
      </c>
      <c r="I164" s="8">
        <f>G164/MAX($G$2:G164)-1</f>
        <v/>
      </c>
      <c r="J164">
        <f>AND(A164&gt;=DATEVALUE("2024-01-12"),A164&lt;=DATEVALUE("2026-06-26"))</f>
        <v/>
      </c>
    </row>
    <row r="165">
      <c r="A165" s="21">
        <f>Weekly_Summary!B165</f>
        <v/>
      </c>
      <c r="B165" s="7">
        <f>Weekly_Summary!D165</f>
        <v/>
      </c>
      <c r="C165" s="7">
        <f>Weekly_Summary!E165</f>
        <v/>
      </c>
      <c r="D165" s="8">
        <f>Weekly_Summary!G165</f>
        <v/>
      </c>
      <c r="E165" s="8">
        <f>Weekly_Summary!I165</f>
        <v/>
      </c>
      <c r="F165" s="8">
        <f>Weekly_Summary!J165</f>
        <v/>
      </c>
      <c r="G165" s="7">
        <f>G164*(1+E165)</f>
        <v/>
      </c>
      <c r="H165" s="8">
        <f>C165/MAX($C$2:C165)-1</f>
        <v/>
      </c>
      <c r="I165" s="8">
        <f>G165/MAX($G$2:G165)-1</f>
        <v/>
      </c>
      <c r="J165">
        <f>AND(A165&gt;=DATEVALUE("2024-01-12"),A165&lt;=DATEVALUE("2026-06-26"))</f>
        <v/>
      </c>
    </row>
    <row r="166">
      <c r="A166" s="21">
        <f>Weekly_Summary!B166</f>
        <v/>
      </c>
      <c r="B166" s="7">
        <f>Weekly_Summary!D166</f>
        <v/>
      </c>
      <c r="C166" s="7">
        <f>Weekly_Summary!E166</f>
        <v/>
      </c>
      <c r="D166" s="8">
        <f>Weekly_Summary!G166</f>
        <v/>
      </c>
      <c r="E166" s="8">
        <f>Weekly_Summary!I166</f>
        <v/>
      </c>
      <c r="F166" s="8">
        <f>Weekly_Summary!J166</f>
        <v/>
      </c>
      <c r="G166" s="7">
        <f>G165*(1+E166)</f>
        <v/>
      </c>
      <c r="H166" s="8">
        <f>C166/MAX($C$2:C166)-1</f>
        <v/>
      </c>
      <c r="I166" s="8">
        <f>G166/MAX($G$2:G166)-1</f>
        <v/>
      </c>
      <c r="J166">
        <f>AND(A166&gt;=DATEVALUE("2024-01-12"),A166&lt;=DATEVALUE("2026-06-26"))</f>
        <v/>
      </c>
    </row>
    <row r="167">
      <c r="A167" s="21">
        <f>Weekly_Summary!B167</f>
        <v/>
      </c>
      <c r="B167" s="7">
        <f>Weekly_Summary!D167</f>
        <v/>
      </c>
      <c r="C167" s="7">
        <f>Weekly_Summary!E167</f>
        <v/>
      </c>
      <c r="D167" s="8">
        <f>Weekly_Summary!G167</f>
        <v/>
      </c>
      <c r="E167" s="8">
        <f>Weekly_Summary!I167</f>
        <v/>
      </c>
      <c r="F167" s="8">
        <f>Weekly_Summary!J167</f>
        <v/>
      </c>
      <c r="G167" s="7">
        <f>G166*(1+E167)</f>
        <v/>
      </c>
      <c r="H167" s="8">
        <f>C167/MAX($C$2:C167)-1</f>
        <v/>
      </c>
      <c r="I167" s="8">
        <f>G167/MAX($G$2:G167)-1</f>
        <v/>
      </c>
      <c r="J167">
        <f>AND(A167&gt;=DATEVALUE("2024-01-12"),A167&lt;=DATEVALUE("2026-06-26"))</f>
        <v/>
      </c>
    </row>
    <row r="168">
      <c r="A168" s="21">
        <f>Weekly_Summary!B168</f>
        <v/>
      </c>
      <c r="B168" s="7">
        <f>Weekly_Summary!D168</f>
        <v/>
      </c>
      <c r="C168" s="7">
        <f>Weekly_Summary!E168</f>
        <v/>
      </c>
      <c r="D168" s="8">
        <f>Weekly_Summary!G168</f>
        <v/>
      </c>
      <c r="E168" s="8">
        <f>Weekly_Summary!I168</f>
        <v/>
      </c>
      <c r="F168" s="8">
        <f>Weekly_Summary!J168</f>
        <v/>
      </c>
      <c r="G168" s="7">
        <f>G167*(1+E168)</f>
        <v/>
      </c>
      <c r="H168" s="8">
        <f>C168/MAX($C$2:C168)-1</f>
        <v/>
      </c>
      <c r="I168" s="8">
        <f>G168/MAX($G$2:G168)-1</f>
        <v/>
      </c>
      <c r="J168">
        <f>AND(A168&gt;=DATEVALUE("2024-01-12"),A168&lt;=DATEVALUE("2026-06-26"))</f>
        <v/>
      </c>
    </row>
    <row r="169">
      <c r="A169" s="21">
        <f>Weekly_Summary!B169</f>
        <v/>
      </c>
      <c r="B169" s="7">
        <f>Weekly_Summary!D169</f>
        <v/>
      </c>
      <c r="C169" s="7">
        <f>Weekly_Summary!E169</f>
        <v/>
      </c>
      <c r="D169" s="8">
        <f>Weekly_Summary!G169</f>
        <v/>
      </c>
      <c r="E169" s="8">
        <f>Weekly_Summary!I169</f>
        <v/>
      </c>
      <c r="F169" s="8">
        <f>Weekly_Summary!J169</f>
        <v/>
      </c>
      <c r="G169" s="7">
        <f>G168*(1+E169)</f>
        <v/>
      </c>
      <c r="H169" s="8">
        <f>C169/MAX($C$2:C169)-1</f>
        <v/>
      </c>
      <c r="I169" s="8">
        <f>G169/MAX($G$2:G169)-1</f>
        <v/>
      </c>
      <c r="J169">
        <f>AND(A169&gt;=DATEVALUE("2024-01-12"),A169&lt;=DATEVALUE("2026-06-26"))</f>
        <v/>
      </c>
    </row>
    <row r="170">
      <c r="A170" s="21">
        <f>Weekly_Summary!B170</f>
        <v/>
      </c>
      <c r="B170" s="7">
        <f>Weekly_Summary!D170</f>
        <v/>
      </c>
      <c r="C170" s="7">
        <f>Weekly_Summary!E170</f>
        <v/>
      </c>
      <c r="D170" s="8">
        <f>Weekly_Summary!G170</f>
        <v/>
      </c>
      <c r="E170" s="8">
        <f>Weekly_Summary!I170</f>
        <v/>
      </c>
      <c r="F170" s="8">
        <f>Weekly_Summary!J170</f>
        <v/>
      </c>
      <c r="G170" s="7">
        <f>G169*(1+E170)</f>
        <v/>
      </c>
      <c r="H170" s="8">
        <f>C170/MAX($C$2:C170)-1</f>
        <v/>
      </c>
      <c r="I170" s="8">
        <f>G170/MAX($G$2:G170)-1</f>
        <v/>
      </c>
      <c r="J170">
        <f>AND(A170&gt;=DATEVALUE("2024-01-12"),A170&lt;=DATEVALUE("2026-06-26"))</f>
        <v/>
      </c>
    </row>
    <row r="171">
      <c r="A171" s="21">
        <f>Weekly_Summary!B171</f>
        <v/>
      </c>
      <c r="B171" s="7">
        <f>Weekly_Summary!D171</f>
        <v/>
      </c>
      <c r="C171" s="7">
        <f>Weekly_Summary!E171</f>
        <v/>
      </c>
      <c r="D171" s="8">
        <f>Weekly_Summary!G171</f>
        <v/>
      </c>
      <c r="E171" s="8">
        <f>Weekly_Summary!I171</f>
        <v/>
      </c>
      <c r="F171" s="8">
        <f>Weekly_Summary!J171</f>
        <v/>
      </c>
      <c r="G171" s="7">
        <f>G170*(1+E171)</f>
        <v/>
      </c>
      <c r="H171" s="8">
        <f>C171/MAX($C$2:C171)-1</f>
        <v/>
      </c>
      <c r="I171" s="8">
        <f>G171/MAX($G$2:G171)-1</f>
        <v/>
      </c>
      <c r="J171">
        <f>AND(A171&gt;=DATEVALUE("2024-01-12"),A171&lt;=DATEVALUE("2026-06-26"))</f>
        <v/>
      </c>
    </row>
    <row r="172">
      <c r="A172" s="21">
        <f>Weekly_Summary!B172</f>
        <v/>
      </c>
      <c r="B172" s="7">
        <f>Weekly_Summary!D172</f>
        <v/>
      </c>
      <c r="C172" s="7">
        <f>Weekly_Summary!E172</f>
        <v/>
      </c>
      <c r="D172" s="8">
        <f>Weekly_Summary!G172</f>
        <v/>
      </c>
      <c r="E172" s="8">
        <f>Weekly_Summary!I172</f>
        <v/>
      </c>
      <c r="F172" s="8">
        <f>Weekly_Summary!J172</f>
        <v/>
      </c>
      <c r="G172" s="7">
        <f>G171*(1+E172)</f>
        <v/>
      </c>
      <c r="H172" s="8">
        <f>C172/MAX($C$2:C172)-1</f>
        <v/>
      </c>
      <c r="I172" s="8">
        <f>G172/MAX($G$2:G172)-1</f>
        <v/>
      </c>
      <c r="J172">
        <f>AND(A172&gt;=DATEVALUE("2024-01-12"),A172&lt;=DATEVALUE("2026-06-26"))</f>
        <v/>
      </c>
    </row>
    <row r="173">
      <c r="A173" s="21">
        <f>Weekly_Summary!B173</f>
        <v/>
      </c>
      <c r="B173" s="7">
        <f>Weekly_Summary!D173</f>
        <v/>
      </c>
      <c r="C173" s="7">
        <f>Weekly_Summary!E173</f>
        <v/>
      </c>
      <c r="D173" s="8">
        <f>Weekly_Summary!G173</f>
        <v/>
      </c>
      <c r="E173" s="8">
        <f>Weekly_Summary!I173</f>
        <v/>
      </c>
      <c r="F173" s="8">
        <f>Weekly_Summary!J173</f>
        <v/>
      </c>
      <c r="G173" s="7">
        <f>G172*(1+E173)</f>
        <v/>
      </c>
      <c r="H173" s="8">
        <f>C173/MAX($C$2:C173)-1</f>
        <v/>
      </c>
      <c r="I173" s="8">
        <f>G173/MAX($G$2:G173)-1</f>
        <v/>
      </c>
      <c r="J173">
        <f>AND(A173&gt;=DATEVALUE("2024-01-12"),A173&lt;=DATEVALUE("2026-06-26"))</f>
        <v/>
      </c>
    </row>
    <row r="174">
      <c r="A174" s="21">
        <f>Weekly_Summary!B174</f>
        <v/>
      </c>
      <c r="B174" s="7">
        <f>Weekly_Summary!D174</f>
        <v/>
      </c>
      <c r="C174" s="7">
        <f>Weekly_Summary!E174</f>
        <v/>
      </c>
      <c r="D174" s="8">
        <f>Weekly_Summary!G174</f>
        <v/>
      </c>
      <c r="E174" s="8">
        <f>Weekly_Summary!I174</f>
        <v/>
      </c>
      <c r="F174" s="8">
        <f>Weekly_Summary!J174</f>
        <v/>
      </c>
      <c r="G174" s="7">
        <f>G173*(1+E174)</f>
        <v/>
      </c>
      <c r="H174" s="8">
        <f>C174/MAX($C$2:C174)-1</f>
        <v/>
      </c>
      <c r="I174" s="8">
        <f>G174/MAX($G$2:G174)-1</f>
        <v/>
      </c>
      <c r="J174">
        <f>AND(A174&gt;=DATEVALUE("2024-01-12"),A174&lt;=DATEVALUE("2026-06-26"))</f>
        <v/>
      </c>
    </row>
    <row r="175">
      <c r="A175" s="21">
        <f>Weekly_Summary!B175</f>
        <v/>
      </c>
      <c r="B175" s="7">
        <f>Weekly_Summary!D175</f>
        <v/>
      </c>
      <c r="C175" s="7">
        <f>Weekly_Summary!E175</f>
        <v/>
      </c>
      <c r="D175" s="8">
        <f>Weekly_Summary!G175</f>
        <v/>
      </c>
      <c r="E175" s="8">
        <f>Weekly_Summary!I175</f>
        <v/>
      </c>
      <c r="F175" s="8">
        <f>Weekly_Summary!J175</f>
        <v/>
      </c>
      <c r="G175" s="7">
        <f>G174*(1+E175)</f>
        <v/>
      </c>
      <c r="H175" s="8">
        <f>C175/MAX($C$2:C175)-1</f>
        <v/>
      </c>
      <c r="I175" s="8">
        <f>G175/MAX($G$2:G175)-1</f>
        <v/>
      </c>
      <c r="J175">
        <f>AND(A175&gt;=DATEVALUE("2024-01-12"),A175&lt;=DATEVALUE("2026-06-26"))</f>
        <v/>
      </c>
    </row>
    <row r="176">
      <c r="A176" s="21">
        <f>Weekly_Summary!B176</f>
        <v/>
      </c>
      <c r="B176" s="7">
        <f>Weekly_Summary!D176</f>
        <v/>
      </c>
      <c r="C176" s="7">
        <f>Weekly_Summary!E176</f>
        <v/>
      </c>
      <c r="D176" s="8">
        <f>Weekly_Summary!G176</f>
        <v/>
      </c>
      <c r="E176" s="8">
        <f>Weekly_Summary!I176</f>
        <v/>
      </c>
      <c r="F176" s="8">
        <f>Weekly_Summary!J176</f>
        <v/>
      </c>
      <c r="G176" s="7">
        <f>G175*(1+E176)</f>
        <v/>
      </c>
      <c r="H176" s="8">
        <f>C176/MAX($C$2:C176)-1</f>
        <v/>
      </c>
      <c r="I176" s="8">
        <f>G176/MAX($G$2:G176)-1</f>
        <v/>
      </c>
      <c r="J176">
        <f>AND(A176&gt;=DATEVALUE("2024-01-12"),A176&lt;=DATEVALUE("2026-06-26"))</f>
        <v/>
      </c>
    </row>
    <row r="177">
      <c r="A177" s="21">
        <f>Weekly_Summary!B177</f>
        <v/>
      </c>
      <c r="B177" s="7">
        <f>Weekly_Summary!D177</f>
        <v/>
      </c>
      <c r="C177" s="7">
        <f>Weekly_Summary!E177</f>
        <v/>
      </c>
      <c r="D177" s="8">
        <f>Weekly_Summary!G177</f>
        <v/>
      </c>
      <c r="E177" s="8">
        <f>Weekly_Summary!I177</f>
        <v/>
      </c>
      <c r="F177" s="8">
        <f>Weekly_Summary!J177</f>
        <v/>
      </c>
      <c r="G177" s="7">
        <f>G176*(1+E177)</f>
        <v/>
      </c>
      <c r="H177" s="8">
        <f>C177/MAX($C$2:C177)-1</f>
        <v/>
      </c>
      <c r="I177" s="8">
        <f>G177/MAX($G$2:G177)-1</f>
        <v/>
      </c>
      <c r="J177">
        <f>AND(A177&gt;=DATEVALUE("2024-01-12"),A177&lt;=DATEVALUE("2026-06-26"))</f>
        <v/>
      </c>
    </row>
    <row r="178">
      <c r="A178" s="21">
        <f>Weekly_Summary!B178</f>
        <v/>
      </c>
      <c r="B178" s="7">
        <f>Weekly_Summary!D178</f>
        <v/>
      </c>
      <c r="C178" s="7">
        <f>Weekly_Summary!E178</f>
        <v/>
      </c>
      <c r="D178" s="8">
        <f>Weekly_Summary!G178</f>
        <v/>
      </c>
      <c r="E178" s="8">
        <f>Weekly_Summary!I178</f>
        <v/>
      </c>
      <c r="F178" s="8">
        <f>Weekly_Summary!J178</f>
        <v/>
      </c>
      <c r="G178" s="7">
        <f>G177*(1+E178)</f>
        <v/>
      </c>
      <c r="H178" s="8">
        <f>C178/MAX($C$2:C178)-1</f>
        <v/>
      </c>
      <c r="I178" s="8">
        <f>G178/MAX($G$2:G178)-1</f>
        <v/>
      </c>
      <c r="J178">
        <f>AND(A178&gt;=DATEVALUE("2024-01-12"),A178&lt;=DATEVALUE("2026-06-26"))</f>
        <v/>
      </c>
    </row>
    <row r="179">
      <c r="A179" s="21">
        <f>Weekly_Summary!B179</f>
        <v/>
      </c>
      <c r="B179" s="7">
        <f>Weekly_Summary!D179</f>
        <v/>
      </c>
      <c r="C179" s="7">
        <f>Weekly_Summary!E179</f>
        <v/>
      </c>
      <c r="D179" s="8">
        <f>Weekly_Summary!G179</f>
        <v/>
      </c>
      <c r="E179" s="8">
        <f>Weekly_Summary!I179</f>
        <v/>
      </c>
      <c r="F179" s="8">
        <f>Weekly_Summary!J179</f>
        <v/>
      </c>
      <c r="G179" s="7">
        <f>G178*(1+E179)</f>
        <v/>
      </c>
      <c r="H179" s="8">
        <f>C179/MAX($C$2:C179)-1</f>
        <v/>
      </c>
      <c r="I179" s="8">
        <f>G179/MAX($G$2:G179)-1</f>
        <v/>
      </c>
      <c r="J179">
        <f>AND(A179&gt;=DATEVALUE("2024-01-12"),A179&lt;=DATEVALUE("2026-06-26"))</f>
        <v/>
      </c>
    </row>
    <row r="180">
      <c r="A180" s="21">
        <f>Weekly_Summary!B180</f>
        <v/>
      </c>
      <c r="B180" s="7">
        <f>Weekly_Summary!D180</f>
        <v/>
      </c>
      <c r="C180" s="7">
        <f>Weekly_Summary!E180</f>
        <v/>
      </c>
      <c r="D180" s="8">
        <f>Weekly_Summary!G180</f>
        <v/>
      </c>
      <c r="E180" s="8">
        <f>Weekly_Summary!I180</f>
        <v/>
      </c>
      <c r="F180" s="8">
        <f>Weekly_Summary!J180</f>
        <v/>
      </c>
      <c r="G180" s="7">
        <f>G179*(1+E180)</f>
        <v/>
      </c>
      <c r="H180" s="8">
        <f>C180/MAX($C$2:C180)-1</f>
        <v/>
      </c>
      <c r="I180" s="8">
        <f>G180/MAX($G$2:G180)-1</f>
        <v/>
      </c>
      <c r="J180">
        <f>AND(A180&gt;=DATEVALUE("2024-01-12"),A180&lt;=DATEVALUE("2026-06-26"))</f>
        <v/>
      </c>
    </row>
    <row r="181">
      <c r="A181" s="21">
        <f>Weekly_Summary!B181</f>
        <v/>
      </c>
      <c r="B181" s="7">
        <f>Weekly_Summary!D181</f>
        <v/>
      </c>
      <c r="C181" s="7">
        <f>Weekly_Summary!E181</f>
        <v/>
      </c>
      <c r="D181" s="8">
        <f>Weekly_Summary!G181</f>
        <v/>
      </c>
      <c r="E181" s="8">
        <f>Weekly_Summary!I181</f>
        <v/>
      </c>
      <c r="F181" s="8">
        <f>Weekly_Summary!J181</f>
        <v/>
      </c>
      <c r="G181" s="7">
        <f>G180*(1+E181)</f>
        <v/>
      </c>
      <c r="H181" s="8">
        <f>C181/MAX($C$2:C181)-1</f>
        <v/>
      </c>
      <c r="I181" s="8">
        <f>G181/MAX($G$2:G181)-1</f>
        <v/>
      </c>
      <c r="J181">
        <f>AND(A181&gt;=DATEVALUE("2024-01-12"),A181&lt;=DATEVALUE("2026-06-26"))</f>
        <v/>
      </c>
    </row>
    <row r="182">
      <c r="A182" s="21">
        <f>Weekly_Summary!B182</f>
        <v/>
      </c>
      <c r="B182" s="7">
        <f>Weekly_Summary!D182</f>
        <v/>
      </c>
      <c r="C182" s="7">
        <f>Weekly_Summary!E182</f>
        <v/>
      </c>
      <c r="D182" s="8">
        <f>Weekly_Summary!G182</f>
        <v/>
      </c>
      <c r="E182" s="8">
        <f>Weekly_Summary!I182</f>
        <v/>
      </c>
      <c r="F182" s="8">
        <f>Weekly_Summary!J182</f>
        <v/>
      </c>
      <c r="G182" s="7">
        <f>G181*(1+E182)</f>
        <v/>
      </c>
      <c r="H182" s="8">
        <f>C182/MAX($C$2:C182)-1</f>
        <v/>
      </c>
      <c r="I182" s="8">
        <f>G182/MAX($G$2:G182)-1</f>
        <v/>
      </c>
      <c r="J182">
        <f>AND(A182&gt;=DATEVALUE("2024-01-12"),A182&lt;=DATEVALUE("2026-06-26"))</f>
        <v/>
      </c>
    </row>
    <row r="183">
      <c r="A183" s="21">
        <f>Weekly_Summary!B183</f>
        <v/>
      </c>
      <c r="B183" s="7">
        <f>Weekly_Summary!D183</f>
        <v/>
      </c>
      <c r="C183" s="7">
        <f>Weekly_Summary!E183</f>
        <v/>
      </c>
      <c r="D183" s="8">
        <f>Weekly_Summary!G183</f>
        <v/>
      </c>
      <c r="E183" s="8">
        <f>Weekly_Summary!I183</f>
        <v/>
      </c>
      <c r="F183" s="8">
        <f>Weekly_Summary!J183</f>
        <v/>
      </c>
      <c r="G183" s="7">
        <f>G182*(1+E183)</f>
        <v/>
      </c>
      <c r="H183" s="8">
        <f>C183/MAX($C$2:C183)-1</f>
        <v/>
      </c>
      <c r="I183" s="8">
        <f>G183/MAX($G$2:G183)-1</f>
        <v/>
      </c>
      <c r="J183">
        <f>AND(A183&gt;=DATEVALUE("2024-01-12"),A183&lt;=DATEVALUE("2026-06-26"))</f>
        <v/>
      </c>
    </row>
  </sheetData>
  <autoFilter ref="A1:J183"/>
  <conditionalFormatting sqref="D2:D18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2:E183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F2:F183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H2:H18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I2:I183">
    <cfRule type="cellIs" priority="9" operator="lessThan" dxfId="0">
      <formula>0</formula>
    </cfRule>
    <cfRule type="cellIs" priority="10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4" customWidth="1" min="4" max="4"/>
    <col width="22" customWidth="1" min="5" max="5"/>
    <col width="13" customWidth="1" min="6" max="6"/>
    <col width="16" customWidth="1" min="7" max="7"/>
    <col width="18" customWidth="1" min="8" max="8"/>
    <col width="19" customWidth="1" min="9" max="9"/>
    <col width="16" customWidth="1" min="10" max="10"/>
    <col width="12" customWidth="1" min="11" max="11"/>
    <col width="34" customWidth="1" min="12" max="12"/>
    <col width="34" customWidth="1" min="13" max="13"/>
    <col width="17" customWidth="1" min="14" max="14"/>
  </cols>
  <sheetData>
    <row r="1">
      <c r="A1" s="5" t="inlineStr">
        <is>
          <t>Market</t>
        </is>
      </c>
      <c r="B1" s="5" t="inlineStr">
        <is>
          <t>WeekEnding</t>
        </is>
      </c>
      <c r="C1" s="5" t="inlineStr">
        <is>
          <t>Benchmark</t>
        </is>
      </c>
      <c r="D1" s="5" t="inlineStr">
        <is>
          <t>portfolio_start_value</t>
        </is>
      </c>
      <c r="E1" s="5" t="inlineStr">
        <is>
          <t>portfolio_end_value</t>
        </is>
      </c>
      <c r="F1" s="5" t="inlineStr">
        <is>
          <t>weekly_pnl</t>
        </is>
      </c>
      <c r="G1" s="5" t="inlineStr">
        <is>
          <t>weekly_return</t>
        </is>
      </c>
      <c r="H1" s="5" t="inlineStr">
        <is>
          <t>strategy_return</t>
        </is>
      </c>
      <c r="I1" s="5" t="inlineStr">
        <is>
          <t>benchmark_return</t>
        </is>
      </c>
      <c r="J1" s="5" t="inlineStr">
        <is>
          <t>excess_return</t>
        </is>
      </c>
      <c r="K1" s="5" t="inlineStr">
        <is>
          <t>action</t>
        </is>
      </c>
      <c r="L1" s="5" t="inlineStr">
        <is>
          <t>in_tickers</t>
        </is>
      </c>
      <c r="M1" s="5" t="inlineStr">
        <is>
          <t>out_tickers</t>
        </is>
      </c>
      <c r="N1" s="5" t="inlineStr">
        <is>
          <t>selected_count</t>
        </is>
      </c>
    </row>
    <row r="2">
      <c r="A2" s="6" t="inlineStr">
        <is>
          <t>DJ30</t>
        </is>
      </c>
      <c r="B2" s="6" t="inlineStr">
        <is>
          <t>2023-01-06</t>
        </is>
      </c>
      <c r="C2" s="6" t="inlineStr">
        <is>
          <t>DIA</t>
        </is>
      </c>
      <c r="D2" s="7">
        <f>Rebalance_Audit!J32</f>
        <v/>
      </c>
      <c r="E2" s="7">
        <f>Rebalance_Audit!R32</f>
        <v/>
      </c>
      <c r="F2" s="7">
        <f>E2-D2</f>
        <v/>
      </c>
      <c r="G2" s="8">
        <f>IF(D2=0,0,F2/D2)</f>
        <v/>
      </c>
      <c r="H2" s="8" t="n"/>
      <c r="I2" s="8" t="n"/>
      <c r="J2" s="8">
        <f>G2-I2</f>
        <v/>
      </c>
      <c r="K2" s="6" t="inlineStr">
        <is>
          <t>hold</t>
        </is>
      </c>
      <c r="L2" s="6" t="inlineStr"/>
      <c r="M2" s="6" t="inlineStr"/>
      <c r="N2" s="6" t="n">
        <v>0</v>
      </c>
    </row>
    <row r="3">
      <c r="A3" s="6" t="inlineStr">
        <is>
          <t>DJ30</t>
        </is>
      </c>
      <c r="B3" s="6" t="inlineStr">
        <is>
          <t>2023-01-13</t>
        </is>
      </c>
      <c r="C3" s="6" t="inlineStr">
        <is>
          <t>DIA</t>
        </is>
      </c>
      <c r="D3" s="7">
        <f>Rebalance_Audit!J63</f>
        <v/>
      </c>
      <c r="E3" s="7">
        <f>Rebalance_Audit!R63</f>
        <v/>
      </c>
      <c r="F3" s="7">
        <f>E3-D3</f>
        <v/>
      </c>
      <c r="G3" s="8">
        <f>IF(D3=0,0,F3/D3)</f>
        <v/>
      </c>
      <c r="H3" s="8" t="n">
        <v>0</v>
      </c>
      <c r="I3" s="8" t="n">
        <v>0.02010262798420137</v>
      </c>
      <c r="J3" s="8">
        <f>G3-I3</f>
        <v/>
      </c>
      <c r="K3" s="6" t="inlineStr">
        <is>
          <t>hold</t>
        </is>
      </c>
      <c r="L3" s="6" t="inlineStr"/>
      <c r="M3" s="6" t="inlineStr"/>
      <c r="N3" s="6" t="n">
        <v>0</v>
      </c>
    </row>
    <row r="4">
      <c r="A4" s="6" t="inlineStr">
        <is>
          <t>DJ30</t>
        </is>
      </c>
      <c r="B4" s="6" t="inlineStr">
        <is>
          <t>2023-01-20</t>
        </is>
      </c>
      <c r="C4" s="6" t="inlineStr">
        <is>
          <t>DIA</t>
        </is>
      </c>
      <c r="D4" s="7">
        <f>Rebalance_Audit!J94</f>
        <v/>
      </c>
      <c r="E4" s="7">
        <f>Rebalance_Audit!R94</f>
        <v/>
      </c>
      <c r="F4" s="7">
        <f>E4-D4</f>
        <v/>
      </c>
      <c r="G4" s="8">
        <f>IF(D4=0,0,F4/D4)</f>
        <v/>
      </c>
      <c r="H4" s="8" t="n">
        <v>0</v>
      </c>
      <c r="I4" s="8" t="n">
        <v>-0.02648999931256368</v>
      </c>
      <c r="J4" s="8">
        <f>G4-I4</f>
        <v/>
      </c>
      <c r="K4" s="6" t="inlineStr">
        <is>
          <t>hold</t>
        </is>
      </c>
      <c r="L4" s="6" t="inlineStr"/>
      <c r="M4" s="6" t="inlineStr"/>
      <c r="N4" s="6" t="n">
        <v>0</v>
      </c>
    </row>
    <row r="5">
      <c r="A5" s="6" t="inlineStr">
        <is>
          <t>DJ30</t>
        </is>
      </c>
      <c r="B5" s="6" t="inlineStr">
        <is>
          <t>2023-01-27</t>
        </is>
      </c>
      <c r="C5" s="6" t="inlineStr">
        <is>
          <t>DIA</t>
        </is>
      </c>
      <c r="D5" s="7">
        <f>Rebalance_Audit!J125</f>
        <v/>
      </c>
      <c r="E5" s="7">
        <f>Rebalance_Audit!R125</f>
        <v/>
      </c>
      <c r="F5" s="7">
        <f>E5-D5</f>
        <v/>
      </c>
      <c r="G5" s="8">
        <f>IF(D5=0,0,F5/D5)</f>
        <v/>
      </c>
      <c r="H5" s="8" t="n">
        <v>0</v>
      </c>
      <c r="I5" s="8" t="n">
        <v>0.01780147147191125</v>
      </c>
      <c r="J5" s="8">
        <f>G5-I5</f>
        <v/>
      </c>
      <c r="K5" s="6" t="inlineStr">
        <is>
          <t>hold</t>
        </is>
      </c>
      <c r="L5" s="6" t="inlineStr"/>
      <c r="M5" s="6" t="inlineStr"/>
      <c r="N5" s="6" t="n">
        <v>0</v>
      </c>
    </row>
    <row r="6">
      <c r="A6" s="6" t="inlineStr">
        <is>
          <t>DJ30</t>
        </is>
      </c>
      <c r="B6" s="6" t="inlineStr">
        <is>
          <t>2023-02-03</t>
        </is>
      </c>
      <c r="C6" s="6" t="inlineStr">
        <is>
          <t>DIA</t>
        </is>
      </c>
      <c r="D6" s="7">
        <f>Rebalance_Audit!J156</f>
        <v/>
      </c>
      <c r="E6" s="7">
        <f>Rebalance_Audit!R156</f>
        <v/>
      </c>
      <c r="F6" s="7">
        <f>E6-D6</f>
        <v/>
      </c>
      <c r="G6" s="8">
        <f>IF(D6=0,0,F6/D6)</f>
        <v/>
      </c>
      <c r="H6" s="8" t="n">
        <v>0</v>
      </c>
      <c r="I6" s="8" t="n">
        <v>-0.00185493925226432</v>
      </c>
      <c r="J6" s="8">
        <f>G6-I6</f>
        <v/>
      </c>
      <c r="K6" s="6" t="inlineStr">
        <is>
          <t>hold</t>
        </is>
      </c>
      <c r="L6" s="6" t="inlineStr"/>
      <c r="M6" s="6" t="inlineStr"/>
      <c r="N6" s="6" t="n">
        <v>0</v>
      </c>
    </row>
    <row r="7">
      <c r="A7" s="6" t="inlineStr">
        <is>
          <t>DJ30</t>
        </is>
      </c>
      <c r="B7" s="6" t="inlineStr">
        <is>
          <t>2023-02-10</t>
        </is>
      </c>
      <c r="C7" s="6" t="inlineStr">
        <is>
          <t>DIA</t>
        </is>
      </c>
      <c r="D7" s="7">
        <f>Rebalance_Audit!J187</f>
        <v/>
      </c>
      <c r="E7" s="7">
        <f>Rebalance_Audit!R187</f>
        <v/>
      </c>
      <c r="F7" s="7">
        <f>E7-D7</f>
        <v/>
      </c>
      <c r="G7" s="8">
        <f>IF(D7=0,0,F7/D7)</f>
        <v/>
      </c>
      <c r="H7" s="8" t="n">
        <v>0</v>
      </c>
      <c r="I7" s="8" t="n">
        <v>-0.0007373776471550908</v>
      </c>
      <c r="J7" s="8">
        <f>G7-I7</f>
        <v/>
      </c>
      <c r="K7" s="6" t="inlineStr">
        <is>
          <t>hold</t>
        </is>
      </c>
      <c r="L7" s="6" t="inlineStr"/>
      <c r="M7" s="6" t="inlineStr"/>
      <c r="N7" s="6" t="n">
        <v>0</v>
      </c>
    </row>
    <row r="8">
      <c r="A8" s="6" t="inlineStr">
        <is>
          <t>DJ30</t>
        </is>
      </c>
      <c r="B8" s="6" t="inlineStr">
        <is>
          <t>2023-02-17</t>
        </is>
      </c>
      <c r="C8" s="6" t="inlineStr">
        <is>
          <t>DIA</t>
        </is>
      </c>
      <c r="D8" s="7">
        <f>Rebalance_Audit!J218</f>
        <v/>
      </c>
      <c r="E8" s="7">
        <f>Rebalance_Audit!R218</f>
        <v/>
      </c>
      <c r="F8" s="7">
        <f>E8-D8</f>
        <v/>
      </c>
      <c r="G8" s="8">
        <f>IF(D8=0,0,F8/D8)</f>
        <v/>
      </c>
      <c r="H8" s="8" t="n">
        <v>0</v>
      </c>
      <c r="I8" s="8" t="n">
        <v>0.0003376687232863329</v>
      </c>
      <c r="J8" s="8">
        <f>G8-I8</f>
        <v/>
      </c>
      <c r="K8" s="6" t="inlineStr">
        <is>
          <t>hold</t>
        </is>
      </c>
      <c r="L8" s="6" t="inlineStr"/>
      <c r="M8" s="6" t="inlineStr"/>
      <c r="N8" s="6" t="n">
        <v>0</v>
      </c>
    </row>
    <row r="9">
      <c r="A9" s="6" t="inlineStr">
        <is>
          <t>DJ30</t>
        </is>
      </c>
      <c r="B9" s="6" t="inlineStr">
        <is>
          <t>2023-02-24</t>
        </is>
      </c>
      <c r="C9" s="6" t="inlineStr">
        <is>
          <t>DIA</t>
        </is>
      </c>
      <c r="D9" s="7">
        <f>Rebalance_Audit!J249</f>
        <v/>
      </c>
      <c r="E9" s="7">
        <f>Rebalance_Audit!R249</f>
        <v/>
      </c>
      <c r="F9" s="7">
        <f>E9-D9</f>
        <v/>
      </c>
      <c r="G9" s="8">
        <f>IF(D9=0,0,F9/D9)</f>
        <v/>
      </c>
      <c r="H9" s="8" t="n">
        <v>0</v>
      </c>
      <c r="I9" s="8" t="n">
        <v>-0.03006271698327312</v>
      </c>
      <c r="J9" s="8">
        <f>G9-I9</f>
        <v/>
      </c>
      <c r="K9" s="6" t="inlineStr">
        <is>
          <t>hold</t>
        </is>
      </c>
      <c r="L9" s="6" t="inlineStr"/>
      <c r="M9" s="6" t="inlineStr"/>
      <c r="N9" s="6" t="n">
        <v>0</v>
      </c>
    </row>
    <row r="10">
      <c r="A10" s="6" t="inlineStr">
        <is>
          <t>DJ30</t>
        </is>
      </c>
      <c r="B10" s="6" t="inlineStr">
        <is>
          <t>2023-03-03</t>
        </is>
      </c>
      <c r="C10" s="6" t="inlineStr">
        <is>
          <t>DIA</t>
        </is>
      </c>
      <c r="D10" s="7">
        <f>Rebalance_Audit!J280</f>
        <v/>
      </c>
      <c r="E10" s="7">
        <f>Rebalance_Audit!R280</f>
        <v/>
      </c>
      <c r="F10" s="7">
        <f>E10-D10</f>
        <v/>
      </c>
      <c r="G10" s="8">
        <f>IF(D10=0,0,F10/D10)</f>
        <v/>
      </c>
      <c r="H10" s="8" t="n">
        <v>0</v>
      </c>
      <c r="I10" s="8" t="n">
        <v>0.01855982772071263</v>
      </c>
      <c r="J10" s="8">
        <f>G10-I10</f>
        <v/>
      </c>
      <c r="K10" s="6" t="inlineStr">
        <is>
          <t>hold</t>
        </is>
      </c>
      <c r="L10" s="6" t="inlineStr"/>
      <c r="M10" s="6" t="inlineStr"/>
      <c r="N10" s="6" t="n">
        <v>0</v>
      </c>
    </row>
    <row r="11">
      <c r="A11" s="6" t="inlineStr">
        <is>
          <t>DJ30</t>
        </is>
      </c>
      <c r="B11" s="6" t="inlineStr">
        <is>
          <t>2023-03-10</t>
        </is>
      </c>
      <c r="C11" s="6" t="inlineStr">
        <is>
          <t>DIA</t>
        </is>
      </c>
      <c r="D11" s="7">
        <f>Rebalance_Audit!J311</f>
        <v/>
      </c>
      <c r="E11" s="7">
        <f>Rebalance_Audit!R311</f>
        <v/>
      </c>
      <c r="F11" s="7">
        <f>E11-D11</f>
        <v/>
      </c>
      <c r="G11" s="8">
        <f>IF(D11=0,0,F11/D11)</f>
        <v/>
      </c>
      <c r="H11" s="8" t="n">
        <v>0</v>
      </c>
      <c r="I11" s="8" t="n">
        <v>-0.04332580531855745</v>
      </c>
      <c r="J11" s="8">
        <f>G11-I11</f>
        <v/>
      </c>
      <c r="K11" s="6" t="inlineStr">
        <is>
          <t>hold</t>
        </is>
      </c>
      <c r="L11" s="6" t="inlineStr"/>
      <c r="M11" s="6" t="inlineStr"/>
      <c r="N11" s="6" t="n">
        <v>0</v>
      </c>
    </row>
    <row r="12">
      <c r="A12" s="6" t="inlineStr">
        <is>
          <t>DJ30</t>
        </is>
      </c>
      <c r="B12" s="6" t="inlineStr">
        <is>
          <t>2023-03-17</t>
        </is>
      </c>
      <c r="C12" s="6" t="inlineStr">
        <is>
          <t>DIA</t>
        </is>
      </c>
      <c r="D12" s="7">
        <f>Rebalance_Audit!J342</f>
        <v/>
      </c>
      <c r="E12" s="7">
        <f>Rebalance_Audit!R342</f>
        <v/>
      </c>
      <c r="F12" s="7">
        <f>E12-D12</f>
        <v/>
      </c>
      <c r="G12" s="8">
        <f>IF(D12=0,0,F12/D12)</f>
        <v/>
      </c>
      <c r="H12" s="8" t="n">
        <v>0</v>
      </c>
      <c r="I12" s="8" t="n">
        <v>-0.001196056439715432</v>
      </c>
      <c r="J12" s="8">
        <f>G12-I12</f>
        <v/>
      </c>
      <c r="K12" s="6" t="inlineStr">
        <is>
          <t>hold</t>
        </is>
      </c>
      <c r="L12" s="6" t="inlineStr"/>
      <c r="M12" s="6" t="inlineStr"/>
      <c r="N12" s="6" t="n">
        <v>0</v>
      </c>
    </row>
    <row r="13">
      <c r="A13" s="6" t="inlineStr">
        <is>
          <t>DJ30</t>
        </is>
      </c>
      <c r="B13" s="6" t="inlineStr">
        <is>
          <t>2023-03-24</t>
        </is>
      </c>
      <c r="C13" s="6" t="inlineStr">
        <is>
          <t>DIA</t>
        </is>
      </c>
      <c r="D13" s="7">
        <f>Rebalance_Audit!J373</f>
        <v/>
      </c>
      <c r="E13" s="7">
        <f>Rebalance_Audit!R373</f>
        <v/>
      </c>
      <c r="F13" s="7">
        <f>E13-D13</f>
        <v/>
      </c>
      <c r="G13" s="8">
        <f>IF(D13=0,0,F13/D13)</f>
        <v/>
      </c>
      <c r="H13" s="8" t="n">
        <v>0</v>
      </c>
      <c r="I13" s="8" t="n">
        <v>0.01199380806770445</v>
      </c>
      <c r="J13" s="8">
        <f>G13-I13</f>
        <v/>
      </c>
      <c r="K13" s="6" t="inlineStr">
        <is>
          <t>hold</t>
        </is>
      </c>
      <c r="L13" s="6" t="inlineStr"/>
      <c r="M13" s="6" t="inlineStr"/>
      <c r="N13" s="6" t="n">
        <v>0</v>
      </c>
    </row>
    <row r="14">
      <c r="A14" s="6" t="inlineStr">
        <is>
          <t>DJ30</t>
        </is>
      </c>
      <c r="B14" s="6" t="inlineStr">
        <is>
          <t>2023-03-31</t>
        </is>
      </c>
      <c r="C14" s="6" t="inlineStr">
        <is>
          <t>DIA</t>
        </is>
      </c>
      <c r="D14" s="7">
        <f>Rebalance_Audit!J404</f>
        <v/>
      </c>
      <c r="E14" s="7">
        <f>Rebalance_Audit!R404</f>
        <v/>
      </c>
      <c r="F14" s="7">
        <f>E14-D14</f>
        <v/>
      </c>
      <c r="G14" s="8">
        <f>IF(D14=0,0,F14/D14)</f>
        <v/>
      </c>
      <c r="H14" s="8" t="n">
        <v>0</v>
      </c>
      <c r="I14" s="8" t="n">
        <v>0.03195600356738648</v>
      </c>
      <c r="J14" s="8">
        <f>G14-I14</f>
        <v/>
      </c>
      <c r="K14" s="6" t="inlineStr">
        <is>
          <t>hold</t>
        </is>
      </c>
      <c r="L14" s="6" t="inlineStr"/>
      <c r="M14" s="6" t="inlineStr"/>
      <c r="N14" s="6" t="n">
        <v>0</v>
      </c>
    </row>
    <row r="15">
      <c r="A15" s="6" t="inlineStr">
        <is>
          <t>DJ30</t>
        </is>
      </c>
      <c r="B15" s="6" t="inlineStr">
        <is>
          <t>2023-04-07</t>
        </is>
      </c>
      <c r="C15" s="6" t="inlineStr">
        <is>
          <t>DIA</t>
        </is>
      </c>
      <c r="D15" s="7">
        <f>Rebalance_Audit!J435</f>
        <v/>
      </c>
      <c r="E15" s="7">
        <f>Rebalance_Audit!R435</f>
        <v/>
      </c>
      <c r="F15" s="7">
        <f>E15-D15</f>
        <v/>
      </c>
      <c r="G15" s="8">
        <f>IF(D15=0,0,F15/D15)</f>
        <v/>
      </c>
      <c r="H15" s="8" t="n">
        <v>0</v>
      </c>
      <c r="I15" s="8" t="n">
        <v>0.006854345876768919</v>
      </c>
      <c r="J15" s="8">
        <f>G15-I15</f>
        <v/>
      </c>
      <c r="K15" s="6" t="inlineStr">
        <is>
          <t>hold</t>
        </is>
      </c>
      <c r="L15" s="6" t="inlineStr"/>
      <c r="M15" s="6" t="inlineStr"/>
      <c r="N15" s="6" t="n">
        <v>0</v>
      </c>
    </row>
    <row r="16">
      <c r="A16" s="6" t="inlineStr">
        <is>
          <t>DJ30</t>
        </is>
      </c>
      <c r="B16" s="6" t="inlineStr">
        <is>
          <t>2023-04-14</t>
        </is>
      </c>
      <c r="C16" s="6" t="inlineStr">
        <is>
          <t>DIA</t>
        </is>
      </c>
      <c r="D16" s="7">
        <f>Rebalance_Audit!J466</f>
        <v/>
      </c>
      <c r="E16" s="7">
        <f>Rebalance_Audit!R466</f>
        <v/>
      </c>
      <c r="F16" s="7">
        <f>E16-D16</f>
        <v/>
      </c>
      <c r="G16" s="8">
        <f>IF(D16=0,0,F16/D16)</f>
        <v/>
      </c>
      <c r="H16" s="8" t="n">
        <v>0</v>
      </c>
      <c r="I16" s="8" t="n">
        <v>0.0117647273919439</v>
      </c>
      <c r="J16" s="8">
        <f>G16-I16</f>
        <v/>
      </c>
      <c r="K16" s="6" t="inlineStr">
        <is>
          <t>hold</t>
        </is>
      </c>
      <c r="L16" s="6" t="inlineStr"/>
      <c r="M16" s="6" t="inlineStr"/>
      <c r="N16" s="6" t="n">
        <v>0</v>
      </c>
    </row>
    <row r="17">
      <c r="A17" s="6" t="inlineStr">
        <is>
          <t>DJ30</t>
        </is>
      </c>
      <c r="B17" s="6" t="inlineStr">
        <is>
          <t>2023-04-21</t>
        </is>
      </c>
      <c r="C17" s="6" t="inlineStr">
        <is>
          <t>DIA</t>
        </is>
      </c>
      <c r="D17" s="7">
        <f>Rebalance_Audit!J497</f>
        <v/>
      </c>
      <c r="E17" s="7">
        <f>Rebalance_Audit!R497</f>
        <v/>
      </c>
      <c r="F17" s="7">
        <f>E17-D17</f>
        <v/>
      </c>
      <c r="G17" s="8">
        <f>IF(D17=0,0,F17/D17)</f>
        <v/>
      </c>
      <c r="H17" s="8" t="n">
        <v>0</v>
      </c>
      <c r="I17" s="8" t="n">
        <v>-0.001610657291788553</v>
      </c>
      <c r="J17" s="8">
        <f>G17-I17</f>
        <v/>
      </c>
      <c r="K17" s="6" t="inlineStr">
        <is>
          <t>hold</t>
        </is>
      </c>
      <c r="L17" s="6" t="inlineStr"/>
      <c r="M17" s="6" t="inlineStr"/>
      <c r="N17" s="6" t="n">
        <v>0</v>
      </c>
    </row>
    <row r="18">
      <c r="A18" s="6" t="inlineStr">
        <is>
          <t>DJ30</t>
        </is>
      </c>
      <c r="B18" s="6" t="inlineStr">
        <is>
          <t>2023-04-28</t>
        </is>
      </c>
      <c r="C18" s="6" t="inlineStr">
        <is>
          <t>DIA</t>
        </is>
      </c>
      <c r="D18" s="7">
        <f>Rebalance_Audit!J528</f>
        <v/>
      </c>
      <c r="E18" s="7">
        <f>Rebalance_Audit!R528</f>
        <v/>
      </c>
      <c r="F18" s="7">
        <f>E18-D18</f>
        <v/>
      </c>
      <c r="G18" s="8">
        <f>IF(D18=0,0,F18/D18)</f>
        <v/>
      </c>
      <c r="H18" s="8" t="n">
        <v>0</v>
      </c>
      <c r="I18" s="8" t="n">
        <v>0.008636133536228163</v>
      </c>
      <c r="J18" s="8">
        <f>G18-I18</f>
        <v/>
      </c>
      <c r="K18" s="6" t="inlineStr">
        <is>
          <t>hold</t>
        </is>
      </c>
      <c r="L18" s="6" t="inlineStr"/>
      <c r="M18" s="6" t="inlineStr"/>
      <c r="N18" s="6" t="n">
        <v>0</v>
      </c>
    </row>
    <row r="19">
      <c r="A19" s="6" t="inlineStr">
        <is>
          <t>DJ30</t>
        </is>
      </c>
      <c r="B19" s="6" t="inlineStr">
        <is>
          <t>2023-05-05</t>
        </is>
      </c>
      <c r="C19" s="6" t="inlineStr">
        <is>
          <t>DIA</t>
        </is>
      </c>
      <c r="D19" s="7">
        <f>Rebalance_Audit!J559</f>
        <v/>
      </c>
      <c r="E19" s="7">
        <f>Rebalance_Audit!R559</f>
        <v/>
      </c>
      <c r="F19" s="7">
        <f>E19-D19</f>
        <v/>
      </c>
      <c r="G19" s="8">
        <f>IF(D19=0,0,F19/D19)</f>
        <v/>
      </c>
      <c r="H19" s="8" t="n">
        <v>0</v>
      </c>
      <c r="I19" s="8" t="n">
        <v>-0.01260910517816149</v>
      </c>
      <c r="J19" s="8">
        <f>G19-I19</f>
        <v/>
      </c>
      <c r="K19" s="6" t="inlineStr">
        <is>
          <t>hold</t>
        </is>
      </c>
      <c r="L19" s="6" t="inlineStr"/>
      <c r="M19" s="6" t="inlineStr"/>
      <c r="N19" s="6" t="n">
        <v>0</v>
      </c>
    </row>
    <row r="20">
      <c r="A20" s="6" t="inlineStr">
        <is>
          <t>DJ30</t>
        </is>
      </c>
      <c r="B20" s="6" t="inlineStr">
        <is>
          <t>2023-05-12</t>
        </is>
      </c>
      <c r="C20" s="6" t="inlineStr">
        <is>
          <t>DIA</t>
        </is>
      </c>
      <c r="D20" s="7">
        <f>Rebalance_Audit!J590</f>
        <v/>
      </c>
      <c r="E20" s="7">
        <f>Rebalance_Audit!R590</f>
        <v/>
      </c>
      <c r="F20" s="7">
        <f>E20-D20</f>
        <v/>
      </c>
      <c r="G20" s="8">
        <f>IF(D20=0,0,F20/D20)</f>
        <v/>
      </c>
      <c r="H20" s="8" t="n">
        <v>0</v>
      </c>
      <c r="I20" s="8" t="n">
        <v>-0.01048270146692964</v>
      </c>
      <c r="J20" s="8">
        <f>G20-I20</f>
        <v/>
      </c>
      <c r="K20" s="6" t="inlineStr">
        <is>
          <t>hold</t>
        </is>
      </c>
      <c r="L20" s="6" t="inlineStr"/>
      <c r="M20" s="6" t="inlineStr"/>
      <c r="N20" s="6" t="n">
        <v>0</v>
      </c>
    </row>
    <row r="21">
      <c r="A21" s="6" t="inlineStr">
        <is>
          <t>DJ30</t>
        </is>
      </c>
      <c r="B21" s="6" t="inlineStr">
        <is>
          <t>2023-05-19</t>
        </is>
      </c>
      <c r="C21" s="6" t="inlineStr">
        <is>
          <t>DIA</t>
        </is>
      </c>
      <c r="D21" s="7">
        <f>Rebalance_Audit!J621</f>
        <v/>
      </c>
      <c r="E21" s="7">
        <f>Rebalance_Audit!R621</f>
        <v/>
      </c>
      <c r="F21" s="7">
        <f>E21-D21</f>
        <v/>
      </c>
      <c r="G21" s="8">
        <f>IF(D21=0,0,F21/D21)</f>
        <v/>
      </c>
      <c r="H21" s="8" t="n">
        <v>0</v>
      </c>
      <c r="I21" s="8" t="n">
        <v>0.005142405025053254</v>
      </c>
      <c r="J21" s="8">
        <f>G21-I21</f>
        <v/>
      </c>
      <c r="K21" s="6" t="inlineStr">
        <is>
          <t>hold</t>
        </is>
      </c>
      <c r="L21" s="6" t="inlineStr"/>
      <c r="M21" s="6" t="inlineStr"/>
      <c r="N21" s="6" t="n">
        <v>0</v>
      </c>
    </row>
    <row r="22">
      <c r="A22" s="6" t="inlineStr">
        <is>
          <t>DJ30</t>
        </is>
      </c>
      <c r="B22" s="6" t="inlineStr">
        <is>
          <t>2023-05-26</t>
        </is>
      </c>
      <c r="C22" s="6" t="inlineStr">
        <is>
          <t>DIA</t>
        </is>
      </c>
      <c r="D22" s="7">
        <f>Rebalance_Audit!J652</f>
        <v/>
      </c>
      <c r="E22" s="7">
        <f>Rebalance_Audit!R652</f>
        <v/>
      </c>
      <c r="F22" s="7">
        <f>E22-D22</f>
        <v/>
      </c>
      <c r="G22" s="8">
        <f>IF(D22=0,0,F22/D22)</f>
        <v/>
      </c>
      <c r="H22" s="8" t="n">
        <v>0</v>
      </c>
      <c r="I22" s="8" t="n">
        <v>-0.01002427063318778</v>
      </c>
      <c r="J22" s="8">
        <f>G22-I22</f>
        <v/>
      </c>
      <c r="K22" s="6" t="inlineStr">
        <is>
          <t>hold</t>
        </is>
      </c>
      <c r="L22" s="6" t="inlineStr"/>
      <c r="M22" s="6" t="inlineStr"/>
      <c r="N22" s="6" t="n">
        <v>0</v>
      </c>
    </row>
    <row r="23">
      <c r="A23" s="6" t="inlineStr">
        <is>
          <t>DJ30</t>
        </is>
      </c>
      <c r="B23" s="6" t="inlineStr">
        <is>
          <t>2023-06-02</t>
        </is>
      </c>
      <c r="C23" s="6" t="inlineStr">
        <is>
          <t>DIA</t>
        </is>
      </c>
      <c r="D23" s="7">
        <f>Rebalance_Audit!J683</f>
        <v/>
      </c>
      <c r="E23" s="7">
        <f>Rebalance_Audit!R683</f>
        <v/>
      </c>
      <c r="F23" s="7">
        <f>E23-D23</f>
        <v/>
      </c>
      <c r="G23" s="8">
        <f>IF(D23=0,0,F23/D23)</f>
        <v/>
      </c>
      <c r="H23" s="8" t="n">
        <v>0</v>
      </c>
      <c r="I23" s="8" t="n">
        <v>0.02185346333746807</v>
      </c>
      <c r="J23" s="8">
        <f>G23-I23</f>
        <v/>
      </c>
      <c r="K23" s="6" t="inlineStr">
        <is>
          <t>hold</t>
        </is>
      </c>
      <c r="L23" s="6" t="inlineStr"/>
      <c r="M23" s="6" t="inlineStr"/>
      <c r="N23" s="6" t="n">
        <v>0</v>
      </c>
    </row>
    <row r="24">
      <c r="A24" s="6" t="inlineStr">
        <is>
          <t>DJ30</t>
        </is>
      </c>
      <c r="B24" s="6" t="inlineStr">
        <is>
          <t>2023-06-09</t>
        </is>
      </c>
      <c r="C24" s="6" t="inlineStr">
        <is>
          <t>DIA</t>
        </is>
      </c>
      <c r="D24" s="7">
        <f>Rebalance_Audit!J714</f>
        <v/>
      </c>
      <c r="E24" s="7">
        <f>Rebalance_Audit!R714</f>
        <v/>
      </c>
      <c r="F24" s="7">
        <f>E24-D24</f>
        <v/>
      </c>
      <c r="G24" s="8">
        <f>IF(D24=0,0,F24/D24)</f>
        <v/>
      </c>
      <c r="H24" s="8" t="n">
        <v>0</v>
      </c>
      <c r="I24" s="8" t="n">
        <v>0.003549615087603764</v>
      </c>
      <c r="J24" s="8">
        <f>G24-I24</f>
        <v/>
      </c>
      <c r="K24" s="6" t="inlineStr">
        <is>
          <t>hold</t>
        </is>
      </c>
      <c r="L24" s="6" t="inlineStr"/>
      <c r="M24" s="6" t="inlineStr"/>
      <c r="N24" s="6" t="n">
        <v>0</v>
      </c>
    </row>
    <row r="25">
      <c r="A25" s="6" t="inlineStr">
        <is>
          <t>DJ30</t>
        </is>
      </c>
      <c r="B25" s="6" t="inlineStr">
        <is>
          <t>2023-06-16</t>
        </is>
      </c>
      <c r="C25" s="6" t="inlineStr">
        <is>
          <t>DIA</t>
        </is>
      </c>
      <c r="D25" s="7">
        <f>Rebalance_Audit!J745</f>
        <v/>
      </c>
      <c r="E25" s="7">
        <f>Rebalance_Audit!R745</f>
        <v/>
      </c>
      <c r="F25" s="7">
        <f>E25-D25</f>
        <v/>
      </c>
      <c r="G25" s="8">
        <f>IF(D25=0,0,F25/D25)</f>
        <v/>
      </c>
      <c r="H25" s="8" t="n">
        <v>0</v>
      </c>
      <c r="I25" s="8" t="n">
        <v>0.01312704115344254</v>
      </c>
      <c r="J25" s="8">
        <f>G25-I25</f>
        <v/>
      </c>
      <c r="K25" s="6" t="inlineStr">
        <is>
          <t>hold</t>
        </is>
      </c>
      <c r="L25" s="6" t="inlineStr"/>
      <c r="M25" s="6" t="inlineStr"/>
      <c r="N25" s="6" t="n">
        <v>0</v>
      </c>
    </row>
    <row r="26">
      <c r="A26" s="6" t="inlineStr">
        <is>
          <t>DJ30</t>
        </is>
      </c>
      <c r="B26" s="6" t="inlineStr">
        <is>
          <t>2023-06-23</t>
        </is>
      </c>
      <c r="C26" s="6" t="inlineStr">
        <is>
          <t>DIA</t>
        </is>
      </c>
      <c r="D26" s="7">
        <f>Rebalance_Audit!J776</f>
        <v/>
      </c>
      <c r="E26" s="7">
        <f>Rebalance_Audit!R776</f>
        <v/>
      </c>
      <c r="F26" s="7">
        <f>E26-D26</f>
        <v/>
      </c>
      <c r="G26" s="8">
        <f>IF(D26=0,0,F26/D26)</f>
        <v/>
      </c>
      <c r="H26" s="8" t="n">
        <v>0</v>
      </c>
      <c r="I26" s="8" t="n">
        <v>-0.01688306940281326</v>
      </c>
      <c r="J26" s="8">
        <f>G26-I26</f>
        <v/>
      </c>
      <c r="K26" s="6" t="inlineStr">
        <is>
          <t>hold</t>
        </is>
      </c>
      <c r="L26" s="6" t="inlineStr"/>
      <c r="M26" s="6" t="inlineStr"/>
      <c r="N26" s="6" t="n">
        <v>0</v>
      </c>
    </row>
    <row r="27">
      <c r="A27" s="6" t="inlineStr">
        <is>
          <t>DJ30</t>
        </is>
      </c>
      <c r="B27" s="6" t="inlineStr">
        <is>
          <t>2023-06-30</t>
        </is>
      </c>
      <c r="C27" s="6" t="inlineStr">
        <is>
          <t>DIA</t>
        </is>
      </c>
      <c r="D27" s="7">
        <f>Rebalance_Audit!J807</f>
        <v/>
      </c>
      <c r="E27" s="7">
        <f>Rebalance_Audit!R807</f>
        <v/>
      </c>
      <c r="F27" s="7">
        <f>E27-D27</f>
        <v/>
      </c>
      <c r="G27" s="8">
        <f>IF(D27=0,0,F27/D27)</f>
        <v/>
      </c>
      <c r="H27" s="8" t="n">
        <v>0</v>
      </c>
      <c r="I27" s="8" t="n">
        <v>0.01984262099500134</v>
      </c>
      <c r="J27" s="8">
        <f>G27-I27</f>
        <v/>
      </c>
      <c r="K27" s="6" t="inlineStr">
        <is>
          <t>hold</t>
        </is>
      </c>
      <c r="L27" s="6" t="inlineStr"/>
      <c r="M27" s="6" t="inlineStr"/>
      <c r="N27" s="6" t="n">
        <v>0</v>
      </c>
    </row>
    <row r="28">
      <c r="A28" s="6" t="inlineStr">
        <is>
          <t>DJ30</t>
        </is>
      </c>
      <c r="B28" s="6" t="inlineStr">
        <is>
          <t>2023-07-07</t>
        </is>
      </c>
      <c r="C28" s="6" t="inlineStr">
        <is>
          <t>DIA</t>
        </is>
      </c>
      <c r="D28" s="7">
        <f>Rebalance_Audit!J838</f>
        <v/>
      </c>
      <c r="E28" s="7">
        <f>Rebalance_Audit!R838</f>
        <v/>
      </c>
      <c r="F28" s="7">
        <f>E28-D28</f>
        <v/>
      </c>
      <c r="G28" s="8">
        <f>IF(D28=0,0,F28/D28)</f>
        <v/>
      </c>
      <c r="H28" s="8" t="n">
        <v>0</v>
      </c>
      <c r="I28" s="8" t="n">
        <v>-0.01867112766307055</v>
      </c>
      <c r="J28" s="8">
        <f>G28-I28</f>
        <v/>
      </c>
      <c r="K28" s="6" t="inlineStr">
        <is>
          <t>hold</t>
        </is>
      </c>
      <c r="L28" s="6" t="inlineStr"/>
      <c r="M28" s="6" t="inlineStr"/>
      <c r="N28" s="6" t="n">
        <v>0</v>
      </c>
    </row>
    <row r="29">
      <c r="A29" s="6" t="inlineStr">
        <is>
          <t>DJ30</t>
        </is>
      </c>
      <c r="B29" s="6" t="inlineStr">
        <is>
          <t>2023-07-14</t>
        </is>
      </c>
      <c r="C29" s="6" t="inlineStr">
        <is>
          <t>DIA</t>
        </is>
      </c>
      <c r="D29" s="7">
        <f>Rebalance_Audit!J869</f>
        <v/>
      </c>
      <c r="E29" s="7">
        <f>Rebalance_Audit!R869</f>
        <v/>
      </c>
      <c r="F29" s="7">
        <f>E29-D29</f>
        <v/>
      </c>
      <c r="G29" s="8">
        <f>IF(D29=0,0,F29/D29)</f>
        <v/>
      </c>
      <c r="H29" s="8" t="n">
        <v>0</v>
      </c>
      <c r="I29" s="8" t="n">
        <v>0.02293812076758561</v>
      </c>
      <c r="J29" s="8">
        <f>G29-I29</f>
        <v/>
      </c>
      <c r="K29" s="6" t="inlineStr">
        <is>
          <t>hold</t>
        </is>
      </c>
      <c r="L29" s="6" t="inlineStr"/>
      <c r="M29" s="6" t="inlineStr"/>
      <c r="N29" s="6" t="n">
        <v>0</v>
      </c>
    </row>
    <row r="30">
      <c r="A30" s="6" t="inlineStr">
        <is>
          <t>DJ30</t>
        </is>
      </c>
      <c r="B30" s="6" t="inlineStr">
        <is>
          <t>2023-07-21</t>
        </is>
      </c>
      <c r="C30" s="6" t="inlineStr">
        <is>
          <t>DIA</t>
        </is>
      </c>
      <c r="D30" s="7">
        <f>Rebalance_Audit!J900</f>
        <v/>
      </c>
      <c r="E30" s="7">
        <f>Rebalance_Audit!R900</f>
        <v/>
      </c>
      <c r="F30" s="7">
        <f>E30-D30</f>
        <v/>
      </c>
      <c r="G30" s="8">
        <f>IF(D30=0,0,F30/D30)</f>
        <v/>
      </c>
      <c r="H30" s="8" t="n">
        <v>0</v>
      </c>
      <c r="I30" s="8" t="n">
        <v>0.02096938060733389</v>
      </c>
      <c r="J30" s="8">
        <f>G30-I30</f>
        <v/>
      </c>
      <c r="K30" s="6" t="inlineStr">
        <is>
          <t>hold</t>
        </is>
      </c>
      <c r="L30" s="6" t="inlineStr"/>
      <c r="M30" s="6" t="inlineStr"/>
      <c r="N30" s="6" t="n">
        <v>0</v>
      </c>
    </row>
    <row r="31">
      <c r="A31" s="6" t="inlineStr">
        <is>
          <t>DJ30</t>
        </is>
      </c>
      <c r="B31" s="6" t="inlineStr">
        <is>
          <t>2023-07-28</t>
        </is>
      </c>
      <c r="C31" s="6" t="inlineStr">
        <is>
          <t>DIA</t>
        </is>
      </c>
      <c r="D31" s="7">
        <f>Rebalance_Audit!J931</f>
        <v/>
      </c>
      <c r="E31" s="7">
        <f>Rebalance_Audit!R931</f>
        <v/>
      </c>
      <c r="F31" s="7">
        <f>E31-D31</f>
        <v/>
      </c>
      <c r="G31" s="8">
        <f>IF(D31=0,0,F31/D31)</f>
        <v/>
      </c>
      <c r="H31" s="8" t="n">
        <v>0</v>
      </c>
      <c r="I31" s="8" t="n">
        <v>0.006645196343535886</v>
      </c>
      <c r="J31" s="8">
        <f>G31-I31</f>
        <v/>
      </c>
      <c r="K31" s="6" t="inlineStr">
        <is>
          <t>hold</t>
        </is>
      </c>
      <c r="L31" s="6" t="inlineStr"/>
      <c r="M31" s="6" t="inlineStr"/>
      <c r="N31" s="6" t="n">
        <v>0</v>
      </c>
    </row>
    <row r="32">
      <c r="A32" s="6" t="inlineStr">
        <is>
          <t>DJ30</t>
        </is>
      </c>
      <c r="B32" s="6" t="inlineStr">
        <is>
          <t>2023-08-04</t>
        </is>
      </c>
      <c r="C32" s="6" t="inlineStr">
        <is>
          <t>DIA</t>
        </is>
      </c>
      <c r="D32" s="7">
        <f>Rebalance_Audit!J962</f>
        <v/>
      </c>
      <c r="E32" s="7">
        <f>Rebalance_Audit!R962</f>
        <v/>
      </c>
      <c r="F32" s="7">
        <f>E32-D32</f>
        <v/>
      </c>
      <c r="G32" s="8">
        <f>IF(D32=0,0,F32/D32)</f>
        <v/>
      </c>
      <c r="H32" s="8" t="n">
        <v>0</v>
      </c>
      <c r="I32" s="8" t="n">
        <v>-0.0108047964831961</v>
      </c>
      <c r="J32" s="8">
        <f>G32-I32</f>
        <v/>
      </c>
      <c r="K32" s="6" t="inlineStr">
        <is>
          <t>hold</t>
        </is>
      </c>
      <c r="L32" s="6" t="inlineStr"/>
      <c r="M32" s="6" t="inlineStr"/>
      <c r="N32" s="6" t="n">
        <v>0</v>
      </c>
    </row>
    <row r="33">
      <c r="A33" s="6" t="inlineStr">
        <is>
          <t>DJ30</t>
        </is>
      </c>
      <c r="B33" s="6" t="inlineStr">
        <is>
          <t>2023-08-11</t>
        </is>
      </c>
      <c r="C33" s="6" t="inlineStr">
        <is>
          <t>DIA</t>
        </is>
      </c>
      <c r="D33" s="7">
        <f>Rebalance_Audit!J993</f>
        <v/>
      </c>
      <c r="E33" s="7">
        <f>Rebalance_Audit!R993</f>
        <v/>
      </c>
      <c r="F33" s="7">
        <f>E33-D33</f>
        <v/>
      </c>
      <c r="G33" s="8">
        <f>IF(D33=0,0,F33/D33)</f>
        <v/>
      </c>
      <c r="H33" s="8" t="n">
        <v>0</v>
      </c>
      <c r="I33" s="8" t="n">
        <v>0.006701579541197988</v>
      </c>
      <c r="J33" s="8">
        <f>G33-I33</f>
        <v/>
      </c>
      <c r="K33" s="6" t="inlineStr">
        <is>
          <t>hold</t>
        </is>
      </c>
      <c r="L33" s="6" t="inlineStr"/>
      <c r="M33" s="6" t="inlineStr"/>
      <c r="N33" s="6" t="n">
        <v>0</v>
      </c>
    </row>
    <row r="34">
      <c r="A34" s="6" t="inlineStr">
        <is>
          <t>DJ30</t>
        </is>
      </c>
      <c r="B34" s="6" t="inlineStr">
        <is>
          <t>2023-08-18</t>
        </is>
      </c>
      <c r="C34" s="6" t="inlineStr">
        <is>
          <t>DIA</t>
        </is>
      </c>
      <c r="D34" s="7">
        <f>Rebalance_Audit!J1024</f>
        <v/>
      </c>
      <c r="E34" s="7">
        <f>Rebalance_Audit!R1024</f>
        <v/>
      </c>
      <c r="F34" s="7">
        <f>E34-D34</f>
        <v/>
      </c>
      <c r="G34" s="8">
        <f>IF(D34=0,0,F34/D34)</f>
        <v/>
      </c>
      <c r="H34" s="8" t="n">
        <v>0</v>
      </c>
      <c r="I34" s="8" t="n">
        <v>-0.02087535712087718</v>
      </c>
      <c r="J34" s="8">
        <f>G34-I34</f>
        <v/>
      </c>
      <c r="K34" s="6" t="inlineStr">
        <is>
          <t>hold</t>
        </is>
      </c>
      <c r="L34" s="6" t="inlineStr"/>
      <c r="M34" s="6" t="inlineStr"/>
      <c r="N34" s="6" t="n">
        <v>0</v>
      </c>
    </row>
    <row r="35">
      <c r="A35" s="6" t="inlineStr">
        <is>
          <t>DJ30</t>
        </is>
      </c>
      <c r="B35" s="6" t="inlineStr">
        <is>
          <t>2023-08-25</t>
        </is>
      </c>
      <c r="C35" s="6" t="inlineStr">
        <is>
          <t>DIA</t>
        </is>
      </c>
      <c r="D35" s="7">
        <f>Rebalance_Audit!J1055</f>
        <v/>
      </c>
      <c r="E35" s="7">
        <f>Rebalance_Audit!R1055</f>
        <v/>
      </c>
      <c r="F35" s="7">
        <f>E35-D35</f>
        <v/>
      </c>
      <c r="G35" s="8">
        <f>IF(D35=0,0,F35/D35)</f>
        <v/>
      </c>
      <c r="H35" s="8" t="n">
        <v>0</v>
      </c>
      <c r="I35" s="8" t="n">
        <v>-0.004693878137537966</v>
      </c>
      <c r="J35" s="8">
        <f>G35-I35</f>
        <v/>
      </c>
      <c r="K35" s="6" t="inlineStr">
        <is>
          <t>hold</t>
        </is>
      </c>
      <c r="L35" s="6" t="inlineStr"/>
      <c r="M35" s="6" t="inlineStr"/>
      <c r="N35" s="6" t="n">
        <v>0</v>
      </c>
    </row>
    <row r="36">
      <c r="A36" s="6" t="inlineStr">
        <is>
          <t>DJ30</t>
        </is>
      </c>
      <c r="B36" s="6" t="inlineStr">
        <is>
          <t>2023-09-01</t>
        </is>
      </c>
      <c r="C36" s="6" t="inlineStr">
        <is>
          <t>DIA</t>
        </is>
      </c>
      <c r="D36" s="7">
        <f>Rebalance_Audit!J1086</f>
        <v/>
      </c>
      <c r="E36" s="7">
        <f>Rebalance_Audit!R1086</f>
        <v/>
      </c>
      <c r="F36" s="7">
        <f>E36-D36</f>
        <v/>
      </c>
      <c r="G36" s="8">
        <f>IF(D36=0,0,F36/D36)</f>
        <v/>
      </c>
      <c r="H36" s="8" t="n">
        <v>0</v>
      </c>
      <c r="I36" s="8" t="n">
        <v>0.01595328303762322</v>
      </c>
      <c r="J36" s="8">
        <f>G36-I36</f>
        <v/>
      </c>
      <c r="K36" s="6" t="inlineStr">
        <is>
          <t>hold</t>
        </is>
      </c>
      <c r="L36" s="6" t="inlineStr"/>
      <c r="M36" s="6" t="inlineStr"/>
      <c r="N36" s="6" t="n">
        <v>0</v>
      </c>
    </row>
    <row r="37">
      <c r="A37" s="6" t="inlineStr">
        <is>
          <t>DJ30</t>
        </is>
      </c>
      <c r="B37" s="6" t="inlineStr">
        <is>
          <t>2023-09-08</t>
        </is>
      </c>
      <c r="C37" s="6" t="inlineStr">
        <is>
          <t>DIA</t>
        </is>
      </c>
      <c r="D37" s="7">
        <f>Rebalance_Audit!J1117</f>
        <v/>
      </c>
      <c r="E37" s="7">
        <f>Rebalance_Audit!R1117</f>
        <v/>
      </c>
      <c r="F37" s="7">
        <f>E37-D37</f>
        <v/>
      </c>
      <c r="G37" s="8">
        <f>IF(D37=0,0,F37/D37)</f>
        <v/>
      </c>
      <c r="H37" s="8" t="n">
        <v>0</v>
      </c>
      <c r="I37" s="8" t="n">
        <v>-0.007077863651374638</v>
      </c>
      <c r="J37" s="8">
        <f>G37-I37</f>
        <v/>
      </c>
      <c r="K37" s="6" t="inlineStr">
        <is>
          <t>hold</t>
        </is>
      </c>
      <c r="L37" s="6" t="inlineStr"/>
      <c r="M37" s="6" t="inlineStr"/>
      <c r="N37" s="6" t="n">
        <v>0</v>
      </c>
    </row>
    <row r="38">
      <c r="A38" s="6" t="inlineStr">
        <is>
          <t>DJ30</t>
        </is>
      </c>
      <c r="B38" s="6" t="inlineStr">
        <is>
          <t>2023-09-15</t>
        </is>
      </c>
      <c r="C38" s="6" t="inlineStr">
        <is>
          <t>DIA</t>
        </is>
      </c>
      <c r="D38" s="7">
        <f>Rebalance_Audit!J1148</f>
        <v/>
      </c>
      <c r="E38" s="7">
        <f>Rebalance_Audit!R1148</f>
        <v/>
      </c>
      <c r="F38" s="7">
        <f>E38-D38</f>
        <v/>
      </c>
      <c r="G38" s="8">
        <f>IF(D38=0,0,F38/D38)</f>
        <v/>
      </c>
      <c r="H38" s="8" t="n">
        <v>0</v>
      </c>
      <c r="I38" s="8" t="n">
        <v>0.001574139204949088</v>
      </c>
      <c r="J38" s="8">
        <f>G38-I38</f>
        <v/>
      </c>
      <c r="K38" s="6" t="inlineStr">
        <is>
          <t>hold</t>
        </is>
      </c>
      <c r="L38" s="6" t="inlineStr"/>
      <c r="M38" s="6" t="inlineStr"/>
      <c r="N38" s="6" t="n">
        <v>0</v>
      </c>
    </row>
    <row r="39">
      <c r="A39" s="6" t="inlineStr">
        <is>
          <t>DJ30</t>
        </is>
      </c>
      <c r="B39" s="6" t="inlineStr">
        <is>
          <t>2023-09-22</t>
        </is>
      </c>
      <c r="C39" s="6" t="inlineStr">
        <is>
          <t>DIA</t>
        </is>
      </c>
      <c r="D39" s="7">
        <f>Rebalance_Audit!J1179</f>
        <v/>
      </c>
      <c r="E39" s="7">
        <f>Rebalance_Audit!R1179</f>
        <v/>
      </c>
      <c r="F39" s="7">
        <f>E39-D39</f>
        <v/>
      </c>
      <c r="G39" s="8">
        <f>IF(D39=0,0,F39/D39)</f>
        <v/>
      </c>
      <c r="H39" s="8" t="n">
        <v>0</v>
      </c>
      <c r="I39" s="8" t="n">
        <v>-0.01895189624059679</v>
      </c>
      <c r="J39" s="8">
        <f>G39-I39</f>
        <v/>
      </c>
      <c r="K39" s="6" t="inlineStr">
        <is>
          <t>hold</t>
        </is>
      </c>
      <c r="L39" s="6" t="inlineStr"/>
      <c r="M39" s="6" t="inlineStr"/>
      <c r="N39" s="6" t="n">
        <v>0</v>
      </c>
    </row>
    <row r="40">
      <c r="A40" s="6" t="inlineStr">
        <is>
          <t>DJ30</t>
        </is>
      </c>
      <c r="B40" s="6" t="inlineStr">
        <is>
          <t>2023-09-29</t>
        </is>
      </c>
      <c r="C40" s="6" t="inlineStr">
        <is>
          <t>DIA</t>
        </is>
      </c>
      <c r="D40" s="7">
        <f>Rebalance_Audit!J1210</f>
        <v/>
      </c>
      <c r="E40" s="7">
        <f>Rebalance_Audit!R1210</f>
        <v/>
      </c>
      <c r="F40" s="7">
        <f>E40-D40</f>
        <v/>
      </c>
      <c r="G40" s="8">
        <f>IF(D40=0,0,F40/D40)</f>
        <v/>
      </c>
      <c r="H40" s="8" t="n">
        <v>0</v>
      </c>
      <c r="I40" s="8" t="n">
        <v>-0.01363461106734654</v>
      </c>
      <c r="J40" s="8">
        <f>G40-I40</f>
        <v/>
      </c>
      <c r="K40" s="6" t="inlineStr">
        <is>
          <t>hold</t>
        </is>
      </c>
      <c r="L40" s="6" t="inlineStr"/>
      <c r="M40" s="6" t="inlineStr"/>
      <c r="N40" s="6" t="n">
        <v>0</v>
      </c>
    </row>
    <row r="41">
      <c r="A41" s="6" t="inlineStr">
        <is>
          <t>DJ30</t>
        </is>
      </c>
      <c r="B41" s="6" t="inlineStr">
        <is>
          <t>2023-10-06</t>
        </is>
      </c>
      <c r="C41" s="6" t="inlineStr">
        <is>
          <t>DIA</t>
        </is>
      </c>
      <c r="D41" s="7">
        <f>Rebalance_Audit!J1241</f>
        <v/>
      </c>
      <c r="E41" s="7">
        <f>Rebalance_Audit!R1241</f>
        <v/>
      </c>
      <c r="F41" s="7">
        <f>E41-D41</f>
        <v/>
      </c>
      <c r="G41" s="8">
        <f>IF(D41=0,0,F41/D41)</f>
        <v/>
      </c>
      <c r="H41" s="8" t="n">
        <v>0</v>
      </c>
      <c r="I41" s="8" t="n">
        <v>-0.002537625180680569</v>
      </c>
      <c r="J41" s="8">
        <f>G41-I41</f>
        <v/>
      </c>
      <c r="K41" s="6" t="inlineStr">
        <is>
          <t>hold</t>
        </is>
      </c>
      <c r="L41" s="6" t="inlineStr"/>
      <c r="M41" s="6" t="inlineStr"/>
      <c r="N41" s="6" t="n">
        <v>0</v>
      </c>
    </row>
    <row r="42">
      <c r="A42" s="6" t="inlineStr">
        <is>
          <t>DJ30</t>
        </is>
      </c>
      <c r="B42" s="6" t="inlineStr">
        <is>
          <t>2023-10-13</t>
        </is>
      </c>
      <c r="C42" s="6" t="inlineStr">
        <is>
          <t>DIA</t>
        </is>
      </c>
      <c r="D42" s="7">
        <f>Rebalance_Audit!J1272</f>
        <v/>
      </c>
      <c r="E42" s="7">
        <f>Rebalance_Audit!R1272</f>
        <v/>
      </c>
      <c r="F42" s="7">
        <f>E42-D42</f>
        <v/>
      </c>
      <c r="G42" s="8">
        <f>IF(D42=0,0,F42/D42)</f>
        <v/>
      </c>
      <c r="H42" s="8" t="n">
        <v>0</v>
      </c>
      <c r="I42" s="8" t="n">
        <v>0.007722025423236634</v>
      </c>
      <c r="J42" s="8">
        <f>G42-I42</f>
        <v/>
      </c>
      <c r="K42" s="6" t="inlineStr">
        <is>
          <t>hold</t>
        </is>
      </c>
      <c r="L42" s="6" t="inlineStr"/>
      <c r="M42" s="6" t="inlineStr"/>
      <c r="N42" s="6" t="n">
        <v>0</v>
      </c>
    </row>
    <row r="43">
      <c r="A43" s="6" t="inlineStr">
        <is>
          <t>DJ30</t>
        </is>
      </c>
      <c r="B43" s="6" t="inlineStr">
        <is>
          <t>2023-10-20</t>
        </is>
      </c>
      <c r="C43" s="6" t="inlineStr">
        <is>
          <t>DIA</t>
        </is>
      </c>
      <c r="D43" s="7">
        <f>Rebalance_Audit!J1303</f>
        <v/>
      </c>
      <c r="E43" s="7">
        <f>Rebalance_Audit!R1303</f>
        <v/>
      </c>
      <c r="F43" s="7">
        <f>E43-D43</f>
        <v/>
      </c>
      <c r="G43" s="8">
        <f>IF(D43=0,0,F43/D43)</f>
        <v/>
      </c>
      <c r="H43" s="8" t="n">
        <v>0</v>
      </c>
      <c r="I43" s="8" t="n">
        <v>-0.01575496841897728</v>
      </c>
      <c r="J43" s="8">
        <f>G43-I43</f>
        <v/>
      </c>
      <c r="K43" s="6" t="inlineStr">
        <is>
          <t>hold</t>
        </is>
      </c>
      <c r="L43" s="6" t="inlineStr"/>
      <c r="M43" s="6" t="inlineStr"/>
      <c r="N43" s="6" t="n">
        <v>0</v>
      </c>
    </row>
    <row r="44">
      <c r="A44" s="6" t="inlineStr">
        <is>
          <t>DJ30</t>
        </is>
      </c>
      <c r="B44" s="6" t="inlineStr">
        <is>
          <t>2023-10-27</t>
        </is>
      </c>
      <c r="C44" s="6" t="inlineStr">
        <is>
          <t>DIA</t>
        </is>
      </c>
      <c r="D44" s="7">
        <f>Rebalance_Audit!J1334</f>
        <v/>
      </c>
      <c r="E44" s="7">
        <f>Rebalance_Audit!R1334</f>
        <v/>
      </c>
      <c r="F44" s="7">
        <f>E44-D44</f>
        <v/>
      </c>
      <c r="G44" s="8">
        <f>IF(D44=0,0,F44/D44)</f>
        <v/>
      </c>
      <c r="H44" s="8" t="n">
        <v>0</v>
      </c>
      <c r="I44" s="8" t="n">
        <v>-0.02113600043911956</v>
      </c>
      <c r="J44" s="8">
        <f>G44-I44</f>
        <v/>
      </c>
      <c r="K44" s="6" t="inlineStr">
        <is>
          <t>hold</t>
        </is>
      </c>
      <c r="L44" s="6" t="inlineStr"/>
      <c r="M44" s="6" t="inlineStr"/>
      <c r="N44" s="6" t="n">
        <v>0</v>
      </c>
    </row>
    <row r="45">
      <c r="A45" s="6" t="inlineStr">
        <is>
          <t>DJ30</t>
        </is>
      </c>
      <c r="B45" s="6" t="inlineStr">
        <is>
          <t>2023-11-03</t>
        </is>
      </c>
      <c r="C45" s="6" t="inlineStr">
        <is>
          <t>DIA</t>
        </is>
      </c>
      <c r="D45" s="7">
        <f>Rebalance_Audit!J1365</f>
        <v/>
      </c>
      <c r="E45" s="7">
        <f>Rebalance_Audit!R1365</f>
        <v/>
      </c>
      <c r="F45" s="7">
        <f>E45-D45</f>
        <v/>
      </c>
      <c r="G45" s="8">
        <f>IF(D45=0,0,F45/D45)</f>
        <v/>
      </c>
      <c r="H45" s="8" t="n">
        <v>0</v>
      </c>
      <c r="I45" s="8" t="n">
        <v>0.0506492420508553</v>
      </c>
      <c r="J45" s="8">
        <f>G45-I45</f>
        <v/>
      </c>
      <c r="K45" s="6" t="inlineStr">
        <is>
          <t>hold</t>
        </is>
      </c>
      <c r="L45" s="6" t="inlineStr"/>
      <c r="M45" s="6" t="inlineStr"/>
      <c r="N45" s="6" t="n">
        <v>0</v>
      </c>
    </row>
    <row r="46">
      <c r="A46" s="6" t="inlineStr">
        <is>
          <t>DJ30</t>
        </is>
      </c>
      <c r="B46" s="6" t="inlineStr">
        <is>
          <t>2023-11-10</t>
        </is>
      </c>
      <c r="C46" s="6" t="inlineStr">
        <is>
          <t>DIA</t>
        </is>
      </c>
      <c r="D46" s="7">
        <f>Rebalance_Audit!J1396</f>
        <v/>
      </c>
      <c r="E46" s="7">
        <f>Rebalance_Audit!R1396</f>
        <v/>
      </c>
      <c r="F46" s="7">
        <f>E46-D46</f>
        <v/>
      </c>
      <c r="G46" s="8">
        <f>IF(D46=0,0,F46/D46)</f>
        <v/>
      </c>
      <c r="H46" s="8" t="n">
        <v>0</v>
      </c>
      <c r="I46" s="8" t="n">
        <v>0.007046215201517381</v>
      </c>
      <c r="J46" s="8">
        <f>G46-I46</f>
        <v/>
      </c>
      <c r="K46" s="6" t="inlineStr">
        <is>
          <t>hold</t>
        </is>
      </c>
      <c r="L46" s="6" t="inlineStr"/>
      <c r="M46" s="6" t="inlineStr"/>
      <c r="N46" s="6" t="n">
        <v>0</v>
      </c>
    </row>
    <row r="47">
      <c r="A47" s="6" t="inlineStr">
        <is>
          <t>DJ30</t>
        </is>
      </c>
      <c r="B47" s="6" t="inlineStr">
        <is>
          <t>2023-11-17</t>
        </is>
      </c>
      <c r="C47" s="6" t="inlineStr">
        <is>
          <t>DIA</t>
        </is>
      </c>
      <c r="D47" s="7">
        <f>Rebalance_Audit!J1427</f>
        <v/>
      </c>
      <c r="E47" s="7">
        <f>Rebalance_Audit!R1427</f>
        <v/>
      </c>
      <c r="F47" s="7">
        <f>E47-D47</f>
        <v/>
      </c>
      <c r="G47" s="8">
        <f>IF(D47=0,0,F47/D47)</f>
        <v/>
      </c>
      <c r="H47" s="8" t="n">
        <v>0</v>
      </c>
      <c r="I47" s="8" t="n">
        <v>0.0207782815628188</v>
      </c>
      <c r="J47" s="8">
        <f>G47-I47</f>
        <v/>
      </c>
      <c r="K47" s="6" t="inlineStr">
        <is>
          <t>hold</t>
        </is>
      </c>
      <c r="L47" s="6" t="inlineStr"/>
      <c r="M47" s="6" t="inlineStr"/>
      <c r="N47" s="6" t="n">
        <v>0</v>
      </c>
    </row>
    <row r="48">
      <c r="A48" s="6" t="inlineStr">
        <is>
          <t>DJ30</t>
        </is>
      </c>
      <c r="B48" s="6" t="inlineStr">
        <is>
          <t>2023-11-24</t>
        </is>
      </c>
      <c r="C48" s="6" t="inlineStr">
        <is>
          <t>DIA</t>
        </is>
      </c>
      <c r="D48" s="7">
        <f>Rebalance_Audit!J1458</f>
        <v/>
      </c>
      <c r="E48" s="7">
        <f>Rebalance_Audit!R1458</f>
        <v/>
      </c>
      <c r="F48" s="7">
        <f>E48-D48</f>
        <v/>
      </c>
      <c r="G48" s="8">
        <f>IF(D48=0,0,F48/D48)</f>
        <v/>
      </c>
      <c r="H48" s="8" t="n">
        <v>0</v>
      </c>
      <c r="I48" s="8" t="n">
        <v>0.01250617229185891</v>
      </c>
      <c r="J48" s="8">
        <f>G48-I48</f>
        <v/>
      </c>
      <c r="K48" s="6" t="inlineStr">
        <is>
          <t>hold</t>
        </is>
      </c>
      <c r="L48" s="6" t="inlineStr"/>
      <c r="M48" s="6" t="inlineStr"/>
      <c r="N48" s="6" t="n">
        <v>0</v>
      </c>
    </row>
    <row r="49">
      <c r="A49" s="6" t="inlineStr">
        <is>
          <t>DJ30</t>
        </is>
      </c>
      <c r="B49" s="6" t="inlineStr">
        <is>
          <t>2023-12-01</t>
        </is>
      </c>
      <c r="C49" s="6" t="inlineStr">
        <is>
          <t>DIA</t>
        </is>
      </c>
      <c r="D49" s="7">
        <f>Rebalance_Audit!J1489</f>
        <v/>
      </c>
      <c r="E49" s="7">
        <f>Rebalance_Audit!R1489</f>
        <v/>
      </c>
      <c r="F49" s="7">
        <f>E49-D49</f>
        <v/>
      </c>
      <c r="G49" s="8">
        <f>IF(D49=0,0,F49/D49)</f>
        <v/>
      </c>
      <c r="H49" s="8" t="n">
        <v>0</v>
      </c>
      <c r="I49" s="8" t="n">
        <v>0.0261446816503863</v>
      </c>
      <c r="J49" s="8">
        <f>G49-I49</f>
        <v/>
      </c>
      <c r="K49" s="6" t="inlineStr">
        <is>
          <t>hold</t>
        </is>
      </c>
      <c r="L49" s="6" t="inlineStr"/>
      <c r="M49" s="6" t="inlineStr"/>
      <c r="N49" s="6" t="n">
        <v>0</v>
      </c>
    </row>
    <row r="50">
      <c r="A50" s="6" t="inlineStr">
        <is>
          <t>DJ30</t>
        </is>
      </c>
      <c r="B50" s="6" t="inlineStr">
        <is>
          <t>2023-12-08</t>
        </is>
      </c>
      <c r="C50" s="6" t="inlineStr">
        <is>
          <t>DIA</t>
        </is>
      </c>
      <c r="D50" s="7">
        <f>Rebalance_Audit!J1520</f>
        <v/>
      </c>
      <c r="E50" s="7">
        <f>Rebalance_Audit!R1520</f>
        <v/>
      </c>
      <c r="F50" s="7">
        <f>E50-D50</f>
        <v/>
      </c>
      <c r="G50" s="8">
        <f>IF(D50=0,0,F50/D50)</f>
        <v/>
      </c>
      <c r="H50" s="8" t="n">
        <v>0</v>
      </c>
      <c r="I50" s="8" t="n">
        <v>0.000192961558392879</v>
      </c>
      <c r="J50" s="8">
        <f>G50-I50</f>
        <v/>
      </c>
      <c r="K50" s="6" t="inlineStr">
        <is>
          <t>hold</t>
        </is>
      </c>
      <c r="L50" s="6" t="inlineStr"/>
      <c r="M50" s="6" t="inlineStr"/>
      <c r="N50" s="6" t="n">
        <v>0</v>
      </c>
    </row>
    <row r="51">
      <c r="A51" s="6" t="inlineStr">
        <is>
          <t>DJ30</t>
        </is>
      </c>
      <c r="B51" s="6" t="inlineStr">
        <is>
          <t>2023-12-15</t>
        </is>
      </c>
      <c r="C51" s="6" t="inlineStr">
        <is>
          <t>DIA</t>
        </is>
      </c>
      <c r="D51" s="7">
        <f>Rebalance_Audit!J1551</f>
        <v/>
      </c>
      <c r="E51" s="7">
        <f>Rebalance_Audit!R1551</f>
        <v/>
      </c>
      <c r="F51" s="7">
        <f>E51-D51</f>
        <v/>
      </c>
      <c r="G51" s="8">
        <f>IF(D51=0,0,F51/D51)</f>
        <v/>
      </c>
      <c r="H51" s="8" t="n">
        <v>0</v>
      </c>
      <c r="I51" s="8" t="n">
        <v>0.02848443168138326</v>
      </c>
      <c r="J51" s="8">
        <f>G51-I51</f>
        <v/>
      </c>
      <c r="K51" s="6" t="inlineStr">
        <is>
          <t>hold</t>
        </is>
      </c>
      <c r="L51" s="6" t="inlineStr"/>
      <c r="M51" s="6" t="inlineStr"/>
      <c r="N51" s="6" t="n">
        <v>0</v>
      </c>
    </row>
    <row r="52">
      <c r="A52" s="6" t="inlineStr">
        <is>
          <t>DJ30</t>
        </is>
      </c>
      <c r="B52" s="6" t="inlineStr">
        <is>
          <t>2023-12-22</t>
        </is>
      </c>
      <c r="C52" s="6" t="inlineStr">
        <is>
          <t>DIA</t>
        </is>
      </c>
      <c r="D52" s="7">
        <f>Rebalance_Audit!J1582</f>
        <v/>
      </c>
      <c r="E52" s="7">
        <f>Rebalance_Audit!R1582</f>
        <v/>
      </c>
      <c r="F52" s="7">
        <f>E52-D52</f>
        <v/>
      </c>
      <c r="G52" s="8">
        <f>IF(D52=0,0,F52/D52)</f>
        <v/>
      </c>
      <c r="H52" s="8" t="n">
        <v>0</v>
      </c>
      <c r="I52" s="8" t="n">
        <v>0.003139705116577352</v>
      </c>
      <c r="J52" s="8">
        <f>G52-I52</f>
        <v/>
      </c>
      <c r="K52" s="6" t="inlineStr">
        <is>
          <t>hold</t>
        </is>
      </c>
      <c r="L52" s="6" t="inlineStr"/>
      <c r="M52" s="6" t="inlineStr"/>
      <c r="N52" s="6" t="n">
        <v>0</v>
      </c>
    </row>
    <row r="53">
      <c r="A53" s="6" t="inlineStr">
        <is>
          <t>DJ30</t>
        </is>
      </c>
      <c r="B53" s="6" t="inlineStr">
        <is>
          <t>2023-12-29</t>
        </is>
      </c>
      <c r="C53" s="6" t="inlineStr">
        <is>
          <t>DIA</t>
        </is>
      </c>
      <c r="D53" s="7">
        <f>Rebalance_Audit!J1613</f>
        <v/>
      </c>
      <c r="E53" s="7">
        <f>Rebalance_Audit!R1613</f>
        <v/>
      </c>
      <c r="F53" s="7">
        <f>E53-D53</f>
        <v/>
      </c>
      <c r="G53" s="8">
        <f>IF(D53=0,0,F53/D53)</f>
        <v/>
      </c>
      <c r="H53" s="8" t="n">
        <v>0</v>
      </c>
      <c r="I53" s="8" t="n">
        <v>0.008212871819592626</v>
      </c>
      <c r="J53" s="8">
        <f>G53-I53</f>
        <v/>
      </c>
      <c r="K53" s="6" t="inlineStr">
        <is>
          <t>hold</t>
        </is>
      </c>
      <c r="L53" s="6" t="inlineStr"/>
      <c r="M53" s="6" t="inlineStr"/>
      <c r="N53" s="6" t="n">
        <v>0</v>
      </c>
    </row>
    <row r="54">
      <c r="A54" s="6" t="inlineStr">
        <is>
          <t>DJ30</t>
        </is>
      </c>
      <c r="B54" s="6" t="inlineStr">
        <is>
          <t>2024-01-05</t>
        </is>
      </c>
      <c r="C54" s="6" t="inlineStr">
        <is>
          <t>DIA</t>
        </is>
      </c>
      <c r="D54" s="7">
        <f>Rebalance_Audit!J1644</f>
        <v/>
      </c>
      <c r="E54" s="7">
        <f>Rebalance_Audit!R1644</f>
        <v/>
      </c>
      <c r="F54" s="7">
        <f>E54-D54</f>
        <v/>
      </c>
      <c r="G54" s="8">
        <f>IF(D54=0,0,F54/D54)</f>
        <v/>
      </c>
      <c r="H54" s="8" t="n">
        <v>-0.001000000000000001</v>
      </c>
      <c r="I54" s="8" t="n">
        <v>-0.005916865079448663</v>
      </c>
      <c r="J54" s="8">
        <f>G54-I54</f>
        <v/>
      </c>
      <c r="K54" s="6" t="inlineStr">
        <is>
          <t>rebalance</t>
        </is>
      </c>
      <c r="L54" s="6" t="inlineStr">
        <is>
          <t>NVDA|AMZN|CRM|IBM|JPM</t>
        </is>
      </c>
      <c r="M54" s="6" t="inlineStr"/>
      <c r="N54" s="6" t="n">
        <v>5</v>
      </c>
    </row>
    <row r="55">
      <c r="A55" s="6" t="inlineStr">
        <is>
          <t>DJ30</t>
        </is>
      </c>
      <c r="B55" s="6" t="inlineStr">
        <is>
          <t>2024-01-12</t>
        </is>
      </c>
      <c r="C55" s="6" t="inlineStr">
        <is>
          <t>DIA</t>
        </is>
      </c>
      <c r="D55" s="7">
        <f>Rebalance_Audit!J1675</f>
        <v/>
      </c>
      <c r="E55" s="7">
        <f>Rebalance_Audit!R1675</f>
        <v/>
      </c>
      <c r="F55" s="7">
        <f>E55-D55</f>
        <v/>
      </c>
      <c r="G55" s="8">
        <f>IF(D55=0,0,F55/D55)</f>
        <v/>
      </c>
      <c r="H55" s="8" t="n">
        <v>0.05656075474568034</v>
      </c>
      <c r="I55" s="8" t="n">
        <v>0.003389625340736391</v>
      </c>
      <c r="J55" s="8">
        <f>G55-I55</f>
        <v/>
      </c>
      <c r="K55" s="6" t="inlineStr">
        <is>
          <t>rebalance</t>
        </is>
      </c>
      <c r="L55" s="6" t="inlineStr">
        <is>
          <t>AMGN</t>
        </is>
      </c>
      <c r="M55" s="6" t="inlineStr">
        <is>
          <t>IBM</t>
        </is>
      </c>
      <c r="N55" s="6" t="n">
        <v>5</v>
      </c>
    </row>
    <row r="56">
      <c r="A56" s="6" t="inlineStr">
        <is>
          <t>DJ30</t>
        </is>
      </c>
      <c r="B56" s="6" t="inlineStr">
        <is>
          <t>2024-01-19</t>
        </is>
      </c>
      <c r="C56" s="6" t="inlineStr">
        <is>
          <t>DIA</t>
        </is>
      </c>
      <c r="D56" s="7">
        <f>Rebalance_Audit!J1706</f>
        <v/>
      </c>
      <c r="E56" s="7">
        <f>Rebalance_Audit!R1706</f>
        <v/>
      </c>
      <c r="F56" s="7">
        <f>E56-D56</f>
        <v/>
      </c>
      <c r="G56" s="8">
        <f>IF(D56=0,0,F56/D56)</f>
        <v/>
      </c>
      <c r="H56" s="8" t="n">
        <v>0.02733038785607311</v>
      </c>
      <c r="I56" s="8" t="n">
        <v>0.007728734953998728</v>
      </c>
      <c r="J56" s="8">
        <f>G56-I56</f>
        <v/>
      </c>
      <c r="K56" s="6" t="inlineStr">
        <is>
          <t>hold</t>
        </is>
      </c>
      <c r="L56" s="6" t="inlineStr"/>
      <c r="M56" s="6" t="inlineStr"/>
      <c r="N56" s="6" t="n">
        <v>5</v>
      </c>
    </row>
    <row r="57">
      <c r="A57" s="6" t="inlineStr">
        <is>
          <t>DJ30</t>
        </is>
      </c>
      <c r="B57" s="6" t="inlineStr">
        <is>
          <t>2024-01-26</t>
        </is>
      </c>
      <c r="C57" s="6" t="inlineStr">
        <is>
          <t>DIA</t>
        </is>
      </c>
      <c r="D57" s="7">
        <f>Rebalance_Audit!J1737</f>
        <v/>
      </c>
      <c r="E57" s="7">
        <f>Rebalance_Audit!R1737</f>
        <v/>
      </c>
      <c r="F57" s="7">
        <f>E57-D57</f>
        <v/>
      </c>
      <c r="G57" s="8">
        <f>IF(D57=0,0,F57/D57)</f>
        <v/>
      </c>
      <c r="H57" s="8" t="n">
        <v>0.01386109885315023</v>
      </c>
      <c r="I57" s="8" t="n">
        <v>0.006576852624210483</v>
      </c>
      <c r="J57" s="8">
        <f>G57-I57</f>
        <v/>
      </c>
      <c r="K57" s="6" t="inlineStr">
        <is>
          <t>rebalance</t>
        </is>
      </c>
      <c r="L57" s="6" t="inlineStr">
        <is>
          <t>IBM</t>
        </is>
      </c>
      <c r="M57" s="6" t="inlineStr">
        <is>
          <t>AMZN</t>
        </is>
      </c>
      <c r="N57" s="6" t="n">
        <v>5</v>
      </c>
    </row>
    <row r="58">
      <c r="A58" s="6" t="inlineStr">
        <is>
          <t>DJ30</t>
        </is>
      </c>
      <c r="B58" s="6" t="inlineStr">
        <is>
          <t>2024-02-02</t>
        </is>
      </c>
      <c r="C58" s="6" t="inlineStr">
        <is>
          <t>DIA</t>
        </is>
      </c>
      <c r="D58" s="7">
        <f>Rebalance_Audit!J1768</f>
        <v/>
      </c>
      <c r="E58" s="7">
        <f>Rebalance_Audit!R1768</f>
        <v/>
      </c>
      <c r="F58" s="7">
        <f>E58-D58</f>
        <v/>
      </c>
      <c r="G58" s="8">
        <f>IF(D58=0,0,F58/D58)</f>
        <v/>
      </c>
      <c r="H58" s="8" t="n">
        <v>0.02892522809420051</v>
      </c>
      <c r="I58" s="8" t="n">
        <v>0.01398623996516646</v>
      </c>
      <c r="J58" s="8">
        <f>G58-I58</f>
        <v/>
      </c>
      <c r="K58" s="6" t="inlineStr">
        <is>
          <t>rebalance</t>
        </is>
      </c>
      <c r="L58" s="6" t="inlineStr">
        <is>
          <t>CAT</t>
        </is>
      </c>
      <c r="M58" s="6" t="inlineStr">
        <is>
          <t>JPM</t>
        </is>
      </c>
      <c r="N58" s="6" t="n">
        <v>5</v>
      </c>
    </row>
    <row r="59">
      <c r="A59" s="6" t="inlineStr">
        <is>
          <t>DJ30</t>
        </is>
      </c>
      <c r="B59" s="6" t="inlineStr">
        <is>
          <t>2024-02-09</t>
        </is>
      </c>
      <c r="C59" s="6" t="inlineStr">
        <is>
          <t>DIA</t>
        </is>
      </c>
      <c r="D59" s="7">
        <f>Rebalance_Audit!J1799</f>
        <v/>
      </c>
      <c r="E59" s="7">
        <f>Rebalance_Audit!R1799</f>
        <v/>
      </c>
      <c r="F59" s="7">
        <f>E59-D59</f>
        <v/>
      </c>
      <c r="G59" s="8">
        <f>IF(D59=0,0,F59/D59)</f>
        <v/>
      </c>
      <c r="H59" s="8" t="n">
        <v>0.005893791578818197</v>
      </c>
      <c r="I59" s="8" t="n">
        <v>0.0007762799851596114</v>
      </c>
      <c r="J59" s="8">
        <f>G59-I59</f>
        <v/>
      </c>
      <c r="K59" s="6" t="inlineStr">
        <is>
          <t>hold</t>
        </is>
      </c>
      <c r="L59" s="6" t="inlineStr"/>
      <c r="M59" s="6" t="inlineStr"/>
      <c r="N59" s="6" t="n">
        <v>5</v>
      </c>
    </row>
    <row r="60">
      <c r="A60" s="6" t="inlineStr">
        <is>
          <t>DJ30</t>
        </is>
      </c>
      <c r="B60" s="6" t="inlineStr">
        <is>
          <t>2024-02-16</t>
        </is>
      </c>
      <c r="C60" s="6" t="inlineStr">
        <is>
          <t>DIA</t>
        </is>
      </c>
      <c r="D60" s="7">
        <f>Rebalance_Audit!J1830</f>
        <v/>
      </c>
      <c r="E60" s="7">
        <f>Rebalance_Audit!R1830</f>
        <v/>
      </c>
      <c r="F60" s="7">
        <f>E60-D60</f>
        <v/>
      </c>
      <c r="G60" s="8">
        <f>IF(D60=0,0,F60/D60)</f>
        <v/>
      </c>
      <c r="H60" s="8" t="n">
        <v>0.001062826109048842</v>
      </c>
      <c r="I60" s="8" t="n">
        <v>0.0002063330964687804</v>
      </c>
      <c r="J60" s="8">
        <f>G60-I60</f>
        <v/>
      </c>
      <c r="K60" s="6" t="inlineStr">
        <is>
          <t>hold</t>
        </is>
      </c>
      <c r="L60" s="6" t="inlineStr"/>
      <c r="M60" s="6" t="inlineStr"/>
      <c r="N60" s="6" t="n">
        <v>5</v>
      </c>
    </row>
    <row r="61">
      <c r="A61" s="6" t="inlineStr">
        <is>
          <t>DJ30</t>
        </is>
      </c>
      <c r="B61" s="6" t="inlineStr">
        <is>
          <t>2024-02-23</t>
        </is>
      </c>
      <c r="C61" s="6" t="inlineStr">
        <is>
          <t>DIA</t>
        </is>
      </c>
      <c r="D61" s="7">
        <f>Rebalance_Audit!J1861</f>
        <v/>
      </c>
      <c r="E61" s="7">
        <f>Rebalance_Audit!R1861</f>
        <v/>
      </c>
      <c r="F61" s="7">
        <f>E61-D61</f>
        <v/>
      </c>
      <c r="G61" s="8">
        <f>IF(D61=0,0,F61/D61)</f>
        <v/>
      </c>
      <c r="H61" s="8" t="n">
        <v>0.02225472216910429</v>
      </c>
      <c r="I61" s="8" t="n">
        <v>0.01318002845069732</v>
      </c>
      <c r="J61" s="8">
        <f>G61-I61</f>
        <v/>
      </c>
      <c r="K61" s="6" t="inlineStr">
        <is>
          <t>hold</t>
        </is>
      </c>
      <c r="L61" s="6" t="inlineStr"/>
      <c r="M61" s="6" t="inlineStr"/>
      <c r="N61" s="6" t="n">
        <v>5</v>
      </c>
    </row>
    <row r="62">
      <c r="A62" s="6" t="inlineStr">
        <is>
          <t>DJ30</t>
        </is>
      </c>
      <c r="B62" s="6" t="inlineStr">
        <is>
          <t>2024-03-01</t>
        </is>
      </c>
      <c r="C62" s="6" t="inlineStr">
        <is>
          <t>DIA</t>
        </is>
      </c>
      <c r="D62" s="7">
        <f>Rebalance_Audit!J1892</f>
        <v/>
      </c>
      <c r="E62" s="7">
        <f>Rebalance_Audit!R1892</f>
        <v/>
      </c>
      <c r="F62" s="7">
        <f>E62-D62</f>
        <v/>
      </c>
      <c r="G62" s="8">
        <f>IF(D62=0,0,F62/D62)</f>
        <v/>
      </c>
      <c r="H62" s="8" t="n">
        <v>0.02969939999532456</v>
      </c>
      <c r="I62" s="8" t="n">
        <v>7.653484558645118e-05</v>
      </c>
      <c r="J62" s="8">
        <f>G62-I62</f>
        <v/>
      </c>
      <c r="K62" s="6" t="inlineStr">
        <is>
          <t>hold</t>
        </is>
      </c>
      <c r="L62" s="6" t="inlineStr"/>
      <c r="M62" s="6" t="inlineStr"/>
      <c r="N62" s="6" t="n">
        <v>5</v>
      </c>
    </row>
    <row r="63">
      <c r="A63" s="6" t="inlineStr">
        <is>
          <t>DJ30</t>
        </is>
      </c>
      <c r="B63" s="6" t="inlineStr">
        <is>
          <t>2024-03-08</t>
        </is>
      </c>
      <c r="C63" s="6" t="inlineStr">
        <is>
          <t>DIA</t>
        </is>
      </c>
      <c r="D63" s="7">
        <f>Rebalance_Audit!J1923</f>
        <v/>
      </c>
      <c r="E63" s="7">
        <f>Rebalance_Audit!R1923</f>
        <v/>
      </c>
      <c r="F63" s="7">
        <f>E63-D63</f>
        <v/>
      </c>
      <c r="G63" s="8">
        <f>IF(D63=0,0,F63/D63)</f>
        <v/>
      </c>
      <c r="H63" s="8" t="n">
        <v>0.01046812428606603</v>
      </c>
      <c r="I63" s="8" t="n">
        <v>-0.008484351886929753</v>
      </c>
      <c r="J63" s="8">
        <f>G63-I63</f>
        <v/>
      </c>
      <c r="K63" s="6" t="inlineStr">
        <is>
          <t>hold</t>
        </is>
      </c>
      <c r="L63" s="6" t="inlineStr"/>
      <c r="M63" s="6" t="inlineStr"/>
      <c r="N63" s="6" t="n">
        <v>5</v>
      </c>
    </row>
    <row r="64">
      <c r="A64" s="6" t="inlineStr">
        <is>
          <t>DJ30</t>
        </is>
      </c>
      <c r="B64" s="6" t="inlineStr">
        <is>
          <t>2024-03-15</t>
        </is>
      </c>
      <c r="C64" s="6" t="inlineStr">
        <is>
          <t>DIA</t>
        </is>
      </c>
      <c r="D64" s="7">
        <f>Rebalance_Audit!J1954</f>
        <v/>
      </c>
      <c r="E64" s="7">
        <f>Rebalance_Audit!R1954</f>
        <v/>
      </c>
      <c r="F64" s="7">
        <f>E64-D64</f>
        <v/>
      </c>
      <c r="G64" s="8">
        <f>IF(D64=0,0,F64/D64)</f>
        <v/>
      </c>
      <c r="H64" s="8" t="n">
        <v>-0.01017449473481191</v>
      </c>
      <c r="I64" s="8" t="n">
        <v>-0.0001598399803325323</v>
      </c>
      <c r="J64" s="8">
        <f>G64-I64</f>
        <v/>
      </c>
      <c r="K64" s="6" t="inlineStr">
        <is>
          <t>hold</t>
        </is>
      </c>
      <c r="L64" s="6" t="inlineStr"/>
      <c r="M64" s="6" t="inlineStr"/>
      <c r="N64" s="6" t="n">
        <v>5</v>
      </c>
    </row>
    <row r="65">
      <c r="A65" s="6" t="inlineStr">
        <is>
          <t>DJ30</t>
        </is>
      </c>
      <c r="B65" s="6" t="inlineStr">
        <is>
          <t>2024-03-22</t>
        </is>
      </c>
      <c r="C65" s="6" t="inlineStr">
        <is>
          <t>DIA</t>
        </is>
      </c>
      <c r="D65" s="7">
        <f>Rebalance_Audit!J1985</f>
        <v/>
      </c>
      <c r="E65" s="7">
        <f>Rebalance_Audit!R1985</f>
        <v/>
      </c>
      <c r="F65" s="7">
        <f>E65-D65</f>
        <v/>
      </c>
      <c r="G65" s="8">
        <f>IF(D65=0,0,F65/D65)</f>
        <v/>
      </c>
      <c r="H65" s="8" t="n">
        <v>0.03543408840690376</v>
      </c>
      <c r="I65" s="8" t="n">
        <v>0.01945719565629744</v>
      </c>
      <c r="J65" s="8">
        <f>G65-I65</f>
        <v/>
      </c>
      <c r="K65" s="6" t="inlineStr">
        <is>
          <t>hold</t>
        </is>
      </c>
      <c r="L65" s="6" t="inlineStr"/>
      <c r="M65" s="6" t="inlineStr"/>
      <c r="N65" s="6" t="n">
        <v>5</v>
      </c>
    </row>
    <row r="66">
      <c r="A66" s="6" t="inlineStr">
        <is>
          <t>DJ30</t>
        </is>
      </c>
      <c r="B66" s="6" t="inlineStr">
        <is>
          <t>2024-03-29</t>
        </is>
      </c>
      <c r="C66" s="6" t="inlineStr">
        <is>
          <t>DIA</t>
        </is>
      </c>
      <c r="D66" s="7">
        <f>Rebalance_Audit!J2016</f>
        <v/>
      </c>
      <c r="E66" s="7">
        <f>Rebalance_Audit!R2016</f>
        <v/>
      </c>
      <c r="F66" s="7">
        <f>E66-D66</f>
        <v/>
      </c>
      <c r="G66" s="8">
        <f>IF(D66=0,0,F66/D66)</f>
        <v/>
      </c>
      <c r="H66" s="8" t="n">
        <v>-0.001950327282804754</v>
      </c>
      <c r="I66" s="8" t="n">
        <v>0.008186879773943945</v>
      </c>
      <c r="J66" s="8">
        <f>G66-I66</f>
        <v/>
      </c>
      <c r="K66" s="6" t="inlineStr">
        <is>
          <t>hold</t>
        </is>
      </c>
      <c r="L66" s="6" t="inlineStr"/>
      <c r="M66" s="6" t="inlineStr"/>
      <c r="N66" s="6" t="n">
        <v>5</v>
      </c>
    </row>
    <row r="67">
      <c r="A67" s="6" t="inlineStr">
        <is>
          <t>DJ30</t>
        </is>
      </c>
      <c r="B67" s="6" t="inlineStr">
        <is>
          <t>2024-04-05</t>
        </is>
      </c>
      <c r="C67" s="6" t="inlineStr">
        <is>
          <t>DIA</t>
        </is>
      </c>
      <c r="D67" s="7">
        <f>Rebalance_Audit!J2047</f>
        <v/>
      </c>
      <c r="E67" s="7">
        <f>Rebalance_Audit!R2047</f>
        <v/>
      </c>
      <c r="F67" s="7">
        <f>E67-D67</f>
        <v/>
      </c>
      <c r="G67" s="8">
        <f>IF(D67=0,0,F67/D67)</f>
        <v/>
      </c>
      <c r="H67" s="8" t="n">
        <v>-0.009702336422716895</v>
      </c>
      <c r="I67" s="8" t="n">
        <v>-0.02237524811447311</v>
      </c>
      <c r="J67" s="8">
        <f>G67-I67</f>
        <v/>
      </c>
      <c r="K67" s="6" t="inlineStr">
        <is>
          <t>hold</t>
        </is>
      </c>
      <c r="L67" s="6" t="inlineStr"/>
      <c r="M67" s="6" t="inlineStr"/>
      <c r="N67" s="6" t="n">
        <v>5</v>
      </c>
    </row>
    <row r="68">
      <c r="A68" s="6" t="inlineStr">
        <is>
          <t>DJ30</t>
        </is>
      </c>
      <c r="B68" s="6" t="inlineStr">
        <is>
          <t>2024-04-12</t>
        </is>
      </c>
      <c r="C68" s="6" t="inlineStr">
        <is>
          <t>DIA</t>
        </is>
      </c>
      <c r="D68" s="7">
        <f>Rebalance_Audit!J2078</f>
        <v/>
      </c>
      <c r="E68" s="7">
        <f>Rebalance_Audit!R2078</f>
        <v/>
      </c>
      <c r="F68" s="7">
        <f>E68-D68</f>
        <v/>
      </c>
      <c r="G68" s="8">
        <f>IF(D68=0,0,F68/D68)</f>
        <v/>
      </c>
      <c r="H68" s="8" t="n">
        <v>-0.02107418821911522</v>
      </c>
      <c r="I68" s="8" t="n">
        <v>-0.0231191400649623</v>
      </c>
      <c r="J68" s="8">
        <f>G68-I68</f>
        <v/>
      </c>
      <c r="K68" s="6" t="inlineStr">
        <is>
          <t>hold</t>
        </is>
      </c>
      <c r="L68" s="6" t="inlineStr"/>
      <c r="M68" s="6" t="inlineStr"/>
      <c r="N68" s="6" t="n">
        <v>5</v>
      </c>
    </row>
    <row r="69">
      <c r="A69" s="6" t="inlineStr">
        <is>
          <t>DJ30</t>
        </is>
      </c>
      <c r="B69" s="6" t="inlineStr">
        <is>
          <t>2024-04-19</t>
        </is>
      </c>
      <c r="C69" s="6" t="inlineStr">
        <is>
          <t>DIA</t>
        </is>
      </c>
      <c r="D69" s="7">
        <f>Rebalance_Audit!J2109</f>
        <v/>
      </c>
      <c r="E69" s="7">
        <f>Rebalance_Audit!R2109</f>
        <v/>
      </c>
      <c r="F69" s="7">
        <f>E69-D69</f>
        <v/>
      </c>
      <c r="G69" s="8">
        <f>IF(D69=0,0,F69/D69)</f>
        <v/>
      </c>
      <c r="H69" s="8" t="n">
        <v>-0.04867409465595163</v>
      </c>
      <c r="I69" s="8" t="n">
        <v>0.0003401299118166445</v>
      </c>
      <c r="J69" s="8">
        <f>G69-I69</f>
        <v/>
      </c>
      <c r="K69" s="6" t="inlineStr">
        <is>
          <t>rebalance</t>
        </is>
      </c>
      <c r="L69" s="6" t="inlineStr">
        <is>
          <t>JPM</t>
        </is>
      </c>
      <c r="M69" s="6" t="inlineStr">
        <is>
          <t>AMGN</t>
        </is>
      </c>
      <c r="N69" s="6" t="n">
        <v>5</v>
      </c>
    </row>
    <row r="70">
      <c r="A70" s="6" t="inlineStr">
        <is>
          <t>DJ30</t>
        </is>
      </c>
      <c r="B70" s="6" t="inlineStr">
        <is>
          <t>2024-04-26</t>
        </is>
      </c>
      <c r="C70" s="6" t="inlineStr">
        <is>
          <t>DIA</t>
        </is>
      </c>
      <c r="D70" s="7">
        <f>Rebalance_Audit!J2140</f>
        <v/>
      </c>
      <c r="E70" s="7">
        <f>Rebalance_Audit!R2140</f>
        <v/>
      </c>
      <c r="F70" s="7">
        <f>E70-D70</f>
        <v/>
      </c>
      <c r="G70" s="8">
        <f>IF(D70=0,0,F70/D70)</f>
        <v/>
      </c>
      <c r="H70" s="8" t="n">
        <v>0.01917615068449985</v>
      </c>
      <c r="I70" s="8" t="n">
        <v>0.006608855645268363</v>
      </c>
      <c r="J70" s="8">
        <f>G70-I70</f>
        <v/>
      </c>
      <c r="K70" s="6" t="inlineStr">
        <is>
          <t>hold</t>
        </is>
      </c>
      <c r="L70" s="6" t="inlineStr"/>
      <c r="M70" s="6" t="inlineStr"/>
      <c r="N70" s="6" t="n">
        <v>5</v>
      </c>
    </row>
    <row r="71">
      <c r="A71" s="6" t="inlineStr">
        <is>
          <t>DJ30</t>
        </is>
      </c>
      <c r="B71" s="6" t="inlineStr">
        <is>
          <t>2024-05-03</t>
        </is>
      </c>
      <c r="C71" s="6" t="inlineStr">
        <is>
          <t>DIA</t>
        </is>
      </c>
      <c r="D71" s="7">
        <f>Rebalance_Audit!J2171</f>
        <v/>
      </c>
      <c r="E71" s="7">
        <f>Rebalance_Audit!R2171</f>
        <v/>
      </c>
      <c r="F71" s="7">
        <f>E71-D71</f>
        <v/>
      </c>
      <c r="G71" s="8">
        <f>IF(D71=0,0,F71/D71)</f>
        <v/>
      </c>
      <c r="H71" s="8" t="n">
        <v>-0.006697818387099597</v>
      </c>
      <c r="I71" s="8" t="n">
        <v>0.01166574913738327</v>
      </c>
      <c r="J71" s="8">
        <f>G71-I71</f>
        <v/>
      </c>
      <c r="K71" s="6" t="inlineStr">
        <is>
          <t>hold</t>
        </is>
      </c>
      <c r="L71" s="6" t="inlineStr"/>
      <c r="M71" s="6" t="inlineStr"/>
      <c r="N71" s="6" t="n">
        <v>5</v>
      </c>
    </row>
    <row r="72">
      <c r="A72" s="6" t="inlineStr">
        <is>
          <t>DJ30</t>
        </is>
      </c>
      <c r="B72" s="6" t="inlineStr">
        <is>
          <t>2024-05-10</t>
        </is>
      </c>
      <c r="C72" s="6" t="inlineStr">
        <is>
          <t>DIA</t>
        </is>
      </c>
      <c r="D72" s="7">
        <f>Rebalance_Audit!J2202</f>
        <v/>
      </c>
      <c r="E72" s="7">
        <f>Rebalance_Audit!R2202</f>
        <v/>
      </c>
      <c r="F72" s="7">
        <f>E72-D72</f>
        <v/>
      </c>
      <c r="G72" s="8">
        <f>IF(D72=0,0,F72/D72)</f>
        <v/>
      </c>
      <c r="H72" s="8" t="n">
        <v>0.02777901753814471</v>
      </c>
      <c r="I72" s="8" t="n">
        <v>0.02174431095414464</v>
      </c>
      <c r="J72" s="8">
        <f>G72-I72</f>
        <v/>
      </c>
      <c r="K72" s="6" t="inlineStr">
        <is>
          <t>hold</t>
        </is>
      </c>
      <c r="L72" s="6" t="inlineStr"/>
      <c r="M72" s="6" t="inlineStr"/>
      <c r="N72" s="6" t="n">
        <v>5</v>
      </c>
    </row>
    <row r="73">
      <c r="A73" s="6" t="inlineStr">
        <is>
          <t>DJ30</t>
        </is>
      </c>
      <c r="B73" s="6" t="inlineStr">
        <is>
          <t>2024-05-17</t>
        </is>
      </c>
      <c r="C73" s="6" t="inlineStr">
        <is>
          <t>DIA</t>
        </is>
      </c>
      <c r="D73" s="7">
        <f>Rebalance_Audit!J2233</f>
        <v/>
      </c>
      <c r="E73" s="7">
        <f>Rebalance_Audit!R2233</f>
        <v/>
      </c>
      <c r="F73" s="7">
        <f>E73-D73</f>
        <v/>
      </c>
      <c r="G73" s="8">
        <f>IF(D73=0,0,F73/D73)</f>
        <v/>
      </c>
      <c r="H73" s="8" t="n">
        <v>0.02139141051527815</v>
      </c>
      <c r="I73" s="8" t="n">
        <v>0.01357873189050651</v>
      </c>
      <c r="J73" s="8">
        <f>G73-I73</f>
        <v/>
      </c>
      <c r="K73" s="6" t="inlineStr">
        <is>
          <t>hold</t>
        </is>
      </c>
      <c r="L73" s="6" t="inlineStr"/>
      <c r="M73" s="6" t="inlineStr"/>
      <c r="N73" s="6" t="n">
        <v>5</v>
      </c>
    </row>
    <row r="74">
      <c r="A74" s="6" t="inlineStr">
        <is>
          <t>DJ30</t>
        </is>
      </c>
      <c r="B74" s="6" t="inlineStr">
        <is>
          <t>2024-05-24</t>
        </is>
      </c>
      <c r="C74" s="6" t="inlineStr">
        <is>
          <t>DIA</t>
        </is>
      </c>
      <c r="D74" s="7">
        <f>Rebalance_Audit!J2264</f>
        <v/>
      </c>
      <c r="E74" s="7">
        <f>Rebalance_Audit!R2264</f>
        <v/>
      </c>
      <c r="F74" s="7">
        <f>E74-D74</f>
        <v/>
      </c>
      <c r="G74" s="8">
        <f>IF(D74=0,0,F74/D74)</f>
        <v/>
      </c>
      <c r="H74" s="8" t="n">
        <v>0.01460706195400574</v>
      </c>
      <c r="I74" s="8" t="n">
        <v>-0.02327812559533604</v>
      </c>
      <c r="J74" s="8">
        <f>G74-I74</f>
        <v/>
      </c>
      <c r="K74" s="6" t="inlineStr">
        <is>
          <t>rebalance</t>
        </is>
      </c>
      <c r="L74" s="6" t="inlineStr">
        <is>
          <t>AMZN</t>
        </is>
      </c>
      <c r="M74" s="6" t="inlineStr">
        <is>
          <t>CRM</t>
        </is>
      </c>
      <c r="N74" s="6" t="n">
        <v>5</v>
      </c>
    </row>
    <row r="75">
      <c r="A75" s="6" t="inlineStr">
        <is>
          <t>DJ30</t>
        </is>
      </c>
      <c r="B75" s="6" t="inlineStr">
        <is>
          <t>2024-05-31</t>
        </is>
      </c>
      <c r="C75" s="6" t="inlineStr">
        <is>
          <t>DIA</t>
        </is>
      </c>
      <c r="D75" s="7">
        <f>Rebalance_Audit!J2295</f>
        <v/>
      </c>
      <c r="E75" s="7">
        <f>Rebalance_Audit!R2295</f>
        <v/>
      </c>
      <c r="F75" s="7">
        <f>E75-D75</f>
        <v/>
      </c>
      <c r="G75" s="8">
        <f>IF(D75=0,0,F75/D75)</f>
        <v/>
      </c>
      <c r="H75" s="8" t="n">
        <v>-0.007590604021549319</v>
      </c>
      <c r="I75" s="8" t="n">
        <v>-0.007961264381852518</v>
      </c>
      <c r="J75" s="8">
        <f>G75-I75</f>
        <v/>
      </c>
      <c r="K75" s="6" t="inlineStr">
        <is>
          <t>hold</t>
        </is>
      </c>
      <c r="L75" s="6" t="inlineStr"/>
      <c r="M75" s="6" t="inlineStr"/>
      <c r="N75" s="6" t="n">
        <v>5</v>
      </c>
    </row>
    <row r="76">
      <c r="A76" s="6" t="inlineStr">
        <is>
          <t>DJ30</t>
        </is>
      </c>
      <c r="B76" s="6" t="inlineStr">
        <is>
          <t>2024-06-07</t>
        </is>
      </c>
      <c r="C76" s="6" t="inlineStr">
        <is>
          <t>DIA</t>
        </is>
      </c>
      <c r="D76" s="7">
        <f>Rebalance_Audit!J2326</f>
        <v/>
      </c>
      <c r="E76" s="7">
        <f>Rebalance_Audit!R2326</f>
        <v/>
      </c>
      <c r="F76" s="7">
        <f>E76-D76</f>
        <v/>
      </c>
      <c r="G76" s="8">
        <f>IF(D76=0,0,F76/D76)</f>
        <v/>
      </c>
      <c r="H76" s="8" t="n">
        <v>0.02372435832925524</v>
      </c>
      <c r="I76" s="8" t="n">
        <v>0.00247716295436895</v>
      </c>
      <c r="J76" s="8">
        <f>G76-I76</f>
        <v/>
      </c>
      <c r="K76" s="6" t="inlineStr">
        <is>
          <t>rebalance</t>
        </is>
      </c>
      <c r="L76" s="6" t="inlineStr">
        <is>
          <t>AXP|GS|TRV</t>
        </is>
      </c>
      <c r="M76" s="6" t="inlineStr">
        <is>
          <t>AMZN|JPM|IBM</t>
        </is>
      </c>
      <c r="N76" s="6" t="n">
        <v>5</v>
      </c>
    </row>
    <row r="77">
      <c r="A77" s="6" t="inlineStr">
        <is>
          <t>DJ30</t>
        </is>
      </c>
      <c r="B77" s="6" t="inlineStr">
        <is>
          <t>2024-06-14</t>
        </is>
      </c>
      <c r="C77" s="6" t="inlineStr">
        <is>
          <t>DIA</t>
        </is>
      </c>
      <c r="D77" s="7">
        <f>Rebalance_Audit!J2357</f>
        <v/>
      </c>
      <c r="E77" s="7">
        <f>Rebalance_Audit!R2357</f>
        <v/>
      </c>
      <c r="F77" s="7">
        <f>E77-D77</f>
        <v/>
      </c>
      <c r="G77" s="8">
        <f>IF(D77=0,0,F77/D77)</f>
        <v/>
      </c>
      <c r="H77" s="8" t="n">
        <v>-0.002511604909337217</v>
      </c>
      <c r="I77" s="8" t="n">
        <v>-0.005225351506444764</v>
      </c>
      <c r="J77" s="8">
        <f>G77-I77</f>
        <v/>
      </c>
      <c r="K77" s="6" t="inlineStr">
        <is>
          <t>hold</t>
        </is>
      </c>
      <c r="L77" s="6" t="inlineStr"/>
      <c r="M77" s="6" t="inlineStr"/>
      <c r="N77" s="6" t="n">
        <v>5</v>
      </c>
    </row>
    <row r="78">
      <c r="A78" s="6" t="inlineStr">
        <is>
          <t>DJ30</t>
        </is>
      </c>
      <c r="B78" s="6" t="inlineStr">
        <is>
          <t>2024-06-21</t>
        </is>
      </c>
      <c r="C78" s="6" t="inlineStr">
        <is>
          <t>DIA</t>
        </is>
      </c>
      <c r="D78" s="7">
        <f>Rebalance_Audit!J2388</f>
        <v/>
      </c>
      <c r="E78" s="7">
        <f>Rebalance_Audit!R2388</f>
        <v/>
      </c>
      <c r="F78" s="7">
        <f>E78-D78</f>
        <v/>
      </c>
      <c r="G78" s="8">
        <f>IF(D78=0,0,F78/D78)</f>
        <v/>
      </c>
      <c r="H78" s="8" t="n">
        <v>0.005960690441265459</v>
      </c>
      <c r="I78" s="8" t="n">
        <v>0.01488992486624308</v>
      </c>
      <c r="J78" s="8">
        <f>G78-I78</f>
        <v/>
      </c>
      <c r="K78" s="6" t="inlineStr">
        <is>
          <t>rebalance</t>
        </is>
      </c>
      <c r="L78" s="6" t="inlineStr">
        <is>
          <t>AMZN</t>
        </is>
      </c>
      <c r="M78" s="6" t="inlineStr">
        <is>
          <t>CAT</t>
        </is>
      </c>
      <c r="N78" s="6" t="n">
        <v>5</v>
      </c>
    </row>
    <row r="79">
      <c r="A79" s="6" t="inlineStr">
        <is>
          <t>DJ30</t>
        </is>
      </c>
      <c r="B79" s="6" t="inlineStr">
        <is>
          <t>2024-06-28</t>
        </is>
      </c>
      <c r="C79" s="6" t="inlineStr">
        <is>
          <t>DIA</t>
        </is>
      </c>
      <c r="D79" s="7">
        <f>Rebalance_Audit!J2419</f>
        <v/>
      </c>
      <c r="E79" s="7">
        <f>Rebalance_Audit!R2419</f>
        <v/>
      </c>
      <c r="F79" s="7">
        <f>E79-D79</f>
        <v/>
      </c>
      <c r="G79" s="8">
        <f>IF(D79=0,0,F79/D79)</f>
        <v/>
      </c>
      <c r="H79" s="8" t="n">
        <v>-0.004568814190195281</v>
      </c>
      <c r="I79" s="8" t="n">
        <v>-0.0005366217173246035</v>
      </c>
      <c r="J79" s="8">
        <f>G79-I79</f>
        <v/>
      </c>
      <c r="K79" s="6" t="inlineStr">
        <is>
          <t>hold</t>
        </is>
      </c>
      <c r="L79" s="6" t="inlineStr"/>
      <c r="M79" s="6" t="inlineStr"/>
      <c r="N79" s="6" t="n">
        <v>5</v>
      </c>
    </row>
    <row r="80">
      <c r="A80" s="6" t="inlineStr">
        <is>
          <t>DJ30</t>
        </is>
      </c>
      <c r="B80" s="6" t="inlineStr">
        <is>
          <t>2024-07-05</t>
        </is>
      </c>
      <c r="C80" s="6" t="inlineStr">
        <is>
          <t>DIA</t>
        </is>
      </c>
      <c r="D80" s="7">
        <f>Rebalance_Audit!J2450</f>
        <v/>
      </c>
      <c r="E80" s="7">
        <f>Rebalance_Audit!R2450</f>
        <v/>
      </c>
      <c r="F80" s="7">
        <f>E80-D80</f>
        <v/>
      </c>
      <c r="G80" s="8">
        <f>IF(D80=0,0,F80/D80)</f>
        <v/>
      </c>
      <c r="H80" s="8" t="n">
        <v>0.01887359925646837</v>
      </c>
      <c r="I80" s="8" t="n">
        <v>0.006570887832847205</v>
      </c>
      <c r="J80" s="8">
        <f>G80-I80</f>
        <v/>
      </c>
      <c r="K80" s="6" t="inlineStr">
        <is>
          <t>hold</t>
        </is>
      </c>
      <c r="L80" s="6" t="inlineStr"/>
      <c r="M80" s="6" t="inlineStr"/>
      <c r="N80" s="6" t="n">
        <v>5</v>
      </c>
    </row>
    <row r="81">
      <c r="A81" s="6" t="inlineStr">
        <is>
          <t>DJ30</t>
        </is>
      </c>
      <c r="B81" s="6" t="inlineStr">
        <is>
          <t>2024-07-12</t>
        </is>
      </c>
      <c r="C81" s="6" t="inlineStr">
        <is>
          <t>DIA</t>
        </is>
      </c>
      <c r="D81" s="7">
        <f>Rebalance_Audit!J2481</f>
        <v/>
      </c>
      <c r="E81" s="7">
        <f>Rebalance_Audit!R2481</f>
        <v/>
      </c>
      <c r="F81" s="7">
        <f>E81-D81</f>
        <v/>
      </c>
      <c r="G81" s="8">
        <f>IF(D81=0,0,F81/D81)</f>
        <v/>
      </c>
      <c r="H81" s="8" t="n">
        <v>0.01860724974217431</v>
      </c>
      <c r="I81" s="8" t="n">
        <v>0.01681460769793364</v>
      </c>
      <c r="J81" s="8">
        <f>G81-I81</f>
        <v/>
      </c>
      <c r="K81" s="6" t="inlineStr">
        <is>
          <t>hold</t>
        </is>
      </c>
      <c r="L81" s="6" t="inlineStr"/>
      <c r="M81" s="6" t="inlineStr"/>
      <c r="N81" s="6" t="n">
        <v>5</v>
      </c>
    </row>
    <row r="82">
      <c r="A82" s="6" t="inlineStr">
        <is>
          <t>DJ30</t>
        </is>
      </c>
      <c r="B82" s="6" t="inlineStr">
        <is>
          <t>2024-07-19</t>
        </is>
      </c>
      <c r="C82" s="6" t="inlineStr">
        <is>
          <t>DIA</t>
        </is>
      </c>
      <c r="D82" s="7">
        <f>Rebalance_Audit!J2512</f>
        <v/>
      </c>
      <c r="E82" s="7">
        <f>Rebalance_Audit!R2512</f>
        <v/>
      </c>
      <c r="F82" s="7">
        <f>E82-D82</f>
        <v/>
      </c>
      <c r="G82" s="8">
        <f>IF(D82=0,0,F82/D82)</f>
        <v/>
      </c>
      <c r="H82" s="8" t="n">
        <v>-0.03201136454446685</v>
      </c>
      <c r="I82" s="8" t="n">
        <v>0.007050235681508976</v>
      </c>
      <c r="J82" s="8">
        <f>G82-I82</f>
        <v/>
      </c>
      <c r="K82" s="6" t="inlineStr">
        <is>
          <t>rebalance</t>
        </is>
      </c>
      <c r="L82" s="6" t="inlineStr">
        <is>
          <t>VZ</t>
        </is>
      </c>
      <c r="M82" s="6" t="inlineStr">
        <is>
          <t>GS</t>
        </is>
      </c>
      <c r="N82" s="6" t="n">
        <v>5</v>
      </c>
    </row>
    <row r="83">
      <c r="A83" s="6" t="inlineStr">
        <is>
          <t>DJ30</t>
        </is>
      </c>
      <c r="B83" s="6" t="inlineStr">
        <is>
          <t>2024-07-26</t>
        </is>
      </c>
      <c r="C83" s="6" t="inlineStr">
        <is>
          <t>DIA</t>
        </is>
      </c>
      <c r="D83" s="7">
        <f>Rebalance_Audit!J2543</f>
        <v/>
      </c>
      <c r="E83" s="7">
        <f>Rebalance_Audit!R2543</f>
        <v/>
      </c>
      <c r="F83" s="7">
        <f>E83-D83</f>
        <v/>
      </c>
      <c r="G83" s="8">
        <f>IF(D83=0,0,F83/D83)</f>
        <v/>
      </c>
      <c r="H83" s="8" t="n">
        <v>-0.003210492022571287</v>
      </c>
      <c r="I83" s="8" t="n">
        <v>0.007494693666304508</v>
      </c>
      <c r="J83" s="8">
        <f>G83-I83</f>
        <v/>
      </c>
      <c r="K83" s="6" t="inlineStr">
        <is>
          <t>hold</t>
        </is>
      </c>
      <c r="L83" s="6" t="inlineStr"/>
      <c r="M83" s="6" t="inlineStr"/>
      <c r="N83" s="6" t="n">
        <v>5</v>
      </c>
    </row>
    <row r="84">
      <c r="A84" s="6" t="inlineStr">
        <is>
          <t>DJ30</t>
        </is>
      </c>
      <c r="B84" s="6" t="inlineStr">
        <is>
          <t>2024-08-02</t>
        </is>
      </c>
      <c r="C84" s="6" t="inlineStr">
        <is>
          <t>DIA</t>
        </is>
      </c>
      <c r="D84" s="7">
        <f>Rebalance_Audit!J2574</f>
        <v/>
      </c>
      <c r="E84" s="7">
        <f>Rebalance_Audit!R2574</f>
        <v/>
      </c>
      <c r="F84" s="7">
        <f>E84-D84</f>
        <v/>
      </c>
      <c r="G84" s="8">
        <f>IF(D84=0,0,F84/D84)</f>
        <v/>
      </c>
      <c r="H84" s="8" t="n">
        <v>-0.03268626140830955</v>
      </c>
      <c r="I84" s="8" t="n">
        <v>-0.02177513998586622</v>
      </c>
      <c r="J84" s="8">
        <f>G84-I84</f>
        <v/>
      </c>
      <c r="K84" s="6" t="inlineStr">
        <is>
          <t>rebalance</t>
        </is>
      </c>
      <c r="L84" s="6" t="inlineStr">
        <is>
          <t>WMT</t>
        </is>
      </c>
      <c r="M84" s="6" t="inlineStr">
        <is>
          <t>VZ</t>
        </is>
      </c>
      <c r="N84" s="6" t="n">
        <v>5</v>
      </c>
    </row>
    <row r="85">
      <c r="A85" s="6" t="inlineStr">
        <is>
          <t>DJ30</t>
        </is>
      </c>
      <c r="B85" s="6" t="inlineStr">
        <is>
          <t>2024-08-09</t>
        </is>
      </c>
      <c r="C85" s="6" t="inlineStr">
        <is>
          <t>DIA</t>
        </is>
      </c>
      <c r="D85" s="7">
        <f>Rebalance_Audit!J2605</f>
        <v/>
      </c>
      <c r="E85" s="7">
        <f>Rebalance_Audit!R2605</f>
        <v/>
      </c>
      <c r="F85" s="7">
        <f>E85-D85</f>
        <v/>
      </c>
      <c r="G85" s="8">
        <f>IF(D85=0,0,F85/D85)</f>
        <v/>
      </c>
      <c r="H85" s="8" t="n">
        <v>-0.004847086309741178</v>
      </c>
      <c r="I85" s="8" t="n">
        <v>-0.004985650191741464</v>
      </c>
      <c r="J85" s="8">
        <f>G85-I85</f>
        <v/>
      </c>
      <c r="K85" s="6" t="inlineStr">
        <is>
          <t>rebalance</t>
        </is>
      </c>
      <c r="L85" s="6" t="inlineStr">
        <is>
          <t>MMM</t>
        </is>
      </c>
      <c r="M85" s="6" t="inlineStr">
        <is>
          <t>TRV</t>
        </is>
      </c>
      <c r="N85" s="6" t="n">
        <v>5</v>
      </c>
    </row>
    <row r="86">
      <c r="A86" s="6" t="inlineStr">
        <is>
          <t>DJ30</t>
        </is>
      </c>
      <c r="B86" s="6" t="inlineStr">
        <is>
          <t>2024-08-16</t>
        </is>
      </c>
      <c r="C86" s="6" t="inlineStr">
        <is>
          <t>DIA</t>
        </is>
      </c>
      <c r="D86" s="7">
        <f>Rebalance_Audit!J2636</f>
        <v/>
      </c>
      <c r="E86" s="7">
        <f>Rebalance_Audit!R2636</f>
        <v/>
      </c>
      <c r="F86" s="7">
        <f>E86-D86</f>
        <v/>
      </c>
      <c r="G86" s="8">
        <f>IF(D86=0,0,F86/D86)</f>
        <v/>
      </c>
      <c r="H86" s="8" t="n">
        <v>0.08268350682230374</v>
      </c>
      <c r="I86" s="8" t="n">
        <v>0.03016061555773741</v>
      </c>
      <c r="J86" s="8">
        <f>G86-I86</f>
        <v/>
      </c>
      <c r="K86" s="6" t="inlineStr">
        <is>
          <t>rebalance</t>
        </is>
      </c>
      <c r="L86" s="6" t="inlineStr">
        <is>
          <t>VZ</t>
        </is>
      </c>
      <c r="M86" s="6" t="inlineStr">
        <is>
          <t>AMZN</t>
        </is>
      </c>
      <c r="N86" s="6" t="n">
        <v>5</v>
      </c>
    </row>
    <row r="87">
      <c r="A87" s="6" t="inlineStr">
        <is>
          <t>DJ30</t>
        </is>
      </c>
      <c r="B87" s="6" t="inlineStr">
        <is>
          <t>2024-08-23</t>
        </is>
      </c>
      <c r="C87" s="6" t="inlineStr">
        <is>
          <t>DIA</t>
        </is>
      </c>
      <c r="D87" s="7">
        <f>Rebalance_Audit!J2667</f>
        <v/>
      </c>
      <c r="E87" s="7">
        <f>Rebalance_Audit!R2667</f>
        <v/>
      </c>
      <c r="F87" s="7">
        <f>E87-D87</f>
        <v/>
      </c>
      <c r="G87" s="8">
        <f>IF(D87=0,0,F87/D87)</f>
        <v/>
      </c>
      <c r="H87" s="8" t="n">
        <v>0.02195526686553961</v>
      </c>
      <c r="I87" s="8" t="n">
        <v>0.01251400121617641</v>
      </c>
      <c r="J87" s="8">
        <f>G87-I87</f>
        <v/>
      </c>
      <c r="K87" s="6" t="inlineStr">
        <is>
          <t>hold</t>
        </is>
      </c>
      <c r="L87" s="6" t="inlineStr"/>
      <c r="M87" s="6" t="inlineStr"/>
      <c r="N87" s="6" t="n">
        <v>5</v>
      </c>
    </row>
    <row r="88">
      <c r="A88" s="6" t="inlineStr">
        <is>
          <t>DJ30</t>
        </is>
      </c>
      <c r="B88" s="6" t="inlineStr">
        <is>
          <t>2024-08-30</t>
        </is>
      </c>
      <c r="C88" s="6" t="inlineStr">
        <is>
          <t>DIA</t>
        </is>
      </c>
      <c r="D88" s="7">
        <f>Rebalance_Audit!J2698</f>
        <v/>
      </c>
      <c r="E88" s="7">
        <f>Rebalance_Audit!R2698</f>
        <v/>
      </c>
      <c r="F88" s="7">
        <f>E88-D88</f>
        <v/>
      </c>
      <c r="G88" s="8">
        <f>IF(D88=0,0,F88/D88)</f>
        <v/>
      </c>
      <c r="H88" s="8" t="n">
        <v>0.004653416150038003</v>
      </c>
      <c r="I88" s="8" t="n">
        <v>0.01063556259993947</v>
      </c>
      <c r="J88" s="8">
        <f>G88-I88</f>
        <v/>
      </c>
      <c r="K88" s="6" t="inlineStr">
        <is>
          <t>hold</t>
        </is>
      </c>
      <c r="L88" s="6" t="inlineStr"/>
      <c r="M88" s="6" t="inlineStr"/>
      <c r="N88" s="6" t="n">
        <v>5</v>
      </c>
    </row>
    <row r="89">
      <c r="A89" s="6" t="inlineStr">
        <is>
          <t>DJ30</t>
        </is>
      </c>
      <c r="B89" s="6" t="inlineStr">
        <is>
          <t>2024-09-06</t>
        </is>
      </c>
      <c r="C89" s="6" t="inlineStr">
        <is>
          <t>DIA</t>
        </is>
      </c>
      <c r="D89" s="7">
        <f>Rebalance_Audit!J2729</f>
        <v/>
      </c>
      <c r="E89" s="7">
        <f>Rebalance_Audit!R2729</f>
        <v/>
      </c>
      <c r="F89" s="7">
        <f>E89-D89</f>
        <v/>
      </c>
      <c r="G89" s="8">
        <f>IF(D89=0,0,F89/D89)</f>
        <v/>
      </c>
      <c r="H89" s="8" t="n">
        <v>-0.05298050168009716</v>
      </c>
      <c r="I89" s="8" t="n">
        <v>-0.02820700831054435</v>
      </c>
      <c r="J89" s="8">
        <f>G89-I89</f>
        <v/>
      </c>
      <c r="K89" s="6" t="inlineStr">
        <is>
          <t>rebalance</t>
        </is>
      </c>
      <c r="L89" s="6" t="inlineStr">
        <is>
          <t>TRV</t>
        </is>
      </c>
      <c r="M89" s="6" t="inlineStr">
        <is>
          <t>VZ</t>
        </is>
      </c>
      <c r="N89" s="6" t="n">
        <v>5</v>
      </c>
    </row>
    <row r="90">
      <c r="A90" s="6" t="inlineStr">
        <is>
          <t>DJ30</t>
        </is>
      </c>
      <c r="B90" s="6" t="inlineStr">
        <is>
          <t>2024-09-13</t>
        </is>
      </c>
      <c r="C90" s="6" t="inlineStr">
        <is>
          <t>DIA</t>
        </is>
      </c>
      <c r="D90" s="7">
        <f>Rebalance_Audit!J2760</f>
        <v/>
      </c>
      <c r="E90" s="7">
        <f>Rebalance_Audit!R2760</f>
        <v/>
      </c>
      <c r="F90" s="7">
        <f>E90-D90</f>
        <v/>
      </c>
      <c r="G90" s="8">
        <f>IF(D90=0,0,F90/D90)</f>
        <v/>
      </c>
      <c r="H90" s="8" t="n">
        <v>0.0643261270516422</v>
      </c>
      <c r="I90" s="8" t="n">
        <v>0.02588591662770456</v>
      </c>
      <c r="J90" s="8">
        <f>G90-I90</f>
        <v/>
      </c>
      <c r="K90" s="6" t="inlineStr">
        <is>
          <t>rebalance</t>
        </is>
      </c>
      <c r="L90" s="6" t="inlineStr">
        <is>
          <t>KO|IBM</t>
        </is>
      </c>
      <c r="M90" s="6" t="inlineStr">
        <is>
          <t>WMT|TRV</t>
        </is>
      </c>
      <c r="N90" s="6" t="n">
        <v>5</v>
      </c>
    </row>
    <row r="91">
      <c r="A91" s="6" t="inlineStr">
        <is>
          <t>DJ30</t>
        </is>
      </c>
      <c r="B91" s="6" t="inlineStr">
        <is>
          <t>2024-09-20</t>
        </is>
      </c>
      <c r="C91" s="6" t="inlineStr">
        <is>
          <t>DIA</t>
        </is>
      </c>
      <c r="D91" s="7">
        <f>Rebalance_Audit!J2791</f>
        <v/>
      </c>
      <c r="E91" s="7">
        <f>Rebalance_Audit!R2791</f>
        <v/>
      </c>
      <c r="F91" s="7">
        <f>E91-D91</f>
        <v/>
      </c>
      <c r="G91" s="8">
        <f>IF(D91=0,0,F91/D91)</f>
        <v/>
      </c>
      <c r="H91" s="8" t="n">
        <v>0.008250096785843652</v>
      </c>
      <c r="I91" s="8" t="n">
        <v>0.01657891532630207</v>
      </c>
      <c r="J91" s="8">
        <f>G91-I91</f>
        <v/>
      </c>
      <c r="K91" s="6" t="inlineStr">
        <is>
          <t>hold</t>
        </is>
      </c>
      <c r="L91" s="6" t="inlineStr"/>
      <c r="M91" s="6" t="inlineStr"/>
      <c r="N91" s="6" t="n">
        <v>5</v>
      </c>
    </row>
    <row r="92">
      <c r="A92" s="6" t="inlineStr">
        <is>
          <t>DJ30</t>
        </is>
      </c>
      <c r="B92" s="6" t="inlineStr">
        <is>
          <t>2024-09-27</t>
        </is>
      </c>
      <c r="C92" s="6" t="inlineStr">
        <is>
          <t>DIA</t>
        </is>
      </c>
      <c r="D92" s="7">
        <f>Rebalance_Audit!J2822</f>
        <v/>
      </c>
      <c r="E92" s="7">
        <f>Rebalance_Audit!R2822</f>
        <v/>
      </c>
      <c r="F92" s="7">
        <f>E92-D92</f>
        <v/>
      </c>
      <c r="G92" s="8">
        <f>IF(D92=0,0,F92/D92)</f>
        <v/>
      </c>
      <c r="H92" s="8" t="n">
        <v>0.01790743718238552</v>
      </c>
      <c r="I92" s="8" t="n">
        <v>0.005658908217166969</v>
      </c>
      <c r="J92" s="8">
        <f>G92-I92</f>
        <v/>
      </c>
      <c r="K92" s="6" t="inlineStr">
        <is>
          <t>hold</t>
        </is>
      </c>
      <c r="L92" s="6" t="inlineStr"/>
      <c r="M92" s="6" t="inlineStr"/>
      <c r="N92" s="6" t="n">
        <v>5</v>
      </c>
    </row>
    <row r="93">
      <c r="A93" s="6" t="inlineStr">
        <is>
          <t>DJ30</t>
        </is>
      </c>
      <c r="B93" s="6" t="inlineStr">
        <is>
          <t>2024-10-04</t>
        </is>
      </c>
      <c r="C93" s="6" t="inlineStr">
        <is>
          <t>DIA</t>
        </is>
      </c>
      <c r="D93" s="7">
        <f>Rebalance_Audit!J2853</f>
        <v/>
      </c>
      <c r="E93" s="7">
        <f>Rebalance_Audit!R2853</f>
        <v/>
      </c>
      <c r="F93" s="7">
        <f>E93-D93</f>
        <v/>
      </c>
      <c r="G93" s="8">
        <f>IF(D93=0,0,F93/D93)</f>
        <v/>
      </c>
      <c r="H93" s="8" t="n">
        <v>0.007156799830694505</v>
      </c>
      <c r="I93" s="8" t="n">
        <v>0.00108746693798123</v>
      </c>
      <c r="J93" s="8">
        <f>G93-I93</f>
        <v/>
      </c>
      <c r="K93" s="6" t="inlineStr">
        <is>
          <t>hold</t>
        </is>
      </c>
      <c r="L93" s="6" t="inlineStr"/>
      <c r="M93" s="6" t="inlineStr"/>
      <c r="N93" s="6" t="n">
        <v>5</v>
      </c>
    </row>
    <row r="94">
      <c r="A94" s="6" t="inlineStr">
        <is>
          <t>DJ30</t>
        </is>
      </c>
      <c r="B94" s="6" t="inlineStr">
        <is>
          <t>2024-10-11</t>
        </is>
      </c>
      <c r="C94" s="6" t="inlineStr">
        <is>
          <t>DIA</t>
        </is>
      </c>
      <c r="D94" s="7">
        <f>Rebalance_Audit!J2884</f>
        <v/>
      </c>
      <c r="E94" s="7">
        <f>Rebalance_Audit!R2884</f>
        <v/>
      </c>
      <c r="F94" s="7">
        <f>E94-D94</f>
        <v/>
      </c>
      <c r="G94" s="8">
        <f>IF(D94=0,0,F94/D94)</f>
        <v/>
      </c>
      <c r="H94" s="8" t="n">
        <v>0.01950157074290071</v>
      </c>
      <c r="I94" s="8" t="n">
        <v>0.01256472609248038</v>
      </c>
      <c r="J94" s="8">
        <f>G94-I94</f>
        <v/>
      </c>
      <c r="K94" s="6" t="inlineStr">
        <is>
          <t>rebalance</t>
        </is>
      </c>
      <c r="L94" s="6" t="inlineStr">
        <is>
          <t>WMT</t>
        </is>
      </c>
      <c r="M94" s="6" t="inlineStr">
        <is>
          <t>IBM</t>
        </is>
      </c>
      <c r="N94" s="6" t="n">
        <v>5</v>
      </c>
    </row>
    <row r="95">
      <c r="A95" s="6" t="inlineStr">
        <is>
          <t>DJ30</t>
        </is>
      </c>
      <c r="B95" s="6" t="inlineStr">
        <is>
          <t>2024-10-18</t>
        </is>
      </c>
      <c r="C95" s="6" t="inlineStr">
        <is>
          <t>DIA</t>
        </is>
      </c>
      <c r="D95" s="7">
        <f>Rebalance_Audit!J2915</f>
        <v/>
      </c>
      <c r="E95" s="7">
        <f>Rebalance_Audit!R2915</f>
        <v/>
      </c>
      <c r="F95" s="7">
        <f>E95-D95</f>
        <v/>
      </c>
      <c r="G95" s="8">
        <f>IF(D95=0,0,F95/D95)</f>
        <v/>
      </c>
      <c r="H95" s="8" t="n">
        <v>0.01090519185815197</v>
      </c>
      <c r="I95" s="8" t="n">
        <v>0.009467863157814005</v>
      </c>
      <c r="J95" s="8">
        <f>G95-I95</f>
        <v/>
      </c>
      <c r="K95" s="6" t="inlineStr">
        <is>
          <t>rebalance</t>
        </is>
      </c>
      <c r="L95" s="6" t="inlineStr">
        <is>
          <t>TRV</t>
        </is>
      </c>
      <c r="M95" s="6" t="inlineStr">
        <is>
          <t>WMT</t>
        </is>
      </c>
      <c r="N95" s="6" t="n">
        <v>5</v>
      </c>
    </row>
    <row r="96">
      <c r="A96" s="6" t="inlineStr">
        <is>
          <t>DJ30</t>
        </is>
      </c>
      <c r="B96" s="6" t="inlineStr">
        <is>
          <t>2024-10-25</t>
        </is>
      </c>
      <c r="C96" s="6" t="inlineStr">
        <is>
          <t>DIA</t>
        </is>
      </c>
      <c r="D96" s="7">
        <f>Rebalance_Audit!J2946</f>
        <v/>
      </c>
      <c r="E96" s="7">
        <f>Rebalance_Audit!R2946</f>
        <v/>
      </c>
      <c r="F96" s="7">
        <f>E96-D96</f>
        <v/>
      </c>
      <c r="G96" s="8">
        <f>IF(D96=0,0,F96/D96)</f>
        <v/>
      </c>
      <c r="H96" s="8" t="n">
        <v>-0.03872545968618446</v>
      </c>
      <c r="I96" s="8" t="n">
        <v>-0.02658106287312934</v>
      </c>
      <c r="J96" s="8">
        <f>G96-I96</f>
        <v/>
      </c>
      <c r="K96" s="6" t="inlineStr">
        <is>
          <t>rebalance</t>
        </is>
      </c>
      <c r="L96" s="6" t="inlineStr">
        <is>
          <t>PG</t>
        </is>
      </c>
      <c r="M96" s="6" t="inlineStr">
        <is>
          <t>KO</t>
        </is>
      </c>
      <c r="N96" s="6" t="n">
        <v>5</v>
      </c>
    </row>
    <row r="97">
      <c r="A97" s="6" t="inlineStr">
        <is>
          <t>DJ30</t>
        </is>
      </c>
      <c r="B97" s="6" t="inlineStr">
        <is>
          <t>2024-11-01</t>
        </is>
      </c>
      <c r="C97" s="6" t="inlineStr">
        <is>
          <t>DIA</t>
        </is>
      </c>
      <c r="D97" s="7">
        <f>Rebalance_Audit!J2977</f>
        <v/>
      </c>
      <c r="E97" s="7">
        <f>Rebalance_Audit!R2977</f>
        <v/>
      </c>
      <c r="F97" s="7">
        <f>E97-D97</f>
        <v/>
      </c>
      <c r="G97" s="8">
        <f>IF(D97=0,0,F97/D97)</f>
        <v/>
      </c>
      <c r="H97" s="8" t="n">
        <v>-0.009111056112662719</v>
      </c>
      <c r="I97" s="8" t="n">
        <v>-0.001709560442961999</v>
      </c>
      <c r="J97" s="8">
        <f>G97-I97</f>
        <v/>
      </c>
      <c r="K97" s="6" t="inlineStr">
        <is>
          <t>rebalance</t>
        </is>
      </c>
      <c r="L97" s="6" t="inlineStr">
        <is>
          <t>GS|KO</t>
        </is>
      </c>
      <c r="M97" s="6" t="inlineStr">
        <is>
          <t>AXP|PG</t>
        </is>
      </c>
      <c r="N97" s="6" t="n">
        <v>5</v>
      </c>
    </row>
    <row r="98">
      <c r="A98" s="6" t="inlineStr">
        <is>
          <t>DJ30</t>
        </is>
      </c>
      <c r="B98" s="6" t="inlineStr">
        <is>
          <t>2024-11-08</t>
        </is>
      </c>
      <c r="C98" s="6" t="inlineStr">
        <is>
          <t>DIA</t>
        </is>
      </c>
      <c r="D98" s="7">
        <f>Rebalance_Audit!J3008</f>
        <v/>
      </c>
      <c r="E98" s="7">
        <f>Rebalance_Audit!R3008</f>
        <v/>
      </c>
      <c r="F98" s="7">
        <f>E98-D98</f>
        <v/>
      </c>
      <c r="G98" s="8">
        <f>IF(D98=0,0,F98/D98)</f>
        <v/>
      </c>
      <c r="H98" s="8" t="n">
        <v>0.06198672435738706</v>
      </c>
      <c r="I98" s="8" t="n">
        <v>0.04683419275746359</v>
      </c>
      <c r="J98" s="8">
        <f>G98-I98</f>
        <v/>
      </c>
      <c r="K98" s="6" t="inlineStr">
        <is>
          <t>hold</t>
        </is>
      </c>
      <c r="L98" s="6" t="inlineStr"/>
      <c r="M98" s="6" t="inlineStr"/>
      <c r="N98" s="6" t="n">
        <v>5</v>
      </c>
    </row>
    <row r="99">
      <c r="A99" s="6" t="inlineStr">
        <is>
          <t>DJ30</t>
        </is>
      </c>
      <c r="B99" s="6" t="inlineStr">
        <is>
          <t>2024-11-15</t>
        </is>
      </c>
      <c r="C99" s="6" t="inlineStr">
        <is>
          <t>DIA</t>
        </is>
      </c>
      <c r="D99" s="7">
        <f>Rebalance_Audit!J3039</f>
        <v/>
      </c>
      <c r="E99" s="7">
        <f>Rebalance_Audit!R3039</f>
        <v/>
      </c>
      <c r="F99" s="7">
        <f>E99-D99</f>
        <v/>
      </c>
      <c r="G99" s="8">
        <f>IF(D99=0,0,F99/D99)</f>
        <v/>
      </c>
      <c r="H99" s="8" t="n">
        <v>-0.01570914883228192</v>
      </c>
      <c r="I99" s="8" t="n">
        <v>-0.01212387410895976</v>
      </c>
      <c r="J99" s="8">
        <f>G99-I99</f>
        <v/>
      </c>
      <c r="K99" s="6" t="inlineStr">
        <is>
          <t>hold</t>
        </is>
      </c>
      <c r="L99" s="6" t="inlineStr"/>
      <c r="M99" s="6" t="inlineStr"/>
      <c r="N99" s="6" t="n">
        <v>5</v>
      </c>
    </row>
    <row r="100">
      <c r="A100" s="6" t="inlineStr">
        <is>
          <t>DJ30</t>
        </is>
      </c>
      <c r="B100" s="6" t="inlineStr">
        <is>
          <t>2024-11-22</t>
        </is>
      </c>
      <c r="C100" s="6" t="inlineStr">
        <is>
          <t>DIA</t>
        </is>
      </c>
      <c r="D100" s="7">
        <f>Rebalance_Audit!J3070</f>
        <v/>
      </c>
      <c r="E100" s="7">
        <f>Rebalance_Audit!R3070</f>
        <v/>
      </c>
      <c r="F100" s="7">
        <f>E100-D100</f>
        <v/>
      </c>
      <c r="G100" s="8">
        <f>IF(D100=0,0,F100/D100)</f>
        <v/>
      </c>
      <c r="H100" s="8" t="n">
        <v>0.008887257478854993</v>
      </c>
      <c r="I100" s="8" t="n">
        <v>0.01990750580710365</v>
      </c>
      <c r="J100" s="8">
        <f>G100-I100</f>
        <v/>
      </c>
      <c r="K100" s="6" t="inlineStr">
        <is>
          <t>rebalance</t>
        </is>
      </c>
      <c r="L100" s="6" t="inlineStr">
        <is>
          <t>IBM</t>
        </is>
      </c>
      <c r="M100" s="6" t="inlineStr">
        <is>
          <t>KO</t>
        </is>
      </c>
      <c r="N100" s="6" t="n">
        <v>5</v>
      </c>
    </row>
    <row r="101">
      <c r="A101" s="6" t="inlineStr">
        <is>
          <t>DJ30</t>
        </is>
      </c>
      <c r="B101" s="6" t="inlineStr">
        <is>
          <t>2024-11-29</t>
        </is>
      </c>
      <c r="C101" s="6" t="inlineStr">
        <is>
          <t>DIA</t>
        </is>
      </c>
      <c r="D101" s="7">
        <f>Rebalance_Audit!J3101</f>
        <v/>
      </c>
      <c r="E101" s="7">
        <f>Rebalance_Audit!R3101</f>
        <v/>
      </c>
      <c r="F101" s="7">
        <f>E101-D101</f>
        <v/>
      </c>
      <c r="G101" s="8">
        <f>IF(D101=0,0,F101/D101)</f>
        <v/>
      </c>
      <c r="H101" s="8" t="n">
        <v>0.01136919388238744</v>
      </c>
      <c r="I101" s="8" t="n">
        <v>0.01563773096375298</v>
      </c>
      <c r="J101" s="8">
        <f>G101-I101</f>
        <v/>
      </c>
      <c r="K101" s="6" t="inlineStr">
        <is>
          <t>hold</t>
        </is>
      </c>
      <c r="L101" s="6" t="inlineStr"/>
      <c r="M101" s="6" t="inlineStr"/>
      <c r="N101" s="6" t="n">
        <v>5</v>
      </c>
    </row>
    <row r="102">
      <c r="A102" s="6" t="inlineStr">
        <is>
          <t>DJ30</t>
        </is>
      </c>
      <c r="B102" s="6" t="inlineStr">
        <is>
          <t>2024-12-06</t>
        </is>
      </c>
      <c r="C102" s="6" t="inlineStr">
        <is>
          <t>DIA</t>
        </is>
      </c>
      <c r="D102" s="7">
        <f>Rebalance_Audit!J3132</f>
        <v/>
      </c>
      <c r="E102" s="7">
        <f>Rebalance_Audit!R3132</f>
        <v/>
      </c>
      <c r="F102" s="7">
        <f>E102-D102</f>
        <v/>
      </c>
      <c r="G102" s="8">
        <f>IF(D102=0,0,F102/D102)</f>
        <v/>
      </c>
      <c r="H102" s="8" t="n">
        <v>0.008773977171794067</v>
      </c>
      <c r="I102" s="8" t="n">
        <v>-0.006532278713527018</v>
      </c>
      <c r="J102" s="8">
        <f>G102-I102</f>
        <v/>
      </c>
      <c r="K102" s="6" t="inlineStr">
        <is>
          <t>rebalance</t>
        </is>
      </c>
      <c r="L102" s="6" t="inlineStr">
        <is>
          <t>AAPL</t>
        </is>
      </c>
      <c r="M102" s="6" t="inlineStr">
        <is>
          <t>TRV</t>
        </is>
      </c>
      <c r="N102" s="6" t="n">
        <v>5</v>
      </c>
    </row>
    <row r="103">
      <c r="A103" s="6" t="inlineStr">
        <is>
          <t>DJ30</t>
        </is>
      </c>
      <c r="B103" s="6" t="inlineStr">
        <is>
          <t>2024-12-13</t>
        </is>
      </c>
      <c r="C103" s="6" t="inlineStr">
        <is>
          <t>DIA</t>
        </is>
      </c>
      <c r="D103" s="7">
        <f>Rebalance_Audit!J3163</f>
        <v/>
      </c>
      <c r="E103" s="7">
        <f>Rebalance_Audit!R3163</f>
        <v/>
      </c>
      <c r="F103" s="7">
        <f>E103-D103</f>
        <v/>
      </c>
      <c r="G103" s="8">
        <f>IF(D103=0,0,F103/D103)</f>
        <v/>
      </c>
      <c r="H103" s="8" t="n">
        <v>-0.02273788838971713</v>
      </c>
      <c r="I103" s="8" t="n">
        <v>-0.0173989644243947</v>
      </c>
      <c r="J103" s="8">
        <f>G103-I103</f>
        <v/>
      </c>
      <c r="K103" s="6" t="inlineStr">
        <is>
          <t>hold</t>
        </is>
      </c>
      <c r="L103" s="6" t="inlineStr"/>
      <c r="M103" s="6" t="inlineStr"/>
      <c r="N103" s="6" t="n">
        <v>5</v>
      </c>
    </row>
    <row r="104">
      <c r="A104" s="6" t="inlineStr">
        <is>
          <t>DJ30</t>
        </is>
      </c>
      <c r="B104" s="6" t="inlineStr">
        <is>
          <t>2024-12-20</t>
        </is>
      </c>
      <c r="C104" s="6" t="inlineStr">
        <is>
          <t>DIA</t>
        </is>
      </c>
      <c r="D104" s="7">
        <f>Rebalance_Audit!J3194</f>
        <v/>
      </c>
      <c r="E104" s="7">
        <f>Rebalance_Audit!R3194</f>
        <v/>
      </c>
      <c r="F104" s="7">
        <f>E104-D104</f>
        <v/>
      </c>
      <c r="G104" s="8">
        <f>IF(D104=0,0,F104/D104)</f>
        <v/>
      </c>
      <c r="H104" s="8" t="n">
        <v>-0.008272629178726398</v>
      </c>
      <c r="I104" s="8" t="n">
        <v>-0.02183085310155974</v>
      </c>
      <c r="J104" s="8">
        <f>G104-I104</f>
        <v/>
      </c>
      <c r="K104" s="6" t="inlineStr">
        <is>
          <t>hold</t>
        </is>
      </c>
      <c r="L104" s="6" t="inlineStr"/>
      <c r="M104" s="6" t="inlineStr"/>
      <c r="N104" s="6" t="n">
        <v>5</v>
      </c>
    </row>
    <row r="105">
      <c r="A105" s="6" t="inlineStr">
        <is>
          <t>DJ30</t>
        </is>
      </c>
      <c r="B105" s="6" t="inlineStr">
        <is>
          <t>2024-12-27</t>
        </is>
      </c>
      <c r="C105" s="6" t="inlineStr">
        <is>
          <t>DIA</t>
        </is>
      </c>
      <c r="D105" s="7">
        <f>Rebalance_Audit!J3225</f>
        <v/>
      </c>
      <c r="E105" s="7">
        <f>Rebalance_Audit!R3225</f>
        <v/>
      </c>
      <c r="F105" s="7">
        <f>E105-D105</f>
        <v/>
      </c>
      <c r="G105" s="8">
        <f>IF(D105=0,0,F105/D105)</f>
        <v/>
      </c>
      <c r="H105" s="8" t="n">
        <v>0.008328477004585277</v>
      </c>
      <c r="I105" s="8" t="n">
        <v>0.003406875352082173</v>
      </c>
      <c r="J105" s="8">
        <f>G105-I105</f>
        <v/>
      </c>
      <c r="K105" s="6" t="inlineStr">
        <is>
          <t>rebalance</t>
        </is>
      </c>
      <c r="L105" s="6" t="inlineStr">
        <is>
          <t>TRV</t>
        </is>
      </c>
      <c r="M105" s="6" t="inlineStr">
        <is>
          <t>AAPL</t>
        </is>
      </c>
      <c r="N105" s="6" t="n">
        <v>5</v>
      </c>
    </row>
    <row r="106">
      <c r="A106" s="6" t="inlineStr">
        <is>
          <t>DJ30</t>
        </is>
      </c>
      <c r="B106" s="6" t="inlineStr">
        <is>
          <t>2025-01-03</t>
        </is>
      </c>
      <c r="C106" s="6" t="inlineStr">
        <is>
          <t>DIA</t>
        </is>
      </c>
      <c r="D106" s="7">
        <f>Rebalance_Audit!J3256</f>
        <v/>
      </c>
      <c r="E106" s="7">
        <f>Rebalance_Audit!R3256</f>
        <v/>
      </c>
      <c r="F106" s="7">
        <f>E106-D106</f>
        <v/>
      </c>
      <c r="G106" s="8">
        <f>IF(D106=0,0,F106/D106)</f>
        <v/>
      </c>
      <c r="H106" s="8" t="n">
        <v>0.01199690992130042</v>
      </c>
      <c r="I106" s="8" t="n">
        <v>-0.006604565681616936</v>
      </c>
      <c r="J106" s="8">
        <f>G106-I106</f>
        <v/>
      </c>
      <c r="K106" s="6" t="inlineStr">
        <is>
          <t>rebalance</t>
        </is>
      </c>
      <c r="L106" s="6" t="inlineStr">
        <is>
          <t>AAPL</t>
        </is>
      </c>
      <c r="M106" s="6" t="inlineStr">
        <is>
          <t>TRV</t>
        </is>
      </c>
      <c r="N106" s="6" t="n">
        <v>5</v>
      </c>
    </row>
    <row r="107">
      <c r="A107" s="6" t="inlineStr">
        <is>
          <t>DJ30</t>
        </is>
      </c>
      <c r="B107" s="6" t="inlineStr">
        <is>
          <t>2025-01-10</t>
        </is>
      </c>
      <c r="C107" s="6" t="inlineStr">
        <is>
          <t>DIA</t>
        </is>
      </c>
      <c r="D107" s="7">
        <f>Rebalance_Audit!J3287</f>
        <v/>
      </c>
      <c r="E107" s="7">
        <f>Rebalance_Audit!R3287</f>
        <v/>
      </c>
      <c r="F107" s="7">
        <f>E107-D107</f>
        <v/>
      </c>
      <c r="G107" s="8">
        <f>IF(D107=0,0,F107/D107)</f>
        <v/>
      </c>
      <c r="H107" s="8" t="n">
        <v>-0.02468144965871744</v>
      </c>
      <c r="I107" s="8" t="n">
        <v>-0.01833060589964897</v>
      </c>
      <c r="J107" s="8">
        <f>G107-I107</f>
        <v/>
      </c>
      <c r="K107" s="6" t="inlineStr">
        <is>
          <t>hold</t>
        </is>
      </c>
      <c r="L107" s="6" t="inlineStr"/>
      <c r="M107" s="6" t="inlineStr"/>
      <c r="N107" s="6" t="n">
        <v>5</v>
      </c>
    </row>
    <row r="108">
      <c r="A108" s="6" t="inlineStr">
        <is>
          <t>DJ30</t>
        </is>
      </c>
      <c r="B108" s="6" t="inlineStr">
        <is>
          <t>2025-01-17</t>
        </is>
      </c>
      <c r="C108" s="6" t="inlineStr">
        <is>
          <t>DIA</t>
        </is>
      </c>
      <c r="D108" s="7">
        <f>Rebalance_Audit!J3318</f>
        <v/>
      </c>
      <c r="E108" s="7">
        <f>Rebalance_Audit!R3318</f>
        <v/>
      </c>
      <c r="F108" s="7">
        <f>E108-D108</f>
        <v/>
      </c>
      <c r="G108" s="8">
        <f>IF(D108=0,0,F108/D108)</f>
        <v/>
      </c>
      <c r="H108" s="8" t="n">
        <v>0.03915305615544296</v>
      </c>
      <c r="I108" s="8" t="n">
        <v>0.0370908077075105</v>
      </c>
      <c r="J108" s="8">
        <f>G108-I108</f>
        <v/>
      </c>
      <c r="K108" s="6" t="inlineStr">
        <is>
          <t>rebalance</t>
        </is>
      </c>
      <c r="L108" s="6" t="inlineStr">
        <is>
          <t>TRV|UNH</t>
        </is>
      </c>
      <c r="M108" s="6" t="inlineStr">
        <is>
          <t>GS|IBM</t>
        </is>
      </c>
      <c r="N108" s="6" t="n">
        <v>5</v>
      </c>
    </row>
    <row r="109">
      <c r="A109" s="6" t="inlineStr">
        <is>
          <t>DJ30</t>
        </is>
      </c>
      <c r="B109" s="6" t="inlineStr">
        <is>
          <t>2025-01-24</t>
        </is>
      </c>
      <c r="C109" s="6" t="inlineStr">
        <is>
          <t>DIA</t>
        </is>
      </c>
      <c r="D109" s="7">
        <f>Rebalance_Audit!J3349</f>
        <v/>
      </c>
      <c r="E109" s="7">
        <f>Rebalance_Audit!R3349</f>
        <v/>
      </c>
      <c r="F109" s="7">
        <f>E109-D109</f>
        <v/>
      </c>
      <c r="G109" s="8">
        <f>IF(D109=0,0,F109/D109)</f>
        <v/>
      </c>
      <c r="H109" s="8" t="n">
        <v>0.02326151159187373</v>
      </c>
      <c r="I109" s="8" t="n">
        <v>0.02162311436263864</v>
      </c>
      <c r="J109" s="8">
        <f>G109-I109</f>
        <v/>
      </c>
      <c r="K109" s="6" t="inlineStr">
        <is>
          <t>rebalance</t>
        </is>
      </c>
      <c r="L109" s="6" t="inlineStr">
        <is>
          <t>WMT</t>
        </is>
      </c>
      <c r="M109" s="6" t="inlineStr">
        <is>
          <t>NVDA</t>
        </is>
      </c>
      <c r="N109" s="6" t="n">
        <v>5</v>
      </c>
    </row>
    <row r="110">
      <c r="A110" s="6" t="inlineStr">
        <is>
          <t>DJ30</t>
        </is>
      </c>
      <c r="B110" s="6" t="inlineStr">
        <is>
          <t>2025-01-31</t>
        </is>
      </c>
      <c r="C110" s="6" t="inlineStr">
        <is>
          <t>DIA</t>
        </is>
      </c>
      <c r="D110" s="7">
        <f>Rebalance_Audit!J3380</f>
        <v/>
      </c>
      <c r="E110" s="7">
        <f>Rebalance_Audit!R3380</f>
        <v/>
      </c>
      <c r="F110" s="7">
        <f>E110-D110</f>
        <v/>
      </c>
      <c r="G110" s="8">
        <f>IF(D110=0,0,F110/D110)</f>
        <v/>
      </c>
      <c r="H110" s="8" t="n">
        <v>0.02884534666979421</v>
      </c>
      <c r="I110" s="8" t="n">
        <v>0.002859783927436688</v>
      </c>
      <c r="J110" s="8">
        <f>G110-I110</f>
        <v/>
      </c>
      <c r="K110" s="6" t="inlineStr">
        <is>
          <t>rebalance</t>
        </is>
      </c>
      <c r="L110" s="6" t="inlineStr">
        <is>
          <t>NVDA</t>
        </is>
      </c>
      <c r="M110" s="6" t="inlineStr">
        <is>
          <t>UNH</t>
        </is>
      </c>
      <c r="N110" s="6" t="n">
        <v>5</v>
      </c>
    </row>
    <row r="111">
      <c r="A111" s="6" t="inlineStr">
        <is>
          <t>DJ30</t>
        </is>
      </c>
      <c r="B111" s="6" t="inlineStr">
        <is>
          <t>2025-02-07</t>
        </is>
      </c>
      <c r="C111" s="6" t="inlineStr">
        <is>
          <t>DIA</t>
        </is>
      </c>
      <c r="D111" s="7">
        <f>Rebalance_Audit!J3411</f>
        <v/>
      </c>
      <c r="E111" s="7">
        <f>Rebalance_Audit!R3411</f>
        <v/>
      </c>
      <c r="F111" s="7">
        <f>E111-D111</f>
        <v/>
      </c>
      <c r="G111" s="8">
        <f>IF(D111=0,0,F111/D111)</f>
        <v/>
      </c>
      <c r="H111" s="8" t="n">
        <v>0.01181917261895382</v>
      </c>
      <c r="I111" s="8" t="n">
        <v>-0.005096965123700614</v>
      </c>
      <c r="J111" s="8">
        <f>G111-I111</f>
        <v/>
      </c>
      <c r="K111" s="6" t="inlineStr">
        <is>
          <t>rebalance</t>
        </is>
      </c>
      <c r="L111" s="6" t="inlineStr">
        <is>
          <t>JPM</t>
        </is>
      </c>
      <c r="M111" s="6" t="inlineStr">
        <is>
          <t>TRV</t>
        </is>
      </c>
      <c r="N111" s="6" t="n">
        <v>5</v>
      </c>
    </row>
    <row r="112">
      <c r="A112" s="6" t="inlineStr">
        <is>
          <t>DJ30</t>
        </is>
      </c>
      <c r="B112" s="6" t="inlineStr">
        <is>
          <t>2025-02-14</t>
        </is>
      </c>
      <c r="C112" s="6" t="inlineStr">
        <is>
          <t>DIA</t>
        </is>
      </c>
      <c r="D112" s="7">
        <f>Rebalance_Audit!J3442</f>
        <v/>
      </c>
      <c r="E112" s="7">
        <f>Rebalance_Audit!R3442</f>
        <v/>
      </c>
      <c r="F112" s="7">
        <f>E112-D112</f>
        <v/>
      </c>
      <c r="G112" s="8">
        <f>IF(D112=0,0,F112/D112)</f>
        <v/>
      </c>
      <c r="H112" s="8" t="n">
        <v>0.03462244104099343</v>
      </c>
      <c r="I112" s="8" t="n">
        <v>0.006025587561531598</v>
      </c>
      <c r="J112" s="8">
        <f>G112-I112</f>
        <v/>
      </c>
      <c r="K112" s="6" t="inlineStr">
        <is>
          <t>hold</t>
        </is>
      </c>
      <c r="L112" s="6" t="inlineStr"/>
      <c r="M112" s="6" t="inlineStr"/>
      <c r="N112" s="6" t="n">
        <v>5</v>
      </c>
    </row>
    <row r="113">
      <c r="A113" s="6" t="inlineStr">
        <is>
          <t>DJ30</t>
        </is>
      </c>
      <c r="B113" s="6" t="inlineStr">
        <is>
          <t>2025-02-21</t>
        </is>
      </c>
      <c r="C113" s="6" t="inlineStr">
        <is>
          <t>DIA</t>
        </is>
      </c>
      <c r="D113" s="7">
        <f>Rebalance_Audit!J3473</f>
        <v/>
      </c>
      <c r="E113" s="7">
        <f>Rebalance_Audit!R3473</f>
        <v/>
      </c>
      <c r="F113" s="7">
        <f>E113-D113</f>
        <v/>
      </c>
      <c r="G113" s="8">
        <f>IF(D113=0,0,F113/D113)</f>
        <v/>
      </c>
      <c r="H113" s="8" t="n">
        <v>-0.03801923995042378</v>
      </c>
      <c r="I113" s="8" t="n">
        <v>-0.02465791581121834</v>
      </c>
      <c r="J113" s="8">
        <f>G113-I113</f>
        <v/>
      </c>
      <c r="K113" s="6" t="inlineStr">
        <is>
          <t>rebalance</t>
        </is>
      </c>
      <c r="L113" s="6" t="inlineStr">
        <is>
          <t>IBM|TRV</t>
        </is>
      </c>
      <c r="M113" s="6" t="inlineStr">
        <is>
          <t>JPM|AAPL</t>
        </is>
      </c>
      <c r="N113" s="6" t="n">
        <v>5</v>
      </c>
    </row>
    <row r="114">
      <c r="A114" s="6" t="inlineStr">
        <is>
          <t>DJ30</t>
        </is>
      </c>
      <c r="B114" s="6" t="inlineStr">
        <is>
          <t>2025-02-28</t>
        </is>
      </c>
      <c r="C114" s="6" t="inlineStr">
        <is>
          <t>DIA</t>
        </is>
      </c>
      <c r="D114" s="7">
        <f>Rebalance_Audit!J3504</f>
        <v/>
      </c>
      <c r="E114" s="7">
        <f>Rebalance_Audit!R3504</f>
        <v/>
      </c>
      <c r="F114" s="7">
        <f>E114-D114</f>
        <v/>
      </c>
      <c r="G114" s="8">
        <f>IF(D114=0,0,F114/D114)</f>
        <v/>
      </c>
      <c r="H114" s="8" t="n">
        <v>0.01598833504646135</v>
      </c>
      <c r="I114" s="8" t="n">
        <v>0.009719981848395287</v>
      </c>
      <c r="J114" s="8">
        <f>G114-I114</f>
        <v/>
      </c>
      <c r="K114" s="6" t="inlineStr">
        <is>
          <t>rebalance</t>
        </is>
      </c>
      <c r="L114" s="6" t="inlineStr">
        <is>
          <t>JPM</t>
        </is>
      </c>
      <c r="M114" s="6" t="inlineStr">
        <is>
          <t>TRV</t>
        </is>
      </c>
      <c r="N114" s="6" t="n">
        <v>5</v>
      </c>
    </row>
    <row r="115">
      <c r="A115" s="6" t="inlineStr">
        <is>
          <t>DJ30</t>
        </is>
      </c>
      <c r="B115" s="6" t="inlineStr">
        <is>
          <t>2025-03-07</t>
        </is>
      </c>
      <c r="C115" s="6" t="inlineStr">
        <is>
          <t>DIA</t>
        </is>
      </c>
      <c r="D115" s="7">
        <f>Rebalance_Audit!J3535</f>
        <v/>
      </c>
      <c r="E115" s="7">
        <f>Rebalance_Audit!R3535</f>
        <v/>
      </c>
      <c r="F115" s="7">
        <f>E115-D115</f>
        <v/>
      </c>
      <c r="G115" s="8">
        <f>IF(D115=0,0,F115/D115)</f>
        <v/>
      </c>
      <c r="H115" s="8" t="n">
        <v>-0.05542231728430236</v>
      </c>
      <c r="I115" s="8" t="n">
        <v>-0.02306256638942494</v>
      </c>
      <c r="J115" s="8">
        <f>G115-I115</f>
        <v/>
      </c>
      <c r="K115" s="6" t="inlineStr">
        <is>
          <t>rebalance</t>
        </is>
      </c>
      <c r="L115" s="6" t="inlineStr">
        <is>
          <t>CSCO|TRV</t>
        </is>
      </c>
      <c r="M115" s="6" t="inlineStr">
        <is>
          <t>JPM|NVDA</t>
        </is>
      </c>
      <c r="N115" s="6" t="n">
        <v>5</v>
      </c>
    </row>
    <row r="116">
      <c r="A116" s="6" t="inlineStr">
        <is>
          <t>DJ30</t>
        </is>
      </c>
      <c r="B116" s="6" t="inlineStr">
        <is>
          <t>2025-03-14</t>
        </is>
      </c>
      <c r="C116" s="6" t="inlineStr">
        <is>
          <t>DIA</t>
        </is>
      </c>
      <c r="D116" s="7">
        <f>Rebalance_Audit!J3566</f>
        <v/>
      </c>
      <c r="E116" s="7">
        <f>Rebalance_Audit!R3566</f>
        <v/>
      </c>
      <c r="F116" s="7">
        <f>E116-D116</f>
        <v/>
      </c>
      <c r="G116" s="8">
        <f>IF(D116=0,0,F116/D116)</f>
        <v/>
      </c>
      <c r="H116" s="8" t="n">
        <v>-0.02619832807823697</v>
      </c>
      <c r="I116" s="8" t="n">
        <v>-0.03012203964507221</v>
      </c>
      <c r="J116" s="8">
        <f>G116-I116</f>
        <v/>
      </c>
      <c r="K116" s="6" t="inlineStr">
        <is>
          <t>rebalance</t>
        </is>
      </c>
      <c r="L116" s="6" t="inlineStr">
        <is>
          <t>NVDA</t>
        </is>
      </c>
      <c r="M116" s="6" t="inlineStr">
        <is>
          <t>TRV</t>
        </is>
      </c>
      <c r="N116" s="6" t="n">
        <v>5</v>
      </c>
    </row>
    <row r="117">
      <c r="A117" s="6" t="inlineStr">
        <is>
          <t>DJ30</t>
        </is>
      </c>
      <c r="B117" s="6" t="inlineStr">
        <is>
          <t>2025-03-21</t>
        </is>
      </c>
      <c r="C117" s="6" t="inlineStr">
        <is>
          <t>DIA</t>
        </is>
      </c>
      <c r="D117" s="7">
        <f>Rebalance_Audit!J3597</f>
        <v/>
      </c>
      <c r="E117" s="7">
        <f>Rebalance_Audit!R3597</f>
        <v/>
      </c>
      <c r="F117" s="7">
        <f>E117-D117</f>
        <v/>
      </c>
      <c r="G117" s="8">
        <f>IF(D117=0,0,F117/D117)</f>
        <v/>
      </c>
      <c r="H117" s="8" t="n">
        <v>-0.008831745784689371</v>
      </c>
      <c r="I117" s="8" t="n">
        <v>0.01218596084203161</v>
      </c>
      <c r="J117" s="8">
        <f>G117-I117</f>
        <v/>
      </c>
      <c r="K117" s="6" t="inlineStr">
        <is>
          <t>hold</t>
        </is>
      </c>
      <c r="L117" s="6" t="inlineStr"/>
      <c r="M117" s="6" t="inlineStr"/>
      <c r="N117" s="6" t="n">
        <v>5</v>
      </c>
    </row>
    <row r="118">
      <c r="A118" s="6" t="inlineStr">
        <is>
          <t>DJ30</t>
        </is>
      </c>
      <c r="B118" s="6" t="inlineStr">
        <is>
          <t>2025-03-28</t>
        </is>
      </c>
      <c r="C118" s="6" t="inlineStr">
        <is>
          <t>DIA</t>
        </is>
      </c>
      <c r="D118" s="7">
        <f>Rebalance_Audit!J3628</f>
        <v/>
      </c>
      <c r="E118" s="7">
        <f>Rebalance_Audit!R3628</f>
        <v/>
      </c>
      <c r="F118" s="7">
        <f>E118-D118</f>
        <v/>
      </c>
      <c r="G118" s="8">
        <f>IF(D118=0,0,F118/D118)</f>
        <v/>
      </c>
      <c r="H118" s="8" t="n">
        <v>-0.02135393310288547</v>
      </c>
      <c r="I118" s="8" t="n">
        <v>-0.009532519344268686</v>
      </c>
      <c r="J118" s="8">
        <f>G118-I118</f>
        <v/>
      </c>
      <c r="K118" s="6" t="inlineStr">
        <is>
          <t>rebalance</t>
        </is>
      </c>
      <c r="L118" s="6" t="inlineStr">
        <is>
          <t>TRV</t>
        </is>
      </c>
      <c r="M118" s="6" t="inlineStr">
        <is>
          <t>NVDA</t>
        </is>
      </c>
      <c r="N118" s="6" t="n">
        <v>5</v>
      </c>
    </row>
    <row r="119">
      <c r="A119" s="6" t="inlineStr">
        <is>
          <t>DJ30</t>
        </is>
      </c>
      <c r="B119" s="6" t="inlineStr">
        <is>
          <t>2025-04-04</t>
        </is>
      </c>
      <c r="C119" s="6" t="inlineStr">
        <is>
          <t>DIA</t>
        </is>
      </c>
      <c r="D119" s="7">
        <f>Rebalance_Audit!J3659</f>
        <v/>
      </c>
      <c r="E119" s="7">
        <f>Rebalance_Audit!R3659</f>
        <v/>
      </c>
      <c r="F119" s="7">
        <f>E119-D119</f>
        <v/>
      </c>
      <c r="G119" s="8">
        <f>IF(D119=0,0,F119/D119)</f>
        <v/>
      </c>
      <c r="H119" s="8" t="n">
        <v>-0.07819568205652827</v>
      </c>
      <c r="I119" s="8" t="n">
        <v>-0.07795568301780142</v>
      </c>
      <c r="J119" s="8">
        <f>G119-I119</f>
        <v/>
      </c>
      <c r="K119" s="6" t="inlineStr">
        <is>
          <t>rebalance</t>
        </is>
      </c>
      <c r="L119" s="6" t="inlineStr">
        <is>
          <t>CRM|VZ</t>
        </is>
      </c>
      <c r="M119" s="6" t="inlineStr">
        <is>
          <t>CSCO|TRV</t>
        </is>
      </c>
      <c r="N119" s="6" t="n">
        <v>5</v>
      </c>
    </row>
    <row r="120">
      <c r="A120" s="6" t="inlineStr">
        <is>
          <t>DJ30</t>
        </is>
      </c>
      <c r="B120" s="6" t="inlineStr">
        <is>
          <t>2025-04-11</t>
        </is>
      </c>
      <c r="C120" s="6" t="inlineStr">
        <is>
          <t>DIA</t>
        </is>
      </c>
      <c r="D120" s="7">
        <f>Rebalance_Audit!J3690</f>
        <v/>
      </c>
      <c r="E120" s="7">
        <f>Rebalance_Audit!R3690</f>
        <v/>
      </c>
      <c r="F120" s="7">
        <f>E120-D120</f>
        <v/>
      </c>
      <c r="G120" s="8">
        <f>IF(D120=0,0,F120/D120)</f>
        <v/>
      </c>
      <c r="H120" s="8" t="n">
        <v>0.06286390655883167</v>
      </c>
      <c r="I120" s="8" t="n">
        <v>0.04877080004237433</v>
      </c>
      <c r="J120" s="8">
        <f>G120-I120</f>
        <v/>
      </c>
      <c r="K120" s="6" t="inlineStr">
        <is>
          <t>rebalance</t>
        </is>
      </c>
      <c r="L120" s="6" t="inlineStr"/>
      <c r="M120" s="6" t="inlineStr">
        <is>
          <t>CRM</t>
        </is>
      </c>
      <c r="N120" s="6" t="n">
        <v>4</v>
      </c>
    </row>
    <row r="121">
      <c r="A121" s="6" t="inlineStr">
        <is>
          <t>DJ30</t>
        </is>
      </c>
      <c r="B121" s="6" t="inlineStr">
        <is>
          <t>2025-04-18</t>
        </is>
      </c>
      <c r="C121" s="6" t="inlineStr">
        <is>
          <t>DIA</t>
        </is>
      </c>
      <c r="D121" s="7">
        <f>Rebalance_Audit!J3721</f>
        <v/>
      </c>
      <c r="E121" s="7">
        <f>Rebalance_Audit!R3721</f>
        <v/>
      </c>
      <c r="F121" s="7">
        <f>E121-D121</f>
        <v/>
      </c>
      <c r="G121" s="8">
        <f>IF(D121=0,0,F121/D121)</f>
        <v/>
      </c>
      <c r="H121" s="8" t="n">
        <v>-0.003693050658949759</v>
      </c>
      <c r="I121" s="8" t="n">
        <v>-0.02576569427710584</v>
      </c>
      <c r="J121" s="8">
        <f>G121-I121</f>
        <v/>
      </c>
      <c r="K121" s="6" t="inlineStr">
        <is>
          <t>rebalance</t>
        </is>
      </c>
      <c r="L121" s="6" t="inlineStr">
        <is>
          <t>MCD</t>
        </is>
      </c>
      <c r="M121" s="6" t="inlineStr">
        <is>
          <t>VZ</t>
        </is>
      </c>
      <c r="N121" s="6" t="n">
        <v>4</v>
      </c>
    </row>
    <row r="122">
      <c r="A122" s="6" t="inlineStr">
        <is>
          <t>DJ30</t>
        </is>
      </c>
      <c r="B122" s="6" t="inlineStr">
        <is>
          <t>2025-04-25</t>
        </is>
      </c>
      <c r="C122" s="6" t="inlineStr">
        <is>
          <t>DIA</t>
        </is>
      </c>
      <c r="D122" s="7">
        <f>Rebalance_Audit!J3752</f>
        <v/>
      </c>
      <c r="E122" s="7">
        <f>Rebalance_Audit!R3752</f>
        <v/>
      </c>
      <c r="F122" s="7">
        <f>E122-D122</f>
        <v/>
      </c>
      <c r="G122" s="8">
        <f>IF(D122=0,0,F122/D122)</f>
        <v/>
      </c>
      <c r="H122" s="8" t="n">
        <v>0.01306790316298456</v>
      </c>
      <c r="I122" s="8" t="n">
        <v>0.02468287954745874</v>
      </c>
      <c r="J122" s="8">
        <f>G122-I122</f>
        <v/>
      </c>
      <c r="K122" s="6" t="inlineStr">
        <is>
          <t>hold</t>
        </is>
      </c>
      <c r="L122" s="6" t="inlineStr"/>
      <c r="M122" s="6" t="inlineStr"/>
      <c r="N122" s="6" t="n">
        <v>4</v>
      </c>
    </row>
    <row r="123">
      <c r="A123" s="6" t="inlineStr">
        <is>
          <t>DJ30</t>
        </is>
      </c>
      <c r="B123" s="6" t="inlineStr">
        <is>
          <t>2025-05-02</t>
        </is>
      </c>
      <c r="C123" s="6" t="inlineStr">
        <is>
          <t>DIA</t>
        </is>
      </c>
      <c r="D123" s="7">
        <f>Rebalance_Audit!J3783</f>
        <v/>
      </c>
      <c r="E123" s="7">
        <f>Rebalance_Audit!R3783</f>
        <v/>
      </c>
      <c r="F123" s="7">
        <f>E123-D123</f>
        <v/>
      </c>
      <c r="G123" s="8">
        <f>IF(D123=0,0,F123/D123)</f>
        <v/>
      </c>
      <c r="H123" s="8" t="n">
        <v>0.02272008455517982</v>
      </c>
      <c r="I123" s="8" t="n">
        <v>0.02997377140900603</v>
      </c>
      <c r="J123" s="8">
        <f>G123-I123</f>
        <v/>
      </c>
      <c r="K123" s="6" t="inlineStr">
        <is>
          <t>rebalance</t>
        </is>
      </c>
      <c r="L123" s="6" t="inlineStr">
        <is>
          <t>VZ</t>
        </is>
      </c>
      <c r="M123" s="6" t="inlineStr"/>
      <c r="N123" s="6" t="n">
        <v>5</v>
      </c>
    </row>
    <row r="124">
      <c r="A124" s="6" t="inlineStr">
        <is>
          <t>DJ30</t>
        </is>
      </c>
      <c r="B124" s="6" t="inlineStr">
        <is>
          <t>2025-05-09</t>
        </is>
      </c>
      <c r="C124" s="6" t="inlineStr">
        <is>
          <t>DIA</t>
        </is>
      </c>
      <c r="D124" s="7">
        <f>Rebalance_Audit!J3814</f>
        <v/>
      </c>
      <c r="E124" s="7">
        <f>Rebalance_Audit!R3814</f>
        <v/>
      </c>
      <c r="F124" s="7">
        <f>E124-D124</f>
        <v/>
      </c>
      <c r="G124" s="8">
        <f>IF(D124=0,0,F124/D124)</f>
        <v/>
      </c>
      <c r="H124" s="8" t="n">
        <v>0.001726073556328478</v>
      </c>
      <c r="I124" s="8" t="n">
        <v>-0.001501133811087407</v>
      </c>
      <c r="J124" s="8">
        <f>G124-I124</f>
        <v/>
      </c>
      <c r="K124" s="6" t="inlineStr">
        <is>
          <t>rebalance</t>
        </is>
      </c>
      <c r="L124" s="6" t="inlineStr"/>
      <c r="M124" s="6" t="inlineStr">
        <is>
          <t>VZ</t>
        </is>
      </c>
      <c r="N124" s="6" t="n">
        <v>4</v>
      </c>
    </row>
    <row r="125">
      <c r="A125" s="6" t="inlineStr">
        <is>
          <t>DJ30</t>
        </is>
      </c>
      <c r="B125" s="6" t="inlineStr">
        <is>
          <t>2025-05-16</t>
        </is>
      </c>
      <c r="C125" s="6" t="inlineStr">
        <is>
          <t>DIA</t>
        </is>
      </c>
      <c r="D125" s="7">
        <f>Rebalance_Audit!J3845</f>
        <v/>
      </c>
      <c r="E125" s="7">
        <f>Rebalance_Audit!R3845</f>
        <v/>
      </c>
      <c r="F125" s="7">
        <f>E125-D125</f>
        <v/>
      </c>
      <c r="G125" s="8">
        <f>IF(D125=0,0,F125/D125)</f>
        <v/>
      </c>
      <c r="H125" s="8" t="n">
        <v>0.03512003999364377</v>
      </c>
      <c r="I125" s="8" t="n">
        <v>0.03504835412617791</v>
      </c>
      <c r="J125" s="8">
        <f>G125-I125</f>
        <v/>
      </c>
      <c r="K125" s="6" t="inlineStr">
        <is>
          <t>hold</t>
        </is>
      </c>
      <c r="L125" s="6" t="inlineStr"/>
      <c r="M125" s="6" t="inlineStr"/>
      <c r="N125" s="6" t="n">
        <v>4</v>
      </c>
    </row>
    <row r="126">
      <c r="A126" s="6" t="inlineStr">
        <is>
          <t>DJ30</t>
        </is>
      </c>
      <c r="B126" s="6" t="inlineStr">
        <is>
          <t>2025-05-23</t>
        </is>
      </c>
      <c r="C126" s="6" t="inlineStr">
        <is>
          <t>DIA</t>
        </is>
      </c>
      <c r="D126" s="7">
        <f>Rebalance_Audit!J3876</f>
        <v/>
      </c>
      <c r="E126" s="7">
        <f>Rebalance_Audit!R3876</f>
        <v/>
      </c>
      <c r="F126" s="7">
        <f>E126-D126</f>
        <v/>
      </c>
      <c r="G126" s="8">
        <f>IF(D126=0,0,F126/D126)</f>
        <v/>
      </c>
      <c r="H126" s="8" t="n">
        <v>-0.01872636111804549</v>
      </c>
      <c r="I126" s="8" t="n">
        <v>-0.02395982198136759</v>
      </c>
      <c r="J126" s="8">
        <f>G126-I126</f>
        <v/>
      </c>
      <c r="K126" s="6" t="inlineStr">
        <is>
          <t>hold</t>
        </is>
      </c>
      <c r="L126" s="6" t="inlineStr"/>
      <c r="M126" s="6" t="inlineStr"/>
      <c r="N126" s="6" t="n">
        <v>4</v>
      </c>
    </row>
    <row r="127">
      <c r="A127" s="6" t="inlineStr">
        <is>
          <t>DJ30</t>
        </is>
      </c>
      <c r="B127" s="6" t="inlineStr">
        <is>
          <t>2025-05-30</t>
        </is>
      </c>
      <c r="C127" s="6" t="inlineStr">
        <is>
          <t>DIA</t>
        </is>
      </c>
      <c r="D127" s="7">
        <f>Rebalance_Audit!J3907</f>
        <v/>
      </c>
      <c r="E127" s="7">
        <f>Rebalance_Audit!R3907</f>
        <v/>
      </c>
      <c r="F127" s="7">
        <f>E127-D127</f>
        <v/>
      </c>
      <c r="G127" s="8">
        <f>IF(D127=0,0,F127/D127)</f>
        <v/>
      </c>
      <c r="H127" s="8" t="n">
        <v>0.005404673160033902</v>
      </c>
      <c r="I127" s="8" t="n">
        <v>0.0156605714734328</v>
      </c>
      <c r="J127" s="8">
        <f>G127-I127</f>
        <v/>
      </c>
      <c r="K127" s="6" t="inlineStr">
        <is>
          <t>rebalance</t>
        </is>
      </c>
      <c r="L127" s="6" t="inlineStr">
        <is>
          <t>TRV</t>
        </is>
      </c>
      <c r="M127" s="6" t="inlineStr">
        <is>
          <t>MMM</t>
        </is>
      </c>
      <c r="N127" s="6" t="n">
        <v>4</v>
      </c>
    </row>
    <row r="128">
      <c r="A128" s="6" t="inlineStr">
        <is>
          <t>DJ30</t>
        </is>
      </c>
      <c r="B128" s="6" t="inlineStr">
        <is>
          <t>2025-06-06</t>
        </is>
      </c>
      <c r="C128" s="6" t="inlineStr">
        <is>
          <t>DIA</t>
        </is>
      </c>
      <c r="D128" s="7">
        <f>Rebalance_Audit!J3938</f>
        <v/>
      </c>
      <c r="E128" s="7">
        <f>Rebalance_Audit!R3938</f>
        <v/>
      </c>
      <c r="F128" s="7">
        <f>E128-D128</f>
        <v/>
      </c>
      <c r="G128" s="8">
        <f>IF(D128=0,0,F128/D128)</f>
        <v/>
      </c>
      <c r="H128" s="8" t="n">
        <v>0.0003581263282939062</v>
      </c>
      <c r="I128" s="8" t="n">
        <v>0.0130780674438562</v>
      </c>
      <c r="J128" s="8">
        <f>G128-I128</f>
        <v/>
      </c>
      <c r="K128" s="6" t="inlineStr">
        <is>
          <t>rebalance</t>
        </is>
      </c>
      <c r="L128" s="6" t="inlineStr">
        <is>
          <t>CSCO</t>
        </is>
      </c>
      <c r="M128" s="6" t="inlineStr"/>
      <c r="N128" s="6" t="n">
        <v>5</v>
      </c>
    </row>
    <row r="129">
      <c r="A129" s="6" t="inlineStr">
        <is>
          <t>DJ30</t>
        </is>
      </c>
      <c r="B129" s="6" t="inlineStr">
        <is>
          <t>2025-06-13</t>
        </is>
      </c>
      <c r="C129" s="6" t="inlineStr">
        <is>
          <t>DIA</t>
        </is>
      </c>
      <c r="D129" s="7">
        <f>Rebalance_Audit!J3969</f>
        <v/>
      </c>
      <c r="E129" s="7">
        <f>Rebalance_Audit!R3969</f>
        <v/>
      </c>
      <c r="F129" s="7">
        <f>E129-D129</f>
        <v/>
      </c>
      <c r="G129" s="8">
        <f>IF(D129=0,0,F129/D129)</f>
        <v/>
      </c>
      <c r="H129" s="8" t="n">
        <v>-0.0169908978338803</v>
      </c>
      <c r="I129" s="8" t="n">
        <v>-0.01300251040793399</v>
      </c>
      <c r="J129" s="8">
        <f>G129-I129</f>
        <v/>
      </c>
      <c r="K129" s="6" t="inlineStr">
        <is>
          <t>rebalance</t>
        </is>
      </c>
      <c r="L129" s="6" t="inlineStr">
        <is>
          <t>V</t>
        </is>
      </c>
      <c r="M129" s="6" t="inlineStr">
        <is>
          <t>WMT|CSCO|TRV</t>
        </is>
      </c>
      <c r="N129" s="6" t="n">
        <v>3</v>
      </c>
    </row>
    <row r="130">
      <c r="A130" s="6" t="inlineStr">
        <is>
          <t>DJ30</t>
        </is>
      </c>
      <c r="B130" s="6" t="inlineStr">
        <is>
          <t>2025-06-20</t>
        </is>
      </c>
      <c r="C130" s="6" t="inlineStr">
        <is>
          <t>DIA</t>
        </is>
      </c>
      <c r="D130" s="7">
        <f>Rebalance_Audit!J4000</f>
        <v/>
      </c>
      <c r="E130" s="7">
        <f>Rebalance_Audit!R4000</f>
        <v/>
      </c>
      <c r="F130" s="7">
        <f>E130-D130</f>
        <v/>
      </c>
      <c r="G130" s="8">
        <f>IF(D130=0,0,F130/D130)</f>
        <v/>
      </c>
      <c r="H130" s="8" t="n">
        <v>-0.01496104324724401</v>
      </c>
      <c r="I130" s="8" t="n">
        <v>0.0003531610300397947</v>
      </c>
      <c r="J130" s="8">
        <f>G130-I130</f>
        <v/>
      </c>
      <c r="K130" s="6" t="inlineStr">
        <is>
          <t>hold</t>
        </is>
      </c>
      <c r="L130" s="6" t="inlineStr"/>
      <c r="M130" s="6" t="inlineStr"/>
      <c r="N130" s="6" t="n">
        <v>3</v>
      </c>
    </row>
    <row r="131">
      <c r="A131" s="6" t="inlineStr">
        <is>
          <t>DJ30</t>
        </is>
      </c>
      <c r="B131" s="6" t="inlineStr">
        <is>
          <t>2025-06-27</t>
        </is>
      </c>
      <c r="C131" s="6" t="inlineStr">
        <is>
          <t>DIA</t>
        </is>
      </c>
      <c r="D131" s="7">
        <f>Rebalance_Audit!J4031</f>
        <v/>
      </c>
      <c r="E131" s="7">
        <f>Rebalance_Audit!R4031</f>
        <v/>
      </c>
      <c r="F131" s="7">
        <f>E131-D131</f>
        <v/>
      </c>
      <c r="G131" s="8">
        <f>IF(D131=0,0,F131/D131)</f>
        <v/>
      </c>
      <c r="H131" s="8" t="n">
        <v>0.01499062288541286</v>
      </c>
      <c r="I131" s="8" t="n">
        <v>0.03850527670344284</v>
      </c>
      <c r="J131" s="8">
        <f>G131-I131</f>
        <v/>
      </c>
      <c r="K131" s="6" t="inlineStr">
        <is>
          <t>hold</t>
        </is>
      </c>
      <c r="L131" s="6" t="inlineStr"/>
      <c r="M131" s="6" t="inlineStr"/>
      <c r="N131" s="6" t="n">
        <v>3</v>
      </c>
    </row>
    <row r="132">
      <c r="A132" s="6" t="inlineStr">
        <is>
          <t>DJ30</t>
        </is>
      </c>
      <c r="B132" s="6" t="inlineStr">
        <is>
          <t>2025-07-04</t>
        </is>
      </c>
      <c r="C132" s="6" t="inlineStr">
        <is>
          <t>DIA</t>
        </is>
      </c>
      <c r="D132" s="7">
        <f>Rebalance_Audit!J4062</f>
        <v/>
      </c>
      <c r="E132" s="7">
        <f>Rebalance_Audit!R4062</f>
        <v/>
      </c>
      <c r="F132" s="7">
        <f>E132-D132</f>
        <v/>
      </c>
      <c r="G132" s="8">
        <f>IF(D132=0,0,F132/D132)</f>
        <v/>
      </c>
      <c r="H132" s="8" t="n">
        <v>0.00918318359394088</v>
      </c>
      <c r="I132" s="8" t="n">
        <v>0.0230365112282116</v>
      </c>
      <c r="J132" s="8">
        <f>G132-I132</f>
        <v/>
      </c>
      <c r="K132" s="6" t="inlineStr">
        <is>
          <t>hold</t>
        </is>
      </c>
      <c r="L132" s="6" t="inlineStr"/>
      <c r="M132" s="6" t="inlineStr"/>
      <c r="N132" s="6" t="n">
        <v>3</v>
      </c>
    </row>
    <row r="133">
      <c r="A133" s="6" t="inlineStr">
        <is>
          <t>DJ30</t>
        </is>
      </c>
      <c r="B133" s="6" t="inlineStr">
        <is>
          <t>2025-07-11</t>
        </is>
      </c>
      <c r="C133" s="6" t="inlineStr">
        <is>
          <t>DIA</t>
        </is>
      </c>
      <c r="D133" s="7">
        <f>Rebalance_Audit!J4093</f>
        <v/>
      </c>
      <c r="E133" s="7">
        <f>Rebalance_Audit!R4093</f>
        <v/>
      </c>
      <c r="F133" s="7">
        <f>E133-D133</f>
        <v/>
      </c>
      <c r="G133" s="8">
        <f>IF(D133=0,0,F133/D133)</f>
        <v/>
      </c>
      <c r="H133" s="8" t="n">
        <v>-0.007866914198574215</v>
      </c>
      <c r="I133" s="8" t="n">
        <v>-0.0100871916733738</v>
      </c>
      <c r="J133" s="8">
        <f>G133-I133</f>
        <v/>
      </c>
      <c r="K133" s="6" t="inlineStr">
        <is>
          <t>hold</t>
        </is>
      </c>
      <c r="L133" s="6" t="inlineStr"/>
      <c r="M133" s="6" t="inlineStr"/>
      <c r="N133" s="6" t="n">
        <v>3</v>
      </c>
    </row>
    <row r="134">
      <c r="A134" s="6" t="inlineStr">
        <is>
          <t>DJ30</t>
        </is>
      </c>
      <c r="B134" s="6" t="inlineStr">
        <is>
          <t>2025-07-18</t>
        </is>
      </c>
      <c r="C134" s="6" t="inlineStr">
        <is>
          <t>DIA</t>
        </is>
      </c>
      <c r="D134" s="7">
        <f>Rebalance_Audit!J4124</f>
        <v/>
      </c>
      <c r="E134" s="7">
        <f>Rebalance_Audit!R4124</f>
        <v/>
      </c>
      <c r="F134" s="7">
        <f>E134-D134</f>
        <v/>
      </c>
      <c r="G134" s="8">
        <f>IF(D134=0,0,F134/D134)</f>
        <v/>
      </c>
      <c r="H134" s="8" t="n">
        <v>0.0003578221468265586</v>
      </c>
      <c r="I134" s="8" t="n">
        <v>-0.0002925132531971242</v>
      </c>
      <c r="J134" s="8">
        <f>G134-I134</f>
        <v/>
      </c>
      <c r="K134" s="6" t="inlineStr">
        <is>
          <t>hold</t>
        </is>
      </c>
      <c r="L134" s="6" t="inlineStr"/>
      <c r="M134" s="6" t="inlineStr"/>
      <c r="N134" s="6" t="n">
        <v>3</v>
      </c>
    </row>
    <row r="135">
      <c r="A135" s="6" t="inlineStr">
        <is>
          <t>DJ30</t>
        </is>
      </c>
      <c r="B135" s="6" t="inlineStr">
        <is>
          <t>2025-07-25</t>
        </is>
      </c>
      <c r="C135" s="6" t="inlineStr">
        <is>
          <t>DIA</t>
        </is>
      </c>
      <c r="D135" s="7">
        <f>Rebalance_Audit!J4155</f>
        <v/>
      </c>
      <c r="E135" s="7">
        <f>Rebalance_Audit!R4155</f>
        <v/>
      </c>
      <c r="F135" s="7">
        <f>E135-D135</f>
        <v/>
      </c>
      <c r="G135" s="8">
        <f>IF(D135=0,0,F135/D135)</f>
        <v/>
      </c>
      <c r="H135" s="8" t="n">
        <v>-0.01317427086239908</v>
      </c>
      <c r="I135" s="8" t="n">
        <v>0.01299479805649528</v>
      </c>
      <c r="J135" s="8">
        <f>G135-I135</f>
        <v/>
      </c>
      <c r="K135" s="6" t="inlineStr">
        <is>
          <t>rebalance</t>
        </is>
      </c>
      <c r="L135" s="6" t="inlineStr">
        <is>
          <t>VZ</t>
        </is>
      </c>
      <c r="M135" s="6" t="inlineStr">
        <is>
          <t>MCD</t>
        </is>
      </c>
      <c r="N135" s="6" t="n">
        <v>3</v>
      </c>
    </row>
    <row r="136">
      <c r="A136" s="6" t="inlineStr">
        <is>
          <t>DJ30</t>
        </is>
      </c>
      <c r="B136" s="6" t="inlineStr">
        <is>
          <t>2025-08-01</t>
        </is>
      </c>
      <c r="C136" s="6" t="inlineStr">
        <is>
          <t>DIA</t>
        </is>
      </c>
      <c r="D136" s="7">
        <f>Rebalance_Audit!J4186</f>
        <v/>
      </c>
      <c r="E136" s="7">
        <f>Rebalance_Audit!R4186</f>
        <v/>
      </c>
      <c r="F136" s="7">
        <f>E136-D136</f>
        <v/>
      </c>
      <c r="G136" s="8">
        <f>IF(D136=0,0,F136/D136)</f>
        <v/>
      </c>
      <c r="H136" s="8" t="n">
        <v>-0.01828425990501947</v>
      </c>
      <c r="I136" s="8" t="n">
        <v>-0.02962016697854775</v>
      </c>
      <c r="J136" s="8">
        <f>G136-I136</f>
        <v/>
      </c>
      <c r="K136" s="6" t="inlineStr">
        <is>
          <t>hold</t>
        </is>
      </c>
      <c r="L136" s="6" t="inlineStr"/>
      <c r="M136" s="6" t="inlineStr"/>
      <c r="N136" s="6" t="n">
        <v>3</v>
      </c>
    </row>
    <row r="137">
      <c r="A137" s="6" t="inlineStr">
        <is>
          <t>DJ30</t>
        </is>
      </c>
      <c r="B137" s="6" t="inlineStr">
        <is>
          <t>2025-08-08</t>
        </is>
      </c>
      <c r="C137" s="6" t="inlineStr">
        <is>
          <t>DIA</t>
        </is>
      </c>
      <c r="D137" s="7">
        <f>Rebalance_Audit!J4217</f>
        <v/>
      </c>
      <c r="E137" s="7">
        <f>Rebalance_Audit!R4217</f>
        <v/>
      </c>
      <c r="F137" s="7">
        <f>E137-D137</f>
        <v/>
      </c>
      <c r="G137" s="8">
        <f>IF(D137=0,0,F137/D137)</f>
        <v/>
      </c>
      <c r="H137" s="8" t="n">
        <v>-0.00516795553249505</v>
      </c>
      <c r="I137" s="8" t="n">
        <v>0.01422928884757679</v>
      </c>
      <c r="J137" s="8">
        <f>G137-I137</f>
        <v/>
      </c>
      <c r="K137" s="6" t="inlineStr">
        <is>
          <t>hold</t>
        </is>
      </c>
      <c r="L137" s="6" t="inlineStr"/>
      <c r="M137" s="6" t="inlineStr"/>
      <c r="N137" s="6" t="n">
        <v>3</v>
      </c>
    </row>
    <row r="138">
      <c r="A138" s="6" t="inlineStr">
        <is>
          <t>DJ30</t>
        </is>
      </c>
      <c r="B138" s="6" t="inlineStr">
        <is>
          <t>2025-08-15</t>
        </is>
      </c>
      <c r="C138" s="6" t="inlineStr">
        <is>
          <t>DIA</t>
        </is>
      </c>
      <c r="D138" s="7">
        <f>Rebalance_Audit!J4248</f>
        <v/>
      </c>
      <c r="E138" s="7">
        <f>Rebalance_Audit!R4248</f>
        <v/>
      </c>
      <c r="F138" s="7">
        <f>E138-D138</f>
        <v/>
      </c>
      <c r="G138" s="8">
        <f>IF(D138=0,0,F138/D138)</f>
        <v/>
      </c>
      <c r="H138" s="8" t="n">
        <v>0.007073781920305056</v>
      </c>
      <c r="I138" s="8" t="n">
        <v>0.01782311129842151</v>
      </c>
      <c r="J138" s="8">
        <f>G138-I138</f>
        <v/>
      </c>
      <c r="K138" s="6" t="inlineStr">
        <is>
          <t>rebalance</t>
        </is>
      </c>
      <c r="L138" s="6" t="inlineStr">
        <is>
          <t>BA|WMT|TRV</t>
        </is>
      </c>
      <c r="M138" s="6" t="inlineStr">
        <is>
          <t>V</t>
        </is>
      </c>
      <c r="N138" s="6" t="n">
        <v>5</v>
      </c>
    </row>
    <row r="139">
      <c r="A139" s="6" t="inlineStr">
        <is>
          <t>DJ30</t>
        </is>
      </c>
      <c r="B139" s="6" t="inlineStr">
        <is>
          <t>2025-08-22</t>
        </is>
      </c>
      <c r="C139" s="6" t="inlineStr">
        <is>
          <t>DIA</t>
        </is>
      </c>
      <c r="D139" s="7">
        <f>Rebalance_Audit!J4279</f>
        <v/>
      </c>
      <c r="E139" s="7">
        <f>Rebalance_Audit!R4279</f>
        <v/>
      </c>
      <c r="F139" s="7">
        <f>E139-D139</f>
        <v/>
      </c>
      <c r="G139" s="8">
        <f>IF(D139=0,0,F139/D139)</f>
        <v/>
      </c>
      <c r="H139" s="8" t="n">
        <v>2.937859976404056e-05</v>
      </c>
      <c r="I139" s="8" t="n">
        <v>0.01581666319659036</v>
      </c>
      <c r="J139" s="8">
        <f>G139-I139</f>
        <v/>
      </c>
      <c r="K139" s="6" t="inlineStr">
        <is>
          <t>rebalance</t>
        </is>
      </c>
      <c r="L139" s="6" t="inlineStr"/>
      <c r="M139" s="6" t="inlineStr">
        <is>
          <t>WMT</t>
        </is>
      </c>
      <c r="N139" s="6" t="n">
        <v>4</v>
      </c>
    </row>
    <row r="140">
      <c r="A140" s="6" t="inlineStr">
        <is>
          <t>DJ30</t>
        </is>
      </c>
      <c r="B140" s="6" t="inlineStr">
        <is>
          <t>2025-08-29</t>
        </is>
      </c>
      <c r="C140" s="6" t="inlineStr">
        <is>
          <t>DIA</t>
        </is>
      </c>
      <c r="D140" s="7">
        <f>Rebalance_Audit!J4310</f>
        <v/>
      </c>
      <c r="E140" s="7">
        <f>Rebalance_Audit!R4310</f>
        <v/>
      </c>
      <c r="F140" s="7">
        <f>E140-D140</f>
        <v/>
      </c>
      <c r="G140" s="8">
        <f>IF(D140=0,0,F140/D140)</f>
        <v/>
      </c>
      <c r="H140" s="8" t="n">
        <v>0.0003145253226690681</v>
      </c>
      <c r="I140" s="8" t="n">
        <v>-0.001204630640034177</v>
      </c>
      <c r="J140" s="8">
        <f>G140-I140</f>
        <v/>
      </c>
      <c r="K140" s="6" t="inlineStr">
        <is>
          <t>rebalance</t>
        </is>
      </c>
      <c r="L140" s="6" t="inlineStr">
        <is>
          <t>WMT</t>
        </is>
      </c>
      <c r="M140" s="6" t="inlineStr">
        <is>
          <t>VZ</t>
        </is>
      </c>
      <c r="N140" s="6" t="n">
        <v>4</v>
      </c>
    </row>
    <row r="141">
      <c r="A141" s="6" t="inlineStr">
        <is>
          <t>DJ30</t>
        </is>
      </c>
      <c r="B141" s="6" t="inlineStr">
        <is>
          <t>2025-09-05</t>
        </is>
      </c>
      <c r="C141" s="6" t="inlineStr">
        <is>
          <t>DIA</t>
        </is>
      </c>
      <c r="D141" s="7">
        <f>Rebalance_Audit!J4341</f>
        <v/>
      </c>
      <c r="E141" s="7">
        <f>Rebalance_Audit!R4341</f>
        <v/>
      </c>
      <c r="F141" s="7">
        <f>E141-D141</f>
        <v/>
      </c>
      <c r="G141" s="8">
        <f>IF(D141=0,0,F141/D141)</f>
        <v/>
      </c>
      <c r="H141" s="8" t="n">
        <v>0.009631728212575963</v>
      </c>
      <c r="I141" s="8" t="n">
        <v>-0.002411759887791409</v>
      </c>
      <c r="J141" s="8">
        <f>G141-I141</f>
        <v/>
      </c>
      <c r="K141" s="6" t="inlineStr">
        <is>
          <t>rebalance</t>
        </is>
      </c>
      <c r="L141" s="6" t="inlineStr">
        <is>
          <t>VZ</t>
        </is>
      </c>
      <c r="M141" s="6" t="inlineStr"/>
      <c r="N141" s="6" t="n">
        <v>5</v>
      </c>
    </row>
    <row r="142">
      <c r="A142" s="6" t="inlineStr">
        <is>
          <t>DJ30</t>
        </is>
      </c>
      <c r="B142" s="6" t="inlineStr">
        <is>
          <t>2025-09-12</t>
        </is>
      </c>
      <c r="C142" s="6" t="inlineStr">
        <is>
          <t>DIA</t>
        </is>
      </c>
      <c r="D142" s="7">
        <f>Rebalance_Audit!J4372</f>
        <v/>
      </c>
      <c r="E142" s="7">
        <f>Rebalance_Audit!R4372</f>
        <v/>
      </c>
      <c r="F142" s="7">
        <f>E142-D142</f>
        <v/>
      </c>
      <c r="G142" s="8">
        <f>IF(D142=0,0,F142/D142)</f>
        <v/>
      </c>
      <c r="H142" s="8" t="n">
        <v>-0.00035946819403887</v>
      </c>
      <c r="I142" s="8" t="n">
        <v>0.009516694809533766</v>
      </c>
      <c r="J142" s="8">
        <f>G142-I142</f>
        <v/>
      </c>
      <c r="K142" s="6" t="inlineStr">
        <is>
          <t>hold</t>
        </is>
      </c>
      <c r="L142" s="6" t="inlineStr"/>
      <c r="M142" s="6" t="inlineStr"/>
      <c r="N142" s="6" t="n">
        <v>5</v>
      </c>
    </row>
    <row r="143">
      <c r="A143" s="6" t="inlineStr">
        <is>
          <t>DJ30</t>
        </is>
      </c>
      <c r="B143" s="6" t="inlineStr">
        <is>
          <t>2025-09-19</t>
        </is>
      </c>
      <c r="C143" s="6" t="inlineStr">
        <is>
          <t>DIA</t>
        </is>
      </c>
      <c r="D143" s="7">
        <f>Rebalance_Audit!J4403</f>
        <v/>
      </c>
      <c r="E143" s="7">
        <f>Rebalance_Audit!R4403</f>
        <v/>
      </c>
      <c r="F143" s="7">
        <f>E143-D143</f>
        <v/>
      </c>
      <c r="G143" s="8">
        <f>IF(D143=0,0,F143/D143)</f>
        <v/>
      </c>
      <c r="H143" s="8" t="n">
        <v>0.004104245253123473</v>
      </c>
      <c r="I143" s="8" t="n">
        <v>0.0107608995068087</v>
      </c>
      <c r="J143" s="8">
        <f>G143-I143</f>
        <v/>
      </c>
      <c r="K143" s="6" t="inlineStr">
        <is>
          <t>hold</t>
        </is>
      </c>
      <c r="L143" s="6" t="inlineStr"/>
      <c r="M143" s="6" t="inlineStr"/>
      <c r="N143" s="6" t="n">
        <v>5</v>
      </c>
    </row>
    <row r="144">
      <c r="A144" s="6" t="inlineStr">
        <is>
          <t>DJ30</t>
        </is>
      </c>
      <c r="B144" s="6" t="inlineStr">
        <is>
          <t>2025-09-26</t>
        </is>
      </c>
      <c r="C144" s="6" t="inlineStr">
        <is>
          <t>DIA</t>
        </is>
      </c>
      <c r="D144" s="7">
        <f>Rebalance_Audit!J4434</f>
        <v/>
      </c>
      <c r="E144" s="7">
        <f>Rebalance_Audit!R4434</f>
        <v/>
      </c>
      <c r="F144" s="7">
        <f>E144-D144</f>
        <v/>
      </c>
      <c r="G144" s="8">
        <f>IF(D144=0,0,F144/D144)</f>
        <v/>
      </c>
      <c r="H144" s="8" t="n">
        <v>0.02061774895363833</v>
      </c>
      <c r="I144" s="8" t="n">
        <v>-0.001425715749505785</v>
      </c>
      <c r="J144" s="8">
        <f>G144-I144</f>
        <v/>
      </c>
      <c r="K144" s="6" t="inlineStr">
        <is>
          <t>rebalance</t>
        </is>
      </c>
      <c r="L144" s="6" t="inlineStr">
        <is>
          <t>GS|MSFT</t>
        </is>
      </c>
      <c r="M144" s="6" t="inlineStr">
        <is>
          <t>TRV|VZ</t>
        </is>
      </c>
      <c r="N144" s="6" t="n">
        <v>5</v>
      </c>
    </row>
    <row r="145">
      <c r="A145" s="6" t="inlineStr">
        <is>
          <t>DJ30</t>
        </is>
      </c>
      <c r="B145" s="6" t="inlineStr">
        <is>
          <t>2025-10-03</t>
        </is>
      </c>
      <c r="C145" s="6" t="inlineStr">
        <is>
          <t>DIA</t>
        </is>
      </c>
      <c r="D145" s="7">
        <f>Rebalance_Audit!J4465</f>
        <v/>
      </c>
      <c r="E145" s="7">
        <f>Rebalance_Audit!R4465</f>
        <v/>
      </c>
      <c r="F145" s="7">
        <f>E145-D145</f>
        <v/>
      </c>
      <c r="G145" s="8">
        <f>IF(D145=0,0,F145/D145)</f>
        <v/>
      </c>
      <c r="H145" s="8" t="n">
        <v>-0.005360066527577367</v>
      </c>
      <c r="I145" s="8" t="n">
        <v>0.01131345710694154</v>
      </c>
      <c r="J145" s="8">
        <f>G145-I145</f>
        <v/>
      </c>
      <c r="K145" s="6" t="inlineStr">
        <is>
          <t>rebalance</t>
        </is>
      </c>
      <c r="L145" s="6" t="inlineStr">
        <is>
          <t>JPM|JNJ</t>
        </is>
      </c>
      <c r="M145" s="6" t="inlineStr">
        <is>
          <t>GS|MSFT</t>
        </is>
      </c>
      <c r="N145" s="6" t="n">
        <v>5</v>
      </c>
    </row>
    <row r="146">
      <c r="A146" s="6" t="inlineStr">
        <is>
          <t>DJ30</t>
        </is>
      </c>
      <c r="B146" s="6" t="inlineStr">
        <is>
          <t>2025-10-10</t>
        </is>
      </c>
      <c r="C146" s="6" t="inlineStr">
        <is>
          <t>DIA</t>
        </is>
      </c>
      <c r="D146" s="7">
        <f>Rebalance_Audit!J4496</f>
        <v/>
      </c>
      <c r="E146" s="7">
        <f>Rebalance_Audit!R4496</f>
        <v/>
      </c>
      <c r="F146" s="7">
        <f>E146-D146</f>
        <v/>
      </c>
      <c r="G146" s="8">
        <f>IF(D146=0,0,F146/D146)</f>
        <v/>
      </c>
      <c r="H146" s="8" t="n">
        <v>-0.01606523303155494</v>
      </c>
      <c r="I146" s="8" t="n">
        <v>-0.02703689882290772</v>
      </c>
      <c r="J146" s="8">
        <f>G146-I146</f>
        <v/>
      </c>
      <c r="K146" s="6" t="inlineStr">
        <is>
          <t>rebalance</t>
        </is>
      </c>
      <c r="L146" s="6" t="inlineStr">
        <is>
          <t>CSCO</t>
        </is>
      </c>
      <c r="M146" s="6" t="inlineStr">
        <is>
          <t>WMT</t>
        </is>
      </c>
      <c r="N146" s="6" t="n">
        <v>5</v>
      </c>
    </row>
    <row r="147">
      <c r="A147" s="6" t="inlineStr">
        <is>
          <t>DJ30</t>
        </is>
      </c>
      <c r="B147" s="6" t="inlineStr">
        <is>
          <t>2025-10-17</t>
        </is>
      </c>
      <c r="C147" s="6" t="inlineStr">
        <is>
          <t>DIA</t>
        </is>
      </c>
      <c r="D147" s="7">
        <f>Rebalance_Audit!J4527</f>
        <v/>
      </c>
      <c r="E147" s="7">
        <f>Rebalance_Audit!R4527</f>
        <v/>
      </c>
      <c r="F147" s="7">
        <f>E147-D147</f>
        <v/>
      </c>
      <c r="G147" s="8">
        <f>IF(D147=0,0,F147/D147)</f>
        <v/>
      </c>
      <c r="H147" s="8" t="n">
        <v>0.01104338526610027</v>
      </c>
      <c r="I147" s="8" t="n">
        <v>0.01553373198000729</v>
      </c>
      <c r="J147" s="8">
        <f>G147-I147</f>
        <v/>
      </c>
      <c r="K147" s="6" t="inlineStr">
        <is>
          <t>rebalance</t>
        </is>
      </c>
      <c r="L147" s="6" t="inlineStr">
        <is>
          <t>MSFT</t>
        </is>
      </c>
      <c r="M147" s="6" t="inlineStr">
        <is>
          <t>JNJ</t>
        </is>
      </c>
      <c r="N147" s="6" t="n">
        <v>5</v>
      </c>
    </row>
    <row r="148">
      <c r="A148" s="6" t="inlineStr">
        <is>
          <t>DJ30</t>
        </is>
      </c>
      <c r="B148" s="6" t="inlineStr">
        <is>
          <t>2025-10-24</t>
        </is>
      </c>
      <c r="C148" s="6" t="inlineStr">
        <is>
          <t>DIA</t>
        </is>
      </c>
      <c r="D148" s="7">
        <f>Rebalance_Audit!J4558</f>
        <v/>
      </c>
      <c r="E148" s="7">
        <f>Rebalance_Audit!R4558</f>
        <v/>
      </c>
      <c r="F148" s="7">
        <f>E148-D148</f>
        <v/>
      </c>
      <c r="G148" s="8">
        <f>IF(D148=0,0,F148/D148)</f>
        <v/>
      </c>
      <c r="H148" s="8" t="n">
        <v>0.03338138507086996</v>
      </c>
      <c r="I148" s="8" t="n">
        <v>0.02258645080194976</v>
      </c>
      <c r="J148" s="8">
        <f>G148-I148</f>
        <v/>
      </c>
      <c r="K148" s="6" t="inlineStr">
        <is>
          <t>rebalance</t>
        </is>
      </c>
      <c r="L148" s="6" t="inlineStr">
        <is>
          <t>JNJ</t>
        </is>
      </c>
      <c r="M148" s="6" t="inlineStr">
        <is>
          <t>CSCO</t>
        </is>
      </c>
      <c r="N148" s="6" t="n">
        <v>5</v>
      </c>
    </row>
    <row r="149">
      <c r="A149" s="6" t="inlineStr">
        <is>
          <t>DJ30</t>
        </is>
      </c>
      <c r="B149" s="6" t="inlineStr">
        <is>
          <t>2025-10-31</t>
        </is>
      </c>
      <c r="C149" s="6" t="inlineStr">
        <is>
          <t>DIA</t>
        </is>
      </c>
      <c r="D149" s="7">
        <f>Rebalance_Audit!J4589</f>
        <v/>
      </c>
      <c r="E149" s="7">
        <f>Rebalance_Audit!R4589</f>
        <v/>
      </c>
      <c r="F149" s="7">
        <f>E149-D149</f>
        <v/>
      </c>
      <c r="G149" s="8">
        <f>IF(D149=0,0,F149/D149)</f>
        <v/>
      </c>
      <c r="H149" s="8" t="n">
        <v>-0.01591459281281082</v>
      </c>
      <c r="I149" s="8" t="n">
        <v>0.007327395158095218</v>
      </c>
      <c r="J149" s="8">
        <f>G149-I149</f>
        <v/>
      </c>
      <c r="K149" s="6" t="inlineStr">
        <is>
          <t>rebalance</t>
        </is>
      </c>
      <c r="L149" s="6" t="inlineStr">
        <is>
          <t>GS|CSCO</t>
        </is>
      </c>
      <c r="M149" s="6" t="inlineStr">
        <is>
          <t>JPM|MSFT</t>
        </is>
      </c>
      <c r="N149" s="6" t="n">
        <v>5</v>
      </c>
    </row>
    <row r="150">
      <c r="A150" s="6" t="inlineStr">
        <is>
          <t>DJ30</t>
        </is>
      </c>
      <c r="B150" s="6" t="inlineStr">
        <is>
          <t>2025-11-07</t>
        </is>
      </c>
      <c r="C150" s="6" t="inlineStr">
        <is>
          <t>DIA</t>
        </is>
      </c>
      <c r="D150" s="7">
        <f>Rebalance_Audit!J4620</f>
        <v/>
      </c>
      <c r="E150" s="7">
        <f>Rebalance_Audit!R4620</f>
        <v/>
      </c>
      <c r="F150" s="7">
        <f>E150-D150</f>
        <v/>
      </c>
      <c r="G150" s="8">
        <f>IF(D150=0,0,F150/D150)</f>
        <v/>
      </c>
      <c r="H150" s="8" t="n">
        <v>-0.01623143767599644</v>
      </c>
      <c r="I150" s="8" t="n">
        <v>-0.01221453323330213</v>
      </c>
      <c r="J150" s="8">
        <f>G150-I150</f>
        <v/>
      </c>
      <c r="K150" s="6" t="inlineStr">
        <is>
          <t>rebalance</t>
        </is>
      </c>
      <c r="L150" s="6" t="inlineStr">
        <is>
          <t>NVDA</t>
        </is>
      </c>
      <c r="M150" s="6" t="inlineStr">
        <is>
          <t>CSCO</t>
        </is>
      </c>
      <c r="N150" s="6" t="n">
        <v>5</v>
      </c>
    </row>
    <row r="151">
      <c r="A151" s="6" t="inlineStr">
        <is>
          <t>DJ30</t>
        </is>
      </c>
      <c r="B151" s="6" t="inlineStr">
        <is>
          <t>2025-11-14</t>
        </is>
      </c>
      <c r="C151" s="6" t="inlineStr">
        <is>
          <t>DIA</t>
        </is>
      </c>
      <c r="D151" s="7">
        <f>Rebalance_Audit!J4651</f>
        <v/>
      </c>
      <c r="E151" s="7">
        <f>Rebalance_Audit!R4651</f>
        <v/>
      </c>
      <c r="F151" s="7">
        <f>E151-D151</f>
        <v/>
      </c>
      <c r="G151" s="8">
        <f>IF(D151=0,0,F151/D151)</f>
        <v/>
      </c>
      <c r="H151" s="8" t="n">
        <v>0.01350069358773553</v>
      </c>
      <c r="I151" s="8" t="n">
        <v>0.004129014787773277</v>
      </c>
      <c r="J151" s="8">
        <f>G151-I151</f>
        <v/>
      </c>
      <c r="K151" s="6" t="inlineStr">
        <is>
          <t>rebalance</t>
        </is>
      </c>
      <c r="L151" s="6" t="inlineStr">
        <is>
          <t>CAT</t>
        </is>
      </c>
      <c r="M151" s="6" t="inlineStr">
        <is>
          <t>IBM</t>
        </is>
      </c>
      <c r="N151" s="6" t="n">
        <v>5</v>
      </c>
    </row>
    <row r="152">
      <c r="A152" s="6" t="inlineStr">
        <is>
          <t>DJ30</t>
        </is>
      </c>
      <c r="B152" s="6" t="inlineStr">
        <is>
          <t>2025-11-21</t>
        </is>
      </c>
      <c r="C152" s="6" t="inlineStr">
        <is>
          <t>DIA</t>
        </is>
      </c>
      <c r="D152" s="7">
        <f>Rebalance_Audit!J4682</f>
        <v/>
      </c>
      <c r="E152" s="7">
        <f>Rebalance_Audit!R4682</f>
        <v/>
      </c>
      <c r="F152" s="7">
        <f>E152-D152</f>
        <v/>
      </c>
      <c r="G152" s="8">
        <f>IF(D152=0,0,F152/D152)</f>
        <v/>
      </c>
      <c r="H152" s="8" t="n">
        <v>-0.02494362214722445</v>
      </c>
      <c r="I152" s="8" t="n">
        <v>-0.01832907588751143</v>
      </c>
      <c r="J152" s="8">
        <f>G152-I152</f>
        <v/>
      </c>
      <c r="K152" s="6" t="inlineStr">
        <is>
          <t>rebalance</t>
        </is>
      </c>
      <c r="L152" s="6" t="inlineStr">
        <is>
          <t>CSCO</t>
        </is>
      </c>
      <c r="M152" s="6" t="inlineStr">
        <is>
          <t>BA</t>
        </is>
      </c>
      <c r="N152" s="6" t="n">
        <v>5</v>
      </c>
    </row>
    <row r="153">
      <c r="A153" s="6" t="inlineStr">
        <is>
          <t>DJ30</t>
        </is>
      </c>
      <c r="B153" s="6" t="inlineStr">
        <is>
          <t>2025-11-28</t>
        </is>
      </c>
      <c r="C153" s="6" t="inlineStr">
        <is>
          <t>DIA</t>
        </is>
      </c>
      <c r="D153" s="7">
        <f>Rebalance_Audit!J4713</f>
        <v/>
      </c>
      <c r="E153" s="7">
        <f>Rebalance_Audit!R4713</f>
        <v/>
      </c>
      <c r="F153" s="7">
        <f>E153-D153</f>
        <v/>
      </c>
      <c r="G153" s="8">
        <f>IF(D153=0,0,F153/D153)</f>
        <v/>
      </c>
      <c r="H153" s="8" t="n">
        <v>0.0269990363582604</v>
      </c>
      <c r="I153" s="8" t="n">
        <v>0.03158439629611465</v>
      </c>
      <c r="J153" s="8">
        <f>G153-I153</f>
        <v/>
      </c>
      <c r="K153" s="6" t="inlineStr">
        <is>
          <t>hold</t>
        </is>
      </c>
      <c r="L153" s="6" t="inlineStr"/>
      <c r="M153" s="6" t="inlineStr"/>
      <c r="N153" s="6" t="n">
        <v>5</v>
      </c>
    </row>
    <row r="154">
      <c r="A154" s="6" t="inlineStr">
        <is>
          <t>DJ30</t>
        </is>
      </c>
      <c r="B154" s="6" t="inlineStr">
        <is>
          <t>2025-12-05</t>
        </is>
      </c>
      <c r="C154" s="6" t="inlineStr">
        <is>
          <t>DIA</t>
        </is>
      </c>
      <c r="D154" s="7">
        <f>Rebalance_Audit!J4744</f>
        <v/>
      </c>
      <c r="E154" s="7">
        <f>Rebalance_Audit!R4744</f>
        <v/>
      </c>
      <c r="F154" s="7">
        <f>E154-D154</f>
        <v/>
      </c>
      <c r="G154" s="8">
        <f>IF(D154=0,0,F154/D154)</f>
        <v/>
      </c>
      <c r="H154" s="8" t="n">
        <v>0.02143101212100795</v>
      </c>
      <c r="I154" s="8" t="n">
        <v>0.005972578173566223</v>
      </c>
      <c r="J154" s="8">
        <f>G154-I154</f>
        <v/>
      </c>
      <c r="K154" s="6" t="inlineStr">
        <is>
          <t>hold</t>
        </is>
      </c>
      <c r="L154" s="6" t="inlineStr"/>
      <c r="M154" s="6" t="inlineStr"/>
      <c r="N154" s="6" t="n">
        <v>5</v>
      </c>
    </row>
    <row r="155">
      <c r="A155" s="6" t="inlineStr">
        <is>
          <t>DJ30</t>
        </is>
      </c>
      <c r="B155" s="6" t="inlineStr">
        <is>
          <t>2025-12-12</t>
        </is>
      </c>
      <c r="C155" s="6" t="inlineStr">
        <is>
          <t>DIA</t>
        </is>
      </c>
      <c r="D155" s="7">
        <f>Rebalance_Audit!J4775</f>
        <v/>
      </c>
      <c r="E155" s="7">
        <f>Rebalance_Audit!R4775</f>
        <v/>
      </c>
      <c r="F155" s="7">
        <f>E155-D155</f>
        <v/>
      </c>
      <c r="G155" s="8">
        <f>IF(D155=0,0,F155/D155)</f>
        <v/>
      </c>
      <c r="H155" s="8" t="n">
        <v>0.00708525891843137</v>
      </c>
      <c r="I155" s="8" t="n">
        <v>0.01118682668785786</v>
      </c>
      <c r="J155" s="8">
        <f>G155-I155</f>
        <v/>
      </c>
      <c r="K155" s="6" t="inlineStr">
        <is>
          <t>hold</t>
        </is>
      </c>
      <c r="L155" s="6" t="inlineStr"/>
      <c r="M155" s="6" t="inlineStr"/>
      <c r="N155" s="6" t="n">
        <v>5</v>
      </c>
    </row>
    <row r="156">
      <c r="A156" s="6" t="inlineStr">
        <is>
          <t>DJ30</t>
        </is>
      </c>
      <c r="B156" s="6" t="inlineStr">
        <is>
          <t>2025-12-19</t>
        </is>
      </c>
      <c r="C156" s="6" t="inlineStr">
        <is>
          <t>DIA</t>
        </is>
      </c>
      <c r="D156" s="7">
        <f>Rebalance_Audit!J4806</f>
        <v/>
      </c>
      <c r="E156" s="7">
        <f>Rebalance_Audit!R4806</f>
        <v/>
      </c>
      <c r="F156" s="7">
        <f>E156-D156</f>
        <v/>
      </c>
      <c r="G156" s="8">
        <f>IF(D156=0,0,F156/D156)</f>
        <v/>
      </c>
      <c r="H156" s="8" t="n">
        <v>-0.002514478514396234</v>
      </c>
      <c r="I156" s="8" t="n">
        <v>-0.006597326853655772</v>
      </c>
      <c r="J156" s="8">
        <f>G156-I156</f>
        <v/>
      </c>
      <c r="K156" s="6" t="inlineStr">
        <is>
          <t>hold</t>
        </is>
      </c>
      <c r="L156" s="6" t="inlineStr"/>
      <c r="M156" s="6" t="inlineStr"/>
      <c r="N156" s="6" t="n">
        <v>5</v>
      </c>
    </row>
    <row r="157">
      <c r="A157" s="6" t="inlineStr">
        <is>
          <t>DJ30</t>
        </is>
      </c>
      <c r="B157" s="6" t="inlineStr">
        <is>
          <t>2025-12-26</t>
        </is>
      </c>
      <c r="C157" s="6" t="inlineStr">
        <is>
          <t>DIA</t>
        </is>
      </c>
      <c r="D157" s="7">
        <f>Rebalance_Audit!J4837</f>
        <v/>
      </c>
      <c r="E157" s="7">
        <f>Rebalance_Audit!R4837</f>
        <v/>
      </c>
      <c r="F157" s="7">
        <f>E157-D157</f>
        <v/>
      </c>
      <c r="G157" s="8">
        <f>IF(D157=0,0,F157/D157)</f>
        <v/>
      </c>
      <c r="H157" s="8" t="n">
        <v>0.01648861791530942</v>
      </c>
      <c r="I157" s="8" t="n">
        <v>0.01222068795054865</v>
      </c>
      <c r="J157" s="8">
        <f>G157-I157</f>
        <v/>
      </c>
      <c r="K157" s="6" t="inlineStr">
        <is>
          <t>hold</t>
        </is>
      </c>
      <c r="L157" s="6" t="inlineStr"/>
      <c r="M157" s="6" t="inlineStr"/>
      <c r="N157" s="6" t="n">
        <v>5</v>
      </c>
    </row>
    <row r="158">
      <c r="A158" s="6" t="inlineStr">
        <is>
          <t>DJ30</t>
        </is>
      </c>
      <c r="B158" s="6" t="inlineStr">
        <is>
          <t>2026-01-02</t>
        </is>
      </c>
      <c r="C158" s="6" t="inlineStr">
        <is>
          <t>DIA</t>
        </is>
      </c>
      <c r="D158" s="7">
        <f>Rebalance_Audit!J4868</f>
        <v/>
      </c>
      <c r="E158" s="7">
        <f>Rebalance_Audit!R4868</f>
        <v/>
      </c>
      <c r="F158" s="7">
        <f>E158-D158</f>
        <v/>
      </c>
      <c r="G158" s="8">
        <f>IF(D158=0,0,F158/D158)</f>
        <v/>
      </c>
      <c r="H158" s="8" t="n">
        <v>0.0004792720027617658</v>
      </c>
      <c r="I158" s="8" t="n">
        <v>-0.006981027327532141</v>
      </c>
      <c r="J158" s="8">
        <f>G158-I158</f>
        <v/>
      </c>
      <c r="K158" s="6" t="inlineStr">
        <is>
          <t>hold</t>
        </is>
      </c>
      <c r="L158" s="6" t="inlineStr"/>
      <c r="M158" s="6" t="inlineStr"/>
      <c r="N158" s="6" t="n">
        <v>5</v>
      </c>
    </row>
    <row r="159">
      <c r="A159" s="6" t="inlineStr">
        <is>
          <t>DJ30</t>
        </is>
      </c>
      <c r="B159" s="6" t="inlineStr">
        <is>
          <t>2026-01-09</t>
        </is>
      </c>
      <c r="C159" s="6" t="inlineStr">
        <is>
          <t>DIA</t>
        </is>
      </c>
      <c r="D159" s="7">
        <f>Rebalance_Audit!J4899</f>
        <v/>
      </c>
      <c r="E159" s="7">
        <f>Rebalance_Audit!R4899</f>
        <v/>
      </c>
      <c r="F159" s="7">
        <f>E159-D159</f>
        <v/>
      </c>
      <c r="G159" s="8">
        <f>IF(D159=0,0,F159/D159)</f>
        <v/>
      </c>
      <c r="H159" s="8" t="n">
        <v>-0.0009518410612324724</v>
      </c>
      <c r="I159" s="8" t="n">
        <v>0.02355106047255595</v>
      </c>
      <c r="J159" s="8">
        <f>G159-I159</f>
        <v/>
      </c>
      <c r="K159" s="6" t="inlineStr">
        <is>
          <t>hold</t>
        </is>
      </c>
      <c r="L159" s="6" t="inlineStr"/>
      <c r="M159" s="6" t="inlineStr"/>
      <c r="N159" s="6" t="n">
        <v>5</v>
      </c>
    </row>
    <row r="160">
      <c r="A160" s="6" t="inlineStr">
        <is>
          <t>DJ30</t>
        </is>
      </c>
      <c r="B160" s="6" t="inlineStr">
        <is>
          <t>2026-01-16</t>
        </is>
      </c>
      <c r="C160" s="6" t="inlineStr">
        <is>
          <t>DIA</t>
        </is>
      </c>
      <c r="D160" s="7">
        <f>Rebalance_Audit!J4930</f>
        <v/>
      </c>
      <c r="E160" s="7">
        <f>Rebalance_Audit!R4930</f>
        <v/>
      </c>
      <c r="F160" s="7">
        <f>E160-D160</f>
        <v/>
      </c>
      <c r="G160" s="8">
        <f>IF(D160=0,0,F160/D160)</f>
        <v/>
      </c>
      <c r="H160" s="8" t="n">
        <v>0.03337349198059703</v>
      </c>
      <c r="I160" s="8" t="n">
        <v>-0.002871200683865816</v>
      </c>
      <c r="J160" s="8">
        <f>G160-I160</f>
        <v/>
      </c>
      <c r="K160" s="6" t="inlineStr">
        <is>
          <t>hold</t>
        </is>
      </c>
      <c r="L160" s="6" t="inlineStr"/>
      <c r="M160" s="6" t="inlineStr"/>
      <c r="N160" s="6" t="n">
        <v>5</v>
      </c>
    </row>
    <row r="161">
      <c r="A161" s="6" t="inlineStr">
        <is>
          <t>DJ30</t>
        </is>
      </c>
      <c r="B161" s="6" t="inlineStr">
        <is>
          <t>2026-01-23</t>
        </is>
      </c>
      <c r="C161" s="6" t="inlineStr">
        <is>
          <t>DIA</t>
        </is>
      </c>
      <c r="D161" s="7">
        <f>Rebalance_Audit!J4961</f>
        <v/>
      </c>
      <c r="E161" s="7">
        <f>Rebalance_Audit!R4961</f>
        <v/>
      </c>
      <c r="F161" s="7">
        <f>E161-D161</f>
        <v/>
      </c>
      <c r="G161" s="8">
        <f>IF(D161=0,0,F161/D161)</f>
        <v/>
      </c>
      <c r="H161" s="8" t="n">
        <v>-0.01387406819183823</v>
      </c>
      <c r="I161" s="8" t="n">
        <v>-0.005046466283867179</v>
      </c>
      <c r="J161" s="8">
        <f>G161-I161</f>
        <v/>
      </c>
      <c r="K161" s="6" t="inlineStr">
        <is>
          <t>rebalance</t>
        </is>
      </c>
      <c r="L161" s="6" t="inlineStr">
        <is>
          <t>AXP</t>
        </is>
      </c>
      <c r="M161" s="6" t="inlineStr">
        <is>
          <t>CSCO</t>
        </is>
      </c>
      <c r="N161" s="6" t="n">
        <v>5</v>
      </c>
    </row>
    <row r="162">
      <c r="A162" s="6" t="inlineStr">
        <is>
          <t>DJ30</t>
        </is>
      </c>
      <c r="B162" s="6" t="inlineStr">
        <is>
          <t>2026-01-30</t>
        </is>
      </c>
      <c r="C162" s="6" t="inlineStr">
        <is>
          <t>DIA</t>
        </is>
      </c>
      <c r="D162" s="7">
        <f>Rebalance_Audit!J4992</f>
        <v/>
      </c>
      <c r="E162" s="7">
        <f>Rebalance_Audit!R4992</f>
        <v/>
      </c>
      <c r="F162" s="7">
        <f>E162-D162</f>
        <v/>
      </c>
      <c r="G162" s="8">
        <f>IF(D162=0,0,F162/D162)</f>
        <v/>
      </c>
      <c r="H162" s="8" t="n">
        <v>0.01829189669478293</v>
      </c>
      <c r="I162" s="8" t="n">
        <v>-0.003870220916684985</v>
      </c>
      <c r="J162" s="8">
        <f>G162-I162</f>
        <v/>
      </c>
      <c r="K162" s="6" t="inlineStr">
        <is>
          <t>hold</t>
        </is>
      </c>
      <c r="L162" s="6" t="inlineStr"/>
      <c r="M162" s="6" t="inlineStr"/>
      <c r="N162" s="6" t="n">
        <v>5</v>
      </c>
    </row>
    <row r="163">
      <c r="A163" s="6" t="inlineStr">
        <is>
          <t>DJ30</t>
        </is>
      </c>
      <c r="B163" s="6" t="inlineStr">
        <is>
          <t>2026-02-06</t>
        </is>
      </c>
      <c r="C163" s="6" t="inlineStr">
        <is>
          <t>DIA</t>
        </is>
      </c>
      <c r="D163" s="7">
        <f>Rebalance_Audit!J5023</f>
        <v/>
      </c>
      <c r="E163" s="7">
        <f>Rebalance_Audit!R5023</f>
        <v/>
      </c>
      <c r="F163" s="7">
        <f>E163-D163</f>
        <v/>
      </c>
      <c r="G163" s="8">
        <f>IF(D163=0,0,F163/D163)</f>
        <v/>
      </c>
      <c r="H163" s="8" t="n">
        <v>0.02871125790619278</v>
      </c>
      <c r="I163" s="8" t="n">
        <v>0.0245383573591158</v>
      </c>
      <c r="J163" s="8">
        <f>G163-I163</f>
        <v/>
      </c>
      <c r="K163" s="6" t="inlineStr">
        <is>
          <t>hold</t>
        </is>
      </c>
      <c r="L163" s="6" t="inlineStr"/>
      <c r="M163" s="6" t="inlineStr"/>
      <c r="N163" s="6" t="n">
        <v>5</v>
      </c>
    </row>
    <row r="164">
      <c r="A164" s="6" t="inlineStr">
        <is>
          <t>DJ30</t>
        </is>
      </c>
      <c r="B164" s="6" t="inlineStr">
        <is>
          <t>2026-02-13</t>
        </is>
      </c>
      <c r="C164" s="6" t="inlineStr">
        <is>
          <t>DIA</t>
        </is>
      </c>
      <c r="D164" s="7">
        <f>Rebalance_Audit!J5054</f>
        <v/>
      </c>
      <c r="E164" s="7">
        <f>Rebalance_Audit!R5054</f>
        <v/>
      </c>
      <c r="F164" s="7">
        <f>E164-D164</f>
        <v/>
      </c>
      <c r="G164" s="8">
        <f>IF(D164=0,0,F164/D164)</f>
        <v/>
      </c>
      <c r="H164" s="8" t="n">
        <v>-0.003842128512683507</v>
      </c>
      <c r="I164" s="8" t="n">
        <v>-0.01147635462888463</v>
      </c>
      <c r="J164" s="8">
        <f>G164-I164</f>
        <v/>
      </c>
      <c r="K164" s="6" t="inlineStr">
        <is>
          <t>hold</t>
        </is>
      </c>
      <c r="L164" s="6" t="inlineStr"/>
      <c r="M164" s="6" t="inlineStr"/>
      <c r="N164" s="6" t="n">
        <v>5</v>
      </c>
    </row>
    <row r="165">
      <c r="A165" s="6" t="inlineStr">
        <is>
          <t>DJ30</t>
        </is>
      </c>
      <c r="B165" s="6" t="inlineStr">
        <is>
          <t>2026-02-20</t>
        </is>
      </c>
      <c r="C165" s="6" t="inlineStr">
        <is>
          <t>DIA</t>
        </is>
      </c>
      <c r="D165" s="7">
        <f>Rebalance_Audit!J5085</f>
        <v/>
      </c>
      <c r="E165" s="7">
        <f>Rebalance_Audit!R5085</f>
        <v/>
      </c>
      <c r="F165" s="7">
        <f>E165-D165</f>
        <v/>
      </c>
      <c r="G165" s="8">
        <f>IF(D165=0,0,F165/D165)</f>
        <v/>
      </c>
      <c r="H165" s="8" t="n">
        <v>0.01206716213484982</v>
      </c>
      <c r="I165" s="8" t="n">
        <v>0.002858787868482704</v>
      </c>
      <c r="J165" s="8">
        <f>G165-I165</f>
        <v/>
      </c>
      <c r="K165" s="6" t="inlineStr">
        <is>
          <t>hold</t>
        </is>
      </c>
      <c r="L165" s="6" t="inlineStr"/>
      <c r="M165" s="6" t="inlineStr"/>
      <c r="N165" s="6" t="n">
        <v>5</v>
      </c>
    </row>
    <row r="166">
      <c r="A166" s="6" t="inlineStr">
        <is>
          <t>DJ30</t>
        </is>
      </c>
      <c r="B166" s="6" t="inlineStr">
        <is>
          <t>2026-02-27</t>
        </is>
      </c>
      <c r="C166" s="6" t="inlineStr">
        <is>
          <t>DIA</t>
        </is>
      </c>
      <c r="D166" s="7">
        <f>Rebalance_Audit!J5116</f>
        <v/>
      </c>
      <c r="E166" s="7">
        <f>Rebalance_Audit!R5116</f>
        <v/>
      </c>
      <c r="F166" s="7">
        <f>E166-D166</f>
        <v/>
      </c>
      <c r="G166" s="8">
        <f>IF(D166=0,0,F166/D166)</f>
        <v/>
      </c>
      <c r="H166" s="8" t="n">
        <v>-0.0472991879099075</v>
      </c>
      <c r="I166" s="8" t="n">
        <v>-0.01294148295328312</v>
      </c>
      <c r="J166" s="8">
        <f>G166-I166</f>
        <v/>
      </c>
      <c r="K166" s="6" t="inlineStr">
        <is>
          <t>rebalance</t>
        </is>
      </c>
      <c r="L166" s="6" t="inlineStr">
        <is>
          <t>CSCO</t>
        </is>
      </c>
      <c r="M166" s="6" t="inlineStr">
        <is>
          <t>AXP</t>
        </is>
      </c>
      <c r="N166" s="6" t="n">
        <v>5</v>
      </c>
    </row>
    <row r="167">
      <c r="A167" s="6" t="inlineStr">
        <is>
          <t>DJ30</t>
        </is>
      </c>
      <c r="B167" s="6" t="inlineStr">
        <is>
          <t>2026-03-06</t>
        </is>
      </c>
      <c r="C167" s="6" t="inlineStr">
        <is>
          <t>DIA</t>
        </is>
      </c>
      <c r="D167" s="7">
        <f>Rebalance_Audit!J5147</f>
        <v/>
      </c>
      <c r="E167" s="7">
        <f>Rebalance_Audit!R5147</f>
        <v/>
      </c>
      <c r="F167" s="7">
        <f>E167-D167</f>
        <v/>
      </c>
      <c r="G167" s="8">
        <f>IF(D167=0,0,F167/D167)</f>
        <v/>
      </c>
      <c r="H167" s="8" t="n">
        <v>-0.03236218615014419</v>
      </c>
      <c r="I167" s="8" t="n">
        <v>-0.02946942497007166</v>
      </c>
      <c r="J167" s="8">
        <f>G167-I167</f>
        <v/>
      </c>
      <c r="K167" s="6" t="inlineStr">
        <is>
          <t>hold</t>
        </is>
      </c>
      <c r="L167" s="6" t="inlineStr"/>
      <c r="M167" s="6" t="inlineStr"/>
      <c r="N167" s="6" t="n">
        <v>5</v>
      </c>
    </row>
    <row r="168">
      <c r="A168" s="6" t="inlineStr">
        <is>
          <t>DJ30</t>
        </is>
      </c>
      <c r="B168" s="6" t="inlineStr">
        <is>
          <t>2026-03-13</t>
        </is>
      </c>
      <c r="C168" s="6" t="inlineStr">
        <is>
          <t>DIA</t>
        </is>
      </c>
      <c r="D168" s="7">
        <f>Rebalance_Audit!J5178</f>
        <v/>
      </c>
      <c r="E168" s="7">
        <f>Rebalance_Audit!R5178</f>
        <v/>
      </c>
      <c r="F168" s="7">
        <f>E168-D168</f>
        <v/>
      </c>
      <c r="G168" s="8">
        <f>IF(D168=0,0,F168/D168)</f>
        <v/>
      </c>
      <c r="H168" s="8" t="n">
        <v>-0.002814548345573709</v>
      </c>
      <c r="I168" s="8" t="n">
        <v>-0.0185593417842661</v>
      </c>
      <c r="J168" s="8">
        <f>G168-I168</f>
        <v/>
      </c>
      <c r="K168" s="6" t="inlineStr">
        <is>
          <t>hold</t>
        </is>
      </c>
      <c r="L168" s="6" t="inlineStr"/>
      <c r="M168" s="6" t="inlineStr"/>
      <c r="N168" s="6" t="n">
        <v>5</v>
      </c>
    </row>
    <row r="169">
      <c r="A169" s="6" t="inlineStr">
        <is>
          <t>DJ30</t>
        </is>
      </c>
      <c r="B169" s="6" t="inlineStr">
        <is>
          <t>2026-03-20</t>
        </is>
      </c>
      <c r="C169" s="6" t="inlineStr">
        <is>
          <t>DIA</t>
        </is>
      </c>
      <c r="D169" s="7">
        <f>Rebalance_Audit!J5209</f>
        <v/>
      </c>
      <c r="E169" s="7">
        <f>Rebalance_Audit!R5209</f>
        <v/>
      </c>
      <c r="F169" s="7">
        <f>E169-D169</f>
        <v/>
      </c>
      <c r="G169" s="8">
        <f>IF(D169=0,0,F169/D169)</f>
        <v/>
      </c>
      <c r="H169" s="8" t="n">
        <v>-0.01097629915669829</v>
      </c>
      <c r="I169" s="8" t="n">
        <v>-0.02044347113908573</v>
      </c>
      <c r="J169" s="8">
        <f>G169-I169</f>
        <v/>
      </c>
      <c r="K169" s="6" t="inlineStr">
        <is>
          <t>hold</t>
        </is>
      </c>
      <c r="L169" s="6" t="inlineStr"/>
      <c r="M169" s="6" t="inlineStr"/>
      <c r="N169" s="6" t="n">
        <v>5</v>
      </c>
    </row>
    <row r="170">
      <c r="A170" s="6" t="inlineStr">
        <is>
          <t>DJ30</t>
        </is>
      </c>
      <c r="B170" s="6" t="inlineStr">
        <is>
          <t>2026-03-27</t>
        </is>
      </c>
      <c r="C170" s="6" t="inlineStr">
        <is>
          <t>DIA</t>
        </is>
      </c>
      <c r="D170" s="7">
        <f>Rebalance_Audit!J5240</f>
        <v/>
      </c>
      <c r="E170" s="7">
        <f>Rebalance_Audit!R5240</f>
        <v/>
      </c>
      <c r="F170" s="7">
        <f>E170-D170</f>
        <v/>
      </c>
      <c r="G170" s="8">
        <f>IF(D170=0,0,F170/D170)</f>
        <v/>
      </c>
      <c r="H170" s="8" t="n">
        <v>0.005413811015814618</v>
      </c>
      <c r="I170" s="8" t="n">
        <v>-0.009870779071349478</v>
      </c>
      <c r="J170" s="8">
        <f>G170-I170</f>
        <v/>
      </c>
      <c r="K170" s="6" t="inlineStr">
        <is>
          <t>rebalance</t>
        </is>
      </c>
      <c r="L170" s="6" t="inlineStr">
        <is>
          <t>MRK</t>
        </is>
      </c>
      <c r="M170" s="6" t="inlineStr">
        <is>
          <t>NVDA</t>
        </is>
      </c>
      <c r="N170" s="6" t="n">
        <v>5</v>
      </c>
    </row>
    <row r="171">
      <c r="A171" s="6" t="inlineStr">
        <is>
          <t>DJ30</t>
        </is>
      </c>
      <c r="B171" s="6" t="inlineStr">
        <is>
          <t>2026-04-03</t>
        </is>
      </c>
      <c r="C171" s="6" t="inlineStr">
        <is>
          <t>DIA</t>
        </is>
      </c>
      <c r="D171" s="7">
        <f>Rebalance_Audit!J5271</f>
        <v/>
      </c>
      <c r="E171" s="7">
        <f>Rebalance_Audit!R5271</f>
        <v/>
      </c>
      <c r="F171" s="7">
        <f>E171-D171</f>
        <v/>
      </c>
      <c r="G171" s="8">
        <f>IF(D171=0,0,F171/D171)</f>
        <v/>
      </c>
      <c r="H171" s="8" t="n">
        <v>0.02390552425883219</v>
      </c>
      <c r="I171" s="8" t="n">
        <v>0.03028409568233026</v>
      </c>
      <c r="J171" s="8">
        <f>G171-I171</f>
        <v/>
      </c>
      <c r="K171" s="6" t="inlineStr">
        <is>
          <t>rebalance</t>
        </is>
      </c>
      <c r="L171" s="6" t="inlineStr">
        <is>
          <t>CVX</t>
        </is>
      </c>
      <c r="M171" s="6" t="inlineStr">
        <is>
          <t>MRK</t>
        </is>
      </c>
      <c r="N171" s="6" t="n">
        <v>5</v>
      </c>
    </row>
    <row r="172">
      <c r="A172" s="6" t="inlineStr">
        <is>
          <t>DJ30</t>
        </is>
      </c>
      <c r="B172" s="6" t="inlineStr">
        <is>
          <t>2026-04-10</t>
        </is>
      </c>
      <c r="C172" s="6" t="inlineStr">
        <is>
          <t>DIA</t>
        </is>
      </c>
      <c r="D172" s="7">
        <f>Rebalance_Audit!J5302</f>
        <v/>
      </c>
      <c r="E172" s="7">
        <f>Rebalance_Audit!R5302</f>
        <v/>
      </c>
      <c r="F172" s="7">
        <f>E172-D172</f>
        <v/>
      </c>
      <c r="G172" s="8">
        <f>IF(D172=0,0,F172/D172)</f>
        <v/>
      </c>
      <c r="H172" s="8" t="n">
        <v>0.02470808587906292</v>
      </c>
      <c r="I172" s="8" t="n">
        <v>0.0305122982617958</v>
      </c>
      <c r="J172" s="8">
        <f>G172-I172</f>
        <v/>
      </c>
      <c r="K172" s="6" t="inlineStr">
        <is>
          <t>hold</t>
        </is>
      </c>
      <c r="L172" s="6" t="inlineStr"/>
      <c r="M172" s="6" t="inlineStr"/>
      <c r="N172" s="6" t="n">
        <v>5</v>
      </c>
    </row>
    <row r="173">
      <c r="A173" s="6" t="inlineStr">
        <is>
          <t>DJ30</t>
        </is>
      </c>
      <c r="B173" s="6" t="inlineStr">
        <is>
          <t>2026-04-17</t>
        </is>
      </c>
      <c r="C173" s="6" t="inlineStr">
        <is>
          <t>DIA</t>
        </is>
      </c>
      <c r="D173" s="7">
        <f>Rebalance_Audit!J5333</f>
        <v/>
      </c>
      <c r="E173" s="7">
        <f>Rebalance_Audit!R5333</f>
        <v/>
      </c>
      <c r="F173" s="7">
        <f>E173-D173</f>
        <v/>
      </c>
      <c r="G173" s="8">
        <f>IF(D173=0,0,F173/D173)</f>
        <v/>
      </c>
      <c r="H173" s="8" t="n">
        <v>0.006384302748752013</v>
      </c>
      <c r="I173" s="8" t="n">
        <v>0.03167385676315382</v>
      </c>
      <c r="J173" s="8">
        <f>G173-I173</f>
        <v/>
      </c>
      <c r="K173" s="6" t="inlineStr">
        <is>
          <t>hold</t>
        </is>
      </c>
      <c r="L173" s="6" t="inlineStr"/>
      <c r="M173" s="6" t="inlineStr"/>
      <c r="N173" s="6" t="n">
        <v>5</v>
      </c>
    </row>
    <row r="174">
      <c r="A174" s="6" t="inlineStr">
        <is>
          <t>DJ30</t>
        </is>
      </c>
      <c r="B174" s="6" t="inlineStr">
        <is>
          <t>2026-04-24</t>
        </is>
      </c>
      <c r="C174" s="6" t="inlineStr">
        <is>
          <t>DIA</t>
        </is>
      </c>
      <c r="D174" s="7">
        <f>Rebalance_Audit!J5364</f>
        <v/>
      </c>
      <c r="E174" s="7">
        <f>Rebalance_Audit!R5364</f>
        <v/>
      </c>
      <c r="F174" s="7">
        <f>E174-D174</f>
        <v/>
      </c>
      <c r="G174" s="8">
        <f>IF(D174=0,0,F174/D174)</f>
        <v/>
      </c>
      <c r="H174" s="8" t="n">
        <v>0.01172239582429913</v>
      </c>
      <c r="I174" s="8" t="n">
        <v>-0.004066937729766851</v>
      </c>
      <c r="J174" s="8">
        <f>G174-I174</f>
        <v/>
      </c>
      <c r="K174" s="6" t="inlineStr">
        <is>
          <t>hold</t>
        </is>
      </c>
      <c r="L174" s="6" t="inlineStr"/>
      <c r="M174" s="6" t="inlineStr"/>
      <c r="N174" s="6" t="n">
        <v>5</v>
      </c>
    </row>
    <row r="175">
      <c r="A175" s="6" t="inlineStr">
        <is>
          <t>DJ30</t>
        </is>
      </c>
      <c r="B175" s="6" t="inlineStr">
        <is>
          <t>2026-05-01</t>
        </is>
      </c>
      <c r="C175" s="6" t="inlineStr">
        <is>
          <t>DIA</t>
        </is>
      </c>
      <c r="D175" s="7">
        <f>Rebalance_Audit!J5395</f>
        <v/>
      </c>
      <c r="E175" s="7">
        <f>Rebalance_Audit!R5395</f>
        <v/>
      </c>
      <c r="F175" s="7">
        <f>E175-D175</f>
        <v/>
      </c>
      <c r="G175" s="8">
        <f>IF(D175=0,0,F175/D175)</f>
        <v/>
      </c>
      <c r="H175" s="8" t="n">
        <v>0.02544560329782208</v>
      </c>
      <c r="I175" s="8" t="n">
        <v>0.005708889198805966</v>
      </c>
      <c r="J175" s="8">
        <f>G175-I175</f>
        <v/>
      </c>
      <c r="K175" s="6" t="inlineStr">
        <is>
          <t>hold</t>
        </is>
      </c>
      <c r="L175" s="6" t="inlineStr"/>
      <c r="M175" s="6" t="inlineStr"/>
      <c r="N175" s="6" t="n">
        <v>5</v>
      </c>
    </row>
    <row r="176">
      <c r="A176" s="6" t="inlineStr">
        <is>
          <t>DJ30</t>
        </is>
      </c>
      <c r="B176" s="6" t="inlineStr">
        <is>
          <t>2026-05-08</t>
        </is>
      </c>
      <c r="C176" s="6" t="inlineStr">
        <is>
          <t>DIA</t>
        </is>
      </c>
      <c r="D176" s="7">
        <f>Rebalance_Audit!J5426</f>
        <v/>
      </c>
      <c r="E176" s="7">
        <f>Rebalance_Audit!R5426</f>
        <v/>
      </c>
      <c r="F176" s="7">
        <f>E176-D176</f>
        <v/>
      </c>
      <c r="G176" s="8">
        <f>IF(D176=0,0,F176/D176)</f>
        <v/>
      </c>
      <c r="H176" s="8" t="n">
        <v>0.0001711738673380037</v>
      </c>
      <c r="I176" s="8" t="n">
        <v>0.002242364092782667</v>
      </c>
      <c r="J176" s="8">
        <f>G176-I176</f>
        <v/>
      </c>
      <c r="K176" s="6" t="inlineStr">
        <is>
          <t>hold</t>
        </is>
      </c>
      <c r="L176" s="6" t="inlineStr"/>
      <c r="M176" s="6" t="inlineStr"/>
      <c r="N176" s="6" t="n">
        <v>5</v>
      </c>
    </row>
    <row r="177">
      <c r="A177" s="6" t="inlineStr">
        <is>
          <t>DJ30</t>
        </is>
      </c>
      <c r="B177" s="6" t="inlineStr">
        <is>
          <t>2026-05-15</t>
        </is>
      </c>
      <c r="C177" s="6" t="inlineStr">
        <is>
          <t>DIA</t>
        </is>
      </c>
      <c r="D177" s="7">
        <f>Rebalance_Audit!J5457</f>
        <v/>
      </c>
      <c r="E177" s="7">
        <f>Rebalance_Audit!R5457</f>
        <v/>
      </c>
      <c r="F177" s="7">
        <f>E177-D177</f>
        <v/>
      </c>
      <c r="G177" s="8">
        <f>IF(D177=0,0,F177/D177)</f>
        <v/>
      </c>
      <c r="H177" s="8" t="n">
        <v>0.06065115527857201</v>
      </c>
      <c r="I177" s="8" t="n">
        <v>-0.0009813001866451065</v>
      </c>
      <c r="J177" s="8">
        <f>G177-I177</f>
        <v/>
      </c>
      <c r="K177" s="6" t="inlineStr">
        <is>
          <t>hold</t>
        </is>
      </c>
      <c r="L177" s="6" t="inlineStr"/>
      <c r="M177" s="6" t="inlineStr"/>
      <c r="N177" s="6" t="n">
        <v>5</v>
      </c>
    </row>
    <row r="178">
      <c r="A178" s="6" t="inlineStr">
        <is>
          <t>DJ30</t>
        </is>
      </c>
      <c r="B178" s="6" t="inlineStr">
        <is>
          <t>2026-05-22</t>
        </is>
      </c>
      <c r="C178" s="6" t="inlineStr">
        <is>
          <t>DIA</t>
        </is>
      </c>
      <c r="D178" s="7">
        <f>Rebalance_Audit!J5488</f>
        <v/>
      </c>
      <c r="E178" s="7">
        <f>Rebalance_Audit!R5488</f>
        <v/>
      </c>
      <c r="F178" s="7">
        <f>E178-D178</f>
        <v/>
      </c>
      <c r="G178" s="8">
        <f>IF(D178=0,0,F178/D178)</f>
        <v/>
      </c>
      <c r="H178" s="8" t="n">
        <v>0.0205142687429829</v>
      </c>
      <c r="I178" s="8" t="n">
        <v>0.02170092606852037</v>
      </c>
      <c r="J178" s="8">
        <f>G178-I178</f>
        <v/>
      </c>
      <c r="K178" s="6" t="inlineStr">
        <is>
          <t>rebalance</t>
        </is>
      </c>
      <c r="L178" s="6" t="inlineStr">
        <is>
          <t>MRK</t>
        </is>
      </c>
      <c r="M178" s="6" t="inlineStr">
        <is>
          <t>JNJ</t>
        </is>
      </c>
      <c r="N178" s="6" t="n">
        <v>5</v>
      </c>
    </row>
    <row r="179">
      <c r="A179" s="6" t="inlineStr">
        <is>
          <t>DJ30</t>
        </is>
      </c>
      <c r="B179" s="6" t="inlineStr">
        <is>
          <t>2026-05-29</t>
        </is>
      </c>
      <c r="C179" s="6" t="inlineStr">
        <is>
          <t>DIA</t>
        </is>
      </c>
      <c r="D179" s="7">
        <f>Rebalance_Audit!J5519</f>
        <v/>
      </c>
      <c r="E179" s="7">
        <f>Rebalance_Audit!R5519</f>
        <v/>
      </c>
      <c r="F179" s="7">
        <f>E179-D179</f>
        <v/>
      </c>
      <c r="G179" s="8">
        <f>IF(D179=0,0,F179/D179)</f>
        <v/>
      </c>
      <c r="H179" s="8" t="n">
        <v>-0.01051268515304227</v>
      </c>
      <c r="I179" s="8" t="n">
        <v>0.009207342850481748</v>
      </c>
      <c r="J179" s="8">
        <f>G179-I179</f>
        <v/>
      </c>
      <c r="K179" s="6" t="inlineStr">
        <is>
          <t>hold</t>
        </is>
      </c>
      <c r="L179" s="6" t="inlineStr"/>
      <c r="M179" s="6" t="inlineStr"/>
      <c r="N179" s="6" t="n">
        <v>5</v>
      </c>
    </row>
    <row r="180">
      <c r="A180" s="6" t="inlineStr">
        <is>
          <t>DJ30</t>
        </is>
      </c>
      <c r="B180" s="6" t="inlineStr">
        <is>
          <t>2026-06-05</t>
        </is>
      </c>
      <c r="C180" s="6" t="inlineStr">
        <is>
          <t>DIA</t>
        </is>
      </c>
      <c r="D180" s="7">
        <f>Rebalance_Audit!J5550</f>
        <v/>
      </c>
      <c r="E180" s="7">
        <f>Rebalance_Audit!R5550</f>
        <v/>
      </c>
      <c r="F180" s="7">
        <f>E180-D180</f>
        <v/>
      </c>
      <c r="G180" s="8">
        <f>IF(D180=0,0,F180/D180)</f>
        <v/>
      </c>
      <c r="H180" s="8" t="n">
        <v>0.02076823859003629</v>
      </c>
      <c r="I180" s="8" t="n">
        <v>-0.002114405178336609</v>
      </c>
      <c r="J180" s="8">
        <f>G180-I180</f>
        <v/>
      </c>
      <c r="K180" s="6" t="inlineStr">
        <is>
          <t>hold</t>
        </is>
      </c>
      <c r="L180" s="6" t="inlineStr"/>
      <c r="M180" s="6" t="inlineStr"/>
      <c r="N180" s="6" t="n">
        <v>5</v>
      </c>
    </row>
    <row r="181">
      <c r="A181" s="6" t="inlineStr">
        <is>
          <t>DJ30</t>
        </is>
      </c>
      <c r="B181" s="6" t="inlineStr">
        <is>
          <t>2026-06-12</t>
        </is>
      </c>
      <c r="C181" s="6" t="inlineStr">
        <is>
          <t>DIA</t>
        </is>
      </c>
      <c r="D181" s="7">
        <f>Rebalance_Audit!J5581</f>
        <v/>
      </c>
      <c r="E181" s="7">
        <f>Rebalance_Audit!R5581</f>
        <v/>
      </c>
      <c r="F181" s="7">
        <f>E181-D181</f>
        <v/>
      </c>
      <c r="G181" s="8">
        <f>IF(D181=0,0,F181/D181)</f>
        <v/>
      </c>
      <c r="H181" s="8" t="n">
        <v>0.002160892953709803</v>
      </c>
      <c r="I181" s="8" t="n">
        <v>0.006592061105164415</v>
      </c>
      <c r="J181" s="8">
        <f>G181-I181</f>
        <v/>
      </c>
      <c r="K181" s="6" t="inlineStr">
        <is>
          <t>hold</t>
        </is>
      </c>
      <c r="L181" s="6" t="inlineStr"/>
      <c r="M181" s="6" t="inlineStr"/>
      <c r="N181" s="6" t="n">
        <v>5</v>
      </c>
    </row>
    <row r="182">
      <c r="A182" s="6" t="inlineStr">
        <is>
          <t>DJ30</t>
        </is>
      </c>
      <c r="B182" s="6" t="inlineStr">
        <is>
          <t>2026-06-19</t>
        </is>
      </c>
      <c r="C182" s="6" t="inlineStr">
        <is>
          <t>DIA</t>
        </is>
      </c>
      <c r="D182" s="7">
        <f>Rebalance_Audit!J5612</f>
        <v/>
      </c>
      <c r="E182" s="7">
        <f>Rebalance_Audit!R5612</f>
        <v/>
      </c>
      <c r="F182" s="7">
        <f>E182-D182</f>
        <v/>
      </c>
      <c r="G182" s="8">
        <f>IF(D182=0,0,F182/D182)</f>
        <v/>
      </c>
      <c r="H182" s="8" t="n">
        <v>-0.001529765001304528</v>
      </c>
      <c r="I182" s="8" t="n">
        <v>0.00753665156902894</v>
      </c>
      <c r="J182" s="8">
        <f>G182-I182</f>
        <v/>
      </c>
      <c r="K182" s="6" t="inlineStr">
        <is>
          <t>hold</t>
        </is>
      </c>
      <c r="L182" s="6" t="inlineStr"/>
      <c r="M182" s="6" t="inlineStr"/>
      <c r="N182" s="6" t="n">
        <v>5</v>
      </c>
    </row>
    <row r="183">
      <c r="A183" s="6" t="inlineStr">
        <is>
          <t>DJ30</t>
        </is>
      </c>
      <c r="B183" s="6" t="inlineStr">
        <is>
          <t>2026-06-26</t>
        </is>
      </c>
      <c r="C183" s="6" t="inlineStr">
        <is>
          <t>DIA</t>
        </is>
      </c>
      <c r="D183" s="7">
        <f>Rebalance_Audit!J5643</f>
        <v/>
      </c>
      <c r="E183" s="7">
        <f>Rebalance_Audit!R5643</f>
        <v/>
      </c>
      <c r="F183" s="7">
        <f>E183-D183</f>
        <v/>
      </c>
      <c r="G183" s="8">
        <f>IF(D183=0,0,F183/D183)</f>
        <v/>
      </c>
      <c r="H183" s="8" t="n">
        <v>0.02608722682266307</v>
      </c>
      <c r="I183" s="8" t="n">
        <v>0.007254791458488175</v>
      </c>
      <c r="J183" s="8">
        <f>G183-I183</f>
        <v/>
      </c>
      <c r="K183" s="6" t="inlineStr">
        <is>
          <t>rebalance</t>
        </is>
      </c>
      <c r="L183" s="6" t="inlineStr">
        <is>
          <t>WMT</t>
        </is>
      </c>
      <c r="M183" s="6" t="inlineStr">
        <is>
          <t>CVX</t>
        </is>
      </c>
      <c r="N183" s="6" t="n">
        <v>5</v>
      </c>
    </row>
  </sheetData>
  <autoFilter ref="A1:N183"/>
  <conditionalFormatting sqref="F2:F18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2:G183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J2:J183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3" customWidth="1" min="9" max="9"/>
    <col width="15" customWidth="1" min="10" max="10"/>
    <col width="16" customWidth="1" min="11" max="11"/>
    <col width="12" customWidth="1" min="12" max="12"/>
    <col width="16" customWidth="1" min="13" max="13"/>
    <col width="15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18" customWidth="1" min="20" max="20"/>
    <col width="19" customWidth="1" min="21" max="21"/>
    <col width="34" customWidth="1" min="22" max="22"/>
  </cols>
  <sheetData>
    <row r="1">
      <c r="A1" s="5" t="inlineStr">
        <is>
          <t>Market</t>
        </is>
      </c>
      <c r="B1" s="5" t="inlineStr">
        <is>
          <t>WeekEnding</t>
        </is>
      </c>
      <c r="C1" s="5" t="inlineStr">
        <is>
          <t>Benchmark</t>
        </is>
      </c>
      <c r="D1" s="5" t="inlineStr">
        <is>
          <t>Asset</t>
        </is>
      </c>
      <c r="E1" s="5" t="inlineStr">
        <is>
          <t>Company</t>
        </is>
      </c>
      <c r="F1" s="5" t="inlineStr">
        <is>
          <t>Sector</t>
        </is>
      </c>
      <c r="G1" s="5" t="inlineStr">
        <is>
          <t>last_price</t>
        </is>
      </c>
      <c r="H1" s="5" t="inlineStr">
        <is>
          <t>position_before</t>
        </is>
      </c>
      <c r="I1" s="5" t="inlineStr">
        <is>
          <t>qty_before</t>
        </is>
      </c>
      <c r="J1" s="5" t="inlineStr">
        <is>
          <t>value_before</t>
        </is>
      </c>
      <c r="K1" s="5" t="inlineStr">
        <is>
          <t>weight_before</t>
        </is>
      </c>
      <c r="L1" s="5" t="inlineStr">
        <is>
          <t>Status</t>
        </is>
      </c>
      <c r="M1" s="5" t="inlineStr">
        <is>
          <t>target_weight</t>
        </is>
      </c>
      <c r="N1" s="5" t="inlineStr">
        <is>
          <t>value_change</t>
        </is>
      </c>
      <c r="O1" s="5" t="inlineStr">
        <is>
          <t>qty_change</t>
        </is>
      </c>
      <c r="P1" s="5" t="inlineStr">
        <is>
          <t>position_after</t>
        </is>
      </c>
      <c r="Q1" s="5" t="inlineStr">
        <is>
          <t>qty_after</t>
        </is>
      </c>
      <c r="R1" s="5" t="inlineStr">
        <is>
          <t>value_after</t>
        </is>
      </c>
      <c r="S1" s="5" t="inlineStr">
        <is>
          <t>weight_after</t>
        </is>
      </c>
      <c r="T1" s="5" t="inlineStr">
        <is>
          <t>strategy_return</t>
        </is>
      </c>
      <c r="U1" s="5" t="inlineStr">
        <is>
          <t>benchmark_return</t>
        </is>
      </c>
      <c r="V1" s="5" t="inlineStr">
        <is>
          <t>notes</t>
        </is>
      </c>
    </row>
    <row r="2">
      <c r="A2" s="6" t="inlineStr">
        <is>
          <t>DJ30</t>
        </is>
      </c>
      <c r="B2" s="6" t="inlineStr">
        <is>
          <t>2023-01-06</t>
        </is>
      </c>
      <c r="C2" s="6" t="inlineStr">
        <is>
          <t>DIA</t>
        </is>
      </c>
      <c r="D2" s="6" t="inlineStr">
        <is>
          <t>AAPL</t>
        </is>
      </c>
      <c r="E2" s="6" t="inlineStr">
        <is>
          <t>AAPL</t>
        </is>
      </c>
      <c r="F2" s="6" t="inlineStr">
        <is>
          <t>-</t>
        </is>
      </c>
      <c r="G2" s="7" t="n">
        <v>127.4567642211914</v>
      </c>
      <c r="H2" s="6" t="inlineStr"/>
      <c r="I2" s="9">
        <f>IF(M2&gt;0,InitialCapital/5/G2,0)</f>
        <v/>
      </c>
      <c r="J2" s="7">
        <f>I2*G2</f>
        <v/>
      </c>
      <c r="K2" s="8">
        <f>IF($J$32=0,0,J2/$J$32)</f>
        <v/>
      </c>
      <c r="L2" s="6" t="inlineStr">
        <is>
          <t>REJECTED</t>
        </is>
      </c>
      <c r="M2" s="8" t="n">
        <v>0</v>
      </c>
      <c r="N2" s="7">
        <f>M2*$J$32-J2</f>
        <v/>
      </c>
      <c r="O2" s="9">
        <f>IF(G2=0,0,N2/G2)</f>
        <v/>
      </c>
      <c r="P2" s="6">
        <f>IF(M2&gt;0,D2,"")</f>
        <v/>
      </c>
      <c r="Q2" s="9">
        <f>I2+O2</f>
        <v/>
      </c>
      <c r="R2" s="7">
        <f>Q2*G2</f>
        <v/>
      </c>
      <c r="S2" s="8">
        <f>IF($R$32=0,0,R2/$R$32)</f>
        <v/>
      </c>
      <c r="T2" s="8" t="n"/>
      <c r="U2" s="8" t="n"/>
      <c r="V2" s="6" t="inlineStr">
        <is>
          <t>not in initial selection</t>
        </is>
      </c>
    </row>
    <row r="3">
      <c r="A3" s="6" t="inlineStr">
        <is>
          <t>DJ30</t>
        </is>
      </c>
      <c r="B3" s="6" t="inlineStr">
        <is>
          <t>2023-01-06</t>
        </is>
      </c>
      <c r="C3" s="6" t="inlineStr">
        <is>
          <t>DIA</t>
        </is>
      </c>
      <c r="D3" s="6" t="inlineStr">
        <is>
          <t>AMGN</t>
        </is>
      </c>
      <c r="E3" s="6" t="inlineStr">
        <is>
          <t>AMGN</t>
        </is>
      </c>
      <c r="F3" s="6" t="inlineStr">
        <is>
          <t>-</t>
        </is>
      </c>
      <c r="G3" s="7" t="n">
        <v>246.4593658447266</v>
      </c>
      <c r="H3" s="6" t="inlineStr"/>
      <c r="I3" s="9">
        <f>IF(M3&gt;0,InitialCapital/5/G3,0)</f>
        <v/>
      </c>
      <c r="J3" s="7">
        <f>I3*G3</f>
        <v/>
      </c>
      <c r="K3" s="8">
        <f>IF($J$32=0,0,J3/$J$32)</f>
        <v/>
      </c>
      <c r="L3" s="6" t="inlineStr">
        <is>
          <t>REJECTED</t>
        </is>
      </c>
      <c r="M3" s="8" t="n">
        <v>0</v>
      </c>
      <c r="N3" s="7">
        <f>M3*$J$32-J3</f>
        <v/>
      </c>
      <c r="O3" s="9">
        <f>IF(G3=0,0,N3/G3)</f>
        <v/>
      </c>
      <c r="P3" s="6">
        <f>IF(M3&gt;0,D3,"")</f>
        <v/>
      </c>
      <c r="Q3" s="9">
        <f>I3+O3</f>
        <v/>
      </c>
      <c r="R3" s="7">
        <f>Q3*G3</f>
        <v/>
      </c>
      <c r="S3" s="8">
        <f>IF($R$32=0,0,R3/$R$32)</f>
        <v/>
      </c>
      <c r="T3" s="8" t="n"/>
      <c r="U3" s="8" t="n"/>
      <c r="V3" s="6" t="inlineStr">
        <is>
          <t>not in initial selection</t>
        </is>
      </c>
    </row>
    <row r="4">
      <c r="A4" s="6" t="inlineStr">
        <is>
          <t>DJ30</t>
        </is>
      </c>
      <c r="B4" s="6" t="inlineStr">
        <is>
          <t>2023-01-06</t>
        </is>
      </c>
      <c r="C4" s="6" t="inlineStr">
        <is>
          <t>DIA</t>
        </is>
      </c>
      <c r="D4" s="6" t="inlineStr">
        <is>
          <t>AMZN</t>
        </is>
      </c>
      <c r="E4" s="6" t="inlineStr">
        <is>
          <t>AMZN</t>
        </is>
      </c>
      <c r="F4" s="6" t="inlineStr">
        <is>
          <t>-</t>
        </is>
      </c>
      <c r="G4" s="7" t="n">
        <v>86.08000183105469</v>
      </c>
      <c r="H4" s="6" t="inlineStr"/>
      <c r="I4" s="9">
        <f>IF(M4&gt;0,InitialCapital/5/G4,0)</f>
        <v/>
      </c>
      <c r="J4" s="7">
        <f>I4*G4</f>
        <v/>
      </c>
      <c r="K4" s="8">
        <f>IF($J$32=0,0,J4/$J$32)</f>
        <v/>
      </c>
      <c r="L4" s="6" t="inlineStr">
        <is>
          <t>REJECTED</t>
        </is>
      </c>
      <c r="M4" s="8" t="n">
        <v>0</v>
      </c>
      <c r="N4" s="7">
        <f>M4*$J$32-J4</f>
        <v/>
      </c>
      <c r="O4" s="9">
        <f>IF(G4=0,0,N4/G4)</f>
        <v/>
      </c>
      <c r="P4" s="6">
        <f>IF(M4&gt;0,D4,"")</f>
        <v/>
      </c>
      <c r="Q4" s="9">
        <f>I4+O4</f>
        <v/>
      </c>
      <c r="R4" s="7">
        <f>Q4*G4</f>
        <v/>
      </c>
      <c r="S4" s="8">
        <f>IF($R$32=0,0,R4/$R$32)</f>
        <v/>
      </c>
      <c r="T4" s="8" t="n"/>
      <c r="U4" s="8" t="n"/>
      <c r="V4" s="6" t="inlineStr">
        <is>
          <t>not in initial selection</t>
        </is>
      </c>
    </row>
    <row r="5">
      <c r="A5" s="6" t="inlineStr">
        <is>
          <t>DJ30</t>
        </is>
      </c>
      <c r="B5" s="6" t="inlineStr">
        <is>
          <t>2023-01-06</t>
        </is>
      </c>
      <c r="C5" s="6" t="inlineStr">
        <is>
          <t>DIA</t>
        </is>
      </c>
      <c r="D5" s="6" t="inlineStr">
        <is>
          <t>AXP</t>
        </is>
      </c>
      <c r="E5" s="6" t="inlineStr">
        <is>
          <t>AXP</t>
        </is>
      </c>
      <c r="F5" s="6" t="inlineStr">
        <is>
          <t>-</t>
        </is>
      </c>
      <c r="G5" s="7" t="n">
        <v>144.3951416015625</v>
      </c>
      <c r="H5" s="6" t="inlineStr"/>
      <c r="I5" s="9">
        <f>IF(M5&gt;0,InitialCapital/5/G5,0)</f>
        <v/>
      </c>
      <c r="J5" s="7">
        <f>I5*G5</f>
        <v/>
      </c>
      <c r="K5" s="8">
        <f>IF($J$32=0,0,J5/$J$32)</f>
        <v/>
      </c>
      <c r="L5" s="6" t="inlineStr">
        <is>
          <t>REJECTED</t>
        </is>
      </c>
      <c r="M5" s="8" t="n">
        <v>0</v>
      </c>
      <c r="N5" s="7">
        <f>M5*$J$32-J5</f>
        <v/>
      </c>
      <c r="O5" s="9">
        <f>IF(G5=0,0,N5/G5)</f>
        <v/>
      </c>
      <c r="P5" s="6">
        <f>IF(M5&gt;0,D5,"")</f>
        <v/>
      </c>
      <c r="Q5" s="9">
        <f>I5+O5</f>
        <v/>
      </c>
      <c r="R5" s="7">
        <f>Q5*G5</f>
        <v/>
      </c>
      <c r="S5" s="8">
        <f>IF($R$32=0,0,R5/$R$32)</f>
        <v/>
      </c>
      <c r="T5" s="8" t="n"/>
      <c r="U5" s="8" t="n"/>
      <c r="V5" s="6" t="inlineStr">
        <is>
          <t>not in initial selection</t>
        </is>
      </c>
    </row>
    <row r="6">
      <c r="A6" s="6" t="inlineStr">
        <is>
          <t>DJ30</t>
        </is>
      </c>
      <c r="B6" s="6" t="inlineStr">
        <is>
          <t>2023-01-06</t>
        </is>
      </c>
      <c r="C6" s="6" t="inlineStr">
        <is>
          <t>DIA</t>
        </is>
      </c>
      <c r="D6" s="6" t="inlineStr">
        <is>
          <t>BA</t>
        </is>
      </c>
      <c r="E6" s="6" t="inlineStr">
        <is>
          <t>BA</t>
        </is>
      </c>
      <c r="F6" s="6" t="inlineStr">
        <is>
          <t>-</t>
        </is>
      </c>
      <c r="G6" s="7" t="n">
        <v>213</v>
      </c>
      <c r="H6" s="6" t="inlineStr"/>
      <c r="I6" s="9">
        <f>IF(M6&gt;0,InitialCapital/5/G6,0)</f>
        <v/>
      </c>
      <c r="J6" s="7">
        <f>I6*G6</f>
        <v/>
      </c>
      <c r="K6" s="8">
        <f>IF($J$32=0,0,J6/$J$32)</f>
        <v/>
      </c>
      <c r="L6" s="6" t="inlineStr">
        <is>
          <t>REJECTED</t>
        </is>
      </c>
      <c r="M6" s="8" t="n">
        <v>0</v>
      </c>
      <c r="N6" s="7">
        <f>M6*$J$32-J6</f>
        <v/>
      </c>
      <c r="O6" s="9">
        <f>IF(G6=0,0,N6/G6)</f>
        <v/>
      </c>
      <c r="P6" s="6">
        <f>IF(M6&gt;0,D6,"")</f>
        <v/>
      </c>
      <c r="Q6" s="9">
        <f>I6+O6</f>
        <v/>
      </c>
      <c r="R6" s="7">
        <f>Q6*G6</f>
        <v/>
      </c>
      <c r="S6" s="8">
        <f>IF($R$32=0,0,R6/$R$32)</f>
        <v/>
      </c>
      <c r="T6" s="8" t="n"/>
      <c r="U6" s="8" t="n"/>
      <c r="V6" s="6" t="inlineStr">
        <is>
          <t>not in initial selection</t>
        </is>
      </c>
    </row>
    <row r="7">
      <c r="A7" s="6" t="inlineStr">
        <is>
          <t>DJ30</t>
        </is>
      </c>
      <c r="B7" s="6" t="inlineStr">
        <is>
          <t>2023-01-06</t>
        </is>
      </c>
      <c r="C7" s="6" t="inlineStr">
        <is>
          <t>DIA</t>
        </is>
      </c>
      <c r="D7" s="6" t="inlineStr">
        <is>
          <t>CAT</t>
        </is>
      </c>
      <c r="E7" s="6" t="inlineStr">
        <is>
          <t>CAT</t>
        </is>
      </c>
      <c r="F7" s="6" t="inlineStr">
        <is>
          <t>-</t>
        </is>
      </c>
      <c r="G7" s="7" t="n">
        <v>235.4472045898437</v>
      </c>
      <c r="H7" s="6" t="inlineStr"/>
      <c r="I7" s="9">
        <f>IF(M7&gt;0,InitialCapital/5/G7,0)</f>
        <v/>
      </c>
      <c r="J7" s="7">
        <f>I7*G7</f>
        <v/>
      </c>
      <c r="K7" s="8">
        <f>IF($J$32=0,0,J7/$J$32)</f>
        <v/>
      </c>
      <c r="L7" s="6" t="inlineStr">
        <is>
          <t>REJECTED</t>
        </is>
      </c>
      <c r="M7" s="8" t="n">
        <v>0</v>
      </c>
      <c r="N7" s="7">
        <f>M7*$J$32-J7</f>
        <v/>
      </c>
      <c r="O7" s="9">
        <f>IF(G7=0,0,N7/G7)</f>
        <v/>
      </c>
      <c r="P7" s="6">
        <f>IF(M7&gt;0,D7,"")</f>
        <v/>
      </c>
      <c r="Q7" s="9">
        <f>I7+O7</f>
        <v/>
      </c>
      <c r="R7" s="7">
        <f>Q7*G7</f>
        <v/>
      </c>
      <c r="S7" s="8">
        <f>IF($R$32=0,0,R7/$R$32)</f>
        <v/>
      </c>
      <c r="T7" s="8" t="n"/>
      <c r="U7" s="8" t="n"/>
      <c r="V7" s="6" t="inlineStr">
        <is>
          <t>not in initial selection</t>
        </is>
      </c>
    </row>
    <row r="8">
      <c r="A8" s="6" t="inlineStr">
        <is>
          <t>DJ30</t>
        </is>
      </c>
      <c r="B8" s="6" t="inlineStr">
        <is>
          <t>2023-01-06</t>
        </is>
      </c>
      <c r="C8" s="6" t="inlineStr">
        <is>
          <t>DIA</t>
        </is>
      </c>
      <c r="D8" s="6" t="inlineStr">
        <is>
          <t>CRM</t>
        </is>
      </c>
      <c r="E8" s="6" t="inlineStr">
        <is>
          <t>CRM</t>
        </is>
      </c>
      <c r="F8" s="6" t="inlineStr">
        <is>
          <t>-</t>
        </is>
      </c>
      <c r="G8" s="7" t="n">
        <v>138.1204528808594</v>
      </c>
      <c r="H8" s="6" t="inlineStr"/>
      <c r="I8" s="9">
        <f>IF(M8&gt;0,InitialCapital/5/G8,0)</f>
        <v/>
      </c>
      <c r="J8" s="7">
        <f>I8*G8</f>
        <v/>
      </c>
      <c r="K8" s="8">
        <f>IF($J$32=0,0,J8/$J$32)</f>
        <v/>
      </c>
      <c r="L8" s="6" t="inlineStr">
        <is>
          <t>REJECTED</t>
        </is>
      </c>
      <c r="M8" s="8" t="n">
        <v>0</v>
      </c>
      <c r="N8" s="7">
        <f>M8*$J$32-J8</f>
        <v/>
      </c>
      <c r="O8" s="9">
        <f>IF(G8=0,0,N8/G8)</f>
        <v/>
      </c>
      <c r="P8" s="6">
        <f>IF(M8&gt;0,D8,"")</f>
        <v/>
      </c>
      <c r="Q8" s="9">
        <f>I8+O8</f>
        <v/>
      </c>
      <c r="R8" s="7">
        <f>Q8*G8</f>
        <v/>
      </c>
      <c r="S8" s="8">
        <f>IF($R$32=0,0,R8/$R$32)</f>
        <v/>
      </c>
      <c r="T8" s="8" t="n"/>
      <c r="U8" s="8" t="n"/>
      <c r="V8" s="6" t="inlineStr">
        <is>
          <t>not in initial selection</t>
        </is>
      </c>
    </row>
    <row r="9">
      <c r="A9" s="6" t="inlineStr">
        <is>
          <t>DJ30</t>
        </is>
      </c>
      <c r="B9" s="6" t="inlineStr">
        <is>
          <t>2023-01-06</t>
        </is>
      </c>
      <c r="C9" s="6" t="inlineStr">
        <is>
          <t>DIA</t>
        </is>
      </c>
      <c r="D9" s="6" t="inlineStr">
        <is>
          <t>CSCO</t>
        </is>
      </c>
      <c r="E9" s="6" t="inlineStr">
        <is>
          <t>CSCO</t>
        </is>
      </c>
      <c r="F9" s="6" t="inlineStr">
        <is>
          <t>-</t>
        </is>
      </c>
      <c r="G9" s="7" t="n">
        <v>44.14048767089844</v>
      </c>
      <c r="H9" s="6" t="inlineStr"/>
      <c r="I9" s="9">
        <f>IF(M9&gt;0,InitialCapital/5/G9,0)</f>
        <v/>
      </c>
      <c r="J9" s="7">
        <f>I9*G9</f>
        <v/>
      </c>
      <c r="K9" s="8">
        <f>IF($J$32=0,0,J9/$J$32)</f>
        <v/>
      </c>
      <c r="L9" s="6" t="inlineStr">
        <is>
          <t>REJECTED</t>
        </is>
      </c>
      <c r="M9" s="8" t="n">
        <v>0</v>
      </c>
      <c r="N9" s="7">
        <f>M9*$J$32-J9</f>
        <v/>
      </c>
      <c r="O9" s="9">
        <f>IF(G9=0,0,N9/G9)</f>
        <v/>
      </c>
      <c r="P9" s="6">
        <f>IF(M9&gt;0,D9,"")</f>
        <v/>
      </c>
      <c r="Q9" s="9">
        <f>I9+O9</f>
        <v/>
      </c>
      <c r="R9" s="7">
        <f>Q9*G9</f>
        <v/>
      </c>
      <c r="S9" s="8">
        <f>IF($R$32=0,0,R9/$R$32)</f>
        <v/>
      </c>
      <c r="T9" s="8" t="n"/>
      <c r="U9" s="8" t="n"/>
      <c r="V9" s="6" t="inlineStr">
        <is>
          <t>not in initial selection</t>
        </is>
      </c>
    </row>
    <row r="10">
      <c r="A10" s="6" t="inlineStr">
        <is>
          <t>DJ30</t>
        </is>
      </c>
      <c r="B10" s="6" t="inlineStr">
        <is>
          <t>2023-01-06</t>
        </is>
      </c>
      <c r="C10" s="6" t="inlineStr">
        <is>
          <t>DIA</t>
        </is>
      </c>
      <c r="D10" s="6" t="inlineStr">
        <is>
          <t>CVX</t>
        </is>
      </c>
      <c r="E10" s="6" t="inlineStr">
        <is>
          <t>CVX</t>
        </is>
      </c>
      <c r="F10" s="6" t="inlineStr">
        <is>
          <t>-</t>
        </is>
      </c>
      <c r="G10" s="7" t="n">
        <v>152.7460021972656</v>
      </c>
      <c r="H10" s="6" t="inlineStr"/>
      <c r="I10" s="9">
        <f>IF(M10&gt;0,InitialCapital/5/G10,0)</f>
        <v/>
      </c>
      <c r="J10" s="7">
        <f>I10*G10</f>
        <v/>
      </c>
      <c r="K10" s="8">
        <f>IF($J$32=0,0,J10/$J$32)</f>
        <v/>
      </c>
      <c r="L10" s="6" t="inlineStr">
        <is>
          <t>REJECTED</t>
        </is>
      </c>
      <c r="M10" s="8" t="n">
        <v>0</v>
      </c>
      <c r="N10" s="7">
        <f>M10*$J$32-J10</f>
        <v/>
      </c>
      <c r="O10" s="9">
        <f>IF(G10=0,0,N10/G10)</f>
        <v/>
      </c>
      <c r="P10" s="6">
        <f>IF(M10&gt;0,D10,"")</f>
        <v/>
      </c>
      <c r="Q10" s="9">
        <f>I10+O10</f>
        <v/>
      </c>
      <c r="R10" s="7">
        <f>Q10*G10</f>
        <v/>
      </c>
      <c r="S10" s="8">
        <f>IF($R$32=0,0,R10/$R$32)</f>
        <v/>
      </c>
      <c r="T10" s="8" t="n"/>
      <c r="U10" s="8" t="n"/>
      <c r="V10" s="6" t="inlineStr">
        <is>
          <t>not in initial selection</t>
        </is>
      </c>
    </row>
    <row r="11">
      <c r="A11" s="6" t="inlineStr">
        <is>
          <t>DJ30</t>
        </is>
      </c>
      <c r="B11" s="6" t="inlineStr">
        <is>
          <t>2023-01-06</t>
        </is>
      </c>
      <c r="C11" s="6" t="inlineStr">
        <is>
          <t>DIA</t>
        </is>
      </c>
      <c r="D11" s="6" t="inlineStr">
        <is>
          <t>DIS</t>
        </is>
      </c>
      <c r="E11" s="6" t="inlineStr">
        <is>
          <t>DIS</t>
        </is>
      </c>
      <c r="F11" s="6" t="inlineStr">
        <is>
          <t>-</t>
        </is>
      </c>
      <c r="G11" s="7" t="n">
        <v>91.75912475585938</v>
      </c>
      <c r="H11" s="6" t="inlineStr"/>
      <c r="I11" s="9">
        <f>IF(M11&gt;0,InitialCapital/5/G11,0)</f>
        <v/>
      </c>
      <c r="J11" s="7">
        <f>I11*G11</f>
        <v/>
      </c>
      <c r="K11" s="8">
        <f>IF($J$32=0,0,J11/$J$32)</f>
        <v/>
      </c>
      <c r="L11" s="6" t="inlineStr">
        <is>
          <t>REJECTED</t>
        </is>
      </c>
      <c r="M11" s="8" t="n">
        <v>0</v>
      </c>
      <c r="N11" s="7">
        <f>M11*$J$32-J11</f>
        <v/>
      </c>
      <c r="O11" s="9">
        <f>IF(G11=0,0,N11/G11)</f>
        <v/>
      </c>
      <c r="P11" s="6">
        <f>IF(M11&gt;0,D11,"")</f>
        <v/>
      </c>
      <c r="Q11" s="9">
        <f>I11+O11</f>
        <v/>
      </c>
      <c r="R11" s="7">
        <f>Q11*G11</f>
        <v/>
      </c>
      <c r="S11" s="8">
        <f>IF($R$32=0,0,R11/$R$32)</f>
        <v/>
      </c>
      <c r="T11" s="8" t="n"/>
      <c r="U11" s="8" t="n"/>
      <c r="V11" s="6" t="inlineStr">
        <is>
          <t>not in initial selection</t>
        </is>
      </c>
    </row>
    <row r="12">
      <c r="A12" s="6" t="inlineStr">
        <is>
          <t>DJ30</t>
        </is>
      </c>
      <c r="B12" s="6" t="inlineStr">
        <is>
          <t>2023-01-06</t>
        </is>
      </c>
      <c r="C12" s="6" t="inlineStr">
        <is>
          <t>DIA</t>
        </is>
      </c>
      <c r="D12" s="6" t="inlineStr">
        <is>
          <t>GS</t>
        </is>
      </c>
      <c r="E12" s="6" t="inlineStr">
        <is>
          <t>GS</t>
        </is>
      </c>
      <c r="F12" s="6" t="inlineStr">
        <is>
          <t>-</t>
        </is>
      </c>
      <c r="G12" s="7" t="n">
        <v>319.7201232910156</v>
      </c>
      <c r="H12" s="6" t="inlineStr"/>
      <c r="I12" s="9">
        <f>IF(M12&gt;0,InitialCapital/5/G12,0)</f>
        <v/>
      </c>
      <c r="J12" s="7">
        <f>I12*G12</f>
        <v/>
      </c>
      <c r="K12" s="8">
        <f>IF($J$32=0,0,J12/$J$32)</f>
        <v/>
      </c>
      <c r="L12" s="6" t="inlineStr">
        <is>
          <t>REJECTED</t>
        </is>
      </c>
      <c r="M12" s="8" t="n">
        <v>0</v>
      </c>
      <c r="N12" s="7">
        <f>M12*$J$32-J12</f>
        <v/>
      </c>
      <c r="O12" s="9">
        <f>IF(G12=0,0,N12/G12)</f>
        <v/>
      </c>
      <c r="P12" s="6">
        <f>IF(M12&gt;0,D12,"")</f>
        <v/>
      </c>
      <c r="Q12" s="9">
        <f>I12+O12</f>
        <v/>
      </c>
      <c r="R12" s="7">
        <f>Q12*G12</f>
        <v/>
      </c>
      <c r="S12" s="8">
        <f>IF($R$32=0,0,R12/$R$32)</f>
        <v/>
      </c>
      <c r="T12" s="8" t="n"/>
      <c r="U12" s="8" t="n"/>
      <c r="V12" s="6" t="inlineStr">
        <is>
          <t>not in initial selection</t>
        </is>
      </c>
    </row>
    <row r="13">
      <c r="A13" s="6" t="inlineStr">
        <is>
          <t>DJ30</t>
        </is>
      </c>
      <c r="B13" s="6" t="inlineStr">
        <is>
          <t>2023-01-06</t>
        </is>
      </c>
      <c r="C13" s="6" t="inlineStr">
        <is>
          <t>DIA</t>
        </is>
      </c>
      <c r="D13" s="6" t="inlineStr">
        <is>
          <t>HD</t>
        </is>
      </c>
      <c r="E13" s="6" t="inlineStr">
        <is>
          <t>HD</t>
        </is>
      </c>
      <c r="F13" s="6" t="inlineStr">
        <is>
          <t>-</t>
        </is>
      </c>
      <c r="G13" s="7" t="n">
        <v>290.0825500488281</v>
      </c>
      <c r="H13" s="6" t="inlineStr"/>
      <c r="I13" s="9">
        <f>IF(M13&gt;0,InitialCapital/5/G13,0)</f>
        <v/>
      </c>
      <c r="J13" s="7">
        <f>I13*G13</f>
        <v/>
      </c>
      <c r="K13" s="8">
        <f>IF($J$32=0,0,J13/$J$32)</f>
        <v/>
      </c>
      <c r="L13" s="6" t="inlineStr">
        <is>
          <t>REJECTED</t>
        </is>
      </c>
      <c r="M13" s="8" t="n">
        <v>0</v>
      </c>
      <c r="N13" s="7">
        <f>M13*$J$32-J13</f>
        <v/>
      </c>
      <c r="O13" s="9">
        <f>IF(G13=0,0,N13/G13)</f>
        <v/>
      </c>
      <c r="P13" s="6">
        <f>IF(M13&gt;0,D13,"")</f>
        <v/>
      </c>
      <c r="Q13" s="9">
        <f>I13+O13</f>
        <v/>
      </c>
      <c r="R13" s="7">
        <f>Q13*G13</f>
        <v/>
      </c>
      <c r="S13" s="8">
        <f>IF($R$32=0,0,R13/$R$32)</f>
        <v/>
      </c>
      <c r="T13" s="8" t="n"/>
      <c r="U13" s="8" t="n"/>
      <c r="V13" s="6" t="inlineStr">
        <is>
          <t>not in initial selection</t>
        </is>
      </c>
    </row>
    <row r="14">
      <c r="A14" s="6" t="inlineStr">
        <is>
          <t>DJ30</t>
        </is>
      </c>
      <c r="B14" s="6" t="inlineStr">
        <is>
          <t>2023-01-06</t>
        </is>
      </c>
      <c r="C14" s="6" t="inlineStr">
        <is>
          <t>DIA</t>
        </is>
      </c>
      <c r="D14" s="6" t="inlineStr">
        <is>
          <t>HON</t>
        </is>
      </c>
      <c r="E14" s="6" t="inlineStr">
        <is>
          <t>HON</t>
        </is>
      </c>
      <c r="F14" s="6" t="inlineStr">
        <is>
          <t>-</t>
        </is>
      </c>
      <c r="G14" s="7" t="n">
        <v>183.8609008789062</v>
      </c>
      <c r="H14" s="6" t="inlineStr"/>
      <c r="I14" s="9">
        <f>IF(M14&gt;0,InitialCapital/5/G14,0)</f>
        <v/>
      </c>
      <c r="J14" s="7">
        <f>I14*G14</f>
        <v/>
      </c>
      <c r="K14" s="8">
        <f>IF($J$32=0,0,J14/$J$32)</f>
        <v/>
      </c>
      <c r="L14" s="6" t="inlineStr">
        <is>
          <t>REJECTED</t>
        </is>
      </c>
      <c r="M14" s="8" t="n">
        <v>0</v>
      </c>
      <c r="N14" s="7">
        <f>M14*$J$32-J14</f>
        <v/>
      </c>
      <c r="O14" s="9">
        <f>IF(G14=0,0,N14/G14)</f>
        <v/>
      </c>
      <c r="P14" s="6">
        <f>IF(M14&gt;0,D14,"")</f>
        <v/>
      </c>
      <c r="Q14" s="9">
        <f>I14+O14</f>
        <v/>
      </c>
      <c r="R14" s="7">
        <f>Q14*G14</f>
        <v/>
      </c>
      <c r="S14" s="8">
        <f>IF($R$32=0,0,R14/$R$32)</f>
        <v/>
      </c>
      <c r="T14" s="8" t="n"/>
      <c r="U14" s="8" t="n"/>
      <c r="V14" s="6" t="inlineStr">
        <is>
          <t>not in initial selection</t>
        </is>
      </c>
    </row>
    <row r="15">
      <c r="A15" s="6" t="inlineStr">
        <is>
          <t>DJ30</t>
        </is>
      </c>
      <c r="B15" s="6" t="inlineStr">
        <is>
          <t>2023-01-06</t>
        </is>
      </c>
      <c r="C15" s="6" t="inlineStr">
        <is>
          <t>DIA</t>
        </is>
      </c>
      <c r="D15" s="6" t="inlineStr">
        <is>
          <t>IBM</t>
        </is>
      </c>
      <c r="E15" s="6" t="inlineStr">
        <is>
          <t>IBM</t>
        </is>
      </c>
      <c r="F15" s="6" t="inlineStr">
        <is>
          <t>-</t>
        </is>
      </c>
      <c r="G15" s="7" t="n">
        <v>127.1308822631836</v>
      </c>
      <c r="H15" s="6" t="inlineStr"/>
      <c r="I15" s="9">
        <f>IF(M15&gt;0,InitialCapital/5/G15,0)</f>
        <v/>
      </c>
      <c r="J15" s="7">
        <f>I15*G15</f>
        <v/>
      </c>
      <c r="K15" s="8">
        <f>IF($J$32=0,0,J15/$J$32)</f>
        <v/>
      </c>
      <c r="L15" s="6" t="inlineStr">
        <is>
          <t>REJECTED</t>
        </is>
      </c>
      <c r="M15" s="8" t="n">
        <v>0</v>
      </c>
      <c r="N15" s="7">
        <f>M15*$J$32-J15</f>
        <v/>
      </c>
      <c r="O15" s="9">
        <f>IF(G15=0,0,N15/G15)</f>
        <v/>
      </c>
      <c r="P15" s="6">
        <f>IF(M15&gt;0,D15,"")</f>
        <v/>
      </c>
      <c r="Q15" s="9">
        <f>I15+O15</f>
        <v/>
      </c>
      <c r="R15" s="7">
        <f>Q15*G15</f>
        <v/>
      </c>
      <c r="S15" s="8">
        <f>IF($R$32=0,0,R15/$R$32)</f>
        <v/>
      </c>
      <c r="T15" s="8" t="n"/>
      <c r="U15" s="8" t="n"/>
      <c r="V15" s="6" t="inlineStr">
        <is>
          <t>not in initial selection</t>
        </is>
      </c>
    </row>
    <row r="16">
      <c r="A16" s="6" t="inlineStr">
        <is>
          <t>DJ30</t>
        </is>
      </c>
      <c r="B16" s="6" t="inlineStr">
        <is>
          <t>2023-01-06</t>
        </is>
      </c>
      <c r="C16" s="6" t="inlineStr">
        <is>
          <t>DIA</t>
        </is>
      </c>
      <c r="D16" s="6" t="inlineStr">
        <is>
          <t>JNJ</t>
        </is>
      </c>
      <c r="E16" s="6" t="inlineStr">
        <is>
          <t>JNJ</t>
        </is>
      </c>
      <c r="F16" s="6" t="inlineStr">
        <is>
          <t>-</t>
        </is>
      </c>
      <c r="G16" s="7" t="n">
        <v>162.7303771972656</v>
      </c>
      <c r="H16" s="6" t="inlineStr"/>
      <c r="I16" s="9">
        <f>IF(M16&gt;0,InitialCapital/5/G16,0)</f>
        <v/>
      </c>
      <c r="J16" s="7">
        <f>I16*G16</f>
        <v/>
      </c>
      <c r="K16" s="8">
        <f>IF($J$32=0,0,J16/$J$32)</f>
        <v/>
      </c>
      <c r="L16" s="6" t="inlineStr">
        <is>
          <t>REJECTED</t>
        </is>
      </c>
      <c r="M16" s="8" t="n">
        <v>0</v>
      </c>
      <c r="N16" s="7">
        <f>M16*$J$32-J16</f>
        <v/>
      </c>
      <c r="O16" s="9">
        <f>IF(G16=0,0,N16/G16)</f>
        <v/>
      </c>
      <c r="P16" s="6">
        <f>IF(M16&gt;0,D16,"")</f>
        <v/>
      </c>
      <c r="Q16" s="9">
        <f>I16+O16</f>
        <v/>
      </c>
      <c r="R16" s="7">
        <f>Q16*G16</f>
        <v/>
      </c>
      <c r="S16" s="8">
        <f>IF($R$32=0,0,R16/$R$32)</f>
        <v/>
      </c>
      <c r="T16" s="8" t="n"/>
      <c r="U16" s="8" t="n"/>
      <c r="V16" s="6" t="inlineStr">
        <is>
          <t>not in initial selection</t>
        </is>
      </c>
    </row>
    <row r="17">
      <c r="A17" s="6" t="inlineStr">
        <is>
          <t>DJ30</t>
        </is>
      </c>
      <c r="B17" s="6" t="inlineStr">
        <is>
          <t>2023-01-06</t>
        </is>
      </c>
      <c r="C17" s="6" t="inlineStr">
        <is>
          <t>DIA</t>
        </is>
      </c>
      <c r="D17" s="6" t="inlineStr">
        <is>
          <t>JPM</t>
        </is>
      </c>
      <c r="E17" s="6" t="inlineStr">
        <is>
          <t>JPM</t>
        </is>
      </c>
      <c r="F17" s="6" t="inlineStr">
        <is>
          <t>-</t>
        </is>
      </c>
      <c r="G17" s="7" t="n">
        <v>127.8238830566406</v>
      </c>
      <c r="H17" s="6" t="inlineStr"/>
      <c r="I17" s="9">
        <f>IF(M17&gt;0,InitialCapital/5/G17,0)</f>
        <v/>
      </c>
      <c r="J17" s="7">
        <f>I17*G17</f>
        <v/>
      </c>
      <c r="K17" s="8">
        <f>IF($J$32=0,0,J17/$J$32)</f>
        <v/>
      </c>
      <c r="L17" s="6" t="inlineStr">
        <is>
          <t>REJECTED</t>
        </is>
      </c>
      <c r="M17" s="8" t="n">
        <v>0</v>
      </c>
      <c r="N17" s="7">
        <f>M17*$J$32-J17</f>
        <v/>
      </c>
      <c r="O17" s="9">
        <f>IF(G17=0,0,N17/G17)</f>
        <v/>
      </c>
      <c r="P17" s="6">
        <f>IF(M17&gt;0,D17,"")</f>
        <v/>
      </c>
      <c r="Q17" s="9">
        <f>I17+O17</f>
        <v/>
      </c>
      <c r="R17" s="7">
        <f>Q17*G17</f>
        <v/>
      </c>
      <c r="S17" s="8">
        <f>IF($R$32=0,0,R17/$R$32)</f>
        <v/>
      </c>
      <c r="T17" s="8" t="n"/>
      <c r="U17" s="8" t="n"/>
      <c r="V17" s="6" t="inlineStr">
        <is>
          <t>not in initial selection</t>
        </is>
      </c>
    </row>
    <row r="18">
      <c r="A18" s="6" t="inlineStr">
        <is>
          <t>DJ30</t>
        </is>
      </c>
      <c r="B18" s="6" t="inlineStr">
        <is>
          <t>2023-01-06</t>
        </is>
      </c>
      <c r="C18" s="6" t="inlineStr">
        <is>
          <t>DIA</t>
        </is>
      </c>
      <c r="D18" s="6" t="inlineStr">
        <is>
          <t>KO</t>
        </is>
      </c>
      <c r="E18" s="6" t="inlineStr">
        <is>
          <t>KO</t>
        </is>
      </c>
      <c r="F18" s="6" t="inlineStr">
        <is>
          <t>-</t>
        </is>
      </c>
      <c r="G18" s="7" t="n">
        <v>57.1656379699707</v>
      </c>
      <c r="H18" s="6" t="inlineStr"/>
      <c r="I18" s="9">
        <f>IF(M18&gt;0,InitialCapital/5/G18,0)</f>
        <v/>
      </c>
      <c r="J18" s="7">
        <f>I18*G18</f>
        <v/>
      </c>
      <c r="K18" s="8">
        <f>IF($J$32=0,0,J18/$J$32)</f>
        <v/>
      </c>
      <c r="L18" s="6" t="inlineStr">
        <is>
          <t>REJECTED</t>
        </is>
      </c>
      <c r="M18" s="8" t="n">
        <v>0</v>
      </c>
      <c r="N18" s="7">
        <f>M18*$J$32-J18</f>
        <v/>
      </c>
      <c r="O18" s="9">
        <f>IF(G18=0,0,N18/G18)</f>
        <v/>
      </c>
      <c r="P18" s="6">
        <f>IF(M18&gt;0,D18,"")</f>
        <v/>
      </c>
      <c r="Q18" s="9">
        <f>I18+O18</f>
        <v/>
      </c>
      <c r="R18" s="7">
        <f>Q18*G18</f>
        <v/>
      </c>
      <c r="S18" s="8">
        <f>IF($R$32=0,0,R18/$R$32)</f>
        <v/>
      </c>
      <c r="T18" s="8" t="n"/>
      <c r="U18" s="8" t="n"/>
      <c r="V18" s="6" t="inlineStr">
        <is>
          <t>not in initial selection</t>
        </is>
      </c>
    </row>
    <row r="19">
      <c r="A19" s="6" t="inlineStr">
        <is>
          <t>DJ30</t>
        </is>
      </c>
      <c r="B19" s="6" t="inlineStr">
        <is>
          <t>2023-01-06</t>
        </is>
      </c>
      <c r="C19" s="6" t="inlineStr">
        <is>
          <t>DIA</t>
        </is>
      </c>
      <c r="D19" s="6" t="inlineStr">
        <is>
          <t>MCD</t>
        </is>
      </c>
      <c r="E19" s="6" t="inlineStr">
        <is>
          <t>MCD</t>
        </is>
      </c>
      <c r="F19" s="6" t="inlineStr">
        <is>
          <t>-</t>
        </is>
      </c>
      <c r="G19" s="7" t="n">
        <v>248.3250579833984</v>
      </c>
      <c r="H19" s="6" t="inlineStr"/>
      <c r="I19" s="9">
        <f>IF(M19&gt;0,InitialCapital/5/G19,0)</f>
        <v/>
      </c>
      <c r="J19" s="7">
        <f>I19*G19</f>
        <v/>
      </c>
      <c r="K19" s="8">
        <f>IF($J$32=0,0,J19/$J$32)</f>
        <v/>
      </c>
      <c r="L19" s="6" t="inlineStr">
        <is>
          <t>REJECTED</t>
        </is>
      </c>
      <c r="M19" s="8" t="n">
        <v>0</v>
      </c>
      <c r="N19" s="7">
        <f>M19*$J$32-J19</f>
        <v/>
      </c>
      <c r="O19" s="9">
        <f>IF(G19=0,0,N19/G19)</f>
        <v/>
      </c>
      <c r="P19" s="6">
        <f>IF(M19&gt;0,D19,"")</f>
        <v/>
      </c>
      <c r="Q19" s="9">
        <f>I19+O19</f>
        <v/>
      </c>
      <c r="R19" s="7">
        <f>Q19*G19</f>
        <v/>
      </c>
      <c r="S19" s="8">
        <f>IF($R$32=0,0,R19/$R$32)</f>
        <v/>
      </c>
      <c r="T19" s="8" t="n"/>
      <c r="U19" s="8" t="n"/>
      <c r="V19" s="6" t="inlineStr">
        <is>
          <t>not in initial selection</t>
        </is>
      </c>
    </row>
    <row r="20">
      <c r="A20" s="6" t="inlineStr">
        <is>
          <t>DJ30</t>
        </is>
      </c>
      <c r="B20" s="6" t="inlineStr">
        <is>
          <t>2023-01-06</t>
        </is>
      </c>
      <c r="C20" s="6" t="inlineStr">
        <is>
          <t>DIA</t>
        </is>
      </c>
      <c r="D20" s="6" t="inlineStr">
        <is>
          <t>MMM</t>
        </is>
      </c>
      <c r="E20" s="6" t="inlineStr">
        <is>
          <t>MMM</t>
        </is>
      </c>
      <c r="F20" s="6" t="inlineStr">
        <is>
          <t>-</t>
        </is>
      </c>
      <c r="G20" s="7" t="n">
        <v>93.86753845214844</v>
      </c>
      <c r="H20" s="6" t="inlineStr"/>
      <c r="I20" s="9">
        <f>IF(M20&gt;0,InitialCapital/5/G20,0)</f>
        <v/>
      </c>
      <c r="J20" s="7">
        <f>I20*G20</f>
        <v/>
      </c>
      <c r="K20" s="8">
        <f>IF($J$32=0,0,J20/$J$32)</f>
        <v/>
      </c>
      <c r="L20" s="6" t="inlineStr">
        <is>
          <t>REJECTED</t>
        </is>
      </c>
      <c r="M20" s="8" t="n">
        <v>0</v>
      </c>
      <c r="N20" s="7">
        <f>M20*$J$32-J20</f>
        <v/>
      </c>
      <c r="O20" s="9">
        <f>IF(G20=0,0,N20/G20)</f>
        <v/>
      </c>
      <c r="P20" s="6">
        <f>IF(M20&gt;0,D20,"")</f>
        <v/>
      </c>
      <c r="Q20" s="9">
        <f>I20+O20</f>
        <v/>
      </c>
      <c r="R20" s="7">
        <f>Q20*G20</f>
        <v/>
      </c>
      <c r="S20" s="8">
        <f>IF($R$32=0,0,R20/$R$32)</f>
        <v/>
      </c>
      <c r="T20" s="8" t="n"/>
      <c r="U20" s="8" t="n"/>
      <c r="V20" s="6" t="inlineStr">
        <is>
          <t>not in initial selection</t>
        </is>
      </c>
    </row>
    <row r="21">
      <c r="A21" s="6" t="inlineStr">
        <is>
          <t>DJ30</t>
        </is>
      </c>
      <c r="B21" s="6" t="inlineStr">
        <is>
          <t>2023-01-06</t>
        </is>
      </c>
      <c r="C21" s="6" t="inlineStr">
        <is>
          <t>DIA</t>
        </is>
      </c>
      <c r="D21" s="6" t="inlineStr">
        <is>
          <t>MRK</t>
        </is>
      </c>
      <c r="E21" s="6" t="inlineStr">
        <is>
          <t>MRK</t>
        </is>
      </c>
      <c r="F21" s="6" t="inlineStr">
        <is>
          <t>-</t>
        </is>
      </c>
      <c r="G21" s="7" t="n">
        <v>103.2925033569336</v>
      </c>
      <c r="H21" s="6" t="inlineStr"/>
      <c r="I21" s="9">
        <f>IF(M21&gt;0,InitialCapital/5/G21,0)</f>
        <v/>
      </c>
      <c r="J21" s="7">
        <f>I21*G21</f>
        <v/>
      </c>
      <c r="K21" s="8">
        <f>IF($J$32=0,0,J21/$J$32)</f>
        <v/>
      </c>
      <c r="L21" s="6" t="inlineStr">
        <is>
          <t>REJECTED</t>
        </is>
      </c>
      <c r="M21" s="8" t="n">
        <v>0</v>
      </c>
      <c r="N21" s="7">
        <f>M21*$J$32-J21</f>
        <v/>
      </c>
      <c r="O21" s="9">
        <f>IF(G21=0,0,N21/G21)</f>
        <v/>
      </c>
      <c r="P21" s="6">
        <f>IF(M21&gt;0,D21,"")</f>
        <v/>
      </c>
      <c r="Q21" s="9">
        <f>I21+O21</f>
        <v/>
      </c>
      <c r="R21" s="7">
        <f>Q21*G21</f>
        <v/>
      </c>
      <c r="S21" s="8">
        <f>IF($R$32=0,0,R21/$R$32)</f>
        <v/>
      </c>
      <c r="T21" s="8" t="n"/>
      <c r="U21" s="8" t="n"/>
      <c r="V21" s="6" t="inlineStr">
        <is>
          <t>not in initial selection</t>
        </is>
      </c>
    </row>
    <row r="22">
      <c r="A22" s="6" t="inlineStr">
        <is>
          <t>DJ30</t>
        </is>
      </c>
      <c r="B22" s="6" t="inlineStr">
        <is>
          <t>2023-01-06</t>
        </is>
      </c>
      <c r="C22" s="6" t="inlineStr">
        <is>
          <t>DIA</t>
        </is>
      </c>
      <c r="D22" s="6" t="inlineStr">
        <is>
          <t>MSFT</t>
        </is>
      </c>
      <c r="E22" s="6" t="inlineStr">
        <is>
          <t>MSFT</t>
        </is>
      </c>
      <c r="F22" s="6" t="inlineStr">
        <is>
          <t>-</t>
        </is>
      </c>
      <c r="G22" s="7" t="n">
        <v>218.7037963867188</v>
      </c>
      <c r="H22" s="6" t="inlineStr"/>
      <c r="I22" s="9">
        <f>IF(M22&gt;0,InitialCapital/5/G22,0)</f>
        <v/>
      </c>
      <c r="J22" s="7">
        <f>I22*G22</f>
        <v/>
      </c>
      <c r="K22" s="8">
        <f>IF($J$32=0,0,J22/$J$32)</f>
        <v/>
      </c>
      <c r="L22" s="6" t="inlineStr">
        <is>
          <t>REJECTED</t>
        </is>
      </c>
      <c r="M22" s="8" t="n">
        <v>0</v>
      </c>
      <c r="N22" s="7">
        <f>M22*$J$32-J22</f>
        <v/>
      </c>
      <c r="O22" s="9">
        <f>IF(G22=0,0,N22/G22)</f>
        <v/>
      </c>
      <c r="P22" s="6">
        <f>IF(M22&gt;0,D22,"")</f>
        <v/>
      </c>
      <c r="Q22" s="9">
        <f>I22+O22</f>
        <v/>
      </c>
      <c r="R22" s="7">
        <f>Q22*G22</f>
        <v/>
      </c>
      <c r="S22" s="8">
        <f>IF($R$32=0,0,R22/$R$32)</f>
        <v/>
      </c>
      <c r="T22" s="8" t="n"/>
      <c r="U22" s="8" t="n"/>
      <c r="V22" s="6" t="inlineStr">
        <is>
          <t>not in initial selection</t>
        </is>
      </c>
    </row>
    <row r="23">
      <c r="A23" s="6" t="inlineStr">
        <is>
          <t>DJ30</t>
        </is>
      </c>
      <c r="B23" s="6" t="inlineStr">
        <is>
          <t>2023-01-06</t>
        </is>
      </c>
      <c r="C23" s="6" t="inlineStr">
        <is>
          <t>DIA</t>
        </is>
      </c>
      <c r="D23" s="6" t="inlineStr">
        <is>
          <t>NKE</t>
        </is>
      </c>
      <c r="E23" s="6" t="inlineStr">
        <is>
          <t>NKE</t>
        </is>
      </c>
      <c r="F23" s="6" t="inlineStr">
        <is>
          <t>-</t>
        </is>
      </c>
      <c r="G23" s="7" t="n">
        <v>116.2742767333984</v>
      </c>
      <c r="H23" s="6" t="inlineStr"/>
      <c r="I23" s="9">
        <f>IF(M23&gt;0,InitialCapital/5/G23,0)</f>
        <v/>
      </c>
      <c r="J23" s="7">
        <f>I23*G23</f>
        <v/>
      </c>
      <c r="K23" s="8">
        <f>IF($J$32=0,0,J23/$J$32)</f>
        <v/>
      </c>
      <c r="L23" s="6" t="inlineStr">
        <is>
          <t>REJECTED</t>
        </is>
      </c>
      <c r="M23" s="8" t="n">
        <v>0</v>
      </c>
      <c r="N23" s="7">
        <f>M23*$J$32-J23</f>
        <v/>
      </c>
      <c r="O23" s="9">
        <f>IF(G23=0,0,N23/G23)</f>
        <v/>
      </c>
      <c r="P23" s="6">
        <f>IF(M23&gt;0,D23,"")</f>
        <v/>
      </c>
      <c r="Q23" s="9">
        <f>I23+O23</f>
        <v/>
      </c>
      <c r="R23" s="7">
        <f>Q23*G23</f>
        <v/>
      </c>
      <c r="S23" s="8">
        <f>IF($R$32=0,0,R23/$R$32)</f>
        <v/>
      </c>
      <c r="T23" s="8" t="n"/>
      <c r="U23" s="8" t="n"/>
      <c r="V23" s="6" t="inlineStr">
        <is>
          <t>not in initial selection</t>
        </is>
      </c>
    </row>
    <row r="24">
      <c r="A24" s="6" t="inlineStr">
        <is>
          <t>DJ30</t>
        </is>
      </c>
      <c r="B24" s="6" t="inlineStr">
        <is>
          <t>2023-01-06</t>
        </is>
      </c>
      <c r="C24" s="6" t="inlineStr">
        <is>
          <t>DIA</t>
        </is>
      </c>
      <c r="D24" s="6" t="inlineStr">
        <is>
          <t>NVDA</t>
        </is>
      </c>
      <c r="E24" s="6" t="inlineStr">
        <is>
          <t>NVDA</t>
        </is>
      </c>
      <c r="F24" s="6" t="inlineStr">
        <is>
          <t>-</t>
        </is>
      </c>
      <c r="G24" s="7" t="n">
        <v>14.82605838775635</v>
      </c>
      <c r="H24" s="6" t="inlineStr"/>
      <c r="I24" s="9">
        <f>IF(M24&gt;0,InitialCapital/5/G24,0)</f>
        <v/>
      </c>
      <c r="J24" s="7">
        <f>I24*G24</f>
        <v/>
      </c>
      <c r="K24" s="8">
        <f>IF($J$32=0,0,J24/$J$32)</f>
        <v/>
      </c>
      <c r="L24" s="6" t="inlineStr">
        <is>
          <t>REJECTED</t>
        </is>
      </c>
      <c r="M24" s="8" t="n">
        <v>0</v>
      </c>
      <c r="N24" s="7">
        <f>M24*$J$32-J24</f>
        <v/>
      </c>
      <c r="O24" s="9">
        <f>IF(G24=0,0,N24/G24)</f>
        <v/>
      </c>
      <c r="P24" s="6">
        <f>IF(M24&gt;0,D24,"")</f>
        <v/>
      </c>
      <c r="Q24" s="9">
        <f>I24+O24</f>
        <v/>
      </c>
      <c r="R24" s="7">
        <f>Q24*G24</f>
        <v/>
      </c>
      <c r="S24" s="8">
        <f>IF($R$32=0,0,R24/$R$32)</f>
        <v/>
      </c>
      <c r="T24" s="8" t="n"/>
      <c r="U24" s="8" t="n"/>
      <c r="V24" s="6" t="inlineStr">
        <is>
          <t>not in initial selection</t>
        </is>
      </c>
    </row>
    <row r="25">
      <c r="A25" s="6" t="inlineStr">
        <is>
          <t>DJ30</t>
        </is>
      </c>
      <c r="B25" s="6" t="inlineStr">
        <is>
          <t>2023-01-06</t>
        </is>
      </c>
      <c r="C25" s="6" t="inlineStr">
        <is>
          <t>DIA</t>
        </is>
      </c>
      <c r="D25" s="6" t="inlineStr">
        <is>
          <t>PG</t>
        </is>
      </c>
      <c r="E25" s="6" t="inlineStr">
        <is>
          <t>PG</t>
        </is>
      </c>
      <c r="F25" s="6" t="inlineStr">
        <is>
          <t>-</t>
        </is>
      </c>
      <c r="G25" s="7" t="n">
        <v>140.6281280517578</v>
      </c>
      <c r="H25" s="6" t="inlineStr"/>
      <c r="I25" s="9">
        <f>IF(M25&gt;0,InitialCapital/5/G25,0)</f>
        <v/>
      </c>
      <c r="J25" s="7">
        <f>I25*G25</f>
        <v/>
      </c>
      <c r="K25" s="8">
        <f>IF($J$32=0,0,J25/$J$32)</f>
        <v/>
      </c>
      <c r="L25" s="6" t="inlineStr">
        <is>
          <t>REJECTED</t>
        </is>
      </c>
      <c r="M25" s="8" t="n">
        <v>0</v>
      </c>
      <c r="N25" s="7">
        <f>M25*$J$32-J25</f>
        <v/>
      </c>
      <c r="O25" s="9">
        <f>IF(G25=0,0,N25/G25)</f>
        <v/>
      </c>
      <c r="P25" s="6">
        <f>IF(M25&gt;0,D25,"")</f>
        <v/>
      </c>
      <c r="Q25" s="9">
        <f>I25+O25</f>
        <v/>
      </c>
      <c r="R25" s="7">
        <f>Q25*G25</f>
        <v/>
      </c>
      <c r="S25" s="8">
        <f>IF($R$32=0,0,R25/$R$32)</f>
        <v/>
      </c>
      <c r="T25" s="8" t="n"/>
      <c r="U25" s="8" t="n"/>
      <c r="V25" s="6" t="inlineStr">
        <is>
          <t>not in initial selection</t>
        </is>
      </c>
    </row>
    <row r="26">
      <c r="A26" s="6" t="inlineStr">
        <is>
          <t>DJ30</t>
        </is>
      </c>
      <c r="B26" s="6" t="inlineStr">
        <is>
          <t>2023-01-06</t>
        </is>
      </c>
      <c r="C26" s="6" t="inlineStr">
        <is>
          <t>DIA</t>
        </is>
      </c>
      <c r="D26" s="6" t="inlineStr">
        <is>
          <t>SHW</t>
        </is>
      </c>
      <c r="E26" s="6" t="inlineStr">
        <is>
          <t>SHW</t>
        </is>
      </c>
      <c r="F26" s="6" t="inlineStr">
        <is>
          <t>-</t>
        </is>
      </c>
      <c r="G26" s="7" t="n">
        <v>228.3978576660156</v>
      </c>
      <c r="H26" s="6" t="inlineStr"/>
      <c r="I26" s="9">
        <f>IF(M26&gt;0,InitialCapital/5/G26,0)</f>
        <v/>
      </c>
      <c r="J26" s="7">
        <f>I26*G26</f>
        <v/>
      </c>
      <c r="K26" s="8">
        <f>IF($J$32=0,0,J26/$J$32)</f>
        <v/>
      </c>
      <c r="L26" s="6" t="inlineStr">
        <is>
          <t>REJECTED</t>
        </is>
      </c>
      <c r="M26" s="8" t="n">
        <v>0</v>
      </c>
      <c r="N26" s="7">
        <f>M26*$J$32-J26</f>
        <v/>
      </c>
      <c r="O26" s="9">
        <f>IF(G26=0,0,N26/G26)</f>
        <v/>
      </c>
      <c r="P26" s="6">
        <f>IF(M26&gt;0,D26,"")</f>
        <v/>
      </c>
      <c r="Q26" s="9">
        <f>I26+O26</f>
        <v/>
      </c>
      <c r="R26" s="7">
        <f>Q26*G26</f>
        <v/>
      </c>
      <c r="S26" s="8">
        <f>IF($R$32=0,0,R26/$R$32)</f>
        <v/>
      </c>
      <c r="T26" s="8" t="n"/>
      <c r="U26" s="8" t="n"/>
      <c r="V26" s="6" t="inlineStr">
        <is>
          <t>not in initial selection</t>
        </is>
      </c>
    </row>
    <row r="27">
      <c r="A27" s="6" t="inlineStr">
        <is>
          <t>DJ30</t>
        </is>
      </c>
      <c r="B27" s="6" t="inlineStr">
        <is>
          <t>2023-01-06</t>
        </is>
      </c>
      <c r="C27" s="6" t="inlineStr">
        <is>
          <t>DIA</t>
        </is>
      </c>
      <c r="D27" s="6" t="inlineStr">
        <is>
          <t>TRV</t>
        </is>
      </c>
      <c r="E27" s="6" t="inlineStr">
        <is>
          <t>TRV</t>
        </is>
      </c>
      <c r="F27" s="6" t="inlineStr">
        <is>
          <t>-</t>
        </is>
      </c>
      <c r="G27" s="7" t="n">
        <v>181.7270202636719</v>
      </c>
      <c r="H27" s="6" t="inlineStr"/>
      <c r="I27" s="9">
        <f>IF(M27&gt;0,InitialCapital/5/G27,0)</f>
        <v/>
      </c>
      <c r="J27" s="7">
        <f>I27*G27</f>
        <v/>
      </c>
      <c r="K27" s="8">
        <f>IF($J$32=0,0,J27/$J$32)</f>
        <v/>
      </c>
      <c r="L27" s="6" t="inlineStr">
        <is>
          <t>REJECTED</t>
        </is>
      </c>
      <c r="M27" s="8" t="n">
        <v>0</v>
      </c>
      <c r="N27" s="7">
        <f>M27*$J$32-J27</f>
        <v/>
      </c>
      <c r="O27" s="9">
        <f>IF(G27=0,0,N27/G27)</f>
        <v/>
      </c>
      <c r="P27" s="6">
        <f>IF(M27&gt;0,D27,"")</f>
        <v/>
      </c>
      <c r="Q27" s="9">
        <f>I27+O27</f>
        <v/>
      </c>
      <c r="R27" s="7">
        <f>Q27*G27</f>
        <v/>
      </c>
      <c r="S27" s="8">
        <f>IF($R$32=0,0,R27/$R$32)</f>
        <v/>
      </c>
      <c r="T27" s="8" t="n"/>
      <c r="U27" s="8" t="n"/>
      <c r="V27" s="6" t="inlineStr">
        <is>
          <t>not in initial selection</t>
        </is>
      </c>
    </row>
    <row r="28">
      <c r="A28" s="6" t="inlineStr">
        <is>
          <t>DJ30</t>
        </is>
      </c>
      <c r="B28" s="6" t="inlineStr">
        <is>
          <t>2023-01-06</t>
        </is>
      </c>
      <c r="C28" s="6" t="inlineStr">
        <is>
          <t>DIA</t>
        </is>
      </c>
      <c r="D28" s="6" t="inlineStr">
        <is>
          <t>UNH</t>
        </is>
      </c>
      <c r="E28" s="6" t="inlineStr">
        <is>
          <t>UNH</t>
        </is>
      </c>
      <c r="F28" s="6" t="inlineStr">
        <is>
          <t>-</t>
        </is>
      </c>
      <c r="G28" s="7" t="n">
        <v>457.6749267578125</v>
      </c>
      <c r="H28" s="6" t="inlineStr"/>
      <c r="I28" s="9">
        <f>IF(M28&gt;0,InitialCapital/5/G28,0)</f>
        <v/>
      </c>
      <c r="J28" s="7">
        <f>I28*G28</f>
        <v/>
      </c>
      <c r="K28" s="8">
        <f>IF($J$32=0,0,J28/$J$32)</f>
        <v/>
      </c>
      <c r="L28" s="6" t="inlineStr">
        <is>
          <t>REJECTED</t>
        </is>
      </c>
      <c r="M28" s="8" t="n">
        <v>0</v>
      </c>
      <c r="N28" s="7">
        <f>M28*$J$32-J28</f>
        <v/>
      </c>
      <c r="O28" s="9">
        <f>IF(G28=0,0,N28/G28)</f>
        <v/>
      </c>
      <c r="P28" s="6">
        <f>IF(M28&gt;0,D28,"")</f>
        <v/>
      </c>
      <c r="Q28" s="9">
        <f>I28+O28</f>
        <v/>
      </c>
      <c r="R28" s="7">
        <f>Q28*G28</f>
        <v/>
      </c>
      <c r="S28" s="8">
        <f>IF($R$32=0,0,R28/$R$32)</f>
        <v/>
      </c>
      <c r="T28" s="8" t="n"/>
      <c r="U28" s="8" t="n"/>
      <c r="V28" s="6" t="inlineStr">
        <is>
          <t>not in initial selection</t>
        </is>
      </c>
    </row>
    <row r="29">
      <c r="A29" s="6" t="inlineStr">
        <is>
          <t>DJ30</t>
        </is>
      </c>
      <c r="B29" s="6" t="inlineStr">
        <is>
          <t>2023-01-06</t>
        </is>
      </c>
      <c r="C29" s="6" t="inlineStr">
        <is>
          <t>DIA</t>
        </is>
      </c>
      <c r="D29" s="6" t="inlineStr">
        <is>
          <t>V</t>
        </is>
      </c>
      <c r="E29" s="6" t="inlineStr">
        <is>
          <t>V</t>
        </is>
      </c>
      <c r="F29" s="6" t="inlineStr">
        <is>
          <t>-</t>
        </is>
      </c>
      <c r="G29" s="7" t="n">
        <v>212.006088256836</v>
      </c>
      <c r="H29" s="6" t="inlineStr"/>
      <c r="I29" s="9">
        <f>IF(M29&gt;0,InitialCapital/5/G29,0)</f>
        <v/>
      </c>
      <c r="J29" s="7">
        <f>I29*G29</f>
        <v/>
      </c>
      <c r="K29" s="8">
        <f>IF($J$32=0,0,J29/$J$32)</f>
        <v/>
      </c>
      <c r="L29" s="6" t="inlineStr">
        <is>
          <t>REJECTED</t>
        </is>
      </c>
      <c r="M29" s="8" t="n">
        <v>0</v>
      </c>
      <c r="N29" s="7">
        <f>M29*$J$32-J29</f>
        <v/>
      </c>
      <c r="O29" s="9">
        <f>IF(G29=0,0,N29/G29)</f>
        <v/>
      </c>
      <c r="P29" s="6">
        <f>IF(M29&gt;0,D29,"")</f>
        <v/>
      </c>
      <c r="Q29" s="9">
        <f>I29+O29</f>
        <v/>
      </c>
      <c r="R29" s="7">
        <f>Q29*G29</f>
        <v/>
      </c>
      <c r="S29" s="8">
        <f>IF($R$32=0,0,R29/$R$32)</f>
        <v/>
      </c>
      <c r="T29" s="8" t="n"/>
      <c r="U29" s="8" t="n"/>
      <c r="V29" s="6" t="inlineStr">
        <is>
          <t>not in initial selection</t>
        </is>
      </c>
    </row>
    <row r="30">
      <c r="A30" s="6" t="inlineStr">
        <is>
          <t>DJ30</t>
        </is>
      </c>
      <c r="B30" s="6" t="inlineStr">
        <is>
          <t>2023-01-06</t>
        </is>
      </c>
      <c r="C30" s="6" t="inlineStr">
        <is>
          <t>DIA</t>
        </is>
      </c>
      <c r="D30" s="6" t="inlineStr">
        <is>
          <t>VZ</t>
        </is>
      </c>
      <c r="E30" s="6" t="inlineStr">
        <is>
          <t>VZ</t>
        </is>
      </c>
      <c r="F30" s="6" t="inlineStr">
        <is>
          <t>-</t>
        </is>
      </c>
      <c r="G30" s="7" t="n">
        <v>33.38427734375</v>
      </c>
      <c r="H30" s="6" t="inlineStr"/>
      <c r="I30" s="9">
        <f>IF(M30&gt;0,InitialCapital/5/G30,0)</f>
        <v/>
      </c>
      <c r="J30" s="7">
        <f>I30*G30</f>
        <v/>
      </c>
      <c r="K30" s="8">
        <f>IF($J$32=0,0,J30/$J$32)</f>
        <v/>
      </c>
      <c r="L30" s="6" t="inlineStr">
        <is>
          <t>REJECTED</t>
        </is>
      </c>
      <c r="M30" s="8" t="n">
        <v>0</v>
      </c>
      <c r="N30" s="7">
        <f>M30*$J$32-J30</f>
        <v/>
      </c>
      <c r="O30" s="9">
        <f>IF(G30=0,0,N30/G30)</f>
        <v/>
      </c>
      <c r="P30" s="6">
        <f>IF(M30&gt;0,D30,"")</f>
        <v/>
      </c>
      <c r="Q30" s="9">
        <f>I30+O30</f>
        <v/>
      </c>
      <c r="R30" s="7">
        <f>Q30*G30</f>
        <v/>
      </c>
      <c r="S30" s="8">
        <f>IF($R$32=0,0,R30/$R$32)</f>
        <v/>
      </c>
      <c r="T30" s="8" t="n"/>
      <c r="U30" s="8" t="n"/>
      <c r="V30" s="6" t="inlineStr">
        <is>
          <t>not in initial selection</t>
        </is>
      </c>
    </row>
    <row r="31">
      <c r="A31" s="6" t="inlineStr">
        <is>
          <t>DJ30</t>
        </is>
      </c>
      <c r="B31" s="6" t="inlineStr">
        <is>
          <t>2023-01-06</t>
        </is>
      </c>
      <c r="C31" s="6" t="inlineStr">
        <is>
          <t>DIA</t>
        </is>
      </c>
      <c r="D31" s="6" t="inlineStr">
        <is>
          <t>WMT</t>
        </is>
      </c>
      <c r="E31" s="6" t="inlineStr">
        <is>
          <t>WMT</t>
        </is>
      </c>
      <c r="F31" s="6" t="inlineStr">
        <is>
          <t>-</t>
        </is>
      </c>
      <c r="G31" s="7" t="n">
        <v>46.98304748535156</v>
      </c>
      <c r="H31" s="6" t="inlineStr"/>
      <c r="I31" s="9">
        <f>IF(M31&gt;0,InitialCapital/5/G31,0)</f>
        <v/>
      </c>
      <c r="J31" s="7">
        <f>I31*G31</f>
        <v/>
      </c>
      <c r="K31" s="8">
        <f>IF($J$32=0,0,J31/$J$32)</f>
        <v/>
      </c>
      <c r="L31" s="6" t="inlineStr">
        <is>
          <t>REJECTED</t>
        </is>
      </c>
      <c r="M31" s="8" t="n">
        <v>0</v>
      </c>
      <c r="N31" s="7">
        <f>M31*$J$32-J31</f>
        <v/>
      </c>
      <c r="O31" s="9">
        <f>IF(G31=0,0,N31/G31)</f>
        <v/>
      </c>
      <c r="P31" s="6">
        <f>IF(M31&gt;0,D31,"")</f>
        <v/>
      </c>
      <c r="Q31" s="9">
        <f>I31+O31</f>
        <v/>
      </c>
      <c r="R31" s="7">
        <f>Q31*G31</f>
        <v/>
      </c>
      <c r="S31" s="8">
        <f>IF($R$32=0,0,R31/$R$32)</f>
        <v/>
      </c>
      <c r="T31" s="8" t="n"/>
      <c r="U31" s="8" t="n"/>
      <c r="V31" s="6" t="inlineStr">
        <is>
          <t>not in initial selection</t>
        </is>
      </c>
    </row>
    <row r="32">
      <c r="A32" s="10" t="inlineStr">
        <is>
          <t>DJ30</t>
        </is>
      </c>
      <c r="B32" s="10" t="inlineStr">
        <is>
          <t>2023-01-06</t>
        </is>
      </c>
      <c r="C32" s="10" t="inlineStr">
        <is>
          <t>DIA</t>
        </is>
      </c>
      <c r="D32" s="10" t="inlineStr">
        <is>
          <t>Tot Portfolio</t>
        </is>
      </c>
      <c r="E32" s="10" t="inlineStr"/>
      <c r="F32" s="10" t="inlineStr"/>
      <c r="G32" s="11" t="inlineStr"/>
      <c r="H32" s="10" t="inlineStr"/>
      <c r="I32" s="12" t="inlineStr"/>
      <c r="J32" s="11">
        <f>SUM(J2:J31)</f>
        <v/>
      </c>
      <c r="K32" s="13">
        <f>SUM(K2:K31)</f>
        <v/>
      </c>
      <c r="L32" s="10" t="inlineStr">
        <is>
          <t>TOTAL</t>
        </is>
      </c>
      <c r="M32" s="13">
        <f>SUM(M2:M31)</f>
        <v/>
      </c>
      <c r="N32" s="11">
        <f>SUM(N2:N31)</f>
        <v/>
      </c>
      <c r="O32" s="12">
        <f>SUM(O2:O31)</f>
        <v/>
      </c>
      <c r="P32" s="10" t="inlineStr"/>
      <c r="Q32" s="12" t="inlineStr"/>
      <c r="R32" s="11">
        <f>SUM(R2:R31)</f>
        <v/>
      </c>
      <c r="S32" s="13">
        <f>SUM(S2:S31)</f>
        <v/>
      </c>
      <c r="T32" s="13" t="n"/>
      <c r="U32" s="13" t="n"/>
      <c r="V32" s="10" t="inlineStr"/>
    </row>
    <row r="33">
      <c r="A33" s="6" t="inlineStr">
        <is>
          <t>DJ30</t>
        </is>
      </c>
      <c r="B33" s="6" t="inlineStr">
        <is>
          <t>2023-01-13</t>
        </is>
      </c>
      <c r="C33" s="6" t="inlineStr">
        <is>
          <t>DIA</t>
        </is>
      </c>
      <c r="D33" s="6" t="inlineStr">
        <is>
          <t>AAPL</t>
        </is>
      </c>
      <c r="E33" s="6" t="inlineStr">
        <is>
          <t>AAPL</t>
        </is>
      </c>
      <c r="F33" s="6" t="inlineStr">
        <is>
          <t>-</t>
        </is>
      </c>
      <c r="G33" s="7" t="n">
        <v>132.5110015869141</v>
      </c>
      <c r="H33" s="6">
        <f>P2</f>
        <v/>
      </c>
      <c r="I33" s="9">
        <f>Q2</f>
        <v/>
      </c>
      <c r="J33" s="7">
        <f>I33*G33</f>
        <v/>
      </c>
      <c r="K33" s="8">
        <f>IF($J$63=0,0,J33/$J$63)</f>
        <v/>
      </c>
      <c r="L33" s="6" t="inlineStr">
        <is>
          <t>REJECTED</t>
        </is>
      </c>
      <c r="M33" s="8" t="n">
        <v>0</v>
      </c>
      <c r="N33" s="7">
        <f>M33*$J$63-J33</f>
        <v/>
      </c>
      <c r="O33" s="9">
        <f>IF(G33=0,0,N33/G33)</f>
        <v/>
      </c>
      <c r="P33" s="6">
        <f>IF(M33&gt;0,D33,"")</f>
        <v/>
      </c>
      <c r="Q33" s="9">
        <f>I33+O33</f>
        <v/>
      </c>
      <c r="R33" s="7">
        <f>Q33*G33</f>
        <v/>
      </c>
      <c r="S33" s="8">
        <f>IF($R$63=0,0,R33/$R$63)</f>
        <v/>
      </c>
      <c r="T33" s="8" t="n">
        <v>0</v>
      </c>
      <c r="U33" s="8" t="n">
        <v>0.02010262798420137</v>
      </c>
      <c r="V33" s="6" t="inlineStr">
        <is>
          <t>not selected</t>
        </is>
      </c>
    </row>
    <row r="34">
      <c r="A34" s="6" t="inlineStr">
        <is>
          <t>DJ30</t>
        </is>
      </c>
      <c r="B34" s="6" t="inlineStr">
        <is>
          <t>2023-01-13</t>
        </is>
      </c>
      <c r="C34" s="6" t="inlineStr">
        <is>
          <t>DIA</t>
        </is>
      </c>
      <c r="D34" s="6" t="inlineStr">
        <is>
          <t>AMGN</t>
        </is>
      </c>
      <c r="E34" s="6" t="inlineStr">
        <is>
          <t>AMGN</t>
        </is>
      </c>
      <c r="F34" s="6" t="inlineStr">
        <is>
          <t>-</t>
        </is>
      </c>
      <c r="G34" s="7" t="n">
        <v>243.3517150878907</v>
      </c>
      <c r="H34" s="6">
        <f>P3</f>
        <v/>
      </c>
      <c r="I34" s="9">
        <f>Q3</f>
        <v/>
      </c>
      <c r="J34" s="7">
        <f>I34*G34</f>
        <v/>
      </c>
      <c r="K34" s="8">
        <f>IF($J$63=0,0,J34/$J$63)</f>
        <v/>
      </c>
      <c r="L34" s="6" t="inlineStr">
        <is>
          <t>REJECTED</t>
        </is>
      </c>
      <c r="M34" s="8" t="n">
        <v>0</v>
      </c>
      <c r="N34" s="7">
        <f>M34*$J$63-J34</f>
        <v/>
      </c>
      <c r="O34" s="9">
        <f>IF(G34=0,0,N34/G34)</f>
        <v/>
      </c>
      <c r="P34" s="6">
        <f>IF(M34&gt;0,D34,"")</f>
        <v/>
      </c>
      <c r="Q34" s="9">
        <f>I34+O34</f>
        <v/>
      </c>
      <c r="R34" s="7">
        <f>Q34*G34</f>
        <v/>
      </c>
      <c r="S34" s="8">
        <f>IF($R$63=0,0,R34/$R$63)</f>
        <v/>
      </c>
      <c r="T34" s="8" t="n">
        <v>0</v>
      </c>
      <c r="U34" s="8" t="n">
        <v>0.02010262798420137</v>
      </c>
      <c r="V34" s="6" t="inlineStr">
        <is>
          <t>not selected</t>
        </is>
      </c>
    </row>
    <row r="35">
      <c r="A35" s="6" t="inlineStr">
        <is>
          <t>DJ30</t>
        </is>
      </c>
      <c r="B35" s="6" t="inlineStr">
        <is>
          <t>2023-01-13</t>
        </is>
      </c>
      <c r="C35" s="6" t="inlineStr">
        <is>
          <t>DIA</t>
        </is>
      </c>
      <c r="D35" s="6" t="inlineStr">
        <is>
          <t>AMZN</t>
        </is>
      </c>
      <c r="E35" s="6" t="inlineStr">
        <is>
          <t>AMZN</t>
        </is>
      </c>
      <c r="F35" s="6" t="inlineStr">
        <is>
          <t>-</t>
        </is>
      </c>
      <c r="G35" s="7" t="n">
        <v>98.12000274658205</v>
      </c>
      <c r="H35" s="6">
        <f>P4</f>
        <v/>
      </c>
      <c r="I35" s="9">
        <f>Q4</f>
        <v/>
      </c>
      <c r="J35" s="7">
        <f>I35*G35</f>
        <v/>
      </c>
      <c r="K35" s="8">
        <f>IF($J$63=0,0,J35/$J$63)</f>
        <v/>
      </c>
      <c r="L35" s="6" t="inlineStr">
        <is>
          <t>REJECTED</t>
        </is>
      </c>
      <c r="M35" s="8" t="n">
        <v>0</v>
      </c>
      <c r="N35" s="7">
        <f>M35*$J$63-J35</f>
        <v/>
      </c>
      <c r="O35" s="9">
        <f>IF(G35=0,0,N35/G35)</f>
        <v/>
      </c>
      <c r="P35" s="6">
        <f>IF(M35&gt;0,D35,"")</f>
        <v/>
      </c>
      <c r="Q35" s="9">
        <f>I35+O35</f>
        <v/>
      </c>
      <c r="R35" s="7">
        <f>Q35*G35</f>
        <v/>
      </c>
      <c r="S35" s="8">
        <f>IF($R$63=0,0,R35/$R$63)</f>
        <v/>
      </c>
      <c r="T35" s="8" t="n">
        <v>0</v>
      </c>
      <c r="U35" s="8" t="n">
        <v>0.02010262798420137</v>
      </c>
      <c r="V35" s="6" t="inlineStr">
        <is>
          <t>not selected</t>
        </is>
      </c>
    </row>
    <row r="36">
      <c r="A36" s="6" t="inlineStr">
        <is>
          <t>DJ30</t>
        </is>
      </c>
      <c r="B36" s="6" t="inlineStr">
        <is>
          <t>2023-01-13</t>
        </is>
      </c>
      <c r="C36" s="6" t="inlineStr">
        <is>
          <t>DIA</t>
        </is>
      </c>
      <c r="D36" s="6" t="inlineStr">
        <is>
          <t>AXP</t>
        </is>
      </c>
      <c r="E36" s="6" t="inlineStr">
        <is>
          <t>AXP</t>
        </is>
      </c>
      <c r="F36" s="6" t="inlineStr">
        <is>
          <t>-</t>
        </is>
      </c>
      <c r="G36" s="7" t="n">
        <v>149.7701721191406</v>
      </c>
      <c r="H36" s="6">
        <f>P5</f>
        <v/>
      </c>
      <c r="I36" s="9">
        <f>Q5</f>
        <v/>
      </c>
      <c r="J36" s="7">
        <f>I36*G36</f>
        <v/>
      </c>
      <c r="K36" s="8">
        <f>IF($J$63=0,0,J36/$J$63)</f>
        <v/>
      </c>
      <c r="L36" s="6" t="inlineStr">
        <is>
          <t>REJECTED</t>
        </is>
      </c>
      <c r="M36" s="8" t="n">
        <v>0</v>
      </c>
      <c r="N36" s="7">
        <f>M36*$J$63-J36</f>
        <v/>
      </c>
      <c r="O36" s="9">
        <f>IF(G36=0,0,N36/G36)</f>
        <v/>
      </c>
      <c r="P36" s="6">
        <f>IF(M36&gt;0,D36,"")</f>
        <v/>
      </c>
      <c r="Q36" s="9">
        <f>I36+O36</f>
        <v/>
      </c>
      <c r="R36" s="7">
        <f>Q36*G36</f>
        <v/>
      </c>
      <c r="S36" s="8">
        <f>IF($R$63=0,0,R36/$R$63)</f>
        <v/>
      </c>
      <c r="T36" s="8" t="n">
        <v>0</v>
      </c>
      <c r="U36" s="8" t="n">
        <v>0.02010262798420137</v>
      </c>
      <c r="V36" s="6" t="inlineStr">
        <is>
          <t>not selected</t>
        </is>
      </c>
    </row>
    <row r="37">
      <c r="A37" s="6" t="inlineStr">
        <is>
          <t>DJ30</t>
        </is>
      </c>
      <c r="B37" s="6" t="inlineStr">
        <is>
          <t>2023-01-13</t>
        </is>
      </c>
      <c r="C37" s="6" t="inlineStr">
        <is>
          <t>DIA</t>
        </is>
      </c>
      <c r="D37" s="6" t="inlineStr">
        <is>
          <t>BA</t>
        </is>
      </c>
      <c r="E37" s="6" t="inlineStr">
        <is>
          <t>BA</t>
        </is>
      </c>
      <c r="F37" s="6" t="inlineStr">
        <is>
          <t>-</t>
        </is>
      </c>
      <c r="G37" s="7" t="n">
        <v>214.1300048828125</v>
      </c>
      <c r="H37" s="6">
        <f>P6</f>
        <v/>
      </c>
      <c r="I37" s="9">
        <f>Q6</f>
        <v/>
      </c>
      <c r="J37" s="7">
        <f>I37*G37</f>
        <v/>
      </c>
      <c r="K37" s="8">
        <f>IF($J$63=0,0,J37/$J$63)</f>
        <v/>
      </c>
      <c r="L37" s="6" t="inlineStr">
        <is>
          <t>REJECTED</t>
        </is>
      </c>
      <c r="M37" s="8" t="n">
        <v>0</v>
      </c>
      <c r="N37" s="7">
        <f>M37*$J$63-J37</f>
        <v/>
      </c>
      <c r="O37" s="9">
        <f>IF(G37=0,0,N37/G37)</f>
        <v/>
      </c>
      <c r="P37" s="6">
        <f>IF(M37&gt;0,D37,"")</f>
        <v/>
      </c>
      <c r="Q37" s="9">
        <f>I37+O37</f>
        <v/>
      </c>
      <c r="R37" s="7">
        <f>Q37*G37</f>
        <v/>
      </c>
      <c r="S37" s="8">
        <f>IF($R$63=0,0,R37/$R$63)</f>
        <v/>
      </c>
      <c r="T37" s="8" t="n">
        <v>0</v>
      </c>
      <c r="U37" s="8" t="n">
        <v>0.02010262798420137</v>
      </c>
      <c r="V37" s="6" t="inlineStr">
        <is>
          <t>not selected</t>
        </is>
      </c>
    </row>
    <row r="38">
      <c r="A38" s="6" t="inlineStr">
        <is>
          <t>DJ30</t>
        </is>
      </c>
      <c r="B38" s="6" t="inlineStr">
        <is>
          <t>2023-01-13</t>
        </is>
      </c>
      <c r="C38" s="6" t="inlineStr">
        <is>
          <t>DIA</t>
        </is>
      </c>
      <c r="D38" s="6" t="inlineStr">
        <is>
          <t>CAT</t>
        </is>
      </c>
      <c r="E38" s="6" t="inlineStr">
        <is>
          <t>CAT</t>
        </is>
      </c>
      <c r="F38" s="6" t="inlineStr">
        <is>
          <t>-</t>
        </is>
      </c>
      <c r="G38" s="7" t="n">
        <v>244.529800415039</v>
      </c>
      <c r="H38" s="6">
        <f>P7</f>
        <v/>
      </c>
      <c r="I38" s="9">
        <f>Q7</f>
        <v/>
      </c>
      <c r="J38" s="7">
        <f>I38*G38</f>
        <v/>
      </c>
      <c r="K38" s="8">
        <f>IF($J$63=0,0,J38/$J$63)</f>
        <v/>
      </c>
      <c r="L38" s="6" t="inlineStr">
        <is>
          <t>REJECTED</t>
        </is>
      </c>
      <c r="M38" s="8" t="n">
        <v>0</v>
      </c>
      <c r="N38" s="7">
        <f>M38*$J$63-J38</f>
        <v/>
      </c>
      <c r="O38" s="9">
        <f>IF(G38=0,0,N38/G38)</f>
        <v/>
      </c>
      <c r="P38" s="6">
        <f>IF(M38&gt;0,D38,"")</f>
        <v/>
      </c>
      <c r="Q38" s="9">
        <f>I38+O38</f>
        <v/>
      </c>
      <c r="R38" s="7">
        <f>Q38*G38</f>
        <v/>
      </c>
      <c r="S38" s="8">
        <f>IF($R$63=0,0,R38/$R$63)</f>
        <v/>
      </c>
      <c r="T38" s="8" t="n">
        <v>0</v>
      </c>
      <c r="U38" s="8" t="n">
        <v>0.02010262798420137</v>
      </c>
      <c r="V38" s="6" t="inlineStr">
        <is>
          <t>not selected</t>
        </is>
      </c>
    </row>
    <row r="39">
      <c r="A39" s="6" t="inlineStr">
        <is>
          <t>DJ30</t>
        </is>
      </c>
      <c r="B39" s="6" t="inlineStr">
        <is>
          <t>2023-01-13</t>
        </is>
      </c>
      <c r="C39" s="6" t="inlineStr">
        <is>
          <t>DIA</t>
        </is>
      </c>
      <c r="D39" s="6" t="inlineStr">
        <is>
          <t>CRM</t>
        </is>
      </c>
      <c r="E39" s="6" t="inlineStr">
        <is>
          <t>CRM</t>
        </is>
      </c>
      <c r="F39" s="6" t="inlineStr">
        <is>
          <t>-</t>
        </is>
      </c>
      <c r="G39" s="7" t="n">
        <v>146.9673919677734</v>
      </c>
      <c r="H39" s="6">
        <f>P8</f>
        <v/>
      </c>
      <c r="I39" s="9">
        <f>Q8</f>
        <v/>
      </c>
      <c r="J39" s="7">
        <f>I39*G39</f>
        <v/>
      </c>
      <c r="K39" s="8">
        <f>IF($J$63=0,0,J39/$J$63)</f>
        <v/>
      </c>
      <c r="L39" s="6" t="inlineStr">
        <is>
          <t>REJECTED</t>
        </is>
      </c>
      <c r="M39" s="8" t="n">
        <v>0</v>
      </c>
      <c r="N39" s="7">
        <f>M39*$J$63-J39</f>
        <v/>
      </c>
      <c r="O39" s="9">
        <f>IF(G39=0,0,N39/G39)</f>
        <v/>
      </c>
      <c r="P39" s="6">
        <f>IF(M39&gt;0,D39,"")</f>
        <v/>
      </c>
      <c r="Q39" s="9">
        <f>I39+O39</f>
        <v/>
      </c>
      <c r="R39" s="7">
        <f>Q39*G39</f>
        <v/>
      </c>
      <c r="S39" s="8">
        <f>IF($R$63=0,0,R39/$R$63)</f>
        <v/>
      </c>
      <c r="T39" s="8" t="n">
        <v>0</v>
      </c>
      <c r="U39" s="8" t="n">
        <v>0.02010262798420137</v>
      </c>
      <c r="V39" s="6" t="inlineStr">
        <is>
          <t>not selected</t>
        </is>
      </c>
    </row>
    <row r="40">
      <c r="A40" s="6" t="inlineStr">
        <is>
          <t>DJ30</t>
        </is>
      </c>
      <c r="B40" s="6" t="inlineStr">
        <is>
          <t>2023-01-13</t>
        </is>
      </c>
      <c r="C40" s="6" t="inlineStr">
        <is>
          <t>DIA</t>
        </is>
      </c>
      <c r="D40" s="6" t="inlineStr">
        <is>
          <t>CSCO</t>
        </is>
      </c>
      <c r="E40" s="6" t="inlineStr">
        <is>
          <t>CSCO</t>
        </is>
      </c>
      <c r="F40" s="6" t="inlineStr">
        <is>
          <t>-</t>
        </is>
      </c>
      <c r="G40" s="7" t="n">
        <v>44.65205383300781</v>
      </c>
      <c r="H40" s="6">
        <f>P9</f>
        <v/>
      </c>
      <c r="I40" s="9">
        <f>Q9</f>
        <v/>
      </c>
      <c r="J40" s="7">
        <f>I40*G40</f>
        <v/>
      </c>
      <c r="K40" s="8">
        <f>IF($J$63=0,0,J40/$J$63)</f>
        <v/>
      </c>
      <c r="L40" s="6" t="inlineStr">
        <is>
          <t>REJECTED</t>
        </is>
      </c>
      <c r="M40" s="8" t="n">
        <v>0</v>
      </c>
      <c r="N40" s="7">
        <f>M40*$J$63-J40</f>
        <v/>
      </c>
      <c r="O40" s="9">
        <f>IF(G40=0,0,N40/G40)</f>
        <v/>
      </c>
      <c r="P40" s="6">
        <f>IF(M40&gt;0,D40,"")</f>
        <v/>
      </c>
      <c r="Q40" s="9">
        <f>I40+O40</f>
        <v/>
      </c>
      <c r="R40" s="7">
        <f>Q40*G40</f>
        <v/>
      </c>
      <c r="S40" s="8">
        <f>IF($R$63=0,0,R40/$R$63)</f>
        <v/>
      </c>
      <c r="T40" s="8" t="n">
        <v>0</v>
      </c>
      <c r="U40" s="8" t="n">
        <v>0.02010262798420137</v>
      </c>
      <c r="V40" s="6" t="inlineStr">
        <is>
          <t>not selected</t>
        </is>
      </c>
    </row>
    <row r="41">
      <c r="A41" s="6" t="inlineStr">
        <is>
          <t>DJ30</t>
        </is>
      </c>
      <c r="B41" s="6" t="inlineStr">
        <is>
          <t>2023-01-13</t>
        </is>
      </c>
      <c r="C41" s="6" t="inlineStr">
        <is>
          <t>DIA</t>
        </is>
      </c>
      <c r="D41" s="6" t="inlineStr">
        <is>
          <t>CVX</t>
        </is>
      </c>
      <c r="E41" s="6" t="inlineStr">
        <is>
          <t>CVX</t>
        </is>
      </c>
      <c r="F41" s="6" t="inlineStr">
        <is>
          <t>-</t>
        </is>
      </c>
      <c r="G41" s="7" t="n">
        <v>153.6111145019531</v>
      </c>
      <c r="H41" s="6">
        <f>P10</f>
        <v/>
      </c>
      <c r="I41" s="9">
        <f>Q10</f>
        <v/>
      </c>
      <c r="J41" s="7">
        <f>I41*G41</f>
        <v/>
      </c>
      <c r="K41" s="8">
        <f>IF($J$63=0,0,J41/$J$63)</f>
        <v/>
      </c>
      <c r="L41" s="6" t="inlineStr">
        <is>
          <t>REJECTED</t>
        </is>
      </c>
      <c r="M41" s="8" t="n">
        <v>0</v>
      </c>
      <c r="N41" s="7">
        <f>M41*$J$63-J41</f>
        <v/>
      </c>
      <c r="O41" s="9">
        <f>IF(G41=0,0,N41/G41)</f>
        <v/>
      </c>
      <c r="P41" s="6">
        <f>IF(M41&gt;0,D41,"")</f>
        <v/>
      </c>
      <c r="Q41" s="9">
        <f>I41+O41</f>
        <v/>
      </c>
      <c r="R41" s="7">
        <f>Q41*G41</f>
        <v/>
      </c>
      <c r="S41" s="8">
        <f>IF($R$63=0,0,R41/$R$63)</f>
        <v/>
      </c>
      <c r="T41" s="8" t="n">
        <v>0</v>
      </c>
      <c r="U41" s="8" t="n">
        <v>0.02010262798420137</v>
      </c>
      <c r="V41" s="6" t="inlineStr">
        <is>
          <t>not selected</t>
        </is>
      </c>
    </row>
    <row r="42">
      <c r="A42" s="6" t="inlineStr">
        <is>
          <t>DJ30</t>
        </is>
      </c>
      <c r="B42" s="6" t="inlineStr">
        <is>
          <t>2023-01-13</t>
        </is>
      </c>
      <c r="C42" s="6" t="inlineStr">
        <is>
          <t>DIA</t>
        </is>
      </c>
      <c r="D42" s="6" t="inlineStr">
        <is>
          <t>DIS</t>
        </is>
      </c>
      <c r="E42" s="6" t="inlineStr">
        <is>
          <t>DIS</t>
        </is>
      </c>
      <c r="F42" s="6" t="inlineStr">
        <is>
          <t>-</t>
        </is>
      </c>
      <c r="G42" s="7" t="n">
        <v>97.11305236816406</v>
      </c>
      <c r="H42" s="6">
        <f>P11</f>
        <v/>
      </c>
      <c r="I42" s="9">
        <f>Q11</f>
        <v/>
      </c>
      <c r="J42" s="7">
        <f>I42*G42</f>
        <v/>
      </c>
      <c r="K42" s="8">
        <f>IF($J$63=0,0,J42/$J$63)</f>
        <v/>
      </c>
      <c r="L42" s="6" t="inlineStr">
        <is>
          <t>REJECTED</t>
        </is>
      </c>
      <c r="M42" s="8" t="n">
        <v>0</v>
      </c>
      <c r="N42" s="7">
        <f>M42*$J$63-J42</f>
        <v/>
      </c>
      <c r="O42" s="9">
        <f>IF(G42=0,0,N42/G42)</f>
        <v/>
      </c>
      <c r="P42" s="6">
        <f>IF(M42&gt;0,D42,"")</f>
        <v/>
      </c>
      <c r="Q42" s="9">
        <f>I42+O42</f>
        <v/>
      </c>
      <c r="R42" s="7">
        <f>Q42*G42</f>
        <v/>
      </c>
      <c r="S42" s="8">
        <f>IF($R$63=0,0,R42/$R$63)</f>
        <v/>
      </c>
      <c r="T42" s="8" t="n">
        <v>0</v>
      </c>
      <c r="U42" s="8" t="n">
        <v>0.02010262798420137</v>
      </c>
      <c r="V42" s="6" t="inlineStr">
        <is>
          <t>not selected</t>
        </is>
      </c>
    </row>
    <row r="43">
      <c r="A43" s="6" t="inlineStr">
        <is>
          <t>DJ30</t>
        </is>
      </c>
      <c r="B43" s="6" t="inlineStr">
        <is>
          <t>2023-01-13</t>
        </is>
      </c>
      <c r="C43" s="6" t="inlineStr">
        <is>
          <t>DIA</t>
        </is>
      </c>
      <c r="D43" s="6" t="inlineStr">
        <is>
          <t>GS</t>
        </is>
      </c>
      <c r="E43" s="6" t="inlineStr">
        <is>
          <t>GS</t>
        </is>
      </c>
      <c r="F43" s="6" t="inlineStr">
        <is>
          <t>-</t>
        </is>
      </c>
      <c r="G43" s="7" t="n">
        <v>343.5282897949219</v>
      </c>
      <c r="H43" s="6">
        <f>P12</f>
        <v/>
      </c>
      <c r="I43" s="9">
        <f>Q12</f>
        <v/>
      </c>
      <c r="J43" s="7">
        <f>I43*G43</f>
        <v/>
      </c>
      <c r="K43" s="8">
        <f>IF($J$63=0,0,J43/$J$63)</f>
        <v/>
      </c>
      <c r="L43" s="6" t="inlineStr">
        <is>
          <t>REJECTED</t>
        </is>
      </c>
      <c r="M43" s="8" t="n">
        <v>0</v>
      </c>
      <c r="N43" s="7">
        <f>M43*$J$63-J43</f>
        <v/>
      </c>
      <c r="O43" s="9">
        <f>IF(G43=0,0,N43/G43)</f>
        <v/>
      </c>
      <c r="P43" s="6">
        <f>IF(M43&gt;0,D43,"")</f>
        <v/>
      </c>
      <c r="Q43" s="9">
        <f>I43+O43</f>
        <v/>
      </c>
      <c r="R43" s="7">
        <f>Q43*G43</f>
        <v/>
      </c>
      <c r="S43" s="8">
        <f>IF($R$63=0,0,R43/$R$63)</f>
        <v/>
      </c>
      <c r="T43" s="8" t="n">
        <v>0</v>
      </c>
      <c r="U43" s="8" t="n">
        <v>0.02010262798420137</v>
      </c>
      <c r="V43" s="6" t="inlineStr">
        <is>
          <t>not selected</t>
        </is>
      </c>
    </row>
    <row r="44">
      <c r="A44" s="6" t="inlineStr">
        <is>
          <t>DJ30</t>
        </is>
      </c>
      <c r="B44" s="6" t="inlineStr">
        <is>
          <t>2023-01-13</t>
        </is>
      </c>
      <c r="C44" s="6" t="inlineStr">
        <is>
          <t>DIA</t>
        </is>
      </c>
      <c r="D44" s="6" t="inlineStr">
        <is>
          <t>HD</t>
        </is>
      </c>
      <c r="E44" s="6" t="inlineStr">
        <is>
          <t>HD</t>
        </is>
      </c>
      <c r="F44" s="6" t="inlineStr">
        <is>
          <t>-</t>
        </is>
      </c>
      <c r="G44" s="7" t="n">
        <v>302.580078125</v>
      </c>
      <c r="H44" s="6">
        <f>P13</f>
        <v/>
      </c>
      <c r="I44" s="9">
        <f>Q13</f>
        <v/>
      </c>
      <c r="J44" s="7">
        <f>I44*G44</f>
        <v/>
      </c>
      <c r="K44" s="8">
        <f>IF($J$63=0,0,J44/$J$63)</f>
        <v/>
      </c>
      <c r="L44" s="6" t="inlineStr">
        <is>
          <t>REJECTED</t>
        </is>
      </c>
      <c r="M44" s="8" t="n">
        <v>0</v>
      </c>
      <c r="N44" s="7">
        <f>M44*$J$63-J44</f>
        <v/>
      </c>
      <c r="O44" s="9">
        <f>IF(G44=0,0,N44/G44)</f>
        <v/>
      </c>
      <c r="P44" s="6">
        <f>IF(M44&gt;0,D44,"")</f>
        <v/>
      </c>
      <c r="Q44" s="9">
        <f>I44+O44</f>
        <v/>
      </c>
      <c r="R44" s="7">
        <f>Q44*G44</f>
        <v/>
      </c>
      <c r="S44" s="8">
        <f>IF($R$63=0,0,R44/$R$63)</f>
        <v/>
      </c>
      <c r="T44" s="8" t="n">
        <v>0</v>
      </c>
      <c r="U44" s="8" t="n">
        <v>0.02010262798420137</v>
      </c>
      <c r="V44" s="6" t="inlineStr">
        <is>
          <t>not selected</t>
        </is>
      </c>
    </row>
    <row r="45">
      <c r="A45" s="6" t="inlineStr">
        <is>
          <t>DJ30</t>
        </is>
      </c>
      <c r="B45" s="6" t="inlineStr">
        <is>
          <t>2023-01-13</t>
        </is>
      </c>
      <c r="C45" s="6" t="inlineStr">
        <is>
          <t>DIA</t>
        </is>
      </c>
      <c r="D45" s="6" t="inlineStr">
        <is>
          <t>HON</t>
        </is>
      </c>
      <c r="E45" s="6" t="inlineStr">
        <is>
          <t>HON</t>
        </is>
      </c>
      <c r="F45" s="6" t="inlineStr">
        <is>
          <t>-</t>
        </is>
      </c>
      <c r="G45" s="7" t="n">
        <v>189.4046020507812</v>
      </c>
      <c r="H45" s="6">
        <f>P14</f>
        <v/>
      </c>
      <c r="I45" s="9">
        <f>Q14</f>
        <v/>
      </c>
      <c r="J45" s="7">
        <f>I45*G45</f>
        <v/>
      </c>
      <c r="K45" s="8">
        <f>IF($J$63=0,0,J45/$J$63)</f>
        <v/>
      </c>
      <c r="L45" s="6" t="inlineStr">
        <is>
          <t>REJECTED</t>
        </is>
      </c>
      <c r="M45" s="8" t="n">
        <v>0</v>
      </c>
      <c r="N45" s="7">
        <f>M45*$J$63-J45</f>
        <v/>
      </c>
      <c r="O45" s="9">
        <f>IF(G45=0,0,N45/G45)</f>
        <v/>
      </c>
      <c r="P45" s="6">
        <f>IF(M45&gt;0,D45,"")</f>
        <v/>
      </c>
      <c r="Q45" s="9">
        <f>I45+O45</f>
        <v/>
      </c>
      <c r="R45" s="7">
        <f>Q45*G45</f>
        <v/>
      </c>
      <c r="S45" s="8">
        <f>IF($R$63=0,0,R45/$R$63)</f>
        <v/>
      </c>
      <c r="T45" s="8" t="n">
        <v>0</v>
      </c>
      <c r="U45" s="8" t="n">
        <v>0.02010262798420137</v>
      </c>
      <c r="V45" s="6" t="inlineStr">
        <is>
          <t>not selected</t>
        </is>
      </c>
    </row>
    <row r="46">
      <c r="A46" s="6" t="inlineStr">
        <is>
          <t>DJ30</t>
        </is>
      </c>
      <c r="B46" s="6" t="inlineStr">
        <is>
          <t>2023-01-13</t>
        </is>
      </c>
      <c r="C46" s="6" t="inlineStr">
        <is>
          <t>DIA</t>
        </is>
      </c>
      <c r="D46" s="6" t="inlineStr">
        <is>
          <t>IBM</t>
        </is>
      </c>
      <c r="E46" s="6" t="inlineStr">
        <is>
          <t>IBM</t>
        </is>
      </c>
      <c r="F46" s="6" t="inlineStr">
        <is>
          <t>-</t>
        </is>
      </c>
      <c r="G46" s="7" t="n">
        <v>129.0683441162109</v>
      </c>
      <c r="H46" s="6">
        <f>P15</f>
        <v/>
      </c>
      <c r="I46" s="9">
        <f>Q15</f>
        <v/>
      </c>
      <c r="J46" s="7">
        <f>I46*G46</f>
        <v/>
      </c>
      <c r="K46" s="8">
        <f>IF($J$63=0,0,J46/$J$63)</f>
        <v/>
      </c>
      <c r="L46" s="6" t="inlineStr">
        <is>
          <t>REJECTED</t>
        </is>
      </c>
      <c r="M46" s="8" t="n">
        <v>0</v>
      </c>
      <c r="N46" s="7">
        <f>M46*$J$63-J46</f>
        <v/>
      </c>
      <c r="O46" s="9">
        <f>IF(G46=0,0,N46/G46)</f>
        <v/>
      </c>
      <c r="P46" s="6">
        <f>IF(M46&gt;0,D46,"")</f>
        <v/>
      </c>
      <c r="Q46" s="9">
        <f>I46+O46</f>
        <v/>
      </c>
      <c r="R46" s="7">
        <f>Q46*G46</f>
        <v/>
      </c>
      <c r="S46" s="8">
        <f>IF($R$63=0,0,R46/$R$63)</f>
        <v/>
      </c>
      <c r="T46" s="8" t="n">
        <v>0</v>
      </c>
      <c r="U46" s="8" t="n">
        <v>0.02010262798420137</v>
      </c>
      <c r="V46" s="6" t="inlineStr">
        <is>
          <t>not selected</t>
        </is>
      </c>
    </row>
    <row r="47">
      <c r="A47" s="6" t="inlineStr">
        <is>
          <t>DJ30</t>
        </is>
      </c>
      <c r="B47" s="6" t="inlineStr">
        <is>
          <t>2023-01-13</t>
        </is>
      </c>
      <c r="C47" s="6" t="inlineStr">
        <is>
          <t>DIA</t>
        </is>
      </c>
      <c r="D47" s="6" t="inlineStr">
        <is>
          <t>JNJ</t>
        </is>
      </c>
      <c r="E47" s="6" t="inlineStr">
        <is>
          <t>JNJ</t>
        </is>
      </c>
      <c r="F47" s="6" t="inlineStr">
        <is>
          <t>-</t>
        </is>
      </c>
      <c r="G47" s="7" t="n">
        <v>156.5732727050781</v>
      </c>
      <c r="H47" s="6">
        <f>P16</f>
        <v/>
      </c>
      <c r="I47" s="9">
        <f>Q16</f>
        <v/>
      </c>
      <c r="J47" s="7">
        <f>I47*G47</f>
        <v/>
      </c>
      <c r="K47" s="8">
        <f>IF($J$63=0,0,J47/$J$63)</f>
        <v/>
      </c>
      <c r="L47" s="6" t="inlineStr">
        <is>
          <t>REJECTED</t>
        </is>
      </c>
      <c r="M47" s="8" t="n">
        <v>0</v>
      </c>
      <c r="N47" s="7">
        <f>M47*$J$63-J47</f>
        <v/>
      </c>
      <c r="O47" s="9">
        <f>IF(G47=0,0,N47/G47)</f>
        <v/>
      </c>
      <c r="P47" s="6">
        <f>IF(M47&gt;0,D47,"")</f>
        <v/>
      </c>
      <c r="Q47" s="9">
        <f>I47+O47</f>
        <v/>
      </c>
      <c r="R47" s="7">
        <f>Q47*G47</f>
        <v/>
      </c>
      <c r="S47" s="8">
        <f>IF($R$63=0,0,R47/$R$63)</f>
        <v/>
      </c>
      <c r="T47" s="8" t="n">
        <v>0</v>
      </c>
      <c r="U47" s="8" t="n">
        <v>0.02010262798420137</v>
      </c>
      <c r="V47" s="6" t="inlineStr">
        <is>
          <t>not selected</t>
        </is>
      </c>
    </row>
    <row r="48">
      <c r="A48" s="6" t="inlineStr">
        <is>
          <t>DJ30</t>
        </is>
      </c>
      <c r="B48" s="6" t="inlineStr">
        <is>
          <t>2023-01-13</t>
        </is>
      </c>
      <c r="C48" s="6" t="inlineStr">
        <is>
          <t>DIA</t>
        </is>
      </c>
      <c r="D48" s="6" t="inlineStr">
        <is>
          <t>JPM</t>
        </is>
      </c>
      <c r="E48" s="6" t="inlineStr">
        <is>
          <t>JPM</t>
        </is>
      </c>
      <c r="F48" s="6" t="inlineStr">
        <is>
          <t>-</t>
        </is>
      </c>
      <c r="G48" s="7" t="n">
        <v>132.5220489501953</v>
      </c>
      <c r="H48" s="6">
        <f>P17</f>
        <v/>
      </c>
      <c r="I48" s="9">
        <f>Q17</f>
        <v/>
      </c>
      <c r="J48" s="7">
        <f>I48*G48</f>
        <v/>
      </c>
      <c r="K48" s="8">
        <f>IF($J$63=0,0,J48/$J$63)</f>
        <v/>
      </c>
      <c r="L48" s="6" t="inlineStr">
        <is>
          <t>REJECTED</t>
        </is>
      </c>
      <c r="M48" s="8" t="n">
        <v>0</v>
      </c>
      <c r="N48" s="7">
        <f>M48*$J$63-J48</f>
        <v/>
      </c>
      <c r="O48" s="9">
        <f>IF(G48=0,0,N48/G48)</f>
        <v/>
      </c>
      <c r="P48" s="6">
        <f>IF(M48&gt;0,D48,"")</f>
        <v/>
      </c>
      <c r="Q48" s="9">
        <f>I48+O48</f>
        <v/>
      </c>
      <c r="R48" s="7">
        <f>Q48*G48</f>
        <v/>
      </c>
      <c r="S48" s="8">
        <f>IF($R$63=0,0,R48/$R$63)</f>
        <v/>
      </c>
      <c r="T48" s="8" t="n">
        <v>0</v>
      </c>
      <c r="U48" s="8" t="n">
        <v>0.02010262798420137</v>
      </c>
      <c r="V48" s="6" t="inlineStr">
        <is>
          <t>not selected</t>
        </is>
      </c>
    </row>
    <row r="49">
      <c r="A49" s="6" t="inlineStr">
        <is>
          <t>DJ30</t>
        </is>
      </c>
      <c r="B49" s="6" t="inlineStr">
        <is>
          <t>2023-01-13</t>
        </is>
      </c>
      <c r="C49" s="6" t="inlineStr">
        <is>
          <t>DIA</t>
        </is>
      </c>
      <c r="D49" s="6" t="inlineStr">
        <is>
          <t>KO</t>
        </is>
      </c>
      <c r="E49" s="6" t="inlineStr">
        <is>
          <t>KO</t>
        </is>
      </c>
      <c r="F49" s="6" t="inlineStr">
        <is>
          <t>-</t>
        </is>
      </c>
      <c r="G49" s="7" t="n">
        <v>55.38935852050781</v>
      </c>
      <c r="H49" s="6">
        <f>P18</f>
        <v/>
      </c>
      <c r="I49" s="9">
        <f>Q18</f>
        <v/>
      </c>
      <c r="J49" s="7">
        <f>I49*G49</f>
        <v/>
      </c>
      <c r="K49" s="8">
        <f>IF($J$63=0,0,J49/$J$63)</f>
        <v/>
      </c>
      <c r="L49" s="6" t="inlineStr">
        <is>
          <t>REJECTED</t>
        </is>
      </c>
      <c r="M49" s="8" t="n">
        <v>0</v>
      </c>
      <c r="N49" s="7">
        <f>M49*$J$63-J49</f>
        <v/>
      </c>
      <c r="O49" s="9">
        <f>IF(G49=0,0,N49/G49)</f>
        <v/>
      </c>
      <c r="P49" s="6">
        <f>IF(M49&gt;0,D49,"")</f>
        <v/>
      </c>
      <c r="Q49" s="9">
        <f>I49+O49</f>
        <v/>
      </c>
      <c r="R49" s="7">
        <f>Q49*G49</f>
        <v/>
      </c>
      <c r="S49" s="8">
        <f>IF($R$63=0,0,R49/$R$63)</f>
        <v/>
      </c>
      <c r="T49" s="8" t="n">
        <v>0</v>
      </c>
      <c r="U49" s="8" t="n">
        <v>0.02010262798420137</v>
      </c>
      <c r="V49" s="6" t="inlineStr">
        <is>
          <t>not selected</t>
        </is>
      </c>
    </row>
    <row r="50">
      <c r="A50" s="6" t="inlineStr">
        <is>
          <t>DJ30</t>
        </is>
      </c>
      <c r="B50" s="6" t="inlineStr">
        <is>
          <t>2023-01-13</t>
        </is>
      </c>
      <c r="C50" s="6" t="inlineStr">
        <is>
          <t>DIA</t>
        </is>
      </c>
      <c r="D50" s="6" t="inlineStr">
        <is>
          <t>MCD</t>
        </is>
      </c>
      <c r="E50" s="6" t="inlineStr">
        <is>
          <t>MCD</t>
        </is>
      </c>
      <c r="F50" s="6" t="inlineStr">
        <is>
          <t>-</t>
        </is>
      </c>
      <c r="G50" s="7" t="n">
        <v>247.7905578613281</v>
      </c>
      <c r="H50" s="6">
        <f>P19</f>
        <v/>
      </c>
      <c r="I50" s="9">
        <f>Q19</f>
        <v/>
      </c>
      <c r="J50" s="7">
        <f>I50*G50</f>
        <v/>
      </c>
      <c r="K50" s="8">
        <f>IF($J$63=0,0,J50/$J$63)</f>
        <v/>
      </c>
      <c r="L50" s="6" t="inlineStr">
        <is>
          <t>REJECTED</t>
        </is>
      </c>
      <c r="M50" s="8" t="n">
        <v>0</v>
      </c>
      <c r="N50" s="7">
        <f>M50*$J$63-J50</f>
        <v/>
      </c>
      <c r="O50" s="9">
        <f>IF(G50=0,0,N50/G50)</f>
        <v/>
      </c>
      <c r="P50" s="6">
        <f>IF(M50&gt;0,D50,"")</f>
        <v/>
      </c>
      <c r="Q50" s="9">
        <f>I50+O50</f>
        <v/>
      </c>
      <c r="R50" s="7">
        <f>Q50*G50</f>
        <v/>
      </c>
      <c r="S50" s="8">
        <f>IF($R$63=0,0,R50/$R$63)</f>
        <v/>
      </c>
      <c r="T50" s="8" t="n">
        <v>0</v>
      </c>
      <c r="U50" s="8" t="n">
        <v>0.02010262798420137</v>
      </c>
      <c r="V50" s="6" t="inlineStr">
        <is>
          <t>not selected</t>
        </is>
      </c>
    </row>
    <row r="51">
      <c r="A51" s="6" t="inlineStr">
        <is>
          <t>DJ30</t>
        </is>
      </c>
      <c r="B51" s="6" t="inlineStr">
        <is>
          <t>2023-01-13</t>
        </is>
      </c>
      <c r="C51" s="6" t="inlineStr">
        <is>
          <t>DIA</t>
        </is>
      </c>
      <c r="D51" s="6" t="inlineStr">
        <is>
          <t>MMM</t>
        </is>
      </c>
      <c r="E51" s="6" t="inlineStr">
        <is>
          <t>MMM</t>
        </is>
      </c>
      <c r="F51" s="6" t="inlineStr">
        <is>
          <t>-</t>
        </is>
      </c>
      <c r="G51" s="7" t="n">
        <v>95.93421173095705</v>
      </c>
      <c r="H51" s="6">
        <f>P20</f>
        <v/>
      </c>
      <c r="I51" s="9">
        <f>Q20</f>
        <v/>
      </c>
      <c r="J51" s="7">
        <f>I51*G51</f>
        <v/>
      </c>
      <c r="K51" s="8">
        <f>IF($J$63=0,0,J51/$J$63)</f>
        <v/>
      </c>
      <c r="L51" s="6" t="inlineStr">
        <is>
          <t>REJECTED</t>
        </is>
      </c>
      <c r="M51" s="8" t="n">
        <v>0</v>
      </c>
      <c r="N51" s="7">
        <f>M51*$J$63-J51</f>
        <v/>
      </c>
      <c r="O51" s="9">
        <f>IF(G51=0,0,N51/G51)</f>
        <v/>
      </c>
      <c r="P51" s="6">
        <f>IF(M51&gt;0,D51,"")</f>
        <v/>
      </c>
      <c r="Q51" s="9">
        <f>I51+O51</f>
        <v/>
      </c>
      <c r="R51" s="7">
        <f>Q51*G51</f>
        <v/>
      </c>
      <c r="S51" s="8">
        <f>IF($R$63=0,0,R51/$R$63)</f>
        <v/>
      </c>
      <c r="T51" s="8" t="n">
        <v>0</v>
      </c>
      <c r="U51" s="8" t="n">
        <v>0.02010262798420137</v>
      </c>
      <c r="V51" s="6" t="inlineStr">
        <is>
          <t>not selected</t>
        </is>
      </c>
    </row>
    <row r="52">
      <c r="A52" s="6" t="inlineStr">
        <is>
          <t>DJ30</t>
        </is>
      </c>
      <c r="B52" s="6" t="inlineStr">
        <is>
          <t>2023-01-13</t>
        </is>
      </c>
      <c r="C52" s="6" t="inlineStr">
        <is>
          <t>DIA</t>
        </is>
      </c>
      <c r="D52" s="6" t="inlineStr">
        <is>
          <t>MRK</t>
        </is>
      </c>
      <c r="E52" s="6" t="inlineStr">
        <is>
          <t>MRK</t>
        </is>
      </c>
      <c r="F52" s="6" t="inlineStr">
        <is>
          <t>-</t>
        </is>
      </c>
      <c r="G52" s="7" t="n">
        <v>100.9629364013672</v>
      </c>
      <c r="H52" s="6">
        <f>P21</f>
        <v/>
      </c>
      <c r="I52" s="9">
        <f>Q21</f>
        <v/>
      </c>
      <c r="J52" s="7">
        <f>I52*G52</f>
        <v/>
      </c>
      <c r="K52" s="8">
        <f>IF($J$63=0,0,J52/$J$63)</f>
        <v/>
      </c>
      <c r="L52" s="6" t="inlineStr">
        <is>
          <t>REJECTED</t>
        </is>
      </c>
      <c r="M52" s="8" t="n">
        <v>0</v>
      </c>
      <c r="N52" s="7">
        <f>M52*$J$63-J52</f>
        <v/>
      </c>
      <c r="O52" s="9">
        <f>IF(G52=0,0,N52/G52)</f>
        <v/>
      </c>
      <c r="P52" s="6">
        <f>IF(M52&gt;0,D52,"")</f>
        <v/>
      </c>
      <c r="Q52" s="9">
        <f>I52+O52</f>
        <v/>
      </c>
      <c r="R52" s="7">
        <f>Q52*G52</f>
        <v/>
      </c>
      <c r="S52" s="8">
        <f>IF($R$63=0,0,R52/$R$63)</f>
        <v/>
      </c>
      <c r="T52" s="8" t="n">
        <v>0</v>
      </c>
      <c r="U52" s="8" t="n">
        <v>0.02010262798420137</v>
      </c>
      <c r="V52" s="6" t="inlineStr">
        <is>
          <t>not selected</t>
        </is>
      </c>
    </row>
    <row r="53">
      <c r="A53" s="6" t="inlineStr">
        <is>
          <t>DJ30</t>
        </is>
      </c>
      <c r="B53" s="6" t="inlineStr">
        <is>
          <t>2023-01-13</t>
        </is>
      </c>
      <c r="C53" s="6" t="inlineStr">
        <is>
          <t>DIA</t>
        </is>
      </c>
      <c r="D53" s="6" t="inlineStr">
        <is>
          <t>MSFT</t>
        </is>
      </c>
      <c r="E53" s="6" t="inlineStr">
        <is>
          <t>MSFT</t>
        </is>
      </c>
      <c r="F53" s="6" t="inlineStr">
        <is>
          <t>-</t>
        </is>
      </c>
      <c r="G53" s="7" t="n">
        <v>232.6079559326172</v>
      </c>
      <c r="H53" s="6">
        <f>P22</f>
        <v/>
      </c>
      <c r="I53" s="9">
        <f>Q22</f>
        <v/>
      </c>
      <c r="J53" s="7">
        <f>I53*G53</f>
        <v/>
      </c>
      <c r="K53" s="8">
        <f>IF($J$63=0,0,J53/$J$63)</f>
        <v/>
      </c>
      <c r="L53" s="6" t="inlineStr">
        <is>
          <t>REJECTED</t>
        </is>
      </c>
      <c r="M53" s="8" t="n">
        <v>0</v>
      </c>
      <c r="N53" s="7">
        <f>M53*$J$63-J53</f>
        <v/>
      </c>
      <c r="O53" s="9">
        <f>IF(G53=0,0,N53/G53)</f>
        <v/>
      </c>
      <c r="P53" s="6">
        <f>IF(M53&gt;0,D53,"")</f>
        <v/>
      </c>
      <c r="Q53" s="9">
        <f>I53+O53</f>
        <v/>
      </c>
      <c r="R53" s="7">
        <f>Q53*G53</f>
        <v/>
      </c>
      <c r="S53" s="8">
        <f>IF($R$63=0,0,R53/$R$63)</f>
        <v/>
      </c>
      <c r="T53" s="8" t="n">
        <v>0</v>
      </c>
      <c r="U53" s="8" t="n">
        <v>0.02010262798420137</v>
      </c>
      <c r="V53" s="6" t="inlineStr">
        <is>
          <t>not selected</t>
        </is>
      </c>
    </row>
    <row r="54">
      <c r="A54" s="6" t="inlineStr">
        <is>
          <t>DJ30</t>
        </is>
      </c>
      <c r="B54" s="6" t="inlineStr">
        <is>
          <t>2023-01-13</t>
        </is>
      </c>
      <c r="C54" s="6" t="inlineStr">
        <is>
          <t>DIA</t>
        </is>
      </c>
      <c r="D54" s="6" t="inlineStr">
        <is>
          <t>NKE</t>
        </is>
      </c>
      <c r="E54" s="6" t="inlineStr">
        <is>
          <t>NKE</t>
        </is>
      </c>
      <c r="F54" s="6" t="inlineStr">
        <is>
          <t>-</t>
        </is>
      </c>
      <c r="G54" s="7" t="n">
        <v>120.3078842163086</v>
      </c>
      <c r="H54" s="6">
        <f>P23</f>
        <v/>
      </c>
      <c r="I54" s="9">
        <f>Q23</f>
        <v/>
      </c>
      <c r="J54" s="7">
        <f>I54*G54</f>
        <v/>
      </c>
      <c r="K54" s="8">
        <f>IF($J$63=0,0,J54/$J$63)</f>
        <v/>
      </c>
      <c r="L54" s="6" t="inlineStr">
        <is>
          <t>REJECTED</t>
        </is>
      </c>
      <c r="M54" s="8" t="n">
        <v>0</v>
      </c>
      <c r="N54" s="7">
        <f>M54*$J$63-J54</f>
        <v/>
      </c>
      <c r="O54" s="9">
        <f>IF(G54=0,0,N54/G54)</f>
        <v/>
      </c>
      <c r="P54" s="6">
        <f>IF(M54&gt;0,D54,"")</f>
        <v/>
      </c>
      <c r="Q54" s="9">
        <f>I54+O54</f>
        <v/>
      </c>
      <c r="R54" s="7">
        <f>Q54*G54</f>
        <v/>
      </c>
      <c r="S54" s="8">
        <f>IF($R$63=0,0,R54/$R$63)</f>
        <v/>
      </c>
      <c r="T54" s="8" t="n">
        <v>0</v>
      </c>
      <c r="U54" s="8" t="n">
        <v>0.02010262798420137</v>
      </c>
      <c r="V54" s="6" t="inlineStr">
        <is>
          <t>not selected</t>
        </is>
      </c>
    </row>
    <row r="55">
      <c r="A55" s="6" t="inlineStr">
        <is>
          <t>DJ30</t>
        </is>
      </c>
      <c r="B55" s="6" t="inlineStr">
        <is>
          <t>2023-01-13</t>
        </is>
      </c>
      <c r="C55" s="6" t="inlineStr">
        <is>
          <t>DIA</t>
        </is>
      </c>
      <c r="D55" s="6" t="inlineStr">
        <is>
          <t>NVDA</t>
        </is>
      </c>
      <c r="E55" s="6" t="inlineStr">
        <is>
          <t>NVDA</t>
        </is>
      </c>
      <c r="F55" s="6" t="inlineStr">
        <is>
          <t>-</t>
        </is>
      </c>
      <c r="G55" s="7" t="n">
        <v>16.86153221130371</v>
      </c>
      <c r="H55" s="6">
        <f>P24</f>
        <v/>
      </c>
      <c r="I55" s="9">
        <f>Q24</f>
        <v/>
      </c>
      <c r="J55" s="7">
        <f>I55*G55</f>
        <v/>
      </c>
      <c r="K55" s="8">
        <f>IF($J$63=0,0,J55/$J$63)</f>
        <v/>
      </c>
      <c r="L55" s="6" t="inlineStr">
        <is>
          <t>REJECTED</t>
        </is>
      </c>
      <c r="M55" s="8" t="n">
        <v>0</v>
      </c>
      <c r="N55" s="7">
        <f>M55*$J$63-J55</f>
        <v/>
      </c>
      <c r="O55" s="9">
        <f>IF(G55=0,0,N55/G55)</f>
        <v/>
      </c>
      <c r="P55" s="6">
        <f>IF(M55&gt;0,D55,"")</f>
        <v/>
      </c>
      <c r="Q55" s="9">
        <f>I55+O55</f>
        <v/>
      </c>
      <c r="R55" s="7">
        <f>Q55*G55</f>
        <v/>
      </c>
      <c r="S55" s="8">
        <f>IF($R$63=0,0,R55/$R$63)</f>
        <v/>
      </c>
      <c r="T55" s="8" t="n">
        <v>0</v>
      </c>
      <c r="U55" s="8" t="n">
        <v>0.02010262798420137</v>
      </c>
      <c r="V55" s="6" t="inlineStr">
        <is>
          <t>not selected</t>
        </is>
      </c>
    </row>
    <row r="56">
      <c r="A56" s="6" t="inlineStr">
        <is>
          <t>DJ30</t>
        </is>
      </c>
      <c r="B56" s="6" t="inlineStr">
        <is>
          <t>2023-01-13</t>
        </is>
      </c>
      <c r="C56" s="6" t="inlineStr">
        <is>
          <t>DIA</t>
        </is>
      </c>
      <c r="D56" s="6" t="inlineStr">
        <is>
          <t>PG</t>
        </is>
      </c>
      <c r="E56" s="6" t="inlineStr">
        <is>
          <t>PG</t>
        </is>
      </c>
      <c r="F56" s="6" t="inlineStr">
        <is>
          <t>-</t>
        </is>
      </c>
      <c r="G56" s="7" t="n">
        <v>137.8506164550781</v>
      </c>
      <c r="H56" s="6">
        <f>P25</f>
        <v/>
      </c>
      <c r="I56" s="9">
        <f>Q25</f>
        <v/>
      </c>
      <c r="J56" s="7">
        <f>I56*G56</f>
        <v/>
      </c>
      <c r="K56" s="8">
        <f>IF($J$63=0,0,J56/$J$63)</f>
        <v/>
      </c>
      <c r="L56" s="6" t="inlineStr">
        <is>
          <t>REJECTED</t>
        </is>
      </c>
      <c r="M56" s="8" t="n">
        <v>0</v>
      </c>
      <c r="N56" s="7">
        <f>M56*$J$63-J56</f>
        <v/>
      </c>
      <c r="O56" s="9">
        <f>IF(G56=0,0,N56/G56)</f>
        <v/>
      </c>
      <c r="P56" s="6">
        <f>IF(M56&gt;0,D56,"")</f>
        <v/>
      </c>
      <c r="Q56" s="9">
        <f>I56+O56</f>
        <v/>
      </c>
      <c r="R56" s="7">
        <f>Q56*G56</f>
        <v/>
      </c>
      <c r="S56" s="8">
        <f>IF($R$63=0,0,R56/$R$63)</f>
        <v/>
      </c>
      <c r="T56" s="8" t="n">
        <v>0</v>
      </c>
      <c r="U56" s="8" t="n">
        <v>0.02010262798420137</v>
      </c>
      <c r="V56" s="6" t="inlineStr">
        <is>
          <t>not selected</t>
        </is>
      </c>
    </row>
    <row r="57">
      <c r="A57" s="6" t="inlineStr">
        <is>
          <t>DJ30</t>
        </is>
      </c>
      <c r="B57" s="6" t="inlineStr">
        <is>
          <t>2023-01-13</t>
        </is>
      </c>
      <c r="C57" s="6" t="inlineStr">
        <is>
          <t>DIA</t>
        </is>
      </c>
      <c r="D57" s="6" t="inlineStr">
        <is>
          <t>SHW</t>
        </is>
      </c>
      <c r="E57" s="6" t="inlineStr">
        <is>
          <t>SHW</t>
        </is>
      </c>
      <c r="F57" s="6" t="inlineStr">
        <is>
          <t>-</t>
        </is>
      </c>
      <c r="G57" s="7" t="n">
        <v>238.1613922119141</v>
      </c>
      <c r="H57" s="6">
        <f>P26</f>
        <v/>
      </c>
      <c r="I57" s="9">
        <f>Q26</f>
        <v/>
      </c>
      <c r="J57" s="7">
        <f>I57*G57</f>
        <v/>
      </c>
      <c r="K57" s="8">
        <f>IF($J$63=0,0,J57/$J$63)</f>
        <v/>
      </c>
      <c r="L57" s="6" t="inlineStr">
        <is>
          <t>REJECTED</t>
        </is>
      </c>
      <c r="M57" s="8" t="n">
        <v>0</v>
      </c>
      <c r="N57" s="7">
        <f>M57*$J$63-J57</f>
        <v/>
      </c>
      <c r="O57" s="9">
        <f>IF(G57=0,0,N57/G57)</f>
        <v/>
      </c>
      <c r="P57" s="6">
        <f>IF(M57&gt;0,D57,"")</f>
        <v/>
      </c>
      <c r="Q57" s="9">
        <f>I57+O57</f>
        <v/>
      </c>
      <c r="R57" s="7">
        <f>Q57*G57</f>
        <v/>
      </c>
      <c r="S57" s="8">
        <f>IF($R$63=0,0,R57/$R$63)</f>
        <v/>
      </c>
      <c r="T57" s="8" t="n">
        <v>0</v>
      </c>
      <c r="U57" s="8" t="n">
        <v>0.02010262798420137</v>
      </c>
      <c r="V57" s="6" t="inlineStr">
        <is>
          <t>not selected</t>
        </is>
      </c>
    </row>
    <row r="58">
      <c r="A58" s="6" t="inlineStr">
        <is>
          <t>DJ30</t>
        </is>
      </c>
      <c r="B58" s="6" t="inlineStr">
        <is>
          <t>2023-01-13</t>
        </is>
      </c>
      <c r="C58" s="6" t="inlineStr">
        <is>
          <t>DIA</t>
        </is>
      </c>
      <c r="D58" s="6" t="inlineStr">
        <is>
          <t>TRV</t>
        </is>
      </c>
      <c r="E58" s="6" t="inlineStr">
        <is>
          <t>TRV</t>
        </is>
      </c>
      <c r="F58" s="6" t="inlineStr">
        <is>
          <t>-</t>
        </is>
      </c>
      <c r="G58" s="7" t="n">
        <v>181.7739105224609</v>
      </c>
      <c r="H58" s="6">
        <f>P27</f>
        <v/>
      </c>
      <c r="I58" s="9">
        <f>Q27</f>
        <v/>
      </c>
      <c r="J58" s="7">
        <f>I58*G58</f>
        <v/>
      </c>
      <c r="K58" s="8">
        <f>IF($J$63=0,0,J58/$J$63)</f>
        <v/>
      </c>
      <c r="L58" s="6" t="inlineStr">
        <is>
          <t>REJECTED</t>
        </is>
      </c>
      <c r="M58" s="8" t="n">
        <v>0</v>
      </c>
      <c r="N58" s="7">
        <f>M58*$J$63-J58</f>
        <v/>
      </c>
      <c r="O58" s="9">
        <f>IF(G58=0,0,N58/G58)</f>
        <v/>
      </c>
      <c r="P58" s="6">
        <f>IF(M58&gt;0,D58,"")</f>
        <v/>
      </c>
      <c r="Q58" s="9">
        <f>I58+O58</f>
        <v/>
      </c>
      <c r="R58" s="7">
        <f>Q58*G58</f>
        <v/>
      </c>
      <c r="S58" s="8">
        <f>IF($R$63=0,0,R58/$R$63)</f>
        <v/>
      </c>
      <c r="T58" s="8" t="n">
        <v>0</v>
      </c>
      <c r="U58" s="8" t="n">
        <v>0.02010262798420137</v>
      </c>
      <c r="V58" s="6" t="inlineStr">
        <is>
          <t>not selected</t>
        </is>
      </c>
    </row>
    <row r="59">
      <c r="A59" s="6" t="inlineStr">
        <is>
          <t>DJ30</t>
        </is>
      </c>
      <c r="B59" s="6" t="inlineStr">
        <is>
          <t>2023-01-13</t>
        </is>
      </c>
      <c r="C59" s="6" t="inlineStr">
        <is>
          <t>DIA</t>
        </is>
      </c>
      <c r="D59" s="6" t="inlineStr">
        <is>
          <t>UNH</t>
        </is>
      </c>
      <c r="E59" s="6" t="inlineStr">
        <is>
          <t>UNH</t>
        </is>
      </c>
      <c r="F59" s="6" t="inlineStr">
        <is>
          <t>-</t>
        </is>
      </c>
      <c r="G59" s="7" t="n">
        <v>457.2733154296875</v>
      </c>
      <c r="H59" s="6">
        <f>P28</f>
        <v/>
      </c>
      <c r="I59" s="9">
        <f>Q28</f>
        <v/>
      </c>
      <c r="J59" s="7">
        <f>I59*G59</f>
        <v/>
      </c>
      <c r="K59" s="8">
        <f>IF($J$63=0,0,J59/$J$63)</f>
        <v/>
      </c>
      <c r="L59" s="6" t="inlineStr">
        <is>
          <t>REJECTED</t>
        </is>
      </c>
      <c r="M59" s="8" t="n">
        <v>0</v>
      </c>
      <c r="N59" s="7">
        <f>M59*$J$63-J59</f>
        <v/>
      </c>
      <c r="O59" s="9">
        <f>IF(G59=0,0,N59/G59)</f>
        <v/>
      </c>
      <c r="P59" s="6">
        <f>IF(M59&gt;0,D59,"")</f>
        <v/>
      </c>
      <c r="Q59" s="9">
        <f>I59+O59</f>
        <v/>
      </c>
      <c r="R59" s="7">
        <f>Q59*G59</f>
        <v/>
      </c>
      <c r="S59" s="8">
        <f>IF($R$63=0,0,R59/$R$63)</f>
        <v/>
      </c>
      <c r="T59" s="8" t="n">
        <v>0</v>
      </c>
      <c r="U59" s="8" t="n">
        <v>0.02010262798420137</v>
      </c>
      <c r="V59" s="6" t="inlineStr">
        <is>
          <t>not selected</t>
        </is>
      </c>
    </row>
    <row r="60">
      <c r="A60" s="6" t="inlineStr">
        <is>
          <t>DJ30</t>
        </is>
      </c>
      <c r="B60" s="6" t="inlineStr">
        <is>
          <t>2023-01-13</t>
        </is>
      </c>
      <c r="C60" s="6" t="inlineStr">
        <is>
          <t>DIA</t>
        </is>
      </c>
      <c r="D60" s="6" t="inlineStr">
        <is>
          <t>V</t>
        </is>
      </c>
      <c r="E60" s="6" t="inlineStr">
        <is>
          <t>V</t>
        </is>
      </c>
      <c r="F60" s="6" t="inlineStr">
        <is>
          <t>-</t>
        </is>
      </c>
      <c r="G60" s="7" t="n">
        <v>217.1759796142578</v>
      </c>
      <c r="H60" s="6">
        <f>P29</f>
        <v/>
      </c>
      <c r="I60" s="9">
        <f>Q29</f>
        <v/>
      </c>
      <c r="J60" s="7">
        <f>I60*G60</f>
        <v/>
      </c>
      <c r="K60" s="8">
        <f>IF($J$63=0,0,J60/$J$63)</f>
        <v/>
      </c>
      <c r="L60" s="6" t="inlineStr">
        <is>
          <t>REJECTED</t>
        </is>
      </c>
      <c r="M60" s="8" t="n">
        <v>0</v>
      </c>
      <c r="N60" s="7">
        <f>M60*$J$63-J60</f>
        <v/>
      </c>
      <c r="O60" s="9">
        <f>IF(G60=0,0,N60/G60)</f>
        <v/>
      </c>
      <c r="P60" s="6">
        <f>IF(M60&gt;0,D60,"")</f>
        <v/>
      </c>
      <c r="Q60" s="9">
        <f>I60+O60</f>
        <v/>
      </c>
      <c r="R60" s="7">
        <f>Q60*G60</f>
        <v/>
      </c>
      <c r="S60" s="8">
        <f>IF($R$63=0,0,R60/$R$63)</f>
        <v/>
      </c>
      <c r="T60" s="8" t="n">
        <v>0</v>
      </c>
      <c r="U60" s="8" t="n">
        <v>0.02010262798420137</v>
      </c>
      <c r="V60" s="6" t="inlineStr">
        <is>
          <t>not selected</t>
        </is>
      </c>
    </row>
    <row r="61">
      <c r="A61" s="6" t="inlineStr">
        <is>
          <t>DJ30</t>
        </is>
      </c>
      <c r="B61" s="6" t="inlineStr">
        <is>
          <t>2023-01-13</t>
        </is>
      </c>
      <c r="C61" s="6" t="inlineStr">
        <is>
          <t>DIA</t>
        </is>
      </c>
      <c r="D61" s="6" t="inlineStr">
        <is>
          <t>VZ</t>
        </is>
      </c>
      <c r="E61" s="6" t="inlineStr">
        <is>
          <t>VZ</t>
        </is>
      </c>
      <c r="F61" s="6" t="inlineStr">
        <is>
          <t>-</t>
        </is>
      </c>
      <c r="G61" s="7" t="n">
        <v>33.64389038085938</v>
      </c>
      <c r="H61" s="6">
        <f>P30</f>
        <v/>
      </c>
      <c r="I61" s="9">
        <f>Q30</f>
        <v/>
      </c>
      <c r="J61" s="7">
        <f>I61*G61</f>
        <v/>
      </c>
      <c r="K61" s="8">
        <f>IF($J$63=0,0,J61/$J$63)</f>
        <v/>
      </c>
      <c r="L61" s="6" t="inlineStr">
        <is>
          <t>REJECTED</t>
        </is>
      </c>
      <c r="M61" s="8" t="n">
        <v>0</v>
      </c>
      <c r="N61" s="7">
        <f>M61*$J$63-J61</f>
        <v/>
      </c>
      <c r="O61" s="9">
        <f>IF(G61=0,0,N61/G61)</f>
        <v/>
      </c>
      <c r="P61" s="6">
        <f>IF(M61&gt;0,D61,"")</f>
        <v/>
      </c>
      <c r="Q61" s="9">
        <f>I61+O61</f>
        <v/>
      </c>
      <c r="R61" s="7">
        <f>Q61*G61</f>
        <v/>
      </c>
      <c r="S61" s="8">
        <f>IF($R$63=0,0,R61/$R$63)</f>
        <v/>
      </c>
      <c r="T61" s="8" t="n">
        <v>0</v>
      </c>
      <c r="U61" s="8" t="n">
        <v>0.02010262798420137</v>
      </c>
      <c r="V61" s="6" t="inlineStr">
        <is>
          <t>not selected</t>
        </is>
      </c>
    </row>
    <row r="62">
      <c r="A62" s="6" t="inlineStr">
        <is>
          <t>DJ30</t>
        </is>
      </c>
      <c r="B62" s="6" t="inlineStr">
        <is>
          <t>2023-01-13</t>
        </is>
      </c>
      <c r="C62" s="6" t="inlineStr">
        <is>
          <t>DIA</t>
        </is>
      </c>
      <c r="D62" s="6" t="inlineStr">
        <is>
          <t>WMT</t>
        </is>
      </c>
      <c r="E62" s="6" t="inlineStr">
        <is>
          <t>WMT</t>
        </is>
      </c>
      <c r="F62" s="6" t="inlineStr">
        <is>
          <t>-</t>
        </is>
      </c>
      <c r="G62" s="7" t="n">
        <v>46.50611114501953</v>
      </c>
      <c r="H62" s="6">
        <f>P31</f>
        <v/>
      </c>
      <c r="I62" s="9">
        <f>Q31</f>
        <v/>
      </c>
      <c r="J62" s="7">
        <f>I62*G62</f>
        <v/>
      </c>
      <c r="K62" s="8">
        <f>IF($J$63=0,0,J62/$J$63)</f>
        <v/>
      </c>
      <c r="L62" s="6" t="inlineStr">
        <is>
          <t>REJECTED</t>
        </is>
      </c>
      <c r="M62" s="8" t="n">
        <v>0</v>
      </c>
      <c r="N62" s="7">
        <f>M62*$J$63-J62</f>
        <v/>
      </c>
      <c r="O62" s="9">
        <f>IF(G62=0,0,N62/G62)</f>
        <v/>
      </c>
      <c r="P62" s="6">
        <f>IF(M62&gt;0,D62,"")</f>
        <v/>
      </c>
      <c r="Q62" s="9">
        <f>I62+O62</f>
        <v/>
      </c>
      <c r="R62" s="7">
        <f>Q62*G62</f>
        <v/>
      </c>
      <c r="S62" s="8">
        <f>IF($R$63=0,0,R62/$R$63)</f>
        <v/>
      </c>
      <c r="T62" s="8" t="n">
        <v>0</v>
      </c>
      <c r="U62" s="8" t="n">
        <v>0.02010262798420137</v>
      </c>
      <c r="V62" s="6" t="inlineStr">
        <is>
          <t>not selected</t>
        </is>
      </c>
    </row>
    <row r="63">
      <c r="A63" s="10" t="inlineStr">
        <is>
          <t>DJ30</t>
        </is>
      </c>
      <c r="B63" s="10" t="inlineStr">
        <is>
          <t>2023-01-13</t>
        </is>
      </c>
      <c r="C63" s="10" t="inlineStr">
        <is>
          <t>DIA</t>
        </is>
      </c>
      <c r="D63" s="10" t="inlineStr">
        <is>
          <t>Tot Portfolio</t>
        </is>
      </c>
      <c r="E63" s="10" t="inlineStr"/>
      <c r="F63" s="10" t="inlineStr"/>
      <c r="G63" s="11" t="inlineStr"/>
      <c r="H63" s="10" t="inlineStr"/>
      <c r="I63" s="12" t="inlineStr"/>
      <c r="J63" s="11">
        <f>SUM(J33:J62)</f>
        <v/>
      </c>
      <c r="K63" s="13">
        <f>SUM(K33:K62)</f>
        <v/>
      </c>
      <c r="L63" s="10" t="inlineStr">
        <is>
          <t>TOTAL</t>
        </is>
      </c>
      <c r="M63" s="13">
        <f>SUM(M33:M62)</f>
        <v/>
      </c>
      <c r="N63" s="11">
        <f>SUM(N33:N62)</f>
        <v/>
      </c>
      <c r="O63" s="12">
        <f>SUM(O33:O62)</f>
        <v/>
      </c>
      <c r="P63" s="10" t="inlineStr"/>
      <c r="Q63" s="12" t="inlineStr"/>
      <c r="R63" s="11">
        <f>SUM(R33:R62)</f>
        <v/>
      </c>
      <c r="S63" s="13">
        <f>SUM(S33:S62)</f>
        <v/>
      </c>
      <c r="T63" s="13" t="n">
        <v>0</v>
      </c>
      <c r="U63" s="13" t="n">
        <v>0.02010262798420137</v>
      </c>
      <c r="V63" s="10" t="inlineStr"/>
    </row>
    <row r="64">
      <c r="A64" s="6" t="inlineStr">
        <is>
          <t>DJ30</t>
        </is>
      </c>
      <c r="B64" s="6" t="inlineStr">
        <is>
          <t>2023-01-20</t>
        </is>
      </c>
      <c r="C64" s="6" t="inlineStr">
        <is>
          <t>DIA</t>
        </is>
      </c>
      <c r="D64" s="6" t="inlineStr">
        <is>
          <t>AAPL</t>
        </is>
      </c>
      <c r="E64" s="6" t="inlineStr">
        <is>
          <t>AAPL</t>
        </is>
      </c>
      <c r="F64" s="6" t="inlineStr">
        <is>
          <t>-</t>
        </is>
      </c>
      <c r="G64" s="7" t="n">
        <v>135.569091796875</v>
      </c>
      <c r="H64" s="6">
        <f>P33</f>
        <v/>
      </c>
      <c r="I64" s="9">
        <f>Q33</f>
        <v/>
      </c>
      <c r="J64" s="7">
        <f>I64*G64</f>
        <v/>
      </c>
      <c r="K64" s="8">
        <f>IF($J$94=0,0,J64/$J$94)</f>
        <v/>
      </c>
      <c r="L64" s="6" t="inlineStr">
        <is>
          <t>REJECTED</t>
        </is>
      </c>
      <c r="M64" s="8" t="n">
        <v>0</v>
      </c>
      <c r="N64" s="7">
        <f>M64*$J$94-J64</f>
        <v/>
      </c>
      <c r="O64" s="9">
        <f>IF(G64=0,0,N64/G64)</f>
        <v/>
      </c>
      <c r="P64" s="6">
        <f>IF(M64&gt;0,D64,"")</f>
        <v/>
      </c>
      <c r="Q64" s="9">
        <f>I64+O64</f>
        <v/>
      </c>
      <c r="R64" s="7">
        <f>Q64*G64</f>
        <v/>
      </c>
      <c r="S64" s="8">
        <f>IF($R$94=0,0,R64/$R$94)</f>
        <v/>
      </c>
      <c r="T64" s="8" t="n">
        <v>0</v>
      </c>
      <c r="U64" s="8" t="n">
        <v>-0.02648999931256368</v>
      </c>
      <c r="V64" s="6" t="inlineStr">
        <is>
          <t>not selected</t>
        </is>
      </c>
    </row>
    <row r="65">
      <c r="A65" s="6" t="inlineStr">
        <is>
          <t>DJ30</t>
        </is>
      </c>
      <c r="B65" s="6" t="inlineStr">
        <is>
          <t>2023-01-20</t>
        </is>
      </c>
      <c r="C65" s="6" t="inlineStr">
        <is>
          <t>DIA</t>
        </is>
      </c>
      <c r="D65" s="6" t="inlineStr">
        <is>
          <t>AMGN</t>
        </is>
      </c>
      <c r="E65" s="6" t="inlineStr">
        <is>
          <t>AMGN</t>
        </is>
      </c>
      <c r="F65" s="6" t="inlineStr">
        <is>
          <t>-</t>
        </is>
      </c>
      <c r="G65" s="7" t="n">
        <v>235.7483825683593</v>
      </c>
      <c r="H65" s="6">
        <f>P34</f>
        <v/>
      </c>
      <c r="I65" s="9">
        <f>Q34</f>
        <v/>
      </c>
      <c r="J65" s="7">
        <f>I65*G65</f>
        <v/>
      </c>
      <c r="K65" s="8">
        <f>IF($J$94=0,0,J65/$J$94)</f>
        <v/>
      </c>
      <c r="L65" s="6" t="inlineStr">
        <is>
          <t>REJECTED</t>
        </is>
      </c>
      <c r="M65" s="8" t="n">
        <v>0</v>
      </c>
      <c r="N65" s="7">
        <f>M65*$J$94-J65</f>
        <v/>
      </c>
      <c r="O65" s="9">
        <f>IF(G65=0,0,N65/G65)</f>
        <v/>
      </c>
      <c r="P65" s="6">
        <f>IF(M65&gt;0,D65,"")</f>
        <v/>
      </c>
      <c r="Q65" s="9">
        <f>I65+O65</f>
        <v/>
      </c>
      <c r="R65" s="7">
        <f>Q65*G65</f>
        <v/>
      </c>
      <c r="S65" s="8">
        <f>IF($R$94=0,0,R65/$R$94)</f>
        <v/>
      </c>
      <c r="T65" s="8" t="n">
        <v>0</v>
      </c>
      <c r="U65" s="8" t="n">
        <v>-0.02648999931256368</v>
      </c>
      <c r="V65" s="6" t="inlineStr">
        <is>
          <t>not selected</t>
        </is>
      </c>
    </row>
    <row r="66">
      <c r="A66" s="6" t="inlineStr">
        <is>
          <t>DJ30</t>
        </is>
      </c>
      <c r="B66" s="6" t="inlineStr">
        <is>
          <t>2023-01-20</t>
        </is>
      </c>
      <c r="C66" s="6" t="inlineStr">
        <is>
          <t>DIA</t>
        </is>
      </c>
      <c r="D66" s="6" t="inlineStr">
        <is>
          <t>AMZN</t>
        </is>
      </c>
      <c r="E66" s="6" t="inlineStr">
        <is>
          <t>AMZN</t>
        </is>
      </c>
      <c r="F66" s="6" t="inlineStr">
        <is>
          <t>-</t>
        </is>
      </c>
      <c r="G66" s="7" t="n">
        <v>97.25</v>
      </c>
      <c r="H66" s="6">
        <f>P35</f>
        <v/>
      </c>
      <c r="I66" s="9">
        <f>Q35</f>
        <v/>
      </c>
      <c r="J66" s="7">
        <f>I66*G66</f>
        <v/>
      </c>
      <c r="K66" s="8">
        <f>IF($J$94=0,0,J66/$J$94)</f>
        <v/>
      </c>
      <c r="L66" s="6" t="inlineStr">
        <is>
          <t>REJECTED</t>
        </is>
      </c>
      <c r="M66" s="8" t="n">
        <v>0</v>
      </c>
      <c r="N66" s="7">
        <f>M66*$J$94-J66</f>
        <v/>
      </c>
      <c r="O66" s="9">
        <f>IF(G66=0,0,N66/G66)</f>
        <v/>
      </c>
      <c r="P66" s="6">
        <f>IF(M66&gt;0,D66,"")</f>
        <v/>
      </c>
      <c r="Q66" s="9">
        <f>I66+O66</f>
        <v/>
      </c>
      <c r="R66" s="7">
        <f>Q66*G66</f>
        <v/>
      </c>
      <c r="S66" s="8">
        <f>IF($R$94=0,0,R66/$R$94)</f>
        <v/>
      </c>
      <c r="T66" s="8" t="n">
        <v>0</v>
      </c>
      <c r="U66" s="8" t="n">
        <v>-0.02648999931256368</v>
      </c>
      <c r="V66" s="6" t="inlineStr">
        <is>
          <t>not selected</t>
        </is>
      </c>
    </row>
    <row r="67">
      <c r="A67" s="6" t="inlineStr">
        <is>
          <t>DJ30</t>
        </is>
      </c>
      <c r="B67" s="6" t="inlineStr">
        <is>
          <t>2023-01-20</t>
        </is>
      </c>
      <c r="C67" s="6" t="inlineStr">
        <is>
          <t>DIA</t>
        </is>
      </c>
      <c r="D67" s="6" t="inlineStr">
        <is>
          <t>AXP</t>
        </is>
      </c>
      <c r="E67" s="6" t="inlineStr">
        <is>
          <t>AXP</t>
        </is>
      </c>
      <c r="F67" s="6" t="inlineStr">
        <is>
          <t>-</t>
        </is>
      </c>
      <c r="G67" s="7" t="n">
        <v>145.7701568603516</v>
      </c>
      <c r="H67" s="6">
        <f>P36</f>
        <v/>
      </c>
      <c r="I67" s="9">
        <f>Q36</f>
        <v/>
      </c>
      <c r="J67" s="7">
        <f>I67*G67</f>
        <v/>
      </c>
      <c r="K67" s="8">
        <f>IF($J$94=0,0,J67/$J$94)</f>
        <v/>
      </c>
      <c r="L67" s="6" t="inlineStr">
        <is>
          <t>REJECTED</t>
        </is>
      </c>
      <c r="M67" s="8" t="n">
        <v>0</v>
      </c>
      <c r="N67" s="7">
        <f>M67*$J$94-J67</f>
        <v/>
      </c>
      <c r="O67" s="9">
        <f>IF(G67=0,0,N67/G67)</f>
        <v/>
      </c>
      <c r="P67" s="6">
        <f>IF(M67&gt;0,D67,"")</f>
        <v/>
      </c>
      <c r="Q67" s="9">
        <f>I67+O67</f>
        <v/>
      </c>
      <c r="R67" s="7">
        <f>Q67*G67</f>
        <v/>
      </c>
      <c r="S67" s="8">
        <f>IF($R$94=0,0,R67/$R$94)</f>
        <v/>
      </c>
      <c r="T67" s="8" t="n">
        <v>0</v>
      </c>
      <c r="U67" s="8" t="n">
        <v>-0.02648999931256368</v>
      </c>
      <c r="V67" s="6" t="inlineStr">
        <is>
          <t>not selected</t>
        </is>
      </c>
    </row>
    <row r="68">
      <c r="A68" s="6" t="inlineStr">
        <is>
          <t>DJ30</t>
        </is>
      </c>
      <c r="B68" s="6" t="inlineStr">
        <is>
          <t>2023-01-20</t>
        </is>
      </c>
      <c r="C68" s="6" t="inlineStr">
        <is>
          <t>DIA</t>
        </is>
      </c>
      <c r="D68" s="6" t="inlineStr">
        <is>
          <t>BA</t>
        </is>
      </c>
      <c r="E68" s="6" t="inlineStr">
        <is>
          <t>BA</t>
        </is>
      </c>
      <c r="F68" s="6" t="inlineStr">
        <is>
          <t>-</t>
        </is>
      </c>
      <c r="G68" s="7" t="n">
        <v>206.759994506836</v>
      </c>
      <c r="H68" s="6">
        <f>P37</f>
        <v/>
      </c>
      <c r="I68" s="9">
        <f>Q37</f>
        <v/>
      </c>
      <c r="J68" s="7">
        <f>I68*G68</f>
        <v/>
      </c>
      <c r="K68" s="8">
        <f>IF($J$94=0,0,J68/$J$94)</f>
        <v/>
      </c>
      <c r="L68" s="6" t="inlineStr">
        <is>
          <t>REJECTED</t>
        </is>
      </c>
      <c r="M68" s="8" t="n">
        <v>0</v>
      </c>
      <c r="N68" s="7">
        <f>M68*$J$94-J68</f>
        <v/>
      </c>
      <c r="O68" s="9">
        <f>IF(G68=0,0,N68/G68)</f>
        <v/>
      </c>
      <c r="P68" s="6">
        <f>IF(M68&gt;0,D68,"")</f>
        <v/>
      </c>
      <c r="Q68" s="9">
        <f>I68+O68</f>
        <v/>
      </c>
      <c r="R68" s="7">
        <f>Q68*G68</f>
        <v/>
      </c>
      <c r="S68" s="8">
        <f>IF($R$94=0,0,R68/$R$94)</f>
        <v/>
      </c>
      <c r="T68" s="8" t="n">
        <v>0</v>
      </c>
      <c r="U68" s="8" t="n">
        <v>-0.02648999931256368</v>
      </c>
      <c r="V68" s="6" t="inlineStr">
        <is>
          <t>not selected</t>
        </is>
      </c>
    </row>
    <row r="69">
      <c r="A69" s="6" t="inlineStr">
        <is>
          <t>DJ30</t>
        </is>
      </c>
      <c r="B69" s="6" t="inlineStr">
        <is>
          <t>2023-01-20</t>
        </is>
      </c>
      <c r="C69" s="6" t="inlineStr">
        <is>
          <t>DIA</t>
        </is>
      </c>
      <c r="D69" s="6" t="inlineStr">
        <is>
          <t>CAT</t>
        </is>
      </c>
      <c r="E69" s="6" t="inlineStr">
        <is>
          <t>CAT</t>
        </is>
      </c>
      <c r="F69" s="6" t="inlineStr">
        <is>
          <t>-</t>
        </is>
      </c>
      <c r="G69" s="7" t="n">
        <v>237.3781127929688</v>
      </c>
      <c r="H69" s="6">
        <f>P38</f>
        <v/>
      </c>
      <c r="I69" s="9">
        <f>Q38</f>
        <v/>
      </c>
      <c r="J69" s="7">
        <f>I69*G69</f>
        <v/>
      </c>
      <c r="K69" s="8">
        <f>IF($J$94=0,0,J69/$J$94)</f>
        <v/>
      </c>
      <c r="L69" s="6" t="inlineStr">
        <is>
          <t>REJECTED</t>
        </is>
      </c>
      <c r="M69" s="8" t="n">
        <v>0</v>
      </c>
      <c r="N69" s="7">
        <f>M69*$J$94-J69</f>
        <v/>
      </c>
      <c r="O69" s="9">
        <f>IF(G69=0,0,N69/G69)</f>
        <v/>
      </c>
      <c r="P69" s="6">
        <f>IF(M69&gt;0,D69,"")</f>
        <v/>
      </c>
      <c r="Q69" s="9">
        <f>I69+O69</f>
        <v/>
      </c>
      <c r="R69" s="7">
        <f>Q69*G69</f>
        <v/>
      </c>
      <c r="S69" s="8">
        <f>IF($R$94=0,0,R69/$R$94)</f>
        <v/>
      </c>
      <c r="T69" s="8" t="n">
        <v>0</v>
      </c>
      <c r="U69" s="8" t="n">
        <v>-0.02648999931256368</v>
      </c>
      <c r="V69" s="6" t="inlineStr">
        <is>
          <t>not selected</t>
        </is>
      </c>
    </row>
    <row r="70">
      <c r="A70" s="6" t="inlineStr">
        <is>
          <t>DJ30</t>
        </is>
      </c>
      <c r="B70" s="6" t="inlineStr">
        <is>
          <t>2023-01-20</t>
        </is>
      </c>
      <c r="C70" s="6" t="inlineStr">
        <is>
          <t>DIA</t>
        </is>
      </c>
      <c r="D70" s="6" t="inlineStr">
        <is>
          <t>CRM</t>
        </is>
      </c>
      <c r="E70" s="6" t="inlineStr">
        <is>
          <t>CRM</t>
        </is>
      </c>
      <c r="F70" s="6" t="inlineStr">
        <is>
          <t>-</t>
        </is>
      </c>
      <c r="G70" s="7" t="n">
        <v>148.6777954101562</v>
      </c>
      <c r="H70" s="6">
        <f>P39</f>
        <v/>
      </c>
      <c r="I70" s="9">
        <f>Q39</f>
        <v/>
      </c>
      <c r="J70" s="7">
        <f>I70*G70</f>
        <v/>
      </c>
      <c r="K70" s="8">
        <f>IF($J$94=0,0,J70/$J$94)</f>
        <v/>
      </c>
      <c r="L70" s="6" t="inlineStr">
        <is>
          <t>REJECTED</t>
        </is>
      </c>
      <c r="M70" s="8" t="n">
        <v>0</v>
      </c>
      <c r="N70" s="7">
        <f>M70*$J$94-J70</f>
        <v/>
      </c>
      <c r="O70" s="9">
        <f>IF(G70=0,0,N70/G70)</f>
        <v/>
      </c>
      <c r="P70" s="6">
        <f>IF(M70&gt;0,D70,"")</f>
        <v/>
      </c>
      <c r="Q70" s="9">
        <f>I70+O70</f>
        <v/>
      </c>
      <c r="R70" s="7">
        <f>Q70*G70</f>
        <v/>
      </c>
      <c r="S70" s="8">
        <f>IF($R$94=0,0,R70/$R$94)</f>
        <v/>
      </c>
      <c r="T70" s="8" t="n">
        <v>0</v>
      </c>
      <c r="U70" s="8" t="n">
        <v>-0.02648999931256368</v>
      </c>
      <c r="V70" s="6" t="inlineStr">
        <is>
          <t>not selected</t>
        </is>
      </c>
    </row>
    <row r="71">
      <c r="A71" s="6" t="inlineStr">
        <is>
          <t>DJ30</t>
        </is>
      </c>
      <c r="B71" s="6" t="inlineStr">
        <is>
          <t>2023-01-20</t>
        </is>
      </c>
      <c r="C71" s="6" t="inlineStr">
        <is>
          <t>DIA</t>
        </is>
      </c>
      <c r="D71" s="6" t="inlineStr">
        <is>
          <t>CSCO</t>
        </is>
      </c>
      <c r="E71" s="6" t="inlineStr">
        <is>
          <t>CSCO</t>
        </is>
      </c>
      <c r="F71" s="6" t="inlineStr">
        <is>
          <t>-</t>
        </is>
      </c>
      <c r="G71" s="7" t="n">
        <v>42.73369598388672</v>
      </c>
      <c r="H71" s="6">
        <f>P40</f>
        <v/>
      </c>
      <c r="I71" s="9">
        <f>Q40</f>
        <v/>
      </c>
      <c r="J71" s="7">
        <f>I71*G71</f>
        <v/>
      </c>
      <c r="K71" s="8">
        <f>IF($J$94=0,0,J71/$J$94)</f>
        <v/>
      </c>
      <c r="L71" s="6" t="inlineStr">
        <is>
          <t>REJECTED</t>
        </is>
      </c>
      <c r="M71" s="8" t="n">
        <v>0</v>
      </c>
      <c r="N71" s="7">
        <f>M71*$J$94-J71</f>
        <v/>
      </c>
      <c r="O71" s="9">
        <f>IF(G71=0,0,N71/G71)</f>
        <v/>
      </c>
      <c r="P71" s="6">
        <f>IF(M71&gt;0,D71,"")</f>
        <v/>
      </c>
      <c r="Q71" s="9">
        <f>I71+O71</f>
        <v/>
      </c>
      <c r="R71" s="7">
        <f>Q71*G71</f>
        <v/>
      </c>
      <c r="S71" s="8">
        <f>IF($R$94=0,0,R71/$R$94)</f>
        <v/>
      </c>
      <c r="T71" s="8" t="n">
        <v>0</v>
      </c>
      <c r="U71" s="8" t="n">
        <v>-0.02648999931256368</v>
      </c>
      <c r="V71" s="6" t="inlineStr">
        <is>
          <t>not selected</t>
        </is>
      </c>
    </row>
    <row r="72">
      <c r="A72" s="6" t="inlineStr">
        <is>
          <t>DJ30</t>
        </is>
      </c>
      <c r="B72" s="6" t="inlineStr">
        <is>
          <t>2023-01-20</t>
        </is>
      </c>
      <c r="C72" s="6" t="inlineStr">
        <is>
          <t>DIA</t>
        </is>
      </c>
      <c r="D72" s="6" t="inlineStr">
        <is>
          <t>CVX</t>
        </is>
      </c>
      <c r="E72" s="6" t="inlineStr">
        <is>
          <t>CVX</t>
        </is>
      </c>
      <c r="F72" s="6" t="inlineStr">
        <is>
          <t>-</t>
        </is>
      </c>
      <c r="G72" s="7" t="n">
        <v>156.5006103515625</v>
      </c>
      <c r="H72" s="6">
        <f>P41</f>
        <v/>
      </c>
      <c r="I72" s="9">
        <f>Q41</f>
        <v/>
      </c>
      <c r="J72" s="7">
        <f>I72*G72</f>
        <v/>
      </c>
      <c r="K72" s="8">
        <f>IF($J$94=0,0,J72/$J$94)</f>
        <v/>
      </c>
      <c r="L72" s="6" t="inlineStr">
        <is>
          <t>REJECTED</t>
        </is>
      </c>
      <c r="M72" s="8" t="n">
        <v>0</v>
      </c>
      <c r="N72" s="7">
        <f>M72*$J$94-J72</f>
        <v/>
      </c>
      <c r="O72" s="9">
        <f>IF(G72=0,0,N72/G72)</f>
        <v/>
      </c>
      <c r="P72" s="6">
        <f>IF(M72&gt;0,D72,"")</f>
        <v/>
      </c>
      <c r="Q72" s="9">
        <f>I72+O72</f>
        <v/>
      </c>
      <c r="R72" s="7">
        <f>Q72*G72</f>
        <v/>
      </c>
      <c r="S72" s="8">
        <f>IF($R$94=0,0,R72/$R$94)</f>
        <v/>
      </c>
      <c r="T72" s="8" t="n">
        <v>0</v>
      </c>
      <c r="U72" s="8" t="n">
        <v>-0.02648999931256368</v>
      </c>
      <c r="V72" s="6" t="inlineStr">
        <is>
          <t>not selected</t>
        </is>
      </c>
    </row>
    <row r="73">
      <c r="A73" s="6" t="inlineStr">
        <is>
          <t>DJ30</t>
        </is>
      </c>
      <c r="B73" s="6" t="inlineStr">
        <is>
          <t>2023-01-20</t>
        </is>
      </c>
      <c r="C73" s="6" t="inlineStr">
        <is>
          <t>DIA</t>
        </is>
      </c>
      <c r="D73" s="6" t="inlineStr">
        <is>
          <t>DIS</t>
        </is>
      </c>
      <c r="E73" s="6" t="inlineStr">
        <is>
          <t>DIS</t>
        </is>
      </c>
      <c r="F73" s="6" t="inlineStr">
        <is>
          <t>-</t>
        </is>
      </c>
      <c r="G73" s="7" t="n">
        <v>101.0991821289062</v>
      </c>
      <c r="H73" s="6">
        <f>P42</f>
        <v/>
      </c>
      <c r="I73" s="9">
        <f>Q42</f>
        <v/>
      </c>
      <c r="J73" s="7">
        <f>I73*G73</f>
        <v/>
      </c>
      <c r="K73" s="8">
        <f>IF($J$94=0,0,J73/$J$94)</f>
        <v/>
      </c>
      <c r="L73" s="6" t="inlineStr">
        <is>
          <t>REJECTED</t>
        </is>
      </c>
      <c r="M73" s="8" t="n">
        <v>0</v>
      </c>
      <c r="N73" s="7">
        <f>M73*$J$94-J73</f>
        <v/>
      </c>
      <c r="O73" s="9">
        <f>IF(G73=0,0,N73/G73)</f>
        <v/>
      </c>
      <c r="P73" s="6">
        <f>IF(M73&gt;0,D73,"")</f>
        <v/>
      </c>
      <c r="Q73" s="9">
        <f>I73+O73</f>
        <v/>
      </c>
      <c r="R73" s="7">
        <f>Q73*G73</f>
        <v/>
      </c>
      <c r="S73" s="8">
        <f>IF($R$94=0,0,R73/$R$94)</f>
        <v/>
      </c>
      <c r="T73" s="8" t="n">
        <v>0</v>
      </c>
      <c r="U73" s="8" t="n">
        <v>-0.02648999931256368</v>
      </c>
      <c r="V73" s="6" t="inlineStr">
        <is>
          <t>not selected</t>
        </is>
      </c>
    </row>
    <row r="74">
      <c r="A74" s="6" t="inlineStr">
        <is>
          <t>DJ30</t>
        </is>
      </c>
      <c r="B74" s="6" t="inlineStr">
        <is>
          <t>2023-01-20</t>
        </is>
      </c>
      <c r="C74" s="6" t="inlineStr">
        <is>
          <t>DIA</t>
        </is>
      </c>
      <c r="D74" s="6" t="inlineStr">
        <is>
          <t>GS</t>
        </is>
      </c>
      <c r="E74" s="6" t="inlineStr">
        <is>
          <t>GS</t>
        </is>
      </c>
      <c r="F74" s="6" t="inlineStr">
        <is>
          <t>-</t>
        </is>
      </c>
      <c r="G74" s="7" t="n">
        <v>313.9885559082031</v>
      </c>
      <c r="H74" s="6">
        <f>P43</f>
        <v/>
      </c>
      <c r="I74" s="9">
        <f>Q43</f>
        <v/>
      </c>
      <c r="J74" s="7">
        <f>I74*G74</f>
        <v/>
      </c>
      <c r="K74" s="8">
        <f>IF($J$94=0,0,J74/$J$94)</f>
        <v/>
      </c>
      <c r="L74" s="6" t="inlineStr">
        <is>
          <t>REJECTED</t>
        </is>
      </c>
      <c r="M74" s="8" t="n">
        <v>0</v>
      </c>
      <c r="N74" s="7">
        <f>M74*$J$94-J74</f>
        <v/>
      </c>
      <c r="O74" s="9">
        <f>IF(G74=0,0,N74/G74)</f>
        <v/>
      </c>
      <c r="P74" s="6">
        <f>IF(M74&gt;0,D74,"")</f>
        <v/>
      </c>
      <c r="Q74" s="9">
        <f>I74+O74</f>
        <v/>
      </c>
      <c r="R74" s="7">
        <f>Q74*G74</f>
        <v/>
      </c>
      <c r="S74" s="8">
        <f>IF($R$94=0,0,R74/$R$94)</f>
        <v/>
      </c>
      <c r="T74" s="8" t="n">
        <v>0</v>
      </c>
      <c r="U74" s="8" t="n">
        <v>-0.02648999931256368</v>
      </c>
      <c r="V74" s="6" t="inlineStr">
        <is>
          <t>not selected</t>
        </is>
      </c>
    </row>
    <row r="75">
      <c r="A75" s="6" t="inlineStr">
        <is>
          <t>DJ30</t>
        </is>
      </c>
      <c r="B75" s="6" t="inlineStr">
        <is>
          <t>2023-01-20</t>
        </is>
      </c>
      <c r="C75" s="6" t="inlineStr">
        <is>
          <t>DIA</t>
        </is>
      </c>
      <c r="D75" s="6" t="inlineStr">
        <is>
          <t>HD</t>
        </is>
      </c>
      <c r="E75" s="6" t="inlineStr">
        <is>
          <t>HD</t>
        </is>
      </c>
      <c r="F75" s="6" t="inlineStr">
        <is>
          <t>-</t>
        </is>
      </c>
      <c r="G75" s="7" t="n">
        <v>287.7712707519531</v>
      </c>
      <c r="H75" s="6">
        <f>P44</f>
        <v/>
      </c>
      <c r="I75" s="9">
        <f>Q44</f>
        <v/>
      </c>
      <c r="J75" s="7">
        <f>I75*G75</f>
        <v/>
      </c>
      <c r="K75" s="8">
        <f>IF($J$94=0,0,J75/$J$94)</f>
        <v/>
      </c>
      <c r="L75" s="6" t="inlineStr">
        <is>
          <t>REJECTED</t>
        </is>
      </c>
      <c r="M75" s="8" t="n">
        <v>0</v>
      </c>
      <c r="N75" s="7">
        <f>M75*$J$94-J75</f>
        <v/>
      </c>
      <c r="O75" s="9">
        <f>IF(G75=0,0,N75/G75)</f>
        <v/>
      </c>
      <c r="P75" s="6">
        <f>IF(M75&gt;0,D75,"")</f>
        <v/>
      </c>
      <c r="Q75" s="9">
        <f>I75+O75</f>
        <v/>
      </c>
      <c r="R75" s="7">
        <f>Q75*G75</f>
        <v/>
      </c>
      <c r="S75" s="8">
        <f>IF($R$94=0,0,R75/$R$94)</f>
        <v/>
      </c>
      <c r="T75" s="8" t="n">
        <v>0</v>
      </c>
      <c r="U75" s="8" t="n">
        <v>-0.02648999931256368</v>
      </c>
      <c r="V75" s="6" t="inlineStr">
        <is>
          <t>not selected</t>
        </is>
      </c>
    </row>
    <row r="76">
      <c r="A76" s="6" t="inlineStr">
        <is>
          <t>DJ30</t>
        </is>
      </c>
      <c r="B76" s="6" t="inlineStr">
        <is>
          <t>2023-01-20</t>
        </is>
      </c>
      <c r="C76" s="6" t="inlineStr">
        <is>
          <t>DIA</t>
        </is>
      </c>
      <c r="D76" s="6" t="inlineStr">
        <is>
          <t>HON</t>
        </is>
      </c>
      <c r="E76" s="6" t="inlineStr">
        <is>
          <t>HON</t>
        </is>
      </c>
      <c r="F76" s="6" t="inlineStr">
        <is>
          <t>-</t>
        </is>
      </c>
      <c r="G76" s="7" t="n">
        <v>176.6557922363281</v>
      </c>
      <c r="H76" s="6">
        <f>P45</f>
        <v/>
      </c>
      <c r="I76" s="9">
        <f>Q45</f>
        <v/>
      </c>
      <c r="J76" s="7">
        <f>I76*G76</f>
        <v/>
      </c>
      <c r="K76" s="8">
        <f>IF($J$94=0,0,J76/$J$94)</f>
        <v/>
      </c>
      <c r="L76" s="6" t="inlineStr">
        <is>
          <t>REJECTED</t>
        </is>
      </c>
      <c r="M76" s="8" t="n">
        <v>0</v>
      </c>
      <c r="N76" s="7">
        <f>M76*$J$94-J76</f>
        <v/>
      </c>
      <c r="O76" s="9">
        <f>IF(G76=0,0,N76/G76)</f>
        <v/>
      </c>
      <c r="P76" s="6">
        <f>IF(M76&gt;0,D76,"")</f>
        <v/>
      </c>
      <c r="Q76" s="9">
        <f>I76+O76</f>
        <v/>
      </c>
      <c r="R76" s="7">
        <f>Q76*G76</f>
        <v/>
      </c>
      <c r="S76" s="8">
        <f>IF($R$94=0,0,R76/$R$94)</f>
        <v/>
      </c>
      <c r="T76" s="8" t="n">
        <v>0</v>
      </c>
      <c r="U76" s="8" t="n">
        <v>-0.02648999931256368</v>
      </c>
      <c r="V76" s="6" t="inlineStr">
        <is>
          <t>not selected</t>
        </is>
      </c>
    </row>
    <row r="77">
      <c r="A77" s="6" t="inlineStr">
        <is>
          <t>DJ30</t>
        </is>
      </c>
      <c r="B77" s="6" t="inlineStr">
        <is>
          <t>2023-01-20</t>
        </is>
      </c>
      <c r="C77" s="6" t="inlineStr">
        <is>
          <t>DIA</t>
        </is>
      </c>
      <c r="D77" s="6" t="inlineStr">
        <is>
          <t>IBM</t>
        </is>
      </c>
      <c r="E77" s="6" t="inlineStr">
        <is>
          <t>IBM</t>
        </is>
      </c>
      <c r="F77" s="6" t="inlineStr">
        <is>
          <t>-</t>
        </is>
      </c>
      <c r="G77" s="7" t="n">
        <v>124.9191360473633</v>
      </c>
      <c r="H77" s="6">
        <f>P46</f>
        <v/>
      </c>
      <c r="I77" s="9">
        <f>Q46</f>
        <v/>
      </c>
      <c r="J77" s="7">
        <f>I77*G77</f>
        <v/>
      </c>
      <c r="K77" s="8">
        <f>IF($J$94=0,0,J77/$J$94)</f>
        <v/>
      </c>
      <c r="L77" s="6" t="inlineStr">
        <is>
          <t>REJECTED</t>
        </is>
      </c>
      <c r="M77" s="8" t="n">
        <v>0</v>
      </c>
      <c r="N77" s="7">
        <f>M77*$J$94-J77</f>
        <v/>
      </c>
      <c r="O77" s="9">
        <f>IF(G77=0,0,N77/G77)</f>
        <v/>
      </c>
      <c r="P77" s="6">
        <f>IF(M77&gt;0,D77,"")</f>
        <v/>
      </c>
      <c r="Q77" s="9">
        <f>I77+O77</f>
        <v/>
      </c>
      <c r="R77" s="7">
        <f>Q77*G77</f>
        <v/>
      </c>
      <c r="S77" s="8">
        <f>IF($R$94=0,0,R77/$R$94)</f>
        <v/>
      </c>
      <c r="T77" s="8" t="n">
        <v>0</v>
      </c>
      <c r="U77" s="8" t="n">
        <v>-0.02648999931256368</v>
      </c>
      <c r="V77" s="6" t="inlineStr">
        <is>
          <t>not selected</t>
        </is>
      </c>
    </row>
    <row r="78">
      <c r="A78" s="6" t="inlineStr">
        <is>
          <t>DJ30</t>
        </is>
      </c>
      <c r="B78" s="6" t="inlineStr">
        <is>
          <t>2023-01-20</t>
        </is>
      </c>
      <c r="C78" s="6" t="inlineStr">
        <is>
          <t>DIA</t>
        </is>
      </c>
      <c r="D78" s="6" t="inlineStr">
        <is>
          <t>JNJ</t>
        </is>
      </c>
      <c r="E78" s="6" t="inlineStr">
        <is>
          <t>JNJ</t>
        </is>
      </c>
      <c r="F78" s="6" t="inlineStr">
        <is>
          <t>-</t>
        </is>
      </c>
      <c r="G78" s="7" t="n">
        <v>152.3390808105469</v>
      </c>
      <c r="H78" s="6">
        <f>P47</f>
        <v/>
      </c>
      <c r="I78" s="9">
        <f>Q47</f>
        <v/>
      </c>
      <c r="J78" s="7">
        <f>I78*G78</f>
        <v/>
      </c>
      <c r="K78" s="8">
        <f>IF($J$94=0,0,J78/$J$94)</f>
        <v/>
      </c>
      <c r="L78" s="6" t="inlineStr">
        <is>
          <t>REJECTED</t>
        </is>
      </c>
      <c r="M78" s="8" t="n">
        <v>0</v>
      </c>
      <c r="N78" s="7">
        <f>M78*$J$94-J78</f>
        <v/>
      </c>
      <c r="O78" s="9">
        <f>IF(G78=0,0,N78/G78)</f>
        <v/>
      </c>
      <c r="P78" s="6">
        <f>IF(M78&gt;0,D78,"")</f>
        <v/>
      </c>
      <c r="Q78" s="9">
        <f>I78+O78</f>
        <v/>
      </c>
      <c r="R78" s="7">
        <f>Q78*G78</f>
        <v/>
      </c>
      <c r="S78" s="8">
        <f>IF($R$94=0,0,R78/$R$94)</f>
        <v/>
      </c>
      <c r="T78" s="8" t="n">
        <v>0</v>
      </c>
      <c r="U78" s="8" t="n">
        <v>-0.02648999931256368</v>
      </c>
      <c r="V78" s="6" t="inlineStr">
        <is>
          <t>not selected</t>
        </is>
      </c>
    </row>
    <row r="79">
      <c r="A79" s="6" t="inlineStr">
        <is>
          <t>DJ30</t>
        </is>
      </c>
      <c r="B79" s="6" t="inlineStr">
        <is>
          <t>2023-01-20</t>
        </is>
      </c>
      <c r="C79" s="6" t="inlineStr">
        <is>
          <t>DIA</t>
        </is>
      </c>
      <c r="D79" s="6" t="inlineStr">
        <is>
          <t>JPM</t>
        </is>
      </c>
      <c r="E79" s="6" t="inlineStr">
        <is>
          <t>JPM</t>
        </is>
      </c>
      <c r="F79" s="6" t="inlineStr">
        <is>
          <t>-</t>
        </is>
      </c>
      <c r="G79" s="7" t="n">
        <v>125.1736373901367</v>
      </c>
      <c r="H79" s="6">
        <f>P48</f>
        <v/>
      </c>
      <c r="I79" s="9">
        <f>Q48</f>
        <v/>
      </c>
      <c r="J79" s="7">
        <f>I79*G79</f>
        <v/>
      </c>
      <c r="K79" s="8">
        <f>IF($J$94=0,0,J79/$J$94)</f>
        <v/>
      </c>
      <c r="L79" s="6" t="inlineStr">
        <is>
          <t>REJECTED</t>
        </is>
      </c>
      <c r="M79" s="8" t="n">
        <v>0</v>
      </c>
      <c r="N79" s="7">
        <f>M79*$J$94-J79</f>
        <v/>
      </c>
      <c r="O79" s="9">
        <f>IF(G79=0,0,N79/G79)</f>
        <v/>
      </c>
      <c r="P79" s="6">
        <f>IF(M79&gt;0,D79,"")</f>
        <v/>
      </c>
      <c r="Q79" s="9">
        <f>I79+O79</f>
        <v/>
      </c>
      <c r="R79" s="7">
        <f>Q79*G79</f>
        <v/>
      </c>
      <c r="S79" s="8">
        <f>IF($R$94=0,0,R79/$R$94)</f>
        <v/>
      </c>
      <c r="T79" s="8" t="n">
        <v>0</v>
      </c>
      <c r="U79" s="8" t="n">
        <v>-0.02648999931256368</v>
      </c>
      <c r="V79" s="6" t="inlineStr">
        <is>
          <t>not selected</t>
        </is>
      </c>
    </row>
    <row r="80">
      <c r="A80" s="6" t="inlineStr">
        <is>
          <t>DJ30</t>
        </is>
      </c>
      <c r="B80" s="6" t="inlineStr">
        <is>
          <t>2023-01-20</t>
        </is>
      </c>
      <c r="C80" s="6" t="inlineStr">
        <is>
          <t>DIA</t>
        </is>
      </c>
      <c r="D80" s="6" t="inlineStr">
        <is>
          <t>KO</t>
        </is>
      </c>
      <c r="E80" s="6" t="inlineStr">
        <is>
          <t>KO</t>
        </is>
      </c>
      <c r="F80" s="6" t="inlineStr">
        <is>
          <t>-</t>
        </is>
      </c>
      <c r="G80" s="7" t="n">
        <v>54.17211532592773</v>
      </c>
      <c r="H80" s="6">
        <f>P49</f>
        <v/>
      </c>
      <c r="I80" s="9">
        <f>Q49</f>
        <v/>
      </c>
      <c r="J80" s="7">
        <f>I80*G80</f>
        <v/>
      </c>
      <c r="K80" s="8">
        <f>IF($J$94=0,0,J80/$J$94)</f>
        <v/>
      </c>
      <c r="L80" s="6" t="inlineStr">
        <is>
          <t>REJECTED</t>
        </is>
      </c>
      <c r="M80" s="8" t="n">
        <v>0</v>
      </c>
      <c r="N80" s="7">
        <f>M80*$J$94-J80</f>
        <v/>
      </c>
      <c r="O80" s="9">
        <f>IF(G80=0,0,N80/G80)</f>
        <v/>
      </c>
      <c r="P80" s="6">
        <f>IF(M80&gt;0,D80,"")</f>
        <v/>
      </c>
      <c r="Q80" s="9">
        <f>I80+O80</f>
        <v/>
      </c>
      <c r="R80" s="7">
        <f>Q80*G80</f>
        <v/>
      </c>
      <c r="S80" s="8">
        <f>IF($R$94=0,0,R80/$R$94)</f>
        <v/>
      </c>
      <c r="T80" s="8" t="n">
        <v>0</v>
      </c>
      <c r="U80" s="8" t="n">
        <v>-0.02648999931256368</v>
      </c>
      <c r="V80" s="6" t="inlineStr">
        <is>
          <t>not selected</t>
        </is>
      </c>
    </row>
    <row r="81">
      <c r="A81" s="6" t="inlineStr">
        <is>
          <t>DJ30</t>
        </is>
      </c>
      <c r="B81" s="6" t="inlineStr">
        <is>
          <t>2023-01-20</t>
        </is>
      </c>
      <c r="C81" s="6" t="inlineStr">
        <is>
          <t>DIA</t>
        </is>
      </c>
      <c r="D81" s="6" t="inlineStr">
        <is>
          <t>MCD</t>
        </is>
      </c>
      <c r="E81" s="6" t="inlineStr">
        <is>
          <t>MCD</t>
        </is>
      </c>
      <c r="F81" s="6" t="inlineStr">
        <is>
          <t>-</t>
        </is>
      </c>
      <c r="G81" s="7" t="n">
        <v>247.5048675537109</v>
      </c>
      <c r="H81" s="6">
        <f>P50</f>
        <v/>
      </c>
      <c r="I81" s="9">
        <f>Q50</f>
        <v/>
      </c>
      <c r="J81" s="7">
        <f>I81*G81</f>
        <v/>
      </c>
      <c r="K81" s="8">
        <f>IF($J$94=0,0,J81/$J$94)</f>
        <v/>
      </c>
      <c r="L81" s="6" t="inlineStr">
        <is>
          <t>REJECTED</t>
        </is>
      </c>
      <c r="M81" s="8" t="n">
        <v>0</v>
      </c>
      <c r="N81" s="7">
        <f>M81*$J$94-J81</f>
        <v/>
      </c>
      <c r="O81" s="9">
        <f>IF(G81=0,0,N81/G81)</f>
        <v/>
      </c>
      <c r="P81" s="6">
        <f>IF(M81&gt;0,D81,"")</f>
        <v/>
      </c>
      <c r="Q81" s="9">
        <f>I81+O81</f>
        <v/>
      </c>
      <c r="R81" s="7">
        <f>Q81*G81</f>
        <v/>
      </c>
      <c r="S81" s="8">
        <f>IF($R$94=0,0,R81/$R$94)</f>
        <v/>
      </c>
      <c r="T81" s="8" t="n">
        <v>0</v>
      </c>
      <c r="U81" s="8" t="n">
        <v>-0.02648999931256368</v>
      </c>
      <c r="V81" s="6" t="inlineStr">
        <is>
          <t>not selected</t>
        </is>
      </c>
    </row>
    <row r="82">
      <c r="A82" s="6" t="inlineStr">
        <is>
          <t>DJ30</t>
        </is>
      </c>
      <c r="B82" s="6" t="inlineStr">
        <is>
          <t>2023-01-20</t>
        </is>
      </c>
      <c r="C82" s="6" t="inlineStr">
        <is>
          <t>DIA</t>
        </is>
      </c>
      <c r="D82" s="6" t="inlineStr">
        <is>
          <t>MMM</t>
        </is>
      </c>
      <c r="E82" s="6" t="inlineStr">
        <is>
          <t>MMM</t>
        </is>
      </c>
      <c r="F82" s="6" t="inlineStr">
        <is>
          <t>-</t>
        </is>
      </c>
      <c r="G82" s="7" t="n">
        <v>89.37119293212891</v>
      </c>
      <c r="H82" s="6">
        <f>P51</f>
        <v/>
      </c>
      <c r="I82" s="9">
        <f>Q51</f>
        <v/>
      </c>
      <c r="J82" s="7">
        <f>I82*G82</f>
        <v/>
      </c>
      <c r="K82" s="8">
        <f>IF($J$94=0,0,J82/$J$94)</f>
        <v/>
      </c>
      <c r="L82" s="6" t="inlineStr">
        <is>
          <t>REJECTED</t>
        </is>
      </c>
      <c r="M82" s="8" t="n">
        <v>0</v>
      </c>
      <c r="N82" s="7">
        <f>M82*$J$94-J82</f>
        <v/>
      </c>
      <c r="O82" s="9">
        <f>IF(G82=0,0,N82/G82)</f>
        <v/>
      </c>
      <c r="P82" s="6">
        <f>IF(M82&gt;0,D82,"")</f>
        <v/>
      </c>
      <c r="Q82" s="9">
        <f>I82+O82</f>
        <v/>
      </c>
      <c r="R82" s="7">
        <f>Q82*G82</f>
        <v/>
      </c>
      <c r="S82" s="8">
        <f>IF($R$94=0,0,R82/$R$94)</f>
        <v/>
      </c>
      <c r="T82" s="8" t="n">
        <v>0</v>
      </c>
      <c r="U82" s="8" t="n">
        <v>-0.02648999931256368</v>
      </c>
      <c r="V82" s="6" t="inlineStr">
        <is>
          <t>not selected</t>
        </is>
      </c>
    </row>
    <row r="83">
      <c r="A83" s="6" t="inlineStr">
        <is>
          <t>DJ30</t>
        </is>
      </c>
      <c r="B83" s="6" t="inlineStr">
        <is>
          <t>2023-01-20</t>
        </is>
      </c>
      <c r="C83" s="6" t="inlineStr">
        <is>
          <t>DIA</t>
        </is>
      </c>
      <c r="D83" s="6" t="inlineStr">
        <is>
          <t>MRK</t>
        </is>
      </c>
      <c r="E83" s="6" t="inlineStr">
        <is>
          <t>MRK</t>
        </is>
      </c>
      <c r="F83" s="6" t="inlineStr">
        <is>
          <t>-</t>
        </is>
      </c>
      <c r="G83" s="7" t="n">
        <v>98.88521575927734</v>
      </c>
      <c r="H83" s="6">
        <f>P52</f>
        <v/>
      </c>
      <c r="I83" s="9">
        <f>Q52</f>
        <v/>
      </c>
      <c r="J83" s="7">
        <f>I83*G83</f>
        <v/>
      </c>
      <c r="K83" s="8">
        <f>IF($J$94=0,0,J83/$J$94)</f>
        <v/>
      </c>
      <c r="L83" s="6" t="inlineStr">
        <is>
          <t>REJECTED</t>
        </is>
      </c>
      <c r="M83" s="8" t="n">
        <v>0</v>
      </c>
      <c r="N83" s="7">
        <f>M83*$J$94-J83</f>
        <v/>
      </c>
      <c r="O83" s="9">
        <f>IF(G83=0,0,N83/G83)</f>
        <v/>
      </c>
      <c r="P83" s="6">
        <f>IF(M83&gt;0,D83,"")</f>
        <v/>
      </c>
      <c r="Q83" s="9">
        <f>I83+O83</f>
        <v/>
      </c>
      <c r="R83" s="7">
        <f>Q83*G83</f>
        <v/>
      </c>
      <c r="S83" s="8">
        <f>IF($R$94=0,0,R83/$R$94)</f>
        <v/>
      </c>
      <c r="T83" s="8" t="n">
        <v>0</v>
      </c>
      <c r="U83" s="8" t="n">
        <v>-0.02648999931256368</v>
      </c>
      <c r="V83" s="6" t="inlineStr">
        <is>
          <t>not selected</t>
        </is>
      </c>
    </row>
    <row r="84">
      <c r="A84" s="6" t="inlineStr">
        <is>
          <t>DJ30</t>
        </is>
      </c>
      <c r="B84" s="6" t="inlineStr">
        <is>
          <t>2023-01-20</t>
        </is>
      </c>
      <c r="C84" s="6" t="inlineStr">
        <is>
          <t>DIA</t>
        </is>
      </c>
      <c r="D84" s="6" t="inlineStr">
        <is>
          <t>MSFT</t>
        </is>
      </c>
      <c r="E84" s="6" t="inlineStr">
        <is>
          <t>MSFT</t>
        </is>
      </c>
      <c r="F84" s="6" t="inlineStr">
        <is>
          <t>-</t>
        </is>
      </c>
      <c r="G84" s="7" t="n">
        <v>233.570541381836</v>
      </c>
      <c r="H84" s="6">
        <f>P53</f>
        <v/>
      </c>
      <c r="I84" s="9">
        <f>Q53</f>
        <v/>
      </c>
      <c r="J84" s="7">
        <f>I84*G84</f>
        <v/>
      </c>
      <c r="K84" s="8">
        <f>IF($J$94=0,0,J84/$J$94)</f>
        <v/>
      </c>
      <c r="L84" s="6" t="inlineStr">
        <is>
          <t>REJECTED</t>
        </is>
      </c>
      <c r="M84" s="8" t="n">
        <v>0</v>
      </c>
      <c r="N84" s="7">
        <f>M84*$J$94-J84</f>
        <v/>
      </c>
      <c r="O84" s="9">
        <f>IF(G84=0,0,N84/G84)</f>
        <v/>
      </c>
      <c r="P84" s="6">
        <f>IF(M84&gt;0,D84,"")</f>
        <v/>
      </c>
      <c r="Q84" s="9">
        <f>I84+O84</f>
        <v/>
      </c>
      <c r="R84" s="7">
        <f>Q84*G84</f>
        <v/>
      </c>
      <c r="S84" s="8">
        <f>IF($R$94=0,0,R84/$R$94)</f>
        <v/>
      </c>
      <c r="T84" s="8" t="n">
        <v>0</v>
      </c>
      <c r="U84" s="8" t="n">
        <v>-0.02648999931256368</v>
      </c>
      <c r="V84" s="6" t="inlineStr">
        <is>
          <t>not selected</t>
        </is>
      </c>
    </row>
    <row r="85">
      <c r="A85" s="6" t="inlineStr">
        <is>
          <t>DJ30</t>
        </is>
      </c>
      <c r="B85" s="6" t="inlineStr">
        <is>
          <t>2023-01-20</t>
        </is>
      </c>
      <c r="C85" s="6" t="inlineStr">
        <is>
          <t>DIA</t>
        </is>
      </c>
      <c r="D85" s="6" t="inlineStr">
        <is>
          <t>NKE</t>
        </is>
      </c>
      <c r="E85" s="6" t="inlineStr">
        <is>
          <t>NKE</t>
        </is>
      </c>
      <c r="F85" s="6" t="inlineStr">
        <is>
          <t>-</t>
        </is>
      </c>
      <c r="G85" s="7" t="n">
        <v>118.2257080078125</v>
      </c>
      <c r="H85" s="6">
        <f>P54</f>
        <v/>
      </c>
      <c r="I85" s="9">
        <f>Q54</f>
        <v/>
      </c>
      <c r="J85" s="7">
        <f>I85*G85</f>
        <v/>
      </c>
      <c r="K85" s="8">
        <f>IF($J$94=0,0,J85/$J$94)</f>
        <v/>
      </c>
      <c r="L85" s="6" t="inlineStr">
        <is>
          <t>REJECTED</t>
        </is>
      </c>
      <c r="M85" s="8" t="n">
        <v>0</v>
      </c>
      <c r="N85" s="7">
        <f>M85*$J$94-J85</f>
        <v/>
      </c>
      <c r="O85" s="9">
        <f>IF(G85=0,0,N85/G85)</f>
        <v/>
      </c>
      <c r="P85" s="6">
        <f>IF(M85&gt;0,D85,"")</f>
        <v/>
      </c>
      <c r="Q85" s="9">
        <f>I85+O85</f>
        <v/>
      </c>
      <c r="R85" s="7">
        <f>Q85*G85</f>
        <v/>
      </c>
      <c r="S85" s="8">
        <f>IF($R$94=0,0,R85/$R$94)</f>
        <v/>
      </c>
      <c r="T85" s="8" t="n">
        <v>0</v>
      </c>
      <c r="U85" s="8" t="n">
        <v>-0.02648999931256368</v>
      </c>
      <c r="V85" s="6" t="inlineStr">
        <is>
          <t>not selected</t>
        </is>
      </c>
    </row>
    <row r="86">
      <c r="A86" s="6" t="inlineStr">
        <is>
          <t>DJ30</t>
        </is>
      </c>
      <c r="B86" s="6" t="inlineStr">
        <is>
          <t>2023-01-20</t>
        </is>
      </c>
      <c r="C86" s="6" t="inlineStr">
        <is>
          <t>DIA</t>
        </is>
      </c>
      <c r="D86" s="6" t="inlineStr">
        <is>
          <t>NVDA</t>
        </is>
      </c>
      <c r="E86" s="6" t="inlineStr">
        <is>
          <t>NVDA</t>
        </is>
      </c>
      <c r="F86" s="6" t="inlineStr">
        <is>
          <t>-</t>
        </is>
      </c>
      <c r="G86" s="7" t="n">
        <v>17.79945182800293</v>
      </c>
      <c r="H86" s="6">
        <f>P55</f>
        <v/>
      </c>
      <c r="I86" s="9">
        <f>Q55</f>
        <v/>
      </c>
      <c r="J86" s="7">
        <f>I86*G86</f>
        <v/>
      </c>
      <c r="K86" s="8">
        <f>IF($J$94=0,0,J86/$J$94)</f>
        <v/>
      </c>
      <c r="L86" s="6" t="inlineStr">
        <is>
          <t>REJECTED</t>
        </is>
      </c>
      <c r="M86" s="8" t="n">
        <v>0</v>
      </c>
      <c r="N86" s="7">
        <f>M86*$J$94-J86</f>
        <v/>
      </c>
      <c r="O86" s="9">
        <f>IF(G86=0,0,N86/G86)</f>
        <v/>
      </c>
      <c r="P86" s="6">
        <f>IF(M86&gt;0,D86,"")</f>
        <v/>
      </c>
      <c r="Q86" s="9">
        <f>I86+O86</f>
        <v/>
      </c>
      <c r="R86" s="7">
        <f>Q86*G86</f>
        <v/>
      </c>
      <c r="S86" s="8">
        <f>IF($R$94=0,0,R86/$R$94)</f>
        <v/>
      </c>
      <c r="T86" s="8" t="n">
        <v>0</v>
      </c>
      <c r="U86" s="8" t="n">
        <v>-0.02648999931256368</v>
      </c>
      <c r="V86" s="6" t="inlineStr">
        <is>
          <t>not selected</t>
        </is>
      </c>
    </row>
    <row r="87">
      <c r="A87" s="6" t="inlineStr">
        <is>
          <t>DJ30</t>
        </is>
      </c>
      <c r="B87" s="6" t="inlineStr">
        <is>
          <t>2023-01-20</t>
        </is>
      </c>
      <c r="C87" s="6" t="inlineStr">
        <is>
          <t>DIA</t>
        </is>
      </c>
      <c r="D87" s="6" t="inlineStr">
        <is>
          <t>PG</t>
        </is>
      </c>
      <c r="E87" s="6" t="inlineStr">
        <is>
          <t>PG</t>
        </is>
      </c>
      <c r="F87" s="6" t="inlineStr">
        <is>
          <t>-</t>
        </is>
      </c>
      <c r="G87" s="7" t="n">
        <v>131.4433746337891</v>
      </c>
      <c r="H87" s="6">
        <f>P56</f>
        <v/>
      </c>
      <c r="I87" s="9">
        <f>Q56</f>
        <v/>
      </c>
      <c r="J87" s="7">
        <f>I87*G87</f>
        <v/>
      </c>
      <c r="K87" s="8">
        <f>IF($J$94=0,0,J87/$J$94)</f>
        <v/>
      </c>
      <c r="L87" s="6" t="inlineStr">
        <is>
          <t>REJECTED</t>
        </is>
      </c>
      <c r="M87" s="8" t="n">
        <v>0</v>
      </c>
      <c r="N87" s="7">
        <f>M87*$J$94-J87</f>
        <v/>
      </c>
      <c r="O87" s="9">
        <f>IF(G87=0,0,N87/G87)</f>
        <v/>
      </c>
      <c r="P87" s="6">
        <f>IF(M87&gt;0,D87,"")</f>
        <v/>
      </c>
      <c r="Q87" s="9">
        <f>I87+O87</f>
        <v/>
      </c>
      <c r="R87" s="7">
        <f>Q87*G87</f>
        <v/>
      </c>
      <c r="S87" s="8">
        <f>IF($R$94=0,0,R87/$R$94)</f>
        <v/>
      </c>
      <c r="T87" s="8" t="n">
        <v>0</v>
      </c>
      <c r="U87" s="8" t="n">
        <v>-0.02648999931256368</v>
      </c>
      <c r="V87" s="6" t="inlineStr">
        <is>
          <t>not selected</t>
        </is>
      </c>
    </row>
    <row r="88">
      <c r="A88" s="6" t="inlineStr">
        <is>
          <t>DJ30</t>
        </is>
      </c>
      <c r="B88" s="6" t="inlineStr">
        <is>
          <t>2023-01-20</t>
        </is>
      </c>
      <c r="C88" s="6" t="inlineStr">
        <is>
          <t>DIA</t>
        </is>
      </c>
      <c r="D88" s="6" t="inlineStr">
        <is>
          <t>SHW</t>
        </is>
      </c>
      <c r="E88" s="6" t="inlineStr">
        <is>
          <t>SHW</t>
        </is>
      </c>
      <c r="F88" s="6" t="inlineStr">
        <is>
          <t>-</t>
        </is>
      </c>
      <c r="G88" s="7" t="n">
        <v>237.6092987060547</v>
      </c>
      <c r="H88" s="6">
        <f>P57</f>
        <v/>
      </c>
      <c r="I88" s="9">
        <f>Q57</f>
        <v/>
      </c>
      <c r="J88" s="7">
        <f>I88*G88</f>
        <v/>
      </c>
      <c r="K88" s="8">
        <f>IF($J$94=0,0,J88/$J$94)</f>
        <v/>
      </c>
      <c r="L88" s="6" t="inlineStr">
        <is>
          <t>REJECTED</t>
        </is>
      </c>
      <c r="M88" s="8" t="n">
        <v>0</v>
      </c>
      <c r="N88" s="7">
        <f>M88*$J$94-J88</f>
        <v/>
      </c>
      <c r="O88" s="9">
        <f>IF(G88=0,0,N88/G88)</f>
        <v/>
      </c>
      <c r="P88" s="6">
        <f>IF(M88&gt;0,D88,"")</f>
        <v/>
      </c>
      <c r="Q88" s="9">
        <f>I88+O88</f>
        <v/>
      </c>
      <c r="R88" s="7">
        <f>Q88*G88</f>
        <v/>
      </c>
      <c r="S88" s="8">
        <f>IF($R$94=0,0,R88/$R$94)</f>
        <v/>
      </c>
      <c r="T88" s="8" t="n">
        <v>0</v>
      </c>
      <c r="U88" s="8" t="n">
        <v>-0.02648999931256368</v>
      </c>
      <c r="V88" s="6" t="inlineStr">
        <is>
          <t>not selected</t>
        </is>
      </c>
    </row>
    <row r="89">
      <c r="A89" s="6" t="inlineStr">
        <is>
          <t>DJ30</t>
        </is>
      </c>
      <c r="B89" s="6" t="inlineStr">
        <is>
          <t>2023-01-20</t>
        </is>
      </c>
      <c r="C89" s="6" t="inlineStr">
        <is>
          <t>DIA</t>
        </is>
      </c>
      <c r="D89" s="6" t="inlineStr">
        <is>
          <t>TRV</t>
        </is>
      </c>
      <c r="E89" s="6" t="inlineStr">
        <is>
          <t>TRV</t>
        </is>
      </c>
      <c r="F89" s="6" t="inlineStr">
        <is>
          <t>-</t>
        </is>
      </c>
      <c r="G89" s="7" t="n">
        <v>173.721923828125</v>
      </c>
      <c r="H89" s="6">
        <f>P58</f>
        <v/>
      </c>
      <c r="I89" s="9">
        <f>Q58</f>
        <v/>
      </c>
      <c r="J89" s="7">
        <f>I89*G89</f>
        <v/>
      </c>
      <c r="K89" s="8">
        <f>IF($J$94=0,0,J89/$J$94)</f>
        <v/>
      </c>
      <c r="L89" s="6" t="inlineStr">
        <is>
          <t>REJECTED</t>
        </is>
      </c>
      <c r="M89" s="8" t="n">
        <v>0</v>
      </c>
      <c r="N89" s="7">
        <f>M89*$J$94-J89</f>
        <v/>
      </c>
      <c r="O89" s="9">
        <f>IF(G89=0,0,N89/G89)</f>
        <v/>
      </c>
      <c r="P89" s="6">
        <f>IF(M89&gt;0,D89,"")</f>
        <v/>
      </c>
      <c r="Q89" s="9">
        <f>I89+O89</f>
        <v/>
      </c>
      <c r="R89" s="7">
        <f>Q89*G89</f>
        <v/>
      </c>
      <c r="S89" s="8">
        <f>IF($R$94=0,0,R89/$R$94)</f>
        <v/>
      </c>
      <c r="T89" s="8" t="n">
        <v>0</v>
      </c>
      <c r="U89" s="8" t="n">
        <v>-0.02648999931256368</v>
      </c>
      <c r="V89" s="6" t="inlineStr">
        <is>
          <t>not selected</t>
        </is>
      </c>
    </row>
    <row r="90">
      <c r="A90" s="6" t="inlineStr">
        <is>
          <t>DJ30</t>
        </is>
      </c>
      <c r="B90" s="6" t="inlineStr">
        <is>
          <t>2023-01-20</t>
        </is>
      </c>
      <c r="C90" s="6" t="inlineStr">
        <is>
          <t>DIA</t>
        </is>
      </c>
      <c r="D90" s="6" t="inlineStr">
        <is>
          <t>UNH</t>
        </is>
      </c>
      <c r="E90" s="6" t="inlineStr">
        <is>
          <t>UNH</t>
        </is>
      </c>
      <c r="F90" s="6" t="inlineStr">
        <is>
          <t>-</t>
        </is>
      </c>
      <c r="G90" s="7" t="n">
        <v>454.6112670898438</v>
      </c>
      <c r="H90" s="6">
        <f>P59</f>
        <v/>
      </c>
      <c r="I90" s="9">
        <f>Q59</f>
        <v/>
      </c>
      <c r="J90" s="7">
        <f>I90*G90</f>
        <v/>
      </c>
      <c r="K90" s="8">
        <f>IF($J$94=0,0,J90/$J$94)</f>
        <v/>
      </c>
      <c r="L90" s="6" t="inlineStr">
        <is>
          <t>REJECTED</t>
        </is>
      </c>
      <c r="M90" s="8" t="n">
        <v>0</v>
      </c>
      <c r="N90" s="7">
        <f>M90*$J$94-J90</f>
        <v/>
      </c>
      <c r="O90" s="9">
        <f>IF(G90=0,0,N90/G90)</f>
        <v/>
      </c>
      <c r="P90" s="6">
        <f>IF(M90&gt;0,D90,"")</f>
        <v/>
      </c>
      <c r="Q90" s="9">
        <f>I90+O90</f>
        <v/>
      </c>
      <c r="R90" s="7">
        <f>Q90*G90</f>
        <v/>
      </c>
      <c r="S90" s="8">
        <f>IF($R$94=0,0,R90/$R$94)</f>
        <v/>
      </c>
      <c r="T90" s="8" t="n">
        <v>0</v>
      </c>
      <c r="U90" s="8" t="n">
        <v>-0.02648999931256368</v>
      </c>
      <c r="V90" s="6" t="inlineStr">
        <is>
          <t>not selected</t>
        </is>
      </c>
    </row>
    <row r="91">
      <c r="A91" s="6" t="inlineStr">
        <is>
          <t>DJ30</t>
        </is>
      </c>
      <c r="B91" s="6" t="inlineStr">
        <is>
          <t>2023-01-20</t>
        </is>
      </c>
      <c r="C91" s="6" t="inlineStr">
        <is>
          <t>DIA</t>
        </is>
      </c>
      <c r="D91" s="6" t="inlineStr">
        <is>
          <t>V</t>
        </is>
      </c>
      <c r="E91" s="6" t="inlineStr">
        <is>
          <t>V</t>
        </is>
      </c>
      <c r="F91" s="6" t="inlineStr">
        <is>
          <t>-</t>
        </is>
      </c>
      <c r="G91" s="7" t="n">
        <v>218.3930358886719</v>
      </c>
      <c r="H91" s="6">
        <f>P60</f>
        <v/>
      </c>
      <c r="I91" s="9">
        <f>Q60</f>
        <v/>
      </c>
      <c r="J91" s="7">
        <f>I91*G91</f>
        <v/>
      </c>
      <c r="K91" s="8">
        <f>IF($J$94=0,0,J91/$J$94)</f>
        <v/>
      </c>
      <c r="L91" s="6" t="inlineStr">
        <is>
          <t>REJECTED</t>
        </is>
      </c>
      <c r="M91" s="8" t="n">
        <v>0</v>
      </c>
      <c r="N91" s="7">
        <f>M91*$J$94-J91</f>
        <v/>
      </c>
      <c r="O91" s="9">
        <f>IF(G91=0,0,N91/G91)</f>
        <v/>
      </c>
      <c r="P91" s="6">
        <f>IF(M91&gt;0,D91,"")</f>
        <v/>
      </c>
      <c r="Q91" s="9">
        <f>I91+O91</f>
        <v/>
      </c>
      <c r="R91" s="7">
        <f>Q91*G91</f>
        <v/>
      </c>
      <c r="S91" s="8">
        <f>IF($R$94=0,0,R91/$R$94)</f>
        <v/>
      </c>
      <c r="T91" s="8" t="n">
        <v>0</v>
      </c>
      <c r="U91" s="8" t="n">
        <v>-0.02648999931256368</v>
      </c>
      <c r="V91" s="6" t="inlineStr">
        <is>
          <t>not selected</t>
        </is>
      </c>
    </row>
    <row r="92">
      <c r="A92" s="6" t="inlineStr">
        <is>
          <t>DJ30</t>
        </is>
      </c>
      <c r="B92" s="6" t="inlineStr">
        <is>
          <t>2023-01-20</t>
        </is>
      </c>
      <c r="C92" s="6" t="inlineStr">
        <is>
          <t>DIA</t>
        </is>
      </c>
      <c r="D92" s="6" t="inlineStr">
        <is>
          <t>VZ</t>
        </is>
      </c>
      <c r="E92" s="6" t="inlineStr">
        <is>
          <t>VZ</t>
        </is>
      </c>
      <c r="F92" s="6" t="inlineStr">
        <is>
          <t>-</t>
        </is>
      </c>
      <c r="G92" s="7" t="n">
        <v>32.14895629882812</v>
      </c>
      <c r="H92" s="6">
        <f>P61</f>
        <v/>
      </c>
      <c r="I92" s="9">
        <f>Q61</f>
        <v/>
      </c>
      <c r="J92" s="7">
        <f>I92*G92</f>
        <v/>
      </c>
      <c r="K92" s="8">
        <f>IF($J$94=0,0,J92/$J$94)</f>
        <v/>
      </c>
      <c r="L92" s="6" t="inlineStr">
        <is>
          <t>REJECTED</t>
        </is>
      </c>
      <c r="M92" s="8" t="n">
        <v>0</v>
      </c>
      <c r="N92" s="7">
        <f>M92*$J$94-J92</f>
        <v/>
      </c>
      <c r="O92" s="9">
        <f>IF(G92=0,0,N92/G92)</f>
        <v/>
      </c>
      <c r="P92" s="6">
        <f>IF(M92&gt;0,D92,"")</f>
        <v/>
      </c>
      <c r="Q92" s="9">
        <f>I92+O92</f>
        <v/>
      </c>
      <c r="R92" s="7">
        <f>Q92*G92</f>
        <v/>
      </c>
      <c r="S92" s="8">
        <f>IF($R$94=0,0,R92/$R$94)</f>
        <v/>
      </c>
      <c r="T92" s="8" t="n">
        <v>0</v>
      </c>
      <c r="U92" s="8" t="n">
        <v>-0.02648999931256368</v>
      </c>
      <c r="V92" s="6" t="inlineStr">
        <is>
          <t>not selected</t>
        </is>
      </c>
    </row>
    <row r="93">
      <c r="A93" s="6" t="inlineStr">
        <is>
          <t>DJ30</t>
        </is>
      </c>
      <c r="B93" s="6" t="inlineStr">
        <is>
          <t>2023-01-20</t>
        </is>
      </c>
      <c r="C93" s="6" t="inlineStr">
        <is>
          <t>DIA</t>
        </is>
      </c>
      <c r="D93" s="6" t="inlineStr">
        <is>
          <t>WMT</t>
        </is>
      </c>
      <c r="E93" s="6" t="inlineStr">
        <is>
          <t>WMT</t>
        </is>
      </c>
      <c r="F93" s="6" t="inlineStr">
        <is>
          <t>-</t>
        </is>
      </c>
      <c r="G93" s="7" t="n">
        <v>44.98567199707031</v>
      </c>
      <c r="H93" s="6">
        <f>P62</f>
        <v/>
      </c>
      <c r="I93" s="9">
        <f>Q62</f>
        <v/>
      </c>
      <c r="J93" s="7">
        <f>I93*G93</f>
        <v/>
      </c>
      <c r="K93" s="8">
        <f>IF($J$94=0,0,J93/$J$94)</f>
        <v/>
      </c>
      <c r="L93" s="6" t="inlineStr">
        <is>
          <t>REJECTED</t>
        </is>
      </c>
      <c r="M93" s="8" t="n">
        <v>0</v>
      </c>
      <c r="N93" s="7">
        <f>M93*$J$94-J93</f>
        <v/>
      </c>
      <c r="O93" s="9">
        <f>IF(G93=0,0,N93/G93)</f>
        <v/>
      </c>
      <c r="P93" s="6">
        <f>IF(M93&gt;0,D93,"")</f>
        <v/>
      </c>
      <c r="Q93" s="9">
        <f>I93+O93</f>
        <v/>
      </c>
      <c r="R93" s="7">
        <f>Q93*G93</f>
        <v/>
      </c>
      <c r="S93" s="8">
        <f>IF($R$94=0,0,R93/$R$94)</f>
        <v/>
      </c>
      <c r="T93" s="8" t="n">
        <v>0</v>
      </c>
      <c r="U93" s="8" t="n">
        <v>-0.02648999931256368</v>
      </c>
      <c r="V93" s="6" t="inlineStr">
        <is>
          <t>not selected</t>
        </is>
      </c>
    </row>
    <row r="94">
      <c r="A94" s="10" t="inlineStr">
        <is>
          <t>DJ30</t>
        </is>
      </c>
      <c r="B94" s="10" t="inlineStr">
        <is>
          <t>2023-01-20</t>
        </is>
      </c>
      <c r="C94" s="10" t="inlineStr">
        <is>
          <t>DIA</t>
        </is>
      </c>
      <c r="D94" s="10" t="inlineStr">
        <is>
          <t>Tot Portfolio</t>
        </is>
      </c>
      <c r="E94" s="10" t="inlineStr"/>
      <c r="F94" s="10" t="inlineStr"/>
      <c r="G94" s="11" t="inlineStr"/>
      <c r="H94" s="10" t="inlineStr"/>
      <c r="I94" s="12" t="inlineStr"/>
      <c r="J94" s="11">
        <f>SUM(J64:J93)</f>
        <v/>
      </c>
      <c r="K94" s="13">
        <f>SUM(K64:K93)</f>
        <v/>
      </c>
      <c r="L94" s="10" t="inlineStr">
        <is>
          <t>TOTAL</t>
        </is>
      </c>
      <c r="M94" s="13">
        <f>SUM(M64:M93)</f>
        <v/>
      </c>
      <c r="N94" s="11">
        <f>SUM(N64:N93)</f>
        <v/>
      </c>
      <c r="O94" s="12">
        <f>SUM(O64:O93)</f>
        <v/>
      </c>
      <c r="P94" s="10" t="inlineStr"/>
      <c r="Q94" s="12" t="inlineStr"/>
      <c r="R94" s="11">
        <f>SUM(R64:R93)</f>
        <v/>
      </c>
      <c r="S94" s="13">
        <f>SUM(S64:S93)</f>
        <v/>
      </c>
      <c r="T94" s="13" t="n">
        <v>0</v>
      </c>
      <c r="U94" s="13" t="n">
        <v>-0.02648999931256368</v>
      </c>
      <c r="V94" s="10" t="inlineStr"/>
    </row>
    <row r="95">
      <c r="A95" s="6" t="inlineStr">
        <is>
          <t>DJ30</t>
        </is>
      </c>
      <c r="B95" s="6" t="inlineStr">
        <is>
          <t>2023-01-27</t>
        </is>
      </c>
      <c r="C95" s="6" t="inlineStr">
        <is>
          <t>DIA</t>
        </is>
      </c>
      <c r="D95" s="6" t="inlineStr">
        <is>
          <t>AAPL</t>
        </is>
      </c>
      <c r="E95" s="6" t="inlineStr">
        <is>
          <t>AAPL</t>
        </is>
      </c>
      <c r="F95" s="6" t="inlineStr">
        <is>
          <t>-</t>
        </is>
      </c>
      <c r="G95" s="7" t="n">
        <v>143.4945983886719</v>
      </c>
      <c r="H95" s="6">
        <f>P64</f>
        <v/>
      </c>
      <c r="I95" s="9">
        <f>Q64</f>
        <v/>
      </c>
      <c r="J95" s="7">
        <f>I95*G95</f>
        <v/>
      </c>
      <c r="K95" s="8">
        <f>IF($J$125=0,0,J95/$J$125)</f>
        <v/>
      </c>
      <c r="L95" s="6" t="inlineStr">
        <is>
          <t>REJECTED</t>
        </is>
      </c>
      <c r="M95" s="8" t="n">
        <v>0</v>
      </c>
      <c r="N95" s="7">
        <f>M95*$J$125-J95</f>
        <v/>
      </c>
      <c r="O95" s="9">
        <f>IF(G95=0,0,N95/G95)</f>
        <v/>
      </c>
      <c r="P95" s="6">
        <f>IF(M95&gt;0,D95,"")</f>
        <v/>
      </c>
      <c r="Q95" s="9">
        <f>I95+O95</f>
        <v/>
      </c>
      <c r="R95" s="7">
        <f>Q95*G95</f>
        <v/>
      </c>
      <c r="S95" s="8">
        <f>IF($R$125=0,0,R95/$R$125)</f>
        <v/>
      </c>
      <c r="T95" s="8" t="n">
        <v>0</v>
      </c>
      <c r="U95" s="8" t="n">
        <v>0.01780147147191125</v>
      </c>
      <c r="V95" s="6" t="inlineStr">
        <is>
          <t>not selected</t>
        </is>
      </c>
    </row>
    <row r="96">
      <c r="A96" s="6" t="inlineStr">
        <is>
          <t>DJ30</t>
        </is>
      </c>
      <c r="B96" s="6" t="inlineStr">
        <is>
          <t>2023-01-27</t>
        </is>
      </c>
      <c r="C96" s="6" t="inlineStr">
        <is>
          <t>DIA</t>
        </is>
      </c>
      <c r="D96" s="6" t="inlineStr">
        <is>
          <t>AMGN</t>
        </is>
      </c>
      <c r="E96" s="6" t="inlineStr">
        <is>
          <t>AMGN</t>
        </is>
      </c>
      <c r="F96" s="6" t="inlineStr">
        <is>
          <t>-</t>
        </is>
      </c>
      <c r="G96" s="7" t="n">
        <v>227.159912109375</v>
      </c>
      <c r="H96" s="6">
        <f>P65</f>
        <v/>
      </c>
      <c r="I96" s="9">
        <f>Q65</f>
        <v/>
      </c>
      <c r="J96" s="7">
        <f>I96*G96</f>
        <v/>
      </c>
      <c r="K96" s="8">
        <f>IF($J$125=0,0,J96/$J$125)</f>
        <v/>
      </c>
      <c r="L96" s="6" t="inlineStr">
        <is>
          <t>REJECTED</t>
        </is>
      </c>
      <c r="M96" s="8" t="n">
        <v>0</v>
      </c>
      <c r="N96" s="7">
        <f>M96*$J$125-J96</f>
        <v/>
      </c>
      <c r="O96" s="9">
        <f>IF(G96=0,0,N96/G96)</f>
        <v/>
      </c>
      <c r="P96" s="6">
        <f>IF(M96&gt;0,D96,"")</f>
        <v/>
      </c>
      <c r="Q96" s="9">
        <f>I96+O96</f>
        <v/>
      </c>
      <c r="R96" s="7">
        <f>Q96*G96</f>
        <v/>
      </c>
      <c r="S96" s="8">
        <f>IF($R$125=0,0,R96/$R$125)</f>
        <v/>
      </c>
      <c r="T96" s="8" t="n">
        <v>0</v>
      </c>
      <c r="U96" s="8" t="n">
        <v>0.01780147147191125</v>
      </c>
      <c r="V96" s="6" t="inlineStr">
        <is>
          <t>not selected</t>
        </is>
      </c>
    </row>
    <row r="97">
      <c r="A97" s="6" t="inlineStr">
        <is>
          <t>DJ30</t>
        </is>
      </c>
      <c r="B97" s="6" t="inlineStr">
        <is>
          <t>2023-01-27</t>
        </is>
      </c>
      <c r="C97" s="6" t="inlineStr">
        <is>
          <t>DIA</t>
        </is>
      </c>
      <c r="D97" s="6" t="inlineStr">
        <is>
          <t>AMZN</t>
        </is>
      </c>
      <c r="E97" s="6" t="inlineStr">
        <is>
          <t>AMZN</t>
        </is>
      </c>
      <c r="F97" s="6" t="inlineStr">
        <is>
          <t>-</t>
        </is>
      </c>
      <c r="G97" s="7" t="n">
        <v>102.2399978637695</v>
      </c>
      <c r="H97" s="6">
        <f>P66</f>
        <v/>
      </c>
      <c r="I97" s="9">
        <f>Q66</f>
        <v/>
      </c>
      <c r="J97" s="7">
        <f>I97*G97</f>
        <v/>
      </c>
      <c r="K97" s="8">
        <f>IF($J$125=0,0,J97/$J$125)</f>
        <v/>
      </c>
      <c r="L97" s="6" t="inlineStr">
        <is>
          <t>REJECTED</t>
        </is>
      </c>
      <c r="M97" s="8" t="n">
        <v>0</v>
      </c>
      <c r="N97" s="7">
        <f>M97*$J$125-J97</f>
        <v/>
      </c>
      <c r="O97" s="9">
        <f>IF(G97=0,0,N97/G97)</f>
        <v/>
      </c>
      <c r="P97" s="6">
        <f>IF(M97&gt;0,D97,"")</f>
        <v/>
      </c>
      <c r="Q97" s="9">
        <f>I97+O97</f>
        <v/>
      </c>
      <c r="R97" s="7">
        <f>Q97*G97</f>
        <v/>
      </c>
      <c r="S97" s="8">
        <f>IF($R$125=0,0,R97/$R$125)</f>
        <v/>
      </c>
      <c r="T97" s="8" t="n">
        <v>0</v>
      </c>
      <c r="U97" s="8" t="n">
        <v>0.01780147147191125</v>
      </c>
      <c r="V97" s="6" t="inlineStr">
        <is>
          <t>not selected</t>
        </is>
      </c>
    </row>
    <row r="98">
      <c r="A98" s="6" t="inlineStr">
        <is>
          <t>DJ30</t>
        </is>
      </c>
      <c r="B98" s="6" t="inlineStr">
        <is>
          <t>2023-01-27</t>
        </is>
      </c>
      <c r="C98" s="6" t="inlineStr">
        <is>
          <t>DIA</t>
        </is>
      </c>
      <c r="D98" s="6" t="inlineStr">
        <is>
          <t>AXP</t>
        </is>
      </c>
      <c r="E98" s="6" t="inlineStr">
        <is>
          <t>AXP</t>
        </is>
      </c>
      <c r="F98" s="6" t="inlineStr">
        <is>
          <t>-</t>
        </is>
      </c>
      <c r="G98" s="7" t="n">
        <v>165.6837463378906</v>
      </c>
      <c r="H98" s="6">
        <f>P67</f>
        <v/>
      </c>
      <c r="I98" s="9">
        <f>Q67</f>
        <v/>
      </c>
      <c r="J98" s="7">
        <f>I98*G98</f>
        <v/>
      </c>
      <c r="K98" s="8">
        <f>IF($J$125=0,0,J98/$J$125)</f>
        <v/>
      </c>
      <c r="L98" s="6" t="inlineStr">
        <is>
          <t>REJECTED</t>
        </is>
      </c>
      <c r="M98" s="8" t="n">
        <v>0</v>
      </c>
      <c r="N98" s="7">
        <f>M98*$J$125-J98</f>
        <v/>
      </c>
      <c r="O98" s="9">
        <f>IF(G98=0,0,N98/G98)</f>
        <v/>
      </c>
      <c r="P98" s="6">
        <f>IF(M98&gt;0,D98,"")</f>
        <v/>
      </c>
      <c r="Q98" s="9">
        <f>I98+O98</f>
        <v/>
      </c>
      <c r="R98" s="7">
        <f>Q98*G98</f>
        <v/>
      </c>
      <c r="S98" s="8">
        <f>IF($R$125=0,0,R98/$R$125)</f>
        <v/>
      </c>
      <c r="T98" s="8" t="n">
        <v>0</v>
      </c>
      <c r="U98" s="8" t="n">
        <v>0.01780147147191125</v>
      </c>
      <c r="V98" s="6" t="inlineStr">
        <is>
          <t>not selected</t>
        </is>
      </c>
    </row>
    <row r="99">
      <c r="A99" s="6" t="inlineStr">
        <is>
          <t>DJ30</t>
        </is>
      </c>
      <c r="B99" s="6" t="inlineStr">
        <is>
          <t>2023-01-27</t>
        </is>
      </c>
      <c r="C99" s="6" t="inlineStr">
        <is>
          <t>DIA</t>
        </is>
      </c>
      <c r="D99" s="6" t="inlineStr">
        <is>
          <t>BA</t>
        </is>
      </c>
      <c r="E99" s="6" t="inlineStr">
        <is>
          <t>BA</t>
        </is>
      </c>
      <c r="F99" s="6" t="inlineStr">
        <is>
          <t>-</t>
        </is>
      </c>
      <c r="G99" s="7" t="n">
        <v>211.1699981689453</v>
      </c>
      <c r="H99" s="6">
        <f>P68</f>
        <v/>
      </c>
      <c r="I99" s="9">
        <f>Q68</f>
        <v/>
      </c>
      <c r="J99" s="7">
        <f>I99*G99</f>
        <v/>
      </c>
      <c r="K99" s="8">
        <f>IF($J$125=0,0,J99/$J$125)</f>
        <v/>
      </c>
      <c r="L99" s="6" t="inlineStr">
        <is>
          <t>REJECTED</t>
        </is>
      </c>
      <c r="M99" s="8" t="n">
        <v>0</v>
      </c>
      <c r="N99" s="7">
        <f>M99*$J$125-J99</f>
        <v/>
      </c>
      <c r="O99" s="9">
        <f>IF(G99=0,0,N99/G99)</f>
        <v/>
      </c>
      <c r="P99" s="6">
        <f>IF(M99&gt;0,D99,"")</f>
        <v/>
      </c>
      <c r="Q99" s="9">
        <f>I99+O99</f>
        <v/>
      </c>
      <c r="R99" s="7">
        <f>Q99*G99</f>
        <v/>
      </c>
      <c r="S99" s="8">
        <f>IF($R$125=0,0,R99/$R$125)</f>
        <v/>
      </c>
      <c r="T99" s="8" t="n">
        <v>0</v>
      </c>
      <c r="U99" s="8" t="n">
        <v>0.01780147147191125</v>
      </c>
      <c r="V99" s="6" t="inlineStr">
        <is>
          <t>not selected</t>
        </is>
      </c>
    </row>
    <row r="100">
      <c r="A100" s="6" t="inlineStr">
        <is>
          <t>DJ30</t>
        </is>
      </c>
      <c r="B100" s="6" t="inlineStr">
        <is>
          <t>2023-01-27</t>
        </is>
      </c>
      <c r="C100" s="6" t="inlineStr">
        <is>
          <t>DIA</t>
        </is>
      </c>
      <c r="D100" s="6" t="inlineStr">
        <is>
          <t>CAT</t>
        </is>
      </c>
      <c r="E100" s="6" t="inlineStr">
        <is>
          <t>CAT</t>
        </is>
      </c>
      <c r="F100" s="6" t="inlineStr">
        <is>
          <t>-</t>
        </is>
      </c>
      <c r="G100" s="7" t="n">
        <v>251.4757232666016</v>
      </c>
      <c r="H100" s="6">
        <f>P69</f>
        <v/>
      </c>
      <c r="I100" s="9">
        <f>Q69</f>
        <v/>
      </c>
      <c r="J100" s="7">
        <f>I100*G100</f>
        <v/>
      </c>
      <c r="K100" s="8">
        <f>IF($J$125=0,0,J100/$J$125)</f>
        <v/>
      </c>
      <c r="L100" s="6" t="inlineStr">
        <is>
          <t>REJECTED</t>
        </is>
      </c>
      <c r="M100" s="8" t="n">
        <v>0</v>
      </c>
      <c r="N100" s="7">
        <f>M100*$J$125-J100</f>
        <v/>
      </c>
      <c r="O100" s="9">
        <f>IF(G100=0,0,N100/G100)</f>
        <v/>
      </c>
      <c r="P100" s="6">
        <f>IF(M100&gt;0,D100,"")</f>
        <v/>
      </c>
      <c r="Q100" s="9">
        <f>I100+O100</f>
        <v/>
      </c>
      <c r="R100" s="7">
        <f>Q100*G100</f>
        <v/>
      </c>
      <c r="S100" s="8">
        <f>IF($R$125=0,0,R100/$R$125)</f>
        <v/>
      </c>
      <c r="T100" s="8" t="n">
        <v>0</v>
      </c>
      <c r="U100" s="8" t="n">
        <v>0.01780147147191125</v>
      </c>
      <c r="V100" s="6" t="inlineStr">
        <is>
          <t>not selected</t>
        </is>
      </c>
    </row>
    <row r="101">
      <c r="A101" s="6" t="inlineStr">
        <is>
          <t>DJ30</t>
        </is>
      </c>
      <c r="B101" s="6" t="inlineStr">
        <is>
          <t>2023-01-27</t>
        </is>
      </c>
      <c r="C101" s="6" t="inlineStr">
        <is>
          <t>DIA</t>
        </is>
      </c>
      <c r="D101" s="6" t="inlineStr">
        <is>
          <t>CRM</t>
        </is>
      </c>
      <c r="E101" s="6" t="inlineStr">
        <is>
          <t>CRM</t>
        </is>
      </c>
      <c r="F101" s="6" t="inlineStr">
        <is>
          <t>-</t>
        </is>
      </c>
      <c r="G101" s="7" t="n">
        <v>161.7221221923828</v>
      </c>
      <c r="H101" s="6">
        <f>P70</f>
        <v/>
      </c>
      <c r="I101" s="9">
        <f>Q70</f>
        <v/>
      </c>
      <c r="J101" s="7">
        <f>I101*G101</f>
        <v/>
      </c>
      <c r="K101" s="8">
        <f>IF($J$125=0,0,J101/$J$125)</f>
        <v/>
      </c>
      <c r="L101" s="6" t="inlineStr">
        <is>
          <t>REJECTED</t>
        </is>
      </c>
      <c r="M101" s="8" t="n">
        <v>0</v>
      </c>
      <c r="N101" s="7">
        <f>M101*$J$125-J101</f>
        <v/>
      </c>
      <c r="O101" s="9">
        <f>IF(G101=0,0,N101/G101)</f>
        <v/>
      </c>
      <c r="P101" s="6">
        <f>IF(M101&gt;0,D101,"")</f>
        <v/>
      </c>
      <c r="Q101" s="9">
        <f>I101+O101</f>
        <v/>
      </c>
      <c r="R101" s="7">
        <f>Q101*G101</f>
        <v/>
      </c>
      <c r="S101" s="8">
        <f>IF($R$125=0,0,R101/$R$125)</f>
        <v/>
      </c>
      <c r="T101" s="8" t="n">
        <v>0</v>
      </c>
      <c r="U101" s="8" t="n">
        <v>0.01780147147191125</v>
      </c>
      <c r="V101" s="6" t="inlineStr">
        <is>
          <t>not selected</t>
        </is>
      </c>
    </row>
    <row r="102">
      <c r="A102" s="6" t="inlineStr">
        <is>
          <t>DJ30</t>
        </is>
      </c>
      <c r="B102" s="6" t="inlineStr">
        <is>
          <t>2023-01-27</t>
        </is>
      </c>
      <c r="C102" s="6" t="inlineStr">
        <is>
          <t>DIA</t>
        </is>
      </c>
      <c r="D102" s="6" t="inlineStr">
        <is>
          <t>CSCO</t>
        </is>
      </c>
      <c r="E102" s="6" t="inlineStr">
        <is>
          <t>CSCO</t>
        </is>
      </c>
      <c r="F102" s="6" t="inlineStr">
        <is>
          <t>-</t>
        </is>
      </c>
      <c r="G102" s="7" t="n">
        <v>44.31405258178711</v>
      </c>
      <c r="H102" s="6">
        <f>P71</f>
        <v/>
      </c>
      <c r="I102" s="9">
        <f>Q71</f>
        <v/>
      </c>
      <c r="J102" s="7">
        <f>I102*G102</f>
        <v/>
      </c>
      <c r="K102" s="8">
        <f>IF($J$125=0,0,J102/$J$125)</f>
        <v/>
      </c>
      <c r="L102" s="6" t="inlineStr">
        <is>
          <t>REJECTED</t>
        </is>
      </c>
      <c r="M102" s="8" t="n">
        <v>0</v>
      </c>
      <c r="N102" s="7">
        <f>M102*$J$125-J102</f>
        <v/>
      </c>
      <c r="O102" s="9">
        <f>IF(G102=0,0,N102/G102)</f>
        <v/>
      </c>
      <c r="P102" s="6">
        <f>IF(M102&gt;0,D102,"")</f>
        <v/>
      </c>
      <c r="Q102" s="9">
        <f>I102+O102</f>
        <v/>
      </c>
      <c r="R102" s="7">
        <f>Q102*G102</f>
        <v/>
      </c>
      <c r="S102" s="8">
        <f>IF($R$125=0,0,R102/$R$125)</f>
        <v/>
      </c>
      <c r="T102" s="8" t="n">
        <v>0</v>
      </c>
      <c r="U102" s="8" t="n">
        <v>0.01780147147191125</v>
      </c>
      <c r="V102" s="6" t="inlineStr">
        <is>
          <t>not selected</t>
        </is>
      </c>
    </row>
    <row r="103">
      <c r="A103" s="6" t="inlineStr">
        <is>
          <t>DJ30</t>
        </is>
      </c>
      <c r="B103" s="6" t="inlineStr">
        <is>
          <t>2023-01-27</t>
        </is>
      </c>
      <c r="C103" s="6" t="inlineStr">
        <is>
          <t>DIA</t>
        </is>
      </c>
      <c r="D103" s="6" t="inlineStr">
        <is>
          <t>CVX</t>
        </is>
      </c>
      <c r="E103" s="6" t="inlineStr">
        <is>
          <t>CVX</t>
        </is>
      </c>
      <c r="F103" s="6" t="inlineStr">
        <is>
          <t>-</t>
        </is>
      </c>
      <c r="G103" s="7" t="n">
        <v>155.2462005615234</v>
      </c>
      <c r="H103" s="6">
        <f>P72</f>
        <v/>
      </c>
      <c r="I103" s="9">
        <f>Q72</f>
        <v/>
      </c>
      <c r="J103" s="7">
        <f>I103*G103</f>
        <v/>
      </c>
      <c r="K103" s="8">
        <f>IF($J$125=0,0,J103/$J$125)</f>
        <v/>
      </c>
      <c r="L103" s="6" t="inlineStr">
        <is>
          <t>REJECTED</t>
        </is>
      </c>
      <c r="M103" s="8" t="n">
        <v>0</v>
      </c>
      <c r="N103" s="7">
        <f>M103*$J$125-J103</f>
        <v/>
      </c>
      <c r="O103" s="9">
        <f>IF(G103=0,0,N103/G103)</f>
        <v/>
      </c>
      <c r="P103" s="6">
        <f>IF(M103&gt;0,D103,"")</f>
        <v/>
      </c>
      <c r="Q103" s="9">
        <f>I103+O103</f>
        <v/>
      </c>
      <c r="R103" s="7">
        <f>Q103*G103</f>
        <v/>
      </c>
      <c r="S103" s="8">
        <f>IF($R$125=0,0,R103/$R$125)</f>
        <v/>
      </c>
      <c r="T103" s="8" t="n">
        <v>0</v>
      </c>
      <c r="U103" s="8" t="n">
        <v>0.01780147147191125</v>
      </c>
      <c r="V103" s="6" t="inlineStr">
        <is>
          <t>not selected</t>
        </is>
      </c>
    </row>
    <row r="104">
      <c r="A104" s="6" t="inlineStr">
        <is>
          <t>DJ30</t>
        </is>
      </c>
      <c r="B104" s="6" t="inlineStr">
        <is>
          <t>2023-01-27</t>
        </is>
      </c>
      <c r="C104" s="6" t="inlineStr">
        <is>
          <t>DIA</t>
        </is>
      </c>
      <c r="D104" s="6" t="inlineStr">
        <is>
          <t>DIS</t>
        </is>
      </c>
      <c r="E104" s="6" t="inlineStr">
        <is>
          <t>DIS</t>
        </is>
      </c>
      <c r="F104" s="6" t="inlineStr">
        <is>
          <t>-</t>
        </is>
      </c>
      <c r="G104" s="7" t="n">
        <v>107.0197525024414</v>
      </c>
      <c r="H104" s="6">
        <f>P73</f>
        <v/>
      </c>
      <c r="I104" s="9">
        <f>Q73</f>
        <v/>
      </c>
      <c r="J104" s="7">
        <f>I104*G104</f>
        <v/>
      </c>
      <c r="K104" s="8">
        <f>IF($J$125=0,0,J104/$J$125)</f>
        <v/>
      </c>
      <c r="L104" s="6" t="inlineStr">
        <is>
          <t>REJECTED</t>
        </is>
      </c>
      <c r="M104" s="8" t="n">
        <v>0</v>
      </c>
      <c r="N104" s="7">
        <f>M104*$J$125-J104</f>
        <v/>
      </c>
      <c r="O104" s="9">
        <f>IF(G104=0,0,N104/G104)</f>
        <v/>
      </c>
      <c r="P104" s="6">
        <f>IF(M104&gt;0,D104,"")</f>
        <v/>
      </c>
      <c r="Q104" s="9">
        <f>I104+O104</f>
        <v/>
      </c>
      <c r="R104" s="7">
        <f>Q104*G104</f>
        <v/>
      </c>
      <c r="S104" s="8">
        <f>IF($R$125=0,0,R104/$R$125)</f>
        <v/>
      </c>
      <c r="T104" s="8" t="n">
        <v>0</v>
      </c>
      <c r="U104" s="8" t="n">
        <v>0.01780147147191125</v>
      </c>
      <c r="V104" s="6" t="inlineStr">
        <is>
          <t>not selected</t>
        </is>
      </c>
    </row>
    <row r="105">
      <c r="A105" s="6" t="inlineStr">
        <is>
          <t>DJ30</t>
        </is>
      </c>
      <c r="B105" s="6" t="inlineStr">
        <is>
          <t>2023-01-27</t>
        </is>
      </c>
      <c r="C105" s="6" t="inlineStr">
        <is>
          <t>DIA</t>
        </is>
      </c>
      <c r="D105" s="6" t="inlineStr">
        <is>
          <t>GS</t>
        </is>
      </c>
      <c r="E105" s="6" t="inlineStr">
        <is>
          <t>GS</t>
        </is>
      </c>
      <c r="F105" s="6" t="inlineStr">
        <is>
          <t>-</t>
        </is>
      </c>
      <c r="G105" s="7" t="n">
        <v>324.8822021484375</v>
      </c>
      <c r="H105" s="6">
        <f>P74</f>
        <v/>
      </c>
      <c r="I105" s="9">
        <f>Q74</f>
        <v/>
      </c>
      <c r="J105" s="7">
        <f>I105*G105</f>
        <v/>
      </c>
      <c r="K105" s="8">
        <f>IF($J$125=0,0,J105/$J$125)</f>
        <v/>
      </c>
      <c r="L105" s="6" t="inlineStr">
        <is>
          <t>REJECTED</t>
        </is>
      </c>
      <c r="M105" s="8" t="n">
        <v>0</v>
      </c>
      <c r="N105" s="7">
        <f>M105*$J$125-J105</f>
        <v/>
      </c>
      <c r="O105" s="9">
        <f>IF(G105=0,0,N105/G105)</f>
        <v/>
      </c>
      <c r="P105" s="6">
        <f>IF(M105&gt;0,D105,"")</f>
        <v/>
      </c>
      <c r="Q105" s="9">
        <f>I105+O105</f>
        <v/>
      </c>
      <c r="R105" s="7">
        <f>Q105*G105</f>
        <v/>
      </c>
      <c r="S105" s="8">
        <f>IF($R$125=0,0,R105/$R$125)</f>
        <v/>
      </c>
      <c r="T105" s="8" t="n">
        <v>0</v>
      </c>
      <c r="U105" s="8" t="n">
        <v>0.01780147147191125</v>
      </c>
      <c r="V105" s="6" t="inlineStr">
        <is>
          <t>not selected</t>
        </is>
      </c>
    </row>
    <row r="106">
      <c r="A106" s="6" t="inlineStr">
        <is>
          <t>DJ30</t>
        </is>
      </c>
      <c r="B106" s="6" t="inlineStr">
        <is>
          <t>2023-01-27</t>
        </is>
      </c>
      <c r="C106" s="6" t="inlineStr">
        <is>
          <t>DIA</t>
        </is>
      </c>
      <c r="D106" s="6" t="inlineStr">
        <is>
          <t>HD</t>
        </is>
      </c>
      <c r="E106" s="6" t="inlineStr">
        <is>
          <t>HD</t>
        </is>
      </c>
      <c r="F106" s="6" t="inlineStr">
        <is>
          <t>-</t>
        </is>
      </c>
      <c r="G106" s="7" t="n">
        <v>289.3150939941406</v>
      </c>
      <c r="H106" s="6">
        <f>P75</f>
        <v/>
      </c>
      <c r="I106" s="9">
        <f>Q75</f>
        <v/>
      </c>
      <c r="J106" s="7">
        <f>I106*G106</f>
        <v/>
      </c>
      <c r="K106" s="8">
        <f>IF($J$125=0,0,J106/$J$125)</f>
        <v/>
      </c>
      <c r="L106" s="6" t="inlineStr">
        <is>
          <t>REJECTED</t>
        </is>
      </c>
      <c r="M106" s="8" t="n">
        <v>0</v>
      </c>
      <c r="N106" s="7">
        <f>M106*$J$125-J106</f>
        <v/>
      </c>
      <c r="O106" s="9">
        <f>IF(G106=0,0,N106/G106)</f>
        <v/>
      </c>
      <c r="P106" s="6">
        <f>IF(M106&gt;0,D106,"")</f>
        <v/>
      </c>
      <c r="Q106" s="9">
        <f>I106+O106</f>
        <v/>
      </c>
      <c r="R106" s="7">
        <f>Q106*G106</f>
        <v/>
      </c>
      <c r="S106" s="8">
        <f>IF($R$125=0,0,R106/$R$125)</f>
        <v/>
      </c>
      <c r="T106" s="8" t="n">
        <v>0</v>
      </c>
      <c r="U106" s="8" t="n">
        <v>0.01780147147191125</v>
      </c>
      <c r="V106" s="6" t="inlineStr">
        <is>
          <t>not selected</t>
        </is>
      </c>
    </row>
    <row r="107">
      <c r="A107" s="6" t="inlineStr">
        <is>
          <t>DJ30</t>
        </is>
      </c>
      <c r="B107" s="6" t="inlineStr">
        <is>
          <t>2023-01-27</t>
        </is>
      </c>
      <c r="C107" s="6" t="inlineStr">
        <is>
          <t>DIA</t>
        </is>
      </c>
      <c r="D107" s="6" t="inlineStr">
        <is>
          <t>HON</t>
        </is>
      </c>
      <c r="E107" s="6" t="inlineStr">
        <is>
          <t>HON</t>
        </is>
      </c>
      <c r="F107" s="6" t="inlineStr">
        <is>
          <t>-</t>
        </is>
      </c>
      <c r="G107" s="7" t="n">
        <v>181.9896545410156</v>
      </c>
      <c r="H107" s="6">
        <f>P76</f>
        <v/>
      </c>
      <c r="I107" s="9">
        <f>Q76</f>
        <v/>
      </c>
      <c r="J107" s="7">
        <f>I107*G107</f>
        <v/>
      </c>
      <c r="K107" s="8">
        <f>IF($J$125=0,0,J107/$J$125)</f>
        <v/>
      </c>
      <c r="L107" s="6" t="inlineStr">
        <is>
          <t>REJECTED</t>
        </is>
      </c>
      <c r="M107" s="8" t="n">
        <v>0</v>
      </c>
      <c r="N107" s="7">
        <f>M107*$J$125-J107</f>
        <v/>
      </c>
      <c r="O107" s="9">
        <f>IF(G107=0,0,N107/G107)</f>
        <v/>
      </c>
      <c r="P107" s="6">
        <f>IF(M107&gt;0,D107,"")</f>
        <v/>
      </c>
      <c r="Q107" s="9">
        <f>I107+O107</f>
        <v/>
      </c>
      <c r="R107" s="7">
        <f>Q107*G107</f>
        <v/>
      </c>
      <c r="S107" s="8">
        <f>IF($R$125=0,0,R107/$R$125)</f>
        <v/>
      </c>
      <c r="T107" s="8" t="n">
        <v>0</v>
      </c>
      <c r="U107" s="8" t="n">
        <v>0.01780147147191125</v>
      </c>
      <c r="V107" s="6" t="inlineStr">
        <is>
          <t>not selected</t>
        </is>
      </c>
    </row>
    <row r="108">
      <c r="A108" s="6" t="inlineStr">
        <is>
          <t>DJ30</t>
        </is>
      </c>
      <c r="B108" s="6" t="inlineStr">
        <is>
          <t>2023-01-27</t>
        </is>
      </c>
      <c r="C108" s="6" t="inlineStr">
        <is>
          <t>DIA</t>
        </is>
      </c>
      <c r="D108" s="6" t="inlineStr">
        <is>
          <t>IBM</t>
        </is>
      </c>
      <c r="E108" s="6" t="inlineStr">
        <is>
          <t>IBM</t>
        </is>
      </c>
      <c r="F108" s="6" t="inlineStr">
        <is>
          <t>-</t>
        </is>
      </c>
      <c r="G108" s="7" t="n">
        <v>118.8943481445312</v>
      </c>
      <c r="H108" s="6">
        <f>P77</f>
        <v/>
      </c>
      <c r="I108" s="9">
        <f>Q77</f>
        <v/>
      </c>
      <c r="J108" s="7">
        <f>I108*G108</f>
        <v/>
      </c>
      <c r="K108" s="8">
        <f>IF($J$125=0,0,J108/$J$125)</f>
        <v/>
      </c>
      <c r="L108" s="6" t="inlineStr">
        <is>
          <t>REJECTED</t>
        </is>
      </c>
      <c r="M108" s="8" t="n">
        <v>0</v>
      </c>
      <c r="N108" s="7">
        <f>M108*$J$125-J108</f>
        <v/>
      </c>
      <c r="O108" s="9">
        <f>IF(G108=0,0,N108/G108)</f>
        <v/>
      </c>
      <c r="P108" s="6">
        <f>IF(M108&gt;0,D108,"")</f>
        <v/>
      </c>
      <c r="Q108" s="9">
        <f>I108+O108</f>
        <v/>
      </c>
      <c r="R108" s="7">
        <f>Q108*G108</f>
        <v/>
      </c>
      <c r="S108" s="8">
        <f>IF($R$125=0,0,R108/$R$125)</f>
        <v/>
      </c>
      <c r="T108" s="8" t="n">
        <v>0</v>
      </c>
      <c r="U108" s="8" t="n">
        <v>0.01780147147191125</v>
      </c>
      <c r="V108" s="6" t="inlineStr">
        <is>
          <t>not selected</t>
        </is>
      </c>
    </row>
    <row r="109">
      <c r="A109" s="6" t="inlineStr">
        <is>
          <t>DJ30</t>
        </is>
      </c>
      <c r="B109" s="6" t="inlineStr">
        <is>
          <t>2023-01-27</t>
        </is>
      </c>
      <c r="C109" s="6" t="inlineStr">
        <is>
          <t>DIA</t>
        </is>
      </c>
      <c r="D109" s="6" t="inlineStr">
        <is>
          <t>JNJ</t>
        </is>
      </c>
      <c r="E109" s="6" t="inlineStr">
        <is>
          <t>JNJ</t>
        </is>
      </c>
      <c r="F109" s="6" t="inlineStr">
        <is>
          <t>-</t>
        </is>
      </c>
      <c r="G109" s="7" t="n">
        <v>151.8786926269531</v>
      </c>
      <c r="H109" s="6">
        <f>P78</f>
        <v/>
      </c>
      <c r="I109" s="9">
        <f>Q78</f>
        <v/>
      </c>
      <c r="J109" s="7">
        <f>I109*G109</f>
        <v/>
      </c>
      <c r="K109" s="8">
        <f>IF($J$125=0,0,J109/$J$125)</f>
        <v/>
      </c>
      <c r="L109" s="6" t="inlineStr">
        <is>
          <t>REJECTED</t>
        </is>
      </c>
      <c r="M109" s="8" t="n">
        <v>0</v>
      </c>
      <c r="N109" s="7">
        <f>M109*$J$125-J109</f>
        <v/>
      </c>
      <c r="O109" s="9">
        <f>IF(G109=0,0,N109/G109)</f>
        <v/>
      </c>
      <c r="P109" s="6">
        <f>IF(M109&gt;0,D109,"")</f>
        <v/>
      </c>
      <c r="Q109" s="9">
        <f>I109+O109</f>
        <v/>
      </c>
      <c r="R109" s="7">
        <f>Q109*G109</f>
        <v/>
      </c>
      <c r="S109" s="8">
        <f>IF($R$125=0,0,R109/$R$125)</f>
        <v/>
      </c>
      <c r="T109" s="8" t="n">
        <v>0</v>
      </c>
      <c r="U109" s="8" t="n">
        <v>0.01780147147191125</v>
      </c>
      <c r="V109" s="6" t="inlineStr">
        <is>
          <t>not selected</t>
        </is>
      </c>
    </row>
    <row r="110">
      <c r="A110" s="6" t="inlineStr">
        <is>
          <t>DJ30</t>
        </is>
      </c>
      <c r="B110" s="6" t="inlineStr">
        <is>
          <t>2023-01-27</t>
        </is>
      </c>
      <c r="C110" s="6" t="inlineStr">
        <is>
          <t>DIA</t>
        </is>
      </c>
      <c r="D110" s="6" t="inlineStr">
        <is>
          <t>JPM</t>
        </is>
      </c>
      <c r="E110" s="6" t="inlineStr">
        <is>
          <t>JPM</t>
        </is>
      </c>
      <c r="F110" s="6" t="inlineStr">
        <is>
          <t>-</t>
        </is>
      </c>
      <c r="G110" s="7" t="n">
        <v>130.0293579101562</v>
      </c>
      <c r="H110" s="6">
        <f>P79</f>
        <v/>
      </c>
      <c r="I110" s="9">
        <f>Q79</f>
        <v/>
      </c>
      <c r="J110" s="7">
        <f>I110*G110</f>
        <v/>
      </c>
      <c r="K110" s="8">
        <f>IF($J$125=0,0,J110/$J$125)</f>
        <v/>
      </c>
      <c r="L110" s="6" t="inlineStr">
        <is>
          <t>REJECTED</t>
        </is>
      </c>
      <c r="M110" s="8" t="n">
        <v>0</v>
      </c>
      <c r="N110" s="7">
        <f>M110*$J$125-J110</f>
        <v/>
      </c>
      <c r="O110" s="9">
        <f>IF(G110=0,0,N110/G110)</f>
        <v/>
      </c>
      <c r="P110" s="6">
        <f>IF(M110&gt;0,D110,"")</f>
        <v/>
      </c>
      <c r="Q110" s="9">
        <f>I110+O110</f>
        <v/>
      </c>
      <c r="R110" s="7">
        <f>Q110*G110</f>
        <v/>
      </c>
      <c r="S110" s="8">
        <f>IF($R$125=0,0,R110/$R$125)</f>
        <v/>
      </c>
      <c r="T110" s="8" t="n">
        <v>0</v>
      </c>
      <c r="U110" s="8" t="n">
        <v>0.01780147147191125</v>
      </c>
      <c r="V110" s="6" t="inlineStr">
        <is>
          <t>not selected</t>
        </is>
      </c>
    </row>
    <row r="111">
      <c r="A111" s="6" t="inlineStr">
        <is>
          <t>DJ30</t>
        </is>
      </c>
      <c r="B111" s="6" t="inlineStr">
        <is>
          <t>2023-01-27</t>
        </is>
      </c>
      <c r="C111" s="6" t="inlineStr">
        <is>
          <t>DIA</t>
        </is>
      </c>
      <c r="D111" s="6" t="inlineStr">
        <is>
          <t>KO</t>
        </is>
      </c>
      <c r="E111" s="6" t="inlineStr">
        <is>
          <t>KO</t>
        </is>
      </c>
      <c r="F111" s="6" t="inlineStr">
        <is>
          <t>-</t>
        </is>
      </c>
      <c r="G111" s="7" t="n">
        <v>54.54178619384766</v>
      </c>
      <c r="H111" s="6">
        <f>P80</f>
        <v/>
      </c>
      <c r="I111" s="9">
        <f>Q80</f>
        <v/>
      </c>
      <c r="J111" s="7">
        <f>I111*G111</f>
        <v/>
      </c>
      <c r="K111" s="8">
        <f>IF($J$125=0,0,J111/$J$125)</f>
        <v/>
      </c>
      <c r="L111" s="6" t="inlineStr">
        <is>
          <t>REJECTED</t>
        </is>
      </c>
      <c r="M111" s="8" t="n">
        <v>0</v>
      </c>
      <c r="N111" s="7">
        <f>M111*$J$125-J111</f>
        <v/>
      </c>
      <c r="O111" s="9">
        <f>IF(G111=0,0,N111/G111)</f>
        <v/>
      </c>
      <c r="P111" s="6">
        <f>IF(M111&gt;0,D111,"")</f>
        <v/>
      </c>
      <c r="Q111" s="9">
        <f>I111+O111</f>
        <v/>
      </c>
      <c r="R111" s="7">
        <f>Q111*G111</f>
        <v/>
      </c>
      <c r="S111" s="8">
        <f>IF($R$125=0,0,R111/$R$125)</f>
        <v/>
      </c>
      <c r="T111" s="8" t="n">
        <v>0</v>
      </c>
      <c r="U111" s="8" t="n">
        <v>0.01780147147191125</v>
      </c>
      <c r="V111" s="6" t="inlineStr">
        <is>
          <t>not selected</t>
        </is>
      </c>
    </row>
    <row r="112">
      <c r="A112" s="6" t="inlineStr">
        <is>
          <t>DJ30</t>
        </is>
      </c>
      <c r="B112" s="6" t="inlineStr">
        <is>
          <t>2023-01-27</t>
        </is>
      </c>
      <c r="C112" s="6" t="inlineStr">
        <is>
          <t>DIA</t>
        </is>
      </c>
      <c r="D112" s="6" t="inlineStr">
        <is>
          <t>MCD</t>
        </is>
      </c>
      <c r="E112" s="6" t="inlineStr">
        <is>
          <t>MCD</t>
        </is>
      </c>
      <c r="F112" s="6" t="inlineStr">
        <is>
          <t>-</t>
        </is>
      </c>
      <c r="G112" s="7" t="n">
        <v>251.0803985595703</v>
      </c>
      <c r="H112" s="6">
        <f>P81</f>
        <v/>
      </c>
      <c r="I112" s="9">
        <f>Q81</f>
        <v/>
      </c>
      <c r="J112" s="7">
        <f>I112*G112</f>
        <v/>
      </c>
      <c r="K112" s="8">
        <f>IF($J$125=0,0,J112/$J$125)</f>
        <v/>
      </c>
      <c r="L112" s="6" t="inlineStr">
        <is>
          <t>REJECTED</t>
        </is>
      </c>
      <c r="M112" s="8" t="n">
        <v>0</v>
      </c>
      <c r="N112" s="7">
        <f>M112*$J$125-J112</f>
        <v/>
      </c>
      <c r="O112" s="9">
        <f>IF(G112=0,0,N112/G112)</f>
        <v/>
      </c>
      <c r="P112" s="6">
        <f>IF(M112&gt;0,D112,"")</f>
        <v/>
      </c>
      <c r="Q112" s="9">
        <f>I112+O112</f>
        <v/>
      </c>
      <c r="R112" s="7">
        <f>Q112*G112</f>
        <v/>
      </c>
      <c r="S112" s="8">
        <f>IF($R$125=0,0,R112/$R$125)</f>
        <v/>
      </c>
      <c r="T112" s="8" t="n">
        <v>0</v>
      </c>
      <c r="U112" s="8" t="n">
        <v>0.01780147147191125</v>
      </c>
      <c r="V112" s="6" t="inlineStr">
        <is>
          <t>not selected</t>
        </is>
      </c>
    </row>
    <row r="113">
      <c r="A113" s="6" t="inlineStr">
        <is>
          <t>DJ30</t>
        </is>
      </c>
      <c r="B113" s="6" t="inlineStr">
        <is>
          <t>2023-01-27</t>
        </is>
      </c>
      <c r="C113" s="6" t="inlineStr">
        <is>
          <t>DIA</t>
        </is>
      </c>
      <c r="D113" s="6" t="inlineStr">
        <is>
          <t>MMM</t>
        </is>
      </c>
      <c r="E113" s="6" t="inlineStr">
        <is>
          <t>MMM</t>
        </is>
      </c>
      <c r="F113" s="6" t="inlineStr">
        <is>
          <t>-</t>
        </is>
      </c>
      <c r="G113" s="7" t="n">
        <v>85.37117004394531</v>
      </c>
      <c r="H113" s="6">
        <f>P82</f>
        <v/>
      </c>
      <c r="I113" s="9">
        <f>Q82</f>
        <v/>
      </c>
      <c r="J113" s="7">
        <f>I113*G113</f>
        <v/>
      </c>
      <c r="K113" s="8">
        <f>IF($J$125=0,0,J113/$J$125)</f>
        <v/>
      </c>
      <c r="L113" s="6" t="inlineStr">
        <is>
          <t>REJECTED</t>
        </is>
      </c>
      <c r="M113" s="8" t="n">
        <v>0</v>
      </c>
      <c r="N113" s="7">
        <f>M113*$J$125-J113</f>
        <v/>
      </c>
      <c r="O113" s="9">
        <f>IF(G113=0,0,N113/G113)</f>
        <v/>
      </c>
      <c r="P113" s="6">
        <f>IF(M113&gt;0,D113,"")</f>
        <v/>
      </c>
      <c r="Q113" s="9">
        <f>I113+O113</f>
        <v/>
      </c>
      <c r="R113" s="7">
        <f>Q113*G113</f>
        <v/>
      </c>
      <c r="S113" s="8">
        <f>IF($R$125=0,0,R113/$R$125)</f>
        <v/>
      </c>
      <c r="T113" s="8" t="n">
        <v>0</v>
      </c>
      <c r="U113" s="8" t="n">
        <v>0.01780147147191125</v>
      </c>
      <c r="V113" s="6" t="inlineStr">
        <is>
          <t>not selected</t>
        </is>
      </c>
    </row>
    <row r="114">
      <c r="A114" s="6" t="inlineStr">
        <is>
          <t>DJ30</t>
        </is>
      </c>
      <c r="B114" s="6" t="inlineStr">
        <is>
          <t>2023-01-27</t>
        </is>
      </c>
      <c r="C114" s="6" t="inlineStr">
        <is>
          <t>DIA</t>
        </is>
      </c>
      <c r="D114" s="6" t="inlineStr">
        <is>
          <t>MRK</t>
        </is>
      </c>
      <c r="E114" s="6" t="inlineStr">
        <is>
          <t>MRK</t>
        </is>
      </c>
      <c r="F114" s="6" t="inlineStr">
        <is>
          <t>-</t>
        </is>
      </c>
      <c r="G114" s="7" t="n">
        <v>94.7837371826172</v>
      </c>
      <c r="H114" s="6">
        <f>P83</f>
        <v/>
      </c>
      <c r="I114" s="9">
        <f>Q83</f>
        <v/>
      </c>
      <c r="J114" s="7">
        <f>I114*G114</f>
        <v/>
      </c>
      <c r="K114" s="8">
        <f>IF($J$125=0,0,J114/$J$125)</f>
        <v/>
      </c>
      <c r="L114" s="6" t="inlineStr">
        <is>
          <t>REJECTED</t>
        </is>
      </c>
      <c r="M114" s="8" t="n">
        <v>0</v>
      </c>
      <c r="N114" s="7">
        <f>M114*$J$125-J114</f>
        <v/>
      </c>
      <c r="O114" s="9">
        <f>IF(G114=0,0,N114/G114)</f>
        <v/>
      </c>
      <c r="P114" s="6">
        <f>IF(M114&gt;0,D114,"")</f>
        <v/>
      </c>
      <c r="Q114" s="9">
        <f>I114+O114</f>
        <v/>
      </c>
      <c r="R114" s="7">
        <f>Q114*G114</f>
        <v/>
      </c>
      <c r="S114" s="8">
        <f>IF($R$125=0,0,R114/$R$125)</f>
        <v/>
      </c>
      <c r="T114" s="8" t="n">
        <v>0</v>
      </c>
      <c r="U114" s="8" t="n">
        <v>0.01780147147191125</v>
      </c>
      <c r="V114" s="6" t="inlineStr">
        <is>
          <t>not selected</t>
        </is>
      </c>
    </row>
    <row r="115">
      <c r="A115" s="6" t="inlineStr">
        <is>
          <t>DJ30</t>
        </is>
      </c>
      <c r="B115" s="6" t="inlineStr">
        <is>
          <t>2023-01-27</t>
        </is>
      </c>
      <c r="C115" s="6" t="inlineStr">
        <is>
          <t>DIA</t>
        </is>
      </c>
      <c r="D115" s="6" t="inlineStr">
        <is>
          <t>MSFT</t>
        </is>
      </c>
      <c r="E115" s="6" t="inlineStr">
        <is>
          <t>MSFT</t>
        </is>
      </c>
      <c r="F115" s="6" t="inlineStr">
        <is>
          <t>-</t>
        </is>
      </c>
      <c r="G115" s="7" t="n">
        <v>241.290756225586</v>
      </c>
      <c r="H115" s="6">
        <f>P84</f>
        <v/>
      </c>
      <c r="I115" s="9">
        <f>Q84</f>
        <v/>
      </c>
      <c r="J115" s="7">
        <f>I115*G115</f>
        <v/>
      </c>
      <c r="K115" s="8">
        <f>IF($J$125=0,0,J115/$J$125)</f>
        <v/>
      </c>
      <c r="L115" s="6" t="inlineStr">
        <is>
          <t>REJECTED</t>
        </is>
      </c>
      <c r="M115" s="8" t="n">
        <v>0</v>
      </c>
      <c r="N115" s="7">
        <f>M115*$J$125-J115</f>
        <v/>
      </c>
      <c r="O115" s="9">
        <f>IF(G115=0,0,N115/G115)</f>
        <v/>
      </c>
      <c r="P115" s="6">
        <f>IF(M115&gt;0,D115,"")</f>
        <v/>
      </c>
      <c r="Q115" s="9">
        <f>I115+O115</f>
        <v/>
      </c>
      <c r="R115" s="7">
        <f>Q115*G115</f>
        <v/>
      </c>
      <c r="S115" s="8">
        <f>IF($R$125=0,0,R115/$R$125)</f>
        <v/>
      </c>
      <c r="T115" s="8" t="n">
        <v>0</v>
      </c>
      <c r="U115" s="8" t="n">
        <v>0.01780147147191125</v>
      </c>
      <c r="V115" s="6" t="inlineStr">
        <is>
          <t>not selected</t>
        </is>
      </c>
    </row>
    <row r="116">
      <c r="A116" s="6" t="inlineStr">
        <is>
          <t>DJ30</t>
        </is>
      </c>
      <c r="B116" s="6" t="inlineStr">
        <is>
          <t>2023-01-27</t>
        </is>
      </c>
      <c r="C116" s="6" t="inlineStr">
        <is>
          <t>DIA</t>
        </is>
      </c>
      <c r="D116" s="6" t="inlineStr">
        <is>
          <t>NKE</t>
        </is>
      </c>
      <c r="E116" s="6" t="inlineStr">
        <is>
          <t>NKE</t>
        </is>
      </c>
      <c r="F116" s="6" t="inlineStr">
        <is>
          <t>-</t>
        </is>
      </c>
      <c r="G116" s="7" t="n">
        <v>119.0753860473633</v>
      </c>
      <c r="H116" s="6">
        <f>P85</f>
        <v/>
      </c>
      <c r="I116" s="9">
        <f>Q85</f>
        <v/>
      </c>
      <c r="J116" s="7">
        <f>I116*G116</f>
        <v/>
      </c>
      <c r="K116" s="8">
        <f>IF($J$125=0,0,J116/$J$125)</f>
        <v/>
      </c>
      <c r="L116" s="6" t="inlineStr">
        <is>
          <t>REJECTED</t>
        </is>
      </c>
      <c r="M116" s="8" t="n">
        <v>0</v>
      </c>
      <c r="N116" s="7">
        <f>M116*$J$125-J116</f>
        <v/>
      </c>
      <c r="O116" s="9">
        <f>IF(G116=0,0,N116/G116)</f>
        <v/>
      </c>
      <c r="P116" s="6">
        <f>IF(M116&gt;0,D116,"")</f>
        <v/>
      </c>
      <c r="Q116" s="9">
        <f>I116+O116</f>
        <v/>
      </c>
      <c r="R116" s="7">
        <f>Q116*G116</f>
        <v/>
      </c>
      <c r="S116" s="8">
        <f>IF($R$125=0,0,R116/$R$125)</f>
        <v/>
      </c>
      <c r="T116" s="8" t="n">
        <v>0</v>
      </c>
      <c r="U116" s="8" t="n">
        <v>0.01780147147191125</v>
      </c>
      <c r="V116" s="6" t="inlineStr">
        <is>
          <t>not selected</t>
        </is>
      </c>
    </row>
    <row r="117">
      <c r="A117" s="6" t="inlineStr">
        <is>
          <t>DJ30</t>
        </is>
      </c>
      <c r="B117" s="6" t="inlineStr">
        <is>
          <t>2023-01-27</t>
        </is>
      </c>
      <c r="C117" s="6" t="inlineStr">
        <is>
          <t>DIA</t>
        </is>
      </c>
      <c r="D117" s="6" t="inlineStr">
        <is>
          <t>NVDA</t>
        </is>
      </c>
      <c r="E117" s="6" t="inlineStr">
        <is>
          <t>NVDA</t>
        </is>
      </c>
      <c r="F117" s="6" t="inlineStr">
        <is>
          <t>-</t>
        </is>
      </c>
      <c r="G117" s="7" t="n">
        <v>20.31985092163086</v>
      </c>
      <c r="H117" s="6">
        <f>P86</f>
        <v/>
      </c>
      <c r="I117" s="9">
        <f>Q86</f>
        <v/>
      </c>
      <c r="J117" s="7">
        <f>I117*G117</f>
        <v/>
      </c>
      <c r="K117" s="8">
        <f>IF($J$125=0,0,J117/$J$125)</f>
        <v/>
      </c>
      <c r="L117" s="6" t="inlineStr">
        <is>
          <t>REJECTED</t>
        </is>
      </c>
      <c r="M117" s="8" t="n">
        <v>0</v>
      </c>
      <c r="N117" s="7">
        <f>M117*$J$125-J117</f>
        <v/>
      </c>
      <c r="O117" s="9">
        <f>IF(G117=0,0,N117/G117)</f>
        <v/>
      </c>
      <c r="P117" s="6">
        <f>IF(M117&gt;0,D117,"")</f>
        <v/>
      </c>
      <c r="Q117" s="9">
        <f>I117+O117</f>
        <v/>
      </c>
      <c r="R117" s="7">
        <f>Q117*G117</f>
        <v/>
      </c>
      <c r="S117" s="8">
        <f>IF($R$125=0,0,R117/$R$125)</f>
        <v/>
      </c>
      <c r="T117" s="8" t="n">
        <v>0</v>
      </c>
      <c r="U117" s="8" t="n">
        <v>0.01780147147191125</v>
      </c>
      <c r="V117" s="6" t="inlineStr">
        <is>
          <t>not selected</t>
        </is>
      </c>
    </row>
    <row r="118">
      <c r="A118" s="6" t="inlineStr">
        <is>
          <t>DJ30</t>
        </is>
      </c>
      <c r="B118" s="6" t="inlineStr">
        <is>
          <t>2023-01-27</t>
        </is>
      </c>
      <c r="C118" s="6" t="inlineStr">
        <is>
          <t>DIA</t>
        </is>
      </c>
      <c r="D118" s="6" t="inlineStr">
        <is>
          <t>PG</t>
        </is>
      </c>
      <c r="E118" s="6" t="inlineStr">
        <is>
          <t>PG</t>
        </is>
      </c>
      <c r="F118" s="6" t="inlineStr">
        <is>
          <t>-</t>
        </is>
      </c>
      <c r="G118" s="7" t="n">
        <v>129.2368927001953</v>
      </c>
      <c r="H118" s="6">
        <f>P87</f>
        <v/>
      </c>
      <c r="I118" s="9">
        <f>Q87</f>
        <v/>
      </c>
      <c r="J118" s="7">
        <f>I118*G118</f>
        <v/>
      </c>
      <c r="K118" s="8">
        <f>IF($J$125=0,0,J118/$J$125)</f>
        <v/>
      </c>
      <c r="L118" s="6" t="inlineStr">
        <is>
          <t>REJECTED</t>
        </is>
      </c>
      <c r="M118" s="8" t="n">
        <v>0</v>
      </c>
      <c r="N118" s="7">
        <f>M118*$J$125-J118</f>
        <v/>
      </c>
      <c r="O118" s="9">
        <f>IF(G118=0,0,N118/G118)</f>
        <v/>
      </c>
      <c r="P118" s="6">
        <f>IF(M118&gt;0,D118,"")</f>
        <v/>
      </c>
      <c r="Q118" s="9">
        <f>I118+O118</f>
        <v/>
      </c>
      <c r="R118" s="7">
        <f>Q118*G118</f>
        <v/>
      </c>
      <c r="S118" s="8">
        <f>IF($R$125=0,0,R118/$R$125)</f>
        <v/>
      </c>
      <c r="T118" s="8" t="n">
        <v>0</v>
      </c>
      <c r="U118" s="8" t="n">
        <v>0.01780147147191125</v>
      </c>
      <c r="V118" s="6" t="inlineStr">
        <is>
          <t>not selected</t>
        </is>
      </c>
    </row>
    <row r="119">
      <c r="A119" s="6" t="inlineStr">
        <is>
          <t>DJ30</t>
        </is>
      </c>
      <c r="B119" s="6" t="inlineStr">
        <is>
          <t>2023-01-27</t>
        </is>
      </c>
      <c r="C119" s="6" t="inlineStr">
        <is>
          <t>DIA</t>
        </is>
      </c>
      <c r="D119" s="6" t="inlineStr">
        <is>
          <t>SHW</t>
        </is>
      </c>
      <c r="E119" s="6" t="inlineStr">
        <is>
          <t>SHW</t>
        </is>
      </c>
      <c r="F119" s="6" t="inlineStr">
        <is>
          <t>-</t>
        </is>
      </c>
      <c r="G119" s="7" t="n">
        <v>221.36572265625</v>
      </c>
      <c r="H119" s="6">
        <f>P88</f>
        <v/>
      </c>
      <c r="I119" s="9">
        <f>Q88</f>
        <v/>
      </c>
      <c r="J119" s="7">
        <f>I119*G119</f>
        <v/>
      </c>
      <c r="K119" s="8">
        <f>IF($J$125=0,0,J119/$J$125)</f>
        <v/>
      </c>
      <c r="L119" s="6" t="inlineStr">
        <is>
          <t>REJECTED</t>
        </is>
      </c>
      <c r="M119" s="8" t="n">
        <v>0</v>
      </c>
      <c r="N119" s="7">
        <f>M119*$J$125-J119</f>
        <v/>
      </c>
      <c r="O119" s="9">
        <f>IF(G119=0,0,N119/G119)</f>
        <v/>
      </c>
      <c r="P119" s="6">
        <f>IF(M119&gt;0,D119,"")</f>
        <v/>
      </c>
      <c r="Q119" s="9">
        <f>I119+O119</f>
        <v/>
      </c>
      <c r="R119" s="7">
        <f>Q119*G119</f>
        <v/>
      </c>
      <c r="S119" s="8">
        <f>IF($R$125=0,0,R119/$R$125)</f>
        <v/>
      </c>
      <c r="T119" s="8" t="n">
        <v>0</v>
      </c>
      <c r="U119" s="8" t="n">
        <v>0.01780147147191125</v>
      </c>
      <c r="V119" s="6" t="inlineStr">
        <is>
          <t>not selected</t>
        </is>
      </c>
    </row>
    <row r="120">
      <c r="A120" s="6" t="inlineStr">
        <is>
          <t>DJ30</t>
        </is>
      </c>
      <c r="B120" s="6" t="inlineStr">
        <is>
          <t>2023-01-27</t>
        </is>
      </c>
      <c r="C120" s="6" t="inlineStr">
        <is>
          <t>DIA</t>
        </is>
      </c>
      <c r="D120" s="6" t="inlineStr">
        <is>
          <t>TRV</t>
        </is>
      </c>
      <c r="E120" s="6" t="inlineStr">
        <is>
          <t>TRV</t>
        </is>
      </c>
      <c r="F120" s="6" t="inlineStr">
        <is>
          <t>-</t>
        </is>
      </c>
      <c r="G120" s="7" t="n">
        <v>176.9370880126953</v>
      </c>
      <c r="H120" s="6">
        <f>P89</f>
        <v/>
      </c>
      <c r="I120" s="9">
        <f>Q89</f>
        <v/>
      </c>
      <c r="J120" s="7">
        <f>I120*G120</f>
        <v/>
      </c>
      <c r="K120" s="8">
        <f>IF($J$125=0,0,J120/$J$125)</f>
        <v/>
      </c>
      <c r="L120" s="6" t="inlineStr">
        <is>
          <t>REJECTED</t>
        </is>
      </c>
      <c r="M120" s="8" t="n">
        <v>0</v>
      </c>
      <c r="N120" s="7">
        <f>M120*$J$125-J120</f>
        <v/>
      </c>
      <c r="O120" s="9">
        <f>IF(G120=0,0,N120/G120)</f>
        <v/>
      </c>
      <c r="P120" s="6">
        <f>IF(M120&gt;0,D120,"")</f>
        <v/>
      </c>
      <c r="Q120" s="9">
        <f>I120+O120</f>
        <v/>
      </c>
      <c r="R120" s="7">
        <f>Q120*G120</f>
        <v/>
      </c>
      <c r="S120" s="8">
        <f>IF($R$125=0,0,R120/$R$125)</f>
        <v/>
      </c>
      <c r="T120" s="8" t="n">
        <v>0</v>
      </c>
      <c r="U120" s="8" t="n">
        <v>0.01780147147191125</v>
      </c>
      <c r="V120" s="6" t="inlineStr">
        <is>
          <t>not selected</t>
        </is>
      </c>
    </row>
    <row r="121">
      <c r="A121" s="6" t="inlineStr">
        <is>
          <t>DJ30</t>
        </is>
      </c>
      <c r="B121" s="6" t="inlineStr">
        <is>
          <t>2023-01-27</t>
        </is>
      </c>
      <c r="C121" s="6" t="inlineStr">
        <is>
          <t>DIA</t>
        </is>
      </c>
      <c r="D121" s="6" t="inlineStr">
        <is>
          <t>UNH</t>
        </is>
      </c>
      <c r="E121" s="6" t="inlineStr">
        <is>
          <t>UNH</t>
        </is>
      </c>
      <c r="F121" s="6" t="inlineStr">
        <is>
          <t>-</t>
        </is>
      </c>
      <c r="G121" s="7" t="n">
        <v>453.9855346679688</v>
      </c>
      <c r="H121" s="6">
        <f>P90</f>
        <v/>
      </c>
      <c r="I121" s="9">
        <f>Q90</f>
        <v/>
      </c>
      <c r="J121" s="7">
        <f>I121*G121</f>
        <v/>
      </c>
      <c r="K121" s="8">
        <f>IF($J$125=0,0,J121/$J$125)</f>
        <v/>
      </c>
      <c r="L121" s="6" t="inlineStr">
        <is>
          <t>REJECTED</t>
        </is>
      </c>
      <c r="M121" s="8" t="n">
        <v>0</v>
      </c>
      <c r="N121" s="7">
        <f>M121*$J$125-J121</f>
        <v/>
      </c>
      <c r="O121" s="9">
        <f>IF(G121=0,0,N121/G121)</f>
        <v/>
      </c>
      <c r="P121" s="6">
        <f>IF(M121&gt;0,D121,"")</f>
        <v/>
      </c>
      <c r="Q121" s="9">
        <f>I121+O121</f>
        <v/>
      </c>
      <c r="R121" s="7">
        <f>Q121*G121</f>
        <v/>
      </c>
      <c r="S121" s="8">
        <f>IF($R$125=0,0,R121/$R$125)</f>
        <v/>
      </c>
      <c r="T121" s="8" t="n">
        <v>0</v>
      </c>
      <c r="U121" s="8" t="n">
        <v>0.01780147147191125</v>
      </c>
      <c r="V121" s="6" t="inlineStr">
        <is>
          <t>not selected</t>
        </is>
      </c>
    </row>
    <row r="122">
      <c r="A122" s="6" t="inlineStr">
        <is>
          <t>DJ30</t>
        </is>
      </c>
      <c r="B122" s="6" t="inlineStr">
        <is>
          <t>2023-01-27</t>
        </is>
      </c>
      <c r="C122" s="6" t="inlineStr">
        <is>
          <t>DIA</t>
        </is>
      </c>
      <c r="D122" s="6" t="inlineStr">
        <is>
          <t>V</t>
        </is>
      </c>
      <c r="E122" s="6" t="inlineStr">
        <is>
          <t>V</t>
        </is>
      </c>
      <c r="F122" s="6" t="inlineStr">
        <is>
          <t>-</t>
        </is>
      </c>
      <c r="G122" s="7" t="n">
        <v>225.3349456787109</v>
      </c>
      <c r="H122" s="6">
        <f>P91</f>
        <v/>
      </c>
      <c r="I122" s="9">
        <f>Q91</f>
        <v/>
      </c>
      <c r="J122" s="7">
        <f>I122*G122</f>
        <v/>
      </c>
      <c r="K122" s="8">
        <f>IF($J$125=0,0,J122/$J$125)</f>
        <v/>
      </c>
      <c r="L122" s="6" t="inlineStr">
        <is>
          <t>REJECTED</t>
        </is>
      </c>
      <c r="M122" s="8" t="n">
        <v>0</v>
      </c>
      <c r="N122" s="7">
        <f>M122*$J$125-J122</f>
        <v/>
      </c>
      <c r="O122" s="9">
        <f>IF(G122=0,0,N122/G122)</f>
        <v/>
      </c>
      <c r="P122" s="6">
        <f>IF(M122&gt;0,D122,"")</f>
        <v/>
      </c>
      <c r="Q122" s="9">
        <f>I122+O122</f>
        <v/>
      </c>
      <c r="R122" s="7">
        <f>Q122*G122</f>
        <v/>
      </c>
      <c r="S122" s="8">
        <f>IF($R$125=0,0,R122/$R$125)</f>
        <v/>
      </c>
      <c r="T122" s="8" t="n">
        <v>0</v>
      </c>
      <c r="U122" s="8" t="n">
        <v>0.01780147147191125</v>
      </c>
      <c r="V122" s="6" t="inlineStr">
        <is>
          <t>not selected</t>
        </is>
      </c>
    </row>
    <row r="123">
      <c r="A123" s="6" t="inlineStr">
        <is>
          <t>DJ30</t>
        </is>
      </c>
      <c r="B123" s="6" t="inlineStr">
        <is>
          <t>2023-01-27</t>
        </is>
      </c>
      <c r="C123" s="6" t="inlineStr">
        <is>
          <t>DIA</t>
        </is>
      </c>
      <c r="D123" s="6" t="inlineStr">
        <is>
          <t>VZ</t>
        </is>
      </c>
      <c r="E123" s="6" t="inlineStr">
        <is>
          <t>VZ</t>
        </is>
      </c>
      <c r="F123" s="6" t="inlineStr">
        <is>
          <t>-</t>
        </is>
      </c>
      <c r="G123" s="7" t="n">
        <v>32.66333770751953</v>
      </c>
      <c r="H123" s="6">
        <f>P92</f>
        <v/>
      </c>
      <c r="I123" s="9">
        <f>Q92</f>
        <v/>
      </c>
      <c r="J123" s="7">
        <f>I123*G123</f>
        <v/>
      </c>
      <c r="K123" s="8">
        <f>IF($J$125=0,0,J123/$J$125)</f>
        <v/>
      </c>
      <c r="L123" s="6" t="inlineStr">
        <is>
          <t>REJECTED</t>
        </is>
      </c>
      <c r="M123" s="8" t="n">
        <v>0</v>
      </c>
      <c r="N123" s="7">
        <f>M123*$J$125-J123</f>
        <v/>
      </c>
      <c r="O123" s="9">
        <f>IF(G123=0,0,N123/G123)</f>
        <v/>
      </c>
      <c r="P123" s="6">
        <f>IF(M123&gt;0,D123,"")</f>
        <v/>
      </c>
      <c r="Q123" s="9">
        <f>I123+O123</f>
        <v/>
      </c>
      <c r="R123" s="7">
        <f>Q123*G123</f>
        <v/>
      </c>
      <c r="S123" s="8">
        <f>IF($R$125=0,0,R123/$R$125)</f>
        <v/>
      </c>
      <c r="T123" s="8" t="n">
        <v>0</v>
      </c>
      <c r="U123" s="8" t="n">
        <v>0.01780147147191125</v>
      </c>
      <c r="V123" s="6" t="inlineStr">
        <is>
          <t>not selected</t>
        </is>
      </c>
    </row>
    <row r="124">
      <c r="A124" s="6" t="inlineStr">
        <is>
          <t>DJ30</t>
        </is>
      </c>
      <c r="B124" s="6" t="inlineStr">
        <is>
          <t>2023-01-27</t>
        </is>
      </c>
      <c r="C124" s="6" t="inlineStr">
        <is>
          <t>DIA</t>
        </is>
      </c>
      <c r="D124" s="6" t="inlineStr">
        <is>
          <t>WMT</t>
        </is>
      </c>
      <c r="E124" s="6" t="inlineStr">
        <is>
          <t>WMT</t>
        </is>
      </c>
      <c r="F124" s="6" t="inlineStr">
        <is>
          <t>-</t>
        </is>
      </c>
      <c r="G124" s="7" t="n">
        <v>45.86912155151367</v>
      </c>
      <c r="H124" s="6">
        <f>P93</f>
        <v/>
      </c>
      <c r="I124" s="9">
        <f>Q93</f>
        <v/>
      </c>
      <c r="J124" s="7">
        <f>I124*G124</f>
        <v/>
      </c>
      <c r="K124" s="8">
        <f>IF($J$125=0,0,J124/$J$125)</f>
        <v/>
      </c>
      <c r="L124" s="6" t="inlineStr">
        <is>
          <t>REJECTED</t>
        </is>
      </c>
      <c r="M124" s="8" t="n">
        <v>0</v>
      </c>
      <c r="N124" s="7">
        <f>M124*$J$125-J124</f>
        <v/>
      </c>
      <c r="O124" s="9">
        <f>IF(G124=0,0,N124/G124)</f>
        <v/>
      </c>
      <c r="P124" s="6">
        <f>IF(M124&gt;0,D124,"")</f>
        <v/>
      </c>
      <c r="Q124" s="9">
        <f>I124+O124</f>
        <v/>
      </c>
      <c r="R124" s="7">
        <f>Q124*G124</f>
        <v/>
      </c>
      <c r="S124" s="8">
        <f>IF($R$125=0,0,R124/$R$125)</f>
        <v/>
      </c>
      <c r="T124" s="8" t="n">
        <v>0</v>
      </c>
      <c r="U124" s="8" t="n">
        <v>0.01780147147191125</v>
      </c>
      <c r="V124" s="6" t="inlineStr">
        <is>
          <t>not selected</t>
        </is>
      </c>
    </row>
    <row r="125">
      <c r="A125" s="10" t="inlineStr">
        <is>
          <t>DJ30</t>
        </is>
      </c>
      <c r="B125" s="10" t="inlineStr">
        <is>
          <t>2023-01-27</t>
        </is>
      </c>
      <c r="C125" s="10" t="inlineStr">
        <is>
          <t>DIA</t>
        </is>
      </c>
      <c r="D125" s="10" t="inlineStr">
        <is>
          <t>Tot Portfolio</t>
        </is>
      </c>
      <c r="E125" s="10" t="inlineStr"/>
      <c r="F125" s="10" t="inlineStr"/>
      <c r="G125" s="11" t="inlineStr"/>
      <c r="H125" s="10" t="inlineStr"/>
      <c r="I125" s="12" t="inlineStr"/>
      <c r="J125" s="11">
        <f>SUM(J95:J124)</f>
        <v/>
      </c>
      <c r="K125" s="13">
        <f>SUM(K95:K124)</f>
        <v/>
      </c>
      <c r="L125" s="10" t="inlineStr">
        <is>
          <t>TOTAL</t>
        </is>
      </c>
      <c r="M125" s="13">
        <f>SUM(M95:M124)</f>
        <v/>
      </c>
      <c r="N125" s="11">
        <f>SUM(N95:N124)</f>
        <v/>
      </c>
      <c r="O125" s="12">
        <f>SUM(O95:O124)</f>
        <v/>
      </c>
      <c r="P125" s="10" t="inlineStr"/>
      <c r="Q125" s="12" t="inlineStr"/>
      <c r="R125" s="11">
        <f>SUM(R95:R124)</f>
        <v/>
      </c>
      <c r="S125" s="13">
        <f>SUM(S95:S124)</f>
        <v/>
      </c>
      <c r="T125" s="13" t="n">
        <v>0</v>
      </c>
      <c r="U125" s="13" t="n">
        <v>0.01780147147191125</v>
      </c>
      <c r="V125" s="10" t="inlineStr"/>
    </row>
    <row r="126">
      <c r="A126" s="6" t="inlineStr">
        <is>
          <t>DJ30</t>
        </is>
      </c>
      <c r="B126" s="6" t="inlineStr">
        <is>
          <t>2023-02-03</t>
        </is>
      </c>
      <c r="C126" s="6" t="inlineStr">
        <is>
          <t>DIA</t>
        </is>
      </c>
      <c r="D126" s="6" t="inlineStr">
        <is>
          <t>AAPL</t>
        </is>
      </c>
      <c r="E126" s="6" t="inlineStr">
        <is>
          <t>AAPL</t>
        </is>
      </c>
      <c r="F126" s="6" t="inlineStr">
        <is>
          <t>-</t>
        </is>
      </c>
      <c r="G126" s="7" t="n">
        <v>151.9215545654297</v>
      </c>
      <c r="H126" s="6">
        <f>P95</f>
        <v/>
      </c>
      <c r="I126" s="9">
        <f>Q95</f>
        <v/>
      </c>
      <c r="J126" s="7">
        <f>I126*G126</f>
        <v/>
      </c>
      <c r="K126" s="8">
        <f>IF($J$156=0,0,J126/$J$156)</f>
        <v/>
      </c>
      <c r="L126" s="6" t="inlineStr">
        <is>
          <t>REJECTED</t>
        </is>
      </c>
      <c r="M126" s="8" t="n">
        <v>0</v>
      </c>
      <c r="N126" s="7">
        <f>M126*$J$156-J126</f>
        <v/>
      </c>
      <c r="O126" s="9">
        <f>IF(G126=0,0,N126/G126)</f>
        <v/>
      </c>
      <c r="P126" s="6">
        <f>IF(M126&gt;0,D126,"")</f>
        <v/>
      </c>
      <c r="Q126" s="9">
        <f>I126+O126</f>
        <v/>
      </c>
      <c r="R126" s="7">
        <f>Q126*G126</f>
        <v/>
      </c>
      <c r="S126" s="8">
        <f>IF($R$156=0,0,R126/$R$156)</f>
        <v/>
      </c>
      <c r="T126" s="8" t="n">
        <v>0</v>
      </c>
      <c r="U126" s="8" t="n">
        <v>-0.00185493925226432</v>
      </c>
      <c r="V126" s="6" t="inlineStr">
        <is>
          <t>not selected</t>
        </is>
      </c>
    </row>
    <row r="127">
      <c r="A127" s="6" t="inlineStr">
        <is>
          <t>DJ30</t>
        </is>
      </c>
      <c r="B127" s="6" t="inlineStr">
        <is>
          <t>2023-02-03</t>
        </is>
      </c>
      <c r="C127" s="6" t="inlineStr">
        <is>
          <t>DIA</t>
        </is>
      </c>
      <c r="D127" s="6" t="inlineStr">
        <is>
          <t>AMGN</t>
        </is>
      </c>
      <c r="E127" s="6" t="inlineStr">
        <is>
          <t>AMGN</t>
        </is>
      </c>
      <c r="F127" s="6" t="inlineStr">
        <is>
          <t>-</t>
        </is>
      </c>
      <c r="G127" s="7" t="n">
        <v>219.5655212402344</v>
      </c>
      <c r="H127" s="6">
        <f>P96</f>
        <v/>
      </c>
      <c r="I127" s="9">
        <f>Q96</f>
        <v/>
      </c>
      <c r="J127" s="7">
        <f>I127*G127</f>
        <v/>
      </c>
      <c r="K127" s="8">
        <f>IF($J$156=0,0,J127/$J$156)</f>
        <v/>
      </c>
      <c r="L127" s="6" t="inlineStr">
        <is>
          <t>REJECTED</t>
        </is>
      </c>
      <c r="M127" s="8" t="n">
        <v>0</v>
      </c>
      <c r="N127" s="7">
        <f>M127*$J$156-J127</f>
        <v/>
      </c>
      <c r="O127" s="9">
        <f>IF(G127=0,0,N127/G127)</f>
        <v/>
      </c>
      <c r="P127" s="6">
        <f>IF(M127&gt;0,D127,"")</f>
        <v/>
      </c>
      <c r="Q127" s="9">
        <f>I127+O127</f>
        <v/>
      </c>
      <c r="R127" s="7">
        <f>Q127*G127</f>
        <v/>
      </c>
      <c r="S127" s="8">
        <f>IF($R$156=0,0,R127/$R$156)</f>
        <v/>
      </c>
      <c r="T127" s="8" t="n">
        <v>0</v>
      </c>
      <c r="U127" s="8" t="n">
        <v>-0.00185493925226432</v>
      </c>
      <c r="V127" s="6" t="inlineStr">
        <is>
          <t>not selected</t>
        </is>
      </c>
    </row>
    <row r="128">
      <c r="A128" s="6" t="inlineStr">
        <is>
          <t>DJ30</t>
        </is>
      </c>
      <c r="B128" s="6" t="inlineStr">
        <is>
          <t>2023-02-03</t>
        </is>
      </c>
      <c r="C128" s="6" t="inlineStr">
        <is>
          <t>DIA</t>
        </is>
      </c>
      <c r="D128" s="6" t="inlineStr">
        <is>
          <t>AMZN</t>
        </is>
      </c>
      <c r="E128" s="6" t="inlineStr">
        <is>
          <t>AMZN</t>
        </is>
      </c>
      <c r="F128" s="6" t="inlineStr">
        <is>
          <t>-</t>
        </is>
      </c>
      <c r="G128" s="7" t="n">
        <v>103.3899993896484</v>
      </c>
      <c r="H128" s="6">
        <f>P97</f>
        <v/>
      </c>
      <c r="I128" s="9">
        <f>Q97</f>
        <v/>
      </c>
      <c r="J128" s="7">
        <f>I128*G128</f>
        <v/>
      </c>
      <c r="K128" s="8">
        <f>IF($J$156=0,0,J128/$J$156)</f>
        <v/>
      </c>
      <c r="L128" s="6" t="inlineStr">
        <is>
          <t>REJECTED</t>
        </is>
      </c>
      <c r="M128" s="8" t="n">
        <v>0</v>
      </c>
      <c r="N128" s="7">
        <f>M128*$J$156-J128</f>
        <v/>
      </c>
      <c r="O128" s="9">
        <f>IF(G128=0,0,N128/G128)</f>
        <v/>
      </c>
      <c r="P128" s="6">
        <f>IF(M128&gt;0,D128,"")</f>
        <v/>
      </c>
      <c r="Q128" s="9">
        <f>I128+O128</f>
        <v/>
      </c>
      <c r="R128" s="7">
        <f>Q128*G128</f>
        <v/>
      </c>
      <c r="S128" s="8">
        <f>IF($R$156=0,0,R128/$R$156)</f>
        <v/>
      </c>
      <c r="T128" s="8" t="n">
        <v>0</v>
      </c>
      <c r="U128" s="8" t="n">
        <v>-0.00185493925226432</v>
      </c>
      <c r="V128" s="6" t="inlineStr">
        <is>
          <t>not selected</t>
        </is>
      </c>
    </row>
    <row r="129">
      <c r="A129" s="6" t="inlineStr">
        <is>
          <t>DJ30</t>
        </is>
      </c>
      <c r="B129" s="6" t="inlineStr">
        <is>
          <t>2023-02-03</t>
        </is>
      </c>
      <c r="C129" s="6" t="inlineStr">
        <is>
          <t>DIA</t>
        </is>
      </c>
      <c r="D129" s="6" t="inlineStr">
        <is>
          <t>AXP</t>
        </is>
      </c>
      <c r="E129" s="6" t="inlineStr">
        <is>
          <t>AXP</t>
        </is>
      </c>
      <c r="F129" s="6" t="inlineStr">
        <is>
          <t>-</t>
        </is>
      </c>
      <c r="G129" s="7" t="n">
        <v>171.9818420410156</v>
      </c>
      <c r="H129" s="6">
        <f>P98</f>
        <v/>
      </c>
      <c r="I129" s="9">
        <f>Q98</f>
        <v/>
      </c>
      <c r="J129" s="7">
        <f>I129*G129</f>
        <v/>
      </c>
      <c r="K129" s="8">
        <f>IF($J$156=0,0,J129/$J$156)</f>
        <v/>
      </c>
      <c r="L129" s="6" t="inlineStr">
        <is>
          <t>REJECTED</t>
        </is>
      </c>
      <c r="M129" s="8" t="n">
        <v>0</v>
      </c>
      <c r="N129" s="7">
        <f>M129*$J$156-J129</f>
        <v/>
      </c>
      <c r="O129" s="9">
        <f>IF(G129=0,0,N129/G129)</f>
        <v/>
      </c>
      <c r="P129" s="6">
        <f>IF(M129&gt;0,D129,"")</f>
        <v/>
      </c>
      <c r="Q129" s="9">
        <f>I129+O129</f>
        <v/>
      </c>
      <c r="R129" s="7">
        <f>Q129*G129</f>
        <v/>
      </c>
      <c r="S129" s="8">
        <f>IF($R$156=0,0,R129/$R$156)</f>
        <v/>
      </c>
      <c r="T129" s="8" t="n">
        <v>0</v>
      </c>
      <c r="U129" s="8" t="n">
        <v>-0.00185493925226432</v>
      </c>
      <c r="V129" s="6" t="inlineStr">
        <is>
          <t>not selected</t>
        </is>
      </c>
    </row>
    <row r="130">
      <c r="A130" s="6" t="inlineStr">
        <is>
          <t>DJ30</t>
        </is>
      </c>
      <c r="B130" s="6" t="inlineStr">
        <is>
          <t>2023-02-03</t>
        </is>
      </c>
      <c r="C130" s="6" t="inlineStr">
        <is>
          <t>DIA</t>
        </is>
      </c>
      <c r="D130" s="6" t="inlineStr">
        <is>
          <t>BA</t>
        </is>
      </c>
      <c r="E130" s="6" t="inlineStr">
        <is>
          <t>BA</t>
        </is>
      </c>
      <c r="F130" s="6" t="inlineStr">
        <is>
          <t>-</t>
        </is>
      </c>
      <c r="G130" s="7" t="n">
        <v>206.009994506836</v>
      </c>
      <c r="H130" s="6">
        <f>P99</f>
        <v/>
      </c>
      <c r="I130" s="9">
        <f>Q99</f>
        <v/>
      </c>
      <c r="J130" s="7">
        <f>I130*G130</f>
        <v/>
      </c>
      <c r="K130" s="8">
        <f>IF($J$156=0,0,J130/$J$156)</f>
        <v/>
      </c>
      <c r="L130" s="6" t="inlineStr">
        <is>
          <t>REJECTED</t>
        </is>
      </c>
      <c r="M130" s="8" t="n">
        <v>0</v>
      </c>
      <c r="N130" s="7">
        <f>M130*$J$156-J130</f>
        <v/>
      </c>
      <c r="O130" s="9">
        <f>IF(G130=0,0,N130/G130)</f>
        <v/>
      </c>
      <c r="P130" s="6">
        <f>IF(M130&gt;0,D130,"")</f>
        <v/>
      </c>
      <c r="Q130" s="9">
        <f>I130+O130</f>
        <v/>
      </c>
      <c r="R130" s="7">
        <f>Q130*G130</f>
        <v/>
      </c>
      <c r="S130" s="8">
        <f>IF($R$156=0,0,R130/$R$156)</f>
        <v/>
      </c>
      <c r="T130" s="8" t="n">
        <v>0</v>
      </c>
      <c r="U130" s="8" t="n">
        <v>-0.00185493925226432</v>
      </c>
      <c r="V130" s="6" t="inlineStr">
        <is>
          <t>not selected</t>
        </is>
      </c>
    </row>
    <row r="131">
      <c r="A131" s="6" t="inlineStr">
        <is>
          <t>DJ30</t>
        </is>
      </c>
      <c r="B131" s="6" t="inlineStr">
        <is>
          <t>2023-02-03</t>
        </is>
      </c>
      <c r="C131" s="6" t="inlineStr">
        <is>
          <t>DIA</t>
        </is>
      </c>
      <c r="D131" s="6" t="inlineStr">
        <is>
          <t>CAT</t>
        </is>
      </c>
      <c r="E131" s="6" t="inlineStr">
        <is>
          <t>CAT</t>
        </is>
      </c>
      <c r="F131" s="6" t="inlineStr">
        <is>
          <t>-</t>
        </is>
      </c>
      <c r="G131" s="7" t="n">
        <v>235.5243988037109</v>
      </c>
      <c r="H131" s="6">
        <f>P100</f>
        <v/>
      </c>
      <c r="I131" s="9">
        <f>Q100</f>
        <v/>
      </c>
      <c r="J131" s="7">
        <f>I131*G131</f>
        <v/>
      </c>
      <c r="K131" s="8">
        <f>IF($J$156=0,0,J131/$J$156)</f>
        <v/>
      </c>
      <c r="L131" s="6" t="inlineStr">
        <is>
          <t>REJECTED</t>
        </is>
      </c>
      <c r="M131" s="8" t="n">
        <v>0</v>
      </c>
      <c r="N131" s="7">
        <f>M131*$J$156-J131</f>
        <v/>
      </c>
      <c r="O131" s="9">
        <f>IF(G131=0,0,N131/G131)</f>
        <v/>
      </c>
      <c r="P131" s="6">
        <f>IF(M131&gt;0,D131,"")</f>
        <v/>
      </c>
      <c r="Q131" s="9">
        <f>I131+O131</f>
        <v/>
      </c>
      <c r="R131" s="7">
        <f>Q131*G131</f>
        <v/>
      </c>
      <c r="S131" s="8">
        <f>IF($R$156=0,0,R131/$R$156)</f>
        <v/>
      </c>
      <c r="T131" s="8" t="n">
        <v>0</v>
      </c>
      <c r="U131" s="8" t="n">
        <v>-0.00185493925226432</v>
      </c>
      <c r="V131" s="6" t="inlineStr">
        <is>
          <t>not selected</t>
        </is>
      </c>
    </row>
    <row r="132">
      <c r="A132" s="6" t="inlineStr">
        <is>
          <t>DJ30</t>
        </is>
      </c>
      <c r="B132" s="6" t="inlineStr">
        <is>
          <t>2023-02-03</t>
        </is>
      </c>
      <c r="C132" s="6" t="inlineStr">
        <is>
          <t>DIA</t>
        </is>
      </c>
      <c r="D132" s="6" t="inlineStr">
        <is>
          <t>CRM</t>
        </is>
      </c>
      <c r="E132" s="6" t="inlineStr">
        <is>
          <t>CRM</t>
        </is>
      </c>
      <c r="F132" s="6" t="inlineStr">
        <is>
          <t>-</t>
        </is>
      </c>
      <c r="G132" s="7" t="n">
        <v>168.1312255859375</v>
      </c>
      <c r="H132" s="6">
        <f>P101</f>
        <v/>
      </c>
      <c r="I132" s="9">
        <f>Q101</f>
        <v/>
      </c>
      <c r="J132" s="7">
        <f>I132*G132</f>
        <v/>
      </c>
      <c r="K132" s="8">
        <f>IF($J$156=0,0,J132/$J$156)</f>
        <v/>
      </c>
      <c r="L132" s="6" t="inlineStr">
        <is>
          <t>REJECTED</t>
        </is>
      </c>
      <c r="M132" s="8" t="n">
        <v>0</v>
      </c>
      <c r="N132" s="7">
        <f>M132*$J$156-J132</f>
        <v/>
      </c>
      <c r="O132" s="9">
        <f>IF(G132=0,0,N132/G132)</f>
        <v/>
      </c>
      <c r="P132" s="6">
        <f>IF(M132&gt;0,D132,"")</f>
        <v/>
      </c>
      <c r="Q132" s="9">
        <f>I132+O132</f>
        <v/>
      </c>
      <c r="R132" s="7">
        <f>Q132*G132</f>
        <v/>
      </c>
      <c r="S132" s="8">
        <f>IF($R$156=0,0,R132/$R$156)</f>
        <v/>
      </c>
      <c r="T132" s="8" t="n">
        <v>0</v>
      </c>
      <c r="U132" s="8" t="n">
        <v>-0.00185493925226432</v>
      </c>
      <c r="V132" s="6" t="inlineStr">
        <is>
          <t>not selected</t>
        </is>
      </c>
    </row>
    <row r="133">
      <c r="A133" s="6" t="inlineStr">
        <is>
          <t>DJ30</t>
        </is>
      </c>
      <c r="B133" s="6" t="inlineStr">
        <is>
          <t>2023-02-03</t>
        </is>
      </c>
      <c r="C133" s="6" t="inlineStr">
        <is>
          <t>DIA</t>
        </is>
      </c>
      <c r="D133" s="6" t="inlineStr">
        <is>
          <t>CSCO</t>
        </is>
      </c>
      <c r="E133" s="6" t="inlineStr">
        <is>
          <t>CSCO</t>
        </is>
      </c>
      <c r="F133" s="6" t="inlineStr">
        <is>
          <t>-</t>
        </is>
      </c>
      <c r="G133" s="7" t="n">
        <v>44.42367172241211</v>
      </c>
      <c r="H133" s="6">
        <f>P102</f>
        <v/>
      </c>
      <c r="I133" s="9">
        <f>Q102</f>
        <v/>
      </c>
      <c r="J133" s="7">
        <f>I133*G133</f>
        <v/>
      </c>
      <c r="K133" s="8">
        <f>IF($J$156=0,0,J133/$J$156)</f>
        <v/>
      </c>
      <c r="L133" s="6" t="inlineStr">
        <is>
          <t>REJECTED</t>
        </is>
      </c>
      <c r="M133" s="8" t="n">
        <v>0</v>
      </c>
      <c r="N133" s="7">
        <f>M133*$J$156-J133</f>
        <v/>
      </c>
      <c r="O133" s="9">
        <f>IF(G133=0,0,N133/G133)</f>
        <v/>
      </c>
      <c r="P133" s="6">
        <f>IF(M133&gt;0,D133,"")</f>
        <v/>
      </c>
      <c r="Q133" s="9">
        <f>I133+O133</f>
        <v/>
      </c>
      <c r="R133" s="7">
        <f>Q133*G133</f>
        <v/>
      </c>
      <c r="S133" s="8">
        <f>IF($R$156=0,0,R133/$R$156)</f>
        <v/>
      </c>
      <c r="T133" s="8" t="n">
        <v>0</v>
      </c>
      <c r="U133" s="8" t="n">
        <v>-0.00185493925226432</v>
      </c>
      <c r="V133" s="6" t="inlineStr">
        <is>
          <t>not selected</t>
        </is>
      </c>
    </row>
    <row r="134">
      <c r="A134" s="6" t="inlineStr">
        <is>
          <t>DJ30</t>
        </is>
      </c>
      <c r="B134" s="6" t="inlineStr">
        <is>
          <t>2023-02-03</t>
        </is>
      </c>
      <c r="C134" s="6" t="inlineStr">
        <is>
          <t>DIA</t>
        </is>
      </c>
      <c r="D134" s="6" t="inlineStr">
        <is>
          <t>CVX</t>
        </is>
      </c>
      <c r="E134" s="6" t="inlineStr">
        <is>
          <t>CVX</t>
        </is>
      </c>
      <c r="F134" s="6" t="inlineStr">
        <is>
          <t>-</t>
        </is>
      </c>
      <c r="G134" s="7" t="n">
        <v>146.5949401855469</v>
      </c>
      <c r="H134" s="6">
        <f>P103</f>
        <v/>
      </c>
      <c r="I134" s="9">
        <f>Q103</f>
        <v/>
      </c>
      <c r="J134" s="7">
        <f>I134*G134</f>
        <v/>
      </c>
      <c r="K134" s="8">
        <f>IF($J$156=0,0,J134/$J$156)</f>
        <v/>
      </c>
      <c r="L134" s="6" t="inlineStr">
        <is>
          <t>REJECTED</t>
        </is>
      </c>
      <c r="M134" s="8" t="n">
        <v>0</v>
      </c>
      <c r="N134" s="7">
        <f>M134*$J$156-J134</f>
        <v/>
      </c>
      <c r="O134" s="9">
        <f>IF(G134=0,0,N134/G134)</f>
        <v/>
      </c>
      <c r="P134" s="6">
        <f>IF(M134&gt;0,D134,"")</f>
        <v/>
      </c>
      <c r="Q134" s="9">
        <f>I134+O134</f>
        <v/>
      </c>
      <c r="R134" s="7">
        <f>Q134*G134</f>
        <v/>
      </c>
      <c r="S134" s="8">
        <f>IF($R$156=0,0,R134/$R$156)</f>
        <v/>
      </c>
      <c r="T134" s="8" t="n">
        <v>0</v>
      </c>
      <c r="U134" s="8" t="n">
        <v>-0.00185493925226432</v>
      </c>
      <c r="V134" s="6" t="inlineStr">
        <is>
          <t>not selected</t>
        </is>
      </c>
    </row>
    <row r="135">
      <c r="A135" s="6" t="inlineStr">
        <is>
          <t>DJ30</t>
        </is>
      </c>
      <c r="B135" s="6" t="inlineStr">
        <is>
          <t>2023-02-03</t>
        </is>
      </c>
      <c r="C135" s="6" t="inlineStr">
        <is>
          <t>DIA</t>
        </is>
      </c>
      <c r="D135" s="6" t="inlineStr">
        <is>
          <t>DIS</t>
        </is>
      </c>
      <c r="E135" s="6" t="inlineStr">
        <is>
          <t>DIS</t>
        </is>
      </c>
      <c r="F135" s="6" t="inlineStr">
        <is>
          <t>-</t>
        </is>
      </c>
      <c r="G135" s="7" t="n">
        <v>108.1628265380859</v>
      </c>
      <c r="H135" s="6">
        <f>P104</f>
        <v/>
      </c>
      <c r="I135" s="9">
        <f>Q104</f>
        <v/>
      </c>
      <c r="J135" s="7">
        <f>I135*G135</f>
        <v/>
      </c>
      <c r="K135" s="8">
        <f>IF($J$156=0,0,J135/$J$156)</f>
        <v/>
      </c>
      <c r="L135" s="6" t="inlineStr">
        <is>
          <t>REJECTED</t>
        </is>
      </c>
      <c r="M135" s="8" t="n">
        <v>0</v>
      </c>
      <c r="N135" s="7">
        <f>M135*$J$156-J135</f>
        <v/>
      </c>
      <c r="O135" s="9">
        <f>IF(G135=0,0,N135/G135)</f>
        <v/>
      </c>
      <c r="P135" s="6">
        <f>IF(M135&gt;0,D135,"")</f>
        <v/>
      </c>
      <c r="Q135" s="9">
        <f>I135+O135</f>
        <v/>
      </c>
      <c r="R135" s="7">
        <f>Q135*G135</f>
        <v/>
      </c>
      <c r="S135" s="8">
        <f>IF($R$156=0,0,R135/$R$156)</f>
        <v/>
      </c>
      <c r="T135" s="8" t="n">
        <v>0</v>
      </c>
      <c r="U135" s="8" t="n">
        <v>-0.00185493925226432</v>
      </c>
      <c r="V135" s="6" t="inlineStr">
        <is>
          <t>not selected</t>
        </is>
      </c>
    </row>
    <row r="136">
      <c r="A136" s="6" t="inlineStr">
        <is>
          <t>DJ30</t>
        </is>
      </c>
      <c r="B136" s="6" t="inlineStr">
        <is>
          <t>2023-02-03</t>
        </is>
      </c>
      <c r="C136" s="6" t="inlineStr">
        <is>
          <t>DIA</t>
        </is>
      </c>
      <c r="D136" s="6" t="inlineStr">
        <is>
          <t>GS</t>
        </is>
      </c>
      <c r="E136" s="6" t="inlineStr">
        <is>
          <t>GS</t>
        </is>
      </c>
      <c r="F136" s="6" t="inlineStr">
        <is>
          <t>-</t>
        </is>
      </c>
      <c r="G136" s="7" t="n">
        <v>339.8082885742188</v>
      </c>
      <c r="H136" s="6">
        <f>P105</f>
        <v/>
      </c>
      <c r="I136" s="9">
        <f>Q105</f>
        <v/>
      </c>
      <c r="J136" s="7">
        <f>I136*G136</f>
        <v/>
      </c>
      <c r="K136" s="8">
        <f>IF($J$156=0,0,J136/$J$156)</f>
        <v/>
      </c>
      <c r="L136" s="6" t="inlineStr">
        <is>
          <t>REJECTED</t>
        </is>
      </c>
      <c r="M136" s="8" t="n">
        <v>0</v>
      </c>
      <c r="N136" s="7">
        <f>M136*$J$156-J136</f>
        <v/>
      </c>
      <c r="O136" s="9">
        <f>IF(G136=0,0,N136/G136)</f>
        <v/>
      </c>
      <c r="P136" s="6">
        <f>IF(M136&gt;0,D136,"")</f>
        <v/>
      </c>
      <c r="Q136" s="9">
        <f>I136+O136</f>
        <v/>
      </c>
      <c r="R136" s="7">
        <f>Q136*G136</f>
        <v/>
      </c>
      <c r="S136" s="8">
        <f>IF($R$156=0,0,R136/$R$156)</f>
        <v/>
      </c>
      <c r="T136" s="8" t="n">
        <v>0</v>
      </c>
      <c r="U136" s="8" t="n">
        <v>-0.00185493925226432</v>
      </c>
      <c r="V136" s="6" t="inlineStr">
        <is>
          <t>not selected</t>
        </is>
      </c>
    </row>
    <row r="137">
      <c r="A137" s="6" t="inlineStr">
        <is>
          <t>DJ30</t>
        </is>
      </c>
      <c r="B137" s="6" t="inlineStr">
        <is>
          <t>2023-02-03</t>
        </is>
      </c>
      <c r="C137" s="6" t="inlineStr">
        <is>
          <t>DIA</t>
        </is>
      </c>
      <c r="D137" s="6" t="inlineStr">
        <is>
          <t>HD</t>
        </is>
      </c>
      <c r="E137" s="6" t="inlineStr">
        <is>
          <t>HD</t>
        </is>
      </c>
      <c r="F137" s="6" t="inlineStr">
        <is>
          <t>-</t>
        </is>
      </c>
      <c r="G137" s="7" t="n">
        <v>302.844970703125</v>
      </c>
      <c r="H137" s="6">
        <f>P106</f>
        <v/>
      </c>
      <c r="I137" s="9">
        <f>Q106</f>
        <v/>
      </c>
      <c r="J137" s="7">
        <f>I137*G137</f>
        <v/>
      </c>
      <c r="K137" s="8">
        <f>IF($J$156=0,0,J137/$J$156)</f>
        <v/>
      </c>
      <c r="L137" s="6" t="inlineStr">
        <is>
          <t>REJECTED</t>
        </is>
      </c>
      <c r="M137" s="8" t="n">
        <v>0</v>
      </c>
      <c r="N137" s="7">
        <f>M137*$J$156-J137</f>
        <v/>
      </c>
      <c r="O137" s="9">
        <f>IF(G137=0,0,N137/G137)</f>
        <v/>
      </c>
      <c r="P137" s="6">
        <f>IF(M137&gt;0,D137,"")</f>
        <v/>
      </c>
      <c r="Q137" s="9">
        <f>I137+O137</f>
        <v/>
      </c>
      <c r="R137" s="7">
        <f>Q137*G137</f>
        <v/>
      </c>
      <c r="S137" s="8">
        <f>IF($R$156=0,0,R137/$R$156)</f>
        <v/>
      </c>
      <c r="T137" s="8" t="n">
        <v>0</v>
      </c>
      <c r="U137" s="8" t="n">
        <v>-0.00185493925226432</v>
      </c>
      <c r="V137" s="6" t="inlineStr">
        <is>
          <t>not selected</t>
        </is>
      </c>
    </row>
    <row r="138">
      <c r="A138" s="6" t="inlineStr">
        <is>
          <t>DJ30</t>
        </is>
      </c>
      <c r="B138" s="6" t="inlineStr">
        <is>
          <t>2023-02-03</t>
        </is>
      </c>
      <c r="C138" s="6" t="inlineStr">
        <is>
          <t>DIA</t>
        </is>
      </c>
      <c r="D138" s="6" t="inlineStr">
        <is>
          <t>HON</t>
        </is>
      </c>
      <c r="E138" s="6" t="inlineStr">
        <is>
          <t>HON</t>
        </is>
      </c>
      <c r="F138" s="6" t="inlineStr">
        <is>
          <t>-</t>
        </is>
      </c>
      <c r="G138" s="7" t="n">
        <v>177.23291015625</v>
      </c>
      <c r="H138" s="6">
        <f>P107</f>
        <v/>
      </c>
      <c r="I138" s="9">
        <f>Q107</f>
        <v/>
      </c>
      <c r="J138" s="7">
        <f>I138*G138</f>
        <v/>
      </c>
      <c r="K138" s="8">
        <f>IF($J$156=0,0,J138/$J$156)</f>
        <v/>
      </c>
      <c r="L138" s="6" t="inlineStr">
        <is>
          <t>REJECTED</t>
        </is>
      </c>
      <c r="M138" s="8" t="n">
        <v>0</v>
      </c>
      <c r="N138" s="7">
        <f>M138*$J$156-J138</f>
        <v/>
      </c>
      <c r="O138" s="9">
        <f>IF(G138=0,0,N138/G138)</f>
        <v/>
      </c>
      <c r="P138" s="6">
        <f>IF(M138&gt;0,D138,"")</f>
        <v/>
      </c>
      <c r="Q138" s="9">
        <f>I138+O138</f>
        <v/>
      </c>
      <c r="R138" s="7">
        <f>Q138*G138</f>
        <v/>
      </c>
      <c r="S138" s="8">
        <f>IF($R$156=0,0,R138/$R$156)</f>
        <v/>
      </c>
      <c r="T138" s="8" t="n">
        <v>0</v>
      </c>
      <c r="U138" s="8" t="n">
        <v>-0.00185493925226432</v>
      </c>
      <c r="V138" s="6" t="inlineStr">
        <is>
          <t>not selected</t>
        </is>
      </c>
    </row>
    <row r="139">
      <c r="A139" s="6" t="inlineStr">
        <is>
          <t>DJ30</t>
        </is>
      </c>
      <c r="B139" s="6" t="inlineStr">
        <is>
          <t>2023-02-03</t>
        </is>
      </c>
      <c r="C139" s="6" t="inlineStr">
        <is>
          <t>DIA</t>
        </is>
      </c>
      <c r="D139" s="6" t="inlineStr">
        <is>
          <t>IBM</t>
        </is>
      </c>
      <c r="E139" s="6" t="inlineStr">
        <is>
          <t>IBM</t>
        </is>
      </c>
      <c r="F139" s="6" t="inlineStr">
        <is>
          <t>-</t>
        </is>
      </c>
      <c r="G139" s="7" t="n">
        <v>121.1503143310547</v>
      </c>
      <c r="H139" s="6">
        <f>P108</f>
        <v/>
      </c>
      <c r="I139" s="9">
        <f>Q108</f>
        <v/>
      </c>
      <c r="J139" s="7">
        <f>I139*G139</f>
        <v/>
      </c>
      <c r="K139" s="8">
        <f>IF($J$156=0,0,J139/$J$156)</f>
        <v/>
      </c>
      <c r="L139" s="6" t="inlineStr">
        <is>
          <t>REJECTED</t>
        </is>
      </c>
      <c r="M139" s="8" t="n">
        <v>0</v>
      </c>
      <c r="N139" s="7">
        <f>M139*$J$156-J139</f>
        <v/>
      </c>
      <c r="O139" s="9">
        <f>IF(G139=0,0,N139/G139)</f>
        <v/>
      </c>
      <c r="P139" s="6">
        <f>IF(M139&gt;0,D139,"")</f>
        <v/>
      </c>
      <c r="Q139" s="9">
        <f>I139+O139</f>
        <v/>
      </c>
      <c r="R139" s="7">
        <f>Q139*G139</f>
        <v/>
      </c>
      <c r="S139" s="8">
        <f>IF($R$156=0,0,R139/$R$156)</f>
        <v/>
      </c>
      <c r="T139" s="8" t="n">
        <v>0</v>
      </c>
      <c r="U139" s="8" t="n">
        <v>-0.00185493925226432</v>
      </c>
      <c r="V139" s="6" t="inlineStr">
        <is>
          <t>not selected</t>
        </is>
      </c>
    </row>
    <row r="140">
      <c r="A140" s="6" t="inlineStr">
        <is>
          <t>DJ30</t>
        </is>
      </c>
      <c r="B140" s="6" t="inlineStr">
        <is>
          <t>2023-02-03</t>
        </is>
      </c>
      <c r="C140" s="6" t="inlineStr">
        <is>
          <t>DIA</t>
        </is>
      </c>
      <c r="D140" s="6" t="inlineStr">
        <is>
          <t>JNJ</t>
        </is>
      </c>
      <c r="E140" s="6" t="inlineStr">
        <is>
          <t>JNJ</t>
        </is>
      </c>
      <c r="F140" s="6" t="inlineStr">
        <is>
          <t>-</t>
        </is>
      </c>
      <c r="G140" s="7" t="n">
        <v>148.6105194091797</v>
      </c>
      <c r="H140" s="6">
        <f>P109</f>
        <v/>
      </c>
      <c r="I140" s="9">
        <f>Q109</f>
        <v/>
      </c>
      <c r="J140" s="7">
        <f>I140*G140</f>
        <v/>
      </c>
      <c r="K140" s="8">
        <f>IF($J$156=0,0,J140/$J$156)</f>
        <v/>
      </c>
      <c r="L140" s="6" t="inlineStr">
        <is>
          <t>REJECTED</t>
        </is>
      </c>
      <c r="M140" s="8" t="n">
        <v>0</v>
      </c>
      <c r="N140" s="7">
        <f>M140*$J$156-J140</f>
        <v/>
      </c>
      <c r="O140" s="9">
        <f>IF(G140=0,0,N140/G140)</f>
        <v/>
      </c>
      <c r="P140" s="6">
        <f>IF(M140&gt;0,D140,"")</f>
        <v/>
      </c>
      <c r="Q140" s="9">
        <f>I140+O140</f>
        <v/>
      </c>
      <c r="R140" s="7">
        <f>Q140*G140</f>
        <v/>
      </c>
      <c r="S140" s="8">
        <f>IF($R$156=0,0,R140/$R$156)</f>
        <v/>
      </c>
      <c r="T140" s="8" t="n">
        <v>0</v>
      </c>
      <c r="U140" s="8" t="n">
        <v>-0.00185493925226432</v>
      </c>
      <c r="V140" s="6" t="inlineStr">
        <is>
          <t>not selected</t>
        </is>
      </c>
    </row>
    <row r="141">
      <c r="A141" s="6" t="inlineStr">
        <is>
          <t>DJ30</t>
        </is>
      </c>
      <c r="B141" s="6" t="inlineStr">
        <is>
          <t>2023-02-03</t>
        </is>
      </c>
      <c r="C141" s="6" t="inlineStr">
        <is>
          <t>DIA</t>
        </is>
      </c>
      <c r="D141" s="6" t="inlineStr">
        <is>
          <t>JPM</t>
        </is>
      </c>
      <c r="E141" s="6" t="inlineStr">
        <is>
          <t>JPM</t>
        </is>
      </c>
      <c r="F141" s="6" t="inlineStr">
        <is>
          <t>-</t>
        </is>
      </c>
      <c r="G141" s="7" t="n">
        <v>130.7428588867188</v>
      </c>
      <c r="H141" s="6">
        <f>P110</f>
        <v/>
      </c>
      <c r="I141" s="9">
        <f>Q110</f>
        <v/>
      </c>
      <c r="J141" s="7">
        <f>I141*G141</f>
        <v/>
      </c>
      <c r="K141" s="8">
        <f>IF($J$156=0,0,J141/$J$156)</f>
        <v/>
      </c>
      <c r="L141" s="6" t="inlineStr">
        <is>
          <t>REJECTED</t>
        </is>
      </c>
      <c r="M141" s="8" t="n">
        <v>0</v>
      </c>
      <c r="N141" s="7">
        <f>M141*$J$156-J141</f>
        <v/>
      </c>
      <c r="O141" s="9">
        <f>IF(G141=0,0,N141/G141)</f>
        <v/>
      </c>
      <c r="P141" s="6">
        <f>IF(M141&gt;0,D141,"")</f>
        <v/>
      </c>
      <c r="Q141" s="9">
        <f>I141+O141</f>
        <v/>
      </c>
      <c r="R141" s="7">
        <f>Q141*G141</f>
        <v/>
      </c>
      <c r="S141" s="8">
        <f>IF($R$156=0,0,R141/$R$156)</f>
        <v/>
      </c>
      <c r="T141" s="8" t="n">
        <v>0</v>
      </c>
      <c r="U141" s="8" t="n">
        <v>-0.00185493925226432</v>
      </c>
      <c r="V141" s="6" t="inlineStr">
        <is>
          <t>not selected</t>
        </is>
      </c>
    </row>
    <row r="142">
      <c r="A142" s="6" t="inlineStr">
        <is>
          <t>DJ30</t>
        </is>
      </c>
      <c r="B142" s="6" t="inlineStr">
        <is>
          <t>2023-02-03</t>
        </is>
      </c>
      <c r="C142" s="6" t="inlineStr">
        <is>
          <t>DIA</t>
        </is>
      </c>
      <c r="D142" s="6" t="inlineStr">
        <is>
          <t>KO</t>
        </is>
      </c>
      <c r="E142" s="6" t="inlineStr">
        <is>
          <t>KO</t>
        </is>
      </c>
      <c r="F142" s="6" t="inlineStr">
        <is>
          <t>-</t>
        </is>
      </c>
      <c r="G142" s="7" t="n">
        <v>53.94669342041016</v>
      </c>
      <c r="H142" s="6">
        <f>P111</f>
        <v/>
      </c>
      <c r="I142" s="9">
        <f>Q111</f>
        <v/>
      </c>
      <c r="J142" s="7">
        <f>I142*G142</f>
        <v/>
      </c>
      <c r="K142" s="8">
        <f>IF($J$156=0,0,J142/$J$156)</f>
        <v/>
      </c>
      <c r="L142" s="6" t="inlineStr">
        <is>
          <t>REJECTED</t>
        </is>
      </c>
      <c r="M142" s="8" t="n">
        <v>0</v>
      </c>
      <c r="N142" s="7">
        <f>M142*$J$156-J142</f>
        <v/>
      </c>
      <c r="O142" s="9">
        <f>IF(G142=0,0,N142/G142)</f>
        <v/>
      </c>
      <c r="P142" s="6">
        <f>IF(M142&gt;0,D142,"")</f>
        <v/>
      </c>
      <c r="Q142" s="9">
        <f>I142+O142</f>
        <v/>
      </c>
      <c r="R142" s="7">
        <f>Q142*G142</f>
        <v/>
      </c>
      <c r="S142" s="8">
        <f>IF($R$156=0,0,R142/$R$156)</f>
        <v/>
      </c>
      <c r="T142" s="8" t="n">
        <v>0</v>
      </c>
      <c r="U142" s="8" t="n">
        <v>-0.00185493925226432</v>
      </c>
      <c r="V142" s="6" t="inlineStr">
        <is>
          <t>not selected</t>
        </is>
      </c>
    </row>
    <row r="143">
      <c r="A143" s="6" t="inlineStr">
        <is>
          <t>DJ30</t>
        </is>
      </c>
      <c r="B143" s="6" t="inlineStr">
        <is>
          <t>2023-02-03</t>
        </is>
      </c>
      <c r="C143" s="6" t="inlineStr">
        <is>
          <t>DIA</t>
        </is>
      </c>
      <c r="D143" s="6" t="inlineStr">
        <is>
          <t>MCD</t>
        </is>
      </c>
      <c r="E143" s="6" t="inlineStr">
        <is>
          <t>MCD</t>
        </is>
      </c>
      <c r="F143" s="6" t="inlineStr">
        <is>
          <t>-</t>
        </is>
      </c>
      <c r="G143" s="7" t="n">
        <v>243.4962615966797</v>
      </c>
      <c r="H143" s="6">
        <f>P112</f>
        <v/>
      </c>
      <c r="I143" s="9">
        <f>Q112</f>
        <v/>
      </c>
      <c r="J143" s="7">
        <f>I143*G143</f>
        <v/>
      </c>
      <c r="K143" s="8">
        <f>IF($J$156=0,0,J143/$J$156)</f>
        <v/>
      </c>
      <c r="L143" s="6" t="inlineStr">
        <is>
          <t>REJECTED</t>
        </is>
      </c>
      <c r="M143" s="8" t="n">
        <v>0</v>
      </c>
      <c r="N143" s="7">
        <f>M143*$J$156-J143</f>
        <v/>
      </c>
      <c r="O143" s="9">
        <f>IF(G143=0,0,N143/G143)</f>
        <v/>
      </c>
      <c r="P143" s="6">
        <f>IF(M143&gt;0,D143,"")</f>
        <v/>
      </c>
      <c r="Q143" s="9">
        <f>I143+O143</f>
        <v/>
      </c>
      <c r="R143" s="7">
        <f>Q143*G143</f>
        <v/>
      </c>
      <c r="S143" s="8">
        <f>IF($R$156=0,0,R143/$R$156)</f>
        <v/>
      </c>
      <c r="T143" s="8" t="n">
        <v>0</v>
      </c>
      <c r="U143" s="8" t="n">
        <v>-0.00185493925226432</v>
      </c>
      <c r="V143" s="6" t="inlineStr">
        <is>
          <t>not selected</t>
        </is>
      </c>
    </row>
    <row r="144">
      <c r="A144" s="6" t="inlineStr">
        <is>
          <t>DJ30</t>
        </is>
      </c>
      <c r="B144" s="6" t="inlineStr">
        <is>
          <t>2023-02-03</t>
        </is>
      </c>
      <c r="C144" s="6" t="inlineStr">
        <is>
          <t>DIA</t>
        </is>
      </c>
      <c r="D144" s="6" t="inlineStr">
        <is>
          <t>MMM</t>
        </is>
      </c>
      <c r="E144" s="6" t="inlineStr">
        <is>
          <t>MMM</t>
        </is>
      </c>
      <c r="F144" s="6" t="inlineStr">
        <is>
          <t>-</t>
        </is>
      </c>
      <c r="G144" s="7" t="n">
        <v>87.03043365478516</v>
      </c>
      <c r="H144" s="6">
        <f>P113</f>
        <v/>
      </c>
      <c r="I144" s="9">
        <f>Q113</f>
        <v/>
      </c>
      <c r="J144" s="7">
        <f>I144*G144</f>
        <v/>
      </c>
      <c r="K144" s="8">
        <f>IF($J$156=0,0,J144/$J$156)</f>
        <v/>
      </c>
      <c r="L144" s="6" t="inlineStr">
        <is>
          <t>REJECTED</t>
        </is>
      </c>
      <c r="M144" s="8" t="n">
        <v>0</v>
      </c>
      <c r="N144" s="7">
        <f>M144*$J$156-J144</f>
        <v/>
      </c>
      <c r="O144" s="9">
        <f>IF(G144=0,0,N144/G144)</f>
        <v/>
      </c>
      <c r="P144" s="6">
        <f>IF(M144&gt;0,D144,"")</f>
        <v/>
      </c>
      <c r="Q144" s="9">
        <f>I144+O144</f>
        <v/>
      </c>
      <c r="R144" s="7">
        <f>Q144*G144</f>
        <v/>
      </c>
      <c r="S144" s="8">
        <f>IF($R$156=0,0,R144/$R$156)</f>
        <v/>
      </c>
      <c r="T144" s="8" t="n">
        <v>0</v>
      </c>
      <c r="U144" s="8" t="n">
        <v>-0.00185493925226432</v>
      </c>
      <c r="V144" s="6" t="inlineStr">
        <is>
          <t>not selected</t>
        </is>
      </c>
    </row>
    <row r="145">
      <c r="A145" s="6" t="inlineStr">
        <is>
          <t>DJ30</t>
        </is>
      </c>
      <c r="B145" s="6" t="inlineStr">
        <is>
          <t>2023-02-03</t>
        </is>
      </c>
      <c r="C145" s="6" t="inlineStr">
        <is>
          <t>DIA</t>
        </is>
      </c>
      <c r="D145" s="6" t="inlineStr">
        <is>
          <t>MRK</t>
        </is>
      </c>
      <c r="E145" s="6" t="inlineStr">
        <is>
          <t>MRK</t>
        </is>
      </c>
      <c r="F145" s="6" t="inlineStr">
        <is>
          <t>-</t>
        </is>
      </c>
      <c r="G145" s="7" t="n">
        <v>92.58909606933594</v>
      </c>
      <c r="H145" s="6">
        <f>P114</f>
        <v/>
      </c>
      <c r="I145" s="9">
        <f>Q114</f>
        <v/>
      </c>
      <c r="J145" s="7">
        <f>I145*G145</f>
        <v/>
      </c>
      <c r="K145" s="8">
        <f>IF($J$156=0,0,J145/$J$156)</f>
        <v/>
      </c>
      <c r="L145" s="6" t="inlineStr">
        <is>
          <t>REJECTED</t>
        </is>
      </c>
      <c r="M145" s="8" t="n">
        <v>0</v>
      </c>
      <c r="N145" s="7">
        <f>M145*$J$156-J145</f>
        <v/>
      </c>
      <c r="O145" s="9">
        <f>IF(G145=0,0,N145/G145)</f>
        <v/>
      </c>
      <c r="P145" s="6">
        <f>IF(M145&gt;0,D145,"")</f>
        <v/>
      </c>
      <c r="Q145" s="9">
        <f>I145+O145</f>
        <v/>
      </c>
      <c r="R145" s="7">
        <f>Q145*G145</f>
        <v/>
      </c>
      <c r="S145" s="8">
        <f>IF($R$156=0,0,R145/$R$156)</f>
        <v/>
      </c>
      <c r="T145" s="8" t="n">
        <v>0</v>
      </c>
      <c r="U145" s="8" t="n">
        <v>-0.00185493925226432</v>
      </c>
      <c r="V145" s="6" t="inlineStr">
        <is>
          <t>not selected</t>
        </is>
      </c>
    </row>
    <row r="146">
      <c r="A146" s="6" t="inlineStr">
        <is>
          <t>DJ30</t>
        </is>
      </c>
      <c r="B146" s="6" t="inlineStr">
        <is>
          <t>2023-02-03</t>
        </is>
      </c>
      <c r="C146" s="6" t="inlineStr">
        <is>
          <t>DIA</t>
        </is>
      </c>
      <c r="D146" s="6" t="inlineStr">
        <is>
          <t>MSFT</t>
        </is>
      </c>
      <c r="E146" s="6" t="inlineStr">
        <is>
          <t>MSFT</t>
        </is>
      </c>
      <c r="F146" s="6" t="inlineStr">
        <is>
          <t>-</t>
        </is>
      </c>
      <c r="G146" s="7" t="n">
        <v>251.1986846923828</v>
      </c>
      <c r="H146" s="6">
        <f>P115</f>
        <v/>
      </c>
      <c r="I146" s="9">
        <f>Q115</f>
        <v/>
      </c>
      <c r="J146" s="7">
        <f>I146*G146</f>
        <v/>
      </c>
      <c r="K146" s="8">
        <f>IF($J$156=0,0,J146/$J$156)</f>
        <v/>
      </c>
      <c r="L146" s="6" t="inlineStr">
        <is>
          <t>REJECTED</t>
        </is>
      </c>
      <c r="M146" s="8" t="n">
        <v>0</v>
      </c>
      <c r="N146" s="7">
        <f>M146*$J$156-J146</f>
        <v/>
      </c>
      <c r="O146" s="9">
        <f>IF(G146=0,0,N146/G146)</f>
        <v/>
      </c>
      <c r="P146" s="6">
        <f>IF(M146&gt;0,D146,"")</f>
        <v/>
      </c>
      <c r="Q146" s="9">
        <f>I146+O146</f>
        <v/>
      </c>
      <c r="R146" s="7">
        <f>Q146*G146</f>
        <v/>
      </c>
      <c r="S146" s="8">
        <f>IF($R$156=0,0,R146/$R$156)</f>
        <v/>
      </c>
      <c r="T146" s="8" t="n">
        <v>0</v>
      </c>
      <c r="U146" s="8" t="n">
        <v>-0.00185493925226432</v>
      </c>
      <c r="V146" s="6" t="inlineStr">
        <is>
          <t>not selected</t>
        </is>
      </c>
    </row>
    <row r="147">
      <c r="A147" s="6" t="inlineStr">
        <is>
          <t>DJ30</t>
        </is>
      </c>
      <c r="B147" s="6" t="inlineStr">
        <is>
          <t>2023-02-03</t>
        </is>
      </c>
      <c r="C147" s="6" t="inlineStr">
        <is>
          <t>DIA</t>
        </is>
      </c>
      <c r="D147" s="6" t="inlineStr">
        <is>
          <t>NKE</t>
        </is>
      </c>
      <c r="E147" s="6" t="inlineStr">
        <is>
          <t>NKE</t>
        </is>
      </c>
      <c r="F147" s="6" t="inlineStr">
        <is>
          <t>-</t>
        </is>
      </c>
      <c r="G147" s="7" t="n">
        <v>119.1500778198242</v>
      </c>
      <c r="H147" s="6">
        <f>P116</f>
        <v/>
      </c>
      <c r="I147" s="9">
        <f>Q116</f>
        <v/>
      </c>
      <c r="J147" s="7">
        <f>I147*G147</f>
        <v/>
      </c>
      <c r="K147" s="8">
        <f>IF($J$156=0,0,J147/$J$156)</f>
        <v/>
      </c>
      <c r="L147" s="6" t="inlineStr">
        <is>
          <t>REJECTED</t>
        </is>
      </c>
      <c r="M147" s="8" t="n">
        <v>0</v>
      </c>
      <c r="N147" s="7">
        <f>M147*$J$156-J147</f>
        <v/>
      </c>
      <c r="O147" s="9">
        <f>IF(G147=0,0,N147/G147)</f>
        <v/>
      </c>
      <c r="P147" s="6">
        <f>IF(M147&gt;0,D147,"")</f>
        <v/>
      </c>
      <c r="Q147" s="9">
        <f>I147+O147</f>
        <v/>
      </c>
      <c r="R147" s="7">
        <f>Q147*G147</f>
        <v/>
      </c>
      <c r="S147" s="8">
        <f>IF($R$156=0,0,R147/$R$156)</f>
        <v/>
      </c>
      <c r="T147" s="8" t="n">
        <v>0</v>
      </c>
      <c r="U147" s="8" t="n">
        <v>-0.00185493925226432</v>
      </c>
      <c r="V147" s="6" t="inlineStr">
        <is>
          <t>not selected</t>
        </is>
      </c>
    </row>
    <row r="148">
      <c r="A148" s="6" t="inlineStr">
        <is>
          <t>DJ30</t>
        </is>
      </c>
      <c r="B148" s="6" t="inlineStr">
        <is>
          <t>2023-02-03</t>
        </is>
      </c>
      <c r="C148" s="6" t="inlineStr">
        <is>
          <t>DIA</t>
        </is>
      </c>
      <c r="D148" s="6" t="inlineStr">
        <is>
          <t>NVDA</t>
        </is>
      </c>
      <c r="E148" s="6" t="inlineStr">
        <is>
          <t>NVDA</t>
        </is>
      </c>
      <c r="F148" s="6" t="inlineStr">
        <is>
          <t>-</t>
        </is>
      </c>
      <c r="G148" s="7" t="n">
        <v>21.0532169342041</v>
      </c>
      <c r="H148" s="6">
        <f>P117</f>
        <v/>
      </c>
      <c r="I148" s="9">
        <f>Q117</f>
        <v/>
      </c>
      <c r="J148" s="7">
        <f>I148*G148</f>
        <v/>
      </c>
      <c r="K148" s="8">
        <f>IF($J$156=0,0,J148/$J$156)</f>
        <v/>
      </c>
      <c r="L148" s="6" t="inlineStr">
        <is>
          <t>REJECTED</t>
        </is>
      </c>
      <c r="M148" s="8" t="n">
        <v>0</v>
      </c>
      <c r="N148" s="7">
        <f>M148*$J$156-J148</f>
        <v/>
      </c>
      <c r="O148" s="9">
        <f>IF(G148=0,0,N148/G148)</f>
        <v/>
      </c>
      <c r="P148" s="6">
        <f>IF(M148&gt;0,D148,"")</f>
        <v/>
      </c>
      <c r="Q148" s="9">
        <f>I148+O148</f>
        <v/>
      </c>
      <c r="R148" s="7">
        <f>Q148*G148</f>
        <v/>
      </c>
      <c r="S148" s="8">
        <f>IF($R$156=0,0,R148/$R$156)</f>
        <v/>
      </c>
      <c r="T148" s="8" t="n">
        <v>0</v>
      </c>
      <c r="U148" s="8" t="n">
        <v>-0.00185493925226432</v>
      </c>
      <c r="V148" s="6" t="inlineStr">
        <is>
          <t>not selected</t>
        </is>
      </c>
    </row>
    <row r="149">
      <c r="A149" s="6" t="inlineStr">
        <is>
          <t>DJ30</t>
        </is>
      </c>
      <c r="B149" s="6" t="inlineStr">
        <is>
          <t>2023-02-03</t>
        </is>
      </c>
      <c r="C149" s="6" t="inlineStr">
        <is>
          <t>DIA</t>
        </is>
      </c>
      <c r="D149" s="6" t="inlineStr">
        <is>
          <t>PG</t>
        </is>
      </c>
      <c r="E149" s="6" t="inlineStr">
        <is>
          <t>PG</t>
        </is>
      </c>
      <c r="F149" s="6" t="inlineStr">
        <is>
          <t>-</t>
        </is>
      </c>
      <c r="G149" s="7" t="n">
        <v>131.1124267578125</v>
      </c>
      <c r="H149" s="6">
        <f>P118</f>
        <v/>
      </c>
      <c r="I149" s="9">
        <f>Q118</f>
        <v/>
      </c>
      <c r="J149" s="7">
        <f>I149*G149</f>
        <v/>
      </c>
      <c r="K149" s="8">
        <f>IF($J$156=0,0,J149/$J$156)</f>
        <v/>
      </c>
      <c r="L149" s="6" t="inlineStr">
        <is>
          <t>REJECTED</t>
        </is>
      </c>
      <c r="M149" s="8" t="n">
        <v>0</v>
      </c>
      <c r="N149" s="7">
        <f>M149*$J$156-J149</f>
        <v/>
      </c>
      <c r="O149" s="9">
        <f>IF(G149=0,0,N149/G149)</f>
        <v/>
      </c>
      <c r="P149" s="6">
        <f>IF(M149&gt;0,D149,"")</f>
        <v/>
      </c>
      <c r="Q149" s="9">
        <f>I149+O149</f>
        <v/>
      </c>
      <c r="R149" s="7">
        <f>Q149*G149</f>
        <v/>
      </c>
      <c r="S149" s="8">
        <f>IF($R$156=0,0,R149/$R$156)</f>
        <v/>
      </c>
      <c r="T149" s="8" t="n">
        <v>0</v>
      </c>
      <c r="U149" s="8" t="n">
        <v>-0.00185493925226432</v>
      </c>
      <c r="V149" s="6" t="inlineStr">
        <is>
          <t>not selected</t>
        </is>
      </c>
    </row>
    <row r="150">
      <c r="A150" s="6" t="inlineStr">
        <is>
          <t>DJ30</t>
        </is>
      </c>
      <c r="B150" s="6" t="inlineStr">
        <is>
          <t>2023-02-03</t>
        </is>
      </c>
      <c r="C150" s="6" t="inlineStr">
        <is>
          <t>DIA</t>
        </is>
      </c>
      <c r="D150" s="6" t="inlineStr">
        <is>
          <t>SHW</t>
        </is>
      </c>
      <c r="E150" s="6" t="inlineStr">
        <is>
          <t>SHW</t>
        </is>
      </c>
      <c r="F150" s="6" t="inlineStr">
        <is>
          <t>-</t>
        </is>
      </c>
      <c r="G150" s="7" t="n">
        <v>234.1416625976562</v>
      </c>
      <c r="H150" s="6">
        <f>P119</f>
        <v/>
      </c>
      <c r="I150" s="9">
        <f>Q119</f>
        <v/>
      </c>
      <c r="J150" s="7">
        <f>I150*G150</f>
        <v/>
      </c>
      <c r="K150" s="8">
        <f>IF($J$156=0,0,J150/$J$156)</f>
        <v/>
      </c>
      <c r="L150" s="6" t="inlineStr">
        <is>
          <t>REJECTED</t>
        </is>
      </c>
      <c r="M150" s="8" t="n">
        <v>0</v>
      </c>
      <c r="N150" s="7">
        <f>M150*$J$156-J150</f>
        <v/>
      </c>
      <c r="O150" s="9">
        <f>IF(G150=0,0,N150/G150)</f>
        <v/>
      </c>
      <c r="P150" s="6">
        <f>IF(M150&gt;0,D150,"")</f>
        <v/>
      </c>
      <c r="Q150" s="9">
        <f>I150+O150</f>
        <v/>
      </c>
      <c r="R150" s="7">
        <f>Q150*G150</f>
        <v/>
      </c>
      <c r="S150" s="8">
        <f>IF($R$156=0,0,R150/$R$156)</f>
        <v/>
      </c>
      <c r="T150" s="8" t="n">
        <v>0</v>
      </c>
      <c r="U150" s="8" t="n">
        <v>-0.00185493925226432</v>
      </c>
      <c r="V150" s="6" t="inlineStr">
        <is>
          <t>not selected</t>
        </is>
      </c>
    </row>
    <row r="151">
      <c r="A151" s="6" t="inlineStr">
        <is>
          <t>DJ30</t>
        </is>
      </c>
      <c r="B151" s="6" t="inlineStr">
        <is>
          <t>2023-02-03</t>
        </is>
      </c>
      <c r="C151" s="6" t="inlineStr">
        <is>
          <t>DIA</t>
        </is>
      </c>
      <c r="D151" s="6" t="inlineStr">
        <is>
          <t>TRV</t>
        </is>
      </c>
      <c r="E151" s="6" t="inlineStr">
        <is>
          <t>TRV</t>
        </is>
      </c>
      <c r="F151" s="6" t="inlineStr">
        <is>
          <t>-</t>
        </is>
      </c>
      <c r="G151" s="7" t="n">
        <v>171.3128814697266</v>
      </c>
      <c r="H151" s="6">
        <f>P120</f>
        <v/>
      </c>
      <c r="I151" s="9">
        <f>Q120</f>
        <v/>
      </c>
      <c r="J151" s="7">
        <f>I151*G151</f>
        <v/>
      </c>
      <c r="K151" s="8">
        <f>IF($J$156=0,0,J151/$J$156)</f>
        <v/>
      </c>
      <c r="L151" s="6" t="inlineStr">
        <is>
          <t>REJECTED</t>
        </is>
      </c>
      <c r="M151" s="8" t="n">
        <v>0</v>
      </c>
      <c r="N151" s="7">
        <f>M151*$J$156-J151</f>
        <v/>
      </c>
      <c r="O151" s="9">
        <f>IF(G151=0,0,N151/G151)</f>
        <v/>
      </c>
      <c r="P151" s="6">
        <f>IF(M151&gt;0,D151,"")</f>
        <v/>
      </c>
      <c r="Q151" s="9">
        <f>I151+O151</f>
        <v/>
      </c>
      <c r="R151" s="7">
        <f>Q151*G151</f>
        <v/>
      </c>
      <c r="S151" s="8">
        <f>IF($R$156=0,0,R151/$R$156)</f>
        <v/>
      </c>
      <c r="T151" s="8" t="n">
        <v>0</v>
      </c>
      <c r="U151" s="8" t="n">
        <v>-0.00185493925226432</v>
      </c>
      <c r="V151" s="6" t="inlineStr">
        <is>
          <t>not selected</t>
        </is>
      </c>
    </row>
    <row r="152">
      <c r="A152" s="6" t="inlineStr">
        <is>
          <t>DJ30</t>
        </is>
      </c>
      <c r="B152" s="6" t="inlineStr">
        <is>
          <t>2023-02-03</t>
        </is>
      </c>
      <c r="C152" s="6" t="inlineStr">
        <is>
          <t>DIA</t>
        </is>
      </c>
      <c r="D152" s="6" t="inlineStr">
        <is>
          <t>UNH</t>
        </is>
      </c>
      <c r="E152" s="6" t="inlineStr">
        <is>
          <t>UNH</t>
        </is>
      </c>
      <c r="F152" s="6" t="inlineStr">
        <is>
          <t>-</t>
        </is>
      </c>
      <c r="G152" s="7" t="n">
        <v>440.8809814453125</v>
      </c>
      <c r="H152" s="6">
        <f>P121</f>
        <v/>
      </c>
      <c r="I152" s="9">
        <f>Q121</f>
        <v/>
      </c>
      <c r="J152" s="7">
        <f>I152*G152</f>
        <v/>
      </c>
      <c r="K152" s="8">
        <f>IF($J$156=0,0,J152/$J$156)</f>
        <v/>
      </c>
      <c r="L152" s="6" t="inlineStr">
        <is>
          <t>REJECTED</t>
        </is>
      </c>
      <c r="M152" s="8" t="n">
        <v>0</v>
      </c>
      <c r="N152" s="7">
        <f>M152*$J$156-J152</f>
        <v/>
      </c>
      <c r="O152" s="9">
        <f>IF(G152=0,0,N152/G152)</f>
        <v/>
      </c>
      <c r="P152" s="6">
        <f>IF(M152&gt;0,D152,"")</f>
        <v/>
      </c>
      <c r="Q152" s="9">
        <f>I152+O152</f>
        <v/>
      </c>
      <c r="R152" s="7">
        <f>Q152*G152</f>
        <v/>
      </c>
      <c r="S152" s="8">
        <f>IF($R$156=0,0,R152/$R$156)</f>
        <v/>
      </c>
      <c r="T152" s="8" t="n">
        <v>0</v>
      </c>
      <c r="U152" s="8" t="n">
        <v>-0.00185493925226432</v>
      </c>
      <c r="V152" s="6" t="inlineStr">
        <is>
          <t>not selected</t>
        </is>
      </c>
    </row>
    <row r="153">
      <c r="A153" s="6" t="inlineStr">
        <is>
          <t>DJ30</t>
        </is>
      </c>
      <c r="B153" s="6" t="inlineStr">
        <is>
          <t>2023-02-03</t>
        </is>
      </c>
      <c r="C153" s="6" t="inlineStr">
        <is>
          <t>DIA</t>
        </is>
      </c>
      <c r="D153" s="6" t="inlineStr">
        <is>
          <t>V</t>
        </is>
      </c>
      <c r="E153" s="6" t="inlineStr">
        <is>
          <t>V</t>
        </is>
      </c>
      <c r="F153" s="6" t="inlineStr">
        <is>
          <t>-</t>
        </is>
      </c>
      <c r="G153" s="7" t="n">
        <v>224.0595245361328</v>
      </c>
      <c r="H153" s="6">
        <f>P122</f>
        <v/>
      </c>
      <c r="I153" s="9">
        <f>Q122</f>
        <v/>
      </c>
      <c r="J153" s="7">
        <f>I153*G153</f>
        <v/>
      </c>
      <c r="K153" s="8">
        <f>IF($J$156=0,0,J153/$J$156)</f>
        <v/>
      </c>
      <c r="L153" s="6" t="inlineStr">
        <is>
          <t>REJECTED</t>
        </is>
      </c>
      <c r="M153" s="8" t="n">
        <v>0</v>
      </c>
      <c r="N153" s="7">
        <f>M153*$J$156-J153</f>
        <v/>
      </c>
      <c r="O153" s="9">
        <f>IF(G153=0,0,N153/G153)</f>
        <v/>
      </c>
      <c r="P153" s="6">
        <f>IF(M153&gt;0,D153,"")</f>
        <v/>
      </c>
      <c r="Q153" s="9">
        <f>I153+O153</f>
        <v/>
      </c>
      <c r="R153" s="7">
        <f>Q153*G153</f>
        <v/>
      </c>
      <c r="S153" s="8">
        <f>IF($R$156=0,0,R153/$R$156)</f>
        <v/>
      </c>
      <c r="T153" s="8" t="n">
        <v>0</v>
      </c>
      <c r="U153" s="8" t="n">
        <v>-0.00185493925226432</v>
      </c>
      <c r="V153" s="6" t="inlineStr">
        <is>
          <t>not selected</t>
        </is>
      </c>
    </row>
    <row r="154">
      <c r="A154" s="6" t="inlineStr">
        <is>
          <t>DJ30</t>
        </is>
      </c>
      <c r="B154" s="6" t="inlineStr">
        <is>
          <t>2023-02-03</t>
        </is>
      </c>
      <c r="C154" s="6" t="inlineStr">
        <is>
          <t>DIA</t>
        </is>
      </c>
      <c r="D154" s="6" t="inlineStr">
        <is>
          <t>VZ</t>
        </is>
      </c>
      <c r="E154" s="6" t="inlineStr">
        <is>
          <t>VZ</t>
        </is>
      </c>
      <c r="F154" s="6" t="inlineStr">
        <is>
          <t>-</t>
        </is>
      </c>
      <c r="G154" s="7" t="n">
        <v>33.36257934570312</v>
      </c>
      <c r="H154" s="6">
        <f>P123</f>
        <v/>
      </c>
      <c r="I154" s="9">
        <f>Q123</f>
        <v/>
      </c>
      <c r="J154" s="7">
        <f>I154*G154</f>
        <v/>
      </c>
      <c r="K154" s="8">
        <f>IF($J$156=0,0,J154/$J$156)</f>
        <v/>
      </c>
      <c r="L154" s="6" t="inlineStr">
        <is>
          <t>REJECTED</t>
        </is>
      </c>
      <c r="M154" s="8" t="n">
        <v>0</v>
      </c>
      <c r="N154" s="7">
        <f>M154*$J$156-J154</f>
        <v/>
      </c>
      <c r="O154" s="9">
        <f>IF(G154=0,0,N154/G154)</f>
        <v/>
      </c>
      <c r="P154" s="6">
        <f>IF(M154&gt;0,D154,"")</f>
        <v/>
      </c>
      <c r="Q154" s="9">
        <f>I154+O154</f>
        <v/>
      </c>
      <c r="R154" s="7">
        <f>Q154*G154</f>
        <v/>
      </c>
      <c r="S154" s="8">
        <f>IF($R$156=0,0,R154/$R$156)</f>
        <v/>
      </c>
      <c r="T154" s="8" t="n">
        <v>0</v>
      </c>
      <c r="U154" s="8" t="n">
        <v>-0.00185493925226432</v>
      </c>
      <c r="V154" s="6" t="inlineStr">
        <is>
          <t>not selected</t>
        </is>
      </c>
    </row>
    <row r="155">
      <c r="A155" s="6" t="inlineStr">
        <is>
          <t>DJ30</t>
        </is>
      </c>
      <c r="B155" s="6" t="inlineStr">
        <is>
          <t>2023-02-03</t>
        </is>
      </c>
      <c r="C155" s="6" t="inlineStr">
        <is>
          <t>DIA</t>
        </is>
      </c>
      <c r="D155" s="6" t="inlineStr">
        <is>
          <t>WMT</t>
        </is>
      </c>
      <c r="E155" s="6" t="inlineStr">
        <is>
          <t>WMT</t>
        </is>
      </c>
      <c r="F155" s="6" t="inlineStr">
        <is>
          <t>-</t>
        </is>
      </c>
      <c r="G155" s="7" t="n">
        <v>45.36017990112305</v>
      </c>
      <c r="H155" s="6">
        <f>P124</f>
        <v/>
      </c>
      <c r="I155" s="9">
        <f>Q124</f>
        <v/>
      </c>
      <c r="J155" s="7">
        <f>I155*G155</f>
        <v/>
      </c>
      <c r="K155" s="8">
        <f>IF($J$156=0,0,J155/$J$156)</f>
        <v/>
      </c>
      <c r="L155" s="6" t="inlineStr">
        <is>
          <t>REJECTED</t>
        </is>
      </c>
      <c r="M155" s="8" t="n">
        <v>0</v>
      </c>
      <c r="N155" s="7">
        <f>M155*$J$156-J155</f>
        <v/>
      </c>
      <c r="O155" s="9">
        <f>IF(G155=0,0,N155/G155)</f>
        <v/>
      </c>
      <c r="P155" s="6">
        <f>IF(M155&gt;0,D155,"")</f>
        <v/>
      </c>
      <c r="Q155" s="9">
        <f>I155+O155</f>
        <v/>
      </c>
      <c r="R155" s="7">
        <f>Q155*G155</f>
        <v/>
      </c>
      <c r="S155" s="8">
        <f>IF($R$156=0,0,R155/$R$156)</f>
        <v/>
      </c>
      <c r="T155" s="8" t="n">
        <v>0</v>
      </c>
      <c r="U155" s="8" t="n">
        <v>-0.00185493925226432</v>
      </c>
      <c r="V155" s="6" t="inlineStr">
        <is>
          <t>not selected</t>
        </is>
      </c>
    </row>
    <row r="156">
      <c r="A156" s="10" t="inlineStr">
        <is>
          <t>DJ30</t>
        </is>
      </c>
      <c r="B156" s="10" t="inlineStr">
        <is>
          <t>2023-02-03</t>
        </is>
      </c>
      <c r="C156" s="10" t="inlineStr">
        <is>
          <t>DIA</t>
        </is>
      </c>
      <c r="D156" s="10" t="inlineStr">
        <is>
          <t>Tot Portfolio</t>
        </is>
      </c>
      <c r="E156" s="10" t="inlineStr"/>
      <c r="F156" s="10" t="inlineStr"/>
      <c r="G156" s="11" t="inlineStr"/>
      <c r="H156" s="10" t="inlineStr"/>
      <c r="I156" s="12" t="inlineStr"/>
      <c r="J156" s="11">
        <f>SUM(J126:J155)</f>
        <v/>
      </c>
      <c r="K156" s="13">
        <f>SUM(K126:K155)</f>
        <v/>
      </c>
      <c r="L156" s="10" t="inlineStr">
        <is>
          <t>TOTAL</t>
        </is>
      </c>
      <c r="M156" s="13">
        <f>SUM(M126:M155)</f>
        <v/>
      </c>
      <c r="N156" s="11">
        <f>SUM(N126:N155)</f>
        <v/>
      </c>
      <c r="O156" s="12">
        <f>SUM(O126:O155)</f>
        <v/>
      </c>
      <c r="P156" s="10" t="inlineStr"/>
      <c r="Q156" s="12" t="inlineStr"/>
      <c r="R156" s="11">
        <f>SUM(R126:R155)</f>
        <v/>
      </c>
      <c r="S156" s="13">
        <f>SUM(S126:S155)</f>
        <v/>
      </c>
      <c r="T156" s="13" t="n">
        <v>0</v>
      </c>
      <c r="U156" s="13" t="n">
        <v>-0.00185493925226432</v>
      </c>
      <c r="V156" s="10" t="inlineStr"/>
    </row>
    <row r="157">
      <c r="A157" s="6" t="inlineStr">
        <is>
          <t>DJ30</t>
        </is>
      </c>
      <c r="B157" s="6" t="inlineStr">
        <is>
          <t>2023-02-10</t>
        </is>
      </c>
      <c r="C157" s="6" t="inlineStr">
        <is>
          <t>DIA</t>
        </is>
      </c>
      <c r="D157" s="6" t="inlineStr">
        <is>
          <t>AAPL</t>
        </is>
      </c>
      <c r="E157" s="6" t="inlineStr">
        <is>
          <t>AAPL</t>
        </is>
      </c>
      <c r="F157" s="6" t="inlineStr">
        <is>
          <t>-</t>
        </is>
      </c>
      <c r="G157" s="7" t="n">
        <v>148.7165374755859</v>
      </c>
      <c r="H157" s="6">
        <f>P126</f>
        <v/>
      </c>
      <c r="I157" s="9">
        <f>Q126</f>
        <v/>
      </c>
      <c r="J157" s="7">
        <f>I157*G157</f>
        <v/>
      </c>
      <c r="K157" s="8">
        <f>IF($J$187=0,0,J157/$J$187)</f>
        <v/>
      </c>
      <c r="L157" s="6" t="inlineStr">
        <is>
          <t>REJECTED</t>
        </is>
      </c>
      <c r="M157" s="8" t="n">
        <v>0</v>
      </c>
      <c r="N157" s="7">
        <f>M157*$J$187-J157</f>
        <v/>
      </c>
      <c r="O157" s="9">
        <f>IF(G157=0,0,N157/G157)</f>
        <v/>
      </c>
      <c r="P157" s="6">
        <f>IF(M157&gt;0,D157,"")</f>
        <v/>
      </c>
      <c r="Q157" s="9">
        <f>I157+O157</f>
        <v/>
      </c>
      <c r="R157" s="7">
        <f>Q157*G157</f>
        <v/>
      </c>
      <c r="S157" s="8">
        <f>IF($R$187=0,0,R157/$R$187)</f>
        <v/>
      </c>
      <c r="T157" s="8" t="n">
        <v>0</v>
      </c>
      <c r="U157" s="8" t="n">
        <v>-0.0007373776471550908</v>
      </c>
      <c r="V157" s="6" t="inlineStr">
        <is>
          <t>not selected</t>
        </is>
      </c>
    </row>
    <row r="158">
      <c r="A158" s="6" t="inlineStr">
        <is>
          <t>DJ30</t>
        </is>
      </c>
      <c r="B158" s="6" t="inlineStr">
        <is>
          <t>2023-02-10</t>
        </is>
      </c>
      <c r="C158" s="6" t="inlineStr">
        <is>
          <t>DIA</t>
        </is>
      </c>
      <c r="D158" s="6" t="inlineStr">
        <is>
          <t>AMGN</t>
        </is>
      </c>
      <c r="E158" s="6" t="inlineStr">
        <is>
          <t>AMGN</t>
        </is>
      </c>
      <c r="F158" s="6" t="inlineStr">
        <is>
          <t>-</t>
        </is>
      </c>
      <c r="G158" s="7" t="n">
        <v>217.1743774414062</v>
      </c>
      <c r="H158" s="6">
        <f>P127</f>
        <v/>
      </c>
      <c r="I158" s="9">
        <f>Q127</f>
        <v/>
      </c>
      <c r="J158" s="7">
        <f>I158*G158</f>
        <v/>
      </c>
      <c r="K158" s="8">
        <f>IF($J$187=0,0,J158/$J$187)</f>
        <v/>
      </c>
      <c r="L158" s="6" t="inlineStr">
        <is>
          <t>REJECTED</t>
        </is>
      </c>
      <c r="M158" s="8" t="n">
        <v>0</v>
      </c>
      <c r="N158" s="7">
        <f>M158*$J$187-J158</f>
        <v/>
      </c>
      <c r="O158" s="9">
        <f>IF(G158=0,0,N158/G158)</f>
        <v/>
      </c>
      <c r="P158" s="6">
        <f>IF(M158&gt;0,D158,"")</f>
        <v/>
      </c>
      <c r="Q158" s="9">
        <f>I158+O158</f>
        <v/>
      </c>
      <c r="R158" s="7">
        <f>Q158*G158</f>
        <v/>
      </c>
      <c r="S158" s="8">
        <f>IF($R$187=0,0,R158/$R$187)</f>
        <v/>
      </c>
      <c r="T158" s="8" t="n">
        <v>0</v>
      </c>
      <c r="U158" s="8" t="n">
        <v>-0.0007373776471550908</v>
      </c>
      <c r="V158" s="6" t="inlineStr">
        <is>
          <t>not selected</t>
        </is>
      </c>
    </row>
    <row r="159">
      <c r="A159" s="6" t="inlineStr">
        <is>
          <t>DJ30</t>
        </is>
      </c>
      <c r="B159" s="6" t="inlineStr">
        <is>
          <t>2023-02-10</t>
        </is>
      </c>
      <c r="C159" s="6" t="inlineStr">
        <is>
          <t>DIA</t>
        </is>
      </c>
      <c r="D159" s="6" t="inlineStr">
        <is>
          <t>AMZN</t>
        </is>
      </c>
      <c r="E159" s="6" t="inlineStr">
        <is>
          <t>AMZN</t>
        </is>
      </c>
      <c r="F159" s="6" t="inlineStr">
        <is>
          <t>-</t>
        </is>
      </c>
      <c r="G159" s="7" t="n">
        <v>97.61000061035156</v>
      </c>
      <c r="H159" s="6">
        <f>P128</f>
        <v/>
      </c>
      <c r="I159" s="9">
        <f>Q128</f>
        <v/>
      </c>
      <c r="J159" s="7">
        <f>I159*G159</f>
        <v/>
      </c>
      <c r="K159" s="8">
        <f>IF($J$187=0,0,J159/$J$187)</f>
        <v/>
      </c>
      <c r="L159" s="6" t="inlineStr">
        <is>
          <t>REJECTED</t>
        </is>
      </c>
      <c r="M159" s="8" t="n">
        <v>0</v>
      </c>
      <c r="N159" s="7">
        <f>M159*$J$187-J159</f>
        <v/>
      </c>
      <c r="O159" s="9">
        <f>IF(G159=0,0,N159/G159)</f>
        <v/>
      </c>
      <c r="P159" s="6">
        <f>IF(M159&gt;0,D159,"")</f>
        <v/>
      </c>
      <c r="Q159" s="9">
        <f>I159+O159</f>
        <v/>
      </c>
      <c r="R159" s="7">
        <f>Q159*G159</f>
        <v/>
      </c>
      <c r="S159" s="8">
        <f>IF($R$187=0,0,R159/$R$187)</f>
        <v/>
      </c>
      <c r="T159" s="8" t="n">
        <v>0</v>
      </c>
      <c r="U159" s="8" t="n">
        <v>-0.0007373776471550908</v>
      </c>
      <c r="V159" s="6" t="inlineStr">
        <is>
          <t>not selected</t>
        </is>
      </c>
    </row>
    <row r="160">
      <c r="A160" s="6" t="inlineStr">
        <is>
          <t>DJ30</t>
        </is>
      </c>
      <c r="B160" s="6" t="inlineStr">
        <is>
          <t>2023-02-10</t>
        </is>
      </c>
      <c r="C160" s="6" t="inlineStr">
        <is>
          <t>DIA</t>
        </is>
      </c>
      <c r="D160" s="6" t="inlineStr">
        <is>
          <t>AXP</t>
        </is>
      </c>
      <c r="E160" s="6" t="inlineStr">
        <is>
          <t>AXP</t>
        </is>
      </c>
      <c r="F160" s="6" t="inlineStr">
        <is>
          <t>-</t>
        </is>
      </c>
      <c r="G160" s="7" t="n">
        <v>172.3568572998047</v>
      </c>
      <c r="H160" s="6">
        <f>P129</f>
        <v/>
      </c>
      <c r="I160" s="9">
        <f>Q129</f>
        <v/>
      </c>
      <c r="J160" s="7">
        <f>I160*G160</f>
        <v/>
      </c>
      <c r="K160" s="8">
        <f>IF($J$187=0,0,J160/$J$187)</f>
        <v/>
      </c>
      <c r="L160" s="6" t="inlineStr">
        <is>
          <t>REJECTED</t>
        </is>
      </c>
      <c r="M160" s="8" t="n">
        <v>0</v>
      </c>
      <c r="N160" s="7">
        <f>M160*$J$187-J160</f>
        <v/>
      </c>
      <c r="O160" s="9">
        <f>IF(G160=0,0,N160/G160)</f>
        <v/>
      </c>
      <c r="P160" s="6">
        <f>IF(M160&gt;0,D160,"")</f>
        <v/>
      </c>
      <c r="Q160" s="9">
        <f>I160+O160</f>
        <v/>
      </c>
      <c r="R160" s="7">
        <f>Q160*G160</f>
        <v/>
      </c>
      <c r="S160" s="8">
        <f>IF($R$187=0,0,R160/$R$187)</f>
        <v/>
      </c>
      <c r="T160" s="8" t="n">
        <v>0</v>
      </c>
      <c r="U160" s="8" t="n">
        <v>-0.0007373776471550908</v>
      </c>
      <c r="V160" s="6" t="inlineStr">
        <is>
          <t>not selected</t>
        </is>
      </c>
    </row>
    <row r="161">
      <c r="A161" s="6" t="inlineStr">
        <is>
          <t>DJ30</t>
        </is>
      </c>
      <c r="B161" s="6" t="inlineStr">
        <is>
          <t>2023-02-10</t>
        </is>
      </c>
      <c r="C161" s="6" t="inlineStr">
        <is>
          <t>DIA</t>
        </is>
      </c>
      <c r="D161" s="6" t="inlineStr">
        <is>
          <t>BA</t>
        </is>
      </c>
      <c r="E161" s="6" t="inlineStr">
        <is>
          <t>BA</t>
        </is>
      </c>
      <c r="F161" s="6" t="inlineStr">
        <is>
          <t>-</t>
        </is>
      </c>
      <c r="G161" s="7" t="n">
        <v>212.8899993896484</v>
      </c>
      <c r="H161" s="6">
        <f>P130</f>
        <v/>
      </c>
      <c r="I161" s="9">
        <f>Q130</f>
        <v/>
      </c>
      <c r="J161" s="7">
        <f>I161*G161</f>
        <v/>
      </c>
      <c r="K161" s="8">
        <f>IF($J$187=0,0,J161/$J$187)</f>
        <v/>
      </c>
      <c r="L161" s="6" t="inlineStr">
        <is>
          <t>REJECTED</t>
        </is>
      </c>
      <c r="M161" s="8" t="n">
        <v>0</v>
      </c>
      <c r="N161" s="7">
        <f>M161*$J$187-J161</f>
        <v/>
      </c>
      <c r="O161" s="9">
        <f>IF(G161=0,0,N161/G161)</f>
        <v/>
      </c>
      <c r="P161" s="6">
        <f>IF(M161&gt;0,D161,"")</f>
        <v/>
      </c>
      <c r="Q161" s="9">
        <f>I161+O161</f>
        <v/>
      </c>
      <c r="R161" s="7">
        <f>Q161*G161</f>
        <v/>
      </c>
      <c r="S161" s="8">
        <f>IF($R$187=0,0,R161/$R$187)</f>
        <v/>
      </c>
      <c r="T161" s="8" t="n">
        <v>0</v>
      </c>
      <c r="U161" s="8" t="n">
        <v>-0.0007373776471550908</v>
      </c>
      <c r="V161" s="6" t="inlineStr">
        <is>
          <t>not selected</t>
        </is>
      </c>
    </row>
    <row r="162">
      <c r="A162" s="6" t="inlineStr">
        <is>
          <t>DJ30</t>
        </is>
      </c>
      <c r="B162" s="6" t="inlineStr">
        <is>
          <t>2023-02-10</t>
        </is>
      </c>
      <c r="C162" s="6" t="inlineStr">
        <is>
          <t>DIA</t>
        </is>
      </c>
      <c r="D162" s="6" t="inlineStr">
        <is>
          <t>CAT</t>
        </is>
      </c>
      <c r="E162" s="6" t="inlineStr">
        <is>
          <t>CAT</t>
        </is>
      </c>
      <c r="F162" s="6" t="inlineStr">
        <is>
          <t>-</t>
        </is>
      </c>
      <c r="G162" s="7" t="n">
        <v>235.4388427734375</v>
      </c>
      <c r="H162" s="6">
        <f>P131</f>
        <v/>
      </c>
      <c r="I162" s="9">
        <f>Q131</f>
        <v/>
      </c>
      <c r="J162" s="7">
        <f>I162*G162</f>
        <v/>
      </c>
      <c r="K162" s="8">
        <f>IF($J$187=0,0,J162/$J$187)</f>
        <v/>
      </c>
      <c r="L162" s="6" t="inlineStr">
        <is>
          <t>REJECTED</t>
        </is>
      </c>
      <c r="M162" s="8" t="n">
        <v>0</v>
      </c>
      <c r="N162" s="7">
        <f>M162*$J$187-J162</f>
        <v/>
      </c>
      <c r="O162" s="9">
        <f>IF(G162=0,0,N162/G162)</f>
        <v/>
      </c>
      <c r="P162" s="6">
        <f>IF(M162&gt;0,D162,"")</f>
        <v/>
      </c>
      <c r="Q162" s="9">
        <f>I162+O162</f>
        <v/>
      </c>
      <c r="R162" s="7">
        <f>Q162*G162</f>
        <v/>
      </c>
      <c r="S162" s="8">
        <f>IF($R$187=0,0,R162/$R$187)</f>
        <v/>
      </c>
      <c r="T162" s="8" t="n">
        <v>0</v>
      </c>
      <c r="U162" s="8" t="n">
        <v>-0.0007373776471550908</v>
      </c>
      <c r="V162" s="6" t="inlineStr">
        <is>
          <t>not selected</t>
        </is>
      </c>
    </row>
    <row r="163">
      <c r="A163" s="6" t="inlineStr">
        <is>
          <t>DJ30</t>
        </is>
      </c>
      <c r="B163" s="6" t="inlineStr">
        <is>
          <t>2023-02-10</t>
        </is>
      </c>
      <c r="C163" s="6" t="inlineStr">
        <is>
          <t>DIA</t>
        </is>
      </c>
      <c r="D163" s="6" t="inlineStr">
        <is>
          <t>CRM</t>
        </is>
      </c>
      <c r="E163" s="6" t="inlineStr">
        <is>
          <t>CRM</t>
        </is>
      </c>
      <c r="F163" s="6" t="inlineStr">
        <is>
          <t>-</t>
        </is>
      </c>
      <c r="G163" s="7" t="n">
        <v>164.1894378662109</v>
      </c>
      <c r="H163" s="6">
        <f>P132</f>
        <v/>
      </c>
      <c r="I163" s="9">
        <f>Q132</f>
        <v/>
      </c>
      <c r="J163" s="7">
        <f>I163*G163</f>
        <v/>
      </c>
      <c r="K163" s="8">
        <f>IF($J$187=0,0,J163/$J$187)</f>
        <v/>
      </c>
      <c r="L163" s="6" t="inlineStr">
        <is>
          <t>REJECTED</t>
        </is>
      </c>
      <c r="M163" s="8" t="n">
        <v>0</v>
      </c>
      <c r="N163" s="7">
        <f>M163*$J$187-J163</f>
        <v/>
      </c>
      <c r="O163" s="9">
        <f>IF(G163=0,0,N163/G163)</f>
        <v/>
      </c>
      <c r="P163" s="6">
        <f>IF(M163&gt;0,D163,"")</f>
        <v/>
      </c>
      <c r="Q163" s="9">
        <f>I163+O163</f>
        <v/>
      </c>
      <c r="R163" s="7">
        <f>Q163*G163</f>
        <v/>
      </c>
      <c r="S163" s="8">
        <f>IF($R$187=0,0,R163/$R$187)</f>
        <v/>
      </c>
      <c r="T163" s="8" t="n">
        <v>0</v>
      </c>
      <c r="U163" s="8" t="n">
        <v>-0.0007373776471550908</v>
      </c>
      <c r="V163" s="6" t="inlineStr">
        <is>
          <t>not selected</t>
        </is>
      </c>
    </row>
    <row r="164">
      <c r="A164" s="6" t="inlineStr">
        <is>
          <t>DJ30</t>
        </is>
      </c>
      <c r="B164" s="6" t="inlineStr">
        <is>
          <t>2023-02-10</t>
        </is>
      </c>
      <c r="C164" s="6" t="inlineStr">
        <is>
          <t>DIA</t>
        </is>
      </c>
      <c r="D164" s="6" t="inlineStr">
        <is>
          <t>CSCO</t>
        </is>
      </c>
      <c r="E164" s="6" t="inlineStr">
        <is>
          <t>CSCO</t>
        </is>
      </c>
      <c r="F164" s="6" t="inlineStr">
        <is>
          <t>-</t>
        </is>
      </c>
      <c r="G164" s="7" t="n">
        <v>43.17217636108398</v>
      </c>
      <c r="H164" s="6">
        <f>P133</f>
        <v/>
      </c>
      <c r="I164" s="9">
        <f>Q133</f>
        <v/>
      </c>
      <c r="J164" s="7">
        <f>I164*G164</f>
        <v/>
      </c>
      <c r="K164" s="8">
        <f>IF($J$187=0,0,J164/$J$187)</f>
        <v/>
      </c>
      <c r="L164" s="6" t="inlineStr">
        <is>
          <t>REJECTED</t>
        </is>
      </c>
      <c r="M164" s="8" t="n">
        <v>0</v>
      </c>
      <c r="N164" s="7">
        <f>M164*$J$187-J164</f>
        <v/>
      </c>
      <c r="O164" s="9">
        <f>IF(G164=0,0,N164/G164)</f>
        <v/>
      </c>
      <c r="P164" s="6">
        <f>IF(M164&gt;0,D164,"")</f>
        <v/>
      </c>
      <c r="Q164" s="9">
        <f>I164+O164</f>
        <v/>
      </c>
      <c r="R164" s="7">
        <f>Q164*G164</f>
        <v/>
      </c>
      <c r="S164" s="8">
        <f>IF($R$187=0,0,R164/$R$187)</f>
        <v/>
      </c>
      <c r="T164" s="8" t="n">
        <v>0</v>
      </c>
      <c r="U164" s="8" t="n">
        <v>-0.0007373776471550908</v>
      </c>
      <c r="V164" s="6" t="inlineStr">
        <is>
          <t>not selected</t>
        </is>
      </c>
    </row>
    <row r="165">
      <c r="A165" s="6" t="inlineStr">
        <is>
          <t>DJ30</t>
        </is>
      </c>
      <c r="B165" s="6" t="inlineStr">
        <is>
          <t>2023-02-10</t>
        </is>
      </c>
      <c r="C165" s="6" t="inlineStr">
        <is>
          <t>DIA</t>
        </is>
      </c>
      <c r="D165" s="6" t="inlineStr">
        <is>
          <t>CVX</t>
        </is>
      </c>
      <c r="E165" s="6" t="inlineStr">
        <is>
          <t>CVX</t>
        </is>
      </c>
      <c r="F165" s="6" t="inlineStr">
        <is>
          <t>-</t>
        </is>
      </c>
      <c r="G165" s="7" t="n">
        <v>148.7750549316406</v>
      </c>
      <c r="H165" s="6">
        <f>P134</f>
        <v/>
      </c>
      <c r="I165" s="9">
        <f>Q134</f>
        <v/>
      </c>
      <c r="J165" s="7">
        <f>I165*G165</f>
        <v/>
      </c>
      <c r="K165" s="8">
        <f>IF($J$187=0,0,J165/$J$187)</f>
        <v/>
      </c>
      <c r="L165" s="6" t="inlineStr">
        <is>
          <t>REJECTED</t>
        </is>
      </c>
      <c r="M165" s="8" t="n">
        <v>0</v>
      </c>
      <c r="N165" s="7">
        <f>M165*$J$187-J165</f>
        <v/>
      </c>
      <c r="O165" s="9">
        <f>IF(G165=0,0,N165/G165)</f>
        <v/>
      </c>
      <c r="P165" s="6">
        <f>IF(M165&gt;0,D165,"")</f>
        <v/>
      </c>
      <c r="Q165" s="9">
        <f>I165+O165</f>
        <v/>
      </c>
      <c r="R165" s="7">
        <f>Q165*G165</f>
        <v/>
      </c>
      <c r="S165" s="8">
        <f>IF($R$187=0,0,R165/$R$187)</f>
        <v/>
      </c>
      <c r="T165" s="8" t="n">
        <v>0</v>
      </c>
      <c r="U165" s="8" t="n">
        <v>-0.0007373776471550908</v>
      </c>
      <c r="V165" s="6" t="inlineStr">
        <is>
          <t>not selected</t>
        </is>
      </c>
    </row>
    <row r="166">
      <c r="A166" s="6" t="inlineStr">
        <is>
          <t>DJ30</t>
        </is>
      </c>
      <c r="B166" s="6" t="inlineStr">
        <is>
          <t>2023-02-10</t>
        </is>
      </c>
      <c r="C166" s="6" t="inlineStr">
        <is>
          <t>DIA</t>
        </is>
      </c>
      <c r="D166" s="6" t="inlineStr">
        <is>
          <t>DIS</t>
        </is>
      </c>
      <c r="E166" s="6" t="inlineStr">
        <is>
          <t>DIS</t>
        </is>
      </c>
      <c r="F166" s="6" t="inlineStr">
        <is>
          <t>-</t>
        </is>
      </c>
      <c r="G166" s="7" t="n">
        <v>105.5737915039062</v>
      </c>
      <c r="H166" s="6">
        <f>P135</f>
        <v/>
      </c>
      <c r="I166" s="9">
        <f>Q135</f>
        <v/>
      </c>
      <c r="J166" s="7">
        <f>I166*G166</f>
        <v/>
      </c>
      <c r="K166" s="8">
        <f>IF($J$187=0,0,J166/$J$187)</f>
        <v/>
      </c>
      <c r="L166" s="6" t="inlineStr">
        <is>
          <t>REJECTED</t>
        </is>
      </c>
      <c r="M166" s="8" t="n">
        <v>0</v>
      </c>
      <c r="N166" s="7">
        <f>M166*$J$187-J166</f>
        <v/>
      </c>
      <c r="O166" s="9">
        <f>IF(G166=0,0,N166/G166)</f>
        <v/>
      </c>
      <c r="P166" s="6">
        <f>IF(M166&gt;0,D166,"")</f>
        <v/>
      </c>
      <c r="Q166" s="9">
        <f>I166+O166</f>
        <v/>
      </c>
      <c r="R166" s="7">
        <f>Q166*G166</f>
        <v/>
      </c>
      <c r="S166" s="8">
        <f>IF($R$187=0,0,R166/$R$187)</f>
        <v/>
      </c>
      <c r="T166" s="8" t="n">
        <v>0</v>
      </c>
      <c r="U166" s="8" t="n">
        <v>-0.0007373776471550908</v>
      </c>
      <c r="V166" s="6" t="inlineStr">
        <is>
          <t>not selected</t>
        </is>
      </c>
    </row>
    <row r="167">
      <c r="A167" s="6" t="inlineStr">
        <is>
          <t>DJ30</t>
        </is>
      </c>
      <c r="B167" s="6" t="inlineStr">
        <is>
          <t>2023-02-10</t>
        </is>
      </c>
      <c r="C167" s="6" t="inlineStr">
        <is>
          <t>DIA</t>
        </is>
      </c>
      <c r="D167" s="6" t="inlineStr">
        <is>
          <t>GS</t>
        </is>
      </c>
      <c r="E167" s="6" t="inlineStr">
        <is>
          <t>GS</t>
        </is>
      </c>
      <c r="F167" s="6" t="inlineStr">
        <is>
          <t>-</t>
        </is>
      </c>
      <c r="G167" s="7" t="n">
        <v>341.0298461914062</v>
      </c>
      <c r="H167" s="6">
        <f>P136</f>
        <v/>
      </c>
      <c r="I167" s="9">
        <f>Q136</f>
        <v/>
      </c>
      <c r="J167" s="7">
        <f>I167*G167</f>
        <v/>
      </c>
      <c r="K167" s="8">
        <f>IF($J$187=0,0,J167/$J$187)</f>
        <v/>
      </c>
      <c r="L167" s="6" t="inlineStr">
        <is>
          <t>REJECTED</t>
        </is>
      </c>
      <c r="M167" s="8" t="n">
        <v>0</v>
      </c>
      <c r="N167" s="7">
        <f>M167*$J$187-J167</f>
        <v/>
      </c>
      <c r="O167" s="9">
        <f>IF(G167=0,0,N167/G167)</f>
        <v/>
      </c>
      <c r="P167" s="6">
        <f>IF(M167&gt;0,D167,"")</f>
        <v/>
      </c>
      <c r="Q167" s="9">
        <f>I167+O167</f>
        <v/>
      </c>
      <c r="R167" s="7">
        <f>Q167*G167</f>
        <v/>
      </c>
      <c r="S167" s="8">
        <f>IF($R$187=0,0,R167/$R$187)</f>
        <v/>
      </c>
      <c r="T167" s="8" t="n">
        <v>0</v>
      </c>
      <c r="U167" s="8" t="n">
        <v>-0.0007373776471550908</v>
      </c>
      <c r="V167" s="6" t="inlineStr">
        <is>
          <t>not selected</t>
        </is>
      </c>
    </row>
    <row r="168">
      <c r="A168" s="6" t="inlineStr">
        <is>
          <t>DJ30</t>
        </is>
      </c>
      <c r="B168" s="6" t="inlineStr">
        <is>
          <t>2023-02-10</t>
        </is>
      </c>
      <c r="C168" s="6" t="inlineStr">
        <is>
          <t>DIA</t>
        </is>
      </c>
      <c r="D168" s="6" t="inlineStr">
        <is>
          <t>HD</t>
        </is>
      </c>
      <c r="E168" s="6" t="inlineStr">
        <is>
          <t>HD</t>
        </is>
      </c>
      <c r="F168" s="6" t="inlineStr">
        <is>
          <t>-</t>
        </is>
      </c>
      <c r="G168" s="7" t="n">
        <v>289.1781311035156</v>
      </c>
      <c r="H168" s="6">
        <f>P137</f>
        <v/>
      </c>
      <c r="I168" s="9">
        <f>Q137</f>
        <v/>
      </c>
      <c r="J168" s="7">
        <f>I168*G168</f>
        <v/>
      </c>
      <c r="K168" s="8">
        <f>IF($J$187=0,0,J168/$J$187)</f>
        <v/>
      </c>
      <c r="L168" s="6" t="inlineStr">
        <is>
          <t>REJECTED</t>
        </is>
      </c>
      <c r="M168" s="8" t="n">
        <v>0</v>
      </c>
      <c r="N168" s="7">
        <f>M168*$J$187-J168</f>
        <v/>
      </c>
      <c r="O168" s="9">
        <f>IF(G168=0,0,N168/G168)</f>
        <v/>
      </c>
      <c r="P168" s="6">
        <f>IF(M168&gt;0,D168,"")</f>
        <v/>
      </c>
      <c r="Q168" s="9">
        <f>I168+O168</f>
        <v/>
      </c>
      <c r="R168" s="7">
        <f>Q168*G168</f>
        <v/>
      </c>
      <c r="S168" s="8">
        <f>IF($R$187=0,0,R168/$R$187)</f>
        <v/>
      </c>
      <c r="T168" s="8" t="n">
        <v>0</v>
      </c>
      <c r="U168" s="8" t="n">
        <v>-0.0007373776471550908</v>
      </c>
      <c r="V168" s="6" t="inlineStr">
        <is>
          <t>not selected</t>
        </is>
      </c>
    </row>
    <row r="169">
      <c r="A169" s="6" t="inlineStr">
        <is>
          <t>DJ30</t>
        </is>
      </c>
      <c r="B169" s="6" t="inlineStr">
        <is>
          <t>2023-02-10</t>
        </is>
      </c>
      <c r="C169" s="6" t="inlineStr">
        <is>
          <t>DIA</t>
        </is>
      </c>
      <c r="D169" s="6" t="inlineStr">
        <is>
          <t>HON</t>
        </is>
      </c>
      <c r="E169" s="6" t="inlineStr">
        <is>
          <t>HON</t>
        </is>
      </c>
      <c r="F169" s="6" t="inlineStr">
        <is>
          <t>-</t>
        </is>
      </c>
      <c r="G169" s="7" t="n">
        <v>175.2916870117188</v>
      </c>
      <c r="H169" s="6">
        <f>P138</f>
        <v/>
      </c>
      <c r="I169" s="9">
        <f>Q138</f>
        <v/>
      </c>
      <c r="J169" s="7">
        <f>I169*G169</f>
        <v/>
      </c>
      <c r="K169" s="8">
        <f>IF($J$187=0,0,J169/$J$187)</f>
        <v/>
      </c>
      <c r="L169" s="6" t="inlineStr">
        <is>
          <t>REJECTED</t>
        </is>
      </c>
      <c r="M169" s="8" t="n">
        <v>0</v>
      </c>
      <c r="N169" s="7">
        <f>M169*$J$187-J169</f>
        <v/>
      </c>
      <c r="O169" s="9">
        <f>IF(G169=0,0,N169/G169)</f>
        <v/>
      </c>
      <c r="P169" s="6">
        <f>IF(M169&gt;0,D169,"")</f>
        <v/>
      </c>
      <c r="Q169" s="9">
        <f>I169+O169</f>
        <v/>
      </c>
      <c r="R169" s="7">
        <f>Q169*G169</f>
        <v/>
      </c>
      <c r="S169" s="8">
        <f>IF($R$187=0,0,R169/$R$187)</f>
        <v/>
      </c>
      <c r="T169" s="8" t="n">
        <v>0</v>
      </c>
      <c r="U169" s="8" t="n">
        <v>-0.0007373776471550908</v>
      </c>
      <c r="V169" s="6" t="inlineStr">
        <is>
          <t>not selected</t>
        </is>
      </c>
    </row>
    <row r="170">
      <c r="A170" s="6" t="inlineStr">
        <is>
          <t>DJ30</t>
        </is>
      </c>
      <c r="B170" s="6" t="inlineStr">
        <is>
          <t>2023-02-10</t>
        </is>
      </c>
      <c r="C170" s="6" t="inlineStr">
        <is>
          <t>DIA</t>
        </is>
      </c>
      <c r="D170" s="6" t="inlineStr">
        <is>
          <t>IBM</t>
        </is>
      </c>
      <c r="E170" s="6" t="inlineStr">
        <is>
          <t>IBM</t>
        </is>
      </c>
      <c r="F170" s="6" t="inlineStr">
        <is>
          <t>-</t>
        </is>
      </c>
      <c r="G170" s="7" t="n">
        <v>121.438362121582</v>
      </c>
      <c r="H170" s="6">
        <f>P139</f>
        <v/>
      </c>
      <c r="I170" s="9">
        <f>Q139</f>
        <v/>
      </c>
      <c r="J170" s="7">
        <f>I170*G170</f>
        <v/>
      </c>
      <c r="K170" s="8">
        <f>IF($J$187=0,0,J170/$J$187)</f>
        <v/>
      </c>
      <c r="L170" s="6" t="inlineStr">
        <is>
          <t>REJECTED</t>
        </is>
      </c>
      <c r="M170" s="8" t="n">
        <v>0</v>
      </c>
      <c r="N170" s="7">
        <f>M170*$J$187-J170</f>
        <v/>
      </c>
      <c r="O170" s="9">
        <f>IF(G170=0,0,N170/G170)</f>
        <v/>
      </c>
      <c r="P170" s="6">
        <f>IF(M170&gt;0,D170,"")</f>
        <v/>
      </c>
      <c r="Q170" s="9">
        <f>I170+O170</f>
        <v/>
      </c>
      <c r="R170" s="7">
        <f>Q170*G170</f>
        <v/>
      </c>
      <c r="S170" s="8">
        <f>IF($R$187=0,0,R170/$R$187)</f>
        <v/>
      </c>
      <c r="T170" s="8" t="n">
        <v>0</v>
      </c>
      <c r="U170" s="8" t="n">
        <v>-0.0007373776471550908</v>
      </c>
      <c r="V170" s="6" t="inlineStr">
        <is>
          <t>not selected</t>
        </is>
      </c>
    </row>
    <row r="171">
      <c r="A171" s="6" t="inlineStr">
        <is>
          <t>DJ30</t>
        </is>
      </c>
      <c r="B171" s="6" t="inlineStr">
        <is>
          <t>2023-02-10</t>
        </is>
      </c>
      <c r="C171" s="6" t="inlineStr">
        <is>
          <t>DIA</t>
        </is>
      </c>
      <c r="D171" s="6" t="inlineStr">
        <is>
          <t>JNJ</t>
        </is>
      </c>
      <c r="E171" s="6" t="inlineStr">
        <is>
          <t>JNJ</t>
        </is>
      </c>
      <c r="F171" s="6" t="inlineStr">
        <is>
          <t>-</t>
        </is>
      </c>
      <c r="G171" s="7" t="n">
        <v>146.3896026611328</v>
      </c>
      <c r="H171" s="6">
        <f>P140</f>
        <v/>
      </c>
      <c r="I171" s="9">
        <f>Q140</f>
        <v/>
      </c>
      <c r="J171" s="7">
        <f>I171*G171</f>
        <v/>
      </c>
      <c r="K171" s="8">
        <f>IF($J$187=0,0,J171/$J$187)</f>
        <v/>
      </c>
      <c r="L171" s="6" t="inlineStr">
        <is>
          <t>REJECTED</t>
        </is>
      </c>
      <c r="M171" s="8" t="n">
        <v>0</v>
      </c>
      <c r="N171" s="7">
        <f>M171*$J$187-J171</f>
        <v/>
      </c>
      <c r="O171" s="9">
        <f>IF(G171=0,0,N171/G171)</f>
        <v/>
      </c>
      <c r="P171" s="6">
        <f>IF(M171&gt;0,D171,"")</f>
        <v/>
      </c>
      <c r="Q171" s="9">
        <f>I171+O171</f>
        <v/>
      </c>
      <c r="R171" s="7">
        <f>Q171*G171</f>
        <v/>
      </c>
      <c r="S171" s="8">
        <f>IF($R$187=0,0,R171/$R$187)</f>
        <v/>
      </c>
      <c r="T171" s="8" t="n">
        <v>0</v>
      </c>
      <c r="U171" s="8" t="n">
        <v>-0.0007373776471550908</v>
      </c>
      <c r="V171" s="6" t="inlineStr">
        <is>
          <t>not selected</t>
        </is>
      </c>
    </row>
    <row r="172">
      <c r="A172" s="6" t="inlineStr">
        <is>
          <t>DJ30</t>
        </is>
      </c>
      <c r="B172" s="6" t="inlineStr">
        <is>
          <t>2023-02-10</t>
        </is>
      </c>
      <c r="C172" s="6" t="inlineStr">
        <is>
          <t>DIA</t>
        </is>
      </c>
      <c r="D172" s="6" t="inlineStr">
        <is>
          <t>JPM</t>
        </is>
      </c>
      <c r="E172" s="6" t="inlineStr">
        <is>
          <t>JPM</t>
        </is>
      </c>
      <c r="F172" s="6" t="inlineStr">
        <is>
          <t>-</t>
        </is>
      </c>
      <c r="G172" s="7" t="n">
        <v>130.696533203125</v>
      </c>
      <c r="H172" s="6">
        <f>P141</f>
        <v/>
      </c>
      <c r="I172" s="9">
        <f>Q141</f>
        <v/>
      </c>
      <c r="J172" s="7">
        <f>I172*G172</f>
        <v/>
      </c>
      <c r="K172" s="8">
        <f>IF($J$187=0,0,J172/$J$187)</f>
        <v/>
      </c>
      <c r="L172" s="6" t="inlineStr">
        <is>
          <t>REJECTED</t>
        </is>
      </c>
      <c r="M172" s="8" t="n">
        <v>0</v>
      </c>
      <c r="N172" s="7">
        <f>M172*$J$187-J172</f>
        <v/>
      </c>
      <c r="O172" s="9">
        <f>IF(G172=0,0,N172/G172)</f>
        <v/>
      </c>
      <c r="P172" s="6">
        <f>IF(M172&gt;0,D172,"")</f>
        <v/>
      </c>
      <c r="Q172" s="9">
        <f>I172+O172</f>
        <v/>
      </c>
      <c r="R172" s="7">
        <f>Q172*G172</f>
        <v/>
      </c>
      <c r="S172" s="8">
        <f>IF($R$187=0,0,R172/$R$187)</f>
        <v/>
      </c>
      <c r="T172" s="8" t="n">
        <v>0</v>
      </c>
      <c r="U172" s="8" t="n">
        <v>-0.0007373776471550908</v>
      </c>
      <c r="V172" s="6" t="inlineStr">
        <is>
          <t>not selected</t>
        </is>
      </c>
    </row>
    <row r="173">
      <c r="A173" s="6" t="inlineStr">
        <is>
          <t>DJ30</t>
        </is>
      </c>
      <c r="B173" s="6" t="inlineStr">
        <is>
          <t>2023-02-10</t>
        </is>
      </c>
      <c r="C173" s="6" t="inlineStr">
        <is>
          <t>DIA</t>
        </is>
      </c>
      <c r="D173" s="6" t="inlineStr">
        <is>
          <t>KO</t>
        </is>
      </c>
      <c r="E173" s="6" t="inlineStr">
        <is>
          <t>KO</t>
        </is>
      </c>
      <c r="F173" s="6" t="inlineStr">
        <is>
          <t>-</t>
        </is>
      </c>
      <c r="G173" s="7" t="n">
        <v>53.7573356628418</v>
      </c>
      <c r="H173" s="6">
        <f>P142</f>
        <v/>
      </c>
      <c r="I173" s="9">
        <f>Q142</f>
        <v/>
      </c>
      <c r="J173" s="7">
        <f>I173*G173</f>
        <v/>
      </c>
      <c r="K173" s="8">
        <f>IF($J$187=0,0,J173/$J$187)</f>
        <v/>
      </c>
      <c r="L173" s="6" t="inlineStr">
        <is>
          <t>REJECTED</t>
        </is>
      </c>
      <c r="M173" s="8" t="n">
        <v>0</v>
      </c>
      <c r="N173" s="7">
        <f>M173*$J$187-J173</f>
        <v/>
      </c>
      <c r="O173" s="9">
        <f>IF(G173=0,0,N173/G173)</f>
        <v/>
      </c>
      <c r="P173" s="6">
        <f>IF(M173&gt;0,D173,"")</f>
        <v/>
      </c>
      <c r="Q173" s="9">
        <f>I173+O173</f>
        <v/>
      </c>
      <c r="R173" s="7">
        <f>Q173*G173</f>
        <v/>
      </c>
      <c r="S173" s="8">
        <f>IF($R$187=0,0,R173/$R$187)</f>
        <v/>
      </c>
      <c r="T173" s="8" t="n">
        <v>0</v>
      </c>
      <c r="U173" s="8" t="n">
        <v>-0.0007373776471550908</v>
      </c>
      <c r="V173" s="6" t="inlineStr">
        <is>
          <t>not selected</t>
        </is>
      </c>
    </row>
    <row r="174">
      <c r="A174" s="6" t="inlineStr">
        <is>
          <t>DJ30</t>
        </is>
      </c>
      <c r="B174" s="6" t="inlineStr">
        <is>
          <t>2023-02-10</t>
        </is>
      </c>
      <c r="C174" s="6" t="inlineStr">
        <is>
          <t>DIA</t>
        </is>
      </c>
      <c r="D174" s="6" t="inlineStr">
        <is>
          <t>MCD</t>
        </is>
      </c>
      <c r="E174" s="6" t="inlineStr">
        <is>
          <t>MCD</t>
        </is>
      </c>
      <c r="F174" s="6" t="inlineStr">
        <is>
          <t>-</t>
        </is>
      </c>
      <c r="G174" s="7" t="n">
        <v>241.8282318115234</v>
      </c>
      <c r="H174" s="6">
        <f>P143</f>
        <v/>
      </c>
      <c r="I174" s="9">
        <f>Q143</f>
        <v/>
      </c>
      <c r="J174" s="7">
        <f>I174*G174</f>
        <v/>
      </c>
      <c r="K174" s="8">
        <f>IF($J$187=0,0,J174/$J$187)</f>
        <v/>
      </c>
      <c r="L174" s="6" t="inlineStr">
        <is>
          <t>REJECTED</t>
        </is>
      </c>
      <c r="M174" s="8" t="n">
        <v>0</v>
      </c>
      <c r="N174" s="7">
        <f>M174*$J$187-J174</f>
        <v/>
      </c>
      <c r="O174" s="9">
        <f>IF(G174=0,0,N174/G174)</f>
        <v/>
      </c>
      <c r="P174" s="6">
        <f>IF(M174&gt;0,D174,"")</f>
        <v/>
      </c>
      <c r="Q174" s="9">
        <f>I174+O174</f>
        <v/>
      </c>
      <c r="R174" s="7">
        <f>Q174*G174</f>
        <v/>
      </c>
      <c r="S174" s="8">
        <f>IF($R$187=0,0,R174/$R$187)</f>
        <v/>
      </c>
      <c r="T174" s="8" t="n">
        <v>0</v>
      </c>
      <c r="U174" s="8" t="n">
        <v>-0.0007373776471550908</v>
      </c>
      <c r="V174" s="6" t="inlineStr">
        <is>
          <t>not selected</t>
        </is>
      </c>
    </row>
    <row r="175">
      <c r="A175" s="6" t="inlineStr">
        <is>
          <t>DJ30</t>
        </is>
      </c>
      <c r="B175" s="6" t="inlineStr">
        <is>
          <t>2023-02-10</t>
        </is>
      </c>
      <c r="C175" s="6" t="inlineStr">
        <is>
          <t>DIA</t>
        </is>
      </c>
      <c r="D175" s="6" t="inlineStr">
        <is>
          <t>MMM</t>
        </is>
      </c>
      <c r="E175" s="6" t="inlineStr">
        <is>
          <t>MMM</t>
        </is>
      </c>
      <c r="F175" s="6" t="inlineStr">
        <is>
          <t>-</t>
        </is>
      </c>
      <c r="G175" s="7" t="n">
        <v>84.35633087158203</v>
      </c>
      <c r="H175" s="6">
        <f>P144</f>
        <v/>
      </c>
      <c r="I175" s="9">
        <f>Q144</f>
        <v/>
      </c>
      <c r="J175" s="7">
        <f>I175*G175</f>
        <v/>
      </c>
      <c r="K175" s="8">
        <f>IF($J$187=0,0,J175/$J$187)</f>
        <v/>
      </c>
      <c r="L175" s="6" t="inlineStr">
        <is>
          <t>REJECTED</t>
        </is>
      </c>
      <c r="M175" s="8" t="n">
        <v>0</v>
      </c>
      <c r="N175" s="7">
        <f>M175*$J$187-J175</f>
        <v/>
      </c>
      <c r="O175" s="9">
        <f>IF(G175=0,0,N175/G175)</f>
        <v/>
      </c>
      <c r="P175" s="6">
        <f>IF(M175&gt;0,D175,"")</f>
        <v/>
      </c>
      <c r="Q175" s="9">
        <f>I175+O175</f>
        <v/>
      </c>
      <c r="R175" s="7">
        <f>Q175*G175</f>
        <v/>
      </c>
      <c r="S175" s="8">
        <f>IF($R$187=0,0,R175/$R$187)</f>
        <v/>
      </c>
      <c r="T175" s="8" t="n">
        <v>0</v>
      </c>
      <c r="U175" s="8" t="n">
        <v>-0.0007373776471550908</v>
      </c>
      <c r="V175" s="6" t="inlineStr">
        <is>
          <t>not selected</t>
        </is>
      </c>
    </row>
    <row r="176">
      <c r="A176" s="6" t="inlineStr">
        <is>
          <t>DJ30</t>
        </is>
      </c>
      <c r="B176" s="6" t="inlineStr">
        <is>
          <t>2023-02-10</t>
        </is>
      </c>
      <c r="C176" s="6" t="inlineStr">
        <is>
          <t>DIA</t>
        </is>
      </c>
      <c r="D176" s="6" t="inlineStr">
        <is>
          <t>MRK</t>
        </is>
      </c>
      <c r="E176" s="6" t="inlineStr">
        <is>
          <t>MRK</t>
        </is>
      </c>
      <c r="F176" s="6" t="inlineStr">
        <is>
          <t>-</t>
        </is>
      </c>
      <c r="G176" s="7" t="n">
        <v>97.65297698974609</v>
      </c>
      <c r="H176" s="6">
        <f>P145</f>
        <v/>
      </c>
      <c r="I176" s="9">
        <f>Q145</f>
        <v/>
      </c>
      <c r="J176" s="7">
        <f>I176*G176</f>
        <v/>
      </c>
      <c r="K176" s="8">
        <f>IF($J$187=0,0,J176/$J$187)</f>
        <v/>
      </c>
      <c r="L176" s="6" t="inlineStr">
        <is>
          <t>REJECTED</t>
        </is>
      </c>
      <c r="M176" s="8" t="n">
        <v>0</v>
      </c>
      <c r="N176" s="7">
        <f>M176*$J$187-J176</f>
        <v/>
      </c>
      <c r="O176" s="9">
        <f>IF(G176=0,0,N176/G176)</f>
        <v/>
      </c>
      <c r="P176" s="6">
        <f>IF(M176&gt;0,D176,"")</f>
        <v/>
      </c>
      <c r="Q176" s="9">
        <f>I176+O176</f>
        <v/>
      </c>
      <c r="R176" s="7">
        <f>Q176*G176</f>
        <v/>
      </c>
      <c r="S176" s="8">
        <f>IF($R$187=0,0,R176/$R$187)</f>
        <v/>
      </c>
      <c r="T176" s="8" t="n">
        <v>0</v>
      </c>
      <c r="U176" s="8" t="n">
        <v>-0.0007373776471550908</v>
      </c>
      <c r="V176" s="6" t="inlineStr">
        <is>
          <t>not selected</t>
        </is>
      </c>
    </row>
    <row r="177">
      <c r="A177" s="6" t="inlineStr">
        <is>
          <t>DJ30</t>
        </is>
      </c>
      <c r="B177" s="6" t="inlineStr">
        <is>
          <t>2023-02-10</t>
        </is>
      </c>
      <c r="C177" s="6" t="inlineStr">
        <is>
          <t>DIA</t>
        </is>
      </c>
      <c r="D177" s="6" t="inlineStr">
        <is>
          <t>MSFT</t>
        </is>
      </c>
      <c r="E177" s="6" t="inlineStr">
        <is>
          <t>MSFT</t>
        </is>
      </c>
      <c r="F177" s="6" t="inlineStr">
        <is>
          <t>-</t>
        </is>
      </c>
      <c r="G177" s="7" t="n">
        <v>255.8171691894531</v>
      </c>
      <c r="H177" s="6">
        <f>P146</f>
        <v/>
      </c>
      <c r="I177" s="9">
        <f>Q146</f>
        <v/>
      </c>
      <c r="J177" s="7">
        <f>I177*G177</f>
        <v/>
      </c>
      <c r="K177" s="8">
        <f>IF($J$187=0,0,J177/$J$187)</f>
        <v/>
      </c>
      <c r="L177" s="6" t="inlineStr">
        <is>
          <t>REJECTED</t>
        </is>
      </c>
      <c r="M177" s="8" t="n">
        <v>0</v>
      </c>
      <c r="N177" s="7">
        <f>M177*$J$187-J177</f>
        <v/>
      </c>
      <c r="O177" s="9">
        <f>IF(G177=0,0,N177/G177)</f>
        <v/>
      </c>
      <c r="P177" s="6">
        <f>IF(M177&gt;0,D177,"")</f>
        <v/>
      </c>
      <c r="Q177" s="9">
        <f>I177+O177</f>
        <v/>
      </c>
      <c r="R177" s="7">
        <f>Q177*G177</f>
        <v/>
      </c>
      <c r="S177" s="8">
        <f>IF($R$187=0,0,R177/$R$187)</f>
        <v/>
      </c>
      <c r="T177" s="8" t="n">
        <v>0</v>
      </c>
      <c r="U177" s="8" t="n">
        <v>-0.0007373776471550908</v>
      </c>
      <c r="V177" s="6" t="inlineStr">
        <is>
          <t>not selected</t>
        </is>
      </c>
    </row>
    <row r="178">
      <c r="A178" s="6" t="inlineStr">
        <is>
          <t>DJ30</t>
        </is>
      </c>
      <c r="B178" s="6" t="inlineStr">
        <is>
          <t>2023-02-10</t>
        </is>
      </c>
      <c r="C178" s="6" t="inlineStr">
        <is>
          <t>DIA</t>
        </is>
      </c>
      <c r="D178" s="6" t="inlineStr">
        <is>
          <t>NKE</t>
        </is>
      </c>
      <c r="E178" s="6" t="inlineStr">
        <is>
          <t>NKE</t>
        </is>
      </c>
      <c r="F178" s="6" t="inlineStr">
        <is>
          <t>-</t>
        </is>
      </c>
      <c r="G178" s="7" t="n">
        <v>114.1267471313477</v>
      </c>
      <c r="H178" s="6">
        <f>P147</f>
        <v/>
      </c>
      <c r="I178" s="9">
        <f>Q147</f>
        <v/>
      </c>
      <c r="J178" s="7">
        <f>I178*G178</f>
        <v/>
      </c>
      <c r="K178" s="8">
        <f>IF($J$187=0,0,J178/$J$187)</f>
        <v/>
      </c>
      <c r="L178" s="6" t="inlineStr">
        <is>
          <t>REJECTED</t>
        </is>
      </c>
      <c r="M178" s="8" t="n">
        <v>0</v>
      </c>
      <c r="N178" s="7">
        <f>M178*$J$187-J178</f>
        <v/>
      </c>
      <c r="O178" s="9">
        <f>IF(G178=0,0,N178/G178)</f>
        <v/>
      </c>
      <c r="P178" s="6">
        <f>IF(M178&gt;0,D178,"")</f>
        <v/>
      </c>
      <c r="Q178" s="9">
        <f>I178+O178</f>
        <v/>
      </c>
      <c r="R178" s="7">
        <f>Q178*G178</f>
        <v/>
      </c>
      <c r="S178" s="8">
        <f>IF($R$187=0,0,R178/$R$187)</f>
        <v/>
      </c>
      <c r="T178" s="8" t="n">
        <v>0</v>
      </c>
      <c r="U178" s="8" t="n">
        <v>-0.0007373776471550908</v>
      </c>
      <c r="V178" s="6" t="inlineStr">
        <is>
          <t>not selected</t>
        </is>
      </c>
    </row>
    <row r="179">
      <c r="A179" s="6" t="inlineStr">
        <is>
          <t>DJ30</t>
        </is>
      </c>
      <c r="B179" s="6" t="inlineStr">
        <is>
          <t>2023-02-10</t>
        </is>
      </c>
      <c r="C179" s="6" t="inlineStr">
        <is>
          <t>DIA</t>
        </is>
      </c>
      <c r="D179" s="6" t="inlineStr">
        <is>
          <t>NVDA</t>
        </is>
      </c>
      <c r="E179" s="6" t="inlineStr">
        <is>
          <t>NVDA</t>
        </is>
      </c>
      <c r="F179" s="6" t="inlineStr">
        <is>
          <t>-</t>
        </is>
      </c>
      <c r="G179" s="7" t="n">
        <v>21.21785354614257</v>
      </c>
      <c r="H179" s="6">
        <f>P148</f>
        <v/>
      </c>
      <c r="I179" s="9">
        <f>Q148</f>
        <v/>
      </c>
      <c r="J179" s="7">
        <f>I179*G179</f>
        <v/>
      </c>
      <c r="K179" s="8">
        <f>IF($J$187=0,0,J179/$J$187)</f>
        <v/>
      </c>
      <c r="L179" s="6" t="inlineStr">
        <is>
          <t>REJECTED</t>
        </is>
      </c>
      <c r="M179" s="8" t="n">
        <v>0</v>
      </c>
      <c r="N179" s="7">
        <f>M179*$J$187-J179</f>
        <v/>
      </c>
      <c r="O179" s="9">
        <f>IF(G179=0,0,N179/G179)</f>
        <v/>
      </c>
      <c r="P179" s="6">
        <f>IF(M179&gt;0,D179,"")</f>
        <v/>
      </c>
      <c r="Q179" s="9">
        <f>I179+O179</f>
        <v/>
      </c>
      <c r="R179" s="7">
        <f>Q179*G179</f>
        <v/>
      </c>
      <c r="S179" s="8">
        <f>IF($R$187=0,0,R179/$R$187)</f>
        <v/>
      </c>
      <c r="T179" s="8" t="n">
        <v>0</v>
      </c>
      <c r="U179" s="8" t="n">
        <v>-0.0007373776471550908</v>
      </c>
      <c r="V179" s="6" t="inlineStr">
        <is>
          <t>not selected</t>
        </is>
      </c>
    </row>
    <row r="180">
      <c r="A180" s="6" t="inlineStr">
        <is>
          <t>DJ30</t>
        </is>
      </c>
      <c r="B180" s="6" t="inlineStr">
        <is>
          <t>2023-02-10</t>
        </is>
      </c>
      <c r="C180" s="6" t="inlineStr">
        <is>
          <t>DIA</t>
        </is>
      </c>
      <c r="D180" s="6" t="inlineStr">
        <is>
          <t>PG</t>
        </is>
      </c>
      <c r="E180" s="6" t="inlineStr">
        <is>
          <t>PG</t>
        </is>
      </c>
      <c r="F180" s="6" t="inlineStr">
        <is>
          <t>-</t>
        </is>
      </c>
      <c r="G180" s="7" t="n">
        <v>127.1131134033203</v>
      </c>
      <c r="H180" s="6">
        <f>P149</f>
        <v/>
      </c>
      <c r="I180" s="9">
        <f>Q149</f>
        <v/>
      </c>
      <c r="J180" s="7">
        <f>I180*G180</f>
        <v/>
      </c>
      <c r="K180" s="8">
        <f>IF($J$187=0,0,J180/$J$187)</f>
        <v/>
      </c>
      <c r="L180" s="6" t="inlineStr">
        <is>
          <t>REJECTED</t>
        </is>
      </c>
      <c r="M180" s="8" t="n">
        <v>0</v>
      </c>
      <c r="N180" s="7">
        <f>M180*$J$187-J180</f>
        <v/>
      </c>
      <c r="O180" s="9">
        <f>IF(G180=0,0,N180/G180)</f>
        <v/>
      </c>
      <c r="P180" s="6">
        <f>IF(M180&gt;0,D180,"")</f>
        <v/>
      </c>
      <c r="Q180" s="9">
        <f>I180+O180</f>
        <v/>
      </c>
      <c r="R180" s="7">
        <f>Q180*G180</f>
        <v/>
      </c>
      <c r="S180" s="8">
        <f>IF($R$187=0,0,R180/$R$187)</f>
        <v/>
      </c>
      <c r="T180" s="8" t="n">
        <v>0</v>
      </c>
      <c r="U180" s="8" t="n">
        <v>-0.0007373776471550908</v>
      </c>
      <c r="V180" s="6" t="inlineStr">
        <is>
          <t>not selected</t>
        </is>
      </c>
    </row>
    <row r="181">
      <c r="A181" s="6" t="inlineStr">
        <is>
          <t>DJ30</t>
        </is>
      </c>
      <c r="B181" s="6" t="inlineStr">
        <is>
          <t>2023-02-10</t>
        </is>
      </c>
      <c r="C181" s="6" t="inlineStr">
        <is>
          <t>DIA</t>
        </is>
      </c>
      <c r="D181" s="6" t="inlineStr">
        <is>
          <t>SHW</t>
        </is>
      </c>
      <c r="E181" s="6" t="inlineStr">
        <is>
          <t>SHW</t>
        </is>
      </c>
      <c r="F181" s="6" t="inlineStr">
        <is>
          <t>-</t>
        </is>
      </c>
      <c r="G181" s="7" t="n">
        <v>223.2545318603516</v>
      </c>
      <c r="H181" s="6">
        <f>P150</f>
        <v/>
      </c>
      <c r="I181" s="9">
        <f>Q150</f>
        <v/>
      </c>
      <c r="J181" s="7">
        <f>I181*G181</f>
        <v/>
      </c>
      <c r="K181" s="8">
        <f>IF($J$187=0,0,J181/$J$187)</f>
        <v/>
      </c>
      <c r="L181" s="6" t="inlineStr">
        <is>
          <t>REJECTED</t>
        </is>
      </c>
      <c r="M181" s="8" t="n">
        <v>0</v>
      </c>
      <c r="N181" s="7">
        <f>M181*$J$187-J181</f>
        <v/>
      </c>
      <c r="O181" s="9">
        <f>IF(G181=0,0,N181/G181)</f>
        <v/>
      </c>
      <c r="P181" s="6">
        <f>IF(M181&gt;0,D181,"")</f>
        <v/>
      </c>
      <c r="Q181" s="9">
        <f>I181+O181</f>
        <v/>
      </c>
      <c r="R181" s="7">
        <f>Q181*G181</f>
        <v/>
      </c>
      <c r="S181" s="8">
        <f>IF($R$187=0,0,R181/$R$187)</f>
        <v/>
      </c>
      <c r="T181" s="8" t="n">
        <v>0</v>
      </c>
      <c r="U181" s="8" t="n">
        <v>-0.0007373776471550908</v>
      </c>
      <c r="V181" s="6" t="inlineStr">
        <is>
          <t>not selected</t>
        </is>
      </c>
    </row>
    <row r="182">
      <c r="A182" s="6" t="inlineStr">
        <is>
          <t>DJ30</t>
        </is>
      </c>
      <c r="B182" s="6" t="inlineStr">
        <is>
          <t>2023-02-10</t>
        </is>
      </c>
      <c r="C182" s="6" t="inlineStr">
        <is>
          <t>DIA</t>
        </is>
      </c>
      <c r="D182" s="6" t="inlineStr">
        <is>
          <t>TRV</t>
        </is>
      </c>
      <c r="E182" s="6" t="inlineStr">
        <is>
          <t>TRV</t>
        </is>
      </c>
      <c r="F182" s="6" t="inlineStr">
        <is>
          <t>-</t>
        </is>
      </c>
      <c r="G182" s="7" t="n">
        <v>175.0529937744141</v>
      </c>
      <c r="H182" s="6">
        <f>P151</f>
        <v/>
      </c>
      <c r="I182" s="9">
        <f>Q151</f>
        <v/>
      </c>
      <c r="J182" s="7">
        <f>I182*G182</f>
        <v/>
      </c>
      <c r="K182" s="8">
        <f>IF($J$187=0,0,J182/$J$187)</f>
        <v/>
      </c>
      <c r="L182" s="6" t="inlineStr">
        <is>
          <t>REJECTED</t>
        </is>
      </c>
      <c r="M182" s="8" t="n">
        <v>0</v>
      </c>
      <c r="N182" s="7">
        <f>M182*$J$187-J182</f>
        <v/>
      </c>
      <c r="O182" s="9">
        <f>IF(G182=0,0,N182/G182)</f>
        <v/>
      </c>
      <c r="P182" s="6">
        <f>IF(M182&gt;0,D182,"")</f>
        <v/>
      </c>
      <c r="Q182" s="9">
        <f>I182+O182</f>
        <v/>
      </c>
      <c r="R182" s="7">
        <f>Q182*G182</f>
        <v/>
      </c>
      <c r="S182" s="8">
        <f>IF($R$187=0,0,R182/$R$187)</f>
        <v/>
      </c>
      <c r="T182" s="8" t="n">
        <v>0</v>
      </c>
      <c r="U182" s="8" t="n">
        <v>-0.0007373776471550908</v>
      </c>
      <c r="V182" s="6" t="inlineStr">
        <is>
          <t>not selected</t>
        </is>
      </c>
    </row>
    <row r="183">
      <c r="A183" s="6" t="inlineStr">
        <is>
          <t>DJ30</t>
        </is>
      </c>
      <c r="B183" s="6" t="inlineStr">
        <is>
          <t>2023-02-10</t>
        </is>
      </c>
      <c r="C183" s="6" t="inlineStr">
        <is>
          <t>DIA</t>
        </is>
      </c>
      <c r="D183" s="6" t="inlineStr">
        <is>
          <t>UNH</t>
        </is>
      </c>
      <c r="E183" s="6" t="inlineStr">
        <is>
          <t>UNH</t>
        </is>
      </c>
      <c r="F183" s="6" t="inlineStr">
        <is>
          <t>-</t>
        </is>
      </c>
      <c r="G183" s="7" t="n">
        <v>461.64453125</v>
      </c>
      <c r="H183" s="6">
        <f>P152</f>
        <v/>
      </c>
      <c r="I183" s="9">
        <f>Q152</f>
        <v/>
      </c>
      <c r="J183" s="7">
        <f>I183*G183</f>
        <v/>
      </c>
      <c r="K183" s="8">
        <f>IF($J$187=0,0,J183/$J$187)</f>
        <v/>
      </c>
      <c r="L183" s="6" t="inlineStr">
        <is>
          <t>REJECTED</t>
        </is>
      </c>
      <c r="M183" s="8" t="n">
        <v>0</v>
      </c>
      <c r="N183" s="7">
        <f>M183*$J$187-J183</f>
        <v/>
      </c>
      <c r="O183" s="9">
        <f>IF(G183=0,0,N183/G183)</f>
        <v/>
      </c>
      <c r="P183" s="6">
        <f>IF(M183&gt;0,D183,"")</f>
        <v/>
      </c>
      <c r="Q183" s="9">
        <f>I183+O183</f>
        <v/>
      </c>
      <c r="R183" s="7">
        <f>Q183*G183</f>
        <v/>
      </c>
      <c r="S183" s="8">
        <f>IF($R$187=0,0,R183/$R$187)</f>
        <v/>
      </c>
      <c r="T183" s="8" t="n">
        <v>0</v>
      </c>
      <c r="U183" s="8" t="n">
        <v>-0.0007373776471550908</v>
      </c>
      <c r="V183" s="6" t="inlineStr">
        <is>
          <t>not selected</t>
        </is>
      </c>
    </row>
    <row r="184">
      <c r="A184" s="6" t="inlineStr">
        <is>
          <t>DJ30</t>
        </is>
      </c>
      <c r="B184" s="6" t="inlineStr">
        <is>
          <t>2023-02-10</t>
        </is>
      </c>
      <c r="C184" s="6" t="inlineStr">
        <is>
          <t>DIA</t>
        </is>
      </c>
      <c r="D184" s="6" t="inlineStr">
        <is>
          <t>V</t>
        </is>
      </c>
      <c r="E184" s="6" t="inlineStr">
        <is>
          <t>V</t>
        </is>
      </c>
      <c r="F184" s="6" t="inlineStr">
        <is>
          <t>-</t>
        </is>
      </c>
      <c r="G184" s="7" t="n">
        <v>221.6400604248047</v>
      </c>
      <c r="H184" s="6">
        <f>P153</f>
        <v/>
      </c>
      <c r="I184" s="9">
        <f>Q153</f>
        <v/>
      </c>
      <c r="J184" s="7">
        <f>I184*G184</f>
        <v/>
      </c>
      <c r="K184" s="8">
        <f>IF($J$187=0,0,J184/$J$187)</f>
        <v/>
      </c>
      <c r="L184" s="6" t="inlineStr">
        <is>
          <t>REJECTED</t>
        </is>
      </c>
      <c r="M184" s="8" t="n">
        <v>0</v>
      </c>
      <c r="N184" s="7">
        <f>M184*$J$187-J184</f>
        <v/>
      </c>
      <c r="O184" s="9">
        <f>IF(G184=0,0,N184/G184)</f>
        <v/>
      </c>
      <c r="P184" s="6">
        <f>IF(M184&gt;0,D184,"")</f>
        <v/>
      </c>
      <c r="Q184" s="9">
        <f>I184+O184</f>
        <v/>
      </c>
      <c r="R184" s="7">
        <f>Q184*G184</f>
        <v/>
      </c>
      <c r="S184" s="8">
        <f>IF($R$187=0,0,R184/$R$187)</f>
        <v/>
      </c>
      <c r="T184" s="8" t="n">
        <v>0</v>
      </c>
      <c r="U184" s="8" t="n">
        <v>-0.0007373776471550908</v>
      </c>
      <c r="V184" s="6" t="inlineStr">
        <is>
          <t>not selected</t>
        </is>
      </c>
    </row>
    <row r="185">
      <c r="A185" s="6" t="inlineStr">
        <is>
          <t>DJ30</t>
        </is>
      </c>
      <c r="B185" s="6" t="inlineStr">
        <is>
          <t>2023-02-10</t>
        </is>
      </c>
      <c r="C185" s="6" t="inlineStr">
        <is>
          <t>DIA</t>
        </is>
      </c>
      <c r="D185" s="6" t="inlineStr">
        <is>
          <t>VZ</t>
        </is>
      </c>
      <c r="E185" s="6" t="inlineStr">
        <is>
          <t>VZ</t>
        </is>
      </c>
      <c r="F185" s="6" t="inlineStr">
        <is>
          <t>-</t>
        </is>
      </c>
      <c r="G185" s="7" t="n">
        <v>32.1569938659668</v>
      </c>
      <c r="H185" s="6">
        <f>P154</f>
        <v/>
      </c>
      <c r="I185" s="9">
        <f>Q154</f>
        <v/>
      </c>
      <c r="J185" s="7">
        <f>I185*G185</f>
        <v/>
      </c>
      <c r="K185" s="8">
        <f>IF($J$187=0,0,J185/$J$187)</f>
        <v/>
      </c>
      <c r="L185" s="6" t="inlineStr">
        <is>
          <t>REJECTED</t>
        </is>
      </c>
      <c r="M185" s="8" t="n">
        <v>0</v>
      </c>
      <c r="N185" s="7">
        <f>M185*$J$187-J185</f>
        <v/>
      </c>
      <c r="O185" s="9">
        <f>IF(G185=0,0,N185/G185)</f>
        <v/>
      </c>
      <c r="P185" s="6">
        <f>IF(M185&gt;0,D185,"")</f>
        <v/>
      </c>
      <c r="Q185" s="9">
        <f>I185+O185</f>
        <v/>
      </c>
      <c r="R185" s="7">
        <f>Q185*G185</f>
        <v/>
      </c>
      <c r="S185" s="8">
        <f>IF($R$187=0,0,R185/$R$187)</f>
        <v/>
      </c>
      <c r="T185" s="8" t="n">
        <v>0</v>
      </c>
      <c r="U185" s="8" t="n">
        <v>-0.0007373776471550908</v>
      </c>
      <c r="V185" s="6" t="inlineStr">
        <is>
          <t>not selected</t>
        </is>
      </c>
    </row>
    <row r="186">
      <c r="A186" s="6" t="inlineStr">
        <is>
          <t>DJ30</t>
        </is>
      </c>
      <c r="B186" s="6" t="inlineStr">
        <is>
          <t>2023-02-10</t>
        </is>
      </c>
      <c r="C186" s="6" t="inlineStr">
        <is>
          <t>DIA</t>
        </is>
      </c>
      <c r="D186" s="6" t="inlineStr">
        <is>
          <t>WMT</t>
        </is>
      </c>
      <c r="E186" s="6" t="inlineStr">
        <is>
          <t>WMT</t>
        </is>
      </c>
      <c r="F186" s="6" t="inlineStr">
        <is>
          <t>-</t>
        </is>
      </c>
      <c r="G186" s="7" t="n">
        <v>46.00355911254883</v>
      </c>
      <c r="H186" s="6">
        <f>P155</f>
        <v/>
      </c>
      <c r="I186" s="9">
        <f>Q155</f>
        <v/>
      </c>
      <c r="J186" s="7">
        <f>I186*G186</f>
        <v/>
      </c>
      <c r="K186" s="8">
        <f>IF($J$187=0,0,J186/$J$187)</f>
        <v/>
      </c>
      <c r="L186" s="6" t="inlineStr">
        <is>
          <t>REJECTED</t>
        </is>
      </c>
      <c r="M186" s="8" t="n">
        <v>0</v>
      </c>
      <c r="N186" s="7">
        <f>M186*$J$187-J186</f>
        <v/>
      </c>
      <c r="O186" s="9">
        <f>IF(G186=0,0,N186/G186)</f>
        <v/>
      </c>
      <c r="P186" s="6">
        <f>IF(M186&gt;0,D186,"")</f>
        <v/>
      </c>
      <c r="Q186" s="9">
        <f>I186+O186</f>
        <v/>
      </c>
      <c r="R186" s="7">
        <f>Q186*G186</f>
        <v/>
      </c>
      <c r="S186" s="8">
        <f>IF($R$187=0,0,R186/$R$187)</f>
        <v/>
      </c>
      <c r="T186" s="8" t="n">
        <v>0</v>
      </c>
      <c r="U186" s="8" t="n">
        <v>-0.0007373776471550908</v>
      </c>
      <c r="V186" s="6" t="inlineStr">
        <is>
          <t>not selected</t>
        </is>
      </c>
    </row>
    <row r="187">
      <c r="A187" s="10" t="inlineStr">
        <is>
          <t>DJ30</t>
        </is>
      </c>
      <c r="B187" s="10" t="inlineStr">
        <is>
          <t>2023-02-10</t>
        </is>
      </c>
      <c r="C187" s="10" t="inlineStr">
        <is>
          <t>DIA</t>
        </is>
      </c>
      <c r="D187" s="10" t="inlineStr">
        <is>
          <t>Tot Portfolio</t>
        </is>
      </c>
      <c r="E187" s="10" t="inlineStr"/>
      <c r="F187" s="10" t="inlineStr"/>
      <c r="G187" s="11" t="inlineStr"/>
      <c r="H187" s="10" t="inlineStr"/>
      <c r="I187" s="12" t="inlineStr"/>
      <c r="J187" s="11">
        <f>SUM(J157:J186)</f>
        <v/>
      </c>
      <c r="K187" s="13">
        <f>SUM(K157:K186)</f>
        <v/>
      </c>
      <c r="L187" s="10" t="inlineStr">
        <is>
          <t>TOTAL</t>
        </is>
      </c>
      <c r="M187" s="13">
        <f>SUM(M157:M186)</f>
        <v/>
      </c>
      <c r="N187" s="11">
        <f>SUM(N157:N186)</f>
        <v/>
      </c>
      <c r="O187" s="12">
        <f>SUM(O157:O186)</f>
        <v/>
      </c>
      <c r="P187" s="10" t="inlineStr"/>
      <c r="Q187" s="12" t="inlineStr"/>
      <c r="R187" s="11">
        <f>SUM(R157:R186)</f>
        <v/>
      </c>
      <c r="S187" s="13">
        <f>SUM(S157:S186)</f>
        <v/>
      </c>
      <c r="T187" s="13" t="n">
        <v>0</v>
      </c>
      <c r="U187" s="13" t="n">
        <v>-0.0007373776471550908</v>
      </c>
      <c r="V187" s="10" t="inlineStr"/>
    </row>
    <row r="188">
      <c r="A188" s="6" t="inlineStr">
        <is>
          <t>DJ30</t>
        </is>
      </c>
      <c r="B188" s="6" t="inlineStr">
        <is>
          <t>2023-02-17</t>
        </is>
      </c>
      <c r="C188" s="6" t="inlineStr">
        <is>
          <t>DIA</t>
        </is>
      </c>
      <c r="D188" s="6" t="inlineStr">
        <is>
          <t>AAPL</t>
        </is>
      </c>
      <c r="E188" s="6" t="inlineStr">
        <is>
          <t>AAPL</t>
        </is>
      </c>
      <c r="F188" s="6" t="inlineStr">
        <is>
          <t>-</t>
        </is>
      </c>
      <c r="G188" s="7" t="n">
        <v>150.2331390380859</v>
      </c>
      <c r="H188" s="6">
        <f>P157</f>
        <v/>
      </c>
      <c r="I188" s="9">
        <f>Q157</f>
        <v/>
      </c>
      <c r="J188" s="7">
        <f>I188*G188</f>
        <v/>
      </c>
      <c r="K188" s="8">
        <f>IF($J$218=0,0,J188/$J$218)</f>
        <v/>
      </c>
      <c r="L188" s="6" t="inlineStr">
        <is>
          <t>REJECTED</t>
        </is>
      </c>
      <c r="M188" s="8" t="n">
        <v>0</v>
      </c>
      <c r="N188" s="7">
        <f>M188*$J$218-J188</f>
        <v/>
      </c>
      <c r="O188" s="9">
        <f>IF(G188=0,0,N188/G188)</f>
        <v/>
      </c>
      <c r="P188" s="6">
        <f>IF(M188&gt;0,D188,"")</f>
        <v/>
      </c>
      <c r="Q188" s="9">
        <f>I188+O188</f>
        <v/>
      </c>
      <c r="R188" s="7">
        <f>Q188*G188</f>
        <v/>
      </c>
      <c r="S188" s="8">
        <f>IF($R$218=0,0,R188/$R$218)</f>
        <v/>
      </c>
      <c r="T188" s="8" t="n">
        <v>0</v>
      </c>
      <c r="U188" s="8" t="n">
        <v>0.0003376687232863329</v>
      </c>
      <c r="V188" s="6" t="inlineStr">
        <is>
          <t>not selected</t>
        </is>
      </c>
    </row>
    <row r="189">
      <c r="A189" s="6" t="inlineStr">
        <is>
          <t>DJ30</t>
        </is>
      </c>
      <c r="B189" s="6" t="inlineStr">
        <is>
          <t>2023-02-17</t>
        </is>
      </c>
      <c r="C189" s="6" t="inlineStr">
        <is>
          <t>DIA</t>
        </is>
      </c>
      <c r="D189" s="6" t="inlineStr">
        <is>
          <t>AMGN</t>
        </is>
      </c>
      <c r="E189" s="6" t="inlineStr">
        <is>
          <t>AMGN</t>
        </is>
      </c>
      <c r="F189" s="6" t="inlineStr">
        <is>
          <t>-</t>
        </is>
      </c>
      <c r="G189" s="7" t="n">
        <v>217.3097839355469</v>
      </c>
      <c r="H189" s="6">
        <f>P158</f>
        <v/>
      </c>
      <c r="I189" s="9">
        <f>Q158</f>
        <v/>
      </c>
      <c r="J189" s="7">
        <f>I189*G189</f>
        <v/>
      </c>
      <c r="K189" s="8">
        <f>IF($J$218=0,0,J189/$J$218)</f>
        <v/>
      </c>
      <c r="L189" s="6" t="inlineStr">
        <is>
          <t>REJECTED</t>
        </is>
      </c>
      <c r="M189" s="8" t="n">
        <v>0</v>
      </c>
      <c r="N189" s="7">
        <f>M189*$J$218-J189</f>
        <v/>
      </c>
      <c r="O189" s="9">
        <f>IF(G189=0,0,N189/G189)</f>
        <v/>
      </c>
      <c r="P189" s="6">
        <f>IF(M189&gt;0,D189,"")</f>
        <v/>
      </c>
      <c r="Q189" s="9">
        <f>I189+O189</f>
        <v/>
      </c>
      <c r="R189" s="7">
        <f>Q189*G189</f>
        <v/>
      </c>
      <c r="S189" s="8">
        <f>IF($R$218=0,0,R189/$R$218)</f>
        <v/>
      </c>
      <c r="T189" s="8" t="n">
        <v>0</v>
      </c>
      <c r="U189" s="8" t="n">
        <v>0.0003376687232863329</v>
      </c>
      <c r="V189" s="6" t="inlineStr">
        <is>
          <t>not selected</t>
        </is>
      </c>
    </row>
    <row r="190">
      <c r="A190" s="6" t="inlineStr">
        <is>
          <t>DJ30</t>
        </is>
      </c>
      <c r="B190" s="6" t="inlineStr">
        <is>
          <t>2023-02-17</t>
        </is>
      </c>
      <c r="C190" s="6" t="inlineStr">
        <is>
          <t>DIA</t>
        </is>
      </c>
      <c r="D190" s="6" t="inlineStr">
        <is>
          <t>AMZN</t>
        </is>
      </c>
      <c r="E190" s="6" t="inlineStr">
        <is>
          <t>AMZN</t>
        </is>
      </c>
      <c r="F190" s="6" t="inlineStr">
        <is>
          <t>-</t>
        </is>
      </c>
      <c r="G190" s="7" t="n">
        <v>97.1999969482422</v>
      </c>
      <c r="H190" s="6">
        <f>P159</f>
        <v/>
      </c>
      <c r="I190" s="9">
        <f>Q159</f>
        <v/>
      </c>
      <c r="J190" s="7">
        <f>I190*G190</f>
        <v/>
      </c>
      <c r="K190" s="8">
        <f>IF($J$218=0,0,J190/$J$218)</f>
        <v/>
      </c>
      <c r="L190" s="6" t="inlineStr">
        <is>
          <t>REJECTED</t>
        </is>
      </c>
      <c r="M190" s="8" t="n">
        <v>0</v>
      </c>
      <c r="N190" s="7">
        <f>M190*$J$218-J190</f>
        <v/>
      </c>
      <c r="O190" s="9">
        <f>IF(G190=0,0,N190/G190)</f>
        <v/>
      </c>
      <c r="P190" s="6">
        <f>IF(M190&gt;0,D190,"")</f>
        <v/>
      </c>
      <c r="Q190" s="9">
        <f>I190+O190</f>
        <v/>
      </c>
      <c r="R190" s="7">
        <f>Q190*G190</f>
        <v/>
      </c>
      <c r="S190" s="8">
        <f>IF($R$218=0,0,R190/$R$218)</f>
        <v/>
      </c>
      <c r="T190" s="8" t="n">
        <v>0</v>
      </c>
      <c r="U190" s="8" t="n">
        <v>0.0003376687232863329</v>
      </c>
      <c r="V190" s="6" t="inlineStr">
        <is>
          <t>not selected</t>
        </is>
      </c>
    </row>
    <row r="191">
      <c r="A191" s="6" t="inlineStr">
        <is>
          <t>DJ30</t>
        </is>
      </c>
      <c r="B191" s="6" t="inlineStr">
        <is>
          <t>2023-02-17</t>
        </is>
      </c>
      <c r="C191" s="6" t="inlineStr">
        <is>
          <t>DIA</t>
        </is>
      </c>
      <c r="D191" s="6" t="inlineStr">
        <is>
          <t>AXP</t>
        </is>
      </c>
      <c r="E191" s="6" t="inlineStr">
        <is>
          <t>AXP</t>
        </is>
      </c>
      <c r="F191" s="6" t="inlineStr">
        <is>
          <t>-</t>
        </is>
      </c>
      <c r="G191" s="7" t="n">
        <v>170.4818725585938</v>
      </c>
      <c r="H191" s="6">
        <f>P160</f>
        <v/>
      </c>
      <c r="I191" s="9">
        <f>Q160</f>
        <v/>
      </c>
      <c r="J191" s="7">
        <f>I191*G191</f>
        <v/>
      </c>
      <c r="K191" s="8">
        <f>IF($J$218=0,0,J191/$J$218)</f>
        <v/>
      </c>
      <c r="L191" s="6" t="inlineStr">
        <is>
          <t>REJECTED</t>
        </is>
      </c>
      <c r="M191" s="8" t="n">
        <v>0</v>
      </c>
      <c r="N191" s="7">
        <f>M191*$J$218-J191</f>
        <v/>
      </c>
      <c r="O191" s="9">
        <f>IF(G191=0,0,N191/G191)</f>
        <v/>
      </c>
      <c r="P191" s="6">
        <f>IF(M191&gt;0,D191,"")</f>
        <v/>
      </c>
      <c r="Q191" s="9">
        <f>I191+O191</f>
        <v/>
      </c>
      <c r="R191" s="7">
        <f>Q191*G191</f>
        <v/>
      </c>
      <c r="S191" s="8">
        <f>IF($R$218=0,0,R191/$R$218)</f>
        <v/>
      </c>
      <c r="T191" s="8" t="n">
        <v>0</v>
      </c>
      <c r="U191" s="8" t="n">
        <v>0.0003376687232863329</v>
      </c>
      <c r="V191" s="6" t="inlineStr">
        <is>
          <t>not selected</t>
        </is>
      </c>
    </row>
    <row r="192">
      <c r="A192" s="6" t="inlineStr">
        <is>
          <t>DJ30</t>
        </is>
      </c>
      <c r="B192" s="6" t="inlineStr">
        <is>
          <t>2023-02-17</t>
        </is>
      </c>
      <c r="C192" s="6" t="inlineStr">
        <is>
          <t>DIA</t>
        </is>
      </c>
      <c r="D192" s="6" t="inlineStr">
        <is>
          <t>BA</t>
        </is>
      </c>
      <c r="E192" s="6" t="inlineStr">
        <is>
          <t>BA</t>
        </is>
      </c>
      <c r="F192" s="6" t="inlineStr">
        <is>
          <t>-</t>
        </is>
      </c>
      <c r="G192" s="7" t="n">
        <v>211.6600036621093</v>
      </c>
      <c r="H192" s="6">
        <f>P161</f>
        <v/>
      </c>
      <c r="I192" s="9">
        <f>Q161</f>
        <v/>
      </c>
      <c r="J192" s="7">
        <f>I192*G192</f>
        <v/>
      </c>
      <c r="K192" s="8">
        <f>IF($J$218=0,0,J192/$J$218)</f>
        <v/>
      </c>
      <c r="L192" s="6" t="inlineStr">
        <is>
          <t>REJECTED</t>
        </is>
      </c>
      <c r="M192" s="8" t="n">
        <v>0</v>
      </c>
      <c r="N192" s="7">
        <f>M192*$J$218-J192</f>
        <v/>
      </c>
      <c r="O192" s="9">
        <f>IF(G192=0,0,N192/G192)</f>
        <v/>
      </c>
      <c r="P192" s="6">
        <f>IF(M192&gt;0,D192,"")</f>
        <v/>
      </c>
      <c r="Q192" s="9">
        <f>I192+O192</f>
        <v/>
      </c>
      <c r="R192" s="7">
        <f>Q192*G192</f>
        <v/>
      </c>
      <c r="S192" s="8">
        <f>IF($R$218=0,0,R192/$R$218)</f>
        <v/>
      </c>
      <c r="T192" s="8" t="n">
        <v>0</v>
      </c>
      <c r="U192" s="8" t="n">
        <v>0.0003376687232863329</v>
      </c>
      <c r="V192" s="6" t="inlineStr">
        <is>
          <t>not selected</t>
        </is>
      </c>
    </row>
    <row r="193">
      <c r="A193" s="6" t="inlineStr">
        <is>
          <t>DJ30</t>
        </is>
      </c>
      <c r="B193" s="6" t="inlineStr">
        <is>
          <t>2023-02-17</t>
        </is>
      </c>
      <c r="C193" s="6" t="inlineStr">
        <is>
          <t>DIA</t>
        </is>
      </c>
      <c r="D193" s="6" t="inlineStr">
        <is>
          <t>CAT</t>
        </is>
      </c>
      <c r="E193" s="6" t="inlineStr">
        <is>
          <t>CAT</t>
        </is>
      </c>
      <c r="F193" s="6" t="inlineStr">
        <is>
          <t>-</t>
        </is>
      </c>
      <c r="G193" s="7" t="n">
        <v>235.5529174804688</v>
      </c>
      <c r="H193" s="6">
        <f>P162</f>
        <v/>
      </c>
      <c r="I193" s="9">
        <f>Q162</f>
        <v/>
      </c>
      <c r="J193" s="7">
        <f>I193*G193</f>
        <v/>
      </c>
      <c r="K193" s="8">
        <f>IF($J$218=0,0,J193/$J$218)</f>
        <v/>
      </c>
      <c r="L193" s="6" t="inlineStr">
        <is>
          <t>REJECTED</t>
        </is>
      </c>
      <c r="M193" s="8" t="n">
        <v>0</v>
      </c>
      <c r="N193" s="7">
        <f>M193*$J$218-J193</f>
        <v/>
      </c>
      <c r="O193" s="9">
        <f>IF(G193=0,0,N193/G193)</f>
        <v/>
      </c>
      <c r="P193" s="6">
        <f>IF(M193&gt;0,D193,"")</f>
        <v/>
      </c>
      <c r="Q193" s="9">
        <f>I193+O193</f>
        <v/>
      </c>
      <c r="R193" s="7">
        <f>Q193*G193</f>
        <v/>
      </c>
      <c r="S193" s="8">
        <f>IF($R$218=0,0,R193/$R$218)</f>
        <v/>
      </c>
      <c r="T193" s="8" t="n">
        <v>0</v>
      </c>
      <c r="U193" s="8" t="n">
        <v>0.0003376687232863329</v>
      </c>
      <c r="V193" s="6" t="inlineStr">
        <is>
          <t>not selected</t>
        </is>
      </c>
    </row>
    <row r="194">
      <c r="A194" s="6" t="inlineStr">
        <is>
          <t>DJ30</t>
        </is>
      </c>
      <c r="B194" s="6" t="inlineStr">
        <is>
          <t>2023-02-17</t>
        </is>
      </c>
      <c r="C194" s="6" t="inlineStr">
        <is>
          <t>DIA</t>
        </is>
      </c>
      <c r="D194" s="6" t="inlineStr">
        <is>
          <t>CRM</t>
        </is>
      </c>
      <c r="E194" s="6" t="inlineStr">
        <is>
          <t>CRM</t>
        </is>
      </c>
      <c r="F194" s="6" t="inlineStr">
        <is>
          <t>-</t>
        </is>
      </c>
      <c r="G194" s="7" t="n">
        <v>162.3610382080078</v>
      </c>
      <c r="H194" s="6">
        <f>P163</f>
        <v/>
      </c>
      <c r="I194" s="9">
        <f>Q163</f>
        <v/>
      </c>
      <c r="J194" s="7">
        <f>I194*G194</f>
        <v/>
      </c>
      <c r="K194" s="8">
        <f>IF($J$218=0,0,J194/$J$218)</f>
        <v/>
      </c>
      <c r="L194" s="6" t="inlineStr">
        <is>
          <t>REJECTED</t>
        </is>
      </c>
      <c r="M194" s="8" t="n">
        <v>0</v>
      </c>
      <c r="N194" s="7">
        <f>M194*$J$218-J194</f>
        <v/>
      </c>
      <c r="O194" s="9">
        <f>IF(G194=0,0,N194/G194)</f>
        <v/>
      </c>
      <c r="P194" s="6">
        <f>IF(M194&gt;0,D194,"")</f>
        <v/>
      </c>
      <c r="Q194" s="9">
        <f>I194+O194</f>
        <v/>
      </c>
      <c r="R194" s="7">
        <f>Q194*G194</f>
        <v/>
      </c>
      <c r="S194" s="8">
        <f>IF($R$218=0,0,R194/$R$218)</f>
        <v/>
      </c>
      <c r="T194" s="8" t="n">
        <v>0</v>
      </c>
      <c r="U194" s="8" t="n">
        <v>0.0003376687232863329</v>
      </c>
      <c r="V194" s="6" t="inlineStr">
        <is>
          <t>not selected</t>
        </is>
      </c>
    </row>
    <row r="195">
      <c r="A195" s="6" t="inlineStr">
        <is>
          <t>DJ30</t>
        </is>
      </c>
      <c r="B195" s="6" t="inlineStr">
        <is>
          <t>2023-02-17</t>
        </is>
      </c>
      <c r="C195" s="6" t="inlineStr">
        <is>
          <t>DIA</t>
        </is>
      </c>
      <c r="D195" s="6" t="inlineStr">
        <is>
          <t>CSCO</t>
        </is>
      </c>
      <c r="E195" s="6" t="inlineStr">
        <is>
          <t>CSCO</t>
        </is>
      </c>
      <c r="F195" s="6" t="inlineStr">
        <is>
          <t>-</t>
        </is>
      </c>
      <c r="G195" s="7" t="n">
        <v>46.37856674194336</v>
      </c>
      <c r="H195" s="6">
        <f>P164</f>
        <v/>
      </c>
      <c r="I195" s="9">
        <f>Q164</f>
        <v/>
      </c>
      <c r="J195" s="7">
        <f>I195*G195</f>
        <v/>
      </c>
      <c r="K195" s="8">
        <f>IF($J$218=0,0,J195/$J$218)</f>
        <v/>
      </c>
      <c r="L195" s="6" t="inlineStr">
        <is>
          <t>REJECTED</t>
        </is>
      </c>
      <c r="M195" s="8" t="n">
        <v>0</v>
      </c>
      <c r="N195" s="7">
        <f>M195*$J$218-J195</f>
        <v/>
      </c>
      <c r="O195" s="9">
        <f>IF(G195=0,0,N195/G195)</f>
        <v/>
      </c>
      <c r="P195" s="6">
        <f>IF(M195&gt;0,D195,"")</f>
        <v/>
      </c>
      <c r="Q195" s="9">
        <f>I195+O195</f>
        <v/>
      </c>
      <c r="R195" s="7">
        <f>Q195*G195</f>
        <v/>
      </c>
      <c r="S195" s="8">
        <f>IF($R$218=0,0,R195/$R$218)</f>
        <v/>
      </c>
      <c r="T195" s="8" t="n">
        <v>0</v>
      </c>
      <c r="U195" s="8" t="n">
        <v>0.0003376687232863329</v>
      </c>
      <c r="V195" s="6" t="inlineStr">
        <is>
          <t>not selected</t>
        </is>
      </c>
    </row>
    <row r="196">
      <c r="A196" s="6" t="inlineStr">
        <is>
          <t>DJ30</t>
        </is>
      </c>
      <c r="B196" s="6" t="inlineStr">
        <is>
          <t>2023-02-17</t>
        </is>
      </c>
      <c r="C196" s="6" t="inlineStr">
        <is>
          <t>DIA</t>
        </is>
      </c>
      <c r="D196" s="6" t="inlineStr">
        <is>
          <t>CVX</t>
        </is>
      </c>
      <c r="E196" s="6" t="inlineStr">
        <is>
          <t>CVX</t>
        </is>
      </c>
      <c r="F196" s="6" t="inlineStr">
        <is>
          <t>-</t>
        </is>
      </c>
      <c r="G196" s="7" t="n">
        <v>142.130615234375</v>
      </c>
      <c r="H196" s="6">
        <f>P165</f>
        <v/>
      </c>
      <c r="I196" s="9">
        <f>Q165</f>
        <v/>
      </c>
      <c r="J196" s="7">
        <f>I196*G196</f>
        <v/>
      </c>
      <c r="K196" s="8">
        <f>IF($J$218=0,0,J196/$J$218)</f>
        <v/>
      </c>
      <c r="L196" s="6" t="inlineStr">
        <is>
          <t>REJECTED</t>
        </is>
      </c>
      <c r="M196" s="8" t="n">
        <v>0</v>
      </c>
      <c r="N196" s="7">
        <f>M196*$J$218-J196</f>
        <v/>
      </c>
      <c r="O196" s="9">
        <f>IF(G196=0,0,N196/G196)</f>
        <v/>
      </c>
      <c r="P196" s="6">
        <f>IF(M196&gt;0,D196,"")</f>
        <v/>
      </c>
      <c r="Q196" s="9">
        <f>I196+O196</f>
        <v/>
      </c>
      <c r="R196" s="7">
        <f>Q196*G196</f>
        <v/>
      </c>
      <c r="S196" s="8">
        <f>IF($R$218=0,0,R196/$R$218)</f>
        <v/>
      </c>
      <c r="T196" s="8" t="n">
        <v>0</v>
      </c>
      <c r="U196" s="8" t="n">
        <v>0.0003376687232863329</v>
      </c>
      <c r="V196" s="6" t="inlineStr">
        <is>
          <t>not selected</t>
        </is>
      </c>
    </row>
    <row r="197">
      <c r="A197" s="6" t="inlineStr">
        <is>
          <t>DJ30</t>
        </is>
      </c>
      <c r="B197" s="6" t="inlineStr">
        <is>
          <t>2023-02-17</t>
        </is>
      </c>
      <c r="C197" s="6" t="inlineStr">
        <is>
          <t>DIA</t>
        </is>
      </c>
      <c r="D197" s="6" t="inlineStr">
        <is>
          <t>DIS</t>
        </is>
      </c>
      <c r="E197" s="6" t="inlineStr">
        <is>
          <t>DIS</t>
        </is>
      </c>
      <c r="F197" s="6" t="inlineStr">
        <is>
          <t>-</t>
        </is>
      </c>
      <c r="G197" s="7" t="n">
        <v>102.7991485595703</v>
      </c>
      <c r="H197" s="6">
        <f>P166</f>
        <v/>
      </c>
      <c r="I197" s="9">
        <f>Q166</f>
        <v/>
      </c>
      <c r="J197" s="7">
        <f>I197*G197</f>
        <v/>
      </c>
      <c r="K197" s="8">
        <f>IF($J$218=0,0,J197/$J$218)</f>
        <v/>
      </c>
      <c r="L197" s="6" t="inlineStr">
        <is>
          <t>REJECTED</t>
        </is>
      </c>
      <c r="M197" s="8" t="n">
        <v>0</v>
      </c>
      <c r="N197" s="7">
        <f>M197*$J$218-J197</f>
        <v/>
      </c>
      <c r="O197" s="9">
        <f>IF(G197=0,0,N197/G197)</f>
        <v/>
      </c>
      <c r="P197" s="6">
        <f>IF(M197&gt;0,D197,"")</f>
        <v/>
      </c>
      <c r="Q197" s="9">
        <f>I197+O197</f>
        <v/>
      </c>
      <c r="R197" s="7">
        <f>Q197*G197</f>
        <v/>
      </c>
      <c r="S197" s="8">
        <f>IF($R$218=0,0,R197/$R$218)</f>
        <v/>
      </c>
      <c r="T197" s="8" t="n">
        <v>0</v>
      </c>
      <c r="U197" s="8" t="n">
        <v>0.0003376687232863329</v>
      </c>
      <c r="V197" s="6" t="inlineStr">
        <is>
          <t>not selected</t>
        </is>
      </c>
    </row>
    <row r="198">
      <c r="A198" s="6" t="inlineStr">
        <is>
          <t>DJ30</t>
        </is>
      </c>
      <c r="B198" s="6" t="inlineStr">
        <is>
          <t>2023-02-17</t>
        </is>
      </c>
      <c r="C198" s="6" t="inlineStr">
        <is>
          <t>DIA</t>
        </is>
      </c>
      <c r="D198" s="6" t="inlineStr">
        <is>
          <t>GS</t>
        </is>
      </c>
      <c r="E198" s="6" t="inlineStr">
        <is>
          <t>GS</t>
        </is>
      </c>
      <c r="F198" s="6" t="inlineStr">
        <is>
          <t>-</t>
        </is>
      </c>
      <c r="G198" s="7" t="n">
        <v>338.4764404296875</v>
      </c>
      <c r="H198" s="6">
        <f>P167</f>
        <v/>
      </c>
      <c r="I198" s="9">
        <f>Q167</f>
        <v/>
      </c>
      <c r="J198" s="7">
        <f>I198*G198</f>
        <v/>
      </c>
      <c r="K198" s="8">
        <f>IF($J$218=0,0,J198/$J$218)</f>
        <v/>
      </c>
      <c r="L198" s="6" t="inlineStr">
        <is>
          <t>REJECTED</t>
        </is>
      </c>
      <c r="M198" s="8" t="n">
        <v>0</v>
      </c>
      <c r="N198" s="7">
        <f>M198*$J$218-J198</f>
        <v/>
      </c>
      <c r="O198" s="9">
        <f>IF(G198=0,0,N198/G198)</f>
        <v/>
      </c>
      <c r="P198" s="6">
        <f>IF(M198&gt;0,D198,"")</f>
        <v/>
      </c>
      <c r="Q198" s="9">
        <f>I198+O198</f>
        <v/>
      </c>
      <c r="R198" s="7">
        <f>Q198*G198</f>
        <v/>
      </c>
      <c r="S198" s="8">
        <f>IF($R$218=0,0,R198/$R$218)</f>
        <v/>
      </c>
      <c r="T198" s="8" t="n">
        <v>0</v>
      </c>
      <c r="U198" s="8" t="n">
        <v>0.0003376687232863329</v>
      </c>
      <c r="V198" s="6" t="inlineStr">
        <is>
          <t>not selected</t>
        </is>
      </c>
    </row>
    <row r="199">
      <c r="A199" s="6" t="inlineStr">
        <is>
          <t>DJ30</t>
        </is>
      </c>
      <c r="B199" s="6" t="inlineStr">
        <is>
          <t>2023-02-17</t>
        </is>
      </c>
      <c r="C199" s="6" t="inlineStr">
        <is>
          <t>DIA</t>
        </is>
      </c>
      <c r="D199" s="6" t="inlineStr">
        <is>
          <t>HD</t>
        </is>
      </c>
      <c r="E199" s="6" t="inlineStr">
        <is>
          <t>HD</t>
        </is>
      </c>
      <c r="F199" s="6" t="inlineStr">
        <is>
          <t>-</t>
        </is>
      </c>
      <c r="G199" s="7" t="n">
        <v>290.4662780761719</v>
      </c>
      <c r="H199" s="6">
        <f>P168</f>
        <v/>
      </c>
      <c r="I199" s="9">
        <f>Q168</f>
        <v/>
      </c>
      <c r="J199" s="7">
        <f>I199*G199</f>
        <v/>
      </c>
      <c r="K199" s="8">
        <f>IF($J$218=0,0,J199/$J$218)</f>
        <v/>
      </c>
      <c r="L199" s="6" t="inlineStr">
        <is>
          <t>REJECTED</t>
        </is>
      </c>
      <c r="M199" s="8" t="n">
        <v>0</v>
      </c>
      <c r="N199" s="7">
        <f>M199*$J$218-J199</f>
        <v/>
      </c>
      <c r="O199" s="9">
        <f>IF(G199=0,0,N199/G199)</f>
        <v/>
      </c>
      <c r="P199" s="6">
        <f>IF(M199&gt;0,D199,"")</f>
        <v/>
      </c>
      <c r="Q199" s="9">
        <f>I199+O199</f>
        <v/>
      </c>
      <c r="R199" s="7">
        <f>Q199*G199</f>
        <v/>
      </c>
      <c r="S199" s="8">
        <f>IF($R$218=0,0,R199/$R$218)</f>
        <v/>
      </c>
      <c r="T199" s="8" t="n">
        <v>0</v>
      </c>
      <c r="U199" s="8" t="n">
        <v>0.0003376687232863329</v>
      </c>
      <c r="V199" s="6" t="inlineStr">
        <is>
          <t>not selected</t>
        </is>
      </c>
    </row>
    <row r="200">
      <c r="A200" s="6" t="inlineStr">
        <is>
          <t>DJ30</t>
        </is>
      </c>
      <c r="B200" s="6" t="inlineStr">
        <is>
          <t>2023-02-17</t>
        </is>
      </c>
      <c r="C200" s="6" t="inlineStr">
        <is>
          <t>DIA</t>
        </is>
      </c>
      <c r="D200" s="6" t="inlineStr">
        <is>
          <t>HON</t>
        </is>
      </c>
      <c r="E200" s="6" t="inlineStr">
        <is>
          <t>HON</t>
        </is>
      </c>
      <c r="F200" s="6" t="inlineStr">
        <is>
          <t>-</t>
        </is>
      </c>
      <c r="G200" s="7" t="n">
        <v>176.1223907470703</v>
      </c>
      <c r="H200" s="6">
        <f>P169</f>
        <v/>
      </c>
      <c r="I200" s="9">
        <f>Q169</f>
        <v/>
      </c>
      <c r="J200" s="7">
        <f>I200*G200</f>
        <v/>
      </c>
      <c r="K200" s="8">
        <f>IF($J$218=0,0,J200/$J$218)</f>
        <v/>
      </c>
      <c r="L200" s="6" t="inlineStr">
        <is>
          <t>REJECTED</t>
        </is>
      </c>
      <c r="M200" s="8" t="n">
        <v>0</v>
      </c>
      <c r="N200" s="7">
        <f>M200*$J$218-J200</f>
        <v/>
      </c>
      <c r="O200" s="9">
        <f>IF(G200=0,0,N200/G200)</f>
        <v/>
      </c>
      <c r="P200" s="6">
        <f>IF(M200&gt;0,D200,"")</f>
        <v/>
      </c>
      <c r="Q200" s="9">
        <f>I200+O200</f>
        <v/>
      </c>
      <c r="R200" s="7">
        <f>Q200*G200</f>
        <v/>
      </c>
      <c r="S200" s="8">
        <f>IF($R$218=0,0,R200/$R$218)</f>
        <v/>
      </c>
      <c r="T200" s="8" t="n">
        <v>0</v>
      </c>
      <c r="U200" s="8" t="n">
        <v>0.0003376687232863329</v>
      </c>
      <c r="V200" s="6" t="inlineStr">
        <is>
          <t>not selected</t>
        </is>
      </c>
    </row>
    <row r="201">
      <c r="A201" s="6" t="inlineStr">
        <is>
          <t>DJ30</t>
        </is>
      </c>
      <c r="B201" s="6" t="inlineStr">
        <is>
          <t>2023-02-17</t>
        </is>
      </c>
      <c r="C201" s="6" t="inlineStr">
        <is>
          <t>DIA</t>
        </is>
      </c>
      <c r="D201" s="6" t="inlineStr">
        <is>
          <t>IBM</t>
        </is>
      </c>
      <c r="E201" s="6" t="inlineStr">
        <is>
          <t>IBM</t>
        </is>
      </c>
      <c r="F201" s="6" t="inlineStr">
        <is>
          <t>-</t>
        </is>
      </c>
      <c r="G201" s="7" t="n">
        <v>120.9189453125</v>
      </c>
      <c r="H201" s="6">
        <f>P170</f>
        <v/>
      </c>
      <c r="I201" s="9">
        <f>Q170</f>
        <v/>
      </c>
      <c r="J201" s="7">
        <f>I201*G201</f>
        <v/>
      </c>
      <c r="K201" s="8">
        <f>IF($J$218=0,0,J201/$J$218)</f>
        <v/>
      </c>
      <c r="L201" s="6" t="inlineStr">
        <is>
          <t>REJECTED</t>
        </is>
      </c>
      <c r="M201" s="8" t="n">
        <v>0</v>
      </c>
      <c r="N201" s="7">
        <f>M201*$J$218-J201</f>
        <v/>
      </c>
      <c r="O201" s="9">
        <f>IF(G201=0,0,N201/G201)</f>
        <v/>
      </c>
      <c r="P201" s="6">
        <f>IF(M201&gt;0,D201,"")</f>
        <v/>
      </c>
      <c r="Q201" s="9">
        <f>I201+O201</f>
        <v/>
      </c>
      <c r="R201" s="7">
        <f>Q201*G201</f>
        <v/>
      </c>
      <c r="S201" s="8">
        <f>IF($R$218=0,0,R201/$R$218)</f>
        <v/>
      </c>
      <c r="T201" s="8" t="n">
        <v>0</v>
      </c>
      <c r="U201" s="8" t="n">
        <v>0.0003376687232863329</v>
      </c>
      <c r="V201" s="6" t="inlineStr">
        <is>
          <t>not selected</t>
        </is>
      </c>
    </row>
    <row r="202">
      <c r="A202" s="6" t="inlineStr">
        <is>
          <t>DJ30</t>
        </is>
      </c>
      <c r="B202" s="6" t="inlineStr">
        <is>
          <t>2023-02-17</t>
        </is>
      </c>
      <c r="C202" s="6" t="inlineStr">
        <is>
          <t>DIA</t>
        </is>
      </c>
      <c r="D202" s="6" t="inlineStr">
        <is>
          <t>JNJ</t>
        </is>
      </c>
      <c r="E202" s="6" t="inlineStr">
        <is>
          <t>JNJ</t>
        </is>
      </c>
      <c r="F202" s="6" t="inlineStr">
        <is>
          <t>-</t>
        </is>
      </c>
      <c r="G202" s="7" t="n">
        <v>145.8421783447266</v>
      </c>
      <c r="H202" s="6">
        <f>P171</f>
        <v/>
      </c>
      <c r="I202" s="9">
        <f>Q171</f>
        <v/>
      </c>
      <c r="J202" s="7">
        <f>I202*G202</f>
        <v/>
      </c>
      <c r="K202" s="8">
        <f>IF($J$218=0,0,J202/$J$218)</f>
        <v/>
      </c>
      <c r="L202" s="6" t="inlineStr">
        <is>
          <t>REJECTED</t>
        </is>
      </c>
      <c r="M202" s="8" t="n">
        <v>0</v>
      </c>
      <c r="N202" s="7">
        <f>M202*$J$218-J202</f>
        <v/>
      </c>
      <c r="O202" s="9">
        <f>IF(G202=0,0,N202/G202)</f>
        <v/>
      </c>
      <c r="P202" s="6">
        <f>IF(M202&gt;0,D202,"")</f>
        <v/>
      </c>
      <c r="Q202" s="9">
        <f>I202+O202</f>
        <v/>
      </c>
      <c r="R202" s="7">
        <f>Q202*G202</f>
        <v/>
      </c>
      <c r="S202" s="8">
        <f>IF($R$218=0,0,R202/$R$218)</f>
        <v/>
      </c>
      <c r="T202" s="8" t="n">
        <v>0</v>
      </c>
      <c r="U202" s="8" t="n">
        <v>0.0003376687232863329</v>
      </c>
      <c r="V202" s="6" t="inlineStr">
        <is>
          <t>not selected</t>
        </is>
      </c>
    </row>
    <row r="203">
      <c r="A203" s="6" t="inlineStr">
        <is>
          <t>DJ30</t>
        </is>
      </c>
      <c r="B203" s="6" t="inlineStr">
        <is>
          <t>2023-02-17</t>
        </is>
      </c>
      <c r="C203" s="6" t="inlineStr">
        <is>
          <t>DIA</t>
        </is>
      </c>
      <c r="D203" s="6" t="inlineStr">
        <is>
          <t>JPM</t>
        </is>
      </c>
      <c r="E203" s="6" t="inlineStr">
        <is>
          <t>JPM</t>
        </is>
      </c>
      <c r="F203" s="6" t="inlineStr">
        <is>
          <t>-</t>
        </is>
      </c>
      <c r="G203" s="7" t="n">
        <v>131.8085632324219</v>
      </c>
      <c r="H203" s="6">
        <f>P172</f>
        <v/>
      </c>
      <c r="I203" s="9">
        <f>Q172</f>
        <v/>
      </c>
      <c r="J203" s="7">
        <f>I203*G203</f>
        <v/>
      </c>
      <c r="K203" s="8">
        <f>IF($J$218=0,0,J203/$J$218)</f>
        <v/>
      </c>
      <c r="L203" s="6" t="inlineStr">
        <is>
          <t>REJECTED</t>
        </is>
      </c>
      <c r="M203" s="8" t="n">
        <v>0</v>
      </c>
      <c r="N203" s="7">
        <f>M203*$J$218-J203</f>
        <v/>
      </c>
      <c r="O203" s="9">
        <f>IF(G203=0,0,N203/G203)</f>
        <v/>
      </c>
      <c r="P203" s="6">
        <f>IF(M203&gt;0,D203,"")</f>
        <v/>
      </c>
      <c r="Q203" s="9">
        <f>I203+O203</f>
        <v/>
      </c>
      <c r="R203" s="7">
        <f>Q203*G203</f>
        <v/>
      </c>
      <c r="S203" s="8">
        <f>IF($R$218=0,0,R203/$R$218)</f>
        <v/>
      </c>
      <c r="T203" s="8" t="n">
        <v>0</v>
      </c>
      <c r="U203" s="8" t="n">
        <v>0.0003376687232863329</v>
      </c>
      <c r="V203" s="6" t="inlineStr">
        <is>
          <t>not selected</t>
        </is>
      </c>
    </row>
    <row r="204">
      <c r="A204" s="6" t="inlineStr">
        <is>
          <t>DJ30</t>
        </is>
      </c>
      <c r="B204" s="6" t="inlineStr">
        <is>
          <t>2023-02-17</t>
        </is>
      </c>
      <c r="C204" s="6" t="inlineStr">
        <is>
          <t>DIA</t>
        </is>
      </c>
      <c r="D204" s="6" t="inlineStr">
        <is>
          <t>KO</t>
        </is>
      </c>
      <c r="E204" s="6" t="inlineStr">
        <is>
          <t>KO</t>
        </is>
      </c>
      <c r="F204" s="6" t="inlineStr">
        <is>
          <t>-</t>
        </is>
      </c>
      <c r="G204" s="7" t="n">
        <v>54.20817565917969</v>
      </c>
      <c r="H204" s="6">
        <f>P173</f>
        <v/>
      </c>
      <c r="I204" s="9">
        <f>Q173</f>
        <v/>
      </c>
      <c r="J204" s="7">
        <f>I204*G204</f>
        <v/>
      </c>
      <c r="K204" s="8">
        <f>IF($J$218=0,0,J204/$J$218)</f>
        <v/>
      </c>
      <c r="L204" s="6" t="inlineStr">
        <is>
          <t>REJECTED</t>
        </is>
      </c>
      <c r="M204" s="8" t="n">
        <v>0</v>
      </c>
      <c r="N204" s="7">
        <f>M204*$J$218-J204</f>
        <v/>
      </c>
      <c r="O204" s="9">
        <f>IF(G204=0,0,N204/G204)</f>
        <v/>
      </c>
      <c r="P204" s="6">
        <f>IF(M204&gt;0,D204,"")</f>
        <v/>
      </c>
      <c r="Q204" s="9">
        <f>I204+O204</f>
        <v/>
      </c>
      <c r="R204" s="7">
        <f>Q204*G204</f>
        <v/>
      </c>
      <c r="S204" s="8">
        <f>IF($R$218=0,0,R204/$R$218)</f>
        <v/>
      </c>
      <c r="T204" s="8" t="n">
        <v>0</v>
      </c>
      <c r="U204" s="8" t="n">
        <v>0.0003376687232863329</v>
      </c>
      <c r="V204" s="6" t="inlineStr">
        <is>
          <t>not selected</t>
        </is>
      </c>
    </row>
    <row r="205">
      <c r="A205" s="6" t="inlineStr">
        <is>
          <t>DJ30</t>
        </is>
      </c>
      <c r="B205" s="6" t="inlineStr">
        <is>
          <t>2023-02-17</t>
        </is>
      </c>
      <c r="C205" s="6" t="inlineStr">
        <is>
          <t>DIA</t>
        </is>
      </c>
      <c r="D205" s="6" t="inlineStr">
        <is>
          <t>MCD</t>
        </is>
      </c>
      <c r="E205" s="6" t="inlineStr">
        <is>
          <t>MCD</t>
        </is>
      </c>
      <c r="F205" s="6" t="inlineStr">
        <is>
          <t>-</t>
        </is>
      </c>
      <c r="G205" s="7" t="n">
        <v>248.804214477539</v>
      </c>
      <c r="H205" s="6">
        <f>P174</f>
        <v/>
      </c>
      <c r="I205" s="9">
        <f>Q174</f>
        <v/>
      </c>
      <c r="J205" s="7">
        <f>I205*G205</f>
        <v/>
      </c>
      <c r="K205" s="8">
        <f>IF($J$218=0,0,J205/$J$218)</f>
        <v/>
      </c>
      <c r="L205" s="6" t="inlineStr">
        <is>
          <t>REJECTED</t>
        </is>
      </c>
      <c r="M205" s="8" t="n">
        <v>0</v>
      </c>
      <c r="N205" s="7">
        <f>M205*$J$218-J205</f>
        <v/>
      </c>
      <c r="O205" s="9">
        <f>IF(G205=0,0,N205/G205)</f>
        <v/>
      </c>
      <c r="P205" s="6">
        <f>IF(M205&gt;0,D205,"")</f>
        <v/>
      </c>
      <c r="Q205" s="9">
        <f>I205+O205</f>
        <v/>
      </c>
      <c r="R205" s="7">
        <f>Q205*G205</f>
        <v/>
      </c>
      <c r="S205" s="8">
        <f>IF($R$218=0,0,R205/$R$218)</f>
        <v/>
      </c>
      <c r="T205" s="8" t="n">
        <v>0</v>
      </c>
      <c r="U205" s="8" t="n">
        <v>0.0003376687232863329</v>
      </c>
      <c r="V205" s="6" t="inlineStr">
        <is>
          <t>not selected</t>
        </is>
      </c>
    </row>
    <row r="206">
      <c r="A206" s="6" t="inlineStr">
        <is>
          <t>DJ30</t>
        </is>
      </c>
      <c r="B206" s="6" t="inlineStr">
        <is>
          <t>2023-02-17</t>
        </is>
      </c>
      <c r="C206" s="6" t="inlineStr">
        <is>
          <t>DIA</t>
        </is>
      </c>
      <c r="D206" s="6" t="inlineStr">
        <is>
          <t>MMM</t>
        </is>
      </c>
      <c r="E206" s="6" t="inlineStr">
        <is>
          <t>MMM</t>
        </is>
      </c>
      <c r="F206" s="6" t="inlineStr">
        <is>
          <t>-</t>
        </is>
      </c>
      <c r="G206" s="7" t="n">
        <v>84.80525207519531</v>
      </c>
      <c r="H206" s="6">
        <f>P175</f>
        <v/>
      </c>
      <c r="I206" s="9">
        <f>Q175</f>
        <v/>
      </c>
      <c r="J206" s="7">
        <f>I206*G206</f>
        <v/>
      </c>
      <c r="K206" s="8">
        <f>IF($J$218=0,0,J206/$J$218)</f>
        <v/>
      </c>
      <c r="L206" s="6" t="inlineStr">
        <is>
          <t>REJECTED</t>
        </is>
      </c>
      <c r="M206" s="8" t="n">
        <v>0</v>
      </c>
      <c r="N206" s="7">
        <f>M206*$J$218-J206</f>
        <v/>
      </c>
      <c r="O206" s="9">
        <f>IF(G206=0,0,N206/G206)</f>
        <v/>
      </c>
      <c r="P206" s="6">
        <f>IF(M206&gt;0,D206,"")</f>
        <v/>
      </c>
      <c r="Q206" s="9">
        <f>I206+O206</f>
        <v/>
      </c>
      <c r="R206" s="7">
        <f>Q206*G206</f>
        <v/>
      </c>
      <c r="S206" s="8">
        <f>IF($R$218=0,0,R206/$R$218)</f>
        <v/>
      </c>
      <c r="T206" s="8" t="n">
        <v>0</v>
      </c>
      <c r="U206" s="8" t="n">
        <v>0.0003376687232863329</v>
      </c>
      <c r="V206" s="6" t="inlineStr">
        <is>
          <t>not selected</t>
        </is>
      </c>
    </row>
    <row r="207">
      <c r="A207" s="6" t="inlineStr">
        <is>
          <t>DJ30</t>
        </is>
      </c>
      <c r="B207" s="6" t="inlineStr">
        <is>
          <t>2023-02-17</t>
        </is>
      </c>
      <c r="C207" s="6" t="inlineStr">
        <is>
          <t>DIA</t>
        </is>
      </c>
      <c r="D207" s="6" t="inlineStr">
        <is>
          <t>MRK</t>
        </is>
      </c>
      <c r="E207" s="6" t="inlineStr">
        <is>
          <t>MRK</t>
        </is>
      </c>
      <c r="F207" s="6" t="inlineStr">
        <is>
          <t>-</t>
        </is>
      </c>
      <c r="G207" s="7" t="n">
        <v>98.50745391845705</v>
      </c>
      <c r="H207" s="6">
        <f>P176</f>
        <v/>
      </c>
      <c r="I207" s="9">
        <f>Q176</f>
        <v/>
      </c>
      <c r="J207" s="7">
        <f>I207*G207</f>
        <v/>
      </c>
      <c r="K207" s="8">
        <f>IF($J$218=0,0,J207/$J$218)</f>
        <v/>
      </c>
      <c r="L207" s="6" t="inlineStr">
        <is>
          <t>REJECTED</t>
        </is>
      </c>
      <c r="M207" s="8" t="n">
        <v>0</v>
      </c>
      <c r="N207" s="7">
        <f>M207*$J$218-J207</f>
        <v/>
      </c>
      <c r="O207" s="9">
        <f>IF(G207=0,0,N207/G207)</f>
        <v/>
      </c>
      <c r="P207" s="6">
        <f>IF(M207&gt;0,D207,"")</f>
        <v/>
      </c>
      <c r="Q207" s="9">
        <f>I207+O207</f>
        <v/>
      </c>
      <c r="R207" s="7">
        <f>Q207*G207</f>
        <v/>
      </c>
      <c r="S207" s="8">
        <f>IF($R$218=0,0,R207/$R$218)</f>
        <v/>
      </c>
      <c r="T207" s="8" t="n">
        <v>0</v>
      </c>
      <c r="U207" s="8" t="n">
        <v>0.0003376687232863329</v>
      </c>
      <c r="V207" s="6" t="inlineStr">
        <is>
          <t>not selected</t>
        </is>
      </c>
    </row>
    <row r="208">
      <c r="A208" s="6" t="inlineStr">
        <is>
          <t>DJ30</t>
        </is>
      </c>
      <c r="B208" s="6" t="inlineStr">
        <is>
          <t>2023-02-17</t>
        </is>
      </c>
      <c r="C208" s="6" t="inlineStr">
        <is>
          <t>DIA</t>
        </is>
      </c>
      <c r="D208" s="6" t="inlineStr">
        <is>
          <t>MSFT</t>
        </is>
      </c>
      <c r="E208" s="6" t="inlineStr">
        <is>
          <t>MSFT</t>
        </is>
      </c>
      <c r="F208" s="6" t="inlineStr">
        <is>
          <t>-</t>
        </is>
      </c>
      <c r="G208" s="7" t="n">
        <v>251.5452117919922</v>
      </c>
      <c r="H208" s="6">
        <f>P177</f>
        <v/>
      </c>
      <c r="I208" s="9">
        <f>Q177</f>
        <v/>
      </c>
      <c r="J208" s="7">
        <f>I208*G208</f>
        <v/>
      </c>
      <c r="K208" s="8">
        <f>IF($J$218=0,0,J208/$J$218)</f>
        <v/>
      </c>
      <c r="L208" s="6" t="inlineStr">
        <is>
          <t>REJECTED</t>
        </is>
      </c>
      <c r="M208" s="8" t="n">
        <v>0</v>
      </c>
      <c r="N208" s="7">
        <f>M208*$J$218-J208</f>
        <v/>
      </c>
      <c r="O208" s="9">
        <f>IF(G208=0,0,N208/G208)</f>
        <v/>
      </c>
      <c r="P208" s="6">
        <f>IF(M208&gt;0,D208,"")</f>
        <v/>
      </c>
      <c r="Q208" s="9">
        <f>I208+O208</f>
        <v/>
      </c>
      <c r="R208" s="7">
        <f>Q208*G208</f>
        <v/>
      </c>
      <c r="S208" s="8">
        <f>IF($R$218=0,0,R208/$R$218)</f>
        <v/>
      </c>
      <c r="T208" s="8" t="n">
        <v>0</v>
      </c>
      <c r="U208" s="8" t="n">
        <v>0.0003376687232863329</v>
      </c>
      <c r="V208" s="6" t="inlineStr">
        <is>
          <t>not selected</t>
        </is>
      </c>
    </row>
    <row r="209">
      <c r="A209" s="6" t="inlineStr">
        <is>
          <t>DJ30</t>
        </is>
      </c>
      <c r="B209" s="6" t="inlineStr">
        <is>
          <t>2023-02-17</t>
        </is>
      </c>
      <c r="C209" s="6" t="inlineStr">
        <is>
          <t>DIA</t>
        </is>
      </c>
      <c r="D209" s="6" t="inlineStr">
        <is>
          <t>NKE</t>
        </is>
      </c>
      <c r="E209" s="6" t="inlineStr">
        <is>
          <t>NKE</t>
        </is>
      </c>
      <c r="F209" s="6" t="inlineStr">
        <is>
          <t>-</t>
        </is>
      </c>
      <c r="G209" s="7" t="n">
        <v>116.5637130737305</v>
      </c>
      <c r="H209" s="6">
        <f>P178</f>
        <v/>
      </c>
      <c r="I209" s="9">
        <f>Q178</f>
        <v/>
      </c>
      <c r="J209" s="7">
        <f>I209*G209</f>
        <v/>
      </c>
      <c r="K209" s="8">
        <f>IF($J$218=0,0,J209/$J$218)</f>
        <v/>
      </c>
      <c r="L209" s="6" t="inlineStr">
        <is>
          <t>REJECTED</t>
        </is>
      </c>
      <c r="M209" s="8" t="n">
        <v>0</v>
      </c>
      <c r="N209" s="7">
        <f>M209*$J$218-J209</f>
        <v/>
      </c>
      <c r="O209" s="9">
        <f>IF(G209=0,0,N209/G209)</f>
        <v/>
      </c>
      <c r="P209" s="6">
        <f>IF(M209&gt;0,D209,"")</f>
        <v/>
      </c>
      <c r="Q209" s="9">
        <f>I209+O209</f>
        <v/>
      </c>
      <c r="R209" s="7">
        <f>Q209*G209</f>
        <v/>
      </c>
      <c r="S209" s="8">
        <f>IF($R$218=0,0,R209/$R$218)</f>
        <v/>
      </c>
      <c r="T209" s="8" t="n">
        <v>0</v>
      </c>
      <c r="U209" s="8" t="n">
        <v>0.0003376687232863329</v>
      </c>
      <c r="V209" s="6" t="inlineStr">
        <is>
          <t>not selected</t>
        </is>
      </c>
    </row>
    <row r="210">
      <c r="A210" s="6" t="inlineStr">
        <is>
          <t>DJ30</t>
        </is>
      </c>
      <c r="B210" s="6" t="inlineStr">
        <is>
          <t>2023-02-17</t>
        </is>
      </c>
      <c r="C210" s="6" t="inlineStr">
        <is>
          <t>DIA</t>
        </is>
      </c>
      <c r="D210" s="6" t="inlineStr">
        <is>
          <t>NVDA</t>
        </is>
      </c>
      <c r="E210" s="6" t="inlineStr">
        <is>
          <t>NVDA</t>
        </is>
      </c>
      <c r="F210" s="6" t="inlineStr">
        <is>
          <t>-</t>
        </is>
      </c>
      <c r="G210" s="7" t="n">
        <v>21.34058380126953</v>
      </c>
      <c r="H210" s="6">
        <f>P179</f>
        <v/>
      </c>
      <c r="I210" s="9">
        <f>Q179</f>
        <v/>
      </c>
      <c r="J210" s="7">
        <f>I210*G210</f>
        <v/>
      </c>
      <c r="K210" s="8">
        <f>IF($J$218=0,0,J210/$J$218)</f>
        <v/>
      </c>
      <c r="L210" s="6" t="inlineStr">
        <is>
          <t>REJECTED</t>
        </is>
      </c>
      <c r="M210" s="8" t="n">
        <v>0</v>
      </c>
      <c r="N210" s="7">
        <f>M210*$J$218-J210</f>
        <v/>
      </c>
      <c r="O210" s="9">
        <f>IF(G210=0,0,N210/G210)</f>
        <v/>
      </c>
      <c r="P210" s="6">
        <f>IF(M210&gt;0,D210,"")</f>
        <v/>
      </c>
      <c r="Q210" s="9">
        <f>I210+O210</f>
        <v/>
      </c>
      <c r="R210" s="7">
        <f>Q210*G210</f>
        <v/>
      </c>
      <c r="S210" s="8">
        <f>IF($R$218=0,0,R210/$R$218)</f>
        <v/>
      </c>
      <c r="T210" s="8" t="n">
        <v>0</v>
      </c>
      <c r="U210" s="8" t="n">
        <v>0.0003376687232863329</v>
      </c>
      <c r="V210" s="6" t="inlineStr">
        <is>
          <t>not selected</t>
        </is>
      </c>
    </row>
    <row r="211">
      <c r="A211" s="6" t="inlineStr">
        <is>
          <t>DJ30</t>
        </is>
      </c>
      <c r="B211" s="6" t="inlineStr">
        <is>
          <t>2023-02-17</t>
        </is>
      </c>
      <c r="C211" s="6" t="inlineStr">
        <is>
          <t>DIA</t>
        </is>
      </c>
      <c r="D211" s="6" t="inlineStr">
        <is>
          <t>PG</t>
        </is>
      </c>
      <c r="E211" s="6" t="inlineStr">
        <is>
          <t>PG</t>
        </is>
      </c>
      <c r="F211" s="6" t="inlineStr">
        <is>
          <t>-</t>
        </is>
      </c>
      <c r="G211" s="7" t="n">
        <v>128.7220458984375</v>
      </c>
      <c r="H211" s="6">
        <f>P180</f>
        <v/>
      </c>
      <c r="I211" s="9">
        <f>Q180</f>
        <v/>
      </c>
      <c r="J211" s="7">
        <f>I211*G211</f>
        <v/>
      </c>
      <c r="K211" s="8">
        <f>IF($J$218=0,0,J211/$J$218)</f>
        <v/>
      </c>
      <c r="L211" s="6" t="inlineStr">
        <is>
          <t>REJECTED</t>
        </is>
      </c>
      <c r="M211" s="8" t="n">
        <v>0</v>
      </c>
      <c r="N211" s="7">
        <f>M211*$J$218-J211</f>
        <v/>
      </c>
      <c r="O211" s="9">
        <f>IF(G211=0,0,N211/G211)</f>
        <v/>
      </c>
      <c r="P211" s="6">
        <f>IF(M211&gt;0,D211,"")</f>
        <v/>
      </c>
      <c r="Q211" s="9">
        <f>I211+O211</f>
        <v/>
      </c>
      <c r="R211" s="7">
        <f>Q211*G211</f>
        <v/>
      </c>
      <c r="S211" s="8">
        <f>IF($R$218=0,0,R211/$R$218)</f>
        <v/>
      </c>
      <c r="T211" s="8" t="n">
        <v>0</v>
      </c>
      <c r="U211" s="8" t="n">
        <v>0.0003376687232863329</v>
      </c>
      <c r="V211" s="6" t="inlineStr">
        <is>
          <t>not selected</t>
        </is>
      </c>
    </row>
    <row r="212">
      <c r="A212" s="6" t="inlineStr">
        <is>
          <t>DJ30</t>
        </is>
      </c>
      <c r="B212" s="6" t="inlineStr">
        <is>
          <t>2023-02-17</t>
        </is>
      </c>
      <c r="C212" s="6" t="inlineStr">
        <is>
          <t>DIA</t>
        </is>
      </c>
      <c r="D212" s="6" t="inlineStr">
        <is>
          <t>SHW</t>
        </is>
      </c>
      <c r="E212" s="6" t="inlineStr">
        <is>
          <t>SHW</t>
        </is>
      </c>
      <c r="F212" s="6" t="inlineStr">
        <is>
          <t>-</t>
        </is>
      </c>
      <c r="G212" s="7" t="n">
        <v>220.8233032226562</v>
      </c>
      <c r="H212" s="6">
        <f>P181</f>
        <v/>
      </c>
      <c r="I212" s="9">
        <f>Q181</f>
        <v/>
      </c>
      <c r="J212" s="7">
        <f>I212*G212</f>
        <v/>
      </c>
      <c r="K212" s="8">
        <f>IF($J$218=0,0,J212/$J$218)</f>
        <v/>
      </c>
      <c r="L212" s="6" t="inlineStr">
        <is>
          <t>REJECTED</t>
        </is>
      </c>
      <c r="M212" s="8" t="n">
        <v>0</v>
      </c>
      <c r="N212" s="7">
        <f>M212*$J$218-J212</f>
        <v/>
      </c>
      <c r="O212" s="9">
        <f>IF(G212=0,0,N212/G212)</f>
        <v/>
      </c>
      <c r="P212" s="6">
        <f>IF(M212&gt;0,D212,"")</f>
        <v/>
      </c>
      <c r="Q212" s="9">
        <f>I212+O212</f>
        <v/>
      </c>
      <c r="R212" s="7">
        <f>Q212*G212</f>
        <v/>
      </c>
      <c r="S212" s="8">
        <f>IF($R$218=0,0,R212/$R$218)</f>
        <v/>
      </c>
      <c r="T212" s="8" t="n">
        <v>0</v>
      </c>
      <c r="U212" s="8" t="n">
        <v>0.0003376687232863329</v>
      </c>
      <c r="V212" s="6" t="inlineStr">
        <is>
          <t>not selected</t>
        </is>
      </c>
    </row>
    <row r="213">
      <c r="A213" s="6" t="inlineStr">
        <is>
          <t>DJ30</t>
        </is>
      </c>
      <c r="B213" s="6" t="inlineStr">
        <is>
          <t>2023-02-17</t>
        </is>
      </c>
      <c r="C213" s="6" t="inlineStr">
        <is>
          <t>DIA</t>
        </is>
      </c>
      <c r="D213" s="6" t="inlineStr">
        <is>
          <t>TRV</t>
        </is>
      </c>
      <c r="E213" s="6" t="inlineStr">
        <is>
          <t>TRV</t>
        </is>
      </c>
      <c r="F213" s="6" t="inlineStr">
        <is>
          <t>-</t>
        </is>
      </c>
      <c r="G213" s="7" t="n">
        <v>174.1156311035156</v>
      </c>
      <c r="H213" s="6">
        <f>P182</f>
        <v/>
      </c>
      <c r="I213" s="9">
        <f>Q182</f>
        <v/>
      </c>
      <c r="J213" s="7">
        <f>I213*G213</f>
        <v/>
      </c>
      <c r="K213" s="8">
        <f>IF($J$218=0,0,J213/$J$218)</f>
        <v/>
      </c>
      <c r="L213" s="6" t="inlineStr">
        <is>
          <t>REJECTED</t>
        </is>
      </c>
      <c r="M213" s="8" t="n">
        <v>0</v>
      </c>
      <c r="N213" s="7">
        <f>M213*$J$218-J213</f>
        <v/>
      </c>
      <c r="O213" s="9">
        <f>IF(G213=0,0,N213/G213)</f>
        <v/>
      </c>
      <c r="P213" s="6">
        <f>IF(M213&gt;0,D213,"")</f>
        <v/>
      </c>
      <c r="Q213" s="9">
        <f>I213+O213</f>
        <v/>
      </c>
      <c r="R213" s="7">
        <f>Q213*G213</f>
        <v/>
      </c>
      <c r="S213" s="8">
        <f>IF($R$218=0,0,R213/$R$218)</f>
        <v/>
      </c>
      <c r="T213" s="8" t="n">
        <v>0</v>
      </c>
      <c r="U213" s="8" t="n">
        <v>0.0003376687232863329</v>
      </c>
      <c r="V213" s="6" t="inlineStr">
        <is>
          <t>not selected</t>
        </is>
      </c>
    </row>
    <row r="214">
      <c r="A214" s="6" t="inlineStr">
        <is>
          <t>DJ30</t>
        </is>
      </c>
      <c r="B214" s="6" t="inlineStr">
        <is>
          <t>2023-02-17</t>
        </is>
      </c>
      <c r="C214" s="6" t="inlineStr">
        <is>
          <t>DIA</t>
        </is>
      </c>
      <c r="D214" s="6" t="inlineStr">
        <is>
          <t>UNH</t>
        </is>
      </c>
      <c r="E214" s="6" t="inlineStr">
        <is>
          <t>UNH</t>
        </is>
      </c>
      <c r="F214" s="6" t="inlineStr">
        <is>
          <t>-</t>
        </is>
      </c>
      <c r="G214" s="7" t="n">
        <v>466.1557922363281</v>
      </c>
      <c r="H214" s="6">
        <f>P183</f>
        <v/>
      </c>
      <c r="I214" s="9">
        <f>Q183</f>
        <v/>
      </c>
      <c r="J214" s="7">
        <f>I214*G214</f>
        <v/>
      </c>
      <c r="K214" s="8">
        <f>IF($J$218=0,0,J214/$J$218)</f>
        <v/>
      </c>
      <c r="L214" s="6" t="inlineStr">
        <is>
          <t>REJECTED</t>
        </is>
      </c>
      <c r="M214" s="8" t="n">
        <v>0</v>
      </c>
      <c r="N214" s="7">
        <f>M214*$J$218-J214</f>
        <v/>
      </c>
      <c r="O214" s="9">
        <f>IF(G214=0,0,N214/G214)</f>
        <v/>
      </c>
      <c r="P214" s="6">
        <f>IF(M214&gt;0,D214,"")</f>
        <v/>
      </c>
      <c r="Q214" s="9">
        <f>I214+O214</f>
        <v/>
      </c>
      <c r="R214" s="7">
        <f>Q214*G214</f>
        <v/>
      </c>
      <c r="S214" s="8">
        <f>IF($R$218=0,0,R214/$R$218)</f>
        <v/>
      </c>
      <c r="T214" s="8" t="n">
        <v>0</v>
      </c>
      <c r="U214" s="8" t="n">
        <v>0.0003376687232863329</v>
      </c>
      <c r="V214" s="6" t="inlineStr">
        <is>
          <t>not selected</t>
        </is>
      </c>
    </row>
    <row r="215">
      <c r="A215" s="6" t="inlineStr">
        <is>
          <t>DJ30</t>
        </is>
      </c>
      <c r="B215" s="6" t="inlineStr">
        <is>
          <t>2023-02-17</t>
        </is>
      </c>
      <c r="C215" s="6" t="inlineStr">
        <is>
          <t>DIA</t>
        </is>
      </c>
      <c r="D215" s="6" t="inlineStr">
        <is>
          <t>V</t>
        </is>
      </c>
      <c r="E215" s="6" t="inlineStr">
        <is>
          <t>V</t>
        </is>
      </c>
      <c r="F215" s="6" t="inlineStr">
        <is>
          <t>-</t>
        </is>
      </c>
      <c r="G215" s="7" t="n">
        <v>218.089111328125</v>
      </c>
      <c r="H215" s="6">
        <f>P184</f>
        <v/>
      </c>
      <c r="I215" s="9">
        <f>Q184</f>
        <v/>
      </c>
      <c r="J215" s="7">
        <f>I215*G215</f>
        <v/>
      </c>
      <c r="K215" s="8">
        <f>IF($J$218=0,0,J215/$J$218)</f>
        <v/>
      </c>
      <c r="L215" s="6" t="inlineStr">
        <is>
          <t>REJECTED</t>
        </is>
      </c>
      <c r="M215" s="8" t="n">
        <v>0</v>
      </c>
      <c r="N215" s="7">
        <f>M215*$J$218-J215</f>
        <v/>
      </c>
      <c r="O215" s="9">
        <f>IF(G215=0,0,N215/G215)</f>
        <v/>
      </c>
      <c r="P215" s="6">
        <f>IF(M215&gt;0,D215,"")</f>
        <v/>
      </c>
      <c r="Q215" s="9">
        <f>I215+O215</f>
        <v/>
      </c>
      <c r="R215" s="7">
        <f>Q215*G215</f>
        <v/>
      </c>
      <c r="S215" s="8">
        <f>IF($R$218=0,0,R215/$R$218)</f>
        <v/>
      </c>
      <c r="T215" s="8" t="n">
        <v>0</v>
      </c>
      <c r="U215" s="8" t="n">
        <v>0.0003376687232863329</v>
      </c>
      <c r="V215" s="6" t="inlineStr">
        <is>
          <t>not selected</t>
        </is>
      </c>
    </row>
    <row r="216">
      <c r="A216" s="6" t="inlineStr">
        <is>
          <t>DJ30</t>
        </is>
      </c>
      <c r="B216" s="6" t="inlineStr">
        <is>
          <t>2023-02-17</t>
        </is>
      </c>
      <c r="C216" s="6" t="inlineStr">
        <is>
          <t>DIA</t>
        </is>
      </c>
      <c r="D216" s="6" t="inlineStr">
        <is>
          <t>VZ</t>
        </is>
      </c>
      <c r="E216" s="6" t="inlineStr">
        <is>
          <t>VZ</t>
        </is>
      </c>
      <c r="F216" s="6" t="inlineStr">
        <is>
          <t>-</t>
        </is>
      </c>
      <c r="G216" s="7" t="n">
        <v>32.32577514648438</v>
      </c>
      <c r="H216" s="6">
        <f>P185</f>
        <v/>
      </c>
      <c r="I216" s="9">
        <f>Q185</f>
        <v/>
      </c>
      <c r="J216" s="7">
        <f>I216*G216</f>
        <v/>
      </c>
      <c r="K216" s="8">
        <f>IF($J$218=0,0,J216/$J$218)</f>
        <v/>
      </c>
      <c r="L216" s="6" t="inlineStr">
        <is>
          <t>REJECTED</t>
        </is>
      </c>
      <c r="M216" s="8" t="n">
        <v>0</v>
      </c>
      <c r="N216" s="7">
        <f>M216*$J$218-J216</f>
        <v/>
      </c>
      <c r="O216" s="9">
        <f>IF(G216=0,0,N216/G216)</f>
        <v/>
      </c>
      <c r="P216" s="6">
        <f>IF(M216&gt;0,D216,"")</f>
        <v/>
      </c>
      <c r="Q216" s="9">
        <f>I216+O216</f>
        <v/>
      </c>
      <c r="R216" s="7">
        <f>Q216*G216</f>
        <v/>
      </c>
      <c r="S216" s="8">
        <f>IF($R$218=0,0,R216/$R$218)</f>
        <v/>
      </c>
      <c r="T216" s="8" t="n">
        <v>0</v>
      </c>
      <c r="U216" s="8" t="n">
        <v>0.0003376687232863329</v>
      </c>
      <c r="V216" s="6" t="inlineStr">
        <is>
          <t>not selected</t>
        </is>
      </c>
    </row>
    <row r="217">
      <c r="A217" s="6" t="inlineStr">
        <is>
          <t>DJ30</t>
        </is>
      </c>
      <c r="B217" s="6" t="inlineStr">
        <is>
          <t>2023-02-17</t>
        </is>
      </c>
      <c r="C217" s="6" t="inlineStr">
        <is>
          <t>DIA</t>
        </is>
      </c>
      <c r="D217" s="6" t="inlineStr">
        <is>
          <t>WMT</t>
        </is>
      </c>
      <c r="E217" s="6" t="inlineStr">
        <is>
          <t>WMT</t>
        </is>
      </c>
      <c r="F217" s="6" t="inlineStr">
        <is>
          <t>-</t>
        </is>
      </c>
      <c r="G217" s="7" t="n">
        <v>46.87421035766602</v>
      </c>
      <c r="H217" s="6">
        <f>P186</f>
        <v/>
      </c>
      <c r="I217" s="9">
        <f>Q186</f>
        <v/>
      </c>
      <c r="J217" s="7">
        <f>I217*G217</f>
        <v/>
      </c>
      <c r="K217" s="8">
        <f>IF($J$218=0,0,J217/$J$218)</f>
        <v/>
      </c>
      <c r="L217" s="6" t="inlineStr">
        <is>
          <t>REJECTED</t>
        </is>
      </c>
      <c r="M217" s="8" t="n">
        <v>0</v>
      </c>
      <c r="N217" s="7">
        <f>M217*$J$218-J217</f>
        <v/>
      </c>
      <c r="O217" s="9">
        <f>IF(G217=0,0,N217/G217)</f>
        <v/>
      </c>
      <c r="P217" s="6">
        <f>IF(M217&gt;0,D217,"")</f>
        <v/>
      </c>
      <c r="Q217" s="9">
        <f>I217+O217</f>
        <v/>
      </c>
      <c r="R217" s="7">
        <f>Q217*G217</f>
        <v/>
      </c>
      <c r="S217" s="8">
        <f>IF($R$218=0,0,R217/$R$218)</f>
        <v/>
      </c>
      <c r="T217" s="8" t="n">
        <v>0</v>
      </c>
      <c r="U217" s="8" t="n">
        <v>0.0003376687232863329</v>
      </c>
      <c r="V217" s="6" t="inlineStr">
        <is>
          <t>not selected</t>
        </is>
      </c>
    </row>
    <row r="218">
      <c r="A218" s="10" t="inlineStr">
        <is>
          <t>DJ30</t>
        </is>
      </c>
      <c r="B218" s="10" t="inlineStr">
        <is>
          <t>2023-02-17</t>
        </is>
      </c>
      <c r="C218" s="10" t="inlineStr">
        <is>
          <t>DIA</t>
        </is>
      </c>
      <c r="D218" s="10" t="inlineStr">
        <is>
          <t>Tot Portfolio</t>
        </is>
      </c>
      <c r="E218" s="10" t="inlineStr"/>
      <c r="F218" s="10" t="inlineStr"/>
      <c r="G218" s="11" t="inlineStr"/>
      <c r="H218" s="10" t="inlineStr"/>
      <c r="I218" s="12" t="inlineStr"/>
      <c r="J218" s="11">
        <f>SUM(J188:J217)</f>
        <v/>
      </c>
      <c r="K218" s="13">
        <f>SUM(K188:K217)</f>
        <v/>
      </c>
      <c r="L218" s="10" t="inlineStr">
        <is>
          <t>TOTAL</t>
        </is>
      </c>
      <c r="M218" s="13">
        <f>SUM(M188:M217)</f>
        <v/>
      </c>
      <c r="N218" s="11">
        <f>SUM(N188:N217)</f>
        <v/>
      </c>
      <c r="O218" s="12">
        <f>SUM(O188:O217)</f>
        <v/>
      </c>
      <c r="P218" s="10" t="inlineStr"/>
      <c r="Q218" s="12" t="inlineStr"/>
      <c r="R218" s="11">
        <f>SUM(R188:R217)</f>
        <v/>
      </c>
      <c r="S218" s="13">
        <f>SUM(S188:S217)</f>
        <v/>
      </c>
      <c r="T218" s="13" t="n">
        <v>0</v>
      </c>
      <c r="U218" s="13" t="n">
        <v>0.0003376687232863329</v>
      </c>
      <c r="V218" s="10" t="inlineStr"/>
    </row>
    <row r="219">
      <c r="A219" s="6" t="inlineStr">
        <is>
          <t>DJ30</t>
        </is>
      </c>
      <c r="B219" s="6" t="inlineStr">
        <is>
          <t>2023-02-24</t>
        </is>
      </c>
      <c r="C219" s="6" t="inlineStr">
        <is>
          <t>DIA</t>
        </is>
      </c>
      <c r="D219" s="6" t="inlineStr">
        <is>
          <t>AAPL</t>
        </is>
      </c>
      <c r="E219" s="6" t="inlineStr">
        <is>
          <t>AAPL</t>
        </is>
      </c>
      <c r="F219" s="6" t="inlineStr">
        <is>
          <t>-</t>
        </is>
      </c>
      <c r="G219" s="7" t="n">
        <v>144.4818420410156</v>
      </c>
      <c r="H219" s="6">
        <f>P188</f>
        <v/>
      </c>
      <c r="I219" s="9">
        <f>Q188</f>
        <v/>
      </c>
      <c r="J219" s="7">
        <f>I219*G219</f>
        <v/>
      </c>
      <c r="K219" s="8">
        <f>IF($J$249=0,0,J219/$J$249)</f>
        <v/>
      </c>
      <c r="L219" s="6" t="inlineStr">
        <is>
          <t>REJECTED</t>
        </is>
      </c>
      <c r="M219" s="8" t="n">
        <v>0</v>
      </c>
      <c r="N219" s="7">
        <f>M219*$J$249-J219</f>
        <v/>
      </c>
      <c r="O219" s="9">
        <f>IF(G219=0,0,N219/G219)</f>
        <v/>
      </c>
      <c r="P219" s="6">
        <f>IF(M219&gt;0,D219,"")</f>
        <v/>
      </c>
      <c r="Q219" s="9">
        <f>I219+O219</f>
        <v/>
      </c>
      <c r="R219" s="7">
        <f>Q219*G219</f>
        <v/>
      </c>
      <c r="S219" s="8">
        <f>IF($R$249=0,0,R219/$R$249)</f>
        <v/>
      </c>
      <c r="T219" s="8" t="n">
        <v>0</v>
      </c>
      <c r="U219" s="8" t="n">
        <v>-0.03006271698327312</v>
      </c>
      <c r="V219" s="6" t="inlineStr">
        <is>
          <t>not selected</t>
        </is>
      </c>
    </row>
    <row r="220">
      <c r="A220" s="6" t="inlineStr">
        <is>
          <t>DJ30</t>
        </is>
      </c>
      <c r="B220" s="6" t="inlineStr">
        <is>
          <t>2023-02-24</t>
        </is>
      </c>
      <c r="C220" s="6" t="inlineStr">
        <is>
          <t>DIA</t>
        </is>
      </c>
      <c r="D220" s="6" t="inlineStr">
        <is>
          <t>AMGN</t>
        </is>
      </c>
      <c r="E220" s="6" t="inlineStr">
        <is>
          <t>AMGN</t>
        </is>
      </c>
      <c r="F220" s="6" t="inlineStr">
        <is>
          <t>-</t>
        </is>
      </c>
      <c r="G220" s="7" t="n">
        <v>211.1029815673828</v>
      </c>
      <c r="H220" s="6">
        <f>P189</f>
        <v/>
      </c>
      <c r="I220" s="9">
        <f>Q189</f>
        <v/>
      </c>
      <c r="J220" s="7">
        <f>I220*G220</f>
        <v/>
      </c>
      <c r="K220" s="8">
        <f>IF($J$249=0,0,J220/$J$249)</f>
        <v/>
      </c>
      <c r="L220" s="6" t="inlineStr">
        <is>
          <t>REJECTED</t>
        </is>
      </c>
      <c r="M220" s="8" t="n">
        <v>0</v>
      </c>
      <c r="N220" s="7">
        <f>M220*$J$249-J220</f>
        <v/>
      </c>
      <c r="O220" s="9">
        <f>IF(G220=0,0,N220/G220)</f>
        <v/>
      </c>
      <c r="P220" s="6">
        <f>IF(M220&gt;0,D220,"")</f>
        <v/>
      </c>
      <c r="Q220" s="9">
        <f>I220+O220</f>
        <v/>
      </c>
      <c r="R220" s="7">
        <f>Q220*G220</f>
        <v/>
      </c>
      <c r="S220" s="8">
        <f>IF($R$249=0,0,R220/$R$249)</f>
        <v/>
      </c>
      <c r="T220" s="8" t="n">
        <v>0</v>
      </c>
      <c r="U220" s="8" t="n">
        <v>-0.03006271698327312</v>
      </c>
      <c r="V220" s="6" t="inlineStr">
        <is>
          <t>not selected</t>
        </is>
      </c>
    </row>
    <row r="221">
      <c r="A221" s="6" t="inlineStr">
        <is>
          <t>DJ30</t>
        </is>
      </c>
      <c r="B221" s="6" t="inlineStr">
        <is>
          <t>2023-02-24</t>
        </is>
      </c>
      <c r="C221" s="6" t="inlineStr">
        <is>
          <t>DIA</t>
        </is>
      </c>
      <c r="D221" s="6" t="inlineStr">
        <is>
          <t>AMZN</t>
        </is>
      </c>
      <c r="E221" s="6" t="inlineStr">
        <is>
          <t>AMZN</t>
        </is>
      </c>
      <c r="F221" s="6" t="inlineStr">
        <is>
          <t>-</t>
        </is>
      </c>
      <c r="G221" s="7" t="n">
        <v>93.5</v>
      </c>
      <c r="H221" s="6">
        <f>P190</f>
        <v/>
      </c>
      <c r="I221" s="9">
        <f>Q190</f>
        <v/>
      </c>
      <c r="J221" s="7">
        <f>I221*G221</f>
        <v/>
      </c>
      <c r="K221" s="8">
        <f>IF($J$249=0,0,J221/$J$249)</f>
        <v/>
      </c>
      <c r="L221" s="6" t="inlineStr">
        <is>
          <t>REJECTED</t>
        </is>
      </c>
      <c r="M221" s="8" t="n">
        <v>0</v>
      </c>
      <c r="N221" s="7">
        <f>M221*$J$249-J221</f>
        <v/>
      </c>
      <c r="O221" s="9">
        <f>IF(G221=0,0,N221/G221)</f>
        <v/>
      </c>
      <c r="P221" s="6">
        <f>IF(M221&gt;0,D221,"")</f>
        <v/>
      </c>
      <c r="Q221" s="9">
        <f>I221+O221</f>
        <v/>
      </c>
      <c r="R221" s="7">
        <f>Q221*G221</f>
        <v/>
      </c>
      <c r="S221" s="8">
        <f>IF($R$249=0,0,R221/$R$249)</f>
        <v/>
      </c>
      <c r="T221" s="8" t="n">
        <v>0</v>
      </c>
      <c r="U221" s="8" t="n">
        <v>-0.03006271698327312</v>
      </c>
      <c r="V221" s="6" t="inlineStr">
        <is>
          <t>not selected</t>
        </is>
      </c>
    </row>
    <row r="222">
      <c r="A222" s="6" t="inlineStr">
        <is>
          <t>DJ30</t>
        </is>
      </c>
      <c r="B222" s="6" t="inlineStr">
        <is>
          <t>2023-02-24</t>
        </is>
      </c>
      <c r="C222" s="6" t="inlineStr">
        <is>
          <t>DIA</t>
        </is>
      </c>
      <c r="D222" s="6" t="inlineStr">
        <is>
          <t>AXP</t>
        </is>
      </c>
      <c r="E222" s="6" t="inlineStr">
        <is>
          <t>AXP</t>
        </is>
      </c>
      <c r="F222" s="6" t="inlineStr">
        <is>
          <t>-</t>
        </is>
      </c>
      <c r="G222" s="7" t="n">
        <v>167.5491333007812</v>
      </c>
      <c r="H222" s="6">
        <f>P191</f>
        <v/>
      </c>
      <c r="I222" s="9">
        <f>Q191</f>
        <v/>
      </c>
      <c r="J222" s="7">
        <f>I222*G222</f>
        <v/>
      </c>
      <c r="K222" s="8">
        <f>IF($J$249=0,0,J222/$J$249)</f>
        <v/>
      </c>
      <c r="L222" s="6" t="inlineStr">
        <is>
          <t>REJECTED</t>
        </is>
      </c>
      <c r="M222" s="8" t="n">
        <v>0</v>
      </c>
      <c r="N222" s="7">
        <f>M222*$J$249-J222</f>
        <v/>
      </c>
      <c r="O222" s="9">
        <f>IF(G222=0,0,N222/G222)</f>
        <v/>
      </c>
      <c r="P222" s="6">
        <f>IF(M222&gt;0,D222,"")</f>
        <v/>
      </c>
      <c r="Q222" s="9">
        <f>I222+O222</f>
        <v/>
      </c>
      <c r="R222" s="7">
        <f>Q222*G222</f>
        <v/>
      </c>
      <c r="S222" s="8">
        <f>IF($R$249=0,0,R222/$R$249)</f>
        <v/>
      </c>
      <c r="T222" s="8" t="n">
        <v>0</v>
      </c>
      <c r="U222" s="8" t="n">
        <v>-0.03006271698327312</v>
      </c>
      <c r="V222" s="6" t="inlineStr">
        <is>
          <t>not selected</t>
        </is>
      </c>
    </row>
    <row r="223">
      <c r="A223" s="6" t="inlineStr">
        <is>
          <t>DJ30</t>
        </is>
      </c>
      <c r="B223" s="6" t="inlineStr">
        <is>
          <t>2023-02-24</t>
        </is>
      </c>
      <c r="C223" s="6" t="inlineStr">
        <is>
          <t>DIA</t>
        </is>
      </c>
      <c r="D223" s="6" t="inlineStr">
        <is>
          <t>BA</t>
        </is>
      </c>
      <c r="E223" s="6" t="inlineStr">
        <is>
          <t>BA</t>
        </is>
      </c>
      <c r="F223" s="6" t="inlineStr">
        <is>
          <t>-</t>
        </is>
      </c>
      <c r="G223" s="7" t="n">
        <v>198.1499938964844</v>
      </c>
      <c r="H223" s="6">
        <f>P192</f>
        <v/>
      </c>
      <c r="I223" s="9">
        <f>Q192</f>
        <v/>
      </c>
      <c r="J223" s="7">
        <f>I223*G223</f>
        <v/>
      </c>
      <c r="K223" s="8">
        <f>IF($J$249=0,0,J223/$J$249)</f>
        <v/>
      </c>
      <c r="L223" s="6" t="inlineStr">
        <is>
          <t>REJECTED</t>
        </is>
      </c>
      <c r="M223" s="8" t="n">
        <v>0</v>
      </c>
      <c r="N223" s="7">
        <f>M223*$J$249-J223</f>
        <v/>
      </c>
      <c r="O223" s="9">
        <f>IF(G223=0,0,N223/G223)</f>
        <v/>
      </c>
      <c r="P223" s="6">
        <f>IF(M223&gt;0,D223,"")</f>
        <v/>
      </c>
      <c r="Q223" s="9">
        <f>I223+O223</f>
        <v/>
      </c>
      <c r="R223" s="7">
        <f>Q223*G223</f>
        <v/>
      </c>
      <c r="S223" s="8">
        <f>IF($R$249=0,0,R223/$R$249)</f>
        <v/>
      </c>
      <c r="T223" s="8" t="n">
        <v>0</v>
      </c>
      <c r="U223" s="8" t="n">
        <v>-0.03006271698327312</v>
      </c>
      <c r="V223" s="6" t="inlineStr">
        <is>
          <t>not selected</t>
        </is>
      </c>
    </row>
    <row r="224">
      <c r="A224" s="6" t="inlineStr">
        <is>
          <t>DJ30</t>
        </is>
      </c>
      <c r="B224" s="6" t="inlineStr">
        <is>
          <t>2023-02-24</t>
        </is>
      </c>
      <c r="C224" s="6" t="inlineStr">
        <is>
          <t>DIA</t>
        </is>
      </c>
      <c r="D224" s="6" t="inlineStr">
        <is>
          <t>CAT</t>
        </is>
      </c>
      <c r="E224" s="6" t="inlineStr">
        <is>
          <t>CAT</t>
        </is>
      </c>
      <c r="F224" s="6" t="inlineStr">
        <is>
          <t>-</t>
        </is>
      </c>
      <c r="G224" s="7" t="n">
        <v>224.5067749023437</v>
      </c>
      <c r="H224" s="6">
        <f>P193</f>
        <v/>
      </c>
      <c r="I224" s="9">
        <f>Q193</f>
        <v/>
      </c>
      <c r="J224" s="7">
        <f>I224*G224</f>
        <v/>
      </c>
      <c r="K224" s="8">
        <f>IF($J$249=0,0,J224/$J$249)</f>
        <v/>
      </c>
      <c r="L224" s="6" t="inlineStr">
        <is>
          <t>REJECTED</t>
        </is>
      </c>
      <c r="M224" s="8" t="n">
        <v>0</v>
      </c>
      <c r="N224" s="7">
        <f>M224*$J$249-J224</f>
        <v/>
      </c>
      <c r="O224" s="9">
        <f>IF(G224=0,0,N224/G224)</f>
        <v/>
      </c>
      <c r="P224" s="6">
        <f>IF(M224&gt;0,D224,"")</f>
        <v/>
      </c>
      <c r="Q224" s="9">
        <f>I224+O224</f>
        <v/>
      </c>
      <c r="R224" s="7">
        <f>Q224*G224</f>
        <v/>
      </c>
      <c r="S224" s="8">
        <f>IF($R$249=0,0,R224/$R$249)</f>
        <v/>
      </c>
      <c r="T224" s="8" t="n">
        <v>0</v>
      </c>
      <c r="U224" s="8" t="n">
        <v>-0.03006271698327312</v>
      </c>
      <c r="V224" s="6" t="inlineStr">
        <is>
          <t>not selected</t>
        </is>
      </c>
    </row>
    <row r="225">
      <c r="A225" s="6" t="inlineStr">
        <is>
          <t>DJ30</t>
        </is>
      </c>
      <c r="B225" s="6" t="inlineStr">
        <is>
          <t>2023-02-24</t>
        </is>
      </c>
      <c r="C225" s="6" t="inlineStr">
        <is>
          <t>DIA</t>
        </is>
      </c>
      <c r="D225" s="6" t="inlineStr">
        <is>
          <t>CRM</t>
        </is>
      </c>
      <c r="E225" s="6" t="inlineStr">
        <is>
          <t>CRM</t>
        </is>
      </c>
      <c r="F225" s="6" t="inlineStr">
        <is>
          <t>-</t>
        </is>
      </c>
      <c r="G225" s="7" t="n">
        <v>159.4415588378906</v>
      </c>
      <c r="H225" s="6">
        <f>P194</f>
        <v/>
      </c>
      <c r="I225" s="9">
        <f>Q194</f>
        <v/>
      </c>
      <c r="J225" s="7">
        <f>I225*G225</f>
        <v/>
      </c>
      <c r="K225" s="8">
        <f>IF($J$249=0,0,J225/$J$249)</f>
        <v/>
      </c>
      <c r="L225" s="6" t="inlineStr">
        <is>
          <t>REJECTED</t>
        </is>
      </c>
      <c r="M225" s="8" t="n">
        <v>0</v>
      </c>
      <c r="N225" s="7">
        <f>M225*$J$249-J225</f>
        <v/>
      </c>
      <c r="O225" s="9">
        <f>IF(G225=0,0,N225/G225)</f>
        <v/>
      </c>
      <c r="P225" s="6">
        <f>IF(M225&gt;0,D225,"")</f>
        <v/>
      </c>
      <c r="Q225" s="9">
        <f>I225+O225</f>
        <v/>
      </c>
      <c r="R225" s="7">
        <f>Q225*G225</f>
        <v/>
      </c>
      <c r="S225" s="8">
        <f>IF($R$249=0,0,R225/$R$249)</f>
        <v/>
      </c>
      <c r="T225" s="8" t="n">
        <v>0</v>
      </c>
      <c r="U225" s="8" t="n">
        <v>-0.03006271698327312</v>
      </c>
      <c r="V225" s="6" t="inlineStr">
        <is>
          <t>not selected</t>
        </is>
      </c>
    </row>
    <row r="226">
      <c r="A226" s="6" t="inlineStr">
        <is>
          <t>DJ30</t>
        </is>
      </c>
      <c r="B226" s="6" t="inlineStr">
        <is>
          <t>2023-02-24</t>
        </is>
      </c>
      <c r="C226" s="6" t="inlineStr">
        <is>
          <t>DIA</t>
        </is>
      </c>
      <c r="D226" s="6" t="inlineStr">
        <is>
          <t>CSCO</t>
        </is>
      </c>
      <c r="E226" s="6" t="inlineStr">
        <is>
          <t>CSCO</t>
        </is>
      </c>
      <c r="F226" s="6" t="inlineStr">
        <is>
          <t>-</t>
        </is>
      </c>
      <c r="G226" s="7" t="n">
        <v>44.28665161132812</v>
      </c>
      <c r="H226" s="6">
        <f>P195</f>
        <v/>
      </c>
      <c r="I226" s="9">
        <f>Q195</f>
        <v/>
      </c>
      <c r="J226" s="7">
        <f>I226*G226</f>
        <v/>
      </c>
      <c r="K226" s="8">
        <f>IF($J$249=0,0,J226/$J$249)</f>
        <v/>
      </c>
      <c r="L226" s="6" t="inlineStr">
        <is>
          <t>REJECTED</t>
        </is>
      </c>
      <c r="M226" s="8" t="n">
        <v>0</v>
      </c>
      <c r="N226" s="7">
        <f>M226*$J$249-J226</f>
        <v/>
      </c>
      <c r="O226" s="9">
        <f>IF(G226=0,0,N226/G226)</f>
        <v/>
      </c>
      <c r="P226" s="6">
        <f>IF(M226&gt;0,D226,"")</f>
        <v/>
      </c>
      <c r="Q226" s="9">
        <f>I226+O226</f>
        <v/>
      </c>
      <c r="R226" s="7">
        <f>Q226*G226</f>
        <v/>
      </c>
      <c r="S226" s="8">
        <f>IF($R$249=0,0,R226/$R$249)</f>
        <v/>
      </c>
      <c r="T226" s="8" t="n">
        <v>0</v>
      </c>
      <c r="U226" s="8" t="n">
        <v>-0.03006271698327312</v>
      </c>
      <c r="V226" s="6" t="inlineStr">
        <is>
          <t>not selected</t>
        </is>
      </c>
    </row>
    <row r="227">
      <c r="A227" s="6" t="inlineStr">
        <is>
          <t>DJ30</t>
        </is>
      </c>
      <c r="B227" s="6" t="inlineStr">
        <is>
          <t>2023-02-24</t>
        </is>
      </c>
      <c r="C227" s="6" t="inlineStr">
        <is>
          <t>DIA</t>
        </is>
      </c>
      <c r="D227" s="6" t="inlineStr">
        <is>
          <t>CVX</t>
        </is>
      </c>
      <c r="E227" s="6" t="inlineStr">
        <is>
          <t>CVX</t>
        </is>
      </c>
      <c r="F227" s="6" t="inlineStr">
        <is>
          <t>-</t>
        </is>
      </c>
      <c r="G227" s="7" t="n">
        <v>141.7466278076172</v>
      </c>
      <c r="H227" s="6">
        <f>P196</f>
        <v/>
      </c>
      <c r="I227" s="9">
        <f>Q196</f>
        <v/>
      </c>
      <c r="J227" s="7">
        <f>I227*G227</f>
        <v/>
      </c>
      <c r="K227" s="8">
        <f>IF($J$249=0,0,J227/$J$249)</f>
        <v/>
      </c>
      <c r="L227" s="6" t="inlineStr">
        <is>
          <t>REJECTED</t>
        </is>
      </c>
      <c r="M227" s="8" t="n">
        <v>0</v>
      </c>
      <c r="N227" s="7">
        <f>M227*$J$249-J227</f>
        <v/>
      </c>
      <c r="O227" s="9">
        <f>IF(G227=0,0,N227/G227)</f>
        <v/>
      </c>
      <c r="P227" s="6">
        <f>IF(M227&gt;0,D227,"")</f>
        <v/>
      </c>
      <c r="Q227" s="9">
        <f>I227+O227</f>
        <v/>
      </c>
      <c r="R227" s="7">
        <f>Q227*G227</f>
        <v/>
      </c>
      <c r="S227" s="8">
        <f>IF($R$249=0,0,R227/$R$249)</f>
        <v/>
      </c>
      <c r="T227" s="8" t="n">
        <v>0</v>
      </c>
      <c r="U227" s="8" t="n">
        <v>-0.03006271698327312</v>
      </c>
      <c r="V227" s="6" t="inlineStr">
        <is>
          <t>not selected</t>
        </is>
      </c>
    </row>
    <row r="228">
      <c r="A228" s="6" t="inlineStr">
        <is>
          <t>DJ30</t>
        </is>
      </c>
      <c r="B228" s="6" t="inlineStr">
        <is>
          <t>2023-02-24</t>
        </is>
      </c>
      <c r="C228" s="6" t="inlineStr">
        <is>
          <t>DIA</t>
        </is>
      </c>
      <c r="D228" s="6" t="inlineStr">
        <is>
          <t>DIS</t>
        </is>
      </c>
      <c r="E228" s="6" t="inlineStr">
        <is>
          <t>DIS</t>
        </is>
      </c>
      <c r="F228" s="6" t="inlineStr">
        <is>
          <t>-</t>
        </is>
      </c>
      <c r="G228" s="7" t="n">
        <v>97.99234008789062</v>
      </c>
      <c r="H228" s="6">
        <f>P197</f>
        <v/>
      </c>
      <c r="I228" s="9">
        <f>Q197</f>
        <v/>
      </c>
      <c r="J228" s="7">
        <f>I228*G228</f>
        <v/>
      </c>
      <c r="K228" s="8">
        <f>IF($J$249=0,0,J228/$J$249)</f>
        <v/>
      </c>
      <c r="L228" s="6" t="inlineStr">
        <is>
          <t>REJECTED</t>
        </is>
      </c>
      <c r="M228" s="8" t="n">
        <v>0</v>
      </c>
      <c r="N228" s="7">
        <f>M228*$J$249-J228</f>
        <v/>
      </c>
      <c r="O228" s="9">
        <f>IF(G228=0,0,N228/G228)</f>
        <v/>
      </c>
      <c r="P228" s="6">
        <f>IF(M228&gt;0,D228,"")</f>
        <v/>
      </c>
      <c r="Q228" s="9">
        <f>I228+O228</f>
        <v/>
      </c>
      <c r="R228" s="7">
        <f>Q228*G228</f>
        <v/>
      </c>
      <c r="S228" s="8">
        <f>IF($R$249=0,0,R228/$R$249)</f>
        <v/>
      </c>
      <c r="T228" s="8" t="n">
        <v>0</v>
      </c>
      <c r="U228" s="8" t="n">
        <v>-0.03006271698327312</v>
      </c>
      <c r="V228" s="6" t="inlineStr">
        <is>
          <t>not selected</t>
        </is>
      </c>
    </row>
    <row r="229">
      <c r="A229" s="6" t="inlineStr">
        <is>
          <t>DJ30</t>
        </is>
      </c>
      <c r="B229" s="6" t="inlineStr">
        <is>
          <t>2023-02-24</t>
        </is>
      </c>
      <c r="C229" s="6" t="inlineStr">
        <is>
          <t>DIA</t>
        </is>
      </c>
      <c r="D229" s="6" t="inlineStr">
        <is>
          <t>GS</t>
        </is>
      </c>
      <c r="E229" s="6" t="inlineStr">
        <is>
          <t>GS</t>
        </is>
      </c>
      <c r="F229" s="6" t="inlineStr">
        <is>
          <t>-</t>
        </is>
      </c>
      <c r="G229" s="7" t="n">
        <v>334.2052001953125</v>
      </c>
      <c r="H229" s="6">
        <f>P198</f>
        <v/>
      </c>
      <c r="I229" s="9">
        <f>Q198</f>
        <v/>
      </c>
      <c r="J229" s="7">
        <f>I229*G229</f>
        <v/>
      </c>
      <c r="K229" s="8">
        <f>IF($J$249=0,0,J229/$J$249)</f>
        <v/>
      </c>
      <c r="L229" s="6" t="inlineStr">
        <is>
          <t>REJECTED</t>
        </is>
      </c>
      <c r="M229" s="8" t="n">
        <v>0</v>
      </c>
      <c r="N229" s="7">
        <f>M229*$J$249-J229</f>
        <v/>
      </c>
      <c r="O229" s="9">
        <f>IF(G229=0,0,N229/G229)</f>
        <v/>
      </c>
      <c r="P229" s="6">
        <f>IF(M229&gt;0,D229,"")</f>
        <v/>
      </c>
      <c r="Q229" s="9">
        <f>I229+O229</f>
        <v/>
      </c>
      <c r="R229" s="7">
        <f>Q229*G229</f>
        <v/>
      </c>
      <c r="S229" s="8">
        <f>IF($R$249=0,0,R229/$R$249)</f>
        <v/>
      </c>
      <c r="T229" s="8" t="n">
        <v>0</v>
      </c>
      <c r="U229" s="8" t="n">
        <v>-0.03006271698327312</v>
      </c>
      <c r="V229" s="6" t="inlineStr">
        <is>
          <t>not selected</t>
        </is>
      </c>
    </row>
    <row r="230">
      <c r="A230" s="6" t="inlineStr">
        <is>
          <t>DJ30</t>
        </is>
      </c>
      <c r="B230" s="6" t="inlineStr">
        <is>
          <t>2023-02-24</t>
        </is>
      </c>
      <c r="C230" s="6" t="inlineStr">
        <is>
          <t>DIA</t>
        </is>
      </c>
      <c r="D230" s="6" t="inlineStr">
        <is>
          <t>HD</t>
        </is>
      </c>
      <c r="E230" s="6" t="inlineStr">
        <is>
          <t>HD</t>
        </is>
      </c>
      <c r="F230" s="6" t="inlineStr">
        <is>
          <t>-</t>
        </is>
      </c>
      <c r="G230" s="7" t="n">
        <v>271.0166015625</v>
      </c>
      <c r="H230" s="6">
        <f>P199</f>
        <v/>
      </c>
      <c r="I230" s="9">
        <f>Q199</f>
        <v/>
      </c>
      <c r="J230" s="7">
        <f>I230*G230</f>
        <v/>
      </c>
      <c r="K230" s="8">
        <f>IF($J$249=0,0,J230/$J$249)</f>
        <v/>
      </c>
      <c r="L230" s="6" t="inlineStr">
        <is>
          <t>REJECTED</t>
        </is>
      </c>
      <c r="M230" s="8" t="n">
        <v>0</v>
      </c>
      <c r="N230" s="7">
        <f>M230*$J$249-J230</f>
        <v/>
      </c>
      <c r="O230" s="9">
        <f>IF(G230=0,0,N230/G230)</f>
        <v/>
      </c>
      <c r="P230" s="6">
        <f>IF(M230&gt;0,D230,"")</f>
        <v/>
      </c>
      <c r="Q230" s="9">
        <f>I230+O230</f>
        <v/>
      </c>
      <c r="R230" s="7">
        <f>Q230*G230</f>
        <v/>
      </c>
      <c r="S230" s="8">
        <f>IF($R$249=0,0,R230/$R$249)</f>
        <v/>
      </c>
      <c r="T230" s="8" t="n">
        <v>0</v>
      </c>
      <c r="U230" s="8" t="n">
        <v>-0.03006271698327312</v>
      </c>
      <c r="V230" s="6" t="inlineStr">
        <is>
          <t>not selected</t>
        </is>
      </c>
    </row>
    <row r="231">
      <c r="A231" s="6" t="inlineStr">
        <is>
          <t>DJ30</t>
        </is>
      </c>
      <c r="B231" s="6" t="inlineStr">
        <is>
          <t>2023-02-24</t>
        </is>
      </c>
      <c r="C231" s="6" t="inlineStr">
        <is>
          <t>DIA</t>
        </is>
      </c>
      <c r="D231" s="6" t="inlineStr">
        <is>
          <t>HON</t>
        </is>
      </c>
      <c r="E231" s="6" t="inlineStr">
        <is>
          <t>HON</t>
        </is>
      </c>
      <c r="F231" s="6" t="inlineStr">
        <is>
          <t>-</t>
        </is>
      </c>
      <c r="G231" s="7" t="n">
        <v>168.8099212646484</v>
      </c>
      <c r="H231" s="6">
        <f>P200</f>
        <v/>
      </c>
      <c r="I231" s="9">
        <f>Q200</f>
        <v/>
      </c>
      <c r="J231" s="7">
        <f>I231*G231</f>
        <v/>
      </c>
      <c r="K231" s="8">
        <f>IF($J$249=0,0,J231/$J$249)</f>
        <v/>
      </c>
      <c r="L231" s="6" t="inlineStr">
        <is>
          <t>REJECTED</t>
        </is>
      </c>
      <c r="M231" s="8" t="n">
        <v>0</v>
      </c>
      <c r="N231" s="7">
        <f>M231*$J$249-J231</f>
        <v/>
      </c>
      <c r="O231" s="9">
        <f>IF(G231=0,0,N231/G231)</f>
        <v/>
      </c>
      <c r="P231" s="6">
        <f>IF(M231&gt;0,D231,"")</f>
        <v/>
      </c>
      <c r="Q231" s="9">
        <f>I231+O231</f>
        <v/>
      </c>
      <c r="R231" s="7">
        <f>Q231*G231</f>
        <v/>
      </c>
      <c r="S231" s="8">
        <f>IF($R$249=0,0,R231/$R$249)</f>
        <v/>
      </c>
      <c r="T231" s="8" t="n">
        <v>0</v>
      </c>
      <c r="U231" s="8" t="n">
        <v>-0.03006271698327312</v>
      </c>
      <c r="V231" s="6" t="inlineStr">
        <is>
          <t>not selected</t>
        </is>
      </c>
    </row>
    <row r="232">
      <c r="A232" s="6" t="inlineStr">
        <is>
          <t>DJ30</t>
        </is>
      </c>
      <c r="B232" s="6" t="inlineStr">
        <is>
          <t>2023-02-24</t>
        </is>
      </c>
      <c r="C232" s="6" t="inlineStr">
        <is>
          <t>DIA</t>
        </is>
      </c>
      <c r="D232" s="6" t="inlineStr">
        <is>
          <t>IBM</t>
        </is>
      </c>
      <c r="E232" s="6" t="inlineStr">
        <is>
          <t>IBM</t>
        </is>
      </c>
      <c r="F232" s="6" t="inlineStr">
        <is>
          <t>-</t>
        </is>
      </c>
      <c r="G232" s="7" t="n">
        <v>116.9336853027344</v>
      </c>
      <c r="H232" s="6">
        <f>P201</f>
        <v/>
      </c>
      <c r="I232" s="9">
        <f>Q201</f>
        <v/>
      </c>
      <c r="J232" s="7">
        <f>I232*G232</f>
        <v/>
      </c>
      <c r="K232" s="8">
        <f>IF($J$249=0,0,J232/$J$249)</f>
        <v/>
      </c>
      <c r="L232" s="6" t="inlineStr">
        <is>
          <t>REJECTED</t>
        </is>
      </c>
      <c r="M232" s="8" t="n">
        <v>0</v>
      </c>
      <c r="N232" s="7">
        <f>M232*$J$249-J232</f>
        <v/>
      </c>
      <c r="O232" s="9">
        <f>IF(G232=0,0,N232/G232)</f>
        <v/>
      </c>
      <c r="P232" s="6">
        <f>IF(M232&gt;0,D232,"")</f>
        <v/>
      </c>
      <c r="Q232" s="9">
        <f>I232+O232</f>
        <v/>
      </c>
      <c r="R232" s="7">
        <f>Q232*G232</f>
        <v/>
      </c>
      <c r="S232" s="8">
        <f>IF($R$249=0,0,R232/$R$249)</f>
        <v/>
      </c>
      <c r="T232" s="8" t="n">
        <v>0</v>
      </c>
      <c r="U232" s="8" t="n">
        <v>-0.03006271698327312</v>
      </c>
      <c r="V232" s="6" t="inlineStr">
        <is>
          <t>not selected</t>
        </is>
      </c>
    </row>
    <row r="233">
      <c r="A233" s="6" t="inlineStr">
        <is>
          <t>DJ30</t>
        </is>
      </c>
      <c r="B233" s="6" t="inlineStr">
        <is>
          <t>2023-02-24</t>
        </is>
      </c>
      <c r="C233" s="6" t="inlineStr">
        <is>
          <t>DIA</t>
        </is>
      </c>
      <c r="D233" s="6" t="inlineStr">
        <is>
          <t>JNJ</t>
        </is>
      </c>
      <c r="E233" s="6" t="inlineStr">
        <is>
          <t>JNJ</t>
        </is>
      </c>
      <c r="F233" s="6" t="inlineStr">
        <is>
          <t>-</t>
        </is>
      </c>
      <c r="G233" s="7" t="n">
        <v>141.8230438232422</v>
      </c>
      <c r="H233" s="6">
        <f>P202</f>
        <v/>
      </c>
      <c r="I233" s="9">
        <f>Q202</f>
        <v/>
      </c>
      <c r="J233" s="7">
        <f>I233*G233</f>
        <v/>
      </c>
      <c r="K233" s="8">
        <f>IF($J$249=0,0,J233/$J$249)</f>
        <v/>
      </c>
      <c r="L233" s="6" t="inlineStr">
        <is>
          <t>REJECTED</t>
        </is>
      </c>
      <c r="M233" s="8" t="n">
        <v>0</v>
      </c>
      <c r="N233" s="7">
        <f>M233*$J$249-J233</f>
        <v/>
      </c>
      <c r="O233" s="9">
        <f>IF(G233=0,0,N233/G233)</f>
        <v/>
      </c>
      <c r="P233" s="6">
        <f>IF(M233&gt;0,D233,"")</f>
        <v/>
      </c>
      <c r="Q233" s="9">
        <f>I233+O233</f>
        <v/>
      </c>
      <c r="R233" s="7">
        <f>Q233*G233</f>
        <v/>
      </c>
      <c r="S233" s="8">
        <f>IF($R$249=0,0,R233/$R$249)</f>
        <v/>
      </c>
      <c r="T233" s="8" t="n">
        <v>0</v>
      </c>
      <c r="U233" s="8" t="n">
        <v>-0.03006271698327312</v>
      </c>
      <c r="V233" s="6" t="inlineStr">
        <is>
          <t>not selected</t>
        </is>
      </c>
    </row>
    <row r="234">
      <c r="A234" s="6" t="inlineStr">
        <is>
          <t>DJ30</t>
        </is>
      </c>
      <c r="B234" s="6" t="inlineStr">
        <is>
          <t>2023-02-24</t>
        </is>
      </c>
      <c r="C234" s="6" t="inlineStr">
        <is>
          <t>DIA</t>
        </is>
      </c>
      <c r="D234" s="6" t="inlineStr">
        <is>
          <t>JPM</t>
        </is>
      </c>
      <c r="E234" s="6" t="inlineStr">
        <is>
          <t>JPM</t>
        </is>
      </c>
      <c r="F234" s="6" t="inlineStr">
        <is>
          <t>-</t>
        </is>
      </c>
      <c r="G234" s="7" t="n">
        <v>130.5946044921875</v>
      </c>
      <c r="H234" s="6">
        <f>P203</f>
        <v/>
      </c>
      <c r="I234" s="9">
        <f>Q203</f>
        <v/>
      </c>
      <c r="J234" s="7">
        <f>I234*G234</f>
        <v/>
      </c>
      <c r="K234" s="8">
        <f>IF($J$249=0,0,J234/$J$249)</f>
        <v/>
      </c>
      <c r="L234" s="6" t="inlineStr">
        <is>
          <t>REJECTED</t>
        </is>
      </c>
      <c r="M234" s="8" t="n">
        <v>0</v>
      </c>
      <c r="N234" s="7">
        <f>M234*$J$249-J234</f>
        <v/>
      </c>
      <c r="O234" s="9">
        <f>IF(G234=0,0,N234/G234)</f>
        <v/>
      </c>
      <c r="P234" s="6">
        <f>IF(M234&gt;0,D234,"")</f>
        <v/>
      </c>
      <c r="Q234" s="9">
        <f>I234+O234</f>
        <v/>
      </c>
      <c r="R234" s="7">
        <f>Q234*G234</f>
        <v/>
      </c>
      <c r="S234" s="8">
        <f>IF($R$249=0,0,R234/$R$249)</f>
        <v/>
      </c>
      <c r="T234" s="8" t="n">
        <v>0</v>
      </c>
      <c r="U234" s="8" t="n">
        <v>-0.03006271698327312</v>
      </c>
      <c r="V234" s="6" t="inlineStr">
        <is>
          <t>not selected</t>
        </is>
      </c>
    </row>
    <row r="235">
      <c r="A235" s="6" t="inlineStr">
        <is>
          <t>DJ30</t>
        </is>
      </c>
      <c r="B235" s="6" t="inlineStr">
        <is>
          <t>2023-02-24</t>
        </is>
      </c>
      <c r="C235" s="6" t="inlineStr">
        <is>
          <t>DIA</t>
        </is>
      </c>
      <c r="D235" s="6" t="inlineStr">
        <is>
          <t>KO</t>
        </is>
      </c>
      <c r="E235" s="6" t="inlineStr">
        <is>
          <t>KO</t>
        </is>
      </c>
      <c r="F235" s="6" t="inlineStr">
        <is>
          <t>-</t>
        </is>
      </c>
      <c r="G235" s="7" t="n">
        <v>53.95571136474609</v>
      </c>
      <c r="H235" s="6">
        <f>P204</f>
        <v/>
      </c>
      <c r="I235" s="9">
        <f>Q204</f>
        <v/>
      </c>
      <c r="J235" s="7">
        <f>I235*G235</f>
        <v/>
      </c>
      <c r="K235" s="8">
        <f>IF($J$249=0,0,J235/$J$249)</f>
        <v/>
      </c>
      <c r="L235" s="6" t="inlineStr">
        <is>
          <t>REJECTED</t>
        </is>
      </c>
      <c r="M235" s="8" t="n">
        <v>0</v>
      </c>
      <c r="N235" s="7">
        <f>M235*$J$249-J235</f>
        <v/>
      </c>
      <c r="O235" s="9">
        <f>IF(G235=0,0,N235/G235)</f>
        <v/>
      </c>
      <c r="P235" s="6">
        <f>IF(M235&gt;0,D235,"")</f>
        <v/>
      </c>
      <c r="Q235" s="9">
        <f>I235+O235</f>
        <v/>
      </c>
      <c r="R235" s="7">
        <f>Q235*G235</f>
        <v/>
      </c>
      <c r="S235" s="8">
        <f>IF($R$249=0,0,R235/$R$249)</f>
        <v/>
      </c>
      <c r="T235" s="8" t="n">
        <v>0</v>
      </c>
      <c r="U235" s="8" t="n">
        <v>-0.03006271698327312</v>
      </c>
      <c r="V235" s="6" t="inlineStr">
        <is>
          <t>not selected</t>
        </is>
      </c>
    </row>
    <row r="236">
      <c r="A236" s="6" t="inlineStr">
        <is>
          <t>DJ30</t>
        </is>
      </c>
      <c r="B236" s="6" t="inlineStr">
        <is>
          <t>2023-02-24</t>
        </is>
      </c>
      <c r="C236" s="6" t="inlineStr">
        <is>
          <t>DIA</t>
        </is>
      </c>
      <c r="D236" s="6" t="inlineStr">
        <is>
          <t>MCD</t>
        </is>
      </c>
      <c r="E236" s="6" t="inlineStr">
        <is>
          <t>MCD</t>
        </is>
      </c>
      <c r="F236" s="6" t="inlineStr">
        <is>
          <t>-</t>
        </is>
      </c>
      <c r="G236" s="7" t="n">
        <v>242.9893646240234</v>
      </c>
      <c r="H236" s="6">
        <f>P205</f>
        <v/>
      </c>
      <c r="I236" s="9">
        <f>Q205</f>
        <v/>
      </c>
      <c r="J236" s="7">
        <f>I236*G236</f>
        <v/>
      </c>
      <c r="K236" s="8">
        <f>IF($J$249=0,0,J236/$J$249)</f>
        <v/>
      </c>
      <c r="L236" s="6" t="inlineStr">
        <is>
          <t>REJECTED</t>
        </is>
      </c>
      <c r="M236" s="8" t="n">
        <v>0</v>
      </c>
      <c r="N236" s="7">
        <f>M236*$J$249-J236</f>
        <v/>
      </c>
      <c r="O236" s="9">
        <f>IF(G236=0,0,N236/G236)</f>
        <v/>
      </c>
      <c r="P236" s="6">
        <f>IF(M236&gt;0,D236,"")</f>
        <v/>
      </c>
      <c r="Q236" s="9">
        <f>I236+O236</f>
        <v/>
      </c>
      <c r="R236" s="7">
        <f>Q236*G236</f>
        <v/>
      </c>
      <c r="S236" s="8">
        <f>IF($R$249=0,0,R236/$R$249)</f>
        <v/>
      </c>
      <c r="T236" s="8" t="n">
        <v>0</v>
      </c>
      <c r="U236" s="8" t="n">
        <v>-0.03006271698327312</v>
      </c>
      <c r="V236" s="6" t="inlineStr">
        <is>
          <t>not selected</t>
        </is>
      </c>
    </row>
    <row r="237">
      <c r="A237" s="6" t="inlineStr">
        <is>
          <t>DJ30</t>
        </is>
      </c>
      <c r="B237" s="6" t="inlineStr">
        <is>
          <t>2023-02-24</t>
        </is>
      </c>
      <c r="C237" s="6" t="inlineStr">
        <is>
          <t>DIA</t>
        </is>
      </c>
      <c r="D237" s="6" t="inlineStr">
        <is>
          <t>MMM</t>
        </is>
      </c>
      <c r="E237" s="6" t="inlineStr">
        <is>
          <t>MMM</t>
        </is>
      </c>
      <c r="F237" s="6" t="inlineStr">
        <is>
          <t>-</t>
        </is>
      </c>
      <c r="G237" s="7" t="n">
        <v>80.90986633300781</v>
      </c>
      <c r="H237" s="6">
        <f>P206</f>
        <v/>
      </c>
      <c r="I237" s="9">
        <f>Q206</f>
        <v/>
      </c>
      <c r="J237" s="7">
        <f>I237*G237</f>
        <v/>
      </c>
      <c r="K237" s="8">
        <f>IF($J$249=0,0,J237/$J$249)</f>
        <v/>
      </c>
      <c r="L237" s="6" t="inlineStr">
        <is>
          <t>REJECTED</t>
        </is>
      </c>
      <c r="M237" s="8" t="n">
        <v>0</v>
      </c>
      <c r="N237" s="7">
        <f>M237*$J$249-J237</f>
        <v/>
      </c>
      <c r="O237" s="9">
        <f>IF(G237=0,0,N237/G237)</f>
        <v/>
      </c>
      <c r="P237" s="6">
        <f>IF(M237&gt;0,D237,"")</f>
        <v/>
      </c>
      <c r="Q237" s="9">
        <f>I237+O237</f>
        <v/>
      </c>
      <c r="R237" s="7">
        <f>Q237*G237</f>
        <v/>
      </c>
      <c r="S237" s="8">
        <f>IF($R$249=0,0,R237/$R$249)</f>
        <v/>
      </c>
      <c r="T237" s="8" t="n">
        <v>0</v>
      </c>
      <c r="U237" s="8" t="n">
        <v>-0.03006271698327312</v>
      </c>
      <c r="V237" s="6" t="inlineStr">
        <is>
          <t>not selected</t>
        </is>
      </c>
    </row>
    <row r="238">
      <c r="A238" s="6" t="inlineStr">
        <is>
          <t>DJ30</t>
        </is>
      </c>
      <c r="B238" s="6" t="inlineStr">
        <is>
          <t>2023-02-24</t>
        </is>
      </c>
      <c r="C238" s="6" t="inlineStr">
        <is>
          <t>DIA</t>
        </is>
      </c>
      <c r="D238" s="6" t="inlineStr">
        <is>
          <t>MRK</t>
        </is>
      </c>
      <c r="E238" s="6" t="inlineStr">
        <is>
          <t>MRK</t>
        </is>
      </c>
      <c r="F238" s="6" t="inlineStr">
        <is>
          <t>-</t>
        </is>
      </c>
      <c r="G238" s="7" t="n">
        <v>98.84025573730467</v>
      </c>
      <c r="H238" s="6">
        <f>P207</f>
        <v/>
      </c>
      <c r="I238" s="9">
        <f>Q207</f>
        <v/>
      </c>
      <c r="J238" s="7">
        <f>I238*G238</f>
        <v/>
      </c>
      <c r="K238" s="8">
        <f>IF($J$249=0,0,J238/$J$249)</f>
        <v/>
      </c>
      <c r="L238" s="6" t="inlineStr">
        <is>
          <t>REJECTED</t>
        </is>
      </c>
      <c r="M238" s="8" t="n">
        <v>0</v>
      </c>
      <c r="N238" s="7">
        <f>M238*$J$249-J238</f>
        <v/>
      </c>
      <c r="O238" s="9">
        <f>IF(G238=0,0,N238/G238)</f>
        <v/>
      </c>
      <c r="P238" s="6">
        <f>IF(M238&gt;0,D238,"")</f>
        <v/>
      </c>
      <c r="Q238" s="9">
        <f>I238+O238</f>
        <v/>
      </c>
      <c r="R238" s="7">
        <f>Q238*G238</f>
        <v/>
      </c>
      <c r="S238" s="8">
        <f>IF($R$249=0,0,R238/$R$249)</f>
        <v/>
      </c>
      <c r="T238" s="8" t="n">
        <v>0</v>
      </c>
      <c r="U238" s="8" t="n">
        <v>-0.03006271698327312</v>
      </c>
      <c r="V238" s="6" t="inlineStr">
        <is>
          <t>not selected</t>
        </is>
      </c>
    </row>
    <row r="239">
      <c r="A239" s="6" t="inlineStr">
        <is>
          <t>DJ30</t>
        </is>
      </c>
      <c r="B239" s="6" t="inlineStr">
        <is>
          <t>2023-02-24</t>
        </is>
      </c>
      <c r="C239" s="6" t="inlineStr">
        <is>
          <t>DIA</t>
        </is>
      </c>
      <c r="D239" s="6" t="inlineStr">
        <is>
          <t>MSFT</t>
        </is>
      </c>
      <c r="E239" s="6" t="inlineStr">
        <is>
          <t>MSFT</t>
        </is>
      </c>
      <c r="F239" s="6" t="inlineStr">
        <is>
          <t>-</t>
        </is>
      </c>
      <c r="G239" s="7" t="n">
        <v>242.9283599853516</v>
      </c>
      <c r="H239" s="6">
        <f>P208</f>
        <v/>
      </c>
      <c r="I239" s="9">
        <f>Q208</f>
        <v/>
      </c>
      <c r="J239" s="7">
        <f>I239*G239</f>
        <v/>
      </c>
      <c r="K239" s="8">
        <f>IF($J$249=0,0,J239/$J$249)</f>
        <v/>
      </c>
      <c r="L239" s="6" t="inlineStr">
        <is>
          <t>REJECTED</t>
        </is>
      </c>
      <c r="M239" s="8" t="n">
        <v>0</v>
      </c>
      <c r="N239" s="7">
        <f>M239*$J$249-J239</f>
        <v/>
      </c>
      <c r="O239" s="9">
        <f>IF(G239=0,0,N239/G239)</f>
        <v/>
      </c>
      <c r="P239" s="6">
        <f>IF(M239&gt;0,D239,"")</f>
        <v/>
      </c>
      <c r="Q239" s="9">
        <f>I239+O239</f>
        <v/>
      </c>
      <c r="R239" s="7">
        <f>Q239*G239</f>
        <v/>
      </c>
      <c r="S239" s="8">
        <f>IF($R$249=0,0,R239/$R$249)</f>
        <v/>
      </c>
      <c r="T239" s="8" t="n">
        <v>0</v>
      </c>
      <c r="U239" s="8" t="n">
        <v>-0.03006271698327312</v>
      </c>
      <c r="V239" s="6" t="inlineStr">
        <is>
          <t>not selected</t>
        </is>
      </c>
    </row>
    <row r="240">
      <c r="A240" s="6" t="inlineStr">
        <is>
          <t>DJ30</t>
        </is>
      </c>
      <c r="B240" s="6" t="inlineStr">
        <is>
          <t>2023-02-24</t>
        </is>
      </c>
      <c r="C240" s="6" t="inlineStr">
        <is>
          <t>DIA</t>
        </is>
      </c>
      <c r="D240" s="6" t="inlineStr">
        <is>
          <t>NKE</t>
        </is>
      </c>
      <c r="E240" s="6" t="inlineStr">
        <is>
          <t>NKE</t>
        </is>
      </c>
      <c r="F240" s="6" t="inlineStr">
        <is>
          <t>-</t>
        </is>
      </c>
      <c r="G240" s="7" t="n">
        <v>110.2145309448242</v>
      </c>
      <c r="H240" s="6">
        <f>P209</f>
        <v/>
      </c>
      <c r="I240" s="9">
        <f>Q209</f>
        <v/>
      </c>
      <c r="J240" s="7">
        <f>I240*G240</f>
        <v/>
      </c>
      <c r="K240" s="8">
        <f>IF($J$249=0,0,J240/$J$249)</f>
        <v/>
      </c>
      <c r="L240" s="6" t="inlineStr">
        <is>
          <t>REJECTED</t>
        </is>
      </c>
      <c r="M240" s="8" t="n">
        <v>0</v>
      </c>
      <c r="N240" s="7">
        <f>M240*$J$249-J240</f>
        <v/>
      </c>
      <c r="O240" s="9">
        <f>IF(G240=0,0,N240/G240)</f>
        <v/>
      </c>
      <c r="P240" s="6">
        <f>IF(M240&gt;0,D240,"")</f>
        <v/>
      </c>
      <c r="Q240" s="9">
        <f>I240+O240</f>
        <v/>
      </c>
      <c r="R240" s="7">
        <f>Q240*G240</f>
        <v/>
      </c>
      <c r="S240" s="8">
        <f>IF($R$249=0,0,R240/$R$249)</f>
        <v/>
      </c>
      <c r="T240" s="8" t="n">
        <v>0</v>
      </c>
      <c r="U240" s="8" t="n">
        <v>-0.03006271698327312</v>
      </c>
      <c r="V240" s="6" t="inlineStr">
        <is>
          <t>not selected</t>
        </is>
      </c>
    </row>
    <row r="241">
      <c r="A241" s="6" t="inlineStr">
        <is>
          <t>DJ30</t>
        </is>
      </c>
      <c r="B241" s="6" t="inlineStr">
        <is>
          <t>2023-02-24</t>
        </is>
      </c>
      <c r="C241" s="6" t="inlineStr">
        <is>
          <t>DIA</t>
        </is>
      </c>
      <c r="D241" s="6" t="inlineStr">
        <is>
          <t>NVDA</t>
        </is>
      </c>
      <c r="E241" s="6" t="inlineStr">
        <is>
          <t>NVDA</t>
        </is>
      </c>
      <c r="F241" s="6" t="inlineStr">
        <is>
          <t>-</t>
        </is>
      </c>
      <c r="G241" s="7" t="n">
        <v>23.23437118530273</v>
      </c>
      <c r="H241" s="6">
        <f>P210</f>
        <v/>
      </c>
      <c r="I241" s="9">
        <f>Q210</f>
        <v/>
      </c>
      <c r="J241" s="7">
        <f>I241*G241</f>
        <v/>
      </c>
      <c r="K241" s="8">
        <f>IF($J$249=0,0,J241/$J$249)</f>
        <v/>
      </c>
      <c r="L241" s="6" t="inlineStr">
        <is>
          <t>REJECTED</t>
        </is>
      </c>
      <c r="M241" s="8" t="n">
        <v>0</v>
      </c>
      <c r="N241" s="7">
        <f>M241*$J$249-J241</f>
        <v/>
      </c>
      <c r="O241" s="9">
        <f>IF(G241=0,0,N241/G241)</f>
        <v/>
      </c>
      <c r="P241" s="6">
        <f>IF(M241&gt;0,D241,"")</f>
        <v/>
      </c>
      <c r="Q241" s="9">
        <f>I241+O241</f>
        <v/>
      </c>
      <c r="R241" s="7">
        <f>Q241*G241</f>
        <v/>
      </c>
      <c r="S241" s="8">
        <f>IF($R$249=0,0,R241/$R$249)</f>
        <v/>
      </c>
      <c r="T241" s="8" t="n">
        <v>0</v>
      </c>
      <c r="U241" s="8" t="n">
        <v>-0.03006271698327312</v>
      </c>
      <c r="V241" s="6" t="inlineStr">
        <is>
          <t>not selected</t>
        </is>
      </c>
    </row>
    <row r="242">
      <c r="A242" s="6" t="inlineStr">
        <is>
          <t>DJ30</t>
        </is>
      </c>
      <c r="B242" s="6" t="inlineStr">
        <is>
          <t>2023-02-24</t>
        </is>
      </c>
      <c r="C242" s="6" t="inlineStr">
        <is>
          <t>DIA</t>
        </is>
      </c>
      <c r="D242" s="6" t="inlineStr">
        <is>
          <t>PG</t>
        </is>
      </c>
      <c r="E242" s="6" t="inlineStr">
        <is>
          <t>PG</t>
        </is>
      </c>
      <c r="F242" s="6" t="inlineStr">
        <is>
          <t>-</t>
        </is>
      </c>
      <c r="G242" s="7" t="n">
        <v>128.0325012207031</v>
      </c>
      <c r="H242" s="6">
        <f>P211</f>
        <v/>
      </c>
      <c r="I242" s="9">
        <f>Q211</f>
        <v/>
      </c>
      <c r="J242" s="7">
        <f>I242*G242</f>
        <v/>
      </c>
      <c r="K242" s="8">
        <f>IF($J$249=0,0,J242/$J$249)</f>
        <v/>
      </c>
      <c r="L242" s="6" t="inlineStr">
        <is>
          <t>REJECTED</t>
        </is>
      </c>
      <c r="M242" s="8" t="n">
        <v>0</v>
      </c>
      <c r="N242" s="7">
        <f>M242*$J$249-J242</f>
        <v/>
      </c>
      <c r="O242" s="9">
        <f>IF(G242=0,0,N242/G242)</f>
        <v/>
      </c>
      <c r="P242" s="6">
        <f>IF(M242&gt;0,D242,"")</f>
        <v/>
      </c>
      <c r="Q242" s="9">
        <f>I242+O242</f>
        <v/>
      </c>
      <c r="R242" s="7">
        <f>Q242*G242</f>
        <v/>
      </c>
      <c r="S242" s="8">
        <f>IF($R$249=0,0,R242/$R$249)</f>
        <v/>
      </c>
      <c r="T242" s="8" t="n">
        <v>0</v>
      </c>
      <c r="U242" s="8" t="n">
        <v>-0.03006271698327312</v>
      </c>
      <c r="V242" s="6" t="inlineStr">
        <is>
          <t>not selected</t>
        </is>
      </c>
    </row>
    <row r="243">
      <c r="A243" s="6" t="inlineStr">
        <is>
          <t>DJ30</t>
        </is>
      </c>
      <c r="B243" s="6" t="inlineStr">
        <is>
          <t>2023-02-24</t>
        </is>
      </c>
      <c r="C243" s="6" t="inlineStr">
        <is>
          <t>DIA</t>
        </is>
      </c>
      <c r="D243" s="6" t="inlineStr">
        <is>
          <t>SHW</t>
        </is>
      </c>
      <c r="E243" s="6" t="inlineStr">
        <is>
          <t>SHW</t>
        </is>
      </c>
      <c r="F243" s="6" t="inlineStr">
        <is>
          <t>-</t>
        </is>
      </c>
      <c r="G243" s="7" t="n">
        <v>214.7223205566407</v>
      </c>
      <c r="H243" s="6">
        <f>P212</f>
        <v/>
      </c>
      <c r="I243" s="9">
        <f>Q212</f>
        <v/>
      </c>
      <c r="J243" s="7">
        <f>I243*G243</f>
        <v/>
      </c>
      <c r="K243" s="8">
        <f>IF($J$249=0,0,J243/$J$249)</f>
        <v/>
      </c>
      <c r="L243" s="6" t="inlineStr">
        <is>
          <t>REJECTED</t>
        </is>
      </c>
      <c r="M243" s="8" t="n">
        <v>0</v>
      </c>
      <c r="N243" s="7">
        <f>M243*$J$249-J243</f>
        <v/>
      </c>
      <c r="O243" s="9">
        <f>IF(G243=0,0,N243/G243)</f>
        <v/>
      </c>
      <c r="P243" s="6">
        <f>IF(M243&gt;0,D243,"")</f>
        <v/>
      </c>
      <c r="Q243" s="9">
        <f>I243+O243</f>
        <v/>
      </c>
      <c r="R243" s="7">
        <f>Q243*G243</f>
        <v/>
      </c>
      <c r="S243" s="8">
        <f>IF($R$249=0,0,R243/$R$249)</f>
        <v/>
      </c>
      <c r="T243" s="8" t="n">
        <v>0</v>
      </c>
      <c r="U243" s="8" t="n">
        <v>-0.03006271698327312</v>
      </c>
      <c r="V243" s="6" t="inlineStr">
        <is>
          <t>not selected</t>
        </is>
      </c>
    </row>
    <row r="244">
      <c r="A244" s="6" t="inlineStr">
        <is>
          <t>DJ30</t>
        </is>
      </c>
      <c r="B244" s="6" t="inlineStr">
        <is>
          <t>2023-02-24</t>
        </is>
      </c>
      <c r="C244" s="6" t="inlineStr">
        <is>
          <t>DIA</t>
        </is>
      </c>
      <c r="D244" s="6" t="inlineStr">
        <is>
          <t>TRV</t>
        </is>
      </c>
      <c r="E244" s="6" t="inlineStr">
        <is>
          <t>TRV</t>
        </is>
      </c>
      <c r="F244" s="6" t="inlineStr">
        <is>
          <t>-</t>
        </is>
      </c>
      <c r="G244" s="7" t="n">
        <v>173.721923828125</v>
      </c>
      <c r="H244" s="6">
        <f>P213</f>
        <v/>
      </c>
      <c r="I244" s="9">
        <f>Q213</f>
        <v/>
      </c>
      <c r="J244" s="7">
        <f>I244*G244</f>
        <v/>
      </c>
      <c r="K244" s="8">
        <f>IF($J$249=0,0,J244/$J$249)</f>
        <v/>
      </c>
      <c r="L244" s="6" t="inlineStr">
        <is>
          <t>REJECTED</t>
        </is>
      </c>
      <c r="M244" s="8" t="n">
        <v>0</v>
      </c>
      <c r="N244" s="7">
        <f>M244*$J$249-J244</f>
        <v/>
      </c>
      <c r="O244" s="9">
        <f>IF(G244=0,0,N244/G244)</f>
        <v/>
      </c>
      <c r="P244" s="6">
        <f>IF(M244&gt;0,D244,"")</f>
        <v/>
      </c>
      <c r="Q244" s="9">
        <f>I244+O244</f>
        <v/>
      </c>
      <c r="R244" s="7">
        <f>Q244*G244</f>
        <v/>
      </c>
      <c r="S244" s="8">
        <f>IF($R$249=0,0,R244/$R$249)</f>
        <v/>
      </c>
      <c r="T244" s="8" t="n">
        <v>0</v>
      </c>
      <c r="U244" s="8" t="n">
        <v>-0.03006271698327312</v>
      </c>
      <c r="V244" s="6" t="inlineStr">
        <is>
          <t>not selected</t>
        </is>
      </c>
    </row>
    <row r="245">
      <c r="A245" s="6" t="inlineStr">
        <is>
          <t>DJ30</t>
        </is>
      </c>
      <c r="B245" s="6" t="inlineStr">
        <is>
          <t>2023-02-24</t>
        </is>
      </c>
      <c r="C245" s="6" t="inlineStr">
        <is>
          <t>DIA</t>
        </is>
      </c>
      <c r="D245" s="6" t="inlineStr">
        <is>
          <t>UNH</t>
        </is>
      </c>
      <c r="E245" s="6" t="inlineStr">
        <is>
          <t>UNH</t>
        </is>
      </c>
      <c r="F245" s="6" t="inlineStr">
        <is>
          <t>-</t>
        </is>
      </c>
      <c r="G245" s="7" t="n">
        <v>452.37890625</v>
      </c>
      <c r="H245" s="6">
        <f>P214</f>
        <v/>
      </c>
      <c r="I245" s="9">
        <f>Q214</f>
        <v/>
      </c>
      <c r="J245" s="7">
        <f>I245*G245</f>
        <v/>
      </c>
      <c r="K245" s="8">
        <f>IF($J$249=0,0,J245/$J$249)</f>
        <v/>
      </c>
      <c r="L245" s="6" t="inlineStr">
        <is>
          <t>REJECTED</t>
        </is>
      </c>
      <c r="M245" s="8" t="n">
        <v>0</v>
      </c>
      <c r="N245" s="7">
        <f>M245*$J$249-J245</f>
        <v/>
      </c>
      <c r="O245" s="9">
        <f>IF(G245=0,0,N245/G245)</f>
        <v/>
      </c>
      <c r="P245" s="6">
        <f>IF(M245&gt;0,D245,"")</f>
        <v/>
      </c>
      <c r="Q245" s="9">
        <f>I245+O245</f>
        <v/>
      </c>
      <c r="R245" s="7">
        <f>Q245*G245</f>
        <v/>
      </c>
      <c r="S245" s="8">
        <f>IF($R$249=0,0,R245/$R$249)</f>
        <v/>
      </c>
      <c r="T245" s="8" t="n">
        <v>0</v>
      </c>
      <c r="U245" s="8" t="n">
        <v>-0.03006271698327312</v>
      </c>
      <c r="V245" s="6" t="inlineStr">
        <is>
          <t>not selected</t>
        </is>
      </c>
    </row>
    <row r="246">
      <c r="A246" s="6" t="inlineStr">
        <is>
          <t>DJ30</t>
        </is>
      </c>
      <c r="B246" s="6" t="inlineStr">
        <is>
          <t>2023-02-24</t>
        </is>
      </c>
      <c r="C246" s="6" t="inlineStr">
        <is>
          <t>DIA</t>
        </is>
      </c>
      <c r="D246" s="6" t="inlineStr">
        <is>
          <t>V</t>
        </is>
      </c>
      <c r="E246" s="6" t="inlineStr">
        <is>
          <t>V</t>
        </is>
      </c>
      <c r="F246" s="6" t="inlineStr">
        <is>
          <t>-</t>
        </is>
      </c>
      <c r="G246" s="7" t="n">
        <v>214.177261352539</v>
      </c>
      <c r="H246" s="6">
        <f>P215</f>
        <v/>
      </c>
      <c r="I246" s="9">
        <f>Q215</f>
        <v/>
      </c>
      <c r="J246" s="7">
        <f>I246*G246</f>
        <v/>
      </c>
      <c r="K246" s="8">
        <f>IF($J$249=0,0,J246/$J$249)</f>
        <v/>
      </c>
      <c r="L246" s="6" t="inlineStr">
        <is>
          <t>REJECTED</t>
        </is>
      </c>
      <c r="M246" s="8" t="n">
        <v>0</v>
      </c>
      <c r="N246" s="7">
        <f>M246*$J$249-J246</f>
        <v/>
      </c>
      <c r="O246" s="9">
        <f>IF(G246=0,0,N246/G246)</f>
        <v/>
      </c>
      <c r="P246" s="6">
        <f>IF(M246&gt;0,D246,"")</f>
        <v/>
      </c>
      <c r="Q246" s="9">
        <f>I246+O246</f>
        <v/>
      </c>
      <c r="R246" s="7">
        <f>Q246*G246</f>
        <v/>
      </c>
      <c r="S246" s="8">
        <f>IF($R$249=0,0,R246/$R$249)</f>
        <v/>
      </c>
      <c r="T246" s="8" t="n">
        <v>0</v>
      </c>
      <c r="U246" s="8" t="n">
        <v>-0.03006271698327312</v>
      </c>
      <c r="V246" s="6" t="inlineStr">
        <is>
          <t>not selected</t>
        </is>
      </c>
    </row>
    <row r="247">
      <c r="A247" s="6" t="inlineStr">
        <is>
          <t>DJ30</t>
        </is>
      </c>
      <c r="B247" s="6" t="inlineStr">
        <is>
          <t>2023-02-24</t>
        </is>
      </c>
      <c r="C247" s="6" t="inlineStr">
        <is>
          <t>DIA</t>
        </is>
      </c>
      <c r="D247" s="6" t="inlineStr">
        <is>
          <t>VZ</t>
        </is>
      </c>
      <c r="E247" s="6" t="inlineStr">
        <is>
          <t>VZ</t>
        </is>
      </c>
      <c r="F247" s="6" t="inlineStr">
        <is>
          <t>-</t>
        </is>
      </c>
      <c r="G247" s="7" t="n">
        <v>31.13626670837402</v>
      </c>
      <c r="H247" s="6">
        <f>P216</f>
        <v/>
      </c>
      <c r="I247" s="9">
        <f>Q216</f>
        <v/>
      </c>
      <c r="J247" s="7">
        <f>I247*G247</f>
        <v/>
      </c>
      <c r="K247" s="8">
        <f>IF($J$249=0,0,J247/$J$249)</f>
        <v/>
      </c>
      <c r="L247" s="6" t="inlineStr">
        <is>
          <t>REJECTED</t>
        </is>
      </c>
      <c r="M247" s="8" t="n">
        <v>0</v>
      </c>
      <c r="N247" s="7">
        <f>M247*$J$249-J247</f>
        <v/>
      </c>
      <c r="O247" s="9">
        <f>IF(G247=0,0,N247/G247)</f>
        <v/>
      </c>
      <c r="P247" s="6">
        <f>IF(M247&gt;0,D247,"")</f>
        <v/>
      </c>
      <c r="Q247" s="9">
        <f>I247+O247</f>
        <v/>
      </c>
      <c r="R247" s="7">
        <f>Q247*G247</f>
        <v/>
      </c>
      <c r="S247" s="8">
        <f>IF($R$249=0,0,R247/$R$249)</f>
        <v/>
      </c>
      <c r="T247" s="8" t="n">
        <v>0</v>
      </c>
      <c r="U247" s="8" t="n">
        <v>-0.03006271698327312</v>
      </c>
      <c r="V247" s="6" t="inlineStr">
        <is>
          <t>not selected</t>
        </is>
      </c>
    </row>
    <row r="248">
      <c r="A248" s="6" t="inlineStr">
        <is>
          <t>DJ30</t>
        </is>
      </c>
      <c r="B248" s="6" t="inlineStr">
        <is>
          <t>2023-02-24</t>
        </is>
      </c>
      <c r="C248" s="6" t="inlineStr">
        <is>
          <t>DIA</t>
        </is>
      </c>
      <c r="D248" s="6" t="inlineStr">
        <is>
          <t>WMT</t>
        </is>
      </c>
      <c r="E248" s="6" t="inlineStr">
        <is>
          <t>WMT</t>
        </is>
      </c>
      <c r="F248" s="6" t="inlineStr">
        <is>
          <t>-</t>
        </is>
      </c>
      <c r="G248" s="7" t="n">
        <v>45.60344314575195</v>
      </c>
      <c r="H248" s="6">
        <f>P217</f>
        <v/>
      </c>
      <c r="I248" s="9">
        <f>Q217</f>
        <v/>
      </c>
      <c r="J248" s="7">
        <f>I248*G248</f>
        <v/>
      </c>
      <c r="K248" s="8">
        <f>IF($J$249=0,0,J248/$J$249)</f>
        <v/>
      </c>
      <c r="L248" s="6" t="inlineStr">
        <is>
          <t>REJECTED</t>
        </is>
      </c>
      <c r="M248" s="8" t="n">
        <v>0</v>
      </c>
      <c r="N248" s="7">
        <f>M248*$J$249-J248</f>
        <v/>
      </c>
      <c r="O248" s="9">
        <f>IF(G248=0,0,N248/G248)</f>
        <v/>
      </c>
      <c r="P248" s="6">
        <f>IF(M248&gt;0,D248,"")</f>
        <v/>
      </c>
      <c r="Q248" s="9">
        <f>I248+O248</f>
        <v/>
      </c>
      <c r="R248" s="7">
        <f>Q248*G248</f>
        <v/>
      </c>
      <c r="S248" s="8">
        <f>IF($R$249=0,0,R248/$R$249)</f>
        <v/>
      </c>
      <c r="T248" s="8" t="n">
        <v>0</v>
      </c>
      <c r="U248" s="8" t="n">
        <v>-0.03006271698327312</v>
      </c>
      <c r="V248" s="6" t="inlineStr">
        <is>
          <t>not selected</t>
        </is>
      </c>
    </row>
    <row r="249">
      <c r="A249" s="10" t="inlineStr">
        <is>
          <t>DJ30</t>
        </is>
      </c>
      <c r="B249" s="10" t="inlineStr">
        <is>
          <t>2023-02-24</t>
        </is>
      </c>
      <c r="C249" s="10" t="inlineStr">
        <is>
          <t>DIA</t>
        </is>
      </c>
      <c r="D249" s="10" t="inlineStr">
        <is>
          <t>Tot Portfolio</t>
        </is>
      </c>
      <c r="E249" s="10" t="inlineStr"/>
      <c r="F249" s="10" t="inlineStr"/>
      <c r="G249" s="11" t="inlineStr"/>
      <c r="H249" s="10" t="inlineStr"/>
      <c r="I249" s="12" t="inlineStr"/>
      <c r="J249" s="11">
        <f>SUM(J219:J248)</f>
        <v/>
      </c>
      <c r="K249" s="13">
        <f>SUM(K219:K248)</f>
        <v/>
      </c>
      <c r="L249" s="10" t="inlineStr">
        <is>
          <t>TOTAL</t>
        </is>
      </c>
      <c r="M249" s="13">
        <f>SUM(M219:M248)</f>
        <v/>
      </c>
      <c r="N249" s="11">
        <f>SUM(N219:N248)</f>
        <v/>
      </c>
      <c r="O249" s="12">
        <f>SUM(O219:O248)</f>
        <v/>
      </c>
      <c r="P249" s="10" t="inlineStr"/>
      <c r="Q249" s="12" t="inlineStr"/>
      <c r="R249" s="11">
        <f>SUM(R219:R248)</f>
        <v/>
      </c>
      <c r="S249" s="13">
        <f>SUM(S219:S248)</f>
        <v/>
      </c>
      <c r="T249" s="13" t="n">
        <v>0</v>
      </c>
      <c r="U249" s="13" t="n">
        <v>-0.03006271698327312</v>
      </c>
      <c r="V249" s="10" t="inlineStr"/>
    </row>
    <row r="250">
      <c r="A250" s="6" t="inlineStr">
        <is>
          <t>DJ30</t>
        </is>
      </c>
      <c r="B250" s="6" t="inlineStr">
        <is>
          <t>2023-03-03</t>
        </is>
      </c>
      <c r="C250" s="6" t="inlineStr">
        <is>
          <t>DIA</t>
        </is>
      </c>
      <c r="D250" s="6" t="inlineStr">
        <is>
          <t>AAPL</t>
        </is>
      </c>
      <c r="E250" s="6" t="inlineStr">
        <is>
          <t>AAPL</t>
        </is>
      </c>
      <c r="F250" s="6" t="inlineStr">
        <is>
          <t>-</t>
        </is>
      </c>
      <c r="G250" s="7" t="n">
        <v>148.7362213134766</v>
      </c>
      <c r="H250" s="6">
        <f>P219</f>
        <v/>
      </c>
      <c r="I250" s="9">
        <f>Q219</f>
        <v/>
      </c>
      <c r="J250" s="7">
        <f>I250*G250</f>
        <v/>
      </c>
      <c r="K250" s="8">
        <f>IF($J$280=0,0,J250/$J$280)</f>
        <v/>
      </c>
      <c r="L250" s="6" t="inlineStr">
        <is>
          <t>REJECTED</t>
        </is>
      </c>
      <c r="M250" s="8" t="n">
        <v>0</v>
      </c>
      <c r="N250" s="7">
        <f>M250*$J$280-J250</f>
        <v/>
      </c>
      <c r="O250" s="9">
        <f>IF(G250=0,0,N250/G250)</f>
        <v/>
      </c>
      <c r="P250" s="6">
        <f>IF(M250&gt;0,D250,"")</f>
        <v/>
      </c>
      <c r="Q250" s="9">
        <f>I250+O250</f>
        <v/>
      </c>
      <c r="R250" s="7">
        <f>Q250*G250</f>
        <v/>
      </c>
      <c r="S250" s="8">
        <f>IF($R$280=0,0,R250/$R$280)</f>
        <v/>
      </c>
      <c r="T250" s="8" t="n">
        <v>0</v>
      </c>
      <c r="U250" s="8" t="n">
        <v>0.01855982772071263</v>
      </c>
      <c r="V250" s="6" t="inlineStr">
        <is>
          <t>not selected</t>
        </is>
      </c>
    </row>
    <row r="251">
      <c r="A251" s="6" t="inlineStr">
        <is>
          <t>DJ30</t>
        </is>
      </c>
      <c r="B251" s="6" t="inlineStr">
        <is>
          <t>2023-03-03</t>
        </is>
      </c>
      <c r="C251" s="6" t="inlineStr">
        <is>
          <t>DIA</t>
        </is>
      </c>
      <c r="D251" s="6" t="inlineStr">
        <is>
          <t>AMGN</t>
        </is>
      </c>
      <c r="E251" s="6" t="inlineStr">
        <is>
          <t>AMGN</t>
        </is>
      </c>
      <c r="F251" s="6" t="inlineStr">
        <is>
          <t>-</t>
        </is>
      </c>
      <c r="G251" s="7" t="n">
        <v>212.1419525146484</v>
      </c>
      <c r="H251" s="6">
        <f>P220</f>
        <v/>
      </c>
      <c r="I251" s="9">
        <f>Q220</f>
        <v/>
      </c>
      <c r="J251" s="7">
        <f>I251*G251</f>
        <v/>
      </c>
      <c r="K251" s="8">
        <f>IF($J$280=0,0,J251/$J$280)</f>
        <v/>
      </c>
      <c r="L251" s="6" t="inlineStr">
        <is>
          <t>REJECTED</t>
        </is>
      </c>
      <c r="M251" s="8" t="n">
        <v>0</v>
      </c>
      <c r="N251" s="7">
        <f>M251*$J$280-J251</f>
        <v/>
      </c>
      <c r="O251" s="9">
        <f>IF(G251=0,0,N251/G251)</f>
        <v/>
      </c>
      <c r="P251" s="6">
        <f>IF(M251&gt;0,D251,"")</f>
        <v/>
      </c>
      <c r="Q251" s="9">
        <f>I251+O251</f>
        <v/>
      </c>
      <c r="R251" s="7">
        <f>Q251*G251</f>
        <v/>
      </c>
      <c r="S251" s="8">
        <f>IF($R$280=0,0,R251/$R$280)</f>
        <v/>
      </c>
      <c r="T251" s="8" t="n">
        <v>0</v>
      </c>
      <c r="U251" s="8" t="n">
        <v>0.01855982772071263</v>
      </c>
      <c r="V251" s="6" t="inlineStr">
        <is>
          <t>not selected</t>
        </is>
      </c>
    </row>
    <row r="252">
      <c r="A252" s="6" t="inlineStr">
        <is>
          <t>DJ30</t>
        </is>
      </c>
      <c r="B252" s="6" t="inlineStr">
        <is>
          <t>2023-03-03</t>
        </is>
      </c>
      <c r="C252" s="6" t="inlineStr">
        <is>
          <t>DIA</t>
        </is>
      </c>
      <c r="D252" s="6" t="inlineStr">
        <is>
          <t>AMZN</t>
        </is>
      </c>
      <c r="E252" s="6" t="inlineStr">
        <is>
          <t>AMZN</t>
        </is>
      </c>
      <c r="F252" s="6" t="inlineStr">
        <is>
          <t>-</t>
        </is>
      </c>
      <c r="G252" s="7" t="n">
        <v>94.90000152587891</v>
      </c>
      <c r="H252" s="6">
        <f>P221</f>
        <v/>
      </c>
      <c r="I252" s="9">
        <f>Q221</f>
        <v/>
      </c>
      <c r="J252" s="7">
        <f>I252*G252</f>
        <v/>
      </c>
      <c r="K252" s="8">
        <f>IF($J$280=0,0,J252/$J$280)</f>
        <v/>
      </c>
      <c r="L252" s="6" t="inlineStr">
        <is>
          <t>REJECTED</t>
        </is>
      </c>
      <c r="M252" s="8" t="n">
        <v>0</v>
      </c>
      <c r="N252" s="7">
        <f>M252*$J$280-J252</f>
        <v/>
      </c>
      <c r="O252" s="9">
        <f>IF(G252=0,0,N252/G252)</f>
        <v/>
      </c>
      <c r="P252" s="6">
        <f>IF(M252&gt;0,D252,"")</f>
        <v/>
      </c>
      <c r="Q252" s="9">
        <f>I252+O252</f>
        <v/>
      </c>
      <c r="R252" s="7">
        <f>Q252*G252</f>
        <v/>
      </c>
      <c r="S252" s="8">
        <f>IF($R$280=0,0,R252/$R$280)</f>
        <v/>
      </c>
      <c r="T252" s="8" t="n">
        <v>0</v>
      </c>
      <c r="U252" s="8" t="n">
        <v>0.01855982772071263</v>
      </c>
      <c r="V252" s="6" t="inlineStr">
        <is>
          <t>not selected</t>
        </is>
      </c>
    </row>
    <row r="253">
      <c r="A253" s="6" t="inlineStr">
        <is>
          <t>DJ30</t>
        </is>
      </c>
      <c r="B253" s="6" t="inlineStr">
        <is>
          <t>2023-03-03</t>
        </is>
      </c>
      <c r="C253" s="6" t="inlineStr">
        <is>
          <t>DIA</t>
        </is>
      </c>
      <c r="D253" s="6" t="inlineStr">
        <is>
          <t>AXP</t>
        </is>
      </c>
      <c r="E253" s="6" t="inlineStr">
        <is>
          <t>AXP</t>
        </is>
      </c>
      <c r="F253" s="6" t="inlineStr">
        <is>
          <t>-</t>
        </is>
      </c>
      <c r="G253" s="7" t="n">
        <v>172.2030181884766</v>
      </c>
      <c r="H253" s="6">
        <f>P222</f>
        <v/>
      </c>
      <c r="I253" s="9">
        <f>Q222</f>
        <v/>
      </c>
      <c r="J253" s="7">
        <f>I253*G253</f>
        <v/>
      </c>
      <c r="K253" s="8">
        <f>IF($J$280=0,0,J253/$J$280)</f>
        <v/>
      </c>
      <c r="L253" s="6" t="inlineStr">
        <is>
          <t>REJECTED</t>
        </is>
      </c>
      <c r="M253" s="8" t="n">
        <v>0</v>
      </c>
      <c r="N253" s="7">
        <f>M253*$J$280-J253</f>
        <v/>
      </c>
      <c r="O253" s="9">
        <f>IF(G253=0,0,N253/G253)</f>
        <v/>
      </c>
      <c r="P253" s="6">
        <f>IF(M253&gt;0,D253,"")</f>
        <v/>
      </c>
      <c r="Q253" s="9">
        <f>I253+O253</f>
        <v/>
      </c>
      <c r="R253" s="7">
        <f>Q253*G253</f>
        <v/>
      </c>
      <c r="S253" s="8">
        <f>IF($R$280=0,0,R253/$R$280)</f>
        <v/>
      </c>
      <c r="T253" s="8" t="n">
        <v>0</v>
      </c>
      <c r="U253" s="8" t="n">
        <v>0.01855982772071263</v>
      </c>
      <c r="V253" s="6" t="inlineStr">
        <is>
          <t>not selected</t>
        </is>
      </c>
    </row>
    <row r="254">
      <c r="A254" s="6" t="inlineStr">
        <is>
          <t>DJ30</t>
        </is>
      </c>
      <c r="B254" s="6" t="inlineStr">
        <is>
          <t>2023-03-03</t>
        </is>
      </c>
      <c r="C254" s="6" t="inlineStr">
        <is>
          <t>DIA</t>
        </is>
      </c>
      <c r="D254" s="6" t="inlineStr">
        <is>
          <t>BA</t>
        </is>
      </c>
      <c r="E254" s="6" t="inlineStr">
        <is>
          <t>BA</t>
        </is>
      </c>
      <c r="F254" s="6" t="inlineStr">
        <is>
          <t>-</t>
        </is>
      </c>
      <c r="G254" s="7" t="n">
        <v>215.1100006103516</v>
      </c>
      <c r="H254" s="6">
        <f>P223</f>
        <v/>
      </c>
      <c r="I254" s="9">
        <f>Q223</f>
        <v/>
      </c>
      <c r="J254" s="7">
        <f>I254*G254</f>
        <v/>
      </c>
      <c r="K254" s="8">
        <f>IF($J$280=0,0,J254/$J$280)</f>
        <v/>
      </c>
      <c r="L254" s="6" t="inlineStr">
        <is>
          <t>REJECTED</t>
        </is>
      </c>
      <c r="M254" s="8" t="n">
        <v>0</v>
      </c>
      <c r="N254" s="7">
        <f>M254*$J$280-J254</f>
        <v/>
      </c>
      <c r="O254" s="9">
        <f>IF(G254=0,0,N254/G254)</f>
        <v/>
      </c>
      <c r="P254" s="6">
        <f>IF(M254&gt;0,D254,"")</f>
        <v/>
      </c>
      <c r="Q254" s="9">
        <f>I254+O254</f>
        <v/>
      </c>
      <c r="R254" s="7">
        <f>Q254*G254</f>
        <v/>
      </c>
      <c r="S254" s="8">
        <f>IF($R$280=0,0,R254/$R$280)</f>
        <v/>
      </c>
      <c r="T254" s="8" t="n">
        <v>0</v>
      </c>
      <c r="U254" s="8" t="n">
        <v>0.01855982772071263</v>
      </c>
      <c r="V254" s="6" t="inlineStr">
        <is>
          <t>not selected</t>
        </is>
      </c>
    </row>
    <row r="255">
      <c r="A255" s="6" t="inlineStr">
        <is>
          <t>DJ30</t>
        </is>
      </c>
      <c r="B255" s="6" t="inlineStr">
        <is>
          <t>2023-03-03</t>
        </is>
      </c>
      <c r="C255" s="6" t="inlineStr">
        <is>
          <t>DIA</t>
        </is>
      </c>
      <c r="D255" s="6" t="inlineStr">
        <is>
          <t>CAT</t>
        </is>
      </c>
      <c r="E255" s="6" t="inlineStr">
        <is>
          <t>CAT</t>
        </is>
      </c>
      <c r="F255" s="6" t="inlineStr">
        <is>
          <t>-</t>
        </is>
      </c>
      <c r="G255" s="7" t="n">
        <v>242.7015686035156</v>
      </c>
      <c r="H255" s="6">
        <f>P224</f>
        <v/>
      </c>
      <c r="I255" s="9">
        <f>Q224</f>
        <v/>
      </c>
      <c r="J255" s="7">
        <f>I255*G255</f>
        <v/>
      </c>
      <c r="K255" s="8">
        <f>IF($J$280=0,0,J255/$J$280)</f>
        <v/>
      </c>
      <c r="L255" s="6" t="inlineStr">
        <is>
          <t>REJECTED</t>
        </is>
      </c>
      <c r="M255" s="8" t="n">
        <v>0</v>
      </c>
      <c r="N255" s="7">
        <f>M255*$J$280-J255</f>
        <v/>
      </c>
      <c r="O255" s="9">
        <f>IF(G255=0,0,N255/G255)</f>
        <v/>
      </c>
      <c r="P255" s="6">
        <f>IF(M255&gt;0,D255,"")</f>
        <v/>
      </c>
      <c r="Q255" s="9">
        <f>I255+O255</f>
        <v/>
      </c>
      <c r="R255" s="7">
        <f>Q255*G255</f>
        <v/>
      </c>
      <c r="S255" s="8">
        <f>IF($R$280=0,0,R255/$R$280)</f>
        <v/>
      </c>
      <c r="T255" s="8" t="n">
        <v>0</v>
      </c>
      <c r="U255" s="8" t="n">
        <v>0.01855982772071263</v>
      </c>
      <c r="V255" s="6" t="inlineStr">
        <is>
          <t>not selected</t>
        </is>
      </c>
    </row>
    <row r="256">
      <c r="A256" s="6" t="inlineStr">
        <is>
          <t>DJ30</t>
        </is>
      </c>
      <c r="B256" s="6" t="inlineStr">
        <is>
          <t>2023-03-03</t>
        </is>
      </c>
      <c r="C256" s="6" t="inlineStr">
        <is>
          <t>DIA</t>
        </is>
      </c>
      <c r="D256" s="6" t="inlineStr">
        <is>
          <t>CRM</t>
        </is>
      </c>
      <c r="E256" s="6" t="inlineStr">
        <is>
          <t>CRM</t>
        </is>
      </c>
      <c r="F256" s="6" t="inlineStr">
        <is>
          <t>-</t>
        </is>
      </c>
      <c r="G256" s="7" t="n">
        <v>183.2594909667969</v>
      </c>
      <c r="H256" s="6">
        <f>P225</f>
        <v/>
      </c>
      <c r="I256" s="9">
        <f>Q225</f>
        <v/>
      </c>
      <c r="J256" s="7">
        <f>I256*G256</f>
        <v/>
      </c>
      <c r="K256" s="8">
        <f>IF($J$280=0,0,J256/$J$280)</f>
        <v/>
      </c>
      <c r="L256" s="6" t="inlineStr">
        <is>
          <t>REJECTED</t>
        </is>
      </c>
      <c r="M256" s="8" t="n">
        <v>0</v>
      </c>
      <c r="N256" s="7">
        <f>M256*$J$280-J256</f>
        <v/>
      </c>
      <c r="O256" s="9">
        <f>IF(G256=0,0,N256/G256)</f>
        <v/>
      </c>
      <c r="P256" s="6">
        <f>IF(M256&gt;0,D256,"")</f>
        <v/>
      </c>
      <c r="Q256" s="9">
        <f>I256+O256</f>
        <v/>
      </c>
      <c r="R256" s="7">
        <f>Q256*G256</f>
        <v/>
      </c>
      <c r="S256" s="8">
        <f>IF($R$280=0,0,R256/$R$280)</f>
        <v/>
      </c>
      <c r="T256" s="8" t="n">
        <v>0</v>
      </c>
      <c r="U256" s="8" t="n">
        <v>0.01855982772071263</v>
      </c>
      <c r="V256" s="6" t="inlineStr">
        <is>
          <t>not selected</t>
        </is>
      </c>
    </row>
    <row r="257">
      <c r="A257" s="6" t="inlineStr">
        <is>
          <t>DJ30</t>
        </is>
      </c>
      <c r="B257" s="6" t="inlineStr">
        <is>
          <t>2023-03-03</t>
        </is>
      </c>
      <c r="C257" s="6" t="inlineStr">
        <is>
          <t>DIA</t>
        </is>
      </c>
      <c r="D257" s="6" t="inlineStr">
        <is>
          <t>CSCO</t>
        </is>
      </c>
      <c r="E257" s="6" t="inlineStr">
        <is>
          <t>CSCO</t>
        </is>
      </c>
      <c r="F257" s="6" t="inlineStr">
        <is>
          <t>-</t>
        </is>
      </c>
      <c r="G257" s="7" t="n">
        <v>45.0174560546875</v>
      </c>
      <c r="H257" s="6">
        <f>P226</f>
        <v/>
      </c>
      <c r="I257" s="9">
        <f>Q226</f>
        <v/>
      </c>
      <c r="J257" s="7">
        <f>I257*G257</f>
        <v/>
      </c>
      <c r="K257" s="8">
        <f>IF($J$280=0,0,J257/$J$280)</f>
        <v/>
      </c>
      <c r="L257" s="6" t="inlineStr">
        <is>
          <t>REJECTED</t>
        </is>
      </c>
      <c r="M257" s="8" t="n">
        <v>0</v>
      </c>
      <c r="N257" s="7">
        <f>M257*$J$280-J257</f>
        <v/>
      </c>
      <c r="O257" s="9">
        <f>IF(G257=0,0,N257/G257)</f>
        <v/>
      </c>
      <c r="P257" s="6">
        <f>IF(M257&gt;0,D257,"")</f>
        <v/>
      </c>
      <c r="Q257" s="9">
        <f>I257+O257</f>
        <v/>
      </c>
      <c r="R257" s="7">
        <f>Q257*G257</f>
        <v/>
      </c>
      <c r="S257" s="8">
        <f>IF($R$280=0,0,R257/$R$280)</f>
        <v/>
      </c>
      <c r="T257" s="8" t="n">
        <v>0</v>
      </c>
      <c r="U257" s="8" t="n">
        <v>0.01855982772071263</v>
      </c>
      <c r="V257" s="6" t="inlineStr">
        <is>
          <t>not selected</t>
        </is>
      </c>
    </row>
    <row r="258">
      <c r="A258" s="6" t="inlineStr">
        <is>
          <t>DJ30</t>
        </is>
      </c>
      <c r="B258" s="6" t="inlineStr">
        <is>
          <t>2023-03-03</t>
        </is>
      </c>
      <c r="C258" s="6" t="inlineStr">
        <is>
          <t>DIA</t>
        </is>
      </c>
      <c r="D258" s="6" t="inlineStr">
        <is>
          <t>CVX</t>
        </is>
      </c>
      <c r="E258" s="6" t="inlineStr">
        <is>
          <t>CVX</t>
        </is>
      </c>
      <c r="F258" s="6" t="inlineStr">
        <is>
          <t>-</t>
        </is>
      </c>
      <c r="G258" s="7" t="n">
        <v>143.97216796875</v>
      </c>
      <c r="H258" s="6">
        <f>P227</f>
        <v/>
      </c>
      <c r="I258" s="9">
        <f>Q227</f>
        <v/>
      </c>
      <c r="J258" s="7">
        <f>I258*G258</f>
        <v/>
      </c>
      <c r="K258" s="8">
        <f>IF($J$280=0,0,J258/$J$280)</f>
        <v/>
      </c>
      <c r="L258" s="6" t="inlineStr">
        <is>
          <t>REJECTED</t>
        </is>
      </c>
      <c r="M258" s="8" t="n">
        <v>0</v>
      </c>
      <c r="N258" s="7">
        <f>M258*$J$280-J258</f>
        <v/>
      </c>
      <c r="O258" s="9">
        <f>IF(G258=0,0,N258/G258)</f>
        <v/>
      </c>
      <c r="P258" s="6">
        <f>IF(M258&gt;0,D258,"")</f>
        <v/>
      </c>
      <c r="Q258" s="9">
        <f>I258+O258</f>
        <v/>
      </c>
      <c r="R258" s="7">
        <f>Q258*G258</f>
        <v/>
      </c>
      <c r="S258" s="8">
        <f>IF($R$280=0,0,R258/$R$280)</f>
        <v/>
      </c>
      <c r="T258" s="8" t="n">
        <v>0</v>
      </c>
      <c r="U258" s="8" t="n">
        <v>0.01855982772071263</v>
      </c>
      <c r="V258" s="6" t="inlineStr">
        <is>
          <t>not selected</t>
        </is>
      </c>
    </row>
    <row r="259">
      <c r="A259" s="6" t="inlineStr">
        <is>
          <t>DJ30</t>
        </is>
      </c>
      <c r="B259" s="6" t="inlineStr">
        <is>
          <t>2023-03-03</t>
        </is>
      </c>
      <c r="C259" s="6" t="inlineStr">
        <is>
          <t>DIA</t>
        </is>
      </c>
      <c r="D259" s="6" t="inlineStr">
        <is>
          <t>DIS</t>
        </is>
      </c>
      <c r="E259" s="6" t="inlineStr">
        <is>
          <t>DIS</t>
        </is>
      </c>
      <c r="F259" s="6" t="inlineStr">
        <is>
          <t>-</t>
        </is>
      </c>
      <c r="G259" s="7" t="n">
        <v>98.81301116943359</v>
      </c>
      <c r="H259" s="6">
        <f>P228</f>
        <v/>
      </c>
      <c r="I259" s="9">
        <f>Q228</f>
        <v/>
      </c>
      <c r="J259" s="7">
        <f>I259*G259</f>
        <v/>
      </c>
      <c r="K259" s="8">
        <f>IF($J$280=0,0,J259/$J$280)</f>
        <v/>
      </c>
      <c r="L259" s="6" t="inlineStr">
        <is>
          <t>REJECTED</t>
        </is>
      </c>
      <c r="M259" s="8" t="n">
        <v>0</v>
      </c>
      <c r="N259" s="7">
        <f>M259*$J$280-J259</f>
        <v/>
      </c>
      <c r="O259" s="9">
        <f>IF(G259=0,0,N259/G259)</f>
        <v/>
      </c>
      <c r="P259" s="6">
        <f>IF(M259&gt;0,D259,"")</f>
        <v/>
      </c>
      <c r="Q259" s="9">
        <f>I259+O259</f>
        <v/>
      </c>
      <c r="R259" s="7">
        <f>Q259*G259</f>
        <v/>
      </c>
      <c r="S259" s="8">
        <f>IF($R$280=0,0,R259/$R$280)</f>
        <v/>
      </c>
      <c r="T259" s="8" t="n">
        <v>0</v>
      </c>
      <c r="U259" s="8" t="n">
        <v>0.01855982772071263</v>
      </c>
      <c r="V259" s="6" t="inlineStr">
        <is>
          <t>not selected</t>
        </is>
      </c>
    </row>
    <row r="260">
      <c r="A260" s="6" t="inlineStr">
        <is>
          <t>DJ30</t>
        </is>
      </c>
      <c r="B260" s="6" t="inlineStr">
        <is>
          <t>2023-03-03</t>
        </is>
      </c>
      <c r="C260" s="6" t="inlineStr">
        <is>
          <t>DIA</t>
        </is>
      </c>
      <c r="D260" s="6" t="inlineStr">
        <is>
          <t>GS</t>
        </is>
      </c>
      <c r="E260" s="6" t="inlineStr">
        <is>
          <t>GS</t>
        </is>
      </c>
      <c r="F260" s="6" t="inlineStr">
        <is>
          <t>-</t>
        </is>
      </c>
      <c r="G260" s="7" t="n">
        <v>330.3445434570312</v>
      </c>
      <c r="H260" s="6">
        <f>P229</f>
        <v/>
      </c>
      <c r="I260" s="9">
        <f>Q229</f>
        <v/>
      </c>
      <c r="J260" s="7">
        <f>I260*G260</f>
        <v/>
      </c>
      <c r="K260" s="8">
        <f>IF($J$280=0,0,J260/$J$280)</f>
        <v/>
      </c>
      <c r="L260" s="6" t="inlineStr">
        <is>
          <t>REJECTED</t>
        </is>
      </c>
      <c r="M260" s="8" t="n">
        <v>0</v>
      </c>
      <c r="N260" s="7">
        <f>M260*$J$280-J260</f>
        <v/>
      </c>
      <c r="O260" s="9">
        <f>IF(G260=0,0,N260/G260)</f>
        <v/>
      </c>
      <c r="P260" s="6">
        <f>IF(M260&gt;0,D260,"")</f>
        <v/>
      </c>
      <c r="Q260" s="9">
        <f>I260+O260</f>
        <v/>
      </c>
      <c r="R260" s="7">
        <f>Q260*G260</f>
        <v/>
      </c>
      <c r="S260" s="8">
        <f>IF($R$280=0,0,R260/$R$280)</f>
        <v/>
      </c>
      <c r="T260" s="8" t="n">
        <v>0</v>
      </c>
      <c r="U260" s="8" t="n">
        <v>0.01855982772071263</v>
      </c>
      <c r="V260" s="6" t="inlineStr">
        <is>
          <t>not selected</t>
        </is>
      </c>
    </row>
    <row r="261">
      <c r="A261" s="6" t="inlineStr">
        <is>
          <t>DJ30</t>
        </is>
      </c>
      <c r="B261" s="6" t="inlineStr">
        <is>
          <t>2023-03-03</t>
        </is>
      </c>
      <c r="C261" s="6" t="inlineStr">
        <is>
          <t>DIA</t>
        </is>
      </c>
      <c r="D261" s="6" t="inlineStr">
        <is>
          <t>HD</t>
        </is>
      </c>
      <c r="E261" s="6" t="inlineStr">
        <is>
          <t>HD</t>
        </is>
      </c>
      <c r="F261" s="6" t="inlineStr">
        <is>
          <t>-</t>
        </is>
      </c>
      <c r="G261" s="7" t="n">
        <v>272.65185546875</v>
      </c>
      <c r="H261" s="6">
        <f>P230</f>
        <v/>
      </c>
      <c r="I261" s="9">
        <f>Q230</f>
        <v/>
      </c>
      <c r="J261" s="7">
        <f>I261*G261</f>
        <v/>
      </c>
      <c r="K261" s="8">
        <f>IF($J$280=0,0,J261/$J$280)</f>
        <v/>
      </c>
      <c r="L261" s="6" t="inlineStr">
        <is>
          <t>REJECTED</t>
        </is>
      </c>
      <c r="M261" s="8" t="n">
        <v>0</v>
      </c>
      <c r="N261" s="7">
        <f>M261*$J$280-J261</f>
        <v/>
      </c>
      <c r="O261" s="9">
        <f>IF(G261=0,0,N261/G261)</f>
        <v/>
      </c>
      <c r="P261" s="6">
        <f>IF(M261&gt;0,D261,"")</f>
        <v/>
      </c>
      <c r="Q261" s="9">
        <f>I261+O261</f>
        <v/>
      </c>
      <c r="R261" s="7">
        <f>Q261*G261</f>
        <v/>
      </c>
      <c r="S261" s="8">
        <f>IF($R$280=0,0,R261/$R$280)</f>
        <v/>
      </c>
      <c r="T261" s="8" t="n">
        <v>0</v>
      </c>
      <c r="U261" s="8" t="n">
        <v>0.01855982772071263</v>
      </c>
      <c r="V261" s="6" t="inlineStr">
        <is>
          <t>not selected</t>
        </is>
      </c>
    </row>
    <row r="262">
      <c r="A262" s="6" t="inlineStr">
        <is>
          <t>DJ30</t>
        </is>
      </c>
      <c r="B262" s="6" t="inlineStr">
        <is>
          <t>2023-03-03</t>
        </is>
      </c>
      <c r="C262" s="6" t="inlineStr">
        <is>
          <t>DIA</t>
        </is>
      </c>
      <c r="D262" s="6" t="inlineStr">
        <is>
          <t>HON</t>
        </is>
      </c>
      <c r="E262" s="6" t="inlineStr">
        <is>
          <t>HON</t>
        </is>
      </c>
      <c r="F262" s="6" t="inlineStr">
        <is>
          <t>-</t>
        </is>
      </c>
      <c r="G262" s="7" t="n">
        <v>173.0117034912109</v>
      </c>
      <c r="H262" s="6">
        <f>P231</f>
        <v/>
      </c>
      <c r="I262" s="9">
        <f>Q231</f>
        <v/>
      </c>
      <c r="J262" s="7">
        <f>I262*G262</f>
        <v/>
      </c>
      <c r="K262" s="8">
        <f>IF($J$280=0,0,J262/$J$280)</f>
        <v/>
      </c>
      <c r="L262" s="6" t="inlineStr">
        <is>
          <t>REJECTED</t>
        </is>
      </c>
      <c r="M262" s="8" t="n">
        <v>0</v>
      </c>
      <c r="N262" s="7">
        <f>M262*$J$280-J262</f>
        <v/>
      </c>
      <c r="O262" s="9">
        <f>IF(G262=0,0,N262/G262)</f>
        <v/>
      </c>
      <c r="P262" s="6">
        <f>IF(M262&gt;0,D262,"")</f>
        <v/>
      </c>
      <c r="Q262" s="9">
        <f>I262+O262</f>
        <v/>
      </c>
      <c r="R262" s="7">
        <f>Q262*G262</f>
        <v/>
      </c>
      <c r="S262" s="8">
        <f>IF($R$280=0,0,R262/$R$280)</f>
        <v/>
      </c>
      <c r="T262" s="8" t="n">
        <v>0</v>
      </c>
      <c r="U262" s="8" t="n">
        <v>0.01855982772071263</v>
      </c>
      <c r="V262" s="6" t="inlineStr">
        <is>
          <t>not selected</t>
        </is>
      </c>
    </row>
    <row r="263">
      <c r="A263" s="6" t="inlineStr">
        <is>
          <t>DJ30</t>
        </is>
      </c>
      <c r="B263" s="6" t="inlineStr">
        <is>
          <t>2023-03-03</t>
        </is>
      </c>
      <c r="C263" s="6" t="inlineStr">
        <is>
          <t>DIA</t>
        </is>
      </c>
      <c r="D263" s="6" t="inlineStr">
        <is>
          <t>IBM</t>
        </is>
      </c>
      <c r="E263" s="6" t="inlineStr">
        <is>
          <t>IBM</t>
        </is>
      </c>
      <c r="F263" s="6" t="inlineStr">
        <is>
          <t>-</t>
        </is>
      </c>
      <c r="G263" s="7" t="n">
        <v>116.1008071899414</v>
      </c>
      <c r="H263" s="6">
        <f>P232</f>
        <v/>
      </c>
      <c r="I263" s="9">
        <f>Q232</f>
        <v/>
      </c>
      <c r="J263" s="7">
        <f>I263*G263</f>
        <v/>
      </c>
      <c r="K263" s="8">
        <f>IF($J$280=0,0,J263/$J$280)</f>
        <v/>
      </c>
      <c r="L263" s="6" t="inlineStr">
        <is>
          <t>REJECTED</t>
        </is>
      </c>
      <c r="M263" s="8" t="n">
        <v>0</v>
      </c>
      <c r="N263" s="7">
        <f>M263*$J$280-J263</f>
        <v/>
      </c>
      <c r="O263" s="9">
        <f>IF(G263=0,0,N263/G263)</f>
        <v/>
      </c>
      <c r="P263" s="6">
        <f>IF(M263&gt;0,D263,"")</f>
        <v/>
      </c>
      <c r="Q263" s="9">
        <f>I263+O263</f>
        <v/>
      </c>
      <c r="R263" s="7">
        <f>Q263*G263</f>
        <v/>
      </c>
      <c r="S263" s="8">
        <f>IF($R$280=0,0,R263/$R$280)</f>
        <v/>
      </c>
      <c r="T263" s="8" t="n">
        <v>0</v>
      </c>
      <c r="U263" s="8" t="n">
        <v>0.01855982772071263</v>
      </c>
      <c r="V263" s="6" t="inlineStr">
        <is>
          <t>not selected</t>
        </is>
      </c>
    </row>
    <row r="264">
      <c r="A264" s="6" t="inlineStr">
        <is>
          <t>DJ30</t>
        </is>
      </c>
      <c r="B264" s="6" t="inlineStr">
        <is>
          <t>2023-03-03</t>
        </is>
      </c>
      <c r="C264" s="6" t="inlineStr">
        <is>
          <t>DIA</t>
        </is>
      </c>
      <c r="D264" s="6" t="inlineStr">
        <is>
          <t>JNJ</t>
        </is>
      </c>
      <c r="E264" s="6" t="inlineStr">
        <is>
          <t>JNJ</t>
        </is>
      </c>
      <c r="F264" s="6" t="inlineStr">
        <is>
          <t>-</t>
        </is>
      </c>
      <c r="G264" s="7" t="n">
        <v>140.0499267578125</v>
      </c>
      <c r="H264" s="6">
        <f>P233</f>
        <v/>
      </c>
      <c r="I264" s="9">
        <f>Q233</f>
        <v/>
      </c>
      <c r="J264" s="7">
        <f>I264*G264</f>
        <v/>
      </c>
      <c r="K264" s="8">
        <f>IF($J$280=0,0,J264/$J$280)</f>
        <v/>
      </c>
      <c r="L264" s="6" t="inlineStr">
        <is>
          <t>REJECTED</t>
        </is>
      </c>
      <c r="M264" s="8" t="n">
        <v>0</v>
      </c>
      <c r="N264" s="7">
        <f>M264*$J$280-J264</f>
        <v/>
      </c>
      <c r="O264" s="9">
        <f>IF(G264=0,0,N264/G264)</f>
        <v/>
      </c>
      <c r="P264" s="6">
        <f>IF(M264&gt;0,D264,"")</f>
        <v/>
      </c>
      <c r="Q264" s="9">
        <f>I264+O264</f>
        <v/>
      </c>
      <c r="R264" s="7">
        <f>Q264*G264</f>
        <v/>
      </c>
      <c r="S264" s="8">
        <f>IF($R$280=0,0,R264/$R$280)</f>
        <v/>
      </c>
      <c r="T264" s="8" t="n">
        <v>0</v>
      </c>
      <c r="U264" s="8" t="n">
        <v>0.01855982772071263</v>
      </c>
      <c r="V264" s="6" t="inlineStr">
        <is>
          <t>not selected</t>
        </is>
      </c>
    </row>
    <row r="265">
      <c r="A265" s="6" t="inlineStr">
        <is>
          <t>DJ30</t>
        </is>
      </c>
      <c r="B265" s="6" t="inlineStr">
        <is>
          <t>2023-03-03</t>
        </is>
      </c>
      <c r="C265" s="6" t="inlineStr">
        <is>
          <t>DIA</t>
        </is>
      </c>
      <c r="D265" s="6" t="inlineStr">
        <is>
          <t>JPM</t>
        </is>
      </c>
      <c r="E265" s="6" t="inlineStr">
        <is>
          <t>JPM</t>
        </is>
      </c>
      <c r="F265" s="6" t="inlineStr">
        <is>
          <t>-</t>
        </is>
      </c>
      <c r="G265" s="7" t="n">
        <v>133.1244201660156</v>
      </c>
      <c r="H265" s="6">
        <f>P234</f>
        <v/>
      </c>
      <c r="I265" s="9">
        <f>Q234</f>
        <v/>
      </c>
      <c r="J265" s="7">
        <f>I265*G265</f>
        <v/>
      </c>
      <c r="K265" s="8">
        <f>IF($J$280=0,0,J265/$J$280)</f>
        <v/>
      </c>
      <c r="L265" s="6" t="inlineStr">
        <is>
          <t>REJECTED</t>
        </is>
      </c>
      <c r="M265" s="8" t="n">
        <v>0</v>
      </c>
      <c r="N265" s="7">
        <f>M265*$J$280-J265</f>
        <v/>
      </c>
      <c r="O265" s="9">
        <f>IF(G265=0,0,N265/G265)</f>
        <v/>
      </c>
      <c r="P265" s="6">
        <f>IF(M265&gt;0,D265,"")</f>
        <v/>
      </c>
      <c r="Q265" s="9">
        <f>I265+O265</f>
        <v/>
      </c>
      <c r="R265" s="7">
        <f>Q265*G265</f>
        <v/>
      </c>
      <c r="S265" s="8">
        <f>IF($R$280=0,0,R265/$R$280)</f>
        <v/>
      </c>
      <c r="T265" s="8" t="n">
        <v>0</v>
      </c>
      <c r="U265" s="8" t="n">
        <v>0.01855982772071263</v>
      </c>
      <c r="V265" s="6" t="inlineStr">
        <is>
          <t>not selected</t>
        </is>
      </c>
    </row>
    <row r="266">
      <c r="A266" s="6" t="inlineStr">
        <is>
          <t>DJ30</t>
        </is>
      </c>
      <c r="B266" s="6" t="inlineStr">
        <is>
          <t>2023-03-03</t>
        </is>
      </c>
      <c r="C266" s="6" t="inlineStr">
        <is>
          <t>DIA</t>
        </is>
      </c>
      <c r="D266" s="6" t="inlineStr">
        <is>
          <t>KO</t>
        </is>
      </c>
      <c r="E266" s="6" t="inlineStr">
        <is>
          <t>KO</t>
        </is>
      </c>
      <c r="F266" s="6" t="inlineStr">
        <is>
          <t>-</t>
        </is>
      </c>
      <c r="G266" s="7" t="n">
        <v>53.59503555297852</v>
      </c>
      <c r="H266" s="6">
        <f>P235</f>
        <v/>
      </c>
      <c r="I266" s="9">
        <f>Q235</f>
        <v/>
      </c>
      <c r="J266" s="7">
        <f>I266*G266</f>
        <v/>
      </c>
      <c r="K266" s="8">
        <f>IF($J$280=0,0,J266/$J$280)</f>
        <v/>
      </c>
      <c r="L266" s="6" t="inlineStr">
        <is>
          <t>REJECTED</t>
        </is>
      </c>
      <c r="M266" s="8" t="n">
        <v>0</v>
      </c>
      <c r="N266" s="7">
        <f>M266*$J$280-J266</f>
        <v/>
      </c>
      <c r="O266" s="9">
        <f>IF(G266=0,0,N266/G266)</f>
        <v/>
      </c>
      <c r="P266" s="6">
        <f>IF(M266&gt;0,D266,"")</f>
        <v/>
      </c>
      <c r="Q266" s="9">
        <f>I266+O266</f>
        <v/>
      </c>
      <c r="R266" s="7">
        <f>Q266*G266</f>
        <v/>
      </c>
      <c r="S266" s="8">
        <f>IF($R$280=0,0,R266/$R$280)</f>
        <v/>
      </c>
      <c r="T266" s="8" t="n">
        <v>0</v>
      </c>
      <c r="U266" s="8" t="n">
        <v>0.01855982772071263</v>
      </c>
      <c r="V266" s="6" t="inlineStr">
        <is>
          <t>not selected</t>
        </is>
      </c>
    </row>
    <row r="267">
      <c r="A267" s="6" t="inlineStr">
        <is>
          <t>DJ30</t>
        </is>
      </c>
      <c r="B267" s="6" t="inlineStr">
        <is>
          <t>2023-03-03</t>
        </is>
      </c>
      <c r="C267" s="6" t="inlineStr">
        <is>
          <t>DIA</t>
        </is>
      </c>
      <c r="D267" s="6" t="inlineStr">
        <is>
          <t>MCD</t>
        </is>
      </c>
      <c r="E267" s="6" t="inlineStr">
        <is>
          <t>MCD</t>
        </is>
      </c>
      <c r="F267" s="6" t="inlineStr">
        <is>
          <t>-</t>
        </is>
      </c>
      <c r="G267" s="7" t="n">
        <v>249.3880767822266</v>
      </c>
      <c r="H267" s="6">
        <f>P236</f>
        <v/>
      </c>
      <c r="I267" s="9">
        <f>Q236</f>
        <v/>
      </c>
      <c r="J267" s="7">
        <f>I267*G267</f>
        <v/>
      </c>
      <c r="K267" s="8">
        <f>IF($J$280=0,0,J267/$J$280)</f>
        <v/>
      </c>
      <c r="L267" s="6" t="inlineStr">
        <is>
          <t>REJECTED</t>
        </is>
      </c>
      <c r="M267" s="8" t="n">
        <v>0</v>
      </c>
      <c r="N267" s="7">
        <f>M267*$J$280-J267</f>
        <v/>
      </c>
      <c r="O267" s="9">
        <f>IF(G267=0,0,N267/G267)</f>
        <v/>
      </c>
      <c r="P267" s="6">
        <f>IF(M267&gt;0,D267,"")</f>
        <v/>
      </c>
      <c r="Q267" s="9">
        <f>I267+O267</f>
        <v/>
      </c>
      <c r="R267" s="7">
        <f>Q267*G267</f>
        <v/>
      </c>
      <c r="S267" s="8">
        <f>IF($R$280=0,0,R267/$R$280)</f>
        <v/>
      </c>
      <c r="T267" s="8" t="n">
        <v>0</v>
      </c>
      <c r="U267" s="8" t="n">
        <v>0.01855982772071263</v>
      </c>
      <c r="V267" s="6" t="inlineStr">
        <is>
          <t>not selected</t>
        </is>
      </c>
    </row>
    <row r="268">
      <c r="A268" s="6" t="inlineStr">
        <is>
          <t>DJ30</t>
        </is>
      </c>
      <c r="B268" s="6" t="inlineStr">
        <is>
          <t>2023-03-03</t>
        </is>
      </c>
      <c r="C268" s="6" t="inlineStr">
        <is>
          <t>DIA</t>
        </is>
      </c>
      <c r="D268" s="6" t="inlineStr">
        <is>
          <t>MMM</t>
        </is>
      </c>
      <c r="E268" s="6" t="inlineStr">
        <is>
          <t>MMM</t>
        </is>
      </c>
      <c r="F268" s="6" t="inlineStr">
        <is>
          <t>-</t>
        </is>
      </c>
      <c r="G268" s="7" t="n">
        <v>83.50678253173828</v>
      </c>
      <c r="H268" s="6">
        <f>P237</f>
        <v/>
      </c>
      <c r="I268" s="9">
        <f>Q237</f>
        <v/>
      </c>
      <c r="J268" s="7">
        <f>I268*G268</f>
        <v/>
      </c>
      <c r="K268" s="8">
        <f>IF($J$280=0,0,J268/$J$280)</f>
        <v/>
      </c>
      <c r="L268" s="6" t="inlineStr">
        <is>
          <t>REJECTED</t>
        </is>
      </c>
      <c r="M268" s="8" t="n">
        <v>0</v>
      </c>
      <c r="N268" s="7">
        <f>M268*$J$280-J268</f>
        <v/>
      </c>
      <c r="O268" s="9">
        <f>IF(G268=0,0,N268/G268)</f>
        <v/>
      </c>
      <c r="P268" s="6">
        <f>IF(M268&gt;0,D268,"")</f>
        <v/>
      </c>
      <c r="Q268" s="9">
        <f>I268+O268</f>
        <v/>
      </c>
      <c r="R268" s="7">
        <f>Q268*G268</f>
        <v/>
      </c>
      <c r="S268" s="8">
        <f>IF($R$280=0,0,R268/$R$280)</f>
        <v/>
      </c>
      <c r="T268" s="8" t="n">
        <v>0</v>
      </c>
      <c r="U268" s="8" t="n">
        <v>0.01855982772071263</v>
      </c>
      <c r="V268" s="6" t="inlineStr">
        <is>
          <t>not selected</t>
        </is>
      </c>
    </row>
    <row r="269">
      <c r="A269" s="6" t="inlineStr">
        <is>
          <t>DJ30</t>
        </is>
      </c>
      <c r="B269" s="6" t="inlineStr">
        <is>
          <t>2023-03-03</t>
        </is>
      </c>
      <c r="C269" s="6" t="inlineStr">
        <is>
          <t>DIA</t>
        </is>
      </c>
      <c r="D269" s="6" t="inlineStr">
        <is>
          <t>MRK</t>
        </is>
      </c>
      <c r="E269" s="6" t="inlineStr">
        <is>
          <t>MRK</t>
        </is>
      </c>
      <c r="F269" s="6" t="inlineStr">
        <is>
          <t>-</t>
        </is>
      </c>
      <c r="G269" s="7" t="n">
        <v>96.13291931152344</v>
      </c>
      <c r="H269" s="6">
        <f>P238</f>
        <v/>
      </c>
      <c r="I269" s="9">
        <f>Q238</f>
        <v/>
      </c>
      <c r="J269" s="7">
        <f>I269*G269</f>
        <v/>
      </c>
      <c r="K269" s="8">
        <f>IF($J$280=0,0,J269/$J$280)</f>
        <v/>
      </c>
      <c r="L269" s="6" t="inlineStr">
        <is>
          <t>REJECTED</t>
        </is>
      </c>
      <c r="M269" s="8" t="n">
        <v>0</v>
      </c>
      <c r="N269" s="7">
        <f>M269*$J$280-J269</f>
        <v/>
      </c>
      <c r="O269" s="9">
        <f>IF(G269=0,0,N269/G269)</f>
        <v/>
      </c>
      <c r="P269" s="6">
        <f>IF(M269&gt;0,D269,"")</f>
        <v/>
      </c>
      <c r="Q269" s="9">
        <f>I269+O269</f>
        <v/>
      </c>
      <c r="R269" s="7">
        <f>Q269*G269</f>
        <v/>
      </c>
      <c r="S269" s="8">
        <f>IF($R$280=0,0,R269/$R$280)</f>
        <v/>
      </c>
      <c r="T269" s="8" t="n">
        <v>0</v>
      </c>
      <c r="U269" s="8" t="n">
        <v>0.01855982772071263</v>
      </c>
      <c r="V269" s="6" t="inlineStr">
        <is>
          <t>not selected</t>
        </is>
      </c>
    </row>
    <row r="270">
      <c r="A270" s="6" t="inlineStr">
        <is>
          <t>DJ30</t>
        </is>
      </c>
      <c r="B270" s="6" t="inlineStr">
        <is>
          <t>2023-03-03</t>
        </is>
      </c>
      <c r="C270" s="6" t="inlineStr">
        <is>
          <t>DIA</t>
        </is>
      </c>
      <c r="D270" s="6" t="inlineStr">
        <is>
          <t>MSFT</t>
        </is>
      </c>
      <c r="E270" s="6" t="inlineStr">
        <is>
          <t>MSFT</t>
        </is>
      </c>
      <c r="F270" s="6" t="inlineStr">
        <is>
          <t>-</t>
        </is>
      </c>
      <c r="G270" s="7" t="n">
        <v>248.8451385498047</v>
      </c>
      <c r="H270" s="6">
        <f>P239</f>
        <v/>
      </c>
      <c r="I270" s="9">
        <f>Q239</f>
        <v/>
      </c>
      <c r="J270" s="7">
        <f>I270*G270</f>
        <v/>
      </c>
      <c r="K270" s="8">
        <f>IF($J$280=0,0,J270/$J$280)</f>
        <v/>
      </c>
      <c r="L270" s="6" t="inlineStr">
        <is>
          <t>REJECTED</t>
        </is>
      </c>
      <c r="M270" s="8" t="n">
        <v>0</v>
      </c>
      <c r="N270" s="7">
        <f>M270*$J$280-J270</f>
        <v/>
      </c>
      <c r="O270" s="9">
        <f>IF(G270=0,0,N270/G270)</f>
        <v/>
      </c>
      <c r="P270" s="6">
        <f>IF(M270&gt;0,D270,"")</f>
        <v/>
      </c>
      <c r="Q270" s="9">
        <f>I270+O270</f>
        <v/>
      </c>
      <c r="R270" s="7">
        <f>Q270*G270</f>
        <v/>
      </c>
      <c r="S270" s="8">
        <f>IF($R$280=0,0,R270/$R$280)</f>
        <v/>
      </c>
      <c r="T270" s="8" t="n">
        <v>0</v>
      </c>
      <c r="U270" s="8" t="n">
        <v>0.01855982772071263</v>
      </c>
      <c r="V270" s="6" t="inlineStr">
        <is>
          <t>not selected</t>
        </is>
      </c>
    </row>
    <row r="271">
      <c r="A271" s="6" t="inlineStr">
        <is>
          <t>DJ30</t>
        </is>
      </c>
      <c r="B271" s="6" t="inlineStr">
        <is>
          <t>2023-03-03</t>
        </is>
      </c>
      <c r="C271" s="6" t="inlineStr">
        <is>
          <t>DIA</t>
        </is>
      </c>
      <c r="D271" s="6" t="inlineStr">
        <is>
          <t>NKE</t>
        </is>
      </c>
      <c r="E271" s="6" t="inlineStr">
        <is>
          <t>NKE</t>
        </is>
      </c>
      <c r="F271" s="6" t="inlineStr">
        <is>
          <t>-</t>
        </is>
      </c>
      <c r="G271" s="7" t="n">
        <v>113.244255065918</v>
      </c>
      <c r="H271" s="6">
        <f>P240</f>
        <v/>
      </c>
      <c r="I271" s="9">
        <f>Q240</f>
        <v/>
      </c>
      <c r="J271" s="7">
        <f>I271*G271</f>
        <v/>
      </c>
      <c r="K271" s="8">
        <f>IF($J$280=0,0,J271/$J$280)</f>
        <v/>
      </c>
      <c r="L271" s="6" t="inlineStr">
        <is>
          <t>REJECTED</t>
        </is>
      </c>
      <c r="M271" s="8" t="n">
        <v>0</v>
      </c>
      <c r="N271" s="7">
        <f>M271*$J$280-J271</f>
        <v/>
      </c>
      <c r="O271" s="9">
        <f>IF(G271=0,0,N271/G271)</f>
        <v/>
      </c>
      <c r="P271" s="6">
        <f>IF(M271&gt;0,D271,"")</f>
        <v/>
      </c>
      <c r="Q271" s="9">
        <f>I271+O271</f>
        <v/>
      </c>
      <c r="R271" s="7">
        <f>Q271*G271</f>
        <v/>
      </c>
      <c r="S271" s="8">
        <f>IF($R$280=0,0,R271/$R$280)</f>
        <v/>
      </c>
      <c r="T271" s="8" t="n">
        <v>0</v>
      </c>
      <c r="U271" s="8" t="n">
        <v>0.01855982772071263</v>
      </c>
      <c r="V271" s="6" t="inlineStr">
        <is>
          <t>not selected</t>
        </is>
      </c>
    </row>
    <row r="272">
      <c r="A272" s="6" t="inlineStr">
        <is>
          <t>DJ30</t>
        </is>
      </c>
      <c r="B272" s="6" t="inlineStr">
        <is>
          <t>2023-03-03</t>
        </is>
      </c>
      <c r="C272" s="6" t="inlineStr">
        <is>
          <t>DIA</t>
        </is>
      </c>
      <c r="D272" s="6" t="inlineStr">
        <is>
          <t>NVDA</t>
        </is>
      </c>
      <c r="E272" s="6" t="inlineStr">
        <is>
          <t>NVDA</t>
        </is>
      </c>
      <c r="F272" s="6" t="inlineStr">
        <is>
          <t>-</t>
        </is>
      </c>
      <c r="G272" s="7" t="n">
        <v>23.8370361328125</v>
      </c>
      <c r="H272" s="6">
        <f>P241</f>
        <v/>
      </c>
      <c r="I272" s="9">
        <f>Q241</f>
        <v/>
      </c>
      <c r="J272" s="7">
        <f>I272*G272</f>
        <v/>
      </c>
      <c r="K272" s="8">
        <f>IF($J$280=0,0,J272/$J$280)</f>
        <v/>
      </c>
      <c r="L272" s="6" t="inlineStr">
        <is>
          <t>REJECTED</t>
        </is>
      </c>
      <c r="M272" s="8" t="n">
        <v>0</v>
      </c>
      <c r="N272" s="7">
        <f>M272*$J$280-J272</f>
        <v/>
      </c>
      <c r="O272" s="9">
        <f>IF(G272=0,0,N272/G272)</f>
        <v/>
      </c>
      <c r="P272" s="6">
        <f>IF(M272&gt;0,D272,"")</f>
        <v/>
      </c>
      <c r="Q272" s="9">
        <f>I272+O272</f>
        <v/>
      </c>
      <c r="R272" s="7">
        <f>Q272*G272</f>
        <v/>
      </c>
      <c r="S272" s="8">
        <f>IF($R$280=0,0,R272/$R$280)</f>
        <v/>
      </c>
      <c r="T272" s="8" t="n">
        <v>0</v>
      </c>
      <c r="U272" s="8" t="n">
        <v>0.01855982772071263</v>
      </c>
      <c r="V272" s="6" t="inlineStr">
        <is>
          <t>not selected</t>
        </is>
      </c>
    </row>
    <row r="273">
      <c r="A273" s="6" t="inlineStr">
        <is>
          <t>DJ30</t>
        </is>
      </c>
      <c r="B273" s="6" t="inlineStr">
        <is>
          <t>2023-03-03</t>
        </is>
      </c>
      <c r="C273" s="6" t="inlineStr">
        <is>
          <t>DIA</t>
        </is>
      </c>
      <c r="D273" s="6" t="inlineStr">
        <is>
          <t>PG</t>
        </is>
      </c>
      <c r="E273" s="6" t="inlineStr">
        <is>
          <t>PG</t>
        </is>
      </c>
      <c r="F273" s="6" t="inlineStr">
        <is>
          <t>-</t>
        </is>
      </c>
      <c r="G273" s="7" t="n">
        <v>129.5862579345703</v>
      </c>
      <c r="H273" s="6">
        <f>P242</f>
        <v/>
      </c>
      <c r="I273" s="9">
        <f>Q242</f>
        <v/>
      </c>
      <c r="J273" s="7">
        <f>I273*G273</f>
        <v/>
      </c>
      <c r="K273" s="8">
        <f>IF($J$280=0,0,J273/$J$280)</f>
        <v/>
      </c>
      <c r="L273" s="6" t="inlineStr">
        <is>
          <t>REJECTED</t>
        </is>
      </c>
      <c r="M273" s="8" t="n">
        <v>0</v>
      </c>
      <c r="N273" s="7">
        <f>M273*$J$280-J273</f>
        <v/>
      </c>
      <c r="O273" s="9">
        <f>IF(G273=0,0,N273/G273)</f>
        <v/>
      </c>
      <c r="P273" s="6">
        <f>IF(M273&gt;0,D273,"")</f>
        <v/>
      </c>
      <c r="Q273" s="9">
        <f>I273+O273</f>
        <v/>
      </c>
      <c r="R273" s="7">
        <f>Q273*G273</f>
        <v/>
      </c>
      <c r="S273" s="8">
        <f>IF($R$280=0,0,R273/$R$280)</f>
        <v/>
      </c>
      <c r="T273" s="8" t="n">
        <v>0</v>
      </c>
      <c r="U273" s="8" t="n">
        <v>0.01855982772071263</v>
      </c>
      <c r="V273" s="6" t="inlineStr">
        <is>
          <t>not selected</t>
        </is>
      </c>
    </row>
    <row r="274">
      <c r="A274" s="6" t="inlineStr">
        <is>
          <t>DJ30</t>
        </is>
      </c>
      <c r="B274" s="6" t="inlineStr">
        <is>
          <t>2023-03-03</t>
        </is>
      </c>
      <c r="C274" s="6" t="inlineStr">
        <is>
          <t>DIA</t>
        </is>
      </c>
      <c r="D274" s="6" t="inlineStr">
        <is>
          <t>SHW</t>
        </is>
      </c>
      <c r="E274" s="6" t="inlineStr">
        <is>
          <t>SHW</t>
        </is>
      </c>
      <c r="F274" s="6" t="inlineStr">
        <is>
          <t>-</t>
        </is>
      </c>
      <c r="G274" s="7" t="n">
        <v>221.7735137939453</v>
      </c>
      <c r="H274" s="6">
        <f>P243</f>
        <v/>
      </c>
      <c r="I274" s="9">
        <f>Q243</f>
        <v/>
      </c>
      <c r="J274" s="7">
        <f>I274*G274</f>
        <v/>
      </c>
      <c r="K274" s="8">
        <f>IF($J$280=0,0,J274/$J$280)</f>
        <v/>
      </c>
      <c r="L274" s="6" t="inlineStr">
        <is>
          <t>REJECTED</t>
        </is>
      </c>
      <c r="M274" s="8" t="n">
        <v>0</v>
      </c>
      <c r="N274" s="7">
        <f>M274*$J$280-J274</f>
        <v/>
      </c>
      <c r="O274" s="9">
        <f>IF(G274=0,0,N274/G274)</f>
        <v/>
      </c>
      <c r="P274" s="6">
        <f>IF(M274&gt;0,D274,"")</f>
        <v/>
      </c>
      <c r="Q274" s="9">
        <f>I274+O274</f>
        <v/>
      </c>
      <c r="R274" s="7">
        <f>Q274*G274</f>
        <v/>
      </c>
      <c r="S274" s="8">
        <f>IF($R$280=0,0,R274/$R$280)</f>
        <v/>
      </c>
      <c r="T274" s="8" t="n">
        <v>0</v>
      </c>
      <c r="U274" s="8" t="n">
        <v>0.01855982772071263</v>
      </c>
      <c r="V274" s="6" t="inlineStr">
        <is>
          <t>not selected</t>
        </is>
      </c>
    </row>
    <row r="275">
      <c r="A275" s="6" t="inlineStr">
        <is>
          <t>DJ30</t>
        </is>
      </c>
      <c r="B275" s="6" t="inlineStr">
        <is>
          <t>2023-03-03</t>
        </is>
      </c>
      <c r="C275" s="6" t="inlineStr">
        <is>
          <t>DIA</t>
        </is>
      </c>
      <c r="D275" s="6" t="inlineStr">
        <is>
          <t>TRV</t>
        </is>
      </c>
      <c r="E275" s="6" t="inlineStr">
        <is>
          <t>TRV</t>
        </is>
      </c>
      <c r="F275" s="6" t="inlineStr">
        <is>
          <t>-</t>
        </is>
      </c>
      <c r="G275" s="7" t="n">
        <v>172.0909271240234</v>
      </c>
      <c r="H275" s="6">
        <f>P244</f>
        <v/>
      </c>
      <c r="I275" s="9">
        <f>Q244</f>
        <v/>
      </c>
      <c r="J275" s="7">
        <f>I275*G275</f>
        <v/>
      </c>
      <c r="K275" s="8">
        <f>IF($J$280=0,0,J275/$J$280)</f>
        <v/>
      </c>
      <c r="L275" s="6" t="inlineStr">
        <is>
          <t>REJECTED</t>
        </is>
      </c>
      <c r="M275" s="8" t="n">
        <v>0</v>
      </c>
      <c r="N275" s="7">
        <f>M275*$J$280-J275</f>
        <v/>
      </c>
      <c r="O275" s="9">
        <f>IF(G275=0,0,N275/G275)</f>
        <v/>
      </c>
      <c r="P275" s="6">
        <f>IF(M275&gt;0,D275,"")</f>
        <v/>
      </c>
      <c r="Q275" s="9">
        <f>I275+O275</f>
        <v/>
      </c>
      <c r="R275" s="7">
        <f>Q275*G275</f>
        <v/>
      </c>
      <c r="S275" s="8">
        <f>IF($R$280=0,0,R275/$R$280)</f>
        <v/>
      </c>
      <c r="T275" s="8" t="n">
        <v>0</v>
      </c>
      <c r="U275" s="8" t="n">
        <v>0.01855982772071263</v>
      </c>
      <c r="V275" s="6" t="inlineStr">
        <is>
          <t>not selected</t>
        </is>
      </c>
    </row>
    <row r="276">
      <c r="A276" s="6" t="inlineStr">
        <is>
          <t>DJ30</t>
        </is>
      </c>
      <c r="B276" s="6" t="inlineStr">
        <is>
          <t>2023-03-03</t>
        </is>
      </c>
      <c r="C276" s="6" t="inlineStr">
        <is>
          <t>DIA</t>
        </is>
      </c>
      <c r="D276" s="6" t="inlineStr">
        <is>
          <t>UNH</t>
        </is>
      </c>
      <c r="E276" s="6" t="inlineStr">
        <is>
          <t>UNH</t>
        </is>
      </c>
      <c r="F276" s="6" t="inlineStr">
        <is>
          <t>-</t>
        </is>
      </c>
      <c r="G276" s="7" t="n">
        <v>446.989501953125</v>
      </c>
      <c r="H276" s="6">
        <f>P245</f>
        <v/>
      </c>
      <c r="I276" s="9">
        <f>Q245</f>
        <v/>
      </c>
      <c r="J276" s="7">
        <f>I276*G276</f>
        <v/>
      </c>
      <c r="K276" s="8">
        <f>IF($J$280=0,0,J276/$J$280)</f>
        <v/>
      </c>
      <c r="L276" s="6" t="inlineStr">
        <is>
          <t>REJECTED</t>
        </is>
      </c>
      <c r="M276" s="8" t="n">
        <v>0</v>
      </c>
      <c r="N276" s="7">
        <f>M276*$J$280-J276</f>
        <v/>
      </c>
      <c r="O276" s="9">
        <f>IF(G276=0,0,N276/G276)</f>
        <v/>
      </c>
      <c r="P276" s="6">
        <f>IF(M276&gt;0,D276,"")</f>
        <v/>
      </c>
      <c r="Q276" s="9">
        <f>I276+O276</f>
        <v/>
      </c>
      <c r="R276" s="7">
        <f>Q276*G276</f>
        <v/>
      </c>
      <c r="S276" s="8">
        <f>IF($R$280=0,0,R276/$R$280)</f>
        <v/>
      </c>
      <c r="T276" s="8" t="n">
        <v>0</v>
      </c>
      <c r="U276" s="8" t="n">
        <v>0.01855982772071263</v>
      </c>
      <c r="V276" s="6" t="inlineStr">
        <is>
          <t>not selected</t>
        </is>
      </c>
    </row>
    <row r="277">
      <c r="A277" s="6" t="inlineStr">
        <is>
          <t>DJ30</t>
        </is>
      </c>
      <c r="B277" s="6" t="inlineStr">
        <is>
          <t>2023-03-03</t>
        </is>
      </c>
      <c r="C277" s="6" t="inlineStr">
        <is>
          <t>DIA</t>
        </is>
      </c>
      <c r="D277" s="6" t="inlineStr">
        <is>
          <t>V</t>
        </is>
      </c>
      <c r="E277" s="6" t="inlineStr">
        <is>
          <t>V</t>
        </is>
      </c>
      <c r="F277" s="6" t="inlineStr">
        <is>
          <t>-</t>
        </is>
      </c>
      <c r="G277" s="7" t="n">
        <v>218.2940216064453</v>
      </c>
      <c r="H277" s="6">
        <f>P246</f>
        <v/>
      </c>
      <c r="I277" s="9">
        <f>Q246</f>
        <v/>
      </c>
      <c r="J277" s="7">
        <f>I277*G277</f>
        <v/>
      </c>
      <c r="K277" s="8">
        <f>IF($J$280=0,0,J277/$J$280)</f>
        <v/>
      </c>
      <c r="L277" s="6" t="inlineStr">
        <is>
          <t>REJECTED</t>
        </is>
      </c>
      <c r="M277" s="8" t="n">
        <v>0</v>
      </c>
      <c r="N277" s="7">
        <f>M277*$J$280-J277</f>
        <v/>
      </c>
      <c r="O277" s="9">
        <f>IF(G277=0,0,N277/G277)</f>
        <v/>
      </c>
      <c r="P277" s="6">
        <f>IF(M277&gt;0,D277,"")</f>
        <v/>
      </c>
      <c r="Q277" s="9">
        <f>I277+O277</f>
        <v/>
      </c>
      <c r="R277" s="7">
        <f>Q277*G277</f>
        <v/>
      </c>
      <c r="S277" s="8">
        <f>IF($R$280=0,0,R277/$R$280)</f>
        <v/>
      </c>
      <c r="T277" s="8" t="n">
        <v>0</v>
      </c>
      <c r="U277" s="8" t="n">
        <v>0.01855982772071263</v>
      </c>
      <c r="V277" s="6" t="inlineStr">
        <is>
          <t>not selected</t>
        </is>
      </c>
    </row>
    <row r="278">
      <c r="A278" s="6" t="inlineStr">
        <is>
          <t>DJ30</t>
        </is>
      </c>
      <c r="B278" s="6" t="inlineStr">
        <is>
          <t>2023-03-03</t>
        </is>
      </c>
      <c r="C278" s="6" t="inlineStr">
        <is>
          <t>DIA</t>
        </is>
      </c>
      <c r="D278" s="6" t="inlineStr">
        <is>
          <t>VZ</t>
        </is>
      </c>
      <c r="E278" s="6" t="inlineStr">
        <is>
          <t>VZ</t>
        </is>
      </c>
      <c r="F278" s="6" t="inlineStr">
        <is>
          <t>-</t>
        </is>
      </c>
      <c r="G278" s="7" t="n">
        <v>30.75047302246094</v>
      </c>
      <c r="H278" s="6">
        <f>P247</f>
        <v/>
      </c>
      <c r="I278" s="9">
        <f>Q247</f>
        <v/>
      </c>
      <c r="J278" s="7">
        <f>I278*G278</f>
        <v/>
      </c>
      <c r="K278" s="8">
        <f>IF($J$280=0,0,J278/$J$280)</f>
        <v/>
      </c>
      <c r="L278" s="6" t="inlineStr">
        <is>
          <t>REJECTED</t>
        </is>
      </c>
      <c r="M278" s="8" t="n">
        <v>0</v>
      </c>
      <c r="N278" s="7">
        <f>M278*$J$280-J278</f>
        <v/>
      </c>
      <c r="O278" s="9">
        <f>IF(G278=0,0,N278/G278)</f>
        <v/>
      </c>
      <c r="P278" s="6">
        <f>IF(M278&gt;0,D278,"")</f>
        <v/>
      </c>
      <c r="Q278" s="9">
        <f>I278+O278</f>
        <v/>
      </c>
      <c r="R278" s="7">
        <f>Q278*G278</f>
        <v/>
      </c>
      <c r="S278" s="8">
        <f>IF($R$280=0,0,R278/$R$280)</f>
        <v/>
      </c>
      <c r="T278" s="8" t="n">
        <v>0</v>
      </c>
      <c r="U278" s="8" t="n">
        <v>0.01855982772071263</v>
      </c>
      <c r="V278" s="6" t="inlineStr">
        <is>
          <t>not selected</t>
        </is>
      </c>
    </row>
    <row r="279">
      <c r="A279" s="6" t="inlineStr">
        <is>
          <t>DJ30</t>
        </is>
      </c>
      <c r="B279" s="6" t="inlineStr">
        <is>
          <t>2023-03-03</t>
        </is>
      </c>
      <c r="C279" s="6" t="inlineStr">
        <is>
          <t>DIA</t>
        </is>
      </c>
      <c r="D279" s="6" t="inlineStr">
        <is>
          <t>WMT</t>
        </is>
      </c>
      <c r="E279" s="6" t="inlineStr">
        <is>
          <t>WMT</t>
        </is>
      </c>
      <c r="F279" s="6" t="inlineStr">
        <is>
          <t>-</t>
        </is>
      </c>
      <c r="G279" s="7" t="n">
        <v>45.02728271484375</v>
      </c>
      <c r="H279" s="6">
        <f>P248</f>
        <v/>
      </c>
      <c r="I279" s="9">
        <f>Q248</f>
        <v/>
      </c>
      <c r="J279" s="7">
        <f>I279*G279</f>
        <v/>
      </c>
      <c r="K279" s="8">
        <f>IF($J$280=0,0,J279/$J$280)</f>
        <v/>
      </c>
      <c r="L279" s="6" t="inlineStr">
        <is>
          <t>REJECTED</t>
        </is>
      </c>
      <c r="M279" s="8" t="n">
        <v>0</v>
      </c>
      <c r="N279" s="7">
        <f>M279*$J$280-J279</f>
        <v/>
      </c>
      <c r="O279" s="9">
        <f>IF(G279=0,0,N279/G279)</f>
        <v/>
      </c>
      <c r="P279" s="6">
        <f>IF(M279&gt;0,D279,"")</f>
        <v/>
      </c>
      <c r="Q279" s="9">
        <f>I279+O279</f>
        <v/>
      </c>
      <c r="R279" s="7">
        <f>Q279*G279</f>
        <v/>
      </c>
      <c r="S279" s="8">
        <f>IF($R$280=0,0,R279/$R$280)</f>
        <v/>
      </c>
      <c r="T279" s="8" t="n">
        <v>0</v>
      </c>
      <c r="U279" s="8" t="n">
        <v>0.01855982772071263</v>
      </c>
      <c r="V279" s="6" t="inlineStr">
        <is>
          <t>not selected</t>
        </is>
      </c>
    </row>
    <row r="280">
      <c r="A280" s="10" t="inlineStr">
        <is>
          <t>DJ30</t>
        </is>
      </c>
      <c r="B280" s="10" t="inlineStr">
        <is>
          <t>2023-03-03</t>
        </is>
      </c>
      <c r="C280" s="10" t="inlineStr">
        <is>
          <t>DIA</t>
        </is>
      </c>
      <c r="D280" s="10" t="inlineStr">
        <is>
          <t>Tot Portfolio</t>
        </is>
      </c>
      <c r="E280" s="10" t="inlineStr"/>
      <c r="F280" s="10" t="inlineStr"/>
      <c r="G280" s="11" t="inlineStr"/>
      <c r="H280" s="10" t="inlineStr"/>
      <c r="I280" s="12" t="inlineStr"/>
      <c r="J280" s="11">
        <f>SUM(J250:J279)</f>
        <v/>
      </c>
      <c r="K280" s="13">
        <f>SUM(K250:K279)</f>
        <v/>
      </c>
      <c r="L280" s="10" t="inlineStr">
        <is>
          <t>TOTAL</t>
        </is>
      </c>
      <c r="M280" s="13">
        <f>SUM(M250:M279)</f>
        <v/>
      </c>
      <c r="N280" s="11">
        <f>SUM(N250:N279)</f>
        <v/>
      </c>
      <c r="O280" s="12">
        <f>SUM(O250:O279)</f>
        <v/>
      </c>
      <c r="P280" s="10" t="inlineStr"/>
      <c r="Q280" s="12" t="inlineStr"/>
      <c r="R280" s="11">
        <f>SUM(R250:R279)</f>
        <v/>
      </c>
      <c r="S280" s="13">
        <f>SUM(S250:S279)</f>
        <v/>
      </c>
      <c r="T280" s="13" t="n">
        <v>0</v>
      </c>
      <c r="U280" s="13" t="n">
        <v>0.01855982772071263</v>
      </c>
      <c r="V280" s="10" t="inlineStr"/>
    </row>
    <row r="281">
      <c r="A281" s="6" t="inlineStr">
        <is>
          <t>DJ30</t>
        </is>
      </c>
      <c r="B281" s="6" t="inlineStr">
        <is>
          <t>2023-03-10</t>
        </is>
      </c>
      <c r="C281" s="6" t="inlineStr">
        <is>
          <t>DIA</t>
        </is>
      </c>
      <c r="D281" s="6" t="inlineStr">
        <is>
          <t>AAPL</t>
        </is>
      </c>
      <c r="E281" s="6" t="inlineStr">
        <is>
          <t>AAPL</t>
        </is>
      </c>
      <c r="F281" s="6" t="inlineStr">
        <is>
          <t>-</t>
        </is>
      </c>
      <c r="G281" s="7" t="n">
        <v>146.24462890625</v>
      </c>
      <c r="H281" s="6">
        <f>P250</f>
        <v/>
      </c>
      <c r="I281" s="9">
        <f>Q250</f>
        <v/>
      </c>
      <c r="J281" s="7">
        <f>I281*G281</f>
        <v/>
      </c>
      <c r="K281" s="8">
        <f>IF($J$311=0,0,J281/$J$311)</f>
        <v/>
      </c>
      <c r="L281" s="6" t="inlineStr">
        <is>
          <t>REJECTED</t>
        </is>
      </c>
      <c r="M281" s="8" t="n">
        <v>0</v>
      </c>
      <c r="N281" s="7">
        <f>M281*$J$311-J281</f>
        <v/>
      </c>
      <c r="O281" s="9">
        <f>IF(G281=0,0,N281/G281)</f>
        <v/>
      </c>
      <c r="P281" s="6">
        <f>IF(M281&gt;0,D281,"")</f>
        <v/>
      </c>
      <c r="Q281" s="9">
        <f>I281+O281</f>
        <v/>
      </c>
      <c r="R281" s="7">
        <f>Q281*G281</f>
        <v/>
      </c>
      <c r="S281" s="8">
        <f>IF($R$311=0,0,R281/$R$311)</f>
        <v/>
      </c>
      <c r="T281" s="8" t="n">
        <v>0</v>
      </c>
      <c r="U281" s="8" t="n">
        <v>-0.04332580531855745</v>
      </c>
      <c r="V281" s="6" t="inlineStr">
        <is>
          <t>not selected</t>
        </is>
      </c>
    </row>
    <row r="282">
      <c r="A282" s="6" t="inlineStr">
        <is>
          <t>DJ30</t>
        </is>
      </c>
      <c r="B282" s="6" t="inlineStr">
        <is>
          <t>2023-03-10</t>
        </is>
      </c>
      <c r="C282" s="6" t="inlineStr">
        <is>
          <t>DIA</t>
        </is>
      </c>
      <c r="D282" s="6" t="inlineStr">
        <is>
          <t>AMGN</t>
        </is>
      </c>
      <c r="E282" s="6" t="inlineStr">
        <is>
          <t>AMGN</t>
        </is>
      </c>
      <c r="F282" s="6" t="inlineStr">
        <is>
          <t>-</t>
        </is>
      </c>
      <c r="G282" s="7" t="n">
        <v>205.8719635009766</v>
      </c>
      <c r="H282" s="6">
        <f>P251</f>
        <v/>
      </c>
      <c r="I282" s="9">
        <f>Q251</f>
        <v/>
      </c>
      <c r="J282" s="7">
        <f>I282*G282</f>
        <v/>
      </c>
      <c r="K282" s="8">
        <f>IF($J$311=0,0,J282/$J$311)</f>
        <v/>
      </c>
      <c r="L282" s="6" t="inlineStr">
        <is>
          <t>REJECTED</t>
        </is>
      </c>
      <c r="M282" s="8" t="n">
        <v>0</v>
      </c>
      <c r="N282" s="7">
        <f>M282*$J$311-J282</f>
        <v/>
      </c>
      <c r="O282" s="9">
        <f>IF(G282=0,0,N282/G282)</f>
        <v/>
      </c>
      <c r="P282" s="6">
        <f>IF(M282&gt;0,D282,"")</f>
        <v/>
      </c>
      <c r="Q282" s="9">
        <f>I282+O282</f>
        <v/>
      </c>
      <c r="R282" s="7">
        <f>Q282*G282</f>
        <v/>
      </c>
      <c r="S282" s="8">
        <f>IF($R$311=0,0,R282/$R$311)</f>
        <v/>
      </c>
      <c r="T282" s="8" t="n">
        <v>0</v>
      </c>
      <c r="U282" s="8" t="n">
        <v>-0.04332580531855745</v>
      </c>
      <c r="V282" s="6" t="inlineStr">
        <is>
          <t>not selected</t>
        </is>
      </c>
    </row>
    <row r="283">
      <c r="A283" s="6" t="inlineStr">
        <is>
          <t>DJ30</t>
        </is>
      </c>
      <c r="B283" s="6" t="inlineStr">
        <is>
          <t>2023-03-10</t>
        </is>
      </c>
      <c r="C283" s="6" t="inlineStr">
        <is>
          <t>DIA</t>
        </is>
      </c>
      <c r="D283" s="6" t="inlineStr">
        <is>
          <t>AMZN</t>
        </is>
      </c>
      <c r="E283" s="6" t="inlineStr">
        <is>
          <t>AMZN</t>
        </is>
      </c>
      <c r="F283" s="6" t="inlineStr">
        <is>
          <t>-</t>
        </is>
      </c>
      <c r="G283" s="7" t="n">
        <v>90.73000335693359</v>
      </c>
      <c r="H283" s="6">
        <f>P252</f>
        <v/>
      </c>
      <c r="I283" s="9">
        <f>Q252</f>
        <v/>
      </c>
      <c r="J283" s="7">
        <f>I283*G283</f>
        <v/>
      </c>
      <c r="K283" s="8">
        <f>IF($J$311=0,0,J283/$J$311)</f>
        <v/>
      </c>
      <c r="L283" s="6" t="inlineStr">
        <is>
          <t>REJECTED</t>
        </is>
      </c>
      <c r="M283" s="8" t="n">
        <v>0</v>
      </c>
      <c r="N283" s="7">
        <f>M283*$J$311-J283</f>
        <v/>
      </c>
      <c r="O283" s="9">
        <f>IF(G283=0,0,N283/G283)</f>
        <v/>
      </c>
      <c r="P283" s="6">
        <f>IF(M283&gt;0,D283,"")</f>
        <v/>
      </c>
      <c r="Q283" s="9">
        <f>I283+O283</f>
        <v/>
      </c>
      <c r="R283" s="7">
        <f>Q283*G283</f>
        <v/>
      </c>
      <c r="S283" s="8">
        <f>IF($R$311=0,0,R283/$R$311)</f>
        <v/>
      </c>
      <c r="T283" s="8" t="n">
        <v>0</v>
      </c>
      <c r="U283" s="8" t="n">
        <v>-0.04332580531855745</v>
      </c>
      <c r="V283" s="6" t="inlineStr">
        <is>
          <t>not selected</t>
        </is>
      </c>
    </row>
    <row r="284">
      <c r="A284" s="6" t="inlineStr">
        <is>
          <t>DJ30</t>
        </is>
      </c>
      <c r="B284" s="6" t="inlineStr">
        <is>
          <t>2023-03-10</t>
        </is>
      </c>
      <c r="C284" s="6" t="inlineStr">
        <is>
          <t>DIA</t>
        </is>
      </c>
      <c r="D284" s="6" t="inlineStr">
        <is>
          <t>AXP</t>
        </is>
      </c>
      <c r="E284" s="6" t="inlineStr">
        <is>
          <t>AXP</t>
        </is>
      </c>
      <c r="F284" s="6" t="inlineStr">
        <is>
          <t>-</t>
        </is>
      </c>
      <c r="G284" s="7" t="n">
        <v>159.3279571533203</v>
      </c>
      <c r="H284" s="6">
        <f>P253</f>
        <v/>
      </c>
      <c r="I284" s="9">
        <f>Q253</f>
        <v/>
      </c>
      <c r="J284" s="7">
        <f>I284*G284</f>
        <v/>
      </c>
      <c r="K284" s="8">
        <f>IF($J$311=0,0,J284/$J$311)</f>
        <v/>
      </c>
      <c r="L284" s="6" t="inlineStr">
        <is>
          <t>REJECTED</t>
        </is>
      </c>
      <c r="M284" s="8" t="n">
        <v>0</v>
      </c>
      <c r="N284" s="7">
        <f>M284*$J$311-J284</f>
        <v/>
      </c>
      <c r="O284" s="9">
        <f>IF(G284=0,0,N284/G284)</f>
        <v/>
      </c>
      <c r="P284" s="6">
        <f>IF(M284&gt;0,D284,"")</f>
        <v/>
      </c>
      <c r="Q284" s="9">
        <f>I284+O284</f>
        <v/>
      </c>
      <c r="R284" s="7">
        <f>Q284*G284</f>
        <v/>
      </c>
      <c r="S284" s="8">
        <f>IF($R$311=0,0,R284/$R$311)</f>
        <v/>
      </c>
      <c r="T284" s="8" t="n">
        <v>0</v>
      </c>
      <c r="U284" s="8" t="n">
        <v>-0.04332580531855745</v>
      </c>
      <c r="V284" s="6" t="inlineStr">
        <is>
          <t>not selected</t>
        </is>
      </c>
    </row>
    <row r="285">
      <c r="A285" s="6" t="inlineStr">
        <is>
          <t>DJ30</t>
        </is>
      </c>
      <c r="B285" s="6" t="inlineStr">
        <is>
          <t>2023-03-10</t>
        </is>
      </c>
      <c r="C285" s="6" t="inlineStr">
        <is>
          <t>DIA</t>
        </is>
      </c>
      <c r="D285" s="6" t="inlineStr">
        <is>
          <t>BA</t>
        </is>
      </c>
      <c r="E285" s="6" t="inlineStr">
        <is>
          <t>BA</t>
        </is>
      </c>
      <c r="F285" s="6" t="inlineStr">
        <is>
          <t>-</t>
        </is>
      </c>
      <c r="G285" s="7" t="n">
        <v>203.0700073242188</v>
      </c>
      <c r="H285" s="6">
        <f>P254</f>
        <v/>
      </c>
      <c r="I285" s="9">
        <f>Q254</f>
        <v/>
      </c>
      <c r="J285" s="7">
        <f>I285*G285</f>
        <v/>
      </c>
      <c r="K285" s="8">
        <f>IF($J$311=0,0,J285/$J$311)</f>
        <v/>
      </c>
      <c r="L285" s="6" t="inlineStr">
        <is>
          <t>REJECTED</t>
        </is>
      </c>
      <c r="M285" s="8" t="n">
        <v>0</v>
      </c>
      <c r="N285" s="7">
        <f>M285*$J$311-J285</f>
        <v/>
      </c>
      <c r="O285" s="9">
        <f>IF(G285=0,0,N285/G285)</f>
        <v/>
      </c>
      <c r="P285" s="6">
        <f>IF(M285&gt;0,D285,"")</f>
        <v/>
      </c>
      <c r="Q285" s="9">
        <f>I285+O285</f>
        <v/>
      </c>
      <c r="R285" s="7">
        <f>Q285*G285</f>
        <v/>
      </c>
      <c r="S285" s="8">
        <f>IF($R$311=0,0,R285/$R$311)</f>
        <v/>
      </c>
      <c r="T285" s="8" t="n">
        <v>0</v>
      </c>
      <c r="U285" s="8" t="n">
        <v>-0.04332580531855745</v>
      </c>
      <c r="V285" s="6" t="inlineStr">
        <is>
          <t>not selected</t>
        </is>
      </c>
    </row>
    <row r="286">
      <c r="A286" s="6" t="inlineStr">
        <is>
          <t>DJ30</t>
        </is>
      </c>
      <c r="B286" s="6" t="inlineStr">
        <is>
          <t>2023-03-10</t>
        </is>
      </c>
      <c r="C286" s="6" t="inlineStr">
        <is>
          <t>DIA</t>
        </is>
      </c>
      <c r="D286" s="6" t="inlineStr">
        <is>
          <t>CAT</t>
        </is>
      </c>
      <c r="E286" s="6" t="inlineStr">
        <is>
          <t>CAT</t>
        </is>
      </c>
      <c r="F286" s="6" t="inlineStr">
        <is>
          <t>-</t>
        </is>
      </c>
      <c r="G286" s="7" t="n">
        <v>215.7991333007812</v>
      </c>
      <c r="H286" s="6">
        <f>P255</f>
        <v/>
      </c>
      <c r="I286" s="9">
        <f>Q255</f>
        <v/>
      </c>
      <c r="J286" s="7">
        <f>I286*G286</f>
        <v/>
      </c>
      <c r="K286" s="8">
        <f>IF($J$311=0,0,J286/$J$311)</f>
        <v/>
      </c>
      <c r="L286" s="6" t="inlineStr">
        <is>
          <t>REJECTED</t>
        </is>
      </c>
      <c r="M286" s="8" t="n">
        <v>0</v>
      </c>
      <c r="N286" s="7">
        <f>M286*$J$311-J286</f>
        <v/>
      </c>
      <c r="O286" s="9">
        <f>IF(G286=0,0,N286/G286)</f>
        <v/>
      </c>
      <c r="P286" s="6">
        <f>IF(M286&gt;0,D286,"")</f>
        <v/>
      </c>
      <c r="Q286" s="9">
        <f>I286+O286</f>
        <v/>
      </c>
      <c r="R286" s="7">
        <f>Q286*G286</f>
        <v/>
      </c>
      <c r="S286" s="8">
        <f>IF($R$311=0,0,R286/$R$311)</f>
        <v/>
      </c>
      <c r="T286" s="8" t="n">
        <v>0</v>
      </c>
      <c r="U286" s="8" t="n">
        <v>-0.04332580531855745</v>
      </c>
      <c r="V286" s="6" t="inlineStr">
        <is>
          <t>not selected</t>
        </is>
      </c>
    </row>
    <row r="287">
      <c r="A287" s="6" t="inlineStr">
        <is>
          <t>DJ30</t>
        </is>
      </c>
      <c r="B287" s="6" t="inlineStr">
        <is>
          <t>2023-03-10</t>
        </is>
      </c>
      <c r="C287" s="6" t="inlineStr">
        <is>
          <t>DIA</t>
        </is>
      </c>
      <c r="D287" s="6" t="inlineStr">
        <is>
          <t>CRM</t>
        </is>
      </c>
      <c r="E287" s="6" t="inlineStr">
        <is>
          <t>CRM</t>
        </is>
      </c>
      <c r="F287" s="6" t="inlineStr">
        <is>
          <t>-</t>
        </is>
      </c>
      <c r="G287" s="7" t="n">
        <v>170.2348327636719</v>
      </c>
      <c r="H287" s="6">
        <f>P256</f>
        <v/>
      </c>
      <c r="I287" s="9">
        <f>Q256</f>
        <v/>
      </c>
      <c r="J287" s="7">
        <f>I287*G287</f>
        <v/>
      </c>
      <c r="K287" s="8">
        <f>IF($J$311=0,0,J287/$J$311)</f>
        <v/>
      </c>
      <c r="L287" s="6" t="inlineStr">
        <is>
          <t>REJECTED</t>
        </is>
      </c>
      <c r="M287" s="8" t="n">
        <v>0</v>
      </c>
      <c r="N287" s="7">
        <f>M287*$J$311-J287</f>
        <v/>
      </c>
      <c r="O287" s="9">
        <f>IF(G287=0,0,N287/G287)</f>
        <v/>
      </c>
      <c r="P287" s="6">
        <f>IF(M287&gt;0,D287,"")</f>
        <v/>
      </c>
      <c r="Q287" s="9">
        <f>I287+O287</f>
        <v/>
      </c>
      <c r="R287" s="7">
        <f>Q287*G287</f>
        <v/>
      </c>
      <c r="S287" s="8">
        <f>IF($R$311=0,0,R287/$R$311)</f>
        <v/>
      </c>
      <c r="T287" s="8" t="n">
        <v>0</v>
      </c>
      <c r="U287" s="8" t="n">
        <v>-0.04332580531855745</v>
      </c>
      <c r="V287" s="6" t="inlineStr">
        <is>
          <t>not selected</t>
        </is>
      </c>
    </row>
    <row r="288">
      <c r="A288" s="6" t="inlineStr">
        <is>
          <t>DJ30</t>
        </is>
      </c>
      <c r="B288" s="6" t="inlineStr">
        <is>
          <t>2023-03-10</t>
        </is>
      </c>
      <c r="C288" s="6" t="inlineStr">
        <is>
          <t>DIA</t>
        </is>
      </c>
      <c r="D288" s="6" t="inlineStr">
        <is>
          <t>CSCO</t>
        </is>
      </c>
      <c r="E288" s="6" t="inlineStr">
        <is>
          <t>CSCO</t>
        </is>
      </c>
      <c r="F288" s="6" t="inlineStr">
        <is>
          <t>-</t>
        </is>
      </c>
      <c r="G288" s="7" t="n">
        <v>44.35973358154297</v>
      </c>
      <c r="H288" s="6">
        <f>P257</f>
        <v/>
      </c>
      <c r="I288" s="9">
        <f>Q257</f>
        <v/>
      </c>
      <c r="J288" s="7">
        <f>I288*G288</f>
        <v/>
      </c>
      <c r="K288" s="8">
        <f>IF($J$311=0,0,J288/$J$311)</f>
        <v/>
      </c>
      <c r="L288" s="6" t="inlineStr">
        <is>
          <t>REJECTED</t>
        </is>
      </c>
      <c r="M288" s="8" t="n">
        <v>0</v>
      </c>
      <c r="N288" s="7">
        <f>M288*$J$311-J288</f>
        <v/>
      </c>
      <c r="O288" s="9">
        <f>IF(G288=0,0,N288/G288)</f>
        <v/>
      </c>
      <c r="P288" s="6">
        <f>IF(M288&gt;0,D288,"")</f>
        <v/>
      </c>
      <c r="Q288" s="9">
        <f>I288+O288</f>
        <v/>
      </c>
      <c r="R288" s="7">
        <f>Q288*G288</f>
        <v/>
      </c>
      <c r="S288" s="8">
        <f>IF($R$311=0,0,R288/$R$311)</f>
        <v/>
      </c>
      <c r="T288" s="8" t="n">
        <v>0</v>
      </c>
      <c r="U288" s="8" t="n">
        <v>-0.04332580531855745</v>
      </c>
      <c r="V288" s="6" t="inlineStr">
        <is>
          <t>not selected</t>
        </is>
      </c>
    </row>
    <row r="289">
      <c r="A289" s="6" t="inlineStr">
        <is>
          <t>DJ30</t>
        </is>
      </c>
      <c r="B289" s="6" t="inlineStr">
        <is>
          <t>2023-03-10</t>
        </is>
      </c>
      <c r="C289" s="6" t="inlineStr">
        <is>
          <t>DIA</t>
        </is>
      </c>
      <c r="D289" s="6" t="inlineStr">
        <is>
          <t>CVX</t>
        </is>
      </c>
      <c r="E289" s="6" t="inlineStr">
        <is>
          <t>CVX</t>
        </is>
      </c>
      <c r="F289" s="6" t="inlineStr">
        <is>
          <t>-</t>
        </is>
      </c>
      <c r="G289" s="7" t="n">
        <v>139.3552093505859</v>
      </c>
      <c r="H289" s="6">
        <f>P258</f>
        <v/>
      </c>
      <c r="I289" s="9">
        <f>Q258</f>
        <v/>
      </c>
      <c r="J289" s="7">
        <f>I289*G289</f>
        <v/>
      </c>
      <c r="K289" s="8">
        <f>IF($J$311=0,0,J289/$J$311)</f>
        <v/>
      </c>
      <c r="L289" s="6" t="inlineStr">
        <is>
          <t>REJECTED</t>
        </is>
      </c>
      <c r="M289" s="8" t="n">
        <v>0</v>
      </c>
      <c r="N289" s="7">
        <f>M289*$J$311-J289</f>
        <v/>
      </c>
      <c r="O289" s="9">
        <f>IF(G289=0,0,N289/G289)</f>
        <v/>
      </c>
      <c r="P289" s="6">
        <f>IF(M289&gt;0,D289,"")</f>
        <v/>
      </c>
      <c r="Q289" s="9">
        <f>I289+O289</f>
        <v/>
      </c>
      <c r="R289" s="7">
        <f>Q289*G289</f>
        <v/>
      </c>
      <c r="S289" s="8">
        <f>IF($R$311=0,0,R289/$R$311)</f>
        <v/>
      </c>
      <c r="T289" s="8" t="n">
        <v>0</v>
      </c>
      <c r="U289" s="8" t="n">
        <v>-0.04332580531855745</v>
      </c>
      <c r="V289" s="6" t="inlineStr">
        <is>
          <t>not selected</t>
        </is>
      </c>
    </row>
    <row r="290">
      <c r="A290" s="6" t="inlineStr">
        <is>
          <t>DJ30</t>
        </is>
      </c>
      <c r="B290" s="6" t="inlineStr">
        <is>
          <t>2023-03-10</t>
        </is>
      </c>
      <c r="C290" s="6" t="inlineStr">
        <is>
          <t>DIA</t>
        </is>
      </c>
      <c r="D290" s="6" t="inlineStr">
        <is>
          <t>DIS</t>
        </is>
      </c>
      <c r="E290" s="6" t="inlineStr">
        <is>
          <t>DIS</t>
        </is>
      </c>
      <c r="F290" s="6" t="inlineStr">
        <is>
          <t>-</t>
        </is>
      </c>
      <c r="G290" s="7" t="n">
        <v>91.41718292236328</v>
      </c>
      <c r="H290" s="6">
        <f>P259</f>
        <v/>
      </c>
      <c r="I290" s="9">
        <f>Q259</f>
        <v/>
      </c>
      <c r="J290" s="7">
        <f>I290*G290</f>
        <v/>
      </c>
      <c r="K290" s="8">
        <f>IF($J$311=0,0,J290/$J$311)</f>
        <v/>
      </c>
      <c r="L290" s="6" t="inlineStr">
        <is>
          <t>REJECTED</t>
        </is>
      </c>
      <c r="M290" s="8" t="n">
        <v>0</v>
      </c>
      <c r="N290" s="7">
        <f>M290*$J$311-J290</f>
        <v/>
      </c>
      <c r="O290" s="9">
        <f>IF(G290=0,0,N290/G290)</f>
        <v/>
      </c>
      <c r="P290" s="6">
        <f>IF(M290&gt;0,D290,"")</f>
        <v/>
      </c>
      <c r="Q290" s="9">
        <f>I290+O290</f>
        <v/>
      </c>
      <c r="R290" s="7">
        <f>Q290*G290</f>
        <v/>
      </c>
      <c r="S290" s="8">
        <f>IF($R$311=0,0,R290/$R$311)</f>
        <v/>
      </c>
      <c r="T290" s="8" t="n">
        <v>0</v>
      </c>
      <c r="U290" s="8" t="n">
        <v>-0.04332580531855745</v>
      </c>
      <c r="V290" s="6" t="inlineStr">
        <is>
          <t>not selected</t>
        </is>
      </c>
    </row>
    <row r="291">
      <c r="A291" s="6" t="inlineStr">
        <is>
          <t>DJ30</t>
        </is>
      </c>
      <c r="B291" s="6" t="inlineStr">
        <is>
          <t>2023-03-10</t>
        </is>
      </c>
      <c r="C291" s="6" t="inlineStr">
        <is>
          <t>DIA</t>
        </is>
      </c>
      <c r="D291" s="6" t="inlineStr">
        <is>
          <t>GS</t>
        </is>
      </c>
      <c r="E291" s="6" t="inlineStr">
        <is>
          <t>GS</t>
        </is>
      </c>
      <c r="F291" s="6" t="inlineStr">
        <is>
          <t>-</t>
        </is>
      </c>
      <c r="G291" s="7" t="n">
        <v>303.1280517578125</v>
      </c>
      <c r="H291" s="6">
        <f>P260</f>
        <v/>
      </c>
      <c r="I291" s="9">
        <f>Q260</f>
        <v/>
      </c>
      <c r="J291" s="7">
        <f>I291*G291</f>
        <v/>
      </c>
      <c r="K291" s="8">
        <f>IF($J$311=0,0,J291/$J$311)</f>
        <v/>
      </c>
      <c r="L291" s="6" t="inlineStr">
        <is>
          <t>REJECTED</t>
        </is>
      </c>
      <c r="M291" s="8" t="n">
        <v>0</v>
      </c>
      <c r="N291" s="7">
        <f>M291*$J$311-J291</f>
        <v/>
      </c>
      <c r="O291" s="9">
        <f>IF(G291=0,0,N291/G291)</f>
        <v/>
      </c>
      <c r="P291" s="6">
        <f>IF(M291&gt;0,D291,"")</f>
        <v/>
      </c>
      <c r="Q291" s="9">
        <f>I291+O291</f>
        <v/>
      </c>
      <c r="R291" s="7">
        <f>Q291*G291</f>
        <v/>
      </c>
      <c r="S291" s="8">
        <f>IF($R$311=0,0,R291/$R$311)</f>
        <v/>
      </c>
      <c r="T291" s="8" t="n">
        <v>0</v>
      </c>
      <c r="U291" s="8" t="n">
        <v>-0.04332580531855745</v>
      </c>
      <c r="V291" s="6" t="inlineStr">
        <is>
          <t>not selected</t>
        </is>
      </c>
    </row>
    <row r="292">
      <c r="A292" s="6" t="inlineStr">
        <is>
          <t>DJ30</t>
        </is>
      </c>
      <c r="B292" s="6" t="inlineStr">
        <is>
          <t>2023-03-10</t>
        </is>
      </c>
      <c r="C292" s="6" t="inlineStr">
        <is>
          <t>DIA</t>
        </is>
      </c>
      <c r="D292" s="6" t="inlineStr">
        <is>
          <t>HD</t>
        </is>
      </c>
      <c r="E292" s="6" t="inlineStr">
        <is>
          <t>HD</t>
        </is>
      </c>
      <c r="F292" s="6" t="inlineStr">
        <is>
          <t>-</t>
        </is>
      </c>
      <c r="G292" s="7" t="n">
        <v>263.4553527832031</v>
      </c>
      <c r="H292" s="6">
        <f>P261</f>
        <v/>
      </c>
      <c r="I292" s="9">
        <f>Q261</f>
        <v/>
      </c>
      <c r="J292" s="7">
        <f>I292*G292</f>
        <v/>
      </c>
      <c r="K292" s="8">
        <f>IF($J$311=0,0,J292/$J$311)</f>
        <v/>
      </c>
      <c r="L292" s="6" t="inlineStr">
        <is>
          <t>REJECTED</t>
        </is>
      </c>
      <c r="M292" s="8" t="n">
        <v>0</v>
      </c>
      <c r="N292" s="7">
        <f>M292*$J$311-J292</f>
        <v/>
      </c>
      <c r="O292" s="9">
        <f>IF(G292=0,0,N292/G292)</f>
        <v/>
      </c>
      <c r="P292" s="6">
        <f>IF(M292&gt;0,D292,"")</f>
        <v/>
      </c>
      <c r="Q292" s="9">
        <f>I292+O292</f>
        <v/>
      </c>
      <c r="R292" s="7">
        <f>Q292*G292</f>
        <v/>
      </c>
      <c r="S292" s="8">
        <f>IF($R$311=0,0,R292/$R$311)</f>
        <v/>
      </c>
      <c r="T292" s="8" t="n">
        <v>0</v>
      </c>
      <c r="U292" s="8" t="n">
        <v>-0.04332580531855745</v>
      </c>
      <c r="V292" s="6" t="inlineStr">
        <is>
          <t>not selected</t>
        </is>
      </c>
    </row>
    <row r="293">
      <c r="A293" s="6" t="inlineStr">
        <is>
          <t>DJ30</t>
        </is>
      </c>
      <c r="B293" s="6" t="inlineStr">
        <is>
          <t>2023-03-10</t>
        </is>
      </c>
      <c r="C293" s="6" t="inlineStr">
        <is>
          <t>DIA</t>
        </is>
      </c>
      <c r="D293" s="6" t="inlineStr">
        <is>
          <t>HON</t>
        </is>
      </c>
      <c r="E293" s="6" t="inlineStr">
        <is>
          <t>HON</t>
        </is>
      </c>
      <c r="F293" s="6" t="inlineStr">
        <is>
          <t>-</t>
        </is>
      </c>
      <c r="G293" s="7" t="n">
        <v>169.9438629150391</v>
      </c>
      <c r="H293" s="6">
        <f>P262</f>
        <v/>
      </c>
      <c r="I293" s="9">
        <f>Q262</f>
        <v/>
      </c>
      <c r="J293" s="7">
        <f>I293*G293</f>
        <v/>
      </c>
      <c r="K293" s="8">
        <f>IF($J$311=0,0,J293/$J$311)</f>
        <v/>
      </c>
      <c r="L293" s="6" t="inlineStr">
        <is>
          <t>REJECTED</t>
        </is>
      </c>
      <c r="M293" s="8" t="n">
        <v>0</v>
      </c>
      <c r="N293" s="7">
        <f>M293*$J$311-J293</f>
        <v/>
      </c>
      <c r="O293" s="9">
        <f>IF(G293=0,0,N293/G293)</f>
        <v/>
      </c>
      <c r="P293" s="6">
        <f>IF(M293&gt;0,D293,"")</f>
        <v/>
      </c>
      <c r="Q293" s="9">
        <f>I293+O293</f>
        <v/>
      </c>
      <c r="R293" s="7">
        <f>Q293*G293</f>
        <v/>
      </c>
      <c r="S293" s="8">
        <f>IF($R$311=0,0,R293/$R$311)</f>
        <v/>
      </c>
      <c r="T293" s="8" t="n">
        <v>0</v>
      </c>
      <c r="U293" s="8" t="n">
        <v>-0.04332580531855745</v>
      </c>
      <c r="V293" s="6" t="inlineStr">
        <is>
          <t>not selected</t>
        </is>
      </c>
    </row>
    <row r="294">
      <c r="A294" s="6" t="inlineStr">
        <is>
          <t>DJ30</t>
        </is>
      </c>
      <c r="B294" s="6" t="inlineStr">
        <is>
          <t>2023-03-10</t>
        </is>
      </c>
      <c r="C294" s="6" t="inlineStr">
        <is>
          <t>DIA</t>
        </is>
      </c>
      <c r="D294" s="6" t="inlineStr">
        <is>
          <t>IBM</t>
        </is>
      </c>
      <c r="E294" s="6" t="inlineStr">
        <is>
          <t>IBM</t>
        </is>
      </c>
      <c r="F294" s="6" t="inlineStr">
        <is>
          <t>-</t>
        </is>
      </c>
      <c r="G294" s="7" t="n">
        <v>112.348388671875</v>
      </c>
      <c r="H294" s="6">
        <f>P263</f>
        <v/>
      </c>
      <c r="I294" s="9">
        <f>Q263</f>
        <v/>
      </c>
      <c r="J294" s="7">
        <f>I294*G294</f>
        <v/>
      </c>
      <c r="K294" s="8">
        <f>IF($J$311=0,0,J294/$J$311)</f>
        <v/>
      </c>
      <c r="L294" s="6" t="inlineStr">
        <is>
          <t>REJECTED</t>
        </is>
      </c>
      <c r="M294" s="8" t="n">
        <v>0</v>
      </c>
      <c r="N294" s="7">
        <f>M294*$J$311-J294</f>
        <v/>
      </c>
      <c r="O294" s="9">
        <f>IF(G294=0,0,N294/G294)</f>
        <v/>
      </c>
      <c r="P294" s="6">
        <f>IF(M294&gt;0,D294,"")</f>
        <v/>
      </c>
      <c r="Q294" s="9">
        <f>I294+O294</f>
        <v/>
      </c>
      <c r="R294" s="7">
        <f>Q294*G294</f>
        <v/>
      </c>
      <c r="S294" s="8">
        <f>IF($R$311=0,0,R294/$R$311)</f>
        <v/>
      </c>
      <c r="T294" s="8" t="n">
        <v>0</v>
      </c>
      <c r="U294" s="8" t="n">
        <v>-0.04332580531855745</v>
      </c>
      <c r="V294" s="6" t="inlineStr">
        <is>
          <t>not selected</t>
        </is>
      </c>
    </row>
    <row r="295">
      <c r="A295" s="6" t="inlineStr">
        <is>
          <t>DJ30</t>
        </is>
      </c>
      <c r="B295" s="6" t="inlineStr">
        <is>
          <t>2023-03-10</t>
        </is>
      </c>
      <c r="C295" s="6" t="inlineStr">
        <is>
          <t>DIA</t>
        </is>
      </c>
      <c r="D295" s="6" t="inlineStr">
        <is>
          <t>JNJ</t>
        </is>
      </c>
      <c r="E295" s="6" t="inlineStr">
        <is>
          <t>JNJ</t>
        </is>
      </c>
      <c r="F295" s="6" t="inlineStr">
        <is>
          <t>-</t>
        </is>
      </c>
      <c r="G295" s="7" t="n">
        <v>137.8585205078125</v>
      </c>
      <c r="H295" s="6">
        <f>P264</f>
        <v/>
      </c>
      <c r="I295" s="9">
        <f>Q264</f>
        <v/>
      </c>
      <c r="J295" s="7">
        <f>I295*G295</f>
        <v/>
      </c>
      <c r="K295" s="8">
        <f>IF($J$311=0,0,J295/$J$311)</f>
        <v/>
      </c>
      <c r="L295" s="6" t="inlineStr">
        <is>
          <t>REJECTED</t>
        </is>
      </c>
      <c r="M295" s="8" t="n">
        <v>0</v>
      </c>
      <c r="N295" s="7">
        <f>M295*$J$311-J295</f>
        <v/>
      </c>
      <c r="O295" s="9">
        <f>IF(G295=0,0,N295/G295)</f>
        <v/>
      </c>
      <c r="P295" s="6">
        <f>IF(M295&gt;0,D295,"")</f>
        <v/>
      </c>
      <c r="Q295" s="9">
        <f>I295+O295</f>
        <v/>
      </c>
      <c r="R295" s="7">
        <f>Q295*G295</f>
        <v/>
      </c>
      <c r="S295" s="8">
        <f>IF($R$311=0,0,R295/$R$311)</f>
        <v/>
      </c>
      <c r="T295" s="8" t="n">
        <v>0</v>
      </c>
      <c r="U295" s="8" t="n">
        <v>-0.04332580531855745</v>
      </c>
      <c r="V295" s="6" t="inlineStr">
        <is>
          <t>not selected</t>
        </is>
      </c>
    </row>
    <row r="296">
      <c r="A296" s="6" t="inlineStr">
        <is>
          <t>DJ30</t>
        </is>
      </c>
      <c r="B296" s="6" t="inlineStr">
        <is>
          <t>2023-03-10</t>
        </is>
      </c>
      <c r="C296" s="6" t="inlineStr">
        <is>
          <t>DIA</t>
        </is>
      </c>
      <c r="D296" s="6" t="inlineStr">
        <is>
          <t>JPM</t>
        </is>
      </c>
      <c r="E296" s="6" t="inlineStr">
        <is>
          <t>JPM</t>
        </is>
      </c>
      <c r="F296" s="6" t="inlineStr">
        <is>
          <t>-</t>
        </is>
      </c>
      <c r="G296" s="7" t="n">
        <v>123.8485107421875</v>
      </c>
      <c r="H296" s="6">
        <f>P265</f>
        <v/>
      </c>
      <c r="I296" s="9">
        <f>Q265</f>
        <v/>
      </c>
      <c r="J296" s="7">
        <f>I296*G296</f>
        <v/>
      </c>
      <c r="K296" s="8">
        <f>IF($J$311=0,0,J296/$J$311)</f>
        <v/>
      </c>
      <c r="L296" s="6" t="inlineStr">
        <is>
          <t>REJECTED</t>
        </is>
      </c>
      <c r="M296" s="8" t="n">
        <v>0</v>
      </c>
      <c r="N296" s="7">
        <f>M296*$J$311-J296</f>
        <v/>
      </c>
      <c r="O296" s="9">
        <f>IF(G296=0,0,N296/G296)</f>
        <v/>
      </c>
      <c r="P296" s="6">
        <f>IF(M296&gt;0,D296,"")</f>
        <v/>
      </c>
      <c r="Q296" s="9">
        <f>I296+O296</f>
        <v/>
      </c>
      <c r="R296" s="7">
        <f>Q296*G296</f>
        <v/>
      </c>
      <c r="S296" s="8">
        <f>IF($R$311=0,0,R296/$R$311)</f>
        <v/>
      </c>
      <c r="T296" s="8" t="n">
        <v>0</v>
      </c>
      <c r="U296" s="8" t="n">
        <v>-0.04332580531855745</v>
      </c>
      <c r="V296" s="6" t="inlineStr">
        <is>
          <t>not selected</t>
        </is>
      </c>
    </row>
    <row r="297">
      <c r="A297" s="6" t="inlineStr">
        <is>
          <t>DJ30</t>
        </is>
      </c>
      <c r="B297" s="6" t="inlineStr">
        <is>
          <t>2023-03-10</t>
        </is>
      </c>
      <c r="C297" s="6" t="inlineStr">
        <is>
          <t>DIA</t>
        </is>
      </c>
      <c r="D297" s="6" t="inlineStr">
        <is>
          <t>KO</t>
        </is>
      </c>
      <c r="E297" s="6" t="inlineStr">
        <is>
          <t>KO</t>
        </is>
      </c>
      <c r="F297" s="6" t="inlineStr">
        <is>
          <t>-</t>
        </is>
      </c>
      <c r="G297" s="7" t="n">
        <v>53.38766098022461</v>
      </c>
      <c r="H297" s="6">
        <f>P266</f>
        <v/>
      </c>
      <c r="I297" s="9">
        <f>Q266</f>
        <v/>
      </c>
      <c r="J297" s="7">
        <f>I297*G297</f>
        <v/>
      </c>
      <c r="K297" s="8">
        <f>IF($J$311=0,0,J297/$J$311)</f>
        <v/>
      </c>
      <c r="L297" s="6" t="inlineStr">
        <is>
          <t>REJECTED</t>
        </is>
      </c>
      <c r="M297" s="8" t="n">
        <v>0</v>
      </c>
      <c r="N297" s="7">
        <f>M297*$J$311-J297</f>
        <v/>
      </c>
      <c r="O297" s="9">
        <f>IF(G297=0,0,N297/G297)</f>
        <v/>
      </c>
      <c r="P297" s="6">
        <f>IF(M297&gt;0,D297,"")</f>
        <v/>
      </c>
      <c r="Q297" s="9">
        <f>I297+O297</f>
        <v/>
      </c>
      <c r="R297" s="7">
        <f>Q297*G297</f>
        <v/>
      </c>
      <c r="S297" s="8">
        <f>IF($R$311=0,0,R297/$R$311)</f>
        <v/>
      </c>
      <c r="T297" s="8" t="n">
        <v>0</v>
      </c>
      <c r="U297" s="8" t="n">
        <v>-0.04332580531855745</v>
      </c>
      <c r="V297" s="6" t="inlineStr">
        <is>
          <t>not selected</t>
        </is>
      </c>
    </row>
    <row r="298">
      <c r="A298" s="6" t="inlineStr">
        <is>
          <t>DJ30</t>
        </is>
      </c>
      <c r="B298" s="6" t="inlineStr">
        <is>
          <t>2023-03-10</t>
        </is>
      </c>
      <c r="C298" s="6" t="inlineStr">
        <is>
          <t>DIA</t>
        </is>
      </c>
      <c r="D298" s="6" t="inlineStr">
        <is>
          <t>MCD</t>
        </is>
      </c>
      <c r="E298" s="6" t="inlineStr">
        <is>
          <t>MCD</t>
        </is>
      </c>
      <c r="F298" s="6" t="inlineStr">
        <is>
          <t>-</t>
        </is>
      </c>
      <c r="G298" s="7" t="n">
        <v>242.8629913330078</v>
      </c>
      <c r="H298" s="6">
        <f>P267</f>
        <v/>
      </c>
      <c r="I298" s="9">
        <f>Q267</f>
        <v/>
      </c>
      <c r="J298" s="7">
        <f>I298*G298</f>
        <v/>
      </c>
      <c r="K298" s="8">
        <f>IF($J$311=0,0,J298/$J$311)</f>
        <v/>
      </c>
      <c r="L298" s="6" t="inlineStr">
        <is>
          <t>REJECTED</t>
        </is>
      </c>
      <c r="M298" s="8" t="n">
        <v>0</v>
      </c>
      <c r="N298" s="7">
        <f>M298*$J$311-J298</f>
        <v/>
      </c>
      <c r="O298" s="9">
        <f>IF(G298=0,0,N298/G298)</f>
        <v/>
      </c>
      <c r="P298" s="6">
        <f>IF(M298&gt;0,D298,"")</f>
        <v/>
      </c>
      <c r="Q298" s="9">
        <f>I298+O298</f>
        <v/>
      </c>
      <c r="R298" s="7">
        <f>Q298*G298</f>
        <v/>
      </c>
      <c r="S298" s="8">
        <f>IF($R$311=0,0,R298/$R$311)</f>
        <v/>
      </c>
      <c r="T298" s="8" t="n">
        <v>0</v>
      </c>
      <c r="U298" s="8" t="n">
        <v>-0.04332580531855745</v>
      </c>
      <c r="V298" s="6" t="inlineStr">
        <is>
          <t>not selected</t>
        </is>
      </c>
    </row>
    <row r="299">
      <c r="A299" s="6" t="inlineStr">
        <is>
          <t>DJ30</t>
        </is>
      </c>
      <c r="B299" s="6" t="inlineStr">
        <is>
          <t>2023-03-10</t>
        </is>
      </c>
      <c r="C299" s="6" t="inlineStr">
        <is>
          <t>DIA</t>
        </is>
      </c>
      <c r="D299" s="6" t="inlineStr">
        <is>
          <t>MMM</t>
        </is>
      </c>
      <c r="E299" s="6" t="inlineStr">
        <is>
          <t>MMM</t>
        </is>
      </c>
      <c r="F299" s="6" t="inlineStr">
        <is>
          <t>-</t>
        </is>
      </c>
      <c r="G299" s="7" t="n">
        <v>78.102783203125</v>
      </c>
      <c r="H299" s="6">
        <f>P268</f>
        <v/>
      </c>
      <c r="I299" s="9">
        <f>Q268</f>
        <v/>
      </c>
      <c r="J299" s="7">
        <f>I299*G299</f>
        <v/>
      </c>
      <c r="K299" s="8">
        <f>IF($J$311=0,0,J299/$J$311)</f>
        <v/>
      </c>
      <c r="L299" s="6" t="inlineStr">
        <is>
          <t>REJECTED</t>
        </is>
      </c>
      <c r="M299" s="8" t="n">
        <v>0</v>
      </c>
      <c r="N299" s="7">
        <f>M299*$J$311-J299</f>
        <v/>
      </c>
      <c r="O299" s="9">
        <f>IF(G299=0,0,N299/G299)</f>
        <v/>
      </c>
      <c r="P299" s="6">
        <f>IF(M299&gt;0,D299,"")</f>
        <v/>
      </c>
      <c r="Q299" s="9">
        <f>I299+O299</f>
        <v/>
      </c>
      <c r="R299" s="7">
        <f>Q299*G299</f>
        <v/>
      </c>
      <c r="S299" s="8">
        <f>IF($R$311=0,0,R299/$R$311)</f>
        <v/>
      </c>
      <c r="T299" s="8" t="n">
        <v>0</v>
      </c>
      <c r="U299" s="8" t="n">
        <v>-0.04332580531855745</v>
      </c>
      <c r="V299" s="6" t="inlineStr">
        <is>
          <t>not selected</t>
        </is>
      </c>
    </row>
    <row r="300">
      <c r="A300" s="6" t="inlineStr">
        <is>
          <t>DJ30</t>
        </is>
      </c>
      <c r="B300" s="6" t="inlineStr">
        <is>
          <t>2023-03-10</t>
        </is>
      </c>
      <c r="C300" s="6" t="inlineStr">
        <is>
          <t>DIA</t>
        </is>
      </c>
      <c r="D300" s="6" t="inlineStr">
        <is>
          <t>MRK</t>
        </is>
      </c>
      <c r="E300" s="6" t="inlineStr">
        <is>
          <t>MRK</t>
        </is>
      </c>
      <c r="F300" s="6" t="inlineStr">
        <is>
          <t>-</t>
        </is>
      </c>
      <c r="G300" s="7" t="n">
        <v>96.86146545410156</v>
      </c>
      <c r="H300" s="6">
        <f>P269</f>
        <v/>
      </c>
      <c r="I300" s="9">
        <f>Q269</f>
        <v/>
      </c>
      <c r="J300" s="7">
        <f>I300*G300</f>
        <v/>
      </c>
      <c r="K300" s="8">
        <f>IF($J$311=0,0,J300/$J$311)</f>
        <v/>
      </c>
      <c r="L300" s="6" t="inlineStr">
        <is>
          <t>REJECTED</t>
        </is>
      </c>
      <c r="M300" s="8" t="n">
        <v>0</v>
      </c>
      <c r="N300" s="7">
        <f>M300*$J$311-J300</f>
        <v/>
      </c>
      <c r="O300" s="9">
        <f>IF(G300=0,0,N300/G300)</f>
        <v/>
      </c>
      <c r="P300" s="6">
        <f>IF(M300&gt;0,D300,"")</f>
        <v/>
      </c>
      <c r="Q300" s="9">
        <f>I300+O300</f>
        <v/>
      </c>
      <c r="R300" s="7">
        <f>Q300*G300</f>
        <v/>
      </c>
      <c r="S300" s="8">
        <f>IF($R$311=0,0,R300/$R$311)</f>
        <v/>
      </c>
      <c r="T300" s="8" t="n">
        <v>0</v>
      </c>
      <c r="U300" s="8" t="n">
        <v>-0.04332580531855745</v>
      </c>
      <c r="V300" s="6" t="inlineStr">
        <is>
          <t>not selected</t>
        </is>
      </c>
    </row>
    <row r="301">
      <c r="A301" s="6" t="inlineStr">
        <is>
          <t>DJ30</t>
        </is>
      </c>
      <c r="B301" s="6" t="inlineStr">
        <is>
          <t>2023-03-10</t>
        </is>
      </c>
      <c r="C301" s="6" t="inlineStr">
        <is>
          <t>DIA</t>
        </is>
      </c>
      <c r="D301" s="6" t="inlineStr">
        <is>
          <t>MSFT</t>
        </is>
      </c>
      <c r="E301" s="6" t="inlineStr">
        <is>
          <t>MSFT</t>
        </is>
      </c>
      <c r="F301" s="6" t="inlineStr">
        <is>
          <t>-</t>
        </is>
      </c>
      <c r="G301" s="7" t="n">
        <v>242.3142700195312</v>
      </c>
      <c r="H301" s="6">
        <f>P270</f>
        <v/>
      </c>
      <c r="I301" s="9">
        <f>Q270</f>
        <v/>
      </c>
      <c r="J301" s="7">
        <f>I301*G301</f>
        <v/>
      </c>
      <c r="K301" s="8">
        <f>IF($J$311=0,0,J301/$J$311)</f>
        <v/>
      </c>
      <c r="L301" s="6" t="inlineStr">
        <is>
          <t>REJECTED</t>
        </is>
      </c>
      <c r="M301" s="8" t="n">
        <v>0</v>
      </c>
      <c r="N301" s="7">
        <f>M301*$J$311-J301</f>
        <v/>
      </c>
      <c r="O301" s="9">
        <f>IF(G301=0,0,N301/G301)</f>
        <v/>
      </c>
      <c r="P301" s="6">
        <f>IF(M301&gt;0,D301,"")</f>
        <v/>
      </c>
      <c r="Q301" s="9">
        <f>I301+O301</f>
        <v/>
      </c>
      <c r="R301" s="7">
        <f>Q301*G301</f>
        <v/>
      </c>
      <c r="S301" s="8">
        <f>IF($R$311=0,0,R301/$R$311)</f>
        <v/>
      </c>
      <c r="T301" s="8" t="n">
        <v>0</v>
      </c>
      <c r="U301" s="8" t="n">
        <v>-0.04332580531855745</v>
      </c>
      <c r="V301" s="6" t="inlineStr">
        <is>
          <t>not selected</t>
        </is>
      </c>
    </row>
    <row r="302">
      <c r="A302" s="6" t="inlineStr">
        <is>
          <t>DJ30</t>
        </is>
      </c>
      <c r="B302" s="6" t="inlineStr">
        <is>
          <t>2023-03-10</t>
        </is>
      </c>
      <c r="C302" s="6" t="inlineStr">
        <is>
          <t>DIA</t>
        </is>
      </c>
      <c r="D302" s="6" t="inlineStr">
        <is>
          <t>NKE</t>
        </is>
      </c>
      <c r="E302" s="6" t="inlineStr">
        <is>
          <t>NKE</t>
        </is>
      </c>
      <c r="F302" s="6" t="inlineStr">
        <is>
          <t>-</t>
        </is>
      </c>
      <c r="G302" s="7" t="n">
        <v>110.0137710571289</v>
      </c>
      <c r="H302" s="6">
        <f>P271</f>
        <v/>
      </c>
      <c r="I302" s="9">
        <f>Q271</f>
        <v/>
      </c>
      <c r="J302" s="7">
        <f>I302*G302</f>
        <v/>
      </c>
      <c r="K302" s="8">
        <f>IF($J$311=0,0,J302/$J$311)</f>
        <v/>
      </c>
      <c r="L302" s="6" t="inlineStr">
        <is>
          <t>REJECTED</t>
        </is>
      </c>
      <c r="M302" s="8" t="n">
        <v>0</v>
      </c>
      <c r="N302" s="7">
        <f>M302*$J$311-J302</f>
        <v/>
      </c>
      <c r="O302" s="9">
        <f>IF(G302=0,0,N302/G302)</f>
        <v/>
      </c>
      <c r="P302" s="6">
        <f>IF(M302&gt;0,D302,"")</f>
        <v/>
      </c>
      <c r="Q302" s="9">
        <f>I302+O302</f>
        <v/>
      </c>
      <c r="R302" s="7">
        <f>Q302*G302</f>
        <v/>
      </c>
      <c r="S302" s="8">
        <f>IF($R$311=0,0,R302/$R$311)</f>
        <v/>
      </c>
      <c r="T302" s="8" t="n">
        <v>0</v>
      </c>
      <c r="U302" s="8" t="n">
        <v>-0.04332580531855745</v>
      </c>
      <c r="V302" s="6" t="inlineStr">
        <is>
          <t>not selected</t>
        </is>
      </c>
    </row>
    <row r="303">
      <c r="A303" s="6" t="inlineStr">
        <is>
          <t>DJ30</t>
        </is>
      </c>
      <c r="B303" s="6" t="inlineStr">
        <is>
          <t>2023-03-10</t>
        </is>
      </c>
      <c r="C303" s="6" t="inlineStr">
        <is>
          <t>DIA</t>
        </is>
      </c>
      <c r="D303" s="6" t="inlineStr">
        <is>
          <t>NVDA</t>
        </is>
      </c>
      <c r="E303" s="6" t="inlineStr">
        <is>
          <t>NVDA</t>
        </is>
      </c>
      <c r="F303" s="6" t="inlineStr">
        <is>
          <t>-</t>
        </is>
      </c>
      <c r="G303" s="7" t="n">
        <v>22.9179744720459</v>
      </c>
      <c r="H303" s="6">
        <f>P272</f>
        <v/>
      </c>
      <c r="I303" s="9">
        <f>Q272</f>
        <v/>
      </c>
      <c r="J303" s="7">
        <f>I303*G303</f>
        <v/>
      </c>
      <c r="K303" s="8">
        <f>IF($J$311=0,0,J303/$J$311)</f>
        <v/>
      </c>
      <c r="L303" s="6" t="inlineStr">
        <is>
          <t>REJECTED</t>
        </is>
      </c>
      <c r="M303" s="8" t="n">
        <v>0</v>
      </c>
      <c r="N303" s="7">
        <f>M303*$J$311-J303</f>
        <v/>
      </c>
      <c r="O303" s="9">
        <f>IF(G303=0,0,N303/G303)</f>
        <v/>
      </c>
      <c r="P303" s="6">
        <f>IF(M303&gt;0,D303,"")</f>
        <v/>
      </c>
      <c r="Q303" s="9">
        <f>I303+O303</f>
        <v/>
      </c>
      <c r="R303" s="7">
        <f>Q303*G303</f>
        <v/>
      </c>
      <c r="S303" s="8">
        <f>IF($R$311=0,0,R303/$R$311)</f>
        <v/>
      </c>
      <c r="T303" s="8" t="n">
        <v>0</v>
      </c>
      <c r="U303" s="8" t="n">
        <v>-0.04332580531855745</v>
      </c>
      <c r="V303" s="6" t="inlineStr">
        <is>
          <t>not selected</t>
        </is>
      </c>
    </row>
    <row r="304">
      <c r="A304" s="6" t="inlineStr">
        <is>
          <t>DJ30</t>
        </is>
      </c>
      <c r="B304" s="6" t="inlineStr">
        <is>
          <t>2023-03-10</t>
        </is>
      </c>
      <c r="C304" s="6" t="inlineStr">
        <is>
          <t>DIA</t>
        </is>
      </c>
      <c r="D304" s="6" t="inlineStr">
        <is>
          <t>PG</t>
        </is>
      </c>
      <c r="E304" s="6" t="inlineStr">
        <is>
          <t>PG</t>
        </is>
      </c>
      <c r="F304" s="6" t="inlineStr">
        <is>
          <t>-</t>
        </is>
      </c>
      <c r="G304" s="7" t="n">
        <v>126.1294021606445</v>
      </c>
      <c r="H304" s="6">
        <f>P273</f>
        <v/>
      </c>
      <c r="I304" s="9">
        <f>Q273</f>
        <v/>
      </c>
      <c r="J304" s="7">
        <f>I304*G304</f>
        <v/>
      </c>
      <c r="K304" s="8">
        <f>IF($J$311=0,0,J304/$J$311)</f>
        <v/>
      </c>
      <c r="L304" s="6" t="inlineStr">
        <is>
          <t>REJECTED</t>
        </is>
      </c>
      <c r="M304" s="8" t="n">
        <v>0</v>
      </c>
      <c r="N304" s="7">
        <f>M304*$J$311-J304</f>
        <v/>
      </c>
      <c r="O304" s="9">
        <f>IF(G304=0,0,N304/G304)</f>
        <v/>
      </c>
      <c r="P304" s="6">
        <f>IF(M304&gt;0,D304,"")</f>
        <v/>
      </c>
      <c r="Q304" s="9">
        <f>I304+O304</f>
        <v/>
      </c>
      <c r="R304" s="7">
        <f>Q304*G304</f>
        <v/>
      </c>
      <c r="S304" s="8">
        <f>IF($R$311=0,0,R304/$R$311)</f>
        <v/>
      </c>
      <c r="T304" s="8" t="n">
        <v>0</v>
      </c>
      <c r="U304" s="8" t="n">
        <v>-0.04332580531855745</v>
      </c>
      <c r="V304" s="6" t="inlineStr">
        <is>
          <t>not selected</t>
        </is>
      </c>
    </row>
    <row r="305">
      <c r="A305" s="6" t="inlineStr">
        <is>
          <t>DJ30</t>
        </is>
      </c>
      <c r="B305" s="6" t="inlineStr">
        <is>
          <t>2023-03-10</t>
        </is>
      </c>
      <c r="C305" s="6" t="inlineStr">
        <is>
          <t>DIA</t>
        </is>
      </c>
      <c r="D305" s="6" t="inlineStr">
        <is>
          <t>SHW</t>
        </is>
      </c>
      <c r="E305" s="6" t="inlineStr">
        <is>
          <t>SHW</t>
        </is>
      </c>
      <c r="F305" s="6" t="inlineStr">
        <is>
          <t>-</t>
        </is>
      </c>
      <c r="G305" s="7" t="n">
        <v>207.9430389404297</v>
      </c>
      <c r="H305" s="6">
        <f>P274</f>
        <v/>
      </c>
      <c r="I305" s="9">
        <f>Q274</f>
        <v/>
      </c>
      <c r="J305" s="7">
        <f>I305*G305</f>
        <v/>
      </c>
      <c r="K305" s="8">
        <f>IF($J$311=0,0,J305/$J$311)</f>
        <v/>
      </c>
      <c r="L305" s="6" t="inlineStr">
        <is>
          <t>REJECTED</t>
        </is>
      </c>
      <c r="M305" s="8" t="n">
        <v>0</v>
      </c>
      <c r="N305" s="7">
        <f>M305*$J$311-J305</f>
        <v/>
      </c>
      <c r="O305" s="9">
        <f>IF(G305=0,0,N305/G305)</f>
        <v/>
      </c>
      <c r="P305" s="6">
        <f>IF(M305&gt;0,D305,"")</f>
        <v/>
      </c>
      <c r="Q305" s="9">
        <f>I305+O305</f>
        <v/>
      </c>
      <c r="R305" s="7">
        <f>Q305*G305</f>
        <v/>
      </c>
      <c r="S305" s="8">
        <f>IF($R$311=0,0,R305/$R$311)</f>
        <v/>
      </c>
      <c r="T305" s="8" t="n">
        <v>0</v>
      </c>
      <c r="U305" s="8" t="n">
        <v>-0.04332580531855745</v>
      </c>
      <c r="V305" s="6" t="inlineStr">
        <is>
          <t>not selected</t>
        </is>
      </c>
    </row>
    <row r="306">
      <c r="A306" s="6" t="inlineStr">
        <is>
          <t>DJ30</t>
        </is>
      </c>
      <c r="B306" s="6" t="inlineStr">
        <is>
          <t>2023-03-10</t>
        </is>
      </c>
      <c r="C306" s="6" t="inlineStr">
        <is>
          <t>DIA</t>
        </is>
      </c>
      <c r="D306" s="6" t="inlineStr">
        <is>
          <t>TRV</t>
        </is>
      </c>
      <c r="E306" s="6" t="inlineStr">
        <is>
          <t>TRV</t>
        </is>
      </c>
      <c r="F306" s="6" t="inlineStr">
        <is>
          <t>-</t>
        </is>
      </c>
      <c r="G306" s="7" t="n">
        <v>165.5423889160156</v>
      </c>
      <c r="H306" s="6">
        <f>P275</f>
        <v/>
      </c>
      <c r="I306" s="9">
        <f>Q275</f>
        <v/>
      </c>
      <c r="J306" s="7">
        <f>I306*G306</f>
        <v/>
      </c>
      <c r="K306" s="8">
        <f>IF($J$311=0,0,J306/$J$311)</f>
        <v/>
      </c>
      <c r="L306" s="6" t="inlineStr">
        <is>
          <t>REJECTED</t>
        </is>
      </c>
      <c r="M306" s="8" t="n">
        <v>0</v>
      </c>
      <c r="N306" s="7">
        <f>M306*$J$311-J306</f>
        <v/>
      </c>
      <c r="O306" s="9">
        <f>IF(G306=0,0,N306/G306)</f>
        <v/>
      </c>
      <c r="P306" s="6">
        <f>IF(M306&gt;0,D306,"")</f>
        <v/>
      </c>
      <c r="Q306" s="9">
        <f>I306+O306</f>
        <v/>
      </c>
      <c r="R306" s="7">
        <f>Q306*G306</f>
        <v/>
      </c>
      <c r="S306" s="8">
        <f>IF($R$311=0,0,R306/$R$311)</f>
        <v/>
      </c>
      <c r="T306" s="8" t="n">
        <v>0</v>
      </c>
      <c r="U306" s="8" t="n">
        <v>-0.04332580531855745</v>
      </c>
      <c r="V306" s="6" t="inlineStr">
        <is>
          <t>not selected</t>
        </is>
      </c>
    </row>
    <row r="307">
      <c r="A307" s="6" t="inlineStr">
        <is>
          <t>DJ30</t>
        </is>
      </c>
      <c r="B307" s="6" t="inlineStr">
        <is>
          <t>2023-03-10</t>
        </is>
      </c>
      <c r="C307" s="6" t="inlineStr">
        <is>
          <t>DIA</t>
        </is>
      </c>
      <c r="D307" s="6" t="inlineStr">
        <is>
          <t>UNH</t>
        </is>
      </c>
      <c r="E307" s="6" t="inlineStr">
        <is>
          <t>UNH</t>
        </is>
      </c>
      <c r="F307" s="6" t="inlineStr">
        <is>
          <t>-</t>
        </is>
      </c>
      <c r="G307" s="7" t="n">
        <v>431.4935913085938</v>
      </c>
      <c r="H307" s="6">
        <f>P276</f>
        <v/>
      </c>
      <c r="I307" s="9">
        <f>Q276</f>
        <v/>
      </c>
      <c r="J307" s="7">
        <f>I307*G307</f>
        <v/>
      </c>
      <c r="K307" s="8">
        <f>IF($J$311=0,0,J307/$J$311)</f>
        <v/>
      </c>
      <c r="L307" s="6" t="inlineStr">
        <is>
          <t>REJECTED</t>
        </is>
      </c>
      <c r="M307" s="8" t="n">
        <v>0</v>
      </c>
      <c r="N307" s="7">
        <f>M307*$J$311-J307</f>
        <v/>
      </c>
      <c r="O307" s="9">
        <f>IF(G307=0,0,N307/G307)</f>
        <v/>
      </c>
      <c r="P307" s="6">
        <f>IF(M307&gt;0,D307,"")</f>
        <v/>
      </c>
      <c r="Q307" s="9">
        <f>I307+O307</f>
        <v/>
      </c>
      <c r="R307" s="7">
        <f>Q307*G307</f>
        <v/>
      </c>
      <c r="S307" s="8">
        <f>IF($R$311=0,0,R307/$R$311)</f>
        <v/>
      </c>
      <c r="T307" s="8" t="n">
        <v>0</v>
      </c>
      <c r="U307" s="8" t="n">
        <v>-0.04332580531855745</v>
      </c>
      <c r="V307" s="6" t="inlineStr">
        <is>
          <t>not selected</t>
        </is>
      </c>
    </row>
    <row r="308">
      <c r="A308" s="6" t="inlineStr">
        <is>
          <t>DJ30</t>
        </is>
      </c>
      <c r="B308" s="6" t="inlineStr">
        <is>
          <t>2023-03-10</t>
        </is>
      </c>
      <c r="C308" s="6" t="inlineStr">
        <is>
          <t>DIA</t>
        </is>
      </c>
      <c r="D308" s="6" t="inlineStr">
        <is>
          <t>V</t>
        </is>
      </c>
      <c r="E308" s="6" t="inlineStr">
        <is>
          <t>V</t>
        </is>
      </c>
      <c r="F308" s="6" t="inlineStr">
        <is>
          <t>-</t>
        </is>
      </c>
      <c r="G308" s="7" t="n">
        <v>210.8507080078125</v>
      </c>
      <c r="H308" s="6">
        <f>P277</f>
        <v/>
      </c>
      <c r="I308" s="9">
        <f>Q277</f>
        <v/>
      </c>
      <c r="J308" s="7">
        <f>I308*G308</f>
        <v/>
      </c>
      <c r="K308" s="8">
        <f>IF($J$311=0,0,J308/$J$311)</f>
        <v/>
      </c>
      <c r="L308" s="6" t="inlineStr">
        <is>
          <t>REJECTED</t>
        </is>
      </c>
      <c r="M308" s="8" t="n">
        <v>0</v>
      </c>
      <c r="N308" s="7">
        <f>M308*$J$311-J308</f>
        <v/>
      </c>
      <c r="O308" s="9">
        <f>IF(G308=0,0,N308/G308)</f>
        <v/>
      </c>
      <c r="P308" s="6">
        <f>IF(M308&gt;0,D308,"")</f>
        <v/>
      </c>
      <c r="Q308" s="9">
        <f>I308+O308</f>
        <v/>
      </c>
      <c r="R308" s="7">
        <f>Q308*G308</f>
        <v/>
      </c>
      <c r="S308" s="8">
        <f>IF($R$311=0,0,R308/$R$311)</f>
        <v/>
      </c>
      <c r="T308" s="8" t="n">
        <v>0</v>
      </c>
      <c r="U308" s="8" t="n">
        <v>-0.04332580531855745</v>
      </c>
      <c r="V308" s="6" t="inlineStr">
        <is>
          <t>not selected</t>
        </is>
      </c>
    </row>
    <row r="309">
      <c r="A309" s="6" t="inlineStr">
        <is>
          <t>DJ30</t>
        </is>
      </c>
      <c r="B309" s="6" t="inlineStr">
        <is>
          <t>2023-03-10</t>
        </is>
      </c>
      <c r="C309" s="6" t="inlineStr">
        <is>
          <t>DIA</t>
        </is>
      </c>
      <c r="D309" s="6" t="inlineStr">
        <is>
          <t>VZ</t>
        </is>
      </c>
      <c r="E309" s="6" t="inlineStr">
        <is>
          <t>VZ</t>
        </is>
      </c>
      <c r="F309" s="6" t="inlineStr">
        <is>
          <t>-</t>
        </is>
      </c>
      <c r="G309" s="7" t="n">
        <v>29.48058891296387</v>
      </c>
      <c r="H309" s="6">
        <f>P278</f>
        <v/>
      </c>
      <c r="I309" s="9">
        <f>Q278</f>
        <v/>
      </c>
      <c r="J309" s="7">
        <f>I309*G309</f>
        <v/>
      </c>
      <c r="K309" s="8">
        <f>IF($J$311=0,0,J309/$J$311)</f>
        <v/>
      </c>
      <c r="L309" s="6" t="inlineStr">
        <is>
          <t>REJECTED</t>
        </is>
      </c>
      <c r="M309" s="8" t="n">
        <v>0</v>
      </c>
      <c r="N309" s="7">
        <f>M309*$J$311-J309</f>
        <v/>
      </c>
      <c r="O309" s="9">
        <f>IF(G309=0,0,N309/G309)</f>
        <v/>
      </c>
      <c r="P309" s="6">
        <f>IF(M309&gt;0,D309,"")</f>
        <v/>
      </c>
      <c r="Q309" s="9">
        <f>I309+O309</f>
        <v/>
      </c>
      <c r="R309" s="7">
        <f>Q309*G309</f>
        <v/>
      </c>
      <c r="S309" s="8">
        <f>IF($R$311=0,0,R309/$R$311)</f>
        <v/>
      </c>
      <c r="T309" s="8" t="n">
        <v>0</v>
      </c>
      <c r="U309" s="8" t="n">
        <v>-0.04332580531855745</v>
      </c>
      <c r="V309" s="6" t="inlineStr">
        <is>
          <t>not selected</t>
        </is>
      </c>
    </row>
    <row r="310">
      <c r="A310" s="6" t="inlineStr">
        <is>
          <t>DJ30</t>
        </is>
      </c>
      <c r="B310" s="6" t="inlineStr">
        <is>
          <t>2023-03-10</t>
        </is>
      </c>
      <c r="C310" s="6" t="inlineStr">
        <is>
          <t>DIA</t>
        </is>
      </c>
      <c r="D310" s="6" t="inlineStr">
        <is>
          <t>WMT</t>
        </is>
      </c>
      <c r="E310" s="6" t="inlineStr">
        <is>
          <t>WMT</t>
        </is>
      </c>
      <c r="F310" s="6" t="inlineStr">
        <is>
          <t>-</t>
        </is>
      </c>
      <c r="G310" s="7" t="n">
        <v>43.84294891357422</v>
      </c>
      <c r="H310" s="6">
        <f>P279</f>
        <v/>
      </c>
      <c r="I310" s="9">
        <f>Q279</f>
        <v/>
      </c>
      <c r="J310" s="7">
        <f>I310*G310</f>
        <v/>
      </c>
      <c r="K310" s="8">
        <f>IF($J$311=0,0,J310/$J$311)</f>
        <v/>
      </c>
      <c r="L310" s="6" t="inlineStr">
        <is>
          <t>REJECTED</t>
        </is>
      </c>
      <c r="M310" s="8" t="n">
        <v>0</v>
      </c>
      <c r="N310" s="7">
        <f>M310*$J$311-J310</f>
        <v/>
      </c>
      <c r="O310" s="9">
        <f>IF(G310=0,0,N310/G310)</f>
        <v/>
      </c>
      <c r="P310" s="6">
        <f>IF(M310&gt;0,D310,"")</f>
        <v/>
      </c>
      <c r="Q310" s="9">
        <f>I310+O310</f>
        <v/>
      </c>
      <c r="R310" s="7">
        <f>Q310*G310</f>
        <v/>
      </c>
      <c r="S310" s="8">
        <f>IF($R$311=0,0,R310/$R$311)</f>
        <v/>
      </c>
      <c r="T310" s="8" t="n">
        <v>0</v>
      </c>
      <c r="U310" s="8" t="n">
        <v>-0.04332580531855745</v>
      </c>
      <c r="V310" s="6" t="inlineStr">
        <is>
          <t>not selected</t>
        </is>
      </c>
    </row>
    <row r="311">
      <c r="A311" s="10" t="inlineStr">
        <is>
          <t>DJ30</t>
        </is>
      </c>
      <c r="B311" s="10" t="inlineStr">
        <is>
          <t>2023-03-10</t>
        </is>
      </c>
      <c r="C311" s="10" t="inlineStr">
        <is>
          <t>DIA</t>
        </is>
      </c>
      <c r="D311" s="10" t="inlineStr">
        <is>
          <t>Tot Portfolio</t>
        </is>
      </c>
      <c r="E311" s="10" t="inlineStr"/>
      <c r="F311" s="10" t="inlineStr"/>
      <c r="G311" s="11" t="inlineStr"/>
      <c r="H311" s="10" t="inlineStr"/>
      <c r="I311" s="12" t="inlineStr"/>
      <c r="J311" s="11">
        <f>SUM(J281:J310)</f>
        <v/>
      </c>
      <c r="K311" s="13">
        <f>SUM(K281:K310)</f>
        <v/>
      </c>
      <c r="L311" s="10" t="inlineStr">
        <is>
          <t>TOTAL</t>
        </is>
      </c>
      <c r="M311" s="13">
        <f>SUM(M281:M310)</f>
        <v/>
      </c>
      <c r="N311" s="11">
        <f>SUM(N281:N310)</f>
        <v/>
      </c>
      <c r="O311" s="12">
        <f>SUM(O281:O310)</f>
        <v/>
      </c>
      <c r="P311" s="10" t="inlineStr"/>
      <c r="Q311" s="12" t="inlineStr"/>
      <c r="R311" s="11">
        <f>SUM(R281:R310)</f>
        <v/>
      </c>
      <c r="S311" s="13">
        <f>SUM(S281:S310)</f>
        <v/>
      </c>
      <c r="T311" s="13" t="n">
        <v>0</v>
      </c>
      <c r="U311" s="13" t="n">
        <v>-0.04332580531855745</v>
      </c>
      <c r="V311" s="10" t="inlineStr"/>
    </row>
    <row r="312">
      <c r="A312" s="6" t="inlineStr">
        <is>
          <t>DJ30</t>
        </is>
      </c>
      <c r="B312" s="6" t="inlineStr">
        <is>
          <t>2023-03-17</t>
        </is>
      </c>
      <c r="C312" s="6" t="inlineStr">
        <is>
          <t>DIA</t>
        </is>
      </c>
      <c r="D312" s="6" t="inlineStr">
        <is>
          <t>AAPL</t>
        </is>
      </c>
      <c r="E312" s="6" t="inlineStr">
        <is>
          <t>AAPL</t>
        </is>
      </c>
      <c r="F312" s="6" t="inlineStr">
        <is>
          <t>-</t>
        </is>
      </c>
      <c r="G312" s="7" t="n">
        <v>152.6459655761719</v>
      </c>
      <c r="H312" s="6">
        <f>P281</f>
        <v/>
      </c>
      <c r="I312" s="9">
        <f>Q281</f>
        <v/>
      </c>
      <c r="J312" s="7">
        <f>I312*G312</f>
        <v/>
      </c>
      <c r="K312" s="8">
        <f>IF($J$342=0,0,J312/$J$342)</f>
        <v/>
      </c>
      <c r="L312" s="6" t="inlineStr">
        <is>
          <t>REJECTED</t>
        </is>
      </c>
      <c r="M312" s="8" t="n">
        <v>0</v>
      </c>
      <c r="N312" s="7">
        <f>M312*$J$342-J312</f>
        <v/>
      </c>
      <c r="O312" s="9">
        <f>IF(G312=0,0,N312/G312)</f>
        <v/>
      </c>
      <c r="P312" s="6">
        <f>IF(M312&gt;0,D312,"")</f>
        <v/>
      </c>
      <c r="Q312" s="9">
        <f>I312+O312</f>
        <v/>
      </c>
      <c r="R312" s="7">
        <f>Q312*G312</f>
        <v/>
      </c>
      <c r="S312" s="8">
        <f>IF($R$342=0,0,R312/$R$342)</f>
        <v/>
      </c>
      <c r="T312" s="8" t="n">
        <v>0</v>
      </c>
      <c r="U312" s="8" t="n">
        <v>-0.001196056439715432</v>
      </c>
      <c r="V312" s="6" t="inlineStr">
        <is>
          <t>not selected</t>
        </is>
      </c>
    </row>
    <row r="313">
      <c r="A313" s="6" t="inlineStr">
        <is>
          <t>DJ30</t>
        </is>
      </c>
      <c r="B313" s="6" t="inlineStr">
        <is>
          <t>2023-03-17</t>
        </is>
      </c>
      <c r="C313" s="6" t="inlineStr">
        <is>
          <t>DIA</t>
        </is>
      </c>
      <c r="D313" s="6" t="inlineStr">
        <is>
          <t>AMGN</t>
        </is>
      </c>
      <c r="E313" s="6" t="inlineStr">
        <is>
          <t>AMGN</t>
        </is>
      </c>
      <c r="F313" s="6" t="inlineStr">
        <is>
          <t>-</t>
        </is>
      </c>
      <c r="G313" s="7" t="n">
        <v>207.6065826416016</v>
      </c>
      <c r="H313" s="6">
        <f>P282</f>
        <v/>
      </c>
      <c r="I313" s="9">
        <f>Q282</f>
        <v/>
      </c>
      <c r="J313" s="7">
        <f>I313*G313</f>
        <v/>
      </c>
      <c r="K313" s="8">
        <f>IF($J$342=0,0,J313/$J$342)</f>
        <v/>
      </c>
      <c r="L313" s="6" t="inlineStr">
        <is>
          <t>REJECTED</t>
        </is>
      </c>
      <c r="M313" s="8" t="n">
        <v>0</v>
      </c>
      <c r="N313" s="7">
        <f>M313*$J$342-J313</f>
        <v/>
      </c>
      <c r="O313" s="9">
        <f>IF(G313=0,0,N313/G313)</f>
        <v/>
      </c>
      <c r="P313" s="6">
        <f>IF(M313&gt;0,D313,"")</f>
        <v/>
      </c>
      <c r="Q313" s="9">
        <f>I313+O313</f>
        <v/>
      </c>
      <c r="R313" s="7">
        <f>Q313*G313</f>
        <v/>
      </c>
      <c r="S313" s="8">
        <f>IF($R$342=0,0,R313/$R$342)</f>
        <v/>
      </c>
      <c r="T313" s="8" t="n">
        <v>0</v>
      </c>
      <c r="U313" s="8" t="n">
        <v>-0.001196056439715432</v>
      </c>
      <c r="V313" s="6" t="inlineStr">
        <is>
          <t>not selected</t>
        </is>
      </c>
    </row>
    <row r="314">
      <c r="A314" s="6" t="inlineStr">
        <is>
          <t>DJ30</t>
        </is>
      </c>
      <c r="B314" s="6" t="inlineStr">
        <is>
          <t>2023-03-17</t>
        </is>
      </c>
      <c r="C314" s="6" t="inlineStr">
        <is>
          <t>DIA</t>
        </is>
      </c>
      <c r="D314" s="6" t="inlineStr">
        <is>
          <t>AMZN</t>
        </is>
      </c>
      <c r="E314" s="6" t="inlineStr">
        <is>
          <t>AMZN</t>
        </is>
      </c>
      <c r="F314" s="6" t="inlineStr">
        <is>
          <t>-</t>
        </is>
      </c>
      <c r="G314" s="7" t="n">
        <v>98.9499969482422</v>
      </c>
      <c r="H314" s="6">
        <f>P283</f>
        <v/>
      </c>
      <c r="I314" s="9">
        <f>Q283</f>
        <v/>
      </c>
      <c r="J314" s="7">
        <f>I314*G314</f>
        <v/>
      </c>
      <c r="K314" s="8">
        <f>IF($J$342=0,0,J314/$J$342)</f>
        <v/>
      </c>
      <c r="L314" s="6" t="inlineStr">
        <is>
          <t>REJECTED</t>
        </is>
      </c>
      <c r="M314" s="8" t="n">
        <v>0</v>
      </c>
      <c r="N314" s="7">
        <f>M314*$J$342-J314</f>
        <v/>
      </c>
      <c r="O314" s="9">
        <f>IF(G314=0,0,N314/G314)</f>
        <v/>
      </c>
      <c r="P314" s="6">
        <f>IF(M314&gt;0,D314,"")</f>
        <v/>
      </c>
      <c r="Q314" s="9">
        <f>I314+O314</f>
        <v/>
      </c>
      <c r="R314" s="7">
        <f>Q314*G314</f>
        <v/>
      </c>
      <c r="S314" s="8">
        <f>IF($R$342=0,0,R314/$R$342)</f>
        <v/>
      </c>
      <c r="T314" s="8" t="n">
        <v>0</v>
      </c>
      <c r="U314" s="8" t="n">
        <v>-0.001196056439715432</v>
      </c>
      <c r="V314" s="6" t="inlineStr">
        <is>
          <t>not selected</t>
        </is>
      </c>
    </row>
    <row r="315">
      <c r="A315" s="6" t="inlineStr">
        <is>
          <t>DJ30</t>
        </is>
      </c>
      <c r="B315" s="6" t="inlineStr">
        <is>
          <t>2023-03-17</t>
        </is>
      </c>
      <c r="C315" s="6" t="inlineStr">
        <is>
          <t>DIA</t>
        </is>
      </c>
      <c r="D315" s="6" t="inlineStr">
        <is>
          <t>AXP</t>
        </is>
      </c>
      <c r="E315" s="6" t="inlineStr">
        <is>
          <t>AXP</t>
        </is>
      </c>
      <c r="F315" s="6" t="inlineStr">
        <is>
          <t>-</t>
        </is>
      </c>
      <c r="G315" s="7" t="n">
        <v>150.5009460449219</v>
      </c>
      <c r="H315" s="6">
        <f>P284</f>
        <v/>
      </c>
      <c r="I315" s="9">
        <f>Q284</f>
        <v/>
      </c>
      <c r="J315" s="7">
        <f>I315*G315</f>
        <v/>
      </c>
      <c r="K315" s="8">
        <f>IF($J$342=0,0,J315/$J$342)</f>
        <v/>
      </c>
      <c r="L315" s="6" t="inlineStr">
        <is>
          <t>REJECTED</t>
        </is>
      </c>
      <c r="M315" s="8" t="n">
        <v>0</v>
      </c>
      <c r="N315" s="7">
        <f>M315*$J$342-J315</f>
        <v/>
      </c>
      <c r="O315" s="9">
        <f>IF(G315=0,0,N315/G315)</f>
        <v/>
      </c>
      <c r="P315" s="6">
        <f>IF(M315&gt;0,D315,"")</f>
        <v/>
      </c>
      <c r="Q315" s="9">
        <f>I315+O315</f>
        <v/>
      </c>
      <c r="R315" s="7">
        <f>Q315*G315</f>
        <v/>
      </c>
      <c r="S315" s="8">
        <f>IF($R$342=0,0,R315/$R$342)</f>
        <v/>
      </c>
      <c r="T315" s="8" t="n">
        <v>0</v>
      </c>
      <c r="U315" s="8" t="n">
        <v>-0.001196056439715432</v>
      </c>
      <c r="V315" s="6" t="inlineStr">
        <is>
          <t>not selected</t>
        </is>
      </c>
    </row>
    <row r="316">
      <c r="A316" s="6" t="inlineStr">
        <is>
          <t>DJ30</t>
        </is>
      </c>
      <c r="B316" s="6" t="inlineStr">
        <is>
          <t>2023-03-17</t>
        </is>
      </c>
      <c r="C316" s="6" t="inlineStr">
        <is>
          <t>DIA</t>
        </is>
      </c>
      <c r="D316" s="6" t="inlineStr">
        <is>
          <t>BA</t>
        </is>
      </c>
      <c r="E316" s="6" t="inlineStr">
        <is>
          <t>BA</t>
        </is>
      </c>
      <c r="F316" s="6" t="inlineStr">
        <is>
          <t>-</t>
        </is>
      </c>
      <c r="G316" s="7" t="n">
        <v>201.0500030517578</v>
      </c>
      <c r="H316" s="6">
        <f>P285</f>
        <v/>
      </c>
      <c r="I316" s="9">
        <f>Q285</f>
        <v/>
      </c>
      <c r="J316" s="7">
        <f>I316*G316</f>
        <v/>
      </c>
      <c r="K316" s="8">
        <f>IF($J$342=0,0,J316/$J$342)</f>
        <v/>
      </c>
      <c r="L316" s="6" t="inlineStr">
        <is>
          <t>REJECTED</t>
        </is>
      </c>
      <c r="M316" s="8" t="n">
        <v>0</v>
      </c>
      <c r="N316" s="7">
        <f>M316*$J$342-J316</f>
        <v/>
      </c>
      <c r="O316" s="9">
        <f>IF(G316=0,0,N316/G316)</f>
        <v/>
      </c>
      <c r="P316" s="6">
        <f>IF(M316&gt;0,D316,"")</f>
        <v/>
      </c>
      <c r="Q316" s="9">
        <f>I316+O316</f>
        <v/>
      </c>
      <c r="R316" s="7">
        <f>Q316*G316</f>
        <v/>
      </c>
      <c r="S316" s="8">
        <f>IF($R$342=0,0,R316/$R$342)</f>
        <v/>
      </c>
      <c r="T316" s="8" t="n">
        <v>0</v>
      </c>
      <c r="U316" s="8" t="n">
        <v>-0.001196056439715432</v>
      </c>
      <c r="V316" s="6" t="inlineStr">
        <is>
          <t>not selected</t>
        </is>
      </c>
    </row>
    <row r="317">
      <c r="A317" s="6" t="inlineStr">
        <is>
          <t>DJ30</t>
        </is>
      </c>
      <c r="B317" s="6" t="inlineStr">
        <is>
          <t>2023-03-17</t>
        </is>
      </c>
      <c r="C317" s="6" t="inlineStr">
        <is>
          <t>DIA</t>
        </is>
      </c>
      <c r="D317" s="6" t="inlineStr">
        <is>
          <t>CAT</t>
        </is>
      </c>
      <c r="E317" s="6" t="inlineStr">
        <is>
          <t>CAT</t>
        </is>
      </c>
      <c r="F317" s="6" t="inlineStr">
        <is>
          <t>-</t>
        </is>
      </c>
      <c r="G317" s="7" t="n">
        <v>204.3917541503907</v>
      </c>
      <c r="H317" s="6">
        <f>P286</f>
        <v/>
      </c>
      <c r="I317" s="9">
        <f>Q286</f>
        <v/>
      </c>
      <c r="J317" s="7">
        <f>I317*G317</f>
        <v/>
      </c>
      <c r="K317" s="8">
        <f>IF($J$342=0,0,J317/$J$342)</f>
        <v/>
      </c>
      <c r="L317" s="6" t="inlineStr">
        <is>
          <t>REJECTED</t>
        </is>
      </c>
      <c r="M317" s="8" t="n">
        <v>0</v>
      </c>
      <c r="N317" s="7">
        <f>M317*$J$342-J317</f>
        <v/>
      </c>
      <c r="O317" s="9">
        <f>IF(G317=0,0,N317/G317)</f>
        <v/>
      </c>
      <c r="P317" s="6">
        <f>IF(M317&gt;0,D317,"")</f>
        <v/>
      </c>
      <c r="Q317" s="9">
        <f>I317+O317</f>
        <v/>
      </c>
      <c r="R317" s="7">
        <f>Q317*G317</f>
        <v/>
      </c>
      <c r="S317" s="8">
        <f>IF($R$342=0,0,R317/$R$342)</f>
        <v/>
      </c>
      <c r="T317" s="8" t="n">
        <v>0</v>
      </c>
      <c r="U317" s="8" t="n">
        <v>-0.001196056439715432</v>
      </c>
      <c r="V317" s="6" t="inlineStr">
        <is>
          <t>not selected</t>
        </is>
      </c>
    </row>
    <row r="318">
      <c r="A318" s="6" t="inlineStr">
        <is>
          <t>DJ30</t>
        </is>
      </c>
      <c r="B318" s="6" t="inlineStr">
        <is>
          <t>2023-03-17</t>
        </is>
      </c>
      <c r="C318" s="6" t="inlineStr">
        <is>
          <t>DIA</t>
        </is>
      </c>
      <c r="D318" s="6" t="inlineStr">
        <is>
          <t>CRM</t>
        </is>
      </c>
      <c r="E318" s="6" t="inlineStr">
        <is>
          <t>CRM</t>
        </is>
      </c>
      <c r="F318" s="6" t="inlineStr">
        <is>
          <t>-</t>
        </is>
      </c>
      <c r="G318" s="7" t="n">
        <v>181.7063903808593</v>
      </c>
      <c r="H318" s="6">
        <f>P287</f>
        <v/>
      </c>
      <c r="I318" s="9">
        <f>Q287</f>
        <v/>
      </c>
      <c r="J318" s="7">
        <f>I318*G318</f>
        <v/>
      </c>
      <c r="K318" s="8">
        <f>IF($J$342=0,0,J318/$J$342)</f>
        <v/>
      </c>
      <c r="L318" s="6" t="inlineStr">
        <is>
          <t>REJECTED</t>
        </is>
      </c>
      <c r="M318" s="8" t="n">
        <v>0</v>
      </c>
      <c r="N318" s="7">
        <f>M318*$J$342-J318</f>
        <v/>
      </c>
      <c r="O318" s="9">
        <f>IF(G318=0,0,N318/G318)</f>
        <v/>
      </c>
      <c r="P318" s="6">
        <f>IF(M318&gt;0,D318,"")</f>
        <v/>
      </c>
      <c r="Q318" s="9">
        <f>I318+O318</f>
        <v/>
      </c>
      <c r="R318" s="7">
        <f>Q318*G318</f>
        <v/>
      </c>
      <c r="S318" s="8">
        <f>IF($R$342=0,0,R318/$R$342)</f>
        <v/>
      </c>
      <c r="T318" s="8" t="n">
        <v>0</v>
      </c>
      <c r="U318" s="8" t="n">
        <v>-0.001196056439715432</v>
      </c>
      <c r="V318" s="6" t="inlineStr">
        <is>
          <t>not selected</t>
        </is>
      </c>
    </row>
    <row r="319">
      <c r="A319" s="6" t="inlineStr">
        <is>
          <t>DJ30</t>
        </is>
      </c>
      <c r="B319" s="6" t="inlineStr">
        <is>
          <t>2023-03-17</t>
        </is>
      </c>
      <c r="C319" s="6" t="inlineStr">
        <is>
          <t>DIA</t>
        </is>
      </c>
      <c r="D319" s="6" t="inlineStr">
        <is>
          <t>CSCO</t>
        </is>
      </c>
      <c r="E319" s="6" t="inlineStr">
        <is>
          <t>CSCO</t>
        </is>
      </c>
      <c r="F319" s="6" t="inlineStr">
        <is>
          <t>-</t>
        </is>
      </c>
      <c r="G319" s="7" t="n">
        <v>45.8487434387207</v>
      </c>
      <c r="H319" s="6">
        <f>P288</f>
        <v/>
      </c>
      <c r="I319" s="9">
        <f>Q288</f>
        <v/>
      </c>
      <c r="J319" s="7">
        <f>I319*G319</f>
        <v/>
      </c>
      <c r="K319" s="8">
        <f>IF($J$342=0,0,J319/$J$342)</f>
        <v/>
      </c>
      <c r="L319" s="6" t="inlineStr">
        <is>
          <t>REJECTED</t>
        </is>
      </c>
      <c r="M319" s="8" t="n">
        <v>0</v>
      </c>
      <c r="N319" s="7">
        <f>M319*$J$342-J319</f>
        <v/>
      </c>
      <c r="O319" s="9">
        <f>IF(G319=0,0,N319/G319)</f>
        <v/>
      </c>
      <c r="P319" s="6">
        <f>IF(M319&gt;0,D319,"")</f>
        <v/>
      </c>
      <c r="Q319" s="9">
        <f>I319+O319</f>
        <v/>
      </c>
      <c r="R319" s="7">
        <f>Q319*G319</f>
        <v/>
      </c>
      <c r="S319" s="8">
        <f>IF($R$342=0,0,R319/$R$342)</f>
        <v/>
      </c>
      <c r="T319" s="8" t="n">
        <v>0</v>
      </c>
      <c r="U319" s="8" t="n">
        <v>-0.001196056439715432</v>
      </c>
      <c r="V319" s="6" t="inlineStr">
        <is>
          <t>not selected</t>
        </is>
      </c>
    </row>
    <row r="320">
      <c r="A320" s="6" t="inlineStr">
        <is>
          <t>DJ30</t>
        </is>
      </c>
      <c r="B320" s="6" t="inlineStr">
        <is>
          <t>2023-03-17</t>
        </is>
      </c>
      <c r="C320" s="6" t="inlineStr">
        <is>
          <t>DIA</t>
        </is>
      </c>
      <c r="D320" s="6" t="inlineStr">
        <is>
          <t>CVX</t>
        </is>
      </c>
      <c r="E320" s="6" t="inlineStr">
        <is>
          <t>CVX</t>
        </is>
      </c>
      <c r="F320" s="6" t="inlineStr">
        <is>
          <t>-</t>
        </is>
      </c>
      <c r="G320" s="7" t="n">
        <v>132.9578094482422</v>
      </c>
      <c r="H320" s="6">
        <f>P289</f>
        <v/>
      </c>
      <c r="I320" s="9">
        <f>Q289</f>
        <v/>
      </c>
      <c r="J320" s="7">
        <f>I320*G320</f>
        <v/>
      </c>
      <c r="K320" s="8">
        <f>IF($J$342=0,0,J320/$J$342)</f>
        <v/>
      </c>
      <c r="L320" s="6" t="inlineStr">
        <is>
          <t>REJECTED</t>
        </is>
      </c>
      <c r="M320" s="8" t="n">
        <v>0</v>
      </c>
      <c r="N320" s="7">
        <f>M320*$J$342-J320</f>
        <v/>
      </c>
      <c r="O320" s="9">
        <f>IF(G320=0,0,N320/G320)</f>
        <v/>
      </c>
      <c r="P320" s="6">
        <f>IF(M320&gt;0,D320,"")</f>
        <v/>
      </c>
      <c r="Q320" s="9">
        <f>I320+O320</f>
        <v/>
      </c>
      <c r="R320" s="7">
        <f>Q320*G320</f>
        <v/>
      </c>
      <c r="S320" s="8">
        <f>IF($R$342=0,0,R320/$R$342)</f>
        <v/>
      </c>
      <c r="T320" s="8" t="n">
        <v>0</v>
      </c>
      <c r="U320" s="8" t="n">
        <v>-0.001196056439715432</v>
      </c>
      <c r="V320" s="6" t="inlineStr">
        <is>
          <t>not selected</t>
        </is>
      </c>
    </row>
    <row r="321">
      <c r="A321" s="6" t="inlineStr">
        <is>
          <t>DJ30</t>
        </is>
      </c>
      <c r="B321" s="6" t="inlineStr">
        <is>
          <t>2023-03-17</t>
        </is>
      </c>
      <c r="C321" s="6" t="inlineStr">
        <is>
          <t>DIA</t>
        </is>
      </c>
      <c r="D321" s="6" t="inlineStr">
        <is>
          <t>DIS</t>
        </is>
      </c>
      <c r="E321" s="6" t="inlineStr">
        <is>
          <t>DIS</t>
        </is>
      </c>
      <c r="F321" s="6" t="inlineStr">
        <is>
          <t>-</t>
        </is>
      </c>
      <c r="G321" s="7" t="n">
        <v>91.05569458007812</v>
      </c>
      <c r="H321" s="6">
        <f>P290</f>
        <v/>
      </c>
      <c r="I321" s="9">
        <f>Q290</f>
        <v/>
      </c>
      <c r="J321" s="7">
        <f>I321*G321</f>
        <v/>
      </c>
      <c r="K321" s="8">
        <f>IF($J$342=0,0,J321/$J$342)</f>
        <v/>
      </c>
      <c r="L321" s="6" t="inlineStr">
        <is>
          <t>REJECTED</t>
        </is>
      </c>
      <c r="M321" s="8" t="n">
        <v>0</v>
      </c>
      <c r="N321" s="7">
        <f>M321*$J$342-J321</f>
        <v/>
      </c>
      <c r="O321" s="9">
        <f>IF(G321=0,0,N321/G321)</f>
        <v/>
      </c>
      <c r="P321" s="6">
        <f>IF(M321&gt;0,D321,"")</f>
        <v/>
      </c>
      <c r="Q321" s="9">
        <f>I321+O321</f>
        <v/>
      </c>
      <c r="R321" s="7">
        <f>Q321*G321</f>
        <v/>
      </c>
      <c r="S321" s="8">
        <f>IF($R$342=0,0,R321/$R$342)</f>
        <v/>
      </c>
      <c r="T321" s="8" t="n">
        <v>0</v>
      </c>
      <c r="U321" s="8" t="n">
        <v>-0.001196056439715432</v>
      </c>
      <c r="V321" s="6" t="inlineStr">
        <is>
          <t>not selected</t>
        </is>
      </c>
    </row>
    <row r="322">
      <c r="A322" s="6" t="inlineStr">
        <is>
          <t>DJ30</t>
        </is>
      </c>
      <c r="B322" s="6" t="inlineStr">
        <is>
          <t>2023-03-17</t>
        </is>
      </c>
      <c r="C322" s="6" t="inlineStr">
        <is>
          <t>DIA</t>
        </is>
      </c>
      <c r="D322" s="6" t="inlineStr">
        <is>
          <t>GS</t>
        </is>
      </c>
      <c r="E322" s="6" t="inlineStr">
        <is>
          <t>GS</t>
        </is>
      </c>
      <c r="F322" s="6" t="inlineStr">
        <is>
          <t>-</t>
        </is>
      </c>
      <c r="G322" s="7" t="n">
        <v>280.8053894042969</v>
      </c>
      <c r="H322" s="6">
        <f>P291</f>
        <v/>
      </c>
      <c r="I322" s="9">
        <f>Q291</f>
        <v/>
      </c>
      <c r="J322" s="7">
        <f>I322*G322</f>
        <v/>
      </c>
      <c r="K322" s="8">
        <f>IF($J$342=0,0,J322/$J$342)</f>
        <v/>
      </c>
      <c r="L322" s="6" t="inlineStr">
        <is>
          <t>REJECTED</t>
        </is>
      </c>
      <c r="M322" s="8" t="n">
        <v>0</v>
      </c>
      <c r="N322" s="7">
        <f>M322*$J$342-J322</f>
        <v/>
      </c>
      <c r="O322" s="9">
        <f>IF(G322=0,0,N322/G322)</f>
        <v/>
      </c>
      <c r="P322" s="6">
        <f>IF(M322&gt;0,D322,"")</f>
        <v/>
      </c>
      <c r="Q322" s="9">
        <f>I322+O322</f>
        <v/>
      </c>
      <c r="R322" s="7">
        <f>Q322*G322</f>
        <v/>
      </c>
      <c r="S322" s="8">
        <f>IF($R$342=0,0,R322/$R$342)</f>
        <v/>
      </c>
      <c r="T322" s="8" t="n">
        <v>0</v>
      </c>
      <c r="U322" s="8" t="n">
        <v>-0.001196056439715432</v>
      </c>
      <c r="V322" s="6" t="inlineStr">
        <is>
          <t>not selected</t>
        </is>
      </c>
    </row>
    <row r="323">
      <c r="A323" s="6" t="inlineStr">
        <is>
          <t>DJ30</t>
        </is>
      </c>
      <c r="B323" s="6" t="inlineStr">
        <is>
          <t>2023-03-17</t>
        </is>
      </c>
      <c r="C323" s="6" t="inlineStr">
        <is>
          <t>DIA</t>
        </is>
      </c>
      <c r="D323" s="6" t="inlineStr">
        <is>
          <t>HD</t>
        </is>
      </c>
      <c r="E323" s="6" t="inlineStr">
        <is>
          <t>HD</t>
        </is>
      </c>
      <c r="F323" s="6" t="inlineStr">
        <is>
          <t>-</t>
        </is>
      </c>
      <c r="G323" s="7" t="n">
        <v>265.3693237304688</v>
      </c>
      <c r="H323" s="6">
        <f>P292</f>
        <v/>
      </c>
      <c r="I323" s="9">
        <f>Q292</f>
        <v/>
      </c>
      <c r="J323" s="7">
        <f>I323*G323</f>
        <v/>
      </c>
      <c r="K323" s="8">
        <f>IF($J$342=0,0,J323/$J$342)</f>
        <v/>
      </c>
      <c r="L323" s="6" t="inlineStr">
        <is>
          <t>REJECTED</t>
        </is>
      </c>
      <c r="M323" s="8" t="n">
        <v>0</v>
      </c>
      <c r="N323" s="7">
        <f>M323*$J$342-J323</f>
        <v/>
      </c>
      <c r="O323" s="9">
        <f>IF(G323=0,0,N323/G323)</f>
        <v/>
      </c>
      <c r="P323" s="6">
        <f>IF(M323&gt;0,D323,"")</f>
        <v/>
      </c>
      <c r="Q323" s="9">
        <f>I323+O323</f>
        <v/>
      </c>
      <c r="R323" s="7">
        <f>Q323*G323</f>
        <v/>
      </c>
      <c r="S323" s="8">
        <f>IF($R$342=0,0,R323/$R$342)</f>
        <v/>
      </c>
      <c r="T323" s="8" t="n">
        <v>0</v>
      </c>
      <c r="U323" s="8" t="n">
        <v>-0.001196056439715432</v>
      </c>
      <c r="V323" s="6" t="inlineStr">
        <is>
          <t>not selected</t>
        </is>
      </c>
    </row>
    <row r="324">
      <c r="A324" s="6" t="inlineStr">
        <is>
          <t>DJ30</t>
        </is>
      </c>
      <c r="B324" s="6" t="inlineStr">
        <is>
          <t>2023-03-17</t>
        </is>
      </c>
      <c r="C324" s="6" t="inlineStr">
        <is>
          <t>DIA</t>
        </is>
      </c>
      <c r="D324" s="6" t="inlineStr">
        <is>
          <t>HON</t>
        </is>
      </c>
      <c r="E324" s="6" t="inlineStr">
        <is>
          <t>HON</t>
        </is>
      </c>
      <c r="F324" s="6" t="inlineStr">
        <is>
          <t>-</t>
        </is>
      </c>
      <c r="G324" s="7" t="n">
        <v>162.3050537109375</v>
      </c>
      <c r="H324" s="6">
        <f>P293</f>
        <v/>
      </c>
      <c r="I324" s="9">
        <f>Q293</f>
        <v/>
      </c>
      <c r="J324" s="7">
        <f>I324*G324</f>
        <v/>
      </c>
      <c r="K324" s="8">
        <f>IF($J$342=0,0,J324/$J$342)</f>
        <v/>
      </c>
      <c r="L324" s="6" t="inlineStr">
        <is>
          <t>REJECTED</t>
        </is>
      </c>
      <c r="M324" s="8" t="n">
        <v>0</v>
      </c>
      <c r="N324" s="7">
        <f>M324*$J$342-J324</f>
        <v/>
      </c>
      <c r="O324" s="9">
        <f>IF(G324=0,0,N324/G324)</f>
        <v/>
      </c>
      <c r="P324" s="6">
        <f>IF(M324&gt;0,D324,"")</f>
        <v/>
      </c>
      <c r="Q324" s="9">
        <f>I324+O324</f>
        <v/>
      </c>
      <c r="R324" s="7">
        <f>Q324*G324</f>
        <v/>
      </c>
      <c r="S324" s="8">
        <f>IF($R$342=0,0,R324/$R$342)</f>
        <v/>
      </c>
      <c r="T324" s="8" t="n">
        <v>0</v>
      </c>
      <c r="U324" s="8" t="n">
        <v>-0.001196056439715432</v>
      </c>
      <c r="V324" s="6" t="inlineStr">
        <is>
          <t>not selected</t>
        </is>
      </c>
    </row>
    <row r="325">
      <c r="A325" s="6" t="inlineStr">
        <is>
          <t>DJ30</t>
        </is>
      </c>
      <c r="B325" s="6" t="inlineStr">
        <is>
          <t>2023-03-17</t>
        </is>
      </c>
      <c r="C325" s="6" t="inlineStr">
        <is>
          <t>DIA</t>
        </is>
      </c>
      <c r="D325" s="6" t="inlineStr">
        <is>
          <t>IBM</t>
        </is>
      </c>
      <c r="E325" s="6" t="inlineStr">
        <is>
          <t>IBM</t>
        </is>
      </c>
      <c r="F325" s="6" t="inlineStr">
        <is>
          <t>-</t>
        </is>
      </c>
      <c r="G325" s="7" t="n">
        <v>110.7722244262695</v>
      </c>
      <c r="H325" s="6">
        <f>P294</f>
        <v/>
      </c>
      <c r="I325" s="9">
        <f>Q294</f>
        <v/>
      </c>
      <c r="J325" s="7">
        <f>I325*G325</f>
        <v/>
      </c>
      <c r="K325" s="8">
        <f>IF($J$342=0,0,J325/$J$342)</f>
        <v/>
      </c>
      <c r="L325" s="6" t="inlineStr">
        <is>
          <t>REJECTED</t>
        </is>
      </c>
      <c r="M325" s="8" t="n">
        <v>0</v>
      </c>
      <c r="N325" s="7">
        <f>M325*$J$342-J325</f>
        <v/>
      </c>
      <c r="O325" s="9">
        <f>IF(G325=0,0,N325/G325)</f>
        <v/>
      </c>
      <c r="P325" s="6">
        <f>IF(M325&gt;0,D325,"")</f>
        <v/>
      </c>
      <c r="Q325" s="9">
        <f>I325+O325</f>
        <v/>
      </c>
      <c r="R325" s="7">
        <f>Q325*G325</f>
        <v/>
      </c>
      <c r="S325" s="8">
        <f>IF($R$342=0,0,R325/$R$342)</f>
        <v/>
      </c>
      <c r="T325" s="8" t="n">
        <v>0</v>
      </c>
      <c r="U325" s="8" t="n">
        <v>-0.001196056439715432</v>
      </c>
      <c r="V325" s="6" t="inlineStr">
        <is>
          <t>not selected</t>
        </is>
      </c>
    </row>
    <row r="326">
      <c r="A326" s="6" t="inlineStr">
        <is>
          <t>DJ30</t>
        </is>
      </c>
      <c r="B326" s="6" t="inlineStr">
        <is>
          <t>2023-03-17</t>
        </is>
      </c>
      <c r="C326" s="6" t="inlineStr">
        <is>
          <t>DIA</t>
        </is>
      </c>
      <c r="D326" s="6" t="inlineStr">
        <is>
          <t>JNJ</t>
        </is>
      </c>
      <c r="E326" s="6" t="inlineStr">
        <is>
          <t>JNJ</t>
        </is>
      </c>
      <c r="F326" s="6" t="inlineStr">
        <is>
          <t>-</t>
        </is>
      </c>
      <c r="G326" s="7" t="n">
        <v>138.5586700439453</v>
      </c>
      <c r="H326" s="6">
        <f>P295</f>
        <v/>
      </c>
      <c r="I326" s="9">
        <f>Q295</f>
        <v/>
      </c>
      <c r="J326" s="7">
        <f>I326*G326</f>
        <v/>
      </c>
      <c r="K326" s="8">
        <f>IF($J$342=0,0,J326/$J$342)</f>
        <v/>
      </c>
      <c r="L326" s="6" t="inlineStr">
        <is>
          <t>REJECTED</t>
        </is>
      </c>
      <c r="M326" s="8" t="n">
        <v>0</v>
      </c>
      <c r="N326" s="7">
        <f>M326*$J$342-J326</f>
        <v/>
      </c>
      <c r="O326" s="9">
        <f>IF(G326=0,0,N326/G326)</f>
        <v/>
      </c>
      <c r="P326" s="6">
        <f>IF(M326&gt;0,D326,"")</f>
        <v/>
      </c>
      <c r="Q326" s="9">
        <f>I326+O326</f>
        <v/>
      </c>
      <c r="R326" s="7">
        <f>Q326*G326</f>
        <v/>
      </c>
      <c r="S326" s="8">
        <f>IF($R$342=0,0,R326/$R$342)</f>
        <v/>
      </c>
      <c r="T326" s="8" t="n">
        <v>0</v>
      </c>
      <c r="U326" s="8" t="n">
        <v>-0.001196056439715432</v>
      </c>
      <c r="V326" s="6" t="inlineStr">
        <is>
          <t>not selected</t>
        </is>
      </c>
    </row>
    <row r="327">
      <c r="A327" s="6" t="inlineStr">
        <is>
          <t>DJ30</t>
        </is>
      </c>
      <c r="B327" s="6" t="inlineStr">
        <is>
          <t>2023-03-17</t>
        </is>
      </c>
      <c r="C327" s="6" t="inlineStr">
        <is>
          <t>DIA</t>
        </is>
      </c>
      <c r="D327" s="6" t="inlineStr">
        <is>
          <t>JPM</t>
        </is>
      </c>
      <c r="E327" s="6" t="inlineStr">
        <is>
          <t>JPM</t>
        </is>
      </c>
      <c r="F327" s="6" t="inlineStr">
        <is>
          <t>-</t>
        </is>
      </c>
      <c r="G327" s="7" t="n">
        <v>116.5834732055664</v>
      </c>
      <c r="H327" s="6">
        <f>P296</f>
        <v/>
      </c>
      <c r="I327" s="9">
        <f>Q296</f>
        <v/>
      </c>
      <c r="J327" s="7">
        <f>I327*G327</f>
        <v/>
      </c>
      <c r="K327" s="8">
        <f>IF($J$342=0,0,J327/$J$342)</f>
        <v/>
      </c>
      <c r="L327" s="6" t="inlineStr">
        <is>
          <t>REJECTED</t>
        </is>
      </c>
      <c r="M327" s="8" t="n">
        <v>0</v>
      </c>
      <c r="N327" s="7">
        <f>M327*$J$342-J327</f>
        <v/>
      </c>
      <c r="O327" s="9">
        <f>IF(G327=0,0,N327/G327)</f>
        <v/>
      </c>
      <c r="P327" s="6">
        <f>IF(M327&gt;0,D327,"")</f>
        <v/>
      </c>
      <c r="Q327" s="9">
        <f>I327+O327</f>
        <v/>
      </c>
      <c r="R327" s="7">
        <f>Q327*G327</f>
        <v/>
      </c>
      <c r="S327" s="8">
        <f>IF($R$342=0,0,R327/$R$342)</f>
        <v/>
      </c>
      <c r="T327" s="8" t="n">
        <v>0</v>
      </c>
      <c r="U327" s="8" t="n">
        <v>-0.001196056439715432</v>
      </c>
      <c r="V327" s="6" t="inlineStr">
        <is>
          <t>not selected</t>
        </is>
      </c>
    </row>
    <row r="328">
      <c r="A328" s="6" t="inlineStr">
        <is>
          <t>DJ30</t>
        </is>
      </c>
      <c r="B328" s="6" t="inlineStr">
        <is>
          <t>2023-03-17</t>
        </is>
      </c>
      <c r="C328" s="6" t="inlineStr">
        <is>
          <t>DIA</t>
        </is>
      </c>
      <c r="D328" s="6" t="inlineStr">
        <is>
          <t>KO</t>
        </is>
      </c>
      <c r="E328" s="6" t="inlineStr">
        <is>
          <t>KO</t>
        </is>
      </c>
      <c r="F328" s="6" t="inlineStr">
        <is>
          <t>-</t>
        </is>
      </c>
      <c r="G328" s="7" t="n">
        <v>54.53311920166016</v>
      </c>
      <c r="H328" s="6">
        <f>P297</f>
        <v/>
      </c>
      <c r="I328" s="9">
        <f>Q297</f>
        <v/>
      </c>
      <c r="J328" s="7">
        <f>I328*G328</f>
        <v/>
      </c>
      <c r="K328" s="8">
        <f>IF($J$342=0,0,J328/$J$342)</f>
        <v/>
      </c>
      <c r="L328" s="6" t="inlineStr">
        <is>
          <t>REJECTED</t>
        </is>
      </c>
      <c r="M328" s="8" t="n">
        <v>0</v>
      </c>
      <c r="N328" s="7">
        <f>M328*$J$342-J328</f>
        <v/>
      </c>
      <c r="O328" s="9">
        <f>IF(G328=0,0,N328/G328)</f>
        <v/>
      </c>
      <c r="P328" s="6">
        <f>IF(M328&gt;0,D328,"")</f>
        <v/>
      </c>
      <c r="Q328" s="9">
        <f>I328+O328</f>
        <v/>
      </c>
      <c r="R328" s="7">
        <f>Q328*G328</f>
        <v/>
      </c>
      <c r="S328" s="8">
        <f>IF($R$342=0,0,R328/$R$342)</f>
        <v/>
      </c>
      <c r="T328" s="8" t="n">
        <v>0</v>
      </c>
      <c r="U328" s="8" t="n">
        <v>-0.001196056439715432</v>
      </c>
      <c r="V328" s="6" t="inlineStr">
        <is>
          <t>not selected</t>
        </is>
      </c>
    </row>
    <row r="329">
      <c r="A329" s="6" t="inlineStr">
        <is>
          <t>DJ30</t>
        </is>
      </c>
      <c r="B329" s="6" t="inlineStr">
        <is>
          <t>2023-03-17</t>
        </is>
      </c>
      <c r="C329" s="6" t="inlineStr">
        <is>
          <t>DIA</t>
        </is>
      </c>
      <c r="D329" s="6" t="inlineStr">
        <is>
          <t>MCD</t>
        </is>
      </c>
      <c r="E329" s="6" t="inlineStr">
        <is>
          <t>MCD</t>
        </is>
      </c>
      <c r="F329" s="6" t="inlineStr">
        <is>
          <t>-</t>
        </is>
      </c>
      <c r="G329" s="7" t="n">
        <v>247.6548919677734</v>
      </c>
      <c r="H329" s="6">
        <f>P298</f>
        <v/>
      </c>
      <c r="I329" s="9">
        <f>Q298</f>
        <v/>
      </c>
      <c r="J329" s="7">
        <f>I329*G329</f>
        <v/>
      </c>
      <c r="K329" s="8">
        <f>IF($J$342=0,0,J329/$J$342)</f>
        <v/>
      </c>
      <c r="L329" s="6" t="inlineStr">
        <is>
          <t>REJECTED</t>
        </is>
      </c>
      <c r="M329" s="8" t="n">
        <v>0</v>
      </c>
      <c r="N329" s="7">
        <f>M329*$J$342-J329</f>
        <v/>
      </c>
      <c r="O329" s="9">
        <f>IF(G329=0,0,N329/G329)</f>
        <v/>
      </c>
      <c r="P329" s="6">
        <f>IF(M329&gt;0,D329,"")</f>
        <v/>
      </c>
      <c r="Q329" s="9">
        <f>I329+O329</f>
        <v/>
      </c>
      <c r="R329" s="7">
        <f>Q329*G329</f>
        <v/>
      </c>
      <c r="S329" s="8">
        <f>IF($R$342=0,0,R329/$R$342)</f>
        <v/>
      </c>
      <c r="T329" s="8" t="n">
        <v>0</v>
      </c>
      <c r="U329" s="8" t="n">
        <v>-0.001196056439715432</v>
      </c>
      <c r="V329" s="6" t="inlineStr">
        <is>
          <t>not selected</t>
        </is>
      </c>
    </row>
    <row r="330">
      <c r="A330" s="6" t="inlineStr">
        <is>
          <t>DJ30</t>
        </is>
      </c>
      <c r="B330" s="6" t="inlineStr">
        <is>
          <t>2023-03-17</t>
        </is>
      </c>
      <c r="C330" s="6" t="inlineStr">
        <is>
          <t>DIA</t>
        </is>
      </c>
      <c r="D330" s="6" t="inlineStr">
        <is>
          <t>MMM</t>
        </is>
      </c>
      <c r="E330" s="6" t="inlineStr">
        <is>
          <t>MMM</t>
        </is>
      </c>
      <c r="F330" s="6" t="inlineStr">
        <is>
          <t>-</t>
        </is>
      </c>
      <c r="G330" s="7" t="n">
        <v>77.32221221923828</v>
      </c>
      <c r="H330" s="6">
        <f>P299</f>
        <v/>
      </c>
      <c r="I330" s="9">
        <f>Q299</f>
        <v/>
      </c>
      <c r="J330" s="7">
        <f>I330*G330</f>
        <v/>
      </c>
      <c r="K330" s="8">
        <f>IF($J$342=0,0,J330/$J$342)</f>
        <v/>
      </c>
      <c r="L330" s="6" t="inlineStr">
        <is>
          <t>REJECTED</t>
        </is>
      </c>
      <c r="M330" s="8" t="n">
        <v>0</v>
      </c>
      <c r="N330" s="7">
        <f>M330*$J$342-J330</f>
        <v/>
      </c>
      <c r="O330" s="9">
        <f>IF(G330=0,0,N330/G330)</f>
        <v/>
      </c>
      <c r="P330" s="6">
        <f>IF(M330&gt;0,D330,"")</f>
        <v/>
      </c>
      <c r="Q330" s="9">
        <f>I330+O330</f>
        <v/>
      </c>
      <c r="R330" s="7">
        <f>Q330*G330</f>
        <v/>
      </c>
      <c r="S330" s="8">
        <f>IF($R$342=0,0,R330/$R$342)</f>
        <v/>
      </c>
      <c r="T330" s="8" t="n">
        <v>0</v>
      </c>
      <c r="U330" s="8" t="n">
        <v>-0.001196056439715432</v>
      </c>
      <c r="V330" s="6" t="inlineStr">
        <is>
          <t>not selected</t>
        </is>
      </c>
    </row>
    <row r="331">
      <c r="A331" s="6" t="inlineStr">
        <is>
          <t>DJ30</t>
        </is>
      </c>
      <c r="B331" s="6" t="inlineStr">
        <is>
          <t>2023-03-17</t>
        </is>
      </c>
      <c r="C331" s="6" t="inlineStr">
        <is>
          <t>DIA</t>
        </is>
      </c>
      <c r="D331" s="6" t="inlineStr">
        <is>
          <t>MRK</t>
        </is>
      </c>
      <c r="E331" s="6" t="inlineStr">
        <is>
          <t>MRK</t>
        </is>
      </c>
      <c r="F331" s="6" t="inlineStr">
        <is>
          <t>-</t>
        </is>
      </c>
      <c r="G331" s="7" t="n">
        <v>94.28341674804688</v>
      </c>
      <c r="H331" s="6">
        <f>P300</f>
        <v/>
      </c>
      <c r="I331" s="9">
        <f>Q300</f>
        <v/>
      </c>
      <c r="J331" s="7">
        <f>I331*G331</f>
        <v/>
      </c>
      <c r="K331" s="8">
        <f>IF($J$342=0,0,J331/$J$342)</f>
        <v/>
      </c>
      <c r="L331" s="6" t="inlineStr">
        <is>
          <t>REJECTED</t>
        </is>
      </c>
      <c r="M331" s="8" t="n">
        <v>0</v>
      </c>
      <c r="N331" s="7">
        <f>M331*$J$342-J331</f>
        <v/>
      </c>
      <c r="O331" s="9">
        <f>IF(G331=0,0,N331/G331)</f>
        <v/>
      </c>
      <c r="P331" s="6">
        <f>IF(M331&gt;0,D331,"")</f>
        <v/>
      </c>
      <c r="Q331" s="9">
        <f>I331+O331</f>
        <v/>
      </c>
      <c r="R331" s="7">
        <f>Q331*G331</f>
        <v/>
      </c>
      <c r="S331" s="8">
        <f>IF($R$342=0,0,R331/$R$342)</f>
        <v/>
      </c>
      <c r="T331" s="8" t="n">
        <v>0</v>
      </c>
      <c r="U331" s="8" t="n">
        <v>-0.001196056439715432</v>
      </c>
      <c r="V331" s="6" t="inlineStr">
        <is>
          <t>not selected</t>
        </is>
      </c>
    </row>
    <row r="332">
      <c r="A332" s="6" t="inlineStr">
        <is>
          <t>DJ30</t>
        </is>
      </c>
      <c r="B332" s="6" t="inlineStr">
        <is>
          <t>2023-03-17</t>
        </is>
      </c>
      <c r="C332" s="6" t="inlineStr">
        <is>
          <t>DIA</t>
        </is>
      </c>
      <c r="D332" s="6" t="inlineStr">
        <is>
          <t>MSFT</t>
        </is>
      </c>
      <c r="E332" s="6" t="inlineStr">
        <is>
          <t>MSFT</t>
        </is>
      </c>
      <c r="F332" s="6" t="inlineStr">
        <is>
          <t>-</t>
        </is>
      </c>
      <c r="G332" s="7" t="n">
        <v>272.375732421875</v>
      </c>
      <c r="H332" s="6">
        <f>P301</f>
        <v/>
      </c>
      <c r="I332" s="9">
        <f>Q301</f>
        <v/>
      </c>
      <c r="J332" s="7">
        <f>I332*G332</f>
        <v/>
      </c>
      <c r="K332" s="8">
        <f>IF($J$342=0,0,J332/$J$342)</f>
        <v/>
      </c>
      <c r="L332" s="6" t="inlineStr">
        <is>
          <t>REJECTED</t>
        </is>
      </c>
      <c r="M332" s="8" t="n">
        <v>0</v>
      </c>
      <c r="N332" s="7">
        <f>M332*$J$342-J332</f>
        <v/>
      </c>
      <c r="O332" s="9">
        <f>IF(G332=0,0,N332/G332)</f>
        <v/>
      </c>
      <c r="P332" s="6">
        <f>IF(M332&gt;0,D332,"")</f>
        <v/>
      </c>
      <c r="Q332" s="9">
        <f>I332+O332</f>
        <v/>
      </c>
      <c r="R332" s="7">
        <f>Q332*G332</f>
        <v/>
      </c>
      <c r="S332" s="8">
        <f>IF($R$342=0,0,R332/$R$342)</f>
        <v/>
      </c>
      <c r="T332" s="8" t="n">
        <v>0</v>
      </c>
      <c r="U332" s="8" t="n">
        <v>-0.001196056439715432</v>
      </c>
      <c r="V332" s="6" t="inlineStr">
        <is>
          <t>not selected</t>
        </is>
      </c>
    </row>
    <row r="333">
      <c r="A333" s="6" t="inlineStr">
        <is>
          <t>DJ30</t>
        </is>
      </c>
      <c r="B333" s="6" t="inlineStr">
        <is>
          <t>2023-03-17</t>
        </is>
      </c>
      <c r="C333" s="6" t="inlineStr">
        <is>
          <t>DIA</t>
        </is>
      </c>
      <c r="D333" s="6" t="inlineStr">
        <is>
          <t>NKE</t>
        </is>
      </c>
      <c r="E333" s="6" t="inlineStr">
        <is>
          <t>NKE</t>
        </is>
      </c>
      <c r="F333" s="6" t="inlineStr">
        <is>
          <t>-</t>
        </is>
      </c>
      <c r="G333" s="7" t="n">
        <v>112.729248046875</v>
      </c>
      <c r="H333" s="6">
        <f>P302</f>
        <v/>
      </c>
      <c r="I333" s="9">
        <f>Q302</f>
        <v/>
      </c>
      <c r="J333" s="7">
        <f>I333*G333</f>
        <v/>
      </c>
      <c r="K333" s="8">
        <f>IF($J$342=0,0,J333/$J$342)</f>
        <v/>
      </c>
      <c r="L333" s="6" t="inlineStr">
        <is>
          <t>REJECTED</t>
        </is>
      </c>
      <c r="M333" s="8" t="n">
        <v>0</v>
      </c>
      <c r="N333" s="7">
        <f>M333*$J$342-J333</f>
        <v/>
      </c>
      <c r="O333" s="9">
        <f>IF(G333=0,0,N333/G333)</f>
        <v/>
      </c>
      <c r="P333" s="6">
        <f>IF(M333&gt;0,D333,"")</f>
        <v/>
      </c>
      <c r="Q333" s="9">
        <f>I333+O333</f>
        <v/>
      </c>
      <c r="R333" s="7">
        <f>Q333*G333</f>
        <v/>
      </c>
      <c r="S333" s="8">
        <f>IF($R$342=0,0,R333/$R$342)</f>
        <v/>
      </c>
      <c r="T333" s="8" t="n">
        <v>0</v>
      </c>
      <c r="U333" s="8" t="n">
        <v>-0.001196056439715432</v>
      </c>
      <c r="V333" s="6" t="inlineStr">
        <is>
          <t>not selected</t>
        </is>
      </c>
    </row>
    <row r="334">
      <c r="A334" s="6" t="inlineStr">
        <is>
          <t>DJ30</t>
        </is>
      </c>
      <c r="B334" s="6" t="inlineStr">
        <is>
          <t>2023-03-17</t>
        </is>
      </c>
      <c r="C334" s="6" t="inlineStr">
        <is>
          <t>DIA</t>
        </is>
      </c>
      <c r="D334" s="6" t="inlineStr">
        <is>
          <t>NVDA</t>
        </is>
      </c>
      <c r="E334" s="6" t="inlineStr">
        <is>
          <t>NVDA</t>
        </is>
      </c>
      <c r="F334" s="6" t="inlineStr">
        <is>
          <t>-</t>
        </is>
      </c>
      <c r="G334" s="7" t="n">
        <v>25.67232704162598</v>
      </c>
      <c r="H334" s="6">
        <f>P303</f>
        <v/>
      </c>
      <c r="I334" s="9">
        <f>Q303</f>
        <v/>
      </c>
      <c r="J334" s="7">
        <f>I334*G334</f>
        <v/>
      </c>
      <c r="K334" s="8">
        <f>IF($J$342=0,0,J334/$J$342)</f>
        <v/>
      </c>
      <c r="L334" s="6" t="inlineStr">
        <is>
          <t>REJECTED</t>
        </is>
      </c>
      <c r="M334" s="8" t="n">
        <v>0</v>
      </c>
      <c r="N334" s="7">
        <f>M334*$J$342-J334</f>
        <v/>
      </c>
      <c r="O334" s="9">
        <f>IF(G334=0,0,N334/G334)</f>
        <v/>
      </c>
      <c r="P334" s="6">
        <f>IF(M334&gt;0,D334,"")</f>
        <v/>
      </c>
      <c r="Q334" s="9">
        <f>I334+O334</f>
        <v/>
      </c>
      <c r="R334" s="7">
        <f>Q334*G334</f>
        <v/>
      </c>
      <c r="S334" s="8">
        <f>IF($R$342=0,0,R334/$R$342)</f>
        <v/>
      </c>
      <c r="T334" s="8" t="n">
        <v>0</v>
      </c>
      <c r="U334" s="8" t="n">
        <v>-0.001196056439715432</v>
      </c>
      <c r="V334" s="6" t="inlineStr">
        <is>
          <t>not selected</t>
        </is>
      </c>
    </row>
    <row r="335">
      <c r="A335" s="6" t="inlineStr">
        <is>
          <t>DJ30</t>
        </is>
      </c>
      <c r="B335" s="6" t="inlineStr">
        <is>
          <t>2023-03-17</t>
        </is>
      </c>
      <c r="C335" s="6" t="inlineStr">
        <is>
          <t>DIA</t>
        </is>
      </c>
      <c r="D335" s="6" t="inlineStr">
        <is>
          <t>PG</t>
        </is>
      </c>
      <c r="E335" s="6" t="inlineStr">
        <is>
          <t>PG</t>
        </is>
      </c>
      <c r="F335" s="6" t="inlineStr">
        <is>
          <t>-</t>
        </is>
      </c>
      <c r="G335" s="7" t="n">
        <v>131.4066162109375</v>
      </c>
      <c r="H335" s="6">
        <f>P304</f>
        <v/>
      </c>
      <c r="I335" s="9">
        <f>Q304</f>
        <v/>
      </c>
      <c r="J335" s="7">
        <f>I335*G335</f>
        <v/>
      </c>
      <c r="K335" s="8">
        <f>IF($J$342=0,0,J335/$J$342)</f>
        <v/>
      </c>
      <c r="L335" s="6" t="inlineStr">
        <is>
          <t>REJECTED</t>
        </is>
      </c>
      <c r="M335" s="8" t="n">
        <v>0</v>
      </c>
      <c r="N335" s="7">
        <f>M335*$J$342-J335</f>
        <v/>
      </c>
      <c r="O335" s="9">
        <f>IF(G335=0,0,N335/G335)</f>
        <v/>
      </c>
      <c r="P335" s="6">
        <f>IF(M335&gt;0,D335,"")</f>
        <v/>
      </c>
      <c r="Q335" s="9">
        <f>I335+O335</f>
        <v/>
      </c>
      <c r="R335" s="7">
        <f>Q335*G335</f>
        <v/>
      </c>
      <c r="S335" s="8">
        <f>IF($R$342=0,0,R335/$R$342)</f>
        <v/>
      </c>
      <c r="T335" s="8" t="n">
        <v>0</v>
      </c>
      <c r="U335" s="8" t="n">
        <v>-0.001196056439715432</v>
      </c>
      <c r="V335" s="6" t="inlineStr">
        <is>
          <t>not selected</t>
        </is>
      </c>
    </row>
    <row r="336">
      <c r="A336" s="6" t="inlineStr">
        <is>
          <t>DJ30</t>
        </is>
      </c>
      <c r="B336" s="6" t="inlineStr">
        <is>
          <t>2023-03-17</t>
        </is>
      </c>
      <c r="C336" s="6" t="inlineStr">
        <is>
          <t>DIA</t>
        </is>
      </c>
      <c r="D336" s="6" t="inlineStr">
        <is>
          <t>SHW</t>
        </is>
      </c>
      <c r="E336" s="6" t="inlineStr">
        <is>
          <t>SHW</t>
        </is>
      </c>
      <c r="F336" s="6" t="inlineStr">
        <is>
          <t>-</t>
        </is>
      </c>
      <c r="G336" s="7" t="n">
        <v>211.0704498291016</v>
      </c>
      <c r="H336" s="6">
        <f>P305</f>
        <v/>
      </c>
      <c r="I336" s="9">
        <f>Q305</f>
        <v/>
      </c>
      <c r="J336" s="7">
        <f>I336*G336</f>
        <v/>
      </c>
      <c r="K336" s="8">
        <f>IF($J$342=0,0,J336/$J$342)</f>
        <v/>
      </c>
      <c r="L336" s="6" t="inlineStr">
        <is>
          <t>REJECTED</t>
        </is>
      </c>
      <c r="M336" s="8" t="n">
        <v>0</v>
      </c>
      <c r="N336" s="7">
        <f>M336*$J$342-J336</f>
        <v/>
      </c>
      <c r="O336" s="9">
        <f>IF(G336=0,0,N336/G336)</f>
        <v/>
      </c>
      <c r="P336" s="6">
        <f>IF(M336&gt;0,D336,"")</f>
        <v/>
      </c>
      <c r="Q336" s="9">
        <f>I336+O336</f>
        <v/>
      </c>
      <c r="R336" s="7">
        <f>Q336*G336</f>
        <v/>
      </c>
      <c r="S336" s="8">
        <f>IF($R$342=0,0,R336/$R$342)</f>
        <v/>
      </c>
      <c r="T336" s="8" t="n">
        <v>0</v>
      </c>
      <c r="U336" s="8" t="n">
        <v>-0.001196056439715432</v>
      </c>
      <c r="V336" s="6" t="inlineStr">
        <is>
          <t>not selected</t>
        </is>
      </c>
    </row>
    <row r="337">
      <c r="A337" s="6" t="inlineStr">
        <is>
          <t>DJ30</t>
        </is>
      </c>
      <c r="B337" s="6" t="inlineStr">
        <is>
          <t>2023-03-17</t>
        </is>
      </c>
      <c r="C337" s="6" t="inlineStr">
        <is>
          <t>DIA</t>
        </is>
      </c>
      <c r="D337" s="6" t="inlineStr">
        <is>
          <t>TRV</t>
        </is>
      </c>
      <c r="E337" s="6" t="inlineStr">
        <is>
          <t>TRV</t>
        </is>
      </c>
      <c r="F337" s="6" t="inlineStr">
        <is>
          <t>-</t>
        </is>
      </c>
      <c r="G337" s="7" t="n">
        <v>155.5069580078125</v>
      </c>
      <c r="H337" s="6">
        <f>P306</f>
        <v/>
      </c>
      <c r="I337" s="9">
        <f>Q306</f>
        <v/>
      </c>
      <c r="J337" s="7">
        <f>I337*G337</f>
        <v/>
      </c>
      <c r="K337" s="8">
        <f>IF($J$342=0,0,J337/$J$342)</f>
        <v/>
      </c>
      <c r="L337" s="6" t="inlineStr">
        <is>
          <t>REJECTED</t>
        </is>
      </c>
      <c r="M337" s="8" t="n">
        <v>0</v>
      </c>
      <c r="N337" s="7">
        <f>M337*$J$342-J337</f>
        <v/>
      </c>
      <c r="O337" s="9">
        <f>IF(G337=0,0,N337/G337)</f>
        <v/>
      </c>
      <c r="P337" s="6">
        <f>IF(M337&gt;0,D337,"")</f>
        <v/>
      </c>
      <c r="Q337" s="9">
        <f>I337+O337</f>
        <v/>
      </c>
      <c r="R337" s="7">
        <f>Q337*G337</f>
        <v/>
      </c>
      <c r="S337" s="8">
        <f>IF($R$342=0,0,R337/$R$342)</f>
        <v/>
      </c>
      <c r="T337" s="8" t="n">
        <v>0</v>
      </c>
      <c r="U337" s="8" t="n">
        <v>-0.001196056439715432</v>
      </c>
      <c r="V337" s="6" t="inlineStr">
        <is>
          <t>not selected</t>
        </is>
      </c>
    </row>
    <row r="338">
      <c r="A338" s="6" t="inlineStr">
        <is>
          <t>DJ30</t>
        </is>
      </c>
      <c r="B338" s="6" t="inlineStr">
        <is>
          <t>2023-03-17</t>
        </is>
      </c>
      <c r="C338" s="6" t="inlineStr">
        <is>
          <t>DIA</t>
        </is>
      </c>
      <c r="D338" s="6" t="inlineStr">
        <is>
          <t>UNH</t>
        </is>
      </c>
      <c r="E338" s="6" t="inlineStr">
        <is>
          <t>UNH</t>
        </is>
      </c>
      <c r="F338" s="6" t="inlineStr">
        <is>
          <t>-</t>
        </is>
      </c>
      <c r="G338" s="7" t="n">
        <v>440.0892028808594</v>
      </c>
      <c r="H338" s="6">
        <f>P307</f>
        <v/>
      </c>
      <c r="I338" s="9">
        <f>Q307</f>
        <v/>
      </c>
      <c r="J338" s="7">
        <f>I338*G338</f>
        <v/>
      </c>
      <c r="K338" s="8">
        <f>IF($J$342=0,0,J338/$J$342)</f>
        <v/>
      </c>
      <c r="L338" s="6" t="inlineStr">
        <is>
          <t>REJECTED</t>
        </is>
      </c>
      <c r="M338" s="8" t="n">
        <v>0</v>
      </c>
      <c r="N338" s="7">
        <f>M338*$J$342-J338</f>
        <v/>
      </c>
      <c r="O338" s="9">
        <f>IF(G338=0,0,N338/G338)</f>
        <v/>
      </c>
      <c r="P338" s="6">
        <f>IF(M338&gt;0,D338,"")</f>
        <v/>
      </c>
      <c r="Q338" s="9">
        <f>I338+O338</f>
        <v/>
      </c>
      <c r="R338" s="7">
        <f>Q338*G338</f>
        <v/>
      </c>
      <c r="S338" s="8">
        <f>IF($R$342=0,0,R338/$R$342)</f>
        <v/>
      </c>
      <c r="T338" s="8" t="n">
        <v>0</v>
      </c>
      <c r="U338" s="8" t="n">
        <v>-0.001196056439715432</v>
      </c>
      <c r="V338" s="6" t="inlineStr">
        <is>
          <t>not selected</t>
        </is>
      </c>
    </row>
    <row r="339">
      <c r="A339" s="6" t="inlineStr">
        <is>
          <t>DJ30</t>
        </is>
      </c>
      <c r="B339" s="6" t="inlineStr">
        <is>
          <t>2023-03-17</t>
        </is>
      </c>
      <c r="C339" s="6" t="inlineStr">
        <is>
          <t>DIA</t>
        </is>
      </c>
      <c r="D339" s="6" t="inlineStr">
        <is>
          <t>V</t>
        </is>
      </c>
      <c r="E339" s="6" t="inlineStr">
        <is>
          <t>V</t>
        </is>
      </c>
      <c r="F339" s="6" t="inlineStr">
        <is>
          <t>-</t>
        </is>
      </c>
      <c r="G339" s="7" t="n">
        <v>212.0701141357422</v>
      </c>
      <c r="H339" s="6">
        <f>P308</f>
        <v/>
      </c>
      <c r="I339" s="9">
        <f>Q308</f>
        <v/>
      </c>
      <c r="J339" s="7">
        <f>I339*G339</f>
        <v/>
      </c>
      <c r="K339" s="8">
        <f>IF($J$342=0,0,J339/$J$342)</f>
        <v/>
      </c>
      <c r="L339" s="6" t="inlineStr">
        <is>
          <t>REJECTED</t>
        </is>
      </c>
      <c r="M339" s="8" t="n">
        <v>0</v>
      </c>
      <c r="N339" s="7">
        <f>M339*$J$342-J339</f>
        <v/>
      </c>
      <c r="O339" s="9">
        <f>IF(G339=0,0,N339/G339)</f>
        <v/>
      </c>
      <c r="P339" s="6">
        <f>IF(M339&gt;0,D339,"")</f>
        <v/>
      </c>
      <c r="Q339" s="9">
        <f>I339+O339</f>
        <v/>
      </c>
      <c r="R339" s="7">
        <f>Q339*G339</f>
        <v/>
      </c>
      <c r="S339" s="8">
        <f>IF($R$342=0,0,R339/$R$342)</f>
        <v/>
      </c>
      <c r="T339" s="8" t="n">
        <v>0</v>
      </c>
      <c r="U339" s="8" t="n">
        <v>-0.001196056439715432</v>
      </c>
      <c r="V339" s="6" t="inlineStr">
        <is>
          <t>not selected</t>
        </is>
      </c>
    </row>
    <row r="340">
      <c r="A340" s="6" t="inlineStr">
        <is>
          <t>DJ30</t>
        </is>
      </c>
      <c r="B340" s="6" t="inlineStr">
        <is>
          <t>2023-03-17</t>
        </is>
      </c>
      <c r="C340" s="6" t="inlineStr">
        <is>
          <t>DIA</t>
        </is>
      </c>
      <c r="D340" s="6" t="inlineStr">
        <is>
          <t>VZ</t>
        </is>
      </c>
      <c r="E340" s="6" t="inlineStr">
        <is>
          <t>VZ</t>
        </is>
      </c>
      <c r="F340" s="6" t="inlineStr">
        <is>
          <t>-</t>
        </is>
      </c>
      <c r="G340" s="7" t="n">
        <v>29.56900024414062</v>
      </c>
      <c r="H340" s="6">
        <f>P309</f>
        <v/>
      </c>
      <c r="I340" s="9">
        <f>Q309</f>
        <v/>
      </c>
      <c r="J340" s="7">
        <f>I340*G340</f>
        <v/>
      </c>
      <c r="K340" s="8">
        <f>IF($J$342=0,0,J340/$J$342)</f>
        <v/>
      </c>
      <c r="L340" s="6" t="inlineStr">
        <is>
          <t>REJECTED</t>
        </is>
      </c>
      <c r="M340" s="8" t="n">
        <v>0</v>
      </c>
      <c r="N340" s="7">
        <f>M340*$J$342-J340</f>
        <v/>
      </c>
      <c r="O340" s="9">
        <f>IF(G340=0,0,N340/G340)</f>
        <v/>
      </c>
      <c r="P340" s="6">
        <f>IF(M340&gt;0,D340,"")</f>
        <v/>
      </c>
      <c r="Q340" s="9">
        <f>I340+O340</f>
        <v/>
      </c>
      <c r="R340" s="7">
        <f>Q340*G340</f>
        <v/>
      </c>
      <c r="S340" s="8">
        <f>IF($R$342=0,0,R340/$R$342)</f>
        <v/>
      </c>
      <c r="T340" s="8" t="n">
        <v>0</v>
      </c>
      <c r="U340" s="8" t="n">
        <v>-0.001196056439715432</v>
      </c>
      <c r="V340" s="6" t="inlineStr">
        <is>
          <t>not selected</t>
        </is>
      </c>
    </row>
    <row r="341">
      <c r="A341" s="6" t="inlineStr">
        <is>
          <t>DJ30</t>
        </is>
      </c>
      <c r="B341" s="6" t="inlineStr">
        <is>
          <t>2023-03-17</t>
        </is>
      </c>
      <c r="C341" s="6" t="inlineStr">
        <is>
          <t>DIA</t>
        </is>
      </c>
      <c r="D341" s="6" t="inlineStr">
        <is>
          <t>WMT</t>
        </is>
      </c>
      <c r="E341" s="6" t="inlineStr">
        <is>
          <t>WMT</t>
        </is>
      </c>
      <c r="F341" s="6" t="inlineStr">
        <is>
          <t>-</t>
        </is>
      </c>
      <c r="G341" s="7" t="n">
        <v>44.80365371704102</v>
      </c>
      <c r="H341" s="6">
        <f>P310</f>
        <v/>
      </c>
      <c r="I341" s="9">
        <f>Q310</f>
        <v/>
      </c>
      <c r="J341" s="7">
        <f>I341*G341</f>
        <v/>
      </c>
      <c r="K341" s="8">
        <f>IF($J$342=0,0,J341/$J$342)</f>
        <v/>
      </c>
      <c r="L341" s="6" t="inlineStr">
        <is>
          <t>REJECTED</t>
        </is>
      </c>
      <c r="M341" s="8" t="n">
        <v>0</v>
      </c>
      <c r="N341" s="7">
        <f>M341*$J$342-J341</f>
        <v/>
      </c>
      <c r="O341" s="9">
        <f>IF(G341=0,0,N341/G341)</f>
        <v/>
      </c>
      <c r="P341" s="6">
        <f>IF(M341&gt;0,D341,"")</f>
        <v/>
      </c>
      <c r="Q341" s="9">
        <f>I341+O341</f>
        <v/>
      </c>
      <c r="R341" s="7">
        <f>Q341*G341</f>
        <v/>
      </c>
      <c r="S341" s="8">
        <f>IF($R$342=0,0,R341/$R$342)</f>
        <v/>
      </c>
      <c r="T341" s="8" t="n">
        <v>0</v>
      </c>
      <c r="U341" s="8" t="n">
        <v>-0.001196056439715432</v>
      </c>
      <c r="V341" s="6" t="inlineStr">
        <is>
          <t>not selected</t>
        </is>
      </c>
    </row>
    <row r="342">
      <c r="A342" s="10" t="inlineStr">
        <is>
          <t>DJ30</t>
        </is>
      </c>
      <c r="B342" s="10" t="inlineStr">
        <is>
          <t>2023-03-17</t>
        </is>
      </c>
      <c r="C342" s="10" t="inlineStr">
        <is>
          <t>DIA</t>
        </is>
      </c>
      <c r="D342" s="10" t="inlineStr">
        <is>
          <t>Tot Portfolio</t>
        </is>
      </c>
      <c r="E342" s="10" t="inlineStr"/>
      <c r="F342" s="10" t="inlineStr"/>
      <c r="G342" s="11" t="inlineStr"/>
      <c r="H342" s="10" t="inlineStr"/>
      <c r="I342" s="12" t="inlineStr"/>
      <c r="J342" s="11">
        <f>SUM(J312:J341)</f>
        <v/>
      </c>
      <c r="K342" s="13">
        <f>SUM(K312:K341)</f>
        <v/>
      </c>
      <c r="L342" s="10" t="inlineStr">
        <is>
          <t>TOTAL</t>
        </is>
      </c>
      <c r="M342" s="13">
        <f>SUM(M312:M341)</f>
        <v/>
      </c>
      <c r="N342" s="11">
        <f>SUM(N312:N341)</f>
        <v/>
      </c>
      <c r="O342" s="12">
        <f>SUM(O312:O341)</f>
        <v/>
      </c>
      <c r="P342" s="10" t="inlineStr"/>
      <c r="Q342" s="12" t="inlineStr"/>
      <c r="R342" s="11">
        <f>SUM(R312:R341)</f>
        <v/>
      </c>
      <c r="S342" s="13">
        <f>SUM(S312:S341)</f>
        <v/>
      </c>
      <c r="T342" s="13" t="n">
        <v>0</v>
      </c>
      <c r="U342" s="13" t="n">
        <v>-0.001196056439715432</v>
      </c>
      <c r="V342" s="10" t="inlineStr"/>
    </row>
    <row r="343">
      <c r="A343" s="6" t="inlineStr">
        <is>
          <t>DJ30</t>
        </is>
      </c>
      <c r="B343" s="6" t="inlineStr">
        <is>
          <t>2023-03-24</t>
        </is>
      </c>
      <c r="C343" s="6" t="inlineStr">
        <is>
          <t>DIA</t>
        </is>
      </c>
      <c r="D343" s="6" t="inlineStr">
        <is>
          <t>AAPL</t>
        </is>
      </c>
      <c r="E343" s="6" t="inlineStr">
        <is>
          <t>AAPL</t>
        </is>
      </c>
      <c r="F343" s="6" t="inlineStr">
        <is>
          <t>-</t>
        </is>
      </c>
      <c r="G343" s="7" t="n">
        <v>157.8162078857422</v>
      </c>
      <c r="H343" s="6">
        <f>P312</f>
        <v/>
      </c>
      <c r="I343" s="9">
        <f>Q312</f>
        <v/>
      </c>
      <c r="J343" s="7">
        <f>I343*G343</f>
        <v/>
      </c>
      <c r="K343" s="8">
        <f>IF($J$373=0,0,J343/$J$373)</f>
        <v/>
      </c>
      <c r="L343" s="6" t="inlineStr">
        <is>
          <t>REJECTED</t>
        </is>
      </c>
      <c r="M343" s="8" t="n">
        <v>0</v>
      </c>
      <c r="N343" s="7">
        <f>M343*$J$373-J343</f>
        <v/>
      </c>
      <c r="O343" s="9">
        <f>IF(G343=0,0,N343/G343)</f>
        <v/>
      </c>
      <c r="P343" s="6">
        <f>IF(M343&gt;0,D343,"")</f>
        <v/>
      </c>
      <c r="Q343" s="9">
        <f>I343+O343</f>
        <v/>
      </c>
      <c r="R343" s="7">
        <f>Q343*G343</f>
        <v/>
      </c>
      <c r="S343" s="8">
        <f>IF($R$373=0,0,R343/$R$373)</f>
        <v/>
      </c>
      <c r="T343" s="8" t="n">
        <v>0</v>
      </c>
      <c r="U343" s="8" t="n">
        <v>0.01199380806770445</v>
      </c>
      <c r="V343" s="6" t="inlineStr">
        <is>
          <t>not selected</t>
        </is>
      </c>
    </row>
    <row r="344">
      <c r="A344" s="6" t="inlineStr">
        <is>
          <t>DJ30</t>
        </is>
      </c>
      <c r="B344" s="6" t="inlineStr">
        <is>
          <t>2023-03-24</t>
        </is>
      </c>
      <c r="C344" s="6" t="inlineStr">
        <is>
          <t>DIA</t>
        </is>
      </c>
      <c r="D344" s="6" t="inlineStr">
        <is>
          <t>AMGN</t>
        </is>
      </c>
      <c r="E344" s="6" t="inlineStr">
        <is>
          <t>AMGN</t>
        </is>
      </c>
      <c r="F344" s="6" t="inlineStr">
        <is>
          <t>-</t>
        </is>
      </c>
      <c r="G344" s="7" t="n">
        <v>215.0511016845703</v>
      </c>
      <c r="H344" s="6">
        <f>P313</f>
        <v/>
      </c>
      <c r="I344" s="9">
        <f>Q313</f>
        <v/>
      </c>
      <c r="J344" s="7">
        <f>I344*G344</f>
        <v/>
      </c>
      <c r="K344" s="8">
        <f>IF($J$373=0,0,J344/$J$373)</f>
        <v/>
      </c>
      <c r="L344" s="6" t="inlineStr">
        <is>
          <t>REJECTED</t>
        </is>
      </c>
      <c r="M344" s="8" t="n">
        <v>0</v>
      </c>
      <c r="N344" s="7">
        <f>M344*$J$373-J344</f>
        <v/>
      </c>
      <c r="O344" s="9">
        <f>IF(G344=0,0,N344/G344)</f>
        <v/>
      </c>
      <c r="P344" s="6">
        <f>IF(M344&gt;0,D344,"")</f>
        <v/>
      </c>
      <c r="Q344" s="9">
        <f>I344+O344</f>
        <v/>
      </c>
      <c r="R344" s="7">
        <f>Q344*G344</f>
        <v/>
      </c>
      <c r="S344" s="8">
        <f>IF($R$373=0,0,R344/$R$373)</f>
        <v/>
      </c>
      <c r="T344" s="8" t="n">
        <v>0</v>
      </c>
      <c r="U344" s="8" t="n">
        <v>0.01199380806770445</v>
      </c>
      <c r="V344" s="6" t="inlineStr">
        <is>
          <t>not selected</t>
        </is>
      </c>
    </row>
    <row r="345">
      <c r="A345" s="6" t="inlineStr">
        <is>
          <t>DJ30</t>
        </is>
      </c>
      <c r="B345" s="6" t="inlineStr">
        <is>
          <t>2023-03-24</t>
        </is>
      </c>
      <c r="C345" s="6" t="inlineStr">
        <is>
          <t>DIA</t>
        </is>
      </c>
      <c r="D345" s="6" t="inlineStr">
        <is>
          <t>AMZN</t>
        </is>
      </c>
      <c r="E345" s="6" t="inlineStr">
        <is>
          <t>AMZN</t>
        </is>
      </c>
      <c r="F345" s="6" t="inlineStr">
        <is>
          <t>-</t>
        </is>
      </c>
      <c r="G345" s="7" t="n">
        <v>98.12999725341795</v>
      </c>
      <c r="H345" s="6">
        <f>P314</f>
        <v/>
      </c>
      <c r="I345" s="9">
        <f>Q314</f>
        <v/>
      </c>
      <c r="J345" s="7">
        <f>I345*G345</f>
        <v/>
      </c>
      <c r="K345" s="8">
        <f>IF($J$373=0,0,J345/$J$373)</f>
        <v/>
      </c>
      <c r="L345" s="6" t="inlineStr">
        <is>
          <t>REJECTED</t>
        </is>
      </c>
      <c r="M345" s="8" t="n">
        <v>0</v>
      </c>
      <c r="N345" s="7">
        <f>M345*$J$373-J345</f>
        <v/>
      </c>
      <c r="O345" s="9">
        <f>IF(G345=0,0,N345/G345)</f>
        <v/>
      </c>
      <c r="P345" s="6">
        <f>IF(M345&gt;0,D345,"")</f>
        <v/>
      </c>
      <c r="Q345" s="9">
        <f>I345+O345</f>
        <v/>
      </c>
      <c r="R345" s="7">
        <f>Q345*G345</f>
        <v/>
      </c>
      <c r="S345" s="8">
        <f>IF($R$373=0,0,R345/$R$373)</f>
        <v/>
      </c>
      <c r="T345" s="8" t="n">
        <v>0</v>
      </c>
      <c r="U345" s="8" t="n">
        <v>0.01199380806770445</v>
      </c>
      <c r="V345" s="6" t="inlineStr">
        <is>
          <t>not selected</t>
        </is>
      </c>
    </row>
    <row r="346">
      <c r="A346" s="6" t="inlineStr">
        <is>
          <t>DJ30</t>
        </is>
      </c>
      <c r="B346" s="6" t="inlineStr">
        <is>
          <t>2023-03-24</t>
        </is>
      </c>
      <c r="C346" s="6" t="inlineStr">
        <is>
          <t>DIA</t>
        </is>
      </c>
      <c r="D346" s="6" t="inlineStr">
        <is>
          <t>AXP</t>
        </is>
      </c>
      <c r="E346" s="6" t="inlineStr">
        <is>
          <t>AXP</t>
        </is>
      </c>
      <c r="F346" s="6" t="inlineStr">
        <is>
          <t>-</t>
        </is>
      </c>
      <c r="G346" s="7" t="n">
        <v>153.6356048583984</v>
      </c>
      <c r="H346" s="6">
        <f>P315</f>
        <v/>
      </c>
      <c r="I346" s="9">
        <f>Q315</f>
        <v/>
      </c>
      <c r="J346" s="7">
        <f>I346*G346</f>
        <v/>
      </c>
      <c r="K346" s="8">
        <f>IF($J$373=0,0,J346/$J$373)</f>
        <v/>
      </c>
      <c r="L346" s="6" t="inlineStr">
        <is>
          <t>REJECTED</t>
        </is>
      </c>
      <c r="M346" s="8" t="n">
        <v>0</v>
      </c>
      <c r="N346" s="7">
        <f>M346*$J$373-J346</f>
        <v/>
      </c>
      <c r="O346" s="9">
        <f>IF(G346=0,0,N346/G346)</f>
        <v/>
      </c>
      <c r="P346" s="6">
        <f>IF(M346&gt;0,D346,"")</f>
        <v/>
      </c>
      <c r="Q346" s="9">
        <f>I346+O346</f>
        <v/>
      </c>
      <c r="R346" s="7">
        <f>Q346*G346</f>
        <v/>
      </c>
      <c r="S346" s="8">
        <f>IF($R$373=0,0,R346/$R$373)</f>
        <v/>
      </c>
      <c r="T346" s="8" t="n">
        <v>0</v>
      </c>
      <c r="U346" s="8" t="n">
        <v>0.01199380806770445</v>
      </c>
      <c r="V346" s="6" t="inlineStr">
        <is>
          <t>not selected</t>
        </is>
      </c>
    </row>
    <row r="347">
      <c r="A347" s="6" t="inlineStr">
        <is>
          <t>DJ30</t>
        </is>
      </c>
      <c r="B347" s="6" t="inlineStr">
        <is>
          <t>2023-03-24</t>
        </is>
      </c>
      <c r="C347" s="6" t="inlineStr">
        <is>
          <t>DIA</t>
        </is>
      </c>
      <c r="D347" s="6" t="inlineStr">
        <is>
          <t>BA</t>
        </is>
      </c>
      <c r="E347" s="6" t="inlineStr">
        <is>
          <t>BA</t>
        </is>
      </c>
      <c r="F347" s="6" t="inlineStr">
        <is>
          <t>-</t>
        </is>
      </c>
      <c r="G347" s="7" t="n">
        <v>197.5299987792969</v>
      </c>
      <c r="H347" s="6">
        <f>P316</f>
        <v/>
      </c>
      <c r="I347" s="9">
        <f>Q316</f>
        <v/>
      </c>
      <c r="J347" s="7">
        <f>I347*G347</f>
        <v/>
      </c>
      <c r="K347" s="8">
        <f>IF($J$373=0,0,J347/$J$373)</f>
        <v/>
      </c>
      <c r="L347" s="6" t="inlineStr">
        <is>
          <t>REJECTED</t>
        </is>
      </c>
      <c r="M347" s="8" t="n">
        <v>0</v>
      </c>
      <c r="N347" s="7">
        <f>M347*$J$373-J347</f>
        <v/>
      </c>
      <c r="O347" s="9">
        <f>IF(G347=0,0,N347/G347)</f>
        <v/>
      </c>
      <c r="P347" s="6">
        <f>IF(M347&gt;0,D347,"")</f>
        <v/>
      </c>
      <c r="Q347" s="9">
        <f>I347+O347</f>
        <v/>
      </c>
      <c r="R347" s="7">
        <f>Q347*G347</f>
        <v/>
      </c>
      <c r="S347" s="8">
        <f>IF($R$373=0,0,R347/$R$373)</f>
        <v/>
      </c>
      <c r="T347" s="8" t="n">
        <v>0</v>
      </c>
      <c r="U347" s="8" t="n">
        <v>0.01199380806770445</v>
      </c>
      <c r="V347" s="6" t="inlineStr">
        <is>
          <t>not selected</t>
        </is>
      </c>
    </row>
    <row r="348">
      <c r="A348" s="6" t="inlineStr">
        <is>
          <t>DJ30</t>
        </is>
      </c>
      <c r="B348" s="6" t="inlineStr">
        <is>
          <t>2023-03-24</t>
        </is>
      </c>
      <c r="C348" s="6" t="inlineStr">
        <is>
          <t>DIA</t>
        </is>
      </c>
      <c r="D348" s="6" t="inlineStr">
        <is>
          <t>CAT</t>
        </is>
      </c>
      <c r="E348" s="6" t="inlineStr">
        <is>
          <t>CAT</t>
        </is>
      </c>
      <c r="F348" s="6" t="inlineStr">
        <is>
          <t>-</t>
        </is>
      </c>
      <c r="G348" s="7" t="n">
        <v>206.2930145263672</v>
      </c>
      <c r="H348" s="6">
        <f>P317</f>
        <v/>
      </c>
      <c r="I348" s="9">
        <f>Q317</f>
        <v/>
      </c>
      <c r="J348" s="7">
        <f>I348*G348</f>
        <v/>
      </c>
      <c r="K348" s="8">
        <f>IF($J$373=0,0,J348/$J$373)</f>
        <v/>
      </c>
      <c r="L348" s="6" t="inlineStr">
        <is>
          <t>REJECTED</t>
        </is>
      </c>
      <c r="M348" s="8" t="n">
        <v>0</v>
      </c>
      <c r="N348" s="7">
        <f>M348*$J$373-J348</f>
        <v/>
      </c>
      <c r="O348" s="9">
        <f>IF(G348=0,0,N348/G348)</f>
        <v/>
      </c>
      <c r="P348" s="6">
        <f>IF(M348&gt;0,D348,"")</f>
        <v/>
      </c>
      <c r="Q348" s="9">
        <f>I348+O348</f>
        <v/>
      </c>
      <c r="R348" s="7">
        <f>Q348*G348</f>
        <v/>
      </c>
      <c r="S348" s="8">
        <f>IF($R$373=0,0,R348/$R$373)</f>
        <v/>
      </c>
      <c r="T348" s="8" t="n">
        <v>0</v>
      </c>
      <c r="U348" s="8" t="n">
        <v>0.01199380806770445</v>
      </c>
      <c r="V348" s="6" t="inlineStr">
        <is>
          <t>not selected</t>
        </is>
      </c>
    </row>
    <row r="349">
      <c r="A349" s="6" t="inlineStr">
        <is>
          <t>DJ30</t>
        </is>
      </c>
      <c r="B349" s="6" t="inlineStr">
        <is>
          <t>2023-03-24</t>
        </is>
      </c>
      <c r="C349" s="6" t="inlineStr">
        <is>
          <t>DIA</t>
        </is>
      </c>
      <c r="D349" s="6" t="inlineStr">
        <is>
          <t>CRM</t>
        </is>
      </c>
      <c r="E349" s="6" t="inlineStr">
        <is>
          <t>CRM</t>
        </is>
      </c>
      <c r="F349" s="6" t="inlineStr">
        <is>
          <t>-</t>
        </is>
      </c>
      <c r="G349" s="7" t="n">
        <v>186.8277893066407</v>
      </c>
      <c r="H349" s="6">
        <f>P318</f>
        <v/>
      </c>
      <c r="I349" s="9">
        <f>Q318</f>
        <v/>
      </c>
      <c r="J349" s="7">
        <f>I349*G349</f>
        <v/>
      </c>
      <c r="K349" s="8">
        <f>IF($J$373=0,0,J349/$J$373)</f>
        <v/>
      </c>
      <c r="L349" s="6" t="inlineStr">
        <is>
          <t>REJECTED</t>
        </is>
      </c>
      <c r="M349" s="8" t="n">
        <v>0</v>
      </c>
      <c r="N349" s="7">
        <f>M349*$J$373-J349</f>
        <v/>
      </c>
      <c r="O349" s="9">
        <f>IF(G349=0,0,N349/G349)</f>
        <v/>
      </c>
      <c r="P349" s="6">
        <f>IF(M349&gt;0,D349,"")</f>
        <v/>
      </c>
      <c r="Q349" s="9">
        <f>I349+O349</f>
        <v/>
      </c>
      <c r="R349" s="7">
        <f>Q349*G349</f>
        <v/>
      </c>
      <c r="S349" s="8">
        <f>IF($R$373=0,0,R349/$R$373)</f>
        <v/>
      </c>
      <c r="T349" s="8" t="n">
        <v>0</v>
      </c>
      <c r="U349" s="8" t="n">
        <v>0.01199380806770445</v>
      </c>
      <c r="V349" s="6" t="inlineStr">
        <is>
          <t>not selected</t>
        </is>
      </c>
    </row>
    <row r="350">
      <c r="A350" s="6" t="inlineStr">
        <is>
          <t>DJ30</t>
        </is>
      </c>
      <c r="B350" s="6" t="inlineStr">
        <is>
          <t>2023-03-24</t>
        </is>
      </c>
      <c r="C350" s="6" t="inlineStr">
        <is>
          <t>DIA</t>
        </is>
      </c>
      <c r="D350" s="6" t="inlineStr">
        <is>
          <t>CSCO</t>
        </is>
      </c>
      <c r="E350" s="6" t="inlineStr">
        <is>
          <t>CSCO</t>
        </is>
      </c>
      <c r="F350" s="6" t="inlineStr">
        <is>
          <t>-</t>
        </is>
      </c>
      <c r="G350" s="7" t="n">
        <v>46.14106750488281</v>
      </c>
      <c r="H350" s="6">
        <f>P319</f>
        <v/>
      </c>
      <c r="I350" s="9">
        <f>Q319</f>
        <v/>
      </c>
      <c r="J350" s="7">
        <f>I350*G350</f>
        <v/>
      </c>
      <c r="K350" s="8">
        <f>IF($J$373=0,0,J350/$J$373)</f>
        <v/>
      </c>
      <c r="L350" s="6" t="inlineStr">
        <is>
          <t>REJECTED</t>
        </is>
      </c>
      <c r="M350" s="8" t="n">
        <v>0</v>
      </c>
      <c r="N350" s="7">
        <f>M350*$J$373-J350</f>
        <v/>
      </c>
      <c r="O350" s="9">
        <f>IF(G350=0,0,N350/G350)</f>
        <v/>
      </c>
      <c r="P350" s="6">
        <f>IF(M350&gt;0,D350,"")</f>
        <v/>
      </c>
      <c r="Q350" s="9">
        <f>I350+O350</f>
        <v/>
      </c>
      <c r="R350" s="7">
        <f>Q350*G350</f>
        <v/>
      </c>
      <c r="S350" s="8">
        <f>IF($R$373=0,0,R350/$R$373)</f>
        <v/>
      </c>
      <c r="T350" s="8" t="n">
        <v>0</v>
      </c>
      <c r="U350" s="8" t="n">
        <v>0.01199380806770445</v>
      </c>
      <c r="V350" s="6" t="inlineStr">
        <is>
          <t>not selected</t>
        </is>
      </c>
    </row>
    <row r="351">
      <c r="A351" s="6" t="inlineStr">
        <is>
          <t>DJ30</t>
        </is>
      </c>
      <c r="B351" s="6" t="inlineStr">
        <is>
          <t>2023-03-24</t>
        </is>
      </c>
      <c r="C351" s="6" t="inlineStr">
        <is>
          <t>DIA</t>
        </is>
      </c>
      <c r="D351" s="6" t="inlineStr">
        <is>
          <t>CVX</t>
        </is>
      </c>
      <c r="E351" s="6" t="inlineStr">
        <is>
          <t>CVX</t>
        </is>
      </c>
      <c r="F351" s="6" t="inlineStr">
        <is>
          <t>-</t>
        </is>
      </c>
      <c r="G351" s="7" t="n">
        <v>136.2044830322266</v>
      </c>
      <c r="H351" s="6">
        <f>P320</f>
        <v/>
      </c>
      <c r="I351" s="9">
        <f>Q320</f>
        <v/>
      </c>
      <c r="J351" s="7">
        <f>I351*G351</f>
        <v/>
      </c>
      <c r="K351" s="8">
        <f>IF($J$373=0,0,J351/$J$373)</f>
        <v/>
      </c>
      <c r="L351" s="6" t="inlineStr">
        <is>
          <t>REJECTED</t>
        </is>
      </c>
      <c r="M351" s="8" t="n">
        <v>0</v>
      </c>
      <c r="N351" s="7">
        <f>M351*$J$373-J351</f>
        <v/>
      </c>
      <c r="O351" s="9">
        <f>IF(G351=0,0,N351/G351)</f>
        <v/>
      </c>
      <c r="P351" s="6">
        <f>IF(M351&gt;0,D351,"")</f>
        <v/>
      </c>
      <c r="Q351" s="9">
        <f>I351+O351</f>
        <v/>
      </c>
      <c r="R351" s="7">
        <f>Q351*G351</f>
        <v/>
      </c>
      <c r="S351" s="8">
        <f>IF($R$373=0,0,R351/$R$373)</f>
        <v/>
      </c>
      <c r="T351" s="8" t="n">
        <v>0</v>
      </c>
      <c r="U351" s="8" t="n">
        <v>0.01199380806770445</v>
      </c>
      <c r="V351" s="6" t="inlineStr">
        <is>
          <t>not selected</t>
        </is>
      </c>
    </row>
    <row r="352">
      <c r="A352" s="6" t="inlineStr">
        <is>
          <t>DJ30</t>
        </is>
      </c>
      <c r="B352" s="6" t="inlineStr">
        <is>
          <t>2023-03-24</t>
        </is>
      </c>
      <c r="C352" s="6" t="inlineStr">
        <is>
          <t>DIA</t>
        </is>
      </c>
      <c r="D352" s="6" t="inlineStr">
        <is>
          <t>DIS</t>
        </is>
      </c>
      <c r="E352" s="6" t="inlineStr">
        <is>
          <t>DIS</t>
        </is>
      </c>
      <c r="F352" s="6" t="inlineStr">
        <is>
          <t>-</t>
        </is>
      </c>
      <c r="G352" s="7" t="n">
        <v>91.91545104980467</v>
      </c>
      <c r="H352" s="6">
        <f>P321</f>
        <v/>
      </c>
      <c r="I352" s="9">
        <f>Q321</f>
        <v/>
      </c>
      <c r="J352" s="7">
        <f>I352*G352</f>
        <v/>
      </c>
      <c r="K352" s="8">
        <f>IF($J$373=0,0,J352/$J$373)</f>
        <v/>
      </c>
      <c r="L352" s="6" t="inlineStr">
        <is>
          <t>REJECTED</t>
        </is>
      </c>
      <c r="M352" s="8" t="n">
        <v>0</v>
      </c>
      <c r="N352" s="7">
        <f>M352*$J$373-J352</f>
        <v/>
      </c>
      <c r="O352" s="9">
        <f>IF(G352=0,0,N352/G352)</f>
        <v/>
      </c>
      <c r="P352" s="6">
        <f>IF(M352&gt;0,D352,"")</f>
        <v/>
      </c>
      <c r="Q352" s="9">
        <f>I352+O352</f>
        <v/>
      </c>
      <c r="R352" s="7">
        <f>Q352*G352</f>
        <v/>
      </c>
      <c r="S352" s="8">
        <f>IF($R$373=0,0,R352/$R$373)</f>
        <v/>
      </c>
      <c r="T352" s="8" t="n">
        <v>0</v>
      </c>
      <c r="U352" s="8" t="n">
        <v>0.01199380806770445</v>
      </c>
      <c r="V352" s="6" t="inlineStr">
        <is>
          <t>not selected</t>
        </is>
      </c>
    </row>
    <row r="353">
      <c r="A353" s="6" t="inlineStr">
        <is>
          <t>DJ30</t>
        </is>
      </c>
      <c r="B353" s="6" t="inlineStr">
        <is>
          <t>2023-03-24</t>
        </is>
      </c>
      <c r="C353" s="6" t="inlineStr">
        <is>
          <t>DIA</t>
        </is>
      </c>
      <c r="D353" s="6" t="inlineStr">
        <is>
          <t>GS</t>
        </is>
      </c>
      <c r="E353" s="6" t="inlineStr">
        <is>
          <t>GS</t>
        </is>
      </c>
      <c r="F353" s="6" t="inlineStr">
        <is>
          <t>-</t>
        </is>
      </c>
      <c r="G353" s="7" t="n">
        <v>289.1590270996094</v>
      </c>
      <c r="H353" s="6">
        <f>P322</f>
        <v/>
      </c>
      <c r="I353" s="9">
        <f>Q322</f>
        <v/>
      </c>
      <c r="J353" s="7">
        <f>I353*G353</f>
        <v/>
      </c>
      <c r="K353" s="8">
        <f>IF($J$373=0,0,J353/$J$373)</f>
        <v/>
      </c>
      <c r="L353" s="6" t="inlineStr">
        <is>
          <t>REJECTED</t>
        </is>
      </c>
      <c r="M353" s="8" t="n">
        <v>0</v>
      </c>
      <c r="N353" s="7">
        <f>M353*$J$373-J353</f>
        <v/>
      </c>
      <c r="O353" s="9">
        <f>IF(G353=0,0,N353/G353)</f>
        <v/>
      </c>
      <c r="P353" s="6">
        <f>IF(M353&gt;0,D353,"")</f>
        <v/>
      </c>
      <c r="Q353" s="9">
        <f>I353+O353</f>
        <v/>
      </c>
      <c r="R353" s="7">
        <f>Q353*G353</f>
        <v/>
      </c>
      <c r="S353" s="8">
        <f>IF($R$373=0,0,R353/$R$373)</f>
        <v/>
      </c>
      <c r="T353" s="8" t="n">
        <v>0</v>
      </c>
      <c r="U353" s="8" t="n">
        <v>0.01199380806770445</v>
      </c>
      <c r="V353" s="6" t="inlineStr">
        <is>
          <t>not selected</t>
        </is>
      </c>
    </row>
    <row r="354">
      <c r="A354" s="6" t="inlineStr">
        <is>
          <t>DJ30</t>
        </is>
      </c>
      <c r="B354" s="6" t="inlineStr">
        <is>
          <t>2023-03-24</t>
        </is>
      </c>
      <c r="C354" s="6" t="inlineStr">
        <is>
          <t>DIA</t>
        </is>
      </c>
      <c r="D354" s="6" t="inlineStr">
        <is>
          <t>HD</t>
        </is>
      </c>
      <c r="E354" s="6" t="inlineStr">
        <is>
          <t>HD</t>
        </is>
      </c>
      <c r="F354" s="6" t="inlineStr">
        <is>
          <t>-</t>
        </is>
      </c>
      <c r="G354" s="7" t="n">
        <v>260.4279479980469</v>
      </c>
      <c r="H354" s="6">
        <f>P323</f>
        <v/>
      </c>
      <c r="I354" s="9">
        <f>Q323</f>
        <v/>
      </c>
      <c r="J354" s="7">
        <f>I354*G354</f>
        <v/>
      </c>
      <c r="K354" s="8">
        <f>IF($J$373=0,0,J354/$J$373)</f>
        <v/>
      </c>
      <c r="L354" s="6" t="inlineStr">
        <is>
          <t>REJECTED</t>
        </is>
      </c>
      <c r="M354" s="8" t="n">
        <v>0</v>
      </c>
      <c r="N354" s="7">
        <f>M354*$J$373-J354</f>
        <v/>
      </c>
      <c r="O354" s="9">
        <f>IF(G354=0,0,N354/G354)</f>
        <v/>
      </c>
      <c r="P354" s="6">
        <f>IF(M354&gt;0,D354,"")</f>
        <v/>
      </c>
      <c r="Q354" s="9">
        <f>I354+O354</f>
        <v/>
      </c>
      <c r="R354" s="7">
        <f>Q354*G354</f>
        <v/>
      </c>
      <c r="S354" s="8">
        <f>IF($R$373=0,0,R354/$R$373)</f>
        <v/>
      </c>
      <c r="T354" s="8" t="n">
        <v>0</v>
      </c>
      <c r="U354" s="8" t="n">
        <v>0.01199380806770445</v>
      </c>
      <c r="V354" s="6" t="inlineStr">
        <is>
          <t>not selected</t>
        </is>
      </c>
    </row>
    <row r="355">
      <c r="A355" s="6" t="inlineStr">
        <is>
          <t>DJ30</t>
        </is>
      </c>
      <c r="B355" s="6" t="inlineStr">
        <is>
          <t>2023-03-24</t>
        </is>
      </c>
      <c r="C355" s="6" t="inlineStr">
        <is>
          <t>DIA</t>
        </is>
      </c>
      <c r="D355" s="6" t="inlineStr">
        <is>
          <t>HON</t>
        </is>
      </c>
      <c r="E355" s="6" t="inlineStr">
        <is>
          <t>HON</t>
        </is>
      </c>
      <c r="F355" s="6" t="inlineStr">
        <is>
          <t>-</t>
        </is>
      </c>
      <c r="G355" s="7" t="n">
        <v>165.3992767333984</v>
      </c>
      <c r="H355" s="6">
        <f>P324</f>
        <v/>
      </c>
      <c r="I355" s="9">
        <f>Q324</f>
        <v/>
      </c>
      <c r="J355" s="7">
        <f>I355*G355</f>
        <v/>
      </c>
      <c r="K355" s="8">
        <f>IF($J$373=0,0,J355/$J$373)</f>
        <v/>
      </c>
      <c r="L355" s="6" t="inlineStr">
        <is>
          <t>REJECTED</t>
        </is>
      </c>
      <c r="M355" s="8" t="n">
        <v>0</v>
      </c>
      <c r="N355" s="7">
        <f>M355*$J$373-J355</f>
        <v/>
      </c>
      <c r="O355" s="9">
        <f>IF(G355=0,0,N355/G355)</f>
        <v/>
      </c>
      <c r="P355" s="6">
        <f>IF(M355&gt;0,D355,"")</f>
        <v/>
      </c>
      <c r="Q355" s="9">
        <f>I355+O355</f>
        <v/>
      </c>
      <c r="R355" s="7">
        <f>Q355*G355</f>
        <v/>
      </c>
      <c r="S355" s="8">
        <f>IF($R$373=0,0,R355/$R$373)</f>
        <v/>
      </c>
      <c r="T355" s="8" t="n">
        <v>0</v>
      </c>
      <c r="U355" s="8" t="n">
        <v>0.01199380806770445</v>
      </c>
      <c r="V355" s="6" t="inlineStr">
        <is>
          <t>not selected</t>
        </is>
      </c>
    </row>
    <row r="356">
      <c r="A356" s="6" t="inlineStr">
        <is>
          <t>DJ30</t>
        </is>
      </c>
      <c r="B356" s="6" t="inlineStr">
        <is>
          <t>2023-03-24</t>
        </is>
      </c>
      <c r="C356" s="6" t="inlineStr">
        <is>
          <t>DIA</t>
        </is>
      </c>
      <c r="D356" s="6" t="inlineStr">
        <is>
          <t>IBM</t>
        </is>
      </c>
      <c r="E356" s="6" t="inlineStr">
        <is>
          <t>IBM</t>
        </is>
      </c>
      <c r="F356" s="6" t="inlineStr">
        <is>
          <t>-</t>
        </is>
      </c>
      <c r="G356" s="7" t="n">
        <v>112.2051162719727</v>
      </c>
      <c r="H356" s="6">
        <f>P325</f>
        <v/>
      </c>
      <c r="I356" s="9">
        <f>Q325</f>
        <v/>
      </c>
      <c r="J356" s="7">
        <f>I356*G356</f>
        <v/>
      </c>
      <c r="K356" s="8">
        <f>IF($J$373=0,0,J356/$J$373)</f>
        <v/>
      </c>
      <c r="L356" s="6" t="inlineStr">
        <is>
          <t>REJECTED</t>
        </is>
      </c>
      <c r="M356" s="8" t="n">
        <v>0</v>
      </c>
      <c r="N356" s="7">
        <f>M356*$J$373-J356</f>
        <v/>
      </c>
      <c r="O356" s="9">
        <f>IF(G356=0,0,N356/G356)</f>
        <v/>
      </c>
      <c r="P356" s="6">
        <f>IF(M356&gt;0,D356,"")</f>
        <v/>
      </c>
      <c r="Q356" s="9">
        <f>I356+O356</f>
        <v/>
      </c>
      <c r="R356" s="7">
        <f>Q356*G356</f>
        <v/>
      </c>
      <c r="S356" s="8">
        <f>IF($R$373=0,0,R356/$R$373)</f>
        <v/>
      </c>
      <c r="T356" s="8" t="n">
        <v>0</v>
      </c>
      <c r="U356" s="8" t="n">
        <v>0.01199380806770445</v>
      </c>
      <c r="V356" s="6" t="inlineStr">
        <is>
          <t>not selected</t>
        </is>
      </c>
    </row>
    <row r="357">
      <c r="A357" s="6" t="inlineStr">
        <is>
          <t>DJ30</t>
        </is>
      </c>
      <c r="B357" s="6" t="inlineStr">
        <is>
          <t>2023-03-24</t>
        </is>
      </c>
      <c r="C357" s="6" t="inlineStr">
        <is>
          <t>DIA</t>
        </is>
      </c>
      <c r="D357" s="6" t="inlineStr">
        <is>
          <t>JNJ</t>
        </is>
      </c>
      <c r="E357" s="6" t="inlineStr">
        <is>
          <t>JNJ</t>
        </is>
      </c>
      <c r="F357" s="6" t="inlineStr">
        <is>
          <t>-</t>
        </is>
      </c>
      <c r="G357" s="7" t="n">
        <v>138.8041534423828</v>
      </c>
      <c r="H357" s="6">
        <f>P326</f>
        <v/>
      </c>
      <c r="I357" s="9">
        <f>Q326</f>
        <v/>
      </c>
      <c r="J357" s="7">
        <f>I357*G357</f>
        <v/>
      </c>
      <c r="K357" s="8">
        <f>IF($J$373=0,0,J357/$J$373)</f>
        <v/>
      </c>
      <c r="L357" s="6" t="inlineStr">
        <is>
          <t>REJECTED</t>
        </is>
      </c>
      <c r="M357" s="8" t="n">
        <v>0</v>
      </c>
      <c r="N357" s="7">
        <f>M357*$J$373-J357</f>
        <v/>
      </c>
      <c r="O357" s="9">
        <f>IF(G357=0,0,N357/G357)</f>
        <v/>
      </c>
      <c r="P357" s="6">
        <f>IF(M357&gt;0,D357,"")</f>
        <v/>
      </c>
      <c r="Q357" s="9">
        <f>I357+O357</f>
        <v/>
      </c>
      <c r="R357" s="7">
        <f>Q357*G357</f>
        <v/>
      </c>
      <c r="S357" s="8">
        <f>IF($R$373=0,0,R357/$R$373)</f>
        <v/>
      </c>
      <c r="T357" s="8" t="n">
        <v>0</v>
      </c>
      <c r="U357" s="8" t="n">
        <v>0.01199380806770445</v>
      </c>
      <c r="V357" s="6" t="inlineStr">
        <is>
          <t>not selected</t>
        </is>
      </c>
    </row>
    <row r="358">
      <c r="A358" s="6" t="inlineStr">
        <is>
          <t>DJ30</t>
        </is>
      </c>
      <c r="B358" s="6" t="inlineStr">
        <is>
          <t>2023-03-24</t>
        </is>
      </c>
      <c r="C358" s="6" t="inlineStr">
        <is>
          <t>DIA</t>
        </is>
      </c>
      <c r="D358" s="6" t="inlineStr">
        <is>
          <t>JPM</t>
        </is>
      </c>
      <c r="E358" s="6" t="inlineStr">
        <is>
          <t>JPM</t>
        </is>
      </c>
      <c r="F358" s="6" t="inlineStr">
        <is>
          <t>-</t>
        </is>
      </c>
      <c r="G358" s="7" t="n">
        <v>115.7494812011719</v>
      </c>
      <c r="H358" s="6">
        <f>P327</f>
        <v/>
      </c>
      <c r="I358" s="9">
        <f>Q327</f>
        <v/>
      </c>
      <c r="J358" s="7">
        <f>I358*G358</f>
        <v/>
      </c>
      <c r="K358" s="8">
        <f>IF($J$373=0,0,J358/$J$373)</f>
        <v/>
      </c>
      <c r="L358" s="6" t="inlineStr">
        <is>
          <t>REJECTED</t>
        </is>
      </c>
      <c r="M358" s="8" t="n">
        <v>0</v>
      </c>
      <c r="N358" s="7">
        <f>M358*$J$373-J358</f>
        <v/>
      </c>
      <c r="O358" s="9">
        <f>IF(G358=0,0,N358/G358)</f>
        <v/>
      </c>
      <c r="P358" s="6">
        <f>IF(M358&gt;0,D358,"")</f>
        <v/>
      </c>
      <c r="Q358" s="9">
        <f>I358+O358</f>
        <v/>
      </c>
      <c r="R358" s="7">
        <f>Q358*G358</f>
        <v/>
      </c>
      <c r="S358" s="8">
        <f>IF($R$373=0,0,R358/$R$373)</f>
        <v/>
      </c>
      <c r="T358" s="8" t="n">
        <v>0</v>
      </c>
      <c r="U358" s="8" t="n">
        <v>0.01199380806770445</v>
      </c>
      <c r="V358" s="6" t="inlineStr">
        <is>
          <t>not selected</t>
        </is>
      </c>
    </row>
    <row r="359">
      <c r="A359" s="6" t="inlineStr">
        <is>
          <t>DJ30</t>
        </is>
      </c>
      <c r="B359" s="6" t="inlineStr">
        <is>
          <t>2023-03-24</t>
        </is>
      </c>
      <c r="C359" s="6" t="inlineStr">
        <is>
          <t>DIA</t>
        </is>
      </c>
      <c r="D359" s="6" t="inlineStr">
        <is>
          <t>KO</t>
        </is>
      </c>
      <c r="E359" s="6" t="inlineStr">
        <is>
          <t>KO</t>
        </is>
      </c>
      <c r="F359" s="6" t="inlineStr">
        <is>
          <t>-</t>
        </is>
      </c>
      <c r="G359" s="7" t="n">
        <v>55.33267974853516</v>
      </c>
      <c r="H359" s="6">
        <f>P328</f>
        <v/>
      </c>
      <c r="I359" s="9">
        <f>Q328</f>
        <v/>
      </c>
      <c r="J359" s="7">
        <f>I359*G359</f>
        <v/>
      </c>
      <c r="K359" s="8">
        <f>IF($J$373=0,0,J359/$J$373)</f>
        <v/>
      </c>
      <c r="L359" s="6" t="inlineStr">
        <is>
          <t>REJECTED</t>
        </is>
      </c>
      <c r="M359" s="8" t="n">
        <v>0</v>
      </c>
      <c r="N359" s="7">
        <f>M359*$J$373-J359</f>
        <v/>
      </c>
      <c r="O359" s="9">
        <f>IF(G359=0,0,N359/G359)</f>
        <v/>
      </c>
      <c r="P359" s="6">
        <f>IF(M359&gt;0,D359,"")</f>
        <v/>
      </c>
      <c r="Q359" s="9">
        <f>I359+O359</f>
        <v/>
      </c>
      <c r="R359" s="7">
        <f>Q359*G359</f>
        <v/>
      </c>
      <c r="S359" s="8">
        <f>IF($R$373=0,0,R359/$R$373)</f>
        <v/>
      </c>
      <c r="T359" s="8" t="n">
        <v>0</v>
      </c>
      <c r="U359" s="8" t="n">
        <v>0.01199380806770445</v>
      </c>
      <c r="V359" s="6" t="inlineStr">
        <is>
          <t>not selected</t>
        </is>
      </c>
    </row>
    <row r="360">
      <c r="A360" s="6" t="inlineStr">
        <is>
          <t>DJ30</t>
        </is>
      </c>
      <c r="B360" s="6" t="inlineStr">
        <is>
          <t>2023-03-24</t>
        </is>
      </c>
      <c r="C360" s="6" t="inlineStr">
        <is>
          <t>DIA</t>
        </is>
      </c>
      <c r="D360" s="6" t="inlineStr">
        <is>
          <t>MCD</t>
        </is>
      </c>
      <c r="E360" s="6" t="inlineStr">
        <is>
          <t>MCD</t>
        </is>
      </c>
      <c r="F360" s="6" t="inlineStr">
        <is>
          <t>-</t>
        </is>
      </c>
      <c r="G360" s="7" t="n">
        <v>251.4827728271484</v>
      </c>
      <c r="H360" s="6">
        <f>P329</f>
        <v/>
      </c>
      <c r="I360" s="9">
        <f>Q329</f>
        <v/>
      </c>
      <c r="J360" s="7">
        <f>I360*G360</f>
        <v/>
      </c>
      <c r="K360" s="8">
        <f>IF($J$373=0,0,J360/$J$373)</f>
        <v/>
      </c>
      <c r="L360" s="6" t="inlineStr">
        <is>
          <t>REJECTED</t>
        </is>
      </c>
      <c r="M360" s="8" t="n">
        <v>0</v>
      </c>
      <c r="N360" s="7">
        <f>M360*$J$373-J360</f>
        <v/>
      </c>
      <c r="O360" s="9">
        <f>IF(G360=0,0,N360/G360)</f>
        <v/>
      </c>
      <c r="P360" s="6">
        <f>IF(M360&gt;0,D360,"")</f>
        <v/>
      </c>
      <c r="Q360" s="9">
        <f>I360+O360</f>
        <v/>
      </c>
      <c r="R360" s="7">
        <f>Q360*G360</f>
        <v/>
      </c>
      <c r="S360" s="8">
        <f>IF($R$373=0,0,R360/$R$373)</f>
        <v/>
      </c>
      <c r="T360" s="8" t="n">
        <v>0</v>
      </c>
      <c r="U360" s="8" t="n">
        <v>0.01199380806770445</v>
      </c>
      <c r="V360" s="6" t="inlineStr">
        <is>
          <t>not selected</t>
        </is>
      </c>
    </row>
    <row r="361">
      <c r="A361" s="6" t="inlineStr">
        <is>
          <t>DJ30</t>
        </is>
      </c>
      <c r="B361" s="6" t="inlineStr">
        <is>
          <t>2023-03-24</t>
        </is>
      </c>
      <c r="C361" s="6" t="inlineStr">
        <is>
          <t>DIA</t>
        </is>
      </c>
      <c r="D361" s="6" t="inlineStr">
        <is>
          <t>MMM</t>
        </is>
      </c>
      <c r="E361" s="6" t="inlineStr">
        <is>
          <t>MMM</t>
        </is>
      </c>
      <c r="F361" s="6" t="inlineStr">
        <is>
          <t>-</t>
        </is>
      </c>
      <c r="G361" s="7" t="n">
        <v>75.91117858886719</v>
      </c>
      <c r="H361" s="6">
        <f>P330</f>
        <v/>
      </c>
      <c r="I361" s="9">
        <f>Q330</f>
        <v/>
      </c>
      <c r="J361" s="7">
        <f>I361*G361</f>
        <v/>
      </c>
      <c r="K361" s="8">
        <f>IF($J$373=0,0,J361/$J$373)</f>
        <v/>
      </c>
      <c r="L361" s="6" t="inlineStr">
        <is>
          <t>REJECTED</t>
        </is>
      </c>
      <c r="M361" s="8" t="n">
        <v>0</v>
      </c>
      <c r="N361" s="7">
        <f>M361*$J$373-J361</f>
        <v/>
      </c>
      <c r="O361" s="9">
        <f>IF(G361=0,0,N361/G361)</f>
        <v/>
      </c>
      <c r="P361" s="6">
        <f>IF(M361&gt;0,D361,"")</f>
        <v/>
      </c>
      <c r="Q361" s="9">
        <f>I361+O361</f>
        <v/>
      </c>
      <c r="R361" s="7">
        <f>Q361*G361</f>
        <v/>
      </c>
      <c r="S361" s="8">
        <f>IF($R$373=0,0,R361/$R$373)</f>
        <v/>
      </c>
      <c r="T361" s="8" t="n">
        <v>0</v>
      </c>
      <c r="U361" s="8" t="n">
        <v>0.01199380806770445</v>
      </c>
      <c r="V361" s="6" t="inlineStr">
        <is>
          <t>not selected</t>
        </is>
      </c>
    </row>
    <row r="362">
      <c r="A362" s="6" t="inlineStr">
        <is>
          <t>DJ30</t>
        </is>
      </c>
      <c r="B362" s="6" t="inlineStr">
        <is>
          <t>2023-03-24</t>
        </is>
      </c>
      <c r="C362" s="6" t="inlineStr">
        <is>
          <t>DIA</t>
        </is>
      </c>
      <c r="D362" s="6" t="inlineStr">
        <is>
          <t>MRK</t>
        </is>
      </c>
      <c r="E362" s="6" t="inlineStr">
        <is>
          <t>MRK</t>
        </is>
      </c>
      <c r="F362" s="6" t="inlineStr">
        <is>
          <t>-</t>
        </is>
      </c>
      <c r="G362" s="7" t="n">
        <v>94.91740417480467</v>
      </c>
      <c r="H362" s="6">
        <f>P331</f>
        <v/>
      </c>
      <c r="I362" s="9">
        <f>Q331</f>
        <v/>
      </c>
      <c r="J362" s="7">
        <f>I362*G362</f>
        <v/>
      </c>
      <c r="K362" s="8">
        <f>IF($J$373=0,0,J362/$J$373)</f>
        <v/>
      </c>
      <c r="L362" s="6" t="inlineStr">
        <is>
          <t>REJECTED</t>
        </is>
      </c>
      <c r="M362" s="8" t="n">
        <v>0</v>
      </c>
      <c r="N362" s="7">
        <f>M362*$J$373-J362</f>
        <v/>
      </c>
      <c r="O362" s="9">
        <f>IF(G362=0,0,N362/G362)</f>
        <v/>
      </c>
      <c r="P362" s="6">
        <f>IF(M362&gt;0,D362,"")</f>
        <v/>
      </c>
      <c r="Q362" s="9">
        <f>I362+O362</f>
        <v/>
      </c>
      <c r="R362" s="7">
        <f>Q362*G362</f>
        <v/>
      </c>
      <c r="S362" s="8">
        <f>IF($R$373=0,0,R362/$R$373)</f>
        <v/>
      </c>
      <c r="T362" s="8" t="n">
        <v>0</v>
      </c>
      <c r="U362" s="8" t="n">
        <v>0.01199380806770445</v>
      </c>
      <c r="V362" s="6" t="inlineStr">
        <is>
          <t>not selected</t>
        </is>
      </c>
    </row>
    <row r="363">
      <c r="A363" s="6" t="inlineStr">
        <is>
          <t>DJ30</t>
        </is>
      </c>
      <c r="B363" s="6" t="inlineStr">
        <is>
          <t>2023-03-24</t>
        </is>
      </c>
      <c r="C363" s="6" t="inlineStr">
        <is>
          <t>DIA</t>
        </is>
      </c>
      <c r="D363" s="6" t="inlineStr">
        <is>
          <t>MSFT</t>
        </is>
      </c>
      <c r="E363" s="6" t="inlineStr">
        <is>
          <t>MSFT</t>
        </is>
      </c>
      <c r="F363" s="6" t="inlineStr">
        <is>
          <t>-</t>
        </is>
      </c>
      <c r="G363" s="7" t="n">
        <v>273.4869384765625</v>
      </c>
      <c r="H363" s="6">
        <f>P332</f>
        <v/>
      </c>
      <c r="I363" s="9">
        <f>Q332</f>
        <v/>
      </c>
      <c r="J363" s="7">
        <f>I363*G363</f>
        <v/>
      </c>
      <c r="K363" s="8">
        <f>IF($J$373=0,0,J363/$J$373)</f>
        <v/>
      </c>
      <c r="L363" s="6" t="inlineStr">
        <is>
          <t>REJECTED</t>
        </is>
      </c>
      <c r="M363" s="8" t="n">
        <v>0</v>
      </c>
      <c r="N363" s="7">
        <f>M363*$J$373-J363</f>
        <v/>
      </c>
      <c r="O363" s="9">
        <f>IF(G363=0,0,N363/G363)</f>
        <v/>
      </c>
      <c r="P363" s="6">
        <f>IF(M363&gt;0,D363,"")</f>
        <v/>
      </c>
      <c r="Q363" s="9">
        <f>I363+O363</f>
        <v/>
      </c>
      <c r="R363" s="7">
        <f>Q363*G363</f>
        <v/>
      </c>
      <c r="S363" s="8">
        <f>IF($R$373=0,0,R363/$R$373)</f>
        <v/>
      </c>
      <c r="T363" s="8" t="n">
        <v>0</v>
      </c>
      <c r="U363" s="8" t="n">
        <v>0.01199380806770445</v>
      </c>
      <c r="V363" s="6" t="inlineStr">
        <is>
          <t>not selected</t>
        </is>
      </c>
    </row>
    <row r="364">
      <c r="A364" s="6" t="inlineStr">
        <is>
          <t>DJ30</t>
        </is>
      </c>
      <c r="B364" s="6" t="inlineStr">
        <is>
          <t>2023-03-24</t>
        </is>
      </c>
      <c r="C364" s="6" t="inlineStr">
        <is>
          <t>DIA</t>
        </is>
      </c>
      <c r="D364" s="6" t="inlineStr">
        <is>
          <t>NKE</t>
        </is>
      </c>
      <c r="E364" s="6" t="inlineStr">
        <is>
          <t>NKE</t>
        </is>
      </c>
      <c r="F364" s="6" t="inlineStr">
        <is>
          <t>-</t>
        </is>
      </c>
      <c r="G364" s="7" t="n">
        <v>113.0288848876953</v>
      </c>
      <c r="H364" s="6">
        <f>P333</f>
        <v/>
      </c>
      <c r="I364" s="9">
        <f>Q333</f>
        <v/>
      </c>
      <c r="J364" s="7">
        <f>I364*G364</f>
        <v/>
      </c>
      <c r="K364" s="8">
        <f>IF($J$373=0,0,J364/$J$373)</f>
        <v/>
      </c>
      <c r="L364" s="6" t="inlineStr">
        <is>
          <t>REJECTED</t>
        </is>
      </c>
      <c r="M364" s="8" t="n">
        <v>0</v>
      </c>
      <c r="N364" s="7">
        <f>M364*$J$373-J364</f>
        <v/>
      </c>
      <c r="O364" s="9">
        <f>IF(G364=0,0,N364/G364)</f>
        <v/>
      </c>
      <c r="P364" s="6">
        <f>IF(M364&gt;0,D364,"")</f>
        <v/>
      </c>
      <c r="Q364" s="9">
        <f>I364+O364</f>
        <v/>
      </c>
      <c r="R364" s="7">
        <f>Q364*G364</f>
        <v/>
      </c>
      <c r="S364" s="8">
        <f>IF($R$373=0,0,R364/$R$373)</f>
        <v/>
      </c>
      <c r="T364" s="8" t="n">
        <v>0</v>
      </c>
      <c r="U364" s="8" t="n">
        <v>0.01199380806770445</v>
      </c>
      <c r="V364" s="6" t="inlineStr">
        <is>
          <t>not selected</t>
        </is>
      </c>
    </row>
    <row r="365">
      <c r="A365" s="6" t="inlineStr">
        <is>
          <t>DJ30</t>
        </is>
      </c>
      <c r="B365" s="6" t="inlineStr">
        <is>
          <t>2023-03-24</t>
        </is>
      </c>
      <c r="C365" s="6" t="inlineStr">
        <is>
          <t>DIA</t>
        </is>
      </c>
      <c r="D365" s="6" t="inlineStr">
        <is>
          <t>NVDA</t>
        </is>
      </c>
      <c r="E365" s="6" t="inlineStr">
        <is>
          <t>NVDA</t>
        </is>
      </c>
      <c r="F365" s="6" t="inlineStr">
        <is>
          <t>-</t>
        </is>
      </c>
      <c r="G365" s="7" t="n">
        <v>26.72416496276855</v>
      </c>
      <c r="H365" s="6">
        <f>P334</f>
        <v/>
      </c>
      <c r="I365" s="9">
        <f>Q334</f>
        <v/>
      </c>
      <c r="J365" s="7">
        <f>I365*G365</f>
        <v/>
      </c>
      <c r="K365" s="8">
        <f>IF($J$373=0,0,J365/$J$373)</f>
        <v/>
      </c>
      <c r="L365" s="6" t="inlineStr">
        <is>
          <t>REJECTED</t>
        </is>
      </c>
      <c r="M365" s="8" t="n">
        <v>0</v>
      </c>
      <c r="N365" s="7">
        <f>M365*$J$373-J365</f>
        <v/>
      </c>
      <c r="O365" s="9">
        <f>IF(G365=0,0,N365/G365)</f>
        <v/>
      </c>
      <c r="P365" s="6">
        <f>IF(M365&gt;0,D365,"")</f>
        <v/>
      </c>
      <c r="Q365" s="9">
        <f>I365+O365</f>
        <v/>
      </c>
      <c r="R365" s="7">
        <f>Q365*G365</f>
        <v/>
      </c>
      <c r="S365" s="8">
        <f>IF($R$373=0,0,R365/$R$373)</f>
        <v/>
      </c>
      <c r="T365" s="8" t="n">
        <v>0</v>
      </c>
      <c r="U365" s="8" t="n">
        <v>0.01199380806770445</v>
      </c>
      <c r="V365" s="6" t="inlineStr">
        <is>
          <t>not selected</t>
        </is>
      </c>
    </row>
    <row r="366">
      <c r="A366" s="6" t="inlineStr">
        <is>
          <t>DJ30</t>
        </is>
      </c>
      <c r="B366" s="6" t="inlineStr">
        <is>
          <t>2023-03-24</t>
        </is>
      </c>
      <c r="C366" s="6" t="inlineStr">
        <is>
          <t>DIA</t>
        </is>
      </c>
      <c r="D366" s="6" t="inlineStr">
        <is>
          <t>PG</t>
        </is>
      </c>
      <c r="E366" s="6" t="inlineStr">
        <is>
          <t>PG</t>
        </is>
      </c>
      <c r="F366" s="6" t="inlineStr">
        <is>
          <t>-</t>
        </is>
      </c>
      <c r="G366" s="7" t="n">
        <v>134.8910675048828</v>
      </c>
      <c r="H366" s="6">
        <f>P335</f>
        <v/>
      </c>
      <c r="I366" s="9">
        <f>Q335</f>
        <v/>
      </c>
      <c r="J366" s="7">
        <f>I366*G366</f>
        <v/>
      </c>
      <c r="K366" s="8">
        <f>IF($J$373=0,0,J366/$J$373)</f>
        <v/>
      </c>
      <c r="L366" s="6" t="inlineStr">
        <is>
          <t>REJECTED</t>
        </is>
      </c>
      <c r="M366" s="8" t="n">
        <v>0</v>
      </c>
      <c r="N366" s="7">
        <f>M366*$J$373-J366</f>
        <v/>
      </c>
      <c r="O366" s="9">
        <f>IF(G366=0,0,N366/G366)</f>
        <v/>
      </c>
      <c r="P366" s="6">
        <f>IF(M366&gt;0,D366,"")</f>
        <v/>
      </c>
      <c r="Q366" s="9">
        <f>I366+O366</f>
        <v/>
      </c>
      <c r="R366" s="7">
        <f>Q366*G366</f>
        <v/>
      </c>
      <c r="S366" s="8">
        <f>IF($R$373=0,0,R366/$R$373)</f>
        <v/>
      </c>
      <c r="T366" s="8" t="n">
        <v>0</v>
      </c>
      <c r="U366" s="8" t="n">
        <v>0.01199380806770445</v>
      </c>
      <c r="V366" s="6" t="inlineStr">
        <is>
          <t>not selected</t>
        </is>
      </c>
    </row>
    <row r="367">
      <c r="A367" s="6" t="inlineStr">
        <is>
          <t>DJ30</t>
        </is>
      </c>
      <c r="B367" s="6" t="inlineStr">
        <is>
          <t>2023-03-24</t>
        </is>
      </c>
      <c r="C367" s="6" t="inlineStr">
        <is>
          <t>DIA</t>
        </is>
      </c>
      <c r="D367" s="6" t="inlineStr">
        <is>
          <t>SHW</t>
        </is>
      </c>
      <c r="E367" s="6" t="inlineStr">
        <is>
          <t>SHW</t>
        </is>
      </c>
      <c r="F367" s="6" t="inlineStr">
        <is>
          <t>-</t>
        </is>
      </c>
      <c r="G367" s="7" t="n">
        <v>205.2041320800781</v>
      </c>
      <c r="H367" s="6">
        <f>P336</f>
        <v/>
      </c>
      <c r="I367" s="9">
        <f>Q336</f>
        <v/>
      </c>
      <c r="J367" s="7">
        <f>I367*G367</f>
        <v/>
      </c>
      <c r="K367" s="8">
        <f>IF($J$373=0,0,J367/$J$373)</f>
        <v/>
      </c>
      <c r="L367" s="6" t="inlineStr">
        <is>
          <t>REJECTED</t>
        </is>
      </c>
      <c r="M367" s="8" t="n">
        <v>0</v>
      </c>
      <c r="N367" s="7">
        <f>M367*$J$373-J367</f>
        <v/>
      </c>
      <c r="O367" s="9">
        <f>IF(G367=0,0,N367/G367)</f>
        <v/>
      </c>
      <c r="P367" s="6">
        <f>IF(M367&gt;0,D367,"")</f>
        <v/>
      </c>
      <c r="Q367" s="9">
        <f>I367+O367</f>
        <v/>
      </c>
      <c r="R367" s="7">
        <f>Q367*G367</f>
        <v/>
      </c>
      <c r="S367" s="8">
        <f>IF($R$373=0,0,R367/$R$373)</f>
        <v/>
      </c>
      <c r="T367" s="8" t="n">
        <v>0</v>
      </c>
      <c r="U367" s="8" t="n">
        <v>0.01199380806770445</v>
      </c>
      <c r="V367" s="6" t="inlineStr">
        <is>
          <t>not selected</t>
        </is>
      </c>
    </row>
    <row r="368">
      <c r="A368" s="6" t="inlineStr">
        <is>
          <t>DJ30</t>
        </is>
      </c>
      <c r="B368" s="6" t="inlineStr">
        <is>
          <t>2023-03-24</t>
        </is>
      </c>
      <c r="C368" s="6" t="inlineStr">
        <is>
          <t>DIA</t>
        </is>
      </c>
      <c r="D368" s="6" t="inlineStr">
        <is>
          <t>TRV</t>
        </is>
      </c>
      <c r="E368" s="6" t="inlineStr">
        <is>
          <t>TRV</t>
        </is>
      </c>
      <c r="F368" s="6" t="inlineStr">
        <is>
          <t>-</t>
        </is>
      </c>
      <c r="G368" s="7" t="n">
        <v>155.3938598632812</v>
      </c>
      <c r="H368" s="6">
        <f>P337</f>
        <v/>
      </c>
      <c r="I368" s="9">
        <f>Q337</f>
        <v/>
      </c>
      <c r="J368" s="7">
        <f>I368*G368</f>
        <v/>
      </c>
      <c r="K368" s="8">
        <f>IF($J$373=0,0,J368/$J$373)</f>
        <v/>
      </c>
      <c r="L368" s="6" t="inlineStr">
        <is>
          <t>REJECTED</t>
        </is>
      </c>
      <c r="M368" s="8" t="n">
        <v>0</v>
      </c>
      <c r="N368" s="7">
        <f>M368*$J$373-J368</f>
        <v/>
      </c>
      <c r="O368" s="9">
        <f>IF(G368=0,0,N368/G368)</f>
        <v/>
      </c>
      <c r="P368" s="6">
        <f>IF(M368&gt;0,D368,"")</f>
        <v/>
      </c>
      <c r="Q368" s="9">
        <f>I368+O368</f>
        <v/>
      </c>
      <c r="R368" s="7">
        <f>Q368*G368</f>
        <v/>
      </c>
      <c r="S368" s="8">
        <f>IF($R$373=0,0,R368/$R$373)</f>
        <v/>
      </c>
      <c r="T368" s="8" t="n">
        <v>0</v>
      </c>
      <c r="U368" s="8" t="n">
        <v>0.01199380806770445</v>
      </c>
      <c r="V368" s="6" t="inlineStr">
        <is>
          <t>not selected</t>
        </is>
      </c>
    </row>
    <row r="369">
      <c r="A369" s="6" t="inlineStr">
        <is>
          <t>DJ30</t>
        </is>
      </c>
      <c r="B369" s="6" t="inlineStr">
        <is>
          <t>2023-03-24</t>
        </is>
      </c>
      <c r="C369" s="6" t="inlineStr">
        <is>
          <t>DIA</t>
        </is>
      </c>
      <c r="D369" s="6" t="inlineStr">
        <is>
          <t>UNH</t>
        </is>
      </c>
      <c r="E369" s="6" t="inlineStr">
        <is>
          <t>UNH</t>
        </is>
      </c>
      <c r="F369" s="6" t="inlineStr">
        <is>
          <t>-</t>
        </is>
      </c>
      <c r="G369" s="7" t="n">
        <v>446.1726684570313</v>
      </c>
      <c r="H369" s="6">
        <f>P338</f>
        <v/>
      </c>
      <c r="I369" s="9">
        <f>Q338</f>
        <v/>
      </c>
      <c r="J369" s="7">
        <f>I369*G369</f>
        <v/>
      </c>
      <c r="K369" s="8">
        <f>IF($J$373=0,0,J369/$J$373)</f>
        <v/>
      </c>
      <c r="L369" s="6" t="inlineStr">
        <is>
          <t>REJECTED</t>
        </is>
      </c>
      <c r="M369" s="8" t="n">
        <v>0</v>
      </c>
      <c r="N369" s="7">
        <f>M369*$J$373-J369</f>
        <v/>
      </c>
      <c r="O369" s="9">
        <f>IF(G369=0,0,N369/G369)</f>
        <v/>
      </c>
      <c r="P369" s="6">
        <f>IF(M369&gt;0,D369,"")</f>
        <v/>
      </c>
      <c r="Q369" s="9">
        <f>I369+O369</f>
        <v/>
      </c>
      <c r="R369" s="7">
        <f>Q369*G369</f>
        <v/>
      </c>
      <c r="S369" s="8">
        <f>IF($R$373=0,0,R369/$R$373)</f>
        <v/>
      </c>
      <c r="T369" s="8" t="n">
        <v>0</v>
      </c>
      <c r="U369" s="8" t="n">
        <v>0.01199380806770445</v>
      </c>
      <c r="V369" s="6" t="inlineStr">
        <is>
          <t>not selected</t>
        </is>
      </c>
    </row>
    <row r="370">
      <c r="A370" s="6" t="inlineStr">
        <is>
          <t>DJ30</t>
        </is>
      </c>
      <c r="B370" s="6" t="inlineStr">
        <is>
          <t>2023-03-24</t>
        </is>
      </c>
      <c r="C370" s="6" t="inlineStr">
        <is>
          <t>DIA</t>
        </is>
      </c>
      <c r="D370" s="6" t="inlineStr">
        <is>
          <t>V</t>
        </is>
      </c>
      <c r="E370" s="6" t="inlineStr">
        <is>
          <t>V</t>
        </is>
      </c>
      <c r="F370" s="6" t="inlineStr">
        <is>
          <t>-</t>
        </is>
      </c>
      <c r="G370" s="7" t="n">
        <v>215.6307983398437</v>
      </c>
      <c r="H370" s="6">
        <f>P339</f>
        <v/>
      </c>
      <c r="I370" s="9">
        <f>Q339</f>
        <v/>
      </c>
      <c r="J370" s="7">
        <f>I370*G370</f>
        <v/>
      </c>
      <c r="K370" s="8">
        <f>IF($J$373=0,0,J370/$J$373)</f>
        <v/>
      </c>
      <c r="L370" s="6" t="inlineStr">
        <is>
          <t>REJECTED</t>
        </is>
      </c>
      <c r="M370" s="8" t="n">
        <v>0</v>
      </c>
      <c r="N370" s="7">
        <f>M370*$J$373-J370</f>
        <v/>
      </c>
      <c r="O370" s="9">
        <f>IF(G370=0,0,N370/G370)</f>
        <v/>
      </c>
      <c r="P370" s="6">
        <f>IF(M370&gt;0,D370,"")</f>
        <v/>
      </c>
      <c r="Q370" s="9">
        <f>I370+O370</f>
        <v/>
      </c>
      <c r="R370" s="7">
        <f>Q370*G370</f>
        <v/>
      </c>
      <c r="S370" s="8">
        <f>IF($R$373=0,0,R370/$R$373)</f>
        <v/>
      </c>
      <c r="T370" s="8" t="n">
        <v>0</v>
      </c>
      <c r="U370" s="8" t="n">
        <v>0.01199380806770445</v>
      </c>
      <c r="V370" s="6" t="inlineStr">
        <is>
          <t>not selected</t>
        </is>
      </c>
    </row>
    <row r="371">
      <c r="A371" s="6" t="inlineStr">
        <is>
          <t>DJ30</t>
        </is>
      </c>
      <c r="B371" s="6" t="inlineStr">
        <is>
          <t>2023-03-24</t>
        </is>
      </c>
      <c r="C371" s="6" t="inlineStr">
        <is>
          <t>DIA</t>
        </is>
      </c>
      <c r="D371" s="6" t="inlineStr">
        <is>
          <t>VZ</t>
        </is>
      </c>
      <c r="E371" s="6" t="inlineStr">
        <is>
          <t>VZ</t>
        </is>
      </c>
      <c r="F371" s="6" t="inlineStr">
        <is>
          <t>-</t>
        </is>
      </c>
      <c r="G371" s="7" t="n">
        <v>30.26823997497558</v>
      </c>
      <c r="H371" s="6">
        <f>P340</f>
        <v/>
      </c>
      <c r="I371" s="9">
        <f>Q340</f>
        <v/>
      </c>
      <c r="J371" s="7">
        <f>I371*G371</f>
        <v/>
      </c>
      <c r="K371" s="8">
        <f>IF($J$373=0,0,J371/$J$373)</f>
        <v/>
      </c>
      <c r="L371" s="6" t="inlineStr">
        <is>
          <t>REJECTED</t>
        </is>
      </c>
      <c r="M371" s="8" t="n">
        <v>0</v>
      </c>
      <c r="N371" s="7">
        <f>M371*$J$373-J371</f>
        <v/>
      </c>
      <c r="O371" s="9">
        <f>IF(G371=0,0,N371/G371)</f>
        <v/>
      </c>
      <c r="P371" s="6">
        <f>IF(M371&gt;0,D371,"")</f>
        <v/>
      </c>
      <c r="Q371" s="9">
        <f>I371+O371</f>
        <v/>
      </c>
      <c r="R371" s="7">
        <f>Q371*G371</f>
        <v/>
      </c>
      <c r="S371" s="8">
        <f>IF($R$373=0,0,R371/$R$373)</f>
        <v/>
      </c>
      <c r="T371" s="8" t="n">
        <v>0</v>
      </c>
      <c r="U371" s="8" t="n">
        <v>0.01199380806770445</v>
      </c>
      <c r="V371" s="6" t="inlineStr">
        <is>
          <t>not selected</t>
        </is>
      </c>
    </row>
    <row r="372">
      <c r="A372" s="6" t="inlineStr">
        <is>
          <t>DJ30</t>
        </is>
      </c>
      <c r="B372" s="6" t="inlineStr">
        <is>
          <t>2023-03-24</t>
        </is>
      </c>
      <c r="C372" s="6" t="inlineStr">
        <is>
          <t>DIA</t>
        </is>
      </c>
      <c r="D372" s="6" t="inlineStr">
        <is>
          <t>WMT</t>
        </is>
      </c>
      <c r="E372" s="6" t="inlineStr">
        <is>
          <t>WMT</t>
        </is>
      </c>
      <c r="F372" s="6" t="inlineStr">
        <is>
          <t>-</t>
        </is>
      </c>
      <c r="G372" s="7" t="n">
        <v>45.57502746582031</v>
      </c>
      <c r="H372" s="6">
        <f>P341</f>
        <v/>
      </c>
      <c r="I372" s="9">
        <f>Q341</f>
        <v/>
      </c>
      <c r="J372" s="7">
        <f>I372*G372</f>
        <v/>
      </c>
      <c r="K372" s="8">
        <f>IF($J$373=0,0,J372/$J$373)</f>
        <v/>
      </c>
      <c r="L372" s="6" t="inlineStr">
        <is>
          <t>REJECTED</t>
        </is>
      </c>
      <c r="M372" s="8" t="n">
        <v>0</v>
      </c>
      <c r="N372" s="7">
        <f>M372*$J$373-J372</f>
        <v/>
      </c>
      <c r="O372" s="9">
        <f>IF(G372=0,0,N372/G372)</f>
        <v/>
      </c>
      <c r="P372" s="6">
        <f>IF(M372&gt;0,D372,"")</f>
        <v/>
      </c>
      <c r="Q372" s="9">
        <f>I372+O372</f>
        <v/>
      </c>
      <c r="R372" s="7">
        <f>Q372*G372</f>
        <v/>
      </c>
      <c r="S372" s="8">
        <f>IF($R$373=0,0,R372/$R$373)</f>
        <v/>
      </c>
      <c r="T372" s="8" t="n">
        <v>0</v>
      </c>
      <c r="U372" s="8" t="n">
        <v>0.01199380806770445</v>
      </c>
      <c r="V372" s="6" t="inlineStr">
        <is>
          <t>not selected</t>
        </is>
      </c>
    </row>
    <row r="373">
      <c r="A373" s="10" t="inlineStr">
        <is>
          <t>DJ30</t>
        </is>
      </c>
      <c r="B373" s="10" t="inlineStr">
        <is>
          <t>2023-03-24</t>
        </is>
      </c>
      <c r="C373" s="10" t="inlineStr">
        <is>
          <t>DIA</t>
        </is>
      </c>
      <c r="D373" s="10" t="inlineStr">
        <is>
          <t>Tot Portfolio</t>
        </is>
      </c>
      <c r="E373" s="10" t="inlineStr"/>
      <c r="F373" s="10" t="inlineStr"/>
      <c r="G373" s="11" t="inlineStr"/>
      <c r="H373" s="10" t="inlineStr"/>
      <c r="I373" s="12" t="inlineStr"/>
      <c r="J373" s="11">
        <f>SUM(J343:J372)</f>
        <v/>
      </c>
      <c r="K373" s="13">
        <f>SUM(K343:K372)</f>
        <v/>
      </c>
      <c r="L373" s="10" t="inlineStr">
        <is>
          <t>TOTAL</t>
        </is>
      </c>
      <c r="M373" s="13">
        <f>SUM(M343:M372)</f>
        <v/>
      </c>
      <c r="N373" s="11">
        <f>SUM(N343:N372)</f>
        <v/>
      </c>
      <c r="O373" s="12">
        <f>SUM(O343:O372)</f>
        <v/>
      </c>
      <c r="P373" s="10" t="inlineStr"/>
      <c r="Q373" s="12" t="inlineStr"/>
      <c r="R373" s="11">
        <f>SUM(R343:R372)</f>
        <v/>
      </c>
      <c r="S373" s="13">
        <f>SUM(S343:S372)</f>
        <v/>
      </c>
      <c r="T373" s="13" t="n">
        <v>0</v>
      </c>
      <c r="U373" s="13" t="n">
        <v>0.01199380806770445</v>
      </c>
      <c r="V373" s="10" t="inlineStr"/>
    </row>
    <row r="374">
      <c r="A374" s="6" t="inlineStr">
        <is>
          <t>DJ30</t>
        </is>
      </c>
      <c r="B374" s="6" t="inlineStr">
        <is>
          <t>2023-03-31</t>
        </is>
      </c>
      <c r="C374" s="6" t="inlineStr">
        <is>
          <t>DIA</t>
        </is>
      </c>
      <c r="D374" s="6" t="inlineStr">
        <is>
          <t>AAPL</t>
        </is>
      </c>
      <c r="E374" s="6" t="inlineStr">
        <is>
          <t>AAPL</t>
        </is>
      </c>
      <c r="F374" s="6" t="inlineStr">
        <is>
          <t>-</t>
        </is>
      </c>
      <c r="G374" s="7" t="n">
        <v>162.3955841064453</v>
      </c>
      <c r="H374" s="6">
        <f>P343</f>
        <v/>
      </c>
      <c r="I374" s="9">
        <f>Q343</f>
        <v/>
      </c>
      <c r="J374" s="7">
        <f>I374*G374</f>
        <v/>
      </c>
      <c r="K374" s="8">
        <f>IF($J$404=0,0,J374/$J$404)</f>
        <v/>
      </c>
      <c r="L374" s="6" t="inlineStr">
        <is>
          <t>REJECTED</t>
        </is>
      </c>
      <c r="M374" s="8" t="n">
        <v>0</v>
      </c>
      <c r="N374" s="7">
        <f>M374*$J$404-J374</f>
        <v/>
      </c>
      <c r="O374" s="9">
        <f>IF(G374=0,0,N374/G374)</f>
        <v/>
      </c>
      <c r="P374" s="6">
        <f>IF(M374&gt;0,D374,"")</f>
        <v/>
      </c>
      <c r="Q374" s="9">
        <f>I374+O374</f>
        <v/>
      </c>
      <c r="R374" s="7">
        <f>Q374*G374</f>
        <v/>
      </c>
      <c r="S374" s="8">
        <f>IF($R$404=0,0,R374/$R$404)</f>
        <v/>
      </c>
      <c r="T374" s="8" t="n">
        <v>0</v>
      </c>
      <c r="U374" s="8" t="n">
        <v>0.03195600356738648</v>
      </c>
      <c r="V374" s="6" t="inlineStr">
        <is>
          <t>not selected</t>
        </is>
      </c>
    </row>
    <row r="375">
      <c r="A375" s="6" t="inlineStr">
        <is>
          <t>DJ30</t>
        </is>
      </c>
      <c r="B375" s="6" t="inlineStr">
        <is>
          <t>2023-03-31</t>
        </is>
      </c>
      <c r="C375" s="6" t="inlineStr">
        <is>
          <t>DIA</t>
        </is>
      </c>
      <c r="D375" s="6" t="inlineStr">
        <is>
          <t>AMGN</t>
        </is>
      </c>
      <c r="E375" s="6" t="inlineStr">
        <is>
          <t>AMGN</t>
        </is>
      </c>
      <c r="F375" s="6" t="inlineStr">
        <is>
          <t>-</t>
        </is>
      </c>
      <c r="G375" s="7" t="n">
        <v>218.4120025634766</v>
      </c>
      <c r="H375" s="6">
        <f>P344</f>
        <v/>
      </c>
      <c r="I375" s="9">
        <f>Q344</f>
        <v/>
      </c>
      <c r="J375" s="7">
        <f>I375*G375</f>
        <v/>
      </c>
      <c r="K375" s="8">
        <f>IF($J$404=0,0,J375/$J$404)</f>
        <v/>
      </c>
      <c r="L375" s="6" t="inlineStr">
        <is>
          <t>REJECTED</t>
        </is>
      </c>
      <c r="M375" s="8" t="n">
        <v>0</v>
      </c>
      <c r="N375" s="7">
        <f>M375*$J$404-J375</f>
        <v/>
      </c>
      <c r="O375" s="9">
        <f>IF(G375=0,0,N375/G375)</f>
        <v/>
      </c>
      <c r="P375" s="6">
        <f>IF(M375&gt;0,D375,"")</f>
        <v/>
      </c>
      <c r="Q375" s="9">
        <f>I375+O375</f>
        <v/>
      </c>
      <c r="R375" s="7">
        <f>Q375*G375</f>
        <v/>
      </c>
      <c r="S375" s="8">
        <f>IF($R$404=0,0,R375/$R$404)</f>
        <v/>
      </c>
      <c r="T375" s="8" t="n">
        <v>0</v>
      </c>
      <c r="U375" s="8" t="n">
        <v>0.03195600356738648</v>
      </c>
      <c r="V375" s="6" t="inlineStr">
        <is>
          <t>not selected</t>
        </is>
      </c>
    </row>
    <row r="376">
      <c r="A376" s="6" t="inlineStr">
        <is>
          <t>DJ30</t>
        </is>
      </c>
      <c r="B376" s="6" t="inlineStr">
        <is>
          <t>2023-03-31</t>
        </is>
      </c>
      <c r="C376" s="6" t="inlineStr">
        <is>
          <t>DIA</t>
        </is>
      </c>
      <c r="D376" s="6" t="inlineStr">
        <is>
          <t>AMZN</t>
        </is>
      </c>
      <c r="E376" s="6" t="inlineStr">
        <is>
          <t>AMZN</t>
        </is>
      </c>
      <c r="F376" s="6" t="inlineStr">
        <is>
          <t>-</t>
        </is>
      </c>
      <c r="G376" s="7" t="n">
        <v>103.2900009155273</v>
      </c>
      <c r="H376" s="6">
        <f>P345</f>
        <v/>
      </c>
      <c r="I376" s="9">
        <f>Q345</f>
        <v/>
      </c>
      <c r="J376" s="7">
        <f>I376*G376</f>
        <v/>
      </c>
      <c r="K376" s="8">
        <f>IF($J$404=0,0,J376/$J$404)</f>
        <v/>
      </c>
      <c r="L376" s="6" t="inlineStr">
        <is>
          <t>REJECTED</t>
        </is>
      </c>
      <c r="M376" s="8" t="n">
        <v>0</v>
      </c>
      <c r="N376" s="7">
        <f>M376*$J$404-J376</f>
        <v/>
      </c>
      <c r="O376" s="9">
        <f>IF(G376=0,0,N376/G376)</f>
        <v/>
      </c>
      <c r="P376" s="6">
        <f>IF(M376&gt;0,D376,"")</f>
        <v/>
      </c>
      <c r="Q376" s="9">
        <f>I376+O376</f>
        <v/>
      </c>
      <c r="R376" s="7">
        <f>Q376*G376</f>
        <v/>
      </c>
      <c r="S376" s="8">
        <f>IF($R$404=0,0,R376/$R$404)</f>
        <v/>
      </c>
      <c r="T376" s="8" t="n">
        <v>0</v>
      </c>
      <c r="U376" s="8" t="n">
        <v>0.03195600356738648</v>
      </c>
      <c r="V376" s="6" t="inlineStr">
        <is>
          <t>not selected</t>
        </is>
      </c>
    </row>
    <row r="377">
      <c r="A377" s="6" t="inlineStr">
        <is>
          <t>DJ30</t>
        </is>
      </c>
      <c r="B377" s="6" t="inlineStr">
        <is>
          <t>2023-03-31</t>
        </is>
      </c>
      <c r="C377" s="6" t="inlineStr">
        <is>
          <t>DIA</t>
        </is>
      </c>
      <c r="D377" s="6" t="inlineStr">
        <is>
          <t>AXP</t>
        </is>
      </c>
      <c r="E377" s="6" t="inlineStr">
        <is>
          <t>AXP</t>
        </is>
      </c>
      <c r="F377" s="6" t="inlineStr">
        <is>
          <t>-</t>
        </is>
      </c>
      <c r="G377" s="7" t="n">
        <v>158.6067962646484</v>
      </c>
      <c r="H377" s="6">
        <f>P346</f>
        <v/>
      </c>
      <c r="I377" s="9">
        <f>Q346</f>
        <v/>
      </c>
      <c r="J377" s="7">
        <f>I377*G377</f>
        <v/>
      </c>
      <c r="K377" s="8">
        <f>IF($J$404=0,0,J377/$J$404)</f>
        <v/>
      </c>
      <c r="L377" s="6" t="inlineStr">
        <is>
          <t>REJECTED</t>
        </is>
      </c>
      <c r="M377" s="8" t="n">
        <v>0</v>
      </c>
      <c r="N377" s="7">
        <f>M377*$J$404-J377</f>
        <v/>
      </c>
      <c r="O377" s="9">
        <f>IF(G377=0,0,N377/G377)</f>
        <v/>
      </c>
      <c r="P377" s="6">
        <f>IF(M377&gt;0,D377,"")</f>
        <v/>
      </c>
      <c r="Q377" s="9">
        <f>I377+O377</f>
        <v/>
      </c>
      <c r="R377" s="7">
        <f>Q377*G377</f>
        <v/>
      </c>
      <c r="S377" s="8">
        <f>IF($R$404=0,0,R377/$R$404)</f>
        <v/>
      </c>
      <c r="T377" s="8" t="n">
        <v>0</v>
      </c>
      <c r="U377" s="8" t="n">
        <v>0.03195600356738648</v>
      </c>
      <c r="V377" s="6" t="inlineStr">
        <is>
          <t>not selected</t>
        </is>
      </c>
    </row>
    <row r="378">
      <c r="A378" s="6" t="inlineStr">
        <is>
          <t>DJ30</t>
        </is>
      </c>
      <c r="B378" s="6" t="inlineStr">
        <is>
          <t>2023-03-31</t>
        </is>
      </c>
      <c r="C378" s="6" t="inlineStr">
        <is>
          <t>DIA</t>
        </is>
      </c>
      <c r="D378" s="6" t="inlineStr">
        <is>
          <t>BA</t>
        </is>
      </c>
      <c r="E378" s="6" t="inlineStr">
        <is>
          <t>BA</t>
        </is>
      </c>
      <c r="F378" s="6" t="inlineStr">
        <is>
          <t>-</t>
        </is>
      </c>
      <c r="G378" s="7" t="n">
        <v>212.4299926757812</v>
      </c>
      <c r="H378" s="6">
        <f>P347</f>
        <v/>
      </c>
      <c r="I378" s="9">
        <f>Q347</f>
        <v/>
      </c>
      <c r="J378" s="7">
        <f>I378*G378</f>
        <v/>
      </c>
      <c r="K378" s="8">
        <f>IF($J$404=0,0,J378/$J$404)</f>
        <v/>
      </c>
      <c r="L378" s="6" t="inlineStr">
        <is>
          <t>REJECTED</t>
        </is>
      </c>
      <c r="M378" s="8" t="n">
        <v>0</v>
      </c>
      <c r="N378" s="7">
        <f>M378*$J$404-J378</f>
        <v/>
      </c>
      <c r="O378" s="9">
        <f>IF(G378=0,0,N378/G378)</f>
        <v/>
      </c>
      <c r="P378" s="6">
        <f>IF(M378&gt;0,D378,"")</f>
        <v/>
      </c>
      <c r="Q378" s="9">
        <f>I378+O378</f>
        <v/>
      </c>
      <c r="R378" s="7">
        <f>Q378*G378</f>
        <v/>
      </c>
      <c r="S378" s="8">
        <f>IF($R$404=0,0,R378/$R$404)</f>
        <v/>
      </c>
      <c r="T378" s="8" t="n">
        <v>0</v>
      </c>
      <c r="U378" s="8" t="n">
        <v>0.03195600356738648</v>
      </c>
      <c r="V378" s="6" t="inlineStr">
        <is>
          <t>not selected</t>
        </is>
      </c>
    </row>
    <row r="379">
      <c r="A379" s="6" t="inlineStr">
        <is>
          <t>DJ30</t>
        </is>
      </c>
      <c r="B379" s="6" t="inlineStr">
        <is>
          <t>2023-03-31</t>
        </is>
      </c>
      <c r="C379" s="6" t="inlineStr">
        <is>
          <t>DIA</t>
        </is>
      </c>
      <c r="D379" s="6" t="inlineStr">
        <is>
          <t>CAT</t>
        </is>
      </c>
      <c r="E379" s="6" t="inlineStr">
        <is>
          <t>CAT</t>
        </is>
      </c>
      <c r="F379" s="6" t="inlineStr">
        <is>
          <t>-</t>
        </is>
      </c>
      <c r="G379" s="7" t="n">
        <v>217.5387878417969</v>
      </c>
      <c r="H379" s="6">
        <f>P348</f>
        <v/>
      </c>
      <c r="I379" s="9">
        <f>Q348</f>
        <v/>
      </c>
      <c r="J379" s="7">
        <f>I379*G379</f>
        <v/>
      </c>
      <c r="K379" s="8">
        <f>IF($J$404=0,0,J379/$J$404)</f>
        <v/>
      </c>
      <c r="L379" s="6" t="inlineStr">
        <is>
          <t>REJECTED</t>
        </is>
      </c>
      <c r="M379" s="8" t="n">
        <v>0</v>
      </c>
      <c r="N379" s="7">
        <f>M379*$J$404-J379</f>
        <v/>
      </c>
      <c r="O379" s="9">
        <f>IF(G379=0,0,N379/G379)</f>
        <v/>
      </c>
      <c r="P379" s="6">
        <f>IF(M379&gt;0,D379,"")</f>
        <v/>
      </c>
      <c r="Q379" s="9">
        <f>I379+O379</f>
        <v/>
      </c>
      <c r="R379" s="7">
        <f>Q379*G379</f>
        <v/>
      </c>
      <c r="S379" s="8">
        <f>IF($R$404=0,0,R379/$R$404)</f>
        <v/>
      </c>
      <c r="T379" s="8" t="n">
        <v>0</v>
      </c>
      <c r="U379" s="8" t="n">
        <v>0.03195600356738648</v>
      </c>
      <c r="V379" s="6" t="inlineStr">
        <is>
          <t>not selected</t>
        </is>
      </c>
    </row>
    <row r="380">
      <c r="A380" s="6" t="inlineStr">
        <is>
          <t>DJ30</t>
        </is>
      </c>
      <c r="B380" s="6" t="inlineStr">
        <is>
          <t>2023-03-31</t>
        </is>
      </c>
      <c r="C380" s="6" t="inlineStr">
        <is>
          <t>DIA</t>
        </is>
      </c>
      <c r="D380" s="6" t="inlineStr">
        <is>
          <t>CRM</t>
        </is>
      </c>
      <c r="E380" s="6" t="inlineStr">
        <is>
          <t>CRM</t>
        </is>
      </c>
      <c r="F380" s="6" t="inlineStr">
        <is>
          <t>-</t>
        </is>
      </c>
      <c r="G380" s="7" t="n">
        <v>196.3824768066407</v>
      </c>
      <c r="H380" s="6">
        <f>P349</f>
        <v/>
      </c>
      <c r="I380" s="9">
        <f>Q349</f>
        <v/>
      </c>
      <c r="J380" s="7">
        <f>I380*G380</f>
        <v/>
      </c>
      <c r="K380" s="8">
        <f>IF($J$404=0,0,J380/$J$404)</f>
        <v/>
      </c>
      <c r="L380" s="6" t="inlineStr">
        <is>
          <t>REJECTED</t>
        </is>
      </c>
      <c r="M380" s="8" t="n">
        <v>0</v>
      </c>
      <c r="N380" s="7">
        <f>M380*$J$404-J380</f>
        <v/>
      </c>
      <c r="O380" s="9">
        <f>IF(G380=0,0,N380/G380)</f>
        <v/>
      </c>
      <c r="P380" s="6">
        <f>IF(M380&gt;0,D380,"")</f>
        <v/>
      </c>
      <c r="Q380" s="9">
        <f>I380+O380</f>
        <v/>
      </c>
      <c r="R380" s="7">
        <f>Q380*G380</f>
        <v/>
      </c>
      <c r="S380" s="8">
        <f>IF($R$404=0,0,R380/$R$404)</f>
        <v/>
      </c>
      <c r="T380" s="8" t="n">
        <v>0</v>
      </c>
      <c r="U380" s="8" t="n">
        <v>0.03195600356738648</v>
      </c>
      <c r="V380" s="6" t="inlineStr">
        <is>
          <t>not selected</t>
        </is>
      </c>
    </row>
    <row r="381">
      <c r="A381" s="6" t="inlineStr">
        <is>
          <t>DJ30</t>
        </is>
      </c>
      <c r="B381" s="6" t="inlineStr">
        <is>
          <t>2023-03-31</t>
        </is>
      </c>
      <c r="C381" s="6" t="inlineStr">
        <is>
          <t>DIA</t>
        </is>
      </c>
      <c r="D381" s="6" t="inlineStr">
        <is>
          <t>CSCO</t>
        </is>
      </c>
      <c r="E381" s="6" t="inlineStr">
        <is>
          <t>CSCO</t>
        </is>
      </c>
      <c r="F381" s="6" t="inlineStr">
        <is>
          <t>-</t>
        </is>
      </c>
      <c r="G381" s="7" t="n">
        <v>47.75796508789063</v>
      </c>
      <c r="H381" s="6">
        <f>P350</f>
        <v/>
      </c>
      <c r="I381" s="9">
        <f>Q350</f>
        <v/>
      </c>
      <c r="J381" s="7">
        <f>I381*G381</f>
        <v/>
      </c>
      <c r="K381" s="8">
        <f>IF($J$404=0,0,J381/$J$404)</f>
        <v/>
      </c>
      <c r="L381" s="6" t="inlineStr">
        <is>
          <t>REJECTED</t>
        </is>
      </c>
      <c r="M381" s="8" t="n">
        <v>0</v>
      </c>
      <c r="N381" s="7">
        <f>M381*$J$404-J381</f>
        <v/>
      </c>
      <c r="O381" s="9">
        <f>IF(G381=0,0,N381/G381)</f>
        <v/>
      </c>
      <c r="P381" s="6">
        <f>IF(M381&gt;0,D381,"")</f>
        <v/>
      </c>
      <c r="Q381" s="9">
        <f>I381+O381</f>
        <v/>
      </c>
      <c r="R381" s="7">
        <f>Q381*G381</f>
        <v/>
      </c>
      <c r="S381" s="8">
        <f>IF($R$404=0,0,R381/$R$404)</f>
        <v/>
      </c>
      <c r="T381" s="8" t="n">
        <v>0</v>
      </c>
      <c r="U381" s="8" t="n">
        <v>0.03195600356738648</v>
      </c>
      <c r="V381" s="6" t="inlineStr">
        <is>
          <t>not selected</t>
        </is>
      </c>
    </row>
    <row r="382">
      <c r="A382" s="6" t="inlineStr">
        <is>
          <t>DJ30</t>
        </is>
      </c>
      <c r="B382" s="6" t="inlineStr">
        <is>
          <t>2023-03-31</t>
        </is>
      </c>
      <c r="C382" s="6" t="inlineStr">
        <is>
          <t>DIA</t>
        </is>
      </c>
      <c r="D382" s="6" t="inlineStr">
        <is>
          <t>CVX</t>
        </is>
      </c>
      <c r="E382" s="6" t="inlineStr">
        <is>
          <t>CVX</t>
        </is>
      </c>
      <c r="F382" s="6" t="inlineStr">
        <is>
          <t>-</t>
        </is>
      </c>
      <c r="G382" s="7" t="n">
        <v>142.4011840820312</v>
      </c>
      <c r="H382" s="6">
        <f>P351</f>
        <v/>
      </c>
      <c r="I382" s="9">
        <f>Q351</f>
        <v/>
      </c>
      <c r="J382" s="7">
        <f>I382*G382</f>
        <v/>
      </c>
      <c r="K382" s="8">
        <f>IF($J$404=0,0,J382/$J$404)</f>
        <v/>
      </c>
      <c r="L382" s="6" t="inlineStr">
        <is>
          <t>REJECTED</t>
        </is>
      </c>
      <c r="M382" s="8" t="n">
        <v>0</v>
      </c>
      <c r="N382" s="7">
        <f>M382*$J$404-J382</f>
        <v/>
      </c>
      <c r="O382" s="9">
        <f>IF(G382=0,0,N382/G382)</f>
        <v/>
      </c>
      <c r="P382" s="6">
        <f>IF(M382&gt;0,D382,"")</f>
        <v/>
      </c>
      <c r="Q382" s="9">
        <f>I382+O382</f>
        <v/>
      </c>
      <c r="R382" s="7">
        <f>Q382*G382</f>
        <v/>
      </c>
      <c r="S382" s="8">
        <f>IF($R$404=0,0,R382/$R$404)</f>
        <v/>
      </c>
      <c r="T382" s="8" t="n">
        <v>0</v>
      </c>
      <c r="U382" s="8" t="n">
        <v>0.03195600356738648</v>
      </c>
      <c r="V382" s="6" t="inlineStr">
        <is>
          <t>not selected</t>
        </is>
      </c>
    </row>
    <row r="383">
      <c r="A383" s="6" t="inlineStr">
        <is>
          <t>DJ30</t>
        </is>
      </c>
      <c r="B383" s="6" t="inlineStr">
        <is>
          <t>2023-03-31</t>
        </is>
      </c>
      <c r="C383" s="6" t="inlineStr">
        <is>
          <t>DIA</t>
        </is>
      </c>
      <c r="D383" s="6" t="inlineStr">
        <is>
          <t>DIS</t>
        </is>
      </c>
      <c r="E383" s="6" t="inlineStr">
        <is>
          <t>DIS</t>
        </is>
      </c>
      <c r="F383" s="6" t="inlineStr">
        <is>
          <t>-</t>
        </is>
      </c>
      <c r="G383" s="7" t="n">
        <v>97.82624816894533</v>
      </c>
      <c r="H383" s="6">
        <f>P352</f>
        <v/>
      </c>
      <c r="I383" s="9">
        <f>Q352</f>
        <v/>
      </c>
      <c r="J383" s="7">
        <f>I383*G383</f>
        <v/>
      </c>
      <c r="K383" s="8">
        <f>IF($J$404=0,0,J383/$J$404)</f>
        <v/>
      </c>
      <c r="L383" s="6" t="inlineStr">
        <is>
          <t>REJECTED</t>
        </is>
      </c>
      <c r="M383" s="8" t="n">
        <v>0</v>
      </c>
      <c r="N383" s="7">
        <f>M383*$J$404-J383</f>
        <v/>
      </c>
      <c r="O383" s="9">
        <f>IF(G383=0,0,N383/G383)</f>
        <v/>
      </c>
      <c r="P383" s="6">
        <f>IF(M383&gt;0,D383,"")</f>
        <v/>
      </c>
      <c r="Q383" s="9">
        <f>I383+O383</f>
        <v/>
      </c>
      <c r="R383" s="7">
        <f>Q383*G383</f>
        <v/>
      </c>
      <c r="S383" s="8">
        <f>IF($R$404=0,0,R383/$R$404)</f>
        <v/>
      </c>
      <c r="T383" s="8" t="n">
        <v>0</v>
      </c>
      <c r="U383" s="8" t="n">
        <v>0.03195600356738648</v>
      </c>
      <c r="V383" s="6" t="inlineStr">
        <is>
          <t>not selected</t>
        </is>
      </c>
    </row>
    <row r="384">
      <c r="A384" s="6" t="inlineStr">
        <is>
          <t>DJ30</t>
        </is>
      </c>
      <c r="B384" s="6" t="inlineStr">
        <is>
          <t>2023-03-31</t>
        </is>
      </c>
      <c r="C384" s="6" t="inlineStr">
        <is>
          <t>DIA</t>
        </is>
      </c>
      <c r="D384" s="6" t="inlineStr">
        <is>
          <t>GS</t>
        </is>
      </c>
      <c r="E384" s="6" t="inlineStr">
        <is>
          <t>GS</t>
        </is>
      </c>
      <c r="F384" s="6" t="inlineStr">
        <is>
          <t>-</t>
        </is>
      </c>
      <c r="G384" s="7" t="n">
        <v>302.6099853515625</v>
      </c>
      <c r="H384" s="6">
        <f>P353</f>
        <v/>
      </c>
      <c r="I384" s="9">
        <f>Q353</f>
        <v/>
      </c>
      <c r="J384" s="7">
        <f>I384*G384</f>
        <v/>
      </c>
      <c r="K384" s="8">
        <f>IF($J$404=0,0,J384/$J$404)</f>
        <v/>
      </c>
      <c r="L384" s="6" t="inlineStr">
        <is>
          <t>REJECTED</t>
        </is>
      </c>
      <c r="M384" s="8" t="n">
        <v>0</v>
      </c>
      <c r="N384" s="7">
        <f>M384*$J$404-J384</f>
        <v/>
      </c>
      <c r="O384" s="9">
        <f>IF(G384=0,0,N384/G384)</f>
        <v/>
      </c>
      <c r="P384" s="6">
        <f>IF(M384&gt;0,D384,"")</f>
        <v/>
      </c>
      <c r="Q384" s="9">
        <f>I384+O384</f>
        <v/>
      </c>
      <c r="R384" s="7">
        <f>Q384*G384</f>
        <v/>
      </c>
      <c r="S384" s="8">
        <f>IF($R$404=0,0,R384/$R$404)</f>
        <v/>
      </c>
      <c r="T384" s="8" t="n">
        <v>0</v>
      </c>
      <c r="U384" s="8" t="n">
        <v>0.03195600356738648</v>
      </c>
      <c r="V384" s="6" t="inlineStr">
        <is>
          <t>not selected</t>
        </is>
      </c>
    </row>
    <row r="385">
      <c r="A385" s="6" t="inlineStr">
        <is>
          <t>DJ30</t>
        </is>
      </c>
      <c r="B385" s="6" t="inlineStr">
        <is>
          <t>2023-03-31</t>
        </is>
      </c>
      <c r="C385" s="6" t="inlineStr">
        <is>
          <t>DIA</t>
        </is>
      </c>
      <c r="D385" s="6" t="inlineStr">
        <is>
          <t>HD</t>
        </is>
      </c>
      <c r="E385" s="6" t="inlineStr">
        <is>
          <t>HD</t>
        </is>
      </c>
      <c r="F385" s="6" t="inlineStr">
        <is>
          <t>-</t>
        </is>
      </c>
      <c r="G385" s="7" t="n">
        <v>271.5621032714844</v>
      </c>
      <c r="H385" s="6">
        <f>P354</f>
        <v/>
      </c>
      <c r="I385" s="9">
        <f>Q354</f>
        <v/>
      </c>
      <c r="J385" s="7">
        <f>I385*G385</f>
        <v/>
      </c>
      <c r="K385" s="8">
        <f>IF($J$404=0,0,J385/$J$404)</f>
        <v/>
      </c>
      <c r="L385" s="6" t="inlineStr">
        <is>
          <t>REJECTED</t>
        </is>
      </c>
      <c r="M385" s="8" t="n">
        <v>0</v>
      </c>
      <c r="N385" s="7">
        <f>M385*$J$404-J385</f>
        <v/>
      </c>
      <c r="O385" s="9">
        <f>IF(G385=0,0,N385/G385)</f>
        <v/>
      </c>
      <c r="P385" s="6">
        <f>IF(M385&gt;0,D385,"")</f>
        <v/>
      </c>
      <c r="Q385" s="9">
        <f>I385+O385</f>
        <v/>
      </c>
      <c r="R385" s="7">
        <f>Q385*G385</f>
        <v/>
      </c>
      <c r="S385" s="8">
        <f>IF($R$404=0,0,R385/$R$404)</f>
        <v/>
      </c>
      <c r="T385" s="8" t="n">
        <v>0</v>
      </c>
      <c r="U385" s="8" t="n">
        <v>0.03195600356738648</v>
      </c>
      <c r="V385" s="6" t="inlineStr">
        <is>
          <t>not selected</t>
        </is>
      </c>
    </row>
    <row r="386">
      <c r="A386" s="6" t="inlineStr">
        <is>
          <t>DJ30</t>
        </is>
      </c>
      <c r="B386" s="6" t="inlineStr">
        <is>
          <t>2023-03-31</t>
        </is>
      </c>
      <c r="C386" s="6" t="inlineStr">
        <is>
          <t>DIA</t>
        </is>
      </c>
      <c r="D386" s="6" t="inlineStr">
        <is>
          <t>HON</t>
        </is>
      </c>
      <c r="E386" s="6" t="inlineStr">
        <is>
          <t>HON</t>
        </is>
      </c>
      <c r="F386" s="6" t="inlineStr">
        <is>
          <t>-</t>
        </is>
      </c>
      <c r="G386" s="7" t="n">
        <v>168.001220703125</v>
      </c>
      <c r="H386" s="6">
        <f>P355</f>
        <v/>
      </c>
      <c r="I386" s="9">
        <f>Q355</f>
        <v/>
      </c>
      <c r="J386" s="7">
        <f>I386*G386</f>
        <v/>
      </c>
      <c r="K386" s="8">
        <f>IF($J$404=0,0,J386/$J$404)</f>
        <v/>
      </c>
      <c r="L386" s="6" t="inlineStr">
        <is>
          <t>REJECTED</t>
        </is>
      </c>
      <c r="M386" s="8" t="n">
        <v>0</v>
      </c>
      <c r="N386" s="7">
        <f>M386*$J$404-J386</f>
        <v/>
      </c>
      <c r="O386" s="9">
        <f>IF(G386=0,0,N386/G386)</f>
        <v/>
      </c>
      <c r="P386" s="6">
        <f>IF(M386&gt;0,D386,"")</f>
        <v/>
      </c>
      <c r="Q386" s="9">
        <f>I386+O386</f>
        <v/>
      </c>
      <c r="R386" s="7">
        <f>Q386*G386</f>
        <v/>
      </c>
      <c r="S386" s="8">
        <f>IF($R$404=0,0,R386/$R$404)</f>
        <v/>
      </c>
      <c r="T386" s="8" t="n">
        <v>0</v>
      </c>
      <c r="U386" s="8" t="n">
        <v>0.03195600356738648</v>
      </c>
      <c r="V386" s="6" t="inlineStr">
        <is>
          <t>not selected</t>
        </is>
      </c>
    </row>
    <row r="387">
      <c r="A387" s="6" t="inlineStr">
        <is>
          <t>DJ30</t>
        </is>
      </c>
      <c r="B387" s="6" t="inlineStr">
        <is>
          <t>2023-03-31</t>
        </is>
      </c>
      <c r="C387" s="6" t="inlineStr">
        <is>
          <t>DIA</t>
        </is>
      </c>
      <c r="D387" s="6" t="inlineStr">
        <is>
          <t>IBM</t>
        </is>
      </c>
      <c r="E387" s="6" t="inlineStr">
        <is>
          <t>IBM</t>
        </is>
      </c>
      <c r="F387" s="6" t="inlineStr">
        <is>
          <t>-</t>
        </is>
      </c>
      <c r="G387" s="7" t="n">
        <v>117.3993682861328</v>
      </c>
      <c r="H387" s="6">
        <f>P356</f>
        <v/>
      </c>
      <c r="I387" s="9">
        <f>Q356</f>
        <v/>
      </c>
      <c r="J387" s="7">
        <f>I387*G387</f>
        <v/>
      </c>
      <c r="K387" s="8">
        <f>IF($J$404=0,0,J387/$J$404)</f>
        <v/>
      </c>
      <c r="L387" s="6" t="inlineStr">
        <is>
          <t>REJECTED</t>
        </is>
      </c>
      <c r="M387" s="8" t="n">
        <v>0</v>
      </c>
      <c r="N387" s="7">
        <f>M387*$J$404-J387</f>
        <v/>
      </c>
      <c r="O387" s="9">
        <f>IF(G387=0,0,N387/G387)</f>
        <v/>
      </c>
      <c r="P387" s="6">
        <f>IF(M387&gt;0,D387,"")</f>
        <v/>
      </c>
      <c r="Q387" s="9">
        <f>I387+O387</f>
        <v/>
      </c>
      <c r="R387" s="7">
        <f>Q387*G387</f>
        <v/>
      </c>
      <c r="S387" s="8">
        <f>IF($R$404=0,0,R387/$R$404)</f>
        <v/>
      </c>
      <c r="T387" s="8" t="n">
        <v>0</v>
      </c>
      <c r="U387" s="8" t="n">
        <v>0.03195600356738648</v>
      </c>
      <c r="V387" s="6" t="inlineStr">
        <is>
          <t>not selected</t>
        </is>
      </c>
    </row>
    <row r="388">
      <c r="A388" s="6" t="inlineStr">
        <is>
          <t>DJ30</t>
        </is>
      </c>
      <c r="B388" s="6" t="inlineStr">
        <is>
          <t>2023-03-31</t>
        </is>
      </c>
      <c r="C388" s="6" t="inlineStr">
        <is>
          <t>DIA</t>
        </is>
      </c>
      <c r="D388" s="6" t="inlineStr">
        <is>
          <t>JNJ</t>
        </is>
      </c>
      <c r="E388" s="6" t="inlineStr">
        <is>
          <t>JNJ</t>
        </is>
      </c>
      <c r="F388" s="6" t="inlineStr">
        <is>
          <t>-</t>
        </is>
      </c>
      <c r="G388" s="7" t="n">
        <v>140.9410095214844</v>
      </c>
      <c r="H388" s="6">
        <f>P357</f>
        <v/>
      </c>
      <c r="I388" s="9">
        <f>Q357</f>
        <v/>
      </c>
      <c r="J388" s="7">
        <f>I388*G388</f>
        <v/>
      </c>
      <c r="K388" s="8">
        <f>IF($J$404=0,0,J388/$J$404)</f>
        <v/>
      </c>
      <c r="L388" s="6" t="inlineStr">
        <is>
          <t>REJECTED</t>
        </is>
      </c>
      <c r="M388" s="8" t="n">
        <v>0</v>
      </c>
      <c r="N388" s="7">
        <f>M388*$J$404-J388</f>
        <v/>
      </c>
      <c r="O388" s="9">
        <f>IF(G388=0,0,N388/G388)</f>
        <v/>
      </c>
      <c r="P388" s="6">
        <f>IF(M388&gt;0,D388,"")</f>
        <v/>
      </c>
      <c r="Q388" s="9">
        <f>I388+O388</f>
        <v/>
      </c>
      <c r="R388" s="7">
        <f>Q388*G388</f>
        <v/>
      </c>
      <c r="S388" s="8">
        <f>IF($R$404=0,0,R388/$R$404)</f>
        <v/>
      </c>
      <c r="T388" s="8" t="n">
        <v>0</v>
      </c>
      <c r="U388" s="8" t="n">
        <v>0.03195600356738648</v>
      </c>
      <c r="V388" s="6" t="inlineStr">
        <is>
          <t>not selected</t>
        </is>
      </c>
    </row>
    <row r="389">
      <c r="A389" s="6" t="inlineStr">
        <is>
          <t>DJ30</t>
        </is>
      </c>
      <c r="B389" s="6" t="inlineStr">
        <is>
          <t>2023-03-31</t>
        </is>
      </c>
      <c r="C389" s="6" t="inlineStr">
        <is>
          <t>DIA</t>
        </is>
      </c>
      <c r="D389" s="6" t="inlineStr">
        <is>
          <t>JPM</t>
        </is>
      </c>
      <c r="E389" s="6" t="inlineStr">
        <is>
          <t>JPM</t>
        </is>
      </c>
      <c r="F389" s="6" t="inlineStr">
        <is>
          <t>-</t>
        </is>
      </c>
      <c r="G389" s="7" t="n">
        <v>120.7534484863281</v>
      </c>
      <c r="H389" s="6">
        <f>P358</f>
        <v/>
      </c>
      <c r="I389" s="9">
        <f>Q358</f>
        <v/>
      </c>
      <c r="J389" s="7">
        <f>I389*G389</f>
        <v/>
      </c>
      <c r="K389" s="8">
        <f>IF($J$404=0,0,J389/$J$404)</f>
        <v/>
      </c>
      <c r="L389" s="6" t="inlineStr">
        <is>
          <t>REJECTED</t>
        </is>
      </c>
      <c r="M389" s="8" t="n">
        <v>0</v>
      </c>
      <c r="N389" s="7">
        <f>M389*$J$404-J389</f>
        <v/>
      </c>
      <c r="O389" s="9">
        <f>IF(G389=0,0,N389/G389)</f>
        <v/>
      </c>
      <c r="P389" s="6">
        <f>IF(M389&gt;0,D389,"")</f>
        <v/>
      </c>
      <c r="Q389" s="9">
        <f>I389+O389</f>
        <v/>
      </c>
      <c r="R389" s="7">
        <f>Q389*G389</f>
        <v/>
      </c>
      <c r="S389" s="8">
        <f>IF($R$404=0,0,R389/$R$404)</f>
        <v/>
      </c>
      <c r="T389" s="8" t="n">
        <v>0</v>
      </c>
      <c r="U389" s="8" t="n">
        <v>0.03195600356738648</v>
      </c>
      <c r="V389" s="6" t="inlineStr">
        <is>
          <t>not selected</t>
        </is>
      </c>
    </row>
    <row r="390">
      <c r="A390" s="6" t="inlineStr">
        <is>
          <t>DJ30</t>
        </is>
      </c>
      <c r="B390" s="6" t="inlineStr">
        <is>
          <t>2023-03-31</t>
        </is>
      </c>
      <c r="C390" s="6" t="inlineStr">
        <is>
          <t>DIA</t>
        </is>
      </c>
      <c r="D390" s="6" t="inlineStr">
        <is>
          <t>KO</t>
        </is>
      </c>
      <c r="E390" s="6" t="inlineStr">
        <is>
          <t>KO</t>
        </is>
      </c>
      <c r="F390" s="6" t="inlineStr">
        <is>
          <t>-</t>
        </is>
      </c>
      <c r="G390" s="7" t="n">
        <v>56.35936737060547</v>
      </c>
      <c r="H390" s="6">
        <f>P359</f>
        <v/>
      </c>
      <c r="I390" s="9">
        <f>Q359</f>
        <v/>
      </c>
      <c r="J390" s="7">
        <f>I390*G390</f>
        <v/>
      </c>
      <c r="K390" s="8">
        <f>IF($J$404=0,0,J390/$J$404)</f>
        <v/>
      </c>
      <c r="L390" s="6" t="inlineStr">
        <is>
          <t>REJECTED</t>
        </is>
      </c>
      <c r="M390" s="8" t="n">
        <v>0</v>
      </c>
      <c r="N390" s="7">
        <f>M390*$J$404-J390</f>
        <v/>
      </c>
      <c r="O390" s="9">
        <f>IF(G390=0,0,N390/G390)</f>
        <v/>
      </c>
      <c r="P390" s="6">
        <f>IF(M390&gt;0,D390,"")</f>
        <v/>
      </c>
      <c r="Q390" s="9">
        <f>I390+O390</f>
        <v/>
      </c>
      <c r="R390" s="7">
        <f>Q390*G390</f>
        <v/>
      </c>
      <c r="S390" s="8">
        <f>IF($R$404=0,0,R390/$R$404)</f>
        <v/>
      </c>
      <c r="T390" s="8" t="n">
        <v>0</v>
      </c>
      <c r="U390" s="8" t="n">
        <v>0.03195600356738648</v>
      </c>
      <c r="V390" s="6" t="inlineStr">
        <is>
          <t>not selected</t>
        </is>
      </c>
    </row>
    <row r="391">
      <c r="A391" s="6" t="inlineStr">
        <is>
          <t>DJ30</t>
        </is>
      </c>
      <c r="B391" s="6" t="inlineStr">
        <is>
          <t>2023-03-31</t>
        </is>
      </c>
      <c r="C391" s="6" t="inlineStr">
        <is>
          <t>DIA</t>
        </is>
      </c>
      <c r="D391" s="6" t="inlineStr">
        <is>
          <t>MCD</t>
        </is>
      </c>
      <c r="E391" s="6" t="inlineStr">
        <is>
          <t>MCD</t>
        </is>
      </c>
      <c r="F391" s="6" t="inlineStr">
        <is>
          <t>-</t>
        </is>
      </c>
      <c r="G391" s="7" t="n">
        <v>259.1571044921875</v>
      </c>
      <c r="H391" s="6">
        <f>P360</f>
        <v/>
      </c>
      <c r="I391" s="9">
        <f>Q360</f>
        <v/>
      </c>
      <c r="J391" s="7">
        <f>I391*G391</f>
        <v/>
      </c>
      <c r="K391" s="8">
        <f>IF($J$404=0,0,J391/$J$404)</f>
        <v/>
      </c>
      <c r="L391" s="6" t="inlineStr">
        <is>
          <t>REJECTED</t>
        </is>
      </c>
      <c r="M391" s="8" t="n">
        <v>0</v>
      </c>
      <c r="N391" s="7">
        <f>M391*$J$404-J391</f>
        <v/>
      </c>
      <c r="O391" s="9">
        <f>IF(G391=0,0,N391/G391)</f>
        <v/>
      </c>
      <c r="P391" s="6">
        <f>IF(M391&gt;0,D391,"")</f>
        <v/>
      </c>
      <c r="Q391" s="9">
        <f>I391+O391</f>
        <v/>
      </c>
      <c r="R391" s="7">
        <f>Q391*G391</f>
        <v/>
      </c>
      <c r="S391" s="8">
        <f>IF($R$404=0,0,R391/$R$404)</f>
        <v/>
      </c>
      <c r="T391" s="8" t="n">
        <v>0</v>
      </c>
      <c r="U391" s="8" t="n">
        <v>0.03195600356738648</v>
      </c>
      <c r="V391" s="6" t="inlineStr">
        <is>
          <t>not selected</t>
        </is>
      </c>
    </row>
    <row r="392">
      <c r="A392" s="6" t="inlineStr">
        <is>
          <t>DJ30</t>
        </is>
      </c>
      <c r="B392" s="6" t="inlineStr">
        <is>
          <t>2023-03-31</t>
        </is>
      </c>
      <c r="C392" s="6" t="inlineStr">
        <is>
          <t>DIA</t>
        </is>
      </c>
      <c r="D392" s="6" t="inlineStr">
        <is>
          <t>MMM</t>
        </is>
      </c>
      <c r="E392" s="6" t="inlineStr">
        <is>
          <t>MMM</t>
        </is>
      </c>
      <c r="F392" s="6" t="inlineStr">
        <is>
          <t>-</t>
        </is>
      </c>
      <c r="G392" s="7" t="n">
        <v>78.890869140625</v>
      </c>
      <c r="H392" s="6">
        <f>P361</f>
        <v/>
      </c>
      <c r="I392" s="9">
        <f>Q361</f>
        <v/>
      </c>
      <c r="J392" s="7">
        <f>I392*G392</f>
        <v/>
      </c>
      <c r="K392" s="8">
        <f>IF($J$404=0,0,J392/$J$404)</f>
        <v/>
      </c>
      <c r="L392" s="6" t="inlineStr">
        <is>
          <t>REJECTED</t>
        </is>
      </c>
      <c r="M392" s="8" t="n">
        <v>0</v>
      </c>
      <c r="N392" s="7">
        <f>M392*$J$404-J392</f>
        <v/>
      </c>
      <c r="O392" s="9">
        <f>IF(G392=0,0,N392/G392)</f>
        <v/>
      </c>
      <c r="P392" s="6">
        <f>IF(M392&gt;0,D392,"")</f>
        <v/>
      </c>
      <c r="Q392" s="9">
        <f>I392+O392</f>
        <v/>
      </c>
      <c r="R392" s="7">
        <f>Q392*G392</f>
        <v/>
      </c>
      <c r="S392" s="8">
        <f>IF($R$404=0,0,R392/$R$404)</f>
        <v/>
      </c>
      <c r="T392" s="8" t="n">
        <v>0</v>
      </c>
      <c r="U392" s="8" t="n">
        <v>0.03195600356738648</v>
      </c>
      <c r="V392" s="6" t="inlineStr">
        <is>
          <t>not selected</t>
        </is>
      </c>
    </row>
    <row r="393">
      <c r="A393" s="6" t="inlineStr">
        <is>
          <t>DJ30</t>
        </is>
      </c>
      <c r="B393" s="6" t="inlineStr">
        <is>
          <t>2023-03-31</t>
        </is>
      </c>
      <c r="C393" s="6" t="inlineStr">
        <is>
          <t>DIA</t>
        </is>
      </c>
      <c r="D393" s="6" t="inlineStr">
        <is>
          <t>MRK</t>
        </is>
      </c>
      <c r="E393" s="6" t="inlineStr">
        <is>
          <t>MRK</t>
        </is>
      </c>
      <c r="F393" s="6" t="inlineStr">
        <is>
          <t>-</t>
        </is>
      </c>
      <c r="G393" s="7" t="n">
        <v>96.3574676513672</v>
      </c>
      <c r="H393" s="6">
        <f>P362</f>
        <v/>
      </c>
      <c r="I393" s="9">
        <f>Q362</f>
        <v/>
      </c>
      <c r="J393" s="7">
        <f>I393*G393</f>
        <v/>
      </c>
      <c r="K393" s="8">
        <f>IF($J$404=0,0,J393/$J$404)</f>
        <v/>
      </c>
      <c r="L393" s="6" t="inlineStr">
        <is>
          <t>REJECTED</t>
        </is>
      </c>
      <c r="M393" s="8" t="n">
        <v>0</v>
      </c>
      <c r="N393" s="7">
        <f>M393*$J$404-J393</f>
        <v/>
      </c>
      <c r="O393" s="9">
        <f>IF(G393=0,0,N393/G393)</f>
        <v/>
      </c>
      <c r="P393" s="6">
        <f>IF(M393&gt;0,D393,"")</f>
        <v/>
      </c>
      <c r="Q393" s="9">
        <f>I393+O393</f>
        <v/>
      </c>
      <c r="R393" s="7">
        <f>Q393*G393</f>
        <v/>
      </c>
      <c r="S393" s="8">
        <f>IF($R$404=0,0,R393/$R$404)</f>
        <v/>
      </c>
      <c r="T393" s="8" t="n">
        <v>0</v>
      </c>
      <c r="U393" s="8" t="n">
        <v>0.03195600356738648</v>
      </c>
      <c r="V393" s="6" t="inlineStr">
        <is>
          <t>not selected</t>
        </is>
      </c>
    </row>
    <row r="394">
      <c r="A394" s="6" t="inlineStr">
        <is>
          <t>DJ30</t>
        </is>
      </c>
      <c r="B394" s="6" t="inlineStr">
        <is>
          <t>2023-03-31</t>
        </is>
      </c>
      <c r="C394" s="6" t="inlineStr">
        <is>
          <t>DIA</t>
        </is>
      </c>
      <c r="D394" s="6" t="inlineStr">
        <is>
          <t>MSFT</t>
        </is>
      </c>
      <c r="E394" s="6" t="inlineStr">
        <is>
          <t>MSFT</t>
        </is>
      </c>
      <c r="F394" s="6" t="inlineStr">
        <is>
          <t>-</t>
        </is>
      </c>
      <c r="G394" s="7" t="n">
        <v>281.0218200683594</v>
      </c>
      <c r="H394" s="6">
        <f>P363</f>
        <v/>
      </c>
      <c r="I394" s="9">
        <f>Q363</f>
        <v/>
      </c>
      <c r="J394" s="7">
        <f>I394*G394</f>
        <v/>
      </c>
      <c r="K394" s="8">
        <f>IF($J$404=0,0,J394/$J$404)</f>
        <v/>
      </c>
      <c r="L394" s="6" t="inlineStr">
        <is>
          <t>REJECTED</t>
        </is>
      </c>
      <c r="M394" s="8" t="n">
        <v>0</v>
      </c>
      <c r="N394" s="7">
        <f>M394*$J$404-J394</f>
        <v/>
      </c>
      <c r="O394" s="9">
        <f>IF(G394=0,0,N394/G394)</f>
        <v/>
      </c>
      <c r="P394" s="6">
        <f>IF(M394&gt;0,D394,"")</f>
        <v/>
      </c>
      <c r="Q394" s="9">
        <f>I394+O394</f>
        <v/>
      </c>
      <c r="R394" s="7">
        <f>Q394*G394</f>
        <v/>
      </c>
      <c r="S394" s="8">
        <f>IF($R$404=0,0,R394/$R$404)</f>
        <v/>
      </c>
      <c r="T394" s="8" t="n">
        <v>0</v>
      </c>
      <c r="U394" s="8" t="n">
        <v>0.03195600356738648</v>
      </c>
      <c r="V394" s="6" t="inlineStr">
        <is>
          <t>not selected</t>
        </is>
      </c>
    </row>
    <row r="395">
      <c r="A395" s="6" t="inlineStr">
        <is>
          <t>DJ30</t>
        </is>
      </c>
      <c r="B395" s="6" t="inlineStr">
        <is>
          <t>2023-03-31</t>
        </is>
      </c>
      <c r="C395" s="6" t="inlineStr">
        <is>
          <t>DIA</t>
        </is>
      </c>
      <c r="D395" s="6" t="inlineStr">
        <is>
          <t>NKE</t>
        </is>
      </c>
      <c r="E395" s="6" t="inlineStr">
        <is>
          <t>NKE</t>
        </is>
      </c>
      <c r="F395" s="6" t="inlineStr">
        <is>
          <t>-</t>
        </is>
      </c>
      <c r="G395" s="7" t="n">
        <v>114.8360824584961</v>
      </c>
      <c r="H395" s="6">
        <f>P364</f>
        <v/>
      </c>
      <c r="I395" s="9">
        <f>Q364</f>
        <v/>
      </c>
      <c r="J395" s="7">
        <f>I395*G395</f>
        <v/>
      </c>
      <c r="K395" s="8">
        <f>IF($J$404=0,0,J395/$J$404)</f>
        <v/>
      </c>
      <c r="L395" s="6" t="inlineStr">
        <is>
          <t>REJECTED</t>
        </is>
      </c>
      <c r="M395" s="8" t="n">
        <v>0</v>
      </c>
      <c r="N395" s="7">
        <f>M395*$J$404-J395</f>
        <v/>
      </c>
      <c r="O395" s="9">
        <f>IF(G395=0,0,N395/G395)</f>
        <v/>
      </c>
      <c r="P395" s="6">
        <f>IF(M395&gt;0,D395,"")</f>
        <v/>
      </c>
      <c r="Q395" s="9">
        <f>I395+O395</f>
        <v/>
      </c>
      <c r="R395" s="7">
        <f>Q395*G395</f>
        <v/>
      </c>
      <c r="S395" s="8">
        <f>IF($R$404=0,0,R395/$R$404)</f>
        <v/>
      </c>
      <c r="T395" s="8" t="n">
        <v>0</v>
      </c>
      <c r="U395" s="8" t="n">
        <v>0.03195600356738648</v>
      </c>
      <c r="V395" s="6" t="inlineStr">
        <is>
          <t>not selected</t>
        </is>
      </c>
    </row>
    <row r="396">
      <c r="A396" s="6" t="inlineStr">
        <is>
          <t>DJ30</t>
        </is>
      </c>
      <c r="B396" s="6" t="inlineStr">
        <is>
          <t>2023-03-31</t>
        </is>
      </c>
      <c r="C396" s="6" t="inlineStr">
        <is>
          <t>DIA</t>
        </is>
      </c>
      <c r="D396" s="6" t="inlineStr">
        <is>
          <t>NVDA</t>
        </is>
      </c>
      <c r="E396" s="6" t="inlineStr">
        <is>
          <t>NVDA</t>
        </is>
      </c>
      <c r="F396" s="6" t="inlineStr">
        <is>
          <t>-</t>
        </is>
      </c>
      <c r="G396" s="7" t="n">
        <v>27.72012329101562</v>
      </c>
      <c r="H396" s="6">
        <f>P365</f>
        <v/>
      </c>
      <c r="I396" s="9">
        <f>Q365</f>
        <v/>
      </c>
      <c r="J396" s="7">
        <f>I396*G396</f>
        <v/>
      </c>
      <c r="K396" s="8">
        <f>IF($J$404=0,0,J396/$J$404)</f>
        <v/>
      </c>
      <c r="L396" s="6" t="inlineStr">
        <is>
          <t>REJECTED</t>
        </is>
      </c>
      <c r="M396" s="8" t="n">
        <v>0</v>
      </c>
      <c r="N396" s="7">
        <f>M396*$J$404-J396</f>
        <v/>
      </c>
      <c r="O396" s="9">
        <f>IF(G396=0,0,N396/G396)</f>
        <v/>
      </c>
      <c r="P396" s="6">
        <f>IF(M396&gt;0,D396,"")</f>
        <v/>
      </c>
      <c r="Q396" s="9">
        <f>I396+O396</f>
        <v/>
      </c>
      <c r="R396" s="7">
        <f>Q396*G396</f>
        <v/>
      </c>
      <c r="S396" s="8">
        <f>IF($R$404=0,0,R396/$R$404)</f>
        <v/>
      </c>
      <c r="T396" s="8" t="n">
        <v>0</v>
      </c>
      <c r="U396" s="8" t="n">
        <v>0.03195600356738648</v>
      </c>
      <c r="V396" s="6" t="inlineStr">
        <is>
          <t>not selected</t>
        </is>
      </c>
    </row>
    <row r="397">
      <c r="A397" s="6" t="inlineStr">
        <is>
          <t>DJ30</t>
        </is>
      </c>
      <c r="B397" s="6" t="inlineStr">
        <is>
          <t>2023-03-31</t>
        </is>
      </c>
      <c r="C397" s="6" t="inlineStr">
        <is>
          <t>DIA</t>
        </is>
      </c>
      <c r="D397" s="6" t="inlineStr">
        <is>
          <t>PG</t>
        </is>
      </c>
      <c r="E397" s="6" t="inlineStr">
        <is>
          <t>PG</t>
        </is>
      </c>
      <c r="F397" s="6" t="inlineStr">
        <is>
          <t>-</t>
        </is>
      </c>
      <c r="G397" s="7" t="n">
        <v>136.7022094726562</v>
      </c>
      <c r="H397" s="6">
        <f>P366</f>
        <v/>
      </c>
      <c r="I397" s="9">
        <f>Q366</f>
        <v/>
      </c>
      <c r="J397" s="7">
        <f>I397*G397</f>
        <v/>
      </c>
      <c r="K397" s="8">
        <f>IF($J$404=0,0,J397/$J$404)</f>
        <v/>
      </c>
      <c r="L397" s="6" t="inlineStr">
        <is>
          <t>REJECTED</t>
        </is>
      </c>
      <c r="M397" s="8" t="n">
        <v>0</v>
      </c>
      <c r="N397" s="7">
        <f>M397*$J$404-J397</f>
        <v/>
      </c>
      <c r="O397" s="9">
        <f>IF(G397=0,0,N397/G397)</f>
        <v/>
      </c>
      <c r="P397" s="6">
        <f>IF(M397&gt;0,D397,"")</f>
        <v/>
      </c>
      <c r="Q397" s="9">
        <f>I397+O397</f>
        <v/>
      </c>
      <c r="R397" s="7">
        <f>Q397*G397</f>
        <v/>
      </c>
      <c r="S397" s="8">
        <f>IF($R$404=0,0,R397/$R$404)</f>
        <v/>
      </c>
      <c r="T397" s="8" t="n">
        <v>0</v>
      </c>
      <c r="U397" s="8" t="n">
        <v>0.03195600356738648</v>
      </c>
      <c r="V397" s="6" t="inlineStr">
        <is>
          <t>not selected</t>
        </is>
      </c>
    </row>
    <row r="398">
      <c r="A398" s="6" t="inlineStr">
        <is>
          <t>DJ30</t>
        </is>
      </c>
      <c r="B398" s="6" t="inlineStr">
        <is>
          <t>2023-03-31</t>
        </is>
      </c>
      <c r="C398" s="6" t="inlineStr">
        <is>
          <t>DIA</t>
        </is>
      </c>
      <c r="D398" s="6" t="inlineStr">
        <is>
          <t>SHW</t>
        </is>
      </c>
      <c r="E398" s="6" t="inlineStr">
        <is>
          <t>SHW</t>
        </is>
      </c>
      <c r="F398" s="6" t="inlineStr">
        <is>
          <t>-</t>
        </is>
      </c>
      <c r="G398" s="7" t="n">
        <v>218.3062133789062</v>
      </c>
      <c r="H398" s="6">
        <f>P367</f>
        <v/>
      </c>
      <c r="I398" s="9">
        <f>Q367</f>
        <v/>
      </c>
      <c r="J398" s="7">
        <f>I398*G398</f>
        <v/>
      </c>
      <c r="K398" s="8">
        <f>IF($J$404=0,0,J398/$J$404)</f>
        <v/>
      </c>
      <c r="L398" s="6" t="inlineStr">
        <is>
          <t>REJECTED</t>
        </is>
      </c>
      <c r="M398" s="8" t="n">
        <v>0</v>
      </c>
      <c r="N398" s="7">
        <f>M398*$J$404-J398</f>
        <v/>
      </c>
      <c r="O398" s="9">
        <f>IF(G398=0,0,N398/G398)</f>
        <v/>
      </c>
      <c r="P398" s="6">
        <f>IF(M398&gt;0,D398,"")</f>
        <v/>
      </c>
      <c r="Q398" s="9">
        <f>I398+O398</f>
        <v/>
      </c>
      <c r="R398" s="7">
        <f>Q398*G398</f>
        <v/>
      </c>
      <c r="S398" s="8">
        <f>IF($R$404=0,0,R398/$R$404)</f>
        <v/>
      </c>
      <c r="T398" s="8" t="n">
        <v>0</v>
      </c>
      <c r="U398" s="8" t="n">
        <v>0.03195600356738648</v>
      </c>
      <c r="V398" s="6" t="inlineStr">
        <is>
          <t>not selected</t>
        </is>
      </c>
    </row>
    <row r="399">
      <c r="A399" s="6" t="inlineStr">
        <is>
          <t>DJ30</t>
        </is>
      </c>
      <c r="B399" s="6" t="inlineStr">
        <is>
          <t>2023-03-31</t>
        </is>
      </c>
      <c r="C399" s="6" t="inlineStr">
        <is>
          <t>DIA</t>
        </is>
      </c>
      <c r="D399" s="6" t="inlineStr">
        <is>
          <t>TRV</t>
        </is>
      </c>
      <c r="E399" s="6" t="inlineStr">
        <is>
          <t>TRV</t>
        </is>
      </c>
      <c r="F399" s="6" t="inlineStr">
        <is>
          <t>-</t>
        </is>
      </c>
      <c r="G399" s="7" t="n">
        <v>161.5187683105469</v>
      </c>
      <c r="H399" s="6">
        <f>P368</f>
        <v/>
      </c>
      <c r="I399" s="9">
        <f>Q368</f>
        <v/>
      </c>
      <c r="J399" s="7">
        <f>I399*G399</f>
        <v/>
      </c>
      <c r="K399" s="8">
        <f>IF($J$404=0,0,J399/$J$404)</f>
        <v/>
      </c>
      <c r="L399" s="6" t="inlineStr">
        <is>
          <t>REJECTED</t>
        </is>
      </c>
      <c r="M399" s="8" t="n">
        <v>0</v>
      </c>
      <c r="N399" s="7">
        <f>M399*$J$404-J399</f>
        <v/>
      </c>
      <c r="O399" s="9">
        <f>IF(G399=0,0,N399/G399)</f>
        <v/>
      </c>
      <c r="P399" s="6">
        <f>IF(M399&gt;0,D399,"")</f>
        <v/>
      </c>
      <c r="Q399" s="9">
        <f>I399+O399</f>
        <v/>
      </c>
      <c r="R399" s="7">
        <f>Q399*G399</f>
        <v/>
      </c>
      <c r="S399" s="8">
        <f>IF($R$404=0,0,R399/$R$404)</f>
        <v/>
      </c>
      <c r="T399" s="8" t="n">
        <v>0</v>
      </c>
      <c r="U399" s="8" t="n">
        <v>0.03195600356738648</v>
      </c>
      <c r="V399" s="6" t="inlineStr">
        <is>
          <t>not selected</t>
        </is>
      </c>
    </row>
    <row r="400">
      <c r="A400" s="6" t="inlineStr">
        <is>
          <t>DJ30</t>
        </is>
      </c>
      <c r="B400" s="6" t="inlineStr">
        <is>
          <t>2023-03-31</t>
        </is>
      </c>
      <c r="C400" s="6" t="inlineStr">
        <is>
          <t>DIA</t>
        </is>
      </c>
      <c r="D400" s="6" t="inlineStr">
        <is>
          <t>UNH</t>
        </is>
      </c>
      <c r="E400" s="6" t="inlineStr">
        <is>
          <t>UNH</t>
        </is>
      </c>
      <c r="F400" s="6" t="inlineStr">
        <is>
          <t>-</t>
        </is>
      </c>
      <c r="G400" s="7" t="n">
        <v>442.9855651855469</v>
      </c>
      <c r="H400" s="6">
        <f>P369</f>
        <v/>
      </c>
      <c r="I400" s="9">
        <f>Q369</f>
        <v/>
      </c>
      <c r="J400" s="7">
        <f>I400*G400</f>
        <v/>
      </c>
      <c r="K400" s="8">
        <f>IF($J$404=0,0,J400/$J$404)</f>
        <v/>
      </c>
      <c r="L400" s="6" t="inlineStr">
        <is>
          <t>REJECTED</t>
        </is>
      </c>
      <c r="M400" s="8" t="n">
        <v>0</v>
      </c>
      <c r="N400" s="7">
        <f>M400*$J$404-J400</f>
        <v/>
      </c>
      <c r="O400" s="9">
        <f>IF(G400=0,0,N400/G400)</f>
        <v/>
      </c>
      <c r="P400" s="6">
        <f>IF(M400&gt;0,D400,"")</f>
        <v/>
      </c>
      <c r="Q400" s="9">
        <f>I400+O400</f>
        <v/>
      </c>
      <c r="R400" s="7">
        <f>Q400*G400</f>
        <v/>
      </c>
      <c r="S400" s="8">
        <f>IF($R$404=0,0,R400/$R$404)</f>
        <v/>
      </c>
      <c r="T400" s="8" t="n">
        <v>0</v>
      </c>
      <c r="U400" s="8" t="n">
        <v>0.03195600356738648</v>
      </c>
      <c r="V400" s="6" t="inlineStr">
        <is>
          <t>not selected</t>
        </is>
      </c>
    </row>
    <row r="401">
      <c r="A401" s="6" t="inlineStr">
        <is>
          <t>DJ30</t>
        </is>
      </c>
      <c r="B401" s="6" t="inlineStr">
        <is>
          <t>2023-03-31</t>
        </is>
      </c>
      <c r="C401" s="6" t="inlineStr">
        <is>
          <t>DIA</t>
        </is>
      </c>
      <c r="D401" s="6" t="inlineStr">
        <is>
          <t>V</t>
        </is>
      </c>
      <c r="E401" s="6" t="inlineStr">
        <is>
          <t>V</t>
        </is>
      </c>
      <c r="F401" s="6" t="inlineStr">
        <is>
          <t>-</t>
        </is>
      </c>
      <c r="G401" s="7" t="n">
        <v>219.9426574707031</v>
      </c>
      <c r="H401" s="6">
        <f>P370</f>
        <v/>
      </c>
      <c r="I401" s="9">
        <f>Q370</f>
        <v/>
      </c>
      <c r="J401" s="7">
        <f>I401*G401</f>
        <v/>
      </c>
      <c r="K401" s="8">
        <f>IF($J$404=0,0,J401/$J$404)</f>
        <v/>
      </c>
      <c r="L401" s="6" t="inlineStr">
        <is>
          <t>REJECTED</t>
        </is>
      </c>
      <c r="M401" s="8" t="n">
        <v>0</v>
      </c>
      <c r="N401" s="7">
        <f>M401*$J$404-J401</f>
        <v/>
      </c>
      <c r="O401" s="9">
        <f>IF(G401=0,0,N401/G401)</f>
        <v/>
      </c>
      <c r="P401" s="6">
        <f>IF(M401&gt;0,D401,"")</f>
        <v/>
      </c>
      <c r="Q401" s="9">
        <f>I401+O401</f>
        <v/>
      </c>
      <c r="R401" s="7">
        <f>Q401*G401</f>
        <v/>
      </c>
      <c r="S401" s="8">
        <f>IF($R$404=0,0,R401/$R$404)</f>
        <v/>
      </c>
      <c r="T401" s="8" t="n">
        <v>0</v>
      </c>
      <c r="U401" s="8" t="n">
        <v>0.03195600356738648</v>
      </c>
      <c r="V401" s="6" t="inlineStr">
        <is>
          <t>not selected</t>
        </is>
      </c>
    </row>
    <row r="402">
      <c r="A402" s="6" t="inlineStr">
        <is>
          <t>DJ30</t>
        </is>
      </c>
      <c r="B402" s="6" t="inlineStr">
        <is>
          <t>2023-03-31</t>
        </is>
      </c>
      <c r="C402" s="6" t="inlineStr">
        <is>
          <t>DIA</t>
        </is>
      </c>
      <c r="D402" s="6" t="inlineStr">
        <is>
          <t>VZ</t>
        </is>
      </c>
      <c r="E402" s="6" t="inlineStr">
        <is>
          <t>VZ</t>
        </is>
      </c>
      <c r="F402" s="6" t="inlineStr">
        <is>
          <t>-</t>
        </is>
      </c>
      <c r="G402" s="7" t="n">
        <v>31.2568244934082</v>
      </c>
      <c r="H402" s="6">
        <f>P371</f>
        <v/>
      </c>
      <c r="I402" s="9">
        <f>Q371</f>
        <v/>
      </c>
      <c r="J402" s="7">
        <f>I402*G402</f>
        <v/>
      </c>
      <c r="K402" s="8">
        <f>IF($J$404=0,0,J402/$J$404)</f>
        <v/>
      </c>
      <c r="L402" s="6" t="inlineStr">
        <is>
          <t>REJECTED</t>
        </is>
      </c>
      <c r="M402" s="8" t="n">
        <v>0</v>
      </c>
      <c r="N402" s="7">
        <f>M402*$J$404-J402</f>
        <v/>
      </c>
      <c r="O402" s="9">
        <f>IF(G402=0,0,N402/G402)</f>
        <v/>
      </c>
      <c r="P402" s="6">
        <f>IF(M402&gt;0,D402,"")</f>
        <v/>
      </c>
      <c r="Q402" s="9">
        <f>I402+O402</f>
        <v/>
      </c>
      <c r="R402" s="7">
        <f>Q402*G402</f>
        <v/>
      </c>
      <c r="S402" s="8">
        <f>IF($R$404=0,0,R402/$R$404)</f>
        <v/>
      </c>
      <c r="T402" s="8" t="n">
        <v>0</v>
      </c>
      <c r="U402" s="8" t="n">
        <v>0.03195600356738648</v>
      </c>
      <c r="V402" s="6" t="inlineStr">
        <is>
          <t>not selected</t>
        </is>
      </c>
    </row>
    <row r="403">
      <c r="A403" s="6" t="inlineStr">
        <is>
          <t>DJ30</t>
        </is>
      </c>
      <c r="B403" s="6" t="inlineStr">
        <is>
          <t>2023-03-31</t>
        </is>
      </c>
      <c r="C403" s="6" t="inlineStr">
        <is>
          <t>DIA</t>
        </is>
      </c>
      <c r="D403" s="6" t="inlineStr">
        <is>
          <t>WMT</t>
        </is>
      </c>
      <c r="E403" s="6" t="inlineStr">
        <is>
          <t>WMT</t>
        </is>
      </c>
      <c r="F403" s="6" t="inlineStr">
        <is>
          <t>-</t>
        </is>
      </c>
      <c r="G403" s="7" t="n">
        <v>47.39095306396485</v>
      </c>
      <c r="H403" s="6">
        <f>P372</f>
        <v/>
      </c>
      <c r="I403" s="9">
        <f>Q372</f>
        <v/>
      </c>
      <c r="J403" s="7">
        <f>I403*G403</f>
        <v/>
      </c>
      <c r="K403" s="8">
        <f>IF($J$404=0,0,J403/$J$404)</f>
        <v/>
      </c>
      <c r="L403" s="6" t="inlineStr">
        <is>
          <t>REJECTED</t>
        </is>
      </c>
      <c r="M403" s="8" t="n">
        <v>0</v>
      </c>
      <c r="N403" s="7">
        <f>M403*$J$404-J403</f>
        <v/>
      </c>
      <c r="O403" s="9">
        <f>IF(G403=0,0,N403/G403)</f>
        <v/>
      </c>
      <c r="P403" s="6">
        <f>IF(M403&gt;0,D403,"")</f>
        <v/>
      </c>
      <c r="Q403" s="9">
        <f>I403+O403</f>
        <v/>
      </c>
      <c r="R403" s="7">
        <f>Q403*G403</f>
        <v/>
      </c>
      <c r="S403" s="8">
        <f>IF($R$404=0,0,R403/$R$404)</f>
        <v/>
      </c>
      <c r="T403" s="8" t="n">
        <v>0</v>
      </c>
      <c r="U403" s="8" t="n">
        <v>0.03195600356738648</v>
      </c>
      <c r="V403" s="6" t="inlineStr">
        <is>
          <t>not selected</t>
        </is>
      </c>
    </row>
    <row r="404">
      <c r="A404" s="10" t="inlineStr">
        <is>
          <t>DJ30</t>
        </is>
      </c>
      <c r="B404" s="10" t="inlineStr">
        <is>
          <t>2023-03-31</t>
        </is>
      </c>
      <c r="C404" s="10" t="inlineStr">
        <is>
          <t>DIA</t>
        </is>
      </c>
      <c r="D404" s="10" t="inlineStr">
        <is>
          <t>Tot Portfolio</t>
        </is>
      </c>
      <c r="E404" s="10" t="inlineStr"/>
      <c r="F404" s="10" t="inlineStr"/>
      <c r="G404" s="11" t="inlineStr"/>
      <c r="H404" s="10" t="inlineStr"/>
      <c r="I404" s="12" t="inlineStr"/>
      <c r="J404" s="11">
        <f>SUM(J374:J403)</f>
        <v/>
      </c>
      <c r="K404" s="13">
        <f>SUM(K374:K403)</f>
        <v/>
      </c>
      <c r="L404" s="10" t="inlineStr">
        <is>
          <t>TOTAL</t>
        </is>
      </c>
      <c r="M404" s="13">
        <f>SUM(M374:M403)</f>
        <v/>
      </c>
      <c r="N404" s="11">
        <f>SUM(N374:N403)</f>
        <v/>
      </c>
      <c r="O404" s="12">
        <f>SUM(O374:O403)</f>
        <v/>
      </c>
      <c r="P404" s="10" t="inlineStr"/>
      <c r="Q404" s="12" t="inlineStr"/>
      <c r="R404" s="11">
        <f>SUM(R374:R403)</f>
        <v/>
      </c>
      <c r="S404" s="13">
        <f>SUM(S374:S403)</f>
        <v/>
      </c>
      <c r="T404" s="13" t="n">
        <v>0</v>
      </c>
      <c r="U404" s="13" t="n">
        <v>0.03195600356738648</v>
      </c>
      <c r="V404" s="10" t="inlineStr"/>
    </row>
    <row r="405">
      <c r="A405" s="6" t="inlineStr">
        <is>
          <t>DJ30</t>
        </is>
      </c>
      <c r="B405" s="6" t="inlineStr">
        <is>
          <t>2023-04-07</t>
        </is>
      </c>
      <c r="C405" s="6" t="inlineStr">
        <is>
          <t>DIA</t>
        </is>
      </c>
      <c r="D405" s="6" t="inlineStr">
        <is>
          <t>AAPL</t>
        </is>
      </c>
      <c r="E405" s="6" t="inlineStr">
        <is>
          <t>AAPL</t>
        </is>
      </c>
      <c r="F405" s="6" t="inlineStr">
        <is>
          <t>-</t>
        </is>
      </c>
      <c r="G405" s="7" t="n">
        <v>162.1592102050781</v>
      </c>
      <c r="H405" s="6">
        <f>P374</f>
        <v/>
      </c>
      <c r="I405" s="9">
        <f>Q374</f>
        <v/>
      </c>
      <c r="J405" s="7">
        <f>I405*G405</f>
        <v/>
      </c>
      <c r="K405" s="8">
        <f>IF($J$435=0,0,J405/$J$435)</f>
        <v/>
      </c>
      <c r="L405" s="6" t="inlineStr">
        <is>
          <t>REJECTED</t>
        </is>
      </c>
      <c r="M405" s="8" t="n">
        <v>0</v>
      </c>
      <c r="N405" s="7">
        <f>M405*$J$435-J405</f>
        <v/>
      </c>
      <c r="O405" s="9">
        <f>IF(G405=0,0,N405/G405)</f>
        <v/>
      </c>
      <c r="P405" s="6">
        <f>IF(M405&gt;0,D405,"")</f>
        <v/>
      </c>
      <c r="Q405" s="9">
        <f>I405+O405</f>
        <v/>
      </c>
      <c r="R405" s="7">
        <f>Q405*G405</f>
        <v/>
      </c>
      <c r="S405" s="8">
        <f>IF($R$435=0,0,R405/$R$435)</f>
        <v/>
      </c>
      <c r="T405" s="8" t="n">
        <v>0</v>
      </c>
      <c r="U405" s="8" t="n">
        <v>0.006854345876768919</v>
      </c>
      <c r="V405" s="6" t="inlineStr">
        <is>
          <t>not selected</t>
        </is>
      </c>
    </row>
    <row r="406">
      <c r="A406" s="6" t="inlineStr">
        <is>
          <t>DJ30</t>
        </is>
      </c>
      <c r="B406" s="6" t="inlineStr">
        <is>
          <t>2023-04-07</t>
        </is>
      </c>
      <c r="C406" s="6" t="inlineStr">
        <is>
          <t>DIA</t>
        </is>
      </c>
      <c r="D406" s="6" t="inlineStr">
        <is>
          <t>AMGN</t>
        </is>
      </c>
      <c r="E406" s="6" t="inlineStr">
        <is>
          <t>AMGN</t>
        </is>
      </c>
      <c r="F406" s="6" t="inlineStr">
        <is>
          <t>-</t>
        </is>
      </c>
      <c r="G406" s="7" t="n">
        <v>228.8650970458984</v>
      </c>
      <c r="H406" s="6">
        <f>P375</f>
        <v/>
      </c>
      <c r="I406" s="9">
        <f>Q375</f>
        <v/>
      </c>
      <c r="J406" s="7">
        <f>I406*G406</f>
        <v/>
      </c>
      <c r="K406" s="8">
        <f>IF($J$435=0,0,J406/$J$435)</f>
        <v/>
      </c>
      <c r="L406" s="6" t="inlineStr">
        <is>
          <t>REJECTED</t>
        </is>
      </c>
      <c r="M406" s="8" t="n">
        <v>0</v>
      </c>
      <c r="N406" s="7">
        <f>M406*$J$435-J406</f>
        <v/>
      </c>
      <c r="O406" s="9">
        <f>IF(G406=0,0,N406/G406)</f>
        <v/>
      </c>
      <c r="P406" s="6">
        <f>IF(M406&gt;0,D406,"")</f>
        <v/>
      </c>
      <c r="Q406" s="9">
        <f>I406+O406</f>
        <v/>
      </c>
      <c r="R406" s="7">
        <f>Q406*G406</f>
        <v/>
      </c>
      <c r="S406" s="8">
        <f>IF($R$435=0,0,R406/$R$435)</f>
        <v/>
      </c>
      <c r="T406" s="8" t="n">
        <v>0</v>
      </c>
      <c r="U406" s="8" t="n">
        <v>0.006854345876768919</v>
      </c>
      <c r="V406" s="6" t="inlineStr">
        <is>
          <t>not selected</t>
        </is>
      </c>
    </row>
    <row r="407">
      <c r="A407" s="6" t="inlineStr">
        <is>
          <t>DJ30</t>
        </is>
      </c>
      <c r="B407" s="6" t="inlineStr">
        <is>
          <t>2023-04-07</t>
        </is>
      </c>
      <c r="C407" s="6" t="inlineStr">
        <is>
          <t>DIA</t>
        </is>
      </c>
      <c r="D407" s="6" t="inlineStr">
        <is>
          <t>AMZN</t>
        </is>
      </c>
      <c r="E407" s="6" t="inlineStr">
        <is>
          <t>AMZN</t>
        </is>
      </c>
      <c r="F407" s="6" t="inlineStr">
        <is>
          <t>-</t>
        </is>
      </c>
      <c r="G407" s="7" t="n">
        <v>102.0599975585938</v>
      </c>
      <c r="H407" s="6">
        <f>P376</f>
        <v/>
      </c>
      <c r="I407" s="9">
        <f>Q376</f>
        <v/>
      </c>
      <c r="J407" s="7">
        <f>I407*G407</f>
        <v/>
      </c>
      <c r="K407" s="8">
        <f>IF($J$435=0,0,J407/$J$435)</f>
        <v/>
      </c>
      <c r="L407" s="6" t="inlineStr">
        <is>
          <t>REJECTED</t>
        </is>
      </c>
      <c r="M407" s="8" t="n">
        <v>0</v>
      </c>
      <c r="N407" s="7">
        <f>M407*$J$435-J407</f>
        <v/>
      </c>
      <c r="O407" s="9">
        <f>IF(G407=0,0,N407/G407)</f>
        <v/>
      </c>
      <c r="P407" s="6">
        <f>IF(M407&gt;0,D407,"")</f>
        <v/>
      </c>
      <c r="Q407" s="9">
        <f>I407+O407</f>
        <v/>
      </c>
      <c r="R407" s="7">
        <f>Q407*G407</f>
        <v/>
      </c>
      <c r="S407" s="8">
        <f>IF($R$435=0,0,R407/$R$435)</f>
        <v/>
      </c>
      <c r="T407" s="8" t="n">
        <v>0</v>
      </c>
      <c r="U407" s="8" t="n">
        <v>0.006854345876768919</v>
      </c>
      <c r="V407" s="6" t="inlineStr">
        <is>
          <t>not selected</t>
        </is>
      </c>
    </row>
    <row r="408">
      <c r="A408" s="6" t="inlineStr">
        <is>
          <t>DJ30</t>
        </is>
      </c>
      <c r="B408" s="6" t="inlineStr">
        <is>
          <t>2023-04-07</t>
        </is>
      </c>
      <c r="C408" s="6" t="inlineStr">
        <is>
          <t>DIA</t>
        </is>
      </c>
      <c r="D408" s="6" t="inlineStr">
        <is>
          <t>AXP</t>
        </is>
      </c>
      <c r="E408" s="6" t="inlineStr">
        <is>
          <t>AXP</t>
        </is>
      </c>
      <c r="F408" s="6" t="inlineStr">
        <is>
          <t>-</t>
        </is>
      </c>
      <c r="G408" s="7" t="n">
        <v>153.2879333496094</v>
      </c>
      <c r="H408" s="6">
        <f>P377</f>
        <v/>
      </c>
      <c r="I408" s="9">
        <f>Q377</f>
        <v/>
      </c>
      <c r="J408" s="7">
        <f>I408*G408</f>
        <v/>
      </c>
      <c r="K408" s="8">
        <f>IF($J$435=0,0,J408/$J$435)</f>
        <v/>
      </c>
      <c r="L408" s="6" t="inlineStr">
        <is>
          <t>REJECTED</t>
        </is>
      </c>
      <c r="M408" s="8" t="n">
        <v>0</v>
      </c>
      <c r="N408" s="7">
        <f>M408*$J$435-J408</f>
        <v/>
      </c>
      <c r="O408" s="9">
        <f>IF(G408=0,0,N408/G408)</f>
        <v/>
      </c>
      <c r="P408" s="6">
        <f>IF(M408&gt;0,D408,"")</f>
        <v/>
      </c>
      <c r="Q408" s="9">
        <f>I408+O408</f>
        <v/>
      </c>
      <c r="R408" s="7">
        <f>Q408*G408</f>
        <v/>
      </c>
      <c r="S408" s="8">
        <f>IF($R$435=0,0,R408/$R$435)</f>
        <v/>
      </c>
      <c r="T408" s="8" t="n">
        <v>0</v>
      </c>
      <c r="U408" s="8" t="n">
        <v>0.006854345876768919</v>
      </c>
      <c r="V408" s="6" t="inlineStr">
        <is>
          <t>not selected</t>
        </is>
      </c>
    </row>
    <row r="409">
      <c r="A409" s="6" t="inlineStr">
        <is>
          <t>DJ30</t>
        </is>
      </c>
      <c r="B409" s="6" t="inlineStr">
        <is>
          <t>2023-04-07</t>
        </is>
      </c>
      <c r="C409" s="6" t="inlineStr">
        <is>
          <t>DIA</t>
        </is>
      </c>
      <c r="D409" s="6" t="inlineStr">
        <is>
          <t>BA</t>
        </is>
      </c>
      <c r="E409" s="6" t="inlineStr">
        <is>
          <t>BA</t>
        </is>
      </c>
      <c r="F409" s="6" t="inlineStr">
        <is>
          <t>-</t>
        </is>
      </c>
      <c r="G409" s="7" t="n">
        <v>211.3699951171875</v>
      </c>
      <c r="H409" s="6">
        <f>P378</f>
        <v/>
      </c>
      <c r="I409" s="9">
        <f>Q378</f>
        <v/>
      </c>
      <c r="J409" s="7">
        <f>I409*G409</f>
        <v/>
      </c>
      <c r="K409" s="8">
        <f>IF($J$435=0,0,J409/$J$435)</f>
        <v/>
      </c>
      <c r="L409" s="6" t="inlineStr">
        <is>
          <t>REJECTED</t>
        </is>
      </c>
      <c r="M409" s="8" t="n">
        <v>0</v>
      </c>
      <c r="N409" s="7">
        <f>M409*$J$435-J409</f>
        <v/>
      </c>
      <c r="O409" s="9">
        <f>IF(G409=0,0,N409/G409)</f>
        <v/>
      </c>
      <c r="P409" s="6">
        <f>IF(M409&gt;0,D409,"")</f>
        <v/>
      </c>
      <c r="Q409" s="9">
        <f>I409+O409</f>
        <v/>
      </c>
      <c r="R409" s="7">
        <f>Q409*G409</f>
        <v/>
      </c>
      <c r="S409" s="8">
        <f>IF($R$435=0,0,R409/$R$435)</f>
        <v/>
      </c>
      <c r="T409" s="8" t="n">
        <v>0</v>
      </c>
      <c r="U409" s="8" t="n">
        <v>0.006854345876768919</v>
      </c>
      <c r="V409" s="6" t="inlineStr">
        <is>
          <t>not selected</t>
        </is>
      </c>
    </row>
    <row r="410">
      <c r="A410" s="6" t="inlineStr">
        <is>
          <t>DJ30</t>
        </is>
      </c>
      <c r="B410" s="6" t="inlineStr">
        <is>
          <t>2023-04-07</t>
        </is>
      </c>
      <c r="C410" s="6" t="inlineStr">
        <is>
          <t>DIA</t>
        </is>
      </c>
      <c r="D410" s="6" t="inlineStr">
        <is>
          <t>CAT</t>
        </is>
      </c>
      <c r="E410" s="6" t="inlineStr">
        <is>
          <t>CAT</t>
        </is>
      </c>
      <c r="F410" s="6" t="inlineStr">
        <is>
          <t>-</t>
        </is>
      </c>
      <c r="G410" s="7" t="n">
        <v>198.8401336669922</v>
      </c>
      <c r="H410" s="6">
        <f>P379</f>
        <v/>
      </c>
      <c r="I410" s="9">
        <f>Q379</f>
        <v/>
      </c>
      <c r="J410" s="7">
        <f>I410*G410</f>
        <v/>
      </c>
      <c r="K410" s="8">
        <f>IF($J$435=0,0,J410/$J$435)</f>
        <v/>
      </c>
      <c r="L410" s="6" t="inlineStr">
        <is>
          <t>REJECTED</t>
        </is>
      </c>
      <c r="M410" s="8" t="n">
        <v>0</v>
      </c>
      <c r="N410" s="7">
        <f>M410*$J$435-J410</f>
        <v/>
      </c>
      <c r="O410" s="9">
        <f>IF(G410=0,0,N410/G410)</f>
        <v/>
      </c>
      <c r="P410" s="6">
        <f>IF(M410&gt;0,D410,"")</f>
        <v/>
      </c>
      <c r="Q410" s="9">
        <f>I410+O410</f>
        <v/>
      </c>
      <c r="R410" s="7">
        <f>Q410*G410</f>
        <v/>
      </c>
      <c r="S410" s="8">
        <f>IF($R$435=0,0,R410/$R$435)</f>
        <v/>
      </c>
      <c r="T410" s="8" t="n">
        <v>0</v>
      </c>
      <c r="U410" s="8" t="n">
        <v>0.006854345876768919</v>
      </c>
      <c r="V410" s="6" t="inlineStr">
        <is>
          <t>not selected</t>
        </is>
      </c>
    </row>
    <row r="411">
      <c r="A411" s="6" t="inlineStr">
        <is>
          <t>DJ30</t>
        </is>
      </c>
      <c r="B411" s="6" t="inlineStr">
        <is>
          <t>2023-04-07</t>
        </is>
      </c>
      <c r="C411" s="6" t="inlineStr">
        <is>
          <t>DIA</t>
        </is>
      </c>
      <c r="D411" s="6" t="inlineStr">
        <is>
          <t>CRM</t>
        </is>
      </c>
      <c r="E411" s="6" t="inlineStr">
        <is>
          <t>CRM</t>
        </is>
      </c>
      <c r="F411" s="6" t="inlineStr">
        <is>
          <t>-</t>
        </is>
      </c>
      <c r="G411" s="7" t="n">
        <v>189.2754364013672</v>
      </c>
      <c r="H411" s="6">
        <f>P380</f>
        <v/>
      </c>
      <c r="I411" s="9">
        <f>Q380</f>
        <v/>
      </c>
      <c r="J411" s="7">
        <f>I411*G411</f>
        <v/>
      </c>
      <c r="K411" s="8">
        <f>IF($J$435=0,0,J411/$J$435)</f>
        <v/>
      </c>
      <c r="L411" s="6" t="inlineStr">
        <is>
          <t>REJECTED</t>
        </is>
      </c>
      <c r="M411" s="8" t="n">
        <v>0</v>
      </c>
      <c r="N411" s="7">
        <f>M411*$J$435-J411</f>
        <v/>
      </c>
      <c r="O411" s="9">
        <f>IF(G411=0,0,N411/G411)</f>
        <v/>
      </c>
      <c r="P411" s="6">
        <f>IF(M411&gt;0,D411,"")</f>
        <v/>
      </c>
      <c r="Q411" s="9">
        <f>I411+O411</f>
        <v/>
      </c>
      <c r="R411" s="7">
        <f>Q411*G411</f>
        <v/>
      </c>
      <c r="S411" s="8">
        <f>IF($R$435=0,0,R411/$R$435)</f>
        <v/>
      </c>
      <c r="T411" s="8" t="n">
        <v>0</v>
      </c>
      <c r="U411" s="8" t="n">
        <v>0.006854345876768919</v>
      </c>
      <c r="V411" s="6" t="inlineStr">
        <is>
          <t>not selected</t>
        </is>
      </c>
    </row>
    <row r="412">
      <c r="A412" s="6" t="inlineStr">
        <is>
          <t>DJ30</t>
        </is>
      </c>
      <c r="B412" s="6" t="inlineStr">
        <is>
          <t>2023-04-07</t>
        </is>
      </c>
      <c r="C412" s="6" t="inlineStr">
        <is>
          <t>DIA</t>
        </is>
      </c>
      <c r="D412" s="6" t="inlineStr">
        <is>
          <t>CSCO</t>
        </is>
      </c>
      <c r="E412" s="6" t="inlineStr">
        <is>
          <t>CSCO</t>
        </is>
      </c>
      <c r="F412" s="6" t="inlineStr">
        <is>
          <t>-</t>
        </is>
      </c>
      <c r="G412" s="7" t="n">
        <v>47.18712615966797</v>
      </c>
      <c r="H412" s="6">
        <f>P381</f>
        <v/>
      </c>
      <c r="I412" s="9">
        <f>Q381</f>
        <v/>
      </c>
      <c r="J412" s="7">
        <f>I412*G412</f>
        <v/>
      </c>
      <c r="K412" s="8">
        <f>IF($J$435=0,0,J412/$J$435)</f>
        <v/>
      </c>
      <c r="L412" s="6" t="inlineStr">
        <is>
          <t>REJECTED</t>
        </is>
      </c>
      <c r="M412" s="8" t="n">
        <v>0</v>
      </c>
      <c r="N412" s="7">
        <f>M412*$J$435-J412</f>
        <v/>
      </c>
      <c r="O412" s="9">
        <f>IF(G412=0,0,N412/G412)</f>
        <v/>
      </c>
      <c r="P412" s="6">
        <f>IF(M412&gt;0,D412,"")</f>
        <v/>
      </c>
      <c r="Q412" s="9">
        <f>I412+O412</f>
        <v/>
      </c>
      <c r="R412" s="7">
        <f>Q412*G412</f>
        <v/>
      </c>
      <c r="S412" s="8">
        <f>IF($R$435=0,0,R412/$R$435)</f>
        <v/>
      </c>
      <c r="T412" s="8" t="n">
        <v>0</v>
      </c>
      <c r="U412" s="8" t="n">
        <v>0.006854345876768919</v>
      </c>
      <c r="V412" s="6" t="inlineStr">
        <is>
          <t>not selected</t>
        </is>
      </c>
    </row>
    <row r="413">
      <c r="A413" s="6" t="inlineStr">
        <is>
          <t>DJ30</t>
        </is>
      </c>
      <c r="B413" s="6" t="inlineStr">
        <is>
          <t>2023-04-07</t>
        </is>
      </c>
      <c r="C413" s="6" t="inlineStr">
        <is>
          <t>DIA</t>
        </is>
      </c>
      <c r="D413" s="6" t="inlineStr">
        <is>
          <t>CVX</t>
        </is>
      </c>
      <c r="E413" s="6" t="inlineStr">
        <is>
          <t>CVX</t>
        </is>
      </c>
      <c r="F413" s="6" t="inlineStr">
        <is>
          <t>-</t>
        </is>
      </c>
      <c r="G413" s="7" t="n">
        <v>146.3199157714844</v>
      </c>
      <c r="H413" s="6">
        <f>P382</f>
        <v/>
      </c>
      <c r="I413" s="9">
        <f>Q382</f>
        <v/>
      </c>
      <c r="J413" s="7">
        <f>I413*G413</f>
        <v/>
      </c>
      <c r="K413" s="8">
        <f>IF($J$435=0,0,J413/$J$435)</f>
        <v/>
      </c>
      <c r="L413" s="6" t="inlineStr">
        <is>
          <t>REJECTED</t>
        </is>
      </c>
      <c r="M413" s="8" t="n">
        <v>0</v>
      </c>
      <c r="N413" s="7">
        <f>M413*$J$435-J413</f>
        <v/>
      </c>
      <c r="O413" s="9">
        <f>IF(G413=0,0,N413/G413)</f>
        <v/>
      </c>
      <c r="P413" s="6">
        <f>IF(M413&gt;0,D413,"")</f>
        <v/>
      </c>
      <c r="Q413" s="9">
        <f>I413+O413</f>
        <v/>
      </c>
      <c r="R413" s="7">
        <f>Q413*G413</f>
        <v/>
      </c>
      <c r="S413" s="8">
        <f>IF($R$435=0,0,R413/$R$435)</f>
        <v/>
      </c>
      <c r="T413" s="8" t="n">
        <v>0</v>
      </c>
      <c r="U413" s="8" t="n">
        <v>0.006854345876768919</v>
      </c>
      <c r="V413" s="6" t="inlineStr">
        <is>
          <t>not selected</t>
        </is>
      </c>
    </row>
    <row r="414">
      <c r="A414" s="6" t="inlineStr">
        <is>
          <t>DJ30</t>
        </is>
      </c>
      <c r="B414" s="6" t="inlineStr">
        <is>
          <t>2023-04-07</t>
        </is>
      </c>
      <c r="C414" s="6" t="inlineStr">
        <is>
          <t>DIA</t>
        </is>
      </c>
      <c r="D414" s="6" t="inlineStr">
        <is>
          <t>DIS</t>
        </is>
      </c>
      <c r="E414" s="6" t="inlineStr">
        <is>
          <t>DIS</t>
        </is>
      </c>
      <c r="F414" s="6" t="inlineStr">
        <is>
          <t>-</t>
        </is>
      </c>
      <c r="G414" s="7" t="n">
        <v>97.66993713378906</v>
      </c>
      <c r="H414" s="6">
        <f>P383</f>
        <v/>
      </c>
      <c r="I414" s="9">
        <f>Q383</f>
        <v/>
      </c>
      <c r="J414" s="7">
        <f>I414*G414</f>
        <v/>
      </c>
      <c r="K414" s="8">
        <f>IF($J$435=0,0,J414/$J$435)</f>
        <v/>
      </c>
      <c r="L414" s="6" t="inlineStr">
        <is>
          <t>REJECTED</t>
        </is>
      </c>
      <c r="M414" s="8" t="n">
        <v>0</v>
      </c>
      <c r="N414" s="7">
        <f>M414*$J$435-J414</f>
        <v/>
      </c>
      <c r="O414" s="9">
        <f>IF(G414=0,0,N414/G414)</f>
        <v/>
      </c>
      <c r="P414" s="6">
        <f>IF(M414&gt;0,D414,"")</f>
        <v/>
      </c>
      <c r="Q414" s="9">
        <f>I414+O414</f>
        <v/>
      </c>
      <c r="R414" s="7">
        <f>Q414*G414</f>
        <v/>
      </c>
      <c r="S414" s="8">
        <f>IF($R$435=0,0,R414/$R$435)</f>
        <v/>
      </c>
      <c r="T414" s="8" t="n">
        <v>0</v>
      </c>
      <c r="U414" s="8" t="n">
        <v>0.006854345876768919</v>
      </c>
      <c r="V414" s="6" t="inlineStr">
        <is>
          <t>not selected</t>
        </is>
      </c>
    </row>
    <row r="415">
      <c r="A415" s="6" t="inlineStr">
        <is>
          <t>DJ30</t>
        </is>
      </c>
      <c r="B415" s="6" t="inlineStr">
        <is>
          <t>2023-04-07</t>
        </is>
      </c>
      <c r="C415" s="6" t="inlineStr">
        <is>
          <t>DIA</t>
        </is>
      </c>
      <c r="D415" s="6" t="inlineStr">
        <is>
          <t>GS</t>
        </is>
      </c>
      <c r="E415" s="6" t="inlineStr">
        <is>
          <t>GS</t>
        </is>
      </c>
      <c r="F415" s="6" t="inlineStr">
        <is>
          <t>-</t>
        </is>
      </c>
      <c r="G415" s="7" t="n">
        <v>298.2527465820312</v>
      </c>
      <c r="H415" s="6">
        <f>P384</f>
        <v/>
      </c>
      <c r="I415" s="9">
        <f>Q384</f>
        <v/>
      </c>
      <c r="J415" s="7">
        <f>I415*G415</f>
        <v/>
      </c>
      <c r="K415" s="8">
        <f>IF($J$435=0,0,J415/$J$435)</f>
        <v/>
      </c>
      <c r="L415" s="6" t="inlineStr">
        <is>
          <t>REJECTED</t>
        </is>
      </c>
      <c r="M415" s="8" t="n">
        <v>0</v>
      </c>
      <c r="N415" s="7">
        <f>M415*$J$435-J415</f>
        <v/>
      </c>
      <c r="O415" s="9">
        <f>IF(G415=0,0,N415/G415)</f>
        <v/>
      </c>
      <c r="P415" s="6">
        <f>IF(M415&gt;0,D415,"")</f>
        <v/>
      </c>
      <c r="Q415" s="9">
        <f>I415+O415</f>
        <v/>
      </c>
      <c r="R415" s="7">
        <f>Q415*G415</f>
        <v/>
      </c>
      <c r="S415" s="8">
        <f>IF($R$435=0,0,R415/$R$435)</f>
        <v/>
      </c>
      <c r="T415" s="8" t="n">
        <v>0</v>
      </c>
      <c r="U415" s="8" t="n">
        <v>0.006854345876768919</v>
      </c>
      <c r="V415" s="6" t="inlineStr">
        <is>
          <t>not selected</t>
        </is>
      </c>
    </row>
    <row r="416">
      <c r="A416" s="6" t="inlineStr">
        <is>
          <t>DJ30</t>
        </is>
      </c>
      <c r="B416" s="6" t="inlineStr">
        <is>
          <t>2023-04-07</t>
        </is>
      </c>
      <c r="C416" s="6" t="inlineStr">
        <is>
          <t>DIA</t>
        </is>
      </c>
      <c r="D416" s="6" t="inlineStr">
        <is>
          <t>HD</t>
        </is>
      </c>
      <c r="E416" s="6" t="inlineStr">
        <is>
          <t>HD</t>
        </is>
      </c>
      <c r="F416" s="6" t="inlineStr">
        <is>
          <t>-</t>
        </is>
      </c>
      <c r="G416" s="7" t="n">
        <v>265.5717468261719</v>
      </c>
      <c r="H416" s="6">
        <f>P385</f>
        <v/>
      </c>
      <c r="I416" s="9">
        <f>Q385</f>
        <v/>
      </c>
      <c r="J416" s="7">
        <f>I416*G416</f>
        <v/>
      </c>
      <c r="K416" s="8">
        <f>IF($J$435=0,0,J416/$J$435)</f>
        <v/>
      </c>
      <c r="L416" s="6" t="inlineStr">
        <is>
          <t>REJECTED</t>
        </is>
      </c>
      <c r="M416" s="8" t="n">
        <v>0</v>
      </c>
      <c r="N416" s="7">
        <f>M416*$J$435-J416</f>
        <v/>
      </c>
      <c r="O416" s="9">
        <f>IF(G416=0,0,N416/G416)</f>
        <v/>
      </c>
      <c r="P416" s="6">
        <f>IF(M416&gt;0,D416,"")</f>
        <v/>
      </c>
      <c r="Q416" s="9">
        <f>I416+O416</f>
        <v/>
      </c>
      <c r="R416" s="7">
        <f>Q416*G416</f>
        <v/>
      </c>
      <c r="S416" s="8">
        <f>IF($R$435=0,0,R416/$R$435)</f>
        <v/>
      </c>
      <c r="T416" s="8" t="n">
        <v>0</v>
      </c>
      <c r="U416" s="8" t="n">
        <v>0.006854345876768919</v>
      </c>
      <c r="V416" s="6" t="inlineStr">
        <is>
          <t>not selected</t>
        </is>
      </c>
    </row>
    <row r="417">
      <c r="A417" s="6" t="inlineStr">
        <is>
          <t>DJ30</t>
        </is>
      </c>
      <c r="B417" s="6" t="inlineStr">
        <is>
          <t>2023-04-07</t>
        </is>
      </c>
      <c r="C417" s="6" t="inlineStr">
        <is>
          <t>DIA</t>
        </is>
      </c>
      <c r="D417" s="6" t="inlineStr">
        <is>
          <t>HON</t>
        </is>
      </c>
      <c r="E417" s="6" t="inlineStr">
        <is>
          <t>HON</t>
        </is>
      </c>
      <c r="F417" s="6" t="inlineStr">
        <is>
          <t>-</t>
        </is>
      </c>
      <c r="G417" s="7" t="n">
        <v>167.4210510253906</v>
      </c>
      <c r="H417" s="6">
        <f>P386</f>
        <v/>
      </c>
      <c r="I417" s="9">
        <f>Q386</f>
        <v/>
      </c>
      <c r="J417" s="7">
        <f>I417*G417</f>
        <v/>
      </c>
      <c r="K417" s="8">
        <f>IF($J$435=0,0,J417/$J$435)</f>
        <v/>
      </c>
      <c r="L417" s="6" t="inlineStr">
        <is>
          <t>REJECTED</t>
        </is>
      </c>
      <c r="M417" s="8" t="n">
        <v>0</v>
      </c>
      <c r="N417" s="7">
        <f>M417*$J$435-J417</f>
        <v/>
      </c>
      <c r="O417" s="9">
        <f>IF(G417=0,0,N417/G417)</f>
        <v/>
      </c>
      <c r="P417" s="6">
        <f>IF(M417&gt;0,D417,"")</f>
        <v/>
      </c>
      <c r="Q417" s="9">
        <f>I417+O417</f>
        <v/>
      </c>
      <c r="R417" s="7">
        <f>Q417*G417</f>
        <v/>
      </c>
      <c r="S417" s="8">
        <f>IF($R$435=0,0,R417/$R$435)</f>
        <v/>
      </c>
      <c r="T417" s="8" t="n">
        <v>0</v>
      </c>
      <c r="U417" s="8" t="n">
        <v>0.006854345876768919</v>
      </c>
      <c r="V417" s="6" t="inlineStr">
        <is>
          <t>not selected</t>
        </is>
      </c>
    </row>
    <row r="418">
      <c r="A418" s="6" t="inlineStr">
        <is>
          <t>DJ30</t>
        </is>
      </c>
      <c r="B418" s="6" t="inlineStr">
        <is>
          <t>2023-04-07</t>
        </is>
      </c>
      <c r="C418" s="6" t="inlineStr">
        <is>
          <t>DIA</t>
        </is>
      </c>
      <c r="D418" s="6" t="inlineStr">
        <is>
          <t>IBM</t>
        </is>
      </c>
      <c r="E418" s="6" t="inlineStr">
        <is>
          <t>IBM</t>
        </is>
      </c>
      <c r="F418" s="6" t="inlineStr">
        <is>
          <t>-</t>
        </is>
      </c>
      <c r="G418" s="7" t="n">
        <v>116.8710021972656</v>
      </c>
      <c r="H418" s="6">
        <f>P387</f>
        <v/>
      </c>
      <c r="I418" s="9">
        <f>Q387</f>
        <v/>
      </c>
      <c r="J418" s="7">
        <f>I418*G418</f>
        <v/>
      </c>
      <c r="K418" s="8">
        <f>IF($J$435=0,0,J418/$J$435)</f>
        <v/>
      </c>
      <c r="L418" s="6" t="inlineStr">
        <is>
          <t>REJECTED</t>
        </is>
      </c>
      <c r="M418" s="8" t="n">
        <v>0</v>
      </c>
      <c r="N418" s="7">
        <f>M418*$J$435-J418</f>
        <v/>
      </c>
      <c r="O418" s="9">
        <f>IF(G418=0,0,N418/G418)</f>
        <v/>
      </c>
      <c r="P418" s="6">
        <f>IF(M418&gt;0,D418,"")</f>
        <v/>
      </c>
      <c r="Q418" s="9">
        <f>I418+O418</f>
        <v/>
      </c>
      <c r="R418" s="7">
        <f>Q418*G418</f>
        <v/>
      </c>
      <c r="S418" s="8">
        <f>IF($R$435=0,0,R418/$R$435)</f>
        <v/>
      </c>
      <c r="T418" s="8" t="n">
        <v>0</v>
      </c>
      <c r="U418" s="8" t="n">
        <v>0.006854345876768919</v>
      </c>
      <c r="V418" s="6" t="inlineStr">
        <is>
          <t>not selected</t>
        </is>
      </c>
    </row>
    <row r="419">
      <c r="A419" s="6" t="inlineStr">
        <is>
          <t>DJ30</t>
        </is>
      </c>
      <c r="B419" s="6" t="inlineStr">
        <is>
          <t>2023-04-07</t>
        </is>
      </c>
      <c r="C419" s="6" t="inlineStr">
        <is>
          <t>DIA</t>
        </is>
      </c>
      <c r="D419" s="6" t="inlineStr">
        <is>
          <t>JNJ</t>
        </is>
      </c>
      <c r="E419" s="6" t="inlineStr">
        <is>
          <t>JNJ</t>
        </is>
      </c>
      <c r="F419" s="6" t="inlineStr">
        <is>
          <t>-</t>
        </is>
      </c>
      <c r="G419" s="7" t="n">
        <v>150.17041015625</v>
      </c>
      <c r="H419" s="6">
        <f>P388</f>
        <v/>
      </c>
      <c r="I419" s="9">
        <f>Q388</f>
        <v/>
      </c>
      <c r="J419" s="7">
        <f>I419*G419</f>
        <v/>
      </c>
      <c r="K419" s="8">
        <f>IF($J$435=0,0,J419/$J$435)</f>
        <v/>
      </c>
      <c r="L419" s="6" t="inlineStr">
        <is>
          <t>REJECTED</t>
        </is>
      </c>
      <c r="M419" s="8" t="n">
        <v>0</v>
      </c>
      <c r="N419" s="7">
        <f>M419*$J$435-J419</f>
        <v/>
      </c>
      <c r="O419" s="9">
        <f>IF(G419=0,0,N419/G419)</f>
        <v/>
      </c>
      <c r="P419" s="6">
        <f>IF(M419&gt;0,D419,"")</f>
        <v/>
      </c>
      <c r="Q419" s="9">
        <f>I419+O419</f>
        <v/>
      </c>
      <c r="R419" s="7">
        <f>Q419*G419</f>
        <v/>
      </c>
      <c r="S419" s="8">
        <f>IF($R$435=0,0,R419/$R$435)</f>
        <v/>
      </c>
      <c r="T419" s="8" t="n">
        <v>0</v>
      </c>
      <c r="U419" s="8" t="n">
        <v>0.006854345876768919</v>
      </c>
      <c r="V419" s="6" t="inlineStr">
        <is>
          <t>not selected</t>
        </is>
      </c>
    </row>
    <row r="420">
      <c r="A420" s="6" t="inlineStr">
        <is>
          <t>DJ30</t>
        </is>
      </c>
      <c r="B420" s="6" t="inlineStr">
        <is>
          <t>2023-04-07</t>
        </is>
      </c>
      <c r="C420" s="6" t="inlineStr">
        <is>
          <t>DIA</t>
        </is>
      </c>
      <c r="D420" s="6" t="inlineStr">
        <is>
          <t>JPM</t>
        </is>
      </c>
      <c r="E420" s="6" t="inlineStr">
        <is>
          <t>JPM</t>
        </is>
      </c>
      <c r="F420" s="6" t="inlineStr">
        <is>
          <t>-</t>
        </is>
      </c>
      <c r="G420" s="7" t="n">
        <v>119.0487670898438</v>
      </c>
      <c r="H420" s="6">
        <f>P389</f>
        <v/>
      </c>
      <c r="I420" s="9">
        <f>Q389</f>
        <v/>
      </c>
      <c r="J420" s="7">
        <f>I420*G420</f>
        <v/>
      </c>
      <c r="K420" s="8">
        <f>IF($J$435=0,0,J420/$J$435)</f>
        <v/>
      </c>
      <c r="L420" s="6" t="inlineStr">
        <is>
          <t>REJECTED</t>
        </is>
      </c>
      <c r="M420" s="8" t="n">
        <v>0</v>
      </c>
      <c r="N420" s="7">
        <f>M420*$J$435-J420</f>
        <v/>
      </c>
      <c r="O420" s="9">
        <f>IF(G420=0,0,N420/G420)</f>
        <v/>
      </c>
      <c r="P420" s="6">
        <f>IF(M420&gt;0,D420,"")</f>
        <v/>
      </c>
      <c r="Q420" s="9">
        <f>I420+O420</f>
        <v/>
      </c>
      <c r="R420" s="7">
        <f>Q420*G420</f>
        <v/>
      </c>
      <c r="S420" s="8">
        <f>IF($R$435=0,0,R420/$R$435)</f>
        <v/>
      </c>
      <c r="T420" s="8" t="n">
        <v>0</v>
      </c>
      <c r="U420" s="8" t="n">
        <v>0.006854345876768919</v>
      </c>
      <c r="V420" s="6" t="inlineStr">
        <is>
          <t>not selected</t>
        </is>
      </c>
    </row>
    <row r="421">
      <c r="A421" s="6" t="inlineStr">
        <is>
          <t>DJ30</t>
        </is>
      </c>
      <c r="B421" s="6" t="inlineStr">
        <is>
          <t>2023-04-07</t>
        </is>
      </c>
      <c r="C421" s="6" t="inlineStr">
        <is>
          <t>DIA</t>
        </is>
      </c>
      <c r="D421" s="6" t="inlineStr">
        <is>
          <t>KO</t>
        </is>
      </c>
      <c r="E421" s="6" t="inlineStr">
        <is>
          <t>KO</t>
        </is>
      </c>
      <c r="F421" s="6" t="inlineStr">
        <is>
          <t>-</t>
        </is>
      </c>
      <c r="G421" s="7" t="n">
        <v>57.0953254699707</v>
      </c>
      <c r="H421" s="6">
        <f>P390</f>
        <v/>
      </c>
      <c r="I421" s="9">
        <f>Q390</f>
        <v/>
      </c>
      <c r="J421" s="7">
        <f>I421*G421</f>
        <v/>
      </c>
      <c r="K421" s="8">
        <f>IF($J$435=0,0,J421/$J$435)</f>
        <v/>
      </c>
      <c r="L421" s="6" t="inlineStr">
        <is>
          <t>REJECTED</t>
        </is>
      </c>
      <c r="M421" s="8" t="n">
        <v>0</v>
      </c>
      <c r="N421" s="7">
        <f>M421*$J$435-J421</f>
        <v/>
      </c>
      <c r="O421" s="9">
        <f>IF(G421=0,0,N421/G421)</f>
        <v/>
      </c>
      <c r="P421" s="6">
        <f>IF(M421&gt;0,D421,"")</f>
        <v/>
      </c>
      <c r="Q421" s="9">
        <f>I421+O421</f>
        <v/>
      </c>
      <c r="R421" s="7">
        <f>Q421*G421</f>
        <v/>
      </c>
      <c r="S421" s="8">
        <f>IF($R$435=0,0,R421/$R$435)</f>
        <v/>
      </c>
      <c r="T421" s="8" t="n">
        <v>0</v>
      </c>
      <c r="U421" s="8" t="n">
        <v>0.006854345876768919</v>
      </c>
      <c r="V421" s="6" t="inlineStr">
        <is>
          <t>not selected</t>
        </is>
      </c>
    </row>
    <row r="422">
      <c r="A422" s="6" t="inlineStr">
        <is>
          <t>DJ30</t>
        </is>
      </c>
      <c r="B422" s="6" t="inlineStr">
        <is>
          <t>2023-04-07</t>
        </is>
      </c>
      <c r="C422" s="6" t="inlineStr">
        <is>
          <t>DIA</t>
        </is>
      </c>
      <c r="D422" s="6" t="inlineStr">
        <is>
          <t>MCD</t>
        </is>
      </c>
      <c r="E422" s="6" t="inlineStr">
        <is>
          <t>MCD</t>
        </is>
      </c>
      <c r="F422" s="6" t="inlineStr">
        <is>
          <t>-</t>
        </is>
      </c>
      <c r="G422" s="7" t="n">
        <v>262.1971740722656</v>
      </c>
      <c r="H422" s="6">
        <f>P391</f>
        <v/>
      </c>
      <c r="I422" s="9">
        <f>Q391</f>
        <v/>
      </c>
      <c r="J422" s="7">
        <f>I422*G422</f>
        <v/>
      </c>
      <c r="K422" s="8">
        <f>IF($J$435=0,0,J422/$J$435)</f>
        <v/>
      </c>
      <c r="L422" s="6" t="inlineStr">
        <is>
          <t>REJECTED</t>
        </is>
      </c>
      <c r="M422" s="8" t="n">
        <v>0</v>
      </c>
      <c r="N422" s="7">
        <f>M422*$J$435-J422</f>
        <v/>
      </c>
      <c r="O422" s="9">
        <f>IF(G422=0,0,N422/G422)</f>
        <v/>
      </c>
      <c r="P422" s="6">
        <f>IF(M422&gt;0,D422,"")</f>
        <v/>
      </c>
      <c r="Q422" s="9">
        <f>I422+O422</f>
        <v/>
      </c>
      <c r="R422" s="7">
        <f>Q422*G422</f>
        <v/>
      </c>
      <c r="S422" s="8">
        <f>IF($R$435=0,0,R422/$R$435)</f>
        <v/>
      </c>
      <c r="T422" s="8" t="n">
        <v>0</v>
      </c>
      <c r="U422" s="8" t="n">
        <v>0.006854345876768919</v>
      </c>
      <c r="V422" s="6" t="inlineStr">
        <is>
          <t>not selected</t>
        </is>
      </c>
    </row>
    <row r="423">
      <c r="A423" s="6" t="inlineStr">
        <is>
          <t>DJ30</t>
        </is>
      </c>
      <c r="B423" s="6" t="inlineStr">
        <is>
          <t>2023-04-07</t>
        </is>
      </c>
      <c r="C423" s="6" t="inlineStr">
        <is>
          <t>DIA</t>
        </is>
      </c>
      <c r="D423" s="6" t="inlineStr">
        <is>
          <t>MMM</t>
        </is>
      </c>
      <c r="E423" s="6" t="inlineStr">
        <is>
          <t>MMM</t>
        </is>
      </c>
      <c r="F423" s="6" t="inlineStr">
        <is>
          <t>-</t>
        </is>
      </c>
      <c r="G423" s="7" t="n">
        <v>76.22640228271484</v>
      </c>
      <c r="H423" s="6">
        <f>P392</f>
        <v/>
      </c>
      <c r="I423" s="9">
        <f>Q392</f>
        <v/>
      </c>
      <c r="J423" s="7">
        <f>I423*G423</f>
        <v/>
      </c>
      <c r="K423" s="8">
        <f>IF($J$435=0,0,J423/$J$435)</f>
        <v/>
      </c>
      <c r="L423" s="6" t="inlineStr">
        <is>
          <t>REJECTED</t>
        </is>
      </c>
      <c r="M423" s="8" t="n">
        <v>0</v>
      </c>
      <c r="N423" s="7">
        <f>M423*$J$435-J423</f>
        <v/>
      </c>
      <c r="O423" s="9">
        <f>IF(G423=0,0,N423/G423)</f>
        <v/>
      </c>
      <c r="P423" s="6">
        <f>IF(M423&gt;0,D423,"")</f>
        <v/>
      </c>
      <c r="Q423" s="9">
        <f>I423+O423</f>
        <v/>
      </c>
      <c r="R423" s="7">
        <f>Q423*G423</f>
        <v/>
      </c>
      <c r="S423" s="8">
        <f>IF($R$435=0,0,R423/$R$435)</f>
        <v/>
      </c>
      <c r="T423" s="8" t="n">
        <v>0</v>
      </c>
      <c r="U423" s="8" t="n">
        <v>0.006854345876768919</v>
      </c>
      <c r="V423" s="6" t="inlineStr">
        <is>
          <t>not selected</t>
        </is>
      </c>
    </row>
    <row r="424">
      <c r="A424" s="6" t="inlineStr">
        <is>
          <t>DJ30</t>
        </is>
      </c>
      <c r="B424" s="6" t="inlineStr">
        <is>
          <t>2023-04-07</t>
        </is>
      </c>
      <c r="C424" s="6" t="inlineStr">
        <is>
          <t>DIA</t>
        </is>
      </c>
      <c r="D424" s="6" t="inlineStr">
        <is>
          <t>MRK</t>
        </is>
      </c>
      <c r="E424" s="6" t="inlineStr">
        <is>
          <t>MRK</t>
        </is>
      </c>
      <c r="F424" s="6" t="inlineStr">
        <is>
          <t>-</t>
        </is>
      </c>
      <c r="G424" s="7" t="n">
        <v>101.7373352050781</v>
      </c>
      <c r="H424" s="6">
        <f>P393</f>
        <v/>
      </c>
      <c r="I424" s="9">
        <f>Q393</f>
        <v/>
      </c>
      <c r="J424" s="7">
        <f>I424*G424</f>
        <v/>
      </c>
      <c r="K424" s="8">
        <f>IF($J$435=0,0,J424/$J$435)</f>
        <v/>
      </c>
      <c r="L424" s="6" t="inlineStr">
        <is>
          <t>REJECTED</t>
        </is>
      </c>
      <c r="M424" s="8" t="n">
        <v>0</v>
      </c>
      <c r="N424" s="7">
        <f>M424*$J$435-J424</f>
        <v/>
      </c>
      <c r="O424" s="9">
        <f>IF(G424=0,0,N424/G424)</f>
        <v/>
      </c>
      <c r="P424" s="6">
        <f>IF(M424&gt;0,D424,"")</f>
        <v/>
      </c>
      <c r="Q424" s="9">
        <f>I424+O424</f>
        <v/>
      </c>
      <c r="R424" s="7">
        <f>Q424*G424</f>
        <v/>
      </c>
      <c r="S424" s="8">
        <f>IF($R$435=0,0,R424/$R$435)</f>
        <v/>
      </c>
      <c r="T424" s="8" t="n">
        <v>0</v>
      </c>
      <c r="U424" s="8" t="n">
        <v>0.006854345876768919</v>
      </c>
      <c r="V424" s="6" t="inlineStr">
        <is>
          <t>not selected</t>
        </is>
      </c>
    </row>
    <row r="425">
      <c r="A425" s="6" t="inlineStr">
        <is>
          <t>DJ30</t>
        </is>
      </c>
      <c r="B425" s="6" t="inlineStr">
        <is>
          <t>2023-04-07</t>
        </is>
      </c>
      <c r="C425" s="6" t="inlineStr">
        <is>
          <t>DIA</t>
        </is>
      </c>
      <c r="D425" s="6" t="inlineStr">
        <is>
          <t>MSFT</t>
        </is>
      </c>
      <c r="E425" s="6" t="inlineStr">
        <is>
          <t>MSFT</t>
        </is>
      </c>
      <c r="F425" s="6" t="inlineStr">
        <is>
          <t>-</t>
        </is>
      </c>
      <c r="G425" s="7" t="n">
        <v>284.2384643554688</v>
      </c>
      <c r="H425" s="6">
        <f>P394</f>
        <v/>
      </c>
      <c r="I425" s="9">
        <f>Q394</f>
        <v/>
      </c>
      <c r="J425" s="7">
        <f>I425*G425</f>
        <v/>
      </c>
      <c r="K425" s="8">
        <f>IF($J$435=0,0,J425/$J$435)</f>
        <v/>
      </c>
      <c r="L425" s="6" t="inlineStr">
        <is>
          <t>REJECTED</t>
        </is>
      </c>
      <c r="M425" s="8" t="n">
        <v>0</v>
      </c>
      <c r="N425" s="7">
        <f>M425*$J$435-J425</f>
        <v/>
      </c>
      <c r="O425" s="9">
        <f>IF(G425=0,0,N425/G425)</f>
        <v/>
      </c>
      <c r="P425" s="6">
        <f>IF(M425&gt;0,D425,"")</f>
        <v/>
      </c>
      <c r="Q425" s="9">
        <f>I425+O425</f>
        <v/>
      </c>
      <c r="R425" s="7">
        <f>Q425*G425</f>
        <v/>
      </c>
      <c r="S425" s="8">
        <f>IF($R$435=0,0,R425/$R$435)</f>
        <v/>
      </c>
      <c r="T425" s="8" t="n">
        <v>0</v>
      </c>
      <c r="U425" s="8" t="n">
        <v>0.006854345876768919</v>
      </c>
      <c r="V425" s="6" t="inlineStr">
        <is>
          <t>not selected</t>
        </is>
      </c>
    </row>
    <row r="426">
      <c r="A426" s="6" t="inlineStr">
        <is>
          <t>DJ30</t>
        </is>
      </c>
      <c r="B426" s="6" t="inlineStr">
        <is>
          <t>2023-04-07</t>
        </is>
      </c>
      <c r="C426" s="6" t="inlineStr">
        <is>
          <t>DIA</t>
        </is>
      </c>
      <c r="D426" s="6" t="inlineStr">
        <is>
          <t>NKE</t>
        </is>
      </c>
      <c r="E426" s="6" t="inlineStr">
        <is>
          <t>NKE</t>
        </is>
      </c>
      <c r="F426" s="6" t="inlineStr">
        <is>
          <t>-</t>
        </is>
      </c>
      <c r="G426" s="7" t="n">
        <v>112.570068359375</v>
      </c>
      <c r="H426" s="6">
        <f>P395</f>
        <v/>
      </c>
      <c r="I426" s="9">
        <f>Q395</f>
        <v/>
      </c>
      <c r="J426" s="7">
        <f>I426*G426</f>
        <v/>
      </c>
      <c r="K426" s="8">
        <f>IF($J$435=0,0,J426/$J$435)</f>
        <v/>
      </c>
      <c r="L426" s="6" t="inlineStr">
        <is>
          <t>REJECTED</t>
        </is>
      </c>
      <c r="M426" s="8" t="n">
        <v>0</v>
      </c>
      <c r="N426" s="7">
        <f>M426*$J$435-J426</f>
        <v/>
      </c>
      <c r="O426" s="9">
        <f>IF(G426=0,0,N426/G426)</f>
        <v/>
      </c>
      <c r="P426" s="6">
        <f>IF(M426&gt;0,D426,"")</f>
        <v/>
      </c>
      <c r="Q426" s="9">
        <f>I426+O426</f>
        <v/>
      </c>
      <c r="R426" s="7">
        <f>Q426*G426</f>
        <v/>
      </c>
      <c r="S426" s="8">
        <f>IF($R$435=0,0,R426/$R$435)</f>
        <v/>
      </c>
      <c r="T426" s="8" t="n">
        <v>0</v>
      </c>
      <c r="U426" s="8" t="n">
        <v>0.006854345876768919</v>
      </c>
      <c r="V426" s="6" t="inlineStr">
        <is>
          <t>not selected</t>
        </is>
      </c>
    </row>
    <row r="427">
      <c r="A427" s="6" t="inlineStr">
        <is>
          <t>DJ30</t>
        </is>
      </c>
      <c r="B427" s="6" t="inlineStr">
        <is>
          <t>2023-04-07</t>
        </is>
      </c>
      <c r="C427" s="6" t="inlineStr">
        <is>
          <t>DIA</t>
        </is>
      </c>
      <c r="D427" s="6" t="inlineStr">
        <is>
          <t>NVDA</t>
        </is>
      </c>
      <c r="E427" s="6" t="inlineStr">
        <is>
          <t>NVDA</t>
        </is>
      </c>
      <c r="F427" s="6" t="inlineStr">
        <is>
          <t>-</t>
        </is>
      </c>
      <c r="G427" s="7" t="n">
        <v>26.98163795471192</v>
      </c>
      <c r="H427" s="6">
        <f>P396</f>
        <v/>
      </c>
      <c r="I427" s="9">
        <f>Q396</f>
        <v/>
      </c>
      <c r="J427" s="7">
        <f>I427*G427</f>
        <v/>
      </c>
      <c r="K427" s="8">
        <f>IF($J$435=0,0,J427/$J$435)</f>
        <v/>
      </c>
      <c r="L427" s="6" t="inlineStr">
        <is>
          <t>REJECTED</t>
        </is>
      </c>
      <c r="M427" s="8" t="n">
        <v>0</v>
      </c>
      <c r="N427" s="7">
        <f>M427*$J$435-J427</f>
        <v/>
      </c>
      <c r="O427" s="9">
        <f>IF(G427=0,0,N427/G427)</f>
        <v/>
      </c>
      <c r="P427" s="6">
        <f>IF(M427&gt;0,D427,"")</f>
        <v/>
      </c>
      <c r="Q427" s="9">
        <f>I427+O427</f>
        <v/>
      </c>
      <c r="R427" s="7">
        <f>Q427*G427</f>
        <v/>
      </c>
      <c r="S427" s="8">
        <f>IF($R$435=0,0,R427/$R$435)</f>
        <v/>
      </c>
      <c r="T427" s="8" t="n">
        <v>0</v>
      </c>
      <c r="U427" s="8" t="n">
        <v>0.006854345876768919</v>
      </c>
      <c r="V427" s="6" t="inlineStr">
        <is>
          <t>not selected</t>
        </is>
      </c>
    </row>
    <row r="428">
      <c r="A428" s="6" t="inlineStr">
        <is>
          <t>DJ30</t>
        </is>
      </c>
      <c r="B428" s="6" t="inlineStr">
        <is>
          <t>2023-04-07</t>
        </is>
      </c>
      <c r="C428" s="6" t="inlineStr">
        <is>
          <t>DIA</t>
        </is>
      </c>
      <c r="D428" s="6" t="inlineStr">
        <is>
          <t>PG</t>
        </is>
      </c>
      <c r="E428" s="6" t="inlineStr">
        <is>
          <t>PG</t>
        </is>
      </c>
      <c r="F428" s="6" t="inlineStr">
        <is>
          <t>-</t>
        </is>
      </c>
      <c r="G428" s="7" t="n">
        <v>139.9476165771484</v>
      </c>
      <c r="H428" s="6">
        <f>P397</f>
        <v/>
      </c>
      <c r="I428" s="9">
        <f>Q397</f>
        <v/>
      </c>
      <c r="J428" s="7">
        <f>I428*G428</f>
        <v/>
      </c>
      <c r="K428" s="8">
        <f>IF($J$435=0,0,J428/$J$435)</f>
        <v/>
      </c>
      <c r="L428" s="6" t="inlineStr">
        <is>
          <t>REJECTED</t>
        </is>
      </c>
      <c r="M428" s="8" t="n">
        <v>0</v>
      </c>
      <c r="N428" s="7">
        <f>M428*$J$435-J428</f>
        <v/>
      </c>
      <c r="O428" s="9">
        <f>IF(G428=0,0,N428/G428)</f>
        <v/>
      </c>
      <c r="P428" s="6">
        <f>IF(M428&gt;0,D428,"")</f>
        <v/>
      </c>
      <c r="Q428" s="9">
        <f>I428+O428</f>
        <v/>
      </c>
      <c r="R428" s="7">
        <f>Q428*G428</f>
        <v/>
      </c>
      <c r="S428" s="8">
        <f>IF($R$435=0,0,R428/$R$435)</f>
        <v/>
      </c>
      <c r="T428" s="8" t="n">
        <v>0</v>
      </c>
      <c r="U428" s="8" t="n">
        <v>0.006854345876768919</v>
      </c>
      <c r="V428" s="6" t="inlineStr">
        <is>
          <t>not selected</t>
        </is>
      </c>
    </row>
    <row r="429">
      <c r="A429" s="6" t="inlineStr">
        <is>
          <t>DJ30</t>
        </is>
      </c>
      <c r="B429" s="6" t="inlineStr">
        <is>
          <t>2023-04-07</t>
        </is>
      </c>
      <c r="C429" s="6" t="inlineStr">
        <is>
          <t>DIA</t>
        </is>
      </c>
      <c r="D429" s="6" t="inlineStr">
        <is>
          <t>SHW</t>
        </is>
      </c>
      <c r="E429" s="6" t="inlineStr">
        <is>
          <t>SHW</t>
        </is>
      </c>
      <c r="F429" s="6" t="inlineStr">
        <is>
          <t>-</t>
        </is>
      </c>
      <c r="G429" s="7" t="n">
        <v>217.5388946533203</v>
      </c>
      <c r="H429" s="6">
        <f>P398</f>
        <v/>
      </c>
      <c r="I429" s="9">
        <f>Q398</f>
        <v/>
      </c>
      <c r="J429" s="7">
        <f>I429*G429</f>
        <v/>
      </c>
      <c r="K429" s="8">
        <f>IF($J$435=0,0,J429/$J$435)</f>
        <v/>
      </c>
      <c r="L429" s="6" t="inlineStr">
        <is>
          <t>REJECTED</t>
        </is>
      </c>
      <c r="M429" s="8" t="n">
        <v>0</v>
      </c>
      <c r="N429" s="7">
        <f>M429*$J$435-J429</f>
        <v/>
      </c>
      <c r="O429" s="9">
        <f>IF(G429=0,0,N429/G429)</f>
        <v/>
      </c>
      <c r="P429" s="6">
        <f>IF(M429&gt;0,D429,"")</f>
        <v/>
      </c>
      <c r="Q429" s="9">
        <f>I429+O429</f>
        <v/>
      </c>
      <c r="R429" s="7">
        <f>Q429*G429</f>
        <v/>
      </c>
      <c r="S429" s="8">
        <f>IF($R$435=0,0,R429/$R$435)</f>
        <v/>
      </c>
      <c r="T429" s="8" t="n">
        <v>0</v>
      </c>
      <c r="U429" s="8" t="n">
        <v>0.006854345876768919</v>
      </c>
      <c r="V429" s="6" t="inlineStr">
        <is>
          <t>not selected</t>
        </is>
      </c>
    </row>
    <row r="430">
      <c r="A430" s="6" t="inlineStr">
        <is>
          <t>DJ30</t>
        </is>
      </c>
      <c r="B430" s="6" t="inlineStr">
        <is>
          <t>2023-04-07</t>
        </is>
      </c>
      <c r="C430" s="6" t="inlineStr">
        <is>
          <t>DIA</t>
        </is>
      </c>
      <c r="D430" s="6" t="inlineStr">
        <is>
          <t>TRV</t>
        </is>
      </c>
      <c r="E430" s="6" t="inlineStr">
        <is>
          <t>TRV</t>
        </is>
      </c>
      <c r="F430" s="6" t="inlineStr">
        <is>
          <t>-</t>
        </is>
      </c>
      <c r="G430" s="7" t="n">
        <v>161.3868713378906</v>
      </c>
      <c r="H430" s="6">
        <f>P399</f>
        <v/>
      </c>
      <c r="I430" s="9">
        <f>Q399</f>
        <v/>
      </c>
      <c r="J430" s="7">
        <f>I430*G430</f>
        <v/>
      </c>
      <c r="K430" s="8">
        <f>IF($J$435=0,0,J430/$J$435)</f>
        <v/>
      </c>
      <c r="L430" s="6" t="inlineStr">
        <is>
          <t>REJECTED</t>
        </is>
      </c>
      <c r="M430" s="8" t="n">
        <v>0</v>
      </c>
      <c r="N430" s="7">
        <f>M430*$J$435-J430</f>
        <v/>
      </c>
      <c r="O430" s="9">
        <f>IF(G430=0,0,N430/G430)</f>
        <v/>
      </c>
      <c r="P430" s="6">
        <f>IF(M430&gt;0,D430,"")</f>
        <v/>
      </c>
      <c r="Q430" s="9">
        <f>I430+O430</f>
        <v/>
      </c>
      <c r="R430" s="7">
        <f>Q430*G430</f>
        <v/>
      </c>
      <c r="S430" s="8">
        <f>IF($R$435=0,0,R430/$R$435)</f>
        <v/>
      </c>
      <c r="T430" s="8" t="n">
        <v>0</v>
      </c>
      <c r="U430" s="8" t="n">
        <v>0.006854345876768919</v>
      </c>
      <c r="V430" s="6" t="inlineStr">
        <is>
          <t>not selected</t>
        </is>
      </c>
    </row>
    <row r="431">
      <c r="A431" s="6" t="inlineStr">
        <is>
          <t>DJ30</t>
        </is>
      </c>
      <c r="B431" s="6" t="inlineStr">
        <is>
          <t>2023-04-07</t>
        </is>
      </c>
      <c r="C431" s="6" t="inlineStr">
        <is>
          <t>DIA</t>
        </is>
      </c>
      <c r="D431" s="6" t="inlineStr">
        <is>
          <t>UNH</t>
        </is>
      </c>
      <c r="E431" s="6" t="inlineStr">
        <is>
          <t>UNH</t>
        </is>
      </c>
      <c r="F431" s="6" t="inlineStr">
        <is>
          <t>-</t>
        </is>
      </c>
      <c r="G431" s="7" t="n">
        <v>480.6861267089844</v>
      </c>
      <c r="H431" s="6">
        <f>P400</f>
        <v/>
      </c>
      <c r="I431" s="9">
        <f>Q400</f>
        <v/>
      </c>
      <c r="J431" s="7">
        <f>I431*G431</f>
        <v/>
      </c>
      <c r="K431" s="8">
        <f>IF($J$435=0,0,J431/$J$435)</f>
        <v/>
      </c>
      <c r="L431" s="6" t="inlineStr">
        <is>
          <t>REJECTED</t>
        </is>
      </c>
      <c r="M431" s="8" t="n">
        <v>0</v>
      </c>
      <c r="N431" s="7">
        <f>M431*$J$435-J431</f>
        <v/>
      </c>
      <c r="O431" s="9">
        <f>IF(G431=0,0,N431/G431)</f>
        <v/>
      </c>
      <c r="P431" s="6">
        <f>IF(M431&gt;0,D431,"")</f>
        <v/>
      </c>
      <c r="Q431" s="9">
        <f>I431+O431</f>
        <v/>
      </c>
      <c r="R431" s="7">
        <f>Q431*G431</f>
        <v/>
      </c>
      <c r="S431" s="8">
        <f>IF($R$435=0,0,R431/$R$435)</f>
        <v/>
      </c>
      <c r="T431" s="8" t="n">
        <v>0</v>
      </c>
      <c r="U431" s="8" t="n">
        <v>0.006854345876768919</v>
      </c>
      <c r="V431" s="6" t="inlineStr">
        <is>
          <t>not selected</t>
        </is>
      </c>
    </row>
    <row r="432">
      <c r="A432" s="6" t="inlineStr">
        <is>
          <t>DJ30</t>
        </is>
      </c>
      <c r="B432" s="6" t="inlineStr">
        <is>
          <t>2023-04-07</t>
        </is>
      </c>
      <c r="C432" s="6" t="inlineStr">
        <is>
          <t>DIA</t>
        </is>
      </c>
      <c r="D432" s="6" t="inlineStr">
        <is>
          <t>V</t>
        </is>
      </c>
      <c r="E432" s="6" t="inlineStr">
        <is>
          <t>V</t>
        </is>
      </c>
      <c r="F432" s="6" t="inlineStr">
        <is>
          <t>-</t>
        </is>
      </c>
      <c r="G432" s="7" t="n">
        <v>220.4596405029297</v>
      </c>
      <c r="H432" s="6">
        <f>P401</f>
        <v/>
      </c>
      <c r="I432" s="9">
        <f>Q401</f>
        <v/>
      </c>
      <c r="J432" s="7">
        <f>I432*G432</f>
        <v/>
      </c>
      <c r="K432" s="8">
        <f>IF($J$435=0,0,J432/$J$435)</f>
        <v/>
      </c>
      <c r="L432" s="6" t="inlineStr">
        <is>
          <t>REJECTED</t>
        </is>
      </c>
      <c r="M432" s="8" t="n">
        <v>0</v>
      </c>
      <c r="N432" s="7">
        <f>M432*$J$435-J432</f>
        <v/>
      </c>
      <c r="O432" s="9">
        <f>IF(G432=0,0,N432/G432)</f>
        <v/>
      </c>
      <c r="P432" s="6">
        <f>IF(M432&gt;0,D432,"")</f>
        <v/>
      </c>
      <c r="Q432" s="9">
        <f>I432+O432</f>
        <v/>
      </c>
      <c r="R432" s="7">
        <f>Q432*G432</f>
        <v/>
      </c>
      <c r="S432" s="8">
        <f>IF($R$435=0,0,R432/$R$435)</f>
        <v/>
      </c>
      <c r="T432" s="8" t="n">
        <v>0</v>
      </c>
      <c r="U432" s="8" t="n">
        <v>0.006854345876768919</v>
      </c>
      <c r="V432" s="6" t="inlineStr">
        <is>
          <t>not selected</t>
        </is>
      </c>
    </row>
    <row r="433">
      <c r="A433" s="6" t="inlineStr">
        <is>
          <t>DJ30</t>
        </is>
      </c>
      <c r="B433" s="6" t="inlineStr">
        <is>
          <t>2023-04-07</t>
        </is>
      </c>
      <c r="C433" s="6" t="inlineStr">
        <is>
          <t>DIA</t>
        </is>
      </c>
      <c r="D433" s="6" t="inlineStr">
        <is>
          <t>VZ</t>
        </is>
      </c>
      <c r="E433" s="6" t="inlineStr">
        <is>
          <t>VZ</t>
        </is>
      </c>
      <c r="F433" s="6" t="inlineStr">
        <is>
          <t>-</t>
        </is>
      </c>
      <c r="G433" s="7" t="n">
        <v>32.25615310668945</v>
      </c>
      <c r="H433" s="6">
        <f>P402</f>
        <v/>
      </c>
      <c r="I433" s="9">
        <f>Q402</f>
        <v/>
      </c>
      <c r="J433" s="7">
        <f>I433*G433</f>
        <v/>
      </c>
      <c r="K433" s="8">
        <f>IF($J$435=0,0,J433/$J$435)</f>
        <v/>
      </c>
      <c r="L433" s="6" t="inlineStr">
        <is>
          <t>REJECTED</t>
        </is>
      </c>
      <c r="M433" s="8" t="n">
        <v>0</v>
      </c>
      <c r="N433" s="7">
        <f>M433*$J$435-J433</f>
        <v/>
      </c>
      <c r="O433" s="9">
        <f>IF(G433=0,0,N433/G433)</f>
        <v/>
      </c>
      <c r="P433" s="6">
        <f>IF(M433&gt;0,D433,"")</f>
        <v/>
      </c>
      <c r="Q433" s="9">
        <f>I433+O433</f>
        <v/>
      </c>
      <c r="R433" s="7">
        <f>Q433*G433</f>
        <v/>
      </c>
      <c r="S433" s="8">
        <f>IF($R$435=0,0,R433/$R$435)</f>
        <v/>
      </c>
      <c r="T433" s="8" t="n">
        <v>0</v>
      </c>
      <c r="U433" s="8" t="n">
        <v>0.006854345876768919</v>
      </c>
      <c r="V433" s="6" t="inlineStr">
        <is>
          <t>not selected</t>
        </is>
      </c>
    </row>
    <row r="434">
      <c r="A434" s="6" t="inlineStr">
        <is>
          <t>DJ30</t>
        </is>
      </c>
      <c r="B434" s="6" t="inlineStr">
        <is>
          <t>2023-04-07</t>
        </is>
      </c>
      <c r="C434" s="6" t="inlineStr">
        <is>
          <t>DIA</t>
        </is>
      </c>
      <c r="D434" s="6" t="inlineStr">
        <is>
          <t>WMT</t>
        </is>
      </c>
      <c r="E434" s="6" t="inlineStr">
        <is>
          <t>WMT</t>
        </is>
      </c>
      <c r="F434" s="6" t="inlineStr">
        <is>
          <t>-</t>
        </is>
      </c>
      <c r="G434" s="7" t="n">
        <v>48.46765518188477</v>
      </c>
      <c r="H434" s="6">
        <f>P403</f>
        <v/>
      </c>
      <c r="I434" s="9">
        <f>Q403</f>
        <v/>
      </c>
      <c r="J434" s="7">
        <f>I434*G434</f>
        <v/>
      </c>
      <c r="K434" s="8">
        <f>IF($J$435=0,0,J434/$J$435)</f>
        <v/>
      </c>
      <c r="L434" s="6" t="inlineStr">
        <is>
          <t>REJECTED</t>
        </is>
      </c>
      <c r="M434" s="8" t="n">
        <v>0</v>
      </c>
      <c r="N434" s="7">
        <f>M434*$J$435-J434</f>
        <v/>
      </c>
      <c r="O434" s="9">
        <f>IF(G434=0,0,N434/G434)</f>
        <v/>
      </c>
      <c r="P434" s="6">
        <f>IF(M434&gt;0,D434,"")</f>
        <v/>
      </c>
      <c r="Q434" s="9">
        <f>I434+O434</f>
        <v/>
      </c>
      <c r="R434" s="7">
        <f>Q434*G434</f>
        <v/>
      </c>
      <c r="S434" s="8">
        <f>IF($R$435=0,0,R434/$R$435)</f>
        <v/>
      </c>
      <c r="T434" s="8" t="n">
        <v>0</v>
      </c>
      <c r="U434" s="8" t="n">
        <v>0.006854345876768919</v>
      </c>
      <c r="V434" s="6" t="inlineStr">
        <is>
          <t>not selected</t>
        </is>
      </c>
    </row>
    <row r="435">
      <c r="A435" s="10" t="inlineStr">
        <is>
          <t>DJ30</t>
        </is>
      </c>
      <c r="B435" s="10" t="inlineStr">
        <is>
          <t>2023-04-07</t>
        </is>
      </c>
      <c r="C435" s="10" t="inlineStr">
        <is>
          <t>DIA</t>
        </is>
      </c>
      <c r="D435" s="10" t="inlineStr">
        <is>
          <t>Tot Portfolio</t>
        </is>
      </c>
      <c r="E435" s="10" t="inlineStr"/>
      <c r="F435" s="10" t="inlineStr"/>
      <c r="G435" s="11" t="inlineStr"/>
      <c r="H435" s="10" t="inlineStr"/>
      <c r="I435" s="12" t="inlineStr"/>
      <c r="J435" s="11">
        <f>SUM(J405:J434)</f>
        <v/>
      </c>
      <c r="K435" s="13">
        <f>SUM(K405:K434)</f>
        <v/>
      </c>
      <c r="L435" s="10" t="inlineStr">
        <is>
          <t>TOTAL</t>
        </is>
      </c>
      <c r="M435" s="13">
        <f>SUM(M405:M434)</f>
        <v/>
      </c>
      <c r="N435" s="11">
        <f>SUM(N405:N434)</f>
        <v/>
      </c>
      <c r="O435" s="12">
        <f>SUM(O405:O434)</f>
        <v/>
      </c>
      <c r="P435" s="10" t="inlineStr"/>
      <c r="Q435" s="12" t="inlineStr"/>
      <c r="R435" s="11">
        <f>SUM(R405:R434)</f>
        <v/>
      </c>
      <c r="S435" s="13">
        <f>SUM(S405:S434)</f>
        <v/>
      </c>
      <c r="T435" s="13" t="n">
        <v>0</v>
      </c>
      <c r="U435" s="13" t="n">
        <v>0.006854345876768919</v>
      </c>
      <c r="V435" s="10" t="inlineStr"/>
    </row>
    <row r="436">
      <c r="A436" s="6" t="inlineStr">
        <is>
          <t>DJ30</t>
        </is>
      </c>
      <c r="B436" s="6" t="inlineStr">
        <is>
          <t>2023-04-14</t>
        </is>
      </c>
      <c r="C436" s="6" t="inlineStr">
        <is>
          <t>DIA</t>
        </is>
      </c>
      <c r="D436" s="6" t="inlineStr">
        <is>
          <t>AAPL</t>
        </is>
      </c>
      <c r="E436" s="6" t="inlineStr">
        <is>
          <t>AAPL</t>
        </is>
      </c>
      <c r="F436" s="6" t="inlineStr">
        <is>
          <t>-</t>
        </is>
      </c>
      <c r="G436" s="7" t="n">
        <v>162.7008972167969</v>
      </c>
      <c r="H436" s="6">
        <f>P405</f>
        <v/>
      </c>
      <c r="I436" s="9">
        <f>Q405</f>
        <v/>
      </c>
      <c r="J436" s="7">
        <f>I436*G436</f>
        <v/>
      </c>
      <c r="K436" s="8">
        <f>IF($J$466=0,0,J436/$J$466)</f>
        <v/>
      </c>
      <c r="L436" s="6" t="inlineStr">
        <is>
          <t>REJECTED</t>
        </is>
      </c>
      <c r="M436" s="8" t="n">
        <v>0</v>
      </c>
      <c r="N436" s="7">
        <f>M436*$J$466-J436</f>
        <v/>
      </c>
      <c r="O436" s="9">
        <f>IF(G436=0,0,N436/G436)</f>
        <v/>
      </c>
      <c r="P436" s="6">
        <f>IF(M436&gt;0,D436,"")</f>
        <v/>
      </c>
      <c r="Q436" s="9">
        <f>I436+O436</f>
        <v/>
      </c>
      <c r="R436" s="7">
        <f>Q436*G436</f>
        <v/>
      </c>
      <c r="S436" s="8">
        <f>IF($R$466=0,0,R436/$R$466)</f>
        <v/>
      </c>
      <c r="T436" s="8" t="n">
        <v>0</v>
      </c>
      <c r="U436" s="8" t="n">
        <v>0.0117647273919439</v>
      </c>
      <c r="V436" s="6" t="inlineStr">
        <is>
          <t>not selected</t>
        </is>
      </c>
    </row>
    <row r="437">
      <c r="A437" s="6" t="inlineStr">
        <is>
          <t>DJ30</t>
        </is>
      </c>
      <c r="B437" s="6" t="inlineStr">
        <is>
          <t>2023-04-14</t>
        </is>
      </c>
      <c r="C437" s="6" t="inlineStr">
        <is>
          <t>DIA</t>
        </is>
      </c>
      <c r="D437" s="6" t="inlineStr">
        <is>
          <t>AMGN</t>
        </is>
      </c>
      <c r="E437" s="6" t="inlineStr">
        <is>
          <t>AMGN</t>
        </is>
      </c>
      <c r="F437" s="6" t="inlineStr">
        <is>
          <t>-</t>
        </is>
      </c>
      <c r="G437" s="7" t="n">
        <v>225.8655395507812</v>
      </c>
      <c r="H437" s="6">
        <f>P406</f>
        <v/>
      </c>
      <c r="I437" s="9">
        <f>Q406</f>
        <v/>
      </c>
      <c r="J437" s="7">
        <f>I437*G437</f>
        <v/>
      </c>
      <c r="K437" s="8">
        <f>IF($J$466=0,0,J437/$J$466)</f>
        <v/>
      </c>
      <c r="L437" s="6" t="inlineStr">
        <is>
          <t>REJECTED</t>
        </is>
      </c>
      <c r="M437" s="8" t="n">
        <v>0</v>
      </c>
      <c r="N437" s="7">
        <f>M437*$J$466-J437</f>
        <v/>
      </c>
      <c r="O437" s="9">
        <f>IF(G437=0,0,N437/G437)</f>
        <v/>
      </c>
      <c r="P437" s="6">
        <f>IF(M437&gt;0,D437,"")</f>
        <v/>
      </c>
      <c r="Q437" s="9">
        <f>I437+O437</f>
        <v/>
      </c>
      <c r="R437" s="7">
        <f>Q437*G437</f>
        <v/>
      </c>
      <c r="S437" s="8">
        <f>IF($R$466=0,0,R437/$R$466)</f>
        <v/>
      </c>
      <c r="T437" s="8" t="n">
        <v>0</v>
      </c>
      <c r="U437" s="8" t="n">
        <v>0.0117647273919439</v>
      </c>
      <c r="V437" s="6" t="inlineStr">
        <is>
          <t>not selected</t>
        </is>
      </c>
    </row>
    <row r="438">
      <c r="A438" s="6" t="inlineStr">
        <is>
          <t>DJ30</t>
        </is>
      </c>
      <c r="B438" s="6" t="inlineStr">
        <is>
          <t>2023-04-14</t>
        </is>
      </c>
      <c r="C438" s="6" t="inlineStr">
        <is>
          <t>DIA</t>
        </is>
      </c>
      <c r="D438" s="6" t="inlineStr">
        <is>
          <t>AMZN</t>
        </is>
      </c>
      <c r="E438" s="6" t="inlineStr">
        <is>
          <t>AMZN</t>
        </is>
      </c>
      <c r="F438" s="6" t="inlineStr">
        <is>
          <t>-</t>
        </is>
      </c>
      <c r="G438" s="7" t="n">
        <v>102.5100021362305</v>
      </c>
      <c r="H438" s="6">
        <f>P407</f>
        <v/>
      </c>
      <c r="I438" s="9">
        <f>Q407</f>
        <v/>
      </c>
      <c r="J438" s="7">
        <f>I438*G438</f>
        <v/>
      </c>
      <c r="K438" s="8">
        <f>IF($J$466=0,0,J438/$J$466)</f>
        <v/>
      </c>
      <c r="L438" s="6" t="inlineStr">
        <is>
          <t>REJECTED</t>
        </is>
      </c>
      <c r="M438" s="8" t="n">
        <v>0</v>
      </c>
      <c r="N438" s="7">
        <f>M438*$J$466-J438</f>
        <v/>
      </c>
      <c r="O438" s="9">
        <f>IF(G438=0,0,N438/G438)</f>
        <v/>
      </c>
      <c r="P438" s="6">
        <f>IF(M438&gt;0,D438,"")</f>
        <v/>
      </c>
      <c r="Q438" s="9">
        <f>I438+O438</f>
        <v/>
      </c>
      <c r="R438" s="7">
        <f>Q438*G438</f>
        <v/>
      </c>
      <c r="S438" s="8">
        <f>IF($R$466=0,0,R438/$R$466)</f>
        <v/>
      </c>
      <c r="T438" s="8" t="n">
        <v>0</v>
      </c>
      <c r="U438" s="8" t="n">
        <v>0.0117647273919439</v>
      </c>
      <c r="V438" s="6" t="inlineStr">
        <is>
          <t>not selected</t>
        </is>
      </c>
    </row>
    <row r="439">
      <c r="A439" s="6" t="inlineStr">
        <is>
          <t>DJ30</t>
        </is>
      </c>
      <c r="B439" s="6" t="inlineStr">
        <is>
          <t>2023-04-14</t>
        </is>
      </c>
      <c r="C439" s="6" t="inlineStr">
        <is>
          <t>DIA</t>
        </is>
      </c>
      <c r="D439" s="6" t="inlineStr">
        <is>
          <t>AXP</t>
        </is>
      </c>
      <c r="E439" s="6" t="inlineStr">
        <is>
          <t>AXP</t>
        </is>
      </c>
      <c r="F439" s="6" t="inlineStr">
        <is>
          <t>-</t>
        </is>
      </c>
      <c r="G439" s="7" t="n">
        <v>157.5247344970703</v>
      </c>
      <c r="H439" s="6">
        <f>P408</f>
        <v/>
      </c>
      <c r="I439" s="9">
        <f>Q408</f>
        <v/>
      </c>
      <c r="J439" s="7">
        <f>I439*G439</f>
        <v/>
      </c>
      <c r="K439" s="8">
        <f>IF($J$466=0,0,J439/$J$466)</f>
        <v/>
      </c>
      <c r="L439" s="6" t="inlineStr">
        <is>
          <t>REJECTED</t>
        </is>
      </c>
      <c r="M439" s="8" t="n">
        <v>0</v>
      </c>
      <c r="N439" s="7">
        <f>M439*$J$466-J439</f>
        <v/>
      </c>
      <c r="O439" s="9">
        <f>IF(G439=0,0,N439/G439)</f>
        <v/>
      </c>
      <c r="P439" s="6">
        <f>IF(M439&gt;0,D439,"")</f>
        <v/>
      </c>
      <c r="Q439" s="9">
        <f>I439+O439</f>
        <v/>
      </c>
      <c r="R439" s="7">
        <f>Q439*G439</f>
        <v/>
      </c>
      <c r="S439" s="8">
        <f>IF($R$466=0,0,R439/$R$466)</f>
        <v/>
      </c>
      <c r="T439" s="8" t="n">
        <v>0</v>
      </c>
      <c r="U439" s="8" t="n">
        <v>0.0117647273919439</v>
      </c>
      <c r="V439" s="6" t="inlineStr">
        <is>
          <t>not selected</t>
        </is>
      </c>
    </row>
    <row r="440">
      <c r="A440" s="6" t="inlineStr">
        <is>
          <t>DJ30</t>
        </is>
      </c>
      <c r="B440" s="6" t="inlineStr">
        <is>
          <t>2023-04-14</t>
        </is>
      </c>
      <c r="C440" s="6" t="inlineStr">
        <is>
          <t>DIA</t>
        </is>
      </c>
      <c r="D440" s="6" t="inlineStr">
        <is>
          <t>BA</t>
        </is>
      </c>
      <c r="E440" s="6" t="inlineStr">
        <is>
          <t>BA</t>
        </is>
      </c>
      <c r="F440" s="6" t="inlineStr">
        <is>
          <t>-</t>
        </is>
      </c>
      <c r="G440" s="7" t="n">
        <v>201.7100067138672</v>
      </c>
      <c r="H440" s="6">
        <f>P409</f>
        <v/>
      </c>
      <c r="I440" s="9">
        <f>Q409</f>
        <v/>
      </c>
      <c r="J440" s="7">
        <f>I440*G440</f>
        <v/>
      </c>
      <c r="K440" s="8">
        <f>IF($J$466=0,0,J440/$J$466)</f>
        <v/>
      </c>
      <c r="L440" s="6" t="inlineStr">
        <is>
          <t>REJECTED</t>
        </is>
      </c>
      <c r="M440" s="8" t="n">
        <v>0</v>
      </c>
      <c r="N440" s="7">
        <f>M440*$J$466-J440</f>
        <v/>
      </c>
      <c r="O440" s="9">
        <f>IF(G440=0,0,N440/G440)</f>
        <v/>
      </c>
      <c r="P440" s="6">
        <f>IF(M440&gt;0,D440,"")</f>
        <v/>
      </c>
      <c r="Q440" s="9">
        <f>I440+O440</f>
        <v/>
      </c>
      <c r="R440" s="7">
        <f>Q440*G440</f>
        <v/>
      </c>
      <c r="S440" s="8">
        <f>IF($R$466=0,0,R440/$R$466)</f>
        <v/>
      </c>
      <c r="T440" s="8" t="n">
        <v>0</v>
      </c>
      <c r="U440" s="8" t="n">
        <v>0.0117647273919439</v>
      </c>
      <c r="V440" s="6" t="inlineStr">
        <is>
          <t>not selected</t>
        </is>
      </c>
    </row>
    <row r="441">
      <c r="A441" s="6" t="inlineStr">
        <is>
          <t>DJ30</t>
        </is>
      </c>
      <c r="B441" s="6" t="inlineStr">
        <is>
          <t>2023-04-14</t>
        </is>
      </c>
      <c r="C441" s="6" t="inlineStr">
        <is>
          <t>DIA</t>
        </is>
      </c>
      <c r="D441" s="6" t="inlineStr">
        <is>
          <t>CAT</t>
        </is>
      </c>
      <c r="E441" s="6" t="inlineStr">
        <is>
          <t>CAT</t>
        </is>
      </c>
      <c r="F441" s="6" t="inlineStr">
        <is>
          <t>-</t>
        </is>
      </c>
      <c r="G441" s="7" t="n">
        <v>212.6335754394531</v>
      </c>
      <c r="H441" s="6">
        <f>P410</f>
        <v/>
      </c>
      <c r="I441" s="9">
        <f>Q410</f>
        <v/>
      </c>
      <c r="J441" s="7">
        <f>I441*G441</f>
        <v/>
      </c>
      <c r="K441" s="8">
        <f>IF($J$466=0,0,J441/$J$466)</f>
        <v/>
      </c>
      <c r="L441" s="6" t="inlineStr">
        <is>
          <t>REJECTED</t>
        </is>
      </c>
      <c r="M441" s="8" t="n">
        <v>0</v>
      </c>
      <c r="N441" s="7">
        <f>M441*$J$466-J441</f>
        <v/>
      </c>
      <c r="O441" s="9">
        <f>IF(G441=0,0,N441/G441)</f>
        <v/>
      </c>
      <c r="P441" s="6">
        <f>IF(M441&gt;0,D441,"")</f>
        <v/>
      </c>
      <c r="Q441" s="9">
        <f>I441+O441</f>
        <v/>
      </c>
      <c r="R441" s="7">
        <f>Q441*G441</f>
        <v/>
      </c>
      <c r="S441" s="8">
        <f>IF($R$466=0,0,R441/$R$466)</f>
        <v/>
      </c>
      <c r="T441" s="8" t="n">
        <v>0</v>
      </c>
      <c r="U441" s="8" t="n">
        <v>0.0117647273919439</v>
      </c>
      <c r="V441" s="6" t="inlineStr">
        <is>
          <t>not selected</t>
        </is>
      </c>
    </row>
    <row r="442">
      <c r="A442" s="6" t="inlineStr">
        <is>
          <t>DJ30</t>
        </is>
      </c>
      <c r="B442" s="6" t="inlineStr">
        <is>
          <t>2023-04-14</t>
        </is>
      </c>
      <c r="C442" s="6" t="inlineStr">
        <is>
          <t>DIA</t>
        </is>
      </c>
      <c r="D442" s="6" t="inlineStr">
        <is>
          <t>CRM</t>
        </is>
      </c>
      <c r="E442" s="6" t="inlineStr">
        <is>
          <t>CRM</t>
        </is>
      </c>
      <c r="F442" s="6" t="inlineStr">
        <is>
          <t>-</t>
        </is>
      </c>
      <c r="G442" s="7" t="n">
        <v>191.3397064208984</v>
      </c>
      <c r="H442" s="6">
        <f>P411</f>
        <v/>
      </c>
      <c r="I442" s="9">
        <f>Q411</f>
        <v/>
      </c>
      <c r="J442" s="7">
        <f>I442*G442</f>
        <v/>
      </c>
      <c r="K442" s="8">
        <f>IF($J$466=0,0,J442/$J$466)</f>
        <v/>
      </c>
      <c r="L442" s="6" t="inlineStr">
        <is>
          <t>REJECTED</t>
        </is>
      </c>
      <c r="M442" s="8" t="n">
        <v>0</v>
      </c>
      <c r="N442" s="7">
        <f>M442*$J$466-J442</f>
        <v/>
      </c>
      <c r="O442" s="9">
        <f>IF(G442=0,0,N442/G442)</f>
        <v/>
      </c>
      <c r="P442" s="6">
        <f>IF(M442&gt;0,D442,"")</f>
        <v/>
      </c>
      <c r="Q442" s="9">
        <f>I442+O442</f>
        <v/>
      </c>
      <c r="R442" s="7">
        <f>Q442*G442</f>
        <v/>
      </c>
      <c r="S442" s="8">
        <f>IF($R$466=0,0,R442/$R$466)</f>
        <v/>
      </c>
      <c r="T442" s="8" t="n">
        <v>0</v>
      </c>
      <c r="U442" s="8" t="n">
        <v>0.0117647273919439</v>
      </c>
      <c r="V442" s="6" t="inlineStr">
        <is>
          <t>not selected</t>
        </is>
      </c>
    </row>
    <row r="443">
      <c r="A443" s="6" t="inlineStr">
        <is>
          <t>DJ30</t>
        </is>
      </c>
      <c r="B443" s="6" t="inlineStr">
        <is>
          <t>2023-04-14</t>
        </is>
      </c>
      <c r="C443" s="6" t="inlineStr">
        <is>
          <t>DIA</t>
        </is>
      </c>
      <c r="D443" s="6" t="inlineStr">
        <is>
          <t>CSCO</t>
        </is>
      </c>
      <c r="E443" s="6" t="inlineStr">
        <is>
          <t>CSCO</t>
        </is>
      </c>
      <c r="F443" s="6" t="inlineStr">
        <is>
          <t>-</t>
        </is>
      </c>
      <c r="G443" s="7" t="n">
        <v>46.51526641845703</v>
      </c>
      <c r="H443" s="6">
        <f>P412</f>
        <v/>
      </c>
      <c r="I443" s="9">
        <f>Q412</f>
        <v/>
      </c>
      <c r="J443" s="7">
        <f>I443*G443</f>
        <v/>
      </c>
      <c r="K443" s="8">
        <f>IF($J$466=0,0,J443/$J$466)</f>
        <v/>
      </c>
      <c r="L443" s="6" t="inlineStr">
        <is>
          <t>REJECTED</t>
        </is>
      </c>
      <c r="M443" s="8" t="n">
        <v>0</v>
      </c>
      <c r="N443" s="7">
        <f>M443*$J$466-J443</f>
        <v/>
      </c>
      <c r="O443" s="9">
        <f>IF(G443=0,0,N443/G443)</f>
        <v/>
      </c>
      <c r="P443" s="6">
        <f>IF(M443&gt;0,D443,"")</f>
        <v/>
      </c>
      <c r="Q443" s="9">
        <f>I443+O443</f>
        <v/>
      </c>
      <c r="R443" s="7">
        <f>Q443*G443</f>
        <v/>
      </c>
      <c r="S443" s="8">
        <f>IF($R$466=0,0,R443/$R$466)</f>
        <v/>
      </c>
      <c r="T443" s="8" t="n">
        <v>0</v>
      </c>
      <c r="U443" s="8" t="n">
        <v>0.0117647273919439</v>
      </c>
      <c r="V443" s="6" t="inlineStr">
        <is>
          <t>not selected</t>
        </is>
      </c>
    </row>
    <row r="444">
      <c r="A444" s="6" t="inlineStr">
        <is>
          <t>DJ30</t>
        </is>
      </c>
      <c r="B444" s="6" t="inlineStr">
        <is>
          <t>2023-04-14</t>
        </is>
      </c>
      <c r="C444" s="6" t="inlineStr">
        <is>
          <t>DIA</t>
        </is>
      </c>
      <c r="D444" s="6" t="inlineStr">
        <is>
          <t>CVX</t>
        </is>
      </c>
      <c r="E444" s="6" t="inlineStr">
        <is>
          <t>CVX</t>
        </is>
      </c>
      <c r="F444" s="6" t="inlineStr">
        <is>
          <t>-</t>
        </is>
      </c>
      <c r="G444" s="7" t="n">
        <v>150.50048828125</v>
      </c>
      <c r="H444" s="6">
        <f>P413</f>
        <v/>
      </c>
      <c r="I444" s="9">
        <f>Q413</f>
        <v/>
      </c>
      <c r="J444" s="7">
        <f>I444*G444</f>
        <v/>
      </c>
      <c r="K444" s="8">
        <f>IF($J$466=0,0,J444/$J$466)</f>
        <v/>
      </c>
      <c r="L444" s="6" t="inlineStr">
        <is>
          <t>REJECTED</t>
        </is>
      </c>
      <c r="M444" s="8" t="n">
        <v>0</v>
      </c>
      <c r="N444" s="7">
        <f>M444*$J$466-J444</f>
        <v/>
      </c>
      <c r="O444" s="9">
        <f>IF(G444=0,0,N444/G444)</f>
        <v/>
      </c>
      <c r="P444" s="6">
        <f>IF(M444&gt;0,D444,"")</f>
        <v/>
      </c>
      <c r="Q444" s="9">
        <f>I444+O444</f>
        <v/>
      </c>
      <c r="R444" s="7">
        <f>Q444*G444</f>
        <v/>
      </c>
      <c r="S444" s="8">
        <f>IF($R$466=0,0,R444/$R$466)</f>
        <v/>
      </c>
      <c r="T444" s="8" t="n">
        <v>0</v>
      </c>
      <c r="U444" s="8" t="n">
        <v>0.0117647273919439</v>
      </c>
      <c r="V444" s="6" t="inlineStr">
        <is>
          <t>not selected</t>
        </is>
      </c>
    </row>
    <row r="445">
      <c r="A445" s="6" t="inlineStr">
        <is>
          <t>DJ30</t>
        </is>
      </c>
      <c r="B445" s="6" t="inlineStr">
        <is>
          <t>2023-04-14</t>
        </is>
      </c>
      <c r="C445" s="6" t="inlineStr">
        <is>
          <t>DIA</t>
        </is>
      </c>
      <c r="D445" s="6" t="inlineStr">
        <is>
          <t>DIS</t>
        </is>
      </c>
      <c r="E445" s="6" t="inlineStr">
        <is>
          <t>DIS</t>
        </is>
      </c>
      <c r="F445" s="6" t="inlineStr">
        <is>
          <t>-</t>
        </is>
      </c>
      <c r="G445" s="7" t="n">
        <v>97.60153961181641</v>
      </c>
      <c r="H445" s="6">
        <f>P414</f>
        <v/>
      </c>
      <c r="I445" s="9">
        <f>Q414</f>
        <v/>
      </c>
      <c r="J445" s="7">
        <f>I445*G445</f>
        <v/>
      </c>
      <c r="K445" s="8">
        <f>IF($J$466=0,0,J445/$J$466)</f>
        <v/>
      </c>
      <c r="L445" s="6" t="inlineStr">
        <is>
          <t>REJECTED</t>
        </is>
      </c>
      <c r="M445" s="8" t="n">
        <v>0</v>
      </c>
      <c r="N445" s="7">
        <f>M445*$J$466-J445</f>
        <v/>
      </c>
      <c r="O445" s="9">
        <f>IF(G445=0,0,N445/G445)</f>
        <v/>
      </c>
      <c r="P445" s="6">
        <f>IF(M445&gt;0,D445,"")</f>
        <v/>
      </c>
      <c r="Q445" s="9">
        <f>I445+O445</f>
        <v/>
      </c>
      <c r="R445" s="7">
        <f>Q445*G445</f>
        <v/>
      </c>
      <c r="S445" s="8">
        <f>IF($R$466=0,0,R445/$R$466)</f>
        <v/>
      </c>
      <c r="T445" s="8" t="n">
        <v>0</v>
      </c>
      <c r="U445" s="8" t="n">
        <v>0.0117647273919439</v>
      </c>
      <c r="V445" s="6" t="inlineStr">
        <is>
          <t>not selected</t>
        </is>
      </c>
    </row>
    <row r="446">
      <c r="A446" s="6" t="inlineStr">
        <is>
          <t>DJ30</t>
        </is>
      </c>
      <c r="B446" s="6" t="inlineStr">
        <is>
          <t>2023-04-14</t>
        </is>
      </c>
      <c r="C446" s="6" t="inlineStr">
        <is>
          <t>DIA</t>
        </is>
      </c>
      <c r="D446" s="6" t="inlineStr">
        <is>
          <t>GS</t>
        </is>
      </c>
      <c r="E446" s="6" t="inlineStr">
        <is>
          <t>GS</t>
        </is>
      </c>
      <c r="F446" s="6" t="inlineStr">
        <is>
          <t>-</t>
        </is>
      </c>
      <c r="G446" s="7" t="n">
        <v>311.6852111816406</v>
      </c>
      <c r="H446" s="6">
        <f>P415</f>
        <v/>
      </c>
      <c r="I446" s="9">
        <f>Q415</f>
        <v/>
      </c>
      <c r="J446" s="7">
        <f>I446*G446</f>
        <v/>
      </c>
      <c r="K446" s="8">
        <f>IF($J$466=0,0,J446/$J$466)</f>
        <v/>
      </c>
      <c r="L446" s="6" t="inlineStr">
        <is>
          <t>REJECTED</t>
        </is>
      </c>
      <c r="M446" s="8" t="n">
        <v>0</v>
      </c>
      <c r="N446" s="7">
        <f>M446*$J$466-J446</f>
        <v/>
      </c>
      <c r="O446" s="9">
        <f>IF(G446=0,0,N446/G446)</f>
        <v/>
      </c>
      <c r="P446" s="6">
        <f>IF(M446&gt;0,D446,"")</f>
        <v/>
      </c>
      <c r="Q446" s="9">
        <f>I446+O446</f>
        <v/>
      </c>
      <c r="R446" s="7">
        <f>Q446*G446</f>
        <v/>
      </c>
      <c r="S446" s="8">
        <f>IF($R$466=0,0,R446/$R$466)</f>
        <v/>
      </c>
      <c r="T446" s="8" t="n">
        <v>0</v>
      </c>
      <c r="U446" s="8" t="n">
        <v>0.0117647273919439</v>
      </c>
      <c r="V446" s="6" t="inlineStr">
        <is>
          <t>not selected</t>
        </is>
      </c>
    </row>
    <row r="447">
      <c r="A447" s="6" t="inlineStr">
        <is>
          <t>DJ30</t>
        </is>
      </c>
      <c r="B447" s="6" t="inlineStr">
        <is>
          <t>2023-04-14</t>
        </is>
      </c>
      <c r="C447" s="6" t="inlineStr">
        <is>
          <t>DIA</t>
        </is>
      </c>
      <c r="D447" s="6" t="inlineStr">
        <is>
          <t>HD</t>
        </is>
      </c>
      <c r="E447" s="6" t="inlineStr">
        <is>
          <t>HD</t>
        </is>
      </c>
      <c r="F447" s="6" t="inlineStr">
        <is>
          <t>-</t>
        </is>
      </c>
      <c r="G447" s="7" t="n">
        <v>268.8660278320312</v>
      </c>
      <c r="H447" s="6">
        <f>P416</f>
        <v/>
      </c>
      <c r="I447" s="9">
        <f>Q416</f>
        <v/>
      </c>
      <c r="J447" s="7">
        <f>I447*G447</f>
        <v/>
      </c>
      <c r="K447" s="8">
        <f>IF($J$466=0,0,J447/$J$466)</f>
        <v/>
      </c>
      <c r="L447" s="6" t="inlineStr">
        <is>
          <t>REJECTED</t>
        </is>
      </c>
      <c r="M447" s="8" t="n">
        <v>0</v>
      </c>
      <c r="N447" s="7">
        <f>M447*$J$466-J447</f>
        <v/>
      </c>
      <c r="O447" s="9">
        <f>IF(G447=0,0,N447/G447)</f>
        <v/>
      </c>
      <c r="P447" s="6">
        <f>IF(M447&gt;0,D447,"")</f>
        <v/>
      </c>
      <c r="Q447" s="9">
        <f>I447+O447</f>
        <v/>
      </c>
      <c r="R447" s="7">
        <f>Q447*G447</f>
        <v/>
      </c>
      <c r="S447" s="8">
        <f>IF($R$466=0,0,R447/$R$466)</f>
        <v/>
      </c>
      <c r="T447" s="8" t="n">
        <v>0</v>
      </c>
      <c r="U447" s="8" t="n">
        <v>0.0117647273919439</v>
      </c>
      <c r="V447" s="6" t="inlineStr">
        <is>
          <t>not selected</t>
        </is>
      </c>
    </row>
    <row r="448">
      <c r="A448" s="6" t="inlineStr">
        <is>
          <t>DJ30</t>
        </is>
      </c>
      <c r="B448" s="6" t="inlineStr">
        <is>
          <t>2023-04-14</t>
        </is>
      </c>
      <c r="C448" s="6" t="inlineStr">
        <is>
          <t>DIA</t>
        </is>
      </c>
      <c r="D448" s="6" t="inlineStr">
        <is>
          <t>HON</t>
        </is>
      </c>
      <c r="E448" s="6" t="inlineStr">
        <is>
          <t>HON</t>
        </is>
      </c>
      <c r="F448" s="6" t="inlineStr">
        <is>
          <t>-</t>
        </is>
      </c>
      <c r="G448" s="7" t="n">
        <v>172.7743835449219</v>
      </c>
      <c r="H448" s="6">
        <f>P417</f>
        <v/>
      </c>
      <c r="I448" s="9">
        <f>Q417</f>
        <v/>
      </c>
      <c r="J448" s="7">
        <f>I448*G448</f>
        <v/>
      </c>
      <c r="K448" s="8">
        <f>IF($J$466=0,0,J448/$J$466)</f>
        <v/>
      </c>
      <c r="L448" s="6" t="inlineStr">
        <is>
          <t>REJECTED</t>
        </is>
      </c>
      <c r="M448" s="8" t="n">
        <v>0</v>
      </c>
      <c r="N448" s="7">
        <f>M448*$J$466-J448</f>
        <v/>
      </c>
      <c r="O448" s="9">
        <f>IF(G448=0,0,N448/G448)</f>
        <v/>
      </c>
      <c r="P448" s="6">
        <f>IF(M448&gt;0,D448,"")</f>
        <v/>
      </c>
      <c r="Q448" s="9">
        <f>I448+O448</f>
        <v/>
      </c>
      <c r="R448" s="7">
        <f>Q448*G448</f>
        <v/>
      </c>
      <c r="S448" s="8">
        <f>IF($R$466=0,0,R448/$R$466)</f>
        <v/>
      </c>
      <c r="T448" s="8" t="n">
        <v>0</v>
      </c>
      <c r="U448" s="8" t="n">
        <v>0.0117647273919439</v>
      </c>
      <c r="V448" s="6" t="inlineStr">
        <is>
          <t>not selected</t>
        </is>
      </c>
    </row>
    <row r="449">
      <c r="A449" s="6" t="inlineStr">
        <is>
          <t>DJ30</t>
        </is>
      </c>
      <c r="B449" s="6" t="inlineStr">
        <is>
          <t>2023-04-14</t>
        </is>
      </c>
      <c r="C449" s="6" t="inlineStr">
        <is>
          <t>DIA</t>
        </is>
      </c>
      <c r="D449" s="6" t="inlineStr">
        <is>
          <t>IBM</t>
        </is>
      </c>
      <c r="E449" s="6" t="inlineStr">
        <is>
          <t>IBM</t>
        </is>
      </c>
      <c r="F449" s="6" t="inlineStr">
        <is>
          <t>-</t>
        </is>
      </c>
      <c r="G449" s="7" t="n">
        <v>114.7574844360352</v>
      </c>
      <c r="H449" s="6">
        <f>P418</f>
        <v/>
      </c>
      <c r="I449" s="9">
        <f>Q418</f>
        <v/>
      </c>
      <c r="J449" s="7">
        <f>I449*G449</f>
        <v/>
      </c>
      <c r="K449" s="8">
        <f>IF($J$466=0,0,J449/$J$466)</f>
        <v/>
      </c>
      <c r="L449" s="6" t="inlineStr">
        <is>
          <t>REJECTED</t>
        </is>
      </c>
      <c r="M449" s="8" t="n">
        <v>0</v>
      </c>
      <c r="N449" s="7">
        <f>M449*$J$466-J449</f>
        <v/>
      </c>
      <c r="O449" s="9">
        <f>IF(G449=0,0,N449/G449)</f>
        <v/>
      </c>
      <c r="P449" s="6">
        <f>IF(M449&gt;0,D449,"")</f>
        <v/>
      </c>
      <c r="Q449" s="9">
        <f>I449+O449</f>
        <v/>
      </c>
      <c r="R449" s="7">
        <f>Q449*G449</f>
        <v/>
      </c>
      <c r="S449" s="8">
        <f>IF($R$466=0,0,R449/$R$466)</f>
        <v/>
      </c>
      <c r="T449" s="8" t="n">
        <v>0</v>
      </c>
      <c r="U449" s="8" t="n">
        <v>0.0117647273919439</v>
      </c>
      <c r="V449" s="6" t="inlineStr">
        <is>
          <t>not selected</t>
        </is>
      </c>
    </row>
    <row r="450">
      <c r="A450" s="6" t="inlineStr">
        <is>
          <t>DJ30</t>
        </is>
      </c>
      <c r="B450" s="6" t="inlineStr">
        <is>
          <t>2023-04-14</t>
        </is>
      </c>
      <c r="C450" s="6" t="inlineStr">
        <is>
          <t>DIA</t>
        </is>
      </c>
      <c r="D450" s="6" t="inlineStr">
        <is>
          <t>JNJ</t>
        </is>
      </c>
      <c r="E450" s="6" t="inlineStr">
        <is>
          <t>JNJ</t>
        </is>
      </c>
      <c r="F450" s="6" t="inlineStr">
        <is>
          <t>-</t>
        </is>
      </c>
      <c r="G450" s="7" t="n">
        <v>150.7977905273438</v>
      </c>
      <c r="H450" s="6">
        <f>P419</f>
        <v/>
      </c>
      <c r="I450" s="9">
        <f>Q419</f>
        <v/>
      </c>
      <c r="J450" s="7">
        <f>I450*G450</f>
        <v/>
      </c>
      <c r="K450" s="8">
        <f>IF($J$466=0,0,J450/$J$466)</f>
        <v/>
      </c>
      <c r="L450" s="6" t="inlineStr">
        <is>
          <t>REJECTED</t>
        </is>
      </c>
      <c r="M450" s="8" t="n">
        <v>0</v>
      </c>
      <c r="N450" s="7">
        <f>M450*$J$466-J450</f>
        <v/>
      </c>
      <c r="O450" s="9">
        <f>IF(G450=0,0,N450/G450)</f>
        <v/>
      </c>
      <c r="P450" s="6">
        <f>IF(M450&gt;0,D450,"")</f>
        <v/>
      </c>
      <c r="Q450" s="9">
        <f>I450+O450</f>
        <v/>
      </c>
      <c r="R450" s="7">
        <f>Q450*G450</f>
        <v/>
      </c>
      <c r="S450" s="8">
        <f>IF($R$466=0,0,R450/$R$466)</f>
        <v/>
      </c>
      <c r="T450" s="8" t="n">
        <v>0</v>
      </c>
      <c r="U450" s="8" t="n">
        <v>0.0117647273919439</v>
      </c>
      <c r="V450" s="6" t="inlineStr">
        <is>
          <t>not selected</t>
        </is>
      </c>
    </row>
    <row r="451">
      <c r="A451" s="6" t="inlineStr">
        <is>
          <t>DJ30</t>
        </is>
      </c>
      <c r="B451" s="6" t="inlineStr">
        <is>
          <t>2023-04-14</t>
        </is>
      </c>
      <c r="C451" s="6" t="inlineStr">
        <is>
          <t>DIA</t>
        </is>
      </c>
      <c r="D451" s="6" t="inlineStr">
        <is>
          <t>JPM</t>
        </is>
      </c>
      <c r="E451" s="6" t="inlineStr">
        <is>
          <t>JPM</t>
        </is>
      </c>
      <c r="F451" s="6" t="inlineStr">
        <is>
          <t>-</t>
        </is>
      </c>
      <c r="G451" s="7" t="n">
        <v>129.5648498535156</v>
      </c>
      <c r="H451" s="6">
        <f>P420</f>
        <v/>
      </c>
      <c r="I451" s="9">
        <f>Q420</f>
        <v/>
      </c>
      <c r="J451" s="7">
        <f>I451*G451</f>
        <v/>
      </c>
      <c r="K451" s="8">
        <f>IF($J$466=0,0,J451/$J$466)</f>
        <v/>
      </c>
      <c r="L451" s="6" t="inlineStr">
        <is>
          <t>REJECTED</t>
        </is>
      </c>
      <c r="M451" s="8" t="n">
        <v>0</v>
      </c>
      <c r="N451" s="7">
        <f>M451*$J$466-J451</f>
        <v/>
      </c>
      <c r="O451" s="9">
        <f>IF(G451=0,0,N451/G451)</f>
        <v/>
      </c>
      <c r="P451" s="6">
        <f>IF(M451&gt;0,D451,"")</f>
        <v/>
      </c>
      <c r="Q451" s="9">
        <f>I451+O451</f>
        <v/>
      </c>
      <c r="R451" s="7">
        <f>Q451*G451</f>
        <v/>
      </c>
      <c r="S451" s="8">
        <f>IF($R$466=0,0,R451/$R$466)</f>
        <v/>
      </c>
      <c r="T451" s="8" t="n">
        <v>0</v>
      </c>
      <c r="U451" s="8" t="n">
        <v>0.0117647273919439</v>
      </c>
      <c r="V451" s="6" t="inlineStr">
        <is>
          <t>not selected</t>
        </is>
      </c>
    </row>
    <row r="452">
      <c r="A452" s="6" t="inlineStr">
        <is>
          <t>DJ30</t>
        </is>
      </c>
      <c r="B452" s="6" t="inlineStr">
        <is>
          <t>2023-04-14</t>
        </is>
      </c>
      <c r="C452" s="6" t="inlineStr">
        <is>
          <t>DIA</t>
        </is>
      </c>
      <c r="D452" s="6" t="inlineStr">
        <is>
          <t>KO</t>
        </is>
      </c>
      <c r="E452" s="6" t="inlineStr">
        <is>
          <t>KO</t>
        </is>
      </c>
      <c r="F452" s="6" t="inlineStr">
        <is>
          <t>-</t>
        </is>
      </c>
      <c r="G452" s="7" t="n">
        <v>57.2861213684082</v>
      </c>
      <c r="H452" s="6">
        <f>P421</f>
        <v/>
      </c>
      <c r="I452" s="9">
        <f>Q421</f>
        <v/>
      </c>
      <c r="J452" s="7">
        <f>I452*G452</f>
        <v/>
      </c>
      <c r="K452" s="8">
        <f>IF($J$466=0,0,J452/$J$466)</f>
        <v/>
      </c>
      <c r="L452" s="6" t="inlineStr">
        <is>
          <t>REJECTED</t>
        </is>
      </c>
      <c r="M452" s="8" t="n">
        <v>0</v>
      </c>
      <c r="N452" s="7">
        <f>M452*$J$466-J452</f>
        <v/>
      </c>
      <c r="O452" s="9">
        <f>IF(G452=0,0,N452/G452)</f>
        <v/>
      </c>
      <c r="P452" s="6">
        <f>IF(M452&gt;0,D452,"")</f>
        <v/>
      </c>
      <c r="Q452" s="9">
        <f>I452+O452</f>
        <v/>
      </c>
      <c r="R452" s="7">
        <f>Q452*G452</f>
        <v/>
      </c>
      <c r="S452" s="8">
        <f>IF($R$466=0,0,R452/$R$466)</f>
        <v/>
      </c>
      <c r="T452" s="8" t="n">
        <v>0</v>
      </c>
      <c r="U452" s="8" t="n">
        <v>0.0117647273919439</v>
      </c>
      <c r="V452" s="6" t="inlineStr">
        <is>
          <t>not selected</t>
        </is>
      </c>
    </row>
    <row r="453">
      <c r="A453" s="6" t="inlineStr">
        <is>
          <t>DJ30</t>
        </is>
      </c>
      <c r="B453" s="6" t="inlineStr">
        <is>
          <t>2023-04-14</t>
        </is>
      </c>
      <c r="C453" s="6" t="inlineStr">
        <is>
          <t>DIA</t>
        </is>
      </c>
      <c r="D453" s="6" t="inlineStr">
        <is>
          <t>MCD</t>
        </is>
      </c>
      <c r="E453" s="6" t="inlineStr">
        <is>
          <t>MCD</t>
        </is>
      </c>
      <c r="F453" s="6" t="inlineStr">
        <is>
          <t>-</t>
        </is>
      </c>
      <c r="G453" s="7" t="n">
        <v>267.8416137695312</v>
      </c>
      <c r="H453" s="6">
        <f>P422</f>
        <v/>
      </c>
      <c r="I453" s="9">
        <f>Q422</f>
        <v/>
      </c>
      <c r="J453" s="7">
        <f>I453*G453</f>
        <v/>
      </c>
      <c r="K453" s="8">
        <f>IF($J$466=0,0,J453/$J$466)</f>
        <v/>
      </c>
      <c r="L453" s="6" t="inlineStr">
        <is>
          <t>REJECTED</t>
        </is>
      </c>
      <c r="M453" s="8" t="n">
        <v>0</v>
      </c>
      <c r="N453" s="7">
        <f>M453*$J$466-J453</f>
        <v/>
      </c>
      <c r="O453" s="9">
        <f>IF(G453=0,0,N453/G453)</f>
        <v/>
      </c>
      <c r="P453" s="6">
        <f>IF(M453&gt;0,D453,"")</f>
        <v/>
      </c>
      <c r="Q453" s="9">
        <f>I453+O453</f>
        <v/>
      </c>
      <c r="R453" s="7">
        <f>Q453*G453</f>
        <v/>
      </c>
      <c r="S453" s="8">
        <f>IF($R$466=0,0,R453/$R$466)</f>
        <v/>
      </c>
      <c r="T453" s="8" t="n">
        <v>0</v>
      </c>
      <c r="U453" s="8" t="n">
        <v>0.0117647273919439</v>
      </c>
      <c r="V453" s="6" t="inlineStr">
        <is>
          <t>not selected</t>
        </is>
      </c>
    </row>
    <row r="454">
      <c r="A454" s="6" t="inlineStr">
        <is>
          <t>DJ30</t>
        </is>
      </c>
      <c r="B454" s="6" t="inlineStr">
        <is>
          <t>2023-04-14</t>
        </is>
      </c>
      <c r="C454" s="6" t="inlineStr">
        <is>
          <t>DIA</t>
        </is>
      </c>
      <c r="D454" s="6" t="inlineStr">
        <is>
          <t>MMM</t>
        </is>
      </c>
      <c r="E454" s="6" t="inlineStr">
        <is>
          <t>MMM</t>
        </is>
      </c>
      <c r="F454" s="6" t="inlineStr">
        <is>
          <t>-</t>
        </is>
      </c>
      <c r="G454" s="7" t="n">
        <v>79.38623809814453</v>
      </c>
      <c r="H454" s="6">
        <f>P423</f>
        <v/>
      </c>
      <c r="I454" s="9">
        <f>Q423</f>
        <v/>
      </c>
      <c r="J454" s="7">
        <f>I454*G454</f>
        <v/>
      </c>
      <c r="K454" s="8">
        <f>IF($J$466=0,0,J454/$J$466)</f>
        <v/>
      </c>
      <c r="L454" s="6" t="inlineStr">
        <is>
          <t>REJECTED</t>
        </is>
      </c>
      <c r="M454" s="8" t="n">
        <v>0</v>
      </c>
      <c r="N454" s="7">
        <f>M454*$J$466-J454</f>
        <v/>
      </c>
      <c r="O454" s="9">
        <f>IF(G454=0,0,N454/G454)</f>
        <v/>
      </c>
      <c r="P454" s="6">
        <f>IF(M454&gt;0,D454,"")</f>
        <v/>
      </c>
      <c r="Q454" s="9">
        <f>I454+O454</f>
        <v/>
      </c>
      <c r="R454" s="7">
        <f>Q454*G454</f>
        <v/>
      </c>
      <c r="S454" s="8">
        <f>IF($R$466=0,0,R454/$R$466)</f>
        <v/>
      </c>
      <c r="T454" s="8" t="n">
        <v>0</v>
      </c>
      <c r="U454" s="8" t="n">
        <v>0.0117647273919439</v>
      </c>
      <c r="V454" s="6" t="inlineStr">
        <is>
          <t>not selected</t>
        </is>
      </c>
    </row>
    <row r="455">
      <c r="A455" s="6" t="inlineStr">
        <is>
          <t>DJ30</t>
        </is>
      </c>
      <c r="B455" s="6" t="inlineStr">
        <is>
          <t>2023-04-14</t>
        </is>
      </c>
      <c r="C455" s="6" t="inlineStr">
        <is>
          <t>DIA</t>
        </is>
      </c>
      <c r="D455" s="6" t="inlineStr">
        <is>
          <t>MRK</t>
        </is>
      </c>
      <c r="E455" s="6" t="inlineStr">
        <is>
          <t>MRK</t>
        </is>
      </c>
      <c r="F455" s="6" t="inlineStr">
        <is>
          <t>-</t>
        </is>
      </c>
      <c r="G455" s="7" t="n">
        <v>104.4363174438477</v>
      </c>
      <c r="H455" s="6">
        <f>P424</f>
        <v/>
      </c>
      <c r="I455" s="9">
        <f>Q424</f>
        <v/>
      </c>
      <c r="J455" s="7">
        <f>I455*G455</f>
        <v/>
      </c>
      <c r="K455" s="8">
        <f>IF($J$466=0,0,J455/$J$466)</f>
        <v/>
      </c>
      <c r="L455" s="6" t="inlineStr">
        <is>
          <t>REJECTED</t>
        </is>
      </c>
      <c r="M455" s="8" t="n">
        <v>0</v>
      </c>
      <c r="N455" s="7">
        <f>M455*$J$466-J455</f>
        <v/>
      </c>
      <c r="O455" s="9">
        <f>IF(G455=0,0,N455/G455)</f>
        <v/>
      </c>
      <c r="P455" s="6">
        <f>IF(M455&gt;0,D455,"")</f>
        <v/>
      </c>
      <c r="Q455" s="9">
        <f>I455+O455</f>
        <v/>
      </c>
      <c r="R455" s="7">
        <f>Q455*G455</f>
        <v/>
      </c>
      <c r="S455" s="8">
        <f>IF($R$466=0,0,R455/$R$466)</f>
        <v/>
      </c>
      <c r="T455" s="8" t="n">
        <v>0</v>
      </c>
      <c r="U455" s="8" t="n">
        <v>0.0117647273919439</v>
      </c>
      <c r="V455" s="6" t="inlineStr">
        <is>
          <t>not selected</t>
        </is>
      </c>
    </row>
    <row r="456">
      <c r="A456" s="6" t="inlineStr">
        <is>
          <t>DJ30</t>
        </is>
      </c>
      <c r="B456" s="6" t="inlineStr">
        <is>
          <t>2023-04-14</t>
        </is>
      </c>
      <c r="C456" s="6" t="inlineStr">
        <is>
          <t>DIA</t>
        </is>
      </c>
      <c r="D456" s="6" t="inlineStr">
        <is>
          <t>MSFT</t>
        </is>
      </c>
      <c r="E456" s="6" t="inlineStr">
        <is>
          <t>MSFT</t>
        </is>
      </c>
      <c r="F456" s="6" t="inlineStr">
        <is>
          <t>-</t>
        </is>
      </c>
      <c r="G456" s="7" t="n">
        <v>278.9163208007812</v>
      </c>
      <c r="H456" s="6">
        <f>P425</f>
        <v/>
      </c>
      <c r="I456" s="9">
        <f>Q425</f>
        <v/>
      </c>
      <c r="J456" s="7">
        <f>I456*G456</f>
        <v/>
      </c>
      <c r="K456" s="8">
        <f>IF($J$466=0,0,J456/$J$466)</f>
        <v/>
      </c>
      <c r="L456" s="6" t="inlineStr">
        <is>
          <t>REJECTED</t>
        </is>
      </c>
      <c r="M456" s="8" t="n">
        <v>0</v>
      </c>
      <c r="N456" s="7">
        <f>M456*$J$466-J456</f>
        <v/>
      </c>
      <c r="O456" s="9">
        <f>IF(G456=0,0,N456/G456)</f>
        <v/>
      </c>
      <c r="P456" s="6">
        <f>IF(M456&gt;0,D456,"")</f>
        <v/>
      </c>
      <c r="Q456" s="9">
        <f>I456+O456</f>
        <v/>
      </c>
      <c r="R456" s="7">
        <f>Q456*G456</f>
        <v/>
      </c>
      <c r="S456" s="8">
        <f>IF($R$466=0,0,R456/$R$466)</f>
        <v/>
      </c>
      <c r="T456" s="8" t="n">
        <v>0</v>
      </c>
      <c r="U456" s="8" t="n">
        <v>0.0117647273919439</v>
      </c>
      <c r="V456" s="6" t="inlineStr">
        <is>
          <t>not selected</t>
        </is>
      </c>
    </row>
    <row r="457">
      <c r="A457" s="6" t="inlineStr">
        <is>
          <t>DJ30</t>
        </is>
      </c>
      <c r="B457" s="6" t="inlineStr">
        <is>
          <t>2023-04-14</t>
        </is>
      </c>
      <c r="C457" s="6" t="inlineStr">
        <is>
          <t>DIA</t>
        </is>
      </c>
      <c r="D457" s="6" t="inlineStr">
        <is>
          <t>NKE</t>
        </is>
      </c>
      <c r="E457" s="6" t="inlineStr">
        <is>
          <t>NKE</t>
        </is>
      </c>
      <c r="F457" s="6" t="inlineStr">
        <is>
          <t>-</t>
        </is>
      </c>
      <c r="G457" s="7" t="n">
        <v>117.9354629516602</v>
      </c>
      <c r="H457" s="6">
        <f>P426</f>
        <v/>
      </c>
      <c r="I457" s="9">
        <f>Q426</f>
        <v/>
      </c>
      <c r="J457" s="7">
        <f>I457*G457</f>
        <v/>
      </c>
      <c r="K457" s="8">
        <f>IF($J$466=0,0,J457/$J$466)</f>
        <v/>
      </c>
      <c r="L457" s="6" t="inlineStr">
        <is>
          <t>REJECTED</t>
        </is>
      </c>
      <c r="M457" s="8" t="n">
        <v>0</v>
      </c>
      <c r="N457" s="7">
        <f>M457*$J$466-J457</f>
        <v/>
      </c>
      <c r="O457" s="9">
        <f>IF(G457=0,0,N457/G457)</f>
        <v/>
      </c>
      <c r="P457" s="6">
        <f>IF(M457&gt;0,D457,"")</f>
        <v/>
      </c>
      <c r="Q457" s="9">
        <f>I457+O457</f>
        <v/>
      </c>
      <c r="R457" s="7">
        <f>Q457*G457</f>
        <v/>
      </c>
      <c r="S457" s="8">
        <f>IF($R$466=0,0,R457/$R$466)</f>
        <v/>
      </c>
      <c r="T457" s="8" t="n">
        <v>0</v>
      </c>
      <c r="U457" s="8" t="n">
        <v>0.0117647273919439</v>
      </c>
      <c r="V457" s="6" t="inlineStr">
        <is>
          <t>not selected</t>
        </is>
      </c>
    </row>
    <row r="458">
      <c r="A458" s="6" t="inlineStr">
        <is>
          <t>DJ30</t>
        </is>
      </c>
      <c r="B458" s="6" t="inlineStr">
        <is>
          <t>2023-04-14</t>
        </is>
      </c>
      <c r="C458" s="6" t="inlineStr">
        <is>
          <t>DIA</t>
        </is>
      </c>
      <c r="D458" s="6" t="inlineStr">
        <is>
          <t>NVDA</t>
        </is>
      </c>
      <c r="E458" s="6" t="inlineStr">
        <is>
          <t>NVDA</t>
        </is>
      </c>
      <c r="F458" s="6" t="inlineStr">
        <is>
          <t>-</t>
        </is>
      </c>
      <c r="G458" s="7" t="n">
        <v>26.70320892333984</v>
      </c>
      <c r="H458" s="6">
        <f>P427</f>
        <v/>
      </c>
      <c r="I458" s="9">
        <f>Q427</f>
        <v/>
      </c>
      <c r="J458" s="7">
        <f>I458*G458</f>
        <v/>
      </c>
      <c r="K458" s="8">
        <f>IF($J$466=0,0,J458/$J$466)</f>
        <v/>
      </c>
      <c r="L458" s="6" t="inlineStr">
        <is>
          <t>REJECTED</t>
        </is>
      </c>
      <c r="M458" s="8" t="n">
        <v>0</v>
      </c>
      <c r="N458" s="7">
        <f>M458*$J$466-J458</f>
        <v/>
      </c>
      <c r="O458" s="9">
        <f>IF(G458=0,0,N458/G458)</f>
        <v/>
      </c>
      <c r="P458" s="6">
        <f>IF(M458&gt;0,D458,"")</f>
        <v/>
      </c>
      <c r="Q458" s="9">
        <f>I458+O458</f>
        <v/>
      </c>
      <c r="R458" s="7">
        <f>Q458*G458</f>
        <v/>
      </c>
      <c r="S458" s="8">
        <f>IF($R$466=0,0,R458/$R$466)</f>
        <v/>
      </c>
      <c r="T458" s="8" t="n">
        <v>0</v>
      </c>
      <c r="U458" s="8" t="n">
        <v>0.0117647273919439</v>
      </c>
      <c r="V458" s="6" t="inlineStr">
        <is>
          <t>not selected</t>
        </is>
      </c>
    </row>
    <row r="459">
      <c r="A459" s="6" t="inlineStr">
        <is>
          <t>DJ30</t>
        </is>
      </c>
      <c r="B459" s="6" t="inlineStr">
        <is>
          <t>2023-04-14</t>
        </is>
      </c>
      <c r="C459" s="6" t="inlineStr">
        <is>
          <t>DIA</t>
        </is>
      </c>
      <c r="D459" s="6" t="inlineStr">
        <is>
          <t>PG</t>
        </is>
      </c>
      <c r="E459" s="6" t="inlineStr">
        <is>
          <t>PG</t>
        </is>
      </c>
      <c r="F459" s="6" t="inlineStr">
        <is>
          <t>-</t>
        </is>
      </c>
      <c r="G459" s="7" t="n">
        <v>138.8260040283203</v>
      </c>
      <c r="H459" s="6">
        <f>P428</f>
        <v/>
      </c>
      <c r="I459" s="9">
        <f>Q428</f>
        <v/>
      </c>
      <c r="J459" s="7">
        <f>I459*G459</f>
        <v/>
      </c>
      <c r="K459" s="8">
        <f>IF($J$466=0,0,J459/$J$466)</f>
        <v/>
      </c>
      <c r="L459" s="6" t="inlineStr">
        <is>
          <t>REJECTED</t>
        </is>
      </c>
      <c r="M459" s="8" t="n">
        <v>0</v>
      </c>
      <c r="N459" s="7">
        <f>M459*$J$466-J459</f>
        <v/>
      </c>
      <c r="O459" s="9">
        <f>IF(G459=0,0,N459/G459)</f>
        <v/>
      </c>
      <c r="P459" s="6">
        <f>IF(M459&gt;0,D459,"")</f>
        <v/>
      </c>
      <c r="Q459" s="9">
        <f>I459+O459</f>
        <v/>
      </c>
      <c r="R459" s="7">
        <f>Q459*G459</f>
        <v/>
      </c>
      <c r="S459" s="8">
        <f>IF($R$466=0,0,R459/$R$466)</f>
        <v/>
      </c>
      <c r="T459" s="8" t="n">
        <v>0</v>
      </c>
      <c r="U459" s="8" t="n">
        <v>0.0117647273919439</v>
      </c>
      <c r="V459" s="6" t="inlineStr">
        <is>
          <t>not selected</t>
        </is>
      </c>
    </row>
    <row r="460">
      <c r="A460" s="6" t="inlineStr">
        <is>
          <t>DJ30</t>
        </is>
      </c>
      <c r="B460" s="6" t="inlineStr">
        <is>
          <t>2023-04-14</t>
        </is>
      </c>
      <c r="C460" s="6" t="inlineStr">
        <is>
          <t>DIA</t>
        </is>
      </c>
      <c r="D460" s="6" t="inlineStr">
        <is>
          <t>SHW</t>
        </is>
      </c>
      <c r="E460" s="6" t="inlineStr">
        <is>
          <t>SHW</t>
        </is>
      </c>
      <c r="F460" s="6" t="inlineStr">
        <is>
          <t>-</t>
        </is>
      </c>
      <c r="G460" s="7" t="n">
        <v>219.1609344482422</v>
      </c>
      <c r="H460" s="6">
        <f>P429</f>
        <v/>
      </c>
      <c r="I460" s="9">
        <f>Q429</f>
        <v/>
      </c>
      <c r="J460" s="7">
        <f>I460*G460</f>
        <v/>
      </c>
      <c r="K460" s="8">
        <f>IF($J$466=0,0,J460/$J$466)</f>
        <v/>
      </c>
      <c r="L460" s="6" t="inlineStr">
        <is>
          <t>REJECTED</t>
        </is>
      </c>
      <c r="M460" s="8" t="n">
        <v>0</v>
      </c>
      <c r="N460" s="7">
        <f>M460*$J$466-J460</f>
        <v/>
      </c>
      <c r="O460" s="9">
        <f>IF(G460=0,0,N460/G460)</f>
        <v/>
      </c>
      <c r="P460" s="6">
        <f>IF(M460&gt;0,D460,"")</f>
        <v/>
      </c>
      <c r="Q460" s="9">
        <f>I460+O460</f>
        <v/>
      </c>
      <c r="R460" s="7">
        <f>Q460*G460</f>
        <v/>
      </c>
      <c r="S460" s="8">
        <f>IF($R$466=0,0,R460/$R$466)</f>
        <v/>
      </c>
      <c r="T460" s="8" t="n">
        <v>0</v>
      </c>
      <c r="U460" s="8" t="n">
        <v>0.0117647273919439</v>
      </c>
      <c r="V460" s="6" t="inlineStr">
        <is>
          <t>not selected</t>
        </is>
      </c>
    </row>
    <row r="461">
      <c r="A461" s="6" t="inlineStr">
        <is>
          <t>DJ30</t>
        </is>
      </c>
      <c r="B461" s="6" t="inlineStr">
        <is>
          <t>2023-04-14</t>
        </is>
      </c>
      <c r="C461" s="6" t="inlineStr">
        <is>
          <t>DIA</t>
        </is>
      </c>
      <c r="D461" s="6" t="inlineStr">
        <is>
          <t>TRV</t>
        </is>
      </c>
      <c r="E461" s="6" t="inlineStr">
        <is>
          <t>TRV</t>
        </is>
      </c>
      <c r="F461" s="6" t="inlineStr">
        <is>
          <t>-</t>
        </is>
      </c>
      <c r="G461" s="7" t="n">
        <v>158.6542053222656</v>
      </c>
      <c r="H461" s="6">
        <f>P430</f>
        <v/>
      </c>
      <c r="I461" s="9">
        <f>Q430</f>
        <v/>
      </c>
      <c r="J461" s="7">
        <f>I461*G461</f>
        <v/>
      </c>
      <c r="K461" s="8">
        <f>IF($J$466=0,0,J461/$J$466)</f>
        <v/>
      </c>
      <c r="L461" s="6" t="inlineStr">
        <is>
          <t>REJECTED</t>
        </is>
      </c>
      <c r="M461" s="8" t="n">
        <v>0</v>
      </c>
      <c r="N461" s="7">
        <f>M461*$J$466-J461</f>
        <v/>
      </c>
      <c r="O461" s="9">
        <f>IF(G461=0,0,N461/G461)</f>
        <v/>
      </c>
      <c r="P461" s="6">
        <f>IF(M461&gt;0,D461,"")</f>
        <v/>
      </c>
      <c r="Q461" s="9">
        <f>I461+O461</f>
        <v/>
      </c>
      <c r="R461" s="7">
        <f>Q461*G461</f>
        <v/>
      </c>
      <c r="S461" s="8">
        <f>IF($R$466=0,0,R461/$R$466)</f>
        <v/>
      </c>
      <c r="T461" s="8" t="n">
        <v>0</v>
      </c>
      <c r="U461" s="8" t="n">
        <v>0.0117647273919439</v>
      </c>
      <c r="V461" s="6" t="inlineStr">
        <is>
          <t>not selected</t>
        </is>
      </c>
    </row>
    <row r="462">
      <c r="A462" s="6" t="inlineStr">
        <is>
          <t>DJ30</t>
        </is>
      </c>
      <c r="B462" s="6" t="inlineStr">
        <is>
          <t>2023-04-14</t>
        </is>
      </c>
      <c r="C462" s="6" t="inlineStr">
        <is>
          <t>DIA</t>
        </is>
      </c>
      <c r="D462" s="6" t="inlineStr">
        <is>
          <t>UNH</t>
        </is>
      </c>
      <c r="E462" s="6" t="inlineStr">
        <is>
          <t>UNH</t>
        </is>
      </c>
      <c r="F462" s="6" t="inlineStr">
        <is>
          <t>-</t>
        </is>
      </c>
      <c r="G462" s="7" t="n">
        <v>479.7300109863281</v>
      </c>
      <c r="H462" s="6">
        <f>P431</f>
        <v/>
      </c>
      <c r="I462" s="9">
        <f>Q431</f>
        <v/>
      </c>
      <c r="J462" s="7">
        <f>I462*G462</f>
        <v/>
      </c>
      <c r="K462" s="8">
        <f>IF($J$466=0,0,J462/$J$466)</f>
        <v/>
      </c>
      <c r="L462" s="6" t="inlineStr">
        <is>
          <t>REJECTED</t>
        </is>
      </c>
      <c r="M462" s="8" t="n">
        <v>0</v>
      </c>
      <c r="N462" s="7">
        <f>M462*$J$466-J462</f>
        <v/>
      </c>
      <c r="O462" s="9">
        <f>IF(G462=0,0,N462/G462)</f>
        <v/>
      </c>
      <c r="P462" s="6">
        <f>IF(M462&gt;0,D462,"")</f>
        <v/>
      </c>
      <c r="Q462" s="9">
        <f>I462+O462</f>
        <v/>
      </c>
      <c r="R462" s="7">
        <f>Q462*G462</f>
        <v/>
      </c>
      <c r="S462" s="8">
        <f>IF($R$466=0,0,R462/$R$466)</f>
        <v/>
      </c>
      <c r="T462" s="8" t="n">
        <v>0</v>
      </c>
      <c r="U462" s="8" t="n">
        <v>0.0117647273919439</v>
      </c>
      <c r="V462" s="6" t="inlineStr">
        <is>
          <t>not selected</t>
        </is>
      </c>
    </row>
    <row r="463">
      <c r="A463" s="6" t="inlineStr">
        <is>
          <t>DJ30</t>
        </is>
      </c>
      <c r="B463" s="6" t="inlineStr">
        <is>
          <t>2023-04-14</t>
        </is>
      </c>
      <c r="C463" s="6" t="inlineStr">
        <is>
          <t>DIA</t>
        </is>
      </c>
      <c r="D463" s="6" t="inlineStr">
        <is>
          <t>V</t>
        </is>
      </c>
      <c r="E463" s="6" t="inlineStr">
        <is>
          <t>V</t>
        </is>
      </c>
      <c r="F463" s="6" t="inlineStr">
        <is>
          <t>-</t>
        </is>
      </c>
      <c r="G463" s="7" t="n">
        <v>228.2931671142578</v>
      </c>
      <c r="H463" s="6">
        <f>P432</f>
        <v/>
      </c>
      <c r="I463" s="9">
        <f>Q432</f>
        <v/>
      </c>
      <c r="J463" s="7">
        <f>I463*G463</f>
        <v/>
      </c>
      <c r="K463" s="8">
        <f>IF($J$466=0,0,J463/$J$466)</f>
        <v/>
      </c>
      <c r="L463" s="6" t="inlineStr">
        <is>
          <t>REJECTED</t>
        </is>
      </c>
      <c r="M463" s="8" t="n">
        <v>0</v>
      </c>
      <c r="N463" s="7">
        <f>M463*$J$466-J463</f>
        <v/>
      </c>
      <c r="O463" s="9">
        <f>IF(G463=0,0,N463/G463)</f>
        <v/>
      </c>
      <c r="P463" s="6">
        <f>IF(M463&gt;0,D463,"")</f>
        <v/>
      </c>
      <c r="Q463" s="9">
        <f>I463+O463</f>
        <v/>
      </c>
      <c r="R463" s="7">
        <f>Q463*G463</f>
        <v/>
      </c>
      <c r="S463" s="8">
        <f>IF($R$466=0,0,R463/$R$466)</f>
        <v/>
      </c>
      <c r="T463" s="8" t="n">
        <v>0</v>
      </c>
      <c r="U463" s="8" t="n">
        <v>0.0117647273919439</v>
      </c>
      <c r="V463" s="6" t="inlineStr">
        <is>
          <t>not selected</t>
        </is>
      </c>
    </row>
    <row r="464">
      <c r="A464" s="6" t="inlineStr">
        <is>
          <t>DJ30</t>
        </is>
      </c>
      <c r="B464" s="6" t="inlineStr">
        <is>
          <t>2023-04-14</t>
        </is>
      </c>
      <c r="C464" s="6" t="inlineStr">
        <is>
          <t>DIA</t>
        </is>
      </c>
      <c r="D464" s="6" t="inlineStr">
        <is>
          <t>VZ</t>
        </is>
      </c>
      <c r="E464" s="6" t="inlineStr">
        <is>
          <t>VZ</t>
        </is>
      </c>
      <c r="F464" s="6" t="inlineStr">
        <is>
          <t>-</t>
        </is>
      </c>
      <c r="G464" s="7" t="n">
        <v>32.04373168945312</v>
      </c>
      <c r="H464" s="6">
        <f>P433</f>
        <v/>
      </c>
      <c r="I464" s="9">
        <f>Q433</f>
        <v/>
      </c>
      <c r="J464" s="7">
        <f>I464*G464</f>
        <v/>
      </c>
      <c r="K464" s="8">
        <f>IF($J$466=0,0,J464/$J$466)</f>
        <v/>
      </c>
      <c r="L464" s="6" t="inlineStr">
        <is>
          <t>REJECTED</t>
        </is>
      </c>
      <c r="M464" s="8" t="n">
        <v>0</v>
      </c>
      <c r="N464" s="7">
        <f>M464*$J$466-J464</f>
        <v/>
      </c>
      <c r="O464" s="9">
        <f>IF(G464=0,0,N464/G464)</f>
        <v/>
      </c>
      <c r="P464" s="6">
        <f>IF(M464&gt;0,D464,"")</f>
        <v/>
      </c>
      <c r="Q464" s="9">
        <f>I464+O464</f>
        <v/>
      </c>
      <c r="R464" s="7">
        <f>Q464*G464</f>
        <v/>
      </c>
      <c r="S464" s="8">
        <f>IF($R$466=0,0,R464/$R$466)</f>
        <v/>
      </c>
      <c r="T464" s="8" t="n">
        <v>0</v>
      </c>
      <c r="U464" s="8" t="n">
        <v>0.0117647273919439</v>
      </c>
      <c r="V464" s="6" t="inlineStr">
        <is>
          <t>not selected</t>
        </is>
      </c>
    </row>
    <row r="465">
      <c r="A465" s="6" t="inlineStr">
        <is>
          <t>DJ30</t>
        </is>
      </c>
      <c r="B465" s="6" t="inlineStr">
        <is>
          <t>2023-04-14</t>
        </is>
      </c>
      <c r="C465" s="6" t="inlineStr">
        <is>
          <t>DIA</t>
        </is>
      </c>
      <c r="D465" s="6" t="inlineStr">
        <is>
          <t>WMT</t>
        </is>
      </c>
      <c r="E465" s="6" t="inlineStr">
        <is>
          <t>WMT</t>
        </is>
      </c>
      <c r="F465" s="6" t="inlineStr">
        <is>
          <t>-</t>
        </is>
      </c>
      <c r="G465" s="7" t="n">
        <v>47.72198867797852</v>
      </c>
      <c r="H465" s="6">
        <f>P434</f>
        <v/>
      </c>
      <c r="I465" s="9">
        <f>Q434</f>
        <v/>
      </c>
      <c r="J465" s="7">
        <f>I465*G465</f>
        <v/>
      </c>
      <c r="K465" s="8">
        <f>IF($J$466=0,0,J465/$J$466)</f>
        <v/>
      </c>
      <c r="L465" s="6" t="inlineStr">
        <is>
          <t>REJECTED</t>
        </is>
      </c>
      <c r="M465" s="8" t="n">
        <v>0</v>
      </c>
      <c r="N465" s="7">
        <f>M465*$J$466-J465</f>
        <v/>
      </c>
      <c r="O465" s="9">
        <f>IF(G465=0,0,N465/G465)</f>
        <v/>
      </c>
      <c r="P465" s="6">
        <f>IF(M465&gt;0,D465,"")</f>
        <v/>
      </c>
      <c r="Q465" s="9">
        <f>I465+O465</f>
        <v/>
      </c>
      <c r="R465" s="7">
        <f>Q465*G465</f>
        <v/>
      </c>
      <c r="S465" s="8">
        <f>IF($R$466=0,0,R465/$R$466)</f>
        <v/>
      </c>
      <c r="T465" s="8" t="n">
        <v>0</v>
      </c>
      <c r="U465" s="8" t="n">
        <v>0.0117647273919439</v>
      </c>
      <c r="V465" s="6" t="inlineStr">
        <is>
          <t>not selected</t>
        </is>
      </c>
    </row>
    <row r="466">
      <c r="A466" s="10" t="inlineStr">
        <is>
          <t>DJ30</t>
        </is>
      </c>
      <c r="B466" s="10" t="inlineStr">
        <is>
          <t>2023-04-14</t>
        </is>
      </c>
      <c r="C466" s="10" t="inlineStr">
        <is>
          <t>DIA</t>
        </is>
      </c>
      <c r="D466" s="10" t="inlineStr">
        <is>
          <t>Tot Portfolio</t>
        </is>
      </c>
      <c r="E466" s="10" t="inlineStr"/>
      <c r="F466" s="10" t="inlineStr"/>
      <c r="G466" s="11" t="inlineStr"/>
      <c r="H466" s="10" t="inlineStr"/>
      <c r="I466" s="12" t="inlineStr"/>
      <c r="J466" s="11">
        <f>SUM(J436:J465)</f>
        <v/>
      </c>
      <c r="K466" s="13">
        <f>SUM(K436:K465)</f>
        <v/>
      </c>
      <c r="L466" s="10" t="inlineStr">
        <is>
          <t>TOTAL</t>
        </is>
      </c>
      <c r="M466" s="13">
        <f>SUM(M436:M465)</f>
        <v/>
      </c>
      <c r="N466" s="11">
        <f>SUM(N436:N465)</f>
        <v/>
      </c>
      <c r="O466" s="12">
        <f>SUM(O436:O465)</f>
        <v/>
      </c>
      <c r="P466" s="10" t="inlineStr"/>
      <c r="Q466" s="12" t="inlineStr"/>
      <c r="R466" s="11">
        <f>SUM(R436:R465)</f>
        <v/>
      </c>
      <c r="S466" s="13">
        <f>SUM(S436:S465)</f>
        <v/>
      </c>
      <c r="T466" s="13" t="n">
        <v>0</v>
      </c>
      <c r="U466" s="13" t="n">
        <v>0.0117647273919439</v>
      </c>
      <c r="V466" s="10" t="inlineStr"/>
    </row>
    <row r="467">
      <c r="A467" s="6" t="inlineStr">
        <is>
          <t>DJ30</t>
        </is>
      </c>
      <c r="B467" s="6" t="inlineStr">
        <is>
          <t>2023-04-21</t>
        </is>
      </c>
      <c r="C467" s="6" t="inlineStr">
        <is>
          <t>DIA</t>
        </is>
      </c>
      <c r="D467" s="6" t="inlineStr">
        <is>
          <t>AAPL</t>
        </is>
      </c>
      <c r="E467" s="6" t="inlineStr">
        <is>
          <t>AAPL</t>
        </is>
      </c>
      <c r="F467" s="6" t="inlineStr">
        <is>
          <t>-</t>
        </is>
      </c>
      <c r="G467" s="7" t="n">
        <v>162.5137481689453</v>
      </c>
      <c r="H467" s="6">
        <f>P436</f>
        <v/>
      </c>
      <c r="I467" s="9">
        <f>Q436</f>
        <v/>
      </c>
      <c r="J467" s="7">
        <f>I467*G467</f>
        <v/>
      </c>
      <c r="K467" s="8">
        <f>IF($J$497=0,0,J467/$J$497)</f>
        <v/>
      </c>
      <c r="L467" s="6" t="inlineStr">
        <is>
          <t>REJECTED</t>
        </is>
      </c>
      <c r="M467" s="8" t="n">
        <v>0</v>
      </c>
      <c r="N467" s="7">
        <f>M467*$J$497-J467</f>
        <v/>
      </c>
      <c r="O467" s="9">
        <f>IF(G467=0,0,N467/G467)</f>
        <v/>
      </c>
      <c r="P467" s="6">
        <f>IF(M467&gt;0,D467,"")</f>
        <v/>
      </c>
      <c r="Q467" s="9">
        <f>I467+O467</f>
        <v/>
      </c>
      <c r="R467" s="7">
        <f>Q467*G467</f>
        <v/>
      </c>
      <c r="S467" s="8">
        <f>IF($R$497=0,0,R467/$R$497)</f>
        <v/>
      </c>
      <c r="T467" s="8" t="n">
        <v>0</v>
      </c>
      <c r="U467" s="8" t="n">
        <v>-0.001610657291788553</v>
      </c>
      <c r="V467" s="6" t="inlineStr">
        <is>
          <t>not selected</t>
        </is>
      </c>
    </row>
    <row r="468">
      <c r="A468" s="6" t="inlineStr">
        <is>
          <t>DJ30</t>
        </is>
      </c>
      <c r="B468" s="6" t="inlineStr">
        <is>
          <t>2023-04-21</t>
        </is>
      </c>
      <c r="C468" s="6" t="inlineStr">
        <is>
          <t>DIA</t>
        </is>
      </c>
      <c r="D468" s="6" t="inlineStr">
        <is>
          <t>AMGN</t>
        </is>
      </c>
      <c r="E468" s="6" t="inlineStr">
        <is>
          <t>AMGN</t>
        </is>
      </c>
      <c r="F468" s="6" t="inlineStr">
        <is>
          <t>-</t>
        </is>
      </c>
      <c r="G468" s="7" t="n">
        <v>220.3183288574219</v>
      </c>
      <c r="H468" s="6">
        <f>P437</f>
        <v/>
      </c>
      <c r="I468" s="9">
        <f>Q437</f>
        <v/>
      </c>
      <c r="J468" s="7">
        <f>I468*G468</f>
        <v/>
      </c>
      <c r="K468" s="8">
        <f>IF($J$497=0,0,J468/$J$497)</f>
        <v/>
      </c>
      <c r="L468" s="6" t="inlineStr">
        <is>
          <t>REJECTED</t>
        </is>
      </c>
      <c r="M468" s="8" t="n">
        <v>0</v>
      </c>
      <c r="N468" s="7">
        <f>M468*$J$497-J468</f>
        <v/>
      </c>
      <c r="O468" s="9">
        <f>IF(G468=0,0,N468/G468)</f>
        <v/>
      </c>
      <c r="P468" s="6">
        <f>IF(M468&gt;0,D468,"")</f>
        <v/>
      </c>
      <c r="Q468" s="9">
        <f>I468+O468</f>
        <v/>
      </c>
      <c r="R468" s="7">
        <f>Q468*G468</f>
        <v/>
      </c>
      <c r="S468" s="8">
        <f>IF($R$497=0,0,R468/$R$497)</f>
        <v/>
      </c>
      <c r="T468" s="8" t="n">
        <v>0</v>
      </c>
      <c r="U468" s="8" t="n">
        <v>-0.001610657291788553</v>
      </c>
      <c r="V468" s="6" t="inlineStr">
        <is>
          <t>not selected</t>
        </is>
      </c>
    </row>
    <row r="469">
      <c r="A469" s="6" t="inlineStr">
        <is>
          <t>DJ30</t>
        </is>
      </c>
      <c r="B469" s="6" t="inlineStr">
        <is>
          <t>2023-04-21</t>
        </is>
      </c>
      <c r="C469" s="6" t="inlineStr">
        <is>
          <t>DIA</t>
        </is>
      </c>
      <c r="D469" s="6" t="inlineStr">
        <is>
          <t>AMZN</t>
        </is>
      </c>
      <c r="E469" s="6" t="inlineStr">
        <is>
          <t>AMZN</t>
        </is>
      </c>
      <c r="F469" s="6" t="inlineStr">
        <is>
          <t>-</t>
        </is>
      </c>
      <c r="G469" s="7" t="n">
        <v>106.9599990844727</v>
      </c>
      <c r="H469" s="6">
        <f>P438</f>
        <v/>
      </c>
      <c r="I469" s="9">
        <f>Q438</f>
        <v/>
      </c>
      <c r="J469" s="7">
        <f>I469*G469</f>
        <v/>
      </c>
      <c r="K469" s="8">
        <f>IF($J$497=0,0,J469/$J$497)</f>
        <v/>
      </c>
      <c r="L469" s="6" t="inlineStr">
        <is>
          <t>REJECTED</t>
        </is>
      </c>
      <c r="M469" s="8" t="n">
        <v>0</v>
      </c>
      <c r="N469" s="7">
        <f>M469*$J$497-J469</f>
        <v/>
      </c>
      <c r="O469" s="9">
        <f>IF(G469=0,0,N469/G469)</f>
        <v/>
      </c>
      <c r="P469" s="6">
        <f>IF(M469&gt;0,D469,"")</f>
        <v/>
      </c>
      <c r="Q469" s="9">
        <f>I469+O469</f>
        <v/>
      </c>
      <c r="R469" s="7">
        <f>Q469*G469</f>
        <v/>
      </c>
      <c r="S469" s="8">
        <f>IF($R$497=0,0,R469/$R$497)</f>
        <v/>
      </c>
      <c r="T469" s="8" t="n">
        <v>0</v>
      </c>
      <c r="U469" s="8" t="n">
        <v>-0.001610657291788553</v>
      </c>
      <c r="V469" s="6" t="inlineStr">
        <is>
          <t>not selected</t>
        </is>
      </c>
    </row>
    <row r="470">
      <c r="A470" s="6" t="inlineStr">
        <is>
          <t>DJ30</t>
        </is>
      </c>
      <c r="B470" s="6" t="inlineStr">
        <is>
          <t>2023-04-21</t>
        </is>
      </c>
      <c r="C470" s="6" t="inlineStr">
        <is>
          <t>DIA</t>
        </is>
      </c>
      <c r="D470" s="6" t="inlineStr">
        <is>
          <t>AXP</t>
        </is>
      </c>
      <c r="E470" s="6" t="inlineStr">
        <is>
          <t>AXP</t>
        </is>
      </c>
      <c r="F470" s="6" t="inlineStr">
        <is>
          <t>-</t>
        </is>
      </c>
      <c r="G470" s="7" t="n">
        <v>158.0652008056641</v>
      </c>
      <c r="H470" s="6">
        <f>P439</f>
        <v/>
      </c>
      <c r="I470" s="9">
        <f>Q439</f>
        <v/>
      </c>
      <c r="J470" s="7">
        <f>I470*G470</f>
        <v/>
      </c>
      <c r="K470" s="8">
        <f>IF($J$497=0,0,J470/$J$497)</f>
        <v/>
      </c>
      <c r="L470" s="6" t="inlineStr">
        <is>
          <t>REJECTED</t>
        </is>
      </c>
      <c r="M470" s="8" t="n">
        <v>0</v>
      </c>
      <c r="N470" s="7">
        <f>M470*$J$497-J470</f>
        <v/>
      </c>
      <c r="O470" s="9">
        <f>IF(G470=0,0,N470/G470)</f>
        <v/>
      </c>
      <c r="P470" s="6">
        <f>IF(M470&gt;0,D470,"")</f>
        <v/>
      </c>
      <c r="Q470" s="9">
        <f>I470+O470</f>
        <v/>
      </c>
      <c r="R470" s="7">
        <f>Q470*G470</f>
        <v/>
      </c>
      <c r="S470" s="8">
        <f>IF($R$497=0,0,R470/$R$497)</f>
        <v/>
      </c>
      <c r="T470" s="8" t="n">
        <v>0</v>
      </c>
      <c r="U470" s="8" t="n">
        <v>-0.001610657291788553</v>
      </c>
      <c r="V470" s="6" t="inlineStr">
        <is>
          <t>not selected</t>
        </is>
      </c>
    </row>
    <row r="471">
      <c r="A471" s="6" t="inlineStr">
        <is>
          <t>DJ30</t>
        </is>
      </c>
      <c r="B471" s="6" t="inlineStr">
        <is>
          <t>2023-04-21</t>
        </is>
      </c>
      <c r="C471" s="6" t="inlineStr">
        <is>
          <t>DIA</t>
        </is>
      </c>
      <c r="D471" s="6" t="inlineStr">
        <is>
          <t>BA</t>
        </is>
      </c>
      <c r="E471" s="6" t="inlineStr">
        <is>
          <t>BA</t>
        </is>
      </c>
      <c r="F471" s="6" t="inlineStr">
        <is>
          <t>-</t>
        </is>
      </c>
      <c r="G471" s="7" t="n">
        <v>205.1499938964844</v>
      </c>
      <c r="H471" s="6">
        <f>P440</f>
        <v/>
      </c>
      <c r="I471" s="9">
        <f>Q440</f>
        <v/>
      </c>
      <c r="J471" s="7">
        <f>I471*G471</f>
        <v/>
      </c>
      <c r="K471" s="8">
        <f>IF($J$497=0,0,J471/$J$497)</f>
        <v/>
      </c>
      <c r="L471" s="6" t="inlineStr">
        <is>
          <t>REJECTED</t>
        </is>
      </c>
      <c r="M471" s="8" t="n">
        <v>0</v>
      </c>
      <c r="N471" s="7">
        <f>M471*$J$497-J471</f>
        <v/>
      </c>
      <c r="O471" s="9">
        <f>IF(G471=0,0,N471/G471)</f>
        <v/>
      </c>
      <c r="P471" s="6">
        <f>IF(M471&gt;0,D471,"")</f>
        <v/>
      </c>
      <c r="Q471" s="9">
        <f>I471+O471</f>
        <v/>
      </c>
      <c r="R471" s="7">
        <f>Q471*G471</f>
        <v/>
      </c>
      <c r="S471" s="8">
        <f>IF($R$497=0,0,R471/$R$497)</f>
        <v/>
      </c>
      <c r="T471" s="8" t="n">
        <v>0</v>
      </c>
      <c r="U471" s="8" t="n">
        <v>-0.001610657291788553</v>
      </c>
      <c r="V471" s="6" t="inlineStr">
        <is>
          <t>not selected</t>
        </is>
      </c>
    </row>
    <row r="472">
      <c r="A472" s="6" t="inlineStr">
        <is>
          <t>DJ30</t>
        </is>
      </c>
      <c r="B472" s="6" t="inlineStr">
        <is>
          <t>2023-04-21</t>
        </is>
      </c>
      <c r="C472" s="6" t="inlineStr">
        <is>
          <t>DIA</t>
        </is>
      </c>
      <c r="D472" s="6" t="inlineStr">
        <is>
          <t>CAT</t>
        </is>
      </c>
      <c r="E472" s="6" t="inlineStr">
        <is>
          <t>CAT</t>
        </is>
      </c>
      <c r="F472" s="6" t="inlineStr">
        <is>
          <t>-</t>
        </is>
      </c>
      <c r="G472" s="7" t="n">
        <v>210.5286102294922</v>
      </c>
      <c r="H472" s="6">
        <f>P441</f>
        <v/>
      </c>
      <c r="I472" s="9">
        <f>Q441</f>
        <v/>
      </c>
      <c r="J472" s="7">
        <f>I472*G472</f>
        <v/>
      </c>
      <c r="K472" s="8">
        <f>IF($J$497=0,0,J472/$J$497)</f>
        <v/>
      </c>
      <c r="L472" s="6" t="inlineStr">
        <is>
          <t>REJECTED</t>
        </is>
      </c>
      <c r="M472" s="8" t="n">
        <v>0</v>
      </c>
      <c r="N472" s="7">
        <f>M472*$J$497-J472</f>
        <v/>
      </c>
      <c r="O472" s="9">
        <f>IF(G472=0,0,N472/G472)</f>
        <v/>
      </c>
      <c r="P472" s="6">
        <f>IF(M472&gt;0,D472,"")</f>
        <v/>
      </c>
      <c r="Q472" s="9">
        <f>I472+O472</f>
        <v/>
      </c>
      <c r="R472" s="7">
        <f>Q472*G472</f>
        <v/>
      </c>
      <c r="S472" s="8">
        <f>IF($R$497=0,0,R472/$R$497)</f>
        <v/>
      </c>
      <c r="T472" s="8" t="n">
        <v>0</v>
      </c>
      <c r="U472" s="8" t="n">
        <v>-0.001610657291788553</v>
      </c>
      <c r="V472" s="6" t="inlineStr">
        <is>
          <t>not selected</t>
        </is>
      </c>
    </row>
    <row r="473">
      <c r="A473" s="6" t="inlineStr">
        <is>
          <t>DJ30</t>
        </is>
      </c>
      <c r="B473" s="6" t="inlineStr">
        <is>
          <t>2023-04-21</t>
        </is>
      </c>
      <c r="C473" s="6" t="inlineStr">
        <is>
          <t>DIA</t>
        </is>
      </c>
      <c r="D473" s="6" t="inlineStr">
        <is>
          <t>CRM</t>
        </is>
      </c>
      <c r="E473" s="6" t="inlineStr">
        <is>
          <t>CRM</t>
        </is>
      </c>
      <c r="F473" s="6" t="inlineStr">
        <is>
          <t>-</t>
        </is>
      </c>
      <c r="G473" s="7" t="n">
        <v>195.645263671875</v>
      </c>
      <c r="H473" s="6">
        <f>P442</f>
        <v/>
      </c>
      <c r="I473" s="9">
        <f>Q442</f>
        <v/>
      </c>
      <c r="J473" s="7">
        <f>I473*G473</f>
        <v/>
      </c>
      <c r="K473" s="8">
        <f>IF($J$497=0,0,J473/$J$497)</f>
        <v/>
      </c>
      <c r="L473" s="6" t="inlineStr">
        <is>
          <t>REJECTED</t>
        </is>
      </c>
      <c r="M473" s="8" t="n">
        <v>0</v>
      </c>
      <c r="N473" s="7">
        <f>M473*$J$497-J473</f>
        <v/>
      </c>
      <c r="O473" s="9">
        <f>IF(G473=0,0,N473/G473)</f>
        <v/>
      </c>
      <c r="P473" s="6">
        <f>IF(M473&gt;0,D473,"")</f>
        <v/>
      </c>
      <c r="Q473" s="9">
        <f>I473+O473</f>
        <v/>
      </c>
      <c r="R473" s="7">
        <f>Q473*G473</f>
        <v/>
      </c>
      <c r="S473" s="8">
        <f>IF($R$497=0,0,R473/$R$497)</f>
        <v/>
      </c>
      <c r="T473" s="8" t="n">
        <v>0</v>
      </c>
      <c r="U473" s="8" t="n">
        <v>-0.001610657291788553</v>
      </c>
      <c r="V473" s="6" t="inlineStr">
        <is>
          <t>not selected</t>
        </is>
      </c>
    </row>
    <row r="474">
      <c r="A474" s="6" t="inlineStr">
        <is>
          <t>DJ30</t>
        </is>
      </c>
      <c r="B474" s="6" t="inlineStr">
        <is>
          <t>2023-04-21</t>
        </is>
      </c>
      <c r="C474" s="6" t="inlineStr">
        <is>
          <t>DIA</t>
        </is>
      </c>
      <c r="D474" s="6" t="inlineStr">
        <is>
          <t>CSCO</t>
        </is>
      </c>
      <c r="E474" s="6" t="inlineStr">
        <is>
          <t>CSCO</t>
        </is>
      </c>
      <c r="F474" s="6" t="inlineStr">
        <is>
          <t>-</t>
        </is>
      </c>
      <c r="G474" s="7" t="n">
        <v>43.2847785949707</v>
      </c>
      <c r="H474" s="6">
        <f>P443</f>
        <v/>
      </c>
      <c r="I474" s="9">
        <f>Q443</f>
        <v/>
      </c>
      <c r="J474" s="7">
        <f>I474*G474</f>
        <v/>
      </c>
      <c r="K474" s="8">
        <f>IF($J$497=0,0,J474/$J$497)</f>
        <v/>
      </c>
      <c r="L474" s="6" t="inlineStr">
        <is>
          <t>REJECTED</t>
        </is>
      </c>
      <c r="M474" s="8" t="n">
        <v>0</v>
      </c>
      <c r="N474" s="7">
        <f>M474*$J$497-J474</f>
        <v/>
      </c>
      <c r="O474" s="9">
        <f>IF(G474=0,0,N474/G474)</f>
        <v/>
      </c>
      <c r="P474" s="6">
        <f>IF(M474&gt;0,D474,"")</f>
        <v/>
      </c>
      <c r="Q474" s="9">
        <f>I474+O474</f>
        <v/>
      </c>
      <c r="R474" s="7">
        <f>Q474*G474</f>
        <v/>
      </c>
      <c r="S474" s="8">
        <f>IF($R$497=0,0,R474/$R$497)</f>
        <v/>
      </c>
      <c r="T474" s="8" t="n">
        <v>0</v>
      </c>
      <c r="U474" s="8" t="n">
        <v>-0.001610657291788553</v>
      </c>
      <c r="V474" s="6" t="inlineStr">
        <is>
          <t>not selected</t>
        </is>
      </c>
    </row>
    <row r="475">
      <c r="A475" s="6" t="inlineStr">
        <is>
          <t>DJ30</t>
        </is>
      </c>
      <c r="B475" s="6" t="inlineStr">
        <is>
          <t>2023-04-21</t>
        </is>
      </c>
      <c r="C475" s="6" t="inlineStr">
        <is>
          <t>DIA</t>
        </is>
      </c>
      <c r="D475" s="6" t="inlineStr">
        <is>
          <t>CVX</t>
        </is>
      </c>
      <c r="E475" s="6" t="inlineStr">
        <is>
          <t>CVX</t>
        </is>
      </c>
      <c r="F475" s="6" t="inlineStr">
        <is>
          <t>-</t>
        </is>
      </c>
      <c r="G475" s="7" t="n">
        <v>147.6028747558594</v>
      </c>
      <c r="H475" s="6">
        <f>P444</f>
        <v/>
      </c>
      <c r="I475" s="9">
        <f>Q444</f>
        <v/>
      </c>
      <c r="J475" s="7">
        <f>I475*G475</f>
        <v/>
      </c>
      <c r="K475" s="8">
        <f>IF($J$497=0,0,J475/$J$497)</f>
        <v/>
      </c>
      <c r="L475" s="6" t="inlineStr">
        <is>
          <t>REJECTED</t>
        </is>
      </c>
      <c r="M475" s="8" t="n">
        <v>0</v>
      </c>
      <c r="N475" s="7">
        <f>M475*$J$497-J475</f>
        <v/>
      </c>
      <c r="O475" s="9">
        <f>IF(G475=0,0,N475/G475)</f>
        <v/>
      </c>
      <c r="P475" s="6">
        <f>IF(M475&gt;0,D475,"")</f>
        <v/>
      </c>
      <c r="Q475" s="9">
        <f>I475+O475</f>
        <v/>
      </c>
      <c r="R475" s="7">
        <f>Q475*G475</f>
        <v/>
      </c>
      <c r="S475" s="8">
        <f>IF($R$497=0,0,R475/$R$497)</f>
        <v/>
      </c>
      <c r="T475" s="8" t="n">
        <v>0</v>
      </c>
      <c r="U475" s="8" t="n">
        <v>-0.001610657291788553</v>
      </c>
      <c r="V475" s="6" t="inlineStr">
        <is>
          <t>not selected</t>
        </is>
      </c>
    </row>
    <row r="476">
      <c r="A476" s="6" t="inlineStr">
        <is>
          <t>DJ30</t>
        </is>
      </c>
      <c r="B476" s="6" t="inlineStr">
        <is>
          <t>2023-04-21</t>
        </is>
      </c>
      <c r="C476" s="6" t="inlineStr">
        <is>
          <t>DIA</t>
        </is>
      </c>
      <c r="D476" s="6" t="inlineStr">
        <is>
          <t>DIS</t>
        </is>
      </c>
      <c r="E476" s="6" t="inlineStr">
        <is>
          <t>DIS</t>
        </is>
      </c>
      <c r="F476" s="6" t="inlineStr">
        <is>
          <t>-</t>
        </is>
      </c>
      <c r="G476" s="7" t="n">
        <v>97.27913665771484</v>
      </c>
      <c r="H476" s="6">
        <f>P445</f>
        <v/>
      </c>
      <c r="I476" s="9">
        <f>Q445</f>
        <v/>
      </c>
      <c r="J476" s="7">
        <f>I476*G476</f>
        <v/>
      </c>
      <c r="K476" s="8">
        <f>IF($J$497=0,0,J476/$J$497)</f>
        <v/>
      </c>
      <c r="L476" s="6" t="inlineStr">
        <is>
          <t>REJECTED</t>
        </is>
      </c>
      <c r="M476" s="8" t="n">
        <v>0</v>
      </c>
      <c r="N476" s="7">
        <f>M476*$J$497-J476</f>
        <v/>
      </c>
      <c r="O476" s="9">
        <f>IF(G476=0,0,N476/G476)</f>
        <v/>
      </c>
      <c r="P476" s="6">
        <f>IF(M476&gt;0,D476,"")</f>
        <v/>
      </c>
      <c r="Q476" s="9">
        <f>I476+O476</f>
        <v/>
      </c>
      <c r="R476" s="7">
        <f>Q476*G476</f>
        <v/>
      </c>
      <c r="S476" s="8">
        <f>IF($R$497=0,0,R476/$R$497)</f>
        <v/>
      </c>
      <c r="T476" s="8" t="n">
        <v>0</v>
      </c>
      <c r="U476" s="8" t="n">
        <v>-0.001610657291788553</v>
      </c>
      <c r="V476" s="6" t="inlineStr">
        <is>
          <t>not selected</t>
        </is>
      </c>
    </row>
    <row r="477">
      <c r="A477" s="6" t="inlineStr">
        <is>
          <t>DJ30</t>
        </is>
      </c>
      <c r="B477" s="6" t="inlineStr">
        <is>
          <t>2023-04-21</t>
        </is>
      </c>
      <c r="C477" s="6" t="inlineStr">
        <is>
          <t>DIA</t>
        </is>
      </c>
      <c r="D477" s="6" t="inlineStr">
        <is>
          <t>GS</t>
        </is>
      </c>
      <c r="E477" s="6" t="inlineStr">
        <is>
          <t>GS</t>
        </is>
      </c>
      <c r="F477" s="6" t="inlineStr">
        <is>
          <t>-</t>
        </is>
      </c>
      <c r="G477" s="7" t="n">
        <v>316.0702209472656</v>
      </c>
      <c r="H477" s="6">
        <f>P446</f>
        <v/>
      </c>
      <c r="I477" s="9">
        <f>Q446</f>
        <v/>
      </c>
      <c r="J477" s="7">
        <f>I477*G477</f>
        <v/>
      </c>
      <c r="K477" s="8">
        <f>IF($J$497=0,0,J477/$J$497)</f>
        <v/>
      </c>
      <c r="L477" s="6" t="inlineStr">
        <is>
          <t>REJECTED</t>
        </is>
      </c>
      <c r="M477" s="8" t="n">
        <v>0</v>
      </c>
      <c r="N477" s="7">
        <f>M477*$J$497-J477</f>
        <v/>
      </c>
      <c r="O477" s="9">
        <f>IF(G477=0,0,N477/G477)</f>
        <v/>
      </c>
      <c r="P477" s="6">
        <f>IF(M477&gt;0,D477,"")</f>
        <v/>
      </c>
      <c r="Q477" s="9">
        <f>I477+O477</f>
        <v/>
      </c>
      <c r="R477" s="7">
        <f>Q477*G477</f>
        <v/>
      </c>
      <c r="S477" s="8">
        <f>IF($R$497=0,0,R477/$R$497)</f>
        <v/>
      </c>
      <c r="T477" s="8" t="n">
        <v>0</v>
      </c>
      <c r="U477" s="8" t="n">
        <v>-0.001610657291788553</v>
      </c>
      <c r="V477" s="6" t="inlineStr">
        <is>
          <t>not selected</t>
        </is>
      </c>
    </row>
    <row r="478">
      <c r="A478" s="6" t="inlineStr">
        <is>
          <t>DJ30</t>
        </is>
      </c>
      <c r="B478" s="6" t="inlineStr">
        <is>
          <t>2023-04-21</t>
        </is>
      </c>
      <c r="C478" s="6" t="inlineStr">
        <is>
          <t>DIA</t>
        </is>
      </c>
      <c r="D478" s="6" t="inlineStr">
        <is>
          <t>HD</t>
        </is>
      </c>
      <c r="E478" s="6" t="inlineStr">
        <is>
          <t>HD</t>
        </is>
      </c>
      <c r="F478" s="6" t="inlineStr">
        <is>
          <t>-</t>
        </is>
      </c>
      <c r="G478" s="7" t="n">
        <v>276.0893859863281</v>
      </c>
      <c r="H478" s="6">
        <f>P447</f>
        <v/>
      </c>
      <c r="I478" s="9">
        <f>Q447</f>
        <v/>
      </c>
      <c r="J478" s="7">
        <f>I478*G478</f>
        <v/>
      </c>
      <c r="K478" s="8">
        <f>IF($J$497=0,0,J478/$J$497)</f>
        <v/>
      </c>
      <c r="L478" s="6" t="inlineStr">
        <is>
          <t>REJECTED</t>
        </is>
      </c>
      <c r="M478" s="8" t="n">
        <v>0</v>
      </c>
      <c r="N478" s="7">
        <f>M478*$J$497-J478</f>
        <v/>
      </c>
      <c r="O478" s="9">
        <f>IF(G478=0,0,N478/G478)</f>
        <v/>
      </c>
      <c r="P478" s="6">
        <f>IF(M478&gt;0,D478,"")</f>
        <v/>
      </c>
      <c r="Q478" s="9">
        <f>I478+O478</f>
        <v/>
      </c>
      <c r="R478" s="7">
        <f>Q478*G478</f>
        <v/>
      </c>
      <c r="S478" s="8">
        <f>IF($R$497=0,0,R478/$R$497)</f>
        <v/>
      </c>
      <c r="T478" s="8" t="n">
        <v>0</v>
      </c>
      <c r="U478" s="8" t="n">
        <v>-0.001610657291788553</v>
      </c>
      <c r="V478" s="6" t="inlineStr">
        <is>
          <t>not selected</t>
        </is>
      </c>
    </row>
    <row r="479">
      <c r="A479" s="6" t="inlineStr">
        <is>
          <t>DJ30</t>
        </is>
      </c>
      <c r="B479" s="6" t="inlineStr">
        <is>
          <t>2023-04-21</t>
        </is>
      </c>
      <c r="C479" s="6" t="inlineStr">
        <is>
          <t>DIA</t>
        </is>
      </c>
      <c r="D479" s="6" t="inlineStr">
        <is>
          <t>HON</t>
        </is>
      </c>
      <c r="E479" s="6" t="inlineStr">
        <is>
          <t>HON</t>
        </is>
      </c>
      <c r="F479" s="6" t="inlineStr">
        <is>
          <t>-</t>
        </is>
      </c>
      <c r="G479" s="7" t="n">
        <v>172.3612670898438</v>
      </c>
      <c r="H479" s="6">
        <f>P448</f>
        <v/>
      </c>
      <c r="I479" s="9">
        <f>Q448</f>
        <v/>
      </c>
      <c r="J479" s="7">
        <f>I479*G479</f>
        <v/>
      </c>
      <c r="K479" s="8">
        <f>IF($J$497=0,0,J479/$J$497)</f>
        <v/>
      </c>
      <c r="L479" s="6" t="inlineStr">
        <is>
          <t>REJECTED</t>
        </is>
      </c>
      <c r="M479" s="8" t="n">
        <v>0</v>
      </c>
      <c r="N479" s="7">
        <f>M479*$J$497-J479</f>
        <v/>
      </c>
      <c r="O479" s="9">
        <f>IF(G479=0,0,N479/G479)</f>
        <v/>
      </c>
      <c r="P479" s="6">
        <f>IF(M479&gt;0,D479,"")</f>
        <v/>
      </c>
      <c r="Q479" s="9">
        <f>I479+O479</f>
        <v/>
      </c>
      <c r="R479" s="7">
        <f>Q479*G479</f>
        <v/>
      </c>
      <c r="S479" s="8">
        <f>IF($R$497=0,0,R479/$R$497)</f>
        <v/>
      </c>
      <c r="T479" s="8" t="n">
        <v>0</v>
      </c>
      <c r="U479" s="8" t="n">
        <v>-0.001610657291788553</v>
      </c>
      <c r="V479" s="6" t="inlineStr">
        <is>
          <t>not selected</t>
        </is>
      </c>
    </row>
    <row r="480">
      <c r="A480" s="6" t="inlineStr">
        <is>
          <t>DJ30</t>
        </is>
      </c>
      <c r="B480" s="6" t="inlineStr">
        <is>
          <t>2023-04-21</t>
        </is>
      </c>
      <c r="C480" s="6" t="inlineStr">
        <is>
          <t>DIA</t>
        </is>
      </c>
      <c r="D480" s="6" t="inlineStr">
        <is>
          <t>IBM</t>
        </is>
      </c>
      <c r="E480" s="6" t="inlineStr">
        <is>
          <t>IBM</t>
        </is>
      </c>
      <c r="F480" s="6" t="inlineStr">
        <is>
          <t>-</t>
        </is>
      </c>
      <c r="G480" s="7" t="n">
        <v>112.5991668701172</v>
      </c>
      <c r="H480" s="6">
        <f>P449</f>
        <v/>
      </c>
      <c r="I480" s="9">
        <f>Q449</f>
        <v/>
      </c>
      <c r="J480" s="7">
        <f>I480*G480</f>
        <v/>
      </c>
      <c r="K480" s="8">
        <f>IF($J$497=0,0,J480/$J$497)</f>
        <v/>
      </c>
      <c r="L480" s="6" t="inlineStr">
        <is>
          <t>REJECTED</t>
        </is>
      </c>
      <c r="M480" s="8" t="n">
        <v>0</v>
      </c>
      <c r="N480" s="7">
        <f>M480*$J$497-J480</f>
        <v/>
      </c>
      <c r="O480" s="9">
        <f>IF(G480=0,0,N480/G480)</f>
        <v/>
      </c>
      <c r="P480" s="6">
        <f>IF(M480&gt;0,D480,"")</f>
        <v/>
      </c>
      <c r="Q480" s="9">
        <f>I480+O480</f>
        <v/>
      </c>
      <c r="R480" s="7">
        <f>Q480*G480</f>
        <v/>
      </c>
      <c r="S480" s="8">
        <f>IF($R$497=0,0,R480/$R$497)</f>
        <v/>
      </c>
      <c r="T480" s="8" t="n">
        <v>0</v>
      </c>
      <c r="U480" s="8" t="n">
        <v>-0.001610657291788553</v>
      </c>
      <c r="V480" s="6" t="inlineStr">
        <is>
          <t>not selected</t>
        </is>
      </c>
    </row>
    <row r="481">
      <c r="A481" s="6" t="inlineStr">
        <is>
          <t>DJ30</t>
        </is>
      </c>
      <c r="B481" s="6" t="inlineStr">
        <is>
          <t>2023-04-21</t>
        </is>
      </c>
      <c r="C481" s="6" t="inlineStr">
        <is>
          <t>DIA</t>
        </is>
      </c>
      <c r="D481" s="6" t="inlineStr">
        <is>
          <t>JNJ</t>
        </is>
      </c>
      <c r="E481" s="6" t="inlineStr">
        <is>
          <t>JNJ</t>
        </is>
      </c>
      <c r="F481" s="6" t="inlineStr">
        <is>
          <t>-</t>
        </is>
      </c>
      <c r="G481" s="7" t="n">
        <v>147.9335327148438</v>
      </c>
      <c r="H481" s="6">
        <f>P450</f>
        <v/>
      </c>
      <c r="I481" s="9">
        <f>Q450</f>
        <v/>
      </c>
      <c r="J481" s="7">
        <f>I481*G481</f>
        <v/>
      </c>
      <c r="K481" s="8">
        <f>IF($J$497=0,0,J481/$J$497)</f>
        <v/>
      </c>
      <c r="L481" s="6" t="inlineStr">
        <is>
          <t>REJECTED</t>
        </is>
      </c>
      <c r="M481" s="8" t="n">
        <v>0</v>
      </c>
      <c r="N481" s="7">
        <f>M481*$J$497-J481</f>
        <v/>
      </c>
      <c r="O481" s="9">
        <f>IF(G481=0,0,N481/G481)</f>
        <v/>
      </c>
      <c r="P481" s="6">
        <f>IF(M481&gt;0,D481,"")</f>
        <v/>
      </c>
      <c r="Q481" s="9">
        <f>I481+O481</f>
        <v/>
      </c>
      <c r="R481" s="7">
        <f>Q481*G481</f>
        <v/>
      </c>
      <c r="S481" s="8">
        <f>IF($R$497=0,0,R481/$R$497)</f>
        <v/>
      </c>
      <c r="T481" s="8" t="n">
        <v>0</v>
      </c>
      <c r="U481" s="8" t="n">
        <v>-0.001610657291788553</v>
      </c>
      <c r="V481" s="6" t="inlineStr">
        <is>
          <t>not selected</t>
        </is>
      </c>
    </row>
    <row r="482">
      <c r="A482" s="6" t="inlineStr">
        <is>
          <t>DJ30</t>
        </is>
      </c>
      <c r="B482" s="6" t="inlineStr">
        <is>
          <t>2023-04-21</t>
        </is>
      </c>
      <c r="C482" s="6" t="inlineStr">
        <is>
          <t>DIA</t>
        </is>
      </c>
      <c r="D482" s="6" t="inlineStr">
        <is>
          <t>JPM</t>
        </is>
      </c>
      <c r="E482" s="6" t="inlineStr">
        <is>
          <t>JPM</t>
        </is>
      </c>
      <c r="F482" s="6" t="inlineStr">
        <is>
          <t>-</t>
        </is>
      </c>
      <c r="G482" s="7" t="n">
        <v>131.2552795410156</v>
      </c>
      <c r="H482" s="6">
        <f>P451</f>
        <v/>
      </c>
      <c r="I482" s="9">
        <f>Q451</f>
        <v/>
      </c>
      <c r="J482" s="7">
        <f>I482*G482</f>
        <v/>
      </c>
      <c r="K482" s="8">
        <f>IF($J$497=0,0,J482/$J$497)</f>
        <v/>
      </c>
      <c r="L482" s="6" t="inlineStr">
        <is>
          <t>REJECTED</t>
        </is>
      </c>
      <c r="M482" s="8" t="n">
        <v>0</v>
      </c>
      <c r="N482" s="7">
        <f>M482*$J$497-J482</f>
        <v/>
      </c>
      <c r="O482" s="9">
        <f>IF(G482=0,0,N482/G482)</f>
        <v/>
      </c>
      <c r="P482" s="6">
        <f>IF(M482&gt;0,D482,"")</f>
        <v/>
      </c>
      <c r="Q482" s="9">
        <f>I482+O482</f>
        <v/>
      </c>
      <c r="R482" s="7">
        <f>Q482*G482</f>
        <v/>
      </c>
      <c r="S482" s="8">
        <f>IF($R$497=0,0,R482/$R$497)</f>
        <v/>
      </c>
      <c r="T482" s="8" t="n">
        <v>0</v>
      </c>
      <c r="U482" s="8" t="n">
        <v>-0.001610657291788553</v>
      </c>
      <c r="V482" s="6" t="inlineStr">
        <is>
          <t>not selected</t>
        </is>
      </c>
    </row>
    <row r="483">
      <c r="A483" s="6" t="inlineStr">
        <is>
          <t>DJ30</t>
        </is>
      </c>
      <c r="B483" s="6" t="inlineStr">
        <is>
          <t>2023-04-21</t>
        </is>
      </c>
      <c r="C483" s="6" t="inlineStr">
        <is>
          <t>DIA</t>
        </is>
      </c>
      <c r="D483" s="6" t="inlineStr">
        <is>
          <t>KO</t>
        </is>
      </c>
      <c r="E483" s="6" t="inlineStr">
        <is>
          <t>KO</t>
        </is>
      </c>
      <c r="F483" s="6" t="inlineStr">
        <is>
          <t>-</t>
        </is>
      </c>
      <c r="G483" s="7" t="n">
        <v>58.19472122192383</v>
      </c>
      <c r="H483" s="6">
        <f>P452</f>
        <v/>
      </c>
      <c r="I483" s="9">
        <f>Q452</f>
        <v/>
      </c>
      <c r="J483" s="7">
        <f>I483*G483</f>
        <v/>
      </c>
      <c r="K483" s="8">
        <f>IF($J$497=0,0,J483/$J$497)</f>
        <v/>
      </c>
      <c r="L483" s="6" t="inlineStr">
        <is>
          <t>REJECTED</t>
        </is>
      </c>
      <c r="M483" s="8" t="n">
        <v>0</v>
      </c>
      <c r="N483" s="7">
        <f>M483*$J$497-J483</f>
        <v/>
      </c>
      <c r="O483" s="9">
        <f>IF(G483=0,0,N483/G483)</f>
        <v/>
      </c>
      <c r="P483" s="6">
        <f>IF(M483&gt;0,D483,"")</f>
        <v/>
      </c>
      <c r="Q483" s="9">
        <f>I483+O483</f>
        <v/>
      </c>
      <c r="R483" s="7">
        <f>Q483*G483</f>
        <v/>
      </c>
      <c r="S483" s="8">
        <f>IF($R$497=0,0,R483/$R$497)</f>
        <v/>
      </c>
      <c r="T483" s="8" t="n">
        <v>0</v>
      </c>
      <c r="U483" s="8" t="n">
        <v>-0.001610657291788553</v>
      </c>
      <c r="V483" s="6" t="inlineStr">
        <is>
          <t>not selected</t>
        </is>
      </c>
    </row>
    <row r="484">
      <c r="A484" s="6" t="inlineStr">
        <is>
          <t>DJ30</t>
        </is>
      </c>
      <c r="B484" s="6" t="inlineStr">
        <is>
          <t>2023-04-21</t>
        </is>
      </c>
      <c r="C484" s="6" t="inlineStr">
        <is>
          <t>DIA</t>
        </is>
      </c>
      <c r="D484" s="6" t="inlineStr">
        <is>
          <t>MCD</t>
        </is>
      </c>
      <c r="E484" s="6" t="inlineStr">
        <is>
          <t>MCD</t>
        </is>
      </c>
      <c r="F484" s="6" t="inlineStr">
        <is>
          <t>-</t>
        </is>
      </c>
      <c r="G484" s="7" t="n">
        <v>270.6963806152344</v>
      </c>
      <c r="H484" s="6">
        <f>P453</f>
        <v/>
      </c>
      <c r="I484" s="9">
        <f>Q453</f>
        <v/>
      </c>
      <c r="J484" s="7">
        <f>I484*G484</f>
        <v/>
      </c>
      <c r="K484" s="8">
        <f>IF($J$497=0,0,J484/$J$497)</f>
        <v/>
      </c>
      <c r="L484" s="6" t="inlineStr">
        <is>
          <t>REJECTED</t>
        </is>
      </c>
      <c r="M484" s="8" t="n">
        <v>0</v>
      </c>
      <c r="N484" s="7">
        <f>M484*$J$497-J484</f>
        <v/>
      </c>
      <c r="O484" s="9">
        <f>IF(G484=0,0,N484/G484)</f>
        <v/>
      </c>
      <c r="P484" s="6">
        <f>IF(M484&gt;0,D484,"")</f>
        <v/>
      </c>
      <c r="Q484" s="9">
        <f>I484+O484</f>
        <v/>
      </c>
      <c r="R484" s="7">
        <f>Q484*G484</f>
        <v/>
      </c>
      <c r="S484" s="8">
        <f>IF($R$497=0,0,R484/$R$497)</f>
        <v/>
      </c>
      <c r="T484" s="8" t="n">
        <v>0</v>
      </c>
      <c r="U484" s="8" t="n">
        <v>-0.001610657291788553</v>
      </c>
      <c r="V484" s="6" t="inlineStr">
        <is>
          <t>not selected</t>
        </is>
      </c>
    </row>
    <row r="485">
      <c r="A485" s="6" t="inlineStr">
        <is>
          <t>DJ30</t>
        </is>
      </c>
      <c r="B485" s="6" t="inlineStr">
        <is>
          <t>2023-04-21</t>
        </is>
      </c>
      <c r="C485" s="6" t="inlineStr">
        <is>
          <t>DIA</t>
        </is>
      </c>
      <c r="D485" s="6" t="inlineStr">
        <is>
          <t>MMM</t>
        </is>
      </c>
      <c r="E485" s="6" t="inlineStr">
        <is>
          <t>MMM</t>
        </is>
      </c>
      <c r="F485" s="6" t="inlineStr">
        <is>
          <t>-</t>
        </is>
      </c>
      <c r="G485" s="7" t="n">
        <v>78.41802215576172</v>
      </c>
      <c r="H485" s="6">
        <f>P454</f>
        <v/>
      </c>
      <c r="I485" s="9">
        <f>Q454</f>
        <v/>
      </c>
      <c r="J485" s="7">
        <f>I485*G485</f>
        <v/>
      </c>
      <c r="K485" s="8">
        <f>IF($J$497=0,0,J485/$J$497)</f>
        <v/>
      </c>
      <c r="L485" s="6" t="inlineStr">
        <is>
          <t>REJECTED</t>
        </is>
      </c>
      <c r="M485" s="8" t="n">
        <v>0</v>
      </c>
      <c r="N485" s="7">
        <f>M485*$J$497-J485</f>
        <v/>
      </c>
      <c r="O485" s="9">
        <f>IF(G485=0,0,N485/G485)</f>
        <v/>
      </c>
      <c r="P485" s="6">
        <f>IF(M485&gt;0,D485,"")</f>
        <v/>
      </c>
      <c r="Q485" s="9">
        <f>I485+O485</f>
        <v/>
      </c>
      <c r="R485" s="7">
        <f>Q485*G485</f>
        <v/>
      </c>
      <c r="S485" s="8">
        <f>IF($R$497=0,0,R485/$R$497)</f>
        <v/>
      </c>
      <c r="T485" s="8" t="n">
        <v>0</v>
      </c>
      <c r="U485" s="8" t="n">
        <v>-0.001610657291788553</v>
      </c>
      <c r="V485" s="6" t="inlineStr">
        <is>
          <t>not selected</t>
        </is>
      </c>
    </row>
    <row r="486">
      <c r="A486" s="6" t="inlineStr">
        <is>
          <t>DJ30</t>
        </is>
      </c>
      <c r="B486" s="6" t="inlineStr">
        <is>
          <t>2023-04-21</t>
        </is>
      </c>
      <c r="C486" s="6" t="inlineStr">
        <is>
          <t>DIA</t>
        </is>
      </c>
      <c r="D486" s="6" t="inlineStr">
        <is>
          <t>MRK</t>
        </is>
      </c>
      <c r="E486" s="6" t="inlineStr">
        <is>
          <t>MRK</t>
        </is>
      </c>
      <c r="F486" s="6" t="inlineStr">
        <is>
          <t>-</t>
        </is>
      </c>
      <c r="G486" s="7" t="n">
        <v>104.4906616210938</v>
      </c>
      <c r="H486" s="6">
        <f>P455</f>
        <v/>
      </c>
      <c r="I486" s="9">
        <f>Q455</f>
        <v/>
      </c>
      <c r="J486" s="7">
        <f>I486*G486</f>
        <v/>
      </c>
      <c r="K486" s="8">
        <f>IF($J$497=0,0,J486/$J$497)</f>
        <v/>
      </c>
      <c r="L486" s="6" t="inlineStr">
        <is>
          <t>REJECTED</t>
        </is>
      </c>
      <c r="M486" s="8" t="n">
        <v>0</v>
      </c>
      <c r="N486" s="7">
        <f>M486*$J$497-J486</f>
        <v/>
      </c>
      <c r="O486" s="9">
        <f>IF(G486=0,0,N486/G486)</f>
        <v/>
      </c>
      <c r="P486" s="6">
        <f>IF(M486&gt;0,D486,"")</f>
        <v/>
      </c>
      <c r="Q486" s="9">
        <f>I486+O486</f>
        <v/>
      </c>
      <c r="R486" s="7">
        <f>Q486*G486</f>
        <v/>
      </c>
      <c r="S486" s="8">
        <f>IF($R$497=0,0,R486/$R$497)</f>
        <v/>
      </c>
      <c r="T486" s="8" t="n">
        <v>0</v>
      </c>
      <c r="U486" s="8" t="n">
        <v>-0.001610657291788553</v>
      </c>
      <c r="V486" s="6" t="inlineStr">
        <is>
          <t>not selected</t>
        </is>
      </c>
    </row>
    <row r="487">
      <c r="A487" s="6" t="inlineStr">
        <is>
          <t>DJ30</t>
        </is>
      </c>
      <c r="B487" s="6" t="inlineStr">
        <is>
          <t>2023-04-21</t>
        </is>
      </c>
      <c r="C487" s="6" t="inlineStr">
        <is>
          <t>DIA</t>
        </is>
      </c>
      <c r="D487" s="6" t="inlineStr">
        <is>
          <t>MSFT</t>
        </is>
      </c>
      <c r="E487" s="6" t="inlineStr">
        <is>
          <t>MSFT</t>
        </is>
      </c>
      <c r="F487" s="6" t="inlineStr">
        <is>
          <t>-</t>
        </is>
      </c>
      <c r="G487" s="7" t="n">
        <v>278.5458679199219</v>
      </c>
      <c r="H487" s="6">
        <f>P456</f>
        <v/>
      </c>
      <c r="I487" s="9">
        <f>Q456</f>
        <v/>
      </c>
      <c r="J487" s="7">
        <f>I487*G487</f>
        <v/>
      </c>
      <c r="K487" s="8">
        <f>IF($J$497=0,0,J487/$J$497)</f>
        <v/>
      </c>
      <c r="L487" s="6" t="inlineStr">
        <is>
          <t>REJECTED</t>
        </is>
      </c>
      <c r="M487" s="8" t="n">
        <v>0</v>
      </c>
      <c r="N487" s="7">
        <f>M487*$J$497-J487</f>
        <v/>
      </c>
      <c r="O487" s="9">
        <f>IF(G487=0,0,N487/G487)</f>
        <v/>
      </c>
      <c r="P487" s="6">
        <f>IF(M487&gt;0,D487,"")</f>
        <v/>
      </c>
      <c r="Q487" s="9">
        <f>I487+O487</f>
        <v/>
      </c>
      <c r="R487" s="7">
        <f>Q487*G487</f>
        <v/>
      </c>
      <c r="S487" s="8">
        <f>IF($R$497=0,0,R487/$R$497)</f>
        <v/>
      </c>
      <c r="T487" s="8" t="n">
        <v>0</v>
      </c>
      <c r="U487" s="8" t="n">
        <v>-0.001610657291788553</v>
      </c>
      <c r="V487" s="6" t="inlineStr">
        <is>
          <t>not selected</t>
        </is>
      </c>
    </row>
    <row r="488">
      <c r="A488" s="6" t="inlineStr">
        <is>
          <t>DJ30</t>
        </is>
      </c>
      <c r="B488" s="6" t="inlineStr">
        <is>
          <t>2023-04-21</t>
        </is>
      </c>
      <c r="C488" s="6" t="inlineStr">
        <is>
          <t>DIA</t>
        </is>
      </c>
      <c r="D488" s="6" t="inlineStr">
        <is>
          <t>NKE</t>
        </is>
      </c>
      <c r="E488" s="6" t="inlineStr">
        <is>
          <t>NKE</t>
        </is>
      </c>
      <c r="F488" s="6" t="inlineStr">
        <is>
          <t>-</t>
        </is>
      </c>
      <c r="G488" s="7" t="n">
        <v>117.5421676635742</v>
      </c>
      <c r="H488" s="6">
        <f>P457</f>
        <v/>
      </c>
      <c r="I488" s="9">
        <f>Q457</f>
        <v/>
      </c>
      <c r="J488" s="7">
        <f>I488*G488</f>
        <v/>
      </c>
      <c r="K488" s="8">
        <f>IF($J$497=0,0,J488/$J$497)</f>
        <v/>
      </c>
      <c r="L488" s="6" t="inlineStr">
        <is>
          <t>REJECTED</t>
        </is>
      </c>
      <c r="M488" s="8" t="n">
        <v>0</v>
      </c>
      <c r="N488" s="7">
        <f>M488*$J$497-J488</f>
        <v/>
      </c>
      <c r="O488" s="9">
        <f>IF(G488=0,0,N488/G488)</f>
        <v/>
      </c>
      <c r="P488" s="6">
        <f>IF(M488&gt;0,D488,"")</f>
        <v/>
      </c>
      <c r="Q488" s="9">
        <f>I488+O488</f>
        <v/>
      </c>
      <c r="R488" s="7">
        <f>Q488*G488</f>
        <v/>
      </c>
      <c r="S488" s="8">
        <f>IF($R$497=0,0,R488/$R$497)</f>
        <v/>
      </c>
      <c r="T488" s="8" t="n">
        <v>0</v>
      </c>
      <c r="U488" s="8" t="n">
        <v>-0.001610657291788553</v>
      </c>
      <c r="V488" s="6" t="inlineStr">
        <is>
          <t>not selected</t>
        </is>
      </c>
    </row>
    <row r="489">
      <c r="A489" s="6" t="inlineStr">
        <is>
          <t>DJ30</t>
        </is>
      </c>
      <c r="B489" s="6" t="inlineStr">
        <is>
          <t>2023-04-21</t>
        </is>
      </c>
      <c r="C489" s="6" t="inlineStr">
        <is>
          <t>DIA</t>
        </is>
      </c>
      <c r="D489" s="6" t="inlineStr">
        <is>
          <t>NVDA</t>
        </is>
      </c>
      <c r="E489" s="6" t="inlineStr">
        <is>
          <t>NVDA</t>
        </is>
      </c>
      <c r="F489" s="6" t="inlineStr">
        <is>
          <t>-</t>
        </is>
      </c>
      <c r="G489" s="7" t="n">
        <v>27.06346893310547</v>
      </c>
      <c r="H489" s="6">
        <f>P458</f>
        <v/>
      </c>
      <c r="I489" s="9">
        <f>Q458</f>
        <v/>
      </c>
      <c r="J489" s="7">
        <f>I489*G489</f>
        <v/>
      </c>
      <c r="K489" s="8">
        <f>IF($J$497=0,0,J489/$J$497)</f>
        <v/>
      </c>
      <c r="L489" s="6" t="inlineStr">
        <is>
          <t>REJECTED</t>
        </is>
      </c>
      <c r="M489" s="8" t="n">
        <v>0</v>
      </c>
      <c r="N489" s="7">
        <f>M489*$J$497-J489</f>
        <v/>
      </c>
      <c r="O489" s="9">
        <f>IF(G489=0,0,N489/G489)</f>
        <v/>
      </c>
      <c r="P489" s="6">
        <f>IF(M489&gt;0,D489,"")</f>
        <v/>
      </c>
      <c r="Q489" s="9">
        <f>I489+O489</f>
        <v/>
      </c>
      <c r="R489" s="7">
        <f>Q489*G489</f>
        <v/>
      </c>
      <c r="S489" s="8">
        <f>IF($R$497=0,0,R489/$R$497)</f>
        <v/>
      </c>
      <c r="T489" s="8" t="n">
        <v>0</v>
      </c>
      <c r="U489" s="8" t="n">
        <v>-0.001610657291788553</v>
      </c>
      <c r="V489" s="6" t="inlineStr">
        <is>
          <t>not selected</t>
        </is>
      </c>
    </row>
    <row r="490">
      <c r="A490" s="6" t="inlineStr">
        <is>
          <t>DJ30</t>
        </is>
      </c>
      <c r="B490" s="6" t="inlineStr">
        <is>
          <t>2023-04-21</t>
        </is>
      </c>
      <c r="C490" s="6" t="inlineStr">
        <is>
          <t>DIA</t>
        </is>
      </c>
      <c r="D490" s="6" t="inlineStr">
        <is>
          <t>PG</t>
        </is>
      </c>
      <c r="E490" s="6" t="inlineStr">
        <is>
          <t>PG</t>
        </is>
      </c>
      <c r="F490" s="6" t="inlineStr">
        <is>
          <t>-</t>
        </is>
      </c>
      <c r="G490" s="7" t="n">
        <v>144.3855743408203</v>
      </c>
      <c r="H490" s="6">
        <f>P459</f>
        <v/>
      </c>
      <c r="I490" s="9">
        <f>Q459</f>
        <v/>
      </c>
      <c r="J490" s="7">
        <f>I490*G490</f>
        <v/>
      </c>
      <c r="K490" s="8">
        <f>IF($J$497=0,0,J490/$J$497)</f>
        <v/>
      </c>
      <c r="L490" s="6" t="inlineStr">
        <is>
          <t>REJECTED</t>
        </is>
      </c>
      <c r="M490" s="8" t="n">
        <v>0</v>
      </c>
      <c r="N490" s="7">
        <f>M490*$J$497-J490</f>
        <v/>
      </c>
      <c r="O490" s="9">
        <f>IF(G490=0,0,N490/G490)</f>
        <v/>
      </c>
      <c r="P490" s="6">
        <f>IF(M490&gt;0,D490,"")</f>
        <v/>
      </c>
      <c r="Q490" s="9">
        <f>I490+O490</f>
        <v/>
      </c>
      <c r="R490" s="7">
        <f>Q490*G490</f>
        <v/>
      </c>
      <c r="S490" s="8">
        <f>IF($R$497=0,0,R490/$R$497)</f>
        <v/>
      </c>
      <c r="T490" s="8" t="n">
        <v>0</v>
      </c>
      <c r="U490" s="8" t="n">
        <v>-0.001610657291788553</v>
      </c>
      <c r="V490" s="6" t="inlineStr">
        <is>
          <t>not selected</t>
        </is>
      </c>
    </row>
    <row r="491">
      <c r="A491" s="6" t="inlineStr">
        <is>
          <t>DJ30</t>
        </is>
      </c>
      <c r="B491" s="6" t="inlineStr">
        <is>
          <t>2023-04-21</t>
        </is>
      </c>
      <c r="C491" s="6" t="inlineStr">
        <is>
          <t>DIA</t>
        </is>
      </c>
      <c r="D491" s="6" t="inlineStr">
        <is>
          <t>SHW</t>
        </is>
      </c>
      <c r="E491" s="6" t="inlineStr">
        <is>
          <t>SHW</t>
        </is>
      </c>
      <c r="F491" s="6" t="inlineStr">
        <is>
          <t>-</t>
        </is>
      </c>
      <c r="G491" s="7" t="n">
        <v>226.9210968017578</v>
      </c>
      <c r="H491" s="6">
        <f>P460</f>
        <v/>
      </c>
      <c r="I491" s="9">
        <f>Q460</f>
        <v/>
      </c>
      <c r="J491" s="7">
        <f>I491*G491</f>
        <v/>
      </c>
      <c r="K491" s="8">
        <f>IF($J$497=0,0,J491/$J$497)</f>
        <v/>
      </c>
      <c r="L491" s="6" t="inlineStr">
        <is>
          <t>REJECTED</t>
        </is>
      </c>
      <c r="M491" s="8" t="n">
        <v>0</v>
      </c>
      <c r="N491" s="7">
        <f>M491*$J$497-J491</f>
        <v/>
      </c>
      <c r="O491" s="9">
        <f>IF(G491=0,0,N491/G491)</f>
        <v/>
      </c>
      <c r="P491" s="6">
        <f>IF(M491&gt;0,D491,"")</f>
        <v/>
      </c>
      <c r="Q491" s="9">
        <f>I491+O491</f>
        <v/>
      </c>
      <c r="R491" s="7">
        <f>Q491*G491</f>
        <v/>
      </c>
      <c r="S491" s="8">
        <f>IF($R$497=0,0,R491/$R$497)</f>
        <v/>
      </c>
      <c r="T491" s="8" t="n">
        <v>0</v>
      </c>
      <c r="U491" s="8" t="n">
        <v>-0.001610657291788553</v>
      </c>
      <c r="V491" s="6" t="inlineStr">
        <is>
          <t>not selected</t>
        </is>
      </c>
    </row>
    <row r="492">
      <c r="A492" s="6" t="inlineStr">
        <is>
          <t>DJ30</t>
        </is>
      </c>
      <c r="B492" s="6" t="inlineStr">
        <is>
          <t>2023-04-21</t>
        </is>
      </c>
      <c r="C492" s="6" t="inlineStr">
        <is>
          <t>DIA</t>
        </is>
      </c>
      <c r="D492" s="6" t="inlineStr">
        <is>
          <t>TRV</t>
        </is>
      </c>
      <c r="E492" s="6" t="inlineStr">
        <is>
          <t>TRV</t>
        </is>
      </c>
      <c r="F492" s="6" t="inlineStr">
        <is>
          <t>-</t>
        </is>
      </c>
      <c r="G492" s="7" t="n">
        <v>169.1419372558594</v>
      </c>
      <c r="H492" s="6">
        <f>P461</f>
        <v/>
      </c>
      <c r="I492" s="9">
        <f>Q461</f>
        <v/>
      </c>
      <c r="J492" s="7">
        <f>I492*G492</f>
        <v/>
      </c>
      <c r="K492" s="8">
        <f>IF($J$497=0,0,J492/$J$497)</f>
        <v/>
      </c>
      <c r="L492" s="6" t="inlineStr">
        <is>
          <t>REJECTED</t>
        </is>
      </c>
      <c r="M492" s="8" t="n">
        <v>0</v>
      </c>
      <c r="N492" s="7">
        <f>M492*$J$497-J492</f>
        <v/>
      </c>
      <c r="O492" s="9">
        <f>IF(G492=0,0,N492/G492)</f>
        <v/>
      </c>
      <c r="P492" s="6">
        <f>IF(M492&gt;0,D492,"")</f>
        <v/>
      </c>
      <c r="Q492" s="9">
        <f>I492+O492</f>
        <v/>
      </c>
      <c r="R492" s="7">
        <f>Q492*G492</f>
        <v/>
      </c>
      <c r="S492" s="8">
        <f>IF($R$497=0,0,R492/$R$497)</f>
        <v/>
      </c>
      <c r="T492" s="8" t="n">
        <v>0</v>
      </c>
      <c r="U492" s="8" t="n">
        <v>-0.001610657291788553</v>
      </c>
      <c r="V492" s="6" t="inlineStr">
        <is>
          <t>not selected</t>
        </is>
      </c>
    </row>
    <row r="493">
      <c r="A493" s="6" t="inlineStr">
        <is>
          <t>DJ30</t>
        </is>
      </c>
      <c r="B493" s="6" t="inlineStr">
        <is>
          <t>2023-04-21</t>
        </is>
      </c>
      <c r="C493" s="6" t="inlineStr">
        <is>
          <t>DIA</t>
        </is>
      </c>
      <c r="D493" s="6" t="inlineStr">
        <is>
          <t>UNH</t>
        </is>
      </c>
      <c r="E493" s="6" t="inlineStr">
        <is>
          <t>UNH</t>
        </is>
      </c>
      <c r="F493" s="6" t="inlineStr">
        <is>
          <t>-</t>
        </is>
      </c>
      <c r="G493" s="7" t="n">
        <v>453.5120849609375</v>
      </c>
      <c r="H493" s="6">
        <f>P462</f>
        <v/>
      </c>
      <c r="I493" s="9">
        <f>Q462</f>
        <v/>
      </c>
      <c r="J493" s="7">
        <f>I493*G493</f>
        <v/>
      </c>
      <c r="K493" s="8">
        <f>IF($J$497=0,0,J493/$J$497)</f>
        <v/>
      </c>
      <c r="L493" s="6" t="inlineStr">
        <is>
          <t>REJECTED</t>
        </is>
      </c>
      <c r="M493" s="8" t="n">
        <v>0</v>
      </c>
      <c r="N493" s="7">
        <f>M493*$J$497-J493</f>
        <v/>
      </c>
      <c r="O493" s="9">
        <f>IF(G493=0,0,N493/G493)</f>
        <v/>
      </c>
      <c r="P493" s="6">
        <f>IF(M493&gt;0,D493,"")</f>
        <v/>
      </c>
      <c r="Q493" s="9">
        <f>I493+O493</f>
        <v/>
      </c>
      <c r="R493" s="7">
        <f>Q493*G493</f>
        <v/>
      </c>
      <c r="S493" s="8">
        <f>IF($R$497=0,0,R493/$R$497)</f>
        <v/>
      </c>
      <c r="T493" s="8" t="n">
        <v>0</v>
      </c>
      <c r="U493" s="8" t="n">
        <v>-0.001610657291788553</v>
      </c>
      <c r="V493" s="6" t="inlineStr">
        <is>
          <t>not selected</t>
        </is>
      </c>
    </row>
    <row r="494">
      <c r="A494" s="6" t="inlineStr">
        <is>
          <t>DJ30</t>
        </is>
      </c>
      <c r="B494" s="6" t="inlineStr">
        <is>
          <t>2023-04-21</t>
        </is>
      </c>
      <c r="C494" s="6" t="inlineStr">
        <is>
          <t>DIA</t>
        </is>
      </c>
      <c r="D494" s="6" t="inlineStr">
        <is>
          <t>V</t>
        </is>
      </c>
      <c r="E494" s="6" t="inlineStr">
        <is>
          <t>V</t>
        </is>
      </c>
      <c r="F494" s="6" t="inlineStr">
        <is>
          <t>-</t>
        </is>
      </c>
      <c r="G494" s="7" t="n">
        <v>228.3224334716797</v>
      </c>
      <c r="H494" s="6">
        <f>P463</f>
        <v/>
      </c>
      <c r="I494" s="9">
        <f>Q463</f>
        <v/>
      </c>
      <c r="J494" s="7">
        <f>I494*G494</f>
        <v/>
      </c>
      <c r="K494" s="8">
        <f>IF($J$497=0,0,J494/$J$497)</f>
        <v/>
      </c>
      <c r="L494" s="6" t="inlineStr">
        <is>
          <t>REJECTED</t>
        </is>
      </c>
      <c r="M494" s="8" t="n">
        <v>0</v>
      </c>
      <c r="N494" s="7">
        <f>M494*$J$497-J494</f>
        <v/>
      </c>
      <c r="O494" s="9">
        <f>IF(G494=0,0,N494/G494)</f>
        <v/>
      </c>
      <c r="P494" s="6">
        <f>IF(M494&gt;0,D494,"")</f>
        <v/>
      </c>
      <c r="Q494" s="9">
        <f>I494+O494</f>
        <v/>
      </c>
      <c r="R494" s="7">
        <f>Q494*G494</f>
        <v/>
      </c>
      <c r="S494" s="8">
        <f>IF($R$497=0,0,R494/$R$497)</f>
        <v/>
      </c>
      <c r="T494" s="8" t="n">
        <v>0</v>
      </c>
      <c r="U494" s="8" t="n">
        <v>-0.001610657291788553</v>
      </c>
      <c r="V494" s="6" t="inlineStr">
        <is>
          <t>not selected</t>
        </is>
      </c>
    </row>
    <row r="495">
      <c r="A495" s="6" t="inlineStr">
        <is>
          <t>DJ30</t>
        </is>
      </c>
      <c r="B495" s="6" t="inlineStr">
        <is>
          <t>2023-04-21</t>
        </is>
      </c>
      <c r="C495" s="6" t="inlineStr">
        <is>
          <t>DIA</t>
        </is>
      </c>
      <c r="D495" s="6" t="inlineStr">
        <is>
          <t>VZ</t>
        </is>
      </c>
      <c r="E495" s="6" t="inlineStr">
        <is>
          <t>VZ</t>
        </is>
      </c>
      <c r="F495" s="6" t="inlineStr">
        <is>
          <t>-</t>
        </is>
      </c>
      <c r="G495" s="7" t="n">
        <v>30.49137496948243</v>
      </c>
      <c r="H495" s="6">
        <f>P464</f>
        <v/>
      </c>
      <c r="I495" s="9">
        <f>Q464</f>
        <v/>
      </c>
      <c r="J495" s="7">
        <f>I495*G495</f>
        <v/>
      </c>
      <c r="K495" s="8">
        <f>IF($J$497=0,0,J495/$J$497)</f>
        <v/>
      </c>
      <c r="L495" s="6" t="inlineStr">
        <is>
          <t>REJECTED</t>
        </is>
      </c>
      <c r="M495" s="8" t="n">
        <v>0</v>
      </c>
      <c r="N495" s="7">
        <f>M495*$J$497-J495</f>
        <v/>
      </c>
      <c r="O495" s="9">
        <f>IF(G495=0,0,N495/G495)</f>
        <v/>
      </c>
      <c r="P495" s="6">
        <f>IF(M495&gt;0,D495,"")</f>
        <v/>
      </c>
      <c r="Q495" s="9">
        <f>I495+O495</f>
        <v/>
      </c>
      <c r="R495" s="7">
        <f>Q495*G495</f>
        <v/>
      </c>
      <c r="S495" s="8">
        <f>IF($R$497=0,0,R495/$R$497)</f>
        <v/>
      </c>
      <c r="T495" s="8" t="n">
        <v>0</v>
      </c>
      <c r="U495" s="8" t="n">
        <v>-0.001610657291788553</v>
      </c>
      <c r="V495" s="6" t="inlineStr">
        <is>
          <t>not selected</t>
        </is>
      </c>
    </row>
    <row r="496">
      <c r="A496" s="6" t="inlineStr">
        <is>
          <t>DJ30</t>
        </is>
      </c>
      <c r="B496" s="6" t="inlineStr">
        <is>
          <t>2023-04-21</t>
        </is>
      </c>
      <c r="C496" s="6" t="inlineStr">
        <is>
          <t>DIA</t>
        </is>
      </c>
      <c r="D496" s="6" t="inlineStr">
        <is>
          <t>WMT</t>
        </is>
      </c>
      <c r="E496" s="6" t="inlineStr">
        <is>
          <t>WMT</t>
        </is>
      </c>
      <c r="F496" s="6" t="inlineStr">
        <is>
          <t>-</t>
        </is>
      </c>
      <c r="G496" s="7" t="n">
        <v>48.76655960083008</v>
      </c>
      <c r="H496" s="6">
        <f>P465</f>
        <v/>
      </c>
      <c r="I496" s="9">
        <f>Q465</f>
        <v/>
      </c>
      <c r="J496" s="7">
        <f>I496*G496</f>
        <v/>
      </c>
      <c r="K496" s="8">
        <f>IF($J$497=0,0,J496/$J$497)</f>
        <v/>
      </c>
      <c r="L496" s="6" t="inlineStr">
        <is>
          <t>REJECTED</t>
        </is>
      </c>
      <c r="M496" s="8" t="n">
        <v>0</v>
      </c>
      <c r="N496" s="7">
        <f>M496*$J$497-J496</f>
        <v/>
      </c>
      <c r="O496" s="9">
        <f>IF(G496=0,0,N496/G496)</f>
        <v/>
      </c>
      <c r="P496" s="6">
        <f>IF(M496&gt;0,D496,"")</f>
        <v/>
      </c>
      <c r="Q496" s="9">
        <f>I496+O496</f>
        <v/>
      </c>
      <c r="R496" s="7">
        <f>Q496*G496</f>
        <v/>
      </c>
      <c r="S496" s="8">
        <f>IF($R$497=0,0,R496/$R$497)</f>
        <v/>
      </c>
      <c r="T496" s="8" t="n">
        <v>0</v>
      </c>
      <c r="U496" s="8" t="n">
        <v>-0.001610657291788553</v>
      </c>
      <c r="V496" s="6" t="inlineStr">
        <is>
          <t>not selected</t>
        </is>
      </c>
    </row>
    <row r="497">
      <c r="A497" s="10" t="inlineStr">
        <is>
          <t>DJ30</t>
        </is>
      </c>
      <c r="B497" s="10" t="inlineStr">
        <is>
          <t>2023-04-21</t>
        </is>
      </c>
      <c r="C497" s="10" t="inlineStr">
        <is>
          <t>DIA</t>
        </is>
      </c>
      <c r="D497" s="10" t="inlineStr">
        <is>
          <t>Tot Portfolio</t>
        </is>
      </c>
      <c r="E497" s="10" t="inlineStr"/>
      <c r="F497" s="10" t="inlineStr"/>
      <c r="G497" s="11" t="inlineStr"/>
      <c r="H497" s="10" t="inlineStr"/>
      <c r="I497" s="12" t="inlineStr"/>
      <c r="J497" s="11">
        <f>SUM(J467:J496)</f>
        <v/>
      </c>
      <c r="K497" s="13">
        <f>SUM(K467:K496)</f>
        <v/>
      </c>
      <c r="L497" s="10" t="inlineStr">
        <is>
          <t>TOTAL</t>
        </is>
      </c>
      <c r="M497" s="13">
        <f>SUM(M467:M496)</f>
        <v/>
      </c>
      <c r="N497" s="11">
        <f>SUM(N467:N496)</f>
        <v/>
      </c>
      <c r="O497" s="12">
        <f>SUM(O467:O496)</f>
        <v/>
      </c>
      <c r="P497" s="10" t="inlineStr"/>
      <c r="Q497" s="12" t="inlineStr"/>
      <c r="R497" s="11">
        <f>SUM(R467:R496)</f>
        <v/>
      </c>
      <c r="S497" s="13">
        <f>SUM(S467:S496)</f>
        <v/>
      </c>
      <c r="T497" s="13" t="n">
        <v>0</v>
      </c>
      <c r="U497" s="13" t="n">
        <v>-0.001610657291788553</v>
      </c>
      <c r="V497" s="10" t="inlineStr"/>
    </row>
    <row r="498">
      <c r="A498" s="6" t="inlineStr">
        <is>
          <t>DJ30</t>
        </is>
      </c>
      <c r="B498" s="6" t="inlineStr">
        <is>
          <t>2023-04-28</t>
        </is>
      </c>
      <c r="C498" s="6" t="inlineStr">
        <is>
          <t>DIA</t>
        </is>
      </c>
      <c r="D498" s="6" t="inlineStr">
        <is>
          <t>AAPL</t>
        </is>
      </c>
      <c r="E498" s="6" t="inlineStr">
        <is>
          <t>AAPL</t>
        </is>
      </c>
      <c r="F498" s="6" t="inlineStr">
        <is>
          <t>-</t>
        </is>
      </c>
      <c r="G498" s="7" t="n">
        <v>167.1029663085938</v>
      </c>
      <c r="H498" s="6">
        <f>P467</f>
        <v/>
      </c>
      <c r="I498" s="9">
        <f>Q467</f>
        <v/>
      </c>
      <c r="J498" s="7">
        <f>I498*G498</f>
        <v/>
      </c>
      <c r="K498" s="8">
        <f>IF($J$528=0,0,J498/$J$528)</f>
        <v/>
      </c>
      <c r="L498" s="6" t="inlineStr">
        <is>
          <t>REJECTED</t>
        </is>
      </c>
      <c r="M498" s="8" t="n">
        <v>0</v>
      </c>
      <c r="N498" s="7">
        <f>M498*$J$528-J498</f>
        <v/>
      </c>
      <c r="O498" s="9">
        <f>IF(G498=0,0,N498/G498)</f>
        <v/>
      </c>
      <c r="P498" s="6">
        <f>IF(M498&gt;0,D498,"")</f>
        <v/>
      </c>
      <c r="Q498" s="9">
        <f>I498+O498</f>
        <v/>
      </c>
      <c r="R498" s="7">
        <f>Q498*G498</f>
        <v/>
      </c>
      <c r="S498" s="8">
        <f>IF($R$528=0,0,R498/$R$528)</f>
        <v/>
      </c>
      <c r="T498" s="8" t="n">
        <v>0</v>
      </c>
      <c r="U498" s="8" t="n">
        <v>0.008636133536228163</v>
      </c>
      <c r="V498" s="6" t="inlineStr">
        <is>
          <t>not selected</t>
        </is>
      </c>
    </row>
    <row r="499">
      <c r="A499" s="6" t="inlineStr">
        <is>
          <t>DJ30</t>
        </is>
      </c>
      <c r="B499" s="6" t="inlineStr">
        <is>
          <t>2023-04-28</t>
        </is>
      </c>
      <c r="C499" s="6" t="inlineStr">
        <is>
          <t>DIA</t>
        </is>
      </c>
      <c r="D499" s="6" t="inlineStr">
        <is>
          <t>AMGN</t>
        </is>
      </c>
      <c r="E499" s="6" t="inlineStr">
        <is>
          <t>AMGN</t>
        </is>
      </c>
      <c r="F499" s="6" t="inlineStr">
        <is>
          <t>-</t>
        </is>
      </c>
      <c r="G499" s="7" t="n">
        <v>216.5960540771484</v>
      </c>
      <c r="H499" s="6">
        <f>P468</f>
        <v/>
      </c>
      <c r="I499" s="9">
        <f>Q468</f>
        <v/>
      </c>
      <c r="J499" s="7">
        <f>I499*G499</f>
        <v/>
      </c>
      <c r="K499" s="8">
        <f>IF($J$528=0,0,J499/$J$528)</f>
        <v/>
      </c>
      <c r="L499" s="6" t="inlineStr">
        <is>
          <t>REJECTED</t>
        </is>
      </c>
      <c r="M499" s="8" t="n">
        <v>0</v>
      </c>
      <c r="N499" s="7">
        <f>M499*$J$528-J499</f>
        <v/>
      </c>
      <c r="O499" s="9">
        <f>IF(G499=0,0,N499/G499)</f>
        <v/>
      </c>
      <c r="P499" s="6">
        <f>IF(M499&gt;0,D499,"")</f>
        <v/>
      </c>
      <c r="Q499" s="9">
        <f>I499+O499</f>
        <v/>
      </c>
      <c r="R499" s="7">
        <f>Q499*G499</f>
        <v/>
      </c>
      <c r="S499" s="8">
        <f>IF($R$528=0,0,R499/$R$528)</f>
        <v/>
      </c>
      <c r="T499" s="8" t="n">
        <v>0</v>
      </c>
      <c r="U499" s="8" t="n">
        <v>0.008636133536228163</v>
      </c>
      <c r="V499" s="6" t="inlineStr">
        <is>
          <t>not selected</t>
        </is>
      </c>
    </row>
    <row r="500">
      <c r="A500" s="6" t="inlineStr">
        <is>
          <t>DJ30</t>
        </is>
      </c>
      <c r="B500" s="6" t="inlineStr">
        <is>
          <t>2023-04-28</t>
        </is>
      </c>
      <c r="C500" s="6" t="inlineStr">
        <is>
          <t>DIA</t>
        </is>
      </c>
      <c r="D500" s="6" t="inlineStr">
        <is>
          <t>AMZN</t>
        </is>
      </c>
      <c r="E500" s="6" t="inlineStr">
        <is>
          <t>AMZN</t>
        </is>
      </c>
      <c r="F500" s="6" t="inlineStr">
        <is>
          <t>-</t>
        </is>
      </c>
      <c r="G500" s="7" t="n">
        <v>105.4499969482422</v>
      </c>
      <c r="H500" s="6">
        <f>P469</f>
        <v/>
      </c>
      <c r="I500" s="9">
        <f>Q469</f>
        <v/>
      </c>
      <c r="J500" s="7">
        <f>I500*G500</f>
        <v/>
      </c>
      <c r="K500" s="8">
        <f>IF($J$528=0,0,J500/$J$528)</f>
        <v/>
      </c>
      <c r="L500" s="6" t="inlineStr">
        <is>
          <t>REJECTED</t>
        </is>
      </c>
      <c r="M500" s="8" t="n">
        <v>0</v>
      </c>
      <c r="N500" s="7">
        <f>M500*$J$528-J500</f>
        <v/>
      </c>
      <c r="O500" s="9">
        <f>IF(G500=0,0,N500/G500)</f>
        <v/>
      </c>
      <c r="P500" s="6">
        <f>IF(M500&gt;0,D500,"")</f>
        <v/>
      </c>
      <c r="Q500" s="9">
        <f>I500+O500</f>
        <v/>
      </c>
      <c r="R500" s="7">
        <f>Q500*G500</f>
        <v/>
      </c>
      <c r="S500" s="8">
        <f>IF($R$528=0,0,R500/$R$528)</f>
        <v/>
      </c>
      <c r="T500" s="8" t="n">
        <v>0</v>
      </c>
      <c r="U500" s="8" t="n">
        <v>0.008636133536228163</v>
      </c>
      <c r="V500" s="6" t="inlineStr">
        <is>
          <t>not selected</t>
        </is>
      </c>
    </row>
    <row r="501">
      <c r="A501" s="6" t="inlineStr">
        <is>
          <t>DJ30</t>
        </is>
      </c>
      <c r="B501" s="6" t="inlineStr">
        <is>
          <t>2023-04-28</t>
        </is>
      </c>
      <c r="C501" s="6" t="inlineStr">
        <is>
          <t>DIA</t>
        </is>
      </c>
      <c r="D501" s="6" t="inlineStr">
        <is>
          <t>AXP</t>
        </is>
      </c>
      <c r="E501" s="6" t="inlineStr">
        <is>
          <t>AXP</t>
        </is>
      </c>
      <c r="F501" s="6" t="inlineStr">
        <is>
          <t>-</t>
        </is>
      </c>
      <c r="G501" s="7" t="n">
        <v>155.7103271484375</v>
      </c>
      <c r="H501" s="6">
        <f>P470</f>
        <v/>
      </c>
      <c r="I501" s="9">
        <f>Q470</f>
        <v/>
      </c>
      <c r="J501" s="7">
        <f>I501*G501</f>
        <v/>
      </c>
      <c r="K501" s="8">
        <f>IF($J$528=0,0,J501/$J$528)</f>
        <v/>
      </c>
      <c r="L501" s="6" t="inlineStr">
        <is>
          <t>REJECTED</t>
        </is>
      </c>
      <c r="M501" s="8" t="n">
        <v>0</v>
      </c>
      <c r="N501" s="7">
        <f>M501*$J$528-J501</f>
        <v/>
      </c>
      <c r="O501" s="9">
        <f>IF(G501=0,0,N501/G501)</f>
        <v/>
      </c>
      <c r="P501" s="6">
        <f>IF(M501&gt;0,D501,"")</f>
        <v/>
      </c>
      <c r="Q501" s="9">
        <f>I501+O501</f>
        <v/>
      </c>
      <c r="R501" s="7">
        <f>Q501*G501</f>
        <v/>
      </c>
      <c r="S501" s="8">
        <f>IF($R$528=0,0,R501/$R$528)</f>
        <v/>
      </c>
      <c r="T501" s="8" t="n">
        <v>0</v>
      </c>
      <c r="U501" s="8" t="n">
        <v>0.008636133536228163</v>
      </c>
      <c r="V501" s="6" t="inlineStr">
        <is>
          <t>not selected</t>
        </is>
      </c>
    </row>
    <row r="502">
      <c r="A502" s="6" t="inlineStr">
        <is>
          <t>DJ30</t>
        </is>
      </c>
      <c r="B502" s="6" t="inlineStr">
        <is>
          <t>2023-04-28</t>
        </is>
      </c>
      <c r="C502" s="6" t="inlineStr">
        <is>
          <t>DIA</t>
        </is>
      </c>
      <c r="D502" s="6" t="inlineStr">
        <is>
          <t>BA</t>
        </is>
      </c>
      <c r="E502" s="6" t="inlineStr">
        <is>
          <t>BA</t>
        </is>
      </c>
      <c r="F502" s="6" t="inlineStr">
        <is>
          <t>-</t>
        </is>
      </c>
      <c r="G502" s="7" t="n">
        <v>206.7799987792969</v>
      </c>
      <c r="H502" s="6">
        <f>P471</f>
        <v/>
      </c>
      <c r="I502" s="9">
        <f>Q471</f>
        <v/>
      </c>
      <c r="J502" s="7">
        <f>I502*G502</f>
        <v/>
      </c>
      <c r="K502" s="8">
        <f>IF($J$528=0,0,J502/$J$528)</f>
        <v/>
      </c>
      <c r="L502" s="6" t="inlineStr">
        <is>
          <t>REJECTED</t>
        </is>
      </c>
      <c r="M502" s="8" t="n">
        <v>0</v>
      </c>
      <c r="N502" s="7">
        <f>M502*$J$528-J502</f>
        <v/>
      </c>
      <c r="O502" s="9">
        <f>IF(G502=0,0,N502/G502)</f>
        <v/>
      </c>
      <c r="P502" s="6">
        <f>IF(M502&gt;0,D502,"")</f>
        <v/>
      </c>
      <c r="Q502" s="9">
        <f>I502+O502</f>
        <v/>
      </c>
      <c r="R502" s="7">
        <f>Q502*G502</f>
        <v/>
      </c>
      <c r="S502" s="8">
        <f>IF($R$528=0,0,R502/$R$528)</f>
        <v/>
      </c>
      <c r="T502" s="8" t="n">
        <v>0</v>
      </c>
      <c r="U502" s="8" t="n">
        <v>0.008636133536228163</v>
      </c>
      <c r="V502" s="6" t="inlineStr">
        <is>
          <t>not selected</t>
        </is>
      </c>
    </row>
    <row r="503">
      <c r="A503" s="6" t="inlineStr">
        <is>
          <t>DJ30</t>
        </is>
      </c>
      <c r="B503" s="6" t="inlineStr">
        <is>
          <t>2023-04-28</t>
        </is>
      </c>
      <c r="C503" s="6" t="inlineStr">
        <is>
          <t>DIA</t>
        </is>
      </c>
      <c r="D503" s="6" t="inlineStr">
        <is>
          <t>CAT</t>
        </is>
      </c>
      <c r="E503" s="6" t="inlineStr">
        <is>
          <t>CAT</t>
        </is>
      </c>
      <c r="F503" s="6" t="inlineStr">
        <is>
          <t>-</t>
        </is>
      </c>
      <c r="G503" s="7" t="n">
        <v>209.1235961914062</v>
      </c>
      <c r="H503" s="6">
        <f>P472</f>
        <v/>
      </c>
      <c r="I503" s="9">
        <f>Q472</f>
        <v/>
      </c>
      <c r="J503" s="7">
        <f>I503*G503</f>
        <v/>
      </c>
      <c r="K503" s="8">
        <f>IF($J$528=0,0,J503/$J$528)</f>
        <v/>
      </c>
      <c r="L503" s="6" t="inlineStr">
        <is>
          <t>REJECTED</t>
        </is>
      </c>
      <c r="M503" s="8" t="n">
        <v>0</v>
      </c>
      <c r="N503" s="7">
        <f>M503*$J$528-J503</f>
        <v/>
      </c>
      <c r="O503" s="9">
        <f>IF(G503=0,0,N503/G503)</f>
        <v/>
      </c>
      <c r="P503" s="6">
        <f>IF(M503&gt;0,D503,"")</f>
        <v/>
      </c>
      <c r="Q503" s="9">
        <f>I503+O503</f>
        <v/>
      </c>
      <c r="R503" s="7">
        <f>Q503*G503</f>
        <v/>
      </c>
      <c r="S503" s="8">
        <f>IF($R$528=0,0,R503/$R$528)</f>
        <v/>
      </c>
      <c r="T503" s="8" t="n">
        <v>0</v>
      </c>
      <c r="U503" s="8" t="n">
        <v>0.008636133536228163</v>
      </c>
      <c r="V503" s="6" t="inlineStr">
        <is>
          <t>not selected</t>
        </is>
      </c>
    </row>
    <row r="504">
      <c r="A504" s="6" t="inlineStr">
        <is>
          <t>DJ30</t>
        </is>
      </c>
      <c r="B504" s="6" t="inlineStr">
        <is>
          <t>2023-04-28</t>
        </is>
      </c>
      <c r="C504" s="6" t="inlineStr">
        <is>
          <t>DIA</t>
        </is>
      </c>
      <c r="D504" s="6" t="inlineStr">
        <is>
          <t>CRM</t>
        </is>
      </c>
      <c r="E504" s="6" t="inlineStr">
        <is>
          <t>CRM</t>
        </is>
      </c>
      <c r="F504" s="6" t="inlineStr">
        <is>
          <t>-</t>
        </is>
      </c>
      <c r="G504" s="7" t="n">
        <v>194.9964904785156</v>
      </c>
      <c r="H504" s="6">
        <f>P473</f>
        <v/>
      </c>
      <c r="I504" s="9">
        <f>Q473</f>
        <v/>
      </c>
      <c r="J504" s="7">
        <f>I504*G504</f>
        <v/>
      </c>
      <c r="K504" s="8">
        <f>IF($J$528=0,0,J504/$J$528)</f>
        <v/>
      </c>
      <c r="L504" s="6" t="inlineStr">
        <is>
          <t>REJECTED</t>
        </is>
      </c>
      <c r="M504" s="8" t="n">
        <v>0</v>
      </c>
      <c r="N504" s="7">
        <f>M504*$J$528-J504</f>
        <v/>
      </c>
      <c r="O504" s="9">
        <f>IF(G504=0,0,N504/G504)</f>
        <v/>
      </c>
      <c r="P504" s="6">
        <f>IF(M504&gt;0,D504,"")</f>
        <v/>
      </c>
      <c r="Q504" s="9">
        <f>I504+O504</f>
        <v/>
      </c>
      <c r="R504" s="7">
        <f>Q504*G504</f>
        <v/>
      </c>
      <c r="S504" s="8">
        <f>IF($R$528=0,0,R504/$R$528)</f>
        <v/>
      </c>
      <c r="T504" s="8" t="n">
        <v>0</v>
      </c>
      <c r="U504" s="8" t="n">
        <v>0.008636133536228163</v>
      </c>
      <c r="V504" s="6" t="inlineStr">
        <is>
          <t>not selected</t>
        </is>
      </c>
    </row>
    <row r="505">
      <c r="A505" s="6" t="inlineStr">
        <is>
          <t>DJ30</t>
        </is>
      </c>
      <c r="B505" s="6" t="inlineStr">
        <is>
          <t>2023-04-28</t>
        </is>
      </c>
      <c r="C505" s="6" t="inlineStr">
        <is>
          <t>DIA</t>
        </is>
      </c>
      <c r="D505" s="6" t="inlineStr">
        <is>
          <t>CSCO</t>
        </is>
      </c>
      <c r="E505" s="6" t="inlineStr">
        <is>
          <t>CSCO</t>
        </is>
      </c>
      <c r="F505" s="6" t="inlineStr">
        <is>
          <t>-</t>
        </is>
      </c>
      <c r="G505" s="7" t="n">
        <v>43.48726272583008</v>
      </c>
      <c r="H505" s="6">
        <f>P474</f>
        <v/>
      </c>
      <c r="I505" s="9">
        <f>Q474</f>
        <v/>
      </c>
      <c r="J505" s="7">
        <f>I505*G505</f>
        <v/>
      </c>
      <c r="K505" s="8">
        <f>IF($J$528=0,0,J505/$J$528)</f>
        <v/>
      </c>
      <c r="L505" s="6" t="inlineStr">
        <is>
          <t>REJECTED</t>
        </is>
      </c>
      <c r="M505" s="8" t="n">
        <v>0</v>
      </c>
      <c r="N505" s="7">
        <f>M505*$J$528-J505</f>
        <v/>
      </c>
      <c r="O505" s="9">
        <f>IF(G505=0,0,N505/G505)</f>
        <v/>
      </c>
      <c r="P505" s="6">
        <f>IF(M505&gt;0,D505,"")</f>
        <v/>
      </c>
      <c r="Q505" s="9">
        <f>I505+O505</f>
        <v/>
      </c>
      <c r="R505" s="7">
        <f>Q505*G505</f>
        <v/>
      </c>
      <c r="S505" s="8">
        <f>IF($R$528=0,0,R505/$R$528)</f>
        <v/>
      </c>
      <c r="T505" s="8" t="n">
        <v>0</v>
      </c>
      <c r="U505" s="8" t="n">
        <v>0.008636133536228163</v>
      </c>
      <c r="V505" s="6" t="inlineStr">
        <is>
          <t>not selected</t>
        </is>
      </c>
    </row>
    <row r="506">
      <c r="A506" s="6" t="inlineStr">
        <is>
          <t>DJ30</t>
        </is>
      </c>
      <c r="B506" s="6" t="inlineStr">
        <is>
          <t>2023-04-28</t>
        </is>
      </c>
      <c r="C506" s="6" t="inlineStr">
        <is>
          <t>DIA</t>
        </is>
      </c>
      <c r="D506" s="6" t="inlineStr">
        <is>
          <t>CVX</t>
        </is>
      </c>
      <c r="E506" s="6" t="inlineStr">
        <is>
          <t>CVX</t>
        </is>
      </c>
      <c r="F506" s="6" t="inlineStr">
        <is>
          <t>-</t>
        </is>
      </c>
      <c r="G506" s="7" t="n">
        <v>147.1316070556641</v>
      </c>
      <c r="H506" s="6">
        <f>P475</f>
        <v/>
      </c>
      <c r="I506" s="9">
        <f>Q475</f>
        <v/>
      </c>
      <c r="J506" s="7">
        <f>I506*G506</f>
        <v/>
      </c>
      <c r="K506" s="8">
        <f>IF($J$528=0,0,J506/$J$528)</f>
        <v/>
      </c>
      <c r="L506" s="6" t="inlineStr">
        <is>
          <t>REJECTED</t>
        </is>
      </c>
      <c r="M506" s="8" t="n">
        <v>0</v>
      </c>
      <c r="N506" s="7">
        <f>M506*$J$528-J506</f>
        <v/>
      </c>
      <c r="O506" s="9">
        <f>IF(G506=0,0,N506/G506)</f>
        <v/>
      </c>
      <c r="P506" s="6">
        <f>IF(M506&gt;0,D506,"")</f>
        <v/>
      </c>
      <c r="Q506" s="9">
        <f>I506+O506</f>
        <v/>
      </c>
      <c r="R506" s="7">
        <f>Q506*G506</f>
        <v/>
      </c>
      <c r="S506" s="8">
        <f>IF($R$528=0,0,R506/$R$528)</f>
        <v/>
      </c>
      <c r="T506" s="8" t="n">
        <v>0</v>
      </c>
      <c r="U506" s="8" t="n">
        <v>0.008636133536228163</v>
      </c>
      <c r="V506" s="6" t="inlineStr">
        <is>
          <t>not selected</t>
        </is>
      </c>
    </row>
    <row r="507">
      <c r="A507" s="6" t="inlineStr">
        <is>
          <t>DJ30</t>
        </is>
      </c>
      <c r="B507" s="6" t="inlineStr">
        <is>
          <t>2023-04-28</t>
        </is>
      </c>
      <c r="C507" s="6" t="inlineStr">
        <is>
          <t>DIA</t>
        </is>
      </c>
      <c r="D507" s="6" t="inlineStr">
        <is>
          <t>DIS</t>
        </is>
      </c>
      <c r="E507" s="6" t="inlineStr">
        <is>
          <t>DIS</t>
        </is>
      </c>
      <c r="F507" s="6" t="inlineStr">
        <is>
          <t>-</t>
        </is>
      </c>
      <c r="G507" s="7" t="n">
        <v>100.1417236328125</v>
      </c>
      <c r="H507" s="6">
        <f>P476</f>
        <v/>
      </c>
      <c r="I507" s="9">
        <f>Q476</f>
        <v/>
      </c>
      <c r="J507" s="7">
        <f>I507*G507</f>
        <v/>
      </c>
      <c r="K507" s="8">
        <f>IF($J$528=0,0,J507/$J$528)</f>
        <v/>
      </c>
      <c r="L507" s="6" t="inlineStr">
        <is>
          <t>REJECTED</t>
        </is>
      </c>
      <c r="M507" s="8" t="n">
        <v>0</v>
      </c>
      <c r="N507" s="7">
        <f>M507*$J$528-J507</f>
        <v/>
      </c>
      <c r="O507" s="9">
        <f>IF(G507=0,0,N507/G507)</f>
        <v/>
      </c>
      <c r="P507" s="6">
        <f>IF(M507&gt;0,D507,"")</f>
        <v/>
      </c>
      <c r="Q507" s="9">
        <f>I507+O507</f>
        <v/>
      </c>
      <c r="R507" s="7">
        <f>Q507*G507</f>
        <v/>
      </c>
      <c r="S507" s="8">
        <f>IF($R$528=0,0,R507/$R$528)</f>
        <v/>
      </c>
      <c r="T507" s="8" t="n">
        <v>0</v>
      </c>
      <c r="U507" s="8" t="n">
        <v>0.008636133536228163</v>
      </c>
      <c r="V507" s="6" t="inlineStr">
        <is>
          <t>not selected</t>
        </is>
      </c>
    </row>
    <row r="508">
      <c r="A508" s="6" t="inlineStr">
        <is>
          <t>DJ30</t>
        </is>
      </c>
      <c r="B508" s="6" t="inlineStr">
        <is>
          <t>2023-04-28</t>
        </is>
      </c>
      <c r="C508" s="6" t="inlineStr">
        <is>
          <t>DIA</t>
        </is>
      </c>
      <c r="D508" s="6" t="inlineStr">
        <is>
          <t>GS</t>
        </is>
      </c>
      <c r="E508" s="6" t="inlineStr">
        <is>
          <t>GS</t>
        </is>
      </c>
      <c r="F508" s="6" t="inlineStr">
        <is>
          <t>-</t>
        </is>
      </c>
      <c r="G508" s="7" t="n">
        <v>317.7169494628906</v>
      </c>
      <c r="H508" s="6">
        <f>P477</f>
        <v/>
      </c>
      <c r="I508" s="9">
        <f>Q477</f>
        <v/>
      </c>
      <c r="J508" s="7">
        <f>I508*G508</f>
        <v/>
      </c>
      <c r="K508" s="8">
        <f>IF($J$528=0,0,J508/$J$528)</f>
        <v/>
      </c>
      <c r="L508" s="6" t="inlineStr">
        <is>
          <t>REJECTED</t>
        </is>
      </c>
      <c r="M508" s="8" t="n">
        <v>0</v>
      </c>
      <c r="N508" s="7">
        <f>M508*$J$528-J508</f>
        <v/>
      </c>
      <c r="O508" s="9">
        <f>IF(G508=0,0,N508/G508)</f>
        <v/>
      </c>
      <c r="P508" s="6">
        <f>IF(M508&gt;0,D508,"")</f>
        <v/>
      </c>
      <c r="Q508" s="9">
        <f>I508+O508</f>
        <v/>
      </c>
      <c r="R508" s="7">
        <f>Q508*G508</f>
        <v/>
      </c>
      <c r="S508" s="8">
        <f>IF($R$528=0,0,R508/$R$528)</f>
        <v/>
      </c>
      <c r="T508" s="8" t="n">
        <v>0</v>
      </c>
      <c r="U508" s="8" t="n">
        <v>0.008636133536228163</v>
      </c>
      <c r="V508" s="6" t="inlineStr">
        <is>
          <t>not selected</t>
        </is>
      </c>
    </row>
    <row r="509">
      <c r="A509" s="6" t="inlineStr">
        <is>
          <t>DJ30</t>
        </is>
      </c>
      <c r="B509" s="6" t="inlineStr">
        <is>
          <t>2023-04-28</t>
        </is>
      </c>
      <c r="C509" s="6" t="inlineStr">
        <is>
          <t>DIA</t>
        </is>
      </c>
      <c r="D509" s="6" t="inlineStr">
        <is>
          <t>HD</t>
        </is>
      </c>
      <c r="E509" s="6" t="inlineStr">
        <is>
          <t>HD</t>
        </is>
      </c>
      <c r="F509" s="6" t="inlineStr">
        <is>
          <t>-</t>
        </is>
      </c>
      <c r="G509" s="7" t="n">
        <v>276.5494384765625</v>
      </c>
      <c r="H509" s="6">
        <f>P478</f>
        <v/>
      </c>
      <c r="I509" s="9">
        <f>Q478</f>
        <v/>
      </c>
      <c r="J509" s="7">
        <f>I509*G509</f>
        <v/>
      </c>
      <c r="K509" s="8">
        <f>IF($J$528=0,0,J509/$J$528)</f>
        <v/>
      </c>
      <c r="L509" s="6" t="inlineStr">
        <is>
          <t>REJECTED</t>
        </is>
      </c>
      <c r="M509" s="8" t="n">
        <v>0</v>
      </c>
      <c r="N509" s="7">
        <f>M509*$J$528-J509</f>
        <v/>
      </c>
      <c r="O509" s="9">
        <f>IF(G509=0,0,N509/G509)</f>
        <v/>
      </c>
      <c r="P509" s="6">
        <f>IF(M509&gt;0,D509,"")</f>
        <v/>
      </c>
      <c r="Q509" s="9">
        <f>I509+O509</f>
        <v/>
      </c>
      <c r="R509" s="7">
        <f>Q509*G509</f>
        <v/>
      </c>
      <c r="S509" s="8">
        <f>IF($R$528=0,0,R509/$R$528)</f>
        <v/>
      </c>
      <c r="T509" s="8" t="n">
        <v>0</v>
      </c>
      <c r="U509" s="8" t="n">
        <v>0.008636133536228163</v>
      </c>
      <c r="V509" s="6" t="inlineStr">
        <is>
          <t>not selected</t>
        </is>
      </c>
    </row>
    <row r="510">
      <c r="A510" s="6" t="inlineStr">
        <is>
          <t>DJ30</t>
        </is>
      </c>
      <c r="B510" s="6" t="inlineStr">
        <is>
          <t>2023-04-28</t>
        </is>
      </c>
      <c r="C510" s="6" t="inlineStr">
        <is>
          <t>DIA</t>
        </is>
      </c>
      <c r="D510" s="6" t="inlineStr">
        <is>
          <t>HON</t>
        </is>
      </c>
      <c r="E510" s="6" t="inlineStr">
        <is>
          <t>HON</t>
        </is>
      </c>
      <c r="F510" s="6" t="inlineStr">
        <is>
          <t>-</t>
        </is>
      </c>
      <c r="G510" s="7" t="n">
        <v>175.6664123535156</v>
      </c>
      <c r="H510" s="6">
        <f>P479</f>
        <v/>
      </c>
      <c r="I510" s="9">
        <f>Q479</f>
        <v/>
      </c>
      <c r="J510" s="7">
        <f>I510*G510</f>
        <v/>
      </c>
      <c r="K510" s="8">
        <f>IF($J$528=0,0,J510/$J$528)</f>
        <v/>
      </c>
      <c r="L510" s="6" t="inlineStr">
        <is>
          <t>REJECTED</t>
        </is>
      </c>
      <c r="M510" s="8" t="n">
        <v>0</v>
      </c>
      <c r="N510" s="7">
        <f>M510*$J$528-J510</f>
        <v/>
      </c>
      <c r="O510" s="9">
        <f>IF(G510=0,0,N510/G510)</f>
        <v/>
      </c>
      <c r="P510" s="6">
        <f>IF(M510&gt;0,D510,"")</f>
        <v/>
      </c>
      <c r="Q510" s="9">
        <f>I510+O510</f>
        <v/>
      </c>
      <c r="R510" s="7">
        <f>Q510*G510</f>
        <v/>
      </c>
      <c r="S510" s="8">
        <f>IF($R$528=0,0,R510/$R$528)</f>
        <v/>
      </c>
      <c r="T510" s="8" t="n">
        <v>0</v>
      </c>
      <c r="U510" s="8" t="n">
        <v>0.008636133536228163</v>
      </c>
      <c r="V510" s="6" t="inlineStr">
        <is>
          <t>not selected</t>
        </is>
      </c>
    </row>
    <row r="511">
      <c r="A511" s="6" t="inlineStr">
        <is>
          <t>DJ30</t>
        </is>
      </c>
      <c r="B511" s="6" t="inlineStr">
        <is>
          <t>2023-04-28</t>
        </is>
      </c>
      <c r="C511" s="6" t="inlineStr">
        <is>
          <t>DIA</t>
        </is>
      </c>
      <c r="D511" s="6" t="inlineStr">
        <is>
          <t>IBM</t>
        </is>
      </c>
      <c r="E511" s="6" t="inlineStr">
        <is>
          <t>IBM</t>
        </is>
      </c>
      <c r="F511" s="6" t="inlineStr">
        <is>
          <t>-</t>
        </is>
      </c>
      <c r="G511" s="7" t="n">
        <v>113.2081451416016</v>
      </c>
      <c r="H511" s="6">
        <f>P480</f>
        <v/>
      </c>
      <c r="I511" s="9">
        <f>Q480</f>
        <v/>
      </c>
      <c r="J511" s="7">
        <f>I511*G511</f>
        <v/>
      </c>
      <c r="K511" s="8">
        <f>IF($J$528=0,0,J511/$J$528)</f>
        <v/>
      </c>
      <c r="L511" s="6" t="inlineStr">
        <is>
          <t>REJECTED</t>
        </is>
      </c>
      <c r="M511" s="8" t="n">
        <v>0</v>
      </c>
      <c r="N511" s="7">
        <f>M511*$J$528-J511</f>
        <v/>
      </c>
      <c r="O511" s="9">
        <f>IF(G511=0,0,N511/G511)</f>
        <v/>
      </c>
      <c r="P511" s="6">
        <f>IF(M511&gt;0,D511,"")</f>
        <v/>
      </c>
      <c r="Q511" s="9">
        <f>I511+O511</f>
        <v/>
      </c>
      <c r="R511" s="7">
        <f>Q511*G511</f>
        <v/>
      </c>
      <c r="S511" s="8">
        <f>IF($R$528=0,0,R511/$R$528)</f>
        <v/>
      </c>
      <c r="T511" s="8" t="n">
        <v>0</v>
      </c>
      <c r="U511" s="8" t="n">
        <v>0.008636133536228163</v>
      </c>
      <c r="V511" s="6" t="inlineStr">
        <is>
          <t>not selected</t>
        </is>
      </c>
    </row>
    <row r="512">
      <c r="A512" s="6" t="inlineStr">
        <is>
          <t>DJ30</t>
        </is>
      </c>
      <c r="B512" s="6" t="inlineStr">
        <is>
          <t>2023-04-28</t>
        </is>
      </c>
      <c r="C512" s="6" t="inlineStr">
        <is>
          <t>DIA</t>
        </is>
      </c>
      <c r="D512" s="6" t="inlineStr">
        <is>
          <t>JNJ</t>
        </is>
      </c>
      <c r="E512" s="6" t="inlineStr">
        <is>
          <t>JNJ</t>
        </is>
      </c>
      <c r="F512" s="6" t="inlineStr">
        <is>
          <t>-</t>
        </is>
      </c>
      <c r="G512" s="7" t="n">
        <v>148.8519287109375</v>
      </c>
      <c r="H512" s="6">
        <f>P481</f>
        <v/>
      </c>
      <c r="I512" s="9">
        <f>Q481</f>
        <v/>
      </c>
      <c r="J512" s="7">
        <f>I512*G512</f>
        <v/>
      </c>
      <c r="K512" s="8">
        <f>IF($J$528=0,0,J512/$J$528)</f>
        <v/>
      </c>
      <c r="L512" s="6" t="inlineStr">
        <is>
          <t>REJECTED</t>
        </is>
      </c>
      <c r="M512" s="8" t="n">
        <v>0</v>
      </c>
      <c r="N512" s="7">
        <f>M512*$J$528-J512</f>
        <v/>
      </c>
      <c r="O512" s="9">
        <f>IF(G512=0,0,N512/G512)</f>
        <v/>
      </c>
      <c r="P512" s="6">
        <f>IF(M512&gt;0,D512,"")</f>
        <v/>
      </c>
      <c r="Q512" s="9">
        <f>I512+O512</f>
        <v/>
      </c>
      <c r="R512" s="7">
        <f>Q512*G512</f>
        <v/>
      </c>
      <c r="S512" s="8">
        <f>IF($R$528=0,0,R512/$R$528)</f>
        <v/>
      </c>
      <c r="T512" s="8" t="n">
        <v>0</v>
      </c>
      <c r="U512" s="8" t="n">
        <v>0.008636133536228163</v>
      </c>
      <c r="V512" s="6" t="inlineStr">
        <is>
          <t>not selected</t>
        </is>
      </c>
    </row>
    <row r="513">
      <c r="A513" s="6" t="inlineStr">
        <is>
          <t>DJ30</t>
        </is>
      </c>
      <c r="B513" s="6" t="inlineStr">
        <is>
          <t>2023-04-28</t>
        </is>
      </c>
      <c r="C513" s="6" t="inlineStr">
        <is>
          <t>DIA</t>
        </is>
      </c>
      <c r="D513" s="6" t="inlineStr">
        <is>
          <t>JPM</t>
        </is>
      </c>
      <c r="E513" s="6" t="inlineStr">
        <is>
          <t>JPM</t>
        </is>
      </c>
      <c r="F513" s="6" t="inlineStr">
        <is>
          <t>-</t>
        </is>
      </c>
      <c r="G513" s="7" t="n">
        <v>129.1072540283203</v>
      </c>
      <c r="H513" s="6">
        <f>P482</f>
        <v/>
      </c>
      <c r="I513" s="9">
        <f>Q482</f>
        <v/>
      </c>
      <c r="J513" s="7">
        <f>I513*G513</f>
        <v/>
      </c>
      <c r="K513" s="8">
        <f>IF($J$528=0,0,J513/$J$528)</f>
        <v/>
      </c>
      <c r="L513" s="6" t="inlineStr">
        <is>
          <t>REJECTED</t>
        </is>
      </c>
      <c r="M513" s="8" t="n">
        <v>0</v>
      </c>
      <c r="N513" s="7">
        <f>M513*$J$528-J513</f>
        <v/>
      </c>
      <c r="O513" s="9">
        <f>IF(G513=0,0,N513/G513)</f>
        <v/>
      </c>
      <c r="P513" s="6">
        <f>IF(M513&gt;0,D513,"")</f>
        <v/>
      </c>
      <c r="Q513" s="9">
        <f>I513+O513</f>
        <v/>
      </c>
      <c r="R513" s="7">
        <f>Q513*G513</f>
        <v/>
      </c>
      <c r="S513" s="8">
        <f>IF($R$528=0,0,R513/$R$528)</f>
        <v/>
      </c>
      <c r="T513" s="8" t="n">
        <v>0</v>
      </c>
      <c r="U513" s="8" t="n">
        <v>0.008636133536228163</v>
      </c>
      <c r="V513" s="6" t="inlineStr">
        <is>
          <t>not selected</t>
        </is>
      </c>
    </row>
    <row r="514">
      <c r="A514" s="6" t="inlineStr">
        <is>
          <t>DJ30</t>
        </is>
      </c>
      <c r="B514" s="6" t="inlineStr">
        <is>
          <t>2023-04-28</t>
        </is>
      </c>
      <c r="C514" s="6" t="inlineStr">
        <is>
          <t>DIA</t>
        </is>
      </c>
      <c r="D514" s="6" t="inlineStr">
        <is>
          <t>KO</t>
        </is>
      </c>
      <c r="E514" s="6" t="inlineStr">
        <is>
          <t>KO</t>
        </is>
      </c>
      <c r="F514" s="6" t="inlineStr">
        <is>
          <t>-</t>
        </is>
      </c>
      <c r="G514" s="7" t="n">
        <v>58.28557586669922</v>
      </c>
      <c r="H514" s="6">
        <f>P483</f>
        <v/>
      </c>
      <c r="I514" s="9">
        <f>Q483</f>
        <v/>
      </c>
      <c r="J514" s="7">
        <f>I514*G514</f>
        <v/>
      </c>
      <c r="K514" s="8">
        <f>IF($J$528=0,0,J514/$J$528)</f>
        <v/>
      </c>
      <c r="L514" s="6" t="inlineStr">
        <is>
          <t>REJECTED</t>
        </is>
      </c>
      <c r="M514" s="8" t="n">
        <v>0</v>
      </c>
      <c r="N514" s="7">
        <f>M514*$J$528-J514</f>
        <v/>
      </c>
      <c r="O514" s="9">
        <f>IF(G514=0,0,N514/G514)</f>
        <v/>
      </c>
      <c r="P514" s="6">
        <f>IF(M514&gt;0,D514,"")</f>
        <v/>
      </c>
      <c r="Q514" s="9">
        <f>I514+O514</f>
        <v/>
      </c>
      <c r="R514" s="7">
        <f>Q514*G514</f>
        <v/>
      </c>
      <c r="S514" s="8">
        <f>IF($R$528=0,0,R514/$R$528)</f>
        <v/>
      </c>
      <c r="T514" s="8" t="n">
        <v>0</v>
      </c>
      <c r="U514" s="8" t="n">
        <v>0.008636133536228163</v>
      </c>
      <c r="V514" s="6" t="inlineStr">
        <is>
          <t>not selected</t>
        </is>
      </c>
    </row>
    <row r="515">
      <c r="A515" s="6" t="inlineStr">
        <is>
          <t>DJ30</t>
        </is>
      </c>
      <c r="B515" s="6" t="inlineStr">
        <is>
          <t>2023-04-28</t>
        </is>
      </c>
      <c r="C515" s="6" t="inlineStr">
        <is>
          <t>DIA</t>
        </is>
      </c>
      <c r="D515" s="6" t="inlineStr">
        <is>
          <t>MCD</t>
        </is>
      </c>
      <c r="E515" s="6" t="inlineStr">
        <is>
          <t>MCD</t>
        </is>
      </c>
      <c r="F515" s="6" t="inlineStr">
        <is>
          <t>-</t>
        </is>
      </c>
      <c r="G515" s="7" t="n">
        <v>274.1165161132812</v>
      </c>
      <c r="H515" s="6">
        <f>P484</f>
        <v/>
      </c>
      <c r="I515" s="9">
        <f>Q484</f>
        <v/>
      </c>
      <c r="J515" s="7">
        <f>I515*G515</f>
        <v/>
      </c>
      <c r="K515" s="8">
        <f>IF($J$528=0,0,J515/$J$528)</f>
        <v/>
      </c>
      <c r="L515" s="6" t="inlineStr">
        <is>
          <t>REJECTED</t>
        </is>
      </c>
      <c r="M515" s="8" t="n">
        <v>0</v>
      </c>
      <c r="N515" s="7">
        <f>M515*$J$528-J515</f>
        <v/>
      </c>
      <c r="O515" s="9">
        <f>IF(G515=0,0,N515/G515)</f>
        <v/>
      </c>
      <c r="P515" s="6">
        <f>IF(M515&gt;0,D515,"")</f>
        <v/>
      </c>
      <c r="Q515" s="9">
        <f>I515+O515</f>
        <v/>
      </c>
      <c r="R515" s="7">
        <f>Q515*G515</f>
        <v/>
      </c>
      <c r="S515" s="8">
        <f>IF($R$528=0,0,R515/$R$528)</f>
        <v/>
      </c>
      <c r="T515" s="8" t="n">
        <v>0</v>
      </c>
      <c r="U515" s="8" t="n">
        <v>0.008636133536228163</v>
      </c>
      <c r="V515" s="6" t="inlineStr">
        <is>
          <t>not selected</t>
        </is>
      </c>
    </row>
    <row r="516">
      <c r="A516" s="6" t="inlineStr">
        <is>
          <t>DJ30</t>
        </is>
      </c>
      <c r="B516" s="6" t="inlineStr">
        <is>
          <t>2023-04-28</t>
        </is>
      </c>
      <c r="C516" s="6" t="inlineStr">
        <is>
          <t>DIA</t>
        </is>
      </c>
      <c r="D516" s="6" t="inlineStr">
        <is>
          <t>MMM</t>
        </is>
      </c>
      <c r="E516" s="6" t="inlineStr">
        <is>
          <t>MMM</t>
        </is>
      </c>
      <c r="F516" s="6" t="inlineStr">
        <is>
          <t>-</t>
        </is>
      </c>
      <c r="G516" s="7" t="n">
        <v>79.72399139404297</v>
      </c>
      <c r="H516" s="6">
        <f>P485</f>
        <v/>
      </c>
      <c r="I516" s="9">
        <f>Q485</f>
        <v/>
      </c>
      <c r="J516" s="7">
        <f>I516*G516</f>
        <v/>
      </c>
      <c r="K516" s="8">
        <f>IF($J$528=0,0,J516/$J$528)</f>
        <v/>
      </c>
      <c r="L516" s="6" t="inlineStr">
        <is>
          <t>REJECTED</t>
        </is>
      </c>
      <c r="M516" s="8" t="n">
        <v>0</v>
      </c>
      <c r="N516" s="7">
        <f>M516*$J$528-J516</f>
        <v/>
      </c>
      <c r="O516" s="9">
        <f>IF(G516=0,0,N516/G516)</f>
        <v/>
      </c>
      <c r="P516" s="6">
        <f>IF(M516&gt;0,D516,"")</f>
        <v/>
      </c>
      <c r="Q516" s="9">
        <f>I516+O516</f>
        <v/>
      </c>
      <c r="R516" s="7">
        <f>Q516*G516</f>
        <v/>
      </c>
      <c r="S516" s="8">
        <f>IF($R$528=0,0,R516/$R$528)</f>
        <v/>
      </c>
      <c r="T516" s="8" t="n">
        <v>0</v>
      </c>
      <c r="U516" s="8" t="n">
        <v>0.008636133536228163</v>
      </c>
      <c r="V516" s="6" t="inlineStr">
        <is>
          <t>not selected</t>
        </is>
      </c>
    </row>
    <row r="517">
      <c r="A517" s="6" t="inlineStr">
        <is>
          <t>DJ30</t>
        </is>
      </c>
      <c r="B517" s="6" t="inlineStr">
        <is>
          <t>2023-04-28</t>
        </is>
      </c>
      <c r="C517" s="6" t="inlineStr">
        <is>
          <t>DIA</t>
        </is>
      </c>
      <c r="D517" s="6" t="inlineStr">
        <is>
          <t>MRK</t>
        </is>
      </c>
      <c r="E517" s="6" t="inlineStr">
        <is>
          <t>MRK</t>
        </is>
      </c>
      <c r="F517" s="6" t="inlineStr">
        <is>
          <t>-</t>
        </is>
      </c>
      <c r="G517" s="7" t="n">
        <v>104.5812377929688</v>
      </c>
      <c r="H517" s="6">
        <f>P486</f>
        <v/>
      </c>
      <c r="I517" s="9">
        <f>Q486</f>
        <v/>
      </c>
      <c r="J517" s="7">
        <f>I517*G517</f>
        <v/>
      </c>
      <c r="K517" s="8">
        <f>IF($J$528=0,0,J517/$J$528)</f>
        <v/>
      </c>
      <c r="L517" s="6" t="inlineStr">
        <is>
          <t>REJECTED</t>
        </is>
      </c>
      <c r="M517" s="8" t="n">
        <v>0</v>
      </c>
      <c r="N517" s="7">
        <f>M517*$J$528-J517</f>
        <v/>
      </c>
      <c r="O517" s="9">
        <f>IF(G517=0,0,N517/G517)</f>
        <v/>
      </c>
      <c r="P517" s="6">
        <f>IF(M517&gt;0,D517,"")</f>
        <v/>
      </c>
      <c r="Q517" s="9">
        <f>I517+O517</f>
        <v/>
      </c>
      <c r="R517" s="7">
        <f>Q517*G517</f>
        <v/>
      </c>
      <c r="S517" s="8">
        <f>IF($R$528=0,0,R517/$R$528)</f>
        <v/>
      </c>
      <c r="T517" s="8" t="n">
        <v>0</v>
      </c>
      <c r="U517" s="8" t="n">
        <v>0.008636133536228163</v>
      </c>
      <c r="V517" s="6" t="inlineStr">
        <is>
          <t>not selected</t>
        </is>
      </c>
    </row>
    <row r="518">
      <c r="A518" s="6" t="inlineStr">
        <is>
          <t>DJ30</t>
        </is>
      </c>
      <c r="B518" s="6" t="inlineStr">
        <is>
          <t>2023-04-28</t>
        </is>
      </c>
      <c r="C518" s="6" t="inlineStr">
        <is>
          <t>DIA</t>
        </is>
      </c>
      <c r="D518" s="6" t="inlineStr">
        <is>
          <t>MSFT</t>
        </is>
      </c>
      <c r="E518" s="6" t="inlineStr">
        <is>
          <t>MSFT</t>
        </is>
      </c>
      <c r="F518" s="6" t="inlineStr">
        <is>
          <t>-</t>
        </is>
      </c>
      <c r="G518" s="7" t="n">
        <v>299.503173828125</v>
      </c>
      <c r="H518" s="6">
        <f>P487</f>
        <v/>
      </c>
      <c r="I518" s="9">
        <f>Q487</f>
        <v/>
      </c>
      <c r="J518" s="7">
        <f>I518*G518</f>
        <v/>
      </c>
      <c r="K518" s="8">
        <f>IF($J$528=0,0,J518/$J$528)</f>
        <v/>
      </c>
      <c r="L518" s="6" t="inlineStr">
        <is>
          <t>REJECTED</t>
        </is>
      </c>
      <c r="M518" s="8" t="n">
        <v>0</v>
      </c>
      <c r="N518" s="7">
        <f>M518*$J$528-J518</f>
        <v/>
      </c>
      <c r="O518" s="9">
        <f>IF(G518=0,0,N518/G518)</f>
        <v/>
      </c>
      <c r="P518" s="6">
        <f>IF(M518&gt;0,D518,"")</f>
        <v/>
      </c>
      <c r="Q518" s="9">
        <f>I518+O518</f>
        <v/>
      </c>
      <c r="R518" s="7">
        <f>Q518*G518</f>
        <v/>
      </c>
      <c r="S518" s="8">
        <f>IF($R$528=0,0,R518/$R$528)</f>
        <v/>
      </c>
      <c r="T518" s="8" t="n">
        <v>0</v>
      </c>
      <c r="U518" s="8" t="n">
        <v>0.008636133536228163</v>
      </c>
      <c r="V518" s="6" t="inlineStr">
        <is>
          <t>not selected</t>
        </is>
      </c>
    </row>
    <row r="519">
      <c r="A519" s="6" t="inlineStr">
        <is>
          <t>DJ30</t>
        </is>
      </c>
      <c r="B519" s="6" t="inlineStr">
        <is>
          <t>2023-04-28</t>
        </is>
      </c>
      <c r="C519" s="6" t="inlineStr">
        <is>
          <t>DIA</t>
        </is>
      </c>
      <c r="D519" s="6" t="inlineStr">
        <is>
          <t>NKE</t>
        </is>
      </c>
      <c r="E519" s="6" t="inlineStr">
        <is>
          <t>NKE</t>
        </is>
      </c>
      <c r="F519" s="6" t="inlineStr">
        <is>
          <t>-</t>
        </is>
      </c>
      <c r="G519" s="7" t="n">
        <v>118.6564712524414</v>
      </c>
      <c r="H519" s="6">
        <f>P488</f>
        <v/>
      </c>
      <c r="I519" s="9">
        <f>Q488</f>
        <v/>
      </c>
      <c r="J519" s="7">
        <f>I519*G519</f>
        <v/>
      </c>
      <c r="K519" s="8">
        <f>IF($J$528=0,0,J519/$J$528)</f>
        <v/>
      </c>
      <c r="L519" s="6" t="inlineStr">
        <is>
          <t>REJECTED</t>
        </is>
      </c>
      <c r="M519" s="8" t="n">
        <v>0</v>
      </c>
      <c r="N519" s="7">
        <f>M519*$J$528-J519</f>
        <v/>
      </c>
      <c r="O519" s="9">
        <f>IF(G519=0,0,N519/G519)</f>
        <v/>
      </c>
      <c r="P519" s="6">
        <f>IF(M519&gt;0,D519,"")</f>
        <v/>
      </c>
      <c r="Q519" s="9">
        <f>I519+O519</f>
        <v/>
      </c>
      <c r="R519" s="7">
        <f>Q519*G519</f>
        <v/>
      </c>
      <c r="S519" s="8">
        <f>IF($R$528=0,0,R519/$R$528)</f>
        <v/>
      </c>
      <c r="T519" s="8" t="n">
        <v>0</v>
      </c>
      <c r="U519" s="8" t="n">
        <v>0.008636133536228163</v>
      </c>
      <c r="V519" s="6" t="inlineStr">
        <is>
          <t>not selected</t>
        </is>
      </c>
    </row>
    <row r="520">
      <c r="A520" s="6" t="inlineStr">
        <is>
          <t>DJ30</t>
        </is>
      </c>
      <c r="B520" s="6" t="inlineStr">
        <is>
          <t>2023-04-28</t>
        </is>
      </c>
      <c r="C520" s="6" t="inlineStr">
        <is>
          <t>DIA</t>
        </is>
      </c>
      <c r="D520" s="6" t="inlineStr">
        <is>
          <t>NVDA</t>
        </is>
      </c>
      <c r="E520" s="6" t="inlineStr">
        <is>
          <t>NVDA</t>
        </is>
      </c>
      <c r="F520" s="6" t="inlineStr">
        <is>
          <t>-</t>
        </is>
      </c>
      <c r="G520" s="7" t="n">
        <v>27.69218063354492</v>
      </c>
      <c r="H520" s="6">
        <f>P489</f>
        <v/>
      </c>
      <c r="I520" s="9">
        <f>Q489</f>
        <v/>
      </c>
      <c r="J520" s="7">
        <f>I520*G520</f>
        <v/>
      </c>
      <c r="K520" s="8">
        <f>IF($J$528=0,0,J520/$J$528)</f>
        <v/>
      </c>
      <c r="L520" s="6" t="inlineStr">
        <is>
          <t>REJECTED</t>
        </is>
      </c>
      <c r="M520" s="8" t="n">
        <v>0</v>
      </c>
      <c r="N520" s="7">
        <f>M520*$J$528-J520</f>
        <v/>
      </c>
      <c r="O520" s="9">
        <f>IF(G520=0,0,N520/G520)</f>
        <v/>
      </c>
      <c r="P520" s="6">
        <f>IF(M520&gt;0,D520,"")</f>
        <v/>
      </c>
      <c r="Q520" s="9">
        <f>I520+O520</f>
        <v/>
      </c>
      <c r="R520" s="7">
        <f>Q520*G520</f>
        <v/>
      </c>
      <c r="S520" s="8">
        <f>IF($R$528=0,0,R520/$R$528)</f>
        <v/>
      </c>
      <c r="T520" s="8" t="n">
        <v>0</v>
      </c>
      <c r="U520" s="8" t="n">
        <v>0.008636133536228163</v>
      </c>
      <c r="V520" s="6" t="inlineStr">
        <is>
          <t>not selected</t>
        </is>
      </c>
    </row>
    <row r="521">
      <c r="A521" s="6" t="inlineStr">
        <is>
          <t>DJ30</t>
        </is>
      </c>
      <c r="B521" s="6" t="inlineStr">
        <is>
          <t>2023-04-28</t>
        </is>
      </c>
      <c r="C521" s="6" t="inlineStr">
        <is>
          <t>DIA</t>
        </is>
      </c>
      <c r="D521" s="6" t="inlineStr">
        <is>
          <t>PG</t>
        </is>
      </c>
      <c r="E521" s="6" t="inlineStr">
        <is>
          <t>PG</t>
        </is>
      </c>
      <c r="F521" s="6" t="inlineStr">
        <is>
          <t>-</t>
        </is>
      </c>
      <c r="G521" s="7" t="n">
        <v>144.6723937988281</v>
      </c>
      <c r="H521" s="6">
        <f>P490</f>
        <v/>
      </c>
      <c r="I521" s="9">
        <f>Q490</f>
        <v/>
      </c>
      <c r="J521" s="7">
        <f>I521*G521</f>
        <v/>
      </c>
      <c r="K521" s="8">
        <f>IF($J$528=0,0,J521/$J$528)</f>
        <v/>
      </c>
      <c r="L521" s="6" t="inlineStr">
        <is>
          <t>REJECTED</t>
        </is>
      </c>
      <c r="M521" s="8" t="n">
        <v>0</v>
      </c>
      <c r="N521" s="7">
        <f>M521*$J$528-J521</f>
        <v/>
      </c>
      <c r="O521" s="9">
        <f>IF(G521=0,0,N521/G521)</f>
        <v/>
      </c>
      <c r="P521" s="6">
        <f>IF(M521&gt;0,D521,"")</f>
        <v/>
      </c>
      <c r="Q521" s="9">
        <f>I521+O521</f>
        <v/>
      </c>
      <c r="R521" s="7">
        <f>Q521*G521</f>
        <v/>
      </c>
      <c r="S521" s="8">
        <f>IF($R$528=0,0,R521/$R$528)</f>
        <v/>
      </c>
      <c r="T521" s="8" t="n">
        <v>0</v>
      </c>
      <c r="U521" s="8" t="n">
        <v>0.008636133536228163</v>
      </c>
      <c r="V521" s="6" t="inlineStr">
        <is>
          <t>not selected</t>
        </is>
      </c>
    </row>
    <row r="522">
      <c r="A522" s="6" t="inlineStr">
        <is>
          <t>DJ30</t>
        </is>
      </c>
      <c r="B522" s="6" t="inlineStr">
        <is>
          <t>2023-04-28</t>
        </is>
      </c>
      <c r="C522" s="6" t="inlineStr">
        <is>
          <t>DIA</t>
        </is>
      </c>
      <c r="D522" s="6" t="inlineStr">
        <is>
          <t>SHW</t>
        </is>
      </c>
      <c r="E522" s="6" t="inlineStr">
        <is>
          <t>SHW</t>
        </is>
      </c>
      <c r="F522" s="6" t="inlineStr">
        <is>
          <t>-</t>
        </is>
      </c>
      <c r="G522" s="7" t="n">
        <v>230.7089538574219</v>
      </c>
      <c r="H522" s="6">
        <f>P491</f>
        <v/>
      </c>
      <c r="I522" s="9">
        <f>Q491</f>
        <v/>
      </c>
      <c r="J522" s="7">
        <f>I522*G522</f>
        <v/>
      </c>
      <c r="K522" s="8">
        <f>IF($J$528=0,0,J522/$J$528)</f>
        <v/>
      </c>
      <c r="L522" s="6" t="inlineStr">
        <is>
          <t>REJECTED</t>
        </is>
      </c>
      <c r="M522" s="8" t="n">
        <v>0</v>
      </c>
      <c r="N522" s="7">
        <f>M522*$J$528-J522</f>
        <v/>
      </c>
      <c r="O522" s="9">
        <f>IF(G522=0,0,N522/G522)</f>
        <v/>
      </c>
      <c r="P522" s="6">
        <f>IF(M522&gt;0,D522,"")</f>
        <v/>
      </c>
      <c r="Q522" s="9">
        <f>I522+O522</f>
        <v/>
      </c>
      <c r="R522" s="7">
        <f>Q522*G522</f>
        <v/>
      </c>
      <c r="S522" s="8">
        <f>IF($R$528=0,0,R522/$R$528)</f>
        <v/>
      </c>
      <c r="T522" s="8" t="n">
        <v>0</v>
      </c>
      <c r="U522" s="8" t="n">
        <v>0.008636133536228163</v>
      </c>
      <c r="V522" s="6" t="inlineStr">
        <is>
          <t>not selected</t>
        </is>
      </c>
    </row>
    <row r="523">
      <c r="A523" s="6" t="inlineStr">
        <is>
          <t>DJ30</t>
        </is>
      </c>
      <c r="B523" s="6" t="inlineStr">
        <is>
          <t>2023-04-28</t>
        </is>
      </c>
      <c r="C523" s="6" t="inlineStr">
        <is>
          <t>DIA</t>
        </is>
      </c>
      <c r="D523" s="6" t="inlineStr">
        <is>
          <t>TRV</t>
        </is>
      </c>
      <c r="E523" s="6" t="inlineStr">
        <is>
          <t>TRV</t>
        </is>
      </c>
      <c r="F523" s="6" t="inlineStr">
        <is>
          <t>-</t>
        </is>
      </c>
      <c r="G523" s="7" t="n">
        <v>170.6873474121094</v>
      </c>
      <c r="H523" s="6">
        <f>P492</f>
        <v/>
      </c>
      <c r="I523" s="9">
        <f>Q492</f>
        <v/>
      </c>
      <c r="J523" s="7">
        <f>I523*G523</f>
        <v/>
      </c>
      <c r="K523" s="8">
        <f>IF($J$528=0,0,J523/$J$528)</f>
        <v/>
      </c>
      <c r="L523" s="6" t="inlineStr">
        <is>
          <t>REJECTED</t>
        </is>
      </c>
      <c r="M523" s="8" t="n">
        <v>0</v>
      </c>
      <c r="N523" s="7">
        <f>M523*$J$528-J523</f>
        <v/>
      </c>
      <c r="O523" s="9">
        <f>IF(G523=0,0,N523/G523)</f>
        <v/>
      </c>
      <c r="P523" s="6">
        <f>IF(M523&gt;0,D523,"")</f>
        <v/>
      </c>
      <c r="Q523" s="9">
        <f>I523+O523</f>
        <v/>
      </c>
      <c r="R523" s="7">
        <f>Q523*G523</f>
        <v/>
      </c>
      <c r="S523" s="8">
        <f>IF($R$528=0,0,R523/$R$528)</f>
        <v/>
      </c>
      <c r="T523" s="8" t="n">
        <v>0</v>
      </c>
      <c r="U523" s="8" t="n">
        <v>0.008636133536228163</v>
      </c>
      <c r="V523" s="6" t="inlineStr">
        <is>
          <t>not selected</t>
        </is>
      </c>
    </row>
    <row r="524">
      <c r="A524" s="6" t="inlineStr">
        <is>
          <t>DJ30</t>
        </is>
      </c>
      <c r="B524" s="6" t="inlineStr">
        <is>
          <t>2023-04-28</t>
        </is>
      </c>
      <c r="C524" s="6" t="inlineStr">
        <is>
          <t>DIA</t>
        </is>
      </c>
      <c r="D524" s="6" t="inlineStr">
        <is>
          <t>UNH</t>
        </is>
      </c>
      <c r="E524" s="6" t="inlineStr">
        <is>
          <t>UNH</t>
        </is>
      </c>
      <c r="F524" s="6" t="inlineStr">
        <is>
          <t>-</t>
        </is>
      </c>
      <c r="G524" s="7" t="n">
        <v>461.2640686035156</v>
      </c>
      <c r="H524" s="6">
        <f>P493</f>
        <v/>
      </c>
      <c r="I524" s="9">
        <f>Q493</f>
        <v/>
      </c>
      <c r="J524" s="7">
        <f>I524*G524</f>
        <v/>
      </c>
      <c r="K524" s="8">
        <f>IF($J$528=0,0,J524/$J$528)</f>
        <v/>
      </c>
      <c r="L524" s="6" t="inlineStr">
        <is>
          <t>REJECTED</t>
        </is>
      </c>
      <c r="M524" s="8" t="n">
        <v>0</v>
      </c>
      <c r="N524" s="7">
        <f>M524*$J$528-J524</f>
        <v/>
      </c>
      <c r="O524" s="9">
        <f>IF(G524=0,0,N524/G524)</f>
        <v/>
      </c>
      <c r="P524" s="6">
        <f>IF(M524&gt;0,D524,"")</f>
        <v/>
      </c>
      <c r="Q524" s="9">
        <f>I524+O524</f>
        <v/>
      </c>
      <c r="R524" s="7">
        <f>Q524*G524</f>
        <v/>
      </c>
      <c r="S524" s="8">
        <f>IF($R$528=0,0,R524/$R$528)</f>
        <v/>
      </c>
      <c r="T524" s="8" t="n">
        <v>0</v>
      </c>
      <c r="U524" s="8" t="n">
        <v>0.008636133536228163</v>
      </c>
      <c r="V524" s="6" t="inlineStr">
        <is>
          <t>not selected</t>
        </is>
      </c>
    </row>
    <row r="525">
      <c r="A525" s="6" t="inlineStr">
        <is>
          <t>DJ30</t>
        </is>
      </c>
      <c r="B525" s="6" t="inlineStr">
        <is>
          <t>2023-04-28</t>
        </is>
      </c>
      <c r="C525" s="6" t="inlineStr">
        <is>
          <t>DIA</t>
        </is>
      </c>
      <c r="D525" s="6" t="inlineStr">
        <is>
          <t>V</t>
        </is>
      </c>
      <c r="E525" s="6" t="inlineStr">
        <is>
          <t>V</t>
        </is>
      </c>
      <c r="F525" s="6" t="inlineStr">
        <is>
          <t>-</t>
        </is>
      </c>
      <c r="G525" s="7" t="n">
        <v>227.0347290039062</v>
      </c>
      <c r="H525" s="6">
        <f>P494</f>
        <v/>
      </c>
      <c r="I525" s="9">
        <f>Q494</f>
        <v/>
      </c>
      <c r="J525" s="7">
        <f>I525*G525</f>
        <v/>
      </c>
      <c r="K525" s="8">
        <f>IF($J$528=0,0,J525/$J$528)</f>
        <v/>
      </c>
      <c r="L525" s="6" t="inlineStr">
        <is>
          <t>REJECTED</t>
        </is>
      </c>
      <c r="M525" s="8" t="n">
        <v>0</v>
      </c>
      <c r="N525" s="7">
        <f>M525*$J$528-J525</f>
        <v/>
      </c>
      <c r="O525" s="9">
        <f>IF(G525=0,0,N525/G525)</f>
        <v/>
      </c>
      <c r="P525" s="6">
        <f>IF(M525&gt;0,D525,"")</f>
        <v/>
      </c>
      <c r="Q525" s="9">
        <f>I525+O525</f>
        <v/>
      </c>
      <c r="R525" s="7">
        <f>Q525*G525</f>
        <v/>
      </c>
      <c r="S525" s="8">
        <f>IF($R$528=0,0,R525/$R$528)</f>
        <v/>
      </c>
      <c r="T525" s="8" t="n">
        <v>0</v>
      </c>
      <c r="U525" s="8" t="n">
        <v>0.008636133536228163</v>
      </c>
      <c r="V525" s="6" t="inlineStr">
        <is>
          <t>not selected</t>
        </is>
      </c>
    </row>
    <row r="526">
      <c r="A526" s="6" t="inlineStr">
        <is>
          <t>DJ30</t>
        </is>
      </c>
      <c r="B526" s="6" t="inlineStr">
        <is>
          <t>2023-04-28</t>
        </is>
      </c>
      <c r="C526" s="6" t="inlineStr">
        <is>
          <t>DIA</t>
        </is>
      </c>
      <c r="D526" s="6" t="inlineStr">
        <is>
          <t>VZ</t>
        </is>
      </c>
      <c r="E526" s="6" t="inlineStr">
        <is>
          <t>VZ</t>
        </is>
      </c>
      <c r="F526" s="6" t="inlineStr">
        <is>
          <t>-</t>
        </is>
      </c>
      <c r="G526" s="7" t="n">
        <v>31.7250919342041</v>
      </c>
      <c r="H526" s="6">
        <f>P495</f>
        <v/>
      </c>
      <c r="I526" s="9">
        <f>Q495</f>
        <v/>
      </c>
      <c r="J526" s="7">
        <f>I526*G526</f>
        <v/>
      </c>
      <c r="K526" s="8">
        <f>IF($J$528=0,0,J526/$J$528)</f>
        <v/>
      </c>
      <c r="L526" s="6" t="inlineStr">
        <is>
          <t>REJECTED</t>
        </is>
      </c>
      <c r="M526" s="8" t="n">
        <v>0</v>
      </c>
      <c r="N526" s="7">
        <f>M526*$J$528-J526</f>
        <v/>
      </c>
      <c r="O526" s="9">
        <f>IF(G526=0,0,N526/G526)</f>
        <v/>
      </c>
      <c r="P526" s="6">
        <f>IF(M526&gt;0,D526,"")</f>
        <v/>
      </c>
      <c r="Q526" s="9">
        <f>I526+O526</f>
        <v/>
      </c>
      <c r="R526" s="7">
        <f>Q526*G526</f>
        <v/>
      </c>
      <c r="S526" s="8">
        <f>IF($R$528=0,0,R526/$R$528)</f>
        <v/>
      </c>
      <c r="T526" s="8" t="n">
        <v>0</v>
      </c>
      <c r="U526" s="8" t="n">
        <v>0.008636133536228163</v>
      </c>
      <c r="V526" s="6" t="inlineStr">
        <is>
          <t>not selected</t>
        </is>
      </c>
    </row>
    <row r="527">
      <c r="A527" s="6" t="inlineStr">
        <is>
          <t>DJ30</t>
        </is>
      </c>
      <c r="B527" s="6" t="inlineStr">
        <is>
          <t>2023-04-28</t>
        </is>
      </c>
      <c r="C527" s="6" t="inlineStr">
        <is>
          <t>DIA</t>
        </is>
      </c>
      <c r="D527" s="6" t="inlineStr">
        <is>
          <t>WMT</t>
        </is>
      </c>
      <c r="E527" s="6" t="inlineStr">
        <is>
          <t>WMT</t>
        </is>
      </c>
      <c r="F527" s="6" t="inlineStr">
        <is>
          <t>-</t>
        </is>
      </c>
      <c r="G527" s="7" t="n">
        <v>48.52229690551758</v>
      </c>
      <c r="H527" s="6">
        <f>P496</f>
        <v/>
      </c>
      <c r="I527" s="9">
        <f>Q496</f>
        <v/>
      </c>
      <c r="J527" s="7">
        <f>I527*G527</f>
        <v/>
      </c>
      <c r="K527" s="8">
        <f>IF($J$528=0,0,J527/$J$528)</f>
        <v/>
      </c>
      <c r="L527" s="6" t="inlineStr">
        <is>
          <t>REJECTED</t>
        </is>
      </c>
      <c r="M527" s="8" t="n">
        <v>0</v>
      </c>
      <c r="N527" s="7">
        <f>M527*$J$528-J527</f>
        <v/>
      </c>
      <c r="O527" s="9">
        <f>IF(G527=0,0,N527/G527)</f>
        <v/>
      </c>
      <c r="P527" s="6">
        <f>IF(M527&gt;0,D527,"")</f>
        <v/>
      </c>
      <c r="Q527" s="9">
        <f>I527+O527</f>
        <v/>
      </c>
      <c r="R527" s="7">
        <f>Q527*G527</f>
        <v/>
      </c>
      <c r="S527" s="8">
        <f>IF($R$528=0,0,R527/$R$528)</f>
        <v/>
      </c>
      <c r="T527" s="8" t="n">
        <v>0</v>
      </c>
      <c r="U527" s="8" t="n">
        <v>0.008636133536228163</v>
      </c>
      <c r="V527" s="6" t="inlineStr">
        <is>
          <t>not selected</t>
        </is>
      </c>
    </row>
    <row r="528">
      <c r="A528" s="10" t="inlineStr">
        <is>
          <t>DJ30</t>
        </is>
      </c>
      <c r="B528" s="10" t="inlineStr">
        <is>
          <t>2023-04-28</t>
        </is>
      </c>
      <c r="C528" s="10" t="inlineStr">
        <is>
          <t>DIA</t>
        </is>
      </c>
      <c r="D528" s="10" t="inlineStr">
        <is>
          <t>Tot Portfolio</t>
        </is>
      </c>
      <c r="E528" s="10" t="inlineStr"/>
      <c r="F528" s="10" t="inlineStr"/>
      <c r="G528" s="11" t="inlineStr"/>
      <c r="H528" s="10" t="inlineStr"/>
      <c r="I528" s="12" t="inlineStr"/>
      <c r="J528" s="11">
        <f>SUM(J498:J527)</f>
        <v/>
      </c>
      <c r="K528" s="13">
        <f>SUM(K498:K527)</f>
        <v/>
      </c>
      <c r="L528" s="10" t="inlineStr">
        <is>
          <t>TOTAL</t>
        </is>
      </c>
      <c r="M528" s="13">
        <f>SUM(M498:M527)</f>
        <v/>
      </c>
      <c r="N528" s="11">
        <f>SUM(N498:N527)</f>
        <v/>
      </c>
      <c r="O528" s="12">
        <f>SUM(O498:O527)</f>
        <v/>
      </c>
      <c r="P528" s="10" t="inlineStr"/>
      <c r="Q528" s="12" t="inlineStr"/>
      <c r="R528" s="11">
        <f>SUM(R498:R527)</f>
        <v/>
      </c>
      <c r="S528" s="13">
        <f>SUM(S498:S527)</f>
        <v/>
      </c>
      <c r="T528" s="13" t="n">
        <v>0</v>
      </c>
      <c r="U528" s="13" t="n">
        <v>0.008636133536228163</v>
      </c>
      <c r="V528" s="10" t="inlineStr"/>
    </row>
    <row r="529">
      <c r="A529" s="6" t="inlineStr">
        <is>
          <t>DJ30</t>
        </is>
      </c>
      <c r="B529" s="6" t="inlineStr">
        <is>
          <t>2023-05-05</t>
        </is>
      </c>
      <c r="C529" s="6" t="inlineStr">
        <is>
          <t>DIA</t>
        </is>
      </c>
      <c r="D529" s="6" t="inlineStr">
        <is>
          <t>AAPL</t>
        </is>
      </c>
      <c r="E529" s="6" t="inlineStr">
        <is>
          <t>AAPL</t>
        </is>
      </c>
      <c r="F529" s="6" t="inlineStr">
        <is>
          <t>-</t>
        </is>
      </c>
      <c r="G529" s="7" t="n">
        <v>170.9339294433594</v>
      </c>
      <c r="H529" s="6">
        <f>P498</f>
        <v/>
      </c>
      <c r="I529" s="9">
        <f>Q498</f>
        <v/>
      </c>
      <c r="J529" s="7">
        <f>I529*G529</f>
        <v/>
      </c>
      <c r="K529" s="8">
        <f>IF($J$559=0,0,J529/$J$559)</f>
        <v/>
      </c>
      <c r="L529" s="6" t="inlineStr">
        <is>
          <t>REJECTED</t>
        </is>
      </c>
      <c r="M529" s="8" t="n">
        <v>0</v>
      </c>
      <c r="N529" s="7">
        <f>M529*$J$559-J529</f>
        <v/>
      </c>
      <c r="O529" s="9">
        <f>IF(G529=0,0,N529/G529)</f>
        <v/>
      </c>
      <c r="P529" s="6">
        <f>IF(M529&gt;0,D529,"")</f>
        <v/>
      </c>
      <c r="Q529" s="9">
        <f>I529+O529</f>
        <v/>
      </c>
      <c r="R529" s="7">
        <f>Q529*G529</f>
        <v/>
      </c>
      <c r="S529" s="8">
        <f>IF($R$559=0,0,R529/$R$559)</f>
        <v/>
      </c>
      <c r="T529" s="8" t="n">
        <v>0</v>
      </c>
      <c r="U529" s="8" t="n">
        <v>-0.01260910517816149</v>
      </c>
      <c r="V529" s="6" t="inlineStr">
        <is>
          <t>not selected</t>
        </is>
      </c>
    </row>
    <row r="530">
      <c r="A530" s="6" t="inlineStr">
        <is>
          <t>DJ30</t>
        </is>
      </c>
      <c r="B530" s="6" t="inlineStr">
        <is>
          <t>2023-05-05</t>
        </is>
      </c>
      <c r="C530" s="6" t="inlineStr">
        <is>
          <t>DIA</t>
        </is>
      </c>
      <c r="D530" s="6" t="inlineStr">
        <is>
          <t>AMGN</t>
        </is>
      </c>
      <c r="E530" s="6" t="inlineStr">
        <is>
          <t>AMGN</t>
        </is>
      </c>
      <c r="F530" s="6" t="inlineStr">
        <is>
          <t>-</t>
        </is>
      </c>
      <c r="G530" s="7" t="n">
        <v>213.6959075927734</v>
      </c>
      <c r="H530" s="6">
        <f>P499</f>
        <v/>
      </c>
      <c r="I530" s="9">
        <f>Q499</f>
        <v/>
      </c>
      <c r="J530" s="7">
        <f>I530*G530</f>
        <v/>
      </c>
      <c r="K530" s="8">
        <f>IF($J$559=0,0,J530/$J$559)</f>
        <v/>
      </c>
      <c r="L530" s="6" t="inlineStr">
        <is>
          <t>REJECTED</t>
        </is>
      </c>
      <c r="M530" s="8" t="n">
        <v>0</v>
      </c>
      <c r="N530" s="7">
        <f>M530*$J$559-J530</f>
        <v/>
      </c>
      <c r="O530" s="9">
        <f>IF(G530=0,0,N530/G530)</f>
        <v/>
      </c>
      <c r="P530" s="6">
        <f>IF(M530&gt;0,D530,"")</f>
        <v/>
      </c>
      <c r="Q530" s="9">
        <f>I530+O530</f>
        <v/>
      </c>
      <c r="R530" s="7">
        <f>Q530*G530</f>
        <v/>
      </c>
      <c r="S530" s="8">
        <f>IF($R$559=0,0,R530/$R$559)</f>
        <v/>
      </c>
      <c r="T530" s="8" t="n">
        <v>0</v>
      </c>
      <c r="U530" s="8" t="n">
        <v>-0.01260910517816149</v>
      </c>
      <c r="V530" s="6" t="inlineStr">
        <is>
          <t>not selected</t>
        </is>
      </c>
    </row>
    <row r="531">
      <c r="A531" s="6" t="inlineStr">
        <is>
          <t>DJ30</t>
        </is>
      </c>
      <c r="B531" s="6" t="inlineStr">
        <is>
          <t>2023-05-05</t>
        </is>
      </c>
      <c r="C531" s="6" t="inlineStr">
        <is>
          <t>DIA</t>
        </is>
      </c>
      <c r="D531" s="6" t="inlineStr">
        <is>
          <t>AMZN</t>
        </is>
      </c>
      <c r="E531" s="6" t="inlineStr">
        <is>
          <t>AMZN</t>
        </is>
      </c>
      <c r="F531" s="6" t="inlineStr">
        <is>
          <t>-</t>
        </is>
      </c>
      <c r="G531" s="7" t="n">
        <v>105.6600036621094</v>
      </c>
      <c r="H531" s="6">
        <f>P500</f>
        <v/>
      </c>
      <c r="I531" s="9">
        <f>Q500</f>
        <v/>
      </c>
      <c r="J531" s="7">
        <f>I531*G531</f>
        <v/>
      </c>
      <c r="K531" s="8">
        <f>IF($J$559=0,0,J531/$J$559)</f>
        <v/>
      </c>
      <c r="L531" s="6" t="inlineStr">
        <is>
          <t>REJECTED</t>
        </is>
      </c>
      <c r="M531" s="8" t="n">
        <v>0</v>
      </c>
      <c r="N531" s="7">
        <f>M531*$J$559-J531</f>
        <v/>
      </c>
      <c r="O531" s="9">
        <f>IF(G531=0,0,N531/G531)</f>
        <v/>
      </c>
      <c r="P531" s="6">
        <f>IF(M531&gt;0,D531,"")</f>
        <v/>
      </c>
      <c r="Q531" s="9">
        <f>I531+O531</f>
        <v/>
      </c>
      <c r="R531" s="7">
        <f>Q531*G531</f>
        <v/>
      </c>
      <c r="S531" s="8">
        <f>IF($R$559=0,0,R531/$R$559)</f>
        <v/>
      </c>
      <c r="T531" s="8" t="n">
        <v>0</v>
      </c>
      <c r="U531" s="8" t="n">
        <v>-0.01260910517816149</v>
      </c>
      <c r="V531" s="6" t="inlineStr">
        <is>
          <t>not selected</t>
        </is>
      </c>
    </row>
    <row r="532">
      <c r="A532" s="6" t="inlineStr">
        <is>
          <t>DJ30</t>
        </is>
      </c>
      <c r="B532" s="6" t="inlineStr">
        <is>
          <t>2023-05-05</t>
        </is>
      </c>
      <c r="C532" s="6" t="inlineStr">
        <is>
          <t>DIA</t>
        </is>
      </c>
      <c r="D532" s="6" t="inlineStr">
        <is>
          <t>AXP</t>
        </is>
      </c>
      <c r="E532" s="6" t="inlineStr">
        <is>
          <t>AXP</t>
        </is>
      </c>
      <c r="F532" s="6" t="inlineStr">
        <is>
          <t>-</t>
        </is>
      </c>
      <c r="G532" s="7" t="n">
        <v>147.3235473632812</v>
      </c>
      <c r="H532" s="6">
        <f>P501</f>
        <v/>
      </c>
      <c r="I532" s="9">
        <f>Q501</f>
        <v/>
      </c>
      <c r="J532" s="7">
        <f>I532*G532</f>
        <v/>
      </c>
      <c r="K532" s="8">
        <f>IF($J$559=0,0,J532/$J$559)</f>
        <v/>
      </c>
      <c r="L532" s="6" t="inlineStr">
        <is>
          <t>REJECTED</t>
        </is>
      </c>
      <c r="M532" s="8" t="n">
        <v>0</v>
      </c>
      <c r="N532" s="7">
        <f>M532*$J$559-J532</f>
        <v/>
      </c>
      <c r="O532" s="9">
        <f>IF(G532=0,0,N532/G532)</f>
        <v/>
      </c>
      <c r="P532" s="6">
        <f>IF(M532&gt;0,D532,"")</f>
        <v/>
      </c>
      <c r="Q532" s="9">
        <f>I532+O532</f>
        <v/>
      </c>
      <c r="R532" s="7">
        <f>Q532*G532</f>
        <v/>
      </c>
      <c r="S532" s="8">
        <f>IF($R$559=0,0,R532/$R$559)</f>
        <v/>
      </c>
      <c r="T532" s="8" t="n">
        <v>0</v>
      </c>
      <c r="U532" s="8" t="n">
        <v>-0.01260910517816149</v>
      </c>
      <c r="V532" s="6" t="inlineStr">
        <is>
          <t>not selected</t>
        </is>
      </c>
    </row>
    <row r="533">
      <c r="A533" s="6" t="inlineStr">
        <is>
          <t>DJ30</t>
        </is>
      </c>
      <c r="B533" s="6" t="inlineStr">
        <is>
          <t>2023-05-05</t>
        </is>
      </c>
      <c r="C533" s="6" t="inlineStr">
        <is>
          <t>DIA</t>
        </is>
      </c>
      <c r="D533" s="6" t="inlineStr">
        <is>
          <t>BA</t>
        </is>
      </c>
      <c r="E533" s="6" t="inlineStr">
        <is>
          <t>BA</t>
        </is>
      </c>
      <c r="F533" s="6" t="inlineStr">
        <is>
          <t>-</t>
        </is>
      </c>
      <c r="G533" s="7" t="n">
        <v>198.3399963378907</v>
      </c>
      <c r="H533" s="6">
        <f>P502</f>
        <v/>
      </c>
      <c r="I533" s="9">
        <f>Q502</f>
        <v/>
      </c>
      <c r="J533" s="7">
        <f>I533*G533</f>
        <v/>
      </c>
      <c r="K533" s="8">
        <f>IF($J$559=0,0,J533/$J$559)</f>
        <v/>
      </c>
      <c r="L533" s="6" t="inlineStr">
        <is>
          <t>REJECTED</t>
        </is>
      </c>
      <c r="M533" s="8" t="n">
        <v>0</v>
      </c>
      <c r="N533" s="7">
        <f>M533*$J$559-J533</f>
        <v/>
      </c>
      <c r="O533" s="9">
        <f>IF(G533=0,0,N533/G533)</f>
        <v/>
      </c>
      <c r="P533" s="6">
        <f>IF(M533&gt;0,D533,"")</f>
        <v/>
      </c>
      <c r="Q533" s="9">
        <f>I533+O533</f>
        <v/>
      </c>
      <c r="R533" s="7">
        <f>Q533*G533</f>
        <v/>
      </c>
      <c r="S533" s="8">
        <f>IF($R$559=0,0,R533/$R$559)</f>
        <v/>
      </c>
      <c r="T533" s="8" t="n">
        <v>0</v>
      </c>
      <c r="U533" s="8" t="n">
        <v>-0.01260910517816149</v>
      </c>
      <c r="V533" s="6" t="inlineStr">
        <is>
          <t>not selected</t>
        </is>
      </c>
    </row>
    <row r="534">
      <c r="A534" s="6" t="inlineStr">
        <is>
          <t>DJ30</t>
        </is>
      </c>
      <c r="B534" s="6" t="inlineStr">
        <is>
          <t>2023-05-05</t>
        </is>
      </c>
      <c r="C534" s="6" t="inlineStr">
        <is>
          <t>DIA</t>
        </is>
      </c>
      <c r="D534" s="6" t="inlineStr">
        <is>
          <t>CAT</t>
        </is>
      </c>
      <c r="E534" s="6" t="inlineStr">
        <is>
          <t>CAT</t>
        </is>
      </c>
      <c r="F534" s="6" t="inlineStr">
        <is>
          <t>-</t>
        </is>
      </c>
      <c r="G534" s="7" t="n">
        <v>205.5776672363281</v>
      </c>
      <c r="H534" s="6">
        <f>P503</f>
        <v/>
      </c>
      <c r="I534" s="9">
        <f>Q503</f>
        <v/>
      </c>
      <c r="J534" s="7">
        <f>I534*G534</f>
        <v/>
      </c>
      <c r="K534" s="8">
        <f>IF($J$559=0,0,J534/$J$559)</f>
        <v/>
      </c>
      <c r="L534" s="6" t="inlineStr">
        <is>
          <t>REJECTED</t>
        </is>
      </c>
      <c r="M534" s="8" t="n">
        <v>0</v>
      </c>
      <c r="N534" s="7">
        <f>M534*$J$559-J534</f>
        <v/>
      </c>
      <c r="O534" s="9">
        <f>IF(G534=0,0,N534/G534)</f>
        <v/>
      </c>
      <c r="P534" s="6">
        <f>IF(M534&gt;0,D534,"")</f>
        <v/>
      </c>
      <c r="Q534" s="9">
        <f>I534+O534</f>
        <v/>
      </c>
      <c r="R534" s="7">
        <f>Q534*G534</f>
        <v/>
      </c>
      <c r="S534" s="8">
        <f>IF($R$559=0,0,R534/$R$559)</f>
        <v/>
      </c>
      <c r="T534" s="8" t="n">
        <v>0</v>
      </c>
      <c r="U534" s="8" t="n">
        <v>-0.01260910517816149</v>
      </c>
      <c r="V534" s="6" t="inlineStr">
        <is>
          <t>not selected</t>
        </is>
      </c>
    </row>
    <row r="535">
      <c r="A535" s="6" t="inlineStr">
        <is>
          <t>DJ30</t>
        </is>
      </c>
      <c r="B535" s="6" t="inlineStr">
        <is>
          <t>2023-05-05</t>
        </is>
      </c>
      <c r="C535" s="6" t="inlineStr">
        <is>
          <t>DIA</t>
        </is>
      </c>
      <c r="D535" s="6" t="inlineStr">
        <is>
          <t>CRM</t>
        </is>
      </c>
      <c r="E535" s="6" t="inlineStr">
        <is>
          <t>CRM</t>
        </is>
      </c>
      <c r="F535" s="6" t="inlineStr">
        <is>
          <t>-</t>
        </is>
      </c>
      <c r="G535" s="7" t="n">
        <v>194.2296905517578</v>
      </c>
      <c r="H535" s="6">
        <f>P504</f>
        <v/>
      </c>
      <c r="I535" s="9">
        <f>Q504</f>
        <v/>
      </c>
      <c r="J535" s="7">
        <f>I535*G535</f>
        <v/>
      </c>
      <c r="K535" s="8">
        <f>IF($J$559=0,0,J535/$J$559)</f>
        <v/>
      </c>
      <c r="L535" s="6" t="inlineStr">
        <is>
          <t>REJECTED</t>
        </is>
      </c>
      <c r="M535" s="8" t="n">
        <v>0</v>
      </c>
      <c r="N535" s="7">
        <f>M535*$J$559-J535</f>
        <v/>
      </c>
      <c r="O535" s="9">
        <f>IF(G535=0,0,N535/G535)</f>
        <v/>
      </c>
      <c r="P535" s="6">
        <f>IF(M535&gt;0,D535,"")</f>
        <v/>
      </c>
      <c r="Q535" s="9">
        <f>I535+O535</f>
        <v/>
      </c>
      <c r="R535" s="7">
        <f>Q535*G535</f>
        <v/>
      </c>
      <c r="S535" s="8">
        <f>IF($R$559=0,0,R535/$R$559)</f>
        <v/>
      </c>
      <c r="T535" s="8" t="n">
        <v>0</v>
      </c>
      <c r="U535" s="8" t="n">
        <v>-0.01260910517816149</v>
      </c>
      <c r="V535" s="6" t="inlineStr">
        <is>
          <t>not selected</t>
        </is>
      </c>
    </row>
    <row r="536">
      <c r="A536" s="6" t="inlineStr">
        <is>
          <t>DJ30</t>
        </is>
      </c>
      <c r="B536" s="6" t="inlineStr">
        <is>
          <t>2023-05-05</t>
        </is>
      </c>
      <c r="C536" s="6" t="inlineStr">
        <is>
          <t>DIA</t>
        </is>
      </c>
      <c r="D536" s="6" t="inlineStr">
        <is>
          <t>CSCO</t>
        </is>
      </c>
      <c r="E536" s="6" t="inlineStr">
        <is>
          <t>CSCO</t>
        </is>
      </c>
      <c r="F536" s="6" t="inlineStr">
        <is>
          <t>-</t>
        </is>
      </c>
      <c r="G536" s="7" t="n">
        <v>42.56689453125</v>
      </c>
      <c r="H536" s="6">
        <f>P505</f>
        <v/>
      </c>
      <c r="I536" s="9">
        <f>Q505</f>
        <v/>
      </c>
      <c r="J536" s="7">
        <f>I536*G536</f>
        <v/>
      </c>
      <c r="K536" s="8">
        <f>IF($J$559=0,0,J536/$J$559)</f>
        <v/>
      </c>
      <c r="L536" s="6" t="inlineStr">
        <is>
          <t>REJECTED</t>
        </is>
      </c>
      <c r="M536" s="8" t="n">
        <v>0</v>
      </c>
      <c r="N536" s="7">
        <f>M536*$J$559-J536</f>
        <v/>
      </c>
      <c r="O536" s="9">
        <f>IF(G536=0,0,N536/G536)</f>
        <v/>
      </c>
      <c r="P536" s="6">
        <f>IF(M536&gt;0,D536,"")</f>
        <v/>
      </c>
      <c r="Q536" s="9">
        <f>I536+O536</f>
        <v/>
      </c>
      <c r="R536" s="7">
        <f>Q536*G536</f>
        <v/>
      </c>
      <c r="S536" s="8">
        <f>IF($R$559=0,0,R536/$R$559)</f>
        <v/>
      </c>
      <c r="T536" s="8" t="n">
        <v>0</v>
      </c>
      <c r="U536" s="8" t="n">
        <v>-0.01260910517816149</v>
      </c>
      <c r="V536" s="6" t="inlineStr">
        <is>
          <t>not selected</t>
        </is>
      </c>
    </row>
    <row r="537">
      <c r="A537" s="6" t="inlineStr">
        <is>
          <t>DJ30</t>
        </is>
      </c>
      <c r="B537" s="6" t="inlineStr">
        <is>
          <t>2023-05-05</t>
        </is>
      </c>
      <c r="C537" s="6" t="inlineStr">
        <is>
          <t>DIA</t>
        </is>
      </c>
      <c r="D537" s="6" t="inlineStr">
        <is>
          <t>CVX</t>
        </is>
      </c>
      <c r="E537" s="6" t="inlineStr">
        <is>
          <t>CVX</t>
        </is>
      </c>
      <c r="F537" s="6" t="inlineStr">
        <is>
          <t>-</t>
        </is>
      </c>
      <c r="G537" s="7" t="n">
        <v>139.8265228271484</v>
      </c>
      <c r="H537" s="6">
        <f>P506</f>
        <v/>
      </c>
      <c r="I537" s="9">
        <f>Q506</f>
        <v/>
      </c>
      <c r="J537" s="7">
        <f>I537*G537</f>
        <v/>
      </c>
      <c r="K537" s="8">
        <f>IF($J$559=0,0,J537/$J$559)</f>
        <v/>
      </c>
      <c r="L537" s="6" t="inlineStr">
        <is>
          <t>REJECTED</t>
        </is>
      </c>
      <c r="M537" s="8" t="n">
        <v>0</v>
      </c>
      <c r="N537" s="7">
        <f>M537*$J$559-J537</f>
        <v/>
      </c>
      <c r="O537" s="9">
        <f>IF(G537=0,0,N537/G537)</f>
        <v/>
      </c>
      <c r="P537" s="6">
        <f>IF(M537&gt;0,D537,"")</f>
        <v/>
      </c>
      <c r="Q537" s="9">
        <f>I537+O537</f>
        <v/>
      </c>
      <c r="R537" s="7">
        <f>Q537*G537</f>
        <v/>
      </c>
      <c r="S537" s="8">
        <f>IF($R$559=0,0,R537/$R$559)</f>
        <v/>
      </c>
      <c r="T537" s="8" t="n">
        <v>0</v>
      </c>
      <c r="U537" s="8" t="n">
        <v>-0.01260910517816149</v>
      </c>
      <c r="V537" s="6" t="inlineStr">
        <is>
          <t>not selected</t>
        </is>
      </c>
    </row>
    <row r="538">
      <c r="A538" s="6" t="inlineStr">
        <is>
          <t>DJ30</t>
        </is>
      </c>
      <c r="B538" s="6" t="inlineStr">
        <is>
          <t>2023-05-05</t>
        </is>
      </c>
      <c r="C538" s="6" t="inlineStr">
        <is>
          <t>DIA</t>
        </is>
      </c>
      <c r="D538" s="6" t="inlineStr">
        <is>
          <t>DIS</t>
        </is>
      </c>
      <c r="E538" s="6" t="inlineStr">
        <is>
          <t>DIS</t>
        </is>
      </c>
      <c r="F538" s="6" t="inlineStr">
        <is>
          <t>-</t>
        </is>
      </c>
      <c r="G538" s="7" t="n">
        <v>98.20726776123048</v>
      </c>
      <c r="H538" s="6">
        <f>P507</f>
        <v/>
      </c>
      <c r="I538" s="9">
        <f>Q507</f>
        <v/>
      </c>
      <c r="J538" s="7">
        <f>I538*G538</f>
        <v/>
      </c>
      <c r="K538" s="8">
        <f>IF($J$559=0,0,J538/$J$559)</f>
        <v/>
      </c>
      <c r="L538" s="6" t="inlineStr">
        <is>
          <t>REJECTED</t>
        </is>
      </c>
      <c r="M538" s="8" t="n">
        <v>0</v>
      </c>
      <c r="N538" s="7">
        <f>M538*$J$559-J538</f>
        <v/>
      </c>
      <c r="O538" s="9">
        <f>IF(G538=0,0,N538/G538)</f>
        <v/>
      </c>
      <c r="P538" s="6">
        <f>IF(M538&gt;0,D538,"")</f>
        <v/>
      </c>
      <c r="Q538" s="9">
        <f>I538+O538</f>
        <v/>
      </c>
      <c r="R538" s="7">
        <f>Q538*G538</f>
        <v/>
      </c>
      <c r="S538" s="8">
        <f>IF($R$559=0,0,R538/$R$559)</f>
        <v/>
      </c>
      <c r="T538" s="8" t="n">
        <v>0</v>
      </c>
      <c r="U538" s="8" t="n">
        <v>-0.01260910517816149</v>
      </c>
      <c r="V538" s="6" t="inlineStr">
        <is>
          <t>not selected</t>
        </is>
      </c>
    </row>
    <row r="539">
      <c r="A539" s="6" t="inlineStr">
        <is>
          <t>DJ30</t>
        </is>
      </c>
      <c r="B539" s="6" t="inlineStr">
        <is>
          <t>2023-05-05</t>
        </is>
      </c>
      <c r="C539" s="6" t="inlineStr">
        <is>
          <t>DIA</t>
        </is>
      </c>
      <c r="D539" s="6" t="inlineStr">
        <is>
          <t>GS</t>
        </is>
      </c>
      <c r="E539" s="6" t="inlineStr">
        <is>
          <t>GS</t>
        </is>
      </c>
      <c r="F539" s="6" t="inlineStr">
        <is>
          <t>-</t>
        </is>
      </c>
      <c r="G539" s="7" t="n">
        <v>302.5267333984375</v>
      </c>
      <c r="H539" s="6">
        <f>P508</f>
        <v/>
      </c>
      <c r="I539" s="9">
        <f>Q508</f>
        <v/>
      </c>
      <c r="J539" s="7">
        <f>I539*G539</f>
        <v/>
      </c>
      <c r="K539" s="8">
        <f>IF($J$559=0,0,J539/$J$559)</f>
        <v/>
      </c>
      <c r="L539" s="6" t="inlineStr">
        <is>
          <t>REJECTED</t>
        </is>
      </c>
      <c r="M539" s="8" t="n">
        <v>0</v>
      </c>
      <c r="N539" s="7">
        <f>M539*$J$559-J539</f>
        <v/>
      </c>
      <c r="O539" s="9">
        <f>IF(G539=0,0,N539/G539)</f>
        <v/>
      </c>
      <c r="P539" s="6">
        <f>IF(M539&gt;0,D539,"")</f>
        <v/>
      </c>
      <c r="Q539" s="9">
        <f>I539+O539</f>
        <v/>
      </c>
      <c r="R539" s="7">
        <f>Q539*G539</f>
        <v/>
      </c>
      <c r="S539" s="8">
        <f>IF($R$559=0,0,R539/$R$559)</f>
        <v/>
      </c>
      <c r="T539" s="8" t="n">
        <v>0</v>
      </c>
      <c r="U539" s="8" t="n">
        <v>-0.01260910517816149</v>
      </c>
      <c r="V539" s="6" t="inlineStr">
        <is>
          <t>not selected</t>
        </is>
      </c>
    </row>
    <row r="540">
      <c r="A540" s="6" t="inlineStr">
        <is>
          <t>DJ30</t>
        </is>
      </c>
      <c r="B540" s="6" t="inlineStr">
        <is>
          <t>2023-05-05</t>
        </is>
      </c>
      <c r="C540" s="6" t="inlineStr">
        <is>
          <t>DIA</t>
        </is>
      </c>
      <c r="D540" s="6" t="inlineStr">
        <is>
          <t>HD</t>
        </is>
      </c>
      <c r="E540" s="6" t="inlineStr">
        <is>
          <t>HD</t>
        </is>
      </c>
      <c r="F540" s="6" t="inlineStr">
        <is>
          <t>-</t>
        </is>
      </c>
      <c r="G540" s="7" t="n">
        <v>266.5010681152344</v>
      </c>
      <c r="H540" s="6">
        <f>P509</f>
        <v/>
      </c>
      <c r="I540" s="9">
        <f>Q509</f>
        <v/>
      </c>
      <c r="J540" s="7">
        <f>I540*G540</f>
        <v/>
      </c>
      <c r="K540" s="8">
        <f>IF($J$559=0,0,J540/$J$559)</f>
        <v/>
      </c>
      <c r="L540" s="6" t="inlineStr">
        <is>
          <t>REJECTED</t>
        </is>
      </c>
      <c r="M540" s="8" t="n">
        <v>0</v>
      </c>
      <c r="N540" s="7">
        <f>M540*$J$559-J540</f>
        <v/>
      </c>
      <c r="O540" s="9">
        <f>IF(G540=0,0,N540/G540)</f>
        <v/>
      </c>
      <c r="P540" s="6">
        <f>IF(M540&gt;0,D540,"")</f>
        <v/>
      </c>
      <c r="Q540" s="9">
        <f>I540+O540</f>
        <v/>
      </c>
      <c r="R540" s="7">
        <f>Q540*G540</f>
        <v/>
      </c>
      <c r="S540" s="8">
        <f>IF($R$559=0,0,R540/$R$559)</f>
        <v/>
      </c>
      <c r="T540" s="8" t="n">
        <v>0</v>
      </c>
      <c r="U540" s="8" t="n">
        <v>-0.01260910517816149</v>
      </c>
      <c r="V540" s="6" t="inlineStr">
        <is>
          <t>not selected</t>
        </is>
      </c>
    </row>
    <row r="541">
      <c r="A541" s="6" t="inlineStr">
        <is>
          <t>DJ30</t>
        </is>
      </c>
      <c r="B541" s="6" t="inlineStr">
        <is>
          <t>2023-05-05</t>
        </is>
      </c>
      <c r="C541" s="6" t="inlineStr">
        <is>
          <t>DIA</t>
        </is>
      </c>
      <c r="D541" s="6" t="inlineStr">
        <is>
          <t>HON</t>
        </is>
      </c>
      <c r="E541" s="6" t="inlineStr">
        <is>
          <t>HON</t>
        </is>
      </c>
      <c r="F541" s="6" t="inlineStr">
        <is>
          <t>-</t>
        </is>
      </c>
      <c r="G541" s="7" t="n">
        <v>174.4181671142578</v>
      </c>
      <c r="H541" s="6">
        <f>P510</f>
        <v/>
      </c>
      <c r="I541" s="9">
        <f>Q510</f>
        <v/>
      </c>
      <c r="J541" s="7">
        <f>I541*G541</f>
        <v/>
      </c>
      <c r="K541" s="8">
        <f>IF($J$559=0,0,J541/$J$559)</f>
        <v/>
      </c>
      <c r="L541" s="6" t="inlineStr">
        <is>
          <t>REJECTED</t>
        </is>
      </c>
      <c r="M541" s="8" t="n">
        <v>0</v>
      </c>
      <c r="N541" s="7">
        <f>M541*$J$559-J541</f>
        <v/>
      </c>
      <c r="O541" s="9">
        <f>IF(G541=0,0,N541/G541)</f>
        <v/>
      </c>
      <c r="P541" s="6">
        <f>IF(M541&gt;0,D541,"")</f>
        <v/>
      </c>
      <c r="Q541" s="9">
        <f>I541+O541</f>
        <v/>
      </c>
      <c r="R541" s="7">
        <f>Q541*G541</f>
        <v/>
      </c>
      <c r="S541" s="8">
        <f>IF($R$559=0,0,R541/$R$559)</f>
        <v/>
      </c>
      <c r="T541" s="8" t="n">
        <v>0</v>
      </c>
      <c r="U541" s="8" t="n">
        <v>-0.01260910517816149</v>
      </c>
      <c r="V541" s="6" t="inlineStr">
        <is>
          <t>not selected</t>
        </is>
      </c>
    </row>
    <row r="542">
      <c r="A542" s="6" t="inlineStr">
        <is>
          <t>DJ30</t>
        </is>
      </c>
      <c r="B542" s="6" t="inlineStr">
        <is>
          <t>2023-05-05</t>
        </is>
      </c>
      <c r="C542" s="6" t="inlineStr">
        <is>
          <t>DIA</t>
        </is>
      </c>
      <c r="D542" s="6" t="inlineStr">
        <is>
          <t>IBM</t>
        </is>
      </c>
      <c r="E542" s="6" t="inlineStr">
        <is>
          <t>IBM</t>
        </is>
      </c>
      <c r="F542" s="6" t="inlineStr">
        <is>
          <t>-</t>
        </is>
      </c>
      <c r="G542" s="7" t="n">
        <v>110.7363891601562</v>
      </c>
      <c r="H542" s="6">
        <f>P511</f>
        <v/>
      </c>
      <c r="I542" s="9">
        <f>Q511</f>
        <v/>
      </c>
      <c r="J542" s="7">
        <f>I542*G542</f>
        <v/>
      </c>
      <c r="K542" s="8">
        <f>IF($J$559=0,0,J542/$J$559)</f>
        <v/>
      </c>
      <c r="L542" s="6" t="inlineStr">
        <is>
          <t>REJECTED</t>
        </is>
      </c>
      <c r="M542" s="8" t="n">
        <v>0</v>
      </c>
      <c r="N542" s="7">
        <f>M542*$J$559-J542</f>
        <v/>
      </c>
      <c r="O542" s="9">
        <f>IF(G542=0,0,N542/G542)</f>
        <v/>
      </c>
      <c r="P542" s="6">
        <f>IF(M542&gt;0,D542,"")</f>
        <v/>
      </c>
      <c r="Q542" s="9">
        <f>I542+O542</f>
        <v/>
      </c>
      <c r="R542" s="7">
        <f>Q542*G542</f>
        <v/>
      </c>
      <c r="S542" s="8">
        <f>IF($R$559=0,0,R542/$R$559)</f>
        <v/>
      </c>
      <c r="T542" s="8" t="n">
        <v>0</v>
      </c>
      <c r="U542" s="8" t="n">
        <v>-0.01260910517816149</v>
      </c>
      <c r="V542" s="6" t="inlineStr">
        <is>
          <t>not selected</t>
        </is>
      </c>
    </row>
    <row r="543">
      <c r="A543" s="6" t="inlineStr">
        <is>
          <t>DJ30</t>
        </is>
      </c>
      <c r="B543" s="6" t="inlineStr">
        <is>
          <t>2023-05-05</t>
        </is>
      </c>
      <c r="C543" s="6" t="inlineStr">
        <is>
          <t>DIA</t>
        </is>
      </c>
      <c r="D543" s="6" t="inlineStr">
        <is>
          <t>JNJ</t>
        </is>
      </c>
      <c r="E543" s="6" t="inlineStr">
        <is>
          <t>JNJ</t>
        </is>
      </c>
      <c r="F543" s="6" t="inlineStr">
        <is>
          <t>-</t>
        </is>
      </c>
      <c r="G543" s="7" t="n">
        <v>147.9244079589844</v>
      </c>
      <c r="H543" s="6">
        <f>P512</f>
        <v/>
      </c>
      <c r="I543" s="9">
        <f>Q512</f>
        <v/>
      </c>
      <c r="J543" s="7">
        <f>I543*G543</f>
        <v/>
      </c>
      <c r="K543" s="8">
        <f>IF($J$559=0,0,J543/$J$559)</f>
        <v/>
      </c>
      <c r="L543" s="6" t="inlineStr">
        <is>
          <t>REJECTED</t>
        </is>
      </c>
      <c r="M543" s="8" t="n">
        <v>0</v>
      </c>
      <c r="N543" s="7">
        <f>M543*$J$559-J543</f>
        <v/>
      </c>
      <c r="O543" s="9">
        <f>IF(G543=0,0,N543/G543)</f>
        <v/>
      </c>
      <c r="P543" s="6">
        <f>IF(M543&gt;0,D543,"")</f>
        <v/>
      </c>
      <c r="Q543" s="9">
        <f>I543+O543</f>
        <v/>
      </c>
      <c r="R543" s="7">
        <f>Q543*G543</f>
        <v/>
      </c>
      <c r="S543" s="8">
        <f>IF($R$559=0,0,R543/$R$559)</f>
        <v/>
      </c>
      <c r="T543" s="8" t="n">
        <v>0</v>
      </c>
      <c r="U543" s="8" t="n">
        <v>-0.01260910517816149</v>
      </c>
      <c r="V543" s="6" t="inlineStr">
        <is>
          <t>not selected</t>
        </is>
      </c>
    </row>
    <row r="544">
      <c r="A544" s="6" t="inlineStr">
        <is>
          <t>DJ30</t>
        </is>
      </c>
      <c r="B544" s="6" t="inlineStr">
        <is>
          <t>2023-05-05</t>
        </is>
      </c>
      <c r="C544" s="6" t="inlineStr">
        <is>
          <t>DIA</t>
        </is>
      </c>
      <c r="D544" s="6" t="inlineStr">
        <is>
          <t>JPM</t>
        </is>
      </c>
      <c r="E544" s="6" t="inlineStr">
        <is>
          <t>JPM</t>
        </is>
      </c>
      <c r="F544" s="6" t="inlineStr">
        <is>
          <t>-</t>
        </is>
      </c>
      <c r="G544" s="7" t="n">
        <v>127.7063674926758</v>
      </c>
      <c r="H544" s="6">
        <f>P513</f>
        <v/>
      </c>
      <c r="I544" s="9">
        <f>Q513</f>
        <v/>
      </c>
      <c r="J544" s="7">
        <f>I544*G544</f>
        <v/>
      </c>
      <c r="K544" s="8">
        <f>IF($J$559=0,0,J544/$J$559)</f>
        <v/>
      </c>
      <c r="L544" s="6" t="inlineStr">
        <is>
          <t>REJECTED</t>
        </is>
      </c>
      <c r="M544" s="8" t="n">
        <v>0</v>
      </c>
      <c r="N544" s="7">
        <f>M544*$J$559-J544</f>
        <v/>
      </c>
      <c r="O544" s="9">
        <f>IF(G544=0,0,N544/G544)</f>
        <v/>
      </c>
      <c r="P544" s="6">
        <f>IF(M544&gt;0,D544,"")</f>
        <v/>
      </c>
      <c r="Q544" s="9">
        <f>I544+O544</f>
        <v/>
      </c>
      <c r="R544" s="7">
        <f>Q544*G544</f>
        <v/>
      </c>
      <c r="S544" s="8">
        <f>IF($R$559=0,0,R544/$R$559)</f>
        <v/>
      </c>
      <c r="T544" s="8" t="n">
        <v>0</v>
      </c>
      <c r="U544" s="8" t="n">
        <v>-0.01260910517816149</v>
      </c>
      <c r="V544" s="6" t="inlineStr">
        <is>
          <t>not selected</t>
        </is>
      </c>
    </row>
    <row r="545">
      <c r="A545" s="6" t="inlineStr">
        <is>
          <t>DJ30</t>
        </is>
      </c>
      <c r="B545" s="6" t="inlineStr">
        <is>
          <t>2023-05-05</t>
        </is>
      </c>
      <c r="C545" s="6" t="inlineStr">
        <is>
          <t>DIA</t>
        </is>
      </c>
      <c r="D545" s="6" t="inlineStr">
        <is>
          <t>KO</t>
        </is>
      </c>
      <c r="E545" s="6" t="inlineStr">
        <is>
          <t>KO</t>
        </is>
      </c>
      <c r="F545" s="6" t="inlineStr">
        <is>
          <t>-</t>
        </is>
      </c>
      <c r="G545" s="7" t="n">
        <v>58.16745376586914</v>
      </c>
      <c r="H545" s="6">
        <f>P514</f>
        <v/>
      </c>
      <c r="I545" s="9">
        <f>Q514</f>
        <v/>
      </c>
      <c r="J545" s="7">
        <f>I545*G545</f>
        <v/>
      </c>
      <c r="K545" s="8">
        <f>IF($J$559=0,0,J545/$J$559)</f>
        <v/>
      </c>
      <c r="L545" s="6" t="inlineStr">
        <is>
          <t>REJECTED</t>
        </is>
      </c>
      <c r="M545" s="8" t="n">
        <v>0</v>
      </c>
      <c r="N545" s="7">
        <f>M545*$J$559-J545</f>
        <v/>
      </c>
      <c r="O545" s="9">
        <f>IF(G545=0,0,N545/G545)</f>
        <v/>
      </c>
      <c r="P545" s="6">
        <f>IF(M545&gt;0,D545,"")</f>
        <v/>
      </c>
      <c r="Q545" s="9">
        <f>I545+O545</f>
        <v/>
      </c>
      <c r="R545" s="7">
        <f>Q545*G545</f>
        <v/>
      </c>
      <c r="S545" s="8">
        <f>IF($R$559=0,0,R545/$R$559)</f>
        <v/>
      </c>
      <c r="T545" s="8" t="n">
        <v>0</v>
      </c>
      <c r="U545" s="8" t="n">
        <v>-0.01260910517816149</v>
      </c>
      <c r="V545" s="6" t="inlineStr">
        <is>
          <t>not selected</t>
        </is>
      </c>
    </row>
    <row r="546">
      <c r="A546" s="6" t="inlineStr">
        <is>
          <t>DJ30</t>
        </is>
      </c>
      <c r="B546" s="6" t="inlineStr">
        <is>
          <t>2023-05-05</t>
        </is>
      </c>
      <c r="C546" s="6" t="inlineStr">
        <is>
          <t>DIA</t>
        </is>
      </c>
      <c r="D546" s="6" t="inlineStr">
        <is>
          <t>MCD</t>
        </is>
      </c>
      <c r="E546" s="6" t="inlineStr">
        <is>
          <t>MCD</t>
        </is>
      </c>
      <c r="F546" s="6" t="inlineStr">
        <is>
          <t>-</t>
        </is>
      </c>
      <c r="G546" s="7" t="n">
        <v>274.9043273925781</v>
      </c>
      <c r="H546" s="6">
        <f>P515</f>
        <v/>
      </c>
      <c r="I546" s="9">
        <f>Q515</f>
        <v/>
      </c>
      <c r="J546" s="7">
        <f>I546*G546</f>
        <v/>
      </c>
      <c r="K546" s="8">
        <f>IF($J$559=0,0,J546/$J$559)</f>
        <v/>
      </c>
      <c r="L546" s="6" t="inlineStr">
        <is>
          <t>REJECTED</t>
        </is>
      </c>
      <c r="M546" s="8" t="n">
        <v>0</v>
      </c>
      <c r="N546" s="7">
        <f>M546*$J$559-J546</f>
        <v/>
      </c>
      <c r="O546" s="9">
        <f>IF(G546=0,0,N546/G546)</f>
        <v/>
      </c>
      <c r="P546" s="6">
        <f>IF(M546&gt;0,D546,"")</f>
        <v/>
      </c>
      <c r="Q546" s="9">
        <f>I546+O546</f>
        <v/>
      </c>
      <c r="R546" s="7">
        <f>Q546*G546</f>
        <v/>
      </c>
      <c r="S546" s="8">
        <f>IF($R$559=0,0,R546/$R$559)</f>
        <v/>
      </c>
      <c r="T546" s="8" t="n">
        <v>0</v>
      </c>
      <c r="U546" s="8" t="n">
        <v>-0.01260910517816149</v>
      </c>
      <c r="V546" s="6" t="inlineStr">
        <is>
          <t>not selected</t>
        </is>
      </c>
    </row>
    <row r="547">
      <c r="A547" s="6" t="inlineStr">
        <is>
          <t>DJ30</t>
        </is>
      </c>
      <c r="B547" s="6" t="inlineStr">
        <is>
          <t>2023-05-05</t>
        </is>
      </c>
      <c r="C547" s="6" t="inlineStr">
        <is>
          <t>DIA</t>
        </is>
      </c>
      <c r="D547" s="6" t="inlineStr">
        <is>
          <t>MMM</t>
        </is>
      </c>
      <c r="E547" s="6" t="inlineStr">
        <is>
          <t>MMM</t>
        </is>
      </c>
      <c r="F547" s="6" t="inlineStr">
        <is>
          <t>-</t>
        </is>
      </c>
      <c r="G547" s="7" t="n">
        <v>77.56988525390625</v>
      </c>
      <c r="H547" s="6">
        <f>P516</f>
        <v/>
      </c>
      <c r="I547" s="9">
        <f>Q516</f>
        <v/>
      </c>
      <c r="J547" s="7">
        <f>I547*G547</f>
        <v/>
      </c>
      <c r="K547" s="8">
        <f>IF($J$559=0,0,J547/$J$559)</f>
        <v/>
      </c>
      <c r="L547" s="6" t="inlineStr">
        <is>
          <t>REJECTED</t>
        </is>
      </c>
      <c r="M547" s="8" t="n">
        <v>0</v>
      </c>
      <c r="N547" s="7">
        <f>M547*$J$559-J547</f>
        <v/>
      </c>
      <c r="O547" s="9">
        <f>IF(G547=0,0,N547/G547)</f>
        <v/>
      </c>
      <c r="P547" s="6">
        <f>IF(M547&gt;0,D547,"")</f>
        <v/>
      </c>
      <c r="Q547" s="9">
        <f>I547+O547</f>
        <v/>
      </c>
      <c r="R547" s="7">
        <f>Q547*G547</f>
        <v/>
      </c>
      <c r="S547" s="8">
        <f>IF($R$559=0,0,R547/$R$559)</f>
        <v/>
      </c>
      <c r="T547" s="8" t="n">
        <v>0</v>
      </c>
      <c r="U547" s="8" t="n">
        <v>-0.01260910517816149</v>
      </c>
      <c r="V547" s="6" t="inlineStr">
        <is>
          <t>not selected</t>
        </is>
      </c>
    </row>
    <row r="548">
      <c r="A548" s="6" t="inlineStr">
        <is>
          <t>DJ30</t>
        </is>
      </c>
      <c r="B548" s="6" t="inlineStr">
        <is>
          <t>2023-05-05</t>
        </is>
      </c>
      <c r="C548" s="6" t="inlineStr">
        <is>
          <t>DIA</t>
        </is>
      </c>
      <c r="D548" s="6" t="inlineStr">
        <is>
          <t>MRK</t>
        </is>
      </c>
      <c r="E548" s="6" t="inlineStr">
        <is>
          <t>MRK</t>
        </is>
      </c>
      <c r="F548" s="6" t="inlineStr">
        <is>
          <t>-</t>
        </is>
      </c>
      <c r="G548" s="7" t="n">
        <v>106.5828323364258</v>
      </c>
      <c r="H548" s="6">
        <f>P517</f>
        <v/>
      </c>
      <c r="I548" s="9">
        <f>Q517</f>
        <v/>
      </c>
      <c r="J548" s="7">
        <f>I548*G548</f>
        <v/>
      </c>
      <c r="K548" s="8">
        <f>IF($J$559=0,0,J548/$J$559)</f>
        <v/>
      </c>
      <c r="L548" s="6" t="inlineStr">
        <is>
          <t>REJECTED</t>
        </is>
      </c>
      <c r="M548" s="8" t="n">
        <v>0</v>
      </c>
      <c r="N548" s="7">
        <f>M548*$J$559-J548</f>
        <v/>
      </c>
      <c r="O548" s="9">
        <f>IF(G548=0,0,N548/G548)</f>
        <v/>
      </c>
      <c r="P548" s="6">
        <f>IF(M548&gt;0,D548,"")</f>
        <v/>
      </c>
      <c r="Q548" s="9">
        <f>I548+O548</f>
        <v/>
      </c>
      <c r="R548" s="7">
        <f>Q548*G548</f>
        <v/>
      </c>
      <c r="S548" s="8">
        <f>IF($R$559=0,0,R548/$R$559)</f>
        <v/>
      </c>
      <c r="T548" s="8" t="n">
        <v>0</v>
      </c>
      <c r="U548" s="8" t="n">
        <v>-0.01260910517816149</v>
      </c>
      <c r="V548" s="6" t="inlineStr">
        <is>
          <t>not selected</t>
        </is>
      </c>
    </row>
    <row r="549">
      <c r="A549" s="6" t="inlineStr">
        <is>
          <t>DJ30</t>
        </is>
      </c>
      <c r="B549" s="6" t="inlineStr">
        <is>
          <t>2023-05-05</t>
        </is>
      </c>
      <c r="C549" s="6" t="inlineStr">
        <is>
          <t>DIA</t>
        </is>
      </c>
      <c r="D549" s="6" t="inlineStr">
        <is>
          <t>MSFT</t>
        </is>
      </c>
      <c r="E549" s="6" t="inlineStr">
        <is>
          <t>MSFT</t>
        </is>
      </c>
      <c r="F549" s="6" t="inlineStr">
        <is>
          <t>-</t>
        </is>
      </c>
      <c r="G549" s="7" t="n">
        <v>302.8075866699219</v>
      </c>
      <c r="H549" s="6">
        <f>P518</f>
        <v/>
      </c>
      <c r="I549" s="9">
        <f>Q518</f>
        <v/>
      </c>
      <c r="J549" s="7">
        <f>I549*G549</f>
        <v/>
      </c>
      <c r="K549" s="8">
        <f>IF($J$559=0,0,J549/$J$559)</f>
        <v/>
      </c>
      <c r="L549" s="6" t="inlineStr">
        <is>
          <t>REJECTED</t>
        </is>
      </c>
      <c r="M549" s="8" t="n">
        <v>0</v>
      </c>
      <c r="N549" s="7">
        <f>M549*$J$559-J549</f>
        <v/>
      </c>
      <c r="O549" s="9">
        <f>IF(G549=0,0,N549/G549)</f>
        <v/>
      </c>
      <c r="P549" s="6">
        <f>IF(M549&gt;0,D549,"")</f>
        <v/>
      </c>
      <c r="Q549" s="9">
        <f>I549+O549</f>
        <v/>
      </c>
      <c r="R549" s="7">
        <f>Q549*G549</f>
        <v/>
      </c>
      <c r="S549" s="8">
        <f>IF($R$559=0,0,R549/$R$559)</f>
        <v/>
      </c>
      <c r="T549" s="8" t="n">
        <v>0</v>
      </c>
      <c r="U549" s="8" t="n">
        <v>-0.01260910517816149</v>
      </c>
      <c r="V549" s="6" t="inlineStr">
        <is>
          <t>not selected</t>
        </is>
      </c>
    </row>
    <row r="550">
      <c r="A550" s="6" t="inlineStr">
        <is>
          <t>DJ30</t>
        </is>
      </c>
      <c r="B550" s="6" t="inlineStr">
        <is>
          <t>2023-05-05</t>
        </is>
      </c>
      <c r="C550" s="6" t="inlineStr">
        <is>
          <t>DIA</t>
        </is>
      </c>
      <c r="D550" s="6" t="inlineStr">
        <is>
          <t>NKE</t>
        </is>
      </c>
      <c r="E550" s="6" t="inlineStr">
        <is>
          <t>NKE</t>
        </is>
      </c>
      <c r="F550" s="6" t="inlineStr">
        <is>
          <t>-</t>
        </is>
      </c>
      <c r="G550" s="7" t="n">
        <v>118.5347213745117</v>
      </c>
      <c r="H550" s="6">
        <f>P519</f>
        <v/>
      </c>
      <c r="I550" s="9">
        <f>Q519</f>
        <v/>
      </c>
      <c r="J550" s="7">
        <f>I550*G550</f>
        <v/>
      </c>
      <c r="K550" s="8">
        <f>IF($J$559=0,0,J550/$J$559)</f>
        <v/>
      </c>
      <c r="L550" s="6" t="inlineStr">
        <is>
          <t>REJECTED</t>
        </is>
      </c>
      <c r="M550" s="8" t="n">
        <v>0</v>
      </c>
      <c r="N550" s="7">
        <f>M550*$J$559-J550</f>
        <v/>
      </c>
      <c r="O550" s="9">
        <f>IF(G550=0,0,N550/G550)</f>
        <v/>
      </c>
      <c r="P550" s="6">
        <f>IF(M550&gt;0,D550,"")</f>
        <v/>
      </c>
      <c r="Q550" s="9">
        <f>I550+O550</f>
        <v/>
      </c>
      <c r="R550" s="7">
        <f>Q550*G550</f>
        <v/>
      </c>
      <c r="S550" s="8">
        <f>IF($R$559=0,0,R550/$R$559)</f>
        <v/>
      </c>
      <c r="T550" s="8" t="n">
        <v>0</v>
      </c>
      <c r="U550" s="8" t="n">
        <v>-0.01260910517816149</v>
      </c>
      <c r="V550" s="6" t="inlineStr">
        <is>
          <t>not selected</t>
        </is>
      </c>
    </row>
    <row r="551">
      <c r="A551" s="6" t="inlineStr">
        <is>
          <t>DJ30</t>
        </is>
      </c>
      <c r="B551" s="6" t="inlineStr">
        <is>
          <t>2023-05-05</t>
        </is>
      </c>
      <c r="C551" s="6" t="inlineStr">
        <is>
          <t>DIA</t>
        </is>
      </c>
      <c r="D551" s="6" t="inlineStr">
        <is>
          <t>NVDA</t>
        </is>
      </c>
      <c r="E551" s="6" t="inlineStr">
        <is>
          <t>NVDA</t>
        </is>
      </c>
      <c r="F551" s="6" t="inlineStr">
        <is>
          <t>-</t>
        </is>
      </c>
      <c r="G551" s="7" t="n">
        <v>28.62127876281738</v>
      </c>
      <c r="H551" s="6">
        <f>P520</f>
        <v/>
      </c>
      <c r="I551" s="9">
        <f>Q520</f>
        <v/>
      </c>
      <c r="J551" s="7">
        <f>I551*G551</f>
        <v/>
      </c>
      <c r="K551" s="8">
        <f>IF($J$559=0,0,J551/$J$559)</f>
        <v/>
      </c>
      <c r="L551" s="6" t="inlineStr">
        <is>
          <t>REJECTED</t>
        </is>
      </c>
      <c r="M551" s="8" t="n">
        <v>0</v>
      </c>
      <c r="N551" s="7">
        <f>M551*$J$559-J551</f>
        <v/>
      </c>
      <c r="O551" s="9">
        <f>IF(G551=0,0,N551/G551)</f>
        <v/>
      </c>
      <c r="P551" s="6">
        <f>IF(M551&gt;0,D551,"")</f>
        <v/>
      </c>
      <c r="Q551" s="9">
        <f>I551+O551</f>
        <v/>
      </c>
      <c r="R551" s="7">
        <f>Q551*G551</f>
        <v/>
      </c>
      <c r="S551" s="8">
        <f>IF($R$559=0,0,R551/$R$559)</f>
        <v/>
      </c>
      <c r="T551" s="8" t="n">
        <v>0</v>
      </c>
      <c r="U551" s="8" t="n">
        <v>-0.01260910517816149</v>
      </c>
      <c r="V551" s="6" t="inlineStr">
        <is>
          <t>not selected</t>
        </is>
      </c>
    </row>
    <row r="552">
      <c r="A552" s="6" t="inlineStr">
        <is>
          <t>DJ30</t>
        </is>
      </c>
      <c r="B552" s="6" t="inlineStr">
        <is>
          <t>2023-05-05</t>
        </is>
      </c>
      <c r="C552" s="6" t="inlineStr">
        <is>
          <t>DIA</t>
        </is>
      </c>
      <c r="D552" s="6" t="inlineStr">
        <is>
          <t>PG</t>
        </is>
      </c>
      <c r="E552" s="6" t="inlineStr">
        <is>
          <t>PG</t>
        </is>
      </c>
      <c r="F552" s="6" t="inlineStr">
        <is>
          <t>-</t>
        </is>
      </c>
      <c r="G552" s="7" t="n">
        <v>144.3485870361328</v>
      </c>
      <c r="H552" s="6">
        <f>P521</f>
        <v/>
      </c>
      <c r="I552" s="9">
        <f>Q521</f>
        <v/>
      </c>
      <c r="J552" s="7">
        <f>I552*G552</f>
        <v/>
      </c>
      <c r="K552" s="8">
        <f>IF($J$559=0,0,J552/$J$559)</f>
        <v/>
      </c>
      <c r="L552" s="6" t="inlineStr">
        <is>
          <t>REJECTED</t>
        </is>
      </c>
      <c r="M552" s="8" t="n">
        <v>0</v>
      </c>
      <c r="N552" s="7">
        <f>M552*$J$559-J552</f>
        <v/>
      </c>
      <c r="O552" s="9">
        <f>IF(G552=0,0,N552/G552)</f>
        <v/>
      </c>
      <c r="P552" s="6">
        <f>IF(M552&gt;0,D552,"")</f>
        <v/>
      </c>
      <c r="Q552" s="9">
        <f>I552+O552</f>
        <v/>
      </c>
      <c r="R552" s="7">
        <f>Q552*G552</f>
        <v/>
      </c>
      <c r="S552" s="8">
        <f>IF($R$559=0,0,R552/$R$559)</f>
        <v/>
      </c>
      <c r="T552" s="8" t="n">
        <v>0</v>
      </c>
      <c r="U552" s="8" t="n">
        <v>-0.01260910517816149</v>
      </c>
      <c r="V552" s="6" t="inlineStr">
        <is>
          <t>not selected</t>
        </is>
      </c>
    </row>
    <row r="553">
      <c r="A553" s="6" t="inlineStr">
        <is>
          <t>DJ30</t>
        </is>
      </c>
      <c r="B553" s="6" t="inlineStr">
        <is>
          <t>2023-05-05</t>
        </is>
      </c>
      <c r="C553" s="6" t="inlineStr">
        <is>
          <t>DIA</t>
        </is>
      </c>
      <c r="D553" s="6" t="inlineStr">
        <is>
          <t>SHW</t>
        </is>
      </c>
      <c r="E553" s="6" t="inlineStr">
        <is>
          <t>SHW</t>
        </is>
      </c>
      <c r="F553" s="6" t="inlineStr">
        <is>
          <t>-</t>
        </is>
      </c>
      <c r="G553" s="7" t="n">
        <v>224.2016296386719</v>
      </c>
      <c r="H553" s="6">
        <f>P522</f>
        <v/>
      </c>
      <c r="I553" s="9">
        <f>Q522</f>
        <v/>
      </c>
      <c r="J553" s="7">
        <f>I553*G553</f>
        <v/>
      </c>
      <c r="K553" s="8">
        <f>IF($J$559=0,0,J553/$J$559)</f>
        <v/>
      </c>
      <c r="L553" s="6" t="inlineStr">
        <is>
          <t>REJECTED</t>
        </is>
      </c>
      <c r="M553" s="8" t="n">
        <v>0</v>
      </c>
      <c r="N553" s="7">
        <f>M553*$J$559-J553</f>
        <v/>
      </c>
      <c r="O553" s="9">
        <f>IF(G553=0,0,N553/G553)</f>
        <v/>
      </c>
      <c r="P553" s="6">
        <f>IF(M553&gt;0,D553,"")</f>
        <v/>
      </c>
      <c r="Q553" s="9">
        <f>I553+O553</f>
        <v/>
      </c>
      <c r="R553" s="7">
        <f>Q553*G553</f>
        <v/>
      </c>
      <c r="S553" s="8">
        <f>IF($R$559=0,0,R553/$R$559)</f>
        <v/>
      </c>
      <c r="T553" s="8" t="n">
        <v>0</v>
      </c>
      <c r="U553" s="8" t="n">
        <v>-0.01260910517816149</v>
      </c>
      <c r="V553" s="6" t="inlineStr">
        <is>
          <t>not selected</t>
        </is>
      </c>
    </row>
    <row r="554">
      <c r="A554" s="6" t="inlineStr">
        <is>
          <t>DJ30</t>
        </is>
      </c>
      <c r="B554" s="6" t="inlineStr">
        <is>
          <t>2023-05-05</t>
        </is>
      </c>
      <c r="C554" s="6" t="inlineStr">
        <is>
          <t>DIA</t>
        </is>
      </c>
      <c r="D554" s="6" t="inlineStr">
        <is>
          <t>TRV</t>
        </is>
      </c>
      <c r="E554" s="6" t="inlineStr">
        <is>
          <t>TRV</t>
        </is>
      </c>
      <c r="F554" s="6" t="inlineStr">
        <is>
          <t>-</t>
        </is>
      </c>
      <c r="G554" s="7" t="n">
        <v>171.7803955078125</v>
      </c>
      <c r="H554" s="6">
        <f>P523</f>
        <v/>
      </c>
      <c r="I554" s="9">
        <f>Q523</f>
        <v/>
      </c>
      <c r="J554" s="7">
        <f>I554*G554</f>
        <v/>
      </c>
      <c r="K554" s="8">
        <f>IF($J$559=0,0,J554/$J$559)</f>
        <v/>
      </c>
      <c r="L554" s="6" t="inlineStr">
        <is>
          <t>REJECTED</t>
        </is>
      </c>
      <c r="M554" s="8" t="n">
        <v>0</v>
      </c>
      <c r="N554" s="7">
        <f>M554*$J$559-J554</f>
        <v/>
      </c>
      <c r="O554" s="9">
        <f>IF(G554=0,0,N554/G554)</f>
        <v/>
      </c>
      <c r="P554" s="6">
        <f>IF(M554&gt;0,D554,"")</f>
        <v/>
      </c>
      <c r="Q554" s="9">
        <f>I554+O554</f>
        <v/>
      </c>
      <c r="R554" s="7">
        <f>Q554*G554</f>
        <v/>
      </c>
      <c r="S554" s="8">
        <f>IF($R$559=0,0,R554/$R$559)</f>
        <v/>
      </c>
      <c r="T554" s="8" t="n">
        <v>0</v>
      </c>
      <c r="U554" s="8" t="n">
        <v>-0.01260910517816149</v>
      </c>
      <c r="V554" s="6" t="inlineStr">
        <is>
          <t>not selected</t>
        </is>
      </c>
    </row>
    <row r="555">
      <c r="A555" s="6" t="inlineStr">
        <is>
          <t>DJ30</t>
        </is>
      </c>
      <c r="B555" s="6" t="inlineStr">
        <is>
          <t>2023-05-05</t>
        </is>
      </c>
      <c r="C555" s="6" t="inlineStr">
        <is>
          <t>DIA</t>
        </is>
      </c>
      <c r="D555" s="6" t="inlineStr">
        <is>
          <t>UNH</t>
        </is>
      </c>
      <c r="E555" s="6" t="inlineStr">
        <is>
          <t>UNH</t>
        </is>
      </c>
      <c r="F555" s="6" t="inlineStr">
        <is>
          <t>-</t>
        </is>
      </c>
      <c r="G555" s="7" t="n">
        <v>463.3168640136719</v>
      </c>
      <c r="H555" s="6">
        <f>P524</f>
        <v/>
      </c>
      <c r="I555" s="9">
        <f>Q524</f>
        <v/>
      </c>
      <c r="J555" s="7">
        <f>I555*G555</f>
        <v/>
      </c>
      <c r="K555" s="8">
        <f>IF($J$559=0,0,J555/$J$559)</f>
        <v/>
      </c>
      <c r="L555" s="6" t="inlineStr">
        <is>
          <t>REJECTED</t>
        </is>
      </c>
      <c r="M555" s="8" t="n">
        <v>0</v>
      </c>
      <c r="N555" s="7">
        <f>M555*$J$559-J555</f>
        <v/>
      </c>
      <c r="O555" s="9">
        <f>IF(G555=0,0,N555/G555)</f>
        <v/>
      </c>
      <c r="P555" s="6">
        <f>IF(M555&gt;0,D555,"")</f>
        <v/>
      </c>
      <c r="Q555" s="9">
        <f>I555+O555</f>
        <v/>
      </c>
      <c r="R555" s="7">
        <f>Q555*G555</f>
        <v/>
      </c>
      <c r="S555" s="8">
        <f>IF($R$559=0,0,R555/$R$559)</f>
        <v/>
      </c>
      <c r="T555" s="8" t="n">
        <v>0</v>
      </c>
      <c r="U555" s="8" t="n">
        <v>-0.01260910517816149</v>
      </c>
      <c r="V555" s="6" t="inlineStr">
        <is>
          <t>not selected</t>
        </is>
      </c>
    </row>
    <row r="556">
      <c r="A556" s="6" t="inlineStr">
        <is>
          <t>DJ30</t>
        </is>
      </c>
      <c r="B556" s="6" t="inlineStr">
        <is>
          <t>2023-05-05</t>
        </is>
      </c>
      <c r="C556" s="6" t="inlineStr">
        <is>
          <t>DIA</t>
        </is>
      </c>
      <c r="D556" s="6" t="inlineStr">
        <is>
          <t>V</t>
        </is>
      </c>
      <c r="E556" s="6" t="inlineStr">
        <is>
          <t>V</t>
        </is>
      </c>
      <c r="F556" s="6" t="inlineStr">
        <is>
          <t>-</t>
        </is>
      </c>
      <c r="G556" s="7" t="n">
        <v>226.1079559326172</v>
      </c>
      <c r="H556" s="6">
        <f>P525</f>
        <v/>
      </c>
      <c r="I556" s="9">
        <f>Q525</f>
        <v/>
      </c>
      <c r="J556" s="7">
        <f>I556*G556</f>
        <v/>
      </c>
      <c r="K556" s="8">
        <f>IF($J$559=0,0,J556/$J$559)</f>
        <v/>
      </c>
      <c r="L556" s="6" t="inlineStr">
        <is>
          <t>REJECTED</t>
        </is>
      </c>
      <c r="M556" s="8" t="n">
        <v>0</v>
      </c>
      <c r="N556" s="7">
        <f>M556*$J$559-J556</f>
        <v/>
      </c>
      <c r="O556" s="9">
        <f>IF(G556=0,0,N556/G556)</f>
        <v/>
      </c>
      <c r="P556" s="6">
        <f>IF(M556&gt;0,D556,"")</f>
        <v/>
      </c>
      <c r="Q556" s="9">
        <f>I556+O556</f>
        <v/>
      </c>
      <c r="R556" s="7">
        <f>Q556*G556</f>
        <v/>
      </c>
      <c r="S556" s="8">
        <f>IF($R$559=0,0,R556/$R$559)</f>
        <v/>
      </c>
      <c r="T556" s="8" t="n">
        <v>0</v>
      </c>
      <c r="U556" s="8" t="n">
        <v>-0.01260910517816149</v>
      </c>
      <c r="V556" s="6" t="inlineStr">
        <is>
          <t>not selected</t>
        </is>
      </c>
    </row>
    <row r="557">
      <c r="A557" s="6" t="inlineStr">
        <is>
          <t>DJ30</t>
        </is>
      </c>
      <c r="B557" s="6" t="inlineStr">
        <is>
          <t>2023-05-05</t>
        </is>
      </c>
      <c r="C557" s="6" t="inlineStr">
        <is>
          <t>DIA</t>
        </is>
      </c>
      <c r="D557" s="6" t="inlineStr">
        <is>
          <t>VZ</t>
        </is>
      </c>
      <c r="E557" s="6" t="inlineStr">
        <is>
          <t>VZ</t>
        </is>
      </c>
      <c r="F557" s="6" t="inlineStr">
        <is>
          <t>-</t>
        </is>
      </c>
      <c r="G557" s="7" t="n">
        <v>30.9080696105957</v>
      </c>
      <c r="H557" s="6">
        <f>P526</f>
        <v/>
      </c>
      <c r="I557" s="9">
        <f>Q526</f>
        <v/>
      </c>
      <c r="J557" s="7">
        <f>I557*G557</f>
        <v/>
      </c>
      <c r="K557" s="8">
        <f>IF($J$559=0,0,J557/$J$559)</f>
        <v/>
      </c>
      <c r="L557" s="6" t="inlineStr">
        <is>
          <t>REJECTED</t>
        </is>
      </c>
      <c r="M557" s="8" t="n">
        <v>0</v>
      </c>
      <c r="N557" s="7">
        <f>M557*$J$559-J557</f>
        <v/>
      </c>
      <c r="O557" s="9">
        <f>IF(G557=0,0,N557/G557)</f>
        <v/>
      </c>
      <c r="P557" s="6">
        <f>IF(M557&gt;0,D557,"")</f>
        <v/>
      </c>
      <c r="Q557" s="9">
        <f>I557+O557</f>
        <v/>
      </c>
      <c r="R557" s="7">
        <f>Q557*G557</f>
        <v/>
      </c>
      <c r="S557" s="8">
        <f>IF($R$559=0,0,R557/$R$559)</f>
        <v/>
      </c>
      <c r="T557" s="8" t="n">
        <v>0</v>
      </c>
      <c r="U557" s="8" t="n">
        <v>-0.01260910517816149</v>
      </c>
      <c r="V557" s="6" t="inlineStr">
        <is>
          <t>not selected</t>
        </is>
      </c>
    </row>
    <row r="558">
      <c r="A558" s="6" t="inlineStr">
        <is>
          <t>DJ30</t>
        </is>
      </c>
      <c r="B558" s="6" t="inlineStr">
        <is>
          <t>2023-05-05</t>
        </is>
      </c>
      <c r="C558" s="6" t="inlineStr">
        <is>
          <t>DIA</t>
        </is>
      </c>
      <c r="D558" s="6" t="inlineStr">
        <is>
          <t>WMT</t>
        </is>
      </c>
      <c r="E558" s="6" t="inlineStr">
        <is>
          <t>WMT</t>
        </is>
      </c>
      <c r="F558" s="6" t="inlineStr">
        <is>
          <t>-</t>
        </is>
      </c>
      <c r="G558" s="7" t="n">
        <v>48.96471405029297</v>
      </c>
      <c r="H558" s="6">
        <f>P527</f>
        <v/>
      </c>
      <c r="I558" s="9">
        <f>Q527</f>
        <v/>
      </c>
      <c r="J558" s="7">
        <f>I558*G558</f>
        <v/>
      </c>
      <c r="K558" s="8">
        <f>IF($J$559=0,0,J558/$J$559)</f>
        <v/>
      </c>
      <c r="L558" s="6" t="inlineStr">
        <is>
          <t>REJECTED</t>
        </is>
      </c>
      <c r="M558" s="8" t="n">
        <v>0</v>
      </c>
      <c r="N558" s="7">
        <f>M558*$J$559-J558</f>
        <v/>
      </c>
      <c r="O558" s="9">
        <f>IF(G558=0,0,N558/G558)</f>
        <v/>
      </c>
      <c r="P558" s="6">
        <f>IF(M558&gt;0,D558,"")</f>
        <v/>
      </c>
      <c r="Q558" s="9">
        <f>I558+O558</f>
        <v/>
      </c>
      <c r="R558" s="7">
        <f>Q558*G558</f>
        <v/>
      </c>
      <c r="S558" s="8">
        <f>IF($R$559=0,0,R558/$R$559)</f>
        <v/>
      </c>
      <c r="T558" s="8" t="n">
        <v>0</v>
      </c>
      <c r="U558" s="8" t="n">
        <v>-0.01260910517816149</v>
      </c>
      <c r="V558" s="6" t="inlineStr">
        <is>
          <t>not selected</t>
        </is>
      </c>
    </row>
    <row r="559">
      <c r="A559" s="10" t="inlineStr">
        <is>
          <t>DJ30</t>
        </is>
      </c>
      <c r="B559" s="10" t="inlineStr">
        <is>
          <t>2023-05-05</t>
        </is>
      </c>
      <c r="C559" s="10" t="inlineStr">
        <is>
          <t>DIA</t>
        </is>
      </c>
      <c r="D559" s="10" t="inlineStr">
        <is>
          <t>Tot Portfolio</t>
        </is>
      </c>
      <c r="E559" s="10" t="inlineStr"/>
      <c r="F559" s="10" t="inlineStr"/>
      <c r="G559" s="11" t="inlineStr"/>
      <c r="H559" s="10" t="inlineStr"/>
      <c r="I559" s="12" t="inlineStr"/>
      <c r="J559" s="11">
        <f>SUM(J529:J558)</f>
        <v/>
      </c>
      <c r="K559" s="13">
        <f>SUM(K529:K558)</f>
        <v/>
      </c>
      <c r="L559" s="10" t="inlineStr">
        <is>
          <t>TOTAL</t>
        </is>
      </c>
      <c r="M559" s="13">
        <f>SUM(M529:M558)</f>
        <v/>
      </c>
      <c r="N559" s="11">
        <f>SUM(N529:N558)</f>
        <v/>
      </c>
      <c r="O559" s="12">
        <f>SUM(O529:O558)</f>
        <v/>
      </c>
      <c r="P559" s="10" t="inlineStr"/>
      <c r="Q559" s="12" t="inlineStr"/>
      <c r="R559" s="11">
        <f>SUM(R529:R558)</f>
        <v/>
      </c>
      <c r="S559" s="13">
        <f>SUM(S529:S558)</f>
        <v/>
      </c>
      <c r="T559" s="13" t="n">
        <v>0</v>
      </c>
      <c r="U559" s="13" t="n">
        <v>-0.01260910517816149</v>
      </c>
      <c r="V559" s="10" t="inlineStr"/>
    </row>
    <row r="560">
      <c r="A560" s="6" t="inlineStr">
        <is>
          <t>DJ30</t>
        </is>
      </c>
      <c r="B560" s="6" t="inlineStr">
        <is>
          <t>2023-05-12</t>
        </is>
      </c>
      <c r="C560" s="6" t="inlineStr">
        <is>
          <t>DIA</t>
        </is>
      </c>
      <c r="D560" s="6" t="inlineStr">
        <is>
          <t>AAPL</t>
        </is>
      </c>
      <c r="E560" s="6" t="inlineStr">
        <is>
          <t>AAPL</t>
        </is>
      </c>
      <c r="F560" s="6" t="inlineStr">
        <is>
          <t>-</t>
        </is>
      </c>
      <c r="G560" s="7" t="n">
        <v>170.1841735839844</v>
      </c>
      <c r="H560" s="6">
        <f>P529</f>
        <v/>
      </c>
      <c r="I560" s="9">
        <f>Q529</f>
        <v/>
      </c>
      <c r="J560" s="7">
        <f>I560*G560</f>
        <v/>
      </c>
      <c r="K560" s="8">
        <f>IF($J$590=0,0,J560/$J$590)</f>
        <v/>
      </c>
      <c r="L560" s="6" t="inlineStr">
        <is>
          <t>REJECTED</t>
        </is>
      </c>
      <c r="M560" s="8" t="n">
        <v>0</v>
      </c>
      <c r="N560" s="7">
        <f>M560*$J$590-J560</f>
        <v/>
      </c>
      <c r="O560" s="9">
        <f>IF(G560=0,0,N560/G560)</f>
        <v/>
      </c>
      <c r="P560" s="6">
        <f>IF(M560&gt;0,D560,"")</f>
        <v/>
      </c>
      <c r="Q560" s="9">
        <f>I560+O560</f>
        <v/>
      </c>
      <c r="R560" s="7">
        <f>Q560*G560</f>
        <v/>
      </c>
      <c r="S560" s="8">
        <f>IF($R$590=0,0,R560/$R$590)</f>
        <v/>
      </c>
      <c r="T560" s="8" t="n">
        <v>0</v>
      </c>
      <c r="U560" s="8" t="n">
        <v>-0.01048270146692964</v>
      </c>
      <c r="V560" s="6" t="inlineStr">
        <is>
          <t>not selected</t>
        </is>
      </c>
    </row>
    <row r="561">
      <c r="A561" s="6" t="inlineStr">
        <is>
          <t>DJ30</t>
        </is>
      </c>
      <c r="B561" s="6" t="inlineStr">
        <is>
          <t>2023-05-12</t>
        </is>
      </c>
      <c r="C561" s="6" t="inlineStr">
        <is>
          <t>DIA</t>
        </is>
      </c>
      <c r="D561" s="6" t="inlineStr">
        <is>
          <t>AMGN</t>
        </is>
      </c>
      <c r="E561" s="6" t="inlineStr">
        <is>
          <t>AMGN</t>
        </is>
      </c>
      <c r="F561" s="6" t="inlineStr">
        <is>
          <t>-</t>
        </is>
      </c>
      <c r="G561" s="7" t="n">
        <v>210.4615173339844</v>
      </c>
      <c r="H561" s="6">
        <f>P530</f>
        <v/>
      </c>
      <c r="I561" s="9">
        <f>Q530</f>
        <v/>
      </c>
      <c r="J561" s="7">
        <f>I561*G561</f>
        <v/>
      </c>
      <c r="K561" s="8">
        <f>IF($J$590=0,0,J561/$J$590)</f>
        <v/>
      </c>
      <c r="L561" s="6" t="inlineStr">
        <is>
          <t>REJECTED</t>
        </is>
      </c>
      <c r="M561" s="8" t="n">
        <v>0</v>
      </c>
      <c r="N561" s="7">
        <f>M561*$J$590-J561</f>
        <v/>
      </c>
      <c r="O561" s="9">
        <f>IF(G561=0,0,N561/G561)</f>
        <v/>
      </c>
      <c r="P561" s="6">
        <f>IF(M561&gt;0,D561,"")</f>
        <v/>
      </c>
      <c r="Q561" s="9">
        <f>I561+O561</f>
        <v/>
      </c>
      <c r="R561" s="7">
        <f>Q561*G561</f>
        <v/>
      </c>
      <c r="S561" s="8">
        <f>IF($R$590=0,0,R561/$R$590)</f>
        <v/>
      </c>
      <c r="T561" s="8" t="n">
        <v>0</v>
      </c>
      <c r="U561" s="8" t="n">
        <v>-0.01048270146692964</v>
      </c>
      <c r="V561" s="6" t="inlineStr">
        <is>
          <t>not selected</t>
        </is>
      </c>
    </row>
    <row r="562">
      <c r="A562" s="6" t="inlineStr">
        <is>
          <t>DJ30</t>
        </is>
      </c>
      <c r="B562" s="6" t="inlineStr">
        <is>
          <t>2023-05-12</t>
        </is>
      </c>
      <c r="C562" s="6" t="inlineStr">
        <is>
          <t>DIA</t>
        </is>
      </c>
      <c r="D562" s="6" t="inlineStr">
        <is>
          <t>AMZN</t>
        </is>
      </c>
      <c r="E562" s="6" t="inlineStr">
        <is>
          <t>AMZN</t>
        </is>
      </c>
      <c r="F562" s="6" t="inlineStr">
        <is>
          <t>-</t>
        </is>
      </c>
      <c r="G562" s="7" t="n">
        <v>110.2600021362305</v>
      </c>
      <c r="H562" s="6">
        <f>P531</f>
        <v/>
      </c>
      <c r="I562" s="9">
        <f>Q531</f>
        <v/>
      </c>
      <c r="J562" s="7">
        <f>I562*G562</f>
        <v/>
      </c>
      <c r="K562" s="8">
        <f>IF($J$590=0,0,J562/$J$590)</f>
        <v/>
      </c>
      <c r="L562" s="6" t="inlineStr">
        <is>
          <t>REJECTED</t>
        </is>
      </c>
      <c r="M562" s="8" t="n">
        <v>0</v>
      </c>
      <c r="N562" s="7">
        <f>M562*$J$590-J562</f>
        <v/>
      </c>
      <c r="O562" s="9">
        <f>IF(G562=0,0,N562/G562)</f>
        <v/>
      </c>
      <c r="P562" s="6">
        <f>IF(M562&gt;0,D562,"")</f>
        <v/>
      </c>
      <c r="Q562" s="9">
        <f>I562+O562</f>
        <v/>
      </c>
      <c r="R562" s="7">
        <f>Q562*G562</f>
        <v/>
      </c>
      <c r="S562" s="8">
        <f>IF($R$590=0,0,R562/$R$590)</f>
        <v/>
      </c>
      <c r="T562" s="8" t="n">
        <v>0</v>
      </c>
      <c r="U562" s="8" t="n">
        <v>-0.01048270146692964</v>
      </c>
      <c r="V562" s="6" t="inlineStr">
        <is>
          <t>not selected</t>
        </is>
      </c>
    </row>
    <row r="563">
      <c r="A563" s="6" t="inlineStr">
        <is>
          <t>DJ30</t>
        </is>
      </c>
      <c r="B563" s="6" t="inlineStr">
        <is>
          <t>2023-05-12</t>
        </is>
      </c>
      <c r="C563" s="6" t="inlineStr">
        <is>
          <t>DIA</t>
        </is>
      </c>
      <c r="D563" s="6" t="inlineStr">
        <is>
          <t>AXP</t>
        </is>
      </c>
      <c r="E563" s="6" t="inlineStr">
        <is>
          <t>AXP</t>
        </is>
      </c>
      <c r="F563" s="6" t="inlineStr">
        <is>
          <t>-</t>
        </is>
      </c>
      <c r="G563" s="7" t="n">
        <v>142.7682342529297</v>
      </c>
      <c r="H563" s="6">
        <f>P532</f>
        <v/>
      </c>
      <c r="I563" s="9">
        <f>Q532</f>
        <v/>
      </c>
      <c r="J563" s="7">
        <f>I563*G563</f>
        <v/>
      </c>
      <c r="K563" s="8">
        <f>IF($J$590=0,0,J563/$J$590)</f>
        <v/>
      </c>
      <c r="L563" s="6" t="inlineStr">
        <is>
          <t>REJECTED</t>
        </is>
      </c>
      <c r="M563" s="8" t="n">
        <v>0</v>
      </c>
      <c r="N563" s="7">
        <f>M563*$J$590-J563</f>
        <v/>
      </c>
      <c r="O563" s="9">
        <f>IF(G563=0,0,N563/G563)</f>
        <v/>
      </c>
      <c r="P563" s="6">
        <f>IF(M563&gt;0,D563,"")</f>
        <v/>
      </c>
      <c r="Q563" s="9">
        <f>I563+O563</f>
        <v/>
      </c>
      <c r="R563" s="7">
        <f>Q563*G563</f>
        <v/>
      </c>
      <c r="S563" s="8">
        <f>IF($R$590=0,0,R563/$R$590)</f>
        <v/>
      </c>
      <c r="T563" s="8" t="n">
        <v>0</v>
      </c>
      <c r="U563" s="8" t="n">
        <v>-0.01048270146692964</v>
      </c>
      <c r="V563" s="6" t="inlineStr">
        <is>
          <t>not selected</t>
        </is>
      </c>
    </row>
    <row r="564">
      <c r="A564" s="6" t="inlineStr">
        <is>
          <t>DJ30</t>
        </is>
      </c>
      <c r="B564" s="6" t="inlineStr">
        <is>
          <t>2023-05-12</t>
        </is>
      </c>
      <c r="C564" s="6" t="inlineStr">
        <is>
          <t>DIA</t>
        </is>
      </c>
      <c r="D564" s="6" t="inlineStr">
        <is>
          <t>BA</t>
        </is>
      </c>
      <c r="E564" s="6" t="inlineStr">
        <is>
          <t>BA</t>
        </is>
      </c>
      <c r="F564" s="6" t="inlineStr">
        <is>
          <t>-</t>
        </is>
      </c>
      <c r="G564" s="7" t="n">
        <v>200.6999969482422</v>
      </c>
      <c r="H564" s="6">
        <f>P533</f>
        <v/>
      </c>
      <c r="I564" s="9">
        <f>Q533</f>
        <v/>
      </c>
      <c r="J564" s="7">
        <f>I564*G564</f>
        <v/>
      </c>
      <c r="K564" s="8">
        <f>IF($J$590=0,0,J564/$J$590)</f>
        <v/>
      </c>
      <c r="L564" s="6" t="inlineStr">
        <is>
          <t>REJECTED</t>
        </is>
      </c>
      <c r="M564" s="8" t="n">
        <v>0</v>
      </c>
      <c r="N564" s="7">
        <f>M564*$J$590-J564</f>
        <v/>
      </c>
      <c r="O564" s="9">
        <f>IF(G564=0,0,N564/G564)</f>
        <v/>
      </c>
      <c r="P564" s="6">
        <f>IF(M564&gt;0,D564,"")</f>
        <v/>
      </c>
      <c r="Q564" s="9">
        <f>I564+O564</f>
        <v/>
      </c>
      <c r="R564" s="7">
        <f>Q564*G564</f>
        <v/>
      </c>
      <c r="S564" s="8">
        <f>IF($R$590=0,0,R564/$R$590)</f>
        <v/>
      </c>
      <c r="T564" s="8" t="n">
        <v>0</v>
      </c>
      <c r="U564" s="8" t="n">
        <v>-0.01048270146692964</v>
      </c>
      <c r="V564" s="6" t="inlineStr">
        <is>
          <t>not selected</t>
        </is>
      </c>
    </row>
    <row r="565">
      <c r="A565" s="6" t="inlineStr">
        <is>
          <t>DJ30</t>
        </is>
      </c>
      <c r="B565" s="6" t="inlineStr">
        <is>
          <t>2023-05-12</t>
        </is>
      </c>
      <c r="C565" s="6" t="inlineStr">
        <is>
          <t>DIA</t>
        </is>
      </c>
      <c r="D565" s="6" t="inlineStr">
        <is>
          <t>CAT</t>
        </is>
      </c>
      <c r="E565" s="6" t="inlineStr">
        <is>
          <t>CAT</t>
        </is>
      </c>
      <c r="F565" s="6" t="inlineStr">
        <is>
          <t>-</t>
        </is>
      </c>
      <c r="G565" s="7" t="n">
        <v>200.2731323242188</v>
      </c>
      <c r="H565" s="6">
        <f>P534</f>
        <v/>
      </c>
      <c r="I565" s="9">
        <f>Q534</f>
        <v/>
      </c>
      <c r="J565" s="7">
        <f>I565*G565</f>
        <v/>
      </c>
      <c r="K565" s="8">
        <f>IF($J$590=0,0,J565/$J$590)</f>
        <v/>
      </c>
      <c r="L565" s="6" t="inlineStr">
        <is>
          <t>REJECTED</t>
        </is>
      </c>
      <c r="M565" s="8" t="n">
        <v>0</v>
      </c>
      <c r="N565" s="7">
        <f>M565*$J$590-J565</f>
        <v/>
      </c>
      <c r="O565" s="9">
        <f>IF(G565=0,0,N565/G565)</f>
        <v/>
      </c>
      <c r="P565" s="6">
        <f>IF(M565&gt;0,D565,"")</f>
        <v/>
      </c>
      <c r="Q565" s="9">
        <f>I565+O565</f>
        <v/>
      </c>
      <c r="R565" s="7">
        <f>Q565*G565</f>
        <v/>
      </c>
      <c r="S565" s="8">
        <f>IF($R$590=0,0,R565/$R$590)</f>
        <v/>
      </c>
      <c r="T565" s="8" t="n">
        <v>0</v>
      </c>
      <c r="U565" s="8" t="n">
        <v>-0.01048270146692964</v>
      </c>
      <c r="V565" s="6" t="inlineStr">
        <is>
          <t>not selected</t>
        </is>
      </c>
    </row>
    <row r="566">
      <c r="A566" s="6" t="inlineStr">
        <is>
          <t>DJ30</t>
        </is>
      </c>
      <c r="B566" s="6" t="inlineStr">
        <is>
          <t>2023-05-12</t>
        </is>
      </c>
      <c r="C566" s="6" t="inlineStr">
        <is>
          <t>DIA</t>
        </is>
      </c>
      <c r="D566" s="6" t="inlineStr">
        <is>
          <t>CRM</t>
        </is>
      </c>
      <c r="E566" s="6" t="inlineStr">
        <is>
          <t>CRM</t>
        </is>
      </c>
      <c r="F566" s="6" t="inlineStr">
        <is>
          <t>-</t>
        </is>
      </c>
      <c r="G566" s="7" t="n">
        <v>198.3779754638672</v>
      </c>
      <c r="H566" s="6">
        <f>P535</f>
        <v/>
      </c>
      <c r="I566" s="9">
        <f>Q535</f>
        <v/>
      </c>
      <c r="J566" s="7">
        <f>I566*G566</f>
        <v/>
      </c>
      <c r="K566" s="8">
        <f>IF($J$590=0,0,J566/$J$590)</f>
        <v/>
      </c>
      <c r="L566" s="6" t="inlineStr">
        <is>
          <t>REJECTED</t>
        </is>
      </c>
      <c r="M566" s="8" t="n">
        <v>0</v>
      </c>
      <c r="N566" s="7">
        <f>M566*$J$590-J566</f>
        <v/>
      </c>
      <c r="O566" s="9">
        <f>IF(G566=0,0,N566/G566)</f>
        <v/>
      </c>
      <c r="P566" s="6">
        <f>IF(M566&gt;0,D566,"")</f>
        <v/>
      </c>
      <c r="Q566" s="9">
        <f>I566+O566</f>
        <v/>
      </c>
      <c r="R566" s="7">
        <f>Q566*G566</f>
        <v/>
      </c>
      <c r="S566" s="8">
        <f>IF($R$590=0,0,R566/$R$590)</f>
        <v/>
      </c>
      <c r="T566" s="8" t="n">
        <v>0</v>
      </c>
      <c r="U566" s="8" t="n">
        <v>-0.01048270146692964</v>
      </c>
      <c r="V566" s="6" t="inlineStr">
        <is>
          <t>not selected</t>
        </is>
      </c>
    </row>
    <row r="567">
      <c r="A567" s="6" t="inlineStr">
        <is>
          <t>DJ30</t>
        </is>
      </c>
      <c r="B567" s="6" t="inlineStr">
        <is>
          <t>2023-05-12</t>
        </is>
      </c>
      <c r="C567" s="6" t="inlineStr">
        <is>
          <t>DIA</t>
        </is>
      </c>
      <c r="D567" s="6" t="inlineStr">
        <is>
          <t>CSCO</t>
        </is>
      </c>
      <c r="E567" s="6" t="inlineStr">
        <is>
          <t>CSCO</t>
        </is>
      </c>
      <c r="F567" s="6" t="inlineStr">
        <is>
          <t>-</t>
        </is>
      </c>
      <c r="G567" s="7" t="n">
        <v>42.99026870727539</v>
      </c>
      <c r="H567" s="6">
        <f>P536</f>
        <v/>
      </c>
      <c r="I567" s="9">
        <f>Q536</f>
        <v/>
      </c>
      <c r="J567" s="7">
        <f>I567*G567</f>
        <v/>
      </c>
      <c r="K567" s="8">
        <f>IF($J$590=0,0,J567/$J$590)</f>
        <v/>
      </c>
      <c r="L567" s="6" t="inlineStr">
        <is>
          <t>REJECTED</t>
        </is>
      </c>
      <c r="M567" s="8" t="n">
        <v>0</v>
      </c>
      <c r="N567" s="7">
        <f>M567*$J$590-J567</f>
        <v/>
      </c>
      <c r="O567" s="9">
        <f>IF(G567=0,0,N567/G567)</f>
        <v/>
      </c>
      <c r="P567" s="6">
        <f>IF(M567&gt;0,D567,"")</f>
        <v/>
      </c>
      <c r="Q567" s="9">
        <f>I567+O567</f>
        <v/>
      </c>
      <c r="R567" s="7">
        <f>Q567*G567</f>
        <v/>
      </c>
      <c r="S567" s="8">
        <f>IF($R$590=0,0,R567/$R$590)</f>
        <v/>
      </c>
      <c r="T567" s="8" t="n">
        <v>0</v>
      </c>
      <c r="U567" s="8" t="n">
        <v>-0.01048270146692964</v>
      </c>
      <c r="V567" s="6" t="inlineStr">
        <is>
          <t>not selected</t>
        </is>
      </c>
    </row>
    <row r="568">
      <c r="A568" s="6" t="inlineStr">
        <is>
          <t>DJ30</t>
        </is>
      </c>
      <c r="B568" s="6" t="inlineStr">
        <is>
          <t>2023-05-12</t>
        </is>
      </c>
      <c r="C568" s="6" t="inlineStr">
        <is>
          <t>DIA</t>
        </is>
      </c>
      <c r="D568" s="6" t="inlineStr">
        <is>
          <t>CVX</t>
        </is>
      </c>
      <c r="E568" s="6" t="inlineStr">
        <is>
          <t>CVX</t>
        </is>
      </c>
      <c r="F568" s="6" t="inlineStr">
        <is>
          <t>-</t>
        </is>
      </c>
      <c r="G568" s="7" t="n">
        <v>136.6932830810547</v>
      </c>
      <c r="H568" s="6">
        <f>P537</f>
        <v/>
      </c>
      <c r="I568" s="9">
        <f>Q537</f>
        <v/>
      </c>
      <c r="J568" s="7">
        <f>I568*G568</f>
        <v/>
      </c>
      <c r="K568" s="8">
        <f>IF($J$590=0,0,J568/$J$590)</f>
        <v/>
      </c>
      <c r="L568" s="6" t="inlineStr">
        <is>
          <t>REJECTED</t>
        </is>
      </c>
      <c r="M568" s="8" t="n">
        <v>0</v>
      </c>
      <c r="N568" s="7">
        <f>M568*$J$590-J568</f>
        <v/>
      </c>
      <c r="O568" s="9">
        <f>IF(G568=0,0,N568/G568)</f>
        <v/>
      </c>
      <c r="P568" s="6">
        <f>IF(M568&gt;0,D568,"")</f>
        <v/>
      </c>
      <c r="Q568" s="9">
        <f>I568+O568</f>
        <v/>
      </c>
      <c r="R568" s="7">
        <f>Q568*G568</f>
        <v/>
      </c>
      <c r="S568" s="8">
        <f>IF($R$590=0,0,R568/$R$590)</f>
        <v/>
      </c>
      <c r="T568" s="8" t="n">
        <v>0</v>
      </c>
      <c r="U568" s="8" t="n">
        <v>-0.01048270146692964</v>
      </c>
      <c r="V568" s="6" t="inlineStr">
        <is>
          <t>not selected</t>
        </is>
      </c>
    </row>
    <row r="569">
      <c r="A569" s="6" t="inlineStr">
        <is>
          <t>DJ30</t>
        </is>
      </c>
      <c r="B569" s="6" t="inlineStr">
        <is>
          <t>2023-05-12</t>
        </is>
      </c>
      <c r="C569" s="6" t="inlineStr">
        <is>
          <t>DIA</t>
        </is>
      </c>
      <c r="D569" s="6" t="inlineStr">
        <is>
          <t>DIS</t>
        </is>
      </c>
      <c r="E569" s="6" t="inlineStr">
        <is>
          <t>DIS</t>
        </is>
      </c>
      <c r="F569" s="6" t="inlineStr">
        <is>
          <t>-</t>
        </is>
      </c>
      <c r="G569" s="7" t="n">
        <v>89.87351989746094</v>
      </c>
      <c r="H569" s="6">
        <f>P538</f>
        <v/>
      </c>
      <c r="I569" s="9">
        <f>Q538</f>
        <v/>
      </c>
      <c r="J569" s="7">
        <f>I569*G569</f>
        <v/>
      </c>
      <c r="K569" s="8">
        <f>IF($J$590=0,0,J569/$J$590)</f>
        <v/>
      </c>
      <c r="L569" s="6" t="inlineStr">
        <is>
          <t>REJECTED</t>
        </is>
      </c>
      <c r="M569" s="8" t="n">
        <v>0</v>
      </c>
      <c r="N569" s="7">
        <f>M569*$J$590-J569</f>
        <v/>
      </c>
      <c r="O569" s="9">
        <f>IF(G569=0,0,N569/G569)</f>
        <v/>
      </c>
      <c r="P569" s="6">
        <f>IF(M569&gt;0,D569,"")</f>
        <v/>
      </c>
      <c r="Q569" s="9">
        <f>I569+O569</f>
        <v/>
      </c>
      <c r="R569" s="7">
        <f>Q569*G569</f>
        <v/>
      </c>
      <c r="S569" s="8">
        <f>IF($R$590=0,0,R569/$R$590)</f>
        <v/>
      </c>
      <c r="T569" s="8" t="n">
        <v>0</v>
      </c>
      <c r="U569" s="8" t="n">
        <v>-0.01048270146692964</v>
      </c>
      <c r="V569" s="6" t="inlineStr">
        <is>
          <t>not selected</t>
        </is>
      </c>
    </row>
    <row r="570">
      <c r="A570" s="6" t="inlineStr">
        <is>
          <t>DJ30</t>
        </is>
      </c>
      <c r="B570" s="6" t="inlineStr">
        <is>
          <t>2023-05-12</t>
        </is>
      </c>
      <c r="C570" s="6" t="inlineStr">
        <is>
          <t>DIA</t>
        </is>
      </c>
      <c r="D570" s="6" t="inlineStr">
        <is>
          <t>GS</t>
        </is>
      </c>
      <c r="E570" s="6" t="inlineStr">
        <is>
          <t>GS</t>
        </is>
      </c>
      <c r="F570" s="6" t="inlineStr">
        <is>
          <t>-</t>
        </is>
      </c>
      <c r="G570" s="7" t="n">
        <v>295.5700073242188</v>
      </c>
      <c r="H570" s="6">
        <f>P539</f>
        <v/>
      </c>
      <c r="I570" s="9">
        <f>Q539</f>
        <v/>
      </c>
      <c r="J570" s="7">
        <f>I570*G570</f>
        <v/>
      </c>
      <c r="K570" s="8">
        <f>IF($J$590=0,0,J570/$J$590)</f>
        <v/>
      </c>
      <c r="L570" s="6" t="inlineStr">
        <is>
          <t>REJECTED</t>
        </is>
      </c>
      <c r="M570" s="8" t="n">
        <v>0</v>
      </c>
      <c r="N570" s="7">
        <f>M570*$J$590-J570</f>
        <v/>
      </c>
      <c r="O570" s="9">
        <f>IF(G570=0,0,N570/G570)</f>
        <v/>
      </c>
      <c r="P570" s="6">
        <f>IF(M570&gt;0,D570,"")</f>
        <v/>
      </c>
      <c r="Q570" s="9">
        <f>I570+O570</f>
        <v/>
      </c>
      <c r="R570" s="7">
        <f>Q570*G570</f>
        <v/>
      </c>
      <c r="S570" s="8">
        <f>IF($R$590=0,0,R570/$R$590)</f>
        <v/>
      </c>
      <c r="T570" s="8" t="n">
        <v>0</v>
      </c>
      <c r="U570" s="8" t="n">
        <v>-0.01048270146692964</v>
      </c>
      <c r="V570" s="6" t="inlineStr">
        <is>
          <t>not selected</t>
        </is>
      </c>
    </row>
    <row r="571">
      <c r="A571" s="6" t="inlineStr">
        <is>
          <t>DJ30</t>
        </is>
      </c>
      <c r="B571" s="6" t="inlineStr">
        <is>
          <t>2023-05-12</t>
        </is>
      </c>
      <c r="C571" s="6" t="inlineStr">
        <is>
          <t>DIA</t>
        </is>
      </c>
      <c r="D571" s="6" t="inlineStr">
        <is>
          <t>HD</t>
        </is>
      </c>
      <c r="E571" s="6" t="inlineStr">
        <is>
          <t>HD</t>
        </is>
      </c>
      <c r="F571" s="6" t="inlineStr">
        <is>
          <t>-</t>
        </is>
      </c>
      <c r="G571" s="7" t="n">
        <v>267.2832641601562</v>
      </c>
      <c r="H571" s="6">
        <f>P540</f>
        <v/>
      </c>
      <c r="I571" s="9">
        <f>Q540</f>
        <v/>
      </c>
      <c r="J571" s="7">
        <f>I571*G571</f>
        <v/>
      </c>
      <c r="K571" s="8">
        <f>IF($J$590=0,0,J571/$J$590)</f>
        <v/>
      </c>
      <c r="L571" s="6" t="inlineStr">
        <is>
          <t>REJECTED</t>
        </is>
      </c>
      <c r="M571" s="8" t="n">
        <v>0</v>
      </c>
      <c r="N571" s="7">
        <f>M571*$J$590-J571</f>
        <v/>
      </c>
      <c r="O571" s="9">
        <f>IF(G571=0,0,N571/G571)</f>
        <v/>
      </c>
      <c r="P571" s="6">
        <f>IF(M571&gt;0,D571,"")</f>
        <v/>
      </c>
      <c r="Q571" s="9">
        <f>I571+O571</f>
        <v/>
      </c>
      <c r="R571" s="7">
        <f>Q571*G571</f>
        <v/>
      </c>
      <c r="S571" s="8">
        <f>IF($R$590=0,0,R571/$R$590)</f>
        <v/>
      </c>
      <c r="T571" s="8" t="n">
        <v>0</v>
      </c>
      <c r="U571" s="8" t="n">
        <v>-0.01048270146692964</v>
      </c>
      <c r="V571" s="6" t="inlineStr">
        <is>
          <t>not selected</t>
        </is>
      </c>
    </row>
    <row r="572">
      <c r="A572" s="6" t="inlineStr">
        <is>
          <t>DJ30</t>
        </is>
      </c>
      <c r="B572" s="6" t="inlineStr">
        <is>
          <t>2023-05-12</t>
        </is>
      </c>
      <c r="C572" s="6" t="inlineStr">
        <is>
          <t>DIA</t>
        </is>
      </c>
      <c r="D572" s="6" t="inlineStr">
        <is>
          <t>HON</t>
        </is>
      </c>
      <c r="E572" s="6" t="inlineStr">
        <is>
          <t>HON</t>
        </is>
      </c>
      <c r="F572" s="6" t="inlineStr">
        <is>
          <t>-</t>
        </is>
      </c>
      <c r="G572" s="7" t="n">
        <v>171.091796875</v>
      </c>
      <c r="H572" s="6">
        <f>P541</f>
        <v/>
      </c>
      <c r="I572" s="9">
        <f>Q541</f>
        <v/>
      </c>
      <c r="J572" s="7">
        <f>I572*G572</f>
        <v/>
      </c>
      <c r="K572" s="8">
        <f>IF($J$590=0,0,J572/$J$590)</f>
        <v/>
      </c>
      <c r="L572" s="6" t="inlineStr">
        <is>
          <t>REJECTED</t>
        </is>
      </c>
      <c r="M572" s="8" t="n">
        <v>0</v>
      </c>
      <c r="N572" s="7">
        <f>M572*$J$590-J572</f>
        <v/>
      </c>
      <c r="O572" s="9">
        <f>IF(G572=0,0,N572/G572)</f>
        <v/>
      </c>
      <c r="P572" s="6">
        <f>IF(M572&gt;0,D572,"")</f>
        <v/>
      </c>
      <c r="Q572" s="9">
        <f>I572+O572</f>
        <v/>
      </c>
      <c r="R572" s="7">
        <f>Q572*G572</f>
        <v/>
      </c>
      <c r="S572" s="8">
        <f>IF($R$590=0,0,R572/$R$590)</f>
        <v/>
      </c>
      <c r="T572" s="8" t="n">
        <v>0</v>
      </c>
      <c r="U572" s="8" t="n">
        <v>-0.01048270146692964</v>
      </c>
      <c r="V572" s="6" t="inlineStr">
        <is>
          <t>not selected</t>
        </is>
      </c>
    </row>
    <row r="573">
      <c r="A573" s="6" t="inlineStr">
        <is>
          <t>DJ30</t>
        </is>
      </c>
      <c r="B573" s="6" t="inlineStr">
        <is>
          <t>2023-05-12</t>
        </is>
      </c>
      <c r="C573" s="6" t="inlineStr">
        <is>
          <t>DIA</t>
        </is>
      </c>
      <c r="D573" s="6" t="inlineStr">
        <is>
          <t>IBM</t>
        </is>
      </c>
      <c r="E573" s="6" t="inlineStr">
        <is>
          <t>IBM</t>
        </is>
      </c>
      <c r="F573" s="6" t="inlineStr">
        <is>
          <t>-</t>
        </is>
      </c>
      <c r="G573" s="7" t="n">
        <v>111.5110473632812</v>
      </c>
      <c r="H573" s="6">
        <f>P542</f>
        <v/>
      </c>
      <c r="I573" s="9">
        <f>Q542</f>
        <v/>
      </c>
      <c r="J573" s="7">
        <f>I573*G573</f>
        <v/>
      </c>
      <c r="K573" s="8">
        <f>IF($J$590=0,0,J573/$J$590)</f>
        <v/>
      </c>
      <c r="L573" s="6" t="inlineStr">
        <is>
          <t>REJECTED</t>
        </is>
      </c>
      <c r="M573" s="8" t="n">
        <v>0</v>
      </c>
      <c r="N573" s="7">
        <f>M573*$J$590-J573</f>
        <v/>
      </c>
      <c r="O573" s="9">
        <f>IF(G573=0,0,N573/G573)</f>
        <v/>
      </c>
      <c r="P573" s="6">
        <f>IF(M573&gt;0,D573,"")</f>
        <v/>
      </c>
      <c r="Q573" s="9">
        <f>I573+O573</f>
        <v/>
      </c>
      <c r="R573" s="7">
        <f>Q573*G573</f>
        <v/>
      </c>
      <c r="S573" s="8">
        <f>IF($R$590=0,0,R573/$R$590)</f>
        <v/>
      </c>
      <c r="T573" s="8" t="n">
        <v>0</v>
      </c>
      <c r="U573" s="8" t="n">
        <v>-0.01048270146692964</v>
      </c>
      <c r="V573" s="6" t="inlineStr">
        <is>
          <t>not selected</t>
        </is>
      </c>
    </row>
    <row r="574">
      <c r="A574" s="6" t="inlineStr">
        <is>
          <t>DJ30</t>
        </is>
      </c>
      <c r="B574" s="6" t="inlineStr">
        <is>
          <t>2023-05-12</t>
        </is>
      </c>
      <c r="C574" s="6" t="inlineStr">
        <is>
          <t>DIA</t>
        </is>
      </c>
      <c r="D574" s="6" t="inlineStr">
        <is>
          <t>JNJ</t>
        </is>
      </c>
      <c r="E574" s="6" t="inlineStr">
        <is>
          <t>JNJ</t>
        </is>
      </c>
      <c r="F574" s="6" t="inlineStr">
        <is>
          <t>-</t>
        </is>
      </c>
      <c r="G574" s="7" t="n">
        <v>146.1967468261719</v>
      </c>
      <c r="H574" s="6">
        <f>P543</f>
        <v/>
      </c>
      <c r="I574" s="9">
        <f>Q543</f>
        <v/>
      </c>
      <c r="J574" s="7">
        <f>I574*G574</f>
        <v/>
      </c>
      <c r="K574" s="8">
        <f>IF($J$590=0,0,J574/$J$590)</f>
        <v/>
      </c>
      <c r="L574" s="6" t="inlineStr">
        <is>
          <t>REJECTED</t>
        </is>
      </c>
      <c r="M574" s="8" t="n">
        <v>0</v>
      </c>
      <c r="N574" s="7">
        <f>M574*$J$590-J574</f>
        <v/>
      </c>
      <c r="O574" s="9">
        <f>IF(G574=0,0,N574/G574)</f>
        <v/>
      </c>
      <c r="P574" s="6">
        <f>IF(M574&gt;0,D574,"")</f>
        <v/>
      </c>
      <c r="Q574" s="9">
        <f>I574+O574</f>
        <v/>
      </c>
      <c r="R574" s="7">
        <f>Q574*G574</f>
        <v/>
      </c>
      <c r="S574" s="8">
        <f>IF($R$590=0,0,R574/$R$590)</f>
        <v/>
      </c>
      <c r="T574" s="8" t="n">
        <v>0</v>
      </c>
      <c r="U574" s="8" t="n">
        <v>-0.01048270146692964</v>
      </c>
      <c r="V574" s="6" t="inlineStr">
        <is>
          <t>not selected</t>
        </is>
      </c>
    </row>
    <row r="575">
      <c r="A575" s="6" t="inlineStr">
        <is>
          <t>DJ30</t>
        </is>
      </c>
      <c r="B575" s="6" t="inlineStr">
        <is>
          <t>2023-05-12</t>
        </is>
      </c>
      <c r="C575" s="6" t="inlineStr">
        <is>
          <t>DIA</t>
        </is>
      </c>
      <c r="D575" s="6" t="inlineStr">
        <is>
          <t>JPM</t>
        </is>
      </c>
      <c r="E575" s="6" t="inlineStr">
        <is>
          <t>JPM</t>
        </is>
      </c>
      <c r="F575" s="6" t="inlineStr">
        <is>
          <t>-</t>
        </is>
      </c>
      <c r="G575" s="7" t="n">
        <v>125.2407608032227</v>
      </c>
      <c r="H575" s="6">
        <f>P544</f>
        <v/>
      </c>
      <c r="I575" s="9">
        <f>Q544</f>
        <v/>
      </c>
      <c r="J575" s="7">
        <f>I575*G575</f>
        <v/>
      </c>
      <c r="K575" s="8">
        <f>IF($J$590=0,0,J575/$J$590)</f>
        <v/>
      </c>
      <c r="L575" s="6" t="inlineStr">
        <is>
          <t>REJECTED</t>
        </is>
      </c>
      <c r="M575" s="8" t="n">
        <v>0</v>
      </c>
      <c r="N575" s="7">
        <f>M575*$J$590-J575</f>
        <v/>
      </c>
      <c r="O575" s="9">
        <f>IF(G575=0,0,N575/G575)</f>
        <v/>
      </c>
      <c r="P575" s="6">
        <f>IF(M575&gt;0,D575,"")</f>
        <v/>
      </c>
      <c r="Q575" s="9">
        <f>I575+O575</f>
        <v/>
      </c>
      <c r="R575" s="7">
        <f>Q575*G575</f>
        <v/>
      </c>
      <c r="S575" s="8">
        <f>IF($R$590=0,0,R575/$R$590)</f>
        <v/>
      </c>
      <c r="T575" s="8" t="n">
        <v>0</v>
      </c>
      <c r="U575" s="8" t="n">
        <v>-0.01048270146692964</v>
      </c>
      <c r="V575" s="6" t="inlineStr">
        <is>
          <t>not selected</t>
        </is>
      </c>
    </row>
    <row r="576">
      <c r="A576" s="6" t="inlineStr">
        <is>
          <t>DJ30</t>
        </is>
      </c>
      <c r="B576" s="6" t="inlineStr">
        <is>
          <t>2023-05-12</t>
        </is>
      </c>
      <c r="C576" s="6" t="inlineStr">
        <is>
          <t>DIA</t>
        </is>
      </c>
      <c r="D576" s="6" t="inlineStr">
        <is>
          <t>KO</t>
        </is>
      </c>
      <c r="E576" s="6" t="inlineStr">
        <is>
          <t>KO</t>
        </is>
      </c>
      <c r="F576" s="6" t="inlineStr">
        <is>
          <t>-</t>
        </is>
      </c>
      <c r="G576" s="7" t="n">
        <v>58.24922561645508</v>
      </c>
      <c r="H576" s="6">
        <f>P545</f>
        <v/>
      </c>
      <c r="I576" s="9">
        <f>Q545</f>
        <v/>
      </c>
      <c r="J576" s="7">
        <f>I576*G576</f>
        <v/>
      </c>
      <c r="K576" s="8">
        <f>IF($J$590=0,0,J576/$J$590)</f>
        <v/>
      </c>
      <c r="L576" s="6" t="inlineStr">
        <is>
          <t>REJECTED</t>
        </is>
      </c>
      <c r="M576" s="8" t="n">
        <v>0</v>
      </c>
      <c r="N576" s="7">
        <f>M576*$J$590-J576</f>
        <v/>
      </c>
      <c r="O576" s="9">
        <f>IF(G576=0,0,N576/G576)</f>
        <v/>
      </c>
      <c r="P576" s="6">
        <f>IF(M576&gt;0,D576,"")</f>
        <v/>
      </c>
      <c r="Q576" s="9">
        <f>I576+O576</f>
        <v/>
      </c>
      <c r="R576" s="7">
        <f>Q576*G576</f>
        <v/>
      </c>
      <c r="S576" s="8">
        <f>IF($R$590=0,0,R576/$R$590)</f>
        <v/>
      </c>
      <c r="T576" s="8" t="n">
        <v>0</v>
      </c>
      <c r="U576" s="8" t="n">
        <v>-0.01048270146692964</v>
      </c>
      <c r="V576" s="6" t="inlineStr">
        <is>
          <t>not selected</t>
        </is>
      </c>
    </row>
    <row r="577">
      <c r="A577" s="6" t="inlineStr">
        <is>
          <t>DJ30</t>
        </is>
      </c>
      <c r="B577" s="6" t="inlineStr">
        <is>
          <t>2023-05-12</t>
        </is>
      </c>
      <c r="C577" s="6" t="inlineStr">
        <is>
          <t>DIA</t>
        </is>
      </c>
      <c r="D577" s="6" t="inlineStr">
        <is>
          <t>MCD</t>
        </is>
      </c>
      <c r="E577" s="6" t="inlineStr">
        <is>
          <t>MCD</t>
        </is>
      </c>
      <c r="F577" s="6" t="inlineStr">
        <is>
          <t>-</t>
        </is>
      </c>
      <c r="G577" s="7" t="n">
        <v>274.4779663085937</v>
      </c>
      <c r="H577" s="6">
        <f>P546</f>
        <v/>
      </c>
      <c r="I577" s="9">
        <f>Q546</f>
        <v/>
      </c>
      <c r="J577" s="7">
        <f>I577*G577</f>
        <v/>
      </c>
      <c r="K577" s="8">
        <f>IF($J$590=0,0,J577/$J$590)</f>
        <v/>
      </c>
      <c r="L577" s="6" t="inlineStr">
        <is>
          <t>REJECTED</t>
        </is>
      </c>
      <c r="M577" s="8" t="n">
        <v>0</v>
      </c>
      <c r="N577" s="7">
        <f>M577*$J$590-J577</f>
        <v/>
      </c>
      <c r="O577" s="9">
        <f>IF(G577=0,0,N577/G577)</f>
        <v/>
      </c>
      <c r="P577" s="6">
        <f>IF(M577&gt;0,D577,"")</f>
        <v/>
      </c>
      <c r="Q577" s="9">
        <f>I577+O577</f>
        <v/>
      </c>
      <c r="R577" s="7">
        <f>Q577*G577</f>
        <v/>
      </c>
      <c r="S577" s="8">
        <f>IF($R$590=0,0,R577/$R$590)</f>
        <v/>
      </c>
      <c r="T577" s="8" t="n">
        <v>0</v>
      </c>
      <c r="U577" s="8" t="n">
        <v>-0.01048270146692964</v>
      </c>
      <c r="V577" s="6" t="inlineStr">
        <is>
          <t>not selected</t>
        </is>
      </c>
    </row>
    <row r="578">
      <c r="A578" s="6" t="inlineStr">
        <is>
          <t>DJ30</t>
        </is>
      </c>
      <c r="B578" s="6" t="inlineStr">
        <is>
          <t>2023-05-12</t>
        </is>
      </c>
      <c r="C578" s="6" t="inlineStr">
        <is>
          <t>DIA</t>
        </is>
      </c>
      <c r="D578" s="6" t="inlineStr">
        <is>
          <t>MMM</t>
        </is>
      </c>
      <c r="E578" s="6" t="inlineStr">
        <is>
          <t>MMM</t>
        </is>
      </c>
      <c r="F578" s="6" t="inlineStr">
        <is>
          <t>-</t>
        </is>
      </c>
      <c r="G578" s="7" t="n">
        <v>75.25818634033203</v>
      </c>
      <c r="H578" s="6">
        <f>P547</f>
        <v/>
      </c>
      <c r="I578" s="9">
        <f>Q547</f>
        <v/>
      </c>
      <c r="J578" s="7">
        <f>I578*G578</f>
        <v/>
      </c>
      <c r="K578" s="8">
        <f>IF($J$590=0,0,J578/$J$590)</f>
        <v/>
      </c>
      <c r="L578" s="6" t="inlineStr">
        <is>
          <t>REJECTED</t>
        </is>
      </c>
      <c r="M578" s="8" t="n">
        <v>0</v>
      </c>
      <c r="N578" s="7">
        <f>M578*$J$590-J578</f>
        <v/>
      </c>
      <c r="O578" s="9">
        <f>IF(G578=0,0,N578/G578)</f>
        <v/>
      </c>
      <c r="P578" s="6">
        <f>IF(M578&gt;0,D578,"")</f>
        <v/>
      </c>
      <c r="Q578" s="9">
        <f>I578+O578</f>
        <v/>
      </c>
      <c r="R578" s="7">
        <f>Q578*G578</f>
        <v/>
      </c>
      <c r="S578" s="8">
        <f>IF($R$590=0,0,R578/$R$590)</f>
        <v/>
      </c>
      <c r="T578" s="8" t="n">
        <v>0</v>
      </c>
      <c r="U578" s="8" t="n">
        <v>-0.01048270146692964</v>
      </c>
      <c r="V578" s="6" t="inlineStr">
        <is>
          <t>not selected</t>
        </is>
      </c>
    </row>
    <row r="579">
      <c r="A579" s="6" t="inlineStr">
        <is>
          <t>DJ30</t>
        </is>
      </c>
      <c r="B579" s="6" t="inlineStr">
        <is>
          <t>2023-05-12</t>
        </is>
      </c>
      <c r="C579" s="6" t="inlineStr">
        <is>
          <t>DIA</t>
        </is>
      </c>
      <c r="D579" s="6" t="inlineStr">
        <is>
          <t>MRK</t>
        </is>
      </c>
      <c r="E579" s="6" t="inlineStr">
        <is>
          <t>MRK</t>
        </is>
      </c>
      <c r="F579" s="6" t="inlineStr">
        <is>
          <t>-</t>
        </is>
      </c>
      <c r="G579" s="7" t="n">
        <v>106.09375</v>
      </c>
      <c r="H579" s="6">
        <f>P548</f>
        <v/>
      </c>
      <c r="I579" s="9">
        <f>Q548</f>
        <v/>
      </c>
      <c r="J579" s="7">
        <f>I579*G579</f>
        <v/>
      </c>
      <c r="K579" s="8">
        <f>IF($J$590=0,0,J579/$J$590)</f>
        <v/>
      </c>
      <c r="L579" s="6" t="inlineStr">
        <is>
          <t>REJECTED</t>
        </is>
      </c>
      <c r="M579" s="8" t="n">
        <v>0</v>
      </c>
      <c r="N579" s="7">
        <f>M579*$J$590-J579</f>
        <v/>
      </c>
      <c r="O579" s="9">
        <f>IF(G579=0,0,N579/G579)</f>
        <v/>
      </c>
      <c r="P579" s="6">
        <f>IF(M579&gt;0,D579,"")</f>
        <v/>
      </c>
      <c r="Q579" s="9">
        <f>I579+O579</f>
        <v/>
      </c>
      <c r="R579" s="7">
        <f>Q579*G579</f>
        <v/>
      </c>
      <c r="S579" s="8">
        <f>IF($R$590=0,0,R579/$R$590)</f>
        <v/>
      </c>
      <c r="T579" s="8" t="n">
        <v>0</v>
      </c>
      <c r="U579" s="8" t="n">
        <v>-0.01048270146692964</v>
      </c>
      <c r="V579" s="6" t="inlineStr">
        <is>
          <t>not selected</t>
        </is>
      </c>
    </row>
    <row r="580">
      <c r="A580" s="6" t="inlineStr">
        <is>
          <t>DJ30</t>
        </is>
      </c>
      <c r="B580" s="6" t="inlineStr">
        <is>
          <t>2023-05-12</t>
        </is>
      </c>
      <c r="C580" s="6" t="inlineStr">
        <is>
          <t>DIA</t>
        </is>
      </c>
      <c r="D580" s="6" t="inlineStr">
        <is>
          <t>MSFT</t>
        </is>
      </c>
      <c r="E580" s="6" t="inlineStr">
        <is>
          <t>MSFT</t>
        </is>
      </c>
      <c r="F580" s="6" t="inlineStr">
        <is>
          <t>-</t>
        </is>
      </c>
      <c r="G580" s="7" t="n">
        <v>301.1699523925781</v>
      </c>
      <c r="H580" s="6">
        <f>P549</f>
        <v/>
      </c>
      <c r="I580" s="9">
        <f>Q549</f>
        <v/>
      </c>
      <c r="J580" s="7">
        <f>I580*G580</f>
        <v/>
      </c>
      <c r="K580" s="8">
        <f>IF($J$590=0,0,J580/$J$590)</f>
        <v/>
      </c>
      <c r="L580" s="6" t="inlineStr">
        <is>
          <t>REJECTED</t>
        </is>
      </c>
      <c r="M580" s="8" t="n">
        <v>0</v>
      </c>
      <c r="N580" s="7">
        <f>M580*$J$590-J580</f>
        <v/>
      </c>
      <c r="O580" s="9">
        <f>IF(G580=0,0,N580/G580)</f>
        <v/>
      </c>
      <c r="P580" s="6">
        <f>IF(M580&gt;0,D580,"")</f>
        <v/>
      </c>
      <c r="Q580" s="9">
        <f>I580+O580</f>
        <v/>
      </c>
      <c r="R580" s="7">
        <f>Q580*G580</f>
        <v/>
      </c>
      <c r="S580" s="8">
        <f>IF($R$590=0,0,R580/$R$590)</f>
        <v/>
      </c>
      <c r="T580" s="8" t="n">
        <v>0</v>
      </c>
      <c r="U580" s="8" t="n">
        <v>-0.01048270146692964</v>
      </c>
      <c r="V580" s="6" t="inlineStr">
        <is>
          <t>not selected</t>
        </is>
      </c>
    </row>
    <row r="581">
      <c r="A581" s="6" t="inlineStr">
        <is>
          <t>DJ30</t>
        </is>
      </c>
      <c r="B581" s="6" t="inlineStr">
        <is>
          <t>2023-05-12</t>
        </is>
      </c>
      <c r="C581" s="6" t="inlineStr">
        <is>
          <t>DIA</t>
        </is>
      </c>
      <c r="D581" s="6" t="inlineStr">
        <is>
          <t>NKE</t>
        </is>
      </c>
      <c r="E581" s="6" t="inlineStr">
        <is>
          <t>NKE</t>
        </is>
      </c>
      <c r="F581" s="6" t="inlineStr">
        <is>
          <t>-</t>
        </is>
      </c>
      <c r="G581" s="7" t="n">
        <v>112.5606994628906</v>
      </c>
      <c r="H581" s="6">
        <f>P550</f>
        <v/>
      </c>
      <c r="I581" s="9">
        <f>Q550</f>
        <v/>
      </c>
      <c r="J581" s="7">
        <f>I581*G581</f>
        <v/>
      </c>
      <c r="K581" s="8">
        <f>IF($J$590=0,0,J581/$J$590)</f>
        <v/>
      </c>
      <c r="L581" s="6" t="inlineStr">
        <is>
          <t>REJECTED</t>
        </is>
      </c>
      <c r="M581" s="8" t="n">
        <v>0</v>
      </c>
      <c r="N581" s="7">
        <f>M581*$J$590-J581</f>
        <v/>
      </c>
      <c r="O581" s="9">
        <f>IF(G581=0,0,N581/G581)</f>
        <v/>
      </c>
      <c r="P581" s="6">
        <f>IF(M581&gt;0,D581,"")</f>
        <v/>
      </c>
      <c r="Q581" s="9">
        <f>I581+O581</f>
        <v/>
      </c>
      <c r="R581" s="7">
        <f>Q581*G581</f>
        <v/>
      </c>
      <c r="S581" s="8">
        <f>IF($R$590=0,0,R581/$R$590)</f>
        <v/>
      </c>
      <c r="T581" s="8" t="n">
        <v>0</v>
      </c>
      <c r="U581" s="8" t="n">
        <v>-0.01048270146692964</v>
      </c>
      <c r="V581" s="6" t="inlineStr">
        <is>
          <t>not selected</t>
        </is>
      </c>
    </row>
    <row r="582">
      <c r="A582" s="6" t="inlineStr">
        <is>
          <t>DJ30</t>
        </is>
      </c>
      <c r="B582" s="6" t="inlineStr">
        <is>
          <t>2023-05-12</t>
        </is>
      </c>
      <c r="C582" s="6" t="inlineStr">
        <is>
          <t>DIA</t>
        </is>
      </c>
      <c r="D582" s="6" t="inlineStr">
        <is>
          <t>NVDA</t>
        </is>
      </c>
      <c r="E582" s="6" t="inlineStr">
        <is>
          <t>NVDA</t>
        </is>
      </c>
      <c r="F582" s="6" t="inlineStr">
        <is>
          <t>-</t>
        </is>
      </c>
      <c r="G582" s="7" t="n">
        <v>28.2819709777832</v>
      </c>
      <c r="H582" s="6">
        <f>P551</f>
        <v/>
      </c>
      <c r="I582" s="9">
        <f>Q551</f>
        <v/>
      </c>
      <c r="J582" s="7">
        <f>I582*G582</f>
        <v/>
      </c>
      <c r="K582" s="8">
        <f>IF($J$590=0,0,J582/$J$590)</f>
        <v/>
      </c>
      <c r="L582" s="6" t="inlineStr">
        <is>
          <t>REJECTED</t>
        </is>
      </c>
      <c r="M582" s="8" t="n">
        <v>0</v>
      </c>
      <c r="N582" s="7">
        <f>M582*$J$590-J582</f>
        <v/>
      </c>
      <c r="O582" s="9">
        <f>IF(G582=0,0,N582/G582)</f>
        <v/>
      </c>
      <c r="P582" s="6">
        <f>IF(M582&gt;0,D582,"")</f>
        <v/>
      </c>
      <c r="Q582" s="9">
        <f>I582+O582</f>
        <v/>
      </c>
      <c r="R582" s="7">
        <f>Q582*G582</f>
        <v/>
      </c>
      <c r="S582" s="8">
        <f>IF($R$590=0,0,R582/$R$590)</f>
        <v/>
      </c>
      <c r="T582" s="8" t="n">
        <v>0</v>
      </c>
      <c r="U582" s="8" t="n">
        <v>-0.01048270146692964</v>
      </c>
      <c r="V582" s="6" t="inlineStr">
        <is>
          <t>not selected</t>
        </is>
      </c>
    </row>
    <row r="583">
      <c r="A583" s="6" t="inlineStr">
        <is>
          <t>DJ30</t>
        </is>
      </c>
      <c r="B583" s="6" t="inlineStr">
        <is>
          <t>2023-05-12</t>
        </is>
      </c>
      <c r="C583" s="6" t="inlineStr">
        <is>
          <t>DIA</t>
        </is>
      </c>
      <c r="D583" s="6" t="inlineStr">
        <is>
          <t>PG</t>
        </is>
      </c>
      <c r="E583" s="6" t="inlineStr">
        <is>
          <t>PG</t>
        </is>
      </c>
      <c r="F583" s="6" t="inlineStr">
        <is>
          <t>-</t>
        </is>
      </c>
      <c r="G583" s="7" t="n">
        <v>144.2838134765625</v>
      </c>
      <c r="H583" s="6">
        <f>P552</f>
        <v/>
      </c>
      <c r="I583" s="9">
        <f>Q552</f>
        <v/>
      </c>
      <c r="J583" s="7">
        <f>I583*G583</f>
        <v/>
      </c>
      <c r="K583" s="8">
        <f>IF($J$590=0,0,J583/$J$590)</f>
        <v/>
      </c>
      <c r="L583" s="6" t="inlineStr">
        <is>
          <t>REJECTED</t>
        </is>
      </c>
      <c r="M583" s="8" t="n">
        <v>0</v>
      </c>
      <c r="N583" s="7">
        <f>M583*$J$590-J583</f>
        <v/>
      </c>
      <c r="O583" s="9">
        <f>IF(G583=0,0,N583/G583)</f>
        <v/>
      </c>
      <c r="P583" s="6">
        <f>IF(M583&gt;0,D583,"")</f>
        <v/>
      </c>
      <c r="Q583" s="9">
        <f>I583+O583</f>
        <v/>
      </c>
      <c r="R583" s="7">
        <f>Q583*G583</f>
        <v/>
      </c>
      <c r="S583" s="8">
        <f>IF($R$590=0,0,R583/$R$590)</f>
        <v/>
      </c>
      <c r="T583" s="8" t="n">
        <v>0</v>
      </c>
      <c r="U583" s="8" t="n">
        <v>-0.01048270146692964</v>
      </c>
      <c r="V583" s="6" t="inlineStr">
        <is>
          <t>not selected</t>
        </is>
      </c>
    </row>
    <row r="584">
      <c r="A584" s="6" t="inlineStr">
        <is>
          <t>DJ30</t>
        </is>
      </c>
      <c r="B584" s="6" t="inlineStr">
        <is>
          <t>2023-05-12</t>
        </is>
      </c>
      <c r="C584" s="6" t="inlineStr">
        <is>
          <t>DIA</t>
        </is>
      </c>
      <c r="D584" s="6" t="inlineStr">
        <is>
          <t>SHW</t>
        </is>
      </c>
      <c r="E584" s="6" t="inlineStr">
        <is>
          <t>SHW</t>
        </is>
      </c>
      <c r="F584" s="6" t="inlineStr">
        <is>
          <t>-</t>
        </is>
      </c>
      <c r="G584" s="7" t="n">
        <v>220.8897094726562</v>
      </c>
      <c r="H584" s="6">
        <f>P553</f>
        <v/>
      </c>
      <c r="I584" s="9">
        <f>Q553</f>
        <v/>
      </c>
      <c r="J584" s="7">
        <f>I584*G584</f>
        <v/>
      </c>
      <c r="K584" s="8">
        <f>IF($J$590=0,0,J584/$J$590)</f>
        <v/>
      </c>
      <c r="L584" s="6" t="inlineStr">
        <is>
          <t>REJECTED</t>
        </is>
      </c>
      <c r="M584" s="8" t="n">
        <v>0</v>
      </c>
      <c r="N584" s="7">
        <f>M584*$J$590-J584</f>
        <v/>
      </c>
      <c r="O584" s="9">
        <f>IF(G584=0,0,N584/G584)</f>
        <v/>
      </c>
      <c r="P584" s="6">
        <f>IF(M584&gt;0,D584,"")</f>
        <v/>
      </c>
      <c r="Q584" s="9">
        <f>I584+O584</f>
        <v/>
      </c>
      <c r="R584" s="7">
        <f>Q584*G584</f>
        <v/>
      </c>
      <c r="S584" s="8">
        <f>IF($R$590=0,0,R584/$R$590)</f>
        <v/>
      </c>
      <c r="T584" s="8" t="n">
        <v>0</v>
      </c>
      <c r="U584" s="8" t="n">
        <v>-0.01048270146692964</v>
      </c>
      <c r="V584" s="6" t="inlineStr">
        <is>
          <t>not selected</t>
        </is>
      </c>
    </row>
    <row r="585">
      <c r="A585" s="6" t="inlineStr">
        <is>
          <t>DJ30</t>
        </is>
      </c>
      <c r="B585" s="6" t="inlineStr">
        <is>
          <t>2023-05-12</t>
        </is>
      </c>
      <c r="C585" s="6" t="inlineStr">
        <is>
          <t>DIA</t>
        </is>
      </c>
      <c r="D585" s="6" t="inlineStr">
        <is>
          <t>TRV</t>
        </is>
      </c>
      <c r="E585" s="6" t="inlineStr">
        <is>
          <t>TRV</t>
        </is>
      </c>
      <c r="F585" s="6" t="inlineStr">
        <is>
          <t>-</t>
        </is>
      </c>
      <c r="G585" s="7" t="n">
        <v>171.5824890136719</v>
      </c>
      <c r="H585" s="6">
        <f>P554</f>
        <v/>
      </c>
      <c r="I585" s="9">
        <f>Q554</f>
        <v/>
      </c>
      <c r="J585" s="7">
        <f>I585*G585</f>
        <v/>
      </c>
      <c r="K585" s="8">
        <f>IF($J$590=0,0,J585/$J$590)</f>
        <v/>
      </c>
      <c r="L585" s="6" t="inlineStr">
        <is>
          <t>REJECTED</t>
        </is>
      </c>
      <c r="M585" s="8" t="n">
        <v>0</v>
      </c>
      <c r="N585" s="7">
        <f>M585*$J$590-J585</f>
        <v/>
      </c>
      <c r="O585" s="9">
        <f>IF(G585=0,0,N585/G585)</f>
        <v/>
      </c>
      <c r="P585" s="6">
        <f>IF(M585&gt;0,D585,"")</f>
        <v/>
      </c>
      <c r="Q585" s="9">
        <f>I585+O585</f>
        <v/>
      </c>
      <c r="R585" s="7">
        <f>Q585*G585</f>
        <v/>
      </c>
      <c r="S585" s="8">
        <f>IF($R$590=0,0,R585/$R$590)</f>
        <v/>
      </c>
      <c r="T585" s="8" t="n">
        <v>0</v>
      </c>
      <c r="U585" s="8" t="n">
        <v>-0.01048270146692964</v>
      </c>
      <c r="V585" s="6" t="inlineStr">
        <is>
          <t>not selected</t>
        </is>
      </c>
    </row>
    <row r="586">
      <c r="A586" s="6" t="inlineStr">
        <is>
          <t>DJ30</t>
        </is>
      </c>
      <c r="B586" s="6" t="inlineStr">
        <is>
          <t>2023-05-12</t>
        </is>
      </c>
      <c r="C586" s="6" t="inlineStr">
        <is>
          <t>DIA</t>
        </is>
      </c>
      <c r="D586" s="6" t="inlineStr">
        <is>
          <t>UNH</t>
        </is>
      </c>
      <c r="E586" s="6" t="inlineStr">
        <is>
          <t>UNH</t>
        </is>
      </c>
      <c r="F586" s="6" t="inlineStr">
        <is>
          <t>-</t>
        </is>
      </c>
      <c r="G586" s="7" t="n">
        <v>460.4579162597656</v>
      </c>
      <c r="H586" s="6">
        <f>P555</f>
        <v/>
      </c>
      <c r="I586" s="9">
        <f>Q555</f>
        <v/>
      </c>
      <c r="J586" s="7">
        <f>I586*G586</f>
        <v/>
      </c>
      <c r="K586" s="8">
        <f>IF($J$590=0,0,J586/$J$590)</f>
        <v/>
      </c>
      <c r="L586" s="6" t="inlineStr">
        <is>
          <t>REJECTED</t>
        </is>
      </c>
      <c r="M586" s="8" t="n">
        <v>0</v>
      </c>
      <c r="N586" s="7">
        <f>M586*$J$590-J586</f>
        <v/>
      </c>
      <c r="O586" s="9">
        <f>IF(G586=0,0,N586/G586)</f>
        <v/>
      </c>
      <c r="P586" s="6">
        <f>IF(M586&gt;0,D586,"")</f>
        <v/>
      </c>
      <c r="Q586" s="9">
        <f>I586+O586</f>
        <v/>
      </c>
      <c r="R586" s="7">
        <f>Q586*G586</f>
        <v/>
      </c>
      <c r="S586" s="8">
        <f>IF($R$590=0,0,R586/$R$590)</f>
        <v/>
      </c>
      <c r="T586" s="8" t="n">
        <v>0</v>
      </c>
      <c r="U586" s="8" t="n">
        <v>-0.01048270146692964</v>
      </c>
      <c r="V586" s="6" t="inlineStr">
        <is>
          <t>not selected</t>
        </is>
      </c>
    </row>
    <row r="587">
      <c r="A587" s="6" t="inlineStr">
        <is>
          <t>DJ30</t>
        </is>
      </c>
      <c r="B587" s="6" t="inlineStr">
        <is>
          <t>2023-05-12</t>
        </is>
      </c>
      <c r="C587" s="6" t="inlineStr">
        <is>
          <t>DIA</t>
        </is>
      </c>
      <c r="D587" s="6" t="inlineStr">
        <is>
          <t>V</t>
        </is>
      </c>
      <c r="E587" s="6" t="inlineStr">
        <is>
          <t>V</t>
        </is>
      </c>
      <c r="F587" s="6" t="inlineStr">
        <is>
          <t>-</t>
        </is>
      </c>
      <c r="G587" s="7" t="n">
        <v>226.1578369140625</v>
      </c>
      <c r="H587" s="6">
        <f>P556</f>
        <v/>
      </c>
      <c r="I587" s="9">
        <f>Q556</f>
        <v/>
      </c>
      <c r="J587" s="7">
        <f>I587*G587</f>
        <v/>
      </c>
      <c r="K587" s="8">
        <f>IF($J$590=0,0,J587/$J$590)</f>
        <v/>
      </c>
      <c r="L587" s="6" t="inlineStr">
        <is>
          <t>REJECTED</t>
        </is>
      </c>
      <c r="M587" s="8" t="n">
        <v>0</v>
      </c>
      <c r="N587" s="7">
        <f>M587*$J$590-J587</f>
        <v/>
      </c>
      <c r="O587" s="9">
        <f>IF(G587=0,0,N587/G587)</f>
        <v/>
      </c>
      <c r="P587" s="6">
        <f>IF(M587&gt;0,D587,"")</f>
        <v/>
      </c>
      <c r="Q587" s="9">
        <f>I587+O587</f>
        <v/>
      </c>
      <c r="R587" s="7">
        <f>Q587*G587</f>
        <v/>
      </c>
      <c r="S587" s="8">
        <f>IF($R$590=0,0,R587/$R$590)</f>
        <v/>
      </c>
      <c r="T587" s="8" t="n">
        <v>0</v>
      </c>
      <c r="U587" s="8" t="n">
        <v>-0.01048270146692964</v>
      </c>
      <c r="V587" s="6" t="inlineStr">
        <is>
          <t>not selected</t>
        </is>
      </c>
    </row>
    <row r="588">
      <c r="A588" s="6" t="inlineStr">
        <is>
          <t>DJ30</t>
        </is>
      </c>
      <c r="B588" s="6" t="inlineStr">
        <is>
          <t>2023-05-12</t>
        </is>
      </c>
      <c r="C588" s="6" t="inlineStr">
        <is>
          <t>DIA</t>
        </is>
      </c>
      <c r="D588" s="6" t="inlineStr">
        <is>
          <t>VZ</t>
        </is>
      </c>
      <c r="E588" s="6" t="inlineStr">
        <is>
          <t>VZ</t>
        </is>
      </c>
      <c r="F588" s="6" t="inlineStr">
        <is>
          <t>-</t>
        </is>
      </c>
      <c r="G588" s="7" t="n">
        <v>30.71198081970215</v>
      </c>
      <c r="H588" s="6">
        <f>P557</f>
        <v/>
      </c>
      <c r="I588" s="9">
        <f>Q557</f>
        <v/>
      </c>
      <c r="J588" s="7">
        <f>I588*G588</f>
        <v/>
      </c>
      <c r="K588" s="8">
        <f>IF($J$590=0,0,J588/$J$590)</f>
        <v/>
      </c>
      <c r="L588" s="6" t="inlineStr">
        <is>
          <t>REJECTED</t>
        </is>
      </c>
      <c r="M588" s="8" t="n">
        <v>0</v>
      </c>
      <c r="N588" s="7">
        <f>M588*$J$590-J588</f>
        <v/>
      </c>
      <c r="O588" s="9">
        <f>IF(G588=0,0,N588/G588)</f>
        <v/>
      </c>
      <c r="P588" s="6">
        <f>IF(M588&gt;0,D588,"")</f>
        <v/>
      </c>
      <c r="Q588" s="9">
        <f>I588+O588</f>
        <v/>
      </c>
      <c r="R588" s="7">
        <f>Q588*G588</f>
        <v/>
      </c>
      <c r="S588" s="8">
        <f>IF($R$590=0,0,R588/$R$590)</f>
        <v/>
      </c>
      <c r="T588" s="8" t="n">
        <v>0</v>
      </c>
      <c r="U588" s="8" t="n">
        <v>-0.01048270146692964</v>
      </c>
      <c r="V588" s="6" t="inlineStr">
        <is>
          <t>not selected</t>
        </is>
      </c>
    </row>
    <row r="589">
      <c r="A589" s="6" t="inlineStr">
        <is>
          <t>DJ30</t>
        </is>
      </c>
      <c r="B589" s="6" t="inlineStr">
        <is>
          <t>2023-05-12</t>
        </is>
      </c>
      <c r="C589" s="6" t="inlineStr">
        <is>
          <t>DIA</t>
        </is>
      </c>
      <c r="D589" s="6" t="inlineStr">
        <is>
          <t>WMT</t>
        </is>
      </c>
      <c r="E589" s="6" t="inlineStr">
        <is>
          <t>WMT</t>
        </is>
      </c>
      <c r="F589" s="6" t="inlineStr">
        <is>
          <t>-</t>
        </is>
      </c>
      <c r="G589" s="7" t="n">
        <v>49.38412475585938</v>
      </c>
      <c r="H589" s="6">
        <f>P558</f>
        <v/>
      </c>
      <c r="I589" s="9">
        <f>Q558</f>
        <v/>
      </c>
      <c r="J589" s="7">
        <f>I589*G589</f>
        <v/>
      </c>
      <c r="K589" s="8">
        <f>IF($J$590=0,0,J589/$J$590)</f>
        <v/>
      </c>
      <c r="L589" s="6" t="inlineStr">
        <is>
          <t>REJECTED</t>
        </is>
      </c>
      <c r="M589" s="8" t="n">
        <v>0</v>
      </c>
      <c r="N589" s="7">
        <f>M589*$J$590-J589</f>
        <v/>
      </c>
      <c r="O589" s="9">
        <f>IF(G589=0,0,N589/G589)</f>
        <v/>
      </c>
      <c r="P589" s="6">
        <f>IF(M589&gt;0,D589,"")</f>
        <v/>
      </c>
      <c r="Q589" s="9">
        <f>I589+O589</f>
        <v/>
      </c>
      <c r="R589" s="7">
        <f>Q589*G589</f>
        <v/>
      </c>
      <c r="S589" s="8">
        <f>IF($R$590=0,0,R589/$R$590)</f>
        <v/>
      </c>
      <c r="T589" s="8" t="n">
        <v>0</v>
      </c>
      <c r="U589" s="8" t="n">
        <v>-0.01048270146692964</v>
      </c>
      <c r="V589" s="6" t="inlineStr">
        <is>
          <t>not selected</t>
        </is>
      </c>
    </row>
    <row r="590">
      <c r="A590" s="10" t="inlineStr">
        <is>
          <t>DJ30</t>
        </is>
      </c>
      <c r="B590" s="10" t="inlineStr">
        <is>
          <t>2023-05-12</t>
        </is>
      </c>
      <c r="C590" s="10" t="inlineStr">
        <is>
          <t>DIA</t>
        </is>
      </c>
      <c r="D590" s="10" t="inlineStr">
        <is>
          <t>Tot Portfolio</t>
        </is>
      </c>
      <c r="E590" s="10" t="inlineStr"/>
      <c r="F590" s="10" t="inlineStr"/>
      <c r="G590" s="11" t="inlineStr"/>
      <c r="H590" s="10" t="inlineStr"/>
      <c r="I590" s="12" t="inlineStr"/>
      <c r="J590" s="11">
        <f>SUM(J560:J589)</f>
        <v/>
      </c>
      <c r="K590" s="13">
        <f>SUM(K560:K589)</f>
        <v/>
      </c>
      <c r="L590" s="10" t="inlineStr">
        <is>
          <t>TOTAL</t>
        </is>
      </c>
      <c r="M590" s="13">
        <f>SUM(M560:M589)</f>
        <v/>
      </c>
      <c r="N590" s="11">
        <f>SUM(N560:N589)</f>
        <v/>
      </c>
      <c r="O590" s="12">
        <f>SUM(O560:O589)</f>
        <v/>
      </c>
      <c r="P590" s="10" t="inlineStr"/>
      <c r="Q590" s="12" t="inlineStr"/>
      <c r="R590" s="11">
        <f>SUM(R560:R589)</f>
        <v/>
      </c>
      <c r="S590" s="13">
        <f>SUM(S560:S589)</f>
        <v/>
      </c>
      <c r="T590" s="13" t="n">
        <v>0</v>
      </c>
      <c r="U590" s="13" t="n">
        <v>-0.01048270146692964</v>
      </c>
      <c r="V590" s="10" t="inlineStr"/>
    </row>
    <row r="591">
      <c r="A591" s="6" t="inlineStr">
        <is>
          <t>DJ30</t>
        </is>
      </c>
      <c r="B591" s="6" t="inlineStr">
        <is>
          <t>2023-05-19</t>
        </is>
      </c>
      <c r="C591" s="6" t="inlineStr">
        <is>
          <t>DIA</t>
        </is>
      </c>
      <c r="D591" s="6" t="inlineStr">
        <is>
          <t>AAPL</t>
        </is>
      </c>
      <c r="E591" s="6" t="inlineStr">
        <is>
          <t>AAPL</t>
        </is>
      </c>
      <c r="F591" s="6" t="inlineStr">
        <is>
          <t>-</t>
        </is>
      </c>
      <c r="G591" s="7" t="n">
        <v>172.7383575439453</v>
      </c>
      <c r="H591" s="6">
        <f>P560</f>
        <v/>
      </c>
      <c r="I591" s="9">
        <f>Q560</f>
        <v/>
      </c>
      <c r="J591" s="7">
        <f>I591*G591</f>
        <v/>
      </c>
      <c r="K591" s="8">
        <f>IF($J$621=0,0,J591/$J$621)</f>
        <v/>
      </c>
      <c r="L591" s="6" t="inlineStr">
        <is>
          <t>REJECTED</t>
        </is>
      </c>
      <c r="M591" s="8" t="n">
        <v>0</v>
      </c>
      <c r="N591" s="7">
        <f>M591*$J$621-J591</f>
        <v/>
      </c>
      <c r="O591" s="9">
        <f>IF(G591=0,0,N591/G591)</f>
        <v/>
      </c>
      <c r="P591" s="6">
        <f>IF(M591&gt;0,D591,"")</f>
        <v/>
      </c>
      <c r="Q591" s="9">
        <f>I591+O591</f>
        <v/>
      </c>
      <c r="R591" s="7">
        <f>Q591*G591</f>
        <v/>
      </c>
      <c r="S591" s="8">
        <f>IF($R$621=0,0,R591/$R$621)</f>
        <v/>
      </c>
      <c r="T591" s="8" t="n">
        <v>0</v>
      </c>
      <c r="U591" s="8" t="n">
        <v>0.005142405025053254</v>
      </c>
      <c r="V591" s="6" t="inlineStr">
        <is>
          <t>not selected</t>
        </is>
      </c>
    </row>
    <row r="592">
      <c r="A592" s="6" t="inlineStr">
        <is>
          <t>DJ30</t>
        </is>
      </c>
      <c r="B592" s="6" t="inlineStr">
        <is>
          <t>2023-05-19</t>
        </is>
      </c>
      <c r="C592" s="6" t="inlineStr">
        <is>
          <t>DIA</t>
        </is>
      </c>
      <c r="D592" s="6" t="inlineStr">
        <is>
          <t>AMGN</t>
        </is>
      </c>
      <c r="E592" s="6" t="inlineStr">
        <is>
          <t>AMGN</t>
        </is>
      </c>
      <c r="F592" s="6" t="inlineStr">
        <is>
          <t>-</t>
        </is>
      </c>
      <c r="G592" s="7" t="n">
        <v>203.7560577392578</v>
      </c>
      <c r="H592" s="6">
        <f>P561</f>
        <v/>
      </c>
      <c r="I592" s="9">
        <f>Q561</f>
        <v/>
      </c>
      <c r="J592" s="7">
        <f>I592*G592</f>
        <v/>
      </c>
      <c r="K592" s="8">
        <f>IF($J$621=0,0,J592/$J$621)</f>
        <v/>
      </c>
      <c r="L592" s="6" t="inlineStr">
        <is>
          <t>REJECTED</t>
        </is>
      </c>
      <c r="M592" s="8" t="n">
        <v>0</v>
      </c>
      <c r="N592" s="7">
        <f>M592*$J$621-J592</f>
        <v/>
      </c>
      <c r="O592" s="9">
        <f>IF(G592=0,0,N592/G592)</f>
        <v/>
      </c>
      <c r="P592" s="6">
        <f>IF(M592&gt;0,D592,"")</f>
        <v/>
      </c>
      <c r="Q592" s="9">
        <f>I592+O592</f>
        <v/>
      </c>
      <c r="R592" s="7">
        <f>Q592*G592</f>
        <v/>
      </c>
      <c r="S592" s="8">
        <f>IF($R$621=0,0,R592/$R$621)</f>
        <v/>
      </c>
      <c r="T592" s="8" t="n">
        <v>0</v>
      </c>
      <c r="U592" s="8" t="n">
        <v>0.005142405025053254</v>
      </c>
      <c r="V592" s="6" t="inlineStr">
        <is>
          <t>not selected</t>
        </is>
      </c>
    </row>
    <row r="593">
      <c r="A593" s="6" t="inlineStr">
        <is>
          <t>DJ30</t>
        </is>
      </c>
      <c r="B593" s="6" t="inlineStr">
        <is>
          <t>2023-05-19</t>
        </is>
      </c>
      <c r="C593" s="6" t="inlineStr">
        <is>
          <t>DIA</t>
        </is>
      </c>
      <c r="D593" s="6" t="inlineStr">
        <is>
          <t>AMZN</t>
        </is>
      </c>
      <c r="E593" s="6" t="inlineStr">
        <is>
          <t>AMZN</t>
        </is>
      </c>
      <c r="F593" s="6" t="inlineStr">
        <is>
          <t>-</t>
        </is>
      </c>
      <c r="G593" s="7" t="n">
        <v>116.25</v>
      </c>
      <c r="H593" s="6">
        <f>P562</f>
        <v/>
      </c>
      <c r="I593" s="9">
        <f>Q562</f>
        <v/>
      </c>
      <c r="J593" s="7">
        <f>I593*G593</f>
        <v/>
      </c>
      <c r="K593" s="8">
        <f>IF($J$621=0,0,J593/$J$621)</f>
        <v/>
      </c>
      <c r="L593" s="6" t="inlineStr">
        <is>
          <t>REJECTED</t>
        </is>
      </c>
      <c r="M593" s="8" t="n">
        <v>0</v>
      </c>
      <c r="N593" s="7">
        <f>M593*$J$621-J593</f>
        <v/>
      </c>
      <c r="O593" s="9">
        <f>IF(G593=0,0,N593/G593)</f>
        <v/>
      </c>
      <c r="P593" s="6">
        <f>IF(M593&gt;0,D593,"")</f>
        <v/>
      </c>
      <c r="Q593" s="9">
        <f>I593+O593</f>
        <v/>
      </c>
      <c r="R593" s="7">
        <f>Q593*G593</f>
        <v/>
      </c>
      <c r="S593" s="8">
        <f>IF($R$621=0,0,R593/$R$621)</f>
        <v/>
      </c>
      <c r="T593" s="8" t="n">
        <v>0</v>
      </c>
      <c r="U593" s="8" t="n">
        <v>0.005142405025053254</v>
      </c>
      <c r="V593" s="6" t="inlineStr">
        <is>
          <t>not selected</t>
        </is>
      </c>
    </row>
    <row r="594">
      <c r="A594" s="6" t="inlineStr">
        <is>
          <t>DJ30</t>
        </is>
      </c>
      <c r="B594" s="6" t="inlineStr">
        <is>
          <t>2023-05-19</t>
        </is>
      </c>
      <c r="C594" s="6" t="inlineStr">
        <is>
          <t>DIA</t>
        </is>
      </c>
      <c r="D594" s="6" t="inlineStr">
        <is>
          <t>AXP</t>
        </is>
      </c>
      <c r="E594" s="6" t="inlineStr">
        <is>
          <t>AXP</t>
        </is>
      </c>
      <c r="F594" s="6" t="inlineStr">
        <is>
          <t>-</t>
        </is>
      </c>
      <c r="G594" s="7" t="n">
        <v>147.6130828857422</v>
      </c>
      <c r="H594" s="6">
        <f>P563</f>
        <v/>
      </c>
      <c r="I594" s="9">
        <f>Q563</f>
        <v/>
      </c>
      <c r="J594" s="7">
        <f>I594*G594</f>
        <v/>
      </c>
      <c r="K594" s="8">
        <f>IF($J$621=0,0,J594/$J$621)</f>
        <v/>
      </c>
      <c r="L594" s="6" t="inlineStr">
        <is>
          <t>REJECTED</t>
        </is>
      </c>
      <c r="M594" s="8" t="n">
        <v>0</v>
      </c>
      <c r="N594" s="7">
        <f>M594*$J$621-J594</f>
        <v/>
      </c>
      <c r="O594" s="9">
        <f>IF(G594=0,0,N594/G594)</f>
        <v/>
      </c>
      <c r="P594" s="6">
        <f>IF(M594&gt;0,D594,"")</f>
        <v/>
      </c>
      <c r="Q594" s="9">
        <f>I594+O594</f>
        <v/>
      </c>
      <c r="R594" s="7">
        <f>Q594*G594</f>
        <v/>
      </c>
      <c r="S594" s="8">
        <f>IF($R$621=0,0,R594/$R$621)</f>
        <v/>
      </c>
      <c r="T594" s="8" t="n">
        <v>0</v>
      </c>
      <c r="U594" s="8" t="n">
        <v>0.005142405025053254</v>
      </c>
      <c r="V594" s="6" t="inlineStr">
        <is>
          <t>not selected</t>
        </is>
      </c>
    </row>
    <row r="595">
      <c r="A595" s="6" t="inlineStr">
        <is>
          <t>DJ30</t>
        </is>
      </c>
      <c r="B595" s="6" t="inlineStr">
        <is>
          <t>2023-05-19</t>
        </is>
      </c>
      <c r="C595" s="6" t="inlineStr">
        <is>
          <t>DIA</t>
        </is>
      </c>
      <c r="D595" s="6" t="inlineStr">
        <is>
          <t>BA</t>
        </is>
      </c>
      <c r="E595" s="6" t="inlineStr">
        <is>
          <t>BA</t>
        </is>
      </c>
      <c r="F595" s="6" t="inlineStr">
        <is>
          <t>-</t>
        </is>
      </c>
      <c r="G595" s="7" t="n">
        <v>205.4900054931641</v>
      </c>
      <c r="H595" s="6">
        <f>P564</f>
        <v/>
      </c>
      <c r="I595" s="9">
        <f>Q564</f>
        <v/>
      </c>
      <c r="J595" s="7">
        <f>I595*G595</f>
        <v/>
      </c>
      <c r="K595" s="8">
        <f>IF($J$621=0,0,J595/$J$621)</f>
        <v/>
      </c>
      <c r="L595" s="6" t="inlineStr">
        <is>
          <t>REJECTED</t>
        </is>
      </c>
      <c r="M595" s="8" t="n">
        <v>0</v>
      </c>
      <c r="N595" s="7">
        <f>M595*$J$621-J595</f>
        <v/>
      </c>
      <c r="O595" s="9">
        <f>IF(G595=0,0,N595/G595)</f>
        <v/>
      </c>
      <c r="P595" s="6">
        <f>IF(M595&gt;0,D595,"")</f>
        <v/>
      </c>
      <c r="Q595" s="9">
        <f>I595+O595</f>
        <v/>
      </c>
      <c r="R595" s="7">
        <f>Q595*G595</f>
        <v/>
      </c>
      <c r="S595" s="8">
        <f>IF($R$621=0,0,R595/$R$621)</f>
        <v/>
      </c>
      <c r="T595" s="8" t="n">
        <v>0</v>
      </c>
      <c r="U595" s="8" t="n">
        <v>0.005142405025053254</v>
      </c>
      <c r="V595" s="6" t="inlineStr">
        <is>
          <t>not selected</t>
        </is>
      </c>
    </row>
    <row r="596">
      <c r="A596" s="6" t="inlineStr">
        <is>
          <t>DJ30</t>
        </is>
      </c>
      <c r="B596" s="6" t="inlineStr">
        <is>
          <t>2023-05-19</t>
        </is>
      </c>
      <c r="C596" s="6" t="inlineStr">
        <is>
          <t>DIA</t>
        </is>
      </c>
      <c r="D596" s="6" t="inlineStr">
        <is>
          <t>CAT</t>
        </is>
      </c>
      <c r="E596" s="6" t="inlineStr">
        <is>
          <t>CAT</t>
        </is>
      </c>
      <c r="F596" s="6" t="inlineStr">
        <is>
          <t>-</t>
        </is>
      </c>
      <c r="G596" s="7" t="n">
        <v>205.2813873291016</v>
      </c>
      <c r="H596" s="6">
        <f>P565</f>
        <v/>
      </c>
      <c r="I596" s="9">
        <f>Q565</f>
        <v/>
      </c>
      <c r="J596" s="7">
        <f>I596*G596</f>
        <v/>
      </c>
      <c r="K596" s="8">
        <f>IF($J$621=0,0,J596/$J$621)</f>
        <v/>
      </c>
      <c r="L596" s="6" t="inlineStr">
        <is>
          <t>REJECTED</t>
        </is>
      </c>
      <c r="M596" s="8" t="n">
        <v>0</v>
      </c>
      <c r="N596" s="7">
        <f>M596*$J$621-J596</f>
        <v/>
      </c>
      <c r="O596" s="9">
        <f>IF(G596=0,0,N596/G596)</f>
        <v/>
      </c>
      <c r="P596" s="6">
        <f>IF(M596&gt;0,D596,"")</f>
        <v/>
      </c>
      <c r="Q596" s="9">
        <f>I596+O596</f>
        <v/>
      </c>
      <c r="R596" s="7">
        <f>Q596*G596</f>
        <v/>
      </c>
      <c r="S596" s="8">
        <f>IF($R$621=0,0,R596/$R$621)</f>
        <v/>
      </c>
      <c r="T596" s="8" t="n">
        <v>0</v>
      </c>
      <c r="U596" s="8" t="n">
        <v>0.005142405025053254</v>
      </c>
      <c r="V596" s="6" t="inlineStr">
        <is>
          <t>not selected</t>
        </is>
      </c>
    </row>
    <row r="597">
      <c r="A597" s="6" t="inlineStr">
        <is>
          <t>DJ30</t>
        </is>
      </c>
      <c r="B597" s="6" t="inlineStr">
        <is>
          <t>2023-05-19</t>
        </is>
      </c>
      <c r="C597" s="6" t="inlineStr">
        <is>
          <t>DIA</t>
        </is>
      </c>
      <c r="D597" s="6" t="inlineStr">
        <is>
          <t>CRM</t>
        </is>
      </c>
      <c r="E597" s="6" t="inlineStr">
        <is>
          <t>CRM</t>
        </is>
      </c>
      <c r="F597" s="6" t="inlineStr">
        <is>
          <t>-</t>
        </is>
      </c>
      <c r="G597" s="7" t="n">
        <v>206.7825622558593</v>
      </c>
      <c r="H597" s="6">
        <f>P566</f>
        <v/>
      </c>
      <c r="I597" s="9">
        <f>Q566</f>
        <v/>
      </c>
      <c r="J597" s="7">
        <f>I597*G597</f>
        <v/>
      </c>
      <c r="K597" s="8">
        <f>IF($J$621=0,0,J597/$J$621)</f>
        <v/>
      </c>
      <c r="L597" s="6" t="inlineStr">
        <is>
          <t>REJECTED</t>
        </is>
      </c>
      <c r="M597" s="8" t="n">
        <v>0</v>
      </c>
      <c r="N597" s="7">
        <f>M597*$J$621-J597</f>
        <v/>
      </c>
      <c r="O597" s="9">
        <f>IF(G597=0,0,N597/G597)</f>
        <v/>
      </c>
      <c r="P597" s="6">
        <f>IF(M597&gt;0,D597,"")</f>
        <v/>
      </c>
      <c r="Q597" s="9">
        <f>I597+O597</f>
        <v/>
      </c>
      <c r="R597" s="7">
        <f>Q597*G597</f>
        <v/>
      </c>
      <c r="S597" s="8">
        <f>IF($R$621=0,0,R597/$R$621)</f>
        <v/>
      </c>
      <c r="T597" s="8" t="n">
        <v>0</v>
      </c>
      <c r="U597" s="8" t="n">
        <v>0.005142405025053254</v>
      </c>
      <c r="V597" s="6" t="inlineStr">
        <is>
          <t>not selected</t>
        </is>
      </c>
    </row>
    <row r="598">
      <c r="A598" s="6" t="inlineStr">
        <is>
          <t>DJ30</t>
        </is>
      </c>
      <c r="B598" s="6" t="inlineStr">
        <is>
          <t>2023-05-19</t>
        </is>
      </c>
      <c r="C598" s="6" t="inlineStr">
        <is>
          <t>DIA</t>
        </is>
      </c>
      <c r="D598" s="6" t="inlineStr">
        <is>
          <t>CSCO</t>
        </is>
      </c>
      <c r="E598" s="6" t="inlineStr">
        <is>
          <t>CSCO</t>
        </is>
      </c>
      <c r="F598" s="6" t="inlineStr">
        <is>
          <t>-</t>
        </is>
      </c>
      <c r="G598" s="7" t="n">
        <v>45.21754455566406</v>
      </c>
      <c r="H598" s="6">
        <f>P567</f>
        <v/>
      </c>
      <c r="I598" s="9">
        <f>Q567</f>
        <v/>
      </c>
      <c r="J598" s="7">
        <f>I598*G598</f>
        <v/>
      </c>
      <c r="K598" s="8">
        <f>IF($J$621=0,0,J598/$J$621)</f>
        <v/>
      </c>
      <c r="L598" s="6" t="inlineStr">
        <is>
          <t>REJECTED</t>
        </is>
      </c>
      <c r="M598" s="8" t="n">
        <v>0</v>
      </c>
      <c r="N598" s="7">
        <f>M598*$J$621-J598</f>
        <v/>
      </c>
      <c r="O598" s="9">
        <f>IF(G598=0,0,N598/G598)</f>
        <v/>
      </c>
      <c r="P598" s="6">
        <f>IF(M598&gt;0,D598,"")</f>
        <v/>
      </c>
      <c r="Q598" s="9">
        <f>I598+O598</f>
        <v/>
      </c>
      <c r="R598" s="7">
        <f>Q598*G598</f>
        <v/>
      </c>
      <c r="S598" s="8">
        <f>IF($R$621=0,0,R598/$R$621)</f>
        <v/>
      </c>
      <c r="T598" s="8" t="n">
        <v>0</v>
      </c>
      <c r="U598" s="8" t="n">
        <v>0.005142405025053254</v>
      </c>
      <c r="V598" s="6" t="inlineStr">
        <is>
          <t>not selected</t>
        </is>
      </c>
    </row>
    <row r="599">
      <c r="A599" s="6" t="inlineStr">
        <is>
          <t>DJ30</t>
        </is>
      </c>
      <c r="B599" s="6" t="inlineStr">
        <is>
          <t>2023-05-19</t>
        </is>
      </c>
      <c r="C599" s="6" t="inlineStr">
        <is>
          <t>DIA</t>
        </is>
      </c>
      <c r="D599" s="6" t="inlineStr">
        <is>
          <t>CVX</t>
        </is>
      </c>
      <c r="E599" s="6" t="inlineStr">
        <is>
          <t>CVX</t>
        </is>
      </c>
      <c r="F599" s="6" t="inlineStr">
        <is>
          <t>-</t>
        </is>
      </c>
      <c r="G599" s="7" t="n">
        <v>136.8067932128906</v>
      </c>
      <c r="H599" s="6">
        <f>P568</f>
        <v/>
      </c>
      <c r="I599" s="9">
        <f>Q568</f>
        <v/>
      </c>
      <c r="J599" s="7">
        <f>I599*G599</f>
        <v/>
      </c>
      <c r="K599" s="8">
        <f>IF($J$621=0,0,J599/$J$621)</f>
        <v/>
      </c>
      <c r="L599" s="6" t="inlineStr">
        <is>
          <t>REJECTED</t>
        </is>
      </c>
      <c r="M599" s="8" t="n">
        <v>0</v>
      </c>
      <c r="N599" s="7">
        <f>M599*$J$621-J599</f>
        <v/>
      </c>
      <c r="O599" s="9">
        <f>IF(G599=0,0,N599/G599)</f>
        <v/>
      </c>
      <c r="P599" s="6">
        <f>IF(M599&gt;0,D599,"")</f>
        <v/>
      </c>
      <c r="Q599" s="9">
        <f>I599+O599</f>
        <v/>
      </c>
      <c r="R599" s="7">
        <f>Q599*G599</f>
        <v/>
      </c>
      <c r="S599" s="8">
        <f>IF($R$621=0,0,R599/$R$621)</f>
        <v/>
      </c>
      <c r="T599" s="8" t="n">
        <v>0</v>
      </c>
      <c r="U599" s="8" t="n">
        <v>0.005142405025053254</v>
      </c>
      <c r="V599" s="6" t="inlineStr">
        <is>
          <t>not selected</t>
        </is>
      </c>
    </row>
    <row r="600">
      <c r="A600" s="6" t="inlineStr">
        <is>
          <t>DJ30</t>
        </is>
      </c>
      <c r="B600" s="6" t="inlineStr">
        <is>
          <t>2023-05-19</t>
        </is>
      </c>
      <c r="C600" s="6" t="inlineStr">
        <is>
          <t>DIA</t>
        </is>
      </c>
      <c r="D600" s="6" t="inlineStr">
        <is>
          <t>DIS</t>
        </is>
      </c>
      <c r="E600" s="6" t="inlineStr">
        <is>
          <t>DIS</t>
        </is>
      </c>
      <c r="F600" s="6" t="inlineStr">
        <is>
          <t>-</t>
        </is>
      </c>
      <c r="G600" s="7" t="n">
        <v>89.24825286865234</v>
      </c>
      <c r="H600" s="6">
        <f>P569</f>
        <v/>
      </c>
      <c r="I600" s="9">
        <f>Q569</f>
        <v/>
      </c>
      <c r="J600" s="7">
        <f>I600*G600</f>
        <v/>
      </c>
      <c r="K600" s="8">
        <f>IF($J$621=0,0,J600/$J$621)</f>
        <v/>
      </c>
      <c r="L600" s="6" t="inlineStr">
        <is>
          <t>REJECTED</t>
        </is>
      </c>
      <c r="M600" s="8" t="n">
        <v>0</v>
      </c>
      <c r="N600" s="7">
        <f>M600*$J$621-J600</f>
        <v/>
      </c>
      <c r="O600" s="9">
        <f>IF(G600=0,0,N600/G600)</f>
        <v/>
      </c>
      <c r="P600" s="6">
        <f>IF(M600&gt;0,D600,"")</f>
        <v/>
      </c>
      <c r="Q600" s="9">
        <f>I600+O600</f>
        <v/>
      </c>
      <c r="R600" s="7">
        <f>Q600*G600</f>
        <v/>
      </c>
      <c r="S600" s="8">
        <f>IF($R$621=0,0,R600/$R$621)</f>
        <v/>
      </c>
      <c r="T600" s="8" t="n">
        <v>0</v>
      </c>
      <c r="U600" s="8" t="n">
        <v>0.005142405025053254</v>
      </c>
      <c r="V600" s="6" t="inlineStr">
        <is>
          <t>not selected</t>
        </is>
      </c>
    </row>
    <row r="601">
      <c r="A601" s="6" t="inlineStr">
        <is>
          <t>DJ30</t>
        </is>
      </c>
      <c r="B601" s="6" t="inlineStr">
        <is>
          <t>2023-05-19</t>
        </is>
      </c>
      <c r="C601" s="6" t="inlineStr">
        <is>
          <t>DIA</t>
        </is>
      </c>
      <c r="D601" s="6" t="inlineStr">
        <is>
          <t>GS</t>
        </is>
      </c>
      <c r="E601" s="6" t="inlineStr">
        <is>
          <t>GS</t>
        </is>
      </c>
      <c r="F601" s="6" t="inlineStr">
        <is>
          <t>-</t>
        </is>
      </c>
      <c r="G601" s="7" t="n">
        <v>301.7218933105469</v>
      </c>
      <c r="H601" s="6">
        <f>P570</f>
        <v/>
      </c>
      <c r="I601" s="9">
        <f>Q570</f>
        <v/>
      </c>
      <c r="J601" s="7">
        <f>I601*G601</f>
        <v/>
      </c>
      <c r="K601" s="8">
        <f>IF($J$621=0,0,J601/$J$621)</f>
        <v/>
      </c>
      <c r="L601" s="6" t="inlineStr">
        <is>
          <t>REJECTED</t>
        </is>
      </c>
      <c r="M601" s="8" t="n">
        <v>0</v>
      </c>
      <c r="N601" s="7">
        <f>M601*$J$621-J601</f>
        <v/>
      </c>
      <c r="O601" s="9">
        <f>IF(G601=0,0,N601/G601)</f>
        <v/>
      </c>
      <c r="P601" s="6">
        <f>IF(M601&gt;0,D601,"")</f>
        <v/>
      </c>
      <c r="Q601" s="9">
        <f>I601+O601</f>
        <v/>
      </c>
      <c r="R601" s="7">
        <f>Q601*G601</f>
        <v/>
      </c>
      <c r="S601" s="8">
        <f>IF($R$621=0,0,R601/$R$621)</f>
        <v/>
      </c>
      <c r="T601" s="8" t="n">
        <v>0</v>
      </c>
      <c r="U601" s="8" t="n">
        <v>0.005142405025053254</v>
      </c>
      <c r="V601" s="6" t="inlineStr">
        <is>
          <t>not selected</t>
        </is>
      </c>
    </row>
    <row r="602">
      <c r="A602" s="6" t="inlineStr">
        <is>
          <t>DJ30</t>
        </is>
      </c>
      <c r="B602" s="6" t="inlineStr">
        <is>
          <t>2023-05-19</t>
        </is>
      </c>
      <c r="C602" s="6" t="inlineStr">
        <is>
          <t>DIA</t>
        </is>
      </c>
      <c r="D602" s="6" t="inlineStr">
        <is>
          <t>HD</t>
        </is>
      </c>
      <c r="E602" s="6" t="inlineStr">
        <is>
          <t>HD</t>
        </is>
      </c>
      <c r="F602" s="6" t="inlineStr">
        <is>
          <t>-</t>
        </is>
      </c>
      <c r="G602" s="7" t="n">
        <v>267.6606140136719</v>
      </c>
      <c r="H602" s="6">
        <f>P571</f>
        <v/>
      </c>
      <c r="I602" s="9">
        <f>Q571</f>
        <v/>
      </c>
      <c r="J602" s="7">
        <f>I602*G602</f>
        <v/>
      </c>
      <c r="K602" s="8">
        <f>IF($J$621=0,0,J602/$J$621)</f>
        <v/>
      </c>
      <c r="L602" s="6" t="inlineStr">
        <is>
          <t>REJECTED</t>
        </is>
      </c>
      <c r="M602" s="8" t="n">
        <v>0</v>
      </c>
      <c r="N602" s="7">
        <f>M602*$J$621-J602</f>
        <v/>
      </c>
      <c r="O602" s="9">
        <f>IF(G602=0,0,N602/G602)</f>
        <v/>
      </c>
      <c r="P602" s="6">
        <f>IF(M602&gt;0,D602,"")</f>
        <v/>
      </c>
      <c r="Q602" s="9">
        <f>I602+O602</f>
        <v/>
      </c>
      <c r="R602" s="7">
        <f>Q602*G602</f>
        <v/>
      </c>
      <c r="S602" s="8">
        <f>IF($R$621=0,0,R602/$R$621)</f>
        <v/>
      </c>
      <c r="T602" s="8" t="n">
        <v>0</v>
      </c>
      <c r="U602" s="8" t="n">
        <v>0.005142405025053254</v>
      </c>
      <c r="V602" s="6" t="inlineStr">
        <is>
          <t>not selected</t>
        </is>
      </c>
    </row>
    <row r="603">
      <c r="A603" s="6" t="inlineStr">
        <is>
          <t>DJ30</t>
        </is>
      </c>
      <c r="B603" s="6" t="inlineStr">
        <is>
          <t>2023-05-19</t>
        </is>
      </c>
      <c r="C603" s="6" t="inlineStr">
        <is>
          <t>DIA</t>
        </is>
      </c>
      <c r="D603" s="6" t="inlineStr">
        <is>
          <t>HON</t>
        </is>
      </c>
      <c r="E603" s="6" t="inlineStr">
        <is>
          <t>HON</t>
        </is>
      </c>
      <c r="F603" s="6" t="inlineStr">
        <is>
          <t>-</t>
        </is>
      </c>
      <c r="G603" s="7" t="n">
        <v>174.3877868652344</v>
      </c>
      <c r="H603" s="6">
        <f>P572</f>
        <v/>
      </c>
      <c r="I603" s="9">
        <f>Q572</f>
        <v/>
      </c>
      <c r="J603" s="7">
        <f>I603*G603</f>
        <v/>
      </c>
      <c r="K603" s="8">
        <f>IF($J$621=0,0,J603/$J$621)</f>
        <v/>
      </c>
      <c r="L603" s="6" t="inlineStr">
        <is>
          <t>REJECTED</t>
        </is>
      </c>
      <c r="M603" s="8" t="n">
        <v>0</v>
      </c>
      <c r="N603" s="7">
        <f>M603*$J$621-J603</f>
        <v/>
      </c>
      <c r="O603" s="9">
        <f>IF(G603=0,0,N603/G603)</f>
        <v/>
      </c>
      <c r="P603" s="6">
        <f>IF(M603&gt;0,D603,"")</f>
        <v/>
      </c>
      <c r="Q603" s="9">
        <f>I603+O603</f>
        <v/>
      </c>
      <c r="R603" s="7">
        <f>Q603*G603</f>
        <v/>
      </c>
      <c r="S603" s="8">
        <f>IF($R$621=0,0,R603/$R$621)</f>
        <v/>
      </c>
      <c r="T603" s="8" t="n">
        <v>0</v>
      </c>
      <c r="U603" s="8" t="n">
        <v>0.005142405025053254</v>
      </c>
      <c r="V603" s="6" t="inlineStr">
        <is>
          <t>not selected</t>
        </is>
      </c>
    </row>
    <row r="604">
      <c r="A604" s="6" t="inlineStr">
        <is>
          <t>DJ30</t>
        </is>
      </c>
      <c r="B604" s="6" t="inlineStr">
        <is>
          <t>2023-05-19</t>
        </is>
      </c>
      <c r="C604" s="6" t="inlineStr">
        <is>
          <t>DIA</t>
        </is>
      </c>
      <c r="D604" s="6" t="inlineStr">
        <is>
          <t>IBM</t>
        </is>
      </c>
      <c r="E604" s="6" t="inlineStr">
        <is>
          <t>IBM</t>
        </is>
      </c>
      <c r="F604" s="6" t="inlineStr">
        <is>
          <t>-</t>
        </is>
      </c>
      <c r="G604" s="7" t="n">
        <v>115.5234222412109</v>
      </c>
      <c r="H604" s="6">
        <f>P573</f>
        <v/>
      </c>
      <c r="I604" s="9">
        <f>Q573</f>
        <v/>
      </c>
      <c r="J604" s="7">
        <f>I604*G604</f>
        <v/>
      </c>
      <c r="K604" s="8">
        <f>IF($J$621=0,0,J604/$J$621)</f>
        <v/>
      </c>
      <c r="L604" s="6" t="inlineStr">
        <is>
          <t>REJECTED</t>
        </is>
      </c>
      <c r="M604" s="8" t="n">
        <v>0</v>
      </c>
      <c r="N604" s="7">
        <f>M604*$J$621-J604</f>
        <v/>
      </c>
      <c r="O604" s="9">
        <f>IF(G604=0,0,N604/G604)</f>
        <v/>
      </c>
      <c r="P604" s="6">
        <f>IF(M604&gt;0,D604,"")</f>
        <v/>
      </c>
      <c r="Q604" s="9">
        <f>I604+O604</f>
        <v/>
      </c>
      <c r="R604" s="7">
        <f>Q604*G604</f>
        <v/>
      </c>
      <c r="S604" s="8">
        <f>IF($R$621=0,0,R604/$R$621)</f>
        <v/>
      </c>
      <c r="T604" s="8" t="n">
        <v>0</v>
      </c>
      <c r="U604" s="8" t="n">
        <v>0.005142405025053254</v>
      </c>
      <c r="V604" s="6" t="inlineStr">
        <is>
          <t>not selected</t>
        </is>
      </c>
    </row>
    <row r="605">
      <c r="A605" s="6" t="inlineStr">
        <is>
          <t>DJ30</t>
        </is>
      </c>
      <c r="B605" s="6" t="inlineStr">
        <is>
          <t>2023-05-19</t>
        </is>
      </c>
      <c r="C605" s="6" t="inlineStr">
        <is>
          <t>DIA</t>
        </is>
      </c>
      <c r="D605" s="6" t="inlineStr">
        <is>
          <t>JNJ</t>
        </is>
      </c>
      <c r="E605" s="6" t="inlineStr">
        <is>
          <t>JNJ</t>
        </is>
      </c>
      <c r="F605" s="6" t="inlineStr">
        <is>
          <t>-</t>
        </is>
      </c>
      <c r="G605" s="7" t="n">
        <v>144.4963836669922</v>
      </c>
      <c r="H605" s="6">
        <f>P574</f>
        <v/>
      </c>
      <c r="I605" s="9">
        <f>Q574</f>
        <v/>
      </c>
      <c r="J605" s="7">
        <f>I605*G605</f>
        <v/>
      </c>
      <c r="K605" s="8">
        <f>IF($J$621=0,0,J605/$J$621)</f>
        <v/>
      </c>
      <c r="L605" s="6" t="inlineStr">
        <is>
          <t>REJECTED</t>
        </is>
      </c>
      <c r="M605" s="8" t="n">
        <v>0</v>
      </c>
      <c r="N605" s="7">
        <f>M605*$J$621-J605</f>
        <v/>
      </c>
      <c r="O605" s="9">
        <f>IF(G605=0,0,N605/G605)</f>
        <v/>
      </c>
      <c r="P605" s="6">
        <f>IF(M605&gt;0,D605,"")</f>
        <v/>
      </c>
      <c r="Q605" s="9">
        <f>I605+O605</f>
        <v/>
      </c>
      <c r="R605" s="7">
        <f>Q605*G605</f>
        <v/>
      </c>
      <c r="S605" s="8">
        <f>IF($R$621=0,0,R605/$R$621)</f>
        <v/>
      </c>
      <c r="T605" s="8" t="n">
        <v>0</v>
      </c>
      <c r="U605" s="8" t="n">
        <v>0.005142405025053254</v>
      </c>
      <c r="V605" s="6" t="inlineStr">
        <is>
          <t>not selected</t>
        </is>
      </c>
    </row>
    <row r="606">
      <c r="A606" s="6" t="inlineStr">
        <is>
          <t>DJ30</t>
        </is>
      </c>
      <c r="B606" s="6" t="inlineStr">
        <is>
          <t>2023-05-19</t>
        </is>
      </c>
      <c r="C606" s="6" t="inlineStr">
        <is>
          <t>DIA</t>
        </is>
      </c>
      <c r="D606" s="6" t="inlineStr">
        <is>
          <t>JPM</t>
        </is>
      </c>
      <c r="E606" s="6" t="inlineStr">
        <is>
          <t>JPM</t>
        </is>
      </c>
      <c r="F606" s="6" t="inlineStr">
        <is>
          <t>-</t>
        </is>
      </c>
      <c r="G606" s="7" t="n">
        <v>129.9851684570312</v>
      </c>
      <c r="H606" s="6">
        <f>P575</f>
        <v/>
      </c>
      <c r="I606" s="9">
        <f>Q575</f>
        <v/>
      </c>
      <c r="J606" s="7">
        <f>I606*G606</f>
        <v/>
      </c>
      <c r="K606" s="8">
        <f>IF($J$621=0,0,J606/$J$621)</f>
        <v/>
      </c>
      <c r="L606" s="6" t="inlineStr">
        <is>
          <t>REJECTED</t>
        </is>
      </c>
      <c r="M606" s="8" t="n">
        <v>0</v>
      </c>
      <c r="N606" s="7">
        <f>M606*$J$621-J606</f>
        <v/>
      </c>
      <c r="O606" s="9">
        <f>IF(G606=0,0,N606/G606)</f>
        <v/>
      </c>
      <c r="P606" s="6">
        <f>IF(M606&gt;0,D606,"")</f>
        <v/>
      </c>
      <c r="Q606" s="9">
        <f>I606+O606</f>
        <v/>
      </c>
      <c r="R606" s="7">
        <f>Q606*G606</f>
        <v/>
      </c>
      <c r="S606" s="8">
        <f>IF($R$621=0,0,R606/$R$621)</f>
        <v/>
      </c>
      <c r="T606" s="8" t="n">
        <v>0</v>
      </c>
      <c r="U606" s="8" t="n">
        <v>0.005142405025053254</v>
      </c>
      <c r="V606" s="6" t="inlineStr">
        <is>
          <t>not selected</t>
        </is>
      </c>
    </row>
    <row r="607">
      <c r="A607" s="6" t="inlineStr">
        <is>
          <t>DJ30</t>
        </is>
      </c>
      <c r="B607" s="6" t="inlineStr">
        <is>
          <t>2023-05-19</t>
        </is>
      </c>
      <c r="C607" s="6" t="inlineStr">
        <is>
          <t>DIA</t>
        </is>
      </c>
      <c r="D607" s="6" t="inlineStr">
        <is>
          <t>KO</t>
        </is>
      </c>
      <c r="E607" s="6" t="inlineStr">
        <is>
          <t>KO</t>
        </is>
      </c>
      <c r="F607" s="6" t="inlineStr">
        <is>
          <t>-</t>
        </is>
      </c>
      <c r="G607" s="7" t="n">
        <v>57.08623504638672</v>
      </c>
      <c r="H607" s="6">
        <f>P576</f>
        <v/>
      </c>
      <c r="I607" s="9">
        <f>Q576</f>
        <v/>
      </c>
      <c r="J607" s="7">
        <f>I607*G607</f>
        <v/>
      </c>
      <c r="K607" s="8">
        <f>IF($J$621=0,0,J607/$J$621)</f>
        <v/>
      </c>
      <c r="L607" s="6" t="inlineStr">
        <is>
          <t>REJECTED</t>
        </is>
      </c>
      <c r="M607" s="8" t="n">
        <v>0</v>
      </c>
      <c r="N607" s="7">
        <f>M607*$J$621-J607</f>
        <v/>
      </c>
      <c r="O607" s="9">
        <f>IF(G607=0,0,N607/G607)</f>
        <v/>
      </c>
      <c r="P607" s="6">
        <f>IF(M607&gt;0,D607,"")</f>
        <v/>
      </c>
      <c r="Q607" s="9">
        <f>I607+O607</f>
        <v/>
      </c>
      <c r="R607" s="7">
        <f>Q607*G607</f>
        <v/>
      </c>
      <c r="S607" s="8">
        <f>IF($R$621=0,0,R607/$R$621)</f>
        <v/>
      </c>
      <c r="T607" s="8" t="n">
        <v>0</v>
      </c>
      <c r="U607" s="8" t="n">
        <v>0.005142405025053254</v>
      </c>
      <c r="V607" s="6" t="inlineStr">
        <is>
          <t>not selected</t>
        </is>
      </c>
    </row>
    <row r="608">
      <c r="A608" s="6" t="inlineStr">
        <is>
          <t>DJ30</t>
        </is>
      </c>
      <c r="B608" s="6" t="inlineStr">
        <is>
          <t>2023-05-19</t>
        </is>
      </c>
      <c r="C608" s="6" t="inlineStr">
        <is>
          <t>DIA</t>
        </is>
      </c>
      <c r="D608" s="6" t="inlineStr">
        <is>
          <t>MCD</t>
        </is>
      </c>
      <c r="E608" s="6" t="inlineStr">
        <is>
          <t>MCD</t>
        </is>
      </c>
      <c r="F608" s="6" t="inlineStr">
        <is>
          <t>-</t>
        </is>
      </c>
      <c r="G608" s="7" t="n">
        <v>273.9311218261719</v>
      </c>
      <c r="H608" s="6">
        <f>P577</f>
        <v/>
      </c>
      <c r="I608" s="9">
        <f>Q577</f>
        <v/>
      </c>
      <c r="J608" s="7">
        <f>I608*G608</f>
        <v/>
      </c>
      <c r="K608" s="8">
        <f>IF($J$621=0,0,J608/$J$621)</f>
        <v/>
      </c>
      <c r="L608" s="6" t="inlineStr">
        <is>
          <t>REJECTED</t>
        </is>
      </c>
      <c r="M608" s="8" t="n">
        <v>0</v>
      </c>
      <c r="N608" s="7">
        <f>M608*$J$621-J608</f>
        <v/>
      </c>
      <c r="O608" s="9">
        <f>IF(G608=0,0,N608/G608)</f>
        <v/>
      </c>
      <c r="P608" s="6">
        <f>IF(M608&gt;0,D608,"")</f>
        <v/>
      </c>
      <c r="Q608" s="9">
        <f>I608+O608</f>
        <v/>
      </c>
      <c r="R608" s="7">
        <f>Q608*G608</f>
        <v/>
      </c>
      <c r="S608" s="8">
        <f>IF($R$621=0,0,R608/$R$621)</f>
        <v/>
      </c>
      <c r="T608" s="8" t="n">
        <v>0</v>
      </c>
      <c r="U608" s="8" t="n">
        <v>0.005142405025053254</v>
      </c>
      <c r="V608" s="6" t="inlineStr">
        <is>
          <t>not selected</t>
        </is>
      </c>
    </row>
    <row r="609">
      <c r="A609" s="6" t="inlineStr">
        <is>
          <t>DJ30</t>
        </is>
      </c>
      <c r="B609" s="6" t="inlineStr">
        <is>
          <t>2023-05-19</t>
        </is>
      </c>
      <c r="C609" s="6" t="inlineStr">
        <is>
          <t>DIA</t>
        </is>
      </c>
      <c r="D609" s="6" t="inlineStr">
        <is>
          <t>MMM</t>
        </is>
      </c>
      <c r="E609" s="6" t="inlineStr">
        <is>
          <t>MMM</t>
        </is>
      </c>
      <c r="F609" s="6" t="inlineStr">
        <is>
          <t>-</t>
        </is>
      </c>
      <c r="G609" s="7" t="n">
        <v>75.45731353759766</v>
      </c>
      <c r="H609" s="6">
        <f>P578</f>
        <v/>
      </c>
      <c r="I609" s="9">
        <f>Q578</f>
        <v/>
      </c>
      <c r="J609" s="7">
        <f>I609*G609</f>
        <v/>
      </c>
      <c r="K609" s="8">
        <f>IF($J$621=0,0,J609/$J$621)</f>
        <v/>
      </c>
      <c r="L609" s="6" t="inlineStr">
        <is>
          <t>REJECTED</t>
        </is>
      </c>
      <c r="M609" s="8" t="n">
        <v>0</v>
      </c>
      <c r="N609" s="7">
        <f>M609*$J$621-J609</f>
        <v/>
      </c>
      <c r="O609" s="9">
        <f>IF(G609=0,0,N609/G609)</f>
        <v/>
      </c>
      <c r="P609" s="6">
        <f>IF(M609&gt;0,D609,"")</f>
        <v/>
      </c>
      <c r="Q609" s="9">
        <f>I609+O609</f>
        <v/>
      </c>
      <c r="R609" s="7">
        <f>Q609*G609</f>
        <v/>
      </c>
      <c r="S609" s="8">
        <f>IF($R$621=0,0,R609/$R$621)</f>
        <v/>
      </c>
      <c r="T609" s="8" t="n">
        <v>0</v>
      </c>
      <c r="U609" s="8" t="n">
        <v>0.005142405025053254</v>
      </c>
      <c r="V609" s="6" t="inlineStr">
        <is>
          <t>not selected</t>
        </is>
      </c>
    </row>
    <row r="610">
      <c r="A610" s="6" t="inlineStr">
        <is>
          <t>DJ30</t>
        </is>
      </c>
      <c r="B610" s="6" t="inlineStr">
        <is>
          <t>2023-05-19</t>
        </is>
      </c>
      <c r="C610" s="6" t="inlineStr">
        <is>
          <t>DIA</t>
        </is>
      </c>
      <c r="D610" s="6" t="inlineStr">
        <is>
          <t>MRK</t>
        </is>
      </c>
      <c r="E610" s="6" t="inlineStr">
        <is>
          <t>MRK</t>
        </is>
      </c>
      <c r="F610" s="6" t="inlineStr">
        <is>
          <t>-</t>
        </is>
      </c>
      <c r="G610" s="7" t="n">
        <v>104.5993499755859</v>
      </c>
      <c r="H610" s="6">
        <f>P579</f>
        <v/>
      </c>
      <c r="I610" s="9">
        <f>Q579</f>
        <v/>
      </c>
      <c r="J610" s="7">
        <f>I610*G610</f>
        <v/>
      </c>
      <c r="K610" s="8">
        <f>IF($J$621=0,0,J610/$J$621)</f>
        <v/>
      </c>
      <c r="L610" s="6" t="inlineStr">
        <is>
          <t>REJECTED</t>
        </is>
      </c>
      <c r="M610" s="8" t="n">
        <v>0</v>
      </c>
      <c r="N610" s="7">
        <f>M610*$J$621-J610</f>
        <v/>
      </c>
      <c r="O610" s="9">
        <f>IF(G610=0,0,N610/G610)</f>
        <v/>
      </c>
      <c r="P610" s="6">
        <f>IF(M610&gt;0,D610,"")</f>
        <v/>
      </c>
      <c r="Q610" s="9">
        <f>I610+O610</f>
        <v/>
      </c>
      <c r="R610" s="7">
        <f>Q610*G610</f>
        <v/>
      </c>
      <c r="S610" s="8">
        <f>IF($R$621=0,0,R610/$R$621)</f>
        <v/>
      </c>
      <c r="T610" s="8" t="n">
        <v>0</v>
      </c>
      <c r="U610" s="8" t="n">
        <v>0.005142405025053254</v>
      </c>
      <c r="V610" s="6" t="inlineStr">
        <is>
          <t>not selected</t>
        </is>
      </c>
    </row>
    <row r="611">
      <c r="A611" s="6" t="inlineStr">
        <is>
          <t>DJ30</t>
        </is>
      </c>
      <c r="B611" s="6" t="inlineStr">
        <is>
          <t>2023-05-19</t>
        </is>
      </c>
      <c r="C611" s="6" t="inlineStr">
        <is>
          <t>DIA</t>
        </is>
      </c>
      <c r="D611" s="6" t="inlineStr">
        <is>
          <t>MSFT</t>
        </is>
      </c>
      <c r="E611" s="6" t="inlineStr">
        <is>
          <t>MSFT</t>
        </is>
      </c>
      <c r="F611" s="6" t="inlineStr">
        <is>
          <t>-</t>
        </is>
      </c>
      <c r="G611" s="7" t="n">
        <v>310.9817504882812</v>
      </c>
      <c r="H611" s="6">
        <f>P580</f>
        <v/>
      </c>
      <c r="I611" s="9">
        <f>Q580</f>
        <v/>
      </c>
      <c r="J611" s="7">
        <f>I611*G611</f>
        <v/>
      </c>
      <c r="K611" s="8">
        <f>IF($J$621=0,0,J611/$J$621)</f>
        <v/>
      </c>
      <c r="L611" s="6" t="inlineStr">
        <is>
          <t>REJECTED</t>
        </is>
      </c>
      <c r="M611" s="8" t="n">
        <v>0</v>
      </c>
      <c r="N611" s="7">
        <f>M611*$J$621-J611</f>
        <v/>
      </c>
      <c r="O611" s="9">
        <f>IF(G611=0,0,N611/G611)</f>
        <v/>
      </c>
      <c r="P611" s="6">
        <f>IF(M611&gt;0,D611,"")</f>
        <v/>
      </c>
      <c r="Q611" s="9">
        <f>I611+O611</f>
        <v/>
      </c>
      <c r="R611" s="7">
        <f>Q611*G611</f>
        <v/>
      </c>
      <c r="S611" s="8">
        <f>IF($R$621=0,0,R611/$R$621)</f>
        <v/>
      </c>
      <c r="T611" s="8" t="n">
        <v>0</v>
      </c>
      <c r="U611" s="8" t="n">
        <v>0.005142405025053254</v>
      </c>
      <c r="V611" s="6" t="inlineStr">
        <is>
          <t>not selected</t>
        </is>
      </c>
    </row>
    <row r="612">
      <c r="A612" s="6" t="inlineStr">
        <is>
          <t>DJ30</t>
        </is>
      </c>
      <c r="B612" s="6" t="inlineStr">
        <is>
          <t>2023-05-19</t>
        </is>
      </c>
      <c r="C612" s="6" t="inlineStr">
        <is>
          <t>DIA</t>
        </is>
      </c>
      <c r="D612" s="6" t="inlineStr">
        <is>
          <t>NKE</t>
        </is>
      </c>
      <c r="E612" s="6" t="inlineStr">
        <is>
          <t>NKE</t>
        </is>
      </c>
      <c r="F612" s="6" t="inlineStr">
        <is>
          <t>-</t>
        </is>
      </c>
      <c r="G612" s="7" t="n">
        <v>107.4575042724609</v>
      </c>
      <c r="H612" s="6">
        <f>P581</f>
        <v/>
      </c>
      <c r="I612" s="9">
        <f>Q581</f>
        <v/>
      </c>
      <c r="J612" s="7">
        <f>I612*G612</f>
        <v/>
      </c>
      <c r="K612" s="8">
        <f>IF($J$621=0,0,J612/$J$621)</f>
        <v/>
      </c>
      <c r="L612" s="6" t="inlineStr">
        <is>
          <t>REJECTED</t>
        </is>
      </c>
      <c r="M612" s="8" t="n">
        <v>0</v>
      </c>
      <c r="N612" s="7">
        <f>M612*$J$621-J612</f>
        <v/>
      </c>
      <c r="O612" s="9">
        <f>IF(G612=0,0,N612/G612)</f>
        <v/>
      </c>
      <c r="P612" s="6">
        <f>IF(M612&gt;0,D612,"")</f>
        <v/>
      </c>
      <c r="Q612" s="9">
        <f>I612+O612</f>
        <v/>
      </c>
      <c r="R612" s="7">
        <f>Q612*G612</f>
        <v/>
      </c>
      <c r="S612" s="8">
        <f>IF($R$621=0,0,R612/$R$621)</f>
        <v/>
      </c>
      <c r="T612" s="8" t="n">
        <v>0</v>
      </c>
      <c r="U612" s="8" t="n">
        <v>0.005142405025053254</v>
      </c>
      <c r="V612" s="6" t="inlineStr">
        <is>
          <t>not selected</t>
        </is>
      </c>
    </row>
    <row r="613">
      <c r="A613" s="6" t="inlineStr">
        <is>
          <t>DJ30</t>
        </is>
      </c>
      <c r="B613" s="6" t="inlineStr">
        <is>
          <t>2023-05-19</t>
        </is>
      </c>
      <c r="C613" s="6" t="inlineStr">
        <is>
          <t>DIA</t>
        </is>
      </c>
      <c r="D613" s="6" t="inlineStr">
        <is>
          <t>NVDA</t>
        </is>
      </c>
      <c r="E613" s="6" t="inlineStr">
        <is>
          <t>NVDA</t>
        </is>
      </c>
      <c r="F613" s="6" t="inlineStr">
        <is>
          <t>-</t>
        </is>
      </c>
      <c r="G613" s="7" t="n">
        <v>31.19998550415039</v>
      </c>
      <c r="H613" s="6">
        <f>P582</f>
        <v/>
      </c>
      <c r="I613" s="9">
        <f>Q582</f>
        <v/>
      </c>
      <c r="J613" s="7">
        <f>I613*G613</f>
        <v/>
      </c>
      <c r="K613" s="8">
        <f>IF($J$621=0,0,J613/$J$621)</f>
        <v/>
      </c>
      <c r="L613" s="6" t="inlineStr">
        <is>
          <t>REJECTED</t>
        </is>
      </c>
      <c r="M613" s="8" t="n">
        <v>0</v>
      </c>
      <c r="N613" s="7">
        <f>M613*$J$621-J613</f>
        <v/>
      </c>
      <c r="O613" s="9">
        <f>IF(G613=0,0,N613/G613)</f>
        <v/>
      </c>
      <c r="P613" s="6">
        <f>IF(M613&gt;0,D613,"")</f>
        <v/>
      </c>
      <c r="Q613" s="9">
        <f>I613+O613</f>
        <v/>
      </c>
      <c r="R613" s="7">
        <f>Q613*G613</f>
        <v/>
      </c>
      <c r="S613" s="8">
        <f>IF($R$621=0,0,R613/$R$621)</f>
        <v/>
      </c>
      <c r="T613" s="8" t="n">
        <v>0</v>
      </c>
      <c r="U613" s="8" t="n">
        <v>0.005142405025053254</v>
      </c>
      <c r="V613" s="6" t="inlineStr">
        <is>
          <t>not selected</t>
        </is>
      </c>
    </row>
    <row r="614">
      <c r="A614" s="6" t="inlineStr">
        <is>
          <t>DJ30</t>
        </is>
      </c>
      <c r="B614" s="6" t="inlineStr">
        <is>
          <t>2023-05-19</t>
        </is>
      </c>
      <c r="C614" s="6" t="inlineStr">
        <is>
          <t>DIA</t>
        </is>
      </c>
      <c r="D614" s="6" t="inlineStr">
        <is>
          <t>PG</t>
        </is>
      </c>
      <c r="E614" s="6" t="inlineStr">
        <is>
          <t>PG</t>
        </is>
      </c>
      <c r="F614" s="6" t="inlineStr">
        <is>
          <t>-</t>
        </is>
      </c>
      <c r="G614" s="7" t="n">
        <v>141.7026672363281</v>
      </c>
      <c r="H614" s="6">
        <f>P583</f>
        <v/>
      </c>
      <c r="I614" s="9">
        <f>Q583</f>
        <v/>
      </c>
      <c r="J614" s="7">
        <f>I614*G614</f>
        <v/>
      </c>
      <c r="K614" s="8">
        <f>IF($J$621=0,0,J614/$J$621)</f>
        <v/>
      </c>
      <c r="L614" s="6" t="inlineStr">
        <is>
          <t>REJECTED</t>
        </is>
      </c>
      <c r="M614" s="8" t="n">
        <v>0</v>
      </c>
      <c r="N614" s="7">
        <f>M614*$J$621-J614</f>
        <v/>
      </c>
      <c r="O614" s="9">
        <f>IF(G614=0,0,N614/G614)</f>
        <v/>
      </c>
      <c r="P614" s="6">
        <f>IF(M614&gt;0,D614,"")</f>
        <v/>
      </c>
      <c r="Q614" s="9">
        <f>I614+O614</f>
        <v/>
      </c>
      <c r="R614" s="7">
        <f>Q614*G614</f>
        <v/>
      </c>
      <c r="S614" s="8">
        <f>IF($R$621=0,0,R614/$R$621)</f>
        <v/>
      </c>
      <c r="T614" s="8" t="n">
        <v>0</v>
      </c>
      <c r="U614" s="8" t="n">
        <v>0.005142405025053254</v>
      </c>
      <c r="V614" s="6" t="inlineStr">
        <is>
          <t>not selected</t>
        </is>
      </c>
    </row>
    <row r="615">
      <c r="A615" s="6" t="inlineStr">
        <is>
          <t>DJ30</t>
        </is>
      </c>
      <c r="B615" s="6" t="inlineStr">
        <is>
          <t>2023-05-19</t>
        </is>
      </c>
      <c r="C615" s="6" t="inlineStr">
        <is>
          <t>DIA</t>
        </is>
      </c>
      <c r="D615" s="6" t="inlineStr">
        <is>
          <t>SHW</t>
        </is>
      </c>
      <c r="E615" s="6" t="inlineStr">
        <is>
          <t>SHW</t>
        </is>
      </c>
      <c r="F615" s="6" t="inlineStr">
        <is>
          <t>-</t>
        </is>
      </c>
      <c r="G615" s="7" t="n">
        <v>226.6786193847656</v>
      </c>
      <c r="H615" s="6">
        <f>P584</f>
        <v/>
      </c>
      <c r="I615" s="9">
        <f>Q584</f>
        <v/>
      </c>
      <c r="J615" s="7">
        <f>I615*G615</f>
        <v/>
      </c>
      <c r="K615" s="8">
        <f>IF($J$621=0,0,J615/$J$621)</f>
        <v/>
      </c>
      <c r="L615" s="6" t="inlineStr">
        <is>
          <t>REJECTED</t>
        </is>
      </c>
      <c r="M615" s="8" t="n">
        <v>0</v>
      </c>
      <c r="N615" s="7">
        <f>M615*$J$621-J615</f>
        <v/>
      </c>
      <c r="O615" s="9">
        <f>IF(G615=0,0,N615/G615)</f>
        <v/>
      </c>
      <c r="P615" s="6">
        <f>IF(M615&gt;0,D615,"")</f>
        <v/>
      </c>
      <c r="Q615" s="9">
        <f>I615+O615</f>
        <v/>
      </c>
      <c r="R615" s="7">
        <f>Q615*G615</f>
        <v/>
      </c>
      <c r="S615" s="8">
        <f>IF($R$621=0,0,R615/$R$621)</f>
        <v/>
      </c>
      <c r="T615" s="8" t="n">
        <v>0</v>
      </c>
      <c r="U615" s="8" t="n">
        <v>0.005142405025053254</v>
      </c>
      <c r="V615" s="6" t="inlineStr">
        <is>
          <t>not selected</t>
        </is>
      </c>
    </row>
    <row r="616">
      <c r="A616" s="6" t="inlineStr">
        <is>
          <t>DJ30</t>
        </is>
      </c>
      <c r="B616" s="6" t="inlineStr">
        <is>
          <t>2023-05-19</t>
        </is>
      </c>
      <c r="C616" s="6" t="inlineStr">
        <is>
          <t>DIA</t>
        </is>
      </c>
      <c r="D616" s="6" t="inlineStr">
        <is>
          <t>TRV</t>
        </is>
      </c>
      <c r="E616" s="6" t="inlineStr">
        <is>
          <t>TRV</t>
        </is>
      </c>
      <c r="F616" s="6" t="inlineStr">
        <is>
          <t>-</t>
        </is>
      </c>
      <c r="G616" s="7" t="n">
        <v>173.1184387207031</v>
      </c>
      <c r="H616" s="6">
        <f>P585</f>
        <v/>
      </c>
      <c r="I616" s="9">
        <f>Q585</f>
        <v/>
      </c>
      <c r="J616" s="7">
        <f>I616*G616</f>
        <v/>
      </c>
      <c r="K616" s="8">
        <f>IF($J$621=0,0,J616/$J$621)</f>
        <v/>
      </c>
      <c r="L616" s="6" t="inlineStr">
        <is>
          <t>REJECTED</t>
        </is>
      </c>
      <c r="M616" s="8" t="n">
        <v>0</v>
      </c>
      <c r="N616" s="7">
        <f>M616*$J$621-J616</f>
        <v/>
      </c>
      <c r="O616" s="9">
        <f>IF(G616=0,0,N616/G616)</f>
        <v/>
      </c>
      <c r="P616" s="6">
        <f>IF(M616&gt;0,D616,"")</f>
        <v/>
      </c>
      <c r="Q616" s="9">
        <f>I616+O616</f>
        <v/>
      </c>
      <c r="R616" s="7">
        <f>Q616*G616</f>
        <v/>
      </c>
      <c r="S616" s="8">
        <f>IF($R$621=0,0,R616/$R$621)</f>
        <v/>
      </c>
      <c r="T616" s="8" t="n">
        <v>0</v>
      </c>
      <c r="U616" s="8" t="n">
        <v>0.005142405025053254</v>
      </c>
      <c r="V616" s="6" t="inlineStr">
        <is>
          <t>not selected</t>
        </is>
      </c>
    </row>
    <row r="617">
      <c r="A617" s="6" t="inlineStr">
        <is>
          <t>DJ30</t>
        </is>
      </c>
      <c r="B617" s="6" t="inlineStr">
        <is>
          <t>2023-05-19</t>
        </is>
      </c>
      <c r="C617" s="6" t="inlineStr">
        <is>
          <t>DIA</t>
        </is>
      </c>
      <c r="D617" s="6" t="inlineStr">
        <is>
          <t>UNH</t>
        </is>
      </c>
      <c r="E617" s="6" t="inlineStr">
        <is>
          <t>UNH</t>
        </is>
      </c>
      <c r="F617" s="6" t="inlineStr">
        <is>
          <t>-</t>
        </is>
      </c>
      <c r="G617" s="7" t="n">
        <v>448.8253479003906</v>
      </c>
      <c r="H617" s="6">
        <f>P586</f>
        <v/>
      </c>
      <c r="I617" s="9">
        <f>Q586</f>
        <v/>
      </c>
      <c r="J617" s="7">
        <f>I617*G617</f>
        <v/>
      </c>
      <c r="K617" s="8">
        <f>IF($J$621=0,0,J617/$J$621)</f>
        <v/>
      </c>
      <c r="L617" s="6" t="inlineStr">
        <is>
          <t>REJECTED</t>
        </is>
      </c>
      <c r="M617" s="8" t="n">
        <v>0</v>
      </c>
      <c r="N617" s="7">
        <f>M617*$J$621-J617</f>
        <v/>
      </c>
      <c r="O617" s="9">
        <f>IF(G617=0,0,N617/G617)</f>
        <v/>
      </c>
      <c r="P617" s="6">
        <f>IF(M617&gt;0,D617,"")</f>
        <v/>
      </c>
      <c r="Q617" s="9">
        <f>I617+O617</f>
        <v/>
      </c>
      <c r="R617" s="7">
        <f>Q617*G617</f>
        <v/>
      </c>
      <c r="S617" s="8">
        <f>IF($R$621=0,0,R617/$R$621)</f>
        <v/>
      </c>
      <c r="T617" s="8" t="n">
        <v>0</v>
      </c>
      <c r="U617" s="8" t="n">
        <v>0.005142405025053254</v>
      </c>
      <c r="V617" s="6" t="inlineStr">
        <is>
          <t>not selected</t>
        </is>
      </c>
    </row>
    <row r="618">
      <c r="A618" s="6" t="inlineStr">
        <is>
          <t>DJ30</t>
        </is>
      </c>
      <c r="B618" s="6" t="inlineStr">
        <is>
          <t>2023-05-19</t>
        </is>
      </c>
      <c r="C618" s="6" t="inlineStr">
        <is>
          <t>DIA</t>
        </is>
      </c>
      <c r="D618" s="6" t="inlineStr">
        <is>
          <t>V</t>
        </is>
      </c>
      <c r="E618" s="6" t="inlineStr">
        <is>
          <t>V</t>
        </is>
      </c>
      <c r="F618" s="6" t="inlineStr">
        <is>
          <t>-</t>
        </is>
      </c>
      <c r="G618" s="7" t="n">
        <v>228.0442352294922</v>
      </c>
      <c r="H618" s="6">
        <f>P587</f>
        <v/>
      </c>
      <c r="I618" s="9">
        <f>Q587</f>
        <v/>
      </c>
      <c r="J618" s="7">
        <f>I618*G618</f>
        <v/>
      </c>
      <c r="K618" s="8">
        <f>IF($J$621=0,0,J618/$J$621)</f>
        <v/>
      </c>
      <c r="L618" s="6" t="inlineStr">
        <is>
          <t>REJECTED</t>
        </is>
      </c>
      <c r="M618" s="8" t="n">
        <v>0</v>
      </c>
      <c r="N618" s="7">
        <f>M618*$J$621-J618</f>
        <v/>
      </c>
      <c r="O618" s="9">
        <f>IF(G618=0,0,N618/G618)</f>
        <v/>
      </c>
      <c r="P618" s="6">
        <f>IF(M618&gt;0,D618,"")</f>
        <v/>
      </c>
      <c r="Q618" s="9">
        <f>I618+O618</f>
        <v/>
      </c>
      <c r="R618" s="7">
        <f>Q618*G618</f>
        <v/>
      </c>
      <c r="S618" s="8">
        <f>IF($R$621=0,0,R618/$R$621)</f>
        <v/>
      </c>
      <c r="T618" s="8" t="n">
        <v>0</v>
      </c>
      <c r="U618" s="8" t="n">
        <v>0.005142405025053254</v>
      </c>
      <c r="V618" s="6" t="inlineStr">
        <is>
          <t>not selected</t>
        </is>
      </c>
    </row>
    <row r="619">
      <c r="A619" s="6" t="inlineStr">
        <is>
          <t>DJ30</t>
        </is>
      </c>
      <c r="B619" s="6" t="inlineStr">
        <is>
          <t>2023-05-19</t>
        </is>
      </c>
      <c r="C619" s="6" t="inlineStr">
        <is>
          <t>DIA</t>
        </is>
      </c>
      <c r="D619" s="6" t="inlineStr">
        <is>
          <t>VZ</t>
        </is>
      </c>
      <c r="E619" s="6" t="inlineStr">
        <is>
          <t>VZ</t>
        </is>
      </c>
      <c r="F619" s="6" t="inlineStr">
        <is>
          <t>-</t>
        </is>
      </c>
      <c r="G619" s="7" t="n">
        <v>29.45376014709473</v>
      </c>
      <c r="H619" s="6">
        <f>P588</f>
        <v/>
      </c>
      <c r="I619" s="9">
        <f>Q588</f>
        <v/>
      </c>
      <c r="J619" s="7">
        <f>I619*G619</f>
        <v/>
      </c>
      <c r="K619" s="8">
        <f>IF($J$621=0,0,J619/$J$621)</f>
        <v/>
      </c>
      <c r="L619" s="6" t="inlineStr">
        <is>
          <t>REJECTED</t>
        </is>
      </c>
      <c r="M619" s="8" t="n">
        <v>0</v>
      </c>
      <c r="N619" s="7">
        <f>M619*$J$621-J619</f>
        <v/>
      </c>
      <c r="O619" s="9">
        <f>IF(G619=0,0,N619/G619)</f>
        <v/>
      </c>
      <c r="P619" s="6">
        <f>IF(M619&gt;0,D619,"")</f>
        <v/>
      </c>
      <c r="Q619" s="9">
        <f>I619+O619</f>
        <v/>
      </c>
      <c r="R619" s="7">
        <f>Q619*G619</f>
        <v/>
      </c>
      <c r="S619" s="8">
        <f>IF($R$621=0,0,R619/$R$621)</f>
        <v/>
      </c>
      <c r="T619" s="8" t="n">
        <v>0</v>
      </c>
      <c r="U619" s="8" t="n">
        <v>0.005142405025053254</v>
      </c>
      <c r="V619" s="6" t="inlineStr">
        <is>
          <t>not selected</t>
        </is>
      </c>
    </row>
    <row r="620">
      <c r="A620" s="6" t="inlineStr">
        <is>
          <t>DJ30</t>
        </is>
      </c>
      <c r="B620" s="6" t="inlineStr">
        <is>
          <t>2023-05-19</t>
        </is>
      </c>
      <c r="C620" s="6" t="inlineStr">
        <is>
          <t>DIA</t>
        </is>
      </c>
      <c r="D620" s="6" t="inlineStr">
        <is>
          <t>WMT</t>
        </is>
      </c>
      <c r="E620" s="6" t="inlineStr">
        <is>
          <t>WMT</t>
        </is>
      </c>
      <c r="F620" s="6" t="inlineStr">
        <is>
          <t>-</t>
        </is>
      </c>
      <c r="G620" s="7" t="n">
        <v>48.3646354675293</v>
      </c>
      <c r="H620" s="6">
        <f>P589</f>
        <v/>
      </c>
      <c r="I620" s="9">
        <f>Q589</f>
        <v/>
      </c>
      <c r="J620" s="7">
        <f>I620*G620</f>
        <v/>
      </c>
      <c r="K620" s="8">
        <f>IF($J$621=0,0,J620/$J$621)</f>
        <v/>
      </c>
      <c r="L620" s="6" t="inlineStr">
        <is>
          <t>REJECTED</t>
        </is>
      </c>
      <c r="M620" s="8" t="n">
        <v>0</v>
      </c>
      <c r="N620" s="7">
        <f>M620*$J$621-J620</f>
        <v/>
      </c>
      <c r="O620" s="9">
        <f>IF(G620=0,0,N620/G620)</f>
        <v/>
      </c>
      <c r="P620" s="6">
        <f>IF(M620&gt;0,D620,"")</f>
        <v/>
      </c>
      <c r="Q620" s="9">
        <f>I620+O620</f>
        <v/>
      </c>
      <c r="R620" s="7">
        <f>Q620*G620</f>
        <v/>
      </c>
      <c r="S620" s="8">
        <f>IF($R$621=0,0,R620/$R$621)</f>
        <v/>
      </c>
      <c r="T620" s="8" t="n">
        <v>0</v>
      </c>
      <c r="U620" s="8" t="n">
        <v>0.005142405025053254</v>
      </c>
      <c r="V620" s="6" t="inlineStr">
        <is>
          <t>not selected</t>
        </is>
      </c>
    </row>
    <row r="621">
      <c r="A621" s="10" t="inlineStr">
        <is>
          <t>DJ30</t>
        </is>
      </c>
      <c r="B621" s="10" t="inlineStr">
        <is>
          <t>2023-05-19</t>
        </is>
      </c>
      <c r="C621" s="10" t="inlineStr">
        <is>
          <t>DIA</t>
        </is>
      </c>
      <c r="D621" s="10" t="inlineStr">
        <is>
          <t>Tot Portfolio</t>
        </is>
      </c>
      <c r="E621" s="10" t="inlineStr"/>
      <c r="F621" s="10" t="inlineStr"/>
      <c r="G621" s="11" t="inlineStr"/>
      <c r="H621" s="10" t="inlineStr"/>
      <c r="I621" s="12" t="inlineStr"/>
      <c r="J621" s="11">
        <f>SUM(J591:J620)</f>
        <v/>
      </c>
      <c r="K621" s="13">
        <f>SUM(K591:K620)</f>
        <v/>
      </c>
      <c r="L621" s="10" t="inlineStr">
        <is>
          <t>TOTAL</t>
        </is>
      </c>
      <c r="M621" s="13">
        <f>SUM(M591:M620)</f>
        <v/>
      </c>
      <c r="N621" s="11">
        <f>SUM(N591:N620)</f>
        <v/>
      </c>
      <c r="O621" s="12">
        <f>SUM(O591:O620)</f>
        <v/>
      </c>
      <c r="P621" s="10" t="inlineStr"/>
      <c r="Q621" s="12" t="inlineStr"/>
      <c r="R621" s="11">
        <f>SUM(R591:R620)</f>
        <v/>
      </c>
      <c r="S621" s="13">
        <f>SUM(S591:S620)</f>
        <v/>
      </c>
      <c r="T621" s="13" t="n">
        <v>0</v>
      </c>
      <c r="U621" s="13" t="n">
        <v>0.005142405025053254</v>
      </c>
      <c r="V621" s="10" t="inlineStr"/>
    </row>
    <row r="622">
      <c r="A622" s="6" t="inlineStr">
        <is>
          <t>DJ30</t>
        </is>
      </c>
      <c r="B622" s="6" t="inlineStr">
        <is>
          <t>2023-05-26</t>
        </is>
      </c>
      <c r="C622" s="6" t="inlineStr">
        <is>
          <t>DIA</t>
        </is>
      </c>
      <c r="D622" s="6" t="inlineStr">
        <is>
          <t>AAPL</t>
        </is>
      </c>
      <c r="E622" s="6" t="inlineStr">
        <is>
          <t>AAPL</t>
        </is>
      </c>
      <c r="F622" s="6" t="inlineStr">
        <is>
          <t>-</t>
        </is>
      </c>
      <c r="G622" s="7" t="n">
        <v>173.0045928955078</v>
      </c>
      <c r="H622" s="6">
        <f>P591</f>
        <v/>
      </c>
      <c r="I622" s="9">
        <f>Q591</f>
        <v/>
      </c>
      <c r="J622" s="7">
        <f>I622*G622</f>
        <v/>
      </c>
      <c r="K622" s="8">
        <f>IF($J$652=0,0,J622/$J$652)</f>
        <v/>
      </c>
      <c r="L622" s="6" t="inlineStr">
        <is>
          <t>REJECTED</t>
        </is>
      </c>
      <c r="M622" s="8" t="n">
        <v>0</v>
      </c>
      <c r="N622" s="7">
        <f>M622*$J$652-J622</f>
        <v/>
      </c>
      <c r="O622" s="9">
        <f>IF(G622=0,0,N622/G622)</f>
        <v/>
      </c>
      <c r="P622" s="6">
        <f>IF(M622&gt;0,D622,"")</f>
        <v/>
      </c>
      <c r="Q622" s="9">
        <f>I622+O622</f>
        <v/>
      </c>
      <c r="R622" s="7">
        <f>Q622*G622</f>
        <v/>
      </c>
      <c r="S622" s="8">
        <f>IF($R$652=0,0,R622/$R$652)</f>
        <v/>
      </c>
      <c r="T622" s="8" t="n">
        <v>0</v>
      </c>
      <c r="U622" s="8" t="n">
        <v>-0.01002427063318778</v>
      </c>
      <c r="V622" s="6" t="inlineStr">
        <is>
          <t>not selected</t>
        </is>
      </c>
    </row>
    <row r="623">
      <c r="A623" s="6" t="inlineStr">
        <is>
          <t>DJ30</t>
        </is>
      </c>
      <c r="B623" s="6" t="inlineStr">
        <is>
          <t>2023-05-26</t>
        </is>
      </c>
      <c r="C623" s="6" t="inlineStr">
        <is>
          <t>DIA</t>
        </is>
      </c>
      <c r="D623" s="6" t="inlineStr">
        <is>
          <t>AMGN</t>
        </is>
      </c>
      <c r="E623" s="6" t="inlineStr">
        <is>
          <t>AMGN</t>
        </is>
      </c>
      <c r="F623" s="6" t="inlineStr">
        <is>
          <t>-</t>
        </is>
      </c>
      <c r="G623" s="7" t="n">
        <v>197.8372650146484</v>
      </c>
      <c r="H623" s="6">
        <f>P592</f>
        <v/>
      </c>
      <c r="I623" s="9">
        <f>Q592</f>
        <v/>
      </c>
      <c r="J623" s="7">
        <f>I623*G623</f>
        <v/>
      </c>
      <c r="K623" s="8">
        <f>IF($J$652=0,0,J623/$J$652)</f>
        <v/>
      </c>
      <c r="L623" s="6" t="inlineStr">
        <is>
          <t>REJECTED</t>
        </is>
      </c>
      <c r="M623" s="8" t="n">
        <v>0</v>
      </c>
      <c r="N623" s="7">
        <f>M623*$J$652-J623</f>
        <v/>
      </c>
      <c r="O623" s="9">
        <f>IF(G623=0,0,N623/G623)</f>
        <v/>
      </c>
      <c r="P623" s="6">
        <f>IF(M623&gt;0,D623,"")</f>
        <v/>
      </c>
      <c r="Q623" s="9">
        <f>I623+O623</f>
        <v/>
      </c>
      <c r="R623" s="7">
        <f>Q623*G623</f>
        <v/>
      </c>
      <c r="S623" s="8">
        <f>IF($R$652=0,0,R623/$R$652)</f>
        <v/>
      </c>
      <c r="T623" s="8" t="n">
        <v>0</v>
      </c>
      <c r="U623" s="8" t="n">
        <v>-0.01002427063318778</v>
      </c>
      <c r="V623" s="6" t="inlineStr">
        <is>
          <t>not selected</t>
        </is>
      </c>
    </row>
    <row r="624">
      <c r="A624" s="6" t="inlineStr">
        <is>
          <t>DJ30</t>
        </is>
      </c>
      <c r="B624" s="6" t="inlineStr">
        <is>
          <t>2023-05-26</t>
        </is>
      </c>
      <c r="C624" s="6" t="inlineStr">
        <is>
          <t>DIA</t>
        </is>
      </c>
      <c r="D624" s="6" t="inlineStr">
        <is>
          <t>AMZN</t>
        </is>
      </c>
      <c r="E624" s="6" t="inlineStr">
        <is>
          <t>AMZN</t>
        </is>
      </c>
      <c r="F624" s="6" t="inlineStr">
        <is>
          <t>-</t>
        </is>
      </c>
      <c r="G624" s="7" t="n">
        <v>120.1100006103516</v>
      </c>
      <c r="H624" s="6">
        <f>P593</f>
        <v/>
      </c>
      <c r="I624" s="9">
        <f>Q593</f>
        <v/>
      </c>
      <c r="J624" s="7">
        <f>I624*G624</f>
        <v/>
      </c>
      <c r="K624" s="8">
        <f>IF($J$652=0,0,J624/$J$652)</f>
        <v/>
      </c>
      <c r="L624" s="6" t="inlineStr">
        <is>
          <t>REJECTED</t>
        </is>
      </c>
      <c r="M624" s="8" t="n">
        <v>0</v>
      </c>
      <c r="N624" s="7">
        <f>M624*$J$652-J624</f>
        <v/>
      </c>
      <c r="O624" s="9">
        <f>IF(G624=0,0,N624/G624)</f>
        <v/>
      </c>
      <c r="P624" s="6">
        <f>IF(M624&gt;0,D624,"")</f>
        <v/>
      </c>
      <c r="Q624" s="9">
        <f>I624+O624</f>
        <v/>
      </c>
      <c r="R624" s="7">
        <f>Q624*G624</f>
        <v/>
      </c>
      <c r="S624" s="8">
        <f>IF($R$652=0,0,R624/$R$652)</f>
        <v/>
      </c>
      <c r="T624" s="8" t="n">
        <v>0</v>
      </c>
      <c r="U624" s="8" t="n">
        <v>-0.01002427063318778</v>
      </c>
      <c r="V624" s="6" t="inlineStr">
        <is>
          <t>not selected</t>
        </is>
      </c>
    </row>
    <row r="625">
      <c r="A625" s="6" t="inlineStr">
        <is>
          <t>DJ30</t>
        </is>
      </c>
      <c r="B625" s="6" t="inlineStr">
        <is>
          <t>2023-05-26</t>
        </is>
      </c>
      <c r="C625" s="6" t="inlineStr">
        <is>
          <t>DIA</t>
        </is>
      </c>
      <c r="D625" s="6" t="inlineStr">
        <is>
          <t>AXP</t>
        </is>
      </c>
      <c r="E625" s="6" t="inlineStr">
        <is>
          <t>AXP</t>
        </is>
      </c>
      <c r="F625" s="6" t="inlineStr">
        <is>
          <t>-</t>
        </is>
      </c>
      <c r="G625" s="7" t="n">
        <v>151.7533721923828</v>
      </c>
      <c r="H625" s="6">
        <f>P594</f>
        <v/>
      </c>
      <c r="I625" s="9">
        <f>Q594</f>
        <v/>
      </c>
      <c r="J625" s="7">
        <f>I625*G625</f>
        <v/>
      </c>
      <c r="K625" s="8">
        <f>IF($J$652=0,0,J625/$J$652)</f>
        <v/>
      </c>
      <c r="L625" s="6" t="inlineStr">
        <is>
          <t>REJECTED</t>
        </is>
      </c>
      <c r="M625" s="8" t="n">
        <v>0</v>
      </c>
      <c r="N625" s="7">
        <f>M625*$J$652-J625</f>
        <v/>
      </c>
      <c r="O625" s="9">
        <f>IF(G625=0,0,N625/G625)</f>
        <v/>
      </c>
      <c r="P625" s="6">
        <f>IF(M625&gt;0,D625,"")</f>
        <v/>
      </c>
      <c r="Q625" s="9">
        <f>I625+O625</f>
        <v/>
      </c>
      <c r="R625" s="7">
        <f>Q625*G625</f>
        <v/>
      </c>
      <c r="S625" s="8">
        <f>IF($R$652=0,0,R625/$R$652)</f>
        <v/>
      </c>
      <c r="T625" s="8" t="n">
        <v>0</v>
      </c>
      <c r="U625" s="8" t="n">
        <v>-0.01002427063318778</v>
      </c>
      <c r="V625" s="6" t="inlineStr">
        <is>
          <t>not selected</t>
        </is>
      </c>
    </row>
    <row r="626">
      <c r="A626" s="6" t="inlineStr">
        <is>
          <t>DJ30</t>
        </is>
      </c>
      <c r="B626" s="6" t="inlineStr">
        <is>
          <t>2023-05-26</t>
        </is>
      </c>
      <c r="C626" s="6" t="inlineStr">
        <is>
          <t>DIA</t>
        </is>
      </c>
      <c r="D626" s="6" t="inlineStr">
        <is>
          <t>BA</t>
        </is>
      </c>
      <c r="E626" s="6" t="inlineStr">
        <is>
          <t>BA</t>
        </is>
      </c>
      <c r="F626" s="6" t="inlineStr">
        <is>
          <t>-</t>
        </is>
      </c>
      <c r="G626" s="7" t="n">
        <v>203.6300048828125</v>
      </c>
      <c r="H626" s="6">
        <f>P595</f>
        <v/>
      </c>
      <c r="I626" s="9">
        <f>Q595</f>
        <v/>
      </c>
      <c r="J626" s="7">
        <f>I626*G626</f>
        <v/>
      </c>
      <c r="K626" s="8">
        <f>IF($J$652=0,0,J626/$J$652)</f>
        <v/>
      </c>
      <c r="L626" s="6" t="inlineStr">
        <is>
          <t>REJECTED</t>
        </is>
      </c>
      <c r="M626" s="8" t="n">
        <v>0</v>
      </c>
      <c r="N626" s="7">
        <f>M626*$J$652-J626</f>
        <v/>
      </c>
      <c r="O626" s="9">
        <f>IF(G626=0,0,N626/G626)</f>
        <v/>
      </c>
      <c r="P626" s="6">
        <f>IF(M626&gt;0,D626,"")</f>
        <v/>
      </c>
      <c r="Q626" s="9">
        <f>I626+O626</f>
        <v/>
      </c>
      <c r="R626" s="7">
        <f>Q626*G626</f>
        <v/>
      </c>
      <c r="S626" s="8">
        <f>IF($R$652=0,0,R626/$R$652)</f>
        <v/>
      </c>
      <c r="T626" s="8" t="n">
        <v>0</v>
      </c>
      <c r="U626" s="8" t="n">
        <v>-0.01002427063318778</v>
      </c>
      <c r="V626" s="6" t="inlineStr">
        <is>
          <t>not selected</t>
        </is>
      </c>
    </row>
    <row r="627">
      <c r="A627" s="6" t="inlineStr">
        <is>
          <t>DJ30</t>
        </is>
      </c>
      <c r="B627" s="6" t="inlineStr">
        <is>
          <t>2023-05-26</t>
        </is>
      </c>
      <c r="C627" s="6" t="inlineStr">
        <is>
          <t>DIA</t>
        </is>
      </c>
      <c r="D627" s="6" t="inlineStr">
        <is>
          <t>CAT</t>
        </is>
      </c>
      <c r="E627" s="6" t="inlineStr">
        <is>
          <t>CAT</t>
        </is>
      </c>
      <c r="F627" s="6" t="inlineStr">
        <is>
          <t>-</t>
        </is>
      </c>
      <c r="G627" s="7" t="n">
        <v>202.4332122802734</v>
      </c>
      <c r="H627" s="6">
        <f>P596</f>
        <v/>
      </c>
      <c r="I627" s="9">
        <f>Q596</f>
        <v/>
      </c>
      <c r="J627" s="7">
        <f>I627*G627</f>
        <v/>
      </c>
      <c r="K627" s="8">
        <f>IF($J$652=0,0,J627/$J$652)</f>
        <v/>
      </c>
      <c r="L627" s="6" t="inlineStr">
        <is>
          <t>REJECTED</t>
        </is>
      </c>
      <c r="M627" s="8" t="n">
        <v>0</v>
      </c>
      <c r="N627" s="7">
        <f>M627*$J$652-J627</f>
        <v/>
      </c>
      <c r="O627" s="9">
        <f>IF(G627=0,0,N627/G627)</f>
        <v/>
      </c>
      <c r="P627" s="6">
        <f>IF(M627&gt;0,D627,"")</f>
        <v/>
      </c>
      <c r="Q627" s="9">
        <f>I627+O627</f>
        <v/>
      </c>
      <c r="R627" s="7">
        <f>Q627*G627</f>
        <v/>
      </c>
      <c r="S627" s="8">
        <f>IF($R$652=0,0,R627/$R$652)</f>
        <v/>
      </c>
      <c r="T627" s="8" t="n">
        <v>0</v>
      </c>
      <c r="U627" s="8" t="n">
        <v>-0.01002427063318778</v>
      </c>
      <c r="V627" s="6" t="inlineStr">
        <is>
          <t>not selected</t>
        </is>
      </c>
    </row>
    <row r="628">
      <c r="A628" s="6" t="inlineStr">
        <is>
          <t>DJ30</t>
        </is>
      </c>
      <c r="B628" s="6" t="inlineStr">
        <is>
          <t>2023-05-26</t>
        </is>
      </c>
      <c r="C628" s="6" t="inlineStr">
        <is>
          <t>DIA</t>
        </is>
      </c>
      <c r="D628" s="6" t="inlineStr">
        <is>
          <t>CRM</t>
        </is>
      </c>
      <c r="E628" s="6" t="inlineStr">
        <is>
          <t>CRM</t>
        </is>
      </c>
      <c r="F628" s="6" t="inlineStr">
        <is>
          <t>-</t>
        </is>
      </c>
      <c r="G628" s="7" t="n">
        <v>211.7761535644531</v>
      </c>
      <c r="H628" s="6">
        <f>P597</f>
        <v/>
      </c>
      <c r="I628" s="9">
        <f>Q597</f>
        <v/>
      </c>
      <c r="J628" s="7">
        <f>I628*G628</f>
        <v/>
      </c>
      <c r="K628" s="8">
        <f>IF($J$652=0,0,J628/$J$652)</f>
        <v/>
      </c>
      <c r="L628" s="6" t="inlineStr">
        <is>
          <t>REJECTED</t>
        </is>
      </c>
      <c r="M628" s="8" t="n">
        <v>0</v>
      </c>
      <c r="N628" s="7">
        <f>M628*$J$652-J628</f>
        <v/>
      </c>
      <c r="O628" s="9">
        <f>IF(G628=0,0,N628/G628)</f>
        <v/>
      </c>
      <c r="P628" s="6">
        <f>IF(M628&gt;0,D628,"")</f>
        <v/>
      </c>
      <c r="Q628" s="9">
        <f>I628+O628</f>
        <v/>
      </c>
      <c r="R628" s="7">
        <f>Q628*G628</f>
        <v/>
      </c>
      <c r="S628" s="8">
        <f>IF($R$652=0,0,R628/$R$652)</f>
        <v/>
      </c>
      <c r="T628" s="8" t="n">
        <v>0</v>
      </c>
      <c r="U628" s="8" t="n">
        <v>-0.01002427063318778</v>
      </c>
      <c r="V628" s="6" t="inlineStr">
        <is>
          <t>not selected</t>
        </is>
      </c>
    </row>
    <row r="629">
      <c r="A629" s="6" t="inlineStr">
        <is>
          <t>DJ30</t>
        </is>
      </c>
      <c r="B629" s="6" t="inlineStr">
        <is>
          <t>2023-05-26</t>
        </is>
      </c>
      <c r="C629" s="6" t="inlineStr">
        <is>
          <t>DIA</t>
        </is>
      </c>
      <c r="D629" s="6" t="inlineStr">
        <is>
          <t>CSCO</t>
        </is>
      </c>
      <c r="E629" s="6" t="inlineStr">
        <is>
          <t>CSCO</t>
        </is>
      </c>
      <c r="F629" s="6" t="inlineStr">
        <is>
          <t>-</t>
        </is>
      </c>
      <c r="G629" s="7" t="n">
        <v>45.8894157409668</v>
      </c>
      <c r="H629" s="6">
        <f>P598</f>
        <v/>
      </c>
      <c r="I629" s="9">
        <f>Q598</f>
        <v/>
      </c>
      <c r="J629" s="7">
        <f>I629*G629</f>
        <v/>
      </c>
      <c r="K629" s="8">
        <f>IF($J$652=0,0,J629/$J$652)</f>
        <v/>
      </c>
      <c r="L629" s="6" t="inlineStr">
        <is>
          <t>REJECTED</t>
        </is>
      </c>
      <c r="M629" s="8" t="n">
        <v>0</v>
      </c>
      <c r="N629" s="7">
        <f>M629*$J$652-J629</f>
        <v/>
      </c>
      <c r="O629" s="9">
        <f>IF(G629=0,0,N629/G629)</f>
        <v/>
      </c>
      <c r="P629" s="6">
        <f>IF(M629&gt;0,D629,"")</f>
        <v/>
      </c>
      <c r="Q629" s="9">
        <f>I629+O629</f>
        <v/>
      </c>
      <c r="R629" s="7">
        <f>Q629*G629</f>
        <v/>
      </c>
      <c r="S629" s="8">
        <f>IF($R$652=0,0,R629/$R$652)</f>
        <v/>
      </c>
      <c r="T629" s="8" t="n">
        <v>0</v>
      </c>
      <c r="U629" s="8" t="n">
        <v>-0.01002427063318778</v>
      </c>
      <c r="V629" s="6" t="inlineStr">
        <is>
          <t>not selected</t>
        </is>
      </c>
    </row>
    <row r="630">
      <c r="A630" s="6" t="inlineStr">
        <is>
          <t>DJ30</t>
        </is>
      </c>
      <c r="B630" s="6" t="inlineStr">
        <is>
          <t>2023-05-26</t>
        </is>
      </c>
      <c r="C630" s="6" t="inlineStr">
        <is>
          <t>DIA</t>
        </is>
      </c>
      <c r="D630" s="6" t="inlineStr">
        <is>
          <t>CVX</t>
        </is>
      </c>
      <c r="E630" s="6" t="inlineStr">
        <is>
          <t>CVX</t>
        </is>
      </c>
      <c r="F630" s="6" t="inlineStr">
        <is>
          <t>-</t>
        </is>
      </c>
      <c r="G630" s="7" t="n">
        <v>135.7932891845703</v>
      </c>
      <c r="H630" s="6">
        <f>P599</f>
        <v/>
      </c>
      <c r="I630" s="9">
        <f>Q599</f>
        <v/>
      </c>
      <c r="J630" s="7">
        <f>I630*G630</f>
        <v/>
      </c>
      <c r="K630" s="8">
        <f>IF($J$652=0,0,J630/$J$652)</f>
        <v/>
      </c>
      <c r="L630" s="6" t="inlineStr">
        <is>
          <t>REJECTED</t>
        </is>
      </c>
      <c r="M630" s="8" t="n">
        <v>0</v>
      </c>
      <c r="N630" s="7">
        <f>M630*$J$652-J630</f>
        <v/>
      </c>
      <c r="O630" s="9">
        <f>IF(G630=0,0,N630/G630)</f>
        <v/>
      </c>
      <c r="P630" s="6">
        <f>IF(M630&gt;0,D630,"")</f>
        <v/>
      </c>
      <c r="Q630" s="9">
        <f>I630+O630</f>
        <v/>
      </c>
      <c r="R630" s="7">
        <f>Q630*G630</f>
        <v/>
      </c>
      <c r="S630" s="8">
        <f>IF($R$652=0,0,R630/$R$652)</f>
        <v/>
      </c>
      <c r="T630" s="8" t="n">
        <v>0</v>
      </c>
      <c r="U630" s="8" t="n">
        <v>-0.01002427063318778</v>
      </c>
      <c r="V630" s="6" t="inlineStr">
        <is>
          <t>not selected</t>
        </is>
      </c>
    </row>
    <row r="631">
      <c r="A631" s="6" t="inlineStr">
        <is>
          <t>DJ30</t>
        </is>
      </c>
      <c r="B631" s="6" t="inlineStr">
        <is>
          <t>2023-05-26</t>
        </is>
      </c>
      <c r="C631" s="6" t="inlineStr">
        <is>
          <t>DIA</t>
        </is>
      </c>
      <c r="D631" s="6" t="inlineStr">
        <is>
          <t>DIS</t>
        </is>
      </c>
      <c r="E631" s="6" t="inlineStr">
        <is>
          <t>DIS</t>
        </is>
      </c>
      <c r="F631" s="6" t="inlineStr">
        <is>
          <t>-</t>
        </is>
      </c>
      <c r="G631" s="7" t="n">
        <v>86.25865936279297</v>
      </c>
      <c r="H631" s="6">
        <f>P600</f>
        <v/>
      </c>
      <c r="I631" s="9">
        <f>Q600</f>
        <v/>
      </c>
      <c r="J631" s="7">
        <f>I631*G631</f>
        <v/>
      </c>
      <c r="K631" s="8">
        <f>IF($J$652=0,0,J631/$J$652)</f>
        <v/>
      </c>
      <c r="L631" s="6" t="inlineStr">
        <is>
          <t>REJECTED</t>
        </is>
      </c>
      <c r="M631" s="8" t="n">
        <v>0</v>
      </c>
      <c r="N631" s="7">
        <f>M631*$J$652-J631</f>
        <v/>
      </c>
      <c r="O631" s="9">
        <f>IF(G631=0,0,N631/G631)</f>
        <v/>
      </c>
      <c r="P631" s="6">
        <f>IF(M631&gt;0,D631,"")</f>
        <v/>
      </c>
      <c r="Q631" s="9">
        <f>I631+O631</f>
        <v/>
      </c>
      <c r="R631" s="7">
        <f>Q631*G631</f>
        <v/>
      </c>
      <c r="S631" s="8">
        <f>IF($R$652=0,0,R631/$R$652)</f>
        <v/>
      </c>
      <c r="T631" s="8" t="n">
        <v>0</v>
      </c>
      <c r="U631" s="8" t="n">
        <v>-0.01002427063318778</v>
      </c>
      <c r="V631" s="6" t="inlineStr">
        <is>
          <t>not selected</t>
        </is>
      </c>
    </row>
    <row r="632">
      <c r="A632" s="6" t="inlineStr">
        <is>
          <t>DJ30</t>
        </is>
      </c>
      <c r="B632" s="6" t="inlineStr">
        <is>
          <t>2023-05-26</t>
        </is>
      </c>
      <c r="C632" s="6" t="inlineStr">
        <is>
          <t>DIA</t>
        </is>
      </c>
      <c r="D632" s="6" t="inlineStr">
        <is>
          <t>GS</t>
        </is>
      </c>
      <c r="E632" s="6" t="inlineStr">
        <is>
          <t>GS</t>
        </is>
      </c>
      <c r="F632" s="6" t="inlineStr">
        <is>
          <t>-</t>
        </is>
      </c>
      <c r="G632" s="7" t="n">
        <v>307.1430358886719</v>
      </c>
      <c r="H632" s="6">
        <f>P601</f>
        <v/>
      </c>
      <c r="I632" s="9">
        <f>Q601</f>
        <v/>
      </c>
      <c r="J632" s="7">
        <f>I632*G632</f>
        <v/>
      </c>
      <c r="K632" s="8">
        <f>IF($J$652=0,0,J632/$J$652)</f>
        <v/>
      </c>
      <c r="L632" s="6" t="inlineStr">
        <is>
          <t>REJECTED</t>
        </is>
      </c>
      <c r="M632" s="8" t="n">
        <v>0</v>
      </c>
      <c r="N632" s="7">
        <f>M632*$J$652-J632</f>
        <v/>
      </c>
      <c r="O632" s="9">
        <f>IF(G632=0,0,N632/G632)</f>
        <v/>
      </c>
      <c r="P632" s="6">
        <f>IF(M632&gt;0,D632,"")</f>
        <v/>
      </c>
      <c r="Q632" s="9">
        <f>I632+O632</f>
        <v/>
      </c>
      <c r="R632" s="7">
        <f>Q632*G632</f>
        <v/>
      </c>
      <c r="S632" s="8">
        <f>IF($R$652=0,0,R632/$R$652)</f>
        <v/>
      </c>
      <c r="T632" s="8" t="n">
        <v>0</v>
      </c>
      <c r="U632" s="8" t="n">
        <v>-0.01002427063318778</v>
      </c>
      <c r="V632" s="6" t="inlineStr">
        <is>
          <t>not selected</t>
        </is>
      </c>
    </row>
    <row r="633">
      <c r="A633" s="6" t="inlineStr">
        <is>
          <t>DJ30</t>
        </is>
      </c>
      <c r="B633" s="6" t="inlineStr">
        <is>
          <t>2023-05-26</t>
        </is>
      </c>
      <c r="C633" s="6" t="inlineStr">
        <is>
          <t>DIA</t>
        </is>
      </c>
      <c r="D633" s="6" t="inlineStr">
        <is>
          <t>HD</t>
        </is>
      </c>
      <c r="E633" s="6" t="inlineStr">
        <is>
          <t>HD</t>
        </is>
      </c>
      <c r="F633" s="6" t="inlineStr">
        <is>
          <t>-</t>
        </is>
      </c>
      <c r="G633" s="7" t="n">
        <v>269.4549255371094</v>
      </c>
      <c r="H633" s="6">
        <f>P602</f>
        <v/>
      </c>
      <c r="I633" s="9">
        <f>Q602</f>
        <v/>
      </c>
      <c r="J633" s="7">
        <f>I633*G633</f>
        <v/>
      </c>
      <c r="K633" s="8">
        <f>IF($J$652=0,0,J633/$J$652)</f>
        <v/>
      </c>
      <c r="L633" s="6" t="inlineStr">
        <is>
          <t>REJECTED</t>
        </is>
      </c>
      <c r="M633" s="8" t="n">
        <v>0</v>
      </c>
      <c r="N633" s="7">
        <f>M633*$J$652-J633</f>
        <v/>
      </c>
      <c r="O633" s="9">
        <f>IF(G633=0,0,N633/G633)</f>
        <v/>
      </c>
      <c r="P633" s="6">
        <f>IF(M633&gt;0,D633,"")</f>
        <v/>
      </c>
      <c r="Q633" s="9">
        <f>I633+O633</f>
        <v/>
      </c>
      <c r="R633" s="7">
        <f>Q633*G633</f>
        <v/>
      </c>
      <c r="S633" s="8">
        <f>IF($R$652=0,0,R633/$R$652)</f>
        <v/>
      </c>
      <c r="T633" s="8" t="n">
        <v>0</v>
      </c>
      <c r="U633" s="8" t="n">
        <v>-0.01002427063318778</v>
      </c>
      <c r="V633" s="6" t="inlineStr">
        <is>
          <t>not selected</t>
        </is>
      </c>
    </row>
    <row r="634">
      <c r="A634" s="6" t="inlineStr">
        <is>
          <t>DJ30</t>
        </is>
      </c>
      <c r="B634" s="6" t="inlineStr">
        <is>
          <t>2023-05-26</t>
        </is>
      </c>
      <c r="C634" s="6" t="inlineStr">
        <is>
          <t>DIA</t>
        </is>
      </c>
      <c r="D634" s="6" t="inlineStr">
        <is>
          <t>HON</t>
        </is>
      </c>
      <c r="E634" s="6" t="inlineStr">
        <is>
          <t>HON</t>
        </is>
      </c>
      <c r="F634" s="6" t="inlineStr">
        <is>
          <t>-</t>
        </is>
      </c>
      <c r="G634" s="7" t="n">
        <v>171.2066650390625</v>
      </c>
      <c r="H634" s="6">
        <f>P603</f>
        <v/>
      </c>
      <c r="I634" s="9">
        <f>Q603</f>
        <v/>
      </c>
      <c r="J634" s="7">
        <f>I634*G634</f>
        <v/>
      </c>
      <c r="K634" s="8">
        <f>IF($J$652=0,0,J634/$J$652)</f>
        <v/>
      </c>
      <c r="L634" s="6" t="inlineStr">
        <is>
          <t>REJECTED</t>
        </is>
      </c>
      <c r="M634" s="8" t="n">
        <v>0</v>
      </c>
      <c r="N634" s="7">
        <f>M634*$J$652-J634</f>
        <v/>
      </c>
      <c r="O634" s="9">
        <f>IF(G634=0,0,N634/G634)</f>
        <v/>
      </c>
      <c r="P634" s="6">
        <f>IF(M634&gt;0,D634,"")</f>
        <v/>
      </c>
      <c r="Q634" s="9">
        <f>I634+O634</f>
        <v/>
      </c>
      <c r="R634" s="7">
        <f>Q634*G634</f>
        <v/>
      </c>
      <c r="S634" s="8">
        <f>IF($R$652=0,0,R634/$R$652)</f>
        <v/>
      </c>
      <c r="T634" s="8" t="n">
        <v>0</v>
      </c>
      <c r="U634" s="8" t="n">
        <v>-0.01002427063318778</v>
      </c>
      <c r="V634" s="6" t="inlineStr">
        <is>
          <t>not selected</t>
        </is>
      </c>
    </row>
    <row r="635">
      <c r="A635" s="6" t="inlineStr">
        <is>
          <t>DJ30</t>
        </is>
      </c>
      <c r="B635" s="6" t="inlineStr">
        <is>
          <t>2023-05-26</t>
        </is>
      </c>
      <c r="C635" s="6" t="inlineStr">
        <is>
          <t>DIA</t>
        </is>
      </c>
      <c r="D635" s="6" t="inlineStr">
        <is>
          <t>IBM</t>
        </is>
      </c>
      <c r="E635" s="6" t="inlineStr">
        <is>
          <t>IBM</t>
        </is>
      </c>
      <c r="F635" s="6" t="inlineStr">
        <is>
          <t>-</t>
        </is>
      </c>
      <c r="G635" s="7" t="n">
        <v>117.0030899047852</v>
      </c>
      <c r="H635" s="6">
        <f>P604</f>
        <v/>
      </c>
      <c r="I635" s="9">
        <f>Q604</f>
        <v/>
      </c>
      <c r="J635" s="7">
        <f>I635*G635</f>
        <v/>
      </c>
      <c r="K635" s="8">
        <f>IF($J$652=0,0,J635/$J$652)</f>
        <v/>
      </c>
      <c r="L635" s="6" t="inlineStr">
        <is>
          <t>REJECTED</t>
        </is>
      </c>
      <c r="M635" s="8" t="n">
        <v>0</v>
      </c>
      <c r="N635" s="7">
        <f>M635*$J$652-J635</f>
        <v/>
      </c>
      <c r="O635" s="9">
        <f>IF(G635=0,0,N635/G635)</f>
        <v/>
      </c>
      <c r="P635" s="6">
        <f>IF(M635&gt;0,D635,"")</f>
        <v/>
      </c>
      <c r="Q635" s="9">
        <f>I635+O635</f>
        <v/>
      </c>
      <c r="R635" s="7">
        <f>Q635*G635</f>
        <v/>
      </c>
      <c r="S635" s="8">
        <f>IF($R$652=0,0,R635/$R$652)</f>
        <v/>
      </c>
      <c r="T635" s="8" t="n">
        <v>0</v>
      </c>
      <c r="U635" s="8" t="n">
        <v>-0.01002427063318778</v>
      </c>
      <c r="V635" s="6" t="inlineStr">
        <is>
          <t>not selected</t>
        </is>
      </c>
    </row>
    <row r="636">
      <c r="A636" s="6" t="inlineStr">
        <is>
          <t>DJ30</t>
        </is>
      </c>
      <c r="B636" s="6" t="inlineStr">
        <is>
          <t>2023-05-26</t>
        </is>
      </c>
      <c r="C636" s="6" t="inlineStr">
        <is>
          <t>DIA</t>
        </is>
      </c>
      <c r="D636" s="6" t="inlineStr">
        <is>
          <t>JNJ</t>
        </is>
      </c>
      <c r="E636" s="6" t="inlineStr">
        <is>
          <t>JNJ</t>
        </is>
      </c>
      <c r="F636" s="6" t="inlineStr">
        <is>
          <t>-</t>
        </is>
      </c>
      <c r="G636" s="7" t="n">
        <v>141.4089050292969</v>
      </c>
      <c r="H636" s="6">
        <f>P605</f>
        <v/>
      </c>
      <c r="I636" s="9">
        <f>Q605</f>
        <v/>
      </c>
      <c r="J636" s="7">
        <f>I636*G636</f>
        <v/>
      </c>
      <c r="K636" s="8">
        <f>IF($J$652=0,0,J636/$J$652)</f>
        <v/>
      </c>
      <c r="L636" s="6" t="inlineStr">
        <is>
          <t>REJECTED</t>
        </is>
      </c>
      <c r="M636" s="8" t="n">
        <v>0</v>
      </c>
      <c r="N636" s="7">
        <f>M636*$J$652-J636</f>
        <v/>
      </c>
      <c r="O636" s="9">
        <f>IF(G636=0,0,N636/G636)</f>
        <v/>
      </c>
      <c r="P636" s="6">
        <f>IF(M636&gt;0,D636,"")</f>
        <v/>
      </c>
      <c r="Q636" s="9">
        <f>I636+O636</f>
        <v/>
      </c>
      <c r="R636" s="7">
        <f>Q636*G636</f>
        <v/>
      </c>
      <c r="S636" s="8">
        <f>IF($R$652=0,0,R636/$R$652)</f>
        <v/>
      </c>
      <c r="T636" s="8" t="n">
        <v>0</v>
      </c>
      <c r="U636" s="8" t="n">
        <v>-0.01002427063318778</v>
      </c>
      <c r="V636" s="6" t="inlineStr">
        <is>
          <t>not selected</t>
        </is>
      </c>
    </row>
    <row r="637">
      <c r="A637" s="6" t="inlineStr">
        <is>
          <t>DJ30</t>
        </is>
      </c>
      <c r="B637" s="6" t="inlineStr">
        <is>
          <t>2023-05-26</t>
        </is>
      </c>
      <c r="C637" s="6" t="inlineStr">
        <is>
          <t>DIA</t>
        </is>
      </c>
      <c r="D637" s="6" t="inlineStr">
        <is>
          <t>JPM</t>
        </is>
      </c>
      <c r="E637" s="6" t="inlineStr">
        <is>
          <t>JPM</t>
        </is>
      </c>
      <c r="F637" s="6" t="inlineStr">
        <is>
          <t>-</t>
        </is>
      </c>
      <c r="G637" s="7" t="n">
        <v>127.8931198120117</v>
      </c>
      <c r="H637" s="6">
        <f>P606</f>
        <v/>
      </c>
      <c r="I637" s="9">
        <f>Q606</f>
        <v/>
      </c>
      <c r="J637" s="7">
        <f>I637*G637</f>
        <v/>
      </c>
      <c r="K637" s="8">
        <f>IF($J$652=0,0,J637/$J$652)</f>
        <v/>
      </c>
      <c r="L637" s="6" t="inlineStr">
        <is>
          <t>REJECTED</t>
        </is>
      </c>
      <c r="M637" s="8" t="n">
        <v>0</v>
      </c>
      <c r="N637" s="7">
        <f>M637*$J$652-J637</f>
        <v/>
      </c>
      <c r="O637" s="9">
        <f>IF(G637=0,0,N637/G637)</f>
        <v/>
      </c>
      <c r="P637" s="6">
        <f>IF(M637&gt;0,D637,"")</f>
        <v/>
      </c>
      <c r="Q637" s="9">
        <f>I637+O637</f>
        <v/>
      </c>
      <c r="R637" s="7">
        <f>Q637*G637</f>
        <v/>
      </c>
      <c r="S637" s="8">
        <f>IF($R$652=0,0,R637/$R$652)</f>
        <v/>
      </c>
      <c r="T637" s="8" t="n">
        <v>0</v>
      </c>
      <c r="U637" s="8" t="n">
        <v>-0.01002427063318778</v>
      </c>
      <c r="V637" s="6" t="inlineStr">
        <is>
          <t>not selected</t>
        </is>
      </c>
    </row>
    <row r="638">
      <c r="A638" s="6" t="inlineStr">
        <is>
          <t>DJ30</t>
        </is>
      </c>
      <c r="B638" s="6" t="inlineStr">
        <is>
          <t>2023-05-26</t>
        </is>
      </c>
      <c r="C638" s="6" t="inlineStr">
        <is>
          <t>DIA</t>
        </is>
      </c>
      <c r="D638" s="6" t="inlineStr">
        <is>
          <t>KO</t>
        </is>
      </c>
      <c r="E638" s="6" t="inlineStr">
        <is>
          <t>KO</t>
        </is>
      </c>
      <c r="F638" s="6" t="inlineStr">
        <is>
          <t>-</t>
        </is>
      </c>
      <c r="G638" s="7" t="n">
        <v>54.75118637084961</v>
      </c>
      <c r="H638" s="6">
        <f>P607</f>
        <v/>
      </c>
      <c r="I638" s="9">
        <f>Q607</f>
        <v/>
      </c>
      <c r="J638" s="7">
        <f>I638*G638</f>
        <v/>
      </c>
      <c r="K638" s="8">
        <f>IF($J$652=0,0,J638/$J$652)</f>
        <v/>
      </c>
      <c r="L638" s="6" t="inlineStr">
        <is>
          <t>REJECTED</t>
        </is>
      </c>
      <c r="M638" s="8" t="n">
        <v>0</v>
      </c>
      <c r="N638" s="7">
        <f>M638*$J$652-J638</f>
        <v/>
      </c>
      <c r="O638" s="9">
        <f>IF(G638=0,0,N638/G638)</f>
        <v/>
      </c>
      <c r="P638" s="6">
        <f>IF(M638&gt;0,D638,"")</f>
        <v/>
      </c>
      <c r="Q638" s="9">
        <f>I638+O638</f>
        <v/>
      </c>
      <c r="R638" s="7">
        <f>Q638*G638</f>
        <v/>
      </c>
      <c r="S638" s="8">
        <f>IF($R$652=0,0,R638/$R$652)</f>
        <v/>
      </c>
      <c r="T638" s="8" t="n">
        <v>0</v>
      </c>
      <c r="U638" s="8" t="n">
        <v>-0.01002427063318778</v>
      </c>
      <c r="V638" s="6" t="inlineStr">
        <is>
          <t>not selected</t>
        </is>
      </c>
    </row>
    <row r="639">
      <c r="A639" s="6" t="inlineStr">
        <is>
          <t>DJ30</t>
        </is>
      </c>
      <c r="B639" s="6" t="inlineStr">
        <is>
          <t>2023-05-26</t>
        </is>
      </c>
      <c r="C639" s="6" t="inlineStr">
        <is>
          <t>DIA</t>
        </is>
      </c>
      <c r="D639" s="6" t="inlineStr">
        <is>
          <t>MCD</t>
        </is>
      </c>
      <c r="E639" s="6" t="inlineStr">
        <is>
          <t>MCD</t>
        </is>
      </c>
      <c r="F639" s="6" t="inlineStr">
        <is>
          <t>-</t>
        </is>
      </c>
      <c r="G639" s="7" t="n">
        <v>265.1167297363281</v>
      </c>
      <c r="H639" s="6">
        <f>P608</f>
        <v/>
      </c>
      <c r="I639" s="9">
        <f>Q608</f>
        <v/>
      </c>
      <c r="J639" s="7">
        <f>I639*G639</f>
        <v/>
      </c>
      <c r="K639" s="8">
        <f>IF($J$652=0,0,J639/$J$652)</f>
        <v/>
      </c>
      <c r="L639" s="6" t="inlineStr">
        <is>
          <t>REJECTED</t>
        </is>
      </c>
      <c r="M639" s="8" t="n">
        <v>0</v>
      </c>
      <c r="N639" s="7">
        <f>M639*$J$652-J639</f>
        <v/>
      </c>
      <c r="O639" s="9">
        <f>IF(G639=0,0,N639/G639)</f>
        <v/>
      </c>
      <c r="P639" s="6">
        <f>IF(M639&gt;0,D639,"")</f>
        <v/>
      </c>
      <c r="Q639" s="9">
        <f>I639+O639</f>
        <v/>
      </c>
      <c r="R639" s="7">
        <f>Q639*G639</f>
        <v/>
      </c>
      <c r="S639" s="8">
        <f>IF($R$652=0,0,R639/$R$652)</f>
        <v/>
      </c>
      <c r="T639" s="8" t="n">
        <v>0</v>
      </c>
      <c r="U639" s="8" t="n">
        <v>-0.01002427063318778</v>
      </c>
      <c r="V639" s="6" t="inlineStr">
        <is>
          <t>not selected</t>
        </is>
      </c>
    </row>
    <row r="640">
      <c r="A640" s="6" t="inlineStr">
        <is>
          <t>DJ30</t>
        </is>
      </c>
      <c r="B640" s="6" t="inlineStr">
        <is>
          <t>2023-05-26</t>
        </is>
      </c>
      <c r="C640" s="6" t="inlineStr">
        <is>
          <t>DIA</t>
        </is>
      </c>
      <c r="D640" s="6" t="inlineStr">
        <is>
          <t>MMM</t>
        </is>
      </c>
      <c r="E640" s="6" t="inlineStr">
        <is>
          <t>MMM</t>
        </is>
      </c>
      <c r="F640" s="6" t="inlineStr">
        <is>
          <t>-</t>
        </is>
      </c>
      <c r="G640" s="7" t="n">
        <v>73.86481475830078</v>
      </c>
      <c r="H640" s="6">
        <f>P609</f>
        <v/>
      </c>
      <c r="I640" s="9">
        <f>Q609</f>
        <v/>
      </c>
      <c r="J640" s="7">
        <f>I640*G640</f>
        <v/>
      </c>
      <c r="K640" s="8">
        <f>IF($J$652=0,0,J640/$J$652)</f>
        <v/>
      </c>
      <c r="L640" s="6" t="inlineStr">
        <is>
          <t>REJECTED</t>
        </is>
      </c>
      <c r="M640" s="8" t="n">
        <v>0</v>
      </c>
      <c r="N640" s="7">
        <f>M640*$J$652-J640</f>
        <v/>
      </c>
      <c r="O640" s="9">
        <f>IF(G640=0,0,N640/G640)</f>
        <v/>
      </c>
      <c r="P640" s="6">
        <f>IF(M640&gt;0,D640,"")</f>
        <v/>
      </c>
      <c r="Q640" s="9">
        <f>I640+O640</f>
        <v/>
      </c>
      <c r="R640" s="7">
        <f>Q640*G640</f>
        <v/>
      </c>
      <c r="S640" s="8">
        <f>IF($R$652=0,0,R640/$R$652)</f>
        <v/>
      </c>
      <c r="T640" s="8" t="n">
        <v>0</v>
      </c>
      <c r="U640" s="8" t="n">
        <v>-0.01002427063318778</v>
      </c>
      <c r="V640" s="6" t="inlineStr">
        <is>
          <t>not selected</t>
        </is>
      </c>
    </row>
    <row r="641">
      <c r="A641" s="6" t="inlineStr">
        <is>
          <t>DJ30</t>
        </is>
      </c>
      <c r="B641" s="6" t="inlineStr">
        <is>
          <t>2023-05-26</t>
        </is>
      </c>
      <c r="C641" s="6" t="inlineStr">
        <is>
          <t>DIA</t>
        </is>
      </c>
      <c r="D641" s="6" t="inlineStr">
        <is>
          <t>MRK</t>
        </is>
      </c>
      <c r="E641" s="6" t="inlineStr">
        <is>
          <t>MRK</t>
        </is>
      </c>
      <c r="F641" s="6" t="inlineStr">
        <is>
          <t>-</t>
        </is>
      </c>
      <c r="G641" s="7" t="n">
        <v>100.5961532592773</v>
      </c>
      <c r="H641" s="6">
        <f>P610</f>
        <v/>
      </c>
      <c r="I641" s="9">
        <f>Q610</f>
        <v/>
      </c>
      <c r="J641" s="7">
        <f>I641*G641</f>
        <v/>
      </c>
      <c r="K641" s="8">
        <f>IF($J$652=0,0,J641/$J$652)</f>
        <v/>
      </c>
      <c r="L641" s="6" t="inlineStr">
        <is>
          <t>REJECTED</t>
        </is>
      </c>
      <c r="M641" s="8" t="n">
        <v>0</v>
      </c>
      <c r="N641" s="7">
        <f>M641*$J$652-J641</f>
        <v/>
      </c>
      <c r="O641" s="9">
        <f>IF(G641=0,0,N641/G641)</f>
        <v/>
      </c>
      <c r="P641" s="6">
        <f>IF(M641&gt;0,D641,"")</f>
        <v/>
      </c>
      <c r="Q641" s="9">
        <f>I641+O641</f>
        <v/>
      </c>
      <c r="R641" s="7">
        <f>Q641*G641</f>
        <v/>
      </c>
      <c r="S641" s="8">
        <f>IF($R$652=0,0,R641/$R$652)</f>
        <v/>
      </c>
      <c r="T641" s="8" t="n">
        <v>0</v>
      </c>
      <c r="U641" s="8" t="n">
        <v>-0.01002427063318778</v>
      </c>
      <c r="V641" s="6" t="inlineStr">
        <is>
          <t>not selected</t>
        </is>
      </c>
    </row>
    <row r="642">
      <c r="A642" s="6" t="inlineStr">
        <is>
          <t>DJ30</t>
        </is>
      </c>
      <c r="B642" s="6" t="inlineStr">
        <is>
          <t>2023-05-26</t>
        </is>
      </c>
      <c r="C642" s="6" t="inlineStr">
        <is>
          <t>DIA</t>
        </is>
      </c>
      <c r="D642" s="6" t="inlineStr">
        <is>
          <t>MSFT</t>
        </is>
      </c>
      <c r="E642" s="6" t="inlineStr">
        <is>
          <t>MSFT</t>
        </is>
      </c>
      <c r="F642" s="6" t="inlineStr">
        <is>
          <t>-</t>
        </is>
      </c>
      <c r="G642" s="7" t="n">
        <v>325.1954650878906</v>
      </c>
      <c r="H642" s="6">
        <f>P611</f>
        <v/>
      </c>
      <c r="I642" s="9">
        <f>Q611</f>
        <v/>
      </c>
      <c r="J642" s="7">
        <f>I642*G642</f>
        <v/>
      </c>
      <c r="K642" s="8">
        <f>IF($J$652=0,0,J642/$J$652)</f>
        <v/>
      </c>
      <c r="L642" s="6" t="inlineStr">
        <is>
          <t>REJECTED</t>
        </is>
      </c>
      <c r="M642" s="8" t="n">
        <v>0</v>
      </c>
      <c r="N642" s="7">
        <f>M642*$J$652-J642</f>
        <v/>
      </c>
      <c r="O642" s="9">
        <f>IF(G642=0,0,N642/G642)</f>
        <v/>
      </c>
      <c r="P642" s="6">
        <f>IF(M642&gt;0,D642,"")</f>
        <v/>
      </c>
      <c r="Q642" s="9">
        <f>I642+O642</f>
        <v/>
      </c>
      <c r="R642" s="7">
        <f>Q642*G642</f>
        <v/>
      </c>
      <c r="S642" s="8">
        <f>IF($R$652=0,0,R642/$R$652)</f>
        <v/>
      </c>
      <c r="T642" s="8" t="n">
        <v>0</v>
      </c>
      <c r="U642" s="8" t="n">
        <v>-0.01002427063318778</v>
      </c>
      <c r="V642" s="6" t="inlineStr">
        <is>
          <t>not selected</t>
        </is>
      </c>
    </row>
    <row r="643">
      <c r="A643" s="6" t="inlineStr">
        <is>
          <t>DJ30</t>
        </is>
      </c>
      <c r="B643" s="6" t="inlineStr">
        <is>
          <t>2023-05-26</t>
        </is>
      </c>
      <c r="C643" s="6" t="inlineStr">
        <is>
          <t>DIA</t>
        </is>
      </c>
      <c r="D643" s="6" t="inlineStr">
        <is>
          <t>NKE</t>
        </is>
      </c>
      <c r="E643" s="6" t="inlineStr">
        <is>
          <t>NKE</t>
        </is>
      </c>
      <c r="F643" s="6" t="inlineStr">
        <is>
          <t>-</t>
        </is>
      </c>
      <c r="G643" s="7" t="n">
        <v>100.6688461303711</v>
      </c>
      <c r="H643" s="6">
        <f>P612</f>
        <v/>
      </c>
      <c r="I643" s="9">
        <f>Q612</f>
        <v/>
      </c>
      <c r="J643" s="7">
        <f>I643*G643</f>
        <v/>
      </c>
      <c r="K643" s="8">
        <f>IF($J$652=0,0,J643/$J$652)</f>
        <v/>
      </c>
      <c r="L643" s="6" t="inlineStr">
        <is>
          <t>REJECTED</t>
        </is>
      </c>
      <c r="M643" s="8" t="n">
        <v>0</v>
      </c>
      <c r="N643" s="7">
        <f>M643*$J$652-J643</f>
        <v/>
      </c>
      <c r="O643" s="9">
        <f>IF(G643=0,0,N643/G643)</f>
        <v/>
      </c>
      <c r="P643" s="6">
        <f>IF(M643&gt;0,D643,"")</f>
        <v/>
      </c>
      <c r="Q643" s="9">
        <f>I643+O643</f>
        <v/>
      </c>
      <c r="R643" s="7">
        <f>Q643*G643</f>
        <v/>
      </c>
      <c r="S643" s="8">
        <f>IF($R$652=0,0,R643/$R$652)</f>
        <v/>
      </c>
      <c r="T643" s="8" t="n">
        <v>0</v>
      </c>
      <c r="U643" s="8" t="n">
        <v>-0.01002427063318778</v>
      </c>
      <c r="V643" s="6" t="inlineStr">
        <is>
          <t>not selected</t>
        </is>
      </c>
    </row>
    <row r="644">
      <c r="A644" s="6" t="inlineStr">
        <is>
          <t>DJ30</t>
        </is>
      </c>
      <c r="B644" s="6" t="inlineStr">
        <is>
          <t>2023-05-26</t>
        </is>
      </c>
      <c r="C644" s="6" t="inlineStr">
        <is>
          <t>DIA</t>
        </is>
      </c>
      <c r="D644" s="6" t="inlineStr">
        <is>
          <t>NVDA</t>
        </is>
      </c>
      <c r="E644" s="6" t="inlineStr">
        <is>
          <t>NVDA</t>
        </is>
      </c>
      <c r="F644" s="6" t="inlineStr">
        <is>
          <t>-</t>
        </is>
      </c>
      <c r="G644" s="7" t="n">
        <v>38.86624908447266</v>
      </c>
      <c r="H644" s="6">
        <f>P613</f>
        <v/>
      </c>
      <c r="I644" s="9">
        <f>Q613</f>
        <v/>
      </c>
      <c r="J644" s="7">
        <f>I644*G644</f>
        <v/>
      </c>
      <c r="K644" s="8">
        <f>IF($J$652=0,0,J644/$J$652)</f>
        <v/>
      </c>
      <c r="L644" s="6" t="inlineStr">
        <is>
          <t>REJECTED</t>
        </is>
      </c>
      <c r="M644" s="8" t="n">
        <v>0</v>
      </c>
      <c r="N644" s="7">
        <f>M644*$J$652-J644</f>
        <v/>
      </c>
      <c r="O644" s="9">
        <f>IF(G644=0,0,N644/G644)</f>
        <v/>
      </c>
      <c r="P644" s="6">
        <f>IF(M644&gt;0,D644,"")</f>
        <v/>
      </c>
      <c r="Q644" s="9">
        <f>I644+O644</f>
        <v/>
      </c>
      <c r="R644" s="7">
        <f>Q644*G644</f>
        <v/>
      </c>
      <c r="S644" s="8">
        <f>IF($R$652=0,0,R644/$R$652)</f>
        <v/>
      </c>
      <c r="T644" s="8" t="n">
        <v>0</v>
      </c>
      <c r="U644" s="8" t="n">
        <v>-0.01002427063318778</v>
      </c>
      <c r="V644" s="6" t="inlineStr">
        <is>
          <t>not selected</t>
        </is>
      </c>
    </row>
    <row r="645">
      <c r="A645" s="6" t="inlineStr">
        <is>
          <t>DJ30</t>
        </is>
      </c>
      <c r="B645" s="6" t="inlineStr">
        <is>
          <t>2023-05-26</t>
        </is>
      </c>
      <c r="C645" s="6" t="inlineStr">
        <is>
          <t>DIA</t>
        </is>
      </c>
      <c r="D645" s="6" t="inlineStr">
        <is>
          <t>PG</t>
        </is>
      </c>
      <c r="E645" s="6" t="inlineStr">
        <is>
          <t>PG</t>
        </is>
      </c>
      <c r="F645" s="6" t="inlineStr">
        <is>
          <t>-</t>
        </is>
      </c>
      <c r="G645" s="7" t="n">
        <v>134.514404296875</v>
      </c>
      <c r="H645" s="6">
        <f>P614</f>
        <v/>
      </c>
      <c r="I645" s="9">
        <f>Q614</f>
        <v/>
      </c>
      <c r="J645" s="7">
        <f>I645*G645</f>
        <v/>
      </c>
      <c r="K645" s="8">
        <f>IF($J$652=0,0,J645/$J$652)</f>
        <v/>
      </c>
      <c r="L645" s="6" t="inlineStr">
        <is>
          <t>REJECTED</t>
        </is>
      </c>
      <c r="M645" s="8" t="n">
        <v>0</v>
      </c>
      <c r="N645" s="7">
        <f>M645*$J$652-J645</f>
        <v/>
      </c>
      <c r="O645" s="9">
        <f>IF(G645=0,0,N645/G645)</f>
        <v/>
      </c>
      <c r="P645" s="6">
        <f>IF(M645&gt;0,D645,"")</f>
        <v/>
      </c>
      <c r="Q645" s="9">
        <f>I645+O645</f>
        <v/>
      </c>
      <c r="R645" s="7">
        <f>Q645*G645</f>
        <v/>
      </c>
      <c r="S645" s="8">
        <f>IF($R$652=0,0,R645/$R$652)</f>
        <v/>
      </c>
      <c r="T645" s="8" t="n">
        <v>0</v>
      </c>
      <c r="U645" s="8" t="n">
        <v>-0.01002427063318778</v>
      </c>
      <c r="V645" s="6" t="inlineStr">
        <is>
          <t>not selected</t>
        </is>
      </c>
    </row>
    <row r="646">
      <c r="A646" s="6" t="inlineStr">
        <is>
          <t>DJ30</t>
        </is>
      </c>
      <c r="B646" s="6" t="inlineStr">
        <is>
          <t>2023-05-26</t>
        </is>
      </c>
      <c r="C646" s="6" t="inlineStr">
        <is>
          <t>DIA</t>
        </is>
      </c>
      <c r="D646" s="6" t="inlineStr">
        <is>
          <t>SHW</t>
        </is>
      </c>
      <c r="E646" s="6" t="inlineStr">
        <is>
          <t>SHW</t>
        </is>
      </c>
      <c r="F646" s="6" t="inlineStr">
        <is>
          <t>-</t>
        </is>
      </c>
      <c r="G646" s="7" t="n">
        <v>223.1436157226562</v>
      </c>
      <c r="H646" s="6">
        <f>P615</f>
        <v/>
      </c>
      <c r="I646" s="9">
        <f>Q615</f>
        <v/>
      </c>
      <c r="J646" s="7">
        <f>I646*G646</f>
        <v/>
      </c>
      <c r="K646" s="8">
        <f>IF($J$652=0,0,J646/$J$652)</f>
        <v/>
      </c>
      <c r="L646" s="6" t="inlineStr">
        <is>
          <t>REJECTED</t>
        </is>
      </c>
      <c r="M646" s="8" t="n">
        <v>0</v>
      </c>
      <c r="N646" s="7">
        <f>M646*$J$652-J646</f>
        <v/>
      </c>
      <c r="O646" s="9">
        <f>IF(G646=0,0,N646/G646)</f>
        <v/>
      </c>
      <c r="P646" s="6">
        <f>IF(M646&gt;0,D646,"")</f>
        <v/>
      </c>
      <c r="Q646" s="9">
        <f>I646+O646</f>
        <v/>
      </c>
      <c r="R646" s="7">
        <f>Q646*G646</f>
        <v/>
      </c>
      <c r="S646" s="8">
        <f>IF($R$652=0,0,R646/$R$652)</f>
        <v/>
      </c>
      <c r="T646" s="8" t="n">
        <v>0</v>
      </c>
      <c r="U646" s="8" t="n">
        <v>-0.01002427063318778</v>
      </c>
      <c r="V646" s="6" t="inlineStr">
        <is>
          <t>not selected</t>
        </is>
      </c>
    </row>
    <row r="647">
      <c r="A647" s="6" t="inlineStr">
        <is>
          <t>DJ30</t>
        </is>
      </c>
      <c r="B647" s="6" t="inlineStr">
        <is>
          <t>2023-05-26</t>
        </is>
      </c>
      <c r="C647" s="6" t="inlineStr">
        <is>
          <t>DIA</t>
        </is>
      </c>
      <c r="D647" s="6" t="inlineStr">
        <is>
          <t>TRV</t>
        </is>
      </c>
      <c r="E647" s="6" t="inlineStr">
        <is>
          <t>TRV</t>
        </is>
      </c>
      <c r="F647" s="6" t="inlineStr">
        <is>
          <t>-</t>
        </is>
      </c>
      <c r="G647" s="7" t="n">
        <v>162.3480377197266</v>
      </c>
      <c r="H647" s="6">
        <f>P616</f>
        <v/>
      </c>
      <c r="I647" s="9">
        <f>Q616</f>
        <v/>
      </c>
      <c r="J647" s="7">
        <f>I647*G647</f>
        <v/>
      </c>
      <c r="K647" s="8">
        <f>IF($J$652=0,0,J647/$J$652)</f>
        <v/>
      </c>
      <c r="L647" s="6" t="inlineStr">
        <is>
          <t>REJECTED</t>
        </is>
      </c>
      <c r="M647" s="8" t="n">
        <v>0</v>
      </c>
      <c r="N647" s="7">
        <f>M647*$J$652-J647</f>
        <v/>
      </c>
      <c r="O647" s="9">
        <f>IF(G647=0,0,N647/G647)</f>
        <v/>
      </c>
      <c r="P647" s="6">
        <f>IF(M647&gt;0,D647,"")</f>
        <v/>
      </c>
      <c r="Q647" s="9">
        <f>I647+O647</f>
        <v/>
      </c>
      <c r="R647" s="7">
        <f>Q647*G647</f>
        <v/>
      </c>
      <c r="S647" s="8">
        <f>IF($R$652=0,0,R647/$R$652)</f>
        <v/>
      </c>
      <c r="T647" s="8" t="n">
        <v>0</v>
      </c>
      <c r="U647" s="8" t="n">
        <v>-0.01002427063318778</v>
      </c>
      <c r="V647" s="6" t="inlineStr">
        <is>
          <t>not selected</t>
        </is>
      </c>
    </row>
    <row r="648">
      <c r="A648" s="6" t="inlineStr">
        <is>
          <t>DJ30</t>
        </is>
      </c>
      <c r="B648" s="6" t="inlineStr">
        <is>
          <t>2023-05-26</t>
        </is>
      </c>
      <c r="C648" s="6" t="inlineStr">
        <is>
          <t>DIA</t>
        </is>
      </c>
      <c r="D648" s="6" t="inlineStr">
        <is>
          <t>UNH</t>
        </is>
      </c>
      <c r="E648" s="6" t="inlineStr">
        <is>
          <t>UNH</t>
        </is>
      </c>
      <c r="F648" s="6" t="inlineStr">
        <is>
          <t>-</t>
        </is>
      </c>
      <c r="G648" s="7" t="n">
        <v>451.3561706542969</v>
      </c>
      <c r="H648" s="6">
        <f>P617</f>
        <v/>
      </c>
      <c r="I648" s="9">
        <f>Q617</f>
        <v/>
      </c>
      <c r="J648" s="7">
        <f>I648*G648</f>
        <v/>
      </c>
      <c r="K648" s="8">
        <f>IF($J$652=0,0,J648/$J$652)</f>
        <v/>
      </c>
      <c r="L648" s="6" t="inlineStr">
        <is>
          <t>REJECTED</t>
        </is>
      </c>
      <c r="M648" s="8" t="n">
        <v>0</v>
      </c>
      <c r="N648" s="7">
        <f>M648*$J$652-J648</f>
        <v/>
      </c>
      <c r="O648" s="9">
        <f>IF(G648=0,0,N648/G648)</f>
        <v/>
      </c>
      <c r="P648" s="6">
        <f>IF(M648&gt;0,D648,"")</f>
        <v/>
      </c>
      <c r="Q648" s="9">
        <f>I648+O648</f>
        <v/>
      </c>
      <c r="R648" s="7">
        <f>Q648*G648</f>
        <v/>
      </c>
      <c r="S648" s="8">
        <f>IF($R$652=0,0,R648/$R$652)</f>
        <v/>
      </c>
      <c r="T648" s="8" t="n">
        <v>0</v>
      </c>
      <c r="U648" s="8" t="n">
        <v>-0.01002427063318778</v>
      </c>
      <c r="V648" s="6" t="inlineStr">
        <is>
          <t>not selected</t>
        </is>
      </c>
    </row>
    <row r="649">
      <c r="A649" s="6" t="inlineStr">
        <is>
          <t>DJ30</t>
        </is>
      </c>
      <c r="B649" s="6" t="inlineStr">
        <is>
          <t>2023-05-26</t>
        </is>
      </c>
      <c r="C649" s="6" t="inlineStr">
        <is>
          <t>DIA</t>
        </is>
      </c>
      <c r="D649" s="6" t="inlineStr">
        <is>
          <t>V</t>
        </is>
      </c>
      <c r="E649" s="6" t="inlineStr">
        <is>
          <t>V</t>
        </is>
      </c>
      <c r="F649" s="6" t="inlineStr">
        <is>
          <t>-</t>
        </is>
      </c>
      <c r="G649" s="7" t="n">
        <v>219.9315643310547</v>
      </c>
      <c r="H649" s="6">
        <f>P618</f>
        <v/>
      </c>
      <c r="I649" s="9">
        <f>Q618</f>
        <v/>
      </c>
      <c r="J649" s="7">
        <f>I649*G649</f>
        <v/>
      </c>
      <c r="K649" s="8">
        <f>IF($J$652=0,0,J649/$J$652)</f>
        <v/>
      </c>
      <c r="L649" s="6" t="inlineStr">
        <is>
          <t>REJECTED</t>
        </is>
      </c>
      <c r="M649" s="8" t="n">
        <v>0</v>
      </c>
      <c r="N649" s="7">
        <f>M649*$J$652-J649</f>
        <v/>
      </c>
      <c r="O649" s="9">
        <f>IF(G649=0,0,N649/G649)</f>
        <v/>
      </c>
      <c r="P649" s="6">
        <f>IF(M649&gt;0,D649,"")</f>
        <v/>
      </c>
      <c r="Q649" s="9">
        <f>I649+O649</f>
        <v/>
      </c>
      <c r="R649" s="7">
        <f>Q649*G649</f>
        <v/>
      </c>
      <c r="S649" s="8">
        <f>IF($R$652=0,0,R649/$R$652)</f>
        <v/>
      </c>
      <c r="T649" s="8" t="n">
        <v>0</v>
      </c>
      <c r="U649" s="8" t="n">
        <v>-0.01002427063318778</v>
      </c>
      <c r="V649" s="6" t="inlineStr">
        <is>
          <t>not selected</t>
        </is>
      </c>
    </row>
    <row r="650">
      <c r="A650" s="6" t="inlineStr">
        <is>
          <t>DJ30</t>
        </is>
      </c>
      <c r="B650" s="6" t="inlineStr">
        <is>
          <t>2023-05-26</t>
        </is>
      </c>
      <c r="C650" s="6" t="inlineStr">
        <is>
          <t>DIA</t>
        </is>
      </c>
      <c r="D650" s="6" t="inlineStr">
        <is>
          <t>VZ</t>
        </is>
      </c>
      <c r="E650" s="6" t="inlineStr">
        <is>
          <t>VZ</t>
        </is>
      </c>
      <c r="F650" s="6" t="inlineStr">
        <is>
          <t>-</t>
        </is>
      </c>
      <c r="G650" s="7" t="n">
        <v>28.59588050842285</v>
      </c>
      <c r="H650" s="6">
        <f>P619</f>
        <v/>
      </c>
      <c r="I650" s="9">
        <f>Q619</f>
        <v/>
      </c>
      <c r="J650" s="7">
        <f>I650*G650</f>
        <v/>
      </c>
      <c r="K650" s="8">
        <f>IF($J$652=0,0,J650/$J$652)</f>
        <v/>
      </c>
      <c r="L650" s="6" t="inlineStr">
        <is>
          <t>REJECTED</t>
        </is>
      </c>
      <c r="M650" s="8" t="n">
        <v>0</v>
      </c>
      <c r="N650" s="7">
        <f>M650*$J$652-J650</f>
        <v/>
      </c>
      <c r="O650" s="9">
        <f>IF(G650=0,0,N650/G650)</f>
        <v/>
      </c>
      <c r="P650" s="6">
        <f>IF(M650&gt;0,D650,"")</f>
        <v/>
      </c>
      <c r="Q650" s="9">
        <f>I650+O650</f>
        <v/>
      </c>
      <c r="R650" s="7">
        <f>Q650*G650</f>
        <v/>
      </c>
      <c r="S650" s="8">
        <f>IF($R$652=0,0,R650/$R$652)</f>
        <v/>
      </c>
      <c r="T650" s="8" t="n">
        <v>0</v>
      </c>
      <c r="U650" s="8" t="n">
        <v>-0.01002427063318778</v>
      </c>
      <c r="V650" s="6" t="inlineStr">
        <is>
          <t>not selected</t>
        </is>
      </c>
    </row>
    <row r="651">
      <c r="A651" s="6" t="inlineStr">
        <is>
          <t>DJ30</t>
        </is>
      </c>
      <c r="B651" s="6" t="inlineStr">
        <is>
          <t>2023-05-26</t>
        </is>
      </c>
      <c r="C651" s="6" t="inlineStr">
        <is>
          <t>DIA</t>
        </is>
      </c>
      <c r="D651" s="6" t="inlineStr">
        <is>
          <t>WMT</t>
        </is>
      </c>
      <c r="E651" s="6" t="inlineStr">
        <is>
          <t>WMT</t>
        </is>
      </c>
      <c r="F651" s="6" t="inlineStr">
        <is>
          <t>-</t>
        </is>
      </c>
      <c r="G651" s="7" t="n">
        <v>47.23867416381836</v>
      </c>
      <c r="H651" s="6">
        <f>P620</f>
        <v/>
      </c>
      <c r="I651" s="9">
        <f>Q620</f>
        <v/>
      </c>
      <c r="J651" s="7">
        <f>I651*G651</f>
        <v/>
      </c>
      <c r="K651" s="8">
        <f>IF($J$652=0,0,J651/$J$652)</f>
        <v/>
      </c>
      <c r="L651" s="6" t="inlineStr">
        <is>
          <t>REJECTED</t>
        </is>
      </c>
      <c r="M651" s="8" t="n">
        <v>0</v>
      </c>
      <c r="N651" s="7">
        <f>M651*$J$652-J651</f>
        <v/>
      </c>
      <c r="O651" s="9">
        <f>IF(G651=0,0,N651/G651)</f>
        <v/>
      </c>
      <c r="P651" s="6">
        <f>IF(M651&gt;0,D651,"")</f>
        <v/>
      </c>
      <c r="Q651" s="9">
        <f>I651+O651</f>
        <v/>
      </c>
      <c r="R651" s="7">
        <f>Q651*G651</f>
        <v/>
      </c>
      <c r="S651" s="8">
        <f>IF($R$652=0,0,R651/$R$652)</f>
        <v/>
      </c>
      <c r="T651" s="8" t="n">
        <v>0</v>
      </c>
      <c r="U651" s="8" t="n">
        <v>-0.01002427063318778</v>
      </c>
      <c r="V651" s="6" t="inlineStr">
        <is>
          <t>not selected</t>
        </is>
      </c>
    </row>
    <row r="652">
      <c r="A652" s="10" t="inlineStr">
        <is>
          <t>DJ30</t>
        </is>
      </c>
      <c r="B652" s="10" t="inlineStr">
        <is>
          <t>2023-05-26</t>
        </is>
      </c>
      <c r="C652" s="10" t="inlineStr">
        <is>
          <t>DIA</t>
        </is>
      </c>
      <c r="D652" s="10" t="inlineStr">
        <is>
          <t>Tot Portfolio</t>
        </is>
      </c>
      <c r="E652" s="10" t="inlineStr"/>
      <c r="F652" s="10" t="inlineStr"/>
      <c r="G652" s="11" t="inlineStr"/>
      <c r="H652" s="10" t="inlineStr"/>
      <c r="I652" s="12" t="inlineStr"/>
      <c r="J652" s="11">
        <f>SUM(J622:J651)</f>
        <v/>
      </c>
      <c r="K652" s="13">
        <f>SUM(K622:K651)</f>
        <v/>
      </c>
      <c r="L652" s="10" t="inlineStr">
        <is>
          <t>TOTAL</t>
        </is>
      </c>
      <c r="M652" s="13">
        <f>SUM(M622:M651)</f>
        <v/>
      </c>
      <c r="N652" s="11">
        <f>SUM(N622:N651)</f>
        <v/>
      </c>
      <c r="O652" s="12">
        <f>SUM(O622:O651)</f>
        <v/>
      </c>
      <c r="P652" s="10" t="inlineStr"/>
      <c r="Q652" s="12" t="inlineStr"/>
      <c r="R652" s="11">
        <f>SUM(R622:R651)</f>
        <v/>
      </c>
      <c r="S652" s="13">
        <f>SUM(S622:S651)</f>
        <v/>
      </c>
      <c r="T652" s="13" t="n">
        <v>0</v>
      </c>
      <c r="U652" s="13" t="n">
        <v>-0.01002427063318778</v>
      </c>
      <c r="V652" s="10" t="inlineStr"/>
    </row>
    <row r="653">
      <c r="A653" s="6" t="inlineStr">
        <is>
          <t>DJ30</t>
        </is>
      </c>
      <c r="B653" s="6" t="inlineStr">
        <is>
          <t>2023-06-02</t>
        </is>
      </c>
      <c r="C653" s="6" t="inlineStr">
        <is>
          <t>DIA</t>
        </is>
      </c>
      <c r="D653" s="6" t="inlineStr">
        <is>
          <t>AAPL</t>
        </is>
      </c>
      <c r="E653" s="6" t="inlineStr">
        <is>
          <t>AAPL</t>
        </is>
      </c>
      <c r="F653" s="6" t="inlineStr">
        <is>
          <t>-</t>
        </is>
      </c>
      <c r="G653" s="7" t="n">
        <v>178.4482727050781</v>
      </c>
      <c r="H653" s="6">
        <f>P622</f>
        <v/>
      </c>
      <c r="I653" s="9">
        <f>Q622</f>
        <v/>
      </c>
      <c r="J653" s="7">
        <f>I653*G653</f>
        <v/>
      </c>
      <c r="K653" s="8">
        <f>IF($J$683=0,0,J653/$J$683)</f>
        <v/>
      </c>
      <c r="L653" s="6" t="inlineStr">
        <is>
          <t>REJECTED</t>
        </is>
      </c>
      <c r="M653" s="8" t="n">
        <v>0</v>
      </c>
      <c r="N653" s="7">
        <f>M653*$J$683-J653</f>
        <v/>
      </c>
      <c r="O653" s="9">
        <f>IF(G653=0,0,N653/G653)</f>
        <v/>
      </c>
      <c r="P653" s="6">
        <f>IF(M653&gt;0,D653,"")</f>
        <v/>
      </c>
      <c r="Q653" s="9">
        <f>I653+O653</f>
        <v/>
      </c>
      <c r="R653" s="7">
        <f>Q653*G653</f>
        <v/>
      </c>
      <c r="S653" s="8">
        <f>IF($R$683=0,0,R653/$R$683)</f>
        <v/>
      </c>
      <c r="T653" s="8" t="n">
        <v>0</v>
      </c>
      <c r="U653" s="8" t="n">
        <v>0.02185346333746807</v>
      </c>
      <c r="V653" s="6" t="inlineStr">
        <is>
          <t>not selected</t>
        </is>
      </c>
    </row>
    <row r="654">
      <c r="A654" s="6" t="inlineStr">
        <is>
          <t>DJ30</t>
        </is>
      </c>
      <c r="B654" s="6" t="inlineStr">
        <is>
          <t>2023-06-02</t>
        </is>
      </c>
      <c r="C654" s="6" t="inlineStr">
        <is>
          <t>DIA</t>
        </is>
      </c>
      <c r="D654" s="6" t="inlineStr">
        <is>
          <t>AMGN</t>
        </is>
      </c>
      <c r="E654" s="6" t="inlineStr">
        <is>
          <t>AMGN</t>
        </is>
      </c>
      <c r="F654" s="6" t="inlineStr">
        <is>
          <t>-</t>
        </is>
      </c>
      <c r="G654" s="7" t="n">
        <v>198.8769226074219</v>
      </c>
      <c r="H654" s="6">
        <f>P623</f>
        <v/>
      </c>
      <c r="I654" s="9">
        <f>Q623</f>
        <v/>
      </c>
      <c r="J654" s="7">
        <f>I654*G654</f>
        <v/>
      </c>
      <c r="K654" s="8">
        <f>IF($J$683=0,0,J654/$J$683)</f>
        <v/>
      </c>
      <c r="L654" s="6" t="inlineStr">
        <is>
          <t>REJECTED</t>
        </is>
      </c>
      <c r="M654" s="8" t="n">
        <v>0</v>
      </c>
      <c r="N654" s="7">
        <f>M654*$J$683-J654</f>
        <v/>
      </c>
      <c r="O654" s="9">
        <f>IF(G654=0,0,N654/G654)</f>
        <v/>
      </c>
      <c r="P654" s="6">
        <f>IF(M654&gt;0,D654,"")</f>
        <v/>
      </c>
      <c r="Q654" s="9">
        <f>I654+O654</f>
        <v/>
      </c>
      <c r="R654" s="7">
        <f>Q654*G654</f>
        <v/>
      </c>
      <c r="S654" s="8">
        <f>IF($R$683=0,0,R654/$R$683)</f>
        <v/>
      </c>
      <c r="T654" s="8" t="n">
        <v>0</v>
      </c>
      <c r="U654" s="8" t="n">
        <v>0.02185346333746807</v>
      </c>
      <c r="V654" s="6" t="inlineStr">
        <is>
          <t>not selected</t>
        </is>
      </c>
    </row>
    <row r="655">
      <c r="A655" s="6" t="inlineStr">
        <is>
          <t>DJ30</t>
        </is>
      </c>
      <c r="B655" s="6" t="inlineStr">
        <is>
          <t>2023-06-02</t>
        </is>
      </c>
      <c r="C655" s="6" t="inlineStr">
        <is>
          <t>DIA</t>
        </is>
      </c>
      <c r="D655" s="6" t="inlineStr">
        <is>
          <t>AMZN</t>
        </is>
      </c>
      <c r="E655" s="6" t="inlineStr">
        <is>
          <t>AMZN</t>
        </is>
      </c>
      <c r="F655" s="6" t="inlineStr">
        <is>
          <t>-</t>
        </is>
      </c>
      <c r="G655" s="7" t="n">
        <v>124.25</v>
      </c>
      <c r="H655" s="6">
        <f>P624</f>
        <v/>
      </c>
      <c r="I655" s="9">
        <f>Q624</f>
        <v/>
      </c>
      <c r="J655" s="7">
        <f>I655*G655</f>
        <v/>
      </c>
      <c r="K655" s="8">
        <f>IF($J$683=0,0,J655/$J$683)</f>
        <v/>
      </c>
      <c r="L655" s="6" t="inlineStr">
        <is>
          <t>REJECTED</t>
        </is>
      </c>
      <c r="M655" s="8" t="n">
        <v>0</v>
      </c>
      <c r="N655" s="7">
        <f>M655*$J$683-J655</f>
        <v/>
      </c>
      <c r="O655" s="9">
        <f>IF(G655=0,0,N655/G655)</f>
        <v/>
      </c>
      <c r="P655" s="6">
        <f>IF(M655&gt;0,D655,"")</f>
        <v/>
      </c>
      <c r="Q655" s="9">
        <f>I655+O655</f>
        <v/>
      </c>
      <c r="R655" s="7">
        <f>Q655*G655</f>
        <v/>
      </c>
      <c r="S655" s="8">
        <f>IF($R$683=0,0,R655/$R$683)</f>
        <v/>
      </c>
      <c r="T655" s="8" t="n">
        <v>0</v>
      </c>
      <c r="U655" s="8" t="n">
        <v>0.02185346333746807</v>
      </c>
      <c r="V655" s="6" t="inlineStr">
        <is>
          <t>not selected</t>
        </is>
      </c>
    </row>
    <row r="656">
      <c r="A656" s="6" t="inlineStr">
        <is>
          <t>DJ30</t>
        </is>
      </c>
      <c r="B656" s="6" t="inlineStr">
        <is>
          <t>2023-06-02</t>
        </is>
      </c>
      <c r="C656" s="6" t="inlineStr">
        <is>
          <t>DIA</t>
        </is>
      </c>
      <c r="D656" s="6" t="inlineStr">
        <is>
          <t>AXP</t>
        </is>
      </c>
      <c r="E656" s="6" t="inlineStr">
        <is>
          <t>AXP</t>
        </is>
      </c>
      <c r="F656" s="6" t="inlineStr">
        <is>
          <t>-</t>
        </is>
      </c>
      <c r="G656" s="7" t="n">
        <v>162.6783905029297</v>
      </c>
      <c r="H656" s="6">
        <f>P625</f>
        <v/>
      </c>
      <c r="I656" s="9">
        <f>Q625</f>
        <v/>
      </c>
      <c r="J656" s="7">
        <f>I656*G656</f>
        <v/>
      </c>
      <c r="K656" s="8">
        <f>IF($J$683=0,0,J656/$J$683)</f>
        <v/>
      </c>
      <c r="L656" s="6" t="inlineStr">
        <is>
          <t>REJECTED</t>
        </is>
      </c>
      <c r="M656" s="8" t="n">
        <v>0</v>
      </c>
      <c r="N656" s="7">
        <f>M656*$J$683-J656</f>
        <v/>
      </c>
      <c r="O656" s="9">
        <f>IF(G656=0,0,N656/G656)</f>
        <v/>
      </c>
      <c r="P656" s="6">
        <f>IF(M656&gt;0,D656,"")</f>
        <v/>
      </c>
      <c r="Q656" s="9">
        <f>I656+O656</f>
        <v/>
      </c>
      <c r="R656" s="7">
        <f>Q656*G656</f>
        <v/>
      </c>
      <c r="S656" s="8">
        <f>IF($R$683=0,0,R656/$R$683)</f>
        <v/>
      </c>
      <c r="T656" s="8" t="n">
        <v>0</v>
      </c>
      <c r="U656" s="8" t="n">
        <v>0.02185346333746807</v>
      </c>
      <c r="V656" s="6" t="inlineStr">
        <is>
          <t>not selected</t>
        </is>
      </c>
    </row>
    <row r="657">
      <c r="A657" s="6" t="inlineStr">
        <is>
          <t>DJ30</t>
        </is>
      </c>
      <c r="B657" s="6" t="inlineStr">
        <is>
          <t>2023-06-02</t>
        </is>
      </c>
      <c r="C657" s="6" t="inlineStr">
        <is>
          <t>DIA</t>
        </is>
      </c>
      <c r="D657" s="6" t="inlineStr">
        <is>
          <t>BA</t>
        </is>
      </c>
      <c r="E657" s="6" t="inlineStr">
        <is>
          <t>BA</t>
        </is>
      </c>
      <c r="F657" s="6" t="inlineStr">
        <is>
          <t>-</t>
        </is>
      </c>
      <c r="G657" s="7" t="n">
        <v>213.3200073242188</v>
      </c>
      <c r="H657" s="6">
        <f>P626</f>
        <v/>
      </c>
      <c r="I657" s="9">
        <f>Q626</f>
        <v/>
      </c>
      <c r="J657" s="7">
        <f>I657*G657</f>
        <v/>
      </c>
      <c r="K657" s="8">
        <f>IF($J$683=0,0,J657/$J$683)</f>
        <v/>
      </c>
      <c r="L657" s="6" t="inlineStr">
        <is>
          <t>REJECTED</t>
        </is>
      </c>
      <c r="M657" s="8" t="n">
        <v>0</v>
      </c>
      <c r="N657" s="7">
        <f>M657*$J$683-J657</f>
        <v/>
      </c>
      <c r="O657" s="9">
        <f>IF(G657=0,0,N657/G657)</f>
        <v/>
      </c>
      <c r="P657" s="6">
        <f>IF(M657&gt;0,D657,"")</f>
        <v/>
      </c>
      <c r="Q657" s="9">
        <f>I657+O657</f>
        <v/>
      </c>
      <c r="R657" s="7">
        <f>Q657*G657</f>
        <v/>
      </c>
      <c r="S657" s="8">
        <f>IF($R$683=0,0,R657/$R$683)</f>
        <v/>
      </c>
      <c r="T657" s="8" t="n">
        <v>0</v>
      </c>
      <c r="U657" s="8" t="n">
        <v>0.02185346333746807</v>
      </c>
      <c r="V657" s="6" t="inlineStr">
        <is>
          <t>not selected</t>
        </is>
      </c>
    </row>
    <row r="658">
      <c r="A658" s="6" t="inlineStr">
        <is>
          <t>DJ30</t>
        </is>
      </c>
      <c r="B658" s="6" t="inlineStr">
        <is>
          <t>2023-06-02</t>
        </is>
      </c>
      <c r="C658" s="6" t="inlineStr">
        <is>
          <t>DIA</t>
        </is>
      </c>
      <c r="D658" s="6" t="inlineStr">
        <is>
          <t>CAT</t>
        </is>
      </c>
      <c r="E658" s="6" t="inlineStr">
        <is>
          <t>CAT</t>
        </is>
      </c>
      <c r="F658" s="6" t="inlineStr">
        <is>
          <t>-</t>
        </is>
      </c>
      <c r="G658" s="7" t="n">
        <v>216.6073150634766</v>
      </c>
      <c r="H658" s="6">
        <f>P627</f>
        <v/>
      </c>
      <c r="I658" s="9">
        <f>Q627</f>
        <v/>
      </c>
      <c r="J658" s="7">
        <f>I658*G658</f>
        <v/>
      </c>
      <c r="K658" s="8">
        <f>IF($J$683=0,0,J658/$J$683)</f>
        <v/>
      </c>
      <c r="L658" s="6" t="inlineStr">
        <is>
          <t>REJECTED</t>
        </is>
      </c>
      <c r="M658" s="8" t="n">
        <v>0</v>
      </c>
      <c r="N658" s="7">
        <f>M658*$J$683-J658</f>
        <v/>
      </c>
      <c r="O658" s="9">
        <f>IF(G658=0,0,N658/G658)</f>
        <v/>
      </c>
      <c r="P658" s="6">
        <f>IF(M658&gt;0,D658,"")</f>
        <v/>
      </c>
      <c r="Q658" s="9">
        <f>I658+O658</f>
        <v/>
      </c>
      <c r="R658" s="7">
        <f>Q658*G658</f>
        <v/>
      </c>
      <c r="S658" s="8">
        <f>IF($R$683=0,0,R658/$R$683)</f>
        <v/>
      </c>
      <c r="T658" s="8" t="n">
        <v>0</v>
      </c>
      <c r="U658" s="8" t="n">
        <v>0.02185346333746807</v>
      </c>
      <c r="V658" s="6" t="inlineStr">
        <is>
          <t>not selected</t>
        </is>
      </c>
    </row>
    <row r="659">
      <c r="A659" s="6" t="inlineStr">
        <is>
          <t>DJ30</t>
        </is>
      </c>
      <c r="B659" s="6" t="inlineStr">
        <is>
          <t>2023-06-02</t>
        </is>
      </c>
      <c r="C659" s="6" t="inlineStr">
        <is>
          <t>DIA</t>
        </is>
      </c>
      <c r="D659" s="6" t="inlineStr">
        <is>
          <t>CRM</t>
        </is>
      </c>
      <c r="E659" s="6" t="inlineStr">
        <is>
          <t>CRM</t>
        </is>
      </c>
      <c r="F659" s="6" t="inlineStr">
        <is>
          <t>-</t>
        </is>
      </c>
      <c r="G659" s="7" t="n">
        <v>209.4071502685547</v>
      </c>
      <c r="H659" s="6">
        <f>P628</f>
        <v/>
      </c>
      <c r="I659" s="9">
        <f>Q628</f>
        <v/>
      </c>
      <c r="J659" s="7">
        <f>I659*G659</f>
        <v/>
      </c>
      <c r="K659" s="8">
        <f>IF($J$683=0,0,J659/$J$683)</f>
        <v/>
      </c>
      <c r="L659" s="6" t="inlineStr">
        <is>
          <t>REJECTED</t>
        </is>
      </c>
      <c r="M659" s="8" t="n">
        <v>0</v>
      </c>
      <c r="N659" s="7">
        <f>M659*$J$683-J659</f>
        <v/>
      </c>
      <c r="O659" s="9">
        <f>IF(G659=0,0,N659/G659)</f>
        <v/>
      </c>
      <c r="P659" s="6">
        <f>IF(M659&gt;0,D659,"")</f>
        <v/>
      </c>
      <c r="Q659" s="9">
        <f>I659+O659</f>
        <v/>
      </c>
      <c r="R659" s="7">
        <f>Q659*G659</f>
        <v/>
      </c>
      <c r="S659" s="8">
        <f>IF($R$683=0,0,R659/$R$683)</f>
        <v/>
      </c>
      <c r="T659" s="8" t="n">
        <v>0</v>
      </c>
      <c r="U659" s="8" t="n">
        <v>0.02185346333746807</v>
      </c>
      <c r="V659" s="6" t="inlineStr">
        <is>
          <t>not selected</t>
        </is>
      </c>
    </row>
    <row r="660">
      <c r="A660" s="6" t="inlineStr">
        <is>
          <t>DJ30</t>
        </is>
      </c>
      <c r="B660" s="6" t="inlineStr">
        <is>
          <t>2023-06-02</t>
        </is>
      </c>
      <c r="C660" s="6" t="inlineStr">
        <is>
          <t>DIA</t>
        </is>
      </c>
      <c r="D660" s="6" t="inlineStr">
        <is>
          <t>CSCO</t>
        </is>
      </c>
      <c r="E660" s="6" t="inlineStr">
        <is>
          <t>CSCO</t>
        </is>
      </c>
      <c r="F660" s="6" t="inlineStr">
        <is>
          <t>-</t>
        </is>
      </c>
      <c r="G660" s="7" t="n">
        <v>46.03667068481445</v>
      </c>
      <c r="H660" s="6">
        <f>P629</f>
        <v/>
      </c>
      <c r="I660" s="9">
        <f>Q629</f>
        <v/>
      </c>
      <c r="J660" s="7">
        <f>I660*G660</f>
        <v/>
      </c>
      <c r="K660" s="8">
        <f>IF($J$683=0,0,J660/$J$683)</f>
        <v/>
      </c>
      <c r="L660" s="6" t="inlineStr">
        <is>
          <t>REJECTED</t>
        </is>
      </c>
      <c r="M660" s="8" t="n">
        <v>0</v>
      </c>
      <c r="N660" s="7">
        <f>M660*$J$683-J660</f>
        <v/>
      </c>
      <c r="O660" s="9">
        <f>IF(G660=0,0,N660/G660)</f>
        <v/>
      </c>
      <c r="P660" s="6">
        <f>IF(M660&gt;0,D660,"")</f>
        <v/>
      </c>
      <c r="Q660" s="9">
        <f>I660+O660</f>
        <v/>
      </c>
      <c r="R660" s="7">
        <f>Q660*G660</f>
        <v/>
      </c>
      <c r="S660" s="8">
        <f>IF($R$683=0,0,R660/$R$683)</f>
        <v/>
      </c>
      <c r="T660" s="8" t="n">
        <v>0</v>
      </c>
      <c r="U660" s="8" t="n">
        <v>0.02185346333746807</v>
      </c>
      <c r="V660" s="6" t="inlineStr">
        <is>
          <t>not selected</t>
        </is>
      </c>
    </row>
    <row r="661">
      <c r="A661" s="6" t="inlineStr">
        <is>
          <t>DJ30</t>
        </is>
      </c>
      <c r="B661" s="6" t="inlineStr">
        <is>
          <t>2023-06-02</t>
        </is>
      </c>
      <c r="C661" s="6" t="inlineStr">
        <is>
          <t>DIA</t>
        </is>
      </c>
      <c r="D661" s="6" t="inlineStr">
        <is>
          <t>CVX</t>
        </is>
      </c>
      <c r="E661" s="6" t="inlineStr">
        <is>
          <t>CVX</t>
        </is>
      </c>
      <c r="F661" s="6" t="inlineStr">
        <is>
          <t>-</t>
        </is>
      </c>
      <c r="G661" s="7" t="n">
        <v>137.7145385742188</v>
      </c>
      <c r="H661" s="6">
        <f>P630</f>
        <v/>
      </c>
      <c r="I661" s="9">
        <f>Q630</f>
        <v/>
      </c>
      <c r="J661" s="7">
        <f>I661*G661</f>
        <v/>
      </c>
      <c r="K661" s="8">
        <f>IF($J$683=0,0,J661/$J$683)</f>
        <v/>
      </c>
      <c r="L661" s="6" t="inlineStr">
        <is>
          <t>REJECTED</t>
        </is>
      </c>
      <c r="M661" s="8" t="n">
        <v>0</v>
      </c>
      <c r="N661" s="7">
        <f>M661*$J$683-J661</f>
        <v/>
      </c>
      <c r="O661" s="9">
        <f>IF(G661=0,0,N661/G661)</f>
        <v/>
      </c>
      <c r="P661" s="6">
        <f>IF(M661&gt;0,D661,"")</f>
        <v/>
      </c>
      <c r="Q661" s="9">
        <f>I661+O661</f>
        <v/>
      </c>
      <c r="R661" s="7">
        <f>Q661*G661</f>
        <v/>
      </c>
      <c r="S661" s="8">
        <f>IF($R$683=0,0,R661/$R$683)</f>
        <v/>
      </c>
      <c r="T661" s="8" t="n">
        <v>0</v>
      </c>
      <c r="U661" s="8" t="n">
        <v>0.02185346333746807</v>
      </c>
      <c r="V661" s="6" t="inlineStr">
        <is>
          <t>not selected</t>
        </is>
      </c>
    </row>
    <row r="662">
      <c r="A662" s="6" t="inlineStr">
        <is>
          <t>DJ30</t>
        </is>
      </c>
      <c r="B662" s="6" t="inlineStr">
        <is>
          <t>2023-06-02</t>
        </is>
      </c>
      <c r="C662" s="6" t="inlineStr">
        <is>
          <t>DIA</t>
        </is>
      </c>
      <c r="D662" s="6" t="inlineStr">
        <is>
          <t>DIS</t>
        </is>
      </c>
      <c r="E662" s="6" t="inlineStr">
        <is>
          <t>DIS</t>
        </is>
      </c>
      <c r="F662" s="6" t="inlineStr">
        <is>
          <t>-</t>
        </is>
      </c>
      <c r="G662" s="7" t="n">
        <v>88.68160247802734</v>
      </c>
      <c r="H662" s="6">
        <f>P631</f>
        <v/>
      </c>
      <c r="I662" s="9">
        <f>Q631</f>
        <v/>
      </c>
      <c r="J662" s="7">
        <f>I662*G662</f>
        <v/>
      </c>
      <c r="K662" s="8">
        <f>IF($J$683=0,0,J662/$J$683)</f>
        <v/>
      </c>
      <c r="L662" s="6" t="inlineStr">
        <is>
          <t>REJECTED</t>
        </is>
      </c>
      <c r="M662" s="8" t="n">
        <v>0</v>
      </c>
      <c r="N662" s="7">
        <f>M662*$J$683-J662</f>
        <v/>
      </c>
      <c r="O662" s="9">
        <f>IF(G662=0,0,N662/G662)</f>
        <v/>
      </c>
      <c r="P662" s="6">
        <f>IF(M662&gt;0,D662,"")</f>
        <v/>
      </c>
      <c r="Q662" s="9">
        <f>I662+O662</f>
        <v/>
      </c>
      <c r="R662" s="7">
        <f>Q662*G662</f>
        <v/>
      </c>
      <c r="S662" s="8">
        <f>IF($R$683=0,0,R662/$R$683)</f>
        <v/>
      </c>
      <c r="T662" s="8" t="n">
        <v>0</v>
      </c>
      <c r="U662" s="8" t="n">
        <v>0.02185346333746807</v>
      </c>
      <c r="V662" s="6" t="inlineStr">
        <is>
          <t>not selected</t>
        </is>
      </c>
    </row>
    <row r="663">
      <c r="A663" s="6" t="inlineStr">
        <is>
          <t>DJ30</t>
        </is>
      </c>
      <c r="B663" s="6" t="inlineStr">
        <is>
          <t>2023-06-02</t>
        </is>
      </c>
      <c r="C663" s="6" t="inlineStr">
        <is>
          <t>DIA</t>
        </is>
      </c>
      <c r="D663" s="6" t="inlineStr">
        <is>
          <t>GS</t>
        </is>
      </c>
      <c r="E663" s="6" t="inlineStr">
        <is>
          <t>GS</t>
        </is>
      </c>
      <c r="F663" s="6" t="inlineStr">
        <is>
          <t>-</t>
        </is>
      </c>
      <c r="G663" s="7" t="n">
        <v>301.6889343261719</v>
      </c>
      <c r="H663" s="6">
        <f>P632</f>
        <v/>
      </c>
      <c r="I663" s="9">
        <f>Q632</f>
        <v/>
      </c>
      <c r="J663" s="7">
        <f>I663*G663</f>
        <v/>
      </c>
      <c r="K663" s="8">
        <f>IF($J$683=0,0,J663/$J$683)</f>
        <v/>
      </c>
      <c r="L663" s="6" t="inlineStr">
        <is>
          <t>REJECTED</t>
        </is>
      </c>
      <c r="M663" s="8" t="n">
        <v>0</v>
      </c>
      <c r="N663" s="7">
        <f>M663*$J$683-J663</f>
        <v/>
      </c>
      <c r="O663" s="9">
        <f>IF(G663=0,0,N663/G663)</f>
        <v/>
      </c>
      <c r="P663" s="6">
        <f>IF(M663&gt;0,D663,"")</f>
        <v/>
      </c>
      <c r="Q663" s="9">
        <f>I663+O663</f>
        <v/>
      </c>
      <c r="R663" s="7">
        <f>Q663*G663</f>
        <v/>
      </c>
      <c r="S663" s="8">
        <f>IF($R$683=0,0,R663/$R$683)</f>
        <v/>
      </c>
      <c r="T663" s="8" t="n">
        <v>0</v>
      </c>
      <c r="U663" s="8" t="n">
        <v>0.02185346333746807</v>
      </c>
      <c r="V663" s="6" t="inlineStr">
        <is>
          <t>not selected</t>
        </is>
      </c>
    </row>
    <row r="664">
      <c r="A664" s="6" t="inlineStr">
        <is>
          <t>DJ30</t>
        </is>
      </c>
      <c r="B664" s="6" t="inlineStr">
        <is>
          <t>2023-06-02</t>
        </is>
      </c>
      <c r="C664" s="6" t="inlineStr">
        <is>
          <t>DIA</t>
        </is>
      </c>
      <c r="D664" s="6" t="inlineStr">
        <is>
          <t>HD</t>
        </is>
      </c>
      <c r="E664" s="6" t="inlineStr">
        <is>
          <t>HD</t>
        </is>
      </c>
      <c r="F664" s="6" t="inlineStr">
        <is>
          <t>-</t>
        </is>
      </c>
      <c r="G664" s="7" t="n">
        <v>274.2771301269531</v>
      </c>
      <c r="H664" s="6">
        <f>P633</f>
        <v/>
      </c>
      <c r="I664" s="9">
        <f>Q633</f>
        <v/>
      </c>
      <c r="J664" s="7">
        <f>I664*G664</f>
        <v/>
      </c>
      <c r="K664" s="8">
        <f>IF($J$683=0,0,J664/$J$683)</f>
        <v/>
      </c>
      <c r="L664" s="6" t="inlineStr">
        <is>
          <t>REJECTED</t>
        </is>
      </c>
      <c r="M664" s="8" t="n">
        <v>0</v>
      </c>
      <c r="N664" s="7">
        <f>M664*$J$683-J664</f>
        <v/>
      </c>
      <c r="O664" s="9">
        <f>IF(G664=0,0,N664/G664)</f>
        <v/>
      </c>
      <c r="P664" s="6">
        <f>IF(M664&gt;0,D664,"")</f>
        <v/>
      </c>
      <c r="Q664" s="9">
        <f>I664+O664</f>
        <v/>
      </c>
      <c r="R664" s="7">
        <f>Q664*G664</f>
        <v/>
      </c>
      <c r="S664" s="8">
        <f>IF($R$683=0,0,R664/$R$683)</f>
        <v/>
      </c>
      <c r="T664" s="8" t="n">
        <v>0</v>
      </c>
      <c r="U664" s="8" t="n">
        <v>0.02185346333746807</v>
      </c>
      <c r="V664" s="6" t="inlineStr">
        <is>
          <t>not selected</t>
        </is>
      </c>
    </row>
    <row r="665">
      <c r="A665" s="6" t="inlineStr">
        <is>
          <t>DJ30</t>
        </is>
      </c>
      <c r="B665" s="6" t="inlineStr">
        <is>
          <t>2023-06-02</t>
        </is>
      </c>
      <c r="C665" s="6" t="inlineStr">
        <is>
          <t>DIA</t>
        </is>
      </c>
      <c r="D665" s="6" t="inlineStr">
        <is>
          <t>HON</t>
        </is>
      </c>
      <c r="E665" s="6" t="inlineStr">
        <is>
          <t>HON</t>
        </is>
      </c>
      <c r="F665" s="6" t="inlineStr">
        <is>
          <t>-</t>
        </is>
      </c>
      <c r="G665" s="7" t="n">
        <v>175.7132568359375</v>
      </c>
      <c r="H665" s="6">
        <f>P634</f>
        <v/>
      </c>
      <c r="I665" s="9">
        <f>Q634</f>
        <v/>
      </c>
      <c r="J665" s="7">
        <f>I665*G665</f>
        <v/>
      </c>
      <c r="K665" s="8">
        <f>IF($J$683=0,0,J665/$J$683)</f>
        <v/>
      </c>
      <c r="L665" s="6" t="inlineStr">
        <is>
          <t>REJECTED</t>
        </is>
      </c>
      <c r="M665" s="8" t="n">
        <v>0</v>
      </c>
      <c r="N665" s="7">
        <f>M665*$J$683-J665</f>
        <v/>
      </c>
      <c r="O665" s="9">
        <f>IF(G665=0,0,N665/G665)</f>
        <v/>
      </c>
      <c r="P665" s="6">
        <f>IF(M665&gt;0,D665,"")</f>
        <v/>
      </c>
      <c r="Q665" s="9">
        <f>I665+O665</f>
        <v/>
      </c>
      <c r="R665" s="7">
        <f>Q665*G665</f>
        <v/>
      </c>
      <c r="S665" s="8">
        <f>IF($R$683=0,0,R665/$R$683)</f>
        <v/>
      </c>
      <c r="T665" s="8" t="n">
        <v>0</v>
      </c>
      <c r="U665" s="8" t="n">
        <v>0.02185346333746807</v>
      </c>
      <c r="V665" s="6" t="inlineStr">
        <is>
          <t>not selected</t>
        </is>
      </c>
    </row>
    <row r="666">
      <c r="A666" s="6" t="inlineStr">
        <is>
          <t>DJ30</t>
        </is>
      </c>
      <c r="B666" s="6" t="inlineStr">
        <is>
          <t>2023-06-02</t>
        </is>
      </c>
      <c r="C666" s="6" t="inlineStr">
        <is>
          <t>DIA</t>
        </is>
      </c>
      <c r="D666" s="6" t="inlineStr">
        <is>
          <t>IBM</t>
        </is>
      </c>
      <c r="E666" s="6" t="inlineStr">
        <is>
          <t>IBM</t>
        </is>
      </c>
      <c r="F666" s="6" t="inlineStr">
        <is>
          <t>-</t>
        </is>
      </c>
      <c r="G666" s="7" t="n">
        <v>120.2075347900391</v>
      </c>
      <c r="H666" s="6">
        <f>P635</f>
        <v/>
      </c>
      <c r="I666" s="9">
        <f>Q635</f>
        <v/>
      </c>
      <c r="J666" s="7">
        <f>I666*G666</f>
        <v/>
      </c>
      <c r="K666" s="8">
        <f>IF($J$683=0,0,J666/$J$683)</f>
        <v/>
      </c>
      <c r="L666" s="6" t="inlineStr">
        <is>
          <t>REJECTED</t>
        </is>
      </c>
      <c r="M666" s="8" t="n">
        <v>0</v>
      </c>
      <c r="N666" s="7">
        <f>M666*$J$683-J666</f>
        <v/>
      </c>
      <c r="O666" s="9">
        <f>IF(G666=0,0,N666/G666)</f>
        <v/>
      </c>
      <c r="P666" s="6">
        <f>IF(M666&gt;0,D666,"")</f>
        <v/>
      </c>
      <c r="Q666" s="9">
        <f>I666+O666</f>
        <v/>
      </c>
      <c r="R666" s="7">
        <f>Q666*G666</f>
        <v/>
      </c>
      <c r="S666" s="8">
        <f>IF($R$683=0,0,R666/$R$683)</f>
        <v/>
      </c>
      <c r="T666" s="8" t="n">
        <v>0</v>
      </c>
      <c r="U666" s="8" t="n">
        <v>0.02185346333746807</v>
      </c>
      <c r="V666" s="6" t="inlineStr">
        <is>
          <t>not selected</t>
        </is>
      </c>
    </row>
    <row r="667">
      <c r="A667" s="6" t="inlineStr">
        <is>
          <t>DJ30</t>
        </is>
      </c>
      <c r="B667" s="6" t="inlineStr">
        <is>
          <t>2023-06-02</t>
        </is>
      </c>
      <c r="C667" s="6" t="inlineStr">
        <is>
          <t>DIA</t>
        </is>
      </c>
      <c r="D667" s="6" t="inlineStr">
        <is>
          <t>JNJ</t>
        </is>
      </c>
      <c r="E667" s="6" t="inlineStr">
        <is>
          <t>JNJ</t>
        </is>
      </c>
      <c r="F667" s="6" t="inlineStr">
        <is>
          <t>-</t>
        </is>
      </c>
      <c r="G667" s="7" t="n">
        <v>143.8092651367188</v>
      </c>
      <c r="H667" s="6">
        <f>P636</f>
        <v/>
      </c>
      <c r="I667" s="9">
        <f>Q636</f>
        <v/>
      </c>
      <c r="J667" s="7">
        <f>I667*G667</f>
        <v/>
      </c>
      <c r="K667" s="8">
        <f>IF($J$683=0,0,J667/$J$683)</f>
        <v/>
      </c>
      <c r="L667" s="6" t="inlineStr">
        <is>
          <t>REJECTED</t>
        </is>
      </c>
      <c r="M667" s="8" t="n">
        <v>0</v>
      </c>
      <c r="N667" s="7">
        <f>M667*$J$683-J667</f>
        <v/>
      </c>
      <c r="O667" s="9">
        <f>IF(G667=0,0,N667/G667)</f>
        <v/>
      </c>
      <c r="P667" s="6">
        <f>IF(M667&gt;0,D667,"")</f>
        <v/>
      </c>
      <c r="Q667" s="9">
        <f>I667+O667</f>
        <v/>
      </c>
      <c r="R667" s="7">
        <f>Q667*G667</f>
        <v/>
      </c>
      <c r="S667" s="8">
        <f>IF($R$683=0,0,R667/$R$683)</f>
        <v/>
      </c>
      <c r="T667" s="8" t="n">
        <v>0</v>
      </c>
      <c r="U667" s="8" t="n">
        <v>0.02185346333746807</v>
      </c>
      <c r="V667" s="6" t="inlineStr">
        <is>
          <t>not selected</t>
        </is>
      </c>
    </row>
    <row r="668">
      <c r="A668" s="6" t="inlineStr">
        <is>
          <t>DJ30</t>
        </is>
      </c>
      <c r="B668" s="6" t="inlineStr">
        <is>
          <t>2023-06-02</t>
        </is>
      </c>
      <c r="C668" s="6" t="inlineStr">
        <is>
          <t>DIA</t>
        </is>
      </c>
      <c r="D668" s="6" t="inlineStr">
        <is>
          <t>JPM</t>
        </is>
      </c>
      <c r="E668" s="6" t="inlineStr">
        <is>
          <t>JPM</t>
        </is>
      </c>
      <c r="F668" s="6" t="inlineStr">
        <is>
          <t>-</t>
        </is>
      </c>
      <c r="G668" s="7" t="n">
        <v>131.1898956298828</v>
      </c>
      <c r="H668" s="6">
        <f>P637</f>
        <v/>
      </c>
      <c r="I668" s="9">
        <f>Q637</f>
        <v/>
      </c>
      <c r="J668" s="7">
        <f>I668*G668</f>
        <v/>
      </c>
      <c r="K668" s="8">
        <f>IF($J$683=0,0,J668/$J$683)</f>
        <v/>
      </c>
      <c r="L668" s="6" t="inlineStr">
        <is>
          <t>REJECTED</t>
        </is>
      </c>
      <c r="M668" s="8" t="n">
        <v>0</v>
      </c>
      <c r="N668" s="7">
        <f>M668*$J$683-J668</f>
        <v/>
      </c>
      <c r="O668" s="9">
        <f>IF(G668=0,0,N668/G668)</f>
        <v/>
      </c>
      <c r="P668" s="6">
        <f>IF(M668&gt;0,D668,"")</f>
        <v/>
      </c>
      <c r="Q668" s="9">
        <f>I668+O668</f>
        <v/>
      </c>
      <c r="R668" s="7">
        <f>Q668*G668</f>
        <v/>
      </c>
      <c r="S668" s="8">
        <f>IF($R$683=0,0,R668/$R$683)</f>
        <v/>
      </c>
      <c r="T668" s="8" t="n">
        <v>0</v>
      </c>
      <c r="U668" s="8" t="n">
        <v>0.02185346333746807</v>
      </c>
      <c r="V668" s="6" t="inlineStr">
        <is>
          <t>not selected</t>
        </is>
      </c>
    </row>
    <row r="669">
      <c r="A669" s="6" t="inlineStr">
        <is>
          <t>DJ30</t>
        </is>
      </c>
      <c r="B669" s="6" t="inlineStr">
        <is>
          <t>2023-06-02</t>
        </is>
      </c>
      <c r="C669" s="6" t="inlineStr">
        <is>
          <t>DIA</t>
        </is>
      </c>
      <c r="D669" s="6" t="inlineStr">
        <is>
          <t>KO</t>
        </is>
      </c>
      <c r="E669" s="6" t="inlineStr">
        <is>
          <t>KO</t>
        </is>
      </c>
      <c r="F669" s="6" t="inlineStr">
        <is>
          <t>-</t>
        </is>
      </c>
      <c r="G669" s="7" t="n">
        <v>55.56890487670898</v>
      </c>
      <c r="H669" s="6">
        <f>P638</f>
        <v/>
      </c>
      <c r="I669" s="9">
        <f>Q638</f>
        <v/>
      </c>
      <c r="J669" s="7">
        <f>I669*G669</f>
        <v/>
      </c>
      <c r="K669" s="8">
        <f>IF($J$683=0,0,J669/$J$683)</f>
        <v/>
      </c>
      <c r="L669" s="6" t="inlineStr">
        <is>
          <t>REJECTED</t>
        </is>
      </c>
      <c r="M669" s="8" t="n">
        <v>0</v>
      </c>
      <c r="N669" s="7">
        <f>M669*$J$683-J669</f>
        <v/>
      </c>
      <c r="O669" s="9">
        <f>IF(G669=0,0,N669/G669)</f>
        <v/>
      </c>
      <c r="P669" s="6">
        <f>IF(M669&gt;0,D669,"")</f>
        <v/>
      </c>
      <c r="Q669" s="9">
        <f>I669+O669</f>
        <v/>
      </c>
      <c r="R669" s="7">
        <f>Q669*G669</f>
        <v/>
      </c>
      <c r="S669" s="8">
        <f>IF($R$683=0,0,R669/$R$683)</f>
        <v/>
      </c>
      <c r="T669" s="8" t="n">
        <v>0</v>
      </c>
      <c r="U669" s="8" t="n">
        <v>0.02185346333746807</v>
      </c>
      <c r="V669" s="6" t="inlineStr">
        <is>
          <t>not selected</t>
        </is>
      </c>
    </row>
    <row r="670">
      <c r="A670" s="6" t="inlineStr">
        <is>
          <t>DJ30</t>
        </is>
      </c>
      <c r="B670" s="6" t="inlineStr">
        <is>
          <t>2023-06-02</t>
        </is>
      </c>
      <c r="C670" s="6" t="inlineStr">
        <is>
          <t>DIA</t>
        </is>
      </c>
      <c r="D670" s="6" t="inlineStr">
        <is>
          <t>MCD</t>
        </is>
      </c>
      <c r="E670" s="6" t="inlineStr">
        <is>
          <t>MCD</t>
        </is>
      </c>
      <c r="F670" s="6" t="inlineStr">
        <is>
          <t>-</t>
        </is>
      </c>
      <c r="G670" s="7" t="n">
        <v>270.1300048828125</v>
      </c>
      <c r="H670" s="6">
        <f>P639</f>
        <v/>
      </c>
      <c r="I670" s="9">
        <f>Q639</f>
        <v/>
      </c>
      <c r="J670" s="7">
        <f>I670*G670</f>
        <v/>
      </c>
      <c r="K670" s="8">
        <f>IF($J$683=0,0,J670/$J$683)</f>
        <v/>
      </c>
      <c r="L670" s="6" t="inlineStr">
        <is>
          <t>REJECTED</t>
        </is>
      </c>
      <c r="M670" s="8" t="n">
        <v>0</v>
      </c>
      <c r="N670" s="7">
        <f>M670*$J$683-J670</f>
        <v/>
      </c>
      <c r="O670" s="9">
        <f>IF(G670=0,0,N670/G670)</f>
        <v/>
      </c>
      <c r="P670" s="6">
        <f>IF(M670&gt;0,D670,"")</f>
        <v/>
      </c>
      <c r="Q670" s="9">
        <f>I670+O670</f>
        <v/>
      </c>
      <c r="R670" s="7">
        <f>Q670*G670</f>
        <v/>
      </c>
      <c r="S670" s="8">
        <f>IF($R$683=0,0,R670/$R$683)</f>
        <v/>
      </c>
      <c r="T670" s="8" t="n">
        <v>0</v>
      </c>
      <c r="U670" s="8" t="n">
        <v>0.02185346333746807</v>
      </c>
      <c r="V670" s="6" t="inlineStr">
        <is>
          <t>not selected</t>
        </is>
      </c>
    </row>
    <row r="671">
      <c r="A671" s="6" t="inlineStr">
        <is>
          <t>DJ30</t>
        </is>
      </c>
      <c r="B671" s="6" t="inlineStr">
        <is>
          <t>2023-06-02</t>
        </is>
      </c>
      <c r="C671" s="6" t="inlineStr">
        <is>
          <t>DIA</t>
        </is>
      </c>
      <c r="D671" s="6" t="inlineStr">
        <is>
          <t>MMM</t>
        </is>
      </c>
      <c r="E671" s="6" t="inlineStr">
        <is>
          <t>MMM</t>
        </is>
      </c>
      <c r="F671" s="6" t="inlineStr">
        <is>
          <t>-</t>
        </is>
      </c>
      <c r="G671" s="7" t="n">
        <v>78.12419891357422</v>
      </c>
      <c r="H671" s="6">
        <f>P640</f>
        <v/>
      </c>
      <c r="I671" s="9">
        <f>Q640</f>
        <v/>
      </c>
      <c r="J671" s="7">
        <f>I671*G671</f>
        <v/>
      </c>
      <c r="K671" s="8">
        <f>IF($J$683=0,0,J671/$J$683)</f>
        <v/>
      </c>
      <c r="L671" s="6" t="inlineStr">
        <is>
          <t>REJECTED</t>
        </is>
      </c>
      <c r="M671" s="8" t="n">
        <v>0</v>
      </c>
      <c r="N671" s="7">
        <f>M671*$J$683-J671</f>
        <v/>
      </c>
      <c r="O671" s="9">
        <f>IF(G671=0,0,N671/G671)</f>
        <v/>
      </c>
      <c r="P671" s="6">
        <f>IF(M671&gt;0,D671,"")</f>
        <v/>
      </c>
      <c r="Q671" s="9">
        <f>I671+O671</f>
        <v/>
      </c>
      <c r="R671" s="7">
        <f>Q671*G671</f>
        <v/>
      </c>
      <c r="S671" s="8">
        <f>IF($R$683=0,0,R671/$R$683)</f>
        <v/>
      </c>
      <c r="T671" s="8" t="n">
        <v>0</v>
      </c>
      <c r="U671" s="8" t="n">
        <v>0.02185346333746807</v>
      </c>
      <c r="V671" s="6" t="inlineStr">
        <is>
          <t>not selected</t>
        </is>
      </c>
    </row>
    <row r="672">
      <c r="A672" s="6" t="inlineStr">
        <is>
          <t>DJ30</t>
        </is>
      </c>
      <c r="B672" s="6" t="inlineStr">
        <is>
          <t>2023-06-02</t>
        </is>
      </c>
      <c r="C672" s="6" t="inlineStr">
        <is>
          <t>DIA</t>
        </is>
      </c>
      <c r="D672" s="6" t="inlineStr">
        <is>
          <t>MRK</t>
        </is>
      </c>
      <c r="E672" s="6" t="inlineStr">
        <is>
          <t>MRK</t>
        </is>
      </c>
      <c r="F672" s="6" t="inlineStr">
        <is>
          <t>-</t>
        </is>
      </c>
      <c r="G672" s="7" t="n">
        <v>101.9094161987305</v>
      </c>
      <c r="H672" s="6">
        <f>P641</f>
        <v/>
      </c>
      <c r="I672" s="9">
        <f>Q641</f>
        <v/>
      </c>
      <c r="J672" s="7">
        <f>I672*G672</f>
        <v/>
      </c>
      <c r="K672" s="8">
        <f>IF($J$683=0,0,J672/$J$683)</f>
        <v/>
      </c>
      <c r="L672" s="6" t="inlineStr">
        <is>
          <t>REJECTED</t>
        </is>
      </c>
      <c r="M672" s="8" t="n">
        <v>0</v>
      </c>
      <c r="N672" s="7">
        <f>M672*$J$683-J672</f>
        <v/>
      </c>
      <c r="O672" s="9">
        <f>IF(G672=0,0,N672/G672)</f>
        <v/>
      </c>
      <c r="P672" s="6">
        <f>IF(M672&gt;0,D672,"")</f>
        <v/>
      </c>
      <c r="Q672" s="9">
        <f>I672+O672</f>
        <v/>
      </c>
      <c r="R672" s="7">
        <f>Q672*G672</f>
        <v/>
      </c>
      <c r="S672" s="8">
        <f>IF($R$683=0,0,R672/$R$683)</f>
        <v/>
      </c>
      <c r="T672" s="8" t="n">
        <v>0</v>
      </c>
      <c r="U672" s="8" t="n">
        <v>0.02185346333746807</v>
      </c>
      <c r="V672" s="6" t="inlineStr">
        <is>
          <t>not selected</t>
        </is>
      </c>
    </row>
    <row r="673">
      <c r="A673" s="6" t="inlineStr">
        <is>
          <t>DJ30</t>
        </is>
      </c>
      <c r="B673" s="6" t="inlineStr">
        <is>
          <t>2023-06-02</t>
        </is>
      </c>
      <c r="C673" s="6" t="inlineStr">
        <is>
          <t>DIA</t>
        </is>
      </c>
      <c r="D673" s="6" t="inlineStr">
        <is>
          <t>MSFT</t>
        </is>
      </c>
      <c r="E673" s="6" t="inlineStr">
        <is>
          <t>MSFT</t>
        </is>
      </c>
      <c r="F673" s="6" t="inlineStr">
        <is>
          <t>-</t>
        </is>
      </c>
      <c r="G673" s="7" t="n">
        <v>327.6473999023437</v>
      </c>
      <c r="H673" s="6">
        <f>P642</f>
        <v/>
      </c>
      <c r="I673" s="9">
        <f>Q642</f>
        <v/>
      </c>
      <c r="J673" s="7">
        <f>I673*G673</f>
        <v/>
      </c>
      <c r="K673" s="8">
        <f>IF($J$683=0,0,J673/$J$683)</f>
        <v/>
      </c>
      <c r="L673" s="6" t="inlineStr">
        <is>
          <t>REJECTED</t>
        </is>
      </c>
      <c r="M673" s="8" t="n">
        <v>0</v>
      </c>
      <c r="N673" s="7">
        <f>M673*$J$683-J673</f>
        <v/>
      </c>
      <c r="O673" s="9">
        <f>IF(G673=0,0,N673/G673)</f>
        <v/>
      </c>
      <c r="P673" s="6">
        <f>IF(M673&gt;0,D673,"")</f>
        <v/>
      </c>
      <c r="Q673" s="9">
        <f>I673+O673</f>
        <v/>
      </c>
      <c r="R673" s="7">
        <f>Q673*G673</f>
        <v/>
      </c>
      <c r="S673" s="8">
        <f>IF($R$683=0,0,R673/$R$683)</f>
        <v/>
      </c>
      <c r="T673" s="8" t="n">
        <v>0</v>
      </c>
      <c r="U673" s="8" t="n">
        <v>0.02185346333746807</v>
      </c>
      <c r="V673" s="6" t="inlineStr">
        <is>
          <t>not selected</t>
        </is>
      </c>
    </row>
    <row r="674">
      <c r="A674" s="6" t="inlineStr">
        <is>
          <t>DJ30</t>
        </is>
      </c>
      <c r="B674" s="6" t="inlineStr">
        <is>
          <t>2023-06-02</t>
        </is>
      </c>
      <c r="C674" s="6" t="inlineStr">
        <is>
          <t>DIA</t>
        </is>
      </c>
      <c r="D674" s="6" t="inlineStr">
        <is>
          <t>NKE</t>
        </is>
      </c>
      <c r="E674" s="6" t="inlineStr">
        <is>
          <t>NKE</t>
        </is>
      </c>
      <c r="F674" s="6" t="inlineStr">
        <is>
          <t>-</t>
        </is>
      </c>
      <c r="G674" s="7" t="n">
        <v>101.2538604736328</v>
      </c>
      <c r="H674" s="6">
        <f>P643</f>
        <v/>
      </c>
      <c r="I674" s="9">
        <f>Q643</f>
        <v/>
      </c>
      <c r="J674" s="7">
        <f>I674*G674</f>
        <v/>
      </c>
      <c r="K674" s="8">
        <f>IF($J$683=0,0,J674/$J$683)</f>
        <v/>
      </c>
      <c r="L674" s="6" t="inlineStr">
        <is>
          <t>REJECTED</t>
        </is>
      </c>
      <c r="M674" s="8" t="n">
        <v>0</v>
      </c>
      <c r="N674" s="7">
        <f>M674*$J$683-J674</f>
        <v/>
      </c>
      <c r="O674" s="9">
        <f>IF(G674=0,0,N674/G674)</f>
        <v/>
      </c>
      <c r="P674" s="6">
        <f>IF(M674&gt;0,D674,"")</f>
        <v/>
      </c>
      <c r="Q674" s="9">
        <f>I674+O674</f>
        <v/>
      </c>
      <c r="R674" s="7">
        <f>Q674*G674</f>
        <v/>
      </c>
      <c r="S674" s="8">
        <f>IF($R$683=0,0,R674/$R$683)</f>
        <v/>
      </c>
      <c r="T674" s="8" t="n">
        <v>0</v>
      </c>
      <c r="U674" s="8" t="n">
        <v>0.02185346333746807</v>
      </c>
      <c r="V674" s="6" t="inlineStr">
        <is>
          <t>not selected</t>
        </is>
      </c>
    </row>
    <row r="675">
      <c r="A675" s="6" t="inlineStr">
        <is>
          <t>DJ30</t>
        </is>
      </c>
      <c r="B675" s="6" t="inlineStr">
        <is>
          <t>2023-06-02</t>
        </is>
      </c>
      <c r="C675" s="6" t="inlineStr">
        <is>
          <t>DIA</t>
        </is>
      </c>
      <c r="D675" s="6" t="inlineStr">
        <is>
          <t>NVDA</t>
        </is>
      </c>
      <c r="E675" s="6" t="inlineStr">
        <is>
          <t>NVDA</t>
        </is>
      </c>
      <c r="F675" s="6" t="inlineStr">
        <is>
          <t>-</t>
        </is>
      </c>
      <c r="G675" s="7" t="n">
        <v>39.24646377563477</v>
      </c>
      <c r="H675" s="6">
        <f>P644</f>
        <v/>
      </c>
      <c r="I675" s="9">
        <f>Q644</f>
        <v/>
      </c>
      <c r="J675" s="7">
        <f>I675*G675</f>
        <v/>
      </c>
      <c r="K675" s="8">
        <f>IF($J$683=0,0,J675/$J$683)</f>
        <v/>
      </c>
      <c r="L675" s="6" t="inlineStr">
        <is>
          <t>REJECTED</t>
        </is>
      </c>
      <c r="M675" s="8" t="n">
        <v>0</v>
      </c>
      <c r="N675" s="7">
        <f>M675*$J$683-J675</f>
        <v/>
      </c>
      <c r="O675" s="9">
        <f>IF(G675=0,0,N675/G675)</f>
        <v/>
      </c>
      <c r="P675" s="6">
        <f>IF(M675&gt;0,D675,"")</f>
        <v/>
      </c>
      <c r="Q675" s="9">
        <f>I675+O675</f>
        <v/>
      </c>
      <c r="R675" s="7">
        <f>Q675*G675</f>
        <v/>
      </c>
      <c r="S675" s="8">
        <f>IF($R$683=0,0,R675/$R$683)</f>
        <v/>
      </c>
      <c r="T675" s="8" t="n">
        <v>0</v>
      </c>
      <c r="U675" s="8" t="n">
        <v>0.02185346333746807</v>
      </c>
      <c r="V675" s="6" t="inlineStr">
        <is>
          <t>not selected</t>
        </is>
      </c>
    </row>
    <row r="676">
      <c r="A676" s="6" t="inlineStr">
        <is>
          <t>DJ30</t>
        </is>
      </c>
      <c r="B676" s="6" t="inlineStr">
        <is>
          <t>2023-06-02</t>
        </is>
      </c>
      <c r="C676" s="6" t="inlineStr">
        <is>
          <t>DIA</t>
        </is>
      </c>
      <c r="D676" s="6" t="inlineStr">
        <is>
          <t>PG</t>
        </is>
      </c>
      <c r="E676" s="6" t="inlineStr">
        <is>
          <t>PG</t>
        </is>
      </c>
      <c r="F676" s="6" t="inlineStr">
        <is>
          <t>-</t>
        </is>
      </c>
      <c r="G676" s="7" t="n">
        <v>135.5505676269531</v>
      </c>
      <c r="H676" s="6">
        <f>P645</f>
        <v/>
      </c>
      <c r="I676" s="9">
        <f>Q645</f>
        <v/>
      </c>
      <c r="J676" s="7">
        <f>I676*G676</f>
        <v/>
      </c>
      <c r="K676" s="8">
        <f>IF($J$683=0,0,J676/$J$683)</f>
        <v/>
      </c>
      <c r="L676" s="6" t="inlineStr">
        <is>
          <t>REJECTED</t>
        </is>
      </c>
      <c r="M676" s="8" t="n">
        <v>0</v>
      </c>
      <c r="N676" s="7">
        <f>M676*$J$683-J676</f>
        <v/>
      </c>
      <c r="O676" s="9">
        <f>IF(G676=0,0,N676/G676)</f>
        <v/>
      </c>
      <c r="P676" s="6">
        <f>IF(M676&gt;0,D676,"")</f>
        <v/>
      </c>
      <c r="Q676" s="9">
        <f>I676+O676</f>
        <v/>
      </c>
      <c r="R676" s="7">
        <f>Q676*G676</f>
        <v/>
      </c>
      <c r="S676" s="8">
        <f>IF($R$683=0,0,R676/$R$683)</f>
        <v/>
      </c>
      <c r="T676" s="8" t="n">
        <v>0</v>
      </c>
      <c r="U676" s="8" t="n">
        <v>0.02185346333746807</v>
      </c>
      <c r="V676" s="6" t="inlineStr">
        <is>
          <t>not selected</t>
        </is>
      </c>
    </row>
    <row r="677">
      <c r="A677" s="6" t="inlineStr">
        <is>
          <t>DJ30</t>
        </is>
      </c>
      <c r="B677" s="6" t="inlineStr">
        <is>
          <t>2023-06-02</t>
        </is>
      </c>
      <c r="C677" s="6" t="inlineStr">
        <is>
          <t>DIA</t>
        </is>
      </c>
      <c r="D677" s="6" t="inlineStr">
        <is>
          <t>SHW</t>
        </is>
      </c>
      <c r="E677" s="6" t="inlineStr">
        <is>
          <t>SHW</t>
        </is>
      </c>
      <c r="F677" s="6" t="inlineStr">
        <is>
          <t>-</t>
        </is>
      </c>
      <c r="G677" s="7" t="n">
        <v>234.5276947021484</v>
      </c>
      <c r="H677" s="6">
        <f>P646</f>
        <v/>
      </c>
      <c r="I677" s="9">
        <f>Q646</f>
        <v/>
      </c>
      <c r="J677" s="7">
        <f>I677*G677</f>
        <v/>
      </c>
      <c r="K677" s="8">
        <f>IF($J$683=0,0,J677/$J$683)</f>
        <v/>
      </c>
      <c r="L677" s="6" t="inlineStr">
        <is>
          <t>REJECTED</t>
        </is>
      </c>
      <c r="M677" s="8" t="n">
        <v>0</v>
      </c>
      <c r="N677" s="7">
        <f>M677*$J$683-J677</f>
        <v/>
      </c>
      <c r="O677" s="9">
        <f>IF(G677=0,0,N677/G677)</f>
        <v/>
      </c>
      <c r="P677" s="6">
        <f>IF(M677&gt;0,D677,"")</f>
        <v/>
      </c>
      <c r="Q677" s="9">
        <f>I677+O677</f>
        <v/>
      </c>
      <c r="R677" s="7">
        <f>Q677*G677</f>
        <v/>
      </c>
      <c r="S677" s="8">
        <f>IF($R$683=0,0,R677/$R$683)</f>
        <v/>
      </c>
      <c r="T677" s="8" t="n">
        <v>0</v>
      </c>
      <c r="U677" s="8" t="n">
        <v>0.02185346333746807</v>
      </c>
      <c r="V677" s="6" t="inlineStr">
        <is>
          <t>not selected</t>
        </is>
      </c>
    </row>
    <row r="678">
      <c r="A678" s="6" t="inlineStr">
        <is>
          <t>DJ30</t>
        </is>
      </c>
      <c r="B678" s="6" t="inlineStr">
        <is>
          <t>2023-06-02</t>
        </is>
      </c>
      <c r="C678" s="6" t="inlineStr">
        <is>
          <t>DIA</t>
        </is>
      </c>
      <c r="D678" s="6" t="inlineStr">
        <is>
          <t>TRV</t>
        </is>
      </c>
      <c r="E678" s="6" t="inlineStr">
        <is>
          <t>TRV</t>
        </is>
      </c>
      <c r="F678" s="6" t="inlineStr">
        <is>
          <t>-</t>
        </is>
      </c>
      <c r="G678" s="7" t="n">
        <v>165.0241394042969</v>
      </c>
      <c r="H678" s="6">
        <f>P647</f>
        <v/>
      </c>
      <c r="I678" s="9">
        <f>Q647</f>
        <v/>
      </c>
      <c r="J678" s="7">
        <f>I678*G678</f>
        <v/>
      </c>
      <c r="K678" s="8">
        <f>IF($J$683=0,0,J678/$J$683)</f>
        <v/>
      </c>
      <c r="L678" s="6" t="inlineStr">
        <is>
          <t>REJECTED</t>
        </is>
      </c>
      <c r="M678" s="8" t="n">
        <v>0</v>
      </c>
      <c r="N678" s="7">
        <f>M678*$J$683-J678</f>
        <v/>
      </c>
      <c r="O678" s="9">
        <f>IF(G678=0,0,N678/G678)</f>
        <v/>
      </c>
      <c r="P678" s="6">
        <f>IF(M678&gt;0,D678,"")</f>
        <v/>
      </c>
      <c r="Q678" s="9">
        <f>I678+O678</f>
        <v/>
      </c>
      <c r="R678" s="7">
        <f>Q678*G678</f>
        <v/>
      </c>
      <c r="S678" s="8">
        <f>IF($R$683=0,0,R678/$R$683)</f>
        <v/>
      </c>
      <c r="T678" s="8" t="n">
        <v>0</v>
      </c>
      <c r="U678" s="8" t="n">
        <v>0.02185346333746807</v>
      </c>
      <c r="V678" s="6" t="inlineStr">
        <is>
          <t>not selected</t>
        </is>
      </c>
    </row>
    <row r="679">
      <c r="A679" s="6" t="inlineStr">
        <is>
          <t>DJ30</t>
        </is>
      </c>
      <c r="B679" s="6" t="inlineStr">
        <is>
          <t>2023-06-02</t>
        </is>
      </c>
      <c r="C679" s="6" t="inlineStr">
        <is>
          <t>DIA</t>
        </is>
      </c>
      <c r="D679" s="6" t="inlineStr">
        <is>
          <t>UNH</t>
        </is>
      </c>
      <c r="E679" s="6" t="inlineStr">
        <is>
          <t>UNH</t>
        </is>
      </c>
      <c r="F679" s="6" t="inlineStr">
        <is>
          <t>-</t>
        </is>
      </c>
      <c r="G679" s="7" t="n">
        <v>468.2847900390625</v>
      </c>
      <c r="H679" s="6">
        <f>P648</f>
        <v/>
      </c>
      <c r="I679" s="9">
        <f>Q648</f>
        <v/>
      </c>
      <c r="J679" s="7">
        <f>I679*G679</f>
        <v/>
      </c>
      <c r="K679" s="8">
        <f>IF($J$683=0,0,J679/$J$683)</f>
        <v/>
      </c>
      <c r="L679" s="6" t="inlineStr">
        <is>
          <t>REJECTED</t>
        </is>
      </c>
      <c r="M679" s="8" t="n">
        <v>0</v>
      </c>
      <c r="N679" s="7">
        <f>M679*$J$683-J679</f>
        <v/>
      </c>
      <c r="O679" s="9">
        <f>IF(G679=0,0,N679/G679)</f>
        <v/>
      </c>
      <c r="P679" s="6">
        <f>IF(M679&gt;0,D679,"")</f>
        <v/>
      </c>
      <c r="Q679" s="9">
        <f>I679+O679</f>
        <v/>
      </c>
      <c r="R679" s="7">
        <f>Q679*G679</f>
        <v/>
      </c>
      <c r="S679" s="8">
        <f>IF($R$683=0,0,R679/$R$683)</f>
        <v/>
      </c>
      <c r="T679" s="8" t="n">
        <v>0</v>
      </c>
      <c r="U679" s="8" t="n">
        <v>0.02185346333746807</v>
      </c>
      <c r="V679" s="6" t="inlineStr">
        <is>
          <t>not selected</t>
        </is>
      </c>
    </row>
    <row r="680">
      <c r="A680" s="6" t="inlineStr">
        <is>
          <t>DJ30</t>
        </is>
      </c>
      <c r="B680" s="6" t="inlineStr">
        <is>
          <t>2023-06-02</t>
        </is>
      </c>
      <c r="C680" s="6" t="inlineStr">
        <is>
          <t>DIA</t>
        </is>
      </c>
      <c r="D680" s="6" t="inlineStr">
        <is>
          <t>V</t>
        </is>
      </c>
      <c r="E680" s="6" t="inlineStr">
        <is>
          <t>V</t>
        </is>
      </c>
      <c r="F680" s="6" t="inlineStr">
        <is>
          <t>-</t>
        </is>
      </c>
      <c r="G680" s="7" t="n">
        <v>223.6262512207031</v>
      </c>
      <c r="H680" s="6">
        <f>P649</f>
        <v/>
      </c>
      <c r="I680" s="9">
        <f>Q649</f>
        <v/>
      </c>
      <c r="J680" s="7">
        <f>I680*G680</f>
        <v/>
      </c>
      <c r="K680" s="8">
        <f>IF($J$683=0,0,J680/$J$683)</f>
        <v/>
      </c>
      <c r="L680" s="6" t="inlineStr">
        <is>
          <t>REJECTED</t>
        </is>
      </c>
      <c r="M680" s="8" t="n">
        <v>0</v>
      </c>
      <c r="N680" s="7">
        <f>M680*$J$683-J680</f>
        <v/>
      </c>
      <c r="O680" s="9">
        <f>IF(G680=0,0,N680/G680)</f>
        <v/>
      </c>
      <c r="P680" s="6">
        <f>IF(M680&gt;0,D680,"")</f>
        <v/>
      </c>
      <c r="Q680" s="9">
        <f>I680+O680</f>
        <v/>
      </c>
      <c r="R680" s="7">
        <f>Q680*G680</f>
        <v/>
      </c>
      <c r="S680" s="8">
        <f>IF($R$683=0,0,R680/$R$683)</f>
        <v/>
      </c>
      <c r="T680" s="8" t="n">
        <v>0</v>
      </c>
      <c r="U680" s="8" t="n">
        <v>0.02185346333746807</v>
      </c>
      <c r="V680" s="6" t="inlineStr">
        <is>
          <t>not selected</t>
        </is>
      </c>
    </row>
    <row r="681">
      <c r="A681" s="6" t="inlineStr">
        <is>
          <t>DJ30</t>
        </is>
      </c>
      <c r="B681" s="6" t="inlineStr">
        <is>
          <t>2023-06-02</t>
        </is>
      </c>
      <c r="C681" s="6" t="inlineStr">
        <is>
          <t>DIA</t>
        </is>
      </c>
      <c r="D681" s="6" t="inlineStr">
        <is>
          <t>VZ</t>
        </is>
      </c>
      <c r="E681" s="6" t="inlineStr">
        <is>
          <t>VZ</t>
        </is>
      </c>
      <c r="F681" s="6" t="inlineStr">
        <is>
          <t>-</t>
        </is>
      </c>
      <c r="G681" s="7" t="n">
        <v>28.25273323059082</v>
      </c>
      <c r="H681" s="6">
        <f>P650</f>
        <v/>
      </c>
      <c r="I681" s="9">
        <f>Q650</f>
        <v/>
      </c>
      <c r="J681" s="7">
        <f>I681*G681</f>
        <v/>
      </c>
      <c r="K681" s="8">
        <f>IF($J$683=0,0,J681/$J$683)</f>
        <v/>
      </c>
      <c r="L681" s="6" t="inlineStr">
        <is>
          <t>REJECTED</t>
        </is>
      </c>
      <c r="M681" s="8" t="n">
        <v>0</v>
      </c>
      <c r="N681" s="7">
        <f>M681*$J$683-J681</f>
        <v/>
      </c>
      <c r="O681" s="9">
        <f>IF(G681=0,0,N681/G681)</f>
        <v/>
      </c>
      <c r="P681" s="6">
        <f>IF(M681&gt;0,D681,"")</f>
        <v/>
      </c>
      <c r="Q681" s="9">
        <f>I681+O681</f>
        <v/>
      </c>
      <c r="R681" s="7">
        <f>Q681*G681</f>
        <v/>
      </c>
      <c r="S681" s="8">
        <f>IF($R$683=0,0,R681/$R$683)</f>
        <v/>
      </c>
      <c r="T681" s="8" t="n">
        <v>0</v>
      </c>
      <c r="U681" s="8" t="n">
        <v>0.02185346333746807</v>
      </c>
      <c r="V681" s="6" t="inlineStr">
        <is>
          <t>not selected</t>
        </is>
      </c>
    </row>
    <row r="682">
      <c r="A682" s="6" t="inlineStr">
        <is>
          <t>DJ30</t>
        </is>
      </c>
      <c r="B682" s="6" t="inlineStr">
        <is>
          <t>2023-06-02</t>
        </is>
      </c>
      <c r="C682" s="6" t="inlineStr">
        <is>
          <t>DIA</t>
        </is>
      </c>
      <c r="D682" s="6" t="inlineStr">
        <is>
          <t>WMT</t>
        </is>
      </c>
      <c r="E682" s="6" t="inlineStr">
        <is>
          <t>WMT</t>
        </is>
      </c>
      <c r="F682" s="6" t="inlineStr">
        <is>
          <t>-</t>
        </is>
      </c>
      <c r="G682" s="7" t="n">
        <v>48.01296615600586</v>
      </c>
      <c r="H682" s="6">
        <f>P651</f>
        <v/>
      </c>
      <c r="I682" s="9">
        <f>Q651</f>
        <v/>
      </c>
      <c r="J682" s="7">
        <f>I682*G682</f>
        <v/>
      </c>
      <c r="K682" s="8">
        <f>IF($J$683=0,0,J682/$J$683)</f>
        <v/>
      </c>
      <c r="L682" s="6" t="inlineStr">
        <is>
          <t>REJECTED</t>
        </is>
      </c>
      <c r="M682" s="8" t="n">
        <v>0</v>
      </c>
      <c r="N682" s="7">
        <f>M682*$J$683-J682</f>
        <v/>
      </c>
      <c r="O682" s="9">
        <f>IF(G682=0,0,N682/G682)</f>
        <v/>
      </c>
      <c r="P682" s="6">
        <f>IF(M682&gt;0,D682,"")</f>
        <v/>
      </c>
      <c r="Q682" s="9">
        <f>I682+O682</f>
        <v/>
      </c>
      <c r="R682" s="7">
        <f>Q682*G682</f>
        <v/>
      </c>
      <c r="S682" s="8">
        <f>IF($R$683=0,0,R682/$R$683)</f>
        <v/>
      </c>
      <c r="T682" s="8" t="n">
        <v>0</v>
      </c>
      <c r="U682" s="8" t="n">
        <v>0.02185346333746807</v>
      </c>
      <c r="V682" s="6" t="inlineStr">
        <is>
          <t>not selected</t>
        </is>
      </c>
    </row>
    <row r="683">
      <c r="A683" s="10" t="inlineStr">
        <is>
          <t>DJ30</t>
        </is>
      </c>
      <c r="B683" s="10" t="inlineStr">
        <is>
          <t>2023-06-02</t>
        </is>
      </c>
      <c r="C683" s="10" t="inlineStr">
        <is>
          <t>DIA</t>
        </is>
      </c>
      <c r="D683" s="10" t="inlineStr">
        <is>
          <t>Tot Portfolio</t>
        </is>
      </c>
      <c r="E683" s="10" t="inlineStr"/>
      <c r="F683" s="10" t="inlineStr"/>
      <c r="G683" s="11" t="inlineStr"/>
      <c r="H683" s="10" t="inlineStr"/>
      <c r="I683" s="12" t="inlineStr"/>
      <c r="J683" s="11">
        <f>SUM(J653:J682)</f>
        <v/>
      </c>
      <c r="K683" s="13">
        <f>SUM(K653:K682)</f>
        <v/>
      </c>
      <c r="L683" s="10" t="inlineStr">
        <is>
          <t>TOTAL</t>
        </is>
      </c>
      <c r="M683" s="13">
        <f>SUM(M653:M682)</f>
        <v/>
      </c>
      <c r="N683" s="11">
        <f>SUM(N653:N682)</f>
        <v/>
      </c>
      <c r="O683" s="12">
        <f>SUM(O653:O682)</f>
        <v/>
      </c>
      <c r="P683" s="10" t="inlineStr"/>
      <c r="Q683" s="12" t="inlineStr"/>
      <c r="R683" s="11">
        <f>SUM(R653:R682)</f>
        <v/>
      </c>
      <c r="S683" s="13">
        <f>SUM(S653:S682)</f>
        <v/>
      </c>
      <c r="T683" s="13" t="n">
        <v>0</v>
      </c>
      <c r="U683" s="13" t="n">
        <v>0.02185346333746807</v>
      </c>
      <c r="V683" s="10" t="inlineStr"/>
    </row>
    <row r="684">
      <c r="A684" s="6" t="inlineStr">
        <is>
          <t>DJ30</t>
        </is>
      </c>
      <c r="B684" s="6" t="inlineStr">
        <is>
          <t>2023-06-09</t>
        </is>
      </c>
      <c r="C684" s="6" t="inlineStr">
        <is>
          <t>DIA</t>
        </is>
      </c>
      <c r="D684" s="6" t="inlineStr">
        <is>
          <t>AAPL</t>
        </is>
      </c>
      <c r="E684" s="6" t="inlineStr">
        <is>
          <t>AAPL</t>
        </is>
      </c>
      <c r="F684" s="6" t="inlineStr">
        <is>
          <t>-</t>
        </is>
      </c>
      <c r="G684" s="7" t="n">
        <v>178.4581756591797</v>
      </c>
      <c r="H684" s="6">
        <f>P653</f>
        <v/>
      </c>
      <c r="I684" s="9">
        <f>Q653</f>
        <v/>
      </c>
      <c r="J684" s="7">
        <f>I684*G684</f>
        <v/>
      </c>
      <c r="K684" s="8">
        <f>IF($J$714=0,0,J684/$J$714)</f>
        <v/>
      </c>
      <c r="L684" s="6" t="inlineStr">
        <is>
          <t>REJECTED</t>
        </is>
      </c>
      <c r="M684" s="8" t="n">
        <v>0</v>
      </c>
      <c r="N684" s="7">
        <f>M684*$J$714-J684</f>
        <v/>
      </c>
      <c r="O684" s="9">
        <f>IF(G684=0,0,N684/G684)</f>
        <v/>
      </c>
      <c r="P684" s="6">
        <f>IF(M684&gt;0,D684,"")</f>
        <v/>
      </c>
      <c r="Q684" s="9">
        <f>I684+O684</f>
        <v/>
      </c>
      <c r="R684" s="7">
        <f>Q684*G684</f>
        <v/>
      </c>
      <c r="S684" s="8">
        <f>IF($R$714=0,0,R684/$R$714)</f>
        <v/>
      </c>
      <c r="T684" s="8" t="n">
        <v>0</v>
      </c>
      <c r="U684" s="8" t="n">
        <v>0.003549615087603764</v>
      </c>
      <c r="V684" s="6" t="inlineStr">
        <is>
          <t>not selected</t>
        </is>
      </c>
    </row>
    <row r="685">
      <c r="A685" s="6" t="inlineStr">
        <is>
          <t>DJ30</t>
        </is>
      </c>
      <c r="B685" s="6" t="inlineStr">
        <is>
          <t>2023-06-09</t>
        </is>
      </c>
      <c r="C685" s="6" t="inlineStr">
        <is>
          <t>DIA</t>
        </is>
      </c>
      <c r="D685" s="6" t="inlineStr">
        <is>
          <t>AMGN</t>
        </is>
      </c>
      <c r="E685" s="6" t="inlineStr">
        <is>
          <t>AMGN</t>
        </is>
      </c>
      <c r="F685" s="6" t="inlineStr">
        <is>
          <t>-</t>
        </is>
      </c>
      <c r="G685" s="7" t="n">
        <v>199.5061798095703</v>
      </c>
      <c r="H685" s="6">
        <f>P654</f>
        <v/>
      </c>
      <c r="I685" s="9">
        <f>Q654</f>
        <v/>
      </c>
      <c r="J685" s="7">
        <f>I685*G685</f>
        <v/>
      </c>
      <c r="K685" s="8">
        <f>IF($J$714=0,0,J685/$J$714)</f>
        <v/>
      </c>
      <c r="L685" s="6" t="inlineStr">
        <is>
          <t>REJECTED</t>
        </is>
      </c>
      <c r="M685" s="8" t="n">
        <v>0</v>
      </c>
      <c r="N685" s="7">
        <f>M685*$J$714-J685</f>
        <v/>
      </c>
      <c r="O685" s="9">
        <f>IF(G685=0,0,N685/G685)</f>
        <v/>
      </c>
      <c r="P685" s="6">
        <f>IF(M685&gt;0,D685,"")</f>
        <v/>
      </c>
      <c r="Q685" s="9">
        <f>I685+O685</f>
        <v/>
      </c>
      <c r="R685" s="7">
        <f>Q685*G685</f>
        <v/>
      </c>
      <c r="S685" s="8">
        <f>IF($R$714=0,0,R685/$R$714)</f>
        <v/>
      </c>
      <c r="T685" s="8" t="n">
        <v>0</v>
      </c>
      <c r="U685" s="8" t="n">
        <v>0.003549615087603764</v>
      </c>
      <c r="V685" s="6" t="inlineStr">
        <is>
          <t>not selected</t>
        </is>
      </c>
    </row>
    <row r="686">
      <c r="A686" s="6" t="inlineStr">
        <is>
          <t>DJ30</t>
        </is>
      </c>
      <c r="B686" s="6" t="inlineStr">
        <is>
          <t>2023-06-09</t>
        </is>
      </c>
      <c r="C686" s="6" t="inlineStr">
        <is>
          <t>DIA</t>
        </is>
      </c>
      <c r="D686" s="6" t="inlineStr">
        <is>
          <t>AMZN</t>
        </is>
      </c>
      <c r="E686" s="6" t="inlineStr">
        <is>
          <t>AMZN</t>
        </is>
      </c>
      <c r="F686" s="6" t="inlineStr">
        <is>
          <t>-</t>
        </is>
      </c>
      <c r="G686" s="7" t="n">
        <v>123.4300003051758</v>
      </c>
      <c r="H686" s="6">
        <f>P655</f>
        <v/>
      </c>
      <c r="I686" s="9">
        <f>Q655</f>
        <v/>
      </c>
      <c r="J686" s="7">
        <f>I686*G686</f>
        <v/>
      </c>
      <c r="K686" s="8">
        <f>IF($J$714=0,0,J686/$J$714)</f>
        <v/>
      </c>
      <c r="L686" s="6" t="inlineStr">
        <is>
          <t>REJECTED</t>
        </is>
      </c>
      <c r="M686" s="8" t="n">
        <v>0</v>
      </c>
      <c r="N686" s="7">
        <f>M686*$J$714-J686</f>
        <v/>
      </c>
      <c r="O686" s="9">
        <f>IF(G686=0,0,N686/G686)</f>
        <v/>
      </c>
      <c r="P686" s="6">
        <f>IF(M686&gt;0,D686,"")</f>
        <v/>
      </c>
      <c r="Q686" s="9">
        <f>I686+O686</f>
        <v/>
      </c>
      <c r="R686" s="7">
        <f>Q686*G686</f>
        <v/>
      </c>
      <c r="S686" s="8">
        <f>IF($R$714=0,0,R686/$R$714)</f>
        <v/>
      </c>
      <c r="T686" s="8" t="n">
        <v>0</v>
      </c>
      <c r="U686" s="8" t="n">
        <v>0.003549615087603764</v>
      </c>
      <c r="V686" s="6" t="inlineStr">
        <is>
          <t>not selected</t>
        </is>
      </c>
    </row>
    <row r="687">
      <c r="A687" s="6" t="inlineStr">
        <is>
          <t>DJ30</t>
        </is>
      </c>
      <c r="B687" s="6" t="inlineStr">
        <is>
          <t>2023-06-09</t>
        </is>
      </c>
      <c r="C687" s="6" t="inlineStr">
        <is>
          <t>DIA</t>
        </is>
      </c>
      <c r="D687" s="6" t="inlineStr">
        <is>
          <t>AXP</t>
        </is>
      </c>
      <c r="E687" s="6" t="inlineStr">
        <is>
          <t>AXP</t>
        </is>
      </c>
      <c r="F687" s="6" t="inlineStr">
        <is>
          <t>-</t>
        </is>
      </c>
      <c r="G687" s="7" t="n">
        <v>165.7281341552734</v>
      </c>
      <c r="H687" s="6">
        <f>P656</f>
        <v/>
      </c>
      <c r="I687" s="9">
        <f>Q656</f>
        <v/>
      </c>
      <c r="J687" s="7">
        <f>I687*G687</f>
        <v/>
      </c>
      <c r="K687" s="8">
        <f>IF($J$714=0,0,J687/$J$714)</f>
        <v/>
      </c>
      <c r="L687" s="6" t="inlineStr">
        <is>
          <t>REJECTED</t>
        </is>
      </c>
      <c r="M687" s="8" t="n">
        <v>0</v>
      </c>
      <c r="N687" s="7">
        <f>M687*$J$714-J687</f>
        <v/>
      </c>
      <c r="O687" s="9">
        <f>IF(G687=0,0,N687/G687)</f>
        <v/>
      </c>
      <c r="P687" s="6">
        <f>IF(M687&gt;0,D687,"")</f>
        <v/>
      </c>
      <c r="Q687" s="9">
        <f>I687+O687</f>
        <v/>
      </c>
      <c r="R687" s="7">
        <f>Q687*G687</f>
        <v/>
      </c>
      <c r="S687" s="8">
        <f>IF($R$714=0,0,R687/$R$714)</f>
        <v/>
      </c>
      <c r="T687" s="8" t="n">
        <v>0</v>
      </c>
      <c r="U687" s="8" t="n">
        <v>0.003549615087603764</v>
      </c>
      <c r="V687" s="6" t="inlineStr">
        <is>
          <t>not selected</t>
        </is>
      </c>
    </row>
    <row r="688">
      <c r="A688" s="6" t="inlineStr">
        <is>
          <t>DJ30</t>
        </is>
      </c>
      <c r="B688" s="6" t="inlineStr">
        <is>
          <t>2023-06-09</t>
        </is>
      </c>
      <c r="C688" s="6" t="inlineStr">
        <is>
          <t>DIA</t>
        </is>
      </c>
      <c r="D688" s="6" t="inlineStr">
        <is>
          <t>BA</t>
        </is>
      </c>
      <c r="E688" s="6" t="inlineStr">
        <is>
          <t>BA</t>
        </is>
      </c>
      <c r="F688" s="6" t="inlineStr">
        <is>
          <t>-</t>
        </is>
      </c>
      <c r="G688" s="7" t="n">
        <v>217.3099975585937</v>
      </c>
      <c r="H688" s="6">
        <f>P657</f>
        <v/>
      </c>
      <c r="I688" s="9">
        <f>Q657</f>
        <v/>
      </c>
      <c r="J688" s="7">
        <f>I688*G688</f>
        <v/>
      </c>
      <c r="K688" s="8">
        <f>IF($J$714=0,0,J688/$J$714)</f>
        <v/>
      </c>
      <c r="L688" s="6" t="inlineStr">
        <is>
          <t>REJECTED</t>
        </is>
      </c>
      <c r="M688" s="8" t="n">
        <v>0</v>
      </c>
      <c r="N688" s="7">
        <f>M688*$J$714-J688</f>
        <v/>
      </c>
      <c r="O688" s="9">
        <f>IF(G688=0,0,N688/G688)</f>
        <v/>
      </c>
      <c r="P688" s="6">
        <f>IF(M688&gt;0,D688,"")</f>
        <v/>
      </c>
      <c r="Q688" s="9">
        <f>I688+O688</f>
        <v/>
      </c>
      <c r="R688" s="7">
        <f>Q688*G688</f>
        <v/>
      </c>
      <c r="S688" s="8">
        <f>IF($R$714=0,0,R688/$R$714)</f>
        <v/>
      </c>
      <c r="T688" s="8" t="n">
        <v>0</v>
      </c>
      <c r="U688" s="8" t="n">
        <v>0.003549615087603764</v>
      </c>
      <c r="V688" s="6" t="inlineStr">
        <is>
          <t>not selected</t>
        </is>
      </c>
    </row>
    <row r="689">
      <c r="A689" s="6" t="inlineStr">
        <is>
          <t>DJ30</t>
        </is>
      </c>
      <c r="B689" s="6" t="inlineStr">
        <is>
          <t>2023-06-09</t>
        </is>
      </c>
      <c r="C689" s="6" t="inlineStr">
        <is>
          <t>DIA</t>
        </is>
      </c>
      <c r="D689" s="6" t="inlineStr">
        <is>
          <t>CAT</t>
        </is>
      </c>
      <c r="E689" s="6" t="inlineStr">
        <is>
          <t>CAT</t>
        </is>
      </c>
      <c r="F689" s="6" t="inlineStr">
        <is>
          <t>-</t>
        </is>
      </c>
      <c r="G689" s="7" t="n">
        <v>224.6358489990234</v>
      </c>
      <c r="H689" s="6">
        <f>P658</f>
        <v/>
      </c>
      <c r="I689" s="9">
        <f>Q658</f>
        <v/>
      </c>
      <c r="J689" s="7">
        <f>I689*G689</f>
        <v/>
      </c>
      <c r="K689" s="8">
        <f>IF($J$714=0,0,J689/$J$714)</f>
        <v/>
      </c>
      <c r="L689" s="6" t="inlineStr">
        <is>
          <t>REJECTED</t>
        </is>
      </c>
      <c r="M689" s="8" t="n">
        <v>0</v>
      </c>
      <c r="N689" s="7">
        <f>M689*$J$714-J689</f>
        <v/>
      </c>
      <c r="O689" s="9">
        <f>IF(G689=0,0,N689/G689)</f>
        <v/>
      </c>
      <c r="P689" s="6">
        <f>IF(M689&gt;0,D689,"")</f>
        <v/>
      </c>
      <c r="Q689" s="9">
        <f>I689+O689</f>
        <v/>
      </c>
      <c r="R689" s="7">
        <f>Q689*G689</f>
        <v/>
      </c>
      <c r="S689" s="8">
        <f>IF($R$714=0,0,R689/$R$714)</f>
        <v/>
      </c>
      <c r="T689" s="8" t="n">
        <v>0</v>
      </c>
      <c r="U689" s="8" t="n">
        <v>0.003549615087603764</v>
      </c>
      <c r="V689" s="6" t="inlineStr">
        <is>
          <t>not selected</t>
        </is>
      </c>
    </row>
    <row r="690">
      <c r="A690" s="6" t="inlineStr">
        <is>
          <t>DJ30</t>
        </is>
      </c>
      <c r="B690" s="6" t="inlineStr">
        <is>
          <t>2023-06-09</t>
        </is>
      </c>
      <c r="C690" s="6" t="inlineStr">
        <is>
          <t>DIA</t>
        </is>
      </c>
      <c r="D690" s="6" t="inlineStr">
        <is>
          <t>CRM</t>
        </is>
      </c>
      <c r="E690" s="6" t="inlineStr">
        <is>
          <t>CRM</t>
        </is>
      </c>
      <c r="F690" s="6" t="inlineStr">
        <is>
          <t>-</t>
        </is>
      </c>
      <c r="G690" s="7" t="n">
        <v>211.6483917236328</v>
      </c>
      <c r="H690" s="6">
        <f>P659</f>
        <v/>
      </c>
      <c r="I690" s="9">
        <f>Q659</f>
        <v/>
      </c>
      <c r="J690" s="7">
        <f>I690*G690</f>
        <v/>
      </c>
      <c r="K690" s="8">
        <f>IF($J$714=0,0,J690/$J$714)</f>
        <v/>
      </c>
      <c r="L690" s="6" t="inlineStr">
        <is>
          <t>REJECTED</t>
        </is>
      </c>
      <c r="M690" s="8" t="n">
        <v>0</v>
      </c>
      <c r="N690" s="7">
        <f>M690*$J$714-J690</f>
        <v/>
      </c>
      <c r="O690" s="9">
        <f>IF(G690=0,0,N690/G690)</f>
        <v/>
      </c>
      <c r="P690" s="6">
        <f>IF(M690&gt;0,D690,"")</f>
        <v/>
      </c>
      <c r="Q690" s="9">
        <f>I690+O690</f>
        <v/>
      </c>
      <c r="R690" s="7">
        <f>Q690*G690</f>
        <v/>
      </c>
      <c r="S690" s="8">
        <f>IF($R$714=0,0,R690/$R$714)</f>
        <v/>
      </c>
      <c r="T690" s="8" t="n">
        <v>0</v>
      </c>
      <c r="U690" s="8" t="n">
        <v>0.003549615087603764</v>
      </c>
      <c r="V690" s="6" t="inlineStr">
        <is>
          <t>not selected</t>
        </is>
      </c>
    </row>
    <row r="691">
      <c r="A691" s="6" t="inlineStr">
        <is>
          <t>DJ30</t>
        </is>
      </c>
      <c r="B691" s="6" t="inlineStr">
        <is>
          <t>2023-06-09</t>
        </is>
      </c>
      <c r="C691" s="6" t="inlineStr">
        <is>
          <t>DIA</t>
        </is>
      </c>
      <c r="D691" s="6" t="inlineStr">
        <is>
          <t>CSCO</t>
        </is>
      </c>
      <c r="E691" s="6" t="inlineStr">
        <is>
          <t>CSCO</t>
        </is>
      </c>
      <c r="F691" s="6" t="inlineStr">
        <is>
          <t>-</t>
        </is>
      </c>
      <c r="G691" s="7" t="n">
        <v>45.70534515380859</v>
      </c>
      <c r="H691" s="6">
        <f>P660</f>
        <v/>
      </c>
      <c r="I691" s="9">
        <f>Q660</f>
        <v/>
      </c>
      <c r="J691" s="7">
        <f>I691*G691</f>
        <v/>
      </c>
      <c r="K691" s="8">
        <f>IF($J$714=0,0,J691/$J$714)</f>
        <v/>
      </c>
      <c r="L691" s="6" t="inlineStr">
        <is>
          <t>REJECTED</t>
        </is>
      </c>
      <c r="M691" s="8" t="n">
        <v>0</v>
      </c>
      <c r="N691" s="7">
        <f>M691*$J$714-J691</f>
        <v/>
      </c>
      <c r="O691" s="9">
        <f>IF(G691=0,0,N691/G691)</f>
        <v/>
      </c>
      <c r="P691" s="6">
        <f>IF(M691&gt;0,D691,"")</f>
        <v/>
      </c>
      <c r="Q691" s="9">
        <f>I691+O691</f>
        <v/>
      </c>
      <c r="R691" s="7">
        <f>Q691*G691</f>
        <v/>
      </c>
      <c r="S691" s="8">
        <f>IF($R$714=0,0,R691/$R$714)</f>
        <v/>
      </c>
      <c r="T691" s="8" t="n">
        <v>0</v>
      </c>
      <c r="U691" s="8" t="n">
        <v>0.003549615087603764</v>
      </c>
      <c r="V691" s="6" t="inlineStr">
        <is>
          <t>not selected</t>
        </is>
      </c>
    </row>
    <row r="692">
      <c r="A692" s="6" t="inlineStr">
        <is>
          <t>DJ30</t>
        </is>
      </c>
      <c r="B692" s="6" t="inlineStr">
        <is>
          <t>2023-06-09</t>
        </is>
      </c>
      <c r="C692" s="6" t="inlineStr">
        <is>
          <t>DIA</t>
        </is>
      </c>
      <c r="D692" s="6" t="inlineStr">
        <is>
          <t>CVX</t>
        </is>
      </c>
      <c r="E692" s="6" t="inlineStr">
        <is>
          <t>CVX</t>
        </is>
      </c>
      <c r="F692" s="6" t="inlineStr">
        <is>
          <t>-</t>
        </is>
      </c>
      <c r="G692" s="7" t="n">
        <v>140.0059661865234</v>
      </c>
      <c r="H692" s="6">
        <f>P661</f>
        <v/>
      </c>
      <c r="I692" s="9">
        <f>Q661</f>
        <v/>
      </c>
      <c r="J692" s="7">
        <f>I692*G692</f>
        <v/>
      </c>
      <c r="K692" s="8">
        <f>IF($J$714=0,0,J692/$J$714)</f>
        <v/>
      </c>
      <c r="L692" s="6" t="inlineStr">
        <is>
          <t>REJECTED</t>
        </is>
      </c>
      <c r="M692" s="8" t="n">
        <v>0</v>
      </c>
      <c r="N692" s="7">
        <f>M692*$J$714-J692</f>
        <v/>
      </c>
      <c r="O692" s="9">
        <f>IF(G692=0,0,N692/G692)</f>
        <v/>
      </c>
      <c r="P692" s="6">
        <f>IF(M692&gt;0,D692,"")</f>
        <v/>
      </c>
      <c r="Q692" s="9">
        <f>I692+O692</f>
        <v/>
      </c>
      <c r="R692" s="7">
        <f>Q692*G692</f>
        <v/>
      </c>
      <c r="S692" s="8">
        <f>IF($R$714=0,0,R692/$R$714)</f>
        <v/>
      </c>
      <c r="T692" s="8" t="n">
        <v>0</v>
      </c>
      <c r="U692" s="8" t="n">
        <v>0.003549615087603764</v>
      </c>
      <c r="V692" s="6" t="inlineStr">
        <is>
          <t>not selected</t>
        </is>
      </c>
    </row>
    <row r="693">
      <c r="A693" s="6" t="inlineStr">
        <is>
          <t>DJ30</t>
        </is>
      </c>
      <c r="B693" s="6" t="inlineStr">
        <is>
          <t>2023-06-09</t>
        </is>
      </c>
      <c r="C693" s="6" t="inlineStr">
        <is>
          <t>DIA</t>
        </is>
      </c>
      <c r="D693" s="6" t="inlineStr">
        <is>
          <t>DIS</t>
        </is>
      </c>
      <c r="E693" s="6" t="inlineStr">
        <is>
          <t>DIS</t>
        </is>
      </c>
      <c r="F693" s="6" t="inlineStr">
        <is>
          <t>-</t>
        </is>
      </c>
      <c r="G693" s="7" t="n">
        <v>89.81491088867188</v>
      </c>
      <c r="H693" s="6">
        <f>P662</f>
        <v/>
      </c>
      <c r="I693" s="9">
        <f>Q662</f>
        <v/>
      </c>
      <c r="J693" s="7">
        <f>I693*G693</f>
        <v/>
      </c>
      <c r="K693" s="8">
        <f>IF($J$714=0,0,J693/$J$714)</f>
        <v/>
      </c>
      <c r="L693" s="6" t="inlineStr">
        <is>
          <t>REJECTED</t>
        </is>
      </c>
      <c r="M693" s="8" t="n">
        <v>0</v>
      </c>
      <c r="N693" s="7">
        <f>M693*$J$714-J693</f>
        <v/>
      </c>
      <c r="O693" s="9">
        <f>IF(G693=0,0,N693/G693)</f>
        <v/>
      </c>
      <c r="P693" s="6">
        <f>IF(M693&gt;0,D693,"")</f>
        <v/>
      </c>
      <c r="Q693" s="9">
        <f>I693+O693</f>
        <v/>
      </c>
      <c r="R693" s="7">
        <f>Q693*G693</f>
        <v/>
      </c>
      <c r="S693" s="8">
        <f>IF($R$714=0,0,R693/$R$714)</f>
        <v/>
      </c>
      <c r="T693" s="8" t="n">
        <v>0</v>
      </c>
      <c r="U693" s="8" t="n">
        <v>0.003549615087603764</v>
      </c>
      <c r="V693" s="6" t="inlineStr">
        <is>
          <t>not selected</t>
        </is>
      </c>
    </row>
    <row r="694">
      <c r="A694" s="6" t="inlineStr">
        <is>
          <t>DJ30</t>
        </is>
      </c>
      <c r="B694" s="6" t="inlineStr">
        <is>
          <t>2023-06-09</t>
        </is>
      </c>
      <c r="C694" s="6" t="inlineStr">
        <is>
          <t>DIA</t>
        </is>
      </c>
      <c r="D694" s="6" t="inlineStr">
        <is>
          <t>GS</t>
        </is>
      </c>
      <c r="E694" s="6" t="inlineStr">
        <is>
          <t>GS</t>
        </is>
      </c>
      <c r="F694" s="6" t="inlineStr">
        <is>
          <t>-</t>
        </is>
      </c>
      <c r="G694" s="7" t="n">
        <v>313.2195739746094</v>
      </c>
      <c r="H694" s="6">
        <f>P663</f>
        <v/>
      </c>
      <c r="I694" s="9">
        <f>Q663</f>
        <v/>
      </c>
      <c r="J694" s="7">
        <f>I694*G694</f>
        <v/>
      </c>
      <c r="K694" s="8">
        <f>IF($J$714=0,0,J694/$J$714)</f>
        <v/>
      </c>
      <c r="L694" s="6" t="inlineStr">
        <is>
          <t>REJECTED</t>
        </is>
      </c>
      <c r="M694" s="8" t="n">
        <v>0</v>
      </c>
      <c r="N694" s="7">
        <f>M694*$J$714-J694</f>
        <v/>
      </c>
      <c r="O694" s="9">
        <f>IF(G694=0,0,N694/G694)</f>
        <v/>
      </c>
      <c r="P694" s="6">
        <f>IF(M694&gt;0,D694,"")</f>
        <v/>
      </c>
      <c r="Q694" s="9">
        <f>I694+O694</f>
        <v/>
      </c>
      <c r="R694" s="7">
        <f>Q694*G694</f>
        <v/>
      </c>
      <c r="S694" s="8">
        <f>IF($R$714=0,0,R694/$R$714)</f>
        <v/>
      </c>
      <c r="T694" s="8" t="n">
        <v>0</v>
      </c>
      <c r="U694" s="8" t="n">
        <v>0.003549615087603764</v>
      </c>
      <c r="V694" s="6" t="inlineStr">
        <is>
          <t>not selected</t>
        </is>
      </c>
    </row>
    <row r="695">
      <c r="A695" s="6" t="inlineStr">
        <is>
          <t>DJ30</t>
        </is>
      </c>
      <c r="B695" s="6" t="inlineStr">
        <is>
          <t>2023-06-09</t>
        </is>
      </c>
      <c r="C695" s="6" t="inlineStr">
        <is>
          <t>DIA</t>
        </is>
      </c>
      <c r="D695" s="6" t="inlineStr">
        <is>
          <t>HD</t>
        </is>
      </c>
      <c r="E695" s="6" t="inlineStr">
        <is>
          <t>HD</t>
        </is>
      </c>
      <c r="F695" s="6" t="inlineStr">
        <is>
          <t>-</t>
        </is>
      </c>
      <c r="G695" s="7" t="n">
        <v>275.5839233398437</v>
      </c>
      <c r="H695" s="6">
        <f>P664</f>
        <v/>
      </c>
      <c r="I695" s="9">
        <f>Q664</f>
        <v/>
      </c>
      <c r="J695" s="7">
        <f>I695*G695</f>
        <v/>
      </c>
      <c r="K695" s="8">
        <f>IF($J$714=0,0,J695/$J$714)</f>
        <v/>
      </c>
      <c r="L695" s="6" t="inlineStr">
        <is>
          <t>REJECTED</t>
        </is>
      </c>
      <c r="M695" s="8" t="n">
        <v>0</v>
      </c>
      <c r="N695" s="7">
        <f>M695*$J$714-J695</f>
        <v/>
      </c>
      <c r="O695" s="9">
        <f>IF(G695=0,0,N695/G695)</f>
        <v/>
      </c>
      <c r="P695" s="6">
        <f>IF(M695&gt;0,D695,"")</f>
        <v/>
      </c>
      <c r="Q695" s="9">
        <f>I695+O695</f>
        <v/>
      </c>
      <c r="R695" s="7">
        <f>Q695*G695</f>
        <v/>
      </c>
      <c r="S695" s="8">
        <f>IF($R$714=0,0,R695/$R$714)</f>
        <v/>
      </c>
      <c r="T695" s="8" t="n">
        <v>0</v>
      </c>
      <c r="U695" s="8" t="n">
        <v>0.003549615087603764</v>
      </c>
      <c r="V695" s="6" t="inlineStr">
        <is>
          <t>not selected</t>
        </is>
      </c>
    </row>
    <row r="696">
      <c r="A696" s="6" t="inlineStr">
        <is>
          <t>DJ30</t>
        </is>
      </c>
      <c r="B696" s="6" t="inlineStr">
        <is>
          <t>2023-06-09</t>
        </is>
      </c>
      <c r="C696" s="6" t="inlineStr">
        <is>
          <t>DIA</t>
        </is>
      </c>
      <c r="D696" s="6" t="inlineStr">
        <is>
          <t>HON</t>
        </is>
      </c>
      <c r="E696" s="6" t="inlineStr">
        <is>
          <t>HON</t>
        </is>
      </c>
      <c r="F696" s="6" t="inlineStr">
        <is>
          <t>-</t>
        </is>
      </c>
      <c r="G696" s="7" t="n">
        <v>174.8649749755859</v>
      </c>
      <c r="H696" s="6">
        <f>P665</f>
        <v/>
      </c>
      <c r="I696" s="9">
        <f>Q665</f>
        <v/>
      </c>
      <c r="J696" s="7">
        <f>I696*G696</f>
        <v/>
      </c>
      <c r="K696" s="8">
        <f>IF($J$714=0,0,J696/$J$714)</f>
        <v/>
      </c>
      <c r="L696" s="6" t="inlineStr">
        <is>
          <t>REJECTED</t>
        </is>
      </c>
      <c r="M696" s="8" t="n">
        <v>0</v>
      </c>
      <c r="N696" s="7">
        <f>M696*$J$714-J696</f>
        <v/>
      </c>
      <c r="O696" s="9">
        <f>IF(G696=0,0,N696/G696)</f>
        <v/>
      </c>
      <c r="P696" s="6">
        <f>IF(M696&gt;0,D696,"")</f>
        <v/>
      </c>
      <c r="Q696" s="9">
        <f>I696+O696</f>
        <v/>
      </c>
      <c r="R696" s="7">
        <f>Q696*G696</f>
        <v/>
      </c>
      <c r="S696" s="8">
        <f>IF($R$714=0,0,R696/$R$714)</f>
        <v/>
      </c>
      <c r="T696" s="8" t="n">
        <v>0</v>
      </c>
      <c r="U696" s="8" t="n">
        <v>0.003549615087603764</v>
      </c>
      <c r="V696" s="6" t="inlineStr">
        <is>
          <t>not selected</t>
        </is>
      </c>
    </row>
    <row r="697">
      <c r="A697" s="6" t="inlineStr">
        <is>
          <t>DJ30</t>
        </is>
      </c>
      <c r="B697" s="6" t="inlineStr">
        <is>
          <t>2023-06-09</t>
        </is>
      </c>
      <c r="C697" s="6" t="inlineStr">
        <is>
          <t>DIA</t>
        </is>
      </c>
      <c r="D697" s="6" t="inlineStr">
        <is>
          <t>IBM</t>
        </is>
      </c>
      <c r="E697" s="6" t="inlineStr">
        <is>
          <t>IBM</t>
        </is>
      </c>
      <c r="F697" s="6" t="inlineStr">
        <is>
          <t>-</t>
        </is>
      </c>
      <c r="G697" s="7" t="n">
        <v>122.821907043457</v>
      </c>
      <c r="H697" s="6">
        <f>P666</f>
        <v/>
      </c>
      <c r="I697" s="9">
        <f>Q666</f>
        <v/>
      </c>
      <c r="J697" s="7">
        <f>I697*G697</f>
        <v/>
      </c>
      <c r="K697" s="8">
        <f>IF($J$714=0,0,J697/$J$714)</f>
        <v/>
      </c>
      <c r="L697" s="6" t="inlineStr">
        <is>
          <t>REJECTED</t>
        </is>
      </c>
      <c r="M697" s="8" t="n">
        <v>0</v>
      </c>
      <c r="N697" s="7">
        <f>M697*$J$714-J697</f>
        <v/>
      </c>
      <c r="O697" s="9">
        <f>IF(G697=0,0,N697/G697)</f>
        <v/>
      </c>
      <c r="P697" s="6">
        <f>IF(M697&gt;0,D697,"")</f>
        <v/>
      </c>
      <c r="Q697" s="9">
        <f>I697+O697</f>
        <v/>
      </c>
      <c r="R697" s="7">
        <f>Q697*G697</f>
        <v/>
      </c>
      <c r="S697" s="8">
        <f>IF($R$714=0,0,R697/$R$714)</f>
        <v/>
      </c>
      <c r="T697" s="8" t="n">
        <v>0</v>
      </c>
      <c r="U697" s="8" t="n">
        <v>0.003549615087603764</v>
      </c>
      <c r="V697" s="6" t="inlineStr">
        <is>
          <t>not selected</t>
        </is>
      </c>
    </row>
    <row r="698">
      <c r="A698" s="6" t="inlineStr">
        <is>
          <t>DJ30</t>
        </is>
      </c>
      <c r="B698" s="6" t="inlineStr">
        <is>
          <t>2023-06-09</t>
        </is>
      </c>
      <c r="C698" s="6" t="inlineStr">
        <is>
          <t>DIA</t>
        </is>
      </c>
      <c r="D698" s="6" t="inlineStr">
        <is>
          <t>JNJ</t>
        </is>
      </c>
      <c r="E698" s="6" t="inlineStr">
        <is>
          <t>JNJ</t>
        </is>
      </c>
      <c r="F698" s="6" t="inlineStr">
        <is>
          <t>-</t>
        </is>
      </c>
      <c r="G698" s="7" t="n">
        <v>146.5943908691406</v>
      </c>
      <c r="H698" s="6">
        <f>P667</f>
        <v/>
      </c>
      <c r="I698" s="9">
        <f>Q667</f>
        <v/>
      </c>
      <c r="J698" s="7">
        <f>I698*G698</f>
        <v/>
      </c>
      <c r="K698" s="8">
        <f>IF($J$714=0,0,J698/$J$714)</f>
        <v/>
      </c>
      <c r="L698" s="6" t="inlineStr">
        <is>
          <t>REJECTED</t>
        </is>
      </c>
      <c r="M698" s="8" t="n">
        <v>0</v>
      </c>
      <c r="N698" s="7">
        <f>M698*$J$714-J698</f>
        <v/>
      </c>
      <c r="O698" s="9">
        <f>IF(G698=0,0,N698/G698)</f>
        <v/>
      </c>
      <c r="P698" s="6">
        <f>IF(M698&gt;0,D698,"")</f>
        <v/>
      </c>
      <c r="Q698" s="9">
        <f>I698+O698</f>
        <v/>
      </c>
      <c r="R698" s="7">
        <f>Q698*G698</f>
        <v/>
      </c>
      <c r="S698" s="8">
        <f>IF($R$714=0,0,R698/$R$714)</f>
        <v/>
      </c>
      <c r="T698" s="8" t="n">
        <v>0</v>
      </c>
      <c r="U698" s="8" t="n">
        <v>0.003549615087603764</v>
      </c>
      <c r="V698" s="6" t="inlineStr">
        <is>
          <t>not selected</t>
        </is>
      </c>
    </row>
    <row r="699">
      <c r="A699" s="6" t="inlineStr">
        <is>
          <t>DJ30</t>
        </is>
      </c>
      <c r="B699" s="6" t="inlineStr">
        <is>
          <t>2023-06-09</t>
        </is>
      </c>
      <c r="C699" s="6" t="inlineStr">
        <is>
          <t>DIA</t>
        </is>
      </c>
      <c r="D699" s="6" t="inlineStr">
        <is>
          <t>JPM</t>
        </is>
      </c>
      <c r="E699" s="6" t="inlineStr">
        <is>
          <t>JPM</t>
        </is>
      </c>
      <c r="F699" s="6" t="inlineStr">
        <is>
          <t>-</t>
        </is>
      </c>
      <c r="G699" s="7" t="n">
        <v>131.6942596435547</v>
      </c>
      <c r="H699" s="6">
        <f>P668</f>
        <v/>
      </c>
      <c r="I699" s="9">
        <f>Q668</f>
        <v/>
      </c>
      <c r="J699" s="7">
        <f>I699*G699</f>
        <v/>
      </c>
      <c r="K699" s="8">
        <f>IF($J$714=0,0,J699/$J$714)</f>
        <v/>
      </c>
      <c r="L699" s="6" t="inlineStr">
        <is>
          <t>REJECTED</t>
        </is>
      </c>
      <c r="M699" s="8" t="n">
        <v>0</v>
      </c>
      <c r="N699" s="7">
        <f>M699*$J$714-J699</f>
        <v/>
      </c>
      <c r="O699" s="9">
        <f>IF(G699=0,0,N699/G699)</f>
        <v/>
      </c>
      <c r="P699" s="6">
        <f>IF(M699&gt;0,D699,"")</f>
        <v/>
      </c>
      <c r="Q699" s="9">
        <f>I699+O699</f>
        <v/>
      </c>
      <c r="R699" s="7">
        <f>Q699*G699</f>
        <v/>
      </c>
      <c r="S699" s="8">
        <f>IF($R$714=0,0,R699/$R$714)</f>
        <v/>
      </c>
      <c r="T699" s="8" t="n">
        <v>0</v>
      </c>
      <c r="U699" s="8" t="n">
        <v>0.003549615087603764</v>
      </c>
      <c r="V699" s="6" t="inlineStr">
        <is>
          <t>not selected</t>
        </is>
      </c>
    </row>
    <row r="700">
      <c r="A700" s="6" t="inlineStr">
        <is>
          <t>DJ30</t>
        </is>
      </c>
      <c r="B700" s="6" t="inlineStr">
        <is>
          <t>2023-06-09</t>
        </is>
      </c>
      <c r="C700" s="6" t="inlineStr">
        <is>
          <t>DIA</t>
        </is>
      </c>
      <c r="D700" s="6" t="inlineStr">
        <is>
          <t>KO</t>
        </is>
      </c>
      <c r="E700" s="6" t="inlineStr">
        <is>
          <t>KO</t>
        </is>
      </c>
      <c r="F700" s="6" t="inlineStr">
        <is>
          <t>-</t>
        </is>
      </c>
      <c r="G700" s="7" t="n">
        <v>54.94198226928711</v>
      </c>
      <c r="H700" s="6">
        <f>P669</f>
        <v/>
      </c>
      <c r="I700" s="9">
        <f>Q669</f>
        <v/>
      </c>
      <c r="J700" s="7">
        <f>I700*G700</f>
        <v/>
      </c>
      <c r="K700" s="8">
        <f>IF($J$714=0,0,J700/$J$714)</f>
        <v/>
      </c>
      <c r="L700" s="6" t="inlineStr">
        <is>
          <t>REJECTED</t>
        </is>
      </c>
      <c r="M700" s="8" t="n">
        <v>0</v>
      </c>
      <c r="N700" s="7">
        <f>M700*$J$714-J700</f>
        <v/>
      </c>
      <c r="O700" s="9">
        <f>IF(G700=0,0,N700/G700)</f>
        <v/>
      </c>
      <c r="P700" s="6">
        <f>IF(M700&gt;0,D700,"")</f>
        <v/>
      </c>
      <c r="Q700" s="9">
        <f>I700+O700</f>
        <v/>
      </c>
      <c r="R700" s="7">
        <f>Q700*G700</f>
        <v/>
      </c>
      <c r="S700" s="8">
        <f>IF($R$714=0,0,R700/$R$714)</f>
        <v/>
      </c>
      <c r="T700" s="8" t="n">
        <v>0</v>
      </c>
      <c r="U700" s="8" t="n">
        <v>0.003549615087603764</v>
      </c>
      <c r="V700" s="6" t="inlineStr">
        <is>
          <t>not selected</t>
        </is>
      </c>
    </row>
    <row r="701">
      <c r="A701" s="6" t="inlineStr">
        <is>
          <t>DJ30</t>
        </is>
      </c>
      <c r="B701" s="6" t="inlineStr">
        <is>
          <t>2023-06-09</t>
        </is>
      </c>
      <c r="C701" s="6" t="inlineStr">
        <is>
          <t>DIA</t>
        </is>
      </c>
      <c r="D701" s="6" t="inlineStr">
        <is>
          <t>MCD</t>
        </is>
      </c>
      <c r="E701" s="6" t="inlineStr">
        <is>
          <t>MCD</t>
        </is>
      </c>
      <c r="F701" s="6" t="inlineStr">
        <is>
          <t>-</t>
        </is>
      </c>
      <c r="G701" s="7" t="n">
        <v>267.2228698730469</v>
      </c>
      <c r="H701" s="6">
        <f>P670</f>
        <v/>
      </c>
      <c r="I701" s="9">
        <f>Q670</f>
        <v/>
      </c>
      <c r="J701" s="7">
        <f>I701*G701</f>
        <v/>
      </c>
      <c r="K701" s="8">
        <f>IF($J$714=0,0,J701/$J$714)</f>
        <v/>
      </c>
      <c r="L701" s="6" t="inlineStr">
        <is>
          <t>REJECTED</t>
        </is>
      </c>
      <c r="M701" s="8" t="n">
        <v>0</v>
      </c>
      <c r="N701" s="7">
        <f>M701*$J$714-J701</f>
        <v/>
      </c>
      <c r="O701" s="9">
        <f>IF(G701=0,0,N701/G701)</f>
        <v/>
      </c>
      <c r="P701" s="6">
        <f>IF(M701&gt;0,D701,"")</f>
        <v/>
      </c>
      <c r="Q701" s="9">
        <f>I701+O701</f>
        <v/>
      </c>
      <c r="R701" s="7">
        <f>Q701*G701</f>
        <v/>
      </c>
      <c r="S701" s="8">
        <f>IF($R$714=0,0,R701/$R$714)</f>
        <v/>
      </c>
      <c r="T701" s="8" t="n">
        <v>0</v>
      </c>
      <c r="U701" s="8" t="n">
        <v>0.003549615087603764</v>
      </c>
      <c r="V701" s="6" t="inlineStr">
        <is>
          <t>not selected</t>
        </is>
      </c>
    </row>
    <row r="702">
      <c r="A702" s="6" t="inlineStr">
        <is>
          <t>DJ30</t>
        </is>
      </c>
      <c r="B702" s="6" t="inlineStr">
        <is>
          <t>2023-06-09</t>
        </is>
      </c>
      <c r="C702" s="6" t="inlineStr">
        <is>
          <t>DIA</t>
        </is>
      </c>
      <c r="D702" s="6" t="inlineStr">
        <is>
          <t>MMM</t>
        </is>
      </c>
      <c r="E702" s="6" t="inlineStr">
        <is>
          <t>MMM</t>
        </is>
      </c>
      <c r="F702" s="6" t="inlineStr">
        <is>
          <t>-</t>
        </is>
      </c>
      <c r="G702" s="7" t="n">
        <v>76.12024688720703</v>
      </c>
      <c r="H702" s="6">
        <f>P671</f>
        <v/>
      </c>
      <c r="I702" s="9">
        <f>Q671</f>
        <v/>
      </c>
      <c r="J702" s="7">
        <f>I702*G702</f>
        <v/>
      </c>
      <c r="K702" s="8">
        <f>IF($J$714=0,0,J702/$J$714)</f>
        <v/>
      </c>
      <c r="L702" s="6" t="inlineStr">
        <is>
          <t>REJECTED</t>
        </is>
      </c>
      <c r="M702" s="8" t="n">
        <v>0</v>
      </c>
      <c r="N702" s="7">
        <f>M702*$J$714-J702</f>
        <v/>
      </c>
      <c r="O702" s="9">
        <f>IF(G702=0,0,N702/G702)</f>
        <v/>
      </c>
      <c r="P702" s="6">
        <f>IF(M702&gt;0,D702,"")</f>
        <v/>
      </c>
      <c r="Q702" s="9">
        <f>I702+O702</f>
        <v/>
      </c>
      <c r="R702" s="7">
        <f>Q702*G702</f>
        <v/>
      </c>
      <c r="S702" s="8">
        <f>IF($R$714=0,0,R702/$R$714)</f>
        <v/>
      </c>
      <c r="T702" s="8" t="n">
        <v>0</v>
      </c>
      <c r="U702" s="8" t="n">
        <v>0.003549615087603764</v>
      </c>
      <c r="V702" s="6" t="inlineStr">
        <is>
          <t>not selected</t>
        </is>
      </c>
    </row>
    <row r="703">
      <c r="A703" s="6" t="inlineStr">
        <is>
          <t>DJ30</t>
        </is>
      </c>
      <c r="B703" s="6" t="inlineStr">
        <is>
          <t>2023-06-09</t>
        </is>
      </c>
      <c r="C703" s="6" t="inlineStr">
        <is>
          <t>DIA</t>
        </is>
      </c>
      <c r="D703" s="6" t="inlineStr">
        <is>
          <t>MRK</t>
        </is>
      </c>
      <c r="E703" s="6" t="inlineStr">
        <is>
          <t>MRK</t>
        </is>
      </c>
      <c r="F703" s="6" t="inlineStr">
        <is>
          <t>-</t>
        </is>
      </c>
      <c r="G703" s="7" t="n">
        <v>100.2700958251953</v>
      </c>
      <c r="H703" s="6">
        <f>P672</f>
        <v/>
      </c>
      <c r="I703" s="9">
        <f>Q672</f>
        <v/>
      </c>
      <c r="J703" s="7">
        <f>I703*G703</f>
        <v/>
      </c>
      <c r="K703" s="8">
        <f>IF($J$714=0,0,J703/$J$714)</f>
        <v/>
      </c>
      <c r="L703" s="6" t="inlineStr">
        <is>
          <t>REJECTED</t>
        </is>
      </c>
      <c r="M703" s="8" t="n">
        <v>0</v>
      </c>
      <c r="N703" s="7">
        <f>M703*$J$714-J703</f>
        <v/>
      </c>
      <c r="O703" s="9">
        <f>IF(G703=0,0,N703/G703)</f>
        <v/>
      </c>
      <c r="P703" s="6">
        <f>IF(M703&gt;0,D703,"")</f>
        <v/>
      </c>
      <c r="Q703" s="9">
        <f>I703+O703</f>
        <v/>
      </c>
      <c r="R703" s="7">
        <f>Q703*G703</f>
        <v/>
      </c>
      <c r="S703" s="8">
        <f>IF($R$714=0,0,R703/$R$714)</f>
        <v/>
      </c>
      <c r="T703" s="8" t="n">
        <v>0</v>
      </c>
      <c r="U703" s="8" t="n">
        <v>0.003549615087603764</v>
      </c>
      <c r="V703" s="6" t="inlineStr">
        <is>
          <t>not selected</t>
        </is>
      </c>
    </row>
    <row r="704">
      <c r="A704" s="6" t="inlineStr">
        <is>
          <t>DJ30</t>
        </is>
      </c>
      <c r="B704" s="6" t="inlineStr">
        <is>
          <t>2023-06-09</t>
        </is>
      </c>
      <c r="C704" s="6" t="inlineStr">
        <is>
          <t>DIA</t>
        </is>
      </c>
      <c r="D704" s="6" t="inlineStr">
        <is>
          <t>MSFT</t>
        </is>
      </c>
      <c r="E704" s="6" t="inlineStr">
        <is>
          <t>MSFT</t>
        </is>
      </c>
      <c r="F704" s="6" t="inlineStr">
        <is>
          <t>-</t>
        </is>
      </c>
      <c r="G704" s="7" t="n">
        <v>319.2364196777344</v>
      </c>
      <c r="H704" s="6">
        <f>P673</f>
        <v/>
      </c>
      <c r="I704" s="9">
        <f>Q673</f>
        <v/>
      </c>
      <c r="J704" s="7">
        <f>I704*G704</f>
        <v/>
      </c>
      <c r="K704" s="8">
        <f>IF($J$714=0,0,J704/$J$714)</f>
        <v/>
      </c>
      <c r="L704" s="6" t="inlineStr">
        <is>
          <t>REJECTED</t>
        </is>
      </c>
      <c r="M704" s="8" t="n">
        <v>0</v>
      </c>
      <c r="N704" s="7">
        <f>M704*$J$714-J704</f>
        <v/>
      </c>
      <c r="O704" s="9">
        <f>IF(G704=0,0,N704/G704)</f>
        <v/>
      </c>
      <c r="P704" s="6">
        <f>IF(M704&gt;0,D704,"")</f>
        <v/>
      </c>
      <c r="Q704" s="9">
        <f>I704+O704</f>
        <v/>
      </c>
      <c r="R704" s="7">
        <f>Q704*G704</f>
        <v/>
      </c>
      <c r="S704" s="8">
        <f>IF($R$714=0,0,R704/$R$714)</f>
        <v/>
      </c>
      <c r="T704" s="8" t="n">
        <v>0</v>
      </c>
      <c r="U704" s="8" t="n">
        <v>0.003549615087603764</v>
      </c>
      <c r="V704" s="6" t="inlineStr">
        <is>
          <t>not selected</t>
        </is>
      </c>
    </row>
    <row r="705">
      <c r="A705" s="6" t="inlineStr">
        <is>
          <t>DJ30</t>
        </is>
      </c>
      <c r="B705" s="6" t="inlineStr">
        <is>
          <t>2023-06-09</t>
        </is>
      </c>
      <c r="C705" s="6" t="inlineStr">
        <is>
          <t>DIA</t>
        </is>
      </c>
      <c r="D705" s="6" t="inlineStr">
        <is>
          <t>NKE</t>
        </is>
      </c>
      <c r="E705" s="6" t="inlineStr">
        <is>
          <t>NKE</t>
        </is>
      </c>
      <c r="F705" s="6" t="inlineStr">
        <is>
          <t>-</t>
        </is>
      </c>
      <c r="G705" s="7" t="n">
        <v>99.45011901855467</v>
      </c>
      <c r="H705" s="6">
        <f>P674</f>
        <v/>
      </c>
      <c r="I705" s="9">
        <f>Q674</f>
        <v/>
      </c>
      <c r="J705" s="7">
        <f>I705*G705</f>
        <v/>
      </c>
      <c r="K705" s="8">
        <f>IF($J$714=0,0,J705/$J$714)</f>
        <v/>
      </c>
      <c r="L705" s="6" t="inlineStr">
        <is>
          <t>REJECTED</t>
        </is>
      </c>
      <c r="M705" s="8" t="n">
        <v>0</v>
      </c>
      <c r="N705" s="7">
        <f>M705*$J$714-J705</f>
        <v/>
      </c>
      <c r="O705" s="9">
        <f>IF(G705=0,0,N705/G705)</f>
        <v/>
      </c>
      <c r="P705" s="6">
        <f>IF(M705&gt;0,D705,"")</f>
        <v/>
      </c>
      <c r="Q705" s="9">
        <f>I705+O705</f>
        <v/>
      </c>
      <c r="R705" s="7">
        <f>Q705*G705</f>
        <v/>
      </c>
      <c r="S705" s="8">
        <f>IF($R$714=0,0,R705/$R$714)</f>
        <v/>
      </c>
      <c r="T705" s="8" t="n">
        <v>0</v>
      </c>
      <c r="U705" s="8" t="n">
        <v>0.003549615087603764</v>
      </c>
      <c r="V705" s="6" t="inlineStr">
        <is>
          <t>not selected</t>
        </is>
      </c>
    </row>
    <row r="706">
      <c r="A706" s="6" t="inlineStr">
        <is>
          <t>DJ30</t>
        </is>
      </c>
      <c r="B706" s="6" t="inlineStr">
        <is>
          <t>2023-06-09</t>
        </is>
      </c>
      <c r="C706" s="6" t="inlineStr">
        <is>
          <t>DIA</t>
        </is>
      </c>
      <c r="D706" s="6" t="inlineStr">
        <is>
          <t>NVDA</t>
        </is>
      </c>
      <c r="E706" s="6" t="inlineStr">
        <is>
          <t>NVDA</t>
        </is>
      </c>
      <c r="F706" s="6" t="inlineStr">
        <is>
          <t>-</t>
        </is>
      </c>
      <c r="G706" s="7" t="n">
        <v>38.69461822509766</v>
      </c>
      <c r="H706" s="6">
        <f>P675</f>
        <v/>
      </c>
      <c r="I706" s="9">
        <f>Q675</f>
        <v/>
      </c>
      <c r="J706" s="7">
        <f>I706*G706</f>
        <v/>
      </c>
      <c r="K706" s="8">
        <f>IF($J$714=0,0,J706/$J$714)</f>
        <v/>
      </c>
      <c r="L706" s="6" t="inlineStr">
        <is>
          <t>REJECTED</t>
        </is>
      </c>
      <c r="M706" s="8" t="n">
        <v>0</v>
      </c>
      <c r="N706" s="7">
        <f>M706*$J$714-J706</f>
        <v/>
      </c>
      <c r="O706" s="9">
        <f>IF(G706=0,0,N706/G706)</f>
        <v/>
      </c>
      <c r="P706" s="6">
        <f>IF(M706&gt;0,D706,"")</f>
        <v/>
      </c>
      <c r="Q706" s="9">
        <f>I706+O706</f>
        <v/>
      </c>
      <c r="R706" s="7">
        <f>Q706*G706</f>
        <v/>
      </c>
      <c r="S706" s="8">
        <f>IF($R$714=0,0,R706/$R$714)</f>
        <v/>
      </c>
      <c r="T706" s="8" t="n">
        <v>0</v>
      </c>
      <c r="U706" s="8" t="n">
        <v>0.003549615087603764</v>
      </c>
      <c r="V706" s="6" t="inlineStr">
        <is>
          <t>not selected</t>
        </is>
      </c>
    </row>
    <row r="707">
      <c r="A707" s="6" t="inlineStr">
        <is>
          <t>DJ30</t>
        </is>
      </c>
      <c r="B707" s="6" t="inlineStr">
        <is>
          <t>2023-06-09</t>
        </is>
      </c>
      <c r="C707" s="6" t="inlineStr">
        <is>
          <t>DIA</t>
        </is>
      </c>
      <c r="D707" s="6" t="inlineStr">
        <is>
          <t>PG</t>
        </is>
      </c>
      <c r="E707" s="6" t="inlineStr">
        <is>
          <t>PG</t>
        </is>
      </c>
      <c r="F707" s="6" t="inlineStr">
        <is>
          <t>-</t>
        </is>
      </c>
      <c r="G707" s="7" t="n">
        <v>135.5875549316406</v>
      </c>
      <c r="H707" s="6">
        <f>P676</f>
        <v/>
      </c>
      <c r="I707" s="9">
        <f>Q676</f>
        <v/>
      </c>
      <c r="J707" s="7">
        <f>I707*G707</f>
        <v/>
      </c>
      <c r="K707" s="8">
        <f>IF($J$714=0,0,J707/$J$714)</f>
        <v/>
      </c>
      <c r="L707" s="6" t="inlineStr">
        <is>
          <t>REJECTED</t>
        </is>
      </c>
      <c r="M707" s="8" t="n">
        <v>0</v>
      </c>
      <c r="N707" s="7">
        <f>M707*$J$714-J707</f>
        <v/>
      </c>
      <c r="O707" s="9">
        <f>IF(G707=0,0,N707/G707)</f>
        <v/>
      </c>
      <c r="P707" s="6">
        <f>IF(M707&gt;0,D707,"")</f>
        <v/>
      </c>
      <c r="Q707" s="9">
        <f>I707+O707</f>
        <v/>
      </c>
      <c r="R707" s="7">
        <f>Q707*G707</f>
        <v/>
      </c>
      <c r="S707" s="8">
        <f>IF($R$714=0,0,R707/$R$714)</f>
        <v/>
      </c>
      <c r="T707" s="8" t="n">
        <v>0</v>
      </c>
      <c r="U707" s="8" t="n">
        <v>0.003549615087603764</v>
      </c>
      <c r="V707" s="6" t="inlineStr">
        <is>
          <t>not selected</t>
        </is>
      </c>
    </row>
    <row r="708">
      <c r="A708" s="6" t="inlineStr">
        <is>
          <t>DJ30</t>
        </is>
      </c>
      <c r="B708" s="6" t="inlineStr">
        <is>
          <t>2023-06-09</t>
        </is>
      </c>
      <c r="C708" s="6" t="inlineStr">
        <is>
          <t>DIA</t>
        </is>
      </c>
      <c r="D708" s="6" t="inlineStr">
        <is>
          <t>SHW</t>
        </is>
      </c>
      <c r="E708" s="6" t="inlineStr">
        <is>
          <t>SHW</t>
        </is>
      </c>
      <c r="F708" s="6" t="inlineStr">
        <is>
          <t>-</t>
        </is>
      </c>
      <c r="G708" s="7" t="n">
        <v>234.4595336914062</v>
      </c>
      <c r="H708" s="6">
        <f>P677</f>
        <v/>
      </c>
      <c r="I708" s="9">
        <f>Q677</f>
        <v/>
      </c>
      <c r="J708" s="7">
        <f>I708*G708</f>
        <v/>
      </c>
      <c r="K708" s="8">
        <f>IF($J$714=0,0,J708/$J$714)</f>
        <v/>
      </c>
      <c r="L708" s="6" t="inlineStr">
        <is>
          <t>REJECTED</t>
        </is>
      </c>
      <c r="M708" s="8" t="n">
        <v>0</v>
      </c>
      <c r="N708" s="7">
        <f>M708*$J$714-J708</f>
        <v/>
      </c>
      <c r="O708" s="9">
        <f>IF(G708=0,0,N708/G708)</f>
        <v/>
      </c>
      <c r="P708" s="6">
        <f>IF(M708&gt;0,D708,"")</f>
        <v/>
      </c>
      <c r="Q708" s="9">
        <f>I708+O708</f>
        <v/>
      </c>
      <c r="R708" s="7">
        <f>Q708*G708</f>
        <v/>
      </c>
      <c r="S708" s="8">
        <f>IF($R$714=0,0,R708/$R$714)</f>
        <v/>
      </c>
      <c r="T708" s="8" t="n">
        <v>0</v>
      </c>
      <c r="U708" s="8" t="n">
        <v>0.003549615087603764</v>
      </c>
      <c r="V708" s="6" t="inlineStr">
        <is>
          <t>not selected</t>
        </is>
      </c>
    </row>
    <row r="709">
      <c r="A709" s="6" t="inlineStr">
        <is>
          <t>DJ30</t>
        </is>
      </c>
      <c r="B709" s="6" t="inlineStr">
        <is>
          <t>2023-06-09</t>
        </is>
      </c>
      <c r="C709" s="6" t="inlineStr">
        <is>
          <t>DIA</t>
        </is>
      </c>
      <c r="D709" s="6" t="inlineStr">
        <is>
          <t>TRV</t>
        </is>
      </c>
      <c r="E709" s="6" t="inlineStr">
        <is>
          <t>TRV</t>
        </is>
      </c>
      <c r="F709" s="6" t="inlineStr">
        <is>
          <t>-</t>
        </is>
      </c>
      <c r="G709" s="7" t="n">
        <v>166.4137420654297</v>
      </c>
      <c r="H709" s="6">
        <f>P678</f>
        <v/>
      </c>
      <c r="I709" s="9">
        <f>Q678</f>
        <v/>
      </c>
      <c r="J709" s="7">
        <f>I709*G709</f>
        <v/>
      </c>
      <c r="K709" s="8">
        <f>IF($J$714=0,0,J709/$J$714)</f>
        <v/>
      </c>
      <c r="L709" s="6" t="inlineStr">
        <is>
          <t>REJECTED</t>
        </is>
      </c>
      <c r="M709" s="8" t="n">
        <v>0</v>
      </c>
      <c r="N709" s="7">
        <f>M709*$J$714-J709</f>
        <v/>
      </c>
      <c r="O709" s="9">
        <f>IF(G709=0,0,N709/G709)</f>
        <v/>
      </c>
      <c r="P709" s="6">
        <f>IF(M709&gt;0,D709,"")</f>
        <v/>
      </c>
      <c r="Q709" s="9">
        <f>I709+O709</f>
        <v/>
      </c>
      <c r="R709" s="7">
        <f>Q709*G709</f>
        <v/>
      </c>
      <c r="S709" s="8">
        <f>IF($R$714=0,0,R709/$R$714)</f>
        <v/>
      </c>
      <c r="T709" s="8" t="n">
        <v>0</v>
      </c>
      <c r="U709" s="8" t="n">
        <v>0.003549615087603764</v>
      </c>
      <c r="V709" s="6" t="inlineStr">
        <is>
          <t>not selected</t>
        </is>
      </c>
    </row>
    <row r="710">
      <c r="A710" s="6" t="inlineStr">
        <is>
          <t>DJ30</t>
        </is>
      </c>
      <c r="B710" s="6" t="inlineStr">
        <is>
          <t>2023-06-09</t>
        </is>
      </c>
      <c r="C710" s="6" t="inlineStr">
        <is>
          <t>DIA</t>
        </is>
      </c>
      <c r="D710" s="6" t="inlineStr">
        <is>
          <t>UNH</t>
        </is>
      </c>
      <c r="E710" s="6" t="inlineStr">
        <is>
          <t>UNH</t>
        </is>
      </c>
      <c r="F710" s="6" t="inlineStr">
        <is>
          <t>-</t>
        </is>
      </c>
      <c r="G710" s="7" t="n">
        <v>462.6982421875</v>
      </c>
      <c r="H710" s="6">
        <f>P679</f>
        <v/>
      </c>
      <c r="I710" s="9">
        <f>Q679</f>
        <v/>
      </c>
      <c r="J710" s="7">
        <f>I710*G710</f>
        <v/>
      </c>
      <c r="K710" s="8">
        <f>IF($J$714=0,0,J710/$J$714)</f>
        <v/>
      </c>
      <c r="L710" s="6" t="inlineStr">
        <is>
          <t>REJECTED</t>
        </is>
      </c>
      <c r="M710" s="8" t="n">
        <v>0</v>
      </c>
      <c r="N710" s="7">
        <f>M710*$J$714-J710</f>
        <v/>
      </c>
      <c r="O710" s="9">
        <f>IF(G710=0,0,N710/G710)</f>
        <v/>
      </c>
      <c r="P710" s="6">
        <f>IF(M710&gt;0,D710,"")</f>
        <v/>
      </c>
      <c r="Q710" s="9">
        <f>I710+O710</f>
        <v/>
      </c>
      <c r="R710" s="7">
        <f>Q710*G710</f>
        <v/>
      </c>
      <c r="S710" s="8">
        <f>IF($R$714=0,0,R710/$R$714)</f>
        <v/>
      </c>
      <c r="T710" s="8" t="n">
        <v>0</v>
      </c>
      <c r="U710" s="8" t="n">
        <v>0.003549615087603764</v>
      </c>
      <c r="V710" s="6" t="inlineStr">
        <is>
          <t>not selected</t>
        </is>
      </c>
    </row>
    <row r="711">
      <c r="A711" s="6" t="inlineStr">
        <is>
          <t>DJ30</t>
        </is>
      </c>
      <c r="B711" s="6" t="inlineStr">
        <is>
          <t>2023-06-09</t>
        </is>
      </c>
      <c r="C711" s="6" t="inlineStr">
        <is>
          <t>DIA</t>
        </is>
      </c>
      <c r="D711" s="6" t="inlineStr">
        <is>
          <t>V</t>
        </is>
      </c>
      <c r="E711" s="6" t="inlineStr">
        <is>
          <t>V</t>
        </is>
      </c>
      <c r="F711" s="6" t="inlineStr">
        <is>
          <t>-</t>
        </is>
      </c>
      <c r="G711" s="7" t="n">
        <v>218.5142974853516</v>
      </c>
      <c r="H711" s="6">
        <f>P680</f>
        <v/>
      </c>
      <c r="I711" s="9">
        <f>Q680</f>
        <v/>
      </c>
      <c r="J711" s="7">
        <f>I711*G711</f>
        <v/>
      </c>
      <c r="K711" s="8">
        <f>IF($J$714=0,0,J711/$J$714)</f>
        <v/>
      </c>
      <c r="L711" s="6" t="inlineStr">
        <is>
          <t>REJECTED</t>
        </is>
      </c>
      <c r="M711" s="8" t="n">
        <v>0</v>
      </c>
      <c r="N711" s="7">
        <f>M711*$J$714-J711</f>
        <v/>
      </c>
      <c r="O711" s="9">
        <f>IF(G711=0,0,N711/G711)</f>
        <v/>
      </c>
      <c r="P711" s="6">
        <f>IF(M711&gt;0,D711,"")</f>
        <v/>
      </c>
      <c r="Q711" s="9">
        <f>I711+O711</f>
        <v/>
      </c>
      <c r="R711" s="7">
        <f>Q711*G711</f>
        <v/>
      </c>
      <c r="S711" s="8">
        <f>IF($R$714=0,0,R711/$R$714)</f>
        <v/>
      </c>
      <c r="T711" s="8" t="n">
        <v>0</v>
      </c>
      <c r="U711" s="8" t="n">
        <v>0.003549615087603764</v>
      </c>
      <c r="V711" s="6" t="inlineStr">
        <is>
          <t>not selected</t>
        </is>
      </c>
    </row>
    <row r="712">
      <c r="A712" s="6" t="inlineStr">
        <is>
          <t>DJ30</t>
        </is>
      </c>
      <c r="B712" s="6" t="inlineStr">
        <is>
          <t>2023-06-09</t>
        </is>
      </c>
      <c r="C712" s="6" t="inlineStr">
        <is>
          <t>DIA</t>
        </is>
      </c>
      <c r="D712" s="6" t="inlineStr">
        <is>
          <t>VZ</t>
        </is>
      </c>
      <c r="E712" s="6" t="inlineStr">
        <is>
          <t>VZ</t>
        </is>
      </c>
      <c r="F712" s="6" t="inlineStr">
        <is>
          <t>-</t>
        </is>
      </c>
      <c r="G712" s="7" t="n">
        <v>28.97988700866699</v>
      </c>
      <c r="H712" s="6">
        <f>P681</f>
        <v/>
      </c>
      <c r="I712" s="9">
        <f>Q681</f>
        <v/>
      </c>
      <c r="J712" s="7">
        <f>I712*G712</f>
        <v/>
      </c>
      <c r="K712" s="8">
        <f>IF($J$714=0,0,J712/$J$714)</f>
        <v/>
      </c>
      <c r="L712" s="6" t="inlineStr">
        <is>
          <t>REJECTED</t>
        </is>
      </c>
      <c r="M712" s="8" t="n">
        <v>0</v>
      </c>
      <c r="N712" s="7">
        <f>M712*$J$714-J712</f>
        <v/>
      </c>
      <c r="O712" s="9">
        <f>IF(G712=0,0,N712/G712)</f>
        <v/>
      </c>
      <c r="P712" s="6">
        <f>IF(M712&gt;0,D712,"")</f>
        <v/>
      </c>
      <c r="Q712" s="9">
        <f>I712+O712</f>
        <v/>
      </c>
      <c r="R712" s="7">
        <f>Q712*G712</f>
        <v/>
      </c>
      <c r="S712" s="8">
        <f>IF($R$714=0,0,R712/$R$714)</f>
        <v/>
      </c>
      <c r="T712" s="8" t="n">
        <v>0</v>
      </c>
      <c r="U712" s="8" t="n">
        <v>0.003549615087603764</v>
      </c>
      <c r="V712" s="6" t="inlineStr">
        <is>
          <t>not selected</t>
        </is>
      </c>
    </row>
    <row r="713">
      <c r="A713" s="6" t="inlineStr">
        <is>
          <t>DJ30</t>
        </is>
      </c>
      <c r="B713" s="6" t="inlineStr">
        <is>
          <t>2023-06-09</t>
        </is>
      </c>
      <c r="C713" s="6" t="inlineStr">
        <is>
          <t>DIA</t>
        </is>
      </c>
      <c r="D713" s="6" t="inlineStr">
        <is>
          <t>WMT</t>
        </is>
      </c>
      <c r="E713" s="6" t="inlineStr">
        <is>
          <t>WMT</t>
        </is>
      </c>
      <c r="F713" s="6" t="inlineStr">
        <is>
          <t>-</t>
        </is>
      </c>
      <c r="G713" s="7" t="n">
        <v>49.39057922363281</v>
      </c>
      <c r="H713" s="6">
        <f>P682</f>
        <v/>
      </c>
      <c r="I713" s="9">
        <f>Q682</f>
        <v/>
      </c>
      <c r="J713" s="7">
        <f>I713*G713</f>
        <v/>
      </c>
      <c r="K713" s="8">
        <f>IF($J$714=0,0,J713/$J$714)</f>
        <v/>
      </c>
      <c r="L713" s="6" t="inlineStr">
        <is>
          <t>REJECTED</t>
        </is>
      </c>
      <c r="M713" s="8" t="n">
        <v>0</v>
      </c>
      <c r="N713" s="7">
        <f>M713*$J$714-J713</f>
        <v/>
      </c>
      <c r="O713" s="9">
        <f>IF(G713=0,0,N713/G713)</f>
        <v/>
      </c>
      <c r="P713" s="6">
        <f>IF(M713&gt;0,D713,"")</f>
        <v/>
      </c>
      <c r="Q713" s="9">
        <f>I713+O713</f>
        <v/>
      </c>
      <c r="R713" s="7">
        <f>Q713*G713</f>
        <v/>
      </c>
      <c r="S713" s="8">
        <f>IF($R$714=0,0,R713/$R$714)</f>
        <v/>
      </c>
      <c r="T713" s="8" t="n">
        <v>0</v>
      </c>
      <c r="U713" s="8" t="n">
        <v>0.003549615087603764</v>
      </c>
      <c r="V713" s="6" t="inlineStr">
        <is>
          <t>not selected</t>
        </is>
      </c>
    </row>
    <row r="714">
      <c r="A714" s="10" t="inlineStr">
        <is>
          <t>DJ30</t>
        </is>
      </c>
      <c r="B714" s="10" t="inlineStr">
        <is>
          <t>2023-06-09</t>
        </is>
      </c>
      <c r="C714" s="10" t="inlineStr">
        <is>
          <t>DIA</t>
        </is>
      </c>
      <c r="D714" s="10" t="inlineStr">
        <is>
          <t>Tot Portfolio</t>
        </is>
      </c>
      <c r="E714" s="10" t="inlineStr"/>
      <c r="F714" s="10" t="inlineStr"/>
      <c r="G714" s="11" t="inlineStr"/>
      <c r="H714" s="10" t="inlineStr"/>
      <c r="I714" s="12" t="inlineStr"/>
      <c r="J714" s="11">
        <f>SUM(J684:J713)</f>
        <v/>
      </c>
      <c r="K714" s="13">
        <f>SUM(K684:K713)</f>
        <v/>
      </c>
      <c r="L714" s="10" t="inlineStr">
        <is>
          <t>TOTAL</t>
        </is>
      </c>
      <c r="M714" s="13">
        <f>SUM(M684:M713)</f>
        <v/>
      </c>
      <c r="N714" s="11">
        <f>SUM(N684:N713)</f>
        <v/>
      </c>
      <c r="O714" s="12">
        <f>SUM(O684:O713)</f>
        <v/>
      </c>
      <c r="P714" s="10" t="inlineStr"/>
      <c r="Q714" s="12" t="inlineStr"/>
      <c r="R714" s="11">
        <f>SUM(R684:R713)</f>
        <v/>
      </c>
      <c r="S714" s="13">
        <f>SUM(S684:S713)</f>
        <v/>
      </c>
      <c r="T714" s="13" t="n">
        <v>0</v>
      </c>
      <c r="U714" s="13" t="n">
        <v>0.003549615087603764</v>
      </c>
      <c r="V714" s="10" t="inlineStr"/>
    </row>
    <row r="715">
      <c r="A715" s="6" t="inlineStr">
        <is>
          <t>DJ30</t>
        </is>
      </c>
      <c r="B715" s="6" t="inlineStr">
        <is>
          <t>2023-06-16</t>
        </is>
      </c>
      <c r="C715" s="6" t="inlineStr">
        <is>
          <t>DIA</t>
        </is>
      </c>
      <c r="D715" s="6" t="inlineStr">
        <is>
          <t>AAPL</t>
        </is>
      </c>
      <c r="E715" s="6" t="inlineStr">
        <is>
          <t>AAPL</t>
        </is>
      </c>
      <c r="F715" s="6" t="inlineStr">
        <is>
          <t>-</t>
        </is>
      </c>
      <c r="G715" s="7" t="n">
        <v>182.3634185791016</v>
      </c>
      <c r="H715" s="6">
        <f>P684</f>
        <v/>
      </c>
      <c r="I715" s="9">
        <f>Q684</f>
        <v/>
      </c>
      <c r="J715" s="7">
        <f>I715*G715</f>
        <v/>
      </c>
      <c r="K715" s="8">
        <f>IF($J$745=0,0,J715/$J$745)</f>
        <v/>
      </c>
      <c r="L715" s="6" t="inlineStr">
        <is>
          <t>REJECTED</t>
        </is>
      </c>
      <c r="M715" s="8" t="n">
        <v>0</v>
      </c>
      <c r="N715" s="7">
        <f>M715*$J$745-J715</f>
        <v/>
      </c>
      <c r="O715" s="9">
        <f>IF(G715=0,0,N715/G715)</f>
        <v/>
      </c>
      <c r="P715" s="6">
        <f>IF(M715&gt;0,D715,"")</f>
        <v/>
      </c>
      <c r="Q715" s="9">
        <f>I715+O715</f>
        <v/>
      </c>
      <c r="R715" s="7">
        <f>Q715*G715</f>
        <v/>
      </c>
      <c r="S715" s="8">
        <f>IF($R$745=0,0,R715/$R$745)</f>
        <v/>
      </c>
      <c r="T715" s="8" t="n">
        <v>0</v>
      </c>
      <c r="U715" s="8" t="n">
        <v>0.01312704115344254</v>
      </c>
      <c r="V715" s="6" t="inlineStr">
        <is>
          <t>not selected</t>
        </is>
      </c>
    </row>
    <row r="716">
      <c r="A716" s="6" t="inlineStr">
        <is>
          <t>DJ30</t>
        </is>
      </c>
      <c r="B716" s="6" t="inlineStr">
        <is>
          <t>2023-06-16</t>
        </is>
      </c>
      <c r="C716" s="6" t="inlineStr">
        <is>
          <t>DIA</t>
        </is>
      </c>
      <c r="D716" s="6" t="inlineStr">
        <is>
          <t>AMGN</t>
        </is>
      </c>
      <c r="E716" s="6" t="inlineStr">
        <is>
          <t>AMGN</t>
        </is>
      </c>
      <c r="F716" s="6" t="inlineStr">
        <is>
          <t>-</t>
        </is>
      </c>
      <c r="G716" s="7" t="n">
        <v>209.4468688964844</v>
      </c>
      <c r="H716" s="6">
        <f>P685</f>
        <v/>
      </c>
      <c r="I716" s="9">
        <f>Q685</f>
        <v/>
      </c>
      <c r="J716" s="7">
        <f>I716*G716</f>
        <v/>
      </c>
      <c r="K716" s="8">
        <f>IF($J$745=0,0,J716/$J$745)</f>
        <v/>
      </c>
      <c r="L716" s="6" t="inlineStr">
        <is>
          <t>REJECTED</t>
        </is>
      </c>
      <c r="M716" s="8" t="n">
        <v>0</v>
      </c>
      <c r="N716" s="7">
        <f>M716*$J$745-J716</f>
        <v/>
      </c>
      <c r="O716" s="9">
        <f>IF(G716=0,0,N716/G716)</f>
        <v/>
      </c>
      <c r="P716" s="6">
        <f>IF(M716&gt;0,D716,"")</f>
        <v/>
      </c>
      <c r="Q716" s="9">
        <f>I716+O716</f>
        <v/>
      </c>
      <c r="R716" s="7">
        <f>Q716*G716</f>
        <v/>
      </c>
      <c r="S716" s="8">
        <f>IF($R$745=0,0,R716/$R$745)</f>
        <v/>
      </c>
      <c r="T716" s="8" t="n">
        <v>0</v>
      </c>
      <c r="U716" s="8" t="n">
        <v>0.01312704115344254</v>
      </c>
      <c r="V716" s="6" t="inlineStr">
        <is>
          <t>not selected</t>
        </is>
      </c>
    </row>
    <row r="717">
      <c r="A717" s="6" t="inlineStr">
        <is>
          <t>DJ30</t>
        </is>
      </c>
      <c r="B717" s="6" t="inlineStr">
        <is>
          <t>2023-06-16</t>
        </is>
      </c>
      <c r="C717" s="6" t="inlineStr">
        <is>
          <t>DIA</t>
        </is>
      </c>
      <c r="D717" s="6" t="inlineStr">
        <is>
          <t>AMZN</t>
        </is>
      </c>
      <c r="E717" s="6" t="inlineStr">
        <is>
          <t>AMZN</t>
        </is>
      </c>
      <c r="F717" s="6" t="inlineStr">
        <is>
          <t>-</t>
        </is>
      </c>
      <c r="G717" s="7" t="n">
        <v>125.4899978637695</v>
      </c>
      <c r="H717" s="6">
        <f>P686</f>
        <v/>
      </c>
      <c r="I717" s="9">
        <f>Q686</f>
        <v/>
      </c>
      <c r="J717" s="7">
        <f>I717*G717</f>
        <v/>
      </c>
      <c r="K717" s="8">
        <f>IF($J$745=0,0,J717/$J$745)</f>
        <v/>
      </c>
      <c r="L717" s="6" t="inlineStr">
        <is>
          <t>REJECTED</t>
        </is>
      </c>
      <c r="M717" s="8" t="n">
        <v>0</v>
      </c>
      <c r="N717" s="7">
        <f>M717*$J$745-J717</f>
        <v/>
      </c>
      <c r="O717" s="9">
        <f>IF(G717=0,0,N717/G717)</f>
        <v/>
      </c>
      <c r="P717" s="6">
        <f>IF(M717&gt;0,D717,"")</f>
        <v/>
      </c>
      <c r="Q717" s="9">
        <f>I717+O717</f>
        <v/>
      </c>
      <c r="R717" s="7">
        <f>Q717*G717</f>
        <v/>
      </c>
      <c r="S717" s="8">
        <f>IF($R$745=0,0,R717/$R$745)</f>
        <v/>
      </c>
      <c r="T717" s="8" t="n">
        <v>0</v>
      </c>
      <c r="U717" s="8" t="n">
        <v>0.01312704115344254</v>
      </c>
      <c r="V717" s="6" t="inlineStr">
        <is>
          <t>not selected</t>
        </is>
      </c>
    </row>
    <row r="718">
      <c r="A718" s="6" t="inlineStr">
        <is>
          <t>DJ30</t>
        </is>
      </c>
      <c r="B718" s="6" t="inlineStr">
        <is>
          <t>2023-06-16</t>
        </is>
      </c>
      <c r="C718" s="6" t="inlineStr">
        <is>
          <t>DIA</t>
        </is>
      </c>
      <c r="D718" s="6" t="inlineStr">
        <is>
          <t>AXP</t>
        </is>
      </c>
      <c r="E718" s="6" t="inlineStr">
        <is>
          <t>AXP</t>
        </is>
      </c>
      <c r="F718" s="6" t="inlineStr">
        <is>
          <t>-</t>
        </is>
      </c>
      <c r="G718" s="7" t="n">
        <v>166.2010498046875</v>
      </c>
      <c r="H718" s="6">
        <f>P687</f>
        <v/>
      </c>
      <c r="I718" s="9">
        <f>Q687</f>
        <v/>
      </c>
      <c r="J718" s="7">
        <f>I718*G718</f>
        <v/>
      </c>
      <c r="K718" s="8">
        <f>IF($J$745=0,0,J718/$J$745)</f>
        <v/>
      </c>
      <c r="L718" s="6" t="inlineStr">
        <is>
          <t>REJECTED</t>
        </is>
      </c>
      <c r="M718" s="8" t="n">
        <v>0</v>
      </c>
      <c r="N718" s="7">
        <f>M718*$J$745-J718</f>
        <v/>
      </c>
      <c r="O718" s="9">
        <f>IF(G718=0,0,N718/G718)</f>
        <v/>
      </c>
      <c r="P718" s="6">
        <f>IF(M718&gt;0,D718,"")</f>
        <v/>
      </c>
      <c r="Q718" s="9">
        <f>I718+O718</f>
        <v/>
      </c>
      <c r="R718" s="7">
        <f>Q718*G718</f>
        <v/>
      </c>
      <c r="S718" s="8">
        <f>IF($R$745=0,0,R718/$R$745)</f>
        <v/>
      </c>
      <c r="T718" s="8" t="n">
        <v>0</v>
      </c>
      <c r="U718" s="8" t="n">
        <v>0.01312704115344254</v>
      </c>
      <c r="V718" s="6" t="inlineStr">
        <is>
          <t>not selected</t>
        </is>
      </c>
    </row>
    <row r="719">
      <c r="A719" s="6" t="inlineStr">
        <is>
          <t>DJ30</t>
        </is>
      </c>
      <c r="B719" s="6" t="inlineStr">
        <is>
          <t>2023-06-16</t>
        </is>
      </c>
      <c r="C719" s="6" t="inlineStr">
        <is>
          <t>DIA</t>
        </is>
      </c>
      <c r="D719" s="6" t="inlineStr">
        <is>
          <t>BA</t>
        </is>
      </c>
      <c r="E719" s="6" t="inlineStr">
        <is>
          <t>BA</t>
        </is>
      </c>
      <c r="F719" s="6" t="inlineStr">
        <is>
          <t>-</t>
        </is>
      </c>
      <c r="G719" s="7" t="n">
        <v>219.9900054931641</v>
      </c>
      <c r="H719" s="6">
        <f>P688</f>
        <v/>
      </c>
      <c r="I719" s="9">
        <f>Q688</f>
        <v/>
      </c>
      <c r="J719" s="7">
        <f>I719*G719</f>
        <v/>
      </c>
      <c r="K719" s="8">
        <f>IF($J$745=0,0,J719/$J$745)</f>
        <v/>
      </c>
      <c r="L719" s="6" t="inlineStr">
        <is>
          <t>REJECTED</t>
        </is>
      </c>
      <c r="M719" s="8" t="n">
        <v>0</v>
      </c>
      <c r="N719" s="7">
        <f>M719*$J$745-J719</f>
        <v/>
      </c>
      <c r="O719" s="9">
        <f>IF(G719=0,0,N719/G719)</f>
        <v/>
      </c>
      <c r="P719" s="6">
        <f>IF(M719&gt;0,D719,"")</f>
        <v/>
      </c>
      <c r="Q719" s="9">
        <f>I719+O719</f>
        <v/>
      </c>
      <c r="R719" s="7">
        <f>Q719*G719</f>
        <v/>
      </c>
      <c r="S719" s="8">
        <f>IF($R$745=0,0,R719/$R$745)</f>
        <v/>
      </c>
      <c r="T719" s="8" t="n">
        <v>0</v>
      </c>
      <c r="U719" s="8" t="n">
        <v>0.01312704115344254</v>
      </c>
      <c r="V719" s="6" t="inlineStr">
        <is>
          <t>not selected</t>
        </is>
      </c>
    </row>
    <row r="720">
      <c r="A720" s="6" t="inlineStr">
        <is>
          <t>DJ30</t>
        </is>
      </c>
      <c r="B720" s="6" t="inlineStr">
        <is>
          <t>2023-06-16</t>
        </is>
      </c>
      <c r="C720" s="6" t="inlineStr">
        <is>
          <t>DIA</t>
        </is>
      </c>
      <c r="D720" s="6" t="inlineStr">
        <is>
          <t>CAT</t>
        </is>
      </c>
      <c r="E720" s="6" t="inlineStr">
        <is>
          <t>CAT</t>
        </is>
      </c>
      <c r="F720" s="6" t="inlineStr">
        <is>
          <t>-</t>
        </is>
      </c>
      <c r="G720" s="7" t="n">
        <v>234.4229736328125</v>
      </c>
      <c r="H720" s="6">
        <f>P689</f>
        <v/>
      </c>
      <c r="I720" s="9">
        <f>Q689</f>
        <v/>
      </c>
      <c r="J720" s="7">
        <f>I720*G720</f>
        <v/>
      </c>
      <c r="K720" s="8">
        <f>IF($J$745=0,0,J720/$J$745)</f>
        <v/>
      </c>
      <c r="L720" s="6" t="inlineStr">
        <is>
          <t>REJECTED</t>
        </is>
      </c>
      <c r="M720" s="8" t="n">
        <v>0</v>
      </c>
      <c r="N720" s="7">
        <f>M720*$J$745-J720</f>
        <v/>
      </c>
      <c r="O720" s="9">
        <f>IF(G720=0,0,N720/G720)</f>
        <v/>
      </c>
      <c r="P720" s="6">
        <f>IF(M720&gt;0,D720,"")</f>
        <v/>
      </c>
      <c r="Q720" s="9">
        <f>I720+O720</f>
        <v/>
      </c>
      <c r="R720" s="7">
        <f>Q720*G720</f>
        <v/>
      </c>
      <c r="S720" s="8">
        <f>IF($R$745=0,0,R720/$R$745)</f>
        <v/>
      </c>
      <c r="T720" s="8" t="n">
        <v>0</v>
      </c>
      <c r="U720" s="8" t="n">
        <v>0.01312704115344254</v>
      </c>
      <c r="V720" s="6" t="inlineStr">
        <is>
          <t>not selected</t>
        </is>
      </c>
    </row>
    <row r="721">
      <c r="A721" s="6" t="inlineStr">
        <is>
          <t>DJ30</t>
        </is>
      </c>
      <c r="B721" s="6" t="inlineStr">
        <is>
          <t>2023-06-16</t>
        </is>
      </c>
      <c r="C721" s="6" t="inlineStr">
        <is>
          <t>DIA</t>
        </is>
      </c>
      <c r="D721" s="6" t="inlineStr">
        <is>
          <t>CRM</t>
        </is>
      </c>
      <c r="E721" s="6" t="inlineStr">
        <is>
          <t>CRM</t>
        </is>
      </c>
      <c r="F721" s="6" t="inlineStr">
        <is>
          <t>-</t>
        </is>
      </c>
      <c r="G721" s="7" t="n">
        <v>208.1587371826172</v>
      </c>
      <c r="H721" s="6">
        <f>P690</f>
        <v/>
      </c>
      <c r="I721" s="9">
        <f>Q690</f>
        <v/>
      </c>
      <c r="J721" s="7">
        <f>I721*G721</f>
        <v/>
      </c>
      <c r="K721" s="8">
        <f>IF($J$745=0,0,J721/$J$745)</f>
        <v/>
      </c>
      <c r="L721" s="6" t="inlineStr">
        <is>
          <t>REJECTED</t>
        </is>
      </c>
      <c r="M721" s="8" t="n">
        <v>0</v>
      </c>
      <c r="N721" s="7">
        <f>M721*$J$745-J721</f>
        <v/>
      </c>
      <c r="O721" s="9">
        <f>IF(G721=0,0,N721/G721)</f>
        <v/>
      </c>
      <c r="P721" s="6">
        <f>IF(M721&gt;0,D721,"")</f>
        <v/>
      </c>
      <c r="Q721" s="9">
        <f>I721+O721</f>
        <v/>
      </c>
      <c r="R721" s="7">
        <f>Q721*G721</f>
        <v/>
      </c>
      <c r="S721" s="8">
        <f>IF($R$745=0,0,R721/$R$745)</f>
        <v/>
      </c>
      <c r="T721" s="8" t="n">
        <v>0</v>
      </c>
      <c r="U721" s="8" t="n">
        <v>0.01312704115344254</v>
      </c>
      <c r="V721" s="6" t="inlineStr">
        <is>
          <t>not selected</t>
        </is>
      </c>
    </row>
    <row r="722">
      <c r="A722" s="6" t="inlineStr">
        <is>
          <t>DJ30</t>
        </is>
      </c>
      <c r="B722" s="6" t="inlineStr">
        <is>
          <t>2023-06-16</t>
        </is>
      </c>
      <c r="C722" s="6" t="inlineStr">
        <is>
          <t>DIA</t>
        </is>
      </c>
      <c r="D722" s="6" t="inlineStr">
        <is>
          <t>CSCO</t>
        </is>
      </c>
      <c r="E722" s="6" t="inlineStr">
        <is>
          <t>CSCO</t>
        </is>
      </c>
      <c r="F722" s="6" t="inlineStr">
        <is>
          <t>-</t>
        </is>
      </c>
      <c r="G722" s="7" t="n">
        <v>47.92341613769531</v>
      </c>
      <c r="H722" s="6">
        <f>P691</f>
        <v/>
      </c>
      <c r="I722" s="9">
        <f>Q691</f>
        <v/>
      </c>
      <c r="J722" s="7">
        <f>I722*G722</f>
        <v/>
      </c>
      <c r="K722" s="8">
        <f>IF($J$745=0,0,J722/$J$745)</f>
        <v/>
      </c>
      <c r="L722" s="6" t="inlineStr">
        <is>
          <t>REJECTED</t>
        </is>
      </c>
      <c r="M722" s="8" t="n">
        <v>0</v>
      </c>
      <c r="N722" s="7">
        <f>M722*$J$745-J722</f>
        <v/>
      </c>
      <c r="O722" s="9">
        <f>IF(G722=0,0,N722/G722)</f>
        <v/>
      </c>
      <c r="P722" s="6">
        <f>IF(M722&gt;0,D722,"")</f>
        <v/>
      </c>
      <c r="Q722" s="9">
        <f>I722+O722</f>
        <v/>
      </c>
      <c r="R722" s="7">
        <f>Q722*G722</f>
        <v/>
      </c>
      <c r="S722" s="8">
        <f>IF($R$745=0,0,R722/$R$745)</f>
        <v/>
      </c>
      <c r="T722" s="8" t="n">
        <v>0</v>
      </c>
      <c r="U722" s="8" t="n">
        <v>0.01312704115344254</v>
      </c>
      <c r="V722" s="6" t="inlineStr">
        <is>
          <t>not selected</t>
        </is>
      </c>
    </row>
    <row r="723">
      <c r="A723" s="6" t="inlineStr">
        <is>
          <t>DJ30</t>
        </is>
      </c>
      <c r="B723" s="6" t="inlineStr">
        <is>
          <t>2023-06-16</t>
        </is>
      </c>
      <c r="C723" s="6" t="inlineStr">
        <is>
          <t>DIA</t>
        </is>
      </c>
      <c r="D723" s="6" t="inlineStr">
        <is>
          <t>CVX</t>
        </is>
      </c>
      <c r="E723" s="6" t="inlineStr">
        <is>
          <t>CVX</t>
        </is>
      </c>
      <c r="F723" s="6" t="inlineStr">
        <is>
          <t>-</t>
        </is>
      </c>
      <c r="G723" s="7" t="n">
        <v>138.5958709716797</v>
      </c>
      <c r="H723" s="6">
        <f>P692</f>
        <v/>
      </c>
      <c r="I723" s="9">
        <f>Q692</f>
        <v/>
      </c>
      <c r="J723" s="7">
        <f>I723*G723</f>
        <v/>
      </c>
      <c r="K723" s="8">
        <f>IF($J$745=0,0,J723/$J$745)</f>
        <v/>
      </c>
      <c r="L723" s="6" t="inlineStr">
        <is>
          <t>REJECTED</t>
        </is>
      </c>
      <c r="M723" s="8" t="n">
        <v>0</v>
      </c>
      <c r="N723" s="7">
        <f>M723*$J$745-J723</f>
        <v/>
      </c>
      <c r="O723" s="9">
        <f>IF(G723=0,0,N723/G723)</f>
        <v/>
      </c>
      <c r="P723" s="6">
        <f>IF(M723&gt;0,D723,"")</f>
        <v/>
      </c>
      <c r="Q723" s="9">
        <f>I723+O723</f>
        <v/>
      </c>
      <c r="R723" s="7">
        <f>Q723*G723</f>
        <v/>
      </c>
      <c r="S723" s="8">
        <f>IF($R$745=0,0,R723/$R$745)</f>
        <v/>
      </c>
      <c r="T723" s="8" t="n">
        <v>0</v>
      </c>
      <c r="U723" s="8" t="n">
        <v>0.01312704115344254</v>
      </c>
      <c r="V723" s="6" t="inlineStr">
        <is>
          <t>not selected</t>
        </is>
      </c>
    </row>
    <row r="724">
      <c r="A724" s="6" t="inlineStr">
        <is>
          <t>DJ30</t>
        </is>
      </c>
      <c r="B724" s="6" t="inlineStr">
        <is>
          <t>2023-06-16</t>
        </is>
      </c>
      <c r="C724" s="6" t="inlineStr">
        <is>
          <t>DIA</t>
        </is>
      </c>
      <c r="D724" s="6" t="inlineStr">
        <is>
          <t>DIS</t>
        </is>
      </c>
      <c r="E724" s="6" t="inlineStr">
        <is>
          <t>DIS</t>
        </is>
      </c>
      <c r="F724" s="6" t="inlineStr">
        <is>
          <t>-</t>
        </is>
      </c>
      <c r="G724" s="7" t="n">
        <v>89.21894073486328</v>
      </c>
      <c r="H724" s="6">
        <f>P693</f>
        <v/>
      </c>
      <c r="I724" s="9">
        <f>Q693</f>
        <v/>
      </c>
      <c r="J724" s="7">
        <f>I724*G724</f>
        <v/>
      </c>
      <c r="K724" s="8">
        <f>IF($J$745=0,0,J724/$J$745)</f>
        <v/>
      </c>
      <c r="L724" s="6" t="inlineStr">
        <is>
          <t>REJECTED</t>
        </is>
      </c>
      <c r="M724" s="8" t="n">
        <v>0</v>
      </c>
      <c r="N724" s="7">
        <f>M724*$J$745-J724</f>
        <v/>
      </c>
      <c r="O724" s="9">
        <f>IF(G724=0,0,N724/G724)</f>
        <v/>
      </c>
      <c r="P724" s="6">
        <f>IF(M724&gt;0,D724,"")</f>
        <v/>
      </c>
      <c r="Q724" s="9">
        <f>I724+O724</f>
        <v/>
      </c>
      <c r="R724" s="7">
        <f>Q724*G724</f>
        <v/>
      </c>
      <c r="S724" s="8">
        <f>IF($R$745=0,0,R724/$R$745)</f>
        <v/>
      </c>
      <c r="T724" s="8" t="n">
        <v>0</v>
      </c>
      <c r="U724" s="8" t="n">
        <v>0.01312704115344254</v>
      </c>
      <c r="V724" s="6" t="inlineStr">
        <is>
          <t>not selected</t>
        </is>
      </c>
    </row>
    <row r="725">
      <c r="A725" s="6" t="inlineStr">
        <is>
          <t>DJ30</t>
        </is>
      </c>
      <c r="B725" s="6" t="inlineStr">
        <is>
          <t>2023-06-16</t>
        </is>
      </c>
      <c r="C725" s="6" t="inlineStr">
        <is>
          <t>DIA</t>
        </is>
      </c>
      <c r="D725" s="6" t="inlineStr">
        <is>
          <t>GS</t>
        </is>
      </c>
      <c r="E725" s="6" t="inlineStr">
        <is>
          <t>GS</t>
        </is>
      </c>
      <c r="F725" s="6" t="inlineStr">
        <is>
          <t>-</t>
        </is>
      </c>
      <c r="G725" s="7" t="n">
        <v>315.3541870117188</v>
      </c>
      <c r="H725" s="6">
        <f>P694</f>
        <v/>
      </c>
      <c r="I725" s="9">
        <f>Q694</f>
        <v/>
      </c>
      <c r="J725" s="7">
        <f>I725*G725</f>
        <v/>
      </c>
      <c r="K725" s="8">
        <f>IF($J$745=0,0,J725/$J$745)</f>
        <v/>
      </c>
      <c r="L725" s="6" t="inlineStr">
        <is>
          <t>REJECTED</t>
        </is>
      </c>
      <c r="M725" s="8" t="n">
        <v>0</v>
      </c>
      <c r="N725" s="7">
        <f>M725*$J$745-J725</f>
        <v/>
      </c>
      <c r="O725" s="9">
        <f>IF(G725=0,0,N725/G725)</f>
        <v/>
      </c>
      <c r="P725" s="6">
        <f>IF(M725&gt;0,D725,"")</f>
        <v/>
      </c>
      <c r="Q725" s="9">
        <f>I725+O725</f>
        <v/>
      </c>
      <c r="R725" s="7">
        <f>Q725*G725</f>
        <v/>
      </c>
      <c r="S725" s="8">
        <f>IF($R$745=0,0,R725/$R$745)</f>
        <v/>
      </c>
      <c r="T725" s="8" t="n">
        <v>0</v>
      </c>
      <c r="U725" s="8" t="n">
        <v>0.01312704115344254</v>
      </c>
      <c r="V725" s="6" t="inlineStr">
        <is>
          <t>not selected</t>
        </is>
      </c>
    </row>
    <row r="726">
      <c r="A726" s="6" t="inlineStr">
        <is>
          <t>DJ30</t>
        </is>
      </c>
      <c r="B726" s="6" t="inlineStr">
        <is>
          <t>2023-06-16</t>
        </is>
      </c>
      <c r="C726" s="6" t="inlineStr">
        <is>
          <t>DIA</t>
        </is>
      </c>
      <c r="D726" s="6" t="inlineStr">
        <is>
          <t>HD</t>
        </is>
      </c>
      <c r="E726" s="6" t="inlineStr">
        <is>
          <t>HD</t>
        </is>
      </c>
      <c r="F726" s="6" t="inlineStr">
        <is>
          <t>-</t>
        </is>
      </c>
      <c r="G726" s="7" t="n">
        <v>278.3920593261719</v>
      </c>
      <c r="H726" s="6">
        <f>P695</f>
        <v/>
      </c>
      <c r="I726" s="9">
        <f>Q695</f>
        <v/>
      </c>
      <c r="J726" s="7">
        <f>I726*G726</f>
        <v/>
      </c>
      <c r="K726" s="8">
        <f>IF($J$745=0,0,J726/$J$745)</f>
        <v/>
      </c>
      <c r="L726" s="6" t="inlineStr">
        <is>
          <t>REJECTED</t>
        </is>
      </c>
      <c r="M726" s="8" t="n">
        <v>0</v>
      </c>
      <c r="N726" s="7">
        <f>M726*$J$745-J726</f>
        <v/>
      </c>
      <c r="O726" s="9">
        <f>IF(G726=0,0,N726/G726)</f>
        <v/>
      </c>
      <c r="P726" s="6">
        <f>IF(M726&gt;0,D726,"")</f>
        <v/>
      </c>
      <c r="Q726" s="9">
        <f>I726+O726</f>
        <v/>
      </c>
      <c r="R726" s="7">
        <f>Q726*G726</f>
        <v/>
      </c>
      <c r="S726" s="8">
        <f>IF($R$745=0,0,R726/$R$745)</f>
        <v/>
      </c>
      <c r="T726" s="8" t="n">
        <v>0</v>
      </c>
      <c r="U726" s="8" t="n">
        <v>0.01312704115344254</v>
      </c>
      <c r="V726" s="6" t="inlineStr">
        <is>
          <t>not selected</t>
        </is>
      </c>
    </row>
    <row r="727">
      <c r="A727" s="6" t="inlineStr">
        <is>
          <t>DJ30</t>
        </is>
      </c>
      <c r="B727" s="6" t="inlineStr">
        <is>
          <t>2023-06-16</t>
        </is>
      </c>
      <c r="C727" s="6" t="inlineStr">
        <is>
          <t>DIA</t>
        </is>
      </c>
      <c r="D727" s="6" t="inlineStr">
        <is>
          <t>HON</t>
        </is>
      </c>
      <c r="E727" s="6" t="inlineStr">
        <is>
          <t>HON</t>
        </is>
      </c>
      <c r="F727" s="6" t="inlineStr">
        <is>
          <t>-</t>
        </is>
      </c>
      <c r="G727" s="7" t="n">
        <v>179.3539123535156</v>
      </c>
      <c r="H727" s="6">
        <f>P696</f>
        <v/>
      </c>
      <c r="I727" s="9">
        <f>Q696</f>
        <v/>
      </c>
      <c r="J727" s="7">
        <f>I727*G727</f>
        <v/>
      </c>
      <c r="K727" s="8">
        <f>IF($J$745=0,0,J727/$J$745)</f>
        <v/>
      </c>
      <c r="L727" s="6" t="inlineStr">
        <is>
          <t>REJECTED</t>
        </is>
      </c>
      <c r="M727" s="8" t="n">
        <v>0</v>
      </c>
      <c r="N727" s="7">
        <f>M727*$J$745-J727</f>
        <v/>
      </c>
      <c r="O727" s="9">
        <f>IF(G727=0,0,N727/G727)</f>
        <v/>
      </c>
      <c r="P727" s="6">
        <f>IF(M727&gt;0,D727,"")</f>
        <v/>
      </c>
      <c r="Q727" s="9">
        <f>I727+O727</f>
        <v/>
      </c>
      <c r="R727" s="7">
        <f>Q727*G727</f>
        <v/>
      </c>
      <c r="S727" s="8">
        <f>IF($R$745=0,0,R727/$R$745)</f>
        <v/>
      </c>
      <c r="T727" s="8" t="n">
        <v>0</v>
      </c>
      <c r="U727" s="8" t="n">
        <v>0.01312704115344254</v>
      </c>
      <c r="V727" s="6" t="inlineStr">
        <is>
          <t>not selected</t>
        </is>
      </c>
    </row>
    <row r="728">
      <c r="A728" s="6" t="inlineStr">
        <is>
          <t>DJ30</t>
        </is>
      </c>
      <c r="B728" s="6" t="inlineStr">
        <is>
          <t>2023-06-16</t>
        </is>
      </c>
      <c r="C728" s="6" t="inlineStr">
        <is>
          <t>DIA</t>
        </is>
      </c>
      <c r="D728" s="6" t="inlineStr">
        <is>
          <t>IBM</t>
        </is>
      </c>
      <c r="E728" s="6" t="inlineStr">
        <is>
          <t>IBM</t>
        </is>
      </c>
      <c r="F728" s="6" t="inlineStr">
        <is>
          <t>-</t>
        </is>
      </c>
      <c r="G728" s="7" t="n">
        <v>124.8008728027344</v>
      </c>
      <c r="H728" s="6">
        <f>P697</f>
        <v/>
      </c>
      <c r="I728" s="9">
        <f>Q697</f>
        <v/>
      </c>
      <c r="J728" s="7">
        <f>I728*G728</f>
        <v/>
      </c>
      <c r="K728" s="8">
        <f>IF($J$745=0,0,J728/$J$745)</f>
        <v/>
      </c>
      <c r="L728" s="6" t="inlineStr">
        <is>
          <t>REJECTED</t>
        </is>
      </c>
      <c r="M728" s="8" t="n">
        <v>0</v>
      </c>
      <c r="N728" s="7">
        <f>M728*$J$745-J728</f>
        <v/>
      </c>
      <c r="O728" s="9">
        <f>IF(G728=0,0,N728/G728)</f>
        <v/>
      </c>
      <c r="P728" s="6">
        <f>IF(M728&gt;0,D728,"")</f>
        <v/>
      </c>
      <c r="Q728" s="9">
        <f>I728+O728</f>
        <v/>
      </c>
      <c r="R728" s="7">
        <f>Q728*G728</f>
        <v/>
      </c>
      <c r="S728" s="8">
        <f>IF($R$745=0,0,R728/$R$745)</f>
        <v/>
      </c>
      <c r="T728" s="8" t="n">
        <v>0</v>
      </c>
      <c r="U728" s="8" t="n">
        <v>0.01312704115344254</v>
      </c>
      <c r="V728" s="6" t="inlineStr">
        <is>
          <t>not selected</t>
        </is>
      </c>
    </row>
    <row r="729">
      <c r="A729" s="6" t="inlineStr">
        <is>
          <t>DJ30</t>
        </is>
      </c>
      <c r="B729" s="6" t="inlineStr">
        <is>
          <t>2023-06-16</t>
        </is>
      </c>
      <c r="C729" s="6" t="inlineStr">
        <is>
          <t>DIA</t>
        </is>
      </c>
      <c r="D729" s="6" t="inlineStr">
        <is>
          <t>JNJ</t>
        </is>
      </c>
      <c r="E729" s="6" t="inlineStr">
        <is>
          <t>JNJ</t>
        </is>
      </c>
      <c r="F729" s="6" t="inlineStr">
        <is>
          <t>-</t>
        </is>
      </c>
      <c r="G729" s="7" t="n">
        <v>150.4605712890625</v>
      </c>
      <c r="H729" s="6">
        <f>P698</f>
        <v/>
      </c>
      <c r="I729" s="9">
        <f>Q698</f>
        <v/>
      </c>
      <c r="J729" s="7">
        <f>I729*G729</f>
        <v/>
      </c>
      <c r="K729" s="8">
        <f>IF($J$745=0,0,J729/$J$745)</f>
        <v/>
      </c>
      <c r="L729" s="6" t="inlineStr">
        <is>
          <t>REJECTED</t>
        </is>
      </c>
      <c r="M729" s="8" t="n">
        <v>0</v>
      </c>
      <c r="N729" s="7">
        <f>M729*$J$745-J729</f>
        <v/>
      </c>
      <c r="O729" s="9">
        <f>IF(G729=0,0,N729/G729)</f>
        <v/>
      </c>
      <c r="P729" s="6">
        <f>IF(M729&gt;0,D729,"")</f>
        <v/>
      </c>
      <c r="Q729" s="9">
        <f>I729+O729</f>
        <v/>
      </c>
      <c r="R729" s="7">
        <f>Q729*G729</f>
        <v/>
      </c>
      <c r="S729" s="8">
        <f>IF($R$745=0,0,R729/$R$745)</f>
        <v/>
      </c>
      <c r="T729" s="8" t="n">
        <v>0</v>
      </c>
      <c r="U729" s="8" t="n">
        <v>0.01312704115344254</v>
      </c>
      <c r="V729" s="6" t="inlineStr">
        <is>
          <t>not selected</t>
        </is>
      </c>
    </row>
    <row r="730">
      <c r="A730" s="6" t="inlineStr">
        <is>
          <t>DJ30</t>
        </is>
      </c>
      <c r="B730" s="6" t="inlineStr">
        <is>
          <t>2023-06-16</t>
        </is>
      </c>
      <c r="C730" s="6" t="inlineStr">
        <is>
          <t>DIA</t>
        </is>
      </c>
      <c r="D730" s="6" t="inlineStr">
        <is>
          <t>JPM</t>
        </is>
      </c>
      <c r="E730" s="6" t="inlineStr">
        <is>
          <t>JPM</t>
        </is>
      </c>
      <c r="F730" s="6" t="inlineStr">
        <is>
          <t>-</t>
        </is>
      </c>
      <c r="G730" s="7" t="n">
        <v>133.7955932617188</v>
      </c>
      <c r="H730" s="6">
        <f>P699</f>
        <v/>
      </c>
      <c r="I730" s="9">
        <f>Q699</f>
        <v/>
      </c>
      <c r="J730" s="7">
        <f>I730*G730</f>
        <v/>
      </c>
      <c r="K730" s="8">
        <f>IF($J$745=0,0,J730/$J$745)</f>
        <v/>
      </c>
      <c r="L730" s="6" t="inlineStr">
        <is>
          <t>REJECTED</t>
        </is>
      </c>
      <c r="M730" s="8" t="n">
        <v>0</v>
      </c>
      <c r="N730" s="7">
        <f>M730*$J$745-J730</f>
        <v/>
      </c>
      <c r="O730" s="9">
        <f>IF(G730=0,0,N730/G730)</f>
        <v/>
      </c>
      <c r="P730" s="6">
        <f>IF(M730&gt;0,D730,"")</f>
        <v/>
      </c>
      <c r="Q730" s="9">
        <f>I730+O730</f>
        <v/>
      </c>
      <c r="R730" s="7">
        <f>Q730*G730</f>
        <v/>
      </c>
      <c r="S730" s="8">
        <f>IF($R$745=0,0,R730/$R$745)</f>
        <v/>
      </c>
      <c r="T730" s="8" t="n">
        <v>0</v>
      </c>
      <c r="U730" s="8" t="n">
        <v>0.01312704115344254</v>
      </c>
      <c r="V730" s="6" t="inlineStr">
        <is>
          <t>not selected</t>
        </is>
      </c>
    </row>
    <row r="731">
      <c r="A731" s="6" t="inlineStr">
        <is>
          <t>DJ30</t>
        </is>
      </c>
      <c r="B731" s="6" t="inlineStr">
        <is>
          <t>2023-06-16</t>
        </is>
      </c>
      <c r="C731" s="6" t="inlineStr">
        <is>
          <t>DIA</t>
        </is>
      </c>
      <c r="D731" s="6" t="inlineStr">
        <is>
          <t>KO</t>
        </is>
      </c>
      <c r="E731" s="6" t="inlineStr">
        <is>
          <t>KO</t>
        </is>
      </c>
      <c r="F731" s="6" t="inlineStr">
        <is>
          <t>-</t>
        </is>
      </c>
      <c r="G731" s="7" t="n">
        <v>56.45901489257812</v>
      </c>
      <c r="H731" s="6">
        <f>P700</f>
        <v/>
      </c>
      <c r="I731" s="9">
        <f>Q700</f>
        <v/>
      </c>
      <c r="J731" s="7">
        <f>I731*G731</f>
        <v/>
      </c>
      <c r="K731" s="8">
        <f>IF($J$745=0,0,J731/$J$745)</f>
        <v/>
      </c>
      <c r="L731" s="6" t="inlineStr">
        <is>
          <t>REJECTED</t>
        </is>
      </c>
      <c r="M731" s="8" t="n">
        <v>0</v>
      </c>
      <c r="N731" s="7">
        <f>M731*$J$745-J731</f>
        <v/>
      </c>
      <c r="O731" s="9">
        <f>IF(G731=0,0,N731/G731)</f>
        <v/>
      </c>
      <c r="P731" s="6">
        <f>IF(M731&gt;0,D731,"")</f>
        <v/>
      </c>
      <c r="Q731" s="9">
        <f>I731+O731</f>
        <v/>
      </c>
      <c r="R731" s="7">
        <f>Q731*G731</f>
        <v/>
      </c>
      <c r="S731" s="8">
        <f>IF($R$745=0,0,R731/$R$745)</f>
        <v/>
      </c>
      <c r="T731" s="8" t="n">
        <v>0</v>
      </c>
      <c r="U731" s="8" t="n">
        <v>0.01312704115344254</v>
      </c>
      <c r="V731" s="6" t="inlineStr">
        <is>
          <t>not selected</t>
        </is>
      </c>
    </row>
    <row r="732">
      <c r="A732" s="6" t="inlineStr">
        <is>
          <t>DJ30</t>
        </is>
      </c>
      <c r="B732" s="6" t="inlineStr">
        <is>
          <t>2023-06-16</t>
        </is>
      </c>
      <c r="C732" s="6" t="inlineStr">
        <is>
          <t>DIA</t>
        </is>
      </c>
      <c r="D732" s="6" t="inlineStr">
        <is>
          <t>MCD</t>
        </is>
      </c>
      <c r="E732" s="6" t="inlineStr">
        <is>
          <t>MCD</t>
        </is>
      </c>
      <c r="F732" s="6" t="inlineStr">
        <is>
          <t>-</t>
        </is>
      </c>
      <c r="G732" s="7" t="n">
        <v>273.6614379882812</v>
      </c>
      <c r="H732" s="6">
        <f>P701</f>
        <v/>
      </c>
      <c r="I732" s="9">
        <f>Q701</f>
        <v/>
      </c>
      <c r="J732" s="7">
        <f>I732*G732</f>
        <v/>
      </c>
      <c r="K732" s="8">
        <f>IF($J$745=0,0,J732/$J$745)</f>
        <v/>
      </c>
      <c r="L732" s="6" t="inlineStr">
        <is>
          <t>REJECTED</t>
        </is>
      </c>
      <c r="M732" s="8" t="n">
        <v>0</v>
      </c>
      <c r="N732" s="7">
        <f>M732*$J$745-J732</f>
        <v/>
      </c>
      <c r="O732" s="9">
        <f>IF(G732=0,0,N732/G732)</f>
        <v/>
      </c>
      <c r="P732" s="6">
        <f>IF(M732&gt;0,D732,"")</f>
        <v/>
      </c>
      <c r="Q732" s="9">
        <f>I732+O732</f>
        <v/>
      </c>
      <c r="R732" s="7">
        <f>Q732*G732</f>
        <v/>
      </c>
      <c r="S732" s="8">
        <f>IF($R$745=0,0,R732/$R$745)</f>
        <v/>
      </c>
      <c r="T732" s="8" t="n">
        <v>0</v>
      </c>
      <c r="U732" s="8" t="n">
        <v>0.01312704115344254</v>
      </c>
      <c r="V732" s="6" t="inlineStr">
        <is>
          <t>not selected</t>
        </is>
      </c>
    </row>
    <row r="733">
      <c r="A733" s="6" t="inlineStr">
        <is>
          <t>DJ30</t>
        </is>
      </c>
      <c r="B733" s="6" t="inlineStr">
        <is>
          <t>2023-06-16</t>
        </is>
      </c>
      <c r="C733" s="6" t="inlineStr">
        <is>
          <t>DIA</t>
        </is>
      </c>
      <c r="D733" s="6" t="inlineStr">
        <is>
          <t>MMM</t>
        </is>
      </c>
      <c r="E733" s="6" t="inlineStr">
        <is>
          <t>MMM</t>
        </is>
      </c>
      <c r="F733" s="6" t="inlineStr">
        <is>
          <t>-</t>
        </is>
      </c>
      <c r="G733" s="7" t="n">
        <v>79.65576171875</v>
      </c>
      <c r="H733" s="6">
        <f>P702</f>
        <v/>
      </c>
      <c r="I733" s="9">
        <f>Q702</f>
        <v/>
      </c>
      <c r="J733" s="7">
        <f>I733*G733</f>
        <v/>
      </c>
      <c r="K733" s="8">
        <f>IF($J$745=0,0,J733/$J$745)</f>
        <v/>
      </c>
      <c r="L733" s="6" t="inlineStr">
        <is>
          <t>REJECTED</t>
        </is>
      </c>
      <c r="M733" s="8" t="n">
        <v>0</v>
      </c>
      <c r="N733" s="7">
        <f>M733*$J$745-J733</f>
        <v/>
      </c>
      <c r="O733" s="9">
        <f>IF(G733=0,0,N733/G733)</f>
        <v/>
      </c>
      <c r="P733" s="6">
        <f>IF(M733&gt;0,D733,"")</f>
        <v/>
      </c>
      <c r="Q733" s="9">
        <f>I733+O733</f>
        <v/>
      </c>
      <c r="R733" s="7">
        <f>Q733*G733</f>
        <v/>
      </c>
      <c r="S733" s="8">
        <f>IF($R$745=0,0,R733/$R$745)</f>
        <v/>
      </c>
      <c r="T733" s="8" t="n">
        <v>0</v>
      </c>
      <c r="U733" s="8" t="n">
        <v>0.01312704115344254</v>
      </c>
      <c r="V733" s="6" t="inlineStr">
        <is>
          <t>not selected</t>
        </is>
      </c>
    </row>
    <row r="734">
      <c r="A734" s="6" t="inlineStr">
        <is>
          <t>DJ30</t>
        </is>
      </c>
      <c r="B734" s="6" t="inlineStr">
        <is>
          <t>2023-06-16</t>
        </is>
      </c>
      <c r="C734" s="6" t="inlineStr">
        <is>
          <t>DIA</t>
        </is>
      </c>
      <c r="D734" s="6" t="inlineStr">
        <is>
          <t>MRK</t>
        </is>
      </c>
      <c r="E734" s="6" t="inlineStr">
        <is>
          <t>MRK</t>
        </is>
      </c>
      <c r="F734" s="6" t="inlineStr">
        <is>
          <t>-</t>
        </is>
      </c>
      <c r="G734" s="7" t="n">
        <v>99.67270660400391</v>
      </c>
      <c r="H734" s="6">
        <f>P703</f>
        <v/>
      </c>
      <c r="I734" s="9">
        <f>Q703</f>
        <v/>
      </c>
      <c r="J734" s="7">
        <f>I734*G734</f>
        <v/>
      </c>
      <c r="K734" s="8">
        <f>IF($J$745=0,0,J734/$J$745)</f>
        <v/>
      </c>
      <c r="L734" s="6" t="inlineStr">
        <is>
          <t>REJECTED</t>
        </is>
      </c>
      <c r="M734" s="8" t="n">
        <v>0</v>
      </c>
      <c r="N734" s="7">
        <f>M734*$J$745-J734</f>
        <v/>
      </c>
      <c r="O734" s="9">
        <f>IF(G734=0,0,N734/G734)</f>
        <v/>
      </c>
      <c r="P734" s="6">
        <f>IF(M734&gt;0,D734,"")</f>
        <v/>
      </c>
      <c r="Q734" s="9">
        <f>I734+O734</f>
        <v/>
      </c>
      <c r="R734" s="7">
        <f>Q734*G734</f>
        <v/>
      </c>
      <c r="S734" s="8">
        <f>IF($R$745=0,0,R734/$R$745)</f>
        <v/>
      </c>
      <c r="T734" s="8" t="n">
        <v>0</v>
      </c>
      <c r="U734" s="8" t="n">
        <v>0.01312704115344254</v>
      </c>
      <c r="V734" s="6" t="inlineStr">
        <is>
          <t>not selected</t>
        </is>
      </c>
    </row>
    <row r="735">
      <c r="A735" s="6" t="inlineStr">
        <is>
          <t>DJ30</t>
        </is>
      </c>
      <c r="B735" s="6" t="inlineStr">
        <is>
          <t>2023-06-16</t>
        </is>
      </c>
      <c r="C735" s="6" t="inlineStr">
        <is>
          <t>DIA</t>
        </is>
      </c>
      <c r="D735" s="6" t="inlineStr">
        <is>
          <t>MSFT</t>
        </is>
      </c>
      <c r="E735" s="6" t="inlineStr">
        <is>
          <t>MSFT</t>
        </is>
      </c>
      <c r="F735" s="6" t="inlineStr">
        <is>
          <t>-</t>
        </is>
      </c>
      <c r="G735" s="7" t="n">
        <v>334.4172058105469</v>
      </c>
      <c r="H735" s="6">
        <f>P704</f>
        <v/>
      </c>
      <c r="I735" s="9">
        <f>Q704</f>
        <v/>
      </c>
      <c r="J735" s="7">
        <f>I735*G735</f>
        <v/>
      </c>
      <c r="K735" s="8">
        <f>IF($J$745=0,0,J735/$J$745)</f>
        <v/>
      </c>
      <c r="L735" s="6" t="inlineStr">
        <is>
          <t>REJECTED</t>
        </is>
      </c>
      <c r="M735" s="8" t="n">
        <v>0</v>
      </c>
      <c r="N735" s="7">
        <f>M735*$J$745-J735</f>
        <v/>
      </c>
      <c r="O735" s="9">
        <f>IF(G735=0,0,N735/G735)</f>
        <v/>
      </c>
      <c r="P735" s="6">
        <f>IF(M735&gt;0,D735,"")</f>
        <v/>
      </c>
      <c r="Q735" s="9">
        <f>I735+O735</f>
        <v/>
      </c>
      <c r="R735" s="7">
        <f>Q735*G735</f>
        <v/>
      </c>
      <c r="S735" s="8">
        <f>IF($R$745=0,0,R735/$R$745)</f>
        <v/>
      </c>
      <c r="T735" s="8" t="n">
        <v>0</v>
      </c>
      <c r="U735" s="8" t="n">
        <v>0.01312704115344254</v>
      </c>
      <c r="V735" s="6" t="inlineStr">
        <is>
          <t>not selected</t>
        </is>
      </c>
    </row>
    <row r="736">
      <c r="A736" s="6" t="inlineStr">
        <is>
          <t>DJ30</t>
        </is>
      </c>
      <c r="B736" s="6" t="inlineStr">
        <is>
          <t>2023-06-16</t>
        </is>
      </c>
      <c r="C736" s="6" t="inlineStr">
        <is>
          <t>DIA</t>
        </is>
      </c>
      <c r="D736" s="6" t="inlineStr">
        <is>
          <t>NKE</t>
        </is>
      </c>
      <c r="E736" s="6" t="inlineStr">
        <is>
          <t>NKE</t>
        </is>
      </c>
      <c r="F736" s="6" t="inlineStr">
        <is>
          <t>-</t>
        </is>
      </c>
      <c r="G736" s="7" t="n">
        <v>106.7120590209961</v>
      </c>
      <c r="H736" s="6">
        <f>P705</f>
        <v/>
      </c>
      <c r="I736" s="9">
        <f>Q705</f>
        <v/>
      </c>
      <c r="J736" s="7">
        <f>I736*G736</f>
        <v/>
      </c>
      <c r="K736" s="8">
        <f>IF($J$745=0,0,J736/$J$745)</f>
        <v/>
      </c>
      <c r="L736" s="6" t="inlineStr">
        <is>
          <t>REJECTED</t>
        </is>
      </c>
      <c r="M736" s="8" t="n">
        <v>0</v>
      </c>
      <c r="N736" s="7">
        <f>M736*$J$745-J736</f>
        <v/>
      </c>
      <c r="O736" s="9">
        <f>IF(G736=0,0,N736/G736)</f>
        <v/>
      </c>
      <c r="P736" s="6">
        <f>IF(M736&gt;0,D736,"")</f>
        <v/>
      </c>
      <c r="Q736" s="9">
        <f>I736+O736</f>
        <v/>
      </c>
      <c r="R736" s="7">
        <f>Q736*G736</f>
        <v/>
      </c>
      <c r="S736" s="8">
        <f>IF($R$745=0,0,R736/$R$745)</f>
        <v/>
      </c>
      <c r="T736" s="8" t="n">
        <v>0</v>
      </c>
      <c r="U736" s="8" t="n">
        <v>0.01312704115344254</v>
      </c>
      <c r="V736" s="6" t="inlineStr">
        <is>
          <t>not selected</t>
        </is>
      </c>
    </row>
    <row r="737">
      <c r="A737" s="6" t="inlineStr">
        <is>
          <t>DJ30</t>
        </is>
      </c>
      <c r="B737" s="6" t="inlineStr">
        <is>
          <t>2023-06-16</t>
        </is>
      </c>
      <c r="C737" s="6" t="inlineStr">
        <is>
          <t>DIA</t>
        </is>
      </c>
      <c r="D737" s="6" t="inlineStr">
        <is>
          <t>NVDA</t>
        </is>
      </c>
      <c r="E737" s="6" t="inlineStr">
        <is>
          <t>NVDA</t>
        </is>
      </c>
      <c r="F737" s="6" t="inlineStr">
        <is>
          <t>-</t>
        </is>
      </c>
      <c r="G737" s="7" t="n">
        <v>42.60898971557617</v>
      </c>
      <c r="H737" s="6">
        <f>P706</f>
        <v/>
      </c>
      <c r="I737" s="9">
        <f>Q706</f>
        <v/>
      </c>
      <c r="J737" s="7">
        <f>I737*G737</f>
        <v/>
      </c>
      <c r="K737" s="8">
        <f>IF($J$745=0,0,J737/$J$745)</f>
        <v/>
      </c>
      <c r="L737" s="6" t="inlineStr">
        <is>
          <t>REJECTED</t>
        </is>
      </c>
      <c r="M737" s="8" t="n">
        <v>0</v>
      </c>
      <c r="N737" s="7">
        <f>M737*$J$745-J737</f>
        <v/>
      </c>
      <c r="O737" s="9">
        <f>IF(G737=0,0,N737/G737)</f>
        <v/>
      </c>
      <c r="P737" s="6">
        <f>IF(M737&gt;0,D737,"")</f>
        <v/>
      </c>
      <c r="Q737" s="9">
        <f>I737+O737</f>
        <v/>
      </c>
      <c r="R737" s="7">
        <f>Q737*G737</f>
        <v/>
      </c>
      <c r="S737" s="8">
        <f>IF($R$745=0,0,R737/$R$745)</f>
        <v/>
      </c>
      <c r="T737" s="8" t="n">
        <v>0</v>
      </c>
      <c r="U737" s="8" t="n">
        <v>0.01312704115344254</v>
      </c>
      <c r="V737" s="6" t="inlineStr">
        <is>
          <t>not selected</t>
        </is>
      </c>
    </row>
    <row r="738">
      <c r="A738" s="6" t="inlineStr">
        <is>
          <t>DJ30</t>
        </is>
      </c>
      <c r="B738" s="6" t="inlineStr">
        <is>
          <t>2023-06-16</t>
        </is>
      </c>
      <c r="C738" s="6" t="inlineStr">
        <is>
          <t>DIA</t>
        </is>
      </c>
      <c r="D738" s="6" t="inlineStr">
        <is>
          <t>PG</t>
        </is>
      </c>
      <c r="E738" s="6" t="inlineStr">
        <is>
          <t>PG</t>
        </is>
      </c>
      <c r="F738" s="6" t="inlineStr">
        <is>
          <t>-</t>
        </is>
      </c>
      <c r="G738" s="7" t="n">
        <v>138.3444366455078</v>
      </c>
      <c r="H738" s="6">
        <f>P707</f>
        <v/>
      </c>
      <c r="I738" s="9">
        <f>Q707</f>
        <v/>
      </c>
      <c r="J738" s="7">
        <f>I738*G738</f>
        <v/>
      </c>
      <c r="K738" s="8">
        <f>IF($J$745=0,0,J738/$J$745)</f>
        <v/>
      </c>
      <c r="L738" s="6" t="inlineStr">
        <is>
          <t>REJECTED</t>
        </is>
      </c>
      <c r="M738" s="8" t="n">
        <v>0</v>
      </c>
      <c r="N738" s="7">
        <f>M738*$J$745-J738</f>
        <v/>
      </c>
      <c r="O738" s="9">
        <f>IF(G738=0,0,N738/G738)</f>
        <v/>
      </c>
      <c r="P738" s="6">
        <f>IF(M738&gt;0,D738,"")</f>
        <v/>
      </c>
      <c r="Q738" s="9">
        <f>I738+O738</f>
        <v/>
      </c>
      <c r="R738" s="7">
        <f>Q738*G738</f>
        <v/>
      </c>
      <c r="S738" s="8">
        <f>IF($R$745=0,0,R738/$R$745)</f>
        <v/>
      </c>
      <c r="T738" s="8" t="n">
        <v>0</v>
      </c>
      <c r="U738" s="8" t="n">
        <v>0.01312704115344254</v>
      </c>
      <c r="V738" s="6" t="inlineStr">
        <is>
          <t>not selected</t>
        </is>
      </c>
    </row>
    <row r="739">
      <c r="A739" s="6" t="inlineStr">
        <is>
          <t>DJ30</t>
        </is>
      </c>
      <c r="B739" s="6" t="inlineStr">
        <is>
          <t>2023-06-16</t>
        </is>
      </c>
      <c r="C739" s="6" t="inlineStr">
        <is>
          <t>DIA</t>
        </is>
      </c>
      <c r="D739" s="6" t="inlineStr">
        <is>
          <t>SHW</t>
        </is>
      </c>
      <c r="E739" s="6" t="inlineStr">
        <is>
          <t>SHW</t>
        </is>
      </c>
      <c r="F739" s="6" t="inlineStr">
        <is>
          <t>-</t>
        </is>
      </c>
      <c r="G739" s="7" t="n">
        <v>241.4029541015625</v>
      </c>
      <c r="H739" s="6">
        <f>P708</f>
        <v/>
      </c>
      <c r="I739" s="9">
        <f>Q708</f>
        <v/>
      </c>
      <c r="J739" s="7">
        <f>I739*G739</f>
        <v/>
      </c>
      <c r="K739" s="8">
        <f>IF($J$745=0,0,J739/$J$745)</f>
        <v/>
      </c>
      <c r="L739" s="6" t="inlineStr">
        <is>
          <t>REJECTED</t>
        </is>
      </c>
      <c r="M739" s="8" t="n">
        <v>0</v>
      </c>
      <c r="N739" s="7">
        <f>M739*$J$745-J739</f>
        <v/>
      </c>
      <c r="O739" s="9">
        <f>IF(G739=0,0,N739/G739)</f>
        <v/>
      </c>
      <c r="P739" s="6">
        <f>IF(M739&gt;0,D739,"")</f>
        <v/>
      </c>
      <c r="Q739" s="9">
        <f>I739+O739</f>
        <v/>
      </c>
      <c r="R739" s="7">
        <f>Q739*G739</f>
        <v/>
      </c>
      <c r="S739" s="8">
        <f>IF($R$745=0,0,R739/$R$745)</f>
        <v/>
      </c>
      <c r="T739" s="8" t="n">
        <v>0</v>
      </c>
      <c r="U739" s="8" t="n">
        <v>0.01312704115344254</v>
      </c>
      <c r="V739" s="6" t="inlineStr">
        <is>
          <t>not selected</t>
        </is>
      </c>
    </row>
    <row r="740">
      <c r="A740" s="6" t="inlineStr">
        <is>
          <t>DJ30</t>
        </is>
      </c>
      <c r="B740" s="6" t="inlineStr">
        <is>
          <t>2023-06-16</t>
        </is>
      </c>
      <c r="C740" s="6" t="inlineStr">
        <is>
          <t>DIA</t>
        </is>
      </c>
      <c r="D740" s="6" t="inlineStr">
        <is>
          <t>TRV</t>
        </is>
      </c>
      <c r="E740" s="6" t="inlineStr">
        <is>
          <t>TRV</t>
        </is>
      </c>
      <c r="F740" s="6" t="inlineStr">
        <is>
          <t>-</t>
        </is>
      </c>
      <c r="G740" s="7" t="n">
        <v>167.5035552978516</v>
      </c>
      <c r="H740" s="6">
        <f>P709</f>
        <v/>
      </c>
      <c r="I740" s="9">
        <f>Q709</f>
        <v/>
      </c>
      <c r="J740" s="7">
        <f>I740*G740</f>
        <v/>
      </c>
      <c r="K740" s="8">
        <f>IF($J$745=0,0,J740/$J$745)</f>
        <v/>
      </c>
      <c r="L740" s="6" t="inlineStr">
        <is>
          <t>REJECTED</t>
        </is>
      </c>
      <c r="M740" s="8" t="n">
        <v>0</v>
      </c>
      <c r="N740" s="7">
        <f>M740*$J$745-J740</f>
        <v/>
      </c>
      <c r="O740" s="9">
        <f>IF(G740=0,0,N740/G740)</f>
        <v/>
      </c>
      <c r="P740" s="6">
        <f>IF(M740&gt;0,D740,"")</f>
        <v/>
      </c>
      <c r="Q740" s="9">
        <f>I740+O740</f>
        <v/>
      </c>
      <c r="R740" s="7">
        <f>Q740*G740</f>
        <v/>
      </c>
      <c r="S740" s="8">
        <f>IF($R$745=0,0,R740/$R$745)</f>
        <v/>
      </c>
      <c r="T740" s="8" t="n">
        <v>0</v>
      </c>
      <c r="U740" s="8" t="n">
        <v>0.01312704115344254</v>
      </c>
      <c r="V740" s="6" t="inlineStr">
        <is>
          <t>not selected</t>
        </is>
      </c>
    </row>
    <row r="741">
      <c r="A741" s="6" t="inlineStr">
        <is>
          <t>DJ30</t>
        </is>
      </c>
      <c r="B741" s="6" t="inlineStr">
        <is>
          <t>2023-06-16</t>
        </is>
      </c>
      <c r="C741" s="6" t="inlineStr">
        <is>
          <t>DIA</t>
        </is>
      </c>
      <c r="D741" s="6" t="inlineStr">
        <is>
          <t>UNH</t>
        </is>
      </c>
      <c r="E741" s="6" t="inlineStr">
        <is>
          <t>UNH</t>
        </is>
      </c>
      <c r="F741" s="6" t="inlineStr">
        <is>
          <t>-</t>
        </is>
      </c>
      <c r="G741" s="7" t="n">
        <v>431.5331115722656</v>
      </c>
      <c r="H741" s="6">
        <f>P710</f>
        <v/>
      </c>
      <c r="I741" s="9">
        <f>Q710</f>
        <v/>
      </c>
      <c r="J741" s="7">
        <f>I741*G741</f>
        <v/>
      </c>
      <c r="K741" s="8">
        <f>IF($J$745=0,0,J741/$J$745)</f>
        <v/>
      </c>
      <c r="L741" s="6" t="inlineStr">
        <is>
          <t>REJECTED</t>
        </is>
      </c>
      <c r="M741" s="8" t="n">
        <v>0</v>
      </c>
      <c r="N741" s="7">
        <f>M741*$J$745-J741</f>
        <v/>
      </c>
      <c r="O741" s="9">
        <f>IF(G741=0,0,N741/G741)</f>
        <v/>
      </c>
      <c r="P741" s="6">
        <f>IF(M741&gt;0,D741,"")</f>
        <v/>
      </c>
      <c r="Q741" s="9">
        <f>I741+O741</f>
        <v/>
      </c>
      <c r="R741" s="7">
        <f>Q741*G741</f>
        <v/>
      </c>
      <c r="S741" s="8">
        <f>IF($R$745=0,0,R741/$R$745)</f>
        <v/>
      </c>
      <c r="T741" s="8" t="n">
        <v>0</v>
      </c>
      <c r="U741" s="8" t="n">
        <v>0.01312704115344254</v>
      </c>
      <c r="V741" s="6" t="inlineStr">
        <is>
          <t>not selected</t>
        </is>
      </c>
    </row>
    <row r="742">
      <c r="A742" s="6" t="inlineStr">
        <is>
          <t>DJ30</t>
        </is>
      </c>
      <c r="B742" s="6" t="inlineStr">
        <is>
          <t>2023-06-16</t>
        </is>
      </c>
      <c r="C742" s="6" t="inlineStr">
        <is>
          <t>DIA</t>
        </is>
      </c>
      <c r="D742" s="6" t="inlineStr">
        <is>
          <t>V</t>
        </is>
      </c>
      <c r="E742" s="6" t="inlineStr">
        <is>
          <t>V</t>
        </is>
      </c>
      <c r="F742" s="6" t="inlineStr">
        <is>
          <t>-</t>
        </is>
      </c>
      <c r="G742" s="7" t="n">
        <v>223.7435607910156</v>
      </c>
      <c r="H742" s="6">
        <f>P711</f>
        <v/>
      </c>
      <c r="I742" s="9">
        <f>Q711</f>
        <v/>
      </c>
      <c r="J742" s="7">
        <f>I742*G742</f>
        <v/>
      </c>
      <c r="K742" s="8">
        <f>IF($J$745=0,0,J742/$J$745)</f>
        <v/>
      </c>
      <c r="L742" s="6" t="inlineStr">
        <is>
          <t>REJECTED</t>
        </is>
      </c>
      <c r="M742" s="8" t="n">
        <v>0</v>
      </c>
      <c r="N742" s="7">
        <f>M742*$J$745-J742</f>
        <v/>
      </c>
      <c r="O742" s="9">
        <f>IF(G742=0,0,N742/G742)</f>
        <v/>
      </c>
      <c r="P742" s="6">
        <f>IF(M742&gt;0,D742,"")</f>
        <v/>
      </c>
      <c r="Q742" s="9">
        <f>I742+O742</f>
        <v/>
      </c>
      <c r="R742" s="7">
        <f>Q742*G742</f>
        <v/>
      </c>
      <c r="S742" s="8">
        <f>IF($R$745=0,0,R742/$R$745)</f>
        <v/>
      </c>
      <c r="T742" s="8" t="n">
        <v>0</v>
      </c>
      <c r="U742" s="8" t="n">
        <v>0.01312704115344254</v>
      </c>
      <c r="V742" s="6" t="inlineStr">
        <is>
          <t>not selected</t>
        </is>
      </c>
    </row>
    <row r="743">
      <c r="A743" s="6" t="inlineStr">
        <is>
          <t>DJ30</t>
        </is>
      </c>
      <c r="B743" s="6" t="inlineStr">
        <is>
          <t>2023-06-16</t>
        </is>
      </c>
      <c r="C743" s="6" t="inlineStr">
        <is>
          <t>DIA</t>
        </is>
      </c>
      <c r="D743" s="6" t="inlineStr">
        <is>
          <t>VZ</t>
        </is>
      </c>
      <c r="E743" s="6" t="inlineStr">
        <is>
          <t>VZ</t>
        </is>
      </c>
      <c r="F743" s="6" t="inlineStr">
        <is>
          <t>-</t>
        </is>
      </c>
      <c r="G743" s="7" t="n">
        <v>29.78874015808105</v>
      </c>
      <c r="H743" s="6">
        <f>P712</f>
        <v/>
      </c>
      <c r="I743" s="9">
        <f>Q712</f>
        <v/>
      </c>
      <c r="J743" s="7">
        <f>I743*G743</f>
        <v/>
      </c>
      <c r="K743" s="8">
        <f>IF($J$745=0,0,J743/$J$745)</f>
        <v/>
      </c>
      <c r="L743" s="6" t="inlineStr">
        <is>
          <t>REJECTED</t>
        </is>
      </c>
      <c r="M743" s="8" t="n">
        <v>0</v>
      </c>
      <c r="N743" s="7">
        <f>M743*$J$745-J743</f>
        <v/>
      </c>
      <c r="O743" s="9">
        <f>IF(G743=0,0,N743/G743)</f>
        <v/>
      </c>
      <c r="P743" s="6">
        <f>IF(M743&gt;0,D743,"")</f>
        <v/>
      </c>
      <c r="Q743" s="9">
        <f>I743+O743</f>
        <v/>
      </c>
      <c r="R743" s="7">
        <f>Q743*G743</f>
        <v/>
      </c>
      <c r="S743" s="8">
        <f>IF($R$745=0,0,R743/$R$745)</f>
        <v/>
      </c>
      <c r="T743" s="8" t="n">
        <v>0</v>
      </c>
      <c r="U743" s="8" t="n">
        <v>0.01312704115344254</v>
      </c>
      <c r="V743" s="6" t="inlineStr">
        <is>
          <t>not selected</t>
        </is>
      </c>
    </row>
    <row r="744">
      <c r="A744" s="6" t="inlineStr">
        <is>
          <t>DJ30</t>
        </is>
      </c>
      <c r="B744" s="6" t="inlineStr">
        <is>
          <t>2023-06-16</t>
        </is>
      </c>
      <c r="C744" s="6" t="inlineStr">
        <is>
          <t>DIA</t>
        </is>
      </c>
      <c r="D744" s="6" t="inlineStr">
        <is>
          <t>WMT</t>
        </is>
      </c>
      <c r="E744" s="6" t="inlineStr">
        <is>
          <t>WMT</t>
        </is>
      </c>
      <c r="F744" s="6" t="inlineStr">
        <is>
          <t>-</t>
        </is>
      </c>
      <c r="G744" s="7" t="n">
        <v>50.17778015136719</v>
      </c>
      <c r="H744" s="6">
        <f>P713</f>
        <v/>
      </c>
      <c r="I744" s="9">
        <f>Q713</f>
        <v/>
      </c>
      <c r="J744" s="7">
        <f>I744*G744</f>
        <v/>
      </c>
      <c r="K744" s="8">
        <f>IF($J$745=0,0,J744/$J$745)</f>
        <v/>
      </c>
      <c r="L744" s="6" t="inlineStr">
        <is>
          <t>REJECTED</t>
        </is>
      </c>
      <c r="M744" s="8" t="n">
        <v>0</v>
      </c>
      <c r="N744" s="7">
        <f>M744*$J$745-J744</f>
        <v/>
      </c>
      <c r="O744" s="9">
        <f>IF(G744=0,0,N744/G744)</f>
        <v/>
      </c>
      <c r="P744" s="6">
        <f>IF(M744&gt;0,D744,"")</f>
        <v/>
      </c>
      <c r="Q744" s="9">
        <f>I744+O744</f>
        <v/>
      </c>
      <c r="R744" s="7">
        <f>Q744*G744</f>
        <v/>
      </c>
      <c r="S744" s="8">
        <f>IF($R$745=0,0,R744/$R$745)</f>
        <v/>
      </c>
      <c r="T744" s="8" t="n">
        <v>0</v>
      </c>
      <c r="U744" s="8" t="n">
        <v>0.01312704115344254</v>
      </c>
      <c r="V744" s="6" t="inlineStr">
        <is>
          <t>not selected</t>
        </is>
      </c>
    </row>
    <row r="745">
      <c r="A745" s="10" t="inlineStr">
        <is>
          <t>DJ30</t>
        </is>
      </c>
      <c r="B745" s="10" t="inlineStr">
        <is>
          <t>2023-06-16</t>
        </is>
      </c>
      <c r="C745" s="10" t="inlineStr">
        <is>
          <t>DIA</t>
        </is>
      </c>
      <c r="D745" s="10" t="inlineStr">
        <is>
          <t>Tot Portfolio</t>
        </is>
      </c>
      <c r="E745" s="10" t="inlineStr"/>
      <c r="F745" s="10" t="inlineStr"/>
      <c r="G745" s="11" t="inlineStr"/>
      <c r="H745" s="10" t="inlineStr"/>
      <c r="I745" s="12" t="inlineStr"/>
      <c r="J745" s="11">
        <f>SUM(J715:J744)</f>
        <v/>
      </c>
      <c r="K745" s="13">
        <f>SUM(K715:K744)</f>
        <v/>
      </c>
      <c r="L745" s="10" t="inlineStr">
        <is>
          <t>TOTAL</t>
        </is>
      </c>
      <c r="M745" s="13">
        <f>SUM(M715:M744)</f>
        <v/>
      </c>
      <c r="N745" s="11">
        <f>SUM(N715:N744)</f>
        <v/>
      </c>
      <c r="O745" s="12">
        <f>SUM(O715:O744)</f>
        <v/>
      </c>
      <c r="P745" s="10" t="inlineStr"/>
      <c r="Q745" s="12" t="inlineStr"/>
      <c r="R745" s="11">
        <f>SUM(R715:R744)</f>
        <v/>
      </c>
      <c r="S745" s="13">
        <f>SUM(S715:S744)</f>
        <v/>
      </c>
      <c r="T745" s="13" t="n">
        <v>0</v>
      </c>
      <c r="U745" s="13" t="n">
        <v>0.01312704115344254</v>
      </c>
      <c r="V745" s="10" t="inlineStr"/>
    </row>
    <row r="746">
      <c r="A746" s="6" t="inlineStr">
        <is>
          <t>DJ30</t>
        </is>
      </c>
      <c r="B746" s="6" t="inlineStr">
        <is>
          <t>2023-06-23</t>
        </is>
      </c>
      <c r="C746" s="6" t="inlineStr">
        <is>
          <t>DIA</t>
        </is>
      </c>
      <c r="D746" s="6" t="inlineStr">
        <is>
          <t>AAPL</t>
        </is>
      </c>
      <c r="E746" s="6" t="inlineStr">
        <is>
          <t>AAPL</t>
        </is>
      </c>
      <c r="F746" s="6" t="inlineStr">
        <is>
          <t>-</t>
        </is>
      </c>
      <c r="G746" s="7" t="n">
        <v>184.0990600585937</v>
      </c>
      <c r="H746" s="6">
        <f>P715</f>
        <v/>
      </c>
      <c r="I746" s="9">
        <f>Q715</f>
        <v/>
      </c>
      <c r="J746" s="7">
        <f>I746*G746</f>
        <v/>
      </c>
      <c r="K746" s="8">
        <f>IF($J$776=0,0,J746/$J$776)</f>
        <v/>
      </c>
      <c r="L746" s="6" t="inlineStr">
        <is>
          <t>REJECTED</t>
        </is>
      </c>
      <c r="M746" s="8" t="n">
        <v>0</v>
      </c>
      <c r="N746" s="7">
        <f>M746*$J$776-J746</f>
        <v/>
      </c>
      <c r="O746" s="9">
        <f>IF(G746=0,0,N746/G746)</f>
        <v/>
      </c>
      <c r="P746" s="6">
        <f>IF(M746&gt;0,D746,"")</f>
        <v/>
      </c>
      <c r="Q746" s="9">
        <f>I746+O746</f>
        <v/>
      </c>
      <c r="R746" s="7">
        <f>Q746*G746</f>
        <v/>
      </c>
      <c r="S746" s="8">
        <f>IF($R$776=0,0,R746/$R$776)</f>
        <v/>
      </c>
      <c r="T746" s="8" t="n">
        <v>0</v>
      </c>
      <c r="U746" s="8" t="n">
        <v>-0.01688306940281326</v>
      </c>
      <c r="V746" s="6" t="inlineStr">
        <is>
          <t>not selected</t>
        </is>
      </c>
    </row>
    <row r="747">
      <c r="A747" s="6" t="inlineStr">
        <is>
          <t>DJ30</t>
        </is>
      </c>
      <c r="B747" s="6" t="inlineStr">
        <is>
          <t>2023-06-23</t>
        </is>
      </c>
      <c r="C747" s="6" t="inlineStr">
        <is>
          <t>DIA</t>
        </is>
      </c>
      <c r="D747" s="6" t="inlineStr">
        <is>
          <t>AMGN</t>
        </is>
      </c>
      <c r="E747" s="6" t="inlineStr">
        <is>
          <t>AMGN</t>
        </is>
      </c>
      <c r="F747" s="6" t="inlineStr">
        <is>
          <t>-</t>
        </is>
      </c>
      <c r="G747" s="7" t="n">
        <v>207.1213073730469</v>
      </c>
      <c r="H747" s="6">
        <f>P716</f>
        <v/>
      </c>
      <c r="I747" s="9">
        <f>Q716</f>
        <v/>
      </c>
      <c r="J747" s="7">
        <f>I747*G747</f>
        <v/>
      </c>
      <c r="K747" s="8">
        <f>IF($J$776=0,0,J747/$J$776)</f>
        <v/>
      </c>
      <c r="L747" s="6" t="inlineStr">
        <is>
          <t>REJECTED</t>
        </is>
      </c>
      <c r="M747" s="8" t="n">
        <v>0</v>
      </c>
      <c r="N747" s="7">
        <f>M747*$J$776-J747</f>
        <v/>
      </c>
      <c r="O747" s="9">
        <f>IF(G747=0,0,N747/G747)</f>
        <v/>
      </c>
      <c r="P747" s="6">
        <f>IF(M747&gt;0,D747,"")</f>
        <v/>
      </c>
      <c r="Q747" s="9">
        <f>I747+O747</f>
        <v/>
      </c>
      <c r="R747" s="7">
        <f>Q747*G747</f>
        <v/>
      </c>
      <c r="S747" s="8">
        <f>IF($R$776=0,0,R747/$R$776)</f>
        <v/>
      </c>
      <c r="T747" s="8" t="n">
        <v>0</v>
      </c>
      <c r="U747" s="8" t="n">
        <v>-0.01688306940281326</v>
      </c>
      <c r="V747" s="6" t="inlineStr">
        <is>
          <t>not selected</t>
        </is>
      </c>
    </row>
    <row r="748">
      <c r="A748" s="6" t="inlineStr">
        <is>
          <t>DJ30</t>
        </is>
      </c>
      <c r="B748" s="6" t="inlineStr">
        <is>
          <t>2023-06-23</t>
        </is>
      </c>
      <c r="C748" s="6" t="inlineStr">
        <is>
          <t>DIA</t>
        </is>
      </c>
      <c r="D748" s="6" t="inlineStr">
        <is>
          <t>AMZN</t>
        </is>
      </c>
      <c r="E748" s="6" t="inlineStr">
        <is>
          <t>AMZN</t>
        </is>
      </c>
      <c r="F748" s="6" t="inlineStr">
        <is>
          <t>-</t>
        </is>
      </c>
      <c r="G748" s="7" t="n">
        <v>129.3300018310547</v>
      </c>
      <c r="H748" s="6">
        <f>P717</f>
        <v/>
      </c>
      <c r="I748" s="9">
        <f>Q717</f>
        <v/>
      </c>
      <c r="J748" s="7">
        <f>I748*G748</f>
        <v/>
      </c>
      <c r="K748" s="8">
        <f>IF($J$776=0,0,J748/$J$776)</f>
        <v/>
      </c>
      <c r="L748" s="6" t="inlineStr">
        <is>
          <t>REJECTED</t>
        </is>
      </c>
      <c r="M748" s="8" t="n">
        <v>0</v>
      </c>
      <c r="N748" s="7">
        <f>M748*$J$776-J748</f>
        <v/>
      </c>
      <c r="O748" s="9">
        <f>IF(G748=0,0,N748/G748)</f>
        <v/>
      </c>
      <c r="P748" s="6">
        <f>IF(M748&gt;0,D748,"")</f>
        <v/>
      </c>
      <c r="Q748" s="9">
        <f>I748+O748</f>
        <v/>
      </c>
      <c r="R748" s="7">
        <f>Q748*G748</f>
        <v/>
      </c>
      <c r="S748" s="8">
        <f>IF($R$776=0,0,R748/$R$776)</f>
        <v/>
      </c>
      <c r="T748" s="8" t="n">
        <v>0</v>
      </c>
      <c r="U748" s="8" t="n">
        <v>-0.01688306940281326</v>
      </c>
      <c r="V748" s="6" t="inlineStr">
        <is>
          <t>not selected</t>
        </is>
      </c>
    </row>
    <row r="749">
      <c r="A749" s="6" t="inlineStr">
        <is>
          <t>DJ30</t>
        </is>
      </c>
      <c r="B749" s="6" t="inlineStr">
        <is>
          <t>2023-06-23</t>
        </is>
      </c>
      <c r="C749" s="6" t="inlineStr">
        <is>
          <t>DIA</t>
        </is>
      </c>
      <c r="D749" s="6" t="inlineStr">
        <is>
          <t>AXP</t>
        </is>
      </c>
      <c r="E749" s="6" t="inlineStr">
        <is>
          <t>AXP</t>
        </is>
      </c>
      <c r="F749" s="6" t="inlineStr">
        <is>
          <t>-</t>
        </is>
      </c>
      <c r="G749" s="7" t="n">
        <v>162.2055206298828</v>
      </c>
      <c r="H749" s="6">
        <f>P718</f>
        <v/>
      </c>
      <c r="I749" s="9">
        <f>Q718</f>
        <v/>
      </c>
      <c r="J749" s="7">
        <f>I749*G749</f>
        <v/>
      </c>
      <c r="K749" s="8">
        <f>IF($J$776=0,0,J749/$J$776)</f>
        <v/>
      </c>
      <c r="L749" s="6" t="inlineStr">
        <is>
          <t>REJECTED</t>
        </is>
      </c>
      <c r="M749" s="8" t="n">
        <v>0</v>
      </c>
      <c r="N749" s="7">
        <f>M749*$J$776-J749</f>
        <v/>
      </c>
      <c r="O749" s="9">
        <f>IF(G749=0,0,N749/G749)</f>
        <v/>
      </c>
      <c r="P749" s="6">
        <f>IF(M749&gt;0,D749,"")</f>
        <v/>
      </c>
      <c r="Q749" s="9">
        <f>I749+O749</f>
        <v/>
      </c>
      <c r="R749" s="7">
        <f>Q749*G749</f>
        <v/>
      </c>
      <c r="S749" s="8">
        <f>IF($R$776=0,0,R749/$R$776)</f>
        <v/>
      </c>
      <c r="T749" s="8" t="n">
        <v>0</v>
      </c>
      <c r="U749" s="8" t="n">
        <v>-0.01688306940281326</v>
      </c>
      <c r="V749" s="6" t="inlineStr">
        <is>
          <t>not selected</t>
        </is>
      </c>
    </row>
    <row r="750">
      <c r="A750" s="6" t="inlineStr">
        <is>
          <t>DJ30</t>
        </is>
      </c>
      <c r="B750" s="6" t="inlineStr">
        <is>
          <t>2023-06-23</t>
        </is>
      </c>
      <c r="C750" s="6" t="inlineStr">
        <is>
          <t>DIA</t>
        </is>
      </c>
      <c r="D750" s="6" t="inlineStr">
        <is>
          <t>BA</t>
        </is>
      </c>
      <c r="E750" s="6" t="inlineStr">
        <is>
          <t>BA</t>
        </is>
      </c>
      <c r="F750" s="6" t="inlineStr">
        <is>
          <t>-</t>
        </is>
      </c>
      <c r="G750" s="7" t="n">
        <v>205.4100036621093</v>
      </c>
      <c r="H750" s="6">
        <f>P719</f>
        <v/>
      </c>
      <c r="I750" s="9">
        <f>Q719</f>
        <v/>
      </c>
      <c r="J750" s="7">
        <f>I750*G750</f>
        <v/>
      </c>
      <c r="K750" s="8">
        <f>IF($J$776=0,0,J750/$J$776)</f>
        <v/>
      </c>
      <c r="L750" s="6" t="inlineStr">
        <is>
          <t>REJECTED</t>
        </is>
      </c>
      <c r="M750" s="8" t="n">
        <v>0</v>
      </c>
      <c r="N750" s="7">
        <f>M750*$J$776-J750</f>
        <v/>
      </c>
      <c r="O750" s="9">
        <f>IF(G750=0,0,N750/G750)</f>
        <v/>
      </c>
      <c r="P750" s="6">
        <f>IF(M750&gt;0,D750,"")</f>
        <v/>
      </c>
      <c r="Q750" s="9">
        <f>I750+O750</f>
        <v/>
      </c>
      <c r="R750" s="7">
        <f>Q750*G750</f>
        <v/>
      </c>
      <c r="S750" s="8">
        <f>IF($R$776=0,0,R750/$R$776)</f>
        <v/>
      </c>
      <c r="T750" s="8" t="n">
        <v>0</v>
      </c>
      <c r="U750" s="8" t="n">
        <v>-0.01688306940281326</v>
      </c>
      <c r="V750" s="6" t="inlineStr">
        <is>
          <t>not selected</t>
        </is>
      </c>
    </row>
    <row r="751">
      <c r="A751" s="6" t="inlineStr">
        <is>
          <t>DJ30</t>
        </is>
      </c>
      <c r="B751" s="6" t="inlineStr">
        <is>
          <t>2023-06-23</t>
        </is>
      </c>
      <c r="C751" s="6" t="inlineStr">
        <is>
          <t>DIA</t>
        </is>
      </c>
      <c r="D751" s="6" t="inlineStr">
        <is>
          <t>CAT</t>
        </is>
      </c>
      <c r="E751" s="6" t="inlineStr">
        <is>
          <t>CAT</t>
        </is>
      </c>
      <c r="F751" s="6" t="inlineStr">
        <is>
          <t>-</t>
        </is>
      </c>
      <c r="G751" s="7" t="n">
        <v>224.0719299316407</v>
      </c>
      <c r="H751" s="6">
        <f>P720</f>
        <v/>
      </c>
      <c r="I751" s="9">
        <f>Q720</f>
        <v/>
      </c>
      <c r="J751" s="7">
        <f>I751*G751</f>
        <v/>
      </c>
      <c r="K751" s="8">
        <f>IF($J$776=0,0,J751/$J$776)</f>
        <v/>
      </c>
      <c r="L751" s="6" t="inlineStr">
        <is>
          <t>REJECTED</t>
        </is>
      </c>
      <c r="M751" s="8" t="n">
        <v>0</v>
      </c>
      <c r="N751" s="7">
        <f>M751*$J$776-J751</f>
        <v/>
      </c>
      <c r="O751" s="9">
        <f>IF(G751=0,0,N751/G751)</f>
        <v/>
      </c>
      <c r="P751" s="6">
        <f>IF(M751&gt;0,D751,"")</f>
        <v/>
      </c>
      <c r="Q751" s="9">
        <f>I751+O751</f>
        <v/>
      </c>
      <c r="R751" s="7">
        <f>Q751*G751</f>
        <v/>
      </c>
      <c r="S751" s="8">
        <f>IF($R$776=0,0,R751/$R$776)</f>
        <v/>
      </c>
      <c r="T751" s="8" t="n">
        <v>0</v>
      </c>
      <c r="U751" s="8" t="n">
        <v>-0.01688306940281326</v>
      </c>
      <c r="V751" s="6" t="inlineStr">
        <is>
          <t>not selected</t>
        </is>
      </c>
    </row>
    <row r="752">
      <c r="A752" s="6" t="inlineStr">
        <is>
          <t>DJ30</t>
        </is>
      </c>
      <c r="B752" s="6" t="inlineStr">
        <is>
          <t>2023-06-23</t>
        </is>
      </c>
      <c r="C752" s="6" t="inlineStr">
        <is>
          <t>DIA</t>
        </is>
      </c>
      <c r="D752" s="6" t="inlineStr">
        <is>
          <t>CRM</t>
        </is>
      </c>
      <c r="E752" s="6" t="inlineStr">
        <is>
          <t>CRM</t>
        </is>
      </c>
      <c r="F752" s="6" t="inlineStr">
        <is>
          <t>-</t>
        </is>
      </c>
      <c r="G752" s="7" t="n">
        <v>206.5171508789062</v>
      </c>
      <c r="H752" s="6">
        <f>P721</f>
        <v/>
      </c>
      <c r="I752" s="9">
        <f>Q721</f>
        <v/>
      </c>
      <c r="J752" s="7">
        <f>I752*G752</f>
        <v/>
      </c>
      <c r="K752" s="8">
        <f>IF($J$776=0,0,J752/$J$776)</f>
        <v/>
      </c>
      <c r="L752" s="6" t="inlineStr">
        <is>
          <t>REJECTED</t>
        </is>
      </c>
      <c r="M752" s="8" t="n">
        <v>0</v>
      </c>
      <c r="N752" s="7">
        <f>M752*$J$776-J752</f>
        <v/>
      </c>
      <c r="O752" s="9">
        <f>IF(G752=0,0,N752/G752)</f>
        <v/>
      </c>
      <c r="P752" s="6">
        <f>IF(M752&gt;0,D752,"")</f>
        <v/>
      </c>
      <c r="Q752" s="9">
        <f>I752+O752</f>
        <v/>
      </c>
      <c r="R752" s="7">
        <f>Q752*G752</f>
        <v/>
      </c>
      <c r="S752" s="8">
        <f>IF($R$776=0,0,R752/$R$776)</f>
        <v/>
      </c>
      <c r="T752" s="8" t="n">
        <v>0</v>
      </c>
      <c r="U752" s="8" t="n">
        <v>-0.01688306940281326</v>
      </c>
      <c r="V752" s="6" t="inlineStr">
        <is>
          <t>not selected</t>
        </is>
      </c>
    </row>
    <row r="753">
      <c r="A753" s="6" t="inlineStr">
        <is>
          <t>DJ30</t>
        </is>
      </c>
      <c r="B753" s="6" t="inlineStr">
        <is>
          <t>2023-06-23</t>
        </is>
      </c>
      <c r="C753" s="6" t="inlineStr">
        <is>
          <t>DIA</t>
        </is>
      </c>
      <c r="D753" s="6" t="inlineStr">
        <is>
          <t>CSCO</t>
        </is>
      </c>
      <c r="E753" s="6" t="inlineStr">
        <is>
          <t>CSCO</t>
        </is>
      </c>
      <c r="F753" s="6" t="inlineStr">
        <is>
          <t>-</t>
        </is>
      </c>
      <c r="G753" s="7" t="n">
        <v>46.32199096679688</v>
      </c>
      <c r="H753" s="6">
        <f>P722</f>
        <v/>
      </c>
      <c r="I753" s="9">
        <f>Q722</f>
        <v/>
      </c>
      <c r="J753" s="7">
        <f>I753*G753</f>
        <v/>
      </c>
      <c r="K753" s="8">
        <f>IF($J$776=0,0,J753/$J$776)</f>
        <v/>
      </c>
      <c r="L753" s="6" t="inlineStr">
        <is>
          <t>REJECTED</t>
        </is>
      </c>
      <c r="M753" s="8" t="n">
        <v>0</v>
      </c>
      <c r="N753" s="7">
        <f>M753*$J$776-J753</f>
        <v/>
      </c>
      <c r="O753" s="9">
        <f>IF(G753=0,0,N753/G753)</f>
        <v/>
      </c>
      <c r="P753" s="6">
        <f>IF(M753&gt;0,D753,"")</f>
        <v/>
      </c>
      <c r="Q753" s="9">
        <f>I753+O753</f>
        <v/>
      </c>
      <c r="R753" s="7">
        <f>Q753*G753</f>
        <v/>
      </c>
      <c r="S753" s="8">
        <f>IF($R$776=0,0,R753/$R$776)</f>
        <v/>
      </c>
      <c r="T753" s="8" t="n">
        <v>0</v>
      </c>
      <c r="U753" s="8" t="n">
        <v>-0.01688306940281326</v>
      </c>
      <c r="V753" s="6" t="inlineStr">
        <is>
          <t>not selected</t>
        </is>
      </c>
    </row>
    <row r="754">
      <c r="A754" s="6" t="inlineStr">
        <is>
          <t>DJ30</t>
        </is>
      </c>
      <c r="B754" s="6" t="inlineStr">
        <is>
          <t>2023-06-23</t>
        </is>
      </c>
      <c r="C754" s="6" t="inlineStr">
        <is>
          <t>DIA</t>
        </is>
      </c>
      <c r="D754" s="6" t="inlineStr">
        <is>
          <t>CVX</t>
        </is>
      </c>
      <c r="E754" s="6" t="inlineStr">
        <is>
          <t>CVX</t>
        </is>
      </c>
      <c r="F754" s="6" t="inlineStr">
        <is>
          <t>-</t>
        </is>
      </c>
      <c r="G754" s="7" t="n">
        <v>133.3872833251953</v>
      </c>
      <c r="H754" s="6">
        <f>P723</f>
        <v/>
      </c>
      <c r="I754" s="9">
        <f>Q723</f>
        <v/>
      </c>
      <c r="J754" s="7">
        <f>I754*G754</f>
        <v/>
      </c>
      <c r="K754" s="8">
        <f>IF($J$776=0,0,J754/$J$776)</f>
        <v/>
      </c>
      <c r="L754" s="6" t="inlineStr">
        <is>
          <t>REJECTED</t>
        </is>
      </c>
      <c r="M754" s="8" t="n">
        <v>0</v>
      </c>
      <c r="N754" s="7">
        <f>M754*$J$776-J754</f>
        <v/>
      </c>
      <c r="O754" s="9">
        <f>IF(G754=0,0,N754/G754)</f>
        <v/>
      </c>
      <c r="P754" s="6">
        <f>IF(M754&gt;0,D754,"")</f>
        <v/>
      </c>
      <c r="Q754" s="9">
        <f>I754+O754</f>
        <v/>
      </c>
      <c r="R754" s="7">
        <f>Q754*G754</f>
        <v/>
      </c>
      <c r="S754" s="8">
        <f>IF($R$776=0,0,R754/$R$776)</f>
        <v/>
      </c>
      <c r="T754" s="8" t="n">
        <v>0</v>
      </c>
      <c r="U754" s="8" t="n">
        <v>-0.01688306940281326</v>
      </c>
      <c r="V754" s="6" t="inlineStr">
        <is>
          <t>not selected</t>
        </is>
      </c>
    </row>
    <row r="755">
      <c r="A755" s="6" t="inlineStr">
        <is>
          <t>DJ30</t>
        </is>
      </c>
      <c r="B755" s="6" t="inlineStr">
        <is>
          <t>2023-06-23</t>
        </is>
      </c>
      <c r="C755" s="6" t="inlineStr">
        <is>
          <t>DIA</t>
        </is>
      </c>
      <c r="D755" s="6" t="inlineStr">
        <is>
          <t>DIS</t>
        </is>
      </c>
      <c r="E755" s="6" t="inlineStr">
        <is>
          <t>DIS</t>
        </is>
      </c>
      <c r="F755" s="6" t="inlineStr">
        <is>
          <t>-</t>
        </is>
      </c>
      <c r="G755" s="7" t="n">
        <v>86.07303619384766</v>
      </c>
      <c r="H755" s="6">
        <f>P724</f>
        <v/>
      </c>
      <c r="I755" s="9">
        <f>Q724</f>
        <v/>
      </c>
      <c r="J755" s="7">
        <f>I755*G755</f>
        <v/>
      </c>
      <c r="K755" s="8">
        <f>IF($J$776=0,0,J755/$J$776)</f>
        <v/>
      </c>
      <c r="L755" s="6" t="inlineStr">
        <is>
          <t>REJECTED</t>
        </is>
      </c>
      <c r="M755" s="8" t="n">
        <v>0</v>
      </c>
      <c r="N755" s="7">
        <f>M755*$J$776-J755</f>
        <v/>
      </c>
      <c r="O755" s="9">
        <f>IF(G755=0,0,N755/G755)</f>
        <v/>
      </c>
      <c r="P755" s="6">
        <f>IF(M755&gt;0,D755,"")</f>
        <v/>
      </c>
      <c r="Q755" s="9">
        <f>I755+O755</f>
        <v/>
      </c>
      <c r="R755" s="7">
        <f>Q755*G755</f>
        <v/>
      </c>
      <c r="S755" s="8">
        <f>IF($R$776=0,0,R755/$R$776)</f>
        <v/>
      </c>
      <c r="T755" s="8" t="n">
        <v>0</v>
      </c>
      <c r="U755" s="8" t="n">
        <v>-0.01688306940281326</v>
      </c>
      <c r="V755" s="6" t="inlineStr">
        <is>
          <t>not selected</t>
        </is>
      </c>
    </row>
    <row r="756">
      <c r="A756" s="6" t="inlineStr">
        <is>
          <t>DJ30</t>
        </is>
      </c>
      <c r="B756" s="6" t="inlineStr">
        <is>
          <t>2023-06-23</t>
        </is>
      </c>
      <c r="C756" s="6" t="inlineStr">
        <is>
          <t>DIA</t>
        </is>
      </c>
      <c r="D756" s="6" t="inlineStr">
        <is>
          <t>GS</t>
        </is>
      </c>
      <c r="E756" s="6" t="inlineStr">
        <is>
          <t>GS</t>
        </is>
      </c>
      <c r="F756" s="6" t="inlineStr">
        <is>
          <t>-</t>
        </is>
      </c>
      <c r="G756" s="7" t="n">
        <v>293.3555297851562</v>
      </c>
      <c r="H756" s="6">
        <f>P725</f>
        <v/>
      </c>
      <c r="I756" s="9">
        <f>Q725</f>
        <v/>
      </c>
      <c r="J756" s="7">
        <f>I756*G756</f>
        <v/>
      </c>
      <c r="K756" s="8">
        <f>IF($J$776=0,0,J756/$J$776)</f>
        <v/>
      </c>
      <c r="L756" s="6" t="inlineStr">
        <is>
          <t>REJECTED</t>
        </is>
      </c>
      <c r="M756" s="8" t="n">
        <v>0</v>
      </c>
      <c r="N756" s="7">
        <f>M756*$J$776-J756</f>
        <v/>
      </c>
      <c r="O756" s="9">
        <f>IF(G756=0,0,N756/G756)</f>
        <v/>
      </c>
      <c r="P756" s="6">
        <f>IF(M756&gt;0,D756,"")</f>
        <v/>
      </c>
      <c r="Q756" s="9">
        <f>I756+O756</f>
        <v/>
      </c>
      <c r="R756" s="7">
        <f>Q756*G756</f>
        <v/>
      </c>
      <c r="S756" s="8">
        <f>IF($R$776=0,0,R756/$R$776)</f>
        <v/>
      </c>
      <c r="T756" s="8" t="n">
        <v>0</v>
      </c>
      <c r="U756" s="8" t="n">
        <v>-0.01688306940281326</v>
      </c>
      <c r="V756" s="6" t="inlineStr">
        <is>
          <t>not selected</t>
        </is>
      </c>
    </row>
    <row r="757">
      <c r="A757" s="6" t="inlineStr">
        <is>
          <t>DJ30</t>
        </is>
      </c>
      <c r="B757" s="6" t="inlineStr">
        <is>
          <t>2023-06-23</t>
        </is>
      </c>
      <c r="C757" s="6" t="inlineStr">
        <is>
          <t>DIA</t>
        </is>
      </c>
      <c r="D757" s="6" t="inlineStr">
        <is>
          <t>HD</t>
        </is>
      </c>
      <c r="E757" s="6" t="inlineStr">
        <is>
          <t>HD</t>
        </is>
      </c>
      <c r="F757" s="6" t="inlineStr">
        <is>
          <t>-</t>
        </is>
      </c>
      <c r="G757" s="7" t="n">
        <v>278.7906494140625</v>
      </c>
      <c r="H757" s="6">
        <f>P726</f>
        <v/>
      </c>
      <c r="I757" s="9">
        <f>Q726</f>
        <v/>
      </c>
      <c r="J757" s="7">
        <f>I757*G757</f>
        <v/>
      </c>
      <c r="K757" s="8">
        <f>IF($J$776=0,0,J757/$J$776)</f>
        <v/>
      </c>
      <c r="L757" s="6" t="inlineStr">
        <is>
          <t>REJECTED</t>
        </is>
      </c>
      <c r="M757" s="8" t="n">
        <v>0</v>
      </c>
      <c r="N757" s="7">
        <f>M757*$J$776-J757</f>
        <v/>
      </c>
      <c r="O757" s="9">
        <f>IF(G757=0,0,N757/G757)</f>
        <v/>
      </c>
      <c r="P757" s="6">
        <f>IF(M757&gt;0,D757,"")</f>
        <v/>
      </c>
      <c r="Q757" s="9">
        <f>I757+O757</f>
        <v/>
      </c>
      <c r="R757" s="7">
        <f>Q757*G757</f>
        <v/>
      </c>
      <c r="S757" s="8">
        <f>IF($R$776=0,0,R757/$R$776)</f>
        <v/>
      </c>
      <c r="T757" s="8" t="n">
        <v>0</v>
      </c>
      <c r="U757" s="8" t="n">
        <v>-0.01688306940281326</v>
      </c>
      <c r="V757" s="6" t="inlineStr">
        <is>
          <t>not selected</t>
        </is>
      </c>
    </row>
    <row r="758">
      <c r="A758" s="6" t="inlineStr">
        <is>
          <t>DJ30</t>
        </is>
      </c>
      <c r="B758" s="6" t="inlineStr">
        <is>
          <t>2023-06-23</t>
        </is>
      </c>
      <c r="C758" s="6" t="inlineStr">
        <is>
          <t>DIA</t>
        </is>
      </c>
      <c r="D758" s="6" t="inlineStr">
        <is>
          <t>HON</t>
        </is>
      </c>
      <c r="E758" s="6" t="inlineStr">
        <is>
          <t>HON</t>
        </is>
      </c>
      <c r="F758" s="6" t="inlineStr">
        <is>
          <t>-</t>
        </is>
      </c>
      <c r="G758" s="7" t="n">
        <v>176.8090057373047</v>
      </c>
      <c r="H758" s="6">
        <f>P727</f>
        <v/>
      </c>
      <c r="I758" s="9">
        <f>Q727</f>
        <v/>
      </c>
      <c r="J758" s="7">
        <f>I758*G758</f>
        <v/>
      </c>
      <c r="K758" s="8">
        <f>IF($J$776=0,0,J758/$J$776)</f>
        <v/>
      </c>
      <c r="L758" s="6" t="inlineStr">
        <is>
          <t>REJECTED</t>
        </is>
      </c>
      <c r="M758" s="8" t="n">
        <v>0</v>
      </c>
      <c r="N758" s="7">
        <f>M758*$J$776-J758</f>
        <v/>
      </c>
      <c r="O758" s="9">
        <f>IF(G758=0,0,N758/G758)</f>
        <v/>
      </c>
      <c r="P758" s="6">
        <f>IF(M758&gt;0,D758,"")</f>
        <v/>
      </c>
      <c r="Q758" s="9">
        <f>I758+O758</f>
        <v/>
      </c>
      <c r="R758" s="7">
        <f>Q758*G758</f>
        <v/>
      </c>
      <c r="S758" s="8">
        <f>IF($R$776=0,0,R758/$R$776)</f>
        <v/>
      </c>
      <c r="T758" s="8" t="n">
        <v>0</v>
      </c>
      <c r="U758" s="8" t="n">
        <v>-0.01688306940281326</v>
      </c>
      <c r="V758" s="6" t="inlineStr">
        <is>
          <t>not selected</t>
        </is>
      </c>
    </row>
    <row r="759">
      <c r="A759" s="6" t="inlineStr">
        <is>
          <t>DJ30</t>
        </is>
      </c>
      <c r="B759" s="6" t="inlineStr">
        <is>
          <t>2023-06-23</t>
        </is>
      </c>
      <c r="C759" s="6" t="inlineStr">
        <is>
          <t>DIA</t>
        </is>
      </c>
      <c r="D759" s="6" t="inlineStr">
        <is>
          <t>IBM</t>
        </is>
      </c>
      <c r="E759" s="6" t="inlineStr">
        <is>
          <t>IBM</t>
        </is>
      </c>
      <c r="F759" s="6" t="inlineStr">
        <is>
          <t>-</t>
        </is>
      </c>
      <c r="G759" s="7" t="n">
        <v>117.4932708740234</v>
      </c>
      <c r="H759" s="6">
        <f>P728</f>
        <v/>
      </c>
      <c r="I759" s="9">
        <f>Q728</f>
        <v/>
      </c>
      <c r="J759" s="7">
        <f>I759*G759</f>
        <v/>
      </c>
      <c r="K759" s="8">
        <f>IF($J$776=0,0,J759/$J$776)</f>
        <v/>
      </c>
      <c r="L759" s="6" t="inlineStr">
        <is>
          <t>REJECTED</t>
        </is>
      </c>
      <c r="M759" s="8" t="n">
        <v>0</v>
      </c>
      <c r="N759" s="7">
        <f>M759*$J$776-J759</f>
        <v/>
      </c>
      <c r="O759" s="9">
        <f>IF(G759=0,0,N759/G759)</f>
        <v/>
      </c>
      <c r="P759" s="6">
        <f>IF(M759&gt;0,D759,"")</f>
        <v/>
      </c>
      <c r="Q759" s="9">
        <f>I759+O759</f>
        <v/>
      </c>
      <c r="R759" s="7">
        <f>Q759*G759</f>
        <v/>
      </c>
      <c r="S759" s="8">
        <f>IF($R$776=0,0,R759/$R$776)</f>
        <v/>
      </c>
      <c r="T759" s="8" t="n">
        <v>0</v>
      </c>
      <c r="U759" s="8" t="n">
        <v>-0.01688306940281326</v>
      </c>
      <c r="V759" s="6" t="inlineStr">
        <is>
          <t>not selected</t>
        </is>
      </c>
    </row>
    <row r="760">
      <c r="A760" s="6" t="inlineStr">
        <is>
          <t>DJ30</t>
        </is>
      </c>
      <c r="B760" s="6" t="inlineStr">
        <is>
          <t>2023-06-23</t>
        </is>
      </c>
      <c r="C760" s="6" t="inlineStr">
        <is>
          <t>DIA</t>
        </is>
      </c>
      <c r="D760" s="6" t="inlineStr">
        <is>
          <t>JNJ</t>
        </is>
      </c>
      <c r="E760" s="6" t="inlineStr">
        <is>
          <t>JNJ</t>
        </is>
      </c>
      <c r="F760" s="6" t="inlineStr">
        <is>
          <t>-</t>
        </is>
      </c>
      <c r="G760" s="7" t="n">
        <v>151.6057739257812</v>
      </c>
      <c r="H760" s="6">
        <f>P729</f>
        <v/>
      </c>
      <c r="I760" s="9">
        <f>Q729</f>
        <v/>
      </c>
      <c r="J760" s="7">
        <f>I760*G760</f>
        <v/>
      </c>
      <c r="K760" s="8">
        <f>IF($J$776=0,0,J760/$J$776)</f>
        <v/>
      </c>
      <c r="L760" s="6" t="inlineStr">
        <is>
          <t>REJECTED</t>
        </is>
      </c>
      <c r="M760" s="8" t="n">
        <v>0</v>
      </c>
      <c r="N760" s="7">
        <f>M760*$J$776-J760</f>
        <v/>
      </c>
      <c r="O760" s="9">
        <f>IF(G760=0,0,N760/G760)</f>
        <v/>
      </c>
      <c r="P760" s="6">
        <f>IF(M760&gt;0,D760,"")</f>
        <v/>
      </c>
      <c r="Q760" s="9">
        <f>I760+O760</f>
        <v/>
      </c>
      <c r="R760" s="7">
        <f>Q760*G760</f>
        <v/>
      </c>
      <c r="S760" s="8">
        <f>IF($R$776=0,0,R760/$R$776)</f>
        <v/>
      </c>
      <c r="T760" s="8" t="n">
        <v>0</v>
      </c>
      <c r="U760" s="8" t="n">
        <v>-0.01688306940281326</v>
      </c>
      <c r="V760" s="6" t="inlineStr">
        <is>
          <t>not selected</t>
        </is>
      </c>
    </row>
    <row r="761">
      <c r="A761" s="6" t="inlineStr">
        <is>
          <t>DJ30</t>
        </is>
      </c>
      <c r="B761" s="6" t="inlineStr">
        <is>
          <t>2023-06-23</t>
        </is>
      </c>
      <c r="C761" s="6" t="inlineStr">
        <is>
          <t>DIA</t>
        </is>
      </c>
      <c r="D761" s="6" t="inlineStr">
        <is>
          <t>JPM</t>
        </is>
      </c>
      <c r="E761" s="6" t="inlineStr">
        <is>
          <t>JPM</t>
        </is>
      </c>
      <c r="F761" s="6" t="inlineStr">
        <is>
          <t>-</t>
        </is>
      </c>
      <c r="G761" s="7" t="n">
        <v>129.6769714355469</v>
      </c>
      <c r="H761" s="6">
        <f>P730</f>
        <v/>
      </c>
      <c r="I761" s="9">
        <f>Q730</f>
        <v/>
      </c>
      <c r="J761" s="7">
        <f>I761*G761</f>
        <v/>
      </c>
      <c r="K761" s="8">
        <f>IF($J$776=0,0,J761/$J$776)</f>
        <v/>
      </c>
      <c r="L761" s="6" t="inlineStr">
        <is>
          <t>REJECTED</t>
        </is>
      </c>
      <c r="M761" s="8" t="n">
        <v>0</v>
      </c>
      <c r="N761" s="7">
        <f>M761*$J$776-J761</f>
        <v/>
      </c>
      <c r="O761" s="9">
        <f>IF(G761=0,0,N761/G761)</f>
        <v/>
      </c>
      <c r="P761" s="6">
        <f>IF(M761&gt;0,D761,"")</f>
        <v/>
      </c>
      <c r="Q761" s="9">
        <f>I761+O761</f>
        <v/>
      </c>
      <c r="R761" s="7">
        <f>Q761*G761</f>
        <v/>
      </c>
      <c r="S761" s="8">
        <f>IF($R$776=0,0,R761/$R$776)</f>
        <v/>
      </c>
      <c r="T761" s="8" t="n">
        <v>0</v>
      </c>
      <c r="U761" s="8" t="n">
        <v>-0.01688306940281326</v>
      </c>
      <c r="V761" s="6" t="inlineStr">
        <is>
          <t>not selected</t>
        </is>
      </c>
    </row>
    <row r="762">
      <c r="A762" s="6" t="inlineStr">
        <is>
          <t>DJ30</t>
        </is>
      </c>
      <c r="B762" s="6" t="inlineStr">
        <is>
          <t>2023-06-23</t>
        </is>
      </c>
      <c r="C762" s="6" t="inlineStr">
        <is>
          <t>DIA</t>
        </is>
      </c>
      <c r="D762" s="6" t="inlineStr">
        <is>
          <t>KO</t>
        </is>
      </c>
      <c r="E762" s="6" t="inlineStr">
        <is>
          <t>KO</t>
        </is>
      </c>
      <c r="F762" s="6" t="inlineStr">
        <is>
          <t>-</t>
        </is>
      </c>
      <c r="G762" s="7" t="n">
        <v>56.02873611450195</v>
      </c>
      <c r="H762" s="6">
        <f>P731</f>
        <v/>
      </c>
      <c r="I762" s="9">
        <f>Q731</f>
        <v/>
      </c>
      <c r="J762" s="7">
        <f>I762*G762</f>
        <v/>
      </c>
      <c r="K762" s="8">
        <f>IF($J$776=0,0,J762/$J$776)</f>
        <v/>
      </c>
      <c r="L762" s="6" t="inlineStr">
        <is>
          <t>REJECTED</t>
        </is>
      </c>
      <c r="M762" s="8" t="n">
        <v>0</v>
      </c>
      <c r="N762" s="7">
        <f>M762*$J$776-J762</f>
        <v/>
      </c>
      <c r="O762" s="9">
        <f>IF(G762=0,0,N762/G762)</f>
        <v/>
      </c>
      <c r="P762" s="6">
        <f>IF(M762&gt;0,D762,"")</f>
        <v/>
      </c>
      <c r="Q762" s="9">
        <f>I762+O762</f>
        <v/>
      </c>
      <c r="R762" s="7">
        <f>Q762*G762</f>
        <v/>
      </c>
      <c r="S762" s="8">
        <f>IF($R$776=0,0,R762/$R$776)</f>
        <v/>
      </c>
      <c r="T762" s="8" t="n">
        <v>0</v>
      </c>
      <c r="U762" s="8" t="n">
        <v>-0.01688306940281326</v>
      </c>
      <c r="V762" s="6" t="inlineStr">
        <is>
          <t>not selected</t>
        </is>
      </c>
    </row>
    <row r="763">
      <c r="A763" s="6" t="inlineStr">
        <is>
          <t>DJ30</t>
        </is>
      </c>
      <c r="B763" s="6" t="inlineStr">
        <is>
          <t>2023-06-23</t>
        </is>
      </c>
      <c r="C763" s="6" t="inlineStr">
        <is>
          <t>DIA</t>
        </is>
      </c>
      <c r="D763" s="6" t="inlineStr">
        <is>
          <t>MCD</t>
        </is>
      </c>
      <c r="E763" s="6" t="inlineStr">
        <is>
          <t>MCD</t>
        </is>
      </c>
      <c r="F763" s="6" t="inlineStr">
        <is>
          <t>-</t>
        </is>
      </c>
      <c r="G763" s="7" t="n">
        <v>270.1300048828125</v>
      </c>
      <c r="H763" s="6">
        <f>P732</f>
        <v/>
      </c>
      <c r="I763" s="9">
        <f>Q732</f>
        <v/>
      </c>
      <c r="J763" s="7">
        <f>I763*G763</f>
        <v/>
      </c>
      <c r="K763" s="8">
        <f>IF($J$776=0,0,J763/$J$776)</f>
        <v/>
      </c>
      <c r="L763" s="6" t="inlineStr">
        <is>
          <t>REJECTED</t>
        </is>
      </c>
      <c r="M763" s="8" t="n">
        <v>0</v>
      </c>
      <c r="N763" s="7">
        <f>M763*$J$776-J763</f>
        <v/>
      </c>
      <c r="O763" s="9">
        <f>IF(G763=0,0,N763/G763)</f>
        <v/>
      </c>
      <c r="P763" s="6">
        <f>IF(M763&gt;0,D763,"")</f>
        <v/>
      </c>
      <c r="Q763" s="9">
        <f>I763+O763</f>
        <v/>
      </c>
      <c r="R763" s="7">
        <f>Q763*G763</f>
        <v/>
      </c>
      <c r="S763" s="8">
        <f>IF($R$776=0,0,R763/$R$776)</f>
        <v/>
      </c>
      <c r="T763" s="8" t="n">
        <v>0</v>
      </c>
      <c r="U763" s="8" t="n">
        <v>-0.01688306940281326</v>
      </c>
      <c r="V763" s="6" t="inlineStr">
        <is>
          <t>not selected</t>
        </is>
      </c>
    </row>
    <row r="764">
      <c r="A764" s="6" t="inlineStr">
        <is>
          <t>DJ30</t>
        </is>
      </c>
      <c r="B764" s="6" t="inlineStr">
        <is>
          <t>2023-06-23</t>
        </is>
      </c>
      <c r="C764" s="6" t="inlineStr">
        <is>
          <t>DIA</t>
        </is>
      </c>
      <c r="D764" s="6" t="inlineStr">
        <is>
          <t>MMM</t>
        </is>
      </c>
      <c r="E764" s="6" t="inlineStr">
        <is>
          <t>MMM</t>
        </is>
      </c>
      <c r="F764" s="6" t="inlineStr">
        <is>
          <t>-</t>
        </is>
      </c>
      <c r="G764" s="7" t="n">
        <v>76.74505615234375</v>
      </c>
      <c r="H764" s="6">
        <f>P733</f>
        <v/>
      </c>
      <c r="I764" s="9">
        <f>Q733</f>
        <v/>
      </c>
      <c r="J764" s="7">
        <f>I764*G764</f>
        <v/>
      </c>
      <c r="K764" s="8">
        <f>IF($J$776=0,0,J764/$J$776)</f>
        <v/>
      </c>
      <c r="L764" s="6" t="inlineStr">
        <is>
          <t>REJECTED</t>
        </is>
      </c>
      <c r="M764" s="8" t="n">
        <v>0</v>
      </c>
      <c r="N764" s="7">
        <f>M764*$J$776-J764</f>
        <v/>
      </c>
      <c r="O764" s="9">
        <f>IF(G764=0,0,N764/G764)</f>
        <v/>
      </c>
      <c r="P764" s="6">
        <f>IF(M764&gt;0,D764,"")</f>
        <v/>
      </c>
      <c r="Q764" s="9">
        <f>I764+O764</f>
        <v/>
      </c>
      <c r="R764" s="7">
        <f>Q764*G764</f>
        <v/>
      </c>
      <c r="S764" s="8">
        <f>IF($R$776=0,0,R764/$R$776)</f>
        <v/>
      </c>
      <c r="T764" s="8" t="n">
        <v>0</v>
      </c>
      <c r="U764" s="8" t="n">
        <v>-0.01688306940281326</v>
      </c>
      <c r="V764" s="6" t="inlineStr">
        <is>
          <t>not selected</t>
        </is>
      </c>
    </row>
    <row r="765">
      <c r="A765" s="6" t="inlineStr">
        <is>
          <t>DJ30</t>
        </is>
      </c>
      <c r="B765" s="6" t="inlineStr">
        <is>
          <t>2023-06-23</t>
        </is>
      </c>
      <c r="C765" s="6" t="inlineStr">
        <is>
          <t>DIA</t>
        </is>
      </c>
      <c r="D765" s="6" t="inlineStr">
        <is>
          <t>MRK</t>
        </is>
      </c>
      <c r="E765" s="6" t="inlineStr">
        <is>
          <t>MRK</t>
        </is>
      </c>
      <c r="F765" s="6" t="inlineStr">
        <is>
          <t>-</t>
        </is>
      </c>
      <c r="G765" s="7" t="n">
        <v>104.4867630004883</v>
      </c>
      <c r="H765" s="6">
        <f>P734</f>
        <v/>
      </c>
      <c r="I765" s="9">
        <f>Q734</f>
        <v/>
      </c>
      <c r="J765" s="7">
        <f>I765*G765</f>
        <v/>
      </c>
      <c r="K765" s="8">
        <f>IF($J$776=0,0,J765/$J$776)</f>
        <v/>
      </c>
      <c r="L765" s="6" t="inlineStr">
        <is>
          <t>REJECTED</t>
        </is>
      </c>
      <c r="M765" s="8" t="n">
        <v>0</v>
      </c>
      <c r="N765" s="7">
        <f>M765*$J$776-J765</f>
        <v/>
      </c>
      <c r="O765" s="9">
        <f>IF(G765=0,0,N765/G765)</f>
        <v/>
      </c>
      <c r="P765" s="6">
        <f>IF(M765&gt;0,D765,"")</f>
        <v/>
      </c>
      <c r="Q765" s="9">
        <f>I765+O765</f>
        <v/>
      </c>
      <c r="R765" s="7">
        <f>Q765*G765</f>
        <v/>
      </c>
      <c r="S765" s="8">
        <f>IF($R$776=0,0,R765/$R$776)</f>
        <v/>
      </c>
      <c r="T765" s="8" t="n">
        <v>0</v>
      </c>
      <c r="U765" s="8" t="n">
        <v>-0.01688306940281326</v>
      </c>
      <c r="V765" s="6" t="inlineStr">
        <is>
          <t>not selected</t>
        </is>
      </c>
    </row>
    <row r="766">
      <c r="A766" s="6" t="inlineStr">
        <is>
          <t>DJ30</t>
        </is>
      </c>
      <c r="B766" s="6" t="inlineStr">
        <is>
          <t>2023-06-23</t>
        </is>
      </c>
      <c r="C766" s="6" t="inlineStr">
        <is>
          <t>DIA</t>
        </is>
      </c>
      <c r="D766" s="6" t="inlineStr">
        <is>
          <t>MSFT</t>
        </is>
      </c>
      <c r="E766" s="6" t="inlineStr">
        <is>
          <t>MSFT</t>
        </is>
      </c>
      <c r="F766" s="6" t="inlineStr">
        <is>
          <t>-</t>
        </is>
      </c>
      <c r="G766" s="7" t="n">
        <v>327.2761840820312</v>
      </c>
      <c r="H766" s="6">
        <f>P735</f>
        <v/>
      </c>
      <c r="I766" s="9">
        <f>Q735</f>
        <v/>
      </c>
      <c r="J766" s="7">
        <f>I766*G766</f>
        <v/>
      </c>
      <c r="K766" s="8">
        <f>IF($J$776=0,0,J766/$J$776)</f>
        <v/>
      </c>
      <c r="L766" s="6" t="inlineStr">
        <is>
          <t>REJECTED</t>
        </is>
      </c>
      <c r="M766" s="8" t="n">
        <v>0</v>
      </c>
      <c r="N766" s="7">
        <f>M766*$J$776-J766</f>
        <v/>
      </c>
      <c r="O766" s="9">
        <f>IF(G766=0,0,N766/G766)</f>
        <v/>
      </c>
      <c r="P766" s="6">
        <f>IF(M766&gt;0,D766,"")</f>
        <v/>
      </c>
      <c r="Q766" s="9">
        <f>I766+O766</f>
        <v/>
      </c>
      <c r="R766" s="7">
        <f>Q766*G766</f>
        <v/>
      </c>
      <c r="S766" s="8">
        <f>IF($R$776=0,0,R766/$R$776)</f>
        <v/>
      </c>
      <c r="T766" s="8" t="n">
        <v>0</v>
      </c>
      <c r="U766" s="8" t="n">
        <v>-0.01688306940281326</v>
      </c>
      <c r="V766" s="6" t="inlineStr">
        <is>
          <t>not selected</t>
        </is>
      </c>
    </row>
    <row r="767">
      <c r="A767" s="6" t="inlineStr">
        <is>
          <t>DJ30</t>
        </is>
      </c>
      <c r="B767" s="6" t="inlineStr">
        <is>
          <t>2023-06-23</t>
        </is>
      </c>
      <c r="C767" s="6" t="inlineStr">
        <is>
          <t>DIA</t>
        </is>
      </c>
      <c r="D767" s="6" t="inlineStr">
        <is>
          <t>NKE</t>
        </is>
      </c>
      <c r="E767" s="6" t="inlineStr">
        <is>
          <t>NKE</t>
        </is>
      </c>
      <c r="F767" s="6" t="inlineStr">
        <is>
          <t>-</t>
        </is>
      </c>
      <c r="G767" s="7" t="n">
        <v>102.8885040283203</v>
      </c>
      <c r="H767" s="6">
        <f>P736</f>
        <v/>
      </c>
      <c r="I767" s="9">
        <f>Q736</f>
        <v/>
      </c>
      <c r="J767" s="7">
        <f>I767*G767</f>
        <v/>
      </c>
      <c r="K767" s="8">
        <f>IF($J$776=0,0,J767/$J$776)</f>
        <v/>
      </c>
      <c r="L767" s="6" t="inlineStr">
        <is>
          <t>REJECTED</t>
        </is>
      </c>
      <c r="M767" s="8" t="n">
        <v>0</v>
      </c>
      <c r="N767" s="7">
        <f>M767*$J$776-J767</f>
        <v/>
      </c>
      <c r="O767" s="9">
        <f>IF(G767=0,0,N767/G767)</f>
        <v/>
      </c>
      <c r="P767" s="6">
        <f>IF(M767&gt;0,D767,"")</f>
        <v/>
      </c>
      <c r="Q767" s="9">
        <f>I767+O767</f>
        <v/>
      </c>
      <c r="R767" s="7">
        <f>Q767*G767</f>
        <v/>
      </c>
      <c r="S767" s="8">
        <f>IF($R$776=0,0,R767/$R$776)</f>
        <v/>
      </c>
      <c r="T767" s="8" t="n">
        <v>0</v>
      </c>
      <c r="U767" s="8" t="n">
        <v>-0.01688306940281326</v>
      </c>
      <c r="V767" s="6" t="inlineStr">
        <is>
          <t>not selected</t>
        </is>
      </c>
    </row>
    <row r="768">
      <c r="A768" s="6" t="inlineStr">
        <is>
          <t>DJ30</t>
        </is>
      </c>
      <c r="B768" s="6" t="inlineStr">
        <is>
          <t>2023-06-23</t>
        </is>
      </c>
      <c r="C768" s="6" t="inlineStr">
        <is>
          <t>DIA</t>
        </is>
      </c>
      <c r="D768" s="6" t="inlineStr">
        <is>
          <t>NVDA</t>
        </is>
      </c>
      <c r="E768" s="6" t="inlineStr">
        <is>
          <t>NVDA</t>
        </is>
      </c>
      <c r="F768" s="6" t="inlineStr">
        <is>
          <t>-</t>
        </is>
      </c>
      <c r="G768" s="7" t="n">
        <v>42.12693405151367</v>
      </c>
      <c r="H768" s="6">
        <f>P737</f>
        <v/>
      </c>
      <c r="I768" s="9">
        <f>Q737</f>
        <v/>
      </c>
      <c r="J768" s="7">
        <f>I768*G768</f>
        <v/>
      </c>
      <c r="K768" s="8">
        <f>IF($J$776=0,0,J768/$J$776)</f>
        <v/>
      </c>
      <c r="L768" s="6" t="inlineStr">
        <is>
          <t>REJECTED</t>
        </is>
      </c>
      <c r="M768" s="8" t="n">
        <v>0</v>
      </c>
      <c r="N768" s="7">
        <f>M768*$J$776-J768</f>
        <v/>
      </c>
      <c r="O768" s="9">
        <f>IF(G768=0,0,N768/G768)</f>
        <v/>
      </c>
      <c r="P768" s="6">
        <f>IF(M768&gt;0,D768,"")</f>
        <v/>
      </c>
      <c r="Q768" s="9">
        <f>I768+O768</f>
        <v/>
      </c>
      <c r="R768" s="7">
        <f>Q768*G768</f>
        <v/>
      </c>
      <c r="S768" s="8">
        <f>IF($R$776=0,0,R768/$R$776)</f>
        <v/>
      </c>
      <c r="T768" s="8" t="n">
        <v>0</v>
      </c>
      <c r="U768" s="8" t="n">
        <v>-0.01688306940281326</v>
      </c>
      <c r="V768" s="6" t="inlineStr">
        <is>
          <t>not selected</t>
        </is>
      </c>
    </row>
    <row r="769">
      <c r="A769" s="6" t="inlineStr">
        <is>
          <t>DJ30</t>
        </is>
      </c>
      <c r="B769" s="6" t="inlineStr">
        <is>
          <t>2023-06-23</t>
        </is>
      </c>
      <c r="C769" s="6" t="inlineStr">
        <is>
          <t>DIA</t>
        </is>
      </c>
      <c r="D769" s="6" t="inlineStr">
        <is>
          <t>PG</t>
        </is>
      </c>
      <c r="E769" s="6" t="inlineStr">
        <is>
          <t>PG</t>
        </is>
      </c>
      <c r="F769" s="6" t="inlineStr">
        <is>
          <t>-</t>
        </is>
      </c>
      <c r="G769" s="7" t="n">
        <v>137.3453216552734</v>
      </c>
      <c r="H769" s="6">
        <f>P738</f>
        <v/>
      </c>
      <c r="I769" s="9">
        <f>Q738</f>
        <v/>
      </c>
      <c r="J769" s="7">
        <f>I769*G769</f>
        <v/>
      </c>
      <c r="K769" s="8">
        <f>IF($J$776=0,0,J769/$J$776)</f>
        <v/>
      </c>
      <c r="L769" s="6" t="inlineStr">
        <is>
          <t>REJECTED</t>
        </is>
      </c>
      <c r="M769" s="8" t="n">
        <v>0</v>
      </c>
      <c r="N769" s="7">
        <f>M769*$J$776-J769</f>
        <v/>
      </c>
      <c r="O769" s="9">
        <f>IF(G769=0,0,N769/G769)</f>
        <v/>
      </c>
      <c r="P769" s="6">
        <f>IF(M769&gt;0,D769,"")</f>
        <v/>
      </c>
      <c r="Q769" s="9">
        <f>I769+O769</f>
        <v/>
      </c>
      <c r="R769" s="7">
        <f>Q769*G769</f>
        <v/>
      </c>
      <c r="S769" s="8">
        <f>IF($R$776=0,0,R769/$R$776)</f>
        <v/>
      </c>
      <c r="T769" s="8" t="n">
        <v>0</v>
      </c>
      <c r="U769" s="8" t="n">
        <v>-0.01688306940281326</v>
      </c>
      <c r="V769" s="6" t="inlineStr">
        <is>
          <t>not selected</t>
        </is>
      </c>
    </row>
    <row r="770">
      <c r="A770" s="6" t="inlineStr">
        <is>
          <t>DJ30</t>
        </is>
      </c>
      <c r="B770" s="6" t="inlineStr">
        <is>
          <t>2023-06-23</t>
        </is>
      </c>
      <c r="C770" s="6" t="inlineStr">
        <is>
          <t>DIA</t>
        </is>
      </c>
      <c r="D770" s="6" t="inlineStr">
        <is>
          <t>SHW</t>
        </is>
      </c>
      <c r="E770" s="6" t="inlineStr">
        <is>
          <t>SHW</t>
        </is>
      </c>
      <c r="F770" s="6" t="inlineStr">
        <is>
          <t>-</t>
        </is>
      </c>
      <c r="G770" s="7" t="n">
        <v>240.5751953125</v>
      </c>
      <c r="H770" s="6">
        <f>P739</f>
        <v/>
      </c>
      <c r="I770" s="9">
        <f>Q739</f>
        <v/>
      </c>
      <c r="J770" s="7">
        <f>I770*G770</f>
        <v/>
      </c>
      <c r="K770" s="8">
        <f>IF($J$776=0,0,J770/$J$776)</f>
        <v/>
      </c>
      <c r="L770" s="6" t="inlineStr">
        <is>
          <t>REJECTED</t>
        </is>
      </c>
      <c r="M770" s="8" t="n">
        <v>0</v>
      </c>
      <c r="N770" s="7">
        <f>M770*$J$776-J770</f>
        <v/>
      </c>
      <c r="O770" s="9">
        <f>IF(G770=0,0,N770/G770)</f>
        <v/>
      </c>
      <c r="P770" s="6">
        <f>IF(M770&gt;0,D770,"")</f>
        <v/>
      </c>
      <c r="Q770" s="9">
        <f>I770+O770</f>
        <v/>
      </c>
      <c r="R770" s="7">
        <f>Q770*G770</f>
        <v/>
      </c>
      <c r="S770" s="8">
        <f>IF($R$776=0,0,R770/$R$776)</f>
        <v/>
      </c>
      <c r="T770" s="8" t="n">
        <v>0</v>
      </c>
      <c r="U770" s="8" t="n">
        <v>-0.01688306940281326</v>
      </c>
      <c r="V770" s="6" t="inlineStr">
        <is>
          <t>not selected</t>
        </is>
      </c>
    </row>
    <row r="771">
      <c r="A771" s="6" t="inlineStr">
        <is>
          <t>DJ30</t>
        </is>
      </c>
      <c r="B771" s="6" t="inlineStr">
        <is>
          <t>2023-06-23</t>
        </is>
      </c>
      <c r="C771" s="6" t="inlineStr">
        <is>
          <t>DIA</t>
        </is>
      </c>
      <c r="D771" s="6" t="inlineStr">
        <is>
          <t>TRV</t>
        </is>
      </c>
      <c r="E771" s="6" t="inlineStr">
        <is>
          <t>TRV</t>
        </is>
      </c>
      <c r="F771" s="6" t="inlineStr">
        <is>
          <t>-</t>
        </is>
      </c>
      <c r="G771" s="7" t="n">
        <v>164.632080078125</v>
      </c>
      <c r="H771" s="6">
        <f>P740</f>
        <v/>
      </c>
      <c r="I771" s="9">
        <f>Q740</f>
        <v/>
      </c>
      <c r="J771" s="7">
        <f>I771*G771</f>
        <v/>
      </c>
      <c r="K771" s="8">
        <f>IF($J$776=0,0,J771/$J$776)</f>
        <v/>
      </c>
      <c r="L771" s="6" t="inlineStr">
        <is>
          <t>REJECTED</t>
        </is>
      </c>
      <c r="M771" s="8" t="n">
        <v>0</v>
      </c>
      <c r="N771" s="7">
        <f>M771*$J$776-J771</f>
        <v/>
      </c>
      <c r="O771" s="9">
        <f>IF(G771=0,0,N771/G771)</f>
        <v/>
      </c>
      <c r="P771" s="6">
        <f>IF(M771&gt;0,D771,"")</f>
        <v/>
      </c>
      <c r="Q771" s="9">
        <f>I771+O771</f>
        <v/>
      </c>
      <c r="R771" s="7">
        <f>Q771*G771</f>
        <v/>
      </c>
      <c r="S771" s="8">
        <f>IF($R$776=0,0,R771/$R$776)</f>
        <v/>
      </c>
      <c r="T771" s="8" t="n">
        <v>0</v>
      </c>
      <c r="U771" s="8" t="n">
        <v>-0.01688306940281326</v>
      </c>
      <c r="V771" s="6" t="inlineStr">
        <is>
          <t>not selected</t>
        </is>
      </c>
    </row>
    <row r="772">
      <c r="A772" s="6" t="inlineStr">
        <is>
          <t>DJ30</t>
        </is>
      </c>
      <c r="B772" s="6" t="inlineStr">
        <is>
          <t>2023-06-23</t>
        </is>
      </c>
      <c r="C772" s="6" t="inlineStr">
        <is>
          <t>DIA</t>
        </is>
      </c>
      <c r="D772" s="6" t="inlineStr">
        <is>
          <t>UNH</t>
        </is>
      </c>
      <c r="E772" s="6" t="inlineStr">
        <is>
          <t>UNH</t>
        </is>
      </c>
      <c r="F772" s="6" t="inlineStr">
        <is>
          <t>-</t>
        </is>
      </c>
      <c r="G772" s="7" t="n">
        <v>448.9548034667969</v>
      </c>
      <c r="H772" s="6">
        <f>P741</f>
        <v/>
      </c>
      <c r="I772" s="9">
        <f>Q741</f>
        <v/>
      </c>
      <c r="J772" s="7">
        <f>I772*G772</f>
        <v/>
      </c>
      <c r="K772" s="8">
        <f>IF($J$776=0,0,J772/$J$776)</f>
        <v/>
      </c>
      <c r="L772" s="6" t="inlineStr">
        <is>
          <t>REJECTED</t>
        </is>
      </c>
      <c r="M772" s="8" t="n">
        <v>0</v>
      </c>
      <c r="N772" s="7">
        <f>M772*$J$776-J772</f>
        <v/>
      </c>
      <c r="O772" s="9">
        <f>IF(G772=0,0,N772/G772)</f>
        <v/>
      </c>
      <c r="P772" s="6">
        <f>IF(M772&gt;0,D772,"")</f>
        <v/>
      </c>
      <c r="Q772" s="9">
        <f>I772+O772</f>
        <v/>
      </c>
      <c r="R772" s="7">
        <f>Q772*G772</f>
        <v/>
      </c>
      <c r="S772" s="8">
        <f>IF($R$776=0,0,R772/$R$776)</f>
        <v/>
      </c>
      <c r="T772" s="8" t="n">
        <v>0</v>
      </c>
      <c r="U772" s="8" t="n">
        <v>-0.01688306940281326</v>
      </c>
      <c r="V772" s="6" t="inlineStr">
        <is>
          <t>not selected</t>
        </is>
      </c>
    </row>
    <row r="773">
      <c r="A773" s="6" t="inlineStr">
        <is>
          <t>DJ30</t>
        </is>
      </c>
      <c r="B773" s="6" t="inlineStr">
        <is>
          <t>2023-06-23</t>
        </is>
      </c>
      <c r="C773" s="6" t="inlineStr">
        <is>
          <t>DIA</t>
        </is>
      </c>
      <c r="D773" s="6" t="inlineStr">
        <is>
          <t>V</t>
        </is>
      </c>
      <c r="E773" s="6" t="inlineStr">
        <is>
          <t>V</t>
        </is>
      </c>
      <c r="F773" s="6" t="inlineStr">
        <is>
          <t>-</t>
        </is>
      </c>
      <c r="G773" s="7" t="n">
        <v>224.3691101074219</v>
      </c>
      <c r="H773" s="6">
        <f>P742</f>
        <v/>
      </c>
      <c r="I773" s="9">
        <f>Q742</f>
        <v/>
      </c>
      <c r="J773" s="7">
        <f>I773*G773</f>
        <v/>
      </c>
      <c r="K773" s="8">
        <f>IF($J$776=0,0,J773/$J$776)</f>
        <v/>
      </c>
      <c r="L773" s="6" t="inlineStr">
        <is>
          <t>REJECTED</t>
        </is>
      </c>
      <c r="M773" s="8" t="n">
        <v>0</v>
      </c>
      <c r="N773" s="7">
        <f>M773*$J$776-J773</f>
        <v/>
      </c>
      <c r="O773" s="9">
        <f>IF(G773=0,0,N773/G773)</f>
        <v/>
      </c>
      <c r="P773" s="6">
        <f>IF(M773&gt;0,D773,"")</f>
        <v/>
      </c>
      <c r="Q773" s="9">
        <f>I773+O773</f>
        <v/>
      </c>
      <c r="R773" s="7">
        <f>Q773*G773</f>
        <v/>
      </c>
      <c r="S773" s="8">
        <f>IF($R$776=0,0,R773/$R$776)</f>
        <v/>
      </c>
      <c r="T773" s="8" t="n">
        <v>0</v>
      </c>
      <c r="U773" s="8" t="n">
        <v>-0.01688306940281326</v>
      </c>
      <c r="V773" s="6" t="inlineStr">
        <is>
          <t>not selected</t>
        </is>
      </c>
    </row>
    <row r="774">
      <c r="A774" s="6" t="inlineStr">
        <is>
          <t>DJ30</t>
        </is>
      </c>
      <c r="B774" s="6" t="inlineStr">
        <is>
          <t>2023-06-23</t>
        </is>
      </c>
      <c r="C774" s="6" t="inlineStr">
        <is>
          <t>DIA</t>
        </is>
      </c>
      <c r="D774" s="6" t="inlineStr">
        <is>
          <t>VZ</t>
        </is>
      </c>
      <c r="E774" s="6" t="inlineStr">
        <is>
          <t>VZ</t>
        </is>
      </c>
      <c r="F774" s="6" t="inlineStr">
        <is>
          <t>-</t>
        </is>
      </c>
      <c r="G774" s="7" t="n">
        <v>29.01256561279297</v>
      </c>
      <c r="H774" s="6">
        <f>P743</f>
        <v/>
      </c>
      <c r="I774" s="9">
        <f>Q743</f>
        <v/>
      </c>
      <c r="J774" s="7">
        <f>I774*G774</f>
        <v/>
      </c>
      <c r="K774" s="8">
        <f>IF($J$776=0,0,J774/$J$776)</f>
        <v/>
      </c>
      <c r="L774" s="6" t="inlineStr">
        <is>
          <t>REJECTED</t>
        </is>
      </c>
      <c r="M774" s="8" t="n">
        <v>0</v>
      </c>
      <c r="N774" s="7">
        <f>M774*$J$776-J774</f>
        <v/>
      </c>
      <c r="O774" s="9">
        <f>IF(G774=0,0,N774/G774)</f>
        <v/>
      </c>
      <c r="P774" s="6">
        <f>IF(M774&gt;0,D774,"")</f>
        <v/>
      </c>
      <c r="Q774" s="9">
        <f>I774+O774</f>
        <v/>
      </c>
      <c r="R774" s="7">
        <f>Q774*G774</f>
        <v/>
      </c>
      <c r="S774" s="8">
        <f>IF($R$776=0,0,R774/$R$776)</f>
        <v/>
      </c>
      <c r="T774" s="8" t="n">
        <v>0</v>
      </c>
      <c r="U774" s="8" t="n">
        <v>-0.01688306940281326</v>
      </c>
      <c r="V774" s="6" t="inlineStr">
        <is>
          <t>not selected</t>
        </is>
      </c>
    </row>
    <row r="775">
      <c r="A775" s="6" t="inlineStr">
        <is>
          <t>DJ30</t>
        </is>
      </c>
      <c r="B775" s="6" t="inlineStr">
        <is>
          <t>2023-06-23</t>
        </is>
      </c>
      <c r="C775" s="6" t="inlineStr">
        <is>
          <t>DIA</t>
        </is>
      </c>
      <c r="D775" s="6" t="inlineStr">
        <is>
          <t>WMT</t>
        </is>
      </c>
      <c r="E775" s="6" t="inlineStr">
        <is>
          <t>WMT</t>
        </is>
      </c>
      <c r="F775" s="6" t="inlineStr">
        <is>
          <t>-</t>
        </is>
      </c>
      <c r="G775" s="7" t="n">
        <v>50.15519714355469</v>
      </c>
      <c r="H775" s="6">
        <f>P744</f>
        <v/>
      </c>
      <c r="I775" s="9">
        <f>Q744</f>
        <v/>
      </c>
      <c r="J775" s="7">
        <f>I775*G775</f>
        <v/>
      </c>
      <c r="K775" s="8">
        <f>IF($J$776=0,0,J775/$J$776)</f>
        <v/>
      </c>
      <c r="L775" s="6" t="inlineStr">
        <is>
          <t>REJECTED</t>
        </is>
      </c>
      <c r="M775" s="8" t="n">
        <v>0</v>
      </c>
      <c r="N775" s="7">
        <f>M775*$J$776-J775</f>
        <v/>
      </c>
      <c r="O775" s="9">
        <f>IF(G775=0,0,N775/G775)</f>
        <v/>
      </c>
      <c r="P775" s="6">
        <f>IF(M775&gt;0,D775,"")</f>
        <v/>
      </c>
      <c r="Q775" s="9">
        <f>I775+O775</f>
        <v/>
      </c>
      <c r="R775" s="7">
        <f>Q775*G775</f>
        <v/>
      </c>
      <c r="S775" s="8">
        <f>IF($R$776=0,0,R775/$R$776)</f>
        <v/>
      </c>
      <c r="T775" s="8" t="n">
        <v>0</v>
      </c>
      <c r="U775" s="8" t="n">
        <v>-0.01688306940281326</v>
      </c>
      <c r="V775" s="6" t="inlineStr">
        <is>
          <t>not selected</t>
        </is>
      </c>
    </row>
    <row r="776">
      <c r="A776" s="10" t="inlineStr">
        <is>
          <t>DJ30</t>
        </is>
      </c>
      <c r="B776" s="10" t="inlineStr">
        <is>
          <t>2023-06-23</t>
        </is>
      </c>
      <c r="C776" s="10" t="inlineStr">
        <is>
          <t>DIA</t>
        </is>
      </c>
      <c r="D776" s="10" t="inlineStr">
        <is>
          <t>Tot Portfolio</t>
        </is>
      </c>
      <c r="E776" s="10" t="inlineStr"/>
      <c r="F776" s="10" t="inlineStr"/>
      <c r="G776" s="11" t="inlineStr"/>
      <c r="H776" s="10" t="inlineStr"/>
      <c r="I776" s="12" t="inlineStr"/>
      <c r="J776" s="11">
        <f>SUM(J746:J775)</f>
        <v/>
      </c>
      <c r="K776" s="13">
        <f>SUM(K746:K775)</f>
        <v/>
      </c>
      <c r="L776" s="10" t="inlineStr">
        <is>
          <t>TOTAL</t>
        </is>
      </c>
      <c r="M776" s="13">
        <f>SUM(M746:M775)</f>
        <v/>
      </c>
      <c r="N776" s="11">
        <f>SUM(N746:N775)</f>
        <v/>
      </c>
      <c r="O776" s="12">
        <f>SUM(O746:O775)</f>
        <v/>
      </c>
      <c r="P776" s="10" t="inlineStr"/>
      <c r="Q776" s="12" t="inlineStr"/>
      <c r="R776" s="11">
        <f>SUM(R746:R775)</f>
        <v/>
      </c>
      <c r="S776" s="13">
        <f>SUM(S746:S775)</f>
        <v/>
      </c>
      <c r="T776" s="13" t="n">
        <v>0</v>
      </c>
      <c r="U776" s="13" t="n">
        <v>-0.01688306940281326</v>
      </c>
      <c r="V776" s="10" t="inlineStr"/>
    </row>
    <row r="777">
      <c r="A777" s="6" t="inlineStr">
        <is>
          <t>DJ30</t>
        </is>
      </c>
      <c r="B777" s="6" t="inlineStr">
        <is>
          <t>2023-06-30</t>
        </is>
      </c>
      <c r="C777" s="6" t="inlineStr">
        <is>
          <t>DIA</t>
        </is>
      </c>
      <c r="D777" s="6" t="inlineStr">
        <is>
          <t>AAPL</t>
        </is>
      </c>
      <c r="E777" s="6" t="inlineStr">
        <is>
          <t>AAPL</t>
        </is>
      </c>
      <c r="F777" s="6" t="inlineStr">
        <is>
          <t>-</t>
        </is>
      </c>
      <c r="G777" s="7" t="n">
        <v>191.2882995605469</v>
      </c>
      <c r="H777" s="6">
        <f>P746</f>
        <v/>
      </c>
      <c r="I777" s="9">
        <f>Q746</f>
        <v/>
      </c>
      <c r="J777" s="7">
        <f>I777*G777</f>
        <v/>
      </c>
      <c r="K777" s="8">
        <f>IF($J$807=0,0,J777/$J$807)</f>
        <v/>
      </c>
      <c r="L777" s="6" t="inlineStr">
        <is>
          <t>REJECTED</t>
        </is>
      </c>
      <c r="M777" s="8" t="n">
        <v>0</v>
      </c>
      <c r="N777" s="7">
        <f>M777*$J$807-J777</f>
        <v/>
      </c>
      <c r="O777" s="9">
        <f>IF(G777=0,0,N777/G777)</f>
        <v/>
      </c>
      <c r="P777" s="6">
        <f>IF(M777&gt;0,D777,"")</f>
        <v/>
      </c>
      <c r="Q777" s="9">
        <f>I777+O777</f>
        <v/>
      </c>
      <c r="R777" s="7">
        <f>Q777*G777</f>
        <v/>
      </c>
      <c r="S777" s="8">
        <f>IF($R$807=0,0,R777/$R$807)</f>
        <v/>
      </c>
      <c r="T777" s="8" t="n">
        <v>0</v>
      </c>
      <c r="U777" s="8" t="n">
        <v>0.01984262099500134</v>
      </c>
      <c r="V777" s="6" t="inlineStr">
        <is>
          <t>not selected</t>
        </is>
      </c>
    </row>
    <row r="778">
      <c r="A778" s="6" t="inlineStr">
        <is>
          <t>DJ30</t>
        </is>
      </c>
      <c r="B778" s="6" t="inlineStr">
        <is>
          <t>2023-06-30</t>
        </is>
      </c>
      <c r="C778" s="6" t="inlineStr">
        <is>
          <t>DIA</t>
        </is>
      </c>
      <c r="D778" s="6" t="inlineStr">
        <is>
          <t>AMGN</t>
        </is>
      </c>
      <c r="E778" s="6" t="inlineStr">
        <is>
          <t>AMGN</t>
        </is>
      </c>
      <c r="F778" s="6" t="inlineStr">
        <is>
          <t>-</t>
        </is>
      </c>
      <c r="G778" s="7" t="n">
        <v>202.4792633056641</v>
      </c>
      <c r="H778" s="6">
        <f>P747</f>
        <v/>
      </c>
      <c r="I778" s="9">
        <f>Q747</f>
        <v/>
      </c>
      <c r="J778" s="7">
        <f>I778*G778</f>
        <v/>
      </c>
      <c r="K778" s="8">
        <f>IF($J$807=0,0,J778/$J$807)</f>
        <v/>
      </c>
      <c r="L778" s="6" t="inlineStr">
        <is>
          <t>REJECTED</t>
        </is>
      </c>
      <c r="M778" s="8" t="n">
        <v>0</v>
      </c>
      <c r="N778" s="7">
        <f>M778*$J$807-J778</f>
        <v/>
      </c>
      <c r="O778" s="9">
        <f>IF(G778=0,0,N778/G778)</f>
        <v/>
      </c>
      <c r="P778" s="6">
        <f>IF(M778&gt;0,D778,"")</f>
        <v/>
      </c>
      <c r="Q778" s="9">
        <f>I778+O778</f>
        <v/>
      </c>
      <c r="R778" s="7">
        <f>Q778*G778</f>
        <v/>
      </c>
      <c r="S778" s="8">
        <f>IF($R$807=0,0,R778/$R$807)</f>
        <v/>
      </c>
      <c r="T778" s="8" t="n">
        <v>0</v>
      </c>
      <c r="U778" s="8" t="n">
        <v>0.01984262099500134</v>
      </c>
      <c r="V778" s="6" t="inlineStr">
        <is>
          <t>not selected</t>
        </is>
      </c>
    </row>
    <row r="779">
      <c r="A779" s="6" t="inlineStr">
        <is>
          <t>DJ30</t>
        </is>
      </c>
      <c r="B779" s="6" t="inlineStr">
        <is>
          <t>2023-06-30</t>
        </is>
      </c>
      <c r="C779" s="6" t="inlineStr">
        <is>
          <t>DIA</t>
        </is>
      </c>
      <c r="D779" s="6" t="inlineStr">
        <is>
          <t>AMZN</t>
        </is>
      </c>
      <c r="E779" s="6" t="inlineStr">
        <is>
          <t>AMZN</t>
        </is>
      </c>
      <c r="F779" s="6" t="inlineStr">
        <is>
          <t>-</t>
        </is>
      </c>
      <c r="G779" s="7" t="n">
        <v>130.3600006103516</v>
      </c>
      <c r="H779" s="6">
        <f>P748</f>
        <v/>
      </c>
      <c r="I779" s="9">
        <f>Q748</f>
        <v/>
      </c>
      <c r="J779" s="7">
        <f>I779*G779</f>
        <v/>
      </c>
      <c r="K779" s="8">
        <f>IF($J$807=0,0,J779/$J$807)</f>
        <v/>
      </c>
      <c r="L779" s="6" t="inlineStr">
        <is>
          <t>REJECTED</t>
        </is>
      </c>
      <c r="M779" s="8" t="n">
        <v>0</v>
      </c>
      <c r="N779" s="7">
        <f>M779*$J$807-J779</f>
        <v/>
      </c>
      <c r="O779" s="9">
        <f>IF(G779=0,0,N779/G779)</f>
        <v/>
      </c>
      <c r="P779" s="6">
        <f>IF(M779&gt;0,D779,"")</f>
        <v/>
      </c>
      <c r="Q779" s="9">
        <f>I779+O779</f>
        <v/>
      </c>
      <c r="R779" s="7">
        <f>Q779*G779</f>
        <v/>
      </c>
      <c r="S779" s="8">
        <f>IF($R$807=0,0,R779/$R$807)</f>
        <v/>
      </c>
      <c r="T779" s="8" t="n">
        <v>0</v>
      </c>
      <c r="U779" s="8" t="n">
        <v>0.01984262099500134</v>
      </c>
      <c r="V779" s="6" t="inlineStr">
        <is>
          <t>not selected</t>
        </is>
      </c>
    </row>
    <row r="780">
      <c r="A780" s="6" t="inlineStr">
        <is>
          <t>DJ30</t>
        </is>
      </c>
      <c r="B780" s="6" t="inlineStr">
        <is>
          <t>2023-06-30</t>
        </is>
      </c>
      <c r="C780" s="6" t="inlineStr">
        <is>
          <t>DIA</t>
        </is>
      </c>
      <c r="D780" s="6" t="inlineStr">
        <is>
          <t>AXP</t>
        </is>
      </c>
      <c r="E780" s="6" t="inlineStr">
        <is>
          <t>AXP</t>
        </is>
      </c>
      <c r="F780" s="6" t="inlineStr">
        <is>
          <t>-</t>
        </is>
      </c>
      <c r="G780" s="7" t="n">
        <v>168.1215972900391</v>
      </c>
      <c r="H780" s="6">
        <f>P749</f>
        <v/>
      </c>
      <c r="I780" s="9">
        <f>Q749</f>
        <v/>
      </c>
      <c r="J780" s="7">
        <f>I780*G780</f>
        <v/>
      </c>
      <c r="K780" s="8">
        <f>IF($J$807=0,0,J780/$J$807)</f>
        <v/>
      </c>
      <c r="L780" s="6" t="inlineStr">
        <is>
          <t>REJECTED</t>
        </is>
      </c>
      <c r="M780" s="8" t="n">
        <v>0</v>
      </c>
      <c r="N780" s="7">
        <f>M780*$J$807-J780</f>
        <v/>
      </c>
      <c r="O780" s="9">
        <f>IF(G780=0,0,N780/G780)</f>
        <v/>
      </c>
      <c r="P780" s="6">
        <f>IF(M780&gt;0,D780,"")</f>
        <v/>
      </c>
      <c r="Q780" s="9">
        <f>I780+O780</f>
        <v/>
      </c>
      <c r="R780" s="7">
        <f>Q780*G780</f>
        <v/>
      </c>
      <c r="S780" s="8">
        <f>IF($R$807=0,0,R780/$R$807)</f>
        <v/>
      </c>
      <c r="T780" s="8" t="n">
        <v>0</v>
      </c>
      <c r="U780" s="8" t="n">
        <v>0.01984262099500134</v>
      </c>
      <c r="V780" s="6" t="inlineStr">
        <is>
          <t>not selected</t>
        </is>
      </c>
    </row>
    <row r="781">
      <c r="A781" s="6" t="inlineStr">
        <is>
          <t>DJ30</t>
        </is>
      </c>
      <c r="B781" s="6" t="inlineStr">
        <is>
          <t>2023-06-30</t>
        </is>
      </c>
      <c r="C781" s="6" t="inlineStr">
        <is>
          <t>DIA</t>
        </is>
      </c>
      <c r="D781" s="6" t="inlineStr">
        <is>
          <t>BA</t>
        </is>
      </c>
      <c r="E781" s="6" t="inlineStr">
        <is>
          <t>BA</t>
        </is>
      </c>
      <c r="F781" s="6" t="inlineStr">
        <is>
          <t>-</t>
        </is>
      </c>
      <c r="G781" s="7" t="n">
        <v>211.1600036621093</v>
      </c>
      <c r="H781" s="6">
        <f>P750</f>
        <v/>
      </c>
      <c r="I781" s="9">
        <f>Q750</f>
        <v/>
      </c>
      <c r="J781" s="7">
        <f>I781*G781</f>
        <v/>
      </c>
      <c r="K781" s="8">
        <f>IF($J$807=0,0,J781/$J$807)</f>
        <v/>
      </c>
      <c r="L781" s="6" t="inlineStr">
        <is>
          <t>REJECTED</t>
        </is>
      </c>
      <c r="M781" s="8" t="n">
        <v>0</v>
      </c>
      <c r="N781" s="7">
        <f>M781*$J$807-J781</f>
        <v/>
      </c>
      <c r="O781" s="9">
        <f>IF(G781=0,0,N781/G781)</f>
        <v/>
      </c>
      <c r="P781" s="6">
        <f>IF(M781&gt;0,D781,"")</f>
        <v/>
      </c>
      <c r="Q781" s="9">
        <f>I781+O781</f>
        <v/>
      </c>
      <c r="R781" s="7">
        <f>Q781*G781</f>
        <v/>
      </c>
      <c r="S781" s="8">
        <f>IF($R$807=0,0,R781/$R$807)</f>
        <v/>
      </c>
      <c r="T781" s="8" t="n">
        <v>0</v>
      </c>
      <c r="U781" s="8" t="n">
        <v>0.01984262099500134</v>
      </c>
      <c r="V781" s="6" t="inlineStr">
        <is>
          <t>not selected</t>
        </is>
      </c>
    </row>
    <row r="782">
      <c r="A782" s="6" t="inlineStr">
        <is>
          <t>DJ30</t>
        </is>
      </c>
      <c r="B782" s="6" t="inlineStr">
        <is>
          <t>2023-06-30</t>
        </is>
      </c>
      <c r="C782" s="6" t="inlineStr">
        <is>
          <t>DIA</t>
        </is>
      </c>
      <c r="D782" s="6" t="inlineStr">
        <is>
          <t>CAT</t>
        </is>
      </c>
      <c r="E782" s="6" t="inlineStr">
        <is>
          <t>CAT</t>
        </is>
      </c>
      <c r="F782" s="6" t="inlineStr">
        <is>
          <t>-</t>
        </is>
      </c>
      <c r="G782" s="7" t="n">
        <v>235.168472290039</v>
      </c>
      <c r="H782" s="6">
        <f>P751</f>
        <v/>
      </c>
      <c r="I782" s="9">
        <f>Q751</f>
        <v/>
      </c>
      <c r="J782" s="7">
        <f>I782*G782</f>
        <v/>
      </c>
      <c r="K782" s="8">
        <f>IF($J$807=0,0,J782/$J$807)</f>
        <v/>
      </c>
      <c r="L782" s="6" t="inlineStr">
        <is>
          <t>REJECTED</t>
        </is>
      </c>
      <c r="M782" s="8" t="n">
        <v>0</v>
      </c>
      <c r="N782" s="7">
        <f>M782*$J$807-J782</f>
        <v/>
      </c>
      <c r="O782" s="9">
        <f>IF(G782=0,0,N782/G782)</f>
        <v/>
      </c>
      <c r="P782" s="6">
        <f>IF(M782&gt;0,D782,"")</f>
        <v/>
      </c>
      <c r="Q782" s="9">
        <f>I782+O782</f>
        <v/>
      </c>
      <c r="R782" s="7">
        <f>Q782*G782</f>
        <v/>
      </c>
      <c r="S782" s="8">
        <f>IF($R$807=0,0,R782/$R$807)</f>
        <v/>
      </c>
      <c r="T782" s="8" t="n">
        <v>0</v>
      </c>
      <c r="U782" s="8" t="n">
        <v>0.01984262099500134</v>
      </c>
      <c r="V782" s="6" t="inlineStr">
        <is>
          <t>not selected</t>
        </is>
      </c>
    </row>
    <row r="783">
      <c r="A783" s="6" t="inlineStr">
        <is>
          <t>DJ30</t>
        </is>
      </c>
      <c r="B783" s="6" t="inlineStr">
        <is>
          <t>2023-06-30</t>
        </is>
      </c>
      <c r="C783" s="6" t="inlineStr">
        <is>
          <t>DIA</t>
        </is>
      </c>
      <c r="D783" s="6" t="inlineStr">
        <is>
          <t>CRM</t>
        </is>
      </c>
      <c r="E783" s="6" t="inlineStr">
        <is>
          <t>CRM</t>
        </is>
      </c>
      <c r="F783" s="6" t="inlineStr">
        <is>
          <t>-</t>
        </is>
      </c>
      <c r="G783" s="7" t="n">
        <v>207.6672515869141</v>
      </c>
      <c r="H783" s="6">
        <f>P752</f>
        <v/>
      </c>
      <c r="I783" s="9">
        <f>Q752</f>
        <v/>
      </c>
      <c r="J783" s="7">
        <f>I783*G783</f>
        <v/>
      </c>
      <c r="K783" s="8">
        <f>IF($J$807=0,0,J783/$J$807)</f>
        <v/>
      </c>
      <c r="L783" s="6" t="inlineStr">
        <is>
          <t>REJECTED</t>
        </is>
      </c>
      <c r="M783" s="8" t="n">
        <v>0</v>
      </c>
      <c r="N783" s="7">
        <f>M783*$J$807-J783</f>
        <v/>
      </c>
      <c r="O783" s="9">
        <f>IF(G783=0,0,N783/G783)</f>
        <v/>
      </c>
      <c r="P783" s="6">
        <f>IF(M783&gt;0,D783,"")</f>
        <v/>
      </c>
      <c r="Q783" s="9">
        <f>I783+O783</f>
        <v/>
      </c>
      <c r="R783" s="7">
        <f>Q783*G783</f>
        <v/>
      </c>
      <c r="S783" s="8">
        <f>IF($R$807=0,0,R783/$R$807)</f>
        <v/>
      </c>
      <c r="T783" s="8" t="n">
        <v>0</v>
      </c>
      <c r="U783" s="8" t="n">
        <v>0.01984262099500134</v>
      </c>
      <c r="V783" s="6" t="inlineStr">
        <is>
          <t>not selected</t>
        </is>
      </c>
    </row>
    <row r="784">
      <c r="A784" s="6" t="inlineStr">
        <is>
          <t>DJ30</t>
        </is>
      </c>
      <c r="B784" s="6" t="inlineStr">
        <is>
          <t>2023-06-30</t>
        </is>
      </c>
      <c r="C784" s="6" t="inlineStr">
        <is>
          <t>DIA</t>
        </is>
      </c>
      <c r="D784" s="6" t="inlineStr">
        <is>
          <t>CSCO</t>
        </is>
      </c>
      <c r="E784" s="6" t="inlineStr">
        <is>
          <t>CSCO</t>
        </is>
      </c>
      <c r="F784" s="6" t="inlineStr">
        <is>
          <t>-</t>
        </is>
      </c>
      <c r="G784" s="7" t="n">
        <v>47.61970138549805</v>
      </c>
      <c r="H784" s="6">
        <f>P753</f>
        <v/>
      </c>
      <c r="I784" s="9">
        <f>Q753</f>
        <v/>
      </c>
      <c r="J784" s="7">
        <f>I784*G784</f>
        <v/>
      </c>
      <c r="K784" s="8">
        <f>IF($J$807=0,0,J784/$J$807)</f>
        <v/>
      </c>
      <c r="L784" s="6" t="inlineStr">
        <is>
          <t>REJECTED</t>
        </is>
      </c>
      <c r="M784" s="8" t="n">
        <v>0</v>
      </c>
      <c r="N784" s="7">
        <f>M784*$J$807-J784</f>
        <v/>
      </c>
      <c r="O784" s="9">
        <f>IF(G784=0,0,N784/G784)</f>
        <v/>
      </c>
      <c r="P784" s="6">
        <f>IF(M784&gt;0,D784,"")</f>
        <v/>
      </c>
      <c r="Q784" s="9">
        <f>I784+O784</f>
        <v/>
      </c>
      <c r="R784" s="7">
        <f>Q784*G784</f>
        <v/>
      </c>
      <c r="S784" s="8">
        <f>IF($R$807=0,0,R784/$R$807)</f>
        <v/>
      </c>
      <c r="T784" s="8" t="n">
        <v>0</v>
      </c>
      <c r="U784" s="8" t="n">
        <v>0.01984262099500134</v>
      </c>
      <c r="V784" s="6" t="inlineStr">
        <is>
          <t>not selected</t>
        </is>
      </c>
    </row>
    <row r="785">
      <c r="A785" s="6" t="inlineStr">
        <is>
          <t>DJ30</t>
        </is>
      </c>
      <c r="B785" s="6" t="inlineStr">
        <is>
          <t>2023-06-30</t>
        </is>
      </c>
      <c r="C785" s="6" t="inlineStr">
        <is>
          <t>DIA</t>
        </is>
      </c>
      <c r="D785" s="6" t="inlineStr">
        <is>
          <t>CVX</t>
        </is>
      </c>
      <c r="E785" s="6" t="inlineStr">
        <is>
          <t>CVX</t>
        </is>
      </c>
      <c r="F785" s="6" t="inlineStr">
        <is>
          <t>-</t>
        </is>
      </c>
      <c r="G785" s="7" t="n">
        <v>138.6751861572266</v>
      </c>
      <c r="H785" s="6">
        <f>P754</f>
        <v/>
      </c>
      <c r="I785" s="9">
        <f>Q754</f>
        <v/>
      </c>
      <c r="J785" s="7">
        <f>I785*G785</f>
        <v/>
      </c>
      <c r="K785" s="8">
        <f>IF($J$807=0,0,J785/$J$807)</f>
        <v/>
      </c>
      <c r="L785" s="6" t="inlineStr">
        <is>
          <t>REJECTED</t>
        </is>
      </c>
      <c r="M785" s="8" t="n">
        <v>0</v>
      </c>
      <c r="N785" s="7">
        <f>M785*$J$807-J785</f>
        <v/>
      </c>
      <c r="O785" s="9">
        <f>IF(G785=0,0,N785/G785)</f>
        <v/>
      </c>
      <c r="P785" s="6">
        <f>IF(M785&gt;0,D785,"")</f>
        <v/>
      </c>
      <c r="Q785" s="9">
        <f>I785+O785</f>
        <v/>
      </c>
      <c r="R785" s="7">
        <f>Q785*G785</f>
        <v/>
      </c>
      <c r="S785" s="8">
        <f>IF($R$807=0,0,R785/$R$807)</f>
        <v/>
      </c>
      <c r="T785" s="8" t="n">
        <v>0</v>
      </c>
      <c r="U785" s="8" t="n">
        <v>0.01984262099500134</v>
      </c>
      <c r="V785" s="6" t="inlineStr">
        <is>
          <t>not selected</t>
        </is>
      </c>
    </row>
    <row r="786">
      <c r="A786" s="6" t="inlineStr">
        <is>
          <t>DJ30</t>
        </is>
      </c>
      <c r="B786" s="6" t="inlineStr">
        <is>
          <t>2023-06-30</t>
        </is>
      </c>
      <c r="C786" s="6" t="inlineStr">
        <is>
          <t>DIA</t>
        </is>
      </c>
      <c r="D786" s="6" t="inlineStr">
        <is>
          <t>DIS</t>
        </is>
      </c>
      <c r="E786" s="6" t="inlineStr">
        <is>
          <t>DIS</t>
        </is>
      </c>
      <c r="F786" s="6" t="inlineStr">
        <is>
          <t>-</t>
        </is>
      </c>
      <c r="G786" s="7" t="n">
        <v>87.22587585449219</v>
      </c>
      <c r="H786" s="6">
        <f>P755</f>
        <v/>
      </c>
      <c r="I786" s="9">
        <f>Q755</f>
        <v/>
      </c>
      <c r="J786" s="7">
        <f>I786*G786</f>
        <v/>
      </c>
      <c r="K786" s="8">
        <f>IF($J$807=0,0,J786/$J$807)</f>
        <v/>
      </c>
      <c r="L786" s="6" t="inlineStr">
        <is>
          <t>REJECTED</t>
        </is>
      </c>
      <c r="M786" s="8" t="n">
        <v>0</v>
      </c>
      <c r="N786" s="7">
        <f>M786*$J$807-J786</f>
        <v/>
      </c>
      <c r="O786" s="9">
        <f>IF(G786=0,0,N786/G786)</f>
        <v/>
      </c>
      <c r="P786" s="6">
        <f>IF(M786&gt;0,D786,"")</f>
        <v/>
      </c>
      <c r="Q786" s="9">
        <f>I786+O786</f>
        <v/>
      </c>
      <c r="R786" s="7">
        <f>Q786*G786</f>
        <v/>
      </c>
      <c r="S786" s="8">
        <f>IF($R$807=0,0,R786/$R$807)</f>
        <v/>
      </c>
      <c r="T786" s="8" t="n">
        <v>0</v>
      </c>
      <c r="U786" s="8" t="n">
        <v>0.01984262099500134</v>
      </c>
      <c r="V786" s="6" t="inlineStr">
        <is>
          <t>not selected</t>
        </is>
      </c>
    </row>
    <row r="787">
      <c r="A787" s="6" t="inlineStr">
        <is>
          <t>DJ30</t>
        </is>
      </c>
      <c r="B787" s="6" t="inlineStr">
        <is>
          <t>2023-06-30</t>
        </is>
      </c>
      <c r="C787" s="6" t="inlineStr">
        <is>
          <t>DIA</t>
        </is>
      </c>
      <c r="D787" s="6" t="inlineStr">
        <is>
          <t>GS</t>
        </is>
      </c>
      <c r="E787" s="6" t="inlineStr">
        <is>
          <t>GS</t>
        </is>
      </c>
      <c r="F787" s="6" t="inlineStr">
        <is>
          <t>-</t>
        </is>
      </c>
      <c r="G787" s="7" t="n">
        <v>300.6542663574219</v>
      </c>
      <c r="H787" s="6">
        <f>P756</f>
        <v/>
      </c>
      <c r="I787" s="9">
        <f>Q756</f>
        <v/>
      </c>
      <c r="J787" s="7">
        <f>I787*G787</f>
        <v/>
      </c>
      <c r="K787" s="8">
        <f>IF($J$807=0,0,J787/$J$807)</f>
        <v/>
      </c>
      <c r="L787" s="6" t="inlineStr">
        <is>
          <t>REJECTED</t>
        </is>
      </c>
      <c r="M787" s="8" t="n">
        <v>0</v>
      </c>
      <c r="N787" s="7">
        <f>M787*$J$807-J787</f>
        <v/>
      </c>
      <c r="O787" s="9">
        <f>IF(G787=0,0,N787/G787)</f>
        <v/>
      </c>
      <c r="P787" s="6">
        <f>IF(M787&gt;0,D787,"")</f>
        <v/>
      </c>
      <c r="Q787" s="9">
        <f>I787+O787</f>
        <v/>
      </c>
      <c r="R787" s="7">
        <f>Q787*G787</f>
        <v/>
      </c>
      <c r="S787" s="8">
        <f>IF($R$807=0,0,R787/$R$807)</f>
        <v/>
      </c>
      <c r="T787" s="8" t="n">
        <v>0</v>
      </c>
      <c r="U787" s="8" t="n">
        <v>0.01984262099500134</v>
      </c>
      <c r="V787" s="6" t="inlineStr">
        <is>
          <t>not selected</t>
        </is>
      </c>
    </row>
    <row r="788">
      <c r="A788" s="6" t="inlineStr">
        <is>
          <t>DJ30</t>
        </is>
      </c>
      <c r="B788" s="6" t="inlineStr">
        <is>
          <t>2023-06-30</t>
        </is>
      </c>
      <c r="C788" s="6" t="inlineStr">
        <is>
          <t>DIA</t>
        </is>
      </c>
      <c r="D788" s="6" t="inlineStr">
        <is>
          <t>HD</t>
        </is>
      </c>
      <c r="E788" s="6" t="inlineStr">
        <is>
          <t>HD</t>
        </is>
      </c>
      <c r="F788" s="6" t="inlineStr">
        <is>
          <t>-</t>
        </is>
      </c>
      <c r="G788" s="7" t="n">
        <v>287.9010620117188</v>
      </c>
      <c r="H788" s="6">
        <f>P757</f>
        <v/>
      </c>
      <c r="I788" s="9">
        <f>Q757</f>
        <v/>
      </c>
      <c r="J788" s="7">
        <f>I788*G788</f>
        <v/>
      </c>
      <c r="K788" s="8">
        <f>IF($J$807=0,0,J788/$J$807)</f>
        <v/>
      </c>
      <c r="L788" s="6" t="inlineStr">
        <is>
          <t>REJECTED</t>
        </is>
      </c>
      <c r="M788" s="8" t="n">
        <v>0</v>
      </c>
      <c r="N788" s="7">
        <f>M788*$J$807-J788</f>
        <v/>
      </c>
      <c r="O788" s="9">
        <f>IF(G788=0,0,N788/G788)</f>
        <v/>
      </c>
      <c r="P788" s="6">
        <f>IF(M788&gt;0,D788,"")</f>
        <v/>
      </c>
      <c r="Q788" s="9">
        <f>I788+O788</f>
        <v/>
      </c>
      <c r="R788" s="7">
        <f>Q788*G788</f>
        <v/>
      </c>
      <c r="S788" s="8">
        <f>IF($R$807=0,0,R788/$R$807)</f>
        <v/>
      </c>
      <c r="T788" s="8" t="n">
        <v>0</v>
      </c>
      <c r="U788" s="8" t="n">
        <v>0.01984262099500134</v>
      </c>
      <c r="V788" s="6" t="inlineStr">
        <is>
          <t>not selected</t>
        </is>
      </c>
    </row>
    <row r="789">
      <c r="A789" s="6" t="inlineStr">
        <is>
          <t>DJ30</t>
        </is>
      </c>
      <c r="B789" s="6" t="inlineStr">
        <is>
          <t>2023-06-30</t>
        </is>
      </c>
      <c r="C789" s="6" t="inlineStr">
        <is>
          <t>DIA</t>
        </is>
      </c>
      <c r="D789" s="6" t="inlineStr">
        <is>
          <t>HON</t>
        </is>
      </c>
      <c r="E789" s="6" t="inlineStr">
        <is>
          <t>HON</t>
        </is>
      </c>
      <c r="F789" s="6" t="inlineStr">
        <is>
          <t>-</t>
        </is>
      </c>
      <c r="G789" s="7" t="n">
        <v>183.3568115234375</v>
      </c>
      <c r="H789" s="6">
        <f>P758</f>
        <v/>
      </c>
      <c r="I789" s="9">
        <f>Q758</f>
        <v/>
      </c>
      <c r="J789" s="7">
        <f>I789*G789</f>
        <v/>
      </c>
      <c r="K789" s="8">
        <f>IF($J$807=0,0,J789/$J$807)</f>
        <v/>
      </c>
      <c r="L789" s="6" t="inlineStr">
        <is>
          <t>REJECTED</t>
        </is>
      </c>
      <c r="M789" s="8" t="n">
        <v>0</v>
      </c>
      <c r="N789" s="7">
        <f>M789*$J$807-J789</f>
        <v/>
      </c>
      <c r="O789" s="9">
        <f>IF(G789=0,0,N789/G789)</f>
        <v/>
      </c>
      <c r="P789" s="6">
        <f>IF(M789&gt;0,D789,"")</f>
        <v/>
      </c>
      <c r="Q789" s="9">
        <f>I789+O789</f>
        <v/>
      </c>
      <c r="R789" s="7">
        <f>Q789*G789</f>
        <v/>
      </c>
      <c r="S789" s="8">
        <f>IF($R$807=0,0,R789/$R$807)</f>
        <v/>
      </c>
      <c r="T789" s="8" t="n">
        <v>0</v>
      </c>
      <c r="U789" s="8" t="n">
        <v>0.01984262099500134</v>
      </c>
      <c r="V789" s="6" t="inlineStr">
        <is>
          <t>not selected</t>
        </is>
      </c>
    </row>
    <row r="790">
      <c r="A790" s="6" t="inlineStr">
        <is>
          <t>DJ30</t>
        </is>
      </c>
      <c r="B790" s="6" t="inlineStr">
        <is>
          <t>2023-06-30</t>
        </is>
      </c>
      <c r="C790" s="6" t="inlineStr">
        <is>
          <t>DIA</t>
        </is>
      </c>
      <c r="D790" s="6" t="inlineStr">
        <is>
          <t>IBM</t>
        </is>
      </c>
      <c r="E790" s="6" t="inlineStr">
        <is>
          <t>IBM</t>
        </is>
      </c>
      <c r="F790" s="6" t="inlineStr">
        <is>
          <t>-</t>
        </is>
      </c>
      <c r="G790" s="7" t="n">
        <v>121.4693450927734</v>
      </c>
      <c r="H790" s="6">
        <f>P759</f>
        <v/>
      </c>
      <c r="I790" s="9">
        <f>Q759</f>
        <v/>
      </c>
      <c r="J790" s="7">
        <f>I790*G790</f>
        <v/>
      </c>
      <c r="K790" s="8">
        <f>IF($J$807=0,0,J790/$J$807)</f>
        <v/>
      </c>
      <c r="L790" s="6" t="inlineStr">
        <is>
          <t>REJECTED</t>
        </is>
      </c>
      <c r="M790" s="8" t="n">
        <v>0</v>
      </c>
      <c r="N790" s="7">
        <f>M790*$J$807-J790</f>
        <v/>
      </c>
      <c r="O790" s="9">
        <f>IF(G790=0,0,N790/G790)</f>
        <v/>
      </c>
      <c r="P790" s="6">
        <f>IF(M790&gt;0,D790,"")</f>
        <v/>
      </c>
      <c r="Q790" s="9">
        <f>I790+O790</f>
        <v/>
      </c>
      <c r="R790" s="7">
        <f>Q790*G790</f>
        <v/>
      </c>
      <c r="S790" s="8">
        <f>IF($R$807=0,0,R790/$R$807)</f>
        <v/>
      </c>
      <c r="T790" s="8" t="n">
        <v>0</v>
      </c>
      <c r="U790" s="8" t="n">
        <v>0.01984262099500134</v>
      </c>
      <c r="V790" s="6" t="inlineStr">
        <is>
          <t>not selected</t>
        </is>
      </c>
    </row>
    <row r="791">
      <c r="A791" s="6" t="inlineStr">
        <is>
          <t>DJ30</t>
        </is>
      </c>
      <c r="B791" s="6" t="inlineStr">
        <is>
          <t>2023-06-30</t>
        </is>
      </c>
      <c r="C791" s="6" t="inlineStr">
        <is>
          <t>DIA</t>
        </is>
      </c>
      <c r="D791" s="6" t="inlineStr">
        <is>
          <t>JNJ</t>
        </is>
      </c>
      <c r="E791" s="6" t="inlineStr">
        <is>
          <t>JNJ</t>
        </is>
      </c>
      <c r="F791" s="6" t="inlineStr">
        <is>
          <t>-</t>
        </is>
      </c>
      <c r="G791" s="7" t="n">
        <v>151.6424102783203</v>
      </c>
      <c r="H791" s="6">
        <f>P760</f>
        <v/>
      </c>
      <c r="I791" s="9">
        <f>Q760</f>
        <v/>
      </c>
      <c r="J791" s="7">
        <f>I791*G791</f>
        <v/>
      </c>
      <c r="K791" s="8">
        <f>IF($J$807=0,0,J791/$J$807)</f>
        <v/>
      </c>
      <c r="L791" s="6" t="inlineStr">
        <is>
          <t>REJECTED</t>
        </is>
      </c>
      <c r="M791" s="8" t="n">
        <v>0</v>
      </c>
      <c r="N791" s="7">
        <f>M791*$J$807-J791</f>
        <v/>
      </c>
      <c r="O791" s="9">
        <f>IF(G791=0,0,N791/G791)</f>
        <v/>
      </c>
      <c r="P791" s="6">
        <f>IF(M791&gt;0,D791,"")</f>
        <v/>
      </c>
      <c r="Q791" s="9">
        <f>I791+O791</f>
        <v/>
      </c>
      <c r="R791" s="7">
        <f>Q791*G791</f>
        <v/>
      </c>
      <c r="S791" s="8">
        <f>IF($R$807=0,0,R791/$R$807)</f>
        <v/>
      </c>
      <c r="T791" s="8" t="n">
        <v>0</v>
      </c>
      <c r="U791" s="8" t="n">
        <v>0.01984262099500134</v>
      </c>
      <c r="V791" s="6" t="inlineStr">
        <is>
          <t>not selected</t>
        </is>
      </c>
    </row>
    <row r="792">
      <c r="A792" s="6" t="inlineStr">
        <is>
          <t>DJ30</t>
        </is>
      </c>
      <c r="B792" s="6" t="inlineStr">
        <is>
          <t>2023-06-30</t>
        </is>
      </c>
      <c r="C792" s="6" t="inlineStr">
        <is>
          <t>DIA</t>
        </is>
      </c>
      <c r="D792" s="6" t="inlineStr">
        <is>
          <t>JPM</t>
        </is>
      </c>
      <c r="E792" s="6" t="inlineStr">
        <is>
          <t>JPM</t>
        </is>
      </c>
      <c r="F792" s="6" t="inlineStr">
        <is>
          <t>-</t>
        </is>
      </c>
      <c r="G792" s="7" t="n">
        <v>135.8315887451172</v>
      </c>
      <c r="H792" s="6">
        <f>P761</f>
        <v/>
      </c>
      <c r="I792" s="9">
        <f>Q761</f>
        <v/>
      </c>
      <c r="J792" s="7">
        <f>I792*G792</f>
        <v/>
      </c>
      <c r="K792" s="8">
        <f>IF($J$807=0,0,J792/$J$807)</f>
        <v/>
      </c>
      <c r="L792" s="6" t="inlineStr">
        <is>
          <t>REJECTED</t>
        </is>
      </c>
      <c r="M792" s="8" t="n">
        <v>0</v>
      </c>
      <c r="N792" s="7">
        <f>M792*$J$807-J792</f>
        <v/>
      </c>
      <c r="O792" s="9">
        <f>IF(G792=0,0,N792/G792)</f>
        <v/>
      </c>
      <c r="P792" s="6">
        <f>IF(M792&gt;0,D792,"")</f>
        <v/>
      </c>
      <c r="Q792" s="9">
        <f>I792+O792</f>
        <v/>
      </c>
      <c r="R792" s="7">
        <f>Q792*G792</f>
        <v/>
      </c>
      <c r="S792" s="8">
        <f>IF($R$807=0,0,R792/$R$807)</f>
        <v/>
      </c>
      <c r="T792" s="8" t="n">
        <v>0</v>
      </c>
      <c r="U792" s="8" t="n">
        <v>0.01984262099500134</v>
      </c>
      <c r="V792" s="6" t="inlineStr">
        <is>
          <t>not selected</t>
        </is>
      </c>
    </row>
    <row r="793">
      <c r="A793" s="6" t="inlineStr">
        <is>
          <t>DJ30</t>
        </is>
      </c>
      <c r="B793" s="6" t="inlineStr">
        <is>
          <t>2023-06-30</t>
        </is>
      </c>
      <c r="C793" s="6" t="inlineStr">
        <is>
          <t>DIA</t>
        </is>
      </c>
      <c r="D793" s="6" t="inlineStr">
        <is>
          <t>KO</t>
        </is>
      </c>
      <c r="E793" s="6" t="inlineStr">
        <is>
          <t>KO</t>
        </is>
      </c>
      <c r="F793" s="6" t="inlineStr">
        <is>
          <t>-</t>
        </is>
      </c>
      <c r="G793" s="7" t="n">
        <v>55.13154602050781</v>
      </c>
      <c r="H793" s="6">
        <f>P762</f>
        <v/>
      </c>
      <c r="I793" s="9">
        <f>Q762</f>
        <v/>
      </c>
      <c r="J793" s="7">
        <f>I793*G793</f>
        <v/>
      </c>
      <c r="K793" s="8">
        <f>IF($J$807=0,0,J793/$J$807)</f>
        <v/>
      </c>
      <c r="L793" s="6" t="inlineStr">
        <is>
          <t>REJECTED</t>
        </is>
      </c>
      <c r="M793" s="8" t="n">
        <v>0</v>
      </c>
      <c r="N793" s="7">
        <f>M793*$J$807-J793</f>
        <v/>
      </c>
      <c r="O793" s="9">
        <f>IF(G793=0,0,N793/G793)</f>
        <v/>
      </c>
      <c r="P793" s="6">
        <f>IF(M793&gt;0,D793,"")</f>
        <v/>
      </c>
      <c r="Q793" s="9">
        <f>I793+O793</f>
        <v/>
      </c>
      <c r="R793" s="7">
        <f>Q793*G793</f>
        <v/>
      </c>
      <c r="S793" s="8">
        <f>IF($R$807=0,0,R793/$R$807)</f>
        <v/>
      </c>
      <c r="T793" s="8" t="n">
        <v>0</v>
      </c>
      <c r="U793" s="8" t="n">
        <v>0.01984262099500134</v>
      </c>
      <c r="V793" s="6" t="inlineStr">
        <is>
          <t>not selected</t>
        </is>
      </c>
    </row>
    <row r="794">
      <c r="A794" s="6" t="inlineStr">
        <is>
          <t>DJ30</t>
        </is>
      </c>
      <c r="B794" s="6" t="inlineStr">
        <is>
          <t>2023-06-30</t>
        </is>
      </c>
      <c r="C794" s="6" t="inlineStr">
        <is>
          <t>DIA</t>
        </is>
      </c>
      <c r="D794" s="6" t="inlineStr">
        <is>
          <t>MCD</t>
        </is>
      </c>
      <c r="E794" s="6" t="inlineStr">
        <is>
          <t>MCD</t>
        </is>
      </c>
      <c r="F794" s="6" t="inlineStr">
        <is>
          <t>-</t>
        </is>
      </c>
      <c r="G794" s="7" t="n">
        <v>278.050048828125</v>
      </c>
      <c r="H794" s="6">
        <f>P763</f>
        <v/>
      </c>
      <c r="I794" s="9">
        <f>Q763</f>
        <v/>
      </c>
      <c r="J794" s="7">
        <f>I794*G794</f>
        <v/>
      </c>
      <c r="K794" s="8">
        <f>IF($J$807=0,0,J794/$J$807)</f>
        <v/>
      </c>
      <c r="L794" s="6" t="inlineStr">
        <is>
          <t>REJECTED</t>
        </is>
      </c>
      <c r="M794" s="8" t="n">
        <v>0</v>
      </c>
      <c r="N794" s="7">
        <f>M794*$J$807-J794</f>
        <v/>
      </c>
      <c r="O794" s="9">
        <f>IF(G794=0,0,N794/G794)</f>
        <v/>
      </c>
      <c r="P794" s="6">
        <f>IF(M794&gt;0,D794,"")</f>
        <v/>
      </c>
      <c r="Q794" s="9">
        <f>I794+O794</f>
        <v/>
      </c>
      <c r="R794" s="7">
        <f>Q794*G794</f>
        <v/>
      </c>
      <c r="S794" s="8">
        <f>IF($R$807=0,0,R794/$R$807)</f>
        <v/>
      </c>
      <c r="T794" s="8" t="n">
        <v>0</v>
      </c>
      <c r="U794" s="8" t="n">
        <v>0.01984262099500134</v>
      </c>
      <c r="V794" s="6" t="inlineStr">
        <is>
          <t>not selected</t>
        </is>
      </c>
    </row>
    <row r="795">
      <c r="A795" s="6" t="inlineStr">
        <is>
          <t>DJ30</t>
        </is>
      </c>
      <c r="B795" s="6" t="inlineStr">
        <is>
          <t>2023-06-30</t>
        </is>
      </c>
      <c r="C795" s="6" t="inlineStr">
        <is>
          <t>DIA</t>
        </is>
      </c>
      <c r="D795" s="6" t="inlineStr">
        <is>
          <t>MMM</t>
        </is>
      </c>
      <c r="E795" s="6" t="inlineStr">
        <is>
          <t>MMM</t>
        </is>
      </c>
      <c r="F795" s="6" t="inlineStr">
        <is>
          <t>-</t>
        </is>
      </c>
      <c r="G795" s="7" t="n">
        <v>76.26499938964844</v>
      </c>
      <c r="H795" s="6">
        <f>P764</f>
        <v/>
      </c>
      <c r="I795" s="9">
        <f>Q764</f>
        <v/>
      </c>
      <c r="J795" s="7">
        <f>I795*G795</f>
        <v/>
      </c>
      <c r="K795" s="8">
        <f>IF($J$807=0,0,J795/$J$807)</f>
        <v/>
      </c>
      <c r="L795" s="6" t="inlineStr">
        <is>
          <t>REJECTED</t>
        </is>
      </c>
      <c r="M795" s="8" t="n">
        <v>0</v>
      </c>
      <c r="N795" s="7">
        <f>M795*$J$807-J795</f>
        <v/>
      </c>
      <c r="O795" s="9">
        <f>IF(G795=0,0,N795/G795)</f>
        <v/>
      </c>
      <c r="P795" s="6">
        <f>IF(M795&gt;0,D795,"")</f>
        <v/>
      </c>
      <c r="Q795" s="9">
        <f>I795+O795</f>
        <v/>
      </c>
      <c r="R795" s="7">
        <f>Q795*G795</f>
        <v/>
      </c>
      <c r="S795" s="8">
        <f>IF($R$807=0,0,R795/$R$807)</f>
        <v/>
      </c>
      <c r="T795" s="8" t="n">
        <v>0</v>
      </c>
      <c r="U795" s="8" t="n">
        <v>0.01984262099500134</v>
      </c>
      <c r="V795" s="6" t="inlineStr">
        <is>
          <t>not selected</t>
        </is>
      </c>
    </row>
    <row r="796">
      <c r="A796" s="6" t="inlineStr">
        <is>
          <t>DJ30</t>
        </is>
      </c>
      <c r="B796" s="6" t="inlineStr">
        <is>
          <t>2023-06-30</t>
        </is>
      </c>
      <c r="C796" s="6" t="inlineStr">
        <is>
          <t>DIA</t>
        </is>
      </c>
      <c r="D796" s="6" t="inlineStr">
        <is>
          <t>MRK</t>
        </is>
      </c>
      <c r="E796" s="6" t="inlineStr">
        <is>
          <t>MRK</t>
        </is>
      </c>
      <c r="F796" s="6" t="inlineStr">
        <is>
          <t>-</t>
        </is>
      </c>
      <c r="G796" s="7" t="n">
        <v>105.2070388793945</v>
      </c>
      <c r="H796" s="6">
        <f>P765</f>
        <v/>
      </c>
      <c r="I796" s="9">
        <f>Q765</f>
        <v/>
      </c>
      <c r="J796" s="7">
        <f>I796*G796</f>
        <v/>
      </c>
      <c r="K796" s="8">
        <f>IF($J$807=0,0,J796/$J$807)</f>
        <v/>
      </c>
      <c r="L796" s="6" t="inlineStr">
        <is>
          <t>REJECTED</t>
        </is>
      </c>
      <c r="M796" s="8" t="n">
        <v>0</v>
      </c>
      <c r="N796" s="7">
        <f>M796*$J$807-J796</f>
        <v/>
      </c>
      <c r="O796" s="9">
        <f>IF(G796=0,0,N796/G796)</f>
        <v/>
      </c>
      <c r="P796" s="6">
        <f>IF(M796&gt;0,D796,"")</f>
        <v/>
      </c>
      <c r="Q796" s="9">
        <f>I796+O796</f>
        <v/>
      </c>
      <c r="R796" s="7">
        <f>Q796*G796</f>
        <v/>
      </c>
      <c r="S796" s="8">
        <f>IF($R$807=0,0,R796/$R$807)</f>
        <v/>
      </c>
      <c r="T796" s="8" t="n">
        <v>0</v>
      </c>
      <c r="U796" s="8" t="n">
        <v>0.01984262099500134</v>
      </c>
      <c r="V796" s="6" t="inlineStr">
        <is>
          <t>not selected</t>
        </is>
      </c>
    </row>
    <row r="797">
      <c r="A797" s="6" t="inlineStr">
        <is>
          <t>DJ30</t>
        </is>
      </c>
      <c r="B797" s="6" t="inlineStr">
        <is>
          <t>2023-06-30</t>
        </is>
      </c>
      <c r="C797" s="6" t="inlineStr">
        <is>
          <t>DIA</t>
        </is>
      </c>
      <c r="D797" s="6" t="inlineStr">
        <is>
          <t>MSFT</t>
        </is>
      </c>
      <c r="E797" s="6" t="inlineStr">
        <is>
          <t>MSFT</t>
        </is>
      </c>
      <c r="F797" s="6" t="inlineStr">
        <is>
          <t>-</t>
        </is>
      </c>
      <c r="G797" s="7" t="n">
        <v>332.6685791015625</v>
      </c>
      <c r="H797" s="6">
        <f>P766</f>
        <v/>
      </c>
      <c r="I797" s="9">
        <f>Q766</f>
        <v/>
      </c>
      <c r="J797" s="7">
        <f>I797*G797</f>
        <v/>
      </c>
      <c r="K797" s="8">
        <f>IF($J$807=0,0,J797/$J$807)</f>
        <v/>
      </c>
      <c r="L797" s="6" t="inlineStr">
        <is>
          <t>REJECTED</t>
        </is>
      </c>
      <c r="M797" s="8" t="n">
        <v>0</v>
      </c>
      <c r="N797" s="7">
        <f>M797*$J$807-J797</f>
        <v/>
      </c>
      <c r="O797" s="9">
        <f>IF(G797=0,0,N797/G797)</f>
        <v/>
      </c>
      <c r="P797" s="6">
        <f>IF(M797&gt;0,D797,"")</f>
        <v/>
      </c>
      <c r="Q797" s="9">
        <f>I797+O797</f>
        <v/>
      </c>
      <c r="R797" s="7">
        <f>Q797*G797</f>
        <v/>
      </c>
      <c r="S797" s="8">
        <f>IF($R$807=0,0,R797/$R$807)</f>
        <v/>
      </c>
      <c r="T797" s="8" t="n">
        <v>0</v>
      </c>
      <c r="U797" s="8" t="n">
        <v>0.01984262099500134</v>
      </c>
      <c r="V797" s="6" t="inlineStr">
        <is>
          <t>not selected</t>
        </is>
      </c>
    </row>
    <row r="798">
      <c r="A798" s="6" t="inlineStr">
        <is>
          <t>DJ30</t>
        </is>
      </c>
      <c r="B798" s="6" t="inlineStr">
        <is>
          <t>2023-06-30</t>
        </is>
      </c>
      <c r="C798" s="6" t="inlineStr">
        <is>
          <t>DIA</t>
        </is>
      </c>
      <c r="D798" s="6" t="inlineStr">
        <is>
          <t>NKE</t>
        </is>
      </c>
      <c r="E798" s="6" t="inlineStr">
        <is>
          <t>NKE</t>
        </is>
      </c>
      <c r="F798" s="6" t="inlineStr">
        <is>
          <t>-</t>
        </is>
      </c>
      <c r="G798" s="7" t="n">
        <v>103.6870346069336</v>
      </c>
      <c r="H798" s="6">
        <f>P767</f>
        <v/>
      </c>
      <c r="I798" s="9">
        <f>Q767</f>
        <v/>
      </c>
      <c r="J798" s="7">
        <f>I798*G798</f>
        <v/>
      </c>
      <c r="K798" s="8">
        <f>IF($J$807=0,0,J798/$J$807)</f>
        <v/>
      </c>
      <c r="L798" s="6" t="inlineStr">
        <is>
          <t>REJECTED</t>
        </is>
      </c>
      <c r="M798" s="8" t="n">
        <v>0</v>
      </c>
      <c r="N798" s="7">
        <f>M798*$J$807-J798</f>
        <v/>
      </c>
      <c r="O798" s="9">
        <f>IF(G798=0,0,N798/G798)</f>
        <v/>
      </c>
      <c r="P798" s="6">
        <f>IF(M798&gt;0,D798,"")</f>
        <v/>
      </c>
      <c r="Q798" s="9">
        <f>I798+O798</f>
        <v/>
      </c>
      <c r="R798" s="7">
        <f>Q798*G798</f>
        <v/>
      </c>
      <c r="S798" s="8">
        <f>IF($R$807=0,0,R798/$R$807)</f>
        <v/>
      </c>
      <c r="T798" s="8" t="n">
        <v>0</v>
      </c>
      <c r="U798" s="8" t="n">
        <v>0.01984262099500134</v>
      </c>
      <c r="V798" s="6" t="inlineStr">
        <is>
          <t>not selected</t>
        </is>
      </c>
    </row>
    <row r="799">
      <c r="A799" s="6" t="inlineStr">
        <is>
          <t>DJ30</t>
        </is>
      </c>
      <c r="B799" s="6" t="inlineStr">
        <is>
          <t>2023-06-30</t>
        </is>
      </c>
      <c r="C799" s="6" t="inlineStr">
        <is>
          <t>DIA</t>
        </is>
      </c>
      <c r="D799" s="6" t="inlineStr">
        <is>
          <t>NVDA</t>
        </is>
      </c>
      <c r="E799" s="6" t="inlineStr">
        <is>
          <t>NVDA</t>
        </is>
      </c>
      <c r="F799" s="6" t="inlineStr">
        <is>
          <t>-</t>
        </is>
      </c>
      <c r="G799" s="7" t="n">
        <v>42.2197494506836</v>
      </c>
      <c r="H799" s="6">
        <f>P768</f>
        <v/>
      </c>
      <c r="I799" s="9">
        <f>Q768</f>
        <v/>
      </c>
      <c r="J799" s="7">
        <f>I799*G799</f>
        <v/>
      </c>
      <c r="K799" s="8">
        <f>IF($J$807=0,0,J799/$J$807)</f>
        <v/>
      </c>
      <c r="L799" s="6" t="inlineStr">
        <is>
          <t>REJECTED</t>
        </is>
      </c>
      <c r="M799" s="8" t="n">
        <v>0</v>
      </c>
      <c r="N799" s="7">
        <f>M799*$J$807-J799</f>
        <v/>
      </c>
      <c r="O799" s="9">
        <f>IF(G799=0,0,N799/G799)</f>
        <v/>
      </c>
      <c r="P799" s="6">
        <f>IF(M799&gt;0,D799,"")</f>
        <v/>
      </c>
      <c r="Q799" s="9">
        <f>I799+O799</f>
        <v/>
      </c>
      <c r="R799" s="7">
        <f>Q799*G799</f>
        <v/>
      </c>
      <c r="S799" s="8">
        <f>IF($R$807=0,0,R799/$R$807)</f>
        <v/>
      </c>
      <c r="T799" s="8" t="n">
        <v>0</v>
      </c>
      <c r="U799" s="8" t="n">
        <v>0.01984262099500134</v>
      </c>
      <c r="V799" s="6" t="inlineStr">
        <is>
          <t>not selected</t>
        </is>
      </c>
    </row>
    <row r="800">
      <c r="A800" s="6" t="inlineStr">
        <is>
          <t>DJ30</t>
        </is>
      </c>
      <c r="B800" s="6" t="inlineStr">
        <is>
          <t>2023-06-30</t>
        </is>
      </c>
      <c r="C800" s="6" t="inlineStr">
        <is>
          <t>DIA</t>
        </is>
      </c>
      <c r="D800" s="6" t="inlineStr">
        <is>
          <t>PG</t>
        </is>
      </c>
      <c r="E800" s="6" t="inlineStr">
        <is>
          <t>PG</t>
        </is>
      </c>
      <c r="F800" s="6" t="inlineStr">
        <is>
          <t>-</t>
        </is>
      </c>
      <c r="G800" s="7" t="n">
        <v>140.3797607421875</v>
      </c>
      <c r="H800" s="6">
        <f>P769</f>
        <v/>
      </c>
      <c r="I800" s="9">
        <f>Q769</f>
        <v/>
      </c>
      <c r="J800" s="7">
        <f>I800*G800</f>
        <v/>
      </c>
      <c r="K800" s="8">
        <f>IF($J$807=0,0,J800/$J$807)</f>
        <v/>
      </c>
      <c r="L800" s="6" t="inlineStr">
        <is>
          <t>REJECTED</t>
        </is>
      </c>
      <c r="M800" s="8" t="n">
        <v>0</v>
      </c>
      <c r="N800" s="7">
        <f>M800*$J$807-J800</f>
        <v/>
      </c>
      <c r="O800" s="9">
        <f>IF(G800=0,0,N800/G800)</f>
        <v/>
      </c>
      <c r="P800" s="6">
        <f>IF(M800&gt;0,D800,"")</f>
        <v/>
      </c>
      <c r="Q800" s="9">
        <f>I800+O800</f>
        <v/>
      </c>
      <c r="R800" s="7">
        <f>Q800*G800</f>
        <v/>
      </c>
      <c r="S800" s="8">
        <f>IF($R$807=0,0,R800/$R$807)</f>
        <v/>
      </c>
      <c r="T800" s="8" t="n">
        <v>0</v>
      </c>
      <c r="U800" s="8" t="n">
        <v>0.01984262099500134</v>
      </c>
      <c r="V800" s="6" t="inlineStr">
        <is>
          <t>not selected</t>
        </is>
      </c>
    </row>
    <row r="801">
      <c r="A801" s="6" t="inlineStr">
        <is>
          <t>DJ30</t>
        </is>
      </c>
      <c r="B801" s="6" t="inlineStr">
        <is>
          <t>2023-06-30</t>
        </is>
      </c>
      <c r="C801" s="6" t="inlineStr">
        <is>
          <t>DIA</t>
        </is>
      </c>
      <c r="D801" s="6" t="inlineStr">
        <is>
          <t>SHW</t>
        </is>
      </c>
      <c r="E801" s="6" t="inlineStr">
        <is>
          <t>SHW</t>
        </is>
      </c>
      <c r="F801" s="6" t="inlineStr">
        <is>
          <t>-</t>
        </is>
      </c>
      <c r="G801" s="7" t="n">
        <v>258.5715026855469</v>
      </c>
      <c r="H801" s="6">
        <f>P770</f>
        <v/>
      </c>
      <c r="I801" s="9">
        <f>Q770</f>
        <v/>
      </c>
      <c r="J801" s="7">
        <f>I801*G801</f>
        <v/>
      </c>
      <c r="K801" s="8">
        <f>IF($J$807=0,0,J801/$J$807)</f>
        <v/>
      </c>
      <c r="L801" s="6" t="inlineStr">
        <is>
          <t>REJECTED</t>
        </is>
      </c>
      <c r="M801" s="8" t="n">
        <v>0</v>
      </c>
      <c r="N801" s="7">
        <f>M801*$J$807-J801</f>
        <v/>
      </c>
      <c r="O801" s="9">
        <f>IF(G801=0,0,N801/G801)</f>
        <v/>
      </c>
      <c r="P801" s="6">
        <f>IF(M801&gt;0,D801,"")</f>
        <v/>
      </c>
      <c r="Q801" s="9">
        <f>I801+O801</f>
        <v/>
      </c>
      <c r="R801" s="7">
        <f>Q801*G801</f>
        <v/>
      </c>
      <c r="S801" s="8">
        <f>IF($R$807=0,0,R801/$R$807)</f>
        <v/>
      </c>
      <c r="T801" s="8" t="n">
        <v>0</v>
      </c>
      <c r="U801" s="8" t="n">
        <v>0.01984262099500134</v>
      </c>
      <c r="V801" s="6" t="inlineStr">
        <is>
          <t>not selected</t>
        </is>
      </c>
    </row>
    <row r="802">
      <c r="A802" s="6" t="inlineStr">
        <is>
          <t>DJ30</t>
        </is>
      </c>
      <c r="B802" s="6" t="inlineStr">
        <is>
          <t>2023-06-30</t>
        </is>
      </c>
      <c r="C802" s="6" t="inlineStr">
        <is>
          <t>DIA</t>
        </is>
      </c>
      <c r="D802" s="6" t="inlineStr">
        <is>
          <t>TRV</t>
        </is>
      </c>
      <c r="E802" s="6" t="inlineStr">
        <is>
          <t>TRV</t>
        </is>
      </c>
      <c r="F802" s="6" t="inlineStr">
        <is>
          <t>-</t>
        </is>
      </c>
      <c r="G802" s="7" t="n">
        <v>164.5752105712891</v>
      </c>
      <c r="H802" s="6">
        <f>P771</f>
        <v/>
      </c>
      <c r="I802" s="9">
        <f>Q771</f>
        <v/>
      </c>
      <c r="J802" s="7">
        <f>I802*G802</f>
        <v/>
      </c>
      <c r="K802" s="8">
        <f>IF($J$807=0,0,J802/$J$807)</f>
        <v/>
      </c>
      <c r="L802" s="6" t="inlineStr">
        <is>
          <t>REJECTED</t>
        </is>
      </c>
      <c r="M802" s="8" t="n">
        <v>0</v>
      </c>
      <c r="N802" s="7">
        <f>M802*$J$807-J802</f>
        <v/>
      </c>
      <c r="O802" s="9">
        <f>IF(G802=0,0,N802/G802)</f>
        <v/>
      </c>
      <c r="P802" s="6">
        <f>IF(M802&gt;0,D802,"")</f>
        <v/>
      </c>
      <c r="Q802" s="9">
        <f>I802+O802</f>
        <v/>
      </c>
      <c r="R802" s="7">
        <f>Q802*G802</f>
        <v/>
      </c>
      <c r="S802" s="8">
        <f>IF($R$807=0,0,R802/$R$807)</f>
        <v/>
      </c>
      <c r="T802" s="8" t="n">
        <v>0</v>
      </c>
      <c r="U802" s="8" t="n">
        <v>0.01984262099500134</v>
      </c>
      <c r="V802" s="6" t="inlineStr">
        <is>
          <t>not selected</t>
        </is>
      </c>
    </row>
    <row r="803">
      <c r="A803" s="6" t="inlineStr">
        <is>
          <t>DJ30</t>
        </is>
      </c>
      <c r="B803" s="6" t="inlineStr">
        <is>
          <t>2023-06-30</t>
        </is>
      </c>
      <c r="C803" s="6" t="inlineStr">
        <is>
          <t>DIA</t>
        </is>
      </c>
      <c r="D803" s="6" t="inlineStr">
        <is>
          <t>UNH</t>
        </is>
      </c>
      <c r="E803" s="6" t="inlineStr">
        <is>
          <t>UNH</t>
        </is>
      </c>
      <c r="F803" s="6" t="inlineStr">
        <is>
          <t>-</t>
        </is>
      </c>
      <c r="G803" s="7" t="n">
        <v>452.3807983398438</v>
      </c>
      <c r="H803" s="6">
        <f>P772</f>
        <v/>
      </c>
      <c r="I803" s="9">
        <f>Q772</f>
        <v/>
      </c>
      <c r="J803" s="7">
        <f>I803*G803</f>
        <v/>
      </c>
      <c r="K803" s="8">
        <f>IF($J$807=0,0,J803/$J$807)</f>
        <v/>
      </c>
      <c r="L803" s="6" t="inlineStr">
        <is>
          <t>REJECTED</t>
        </is>
      </c>
      <c r="M803" s="8" t="n">
        <v>0</v>
      </c>
      <c r="N803" s="7">
        <f>M803*$J$807-J803</f>
        <v/>
      </c>
      <c r="O803" s="9">
        <f>IF(G803=0,0,N803/G803)</f>
        <v/>
      </c>
      <c r="P803" s="6">
        <f>IF(M803&gt;0,D803,"")</f>
        <v/>
      </c>
      <c r="Q803" s="9">
        <f>I803+O803</f>
        <v/>
      </c>
      <c r="R803" s="7">
        <f>Q803*G803</f>
        <v/>
      </c>
      <c r="S803" s="8">
        <f>IF($R$807=0,0,R803/$R$807)</f>
        <v/>
      </c>
      <c r="T803" s="8" t="n">
        <v>0</v>
      </c>
      <c r="U803" s="8" t="n">
        <v>0.01984262099500134</v>
      </c>
      <c r="V803" s="6" t="inlineStr">
        <is>
          <t>not selected</t>
        </is>
      </c>
    </row>
    <row r="804">
      <c r="A804" s="6" t="inlineStr">
        <is>
          <t>DJ30</t>
        </is>
      </c>
      <c r="B804" s="6" t="inlineStr">
        <is>
          <t>2023-06-30</t>
        </is>
      </c>
      <c r="C804" s="6" t="inlineStr">
        <is>
          <t>DIA</t>
        </is>
      </c>
      <c r="D804" s="6" t="inlineStr">
        <is>
          <t>V</t>
        </is>
      </c>
      <c r="E804" s="6" t="inlineStr">
        <is>
          <t>V</t>
        </is>
      </c>
      <c r="F804" s="6" t="inlineStr">
        <is>
          <t>-</t>
        </is>
      </c>
      <c r="G804" s="7" t="n">
        <v>232.1201171875</v>
      </c>
      <c r="H804" s="6">
        <f>P773</f>
        <v/>
      </c>
      <c r="I804" s="9">
        <f>Q773</f>
        <v/>
      </c>
      <c r="J804" s="7">
        <f>I804*G804</f>
        <v/>
      </c>
      <c r="K804" s="8">
        <f>IF($J$807=0,0,J804/$J$807)</f>
        <v/>
      </c>
      <c r="L804" s="6" t="inlineStr">
        <is>
          <t>REJECTED</t>
        </is>
      </c>
      <c r="M804" s="8" t="n">
        <v>0</v>
      </c>
      <c r="N804" s="7">
        <f>M804*$J$807-J804</f>
        <v/>
      </c>
      <c r="O804" s="9">
        <f>IF(G804=0,0,N804/G804)</f>
        <v/>
      </c>
      <c r="P804" s="6">
        <f>IF(M804&gt;0,D804,"")</f>
        <v/>
      </c>
      <c r="Q804" s="9">
        <f>I804+O804</f>
        <v/>
      </c>
      <c r="R804" s="7">
        <f>Q804*G804</f>
        <v/>
      </c>
      <c r="S804" s="8">
        <f>IF($R$807=0,0,R804/$R$807)</f>
        <v/>
      </c>
      <c r="T804" s="8" t="n">
        <v>0</v>
      </c>
      <c r="U804" s="8" t="n">
        <v>0.01984262099500134</v>
      </c>
      <c r="V804" s="6" t="inlineStr">
        <is>
          <t>not selected</t>
        </is>
      </c>
    </row>
    <row r="805">
      <c r="A805" s="6" t="inlineStr">
        <is>
          <t>DJ30</t>
        </is>
      </c>
      <c r="B805" s="6" t="inlineStr">
        <is>
          <t>2023-06-30</t>
        </is>
      </c>
      <c r="C805" s="6" t="inlineStr">
        <is>
          <t>DIA</t>
        </is>
      </c>
      <c r="D805" s="6" t="inlineStr">
        <is>
          <t>VZ</t>
        </is>
      </c>
      <c r="E805" s="6" t="inlineStr">
        <is>
          <t>VZ</t>
        </is>
      </c>
      <c r="F805" s="6" t="inlineStr">
        <is>
          <t>-</t>
        </is>
      </c>
      <c r="G805" s="7" t="n">
        <v>30.38516998291016</v>
      </c>
      <c r="H805" s="6">
        <f>P774</f>
        <v/>
      </c>
      <c r="I805" s="9">
        <f>Q774</f>
        <v/>
      </c>
      <c r="J805" s="7">
        <f>I805*G805</f>
        <v/>
      </c>
      <c r="K805" s="8">
        <f>IF($J$807=0,0,J805/$J$807)</f>
        <v/>
      </c>
      <c r="L805" s="6" t="inlineStr">
        <is>
          <t>REJECTED</t>
        </is>
      </c>
      <c r="M805" s="8" t="n">
        <v>0</v>
      </c>
      <c r="N805" s="7">
        <f>M805*$J$807-J805</f>
        <v/>
      </c>
      <c r="O805" s="9">
        <f>IF(G805=0,0,N805/G805)</f>
        <v/>
      </c>
      <c r="P805" s="6">
        <f>IF(M805&gt;0,D805,"")</f>
        <v/>
      </c>
      <c r="Q805" s="9">
        <f>I805+O805</f>
        <v/>
      </c>
      <c r="R805" s="7">
        <f>Q805*G805</f>
        <v/>
      </c>
      <c r="S805" s="8">
        <f>IF($R$807=0,0,R805/$R$807)</f>
        <v/>
      </c>
      <c r="T805" s="8" t="n">
        <v>0</v>
      </c>
      <c r="U805" s="8" t="n">
        <v>0.01984262099500134</v>
      </c>
      <c r="V805" s="6" t="inlineStr">
        <is>
          <t>not selected</t>
        </is>
      </c>
    </row>
    <row r="806">
      <c r="A806" s="6" t="inlineStr">
        <is>
          <t>DJ30</t>
        </is>
      </c>
      <c r="B806" s="6" t="inlineStr">
        <is>
          <t>2023-06-30</t>
        </is>
      </c>
      <c r="C806" s="6" t="inlineStr">
        <is>
          <t>DIA</t>
        </is>
      </c>
      <c r="D806" s="6" t="inlineStr">
        <is>
          <t>WMT</t>
        </is>
      </c>
      <c r="E806" s="6" t="inlineStr">
        <is>
          <t>WMT</t>
        </is>
      </c>
      <c r="F806" s="6" t="inlineStr">
        <is>
          <t>-</t>
        </is>
      </c>
      <c r="G806" s="7" t="n">
        <v>50.71010589599609</v>
      </c>
      <c r="H806" s="6">
        <f>P775</f>
        <v/>
      </c>
      <c r="I806" s="9">
        <f>Q775</f>
        <v/>
      </c>
      <c r="J806" s="7">
        <f>I806*G806</f>
        <v/>
      </c>
      <c r="K806" s="8">
        <f>IF($J$807=0,0,J806/$J$807)</f>
        <v/>
      </c>
      <c r="L806" s="6" t="inlineStr">
        <is>
          <t>REJECTED</t>
        </is>
      </c>
      <c r="M806" s="8" t="n">
        <v>0</v>
      </c>
      <c r="N806" s="7">
        <f>M806*$J$807-J806</f>
        <v/>
      </c>
      <c r="O806" s="9">
        <f>IF(G806=0,0,N806/G806)</f>
        <v/>
      </c>
      <c r="P806" s="6">
        <f>IF(M806&gt;0,D806,"")</f>
        <v/>
      </c>
      <c r="Q806" s="9">
        <f>I806+O806</f>
        <v/>
      </c>
      <c r="R806" s="7">
        <f>Q806*G806</f>
        <v/>
      </c>
      <c r="S806" s="8">
        <f>IF($R$807=0,0,R806/$R$807)</f>
        <v/>
      </c>
      <c r="T806" s="8" t="n">
        <v>0</v>
      </c>
      <c r="U806" s="8" t="n">
        <v>0.01984262099500134</v>
      </c>
      <c r="V806" s="6" t="inlineStr">
        <is>
          <t>not selected</t>
        </is>
      </c>
    </row>
    <row r="807">
      <c r="A807" s="10" t="inlineStr">
        <is>
          <t>DJ30</t>
        </is>
      </c>
      <c r="B807" s="10" t="inlineStr">
        <is>
          <t>2023-06-30</t>
        </is>
      </c>
      <c r="C807" s="10" t="inlineStr">
        <is>
          <t>DIA</t>
        </is>
      </c>
      <c r="D807" s="10" t="inlineStr">
        <is>
          <t>Tot Portfolio</t>
        </is>
      </c>
      <c r="E807" s="10" t="inlineStr"/>
      <c r="F807" s="10" t="inlineStr"/>
      <c r="G807" s="11" t="inlineStr"/>
      <c r="H807" s="10" t="inlineStr"/>
      <c r="I807" s="12" t="inlineStr"/>
      <c r="J807" s="11">
        <f>SUM(J777:J806)</f>
        <v/>
      </c>
      <c r="K807" s="13">
        <f>SUM(K777:K806)</f>
        <v/>
      </c>
      <c r="L807" s="10" t="inlineStr">
        <is>
          <t>TOTAL</t>
        </is>
      </c>
      <c r="M807" s="13">
        <f>SUM(M777:M806)</f>
        <v/>
      </c>
      <c r="N807" s="11">
        <f>SUM(N777:N806)</f>
        <v/>
      </c>
      <c r="O807" s="12">
        <f>SUM(O777:O806)</f>
        <v/>
      </c>
      <c r="P807" s="10" t="inlineStr"/>
      <c r="Q807" s="12" t="inlineStr"/>
      <c r="R807" s="11">
        <f>SUM(R777:R806)</f>
        <v/>
      </c>
      <c r="S807" s="13">
        <f>SUM(S777:S806)</f>
        <v/>
      </c>
      <c r="T807" s="13" t="n">
        <v>0</v>
      </c>
      <c r="U807" s="13" t="n">
        <v>0.01984262099500134</v>
      </c>
      <c r="V807" s="10" t="inlineStr"/>
    </row>
    <row r="808">
      <c r="A808" s="6" t="inlineStr">
        <is>
          <t>DJ30</t>
        </is>
      </c>
      <c r="B808" s="6" t="inlineStr">
        <is>
          <t>2023-07-07</t>
        </is>
      </c>
      <c r="C808" s="6" t="inlineStr">
        <is>
          <t>DIA</t>
        </is>
      </c>
      <c r="D808" s="6" t="inlineStr">
        <is>
          <t>AAPL</t>
        </is>
      </c>
      <c r="E808" s="6" t="inlineStr">
        <is>
          <t>AAPL</t>
        </is>
      </c>
      <c r="F808" s="6" t="inlineStr">
        <is>
          <t>-</t>
        </is>
      </c>
      <c r="G808" s="7" t="n">
        <v>188.0437469482422</v>
      </c>
      <c r="H808" s="6">
        <f>P777</f>
        <v/>
      </c>
      <c r="I808" s="9">
        <f>Q777</f>
        <v/>
      </c>
      <c r="J808" s="7">
        <f>I808*G808</f>
        <v/>
      </c>
      <c r="K808" s="8">
        <f>IF($J$838=0,0,J808/$J$838)</f>
        <v/>
      </c>
      <c r="L808" s="6" t="inlineStr">
        <is>
          <t>REJECTED</t>
        </is>
      </c>
      <c r="M808" s="8" t="n">
        <v>0</v>
      </c>
      <c r="N808" s="7">
        <f>M808*$J$838-J808</f>
        <v/>
      </c>
      <c r="O808" s="9">
        <f>IF(G808=0,0,N808/G808)</f>
        <v/>
      </c>
      <c r="P808" s="6">
        <f>IF(M808&gt;0,D808,"")</f>
        <v/>
      </c>
      <c r="Q808" s="9">
        <f>I808+O808</f>
        <v/>
      </c>
      <c r="R808" s="7">
        <f>Q808*G808</f>
        <v/>
      </c>
      <c r="S808" s="8">
        <f>IF($R$838=0,0,R808/$R$838)</f>
        <v/>
      </c>
      <c r="T808" s="8" t="n">
        <v>0</v>
      </c>
      <c r="U808" s="8" t="n">
        <v>-0.01867112766307055</v>
      </c>
      <c r="V808" s="6" t="inlineStr">
        <is>
          <t>not selected</t>
        </is>
      </c>
    </row>
    <row r="809">
      <c r="A809" s="6" t="inlineStr">
        <is>
          <t>DJ30</t>
        </is>
      </c>
      <c r="B809" s="6" t="inlineStr">
        <is>
          <t>2023-07-07</t>
        </is>
      </c>
      <c r="C809" s="6" t="inlineStr">
        <is>
          <t>DIA</t>
        </is>
      </c>
      <c r="D809" s="6" t="inlineStr">
        <is>
          <t>AMGN</t>
        </is>
      </c>
      <c r="E809" s="6" t="inlineStr">
        <is>
          <t>AMGN</t>
        </is>
      </c>
      <c r="F809" s="6" t="inlineStr">
        <is>
          <t>-</t>
        </is>
      </c>
      <c r="G809" s="7" t="n">
        <v>199.4058380126953</v>
      </c>
      <c r="H809" s="6">
        <f>P778</f>
        <v/>
      </c>
      <c r="I809" s="9">
        <f>Q778</f>
        <v/>
      </c>
      <c r="J809" s="7">
        <f>I809*G809</f>
        <v/>
      </c>
      <c r="K809" s="8">
        <f>IF($J$838=0,0,J809/$J$838)</f>
        <v/>
      </c>
      <c r="L809" s="6" t="inlineStr">
        <is>
          <t>REJECTED</t>
        </is>
      </c>
      <c r="M809" s="8" t="n">
        <v>0</v>
      </c>
      <c r="N809" s="7">
        <f>M809*$J$838-J809</f>
        <v/>
      </c>
      <c r="O809" s="9">
        <f>IF(G809=0,0,N809/G809)</f>
        <v/>
      </c>
      <c r="P809" s="6">
        <f>IF(M809&gt;0,D809,"")</f>
        <v/>
      </c>
      <c r="Q809" s="9">
        <f>I809+O809</f>
        <v/>
      </c>
      <c r="R809" s="7">
        <f>Q809*G809</f>
        <v/>
      </c>
      <c r="S809" s="8">
        <f>IF($R$838=0,0,R809/$R$838)</f>
        <v/>
      </c>
      <c r="T809" s="8" t="n">
        <v>0</v>
      </c>
      <c r="U809" s="8" t="n">
        <v>-0.01867112766307055</v>
      </c>
      <c r="V809" s="6" t="inlineStr">
        <is>
          <t>not selected</t>
        </is>
      </c>
    </row>
    <row r="810">
      <c r="A810" s="6" t="inlineStr">
        <is>
          <t>DJ30</t>
        </is>
      </c>
      <c r="B810" s="6" t="inlineStr">
        <is>
          <t>2023-07-07</t>
        </is>
      </c>
      <c r="C810" s="6" t="inlineStr">
        <is>
          <t>DIA</t>
        </is>
      </c>
      <c r="D810" s="6" t="inlineStr">
        <is>
          <t>AMZN</t>
        </is>
      </c>
      <c r="E810" s="6" t="inlineStr">
        <is>
          <t>AMZN</t>
        </is>
      </c>
      <c r="F810" s="6" t="inlineStr">
        <is>
          <t>-</t>
        </is>
      </c>
      <c r="G810" s="7" t="n">
        <v>129.7799987792969</v>
      </c>
      <c r="H810" s="6">
        <f>P779</f>
        <v/>
      </c>
      <c r="I810" s="9">
        <f>Q779</f>
        <v/>
      </c>
      <c r="J810" s="7">
        <f>I810*G810</f>
        <v/>
      </c>
      <c r="K810" s="8">
        <f>IF($J$838=0,0,J810/$J$838)</f>
        <v/>
      </c>
      <c r="L810" s="6" t="inlineStr">
        <is>
          <t>REJECTED</t>
        </is>
      </c>
      <c r="M810" s="8" t="n">
        <v>0</v>
      </c>
      <c r="N810" s="7">
        <f>M810*$J$838-J810</f>
        <v/>
      </c>
      <c r="O810" s="9">
        <f>IF(G810=0,0,N810/G810)</f>
        <v/>
      </c>
      <c r="P810" s="6">
        <f>IF(M810&gt;0,D810,"")</f>
        <v/>
      </c>
      <c r="Q810" s="9">
        <f>I810+O810</f>
        <v/>
      </c>
      <c r="R810" s="7">
        <f>Q810*G810</f>
        <v/>
      </c>
      <c r="S810" s="8">
        <f>IF($R$838=0,0,R810/$R$838)</f>
        <v/>
      </c>
      <c r="T810" s="8" t="n">
        <v>0</v>
      </c>
      <c r="U810" s="8" t="n">
        <v>-0.01867112766307055</v>
      </c>
      <c r="V810" s="6" t="inlineStr">
        <is>
          <t>not selected</t>
        </is>
      </c>
    </row>
    <row r="811">
      <c r="A811" s="6" t="inlineStr">
        <is>
          <t>DJ30</t>
        </is>
      </c>
      <c r="B811" s="6" t="inlineStr">
        <is>
          <t>2023-07-07</t>
        </is>
      </c>
      <c r="C811" s="6" t="inlineStr">
        <is>
          <t>DIA</t>
        </is>
      </c>
      <c r="D811" s="6" t="inlineStr">
        <is>
          <t>AXP</t>
        </is>
      </c>
      <c r="E811" s="6" t="inlineStr">
        <is>
          <t>AXP</t>
        </is>
      </c>
      <c r="F811" s="6" t="inlineStr">
        <is>
          <t>-</t>
        </is>
      </c>
      <c r="G811" s="7" t="n">
        <v>164.4371032714844</v>
      </c>
      <c r="H811" s="6">
        <f>P780</f>
        <v/>
      </c>
      <c r="I811" s="9">
        <f>Q780</f>
        <v/>
      </c>
      <c r="J811" s="7">
        <f>I811*G811</f>
        <v/>
      </c>
      <c r="K811" s="8">
        <f>IF($J$838=0,0,J811/$J$838)</f>
        <v/>
      </c>
      <c r="L811" s="6" t="inlineStr">
        <is>
          <t>REJECTED</t>
        </is>
      </c>
      <c r="M811" s="8" t="n">
        <v>0</v>
      </c>
      <c r="N811" s="7">
        <f>M811*$J$838-J811</f>
        <v/>
      </c>
      <c r="O811" s="9">
        <f>IF(G811=0,0,N811/G811)</f>
        <v/>
      </c>
      <c r="P811" s="6">
        <f>IF(M811&gt;0,D811,"")</f>
        <v/>
      </c>
      <c r="Q811" s="9">
        <f>I811+O811</f>
        <v/>
      </c>
      <c r="R811" s="7">
        <f>Q811*G811</f>
        <v/>
      </c>
      <c r="S811" s="8">
        <f>IF($R$838=0,0,R811/$R$838)</f>
        <v/>
      </c>
      <c r="T811" s="8" t="n">
        <v>0</v>
      </c>
      <c r="U811" s="8" t="n">
        <v>-0.01867112766307055</v>
      </c>
      <c r="V811" s="6" t="inlineStr">
        <is>
          <t>not selected</t>
        </is>
      </c>
    </row>
    <row r="812">
      <c r="A812" s="6" t="inlineStr">
        <is>
          <t>DJ30</t>
        </is>
      </c>
      <c r="B812" s="6" t="inlineStr">
        <is>
          <t>2023-07-07</t>
        </is>
      </c>
      <c r="C812" s="6" t="inlineStr">
        <is>
          <t>DIA</t>
        </is>
      </c>
      <c r="D812" s="6" t="inlineStr">
        <is>
          <t>BA</t>
        </is>
      </c>
      <c r="E812" s="6" t="inlineStr">
        <is>
          <t>BA</t>
        </is>
      </c>
      <c r="F812" s="6" t="inlineStr">
        <is>
          <t>-</t>
        </is>
      </c>
      <c r="G812" s="7" t="n">
        <v>212.1000061035156</v>
      </c>
      <c r="H812" s="6">
        <f>P781</f>
        <v/>
      </c>
      <c r="I812" s="9">
        <f>Q781</f>
        <v/>
      </c>
      <c r="J812" s="7">
        <f>I812*G812</f>
        <v/>
      </c>
      <c r="K812" s="8">
        <f>IF($J$838=0,0,J812/$J$838)</f>
        <v/>
      </c>
      <c r="L812" s="6" t="inlineStr">
        <is>
          <t>REJECTED</t>
        </is>
      </c>
      <c r="M812" s="8" t="n">
        <v>0</v>
      </c>
      <c r="N812" s="7">
        <f>M812*$J$838-J812</f>
        <v/>
      </c>
      <c r="O812" s="9">
        <f>IF(G812=0,0,N812/G812)</f>
        <v/>
      </c>
      <c r="P812" s="6">
        <f>IF(M812&gt;0,D812,"")</f>
        <v/>
      </c>
      <c r="Q812" s="9">
        <f>I812+O812</f>
        <v/>
      </c>
      <c r="R812" s="7">
        <f>Q812*G812</f>
        <v/>
      </c>
      <c r="S812" s="8">
        <f>IF($R$838=0,0,R812/$R$838)</f>
        <v/>
      </c>
      <c r="T812" s="8" t="n">
        <v>0</v>
      </c>
      <c r="U812" s="8" t="n">
        <v>-0.01867112766307055</v>
      </c>
      <c r="V812" s="6" t="inlineStr">
        <is>
          <t>not selected</t>
        </is>
      </c>
    </row>
    <row r="813">
      <c r="A813" s="6" t="inlineStr">
        <is>
          <t>DJ30</t>
        </is>
      </c>
      <c r="B813" s="6" t="inlineStr">
        <is>
          <t>2023-07-07</t>
        </is>
      </c>
      <c r="C813" s="6" t="inlineStr">
        <is>
          <t>DIA</t>
        </is>
      </c>
      <c r="D813" s="6" t="inlineStr">
        <is>
          <t>CAT</t>
        </is>
      </c>
      <c r="E813" s="6" t="inlineStr">
        <is>
          <t>CAT</t>
        </is>
      </c>
      <c r="F813" s="6" t="inlineStr">
        <is>
          <t>-</t>
        </is>
      </c>
      <c r="G813" s="7" t="n">
        <v>234.3369445800781</v>
      </c>
      <c r="H813" s="6">
        <f>P782</f>
        <v/>
      </c>
      <c r="I813" s="9">
        <f>Q782</f>
        <v/>
      </c>
      <c r="J813" s="7">
        <f>I813*G813</f>
        <v/>
      </c>
      <c r="K813" s="8">
        <f>IF($J$838=0,0,J813/$J$838)</f>
        <v/>
      </c>
      <c r="L813" s="6" t="inlineStr">
        <is>
          <t>REJECTED</t>
        </is>
      </c>
      <c r="M813" s="8" t="n">
        <v>0</v>
      </c>
      <c r="N813" s="7">
        <f>M813*$J$838-J813</f>
        <v/>
      </c>
      <c r="O813" s="9">
        <f>IF(G813=0,0,N813/G813)</f>
        <v/>
      </c>
      <c r="P813" s="6">
        <f>IF(M813&gt;0,D813,"")</f>
        <v/>
      </c>
      <c r="Q813" s="9">
        <f>I813+O813</f>
        <v/>
      </c>
      <c r="R813" s="7">
        <f>Q813*G813</f>
        <v/>
      </c>
      <c r="S813" s="8">
        <f>IF($R$838=0,0,R813/$R$838)</f>
        <v/>
      </c>
      <c r="T813" s="8" t="n">
        <v>0</v>
      </c>
      <c r="U813" s="8" t="n">
        <v>-0.01867112766307055</v>
      </c>
      <c r="V813" s="6" t="inlineStr">
        <is>
          <t>not selected</t>
        </is>
      </c>
    </row>
    <row r="814">
      <c r="A814" s="6" t="inlineStr">
        <is>
          <t>DJ30</t>
        </is>
      </c>
      <c r="B814" s="6" t="inlineStr">
        <is>
          <t>2023-07-07</t>
        </is>
      </c>
      <c r="C814" s="6" t="inlineStr">
        <is>
          <t>DIA</t>
        </is>
      </c>
      <c r="D814" s="6" t="inlineStr">
        <is>
          <t>CRM</t>
        </is>
      </c>
      <c r="E814" s="6" t="inlineStr">
        <is>
          <t>CRM</t>
        </is>
      </c>
      <c r="F814" s="6" t="inlineStr">
        <is>
          <t>-</t>
        </is>
      </c>
      <c r="G814" s="7" t="n">
        <v>206.0256500244141</v>
      </c>
      <c r="H814" s="6">
        <f>P783</f>
        <v/>
      </c>
      <c r="I814" s="9">
        <f>Q783</f>
        <v/>
      </c>
      <c r="J814" s="7">
        <f>I814*G814</f>
        <v/>
      </c>
      <c r="K814" s="8">
        <f>IF($J$838=0,0,J814/$J$838)</f>
        <v/>
      </c>
      <c r="L814" s="6" t="inlineStr">
        <is>
          <t>REJECTED</t>
        </is>
      </c>
      <c r="M814" s="8" t="n">
        <v>0</v>
      </c>
      <c r="N814" s="7">
        <f>M814*$J$838-J814</f>
        <v/>
      </c>
      <c r="O814" s="9">
        <f>IF(G814=0,0,N814/G814)</f>
        <v/>
      </c>
      <c r="P814" s="6">
        <f>IF(M814&gt;0,D814,"")</f>
        <v/>
      </c>
      <c r="Q814" s="9">
        <f>I814+O814</f>
        <v/>
      </c>
      <c r="R814" s="7">
        <f>Q814*G814</f>
        <v/>
      </c>
      <c r="S814" s="8">
        <f>IF($R$838=0,0,R814/$R$838)</f>
        <v/>
      </c>
      <c r="T814" s="8" t="n">
        <v>0</v>
      </c>
      <c r="U814" s="8" t="n">
        <v>-0.01867112766307055</v>
      </c>
      <c r="V814" s="6" t="inlineStr">
        <is>
          <t>not selected</t>
        </is>
      </c>
    </row>
    <row r="815">
      <c r="A815" s="6" t="inlineStr">
        <is>
          <t>DJ30</t>
        </is>
      </c>
      <c r="B815" s="6" t="inlineStr">
        <is>
          <t>2023-07-07</t>
        </is>
      </c>
      <c r="C815" s="6" t="inlineStr">
        <is>
          <t>DIA</t>
        </is>
      </c>
      <c r="D815" s="6" t="inlineStr">
        <is>
          <t>CSCO</t>
        </is>
      </c>
      <c r="E815" s="6" t="inlineStr">
        <is>
          <t>CSCO</t>
        </is>
      </c>
      <c r="F815" s="6" t="inlineStr">
        <is>
          <t>-</t>
        </is>
      </c>
      <c r="G815" s="7" t="n">
        <v>47.28530120849609</v>
      </c>
      <c r="H815" s="6">
        <f>P784</f>
        <v/>
      </c>
      <c r="I815" s="9">
        <f>Q784</f>
        <v/>
      </c>
      <c r="J815" s="7">
        <f>I815*G815</f>
        <v/>
      </c>
      <c r="K815" s="8">
        <f>IF($J$838=0,0,J815/$J$838)</f>
        <v/>
      </c>
      <c r="L815" s="6" t="inlineStr">
        <is>
          <t>REJECTED</t>
        </is>
      </c>
      <c r="M815" s="8" t="n">
        <v>0</v>
      </c>
      <c r="N815" s="7">
        <f>M815*$J$838-J815</f>
        <v/>
      </c>
      <c r="O815" s="9">
        <f>IF(G815=0,0,N815/G815)</f>
        <v/>
      </c>
      <c r="P815" s="6">
        <f>IF(M815&gt;0,D815,"")</f>
        <v/>
      </c>
      <c r="Q815" s="9">
        <f>I815+O815</f>
        <v/>
      </c>
      <c r="R815" s="7">
        <f>Q815*G815</f>
        <v/>
      </c>
      <c r="S815" s="8">
        <f>IF($R$838=0,0,R815/$R$838)</f>
        <v/>
      </c>
      <c r="T815" s="8" t="n">
        <v>0</v>
      </c>
      <c r="U815" s="8" t="n">
        <v>-0.01867112766307055</v>
      </c>
      <c r="V815" s="6" t="inlineStr">
        <is>
          <t>not selected</t>
        </is>
      </c>
    </row>
    <row r="816">
      <c r="A816" s="6" t="inlineStr">
        <is>
          <t>DJ30</t>
        </is>
      </c>
      <c r="B816" s="6" t="inlineStr">
        <is>
          <t>2023-07-07</t>
        </is>
      </c>
      <c r="C816" s="6" t="inlineStr">
        <is>
          <t>DIA</t>
        </is>
      </c>
      <c r="D816" s="6" t="inlineStr">
        <is>
          <t>CVX</t>
        </is>
      </c>
      <c r="E816" s="6" t="inlineStr">
        <is>
          <t>CVX</t>
        </is>
      </c>
      <c r="F816" s="6" t="inlineStr">
        <is>
          <t>-</t>
        </is>
      </c>
      <c r="G816" s="7" t="n">
        <v>135.9166870117188</v>
      </c>
      <c r="H816" s="6">
        <f>P785</f>
        <v/>
      </c>
      <c r="I816" s="9">
        <f>Q785</f>
        <v/>
      </c>
      <c r="J816" s="7">
        <f>I816*G816</f>
        <v/>
      </c>
      <c r="K816" s="8">
        <f>IF($J$838=0,0,J816/$J$838)</f>
        <v/>
      </c>
      <c r="L816" s="6" t="inlineStr">
        <is>
          <t>REJECTED</t>
        </is>
      </c>
      <c r="M816" s="8" t="n">
        <v>0</v>
      </c>
      <c r="N816" s="7">
        <f>M816*$J$838-J816</f>
        <v/>
      </c>
      <c r="O816" s="9">
        <f>IF(G816=0,0,N816/G816)</f>
        <v/>
      </c>
      <c r="P816" s="6">
        <f>IF(M816&gt;0,D816,"")</f>
        <v/>
      </c>
      <c r="Q816" s="9">
        <f>I816+O816</f>
        <v/>
      </c>
      <c r="R816" s="7">
        <f>Q816*G816</f>
        <v/>
      </c>
      <c r="S816" s="8">
        <f>IF($R$838=0,0,R816/$R$838)</f>
        <v/>
      </c>
      <c r="T816" s="8" t="n">
        <v>0</v>
      </c>
      <c r="U816" s="8" t="n">
        <v>-0.01867112766307055</v>
      </c>
      <c r="V816" s="6" t="inlineStr">
        <is>
          <t>not selected</t>
        </is>
      </c>
    </row>
    <row r="817">
      <c r="A817" s="6" t="inlineStr">
        <is>
          <t>DJ30</t>
        </is>
      </c>
      <c r="B817" s="6" t="inlineStr">
        <is>
          <t>2023-07-07</t>
        </is>
      </c>
      <c r="C817" s="6" t="inlineStr">
        <is>
          <t>DIA</t>
        </is>
      </c>
      <c r="D817" s="6" t="inlineStr">
        <is>
          <t>DIS</t>
        </is>
      </c>
      <c r="E817" s="6" t="inlineStr">
        <is>
          <t>DIS</t>
        </is>
      </c>
      <c r="F817" s="6" t="inlineStr">
        <is>
          <t>-</t>
        </is>
      </c>
      <c r="G817" s="7" t="n">
        <v>86.60060119628906</v>
      </c>
      <c r="H817" s="6">
        <f>P786</f>
        <v/>
      </c>
      <c r="I817" s="9">
        <f>Q786</f>
        <v/>
      </c>
      <c r="J817" s="7">
        <f>I817*G817</f>
        <v/>
      </c>
      <c r="K817" s="8">
        <f>IF($J$838=0,0,J817/$J$838)</f>
        <v/>
      </c>
      <c r="L817" s="6" t="inlineStr">
        <is>
          <t>REJECTED</t>
        </is>
      </c>
      <c r="M817" s="8" t="n">
        <v>0</v>
      </c>
      <c r="N817" s="7">
        <f>M817*$J$838-J817</f>
        <v/>
      </c>
      <c r="O817" s="9">
        <f>IF(G817=0,0,N817/G817)</f>
        <v/>
      </c>
      <c r="P817" s="6">
        <f>IF(M817&gt;0,D817,"")</f>
        <v/>
      </c>
      <c r="Q817" s="9">
        <f>I817+O817</f>
        <v/>
      </c>
      <c r="R817" s="7">
        <f>Q817*G817</f>
        <v/>
      </c>
      <c r="S817" s="8">
        <f>IF($R$838=0,0,R817/$R$838)</f>
        <v/>
      </c>
      <c r="T817" s="8" t="n">
        <v>0</v>
      </c>
      <c r="U817" s="8" t="n">
        <v>-0.01867112766307055</v>
      </c>
      <c r="V817" s="6" t="inlineStr">
        <is>
          <t>not selected</t>
        </is>
      </c>
    </row>
    <row r="818">
      <c r="A818" s="6" t="inlineStr">
        <is>
          <t>DJ30</t>
        </is>
      </c>
      <c r="B818" s="6" t="inlineStr">
        <is>
          <t>2023-07-07</t>
        </is>
      </c>
      <c r="C818" s="6" t="inlineStr">
        <is>
          <t>DIA</t>
        </is>
      </c>
      <c r="D818" s="6" t="inlineStr">
        <is>
          <t>GS</t>
        </is>
      </c>
      <c r="E818" s="6" t="inlineStr">
        <is>
          <t>GS</t>
        </is>
      </c>
      <c r="F818" s="6" t="inlineStr">
        <is>
          <t>-</t>
        </is>
      </c>
      <c r="G818" s="7" t="n">
        <v>293.7843627929688</v>
      </c>
      <c r="H818" s="6">
        <f>P787</f>
        <v/>
      </c>
      <c r="I818" s="9">
        <f>Q787</f>
        <v/>
      </c>
      <c r="J818" s="7">
        <f>I818*G818</f>
        <v/>
      </c>
      <c r="K818" s="8">
        <f>IF($J$838=0,0,J818/$J$838)</f>
        <v/>
      </c>
      <c r="L818" s="6" t="inlineStr">
        <is>
          <t>REJECTED</t>
        </is>
      </c>
      <c r="M818" s="8" t="n">
        <v>0</v>
      </c>
      <c r="N818" s="7">
        <f>M818*$J$838-J818</f>
        <v/>
      </c>
      <c r="O818" s="9">
        <f>IF(G818=0,0,N818/G818)</f>
        <v/>
      </c>
      <c r="P818" s="6">
        <f>IF(M818&gt;0,D818,"")</f>
        <v/>
      </c>
      <c r="Q818" s="9">
        <f>I818+O818</f>
        <v/>
      </c>
      <c r="R818" s="7">
        <f>Q818*G818</f>
        <v/>
      </c>
      <c r="S818" s="8">
        <f>IF($R$838=0,0,R818/$R$838)</f>
        <v/>
      </c>
      <c r="T818" s="8" t="n">
        <v>0</v>
      </c>
      <c r="U818" s="8" t="n">
        <v>-0.01867112766307055</v>
      </c>
      <c r="V818" s="6" t="inlineStr">
        <is>
          <t>not selected</t>
        </is>
      </c>
    </row>
    <row r="819">
      <c r="A819" s="6" t="inlineStr">
        <is>
          <t>DJ30</t>
        </is>
      </c>
      <c r="B819" s="6" t="inlineStr">
        <is>
          <t>2023-07-07</t>
        </is>
      </c>
      <c r="C819" s="6" t="inlineStr">
        <is>
          <t>DIA</t>
        </is>
      </c>
      <c r="D819" s="6" t="inlineStr">
        <is>
          <t>HD</t>
        </is>
      </c>
      <c r="E819" s="6" t="inlineStr">
        <is>
          <t>HD</t>
        </is>
      </c>
      <c r="F819" s="6" t="inlineStr">
        <is>
          <t>-</t>
        </is>
      </c>
      <c r="G819" s="7" t="n">
        <v>280.6442260742188</v>
      </c>
      <c r="H819" s="6">
        <f>P788</f>
        <v/>
      </c>
      <c r="I819" s="9">
        <f>Q788</f>
        <v/>
      </c>
      <c r="J819" s="7">
        <f>I819*G819</f>
        <v/>
      </c>
      <c r="K819" s="8">
        <f>IF($J$838=0,0,J819/$J$838)</f>
        <v/>
      </c>
      <c r="L819" s="6" t="inlineStr">
        <is>
          <t>REJECTED</t>
        </is>
      </c>
      <c r="M819" s="8" t="n">
        <v>0</v>
      </c>
      <c r="N819" s="7">
        <f>M819*$J$838-J819</f>
        <v/>
      </c>
      <c r="O819" s="9">
        <f>IF(G819=0,0,N819/G819)</f>
        <v/>
      </c>
      <c r="P819" s="6">
        <f>IF(M819&gt;0,D819,"")</f>
        <v/>
      </c>
      <c r="Q819" s="9">
        <f>I819+O819</f>
        <v/>
      </c>
      <c r="R819" s="7">
        <f>Q819*G819</f>
        <v/>
      </c>
      <c r="S819" s="8">
        <f>IF($R$838=0,0,R819/$R$838)</f>
        <v/>
      </c>
      <c r="T819" s="8" t="n">
        <v>0</v>
      </c>
      <c r="U819" s="8" t="n">
        <v>-0.01867112766307055</v>
      </c>
      <c r="V819" s="6" t="inlineStr">
        <is>
          <t>not selected</t>
        </is>
      </c>
    </row>
    <row r="820">
      <c r="A820" s="6" t="inlineStr">
        <is>
          <t>DJ30</t>
        </is>
      </c>
      <c r="B820" s="6" t="inlineStr">
        <is>
          <t>2023-07-07</t>
        </is>
      </c>
      <c r="C820" s="6" t="inlineStr">
        <is>
          <t>DIA</t>
        </is>
      </c>
      <c r="D820" s="6" t="inlineStr">
        <is>
          <t>HON</t>
        </is>
      </c>
      <c r="E820" s="6" t="inlineStr">
        <is>
          <t>HON</t>
        </is>
      </c>
      <c r="F820" s="6" t="inlineStr">
        <is>
          <t>-</t>
        </is>
      </c>
      <c r="G820" s="7" t="n">
        <v>179.6101531982422</v>
      </c>
      <c r="H820" s="6">
        <f>P789</f>
        <v/>
      </c>
      <c r="I820" s="9">
        <f>Q789</f>
        <v/>
      </c>
      <c r="J820" s="7">
        <f>I820*G820</f>
        <v/>
      </c>
      <c r="K820" s="8">
        <f>IF($J$838=0,0,J820/$J$838)</f>
        <v/>
      </c>
      <c r="L820" s="6" t="inlineStr">
        <is>
          <t>REJECTED</t>
        </is>
      </c>
      <c r="M820" s="8" t="n">
        <v>0</v>
      </c>
      <c r="N820" s="7">
        <f>M820*$J$838-J820</f>
        <v/>
      </c>
      <c r="O820" s="9">
        <f>IF(G820=0,0,N820/G820)</f>
        <v/>
      </c>
      <c r="P820" s="6">
        <f>IF(M820&gt;0,D820,"")</f>
        <v/>
      </c>
      <c r="Q820" s="9">
        <f>I820+O820</f>
        <v/>
      </c>
      <c r="R820" s="7">
        <f>Q820*G820</f>
        <v/>
      </c>
      <c r="S820" s="8">
        <f>IF($R$838=0,0,R820/$R$838)</f>
        <v/>
      </c>
      <c r="T820" s="8" t="n">
        <v>0</v>
      </c>
      <c r="U820" s="8" t="n">
        <v>-0.01867112766307055</v>
      </c>
      <c r="V820" s="6" t="inlineStr">
        <is>
          <t>not selected</t>
        </is>
      </c>
    </row>
    <row r="821">
      <c r="A821" s="6" t="inlineStr">
        <is>
          <t>DJ30</t>
        </is>
      </c>
      <c r="B821" s="6" t="inlineStr">
        <is>
          <t>2023-07-07</t>
        </is>
      </c>
      <c r="C821" s="6" t="inlineStr">
        <is>
          <t>DIA</t>
        </is>
      </c>
      <c r="D821" s="6" t="inlineStr">
        <is>
          <t>IBM</t>
        </is>
      </c>
      <c r="E821" s="6" t="inlineStr">
        <is>
          <t>IBM</t>
        </is>
      </c>
      <c r="F821" s="6" t="inlineStr">
        <is>
          <t>-</t>
        </is>
      </c>
      <c r="G821" s="7" t="n">
        <v>119.8989105224609</v>
      </c>
      <c r="H821" s="6">
        <f>P790</f>
        <v/>
      </c>
      <c r="I821" s="9">
        <f>Q790</f>
        <v/>
      </c>
      <c r="J821" s="7">
        <f>I821*G821</f>
        <v/>
      </c>
      <c r="K821" s="8">
        <f>IF($J$838=0,0,J821/$J$838)</f>
        <v/>
      </c>
      <c r="L821" s="6" t="inlineStr">
        <is>
          <t>REJECTED</t>
        </is>
      </c>
      <c r="M821" s="8" t="n">
        <v>0</v>
      </c>
      <c r="N821" s="7">
        <f>M821*$J$838-J821</f>
        <v/>
      </c>
      <c r="O821" s="9">
        <f>IF(G821=0,0,N821/G821)</f>
        <v/>
      </c>
      <c r="P821" s="6">
        <f>IF(M821&gt;0,D821,"")</f>
        <v/>
      </c>
      <c r="Q821" s="9">
        <f>I821+O821</f>
        <v/>
      </c>
      <c r="R821" s="7">
        <f>Q821*G821</f>
        <v/>
      </c>
      <c r="S821" s="8">
        <f>IF($R$838=0,0,R821/$R$838)</f>
        <v/>
      </c>
      <c r="T821" s="8" t="n">
        <v>0</v>
      </c>
      <c r="U821" s="8" t="n">
        <v>-0.01867112766307055</v>
      </c>
      <c r="V821" s="6" t="inlineStr">
        <is>
          <t>not selected</t>
        </is>
      </c>
    </row>
    <row r="822">
      <c r="A822" s="6" t="inlineStr">
        <is>
          <t>DJ30</t>
        </is>
      </c>
      <c r="B822" s="6" t="inlineStr">
        <is>
          <t>2023-07-07</t>
        </is>
      </c>
      <c r="C822" s="6" t="inlineStr">
        <is>
          <t>DIA</t>
        </is>
      </c>
      <c r="D822" s="6" t="inlineStr">
        <is>
          <t>JNJ</t>
        </is>
      </c>
      <c r="E822" s="6" t="inlineStr">
        <is>
          <t>JNJ</t>
        </is>
      </c>
      <c r="F822" s="6" t="inlineStr">
        <is>
          <t>-</t>
        </is>
      </c>
      <c r="G822" s="7" t="n">
        <v>145.8981170654297</v>
      </c>
      <c r="H822" s="6">
        <f>P791</f>
        <v/>
      </c>
      <c r="I822" s="9">
        <f>Q791</f>
        <v/>
      </c>
      <c r="J822" s="7">
        <f>I822*G822</f>
        <v/>
      </c>
      <c r="K822" s="8">
        <f>IF($J$838=0,0,J822/$J$838)</f>
        <v/>
      </c>
      <c r="L822" s="6" t="inlineStr">
        <is>
          <t>REJECTED</t>
        </is>
      </c>
      <c r="M822" s="8" t="n">
        <v>0</v>
      </c>
      <c r="N822" s="7">
        <f>M822*$J$838-J822</f>
        <v/>
      </c>
      <c r="O822" s="9">
        <f>IF(G822=0,0,N822/G822)</f>
        <v/>
      </c>
      <c r="P822" s="6">
        <f>IF(M822&gt;0,D822,"")</f>
        <v/>
      </c>
      <c r="Q822" s="9">
        <f>I822+O822</f>
        <v/>
      </c>
      <c r="R822" s="7">
        <f>Q822*G822</f>
        <v/>
      </c>
      <c r="S822" s="8">
        <f>IF($R$838=0,0,R822/$R$838)</f>
        <v/>
      </c>
      <c r="T822" s="8" t="n">
        <v>0</v>
      </c>
      <c r="U822" s="8" t="n">
        <v>-0.01867112766307055</v>
      </c>
      <c r="V822" s="6" t="inlineStr">
        <is>
          <t>not selected</t>
        </is>
      </c>
    </row>
    <row r="823">
      <c r="A823" s="6" t="inlineStr">
        <is>
          <t>DJ30</t>
        </is>
      </c>
      <c r="B823" s="6" t="inlineStr">
        <is>
          <t>2023-07-07</t>
        </is>
      </c>
      <c r="C823" s="6" t="inlineStr">
        <is>
          <t>DIA</t>
        </is>
      </c>
      <c r="D823" s="6" t="inlineStr">
        <is>
          <t>JPM</t>
        </is>
      </c>
      <c r="E823" s="6" t="inlineStr">
        <is>
          <t>JPM</t>
        </is>
      </c>
      <c r="F823" s="6" t="inlineStr">
        <is>
          <t>-</t>
        </is>
      </c>
      <c r="G823" s="7" t="n">
        <v>135.7300415039062</v>
      </c>
      <c r="H823" s="6">
        <f>P792</f>
        <v/>
      </c>
      <c r="I823" s="9">
        <f>Q792</f>
        <v/>
      </c>
      <c r="J823" s="7">
        <f>I823*G823</f>
        <v/>
      </c>
      <c r="K823" s="8">
        <f>IF($J$838=0,0,J823/$J$838)</f>
        <v/>
      </c>
      <c r="L823" s="6" t="inlineStr">
        <is>
          <t>REJECTED</t>
        </is>
      </c>
      <c r="M823" s="8" t="n">
        <v>0</v>
      </c>
      <c r="N823" s="7">
        <f>M823*$J$838-J823</f>
        <v/>
      </c>
      <c r="O823" s="9">
        <f>IF(G823=0,0,N823/G823)</f>
        <v/>
      </c>
      <c r="P823" s="6">
        <f>IF(M823&gt;0,D823,"")</f>
        <v/>
      </c>
      <c r="Q823" s="9">
        <f>I823+O823</f>
        <v/>
      </c>
      <c r="R823" s="7">
        <f>Q823*G823</f>
        <v/>
      </c>
      <c r="S823" s="8">
        <f>IF($R$838=0,0,R823/$R$838)</f>
        <v/>
      </c>
      <c r="T823" s="8" t="n">
        <v>0</v>
      </c>
      <c r="U823" s="8" t="n">
        <v>-0.01867112766307055</v>
      </c>
      <c r="V823" s="6" t="inlineStr">
        <is>
          <t>not selected</t>
        </is>
      </c>
    </row>
    <row r="824">
      <c r="A824" s="6" t="inlineStr">
        <is>
          <t>DJ30</t>
        </is>
      </c>
      <c r="B824" s="6" t="inlineStr">
        <is>
          <t>2023-07-07</t>
        </is>
      </c>
      <c r="C824" s="6" t="inlineStr">
        <is>
          <t>DIA</t>
        </is>
      </c>
      <c r="D824" s="6" t="inlineStr">
        <is>
          <t>KO</t>
        </is>
      </c>
      <c r="E824" s="6" t="inlineStr">
        <is>
          <t>KO</t>
        </is>
      </c>
      <c r="F824" s="6" t="inlineStr">
        <is>
          <t>-</t>
        </is>
      </c>
      <c r="G824" s="7" t="n">
        <v>54.71040725708008</v>
      </c>
      <c r="H824" s="6">
        <f>P793</f>
        <v/>
      </c>
      <c r="I824" s="9">
        <f>Q793</f>
        <v/>
      </c>
      <c r="J824" s="7">
        <f>I824*G824</f>
        <v/>
      </c>
      <c r="K824" s="8">
        <f>IF($J$838=0,0,J824/$J$838)</f>
        <v/>
      </c>
      <c r="L824" s="6" t="inlineStr">
        <is>
          <t>REJECTED</t>
        </is>
      </c>
      <c r="M824" s="8" t="n">
        <v>0</v>
      </c>
      <c r="N824" s="7">
        <f>M824*$J$838-J824</f>
        <v/>
      </c>
      <c r="O824" s="9">
        <f>IF(G824=0,0,N824/G824)</f>
        <v/>
      </c>
      <c r="P824" s="6">
        <f>IF(M824&gt;0,D824,"")</f>
        <v/>
      </c>
      <c r="Q824" s="9">
        <f>I824+O824</f>
        <v/>
      </c>
      <c r="R824" s="7">
        <f>Q824*G824</f>
        <v/>
      </c>
      <c r="S824" s="8">
        <f>IF($R$838=0,0,R824/$R$838)</f>
        <v/>
      </c>
      <c r="T824" s="8" t="n">
        <v>0</v>
      </c>
      <c r="U824" s="8" t="n">
        <v>-0.01867112766307055</v>
      </c>
      <c r="V824" s="6" t="inlineStr">
        <is>
          <t>not selected</t>
        </is>
      </c>
    </row>
    <row r="825">
      <c r="A825" s="6" t="inlineStr">
        <is>
          <t>DJ30</t>
        </is>
      </c>
      <c r="B825" s="6" t="inlineStr">
        <is>
          <t>2023-07-07</t>
        </is>
      </c>
      <c r="C825" s="6" t="inlineStr">
        <is>
          <t>DIA</t>
        </is>
      </c>
      <c r="D825" s="6" t="inlineStr">
        <is>
          <t>MCD</t>
        </is>
      </c>
      <c r="E825" s="6" t="inlineStr">
        <is>
          <t>MCD</t>
        </is>
      </c>
      <c r="F825" s="6" t="inlineStr">
        <is>
          <t>-</t>
        </is>
      </c>
      <c r="G825" s="7" t="n">
        <v>272.1705627441406</v>
      </c>
      <c r="H825" s="6">
        <f>P794</f>
        <v/>
      </c>
      <c r="I825" s="9">
        <f>Q794</f>
        <v/>
      </c>
      <c r="J825" s="7">
        <f>I825*G825</f>
        <v/>
      </c>
      <c r="K825" s="8">
        <f>IF($J$838=0,0,J825/$J$838)</f>
        <v/>
      </c>
      <c r="L825" s="6" t="inlineStr">
        <is>
          <t>REJECTED</t>
        </is>
      </c>
      <c r="M825" s="8" t="n">
        <v>0</v>
      </c>
      <c r="N825" s="7">
        <f>M825*$J$838-J825</f>
        <v/>
      </c>
      <c r="O825" s="9">
        <f>IF(G825=0,0,N825/G825)</f>
        <v/>
      </c>
      <c r="P825" s="6">
        <f>IF(M825&gt;0,D825,"")</f>
        <v/>
      </c>
      <c r="Q825" s="9">
        <f>I825+O825</f>
        <v/>
      </c>
      <c r="R825" s="7">
        <f>Q825*G825</f>
        <v/>
      </c>
      <c r="S825" s="8">
        <f>IF($R$838=0,0,R825/$R$838)</f>
        <v/>
      </c>
      <c r="T825" s="8" t="n">
        <v>0</v>
      </c>
      <c r="U825" s="8" t="n">
        <v>-0.01867112766307055</v>
      </c>
      <c r="V825" s="6" t="inlineStr">
        <is>
          <t>not selected</t>
        </is>
      </c>
    </row>
    <row r="826">
      <c r="A826" s="6" t="inlineStr">
        <is>
          <t>DJ30</t>
        </is>
      </c>
      <c r="B826" s="6" t="inlineStr">
        <is>
          <t>2023-07-07</t>
        </is>
      </c>
      <c r="C826" s="6" t="inlineStr">
        <is>
          <t>DIA</t>
        </is>
      </c>
      <c r="D826" s="6" t="inlineStr">
        <is>
          <t>MMM</t>
        </is>
      </c>
      <c r="E826" s="6" t="inlineStr">
        <is>
          <t>MMM</t>
        </is>
      </c>
      <c r="F826" s="6" t="inlineStr">
        <is>
          <t>-</t>
        </is>
      </c>
      <c r="G826" s="7" t="n">
        <v>74.13150787353516</v>
      </c>
      <c r="H826" s="6">
        <f>P795</f>
        <v/>
      </c>
      <c r="I826" s="9">
        <f>Q795</f>
        <v/>
      </c>
      <c r="J826" s="7">
        <f>I826*G826</f>
        <v/>
      </c>
      <c r="K826" s="8">
        <f>IF($J$838=0,0,J826/$J$838)</f>
        <v/>
      </c>
      <c r="L826" s="6" t="inlineStr">
        <is>
          <t>REJECTED</t>
        </is>
      </c>
      <c r="M826" s="8" t="n">
        <v>0</v>
      </c>
      <c r="N826" s="7">
        <f>M826*$J$838-J826</f>
        <v/>
      </c>
      <c r="O826" s="9">
        <f>IF(G826=0,0,N826/G826)</f>
        <v/>
      </c>
      <c r="P826" s="6">
        <f>IF(M826&gt;0,D826,"")</f>
        <v/>
      </c>
      <c r="Q826" s="9">
        <f>I826+O826</f>
        <v/>
      </c>
      <c r="R826" s="7">
        <f>Q826*G826</f>
        <v/>
      </c>
      <c r="S826" s="8">
        <f>IF($R$838=0,0,R826/$R$838)</f>
        <v/>
      </c>
      <c r="T826" s="8" t="n">
        <v>0</v>
      </c>
      <c r="U826" s="8" t="n">
        <v>-0.01867112766307055</v>
      </c>
      <c r="V826" s="6" t="inlineStr">
        <is>
          <t>not selected</t>
        </is>
      </c>
    </row>
    <row r="827">
      <c r="A827" s="6" t="inlineStr">
        <is>
          <t>DJ30</t>
        </is>
      </c>
      <c r="B827" s="6" t="inlineStr">
        <is>
          <t>2023-07-07</t>
        </is>
      </c>
      <c r="C827" s="6" t="inlineStr">
        <is>
          <t>DIA</t>
        </is>
      </c>
      <c r="D827" s="6" t="inlineStr">
        <is>
          <t>MRK</t>
        </is>
      </c>
      <c r="E827" s="6" t="inlineStr">
        <is>
          <t>MRK</t>
        </is>
      </c>
      <c r="F827" s="6" t="inlineStr">
        <is>
          <t>-</t>
        </is>
      </c>
      <c r="G827" s="7" t="n">
        <v>99.38094329833984</v>
      </c>
      <c r="H827" s="6">
        <f>P796</f>
        <v/>
      </c>
      <c r="I827" s="9">
        <f>Q796</f>
        <v/>
      </c>
      <c r="J827" s="7">
        <f>I827*G827</f>
        <v/>
      </c>
      <c r="K827" s="8">
        <f>IF($J$838=0,0,J827/$J$838)</f>
        <v/>
      </c>
      <c r="L827" s="6" t="inlineStr">
        <is>
          <t>REJECTED</t>
        </is>
      </c>
      <c r="M827" s="8" t="n">
        <v>0</v>
      </c>
      <c r="N827" s="7">
        <f>M827*$J$838-J827</f>
        <v/>
      </c>
      <c r="O827" s="9">
        <f>IF(G827=0,0,N827/G827)</f>
        <v/>
      </c>
      <c r="P827" s="6">
        <f>IF(M827&gt;0,D827,"")</f>
        <v/>
      </c>
      <c r="Q827" s="9">
        <f>I827+O827</f>
        <v/>
      </c>
      <c r="R827" s="7">
        <f>Q827*G827</f>
        <v/>
      </c>
      <c r="S827" s="8">
        <f>IF($R$838=0,0,R827/$R$838)</f>
        <v/>
      </c>
      <c r="T827" s="8" t="n">
        <v>0</v>
      </c>
      <c r="U827" s="8" t="n">
        <v>-0.01867112766307055</v>
      </c>
      <c r="V827" s="6" t="inlineStr">
        <is>
          <t>not selected</t>
        </is>
      </c>
    </row>
    <row r="828">
      <c r="A828" s="6" t="inlineStr">
        <is>
          <t>DJ30</t>
        </is>
      </c>
      <c r="B828" s="6" t="inlineStr">
        <is>
          <t>2023-07-07</t>
        </is>
      </c>
      <c r="C828" s="6" t="inlineStr">
        <is>
          <t>DIA</t>
        </is>
      </c>
      <c r="D828" s="6" t="inlineStr">
        <is>
          <t>MSFT</t>
        </is>
      </c>
      <c r="E828" s="6" t="inlineStr">
        <is>
          <t>MSFT</t>
        </is>
      </c>
      <c r="F828" s="6" t="inlineStr">
        <is>
          <t>-</t>
        </is>
      </c>
      <c r="G828" s="7" t="n">
        <v>329.4253540039062</v>
      </c>
      <c r="H828" s="6">
        <f>P797</f>
        <v/>
      </c>
      <c r="I828" s="9">
        <f>Q797</f>
        <v/>
      </c>
      <c r="J828" s="7">
        <f>I828*G828</f>
        <v/>
      </c>
      <c r="K828" s="8">
        <f>IF($J$838=0,0,J828/$J$838)</f>
        <v/>
      </c>
      <c r="L828" s="6" t="inlineStr">
        <is>
          <t>REJECTED</t>
        </is>
      </c>
      <c r="M828" s="8" t="n">
        <v>0</v>
      </c>
      <c r="N828" s="7">
        <f>M828*$J$838-J828</f>
        <v/>
      </c>
      <c r="O828" s="9">
        <f>IF(G828=0,0,N828/G828)</f>
        <v/>
      </c>
      <c r="P828" s="6">
        <f>IF(M828&gt;0,D828,"")</f>
        <v/>
      </c>
      <c r="Q828" s="9">
        <f>I828+O828</f>
        <v/>
      </c>
      <c r="R828" s="7">
        <f>Q828*G828</f>
        <v/>
      </c>
      <c r="S828" s="8">
        <f>IF($R$838=0,0,R828/$R$838)</f>
        <v/>
      </c>
      <c r="T828" s="8" t="n">
        <v>0</v>
      </c>
      <c r="U828" s="8" t="n">
        <v>-0.01867112766307055</v>
      </c>
      <c r="V828" s="6" t="inlineStr">
        <is>
          <t>not selected</t>
        </is>
      </c>
    </row>
    <row r="829">
      <c r="A829" s="6" t="inlineStr">
        <is>
          <t>DJ30</t>
        </is>
      </c>
      <c r="B829" s="6" t="inlineStr">
        <is>
          <t>2023-07-07</t>
        </is>
      </c>
      <c r="C829" s="6" t="inlineStr">
        <is>
          <t>DIA</t>
        </is>
      </c>
      <c r="D829" s="6" t="inlineStr">
        <is>
          <t>NKE</t>
        </is>
      </c>
      <c r="E829" s="6" t="inlineStr">
        <is>
          <t>NKE</t>
        </is>
      </c>
      <c r="F829" s="6" t="inlineStr">
        <is>
          <t>-</t>
        </is>
      </c>
      <c r="G829" s="7" t="n">
        <v>98.1348876953125</v>
      </c>
      <c r="H829" s="6">
        <f>P798</f>
        <v/>
      </c>
      <c r="I829" s="9">
        <f>Q798</f>
        <v/>
      </c>
      <c r="J829" s="7">
        <f>I829*G829</f>
        <v/>
      </c>
      <c r="K829" s="8">
        <f>IF($J$838=0,0,J829/$J$838)</f>
        <v/>
      </c>
      <c r="L829" s="6" t="inlineStr">
        <is>
          <t>REJECTED</t>
        </is>
      </c>
      <c r="M829" s="8" t="n">
        <v>0</v>
      </c>
      <c r="N829" s="7">
        <f>M829*$J$838-J829</f>
        <v/>
      </c>
      <c r="O829" s="9">
        <f>IF(G829=0,0,N829/G829)</f>
        <v/>
      </c>
      <c r="P829" s="6">
        <f>IF(M829&gt;0,D829,"")</f>
        <v/>
      </c>
      <c r="Q829" s="9">
        <f>I829+O829</f>
        <v/>
      </c>
      <c r="R829" s="7">
        <f>Q829*G829</f>
        <v/>
      </c>
      <c r="S829" s="8">
        <f>IF($R$838=0,0,R829/$R$838)</f>
        <v/>
      </c>
      <c r="T829" s="8" t="n">
        <v>0</v>
      </c>
      <c r="U829" s="8" t="n">
        <v>-0.01867112766307055</v>
      </c>
      <c r="V829" s="6" t="inlineStr">
        <is>
          <t>not selected</t>
        </is>
      </c>
    </row>
    <row r="830">
      <c r="A830" s="6" t="inlineStr">
        <is>
          <t>DJ30</t>
        </is>
      </c>
      <c r="B830" s="6" t="inlineStr">
        <is>
          <t>2023-07-07</t>
        </is>
      </c>
      <c r="C830" s="6" t="inlineStr">
        <is>
          <t>DIA</t>
        </is>
      </c>
      <c r="D830" s="6" t="inlineStr">
        <is>
          <t>NVDA</t>
        </is>
      </c>
      <c r="E830" s="6" t="inlineStr">
        <is>
          <t>NVDA</t>
        </is>
      </c>
      <c r="F830" s="6" t="inlineStr">
        <is>
          <t>-</t>
        </is>
      </c>
      <c r="G830" s="7" t="n">
        <v>42.42036056518555</v>
      </c>
      <c r="H830" s="6">
        <f>P799</f>
        <v/>
      </c>
      <c r="I830" s="9">
        <f>Q799</f>
        <v/>
      </c>
      <c r="J830" s="7">
        <f>I830*G830</f>
        <v/>
      </c>
      <c r="K830" s="8">
        <f>IF($J$838=0,0,J830/$J$838)</f>
        <v/>
      </c>
      <c r="L830" s="6" t="inlineStr">
        <is>
          <t>REJECTED</t>
        </is>
      </c>
      <c r="M830" s="8" t="n">
        <v>0</v>
      </c>
      <c r="N830" s="7">
        <f>M830*$J$838-J830</f>
        <v/>
      </c>
      <c r="O830" s="9">
        <f>IF(G830=0,0,N830/G830)</f>
        <v/>
      </c>
      <c r="P830" s="6">
        <f>IF(M830&gt;0,D830,"")</f>
        <v/>
      </c>
      <c r="Q830" s="9">
        <f>I830+O830</f>
        <v/>
      </c>
      <c r="R830" s="7">
        <f>Q830*G830</f>
        <v/>
      </c>
      <c r="S830" s="8">
        <f>IF($R$838=0,0,R830/$R$838)</f>
        <v/>
      </c>
      <c r="T830" s="8" t="n">
        <v>0</v>
      </c>
      <c r="U830" s="8" t="n">
        <v>-0.01867112766307055</v>
      </c>
      <c r="V830" s="6" t="inlineStr">
        <is>
          <t>not selected</t>
        </is>
      </c>
    </row>
    <row r="831">
      <c r="A831" s="6" t="inlineStr">
        <is>
          <t>DJ30</t>
        </is>
      </c>
      <c r="B831" s="6" t="inlineStr">
        <is>
          <t>2023-07-07</t>
        </is>
      </c>
      <c r="C831" s="6" t="inlineStr">
        <is>
          <t>DIA</t>
        </is>
      </c>
      <c r="D831" s="6" t="inlineStr">
        <is>
          <t>PG</t>
        </is>
      </c>
      <c r="E831" s="6" t="inlineStr">
        <is>
          <t>PG</t>
        </is>
      </c>
      <c r="F831" s="6" t="inlineStr">
        <is>
          <t>-</t>
        </is>
      </c>
      <c r="G831" s="7" t="n">
        <v>137.6598663330078</v>
      </c>
      <c r="H831" s="6">
        <f>P800</f>
        <v/>
      </c>
      <c r="I831" s="9">
        <f>Q800</f>
        <v/>
      </c>
      <c r="J831" s="7">
        <f>I831*G831</f>
        <v/>
      </c>
      <c r="K831" s="8">
        <f>IF($J$838=0,0,J831/$J$838)</f>
        <v/>
      </c>
      <c r="L831" s="6" t="inlineStr">
        <is>
          <t>REJECTED</t>
        </is>
      </c>
      <c r="M831" s="8" t="n">
        <v>0</v>
      </c>
      <c r="N831" s="7">
        <f>M831*$J$838-J831</f>
        <v/>
      </c>
      <c r="O831" s="9">
        <f>IF(G831=0,0,N831/G831)</f>
        <v/>
      </c>
      <c r="P831" s="6">
        <f>IF(M831&gt;0,D831,"")</f>
        <v/>
      </c>
      <c r="Q831" s="9">
        <f>I831+O831</f>
        <v/>
      </c>
      <c r="R831" s="7">
        <f>Q831*G831</f>
        <v/>
      </c>
      <c r="S831" s="8">
        <f>IF($R$838=0,0,R831/$R$838)</f>
        <v/>
      </c>
      <c r="T831" s="8" t="n">
        <v>0</v>
      </c>
      <c r="U831" s="8" t="n">
        <v>-0.01867112766307055</v>
      </c>
      <c r="V831" s="6" t="inlineStr">
        <is>
          <t>not selected</t>
        </is>
      </c>
    </row>
    <row r="832">
      <c r="A832" s="6" t="inlineStr">
        <is>
          <t>DJ30</t>
        </is>
      </c>
      <c r="B832" s="6" t="inlineStr">
        <is>
          <t>2023-07-07</t>
        </is>
      </c>
      <c r="C832" s="6" t="inlineStr">
        <is>
          <t>DIA</t>
        </is>
      </c>
      <c r="D832" s="6" t="inlineStr">
        <is>
          <t>SHW</t>
        </is>
      </c>
      <c r="E832" s="6" t="inlineStr">
        <is>
          <t>SHW</t>
        </is>
      </c>
      <c r="F832" s="6" t="inlineStr">
        <is>
          <t>-</t>
        </is>
      </c>
      <c r="G832" s="7" t="n">
        <v>248.7358703613281</v>
      </c>
      <c r="H832" s="6">
        <f>P801</f>
        <v/>
      </c>
      <c r="I832" s="9">
        <f>Q801</f>
        <v/>
      </c>
      <c r="J832" s="7">
        <f>I832*G832</f>
        <v/>
      </c>
      <c r="K832" s="8">
        <f>IF($J$838=0,0,J832/$J$838)</f>
        <v/>
      </c>
      <c r="L832" s="6" t="inlineStr">
        <is>
          <t>REJECTED</t>
        </is>
      </c>
      <c r="M832" s="8" t="n">
        <v>0</v>
      </c>
      <c r="N832" s="7">
        <f>M832*$J$838-J832</f>
        <v/>
      </c>
      <c r="O832" s="9">
        <f>IF(G832=0,0,N832/G832)</f>
        <v/>
      </c>
      <c r="P832" s="6">
        <f>IF(M832&gt;0,D832,"")</f>
        <v/>
      </c>
      <c r="Q832" s="9">
        <f>I832+O832</f>
        <v/>
      </c>
      <c r="R832" s="7">
        <f>Q832*G832</f>
        <v/>
      </c>
      <c r="S832" s="8">
        <f>IF($R$838=0,0,R832/$R$838)</f>
        <v/>
      </c>
      <c r="T832" s="8" t="n">
        <v>0</v>
      </c>
      <c r="U832" s="8" t="n">
        <v>-0.01867112766307055</v>
      </c>
      <c r="V832" s="6" t="inlineStr">
        <is>
          <t>not selected</t>
        </is>
      </c>
    </row>
    <row r="833">
      <c r="A833" s="6" t="inlineStr">
        <is>
          <t>DJ30</t>
        </is>
      </c>
      <c r="B833" s="6" t="inlineStr">
        <is>
          <t>2023-07-07</t>
        </is>
      </c>
      <c r="C833" s="6" t="inlineStr">
        <is>
          <t>DIA</t>
        </is>
      </c>
      <c r="D833" s="6" t="inlineStr">
        <is>
          <t>TRV</t>
        </is>
      </c>
      <c r="E833" s="6" t="inlineStr">
        <is>
          <t>TRV</t>
        </is>
      </c>
      <c r="F833" s="6" t="inlineStr">
        <is>
          <t>-</t>
        </is>
      </c>
      <c r="G833" s="7" t="n">
        <v>162.6703796386719</v>
      </c>
      <c r="H833" s="6">
        <f>P802</f>
        <v/>
      </c>
      <c r="I833" s="9">
        <f>Q802</f>
        <v/>
      </c>
      <c r="J833" s="7">
        <f>I833*G833</f>
        <v/>
      </c>
      <c r="K833" s="8">
        <f>IF($J$838=0,0,J833/$J$838)</f>
        <v/>
      </c>
      <c r="L833" s="6" t="inlineStr">
        <is>
          <t>REJECTED</t>
        </is>
      </c>
      <c r="M833" s="8" t="n">
        <v>0</v>
      </c>
      <c r="N833" s="7">
        <f>M833*$J$838-J833</f>
        <v/>
      </c>
      <c r="O833" s="9">
        <f>IF(G833=0,0,N833/G833)</f>
        <v/>
      </c>
      <c r="P833" s="6">
        <f>IF(M833&gt;0,D833,"")</f>
        <v/>
      </c>
      <c r="Q833" s="9">
        <f>I833+O833</f>
        <v/>
      </c>
      <c r="R833" s="7">
        <f>Q833*G833</f>
        <v/>
      </c>
      <c r="S833" s="8">
        <f>IF($R$838=0,0,R833/$R$838)</f>
        <v/>
      </c>
      <c r="T833" s="8" t="n">
        <v>0</v>
      </c>
      <c r="U833" s="8" t="n">
        <v>-0.01867112766307055</v>
      </c>
      <c r="V833" s="6" t="inlineStr">
        <is>
          <t>not selected</t>
        </is>
      </c>
    </row>
    <row r="834">
      <c r="A834" s="6" t="inlineStr">
        <is>
          <t>DJ30</t>
        </is>
      </c>
      <c r="B834" s="6" t="inlineStr">
        <is>
          <t>2023-07-07</t>
        </is>
      </c>
      <c r="C834" s="6" t="inlineStr">
        <is>
          <t>DIA</t>
        </is>
      </c>
      <c r="D834" s="6" t="inlineStr">
        <is>
          <t>UNH</t>
        </is>
      </c>
      <c r="E834" s="6" t="inlineStr">
        <is>
          <t>UNH</t>
        </is>
      </c>
      <c r="F834" s="6" t="inlineStr">
        <is>
          <t>-</t>
        </is>
      </c>
      <c r="G834" s="7" t="n">
        <v>434.44140625</v>
      </c>
      <c r="H834" s="6">
        <f>P803</f>
        <v/>
      </c>
      <c r="I834" s="9">
        <f>Q803</f>
        <v/>
      </c>
      <c r="J834" s="7">
        <f>I834*G834</f>
        <v/>
      </c>
      <c r="K834" s="8">
        <f>IF($J$838=0,0,J834/$J$838)</f>
        <v/>
      </c>
      <c r="L834" s="6" t="inlineStr">
        <is>
          <t>REJECTED</t>
        </is>
      </c>
      <c r="M834" s="8" t="n">
        <v>0</v>
      </c>
      <c r="N834" s="7">
        <f>M834*$J$838-J834</f>
        <v/>
      </c>
      <c r="O834" s="9">
        <f>IF(G834=0,0,N834/G834)</f>
        <v/>
      </c>
      <c r="P834" s="6">
        <f>IF(M834&gt;0,D834,"")</f>
        <v/>
      </c>
      <c r="Q834" s="9">
        <f>I834+O834</f>
        <v/>
      </c>
      <c r="R834" s="7">
        <f>Q834*G834</f>
        <v/>
      </c>
      <c r="S834" s="8">
        <f>IF($R$838=0,0,R834/$R$838)</f>
        <v/>
      </c>
      <c r="T834" s="8" t="n">
        <v>0</v>
      </c>
      <c r="U834" s="8" t="n">
        <v>-0.01867112766307055</v>
      </c>
      <c r="V834" s="6" t="inlineStr">
        <is>
          <t>not selected</t>
        </is>
      </c>
    </row>
    <row r="835">
      <c r="A835" s="6" t="inlineStr">
        <is>
          <t>DJ30</t>
        </is>
      </c>
      <c r="B835" s="6" t="inlineStr">
        <is>
          <t>2023-07-07</t>
        </is>
      </c>
      <c r="C835" s="6" t="inlineStr">
        <is>
          <t>DIA</t>
        </is>
      </c>
      <c r="D835" s="6" t="inlineStr">
        <is>
          <t>V</t>
        </is>
      </c>
      <c r="E835" s="6" t="inlineStr">
        <is>
          <t>V</t>
        </is>
      </c>
      <c r="F835" s="6" t="inlineStr">
        <is>
          <t>-</t>
        </is>
      </c>
      <c r="G835" s="7" t="n">
        <v>231.1133728027344</v>
      </c>
      <c r="H835" s="6">
        <f>P804</f>
        <v/>
      </c>
      <c r="I835" s="9">
        <f>Q804</f>
        <v/>
      </c>
      <c r="J835" s="7">
        <f>I835*G835</f>
        <v/>
      </c>
      <c r="K835" s="8">
        <f>IF($J$838=0,0,J835/$J$838)</f>
        <v/>
      </c>
      <c r="L835" s="6" t="inlineStr">
        <is>
          <t>REJECTED</t>
        </is>
      </c>
      <c r="M835" s="8" t="n">
        <v>0</v>
      </c>
      <c r="N835" s="7">
        <f>M835*$J$838-J835</f>
        <v/>
      </c>
      <c r="O835" s="9">
        <f>IF(G835=0,0,N835/G835)</f>
        <v/>
      </c>
      <c r="P835" s="6">
        <f>IF(M835&gt;0,D835,"")</f>
        <v/>
      </c>
      <c r="Q835" s="9">
        <f>I835+O835</f>
        <v/>
      </c>
      <c r="R835" s="7">
        <f>Q835*G835</f>
        <v/>
      </c>
      <c r="S835" s="8">
        <f>IF($R$838=0,0,R835/$R$838)</f>
        <v/>
      </c>
      <c r="T835" s="8" t="n">
        <v>0</v>
      </c>
      <c r="U835" s="8" t="n">
        <v>-0.01867112766307055</v>
      </c>
      <c r="V835" s="6" t="inlineStr">
        <is>
          <t>not selected</t>
        </is>
      </c>
    </row>
    <row r="836">
      <c r="A836" s="6" t="inlineStr">
        <is>
          <t>DJ30</t>
        </is>
      </c>
      <c r="B836" s="6" t="inlineStr">
        <is>
          <t>2023-07-07</t>
        </is>
      </c>
      <c r="C836" s="6" t="inlineStr">
        <is>
          <t>DIA</t>
        </is>
      </c>
      <c r="D836" s="6" t="inlineStr">
        <is>
          <t>VZ</t>
        </is>
      </c>
      <c r="E836" s="6" t="inlineStr">
        <is>
          <t>VZ</t>
        </is>
      </c>
      <c r="F836" s="6" t="inlineStr">
        <is>
          <t>-</t>
        </is>
      </c>
      <c r="G836" s="7" t="n">
        <v>29.85628509521484</v>
      </c>
      <c r="H836" s="6">
        <f>P805</f>
        <v/>
      </c>
      <c r="I836" s="9">
        <f>Q805</f>
        <v/>
      </c>
      <c r="J836" s="7">
        <f>I836*G836</f>
        <v/>
      </c>
      <c r="K836" s="8">
        <f>IF($J$838=0,0,J836/$J$838)</f>
        <v/>
      </c>
      <c r="L836" s="6" t="inlineStr">
        <is>
          <t>REJECTED</t>
        </is>
      </c>
      <c r="M836" s="8" t="n">
        <v>0</v>
      </c>
      <c r="N836" s="7">
        <f>M836*$J$838-J836</f>
        <v/>
      </c>
      <c r="O836" s="9">
        <f>IF(G836=0,0,N836/G836)</f>
        <v/>
      </c>
      <c r="P836" s="6">
        <f>IF(M836&gt;0,D836,"")</f>
        <v/>
      </c>
      <c r="Q836" s="9">
        <f>I836+O836</f>
        <v/>
      </c>
      <c r="R836" s="7">
        <f>Q836*G836</f>
        <v/>
      </c>
      <c r="S836" s="8">
        <f>IF($R$838=0,0,R836/$R$838)</f>
        <v/>
      </c>
      <c r="T836" s="8" t="n">
        <v>0</v>
      </c>
      <c r="U836" s="8" t="n">
        <v>-0.01867112766307055</v>
      </c>
      <c r="V836" s="6" t="inlineStr">
        <is>
          <t>not selected</t>
        </is>
      </c>
    </row>
    <row r="837">
      <c r="A837" s="6" t="inlineStr">
        <is>
          <t>DJ30</t>
        </is>
      </c>
      <c r="B837" s="6" t="inlineStr">
        <is>
          <t>2023-07-07</t>
        </is>
      </c>
      <c r="C837" s="6" t="inlineStr">
        <is>
          <t>DIA</t>
        </is>
      </c>
      <c r="D837" s="6" t="inlineStr">
        <is>
          <t>WMT</t>
        </is>
      </c>
      <c r="E837" s="6" t="inlineStr">
        <is>
          <t>WMT</t>
        </is>
      </c>
      <c r="F837" s="6" t="inlineStr">
        <is>
          <t>-</t>
        </is>
      </c>
      <c r="G837" s="7" t="n">
        <v>49.51963043212891</v>
      </c>
      <c r="H837" s="6">
        <f>P806</f>
        <v/>
      </c>
      <c r="I837" s="9">
        <f>Q806</f>
        <v/>
      </c>
      <c r="J837" s="7">
        <f>I837*G837</f>
        <v/>
      </c>
      <c r="K837" s="8">
        <f>IF($J$838=0,0,J837/$J$838)</f>
        <v/>
      </c>
      <c r="L837" s="6" t="inlineStr">
        <is>
          <t>REJECTED</t>
        </is>
      </c>
      <c r="M837" s="8" t="n">
        <v>0</v>
      </c>
      <c r="N837" s="7">
        <f>M837*$J$838-J837</f>
        <v/>
      </c>
      <c r="O837" s="9">
        <f>IF(G837=0,0,N837/G837)</f>
        <v/>
      </c>
      <c r="P837" s="6">
        <f>IF(M837&gt;0,D837,"")</f>
        <v/>
      </c>
      <c r="Q837" s="9">
        <f>I837+O837</f>
        <v/>
      </c>
      <c r="R837" s="7">
        <f>Q837*G837</f>
        <v/>
      </c>
      <c r="S837" s="8">
        <f>IF($R$838=0,0,R837/$R$838)</f>
        <v/>
      </c>
      <c r="T837" s="8" t="n">
        <v>0</v>
      </c>
      <c r="U837" s="8" t="n">
        <v>-0.01867112766307055</v>
      </c>
      <c r="V837" s="6" t="inlineStr">
        <is>
          <t>not selected</t>
        </is>
      </c>
    </row>
    <row r="838">
      <c r="A838" s="10" t="inlineStr">
        <is>
          <t>DJ30</t>
        </is>
      </c>
      <c r="B838" s="10" t="inlineStr">
        <is>
          <t>2023-07-07</t>
        </is>
      </c>
      <c r="C838" s="10" t="inlineStr">
        <is>
          <t>DIA</t>
        </is>
      </c>
      <c r="D838" s="10" t="inlineStr">
        <is>
          <t>Tot Portfolio</t>
        </is>
      </c>
      <c r="E838" s="10" t="inlineStr"/>
      <c r="F838" s="10" t="inlineStr"/>
      <c r="G838" s="11" t="inlineStr"/>
      <c r="H838" s="10" t="inlineStr"/>
      <c r="I838" s="12" t="inlineStr"/>
      <c r="J838" s="11">
        <f>SUM(J808:J837)</f>
        <v/>
      </c>
      <c r="K838" s="13">
        <f>SUM(K808:K837)</f>
        <v/>
      </c>
      <c r="L838" s="10" t="inlineStr">
        <is>
          <t>TOTAL</t>
        </is>
      </c>
      <c r="M838" s="13">
        <f>SUM(M808:M837)</f>
        <v/>
      </c>
      <c r="N838" s="11">
        <f>SUM(N808:N837)</f>
        <v/>
      </c>
      <c r="O838" s="12">
        <f>SUM(O808:O837)</f>
        <v/>
      </c>
      <c r="P838" s="10" t="inlineStr"/>
      <c r="Q838" s="12" t="inlineStr"/>
      <c r="R838" s="11">
        <f>SUM(R808:R837)</f>
        <v/>
      </c>
      <c r="S838" s="13">
        <f>SUM(S808:S837)</f>
        <v/>
      </c>
      <c r="T838" s="13" t="n">
        <v>0</v>
      </c>
      <c r="U838" s="13" t="n">
        <v>-0.01867112766307055</v>
      </c>
      <c r="V838" s="10" t="inlineStr"/>
    </row>
    <row r="839">
      <c r="A839" s="6" t="inlineStr">
        <is>
          <t>DJ30</t>
        </is>
      </c>
      <c r="B839" s="6" t="inlineStr">
        <is>
          <t>2023-07-14</t>
        </is>
      </c>
      <c r="C839" s="6" t="inlineStr">
        <is>
          <t>DIA</t>
        </is>
      </c>
      <c r="D839" s="6" t="inlineStr">
        <is>
          <t>AAPL</t>
        </is>
      </c>
      <c r="E839" s="6" t="inlineStr">
        <is>
          <t>AAPL</t>
        </is>
      </c>
      <c r="F839" s="6" t="inlineStr">
        <is>
          <t>-</t>
        </is>
      </c>
      <c r="G839" s="7" t="n">
        <v>188.0536651611328</v>
      </c>
      <c r="H839" s="6">
        <f>P808</f>
        <v/>
      </c>
      <c r="I839" s="9">
        <f>Q808</f>
        <v/>
      </c>
      <c r="J839" s="7">
        <f>I839*G839</f>
        <v/>
      </c>
      <c r="K839" s="8">
        <f>IF($J$869=0,0,J839/$J$869)</f>
        <v/>
      </c>
      <c r="L839" s="6" t="inlineStr">
        <is>
          <t>REJECTED</t>
        </is>
      </c>
      <c r="M839" s="8" t="n">
        <v>0</v>
      </c>
      <c r="N839" s="7">
        <f>M839*$J$869-J839</f>
        <v/>
      </c>
      <c r="O839" s="9">
        <f>IF(G839=0,0,N839/G839)</f>
        <v/>
      </c>
      <c r="P839" s="6">
        <f>IF(M839&gt;0,D839,"")</f>
        <v/>
      </c>
      <c r="Q839" s="9">
        <f>I839+O839</f>
        <v/>
      </c>
      <c r="R839" s="7">
        <f>Q839*G839</f>
        <v/>
      </c>
      <c r="S839" s="8">
        <f>IF($R$869=0,0,R839/$R$869)</f>
        <v/>
      </c>
      <c r="T839" s="8" t="n">
        <v>0</v>
      </c>
      <c r="U839" s="8" t="n">
        <v>0.02293812076758561</v>
      </c>
      <c r="V839" s="6" t="inlineStr">
        <is>
          <t>not selected</t>
        </is>
      </c>
    </row>
    <row r="840">
      <c r="A840" s="6" t="inlineStr">
        <is>
          <t>DJ30</t>
        </is>
      </c>
      <c r="B840" s="6" t="inlineStr">
        <is>
          <t>2023-07-14</t>
        </is>
      </c>
      <c r="C840" s="6" t="inlineStr">
        <is>
          <t>DIA</t>
        </is>
      </c>
      <c r="D840" s="6" t="inlineStr">
        <is>
          <t>AMGN</t>
        </is>
      </c>
      <c r="E840" s="6" t="inlineStr">
        <is>
          <t>AMGN</t>
        </is>
      </c>
      <c r="F840" s="6" t="inlineStr">
        <is>
          <t>-</t>
        </is>
      </c>
      <c r="G840" s="7" t="n">
        <v>207.413101196289</v>
      </c>
      <c r="H840" s="6">
        <f>P809</f>
        <v/>
      </c>
      <c r="I840" s="9">
        <f>Q809</f>
        <v/>
      </c>
      <c r="J840" s="7">
        <f>I840*G840</f>
        <v/>
      </c>
      <c r="K840" s="8">
        <f>IF($J$869=0,0,J840/$J$869)</f>
        <v/>
      </c>
      <c r="L840" s="6" t="inlineStr">
        <is>
          <t>REJECTED</t>
        </is>
      </c>
      <c r="M840" s="8" t="n">
        <v>0</v>
      </c>
      <c r="N840" s="7">
        <f>M840*$J$869-J840</f>
        <v/>
      </c>
      <c r="O840" s="9">
        <f>IF(G840=0,0,N840/G840)</f>
        <v/>
      </c>
      <c r="P840" s="6">
        <f>IF(M840&gt;0,D840,"")</f>
        <v/>
      </c>
      <c r="Q840" s="9">
        <f>I840+O840</f>
        <v/>
      </c>
      <c r="R840" s="7">
        <f>Q840*G840</f>
        <v/>
      </c>
      <c r="S840" s="8">
        <f>IF($R$869=0,0,R840/$R$869)</f>
        <v/>
      </c>
      <c r="T840" s="8" t="n">
        <v>0</v>
      </c>
      <c r="U840" s="8" t="n">
        <v>0.02293812076758561</v>
      </c>
      <c r="V840" s="6" t="inlineStr">
        <is>
          <t>not selected</t>
        </is>
      </c>
    </row>
    <row r="841">
      <c r="A841" s="6" t="inlineStr">
        <is>
          <t>DJ30</t>
        </is>
      </c>
      <c r="B841" s="6" t="inlineStr">
        <is>
          <t>2023-07-14</t>
        </is>
      </c>
      <c r="C841" s="6" t="inlineStr">
        <is>
          <t>DIA</t>
        </is>
      </c>
      <c r="D841" s="6" t="inlineStr">
        <is>
          <t>AMZN</t>
        </is>
      </c>
      <c r="E841" s="6" t="inlineStr">
        <is>
          <t>AMZN</t>
        </is>
      </c>
      <c r="F841" s="6" t="inlineStr">
        <is>
          <t>-</t>
        </is>
      </c>
      <c r="G841" s="7" t="n">
        <v>134.6799926757812</v>
      </c>
      <c r="H841" s="6">
        <f>P810</f>
        <v/>
      </c>
      <c r="I841" s="9">
        <f>Q810</f>
        <v/>
      </c>
      <c r="J841" s="7">
        <f>I841*G841</f>
        <v/>
      </c>
      <c r="K841" s="8">
        <f>IF($J$869=0,0,J841/$J$869)</f>
        <v/>
      </c>
      <c r="L841" s="6" t="inlineStr">
        <is>
          <t>REJECTED</t>
        </is>
      </c>
      <c r="M841" s="8" t="n">
        <v>0</v>
      </c>
      <c r="N841" s="7">
        <f>M841*$J$869-J841</f>
        <v/>
      </c>
      <c r="O841" s="9">
        <f>IF(G841=0,0,N841/G841)</f>
        <v/>
      </c>
      <c r="P841" s="6">
        <f>IF(M841&gt;0,D841,"")</f>
        <v/>
      </c>
      <c r="Q841" s="9">
        <f>I841+O841</f>
        <v/>
      </c>
      <c r="R841" s="7">
        <f>Q841*G841</f>
        <v/>
      </c>
      <c r="S841" s="8">
        <f>IF($R$869=0,0,R841/$R$869)</f>
        <v/>
      </c>
      <c r="T841" s="8" t="n">
        <v>0</v>
      </c>
      <c r="U841" s="8" t="n">
        <v>0.02293812076758561</v>
      </c>
      <c r="V841" s="6" t="inlineStr">
        <is>
          <t>not selected</t>
        </is>
      </c>
    </row>
    <row r="842">
      <c r="A842" s="6" t="inlineStr">
        <is>
          <t>DJ30</t>
        </is>
      </c>
      <c r="B842" s="6" t="inlineStr">
        <is>
          <t>2023-07-14</t>
        </is>
      </c>
      <c r="C842" s="6" t="inlineStr">
        <is>
          <t>DIA</t>
        </is>
      </c>
      <c r="D842" s="6" t="inlineStr">
        <is>
          <t>AXP</t>
        </is>
      </c>
      <c r="E842" s="6" t="inlineStr">
        <is>
          <t>AXP</t>
        </is>
      </c>
      <c r="F842" s="6" t="inlineStr">
        <is>
          <t>-</t>
        </is>
      </c>
      <c r="G842" s="7" t="n">
        <v>167.9136962890625</v>
      </c>
      <c r="H842" s="6">
        <f>P811</f>
        <v/>
      </c>
      <c r="I842" s="9">
        <f>Q811</f>
        <v/>
      </c>
      <c r="J842" s="7">
        <f>I842*G842</f>
        <v/>
      </c>
      <c r="K842" s="8">
        <f>IF($J$869=0,0,J842/$J$869)</f>
        <v/>
      </c>
      <c r="L842" s="6" t="inlineStr">
        <is>
          <t>REJECTED</t>
        </is>
      </c>
      <c r="M842" s="8" t="n">
        <v>0</v>
      </c>
      <c r="N842" s="7">
        <f>M842*$J$869-J842</f>
        <v/>
      </c>
      <c r="O842" s="9">
        <f>IF(G842=0,0,N842/G842)</f>
        <v/>
      </c>
      <c r="P842" s="6">
        <f>IF(M842&gt;0,D842,"")</f>
        <v/>
      </c>
      <c r="Q842" s="9">
        <f>I842+O842</f>
        <v/>
      </c>
      <c r="R842" s="7">
        <f>Q842*G842</f>
        <v/>
      </c>
      <c r="S842" s="8">
        <f>IF($R$869=0,0,R842/$R$869)</f>
        <v/>
      </c>
      <c r="T842" s="8" t="n">
        <v>0</v>
      </c>
      <c r="U842" s="8" t="n">
        <v>0.02293812076758561</v>
      </c>
      <c r="V842" s="6" t="inlineStr">
        <is>
          <t>not selected</t>
        </is>
      </c>
    </row>
    <row r="843">
      <c r="A843" s="6" t="inlineStr">
        <is>
          <t>DJ30</t>
        </is>
      </c>
      <c r="B843" s="6" t="inlineStr">
        <is>
          <t>2023-07-14</t>
        </is>
      </c>
      <c r="C843" s="6" t="inlineStr">
        <is>
          <t>DIA</t>
        </is>
      </c>
      <c r="D843" s="6" t="inlineStr">
        <is>
          <t>BA</t>
        </is>
      </c>
      <c r="E843" s="6" t="inlineStr">
        <is>
          <t>BA</t>
        </is>
      </c>
      <c r="F843" s="6" t="inlineStr">
        <is>
          <t>-</t>
        </is>
      </c>
      <c r="G843" s="7" t="n">
        <v>213.1199951171875</v>
      </c>
      <c r="H843" s="6">
        <f>P812</f>
        <v/>
      </c>
      <c r="I843" s="9">
        <f>Q812</f>
        <v/>
      </c>
      <c r="J843" s="7">
        <f>I843*G843</f>
        <v/>
      </c>
      <c r="K843" s="8">
        <f>IF($J$869=0,0,J843/$J$869)</f>
        <v/>
      </c>
      <c r="L843" s="6" t="inlineStr">
        <is>
          <t>REJECTED</t>
        </is>
      </c>
      <c r="M843" s="8" t="n">
        <v>0</v>
      </c>
      <c r="N843" s="7">
        <f>M843*$J$869-J843</f>
        <v/>
      </c>
      <c r="O843" s="9">
        <f>IF(G843=0,0,N843/G843)</f>
        <v/>
      </c>
      <c r="P843" s="6">
        <f>IF(M843&gt;0,D843,"")</f>
        <v/>
      </c>
      <c r="Q843" s="9">
        <f>I843+O843</f>
        <v/>
      </c>
      <c r="R843" s="7">
        <f>Q843*G843</f>
        <v/>
      </c>
      <c r="S843" s="8">
        <f>IF($R$869=0,0,R843/$R$869)</f>
        <v/>
      </c>
      <c r="T843" s="8" t="n">
        <v>0</v>
      </c>
      <c r="U843" s="8" t="n">
        <v>0.02293812076758561</v>
      </c>
      <c r="V843" s="6" t="inlineStr">
        <is>
          <t>not selected</t>
        </is>
      </c>
    </row>
    <row r="844">
      <c r="A844" s="6" t="inlineStr">
        <is>
          <t>DJ30</t>
        </is>
      </c>
      <c r="B844" s="6" t="inlineStr">
        <is>
          <t>2023-07-14</t>
        </is>
      </c>
      <c r="C844" s="6" t="inlineStr">
        <is>
          <t>DIA</t>
        </is>
      </c>
      <c r="D844" s="6" t="inlineStr">
        <is>
          <t>CAT</t>
        </is>
      </c>
      <c r="E844" s="6" t="inlineStr">
        <is>
          <t>CAT</t>
        </is>
      </c>
      <c r="F844" s="6" t="inlineStr">
        <is>
          <t>-</t>
        </is>
      </c>
      <c r="G844" s="7" t="n">
        <v>244.3152465820312</v>
      </c>
      <c r="H844" s="6">
        <f>P813</f>
        <v/>
      </c>
      <c r="I844" s="9">
        <f>Q813</f>
        <v/>
      </c>
      <c r="J844" s="7">
        <f>I844*G844</f>
        <v/>
      </c>
      <c r="K844" s="8">
        <f>IF($J$869=0,0,J844/$J$869)</f>
        <v/>
      </c>
      <c r="L844" s="6" t="inlineStr">
        <is>
          <t>REJECTED</t>
        </is>
      </c>
      <c r="M844" s="8" t="n">
        <v>0</v>
      </c>
      <c r="N844" s="7">
        <f>M844*$J$869-J844</f>
        <v/>
      </c>
      <c r="O844" s="9">
        <f>IF(G844=0,0,N844/G844)</f>
        <v/>
      </c>
      <c r="P844" s="6">
        <f>IF(M844&gt;0,D844,"")</f>
        <v/>
      </c>
      <c r="Q844" s="9">
        <f>I844+O844</f>
        <v/>
      </c>
      <c r="R844" s="7">
        <f>Q844*G844</f>
        <v/>
      </c>
      <c r="S844" s="8">
        <f>IF($R$869=0,0,R844/$R$869)</f>
        <v/>
      </c>
      <c r="T844" s="8" t="n">
        <v>0</v>
      </c>
      <c r="U844" s="8" t="n">
        <v>0.02293812076758561</v>
      </c>
      <c r="V844" s="6" t="inlineStr">
        <is>
          <t>not selected</t>
        </is>
      </c>
    </row>
    <row r="845">
      <c r="A845" s="6" t="inlineStr">
        <is>
          <t>DJ30</t>
        </is>
      </c>
      <c r="B845" s="6" t="inlineStr">
        <is>
          <t>2023-07-14</t>
        </is>
      </c>
      <c r="C845" s="6" t="inlineStr">
        <is>
          <t>DIA</t>
        </is>
      </c>
      <c r="D845" s="6" t="inlineStr">
        <is>
          <t>CRM</t>
        </is>
      </c>
      <c r="E845" s="6" t="inlineStr">
        <is>
          <t>CRM</t>
        </is>
      </c>
      <c r="F845" s="6" t="inlineStr">
        <is>
          <t>-</t>
        </is>
      </c>
      <c r="G845" s="7" t="n">
        <v>225.4299468994141</v>
      </c>
      <c r="H845" s="6">
        <f>P814</f>
        <v/>
      </c>
      <c r="I845" s="9">
        <f>Q814</f>
        <v/>
      </c>
      <c r="J845" s="7">
        <f>I845*G845</f>
        <v/>
      </c>
      <c r="K845" s="8">
        <f>IF($J$869=0,0,J845/$J$869)</f>
        <v/>
      </c>
      <c r="L845" s="6" t="inlineStr">
        <is>
          <t>REJECTED</t>
        </is>
      </c>
      <c r="M845" s="8" t="n">
        <v>0</v>
      </c>
      <c r="N845" s="7">
        <f>M845*$J$869-J845</f>
        <v/>
      </c>
      <c r="O845" s="9">
        <f>IF(G845=0,0,N845/G845)</f>
        <v/>
      </c>
      <c r="P845" s="6">
        <f>IF(M845&gt;0,D845,"")</f>
        <v/>
      </c>
      <c r="Q845" s="9">
        <f>I845+O845</f>
        <v/>
      </c>
      <c r="R845" s="7">
        <f>Q845*G845</f>
        <v/>
      </c>
      <c r="S845" s="8">
        <f>IF($R$869=0,0,R845/$R$869)</f>
        <v/>
      </c>
      <c r="T845" s="8" t="n">
        <v>0</v>
      </c>
      <c r="U845" s="8" t="n">
        <v>0.02293812076758561</v>
      </c>
      <c r="V845" s="6" t="inlineStr">
        <is>
          <t>not selected</t>
        </is>
      </c>
    </row>
    <row r="846">
      <c r="A846" s="6" t="inlineStr">
        <is>
          <t>DJ30</t>
        </is>
      </c>
      <c r="B846" s="6" t="inlineStr">
        <is>
          <t>2023-07-14</t>
        </is>
      </c>
      <c r="C846" s="6" t="inlineStr">
        <is>
          <t>DIA</t>
        </is>
      </c>
      <c r="D846" s="6" t="inlineStr">
        <is>
          <t>CSCO</t>
        </is>
      </c>
      <c r="E846" s="6" t="inlineStr">
        <is>
          <t>CSCO</t>
        </is>
      </c>
      <c r="F846" s="6" t="inlineStr">
        <is>
          <t>-</t>
        </is>
      </c>
      <c r="G846" s="7" t="n">
        <v>46.71961212158203</v>
      </c>
      <c r="H846" s="6">
        <f>P815</f>
        <v/>
      </c>
      <c r="I846" s="9">
        <f>Q815</f>
        <v/>
      </c>
      <c r="J846" s="7">
        <f>I846*G846</f>
        <v/>
      </c>
      <c r="K846" s="8">
        <f>IF($J$869=0,0,J846/$J$869)</f>
        <v/>
      </c>
      <c r="L846" s="6" t="inlineStr">
        <is>
          <t>REJECTED</t>
        </is>
      </c>
      <c r="M846" s="8" t="n">
        <v>0</v>
      </c>
      <c r="N846" s="7">
        <f>M846*$J$869-J846</f>
        <v/>
      </c>
      <c r="O846" s="9">
        <f>IF(G846=0,0,N846/G846)</f>
        <v/>
      </c>
      <c r="P846" s="6">
        <f>IF(M846&gt;0,D846,"")</f>
        <v/>
      </c>
      <c r="Q846" s="9">
        <f>I846+O846</f>
        <v/>
      </c>
      <c r="R846" s="7">
        <f>Q846*G846</f>
        <v/>
      </c>
      <c r="S846" s="8">
        <f>IF($R$869=0,0,R846/$R$869)</f>
        <v/>
      </c>
      <c r="T846" s="8" t="n">
        <v>0</v>
      </c>
      <c r="U846" s="8" t="n">
        <v>0.02293812076758561</v>
      </c>
      <c r="V846" s="6" t="inlineStr">
        <is>
          <t>not selected</t>
        </is>
      </c>
    </row>
    <row r="847">
      <c r="A847" s="6" t="inlineStr">
        <is>
          <t>DJ30</t>
        </is>
      </c>
      <c r="B847" s="6" t="inlineStr">
        <is>
          <t>2023-07-14</t>
        </is>
      </c>
      <c r="C847" s="6" t="inlineStr">
        <is>
          <t>DIA</t>
        </is>
      </c>
      <c r="D847" s="6" t="inlineStr">
        <is>
          <t>CVX</t>
        </is>
      </c>
      <c r="E847" s="6" t="inlineStr">
        <is>
          <t>CVX</t>
        </is>
      </c>
      <c r="F847" s="6" t="inlineStr">
        <is>
          <t>-</t>
        </is>
      </c>
      <c r="G847" s="7" t="n">
        <v>135.3526153564453</v>
      </c>
      <c r="H847" s="6">
        <f>P816</f>
        <v/>
      </c>
      <c r="I847" s="9">
        <f>Q816</f>
        <v/>
      </c>
      <c r="J847" s="7">
        <f>I847*G847</f>
        <v/>
      </c>
      <c r="K847" s="8">
        <f>IF($J$869=0,0,J847/$J$869)</f>
        <v/>
      </c>
      <c r="L847" s="6" t="inlineStr">
        <is>
          <t>REJECTED</t>
        </is>
      </c>
      <c r="M847" s="8" t="n">
        <v>0</v>
      </c>
      <c r="N847" s="7">
        <f>M847*$J$869-J847</f>
        <v/>
      </c>
      <c r="O847" s="9">
        <f>IF(G847=0,0,N847/G847)</f>
        <v/>
      </c>
      <c r="P847" s="6">
        <f>IF(M847&gt;0,D847,"")</f>
        <v/>
      </c>
      <c r="Q847" s="9">
        <f>I847+O847</f>
        <v/>
      </c>
      <c r="R847" s="7">
        <f>Q847*G847</f>
        <v/>
      </c>
      <c r="S847" s="8">
        <f>IF($R$869=0,0,R847/$R$869)</f>
        <v/>
      </c>
      <c r="T847" s="8" t="n">
        <v>0</v>
      </c>
      <c r="U847" s="8" t="n">
        <v>0.02293812076758561</v>
      </c>
      <c r="V847" s="6" t="inlineStr">
        <is>
          <t>not selected</t>
        </is>
      </c>
    </row>
    <row r="848">
      <c r="A848" s="6" t="inlineStr">
        <is>
          <t>DJ30</t>
        </is>
      </c>
      <c r="B848" s="6" t="inlineStr">
        <is>
          <t>2023-07-14</t>
        </is>
      </c>
      <c r="C848" s="6" t="inlineStr">
        <is>
          <t>DIA</t>
        </is>
      </c>
      <c r="D848" s="6" t="inlineStr">
        <is>
          <t>DIS</t>
        </is>
      </c>
      <c r="E848" s="6" t="inlineStr">
        <is>
          <t>DIS</t>
        </is>
      </c>
      <c r="F848" s="6" t="inlineStr">
        <is>
          <t>-</t>
        </is>
      </c>
      <c r="G848" s="7" t="n">
        <v>86.58107757568359</v>
      </c>
      <c r="H848" s="6">
        <f>P817</f>
        <v/>
      </c>
      <c r="I848" s="9">
        <f>Q817</f>
        <v/>
      </c>
      <c r="J848" s="7">
        <f>I848*G848</f>
        <v/>
      </c>
      <c r="K848" s="8">
        <f>IF($J$869=0,0,J848/$J$869)</f>
        <v/>
      </c>
      <c r="L848" s="6" t="inlineStr">
        <is>
          <t>REJECTED</t>
        </is>
      </c>
      <c r="M848" s="8" t="n">
        <v>0</v>
      </c>
      <c r="N848" s="7">
        <f>M848*$J$869-J848</f>
        <v/>
      </c>
      <c r="O848" s="9">
        <f>IF(G848=0,0,N848/G848)</f>
        <v/>
      </c>
      <c r="P848" s="6">
        <f>IF(M848&gt;0,D848,"")</f>
        <v/>
      </c>
      <c r="Q848" s="9">
        <f>I848+O848</f>
        <v/>
      </c>
      <c r="R848" s="7">
        <f>Q848*G848</f>
        <v/>
      </c>
      <c r="S848" s="8">
        <f>IF($R$869=0,0,R848/$R$869)</f>
        <v/>
      </c>
      <c r="T848" s="8" t="n">
        <v>0</v>
      </c>
      <c r="U848" s="8" t="n">
        <v>0.02293812076758561</v>
      </c>
      <c r="V848" s="6" t="inlineStr">
        <is>
          <t>not selected</t>
        </is>
      </c>
    </row>
    <row r="849">
      <c r="A849" s="6" t="inlineStr">
        <is>
          <t>DJ30</t>
        </is>
      </c>
      <c r="B849" s="6" t="inlineStr">
        <is>
          <t>2023-07-14</t>
        </is>
      </c>
      <c r="C849" s="6" t="inlineStr">
        <is>
          <t>DIA</t>
        </is>
      </c>
      <c r="D849" s="6" t="inlineStr">
        <is>
          <t>GS</t>
        </is>
      </c>
      <c r="E849" s="6" t="inlineStr">
        <is>
          <t>GS</t>
        </is>
      </c>
      <c r="F849" s="6" t="inlineStr">
        <is>
          <t>-</t>
        </is>
      </c>
      <c r="G849" s="7" t="n">
        <v>304.0566101074219</v>
      </c>
      <c r="H849" s="6">
        <f>P818</f>
        <v/>
      </c>
      <c r="I849" s="9">
        <f>Q818</f>
        <v/>
      </c>
      <c r="J849" s="7">
        <f>I849*G849</f>
        <v/>
      </c>
      <c r="K849" s="8">
        <f>IF($J$869=0,0,J849/$J$869)</f>
        <v/>
      </c>
      <c r="L849" s="6" t="inlineStr">
        <is>
          <t>REJECTED</t>
        </is>
      </c>
      <c r="M849" s="8" t="n">
        <v>0</v>
      </c>
      <c r="N849" s="7">
        <f>M849*$J$869-J849</f>
        <v/>
      </c>
      <c r="O849" s="9">
        <f>IF(G849=0,0,N849/G849)</f>
        <v/>
      </c>
      <c r="P849" s="6">
        <f>IF(M849&gt;0,D849,"")</f>
        <v/>
      </c>
      <c r="Q849" s="9">
        <f>I849+O849</f>
        <v/>
      </c>
      <c r="R849" s="7">
        <f>Q849*G849</f>
        <v/>
      </c>
      <c r="S849" s="8">
        <f>IF($R$869=0,0,R849/$R$869)</f>
        <v/>
      </c>
      <c r="T849" s="8" t="n">
        <v>0</v>
      </c>
      <c r="U849" s="8" t="n">
        <v>0.02293812076758561</v>
      </c>
      <c r="V849" s="6" t="inlineStr">
        <is>
          <t>not selected</t>
        </is>
      </c>
    </row>
    <row r="850">
      <c r="A850" s="6" t="inlineStr">
        <is>
          <t>DJ30</t>
        </is>
      </c>
      <c r="B850" s="6" t="inlineStr">
        <is>
          <t>2023-07-14</t>
        </is>
      </c>
      <c r="C850" s="6" t="inlineStr">
        <is>
          <t>DIA</t>
        </is>
      </c>
      <c r="D850" s="6" t="inlineStr">
        <is>
          <t>HD</t>
        </is>
      </c>
      <c r="E850" s="6" t="inlineStr">
        <is>
          <t>HD</t>
        </is>
      </c>
      <c r="F850" s="6" t="inlineStr">
        <is>
          <t>-</t>
        </is>
      </c>
      <c r="G850" s="7" t="n">
        <v>293.33203125</v>
      </c>
      <c r="H850" s="6">
        <f>P819</f>
        <v/>
      </c>
      <c r="I850" s="9">
        <f>Q819</f>
        <v/>
      </c>
      <c r="J850" s="7">
        <f>I850*G850</f>
        <v/>
      </c>
      <c r="K850" s="8">
        <f>IF($J$869=0,0,J850/$J$869)</f>
        <v/>
      </c>
      <c r="L850" s="6" t="inlineStr">
        <is>
          <t>REJECTED</t>
        </is>
      </c>
      <c r="M850" s="8" t="n">
        <v>0</v>
      </c>
      <c r="N850" s="7">
        <f>M850*$J$869-J850</f>
        <v/>
      </c>
      <c r="O850" s="9">
        <f>IF(G850=0,0,N850/G850)</f>
        <v/>
      </c>
      <c r="P850" s="6">
        <f>IF(M850&gt;0,D850,"")</f>
        <v/>
      </c>
      <c r="Q850" s="9">
        <f>I850+O850</f>
        <v/>
      </c>
      <c r="R850" s="7">
        <f>Q850*G850</f>
        <v/>
      </c>
      <c r="S850" s="8">
        <f>IF($R$869=0,0,R850/$R$869)</f>
        <v/>
      </c>
      <c r="T850" s="8" t="n">
        <v>0</v>
      </c>
      <c r="U850" s="8" t="n">
        <v>0.02293812076758561</v>
      </c>
      <c r="V850" s="6" t="inlineStr">
        <is>
          <t>not selected</t>
        </is>
      </c>
    </row>
    <row r="851">
      <c r="A851" s="6" t="inlineStr">
        <is>
          <t>DJ30</t>
        </is>
      </c>
      <c r="B851" s="6" t="inlineStr">
        <is>
          <t>2023-07-14</t>
        </is>
      </c>
      <c r="C851" s="6" t="inlineStr">
        <is>
          <t>DIA</t>
        </is>
      </c>
      <c r="D851" s="6" t="inlineStr">
        <is>
          <t>HON</t>
        </is>
      </c>
      <c r="E851" s="6" t="inlineStr">
        <is>
          <t>HON</t>
        </is>
      </c>
      <c r="F851" s="6" t="inlineStr">
        <is>
          <t>-</t>
        </is>
      </c>
      <c r="G851" s="7" t="n">
        <v>182.1550445556641</v>
      </c>
      <c r="H851" s="6">
        <f>P820</f>
        <v/>
      </c>
      <c r="I851" s="9">
        <f>Q820</f>
        <v/>
      </c>
      <c r="J851" s="7">
        <f>I851*G851</f>
        <v/>
      </c>
      <c r="K851" s="8">
        <f>IF($J$869=0,0,J851/$J$869)</f>
        <v/>
      </c>
      <c r="L851" s="6" t="inlineStr">
        <is>
          <t>REJECTED</t>
        </is>
      </c>
      <c r="M851" s="8" t="n">
        <v>0</v>
      </c>
      <c r="N851" s="7">
        <f>M851*$J$869-J851</f>
        <v/>
      </c>
      <c r="O851" s="9">
        <f>IF(G851=0,0,N851/G851)</f>
        <v/>
      </c>
      <c r="P851" s="6">
        <f>IF(M851&gt;0,D851,"")</f>
        <v/>
      </c>
      <c r="Q851" s="9">
        <f>I851+O851</f>
        <v/>
      </c>
      <c r="R851" s="7">
        <f>Q851*G851</f>
        <v/>
      </c>
      <c r="S851" s="8">
        <f>IF($R$869=0,0,R851/$R$869)</f>
        <v/>
      </c>
      <c r="T851" s="8" t="n">
        <v>0</v>
      </c>
      <c r="U851" s="8" t="n">
        <v>0.02293812076758561</v>
      </c>
      <c r="V851" s="6" t="inlineStr">
        <is>
          <t>not selected</t>
        </is>
      </c>
    </row>
    <row r="852">
      <c r="A852" s="6" t="inlineStr">
        <is>
          <t>DJ30</t>
        </is>
      </c>
      <c r="B852" s="6" t="inlineStr">
        <is>
          <t>2023-07-14</t>
        </is>
      </c>
      <c r="C852" s="6" t="inlineStr">
        <is>
          <t>DIA</t>
        </is>
      </c>
      <c r="D852" s="6" t="inlineStr">
        <is>
          <t>IBM</t>
        </is>
      </c>
      <c r="E852" s="6" t="inlineStr">
        <is>
          <t>IBM</t>
        </is>
      </c>
      <c r="F852" s="6" t="inlineStr">
        <is>
          <t>-</t>
        </is>
      </c>
      <c r="G852" s="7" t="n">
        <v>121.0971450805664</v>
      </c>
      <c r="H852" s="6">
        <f>P821</f>
        <v/>
      </c>
      <c r="I852" s="9">
        <f>Q821</f>
        <v/>
      </c>
      <c r="J852" s="7">
        <f>I852*G852</f>
        <v/>
      </c>
      <c r="K852" s="8">
        <f>IF($J$869=0,0,J852/$J$869)</f>
        <v/>
      </c>
      <c r="L852" s="6" t="inlineStr">
        <is>
          <t>REJECTED</t>
        </is>
      </c>
      <c r="M852" s="8" t="n">
        <v>0</v>
      </c>
      <c r="N852" s="7">
        <f>M852*$J$869-J852</f>
        <v/>
      </c>
      <c r="O852" s="9">
        <f>IF(G852=0,0,N852/G852)</f>
        <v/>
      </c>
      <c r="P852" s="6">
        <f>IF(M852&gt;0,D852,"")</f>
        <v/>
      </c>
      <c r="Q852" s="9">
        <f>I852+O852</f>
        <v/>
      </c>
      <c r="R852" s="7">
        <f>Q852*G852</f>
        <v/>
      </c>
      <c r="S852" s="8">
        <f>IF($R$869=0,0,R852/$R$869)</f>
        <v/>
      </c>
      <c r="T852" s="8" t="n">
        <v>0</v>
      </c>
      <c r="U852" s="8" t="n">
        <v>0.02293812076758561</v>
      </c>
      <c r="V852" s="6" t="inlineStr">
        <is>
          <t>not selected</t>
        </is>
      </c>
    </row>
    <row r="853">
      <c r="A853" s="6" t="inlineStr">
        <is>
          <t>DJ30</t>
        </is>
      </c>
      <c r="B853" s="6" t="inlineStr">
        <is>
          <t>2023-07-14</t>
        </is>
      </c>
      <c r="C853" s="6" t="inlineStr">
        <is>
          <t>DIA</t>
        </is>
      </c>
      <c r="D853" s="6" t="inlineStr">
        <is>
          <t>JNJ</t>
        </is>
      </c>
      <c r="E853" s="6" t="inlineStr">
        <is>
          <t>JNJ</t>
        </is>
      </c>
      <c r="F853" s="6" t="inlineStr">
        <is>
          <t>-</t>
        </is>
      </c>
      <c r="G853" s="7" t="n">
        <v>146.4661102294922</v>
      </c>
      <c r="H853" s="6">
        <f>P822</f>
        <v/>
      </c>
      <c r="I853" s="9">
        <f>Q822</f>
        <v/>
      </c>
      <c r="J853" s="7">
        <f>I853*G853</f>
        <v/>
      </c>
      <c r="K853" s="8">
        <f>IF($J$869=0,0,J853/$J$869)</f>
        <v/>
      </c>
      <c r="L853" s="6" t="inlineStr">
        <is>
          <t>REJECTED</t>
        </is>
      </c>
      <c r="M853" s="8" t="n">
        <v>0</v>
      </c>
      <c r="N853" s="7">
        <f>M853*$J$869-J853</f>
        <v/>
      </c>
      <c r="O853" s="9">
        <f>IF(G853=0,0,N853/G853)</f>
        <v/>
      </c>
      <c r="P853" s="6">
        <f>IF(M853&gt;0,D853,"")</f>
        <v/>
      </c>
      <c r="Q853" s="9">
        <f>I853+O853</f>
        <v/>
      </c>
      <c r="R853" s="7">
        <f>Q853*G853</f>
        <v/>
      </c>
      <c r="S853" s="8">
        <f>IF($R$869=0,0,R853/$R$869)</f>
        <v/>
      </c>
      <c r="T853" s="8" t="n">
        <v>0</v>
      </c>
      <c r="U853" s="8" t="n">
        <v>0.02293812076758561</v>
      </c>
      <c r="V853" s="6" t="inlineStr">
        <is>
          <t>not selected</t>
        </is>
      </c>
    </row>
    <row r="854">
      <c r="A854" s="6" t="inlineStr">
        <is>
          <t>DJ30</t>
        </is>
      </c>
      <c r="B854" s="6" t="inlineStr">
        <is>
          <t>2023-07-14</t>
        </is>
      </c>
      <c r="C854" s="6" t="inlineStr">
        <is>
          <t>DIA</t>
        </is>
      </c>
      <c r="D854" s="6" t="inlineStr">
        <is>
          <t>JPM</t>
        </is>
      </c>
      <c r="E854" s="6" t="inlineStr">
        <is>
          <t>JPM</t>
        </is>
      </c>
      <c r="F854" s="6" t="inlineStr">
        <is>
          <t>-</t>
        </is>
      </c>
      <c r="G854" s="7" t="n">
        <v>140.8361206054688</v>
      </c>
      <c r="H854" s="6">
        <f>P823</f>
        <v/>
      </c>
      <c r="I854" s="9">
        <f>Q823</f>
        <v/>
      </c>
      <c r="J854" s="7">
        <f>I854*G854</f>
        <v/>
      </c>
      <c r="K854" s="8">
        <f>IF($J$869=0,0,J854/$J$869)</f>
        <v/>
      </c>
      <c r="L854" s="6" t="inlineStr">
        <is>
          <t>REJECTED</t>
        </is>
      </c>
      <c r="M854" s="8" t="n">
        <v>0</v>
      </c>
      <c r="N854" s="7">
        <f>M854*$J$869-J854</f>
        <v/>
      </c>
      <c r="O854" s="9">
        <f>IF(G854=0,0,N854/G854)</f>
        <v/>
      </c>
      <c r="P854" s="6">
        <f>IF(M854&gt;0,D854,"")</f>
        <v/>
      </c>
      <c r="Q854" s="9">
        <f>I854+O854</f>
        <v/>
      </c>
      <c r="R854" s="7">
        <f>Q854*G854</f>
        <v/>
      </c>
      <c r="S854" s="8">
        <f>IF($R$869=0,0,R854/$R$869)</f>
        <v/>
      </c>
      <c r="T854" s="8" t="n">
        <v>0</v>
      </c>
      <c r="U854" s="8" t="n">
        <v>0.02293812076758561</v>
      </c>
      <c r="V854" s="6" t="inlineStr">
        <is>
          <t>not selected</t>
        </is>
      </c>
    </row>
    <row r="855">
      <c r="A855" s="6" t="inlineStr">
        <is>
          <t>DJ30</t>
        </is>
      </c>
      <c r="B855" s="6" t="inlineStr">
        <is>
          <t>2023-07-14</t>
        </is>
      </c>
      <c r="C855" s="6" t="inlineStr">
        <is>
          <t>DIA</t>
        </is>
      </c>
      <c r="D855" s="6" t="inlineStr">
        <is>
          <t>KO</t>
        </is>
      </c>
      <c r="E855" s="6" t="inlineStr">
        <is>
          <t>KO</t>
        </is>
      </c>
      <c r="F855" s="6" t="inlineStr">
        <is>
          <t>-</t>
        </is>
      </c>
      <c r="G855" s="7" t="n">
        <v>55.75408554077149</v>
      </c>
      <c r="H855" s="6">
        <f>P824</f>
        <v/>
      </c>
      <c r="I855" s="9">
        <f>Q824</f>
        <v/>
      </c>
      <c r="J855" s="7">
        <f>I855*G855</f>
        <v/>
      </c>
      <c r="K855" s="8">
        <f>IF($J$869=0,0,J855/$J$869)</f>
        <v/>
      </c>
      <c r="L855" s="6" t="inlineStr">
        <is>
          <t>REJECTED</t>
        </is>
      </c>
      <c r="M855" s="8" t="n">
        <v>0</v>
      </c>
      <c r="N855" s="7">
        <f>M855*$J$869-J855</f>
        <v/>
      </c>
      <c r="O855" s="9">
        <f>IF(G855=0,0,N855/G855)</f>
        <v/>
      </c>
      <c r="P855" s="6">
        <f>IF(M855&gt;0,D855,"")</f>
        <v/>
      </c>
      <c r="Q855" s="9">
        <f>I855+O855</f>
        <v/>
      </c>
      <c r="R855" s="7">
        <f>Q855*G855</f>
        <v/>
      </c>
      <c r="S855" s="8">
        <f>IF($R$869=0,0,R855/$R$869)</f>
        <v/>
      </c>
      <c r="T855" s="8" t="n">
        <v>0</v>
      </c>
      <c r="U855" s="8" t="n">
        <v>0.02293812076758561</v>
      </c>
      <c r="V855" s="6" t="inlineStr">
        <is>
          <t>not selected</t>
        </is>
      </c>
    </row>
    <row r="856">
      <c r="A856" s="6" t="inlineStr">
        <is>
          <t>DJ30</t>
        </is>
      </c>
      <c r="B856" s="6" t="inlineStr">
        <is>
          <t>2023-07-14</t>
        </is>
      </c>
      <c r="C856" s="6" t="inlineStr">
        <is>
          <t>DIA</t>
        </is>
      </c>
      <c r="D856" s="6" t="inlineStr">
        <is>
          <t>MCD</t>
        </is>
      </c>
      <c r="E856" s="6" t="inlineStr">
        <is>
          <t>MCD</t>
        </is>
      </c>
      <c r="F856" s="6" t="inlineStr">
        <is>
          <t>-</t>
        </is>
      </c>
      <c r="G856" s="7" t="n">
        <v>274.8168334960937</v>
      </c>
      <c r="H856" s="6">
        <f>P825</f>
        <v/>
      </c>
      <c r="I856" s="9">
        <f>Q825</f>
        <v/>
      </c>
      <c r="J856" s="7">
        <f>I856*G856</f>
        <v/>
      </c>
      <c r="K856" s="8">
        <f>IF($J$869=0,0,J856/$J$869)</f>
        <v/>
      </c>
      <c r="L856" s="6" t="inlineStr">
        <is>
          <t>REJECTED</t>
        </is>
      </c>
      <c r="M856" s="8" t="n">
        <v>0</v>
      </c>
      <c r="N856" s="7">
        <f>M856*$J$869-J856</f>
        <v/>
      </c>
      <c r="O856" s="9">
        <f>IF(G856=0,0,N856/G856)</f>
        <v/>
      </c>
      <c r="P856" s="6">
        <f>IF(M856&gt;0,D856,"")</f>
        <v/>
      </c>
      <c r="Q856" s="9">
        <f>I856+O856</f>
        <v/>
      </c>
      <c r="R856" s="7">
        <f>Q856*G856</f>
        <v/>
      </c>
      <c r="S856" s="8">
        <f>IF($R$869=0,0,R856/$R$869)</f>
        <v/>
      </c>
      <c r="T856" s="8" t="n">
        <v>0</v>
      </c>
      <c r="U856" s="8" t="n">
        <v>0.02293812076758561</v>
      </c>
      <c r="V856" s="6" t="inlineStr">
        <is>
          <t>not selected</t>
        </is>
      </c>
    </row>
    <row r="857">
      <c r="A857" s="6" t="inlineStr">
        <is>
          <t>DJ30</t>
        </is>
      </c>
      <c r="B857" s="6" t="inlineStr">
        <is>
          <t>2023-07-14</t>
        </is>
      </c>
      <c r="C857" s="6" t="inlineStr">
        <is>
          <t>DIA</t>
        </is>
      </c>
      <c r="D857" s="6" t="inlineStr">
        <is>
          <t>MMM</t>
        </is>
      </c>
      <c r="E857" s="6" t="inlineStr">
        <is>
          <t>MMM</t>
        </is>
      </c>
      <c r="F857" s="6" t="inlineStr">
        <is>
          <t>-</t>
        </is>
      </c>
      <c r="G857" s="7" t="n">
        <v>77.94893646240234</v>
      </c>
      <c r="H857" s="6">
        <f>P826</f>
        <v/>
      </c>
      <c r="I857" s="9">
        <f>Q826</f>
        <v/>
      </c>
      <c r="J857" s="7">
        <f>I857*G857</f>
        <v/>
      </c>
      <c r="K857" s="8">
        <f>IF($J$869=0,0,J857/$J$869)</f>
        <v/>
      </c>
      <c r="L857" s="6" t="inlineStr">
        <is>
          <t>REJECTED</t>
        </is>
      </c>
      <c r="M857" s="8" t="n">
        <v>0</v>
      </c>
      <c r="N857" s="7">
        <f>M857*$J$869-J857</f>
        <v/>
      </c>
      <c r="O857" s="9">
        <f>IF(G857=0,0,N857/G857)</f>
        <v/>
      </c>
      <c r="P857" s="6">
        <f>IF(M857&gt;0,D857,"")</f>
        <v/>
      </c>
      <c r="Q857" s="9">
        <f>I857+O857</f>
        <v/>
      </c>
      <c r="R857" s="7">
        <f>Q857*G857</f>
        <v/>
      </c>
      <c r="S857" s="8">
        <f>IF($R$869=0,0,R857/$R$869)</f>
        <v/>
      </c>
      <c r="T857" s="8" t="n">
        <v>0</v>
      </c>
      <c r="U857" s="8" t="n">
        <v>0.02293812076758561</v>
      </c>
      <c r="V857" s="6" t="inlineStr">
        <is>
          <t>not selected</t>
        </is>
      </c>
    </row>
    <row r="858">
      <c r="A858" s="6" t="inlineStr">
        <is>
          <t>DJ30</t>
        </is>
      </c>
      <c r="B858" s="6" t="inlineStr">
        <is>
          <t>2023-07-14</t>
        </is>
      </c>
      <c r="C858" s="6" t="inlineStr">
        <is>
          <t>DIA</t>
        </is>
      </c>
      <c r="D858" s="6" t="inlineStr">
        <is>
          <t>MRK</t>
        </is>
      </c>
      <c r="E858" s="6" t="inlineStr">
        <is>
          <t>MRK</t>
        </is>
      </c>
      <c r="F858" s="6" t="inlineStr">
        <is>
          <t>-</t>
        </is>
      </c>
      <c r="G858" s="7" t="n">
        <v>97.86743927001952</v>
      </c>
      <c r="H858" s="6">
        <f>P827</f>
        <v/>
      </c>
      <c r="I858" s="9">
        <f>Q827</f>
        <v/>
      </c>
      <c r="J858" s="7">
        <f>I858*G858</f>
        <v/>
      </c>
      <c r="K858" s="8">
        <f>IF($J$869=0,0,J858/$J$869)</f>
        <v/>
      </c>
      <c r="L858" s="6" t="inlineStr">
        <is>
          <t>REJECTED</t>
        </is>
      </c>
      <c r="M858" s="8" t="n">
        <v>0</v>
      </c>
      <c r="N858" s="7">
        <f>M858*$J$869-J858</f>
        <v/>
      </c>
      <c r="O858" s="9">
        <f>IF(G858=0,0,N858/G858)</f>
        <v/>
      </c>
      <c r="P858" s="6">
        <f>IF(M858&gt;0,D858,"")</f>
        <v/>
      </c>
      <c r="Q858" s="9">
        <f>I858+O858</f>
        <v/>
      </c>
      <c r="R858" s="7">
        <f>Q858*G858</f>
        <v/>
      </c>
      <c r="S858" s="8">
        <f>IF($R$869=0,0,R858/$R$869)</f>
        <v/>
      </c>
      <c r="T858" s="8" t="n">
        <v>0</v>
      </c>
      <c r="U858" s="8" t="n">
        <v>0.02293812076758561</v>
      </c>
      <c r="V858" s="6" t="inlineStr">
        <is>
          <t>not selected</t>
        </is>
      </c>
    </row>
    <row r="859">
      <c r="A859" s="6" t="inlineStr">
        <is>
          <t>DJ30</t>
        </is>
      </c>
      <c r="B859" s="6" t="inlineStr">
        <is>
          <t>2023-07-14</t>
        </is>
      </c>
      <c r="C859" s="6" t="inlineStr">
        <is>
          <t>DIA</t>
        </is>
      </c>
      <c r="D859" s="6" t="inlineStr">
        <is>
          <t>MSFT</t>
        </is>
      </c>
      <c r="E859" s="6" t="inlineStr">
        <is>
          <t>MSFT</t>
        </is>
      </c>
      <c r="F859" s="6" t="inlineStr">
        <is>
          <t>-</t>
        </is>
      </c>
      <c r="G859" s="7" t="n">
        <v>337.2599792480469</v>
      </c>
      <c r="H859" s="6">
        <f>P828</f>
        <v/>
      </c>
      <c r="I859" s="9">
        <f>Q828</f>
        <v/>
      </c>
      <c r="J859" s="7">
        <f>I859*G859</f>
        <v/>
      </c>
      <c r="K859" s="8">
        <f>IF($J$869=0,0,J859/$J$869)</f>
        <v/>
      </c>
      <c r="L859" s="6" t="inlineStr">
        <is>
          <t>REJECTED</t>
        </is>
      </c>
      <c r="M859" s="8" t="n">
        <v>0</v>
      </c>
      <c r="N859" s="7">
        <f>M859*$J$869-J859</f>
        <v/>
      </c>
      <c r="O859" s="9">
        <f>IF(G859=0,0,N859/G859)</f>
        <v/>
      </c>
      <c r="P859" s="6">
        <f>IF(M859&gt;0,D859,"")</f>
        <v/>
      </c>
      <c r="Q859" s="9">
        <f>I859+O859</f>
        <v/>
      </c>
      <c r="R859" s="7">
        <f>Q859*G859</f>
        <v/>
      </c>
      <c r="S859" s="8">
        <f>IF($R$869=0,0,R859/$R$869)</f>
        <v/>
      </c>
      <c r="T859" s="8" t="n">
        <v>0</v>
      </c>
      <c r="U859" s="8" t="n">
        <v>0.02293812076758561</v>
      </c>
      <c r="V859" s="6" t="inlineStr">
        <is>
          <t>not selected</t>
        </is>
      </c>
    </row>
    <row r="860">
      <c r="A860" s="6" t="inlineStr">
        <is>
          <t>DJ30</t>
        </is>
      </c>
      <c r="B860" s="6" t="inlineStr">
        <is>
          <t>2023-07-14</t>
        </is>
      </c>
      <c r="C860" s="6" t="inlineStr">
        <is>
          <t>DIA</t>
        </is>
      </c>
      <c r="D860" s="6" t="inlineStr">
        <is>
          <t>NKE</t>
        </is>
      </c>
      <c r="E860" s="6" t="inlineStr">
        <is>
          <t>NKE</t>
        </is>
      </c>
      <c r="F860" s="6" t="inlineStr">
        <is>
          <t>-</t>
        </is>
      </c>
      <c r="G860" s="7" t="n">
        <v>101.4135513305664</v>
      </c>
      <c r="H860" s="6">
        <f>P829</f>
        <v/>
      </c>
      <c r="I860" s="9">
        <f>Q829</f>
        <v/>
      </c>
      <c r="J860" s="7">
        <f>I860*G860</f>
        <v/>
      </c>
      <c r="K860" s="8">
        <f>IF($J$869=0,0,J860/$J$869)</f>
        <v/>
      </c>
      <c r="L860" s="6" t="inlineStr">
        <is>
          <t>REJECTED</t>
        </is>
      </c>
      <c r="M860" s="8" t="n">
        <v>0</v>
      </c>
      <c r="N860" s="7">
        <f>M860*$J$869-J860</f>
        <v/>
      </c>
      <c r="O860" s="9">
        <f>IF(G860=0,0,N860/G860)</f>
        <v/>
      </c>
      <c r="P860" s="6">
        <f>IF(M860&gt;0,D860,"")</f>
        <v/>
      </c>
      <c r="Q860" s="9">
        <f>I860+O860</f>
        <v/>
      </c>
      <c r="R860" s="7">
        <f>Q860*G860</f>
        <v/>
      </c>
      <c r="S860" s="8">
        <f>IF($R$869=0,0,R860/$R$869)</f>
        <v/>
      </c>
      <c r="T860" s="8" t="n">
        <v>0</v>
      </c>
      <c r="U860" s="8" t="n">
        <v>0.02293812076758561</v>
      </c>
      <c r="V860" s="6" t="inlineStr">
        <is>
          <t>not selected</t>
        </is>
      </c>
    </row>
    <row r="861">
      <c r="A861" s="6" t="inlineStr">
        <is>
          <t>DJ30</t>
        </is>
      </c>
      <c r="B861" s="6" t="inlineStr">
        <is>
          <t>2023-07-14</t>
        </is>
      </c>
      <c r="C861" s="6" t="inlineStr">
        <is>
          <t>DIA</t>
        </is>
      </c>
      <c r="D861" s="6" t="inlineStr">
        <is>
          <t>NVDA</t>
        </is>
      </c>
      <c r="E861" s="6" t="inlineStr">
        <is>
          <t>NVDA</t>
        </is>
      </c>
      <c r="F861" s="6" t="inlineStr">
        <is>
          <t>-</t>
        </is>
      </c>
      <c r="G861" s="7" t="n">
        <v>45.38059616088867</v>
      </c>
      <c r="H861" s="6">
        <f>P830</f>
        <v/>
      </c>
      <c r="I861" s="9">
        <f>Q830</f>
        <v/>
      </c>
      <c r="J861" s="7">
        <f>I861*G861</f>
        <v/>
      </c>
      <c r="K861" s="8">
        <f>IF($J$869=0,0,J861/$J$869)</f>
        <v/>
      </c>
      <c r="L861" s="6" t="inlineStr">
        <is>
          <t>REJECTED</t>
        </is>
      </c>
      <c r="M861" s="8" t="n">
        <v>0</v>
      </c>
      <c r="N861" s="7">
        <f>M861*$J$869-J861</f>
        <v/>
      </c>
      <c r="O861" s="9">
        <f>IF(G861=0,0,N861/G861)</f>
        <v/>
      </c>
      <c r="P861" s="6">
        <f>IF(M861&gt;0,D861,"")</f>
        <v/>
      </c>
      <c r="Q861" s="9">
        <f>I861+O861</f>
        <v/>
      </c>
      <c r="R861" s="7">
        <f>Q861*G861</f>
        <v/>
      </c>
      <c r="S861" s="8">
        <f>IF($R$869=0,0,R861/$R$869)</f>
        <v/>
      </c>
      <c r="T861" s="8" t="n">
        <v>0</v>
      </c>
      <c r="U861" s="8" t="n">
        <v>0.02293812076758561</v>
      </c>
      <c r="V861" s="6" t="inlineStr">
        <is>
          <t>not selected</t>
        </is>
      </c>
    </row>
    <row r="862">
      <c r="A862" s="6" t="inlineStr">
        <is>
          <t>DJ30</t>
        </is>
      </c>
      <c r="B862" s="6" t="inlineStr">
        <is>
          <t>2023-07-14</t>
        </is>
      </c>
      <c r="C862" s="6" t="inlineStr">
        <is>
          <t>DIA</t>
        </is>
      </c>
      <c r="D862" s="6" t="inlineStr">
        <is>
          <t>PG</t>
        </is>
      </c>
      <c r="E862" s="6" t="inlineStr">
        <is>
          <t>PG</t>
        </is>
      </c>
      <c r="F862" s="6" t="inlineStr">
        <is>
          <t>-</t>
        </is>
      </c>
      <c r="G862" s="7" t="n">
        <v>138.8162994384766</v>
      </c>
      <c r="H862" s="6">
        <f>P831</f>
        <v/>
      </c>
      <c r="I862" s="9">
        <f>Q831</f>
        <v/>
      </c>
      <c r="J862" s="7">
        <f>I862*G862</f>
        <v/>
      </c>
      <c r="K862" s="8">
        <f>IF($J$869=0,0,J862/$J$869)</f>
        <v/>
      </c>
      <c r="L862" s="6" t="inlineStr">
        <is>
          <t>REJECTED</t>
        </is>
      </c>
      <c r="M862" s="8" t="n">
        <v>0</v>
      </c>
      <c r="N862" s="7">
        <f>M862*$J$869-J862</f>
        <v/>
      </c>
      <c r="O862" s="9">
        <f>IF(G862=0,0,N862/G862)</f>
        <v/>
      </c>
      <c r="P862" s="6">
        <f>IF(M862&gt;0,D862,"")</f>
        <v/>
      </c>
      <c r="Q862" s="9">
        <f>I862+O862</f>
        <v/>
      </c>
      <c r="R862" s="7">
        <f>Q862*G862</f>
        <v/>
      </c>
      <c r="S862" s="8">
        <f>IF($R$869=0,0,R862/$R$869)</f>
        <v/>
      </c>
      <c r="T862" s="8" t="n">
        <v>0</v>
      </c>
      <c r="U862" s="8" t="n">
        <v>0.02293812076758561</v>
      </c>
      <c r="V862" s="6" t="inlineStr">
        <is>
          <t>not selected</t>
        </is>
      </c>
    </row>
    <row r="863">
      <c r="A863" s="6" t="inlineStr">
        <is>
          <t>DJ30</t>
        </is>
      </c>
      <c r="B863" s="6" t="inlineStr">
        <is>
          <t>2023-07-14</t>
        </is>
      </c>
      <c r="C863" s="6" t="inlineStr">
        <is>
          <t>DIA</t>
        </is>
      </c>
      <c r="D863" s="6" t="inlineStr">
        <is>
          <t>SHW</t>
        </is>
      </c>
      <c r="E863" s="6" t="inlineStr">
        <is>
          <t>SHW</t>
        </is>
      </c>
      <c r="F863" s="6" t="inlineStr">
        <is>
          <t>-</t>
        </is>
      </c>
      <c r="G863" s="7" t="n">
        <v>260.0517578125</v>
      </c>
      <c r="H863" s="6">
        <f>P832</f>
        <v/>
      </c>
      <c r="I863" s="9">
        <f>Q832</f>
        <v/>
      </c>
      <c r="J863" s="7">
        <f>I863*G863</f>
        <v/>
      </c>
      <c r="K863" s="8">
        <f>IF($J$869=0,0,J863/$J$869)</f>
        <v/>
      </c>
      <c r="L863" s="6" t="inlineStr">
        <is>
          <t>REJECTED</t>
        </is>
      </c>
      <c r="M863" s="8" t="n">
        <v>0</v>
      </c>
      <c r="N863" s="7">
        <f>M863*$J$869-J863</f>
        <v/>
      </c>
      <c r="O863" s="9">
        <f>IF(G863=0,0,N863/G863)</f>
        <v/>
      </c>
      <c r="P863" s="6">
        <f>IF(M863&gt;0,D863,"")</f>
        <v/>
      </c>
      <c r="Q863" s="9">
        <f>I863+O863</f>
        <v/>
      </c>
      <c r="R863" s="7">
        <f>Q863*G863</f>
        <v/>
      </c>
      <c r="S863" s="8">
        <f>IF($R$869=0,0,R863/$R$869)</f>
        <v/>
      </c>
      <c r="T863" s="8" t="n">
        <v>0</v>
      </c>
      <c r="U863" s="8" t="n">
        <v>0.02293812076758561</v>
      </c>
      <c r="V863" s="6" t="inlineStr">
        <is>
          <t>not selected</t>
        </is>
      </c>
    </row>
    <row r="864">
      <c r="A864" s="6" t="inlineStr">
        <is>
          <t>DJ30</t>
        </is>
      </c>
      <c r="B864" s="6" t="inlineStr">
        <is>
          <t>2023-07-14</t>
        </is>
      </c>
      <c r="C864" s="6" t="inlineStr">
        <is>
          <t>DIA</t>
        </is>
      </c>
      <c r="D864" s="6" t="inlineStr">
        <is>
          <t>TRV</t>
        </is>
      </c>
      <c r="E864" s="6" t="inlineStr">
        <is>
          <t>TRV</t>
        </is>
      </c>
      <c r="F864" s="6" t="inlineStr">
        <is>
          <t>-</t>
        </is>
      </c>
      <c r="G864" s="7" t="n">
        <v>157.2685394287109</v>
      </c>
      <c r="H864" s="6">
        <f>P833</f>
        <v/>
      </c>
      <c r="I864" s="9">
        <f>Q833</f>
        <v/>
      </c>
      <c r="J864" s="7">
        <f>I864*G864</f>
        <v/>
      </c>
      <c r="K864" s="8">
        <f>IF($J$869=0,0,J864/$J$869)</f>
        <v/>
      </c>
      <c r="L864" s="6" t="inlineStr">
        <is>
          <t>REJECTED</t>
        </is>
      </c>
      <c r="M864" s="8" t="n">
        <v>0</v>
      </c>
      <c r="N864" s="7">
        <f>M864*$J$869-J864</f>
        <v/>
      </c>
      <c r="O864" s="9">
        <f>IF(G864=0,0,N864/G864)</f>
        <v/>
      </c>
      <c r="P864" s="6">
        <f>IF(M864&gt;0,D864,"")</f>
        <v/>
      </c>
      <c r="Q864" s="9">
        <f>I864+O864</f>
        <v/>
      </c>
      <c r="R864" s="7">
        <f>Q864*G864</f>
        <v/>
      </c>
      <c r="S864" s="8">
        <f>IF($R$869=0,0,R864/$R$869)</f>
        <v/>
      </c>
      <c r="T864" s="8" t="n">
        <v>0</v>
      </c>
      <c r="U864" s="8" t="n">
        <v>0.02293812076758561</v>
      </c>
      <c r="V864" s="6" t="inlineStr">
        <is>
          <t>not selected</t>
        </is>
      </c>
    </row>
    <row r="865">
      <c r="A865" s="6" t="inlineStr">
        <is>
          <t>DJ30</t>
        </is>
      </c>
      <c r="B865" s="6" t="inlineStr">
        <is>
          <t>2023-07-14</t>
        </is>
      </c>
      <c r="C865" s="6" t="inlineStr">
        <is>
          <t>DIA</t>
        </is>
      </c>
      <c r="D865" s="6" t="inlineStr">
        <is>
          <t>UNH</t>
        </is>
      </c>
      <c r="E865" s="6" t="inlineStr">
        <is>
          <t>UNH</t>
        </is>
      </c>
      <c r="F865" s="6" t="inlineStr">
        <is>
          <t>-</t>
        </is>
      </c>
      <c r="G865" s="7" t="n">
        <v>451.9384765625</v>
      </c>
      <c r="H865" s="6">
        <f>P834</f>
        <v/>
      </c>
      <c r="I865" s="9">
        <f>Q834</f>
        <v/>
      </c>
      <c r="J865" s="7">
        <f>I865*G865</f>
        <v/>
      </c>
      <c r="K865" s="8">
        <f>IF($J$869=0,0,J865/$J$869)</f>
        <v/>
      </c>
      <c r="L865" s="6" t="inlineStr">
        <is>
          <t>REJECTED</t>
        </is>
      </c>
      <c r="M865" s="8" t="n">
        <v>0</v>
      </c>
      <c r="N865" s="7">
        <f>M865*$J$869-J865</f>
        <v/>
      </c>
      <c r="O865" s="9">
        <f>IF(G865=0,0,N865/G865)</f>
        <v/>
      </c>
      <c r="P865" s="6">
        <f>IF(M865&gt;0,D865,"")</f>
        <v/>
      </c>
      <c r="Q865" s="9">
        <f>I865+O865</f>
        <v/>
      </c>
      <c r="R865" s="7">
        <f>Q865*G865</f>
        <v/>
      </c>
      <c r="S865" s="8">
        <f>IF($R$869=0,0,R865/$R$869)</f>
        <v/>
      </c>
      <c r="T865" s="8" t="n">
        <v>0</v>
      </c>
      <c r="U865" s="8" t="n">
        <v>0.02293812076758561</v>
      </c>
      <c r="V865" s="6" t="inlineStr">
        <is>
          <t>not selected</t>
        </is>
      </c>
    </row>
    <row r="866">
      <c r="A866" s="6" t="inlineStr">
        <is>
          <t>DJ30</t>
        </is>
      </c>
      <c r="B866" s="6" t="inlineStr">
        <is>
          <t>2023-07-14</t>
        </is>
      </c>
      <c r="C866" s="6" t="inlineStr">
        <is>
          <t>DIA</t>
        </is>
      </c>
      <c r="D866" s="6" t="inlineStr">
        <is>
          <t>V</t>
        </is>
      </c>
      <c r="E866" s="6" t="inlineStr">
        <is>
          <t>V</t>
        </is>
      </c>
      <c r="F866" s="6" t="inlineStr">
        <is>
          <t>-</t>
        </is>
      </c>
      <c r="G866" s="7" t="n">
        <v>237.6719665527344</v>
      </c>
      <c r="H866" s="6">
        <f>P835</f>
        <v/>
      </c>
      <c r="I866" s="9">
        <f>Q835</f>
        <v/>
      </c>
      <c r="J866" s="7">
        <f>I866*G866</f>
        <v/>
      </c>
      <c r="K866" s="8">
        <f>IF($J$869=0,0,J866/$J$869)</f>
        <v/>
      </c>
      <c r="L866" s="6" t="inlineStr">
        <is>
          <t>REJECTED</t>
        </is>
      </c>
      <c r="M866" s="8" t="n">
        <v>0</v>
      </c>
      <c r="N866" s="7">
        <f>M866*$J$869-J866</f>
        <v/>
      </c>
      <c r="O866" s="9">
        <f>IF(G866=0,0,N866/G866)</f>
        <v/>
      </c>
      <c r="P866" s="6">
        <f>IF(M866&gt;0,D866,"")</f>
        <v/>
      </c>
      <c r="Q866" s="9">
        <f>I866+O866</f>
        <v/>
      </c>
      <c r="R866" s="7">
        <f>Q866*G866</f>
        <v/>
      </c>
      <c r="S866" s="8">
        <f>IF($R$869=0,0,R866/$R$869)</f>
        <v/>
      </c>
      <c r="T866" s="8" t="n">
        <v>0</v>
      </c>
      <c r="U866" s="8" t="n">
        <v>0.02293812076758561</v>
      </c>
      <c r="V866" s="6" t="inlineStr">
        <is>
          <t>not selected</t>
        </is>
      </c>
    </row>
    <row r="867">
      <c r="A867" s="6" t="inlineStr">
        <is>
          <t>DJ30</t>
        </is>
      </c>
      <c r="B867" s="6" t="inlineStr">
        <is>
          <t>2023-07-14</t>
        </is>
      </c>
      <c r="C867" s="6" t="inlineStr">
        <is>
          <t>DIA</t>
        </is>
      </c>
      <c r="D867" s="6" t="inlineStr">
        <is>
          <t>VZ</t>
        </is>
      </c>
      <c r="E867" s="6" t="inlineStr">
        <is>
          <t>VZ</t>
        </is>
      </c>
      <c r="F867" s="6" t="inlineStr">
        <is>
          <t>-</t>
        </is>
      </c>
      <c r="G867" s="7" t="n">
        <v>28.28446006774902</v>
      </c>
      <c r="H867" s="6">
        <f>P836</f>
        <v/>
      </c>
      <c r="I867" s="9">
        <f>Q836</f>
        <v/>
      </c>
      <c r="J867" s="7">
        <f>I867*G867</f>
        <v/>
      </c>
      <c r="K867" s="8">
        <f>IF($J$869=0,0,J867/$J$869)</f>
        <v/>
      </c>
      <c r="L867" s="6" t="inlineStr">
        <is>
          <t>REJECTED</t>
        </is>
      </c>
      <c r="M867" s="8" t="n">
        <v>0</v>
      </c>
      <c r="N867" s="7">
        <f>M867*$J$869-J867</f>
        <v/>
      </c>
      <c r="O867" s="9">
        <f>IF(G867=0,0,N867/G867)</f>
        <v/>
      </c>
      <c r="P867" s="6">
        <f>IF(M867&gt;0,D867,"")</f>
        <v/>
      </c>
      <c r="Q867" s="9">
        <f>I867+O867</f>
        <v/>
      </c>
      <c r="R867" s="7">
        <f>Q867*G867</f>
        <v/>
      </c>
      <c r="S867" s="8">
        <f>IF($R$869=0,0,R867/$R$869)</f>
        <v/>
      </c>
      <c r="T867" s="8" t="n">
        <v>0</v>
      </c>
      <c r="U867" s="8" t="n">
        <v>0.02293812076758561</v>
      </c>
      <c r="V867" s="6" t="inlineStr">
        <is>
          <t>not selected</t>
        </is>
      </c>
    </row>
    <row r="868">
      <c r="A868" s="6" t="inlineStr">
        <is>
          <t>DJ30</t>
        </is>
      </c>
      <c r="B868" s="6" t="inlineStr">
        <is>
          <t>2023-07-14</t>
        </is>
      </c>
      <c r="C868" s="6" t="inlineStr">
        <is>
          <t>DIA</t>
        </is>
      </c>
      <c r="D868" s="6" t="inlineStr">
        <is>
          <t>WMT</t>
        </is>
      </c>
      <c r="E868" s="6" t="inlineStr">
        <is>
          <t>WMT</t>
        </is>
      </c>
      <c r="F868" s="6" t="inlineStr">
        <is>
          <t>-</t>
        </is>
      </c>
      <c r="G868" s="7" t="n">
        <v>49.8970947265625</v>
      </c>
      <c r="H868" s="6">
        <f>P837</f>
        <v/>
      </c>
      <c r="I868" s="9">
        <f>Q837</f>
        <v/>
      </c>
      <c r="J868" s="7">
        <f>I868*G868</f>
        <v/>
      </c>
      <c r="K868" s="8">
        <f>IF($J$869=0,0,J868/$J$869)</f>
        <v/>
      </c>
      <c r="L868" s="6" t="inlineStr">
        <is>
          <t>REJECTED</t>
        </is>
      </c>
      <c r="M868" s="8" t="n">
        <v>0</v>
      </c>
      <c r="N868" s="7">
        <f>M868*$J$869-J868</f>
        <v/>
      </c>
      <c r="O868" s="9">
        <f>IF(G868=0,0,N868/G868)</f>
        <v/>
      </c>
      <c r="P868" s="6">
        <f>IF(M868&gt;0,D868,"")</f>
        <v/>
      </c>
      <c r="Q868" s="9">
        <f>I868+O868</f>
        <v/>
      </c>
      <c r="R868" s="7">
        <f>Q868*G868</f>
        <v/>
      </c>
      <c r="S868" s="8">
        <f>IF($R$869=0,0,R868/$R$869)</f>
        <v/>
      </c>
      <c r="T868" s="8" t="n">
        <v>0</v>
      </c>
      <c r="U868" s="8" t="n">
        <v>0.02293812076758561</v>
      </c>
      <c r="V868" s="6" t="inlineStr">
        <is>
          <t>not selected</t>
        </is>
      </c>
    </row>
    <row r="869">
      <c r="A869" s="10" t="inlineStr">
        <is>
          <t>DJ30</t>
        </is>
      </c>
      <c r="B869" s="10" t="inlineStr">
        <is>
          <t>2023-07-14</t>
        </is>
      </c>
      <c r="C869" s="10" t="inlineStr">
        <is>
          <t>DIA</t>
        </is>
      </c>
      <c r="D869" s="10" t="inlineStr">
        <is>
          <t>Tot Portfolio</t>
        </is>
      </c>
      <c r="E869" s="10" t="inlineStr"/>
      <c r="F869" s="10" t="inlineStr"/>
      <c r="G869" s="11" t="inlineStr"/>
      <c r="H869" s="10" t="inlineStr"/>
      <c r="I869" s="12" t="inlineStr"/>
      <c r="J869" s="11">
        <f>SUM(J839:J868)</f>
        <v/>
      </c>
      <c r="K869" s="13">
        <f>SUM(K839:K868)</f>
        <v/>
      </c>
      <c r="L869" s="10" t="inlineStr">
        <is>
          <t>TOTAL</t>
        </is>
      </c>
      <c r="M869" s="13">
        <f>SUM(M839:M868)</f>
        <v/>
      </c>
      <c r="N869" s="11">
        <f>SUM(N839:N868)</f>
        <v/>
      </c>
      <c r="O869" s="12">
        <f>SUM(O839:O868)</f>
        <v/>
      </c>
      <c r="P869" s="10" t="inlineStr"/>
      <c r="Q869" s="12" t="inlineStr"/>
      <c r="R869" s="11">
        <f>SUM(R839:R868)</f>
        <v/>
      </c>
      <c r="S869" s="13">
        <f>SUM(S839:S868)</f>
        <v/>
      </c>
      <c r="T869" s="13" t="n">
        <v>0</v>
      </c>
      <c r="U869" s="13" t="n">
        <v>0.02293812076758561</v>
      </c>
      <c r="V869" s="10" t="inlineStr"/>
    </row>
    <row r="870">
      <c r="A870" s="6" t="inlineStr">
        <is>
          <t>DJ30</t>
        </is>
      </c>
      <c r="B870" s="6" t="inlineStr">
        <is>
          <t>2023-07-21</t>
        </is>
      </c>
      <c r="C870" s="6" t="inlineStr">
        <is>
          <t>DIA</t>
        </is>
      </c>
      <c r="D870" s="6" t="inlineStr">
        <is>
          <t>AAPL</t>
        </is>
      </c>
      <c r="E870" s="6" t="inlineStr">
        <is>
          <t>AAPL</t>
        </is>
      </c>
      <c r="F870" s="6" t="inlineStr">
        <is>
          <t>-</t>
        </is>
      </c>
      <c r="G870" s="7" t="n">
        <v>189.2863464355469</v>
      </c>
      <c r="H870" s="6">
        <f>P839</f>
        <v/>
      </c>
      <c r="I870" s="9">
        <f>Q839</f>
        <v/>
      </c>
      <c r="J870" s="7">
        <f>I870*G870</f>
        <v/>
      </c>
      <c r="K870" s="8">
        <f>IF($J$900=0,0,J870/$J$900)</f>
        <v/>
      </c>
      <c r="L870" s="6" t="inlineStr">
        <is>
          <t>REJECTED</t>
        </is>
      </c>
      <c r="M870" s="8" t="n">
        <v>0</v>
      </c>
      <c r="N870" s="7">
        <f>M870*$J$900-J870</f>
        <v/>
      </c>
      <c r="O870" s="9">
        <f>IF(G870=0,0,N870/G870)</f>
        <v/>
      </c>
      <c r="P870" s="6">
        <f>IF(M870&gt;0,D870,"")</f>
        <v/>
      </c>
      <c r="Q870" s="9">
        <f>I870+O870</f>
        <v/>
      </c>
      <c r="R870" s="7">
        <f>Q870*G870</f>
        <v/>
      </c>
      <c r="S870" s="8">
        <f>IF($R$900=0,0,R870/$R$900)</f>
        <v/>
      </c>
      <c r="T870" s="8" t="n">
        <v>0</v>
      </c>
      <c r="U870" s="8" t="n">
        <v>0.02096938060733389</v>
      </c>
      <c r="V870" s="6" t="inlineStr">
        <is>
          <t>not selected</t>
        </is>
      </c>
    </row>
    <row r="871">
      <c r="A871" s="6" t="inlineStr">
        <is>
          <t>DJ30</t>
        </is>
      </c>
      <c r="B871" s="6" t="inlineStr">
        <is>
          <t>2023-07-21</t>
        </is>
      </c>
      <c r="C871" s="6" t="inlineStr">
        <is>
          <t>DIA</t>
        </is>
      </c>
      <c r="D871" s="6" t="inlineStr">
        <is>
          <t>AMGN</t>
        </is>
      </c>
      <c r="E871" s="6" t="inlineStr">
        <is>
          <t>AMGN</t>
        </is>
      </c>
      <c r="F871" s="6" t="inlineStr">
        <is>
          <t>-</t>
        </is>
      </c>
      <c r="G871" s="7" t="n">
        <v>214.1526947021484</v>
      </c>
      <c r="H871" s="6">
        <f>P840</f>
        <v/>
      </c>
      <c r="I871" s="9">
        <f>Q840</f>
        <v/>
      </c>
      <c r="J871" s="7">
        <f>I871*G871</f>
        <v/>
      </c>
      <c r="K871" s="8">
        <f>IF($J$900=0,0,J871/$J$900)</f>
        <v/>
      </c>
      <c r="L871" s="6" t="inlineStr">
        <is>
          <t>REJECTED</t>
        </is>
      </c>
      <c r="M871" s="8" t="n">
        <v>0</v>
      </c>
      <c r="N871" s="7">
        <f>M871*$J$900-J871</f>
        <v/>
      </c>
      <c r="O871" s="9">
        <f>IF(G871=0,0,N871/G871)</f>
        <v/>
      </c>
      <c r="P871" s="6">
        <f>IF(M871&gt;0,D871,"")</f>
        <v/>
      </c>
      <c r="Q871" s="9">
        <f>I871+O871</f>
        <v/>
      </c>
      <c r="R871" s="7">
        <f>Q871*G871</f>
        <v/>
      </c>
      <c r="S871" s="8">
        <f>IF($R$900=0,0,R871/$R$900)</f>
        <v/>
      </c>
      <c r="T871" s="8" t="n">
        <v>0</v>
      </c>
      <c r="U871" s="8" t="n">
        <v>0.02096938060733389</v>
      </c>
      <c r="V871" s="6" t="inlineStr">
        <is>
          <t>not selected</t>
        </is>
      </c>
    </row>
    <row r="872">
      <c r="A872" s="6" t="inlineStr">
        <is>
          <t>DJ30</t>
        </is>
      </c>
      <c r="B872" s="6" t="inlineStr">
        <is>
          <t>2023-07-21</t>
        </is>
      </c>
      <c r="C872" s="6" t="inlineStr">
        <is>
          <t>DIA</t>
        </is>
      </c>
      <c r="D872" s="6" t="inlineStr">
        <is>
          <t>AMZN</t>
        </is>
      </c>
      <c r="E872" s="6" t="inlineStr">
        <is>
          <t>AMZN</t>
        </is>
      </c>
      <c r="F872" s="6" t="inlineStr">
        <is>
          <t>-</t>
        </is>
      </c>
      <c r="G872" s="7" t="n">
        <v>130</v>
      </c>
      <c r="H872" s="6">
        <f>P841</f>
        <v/>
      </c>
      <c r="I872" s="9">
        <f>Q841</f>
        <v/>
      </c>
      <c r="J872" s="7">
        <f>I872*G872</f>
        <v/>
      </c>
      <c r="K872" s="8">
        <f>IF($J$900=0,0,J872/$J$900)</f>
        <v/>
      </c>
      <c r="L872" s="6" t="inlineStr">
        <is>
          <t>REJECTED</t>
        </is>
      </c>
      <c r="M872" s="8" t="n">
        <v>0</v>
      </c>
      <c r="N872" s="7">
        <f>M872*$J$900-J872</f>
        <v/>
      </c>
      <c r="O872" s="9">
        <f>IF(G872=0,0,N872/G872)</f>
        <v/>
      </c>
      <c r="P872" s="6">
        <f>IF(M872&gt;0,D872,"")</f>
        <v/>
      </c>
      <c r="Q872" s="9">
        <f>I872+O872</f>
        <v/>
      </c>
      <c r="R872" s="7">
        <f>Q872*G872</f>
        <v/>
      </c>
      <c r="S872" s="8">
        <f>IF($R$900=0,0,R872/$R$900)</f>
        <v/>
      </c>
      <c r="T872" s="8" t="n">
        <v>0</v>
      </c>
      <c r="U872" s="8" t="n">
        <v>0.02096938060733389</v>
      </c>
      <c r="V872" s="6" t="inlineStr">
        <is>
          <t>not selected</t>
        </is>
      </c>
    </row>
    <row r="873">
      <c r="A873" s="6" t="inlineStr">
        <is>
          <t>DJ30</t>
        </is>
      </c>
      <c r="B873" s="6" t="inlineStr">
        <is>
          <t>2023-07-21</t>
        </is>
      </c>
      <c r="C873" s="6" t="inlineStr">
        <is>
          <t>DIA</t>
        </is>
      </c>
      <c r="D873" s="6" t="inlineStr">
        <is>
          <t>AXP</t>
        </is>
      </c>
      <c r="E873" s="6" t="inlineStr">
        <is>
          <t>AXP</t>
        </is>
      </c>
      <c r="F873" s="6" t="inlineStr">
        <is>
          <t>-</t>
        </is>
      </c>
      <c r="G873" s="7" t="n">
        <v>164.8438415527344</v>
      </c>
      <c r="H873" s="6">
        <f>P842</f>
        <v/>
      </c>
      <c r="I873" s="9">
        <f>Q842</f>
        <v/>
      </c>
      <c r="J873" s="7">
        <f>I873*G873</f>
        <v/>
      </c>
      <c r="K873" s="8">
        <f>IF($J$900=0,0,J873/$J$900)</f>
        <v/>
      </c>
      <c r="L873" s="6" t="inlineStr">
        <is>
          <t>REJECTED</t>
        </is>
      </c>
      <c r="M873" s="8" t="n">
        <v>0</v>
      </c>
      <c r="N873" s="7">
        <f>M873*$J$900-J873</f>
        <v/>
      </c>
      <c r="O873" s="9">
        <f>IF(G873=0,0,N873/G873)</f>
        <v/>
      </c>
      <c r="P873" s="6">
        <f>IF(M873&gt;0,D873,"")</f>
        <v/>
      </c>
      <c r="Q873" s="9">
        <f>I873+O873</f>
        <v/>
      </c>
      <c r="R873" s="7">
        <f>Q873*G873</f>
        <v/>
      </c>
      <c r="S873" s="8">
        <f>IF($R$900=0,0,R873/$R$900)</f>
        <v/>
      </c>
      <c r="T873" s="8" t="n">
        <v>0</v>
      </c>
      <c r="U873" s="8" t="n">
        <v>0.02096938060733389</v>
      </c>
      <c r="V873" s="6" t="inlineStr">
        <is>
          <t>not selected</t>
        </is>
      </c>
    </row>
    <row r="874">
      <c r="A874" s="6" t="inlineStr">
        <is>
          <t>DJ30</t>
        </is>
      </c>
      <c r="B874" s="6" t="inlineStr">
        <is>
          <t>2023-07-21</t>
        </is>
      </c>
      <c r="C874" s="6" t="inlineStr">
        <is>
          <t>DIA</t>
        </is>
      </c>
      <c r="D874" s="6" t="inlineStr">
        <is>
          <t>BA</t>
        </is>
      </c>
      <c r="E874" s="6" t="inlineStr">
        <is>
          <t>BA</t>
        </is>
      </c>
      <c r="F874" s="6" t="inlineStr">
        <is>
          <t>-</t>
        </is>
      </c>
      <c r="G874" s="7" t="n">
        <v>211.8000030517578</v>
      </c>
      <c r="H874" s="6">
        <f>P843</f>
        <v/>
      </c>
      <c r="I874" s="9">
        <f>Q843</f>
        <v/>
      </c>
      <c r="J874" s="7">
        <f>I874*G874</f>
        <v/>
      </c>
      <c r="K874" s="8">
        <f>IF($J$900=0,0,J874/$J$900)</f>
        <v/>
      </c>
      <c r="L874" s="6" t="inlineStr">
        <is>
          <t>REJECTED</t>
        </is>
      </c>
      <c r="M874" s="8" t="n">
        <v>0</v>
      </c>
      <c r="N874" s="7">
        <f>M874*$J$900-J874</f>
        <v/>
      </c>
      <c r="O874" s="9">
        <f>IF(G874=0,0,N874/G874)</f>
        <v/>
      </c>
      <c r="P874" s="6">
        <f>IF(M874&gt;0,D874,"")</f>
        <v/>
      </c>
      <c r="Q874" s="9">
        <f>I874+O874</f>
        <v/>
      </c>
      <c r="R874" s="7">
        <f>Q874*G874</f>
        <v/>
      </c>
      <c r="S874" s="8">
        <f>IF($R$900=0,0,R874/$R$900)</f>
        <v/>
      </c>
      <c r="T874" s="8" t="n">
        <v>0</v>
      </c>
      <c r="U874" s="8" t="n">
        <v>0.02096938060733389</v>
      </c>
      <c r="V874" s="6" t="inlineStr">
        <is>
          <t>not selected</t>
        </is>
      </c>
    </row>
    <row r="875">
      <c r="A875" s="6" t="inlineStr">
        <is>
          <t>DJ30</t>
        </is>
      </c>
      <c r="B875" s="6" t="inlineStr">
        <is>
          <t>2023-07-21</t>
        </is>
      </c>
      <c r="C875" s="6" t="inlineStr">
        <is>
          <t>DIA</t>
        </is>
      </c>
      <c r="D875" s="6" t="inlineStr">
        <is>
          <t>CAT</t>
        </is>
      </c>
      <c r="E875" s="6" t="inlineStr">
        <is>
          <t>CAT</t>
        </is>
      </c>
      <c r="F875" s="6" t="inlineStr">
        <is>
          <t>-</t>
        </is>
      </c>
      <c r="G875" s="7" t="n">
        <v>247.4749603271484</v>
      </c>
      <c r="H875" s="6">
        <f>P844</f>
        <v/>
      </c>
      <c r="I875" s="9">
        <f>Q844</f>
        <v/>
      </c>
      <c r="J875" s="7">
        <f>I875*G875</f>
        <v/>
      </c>
      <c r="K875" s="8">
        <f>IF($J$900=0,0,J875/$J$900)</f>
        <v/>
      </c>
      <c r="L875" s="6" t="inlineStr">
        <is>
          <t>REJECTED</t>
        </is>
      </c>
      <c r="M875" s="8" t="n">
        <v>0</v>
      </c>
      <c r="N875" s="7">
        <f>M875*$J$900-J875</f>
        <v/>
      </c>
      <c r="O875" s="9">
        <f>IF(G875=0,0,N875/G875)</f>
        <v/>
      </c>
      <c r="P875" s="6">
        <f>IF(M875&gt;0,D875,"")</f>
        <v/>
      </c>
      <c r="Q875" s="9">
        <f>I875+O875</f>
        <v/>
      </c>
      <c r="R875" s="7">
        <f>Q875*G875</f>
        <v/>
      </c>
      <c r="S875" s="8">
        <f>IF($R$900=0,0,R875/$R$900)</f>
        <v/>
      </c>
      <c r="T875" s="8" t="n">
        <v>0</v>
      </c>
      <c r="U875" s="8" t="n">
        <v>0.02096938060733389</v>
      </c>
      <c r="V875" s="6" t="inlineStr">
        <is>
          <t>not selected</t>
        </is>
      </c>
    </row>
    <row r="876">
      <c r="A876" s="6" t="inlineStr">
        <is>
          <t>DJ30</t>
        </is>
      </c>
      <c r="B876" s="6" t="inlineStr">
        <is>
          <t>2023-07-21</t>
        </is>
      </c>
      <c r="C876" s="6" t="inlineStr">
        <is>
          <t>DIA</t>
        </is>
      </c>
      <c r="D876" s="6" t="inlineStr">
        <is>
          <t>CRM</t>
        </is>
      </c>
      <c r="E876" s="6" t="inlineStr">
        <is>
          <t>CRM</t>
        </is>
      </c>
      <c r="F876" s="6" t="inlineStr">
        <is>
          <t>-</t>
        </is>
      </c>
      <c r="G876" s="7" t="n">
        <v>224.1815338134766</v>
      </c>
      <c r="H876" s="6">
        <f>P845</f>
        <v/>
      </c>
      <c r="I876" s="9">
        <f>Q845</f>
        <v/>
      </c>
      <c r="J876" s="7">
        <f>I876*G876</f>
        <v/>
      </c>
      <c r="K876" s="8">
        <f>IF($J$900=0,0,J876/$J$900)</f>
        <v/>
      </c>
      <c r="L876" s="6" t="inlineStr">
        <is>
          <t>REJECTED</t>
        </is>
      </c>
      <c r="M876" s="8" t="n">
        <v>0</v>
      </c>
      <c r="N876" s="7">
        <f>M876*$J$900-J876</f>
        <v/>
      </c>
      <c r="O876" s="9">
        <f>IF(G876=0,0,N876/G876)</f>
        <v/>
      </c>
      <c r="P876" s="6">
        <f>IF(M876&gt;0,D876,"")</f>
        <v/>
      </c>
      <c r="Q876" s="9">
        <f>I876+O876</f>
        <v/>
      </c>
      <c r="R876" s="7">
        <f>Q876*G876</f>
        <v/>
      </c>
      <c r="S876" s="8">
        <f>IF($R$900=0,0,R876/$R$900)</f>
        <v/>
      </c>
      <c r="T876" s="8" t="n">
        <v>0</v>
      </c>
      <c r="U876" s="8" t="n">
        <v>0.02096938060733389</v>
      </c>
      <c r="V876" s="6" t="inlineStr">
        <is>
          <t>not selected</t>
        </is>
      </c>
    </row>
    <row r="877">
      <c r="A877" s="6" t="inlineStr">
        <is>
          <t>DJ30</t>
        </is>
      </c>
      <c r="B877" s="6" t="inlineStr">
        <is>
          <t>2023-07-21</t>
        </is>
      </c>
      <c r="C877" s="6" t="inlineStr">
        <is>
          <t>DIA</t>
        </is>
      </c>
      <c r="D877" s="6" t="inlineStr">
        <is>
          <t>CSCO</t>
        </is>
      </c>
      <c r="E877" s="6" t="inlineStr">
        <is>
          <t>CSCO</t>
        </is>
      </c>
      <c r="F877" s="6" t="inlineStr">
        <is>
          <t>-</t>
        </is>
      </c>
      <c r="G877" s="7" t="n">
        <v>48.80614471435547</v>
      </c>
      <c r="H877" s="6">
        <f>P846</f>
        <v/>
      </c>
      <c r="I877" s="9">
        <f>Q846</f>
        <v/>
      </c>
      <c r="J877" s="7">
        <f>I877*G877</f>
        <v/>
      </c>
      <c r="K877" s="8">
        <f>IF($J$900=0,0,J877/$J$900)</f>
        <v/>
      </c>
      <c r="L877" s="6" t="inlineStr">
        <is>
          <t>REJECTED</t>
        </is>
      </c>
      <c r="M877" s="8" t="n">
        <v>0</v>
      </c>
      <c r="N877" s="7">
        <f>M877*$J$900-J877</f>
        <v/>
      </c>
      <c r="O877" s="9">
        <f>IF(G877=0,0,N877/G877)</f>
        <v/>
      </c>
      <c r="P877" s="6">
        <f>IF(M877&gt;0,D877,"")</f>
        <v/>
      </c>
      <c r="Q877" s="9">
        <f>I877+O877</f>
        <v/>
      </c>
      <c r="R877" s="7">
        <f>Q877*G877</f>
        <v/>
      </c>
      <c r="S877" s="8">
        <f>IF($R$900=0,0,R877/$R$900)</f>
        <v/>
      </c>
      <c r="T877" s="8" t="n">
        <v>0</v>
      </c>
      <c r="U877" s="8" t="n">
        <v>0.02096938060733389</v>
      </c>
      <c r="V877" s="6" t="inlineStr">
        <is>
          <t>not selected</t>
        </is>
      </c>
    </row>
    <row r="878">
      <c r="A878" s="6" t="inlineStr">
        <is>
          <t>DJ30</t>
        </is>
      </c>
      <c r="B878" s="6" t="inlineStr">
        <is>
          <t>2023-07-21</t>
        </is>
      </c>
      <c r="C878" s="6" t="inlineStr">
        <is>
          <t>DIA</t>
        </is>
      </c>
      <c r="D878" s="6" t="inlineStr">
        <is>
          <t>CVX</t>
        </is>
      </c>
      <c r="E878" s="6" t="inlineStr">
        <is>
          <t>CVX</t>
        </is>
      </c>
      <c r="F878" s="6" t="inlineStr">
        <is>
          <t>-</t>
        </is>
      </c>
      <c r="G878" s="7" t="n">
        <v>139.8561401367188</v>
      </c>
      <c r="H878" s="6">
        <f>P847</f>
        <v/>
      </c>
      <c r="I878" s="9">
        <f>Q847</f>
        <v/>
      </c>
      <c r="J878" s="7">
        <f>I878*G878</f>
        <v/>
      </c>
      <c r="K878" s="8">
        <f>IF($J$900=0,0,J878/$J$900)</f>
        <v/>
      </c>
      <c r="L878" s="6" t="inlineStr">
        <is>
          <t>REJECTED</t>
        </is>
      </c>
      <c r="M878" s="8" t="n">
        <v>0</v>
      </c>
      <c r="N878" s="7">
        <f>M878*$J$900-J878</f>
        <v/>
      </c>
      <c r="O878" s="9">
        <f>IF(G878=0,0,N878/G878)</f>
        <v/>
      </c>
      <c r="P878" s="6">
        <f>IF(M878&gt;0,D878,"")</f>
        <v/>
      </c>
      <c r="Q878" s="9">
        <f>I878+O878</f>
        <v/>
      </c>
      <c r="R878" s="7">
        <f>Q878*G878</f>
        <v/>
      </c>
      <c r="S878" s="8">
        <f>IF($R$900=0,0,R878/$R$900)</f>
        <v/>
      </c>
      <c r="T878" s="8" t="n">
        <v>0</v>
      </c>
      <c r="U878" s="8" t="n">
        <v>0.02096938060733389</v>
      </c>
      <c r="V878" s="6" t="inlineStr">
        <is>
          <t>not selected</t>
        </is>
      </c>
    </row>
    <row r="879">
      <c r="A879" s="6" t="inlineStr">
        <is>
          <t>DJ30</t>
        </is>
      </c>
      <c r="B879" s="6" t="inlineStr">
        <is>
          <t>2023-07-21</t>
        </is>
      </c>
      <c r="C879" s="6" t="inlineStr">
        <is>
          <t>DIA</t>
        </is>
      </c>
      <c r="D879" s="6" t="inlineStr">
        <is>
          <t>DIS</t>
        </is>
      </c>
      <c r="E879" s="6" t="inlineStr">
        <is>
          <t>DIS</t>
        </is>
      </c>
      <c r="F879" s="6" t="inlineStr">
        <is>
          <t>-</t>
        </is>
      </c>
      <c r="G879" s="7" t="n">
        <v>85.17420196533203</v>
      </c>
      <c r="H879" s="6">
        <f>P848</f>
        <v/>
      </c>
      <c r="I879" s="9">
        <f>Q848</f>
        <v/>
      </c>
      <c r="J879" s="7">
        <f>I879*G879</f>
        <v/>
      </c>
      <c r="K879" s="8">
        <f>IF($J$900=0,0,J879/$J$900)</f>
        <v/>
      </c>
      <c r="L879" s="6" t="inlineStr">
        <is>
          <t>REJECTED</t>
        </is>
      </c>
      <c r="M879" s="8" t="n">
        <v>0</v>
      </c>
      <c r="N879" s="7">
        <f>M879*$J$900-J879</f>
        <v/>
      </c>
      <c r="O879" s="9">
        <f>IF(G879=0,0,N879/G879)</f>
        <v/>
      </c>
      <c r="P879" s="6">
        <f>IF(M879&gt;0,D879,"")</f>
        <v/>
      </c>
      <c r="Q879" s="9">
        <f>I879+O879</f>
        <v/>
      </c>
      <c r="R879" s="7">
        <f>Q879*G879</f>
        <v/>
      </c>
      <c r="S879" s="8">
        <f>IF($R$900=0,0,R879/$R$900)</f>
        <v/>
      </c>
      <c r="T879" s="8" t="n">
        <v>0</v>
      </c>
      <c r="U879" s="8" t="n">
        <v>0.02096938060733389</v>
      </c>
      <c r="V879" s="6" t="inlineStr">
        <is>
          <t>not selected</t>
        </is>
      </c>
    </row>
    <row r="880">
      <c r="A880" s="6" t="inlineStr">
        <is>
          <t>DJ30</t>
        </is>
      </c>
      <c r="B880" s="6" t="inlineStr">
        <is>
          <t>2023-07-21</t>
        </is>
      </c>
      <c r="C880" s="6" t="inlineStr">
        <is>
          <t>DIA</t>
        </is>
      </c>
      <c r="D880" s="6" t="inlineStr">
        <is>
          <t>GS</t>
        </is>
      </c>
      <c r="E880" s="6" t="inlineStr">
        <is>
          <t>GS</t>
        </is>
      </c>
      <c r="F880" s="6" t="inlineStr">
        <is>
          <t>-</t>
        </is>
      </c>
      <c r="G880" s="7" t="n">
        <v>328.0779418945312</v>
      </c>
      <c r="H880" s="6">
        <f>P849</f>
        <v/>
      </c>
      <c r="I880" s="9">
        <f>Q849</f>
        <v/>
      </c>
      <c r="J880" s="7">
        <f>I880*G880</f>
        <v/>
      </c>
      <c r="K880" s="8">
        <f>IF($J$900=0,0,J880/$J$900)</f>
        <v/>
      </c>
      <c r="L880" s="6" t="inlineStr">
        <is>
          <t>REJECTED</t>
        </is>
      </c>
      <c r="M880" s="8" t="n">
        <v>0</v>
      </c>
      <c r="N880" s="7">
        <f>M880*$J$900-J880</f>
        <v/>
      </c>
      <c r="O880" s="9">
        <f>IF(G880=0,0,N880/G880)</f>
        <v/>
      </c>
      <c r="P880" s="6">
        <f>IF(M880&gt;0,D880,"")</f>
        <v/>
      </c>
      <c r="Q880" s="9">
        <f>I880+O880</f>
        <v/>
      </c>
      <c r="R880" s="7">
        <f>Q880*G880</f>
        <v/>
      </c>
      <c r="S880" s="8">
        <f>IF($R$900=0,0,R880/$R$900)</f>
        <v/>
      </c>
      <c r="T880" s="8" t="n">
        <v>0</v>
      </c>
      <c r="U880" s="8" t="n">
        <v>0.02096938060733389</v>
      </c>
      <c r="V880" s="6" t="inlineStr">
        <is>
          <t>not selected</t>
        </is>
      </c>
    </row>
    <row r="881">
      <c r="A881" s="6" t="inlineStr">
        <is>
          <t>DJ30</t>
        </is>
      </c>
      <c r="B881" s="6" t="inlineStr">
        <is>
          <t>2023-07-21</t>
        </is>
      </c>
      <c r="C881" s="6" t="inlineStr">
        <is>
          <t>DIA</t>
        </is>
      </c>
      <c r="D881" s="6" t="inlineStr">
        <is>
          <t>HD</t>
        </is>
      </c>
      <c r="E881" s="6" t="inlineStr">
        <is>
          <t>HD</t>
        </is>
      </c>
      <c r="F881" s="6" t="inlineStr">
        <is>
          <t>-</t>
        </is>
      </c>
      <c r="G881" s="7" t="n">
        <v>297.0114135742188</v>
      </c>
      <c r="H881" s="6">
        <f>P850</f>
        <v/>
      </c>
      <c r="I881" s="9">
        <f>Q850</f>
        <v/>
      </c>
      <c r="J881" s="7">
        <f>I881*G881</f>
        <v/>
      </c>
      <c r="K881" s="8">
        <f>IF($J$900=0,0,J881/$J$900)</f>
        <v/>
      </c>
      <c r="L881" s="6" t="inlineStr">
        <is>
          <t>REJECTED</t>
        </is>
      </c>
      <c r="M881" s="8" t="n">
        <v>0</v>
      </c>
      <c r="N881" s="7">
        <f>M881*$J$900-J881</f>
        <v/>
      </c>
      <c r="O881" s="9">
        <f>IF(G881=0,0,N881/G881)</f>
        <v/>
      </c>
      <c r="P881" s="6">
        <f>IF(M881&gt;0,D881,"")</f>
        <v/>
      </c>
      <c r="Q881" s="9">
        <f>I881+O881</f>
        <v/>
      </c>
      <c r="R881" s="7">
        <f>Q881*G881</f>
        <v/>
      </c>
      <c r="S881" s="8">
        <f>IF($R$900=0,0,R881/$R$900)</f>
        <v/>
      </c>
      <c r="T881" s="8" t="n">
        <v>0</v>
      </c>
      <c r="U881" s="8" t="n">
        <v>0.02096938060733389</v>
      </c>
      <c r="V881" s="6" t="inlineStr">
        <is>
          <t>not selected</t>
        </is>
      </c>
    </row>
    <row r="882">
      <c r="A882" s="6" t="inlineStr">
        <is>
          <t>DJ30</t>
        </is>
      </c>
      <c r="B882" s="6" t="inlineStr">
        <is>
          <t>2023-07-21</t>
        </is>
      </c>
      <c r="C882" s="6" t="inlineStr">
        <is>
          <t>DIA</t>
        </is>
      </c>
      <c r="D882" s="6" t="inlineStr">
        <is>
          <t>HON</t>
        </is>
      </c>
      <c r="E882" s="6" t="inlineStr">
        <is>
          <t>HON</t>
        </is>
      </c>
      <c r="F882" s="6" t="inlineStr">
        <is>
          <t>-</t>
        </is>
      </c>
      <c r="G882" s="7" t="n">
        <v>184.3288269042969</v>
      </c>
      <c r="H882" s="6">
        <f>P851</f>
        <v/>
      </c>
      <c r="I882" s="9">
        <f>Q851</f>
        <v/>
      </c>
      <c r="J882" s="7">
        <f>I882*G882</f>
        <v/>
      </c>
      <c r="K882" s="8">
        <f>IF($J$900=0,0,J882/$J$900)</f>
        <v/>
      </c>
      <c r="L882" s="6" t="inlineStr">
        <is>
          <t>REJECTED</t>
        </is>
      </c>
      <c r="M882" s="8" t="n">
        <v>0</v>
      </c>
      <c r="N882" s="7">
        <f>M882*$J$900-J882</f>
        <v/>
      </c>
      <c r="O882" s="9">
        <f>IF(G882=0,0,N882/G882)</f>
        <v/>
      </c>
      <c r="P882" s="6">
        <f>IF(M882&gt;0,D882,"")</f>
        <v/>
      </c>
      <c r="Q882" s="9">
        <f>I882+O882</f>
        <v/>
      </c>
      <c r="R882" s="7">
        <f>Q882*G882</f>
        <v/>
      </c>
      <c r="S882" s="8">
        <f>IF($R$900=0,0,R882/$R$900)</f>
        <v/>
      </c>
      <c r="T882" s="8" t="n">
        <v>0</v>
      </c>
      <c r="U882" s="8" t="n">
        <v>0.02096938060733389</v>
      </c>
      <c r="V882" s="6" t="inlineStr">
        <is>
          <t>not selected</t>
        </is>
      </c>
    </row>
    <row r="883">
      <c r="A883" s="6" t="inlineStr">
        <is>
          <t>DJ30</t>
        </is>
      </c>
      <c r="B883" s="6" t="inlineStr">
        <is>
          <t>2023-07-21</t>
        </is>
      </c>
      <c r="C883" s="6" t="inlineStr">
        <is>
          <t>DIA</t>
        </is>
      </c>
      <c r="D883" s="6" t="inlineStr">
        <is>
          <t>IBM</t>
        </is>
      </c>
      <c r="E883" s="6" t="inlineStr">
        <is>
          <t>IBM</t>
        </is>
      </c>
      <c r="F883" s="6" t="inlineStr">
        <is>
          <t>-</t>
        </is>
      </c>
      <c r="G883" s="7" t="n">
        <v>126.126220703125</v>
      </c>
      <c r="H883" s="6">
        <f>P852</f>
        <v/>
      </c>
      <c r="I883" s="9">
        <f>Q852</f>
        <v/>
      </c>
      <c r="J883" s="7">
        <f>I883*G883</f>
        <v/>
      </c>
      <c r="K883" s="8">
        <f>IF($J$900=0,0,J883/$J$900)</f>
        <v/>
      </c>
      <c r="L883" s="6" t="inlineStr">
        <is>
          <t>REJECTED</t>
        </is>
      </c>
      <c r="M883" s="8" t="n">
        <v>0</v>
      </c>
      <c r="N883" s="7">
        <f>M883*$J$900-J883</f>
        <v/>
      </c>
      <c r="O883" s="9">
        <f>IF(G883=0,0,N883/G883)</f>
        <v/>
      </c>
      <c r="P883" s="6">
        <f>IF(M883&gt;0,D883,"")</f>
        <v/>
      </c>
      <c r="Q883" s="9">
        <f>I883+O883</f>
        <v/>
      </c>
      <c r="R883" s="7">
        <f>Q883*G883</f>
        <v/>
      </c>
      <c r="S883" s="8">
        <f>IF($R$900=0,0,R883/$R$900)</f>
        <v/>
      </c>
      <c r="T883" s="8" t="n">
        <v>0</v>
      </c>
      <c r="U883" s="8" t="n">
        <v>0.02096938060733389</v>
      </c>
      <c r="V883" s="6" t="inlineStr">
        <is>
          <t>not selected</t>
        </is>
      </c>
    </row>
    <row r="884">
      <c r="A884" s="6" t="inlineStr">
        <is>
          <t>DJ30</t>
        </is>
      </c>
      <c r="B884" s="6" t="inlineStr">
        <is>
          <t>2023-07-21</t>
        </is>
      </c>
      <c r="C884" s="6" t="inlineStr">
        <is>
          <t>DIA</t>
        </is>
      </c>
      <c r="D884" s="6" t="inlineStr">
        <is>
          <t>JNJ</t>
        </is>
      </c>
      <c r="E884" s="6" t="inlineStr">
        <is>
          <t>JNJ</t>
        </is>
      </c>
      <c r="F884" s="6" t="inlineStr">
        <is>
          <t>-</t>
        </is>
      </c>
      <c r="G884" s="7" t="n">
        <v>155.9208831787109</v>
      </c>
      <c r="H884" s="6">
        <f>P853</f>
        <v/>
      </c>
      <c r="I884" s="9">
        <f>Q853</f>
        <v/>
      </c>
      <c r="J884" s="7">
        <f>I884*G884</f>
        <v/>
      </c>
      <c r="K884" s="8">
        <f>IF($J$900=0,0,J884/$J$900)</f>
        <v/>
      </c>
      <c r="L884" s="6" t="inlineStr">
        <is>
          <t>REJECTED</t>
        </is>
      </c>
      <c r="M884" s="8" t="n">
        <v>0</v>
      </c>
      <c r="N884" s="7">
        <f>M884*$J$900-J884</f>
        <v/>
      </c>
      <c r="O884" s="9">
        <f>IF(G884=0,0,N884/G884)</f>
        <v/>
      </c>
      <c r="P884" s="6">
        <f>IF(M884&gt;0,D884,"")</f>
        <v/>
      </c>
      <c r="Q884" s="9">
        <f>I884+O884</f>
        <v/>
      </c>
      <c r="R884" s="7">
        <f>Q884*G884</f>
        <v/>
      </c>
      <c r="S884" s="8">
        <f>IF($R$900=0,0,R884/$R$900)</f>
        <v/>
      </c>
      <c r="T884" s="8" t="n">
        <v>0</v>
      </c>
      <c r="U884" s="8" t="n">
        <v>0.02096938060733389</v>
      </c>
      <c r="V884" s="6" t="inlineStr">
        <is>
          <t>not selected</t>
        </is>
      </c>
    </row>
    <row r="885">
      <c r="A885" s="6" t="inlineStr">
        <is>
          <t>DJ30</t>
        </is>
      </c>
      <c r="B885" s="6" t="inlineStr">
        <is>
          <t>2023-07-21</t>
        </is>
      </c>
      <c r="C885" s="6" t="inlineStr">
        <is>
          <t>DIA</t>
        </is>
      </c>
      <c r="D885" s="6" t="inlineStr">
        <is>
          <t>JPM</t>
        </is>
      </c>
      <c r="E885" s="6" t="inlineStr">
        <is>
          <t>JPM</t>
        </is>
      </c>
      <c r="F885" s="6" t="inlineStr">
        <is>
          <t>-</t>
        </is>
      </c>
      <c r="G885" s="7" t="n">
        <v>145.7071380615234</v>
      </c>
      <c r="H885" s="6">
        <f>P854</f>
        <v/>
      </c>
      <c r="I885" s="9">
        <f>Q854</f>
        <v/>
      </c>
      <c r="J885" s="7">
        <f>I885*G885</f>
        <v/>
      </c>
      <c r="K885" s="8">
        <f>IF($J$900=0,0,J885/$J$900)</f>
        <v/>
      </c>
      <c r="L885" s="6" t="inlineStr">
        <is>
          <t>REJECTED</t>
        </is>
      </c>
      <c r="M885" s="8" t="n">
        <v>0</v>
      </c>
      <c r="N885" s="7">
        <f>M885*$J$900-J885</f>
        <v/>
      </c>
      <c r="O885" s="9">
        <f>IF(G885=0,0,N885/G885)</f>
        <v/>
      </c>
      <c r="P885" s="6">
        <f>IF(M885&gt;0,D885,"")</f>
        <v/>
      </c>
      <c r="Q885" s="9">
        <f>I885+O885</f>
        <v/>
      </c>
      <c r="R885" s="7">
        <f>Q885*G885</f>
        <v/>
      </c>
      <c r="S885" s="8">
        <f>IF($R$900=0,0,R885/$R$900)</f>
        <v/>
      </c>
      <c r="T885" s="8" t="n">
        <v>0</v>
      </c>
      <c r="U885" s="8" t="n">
        <v>0.02096938060733389</v>
      </c>
      <c r="V885" s="6" t="inlineStr">
        <is>
          <t>not selected</t>
        </is>
      </c>
    </row>
    <row r="886">
      <c r="A886" s="6" t="inlineStr">
        <is>
          <t>DJ30</t>
        </is>
      </c>
      <c r="B886" s="6" t="inlineStr">
        <is>
          <t>2023-07-21</t>
        </is>
      </c>
      <c r="C886" s="6" t="inlineStr">
        <is>
          <t>DIA</t>
        </is>
      </c>
      <c r="D886" s="6" t="inlineStr">
        <is>
          <t>KO</t>
        </is>
      </c>
      <c r="E886" s="6" t="inlineStr">
        <is>
          <t>KO</t>
        </is>
      </c>
      <c r="F886" s="6" t="inlineStr">
        <is>
          <t>-</t>
        </is>
      </c>
      <c r="G886" s="7" t="n">
        <v>57.16396331787109</v>
      </c>
      <c r="H886" s="6">
        <f>P855</f>
        <v/>
      </c>
      <c r="I886" s="9">
        <f>Q855</f>
        <v/>
      </c>
      <c r="J886" s="7">
        <f>I886*G886</f>
        <v/>
      </c>
      <c r="K886" s="8">
        <f>IF($J$900=0,0,J886/$J$900)</f>
        <v/>
      </c>
      <c r="L886" s="6" t="inlineStr">
        <is>
          <t>REJECTED</t>
        </is>
      </c>
      <c r="M886" s="8" t="n">
        <v>0</v>
      </c>
      <c r="N886" s="7">
        <f>M886*$J$900-J886</f>
        <v/>
      </c>
      <c r="O886" s="9">
        <f>IF(G886=0,0,N886/G886)</f>
        <v/>
      </c>
      <c r="P886" s="6">
        <f>IF(M886&gt;0,D886,"")</f>
        <v/>
      </c>
      <c r="Q886" s="9">
        <f>I886+O886</f>
        <v/>
      </c>
      <c r="R886" s="7">
        <f>Q886*G886</f>
        <v/>
      </c>
      <c r="S886" s="8">
        <f>IF($R$900=0,0,R886/$R$900)</f>
        <v/>
      </c>
      <c r="T886" s="8" t="n">
        <v>0</v>
      </c>
      <c r="U886" s="8" t="n">
        <v>0.02096938060733389</v>
      </c>
      <c r="V886" s="6" t="inlineStr">
        <is>
          <t>not selected</t>
        </is>
      </c>
    </row>
    <row r="887">
      <c r="A887" s="6" t="inlineStr">
        <is>
          <t>DJ30</t>
        </is>
      </c>
      <c r="B887" s="6" t="inlineStr">
        <is>
          <t>2023-07-21</t>
        </is>
      </c>
      <c r="C887" s="6" t="inlineStr">
        <is>
          <t>DIA</t>
        </is>
      </c>
      <c r="D887" s="6" t="inlineStr">
        <is>
          <t>MCD</t>
        </is>
      </c>
      <c r="E887" s="6" t="inlineStr">
        <is>
          <t>MCD</t>
        </is>
      </c>
      <c r="F887" s="6" t="inlineStr">
        <is>
          <t>-</t>
        </is>
      </c>
      <c r="G887" s="7" t="n">
        <v>275.4410705566406</v>
      </c>
      <c r="H887" s="6">
        <f>P856</f>
        <v/>
      </c>
      <c r="I887" s="9">
        <f>Q856</f>
        <v/>
      </c>
      <c r="J887" s="7">
        <f>I887*G887</f>
        <v/>
      </c>
      <c r="K887" s="8">
        <f>IF($J$900=0,0,J887/$J$900)</f>
        <v/>
      </c>
      <c r="L887" s="6" t="inlineStr">
        <is>
          <t>REJECTED</t>
        </is>
      </c>
      <c r="M887" s="8" t="n">
        <v>0</v>
      </c>
      <c r="N887" s="7">
        <f>M887*$J$900-J887</f>
        <v/>
      </c>
      <c r="O887" s="9">
        <f>IF(G887=0,0,N887/G887)</f>
        <v/>
      </c>
      <c r="P887" s="6">
        <f>IF(M887&gt;0,D887,"")</f>
        <v/>
      </c>
      <c r="Q887" s="9">
        <f>I887+O887</f>
        <v/>
      </c>
      <c r="R887" s="7">
        <f>Q887*G887</f>
        <v/>
      </c>
      <c r="S887" s="8">
        <f>IF($R$900=0,0,R887/$R$900)</f>
        <v/>
      </c>
      <c r="T887" s="8" t="n">
        <v>0</v>
      </c>
      <c r="U887" s="8" t="n">
        <v>0.02096938060733389</v>
      </c>
      <c r="V887" s="6" t="inlineStr">
        <is>
          <t>not selected</t>
        </is>
      </c>
    </row>
    <row r="888">
      <c r="A888" s="6" t="inlineStr">
        <is>
          <t>DJ30</t>
        </is>
      </c>
      <c r="B888" s="6" t="inlineStr">
        <is>
          <t>2023-07-21</t>
        </is>
      </c>
      <c r="C888" s="6" t="inlineStr">
        <is>
          <t>DIA</t>
        </is>
      </c>
      <c r="D888" s="6" t="inlineStr">
        <is>
          <t>MMM</t>
        </is>
      </c>
      <c r="E888" s="6" t="inlineStr">
        <is>
          <t>MMM</t>
        </is>
      </c>
      <c r="F888" s="6" t="inlineStr">
        <is>
          <t>-</t>
        </is>
      </c>
      <c r="G888" s="7" t="n">
        <v>79.49573516845703</v>
      </c>
      <c r="H888" s="6">
        <f>P857</f>
        <v/>
      </c>
      <c r="I888" s="9">
        <f>Q857</f>
        <v/>
      </c>
      <c r="J888" s="7">
        <f>I888*G888</f>
        <v/>
      </c>
      <c r="K888" s="8">
        <f>IF($J$900=0,0,J888/$J$900)</f>
        <v/>
      </c>
      <c r="L888" s="6" t="inlineStr">
        <is>
          <t>REJECTED</t>
        </is>
      </c>
      <c r="M888" s="8" t="n">
        <v>0</v>
      </c>
      <c r="N888" s="7">
        <f>M888*$J$900-J888</f>
        <v/>
      </c>
      <c r="O888" s="9">
        <f>IF(G888=0,0,N888/G888)</f>
        <v/>
      </c>
      <c r="P888" s="6">
        <f>IF(M888&gt;0,D888,"")</f>
        <v/>
      </c>
      <c r="Q888" s="9">
        <f>I888+O888</f>
        <v/>
      </c>
      <c r="R888" s="7">
        <f>Q888*G888</f>
        <v/>
      </c>
      <c r="S888" s="8">
        <f>IF($R$900=0,0,R888/$R$900)</f>
        <v/>
      </c>
      <c r="T888" s="8" t="n">
        <v>0</v>
      </c>
      <c r="U888" s="8" t="n">
        <v>0.02096938060733389</v>
      </c>
      <c r="V888" s="6" t="inlineStr">
        <is>
          <t>not selected</t>
        </is>
      </c>
    </row>
    <row r="889">
      <c r="A889" s="6" t="inlineStr">
        <is>
          <t>DJ30</t>
        </is>
      </c>
      <c r="B889" s="6" t="inlineStr">
        <is>
          <t>2023-07-21</t>
        </is>
      </c>
      <c r="C889" s="6" t="inlineStr">
        <is>
          <t>DIA</t>
        </is>
      </c>
      <c r="D889" s="6" t="inlineStr">
        <is>
          <t>MRK</t>
        </is>
      </c>
      <c r="E889" s="6" t="inlineStr">
        <is>
          <t>MRK</t>
        </is>
      </c>
      <c r="F889" s="6" t="inlineStr">
        <is>
          <t>-</t>
        </is>
      </c>
      <c r="G889" s="7" t="n">
        <v>100.6482543945312</v>
      </c>
      <c r="H889" s="6">
        <f>P858</f>
        <v/>
      </c>
      <c r="I889" s="9">
        <f>Q858</f>
        <v/>
      </c>
      <c r="J889" s="7">
        <f>I889*G889</f>
        <v/>
      </c>
      <c r="K889" s="8">
        <f>IF($J$900=0,0,J889/$J$900)</f>
        <v/>
      </c>
      <c r="L889" s="6" t="inlineStr">
        <is>
          <t>REJECTED</t>
        </is>
      </c>
      <c r="M889" s="8" t="n">
        <v>0</v>
      </c>
      <c r="N889" s="7">
        <f>M889*$J$900-J889</f>
        <v/>
      </c>
      <c r="O889" s="9">
        <f>IF(G889=0,0,N889/G889)</f>
        <v/>
      </c>
      <c r="P889" s="6">
        <f>IF(M889&gt;0,D889,"")</f>
        <v/>
      </c>
      <c r="Q889" s="9">
        <f>I889+O889</f>
        <v/>
      </c>
      <c r="R889" s="7">
        <f>Q889*G889</f>
        <v/>
      </c>
      <c r="S889" s="8">
        <f>IF($R$900=0,0,R889/$R$900)</f>
        <v/>
      </c>
      <c r="T889" s="8" t="n">
        <v>0</v>
      </c>
      <c r="U889" s="8" t="n">
        <v>0.02096938060733389</v>
      </c>
      <c r="V889" s="6" t="inlineStr">
        <is>
          <t>not selected</t>
        </is>
      </c>
    </row>
    <row r="890">
      <c r="A890" s="6" t="inlineStr">
        <is>
          <t>DJ30</t>
        </is>
      </c>
      <c r="B890" s="6" t="inlineStr">
        <is>
          <t>2023-07-21</t>
        </is>
      </c>
      <c r="C890" s="6" t="inlineStr">
        <is>
          <t>DIA</t>
        </is>
      </c>
      <c r="D890" s="6" t="inlineStr">
        <is>
          <t>MSFT</t>
        </is>
      </c>
      <c r="E890" s="6" t="inlineStr">
        <is>
          <t>MSFT</t>
        </is>
      </c>
      <c r="F890" s="6" t="inlineStr">
        <is>
          <t>-</t>
        </is>
      </c>
      <c r="G890" s="7" t="n">
        <v>335.8239135742188</v>
      </c>
      <c r="H890" s="6">
        <f>P859</f>
        <v/>
      </c>
      <c r="I890" s="9">
        <f>Q859</f>
        <v/>
      </c>
      <c r="J890" s="7">
        <f>I890*G890</f>
        <v/>
      </c>
      <c r="K890" s="8">
        <f>IF($J$900=0,0,J890/$J$900)</f>
        <v/>
      </c>
      <c r="L890" s="6" t="inlineStr">
        <is>
          <t>REJECTED</t>
        </is>
      </c>
      <c r="M890" s="8" t="n">
        <v>0</v>
      </c>
      <c r="N890" s="7">
        <f>M890*$J$900-J890</f>
        <v/>
      </c>
      <c r="O890" s="9">
        <f>IF(G890=0,0,N890/G890)</f>
        <v/>
      </c>
      <c r="P890" s="6">
        <f>IF(M890&gt;0,D890,"")</f>
        <v/>
      </c>
      <c r="Q890" s="9">
        <f>I890+O890</f>
        <v/>
      </c>
      <c r="R890" s="7">
        <f>Q890*G890</f>
        <v/>
      </c>
      <c r="S890" s="8">
        <f>IF($R$900=0,0,R890/$R$900)</f>
        <v/>
      </c>
      <c r="T890" s="8" t="n">
        <v>0</v>
      </c>
      <c r="U890" s="8" t="n">
        <v>0.02096938060733389</v>
      </c>
      <c r="V890" s="6" t="inlineStr">
        <is>
          <t>not selected</t>
        </is>
      </c>
    </row>
    <row r="891">
      <c r="A891" s="6" t="inlineStr">
        <is>
          <t>DJ30</t>
        </is>
      </c>
      <c r="B891" s="6" t="inlineStr">
        <is>
          <t>2023-07-21</t>
        </is>
      </c>
      <c r="C891" s="6" t="inlineStr">
        <is>
          <t>DIA</t>
        </is>
      </c>
      <c r="D891" s="6" t="inlineStr">
        <is>
          <t>NKE</t>
        </is>
      </c>
      <c r="E891" s="6" t="inlineStr">
        <is>
          <t>NKE</t>
        </is>
      </c>
      <c r="F891" s="6" t="inlineStr">
        <is>
          <t>-</t>
        </is>
      </c>
      <c r="G891" s="7" t="n">
        <v>102.4563598632812</v>
      </c>
      <c r="H891" s="6">
        <f>P860</f>
        <v/>
      </c>
      <c r="I891" s="9">
        <f>Q860</f>
        <v/>
      </c>
      <c r="J891" s="7">
        <f>I891*G891</f>
        <v/>
      </c>
      <c r="K891" s="8">
        <f>IF($J$900=0,0,J891/$J$900)</f>
        <v/>
      </c>
      <c r="L891" s="6" t="inlineStr">
        <is>
          <t>REJECTED</t>
        </is>
      </c>
      <c r="M891" s="8" t="n">
        <v>0</v>
      </c>
      <c r="N891" s="7">
        <f>M891*$J$900-J891</f>
        <v/>
      </c>
      <c r="O891" s="9">
        <f>IF(G891=0,0,N891/G891)</f>
        <v/>
      </c>
      <c r="P891" s="6">
        <f>IF(M891&gt;0,D891,"")</f>
        <v/>
      </c>
      <c r="Q891" s="9">
        <f>I891+O891</f>
        <v/>
      </c>
      <c r="R891" s="7">
        <f>Q891*G891</f>
        <v/>
      </c>
      <c r="S891" s="8">
        <f>IF($R$900=0,0,R891/$R$900)</f>
        <v/>
      </c>
      <c r="T891" s="8" t="n">
        <v>0</v>
      </c>
      <c r="U891" s="8" t="n">
        <v>0.02096938060733389</v>
      </c>
      <c r="V891" s="6" t="inlineStr">
        <is>
          <t>not selected</t>
        </is>
      </c>
    </row>
    <row r="892">
      <c r="A892" s="6" t="inlineStr">
        <is>
          <t>DJ30</t>
        </is>
      </c>
      <c r="B892" s="6" t="inlineStr">
        <is>
          <t>2023-07-21</t>
        </is>
      </c>
      <c r="C892" s="6" t="inlineStr">
        <is>
          <t>DIA</t>
        </is>
      </c>
      <c r="D892" s="6" t="inlineStr">
        <is>
          <t>NVDA</t>
        </is>
      </c>
      <c r="E892" s="6" t="inlineStr">
        <is>
          <t>NVDA</t>
        </is>
      </c>
      <c r="F892" s="6" t="inlineStr">
        <is>
          <t>-</t>
        </is>
      </c>
      <c r="G892" s="7" t="n">
        <v>44.22284698486328</v>
      </c>
      <c r="H892" s="6">
        <f>P861</f>
        <v/>
      </c>
      <c r="I892" s="9">
        <f>Q861</f>
        <v/>
      </c>
      <c r="J892" s="7">
        <f>I892*G892</f>
        <v/>
      </c>
      <c r="K892" s="8">
        <f>IF($J$900=0,0,J892/$J$900)</f>
        <v/>
      </c>
      <c r="L892" s="6" t="inlineStr">
        <is>
          <t>REJECTED</t>
        </is>
      </c>
      <c r="M892" s="8" t="n">
        <v>0</v>
      </c>
      <c r="N892" s="7">
        <f>M892*$J$900-J892</f>
        <v/>
      </c>
      <c r="O892" s="9">
        <f>IF(G892=0,0,N892/G892)</f>
        <v/>
      </c>
      <c r="P892" s="6">
        <f>IF(M892&gt;0,D892,"")</f>
        <v/>
      </c>
      <c r="Q892" s="9">
        <f>I892+O892</f>
        <v/>
      </c>
      <c r="R892" s="7">
        <f>Q892*G892</f>
        <v/>
      </c>
      <c r="S892" s="8">
        <f>IF($R$900=0,0,R892/$R$900)</f>
        <v/>
      </c>
      <c r="T892" s="8" t="n">
        <v>0</v>
      </c>
      <c r="U892" s="8" t="n">
        <v>0.02096938060733389</v>
      </c>
      <c r="V892" s="6" t="inlineStr">
        <is>
          <t>not selected</t>
        </is>
      </c>
    </row>
    <row r="893">
      <c r="A893" s="6" t="inlineStr">
        <is>
          <t>DJ30</t>
        </is>
      </c>
      <c r="B893" s="6" t="inlineStr">
        <is>
          <t>2023-07-21</t>
        </is>
      </c>
      <c r="C893" s="6" t="inlineStr">
        <is>
          <t>DIA</t>
        </is>
      </c>
      <c r="D893" s="6" t="inlineStr">
        <is>
          <t>PG</t>
        </is>
      </c>
      <c r="E893" s="6" t="inlineStr">
        <is>
          <t>PG</t>
        </is>
      </c>
      <c r="F893" s="6" t="inlineStr">
        <is>
          <t>-</t>
        </is>
      </c>
      <c r="G893" s="7" t="n">
        <v>142.3720855712891</v>
      </c>
      <c r="H893" s="6">
        <f>P862</f>
        <v/>
      </c>
      <c r="I893" s="9">
        <f>Q862</f>
        <v/>
      </c>
      <c r="J893" s="7">
        <f>I893*G893</f>
        <v/>
      </c>
      <c r="K893" s="8">
        <f>IF($J$900=0,0,J893/$J$900)</f>
        <v/>
      </c>
      <c r="L893" s="6" t="inlineStr">
        <is>
          <t>REJECTED</t>
        </is>
      </c>
      <c r="M893" s="8" t="n">
        <v>0</v>
      </c>
      <c r="N893" s="7">
        <f>M893*$J$900-J893</f>
        <v/>
      </c>
      <c r="O893" s="9">
        <f>IF(G893=0,0,N893/G893)</f>
        <v/>
      </c>
      <c r="P893" s="6">
        <f>IF(M893&gt;0,D893,"")</f>
        <v/>
      </c>
      <c r="Q893" s="9">
        <f>I893+O893</f>
        <v/>
      </c>
      <c r="R893" s="7">
        <f>Q893*G893</f>
        <v/>
      </c>
      <c r="S893" s="8">
        <f>IF($R$900=0,0,R893/$R$900)</f>
        <v/>
      </c>
      <c r="T893" s="8" t="n">
        <v>0</v>
      </c>
      <c r="U893" s="8" t="n">
        <v>0.02096938060733389</v>
      </c>
      <c r="V893" s="6" t="inlineStr">
        <is>
          <t>not selected</t>
        </is>
      </c>
    </row>
    <row r="894">
      <c r="A894" s="6" t="inlineStr">
        <is>
          <t>DJ30</t>
        </is>
      </c>
      <c r="B894" s="6" t="inlineStr">
        <is>
          <t>2023-07-21</t>
        </is>
      </c>
      <c r="C894" s="6" t="inlineStr">
        <is>
          <t>DIA</t>
        </is>
      </c>
      <c r="D894" s="6" t="inlineStr">
        <is>
          <t>SHW</t>
        </is>
      </c>
      <c r="E894" s="6" t="inlineStr">
        <is>
          <t>SHW</t>
        </is>
      </c>
      <c r="F894" s="6" t="inlineStr">
        <is>
          <t>-</t>
        </is>
      </c>
      <c r="G894" s="7" t="n">
        <v>261.6975402832031</v>
      </c>
      <c r="H894" s="6">
        <f>P863</f>
        <v/>
      </c>
      <c r="I894" s="9">
        <f>Q863</f>
        <v/>
      </c>
      <c r="J894" s="7">
        <f>I894*G894</f>
        <v/>
      </c>
      <c r="K894" s="8">
        <f>IF($J$900=0,0,J894/$J$900)</f>
        <v/>
      </c>
      <c r="L894" s="6" t="inlineStr">
        <is>
          <t>REJECTED</t>
        </is>
      </c>
      <c r="M894" s="8" t="n">
        <v>0</v>
      </c>
      <c r="N894" s="7">
        <f>M894*$J$900-J894</f>
        <v/>
      </c>
      <c r="O894" s="9">
        <f>IF(G894=0,0,N894/G894)</f>
        <v/>
      </c>
      <c r="P894" s="6">
        <f>IF(M894&gt;0,D894,"")</f>
        <v/>
      </c>
      <c r="Q894" s="9">
        <f>I894+O894</f>
        <v/>
      </c>
      <c r="R894" s="7">
        <f>Q894*G894</f>
        <v/>
      </c>
      <c r="S894" s="8">
        <f>IF($R$900=0,0,R894/$R$900)</f>
        <v/>
      </c>
      <c r="T894" s="8" t="n">
        <v>0</v>
      </c>
      <c r="U894" s="8" t="n">
        <v>0.02096938060733389</v>
      </c>
      <c r="V894" s="6" t="inlineStr">
        <is>
          <t>not selected</t>
        </is>
      </c>
    </row>
    <row r="895">
      <c r="A895" s="6" t="inlineStr">
        <is>
          <t>DJ30</t>
        </is>
      </c>
      <c r="B895" s="6" t="inlineStr">
        <is>
          <t>2023-07-21</t>
        </is>
      </c>
      <c r="C895" s="6" t="inlineStr">
        <is>
          <t>DIA</t>
        </is>
      </c>
      <c r="D895" s="6" t="inlineStr">
        <is>
          <t>TRV</t>
        </is>
      </c>
      <c r="E895" s="6" t="inlineStr">
        <is>
          <t>TRV</t>
        </is>
      </c>
      <c r="F895" s="6" t="inlineStr">
        <is>
          <t>-</t>
        </is>
      </c>
      <c r="G895" s="7" t="n">
        <v>163.7791900634766</v>
      </c>
      <c r="H895" s="6">
        <f>P864</f>
        <v/>
      </c>
      <c r="I895" s="9">
        <f>Q864</f>
        <v/>
      </c>
      <c r="J895" s="7">
        <f>I895*G895</f>
        <v/>
      </c>
      <c r="K895" s="8">
        <f>IF($J$900=0,0,J895/$J$900)</f>
        <v/>
      </c>
      <c r="L895" s="6" t="inlineStr">
        <is>
          <t>REJECTED</t>
        </is>
      </c>
      <c r="M895" s="8" t="n">
        <v>0</v>
      </c>
      <c r="N895" s="7">
        <f>M895*$J$900-J895</f>
        <v/>
      </c>
      <c r="O895" s="9">
        <f>IF(G895=0,0,N895/G895)</f>
        <v/>
      </c>
      <c r="P895" s="6">
        <f>IF(M895&gt;0,D895,"")</f>
        <v/>
      </c>
      <c r="Q895" s="9">
        <f>I895+O895</f>
        <v/>
      </c>
      <c r="R895" s="7">
        <f>Q895*G895</f>
        <v/>
      </c>
      <c r="S895" s="8">
        <f>IF($R$900=0,0,R895/$R$900)</f>
        <v/>
      </c>
      <c r="T895" s="8" t="n">
        <v>0</v>
      </c>
      <c r="U895" s="8" t="n">
        <v>0.02096938060733389</v>
      </c>
      <c r="V895" s="6" t="inlineStr">
        <is>
          <t>not selected</t>
        </is>
      </c>
    </row>
    <row r="896">
      <c r="A896" s="6" t="inlineStr">
        <is>
          <t>DJ30</t>
        </is>
      </c>
      <c r="B896" s="6" t="inlineStr">
        <is>
          <t>2023-07-21</t>
        </is>
      </c>
      <c r="C896" s="6" t="inlineStr">
        <is>
          <t>DIA</t>
        </is>
      </c>
      <c r="D896" s="6" t="inlineStr">
        <is>
          <t>UNH</t>
        </is>
      </c>
      <c r="E896" s="6" t="inlineStr">
        <is>
          <t>UNH</t>
        </is>
      </c>
      <c r="F896" s="6" t="inlineStr">
        <is>
          <t>-</t>
        </is>
      </c>
      <c r="G896" s="7" t="n">
        <v>476.7485961914063</v>
      </c>
      <c r="H896" s="6">
        <f>P865</f>
        <v/>
      </c>
      <c r="I896" s="9">
        <f>Q865</f>
        <v/>
      </c>
      <c r="J896" s="7">
        <f>I896*G896</f>
        <v/>
      </c>
      <c r="K896" s="8">
        <f>IF($J$900=0,0,J896/$J$900)</f>
        <v/>
      </c>
      <c r="L896" s="6" t="inlineStr">
        <is>
          <t>REJECTED</t>
        </is>
      </c>
      <c r="M896" s="8" t="n">
        <v>0</v>
      </c>
      <c r="N896" s="7">
        <f>M896*$J$900-J896</f>
        <v/>
      </c>
      <c r="O896" s="9">
        <f>IF(G896=0,0,N896/G896)</f>
        <v/>
      </c>
      <c r="P896" s="6">
        <f>IF(M896&gt;0,D896,"")</f>
        <v/>
      </c>
      <c r="Q896" s="9">
        <f>I896+O896</f>
        <v/>
      </c>
      <c r="R896" s="7">
        <f>Q896*G896</f>
        <v/>
      </c>
      <c r="S896" s="8">
        <f>IF($R$900=0,0,R896/$R$900)</f>
        <v/>
      </c>
      <c r="T896" s="8" t="n">
        <v>0</v>
      </c>
      <c r="U896" s="8" t="n">
        <v>0.02096938060733389</v>
      </c>
      <c r="V896" s="6" t="inlineStr">
        <is>
          <t>not selected</t>
        </is>
      </c>
    </row>
    <row r="897">
      <c r="A897" s="6" t="inlineStr">
        <is>
          <t>DJ30</t>
        </is>
      </c>
      <c r="B897" s="6" t="inlineStr">
        <is>
          <t>2023-07-21</t>
        </is>
      </c>
      <c r="C897" s="6" t="inlineStr">
        <is>
          <t>DIA</t>
        </is>
      </c>
      <c r="D897" s="6" t="inlineStr">
        <is>
          <t>V</t>
        </is>
      </c>
      <c r="E897" s="6" t="inlineStr">
        <is>
          <t>V</t>
        </is>
      </c>
      <c r="F897" s="6" t="inlineStr">
        <is>
          <t>-</t>
        </is>
      </c>
      <c r="G897" s="7" t="n">
        <v>233.8501892089844</v>
      </c>
      <c r="H897" s="6">
        <f>P866</f>
        <v/>
      </c>
      <c r="I897" s="9">
        <f>Q866</f>
        <v/>
      </c>
      <c r="J897" s="7">
        <f>I897*G897</f>
        <v/>
      </c>
      <c r="K897" s="8">
        <f>IF($J$900=0,0,J897/$J$900)</f>
        <v/>
      </c>
      <c r="L897" s="6" t="inlineStr">
        <is>
          <t>REJECTED</t>
        </is>
      </c>
      <c r="M897" s="8" t="n">
        <v>0</v>
      </c>
      <c r="N897" s="7">
        <f>M897*$J$900-J897</f>
        <v/>
      </c>
      <c r="O897" s="9">
        <f>IF(G897=0,0,N897/G897)</f>
        <v/>
      </c>
      <c r="P897" s="6">
        <f>IF(M897&gt;0,D897,"")</f>
        <v/>
      </c>
      <c r="Q897" s="9">
        <f>I897+O897</f>
        <v/>
      </c>
      <c r="R897" s="7">
        <f>Q897*G897</f>
        <v/>
      </c>
      <c r="S897" s="8">
        <f>IF($R$900=0,0,R897/$R$900)</f>
        <v/>
      </c>
      <c r="T897" s="8" t="n">
        <v>0</v>
      </c>
      <c r="U897" s="8" t="n">
        <v>0.02096938060733389</v>
      </c>
      <c r="V897" s="6" t="inlineStr">
        <is>
          <t>not selected</t>
        </is>
      </c>
    </row>
    <row r="898">
      <c r="A898" s="6" t="inlineStr">
        <is>
          <t>DJ30</t>
        </is>
      </c>
      <c r="B898" s="6" t="inlineStr">
        <is>
          <t>2023-07-21</t>
        </is>
      </c>
      <c r="C898" s="6" t="inlineStr">
        <is>
          <t>DIA</t>
        </is>
      </c>
      <c r="D898" s="6" t="inlineStr">
        <is>
          <t>VZ</t>
        </is>
      </c>
      <c r="E898" s="6" t="inlineStr">
        <is>
          <t>VZ</t>
        </is>
      </c>
      <c r="F898" s="6" t="inlineStr">
        <is>
          <t>-</t>
        </is>
      </c>
      <c r="G898" s="7" t="n">
        <v>28.17634963989257</v>
      </c>
      <c r="H898" s="6">
        <f>P867</f>
        <v/>
      </c>
      <c r="I898" s="9">
        <f>Q867</f>
        <v/>
      </c>
      <c r="J898" s="7">
        <f>I898*G898</f>
        <v/>
      </c>
      <c r="K898" s="8">
        <f>IF($J$900=0,0,J898/$J$900)</f>
        <v/>
      </c>
      <c r="L898" s="6" t="inlineStr">
        <is>
          <t>REJECTED</t>
        </is>
      </c>
      <c r="M898" s="8" t="n">
        <v>0</v>
      </c>
      <c r="N898" s="7">
        <f>M898*$J$900-J898</f>
        <v/>
      </c>
      <c r="O898" s="9">
        <f>IF(G898=0,0,N898/G898)</f>
        <v/>
      </c>
      <c r="P898" s="6">
        <f>IF(M898&gt;0,D898,"")</f>
        <v/>
      </c>
      <c r="Q898" s="9">
        <f>I898+O898</f>
        <v/>
      </c>
      <c r="R898" s="7">
        <f>Q898*G898</f>
        <v/>
      </c>
      <c r="S898" s="8">
        <f>IF($R$900=0,0,R898/$R$900)</f>
        <v/>
      </c>
      <c r="T898" s="8" t="n">
        <v>0</v>
      </c>
      <c r="U898" s="8" t="n">
        <v>0.02096938060733389</v>
      </c>
      <c r="V898" s="6" t="inlineStr">
        <is>
          <t>not selected</t>
        </is>
      </c>
    </row>
    <row r="899">
      <c r="A899" s="6" t="inlineStr">
        <is>
          <t>DJ30</t>
        </is>
      </c>
      <c r="B899" s="6" t="inlineStr">
        <is>
          <t>2023-07-21</t>
        </is>
      </c>
      <c r="C899" s="6" t="inlineStr">
        <is>
          <t>DIA</t>
        </is>
      </c>
      <c r="D899" s="6" t="inlineStr">
        <is>
          <t>WMT</t>
        </is>
      </c>
      <c r="E899" s="6" t="inlineStr">
        <is>
          <t>WMT</t>
        </is>
      </c>
      <c r="F899" s="6" t="inlineStr">
        <is>
          <t>-</t>
        </is>
      </c>
      <c r="G899" s="7" t="n">
        <v>51.09403610229492</v>
      </c>
      <c r="H899" s="6">
        <f>P868</f>
        <v/>
      </c>
      <c r="I899" s="9">
        <f>Q868</f>
        <v/>
      </c>
      <c r="J899" s="7">
        <f>I899*G899</f>
        <v/>
      </c>
      <c r="K899" s="8">
        <f>IF($J$900=0,0,J899/$J$900)</f>
        <v/>
      </c>
      <c r="L899" s="6" t="inlineStr">
        <is>
          <t>REJECTED</t>
        </is>
      </c>
      <c r="M899" s="8" t="n">
        <v>0</v>
      </c>
      <c r="N899" s="7">
        <f>M899*$J$900-J899</f>
        <v/>
      </c>
      <c r="O899" s="9">
        <f>IF(G899=0,0,N899/G899)</f>
        <v/>
      </c>
      <c r="P899" s="6">
        <f>IF(M899&gt;0,D899,"")</f>
        <v/>
      </c>
      <c r="Q899" s="9">
        <f>I899+O899</f>
        <v/>
      </c>
      <c r="R899" s="7">
        <f>Q899*G899</f>
        <v/>
      </c>
      <c r="S899" s="8">
        <f>IF($R$900=0,0,R899/$R$900)</f>
        <v/>
      </c>
      <c r="T899" s="8" t="n">
        <v>0</v>
      </c>
      <c r="U899" s="8" t="n">
        <v>0.02096938060733389</v>
      </c>
      <c r="V899" s="6" t="inlineStr">
        <is>
          <t>not selected</t>
        </is>
      </c>
    </row>
    <row r="900">
      <c r="A900" s="10" t="inlineStr">
        <is>
          <t>DJ30</t>
        </is>
      </c>
      <c r="B900" s="10" t="inlineStr">
        <is>
          <t>2023-07-21</t>
        </is>
      </c>
      <c r="C900" s="10" t="inlineStr">
        <is>
          <t>DIA</t>
        </is>
      </c>
      <c r="D900" s="10" t="inlineStr">
        <is>
          <t>Tot Portfolio</t>
        </is>
      </c>
      <c r="E900" s="10" t="inlineStr"/>
      <c r="F900" s="10" t="inlineStr"/>
      <c r="G900" s="11" t="inlineStr"/>
      <c r="H900" s="10" t="inlineStr"/>
      <c r="I900" s="12" t="inlineStr"/>
      <c r="J900" s="11">
        <f>SUM(J870:J899)</f>
        <v/>
      </c>
      <c r="K900" s="13">
        <f>SUM(K870:K899)</f>
        <v/>
      </c>
      <c r="L900" s="10" t="inlineStr">
        <is>
          <t>TOTAL</t>
        </is>
      </c>
      <c r="M900" s="13">
        <f>SUM(M870:M899)</f>
        <v/>
      </c>
      <c r="N900" s="11">
        <f>SUM(N870:N899)</f>
        <v/>
      </c>
      <c r="O900" s="12">
        <f>SUM(O870:O899)</f>
        <v/>
      </c>
      <c r="P900" s="10" t="inlineStr"/>
      <c r="Q900" s="12" t="inlineStr"/>
      <c r="R900" s="11">
        <f>SUM(R870:R899)</f>
        <v/>
      </c>
      <c r="S900" s="13">
        <f>SUM(S870:S899)</f>
        <v/>
      </c>
      <c r="T900" s="13" t="n">
        <v>0</v>
      </c>
      <c r="U900" s="13" t="n">
        <v>0.02096938060733389</v>
      </c>
      <c r="V900" s="10" t="inlineStr"/>
    </row>
    <row r="901">
      <c r="A901" s="6" t="inlineStr">
        <is>
          <t>DJ30</t>
        </is>
      </c>
      <c r="B901" s="6" t="inlineStr">
        <is>
          <t>2023-07-28</t>
        </is>
      </c>
      <c r="C901" s="6" t="inlineStr">
        <is>
          <t>DIA</t>
        </is>
      </c>
      <c r="D901" s="6" t="inlineStr">
        <is>
          <t>AAPL</t>
        </is>
      </c>
      <c r="E901" s="6" t="inlineStr">
        <is>
          <t>AAPL</t>
        </is>
      </c>
      <c r="F901" s="6" t="inlineStr">
        <is>
          <t>-</t>
        </is>
      </c>
      <c r="G901" s="7" t="n">
        <v>193.1225891113281</v>
      </c>
      <c r="H901" s="6">
        <f>P870</f>
        <v/>
      </c>
      <c r="I901" s="9">
        <f>Q870</f>
        <v/>
      </c>
      <c r="J901" s="7">
        <f>I901*G901</f>
        <v/>
      </c>
      <c r="K901" s="8">
        <f>IF($J$931=0,0,J901/$J$931)</f>
        <v/>
      </c>
      <c r="L901" s="6" t="inlineStr">
        <is>
          <t>REJECTED</t>
        </is>
      </c>
      <c r="M901" s="8" t="n">
        <v>0</v>
      </c>
      <c r="N901" s="7">
        <f>M901*$J$931-J901</f>
        <v/>
      </c>
      <c r="O901" s="9">
        <f>IF(G901=0,0,N901/G901)</f>
        <v/>
      </c>
      <c r="P901" s="6">
        <f>IF(M901&gt;0,D901,"")</f>
        <v/>
      </c>
      <c r="Q901" s="9">
        <f>I901+O901</f>
        <v/>
      </c>
      <c r="R901" s="7">
        <f>Q901*G901</f>
        <v/>
      </c>
      <c r="S901" s="8">
        <f>IF($R$931=0,0,R901/$R$931)</f>
        <v/>
      </c>
      <c r="T901" s="8" t="n">
        <v>0</v>
      </c>
      <c r="U901" s="8" t="n">
        <v>0.006645196343535886</v>
      </c>
      <c r="V901" s="6" t="inlineStr">
        <is>
          <t>not selected</t>
        </is>
      </c>
    </row>
    <row r="902">
      <c r="A902" s="6" t="inlineStr">
        <is>
          <t>DJ30</t>
        </is>
      </c>
      <c r="B902" s="6" t="inlineStr">
        <is>
          <t>2023-07-28</t>
        </is>
      </c>
      <c r="C902" s="6" t="inlineStr">
        <is>
          <t>DIA</t>
        </is>
      </c>
      <c r="D902" s="6" t="inlineStr">
        <is>
          <t>AMGN</t>
        </is>
      </c>
      <c r="E902" s="6" t="inlineStr">
        <is>
          <t>AMGN</t>
        </is>
      </c>
      <c r="F902" s="6" t="inlineStr">
        <is>
          <t>-</t>
        </is>
      </c>
      <c r="G902" s="7" t="n">
        <v>215.5662536621093</v>
      </c>
      <c r="H902" s="6">
        <f>P871</f>
        <v/>
      </c>
      <c r="I902" s="9">
        <f>Q871</f>
        <v/>
      </c>
      <c r="J902" s="7">
        <f>I902*G902</f>
        <v/>
      </c>
      <c r="K902" s="8">
        <f>IF($J$931=0,0,J902/$J$931)</f>
        <v/>
      </c>
      <c r="L902" s="6" t="inlineStr">
        <is>
          <t>REJECTED</t>
        </is>
      </c>
      <c r="M902" s="8" t="n">
        <v>0</v>
      </c>
      <c r="N902" s="7">
        <f>M902*$J$931-J902</f>
        <v/>
      </c>
      <c r="O902" s="9">
        <f>IF(G902=0,0,N902/G902)</f>
        <v/>
      </c>
      <c r="P902" s="6">
        <f>IF(M902&gt;0,D902,"")</f>
        <v/>
      </c>
      <c r="Q902" s="9">
        <f>I902+O902</f>
        <v/>
      </c>
      <c r="R902" s="7">
        <f>Q902*G902</f>
        <v/>
      </c>
      <c r="S902" s="8">
        <f>IF($R$931=0,0,R902/$R$931)</f>
        <v/>
      </c>
      <c r="T902" s="8" t="n">
        <v>0</v>
      </c>
      <c r="U902" s="8" t="n">
        <v>0.006645196343535886</v>
      </c>
      <c r="V902" s="6" t="inlineStr">
        <is>
          <t>not selected</t>
        </is>
      </c>
    </row>
    <row r="903">
      <c r="A903" s="6" t="inlineStr">
        <is>
          <t>DJ30</t>
        </is>
      </c>
      <c r="B903" s="6" t="inlineStr">
        <is>
          <t>2023-07-28</t>
        </is>
      </c>
      <c r="C903" s="6" t="inlineStr">
        <is>
          <t>DIA</t>
        </is>
      </c>
      <c r="D903" s="6" t="inlineStr">
        <is>
          <t>AMZN</t>
        </is>
      </c>
      <c r="E903" s="6" t="inlineStr">
        <is>
          <t>AMZN</t>
        </is>
      </c>
      <c r="F903" s="6" t="inlineStr">
        <is>
          <t>-</t>
        </is>
      </c>
      <c r="G903" s="7" t="n">
        <v>132.2100067138672</v>
      </c>
      <c r="H903" s="6">
        <f>P872</f>
        <v/>
      </c>
      <c r="I903" s="9">
        <f>Q872</f>
        <v/>
      </c>
      <c r="J903" s="7">
        <f>I903*G903</f>
        <v/>
      </c>
      <c r="K903" s="8">
        <f>IF($J$931=0,0,J903/$J$931)</f>
        <v/>
      </c>
      <c r="L903" s="6" t="inlineStr">
        <is>
          <t>REJECTED</t>
        </is>
      </c>
      <c r="M903" s="8" t="n">
        <v>0</v>
      </c>
      <c r="N903" s="7">
        <f>M903*$J$931-J903</f>
        <v/>
      </c>
      <c r="O903" s="9">
        <f>IF(G903=0,0,N903/G903)</f>
        <v/>
      </c>
      <c r="P903" s="6">
        <f>IF(M903&gt;0,D903,"")</f>
        <v/>
      </c>
      <c r="Q903" s="9">
        <f>I903+O903</f>
        <v/>
      </c>
      <c r="R903" s="7">
        <f>Q903*G903</f>
        <v/>
      </c>
      <c r="S903" s="8">
        <f>IF($R$931=0,0,R903/$R$931)</f>
        <v/>
      </c>
      <c r="T903" s="8" t="n">
        <v>0</v>
      </c>
      <c r="U903" s="8" t="n">
        <v>0.006645196343535886</v>
      </c>
      <c r="V903" s="6" t="inlineStr">
        <is>
          <t>not selected</t>
        </is>
      </c>
    </row>
    <row r="904">
      <c r="A904" s="6" t="inlineStr">
        <is>
          <t>DJ30</t>
        </is>
      </c>
      <c r="B904" s="6" t="inlineStr">
        <is>
          <t>2023-07-28</t>
        </is>
      </c>
      <c r="C904" s="6" t="inlineStr">
        <is>
          <t>DIA</t>
        </is>
      </c>
      <c r="D904" s="6" t="inlineStr">
        <is>
          <t>AXP</t>
        </is>
      </c>
      <c r="E904" s="6" t="inlineStr">
        <is>
          <t>AXP</t>
        </is>
      </c>
      <c r="F904" s="6" t="inlineStr">
        <is>
          <t>-</t>
        </is>
      </c>
      <c r="G904" s="7" t="n">
        <v>160.2051086425781</v>
      </c>
      <c r="H904" s="6">
        <f>P873</f>
        <v/>
      </c>
      <c r="I904" s="9">
        <f>Q873</f>
        <v/>
      </c>
      <c r="J904" s="7">
        <f>I904*G904</f>
        <v/>
      </c>
      <c r="K904" s="8">
        <f>IF($J$931=0,0,J904/$J$931)</f>
        <v/>
      </c>
      <c r="L904" s="6" t="inlineStr">
        <is>
          <t>REJECTED</t>
        </is>
      </c>
      <c r="M904" s="8" t="n">
        <v>0</v>
      </c>
      <c r="N904" s="7">
        <f>M904*$J$931-J904</f>
        <v/>
      </c>
      <c r="O904" s="9">
        <f>IF(G904=0,0,N904/G904)</f>
        <v/>
      </c>
      <c r="P904" s="6">
        <f>IF(M904&gt;0,D904,"")</f>
        <v/>
      </c>
      <c r="Q904" s="9">
        <f>I904+O904</f>
        <v/>
      </c>
      <c r="R904" s="7">
        <f>Q904*G904</f>
        <v/>
      </c>
      <c r="S904" s="8">
        <f>IF($R$931=0,0,R904/$R$931)</f>
        <v/>
      </c>
      <c r="T904" s="8" t="n">
        <v>0</v>
      </c>
      <c r="U904" s="8" t="n">
        <v>0.006645196343535886</v>
      </c>
      <c r="V904" s="6" t="inlineStr">
        <is>
          <t>not selected</t>
        </is>
      </c>
    </row>
    <row r="905">
      <c r="A905" s="6" t="inlineStr">
        <is>
          <t>DJ30</t>
        </is>
      </c>
      <c r="B905" s="6" t="inlineStr">
        <is>
          <t>2023-07-28</t>
        </is>
      </c>
      <c r="C905" s="6" t="inlineStr">
        <is>
          <t>DIA</t>
        </is>
      </c>
      <c r="D905" s="6" t="inlineStr">
        <is>
          <t>BA</t>
        </is>
      </c>
      <c r="E905" s="6" t="inlineStr">
        <is>
          <t>BA</t>
        </is>
      </c>
      <c r="F905" s="6" t="inlineStr">
        <is>
          <t>-</t>
        </is>
      </c>
      <c r="G905" s="7" t="n">
        <v>238.6900024414062</v>
      </c>
      <c r="H905" s="6">
        <f>P874</f>
        <v/>
      </c>
      <c r="I905" s="9">
        <f>Q874</f>
        <v/>
      </c>
      <c r="J905" s="7">
        <f>I905*G905</f>
        <v/>
      </c>
      <c r="K905" s="8">
        <f>IF($J$931=0,0,J905/$J$931)</f>
        <v/>
      </c>
      <c r="L905" s="6" t="inlineStr">
        <is>
          <t>REJECTED</t>
        </is>
      </c>
      <c r="M905" s="8" t="n">
        <v>0</v>
      </c>
      <c r="N905" s="7">
        <f>M905*$J$931-J905</f>
        <v/>
      </c>
      <c r="O905" s="9">
        <f>IF(G905=0,0,N905/G905)</f>
        <v/>
      </c>
      <c r="P905" s="6">
        <f>IF(M905&gt;0,D905,"")</f>
        <v/>
      </c>
      <c r="Q905" s="9">
        <f>I905+O905</f>
        <v/>
      </c>
      <c r="R905" s="7">
        <f>Q905*G905</f>
        <v/>
      </c>
      <c r="S905" s="8">
        <f>IF($R$931=0,0,R905/$R$931)</f>
        <v/>
      </c>
      <c r="T905" s="8" t="n">
        <v>0</v>
      </c>
      <c r="U905" s="8" t="n">
        <v>0.006645196343535886</v>
      </c>
      <c r="V905" s="6" t="inlineStr">
        <is>
          <t>not selected</t>
        </is>
      </c>
    </row>
    <row r="906">
      <c r="A906" s="6" t="inlineStr">
        <is>
          <t>DJ30</t>
        </is>
      </c>
      <c r="B906" s="6" t="inlineStr">
        <is>
          <t>2023-07-28</t>
        </is>
      </c>
      <c r="C906" s="6" t="inlineStr">
        <is>
          <t>DIA</t>
        </is>
      </c>
      <c r="D906" s="6" t="inlineStr">
        <is>
          <t>CAT</t>
        </is>
      </c>
      <c r="E906" s="6" t="inlineStr">
        <is>
          <t>CAT</t>
        </is>
      </c>
      <c r="F906" s="6" t="inlineStr">
        <is>
          <t>-</t>
        </is>
      </c>
      <c r="G906" s="7" t="n">
        <v>250.1451873779297</v>
      </c>
      <c r="H906" s="6">
        <f>P875</f>
        <v/>
      </c>
      <c r="I906" s="9">
        <f>Q875</f>
        <v/>
      </c>
      <c r="J906" s="7">
        <f>I906*G906</f>
        <v/>
      </c>
      <c r="K906" s="8">
        <f>IF($J$931=0,0,J906/$J$931)</f>
        <v/>
      </c>
      <c r="L906" s="6" t="inlineStr">
        <is>
          <t>REJECTED</t>
        </is>
      </c>
      <c r="M906" s="8" t="n">
        <v>0</v>
      </c>
      <c r="N906" s="7">
        <f>M906*$J$931-J906</f>
        <v/>
      </c>
      <c r="O906" s="9">
        <f>IF(G906=0,0,N906/G906)</f>
        <v/>
      </c>
      <c r="P906" s="6">
        <f>IF(M906&gt;0,D906,"")</f>
        <v/>
      </c>
      <c r="Q906" s="9">
        <f>I906+O906</f>
        <v/>
      </c>
      <c r="R906" s="7">
        <f>Q906*G906</f>
        <v/>
      </c>
      <c r="S906" s="8">
        <f>IF($R$931=0,0,R906/$R$931)</f>
        <v/>
      </c>
      <c r="T906" s="8" t="n">
        <v>0</v>
      </c>
      <c r="U906" s="8" t="n">
        <v>0.006645196343535886</v>
      </c>
      <c r="V906" s="6" t="inlineStr">
        <is>
          <t>not selected</t>
        </is>
      </c>
    </row>
    <row r="907">
      <c r="A907" s="6" t="inlineStr">
        <is>
          <t>DJ30</t>
        </is>
      </c>
      <c r="B907" s="6" t="inlineStr">
        <is>
          <t>2023-07-28</t>
        </is>
      </c>
      <c r="C907" s="6" t="inlineStr">
        <is>
          <t>DIA</t>
        </is>
      </c>
      <c r="D907" s="6" t="inlineStr">
        <is>
          <t>CRM</t>
        </is>
      </c>
      <c r="E907" s="6" t="inlineStr">
        <is>
          <t>CRM</t>
        </is>
      </c>
      <c r="F907" s="6" t="inlineStr">
        <is>
          <t>-</t>
        </is>
      </c>
      <c r="G907" s="7" t="n">
        <v>221.7633819580078</v>
      </c>
      <c r="H907" s="6">
        <f>P876</f>
        <v/>
      </c>
      <c r="I907" s="9">
        <f>Q876</f>
        <v/>
      </c>
      <c r="J907" s="7">
        <f>I907*G907</f>
        <v/>
      </c>
      <c r="K907" s="8">
        <f>IF($J$931=0,0,J907/$J$931)</f>
        <v/>
      </c>
      <c r="L907" s="6" t="inlineStr">
        <is>
          <t>REJECTED</t>
        </is>
      </c>
      <c r="M907" s="8" t="n">
        <v>0</v>
      </c>
      <c r="N907" s="7">
        <f>M907*$J$931-J907</f>
        <v/>
      </c>
      <c r="O907" s="9">
        <f>IF(G907=0,0,N907/G907)</f>
        <v/>
      </c>
      <c r="P907" s="6">
        <f>IF(M907&gt;0,D907,"")</f>
        <v/>
      </c>
      <c r="Q907" s="9">
        <f>I907+O907</f>
        <v/>
      </c>
      <c r="R907" s="7">
        <f>Q907*G907</f>
        <v/>
      </c>
      <c r="S907" s="8">
        <f>IF($R$931=0,0,R907/$R$931)</f>
        <v/>
      </c>
      <c r="T907" s="8" t="n">
        <v>0</v>
      </c>
      <c r="U907" s="8" t="n">
        <v>0.006645196343535886</v>
      </c>
      <c r="V907" s="6" t="inlineStr">
        <is>
          <t>not selected</t>
        </is>
      </c>
    </row>
    <row r="908">
      <c r="A908" s="6" t="inlineStr">
        <is>
          <t>DJ30</t>
        </is>
      </c>
      <c r="B908" s="6" t="inlineStr">
        <is>
          <t>2023-07-28</t>
        </is>
      </c>
      <c r="C908" s="6" t="inlineStr">
        <is>
          <t>DIA</t>
        </is>
      </c>
      <c r="D908" s="6" t="inlineStr">
        <is>
          <t>CSCO</t>
        </is>
      </c>
      <c r="E908" s="6" t="inlineStr">
        <is>
          <t>CSCO</t>
        </is>
      </c>
      <c r="F908" s="6" t="inlineStr">
        <is>
          <t>-</t>
        </is>
      </c>
      <c r="G908" s="7" t="n">
        <v>48.30537796020508</v>
      </c>
      <c r="H908" s="6">
        <f>P877</f>
        <v/>
      </c>
      <c r="I908" s="9">
        <f>Q877</f>
        <v/>
      </c>
      <c r="J908" s="7">
        <f>I908*G908</f>
        <v/>
      </c>
      <c r="K908" s="8">
        <f>IF($J$931=0,0,J908/$J$931)</f>
        <v/>
      </c>
      <c r="L908" s="6" t="inlineStr">
        <is>
          <t>REJECTED</t>
        </is>
      </c>
      <c r="M908" s="8" t="n">
        <v>0</v>
      </c>
      <c r="N908" s="7">
        <f>M908*$J$931-J908</f>
        <v/>
      </c>
      <c r="O908" s="9">
        <f>IF(G908=0,0,N908/G908)</f>
        <v/>
      </c>
      <c r="P908" s="6">
        <f>IF(M908&gt;0,D908,"")</f>
        <v/>
      </c>
      <c r="Q908" s="9">
        <f>I908+O908</f>
        <v/>
      </c>
      <c r="R908" s="7">
        <f>Q908*G908</f>
        <v/>
      </c>
      <c r="S908" s="8">
        <f>IF($R$931=0,0,R908/$R$931)</f>
        <v/>
      </c>
      <c r="T908" s="8" t="n">
        <v>0</v>
      </c>
      <c r="U908" s="8" t="n">
        <v>0.006645196343535886</v>
      </c>
      <c r="V908" s="6" t="inlineStr">
        <is>
          <t>not selected</t>
        </is>
      </c>
    </row>
    <row r="909">
      <c r="A909" s="6" t="inlineStr">
        <is>
          <t>DJ30</t>
        </is>
      </c>
      <c r="B909" s="6" t="inlineStr">
        <is>
          <t>2023-07-28</t>
        </is>
      </c>
      <c r="C909" s="6" t="inlineStr">
        <is>
          <t>DIA</t>
        </is>
      </c>
      <c r="D909" s="6" t="inlineStr">
        <is>
          <t>CVX</t>
        </is>
      </c>
      <c r="E909" s="6" t="inlineStr">
        <is>
          <t>CVX</t>
        </is>
      </c>
      <c r="F909" s="6" t="inlineStr">
        <is>
          <t>-</t>
        </is>
      </c>
      <c r="G909" s="7" t="n">
        <v>140.0147705078125</v>
      </c>
      <c r="H909" s="6">
        <f>P878</f>
        <v/>
      </c>
      <c r="I909" s="9">
        <f>Q878</f>
        <v/>
      </c>
      <c r="J909" s="7">
        <f>I909*G909</f>
        <v/>
      </c>
      <c r="K909" s="8">
        <f>IF($J$931=0,0,J909/$J$931)</f>
        <v/>
      </c>
      <c r="L909" s="6" t="inlineStr">
        <is>
          <t>REJECTED</t>
        </is>
      </c>
      <c r="M909" s="8" t="n">
        <v>0</v>
      </c>
      <c r="N909" s="7">
        <f>M909*$J$931-J909</f>
        <v/>
      </c>
      <c r="O909" s="9">
        <f>IF(G909=0,0,N909/G909)</f>
        <v/>
      </c>
      <c r="P909" s="6">
        <f>IF(M909&gt;0,D909,"")</f>
        <v/>
      </c>
      <c r="Q909" s="9">
        <f>I909+O909</f>
        <v/>
      </c>
      <c r="R909" s="7">
        <f>Q909*G909</f>
        <v/>
      </c>
      <c r="S909" s="8">
        <f>IF($R$931=0,0,R909/$R$931)</f>
        <v/>
      </c>
      <c r="T909" s="8" t="n">
        <v>0</v>
      </c>
      <c r="U909" s="8" t="n">
        <v>0.006645196343535886</v>
      </c>
      <c r="V909" s="6" t="inlineStr">
        <is>
          <t>not selected</t>
        </is>
      </c>
    </row>
    <row r="910">
      <c r="A910" s="6" t="inlineStr">
        <is>
          <t>DJ30</t>
        </is>
      </c>
      <c r="B910" s="6" t="inlineStr">
        <is>
          <t>2023-07-28</t>
        </is>
      </c>
      <c r="C910" s="6" t="inlineStr">
        <is>
          <t>DIA</t>
        </is>
      </c>
      <c r="D910" s="6" t="inlineStr">
        <is>
          <t>DIS</t>
        </is>
      </c>
      <c r="E910" s="6" t="inlineStr">
        <is>
          <t>DIS</t>
        </is>
      </c>
      <c r="F910" s="6" t="inlineStr">
        <is>
          <t>-</t>
        </is>
      </c>
      <c r="G910" s="7" t="n">
        <v>84.14835357666016</v>
      </c>
      <c r="H910" s="6">
        <f>P879</f>
        <v/>
      </c>
      <c r="I910" s="9">
        <f>Q879</f>
        <v/>
      </c>
      <c r="J910" s="7">
        <f>I910*G910</f>
        <v/>
      </c>
      <c r="K910" s="8">
        <f>IF($J$931=0,0,J910/$J$931)</f>
        <v/>
      </c>
      <c r="L910" s="6" t="inlineStr">
        <is>
          <t>REJECTED</t>
        </is>
      </c>
      <c r="M910" s="8" t="n">
        <v>0</v>
      </c>
      <c r="N910" s="7">
        <f>M910*$J$931-J910</f>
        <v/>
      </c>
      <c r="O910" s="9">
        <f>IF(G910=0,0,N910/G910)</f>
        <v/>
      </c>
      <c r="P910" s="6">
        <f>IF(M910&gt;0,D910,"")</f>
        <v/>
      </c>
      <c r="Q910" s="9">
        <f>I910+O910</f>
        <v/>
      </c>
      <c r="R910" s="7">
        <f>Q910*G910</f>
        <v/>
      </c>
      <c r="S910" s="8">
        <f>IF($R$931=0,0,R910/$R$931)</f>
        <v/>
      </c>
      <c r="T910" s="8" t="n">
        <v>0</v>
      </c>
      <c r="U910" s="8" t="n">
        <v>0.006645196343535886</v>
      </c>
      <c r="V910" s="6" t="inlineStr">
        <is>
          <t>not selected</t>
        </is>
      </c>
    </row>
    <row r="911">
      <c r="A911" s="6" t="inlineStr">
        <is>
          <t>DJ30</t>
        </is>
      </c>
      <c r="B911" s="6" t="inlineStr">
        <is>
          <t>2023-07-28</t>
        </is>
      </c>
      <c r="C911" s="6" t="inlineStr">
        <is>
          <t>DIA</t>
        </is>
      </c>
      <c r="D911" s="6" t="inlineStr">
        <is>
          <t>GS</t>
        </is>
      </c>
      <c r="E911" s="6" t="inlineStr">
        <is>
          <t>GS</t>
        </is>
      </c>
      <c r="F911" s="6" t="inlineStr">
        <is>
          <t>-</t>
        </is>
      </c>
      <c r="G911" s="7" t="n">
        <v>329.2618103027344</v>
      </c>
      <c r="H911" s="6">
        <f>P880</f>
        <v/>
      </c>
      <c r="I911" s="9">
        <f>Q880</f>
        <v/>
      </c>
      <c r="J911" s="7">
        <f>I911*G911</f>
        <v/>
      </c>
      <c r="K911" s="8">
        <f>IF($J$931=0,0,J911/$J$931)</f>
        <v/>
      </c>
      <c r="L911" s="6" t="inlineStr">
        <is>
          <t>REJECTED</t>
        </is>
      </c>
      <c r="M911" s="8" t="n">
        <v>0</v>
      </c>
      <c r="N911" s="7">
        <f>M911*$J$931-J911</f>
        <v/>
      </c>
      <c r="O911" s="9">
        <f>IF(G911=0,0,N911/G911)</f>
        <v/>
      </c>
      <c r="P911" s="6">
        <f>IF(M911&gt;0,D911,"")</f>
        <v/>
      </c>
      <c r="Q911" s="9">
        <f>I911+O911</f>
        <v/>
      </c>
      <c r="R911" s="7">
        <f>Q911*G911</f>
        <v/>
      </c>
      <c r="S911" s="8">
        <f>IF($R$931=0,0,R911/$R$931)</f>
        <v/>
      </c>
      <c r="T911" s="8" t="n">
        <v>0</v>
      </c>
      <c r="U911" s="8" t="n">
        <v>0.006645196343535886</v>
      </c>
      <c r="V911" s="6" t="inlineStr">
        <is>
          <t>not selected</t>
        </is>
      </c>
    </row>
    <row r="912">
      <c r="A912" s="6" t="inlineStr">
        <is>
          <t>DJ30</t>
        </is>
      </c>
      <c r="B912" s="6" t="inlineStr">
        <is>
          <t>2023-07-28</t>
        </is>
      </c>
      <c r="C912" s="6" t="inlineStr">
        <is>
          <t>DIA</t>
        </is>
      </c>
      <c r="D912" s="6" t="inlineStr">
        <is>
          <t>HD</t>
        </is>
      </c>
      <c r="E912" s="6" t="inlineStr">
        <is>
          <t>HD</t>
        </is>
      </c>
      <c r="F912" s="6" t="inlineStr">
        <is>
          <t>-</t>
        </is>
      </c>
      <c r="G912" s="7" t="n">
        <v>307.1136474609375</v>
      </c>
      <c r="H912" s="6">
        <f>P881</f>
        <v/>
      </c>
      <c r="I912" s="9">
        <f>Q881</f>
        <v/>
      </c>
      <c r="J912" s="7">
        <f>I912*G912</f>
        <v/>
      </c>
      <c r="K912" s="8">
        <f>IF($J$931=0,0,J912/$J$931)</f>
        <v/>
      </c>
      <c r="L912" s="6" t="inlineStr">
        <is>
          <t>REJECTED</t>
        </is>
      </c>
      <c r="M912" s="8" t="n">
        <v>0</v>
      </c>
      <c r="N912" s="7">
        <f>M912*$J$931-J912</f>
        <v/>
      </c>
      <c r="O912" s="9">
        <f>IF(G912=0,0,N912/G912)</f>
        <v/>
      </c>
      <c r="P912" s="6">
        <f>IF(M912&gt;0,D912,"")</f>
        <v/>
      </c>
      <c r="Q912" s="9">
        <f>I912+O912</f>
        <v/>
      </c>
      <c r="R912" s="7">
        <f>Q912*G912</f>
        <v/>
      </c>
      <c r="S912" s="8">
        <f>IF($R$931=0,0,R912/$R$931)</f>
        <v/>
      </c>
      <c r="T912" s="8" t="n">
        <v>0</v>
      </c>
      <c r="U912" s="8" t="n">
        <v>0.006645196343535886</v>
      </c>
      <c r="V912" s="6" t="inlineStr">
        <is>
          <t>not selected</t>
        </is>
      </c>
    </row>
    <row r="913">
      <c r="A913" s="6" t="inlineStr">
        <is>
          <t>DJ30</t>
        </is>
      </c>
      <c r="B913" s="6" t="inlineStr">
        <is>
          <t>2023-07-28</t>
        </is>
      </c>
      <c r="C913" s="6" t="inlineStr">
        <is>
          <t>DIA</t>
        </is>
      </c>
      <c r="D913" s="6" t="inlineStr">
        <is>
          <t>HON</t>
        </is>
      </c>
      <c r="E913" s="6" t="inlineStr">
        <is>
          <t>HON</t>
        </is>
      </c>
      <c r="F913" s="6" t="inlineStr">
        <is>
          <t>-</t>
        </is>
      </c>
      <c r="G913" s="7" t="n">
        <v>172.4791107177734</v>
      </c>
      <c r="H913" s="6">
        <f>P882</f>
        <v/>
      </c>
      <c r="I913" s="9">
        <f>Q882</f>
        <v/>
      </c>
      <c r="J913" s="7">
        <f>I913*G913</f>
        <v/>
      </c>
      <c r="K913" s="8">
        <f>IF($J$931=0,0,J913/$J$931)</f>
        <v/>
      </c>
      <c r="L913" s="6" t="inlineStr">
        <is>
          <t>REJECTED</t>
        </is>
      </c>
      <c r="M913" s="8" t="n">
        <v>0</v>
      </c>
      <c r="N913" s="7">
        <f>M913*$J$931-J913</f>
        <v/>
      </c>
      <c r="O913" s="9">
        <f>IF(G913=0,0,N913/G913)</f>
        <v/>
      </c>
      <c r="P913" s="6">
        <f>IF(M913&gt;0,D913,"")</f>
        <v/>
      </c>
      <c r="Q913" s="9">
        <f>I913+O913</f>
        <v/>
      </c>
      <c r="R913" s="7">
        <f>Q913*G913</f>
        <v/>
      </c>
      <c r="S913" s="8">
        <f>IF($R$931=0,0,R913/$R$931)</f>
        <v/>
      </c>
      <c r="T913" s="8" t="n">
        <v>0</v>
      </c>
      <c r="U913" s="8" t="n">
        <v>0.006645196343535886</v>
      </c>
      <c r="V913" s="6" t="inlineStr">
        <is>
          <t>not selected</t>
        </is>
      </c>
    </row>
    <row r="914">
      <c r="A914" s="6" t="inlineStr">
        <is>
          <t>DJ30</t>
        </is>
      </c>
      <c r="B914" s="6" t="inlineStr">
        <is>
          <t>2023-07-28</t>
        </is>
      </c>
      <c r="C914" s="6" t="inlineStr">
        <is>
          <t>DIA</t>
        </is>
      </c>
      <c r="D914" s="6" t="inlineStr">
        <is>
          <t>IBM</t>
        </is>
      </c>
      <c r="E914" s="6" t="inlineStr">
        <is>
          <t>IBM</t>
        </is>
      </c>
      <c r="F914" s="6" t="inlineStr">
        <is>
          <t>-</t>
        </is>
      </c>
      <c r="G914" s="7" t="n">
        <v>130.2202606201172</v>
      </c>
      <c r="H914" s="6">
        <f>P883</f>
        <v/>
      </c>
      <c r="I914" s="9">
        <f>Q883</f>
        <v/>
      </c>
      <c r="J914" s="7">
        <f>I914*G914</f>
        <v/>
      </c>
      <c r="K914" s="8">
        <f>IF($J$931=0,0,J914/$J$931)</f>
        <v/>
      </c>
      <c r="L914" s="6" t="inlineStr">
        <is>
          <t>REJECTED</t>
        </is>
      </c>
      <c r="M914" s="8" t="n">
        <v>0</v>
      </c>
      <c r="N914" s="7">
        <f>M914*$J$931-J914</f>
        <v/>
      </c>
      <c r="O914" s="9">
        <f>IF(G914=0,0,N914/G914)</f>
        <v/>
      </c>
      <c r="P914" s="6">
        <f>IF(M914&gt;0,D914,"")</f>
        <v/>
      </c>
      <c r="Q914" s="9">
        <f>I914+O914</f>
        <v/>
      </c>
      <c r="R914" s="7">
        <f>Q914*G914</f>
        <v/>
      </c>
      <c r="S914" s="8">
        <f>IF($R$931=0,0,R914/$R$931)</f>
        <v/>
      </c>
      <c r="T914" s="8" t="n">
        <v>0</v>
      </c>
      <c r="U914" s="8" t="n">
        <v>0.006645196343535886</v>
      </c>
      <c r="V914" s="6" t="inlineStr">
        <is>
          <t>not selected</t>
        </is>
      </c>
    </row>
    <row r="915">
      <c r="A915" s="6" t="inlineStr">
        <is>
          <t>DJ30</t>
        </is>
      </c>
      <c r="B915" s="6" t="inlineStr">
        <is>
          <t>2023-07-28</t>
        </is>
      </c>
      <c r="C915" s="6" t="inlineStr">
        <is>
          <t>DIA</t>
        </is>
      </c>
      <c r="D915" s="6" t="inlineStr">
        <is>
          <t>JNJ</t>
        </is>
      </c>
      <c r="E915" s="6" t="inlineStr">
        <is>
          <t>JNJ</t>
        </is>
      </c>
      <c r="F915" s="6" t="inlineStr">
        <is>
          <t>-</t>
        </is>
      </c>
      <c r="G915" s="7" t="n">
        <v>159.8511810302734</v>
      </c>
      <c r="H915" s="6">
        <f>P884</f>
        <v/>
      </c>
      <c r="I915" s="9">
        <f>Q884</f>
        <v/>
      </c>
      <c r="J915" s="7">
        <f>I915*G915</f>
        <v/>
      </c>
      <c r="K915" s="8">
        <f>IF($J$931=0,0,J915/$J$931)</f>
        <v/>
      </c>
      <c r="L915" s="6" t="inlineStr">
        <is>
          <t>REJECTED</t>
        </is>
      </c>
      <c r="M915" s="8" t="n">
        <v>0</v>
      </c>
      <c r="N915" s="7">
        <f>M915*$J$931-J915</f>
        <v/>
      </c>
      <c r="O915" s="9">
        <f>IF(G915=0,0,N915/G915)</f>
        <v/>
      </c>
      <c r="P915" s="6">
        <f>IF(M915&gt;0,D915,"")</f>
        <v/>
      </c>
      <c r="Q915" s="9">
        <f>I915+O915</f>
        <v/>
      </c>
      <c r="R915" s="7">
        <f>Q915*G915</f>
        <v/>
      </c>
      <c r="S915" s="8">
        <f>IF($R$931=0,0,R915/$R$931)</f>
        <v/>
      </c>
      <c r="T915" s="8" t="n">
        <v>0</v>
      </c>
      <c r="U915" s="8" t="n">
        <v>0.006645196343535886</v>
      </c>
      <c r="V915" s="6" t="inlineStr">
        <is>
          <t>not selected</t>
        </is>
      </c>
    </row>
    <row r="916">
      <c r="A916" s="6" t="inlineStr">
        <is>
          <t>DJ30</t>
        </is>
      </c>
      <c r="B916" s="6" t="inlineStr">
        <is>
          <t>2023-07-28</t>
        </is>
      </c>
      <c r="C916" s="6" t="inlineStr">
        <is>
          <t>DIA</t>
        </is>
      </c>
      <c r="D916" s="6" t="inlineStr">
        <is>
          <t>JPM</t>
        </is>
      </c>
      <c r="E916" s="6" t="inlineStr">
        <is>
          <t>JPM</t>
        </is>
      </c>
      <c r="F916" s="6" t="inlineStr">
        <is>
          <t>-</t>
        </is>
      </c>
      <c r="G916" s="7" t="n">
        <v>147.5502471923828</v>
      </c>
      <c r="H916" s="6">
        <f>P885</f>
        <v/>
      </c>
      <c r="I916" s="9">
        <f>Q885</f>
        <v/>
      </c>
      <c r="J916" s="7">
        <f>I916*G916</f>
        <v/>
      </c>
      <c r="K916" s="8">
        <f>IF($J$931=0,0,J916/$J$931)</f>
        <v/>
      </c>
      <c r="L916" s="6" t="inlineStr">
        <is>
          <t>REJECTED</t>
        </is>
      </c>
      <c r="M916" s="8" t="n">
        <v>0</v>
      </c>
      <c r="N916" s="7">
        <f>M916*$J$931-J916</f>
        <v/>
      </c>
      <c r="O916" s="9">
        <f>IF(G916=0,0,N916/G916)</f>
        <v/>
      </c>
      <c r="P916" s="6">
        <f>IF(M916&gt;0,D916,"")</f>
        <v/>
      </c>
      <c r="Q916" s="9">
        <f>I916+O916</f>
        <v/>
      </c>
      <c r="R916" s="7">
        <f>Q916*G916</f>
        <v/>
      </c>
      <c r="S916" s="8">
        <f>IF($R$931=0,0,R916/$R$931)</f>
        <v/>
      </c>
      <c r="T916" s="8" t="n">
        <v>0</v>
      </c>
      <c r="U916" s="8" t="n">
        <v>0.006645196343535886</v>
      </c>
      <c r="V916" s="6" t="inlineStr">
        <is>
          <t>not selected</t>
        </is>
      </c>
    </row>
    <row r="917">
      <c r="A917" s="6" t="inlineStr">
        <is>
          <t>DJ30</t>
        </is>
      </c>
      <c r="B917" s="6" t="inlineStr">
        <is>
          <t>2023-07-28</t>
        </is>
      </c>
      <c r="C917" s="6" t="inlineStr">
        <is>
          <t>DIA</t>
        </is>
      </c>
      <c r="D917" s="6" t="inlineStr">
        <is>
          <t>KO</t>
        </is>
      </c>
      <c r="E917" s="6" t="inlineStr">
        <is>
          <t>KO</t>
        </is>
      </c>
      <c r="F917" s="6" t="inlineStr">
        <is>
          <t>-</t>
        </is>
      </c>
      <c r="G917" s="7" t="n">
        <v>57.20057678222656</v>
      </c>
      <c r="H917" s="6">
        <f>P886</f>
        <v/>
      </c>
      <c r="I917" s="9">
        <f>Q886</f>
        <v/>
      </c>
      <c r="J917" s="7">
        <f>I917*G917</f>
        <v/>
      </c>
      <c r="K917" s="8">
        <f>IF($J$931=0,0,J917/$J$931)</f>
        <v/>
      </c>
      <c r="L917" s="6" t="inlineStr">
        <is>
          <t>REJECTED</t>
        </is>
      </c>
      <c r="M917" s="8" t="n">
        <v>0</v>
      </c>
      <c r="N917" s="7">
        <f>M917*$J$931-J917</f>
        <v/>
      </c>
      <c r="O917" s="9">
        <f>IF(G917=0,0,N917/G917)</f>
        <v/>
      </c>
      <c r="P917" s="6">
        <f>IF(M917&gt;0,D917,"")</f>
        <v/>
      </c>
      <c r="Q917" s="9">
        <f>I917+O917</f>
        <v/>
      </c>
      <c r="R917" s="7">
        <f>Q917*G917</f>
        <v/>
      </c>
      <c r="S917" s="8">
        <f>IF($R$931=0,0,R917/$R$931)</f>
        <v/>
      </c>
      <c r="T917" s="8" t="n">
        <v>0</v>
      </c>
      <c r="U917" s="8" t="n">
        <v>0.006645196343535886</v>
      </c>
      <c r="V917" s="6" t="inlineStr">
        <is>
          <t>not selected</t>
        </is>
      </c>
    </row>
    <row r="918">
      <c r="A918" s="6" t="inlineStr">
        <is>
          <t>DJ30</t>
        </is>
      </c>
      <c r="B918" s="6" t="inlineStr">
        <is>
          <t>2023-07-28</t>
        </is>
      </c>
      <c r="C918" s="6" t="inlineStr">
        <is>
          <t>DIA</t>
        </is>
      </c>
      <c r="D918" s="6" t="inlineStr">
        <is>
          <t>MCD</t>
        </is>
      </c>
      <c r="E918" s="6" t="inlineStr">
        <is>
          <t>MCD</t>
        </is>
      </c>
      <c r="F918" s="6" t="inlineStr">
        <is>
          <t>-</t>
        </is>
      </c>
      <c r="G918" s="7" t="n">
        <v>273.9688720703125</v>
      </c>
      <c r="H918" s="6">
        <f>P887</f>
        <v/>
      </c>
      <c r="I918" s="9">
        <f>Q887</f>
        <v/>
      </c>
      <c r="J918" s="7">
        <f>I918*G918</f>
        <v/>
      </c>
      <c r="K918" s="8">
        <f>IF($J$931=0,0,J918/$J$931)</f>
        <v/>
      </c>
      <c r="L918" s="6" t="inlineStr">
        <is>
          <t>REJECTED</t>
        </is>
      </c>
      <c r="M918" s="8" t="n">
        <v>0</v>
      </c>
      <c r="N918" s="7">
        <f>M918*$J$931-J918</f>
        <v/>
      </c>
      <c r="O918" s="9">
        <f>IF(G918=0,0,N918/G918)</f>
        <v/>
      </c>
      <c r="P918" s="6">
        <f>IF(M918&gt;0,D918,"")</f>
        <v/>
      </c>
      <c r="Q918" s="9">
        <f>I918+O918</f>
        <v/>
      </c>
      <c r="R918" s="7">
        <f>Q918*G918</f>
        <v/>
      </c>
      <c r="S918" s="8">
        <f>IF($R$931=0,0,R918/$R$931)</f>
        <v/>
      </c>
      <c r="T918" s="8" t="n">
        <v>0</v>
      </c>
      <c r="U918" s="8" t="n">
        <v>0.006645196343535886</v>
      </c>
      <c r="V918" s="6" t="inlineStr">
        <is>
          <t>not selected</t>
        </is>
      </c>
    </row>
    <row r="919">
      <c r="A919" s="6" t="inlineStr">
        <is>
          <t>DJ30</t>
        </is>
      </c>
      <c r="B919" s="6" t="inlineStr">
        <is>
          <t>2023-07-28</t>
        </is>
      </c>
      <c r="C919" s="6" t="inlineStr">
        <is>
          <t>DIA</t>
        </is>
      </c>
      <c r="D919" s="6" t="inlineStr">
        <is>
          <t>MMM</t>
        </is>
      </c>
      <c r="E919" s="6" t="inlineStr">
        <is>
          <t>MMM</t>
        </is>
      </c>
      <c r="F919" s="6" t="inlineStr">
        <is>
          <t>-</t>
        </is>
      </c>
      <c r="G919" s="7" t="n">
        <v>85.24855804443359</v>
      </c>
      <c r="H919" s="6">
        <f>P888</f>
        <v/>
      </c>
      <c r="I919" s="9">
        <f>Q888</f>
        <v/>
      </c>
      <c r="J919" s="7">
        <f>I919*G919</f>
        <v/>
      </c>
      <c r="K919" s="8">
        <f>IF($J$931=0,0,J919/$J$931)</f>
        <v/>
      </c>
      <c r="L919" s="6" t="inlineStr">
        <is>
          <t>REJECTED</t>
        </is>
      </c>
      <c r="M919" s="8" t="n">
        <v>0</v>
      </c>
      <c r="N919" s="7">
        <f>M919*$J$931-J919</f>
        <v/>
      </c>
      <c r="O919" s="9">
        <f>IF(G919=0,0,N919/G919)</f>
        <v/>
      </c>
      <c r="P919" s="6">
        <f>IF(M919&gt;0,D919,"")</f>
        <v/>
      </c>
      <c r="Q919" s="9">
        <f>I919+O919</f>
        <v/>
      </c>
      <c r="R919" s="7">
        <f>Q919*G919</f>
        <v/>
      </c>
      <c r="S919" s="8">
        <f>IF($R$931=0,0,R919/$R$931)</f>
        <v/>
      </c>
      <c r="T919" s="8" t="n">
        <v>0</v>
      </c>
      <c r="U919" s="8" t="n">
        <v>0.006645196343535886</v>
      </c>
      <c r="V919" s="6" t="inlineStr">
        <is>
          <t>not selected</t>
        </is>
      </c>
    </row>
    <row r="920">
      <c r="A920" s="6" t="inlineStr">
        <is>
          <t>DJ30</t>
        </is>
      </c>
      <c r="B920" s="6" t="inlineStr">
        <is>
          <t>2023-07-28</t>
        </is>
      </c>
      <c r="C920" s="6" t="inlineStr">
        <is>
          <t>DIA</t>
        </is>
      </c>
      <c r="D920" s="6" t="inlineStr">
        <is>
          <t>MRK</t>
        </is>
      </c>
      <c r="E920" s="6" t="inlineStr">
        <is>
          <t>MRK</t>
        </is>
      </c>
      <c r="F920" s="6" t="inlineStr">
        <is>
          <t>-</t>
        </is>
      </c>
      <c r="G920" s="7" t="n">
        <v>96.95566558837891</v>
      </c>
      <c r="H920" s="6">
        <f>P889</f>
        <v/>
      </c>
      <c r="I920" s="9">
        <f>Q889</f>
        <v/>
      </c>
      <c r="J920" s="7">
        <f>I920*G920</f>
        <v/>
      </c>
      <c r="K920" s="8">
        <f>IF($J$931=0,0,J920/$J$931)</f>
        <v/>
      </c>
      <c r="L920" s="6" t="inlineStr">
        <is>
          <t>REJECTED</t>
        </is>
      </c>
      <c r="M920" s="8" t="n">
        <v>0</v>
      </c>
      <c r="N920" s="7">
        <f>M920*$J$931-J920</f>
        <v/>
      </c>
      <c r="O920" s="9">
        <f>IF(G920=0,0,N920/G920)</f>
        <v/>
      </c>
      <c r="P920" s="6">
        <f>IF(M920&gt;0,D920,"")</f>
        <v/>
      </c>
      <c r="Q920" s="9">
        <f>I920+O920</f>
        <v/>
      </c>
      <c r="R920" s="7">
        <f>Q920*G920</f>
        <v/>
      </c>
      <c r="S920" s="8">
        <f>IF($R$931=0,0,R920/$R$931)</f>
        <v/>
      </c>
      <c r="T920" s="8" t="n">
        <v>0</v>
      </c>
      <c r="U920" s="8" t="n">
        <v>0.006645196343535886</v>
      </c>
      <c r="V920" s="6" t="inlineStr">
        <is>
          <t>not selected</t>
        </is>
      </c>
    </row>
    <row r="921">
      <c r="A921" s="6" t="inlineStr">
        <is>
          <t>DJ30</t>
        </is>
      </c>
      <c r="B921" s="6" t="inlineStr">
        <is>
          <t>2023-07-28</t>
        </is>
      </c>
      <c r="C921" s="6" t="inlineStr">
        <is>
          <t>DIA</t>
        </is>
      </c>
      <c r="D921" s="6" t="inlineStr">
        <is>
          <t>MSFT</t>
        </is>
      </c>
      <c r="E921" s="6" t="inlineStr">
        <is>
          <t>MSFT</t>
        </is>
      </c>
      <c r="F921" s="6" t="inlineStr">
        <is>
          <t>-</t>
        </is>
      </c>
      <c r="G921" s="7" t="n">
        <v>330.5487976074219</v>
      </c>
      <c r="H921" s="6">
        <f>P890</f>
        <v/>
      </c>
      <c r="I921" s="9">
        <f>Q890</f>
        <v/>
      </c>
      <c r="J921" s="7">
        <f>I921*G921</f>
        <v/>
      </c>
      <c r="K921" s="8">
        <f>IF($J$931=0,0,J921/$J$931)</f>
        <v/>
      </c>
      <c r="L921" s="6" t="inlineStr">
        <is>
          <t>REJECTED</t>
        </is>
      </c>
      <c r="M921" s="8" t="n">
        <v>0</v>
      </c>
      <c r="N921" s="7">
        <f>M921*$J$931-J921</f>
        <v/>
      </c>
      <c r="O921" s="9">
        <f>IF(G921=0,0,N921/G921)</f>
        <v/>
      </c>
      <c r="P921" s="6">
        <f>IF(M921&gt;0,D921,"")</f>
        <v/>
      </c>
      <c r="Q921" s="9">
        <f>I921+O921</f>
        <v/>
      </c>
      <c r="R921" s="7">
        <f>Q921*G921</f>
        <v/>
      </c>
      <c r="S921" s="8">
        <f>IF($R$931=0,0,R921/$R$931)</f>
        <v/>
      </c>
      <c r="T921" s="8" t="n">
        <v>0</v>
      </c>
      <c r="U921" s="8" t="n">
        <v>0.006645196343535886</v>
      </c>
      <c r="V921" s="6" t="inlineStr">
        <is>
          <t>not selected</t>
        </is>
      </c>
    </row>
    <row r="922">
      <c r="A922" s="6" t="inlineStr">
        <is>
          <t>DJ30</t>
        </is>
      </c>
      <c r="B922" s="6" t="inlineStr">
        <is>
          <t>2023-07-28</t>
        </is>
      </c>
      <c r="C922" s="6" t="inlineStr">
        <is>
          <t>DIA</t>
        </is>
      </c>
      <c r="D922" s="6" t="inlineStr">
        <is>
          <t>NKE</t>
        </is>
      </c>
      <c r="E922" s="6" t="inlineStr">
        <is>
          <t>NKE</t>
        </is>
      </c>
      <c r="F922" s="6" t="inlineStr">
        <is>
          <t>-</t>
        </is>
      </c>
      <c r="G922" s="7" t="n">
        <v>102.0429992675781</v>
      </c>
      <c r="H922" s="6">
        <f>P891</f>
        <v/>
      </c>
      <c r="I922" s="9">
        <f>Q891</f>
        <v/>
      </c>
      <c r="J922" s="7">
        <f>I922*G922</f>
        <v/>
      </c>
      <c r="K922" s="8">
        <f>IF($J$931=0,0,J922/$J$931)</f>
        <v/>
      </c>
      <c r="L922" s="6" t="inlineStr">
        <is>
          <t>REJECTED</t>
        </is>
      </c>
      <c r="M922" s="8" t="n">
        <v>0</v>
      </c>
      <c r="N922" s="7">
        <f>M922*$J$931-J922</f>
        <v/>
      </c>
      <c r="O922" s="9">
        <f>IF(G922=0,0,N922/G922)</f>
        <v/>
      </c>
      <c r="P922" s="6">
        <f>IF(M922&gt;0,D922,"")</f>
        <v/>
      </c>
      <c r="Q922" s="9">
        <f>I922+O922</f>
        <v/>
      </c>
      <c r="R922" s="7">
        <f>Q922*G922</f>
        <v/>
      </c>
      <c r="S922" s="8">
        <f>IF($R$931=0,0,R922/$R$931)</f>
        <v/>
      </c>
      <c r="T922" s="8" t="n">
        <v>0</v>
      </c>
      <c r="U922" s="8" t="n">
        <v>0.006645196343535886</v>
      </c>
      <c r="V922" s="6" t="inlineStr">
        <is>
          <t>not selected</t>
        </is>
      </c>
    </row>
    <row r="923">
      <c r="A923" s="6" t="inlineStr">
        <is>
          <t>DJ30</t>
        </is>
      </c>
      <c r="B923" s="6" t="inlineStr">
        <is>
          <t>2023-07-28</t>
        </is>
      </c>
      <c r="C923" s="6" t="inlineStr">
        <is>
          <t>DIA</t>
        </is>
      </c>
      <c r="D923" s="6" t="inlineStr">
        <is>
          <t>NVDA</t>
        </is>
      </c>
      <c r="E923" s="6" t="inlineStr">
        <is>
          <t>NVDA</t>
        </is>
      </c>
      <c r="F923" s="6" t="inlineStr">
        <is>
          <t>-</t>
        </is>
      </c>
      <c r="G923" s="7" t="n">
        <v>46.65910339355469</v>
      </c>
      <c r="H923" s="6">
        <f>P892</f>
        <v/>
      </c>
      <c r="I923" s="9">
        <f>Q892</f>
        <v/>
      </c>
      <c r="J923" s="7">
        <f>I923*G923</f>
        <v/>
      </c>
      <c r="K923" s="8">
        <f>IF($J$931=0,0,J923/$J$931)</f>
        <v/>
      </c>
      <c r="L923" s="6" t="inlineStr">
        <is>
          <t>REJECTED</t>
        </is>
      </c>
      <c r="M923" s="8" t="n">
        <v>0</v>
      </c>
      <c r="N923" s="7">
        <f>M923*$J$931-J923</f>
        <v/>
      </c>
      <c r="O923" s="9">
        <f>IF(G923=0,0,N923/G923)</f>
        <v/>
      </c>
      <c r="P923" s="6">
        <f>IF(M923&gt;0,D923,"")</f>
        <v/>
      </c>
      <c r="Q923" s="9">
        <f>I923+O923</f>
        <v/>
      </c>
      <c r="R923" s="7">
        <f>Q923*G923</f>
        <v/>
      </c>
      <c r="S923" s="8">
        <f>IF($R$931=0,0,R923/$R$931)</f>
        <v/>
      </c>
      <c r="T923" s="8" t="n">
        <v>0</v>
      </c>
      <c r="U923" s="8" t="n">
        <v>0.006645196343535886</v>
      </c>
      <c r="V923" s="6" t="inlineStr">
        <is>
          <t>not selected</t>
        </is>
      </c>
    </row>
    <row r="924">
      <c r="A924" s="6" t="inlineStr">
        <is>
          <t>DJ30</t>
        </is>
      </c>
      <c r="B924" s="6" t="inlineStr">
        <is>
          <t>2023-07-28</t>
        </is>
      </c>
      <c r="C924" s="6" t="inlineStr">
        <is>
          <t>DIA</t>
        </is>
      </c>
      <c r="D924" s="6" t="inlineStr">
        <is>
          <t>PG</t>
        </is>
      </c>
      <c r="E924" s="6" t="inlineStr">
        <is>
          <t>PG</t>
        </is>
      </c>
      <c r="F924" s="6" t="inlineStr">
        <is>
          <t>-</t>
        </is>
      </c>
      <c r="G924" s="7" t="n">
        <v>145.6118621826172</v>
      </c>
      <c r="H924" s="6">
        <f>P893</f>
        <v/>
      </c>
      <c r="I924" s="9">
        <f>Q893</f>
        <v/>
      </c>
      <c r="J924" s="7">
        <f>I924*G924</f>
        <v/>
      </c>
      <c r="K924" s="8">
        <f>IF($J$931=0,0,J924/$J$931)</f>
        <v/>
      </c>
      <c r="L924" s="6" t="inlineStr">
        <is>
          <t>REJECTED</t>
        </is>
      </c>
      <c r="M924" s="8" t="n">
        <v>0</v>
      </c>
      <c r="N924" s="7">
        <f>M924*$J$931-J924</f>
        <v/>
      </c>
      <c r="O924" s="9">
        <f>IF(G924=0,0,N924/G924)</f>
        <v/>
      </c>
      <c r="P924" s="6">
        <f>IF(M924&gt;0,D924,"")</f>
        <v/>
      </c>
      <c r="Q924" s="9">
        <f>I924+O924</f>
        <v/>
      </c>
      <c r="R924" s="7">
        <f>Q924*G924</f>
        <v/>
      </c>
      <c r="S924" s="8">
        <f>IF($R$931=0,0,R924/$R$931)</f>
        <v/>
      </c>
      <c r="T924" s="8" t="n">
        <v>0</v>
      </c>
      <c r="U924" s="8" t="n">
        <v>0.006645196343535886</v>
      </c>
      <c r="V924" s="6" t="inlineStr">
        <is>
          <t>not selected</t>
        </is>
      </c>
    </row>
    <row r="925">
      <c r="A925" s="6" t="inlineStr">
        <is>
          <t>DJ30</t>
        </is>
      </c>
      <c r="B925" s="6" t="inlineStr">
        <is>
          <t>2023-07-28</t>
        </is>
      </c>
      <c r="C925" s="6" t="inlineStr">
        <is>
          <t>DIA</t>
        </is>
      </c>
      <c r="D925" s="6" t="inlineStr">
        <is>
          <t>SHW</t>
        </is>
      </c>
      <c r="E925" s="6" t="inlineStr">
        <is>
          <t>SHW</t>
        </is>
      </c>
      <c r="F925" s="6" t="inlineStr">
        <is>
          <t>-</t>
        </is>
      </c>
      <c r="G925" s="7" t="n">
        <v>272.7895202636719</v>
      </c>
      <c r="H925" s="6">
        <f>P894</f>
        <v/>
      </c>
      <c r="I925" s="9">
        <f>Q894</f>
        <v/>
      </c>
      <c r="J925" s="7">
        <f>I925*G925</f>
        <v/>
      </c>
      <c r="K925" s="8">
        <f>IF($J$931=0,0,J925/$J$931)</f>
        <v/>
      </c>
      <c r="L925" s="6" t="inlineStr">
        <is>
          <t>REJECTED</t>
        </is>
      </c>
      <c r="M925" s="8" t="n">
        <v>0</v>
      </c>
      <c r="N925" s="7">
        <f>M925*$J$931-J925</f>
        <v/>
      </c>
      <c r="O925" s="9">
        <f>IF(G925=0,0,N925/G925)</f>
        <v/>
      </c>
      <c r="P925" s="6">
        <f>IF(M925&gt;0,D925,"")</f>
        <v/>
      </c>
      <c r="Q925" s="9">
        <f>I925+O925</f>
        <v/>
      </c>
      <c r="R925" s="7">
        <f>Q925*G925</f>
        <v/>
      </c>
      <c r="S925" s="8">
        <f>IF($R$931=0,0,R925/$R$931)</f>
        <v/>
      </c>
      <c r="T925" s="8" t="n">
        <v>0</v>
      </c>
      <c r="U925" s="8" t="n">
        <v>0.006645196343535886</v>
      </c>
      <c r="V925" s="6" t="inlineStr">
        <is>
          <t>not selected</t>
        </is>
      </c>
    </row>
    <row r="926">
      <c r="A926" s="6" t="inlineStr">
        <is>
          <t>DJ30</t>
        </is>
      </c>
      <c r="B926" s="6" t="inlineStr">
        <is>
          <t>2023-07-28</t>
        </is>
      </c>
      <c r="C926" s="6" t="inlineStr">
        <is>
          <t>DIA</t>
        </is>
      </c>
      <c r="D926" s="6" t="inlineStr">
        <is>
          <t>TRV</t>
        </is>
      </c>
      <c r="E926" s="6" t="inlineStr">
        <is>
          <t>TRV</t>
        </is>
      </c>
      <c r="F926" s="6" t="inlineStr">
        <is>
          <t>-</t>
        </is>
      </c>
      <c r="G926" s="7" t="n">
        <v>164.1961364746094</v>
      </c>
      <c r="H926" s="6">
        <f>P895</f>
        <v/>
      </c>
      <c r="I926" s="9">
        <f>Q895</f>
        <v/>
      </c>
      <c r="J926" s="7">
        <f>I926*G926</f>
        <v/>
      </c>
      <c r="K926" s="8">
        <f>IF($J$931=0,0,J926/$J$931)</f>
        <v/>
      </c>
      <c r="L926" s="6" t="inlineStr">
        <is>
          <t>REJECTED</t>
        </is>
      </c>
      <c r="M926" s="8" t="n">
        <v>0</v>
      </c>
      <c r="N926" s="7">
        <f>M926*$J$931-J926</f>
        <v/>
      </c>
      <c r="O926" s="9">
        <f>IF(G926=0,0,N926/G926)</f>
        <v/>
      </c>
      <c r="P926" s="6">
        <f>IF(M926&gt;0,D926,"")</f>
        <v/>
      </c>
      <c r="Q926" s="9">
        <f>I926+O926</f>
        <v/>
      </c>
      <c r="R926" s="7">
        <f>Q926*G926</f>
        <v/>
      </c>
      <c r="S926" s="8">
        <f>IF($R$931=0,0,R926/$R$931)</f>
        <v/>
      </c>
      <c r="T926" s="8" t="n">
        <v>0</v>
      </c>
      <c r="U926" s="8" t="n">
        <v>0.006645196343535886</v>
      </c>
      <c r="V926" s="6" t="inlineStr">
        <is>
          <t>not selected</t>
        </is>
      </c>
    </row>
    <row r="927">
      <c r="A927" s="6" t="inlineStr">
        <is>
          <t>DJ30</t>
        </is>
      </c>
      <c r="B927" s="6" t="inlineStr">
        <is>
          <t>2023-07-28</t>
        </is>
      </c>
      <c r="C927" s="6" t="inlineStr">
        <is>
          <t>DIA</t>
        </is>
      </c>
      <c r="D927" s="6" t="inlineStr">
        <is>
          <t>UNH</t>
        </is>
      </c>
      <c r="E927" s="6" t="inlineStr">
        <is>
          <t>UNH</t>
        </is>
      </c>
      <c r="F927" s="6" t="inlineStr">
        <is>
          <t>-</t>
        </is>
      </c>
      <c r="G927" s="7" t="n">
        <v>473.3414001464844</v>
      </c>
      <c r="H927" s="6">
        <f>P896</f>
        <v/>
      </c>
      <c r="I927" s="9">
        <f>Q896</f>
        <v/>
      </c>
      <c r="J927" s="7">
        <f>I927*G927</f>
        <v/>
      </c>
      <c r="K927" s="8">
        <f>IF($J$931=0,0,J927/$J$931)</f>
        <v/>
      </c>
      <c r="L927" s="6" t="inlineStr">
        <is>
          <t>REJECTED</t>
        </is>
      </c>
      <c r="M927" s="8" t="n">
        <v>0</v>
      </c>
      <c r="N927" s="7">
        <f>M927*$J$931-J927</f>
        <v/>
      </c>
      <c r="O927" s="9">
        <f>IF(G927=0,0,N927/G927)</f>
        <v/>
      </c>
      <c r="P927" s="6">
        <f>IF(M927&gt;0,D927,"")</f>
        <v/>
      </c>
      <c r="Q927" s="9">
        <f>I927+O927</f>
        <v/>
      </c>
      <c r="R927" s="7">
        <f>Q927*G927</f>
        <v/>
      </c>
      <c r="S927" s="8">
        <f>IF($R$931=0,0,R927/$R$931)</f>
        <v/>
      </c>
      <c r="T927" s="8" t="n">
        <v>0</v>
      </c>
      <c r="U927" s="8" t="n">
        <v>0.006645196343535886</v>
      </c>
      <c r="V927" s="6" t="inlineStr">
        <is>
          <t>not selected</t>
        </is>
      </c>
    </row>
    <row r="928">
      <c r="A928" s="6" t="inlineStr">
        <is>
          <t>DJ30</t>
        </is>
      </c>
      <c r="B928" s="6" t="inlineStr">
        <is>
          <t>2023-07-28</t>
        </is>
      </c>
      <c r="C928" s="6" t="inlineStr">
        <is>
          <t>DIA</t>
        </is>
      </c>
      <c r="D928" s="6" t="inlineStr">
        <is>
          <t>V</t>
        </is>
      </c>
      <c r="E928" s="6" t="inlineStr">
        <is>
          <t>V</t>
        </is>
      </c>
      <c r="F928" s="6" t="inlineStr">
        <is>
          <t>-</t>
        </is>
      </c>
      <c r="G928" s="7" t="n">
        <v>230.4291534423828</v>
      </c>
      <c r="H928" s="6">
        <f>P897</f>
        <v/>
      </c>
      <c r="I928" s="9">
        <f>Q897</f>
        <v/>
      </c>
      <c r="J928" s="7">
        <f>I928*G928</f>
        <v/>
      </c>
      <c r="K928" s="8">
        <f>IF($J$931=0,0,J928/$J$931)</f>
        <v/>
      </c>
      <c r="L928" s="6" t="inlineStr">
        <is>
          <t>REJECTED</t>
        </is>
      </c>
      <c r="M928" s="8" t="n">
        <v>0</v>
      </c>
      <c r="N928" s="7">
        <f>M928*$J$931-J928</f>
        <v/>
      </c>
      <c r="O928" s="9">
        <f>IF(G928=0,0,N928/G928)</f>
        <v/>
      </c>
      <c r="P928" s="6">
        <f>IF(M928&gt;0,D928,"")</f>
        <v/>
      </c>
      <c r="Q928" s="9">
        <f>I928+O928</f>
        <v/>
      </c>
      <c r="R928" s="7">
        <f>Q928*G928</f>
        <v/>
      </c>
      <c r="S928" s="8">
        <f>IF($R$931=0,0,R928/$R$931)</f>
        <v/>
      </c>
      <c r="T928" s="8" t="n">
        <v>0</v>
      </c>
      <c r="U928" s="8" t="n">
        <v>0.006645196343535886</v>
      </c>
      <c r="V928" s="6" t="inlineStr">
        <is>
          <t>not selected</t>
        </is>
      </c>
    </row>
    <row r="929">
      <c r="A929" s="6" t="inlineStr">
        <is>
          <t>DJ30</t>
        </is>
      </c>
      <c r="B929" s="6" t="inlineStr">
        <is>
          <t>2023-07-28</t>
        </is>
      </c>
      <c r="C929" s="6" t="inlineStr">
        <is>
          <t>DIA</t>
        </is>
      </c>
      <c r="D929" s="6" t="inlineStr">
        <is>
          <t>VZ</t>
        </is>
      </c>
      <c r="E929" s="6" t="inlineStr">
        <is>
          <t>VZ</t>
        </is>
      </c>
      <c r="F929" s="6" t="inlineStr">
        <is>
          <t>-</t>
        </is>
      </c>
      <c r="G929" s="7" t="n">
        <v>28.30109214782715</v>
      </c>
      <c r="H929" s="6">
        <f>P898</f>
        <v/>
      </c>
      <c r="I929" s="9">
        <f>Q898</f>
        <v/>
      </c>
      <c r="J929" s="7">
        <f>I929*G929</f>
        <v/>
      </c>
      <c r="K929" s="8">
        <f>IF($J$931=0,0,J929/$J$931)</f>
        <v/>
      </c>
      <c r="L929" s="6" t="inlineStr">
        <is>
          <t>REJECTED</t>
        </is>
      </c>
      <c r="M929" s="8" t="n">
        <v>0</v>
      </c>
      <c r="N929" s="7">
        <f>M929*$J$931-J929</f>
        <v/>
      </c>
      <c r="O929" s="9">
        <f>IF(G929=0,0,N929/G929)</f>
        <v/>
      </c>
      <c r="P929" s="6">
        <f>IF(M929&gt;0,D929,"")</f>
        <v/>
      </c>
      <c r="Q929" s="9">
        <f>I929+O929</f>
        <v/>
      </c>
      <c r="R929" s="7">
        <f>Q929*G929</f>
        <v/>
      </c>
      <c r="S929" s="8">
        <f>IF($R$931=0,0,R929/$R$931)</f>
        <v/>
      </c>
      <c r="T929" s="8" t="n">
        <v>0</v>
      </c>
      <c r="U929" s="8" t="n">
        <v>0.006645196343535886</v>
      </c>
      <c r="V929" s="6" t="inlineStr">
        <is>
          <t>not selected</t>
        </is>
      </c>
    </row>
    <row r="930">
      <c r="A930" s="6" t="inlineStr">
        <is>
          <t>DJ30</t>
        </is>
      </c>
      <c r="B930" s="6" t="inlineStr">
        <is>
          <t>2023-07-28</t>
        </is>
      </c>
      <c r="C930" s="6" t="inlineStr">
        <is>
          <t>DIA</t>
        </is>
      </c>
      <c r="D930" s="6" t="inlineStr">
        <is>
          <t>WMT</t>
        </is>
      </c>
      <c r="E930" s="6" t="inlineStr">
        <is>
          <t>WMT</t>
        </is>
      </c>
      <c r="F930" s="6" t="inlineStr">
        <is>
          <t>-</t>
        </is>
      </c>
      <c r="G930" s="7" t="n">
        <v>51.59088134765625</v>
      </c>
      <c r="H930" s="6">
        <f>P899</f>
        <v/>
      </c>
      <c r="I930" s="9">
        <f>Q899</f>
        <v/>
      </c>
      <c r="J930" s="7">
        <f>I930*G930</f>
        <v/>
      </c>
      <c r="K930" s="8">
        <f>IF($J$931=0,0,J930/$J$931)</f>
        <v/>
      </c>
      <c r="L930" s="6" t="inlineStr">
        <is>
          <t>REJECTED</t>
        </is>
      </c>
      <c r="M930" s="8" t="n">
        <v>0</v>
      </c>
      <c r="N930" s="7">
        <f>M930*$J$931-J930</f>
        <v/>
      </c>
      <c r="O930" s="9">
        <f>IF(G930=0,0,N930/G930)</f>
        <v/>
      </c>
      <c r="P930" s="6">
        <f>IF(M930&gt;0,D930,"")</f>
        <v/>
      </c>
      <c r="Q930" s="9">
        <f>I930+O930</f>
        <v/>
      </c>
      <c r="R930" s="7">
        <f>Q930*G930</f>
        <v/>
      </c>
      <c r="S930" s="8">
        <f>IF($R$931=0,0,R930/$R$931)</f>
        <v/>
      </c>
      <c r="T930" s="8" t="n">
        <v>0</v>
      </c>
      <c r="U930" s="8" t="n">
        <v>0.006645196343535886</v>
      </c>
      <c r="V930" s="6" t="inlineStr">
        <is>
          <t>not selected</t>
        </is>
      </c>
    </row>
    <row r="931">
      <c r="A931" s="10" t="inlineStr">
        <is>
          <t>DJ30</t>
        </is>
      </c>
      <c r="B931" s="10" t="inlineStr">
        <is>
          <t>2023-07-28</t>
        </is>
      </c>
      <c r="C931" s="10" t="inlineStr">
        <is>
          <t>DIA</t>
        </is>
      </c>
      <c r="D931" s="10" t="inlineStr">
        <is>
          <t>Tot Portfolio</t>
        </is>
      </c>
      <c r="E931" s="10" t="inlineStr"/>
      <c r="F931" s="10" t="inlineStr"/>
      <c r="G931" s="11" t="inlineStr"/>
      <c r="H931" s="10" t="inlineStr"/>
      <c r="I931" s="12" t="inlineStr"/>
      <c r="J931" s="11">
        <f>SUM(J901:J930)</f>
        <v/>
      </c>
      <c r="K931" s="13">
        <f>SUM(K901:K930)</f>
        <v/>
      </c>
      <c r="L931" s="10" t="inlineStr">
        <is>
          <t>TOTAL</t>
        </is>
      </c>
      <c r="M931" s="13">
        <f>SUM(M901:M930)</f>
        <v/>
      </c>
      <c r="N931" s="11">
        <f>SUM(N901:N930)</f>
        <v/>
      </c>
      <c r="O931" s="12">
        <f>SUM(O901:O930)</f>
        <v/>
      </c>
      <c r="P931" s="10" t="inlineStr"/>
      <c r="Q931" s="12" t="inlineStr"/>
      <c r="R931" s="11">
        <f>SUM(R901:R930)</f>
        <v/>
      </c>
      <c r="S931" s="13">
        <f>SUM(S901:S930)</f>
        <v/>
      </c>
      <c r="T931" s="13" t="n">
        <v>0</v>
      </c>
      <c r="U931" s="13" t="n">
        <v>0.006645196343535886</v>
      </c>
      <c r="V931" s="10" t="inlineStr"/>
    </row>
    <row r="932">
      <c r="A932" s="6" t="inlineStr">
        <is>
          <t>DJ30</t>
        </is>
      </c>
      <c r="B932" s="6" t="inlineStr">
        <is>
          <t>2023-08-04</t>
        </is>
      </c>
      <c r="C932" s="6" t="inlineStr">
        <is>
          <t>DIA</t>
        </is>
      </c>
      <c r="D932" s="6" t="inlineStr">
        <is>
          <t>AAPL</t>
        </is>
      </c>
      <c r="E932" s="6" t="inlineStr">
        <is>
          <t>AAPL</t>
        </is>
      </c>
      <c r="F932" s="6" t="inlineStr">
        <is>
          <t>-</t>
        </is>
      </c>
      <c r="G932" s="7" t="n">
        <v>179.4739532470703</v>
      </c>
      <c r="H932" s="6">
        <f>P901</f>
        <v/>
      </c>
      <c r="I932" s="9">
        <f>Q901</f>
        <v/>
      </c>
      <c r="J932" s="7">
        <f>I932*G932</f>
        <v/>
      </c>
      <c r="K932" s="8">
        <f>IF($J$962=0,0,J932/$J$962)</f>
        <v/>
      </c>
      <c r="L932" s="6" t="inlineStr">
        <is>
          <t>REJECTED</t>
        </is>
      </c>
      <c r="M932" s="8" t="n">
        <v>0</v>
      </c>
      <c r="N932" s="7">
        <f>M932*$J$962-J932</f>
        <v/>
      </c>
      <c r="O932" s="9">
        <f>IF(G932=0,0,N932/G932)</f>
        <v/>
      </c>
      <c r="P932" s="6">
        <f>IF(M932&gt;0,D932,"")</f>
        <v/>
      </c>
      <c r="Q932" s="9">
        <f>I932+O932</f>
        <v/>
      </c>
      <c r="R932" s="7">
        <f>Q932*G932</f>
        <v/>
      </c>
      <c r="S932" s="8">
        <f>IF($R$962=0,0,R932/$R$962)</f>
        <v/>
      </c>
      <c r="T932" s="8" t="n">
        <v>0</v>
      </c>
      <c r="U932" s="8" t="n">
        <v>-0.0108047964831961</v>
      </c>
      <c r="V932" s="6" t="inlineStr">
        <is>
          <t>not selected</t>
        </is>
      </c>
    </row>
    <row r="933">
      <c r="A933" s="6" t="inlineStr">
        <is>
          <t>DJ30</t>
        </is>
      </c>
      <c r="B933" s="6" t="inlineStr">
        <is>
          <t>2023-08-04</t>
        </is>
      </c>
      <c r="C933" s="6" t="inlineStr">
        <is>
          <t>DIA</t>
        </is>
      </c>
      <c r="D933" s="6" t="inlineStr">
        <is>
          <t>AMGN</t>
        </is>
      </c>
      <c r="E933" s="6" t="inlineStr">
        <is>
          <t>AMGN</t>
        </is>
      </c>
      <c r="F933" s="6" t="inlineStr">
        <is>
          <t>-</t>
        </is>
      </c>
      <c r="G933" s="7" t="n">
        <v>221.8680572509766</v>
      </c>
      <c r="H933" s="6">
        <f>P902</f>
        <v/>
      </c>
      <c r="I933" s="9">
        <f>Q902</f>
        <v/>
      </c>
      <c r="J933" s="7">
        <f>I933*G933</f>
        <v/>
      </c>
      <c r="K933" s="8">
        <f>IF($J$962=0,0,J933/$J$962)</f>
        <v/>
      </c>
      <c r="L933" s="6" t="inlineStr">
        <is>
          <t>REJECTED</t>
        </is>
      </c>
      <c r="M933" s="8" t="n">
        <v>0</v>
      </c>
      <c r="N933" s="7">
        <f>M933*$J$962-J933</f>
        <v/>
      </c>
      <c r="O933" s="9">
        <f>IF(G933=0,0,N933/G933)</f>
        <v/>
      </c>
      <c r="P933" s="6">
        <f>IF(M933&gt;0,D933,"")</f>
        <v/>
      </c>
      <c r="Q933" s="9">
        <f>I933+O933</f>
        <v/>
      </c>
      <c r="R933" s="7">
        <f>Q933*G933</f>
        <v/>
      </c>
      <c r="S933" s="8">
        <f>IF($R$962=0,0,R933/$R$962)</f>
        <v/>
      </c>
      <c r="T933" s="8" t="n">
        <v>0</v>
      </c>
      <c r="U933" s="8" t="n">
        <v>-0.0108047964831961</v>
      </c>
      <c r="V933" s="6" t="inlineStr">
        <is>
          <t>not selected</t>
        </is>
      </c>
    </row>
    <row r="934">
      <c r="A934" s="6" t="inlineStr">
        <is>
          <t>DJ30</t>
        </is>
      </c>
      <c r="B934" s="6" t="inlineStr">
        <is>
          <t>2023-08-04</t>
        </is>
      </c>
      <c r="C934" s="6" t="inlineStr">
        <is>
          <t>DIA</t>
        </is>
      </c>
      <c r="D934" s="6" t="inlineStr">
        <is>
          <t>AMZN</t>
        </is>
      </c>
      <c r="E934" s="6" t="inlineStr">
        <is>
          <t>AMZN</t>
        </is>
      </c>
      <c r="F934" s="6" t="inlineStr">
        <is>
          <t>-</t>
        </is>
      </c>
      <c r="G934" s="7" t="n">
        <v>139.5700073242188</v>
      </c>
      <c r="H934" s="6">
        <f>P903</f>
        <v/>
      </c>
      <c r="I934" s="9">
        <f>Q903</f>
        <v/>
      </c>
      <c r="J934" s="7">
        <f>I934*G934</f>
        <v/>
      </c>
      <c r="K934" s="8">
        <f>IF($J$962=0,0,J934/$J$962)</f>
        <v/>
      </c>
      <c r="L934" s="6" t="inlineStr">
        <is>
          <t>REJECTED</t>
        </is>
      </c>
      <c r="M934" s="8" t="n">
        <v>0</v>
      </c>
      <c r="N934" s="7">
        <f>M934*$J$962-J934</f>
        <v/>
      </c>
      <c r="O934" s="9">
        <f>IF(G934=0,0,N934/G934)</f>
        <v/>
      </c>
      <c r="P934" s="6">
        <f>IF(M934&gt;0,D934,"")</f>
        <v/>
      </c>
      <c r="Q934" s="9">
        <f>I934+O934</f>
        <v/>
      </c>
      <c r="R934" s="7">
        <f>Q934*G934</f>
        <v/>
      </c>
      <c r="S934" s="8">
        <f>IF($R$962=0,0,R934/$R$962)</f>
        <v/>
      </c>
      <c r="T934" s="8" t="n">
        <v>0</v>
      </c>
      <c r="U934" s="8" t="n">
        <v>-0.0108047964831961</v>
      </c>
      <c r="V934" s="6" t="inlineStr">
        <is>
          <t>not selected</t>
        </is>
      </c>
    </row>
    <row r="935">
      <c r="A935" s="6" t="inlineStr">
        <is>
          <t>DJ30</t>
        </is>
      </c>
      <c r="B935" s="6" t="inlineStr">
        <is>
          <t>2023-08-04</t>
        </is>
      </c>
      <c r="C935" s="6" t="inlineStr">
        <is>
          <t>DIA</t>
        </is>
      </c>
      <c r="D935" s="6" t="inlineStr">
        <is>
          <t>AXP</t>
        </is>
      </c>
      <c r="E935" s="6" t="inlineStr">
        <is>
          <t>AXP</t>
        </is>
      </c>
      <c r="F935" s="6" t="inlineStr">
        <is>
          <t>-</t>
        </is>
      </c>
      <c r="G935" s="7" t="n">
        <v>160.1857299804688</v>
      </c>
      <c r="H935" s="6">
        <f>P904</f>
        <v/>
      </c>
      <c r="I935" s="9">
        <f>Q904</f>
        <v/>
      </c>
      <c r="J935" s="7">
        <f>I935*G935</f>
        <v/>
      </c>
      <c r="K935" s="8">
        <f>IF($J$962=0,0,J935/$J$962)</f>
        <v/>
      </c>
      <c r="L935" s="6" t="inlineStr">
        <is>
          <t>REJECTED</t>
        </is>
      </c>
      <c r="M935" s="8" t="n">
        <v>0</v>
      </c>
      <c r="N935" s="7">
        <f>M935*$J$962-J935</f>
        <v/>
      </c>
      <c r="O935" s="9">
        <f>IF(G935=0,0,N935/G935)</f>
        <v/>
      </c>
      <c r="P935" s="6">
        <f>IF(M935&gt;0,D935,"")</f>
        <v/>
      </c>
      <c r="Q935" s="9">
        <f>I935+O935</f>
        <v/>
      </c>
      <c r="R935" s="7">
        <f>Q935*G935</f>
        <v/>
      </c>
      <c r="S935" s="8">
        <f>IF($R$962=0,0,R935/$R$962)</f>
        <v/>
      </c>
      <c r="T935" s="8" t="n">
        <v>0</v>
      </c>
      <c r="U935" s="8" t="n">
        <v>-0.0108047964831961</v>
      </c>
      <c r="V935" s="6" t="inlineStr">
        <is>
          <t>not selected</t>
        </is>
      </c>
    </row>
    <row r="936">
      <c r="A936" s="6" t="inlineStr">
        <is>
          <t>DJ30</t>
        </is>
      </c>
      <c r="B936" s="6" t="inlineStr">
        <is>
          <t>2023-08-04</t>
        </is>
      </c>
      <c r="C936" s="6" t="inlineStr">
        <is>
          <t>DIA</t>
        </is>
      </c>
      <c r="D936" s="6" t="inlineStr">
        <is>
          <t>BA</t>
        </is>
      </c>
      <c r="E936" s="6" t="inlineStr">
        <is>
          <t>BA</t>
        </is>
      </c>
      <c r="F936" s="6" t="inlineStr">
        <is>
          <t>-</t>
        </is>
      </c>
      <c r="G936" s="7" t="n">
        <v>231.3600006103516</v>
      </c>
      <c r="H936" s="6">
        <f>P905</f>
        <v/>
      </c>
      <c r="I936" s="9">
        <f>Q905</f>
        <v/>
      </c>
      <c r="J936" s="7">
        <f>I936*G936</f>
        <v/>
      </c>
      <c r="K936" s="8">
        <f>IF($J$962=0,0,J936/$J$962)</f>
        <v/>
      </c>
      <c r="L936" s="6" t="inlineStr">
        <is>
          <t>REJECTED</t>
        </is>
      </c>
      <c r="M936" s="8" t="n">
        <v>0</v>
      </c>
      <c r="N936" s="7">
        <f>M936*$J$962-J936</f>
        <v/>
      </c>
      <c r="O936" s="9">
        <f>IF(G936=0,0,N936/G936)</f>
        <v/>
      </c>
      <c r="P936" s="6">
        <f>IF(M936&gt;0,D936,"")</f>
        <v/>
      </c>
      <c r="Q936" s="9">
        <f>I936+O936</f>
        <v/>
      </c>
      <c r="R936" s="7">
        <f>Q936*G936</f>
        <v/>
      </c>
      <c r="S936" s="8">
        <f>IF($R$962=0,0,R936/$R$962)</f>
        <v/>
      </c>
      <c r="T936" s="8" t="n">
        <v>0</v>
      </c>
      <c r="U936" s="8" t="n">
        <v>-0.0108047964831961</v>
      </c>
      <c r="V936" s="6" t="inlineStr">
        <is>
          <t>not selected</t>
        </is>
      </c>
    </row>
    <row r="937">
      <c r="A937" s="6" t="inlineStr">
        <is>
          <t>DJ30</t>
        </is>
      </c>
      <c r="B937" s="6" t="inlineStr">
        <is>
          <t>2023-08-04</t>
        </is>
      </c>
      <c r="C937" s="6" t="inlineStr">
        <is>
          <t>DIA</t>
        </is>
      </c>
      <c r="D937" s="6" t="inlineStr">
        <is>
          <t>CAT</t>
        </is>
      </c>
      <c r="E937" s="6" t="inlineStr">
        <is>
          <t>CAT</t>
        </is>
      </c>
      <c r="F937" s="6" t="inlineStr">
        <is>
          <t>-</t>
        </is>
      </c>
      <c r="G937" s="7" t="n">
        <v>265.52294921875</v>
      </c>
      <c r="H937" s="6">
        <f>P906</f>
        <v/>
      </c>
      <c r="I937" s="9">
        <f>Q906</f>
        <v/>
      </c>
      <c r="J937" s="7">
        <f>I937*G937</f>
        <v/>
      </c>
      <c r="K937" s="8">
        <f>IF($J$962=0,0,J937/$J$962)</f>
        <v/>
      </c>
      <c r="L937" s="6" t="inlineStr">
        <is>
          <t>REJECTED</t>
        </is>
      </c>
      <c r="M937" s="8" t="n">
        <v>0</v>
      </c>
      <c r="N937" s="7">
        <f>M937*$J$962-J937</f>
        <v/>
      </c>
      <c r="O937" s="9">
        <f>IF(G937=0,0,N937/G937)</f>
        <v/>
      </c>
      <c r="P937" s="6">
        <f>IF(M937&gt;0,D937,"")</f>
        <v/>
      </c>
      <c r="Q937" s="9">
        <f>I937+O937</f>
        <v/>
      </c>
      <c r="R937" s="7">
        <f>Q937*G937</f>
        <v/>
      </c>
      <c r="S937" s="8">
        <f>IF($R$962=0,0,R937/$R$962)</f>
        <v/>
      </c>
      <c r="T937" s="8" t="n">
        <v>0</v>
      </c>
      <c r="U937" s="8" t="n">
        <v>-0.0108047964831961</v>
      </c>
      <c r="V937" s="6" t="inlineStr">
        <is>
          <t>not selected</t>
        </is>
      </c>
    </row>
    <row r="938">
      <c r="A938" s="6" t="inlineStr">
        <is>
          <t>DJ30</t>
        </is>
      </c>
      <c r="B938" s="6" t="inlineStr">
        <is>
          <t>2023-08-04</t>
        </is>
      </c>
      <c r="C938" s="6" t="inlineStr">
        <is>
          <t>DIA</t>
        </is>
      </c>
      <c r="D938" s="6" t="inlineStr">
        <is>
          <t>CRM</t>
        </is>
      </c>
      <c r="E938" s="6" t="inlineStr">
        <is>
          <t>CRM</t>
        </is>
      </c>
      <c r="F938" s="6" t="inlineStr">
        <is>
          <t>-</t>
        </is>
      </c>
      <c r="G938" s="7" t="n">
        <v>210.9406127929688</v>
      </c>
      <c r="H938" s="6">
        <f>P907</f>
        <v/>
      </c>
      <c r="I938" s="9">
        <f>Q907</f>
        <v/>
      </c>
      <c r="J938" s="7">
        <f>I938*G938</f>
        <v/>
      </c>
      <c r="K938" s="8">
        <f>IF($J$962=0,0,J938/$J$962)</f>
        <v/>
      </c>
      <c r="L938" s="6" t="inlineStr">
        <is>
          <t>REJECTED</t>
        </is>
      </c>
      <c r="M938" s="8" t="n">
        <v>0</v>
      </c>
      <c r="N938" s="7">
        <f>M938*$J$962-J938</f>
        <v/>
      </c>
      <c r="O938" s="9">
        <f>IF(G938=0,0,N938/G938)</f>
        <v/>
      </c>
      <c r="P938" s="6">
        <f>IF(M938&gt;0,D938,"")</f>
        <v/>
      </c>
      <c r="Q938" s="9">
        <f>I938+O938</f>
        <v/>
      </c>
      <c r="R938" s="7">
        <f>Q938*G938</f>
        <v/>
      </c>
      <c r="S938" s="8">
        <f>IF($R$962=0,0,R938/$R$962)</f>
        <v/>
      </c>
      <c r="T938" s="8" t="n">
        <v>0</v>
      </c>
      <c r="U938" s="8" t="n">
        <v>-0.0108047964831961</v>
      </c>
      <c r="V938" s="6" t="inlineStr">
        <is>
          <t>not selected</t>
        </is>
      </c>
    </row>
    <row r="939">
      <c r="A939" s="6" t="inlineStr">
        <is>
          <t>DJ30</t>
        </is>
      </c>
      <c r="B939" s="6" t="inlineStr">
        <is>
          <t>2023-08-04</t>
        </is>
      </c>
      <c r="C939" s="6" t="inlineStr">
        <is>
          <t>DIA</t>
        </is>
      </c>
      <c r="D939" s="6" t="inlineStr">
        <is>
          <t>CSCO</t>
        </is>
      </c>
      <c r="E939" s="6" t="inlineStr">
        <is>
          <t>CSCO</t>
        </is>
      </c>
      <c r="F939" s="6" t="inlineStr">
        <is>
          <t>-</t>
        </is>
      </c>
      <c r="G939" s="7" t="n">
        <v>48.80614471435547</v>
      </c>
      <c r="H939" s="6">
        <f>P908</f>
        <v/>
      </c>
      <c r="I939" s="9">
        <f>Q908</f>
        <v/>
      </c>
      <c r="J939" s="7">
        <f>I939*G939</f>
        <v/>
      </c>
      <c r="K939" s="8">
        <f>IF($J$962=0,0,J939/$J$962)</f>
        <v/>
      </c>
      <c r="L939" s="6" t="inlineStr">
        <is>
          <t>REJECTED</t>
        </is>
      </c>
      <c r="M939" s="8" t="n">
        <v>0</v>
      </c>
      <c r="N939" s="7">
        <f>M939*$J$962-J939</f>
        <v/>
      </c>
      <c r="O939" s="9">
        <f>IF(G939=0,0,N939/G939)</f>
        <v/>
      </c>
      <c r="P939" s="6">
        <f>IF(M939&gt;0,D939,"")</f>
        <v/>
      </c>
      <c r="Q939" s="9">
        <f>I939+O939</f>
        <v/>
      </c>
      <c r="R939" s="7">
        <f>Q939*G939</f>
        <v/>
      </c>
      <c r="S939" s="8">
        <f>IF($R$962=0,0,R939/$R$962)</f>
        <v/>
      </c>
      <c r="T939" s="8" t="n">
        <v>0</v>
      </c>
      <c r="U939" s="8" t="n">
        <v>-0.0108047964831961</v>
      </c>
      <c r="V939" s="6" t="inlineStr">
        <is>
          <t>not selected</t>
        </is>
      </c>
    </row>
    <row r="940">
      <c r="A940" s="6" t="inlineStr">
        <is>
          <t>DJ30</t>
        </is>
      </c>
      <c r="B940" s="6" t="inlineStr">
        <is>
          <t>2023-08-04</t>
        </is>
      </c>
      <c r="C940" s="6" t="inlineStr">
        <is>
          <t>DIA</t>
        </is>
      </c>
      <c r="D940" s="6" t="inlineStr">
        <is>
          <t>CVX</t>
        </is>
      </c>
      <c r="E940" s="6" t="inlineStr">
        <is>
          <t>CVX</t>
        </is>
      </c>
      <c r="F940" s="6" t="inlineStr">
        <is>
          <t>-</t>
        </is>
      </c>
      <c r="G940" s="7" t="n">
        <v>140.4025726318359</v>
      </c>
      <c r="H940" s="6">
        <f>P909</f>
        <v/>
      </c>
      <c r="I940" s="9">
        <f>Q909</f>
        <v/>
      </c>
      <c r="J940" s="7">
        <f>I940*G940</f>
        <v/>
      </c>
      <c r="K940" s="8">
        <f>IF($J$962=0,0,J940/$J$962)</f>
        <v/>
      </c>
      <c r="L940" s="6" t="inlineStr">
        <is>
          <t>REJECTED</t>
        </is>
      </c>
      <c r="M940" s="8" t="n">
        <v>0</v>
      </c>
      <c r="N940" s="7">
        <f>M940*$J$962-J940</f>
        <v/>
      </c>
      <c r="O940" s="9">
        <f>IF(G940=0,0,N940/G940)</f>
        <v/>
      </c>
      <c r="P940" s="6">
        <f>IF(M940&gt;0,D940,"")</f>
        <v/>
      </c>
      <c r="Q940" s="9">
        <f>I940+O940</f>
        <v/>
      </c>
      <c r="R940" s="7">
        <f>Q940*G940</f>
        <v/>
      </c>
      <c r="S940" s="8">
        <f>IF($R$962=0,0,R940/$R$962)</f>
        <v/>
      </c>
      <c r="T940" s="8" t="n">
        <v>0</v>
      </c>
      <c r="U940" s="8" t="n">
        <v>-0.0108047964831961</v>
      </c>
      <c r="V940" s="6" t="inlineStr">
        <is>
          <t>not selected</t>
        </is>
      </c>
    </row>
    <row r="941">
      <c r="A941" s="6" t="inlineStr">
        <is>
          <t>DJ30</t>
        </is>
      </c>
      <c r="B941" s="6" t="inlineStr">
        <is>
          <t>2023-08-04</t>
        </is>
      </c>
      <c r="C941" s="6" t="inlineStr">
        <is>
          <t>DIA</t>
        </is>
      </c>
      <c r="D941" s="6" t="inlineStr">
        <is>
          <t>DIS</t>
        </is>
      </c>
      <c r="E941" s="6" t="inlineStr">
        <is>
          <t>DIS</t>
        </is>
      </c>
      <c r="F941" s="6" t="inlineStr">
        <is>
          <t>-</t>
        </is>
      </c>
      <c r="G941" s="7" t="n">
        <v>84.314453125</v>
      </c>
      <c r="H941" s="6">
        <f>P910</f>
        <v/>
      </c>
      <c r="I941" s="9">
        <f>Q910</f>
        <v/>
      </c>
      <c r="J941" s="7">
        <f>I941*G941</f>
        <v/>
      </c>
      <c r="K941" s="8">
        <f>IF($J$962=0,0,J941/$J$962)</f>
        <v/>
      </c>
      <c r="L941" s="6" t="inlineStr">
        <is>
          <t>REJECTED</t>
        </is>
      </c>
      <c r="M941" s="8" t="n">
        <v>0</v>
      </c>
      <c r="N941" s="7">
        <f>M941*$J$962-J941</f>
        <v/>
      </c>
      <c r="O941" s="9">
        <f>IF(G941=0,0,N941/G941)</f>
        <v/>
      </c>
      <c r="P941" s="6">
        <f>IF(M941&gt;0,D941,"")</f>
        <v/>
      </c>
      <c r="Q941" s="9">
        <f>I941+O941</f>
        <v/>
      </c>
      <c r="R941" s="7">
        <f>Q941*G941</f>
        <v/>
      </c>
      <c r="S941" s="8">
        <f>IF($R$962=0,0,R941/$R$962)</f>
        <v/>
      </c>
      <c r="T941" s="8" t="n">
        <v>0</v>
      </c>
      <c r="U941" s="8" t="n">
        <v>-0.0108047964831961</v>
      </c>
      <c r="V941" s="6" t="inlineStr">
        <is>
          <t>not selected</t>
        </is>
      </c>
    </row>
    <row r="942">
      <c r="A942" s="6" t="inlineStr">
        <is>
          <t>DJ30</t>
        </is>
      </c>
      <c r="B942" s="6" t="inlineStr">
        <is>
          <t>2023-08-04</t>
        </is>
      </c>
      <c r="C942" s="6" t="inlineStr">
        <is>
          <t>DIA</t>
        </is>
      </c>
      <c r="D942" s="6" t="inlineStr">
        <is>
          <t>GS</t>
        </is>
      </c>
      <c r="E942" s="6" t="inlineStr">
        <is>
          <t>GS</t>
        </is>
      </c>
      <c r="F942" s="6" t="inlineStr">
        <is>
          <t>-</t>
        </is>
      </c>
      <c r="G942" s="7" t="n">
        <v>329.25244140625</v>
      </c>
      <c r="H942" s="6">
        <f>P911</f>
        <v/>
      </c>
      <c r="I942" s="9">
        <f>Q911</f>
        <v/>
      </c>
      <c r="J942" s="7">
        <f>I942*G942</f>
        <v/>
      </c>
      <c r="K942" s="8">
        <f>IF($J$962=0,0,J942/$J$962)</f>
        <v/>
      </c>
      <c r="L942" s="6" t="inlineStr">
        <is>
          <t>REJECTED</t>
        </is>
      </c>
      <c r="M942" s="8" t="n">
        <v>0</v>
      </c>
      <c r="N942" s="7">
        <f>M942*$J$962-J942</f>
        <v/>
      </c>
      <c r="O942" s="9">
        <f>IF(G942=0,0,N942/G942)</f>
        <v/>
      </c>
      <c r="P942" s="6">
        <f>IF(M942&gt;0,D942,"")</f>
        <v/>
      </c>
      <c r="Q942" s="9">
        <f>I942+O942</f>
        <v/>
      </c>
      <c r="R942" s="7">
        <f>Q942*G942</f>
        <v/>
      </c>
      <c r="S942" s="8">
        <f>IF($R$962=0,0,R942/$R$962)</f>
        <v/>
      </c>
      <c r="T942" s="8" t="n">
        <v>0</v>
      </c>
      <c r="U942" s="8" t="n">
        <v>-0.0108047964831961</v>
      </c>
      <c r="V942" s="6" t="inlineStr">
        <is>
          <t>not selected</t>
        </is>
      </c>
    </row>
    <row r="943">
      <c r="A943" s="6" t="inlineStr">
        <is>
          <t>DJ30</t>
        </is>
      </c>
      <c r="B943" s="6" t="inlineStr">
        <is>
          <t>2023-08-04</t>
        </is>
      </c>
      <c r="C943" s="6" t="inlineStr">
        <is>
          <t>DIA</t>
        </is>
      </c>
      <c r="D943" s="6" t="inlineStr">
        <is>
          <t>HD</t>
        </is>
      </c>
      <c r="E943" s="6" t="inlineStr">
        <is>
          <t>HD</t>
        </is>
      </c>
      <c r="F943" s="6" t="inlineStr">
        <is>
          <t>-</t>
        </is>
      </c>
      <c r="G943" s="7" t="n">
        <v>302.5352172851562</v>
      </c>
      <c r="H943" s="6">
        <f>P912</f>
        <v/>
      </c>
      <c r="I943" s="9">
        <f>Q912</f>
        <v/>
      </c>
      <c r="J943" s="7">
        <f>I943*G943</f>
        <v/>
      </c>
      <c r="K943" s="8">
        <f>IF($J$962=0,0,J943/$J$962)</f>
        <v/>
      </c>
      <c r="L943" s="6" t="inlineStr">
        <is>
          <t>REJECTED</t>
        </is>
      </c>
      <c r="M943" s="8" t="n">
        <v>0</v>
      </c>
      <c r="N943" s="7">
        <f>M943*$J$962-J943</f>
        <v/>
      </c>
      <c r="O943" s="9">
        <f>IF(G943=0,0,N943/G943)</f>
        <v/>
      </c>
      <c r="P943" s="6">
        <f>IF(M943&gt;0,D943,"")</f>
        <v/>
      </c>
      <c r="Q943" s="9">
        <f>I943+O943</f>
        <v/>
      </c>
      <c r="R943" s="7">
        <f>Q943*G943</f>
        <v/>
      </c>
      <c r="S943" s="8">
        <f>IF($R$962=0,0,R943/$R$962)</f>
        <v/>
      </c>
      <c r="T943" s="8" t="n">
        <v>0</v>
      </c>
      <c r="U943" s="8" t="n">
        <v>-0.0108047964831961</v>
      </c>
      <c r="V943" s="6" t="inlineStr">
        <is>
          <t>not selected</t>
        </is>
      </c>
    </row>
    <row r="944">
      <c r="A944" s="6" t="inlineStr">
        <is>
          <t>DJ30</t>
        </is>
      </c>
      <c r="B944" s="6" t="inlineStr">
        <is>
          <t>2023-08-04</t>
        </is>
      </c>
      <c r="C944" s="6" t="inlineStr">
        <is>
          <t>DIA</t>
        </is>
      </c>
      <c r="D944" s="6" t="inlineStr">
        <is>
          <t>HON</t>
        </is>
      </c>
      <c r="E944" s="6" t="inlineStr">
        <is>
          <t>HON</t>
        </is>
      </c>
      <c r="F944" s="6" t="inlineStr">
        <is>
          <t>-</t>
        </is>
      </c>
      <c r="G944" s="7" t="n">
        <v>167.1949310302734</v>
      </c>
      <c r="H944" s="6">
        <f>P913</f>
        <v/>
      </c>
      <c r="I944" s="9">
        <f>Q913</f>
        <v/>
      </c>
      <c r="J944" s="7">
        <f>I944*G944</f>
        <v/>
      </c>
      <c r="K944" s="8">
        <f>IF($J$962=0,0,J944/$J$962)</f>
        <v/>
      </c>
      <c r="L944" s="6" t="inlineStr">
        <is>
          <t>REJECTED</t>
        </is>
      </c>
      <c r="M944" s="8" t="n">
        <v>0</v>
      </c>
      <c r="N944" s="7">
        <f>M944*$J$962-J944</f>
        <v/>
      </c>
      <c r="O944" s="9">
        <f>IF(G944=0,0,N944/G944)</f>
        <v/>
      </c>
      <c r="P944" s="6">
        <f>IF(M944&gt;0,D944,"")</f>
        <v/>
      </c>
      <c r="Q944" s="9">
        <f>I944+O944</f>
        <v/>
      </c>
      <c r="R944" s="7">
        <f>Q944*G944</f>
        <v/>
      </c>
      <c r="S944" s="8">
        <f>IF($R$962=0,0,R944/$R$962)</f>
        <v/>
      </c>
      <c r="T944" s="8" t="n">
        <v>0</v>
      </c>
      <c r="U944" s="8" t="n">
        <v>-0.0108047964831961</v>
      </c>
      <c r="V944" s="6" t="inlineStr">
        <is>
          <t>not selected</t>
        </is>
      </c>
    </row>
    <row r="945">
      <c r="A945" s="6" t="inlineStr">
        <is>
          <t>DJ30</t>
        </is>
      </c>
      <c r="B945" s="6" t="inlineStr">
        <is>
          <t>2023-08-04</t>
        </is>
      </c>
      <c r="C945" s="6" t="inlineStr">
        <is>
          <t>DIA</t>
        </is>
      </c>
      <c r="D945" s="6" t="inlineStr">
        <is>
          <t>IBM</t>
        </is>
      </c>
      <c r="E945" s="6" t="inlineStr">
        <is>
          <t>IBM</t>
        </is>
      </c>
      <c r="F945" s="6" t="inlineStr">
        <is>
          <t>-</t>
        </is>
      </c>
      <c r="G945" s="7" t="n">
        <v>130.9374237060547</v>
      </c>
      <c r="H945" s="6">
        <f>P914</f>
        <v/>
      </c>
      <c r="I945" s="9">
        <f>Q914</f>
        <v/>
      </c>
      <c r="J945" s="7">
        <f>I945*G945</f>
        <v/>
      </c>
      <c r="K945" s="8">
        <f>IF($J$962=0,0,J945/$J$962)</f>
        <v/>
      </c>
      <c r="L945" s="6" t="inlineStr">
        <is>
          <t>REJECTED</t>
        </is>
      </c>
      <c r="M945" s="8" t="n">
        <v>0</v>
      </c>
      <c r="N945" s="7">
        <f>M945*$J$962-J945</f>
        <v/>
      </c>
      <c r="O945" s="9">
        <f>IF(G945=0,0,N945/G945)</f>
        <v/>
      </c>
      <c r="P945" s="6">
        <f>IF(M945&gt;0,D945,"")</f>
        <v/>
      </c>
      <c r="Q945" s="9">
        <f>I945+O945</f>
        <v/>
      </c>
      <c r="R945" s="7">
        <f>Q945*G945</f>
        <v/>
      </c>
      <c r="S945" s="8">
        <f>IF($R$962=0,0,R945/$R$962)</f>
        <v/>
      </c>
      <c r="T945" s="8" t="n">
        <v>0</v>
      </c>
      <c r="U945" s="8" t="n">
        <v>-0.0108047964831961</v>
      </c>
      <c r="V945" s="6" t="inlineStr">
        <is>
          <t>not selected</t>
        </is>
      </c>
    </row>
    <row r="946">
      <c r="A946" s="6" t="inlineStr">
        <is>
          <t>DJ30</t>
        </is>
      </c>
      <c r="B946" s="6" t="inlineStr">
        <is>
          <t>2023-08-04</t>
        </is>
      </c>
      <c r="C946" s="6" t="inlineStr">
        <is>
          <t>DIA</t>
        </is>
      </c>
      <c r="D946" s="6" t="inlineStr">
        <is>
          <t>JNJ</t>
        </is>
      </c>
      <c r="E946" s="6" t="inlineStr">
        <is>
          <t>JNJ</t>
        </is>
      </c>
      <c r="F946" s="6" t="inlineStr">
        <is>
          <t>-</t>
        </is>
      </c>
      <c r="G946" s="7" t="n">
        <v>154.8672790527344</v>
      </c>
      <c r="H946" s="6">
        <f>P915</f>
        <v/>
      </c>
      <c r="I946" s="9">
        <f>Q915</f>
        <v/>
      </c>
      <c r="J946" s="7">
        <f>I946*G946</f>
        <v/>
      </c>
      <c r="K946" s="8">
        <f>IF($J$962=0,0,J946/$J$962)</f>
        <v/>
      </c>
      <c r="L946" s="6" t="inlineStr">
        <is>
          <t>REJECTED</t>
        </is>
      </c>
      <c r="M946" s="8" t="n">
        <v>0</v>
      </c>
      <c r="N946" s="7">
        <f>M946*$J$962-J946</f>
        <v/>
      </c>
      <c r="O946" s="9">
        <f>IF(G946=0,0,N946/G946)</f>
        <v/>
      </c>
      <c r="P946" s="6">
        <f>IF(M946&gt;0,D946,"")</f>
        <v/>
      </c>
      <c r="Q946" s="9">
        <f>I946+O946</f>
        <v/>
      </c>
      <c r="R946" s="7">
        <f>Q946*G946</f>
        <v/>
      </c>
      <c r="S946" s="8">
        <f>IF($R$962=0,0,R946/$R$962)</f>
        <v/>
      </c>
      <c r="T946" s="8" t="n">
        <v>0</v>
      </c>
      <c r="U946" s="8" t="n">
        <v>-0.0108047964831961</v>
      </c>
      <c r="V946" s="6" t="inlineStr">
        <is>
          <t>not selected</t>
        </is>
      </c>
    </row>
    <row r="947">
      <c r="A947" s="6" t="inlineStr">
        <is>
          <t>DJ30</t>
        </is>
      </c>
      <c r="B947" s="6" t="inlineStr">
        <is>
          <t>2023-08-04</t>
        </is>
      </c>
      <c r="C947" s="6" t="inlineStr">
        <is>
          <t>DIA</t>
        </is>
      </c>
      <c r="D947" s="6" t="inlineStr">
        <is>
          <t>JPM</t>
        </is>
      </c>
      <c r="E947" s="6" t="inlineStr">
        <is>
          <t>JPM</t>
        </is>
      </c>
      <c r="F947" s="6" t="inlineStr">
        <is>
          <t>-</t>
        </is>
      </c>
      <c r="G947" s="7" t="n">
        <v>146.7133026123047</v>
      </c>
      <c r="H947" s="6">
        <f>P916</f>
        <v/>
      </c>
      <c r="I947" s="9">
        <f>Q916</f>
        <v/>
      </c>
      <c r="J947" s="7">
        <f>I947*G947</f>
        <v/>
      </c>
      <c r="K947" s="8">
        <f>IF($J$962=0,0,J947/$J$962)</f>
        <v/>
      </c>
      <c r="L947" s="6" t="inlineStr">
        <is>
          <t>REJECTED</t>
        </is>
      </c>
      <c r="M947" s="8" t="n">
        <v>0</v>
      </c>
      <c r="N947" s="7">
        <f>M947*$J$962-J947</f>
        <v/>
      </c>
      <c r="O947" s="9">
        <f>IF(G947=0,0,N947/G947)</f>
        <v/>
      </c>
      <c r="P947" s="6">
        <f>IF(M947&gt;0,D947,"")</f>
        <v/>
      </c>
      <c r="Q947" s="9">
        <f>I947+O947</f>
        <v/>
      </c>
      <c r="R947" s="7">
        <f>Q947*G947</f>
        <v/>
      </c>
      <c r="S947" s="8">
        <f>IF($R$962=0,0,R947/$R$962)</f>
        <v/>
      </c>
      <c r="T947" s="8" t="n">
        <v>0</v>
      </c>
      <c r="U947" s="8" t="n">
        <v>-0.0108047964831961</v>
      </c>
      <c r="V947" s="6" t="inlineStr">
        <is>
          <t>not selected</t>
        </is>
      </c>
    </row>
    <row r="948">
      <c r="A948" s="6" t="inlineStr">
        <is>
          <t>DJ30</t>
        </is>
      </c>
      <c r="B948" s="6" t="inlineStr">
        <is>
          <t>2023-08-04</t>
        </is>
      </c>
      <c r="C948" s="6" t="inlineStr">
        <is>
          <t>DIA</t>
        </is>
      </c>
      <c r="D948" s="6" t="inlineStr">
        <is>
          <t>KO</t>
        </is>
      </c>
      <c r="E948" s="6" t="inlineStr">
        <is>
          <t>KO</t>
        </is>
      </c>
      <c r="F948" s="6" t="inlineStr">
        <is>
          <t>-</t>
        </is>
      </c>
      <c r="G948" s="7" t="n">
        <v>55.58013916015625</v>
      </c>
      <c r="H948" s="6">
        <f>P917</f>
        <v/>
      </c>
      <c r="I948" s="9">
        <f>Q917</f>
        <v/>
      </c>
      <c r="J948" s="7">
        <f>I948*G948</f>
        <v/>
      </c>
      <c r="K948" s="8">
        <f>IF($J$962=0,0,J948/$J$962)</f>
        <v/>
      </c>
      <c r="L948" s="6" t="inlineStr">
        <is>
          <t>REJECTED</t>
        </is>
      </c>
      <c r="M948" s="8" t="n">
        <v>0</v>
      </c>
      <c r="N948" s="7">
        <f>M948*$J$962-J948</f>
        <v/>
      </c>
      <c r="O948" s="9">
        <f>IF(G948=0,0,N948/G948)</f>
        <v/>
      </c>
      <c r="P948" s="6">
        <f>IF(M948&gt;0,D948,"")</f>
        <v/>
      </c>
      <c r="Q948" s="9">
        <f>I948+O948</f>
        <v/>
      </c>
      <c r="R948" s="7">
        <f>Q948*G948</f>
        <v/>
      </c>
      <c r="S948" s="8">
        <f>IF($R$962=0,0,R948/$R$962)</f>
        <v/>
      </c>
      <c r="T948" s="8" t="n">
        <v>0</v>
      </c>
      <c r="U948" s="8" t="n">
        <v>-0.0108047964831961</v>
      </c>
      <c r="V948" s="6" t="inlineStr">
        <is>
          <t>not selected</t>
        </is>
      </c>
    </row>
    <row r="949">
      <c r="A949" s="6" t="inlineStr">
        <is>
          <t>DJ30</t>
        </is>
      </c>
      <c r="B949" s="6" t="inlineStr">
        <is>
          <t>2023-08-04</t>
        </is>
      </c>
      <c r="C949" s="6" t="inlineStr">
        <is>
          <t>DIA</t>
        </is>
      </c>
      <c r="D949" s="6" t="inlineStr">
        <is>
          <t>MCD</t>
        </is>
      </c>
      <c r="E949" s="6" t="inlineStr">
        <is>
          <t>MCD</t>
        </is>
      </c>
      <c r="F949" s="6" t="inlineStr">
        <is>
          <t>-</t>
        </is>
      </c>
      <c r="G949" s="7" t="n">
        <v>267.4372253417969</v>
      </c>
      <c r="H949" s="6">
        <f>P918</f>
        <v/>
      </c>
      <c r="I949" s="9">
        <f>Q918</f>
        <v/>
      </c>
      <c r="J949" s="7">
        <f>I949*G949</f>
        <v/>
      </c>
      <c r="K949" s="8">
        <f>IF($J$962=0,0,J949/$J$962)</f>
        <v/>
      </c>
      <c r="L949" s="6" t="inlineStr">
        <is>
          <t>REJECTED</t>
        </is>
      </c>
      <c r="M949" s="8" t="n">
        <v>0</v>
      </c>
      <c r="N949" s="7">
        <f>M949*$J$962-J949</f>
        <v/>
      </c>
      <c r="O949" s="9">
        <f>IF(G949=0,0,N949/G949)</f>
        <v/>
      </c>
      <c r="P949" s="6">
        <f>IF(M949&gt;0,D949,"")</f>
        <v/>
      </c>
      <c r="Q949" s="9">
        <f>I949+O949</f>
        <v/>
      </c>
      <c r="R949" s="7">
        <f>Q949*G949</f>
        <v/>
      </c>
      <c r="S949" s="8">
        <f>IF($R$962=0,0,R949/$R$962)</f>
        <v/>
      </c>
      <c r="T949" s="8" t="n">
        <v>0</v>
      </c>
      <c r="U949" s="8" t="n">
        <v>-0.0108047964831961</v>
      </c>
      <c r="V949" s="6" t="inlineStr">
        <is>
          <t>not selected</t>
        </is>
      </c>
    </row>
    <row r="950">
      <c r="A950" s="6" t="inlineStr">
        <is>
          <t>DJ30</t>
        </is>
      </c>
      <c r="B950" s="6" t="inlineStr">
        <is>
          <t>2023-08-04</t>
        </is>
      </c>
      <c r="C950" s="6" t="inlineStr">
        <is>
          <t>DIA</t>
        </is>
      </c>
      <c r="D950" s="6" t="inlineStr">
        <is>
          <t>MMM</t>
        </is>
      </c>
      <c r="E950" s="6" t="inlineStr">
        <is>
          <t>MMM</t>
        </is>
      </c>
      <c r="F950" s="6" t="inlineStr">
        <is>
          <t>-</t>
        </is>
      </c>
      <c r="G950" s="7" t="n">
        <v>80.39484405517578</v>
      </c>
      <c r="H950" s="6">
        <f>P919</f>
        <v/>
      </c>
      <c r="I950" s="9">
        <f>Q919</f>
        <v/>
      </c>
      <c r="J950" s="7">
        <f>I950*G950</f>
        <v/>
      </c>
      <c r="K950" s="8">
        <f>IF($J$962=0,0,J950/$J$962)</f>
        <v/>
      </c>
      <c r="L950" s="6" t="inlineStr">
        <is>
          <t>REJECTED</t>
        </is>
      </c>
      <c r="M950" s="8" t="n">
        <v>0</v>
      </c>
      <c r="N950" s="7">
        <f>M950*$J$962-J950</f>
        <v/>
      </c>
      <c r="O950" s="9">
        <f>IF(G950=0,0,N950/G950)</f>
        <v/>
      </c>
      <c r="P950" s="6">
        <f>IF(M950&gt;0,D950,"")</f>
        <v/>
      </c>
      <c r="Q950" s="9">
        <f>I950+O950</f>
        <v/>
      </c>
      <c r="R950" s="7">
        <f>Q950*G950</f>
        <v/>
      </c>
      <c r="S950" s="8">
        <f>IF($R$962=0,0,R950/$R$962)</f>
        <v/>
      </c>
      <c r="T950" s="8" t="n">
        <v>0</v>
      </c>
      <c r="U950" s="8" t="n">
        <v>-0.0108047964831961</v>
      </c>
      <c r="V950" s="6" t="inlineStr">
        <is>
          <t>not selected</t>
        </is>
      </c>
    </row>
    <row r="951">
      <c r="A951" s="6" t="inlineStr">
        <is>
          <t>DJ30</t>
        </is>
      </c>
      <c r="B951" s="6" t="inlineStr">
        <is>
          <t>2023-08-04</t>
        </is>
      </c>
      <c r="C951" s="6" t="inlineStr">
        <is>
          <t>DIA</t>
        </is>
      </c>
      <c r="D951" s="6" t="inlineStr">
        <is>
          <t>MRK</t>
        </is>
      </c>
      <c r="E951" s="6" t="inlineStr">
        <is>
          <t>MRK</t>
        </is>
      </c>
      <c r="F951" s="6" t="inlineStr">
        <is>
          <t>-</t>
        </is>
      </c>
      <c r="G951" s="7" t="n">
        <v>95.73394012451172</v>
      </c>
      <c r="H951" s="6">
        <f>P920</f>
        <v/>
      </c>
      <c r="I951" s="9">
        <f>Q920</f>
        <v/>
      </c>
      <c r="J951" s="7">
        <f>I951*G951</f>
        <v/>
      </c>
      <c r="K951" s="8">
        <f>IF($J$962=0,0,J951/$J$962)</f>
        <v/>
      </c>
      <c r="L951" s="6" t="inlineStr">
        <is>
          <t>REJECTED</t>
        </is>
      </c>
      <c r="M951" s="8" t="n">
        <v>0</v>
      </c>
      <c r="N951" s="7">
        <f>M951*$J$962-J951</f>
        <v/>
      </c>
      <c r="O951" s="9">
        <f>IF(G951=0,0,N951/G951)</f>
        <v/>
      </c>
      <c r="P951" s="6">
        <f>IF(M951&gt;0,D951,"")</f>
        <v/>
      </c>
      <c r="Q951" s="9">
        <f>I951+O951</f>
        <v/>
      </c>
      <c r="R951" s="7">
        <f>Q951*G951</f>
        <v/>
      </c>
      <c r="S951" s="8">
        <f>IF($R$962=0,0,R951/$R$962)</f>
        <v/>
      </c>
      <c r="T951" s="8" t="n">
        <v>0</v>
      </c>
      <c r="U951" s="8" t="n">
        <v>-0.0108047964831961</v>
      </c>
      <c r="V951" s="6" t="inlineStr">
        <is>
          <t>not selected</t>
        </is>
      </c>
    </row>
    <row r="952">
      <c r="A952" s="6" t="inlineStr">
        <is>
          <t>DJ30</t>
        </is>
      </c>
      <c r="B952" s="6" t="inlineStr">
        <is>
          <t>2023-08-04</t>
        </is>
      </c>
      <c r="C952" s="6" t="inlineStr">
        <is>
          <t>DIA</t>
        </is>
      </c>
      <c r="D952" s="6" t="inlineStr">
        <is>
          <t>MSFT</t>
        </is>
      </c>
      <c r="E952" s="6" t="inlineStr">
        <is>
          <t>MSFT</t>
        </is>
      </c>
      <c r="F952" s="6" t="inlineStr">
        <is>
          <t>-</t>
        </is>
      </c>
      <c r="G952" s="7" t="n">
        <v>320.2035827636719</v>
      </c>
      <c r="H952" s="6">
        <f>P921</f>
        <v/>
      </c>
      <c r="I952" s="9">
        <f>Q921</f>
        <v/>
      </c>
      <c r="J952" s="7">
        <f>I952*G952</f>
        <v/>
      </c>
      <c r="K952" s="8">
        <f>IF($J$962=0,0,J952/$J$962)</f>
        <v/>
      </c>
      <c r="L952" s="6" t="inlineStr">
        <is>
          <t>REJECTED</t>
        </is>
      </c>
      <c r="M952" s="8" t="n">
        <v>0</v>
      </c>
      <c r="N952" s="7">
        <f>M952*$J$962-J952</f>
        <v/>
      </c>
      <c r="O952" s="9">
        <f>IF(G952=0,0,N952/G952)</f>
        <v/>
      </c>
      <c r="P952" s="6">
        <f>IF(M952&gt;0,D952,"")</f>
        <v/>
      </c>
      <c r="Q952" s="9">
        <f>I952+O952</f>
        <v/>
      </c>
      <c r="R952" s="7">
        <f>Q952*G952</f>
        <v/>
      </c>
      <c r="S952" s="8">
        <f>IF($R$962=0,0,R952/$R$962)</f>
        <v/>
      </c>
      <c r="T952" s="8" t="n">
        <v>0</v>
      </c>
      <c r="U952" s="8" t="n">
        <v>-0.0108047964831961</v>
      </c>
      <c r="V952" s="6" t="inlineStr">
        <is>
          <t>not selected</t>
        </is>
      </c>
    </row>
    <row r="953">
      <c r="A953" s="6" t="inlineStr">
        <is>
          <t>DJ30</t>
        </is>
      </c>
      <c r="B953" s="6" t="inlineStr">
        <is>
          <t>2023-08-04</t>
        </is>
      </c>
      <c r="C953" s="6" t="inlineStr">
        <is>
          <t>DIA</t>
        </is>
      </c>
      <c r="D953" s="6" t="inlineStr">
        <is>
          <t>NKE</t>
        </is>
      </c>
      <c r="E953" s="6" t="inlineStr">
        <is>
          <t>NKE</t>
        </is>
      </c>
      <c r="F953" s="6" t="inlineStr">
        <is>
          <t>-</t>
        </is>
      </c>
      <c r="G953" s="7" t="n">
        <v>102.2214965820312</v>
      </c>
      <c r="H953" s="6">
        <f>P922</f>
        <v/>
      </c>
      <c r="I953" s="9">
        <f>Q922</f>
        <v/>
      </c>
      <c r="J953" s="7">
        <f>I953*G953</f>
        <v/>
      </c>
      <c r="K953" s="8">
        <f>IF($J$962=0,0,J953/$J$962)</f>
        <v/>
      </c>
      <c r="L953" s="6" t="inlineStr">
        <is>
          <t>REJECTED</t>
        </is>
      </c>
      <c r="M953" s="8" t="n">
        <v>0</v>
      </c>
      <c r="N953" s="7">
        <f>M953*$J$962-J953</f>
        <v/>
      </c>
      <c r="O953" s="9">
        <f>IF(G953=0,0,N953/G953)</f>
        <v/>
      </c>
      <c r="P953" s="6">
        <f>IF(M953&gt;0,D953,"")</f>
        <v/>
      </c>
      <c r="Q953" s="9">
        <f>I953+O953</f>
        <v/>
      </c>
      <c r="R953" s="7">
        <f>Q953*G953</f>
        <v/>
      </c>
      <c r="S953" s="8">
        <f>IF($R$962=0,0,R953/$R$962)</f>
        <v/>
      </c>
      <c r="T953" s="8" t="n">
        <v>0</v>
      </c>
      <c r="U953" s="8" t="n">
        <v>-0.0108047964831961</v>
      </c>
      <c r="V953" s="6" t="inlineStr">
        <is>
          <t>not selected</t>
        </is>
      </c>
    </row>
    <row r="954">
      <c r="A954" s="6" t="inlineStr">
        <is>
          <t>DJ30</t>
        </is>
      </c>
      <c r="B954" s="6" t="inlineStr">
        <is>
          <t>2023-08-04</t>
        </is>
      </c>
      <c r="C954" s="6" t="inlineStr">
        <is>
          <t>DIA</t>
        </is>
      </c>
      <c r="D954" s="6" t="inlineStr">
        <is>
          <t>NVDA</t>
        </is>
      </c>
      <c r="E954" s="6" t="inlineStr">
        <is>
          <t>NVDA</t>
        </is>
      </c>
      <c r="F954" s="6" t="inlineStr">
        <is>
          <t>-</t>
        </is>
      </c>
      <c r="G954" s="7" t="n">
        <v>44.5931282043457</v>
      </c>
      <c r="H954" s="6">
        <f>P923</f>
        <v/>
      </c>
      <c r="I954" s="9">
        <f>Q923</f>
        <v/>
      </c>
      <c r="J954" s="7">
        <f>I954*G954</f>
        <v/>
      </c>
      <c r="K954" s="8">
        <f>IF($J$962=0,0,J954/$J$962)</f>
        <v/>
      </c>
      <c r="L954" s="6" t="inlineStr">
        <is>
          <t>REJECTED</t>
        </is>
      </c>
      <c r="M954" s="8" t="n">
        <v>0</v>
      </c>
      <c r="N954" s="7">
        <f>M954*$J$962-J954</f>
        <v/>
      </c>
      <c r="O954" s="9">
        <f>IF(G954=0,0,N954/G954)</f>
        <v/>
      </c>
      <c r="P954" s="6">
        <f>IF(M954&gt;0,D954,"")</f>
        <v/>
      </c>
      <c r="Q954" s="9">
        <f>I954+O954</f>
        <v/>
      </c>
      <c r="R954" s="7">
        <f>Q954*G954</f>
        <v/>
      </c>
      <c r="S954" s="8">
        <f>IF($R$962=0,0,R954/$R$962)</f>
        <v/>
      </c>
      <c r="T954" s="8" t="n">
        <v>0</v>
      </c>
      <c r="U954" s="8" t="n">
        <v>-0.0108047964831961</v>
      </c>
      <c r="V954" s="6" t="inlineStr">
        <is>
          <t>not selected</t>
        </is>
      </c>
    </row>
    <row r="955">
      <c r="A955" s="6" t="inlineStr">
        <is>
          <t>DJ30</t>
        </is>
      </c>
      <c r="B955" s="6" t="inlineStr">
        <is>
          <t>2023-08-04</t>
        </is>
      </c>
      <c r="C955" s="6" t="inlineStr">
        <is>
          <t>DIA</t>
        </is>
      </c>
      <c r="D955" s="6" t="inlineStr">
        <is>
          <t>PG</t>
        </is>
      </c>
      <c r="E955" s="6" t="inlineStr">
        <is>
          <t>PG</t>
        </is>
      </c>
      <c r="F955" s="6" t="inlineStr">
        <is>
          <t>-</t>
        </is>
      </c>
      <c r="G955" s="7" t="n">
        <v>144.5598602294922</v>
      </c>
      <c r="H955" s="6">
        <f>P924</f>
        <v/>
      </c>
      <c r="I955" s="9">
        <f>Q924</f>
        <v/>
      </c>
      <c r="J955" s="7">
        <f>I955*G955</f>
        <v/>
      </c>
      <c r="K955" s="8">
        <f>IF($J$962=0,0,J955/$J$962)</f>
        <v/>
      </c>
      <c r="L955" s="6" t="inlineStr">
        <is>
          <t>REJECTED</t>
        </is>
      </c>
      <c r="M955" s="8" t="n">
        <v>0</v>
      </c>
      <c r="N955" s="7">
        <f>M955*$J$962-J955</f>
        <v/>
      </c>
      <c r="O955" s="9">
        <f>IF(G955=0,0,N955/G955)</f>
        <v/>
      </c>
      <c r="P955" s="6">
        <f>IF(M955&gt;0,D955,"")</f>
        <v/>
      </c>
      <c r="Q955" s="9">
        <f>I955+O955</f>
        <v/>
      </c>
      <c r="R955" s="7">
        <f>Q955*G955</f>
        <v/>
      </c>
      <c r="S955" s="8">
        <f>IF($R$962=0,0,R955/$R$962)</f>
        <v/>
      </c>
      <c r="T955" s="8" t="n">
        <v>0</v>
      </c>
      <c r="U955" s="8" t="n">
        <v>-0.0108047964831961</v>
      </c>
      <c r="V955" s="6" t="inlineStr">
        <is>
          <t>not selected</t>
        </is>
      </c>
    </row>
    <row r="956">
      <c r="A956" s="6" t="inlineStr">
        <is>
          <t>DJ30</t>
        </is>
      </c>
      <c r="B956" s="6" t="inlineStr">
        <is>
          <t>2023-08-04</t>
        </is>
      </c>
      <c r="C956" s="6" t="inlineStr">
        <is>
          <t>DIA</t>
        </is>
      </c>
      <c r="D956" s="6" t="inlineStr">
        <is>
          <t>SHW</t>
        </is>
      </c>
      <c r="E956" s="6" t="inlineStr">
        <is>
          <t>SHW</t>
        </is>
      </c>
      <c r="F956" s="6" t="inlineStr">
        <is>
          <t>-</t>
        </is>
      </c>
      <c r="G956" s="7" t="n">
        <v>266.4012451171875</v>
      </c>
      <c r="H956" s="6">
        <f>P925</f>
        <v/>
      </c>
      <c r="I956" s="9">
        <f>Q925</f>
        <v/>
      </c>
      <c r="J956" s="7">
        <f>I956*G956</f>
        <v/>
      </c>
      <c r="K956" s="8">
        <f>IF($J$962=0,0,J956/$J$962)</f>
        <v/>
      </c>
      <c r="L956" s="6" t="inlineStr">
        <is>
          <t>REJECTED</t>
        </is>
      </c>
      <c r="M956" s="8" t="n">
        <v>0</v>
      </c>
      <c r="N956" s="7">
        <f>M956*$J$962-J956</f>
        <v/>
      </c>
      <c r="O956" s="9">
        <f>IF(G956=0,0,N956/G956)</f>
        <v/>
      </c>
      <c r="P956" s="6">
        <f>IF(M956&gt;0,D956,"")</f>
        <v/>
      </c>
      <c r="Q956" s="9">
        <f>I956+O956</f>
        <v/>
      </c>
      <c r="R956" s="7">
        <f>Q956*G956</f>
        <v/>
      </c>
      <c r="S956" s="8">
        <f>IF($R$962=0,0,R956/$R$962)</f>
        <v/>
      </c>
      <c r="T956" s="8" t="n">
        <v>0</v>
      </c>
      <c r="U956" s="8" t="n">
        <v>-0.0108047964831961</v>
      </c>
      <c r="V956" s="6" t="inlineStr">
        <is>
          <t>not selected</t>
        </is>
      </c>
    </row>
    <row r="957">
      <c r="A957" s="6" t="inlineStr">
        <is>
          <t>DJ30</t>
        </is>
      </c>
      <c r="B957" s="6" t="inlineStr">
        <is>
          <t>2023-08-04</t>
        </is>
      </c>
      <c r="C957" s="6" t="inlineStr">
        <is>
          <t>DIA</t>
        </is>
      </c>
      <c r="D957" s="6" t="inlineStr">
        <is>
          <t>TRV</t>
        </is>
      </c>
      <c r="E957" s="6" t="inlineStr">
        <is>
          <t>TRV</t>
        </is>
      </c>
      <c r="F957" s="6" t="inlineStr">
        <is>
          <t>-</t>
        </is>
      </c>
      <c r="G957" s="7" t="n">
        <v>159.8273162841797</v>
      </c>
      <c r="H957" s="6">
        <f>P926</f>
        <v/>
      </c>
      <c r="I957" s="9">
        <f>Q926</f>
        <v/>
      </c>
      <c r="J957" s="7">
        <f>I957*G957</f>
        <v/>
      </c>
      <c r="K957" s="8">
        <f>IF($J$962=0,0,J957/$J$962)</f>
        <v/>
      </c>
      <c r="L957" s="6" t="inlineStr">
        <is>
          <t>REJECTED</t>
        </is>
      </c>
      <c r="M957" s="8" t="n">
        <v>0</v>
      </c>
      <c r="N957" s="7">
        <f>M957*$J$962-J957</f>
        <v/>
      </c>
      <c r="O957" s="9">
        <f>IF(G957=0,0,N957/G957)</f>
        <v/>
      </c>
      <c r="P957" s="6">
        <f>IF(M957&gt;0,D957,"")</f>
        <v/>
      </c>
      <c r="Q957" s="9">
        <f>I957+O957</f>
        <v/>
      </c>
      <c r="R957" s="7">
        <f>Q957*G957</f>
        <v/>
      </c>
      <c r="S957" s="8">
        <f>IF($R$962=0,0,R957/$R$962)</f>
        <v/>
      </c>
      <c r="T957" s="8" t="n">
        <v>0</v>
      </c>
      <c r="U957" s="8" t="n">
        <v>-0.0108047964831961</v>
      </c>
      <c r="V957" s="6" t="inlineStr">
        <is>
          <t>not selected</t>
        </is>
      </c>
    </row>
    <row r="958">
      <c r="A958" s="6" t="inlineStr">
        <is>
          <t>DJ30</t>
        </is>
      </c>
      <c r="B958" s="6" t="inlineStr">
        <is>
          <t>2023-08-04</t>
        </is>
      </c>
      <c r="C958" s="6" t="inlineStr">
        <is>
          <t>DIA</t>
        </is>
      </c>
      <c r="D958" s="6" t="inlineStr">
        <is>
          <t>UNH</t>
        </is>
      </c>
      <c r="E958" s="6" t="inlineStr">
        <is>
          <t>UNH</t>
        </is>
      </c>
      <c r="F958" s="6" t="inlineStr">
        <is>
          <t>-</t>
        </is>
      </c>
      <c r="G958" s="7" t="n">
        <v>473.1720581054688</v>
      </c>
      <c r="H958" s="6">
        <f>P927</f>
        <v/>
      </c>
      <c r="I958" s="9">
        <f>Q927</f>
        <v/>
      </c>
      <c r="J958" s="7">
        <f>I958*G958</f>
        <v/>
      </c>
      <c r="K958" s="8">
        <f>IF($J$962=0,0,J958/$J$962)</f>
        <v/>
      </c>
      <c r="L958" s="6" t="inlineStr">
        <is>
          <t>REJECTED</t>
        </is>
      </c>
      <c r="M958" s="8" t="n">
        <v>0</v>
      </c>
      <c r="N958" s="7">
        <f>M958*$J$962-J958</f>
        <v/>
      </c>
      <c r="O958" s="9">
        <f>IF(G958=0,0,N958/G958)</f>
        <v/>
      </c>
      <c r="P958" s="6">
        <f>IF(M958&gt;0,D958,"")</f>
        <v/>
      </c>
      <c r="Q958" s="9">
        <f>I958+O958</f>
        <v/>
      </c>
      <c r="R958" s="7">
        <f>Q958*G958</f>
        <v/>
      </c>
      <c r="S958" s="8">
        <f>IF($R$962=0,0,R958/$R$962)</f>
        <v/>
      </c>
      <c r="T958" s="8" t="n">
        <v>0</v>
      </c>
      <c r="U958" s="8" t="n">
        <v>-0.0108047964831961</v>
      </c>
      <c r="V958" s="6" t="inlineStr">
        <is>
          <t>not selected</t>
        </is>
      </c>
    </row>
    <row r="959">
      <c r="A959" s="6" t="inlineStr">
        <is>
          <t>DJ30</t>
        </is>
      </c>
      <c r="B959" s="6" t="inlineStr">
        <is>
          <t>2023-08-04</t>
        </is>
      </c>
      <c r="C959" s="6" t="inlineStr">
        <is>
          <t>DIA</t>
        </is>
      </c>
      <c r="D959" s="6" t="inlineStr">
        <is>
          <t>V</t>
        </is>
      </c>
      <c r="E959" s="6" t="inlineStr">
        <is>
          <t>V</t>
        </is>
      </c>
      <c r="F959" s="6" t="inlineStr">
        <is>
          <t>-</t>
        </is>
      </c>
      <c r="G959" s="7" t="n">
        <v>233.5960693359375</v>
      </c>
      <c r="H959" s="6">
        <f>P928</f>
        <v/>
      </c>
      <c r="I959" s="9">
        <f>Q928</f>
        <v/>
      </c>
      <c r="J959" s="7">
        <f>I959*G959</f>
        <v/>
      </c>
      <c r="K959" s="8">
        <f>IF($J$962=0,0,J959/$J$962)</f>
        <v/>
      </c>
      <c r="L959" s="6" t="inlineStr">
        <is>
          <t>REJECTED</t>
        </is>
      </c>
      <c r="M959" s="8" t="n">
        <v>0</v>
      </c>
      <c r="N959" s="7">
        <f>M959*$J$962-J959</f>
        <v/>
      </c>
      <c r="O959" s="9">
        <f>IF(G959=0,0,N959/G959)</f>
        <v/>
      </c>
      <c r="P959" s="6">
        <f>IF(M959&gt;0,D959,"")</f>
        <v/>
      </c>
      <c r="Q959" s="9">
        <f>I959+O959</f>
        <v/>
      </c>
      <c r="R959" s="7">
        <f>Q959*G959</f>
        <v/>
      </c>
      <c r="S959" s="8">
        <f>IF($R$962=0,0,R959/$R$962)</f>
        <v/>
      </c>
      <c r="T959" s="8" t="n">
        <v>0</v>
      </c>
      <c r="U959" s="8" t="n">
        <v>-0.0108047964831961</v>
      </c>
      <c r="V959" s="6" t="inlineStr">
        <is>
          <t>not selected</t>
        </is>
      </c>
    </row>
    <row r="960">
      <c r="A960" s="6" t="inlineStr">
        <is>
          <t>DJ30</t>
        </is>
      </c>
      <c r="B960" s="6" t="inlineStr">
        <is>
          <t>2023-08-04</t>
        </is>
      </c>
      <c r="C960" s="6" t="inlineStr">
        <is>
          <t>DIA</t>
        </is>
      </c>
      <c r="D960" s="6" t="inlineStr">
        <is>
          <t>VZ</t>
        </is>
      </c>
      <c r="E960" s="6" t="inlineStr">
        <is>
          <t>VZ</t>
        </is>
      </c>
      <c r="F960" s="6" t="inlineStr">
        <is>
          <t>-</t>
        </is>
      </c>
      <c r="G960" s="7" t="n">
        <v>27.12846946716309</v>
      </c>
      <c r="H960" s="6">
        <f>P929</f>
        <v/>
      </c>
      <c r="I960" s="9">
        <f>Q929</f>
        <v/>
      </c>
      <c r="J960" s="7">
        <f>I960*G960</f>
        <v/>
      </c>
      <c r="K960" s="8">
        <f>IF($J$962=0,0,J960/$J$962)</f>
        <v/>
      </c>
      <c r="L960" s="6" t="inlineStr">
        <is>
          <t>REJECTED</t>
        </is>
      </c>
      <c r="M960" s="8" t="n">
        <v>0</v>
      </c>
      <c r="N960" s="7">
        <f>M960*$J$962-J960</f>
        <v/>
      </c>
      <c r="O960" s="9">
        <f>IF(G960=0,0,N960/G960)</f>
        <v/>
      </c>
      <c r="P960" s="6">
        <f>IF(M960&gt;0,D960,"")</f>
        <v/>
      </c>
      <c r="Q960" s="9">
        <f>I960+O960</f>
        <v/>
      </c>
      <c r="R960" s="7">
        <f>Q960*G960</f>
        <v/>
      </c>
      <c r="S960" s="8">
        <f>IF($R$962=0,0,R960/$R$962)</f>
        <v/>
      </c>
      <c r="T960" s="8" t="n">
        <v>0</v>
      </c>
      <c r="U960" s="8" t="n">
        <v>-0.0108047964831961</v>
      </c>
      <c r="V960" s="6" t="inlineStr">
        <is>
          <t>not selected</t>
        </is>
      </c>
    </row>
    <row r="961">
      <c r="A961" s="6" t="inlineStr">
        <is>
          <t>DJ30</t>
        </is>
      </c>
      <c r="B961" s="6" t="inlineStr">
        <is>
          <t>2023-08-04</t>
        </is>
      </c>
      <c r="C961" s="6" t="inlineStr">
        <is>
          <t>DIA</t>
        </is>
      </c>
      <c r="D961" s="6" t="inlineStr">
        <is>
          <t>WMT</t>
        </is>
      </c>
      <c r="E961" s="6" t="inlineStr">
        <is>
          <t>WMT</t>
        </is>
      </c>
      <c r="F961" s="6" t="inlineStr">
        <is>
          <t>-</t>
        </is>
      </c>
      <c r="G961" s="7" t="n">
        <v>51.08434677124024</v>
      </c>
      <c r="H961" s="6">
        <f>P930</f>
        <v/>
      </c>
      <c r="I961" s="9">
        <f>Q930</f>
        <v/>
      </c>
      <c r="J961" s="7">
        <f>I961*G961</f>
        <v/>
      </c>
      <c r="K961" s="8">
        <f>IF($J$962=0,0,J961/$J$962)</f>
        <v/>
      </c>
      <c r="L961" s="6" t="inlineStr">
        <is>
          <t>REJECTED</t>
        </is>
      </c>
      <c r="M961" s="8" t="n">
        <v>0</v>
      </c>
      <c r="N961" s="7">
        <f>M961*$J$962-J961</f>
        <v/>
      </c>
      <c r="O961" s="9">
        <f>IF(G961=0,0,N961/G961)</f>
        <v/>
      </c>
      <c r="P961" s="6">
        <f>IF(M961&gt;0,D961,"")</f>
        <v/>
      </c>
      <c r="Q961" s="9">
        <f>I961+O961</f>
        <v/>
      </c>
      <c r="R961" s="7">
        <f>Q961*G961</f>
        <v/>
      </c>
      <c r="S961" s="8">
        <f>IF($R$962=0,0,R961/$R$962)</f>
        <v/>
      </c>
      <c r="T961" s="8" t="n">
        <v>0</v>
      </c>
      <c r="U961" s="8" t="n">
        <v>-0.0108047964831961</v>
      </c>
      <c r="V961" s="6" t="inlineStr">
        <is>
          <t>not selected</t>
        </is>
      </c>
    </row>
    <row r="962">
      <c r="A962" s="10" t="inlineStr">
        <is>
          <t>DJ30</t>
        </is>
      </c>
      <c r="B962" s="10" t="inlineStr">
        <is>
          <t>2023-08-04</t>
        </is>
      </c>
      <c r="C962" s="10" t="inlineStr">
        <is>
          <t>DIA</t>
        </is>
      </c>
      <c r="D962" s="10" t="inlineStr">
        <is>
          <t>Tot Portfolio</t>
        </is>
      </c>
      <c r="E962" s="10" t="inlineStr"/>
      <c r="F962" s="10" t="inlineStr"/>
      <c r="G962" s="11" t="inlineStr"/>
      <c r="H962" s="10" t="inlineStr"/>
      <c r="I962" s="12" t="inlineStr"/>
      <c r="J962" s="11">
        <f>SUM(J932:J961)</f>
        <v/>
      </c>
      <c r="K962" s="13">
        <f>SUM(K932:K961)</f>
        <v/>
      </c>
      <c r="L962" s="10" t="inlineStr">
        <is>
          <t>TOTAL</t>
        </is>
      </c>
      <c r="M962" s="13">
        <f>SUM(M932:M961)</f>
        <v/>
      </c>
      <c r="N962" s="11">
        <f>SUM(N932:N961)</f>
        <v/>
      </c>
      <c r="O962" s="12">
        <f>SUM(O932:O961)</f>
        <v/>
      </c>
      <c r="P962" s="10" t="inlineStr"/>
      <c r="Q962" s="12" t="inlineStr"/>
      <c r="R962" s="11">
        <f>SUM(R932:R961)</f>
        <v/>
      </c>
      <c r="S962" s="13">
        <f>SUM(S932:S961)</f>
        <v/>
      </c>
      <c r="T962" s="13" t="n">
        <v>0</v>
      </c>
      <c r="U962" s="13" t="n">
        <v>-0.0108047964831961</v>
      </c>
      <c r="V962" s="10" t="inlineStr"/>
    </row>
    <row r="963">
      <c r="A963" s="6" t="inlineStr">
        <is>
          <t>DJ30</t>
        </is>
      </c>
      <c r="B963" s="6" t="inlineStr">
        <is>
          <t>2023-08-11</t>
        </is>
      </c>
      <c r="C963" s="6" t="inlineStr">
        <is>
          <t>DIA</t>
        </is>
      </c>
      <c r="D963" s="6" t="inlineStr">
        <is>
          <t>AAPL</t>
        </is>
      </c>
      <c r="E963" s="6" t="inlineStr">
        <is>
          <t>AAPL</t>
        </is>
      </c>
      <c r="F963" s="6" t="inlineStr">
        <is>
          <t>-</t>
        </is>
      </c>
      <c r="G963" s="7" t="n">
        <v>175.5687561035156</v>
      </c>
      <c r="H963" s="6">
        <f>P932</f>
        <v/>
      </c>
      <c r="I963" s="9">
        <f>Q932</f>
        <v/>
      </c>
      <c r="J963" s="7">
        <f>I963*G963</f>
        <v/>
      </c>
      <c r="K963" s="8">
        <f>IF($J$993=0,0,J963/$J$993)</f>
        <v/>
      </c>
      <c r="L963" s="6" t="inlineStr">
        <is>
          <t>REJECTED</t>
        </is>
      </c>
      <c r="M963" s="8" t="n">
        <v>0</v>
      </c>
      <c r="N963" s="7">
        <f>M963*$J$993-J963</f>
        <v/>
      </c>
      <c r="O963" s="9">
        <f>IF(G963=0,0,N963/G963)</f>
        <v/>
      </c>
      <c r="P963" s="6">
        <f>IF(M963&gt;0,D963,"")</f>
        <v/>
      </c>
      <c r="Q963" s="9">
        <f>I963+O963</f>
        <v/>
      </c>
      <c r="R963" s="7">
        <f>Q963*G963</f>
        <v/>
      </c>
      <c r="S963" s="8">
        <f>IF($R$993=0,0,R963/$R$993)</f>
        <v/>
      </c>
      <c r="T963" s="8" t="n">
        <v>0</v>
      </c>
      <c r="U963" s="8" t="n">
        <v>0.006701579541197988</v>
      </c>
      <c r="V963" s="6" t="inlineStr">
        <is>
          <t>not selected</t>
        </is>
      </c>
    </row>
    <row r="964">
      <c r="A964" s="6" t="inlineStr">
        <is>
          <t>DJ30</t>
        </is>
      </c>
      <c r="B964" s="6" t="inlineStr">
        <is>
          <t>2023-08-11</t>
        </is>
      </c>
      <c r="C964" s="6" t="inlineStr">
        <is>
          <t>DIA</t>
        </is>
      </c>
      <c r="D964" s="6" t="inlineStr">
        <is>
          <t>AMGN</t>
        </is>
      </c>
      <c r="E964" s="6" t="inlineStr">
        <is>
          <t>AMGN</t>
        </is>
      </c>
      <c r="F964" s="6" t="inlineStr">
        <is>
          <t>-</t>
        </is>
      </c>
      <c r="G964" s="7" t="n">
        <v>239.4055938720703</v>
      </c>
      <c r="H964" s="6">
        <f>P933</f>
        <v/>
      </c>
      <c r="I964" s="9">
        <f>Q933</f>
        <v/>
      </c>
      <c r="J964" s="7">
        <f>I964*G964</f>
        <v/>
      </c>
      <c r="K964" s="8">
        <f>IF($J$993=0,0,J964/$J$993)</f>
        <v/>
      </c>
      <c r="L964" s="6" t="inlineStr">
        <is>
          <t>REJECTED</t>
        </is>
      </c>
      <c r="M964" s="8" t="n">
        <v>0</v>
      </c>
      <c r="N964" s="7">
        <f>M964*$J$993-J964</f>
        <v/>
      </c>
      <c r="O964" s="9">
        <f>IF(G964=0,0,N964/G964)</f>
        <v/>
      </c>
      <c r="P964" s="6">
        <f>IF(M964&gt;0,D964,"")</f>
        <v/>
      </c>
      <c r="Q964" s="9">
        <f>I964+O964</f>
        <v/>
      </c>
      <c r="R964" s="7">
        <f>Q964*G964</f>
        <v/>
      </c>
      <c r="S964" s="8">
        <f>IF($R$993=0,0,R964/$R$993)</f>
        <v/>
      </c>
      <c r="T964" s="8" t="n">
        <v>0</v>
      </c>
      <c r="U964" s="8" t="n">
        <v>0.006701579541197988</v>
      </c>
      <c r="V964" s="6" t="inlineStr">
        <is>
          <t>not selected</t>
        </is>
      </c>
    </row>
    <row r="965">
      <c r="A965" s="6" t="inlineStr">
        <is>
          <t>DJ30</t>
        </is>
      </c>
      <c r="B965" s="6" t="inlineStr">
        <is>
          <t>2023-08-11</t>
        </is>
      </c>
      <c r="C965" s="6" t="inlineStr">
        <is>
          <t>DIA</t>
        </is>
      </c>
      <c r="D965" s="6" t="inlineStr">
        <is>
          <t>AMZN</t>
        </is>
      </c>
      <c r="E965" s="6" t="inlineStr">
        <is>
          <t>AMZN</t>
        </is>
      </c>
      <c r="F965" s="6" t="inlineStr">
        <is>
          <t>-</t>
        </is>
      </c>
      <c r="G965" s="7" t="n">
        <v>138.4100036621094</v>
      </c>
      <c r="H965" s="6">
        <f>P934</f>
        <v/>
      </c>
      <c r="I965" s="9">
        <f>Q934</f>
        <v/>
      </c>
      <c r="J965" s="7">
        <f>I965*G965</f>
        <v/>
      </c>
      <c r="K965" s="8">
        <f>IF($J$993=0,0,J965/$J$993)</f>
        <v/>
      </c>
      <c r="L965" s="6" t="inlineStr">
        <is>
          <t>REJECTED</t>
        </is>
      </c>
      <c r="M965" s="8" t="n">
        <v>0</v>
      </c>
      <c r="N965" s="7">
        <f>M965*$J$993-J965</f>
        <v/>
      </c>
      <c r="O965" s="9">
        <f>IF(G965=0,0,N965/G965)</f>
        <v/>
      </c>
      <c r="P965" s="6">
        <f>IF(M965&gt;0,D965,"")</f>
        <v/>
      </c>
      <c r="Q965" s="9">
        <f>I965+O965</f>
        <v/>
      </c>
      <c r="R965" s="7">
        <f>Q965*G965</f>
        <v/>
      </c>
      <c r="S965" s="8">
        <f>IF($R$993=0,0,R965/$R$993)</f>
        <v/>
      </c>
      <c r="T965" s="8" t="n">
        <v>0</v>
      </c>
      <c r="U965" s="8" t="n">
        <v>0.006701579541197988</v>
      </c>
      <c r="V965" s="6" t="inlineStr">
        <is>
          <t>not selected</t>
        </is>
      </c>
    </row>
    <row r="966">
      <c r="A966" s="6" t="inlineStr">
        <is>
          <t>DJ30</t>
        </is>
      </c>
      <c r="B966" s="6" t="inlineStr">
        <is>
          <t>2023-08-11</t>
        </is>
      </c>
      <c r="C966" s="6" t="inlineStr">
        <is>
          <t>DIA</t>
        </is>
      </c>
      <c r="D966" s="6" t="inlineStr">
        <is>
          <t>AXP</t>
        </is>
      </c>
      <c r="E966" s="6" t="inlineStr">
        <is>
          <t>AXP</t>
        </is>
      </c>
      <c r="F966" s="6" t="inlineStr">
        <is>
          <t>-</t>
        </is>
      </c>
      <c r="G966" s="7" t="n">
        <v>160.0501708984375</v>
      </c>
      <c r="H966" s="6">
        <f>P935</f>
        <v/>
      </c>
      <c r="I966" s="9">
        <f>Q935</f>
        <v/>
      </c>
      <c r="J966" s="7">
        <f>I966*G966</f>
        <v/>
      </c>
      <c r="K966" s="8">
        <f>IF($J$993=0,0,J966/$J$993)</f>
        <v/>
      </c>
      <c r="L966" s="6" t="inlineStr">
        <is>
          <t>REJECTED</t>
        </is>
      </c>
      <c r="M966" s="8" t="n">
        <v>0</v>
      </c>
      <c r="N966" s="7">
        <f>M966*$J$993-J966</f>
        <v/>
      </c>
      <c r="O966" s="9">
        <f>IF(G966=0,0,N966/G966)</f>
        <v/>
      </c>
      <c r="P966" s="6">
        <f>IF(M966&gt;0,D966,"")</f>
        <v/>
      </c>
      <c r="Q966" s="9">
        <f>I966+O966</f>
        <v/>
      </c>
      <c r="R966" s="7">
        <f>Q966*G966</f>
        <v/>
      </c>
      <c r="S966" s="8">
        <f>IF($R$993=0,0,R966/$R$993)</f>
        <v/>
      </c>
      <c r="T966" s="8" t="n">
        <v>0</v>
      </c>
      <c r="U966" s="8" t="n">
        <v>0.006701579541197988</v>
      </c>
      <c r="V966" s="6" t="inlineStr">
        <is>
          <t>not selected</t>
        </is>
      </c>
    </row>
    <row r="967">
      <c r="A967" s="6" t="inlineStr">
        <is>
          <t>DJ30</t>
        </is>
      </c>
      <c r="B967" s="6" t="inlineStr">
        <is>
          <t>2023-08-11</t>
        </is>
      </c>
      <c r="C967" s="6" t="inlineStr">
        <is>
          <t>DIA</t>
        </is>
      </c>
      <c r="D967" s="6" t="inlineStr">
        <is>
          <t>BA</t>
        </is>
      </c>
      <c r="E967" s="6" t="inlineStr">
        <is>
          <t>BA</t>
        </is>
      </c>
      <c r="F967" s="6" t="inlineStr">
        <is>
          <t>-</t>
        </is>
      </c>
      <c r="G967" s="7" t="n">
        <v>235.7200012207031</v>
      </c>
      <c r="H967" s="6">
        <f>P936</f>
        <v/>
      </c>
      <c r="I967" s="9">
        <f>Q936</f>
        <v/>
      </c>
      <c r="J967" s="7">
        <f>I967*G967</f>
        <v/>
      </c>
      <c r="K967" s="8">
        <f>IF($J$993=0,0,J967/$J$993)</f>
        <v/>
      </c>
      <c r="L967" s="6" t="inlineStr">
        <is>
          <t>REJECTED</t>
        </is>
      </c>
      <c r="M967" s="8" t="n">
        <v>0</v>
      </c>
      <c r="N967" s="7">
        <f>M967*$J$993-J967</f>
        <v/>
      </c>
      <c r="O967" s="9">
        <f>IF(G967=0,0,N967/G967)</f>
        <v/>
      </c>
      <c r="P967" s="6">
        <f>IF(M967&gt;0,D967,"")</f>
        <v/>
      </c>
      <c r="Q967" s="9">
        <f>I967+O967</f>
        <v/>
      </c>
      <c r="R967" s="7">
        <f>Q967*G967</f>
        <v/>
      </c>
      <c r="S967" s="8">
        <f>IF($R$993=0,0,R967/$R$993)</f>
        <v/>
      </c>
      <c r="T967" s="8" t="n">
        <v>0</v>
      </c>
      <c r="U967" s="8" t="n">
        <v>0.006701579541197988</v>
      </c>
      <c r="V967" s="6" t="inlineStr">
        <is>
          <t>not selected</t>
        </is>
      </c>
    </row>
    <row r="968">
      <c r="A968" s="6" t="inlineStr">
        <is>
          <t>DJ30</t>
        </is>
      </c>
      <c r="B968" s="6" t="inlineStr">
        <is>
          <t>2023-08-11</t>
        </is>
      </c>
      <c r="C968" s="6" t="inlineStr">
        <is>
          <t>DIA</t>
        </is>
      </c>
      <c r="D968" s="6" t="inlineStr">
        <is>
          <t>CAT</t>
        </is>
      </c>
      <c r="E968" s="6" t="inlineStr">
        <is>
          <t>CAT</t>
        </is>
      </c>
      <c r="F968" s="6" t="inlineStr">
        <is>
          <t>-</t>
        </is>
      </c>
      <c r="G968" s="7" t="n">
        <v>273.9561767578125</v>
      </c>
      <c r="H968" s="6">
        <f>P937</f>
        <v/>
      </c>
      <c r="I968" s="9">
        <f>Q937</f>
        <v/>
      </c>
      <c r="J968" s="7">
        <f>I968*G968</f>
        <v/>
      </c>
      <c r="K968" s="8">
        <f>IF($J$993=0,0,J968/$J$993)</f>
        <v/>
      </c>
      <c r="L968" s="6" t="inlineStr">
        <is>
          <t>REJECTED</t>
        </is>
      </c>
      <c r="M968" s="8" t="n">
        <v>0</v>
      </c>
      <c r="N968" s="7">
        <f>M968*$J$993-J968</f>
        <v/>
      </c>
      <c r="O968" s="9">
        <f>IF(G968=0,0,N968/G968)</f>
        <v/>
      </c>
      <c r="P968" s="6">
        <f>IF(M968&gt;0,D968,"")</f>
        <v/>
      </c>
      <c r="Q968" s="9">
        <f>I968+O968</f>
        <v/>
      </c>
      <c r="R968" s="7">
        <f>Q968*G968</f>
        <v/>
      </c>
      <c r="S968" s="8">
        <f>IF($R$993=0,0,R968/$R$993)</f>
        <v/>
      </c>
      <c r="T968" s="8" t="n">
        <v>0</v>
      </c>
      <c r="U968" s="8" t="n">
        <v>0.006701579541197988</v>
      </c>
      <c r="V968" s="6" t="inlineStr">
        <is>
          <t>not selected</t>
        </is>
      </c>
    </row>
    <row r="969">
      <c r="A969" s="6" t="inlineStr">
        <is>
          <t>DJ30</t>
        </is>
      </c>
      <c r="B969" s="6" t="inlineStr">
        <is>
          <t>2023-08-11</t>
        </is>
      </c>
      <c r="C969" s="6" t="inlineStr">
        <is>
          <t>DIA</t>
        </is>
      </c>
      <c r="D969" s="6" t="inlineStr">
        <is>
          <t>CRM</t>
        </is>
      </c>
      <c r="E969" s="6" t="inlineStr">
        <is>
          <t>CRM</t>
        </is>
      </c>
      <c r="F969" s="6" t="inlineStr">
        <is>
          <t>-</t>
        </is>
      </c>
      <c r="G969" s="7" t="n">
        <v>205.1507873535156</v>
      </c>
      <c r="H969" s="6">
        <f>P938</f>
        <v/>
      </c>
      <c r="I969" s="9">
        <f>Q938</f>
        <v/>
      </c>
      <c r="J969" s="7">
        <f>I969*G969</f>
        <v/>
      </c>
      <c r="K969" s="8">
        <f>IF($J$993=0,0,J969/$J$993)</f>
        <v/>
      </c>
      <c r="L969" s="6" t="inlineStr">
        <is>
          <t>REJECTED</t>
        </is>
      </c>
      <c r="M969" s="8" t="n">
        <v>0</v>
      </c>
      <c r="N969" s="7">
        <f>M969*$J$993-J969</f>
        <v/>
      </c>
      <c r="O969" s="9">
        <f>IF(G969=0,0,N969/G969)</f>
        <v/>
      </c>
      <c r="P969" s="6">
        <f>IF(M969&gt;0,D969,"")</f>
        <v/>
      </c>
      <c r="Q969" s="9">
        <f>I969+O969</f>
        <v/>
      </c>
      <c r="R969" s="7">
        <f>Q969*G969</f>
        <v/>
      </c>
      <c r="S969" s="8">
        <f>IF($R$993=0,0,R969/$R$993)</f>
        <v/>
      </c>
      <c r="T969" s="8" t="n">
        <v>0</v>
      </c>
      <c r="U969" s="8" t="n">
        <v>0.006701579541197988</v>
      </c>
      <c r="V969" s="6" t="inlineStr">
        <is>
          <t>not selected</t>
        </is>
      </c>
    </row>
    <row r="970">
      <c r="A970" s="6" t="inlineStr">
        <is>
          <t>DJ30</t>
        </is>
      </c>
      <c r="B970" s="6" t="inlineStr">
        <is>
          <t>2023-08-11</t>
        </is>
      </c>
      <c r="C970" s="6" t="inlineStr">
        <is>
          <t>DIA</t>
        </is>
      </c>
      <c r="D970" s="6" t="inlineStr">
        <is>
          <t>CSCO</t>
        </is>
      </c>
      <c r="E970" s="6" t="inlineStr">
        <is>
          <t>CSCO</t>
        </is>
      </c>
      <c r="F970" s="6" t="inlineStr">
        <is>
          <t>-</t>
        </is>
      </c>
      <c r="G970" s="7" t="n">
        <v>49.88187026977539</v>
      </c>
      <c r="H970" s="6">
        <f>P939</f>
        <v/>
      </c>
      <c r="I970" s="9">
        <f>Q939</f>
        <v/>
      </c>
      <c r="J970" s="7">
        <f>I970*G970</f>
        <v/>
      </c>
      <c r="K970" s="8">
        <f>IF($J$993=0,0,J970/$J$993)</f>
        <v/>
      </c>
      <c r="L970" s="6" t="inlineStr">
        <is>
          <t>REJECTED</t>
        </is>
      </c>
      <c r="M970" s="8" t="n">
        <v>0</v>
      </c>
      <c r="N970" s="7">
        <f>M970*$J$993-J970</f>
        <v/>
      </c>
      <c r="O970" s="9">
        <f>IF(G970=0,0,N970/G970)</f>
        <v/>
      </c>
      <c r="P970" s="6">
        <f>IF(M970&gt;0,D970,"")</f>
        <v/>
      </c>
      <c r="Q970" s="9">
        <f>I970+O970</f>
        <v/>
      </c>
      <c r="R970" s="7">
        <f>Q970*G970</f>
        <v/>
      </c>
      <c r="S970" s="8">
        <f>IF($R$993=0,0,R970/$R$993)</f>
        <v/>
      </c>
      <c r="T970" s="8" t="n">
        <v>0</v>
      </c>
      <c r="U970" s="8" t="n">
        <v>0.006701579541197988</v>
      </c>
      <c r="V970" s="6" t="inlineStr">
        <is>
          <t>not selected</t>
        </is>
      </c>
    </row>
    <row r="971">
      <c r="A971" s="6" t="inlineStr">
        <is>
          <t>DJ30</t>
        </is>
      </c>
      <c r="B971" s="6" t="inlineStr">
        <is>
          <t>2023-08-11</t>
        </is>
      </c>
      <c r="C971" s="6" t="inlineStr">
        <is>
          <t>DIA</t>
        </is>
      </c>
      <c r="D971" s="6" t="inlineStr">
        <is>
          <t>CVX</t>
        </is>
      </c>
      <c r="E971" s="6" t="inlineStr">
        <is>
          <t>CVX</t>
        </is>
      </c>
      <c r="F971" s="6" t="inlineStr">
        <is>
          <t>-</t>
        </is>
      </c>
      <c r="G971" s="7" t="n">
        <v>144.6681365966797</v>
      </c>
      <c r="H971" s="6">
        <f>P940</f>
        <v/>
      </c>
      <c r="I971" s="9">
        <f>Q940</f>
        <v/>
      </c>
      <c r="J971" s="7">
        <f>I971*G971</f>
        <v/>
      </c>
      <c r="K971" s="8">
        <f>IF($J$993=0,0,J971/$J$993)</f>
        <v/>
      </c>
      <c r="L971" s="6" t="inlineStr">
        <is>
          <t>REJECTED</t>
        </is>
      </c>
      <c r="M971" s="8" t="n">
        <v>0</v>
      </c>
      <c r="N971" s="7">
        <f>M971*$J$993-J971</f>
        <v/>
      </c>
      <c r="O971" s="9">
        <f>IF(G971=0,0,N971/G971)</f>
        <v/>
      </c>
      <c r="P971" s="6">
        <f>IF(M971&gt;0,D971,"")</f>
        <v/>
      </c>
      <c r="Q971" s="9">
        <f>I971+O971</f>
        <v/>
      </c>
      <c r="R971" s="7">
        <f>Q971*G971</f>
        <v/>
      </c>
      <c r="S971" s="8">
        <f>IF($R$993=0,0,R971/$R$993)</f>
        <v/>
      </c>
      <c r="T971" s="8" t="n">
        <v>0</v>
      </c>
      <c r="U971" s="8" t="n">
        <v>0.006701579541197988</v>
      </c>
      <c r="V971" s="6" t="inlineStr">
        <is>
          <t>not selected</t>
        </is>
      </c>
    </row>
    <row r="972">
      <c r="A972" s="6" t="inlineStr">
        <is>
          <t>DJ30</t>
        </is>
      </c>
      <c r="B972" s="6" t="inlineStr">
        <is>
          <t>2023-08-11</t>
        </is>
      </c>
      <c r="C972" s="6" t="inlineStr">
        <is>
          <t>DIA</t>
        </is>
      </c>
      <c r="D972" s="6" t="inlineStr">
        <is>
          <t>DIS</t>
        </is>
      </c>
      <c r="E972" s="6" t="inlineStr">
        <is>
          <t>DIS</t>
        </is>
      </c>
      <c r="F972" s="6" t="inlineStr">
        <is>
          <t>-</t>
        </is>
      </c>
      <c r="G972" s="7" t="n">
        <v>86.97186279296875</v>
      </c>
      <c r="H972" s="6">
        <f>P941</f>
        <v/>
      </c>
      <c r="I972" s="9">
        <f>Q941</f>
        <v/>
      </c>
      <c r="J972" s="7">
        <f>I972*G972</f>
        <v/>
      </c>
      <c r="K972" s="8">
        <f>IF($J$993=0,0,J972/$J$993)</f>
        <v/>
      </c>
      <c r="L972" s="6" t="inlineStr">
        <is>
          <t>REJECTED</t>
        </is>
      </c>
      <c r="M972" s="8" t="n">
        <v>0</v>
      </c>
      <c r="N972" s="7">
        <f>M972*$J$993-J972</f>
        <v/>
      </c>
      <c r="O972" s="9">
        <f>IF(G972=0,0,N972/G972)</f>
        <v/>
      </c>
      <c r="P972" s="6">
        <f>IF(M972&gt;0,D972,"")</f>
        <v/>
      </c>
      <c r="Q972" s="9">
        <f>I972+O972</f>
        <v/>
      </c>
      <c r="R972" s="7">
        <f>Q972*G972</f>
        <v/>
      </c>
      <c r="S972" s="8">
        <f>IF($R$993=0,0,R972/$R$993)</f>
        <v/>
      </c>
      <c r="T972" s="8" t="n">
        <v>0</v>
      </c>
      <c r="U972" s="8" t="n">
        <v>0.006701579541197988</v>
      </c>
      <c r="V972" s="6" t="inlineStr">
        <is>
          <t>not selected</t>
        </is>
      </c>
    </row>
    <row r="973">
      <c r="A973" s="6" t="inlineStr">
        <is>
          <t>DJ30</t>
        </is>
      </c>
      <c r="B973" s="6" t="inlineStr">
        <is>
          <t>2023-08-11</t>
        </is>
      </c>
      <c r="C973" s="6" t="inlineStr">
        <is>
          <t>DIA</t>
        </is>
      </c>
      <c r="D973" s="6" t="inlineStr">
        <is>
          <t>GS</t>
        </is>
      </c>
      <c r="E973" s="6" t="inlineStr">
        <is>
          <t>GS</t>
        </is>
      </c>
      <c r="F973" s="6" t="inlineStr">
        <is>
          <t>-</t>
        </is>
      </c>
      <c r="G973" s="7" t="n">
        <v>317.6100463867188</v>
      </c>
      <c r="H973" s="6">
        <f>P942</f>
        <v/>
      </c>
      <c r="I973" s="9">
        <f>Q942</f>
        <v/>
      </c>
      <c r="J973" s="7">
        <f>I973*G973</f>
        <v/>
      </c>
      <c r="K973" s="8">
        <f>IF($J$993=0,0,J973/$J$993)</f>
        <v/>
      </c>
      <c r="L973" s="6" t="inlineStr">
        <is>
          <t>REJECTED</t>
        </is>
      </c>
      <c r="M973" s="8" t="n">
        <v>0</v>
      </c>
      <c r="N973" s="7">
        <f>M973*$J$993-J973</f>
        <v/>
      </c>
      <c r="O973" s="9">
        <f>IF(G973=0,0,N973/G973)</f>
        <v/>
      </c>
      <c r="P973" s="6">
        <f>IF(M973&gt;0,D973,"")</f>
        <v/>
      </c>
      <c r="Q973" s="9">
        <f>I973+O973</f>
        <v/>
      </c>
      <c r="R973" s="7">
        <f>Q973*G973</f>
        <v/>
      </c>
      <c r="S973" s="8">
        <f>IF($R$993=0,0,R973/$R$993)</f>
        <v/>
      </c>
      <c r="T973" s="8" t="n">
        <v>0</v>
      </c>
      <c r="U973" s="8" t="n">
        <v>0.006701579541197988</v>
      </c>
      <c r="V973" s="6" t="inlineStr">
        <is>
          <t>not selected</t>
        </is>
      </c>
    </row>
    <row r="974">
      <c r="A974" s="6" t="inlineStr">
        <is>
          <t>DJ30</t>
        </is>
      </c>
      <c r="B974" s="6" t="inlineStr">
        <is>
          <t>2023-08-11</t>
        </is>
      </c>
      <c r="C974" s="6" t="inlineStr">
        <is>
          <t>DIA</t>
        </is>
      </c>
      <c r="D974" s="6" t="inlineStr">
        <is>
          <t>HD</t>
        </is>
      </c>
      <c r="E974" s="6" t="inlineStr">
        <is>
          <t>HD</t>
        </is>
      </c>
      <c r="F974" s="6" t="inlineStr">
        <is>
          <t>-</t>
        </is>
      </c>
      <c r="G974" s="7" t="n">
        <v>306.8726196289062</v>
      </c>
      <c r="H974" s="6">
        <f>P943</f>
        <v/>
      </c>
      <c r="I974" s="9">
        <f>Q943</f>
        <v/>
      </c>
      <c r="J974" s="7">
        <f>I974*G974</f>
        <v/>
      </c>
      <c r="K974" s="8">
        <f>IF($J$993=0,0,J974/$J$993)</f>
        <v/>
      </c>
      <c r="L974" s="6" t="inlineStr">
        <is>
          <t>REJECTED</t>
        </is>
      </c>
      <c r="M974" s="8" t="n">
        <v>0</v>
      </c>
      <c r="N974" s="7">
        <f>M974*$J$993-J974</f>
        <v/>
      </c>
      <c r="O974" s="9">
        <f>IF(G974=0,0,N974/G974)</f>
        <v/>
      </c>
      <c r="P974" s="6">
        <f>IF(M974&gt;0,D974,"")</f>
        <v/>
      </c>
      <c r="Q974" s="9">
        <f>I974+O974</f>
        <v/>
      </c>
      <c r="R974" s="7">
        <f>Q974*G974</f>
        <v/>
      </c>
      <c r="S974" s="8">
        <f>IF($R$993=0,0,R974/$R$993)</f>
        <v/>
      </c>
      <c r="T974" s="8" t="n">
        <v>0</v>
      </c>
      <c r="U974" s="8" t="n">
        <v>0.006701579541197988</v>
      </c>
      <c r="V974" s="6" t="inlineStr">
        <is>
          <t>not selected</t>
        </is>
      </c>
    </row>
    <row r="975">
      <c r="A975" s="6" t="inlineStr">
        <is>
          <t>DJ30</t>
        </is>
      </c>
      <c r="B975" s="6" t="inlineStr">
        <is>
          <t>2023-08-11</t>
        </is>
      </c>
      <c r="C975" s="6" t="inlineStr">
        <is>
          <t>DIA</t>
        </is>
      </c>
      <c r="D975" s="6" t="inlineStr">
        <is>
          <t>HON</t>
        </is>
      </c>
      <c r="E975" s="6" t="inlineStr">
        <is>
          <t>HON</t>
        </is>
      </c>
      <c r="F975" s="6" t="inlineStr">
        <is>
          <t>-</t>
        </is>
      </c>
      <c r="G975" s="7" t="n">
        <v>169.4071044921875</v>
      </c>
      <c r="H975" s="6">
        <f>P944</f>
        <v/>
      </c>
      <c r="I975" s="9">
        <f>Q944</f>
        <v/>
      </c>
      <c r="J975" s="7">
        <f>I975*G975</f>
        <v/>
      </c>
      <c r="K975" s="8">
        <f>IF($J$993=0,0,J975/$J$993)</f>
        <v/>
      </c>
      <c r="L975" s="6" t="inlineStr">
        <is>
          <t>REJECTED</t>
        </is>
      </c>
      <c r="M975" s="8" t="n">
        <v>0</v>
      </c>
      <c r="N975" s="7">
        <f>M975*$J$993-J975</f>
        <v/>
      </c>
      <c r="O975" s="9">
        <f>IF(G975=0,0,N975/G975)</f>
        <v/>
      </c>
      <c r="P975" s="6">
        <f>IF(M975&gt;0,D975,"")</f>
        <v/>
      </c>
      <c r="Q975" s="9">
        <f>I975+O975</f>
        <v/>
      </c>
      <c r="R975" s="7">
        <f>Q975*G975</f>
        <v/>
      </c>
      <c r="S975" s="8">
        <f>IF($R$993=0,0,R975/$R$993)</f>
        <v/>
      </c>
      <c r="T975" s="8" t="n">
        <v>0</v>
      </c>
      <c r="U975" s="8" t="n">
        <v>0.006701579541197988</v>
      </c>
      <c r="V975" s="6" t="inlineStr">
        <is>
          <t>not selected</t>
        </is>
      </c>
    </row>
    <row r="976">
      <c r="A976" s="6" t="inlineStr">
        <is>
          <t>DJ30</t>
        </is>
      </c>
      <c r="B976" s="6" t="inlineStr">
        <is>
          <t>2023-08-11</t>
        </is>
      </c>
      <c r="C976" s="6" t="inlineStr">
        <is>
          <t>DIA</t>
        </is>
      </c>
      <c r="D976" s="6" t="inlineStr">
        <is>
          <t>IBM</t>
        </is>
      </c>
      <c r="E976" s="6" t="inlineStr">
        <is>
          <t>IBM</t>
        </is>
      </c>
      <c r="F976" s="6" t="inlineStr">
        <is>
          <t>-</t>
        </is>
      </c>
      <c r="G976" s="7" t="n">
        <v>131.4158325195312</v>
      </c>
      <c r="H976" s="6">
        <f>P945</f>
        <v/>
      </c>
      <c r="I976" s="9">
        <f>Q945</f>
        <v/>
      </c>
      <c r="J976" s="7">
        <f>I976*G976</f>
        <v/>
      </c>
      <c r="K976" s="8">
        <f>IF($J$993=0,0,J976/$J$993)</f>
        <v/>
      </c>
      <c r="L976" s="6" t="inlineStr">
        <is>
          <t>REJECTED</t>
        </is>
      </c>
      <c r="M976" s="8" t="n">
        <v>0</v>
      </c>
      <c r="N976" s="7">
        <f>M976*$J$993-J976</f>
        <v/>
      </c>
      <c r="O976" s="9">
        <f>IF(G976=0,0,N976/G976)</f>
        <v/>
      </c>
      <c r="P976" s="6">
        <f>IF(M976&gt;0,D976,"")</f>
        <v/>
      </c>
      <c r="Q976" s="9">
        <f>I976+O976</f>
        <v/>
      </c>
      <c r="R976" s="7">
        <f>Q976*G976</f>
        <v/>
      </c>
      <c r="S976" s="8">
        <f>IF($R$993=0,0,R976/$R$993)</f>
        <v/>
      </c>
      <c r="T976" s="8" t="n">
        <v>0</v>
      </c>
      <c r="U976" s="8" t="n">
        <v>0.006701579541197988</v>
      </c>
      <c r="V976" s="6" t="inlineStr">
        <is>
          <t>not selected</t>
        </is>
      </c>
    </row>
    <row r="977">
      <c r="A977" s="6" t="inlineStr">
        <is>
          <t>DJ30</t>
        </is>
      </c>
      <c r="B977" s="6" t="inlineStr">
        <is>
          <t>2023-08-11</t>
        </is>
      </c>
      <c r="C977" s="6" t="inlineStr">
        <is>
          <t>DIA</t>
        </is>
      </c>
      <c r="D977" s="6" t="inlineStr">
        <is>
          <t>JNJ</t>
        </is>
      </c>
      <c r="E977" s="6" t="inlineStr">
        <is>
          <t>JNJ</t>
        </is>
      </c>
      <c r="F977" s="6" t="inlineStr">
        <is>
          <t>-</t>
        </is>
      </c>
      <c r="G977" s="7" t="n">
        <v>159.2740173339844</v>
      </c>
      <c r="H977" s="6">
        <f>P946</f>
        <v/>
      </c>
      <c r="I977" s="9">
        <f>Q946</f>
        <v/>
      </c>
      <c r="J977" s="7">
        <f>I977*G977</f>
        <v/>
      </c>
      <c r="K977" s="8">
        <f>IF($J$993=0,0,J977/$J$993)</f>
        <v/>
      </c>
      <c r="L977" s="6" t="inlineStr">
        <is>
          <t>REJECTED</t>
        </is>
      </c>
      <c r="M977" s="8" t="n">
        <v>0</v>
      </c>
      <c r="N977" s="7">
        <f>M977*$J$993-J977</f>
        <v/>
      </c>
      <c r="O977" s="9">
        <f>IF(G977=0,0,N977/G977)</f>
        <v/>
      </c>
      <c r="P977" s="6">
        <f>IF(M977&gt;0,D977,"")</f>
        <v/>
      </c>
      <c r="Q977" s="9">
        <f>I977+O977</f>
        <v/>
      </c>
      <c r="R977" s="7">
        <f>Q977*G977</f>
        <v/>
      </c>
      <c r="S977" s="8">
        <f>IF($R$993=0,0,R977/$R$993)</f>
        <v/>
      </c>
      <c r="T977" s="8" t="n">
        <v>0</v>
      </c>
      <c r="U977" s="8" t="n">
        <v>0.006701579541197988</v>
      </c>
      <c r="V977" s="6" t="inlineStr">
        <is>
          <t>not selected</t>
        </is>
      </c>
    </row>
    <row r="978">
      <c r="A978" s="6" t="inlineStr">
        <is>
          <t>DJ30</t>
        </is>
      </c>
      <c r="B978" s="6" t="inlineStr">
        <is>
          <t>2023-08-11</t>
        </is>
      </c>
      <c r="C978" s="6" t="inlineStr">
        <is>
          <t>DIA</t>
        </is>
      </c>
      <c r="D978" s="6" t="inlineStr">
        <is>
          <t>JPM</t>
        </is>
      </c>
      <c r="E978" s="6" t="inlineStr">
        <is>
          <t>JPM</t>
        </is>
      </c>
      <c r="F978" s="6" t="inlineStr">
        <is>
          <t>-</t>
        </is>
      </c>
      <c r="G978" s="7" t="n">
        <v>145.2369842529297</v>
      </c>
      <c r="H978" s="6">
        <f>P947</f>
        <v/>
      </c>
      <c r="I978" s="9">
        <f>Q947</f>
        <v/>
      </c>
      <c r="J978" s="7">
        <f>I978*G978</f>
        <v/>
      </c>
      <c r="K978" s="8">
        <f>IF($J$993=0,0,J978/$J$993)</f>
        <v/>
      </c>
      <c r="L978" s="6" t="inlineStr">
        <is>
          <t>REJECTED</t>
        </is>
      </c>
      <c r="M978" s="8" t="n">
        <v>0</v>
      </c>
      <c r="N978" s="7">
        <f>M978*$J$993-J978</f>
        <v/>
      </c>
      <c r="O978" s="9">
        <f>IF(G978=0,0,N978/G978)</f>
        <v/>
      </c>
      <c r="P978" s="6">
        <f>IF(M978&gt;0,D978,"")</f>
        <v/>
      </c>
      <c r="Q978" s="9">
        <f>I978+O978</f>
        <v/>
      </c>
      <c r="R978" s="7">
        <f>Q978*G978</f>
        <v/>
      </c>
      <c r="S978" s="8">
        <f>IF($R$993=0,0,R978/$R$993)</f>
        <v/>
      </c>
      <c r="T978" s="8" t="n">
        <v>0</v>
      </c>
      <c r="U978" s="8" t="n">
        <v>0.006701579541197988</v>
      </c>
      <c r="V978" s="6" t="inlineStr">
        <is>
          <t>not selected</t>
        </is>
      </c>
    </row>
    <row r="979">
      <c r="A979" s="6" t="inlineStr">
        <is>
          <t>DJ30</t>
        </is>
      </c>
      <c r="B979" s="6" t="inlineStr">
        <is>
          <t>2023-08-11</t>
        </is>
      </c>
      <c r="C979" s="6" t="inlineStr">
        <is>
          <t>DIA</t>
        </is>
      </c>
      <c r="D979" s="6" t="inlineStr">
        <is>
          <t>KO</t>
        </is>
      </c>
      <c r="E979" s="6" t="inlineStr">
        <is>
          <t>KO</t>
        </is>
      </c>
      <c r="F979" s="6" t="inlineStr">
        <is>
          <t>-</t>
        </is>
      </c>
      <c r="G979" s="7" t="n">
        <v>56.00127029418945</v>
      </c>
      <c r="H979" s="6">
        <f>P948</f>
        <v/>
      </c>
      <c r="I979" s="9">
        <f>Q948</f>
        <v/>
      </c>
      <c r="J979" s="7">
        <f>I979*G979</f>
        <v/>
      </c>
      <c r="K979" s="8">
        <f>IF($J$993=0,0,J979/$J$993)</f>
        <v/>
      </c>
      <c r="L979" s="6" t="inlineStr">
        <is>
          <t>REJECTED</t>
        </is>
      </c>
      <c r="M979" s="8" t="n">
        <v>0</v>
      </c>
      <c r="N979" s="7">
        <f>M979*$J$993-J979</f>
        <v/>
      </c>
      <c r="O979" s="9">
        <f>IF(G979=0,0,N979/G979)</f>
        <v/>
      </c>
      <c r="P979" s="6">
        <f>IF(M979&gt;0,D979,"")</f>
        <v/>
      </c>
      <c r="Q979" s="9">
        <f>I979+O979</f>
        <v/>
      </c>
      <c r="R979" s="7">
        <f>Q979*G979</f>
        <v/>
      </c>
      <c r="S979" s="8">
        <f>IF($R$993=0,0,R979/$R$993)</f>
        <v/>
      </c>
      <c r="T979" s="8" t="n">
        <v>0</v>
      </c>
      <c r="U979" s="8" t="n">
        <v>0.006701579541197988</v>
      </c>
      <c r="V979" s="6" t="inlineStr">
        <is>
          <t>not selected</t>
        </is>
      </c>
    </row>
    <row r="980">
      <c r="A980" s="6" t="inlineStr">
        <is>
          <t>DJ30</t>
        </is>
      </c>
      <c r="B980" s="6" t="inlineStr">
        <is>
          <t>2023-08-11</t>
        </is>
      </c>
      <c r="C980" s="6" t="inlineStr">
        <is>
          <t>DIA</t>
        </is>
      </c>
      <c r="D980" s="6" t="inlineStr">
        <is>
          <t>MCD</t>
        </is>
      </c>
      <c r="E980" s="6" t="inlineStr">
        <is>
          <t>MCD</t>
        </is>
      </c>
      <c r="F980" s="6" t="inlineStr">
        <is>
          <t>-</t>
        </is>
      </c>
      <c r="G980" s="7" t="n">
        <v>268.9280395507812</v>
      </c>
      <c r="H980" s="6">
        <f>P949</f>
        <v/>
      </c>
      <c r="I980" s="9">
        <f>Q949</f>
        <v/>
      </c>
      <c r="J980" s="7">
        <f>I980*G980</f>
        <v/>
      </c>
      <c r="K980" s="8">
        <f>IF($J$993=0,0,J980/$J$993)</f>
        <v/>
      </c>
      <c r="L980" s="6" t="inlineStr">
        <is>
          <t>REJECTED</t>
        </is>
      </c>
      <c r="M980" s="8" t="n">
        <v>0</v>
      </c>
      <c r="N980" s="7">
        <f>M980*$J$993-J980</f>
        <v/>
      </c>
      <c r="O980" s="9">
        <f>IF(G980=0,0,N980/G980)</f>
        <v/>
      </c>
      <c r="P980" s="6">
        <f>IF(M980&gt;0,D980,"")</f>
        <v/>
      </c>
      <c r="Q980" s="9">
        <f>I980+O980</f>
        <v/>
      </c>
      <c r="R980" s="7">
        <f>Q980*G980</f>
        <v/>
      </c>
      <c r="S980" s="8">
        <f>IF($R$993=0,0,R980/$R$993)</f>
        <v/>
      </c>
      <c r="T980" s="8" t="n">
        <v>0</v>
      </c>
      <c r="U980" s="8" t="n">
        <v>0.006701579541197988</v>
      </c>
      <c r="V980" s="6" t="inlineStr">
        <is>
          <t>not selected</t>
        </is>
      </c>
    </row>
    <row r="981">
      <c r="A981" s="6" t="inlineStr">
        <is>
          <t>DJ30</t>
        </is>
      </c>
      <c r="B981" s="6" t="inlineStr">
        <is>
          <t>2023-08-11</t>
        </is>
      </c>
      <c r="C981" s="6" t="inlineStr">
        <is>
          <t>DIA</t>
        </is>
      </c>
      <c r="D981" s="6" t="inlineStr">
        <is>
          <t>MMM</t>
        </is>
      </c>
      <c r="E981" s="6" t="inlineStr">
        <is>
          <t>MMM</t>
        </is>
      </c>
      <c r="F981" s="6" t="inlineStr">
        <is>
          <t>-</t>
        </is>
      </c>
      <c r="G981" s="7" t="n">
        <v>79.66336059570312</v>
      </c>
      <c r="H981" s="6">
        <f>P950</f>
        <v/>
      </c>
      <c r="I981" s="9">
        <f>Q950</f>
        <v/>
      </c>
      <c r="J981" s="7">
        <f>I981*G981</f>
        <v/>
      </c>
      <c r="K981" s="8">
        <f>IF($J$993=0,0,J981/$J$993)</f>
        <v/>
      </c>
      <c r="L981" s="6" t="inlineStr">
        <is>
          <t>REJECTED</t>
        </is>
      </c>
      <c r="M981" s="8" t="n">
        <v>0</v>
      </c>
      <c r="N981" s="7">
        <f>M981*$J$993-J981</f>
        <v/>
      </c>
      <c r="O981" s="9">
        <f>IF(G981=0,0,N981/G981)</f>
        <v/>
      </c>
      <c r="P981" s="6">
        <f>IF(M981&gt;0,D981,"")</f>
        <v/>
      </c>
      <c r="Q981" s="9">
        <f>I981+O981</f>
        <v/>
      </c>
      <c r="R981" s="7">
        <f>Q981*G981</f>
        <v/>
      </c>
      <c r="S981" s="8">
        <f>IF($R$993=0,0,R981/$R$993)</f>
        <v/>
      </c>
      <c r="T981" s="8" t="n">
        <v>0</v>
      </c>
      <c r="U981" s="8" t="n">
        <v>0.006701579541197988</v>
      </c>
      <c r="V981" s="6" t="inlineStr">
        <is>
          <t>not selected</t>
        </is>
      </c>
    </row>
    <row r="982">
      <c r="A982" s="6" t="inlineStr">
        <is>
          <t>DJ30</t>
        </is>
      </c>
      <c r="B982" s="6" t="inlineStr">
        <is>
          <t>2023-08-11</t>
        </is>
      </c>
      <c r="C982" s="6" t="inlineStr">
        <is>
          <t>DIA</t>
        </is>
      </c>
      <c r="D982" s="6" t="inlineStr">
        <is>
          <t>MRK</t>
        </is>
      </c>
      <c r="E982" s="6" t="inlineStr">
        <is>
          <t>MRK</t>
        </is>
      </c>
      <c r="F982" s="6" t="inlineStr">
        <is>
          <t>-</t>
        </is>
      </c>
      <c r="G982" s="7" t="n">
        <v>97.95860290527344</v>
      </c>
      <c r="H982" s="6">
        <f>P951</f>
        <v/>
      </c>
      <c r="I982" s="9">
        <f>Q951</f>
        <v/>
      </c>
      <c r="J982" s="7">
        <f>I982*G982</f>
        <v/>
      </c>
      <c r="K982" s="8">
        <f>IF($J$993=0,0,J982/$J$993)</f>
        <v/>
      </c>
      <c r="L982" s="6" t="inlineStr">
        <is>
          <t>REJECTED</t>
        </is>
      </c>
      <c r="M982" s="8" t="n">
        <v>0</v>
      </c>
      <c r="N982" s="7">
        <f>M982*$J$993-J982</f>
        <v/>
      </c>
      <c r="O982" s="9">
        <f>IF(G982=0,0,N982/G982)</f>
        <v/>
      </c>
      <c r="P982" s="6">
        <f>IF(M982&gt;0,D982,"")</f>
        <v/>
      </c>
      <c r="Q982" s="9">
        <f>I982+O982</f>
        <v/>
      </c>
      <c r="R982" s="7">
        <f>Q982*G982</f>
        <v/>
      </c>
      <c r="S982" s="8">
        <f>IF($R$993=0,0,R982/$R$993)</f>
        <v/>
      </c>
      <c r="T982" s="8" t="n">
        <v>0</v>
      </c>
      <c r="U982" s="8" t="n">
        <v>0.006701579541197988</v>
      </c>
      <c r="V982" s="6" t="inlineStr">
        <is>
          <t>not selected</t>
        </is>
      </c>
    </row>
    <row r="983">
      <c r="A983" s="6" t="inlineStr">
        <is>
          <t>DJ30</t>
        </is>
      </c>
      <c r="B983" s="6" t="inlineStr">
        <is>
          <t>2023-08-11</t>
        </is>
      </c>
      <c r="C983" s="6" t="inlineStr">
        <is>
          <t>DIA</t>
        </is>
      </c>
      <c r="D983" s="6" t="inlineStr">
        <is>
          <t>MSFT</t>
        </is>
      </c>
      <c r="E983" s="6" t="inlineStr">
        <is>
          <t>MSFT</t>
        </is>
      </c>
      <c r="F983" s="6" t="inlineStr">
        <is>
          <t>-</t>
        </is>
      </c>
      <c r="G983" s="7" t="n">
        <v>313.590087890625</v>
      </c>
      <c r="H983" s="6">
        <f>P952</f>
        <v/>
      </c>
      <c r="I983" s="9">
        <f>Q952</f>
        <v/>
      </c>
      <c r="J983" s="7">
        <f>I983*G983</f>
        <v/>
      </c>
      <c r="K983" s="8">
        <f>IF($J$993=0,0,J983/$J$993)</f>
        <v/>
      </c>
      <c r="L983" s="6" t="inlineStr">
        <is>
          <t>REJECTED</t>
        </is>
      </c>
      <c r="M983" s="8" t="n">
        <v>0</v>
      </c>
      <c r="N983" s="7">
        <f>M983*$J$993-J983</f>
        <v/>
      </c>
      <c r="O983" s="9">
        <f>IF(G983=0,0,N983/G983)</f>
        <v/>
      </c>
      <c r="P983" s="6">
        <f>IF(M983&gt;0,D983,"")</f>
        <v/>
      </c>
      <c r="Q983" s="9">
        <f>I983+O983</f>
        <v/>
      </c>
      <c r="R983" s="7">
        <f>Q983*G983</f>
        <v/>
      </c>
      <c r="S983" s="8">
        <f>IF($R$993=0,0,R983/$R$993)</f>
        <v/>
      </c>
      <c r="T983" s="8" t="n">
        <v>0</v>
      </c>
      <c r="U983" s="8" t="n">
        <v>0.006701579541197988</v>
      </c>
      <c r="V983" s="6" t="inlineStr">
        <is>
          <t>not selected</t>
        </is>
      </c>
    </row>
    <row r="984">
      <c r="A984" s="6" t="inlineStr">
        <is>
          <t>DJ30</t>
        </is>
      </c>
      <c r="B984" s="6" t="inlineStr">
        <is>
          <t>2023-08-11</t>
        </is>
      </c>
      <c r="C984" s="6" t="inlineStr">
        <is>
          <t>DIA</t>
        </is>
      </c>
      <c r="D984" s="6" t="inlineStr">
        <is>
          <t>NKE</t>
        </is>
      </c>
      <c r="E984" s="6" t="inlineStr">
        <is>
          <t>NKE</t>
        </is>
      </c>
      <c r="F984" s="6" t="inlineStr">
        <is>
          <t>-</t>
        </is>
      </c>
      <c r="G984" s="7" t="n">
        <v>101.5450820922852</v>
      </c>
      <c r="H984" s="6">
        <f>P953</f>
        <v/>
      </c>
      <c r="I984" s="9">
        <f>Q953</f>
        <v/>
      </c>
      <c r="J984" s="7">
        <f>I984*G984</f>
        <v/>
      </c>
      <c r="K984" s="8">
        <f>IF($J$993=0,0,J984/$J$993)</f>
        <v/>
      </c>
      <c r="L984" s="6" t="inlineStr">
        <is>
          <t>REJECTED</t>
        </is>
      </c>
      <c r="M984" s="8" t="n">
        <v>0</v>
      </c>
      <c r="N984" s="7">
        <f>M984*$J$993-J984</f>
        <v/>
      </c>
      <c r="O984" s="9">
        <f>IF(G984=0,0,N984/G984)</f>
        <v/>
      </c>
      <c r="P984" s="6">
        <f>IF(M984&gt;0,D984,"")</f>
        <v/>
      </c>
      <c r="Q984" s="9">
        <f>I984+O984</f>
        <v/>
      </c>
      <c r="R984" s="7">
        <f>Q984*G984</f>
        <v/>
      </c>
      <c r="S984" s="8">
        <f>IF($R$993=0,0,R984/$R$993)</f>
        <v/>
      </c>
      <c r="T984" s="8" t="n">
        <v>0</v>
      </c>
      <c r="U984" s="8" t="n">
        <v>0.006701579541197988</v>
      </c>
      <c r="V984" s="6" t="inlineStr">
        <is>
          <t>not selected</t>
        </is>
      </c>
    </row>
    <row r="985">
      <c r="A985" s="6" t="inlineStr">
        <is>
          <t>DJ30</t>
        </is>
      </c>
      <c r="B985" s="6" t="inlineStr">
        <is>
          <t>2023-08-11</t>
        </is>
      </c>
      <c r="C985" s="6" t="inlineStr">
        <is>
          <t>DIA</t>
        </is>
      </c>
      <c r="D985" s="6" t="inlineStr">
        <is>
          <t>NVDA</t>
        </is>
      </c>
      <c r="E985" s="6" t="inlineStr">
        <is>
          <t>NVDA</t>
        </is>
      </c>
      <c r="F985" s="6" t="inlineStr">
        <is>
          <t>-</t>
        </is>
      </c>
      <c r="G985" s="7" t="n">
        <v>40.77556610107422</v>
      </c>
      <c r="H985" s="6">
        <f>P954</f>
        <v/>
      </c>
      <c r="I985" s="9">
        <f>Q954</f>
        <v/>
      </c>
      <c r="J985" s="7">
        <f>I985*G985</f>
        <v/>
      </c>
      <c r="K985" s="8">
        <f>IF($J$993=0,0,J985/$J$993)</f>
        <v/>
      </c>
      <c r="L985" s="6" t="inlineStr">
        <is>
          <t>REJECTED</t>
        </is>
      </c>
      <c r="M985" s="8" t="n">
        <v>0</v>
      </c>
      <c r="N985" s="7">
        <f>M985*$J$993-J985</f>
        <v/>
      </c>
      <c r="O985" s="9">
        <f>IF(G985=0,0,N985/G985)</f>
        <v/>
      </c>
      <c r="P985" s="6">
        <f>IF(M985&gt;0,D985,"")</f>
        <v/>
      </c>
      <c r="Q985" s="9">
        <f>I985+O985</f>
        <v/>
      </c>
      <c r="R985" s="7">
        <f>Q985*G985</f>
        <v/>
      </c>
      <c r="S985" s="8">
        <f>IF($R$993=0,0,R985/$R$993)</f>
        <v/>
      </c>
      <c r="T985" s="8" t="n">
        <v>0</v>
      </c>
      <c r="U985" s="8" t="n">
        <v>0.006701579541197988</v>
      </c>
      <c r="V985" s="6" t="inlineStr">
        <is>
          <t>not selected</t>
        </is>
      </c>
    </row>
    <row r="986">
      <c r="A986" s="6" t="inlineStr">
        <is>
          <t>DJ30</t>
        </is>
      </c>
      <c r="B986" s="6" t="inlineStr">
        <is>
          <t>2023-08-11</t>
        </is>
      </c>
      <c r="C986" s="6" t="inlineStr">
        <is>
          <t>DIA</t>
        </is>
      </c>
      <c r="D986" s="6" t="inlineStr">
        <is>
          <t>PG</t>
        </is>
      </c>
      <c r="E986" s="6" t="inlineStr">
        <is>
          <t>PG</t>
        </is>
      </c>
      <c r="F986" s="6" t="inlineStr">
        <is>
          <t>-</t>
        </is>
      </c>
      <c r="G986" s="7" t="n">
        <v>146.1797485351562</v>
      </c>
      <c r="H986" s="6">
        <f>P955</f>
        <v/>
      </c>
      <c r="I986" s="9">
        <f>Q955</f>
        <v/>
      </c>
      <c r="J986" s="7">
        <f>I986*G986</f>
        <v/>
      </c>
      <c r="K986" s="8">
        <f>IF($J$993=0,0,J986/$J$993)</f>
        <v/>
      </c>
      <c r="L986" s="6" t="inlineStr">
        <is>
          <t>REJECTED</t>
        </is>
      </c>
      <c r="M986" s="8" t="n">
        <v>0</v>
      </c>
      <c r="N986" s="7">
        <f>M986*$J$993-J986</f>
        <v/>
      </c>
      <c r="O986" s="9">
        <f>IF(G986=0,0,N986/G986)</f>
        <v/>
      </c>
      <c r="P986" s="6">
        <f>IF(M986&gt;0,D986,"")</f>
        <v/>
      </c>
      <c r="Q986" s="9">
        <f>I986+O986</f>
        <v/>
      </c>
      <c r="R986" s="7">
        <f>Q986*G986</f>
        <v/>
      </c>
      <c r="S986" s="8">
        <f>IF($R$993=0,0,R986/$R$993)</f>
        <v/>
      </c>
      <c r="T986" s="8" t="n">
        <v>0</v>
      </c>
      <c r="U986" s="8" t="n">
        <v>0.006701579541197988</v>
      </c>
      <c r="V986" s="6" t="inlineStr">
        <is>
          <t>not selected</t>
        </is>
      </c>
    </row>
    <row r="987">
      <c r="A987" s="6" t="inlineStr">
        <is>
          <t>DJ30</t>
        </is>
      </c>
      <c r="B987" s="6" t="inlineStr">
        <is>
          <t>2023-08-11</t>
        </is>
      </c>
      <c r="C987" s="6" t="inlineStr">
        <is>
          <t>DIA</t>
        </is>
      </c>
      <c r="D987" s="6" t="inlineStr">
        <is>
          <t>SHW</t>
        </is>
      </c>
      <c r="E987" s="6" t="inlineStr">
        <is>
          <t>SHW</t>
        </is>
      </c>
      <c r="F987" s="6" t="inlineStr">
        <is>
          <t>-</t>
        </is>
      </c>
      <c r="G987" s="7" t="n">
        <v>266.5569763183594</v>
      </c>
      <c r="H987" s="6">
        <f>P956</f>
        <v/>
      </c>
      <c r="I987" s="9">
        <f>Q956</f>
        <v/>
      </c>
      <c r="J987" s="7">
        <f>I987*G987</f>
        <v/>
      </c>
      <c r="K987" s="8">
        <f>IF($J$993=0,0,J987/$J$993)</f>
        <v/>
      </c>
      <c r="L987" s="6" t="inlineStr">
        <is>
          <t>REJECTED</t>
        </is>
      </c>
      <c r="M987" s="8" t="n">
        <v>0</v>
      </c>
      <c r="N987" s="7">
        <f>M987*$J$993-J987</f>
        <v/>
      </c>
      <c r="O987" s="9">
        <f>IF(G987=0,0,N987/G987)</f>
        <v/>
      </c>
      <c r="P987" s="6">
        <f>IF(M987&gt;0,D987,"")</f>
        <v/>
      </c>
      <c r="Q987" s="9">
        <f>I987+O987</f>
        <v/>
      </c>
      <c r="R987" s="7">
        <f>Q987*G987</f>
        <v/>
      </c>
      <c r="S987" s="8">
        <f>IF($R$993=0,0,R987/$R$993)</f>
        <v/>
      </c>
      <c r="T987" s="8" t="n">
        <v>0</v>
      </c>
      <c r="U987" s="8" t="n">
        <v>0.006701579541197988</v>
      </c>
      <c r="V987" s="6" t="inlineStr">
        <is>
          <t>not selected</t>
        </is>
      </c>
    </row>
    <row r="988">
      <c r="A988" s="6" t="inlineStr">
        <is>
          <t>DJ30</t>
        </is>
      </c>
      <c r="B988" s="6" t="inlineStr">
        <is>
          <t>2023-08-11</t>
        </is>
      </c>
      <c r="C988" s="6" t="inlineStr">
        <is>
          <t>DIA</t>
        </is>
      </c>
      <c r="D988" s="6" t="inlineStr">
        <is>
          <t>TRV</t>
        </is>
      </c>
      <c r="E988" s="6" t="inlineStr">
        <is>
          <t>TRV</t>
        </is>
      </c>
      <c r="F988" s="6" t="inlineStr">
        <is>
          <t>-</t>
        </is>
      </c>
      <c r="G988" s="7" t="n">
        <v>158.1309509277344</v>
      </c>
      <c r="H988" s="6">
        <f>P957</f>
        <v/>
      </c>
      <c r="I988" s="9">
        <f>Q957</f>
        <v/>
      </c>
      <c r="J988" s="7">
        <f>I988*G988</f>
        <v/>
      </c>
      <c r="K988" s="8">
        <f>IF($J$993=0,0,J988/$J$993)</f>
        <v/>
      </c>
      <c r="L988" s="6" t="inlineStr">
        <is>
          <t>REJECTED</t>
        </is>
      </c>
      <c r="M988" s="8" t="n">
        <v>0</v>
      </c>
      <c r="N988" s="7">
        <f>M988*$J$993-J988</f>
        <v/>
      </c>
      <c r="O988" s="9">
        <f>IF(G988=0,0,N988/G988)</f>
        <v/>
      </c>
      <c r="P988" s="6">
        <f>IF(M988&gt;0,D988,"")</f>
        <v/>
      </c>
      <c r="Q988" s="9">
        <f>I988+O988</f>
        <v/>
      </c>
      <c r="R988" s="7">
        <f>Q988*G988</f>
        <v/>
      </c>
      <c r="S988" s="8">
        <f>IF($R$993=0,0,R988/$R$993)</f>
        <v/>
      </c>
      <c r="T988" s="8" t="n">
        <v>0</v>
      </c>
      <c r="U988" s="8" t="n">
        <v>0.006701579541197988</v>
      </c>
      <c r="V988" s="6" t="inlineStr">
        <is>
          <t>not selected</t>
        </is>
      </c>
    </row>
    <row r="989">
      <c r="A989" s="6" t="inlineStr">
        <is>
          <t>DJ30</t>
        </is>
      </c>
      <c r="B989" s="6" t="inlineStr">
        <is>
          <t>2023-08-11</t>
        </is>
      </c>
      <c r="C989" s="6" t="inlineStr">
        <is>
          <t>DIA</t>
        </is>
      </c>
      <c r="D989" s="6" t="inlineStr">
        <is>
          <t>UNH</t>
        </is>
      </c>
      <c r="E989" s="6" t="inlineStr">
        <is>
          <t>UNH</t>
        </is>
      </c>
      <c r="F989" s="6" t="inlineStr">
        <is>
          <t>-</t>
        </is>
      </c>
      <c r="G989" s="7" t="n">
        <v>478.1416015625</v>
      </c>
      <c r="H989" s="6">
        <f>P958</f>
        <v/>
      </c>
      <c r="I989" s="9">
        <f>Q958</f>
        <v/>
      </c>
      <c r="J989" s="7">
        <f>I989*G989</f>
        <v/>
      </c>
      <c r="K989" s="8">
        <f>IF($J$993=0,0,J989/$J$993)</f>
        <v/>
      </c>
      <c r="L989" s="6" t="inlineStr">
        <is>
          <t>REJECTED</t>
        </is>
      </c>
      <c r="M989" s="8" t="n">
        <v>0</v>
      </c>
      <c r="N989" s="7">
        <f>M989*$J$993-J989</f>
        <v/>
      </c>
      <c r="O989" s="9">
        <f>IF(G989=0,0,N989/G989)</f>
        <v/>
      </c>
      <c r="P989" s="6">
        <f>IF(M989&gt;0,D989,"")</f>
        <v/>
      </c>
      <c r="Q989" s="9">
        <f>I989+O989</f>
        <v/>
      </c>
      <c r="R989" s="7">
        <f>Q989*G989</f>
        <v/>
      </c>
      <c r="S989" s="8">
        <f>IF($R$993=0,0,R989/$R$993)</f>
        <v/>
      </c>
      <c r="T989" s="8" t="n">
        <v>0</v>
      </c>
      <c r="U989" s="8" t="n">
        <v>0.006701579541197988</v>
      </c>
      <c r="V989" s="6" t="inlineStr">
        <is>
          <t>not selected</t>
        </is>
      </c>
    </row>
    <row r="990">
      <c r="A990" s="6" t="inlineStr">
        <is>
          <t>DJ30</t>
        </is>
      </c>
      <c r="B990" s="6" t="inlineStr">
        <is>
          <t>2023-08-11</t>
        </is>
      </c>
      <c r="C990" s="6" t="inlineStr">
        <is>
          <t>DIA</t>
        </is>
      </c>
      <c r="D990" s="6" t="inlineStr">
        <is>
          <t>V</t>
        </is>
      </c>
      <c r="E990" s="6" t="inlineStr">
        <is>
          <t>V</t>
        </is>
      </c>
      <c r="F990" s="6" t="inlineStr">
        <is>
          <t>-</t>
        </is>
      </c>
      <c r="G990" s="7" t="n">
        <v>235.0635528564453</v>
      </c>
      <c r="H990" s="6">
        <f>P959</f>
        <v/>
      </c>
      <c r="I990" s="9">
        <f>Q959</f>
        <v/>
      </c>
      <c r="J990" s="7">
        <f>I990*G990</f>
        <v/>
      </c>
      <c r="K990" s="8">
        <f>IF($J$993=0,0,J990/$J$993)</f>
        <v/>
      </c>
      <c r="L990" s="6" t="inlineStr">
        <is>
          <t>REJECTED</t>
        </is>
      </c>
      <c r="M990" s="8" t="n">
        <v>0</v>
      </c>
      <c r="N990" s="7">
        <f>M990*$J$993-J990</f>
        <v/>
      </c>
      <c r="O990" s="9">
        <f>IF(G990=0,0,N990/G990)</f>
        <v/>
      </c>
      <c r="P990" s="6">
        <f>IF(M990&gt;0,D990,"")</f>
        <v/>
      </c>
      <c r="Q990" s="9">
        <f>I990+O990</f>
        <v/>
      </c>
      <c r="R990" s="7">
        <f>Q990*G990</f>
        <v/>
      </c>
      <c r="S990" s="8">
        <f>IF($R$993=0,0,R990/$R$993)</f>
        <v/>
      </c>
      <c r="T990" s="8" t="n">
        <v>0</v>
      </c>
      <c r="U990" s="8" t="n">
        <v>0.006701579541197988</v>
      </c>
      <c r="V990" s="6" t="inlineStr">
        <is>
          <t>not selected</t>
        </is>
      </c>
    </row>
    <row r="991">
      <c r="A991" s="6" t="inlineStr">
        <is>
          <t>DJ30</t>
        </is>
      </c>
      <c r="B991" s="6" t="inlineStr">
        <is>
          <t>2023-08-11</t>
        </is>
      </c>
      <c r="C991" s="6" t="inlineStr">
        <is>
          <t>DIA</t>
        </is>
      </c>
      <c r="D991" s="6" t="inlineStr">
        <is>
          <t>VZ</t>
        </is>
      </c>
      <c r="E991" s="6" t="inlineStr">
        <is>
          <t>VZ</t>
        </is>
      </c>
      <c r="F991" s="6" t="inlineStr">
        <is>
          <t>-</t>
        </is>
      </c>
      <c r="G991" s="7" t="n">
        <v>27.74389266967773</v>
      </c>
      <c r="H991" s="6">
        <f>P960</f>
        <v/>
      </c>
      <c r="I991" s="9">
        <f>Q960</f>
        <v/>
      </c>
      <c r="J991" s="7">
        <f>I991*G991</f>
        <v/>
      </c>
      <c r="K991" s="8">
        <f>IF($J$993=0,0,J991/$J$993)</f>
        <v/>
      </c>
      <c r="L991" s="6" t="inlineStr">
        <is>
          <t>REJECTED</t>
        </is>
      </c>
      <c r="M991" s="8" t="n">
        <v>0</v>
      </c>
      <c r="N991" s="7">
        <f>M991*$J$993-J991</f>
        <v/>
      </c>
      <c r="O991" s="9">
        <f>IF(G991=0,0,N991/G991)</f>
        <v/>
      </c>
      <c r="P991" s="6">
        <f>IF(M991&gt;0,D991,"")</f>
        <v/>
      </c>
      <c r="Q991" s="9">
        <f>I991+O991</f>
        <v/>
      </c>
      <c r="R991" s="7">
        <f>Q991*G991</f>
        <v/>
      </c>
      <c r="S991" s="8">
        <f>IF($R$993=0,0,R991/$R$993)</f>
        <v/>
      </c>
      <c r="T991" s="8" t="n">
        <v>0</v>
      </c>
      <c r="U991" s="8" t="n">
        <v>0.006701579541197988</v>
      </c>
      <c r="V991" s="6" t="inlineStr">
        <is>
          <t>not selected</t>
        </is>
      </c>
    </row>
    <row r="992">
      <c r="A992" s="6" t="inlineStr">
        <is>
          <t>DJ30</t>
        </is>
      </c>
      <c r="B992" s="6" t="inlineStr">
        <is>
          <t>2023-08-11</t>
        </is>
      </c>
      <c r="C992" s="6" t="inlineStr">
        <is>
          <t>DIA</t>
        </is>
      </c>
      <c r="D992" s="6" t="inlineStr">
        <is>
          <t>WMT</t>
        </is>
      </c>
      <c r="E992" s="6" t="inlineStr">
        <is>
          <t>WMT</t>
        </is>
      </c>
      <c r="F992" s="6" t="inlineStr">
        <is>
          <t>-</t>
        </is>
      </c>
      <c r="G992" s="7" t="n">
        <v>52.19194412231445</v>
      </c>
      <c r="H992" s="6">
        <f>P961</f>
        <v/>
      </c>
      <c r="I992" s="9">
        <f>Q961</f>
        <v/>
      </c>
      <c r="J992" s="7">
        <f>I992*G992</f>
        <v/>
      </c>
      <c r="K992" s="8">
        <f>IF($J$993=0,0,J992/$J$993)</f>
        <v/>
      </c>
      <c r="L992" s="6" t="inlineStr">
        <is>
          <t>REJECTED</t>
        </is>
      </c>
      <c r="M992" s="8" t="n">
        <v>0</v>
      </c>
      <c r="N992" s="7">
        <f>M992*$J$993-J992</f>
        <v/>
      </c>
      <c r="O992" s="9">
        <f>IF(G992=0,0,N992/G992)</f>
        <v/>
      </c>
      <c r="P992" s="6">
        <f>IF(M992&gt;0,D992,"")</f>
        <v/>
      </c>
      <c r="Q992" s="9">
        <f>I992+O992</f>
        <v/>
      </c>
      <c r="R992" s="7">
        <f>Q992*G992</f>
        <v/>
      </c>
      <c r="S992" s="8">
        <f>IF($R$993=0,0,R992/$R$993)</f>
        <v/>
      </c>
      <c r="T992" s="8" t="n">
        <v>0</v>
      </c>
      <c r="U992" s="8" t="n">
        <v>0.006701579541197988</v>
      </c>
      <c r="V992" s="6" t="inlineStr">
        <is>
          <t>not selected</t>
        </is>
      </c>
    </row>
    <row r="993">
      <c r="A993" s="10" t="inlineStr">
        <is>
          <t>DJ30</t>
        </is>
      </c>
      <c r="B993" s="10" t="inlineStr">
        <is>
          <t>2023-08-11</t>
        </is>
      </c>
      <c r="C993" s="10" t="inlineStr">
        <is>
          <t>DIA</t>
        </is>
      </c>
      <c r="D993" s="10" t="inlineStr">
        <is>
          <t>Tot Portfolio</t>
        </is>
      </c>
      <c r="E993" s="10" t="inlineStr"/>
      <c r="F993" s="10" t="inlineStr"/>
      <c r="G993" s="11" t="inlineStr"/>
      <c r="H993" s="10" t="inlineStr"/>
      <c r="I993" s="12" t="inlineStr"/>
      <c r="J993" s="11">
        <f>SUM(J963:J992)</f>
        <v/>
      </c>
      <c r="K993" s="13">
        <f>SUM(K963:K992)</f>
        <v/>
      </c>
      <c r="L993" s="10" t="inlineStr">
        <is>
          <t>TOTAL</t>
        </is>
      </c>
      <c r="M993" s="13">
        <f>SUM(M963:M992)</f>
        <v/>
      </c>
      <c r="N993" s="11">
        <f>SUM(N963:N992)</f>
        <v/>
      </c>
      <c r="O993" s="12">
        <f>SUM(O963:O992)</f>
        <v/>
      </c>
      <c r="P993" s="10" t="inlineStr"/>
      <c r="Q993" s="12" t="inlineStr"/>
      <c r="R993" s="11">
        <f>SUM(R963:R992)</f>
        <v/>
      </c>
      <c r="S993" s="13">
        <f>SUM(S963:S992)</f>
        <v/>
      </c>
      <c r="T993" s="13" t="n">
        <v>0</v>
      </c>
      <c r="U993" s="13" t="n">
        <v>0.006701579541197988</v>
      </c>
      <c r="V993" s="10" t="inlineStr"/>
    </row>
    <row r="994">
      <c r="A994" s="6" t="inlineStr">
        <is>
          <t>DJ30</t>
        </is>
      </c>
      <c r="B994" s="6" t="inlineStr">
        <is>
          <t>2023-08-18</t>
        </is>
      </c>
      <c r="C994" s="6" t="inlineStr">
        <is>
          <t>DIA</t>
        </is>
      </c>
      <c r="D994" s="6" t="inlineStr">
        <is>
          <t>AAPL</t>
        </is>
      </c>
      <c r="E994" s="6" t="inlineStr">
        <is>
          <t>AAPL</t>
        </is>
      </c>
      <c r="F994" s="6" t="inlineStr">
        <is>
          <t>-</t>
        </is>
      </c>
      <c r="G994" s="7" t="n">
        <v>172.3099670410156</v>
      </c>
      <c r="H994" s="6">
        <f>P963</f>
        <v/>
      </c>
      <c r="I994" s="9">
        <f>Q963</f>
        <v/>
      </c>
      <c r="J994" s="7">
        <f>I994*G994</f>
        <v/>
      </c>
      <c r="K994" s="8">
        <f>IF($J$1024=0,0,J994/$J$1024)</f>
        <v/>
      </c>
      <c r="L994" s="6" t="inlineStr">
        <is>
          <t>REJECTED</t>
        </is>
      </c>
      <c r="M994" s="8" t="n">
        <v>0</v>
      </c>
      <c r="N994" s="7">
        <f>M994*$J$1024-J994</f>
        <v/>
      </c>
      <c r="O994" s="9">
        <f>IF(G994=0,0,N994/G994)</f>
        <v/>
      </c>
      <c r="P994" s="6">
        <f>IF(M994&gt;0,D994,"")</f>
        <v/>
      </c>
      <c r="Q994" s="9">
        <f>I994+O994</f>
        <v/>
      </c>
      <c r="R994" s="7">
        <f>Q994*G994</f>
        <v/>
      </c>
      <c r="S994" s="8">
        <f>IF($R$1024=0,0,R994/$R$1024)</f>
        <v/>
      </c>
      <c r="T994" s="8" t="n">
        <v>0</v>
      </c>
      <c r="U994" s="8" t="n">
        <v>-0.02087535712087718</v>
      </c>
      <c r="V994" s="6" t="inlineStr">
        <is>
          <t>not selected</t>
        </is>
      </c>
    </row>
    <row r="995">
      <c r="A995" s="6" t="inlineStr">
        <is>
          <t>DJ30</t>
        </is>
      </c>
      <c r="B995" s="6" t="inlineStr">
        <is>
          <t>2023-08-18</t>
        </is>
      </c>
      <c r="C995" s="6" t="inlineStr">
        <is>
          <t>DIA</t>
        </is>
      </c>
      <c r="D995" s="6" t="inlineStr">
        <is>
          <t>AMGN</t>
        </is>
      </c>
      <c r="E995" s="6" t="inlineStr">
        <is>
          <t>AMGN</t>
        </is>
      </c>
      <c r="F995" s="6" t="inlineStr">
        <is>
          <t>-</t>
        </is>
      </c>
      <c r="G995" s="7" t="n">
        <v>240.710952758789</v>
      </c>
      <c r="H995" s="6">
        <f>P964</f>
        <v/>
      </c>
      <c r="I995" s="9">
        <f>Q964</f>
        <v/>
      </c>
      <c r="J995" s="7">
        <f>I995*G995</f>
        <v/>
      </c>
      <c r="K995" s="8">
        <f>IF($J$1024=0,0,J995/$J$1024)</f>
        <v/>
      </c>
      <c r="L995" s="6" t="inlineStr">
        <is>
          <t>REJECTED</t>
        </is>
      </c>
      <c r="M995" s="8" t="n">
        <v>0</v>
      </c>
      <c r="N995" s="7">
        <f>M995*$J$1024-J995</f>
        <v/>
      </c>
      <c r="O995" s="9">
        <f>IF(G995=0,0,N995/G995)</f>
        <v/>
      </c>
      <c r="P995" s="6">
        <f>IF(M995&gt;0,D995,"")</f>
        <v/>
      </c>
      <c r="Q995" s="9">
        <f>I995+O995</f>
        <v/>
      </c>
      <c r="R995" s="7">
        <f>Q995*G995</f>
        <v/>
      </c>
      <c r="S995" s="8">
        <f>IF($R$1024=0,0,R995/$R$1024)</f>
        <v/>
      </c>
      <c r="T995" s="8" t="n">
        <v>0</v>
      </c>
      <c r="U995" s="8" t="n">
        <v>-0.02087535712087718</v>
      </c>
      <c r="V995" s="6" t="inlineStr">
        <is>
          <t>not selected</t>
        </is>
      </c>
    </row>
    <row r="996">
      <c r="A996" s="6" t="inlineStr">
        <is>
          <t>DJ30</t>
        </is>
      </c>
      <c r="B996" s="6" t="inlineStr">
        <is>
          <t>2023-08-18</t>
        </is>
      </c>
      <c r="C996" s="6" t="inlineStr">
        <is>
          <t>DIA</t>
        </is>
      </c>
      <c r="D996" s="6" t="inlineStr">
        <is>
          <t>AMZN</t>
        </is>
      </c>
      <c r="E996" s="6" t="inlineStr">
        <is>
          <t>AMZN</t>
        </is>
      </c>
      <c r="F996" s="6" t="inlineStr">
        <is>
          <t>-</t>
        </is>
      </c>
      <c r="G996" s="7" t="n">
        <v>133.2200012207031</v>
      </c>
      <c r="H996" s="6">
        <f>P965</f>
        <v/>
      </c>
      <c r="I996" s="9">
        <f>Q965</f>
        <v/>
      </c>
      <c r="J996" s="7">
        <f>I996*G996</f>
        <v/>
      </c>
      <c r="K996" s="8">
        <f>IF($J$1024=0,0,J996/$J$1024)</f>
        <v/>
      </c>
      <c r="L996" s="6" t="inlineStr">
        <is>
          <t>REJECTED</t>
        </is>
      </c>
      <c r="M996" s="8" t="n">
        <v>0</v>
      </c>
      <c r="N996" s="7">
        <f>M996*$J$1024-J996</f>
        <v/>
      </c>
      <c r="O996" s="9">
        <f>IF(G996=0,0,N996/G996)</f>
        <v/>
      </c>
      <c r="P996" s="6">
        <f>IF(M996&gt;0,D996,"")</f>
        <v/>
      </c>
      <c r="Q996" s="9">
        <f>I996+O996</f>
        <v/>
      </c>
      <c r="R996" s="7">
        <f>Q996*G996</f>
        <v/>
      </c>
      <c r="S996" s="8">
        <f>IF($R$1024=0,0,R996/$R$1024)</f>
        <v/>
      </c>
      <c r="T996" s="8" t="n">
        <v>0</v>
      </c>
      <c r="U996" s="8" t="n">
        <v>-0.02087535712087718</v>
      </c>
      <c r="V996" s="6" t="inlineStr">
        <is>
          <t>not selected</t>
        </is>
      </c>
    </row>
    <row r="997">
      <c r="A997" s="6" t="inlineStr">
        <is>
          <t>DJ30</t>
        </is>
      </c>
      <c r="B997" s="6" t="inlineStr">
        <is>
          <t>2023-08-18</t>
        </is>
      </c>
      <c r="C997" s="6" t="inlineStr">
        <is>
          <t>DIA</t>
        </is>
      </c>
      <c r="D997" s="6" t="inlineStr">
        <is>
          <t>AXP</t>
        </is>
      </c>
      <c r="E997" s="6" t="inlineStr">
        <is>
          <t>AXP</t>
        </is>
      </c>
      <c r="F997" s="6" t="inlineStr">
        <is>
          <t>-</t>
        </is>
      </c>
      <c r="G997" s="7" t="n">
        <v>155.1693267822266</v>
      </c>
      <c r="H997" s="6">
        <f>P966</f>
        <v/>
      </c>
      <c r="I997" s="9">
        <f>Q966</f>
        <v/>
      </c>
      <c r="J997" s="7">
        <f>I997*G997</f>
        <v/>
      </c>
      <c r="K997" s="8">
        <f>IF($J$1024=0,0,J997/$J$1024)</f>
        <v/>
      </c>
      <c r="L997" s="6" t="inlineStr">
        <is>
          <t>REJECTED</t>
        </is>
      </c>
      <c r="M997" s="8" t="n">
        <v>0</v>
      </c>
      <c r="N997" s="7">
        <f>M997*$J$1024-J997</f>
        <v/>
      </c>
      <c r="O997" s="9">
        <f>IF(G997=0,0,N997/G997)</f>
        <v/>
      </c>
      <c r="P997" s="6">
        <f>IF(M997&gt;0,D997,"")</f>
        <v/>
      </c>
      <c r="Q997" s="9">
        <f>I997+O997</f>
        <v/>
      </c>
      <c r="R997" s="7">
        <f>Q997*G997</f>
        <v/>
      </c>
      <c r="S997" s="8">
        <f>IF($R$1024=0,0,R997/$R$1024)</f>
        <v/>
      </c>
      <c r="T997" s="8" t="n">
        <v>0</v>
      </c>
      <c r="U997" s="8" t="n">
        <v>-0.02087535712087718</v>
      </c>
      <c r="V997" s="6" t="inlineStr">
        <is>
          <t>not selected</t>
        </is>
      </c>
    </row>
    <row r="998">
      <c r="A998" s="6" t="inlineStr">
        <is>
          <t>DJ30</t>
        </is>
      </c>
      <c r="B998" s="6" t="inlineStr">
        <is>
          <t>2023-08-18</t>
        </is>
      </c>
      <c r="C998" s="6" t="inlineStr">
        <is>
          <t>DIA</t>
        </is>
      </c>
      <c r="D998" s="6" t="inlineStr">
        <is>
          <t>BA</t>
        </is>
      </c>
      <c r="E998" s="6" t="inlineStr">
        <is>
          <t>BA</t>
        </is>
      </c>
      <c r="F998" s="6" t="inlineStr">
        <is>
          <t>-</t>
        </is>
      </c>
      <c r="G998" s="7" t="n">
        <v>226.6499938964844</v>
      </c>
      <c r="H998" s="6">
        <f>P967</f>
        <v/>
      </c>
      <c r="I998" s="9">
        <f>Q967</f>
        <v/>
      </c>
      <c r="J998" s="7">
        <f>I998*G998</f>
        <v/>
      </c>
      <c r="K998" s="8">
        <f>IF($J$1024=0,0,J998/$J$1024)</f>
        <v/>
      </c>
      <c r="L998" s="6" t="inlineStr">
        <is>
          <t>REJECTED</t>
        </is>
      </c>
      <c r="M998" s="8" t="n">
        <v>0</v>
      </c>
      <c r="N998" s="7">
        <f>M998*$J$1024-J998</f>
        <v/>
      </c>
      <c r="O998" s="9">
        <f>IF(G998=0,0,N998/G998)</f>
        <v/>
      </c>
      <c r="P998" s="6">
        <f>IF(M998&gt;0,D998,"")</f>
        <v/>
      </c>
      <c r="Q998" s="9">
        <f>I998+O998</f>
        <v/>
      </c>
      <c r="R998" s="7">
        <f>Q998*G998</f>
        <v/>
      </c>
      <c r="S998" s="8">
        <f>IF($R$1024=0,0,R998/$R$1024)</f>
        <v/>
      </c>
      <c r="T998" s="8" t="n">
        <v>0</v>
      </c>
      <c r="U998" s="8" t="n">
        <v>-0.02087535712087718</v>
      </c>
      <c r="V998" s="6" t="inlineStr">
        <is>
          <t>not selected</t>
        </is>
      </c>
    </row>
    <row r="999">
      <c r="A999" s="6" t="inlineStr">
        <is>
          <t>DJ30</t>
        </is>
      </c>
      <c r="B999" s="6" t="inlineStr">
        <is>
          <t>2023-08-18</t>
        </is>
      </c>
      <c r="C999" s="6" t="inlineStr">
        <is>
          <t>DIA</t>
        </is>
      </c>
      <c r="D999" s="6" t="inlineStr">
        <is>
          <t>CAT</t>
        </is>
      </c>
      <c r="E999" s="6" t="inlineStr">
        <is>
          <t>CAT</t>
        </is>
      </c>
      <c r="F999" s="6" t="inlineStr">
        <is>
          <t>-</t>
        </is>
      </c>
      <c r="G999" s="7" t="n">
        <v>262.9872131347656</v>
      </c>
      <c r="H999" s="6">
        <f>P968</f>
        <v/>
      </c>
      <c r="I999" s="9">
        <f>Q968</f>
        <v/>
      </c>
      <c r="J999" s="7">
        <f>I999*G999</f>
        <v/>
      </c>
      <c r="K999" s="8">
        <f>IF($J$1024=0,0,J999/$J$1024)</f>
        <v/>
      </c>
      <c r="L999" s="6" t="inlineStr">
        <is>
          <t>REJECTED</t>
        </is>
      </c>
      <c r="M999" s="8" t="n">
        <v>0</v>
      </c>
      <c r="N999" s="7">
        <f>M999*$J$1024-J999</f>
        <v/>
      </c>
      <c r="O999" s="9">
        <f>IF(G999=0,0,N999/G999)</f>
        <v/>
      </c>
      <c r="P999" s="6">
        <f>IF(M999&gt;0,D999,"")</f>
        <v/>
      </c>
      <c r="Q999" s="9">
        <f>I999+O999</f>
        <v/>
      </c>
      <c r="R999" s="7">
        <f>Q999*G999</f>
        <v/>
      </c>
      <c r="S999" s="8">
        <f>IF($R$1024=0,0,R999/$R$1024)</f>
        <v/>
      </c>
      <c r="T999" s="8" t="n">
        <v>0</v>
      </c>
      <c r="U999" s="8" t="n">
        <v>-0.02087535712087718</v>
      </c>
      <c r="V999" s="6" t="inlineStr">
        <is>
          <t>not selected</t>
        </is>
      </c>
    </row>
    <row r="1000">
      <c r="A1000" s="6" t="inlineStr">
        <is>
          <t>DJ30</t>
        </is>
      </c>
      <c r="B1000" s="6" t="inlineStr">
        <is>
          <t>2023-08-18</t>
        </is>
      </c>
      <c r="C1000" s="6" t="inlineStr">
        <is>
          <t>DIA</t>
        </is>
      </c>
      <c r="D1000" s="6" t="inlineStr">
        <is>
          <t>CRM</t>
        </is>
      </c>
      <c r="E1000" s="6" t="inlineStr">
        <is>
          <t>CRM</t>
        </is>
      </c>
      <c r="F1000" s="6" t="inlineStr">
        <is>
          <t>-</t>
        </is>
      </c>
      <c r="G1000" s="7" t="n">
        <v>201.3466033935547</v>
      </c>
      <c r="H1000" s="6">
        <f>P969</f>
        <v/>
      </c>
      <c r="I1000" s="9">
        <f>Q969</f>
        <v/>
      </c>
      <c r="J1000" s="7">
        <f>I1000*G1000</f>
        <v/>
      </c>
      <c r="K1000" s="8">
        <f>IF($J$1024=0,0,J1000/$J$1024)</f>
        <v/>
      </c>
      <c r="L1000" s="6" t="inlineStr">
        <is>
          <t>REJECTED</t>
        </is>
      </c>
      <c r="M1000" s="8" t="n">
        <v>0</v>
      </c>
      <c r="N1000" s="7">
        <f>M1000*$J$1024-J1000</f>
        <v/>
      </c>
      <c r="O1000" s="9">
        <f>IF(G1000=0,0,N1000/G1000)</f>
        <v/>
      </c>
      <c r="P1000" s="6">
        <f>IF(M1000&gt;0,D1000,"")</f>
        <v/>
      </c>
      <c r="Q1000" s="9">
        <f>I1000+O1000</f>
        <v/>
      </c>
      <c r="R1000" s="7">
        <f>Q1000*G1000</f>
        <v/>
      </c>
      <c r="S1000" s="8">
        <f>IF($R$1024=0,0,R1000/$R$1024)</f>
        <v/>
      </c>
      <c r="T1000" s="8" t="n">
        <v>0</v>
      </c>
      <c r="U1000" s="8" t="n">
        <v>-0.02087535712087718</v>
      </c>
      <c r="V1000" s="6" t="inlineStr">
        <is>
          <t>not selected</t>
        </is>
      </c>
    </row>
    <row r="1001">
      <c r="A1001" s="6" t="inlineStr">
        <is>
          <t>DJ30</t>
        </is>
      </c>
      <c r="B1001" s="6" t="inlineStr">
        <is>
          <t>2023-08-18</t>
        </is>
      </c>
      <c r="C1001" s="6" t="inlineStr">
        <is>
          <t>DIA</t>
        </is>
      </c>
      <c r="D1001" s="6" t="inlineStr">
        <is>
          <t>CSCO</t>
        </is>
      </c>
      <c r="E1001" s="6" t="inlineStr">
        <is>
          <t>CSCO</t>
        </is>
      </c>
      <c r="F1001" s="6" t="inlineStr">
        <is>
          <t>-</t>
        </is>
      </c>
      <c r="G1001" s="7" t="n">
        <v>51.04104614257812</v>
      </c>
      <c r="H1001" s="6">
        <f>P970</f>
        <v/>
      </c>
      <c r="I1001" s="9">
        <f>Q970</f>
        <v/>
      </c>
      <c r="J1001" s="7">
        <f>I1001*G1001</f>
        <v/>
      </c>
      <c r="K1001" s="8">
        <f>IF($J$1024=0,0,J1001/$J$1024)</f>
        <v/>
      </c>
      <c r="L1001" s="6" t="inlineStr">
        <is>
          <t>REJECTED</t>
        </is>
      </c>
      <c r="M1001" s="8" t="n">
        <v>0</v>
      </c>
      <c r="N1001" s="7">
        <f>M1001*$J$1024-J1001</f>
        <v/>
      </c>
      <c r="O1001" s="9">
        <f>IF(G1001=0,0,N1001/G1001)</f>
        <v/>
      </c>
      <c r="P1001" s="6">
        <f>IF(M1001&gt;0,D1001,"")</f>
        <v/>
      </c>
      <c r="Q1001" s="9">
        <f>I1001+O1001</f>
        <v/>
      </c>
      <c r="R1001" s="7">
        <f>Q1001*G1001</f>
        <v/>
      </c>
      <c r="S1001" s="8">
        <f>IF($R$1024=0,0,R1001/$R$1024)</f>
        <v/>
      </c>
      <c r="T1001" s="8" t="n">
        <v>0</v>
      </c>
      <c r="U1001" s="8" t="n">
        <v>-0.02087535712087718</v>
      </c>
      <c r="V1001" s="6" t="inlineStr">
        <is>
          <t>not selected</t>
        </is>
      </c>
    </row>
    <row r="1002">
      <c r="A1002" s="6" t="inlineStr">
        <is>
          <t>DJ30</t>
        </is>
      </c>
      <c r="B1002" s="6" t="inlineStr">
        <is>
          <t>2023-08-18</t>
        </is>
      </c>
      <c r="C1002" s="6" t="inlineStr">
        <is>
          <t>DIA</t>
        </is>
      </c>
      <c r="D1002" s="6" t="inlineStr">
        <is>
          <t>CVX</t>
        </is>
      </c>
      <c r="E1002" s="6" t="inlineStr">
        <is>
          <t>CVX</t>
        </is>
      </c>
      <c r="F1002" s="6" t="inlineStr">
        <is>
          <t>-</t>
        </is>
      </c>
      <c r="G1002" s="7" t="n">
        <v>143.1666717529297</v>
      </c>
      <c r="H1002" s="6">
        <f>P971</f>
        <v/>
      </c>
      <c r="I1002" s="9">
        <f>Q971</f>
        <v/>
      </c>
      <c r="J1002" s="7">
        <f>I1002*G1002</f>
        <v/>
      </c>
      <c r="K1002" s="8">
        <f>IF($J$1024=0,0,J1002/$J$1024)</f>
        <v/>
      </c>
      <c r="L1002" s="6" t="inlineStr">
        <is>
          <t>REJECTED</t>
        </is>
      </c>
      <c r="M1002" s="8" t="n">
        <v>0</v>
      </c>
      <c r="N1002" s="7">
        <f>M1002*$J$1024-J1002</f>
        <v/>
      </c>
      <c r="O1002" s="9">
        <f>IF(G1002=0,0,N1002/G1002)</f>
        <v/>
      </c>
      <c r="P1002" s="6">
        <f>IF(M1002&gt;0,D1002,"")</f>
        <v/>
      </c>
      <c r="Q1002" s="9">
        <f>I1002+O1002</f>
        <v/>
      </c>
      <c r="R1002" s="7">
        <f>Q1002*G1002</f>
        <v/>
      </c>
      <c r="S1002" s="8">
        <f>IF($R$1024=0,0,R1002/$R$1024)</f>
        <v/>
      </c>
      <c r="T1002" s="8" t="n">
        <v>0</v>
      </c>
      <c r="U1002" s="8" t="n">
        <v>-0.02087535712087718</v>
      </c>
      <c r="V1002" s="6" t="inlineStr">
        <is>
          <t>not selected</t>
        </is>
      </c>
    </row>
    <row r="1003">
      <c r="A1003" s="6" t="inlineStr">
        <is>
          <t>DJ30</t>
        </is>
      </c>
      <c r="B1003" s="6" t="inlineStr">
        <is>
          <t>2023-08-18</t>
        </is>
      </c>
      <c r="C1003" s="6" t="inlineStr">
        <is>
          <t>DIA</t>
        </is>
      </c>
      <c r="D1003" s="6" t="inlineStr">
        <is>
          <t>DIS</t>
        </is>
      </c>
      <c r="E1003" s="6" t="inlineStr">
        <is>
          <t>DIS</t>
        </is>
      </c>
      <c r="F1003" s="6" t="inlineStr">
        <is>
          <t>-</t>
        </is>
      </c>
      <c r="G1003" s="7" t="n">
        <v>83.98226928710938</v>
      </c>
      <c r="H1003" s="6">
        <f>P972</f>
        <v/>
      </c>
      <c r="I1003" s="9">
        <f>Q972</f>
        <v/>
      </c>
      <c r="J1003" s="7">
        <f>I1003*G1003</f>
        <v/>
      </c>
      <c r="K1003" s="8">
        <f>IF($J$1024=0,0,J1003/$J$1024)</f>
        <v/>
      </c>
      <c r="L1003" s="6" t="inlineStr">
        <is>
          <t>REJECTED</t>
        </is>
      </c>
      <c r="M1003" s="8" t="n">
        <v>0</v>
      </c>
      <c r="N1003" s="7">
        <f>M1003*$J$1024-J1003</f>
        <v/>
      </c>
      <c r="O1003" s="9">
        <f>IF(G1003=0,0,N1003/G1003)</f>
        <v/>
      </c>
      <c r="P1003" s="6">
        <f>IF(M1003&gt;0,D1003,"")</f>
        <v/>
      </c>
      <c r="Q1003" s="9">
        <f>I1003+O1003</f>
        <v/>
      </c>
      <c r="R1003" s="7">
        <f>Q1003*G1003</f>
        <v/>
      </c>
      <c r="S1003" s="8">
        <f>IF($R$1024=0,0,R1003/$R$1024)</f>
        <v/>
      </c>
      <c r="T1003" s="8" t="n">
        <v>0</v>
      </c>
      <c r="U1003" s="8" t="n">
        <v>-0.02087535712087718</v>
      </c>
      <c r="V1003" s="6" t="inlineStr">
        <is>
          <t>not selected</t>
        </is>
      </c>
    </row>
    <row r="1004">
      <c r="A1004" s="6" t="inlineStr">
        <is>
          <t>DJ30</t>
        </is>
      </c>
      <c r="B1004" s="6" t="inlineStr">
        <is>
          <t>2023-08-18</t>
        </is>
      </c>
      <c r="C1004" s="6" t="inlineStr">
        <is>
          <t>DIA</t>
        </is>
      </c>
      <c r="D1004" s="6" t="inlineStr">
        <is>
          <t>GS</t>
        </is>
      </c>
      <c r="E1004" s="6" t="inlineStr">
        <is>
          <t>GS</t>
        </is>
      </c>
      <c r="F1004" s="6" t="inlineStr">
        <is>
          <t>-</t>
        </is>
      </c>
      <c r="G1004" s="7" t="n">
        <v>302.8821105957031</v>
      </c>
      <c r="H1004" s="6">
        <f>P973</f>
        <v/>
      </c>
      <c r="I1004" s="9">
        <f>Q973</f>
        <v/>
      </c>
      <c r="J1004" s="7">
        <f>I1004*G1004</f>
        <v/>
      </c>
      <c r="K1004" s="8">
        <f>IF($J$1024=0,0,J1004/$J$1024)</f>
        <v/>
      </c>
      <c r="L1004" s="6" t="inlineStr">
        <is>
          <t>REJECTED</t>
        </is>
      </c>
      <c r="M1004" s="8" t="n">
        <v>0</v>
      </c>
      <c r="N1004" s="7">
        <f>M1004*$J$1024-J1004</f>
        <v/>
      </c>
      <c r="O1004" s="9">
        <f>IF(G1004=0,0,N1004/G1004)</f>
        <v/>
      </c>
      <c r="P1004" s="6">
        <f>IF(M1004&gt;0,D1004,"")</f>
        <v/>
      </c>
      <c r="Q1004" s="9">
        <f>I1004+O1004</f>
        <v/>
      </c>
      <c r="R1004" s="7">
        <f>Q1004*G1004</f>
        <v/>
      </c>
      <c r="S1004" s="8">
        <f>IF($R$1024=0,0,R1004/$R$1024)</f>
        <v/>
      </c>
      <c r="T1004" s="8" t="n">
        <v>0</v>
      </c>
      <c r="U1004" s="8" t="n">
        <v>-0.02087535712087718</v>
      </c>
      <c r="V1004" s="6" t="inlineStr">
        <is>
          <t>not selected</t>
        </is>
      </c>
    </row>
    <row r="1005">
      <c r="A1005" s="6" t="inlineStr">
        <is>
          <t>DJ30</t>
        </is>
      </c>
      <c r="B1005" s="6" t="inlineStr">
        <is>
          <t>2023-08-18</t>
        </is>
      </c>
      <c r="C1005" s="6" t="inlineStr">
        <is>
          <t>DIA</t>
        </is>
      </c>
      <c r="D1005" s="6" t="inlineStr">
        <is>
          <t>HD</t>
        </is>
      </c>
      <c r="E1005" s="6" t="inlineStr">
        <is>
          <t>HD</t>
        </is>
      </c>
      <c r="F1005" s="6" t="inlineStr">
        <is>
          <t>-</t>
        </is>
      </c>
      <c r="G1005" s="7" t="n">
        <v>303.4064025878906</v>
      </c>
      <c r="H1005" s="6">
        <f>P974</f>
        <v/>
      </c>
      <c r="I1005" s="9">
        <f>Q974</f>
        <v/>
      </c>
      <c r="J1005" s="7">
        <f>I1005*G1005</f>
        <v/>
      </c>
      <c r="K1005" s="8">
        <f>IF($J$1024=0,0,J1005/$J$1024)</f>
        <v/>
      </c>
      <c r="L1005" s="6" t="inlineStr">
        <is>
          <t>REJECTED</t>
        </is>
      </c>
      <c r="M1005" s="8" t="n">
        <v>0</v>
      </c>
      <c r="N1005" s="7">
        <f>M1005*$J$1024-J1005</f>
        <v/>
      </c>
      <c r="O1005" s="9">
        <f>IF(G1005=0,0,N1005/G1005)</f>
        <v/>
      </c>
      <c r="P1005" s="6">
        <f>IF(M1005&gt;0,D1005,"")</f>
        <v/>
      </c>
      <c r="Q1005" s="9">
        <f>I1005+O1005</f>
        <v/>
      </c>
      <c r="R1005" s="7">
        <f>Q1005*G1005</f>
        <v/>
      </c>
      <c r="S1005" s="8">
        <f>IF($R$1024=0,0,R1005/$R$1024)</f>
        <v/>
      </c>
      <c r="T1005" s="8" t="n">
        <v>0</v>
      </c>
      <c r="U1005" s="8" t="n">
        <v>-0.02087535712087718</v>
      </c>
      <c r="V1005" s="6" t="inlineStr">
        <is>
          <t>not selected</t>
        </is>
      </c>
    </row>
    <row r="1006">
      <c r="A1006" s="6" t="inlineStr">
        <is>
          <t>DJ30</t>
        </is>
      </c>
      <c r="B1006" s="6" t="inlineStr">
        <is>
          <t>2023-08-18</t>
        </is>
      </c>
      <c r="C1006" s="6" t="inlineStr">
        <is>
          <t>DIA</t>
        </is>
      </c>
      <c r="D1006" s="6" t="inlineStr">
        <is>
          <t>HON</t>
        </is>
      </c>
      <c r="E1006" s="6" t="inlineStr">
        <is>
          <t>HON</t>
        </is>
      </c>
      <c r="F1006" s="6" t="inlineStr">
        <is>
          <t>-</t>
        </is>
      </c>
      <c r="G1006" s="7" t="n">
        <v>165.7732086181641</v>
      </c>
      <c r="H1006" s="6">
        <f>P975</f>
        <v/>
      </c>
      <c r="I1006" s="9">
        <f>Q975</f>
        <v/>
      </c>
      <c r="J1006" s="7">
        <f>I1006*G1006</f>
        <v/>
      </c>
      <c r="K1006" s="8">
        <f>IF($J$1024=0,0,J1006/$J$1024)</f>
        <v/>
      </c>
      <c r="L1006" s="6" t="inlineStr">
        <is>
          <t>REJECTED</t>
        </is>
      </c>
      <c r="M1006" s="8" t="n">
        <v>0</v>
      </c>
      <c r="N1006" s="7">
        <f>M1006*$J$1024-J1006</f>
        <v/>
      </c>
      <c r="O1006" s="9">
        <f>IF(G1006=0,0,N1006/G1006)</f>
        <v/>
      </c>
      <c r="P1006" s="6">
        <f>IF(M1006&gt;0,D1006,"")</f>
        <v/>
      </c>
      <c r="Q1006" s="9">
        <f>I1006+O1006</f>
        <v/>
      </c>
      <c r="R1006" s="7">
        <f>Q1006*G1006</f>
        <v/>
      </c>
      <c r="S1006" s="8">
        <f>IF($R$1024=0,0,R1006/$R$1024)</f>
        <v/>
      </c>
      <c r="T1006" s="8" t="n">
        <v>0</v>
      </c>
      <c r="U1006" s="8" t="n">
        <v>-0.02087535712087718</v>
      </c>
      <c r="V1006" s="6" t="inlineStr">
        <is>
          <t>not selected</t>
        </is>
      </c>
    </row>
    <row r="1007">
      <c r="A1007" s="6" t="inlineStr">
        <is>
          <t>DJ30</t>
        </is>
      </c>
      <c r="B1007" s="6" t="inlineStr">
        <is>
          <t>2023-08-18</t>
        </is>
      </c>
      <c r="C1007" s="6" t="inlineStr">
        <is>
          <t>DIA</t>
        </is>
      </c>
      <c r="D1007" s="6" t="inlineStr">
        <is>
          <t>IBM</t>
        </is>
      </c>
      <c r="E1007" s="6" t="inlineStr">
        <is>
          <t>IBM</t>
        </is>
      </c>
      <c r="F1007" s="6" t="inlineStr">
        <is>
          <t>-</t>
        </is>
      </c>
      <c r="G1007" s="7" t="n">
        <v>129.8456573486328</v>
      </c>
      <c r="H1007" s="6">
        <f>P976</f>
        <v/>
      </c>
      <c r="I1007" s="9">
        <f>Q976</f>
        <v/>
      </c>
      <c r="J1007" s="7">
        <f>I1007*G1007</f>
        <v/>
      </c>
      <c r="K1007" s="8">
        <f>IF($J$1024=0,0,J1007/$J$1024)</f>
        <v/>
      </c>
      <c r="L1007" s="6" t="inlineStr">
        <is>
          <t>REJECTED</t>
        </is>
      </c>
      <c r="M1007" s="8" t="n">
        <v>0</v>
      </c>
      <c r="N1007" s="7">
        <f>M1007*$J$1024-J1007</f>
        <v/>
      </c>
      <c r="O1007" s="9">
        <f>IF(G1007=0,0,N1007/G1007)</f>
        <v/>
      </c>
      <c r="P1007" s="6">
        <f>IF(M1007&gt;0,D1007,"")</f>
        <v/>
      </c>
      <c r="Q1007" s="9">
        <f>I1007+O1007</f>
        <v/>
      </c>
      <c r="R1007" s="7">
        <f>Q1007*G1007</f>
        <v/>
      </c>
      <c r="S1007" s="8">
        <f>IF($R$1024=0,0,R1007/$R$1024)</f>
        <v/>
      </c>
      <c r="T1007" s="8" t="n">
        <v>0</v>
      </c>
      <c r="U1007" s="8" t="n">
        <v>-0.02087535712087718</v>
      </c>
      <c r="V1007" s="6" t="inlineStr">
        <is>
          <t>not selected</t>
        </is>
      </c>
    </row>
    <row r="1008">
      <c r="A1008" s="6" t="inlineStr">
        <is>
          <t>DJ30</t>
        </is>
      </c>
      <c r="B1008" s="6" t="inlineStr">
        <is>
          <t>2023-08-18</t>
        </is>
      </c>
      <c r="C1008" s="6" t="inlineStr">
        <is>
          <t>DIA</t>
        </is>
      </c>
      <c r="D1008" s="6" t="inlineStr">
        <is>
          <t>JNJ</t>
        </is>
      </c>
      <c r="E1008" s="6" t="inlineStr">
        <is>
          <t>JNJ</t>
        </is>
      </c>
      <c r="F1008" s="6" t="inlineStr">
        <is>
          <t>-</t>
        </is>
      </c>
      <c r="G1008" s="7" t="n">
        <v>158.0280151367188</v>
      </c>
      <c r="H1008" s="6">
        <f>P977</f>
        <v/>
      </c>
      <c r="I1008" s="9">
        <f>Q977</f>
        <v/>
      </c>
      <c r="J1008" s="7">
        <f>I1008*G1008</f>
        <v/>
      </c>
      <c r="K1008" s="8">
        <f>IF($J$1024=0,0,J1008/$J$1024)</f>
        <v/>
      </c>
      <c r="L1008" s="6" t="inlineStr">
        <is>
          <t>REJECTED</t>
        </is>
      </c>
      <c r="M1008" s="8" t="n">
        <v>0</v>
      </c>
      <c r="N1008" s="7">
        <f>M1008*$J$1024-J1008</f>
        <v/>
      </c>
      <c r="O1008" s="9">
        <f>IF(G1008=0,0,N1008/G1008)</f>
        <v/>
      </c>
      <c r="P1008" s="6">
        <f>IF(M1008&gt;0,D1008,"")</f>
        <v/>
      </c>
      <c r="Q1008" s="9">
        <f>I1008+O1008</f>
        <v/>
      </c>
      <c r="R1008" s="7">
        <f>Q1008*G1008</f>
        <v/>
      </c>
      <c r="S1008" s="8">
        <f>IF($R$1024=0,0,R1008/$R$1024)</f>
        <v/>
      </c>
      <c r="T1008" s="8" t="n">
        <v>0</v>
      </c>
      <c r="U1008" s="8" t="n">
        <v>-0.02087535712087718</v>
      </c>
      <c r="V1008" s="6" t="inlineStr">
        <is>
          <t>not selected</t>
        </is>
      </c>
    </row>
    <row r="1009">
      <c r="A1009" s="6" t="inlineStr">
        <is>
          <t>DJ30</t>
        </is>
      </c>
      <c r="B1009" s="6" t="inlineStr">
        <is>
          <t>2023-08-18</t>
        </is>
      </c>
      <c r="C1009" s="6" t="inlineStr">
        <is>
          <t>DIA</t>
        </is>
      </c>
      <c r="D1009" s="6" t="inlineStr">
        <is>
          <t>JPM</t>
        </is>
      </c>
      <c r="E1009" s="6" t="inlineStr">
        <is>
          <t>JPM</t>
        </is>
      </c>
      <c r="F1009" s="6" t="inlineStr">
        <is>
          <t>-</t>
        </is>
      </c>
      <c r="G1009" s="7" t="n">
        <v>140.0838623046875</v>
      </c>
      <c r="H1009" s="6">
        <f>P978</f>
        <v/>
      </c>
      <c r="I1009" s="9">
        <f>Q978</f>
        <v/>
      </c>
      <c r="J1009" s="7">
        <f>I1009*G1009</f>
        <v/>
      </c>
      <c r="K1009" s="8">
        <f>IF($J$1024=0,0,J1009/$J$1024)</f>
        <v/>
      </c>
      <c r="L1009" s="6" t="inlineStr">
        <is>
          <t>REJECTED</t>
        </is>
      </c>
      <c r="M1009" s="8" t="n">
        <v>0</v>
      </c>
      <c r="N1009" s="7">
        <f>M1009*$J$1024-J1009</f>
        <v/>
      </c>
      <c r="O1009" s="9">
        <f>IF(G1009=0,0,N1009/G1009)</f>
        <v/>
      </c>
      <c r="P1009" s="6">
        <f>IF(M1009&gt;0,D1009,"")</f>
        <v/>
      </c>
      <c r="Q1009" s="9">
        <f>I1009+O1009</f>
        <v/>
      </c>
      <c r="R1009" s="7">
        <f>Q1009*G1009</f>
        <v/>
      </c>
      <c r="S1009" s="8">
        <f>IF($R$1024=0,0,R1009/$R$1024)</f>
        <v/>
      </c>
      <c r="T1009" s="8" t="n">
        <v>0</v>
      </c>
      <c r="U1009" s="8" t="n">
        <v>-0.02087535712087718</v>
      </c>
      <c r="V1009" s="6" t="inlineStr">
        <is>
          <t>not selected</t>
        </is>
      </c>
    </row>
    <row r="1010">
      <c r="A1010" s="6" t="inlineStr">
        <is>
          <t>DJ30</t>
        </is>
      </c>
      <c r="B1010" s="6" t="inlineStr">
        <is>
          <t>2023-08-18</t>
        </is>
      </c>
      <c r="C1010" s="6" t="inlineStr">
        <is>
          <t>DIA</t>
        </is>
      </c>
      <c r="D1010" s="6" t="inlineStr">
        <is>
          <t>KO</t>
        </is>
      </c>
      <c r="E1010" s="6" t="inlineStr">
        <is>
          <t>KO</t>
        </is>
      </c>
      <c r="F1010" s="6" t="inlineStr">
        <is>
          <t>-</t>
        </is>
      </c>
      <c r="G1010" s="7" t="n">
        <v>55.79986190795898</v>
      </c>
      <c r="H1010" s="6">
        <f>P979</f>
        <v/>
      </c>
      <c r="I1010" s="9">
        <f>Q979</f>
        <v/>
      </c>
      <c r="J1010" s="7">
        <f>I1010*G1010</f>
        <v/>
      </c>
      <c r="K1010" s="8">
        <f>IF($J$1024=0,0,J1010/$J$1024)</f>
        <v/>
      </c>
      <c r="L1010" s="6" t="inlineStr">
        <is>
          <t>REJECTED</t>
        </is>
      </c>
      <c r="M1010" s="8" t="n">
        <v>0</v>
      </c>
      <c r="N1010" s="7">
        <f>M1010*$J$1024-J1010</f>
        <v/>
      </c>
      <c r="O1010" s="9">
        <f>IF(G1010=0,0,N1010/G1010)</f>
        <v/>
      </c>
      <c r="P1010" s="6">
        <f>IF(M1010&gt;0,D1010,"")</f>
        <v/>
      </c>
      <c r="Q1010" s="9">
        <f>I1010+O1010</f>
        <v/>
      </c>
      <c r="R1010" s="7">
        <f>Q1010*G1010</f>
        <v/>
      </c>
      <c r="S1010" s="8">
        <f>IF($R$1024=0,0,R1010/$R$1024)</f>
        <v/>
      </c>
      <c r="T1010" s="8" t="n">
        <v>0</v>
      </c>
      <c r="U1010" s="8" t="n">
        <v>-0.02087535712087718</v>
      </c>
      <c r="V1010" s="6" t="inlineStr">
        <is>
          <t>not selected</t>
        </is>
      </c>
    </row>
    <row r="1011">
      <c r="A1011" s="6" t="inlineStr">
        <is>
          <t>DJ30</t>
        </is>
      </c>
      <c r="B1011" s="6" t="inlineStr">
        <is>
          <t>2023-08-18</t>
        </is>
      </c>
      <c r="C1011" s="6" t="inlineStr">
        <is>
          <t>DIA</t>
        </is>
      </c>
      <c r="D1011" s="6" t="inlineStr">
        <is>
          <t>MCD</t>
        </is>
      </c>
      <c r="E1011" s="6" t="inlineStr">
        <is>
          <t>MCD</t>
        </is>
      </c>
      <c r="F1011" s="6" t="inlineStr">
        <is>
          <t>-</t>
        </is>
      </c>
      <c r="G1011" s="7" t="n">
        <v>262.5174255371094</v>
      </c>
      <c r="H1011" s="6">
        <f>P980</f>
        <v/>
      </c>
      <c r="I1011" s="9">
        <f>Q980</f>
        <v/>
      </c>
      <c r="J1011" s="7">
        <f>I1011*G1011</f>
        <v/>
      </c>
      <c r="K1011" s="8">
        <f>IF($J$1024=0,0,J1011/$J$1024)</f>
        <v/>
      </c>
      <c r="L1011" s="6" t="inlineStr">
        <is>
          <t>REJECTED</t>
        </is>
      </c>
      <c r="M1011" s="8" t="n">
        <v>0</v>
      </c>
      <c r="N1011" s="7">
        <f>M1011*$J$1024-J1011</f>
        <v/>
      </c>
      <c r="O1011" s="9">
        <f>IF(G1011=0,0,N1011/G1011)</f>
        <v/>
      </c>
      <c r="P1011" s="6">
        <f>IF(M1011&gt;0,D1011,"")</f>
        <v/>
      </c>
      <c r="Q1011" s="9">
        <f>I1011+O1011</f>
        <v/>
      </c>
      <c r="R1011" s="7">
        <f>Q1011*G1011</f>
        <v/>
      </c>
      <c r="S1011" s="8">
        <f>IF($R$1024=0,0,R1011/$R$1024)</f>
        <v/>
      </c>
      <c r="T1011" s="8" t="n">
        <v>0</v>
      </c>
      <c r="U1011" s="8" t="n">
        <v>-0.02087535712087718</v>
      </c>
      <c r="V1011" s="6" t="inlineStr">
        <is>
          <t>not selected</t>
        </is>
      </c>
    </row>
    <row r="1012">
      <c r="A1012" s="6" t="inlineStr">
        <is>
          <t>DJ30</t>
        </is>
      </c>
      <c r="B1012" s="6" t="inlineStr">
        <is>
          <t>2023-08-18</t>
        </is>
      </c>
      <c r="C1012" s="6" t="inlineStr">
        <is>
          <t>DIA</t>
        </is>
      </c>
      <c r="D1012" s="6" t="inlineStr">
        <is>
          <t>MMM</t>
        </is>
      </c>
      <c r="E1012" s="6" t="inlineStr">
        <is>
          <t>MMM</t>
        </is>
      </c>
      <c r="F1012" s="6" t="inlineStr">
        <is>
          <t>-</t>
        </is>
      </c>
      <c r="G1012" s="7" t="n">
        <v>77.34368896484375</v>
      </c>
      <c r="H1012" s="6">
        <f>P981</f>
        <v/>
      </c>
      <c r="I1012" s="9">
        <f>Q981</f>
        <v/>
      </c>
      <c r="J1012" s="7">
        <f>I1012*G1012</f>
        <v/>
      </c>
      <c r="K1012" s="8">
        <f>IF($J$1024=0,0,J1012/$J$1024)</f>
        <v/>
      </c>
      <c r="L1012" s="6" t="inlineStr">
        <is>
          <t>REJECTED</t>
        </is>
      </c>
      <c r="M1012" s="8" t="n">
        <v>0</v>
      </c>
      <c r="N1012" s="7">
        <f>M1012*$J$1024-J1012</f>
        <v/>
      </c>
      <c r="O1012" s="9">
        <f>IF(G1012=0,0,N1012/G1012)</f>
        <v/>
      </c>
      <c r="P1012" s="6">
        <f>IF(M1012&gt;0,D1012,"")</f>
        <v/>
      </c>
      <c r="Q1012" s="9">
        <f>I1012+O1012</f>
        <v/>
      </c>
      <c r="R1012" s="7">
        <f>Q1012*G1012</f>
        <v/>
      </c>
      <c r="S1012" s="8">
        <f>IF($R$1024=0,0,R1012/$R$1024)</f>
        <v/>
      </c>
      <c r="T1012" s="8" t="n">
        <v>0</v>
      </c>
      <c r="U1012" s="8" t="n">
        <v>-0.02087535712087718</v>
      </c>
      <c r="V1012" s="6" t="inlineStr">
        <is>
          <t>not selected</t>
        </is>
      </c>
    </row>
    <row r="1013">
      <c r="A1013" s="6" t="inlineStr">
        <is>
          <t>DJ30</t>
        </is>
      </c>
      <c r="B1013" s="6" t="inlineStr">
        <is>
          <t>2023-08-18</t>
        </is>
      </c>
      <c r="C1013" s="6" t="inlineStr">
        <is>
          <t>DIA</t>
        </is>
      </c>
      <c r="D1013" s="6" t="inlineStr">
        <is>
          <t>MRK</t>
        </is>
      </c>
      <c r="E1013" s="6" t="inlineStr">
        <is>
          <t>MRK</t>
        </is>
      </c>
      <c r="F1013" s="6" t="inlineStr">
        <is>
          <t>-</t>
        </is>
      </c>
      <c r="G1013" s="7" t="n">
        <v>99.56328582763672</v>
      </c>
      <c r="H1013" s="6">
        <f>P982</f>
        <v/>
      </c>
      <c r="I1013" s="9">
        <f>Q982</f>
        <v/>
      </c>
      <c r="J1013" s="7">
        <f>I1013*G1013</f>
        <v/>
      </c>
      <c r="K1013" s="8">
        <f>IF($J$1024=0,0,J1013/$J$1024)</f>
        <v/>
      </c>
      <c r="L1013" s="6" t="inlineStr">
        <is>
          <t>REJECTED</t>
        </is>
      </c>
      <c r="M1013" s="8" t="n">
        <v>0</v>
      </c>
      <c r="N1013" s="7">
        <f>M1013*$J$1024-J1013</f>
        <v/>
      </c>
      <c r="O1013" s="9">
        <f>IF(G1013=0,0,N1013/G1013)</f>
        <v/>
      </c>
      <c r="P1013" s="6">
        <f>IF(M1013&gt;0,D1013,"")</f>
        <v/>
      </c>
      <c r="Q1013" s="9">
        <f>I1013+O1013</f>
        <v/>
      </c>
      <c r="R1013" s="7">
        <f>Q1013*G1013</f>
        <v/>
      </c>
      <c r="S1013" s="8">
        <f>IF($R$1024=0,0,R1013/$R$1024)</f>
        <v/>
      </c>
      <c r="T1013" s="8" t="n">
        <v>0</v>
      </c>
      <c r="U1013" s="8" t="n">
        <v>-0.02087535712087718</v>
      </c>
      <c r="V1013" s="6" t="inlineStr">
        <is>
          <t>not selected</t>
        </is>
      </c>
    </row>
    <row r="1014">
      <c r="A1014" s="6" t="inlineStr">
        <is>
          <t>DJ30</t>
        </is>
      </c>
      <c r="B1014" s="6" t="inlineStr">
        <is>
          <t>2023-08-18</t>
        </is>
      </c>
      <c r="C1014" s="6" t="inlineStr">
        <is>
          <t>DIA</t>
        </is>
      </c>
      <c r="D1014" s="6" t="inlineStr">
        <is>
          <t>MSFT</t>
        </is>
      </c>
      <c r="E1014" s="6" t="inlineStr">
        <is>
          <t>MSFT</t>
        </is>
      </c>
      <c r="F1014" s="6" t="inlineStr">
        <is>
          <t>-</t>
        </is>
      </c>
      <c r="G1014" s="7" t="n">
        <v>309.8193359375</v>
      </c>
      <c r="H1014" s="6">
        <f>P983</f>
        <v/>
      </c>
      <c r="I1014" s="9">
        <f>Q983</f>
        <v/>
      </c>
      <c r="J1014" s="7">
        <f>I1014*G1014</f>
        <v/>
      </c>
      <c r="K1014" s="8">
        <f>IF($J$1024=0,0,J1014/$J$1024)</f>
        <v/>
      </c>
      <c r="L1014" s="6" t="inlineStr">
        <is>
          <t>REJECTED</t>
        </is>
      </c>
      <c r="M1014" s="8" t="n">
        <v>0</v>
      </c>
      <c r="N1014" s="7">
        <f>M1014*$J$1024-J1014</f>
        <v/>
      </c>
      <c r="O1014" s="9">
        <f>IF(G1014=0,0,N1014/G1014)</f>
        <v/>
      </c>
      <c r="P1014" s="6">
        <f>IF(M1014&gt;0,D1014,"")</f>
        <v/>
      </c>
      <c r="Q1014" s="9">
        <f>I1014+O1014</f>
        <v/>
      </c>
      <c r="R1014" s="7">
        <f>Q1014*G1014</f>
        <v/>
      </c>
      <c r="S1014" s="8">
        <f>IF($R$1024=0,0,R1014/$R$1024)</f>
        <v/>
      </c>
      <c r="T1014" s="8" t="n">
        <v>0</v>
      </c>
      <c r="U1014" s="8" t="n">
        <v>-0.02087535712087718</v>
      </c>
      <c r="V1014" s="6" t="inlineStr">
        <is>
          <t>not selected</t>
        </is>
      </c>
    </row>
    <row r="1015">
      <c r="A1015" s="6" t="inlineStr">
        <is>
          <t>DJ30</t>
        </is>
      </c>
      <c r="B1015" s="6" t="inlineStr">
        <is>
          <t>2023-08-18</t>
        </is>
      </c>
      <c r="C1015" s="6" t="inlineStr">
        <is>
          <t>DIA</t>
        </is>
      </c>
      <c r="D1015" s="6" t="inlineStr">
        <is>
          <t>NKE</t>
        </is>
      </c>
      <c r="E1015" s="6" t="inlineStr">
        <is>
          <t>NKE</t>
        </is>
      </c>
      <c r="F1015" s="6" t="inlineStr">
        <is>
          <t>-</t>
        </is>
      </c>
      <c r="G1015" s="7" t="n">
        <v>98.46369934082033</v>
      </c>
      <c r="H1015" s="6">
        <f>P984</f>
        <v/>
      </c>
      <c r="I1015" s="9">
        <f>Q984</f>
        <v/>
      </c>
      <c r="J1015" s="7">
        <f>I1015*G1015</f>
        <v/>
      </c>
      <c r="K1015" s="8">
        <f>IF($J$1024=0,0,J1015/$J$1024)</f>
        <v/>
      </c>
      <c r="L1015" s="6" t="inlineStr">
        <is>
          <t>REJECTED</t>
        </is>
      </c>
      <c r="M1015" s="8" t="n">
        <v>0</v>
      </c>
      <c r="N1015" s="7">
        <f>M1015*$J$1024-J1015</f>
        <v/>
      </c>
      <c r="O1015" s="9">
        <f>IF(G1015=0,0,N1015/G1015)</f>
        <v/>
      </c>
      <c r="P1015" s="6">
        <f>IF(M1015&gt;0,D1015,"")</f>
        <v/>
      </c>
      <c r="Q1015" s="9">
        <f>I1015+O1015</f>
        <v/>
      </c>
      <c r="R1015" s="7">
        <f>Q1015*G1015</f>
        <v/>
      </c>
      <c r="S1015" s="8">
        <f>IF($R$1024=0,0,R1015/$R$1024)</f>
        <v/>
      </c>
      <c r="T1015" s="8" t="n">
        <v>0</v>
      </c>
      <c r="U1015" s="8" t="n">
        <v>-0.02087535712087718</v>
      </c>
      <c r="V1015" s="6" t="inlineStr">
        <is>
          <t>not selected</t>
        </is>
      </c>
    </row>
    <row r="1016">
      <c r="A1016" s="6" t="inlineStr">
        <is>
          <t>DJ30</t>
        </is>
      </c>
      <c r="B1016" s="6" t="inlineStr">
        <is>
          <t>2023-08-18</t>
        </is>
      </c>
      <c r="C1016" s="6" t="inlineStr">
        <is>
          <t>DIA</t>
        </is>
      </c>
      <c r="D1016" s="6" t="inlineStr">
        <is>
          <t>NVDA</t>
        </is>
      </c>
      <c r="E1016" s="6" t="inlineStr">
        <is>
          <t>NVDA</t>
        </is>
      </c>
      <c r="F1016" s="6" t="inlineStr">
        <is>
          <t>-</t>
        </is>
      </c>
      <c r="G1016" s="7" t="n">
        <v>43.21481704711914</v>
      </c>
      <c r="H1016" s="6">
        <f>P985</f>
        <v/>
      </c>
      <c r="I1016" s="9">
        <f>Q985</f>
        <v/>
      </c>
      <c r="J1016" s="7">
        <f>I1016*G1016</f>
        <v/>
      </c>
      <c r="K1016" s="8">
        <f>IF($J$1024=0,0,J1016/$J$1024)</f>
        <v/>
      </c>
      <c r="L1016" s="6" t="inlineStr">
        <is>
          <t>REJECTED</t>
        </is>
      </c>
      <c r="M1016" s="8" t="n">
        <v>0</v>
      </c>
      <c r="N1016" s="7">
        <f>M1016*$J$1024-J1016</f>
        <v/>
      </c>
      <c r="O1016" s="9">
        <f>IF(G1016=0,0,N1016/G1016)</f>
        <v/>
      </c>
      <c r="P1016" s="6">
        <f>IF(M1016&gt;0,D1016,"")</f>
        <v/>
      </c>
      <c r="Q1016" s="9">
        <f>I1016+O1016</f>
        <v/>
      </c>
      <c r="R1016" s="7">
        <f>Q1016*G1016</f>
        <v/>
      </c>
      <c r="S1016" s="8">
        <f>IF($R$1024=0,0,R1016/$R$1024)</f>
        <v/>
      </c>
      <c r="T1016" s="8" t="n">
        <v>0</v>
      </c>
      <c r="U1016" s="8" t="n">
        <v>-0.02087535712087718</v>
      </c>
      <c r="V1016" s="6" t="inlineStr">
        <is>
          <t>not selected</t>
        </is>
      </c>
    </row>
    <row r="1017">
      <c r="A1017" s="6" t="inlineStr">
        <is>
          <t>DJ30</t>
        </is>
      </c>
      <c r="B1017" s="6" t="inlineStr">
        <is>
          <t>2023-08-18</t>
        </is>
      </c>
      <c r="C1017" s="6" t="inlineStr">
        <is>
          <t>DIA</t>
        </is>
      </c>
      <c r="D1017" s="6" t="inlineStr">
        <is>
          <t>PG</t>
        </is>
      </c>
      <c r="E1017" s="6" t="inlineStr">
        <is>
          <t>PG</t>
        </is>
      </c>
      <c r="F1017" s="6" t="inlineStr">
        <is>
          <t>-</t>
        </is>
      </c>
      <c r="G1017" s="7" t="n">
        <v>142.0089874267578</v>
      </c>
      <c r="H1017" s="6">
        <f>P986</f>
        <v/>
      </c>
      <c r="I1017" s="9">
        <f>Q986</f>
        <v/>
      </c>
      <c r="J1017" s="7">
        <f>I1017*G1017</f>
        <v/>
      </c>
      <c r="K1017" s="8">
        <f>IF($J$1024=0,0,J1017/$J$1024)</f>
        <v/>
      </c>
      <c r="L1017" s="6" t="inlineStr">
        <is>
          <t>REJECTED</t>
        </is>
      </c>
      <c r="M1017" s="8" t="n">
        <v>0</v>
      </c>
      <c r="N1017" s="7">
        <f>M1017*$J$1024-J1017</f>
        <v/>
      </c>
      <c r="O1017" s="9">
        <f>IF(G1017=0,0,N1017/G1017)</f>
        <v/>
      </c>
      <c r="P1017" s="6">
        <f>IF(M1017&gt;0,D1017,"")</f>
        <v/>
      </c>
      <c r="Q1017" s="9">
        <f>I1017+O1017</f>
        <v/>
      </c>
      <c r="R1017" s="7">
        <f>Q1017*G1017</f>
        <v/>
      </c>
      <c r="S1017" s="8">
        <f>IF($R$1024=0,0,R1017/$R$1024)</f>
        <v/>
      </c>
      <c r="T1017" s="8" t="n">
        <v>0</v>
      </c>
      <c r="U1017" s="8" t="n">
        <v>-0.02087535712087718</v>
      </c>
      <c r="V1017" s="6" t="inlineStr">
        <is>
          <t>not selected</t>
        </is>
      </c>
    </row>
    <row r="1018">
      <c r="A1018" s="6" t="inlineStr">
        <is>
          <t>DJ30</t>
        </is>
      </c>
      <c r="B1018" s="6" t="inlineStr">
        <is>
          <t>2023-08-18</t>
        </is>
      </c>
      <c r="C1018" s="6" t="inlineStr">
        <is>
          <t>DIA</t>
        </is>
      </c>
      <c r="D1018" s="6" t="inlineStr">
        <is>
          <t>SHW</t>
        </is>
      </c>
      <c r="E1018" s="6" t="inlineStr">
        <is>
          <t>SHW</t>
        </is>
      </c>
      <c r="F1018" s="6" t="inlineStr">
        <is>
          <t>-</t>
        </is>
      </c>
      <c r="G1018" s="7" t="n">
        <v>263.6646118164062</v>
      </c>
      <c r="H1018" s="6">
        <f>P987</f>
        <v/>
      </c>
      <c r="I1018" s="9">
        <f>Q987</f>
        <v/>
      </c>
      <c r="J1018" s="7">
        <f>I1018*G1018</f>
        <v/>
      </c>
      <c r="K1018" s="8">
        <f>IF($J$1024=0,0,J1018/$J$1024)</f>
        <v/>
      </c>
      <c r="L1018" s="6" t="inlineStr">
        <is>
          <t>REJECTED</t>
        </is>
      </c>
      <c r="M1018" s="8" t="n">
        <v>0</v>
      </c>
      <c r="N1018" s="7">
        <f>M1018*$J$1024-J1018</f>
        <v/>
      </c>
      <c r="O1018" s="9">
        <f>IF(G1018=0,0,N1018/G1018)</f>
        <v/>
      </c>
      <c r="P1018" s="6">
        <f>IF(M1018&gt;0,D1018,"")</f>
        <v/>
      </c>
      <c r="Q1018" s="9">
        <f>I1018+O1018</f>
        <v/>
      </c>
      <c r="R1018" s="7">
        <f>Q1018*G1018</f>
        <v/>
      </c>
      <c r="S1018" s="8">
        <f>IF($R$1024=0,0,R1018/$R$1024)</f>
        <v/>
      </c>
      <c r="T1018" s="8" t="n">
        <v>0</v>
      </c>
      <c r="U1018" s="8" t="n">
        <v>-0.02087535712087718</v>
      </c>
      <c r="V1018" s="6" t="inlineStr">
        <is>
          <t>not selected</t>
        </is>
      </c>
    </row>
    <row r="1019">
      <c r="A1019" s="6" t="inlineStr">
        <is>
          <t>DJ30</t>
        </is>
      </c>
      <c r="B1019" s="6" t="inlineStr">
        <is>
          <t>2023-08-18</t>
        </is>
      </c>
      <c r="C1019" s="6" t="inlineStr">
        <is>
          <t>DIA</t>
        </is>
      </c>
      <c r="D1019" s="6" t="inlineStr">
        <is>
          <t>TRV</t>
        </is>
      </c>
      <c r="E1019" s="6" t="inlineStr">
        <is>
          <t>TRV</t>
        </is>
      </c>
      <c r="F1019" s="6" t="inlineStr">
        <is>
          <t>-</t>
        </is>
      </c>
      <c r="G1019" s="7" t="n">
        <v>153.9706268310547</v>
      </c>
      <c r="H1019" s="6">
        <f>P988</f>
        <v/>
      </c>
      <c r="I1019" s="9">
        <f>Q988</f>
        <v/>
      </c>
      <c r="J1019" s="7">
        <f>I1019*G1019</f>
        <v/>
      </c>
      <c r="K1019" s="8">
        <f>IF($J$1024=0,0,J1019/$J$1024)</f>
        <v/>
      </c>
      <c r="L1019" s="6" t="inlineStr">
        <is>
          <t>REJECTED</t>
        </is>
      </c>
      <c r="M1019" s="8" t="n">
        <v>0</v>
      </c>
      <c r="N1019" s="7">
        <f>M1019*$J$1024-J1019</f>
        <v/>
      </c>
      <c r="O1019" s="9">
        <f>IF(G1019=0,0,N1019/G1019)</f>
        <v/>
      </c>
      <c r="P1019" s="6">
        <f>IF(M1019&gt;0,D1019,"")</f>
        <v/>
      </c>
      <c r="Q1019" s="9">
        <f>I1019+O1019</f>
        <v/>
      </c>
      <c r="R1019" s="7">
        <f>Q1019*G1019</f>
        <v/>
      </c>
      <c r="S1019" s="8">
        <f>IF($R$1024=0,0,R1019/$R$1024)</f>
        <v/>
      </c>
      <c r="T1019" s="8" t="n">
        <v>0</v>
      </c>
      <c r="U1019" s="8" t="n">
        <v>-0.02087535712087718</v>
      </c>
      <c r="V1019" s="6" t="inlineStr">
        <is>
          <t>not selected</t>
        </is>
      </c>
    </row>
    <row r="1020">
      <c r="A1020" s="6" t="inlineStr">
        <is>
          <t>DJ30</t>
        </is>
      </c>
      <c r="B1020" s="6" t="inlineStr">
        <is>
          <t>2023-08-18</t>
        </is>
      </c>
      <c r="C1020" s="6" t="inlineStr">
        <is>
          <t>DIA</t>
        </is>
      </c>
      <c r="D1020" s="6" t="inlineStr">
        <is>
          <t>UNH</t>
        </is>
      </c>
      <c r="E1020" s="6" t="inlineStr">
        <is>
          <t>UNH</t>
        </is>
      </c>
      <c r="F1020" s="6" t="inlineStr">
        <is>
          <t>-</t>
        </is>
      </c>
      <c r="G1020" s="7" t="n">
        <v>469.13427734375</v>
      </c>
      <c r="H1020" s="6">
        <f>P989</f>
        <v/>
      </c>
      <c r="I1020" s="9">
        <f>Q989</f>
        <v/>
      </c>
      <c r="J1020" s="7">
        <f>I1020*G1020</f>
        <v/>
      </c>
      <c r="K1020" s="8">
        <f>IF($J$1024=0,0,J1020/$J$1024)</f>
        <v/>
      </c>
      <c r="L1020" s="6" t="inlineStr">
        <is>
          <t>REJECTED</t>
        </is>
      </c>
      <c r="M1020" s="8" t="n">
        <v>0</v>
      </c>
      <c r="N1020" s="7">
        <f>M1020*$J$1024-J1020</f>
        <v/>
      </c>
      <c r="O1020" s="9">
        <f>IF(G1020=0,0,N1020/G1020)</f>
        <v/>
      </c>
      <c r="P1020" s="6">
        <f>IF(M1020&gt;0,D1020,"")</f>
        <v/>
      </c>
      <c r="Q1020" s="9">
        <f>I1020+O1020</f>
        <v/>
      </c>
      <c r="R1020" s="7">
        <f>Q1020*G1020</f>
        <v/>
      </c>
      <c r="S1020" s="8">
        <f>IF($R$1024=0,0,R1020/$R$1024)</f>
        <v/>
      </c>
      <c r="T1020" s="8" t="n">
        <v>0</v>
      </c>
      <c r="U1020" s="8" t="n">
        <v>-0.02087535712087718</v>
      </c>
      <c r="V1020" s="6" t="inlineStr">
        <is>
          <t>not selected</t>
        </is>
      </c>
    </row>
    <row r="1021">
      <c r="A1021" s="6" t="inlineStr">
        <is>
          <t>DJ30</t>
        </is>
      </c>
      <c r="B1021" s="6" t="inlineStr">
        <is>
          <t>2023-08-18</t>
        </is>
      </c>
      <c r="C1021" s="6" t="inlineStr">
        <is>
          <t>DIA</t>
        </is>
      </c>
      <c r="D1021" s="6" t="inlineStr">
        <is>
          <t>V</t>
        </is>
      </c>
      <c r="E1021" s="6" t="inlineStr">
        <is>
          <t>V</t>
        </is>
      </c>
      <c r="F1021" s="6" t="inlineStr">
        <is>
          <t>-</t>
        </is>
      </c>
      <c r="G1021" s="7" t="n">
        <v>233.2323303222656</v>
      </c>
      <c r="H1021" s="6">
        <f>P990</f>
        <v/>
      </c>
      <c r="I1021" s="9">
        <f>Q990</f>
        <v/>
      </c>
      <c r="J1021" s="7">
        <f>I1021*G1021</f>
        <v/>
      </c>
      <c r="K1021" s="8">
        <f>IF($J$1024=0,0,J1021/$J$1024)</f>
        <v/>
      </c>
      <c r="L1021" s="6" t="inlineStr">
        <is>
          <t>REJECTED</t>
        </is>
      </c>
      <c r="M1021" s="8" t="n">
        <v>0</v>
      </c>
      <c r="N1021" s="7">
        <f>M1021*$J$1024-J1021</f>
        <v/>
      </c>
      <c r="O1021" s="9">
        <f>IF(G1021=0,0,N1021/G1021)</f>
        <v/>
      </c>
      <c r="P1021" s="6">
        <f>IF(M1021&gt;0,D1021,"")</f>
        <v/>
      </c>
      <c r="Q1021" s="9">
        <f>I1021+O1021</f>
        <v/>
      </c>
      <c r="R1021" s="7">
        <f>Q1021*G1021</f>
        <v/>
      </c>
      <c r="S1021" s="8">
        <f>IF($R$1024=0,0,R1021/$R$1024)</f>
        <v/>
      </c>
      <c r="T1021" s="8" t="n">
        <v>0</v>
      </c>
      <c r="U1021" s="8" t="n">
        <v>-0.02087535712087718</v>
      </c>
      <c r="V1021" s="6" t="inlineStr">
        <is>
          <t>not selected</t>
        </is>
      </c>
    </row>
    <row r="1022">
      <c r="A1022" s="6" t="inlineStr">
        <is>
          <t>DJ30</t>
        </is>
      </c>
      <c r="B1022" s="6" t="inlineStr">
        <is>
          <t>2023-08-18</t>
        </is>
      </c>
      <c r="C1022" s="6" t="inlineStr">
        <is>
          <t>DIA</t>
        </is>
      </c>
      <c r="D1022" s="6" t="inlineStr">
        <is>
          <t>VZ</t>
        </is>
      </c>
      <c r="E1022" s="6" t="inlineStr">
        <is>
          <t>VZ</t>
        </is>
      </c>
      <c r="F1022" s="6" t="inlineStr">
        <is>
          <t>-</t>
        </is>
      </c>
      <c r="G1022" s="7" t="n">
        <v>27.59419441223145</v>
      </c>
      <c r="H1022" s="6">
        <f>P991</f>
        <v/>
      </c>
      <c r="I1022" s="9">
        <f>Q991</f>
        <v/>
      </c>
      <c r="J1022" s="7">
        <f>I1022*G1022</f>
        <v/>
      </c>
      <c r="K1022" s="8">
        <f>IF($J$1024=0,0,J1022/$J$1024)</f>
        <v/>
      </c>
      <c r="L1022" s="6" t="inlineStr">
        <is>
          <t>REJECTED</t>
        </is>
      </c>
      <c r="M1022" s="8" t="n">
        <v>0</v>
      </c>
      <c r="N1022" s="7">
        <f>M1022*$J$1024-J1022</f>
        <v/>
      </c>
      <c r="O1022" s="9">
        <f>IF(G1022=0,0,N1022/G1022)</f>
        <v/>
      </c>
      <c r="P1022" s="6">
        <f>IF(M1022&gt;0,D1022,"")</f>
        <v/>
      </c>
      <c r="Q1022" s="9">
        <f>I1022+O1022</f>
        <v/>
      </c>
      <c r="R1022" s="7">
        <f>Q1022*G1022</f>
        <v/>
      </c>
      <c r="S1022" s="8">
        <f>IF($R$1024=0,0,R1022/$R$1024)</f>
        <v/>
      </c>
      <c r="T1022" s="8" t="n">
        <v>0</v>
      </c>
      <c r="U1022" s="8" t="n">
        <v>-0.02087535712087718</v>
      </c>
      <c r="V1022" s="6" t="inlineStr">
        <is>
          <t>not selected</t>
        </is>
      </c>
    </row>
    <row r="1023">
      <c r="A1023" s="6" t="inlineStr">
        <is>
          <t>DJ30</t>
        </is>
      </c>
      <c r="B1023" s="6" t="inlineStr">
        <is>
          <t>2023-08-18</t>
        </is>
      </c>
      <c r="C1023" s="6" t="inlineStr">
        <is>
          <t>DIA</t>
        </is>
      </c>
      <c r="D1023" s="6" t="inlineStr">
        <is>
          <t>WMT</t>
        </is>
      </c>
      <c r="E1023" s="6" t="inlineStr">
        <is>
          <t>WMT</t>
        </is>
      </c>
      <c r="F1023" s="6" t="inlineStr">
        <is>
          <t>-</t>
        </is>
      </c>
      <c r="G1023" s="7" t="n">
        <v>51.13321685791016</v>
      </c>
      <c r="H1023" s="6">
        <f>P992</f>
        <v/>
      </c>
      <c r="I1023" s="9">
        <f>Q992</f>
        <v/>
      </c>
      <c r="J1023" s="7">
        <f>I1023*G1023</f>
        <v/>
      </c>
      <c r="K1023" s="8">
        <f>IF($J$1024=0,0,J1023/$J$1024)</f>
        <v/>
      </c>
      <c r="L1023" s="6" t="inlineStr">
        <is>
          <t>REJECTED</t>
        </is>
      </c>
      <c r="M1023" s="8" t="n">
        <v>0</v>
      </c>
      <c r="N1023" s="7">
        <f>M1023*$J$1024-J1023</f>
        <v/>
      </c>
      <c r="O1023" s="9">
        <f>IF(G1023=0,0,N1023/G1023)</f>
        <v/>
      </c>
      <c r="P1023" s="6">
        <f>IF(M1023&gt;0,D1023,"")</f>
        <v/>
      </c>
      <c r="Q1023" s="9">
        <f>I1023+O1023</f>
        <v/>
      </c>
      <c r="R1023" s="7">
        <f>Q1023*G1023</f>
        <v/>
      </c>
      <c r="S1023" s="8">
        <f>IF($R$1024=0,0,R1023/$R$1024)</f>
        <v/>
      </c>
      <c r="T1023" s="8" t="n">
        <v>0</v>
      </c>
      <c r="U1023" s="8" t="n">
        <v>-0.02087535712087718</v>
      </c>
      <c r="V1023" s="6" t="inlineStr">
        <is>
          <t>not selected</t>
        </is>
      </c>
    </row>
    <row r="1024">
      <c r="A1024" s="10" t="inlineStr">
        <is>
          <t>DJ30</t>
        </is>
      </c>
      <c r="B1024" s="10" t="inlineStr">
        <is>
          <t>2023-08-18</t>
        </is>
      </c>
      <c r="C1024" s="10" t="inlineStr">
        <is>
          <t>DIA</t>
        </is>
      </c>
      <c r="D1024" s="10" t="inlineStr">
        <is>
          <t>Tot Portfolio</t>
        </is>
      </c>
      <c r="E1024" s="10" t="inlineStr"/>
      <c r="F1024" s="10" t="inlineStr"/>
      <c r="G1024" s="11" t="inlineStr"/>
      <c r="H1024" s="10" t="inlineStr"/>
      <c r="I1024" s="12" t="inlineStr"/>
      <c r="J1024" s="11">
        <f>SUM(J994:J1023)</f>
        <v/>
      </c>
      <c r="K1024" s="13">
        <f>SUM(K994:K1023)</f>
        <v/>
      </c>
      <c r="L1024" s="10" t="inlineStr">
        <is>
          <t>TOTAL</t>
        </is>
      </c>
      <c r="M1024" s="13">
        <f>SUM(M994:M1023)</f>
        <v/>
      </c>
      <c r="N1024" s="11">
        <f>SUM(N994:N1023)</f>
        <v/>
      </c>
      <c r="O1024" s="12">
        <f>SUM(O994:O1023)</f>
        <v/>
      </c>
      <c r="P1024" s="10" t="inlineStr"/>
      <c r="Q1024" s="12" t="inlineStr"/>
      <c r="R1024" s="11">
        <f>SUM(R994:R1023)</f>
        <v/>
      </c>
      <c r="S1024" s="13">
        <f>SUM(S994:S1023)</f>
        <v/>
      </c>
      <c r="T1024" s="13" t="n">
        <v>0</v>
      </c>
      <c r="U1024" s="13" t="n">
        <v>-0.02087535712087718</v>
      </c>
      <c r="V1024" s="10" t="inlineStr"/>
    </row>
    <row r="1025">
      <c r="A1025" s="6" t="inlineStr">
        <is>
          <t>DJ30</t>
        </is>
      </c>
      <c r="B1025" s="6" t="inlineStr">
        <is>
          <t>2023-08-25</t>
        </is>
      </c>
      <c r="C1025" s="6" t="inlineStr">
        <is>
          <t>DIA</t>
        </is>
      </c>
      <c r="D1025" s="6" t="inlineStr">
        <is>
          <t>AAPL</t>
        </is>
      </c>
      <c r="E1025" s="6" t="inlineStr">
        <is>
          <t>AAPL</t>
        </is>
      </c>
      <c r="F1025" s="6" t="inlineStr">
        <is>
          <t>-</t>
        </is>
      </c>
      <c r="G1025" s="7" t="n">
        <v>176.3784942626953</v>
      </c>
      <c r="H1025" s="6">
        <f>P994</f>
        <v/>
      </c>
      <c r="I1025" s="9">
        <f>Q994</f>
        <v/>
      </c>
      <c r="J1025" s="7">
        <f>I1025*G1025</f>
        <v/>
      </c>
      <c r="K1025" s="8">
        <f>IF($J$1055=0,0,J1025/$J$1055)</f>
        <v/>
      </c>
      <c r="L1025" s="6" t="inlineStr">
        <is>
          <t>REJECTED</t>
        </is>
      </c>
      <c r="M1025" s="8" t="n">
        <v>0</v>
      </c>
      <c r="N1025" s="7">
        <f>M1025*$J$1055-J1025</f>
        <v/>
      </c>
      <c r="O1025" s="9">
        <f>IF(G1025=0,0,N1025/G1025)</f>
        <v/>
      </c>
      <c r="P1025" s="6">
        <f>IF(M1025&gt;0,D1025,"")</f>
        <v/>
      </c>
      <c r="Q1025" s="9">
        <f>I1025+O1025</f>
        <v/>
      </c>
      <c r="R1025" s="7">
        <f>Q1025*G1025</f>
        <v/>
      </c>
      <c r="S1025" s="8">
        <f>IF($R$1055=0,0,R1025/$R$1055)</f>
        <v/>
      </c>
      <c r="T1025" s="8" t="n">
        <v>0</v>
      </c>
      <c r="U1025" s="8" t="n">
        <v>-0.004693878137537966</v>
      </c>
      <c r="V1025" s="6" t="inlineStr">
        <is>
          <t>not selected</t>
        </is>
      </c>
    </row>
    <row r="1026">
      <c r="A1026" s="6" t="inlineStr">
        <is>
          <t>DJ30</t>
        </is>
      </c>
      <c r="B1026" s="6" t="inlineStr">
        <is>
          <t>2023-08-25</t>
        </is>
      </c>
      <c r="C1026" s="6" t="inlineStr">
        <is>
          <t>DIA</t>
        </is>
      </c>
      <c r="D1026" s="6" t="inlineStr">
        <is>
          <t>AMGN</t>
        </is>
      </c>
      <c r="E1026" s="6" t="inlineStr">
        <is>
          <t>AMGN</t>
        </is>
      </c>
      <c r="F1026" s="6" t="inlineStr">
        <is>
          <t>-</t>
        </is>
      </c>
      <c r="G1026" s="7" t="n">
        <v>235.7095642089844</v>
      </c>
      <c r="H1026" s="6">
        <f>P995</f>
        <v/>
      </c>
      <c r="I1026" s="9">
        <f>Q995</f>
        <v/>
      </c>
      <c r="J1026" s="7">
        <f>I1026*G1026</f>
        <v/>
      </c>
      <c r="K1026" s="8">
        <f>IF($J$1055=0,0,J1026/$J$1055)</f>
        <v/>
      </c>
      <c r="L1026" s="6" t="inlineStr">
        <is>
          <t>REJECTED</t>
        </is>
      </c>
      <c r="M1026" s="8" t="n">
        <v>0</v>
      </c>
      <c r="N1026" s="7">
        <f>M1026*$J$1055-J1026</f>
        <v/>
      </c>
      <c r="O1026" s="9">
        <f>IF(G1026=0,0,N1026/G1026)</f>
        <v/>
      </c>
      <c r="P1026" s="6">
        <f>IF(M1026&gt;0,D1026,"")</f>
        <v/>
      </c>
      <c r="Q1026" s="9">
        <f>I1026+O1026</f>
        <v/>
      </c>
      <c r="R1026" s="7">
        <f>Q1026*G1026</f>
        <v/>
      </c>
      <c r="S1026" s="8">
        <f>IF($R$1055=0,0,R1026/$R$1055)</f>
        <v/>
      </c>
      <c r="T1026" s="8" t="n">
        <v>0</v>
      </c>
      <c r="U1026" s="8" t="n">
        <v>-0.004693878137537966</v>
      </c>
      <c r="V1026" s="6" t="inlineStr">
        <is>
          <t>not selected</t>
        </is>
      </c>
    </row>
    <row r="1027">
      <c r="A1027" s="6" t="inlineStr">
        <is>
          <t>DJ30</t>
        </is>
      </c>
      <c r="B1027" s="6" t="inlineStr">
        <is>
          <t>2023-08-25</t>
        </is>
      </c>
      <c r="C1027" s="6" t="inlineStr">
        <is>
          <t>DIA</t>
        </is>
      </c>
      <c r="D1027" s="6" t="inlineStr">
        <is>
          <t>AMZN</t>
        </is>
      </c>
      <c r="E1027" s="6" t="inlineStr">
        <is>
          <t>AMZN</t>
        </is>
      </c>
      <c r="F1027" s="6" t="inlineStr">
        <is>
          <t>-</t>
        </is>
      </c>
      <c r="G1027" s="7" t="n">
        <v>133.2599945068359</v>
      </c>
      <c r="H1027" s="6">
        <f>P996</f>
        <v/>
      </c>
      <c r="I1027" s="9">
        <f>Q996</f>
        <v/>
      </c>
      <c r="J1027" s="7">
        <f>I1027*G1027</f>
        <v/>
      </c>
      <c r="K1027" s="8">
        <f>IF($J$1055=0,0,J1027/$J$1055)</f>
        <v/>
      </c>
      <c r="L1027" s="6" t="inlineStr">
        <is>
          <t>REJECTED</t>
        </is>
      </c>
      <c r="M1027" s="8" t="n">
        <v>0</v>
      </c>
      <c r="N1027" s="7">
        <f>M1027*$J$1055-J1027</f>
        <v/>
      </c>
      <c r="O1027" s="9">
        <f>IF(G1027=0,0,N1027/G1027)</f>
        <v/>
      </c>
      <c r="P1027" s="6">
        <f>IF(M1027&gt;0,D1027,"")</f>
        <v/>
      </c>
      <c r="Q1027" s="9">
        <f>I1027+O1027</f>
        <v/>
      </c>
      <c r="R1027" s="7">
        <f>Q1027*G1027</f>
        <v/>
      </c>
      <c r="S1027" s="8">
        <f>IF($R$1055=0,0,R1027/$R$1055)</f>
        <v/>
      </c>
      <c r="T1027" s="8" t="n">
        <v>0</v>
      </c>
      <c r="U1027" s="8" t="n">
        <v>-0.004693878137537966</v>
      </c>
      <c r="V1027" s="6" t="inlineStr">
        <is>
          <t>not selected</t>
        </is>
      </c>
    </row>
    <row r="1028">
      <c r="A1028" s="6" t="inlineStr">
        <is>
          <t>DJ30</t>
        </is>
      </c>
      <c r="B1028" s="6" t="inlineStr">
        <is>
          <t>2023-08-25</t>
        </is>
      </c>
      <c r="C1028" s="6" t="inlineStr">
        <is>
          <t>DIA</t>
        </is>
      </c>
      <c r="D1028" s="6" t="inlineStr">
        <is>
          <t>AXP</t>
        </is>
      </c>
      <c r="E1028" s="6" t="inlineStr">
        <is>
          <t>AXP</t>
        </is>
      </c>
      <c r="F1028" s="6" t="inlineStr">
        <is>
          <t>-</t>
        </is>
      </c>
      <c r="G1028" s="7" t="n">
        <v>153.3196563720703</v>
      </c>
      <c r="H1028" s="6">
        <f>P997</f>
        <v/>
      </c>
      <c r="I1028" s="9">
        <f>Q997</f>
        <v/>
      </c>
      <c r="J1028" s="7">
        <f>I1028*G1028</f>
        <v/>
      </c>
      <c r="K1028" s="8">
        <f>IF($J$1055=0,0,J1028/$J$1055)</f>
        <v/>
      </c>
      <c r="L1028" s="6" t="inlineStr">
        <is>
          <t>REJECTED</t>
        </is>
      </c>
      <c r="M1028" s="8" t="n">
        <v>0</v>
      </c>
      <c r="N1028" s="7">
        <f>M1028*$J$1055-J1028</f>
        <v/>
      </c>
      <c r="O1028" s="9">
        <f>IF(G1028=0,0,N1028/G1028)</f>
        <v/>
      </c>
      <c r="P1028" s="6">
        <f>IF(M1028&gt;0,D1028,"")</f>
        <v/>
      </c>
      <c r="Q1028" s="9">
        <f>I1028+O1028</f>
        <v/>
      </c>
      <c r="R1028" s="7">
        <f>Q1028*G1028</f>
        <v/>
      </c>
      <c r="S1028" s="8">
        <f>IF($R$1055=0,0,R1028/$R$1055)</f>
        <v/>
      </c>
      <c r="T1028" s="8" t="n">
        <v>0</v>
      </c>
      <c r="U1028" s="8" t="n">
        <v>-0.004693878137537966</v>
      </c>
      <c r="V1028" s="6" t="inlineStr">
        <is>
          <t>not selected</t>
        </is>
      </c>
    </row>
    <row r="1029">
      <c r="A1029" s="6" t="inlineStr">
        <is>
          <t>DJ30</t>
        </is>
      </c>
      <c r="B1029" s="6" t="inlineStr">
        <is>
          <t>2023-08-25</t>
        </is>
      </c>
      <c r="C1029" s="6" t="inlineStr">
        <is>
          <t>DIA</t>
        </is>
      </c>
      <c r="D1029" s="6" t="inlineStr">
        <is>
          <t>BA</t>
        </is>
      </c>
      <c r="E1029" s="6" t="inlineStr">
        <is>
          <t>BA</t>
        </is>
      </c>
      <c r="F1029" s="6" t="inlineStr">
        <is>
          <t>-</t>
        </is>
      </c>
      <c r="G1029" s="7" t="n">
        <v>223.4100036621093</v>
      </c>
      <c r="H1029" s="6">
        <f>P998</f>
        <v/>
      </c>
      <c r="I1029" s="9">
        <f>Q998</f>
        <v/>
      </c>
      <c r="J1029" s="7">
        <f>I1029*G1029</f>
        <v/>
      </c>
      <c r="K1029" s="8">
        <f>IF($J$1055=0,0,J1029/$J$1055)</f>
        <v/>
      </c>
      <c r="L1029" s="6" t="inlineStr">
        <is>
          <t>REJECTED</t>
        </is>
      </c>
      <c r="M1029" s="8" t="n">
        <v>0</v>
      </c>
      <c r="N1029" s="7">
        <f>M1029*$J$1055-J1029</f>
        <v/>
      </c>
      <c r="O1029" s="9">
        <f>IF(G1029=0,0,N1029/G1029)</f>
        <v/>
      </c>
      <c r="P1029" s="6">
        <f>IF(M1029&gt;0,D1029,"")</f>
        <v/>
      </c>
      <c r="Q1029" s="9">
        <f>I1029+O1029</f>
        <v/>
      </c>
      <c r="R1029" s="7">
        <f>Q1029*G1029</f>
        <v/>
      </c>
      <c r="S1029" s="8">
        <f>IF($R$1055=0,0,R1029/$R$1055)</f>
        <v/>
      </c>
      <c r="T1029" s="8" t="n">
        <v>0</v>
      </c>
      <c r="U1029" s="8" t="n">
        <v>-0.004693878137537966</v>
      </c>
      <c r="V1029" s="6" t="inlineStr">
        <is>
          <t>not selected</t>
        </is>
      </c>
    </row>
    <row r="1030">
      <c r="A1030" s="6" t="inlineStr">
        <is>
          <t>DJ30</t>
        </is>
      </c>
      <c r="B1030" s="6" t="inlineStr">
        <is>
          <t>2023-08-25</t>
        </is>
      </c>
      <c r="C1030" s="6" t="inlineStr">
        <is>
          <t>DIA</t>
        </is>
      </c>
      <c r="D1030" s="6" t="inlineStr">
        <is>
          <t>CAT</t>
        </is>
      </c>
      <c r="E1030" s="6" t="inlineStr">
        <is>
          <t>CAT</t>
        </is>
      </c>
      <c r="F1030" s="6" t="inlineStr">
        <is>
          <t>-</t>
        </is>
      </c>
      <c r="G1030" s="7" t="n">
        <v>261.7961120605469</v>
      </c>
      <c r="H1030" s="6">
        <f>P999</f>
        <v/>
      </c>
      <c r="I1030" s="9">
        <f>Q999</f>
        <v/>
      </c>
      <c r="J1030" s="7">
        <f>I1030*G1030</f>
        <v/>
      </c>
      <c r="K1030" s="8">
        <f>IF($J$1055=0,0,J1030/$J$1055)</f>
        <v/>
      </c>
      <c r="L1030" s="6" t="inlineStr">
        <is>
          <t>REJECTED</t>
        </is>
      </c>
      <c r="M1030" s="8" t="n">
        <v>0</v>
      </c>
      <c r="N1030" s="7">
        <f>M1030*$J$1055-J1030</f>
        <v/>
      </c>
      <c r="O1030" s="9">
        <f>IF(G1030=0,0,N1030/G1030)</f>
        <v/>
      </c>
      <c r="P1030" s="6">
        <f>IF(M1030&gt;0,D1030,"")</f>
        <v/>
      </c>
      <c r="Q1030" s="9">
        <f>I1030+O1030</f>
        <v/>
      </c>
      <c r="R1030" s="7">
        <f>Q1030*G1030</f>
        <v/>
      </c>
      <c r="S1030" s="8">
        <f>IF($R$1055=0,0,R1030/$R$1055)</f>
        <v/>
      </c>
      <c r="T1030" s="8" t="n">
        <v>0</v>
      </c>
      <c r="U1030" s="8" t="n">
        <v>-0.004693878137537966</v>
      </c>
      <c r="V1030" s="6" t="inlineStr">
        <is>
          <t>not selected</t>
        </is>
      </c>
    </row>
    <row r="1031">
      <c r="A1031" s="6" t="inlineStr">
        <is>
          <t>DJ30</t>
        </is>
      </c>
      <c r="B1031" s="6" t="inlineStr">
        <is>
          <t>2023-08-25</t>
        </is>
      </c>
      <c r="C1031" s="6" t="inlineStr">
        <is>
          <t>DIA</t>
        </is>
      </c>
      <c r="D1031" s="6" t="inlineStr">
        <is>
          <t>CRM</t>
        </is>
      </c>
      <c r="E1031" s="6" t="inlineStr">
        <is>
          <t>CRM</t>
        </is>
      </c>
      <c r="F1031" s="6" t="inlineStr">
        <is>
          <t>-</t>
        </is>
      </c>
      <c r="G1031" s="7" t="n">
        <v>205.9076995849609</v>
      </c>
      <c r="H1031" s="6">
        <f>P1000</f>
        <v/>
      </c>
      <c r="I1031" s="9">
        <f>Q1000</f>
        <v/>
      </c>
      <c r="J1031" s="7">
        <f>I1031*G1031</f>
        <v/>
      </c>
      <c r="K1031" s="8">
        <f>IF($J$1055=0,0,J1031/$J$1055)</f>
        <v/>
      </c>
      <c r="L1031" s="6" t="inlineStr">
        <is>
          <t>REJECTED</t>
        </is>
      </c>
      <c r="M1031" s="8" t="n">
        <v>0</v>
      </c>
      <c r="N1031" s="7">
        <f>M1031*$J$1055-J1031</f>
        <v/>
      </c>
      <c r="O1031" s="9">
        <f>IF(G1031=0,0,N1031/G1031)</f>
        <v/>
      </c>
      <c r="P1031" s="6">
        <f>IF(M1031&gt;0,D1031,"")</f>
        <v/>
      </c>
      <c r="Q1031" s="9">
        <f>I1031+O1031</f>
        <v/>
      </c>
      <c r="R1031" s="7">
        <f>Q1031*G1031</f>
        <v/>
      </c>
      <c r="S1031" s="8">
        <f>IF($R$1055=0,0,R1031/$R$1055)</f>
        <v/>
      </c>
      <c r="T1031" s="8" t="n">
        <v>0</v>
      </c>
      <c r="U1031" s="8" t="n">
        <v>-0.004693878137537966</v>
      </c>
      <c r="V1031" s="6" t="inlineStr">
        <is>
          <t>not selected</t>
        </is>
      </c>
    </row>
    <row r="1032">
      <c r="A1032" s="6" t="inlineStr">
        <is>
          <t>DJ30</t>
        </is>
      </c>
      <c r="B1032" s="6" t="inlineStr">
        <is>
          <t>2023-08-25</t>
        </is>
      </c>
      <c r="C1032" s="6" t="inlineStr">
        <is>
          <t>DIA</t>
        </is>
      </c>
      <c r="D1032" s="6" t="inlineStr">
        <is>
          <t>CSCO</t>
        </is>
      </c>
      <c r="E1032" s="6" t="inlineStr">
        <is>
          <t>CSCO</t>
        </is>
      </c>
      <c r="F1032" s="6" t="inlineStr">
        <is>
          <t>-</t>
        </is>
      </c>
      <c r="G1032" s="7" t="n">
        <v>51.65309143066406</v>
      </c>
      <c r="H1032" s="6">
        <f>P1001</f>
        <v/>
      </c>
      <c r="I1032" s="9">
        <f>Q1001</f>
        <v/>
      </c>
      <c r="J1032" s="7">
        <f>I1032*G1032</f>
        <v/>
      </c>
      <c r="K1032" s="8">
        <f>IF($J$1055=0,0,J1032/$J$1055)</f>
        <v/>
      </c>
      <c r="L1032" s="6" t="inlineStr">
        <is>
          <t>REJECTED</t>
        </is>
      </c>
      <c r="M1032" s="8" t="n">
        <v>0</v>
      </c>
      <c r="N1032" s="7">
        <f>M1032*$J$1055-J1032</f>
        <v/>
      </c>
      <c r="O1032" s="9">
        <f>IF(G1032=0,0,N1032/G1032)</f>
        <v/>
      </c>
      <c r="P1032" s="6">
        <f>IF(M1032&gt;0,D1032,"")</f>
        <v/>
      </c>
      <c r="Q1032" s="9">
        <f>I1032+O1032</f>
        <v/>
      </c>
      <c r="R1032" s="7">
        <f>Q1032*G1032</f>
        <v/>
      </c>
      <c r="S1032" s="8">
        <f>IF($R$1055=0,0,R1032/$R$1055)</f>
        <v/>
      </c>
      <c r="T1032" s="8" t="n">
        <v>0</v>
      </c>
      <c r="U1032" s="8" t="n">
        <v>-0.004693878137537966</v>
      </c>
      <c r="V1032" s="6" t="inlineStr">
        <is>
          <t>not selected</t>
        </is>
      </c>
    </row>
    <row r="1033">
      <c r="A1033" s="6" t="inlineStr">
        <is>
          <t>DJ30</t>
        </is>
      </c>
      <c r="B1033" s="6" t="inlineStr">
        <is>
          <t>2023-08-25</t>
        </is>
      </c>
      <c r="C1033" s="6" t="inlineStr">
        <is>
          <t>DIA</t>
        </is>
      </c>
      <c r="D1033" s="6" t="inlineStr">
        <is>
          <t>CVX</t>
        </is>
      </c>
      <c r="E1033" s="6" t="inlineStr">
        <is>
          <t>CVX</t>
        </is>
      </c>
      <c r="F1033" s="6" t="inlineStr">
        <is>
          <t>-</t>
        </is>
      </c>
      <c r="G1033" s="7" t="n">
        <v>141.5828552246094</v>
      </c>
      <c r="H1033" s="6">
        <f>P1002</f>
        <v/>
      </c>
      <c r="I1033" s="9">
        <f>Q1002</f>
        <v/>
      </c>
      <c r="J1033" s="7">
        <f>I1033*G1033</f>
        <v/>
      </c>
      <c r="K1033" s="8">
        <f>IF($J$1055=0,0,J1033/$J$1055)</f>
        <v/>
      </c>
      <c r="L1033" s="6" t="inlineStr">
        <is>
          <t>REJECTED</t>
        </is>
      </c>
      <c r="M1033" s="8" t="n">
        <v>0</v>
      </c>
      <c r="N1033" s="7">
        <f>M1033*$J$1055-J1033</f>
        <v/>
      </c>
      <c r="O1033" s="9">
        <f>IF(G1033=0,0,N1033/G1033)</f>
        <v/>
      </c>
      <c r="P1033" s="6">
        <f>IF(M1033&gt;0,D1033,"")</f>
        <v/>
      </c>
      <c r="Q1033" s="9">
        <f>I1033+O1033</f>
        <v/>
      </c>
      <c r="R1033" s="7">
        <f>Q1033*G1033</f>
        <v/>
      </c>
      <c r="S1033" s="8">
        <f>IF($R$1055=0,0,R1033/$R$1055)</f>
        <v/>
      </c>
      <c r="T1033" s="8" t="n">
        <v>0</v>
      </c>
      <c r="U1033" s="8" t="n">
        <v>-0.004693878137537966</v>
      </c>
      <c r="V1033" s="6" t="inlineStr">
        <is>
          <t>not selected</t>
        </is>
      </c>
    </row>
    <row r="1034">
      <c r="A1034" s="6" t="inlineStr">
        <is>
          <t>DJ30</t>
        </is>
      </c>
      <c r="B1034" s="6" t="inlineStr">
        <is>
          <t>2023-08-25</t>
        </is>
      </c>
      <c r="C1034" s="6" t="inlineStr">
        <is>
          <t>DIA</t>
        </is>
      </c>
      <c r="D1034" s="6" t="inlineStr">
        <is>
          <t>DIS</t>
        </is>
      </c>
      <c r="E1034" s="6" t="inlineStr">
        <is>
          <t>DIS</t>
        </is>
      </c>
      <c r="F1034" s="6" t="inlineStr">
        <is>
          <t>-</t>
        </is>
      </c>
      <c r="G1034" s="7" t="n">
        <v>81.44208526611328</v>
      </c>
      <c r="H1034" s="6">
        <f>P1003</f>
        <v/>
      </c>
      <c r="I1034" s="9">
        <f>Q1003</f>
        <v/>
      </c>
      <c r="J1034" s="7">
        <f>I1034*G1034</f>
        <v/>
      </c>
      <c r="K1034" s="8">
        <f>IF($J$1055=0,0,J1034/$J$1055)</f>
        <v/>
      </c>
      <c r="L1034" s="6" t="inlineStr">
        <is>
          <t>REJECTED</t>
        </is>
      </c>
      <c r="M1034" s="8" t="n">
        <v>0</v>
      </c>
      <c r="N1034" s="7">
        <f>M1034*$J$1055-J1034</f>
        <v/>
      </c>
      <c r="O1034" s="9">
        <f>IF(G1034=0,0,N1034/G1034)</f>
        <v/>
      </c>
      <c r="P1034" s="6">
        <f>IF(M1034&gt;0,D1034,"")</f>
        <v/>
      </c>
      <c r="Q1034" s="9">
        <f>I1034+O1034</f>
        <v/>
      </c>
      <c r="R1034" s="7">
        <f>Q1034*G1034</f>
        <v/>
      </c>
      <c r="S1034" s="8">
        <f>IF($R$1055=0,0,R1034/$R$1055)</f>
        <v/>
      </c>
      <c r="T1034" s="8" t="n">
        <v>0</v>
      </c>
      <c r="U1034" s="8" t="n">
        <v>-0.004693878137537966</v>
      </c>
      <c r="V1034" s="6" t="inlineStr">
        <is>
          <t>not selected</t>
        </is>
      </c>
    </row>
    <row r="1035">
      <c r="A1035" s="6" t="inlineStr">
        <is>
          <t>DJ30</t>
        </is>
      </c>
      <c r="B1035" s="6" t="inlineStr">
        <is>
          <t>2023-08-25</t>
        </is>
      </c>
      <c r="C1035" s="6" t="inlineStr">
        <is>
          <t>DIA</t>
        </is>
      </c>
      <c r="D1035" s="6" t="inlineStr">
        <is>
          <t>GS</t>
        </is>
      </c>
      <c r="E1035" s="6" t="inlineStr">
        <is>
          <t>GS</t>
        </is>
      </c>
      <c r="F1035" s="6" t="inlineStr">
        <is>
          <t>-</t>
        </is>
      </c>
      <c r="G1035" s="7" t="n">
        <v>298.4264221191406</v>
      </c>
      <c r="H1035" s="6">
        <f>P1004</f>
        <v/>
      </c>
      <c r="I1035" s="9">
        <f>Q1004</f>
        <v/>
      </c>
      <c r="J1035" s="7">
        <f>I1035*G1035</f>
        <v/>
      </c>
      <c r="K1035" s="8">
        <f>IF($J$1055=0,0,J1035/$J$1055)</f>
        <v/>
      </c>
      <c r="L1035" s="6" t="inlineStr">
        <is>
          <t>REJECTED</t>
        </is>
      </c>
      <c r="M1035" s="8" t="n">
        <v>0</v>
      </c>
      <c r="N1035" s="7">
        <f>M1035*$J$1055-J1035</f>
        <v/>
      </c>
      <c r="O1035" s="9">
        <f>IF(G1035=0,0,N1035/G1035)</f>
        <v/>
      </c>
      <c r="P1035" s="6">
        <f>IF(M1035&gt;0,D1035,"")</f>
        <v/>
      </c>
      <c r="Q1035" s="9">
        <f>I1035+O1035</f>
        <v/>
      </c>
      <c r="R1035" s="7">
        <f>Q1035*G1035</f>
        <v/>
      </c>
      <c r="S1035" s="8">
        <f>IF($R$1055=0,0,R1035/$R$1055)</f>
        <v/>
      </c>
      <c r="T1035" s="8" t="n">
        <v>0</v>
      </c>
      <c r="U1035" s="8" t="n">
        <v>-0.004693878137537966</v>
      </c>
      <c r="V1035" s="6" t="inlineStr">
        <is>
          <t>not selected</t>
        </is>
      </c>
    </row>
    <row r="1036">
      <c r="A1036" s="6" t="inlineStr">
        <is>
          <t>DJ30</t>
        </is>
      </c>
      <c r="B1036" s="6" t="inlineStr">
        <is>
          <t>2023-08-25</t>
        </is>
      </c>
      <c r="C1036" s="6" t="inlineStr">
        <is>
          <t>DIA</t>
        </is>
      </c>
      <c r="D1036" s="6" t="inlineStr">
        <is>
          <t>HD</t>
        </is>
      </c>
      <c r="E1036" s="6" t="inlineStr">
        <is>
          <t>HD</t>
        </is>
      </c>
      <c r="F1036" s="6" t="inlineStr">
        <is>
          <t>-</t>
        </is>
      </c>
      <c r="G1036" s="7" t="n">
        <v>299.2265319824219</v>
      </c>
      <c r="H1036" s="6">
        <f>P1005</f>
        <v/>
      </c>
      <c r="I1036" s="9">
        <f>Q1005</f>
        <v/>
      </c>
      <c r="J1036" s="7">
        <f>I1036*G1036</f>
        <v/>
      </c>
      <c r="K1036" s="8">
        <f>IF($J$1055=0,0,J1036/$J$1055)</f>
        <v/>
      </c>
      <c r="L1036" s="6" t="inlineStr">
        <is>
          <t>REJECTED</t>
        </is>
      </c>
      <c r="M1036" s="8" t="n">
        <v>0</v>
      </c>
      <c r="N1036" s="7">
        <f>M1036*$J$1055-J1036</f>
        <v/>
      </c>
      <c r="O1036" s="9">
        <f>IF(G1036=0,0,N1036/G1036)</f>
        <v/>
      </c>
      <c r="P1036" s="6">
        <f>IF(M1036&gt;0,D1036,"")</f>
        <v/>
      </c>
      <c r="Q1036" s="9">
        <f>I1036+O1036</f>
        <v/>
      </c>
      <c r="R1036" s="7">
        <f>Q1036*G1036</f>
        <v/>
      </c>
      <c r="S1036" s="8">
        <f>IF($R$1055=0,0,R1036/$R$1055)</f>
        <v/>
      </c>
      <c r="T1036" s="8" t="n">
        <v>0</v>
      </c>
      <c r="U1036" s="8" t="n">
        <v>-0.004693878137537966</v>
      </c>
      <c r="V1036" s="6" t="inlineStr">
        <is>
          <t>not selected</t>
        </is>
      </c>
    </row>
    <row r="1037">
      <c r="A1037" s="6" t="inlineStr">
        <is>
          <t>DJ30</t>
        </is>
      </c>
      <c r="B1037" s="6" t="inlineStr">
        <is>
          <t>2023-08-25</t>
        </is>
      </c>
      <c r="C1037" s="6" t="inlineStr">
        <is>
          <t>DIA</t>
        </is>
      </c>
      <c r="D1037" s="6" t="inlineStr">
        <is>
          <t>HON</t>
        </is>
      </c>
      <c r="E1037" s="6" t="inlineStr">
        <is>
          <t>HON</t>
        </is>
      </c>
      <c r="F1037" s="6" t="inlineStr">
        <is>
          <t>-</t>
        </is>
      </c>
      <c r="G1037" s="7" t="n">
        <v>165.5244140625</v>
      </c>
      <c r="H1037" s="6">
        <f>P1006</f>
        <v/>
      </c>
      <c r="I1037" s="9">
        <f>Q1006</f>
        <v/>
      </c>
      <c r="J1037" s="7">
        <f>I1037*G1037</f>
        <v/>
      </c>
      <c r="K1037" s="8">
        <f>IF($J$1055=0,0,J1037/$J$1055)</f>
        <v/>
      </c>
      <c r="L1037" s="6" t="inlineStr">
        <is>
          <t>REJECTED</t>
        </is>
      </c>
      <c r="M1037" s="8" t="n">
        <v>0</v>
      </c>
      <c r="N1037" s="7">
        <f>M1037*$J$1055-J1037</f>
        <v/>
      </c>
      <c r="O1037" s="9">
        <f>IF(G1037=0,0,N1037/G1037)</f>
        <v/>
      </c>
      <c r="P1037" s="6">
        <f>IF(M1037&gt;0,D1037,"")</f>
        <v/>
      </c>
      <c r="Q1037" s="9">
        <f>I1037+O1037</f>
        <v/>
      </c>
      <c r="R1037" s="7">
        <f>Q1037*G1037</f>
        <v/>
      </c>
      <c r="S1037" s="8">
        <f>IF($R$1055=0,0,R1037/$R$1055)</f>
        <v/>
      </c>
      <c r="T1037" s="8" t="n">
        <v>0</v>
      </c>
      <c r="U1037" s="8" t="n">
        <v>-0.004693878137537966</v>
      </c>
      <c r="V1037" s="6" t="inlineStr">
        <is>
          <t>not selected</t>
        </is>
      </c>
    </row>
    <row r="1038">
      <c r="A1038" s="6" t="inlineStr">
        <is>
          <t>DJ30</t>
        </is>
      </c>
      <c r="B1038" s="6" t="inlineStr">
        <is>
          <t>2023-08-25</t>
        </is>
      </c>
      <c r="C1038" s="6" t="inlineStr">
        <is>
          <t>DIA</t>
        </is>
      </c>
      <c r="D1038" s="6" t="inlineStr">
        <is>
          <t>IBM</t>
        </is>
      </c>
      <c r="E1038" s="6" t="inlineStr">
        <is>
          <t>IBM</t>
        </is>
      </c>
      <c r="F1038" s="6" t="inlineStr">
        <is>
          <t>-</t>
        </is>
      </c>
      <c r="G1038" s="7" t="n">
        <v>133.4634704589844</v>
      </c>
      <c r="H1038" s="6">
        <f>P1007</f>
        <v/>
      </c>
      <c r="I1038" s="9">
        <f>Q1007</f>
        <v/>
      </c>
      <c r="J1038" s="7">
        <f>I1038*G1038</f>
        <v/>
      </c>
      <c r="K1038" s="8">
        <f>IF($J$1055=0,0,J1038/$J$1055)</f>
        <v/>
      </c>
      <c r="L1038" s="6" t="inlineStr">
        <is>
          <t>REJECTED</t>
        </is>
      </c>
      <c r="M1038" s="8" t="n">
        <v>0</v>
      </c>
      <c r="N1038" s="7">
        <f>M1038*$J$1055-J1038</f>
        <v/>
      </c>
      <c r="O1038" s="9">
        <f>IF(G1038=0,0,N1038/G1038)</f>
        <v/>
      </c>
      <c r="P1038" s="6">
        <f>IF(M1038&gt;0,D1038,"")</f>
        <v/>
      </c>
      <c r="Q1038" s="9">
        <f>I1038+O1038</f>
        <v/>
      </c>
      <c r="R1038" s="7">
        <f>Q1038*G1038</f>
        <v/>
      </c>
      <c r="S1038" s="8">
        <f>IF($R$1055=0,0,R1038/$R$1055)</f>
        <v/>
      </c>
      <c r="T1038" s="8" t="n">
        <v>0</v>
      </c>
      <c r="U1038" s="8" t="n">
        <v>-0.004693878137537966</v>
      </c>
      <c r="V1038" s="6" t="inlineStr">
        <is>
          <t>not selected</t>
        </is>
      </c>
    </row>
    <row r="1039">
      <c r="A1039" s="6" t="inlineStr">
        <is>
          <t>DJ30</t>
        </is>
      </c>
      <c r="B1039" s="6" t="inlineStr">
        <is>
          <t>2023-08-25</t>
        </is>
      </c>
      <c r="C1039" s="6" t="inlineStr">
        <is>
          <t>DIA</t>
        </is>
      </c>
      <c r="D1039" s="6" t="inlineStr">
        <is>
          <t>JNJ</t>
        </is>
      </c>
      <c r="E1039" s="6" t="inlineStr">
        <is>
          <t>JNJ</t>
        </is>
      </c>
      <c r="F1039" s="6" t="inlineStr">
        <is>
          <t>-</t>
        </is>
      </c>
      <c r="G1039" s="7" t="n">
        <v>153.4170684814453</v>
      </c>
      <c r="H1039" s="6">
        <f>P1008</f>
        <v/>
      </c>
      <c r="I1039" s="9">
        <f>Q1008</f>
        <v/>
      </c>
      <c r="J1039" s="7">
        <f>I1039*G1039</f>
        <v/>
      </c>
      <c r="K1039" s="8">
        <f>IF($J$1055=0,0,J1039/$J$1055)</f>
        <v/>
      </c>
      <c r="L1039" s="6" t="inlineStr">
        <is>
          <t>REJECTED</t>
        </is>
      </c>
      <c r="M1039" s="8" t="n">
        <v>0</v>
      </c>
      <c r="N1039" s="7">
        <f>M1039*$J$1055-J1039</f>
        <v/>
      </c>
      <c r="O1039" s="9">
        <f>IF(G1039=0,0,N1039/G1039)</f>
        <v/>
      </c>
      <c r="P1039" s="6">
        <f>IF(M1039&gt;0,D1039,"")</f>
        <v/>
      </c>
      <c r="Q1039" s="9">
        <f>I1039+O1039</f>
        <v/>
      </c>
      <c r="R1039" s="7">
        <f>Q1039*G1039</f>
        <v/>
      </c>
      <c r="S1039" s="8">
        <f>IF($R$1055=0,0,R1039/$R$1055)</f>
        <v/>
      </c>
      <c r="T1039" s="8" t="n">
        <v>0</v>
      </c>
      <c r="U1039" s="8" t="n">
        <v>-0.004693878137537966</v>
      </c>
      <c r="V1039" s="6" t="inlineStr">
        <is>
          <t>not selected</t>
        </is>
      </c>
    </row>
    <row r="1040">
      <c r="A1040" s="6" t="inlineStr">
        <is>
          <t>DJ30</t>
        </is>
      </c>
      <c r="B1040" s="6" t="inlineStr">
        <is>
          <t>2023-08-25</t>
        </is>
      </c>
      <c r="C1040" s="6" t="inlineStr">
        <is>
          <t>DIA</t>
        </is>
      </c>
      <c r="D1040" s="6" t="inlineStr">
        <is>
          <t>JPM</t>
        </is>
      </c>
      <c r="E1040" s="6" t="inlineStr">
        <is>
          <t>JPM</t>
        </is>
      </c>
      <c r="F1040" s="6" t="inlineStr">
        <is>
          <t>-</t>
        </is>
      </c>
      <c r="G1040" s="7" t="n">
        <v>138.2783966064453</v>
      </c>
      <c r="H1040" s="6">
        <f>P1009</f>
        <v/>
      </c>
      <c r="I1040" s="9">
        <f>Q1009</f>
        <v/>
      </c>
      <c r="J1040" s="7">
        <f>I1040*G1040</f>
        <v/>
      </c>
      <c r="K1040" s="8">
        <f>IF($J$1055=0,0,J1040/$J$1055)</f>
        <v/>
      </c>
      <c r="L1040" s="6" t="inlineStr">
        <is>
          <t>REJECTED</t>
        </is>
      </c>
      <c r="M1040" s="8" t="n">
        <v>0</v>
      </c>
      <c r="N1040" s="7">
        <f>M1040*$J$1055-J1040</f>
        <v/>
      </c>
      <c r="O1040" s="9">
        <f>IF(G1040=0,0,N1040/G1040)</f>
        <v/>
      </c>
      <c r="P1040" s="6">
        <f>IF(M1040&gt;0,D1040,"")</f>
        <v/>
      </c>
      <c r="Q1040" s="9">
        <f>I1040+O1040</f>
        <v/>
      </c>
      <c r="R1040" s="7">
        <f>Q1040*G1040</f>
        <v/>
      </c>
      <c r="S1040" s="8">
        <f>IF($R$1055=0,0,R1040/$R$1055)</f>
        <v/>
      </c>
      <c r="T1040" s="8" t="n">
        <v>0</v>
      </c>
      <c r="U1040" s="8" t="n">
        <v>-0.004693878137537966</v>
      </c>
      <c r="V1040" s="6" t="inlineStr">
        <is>
          <t>not selected</t>
        </is>
      </c>
    </row>
    <row r="1041">
      <c r="A1041" s="6" t="inlineStr">
        <is>
          <t>DJ30</t>
        </is>
      </c>
      <c r="B1041" s="6" t="inlineStr">
        <is>
          <t>2023-08-25</t>
        </is>
      </c>
      <c r="C1041" s="6" t="inlineStr">
        <is>
          <t>DIA</t>
        </is>
      </c>
      <c r="D1041" s="6" t="inlineStr">
        <is>
          <t>KO</t>
        </is>
      </c>
      <c r="E1041" s="6" t="inlineStr">
        <is>
          <t>KO</t>
        </is>
      </c>
      <c r="F1041" s="6" t="inlineStr">
        <is>
          <t>-</t>
        </is>
      </c>
      <c r="G1041" s="7" t="n">
        <v>55.28717422485352</v>
      </c>
      <c r="H1041" s="6">
        <f>P1010</f>
        <v/>
      </c>
      <c r="I1041" s="9">
        <f>Q1010</f>
        <v/>
      </c>
      <c r="J1041" s="7">
        <f>I1041*G1041</f>
        <v/>
      </c>
      <c r="K1041" s="8">
        <f>IF($J$1055=0,0,J1041/$J$1055)</f>
        <v/>
      </c>
      <c r="L1041" s="6" t="inlineStr">
        <is>
          <t>REJECTED</t>
        </is>
      </c>
      <c r="M1041" s="8" t="n">
        <v>0</v>
      </c>
      <c r="N1041" s="7">
        <f>M1041*$J$1055-J1041</f>
        <v/>
      </c>
      <c r="O1041" s="9">
        <f>IF(G1041=0,0,N1041/G1041)</f>
        <v/>
      </c>
      <c r="P1041" s="6">
        <f>IF(M1041&gt;0,D1041,"")</f>
        <v/>
      </c>
      <c r="Q1041" s="9">
        <f>I1041+O1041</f>
        <v/>
      </c>
      <c r="R1041" s="7">
        <f>Q1041*G1041</f>
        <v/>
      </c>
      <c r="S1041" s="8">
        <f>IF($R$1055=0,0,R1041/$R$1055)</f>
        <v/>
      </c>
      <c r="T1041" s="8" t="n">
        <v>0</v>
      </c>
      <c r="U1041" s="8" t="n">
        <v>-0.004693878137537966</v>
      </c>
      <c r="V1041" s="6" t="inlineStr">
        <is>
          <t>not selected</t>
        </is>
      </c>
    </row>
    <row r="1042">
      <c r="A1042" s="6" t="inlineStr">
        <is>
          <t>DJ30</t>
        </is>
      </c>
      <c r="B1042" s="6" t="inlineStr">
        <is>
          <t>2023-08-25</t>
        </is>
      </c>
      <c r="C1042" s="6" t="inlineStr">
        <is>
          <t>DIA</t>
        </is>
      </c>
      <c r="D1042" s="6" t="inlineStr">
        <is>
          <t>MCD</t>
        </is>
      </c>
      <c r="E1042" s="6" t="inlineStr">
        <is>
          <t>MCD</t>
        </is>
      </c>
      <c r="F1042" s="6" t="inlineStr">
        <is>
          <t>-</t>
        </is>
      </c>
      <c r="G1042" s="7" t="n">
        <v>265.1636352539062</v>
      </c>
      <c r="H1042" s="6">
        <f>P1011</f>
        <v/>
      </c>
      <c r="I1042" s="9">
        <f>Q1011</f>
        <v/>
      </c>
      <c r="J1042" s="7">
        <f>I1042*G1042</f>
        <v/>
      </c>
      <c r="K1042" s="8">
        <f>IF($J$1055=0,0,J1042/$J$1055)</f>
        <v/>
      </c>
      <c r="L1042" s="6" t="inlineStr">
        <is>
          <t>REJECTED</t>
        </is>
      </c>
      <c r="M1042" s="8" t="n">
        <v>0</v>
      </c>
      <c r="N1042" s="7">
        <f>M1042*$J$1055-J1042</f>
        <v/>
      </c>
      <c r="O1042" s="9">
        <f>IF(G1042=0,0,N1042/G1042)</f>
        <v/>
      </c>
      <c r="P1042" s="6">
        <f>IF(M1042&gt;0,D1042,"")</f>
        <v/>
      </c>
      <c r="Q1042" s="9">
        <f>I1042+O1042</f>
        <v/>
      </c>
      <c r="R1042" s="7">
        <f>Q1042*G1042</f>
        <v/>
      </c>
      <c r="S1042" s="8">
        <f>IF($R$1055=0,0,R1042/$R$1055)</f>
        <v/>
      </c>
      <c r="T1042" s="8" t="n">
        <v>0</v>
      </c>
      <c r="U1042" s="8" t="n">
        <v>-0.004693878137537966</v>
      </c>
      <c r="V1042" s="6" t="inlineStr">
        <is>
          <t>not selected</t>
        </is>
      </c>
    </row>
    <row r="1043">
      <c r="A1043" s="6" t="inlineStr">
        <is>
          <t>DJ30</t>
        </is>
      </c>
      <c r="B1043" s="6" t="inlineStr">
        <is>
          <t>2023-08-25</t>
        </is>
      </c>
      <c r="C1043" s="6" t="inlineStr">
        <is>
          <t>DIA</t>
        </is>
      </c>
      <c r="D1043" s="6" t="inlineStr">
        <is>
          <t>MMM</t>
        </is>
      </c>
      <c r="E1043" s="6" t="inlineStr">
        <is>
          <t>MMM</t>
        </is>
      </c>
      <c r="F1043" s="6" t="inlineStr">
        <is>
          <t>-</t>
        </is>
      </c>
      <c r="G1043" s="7" t="n">
        <v>76.52392578125</v>
      </c>
      <c r="H1043" s="6">
        <f>P1012</f>
        <v/>
      </c>
      <c r="I1043" s="9">
        <f>Q1012</f>
        <v/>
      </c>
      <c r="J1043" s="7">
        <f>I1043*G1043</f>
        <v/>
      </c>
      <c r="K1043" s="8">
        <f>IF($J$1055=0,0,J1043/$J$1055)</f>
        <v/>
      </c>
      <c r="L1043" s="6" t="inlineStr">
        <is>
          <t>REJECTED</t>
        </is>
      </c>
      <c r="M1043" s="8" t="n">
        <v>0</v>
      </c>
      <c r="N1043" s="7">
        <f>M1043*$J$1055-J1043</f>
        <v/>
      </c>
      <c r="O1043" s="9">
        <f>IF(G1043=0,0,N1043/G1043)</f>
        <v/>
      </c>
      <c r="P1043" s="6">
        <f>IF(M1043&gt;0,D1043,"")</f>
        <v/>
      </c>
      <c r="Q1043" s="9">
        <f>I1043+O1043</f>
        <v/>
      </c>
      <c r="R1043" s="7">
        <f>Q1043*G1043</f>
        <v/>
      </c>
      <c r="S1043" s="8">
        <f>IF($R$1055=0,0,R1043/$R$1055)</f>
        <v/>
      </c>
      <c r="T1043" s="8" t="n">
        <v>0</v>
      </c>
      <c r="U1043" s="8" t="n">
        <v>-0.004693878137537966</v>
      </c>
      <c r="V1043" s="6" t="inlineStr">
        <is>
          <t>not selected</t>
        </is>
      </c>
    </row>
    <row r="1044">
      <c r="A1044" s="6" t="inlineStr">
        <is>
          <t>DJ30</t>
        </is>
      </c>
      <c r="B1044" s="6" t="inlineStr">
        <is>
          <t>2023-08-25</t>
        </is>
      </c>
      <c r="C1044" s="6" t="inlineStr">
        <is>
          <t>DIA</t>
        </is>
      </c>
      <c r="D1044" s="6" t="inlineStr">
        <is>
          <t>MRK</t>
        </is>
      </c>
      <c r="E1044" s="6" t="inlineStr">
        <is>
          <t>MRK</t>
        </is>
      </c>
      <c r="F1044" s="6" t="inlineStr">
        <is>
          <t>-</t>
        </is>
      </c>
      <c r="G1044" s="7" t="n">
        <v>100.4841613769531</v>
      </c>
      <c r="H1044" s="6">
        <f>P1013</f>
        <v/>
      </c>
      <c r="I1044" s="9">
        <f>Q1013</f>
        <v/>
      </c>
      <c r="J1044" s="7">
        <f>I1044*G1044</f>
        <v/>
      </c>
      <c r="K1044" s="8">
        <f>IF($J$1055=0,0,J1044/$J$1055)</f>
        <v/>
      </c>
      <c r="L1044" s="6" t="inlineStr">
        <is>
          <t>REJECTED</t>
        </is>
      </c>
      <c r="M1044" s="8" t="n">
        <v>0</v>
      </c>
      <c r="N1044" s="7">
        <f>M1044*$J$1055-J1044</f>
        <v/>
      </c>
      <c r="O1044" s="9">
        <f>IF(G1044=0,0,N1044/G1044)</f>
        <v/>
      </c>
      <c r="P1044" s="6">
        <f>IF(M1044&gt;0,D1044,"")</f>
        <v/>
      </c>
      <c r="Q1044" s="9">
        <f>I1044+O1044</f>
        <v/>
      </c>
      <c r="R1044" s="7">
        <f>Q1044*G1044</f>
        <v/>
      </c>
      <c r="S1044" s="8">
        <f>IF($R$1055=0,0,R1044/$R$1055)</f>
        <v/>
      </c>
      <c r="T1044" s="8" t="n">
        <v>0</v>
      </c>
      <c r="U1044" s="8" t="n">
        <v>-0.004693878137537966</v>
      </c>
      <c r="V1044" s="6" t="inlineStr">
        <is>
          <t>not selected</t>
        </is>
      </c>
    </row>
    <row r="1045">
      <c r="A1045" s="6" t="inlineStr">
        <is>
          <t>DJ30</t>
        </is>
      </c>
      <c r="B1045" s="6" t="inlineStr">
        <is>
          <t>2023-08-25</t>
        </is>
      </c>
      <c r="C1045" s="6" t="inlineStr">
        <is>
          <t>DIA</t>
        </is>
      </c>
      <c r="D1045" s="6" t="inlineStr">
        <is>
          <t>MSFT</t>
        </is>
      </c>
      <c r="E1045" s="6" t="inlineStr">
        <is>
          <t>MSFT</t>
        </is>
      </c>
      <c r="F1045" s="6" t="inlineStr">
        <is>
          <t>-</t>
        </is>
      </c>
      <c r="G1045" s="7" t="n">
        <v>316.1824951171875</v>
      </c>
      <c r="H1045" s="6">
        <f>P1014</f>
        <v/>
      </c>
      <c r="I1045" s="9">
        <f>Q1014</f>
        <v/>
      </c>
      <c r="J1045" s="7">
        <f>I1045*G1045</f>
        <v/>
      </c>
      <c r="K1045" s="8">
        <f>IF($J$1055=0,0,J1045/$J$1055)</f>
        <v/>
      </c>
      <c r="L1045" s="6" t="inlineStr">
        <is>
          <t>REJECTED</t>
        </is>
      </c>
      <c r="M1045" s="8" t="n">
        <v>0</v>
      </c>
      <c r="N1045" s="7">
        <f>M1045*$J$1055-J1045</f>
        <v/>
      </c>
      <c r="O1045" s="9">
        <f>IF(G1045=0,0,N1045/G1045)</f>
        <v/>
      </c>
      <c r="P1045" s="6">
        <f>IF(M1045&gt;0,D1045,"")</f>
        <v/>
      </c>
      <c r="Q1045" s="9">
        <f>I1045+O1045</f>
        <v/>
      </c>
      <c r="R1045" s="7">
        <f>Q1045*G1045</f>
        <v/>
      </c>
      <c r="S1045" s="8">
        <f>IF($R$1055=0,0,R1045/$R$1055)</f>
        <v/>
      </c>
      <c r="T1045" s="8" t="n">
        <v>0</v>
      </c>
      <c r="U1045" s="8" t="n">
        <v>-0.004693878137537966</v>
      </c>
      <c r="V1045" s="6" t="inlineStr">
        <is>
          <t>not selected</t>
        </is>
      </c>
    </row>
    <row r="1046">
      <c r="A1046" s="6" t="inlineStr">
        <is>
          <t>DJ30</t>
        </is>
      </c>
      <c r="B1046" s="6" t="inlineStr">
        <is>
          <t>2023-08-25</t>
        </is>
      </c>
      <c r="C1046" s="6" t="inlineStr">
        <is>
          <t>DIA</t>
        </is>
      </c>
      <c r="D1046" s="6" t="inlineStr">
        <is>
          <t>NKE</t>
        </is>
      </c>
      <c r="E1046" s="6" t="inlineStr">
        <is>
          <t>NKE</t>
        </is>
      </c>
      <c r="F1046" s="6" t="inlineStr">
        <is>
          <t>-</t>
        </is>
      </c>
      <c r="G1046" s="7" t="n">
        <v>92.85515594482422</v>
      </c>
      <c r="H1046" s="6">
        <f>P1015</f>
        <v/>
      </c>
      <c r="I1046" s="9">
        <f>Q1015</f>
        <v/>
      </c>
      <c r="J1046" s="7">
        <f>I1046*G1046</f>
        <v/>
      </c>
      <c r="K1046" s="8">
        <f>IF($J$1055=0,0,J1046/$J$1055)</f>
        <v/>
      </c>
      <c r="L1046" s="6" t="inlineStr">
        <is>
          <t>REJECTED</t>
        </is>
      </c>
      <c r="M1046" s="8" t="n">
        <v>0</v>
      </c>
      <c r="N1046" s="7">
        <f>M1046*$J$1055-J1046</f>
        <v/>
      </c>
      <c r="O1046" s="9">
        <f>IF(G1046=0,0,N1046/G1046)</f>
        <v/>
      </c>
      <c r="P1046" s="6">
        <f>IF(M1046&gt;0,D1046,"")</f>
        <v/>
      </c>
      <c r="Q1046" s="9">
        <f>I1046+O1046</f>
        <v/>
      </c>
      <c r="R1046" s="7">
        <f>Q1046*G1046</f>
        <v/>
      </c>
      <c r="S1046" s="8">
        <f>IF($R$1055=0,0,R1046/$R$1055)</f>
        <v/>
      </c>
      <c r="T1046" s="8" t="n">
        <v>0</v>
      </c>
      <c r="U1046" s="8" t="n">
        <v>-0.004693878137537966</v>
      </c>
      <c r="V1046" s="6" t="inlineStr">
        <is>
          <t>not selected</t>
        </is>
      </c>
    </row>
    <row r="1047">
      <c r="A1047" s="6" t="inlineStr">
        <is>
          <t>DJ30</t>
        </is>
      </c>
      <c r="B1047" s="6" t="inlineStr">
        <is>
          <t>2023-08-25</t>
        </is>
      </c>
      <c r="C1047" s="6" t="inlineStr">
        <is>
          <t>DIA</t>
        </is>
      </c>
      <c r="D1047" s="6" t="inlineStr">
        <is>
          <t>NVDA</t>
        </is>
      </c>
      <c r="E1047" s="6" t="inlineStr">
        <is>
          <t>NVDA</t>
        </is>
      </c>
      <c r="F1047" s="6" t="inlineStr">
        <is>
          <t>-</t>
        </is>
      </c>
      <c r="G1047" s="7" t="n">
        <v>45.92852401733398</v>
      </c>
      <c r="H1047" s="6">
        <f>P1016</f>
        <v/>
      </c>
      <c r="I1047" s="9">
        <f>Q1016</f>
        <v/>
      </c>
      <c r="J1047" s="7">
        <f>I1047*G1047</f>
        <v/>
      </c>
      <c r="K1047" s="8">
        <f>IF($J$1055=0,0,J1047/$J$1055)</f>
        <v/>
      </c>
      <c r="L1047" s="6" t="inlineStr">
        <is>
          <t>REJECTED</t>
        </is>
      </c>
      <c r="M1047" s="8" t="n">
        <v>0</v>
      </c>
      <c r="N1047" s="7">
        <f>M1047*$J$1055-J1047</f>
        <v/>
      </c>
      <c r="O1047" s="9">
        <f>IF(G1047=0,0,N1047/G1047)</f>
        <v/>
      </c>
      <c r="P1047" s="6">
        <f>IF(M1047&gt;0,D1047,"")</f>
        <v/>
      </c>
      <c r="Q1047" s="9">
        <f>I1047+O1047</f>
        <v/>
      </c>
      <c r="R1047" s="7">
        <f>Q1047*G1047</f>
        <v/>
      </c>
      <c r="S1047" s="8">
        <f>IF($R$1055=0,0,R1047/$R$1055)</f>
        <v/>
      </c>
      <c r="T1047" s="8" t="n">
        <v>0</v>
      </c>
      <c r="U1047" s="8" t="n">
        <v>-0.004693878137537966</v>
      </c>
      <c r="V1047" s="6" t="inlineStr">
        <is>
          <t>not selected</t>
        </is>
      </c>
    </row>
    <row r="1048">
      <c r="A1048" s="6" t="inlineStr">
        <is>
          <t>DJ30</t>
        </is>
      </c>
      <c r="B1048" s="6" t="inlineStr">
        <is>
          <t>2023-08-25</t>
        </is>
      </c>
      <c r="C1048" s="6" t="inlineStr">
        <is>
          <t>DIA</t>
        </is>
      </c>
      <c r="D1048" s="6" t="inlineStr">
        <is>
          <t>PG</t>
        </is>
      </c>
      <c r="E1048" s="6" t="inlineStr">
        <is>
          <t>PG</t>
        </is>
      </c>
      <c r="F1048" s="6" t="inlineStr">
        <is>
          <t>-</t>
        </is>
      </c>
      <c r="G1048" s="7" t="n">
        <v>142.9399719238281</v>
      </c>
      <c r="H1048" s="6">
        <f>P1017</f>
        <v/>
      </c>
      <c r="I1048" s="9">
        <f>Q1017</f>
        <v/>
      </c>
      <c r="J1048" s="7">
        <f>I1048*G1048</f>
        <v/>
      </c>
      <c r="K1048" s="8">
        <f>IF($J$1055=0,0,J1048/$J$1055)</f>
        <v/>
      </c>
      <c r="L1048" s="6" t="inlineStr">
        <is>
          <t>REJECTED</t>
        </is>
      </c>
      <c r="M1048" s="8" t="n">
        <v>0</v>
      </c>
      <c r="N1048" s="7">
        <f>M1048*$J$1055-J1048</f>
        <v/>
      </c>
      <c r="O1048" s="9">
        <f>IF(G1048=0,0,N1048/G1048)</f>
        <v/>
      </c>
      <c r="P1048" s="6">
        <f>IF(M1048&gt;0,D1048,"")</f>
        <v/>
      </c>
      <c r="Q1048" s="9">
        <f>I1048+O1048</f>
        <v/>
      </c>
      <c r="R1048" s="7">
        <f>Q1048*G1048</f>
        <v/>
      </c>
      <c r="S1048" s="8">
        <f>IF($R$1055=0,0,R1048/$R$1055)</f>
        <v/>
      </c>
      <c r="T1048" s="8" t="n">
        <v>0</v>
      </c>
      <c r="U1048" s="8" t="n">
        <v>-0.004693878137537966</v>
      </c>
      <c r="V1048" s="6" t="inlineStr">
        <is>
          <t>not selected</t>
        </is>
      </c>
    </row>
    <row r="1049">
      <c r="A1049" s="6" t="inlineStr">
        <is>
          <t>DJ30</t>
        </is>
      </c>
      <c r="B1049" s="6" t="inlineStr">
        <is>
          <t>2023-08-25</t>
        </is>
      </c>
      <c r="C1049" s="6" t="inlineStr">
        <is>
          <t>DIA</t>
        </is>
      </c>
      <c r="D1049" s="6" t="inlineStr">
        <is>
          <t>SHW</t>
        </is>
      </c>
      <c r="E1049" s="6" t="inlineStr">
        <is>
          <t>SHW</t>
        </is>
      </c>
      <c r="F1049" s="6" t="inlineStr">
        <is>
          <t>-</t>
        </is>
      </c>
      <c r="G1049" s="7" t="n">
        <v>258.2771301269531</v>
      </c>
      <c r="H1049" s="6">
        <f>P1018</f>
        <v/>
      </c>
      <c r="I1049" s="9">
        <f>Q1018</f>
        <v/>
      </c>
      <c r="J1049" s="7">
        <f>I1049*G1049</f>
        <v/>
      </c>
      <c r="K1049" s="8">
        <f>IF($J$1055=0,0,J1049/$J$1055)</f>
        <v/>
      </c>
      <c r="L1049" s="6" t="inlineStr">
        <is>
          <t>REJECTED</t>
        </is>
      </c>
      <c r="M1049" s="8" t="n">
        <v>0</v>
      </c>
      <c r="N1049" s="7">
        <f>M1049*$J$1055-J1049</f>
        <v/>
      </c>
      <c r="O1049" s="9">
        <f>IF(G1049=0,0,N1049/G1049)</f>
        <v/>
      </c>
      <c r="P1049" s="6">
        <f>IF(M1049&gt;0,D1049,"")</f>
        <v/>
      </c>
      <c r="Q1049" s="9">
        <f>I1049+O1049</f>
        <v/>
      </c>
      <c r="R1049" s="7">
        <f>Q1049*G1049</f>
        <v/>
      </c>
      <c r="S1049" s="8">
        <f>IF($R$1055=0,0,R1049/$R$1055)</f>
        <v/>
      </c>
      <c r="T1049" s="8" t="n">
        <v>0</v>
      </c>
      <c r="U1049" s="8" t="n">
        <v>-0.004693878137537966</v>
      </c>
      <c r="V1049" s="6" t="inlineStr">
        <is>
          <t>not selected</t>
        </is>
      </c>
    </row>
    <row r="1050">
      <c r="A1050" s="6" t="inlineStr">
        <is>
          <t>DJ30</t>
        </is>
      </c>
      <c r="B1050" s="6" t="inlineStr">
        <is>
          <t>2023-08-25</t>
        </is>
      </c>
      <c r="C1050" s="6" t="inlineStr">
        <is>
          <t>DIA</t>
        </is>
      </c>
      <c r="D1050" s="6" t="inlineStr">
        <is>
          <t>TRV</t>
        </is>
      </c>
      <c r="E1050" s="6" t="inlineStr">
        <is>
          <t>TRV</t>
        </is>
      </c>
      <c r="F1050" s="6" t="inlineStr">
        <is>
          <t>-</t>
        </is>
      </c>
      <c r="G1050" s="7" t="n">
        <v>153.1840209960938</v>
      </c>
      <c r="H1050" s="6">
        <f>P1019</f>
        <v/>
      </c>
      <c r="I1050" s="9">
        <f>Q1019</f>
        <v/>
      </c>
      <c r="J1050" s="7">
        <f>I1050*G1050</f>
        <v/>
      </c>
      <c r="K1050" s="8">
        <f>IF($J$1055=0,0,J1050/$J$1055)</f>
        <v/>
      </c>
      <c r="L1050" s="6" t="inlineStr">
        <is>
          <t>REJECTED</t>
        </is>
      </c>
      <c r="M1050" s="8" t="n">
        <v>0</v>
      </c>
      <c r="N1050" s="7">
        <f>M1050*$J$1055-J1050</f>
        <v/>
      </c>
      <c r="O1050" s="9">
        <f>IF(G1050=0,0,N1050/G1050)</f>
        <v/>
      </c>
      <c r="P1050" s="6">
        <f>IF(M1050&gt;0,D1050,"")</f>
        <v/>
      </c>
      <c r="Q1050" s="9">
        <f>I1050+O1050</f>
        <v/>
      </c>
      <c r="R1050" s="7">
        <f>Q1050*G1050</f>
        <v/>
      </c>
      <c r="S1050" s="8">
        <f>IF($R$1055=0,0,R1050/$R$1055)</f>
        <v/>
      </c>
      <c r="T1050" s="8" t="n">
        <v>0</v>
      </c>
      <c r="U1050" s="8" t="n">
        <v>-0.004693878137537966</v>
      </c>
      <c r="V1050" s="6" t="inlineStr">
        <is>
          <t>not selected</t>
        </is>
      </c>
    </row>
    <row r="1051">
      <c r="A1051" s="6" t="inlineStr">
        <is>
          <t>DJ30</t>
        </is>
      </c>
      <c r="B1051" s="6" t="inlineStr">
        <is>
          <t>2023-08-25</t>
        </is>
      </c>
      <c r="C1051" s="6" t="inlineStr">
        <is>
          <t>DIA</t>
        </is>
      </c>
      <c r="D1051" s="6" t="inlineStr">
        <is>
          <t>UNH</t>
        </is>
      </c>
      <c r="E1051" s="6" t="inlineStr">
        <is>
          <t>UNH</t>
        </is>
      </c>
      <c r="F1051" s="6" t="inlineStr">
        <is>
          <t>-</t>
        </is>
      </c>
      <c r="G1051" s="7" t="n">
        <v>460.3622131347656</v>
      </c>
      <c r="H1051" s="6">
        <f>P1020</f>
        <v/>
      </c>
      <c r="I1051" s="9">
        <f>Q1020</f>
        <v/>
      </c>
      <c r="J1051" s="7">
        <f>I1051*G1051</f>
        <v/>
      </c>
      <c r="K1051" s="8">
        <f>IF($J$1055=0,0,J1051/$J$1055)</f>
        <v/>
      </c>
      <c r="L1051" s="6" t="inlineStr">
        <is>
          <t>REJECTED</t>
        </is>
      </c>
      <c r="M1051" s="8" t="n">
        <v>0</v>
      </c>
      <c r="N1051" s="7">
        <f>M1051*$J$1055-J1051</f>
        <v/>
      </c>
      <c r="O1051" s="9">
        <f>IF(G1051=0,0,N1051/G1051)</f>
        <v/>
      </c>
      <c r="P1051" s="6">
        <f>IF(M1051&gt;0,D1051,"")</f>
        <v/>
      </c>
      <c r="Q1051" s="9">
        <f>I1051+O1051</f>
        <v/>
      </c>
      <c r="R1051" s="7">
        <f>Q1051*G1051</f>
        <v/>
      </c>
      <c r="S1051" s="8">
        <f>IF($R$1055=0,0,R1051/$R$1055)</f>
        <v/>
      </c>
      <c r="T1051" s="8" t="n">
        <v>0</v>
      </c>
      <c r="U1051" s="8" t="n">
        <v>-0.004693878137537966</v>
      </c>
      <c r="V1051" s="6" t="inlineStr">
        <is>
          <t>not selected</t>
        </is>
      </c>
    </row>
    <row r="1052">
      <c r="A1052" s="6" t="inlineStr">
        <is>
          <t>DJ30</t>
        </is>
      </c>
      <c r="B1052" s="6" t="inlineStr">
        <is>
          <t>2023-08-25</t>
        </is>
      </c>
      <c r="C1052" s="6" t="inlineStr">
        <is>
          <t>DIA</t>
        </is>
      </c>
      <c r="D1052" s="6" t="inlineStr">
        <is>
          <t>V</t>
        </is>
      </c>
      <c r="E1052" s="6" t="inlineStr">
        <is>
          <t>V</t>
        </is>
      </c>
      <c r="F1052" s="6" t="inlineStr">
        <is>
          <t>-</t>
        </is>
      </c>
      <c r="G1052" s="7" t="n">
        <v>237.5410919189453</v>
      </c>
      <c r="H1052" s="6">
        <f>P1021</f>
        <v/>
      </c>
      <c r="I1052" s="9">
        <f>Q1021</f>
        <v/>
      </c>
      <c r="J1052" s="7">
        <f>I1052*G1052</f>
        <v/>
      </c>
      <c r="K1052" s="8">
        <f>IF($J$1055=0,0,J1052/$J$1055)</f>
        <v/>
      </c>
      <c r="L1052" s="6" t="inlineStr">
        <is>
          <t>REJECTED</t>
        </is>
      </c>
      <c r="M1052" s="8" t="n">
        <v>0</v>
      </c>
      <c r="N1052" s="7">
        <f>M1052*$J$1055-J1052</f>
        <v/>
      </c>
      <c r="O1052" s="9">
        <f>IF(G1052=0,0,N1052/G1052)</f>
        <v/>
      </c>
      <c r="P1052" s="6">
        <f>IF(M1052&gt;0,D1052,"")</f>
        <v/>
      </c>
      <c r="Q1052" s="9">
        <f>I1052+O1052</f>
        <v/>
      </c>
      <c r="R1052" s="7">
        <f>Q1052*G1052</f>
        <v/>
      </c>
      <c r="S1052" s="8">
        <f>IF($R$1055=0,0,R1052/$R$1055)</f>
        <v/>
      </c>
      <c r="T1052" s="8" t="n">
        <v>0</v>
      </c>
      <c r="U1052" s="8" t="n">
        <v>-0.004693878137537966</v>
      </c>
      <c r="V1052" s="6" t="inlineStr">
        <is>
          <t>not selected</t>
        </is>
      </c>
    </row>
    <row r="1053">
      <c r="A1053" s="6" t="inlineStr">
        <is>
          <t>DJ30</t>
        </is>
      </c>
      <c r="B1053" s="6" t="inlineStr">
        <is>
          <t>2023-08-25</t>
        </is>
      </c>
      <c r="C1053" s="6" t="inlineStr">
        <is>
          <t>DIA</t>
        </is>
      </c>
      <c r="D1053" s="6" t="inlineStr">
        <is>
          <t>VZ</t>
        </is>
      </c>
      <c r="E1053" s="6" t="inlineStr">
        <is>
          <t>VZ</t>
        </is>
      </c>
      <c r="F1053" s="6" t="inlineStr">
        <is>
          <t>-</t>
        </is>
      </c>
      <c r="G1053" s="7" t="n">
        <v>27.73556900024414</v>
      </c>
      <c r="H1053" s="6">
        <f>P1022</f>
        <v/>
      </c>
      <c r="I1053" s="9">
        <f>Q1022</f>
        <v/>
      </c>
      <c r="J1053" s="7">
        <f>I1053*G1053</f>
        <v/>
      </c>
      <c r="K1053" s="8">
        <f>IF($J$1055=0,0,J1053/$J$1055)</f>
        <v/>
      </c>
      <c r="L1053" s="6" t="inlineStr">
        <is>
          <t>REJECTED</t>
        </is>
      </c>
      <c r="M1053" s="8" t="n">
        <v>0</v>
      </c>
      <c r="N1053" s="7">
        <f>M1053*$J$1055-J1053</f>
        <v/>
      </c>
      <c r="O1053" s="9">
        <f>IF(G1053=0,0,N1053/G1053)</f>
        <v/>
      </c>
      <c r="P1053" s="6">
        <f>IF(M1053&gt;0,D1053,"")</f>
        <v/>
      </c>
      <c r="Q1053" s="9">
        <f>I1053+O1053</f>
        <v/>
      </c>
      <c r="R1053" s="7">
        <f>Q1053*G1053</f>
        <v/>
      </c>
      <c r="S1053" s="8">
        <f>IF($R$1055=0,0,R1053/$R$1055)</f>
        <v/>
      </c>
      <c r="T1053" s="8" t="n">
        <v>0</v>
      </c>
      <c r="U1053" s="8" t="n">
        <v>-0.004693878137537966</v>
      </c>
      <c r="V1053" s="6" t="inlineStr">
        <is>
          <t>not selected</t>
        </is>
      </c>
    </row>
    <row r="1054">
      <c r="A1054" s="6" t="inlineStr">
        <is>
          <t>DJ30</t>
        </is>
      </c>
      <c r="B1054" s="6" t="inlineStr">
        <is>
          <t>2023-08-25</t>
        </is>
      </c>
      <c r="C1054" s="6" t="inlineStr">
        <is>
          <t>DIA</t>
        </is>
      </c>
      <c r="D1054" s="6" t="inlineStr">
        <is>
          <t>WMT</t>
        </is>
      </c>
      <c r="E1054" s="6" t="inlineStr">
        <is>
          <t>WMT</t>
        </is>
      </c>
      <c r="F1054" s="6" t="inlineStr">
        <is>
          <t>-</t>
        </is>
      </c>
      <c r="G1054" s="7" t="n">
        <v>51.09759521484375</v>
      </c>
      <c r="H1054" s="6">
        <f>P1023</f>
        <v/>
      </c>
      <c r="I1054" s="9">
        <f>Q1023</f>
        <v/>
      </c>
      <c r="J1054" s="7">
        <f>I1054*G1054</f>
        <v/>
      </c>
      <c r="K1054" s="8">
        <f>IF($J$1055=0,0,J1054/$J$1055)</f>
        <v/>
      </c>
      <c r="L1054" s="6" t="inlineStr">
        <is>
          <t>REJECTED</t>
        </is>
      </c>
      <c r="M1054" s="8" t="n">
        <v>0</v>
      </c>
      <c r="N1054" s="7">
        <f>M1054*$J$1055-J1054</f>
        <v/>
      </c>
      <c r="O1054" s="9">
        <f>IF(G1054=0,0,N1054/G1054)</f>
        <v/>
      </c>
      <c r="P1054" s="6">
        <f>IF(M1054&gt;0,D1054,"")</f>
        <v/>
      </c>
      <c r="Q1054" s="9">
        <f>I1054+O1054</f>
        <v/>
      </c>
      <c r="R1054" s="7">
        <f>Q1054*G1054</f>
        <v/>
      </c>
      <c r="S1054" s="8">
        <f>IF($R$1055=0,0,R1054/$R$1055)</f>
        <v/>
      </c>
      <c r="T1054" s="8" t="n">
        <v>0</v>
      </c>
      <c r="U1054" s="8" t="n">
        <v>-0.004693878137537966</v>
      </c>
      <c r="V1054" s="6" t="inlineStr">
        <is>
          <t>not selected</t>
        </is>
      </c>
    </row>
    <row r="1055">
      <c r="A1055" s="10" t="inlineStr">
        <is>
          <t>DJ30</t>
        </is>
      </c>
      <c r="B1055" s="10" t="inlineStr">
        <is>
          <t>2023-08-25</t>
        </is>
      </c>
      <c r="C1055" s="10" t="inlineStr">
        <is>
          <t>DIA</t>
        </is>
      </c>
      <c r="D1055" s="10" t="inlineStr">
        <is>
          <t>Tot Portfolio</t>
        </is>
      </c>
      <c r="E1055" s="10" t="inlineStr"/>
      <c r="F1055" s="10" t="inlineStr"/>
      <c r="G1055" s="11" t="inlineStr"/>
      <c r="H1055" s="10" t="inlineStr"/>
      <c r="I1055" s="12" t="inlineStr"/>
      <c r="J1055" s="11">
        <f>SUM(J1025:J1054)</f>
        <v/>
      </c>
      <c r="K1055" s="13">
        <f>SUM(K1025:K1054)</f>
        <v/>
      </c>
      <c r="L1055" s="10" t="inlineStr">
        <is>
          <t>TOTAL</t>
        </is>
      </c>
      <c r="M1055" s="13">
        <f>SUM(M1025:M1054)</f>
        <v/>
      </c>
      <c r="N1055" s="11">
        <f>SUM(N1025:N1054)</f>
        <v/>
      </c>
      <c r="O1055" s="12">
        <f>SUM(O1025:O1054)</f>
        <v/>
      </c>
      <c r="P1055" s="10" t="inlineStr"/>
      <c r="Q1055" s="12" t="inlineStr"/>
      <c r="R1055" s="11">
        <f>SUM(R1025:R1054)</f>
        <v/>
      </c>
      <c r="S1055" s="13">
        <f>SUM(S1025:S1054)</f>
        <v/>
      </c>
      <c r="T1055" s="13" t="n">
        <v>0</v>
      </c>
      <c r="U1055" s="13" t="n">
        <v>-0.004693878137537966</v>
      </c>
      <c r="V1055" s="10" t="inlineStr"/>
    </row>
    <row r="1056">
      <c r="A1056" s="6" t="inlineStr">
        <is>
          <t>DJ30</t>
        </is>
      </c>
      <c r="B1056" s="6" t="inlineStr">
        <is>
          <t>2023-09-01</t>
        </is>
      </c>
      <c r="C1056" s="6" t="inlineStr">
        <is>
          <t>DIA</t>
        </is>
      </c>
      <c r="D1056" s="6" t="inlineStr">
        <is>
          <t>AAPL</t>
        </is>
      </c>
      <c r="E1056" s="6" t="inlineStr">
        <is>
          <t>AAPL</t>
        </is>
      </c>
      <c r="F1056" s="6" t="inlineStr">
        <is>
          <t>-</t>
        </is>
      </c>
      <c r="G1056" s="7" t="n">
        <v>187.0929718017578</v>
      </c>
      <c r="H1056" s="6">
        <f>P1025</f>
        <v/>
      </c>
      <c r="I1056" s="9">
        <f>Q1025</f>
        <v/>
      </c>
      <c r="J1056" s="7">
        <f>I1056*G1056</f>
        <v/>
      </c>
      <c r="K1056" s="8">
        <f>IF($J$1086=0,0,J1056/$J$1086)</f>
        <v/>
      </c>
      <c r="L1056" s="6" t="inlineStr">
        <is>
          <t>REJECTED</t>
        </is>
      </c>
      <c r="M1056" s="8" t="n">
        <v>0</v>
      </c>
      <c r="N1056" s="7">
        <f>M1056*$J$1086-J1056</f>
        <v/>
      </c>
      <c r="O1056" s="9">
        <f>IF(G1056=0,0,N1056/G1056)</f>
        <v/>
      </c>
      <c r="P1056" s="6">
        <f>IF(M1056&gt;0,D1056,"")</f>
        <v/>
      </c>
      <c r="Q1056" s="9">
        <f>I1056+O1056</f>
        <v/>
      </c>
      <c r="R1056" s="7">
        <f>Q1056*G1056</f>
        <v/>
      </c>
      <c r="S1056" s="8">
        <f>IF($R$1086=0,0,R1056/$R$1086)</f>
        <v/>
      </c>
      <c r="T1056" s="8" t="n">
        <v>0</v>
      </c>
      <c r="U1056" s="8" t="n">
        <v>0.01595328303762322</v>
      </c>
      <c r="V1056" s="6" t="inlineStr">
        <is>
          <t>not selected</t>
        </is>
      </c>
    </row>
    <row r="1057">
      <c r="A1057" s="6" t="inlineStr">
        <is>
          <t>DJ30</t>
        </is>
      </c>
      <c r="B1057" s="6" t="inlineStr">
        <is>
          <t>2023-09-01</t>
        </is>
      </c>
      <c r="C1057" s="6" t="inlineStr">
        <is>
          <t>DIA</t>
        </is>
      </c>
      <c r="D1057" s="6" t="inlineStr">
        <is>
          <t>AMGN</t>
        </is>
      </c>
      <c r="E1057" s="6" t="inlineStr">
        <is>
          <t>AMGN</t>
        </is>
      </c>
      <c r="F1057" s="6" t="inlineStr">
        <is>
          <t>-</t>
        </is>
      </c>
      <c r="G1057" s="7" t="n">
        <v>236.012939453125</v>
      </c>
      <c r="H1057" s="6">
        <f>P1026</f>
        <v/>
      </c>
      <c r="I1057" s="9">
        <f>Q1026</f>
        <v/>
      </c>
      <c r="J1057" s="7">
        <f>I1057*G1057</f>
        <v/>
      </c>
      <c r="K1057" s="8">
        <f>IF($J$1086=0,0,J1057/$J$1086)</f>
        <v/>
      </c>
      <c r="L1057" s="6" t="inlineStr">
        <is>
          <t>REJECTED</t>
        </is>
      </c>
      <c r="M1057" s="8" t="n">
        <v>0</v>
      </c>
      <c r="N1057" s="7">
        <f>M1057*$J$1086-J1057</f>
        <v/>
      </c>
      <c r="O1057" s="9">
        <f>IF(G1057=0,0,N1057/G1057)</f>
        <v/>
      </c>
      <c r="P1057" s="6">
        <f>IF(M1057&gt;0,D1057,"")</f>
        <v/>
      </c>
      <c r="Q1057" s="9">
        <f>I1057+O1057</f>
        <v/>
      </c>
      <c r="R1057" s="7">
        <f>Q1057*G1057</f>
        <v/>
      </c>
      <c r="S1057" s="8">
        <f>IF($R$1086=0,0,R1057/$R$1086)</f>
        <v/>
      </c>
      <c r="T1057" s="8" t="n">
        <v>0</v>
      </c>
      <c r="U1057" s="8" t="n">
        <v>0.01595328303762322</v>
      </c>
      <c r="V1057" s="6" t="inlineStr">
        <is>
          <t>not selected</t>
        </is>
      </c>
    </row>
    <row r="1058">
      <c r="A1058" s="6" t="inlineStr">
        <is>
          <t>DJ30</t>
        </is>
      </c>
      <c r="B1058" s="6" t="inlineStr">
        <is>
          <t>2023-09-01</t>
        </is>
      </c>
      <c r="C1058" s="6" t="inlineStr">
        <is>
          <t>DIA</t>
        </is>
      </c>
      <c r="D1058" s="6" t="inlineStr">
        <is>
          <t>AMZN</t>
        </is>
      </c>
      <c r="E1058" s="6" t="inlineStr">
        <is>
          <t>AMZN</t>
        </is>
      </c>
      <c r="F1058" s="6" t="inlineStr">
        <is>
          <t>-</t>
        </is>
      </c>
      <c r="G1058" s="7" t="n">
        <v>138.1199951171875</v>
      </c>
      <c r="H1058" s="6">
        <f>P1027</f>
        <v/>
      </c>
      <c r="I1058" s="9">
        <f>Q1027</f>
        <v/>
      </c>
      <c r="J1058" s="7">
        <f>I1058*G1058</f>
        <v/>
      </c>
      <c r="K1058" s="8">
        <f>IF($J$1086=0,0,J1058/$J$1086)</f>
        <v/>
      </c>
      <c r="L1058" s="6" t="inlineStr">
        <is>
          <t>REJECTED</t>
        </is>
      </c>
      <c r="M1058" s="8" t="n">
        <v>0</v>
      </c>
      <c r="N1058" s="7">
        <f>M1058*$J$1086-J1058</f>
        <v/>
      </c>
      <c r="O1058" s="9">
        <f>IF(G1058=0,0,N1058/G1058)</f>
        <v/>
      </c>
      <c r="P1058" s="6">
        <f>IF(M1058&gt;0,D1058,"")</f>
        <v/>
      </c>
      <c r="Q1058" s="9">
        <f>I1058+O1058</f>
        <v/>
      </c>
      <c r="R1058" s="7">
        <f>Q1058*G1058</f>
        <v/>
      </c>
      <c r="S1058" s="8">
        <f>IF($R$1086=0,0,R1058/$R$1086)</f>
        <v/>
      </c>
      <c r="T1058" s="8" t="n">
        <v>0</v>
      </c>
      <c r="U1058" s="8" t="n">
        <v>0.01595328303762322</v>
      </c>
      <c r="V1058" s="6" t="inlineStr">
        <is>
          <t>not selected</t>
        </is>
      </c>
    </row>
    <row r="1059">
      <c r="A1059" s="6" t="inlineStr">
        <is>
          <t>DJ30</t>
        </is>
      </c>
      <c r="B1059" s="6" t="inlineStr">
        <is>
          <t>2023-09-01</t>
        </is>
      </c>
      <c r="C1059" s="6" t="inlineStr">
        <is>
          <t>DIA</t>
        </is>
      </c>
      <c r="D1059" s="6" t="inlineStr">
        <is>
          <t>AXP</t>
        </is>
      </c>
      <c r="E1059" s="6" t="inlineStr">
        <is>
          <t>AXP</t>
        </is>
      </c>
      <c r="F1059" s="6" t="inlineStr">
        <is>
          <t>-</t>
        </is>
      </c>
      <c r="G1059" s="7" t="n">
        <v>154.5785980224609</v>
      </c>
      <c r="H1059" s="6">
        <f>P1028</f>
        <v/>
      </c>
      <c r="I1059" s="9">
        <f>Q1028</f>
        <v/>
      </c>
      <c r="J1059" s="7">
        <f>I1059*G1059</f>
        <v/>
      </c>
      <c r="K1059" s="8">
        <f>IF($J$1086=0,0,J1059/$J$1086)</f>
        <v/>
      </c>
      <c r="L1059" s="6" t="inlineStr">
        <is>
          <t>REJECTED</t>
        </is>
      </c>
      <c r="M1059" s="8" t="n">
        <v>0</v>
      </c>
      <c r="N1059" s="7">
        <f>M1059*$J$1086-J1059</f>
        <v/>
      </c>
      <c r="O1059" s="9">
        <f>IF(G1059=0,0,N1059/G1059)</f>
        <v/>
      </c>
      <c r="P1059" s="6">
        <f>IF(M1059&gt;0,D1059,"")</f>
        <v/>
      </c>
      <c r="Q1059" s="9">
        <f>I1059+O1059</f>
        <v/>
      </c>
      <c r="R1059" s="7">
        <f>Q1059*G1059</f>
        <v/>
      </c>
      <c r="S1059" s="8">
        <f>IF($R$1086=0,0,R1059/$R$1086)</f>
        <v/>
      </c>
      <c r="T1059" s="8" t="n">
        <v>0</v>
      </c>
      <c r="U1059" s="8" t="n">
        <v>0.01595328303762322</v>
      </c>
      <c r="V1059" s="6" t="inlineStr">
        <is>
          <t>not selected</t>
        </is>
      </c>
    </row>
    <row r="1060">
      <c r="A1060" s="6" t="inlineStr">
        <is>
          <t>DJ30</t>
        </is>
      </c>
      <c r="B1060" s="6" t="inlineStr">
        <is>
          <t>2023-09-01</t>
        </is>
      </c>
      <c r="C1060" s="6" t="inlineStr">
        <is>
          <t>DIA</t>
        </is>
      </c>
      <c r="D1060" s="6" t="inlineStr">
        <is>
          <t>BA</t>
        </is>
      </c>
      <c r="E1060" s="6" t="inlineStr">
        <is>
          <t>BA</t>
        </is>
      </c>
      <c r="F1060" s="6" t="inlineStr">
        <is>
          <t>-</t>
        </is>
      </c>
      <c r="G1060" s="7" t="n">
        <v>223.3999938964844</v>
      </c>
      <c r="H1060" s="6">
        <f>P1029</f>
        <v/>
      </c>
      <c r="I1060" s="9">
        <f>Q1029</f>
        <v/>
      </c>
      <c r="J1060" s="7">
        <f>I1060*G1060</f>
        <v/>
      </c>
      <c r="K1060" s="8">
        <f>IF($J$1086=0,0,J1060/$J$1086)</f>
        <v/>
      </c>
      <c r="L1060" s="6" t="inlineStr">
        <is>
          <t>REJECTED</t>
        </is>
      </c>
      <c r="M1060" s="8" t="n">
        <v>0</v>
      </c>
      <c r="N1060" s="7">
        <f>M1060*$J$1086-J1060</f>
        <v/>
      </c>
      <c r="O1060" s="9">
        <f>IF(G1060=0,0,N1060/G1060)</f>
        <v/>
      </c>
      <c r="P1060" s="6">
        <f>IF(M1060&gt;0,D1060,"")</f>
        <v/>
      </c>
      <c r="Q1060" s="9">
        <f>I1060+O1060</f>
        <v/>
      </c>
      <c r="R1060" s="7">
        <f>Q1060*G1060</f>
        <v/>
      </c>
      <c r="S1060" s="8">
        <f>IF($R$1086=0,0,R1060/$R$1086)</f>
        <v/>
      </c>
      <c r="T1060" s="8" t="n">
        <v>0</v>
      </c>
      <c r="U1060" s="8" t="n">
        <v>0.01595328303762322</v>
      </c>
      <c r="V1060" s="6" t="inlineStr">
        <is>
          <t>not selected</t>
        </is>
      </c>
    </row>
    <row r="1061">
      <c r="A1061" s="6" t="inlineStr">
        <is>
          <t>DJ30</t>
        </is>
      </c>
      <c r="B1061" s="6" t="inlineStr">
        <is>
          <t>2023-09-01</t>
        </is>
      </c>
      <c r="C1061" s="6" t="inlineStr">
        <is>
          <t>DIA</t>
        </is>
      </c>
      <c r="D1061" s="6" t="inlineStr">
        <is>
          <t>CAT</t>
        </is>
      </c>
      <c r="E1061" s="6" t="inlineStr">
        <is>
          <t>CAT</t>
        </is>
      </c>
      <c r="F1061" s="6" t="inlineStr">
        <is>
          <t>-</t>
        </is>
      </c>
      <c r="G1061" s="7" t="n">
        <v>274.9454956054688</v>
      </c>
      <c r="H1061" s="6">
        <f>P1030</f>
        <v/>
      </c>
      <c r="I1061" s="9">
        <f>Q1030</f>
        <v/>
      </c>
      <c r="J1061" s="7">
        <f>I1061*G1061</f>
        <v/>
      </c>
      <c r="K1061" s="8">
        <f>IF($J$1086=0,0,J1061/$J$1086)</f>
        <v/>
      </c>
      <c r="L1061" s="6" t="inlineStr">
        <is>
          <t>REJECTED</t>
        </is>
      </c>
      <c r="M1061" s="8" t="n">
        <v>0</v>
      </c>
      <c r="N1061" s="7">
        <f>M1061*$J$1086-J1061</f>
        <v/>
      </c>
      <c r="O1061" s="9">
        <f>IF(G1061=0,0,N1061/G1061)</f>
        <v/>
      </c>
      <c r="P1061" s="6">
        <f>IF(M1061&gt;0,D1061,"")</f>
        <v/>
      </c>
      <c r="Q1061" s="9">
        <f>I1061+O1061</f>
        <v/>
      </c>
      <c r="R1061" s="7">
        <f>Q1061*G1061</f>
        <v/>
      </c>
      <c r="S1061" s="8">
        <f>IF($R$1086=0,0,R1061/$R$1086)</f>
        <v/>
      </c>
      <c r="T1061" s="8" t="n">
        <v>0</v>
      </c>
      <c r="U1061" s="8" t="n">
        <v>0.01595328303762322</v>
      </c>
      <c r="V1061" s="6" t="inlineStr">
        <is>
          <t>not selected</t>
        </is>
      </c>
    </row>
    <row r="1062">
      <c r="A1062" s="6" t="inlineStr">
        <is>
          <t>DJ30</t>
        </is>
      </c>
      <c r="B1062" s="6" t="inlineStr">
        <is>
          <t>2023-09-01</t>
        </is>
      </c>
      <c r="C1062" s="6" t="inlineStr">
        <is>
          <t>DIA</t>
        </is>
      </c>
      <c r="D1062" s="6" t="inlineStr">
        <is>
          <t>CRM</t>
        </is>
      </c>
      <c r="E1062" s="6" t="inlineStr">
        <is>
          <t>CRM</t>
        </is>
      </c>
      <c r="F1062" s="6" t="inlineStr">
        <is>
          <t>-</t>
        </is>
      </c>
      <c r="G1062" s="7" t="n">
        <v>217.7626037597656</v>
      </c>
      <c r="H1062" s="6">
        <f>P1031</f>
        <v/>
      </c>
      <c r="I1062" s="9">
        <f>Q1031</f>
        <v/>
      </c>
      <c r="J1062" s="7">
        <f>I1062*G1062</f>
        <v/>
      </c>
      <c r="K1062" s="8">
        <f>IF($J$1086=0,0,J1062/$J$1086)</f>
        <v/>
      </c>
      <c r="L1062" s="6" t="inlineStr">
        <is>
          <t>REJECTED</t>
        </is>
      </c>
      <c r="M1062" s="8" t="n">
        <v>0</v>
      </c>
      <c r="N1062" s="7">
        <f>M1062*$J$1086-J1062</f>
        <v/>
      </c>
      <c r="O1062" s="9">
        <f>IF(G1062=0,0,N1062/G1062)</f>
        <v/>
      </c>
      <c r="P1062" s="6">
        <f>IF(M1062&gt;0,D1062,"")</f>
        <v/>
      </c>
      <c r="Q1062" s="9">
        <f>I1062+O1062</f>
        <v/>
      </c>
      <c r="R1062" s="7">
        <f>Q1062*G1062</f>
        <v/>
      </c>
      <c r="S1062" s="8">
        <f>IF($R$1086=0,0,R1062/$R$1086)</f>
        <v/>
      </c>
      <c r="T1062" s="8" t="n">
        <v>0</v>
      </c>
      <c r="U1062" s="8" t="n">
        <v>0.01595328303762322</v>
      </c>
      <c r="V1062" s="6" t="inlineStr">
        <is>
          <t>not selected</t>
        </is>
      </c>
    </row>
    <row r="1063">
      <c r="A1063" s="6" t="inlineStr">
        <is>
          <t>DJ30</t>
        </is>
      </c>
      <c r="B1063" s="6" t="inlineStr">
        <is>
          <t>2023-09-01</t>
        </is>
      </c>
      <c r="C1063" s="6" t="inlineStr">
        <is>
          <t>DIA</t>
        </is>
      </c>
      <c r="D1063" s="6" t="inlineStr">
        <is>
          <t>CSCO</t>
        </is>
      </c>
      <c r="E1063" s="6" t="inlineStr">
        <is>
          <t>CSCO</t>
        </is>
      </c>
      <c r="F1063" s="6" t="inlineStr">
        <is>
          <t>-</t>
        </is>
      </c>
      <c r="G1063" s="7" t="n">
        <v>53.63761138916016</v>
      </c>
      <c r="H1063" s="6">
        <f>P1032</f>
        <v/>
      </c>
      <c r="I1063" s="9">
        <f>Q1032</f>
        <v/>
      </c>
      <c r="J1063" s="7">
        <f>I1063*G1063</f>
        <v/>
      </c>
      <c r="K1063" s="8">
        <f>IF($J$1086=0,0,J1063/$J$1086)</f>
        <v/>
      </c>
      <c r="L1063" s="6" t="inlineStr">
        <is>
          <t>REJECTED</t>
        </is>
      </c>
      <c r="M1063" s="8" t="n">
        <v>0</v>
      </c>
      <c r="N1063" s="7">
        <f>M1063*$J$1086-J1063</f>
        <v/>
      </c>
      <c r="O1063" s="9">
        <f>IF(G1063=0,0,N1063/G1063)</f>
        <v/>
      </c>
      <c r="P1063" s="6">
        <f>IF(M1063&gt;0,D1063,"")</f>
        <v/>
      </c>
      <c r="Q1063" s="9">
        <f>I1063+O1063</f>
        <v/>
      </c>
      <c r="R1063" s="7">
        <f>Q1063*G1063</f>
        <v/>
      </c>
      <c r="S1063" s="8">
        <f>IF($R$1086=0,0,R1063/$R$1086)</f>
        <v/>
      </c>
      <c r="T1063" s="8" t="n">
        <v>0</v>
      </c>
      <c r="U1063" s="8" t="n">
        <v>0.01595328303762322</v>
      </c>
      <c r="V1063" s="6" t="inlineStr">
        <is>
          <t>not selected</t>
        </is>
      </c>
    </row>
    <row r="1064">
      <c r="A1064" s="6" t="inlineStr">
        <is>
          <t>DJ30</t>
        </is>
      </c>
      <c r="B1064" s="6" t="inlineStr">
        <is>
          <t>2023-09-01</t>
        </is>
      </c>
      <c r="C1064" s="6" t="inlineStr">
        <is>
          <t>DIA</t>
        </is>
      </c>
      <c r="D1064" s="6" t="inlineStr">
        <is>
          <t>CVX</t>
        </is>
      </c>
      <c r="E1064" s="6" t="inlineStr">
        <is>
          <t>CVX</t>
        </is>
      </c>
      <c r="F1064" s="6" t="inlineStr">
        <is>
          <t>-</t>
        </is>
      </c>
      <c r="G1064" s="7" t="n">
        <v>146.1919403076172</v>
      </c>
      <c r="H1064" s="6">
        <f>P1033</f>
        <v/>
      </c>
      <c r="I1064" s="9">
        <f>Q1033</f>
        <v/>
      </c>
      <c r="J1064" s="7">
        <f>I1064*G1064</f>
        <v/>
      </c>
      <c r="K1064" s="8">
        <f>IF($J$1086=0,0,J1064/$J$1086)</f>
        <v/>
      </c>
      <c r="L1064" s="6" t="inlineStr">
        <is>
          <t>REJECTED</t>
        </is>
      </c>
      <c r="M1064" s="8" t="n">
        <v>0</v>
      </c>
      <c r="N1064" s="7">
        <f>M1064*$J$1086-J1064</f>
        <v/>
      </c>
      <c r="O1064" s="9">
        <f>IF(G1064=0,0,N1064/G1064)</f>
        <v/>
      </c>
      <c r="P1064" s="6">
        <f>IF(M1064&gt;0,D1064,"")</f>
        <v/>
      </c>
      <c r="Q1064" s="9">
        <f>I1064+O1064</f>
        <v/>
      </c>
      <c r="R1064" s="7">
        <f>Q1064*G1064</f>
        <v/>
      </c>
      <c r="S1064" s="8">
        <f>IF($R$1086=0,0,R1064/$R$1086)</f>
        <v/>
      </c>
      <c r="T1064" s="8" t="n">
        <v>0</v>
      </c>
      <c r="U1064" s="8" t="n">
        <v>0.01595328303762322</v>
      </c>
      <c r="V1064" s="6" t="inlineStr">
        <is>
          <t>not selected</t>
        </is>
      </c>
    </row>
    <row r="1065">
      <c r="A1065" s="6" t="inlineStr">
        <is>
          <t>DJ30</t>
        </is>
      </c>
      <c r="B1065" s="6" t="inlineStr">
        <is>
          <t>2023-09-01</t>
        </is>
      </c>
      <c r="C1065" s="6" t="inlineStr">
        <is>
          <t>DIA</t>
        </is>
      </c>
      <c r="D1065" s="6" t="inlineStr">
        <is>
          <t>DIS</t>
        </is>
      </c>
      <c r="E1065" s="6" t="inlineStr">
        <is>
          <t>DIS</t>
        </is>
      </c>
      <c r="F1065" s="6" t="inlineStr">
        <is>
          <t>-</t>
        </is>
      </c>
      <c r="G1065" s="7" t="n">
        <v>79.76165771484375</v>
      </c>
      <c r="H1065" s="6">
        <f>P1034</f>
        <v/>
      </c>
      <c r="I1065" s="9">
        <f>Q1034</f>
        <v/>
      </c>
      <c r="J1065" s="7">
        <f>I1065*G1065</f>
        <v/>
      </c>
      <c r="K1065" s="8">
        <f>IF($J$1086=0,0,J1065/$J$1086)</f>
        <v/>
      </c>
      <c r="L1065" s="6" t="inlineStr">
        <is>
          <t>REJECTED</t>
        </is>
      </c>
      <c r="M1065" s="8" t="n">
        <v>0</v>
      </c>
      <c r="N1065" s="7">
        <f>M1065*$J$1086-J1065</f>
        <v/>
      </c>
      <c r="O1065" s="9">
        <f>IF(G1065=0,0,N1065/G1065)</f>
        <v/>
      </c>
      <c r="P1065" s="6">
        <f>IF(M1065&gt;0,D1065,"")</f>
        <v/>
      </c>
      <c r="Q1065" s="9">
        <f>I1065+O1065</f>
        <v/>
      </c>
      <c r="R1065" s="7">
        <f>Q1065*G1065</f>
        <v/>
      </c>
      <c r="S1065" s="8">
        <f>IF($R$1086=0,0,R1065/$R$1086)</f>
        <v/>
      </c>
      <c r="T1065" s="8" t="n">
        <v>0</v>
      </c>
      <c r="U1065" s="8" t="n">
        <v>0.01595328303762322</v>
      </c>
      <c r="V1065" s="6" t="inlineStr">
        <is>
          <t>not selected</t>
        </is>
      </c>
    </row>
    <row r="1066">
      <c r="A1066" s="6" t="inlineStr">
        <is>
          <t>DJ30</t>
        </is>
      </c>
      <c r="B1066" s="6" t="inlineStr">
        <is>
          <t>2023-09-01</t>
        </is>
      </c>
      <c r="C1066" s="6" t="inlineStr">
        <is>
          <t>DIA</t>
        </is>
      </c>
      <c r="D1066" s="6" t="inlineStr">
        <is>
          <t>GS</t>
        </is>
      </c>
      <c r="E1066" s="6" t="inlineStr">
        <is>
          <t>GS</t>
        </is>
      </c>
      <c r="F1066" s="6" t="inlineStr">
        <is>
          <t>-</t>
        </is>
      </c>
      <c r="G1066" s="7" t="n">
        <v>307.7292175292969</v>
      </c>
      <c r="H1066" s="6">
        <f>P1035</f>
        <v/>
      </c>
      <c r="I1066" s="9">
        <f>Q1035</f>
        <v/>
      </c>
      <c r="J1066" s="7">
        <f>I1066*G1066</f>
        <v/>
      </c>
      <c r="K1066" s="8">
        <f>IF($J$1086=0,0,J1066/$J$1086)</f>
        <v/>
      </c>
      <c r="L1066" s="6" t="inlineStr">
        <is>
          <t>REJECTED</t>
        </is>
      </c>
      <c r="M1066" s="8" t="n">
        <v>0</v>
      </c>
      <c r="N1066" s="7">
        <f>M1066*$J$1086-J1066</f>
        <v/>
      </c>
      <c r="O1066" s="9">
        <f>IF(G1066=0,0,N1066/G1066)</f>
        <v/>
      </c>
      <c r="P1066" s="6">
        <f>IF(M1066&gt;0,D1066,"")</f>
        <v/>
      </c>
      <c r="Q1066" s="9">
        <f>I1066+O1066</f>
        <v/>
      </c>
      <c r="R1066" s="7">
        <f>Q1066*G1066</f>
        <v/>
      </c>
      <c r="S1066" s="8">
        <f>IF($R$1086=0,0,R1066/$R$1086)</f>
        <v/>
      </c>
      <c r="T1066" s="8" t="n">
        <v>0</v>
      </c>
      <c r="U1066" s="8" t="n">
        <v>0.01595328303762322</v>
      </c>
      <c r="V1066" s="6" t="inlineStr">
        <is>
          <t>not selected</t>
        </is>
      </c>
    </row>
    <row r="1067">
      <c r="A1067" s="6" t="inlineStr">
        <is>
          <t>DJ30</t>
        </is>
      </c>
      <c r="B1067" s="6" t="inlineStr">
        <is>
          <t>2023-09-01</t>
        </is>
      </c>
      <c r="C1067" s="6" t="inlineStr">
        <is>
          <t>DIA</t>
        </is>
      </c>
      <c r="D1067" s="6" t="inlineStr">
        <is>
          <t>HD</t>
        </is>
      </c>
      <c r="E1067" s="6" t="inlineStr">
        <is>
          <t>HD</t>
        </is>
      </c>
      <c r="F1067" s="6" t="inlineStr">
        <is>
          <t>-</t>
        </is>
      </c>
      <c r="G1067" s="7" t="n">
        <v>310.6697082519531</v>
      </c>
      <c r="H1067" s="6">
        <f>P1036</f>
        <v/>
      </c>
      <c r="I1067" s="9">
        <f>Q1036</f>
        <v/>
      </c>
      <c r="J1067" s="7">
        <f>I1067*G1067</f>
        <v/>
      </c>
      <c r="K1067" s="8">
        <f>IF($J$1086=0,0,J1067/$J$1086)</f>
        <v/>
      </c>
      <c r="L1067" s="6" t="inlineStr">
        <is>
          <t>REJECTED</t>
        </is>
      </c>
      <c r="M1067" s="8" t="n">
        <v>0</v>
      </c>
      <c r="N1067" s="7">
        <f>M1067*$J$1086-J1067</f>
        <v/>
      </c>
      <c r="O1067" s="9">
        <f>IF(G1067=0,0,N1067/G1067)</f>
        <v/>
      </c>
      <c r="P1067" s="6">
        <f>IF(M1067&gt;0,D1067,"")</f>
        <v/>
      </c>
      <c r="Q1067" s="9">
        <f>I1067+O1067</f>
        <v/>
      </c>
      <c r="R1067" s="7">
        <f>Q1067*G1067</f>
        <v/>
      </c>
      <c r="S1067" s="8">
        <f>IF($R$1086=0,0,R1067/$R$1086)</f>
        <v/>
      </c>
      <c r="T1067" s="8" t="n">
        <v>0</v>
      </c>
      <c r="U1067" s="8" t="n">
        <v>0.01595328303762322</v>
      </c>
      <c r="V1067" s="6" t="inlineStr">
        <is>
          <t>not selected</t>
        </is>
      </c>
    </row>
    <row r="1068">
      <c r="A1068" s="6" t="inlineStr">
        <is>
          <t>DJ30</t>
        </is>
      </c>
      <c r="B1068" s="6" t="inlineStr">
        <is>
          <t>2023-09-01</t>
        </is>
      </c>
      <c r="C1068" s="6" t="inlineStr">
        <is>
          <t>DIA</t>
        </is>
      </c>
      <c r="D1068" s="6" t="inlineStr">
        <is>
          <t>HON</t>
        </is>
      </c>
      <c r="E1068" s="6" t="inlineStr">
        <is>
          <t>HON</t>
        </is>
      </c>
      <c r="F1068" s="6" t="inlineStr">
        <is>
          <t>-</t>
        </is>
      </c>
      <c r="G1068" s="7" t="n">
        <v>167.38134765625</v>
      </c>
      <c r="H1068" s="6">
        <f>P1037</f>
        <v/>
      </c>
      <c r="I1068" s="9">
        <f>Q1037</f>
        <v/>
      </c>
      <c r="J1068" s="7">
        <f>I1068*G1068</f>
        <v/>
      </c>
      <c r="K1068" s="8">
        <f>IF($J$1086=0,0,J1068/$J$1086)</f>
        <v/>
      </c>
      <c r="L1068" s="6" t="inlineStr">
        <is>
          <t>REJECTED</t>
        </is>
      </c>
      <c r="M1068" s="8" t="n">
        <v>0</v>
      </c>
      <c r="N1068" s="7">
        <f>M1068*$J$1086-J1068</f>
        <v/>
      </c>
      <c r="O1068" s="9">
        <f>IF(G1068=0,0,N1068/G1068)</f>
        <v/>
      </c>
      <c r="P1068" s="6">
        <f>IF(M1068&gt;0,D1068,"")</f>
        <v/>
      </c>
      <c r="Q1068" s="9">
        <f>I1068+O1068</f>
        <v/>
      </c>
      <c r="R1068" s="7">
        <f>Q1068*G1068</f>
        <v/>
      </c>
      <c r="S1068" s="8">
        <f>IF($R$1086=0,0,R1068/$R$1086)</f>
        <v/>
      </c>
      <c r="T1068" s="8" t="n">
        <v>0</v>
      </c>
      <c r="U1068" s="8" t="n">
        <v>0.01595328303762322</v>
      </c>
      <c r="V1068" s="6" t="inlineStr">
        <is>
          <t>not selected</t>
        </is>
      </c>
    </row>
    <row r="1069">
      <c r="A1069" s="6" t="inlineStr">
        <is>
          <t>DJ30</t>
        </is>
      </c>
      <c r="B1069" s="6" t="inlineStr">
        <is>
          <t>2023-09-01</t>
        </is>
      </c>
      <c r="C1069" s="6" t="inlineStr">
        <is>
          <t>DIA</t>
        </is>
      </c>
      <c r="D1069" s="6" t="inlineStr">
        <is>
          <t>IBM</t>
        </is>
      </c>
      <c r="E1069" s="6" t="inlineStr">
        <is>
          <t>IBM</t>
        </is>
      </c>
      <c r="F1069" s="6" t="inlineStr">
        <is>
          <t>-</t>
        </is>
      </c>
      <c r="G1069" s="7" t="n">
        <v>135.8416290283203</v>
      </c>
      <c r="H1069" s="6">
        <f>P1038</f>
        <v/>
      </c>
      <c r="I1069" s="9">
        <f>Q1038</f>
        <v/>
      </c>
      <c r="J1069" s="7">
        <f>I1069*G1069</f>
        <v/>
      </c>
      <c r="K1069" s="8">
        <f>IF($J$1086=0,0,J1069/$J$1086)</f>
        <v/>
      </c>
      <c r="L1069" s="6" t="inlineStr">
        <is>
          <t>REJECTED</t>
        </is>
      </c>
      <c r="M1069" s="8" t="n">
        <v>0</v>
      </c>
      <c r="N1069" s="7">
        <f>M1069*$J$1086-J1069</f>
        <v/>
      </c>
      <c r="O1069" s="9">
        <f>IF(G1069=0,0,N1069/G1069)</f>
        <v/>
      </c>
      <c r="P1069" s="6">
        <f>IF(M1069&gt;0,D1069,"")</f>
        <v/>
      </c>
      <c r="Q1069" s="9">
        <f>I1069+O1069</f>
        <v/>
      </c>
      <c r="R1069" s="7">
        <f>Q1069*G1069</f>
        <v/>
      </c>
      <c r="S1069" s="8">
        <f>IF($R$1086=0,0,R1069/$R$1086)</f>
        <v/>
      </c>
      <c r="T1069" s="8" t="n">
        <v>0</v>
      </c>
      <c r="U1069" s="8" t="n">
        <v>0.01595328303762322</v>
      </c>
      <c r="V1069" s="6" t="inlineStr">
        <is>
          <t>not selected</t>
        </is>
      </c>
    </row>
    <row r="1070">
      <c r="A1070" s="6" t="inlineStr">
        <is>
          <t>DJ30</t>
        </is>
      </c>
      <c r="B1070" s="6" t="inlineStr">
        <is>
          <t>2023-09-01</t>
        </is>
      </c>
      <c r="C1070" s="6" t="inlineStr">
        <is>
          <t>DIA</t>
        </is>
      </c>
      <c r="D1070" s="6" t="inlineStr">
        <is>
          <t>JNJ</t>
        </is>
      </c>
      <c r="E1070" s="6" t="inlineStr">
        <is>
          <t>JNJ</t>
        </is>
      </c>
      <c r="F1070" s="6" t="inlineStr">
        <is>
          <t>-</t>
        </is>
      </c>
      <c r="G1070" s="7" t="n">
        <v>148.0924377441406</v>
      </c>
      <c r="H1070" s="6">
        <f>P1039</f>
        <v/>
      </c>
      <c r="I1070" s="9">
        <f>Q1039</f>
        <v/>
      </c>
      <c r="J1070" s="7">
        <f>I1070*G1070</f>
        <v/>
      </c>
      <c r="K1070" s="8">
        <f>IF($J$1086=0,0,J1070/$J$1086)</f>
        <v/>
      </c>
      <c r="L1070" s="6" t="inlineStr">
        <is>
          <t>REJECTED</t>
        </is>
      </c>
      <c r="M1070" s="8" t="n">
        <v>0</v>
      </c>
      <c r="N1070" s="7">
        <f>M1070*$J$1086-J1070</f>
        <v/>
      </c>
      <c r="O1070" s="9">
        <f>IF(G1070=0,0,N1070/G1070)</f>
        <v/>
      </c>
      <c r="P1070" s="6">
        <f>IF(M1070&gt;0,D1070,"")</f>
        <v/>
      </c>
      <c r="Q1070" s="9">
        <f>I1070+O1070</f>
        <v/>
      </c>
      <c r="R1070" s="7">
        <f>Q1070*G1070</f>
        <v/>
      </c>
      <c r="S1070" s="8">
        <f>IF($R$1086=0,0,R1070/$R$1086)</f>
        <v/>
      </c>
      <c r="T1070" s="8" t="n">
        <v>0</v>
      </c>
      <c r="U1070" s="8" t="n">
        <v>0.01595328303762322</v>
      </c>
      <c r="V1070" s="6" t="inlineStr">
        <is>
          <t>not selected</t>
        </is>
      </c>
    </row>
    <row r="1071">
      <c r="A1071" s="6" t="inlineStr">
        <is>
          <t>DJ30</t>
        </is>
      </c>
      <c r="B1071" s="6" t="inlineStr">
        <is>
          <t>2023-09-01</t>
        </is>
      </c>
      <c r="C1071" s="6" t="inlineStr">
        <is>
          <t>DIA</t>
        </is>
      </c>
      <c r="D1071" s="6" t="inlineStr">
        <is>
          <t>JPM</t>
        </is>
      </c>
      <c r="E1071" s="6" t="inlineStr">
        <is>
          <t>JPM</t>
        </is>
      </c>
      <c r="F1071" s="6" t="inlineStr">
        <is>
          <t>-</t>
        </is>
      </c>
      <c r="G1071" s="7" t="n">
        <v>138.0620880126953</v>
      </c>
      <c r="H1071" s="6">
        <f>P1040</f>
        <v/>
      </c>
      <c r="I1071" s="9">
        <f>Q1040</f>
        <v/>
      </c>
      <c r="J1071" s="7">
        <f>I1071*G1071</f>
        <v/>
      </c>
      <c r="K1071" s="8">
        <f>IF($J$1086=0,0,J1071/$J$1086)</f>
        <v/>
      </c>
      <c r="L1071" s="6" t="inlineStr">
        <is>
          <t>REJECTED</t>
        </is>
      </c>
      <c r="M1071" s="8" t="n">
        <v>0</v>
      </c>
      <c r="N1071" s="7">
        <f>M1071*$J$1086-J1071</f>
        <v/>
      </c>
      <c r="O1071" s="9">
        <f>IF(G1071=0,0,N1071/G1071)</f>
        <v/>
      </c>
      <c r="P1071" s="6">
        <f>IF(M1071&gt;0,D1071,"")</f>
        <v/>
      </c>
      <c r="Q1071" s="9">
        <f>I1071+O1071</f>
        <v/>
      </c>
      <c r="R1071" s="7">
        <f>Q1071*G1071</f>
        <v/>
      </c>
      <c r="S1071" s="8">
        <f>IF($R$1086=0,0,R1071/$R$1086)</f>
        <v/>
      </c>
      <c r="T1071" s="8" t="n">
        <v>0</v>
      </c>
      <c r="U1071" s="8" t="n">
        <v>0.01595328303762322</v>
      </c>
      <c r="V1071" s="6" t="inlineStr">
        <is>
          <t>not selected</t>
        </is>
      </c>
    </row>
    <row r="1072">
      <c r="A1072" s="6" t="inlineStr">
        <is>
          <t>DJ30</t>
        </is>
      </c>
      <c r="B1072" s="6" t="inlineStr">
        <is>
          <t>2023-09-01</t>
        </is>
      </c>
      <c r="C1072" s="6" t="inlineStr">
        <is>
          <t>DIA</t>
        </is>
      </c>
      <c r="D1072" s="6" t="inlineStr">
        <is>
          <t>KO</t>
        </is>
      </c>
      <c r="E1072" s="6" t="inlineStr">
        <is>
          <t>KO</t>
        </is>
      </c>
      <c r="F1072" s="6" t="inlineStr">
        <is>
          <t>-</t>
        </is>
      </c>
      <c r="G1072" s="7" t="n">
        <v>54.29843521118164</v>
      </c>
      <c r="H1072" s="6">
        <f>P1041</f>
        <v/>
      </c>
      <c r="I1072" s="9">
        <f>Q1041</f>
        <v/>
      </c>
      <c r="J1072" s="7">
        <f>I1072*G1072</f>
        <v/>
      </c>
      <c r="K1072" s="8">
        <f>IF($J$1086=0,0,J1072/$J$1086)</f>
        <v/>
      </c>
      <c r="L1072" s="6" t="inlineStr">
        <is>
          <t>REJECTED</t>
        </is>
      </c>
      <c r="M1072" s="8" t="n">
        <v>0</v>
      </c>
      <c r="N1072" s="7">
        <f>M1072*$J$1086-J1072</f>
        <v/>
      </c>
      <c r="O1072" s="9">
        <f>IF(G1072=0,0,N1072/G1072)</f>
        <v/>
      </c>
      <c r="P1072" s="6">
        <f>IF(M1072&gt;0,D1072,"")</f>
        <v/>
      </c>
      <c r="Q1072" s="9">
        <f>I1072+O1072</f>
        <v/>
      </c>
      <c r="R1072" s="7">
        <f>Q1072*G1072</f>
        <v/>
      </c>
      <c r="S1072" s="8">
        <f>IF($R$1086=0,0,R1072/$R$1086)</f>
        <v/>
      </c>
      <c r="T1072" s="8" t="n">
        <v>0</v>
      </c>
      <c r="U1072" s="8" t="n">
        <v>0.01595328303762322</v>
      </c>
      <c r="V1072" s="6" t="inlineStr">
        <is>
          <t>not selected</t>
        </is>
      </c>
    </row>
    <row r="1073">
      <c r="A1073" s="6" t="inlineStr">
        <is>
          <t>DJ30</t>
        </is>
      </c>
      <c r="B1073" s="6" t="inlineStr">
        <is>
          <t>2023-09-01</t>
        </is>
      </c>
      <c r="C1073" s="6" t="inlineStr">
        <is>
          <t>DIA</t>
        </is>
      </c>
      <c r="D1073" s="6" t="inlineStr">
        <is>
          <t>MCD</t>
        </is>
      </c>
      <c r="E1073" s="6" t="inlineStr">
        <is>
          <t>MCD</t>
        </is>
      </c>
      <c r="F1073" s="6" t="inlineStr">
        <is>
          <t>-</t>
        </is>
      </c>
      <c r="G1073" s="7" t="n">
        <v>263.1793212890625</v>
      </c>
      <c r="H1073" s="6">
        <f>P1042</f>
        <v/>
      </c>
      <c r="I1073" s="9">
        <f>Q1042</f>
        <v/>
      </c>
      <c r="J1073" s="7">
        <f>I1073*G1073</f>
        <v/>
      </c>
      <c r="K1073" s="8">
        <f>IF($J$1086=0,0,J1073/$J$1086)</f>
        <v/>
      </c>
      <c r="L1073" s="6" t="inlineStr">
        <is>
          <t>REJECTED</t>
        </is>
      </c>
      <c r="M1073" s="8" t="n">
        <v>0</v>
      </c>
      <c r="N1073" s="7">
        <f>M1073*$J$1086-J1073</f>
        <v/>
      </c>
      <c r="O1073" s="9">
        <f>IF(G1073=0,0,N1073/G1073)</f>
        <v/>
      </c>
      <c r="P1073" s="6">
        <f>IF(M1073&gt;0,D1073,"")</f>
        <v/>
      </c>
      <c r="Q1073" s="9">
        <f>I1073+O1073</f>
        <v/>
      </c>
      <c r="R1073" s="7">
        <f>Q1073*G1073</f>
        <v/>
      </c>
      <c r="S1073" s="8">
        <f>IF($R$1086=0,0,R1073/$R$1086)</f>
        <v/>
      </c>
      <c r="T1073" s="8" t="n">
        <v>0</v>
      </c>
      <c r="U1073" s="8" t="n">
        <v>0.01595328303762322</v>
      </c>
      <c r="V1073" s="6" t="inlineStr">
        <is>
          <t>not selected</t>
        </is>
      </c>
    </row>
    <row r="1074">
      <c r="A1074" s="6" t="inlineStr">
        <is>
          <t>DJ30</t>
        </is>
      </c>
      <c r="B1074" s="6" t="inlineStr">
        <is>
          <t>2023-09-01</t>
        </is>
      </c>
      <c r="C1074" s="6" t="inlineStr">
        <is>
          <t>DIA</t>
        </is>
      </c>
      <c r="D1074" s="6" t="inlineStr">
        <is>
          <t>MMM</t>
        </is>
      </c>
      <c r="E1074" s="6" t="inlineStr">
        <is>
          <t>MMM</t>
        </is>
      </c>
      <c r="F1074" s="6" t="inlineStr">
        <is>
          <t>-</t>
        </is>
      </c>
      <c r="G1074" s="7" t="n">
        <v>82.71080780029297</v>
      </c>
      <c r="H1074" s="6">
        <f>P1043</f>
        <v/>
      </c>
      <c r="I1074" s="9">
        <f>Q1043</f>
        <v/>
      </c>
      <c r="J1074" s="7">
        <f>I1074*G1074</f>
        <v/>
      </c>
      <c r="K1074" s="8">
        <f>IF($J$1086=0,0,J1074/$J$1086)</f>
        <v/>
      </c>
      <c r="L1074" s="6" t="inlineStr">
        <is>
          <t>REJECTED</t>
        </is>
      </c>
      <c r="M1074" s="8" t="n">
        <v>0</v>
      </c>
      <c r="N1074" s="7">
        <f>M1074*$J$1086-J1074</f>
        <v/>
      </c>
      <c r="O1074" s="9">
        <f>IF(G1074=0,0,N1074/G1074)</f>
        <v/>
      </c>
      <c r="P1074" s="6">
        <f>IF(M1074&gt;0,D1074,"")</f>
        <v/>
      </c>
      <c r="Q1074" s="9">
        <f>I1074+O1074</f>
        <v/>
      </c>
      <c r="R1074" s="7">
        <f>Q1074*G1074</f>
        <v/>
      </c>
      <c r="S1074" s="8">
        <f>IF($R$1086=0,0,R1074/$R$1086)</f>
        <v/>
      </c>
      <c r="T1074" s="8" t="n">
        <v>0</v>
      </c>
      <c r="U1074" s="8" t="n">
        <v>0.01595328303762322</v>
      </c>
      <c r="V1074" s="6" t="inlineStr">
        <is>
          <t>not selected</t>
        </is>
      </c>
    </row>
    <row r="1075">
      <c r="A1075" s="6" t="inlineStr">
        <is>
          <t>DJ30</t>
        </is>
      </c>
      <c r="B1075" s="6" t="inlineStr">
        <is>
          <t>2023-09-01</t>
        </is>
      </c>
      <c r="C1075" s="6" t="inlineStr">
        <is>
          <t>DIA</t>
        </is>
      </c>
      <c r="D1075" s="6" t="inlineStr">
        <is>
          <t>MRK</t>
        </is>
      </c>
      <c r="E1075" s="6" t="inlineStr">
        <is>
          <t>MRK</t>
        </is>
      </c>
      <c r="F1075" s="6" t="inlineStr">
        <is>
          <t>-</t>
        </is>
      </c>
      <c r="G1075" s="7" t="n">
        <v>100.1468048095703</v>
      </c>
      <c r="H1075" s="6">
        <f>P1044</f>
        <v/>
      </c>
      <c r="I1075" s="9">
        <f>Q1044</f>
        <v/>
      </c>
      <c r="J1075" s="7">
        <f>I1075*G1075</f>
        <v/>
      </c>
      <c r="K1075" s="8">
        <f>IF($J$1086=0,0,J1075/$J$1086)</f>
        <v/>
      </c>
      <c r="L1075" s="6" t="inlineStr">
        <is>
          <t>REJECTED</t>
        </is>
      </c>
      <c r="M1075" s="8" t="n">
        <v>0</v>
      </c>
      <c r="N1075" s="7">
        <f>M1075*$J$1086-J1075</f>
        <v/>
      </c>
      <c r="O1075" s="9">
        <f>IF(G1075=0,0,N1075/G1075)</f>
        <v/>
      </c>
      <c r="P1075" s="6">
        <f>IF(M1075&gt;0,D1075,"")</f>
        <v/>
      </c>
      <c r="Q1075" s="9">
        <f>I1075+O1075</f>
        <v/>
      </c>
      <c r="R1075" s="7">
        <f>Q1075*G1075</f>
        <v/>
      </c>
      <c r="S1075" s="8">
        <f>IF($R$1086=0,0,R1075/$R$1086)</f>
        <v/>
      </c>
      <c r="T1075" s="8" t="n">
        <v>0</v>
      </c>
      <c r="U1075" s="8" t="n">
        <v>0.01595328303762322</v>
      </c>
      <c r="V1075" s="6" t="inlineStr">
        <is>
          <t>not selected</t>
        </is>
      </c>
    </row>
    <row r="1076">
      <c r="A1076" s="6" t="inlineStr">
        <is>
          <t>DJ30</t>
        </is>
      </c>
      <c r="B1076" s="6" t="inlineStr">
        <is>
          <t>2023-09-01</t>
        </is>
      </c>
      <c r="C1076" s="6" t="inlineStr">
        <is>
          <t>DIA</t>
        </is>
      </c>
      <c r="D1076" s="6" t="inlineStr">
        <is>
          <t>MSFT</t>
        </is>
      </c>
      <c r="E1076" s="6" t="inlineStr">
        <is>
          <t>MSFT</t>
        </is>
      </c>
      <c r="F1076" s="6" t="inlineStr">
        <is>
          <t>-</t>
        </is>
      </c>
      <c r="G1076" s="7" t="n">
        <v>321.742919921875</v>
      </c>
      <c r="H1076" s="6">
        <f>P1045</f>
        <v/>
      </c>
      <c r="I1076" s="9">
        <f>Q1045</f>
        <v/>
      </c>
      <c r="J1076" s="7">
        <f>I1076*G1076</f>
        <v/>
      </c>
      <c r="K1076" s="8">
        <f>IF($J$1086=0,0,J1076/$J$1086)</f>
        <v/>
      </c>
      <c r="L1076" s="6" t="inlineStr">
        <is>
          <t>REJECTED</t>
        </is>
      </c>
      <c r="M1076" s="8" t="n">
        <v>0</v>
      </c>
      <c r="N1076" s="7">
        <f>M1076*$J$1086-J1076</f>
        <v/>
      </c>
      <c r="O1076" s="9">
        <f>IF(G1076=0,0,N1076/G1076)</f>
        <v/>
      </c>
      <c r="P1076" s="6">
        <f>IF(M1076&gt;0,D1076,"")</f>
        <v/>
      </c>
      <c r="Q1076" s="9">
        <f>I1076+O1076</f>
        <v/>
      </c>
      <c r="R1076" s="7">
        <f>Q1076*G1076</f>
        <v/>
      </c>
      <c r="S1076" s="8">
        <f>IF($R$1086=0,0,R1076/$R$1086)</f>
        <v/>
      </c>
      <c r="T1076" s="8" t="n">
        <v>0</v>
      </c>
      <c r="U1076" s="8" t="n">
        <v>0.01595328303762322</v>
      </c>
      <c r="V1076" s="6" t="inlineStr">
        <is>
          <t>not selected</t>
        </is>
      </c>
    </row>
    <row r="1077">
      <c r="A1077" s="6" t="inlineStr">
        <is>
          <t>DJ30</t>
        </is>
      </c>
      <c r="B1077" s="6" t="inlineStr">
        <is>
          <t>2023-09-01</t>
        </is>
      </c>
      <c r="C1077" s="6" t="inlineStr">
        <is>
          <t>DIA</t>
        </is>
      </c>
      <c r="D1077" s="6" t="inlineStr">
        <is>
          <t>NKE</t>
        </is>
      </c>
      <c r="E1077" s="6" t="inlineStr">
        <is>
          <t>NKE</t>
        </is>
      </c>
      <c r="F1077" s="6" t="inlineStr">
        <is>
          <t>-</t>
        </is>
      </c>
      <c r="G1077" s="7" t="n">
        <v>96.48458099365234</v>
      </c>
      <c r="H1077" s="6">
        <f>P1046</f>
        <v/>
      </c>
      <c r="I1077" s="9">
        <f>Q1046</f>
        <v/>
      </c>
      <c r="J1077" s="7">
        <f>I1077*G1077</f>
        <v/>
      </c>
      <c r="K1077" s="8">
        <f>IF($J$1086=0,0,J1077/$J$1086)</f>
        <v/>
      </c>
      <c r="L1077" s="6" t="inlineStr">
        <is>
          <t>REJECTED</t>
        </is>
      </c>
      <c r="M1077" s="8" t="n">
        <v>0</v>
      </c>
      <c r="N1077" s="7">
        <f>M1077*$J$1086-J1077</f>
        <v/>
      </c>
      <c r="O1077" s="9">
        <f>IF(G1077=0,0,N1077/G1077)</f>
        <v/>
      </c>
      <c r="P1077" s="6">
        <f>IF(M1077&gt;0,D1077,"")</f>
        <v/>
      </c>
      <c r="Q1077" s="9">
        <f>I1077+O1077</f>
        <v/>
      </c>
      <c r="R1077" s="7">
        <f>Q1077*G1077</f>
        <v/>
      </c>
      <c r="S1077" s="8">
        <f>IF($R$1086=0,0,R1077/$R$1086)</f>
        <v/>
      </c>
      <c r="T1077" s="8" t="n">
        <v>0</v>
      </c>
      <c r="U1077" s="8" t="n">
        <v>0.01595328303762322</v>
      </c>
      <c r="V1077" s="6" t="inlineStr">
        <is>
          <t>not selected</t>
        </is>
      </c>
    </row>
    <row r="1078">
      <c r="A1078" s="6" t="inlineStr">
        <is>
          <t>DJ30</t>
        </is>
      </c>
      <c r="B1078" s="6" t="inlineStr">
        <is>
          <t>2023-09-01</t>
        </is>
      </c>
      <c r="C1078" s="6" t="inlineStr">
        <is>
          <t>DIA</t>
        </is>
      </c>
      <c r="D1078" s="6" t="inlineStr">
        <is>
          <t>NVDA</t>
        </is>
      </c>
      <c r="E1078" s="6" t="inlineStr">
        <is>
          <t>NVDA</t>
        </is>
      </c>
      <c r="F1078" s="6" t="inlineStr">
        <is>
          <t>-</t>
        </is>
      </c>
      <c r="G1078" s="7" t="n">
        <v>48.41467666625977</v>
      </c>
      <c r="H1078" s="6">
        <f>P1047</f>
        <v/>
      </c>
      <c r="I1078" s="9">
        <f>Q1047</f>
        <v/>
      </c>
      <c r="J1078" s="7">
        <f>I1078*G1078</f>
        <v/>
      </c>
      <c r="K1078" s="8">
        <f>IF($J$1086=0,0,J1078/$J$1086)</f>
        <v/>
      </c>
      <c r="L1078" s="6" t="inlineStr">
        <is>
          <t>REJECTED</t>
        </is>
      </c>
      <c r="M1078" s="8" t="n">
        <v>0</v>
      </c>
      <c r="N1078" s="7">
        <f>M1078*$J$1086-J1078</f>
        <v/>
      </c>
      <c r="O1078" s="9">
        <f>IF(G1078=0,0,N1078/G1078)</f>
        <v/>
      </c>
      <c r="P1078" s="6">
        <f>IF(M1078&gt;0,D1078,"")</f>
        <v/>
      </c>
      <c r="Q1078" s="9">
        <f>I1078+O1078</f>
        <v/>
      </c>
      <c r="R1078" s="7">
        <f>Q1078*G1078</f>
        <v/>
      </c>
      <c r="S1078" s="8">
        <f>IF($R$1086=0,0,R1078/$R$1086)</f>
        <v/>
      </c>
      <c r="T1078" s="8" t="n">
        <v>0</v>
      </c>
      <c r="U1078" s="8" t="n">
        <v>0.01595328303762322</v>
      </c>
      <c r="V1078" s="6" t="inlineStr">
        <is>
          <t>not selected</t>
        </is>
      </c>
    </row>
    <row r="1079">
      <c r="A1079" s="6" t="inlineStr">
        <is>
          <t>DJ30</t>
        </is>
      </c>
      <c r="B1079" s="6" t="inlineStr">
        <is>
          <t>2023-09-01</t>
        </is>
      </c>
      <c r="C1079" s="6" t="inlineStr">
        <is>
          <t>DIA</t>
        </is>
      </c>
      <c r="D1079" s="6" t="inlineStr">
        <is>
          <t>PG</t>
        </is>
      </c>
      <c r="E1079" s="6" t="inlineStr">
        <is>
          <t>PG</t>
        </is>
      </c>
      <c r="F1079" s="6" t="inlineStr">
        <is>
          <t>-</t>
        </is>
      </c>
      <c r="G1079" s="7" t="n">
        <v>143.843017578125</v>
      </c>
      <c r="H1079" s="6">
        <f>P1048</f>
        <v/>
      </c>
      <c r="I1079" s="9">
        <f>Q1048</f>
        <v/>
      </c>
      <c r="J1079" s="7">
        <f>I1079*G1079</f>
        <v/>
      </c>
      <c r="K1079" s="8">
        <f>IF($J$1086=0,0,J1079/$J$1086)</f>
        <v/>
      </c>
      <c r="L1079" s="6" t="inlineStr">
        <is>
          <t>REJECTED</t>
        </is>
      </c>
      <c r="M1079" s="8" t="n">
        <v>0</v>
      </c>
      <c r="N1079" s="7">
        <f>M1079*$J$1086-J1079</f>
        <v/>
      </c>
      <c r="O1079" s="9">
        <f>IF(G1079=0,0,N1079/G1079)</f>
        <v/>
      </c>
      <c r="P1079" s="6">
        <f>IF(M1079&gt;0,D1079,"")</f>
        <v/>
      </c>
      <c r="Q1079" s="9">
        <f>I1079+O1079</f>
        <v/>
      </c>
      <c r="R1079" s="7">
        <f>Q1079*G1079</f>
        <v/>
      </c>
      <c r="S1079" s="8">
        <f>IF($R$1086=0,0,R1079/$R$1086)</f>
        <v/>
      </c>
      <c r="T1079" s="8" t="n">
        <v>0</v>
      </c>
      <c r="U1079" s="8" t="n">
        <v>0.01595328303762322</v>
      </c>
      <c r="V1079" s="6" t="inlineStr">
        <is>
          <t>not selected</t>
        </is>
      </c>
    </row>
    <row r="1080">
      <c r="A1080" s="6" t="inlineStr">
        <is>
          <t>DJ30</t>
        </is>
      </c>
      <c r="B1080" s="6" t="inlineStr">
        <is>
          <t>2023-09-01</t>
        </is>
      </c>
      <c r="C1080" s="6" t="inlineStr">
        <is>
          <t>DIA</t>
        </is>
      </c>
      <c r="D1080" s="6" t="inlineStr">
        <is>
          <t>SHW</t>
        </is>
      </c>
      <c r="E1080" s="6" t="inlineStr">
        <is>
          <t>SHW</t>
        </is>
      </c>
      <c r="F1080" s="6" t="inlineStr">
        <is>
          <t>-</t>
        </is>
      </c>
      <c r="G1080" s="7" t="n">
        <v>268.2224731445312</v>
      </c>
      <c r="H1080" s="6">
        <f>P1049</f>
        <v/>
      </c>
      <c r="I1080" s="9">
        <f>Q1049</f>
        <v/>
      </c>
      <c r="J1080" s="7">
        <f>I1080*G1080</f>
        <v/>
      </c>
      <c r="K1080" s="8">
        <f>IF($J$1086=0,0,J1080/$J$1086)</f>
        <v/>
      </c>
      <c r="L1080" s="6" t="inlineStr">
        <is>
          <t>REJECTED</t>
        </is>
      </c>
      <c r="M1080" s="8" t="n">
        <v>0</v>
      </c>
      <c r="N1080" s="7">
        <f>M1080*$J$1086-J1080</f>
        <v/>
      </c>
      <c r="O1080" s="9">
        <f>IF(G1080=0,0,N1080/G1080)</f>
        <v/>
      </c>
      <c r="P1080" s="6">
        <f>IF(M1080&gt;0,D1080,"")</f>
        <v/>
      </c>
      <c r="Q1080" s="9">
        <f>I1080+O1080</f>
        <v/>
      </c>
      <c r="R1080" s="7">
        <f>Q1080*G1080</f>
        <v/>
      </c>
      <c r="S1080" s="8">
        <f>IF($R$1086=0,0,R1080/$R$1086)</f>
        <v/>
      </c>
      <c r="T1080" s="8" t="n">
        <v>0</v>
      </c>
      <c r="U1080" s="8" t="n">
        <v>0.01595328303762322</v>
      </c>
      <c r="V1080" s="6" t="inlineStr">
        <is>
          <t>not selected</t>
        </is>
      </c>
    </row>
    <row r="1081">
      <c r="A1081" s="6" t="inlineStr">
        <is>
          <t>DJ30</t>
        </is>
      </c>
      <c r="B1081" s="6" t="inlineStr">
        <is>
          <t>2023-09-01</t>
        </is>
      </c>
      <c r="C1081" s="6" t="inlineStr">
        <is>
          <t>DIA</t>
        </is>
      </c>
      <c r="D1081" s="6" t="inlineStr">
        <is>
          <t>TRV</t>
        </is>
      </c>
      <c r="E1081" s="6" t="inlineStr">
        <is>
          <t>TRV</t>
        </is>
      </c>
      <c r="F1081" s="6" t="inlineStr">
        <is>
          <t>-</t>
        </is>
      </c>
      <c r="G1081" s="7" t="n">
        <v>153.8094787597656</v>
      </c>
      <c r="H1081" s="6">
        <f>P1050</f>
        <v/>
      </c>
      <c r="I1081" s="9">
        <f>Q1050</f>
        <v/>
      </c>
      <c r="J1081" s="7">
        <f>I1081*G1081</f>
        <v/>
      </c>
      <c r="K1081" s="8">
        <f>IF($J$1086=0,0,J1081/$J$1086)</f>
        <v/>
      </c>
      <c r="L1081" s="6" t="inlineStr">
        <is>
          <t>REJECTED</t>
        </is>
      </c>
      <c r="M1081" s="8" t="n">
        <v>0</v>
      </c>
      <c r="N1081" s="7">
        <f>M1081*$J$1086-J1081</f>
        <v/>
      </c>
      <c r="O1081" s="9">
        <f>IF(G1081=0,0,N1081/G1081)</f>
        <v/>
      </c>
      <c r="P1081" s="6">
        <f>IF(M1081&gt;0,D1081,"")</f>
        <v/>
      </c>
      <c r="Q1081" s="9">
        <f>I1081+O1081</f>
        <v/>
      </c>
      <c r="R1081" s="7">
        <f>Q1081*G1081</f>
        <v/>
      </c>
      <c r="S1081" s="8">
        <f>IF($R$1086=0,0,R1081/$R$1086)</f>
        <v/>
      </c>
      <c r="T1081" s="8" t="n">
        <v>0</v>
      </c>
      <c r="U1081" s="8" t="n">
        <v>0.01595328303762322</v>
      </c>
      <c r="V1081" s="6" t="inlineStr">
        <is>
          <t>not selected</t>
        </is>
      </c>
    </row>
    <row r="1082">
      <c r="A1082" s="6" t="inlineStr">
        <is>
          <t>DJ30</t>
        </is>
      </c>
      <c r="B1082" s="6" t="inlineStr">
        <is>
          <t>2023-09-01</t>
        </is>
      </c>
      <c r="C1082" s="6" t="inlineStr">
        <is>
          <t>DIA</t>
        </is>
      </c>
      <c r="D1082" s="6" t="inlineStr">
        <is>
          <t>UNH</t>
        </is>
      </c>
      <c r="E1082" s="6" t="inlineStr">
        <is>
          <t>UNH</t>
        </is>
      </c>
      <c r="F1082" s="6" t="inlineStr">
        <is>
          <t>-</t>
        </is>
      </c>
      <c r="G1082" s="7" t="n">
        <v>448.2394714355469</v>
      </c>
      <c r="H1082" s="6">
        <f>P1051</f>
        <v/>
      </c>
      <c r="I1082" s="9">
        <f>Q1051</f>
        <v/>
      </c>
      <c r="J1082" s="7">
        <f>I1082*G1082</f>
        <v/>
      </c>
      <c r="K1082" s="8">
        <f>IF($J$1086=0,0,J1082/$J$1086)</f>
        <v/>
      </c>
      <c r="L1082" s="6" t="inlineStr">
        <is>
          <t>REJECTED</t>
        </is>
      </c>
      <c r="M1082" s="8" t="n">
        <v>0</v>
      </c>
      <c r="N1082" s="7">
        <f>M1082*$J$1086-J1082</f>
        <v/>
      </c>
      <c r="O1082" s="9">
        <f>IF(G1082=0,0,N1082/G1082)</f>
        <v/>
      </c>
      <c r="P1082" s="6">
        <f>IF(M1082&gt;0,D1082,"")</f>
        <v/>
      </c>
      <c r="Q1082" s="9">
        <f>I1082+O1082</f>
        <v/>
      </c>
      <c r="R1082" s="7">
        <f>Q1082*G1082</f>
        <v/>
      </c>
      <c r="S1082" s="8">
        <f>IF($R$1086=0,0,R1082/$R$1086)</f>
        <v/>
      </c>
      <c r="T1082" s="8" t="n">
        <v>0</v>
      </c>
      <c r="U1082" s="8" t="n">
        <v>0.01595328303762322</v>
      </c>
      <c r="V1082" s="6" t="inlineStr">
        <is>
          <t>not selected</t>
        </is>
      </c>
    </row>
    <row r="1083">
      <c r="A1083" s="6" t="inlineStr">
        <is>
          <t>DJ30</t>
        </is>
      </c>
      <c r="B1083" s="6" t="inlineStr">
        <is>
          <t>2023-09-01</t>
        </is>
      </c>
      <c r="C1083" s="6" t="inlineStr">
        <is>
          <t>DIA</t>
        </is>
      </c>
      <c r="D1083" s="6" t="inlineStr">
        <is>
          <t>V</t>
        </is>
      </c>
      <c r="E1083" s="6" t="inlineStr">
        <is>
          <t>V</t>
        </is>
      </c>
      <c r="F1083" s="6" t="inlineStr">
        <is>
          <t>-</t>
        </is>
      </c>
      <c r="G1083" s="7" t="n">
        <v>242.9662322998047</v>
      </c>
      <c r="H1083" s="6">
        <f>P1052</f>
        <v/>
      </c>
      <c r="I1083" s="9">
        <f>Q1052</f>
        <v/>
      </c>
      <c r="J1083" s="7">
        <f>I1083*G1083</f>
        <v/>
      </c>
      <c r="K1083" s="8">
        <f>IF($J$1086=0,0,J1083/$J$1086)</f>
        <v/>
      </c>
      <c r="L1083" s="6" t="inlineStr">
        <is>
          <t>REJECTED</t>
        </is>
      </c>
      <c r="M1083" s="8" t="n">
        <v>0</v>
      </c>
      <c r="N1083" s="7">
        <f>M1083*$J$1086-J1083</f>
        <v/>
      </c>
      <c r="O1083" s="9">
        <f>IF(G1083=0,0,N1083/G1083)</f>
        <v/>
      </c>
      <c r="P1083" s="6">
        <f>IF(M1083&gt;0,D1083,"")</f>
        <v/>
      </c>
      <c r="Q1083" s="9">
        <f>I1083+O1083</f>
        <v/>
      </c>
      <c r="R1083" s="7">
        <f>Q1083*G1083</f>
        <v/>
      </c>
      <c r="S1083" s="8">
        <f>IF($R$1086=0,0,R1083/$R$1086)</f>
        <v/>
      </c>
      <c r="T1083" s="8" t="n">
        <v>0</v>
      </c>
      <c r="U1083" s="8" t="n">
        <v>0.01595328303762322</v>
      </c>
      <c r="V1083" s="6" t="inlineStr">
        <is>
          <t>not selected</t>
        </is>
      </c>
    </row>
    <row r="1084">
      <c r="A1084" s="6" t="inlineStr">
        <is>
          <t>DJ30</t>
        </is>
      </c>
      <c r="B1084" s="6" t="inlineStr">
        <is>
          <t>2023-09-01</t>
        </is>
      </c>
      <c r="C1084" s="6" t="inlineStr">
        <is>
          <t>DIA</t>
        </is>
      </c>
      <c r="D1084" s="6" t="inlineStr">
        <is>
          <t>VZ</t>
        </is>
      </c>
      <c r="E1084" s="6" t="inlineStr">
        <is>
          <t>VZ</t>
        </is>
      </c>
      <c r="F1084" s="6" t="inlineStr">
        <is>
          <t>-</t>
        </is>
      </c>
      <c r="G1084" s="7" t="n">
        <v>28.99136734008789</v>
      </c>
      <c r="H1084" s="6">
        <f>P1053</f>
        <v/>
      </c>
      <c r="I1084" s="9">
        <f>Q1053</f>
        <v/>
      </c>
      <c r="J1084" s="7">
        <f>I1084*G1084</f>
        <v/>
      </c>
      <c r="K1084" s="8">
        <f>IF($J$1086=0,0,J1084/$J$1086)</f>
        <v/>
      </c>
      <c r="L1084" s="6" t="inlineStr">
        <is>
          <t>REJECTED</t>
        </is>
      </c>
      <c r="M1084" s="8" t="n">
        <v>0</v>
      </c>
      <c r="N1084" s="7">
        <f>M1084*$J$1086-J1084</f>
        <v/>
      </c>
      <c r="O1084" s="9">
        <f>IF(G1084=0,0,N1084/G1084)</f>
        <v/>
      </c>
      <c r="P1084" s="6">
        <f>IF(M1084&gt;0,D1084,"")</f>
        <v/>
      </c>
      <c r="Q1084" s="9">
        <f>I1084+O1084</f>
        <v/>
      </c>
      <c r="R1084" s="7">
        <f>Q1084*G1084</f>
        <v/>
      </c>
      <c r="S1084" s="8">
        <f>IF($R$1086=0,0,R1084/$R$1086)</f>
        <v/>
      </c>
      <c r="T1084" s="8" t="n">
        <v>0</v>
      </c>
      <c r="U1084" s="8" t="n">
        <v>0.01595328303762322</v>
      </c>
      <c r="V1084" s="6" t="inlineStr">
        <is>
          <t>not selected</t>
        </is>
      </c>
    </row>
    <row r="1085">
      <c r="A1085" s="6" t="inlineStr">
        <is>
          <t>DJ30</t>
        </is>
      </c>
      <c r="B1085" s="6" t="inlineStr">
        <is>
          <t>2023-09-01</t>
        </is>
      </c>
      <c r="C1085" s="6" t="inlineStr">
        <is>
          <t>DIA</t>
        </is>
      </c>
      <c r="D1085" s="6" t="inlineStr">
        <is>
          <t>WMT</t>
        </is>
      </c>
      <c r="E1085" s="6" t="inlineStr">
        <is>
          <t>WMT</t>
        </is>
      </c>
      <c r="F1085" s="6" t="inlineStr">
        <is>
          <t>-</t>
        </is>
      </c>
      <c r="G1085" s="7" t="n">
        <v>52.31174087524414</v>
      </c>
      <c r="H1085" s="6">
        <f>P1054</f>
        <v/>
      </c>
      <c r="I1085" s="9">
        <f>Q1054</f>
        <v/>
      </c>
      <c r="J1085" s="7">
        <f>I1085*G1085</f>
        <v/>
      </c>
      <c r="K1085" s="8">
        <f>IF($J$1086=0,0,J1085/$J$1086)</f>
        <v/>
      </c>
      <c r="L1085" s="6" t="inlineStr">
        <is>
          <t>REJECTED</t>
        </is>
      </c>
      <c r="M1085" s="8" t="n">
        <v>0</v>
      </c>
      <c r="N1085" s="7">
        <f>M1085*$J$1086-J1085</f>
        <v/>
      </c>
      <c r="O1085" s="9">
        <f>IF(G1085=0,0,N1085/G1085)</f>
        <v/>
      </c>
      <c r="P1085" s="6">
        <f>IF(M1085&gt;0,D1085,"")</f>
        <v/>
      </c>
      <c r="Q1085" s="9">
        <f>I1085+O1085</f>
        <v/>
      </c>
      <c r="R1085" s="7">
        <f>Q1085*G1085</f>
        <v/>
      </c>
      <c r="S1085" s="8">
        <f>IF($R$1086=0,0,R1085/$R$1086)</f>
        <v/>
      </c>
      <c r="T1085" s="8" t="n">
        <v>0</v>
      </c>
      <c r="U1085" s="8" t="n">
        <v>0.01595328303762322</v>
      </c>
      <c r="V1085" s="6" t="inlineStr">
        <is>
          <t>not selected</t>
        </is>
      </c>
    </row>
    <row r="1086">
      <c r="A1086" s="10" t="inlineStr">
        <is>
          <t>DJ30</t>
        </is>
      </c>
      <c r="B1086" s="10" t="inlineStr">
        <is>
          <t>2023-09-01</t>
        </is>
      </c>
      <c r="C1086" s="10" t="inlineStr">
        <is>
          <t>DIA</t>
        </is>
      </c>
      <c r="D1086" s="10" t="inlineStr">
        <is>
          <t>Tot Portfolio</t>
        </is>
      </c>
      <c r="E1086" s="10" t="inlineStr"/>
      <c r="F1086" s="10" t="inlineStr"/>
      <c r="G1086" s="11" t="inlineStr"/>
      <c r="H1086" s="10" t="inlineStr"/>
      <c r="I1086" s="12" t="inlineStr"/>
      <c r="J1086" s="11">
        <f>SUM(J1056:J1085)</f>
        <v/>
      </c>
      <c r="K1086" s="13">
        <f>SUM(K1056:K1085)</f>
        <v/>
      </c>
      <c r="L1086" s="10" t="inlineStr">
        <is>
          <t>TOTAL</t>
        </is>
      </c>
      <c r="M1086" s="13">
        <f>SUM(M1056:M1085)</f>
        <v/>
      </c>
      <c r="N1086" s="11">
        <f>SUM(N1056:N1085)</f>
        <v/>
      </c>
      <c r="O1086" s="12">
        <f>SUM(O1056:O1085)</f>
        <v/>
      </c>
      <c r="P1086" s="10" t="inlineStr"/>
      <c r="Q1086" s="12" t="inlineStr"/>
      <c r="R1086" s="11">
        <f>SUM(R1056:R1085)</f>
        <v/>
      </c>
      <c r="S1086" s="13">
        <f>SUM(S1056:S1085)</f>
        <v/>
      </c>
      <c r="T1086" s="13" t="n">
        <v>0</v>
      </c>
      <c r="U1086" s="13" t="n">
        <v>0.01595328303762322</v>
      </c>
      <c r="V1086" s="10" t="inlineStr"/>
    </row>
    <row r="1087">
      <c r="A1087" s="6" t="inlineStr">
        <is>
          <t>DJ30</t>
        </is>
      </c>
      <c r="B1087" s="6" t="inlineStr">
        <is>
          <t>2023-09-08</t>
        </is>
      </c>
      <c r="C1087" s="6" t="inlineStr">
        <is>
          <t>DIA</t>
        </is>
      </c>
      <c r="D1087" s="6" t="inlineStr">
        <is>
          <t>AAPL</t>
        </is>
      </c>
      <c r="E1087" s="6" t="inlineStr">
        <is>
          <t>AAPL</t>
        </is>
      </c>
      <c r="F1087" s="6" t="inlineStr">
        <is>
          <t>-</t>
        </is>
      </c>
      <c r="G1087" s="7" t="n">
        <v>175.953857421875</v>
      </c>
      <c r="H1087" s="6">
        <f>P1056</f>
        <v/>
      </c>
      <c r="I1087" s="9">
        <f>Q1056</f>
        <v/>
      </c>
      <c r="J1087" s="7">
        <f>I1087*G1087</f>
        <v/>
      </c>
      <c r="K1087" s="8">
        <f>IF($J$1117=0,0,J1087/$J$1117)</f>
        <v/>
      </c>
      <c r="L1087" s="6" t="inlineStr">
        <is>
          <t>REJECTED</t>
        </is>
      </c>
      <c r="M1087" s="8" t="n">
        <v>0</v>
      </c>
      <c r="N1087" s="7">
        <f>M1087*$J$1117-J1087</f>
        <v/>
      </c>
      <c r="O1087" s="9">
        <f>IF(G1087=0,0,N1087/G1087)</f>
        <v/>
      </c>
      <c r="P1087" s="6">
        <f>IF(M1087&gt;0,D1087,"")</f>
        <v/>
      </c>
      <c r="Q1087" s="9">
        <f>I1087+O1087</f>
        <v/>
      </c>
      <c r="R1087" s="7">
        <f>Q1087*G1087</f>
        <v/>
      </c>
      <c r="S1087" s="8">
        <f>IF($R$1117=0,0,R1087/$R$1117)</f>
        <v/>
      </c>
      <c r="T1087" s="8" t="n">
        <v>0</v>
      </c>
      <c r="U1087" s="8" t="n">
        <v>-0.007077863651374638</v>
      </c>
      <c r="V1087" s="6" t="inlineStr">
        <is>
          <t>not selected</t>
        </is>
      </c>
    </row>
    <row r="1088">
      <c r="A1088" s="6" t="inlineStr">
        <is>
          <t>DJ30</t>
        </is>
      </c>
      <c r="B1088" s="6" t="inlineStr">
        <is>
          <t>2023-09-08</t>
        </is>
      </c>
      <c r="C1088" s="6" t="inlineStr">
        <is>
          <t>DIA</t>
        </is>
      </c>
      <c r="D1088" s="6" t="inlineStr">
        <is>
          <t>AMGN</t>
        </is>
      </c>
      <c r="E1088" s="6" t="inlineStr">
        <is>
          <t>AMGN</t>
        </is>
      </c>
      <c r="F1088" s="6" t="inlineStr">
        <is>
          <t>-</t>
        </is>
      </c>
      <c r="G1088" s="7" t="n">
        <v>238.5136566162109</v>
      </c>
      <c r="H1088" s="6">
        <f>P1057</f>
        <v/>
      </c>
      <c r="I1088" s="9">
        <f>Q1057</f>
        <v/>
      </c>
      <c r="J1088" s="7">
        <f>I1088*G1088</f>
        <v/>
      </c>
      <c r="K1088" s="8">
        <f>IF($J$1117=0,0,J1088/$J$1117)</f>
        <v/>
      </c>
      <c r="L1088" s="6" t="inlineStr">
        <is>
          <t>REJECTED</t>
        </is>
      </c>
      <c r="M1088" s="8" t="n">
        <v>0</v>
      </c>
      <c r="N1088" s="7">
        <f>M1088*$J$1117-J1088</f>
        <v/>
      </c>
      <c r="O1088" s="9">
        <f>IF(G1088=0,0,N1088/G1088)</f>
        <v/>
      </c>
      <c r="P1088" s="6">
        <f>IF(M1088&gt;0,D1088,"")</f>
        <v/>
      </c>
      <c r="Q1088" s="9">
        <f>I1088+O1088</f>
        <v/>
      </c>
      <c r="R1088" s="7">
        <f>Q1088*G1088</f>
        <v/>
      </c>
      <c r="S1088" s="8">
        <f>IF($R$1117=0,0,R1088/$R$1117)</f>
        <v/>
      </c>
      <c r="T1088" s="8" t="n">
        <v>0</v>
      </c>
      <c r="U1088" s="8" t="n">
        <v>-0.007077863651374638</v>
      </c>
      <c r="V1088" s="6" t="inlineStr">
        <is>
          <t>not selected</t>
        </is>
      </c>
    </row>
    <row r="1089">
      <c r="A1089" s="6" t="inlineStr">
        <is>
          <t>DJ30</t>
        </is>
      </c>
      <c r="B1089" s="6" t="inlineStr">
        <is>
          <t>2023-09-08</t>
        </is>
      </c>
      <c r="C1089" s="6" t="inlineStr">
        <is>
          <t>DIA</t>
        </is>
      </c>
      <c r="D1089" s="6" t="inlineStr">
        <is>
          <t>AMZN</t>
        </is>
      </c>
      <c r="E1089" s="6" t="inlineStr">
        <is>
          <t>AMZN</t>
        </is>
      </c>
      <c r="F1089" s="6" t="inlineStr">
        <is>
          <t>-</t>
        </is>
      </c>
      <c r="G1089" s="7" t="n">
        <v>138.2299957275391</v>
      </c>
      <c r="H1089" s="6">
        <f>P1058</f>
        <v/>
      </c>
      <c r="I1089" s="9">
        <f>Q1058</f>
        <v/>
      </c>
      <c r="J1089" s="7">
        <f>I1089*G1089</f>
        <v/>
      </c>
      <c r="K1089" s="8">
        <f>IF($J$1117=0,0,J1089/$J$1117)</f>
        <v/>
      </c>
      <c r="L1089" s="6" t="inlineStr">
        <is>
          <t>REJECTED</t>
        </is>
      </c>
      <c r="M1089" s="8" t="n">
        <v>0</v>
      </c>
      <c r="N1089" s="7">
        <f>M1089*$J$1117-J1089</f>
        <v/>
      </c>
      <c r="O1089" s="9">
        <f>IF(G1089=0,0,N1089/G1089)</f>
        <v/>
      </c>
      <c r="P1089" s="6">
        <f>IF(M1089&gt;0,D1089,"")</f>
        <v/>
      </c>
      <c r="Q1089" s="9">
        <f>I1089+O1089</f>
        <v/>
      </c>
      <c r="R1089" s="7">
        <f>Q1089*G1089</f>
        <v/>
      </c>
      <c r="S1089" s="8">
        <f>IF($R$1117=0,0,R1089/$R$1117)</f>
        <v/>
      </c>
      <c r="T1089" s="8" t="n">
        <v>0</v>
      </c>
      <c r="U1089" s="8" t="n">
        <v>-0.007077863651374638</v>
      </c>
      <c r="V1089" s="6" t="inlineStr">
        <is>
          <t>not selected</t>
        </is>
      </c>
    </row>
    <row r="1090">
      <c r="A1090" s="6" t="inlineStr">
        <is>
          <t>DJ30</t>
        </is>
      </c>
      <c r="B1090" s="6" t="inlineStr">
        <is>
          <t>2023-09-08</t>
        </is>
      </c>
      <c r="C1090" s="6" t="inlineStr">
        <is>
          <t>DIA</t>
        </is>
      </c>
      <c r="D1090" s="6" t="inlineStr">
        <is>
          <t>AXP</t>
        </is>
      </c>
      <c r="E1090" s="6" t="inlineStr">
        <is>
          <t>AXP</t>
        </is>
      </c>
      <c r="F1090" s="6" t="inlineStr">
        <is>
          <t>-</t>
        </is>
      </c>
      <c r="G1090" s="7" t="n">
        <v>152.457763671875</v>
      </c>
      <c r="H1090" s="6">
        <f>P1059</f>
        <v/>
      </c>
      <c r="I1090" s="9">
        <f>Q1059</f>
        <v/>
      </c>
      <c r="J1090" s="7">
        <f>I1090*G1090</f>
        <v/>
      </c>
      <c r="K1090" s="8">
        <f>IF($J$1117=0,0,J1090/$J$1117)</f>
        <v/>
      </c>
      <c r="L1090" s="6" t="inlineStr">
        <is>
          <t>REJECTED</t>
        </is>
      </c>
      <c r="M1090" s="8" t="n">
        <v>0</v>
      </c>
      <c r="N1090" s="7">
        <f>M1090*$J$1117-J1090</f>
        <v/>
      </c>
      <c r="O1090" s="9">
        <f>IF(G1090=0,0,N1090/G1090)</f>
        <v/>
      </c>
      <c r="P1090" s="6">
        <f>IF(M1090&gt;0,D1090,"")</f>
        <v/>
      </c>
      <c r="Q1090" s="9">
        <f>I1090+O1090</f>
        <v/>
      </c>
      <c r="R1090" s="7">
        <f>Q1090*G1090</f>
        <v/>
      </c>
      <c r="S1090" s="8">
        <f>IF($R$1117=0,0,R1090/$R$1117)</f>
        <v/>
      </c>
      <c r="T1090" s="8" t="n">
        <v>0</v>
      </c>
      <c r="U1090" s="8" t="n">
        <v>-0.007077863651374638</v>
      </c>
      <c r="V1090" s="6" t="inlineStr">
        <is>
          <t>not selected</t>
        </is>
      </c>
    </row>
    <row r="1091">
      <c r="A1091" s="6" t="inlineStr">
        <is>
          <t>DJ30</t>
        </is>
      </c>
      <c r="B1091" s="6" t="inlineStr">
        <is>
          <t>2023-09-08</t>
        </is>
      </c>
      <c r="C1091" s="6" t="inlineStr">
        <is>
          <t>DIA</t>
        </is>
      </c>
      <c r="D1091" s="6" t="inlineStr">
        <is>
          <t>BA</t>
        </is>
      </c>
      <c r="E1091" s="6" t="inlineStr">
        <is>
          <t>BA</t>
        </is>
      </c>
      <c r="F1091" s="6" t="inlineStr">
        <is>
          <t>-</t>
        </is>
      </c>
      <c r="G1091" s="7" t="n">
        <v>211.2700042724609</v>
      </c>
      <c r="H1091" s="6">
        <f>P1060</f>
        <v/>
      </c>
      <c r="I1091" s="9">
        <f>Q1060</f>
        <v/>
      </c>
      <c r="J1091" s="7">
        <f>I1091*G1091</f>
        <v/>
      </c>
      <c r="K1091" s="8">
        <f>IF($J$1117=0,0,J1091/$J$1117)</f>
        <v/>
      </c>
      <c r="L1091" s="6" t="inlineStr">
        <is>
          <t>REJECTED</t>
        </is>
      </c>
      <c r="M1091" s="8" t="n">
        <v>0</v>
      </c>
      <c r="N1091" s="7">
        <f>M1091*$J$1117-J1091</f>
        <v/>
      </c>
      <c r="O1091" s="9">
        <f>IF(G1091=0,0,N1091/G1091)</f>
        <v/>
      </c>
      <c r="P1091" s="6">
        <f>IF(M1091&gt;0,D1091,"")</f>
        <v/>
      </c>
      <c r="Q1091" s="9">
        <f>I1091+O1091</f>
        <v/>
      </c>
      <c r="R1091" s="7">
        <f>Q1091*G1091</f>
        <v/>
      </c>
      <c r="S1091" s="8">
        <f>IF($R$1117=0,0,R1091/$R$1117)</f>
        <v/>
      </c>
      <c r="T1091" s="8" t="n">
        <v>0</v>
      </c>
      <c r="U1091" s="8" t="n">
        <v>-0.007077863651374638</v>
      </c>
      <c r="V1091" s="6" t="inlineStr">
        <is>
          <t>not selected</t>
        </is>
      </c>
    </row>
    <row r="1092">
      <c r="A1092" s="6" t="inlineStr">
        <is>
          <t>DJ30</t>
        </is>
      </c>
      <c r="B1092" s="6" t="inlineStr">
        <is>
          <t>2023-09-08</t>
        </is>
      </c>
      <c r="C1092" s="6" t="inlineStr">
        <is>
          <t>DIA</t>
        </is>
      </c>
      <c r="D1092" s="6" t="inlineStr">
        <is>
          <t>CAT</t>
        </is>
      </c>
      <c r="E1092" s="6" t="inlineStr">
        <is>
          <t>CAT</t>
        </is>
      </c>
      <c r="F1092" s="6" t="inlineStr">
        <is>
          <t>-</t>
        </is>
      </c>
      <c r="G1092" s="7" t="n">
        <v>271.13232421875</v>
      </c>
      <c r="H1092" s="6">
        <f>P1061</f>
        <v/>
      </c>
      <c r="I1092" s="9">
        <f>Q1061</f>
        <v/>
      </c>
      <c r="J1092" s="7">
        <f>I1092*G1092</f>
        <v/>
      </c>
      <c r="K1092" s="8">
        <f>IF($J$1117=0,0,J1092/$J$1117)</f>
        <v/>
      </c>
      <c r="L1092" s="6" t="inlineStr">
        <is>
          <t>REJECTED</t>
        </is>
      </c>
      <c r="M1092" s="8" t="n">
        <v>0</v>
      </c>
      <c r="N1092" s="7">
        <f>M1092*$J$1117-J1092</f>
        <v/>
      </c>
      <c r="O1092" s="9">
        <f>IF(G1092=0,0,N1092/G1092)</f>
        <v/>
      </c>
      <c r="P1092" s="6">
        <f>IF(M1092&gt;0,D1092,"")</f>
        <v/>
      </c>
      <c r="Q1092" s="9">
        <f>I1092+O1092</f>
        <v/>
      </c>
      <c r="R1092" s="7">
        <f>Q1092*G1092</f>
        <v/>
      </c>
      <c r="S1092" s="8">
        <f>IF($R$1117=0,0,R1092/$R$1117)</f>
        <v/>
      </c>
      <c r="T1092" s="8" t="n">
        <v>0</v>
      </c>
      <c r="U1092" s="8" t="n">
        <v>-0.007077863651374638</v>
      </c>
      <c r="V1092" s="6" t="inlineStr">
        <is>
          <t>not selected</t>
        </is>
      </c>
    </row>
    <row r="1093">
      <c r="A1093" s="6" t="inlineStr">
        <is>
          <t>DJ30</t>
        </is>
      </c>
      <c r="B1093" s="6" t="inlineStr">
        <is>
          <t>2023-09-08</t>
        </is>
      </c>
      <c r="C1093" s="6" t="inlineStr">
        <is>
          <t>DIA</t>
        </is>
      </c>
      <c r="D1093" s="6" t="inlineStr">
        <is>
          <t>CRM</t>
        </is>
      </c>
      <c r="E1093" s="6" t="inlineStr">
        <is>
          <t>CRM</t>
        </is>
      </c>
      <c r="F1093" s="6" t="inlineStr">
        <is>
          <t>-</t>
        </is>
      </c>
      <c r="G1093" s="7" t="n">
        <v>220.9376678466797</v>
      </c>
      <c r="H1093" s="6">
        <f>P1062</f>
        <v/>
      </c>
      <c r="I1093" s="9">
        <f>Q1062</f>
        <v/>
      </c>
      <c r="J1093" s="7">
        <f>I1093*G1093</f>
        <v/>
      </c>
      <c r="K1093" s="8">
        <f>IF($J$1117=0,0,J1093/$J$1117)</f>
        <v/>
      </c>
      <c r="L1093" s="6" t="inlineStr">
        <is>
          <t>REJECTED</t>
        </is>
      </c>
      <c r="M1093" s="8" t="n">
        <v>0</v>
      </c>
      <c r="N1093" s="7">
        <f>M1093*$J$1117-J1093</f>
        <v/>
      </c>
      <c r="O1093" s="9">
        <f>IF(G1093=0,0,N1093/G1093)</f>
        <v/>
      </c>
      <c r="P1093" s="6">
        <f>IF(M1093&gt;0,D1093,"")</f>
        <v/>
      </c>
      <c r="Q1093" s="9">
        <f>I1093+O1093</f>
        <v/>
      </c>
      <c r="R1093" s="7">
        <f>Q1093*G1093</f>
        <v/>
      </c>
      <c r="S1093" s="8">
        <f>IF($R$1117=0,0,R1093/$R$1117)</f>
        <v/>
      </c>
      <c r="T1093" s="8" t="n">
        <v>0</v>
      </c>
      <c r="U1093" s="8" t="n">
        <v>-0.007077863651374638</v>
      </c>
      <c r="V1093" s="6" t="inlineStr">
        <is>
          <t>not selected</t>
        </is>
      </c>
    </row>
    <row r="1094">
      <c r="A1094" s="6" t="inlineStr">
        <is>
          <t>DJ30</t>
        </is>
      </c>
      <c r="B1094" s="6" t="inlineStr">
        <is>
          <t>2023-09-08</t>
        </is>
      </c>
      <c r="C1094" s="6" t="inlineStr">
        <is>
          <t>DIA</t>
        </is>
      </c>
      <c r="D1094" s="6" t="inlineStr">
        <is>
          <t>CSCO</t>
        </is>
      </c>
      <c r="E1094" s="6" t="inlineStr">
        <is>
          <t>CSCO</t>
        </is>
      </c>
      <c r="F1094" s="6" t="inlineStr">
        <is>
          <t>-</t>
        </is>
      </c>
      <c r="G1094" s="7" t="n">
        <v>52.55261611938477</v>
      </c>
      <c r="H1094" s="6">
        <f>P1063</f>
        <v/>
      </c>
      <c r="I1094" s="9">
        <f>Q1063</f>
        <v/>
      </c>
      <c r="J1094" s="7">
        <f>I1094*G1094</f>
        <v/>
      </c>
      <c r="K1094" s="8">
        <f>IF($J$1117=0,0,J1094/$J$1117)</f>
        <v/>
      </c>
      <c r="L1094" s="6" t="inlineStr">
        <is>
          <t>REJECTED</t>
        </is>
      </c>
      <c r="M1094" s="8" t="n">
        <v>0</v>
      </c>
      <c r="N1094" s="7">
        <f>M1094*$J$1117-J1094</f>
        <v/>
      </c>
      <c r="O1094" s="9">
        <f>IF(G1094=0,0,N1094/G1094)</f>
        <v/>
      </c>
      <c r="P1094" s="6">
        <f>IF(M1094&gt;0,D1094,"")</f>
        <v/>
      </c>
      <c r="Q1094" s="9">
        <f>I1094+O1094</f>
        <v/>
      </c>
      <c r="R1094" s="7">
        <f>Q1094*G1094</f>
        <v/>
      </c>
      <c r="S1094" s="8">
        <f>IF($R$1117=0,0,R1094/$R$1117)</f>
        <v/>
      </c>
      <c r="T1094" s="8" t="n">
        <v>0</v>
      </c>
      <c r="U1094" s="8" t="n">
        <v>-0.007077863651374638</v>
      </c>
      <c r="V1094" s="6" t="inlineStr">
        <is>
          <t>not selected</t>
        </is>
      </c>
    </row>
    <row r="1095">
      <c r="A1095" s="6" t="inlineStr">
        <is>
          <t>DJ30</t>
        </is>
      </c>
      <c r="B1095" s="6" t="inlineStr">
        <is>
          <t>2023-09-08</t>
        </is>
      </c>
      <c r="C1095" s="6" t="inlineStr">
        <is>
          <t>DIA</t>
        </is>
      </c>
      <c r="D1095" s="6" t="inlineStr">
        <is>
          <t>CVX</t>
        </is>
      </c>
      <c r="E1095" s="6" t="inlineStr">
        <is>
          <t>CVX</t>
        </is>
      </c>
      <c r="F1095" s="6" t="inlineStr">
        <is>
          <t>-</t>
        </is>
      </c>
      <c r="G1095" s="7" t="n">
        <v>148.7812042236328</v>
      </c>
      <c r="H1095" s="6">
        <f>P1064</f>
        <v/>
      </c>
      <c r="I1095" s="9">
        <f>Q1064</f>
        <v/>
      </c>
      <c r="J1095" s="7">
        <f>I1095*G1095</f>
        <v/>
      </c>
      <c r="K1095" s="8">
        <f>IF($J$1117=0,0,J1095/$J$1117)</f>
        <v/>
      </c>
      <c r="L1095" s="6" t="inlineStr">
        <is>
          <t>REJECTED</t>
        </is>
      </c>
      <c r="M1095" s="8" t="n">
        <v>0</v>
      </c>
      <c r="N1095" s="7">
        <f>M1095*$J$1117-J1095</f>
        <v/>
      </c>
      <c r="O1095" s="9">
        <f>IF(G1095=0,0,N1095/G1095)</f>
        <v/>
      </c>
      <c r="P1095" s="6">
        <f>IF(M1095&gt;0,D1095,"")</f>
        <v/>
      </c>
      <c r="Q1095" s="9">
        <f>I1095+O1095</f>
        <v/>
      </c>
      <c r="R1095" s="7">
        <f>Q1095*G1095</f>
        <v/>
      </c>
      <c r="S1095" s="8">
        <f>IF($R$1117=0,0,R1095/$R$1117)</f>
        <v/>
      </c>
      <c r="T1095" s="8" t="n">
        <v>0</v>
      </c>
      <c r="U1095" s="8" t="n">
        <v>-0.007077863651374638</v>
      </c>
      <c r="V1095" s="6" t="inlineStr">
        <is>
          <t>not selected</t>
        </is>
      </c>
    </row>
    <row r="1096">
      <c r="A1096" s="6" t="inlineStr">
        <is>
          <t>DJ30</t>
        </is>
      </c>
      <c r="B1096" s="6" t="inlineStr">
        <is>
          <t>2023-09-08</t>
        </is>
      </c>
      <c r="C1096" s="6" t="inlineStr">
        <is>
          <t>DIA</t>
        </is>
      </c>
      <c r="D1096" s="6" t="inlineStr">
        <is>
          <t>DIS</t>
        </is>
      </c>
      <c r="E1096" s="6" t="inlineStr">
        <is>
          <t>DIS</t>
        </is>
      </c>
      <c r="F1096" s="6" t="inlineStr">
        <is>
          <t>-</t>
        </is>
      </c>
      <c r="G1096" s="7" t="n">
        <v>79.70304870605469</v>
      </c>
      <c r="H1096" s="6">
        <f>P1065</f>
        <v/>
      </c>
      <c r="I1096" s="9">
        <f>Q1065</f>
        <v/>
      </c>
      <c r="J1096" s="7">
        <f>I1096*G1096</f>
        <v/>
      </c>
      <c r="K1096" s="8">
        <f>IF($J$1117=0,0,J1096/$J$1117)</f>
        <v/>
      </c>
      <c r="L1096" s="6" t="inlineStr">
        <is>
          <t>REJECTED</t>
        </is>
      </c>
      <c r="M1096" s="8" t="n">
        <v>0</v>
      </c>
      <c r="N1096" s="7">
        <f>M1096*$J$1117-J1096</f>
        <v/>
      </c>
      <c r="O1096" s="9">
        <f>IF(G1096=0,0,N1096/G1096)</f>
        <v/>
      </c>
      <c r="P1096" s="6">
        <f>IF(M1096&gt;0,D1096,"")</f>
        <v/>
      </c>
      <c r="Q1096" s="9">
        <f>I1096+O1096</f>
        <v/>
      </c>
      <c r="R1096" s="7">
        <f>Q1096*G1096</f>
        <v/>
      </c>
      <c r="S1096" s="8">
        <f>IF($R$1117=0,0,R1096/$R$1117)</f>
        <v/>
      </c>
      <c r="T1096" s="8" t="n">
        <v>0</v>
      </c>
      <c r="U1096" s="8" t="n">
        <v>-0.007077863651374638</v>
      </c>
      <c r="V1096" s="6" t="inlineStr">
        <is>
          <t>not selected</t>
        </is>
      </c>
    </row>
    <row r="1097">
      <c r="A1097" s="6" t="inlineStr">
        <is>
          <t>DJ30</t>
        </is>
      </c>
      <c r="B1097" s="6" t="inlineStr">
        <is>
          <t>2023-09-08</t>
        </is>
      </c>
      <c r="C1097" s="6" t="inlineStr">
        <is>
          <t>DIA</t>
        </is>
      </c>
      <c r="D1097" s="6" t="inlineStr">
        <is>
          <t>GS</t>
        </is>
      </c>
      <c r="E1097" s="6" t="inlineStr">
        <is>
          <t>GS</t>
        </is>
      </c>
      <c r="F1097" s="6" t="inlineStr">
        <is>
          <t>-</t>
        </is>
      </c>
      <c r="G1097" s="7" t="n">
        <v>305.9621887207031</v>
      </c>
      <c r="H1097" s="6">
        <f>P1066</f>
        <v/>
      </c>
      <c r="I1097" s="9">
        <f>Q1066</f>
        <v/>
      </c>
      <c r="J1097" s="7">
        <f>I1097*G1097</f>
        <v/>
      </c>
      <c r="K1097" s="8">
        <f>IF($J$1117=0,0,J1097/$J$1117)</f>
        <v/>
      </c>
      <c r="L1097" s="6" t="inlineStr">
        <is>
          <t>REJECTED</t>
        </is>
      </c>
      <c r="M1097" s="8" t="n">
        <v>0</v>
      </c>
      <c r="N1097" s="7">
        <f>M1097*$J$1117-J1097</f>
        <v/>
      </c>
      <c r="O1097" s="9">
        <f>IF(G1097=0,0,N1097/G1097)</f>
        <v/>
      </c>
      <c r="P1097" s="6">
        <f>IF(M1097&gt;0,D1097,"")</f>
        <v/>
      </c>
      <c r="Q1097" s="9">
        <f>I1097+O1097</f>
        <v/>
      </c>
      <c r="R1097" s="7">
        <f>Q1097*G1097</f>
        <v/>
      </c>
      <c r="S1097" s="8">
        <f>IF($R$1117=0,0,R1097/$R$1117)</f>
        <v/>
      </c>
      <c r="T1097" s="8" t="n">
        <v>0</v>
      </c>
      <c r="U1097" s="8" t="n">
        <v>-0.007077863651374638</v>
      </c>
      <c r="V1097" s="6" t="inlineStr">
        <is>
          <t>not selected</t>
        </is>
      </c>
    </row>
    <row r="1098">
      <c r="A1098" s="6" t="inlineStr">
        <is>
          <t>DJ30</t>
        </is>
      </c>
      <c r="B1098" s="6" t="inlineStr">
        <is>
          <t>2023-09-08</t>
        </is>
      </c>
      <c r="C1098" s="6" t="inlineStr">
        <is>
          <t>DIA</t>
        </is>
      </c>
      <c r="D1098" s="6" t="inlineStr">
        <is>
          <t>HD</t>
        </is>
      </c>
      <c r="E1098" s="6" t="inlineStr">
        <is>
          <t>HD</t>
        </is>
      </c>
      <c r="F1098" s="6" t="inlineStr">
        <is>
          <t>-</t>
        </is>
      </c>
      <c r="G1098" s="7" t="n">
        <v>306.5937194824219</v>
      </c>
      <c r="H1098" s="6">
        <f>P1067</f>
        <v/>
      </c>
      <c r="I1098" s="9">
        <f>Q1067</f>
        <v/>
      </c>
      <c r="J1098" s="7">
        <f>I1098*G1098</f>
        <v/>
      </c>
      <c r="K1098" s="8">
        <f>IF($J$1117=0,0,J1098/$J$1117)</f>
        <v/>
      </c>
      <c r="L1098" s="6" t="inlineStr">
        <is>
          <t>REJECTED</t>
        </is>
      </c>
      <c r="M1098" s="8" t="n">
        <v>0</v>
      </c>
      <c r="N1098" s="7">
        <f>M1098*$J$1117-J1098</f>
        <v/>
      </c>
      <c r="O1098" s="9">
        <f>IF(G1098=0,0,N1098/G1098)</f>
        <v/>
      </c>
      <c r="P1098" s="6">
        <f>IF(M1098&gt;0,D1098,"")</f>
        <v/>
      </c>
      <c r="Q1098" s="9">
        <f>I1098+O1098</f>
        <v/>
      </c>
      <c r="R1098" s="7">
        <f>Q1098*G1098</f>
        <v/>
      </c>
      <c r="S1098" s="8">
        <f>IF($R$1117=0,0,R1098/$R$1117)</f>
        <v/>
      </c>
      <c r="T1098" s="8" t="n">
        <v>0</v>
      </c>
      <c r="U1098" s="8" t="n">
        <v>-0.007077863651374638</v>
      </c>
      <c r="V1098" s="6" t="inlineStr">
        <is>
          <t>not selected</t>
        </is>
      </c>
    </row>
    <row r="1099">
      <c r="A1099" s="6" t="inlineStr">
        <is>
          <t>DJ30</t>
        </is>
      </c>
      <c r="B1099" s="6" t="inlineStr">
        <is>
          <t>2023-09-08</t>
        </is>
      </c>
      <c r="C1099" s="6" t="inlineStr">
        <is>
          <t>DIA</t>
        </is>
      </c>
      <c r="D1099" s="6" t="inlineStr">
        <is>
          <t>HON</t>
        </is>
      </c>
      <c r="E1099" s="6" t="inlineStr">
        <is>
          <t>HON</t>
        </is>
      </c>
      <c r="F1099" s="6" t="inlineStr">
        <is>
          <t>-</t>
        </is>
      </c>
      <c r="G1099" s="7" t="n">
        <v>163.9429168701172</v>
      </c>
      <c r="H1099" s="6">
        <f>P1068</f>
        <v/>
      </c>
      <c r="I1099" s="9">
        <f>Q1068</f>
        <v/>
      </c>
      <c r="J1099" s="7">
        <f>I1099*G1099</f>
        <v/>
      </c>
      <c r="K1099" s="8">
        <f>IF($J$1117=0,0,J1099/$J$1117)</f>
        <v/>
      </c>
      <c r="L1099" s="6" t="inlineStr">
        <is>
          <t>REJECTED</t>
        </is>
      </c>
      <c r="M1099" s="8" t="n">
        <v>0</v>
      </c>
      <c r="N1099" s="7">
        <f>M1099*$J$1117-J1099</f>
        <v/>
      </c>
      <c r="O1099" s="9">
        <f>IF(G1099=0,0,N1099/G1099)</f>
        <v/>
      </c>
      <c r="P1099" s="6">
        <f>IF(M1099&gt;0,D1099,"")</f>
        <v/>
      </c>
      <c r="Q1099" s="9">
        <f>I1099+O1099</f>
        <v/>
      </c>
      <c r="R1099" s="7">
        <f>Q1099*G1099</f>
        <v/>
      </c>
      <c r="S1099" s="8">
        <f>IF($R$1117=0,0,R1099/$R$1117)</f>
        <v/>
      </c>
      <c r="T1099" s="8" t="n">
        <v>0</v>
      </c>
      <c r="U1099" s="8" t="n">
        <v>-0.007077863651374638</v>
      </c>
      <c r="V1099" s="6" t="inlineStr">
        <is>
          <t>not selected</t>
        </is>
      </c>
    </row>
    <row r="1100">
      <c r="A1100" s="6" t="inlineStr">
        <is>
          <t>DJ30</t>
        </is>
      </c>
      <c r="B1100" s="6" t="inlineStr">
        <is>
          <t>2023-09-08</t>
        </is>
      </c>
      <c r="C1100" s="6" t="inlineStr">
        <is>
          <t>DIA</t>
        </is>
      </c>
      <c r="D1100" s="6" t="inlineStr">
        <is>
          <t>IBM</t>
        </is>
      </c>
      <c r="E1100" s="6" t="inlineStr">
        <is>
          <t>IBM</t>
        </is>
      </c>
      <c r="F1100" s="6" t="inlineStr">
        <is>
          <t>-</t>
        </is>
      </c>
      <c r="G1100" s="7" t="n">
        <v>135.6028900146484</v>
      </c>
      <c r="H1100" s="6">
        <f>P1069</f>
        <v/>
      </c>
      <c r="I1100" s="9">
        <f>Q1069</f>
        <v/>
      </c>
      <c r="J1100" s="7">
        <f>I1100*G1100</f>
        <v/>
      </c>
      <c r="K1100" s="8">
        <f>IF($J$1117=0,0,J1100/$J$1117)</f>
        <v/>
      </c>
      <c r="L1100" s="6" t="inlineStr">
        <is>
          <t>REJECTED</t>
        </is>
      </c>
      <c r="M1100" s="8" t="n">
        <v>0</v>
      </c>
      <c r="N1100" s="7">
        <f>M1100*$J$1117-J1100</f>
        <v/>
      </c>
      <c r="O1100" s="9">
        <f>IF(G1100=0,0,N1100/G1100)</f>
        <v/>
      </c>
      <c r="P1100" s="6">
        <f>IF(M1100&gt;0,D1100,"")</f>
        <v/>
      </c>
      <c r="Q1100" s="9">
        <f>I1100+O1100</f>
        <v/>
      </c>
      <c r="R1100" s="7">
        <f>Q1100*G1100</f>
        <v/>
      </c>
      <c r="S1100" s="8">
        <f>IF($R$1117=0,0,R1100/$R$1117)</f>
        <v/>
      </c>
      <c r="T1100" s="8" t="n">
        <v>0</v>
      </c>
      <c r="U1100" s="8" t="n">
        <v>-0.007077863651374638</v>
      </c>
      <c r="V1100" s="6" t="inlineStr">
        <is>
          <t>not selected</t>
        </is>
      </c>
    </row>
    <row r="1101">
      <c r="A1101" s="6" t="inlineStr">
        <is>
          <t>DJ30</t>
        </is>
      </c>
      <c r="B1101" s="6" t="inlineStr">
        <is>
          <t>2023-09-08</t>
        </is>
      </c>
      <c r="C1101" s="6" t="inlineStr">
        <is>
          <t>DIA</t>
        </is>
      </c>
      <c r="D1101" s="6" t="inlineStr">
        <is>
          <t>JNJ</t>
        </is>
      </c>
      <c r="E1101" s="6" t="inlineStr">
        <is>
          <t>JNJ</t>
        </is>
      </c>
      <c r="F1101" s="6" t="inlineStr">
        <is>
          <t>-</t>
        </is>
      </c>
      <c r="G1101" s="7" t="n">
        <v>148.1662750244141</v>
      </c>
      <c r="H1101" s="6">
        <f>P1070</f>
        <v/>
      </c>
      <c r="I1101" s="9">
        <f>Q1070</f>
        <v/>
      </c>
      <c r="J1101" s="7">
        <f>I1101*G1101</f>
        <v/>
      </c>
      <c r="K1101" s="8">
        <f>IF($J$1117=0,0,J1101/$J$1117)</f>
        <v/>
      </c>
      <c r="L1101" s="6" t="inlineStr">
        <is>
          <t>REJECTED</t>
        </is>
      </c>
      <c r="M1101" s="8" t="n">
        <v>0</v>
      </c>
      <c r="N1101" s="7">
        <f>M1101*$J$1117-J1101</f>
        <v/>
      </c>
      <c r="O1101" s="9">
        <f>IF(G1101=0,0,N1101/G1101)</f>
        <v/>
      </c>
      <c r="P1101" s="6">
        <f>IF(M1101&gt;0,D1101,"")</f>
        <v/>
      </c>
      <c r="Q1101" s="9">
        <f>I1101+O1101</f>
        <v/>
      </c>
      <c r="R1101" s="7">
        <f>Q1101*G1101</f>
        <v/>
      </c>
      <c r="S1101" s="8">
        <f>IF($R$1117=0,0,R1101/$R$1117)</f>
        <v/>
      </c>
      <c r="T1101" s="8" t="n">
        <v>0</v>
      </c>
      <c r="U1101" s="8" t="n">
        <v>-0.007077863651374638</v>
      </c>
      <c r="V1101" s="6" t="inlineStr">
        <is>
          <t>not selected</t>
        </is>
      </c>
    </row>
    <row r="1102">
      <c r="A1102" s="6" t="inlineStr">
        <is>
          <t>DJ30</t>
        </is>
      </c>
      <c r="B1102" s="6" t="inlineStr">
        <is>
          <t>2023-09-08</t>
        </is>
      </c>
      <c r="C1102" s="6" t="inlineStr">
        <is>
          <t>DIA</t>
        </is>
      </c>
      <c r="D1102" s="6" t="inlineStr">
        <is>
          <t>JPM</t>
        </is>
      </c>
      <c r="E1102" s="6" t="inlineStr">
        <is>
          <t>JPM</t>
        </is>
      </c>
      <c r="F1102" s="6" t="inlineStr">
        <is>
          <t>-</t>
        </is>
      </c>
      <c r="G1102" s="7" t="n">
        <v>135.2504577636719</v>
      </c>
      <c r="H1102" s="6">
        <f>P1071</f>
        <v/>
      </c>
      <c r="I1102" s="9">
        <f>Q1071</f>
        <v/>
      </c>
      <c r="J1102" s="7">
        <f>I1102*G1102</f>
        <v/>
      </c>
      <c r="K1102" s="8">
        <f>IF($J$1117=0,0,J1102/$J$1117)</f>
        <v/>
      </c>
      <c r="L1102" s="6" t="inlineStr">
        <is>
          <t>REJECTED</t>
        </is>
      </c>
      <c r="M1102" s="8" t="n">
        <v>0</v>
      </c>
      <c r="N1102" s="7">
        <f>M1102*$J$1117-J1102</f>
        <v/>
      </c>
      <c r="O1102" s="9">
        <f>IF(G1102=0,0,N1102/G1102)</f>
        <v/>
      </c>
      <c r="P1102" s="6">
        <f>IF(M1102&gt;0,D1102,"")</f>
        <v/>
      </c>
      <c r="Q1102" s="9">
        <f>I1102+O1102</f>
        <v/>
      </c>
      <c r="R1102" s="7">
        <f>Q1102*G1102</f>
        <v/>
      </c>
      <c r="S1102" s="8">
        <f>IF($R$1117=0,0,R1102/$R$1117)</f>
        <v/>
      </c>
      <c r="T1102" s="8" t="n">
        <v>0</v>
      </c>
      <c r="U1102" s="8" t="n">
        <v>-0.007077863651374638</v>
      </c>
      <c r="V1102" s="6" t="inlineStr">
        <is>
          <t>not selected</t>
        </is>
      </c>
    </row>
    <row r="1103">
      <c r="A1103" s="6" t="inlineStr">
        <is>
          <t>DJ30</t>
        </is>
      </c>
      <c r="B1103" s="6" t="inlineStr">
        <is>
          <t>2023-09-08</t>
        </is>
      </c>
      <c r="C1103" s="6" t="inlineStr">
        <is>
          <t>DIA</t>
        </is>
      </c>
      <c r="D1103" s="6" t="inlineStr">
        <is>
          <t>KO</t>
        </is>
      </c>
      <c r="E1103" s="6" t="inlineStr">
        <is>
          <t>KO</t>
        </is>
      </c>
      <c r="F1103" s="6" t="inlineStr">
        <is>
          <t>-</t>
        </is>
      </c>
      <c r="G1103" s="7" t="n">
        <v>53.40124130249024</v>
      </c>
      <c r="H1103" s="6">
        <f>P1072</f>
        <v/>
      </c>
      <c r="I1103" s="9">
        <f>Q1072</f>
        <v/>
      </c>
      <c r="J1103" s="7">
        <f>I1103*G1103</f>
        <v/>
      </c>
      <c r="K1103" s="8">
        <f>IF($J$1117=0,0,J1103/$J$1117)</f>
        <v/>
      </c>
      <c r="L1103" s="6" t="inlineStr">
        <is>
          <t>REJECTED</t>
        </is>
      </c>
      <c r="M1103" s="8" t="n">
        <v>0</v>
      </c>
      <c r="N1103" s="7">
        <f>M1103*$J$1117-J1103</f>
        <v/>
      </c>
      <c r="O1103" s="9">
        <f>IF(G1103=0,0,N1103/G1103)</f>
        <v/>
      </c>
      <c r="P1103" s="6">
        <f>IF(M1103&gt;0,D1103,"")</f>
        <v/>
      </c>
      <c r="Q1103" s="9">
        <f>I1103+O1103</f>
        <v/>
      </c>
      <c r="R1103" s="7">
        <f>Q1103*G1103</f>
        <v/>
      </c>
      <c r="S1103" s="8">
        <f>IF($R$1117=0,0,R1103/$R$1117)</f>
        <v/>
      </c>
      <c r="T1103" s="8" t="n">
        <v>0</v>
      </c>
      <c r="U1103" s="8" t="n">
        <v>-0.007077863651374638</v>
      </c>
      <c r="V1103" s="6" t="inlineStr">
        <is>
          <t>not selected</t>
        </is>
      </c>
    </row>
    <row r="1104">
      <c r="A1104" s="6" t="inlineStr">
        <is>
          <t>DJ30</t>
        </is>
      </c>
      <c r="B1104" s="6" t="inlineStr">
        <is>
          <t>2023-09-08</t>
        </is>
      </c>
      <c r="C1104" s="6" t="inlineStr">
        <is>
          <t>DIA</t>
        </is>
      </c>
      <c r="D1104" s="6" t="inlineStr">
        <is>
          <t>MCD</t>
        </is>
      </c>
      <c r="E1104" s="6" t="inlineStr">
        <is>
          <t>MCD</t>
        </is>
      </c>
      <c r="F1104" s="6" t="inlineStr">
        <is>
          <t>-</t>
        </is>
      </c>
      <c r="G1104" s="7" t="n">
        <v>261.568115234375</v>
      </c>
      <c r="H1104" s="6">
        <f>P1073</f>
        <v/>
      </c>
      <c r="I1104" s="9">
        <f>Q1073</f>
        <v/>
      </c>
      <c r="J1104" s="7">
        <f>I1104*G1104</f>
        <v/>
      </c>
      <c r="K1104" s="8">
        <f>IF($J$1117=0,0,J1104/$J$1117)</f>
        <v/>
      </c>
      <c r="L1104" s="6" t="inlineStr">
        <is>
          <t>REJECTED</t>
        </is>
      </c>
      <c r="M1104" s="8" t="n">
        <v>0</v>
      </c>
      <c r="N1104" s="7">
        <f>M1104*$J$1117-J1104</f>
        <v/>
      </c>
      <c r="O1104" s="9">
        <f>IF(G1104=0,0,N1104/G1104)</f>
        <v/>
      </c>
      <c r="P1104" s="6">
        <f>IF(M1104&gt;0,D1104,"")</f>
        <v/>
      </c>
      <c r="Q1104" s="9">
        <f>I1104+O1104</f>
        <v/>
      </c>
      <c r="R1104" s="7">
        <f>Q1104*G1104</f>
        <v/>
      </c>
      <c r="S1104" s="8">
        <f>IF($R$1117=0,0,R1104/$R$1117)</f>
        <v/>
      </c>
      <c r="T1104" s="8" t="n">
        <v>0</v>
      </c>
      <c r="U1104" s="8" t="n">
        <v>-0.007077863651374638</v>
      </c>
      <c r="V1104" s="6" t="inlineStr">
        <is>
          <t>not selected</t>
        </is>
      </c>
    </row>
    <row r="1105">
      <c r="A1105" s="6" t="inlineStr">
        <is>
          <t>DJ30</t>
        </is>
      </c>
      <c r="B1105" s="6" t="inlineStr">
        <is>
          <t>2023-09-08</t>
        </is>
      </c>
      <c r="C1105" s="6" t="inlineStr">
        <is>
          <t>DIA</t>
        </is>
      </c>
      <c r="D1105" s="6" t="inlineStr">
        <is>
          <t>MMM</t>
        </is>
      </c>
      <c r="E1105" s="6" t="inlineStr">
        <is>
          <t>MMM</t>
        </is>
      </c>
      <c r="F1105" s="6" t="inlineStr">
        <is>
          <t>-</t>
        </is>
      </c>
      <c r="G1105" s="7" t="n">
        <v>82.16172027587891</v>
      </c>
      <c r="H1105" s="6">
        <f>P1074</f>
        <v/>
      </c>
      <c r="I1105" s="9">
        <f>Q1074</f>
        <v/>
      </c>
      <c r="J1105" s="7">
        <f>I1105*G1105</f>
        <v/>
      </c>
      <c r="K1105" s="8">
        <f>IF($J$1117=0,0,J1105/$J$1117)</f>
        <v/>
      </c>
      <c r="L1105" s="6" t="inlineStr">
        <is>
          <t>REJECTED</t>
        </is>
      </c>
      <c r="M1105" s="8" t="n">
        <v>0</v>
      </c>
      <c r="N1105" s="7">
        <f>M1105*$J$1117-J1105</f>
        <v/>
      </c>
      <c r="O1105" s="9">
        <f>IF(G1105=0,0,N1105/G1105)</f>
        <v/>
      </c>
      <c r="P1105" s="6">
        <f>IF(M1105&gt;0,D1105,"")</f>
        <v/>
      </c>
      <c r="Q1105" s="9">
        <f>I1105+O1105</f>
        <v/>
      </c>
      <c r="R1105" s="7">
        <f>Q1105*G1105</f>
        <v/>
      </c>
      <c r="S1105" s="8">
        <f>IF($R$1117=0,0,R1105/$R$1117)</f>
        <v/>
      </c>
      <c r="T1105" s="8" t="n">
        <v>0</v>
      </c>
      <c r="U1105" s="8" t="n">
        <v>-0.007077863651374638</v>
      </c>
      <c r="V1105" s="6" t="inlineStr">
        <is>
          <t>not selected</t>
        </is>
      </c>
    </row>
    <row r="1106">
      <c r="A1106" s="6" t="inlineStr">
        <is>
          <t>DJ30</t>
        </is>
      </c>
      <c r="B1106" s="6" t="inlineStr">
        <is>
          <t>2023-09-08</t>
        </is>
      </c>
      <c r="C1106" s="6" t="inlineStr">
        <is>
          <t>DIA</t>
        </is>
      </c>
      <c r="D1106" s="6" t="inlineStr">
        <is>
          <t>MRK</t>
        </is>
      </c>
      <c r="E1106" s="6" t="inlineStr">
        <is>
          <t>MRK</t>
        </is>
      </c>
      <c r="F1106" s="6" t="inlineStr">
        <is>
          <t>-</t>
        </is>
      </c>
      <c r="G1106" s="7" t="n">
        <v>99.426513671875</v>
      </c>
      <c r="H1106" s="6">
        <f>P1075</f>
        <v/>
      </c>
      <c r="I1106" s="9">
        <f>Q1075</f>
        <v/>
      </c>
      <c r="J1106" s="7">
        <f>I1106*G1106</f>
        <v/>
      </c>
      <c r="K1106" s="8">
        <f>IF($J$1117=0,0,J1106/$J$1117)</f>
        <v/>
      </c>
      <c r="L1106" s="6" t="inlineStr">
        <is>
          <t>REJECTED</t>
        </is>
      </c>
      <c r="M1106" s="8" t="n">
        <v>0</v>
      </c>
      <c r="N1106" s="7">
        <f>M1106*$J$1117-J1106</f>
        <v/>
      </c>
      <c r="O1106" s="9">
        <f>IF(G1106=0,0,N1106/G1106)</f>
        <v/>
      </c>
      <c r="P1106" s="6">
        <f>IF(M1106&gt;0,D1106,"")</f>
        <v/>
      </c>
      <c r="Q1106" s="9">
        <f>I1106+O1106</f>
        <v/>
      </c>
      <c r="R1106" s="7">
        <f>Q1106*G1106</f>
        <v/>
      </c>
      <c r="S1106" s="8">
        <f>IF($R$1117=0,0,R1106/$R$1117)</f>
        <v/>
      </c>
      <c r="T1106" s="8" t="n">
        <v>0</v>
      </c>
      <c r="U1106" s="8" t="n">
        <v>-0.007077863651374638</v>
      </c>
      <c r="V1106" s="6" t="inlineStr">
        <is>
          <t>not selected</t>
        </is>
      </c>
    </row>
    <row r="1107">
      <c r="A1107" s="6" t="inlineStr">
        <is>
          <t>DJ30</t>
        </is>
      </c>
      <c r="B1107" s="6" t="inlineStr">
        <is>
          <t>2023-09-08</t>
        </is>
      </c>
      <c r="C1107" s="6" t="inlineStr">
        <is>
          <t>DIA</t>
        </is>
      </c>
      <c r="D1107" s="6" t="inlineStr">
        <is>
          <t>MSFT</t>
        </is>
      </c>
      <c r="E1107" s="6" t="inlineStr">
        <is>
          <t>MSFT</t>
        </is>
      </c>
      <c r="F1107" s="6" t="inlineStr">
        <is>
          <t>-</t>
        </is>
      </c>
      <c r="G1107" s="7" t="n">
        <v>327.2348937988281</v>
      </c>
      <c r="H1107" s="6">
        <f>P1076</f>
        <v/>
      </c>
      <c r="I1107" s="9">
        <f>Q1076</f>
        <v/>
      </c>
      <c r="J1107" s="7">
        <f>I1107*G1107</f>
        <v/>
      </c>
      <c r="K1107" s="8">
        <f>IF($J$1117=0,0,J1107/$J$1117)</f>
        <v/>
      </c>
      <c r="L1107" s="6" t="inlineStr">
        <is>
          <t>REJECTED</t>
        </is>
      </c>
      <c r="M1107" s="8" t="n">
        <v>0</v>
      </c>
      <c r="N1107" s="7">
        <f>M1107*$J$1117-J1107</f>
        <v/>
      </c>
      <c r="O1107" s="9">
        <f>IF(G1107=0,0,N1107/G1107)</f>
        <v/>
      </c>
      <c r="P1107" s="6">
        <f>IF(M1107&gt;0,D1107,"")</f>
        <v/>
      </c>
      <c r="Q1107" s="9">
        <f>I1107+O1107</f>
        <v/>
      </c>
      <c r="R1107" s="7">
        <f>Q1107*G1107</f>
        <v/>
      </c>
      <c r="S1107" s="8">
        <f>IF($R$1117=0,0,R1107/$R$1117)</f>
        <v/>
      </c>
      <c r="T1107" s="8" t="n">
        <v>0</v>
      </c>
      <c r="U1107" s="8" t="n">
        <v>-0.007077863651374638</v>
      </c>
      <c r="V1107" s="6" t="inlineStr">
        <is>
          <t>not selected</t>
        </is>
      </c>
    </row>
    <row r="1108">
      <c r="A1108" s="6" t="inlineStr">
        <is>
          <t>DJ30</t>
        </is>
      </c>
      <c r="B1108" s="6" t="inlineStr">
        <is>
          <t>2023-09-08</t>
        </is>
      </c>
      <c r="C1108" s="6" t="inlineStr">
        <is>
          <t>DIA</t>
        </is>
      </c>
      <c r="D1108" s="6" t="inlineStr">
        <is>
          <t>NKE</t>
        </is>
      </c>
      <c r="E1108" s="6" t="inlineStr">
        <is>
          <t>NKE</t>
        </is>
      </c>
      <c r="F1108" s="6" t="inlineStr">
        <is>
          <t>-</t>
        </is>
      </c>
      <c r="G1108" s="7" t="n">
        <v>92.06378173828124</v>
      </c>
      <c r="H1108" s="6">
        <f>P1077</f>
        <v/>
      </c>
      <c r="I1108" s="9">
        <f>Q1077</f>
        <v/>
      </c>
      <c r="J1108" s="7">
        <f>I1108*G1108</f>
        <v/>
      </c>
      <c r="K1108" s="8">
        <f>IF($J$1117=0,0,J1108/$J$1117)</f>
        <v/>
      </c>
      <c r="L1108" s="6" t="inlineStr">
        <is>
          <t>REJECTED</t>
        </is>
      </c>
      <c r="M1108" s="8" t="n">
        <v>0</v>
      </c>
      <c r="N1108" s="7">
        <f>M1108*$J$1117-J1108</f>
        <v/>
      </c>
      <c r="O1108" s="9">
        <f>IF(G1108=0,0,N1108/G1108)</f>
        <v/>
      </c>
      <c r="P1108" s="6">
        <f>IF(M1108&gt;0,D1108,"")</f>
        <v/>
      </c>
      <c r="Q1108" s="9">
        <f>I1108+O1108</f>
        <v/>
      </c>
      <c r="R1108" s="7">
        <f>Q1108*G1108</f>
        <v/>
      </c>
      <c r="S1108" s="8">
        <f>IF($R$1117=0,0,R1108/$R$1117)</f>
        <v/>
      </c>
      <c r="T1108" s="8" t="n">
        <v>0</v>
      </c>
      <c r="U1108" s="8" t="n">
        <v>-0.007077863651374638</v>
      </c>
      <c r="V1108" s="6" t="inlineStr">
        <is>
          <t>not selected</t>
        </is>
      </c>
    </row>
    <row r="1109">
      <c r="A1109" s="6" t="inlineStr">
        <is>
          <t>DJ30</t>
        </is>
      </c>
      <c r="B1109" s="6" t="inlineStr">
        <is>
          <t>2023-09-08</t>
        </is>
      </c>
      <c r="C1109" s="6" t="inlineStr">
        <is>
          <t>DIA</t>
        </is>
      </c>
      <c r="D1109" s="6" t="inlineStr">
        <is>
          <t>NVDA</t>
        </is>
      </c>
      <c r="E1109" s="6" t="inlineStr">
        <is>
          <t>NVDA</t>
        </is>
      </c>
      <c r="F1109" s="6" t="inlineStr">
        <is>
          <t>-</t>
        </is>
      </c>
      <c r="G1109" s="7" t="n">
        <v>45.48714065551758</v>
      </c>
      <c r="H1109" s="6">
        <f>P1078</f>
        <v/>
      </c>
      <c r="I1109" s="9">
        <f>Q1078</f>
        <v/>
      </c>
      <c r="J1109" s="7">
        <f>I1109*G1109</f>
        <v/>
      </c>
      <c r="K1109" s="8">
        <f>IF($J$1117=0,0,J1109/$J$1117)</f>
        <v/>
      </c>
      <c r="L1109" s="6" t="inlineStr">
        <is>
          <t>REJECTED</t>
        </is>
      </c>
      <c r="M1109" s="8" t="n">
        <v>0</v>
      </c>
      <c r="N1109" s="7">
        <f>M1109*$J$1117-J1109</f>
        <v/>
      </c>
      <c r="O1109" s="9">
        <f>IF(G1109=0,0,N1109/G1109)</f>
        <v/>
      </c>
      <c r="P1109" s="6">
        <f>IF(M1109&gt;0,D1109,"")</f>
        <v/>
      </c>
      <c r="Q1109" s="9">
        <f>I1109+O1109</f>
        <v/>
      </c>
      <c r="R1109" s="7">
        <f>Q1109*G1109</f>
        <v/>
      </c>
      <c r="S1109" s="8">
        <f>IF($R$1117=0,0,R1109/$R$1117)</f>
        <v/>
      </c>
      <c r="T1109" s="8" t="n">
        <v>0</v>
      </c>
      <c r="U1109" s="8" t="n">
        <v>-0.007077863651374638</v>
      </c>
      <c r="V1109" s="6" t="inlineStr">
        <is>
          <t>not selected</t>
        </is>
      </c>
    </row>
    <row r="1110">
      <c r="A1110" s="6" t="inlineStr">
        <is>
          <t>DJ30</t>
        </is>
      </c>
      <c r="B1110" s="6" t="inlineStr">
        <is>
          <t>2023-09-08</t>
        </is>
      </c>
      <c r="C1110" s="6" t="inlineStr">
        <is>
          <t>DIA</t>
        </is>
      </c>
      <c r="D1110" s="6" t="inlineStr">
        <is>
          <t>PG</t>
        </is>
      </c>
      <c r="E1110" s="6" t="inlineStr">
        <is>
          <t>PG</t>
        </is>
      </c>
      <c r="F1110" s="6" t="inlineStr">
        <is>
          <t>-</t>
        </is>
      </c>
      <c r="G1110" s="7" t="n">
        <v>142.3720855712891</v>
      </c>
      <c r="H1110" s="6">
        <f>P1079</f>
        <v/>
      </c>
      <c r="I1110" s="9">
        <f>Q1079</f>
        <v/>
      </c>
      <c r="J1110" s="7">
        <f>I1110*G1110</f>
        <v/>
      </c>
      <c r="K1110" s="8">
        <f>IF($J$1117=0,0,J1110/$J$1117)</f>
        <v/>
      </c>
      <c r="L1110" s="6" t="inlineStr">
        <is>
          <t>REJECTED</t>
        </is>
      </c>
      <c r="M1110" s="8" t="n">
        <v>0</v>
      </c>
      <c r="N1110" s="7">
        <f>M1110*$J$1117-J1110</f>
        <v/>
      </c>
      <c r="O1110" s="9">
        <f>IF(G1110=0,0,N1110/G1110)</f>
        <v/>
      </c>
      <c r="P1110" s="6">
        <f>IF(M1110&gt;0,D1110,"")</f>
        <v/>
      </c>
      <c r="Q1110" s="9">
        <f>I1110+O1110</f>
        <v/>
      </c>
      <c r="R1110" s="7">
        <f>Q1110*G1110</f>
        <v/>
      </c>
      <c r="S1110" s="8">
        <f>IF($R$1117=0,0,R1110/$R$1117)</f>
        <v/>
      </c>
      <c r="T1110" s="8" t="n">
        <v>0</v>
      </c>
      <c r="U1110" s="8" t="n">
        <v>-0.007077863651374638</v>
      </c>
      <c r="V1110" s="6" t="inlineStr">
        <is>
          <t>not selected</t>
        </is>
      </c>
    </row>
    <row r="1111">
      <c r="A1111" s="6" t="inlineStr">
        <is>
          <t>DJ30</t>
        </is>
      </c>
      <c r="B1111" s="6" t="inlineStr">
        <is>
          <t>2023-09-08</t>
        </is>
      </c>
      <c r="C1111" s="6" t="inlineStr">
        <is>
          <t>DIA</t>
        </is>
      </c>
      <c r="D1111" s="6" t="inlineStr">
        <is>
          <t>SHW</t>
        </is>
      </c>
      <c r="E1111" s="6" t="inlineStr">
        <is>
          <t>SHW</t>
        </is>
      </c>
      <c r="F1111" s="6" t="inlineStr">
        <is>
          <t>-</t>
        </is>
      </c>
      <c r="G1111" s="7" t="n">
        <v>264.9333801269531</v>
      </c>
      <c r="H1111" s="6">
        <f>P1080</f>
        <v/>
      </c>
      <c r="I1111" s="9">
        <f>Q1080</f>
        <v/>
      </c>
      <c r="J1111" s="7">
        <f>I1111*G1111</f>
        <v/>
      </c>
      <c r="K1111" s="8">
        <f>IF($J$1117=0,0,J1111/$J$1117)</f>
        <v/>
      </c>
      <c r="L1111" s="6" t="inlineStr">
        <is>
          <t>REJECTED</t>
        </is>
      </c>
      <c r="M1111" s="8" t="n">
        <v>0</v>
      </c>
      <c r="N1111" s="7">
        <f>M1111*$J$1117-J1111</f>
        <v/>
      </c>
      <c r="O1111" s="9">
        <f>IF(G1111=0,0,N1111/G1111)</f>
        <v/>
      </c>
      <c r="P1111" s="6">
        <f>IF(M1111&gt;0,D1111,"")</f>
        <v/>
      </c>
      <c r="Q1111" s="9">
        <f>I1111+O1111</f>
        <v/>
      </c>
      <c r="R1111" s="7">
        <f>Q1111*G1111</f>
        <v/>
      </c>
      <c r="S1111" s="8">
        <f>IF($R$1117=0,0,R1111/$R$1117)</f>
        <v/>
      </c>
      <c r="T1111" s="8" t="n">
        <v>0</v>
      </c>
      <c r="U1111" s="8" t="n">
        <v>-0.007077863651374638</v>
      </c>
      <c r="V1111" s="6" t="inlineStr">
        <is>
          <t>not selected</t>
        </is>
      </c>
    </row>
    <row r="1112">
      <c r="A1112" s="6" t="inlineStr">
        <is>
          <t>DJ30</t>
        </is>
      </c>
      <c r="B1112" s="6" t="inlineStr">
        <is>
          <t>2023-09-08</t>
        </is>
      </c>
      <c r="C1112" s="6" t="inlineStr">
        <is>
          <t>DIA</t>
        </is>
      </c>
      <c r="D1112" s="6" t="inlineStr">
        <is>
          <t>TRV</t>
        </is>
      </c>
      <c r="E1112" s="6" t="inlineStr">
        <is>
          <t>TRV</t>
        </is>
      </c>
      <c r="F1112" s="6" t="inlineStr">
        <is>
          <t>-</t>
        </is>
      </c>
      <c r="G1112" s="7" t="n">
        <v>152.4749298095703</v>
      </c>
      <c r="H1112" s="6">
        <f>P1081</f>
        <v/>
      </c>
      <c r="I1112" s="9">
        <f>Q1081</f>
        <v/>
      </c>
      <c r="J1112" s="7">
        <f>I1112*G1112</f>
        <v/>
      </c>
      <c r="K1112" s="8">
        <f>IF($J$1117=0,0,J1112/$J$1117)</f>
        <v/>
      </c>
      <c r="L1112" s="6" t="inlineStr">
        <is>
          <t>REJECTED</t>
        </is>
      </c>
      <c r="M1112" s="8" t="n">
        <v>0</v>
      </c>
      <c r="N1112" s="7">
        <f>M1112*$J$1117-J1112</f>
        <v/>
      </c>
      <c r="O1112" s="9">
        <f>IF(G1112=0,0,N1112/G1112)</f>
        <v/>
      </c>
      <c r="P1112" s="6">
        <f>IF(M1112&gt;0,D1112,"")</f>
        <v/>
      </c>
      <c r="Q1112" s="9">
        <f>I1112+O1112</f>
        <v/>
      </c>
      <c r="R1112" s="7">
        <f>Q1112*G1112</f>
        <v/>
      </c>
      <c r="S1112" s="8">
        <f>IF($R$1117=0,0,R1112/$R$1117)</f>
        <v/>
      </c>
      <c r="T1112" s="8" t="n">
        <v>0</v>
      </c>
      <c r="U1112" s="8" t="n">
        <v>-0.007077863651374638</v>
      </c>
      <c r="V1112" s="6" t="inlineStr">
        <is>
          <t>not selected</t>
        </is>
      </c>
    </row>
    <row r="1113">
      <c r="A1113" s="6" t="inlineStr">
        <is>
          <t>DJ30</t>
        </is>
      </c>
      <c r="B1113" s="6" t="inlineStr">
        <is>
          <t>2023-09-08</t>
        </is>
      </c>
      <c r="C1113" s="6" t="inlineStr">
        <is>
          <t>DIA</t>
        </is>
      </c>
      <c r="D1113" s="6" t="inlineStr">
        <is>
          <t>UNH</t>
        </is>
      </c>
      <c r="E1113" s="6" t="inlineStr">
        <is>
          <t>UNH</t>
        </is>
      </c>
      <c r="F1113" s="6" t="inlineStr">
        <is>
          <t>-</t>
        </is>
      </c>
      <c r="G1113" s="7" t="n">
        <v>454.2646179199219</v>
      </c>
      <c r="H1113" s="6">
        <f>P1082</f>
        <v/>
      </c>
      <c r="I1113" s="9">
        <f>Q1082</f>
        <v/>
      </c>
      <c r="J1113" s="7">
        <f>I1113*G1113</f>
        <v/>
      </c>
      <c r="K1113" s="8">
        <f>IF($J$1117=0,0,J1113/$J$1117)</f>
        <v/>
      </c>
      <c r="L1113" s="6" t="inlineStr">
        <is>
          <t>REJECTED</t>
        </is>
      </c>
      <c r="M1113" s="8" t="n">
        <v>0</v>
      </c>
      <c r="N1113" s="7">
        <f>M1113*$J$1117-J1113</f>
        <v/>
      </c>
      <c r="O1113" s="9">
        <f>IF(G1113=0,0,N1113/G1113)</f>
        <v/>
      </c>
      <c r="P1113" s="6">
        <f>IF(M1113&gt;0,D1113,"")</f>
        <v/>
      </c>
      <c r="Q1113" s="9">
        <f>I1113+O1113</f>
        <v/>
      </c>
      <c r="R1113" s="7">
        <f>Q1113*G1113</f>
        <v/>
      </c>
      <c r="S1113" s="8">
        <f>IF($R$1117=0,0,R1113/$R$1117)</f>
        <v/>
      </c>
      <c r="T1113" s="8" t="n">
        <v>0</v>
      </c>
      <c r="U1113" s="8" t="n">
        <v>-0.007077863651374638</v>
      </c>
      <c r="V1113" s="6" t="inlineStr">
        <is>
          <t>not selected</t>
        </is>
      </c>
    </row>
    <row r="1114">
      <c r="A1114" s="6" t="inlineStr">
        <is>
          <t>DJ30</t>
        </is>
      </c>
      <c r="B1114" s="6" t="inlineStr">
        <is>
          <t>2023-09-08</t>
        </is>
      </c>
      <c r="C1114" s="6" t="inlineStr">
        <is>
          <t>DIA</t>
        </is>
      </c>
      <c r="D1114" s="6" t="inlineStr">
        <is>
          <t>V</t>
        </is>
      </c>
      <c r="E1114" s="6" t="inlineStr">
        <is>
          <t>V</t>
        </is>
      </c>
      <c r="F1114" s="6" t="inlineStr">
        <is>
          <t>-</t>
        </is>
      </c>
      <c r="G1114" s="7" t="n">
        <v>242.1632080078125</v>
      </c>
      <c r="H1114" s="6">
        <f>P1083</f>
        <v/>
      </c>
      <c r="I1114" s="9">
        <f>Q1083</f>
        <v/>
      </c>
      <c r="J1114" s="7">
        <f>I1114*G1114</f>
        <v/>
      </c>
      <c r="K1114" s="8">
        <f>IF($J$1117=0,0,J1114/$J$1117)</f>
        <v/>
      </c>
      <c r="L1114" s="6" t="inlineStr">
        <is>
          <t>REJECTED</t>
        </is>
      </c>
      <c r="M1114" s="8" t="n">
        <v>0</v>
      </c>
      <c r="N1114" s="7">
        <f>M1114*$J$1117-J1114</f>
        <v/>
      </c>
      <c r="O1114" s="9">
        <f>IF(G1114=0,0,N1114/G1114)</f>
        <v/>
      </c>
      <c r="P1114" s="6">
        <f>IF(M1114&gt;0,D1114,"")</f>
        <v/>
      </c>
      <c r="Q1114" s="9">
        <f>I1114+O1114</f>
        <v/>
      </c>
      <c r="R1114" s="7">
        <f>Q1114*G1114</f>
        <v/>
      </c>
      <c r="S1114" s="8">
        <f>IF($R$1117=0,0,R1114/$R$1117)</f>
        <v/>
      </c>
      <c r="T1114" s="8" t="n">
        <v>0</v>
      </c>
      <c r="U1114" s="8" t="n">
        <v>-0.007077863651374638</v>
      </c>
      <c r="V1114" s="6" t="inlineStr">
        <is>
          <t>not selected</t>
        </is>
      </c>
    </row>
    <row r="1115">
      <c r="A1115" s="6" t="inlineStr">
        <is>
          <t>DJ30</t>
        </is>
      </c>
      <c r="B1115" s="6" t="inlineStr">
        <is>
          <t>2023-09-08</t>
        </is>
      </c>
      <c r="C1115" s="6" t="inlineStr">
        <is>
          <t>DIA</t>
        </is>
      </c>
      <c r="D1115" s="6" t="inlineStr">
        <is>
          <t>VZ</t>
        </is>
      </c>
      <c r="E1115" s="6" t="inlineStr">
        <is>
          <t>VZ</t>
        </is>
      </c>
      <c r="F1115" s="6" t="inlineStr">
        <is>
          <t>-</t>
        </is>
      </c>
      <c r="G1115" s="7" t="n">
        <v>27.81873893737793</v>
      </c>
      <c r="H1115" s="6">
        <f>P1084</f>
        <v/>
      </c>
      <c r="I1115" s="9">
        <f>Q1084</f>
        <v/>
      </c>
      <c r="J1115" s="7">
        <f>I1115*G1115</f>
        <v/>
      </c>
      <c r="K1115" s="8">
        <f>IF($J$1117=0,0,J1115/$J$1117)</f>
        <v/>
      </c>
      <c r="L1115" s="6" t="inlineStr">
        <is>
          <t>REJECTED</t>
        </is>
      </c>
      <c r="M1115" s="8" t="n">
        <v>0</v>
      </c>
      <c r="N1115" s="7">
        <f>M1115*$J$1117-J1115</f>
        <v/>
      </c>
      <c r="O1115" s="9">
        <f>IF(G1115=0,0,N1115/G1115)</f>
        <v/>
      </c>
      <c r="P1115" s="6">
        <f>IF(M1115&gt;0,D1115,"")</f>
        <v/>
      </c>
      <c r="Q1115" s="9">
        <f>I1115+O1115</f>
        <v/>
      </c>
      <c r="R1115" s="7">
        <f>Q1115*G1115</f>
        <v/>
      </c>
      <c r="S1115" s="8">
        <f>IF($R$1117=0,0,R1115/$R$1117)</f>
        <v/>
      </c>
      <c r="T1115" s="8" t="n">
        <v>0</v>
      </c>
      <c r="U1115" s="8" t="n">
        <v>-0.007077863651374638</v>
      </c>
      <c r="V1115" s="6" t="inlineStr">
        <is>
          <t>not selected</t>
        </is>
      </c>
    </row>
    <row r="1116">
      <c r="A1116" s="6" t="inlineStr">
        <is>
          <t>DJ30</t>
        </is>
      </c>
      <c r="B1116" s="6" t="inlineStr">
        <is>
          <t>2023-09-08</t>
        </is>
      </c>
      <c r="C1116" s="6" t="inlineStr">
        <is>
          <t>DIA</t>
        </is>
      </c>
      <c r="D1116" s="6" t="inlineStr">
        <is>
          <t>WMT</t>
        </is>
      </c>
      <c r="E1116" s="6" t="inlineStr">
        <is>
          <t>WMT</t>
        </is>
      </c>
      <c r="F1116" s="6" t="inlineStr">
        <is>
          <t>-</t>
        </is>
      </c>
      <c r="G1116" s="7" t="n">
        <v>53.0240364074707</v>
      </c>
      <c r="H1116" s="6">
        <f>P1085</f>
        <v/>
      </c>
      <c r="I1116" s="9">
        <f>Q1085</f>
        <v/>
      </c>
      <c r="J1116" s="7">
        <f>I1116*G1116</f>
        <v/>
      </c>
      <c r="K1116" s="8">
        <f>IF($J$1117=0,0,J1116/$J$1117)</f>
        <v/>
      </c>
      <c r="L1116" s="6" t="inlineStr">
        <is>
          <t>REJECTED</t>
        </is>
      </c>
      <c r="M1116" s="8" t="n">
        <v>0</v>
      </c>
      <c r="N1116" s="7">
        <f>M1116*$J$1117-J1116</f>
        <v/>
      </c>
      <c r="O1116" s="9">
        <f>IF(G1116=0,0,N1116/G1116)</f>
        <v/>
      </c>
      <c r="P1116" s="6">
        <f>IF(M1116&gt;0,D1116,"")</f>
        <v/>
      </c>
      <c r="Q1116" s="9">
        <f>I1116+O1116</f>
        <v/>
      </c>
      <c r="R1116" s="7">
        <f>Q1116*G1116</f>
        <v/>
      </c>
      <c r="S1116" s="8">
        <f>IF($R$1117=0,0,R1116/$R$1117)</f>
        <v/>
      </c>
      <c r="T1116" s="8" t="n">
        <v>0</v>
      </c>
      <c r="U1116" s="8" t="n">
        <v>-0.007077863651374638</v>
      </c>
      <c r="V1116" s="6" t="inlineStr">
        <is>
          <t>not selected</t>
        </is>
      </c>
    </row>
    <row r="1117">
      <c r="A1117" s="10" t="inlineStr">
        <is>
          <t>DJ30</t>
        </is>
      </c>
      <c r="B1117" s="10" t="inlineStr">
        <is>
          <t>2023-09-08</t>
        </is>
      </c>
      <c r="C1117" s="10" t="inlineStr">
        <is>
          <t>DIA</t>
        </is>
      </c>
      <c r="D1117" s="10" t="inlineStr">
        <is>
          <t>Tot Portfolio</t>
        </is>
      </c>
      <c r="E1117" s="10" t="inlineStr"/>
      <c r="F1117" s="10" t="inlineStr"/>
      <c r="G1117" s="11" t="inlineStr"/>
      <c r="H1117" s="10" t="inlineStr"/>
      <c r="I1117" s="12" t="inlineStr"/>
      <c r="J1117" s="11">
        <f>SUM(J1087:J1116)</f>
        <v/>
      </c>
      <c r="K1117" s="13">
        <f>SUM(K1087:K1116)</f>
        <v/>
      </c>
      <c r="L1117" s="10" t="inlineStr">
        <is>
          <t>TOTAL</t>
        </is>
      </c>
      <c r="M1117" s="13">
        <f>SUM(M1087:M1116)</f>
        <v/>
      </c>
      <c r="N1117" s="11">
        <f>SUM(N1087:N1116)</f>
        <v/>
      </c>
      <c r="O1117" s="12">
        <f>SUM(O1087:O1116)</f>
        <v/>
      </c>
      <c r="P1117" s="10" t="inlineStr"/>
      <c r="Q1117" s="12" t="inlineStr"/>
      <c r="R1117" s="11">
        <f>SUM(R1087:R1116)</f>
        <v/>
      </c>
      <c r="S1117" s="13">
        <f>SUM(S1087:S1116)</f>
        <v/>
      </c>
      <c r="T1117" s="13" t="n">
        <v>0</v>
      </c>
      <c r="U1117" s="13" t="n">
        <v>-0.007077863651374638</v>
      </c>
      <c r="V1117" s="10" t="inlineStr"/>
    </row>
    <row r="1118">
      <c r="A1118" s="6" t="inlineStr">
        <is>
          <t>DJ30</t>
        </is>
      </c>
      <c r="B1118" s="6" t="inlineStr">
        <is>
          <t>2023-09-15</t>
        </is>
      </c>
      <c r="C1118" s="6" t="inlineStr">
        <is>
          <t>DIA</t>
        </is>
      </c>
      <c r="D1118" s="6" t="inlineStr">
        <is>
          <t>AAPL</t>
        </is>
      </c>
      <c r="E1118" s="6" t="inlineStr">
        <is>
          <t>AAPL</t>
        </is>
      </c>
      <c r="F1118" s="6" t="inlineStr">
        <is>
          <t>-</t>
        </is>
      </c>
      <c r="G1118" s="7" t="n">
        <v>172.8234558105469</v>
      </c>
      <c r="H1118" s="6">
        <f>P1087</f>
        <v/>
      </c>
      <c r="I1118" s="9">
        <f>Q1087</f>
        <v/>
      </c>
      <c r="J1118" s="7">
        <f>I1118*G1118</f>
        <v/>
      </c>
      <c r="K1118" s="8">
        <f>IF($J$1148=0,0,J1118/$J$1148)</f>
        <v/>
      </c>
      <c r="L1118" s="6" t="inlineStr">
        <is>
          <t>REJECTED</t>
        </is>
      </c>
      <c r="M1118" s="8" t="n">
        <v>0</v>
      </c>
      <c r="N1118" s="7">
        <f>M1118*$J$1148-J1118</f>
        <v/>
      </c>
      <c r="O1118" s="9">
        <f>IF(G1118=0,0,N1118/G1118)</f>
        <v/>
      </c>
      <c r="P1118" s="6">
        <f>IF(M1118&gt;0,D1118,"")</f>
        <v/>
      </c>
      <c r="Q1118" s="9">
        <f>I1118+O1118</f>
        <v/>
      </c>
      <c r="R1118" s="7">
        <f>Q1118*G1118</f>
        <v/>
      </c>
      <c r="S1118" s="8">
        <f>IF($R$1148=0,0,R1118/$R$1148)</f>
        <v/>
      </c>
      <c r="T1118" s="8" t="n">
        <v>0</v>
      </c>
      <c r="U1118" s="8" t="n">
        <v>0.001574139204949088</v>
      </c>
      <c r="V1118" s="6" t="inlineStr">
        <is>
          <t>not selected</t>
        </is>
      </c>
    </row>
    <row r="1119">
      <c r="A1119" s="6" t="inlineStr">
        <is>
          <t>DJ30</t>
        </is>
      </c>
      <c r="B1119" s="6" t="inlineStr">
        <is>
          <t>2023-09-15</t>
        </is>
      </c>
      <c r="C1119" s="6" t="inlineStr">
        <is>
          <t>DIA</t>
        </is>
      </c>
      <c r="D1119" s="6" t="inlineStr">
        <is>
          <t>AMGN</t>
        </is>
      </c>
      <c r="E1119" s="6" t="inlineStr">
        <is>
          <t>AMGN</t>
        </is>
      </c>
      <c r="F1119" s="6" t="inlineStr">
        <is>
          <t>-</t>
        </is>
      </c>
      <c r="G1119" s="7" t="n">
        <v>239.6996307373047</v>
      </c>
      <c r="H1119" s="6">
        <f>P1088</f>
        <v/>
      </c>
      <c r="I1119" s="9">
        <f>Q1088</f>
        <v/>
      </c>
      <c r="J1119" s="7">
        <f>I1119*G1119</f>
        <v/>
      </c>
      <c r="K1119" s="8">
        <f>IF($J$1148=0,0,J1119/$J$1148)</f>
        <v/>
      </c>
      <c r="L1119" s="6" t="inlineStr">
        <is>
          <t>REJECTED</t>
        </is>
      </c>
      <c r="M1119" s="8" t="n">
        <v>0</v>
      </c>
      <c r="N1119" s="7">
        <f>M1119*$J$1148-J1119</f>
        <v/>
      </c>
      <c r="O1119" s="9">
        <f>IF(G1119=0,0,N1119/G1119)</f>
        <v/>
      </c>
      <c r="P1119" s="6">
        <f>IF(M1119&gt;0,D1119,"")</f>
        <v/>
      </c>
      <c r="Q1119" s="9">
        <f>I1119+O1119</f>
        <v/>
      </c>
      <c r="R1119" s="7">
        <f>Q1119*G1119</f>
        <v/>
      </c>
      <c r="S1119" s="8">
        <f>IF($R$1148=0,0,R1119/$R$1148)</f>
        <v/>
      </c>
      <c r="T1119" s="8" t="n">
        <v>0</v>
      </c>
      <c r="U1119" s="8" t="n">
        <v>0.001574139204949088</v>
      </c>
      <c r="V1119" s="6" t="inlineStr">
        <is>
          <t>not selected</t>
        </is>
      </c>
    </row>
    <row r="1120">
      <c r="A1120" s="6" t="inlineStr">
        <is>
          <t>DJ30</t>
        </is>
      </c>
      <c r="B1120" s="6" t="inlineStr">
        <is>
          <t>2023-09-15</t>
        </is>
      </c>
      <c r="C1120" s="6" t="inlineStr">
        <is>
          <t>DIA</t>
        </is>
      </c>
      <c r="D1120" s="6" t="inlineStr">
        <is>
          <t>AMZN</t>
        </is>
      </c>
      <c r="E1120" s="6" t="inlineStr">
        <is>
          <t>AMZN</t>
        </is>
      </c>
      <c r="F1120" s="6" t="inlineStr">
        <is>
          <t>-</t>
        </is>
      </c>
      <c r="G1120" s="7" t="n">
        <v>140.3899993896484</v>
      </c>
      <c r="H1120" s="6">
        <f>P1089</f>
        <v/>
      </c>
      <c r="I1120" s="9">
        <f>Q1089</f>
        <v/>
      </c>
      <c r="J1120" s="7">
        <f>I1120*G1120</f>
        <v/>
      </c>
      <c r="K1120" s="8">
        <f>IF($J$1148=0,0,J1120/$J$1148)</f>
        <v/>
      </c>
      <c r="L1120" s="6" t="inlineStr">
        <is>
          <t>REJECTED</t>
        </is>
      </c>
      <c r="M1120" s="8" t="n">
        <v>0</v>
      </c>
      <c r="N1120" s="7">
        <f>M1120*$J$1148-J1120</f>
        <v/>
      </c>
      <c r="O1120" s="9">
        <f>IF(G1120=0,0,N1120/G1120)</f>
        <v/>
      </c>
      <c r="P1120" s="6">
        <f>IF(M1120&gt;0,D1120,"")</f>
        <v/>
      </c>
      <c r="Q1120" s="9">
        <f>I1120+O1120</f>
        <v/>
      </c>
      <c r="R1120" s="7">
        <f>Q1120*G1120</f>
        <v/>
      </c>
      <c r="S1120" s="8">
        <f>IF($R$1148=0,0,R1120/$R$1148)</f>
        <v/>
      </c>
      <c r="T1120" s="8" t="n">
        <v>0</v>
      </c>
      <c r="U1120" s="8" t="n">
        <v>0.001574139204949088</v>
      </c>
      <c r="V1120" s="6" t="inlineStr">
        <is>
          <t>not selected</t>
        </is>
      </c>
    </row>
    <row r="1121">
      <c r="A1121" s="6" t="inlineStr">
        <is>
          <t>DJ30</t>
        </is>
      </c>
      <c r="B1121" s="6" t="inlineStr">
        <is>
          <t>2023-09-15</t>
        </is>
      </c>
      <c r="C1121" s="6" t="inlineStr">
        <is>
          <t>DIA</t>
        </is>
      </c>
      <c r="D1121" s="6" t="inlineStr">
        <is>
          <t>AXP</t>
        </is>
      </c>
      <c r="E1121" s="6" t="inlineStr">
        <is>
          <t>AXP</t>
        </is>
      </c>
      <c r="F1121" s="6" t="inlineStr">
        <is>
          <t>-</t>
        </is>
      </c>
      <c r="G1121" s="7" t="n">
        <v>158.5781707763672</v>
      </c>
      <c r="H1121" s="6">
        <f>P1090</f>
        <v/>
      </c>
      <c r="I1121" s="9">
        <f>Q1090</f>
        <v/>
      </c>
      <c r="J1121" s="7">
        <f>I1121*G1121</f>
        <v/>
      </c>
      <c r="K1121" s="8">
        <f>IF($J$1148=0,0,J1121/$J$1148)</f>
        <v/>
      </c>
      <c r="L1121" s="6" t="inlineStr">
        <is>
          <t>REJECTED</t>
        </is>
      </c>
      <c r="M1121" s="8" t="n">
        <v>0</v>
      </c>
      <c r="N1121" s="7">
        <f>M1121*$J$1148-J1121</f>
        <v/>
      </c>
      <c r="O1121" s="9">
        <f>IF(G1121=0,0,N1121/G1121)</f>
        <v/>
      </c>
      <c r="P1121" s="6">
        <f>IF(M1121&gt;0,D1121,"")</f>
        <v/>
      </c>
      <c r="Q1121" s="9">
        <f>I1121+O1121</f>
        <v/>
      </c>
      <c r="R1121" s="7">
        <f>Q1121*G1121</f>
        <v/>
      </c>
      <c r="S1121" s="8">
        <f>IF($R$1148=0,0,R1121/$R$1148)</f>
        <v/>
      </c>
      <c r="T1121" s="8" t="n">
        <v>0</v>
      </c>
      <c r="U1121" s="8" t="n">
        <v>0.001574139204949088</v>
      </c>
      <c r="V1121" s="6" t="inlineStr">
        <is>
          <t>not selected</t>
        </is>
      </c>
    </row>
    <row r="1122">
      <c r="A1122" s="6" t="inlineStr">
        <is>
          <t>DJ30</t>
        </is>
      </c>
      <c r="B1122" s="6" t="inlineStr">
        <is>
          <t>2023-09-15</t>
        </is>
      </c>
      <c r="C1122" s="6" t="inlineStr">
        <is>
          <t>DIA</t>
        </is>
      </c>
      <c r="D1122" s="6" t="inlineStr">
        <is>
          <t>BA</t>
        </is>
      </c>
      <c r="E1122" s="6" t="inlineStr">
        <is>
          <t>BA</t>
        </is>
      </c>
      <c r="F1122" s="6" t="inlineStr">
        <is>
          <t>-</t>
        </is>
      </c>
      <c r="G1122" s="7" t="n">
        <v>208.1100006103516</v>
      </c>
      <c r="H1122" s="6">
        <f>P1091</f>
        <v/>
      </c>
      <c r="I1122" s="9">
        <f>Q1091</f>
        <v/>
      </c>
      <c r="J1122" s="7">
        <f>I1122*G1122</f>
        <v/>
      </c>
      <c r="K1122" s="8">
        <f>IF($J$1148=0,0,J1122/$J$1148)</f>
        <v/>
      </c>
      <c r="L1122" s="6" t="inlineStr">
        <is>
          <t>REJECTED</t>
        </is>
      </c>
      <c r="M1122" s="8" t="n">
        <v>0</v>
      </c>
      <c r="N1122" s="7">
        <f>M1122*$J$1148-J1122</f>
        <v/>
      </c>
      <c r="O1122" s="9">
        <f>IF(G1122=0,0,N1122/G1122)</f>
        <v/>
      </c>
      <c r="P1122" s="6">
        <f>IF(M1122&gt;0,D1122,"")</f>
        <v/>
      </c>
      <c r="Q1122" s="9">
        <f>I1122+O1122</f>
        <v/>
      </c>
      <c r="R1122" s="7">
        <f>Q1122*G1122</f>
        <v/>
      </c>
      <c r="S1122" s="8">
        <f>IF($R$1148=0,0,R1122/$R$1148)</f>
        <v/>
      </c>
      <c r="T1122" s="8" t="n">
        <v>0</v>
      </c>
      <c r="U1122" s="8" t="n">
        <v>0.001574139204949088</v>
      </c>
      <c r="V1122" s="6" t="inlineStr">
        <is>
          <t>not selected</t>
        </is>
      </c>
    </row>
    <row r="1123">
      <c r="A1123" s="6" t="inlineStr">
        <is>
          <t>DJ30</t>
        </is>
      </c>
      <c r="B1123" s="6" t="inlineStr">
        <is>
          <t>2023-09-15</t>
        </is>
      </c>
      <c r="C1123" s="6" t="inlineStr">
        <is>
          <t>DIA</t>
        </is>
      </c>
      <c r="D1123" s="6" t="inlineStr">
        <is>
          <t>CAT</t>
        </is>
      </c>
      <c r="E1123" s="6" t="inlineStr">
        <is>
          <t>CAT</t>
        </is>
      </c>
      <c r="F1123" s="6" t="inlineStr">
        <is>
          <t>-</t>
        </is>
      </c>
      <c r="G1123" s="7" t="n">
        <v>268.1258850097656</v>
      </c>
      <c r="H1123" s="6">
        <f>P1092</f>
        <v/>
      </c>
      <c r="I1123" s="9">
        <f>Q1092</f>
        <v/>
      </c>
      <c r="J1123" s="7">
        <f>I1123*G1123</f>
        <v/>
      </c>
      <c r="K1123" s="8">
        <f>IF($J$1148=0,0,J1123/$J$1148)</f>
        <v/>
      </c>
      <c r="L1123" s="6" t="inlineStr">
        <is>
          <t>REJECTED</t>
        </is>
      </c>
      <c r="M1123" s="8" t="n">
        <v>0</v>
      </c>
      <c r="N1123" s="7">
        <f>M1123*$J$1148-J1123</f>
        <v/>
      </c>
      <c r="O1123" s="9">
        <f>IF(G1123=0,0,N1123/G1123)</f>
        <v/>
      </c>
      <c r="P1123" s="6">
        <f>IF(M1123&gt;0,D1123,"")</f>
        <v/>
      </c>
      <c r="Q1123" s="9">
        <f>I1123+O1123</f>
        <v/>
      </c>
      <c r="R1123" s="7">
        <f>Q1123*G1123</f>
        <v/>
      </c>
      <c r="S1123" s="8">
        <f>IF($R$1148=0,0,R1123/$R$1148)</f>
        <v/>
      </c>
      <c r="T1123" s="8" t="n">
        <v>0</v>
      </c>
      <c r="U1123" s="8" t="n">
        <v>0.001574139204949088</v>
      </c>
      <c r="V1123" s="6" t="inlineStr">
        <is>
          <t>not selected</t>
        </is>
      </c>
    </row>
    <row r="1124">
      <c r="A1124" s="6" t="inlineStr">
        <is>
          <t>DJ30</t>
        </is>
      </c>
      <c r="B1124" s="6" t="inlineStr">
        <is>
          <t>2023-09-15</t>
        </is>
      </c>
      <c r="C1124" s="6" t="inlineStr">
        <is>
          <t>DIA</t>
        </is>
      </c>
      <c r="D1124" s="6" t="inlineStr">
        <is>
          <t>CRM</t>
        </is>
      </c>
      <c r="E1124" s="6" t="inlineStr">
        <is>
          <t>CRM</t>
        </is>
      </c>
      <c r="F1124" s="6" t="inlineStr">
        <is>
          <t>-</t>
        </is>
      </c>
      <c r="G1124" s="7" t="n">
        <v>210.9602966308593</v>
      </c>
      <c r="H1124" s="6">
        <f>P1093</f>
        <v/>
      </c>
      <c r="I1124" s="9">
        <f>Q1093</f>
        <v/>
      </c>
      <c r="J1124" s="7">
        <f>I1124*G1124</f>
        <v/>
      </c>
      <c r="K1124" s="8">
        <f>IF($J$1148=0,0,J1124/$J$1148)</f>
        <v/>
      </c>
      <c r="L1124" s="6" t="inlineStr">
        <is>
          <t>REJECTED</t>
        </is>
      </c>
      <c r="M1124" s="8" t="n">
        <v>0</v>
      </c>
      <c r="N1124" s="7">
        <f>M1124*$J$1148-J1124</f>
        <v/>
      </c>
      <c r="O1124" s="9">
        <f>IF(G1124=0,0,N1124/G1124)</f>
        <v/>
      </c>
      <c r="P1124" s="6">
        <f>IF(M1124&gt;0,D1124,"")</f>
        <v/>
      </c>
      <c r="Q1124" s="9">
        <f>I1124+O1124</f>
        <v/>
      </c>
      <c r="R1124" s="7">
        <f>Q1124*G1124</f>
        <v/>
      </c>
      <c r="S1124" s="8">
        <f>IF($R$1148=0,0,R1124/$R$1148)</f>
        <v/>
      </c>
      <c r="T1124" s="8" t="n">
        <v>0</v>
      </c>
      <c r="U1124" s="8" t="n">
        <v>0.001574139204949088</v>
      </c>
      <c r="V1124" s="6" t="inlineStr">
        <is>
          <t>not selected</t>
        </is>
      </c>
    </row>
    <row r="1125">
      <c r="A1125" s="6" t="inlineStr">
        <is>
          <t>DJ30</t>
        </is>
      </c>
      <c r="B1125" s="6" t="inlineStr">
        <is>
          <t>2023-09-15</t>
        </is>
      </c>
      <c r="C1125" s="6" t="inlineStr">
        <is>
          <t>DIA</t>
        </is>
      </c>
      <c r="D1125" s="6" t="inlineStr">
        <is>
          <t>CSCO</t>
        </is>
      </c>
      <c r="E1125" s="6" t="inlineStr">
        <is>
          <t>CSCO</t>
        </is>
      </c>
      <c r="F1125" s="6" t="inlineStr">
        <is>
          <t>-</t>
        </is>
      </c>
      <c r="G1125" s="7" t="n">
        <v>51.9683952331543</v>
      </c>
      <c r="H1125" s="6">
        <f>P1094</f>
        <v/>
      </c>
      <c r="I1125" s="9">
        <f>Q1094</f>
        <v/>
      </c>
      <c r="J1125" s="7">
        <f>I1125*G1125</f>
        <v/>
      </c>
      <c r="K1125" s="8">
        <f>IF($J$1148=0,0,J1125/$J$1148)</f>
        <v/>
      </c>
      <c r="L1125" s="6" t="inlineStr">
        <is>
          <t>REJECTED</t>
        </is>
      </c>
      <c r="M1125" s="8" t="n">
        <v>0</v>
      </c>
      <c r="N1125" s="7">
        <f>M1125*$J$1148-J1125</f>
        <v/>
      </c>
      <c r="O1125" s="9">
        <f>IF(G1125=0,0,N1125/G1125)</f>
        <v/>
      </c>
      <c r="P1125" s="6">
        <f>IF(M1125&gt;0,D1125,"")</f>
        <v/>
      </c>
      <c r="Q1125" s="9">
        <f>I1125+O1125</f>
        <v/>
      </c>
      <c r="R1125" s="7">
        <f>Q1125*G1125</f>
        <v/>
      </c>
      <c r="S1125" s="8">
        <f>IF($R$1148=0,0,R1125/$R$1148)</f>
        <v/>
      </c>
      <c r="T1125" s="8" t="n">
        <v>0</v>
      </c>
      <c r="U1125" s="8" t="n">
        <v>0.001574139204949088</v>
      </c>
      <c r="V1125" s="6" t="inlineStr">
        <is>
          <t>not selected</t>
        </is>
      </c>
    </row>
    <row r="1126">
      <c r="A1126" s="6" t="inlineStr">
        <is>
          <t>DJ30</t>
        </is>
      </c>
      <c r="B1126" s="6" t="inlineStr">
        <is>
          <t>2023-09-15</t>
        </is>
      </c>
      <c r="C1126" s="6" t="inlineStr">
        <is>
          <t>DIA</t>
        </is>
      </c>
      <c r="D1126" s="6" t="inlineStr">
        <is>
          <t>CVX</t>
        </is>
      </c>
      <c r="E1126" s="6" t="inlineStr">
        <is>
          <t>CVX</t>
        </is>
      </c>
      <c r="F1126" s="6" t="inlineStr">
        <is>
          <t>-</t>
        </is>
      </c>
      <c r="G1126" s="7" t="n">
        <v>148.1494750976562</v>
      </c>
      <c r="H1126" s="6">
        <f>P1095</f>
        <v/>
      </c>
      <c r="I1126" s="9">
        <f>Q1095</f>
        <v/>
      </c>
      <c r="J1126" s="7">
        <f>I1126*G1126</f>
        <v/>
      </c>
      <c r="K1126" s="8">
        <f>IF($J$1148=0,0,J1126/$J$1148)</f>
        <v/>
      </c>
      <c r="L1126" s="6" t="inlineStr">
        <is>
          <t>REJECTED</t>
        </is>
      </c>
      <c r="M1126" s="8" t="n">
        <v>0</v>
      </c>
      <c r="N1126" s="7">
        <f>M1126*$J$1148-J1126</f>
        <v/>
      </c>
      <c r="O1126" s="9">
        <f>IF(G1126=0,0,N1126/G1126)</f>
        <v/>
      </c>
      <c r="P1126" s="6">
        <f>IF(M1126&gt;0,D1126,"")</f>
        <v/>
      </c>
      <c r="Q1126" s="9">
        <f>I1126+O1126</f>
        <v/>
      </c>
      <c r="R1126" s="7">
        <f>Q1126*G1126</f>
        <v/>
      </c>
      <c r="S1126" s="8">
        <f>IF($R$1148=0,0,R1126/$R$1148)</f>
        <v/>
      </c>
      <c r="T1126" s="8" t="n">
        <v>0</v>
      </c>
      <c r="U1126" s="8" t="n">
        <v>0.001574139204949088</v>
      </c>
      <c r="V1126" s="6" t="inlineStr">
        <is>
          <t>not selected</t>
        </is>
      </c>
    </row>
    <row r="1127">
      <c r="A1127" s="6" t="inlineStr">
        <is>
          <t>DJ30</t>
        </is>
      </c>
      <c r="B1127" s="6" t="inlineStr">
        <is>
          <t>2023-09-15</t>
        </is>
      </c>
      <c r="C1127" s="6" t="inlineStr">
        <is>
          <t>DIA</t>
        </is>
      </c>
      <c r="D1127" s="6" t="inlineStr">
        <is>
          <t>DIS</t>
        </is>
      </c>
      <c r="E1127" s="6" t="inlineStr">
        <is>
          <t>DIS</t>
        </is>
      </c>
      <c r="F1127" s="6" t="inlineStr">
        <is>
          <t>-</t>
        </is>
      </c>
      <c r="G1127" s="7" t="n">
        <v>83.61100769042969</v>
      </c>
      <c r="H1127" s="6">
        <f>P1096</f>
        <v/>
      </c>
      <c r="I1127" s="9">
        <f>Q1096</f>
        <v/>
      </c>
      <c r="J1127" s="7">
        <f>I1127*G1127</f>
        <v/>
      </c>
      <c r="K1127" s="8">
        <f>IF($J$1148=0,0,J1127/$J$1148)</f>
        <v/>
      </c>
      <c r="L1127" s="6" t="inlineStr">
        <is>
          <t>REJECTED</t>
        </is>
      </c>
      <c r="M1127" s="8" t="n">
        <v>0</v>
      </c>
      <c r="N1127" s="7">
        <f>M1127*$J$1148-J1127</f>
        <v/>
      </c>
      <c r="O1127" s="9">
        <f>IF(G1127=0,0,N1127/G1127)</f>
        <v/>
      </c>
      <c r="P1127" s="6">
        <f>IF(M1127&gt;0,D1127,"")</f>
        <v/>
      </c>
      <c r="Q1127" s="9">
        <f>I1127+O1127</f>
        <v/>
      </c>
      <c r="R1127" s="7">
        <f>Q1127*G1127</f>
        <v/>
      </c>
      <c r="S1127" s="8">
        <f>IF($R$1148=0,0,R1127/$R$1148)</f>
        <v/>
      </c>
      <c r="T1127" s="8" t="n">
        <v>0</v>
      </c>
      <c r="U1127" s="8" t="n">
        <v>0.001574139204949088</v>
      </c>
      <c r="V1127" s="6" t="inlineStr">
        <is>
          <t>not selected</t>
        </is>
      </c>
    </row>
    <row r="1128">
      <c r="A1128" s="6" t="inlineStr">
        <is>
          <t>DJ30</t>
        </is>
      </c>
      <c r="B1128" s="6" t="inlineStr">
        <is>
          <t>2023-09-15</t>
        </is>
      </c>
      <c r="C1128" s="6" t="inlineStr">
        <is>
          <t>DIA</t>
        </is>
      </c>
      <c r="D1128" s="6" t="inlineStr">
        <is>
          <t>GS</t>
        </is>
      </c>
      <c r="E1128" s="6" t="inlineStr">
        <is>
          <t>GS</t>
        </is>
      </c>
      <c r="F1128" s="6" t="inlineStr">
        <is>
          <t>-</t>
        </is>
      </c>
      <c r="G1128" s="7" t="n">
        <v>321.9595947265625</v>
      </c>
      <c r="H1128" s="6">
        <f>P1097</f>
        <v/>
      </c>
      <c r="I1128" s="9">
        <f>Q1097</f>
        <v/>
      </c>
      <c r="J1128" s="7">
        <f>I1128*G1128</f>
        <v/>
      </c>
      <c r="K1128" s="8">
        <f>IF($J$1148=0,0,J1128/$J$1148)</f>
        <v/>
      </c>
      <c r="L1128" s="6" t="inlineStr">
        <is>
          <t>REJECTED</t>
        </is>
      </c>
      <c r="M1128" s="8" t="n">
        <v>0</v>
      </c>
      <c r="N1128" s="7">
        <f>M1128*$J$1148-J1128</f>
        <v/>
      </c>
      <c r="O1128" s="9">
        <f>IF(G1128=0,0,N1128/G1128)</f>
        <v/>
      </c>
      <c r="P1128" s="6">
        <f>IF(M1128&gt;0,D1128,"")</f>
        <v/>
      </c>
      <c r="Q1128" s="9">
        <f>I1128+O1128</f>
        <v/>
      </c>
      <c r="R1128" s="7">
        <f>Q1128*G1128</f>
        <v/>
      </c>
      <c r="S1128" s="8">
        <f>IF($R$1148=0,0,R1128/$R$1148)</f>
        <v/>
      </c>
      <c r="T1128" s="8" t="n">
        <v>0</v>
      </c>
      <c r="U1128" s="8" t="n">
        <v>0.001574139204949088</v>
      </c>
      <c r="V1128" s="6" t="inlineStr">
        <is>
          <t>not selected</t>
        </is>
      </c>
    </row>
    <row r="1129">
      <c r="A1129" s="6" t="inlineStr">
        <is>
          <t>DJ30</t>
        </is>
      </c>
      <c r="B1129" s="6" t="inlineStr">
        <is>
          <t>2023-09-15</t>
        </is>
      </c>
      <c r="C1129" s="6" t="inlineStr">
        <is>
          <t>DIA</t>
        </is>
      </c>
      <c r="D1129" s="6" t="inlineStr">
        <is>
          <t>HD</t>
        </is>
      </c>
      <c r="E1129" s="6" t="inlineStr">
        <is>
          <t>HD</t>
        </is>
      </c>
      <c r="F1129" s="6" t="inlineStr">
        <is>
          <t>-</t>
        </is>
      </c>
      <c r="G1129" s="7" t="n">
        <v>299.7756042480469</v>
      </c>
      <c r="H1129" s="6">
        <f>P1098</f>
        <v/>
      </c>
      <c r="I1129" s="9">
        <f>Q1098</f>
        <v/>
      </c>
      <c r="J1129" s="7">
        <f>I1129*G1129</f>
        <v/>
      </c>
      <c r="K1129" s="8">
        <f>IF($J$1148=0,0,J1129/$J$1148)</f>
        <v/>
      </c>
      <c r="L1129" s="6" t="inlineStr">
        <is>
          <t>REJECTED</t>
        </is>
      </c>
      <c r="M1129" s="8" t="n">
        <v>0</v>
      </c>
      <c r="N1129" s="7">
        <f>M1129*$J$1148-J1129</f>
        <v/>
      </c>
      <c r="O1129" s="9">
        <f>IF(G1129=0,0,N1129/G1129)</f>
        <v/>
      </c>
      <c r="P1129" s="6">
        <f>IF(M1129&gt;0,D1129,"")</f>
        <v/>
      </c>
      <c r="Q1129" s="9">
        <f>I1129+O1129</f>
        <v/>
      </c>
      <c r="R1129" s="7">
        <f>Q1129*G1129</f>
        <v/>
      </c>
      <c r="S1129" s="8">
        <f>IF($R$1148=0,0,R1129/$R$1148)</f>
        <v/>
      </c>
      <c r="T1129" s="8" t="n">
        <v>0</v>
      </c>
      <c r="U1129" s="8" t="n">
        <v>0.001574139204949088</v>
      </c>
      <c r="V1129" s="6" t="inlineStr">
        <is>
          <t>not selected</t>
        </is>
      </c>
    </row>
    <row r="1130">
      <c r="A1130" s="6" t="inlineStr">
        <is>
          <t>DJ30</t>
        </is>
      </c>
      <c r="B1130" s="6" t="inlineStr">
        <is>
          <t>2023-09-15</t>
        </is>
      </c>
      <c r="C1130" s="6" t="inlineStr">
        <is>
          <t>DIA</t>
        </is>
      </c>
      <c r="D1130" s="6" t="inlineStr">
        <is>
          <t>HON</t>
        </is>
      </c>
      <c r="E1130" s="6" t="inlineStr">
        <is>
          <t>HON</t>
        </is>
      </c>
      <c r="F1130" s="6" t="inlineStr">
        <is>
          <t>-</t>
        </is>
      </c>
      <c r="G1130" s="7" t="n">
        <v>171.5127868652344</v>
      </c>
      <c r="H1130" s="6">
        <f>P1099</f>
        <v/>
      </c>
      <c r="I1130" s="9">
        <f>Q1099</f>
        <v/>
      </c>
      <c r="J1130" s="7">
        <f>I1130*G1130</f>
        <v/>
      </c>
      <c r="K1130" s="8">
        <f>IF($J$1148=0,0,J1130/$J$1148)</f>
        <v/>
      </c>
      <c r="L1130" s="6" t="inlineStr">
        <is>
          <t>REJECTED</t>
        </is>
      </c>
      <c r="M1130" s="8" t="n">
        <v>0</v>
      </c>
      <c r="N1130" s="7">
        <f>M1130*$J$1148-J1130</f>
        <v/>
      </c>
      <c r="O1130" s="9">
        <f>IF(G1130=0,0,N1130/G1130)</f>
        <v/>
      </c>
      <c r="P1130" s="6">
        <f>IF(M1130&gt;0,D1130,"")</f>
        <v/>
      </c>
      <c r="Q1130" s="9">
        <f>I1130+O1130</f>
        <v/>
      </c>
      <c r="R1130" s="7">
        <f>Q1130*G1130</f>
        <v/>
      </c>
      <c r="S1130" s="8">
        <f>IF($R$1148=0,0,R1130/$R$1148)</f>
        <v/>
      </c>
      <c r="T1130" s="8" t="n">
        <v>0</v>
      </c>
      <c r="U1130" s="8" t="n">
        <v>0.001574139204949088</v>
      </c>
      <c r="V1130" s="6" t="inlineStr">
        <is>
          <t>not selected</t>
        </is>
      </c>
    </row>
    <row r="1131">
      <c r="A1131" s="6" t="inlineStr">
        <is>
          <t>DJ30</t>
        </is>
      </c>
      <c r="B1131" s="6" t="inlineStr">
        <is>
          <t>2023-09-15</t>
        </is>
      </c>
      <c r="C1131" s="6" t="inlineStr">
        <is>
          <t>DIA</t>
        </is>
      </c>
      <c r="D1131" s="6" t="inlineStr">
        <is>
          <t>IBM</t>
        </is>
      </c>
      <c r="E1131" s="6" t="inlineStr">
        <is>
          <t>IBM</t>
        </is>
      </c>
      <c r="F1131" s="6" t="inlineStr">
        <is>
          <t>-</t>
        </is>
      </c>
      <c r="G1131" s="7" t="n">
        <v>134.0511322021484</v>
      </c>
      <c r="H1131" s="6">
        <f>P1100</f>
        <v/>
      </c>
      <c r="I1131" s="9">
        <f>Q1100</f>
        <v/>
      </c>
      <c r="J1131" s="7">
        <f>I1131*G1131</f>
        <v/>
      </c>
      <c r="K1131" s="8">
        <f>IF($J$1148=0,0,J1131/$J$1148)</f>
        <v/>
      </c>
      <c r="L1131" s="6" t="inlineStr">
        <is>
          <t>REJECTED</t>
        </is>
      </c>
      <c r="M1131" s="8" t="n">
        <v>0</v>
      </c>
      <c r="N1131" s="7">
        <f>M1131*$J$1148-J1131</f>
        <v/>
      </c>
      <c r="O1131" s="9">
        <f>IF(G1131=0,0,N1131/G1131)</f>
        <v/>
      </c>
      <c r="P1131" s="6">
        <f>IF(M1131&gt;0,D1131,"")</f>
        <v/>
      </c>
      <c r="Q1131" s="9">
        <f>I1131+O1131</f>
        <v/>
      </c>
      <c r="R1131" s="7">
        <f>Q1131*G1131</f>
        <v/>
      </c>
      <c r="S1131" s="8">
        <f>IF($R$1148=0,0,R1131/$R$1148)</f>
        <v/>
      </c>
      <c r="T1131" s="8" t="n">
        <v>0</v>
      </c>
      <c r="U1131" s="8" t="n">
        <v>0.001574139204949088</v>
      </c>
      <c r="V1131" s="6" t="inlineStr">
        <is>
          <t>not selected</t>
        </is>
      </c>
    </row>
    <row r="1132">
      <c r="A1132" s="6" t="inlineStr">
        <is>
          <t>DJ30</t>
        </is>
      </c>
      <c r="B1132" s="6" t="inlineStr">
        <is>
          <t>2023-09-15</t>
        </is>
      </c>
      <c r="C1132" s="6" t="inlineStr">
        <is>
          <t>DIA</t>
        </is>
      </c>
      <c r="D1132" s="6" t="inlineStr">
        <is>
          <t>JNJ</t>
        </is>
      </c>
      <c r="E1132" s="6" t="inlineStr">
        <is>
          <t>JNJ</t>
        </is>
      </c>
      <c r="F1132" s="6" t="inlineStr">
        <is>
          <t>-</t>
        </is>
      </c>
      <c r="G1132" s="7" t="n">
        <v>148.9875793457031</v>
      </c>
      <c r="H1132" s="6">
        <f>P1101</f>
        <v/>
      </c>
      <c r="I1132" s="9">
        <f>Q1101</f>
        <v/>
      </c>
      <c r="J1132" s="7">
        <f>I1132*G1132</f>
        <v/>
      </c>
      <c r="K1132" s="8">
        <f>IF($J$1148=0,0,J1132/$J$1148)</f>
        <v/>
      </c>
      <c r="L1132" s="6" t="inlineStr">
        <is>
          <t>REJECTED</t>
        </is>
      </c>
      <c r="M1132" s="8" t="n">
        <v>0</v>
      </c>
      <c r="N1132" s="7">
        <f>M1132*$J$1148-J1132</f>
        <v/>
      </c>
      <c r="O1132" s="9">
        <f>IF(G1132=0,0,N1132/G1132)</f>
        <v/>
      </c>
      <c r="P1132" s="6">
        <f>IF(M1132&gt;0,D1132,"")</f>
        <v/>
      </c>
      <c r="Q1132" s="9">
        <f>I1132+O1132</f>
        <v/>
      </c>
      <c r="R1132" s="7">
        <f>Q1132*G1132</f>
        <v/>
      </c>
      <c r="S1132" s="8">
        <f>IF($R$1148=0,0,R1132/$R$1148)</f>
        <v/>
      </c>
      <c r="T1132" s="8" t="n">
        <v>0</v>
      </c>
      <c r="U1132" s="8" t="n">
        <v>0.001574139204949088</v>
      </c>
      <c r="V1132" s="6" t="inlineStr">
        <is>
          <t>not selected</t>
        </is>
      </c>
    </row>
    <row r="1133">
      <c r="A1133" s="6" t="inlineStr">
        <is>
          <t>DJ30</t>
        </is>
      </c>
      <c r="B1133" s="6" t="inlineStr">
        <is>
          <t>2023-09-15</t>
        </is>
      </c>
      <c r="C1133" s="6" t="inlineStr">
        <is>
          <t>DIA</t>
        </is>
      </c>
      <c r="D1133" s="6" t="inlineStr">
        <is>
          <t>JPM</t>
        </is>
      </c>
      <c r="E1133" s="6" t="inlineStr">
        <is>
          <t>JPM</t>
        </is>
      </c>
      <c r="F1133" s="6" t="inlineStr">
        <is>
          <t>-</t>
        </is>
      </c>
      <c r="G1133" s="7" t="n">
        <v>139.9334106445312</v>
      </c>
      <c r="H1133" s="6">
        <f>P1102</f>
        <v/>
      </c>
      <c r="I1133" s="9">
        <f>Q1102</f>
        <v/>
      </c>
      <c r="J1133" s="7">
        <f>I1133*G1133</f>
        <v/>
      </c>
      <c r="K1133" s="8">
        <f>IF($J$1148=0,0,J1133/$J$1148)</f>
        <v/>
      </c>
      <c r="L1133" s="6" t="inlineStr">
        <is>
          <t>REJECTED</t>
        </is>
      </c>
      <c r="M1133" s="8" t="n">
        <v>0</v>
      </c>
      <c r="N1133" s="7">
        <f>M1133*$J$1148-J1133</f>
        <v/>
      </c>
      <c r="O1133" s="9">
        <f>IF(G1133=0,0,N1133/G1133)</f>
        <v/>
      </c>
      <c r="P1133" s="6">
        <f>IF(M1133&gt;0,D1133,"")</f>
        <v/>
      </c>
      <c r="Q1133" s="9">
        <f>I1133+O1133</f>
        <v/>
      </c>
      <c r="R1133" s="7">
        <f>Q1133*G1133</f>
        <v/>
      </c>
      <c r="S1133" s="8">
        <f>IF($R$1148=0,0,R1133/$R$1148)</f>
        <v/>
      </c>
      <c r="T1133" s="8" t="n">
        <v>0</v>
      </c>
      <c r="U1133" s="8" t="n">
        <v>0.001574139204949088</v>
      </c>
      <c r="V1133" s="6" t="inlineStr">
        <is>
          <t>not selected</t>
        </is>
      </c>
    </row>
    <row r="1134">
      <c r="A1134" s="6" t="inlineStr">
        <is>
          <t>DJ30</t>
        </is>
      </c>
      <c r="B1134" s="6" t="inlineStr">
        <is>
          <t>2023-09-15</t>
        </is>
      </c>
      <c r="C1134" s="6" t="inlineStr">
        <is>
          <t>DIA</t>
        </is>
      </c>
      <c r="D1134" s="6" t="inlineStr">
        <is>
          <t>KO</t>
        </is>
      </c>
      <c r="E1134" s="6" t="inlineStr">
        <is>
          <t>KO</t>
        </is>
      </c>
      <c r="F1134" s="6" t="inlineStr">
        <is>
          <t>-</t>
        </is>
      </c>
      <c r="G1134" s="7" t="n">
        <v>53.46503829956055</v>
      </c>
      <c r="H1134" s="6">
        <f>P1103</f>
        <v/>
      </c>
      <c r="I1134" s="9">
        <f>Q1103</f>
        <v/>
      </c>
      <c r="J1134" s="7">
        <f>I1134*G1134</f>
        <v/>
      </c>
      <c r="K1134" s="8">
        <f>IF($J$1148=0,0,J1134/$J$1148)</f>
        <v/>
      </c>
      <c r="L1134" s="6" t="inlineStr">
        <is>
          <t>REJECTED</t>
        </is>
      </c>
      <c r="M1134" s="8" t="n">
        <v>0</v>
      </c>
      <c r="N1134" s="7">
        <f>M1134*$J$1148-J1134</f>
        <v/>
      </c>
      <c r="O1134" s="9">
        <f>IF(G1134=0,0,N1134/G1134)</f>
        <v/>
      </c>
      <c r="P1134" s="6">
        <f>IF(M1134&gt;0,D1134,"")</f>
        <v/>
      </c>
      <c r="Q1134" s="9">
        <f>I1134+O1134</f>
        <v/>
      </c>
      <c r="R1134" s="7">
        <f>Q1134*G1134</f>
        <v/>
      </c>
      <c r="S1134" s="8">
        <f>IF($R$1148=0,0,R1134/$R$1148)</f>
        <v/>
      </c>
      <c r="T1134" s="8" t="n">
        <v>0</v>
      </c>
      <c r="U1134" s="8" t="n">
        <v>0.001574139204949088</v>
      </c>
      <c r="V1134" s="6" t="inlineStr">
        <is>
          <t>not selected</t>
        </is>
      </c>
    </row>
    <row r="1135">
      <c r="A1135" s="6" t="inlineStr">
        <is>
          <t>DJ30</t>
        </is>
      </c>
      <c r="B1135" s="6" t="inlineStr">
        <is>
          <t>2023-09-15</t>
        </is>
      </c>
      <c r="C1135" s="6" t="inlineStr">
        <is>
          <t>DIA</t>
        </is>
      </c>
      <c r="D1135" s="6" t="inlineStr">
        <is>
          <t>MCD</t>
        </is>
      </c>
      <c r="E1135" s="6" t="inlineStr">
        <is>
          <t>MCD</t>
        </is>
      </c>
      <c r="F1135" s="6" t="inlineStr">
        <is>
          <t>-</t>
        </is>
      </c>
      <c r="G1135" s="7" t="n">
        <v>260.6406860351562</v>
      </c>
      <c r="H1135" s="6">
        <f>P1104</f>
        <v/>
      </c>
      <c r="I1135" s="9">
        <f>Q1104</f>
        <v/>
      </c>
      <c r="J1135" s="7">
        <f>I1135*G1135</f>
        <v/>
      </c>
      <c r="K1135" s="8">
        <f>IF($J$1148=0,0,J1135/$J$1148)</f>
        <v/>
      </c>
      <c r="L1135" s="6" t="inlineStr">
        <is>
          <t>REJECTED</t>
        </is>
      </c>
      <c r="M1135" s="8" t="n">
        <v>0</v>
      </c>
      <c r="N1135" s="7">
        <f>M1135*$J$1148-J1135</f>
        <v/>
      </c>
      <c r="O1135" s="9">
        <f>IF(G1135=0,0,N1135/G1135)</f>
        <v/>
      </c>
      <c r="P1135" s="6">
        <f>IF(M1135&gt;0,D1135,"")</f>
        <v/>
      </c>
      <c r="Q1135" s="9">
        <f>I1135+O1135</f>
        <v/>
      </c>
      <c r="R1135" s="7">
        <f>Q1135*G1135</f>
        <v/>
      </c>
      <c r="S1135" s="8">
        <f>IF($R$1148=0,0,R1135/$R$1148)</f>
        <v/>
      </c>
      <c r="T1135" s="8" t="n">
        <v>0</v>
      </c>
      <c r="U1135" s="8" t="n">
        <v>0.001574139204949088</v>
      </c>
      <c r="V1135" s="6" t="inlineStr">
        <is>
          <t>not selected</t>
        </is>
      </c>
    </row>
    <row r="1136">
      <c r="A1136" s="6" t="inlineStr">
        <is>
          <t>DJ30</t>
        </is>
      </c>
      <c r="B1136" s="6" t="inlineStr">
        <is>
          <t>2023-09-15</t>
        </is>
      </c>
      <c r="C1136" s="6" t="inlineStr">
        <is>
          <t>DIA</t>
        </is>
      </c>
      <c r="D1136" s="6" t="inlineStr">
        <is>
          <t>MMM</t>
        </is>
      </c>
      <c r="E1136" s="6" t="inlineStr">
        <is>
          <t>MMM</t>
        </is>
      </c>
      <c r="F1136" s="6" t="inlineStr">
        <is>
          <t>-</t>
        </is>
      </c>
      <c r="G1136" s="7" t="n">
        <v>78.15573120117188</v>
      </c>
      <c r="H1136" s="6">
        <f>P1105</f>
        <v/>
      </c>
      <c r="I1136" s="9">
        <f>Q1105</f>
        <v/>
      </c>
      <c r="J1136" s="7">
        <f>I1136*G1136</f>
        <v/>
      </c>
      <c r="K1136" s="8">
        <f>IF($J$1148=0,0,J1136/$J$1148)</f>
        <v/>
      </c>
      <c r="L1136" s="6" t="inlineStr">
        <is>
          <t>REJECTED</t>
        </is>
      </c>
      <c r="M1136" s="8" t="n">
        <v>0</v>
      </c>
      <c r="N1136" s="7">
        <f>M1136*$J$1148-J1136</f>
        <v/>
      </c>
      <c r="O1136" s="9">
        <f>IF(G1136=0,0,N1136/G1136)</f>
        <v/>
      </c>
      <c r="P1136" s="6">
        <f>IF(M1136&gt;0,D1136,"")</f>
        <v/>
      </c>
      <c r="Q1136" s="9">
        <f>I1136+O1136</f>
        <v/>
      </c>
      <c r="R1136" s="7">
        <f>Q1136*G1136</f>
        <v/>
      </c>
      <c r="S1136" s="8">
        <f>IF($R$1148=0,0,R1136/$R$1148)</f>
        <v/>
      </c>
      <c r="T1136" s="8" t="n">
        <v>0</v>
      </c>
      <c r="U1136" s="8" t="n">
        <v>0.001574139204949088</v>
      </c>
      <c r="V1136" s="6" t="inlineStr">
        <is>
          <t>not selected</t>
        </is>
      </c>
    </row>
    <row r="1137">
      <c r="A1137" s="6" t="inlineStr">
        <is>
          <t>DJ30</t>
        </is>
      </c>
      <c r="B1137" s="6" t="inlineStr">
        <is>
          <t>2023-09-15</t>
        </is>
      </c>
      <c r="C1137" s="6" t="inlineStr">
        <is>
          <t>DIA</t>
        </is>
      </c>
      <c r="D1137" s="6" t="inlineStr">
        <is>
          <t>MRK</t>
        </is>
      </c>
      <c r="E1137" s="6" t="inlineStr">
        <is>
          <t>MRK</t>
        </is>
      </c>
      <c r="F1137" s="6" t="inlineStr">
        <is>
          <t>-</t>
        </is>
      </c>
      <c r="G1137" s="7" t="n">
        <v>98.69985198974609</v>
      </c>
      <c r="H1137" s="6">
        <f>P1106</f>
        <v/>
      </c>
      <c r="I1137" s="9">
        <f>Q1106</f>
        <v/>
      </c>
      <c r="J1137" s="7">
        <f>I1137*G1137</f>
        <v/>
      </c>
      <c r="K1137" s="8">
        <f>IF($J$1148=0,0,J1137/$J$1148)</f>
        <v/>
      </c>
      <c r="L1137" s="6" t="inlineStr">
        <is>
          <t>REJECTED</t>
        </is>
      </c>
      <c r="M1137" s="8" t="n">
        <v>0</v>
      </c>
      <c r="N1137" s="7">
        <f>M1137*$J$1148-J1137</f>
        <v/>
      </c>
      <c r="O1137" s="9">
        <f>IF(G1137=0,0,N1137/G1137)</f>
        <v/>
      </c>
      <c r="P1137" s="6">
        <f>IF(M1137&gt;0,D1137,"")</f>
        <v/>
      </c>
      <c r="Q1137" s="9">
        <f>I1137+O1137</f>
        <v/>
      </c>
      <c r="R1137" s="7">
        <f>Q1137*G1137</f>
        <v/>
      </c>
      <c r="S1137" s="8">
        <f>IF($R$1148=0,0,R1137/$R$1148)</f>
        <v/>
      </c>
      <c r="T1137" s="8" t="n">
        <v>0</v>
      </c>
      <c r="U1137" s="8" t="n">
        <v>0.001574139204949088</v>
      </c>
      <c r="V1137" s="6" t="inlineStr">
        <is>
          <t>not selected</t>
        </is>
      </c>
    </row>
    <row r="1138">
      <c r="A1138" s="6" t="inlineStr">
        <is>
          <t>DJ30</t>
        </is>
      </c>
      <c r="B1138" s="6" t="inlineStr">
        <is>
          <t>2023-09-15</t>
        </is>
      </c>
      <c r="C1138" s="6" t="inlineStr">
        <is>
          <t>DIA</t>
        </is>
      </c>
      <c r="D1138" s="6" t="inlineStr">
        <is>
          <t>MSFT</t>
        </is>
      </c>
      <c r="E1138" s="6" t="inlineStr">
        <is>
          <t>MSFT</t>
        </is>
      </c>
      <c r="F1138" s="6" t="inlineStr">
        <is>
          <t>-</t>
        </is>
      </c>
      <c r="G1138" s="7" t="n">
        <v>323.2701416015625</v>
      </c>
      <c r="H1138" s="6">
        <f>P1107</f>
        <v/>
      </c>
      <c r="I1138" s="9">
        <f>Q1107</f>
        <v/>
      </c>
      <c r="J1138" s="7">
        <f>I1138*G1138</f>
        <v/>
      </c>
      <c r="K1138" s="8">
        <f>IF($J$1148=0,0,J1138/$J$1148)</f>
        <v/>
      </c>
      <c r="L1138" s="6" t="inlineStr">
        <is>
          <t>REJECTED</t>
        </is>
      </c>
      <c r="M1138" s="8" t="n">
        <v>0</v>
      </c>
      <c r="N1138" s="7">
        <f>M1138*$J$1148-J1138</f>
        <v/>
      </c>
      <c r="O1138" s="9">
        <f>IF(G1138=0,0,N1138/G1138)</f>
        <v/>
      </c>
      <c r="P1138" s="6">
        <f>IF(M1138&gt;0,D1138,"")</f>
        <v/>
      </c>
      <c r="Q1138" s="9">
        <f>I1138+O1138</f>
        <v/>
      </c>
      <c r="R1138" s="7">
        <f>Q1138*G1138</f>
        <v/>
      </c>
      <c r="S1138" s="8">
        <f>IF($R$1148=0,0,R1138/$R$1148)</f>
        <v/>
      </c>
      <c r="T1138" s="8" t="n">
        <v>0</v>
      </c>
      <c r="U1138" s="8" t="n">
        <v>0.001574139204949088</v>
      </c>
      <c r="V1138" s="6" t="inlineStr">
        <is>
          <t>not selected</t>
        </is>
      </c>
    </row>
    <row r="1139">
      <c r="A1139" s="6" t="inlineStr">
        <is>
          <t>DJ30</t>
        </is>
      </c>
      <c r="B1139" s="6" t="inlineStr">
        <is>
          <t>2023-09-15</t>
        </is>
      </c>
      <c r="C1139" s="6" t="inlineStr">
        <is>
          <t>DIA</t>
        </is>
      </c>
      <c r="D1139" s="6" t="inlineStr">
        <is>
          <t>NKE</t>
        </is>
      </c>
      <c r="E1139" s="6" t="inlineStr">
        <is>
          <t>NKE</t>
        </is>
      </c>
      <c r="F1139" s="6" t="inlineStr">
        <is>
          <t>-</t>
        </is>
      </c>
      <c r="G1139" s="7" t="n">
        <v>90.73471832275391</v>
      </c>
      <c r="H1139" s="6">
        <f>P1108</f>
        <v/>
      </c>
      <c r="I1139" s="9">
        <f>Q1108</f>
        <v/>
      </c>
      <c r="J1139" s="7">
        <f>I1139*G1139</f>
        <v/>
      </c>
      <c r="K1139" s="8">
        <f>IF($J$1148=0,0,J1139/$J$1148)</f>
        <v/>
      </c>
      <c r="L1139" s="6" t="inlineStr">
        <is>
          <t>REJECTED</t>
        </is>
      </c>
      <c r="M1139" s="8" t="n">
        <v>0</v>
      </c>
      <c r="N1139" s="7">
        <f>M1139*$J$1148-J1139</f>
        <v/>
      </c>
      <c r="O1139" s="9">
        <f>IF(G1139=0,0,N1139/G1139)</f>
        <v/>
      </c>
      <c r="P1139" s="6">
        <f>IF(M1139&gt;0,D1139,"")</f>
        <v/>
      </c>
      <c r="Q1139" s="9">
        <f>I1139+O1139</f>
        <v/>
      </c>
      <c r="R1139" s="7">
        <f>Q1139*G1139</f>
        <v/>
      </c>
      <c r="S1139" s="8">
        <f>IF($R$1148=0,0,R1139/$R$1148)</f>
        <v/>
      </c>
      <c r="T1139" s="8" t="n">
        <v>0</v>
      </c>
      <c r="U1139" s="8" t="n">
        <v>0.001574139204949088</v>
      </c>
      <c r="V1139" s="6" t="inlineStr">
        <is>
          <t>not selected</t>
        </is>
      </c>
    </row>
    <row r="1140">
      <c r="A1140" s="6" t="inlineStr">
        <is>
          <t>DJ30</t>
        </is>
      </c>
      <c r="B1140" s="6" t="inlineStr">
        <is>
          <t>2023-09-15</t>
        </is>
      </c>
      <c r="C1140" s="6" t="inlineStr">
        <is>
          <t>DIA</t>
        </is>
      </c>
      <c r="D1140" s="6" t="inlineStr">
        <is>
          <t>NVDA</t>
        </is>
      </c>
      <c r="E1140" s="6" t="inlineStr">
        <is>
          <t>NVDA</t>
        </is>
      </c>
      <c r="F1140" s="6" t="inlineStr">
        <is>
          <t>-</t>
        </is>
      </c>
      <c r="G1140" s="7" t="n">
        <v>43.81825256347656</v>
      </c>
      <c r="H1140" s="6">
        <f>P1109</f>
        <v/>
      </c>
      <c r="I1140" s="9">
        <f>Q1109</f>
        <v/>
      </c>
      <c r="J1140" s="7">
        <f>I1140*G1140</f>
        <v/>
      </c>
      <c r="K1140" s="8">
        <f>IF($J$1148=0,0,J1140/$J$1148)</f>
        <v/>
      </c>
      <c r="L1140" s="6" t="inlineStr">
        <is>
          <t>REJECTED</t>
        </is>
      </c>
      <c r="M1140" s="8" t="n">
        <v>0</v>
      </c>
      <c r="N1140" s="7">
        <f>M1140*$J$1148-J1140</f>
        <v/>
      </c>
      <c r="O1140" s="9">
        <f>IF(G1140=0,0,N1140/G1140)</f>
        <v/>
      </c>
      <c r="P1140" s="6">
        <f>IF(M1140&gt;0,D1140,"")</f>
        <v/>
      </c>
      <c r="Q1140" s="9">
        <f>I1140+O1140</f>
        <v/>
      </c>
      <c r="R1140" s="7">
        <f>Q1140*G1140</f>
        <v/>
      </c>
      <c r="S1140" s="8">
        <f>IF($R$1148=0,0,R1140/$R$1148)</f>
        <v/>
      </c>
      <c r="T1140" s="8" t="n">
        <v>0</v>
      </c>
      <c r="U1140" s="8" t="n">
        <v>0.001574139204949088</v>
      </c>
      <c r="V1140" s="6" t="inlineStr">
        <is>
          <t>not selected</t>
        </is>
      </c>
    </row>
    <row r="1141">
      <c r="A1141" s="6" t="inlineStr">
        <is>
          <t>DJ30</t>
        </is>
      </c>
      <c r="B1141" s="6" t="inlineStr">
        <is>
          <t>2023-09-15</t>
        </is>
      </c>
      <c r="C1141" s="6" t="inlineStr">
        <is>
          <t>DIA</t>
        </is>
      </c>
      <c r="D1141" s="6" t="inlineStr">
        <is>
          <t>PG</t>
        </is>
      </c>
      <c r="E1141" s="6" t="inlineStr">
        <is>
          <t>PG</t>
        </is>
      </c>
      <c r="F1141" s="6" t="inlineStr">
        <is>
          <t>-</t>
        </is>
      </c>
      <c r="G1141" s="7" t="n">
        <v>142.8748321533203</v>
      </c>
      <c r="H1141" s="6">
        <f>P1110</f>
        <v/>
      </c>
      <c r="I1141" s="9">
        <f>Q1110</f>
        <v/>
      </c>
      <c r="J1141" s="7">
        <f>I1141*G1141</f>
        <v/>
      </c>
      <c r="K1141" s="8">
        <f>IF($J$1148=0,0,J1141/$J$1148)</f>
        <v/>
      </c>
      <c r="L1141" s="6" t="inlineStr">
        <is>
          <t>REJECTED</t>
        </is>
      </c>
      <c r="M1141" s="8" t="n">
        <v>0</v>
      </c>
      <c r="N1141" s="7">
        <f>M1141*$J$1148-J1141</f>
        <v/>
      </c>
      <c r="O1141" s="9">
        <f>IF(G1141=0,0,N1141/G1141)</f>
        <v/>
      </c>
      <c r="P1141" s="6">
        <f>IF(M1141&gt;0,D1141,"")</f>
        <v/>
      </c>
      <c r="Q1141" s="9">
        <f>I1141+O1141</f>
        <v/>
      </c>
      <c r="R1141" s="7">
        <f>Q1141*G1141</f>
        <v/>
      </c>
      <c r="S1141" s="8">
        <f>IF($R$1148=0,0,R1141/$R$1148)</f>
        <v/>
      </c>
      <c r="T1141" s="8" t="n">
        <v>0</v>
      </c>
      <c r="U1141" s="8" t="n">
        <v>0.001574139204949088</v>
      </c>
      <c r="V1141" s="6" t="inlineStr">
        <is>
          <t>not selected</t>
        </is>
      </c>
    </row>
    <row r="1142">
      <c r="A1142" s="6" t="inlineStr">
        <is>
          <t>DJ30</t>
        </is>
      </c>
      <c r="B1142" s="6" t="inlineStr">
        <is>
          <t>2023-09-15</t>
        </is>
      </c>
      <c r="C1142" s="6" t="inlineStr">
        <is>
          <t>DIA</t>
        </is>
      </c>
      <c r="D1142" s="6" t="inlineStr">
        <is>
          <t>SHW</t>
        </is>
      </c>
      <c r="E1142" s="6" t="inlineStr">
        <is>
          <t>SHW</t>
        </is>
      </c>
      <c r="F1142" s="6" t="inlineStr">
        <is>
          <t>-</t>
        </is>
      </c>
      <c r="G1142" s="7" t="n">
        <v>255.34912109375</v>
      </c>
      <c r="H1142" s="6">
        <f>P1111</f>
        <v/>
      </c>
      <c r="I1142" s="9">
        <f>Q1111</f>
        <v/>
      </c>
      <c r="J1142" s="7">
        <f>I1142*G1142</f>
        <v/>
      </c>
      <c r="K1142" s="8">
        <f>IF($J$1148=0,0,J1142/$J$1148)</f>
        <v/>
      </c>
      <c r="L1142" s="6" t="inlineStr">
        <is>
          <t>REJECTED</t>
        </is>
      </c>
      <c r="M1142" s="8" t="n">
        <v>0</v>
      </c>
      <c r="N1142" s="7">
        <f>M1142*$J$1148-J1142</f>
        <v/>
      </c>
      <c r="O1142" s="9">
        <f>IF(G1142=0,0,N1142/G1142)</f>
        <v/>
      </c>
      <c r="P1142" s="6">
        <f>IF(M1142&gt;0,D1142,"")</f>
        <v/>
      </c>
      <c r="Q1142" s="9">
        <f>I1142+O1142</f>
        <v/>
      </c>
      <c r="R1142" s="7">
        <f>Q1142*G1142</f>
        <v/>
      </c>
      <c r="S1142" s="8">
        <f>IF($R$1148=0,0,R1142/$R$1148)</f>
        <v/>
      </c>
      <c r="T1142" s="8" t="n">
        <v>0</v>
      </c>
      <c r="U1142" s="8" t="n">
        <v>0.001574139204949088</v>
      </c>
      <c r="V1142" s="6" t="inlineStr">
        <is>
          <t>not selected</t>
        </is>
      </c>
    </row>
    <row r="1143">
      <c r="A1143" s="6" t="inlineStr">
        <is>
          <t>DJ30</t>
        </is>
      </c>
      <c r="B1143" s="6" t="inlineStr">
        <is>
          <t>2023-09-15</t>
        </is>
      </c>
      <c r="C1143" s="6" t="inlineStr">
        <is>
          <t>DIA</t>
        </is>
      </c>
      <c r="D1143" s="6" t="inlineStr">
        <is>
          <t>TRV</t>
        </is>
      </c>
      <c r="E1143" s="6" t="inlineStr">
        <is>
          <t>TRV</t>
        </is>
      </c>
      <c r="F1143" s="6" t="inlineStr">
        <is>
          <t>-</t>
        </is>
      </c>
      <c r="G1143" s="7" t="n">
        <v>157.1572113037109</v>
      </c>
      <c r="H1143" s="6">
        <f>P1112</f>
        <v/>
      </c>
      <c r="I1143" s="9">
        <f>Q1112</f>
        <v/>
      </c>
      <c r="J1143" s="7">
        <f>I1143*G1143</f>
        <v/>
      </c>
      <c r="K1143" s="8">
        <f>IF($J$1148=0,0,J1143/$J$1148)</f>
        <v/>
      </c>
      <c r="L1143" s="6" t="inlineStr">
        <is>
          <t>REJECTED</t>
        </is>
      </c>
      <c r="M1143" s="8" t="n">
        <v>0</v>
      </c>
      <c r="N1143" s="7">
        <f>M1143*$J$1148-J1143</f>
        <v/>
      </c>
      <c r="O1143" s="9">
        <f>IF(G1143=0,0,N1143/G1143)</f>
        <v/>
      </c>
      <c r="P1143" s="6">
        <f>IF(M1143&gt;0,D1143,"")</f>
        <v/>
      </c>
      <c r="Q1143" s="9">
        <f>I1143+O1143</f>
        <v/>
      </c>
      <c r="R1143" s="7">
        <f>Q1143*G1143</f>
        <v/>
      </c>
      <c r="S1143" s="8">
        <f>IF($R$1148=0,0,R1143/$R$1148)</f>
        <v/>
      </c>
      <c r="T1143" s="8" t="n">
        <v>0</v>
      </c>
      <c r="U1143" s="8" t="n">
        <v>0.001574139204949088</v>
      </c>
      <c r="V1143" s="6" t="inlineStr">
        <is>
          <t>not selected</t>
        </is>
      </c>
    </row>
    <row r="1144">
      <c r="A1144" s="6" t="inlineStr">
        <is>
          <t>DJ30</t>
        </is>
      </c>
      <c r="B1144" s="6" t="inlineStr">
        <is>
          <t>2023-09-15</t>
        </is>
      </c>
      <c r="C1144" s="6" t="inlineStr">
        <is>
          <t>DIA</t>
        </is>
      </c>
      <c r="D1144" s="6" t="inlineStr">
        <is>
          <t>UNH</t>
        </is>
      </c>
      <c r="E1144" s="6" t="inlineStr">
        <is>
          <t>UNH</t>
        </is>
      </c>
      <c r="F1144" s="6" t="inlineStr">
        <is>
          <t>-</t>
        </is>
      </c>
      <c r="G1144" s="7" t="n">
        <v>459.8677062988281</v>
      </c>
      <c r="H1144" s="6">
        <f>P1113</f>
        <v/>
      </c>
      <c r="I1144" s="9">
        <f>Q1113</f>
        <v/>
      </c>
      <c r="J1144" s="7">
        <f>I1144*G1144</f>
        <v/>
      </c>
      <c r="K1144" s="8">
        <f>IF($J$1148=0,0,J1144/$J$1148)</f>
        <v/>
      </c>
      <c r="L1144" s="6" t="inlineStr">
        <is>
          <t>REJECTED</t>
        </is>
      </c>
      <c r="M1144" s="8" t="n">
        <v>0</v>
      </c>
      <c r="N1144" s="7">
        <f>M1144*$J$1148-J1144</f>
        <v/>
      </c>
      <c r="O1144" s="9">
        <f>IF(G1144=0,0,N1144/G1144)</f>
        <v/>
      </c>
      <c r="P1144" s="6">
        <f>IF(M1144&gt;0,D1144,"")</f>
        <v/>
      </c>
      <c r="Q1144" s="9">
        <f>I1144+O1144</f>
        <v/>
      </c>
      <c r="R1144" s="7">
        <f>Q1144*G1144</f>
        <v/>
      </c>
      <c r="S1144" s="8">
        <f>IF($R$1148=0,0,R1144/$R$1148)</f>
        <v/>
      </c>
      <c r="T1144" s="8" t="n">
        <v>0</v>
      </c>
      <c r="U1144" s="8" t="n">
        <v>0.001574139204949088</v>
      </c>
      <c r="V1144" s="6" t="inlineStr">
        <is>
          <t>not selected</t>
        </is>
      </c>
    </row>
    <row r="1145">
      <c r="A1145" s="6" t="inlineStr">
        <is>
          <t>DJ30</t>
        </is>
      </c>
      <c r="B1145" s="6" t="inlineStr">
        <is>
          <t>2023-09-15</t>
        </is>
      </c>
      <c r="C1145" s="6" t="inlineStr">
        <is>
          <t>DIA</t>
        </is>
      </c>
      <c r="D1145" s="6" t="inlineStr">
        <is>
          <t>V</t>
        </is>
      </c>
      <c r="E1145" s="6" t="inlineStr">
        <is>
          <t>V</t>
        </is>
      </c>
      <c r="F1145" s="6" t="inlineStr">
        <is>
          <t>-</t>
        </is>
      </c>
      <c r="G1145" s="7" t="n">
        <v>236.0721893310547</v>
      </c>
      <c r="H1145" s="6">
        <f>P1114</f>
        <v/>
      </c>
      <c r="I1145" s="9">
        <f>Q1114</f>
        <v/>
      </c>
      <c r="J1145" s="7">
        <f>I1145*G1145</f>
        <v/>
      </c>
      <c r="K1145" s="8">
        <f>IF($J$1148=0,0,J1145/$J$1148)</f>
        <v/>
      </c>
      <c r="L1145" s="6" t="inlineStr">
        <is>
          <t>REJECTED</t>
        </is>
      </c>
      <c r="M1145" s="8" t="n">
        <v>0</v>
      </c>
      <c r="N1145" s="7">
        <f>M1145*$J$1148-J1145</f>
        <v/>
      </c>
      <c r="O1145" s="9">
        <f>IF(G1145=0,0,N1145/G1145)</f>
        <v/>
      </c>
      <c r="P1145" s="6">
        <f>IF(M1145&gt;0,D1145,"")</f>
        <v/>
      </c>
      <c r="Q1145" s="9">
        <f>I1145+O1145</f>
        <v/>
      </c>
      <c r="R1145" s="7">
        <f>Q1145*G1145</f>
        <v/>
      </c>
      <c r="S1145" s="8">
        <f>IF($R$1148=0,0,R1145/$R$1148)</f>
        <v/>
      </c>
      <c r="T1145" s="8" t="n">
        <v>0</v>
      </c>
      <c r="U1145" s="8" t="n">
        <v>0.001574139204949088</v>
      </c>
      <c r="V1145" s="6" t="inlineStr">
        <is>
          <t>not selected</t>
        </is>
      </c>
    </row>
    <row r="1146">
      <c r="A1146" s="6" t="inlineStr">
        <is>
          <t>DJ30</t>
        </is>
      </c>
      <c r="B1146" s="6" t="inlineStr">
        <is>
          <t>2023-09-15</t>
        </is>
      </c>
      <c r="C1146" s="6" t="inlineStr">
        <is>
          <t>DIA</t>
        </is>
      </c>
      <c r="D1146" s="6" t="inlineStr">
        <is>
          <t>VZ</t>
        </is>
      </c>
      <c r="E1146" s="6" t="inlineStr">
        <is>
          <t>VZ</t>
        </is>
      </c>
      <c r="F1146" s="6" t="inlineStr">
        <is>
          <t>-</t>
        </is>
      </c>
      <c r="G1146" s="7" t="n">
        <v>28.10149765014648</v>
      </c>
      <c r="H1146" s="6">
        <f>P1115</f>
        <v/>
      </c>
      <c r="I1146" s="9">
        <f>Q1115</f>
        <v/>
      </c>
      <c r="J1146" s="7">
        <f>I1146*G1146</f>
        <v/>
      </c>
      <c r="K1146" s="8">
        <f>IF($J$1148=0,0,J1146/$J$1148)</f>
        <v/>
      </c>
      <c r="L1146" s="6" t="inlineStr">
        <is>
          <t>REJECTED</t>
        </is>
      </c>
      <c r="M1146" s="8" t="n">
        <v>0</v>
      </c>
      <c r="N1146" s="7">
        <f>M1146*$J$1148-J1146</f>
        <v/>
      </c>
      <c r="O1146" s="9">
        <f>IF(G1146=0,0,N1146/G1146)</f>
        <v/>
      </c>
      <c r="P1146" s="6">
        <f>IF(M1146&gt;0,D1146,"")</f>
        <v/>
      </c>
      <c r="Q1146" s="9">
        <f>I1146+O1146</f>
        <v/>
      </c>
      <c r="R1146" s="7">
        <f>Q1146*G1146</f>
        <v/>
      </c>
      <c r="S1146" s="8">
        <f>IF($R$1148=0,0,R1146/$R$1148)</f>
        <v/>
      </c>
      <c r="T1146" s="8" t="n">
        <v>0</v>
      </c>
      <c r="U1146" s="8" t="n">
        <v>0.001574139204949088</v>
      </c>
      <c r="V1146" s="6" t="inlineStr">
        <is>
          <t>not selected</t>
        </is>
      </c>
    </row>
    <row r="1147">
      <c r="A1147" s="6" t="inlineStr">
        <is>
          <t>DJ30</t>
        </is>
      </c>
      <c r="B1147" s="6" t="inlineStr">
        <is>
          <t>2023-09-15</t>
        </is>
      </c>
      <c r="C1147" s="6" t="inlineStr">
        <is>
          <t>DIA</t>
        </is>
      </c>
      <c r="D1147" s="6" t="inlineStr">
        <is>
          <t>WMT</t>
        </is>
      </c>
      <c r="E1147" s="6" t="inlineStr">
        <is>
          <t>WMT</t>
        </is>
      </c>
      <c r="F1147" s="6" t="inlineStr">
        <is>
          <t>-</t>
        </is>
      </c>
      <c r="G1147" s="7" t="n">
        <v>53.30571746826172</v>
      </c>
      <c r="H1147" s="6">
        <f>P1116</f>
        <v/>
      </c>
      <c r="I1147" s="9">
        <f>Q1116</f>
        <v/>
      </c>
      <c r="J1147" s="7">
        <f>I1147*G1147</f>
        <v/>
      </c>
      <c r="K1147" s="8">
        <f>IF($J$1148=0,0,J1147/$J$1148)</f>
        <v/>
      </c>
      <c r="L1147" s="6" t="inlineStr">
        <is>
          <t>REJECTED</t>
        </is>
      </c>
      <c r="M1147" s="8" t="n">
        <v>0</v>
      </c>
      <c r="N1147" s="7">
        <f>M1147*$J$1148-J1147</f>
        <v/>
      </c>
      <c r="O1147" s="9">
        <f>IF(G1147=0,0,N1147/G1147)</f>
        <v/>
      </c>
      <c r="P1147" s="6">
        <f>IF(M1147&gt;0,D1147,"")</f>
        <v/>
      </c>
      <c r="Q1147" s="9">
        <f>I1147+O1147</f>
        <v/>
      </c>
      <c r="R1147" s="7">
        <f>Q1147*G1147</f>
        <v/>
      </c>
      <c r="S1147" s="8">
        <f>IF($R$1148=0,0,R1147/$R$1148)</f>
        <v/>
      </c>
      <c r="T1147" s="8" t="n">
        <v>0</v>
      </c>
      <c r="U1147" s="8" t="n">
        <v>0.001574139204949088</v>
      </c>
      <c r="V1147" s="6" t="inlineStr">
        <is>
          <t>not selected</t>
        </is>
      </c>
    </row>
    <row r="1148">
      <c r="A1148" s="10" t="inlineStr">
        <is>
          <t>DJ30</t>
        </is>
      </c>
      <c r="B1148" s="10" t="inlineStr">
        <is>
          <t>2023-09-15</t>
        </is>
      </c>
      <c r="C1148" s="10" t="inlineStr">
        <is>
          <t>DIA</t>
        </is>
      </c>
      <c r="D1148" s="10" t="inlineStr">
        <is>
          <t>Tot Portfolio</t>
        </is>
      </c>
      <c r="E1148" s="10" t="inlineStr"/>
      <c r="F1148" s="10" t="inlineStr"/>
      <c r="G1148" s="11" t="inlineStr"/>
      <c r="H1148" s="10" t="inlineStr"/>
      <c r="I1148" s="12" t="inlineStr"/>
      <c r="J1148" s="11">
        <f>SUM(J1118:J1147)</f>
        <v/>
      </c>
      <c r="K1148" s="13">
        <f>SUM(K1118:K1147)</f>
        <v/>
      </c>
      <c r="L1148" s="10" t="inlineStr">
        <is>
          <t>TOTAL</t>
        </is>
      </c>
      <c r="M1148" s="13">
        <f>SUM(M1118:M1147)</f>
        <v/>
      </c>
      <c r="N1148" s="11">
        <f>SUM(N1118:N1147)</f>
        <v/>
      </c>
      <c r="O1148" s="12">
        <f>SUM(O1118:O1147)</f>
        <v/>
      </c>
      <c r="P1148" s="10" t="inlineStr"/>
      <c r="Q1148" s="12" t="inlineStr"/>
      <c r="R1148" s="11">
        <f>SUM(R1118:R1147)</f>
        <v/>
      </c>
      <c r="S1148" s="13">
        <f>SUM(S1118:S1147)</f>
        <v/>
      </c>
      <c r="T1148" s="13" t="n">
        <v>0</v>
      </c>
      <c r="U1148" s="13" t="n">
        <v>0.001574139204949088</v>
      </c>
      <c r="V1148" s="10" t="inlineStr"/>
    </row>
    <row r="1149">
      <c r="A1149" s="6" t="inlineStr">
        <is>
          <t>DJ30</t>
        </is>
      </c>
      <c r="B1149" s="6" t="inlineStr">
        <is>
          <t>2023-09-22</t>
        </is>
      </c>
      <c r="C1149" s="6" t="inlineStr">
        <is>
          <t>DIA</t>
        </is>
      </c>
      <c r="D1149" s="6" t="inlineStr">
        <is>
          <t>AAPL</t>
        </is>
      </c>
      <c r="E1149" s="6" t="inlineStr">
        <is>
          <t>AAPL</t>
        </is>
      </c>
      <c r="F1149" s="6" t="inlineStr">
        <is>
          <t>-</t>
        </is>
      </c>
      <c r="G1149" s="7" t="n">
        <v>172.6062164306641</v>
      </c>
      <c r="H1149" s="6">
        <f>P1118</f>
        <v/>
      </c>
      <c r="I1149" s="9">
        <f>Q1118</f>
        <v/>
      </c>
      <c r="J1149" s="7">
        <f>I1149*G1149</f>
        <v/>
      </c>
      <c r="K1149" s="8">
        <f>IF($J$1179=0,0,J1149/$J$1179)</f>
        <v/>
      </c>
      <c r="L1149" s="6" t="inlineStr">
        <is>
          <t>REJECTED</t>
        </is>
      </c>
      <c r="M1149" s="8" t="n">
        <v>0</v>
      </c>
      <c r="N1149" s="7">
        <f>M1149*$J$1179-J1149</f>
        <v/>
      </c>
      <c r="O1149" s="9">
        <f>IF(G1149=0,0,N1149/G1149)</f>
        <v/>
      </c>
      <c r="P1149" s="6">
        <f>IF(M1149&gt;0,D1149,"")</f>
        <v/>
      </c>
      <c r="Q1149" s="9">
        <f>I1149+O1149</f>
        <v/>
      </c>
      <c r="R1149" s="7">
        <f>Q1149*G1149</f>
        <v/>
      </c>
      <c r="S1149" s="8">
        <f>IF($R$1179=0,0,R1149/$R$1179)</f>
        <v/>
      </c>
      <c r="T1149" s="8" t="n">
        <v>0</v>
      </c>
      <c r="U1149" s="8" t="n">
        <v>-0.01895189624059679</v>
      </c>
      <c r="V1149" s="6" t="inlineStr">
        <is>
          <t>not selected</t>
        </is>
      </c>
    </row>
    <row r="1150">
      <c r="A1150" s="6" t="inlineStr">
        <is>
          <t>DJ30</t>
        </is>
      </c>
      <c r="B1150" s="6" t="inlineStr">
        <is>
          <t>2023-09-22</t>
        </is>
      </c>
      <c r="C1150" s="6" t="inlineStr">
        <is>
          <t>DIA</t>
        </is>
      </c>
      <c r="D1150" s="6" t="inlineStr">
        <is>
          <t>AMGN</t>
        </is>
      </c>
      <c r="E1150" s="6" t="inlineStr">
        <is>
          <t>AMGN</t>
        </is>
      </c>
      <c r="F1150" s="6" t="inlineStr">
        <is>
          <t>-</t>
        </is>
      </c>
      <c r="G1150" s="7" t="n">
        <v>246.116943359375</v>
      </c>
      <c r="H1150" s="6">
        <f>P1119</f>
        <v/>
      </c>
      <c r="I1150" s="9">
        <f>Q1119</f>
        <v/>
      </c>
      <c r="J1150" s="7">
        <f>I1150*G1150</f>
        <v/>
      </c>
      <c r="K1150" s="8">
        <f>IF($J$1179=0,0,J1150/$J$1179)</f>
        <v/>
      </c>
      <c r="L1150" s="6" t="inlineStr">
        <is>
          <t>REJECTED</t>
        </is>
      </c>
      <c r="M1150" s="8" t="n">
        <v>0</v>
      </c>
      <c r="N1150" s="7">
        <f>M1150*$J$1179-J1150</f>
        <v/>
      </c>
      <c r="O1150" s="9">
        <f>IF(G1150=0,0,N1150/G1150)</f>
        <v/>
      </c>
      <c r="P1150" s="6">
        <f>IF(M1150&gt;0,D1150,"")</f>
        <v/>
      </c>
      <c r="Q1150" s="9">
        <f>I1150+O1150</f>
        <v/>
      </c>
      <c r="R1150" s="7">
        <f>Q1150*G1150</f>
        <v/>
      </c>
      <c r="S1150" s="8">
        <f>IF($R$1179=0,0,R1150/$R$1179)</f>
        <v/>
      </c>
      <c r="T1150" s="8" t="n">
        <v>0</v>
      </c>
      <c r="U1150" s="8" t="n">
        <v>-0.01895189624059679</v>
      </c>
      <c r="V1150" s="6" t="inlineStr">
        <is>
          <t>not selected</t>
        </is>
      </c>
    </row>
    <row r="1151">
      <c r="A1151" s="6" t="inlineStr">
        <is>
          <t>DJ30</t>
        </is>
      </c>
      <c r="B1151" s="6" t="inlineStr">
        <is>
          <t>2023-09-22</t>
        </is>
      </c>
      <c r="C1151" s="6" t="inlineStr">
        <is>
          <t>DIA</t>
        </is>
      </c>
      <c r="D1151" s="6" t="inlineStr">
        <is>
          <t>AMZN</t>
        </is>
      </c>
      <c r="E1151" s="6" t="inlineStr">
        <is>
          <t>AMZN</t>
        </is>
      </c>
      <c r="F1151" s="6" t="inlineStr">
        <is>
          <t>-</t>
        </is>
      </c>
      <c r="G1151" s="7" t="n">
        <v>129.1199951171875</v>
      </c>
      <c r="H1151" s="6">
        <f>P1120</f>
        <v/>
      </c>
      <c r="I1151" s="9">
        <f>Q1120</f>
        <v/>
      </c>
      <c r="J1151" s="7">
        <f>I1151*G1151</f>
        <v/>
      </c>
      <c r="K1151" s="8">
        <f>IF($J$1179=0,0,J1151/$J$1179)</f>
        <v/>
      </c>
      <c r="L1151" s="6" t="inlineStr">
        <is>
          <t>REJECTED</t>
        </is>
      </c>
      <c r="M1151" s="8" t="n">
        <v>0</v>
      </c>
      <c r="N1151" s="7">
        <f>M1151*$J$1179-J1151</f>
        <v/>
      </c>
      <c r="O1151" s="9">
        <f>IF(G1151=0,0,N1151/G1151)</f>
        <v/>
      </c>
      <c r="P1151" s="6">
        <f>IF(M1151&gt;0,D1151,"")</f>
        <v/>
      </c>
      <c r="Q1151" s="9">
        <f>I1151+O1151</f>
        <v/>
      </c>
      <c r="R1151" s="7">
        <f>Q1151*G1151</f>
        <v/>
      </c>
      <c r="S1151" s="8">
        <f>IF($R$1179=0,0,R1151/$R$1179)</f>
        <v/>
      </c>
      <c r="T1151" s="8" t="n">
        <v>0</v>
      </c>
      <c r="U1151" s="8" t="n">
        <v>-0.01895189624059679</v>
      </c>
      <c r="V1151" s="6" t="inlineStr">
        <is>
          <t>not selected</t>
        </is>
      </c>
    </row>
    <row r="1152">
      <c r="A1152" s="6" t="inlineStr">
        <is>
          <t>DJ30</t>
        </is>
      </c>
      <c r="B1152" s="6" t="inlineStr">
        <is>
          <t>2023-09-22</t>
        </is>
      </c>
      <c r="C1152" s="6" t="inlineStr">
        <is>
          <t>DIA</t>
        </is>
      </c>
      <c r="D1152" s="6" t="inlineStr">
        <is>
          <t>AXP</t>
        </is>
      </c>
      <c r="E1152" s="6" t="inlineStr">
        <is>
          <t>AXP</t>
        </is>
      </c>
      <c r="F1152" s="6" t="inlineStr">
        <is>
          <t>-</t>
        </is>
      </c>
      <c r="G1152" s="7" t="n">
        <v>148.2451934814453</v>
      </c>
      <c r="H1152" s="6">
        <f>P1121</f>
        <v/>
      </c>
      <c r="I1152" s="9">
        <f>Q1121</f>
        <v/>
      </c>
      <c r="J1152" s="7">
        <f>I1152*G1152</f>
        <v/>
      </c>
      <c r="K1152" s="8">
        <f>IF($J$1179=0,0,J1152/$J$1179)</f>
        <v/>
      </c>
      <c r="L1152" s="6" t="inlineStr">
        <is>
          <t>REJECTED</t>
        </is>
      </c>
      <c r="M1152" s="8" t="n">
        <v>0</v>
      </c>
      <c r="N1152" s="7">
        <f>M1152*$J$1179-J1152</f>
        <v/>
      </c>
      <c r="O1152" s="9">
        <f>IF(G1152=0,0,N1152/G1152)</f>
        <v/>
      </c>
      <c r="P1152" s="6">
        <f>IF(M1152&gt;0,D1152,"")</f>
        <v/>
      </c>
      <c r="Q1152" s="9">
        <f>I1152+O1152</f>
        <v/>
      </c>
      <c r="R1152" s="7">
        <f>Q1152*G1152</f>
        <v/>
      </c>
      <c r="S1152" s="8">
        <f>IF($R$1179=0,0,R1152/$R$1179)</f>
        <v/>
      </c>
      <c r="T1152" s="8" t="n">
        <v>0</v>
      </c>
      <c r="U1152" s="8" t="n">
        <v>-0.01895189624059679</v>
      </c>
      <c r="V1152" s="6" t="inlineStr">
        <is>
          <t>not selected</t>
        </is>
      </c>
    </row>
    <row r="1153">
      <c r="A1153" s="6" t="inlineStr">
        <is>
          <t>DJ30</t>
        </is>
      </c>
      <c r="B1153" s="6" t="inlineStr">
        <is>
          <t>2023-09-22</t>
        </is>
      </c>
      <c r="C1153" s="6" t="inlineStr">
        <is>
          <t>DIA</t>
        </is>
      </c>
      <c r="D1153" s="6" t="inlineStr">
        <is>
          <t>BA</t>
        </is>
      </c>
      <c r="E1153" s="6" t="inlineStr">
        <is>
          <t>BA</t>
        </is>
      </c>
      <c r="F1153" s="6" t="inlineStr">
        <is>
          <t>-</t>
        </is>
      </c>
      <c r="G1153" s="7" t="n">
        <v>197.7100067138672</v>
      </c>
      <c r="H1153" s="6">
        <f>P1122</f>
        <v/>
      </c>
      <c r="I1153" s="9">
        <f>Q1122</f>
        <v/>
      </c>
      <c r="J1153" s="7">
        <f>I1153*G1153</f>
        <v/>
      </c>
      <c r="K1153" s="8">
        <f>IF($J$1179=0,0,J1153/$J$1179)</f>
        <v/>
      </c>
      <c r="L1153" s="6" t="inlineStr">
        <is>
          <t>REJECTED</t>
        </is>
      </c>
      <c r="M1153" s="8" t="n">
        <v>0</v>
      </c>
      <c r="N1153" s="7">
        <f>M1153*$J$1179-J1153</f>
        <v/>
      </c>
      <c r="O1153" s="9">
        <f>IF(G1153=0,0,N1153/G1153)</f>
        <v/>
      </c>
      <c r="P1153" s="6">
        <f>IF(M1153&gt;0,D1153,"")</f>
        <v/>
      </c>
      <c r="Q1153" s="9">
        <f>I1153+O1153</f>
        <v/>
      </c>
      <c r="R1153" s="7">
        <f>Q1153*G1153</f>
        <v/>
      </c>
      <c r="S1153" s="8">
        <f>IF($R$1179=0,0,R1153/$R$1179)</f>
        <v/>
      </c>
      <c r="T1153" s="8" t="n">
        <v>0</v>
      </c>
      <c r="U1153" s="8" t="n">
        <v>-0.01895189624059679</v>
      </c>
      <c r="V1153" s="6" t="inlineStr">
        <is>
          <t>not selected</t>
        </is>
      </c>
    </row>
    <row r="1154">
      <c r="A1154" s="6" t="inlineStr">
        <is>
          <t>DJ30</t>
        </is>
      </c>
      <c r="B1154" s="6" t="inlineStr">
        <is>
          <t>2023-09-22</t>
        </is>
      </c>
      <c r="C1154" s="6" t="inlineStr">
        <is>
          <t>DIA</t>
        </is>
      </c>
      <c r="D1154" s="6" t="inlineStr">
        <is>
          <t>CAT</t>
        </is>
      </c>
      <c r="E1154" s="6" t="inlineStr">
        <is>
          <t>CAT</t>
        </is>
      </c>
      <c r="F1154" s="6" t="inlineStr">
        <is>
          <t>-</t>
        </is>
      </c>
      <c r="G1154" s="7" t="n">
        <v>262.2763977050781</v>
      </c>
      <c r="H1154" s="6">
        <f>P1123</f>
        <v/>
      </c>
      <c r="I1154" s="9">
        <f>Q1123</f>
        <v/>
      </c>
      <c r="J1154" s="7">
        <f>I1154*G1154</f>
        <v/>
      </c>
      <c r="K1154" s="8">
        <f>IF($J$1179=0,0,J1154/$J$1179)</f>
        <v/>
      </c>
      <c r="L1154" s="6" t="inlineStr">
        <is>
          <t>REJECTED</t>
        </is>
      </c>
      <c r="M1154" s="8" t="n">
        <v>0</v>
      </c>
      <c r="N1154" s="7">
        <f>M1154*$J$1179-J1154</f>
        <v/>
      </c>
      <c r="O1154" s="9">
        <f>IF(G1154=0,0,N1154/G1154)</f>
        <v/>
      </c>
      <c r="P1154" s="6">
        <f>IF(M1154&gt;0,D1154,"")</f>
        <v/>
      </c>
      <c r="Q1154" s="9">
        <f>I1154+O1154</f>
        <v/>
      </c>
      <c r="R1154" s="7">
        <f>Q1154*G1154</f>
        <v/>
      </c>
      <c r="S1154" s="8">
        <f>IF($R$1179=0,0,R1154/$R$1179)</f>
        <v/>
      </c>
      <c r="T1154" s="8" t="n">
        <v>0</v>
      </c>
      <c r="U1154" s="8" t="n">
        <v>-0.01895189624059679</v>
      </c>
      <c r="V1154" s="6" t="inlineStr">
        <is>
          <t>not selected</t>
        </is>
      </c>
    </row>
    <row r="1155">
      <c r="A1155" s="6" t="inlineStr">
        <is>
          <t>DJ30</t>
        </is>
      </c>
      <c r="B1155" s="6" t="inlineStr">
        <is>
          <t>2023-09-22</t>
        </is>
      </c>
      <c r="C1155" s="6" t="inlineStr">
        <is>
          <t>DIA</t>
        </is>
      </c>
      <c r="D1155" s="6" t="inlineStr">
        <is>
          <t>CRM</t>
        </is>
      </c>
      <c r="E1155" s="6" t="inlineStr">
        <is>
          <t>CRM</t>
        </is>
      </c>
      <c r="F1155" s="6" t="inlineStr">
        <is>
          <t>-</t>
        </is>
      </c>
      <c r="G1155" s="7" t="n">
        <v>202.9193878173828</v>
      </c>
      <c r="H1155" s="6">
        <f>P1124</f>
        <v/>
      </c>
      <c r="I1155" s="9">
        <f>Q1124</f>
        <v/>
      </c>
      <c r="J1155" s="7">
        <f>I1155*G1155</f>
        <v/>
      </c>
      <c r="K1155" s="8">
        <f>IF($J$1179=0,0,J1155/$J$1179)</f>
        <v/>
      </c>
      <c r="L1155" s="6" t="inlineStr">
        <is>
          <t>REJECTED</t>
        </is>
      </c>
      <c r="M1155" s="8" t="n">
        <v>0</v>
      </c>
      <c r="N1155" s="7">
        <f>M1155*$J$1179-J1155</f>
        <v/>
      </c>
      <c r="O1155" s="9">
        <f>IF(G1155=0,0,N1155/G1155)</f>
        <v/>
      </c>
      <c r="P1155" s="6">
        <f>IF(M1155&gt;0,D1155,"")</f>
        <v/>
      </c>
      <c r="Q1155" s="9">
        <f>I1155+O1155</f>
        <v/>
      </c>
      <c r="R1155" s="7">
        <f>Q1155*G1155</f>
        <v/>
      </c>
      <c r="S1155" s="8">
        <f>IF($R$1179=0,0,R1155/$R$1179)</f>
        <v/>
      </c>
      <c r="T1155" s="8" t="n">
        <v>0</v>
      </c>
      <c r="U1155" s="8" t="n">
        <v>-0.01895189624059679</v>
      </c>
      <c r="V1155" s="6" t="inlineStr">
        <is>
          <t>not selected</t>
        </is>
      </c>
    </row>
    <row r="1156">
      <c r="A1156" s="6" t="inlineStr">
        <is>
          <t>DJ30</t>
        </is>
      </c>
      <c r="B1156" s="6" t="inlineStr">
        <is>
          <t>2023-09-22</t>
        </is>
      </c>
      <c r="C1156" s="6" t="inlineStr">
        <is>
          <t>DIA</t>
        </is>
      </c>
      <c r="D1156" s="6" t="inlineStr">
        <is>
          <t>CSCO</t>
        </is>
      </c>
      <c r="E1156" s="6" t="inlineStr">
        <is>
          <t>CSCO</t>
        </is>
      </c>
      <c r="F1156" s="6" t="inlineStr">
        <is>
          <t>-</t>
        </is>
      </c>
      <c r="G1156" s="7" t="n">
        <v>49.67785263061523</v>
      </c>
      <c r="H1156" s="6">
        <f>P1125</f>
        <v/>
      </c>
      <c r="I1156" s="9">
        <f>Q1125</f>
        <v/>
      </c>
      <c r="J1156" s="7">
        <f>I1156*G1156</f>
        <v/>
      </c>
      <c r="K1156" s="8">
        <f>IF($J$1179=0,0,J1156/$J$1179)</f>
        <v/>
      </c>
      <c r="L1156" s="6" t="inlineStr">
        <is>
          <t>REJECTED</t>
        </is>
      </c>
      <c r="M1156" s="8" t="n">
        <v>0</v>
      </c>
      <c r="N1156" s="7">
        <f>M1156*$J$1179-J1156</f>
        <v/>
      </c>
      <c r="O1156" s="9">
        <f>IF(G1156=0,0,N1156/G1156)</f>
        <v/>
      </c>
      <c r="P1156" s="6">
        <f>IF(M1156&gt;0,D1156,"")</f>
        <v/>
      </c>
      <c r="Q1156" s="9">
        <f>I1156+O1156</f>
        <v/>
      </c>
      <c r="R1156" s="7">
        <f>Q1156*G1156</f>
        <v/>
      </c>
      <c r="S1156" s="8">
        <f>IF($R$1179=0,0,R1156/$R$1179)</f>
        <v/>
      </c>
      <c r="T1156" s="8" t="n">
        <v>0</v>
      </c>
      <c r="U1156" s="8" t="n">
        <v>-0.01895189624059679</v>
      </c>
      <c r="V1156" s="6" t="inlineStr">
        <is>
          <t>not selected</t>
        </is>
      </c>
    </row>
    <row r="1157">
      <c r="A1157" s="6" t="inlineStr">
        <is>
          <t>DJ30</t>
        </is>
      </c>
      <c r="B1157" s="6" t="inlineStr">
        <is>
          <t>2023-09-22</t>
        </is>
      </c>
      <c r="C1157" s="6" t="inlineStr">
        <is>
          <t>DIA</t>
        </is>
      </c>
      <c r="D1157" s="6" t="inlineStr">
        <is>
          <t>CVX</t>
        </is>
      </c>
      <c r="E1157" s="6" t="inlineStr">
        <is>
          <t>CVX</t>
        </is>
      </c>
      <c r="F1157" s="6" t="inlineStr">
        <is>
          <t>-</t>
        </is>
      </c>
      <c r="G1157" s="7" t="n">
        <v>147.9537200927734</v>
      </c>
      <c r="H1157" s="6">
        <f>P1126</f>
        <v/>
      </c>
      <c r="I1157" s="9">
        <f>Q1126</f>
        <v/>
      </c>
      <c r="J1157" s="7">
        <f>I1157*G1157</f>
        <v/>
      </c>
      <c r="K1157" s="8">
        <f>IF($J$1179=0,0,J1157/$J$1179)</f>
        <v/>
      </c>
      <c r="L1157" s="6" t="inlineStr">
        <is>
          <t>REJECTED</t>
        </is>
      </c>
      <c r="M1157" s="8" t="n">
        <v>0</v>
      </c>
      <c r="N1157" s="7">
        <f>M1157*$J$1179-J1157</f>
        <v/>
      </c>
      <c r="O1157" s="9">
        <f>IF(G1157=0,0,N1157/G1157)</f>
        <v/>
      </c>
      <c r="P1157" s="6">
        <f>IF(M1157&gt;0,D1157,"")</f>
        <v/>
      </c>
      <c r="Q1157" s="9">
        <f>I1157+O1157</f>
        <v/>
      </c>
      <c r="R1157" s="7">
        <f>Q1157*G1157</f>
        <v/>
      </c>
      <c r="S1157" s="8">
        <f>IF($R$1179=0,0,R1157/$R$1179)</f>
        <v/>
      </c>
      <c r="T1157" s="8" t="n">
        <v>0</v>
      </c>
      <c r="U1157" s="8" t="n">
        <v>-0.01895189624059679</v>
      </c>
      <c r="V1157" s="6" t="inlineStr">
        <is>
          <t>not selected</t>
        </is>
      </c>
    </row>
    <row r="1158">
      <c r="A1158" s="6" t="inlineStr">
        <is>
          <t>DJ30</t>
        </is>
      </c>
      <c r="B1158" s="6" t="inlineStr">
        <is>
          <t>2023-09-22</t>
        </is>
      </c>
      <c r="C1158" s="6" t="inlineStr">
        <is>
          <t>DIA</t>
        </is>
      </c>
      <c r="D1158" s="6" t="inlineStr">
        <is>
          <t>DIS</t>
        </is>
      </c>
      <c r="E1158" s="6" t="inlineStr">
        <is>
          <t>DIS</t>
        </is>
      </c>
      <c r="F1158" s="6" t="inlineStr">
        <is>
          <t>-</t>
        </is>
      </c>
      <c r="G1158" s="7" t="n">
        <v>79.38062286376953</v>
      </c>
      <c r="H1158" s="6">
        <f>P1127</f>
        <v/>
      </c>
      <c r="I1158" s="9">
        <f>Q1127</f>
        <v/>
      </c>
      <c r="J1158" s="7">
        <f>I1158*G1158</f>
        <v/>
      </c>
      <c r="K1158" s="8">
        <f>IF($J$1179=0,0,J1158/$J$1179)</f>
        <v/>
      </c>
      <c r="L1158" s="6" t="inlineStr">
        <is>
          <t>REJECTED</t>
        </is>
      </c>
      <c r="M1158" s="8" t="n">
        <v>0</v>
      </c>
      <c r="N1158" s="7">
        <f>M1158*$J$1179-J1158</f>
        <v/>
      </c>
      <c r="O1158" s="9">
        <f>IF(G1158=0,0,N1158/G1158)</f>
        <v/>
      </c>
      <c r="P1158" s="6">
        <f>IF(M1158&gt;0,D1158,"")</f>
        <v/>
      </c>
      <c r="Q1158" s="9">
        <f>I1158+O1158</f>
        <v/>
      </c>
      <c r="R1158" s="7">
        <f>Q1158*G1158</f>
        <v/>
      </c>
      <c r="S1158" s="8">
        <f>IF($R$1179=0,0,R1158/$R$1179)</f>
        <v/>
      </c>
      <c r="T1158" s="8" t="n">
        <v>0</v>
      </c>
      <c r="U1158" s="8" t="n">
        <v>-0.01895189624059679</v>
      </c>
      <c r="V1158" s="6" t="inlineStr">
        <is>
          <t>not selected</t>
        </is>
      </c>
    </row>
    <row r="1159">
      <c r="A1159" s="6" t="inlineStr">
        <is>
          <t>DJ30</t>
        </is>
      </c>
      <c r="B1159" s="6" t="inlineStr">
        <is>
          <t>2023-09-22</t>
        </is>
      </c>
      <c r="C1159" s="6" t="inlineStr">
        <is>
          <t>DIA</t>
        </is>
      </c>
      <c r="D1159" s="6" t="inlineStr">
        <is>
          <t>GS</t>
        </is>
      </c>
      <c r="E1159" s="6" t="inlineStr">
        <is>
          <t>GS</t>
        </is>
      </c>
      <c r="F1159" s="6" t="inlineStr">
        <is>
          <t>-</t>
        </is>
      </c>
      <c r="G1159" s="7" t="n">
        <v>308.1897583007812</v>
      </c>
      <c r="H1159" s="6">
        <f>P1128</f>
        <v/>
      </c>
      <c r="I1159" s="9">
        <f>Q1128</f>
        <v/>
      </c>
      <c r="J1159" s="7">
        <f>I1159*G1159</f>
        <v/>
      </c>
      <c r="K1159" s="8">
        <f>IF($J$1179=0,0,J1159/$J$1179)</f>
        <v/>
      </c>
      <c r="L1159" s="6" t="inlineStr">
        <is>
          <t>REJECTED</t>
        </is>
      </c>
      <c r="M1159" s="8" t="n">
        <v>0</v>
      </c>
      <c r="N1159" s="7">
        <f>M1159*$J$1179-J1159</f>
        <v/>
      </c>
      <c r="O1159" s="9">
        <f>IF(G1159=0,0,N1159/G1159)</f>
        <v/>
      </c>
      <c r="P1159" s="6">
        <f>IF(M1159&gt;0,D1159,"")</f>
        <v/>
      </c>
      <c r="Q1159" s="9">
        <f>I1159+O1159</f>
        <v/>
      </c>
      <c r="R1159" s="7">
        <f>Q1159*G1159</f>
        <v/>
      </c>
      <c r="S1159" s="8">
        <f>IF($R$1179=0,0,R1159/$R$1179)</f>
        <v/>
      </c>
      <c r="T1159" s="8" t="n">
        <v>0</v>
      </c>
      <c r="U1159" s="8" t="n">
        <v>-0.01895189624059679</v>
      </c>
      <c r="V1159" s="6" t="inlineStr">
        <is>
          <t>not selected</t>
        </is>
      </c>
    </row>
    <row r="1160">
      <c r="A1160" s="6" t="inlineStr">
        <is>
          <t>DJ30</t>
        </is>
      </c>
      <c r="B1160" s="6" t="inlineStr">
        <is>
          <t>2023-09-22</t>
        </is>
      </c>
      <c r="C1160" s="6" t="inlineStr">
        <is>
          <t>DIA</t>
        </is>
      </c>
      <c r="D1160" s="6" t="inlineStr">
        <is>
          <t>HD</t>
        </is>
      </c>
      <c r="E1160" s="6" t="inlineStr">
        <is>
          <t>HD</t>
        </is>
      </c>
      <c r="F1160" s="6" t="inlineStr">
        <is>
          <t>-</t>
        </is>
      </c>
      <c r="G1160" s="7" t="n">
        <v>285.1598510742188</v>
      </c>
      <c r="H1160" s="6">
        <f>P1129</f>
        <v/>
      </c>
      <c r="I1160" s="9">
        <f>Q1129</f>
        <v/>
      </c>
      <c r="J1160" s="7">
        <f>I1160*G1160</f>
        <v/>
      </c>
      <c r="K1160" s="8">
        <f>IF($J$1179=0,0,J1160/$J$1179)</f>
        <v/>
      </c>
      <c r="L1160" s="6" t="inlineStr">
        <is>
          <t>REJECTED</t>
        </is>
      </c>
      <c r="M1160" s="8" t="n">
        <v>0</v>
      </c>
      <c r="N1160" s="7">
        <f>M1160*$J$1179-J1160</f>
        <v/>
      </c>
      <c r="O1160" s="9">
        <f>IF(G1160=0,0,N1160/G1160)</f>
        <v/>
      </c>
      <c r="P1160" s="6">
        <f>IF(M1160&gt;0,D1160,"")</f>
        <v/>
      </c>
      <c r="Q1160" s="9">
        <f>I1160+O1160</f>
        <v/>
      </c>
      <c r="R1160" s="7">
        <f>Q1160*G1160</f>
        <v/>
      </c>
      <c r="S1160" s="8">
        <f>IF($R$1179=0,0,R1160/$R$1179)</f>
        <v/>
      </c>
      <c r="T1160" s="8" t="n">
        <v>0</v>
      </c>
      <c r="U1160" s="8" t="n">
        <v>-0.01895189624059679</v>
      </c>
      <c r="V1160" s="6" t="inlineStr">
        <is>
          <t>not selected</t>
        </is>
      </c>
    </row>
    <row r="1161">
      <c r="A1161" s="6" t="inlineStr">
        <is>
          <t>DJ30</t>
        </is>
      </c>
      <c r="B1161" s="6" t="inlineStr">
        <is>
          <t>2023-09-22</t>
        </is>
      </c>
      <c r="C1161" s="6" t="inlineStr">
        <is>
          <t>DIA</t>
        </is>
      </c>
      <c r="D1161" s="6" t="inlineStr">
        <is>
          <t>HON</t>
        </is>
      </c>
      <c r="E1161" s="6" t="inlineStr">
        <is>
          <t>HON</t>
        </is>
      </c>
      <c r="F1161" s="6" t="inlineStr">
        <is>
          <t>-</t>
        </is>
      </c>
      <c r="G1161" s="7" t="n">
        <v>168.6163482666016</v>
      </c>
      <c r="H1161" s="6">
        <f>P1130</f>
        <v/>
      </c>
      <c r="I1161" s="9">
        <f>Q1130</f>
        <v/>
      </c>
      <c r="J1161" s="7">
        <f>I1161*G1161</f>
        <v/>
      </c>
      <c r="K1161" s="8">
        <f>IF($J$1179=0,0,J1161/$J$1179)</f>
        <v/>
      </c>
      <c r="L1161" s="6" t="inlineStr">
        <is>
          <t>REJECTED</t>
        </is>
      </c>
      <c r="M1161" s="8" t="n">
        <v>0</v>
      </c>
      <c r="N1161" s="7">
        <f>M1161*$J$1179-J1161</f>
        <v/>
      </c>
      <c r="O1161" s="9">
        <f>IF(G1161=0,0,N1161/G1161)</f>
        <v/>
      </c>
      <c r="P1161" s="6">
        <f>IF(M1161&gt;0,D1161,"")</f>
        <v/>
      </c>
      <c r="Q1161" s="9">
        <f>I1161+O1161</f>
        <v/>
      </c>
      <c r="R1161" s="7">
        <f>Q1161*G1161</f>
        <v/>
      </c>
      <c r="S1161" s="8">
        <f>IF($R$1179=0,0,R1161/$R$1179)</f>
        <v/>
      </c>
      <c r="T1161" s="8" t="n">
        <v>0</v>
      </c>
      <c r="U1161" s="8" t="n">
        <v>-0.01895189624059679</v>
      </c>
      <c r="V1161" s="6" t="inlineStr">
        <is>
          <t>not selected</t>
        </is>
      </c>
    </row>
    <row r="1162">
      <c r="A1162" s="6" t="inlineStr">
        <is>
          <t>DJ30</t>
        </is>
      </c>
      <c r="B1162" s="6" t="inlineStr">
        <is>
          <t>2023-09-22</t>
        </is>
      </c>
      <c r="C1162" s="6" t="inlineStr">
        <is>
          <t>DIA</t>
        </is>
      </c>
      <c r="D1162" s="6" t="inlineStr">
        <is>
          <t>IBM</t>
        </is>
      </c>
      <c r="E1162" s="6" t="inlineStr">
        <is>
          <t>IBM</t>
        </is>
      </c>
      <c r="F1162" s="6" t="inlineStr">
        <is>
          <t>-</t>
        </is>
      </c>
      <c r="G1162" s="7" t="n">
        <v>134.8958892822266</v>
      </c>
      <c r="H1162" s="6">
        <f>P1131</f>
        <v/>
      </c>
      <c r="I1162" s="9">
        <f>Q1131</f>
        <v/>
      </c>
      <c r="J1162" s="7">
        <f>I1162*G1162</f>
        <v/>
      </c>
      <c r="K1162" s="8">
        <f>IF($J$1179=0,0,J1162/$J$1179)</f>
        <v/>
      </c>
      <c r="L1162" s="6" t="inlineStr">
        <is>
          <t>REJECTED</t>
        </is>
      </c>
      <c r="M1162" s="8" t="n">
        <v>0</v>
      </c>
      <c r="N1162" s="7">
        <f>M1162*$J$1179-J1162</f>
        <v/>
      </c>
      <c r="O1162" s="9">
        <f>IF(G1162=0,0,N1162/G1162)</f>
        <v/>
      </c>
      <c r="P1162" s="6">
        <f>IF(M1162&gt;0,D1162,"")</f>
        <v/>
      </c>
      <c r="Q1162" s="9">
        <f>I1162+O1162</f>
        <v/>
      </c>
      <c r="R1162" s="7">
        <f>Q1162*G1162</f>
        <v/>
      </c>
      <c r="S1162" s="8">
        <f>IF($R$1179=0,0,R1162/$R$1179)</f>
        <v/>
      </c>
      <c r="T1162" s="8" t="n">
        <v>0</v>
      </c>
      <c r="U1162" s="8" t="n">
        <v>-0.01895189624059679</v>
      </c>
      <c r="V1162" s="6" t="inlineStr">
        <is>
          <t>not selected</t>
        </is>
      </c>
    </row>
    <row r="1163">
      <c r="A1163" s="6" t="inlineStr">
        <is>
          <t>DJ30</t>
        </is>
      </c>
      <c r="B1163" s="6" t="inlineStr">
        <is>
          <t>2023-09-22</t>
        </is>
      </c>
      <c r="C1163" s="6" t="inlineStr">
        <is>
          <t>DIA</t>
        </is>
      </c>
      <c r="D1163" s="6" t="inlineStr">
        <is>
          <t>JNJ</t>
        </is>
      </c>
      <c r="E1163" s="6" t="inlineStr">
        <is>
          <t>JNJ</t>
        </is>
      </c>
      <c r="F1163" s="6" t="inlineStr">
        <is>
          <t>-</t>
        </is>
      </c>
      <c r="G1163" s="7" t="n">
        <v>148.1109161376953</v>
      </c>
      <c r="H1163" s="6">
        <f>P1132</f>
        <v/>
      </c>
      <c r="I1163" s="9">
        <f>Q1132</f>
        <v/>
      </c>
      <c r="J1163" s="7">
        <f>I1163*G1163</f>
        <v/>
      </c>
      <c r="K1163" s="8">
        <f>IF($J$1179=0,0,J1163/$J$1179)</f>
        <v/>
      </c>
      <c r="L1163" s="6" t="inlineStr">
        <is>
          <t>REJECTED</t>
        </is>
      </c>
      <c r="M1163" s="8" t="n">
        <v>0</v>
      </c>
      <c r="N1163" s="7">
        <f>M1163*$J$1179-J1163</f>
        <v/>
      </c>
      <c r="O1163" s="9">
        <f>IF(G1163=0,0,N1163/G1163)</f>
        <v/>
      </c>
      <c r="P1163" s="6">
        <f>IF(M1163&gt;0,D1163,"")</f>
        <v/>
      </c>
      <c r="Q1163" s="9">
        <f>I1163+O1163</f>
        <v/>
      </c>
      <c r="R1163" s="7">
        <f>Q1163*G1163</f>
        <v/>
      </c>
      <c r="S1163" s="8">
        <f>IF($R$1179=0,0,R1163/$R$1179)</f>
        <v/>
      </c>
      <c r="T1163" s="8" t="n">
        <v>0</v>
      </c>
      <c r="U1163" s="8" t="n">
        <v>-0.01895189624059679</v>
      </c>
      <c r="V1163" s="6" t="inlineStr">
        <is>
          <t>not selected</t>
        </is>
      </c>
    </row>
    <row r="1164">
      <c r="A1164" s="6" t="inlineStr">
        <is>
          <t>DJ30</t>
        </is>
      </c>
      <c r="B1164" s="6" t="inlineStr">
        <is>
          <t>2023-09-22</t>
        </is>
      </c>
      <c r="C1164" s="6" t="inlineStr">
        <is>
          <t>DIA</t>
        </is>
      </c>
      <c r="D1164" s="6" t="inlineStr">
        <is>
          <t>JPM</t>
        </is>
      </c>
      <c r="E1164" s="6" t="inlineStr">
        <is>
          <t>JPM</t>
        </is>
      </c>
      <c r="F1164" s="6" t="inlineStr">
        <is>
          <t>-</t>
        </is>
      </c>
      <c r="G1164" s="7" t="n">
        <v>137.0371246337891</v>
      </c>
      <c r="H1164" s="6">
        <f>P1133</f>
        <v/>
      </c>
      <c r="I1164" s="9">
        <f>Q1133</f>
        <v/>
      </c>
      <c r="J1164" s="7">
        <f>I1164*G1164</f>
        <v/>
      </c>
      <c r="K1164" s="8">
        <f>IF($J$1179=0,0,J1164/$J$1179)</f>
        <v/>
      </c>
      <c r="L1164" s="6" t="inlineStr">
        <is>
          <t>REJECTED</t>
        </is>
      </c>
      <c r="M1164" s="8" t="n">
        <v>0</v>
      </c>
      <c r="N1164" s="7">
        <f>M1164*$J$1179-J1164</f>
        <v/>
      </c>
      <c r="O1164" s="9">
        <f>IF(G1164=0,0,N1164/G1164)</f>
        <v/>
      </c>
      <c r="P1164" s="6">
        <f>IF(M1164&gt;0,D1164,"")</f>
        <v/>
      </c>
      <c r="Q1164" s="9">
        <f>I1164+O1164</f>
        <v/>
      </c>
      <c r="R1164" s="7">
        <f>Q1164*G1164</f>
        <v/>
      </c>
      <c r="S1164" s="8">
        <f>IF($R$1179=0,0,R1164/$R$1179)</f>
        <v/>
      </c>
      <c r="T1164" s="8" t="n">
        <v>0</v>
      </c>
      <c r="U1164" s="8" t="n">
        <v>-0.01895189624059679</v>
      </c>
      <c r="V1164" s="6" t="inlineStr">
        <is>
          <t>not selected</t>
        </is>
      </c>
    </row>
    <row r="1165">
      <c r="A1165" s="6" t="inlineStr">
        <is>
          <t>DJ30</t>
        </is>
      </c>
      <c r="B1165" s="6" t="inlineStr">
        <is>
          <t>2023-09-22</t>
        </is>
      </c>
      <c r="C1165" s="6" t="inlineStr">
        <is>
          <t>DIA</t>
        </is>
      </c>
      <c r="D1165" s="6" t="inlineStr">
        <is>
          <t>KO</t>
        </is>
      </c>
      <c r="E1165" s="6" t="inlineStr">
        <is>
          <t>KO</t>
        </is>
      </c>
      <c r="F1165" s="6" t="inlineStr">
        <is>
          <t>-</t>
        </is>
      </c>
      <c r="G1165" s="7" t="n">
        <v>53.15130233764648</v>
      </c>
      <c r="H1165" s="6">
        <f>P1134</f>
        <v/>
      </c>
      <c r="I1165" s="9">
        <f>Q1134</f>
        <v/>
      </c>
      <c r="J1165" s="7">
        <f>I1165*G1165</f>
        <v/>
      </c>
      <c r="K1165" s="8">
        <f>IF($J$1179=0,0,J1165/$J$1179)</f>
        <v/>
      </c>
      <c r="L1165" s="6" t="inlineStr">
        <is>
          <t>REJECTED</t>
        </is>
      </c>
      <c r="M1165" s="8" t="n">
        <v>0</v>
      </c>
      <c r="N1165" s="7">
        <f>M1165*$J$1179-J1165</f>
        <v/>
      </c>
      <c r="O1165" s="9">
        <f>IF(G1165=0,0,N1165/G1165)</f>
        <v/>
      </c>
      <c r="P1165" s="6">
        <f>IF(M1165&gt;0,D1165,"")</f>
        <v/>
      </c>
      <c r="Q1165" s="9">
        <f>I1165+O1165</f>
        <v/>
      </c>
      <c r="R1165" s="7">
        <f>Q1165*G1165</f>
        <v/>
      </c>
      <c r="S1165" s="8">
        <f>IF($R$1179=0,0,R1165/$R$1179)</f>
        <v/>
      </c>
      <c r="T1165" s="8" t="n">
        <v>0</v>
      </c>
      <c r="U1165" s="8" t="n">
        <v>-0.01895189624059679</v>
      </c>
      <c r="V1165" s="6" t="inlineStr">
        <is>
          <t>not selected</t>
        </is>
      </c>
    </row>
    <row r="1166">
      <c r="A1166" s="6" t="inlineStr">
        <is>
          <t>DJ30</t>
        </is>
      </c>
      <c r="B1166" s="6" t="inlineStr">
        <is>
          <t>2023-09-22</t>
        </is>
      </c>
      <c r="C1166" s="6" t="inlineStr">
        <is>
          <t>DIA</t>
        </is>
      </c>
      <c r="D1166" s="6" t="inlineStr">
        <is>
          <t>MCD</t>
        </is>
      </c>
      <c r="E1166" s="6" t="inlineStr">
        <is>
          <t>MCD</t>
        </is>
      </c>
      <c r="F1166" s="6" t="inlineStr">
        <is>
          <t>-</t>
        </is>
      </c>
      <c r="G1166" s="7" t="n">
        <v>255.0106811523437</v>
      </c>
      <c r="H1166" s="6">
        <f>P1135</f>
        <v/>
      </c>
      <c r="I1166" s="9">
        <f>Q1135</f>
        <v/>
      </c>
      <c r="J1166" s="7">
        <f>I1166*G1166</f>
        <v/>
      </c>
      <c r="K1166" s="8">
        <f>IF($J$1179=0,0,J1166/$J$1179)</f>
        <v/>
      </c>
      <c r="L1166" s="6" t="inlineStr">
        <is>
          <t>REJECTED</t>
        </is>
      </c>
      <c r="M1166" s="8" t="n">
        <v>0</v>
      </c>
      <c r="N1166" s="7">
        <f>M1166*$J$1179-J1166</f>
        <v/>
      </c>
      <c r="O1166" s="9">
        <f>IF(G1166=0,0,N1166/G1166)</f>
        <v/>
      </c>
      <c r="P1166" s="6">
        <f>IF(M1166&gt;0,D1166,"")</f>
        <v/>
      </c>
      <c r="Q1166" s="9">
        <f>I1166+O1166</f>
        <v/>
      </c>
      <c r="R1166" s="7">
        <f>Q1166*G1166</f>
        <v/>
      </c>
      <c r="S1166" s="8">
        <f>IF($R$1179=0,0,R1166/$R$1179)</f>
        <v/>
      </c>
      <c r="T1166" s="8" t="n">
        <v>0</v>
      </c>
      <c r="U1166" s="8" t="n">
        <v>-0.01895189624059679</v>
      </c>
      <c r="V1166" s="6" t="inlineStr">
        <is>
          <t>not selected</t>
        </is>
      </c>
    </row>
    <row r="1167">
      <c r="A1167" s="6" t="inlineStr">
        <is>
          <t>DJ30</t>
        </is>
      </c>
      <c r="B1167" s="6" t="inlineStr">
        <is>
          <t>2023-09-22</t>
        </is>
      </c>
      <c r="C1167" s="6" t="inlineStr">
        <is>
          <t>DIA</t>
        </is>
      </c>
      <c r="D1167" s="6" t="inlineStr">
        <is>
          <t>MMM</t>
        </is>
      </c>
      <c r="E1167" s="6" t="inlineStr">
        <is>
          <t>MMM</t>
        </is>
      </c>
      <c r="F1167" s="6" t="inlineStr">
        <is>
          <t>-</t>
        </is>
      </c>
      <c r="G1167" s="7" t="n">
        <v>75.04680633544922</v>
      </c>
      <c r="H1167" s="6">
        <f>P1136</f>
        <v/>
      </c>
      <c r="I1167" s="9">
        <f>Q1136</f>
        <v/>
      </c>
      <c r="J1167" s="7">
        <f>I1167*G1167</f>
        <v/>
      </c>
      <c r="K1167" s="8">
        <f>IF($J$1179=0,0,J1167/$J$1179)</f>
        <v/>
      </c>
      <c r="L1167" s="6" t="inlineStr">
        <is>
          <t>REJECTED</t>
        </is>
      </c>
      <c r="M1167" s="8" t="n">
        <v>0</v>
      </c>
      <c r="N1167" s="7">
        <f>M1167*$J$1179-J1167</f>
        <v/>
      </c>
      <c r="O1167" s="9">
        <f>IF(G1167=0,0,N1167/G1167)</f>
        <v/>
      </c>
      <c r="P1167" s="6">
        <f>IF(M1167&gt;0,D1167,"")</f>
        <v/>
      </c>
      <c r="Q1167" s="9">
        <f>I1167+O1167</f>
        <v/>
      </c>
      <c r="R1167" s="7">
        <f>Q1167*G1167</f>
        <v/>
      </c>
      <c r="S1167" s="8">
        <f>IF($R$1179=0,0,R1167/$R$1179)</f>
        <v/>
      </c>
      <c r="T1167" s="8" t="n">
        <v>0</v>
      </c>
      <c r="U1167" s="8" t="n">
        <v>-0.01895189624059679</v>
      </c>
      <c r="V1167" s="6" t="inlineStr">
        <is>
          <t>not selected</t>
        </is>
      </c>
    </row>
    <row r="1168">
      <c r="A1168" s="6" t="inlineStr">
        <is>
          <t>DJ30</t>
        </is>
      </c>
      <c r="B1168" s="6" t="inlineStr">
        <is>
          <t>2023-09-22</t>
        </is>
      </c>
      <c r="C1168" s="6" t="inlineStr">
        <is>
          <t>DIA</t>
        </is>
      </c>
      <c r="D1168" s="6" t="inlineStr">
        <is>
          <t>MRK</t>
        </is>
      </c>
      <c r="E1168" s="6" t="inlineStr">
        <is>
          <t>MRK</t>
        </is>
      </c>
      <c r="F1168" s="6" t="inlineStr">
        <is>
          <t>-</t>
        </is>
      </c>
      <c r="G1168" s="7" t="n">
        <v>97.61666870117188</v>
      </c>
      <c r="H1168" s="6">
        <f>P1137</f>
        <v/>
      </c>
      <c r="I1168" s="9">
        <f>Q1137</f>
        <v/>
      </c>
      <c r="J1168" s="7">
        <f>I1168*G1168</f>
        <v/>
      </c>
      <c r="K1168" s="8">
        <f>IF($J$1179=0,0,J1168/$J$1179)</f>
        <v/>
      </c>
      <c r="L1168" s="6" t="inlineStr">
        <is>
          <t>REJECTED</t>
        </is>
      </c>
      <c r="M1168" s="8" t="n">
        <v>0</v>
      </c>
      <c r="N1168" s="7">
        <f>M1168*$J$1179-J1168</f>
        <v/>
      </c>
      <c r="O1168" s="9">
        <f>IF(G1168=0,0,N1168/G1168)</f>
        <v/>
      </c>
      <c r="P1168" s="6">
        <f>IF(M1168&gt;0,D1168,"")</f>
        <v/>
      </c>
      <c r="Q1168" s="9">
        <f>I1168+O1168</f>
        <v/>
      </c>
      <c r="R1168" s="7">
        <f>Q1168*G1168</f>
        <v/>
      </c>
      <c r="S1168" s="8">
        <f>IF($R$1179=0,0,R1168/$R$1179)</f>
        <v/>
      </c>
      <c r="T1168" s="8" t="n">
        <v>0</v>
      </c>
      <c r="U1168" s="8" t="n">
        <v>-0.01895189624059679</v>
      </c>
      <c r="V1168" s="6" t="inlineStr">
        <is>
          <t>not selected</t>
        </is>
      </c>
    </row>
    <row r="1169">
      <c r="A1169" s="6" t="inlineStr">
        <is>
          <t>DJ30</t>
        </is>
      </c>
      <c r="B1169" s="6" t="inlineStr">
        <is>
          <t>2023-09-22</t>
        </is>
      </c>
      <c r="C1169" s="6" t="inlineStr">
        <is>
          <t>DIA</t>
        </is>
      </c>
      <c r="D1169" s="6" t="inlineStr">
        <is>
          <t>MSFT</t>
        </is>
      </c>
      <c r="E1169" s="6" t="inlineStr">
        <is>
          <t>MSFT</t>
        </is>
      </c>
      <c r="F1169" s="6" t="inlineStr">
        <is>
          <t>-</t>
        </is>
      </c>
      <c r="G1169" s="7" t="n">
        <v>310.3381652832031</v>
      </c>
      <c r="H1169" s="6">
        <f>P1138</f>
        <v/>
      </c>
      <c r="I1169" s="9">
        <f>Q1138</f>
        <v/>
      </c>
      <c r="J1169" s="7">
        <f>I1169*G1169</f>
        <v/>
      </c>
      <c r="K1169" s="8">
        <f>IF($J$1179=0,0,J1169/$J$1179)</f>
        <v/>
      </c>
      <c r="L1169" s="6" t="inlineStr">
        <is>
          <t>REJECTED</t>
        </is>
      </c>
      <c r="M1169" s="8" t="n">
        <v>0</v>
      </c>
      <c r="N1169" s="7">
        <f>M1169*$J$1179-J1169</f>
        <v/>
      </c>
      <c r="O1169" s="9">
        <f>IF(G1169=0,0,N1169/G1169)</f>
        <v/>
      </c>
      <c r="P1169" s="6">
        <f>IF(M1169&gt;0,D1169,"")</f>
        <v/>
      </c>
      <c r="Q1169" s="9">
        <f>I1169+O1169</f>
        <v/>
      </c>
      <c r="R1169" s="7">
        <f>Q1169*G1169</f>
        <v/>
      </c>
      <c r="S1169" s="8">
        <f>IF($R$1179=0,0,R1169/$R$1179)</f>
        <v/>
      </c>
      <c r="T1169" s="8" t="n">
        <v>0</v>
      </c>
      <c r="U1169" s="8" t="n">
        <v>-0.01895189624059679</v>
      </c>
      <c r="V1169" s="6" t="inlineStr">
        <is>
          <t>not selected</t>
        </is>
      </c>
    </row>
    <row r="1170">
      <c r="A1170" s="6" t="inlineStr">
        <is>
          <t>DJ30</t>
        </is>
      </c>
      <c r="B1170" s="6" t="inlineStr">
        <is>
          <t>2023-09-22</t>
        </is>
      </c>
      <c r="C1170" s="6" t="inlineStr">
        <is>
          <t>DIA</t>
        </is>
      </c>
      <c r="D1170" s="6" t="inlineStr">
        <is>
          <t>NKE</t>
        </is>
      </c>
      <c r="E1170" s="6" t="inlineStr">
        <is>
          <t>NKE</t>
        </is>
      </c>
      <c r="F1170" s="6" t="inlineStr">
        <is>
          <t>-</t>
        </is>
      </c>
      <c r="G1170" s="7" t="n">
        <v>85.63524627685547</v>
      </c>
      <c r="H1170" s="6">
        <f>P1139</f>
        <v/>
      </c>
      <c r="I1170" s="9">
        <f>Q1139</f>
        <v/>
      </c>
      <c r="J1170" s="7">
        <f>I1170*G1170</f>
        <v/>
      </c>
      <c r="K1170" s="8">
        <f>IF($J$1179=0,0,J1170/$J$1179)</f>
        <v/>
      </c>
      <c r="L1170" s="6" t="inlineStr">
        <is>
          <t>REJECTED</t>
        </is>
      </c>
      <c r="M1170" s="8" t="n">
        <v>0</v>
      </c>
      <c r="N1170" s="7">
        <f>M1170*$J$1179-J1170</f>
        <v/>
      </c>
      <c r="O1170" s="9">
        <f>IF(G1170=0,0,N1170/G1170)</f>
        <v/>
      </c>
      <c r="P1170" s="6">
        <f>IF(M1170&gt;0,D1170,"")</f>
        <v/>
      </c>
      <c r="Q1170" s="9">
        <f>I1170+O1170</f>
        <v/>
      </c>
      <c r="R1170" s="7">
        <f>Q1170*G1170</f>
        <v/>
      </c>
      <c r="S1170" s="8">
        <f>IF($R$1179=0,0,R1170/$R$1179)</f>
        <v/>
      </c>
      <c r="T1170" s="8" t="n">
        <v>0</v>
      </c>
      <c r="U1170" s="8" t="n">
        <v>-0.01895189624059679</v>
      </c>
      <c r="V1170" s="6" t="inlineStr">
        <is>
          <t>not selected</t>
        </is>
      </c>
    </row>
    <row r="1171">
      <c r="A1171" s="6" t="inlineStr">
        <is>
          <t>DJ30</t>
        </is>
      </c>
      <c r="B1171" s="6" t="inlineStr">
        <is>
          <t>2023-09-22</t>
        </is>
      </c>
      <c r="C1171" s="6" t="inlineStr">
        <is>
          <t>DIA</t>
        </is>
      </c>
      <c r="D1171" s="6" t="inlineStr">
        <is>
          <t>NVDA</t>
        </is>
      </c>
      <c r="E1171" s="6" t="inlineStr">
        <is>
          <t>NVDA</t>
        </is>
      </c>
      <c r="F1171" s="6" t="inlineStr">
        <is>
          <t>-</t>
        </is>
      </c>
      <c r="G1171" s="7" t="n">
        <v>41.53251647949219</v>
      </c>
      <c r="H1171" s="6">
        <f>P1140</f>
        <v/>
      </c>
      <c r="I1171" s="9">
        <f>Q1140</f>
        <v/>
      </c>
      <c r="J1171" s="7">
        <f>I1171*G1171</f>
        <v/>
      </c>
      <c r="K1171" s="8">
        <f>IF($J$1179=0,0,J1171/$J$1179)</f>
        <v/>
      </c>
      <c r="L1171" s="6" t="inlineStr">
        <is>
          <t>REJECTED</t>
        </is>
      </c>
      <c r="M1171" s="8" t="n">
        <v>0</v>
      </c>
      <c r="N1171" s="7">
        <f>M1171*$J$1179-J1171</f>
        <v/>
      </c>
      <c r="O1171" s="9">
        <f>IF(G1171=0,0,N1171/G1171)</f>
        <v/>
      </c>
      <c r="P1171" s="6">
        <f>IF(M1171&gt;0,D1171,"")</f>
        <v/>
      </c>
      <c r="Q1171" s="9">
        <f>I1171+O1171</f>
        <v/>
      </c>
      <c r="R1171" s="7">
        <f>Q1171*G1171</f>
        <v/>
      </c>
      <c r="S1171" s="8">
        <f>IF($R$1179=0,0,R1171/$R$1179)</f>
        <v/>
      </c>
      <c r="T1171" s="8" t="n">
        <v>0</v>
      </c>
      <c r="U1171" s="8" t="n">
        <v>-0.01895189624059679</v>
      </c>
      <c r="V1171" s="6" t="inlineStr">
        <is>
          <t>not selected</t>
        </is>
      </c>
    </row>
    <row r="1172">
      <c r="A1172" s="6" t="inlineStr">
        <is>
          <t>DJ30</t>
        </is>
      </c>
      <c r="B1172" s="6" t="inlineStr">
        <is>
          <t>2023-09-22</t>
        </is>
      </c>
      <c r="C1172" s="6" t="inlineStr">
        <is>
          <t>DIA</t>
        </is>
      </c>
      <c r="D1172" s="6" t="inlineStr">
        <is>
          <t>PG</t>
        </is>
      </c>
      <c r="E1172" s="6" t="inlineStr">
        <is>
          <t>PG</t>
        </is>
      </c>
      <c r="F1172" s="6" t="inlineStr">
        <is>
          <t>-</t>
        </is>
      </c>
      <c r="G1172" s="7" t="n">
        <v>141.1152648925781</v>
      </c>
      <c r="H1172" s="6">
        <f>P1141</f>
        <v/>
      </c>
      <c r="I1172" s="9">
        <f>Q1141</f>
        <v/>
      </c>
      <c r="J1172" s="7">
        <f>I1172*G1172</f>
        <v/>
      </c>
      <c r="K1172" s="8">
        <f>IF($J$1179=0,0,J1172/$J$1179)</f>
        <v/>
      </c>
      <c r="L1172" s="6" t="inlineStr">
        <is>
          <t>REJECTED</t>
        </is>
      </c>
      <c r="M1172" s="8" t="n">
        <v>0</v>
      </c>
      <c r="N1172" s="7">
        <f>M1172*$J$1179-J1172</f>
        <v/>
      </c>
      <c r="O1172" s="9">
        <f>IF(G1172=0,0,N1172/G1172)</f>
        <v/>
      </c>
      <c r="P1172" s="6">
        <f>IF(M1172&gt;0,D1172,"")</f>
        <v/>
      </c>
      <c r="Q1172" s="9">
        <f>I1172+O1172</f>
        <v/>
      </c>
      <c r="R1172" s="7">
        <f>Q1172*G1172</f>
        <v/>
      </c>
      <c r="S1172" s="8">
        <f>IF($R$1179=0,0,R1172/$R$1179)</f>
        <v/>
      </c>
      <c r="T1172" s="8" t="n">
        <v>0</v>
      </c>
      <c r="U1172" s="8" t="n">
        <v>-0.01895189624059679</v>
      </c>
      <c r="V1172" s="6" t="inlineStr">
        <is>
          <t>not selected</t>
        </is>
      </c>
    </row>
    <row r="1173">
      <c r="A1173" s="6" t="inlineStr">
        <is>
          <t>DJ30</t>
        </is>
      </c>
      <c r="B1173" s="6" t="inlineStr">
        <is>
          <t>2023-09-22</t>
        </is>
      </c>
      <c r="C1173" s="6" t="inlineStr">
        <is>
          <t>DIA</t>
        </is>
      </c>
      <c r="D1173" s="6" t="inlineStr">
        <is>
          <t>SHW</t>
        </is>
      </c>
      <c r="E1173" s="6" t="inlineStr">
        <is>
          <t>SHW</t>
        </is>
      </c>
      <c r="F1173" s="6" t="inlineStr">
        <is>
          <t>-</t>
        </is>
      </c>
      <c r="G1173" s="7" t="n">
        <v>248.5562133789062</v>
      </c>
      <c r="H1173" s="6">
        <f>P1142</f>
        <v/>
      </c>
      <c r="I1173" s="9">
        <f>Q1142</f>
        <v/>
      </c>
      <c r="J1173" s="7">
        <f>I1173*G1173</f>
        <v/>
      </c>
      <c r="K1173" s="8">
        <f>IF($J$1179=0,0,J1173/$J$1179)</f>
        <v/>
      </c>
      <c r="L1173" s="6" t="inlineStr">
        <is>
          <t>REJECTED</t>
        </is>
      </c>
      <c r="M1173" s="8" t="n">
        <v>0</v>
      </c>
      <c r="N1173" s="7">
        <f>M1173*$J$1179-J1173</f>
        <v/>
      </c>
      <c r="O1173" s="9">
        <f>IF(G1173=0,0,N1173/G1173)</f>
        <v/>
      </c>
      <c r="P1173" s="6">
        <f>IF(M1173&gt;0,D1173,"")</f>
        <v/>
      </c>
      <c r="Q1173" s="9">
        <f>I1173+O1173</f>
        <v/>
      </c>
      <c r="R1173" s="7">
        <f>Q1173*G1173</f>
        <v/>
      </c>
      <c r="S1173" s="8">
        <f>IF($R$1179=0,0,R1173/$R$1179)</f>
        <v/>
      </c>
      <c r="T1173" s="8" t="n">
        <v>0</v>
      </c>
      <c r="U1173" s="8" t="n">
        <v>-0.01895189624059679</v>
      </c>
      <c r="V1173" s="6" t="inlineStr">
        <is>
          <t>not selected</t>
        </is>
      </c>
    </row>
    <row r="1174">
      <c r="A1174" s="6" t="inlineStr">
        <is>
          <t>DJ30</t>
        </is>
      </c>
      <c r="B1174" s="6" t="inlineStr">
        <is>
          <t>2023-09-22</t>
        </is>
      </c>
      <c r="C1174" s="6" t="inlineStr">
        <is>
          <t>DIA</t>
        </is>
      </c>
      <c r="D1174" s="6" t="inlineStr">
        <is>
          <t>TRV</t>
        </is>
      </c>
      <c r="E1174" s="6" t="inlineStr">
        <is>
          <t>TRV</t>
        </is>
      </c>
      <c r="F1174" s="6" t="inlineStr">
        <is>
          <t>-</t>
        </is>
      </c>
      <c r="G1174" s="7" t="n">
        <v>160.0562133789062</v>
      </c>
      <c r="H1174" s="6">
        <f>P1143</f>
        <v/>
      </c>
      <c r="I1174" s="9">
        <f>Q1143</f>
        <v/>
      </c>
      <c r="J1174" s="7">
        <f>I1174*G1174</f>
        <v/>
      </c>
      <c r="K1174" s="8">
        <f>IF($J$1179=0,0,J1174/$J$1179)</f>
        <v/>
      </c>
      <c r="L1174" s="6" t="inlineStr">
        <is>
          <t>REJECTED</t>
        </is>
      </c>
      <c r="M1174" s="8" t="n">
        <v>0</v>
      </c>
      <c r="N1174" s="7">
        <f>M1174*$J$1179-J1174</f>
        <v/>
      </c>
      <c r="O1174" s="9">
        <f>IF(G1174=0,0,N1174/G1174)</f>
        <v/>
      </c>
      <c r="P1174" s="6">
        <f>IF(M1174&gt;0,D1174,"")</f>
        <v/>
      </c>
      <c r="Q1174" s="9">
        <f>I1174+O1174</f>
        <v/>
      </c>
      <c r="R1174" s="7">
        <f>Q1174*G1174</f>
        <v/>
      </c>
      <c r="S1174" s="8">
        <f>IF($R$1179=0,0,R1174/$R$1179)</f>
        <v/>
      </c>
      <c r="T1174" s="8" t="n">
        <v>0</v>
      </c>
      <c r="U1174" s="8" t="n">
        <v>-0.01895189624059679</v>
      </c>
      <c r="V1174" s="6" t="inlineStr">
        <is>
          <t>not selected</t>
        </is>
      </c>
    </row>
    <row r="1175">
      <c r="A1175" s="6" t="inlineStr">
        <is>
          <t>DJ30</t>
        </is>
      </c>
      <c r="B1175" s="6" t="inlineStr">
        <is>
          <t>2023-09-22</t>
        </is>
      </c>
      <c r="C1175" s="6" t="inlineStr">
        <is>
          <t>DIA</t>
        </is>
      </c>
      <c r="D1175" s="6" t="inlineStr">
        <is>
          <t>UNH</t>
        </is>
      </c>
      <c r="E1175" s="6" t="inlineStr">
        <is>
          <t>UNH</t>
        </is>
      </c>
      <c r="F1175" s="6" t="inlineStr">
        <is>
          <t>-</t>
        </is>
      </c>
      <c r="G1175" s="7" t="n">
        <v>478.1982421875</v>
      </c>
      <c r="H1175" s="6">
        <f>P1144</f>
        <v/>
      </c>
      <c r="I1175" s="9">
        <f>Q1144</f>
        <v/>
      </c>
      <c r="J1175" s="7">
        <f>I1175*G1175</f>
        <v/>
      </c>
      <c r="K1175" s="8">
        <f>IF($J$1179=0,0,J1175/$J$1179)</f>
        <v/>
      </c>
      <c r="L1175" s="6" t="inlineStr">
        <is>
          <t>REJECTED</t>
        </is>
      </c>
      <c r="M1175" s="8" t="n">
        <v>0</v>
      </c>
      <c r="N1175" s="7">
        <f>M1175*$J$1179-J1175</f>
        <v/>
      </c>
      <c r="O1175" s="9">
        <f>IF(G1175=0,0,N1175/G1175)</f>
        <v/>
      </c>
      <c r="P1175" s="6">
        <f>IF(M1175&gt;0,D1175,"")</f>
        <v/>
      </c>
      <c r="Q1175" s="9">
        <f>I1175+O1175</f>
        <v/>
      </c>
      <c r="R1175" s="7">
        <f>Q1175*G1175</f>
        <v/>
      </c>
      <c r="S1175" s="8">
        <f>IF($R$1179=0,0,R1175/$R$1179)</f>
        <v/>
      </c>
      <c r="T1175" s="8" t="n">
        <v>0</v>
      </c>
      <c r="U1175" s="8" t="n">
        <v>-0.01895189624059679</v>
      </c>
      <c r="V1175" s="6" t="inlineStr">
        <is>
          <t>not selected</t>
        </is>
      </c>
    </row>
    <row r="1176">
      <c r="A1176" s="6" t="inlineStr">
        <is>
          <t>DJ30</t>
        </is>
      </c>
      <c r="B1176" s="6" t="inlineStr">
        <is>
          <t>2023-09-22</t>
        </is>
      </c>
      <c r="C1176" s="6" t="inlineStr">
        <is>
          <t>DIA</t>
        </is>
      </c>
      <c r="D1176" s="6" t="inlineStr">
        <is>
          <t>V</t>
        </is>
      </c>
      <c r="E1176" s="6" t="inlineStr">
        <is>
          <t>V</t>
        </is>
      </c>
      <c r="F1176" s="6" t="inlineStr">
        <is>
          <t>-</t>
        </is>
      </c>
      <c r="G1176" s="7" t="n">
        <v>230.2063598632812</v>
      </c>
      <c r="H1176" s="6">
        <f>P1145</f>
        <v/>
      </c>
      <c r="I1176" s="9">
        <f>Q1145</f>
        <v/>
      </c>
      <c r="J1176" s="7">
        <f>I1176*G1176</f>
        <v/>
      </c>
      <c r="K1176" s="8">
        <f>IF($J$1179=0,0,J1176/$J$1179)</f>
        <v/>
      </c>
      <c r="L1176" s="6" t="inlineStr">
        <is>
          <t>REJECTED</t>
        </is>
      </c>
      <c r="M1176" s="8" t="n">
        <v>0</v>
      </c>
      <c r="N1176" s="7">
        <f>M1176*$J$1179-J1176</f>
        <v/>
      </c>
      <c r="O1176" s="9">
        <f>IF(G1176=0,0,N1176/G1176)</f>
        <v/>
      </c>
      <c r="P1176" s="6">
        <f>IF(M1176&gt;0,D1176,"")</f>
        <v/>
      </c>
      <c r="Q1176" s="9">
        <f>I1176+O1176</f>
        <v/>
      </c>
      <c r="R1176" s="7">
        <f>Q1176*G1176</f>
        <v/>
      </c>
      <c r="S1176" s="8">
        <f>IF($R$1179=0,0,R1176/$R$1179)</f>
        <v/>
      </c>
      <c r="T1176" s="8" t="n">
        <v>0</v>
      </c>
      <c r="U1176" s="8" t="n">
        <v>-0.01895189624059679</v>
      </c>
      <c r="V1176" s="6" t="inlineStr">
        <is>
          <t>not selected</t>
        </is>
      </c>
    </row>
    <row r="1177">
      <c r="A1177" s="6" t="inlineStr">
        <is>
          <t>DJ30</t>
        </is>
      </c>
      <c r="B1177" s="6" t="inlineStr">
        <is>
          <t>2023-09-22</t>
        </is>
      </c>
      <c r="C1177" s="6" t="inlineStr">
        <is>
          <t>DIA</t>
        </is>
      </c>
      <c r="D1177" s="6" t="inlineStr">
        <is>
          <t>VZ</t>
        </is>
      </c>
      <c r="E1177" s="6" t="inlineStr">
        <is>
          <t>VZ</t>
        </is>
      </c>
      <c r="F1177" s="6" t="inlineStr">
        <is>
          <t>-</t>
        </is>
      </c>
      <c r="G1177" s="7" t="n">
        <v>27.67735481262207</v>
      </c>
      <c r="H1177" s="6">
        <f>P1146</f>
        <v/>
      </c>
      <c r="I1177" s="9">
        <f>Q1146</f>
        <v/>
      </c>
      <c r="J1177" s="7">
        <f>I1177*G1177</f>
        <v/>
      </c>
      <c r="K1177" s="8">
        <f>IF($J$1179=0,0,J1177/$J$1179)</f>
        <v/>
      </c>
      <c r="L1177" s="6" t="inlineStr">
        <is>
          <t>REJECTED</t>
        </is>
      </c>
      <c r="M1177" s="8" t="n">
        <v>0</v>
      </c>
      <c r="N1177" s="7">
        <f>M1177*$J$1179-J1177</f>
        <v/>
      </c>
      <c r="O1177" s="9">
        <f>IF(G1177=0,0,N1177/G1177)</f>
        <v/>
      </c>
      <c r="P1177" s="6">
        <f>IF(M1177&gt;0,D1177,"")</f>
        <v/>
      </c>
      <c r="Q1177" s="9">
        <f>I1177+O1177</f>
        <v/>
      </c>
      <c r="R1177" s="7">
        <f>Q1177*G1177</f>
        <v/>
      </c>
      <c r="S1177" s="8">
        <f>IF($R$1179=0,0,R1177/$R$1179)</f>
        <v/>
      </c>
      <c r="T1177" s="8" t="n">
        <v>0</v>
      </c>
      <c r="U1177" s="8" t="n">
        <v>-0.01895189624059679</v>
      </c>
      <c r="V1177" s="6" t="inlineStr">
        <is>
          <t>not selected</t>
        </is>
      </c>
    </row>
    <row r="1178">
      <c r="A1178" s="6" t="inlineStr">
        <is>
          <t>DJ30</t>
        </is>
      </c>
      <c r="B1178" s="6" t="inlineStr">
        <is>
          <t>2023-09-22</t>
        </is>
      </c>
      <c r="C1178" s="6" t="inlineStr">
        <is>
          <t>DIA</t>
        </is>
      </c>
      <c r="D1178" s="6" t="inlineStr">
        <is>
          <t>WMT</t>
        </is>
      </c>
      <c r="E1178" s="6" t="inlineStr">
        <is>
          <t>WMT</t>
        </is>
      </c>
      <c r="F1178" s="6" t="inlineStr">
        <is>
          <t>-</t>
        </is>
      </c>
      <c r="G1178" s="7" t="n">
        <v>52.56428146362305</v>
      </c>
      <c r="H1178" s="6">
        <f>P1147</f>
        <v/>
      </c>
      <c r="I1178" s="9">
        <f>Q1147</f>
        <v/>
      </c>
      <c r="J1178" s="7">
        <f>I1178*G1178</f>
        <v/>
      </c>
      <c r="K1178" s="8">
        <f>IF($J$1179=0,0,J1178/$J$1179)</f>
        <v/>
      </c>
      <c r="L1178" s="6" t="inlineStr">
        <is>
          <t>REJECTED</t>
        </is>
      </c>
      <c r="M1178" s="8" t="n">
        <v>0</v>
      </c>
      <c r="N1178" s="7">
        <f>M1178*$J$1179-J1178</f>
        <v/>
      </c>
      <c r="O1178" s="9">
        <f>IF(G1178=0,0,N1178/G1178)</f>
        <v/>
      </c>
      <c r="P1178" s="6">
        <f>IF(M1178&gt;0,D1178,"")</f>
        <v/>
      </c>
      <c r="Q1178" s="9">
        <f>I1178+O1178</f>
        <v/>
      </c>
      <c r="R1178" s="7">
        <f>Q1178*G1178</f>
        <v/>
      </c>
      <c r="S1178" s="8">
        <f>IF($R$1179=0,0,R1178/$R$1179)</f>
        <v/>
      </c>
      <c r="T1178" s="8" t="n">
        <v>0</v>
      </c>
      <c r="U1178" s="8" t="n">
        <v>-0.01895189624059679</v>
      </c>
      <c r="V1178" s="6" t="inlineStr">
        <is>
          <t>not selected</t>
        </is>
      </c>
    </row>
    <row r="1179">
      <c r="A1179" s="10" t="inlineStr">
        <is>
          <t>DJ30</t>
        </is>
      </c>
      <c r="B1179" s="10" t="inlineStr">
        <is>
          <t>2023-09-22</t>
        </is>
      </c>
      <c r="C1179" s="10" t="inlineStr">
        <is>
          <t>DIA</t>
        </is>
      </c>
      <c r="D1179" s="10" t="inlineStr">
        <is>
          <t>Tot Portfolio</t>
        </is>
      </c>
      <c r="E1179" s="10" t="inlineStr"/>
      <c r="F1179" s="10" t="inlineStr"/>
      <c r="G1179" s="11" t="inlineStr"/>
      <c r="H1179" s="10" t="inlineStr"/>
      <c r="I1179" s="12" t="inlineStr"/>
      <c r="J1179" s="11">
        <f>SUM(J1149:J1178)</f>
        <v/>
      </c>
      <c r="K1179" s="13">
        <f>SUM(K1149:K1178)</f>
        <v/>
      </c>
      <c r="L1179" s="10" t="inlineStr">
        <is>
          <t>TOTAL</t>
        </is>
      </c>
      <c r="M1179" s="13">
        <f>SUM(M1149:M1178)</f>
        <v/>
      </c>
      <c r="N1179" s="11">
        <f>SUM(N1149:N1178)</f>
        <v/>
      </c>
      <c r="O1179" s="12">
        <f>SUM(O1149:O1178)</f>
        <v/>
      </c>
      <c r="P1179" s="10" t="inlineStr"/>
      <c r="Q1179" s="12" t="inlineStr"/>
      <c r="R1179" s="11">
        <f>SUM(R1149:R1178)</f>
        <v/>
      </c>
      <c r="S1179" s="13">
        <f>SUM(S1149:S1178)</f>
        <v/>
      </c>
      <c r="T1179" s="13" t="n">
        <v>0</v>
      </c>
      <c r="U1179" s="13" t="n">
        <v>-0.01895189624059679</v>
      </c>
      <c r="V1179" s="10" t="inlineStr"/>
    </row>
    <row r="1180">
      <c r="A1180" s="6" t="inlineStr">
        <is>
          <t>DJ30</t>
        </is>
      </c>
      <c r="B1180" s="6" t="inlineStr">
        <is>
          <t>2023-09-29</t>
        </is>
      </c>
      <c r="C1180" s="6" t="inlineStr">
        <is>
          <t>DIA</t>
        </is>
      </c>
      <c r="D1180" s="6" t="inlineStr">
        <is>
          <t>AAPL</t>
        </is>
      </c>
      <c r="E1180" s="6" t="inlineStr">
        <is>
          <t>AAPL</t>
        </is>
      </c>
      <c r="F1180" s="6" t="inlineStr">
        <is>
          <t>-</t>
        </is>
      </c>
      <c r="G1180" s="7" t="n">
        <v>169.0709686279297</v>
      </c>
      <c r="H1180" s="6">
        <f>P1149</f>
        <v/>
      </c>
      <c r="I1180" s="9">
        <f>Q1149</f>
        <v/>
      </c>
      <c r="J1180" s="7">
        <f>I1180*G1180</f>
        <v/>
      </c>
      <c r="K1180" s="8">
        <f>IF($J$1210=0,0,J1180/$J$1210)</f>
        <v/>
      </c>
      <c r="L1180" s="6" t="inlineStr">
        <is>
          <t>REJECTED</t>
        </is>
      </c>
      <c r="M1180" s="8" t="n">
        <v>0</v>
      </c>
      <c r="N1180" s="7">
        <f>M1180*$J$1210-J1180</f>
        <v/>
      </c>
      <c r="O1180" s="9">
        <f>IF(G1180=0,0,N1180/G1180)</f>
        <v/>
      </c>
      <c r="P1180" s="6">
        <f>IF(M1180&gt;0,D1180,"")</f>
        <v/>
      </c>
      <c r="Q1180" s="9">
        <f>I1180+O1180</f>
        <v/>
      </c>
      <c r="R1180" s="7">
        <f>Q1180*G1180</f>
        <v/>
      </c>
      <c r="S1180" s="8">
        <f>IF($R$1210=0,0,R1180/$R$1210)</f>
        <v/>
      </c>
      <c r="T1180" s="8" t="n">
        <v>0</v>
      </c>
      <c r="U1180" s="8" t="n">
        <v>-0.01363461106734654</v>
      </c>
      <c r="V1180" s="6" t="inlineStr">
        <is>
          <t>not selected</t>
        </is>
      </c>
    </row>
    <row r="1181">
      <c r="A1181" s="6" t="inlineStr">
        <is>
          <t>DJ30</t>
        </is>
      </c>
      <c r="B1181" s="6" t="inlineStr">
        <is>
          <t>2023-09-29</t>
        </is>
      </c>
      <c r="C1181" s="6" t="inlineStr">
        <is>
          <t>DIA</t>
        </is>
      </c>
      <c r="D1181" s="6" t="inlineStr">
        <is>
          <t>AMGN</t>
        </is>
      </c>
      <c r="E1181" s="6" t="inlineStr">
        <is>
          <t>AMGN</t>
        </is>
      </c>
      <c r="F1181" s="6" t="inlineStr">
        <is>
          <t>-</t>
        </is>
      </c>
      <c r="G1181" s="7" t="n">
        <v>247.0914306640625</v>
      </c>
      <c r="H1181" s="6">
        <f>P1150</f>
        <v/>
      </c>
      <c r="I1181" s="9">
        <f>Q1150</f>
        <v/>
      </c>
      <c r="J1181" s="7">
        <f>I1181*G1181</f>
        <v/>
      </c>
      <c r="K1181" s="8">
        <f>IF($J$1210=0,0,J1181/$J$1210)</f>
        <v/>
      </c>
      <c r="L1181" s="6" t="inlineStr">
        <is>
          <t>REJECTED</t>
        </is>
      </c>
      <c r="M1181" s="8" t="n">
        <v>0</v>
      </c>
      <c r="N1181" s="7">
        <f>M1181*$J$1210-J1181</f>
        <v/>
      </c>
      <c r="O1181" s="9">
        <f>IF(G1181=0,0,N1181/G1181)</f>
        <v/>
      </c>
      <c r="P1181" s="6">
        <f>IF(M1181&gt;0,D1181,"")</f>
        <v/>
      </c>
      <c r="Q1181" s="9">
        <f>I1181+O1181</f>
        <v/>
      </c>
      <c r="R1181" s="7">
        <f>Q1181*G1181</f>
        <v/>
      </c>
      <c r="S1181" s="8">
        <f>IF($R$1210=0,0,R1181/$R$1210)</f>
        <v/>
      </c>
      <c r="T1181" s="8" t="n">
        <v>0</v>
      </c>
      <c r="U1181" s="8" t="n">
        <v>-0.01363461106734654</v>
      </c>
      <c r="V1181" s="6" t="inlineStr">
        <is>
          <t>not selected</t>
        </is>
      </c>
    </row>
    <row r="1182">
      <c r="A1182" s="6" t="inlineStr">
        <is>
          <t>DJ30</t>
        </is>
      </c>
      <c r="B1182" s="6" t="inlineStr">
        <is>
          <t>2023-09-29</t>
        </is>
      </c>
      <c r="C1182" s="6" t="inlineStr">
        <is>
          <t>DIA</t>
        </is>
      </c>
      <c r="D1182" s="6" t="inlineStr">
        <is>
          <t>AMZN</t>
        </is>
      </c>
      <c r="E1182" s="6" t="inlineStr">
        <is>
          <t>AMZN</t>
        </is>
      </c>
      <c r="F1182" s="6" t="inlineStr">
        <is>
          <t>-</t>
        </is>
      </c>
      <c r="G1182" s="7" t="n">
        <v>127.120002746582</v>
      </c>
      <c r="H1182" s="6">
        <f>P1151</f>
        <v/>
      </c>
      <c r="I1182" s="9">
        <f>Q1151</f>
        <v/>
      </c>
      <c r="J1182" s="7">
        <f>I1182*G1182</f>
        <v/>
      </c>
      <c r="K1182" s="8">
        <f>IF($J$1210=0,0,J1182/$J$1210)</f>
        <v/>
      </c>
      <c r="L1182" s="6" t="inlineStr">
        <is>
          <t>REJECTED</t>
        </is>
      </c>
      <c r="M1182" s="8" t="n">
        <v>0</v>
      </c>
      <c r="N1182" s="7">
        <f>M1182*$J$1210-J1182</f>
        <v/>
      </c>
      <c r="O1182" s="9">
        <f>IF(G1182=0,0,N1182/G1182)</f>
        <v/>
      </c>
      <c r="P1182" s="6">
        <f>IF(M1182&gt;0,D1182,"")</f>
        <v/>
      </c>
      <c r="Q1182" s="9">
        <f>I1182+O1182</f>
        <v/>
      </c>
      <c r="R1182" s="7">
        <f>Q1182*G1182</f>
        <v/>
      </c>
      <c r="S1182" s="8">
        <f>IF($R$1210=0,0,R1182/$R$1210)</f>
        <v/>
      </c>
      <c r="T1182" s="8" t="n">
        <v>0</v>
      </c>
      <c r="U1182" s="8" t="n">
        <v>-0.01363461106734654</v>
      </c>
      <c r="V1182" s="6" t="inlineStr">
        <is>
          <t>not selected</t>
        </is>
      </c>
    </row>
    <row r="1183">
      <c r="A1183" s="6" t="inlineStr">
        <is>
          <t>DJ30</t>
        </is>
      </c>
      <c r="B1183" s="6" t="inlineStr">
        <is>
          <t>2023-09-29</t>
        </is>
      </c>
      <c r="C1183" s="6" t="inlineStr">
        <is>
          <t>DIA</t>
        </is>
      </c>
      <c r="D1183" s="6" t="inlineStr">
        <is>
          <t>AXP</t>
        </is>
      </c>
      <c r="E1183" s="6" t="inlineStr">
        <is>
          <t>AXP</t>
        </is>
      </c>
      <c r="F1183" s="6" t="inlineStr">
        <is>
          <t>-</t>
        </is>
      </c>
      <c r="G1183" s="7" t="n">
        <v>144.4780426025391</v>
      </c>
      <c r="H1183" s="6">
        <f>P1152</f>
        <v/>
      </c>
      <c r="I1183" s="9">
        <f>Q1152</f>
        <v/>
      </c>
      <c r="J1183" s="7">
        <f>I1183*G1183</f>
        <v/>
      </c>
      <c r="K1183" s="8">
        <f>IF($J$1210=0,0,J1183/$J$1210)</f>
        <v/>
      </c>
      <c r="L1183" s="6" t="inlineStr">
        <is>
          <t>REJECTED</t>
        </is>
      </c>
      <c r="M1183" s="8" t="n">
        <v>0</v>
      </c>
      <c r="N1183" s="7">
        <f>M1183*$J$1210-J1183</f>
        <v/>
      </c>
      <c r="O1183" s="9">
        <f>IF(G1183=0,0,N1183/G1183)</f>
        <v/>
      </c>
      <c r="P1183" s="6">
        <f>IF(M1183&gt;0,D1183,"")</f>
        <v/>
      </c>
      <c r="Q1183" s="9">
        <f>I1183+O1183</f>
        <v/>
      </c>
      <c r="R1183" s="7">
        <f>Q1183*G1183</f>
        <v/>
      </c>
      <c r="S1183" s="8">
        <f>IF($R$1210=0,0,R1183/$R$1210)</f>
        <v/>
      </c>
      <c r="T1183" s="8" t="n">
        <v>0</v>
      </c>
      <c r="U1183" s="8" t="n">
        <v>-0.01363461106734654</v>
      </c>
      <c r="V1183" s="6" t="inlineStr">
        <is>
          <t>not selected</t>
        </is>
      </c>
    </row>
    <row r="1184">
      <c r="A1184" s="6" t="inlineStr">
        <is>
          <t>DJ30</t>
        </is>
      </c>
      <c r="B1184" s="6" t="inlineStr">
        <is>
          <t>2023-09-29</t>
        </is>
      </c>
      <c r="C1184" s="6" t="inlineStr">
        <is>
          <t>DIA</t>
        </is>
      </c>
      <c r="D1184" s="6" t="inlineStr">
        <is>
          <t>BA</t>
        </is>
      </c>
      <c r="E1184" s="6" t="inlineStr">
        <is>
          <t>BA</t>
        </is>
      </c>
      <c r="F1184" s="6" t="inlineStr">
        <is>
          <t>-</t>
        </is>
      </c>
      <c r="G1184" s="7" t="n">
        <v>191.6799926757812</v>
      </c>
      <c r="H1184" s="6">
        <f>P1153</f>
        <v/>
      </c>
      <c r="I1184" s="9">
        <f>Q1153</f>
        <v/>
      </c>
      <c r="J1184" s="7">
        <f>I1184*G1184</f>
        <v/>
      </c>
      <c r="K1184" s="8">
        <f>IF($J$1210=0,0,J1184/$J$1210)</f>
        <v/>
      </c>
      <c r="L1184" s="6" t="inlineStr">
        <is>
          <t>REJECTED</t>
        </is>
      </c>
      <c r="M1184" s="8" t="n">
        <v>0</v>
      </c>
      <c r="N1184" s="7">
        <f>M1184*$J$1210-J1184</f>
        <v/>
      </c>
      <c r="O1184" s="9">
        <f>IF(G1184=0,0,N1184/G1184)</f>
        <v/>
      </c>
      <c r="P1184" s="6">
        <f>IF(M1184&gt;0,D1184,"")</f>
        <v/>
      </c>
      <c r="Q1184" s="9">
        <f>I1184+O1184</f>
        <v/>
      </c>
      <c r="R1184" s="7">
        <f>Q1184*G1184</f>
        <v/>
      </c>
      <c r="S1184" s="8">
        <f>IF($R$1210=0,0,R1184/$R$1210)</f>
        <v/>
      </c>
      <c r="T1184" s="8" t="n">
        <v>0</v>
      </c>
      <c r="U1184" s="8" t="n">
        <v>-0.01363461106734654</v>
      </c>
      <c r="V1184" s="6" t="inlineStr">
        <is>
          <t>not selected</t>
        </is>
      </c>
    </row>
    <row r="1185">
      <c r="A1185" s="6" t="inlineStr">
        <is>
          <t>DJ30</t>
        </is>
      </c>
      <c r="B1185" s="6" t="inlineStr">
        <is>
          <t>2023-09-29</t>
        </is>
      </c>
      <c r="C1185" s="6" t="inlineStr">
        <is>
          <t>DIA</t>
        </is>
      </c>
      <c r="D1185" s="6" t="inlineStr">
        <is>
          <t>CAT</t>
        </is>
      </c>
      <c r="E1185" s="6" t="inlineStr">
        <is>
          <t>CAT</t>
        </is>
      </c>
      <c r="F1185" s="6" t="inlineStr">
        <is>
          <t>-</t>
        </is>
      </c>
      <c r="G1185" s="7" t="n">
        <v>262.2188110351562</v>
      </c>
      <c r="H1185" s="6">
        <f>P1154</f>
        <v/>
      </c>
      <c r="I1185" s="9">
        <f>Q1154</f>
        <v/>
      </c>
      <c r="J1185" s="7">
        <f>I1185*G1185</f>
        <v/>
      </c>
      <c r="K1185" s="8">
        <f>IF($J$1210=0,0,J1185/$J$1210)</f>
        <v/>
      </c>
      <c r="L1185" s="6" t="inlineStr">
        <is>
          <t>REJECTED</t>
        </is>
      </c>
      <c r="M1185" s="8" t="n">
        <v>0</v>
      </c>
      <c r="N1185" s="7">
        <f>M1185*$J$1210-J1185</f>
        <v/>
      </c>
      <c r="O1185" s="9">
        <f>IF(G1185=0,0,N1185/G1185)</f>
        <v/>
      </c>
      <c r="P1185" s="6">
        <f>IF(M1185&gt;0,D1185,"")</f>
        <v/>
      </c>
      <c r="Q1185" s="9">
        <f>I1185+O1185</f>
        <v/>
      </c>
      <c r="R1185" s="7">
        <f>Q1185*G1185</f>
        <v/>
      </c>
      <c r="S1185" s="8">
        <f>IF($R$1210=0,0,R1185/$R$1210)</f>
        <v/>
      </c>
      <c r="T1185" s="8" t="n">
        <v>0</v>
      </c>
      <c r="U1185" s="8" t="n">
        <v>-0.01363461106734654</v>
      </c>
      <c r="V1185" s="6" t="inlineStr">
        <is>
          <t>not selected</t>
        </is>
      </c>
    </row>
    <row r="1186">
      <c r="A1186" s="6" t="inlineStr">
        <is>
          <t>DJ30</t>
        </is>
      </c>
      <c r="B1186" s="6" t="inlineStr">
        <is>
          <t>2023-09-29</t>
        </is>
      </c>
      <c r="C1186" s="6" t="inlineStr">
        <is>
          <t>DIA</t>
        </is>
      </c>
      <c r="D1186" s="6" t="inlineStr">
        <is>
          <t>CRM</t>
        </is>
      </c>
      <c r="E1186" s="6" t="inlineStr">
        <is>
          <t>CRM</t>
        </is>
      </c>
      <c r="F1186" s="6" t="inlineStr">
        <is>
          <t>-</t>
        </is>
      </c>
      <c r="G1186" s="7" t="n">
        <v>199.3314666748047</v>
      </c>
      <c r="H1186" s="6">
        <f>P1155</f>
        <v/>
      </c>
      <c r="I1186" s="9">
        <f>Q1155</f>
        <v/>
      </c>
      <c r="J1186" s="7">
        <f>I1186*G1186</f>
        <v/>
      </c>
      <c r="K1186" s="8">
        <f>IF($J$1210=0,0,J1186/$J$1210)</f>
        <v/>
      </c>
      <c r="L1186" s="6" t="inlineStr">
        <is>
          <t>REJECTED</t>
        </is>
      </c>
      <c r="M1186" s="8" t="n">
        <v>0</v>
      </c>
      <c r="N1186" s="7">
        <f>M1186*$J$1210-J1186</f>
        <v/>
      </c>
      <c r="O1186" s="9">
        <f>IF(G1186=0,0,N1186/G1186)</f>
        <v/>
      </c>
      <c r="P1186" s="6">
        <f>IF(M1186&gt;0,D1186,"")</f>
        <v/>
      </c>
      <c r="Q1186" s="9">
        <f>I1186+O1186</f>
        <v/>
      </c>
      <c r="R1186" s="7">
        <f>Q1186*G1186</f>
        <v/>
      </c>
      <c r="S1186" s="8">
        <f>IF($R$1210=0,0,R1186/$R$1210)</f>
        <v/>
      </c>
      <c r="T1186" s="8" t="n">
        <v>0</v>
      </c>
      <c r="U1186" s="8" t="n">
        <v>-0.01363461106734654</v>
      </c>
      <c r="V1186" s="6" t="inlineStr">
        <is>
          <t>not selected</t>
        </is>
      </c>
    </row>
    <row r="1187">
      <c r="A1187" s="6" t="inlineStr">
        <is>
          <t>DJ30</t>
        </is>
      </c>
      <c r="B1187" s="6" t="inlineStr">
        <is>
          <t>2023-09-29</t>
        </is>
      </c>
      <c r="C1187" s="6" t="inlineStr">
        <is>
          <t>DIA</t>
        </is>
      </c>
      <c r="D1187" s="6" t="inlineStr">
        <is>
          <t>CSCO</t>
        </is>
      </c>
      <c r="E1187" s="6" t="inlineStr">
        <is>
          <t>CSCO</t>
        </is>
      </c>
      <c r="F1187" s="6" t="inlineStr">
        <is>
          <t>-</t>
        </is>
      </c>
      <c r="G1187" s="7" t="n">
        <v>49.85404205322266</v>
      </c>
      <c r="H1187" s="6">
        <f>P1156</f>
        <v/>
      </c>
      <c r="I1187" s="9">
        <f>Q1156</f>
        <v/>
      </c>
      <c r="J1187" s="7">
        <f>I1187*G1187</f>
        <v/>
      </c>
      <c r="K1187" s="8">
        <f>IF($J$1210=0,0,J1187/$J$1210)</f>
        <v/>
      </c>
      <c r="L1187" s="6" t="inlineStr">
        <is>
          <t>REJECTED</t>
        </is>
      </c>
      <c r="M1187" s="8" t="n">
        <v>0</v>
      </c>
      <c r="N1187" s="7">
        <f>M1187*$J$1210-J1187</f>
        <v/>
      </c>
      <c r="O1187" s="9">
        <f>IF(G1187=0,0,N1187/G1187)</f>
        <v/>
      </c>
      <c r="P1187" s="6">
        <f>IF(M1187&gt;0,D1187,"")</f>
        <v/>
      </c>
      <c r="Q1187" s="9">
        <f>I1187+O1187</f>
        <v/>
      </c>
      <c r="R1187" s="7">
        <f>Q1187*G1187</f>
        <v/>
      </c>
      <c r="S1187" s="8">
        <f>IF($R$1210=0,0,R1187/$R$1210)</f>
        <v/>
      </c>
      <c r="T1187" s="8" t="n">
        <v>0</v>
      </c>
      <c r="U1187" s="8" t="n">
        <v>-0.01363461106734654</v>
      </c>
      <c r="V1187" s="6" t="inlineStr">
        <is>
          <t>not selected</t>
        </is>
      </c>
    </row>
    <row r="1188">
      <c r="A1188" s="6" t="inlineStr">
        <is>
          <t>DJ30</t>
        </is>
      </c>
      <c r="B1188" s="6" t="inlineStr">
        <is>
          <t>2023-09-29</t>
        </is>
      </c>
      <c r="C1188" s="6" t="inlineStr">
        <is>
          <t>DIA</t>
        </is>
      </c>
      <c r="D1188" s="6" t="inlineStr">
        <is>
          <t>CVX</t>
        </is>
      </c>
      <c r="E1188" s="6" t="inlineStr">
        <is>
          <t>CVX</t>
        </is>
      </c>
      <c r="F1188" s="6" t="inlineStr">
        <is>
          <t>-</t>
        </is>
      </c>
      <c r="G1188" s="7" t="n">
        <v>150.0358123779297</v>
      </c>
      <c r="H1188" s="6">
        <f>P1157</f>
        <v/>
      </c>
      <c r="I1188" s="9">
        <f>Q1157</f>
        <v/>
      </c>
      <c r="J1188" s="7">
        <f>I1188*G1188</f>
        <v/>
      </c>
      <c r="K1188" s="8">
        <f>IF($J$1210=0,0,J1188/$J$1210)</f>
        <v/>
      </c>
      <c r="L1188" s="6" t="inlineStr">
        <is>
          <t>REJECTED</t>
        </is>
      </c>
      <c r="M1188" s="8" t="n">
        <v>0</v>
      </c>
      <c r="N1188" s="7">
        <f>M1188*$J$1210-J1188</f>
        <v/>
      </c>
      <c r="O1188" s="9">
        <f>IF(G1188=0,0,N1188/G1188)</f>
        <v/>
      </c>
      <c r="P1188" s="6">
        <f>IF(M1188&gt;0,D1188,"")</f>
        <v/>
      </c>
      <c r="Q1188" s="9">
        <f>I1188+O1188</f>
        <v/>
      </c>
      <c r="R1188" s="7">
        <f>Q1188*G1188</f>
        <v/>
      </c>
      <c r="S1188" s="8">
        <f>IF($R$1210=0,0,R1188/$R$1210)</f>
        <v/>
      </c>
      <c r="T1188" s="8" t="n">
        <v>0</v>
      </c>
      <c r="U1188" s="8" t="n">
        <v>-0.01363461106734654</v>
      </c>
      <c r="V1188" s="6" t="inlineStr">
        <is>
          <t>not selected</t>
        </is>
      </c>
    </row>
    <row r="1189">
      <c r="A1189" s="6" t="inlineStr">
        <is>
          <t>DJ30</t>
        </is>
      </c>
      <c r="B1189" s="6" t="inlineStr">
        <is>
          <t>2023-09-29</t>
        </is>
      </c>
      <c r="C1189" s="6" t="inlineStr">
        <is>
          <t>DIA</t>
        </is>
      </c>
      <c r="D1189" s="6" t="inlineStr">
        <is>
          <t>DIS</t>
        </is>
      </c>
      <c r="E1189" s="6" t="inlineStr">
        <is>
          <t>DIS</t>
        </is>
      </c>
      <c r="F1189" s="6" t="inlineStr">
        <is>
          <t>-</t>
        </is>
      </c>
      <c r="G1189" s="7" t="n">
        <v>79.18523406982422</v>
      </c>
      <c r="H1189" s="6">
        <f>P1158</f>
        <v/>
      </c>
      <c r="I1189" s="9">
        <f>Q1158</f>
        <v/>
      </c>
      <c r="J1189" s="7">
        <f>I1189*G1189</f>
        <v/>
      </c>
      <c r="K1189" s="8">
        <f>IF($J$1210=0,0,J1189/$J$1210)</f>
        <v/>
      </c>
      <c r="L1189" s="6" t="inlineStr">
        <is>
          <t>REJECTED</t>
        </is>
      </c>
      <c r="M1189" s="8" t="n">
        <v>0</v>
      </c>
      <c r="N1189" s="7">
        <f>M1189*$J$1210-J1189</f>
        <v/>
      </c>
      <c r="O1189" s="9">
        <f>IF(G1189=0,0,N1189/G1189)</f>
        <v/>
      </c>
      <c r="P1189" s="6">
        <f>IF(M1189&gt;0,D1189,"")</f>
        <v/>
      </c>
      <c r="Q1189" s="9">
        <f>I1189+O1189</f>
        <v/>
      </c>
      <c r="R1189" s="7">
        <f>Q1189*G1189</f>
        <v/>
      </c>
      <c r="S1189" s="8">
        <f>IF($R$1210=0,0,R1189/$R$1210)</f>
        <v/>
      </c>
      <c r="T1189" s="8" t="n">
        <v>0</v>
      </c>
      <c r="U1189" s="8" t="n">
        <v>-0.01363461106734654</v>
      </c>
      <c r="V1189" s="6" t="inlineStr">
        <is>
          <t>not selected</t>
        </is>
      </c>
    </row>
    <row r="1190">
      <c r="A1190" s="6" t="inlineStr">
        <is>
          <t>DJ30</t>
        </is>
      </c>
      <c r="B1190" s="6" t="inlineStr">
        <is>
          <t>2023-09-29</t>
        </is>
      </c>
      <c r="C1190" s="6" t="inlineStr">
        <is>
          <t>DIA</t>
        </is>
      </c>
      <c r="D1190" s="6" t="inlineStr">
        <is>
          <t>GS</t>
        </is>
      </c>
      <c r="E1190" s="6" t="inlineStr">
        <is>
          <t>GS</t>
        </is>
      </c>
      <c r="F1190" s="6" t="inlineStr">
        <is>
          <t>-</t>
        </is>
      </c>
      <c r="G1190" s="7" t="n">
        <v>304.1293334960937</v>
      </c>
      <c r="H1190" s="6">
        <f>P1159</f>
        <v/>
      </c>
      <c r="I1190" s="9">
        <f>Q1159</f>
        <v/>
      </c>
      <c r="J1190" s="7">
        <f>I1190*G1190</f>
        <v/>
      </c>
      <c r="K1190" s="8">
        <f>IF($J$1210=0,0,J1190/$J$1210)</f>
        <v/>
      </c>
      <c r="L1190" s="6" t="inlineStr">
        <is>
          <t>REJECTED</t>
        </is>
      </c>
      <c r="M1190" s="8" t="n">
        <v>0</v>
      </c>
      <c r="N1190" s="7">
        <f>M1190*$J$1210-J1190</f>
        <v/>
      </c>
      <c r="O1190" s="9">
        <f>IF(G1190=0,0,N1190/G1190)</f>
        <v/>
      </c>
      <c r="P1190" s="6">
        <f>IF(M1190&gt;0,D1190,"")</f>
        <v/>
      </c>
      <c r="Q1190" s="9">
        <f>I1190+O1190</f>
        <v/>
      </c>
      <c r="R1190" s="7">
        <f>Q1190*G1190</f>
        <v/>
      </c>
      <c r="S1190" s="8">
        <f>IF($R$1210=0,0,R1190/$R$1210)</f>
        <v/>
      </c>
      <c r="T1190" s="8" t="n">
        <v>0</v>
      </c>
      <c r="U1190" s="8" t="n">
        <v>-0.01363461106734654</v>
      </c>
      <c r="V1190" s="6" t="inlineStr">
        <is>
          <t>not selected</t>
        </is>
      </c>
    </row>
    <row r="1191">
      <c r="A1191" s="6" t="inlineStr">
        <is>
          <t>DJ30</t>
        </is>
      </c>
      <c r="B1191" s="6" t="inlineStr">
        <is>
          <t>2023-09-29</t>
        </is>
      </c>
      <c r="C1191" s="6" t="inlineStr">
        <is>
          <t>DIA</t>
        </is>
      </c>
      <c r="D1191" s="6" t="inlineStr">
        <is>
          <t>HD</t>
        </is>
      </c>
      <c r="E1191" s="6" t="inlineStr">
        <is>
          <t>HD</t>
        </is>
      </c>
      <c r="F1191" s="6" t="inlineStr">
        <is>
          <t>-</t>
        </is>
      </c>
      <c r="G1191" s="7" t="n">
        <v>281.8300170898437</v>
      </c>
      <c r="H1191" s="6">
        <f>P1160</f>
        <v/>
      </c>
      <c r="I1191" s="9">
        <f>Q1160</f>
        <v/>
      </c>
      <c r="J1191" s="7">
        <f>I1191*G1191</f>
        <v/>
      </c>
      <c r="K1191" s="8">
        <f>IF($J$1210=0,0,J1191/$J$1210)</f>
        <v/>
      </c>
      <c r="L1191" s="6" t="inlineStr">
        <is>
          <t>REJECTED</t>
        </is>
      </c>
      <c r="M1191" s="8" t="n">
        <v>0</v>
      </c>
      <c r="N1191" s="7">
        <f>M1191*$J$1210-J1191</f>
        <v/>
      </c>
      <c r="O1191" s="9">
        <f>IF(G1191=0,0,N1191/G1191)</f>
        <v/>
      </c>
      <c r="P1191" s="6">
        <f>IF(M1191&gt;0,D1191,"")</f>
        <v/>
      </c>
      <c r="Q1191" s="9">
        <f>I1191+O1191</f>
        <v/>
      </c>
      <c r="R1191" s="7">
        <f>Q1191*G1191</f>
        <v/>
      </c>
      <c r="S1191" s="8">
        <f>IF($R$1210=0,0,R1191/$R$1210)</f>
        <v/>
      </c>
      <c r="T1191" s="8" t="n">
        <v>0</v>
      </c>
      <c r="U1191" s="8" t="n">
        <v>-0.01363461106734654</v>
      </c>
      <c r="V1191" s="6" t="inlineStr">
        <is>
          <t>not selected</t>
        </is>
      </c>
    </row>
    <row r="1192">
      <c r="A1192" s="6" t="inlineStr">
        <is>
          <t>DJ30</t>
        </is>
      </c>
      <c r="B1192" s="6" t="inlineStr">
        <is>
          <t>2023-09-29</t>
        </is>
      </c>
      <c r="C1192" s="6" t="inlineStr">
        <is>
          <t>DIA</t>
        </is>
      </c>
      <c r="D1192" s="6" t="inlineStr">
        <is>
          <t>HON</t>
        </is>
      </c>
      <c r="E1192" s="6" t="inlineStr">
        <is>
          <t>HON</t>
        </is>
      </c>
      <c r="F1192" s="6" t="inlineStr">
        <is>
          <t>-</t>
        </is>
      </c>
      <c r="G1192" s="7" t="n">
        <v>164.1383819580078</v>
      </c>
      <c r="H1192" s="6">
        <f>P1161</f>
        <v/>
      </c>
      <c r="I1192" s="9">
        <f>Q1161</f>
        <v/>
      </c>
      <c r="J1192" s="7">
        <f>I1192*G1192</f>
        <v/>
      </c>
      <c r="K1192" s="8">
        <f>IF($J$1210=0,0,J1192/$J$1210)</f>
        <v/>
      </c>
      <c r="L1192" s="6" t="inlineStr">
        <is>
          <t>REJECTED</t>
        </is>
      </c>
      <c r="M1192" s="8" t="n">
        <v>0</v>
      </c>
      <c r="N1192" s="7">
        <f>M1192*$J$1210-J1192</f>
        <v/>
      </c>
      <c r="O1192" s="9">
        <f>IF(G1192=0,0,N1192/G1192)</f>
        <v/>
      </c>
      <c r="P1192" s="6">
        <f>IF(M1192&gt;0,D1192,"")</f>
        <v/>
      </c>
      <c r="Q1192" s="9">
        <f>I1192+O1192</f>
        <v/>
      </c>
      <c r="R1192" s="7">
        <f>Q1192*G1192</f>
        <v/>
      </c>
      <c r="S1192" s="8">
        <f>IF($R$1210=0,0,R1192/$R$1210)</f>
        <v/>
      </c>
      <c r="T1192" s="8" t="n">
        <v>0</v>
      </c>
      <c r="U1192" s="8" t="n">
        <v>-0.01363461106734654</v>
      </c>
      <c r="V1192" s="6" t="inlineStr">
        <is>
          <t>not selected</t>
        </is>
      </c>
    </row>
    <row r="1193">
      <c r="A1193" s="6" t="inlineStr">
        <is>
          <t>DJ30</t>
        </is>
      </c>
      <c r="B1193" s="6" t="inlineStr">
        <is>
          <t>2023-09-29</t>
        </is>
      </c>
      <c r="C1193" s="6" t="inlineStr">
        <is>
          <t>DIA</t>
        </is>
      </c>
      <c r="D1193" s="6" t="inlineStr">
        <is>
          <t>IBM</t>
        </is>
      </c>
      <c r="E1193" s="6" t="inlineStr">
        <is>
          <t>IBM</t>
        </is>
      </c>
      <c r="F1193" s="6" t="inlineStr">
        <is>
          <t>-</t>
        </is>
      </c>
      <c r="G1193" s="7" t="n">
        <v>128.8264312744141</v>
      </c>
      <c r="H1193" s="6">
        <f>P1162</f>
        <v/>
      </c>
      <c r="I1193" s="9">
        <f>Q1162</f>
        <v/>
      </c>
      <c r="J1193" s="7">
        <f>I1193*G1193</f>
        <v/>
      </c>
      <c r="K1193" s="8">
        <f>IF($J$1210=0,0,J1193/$J$1210)</f>
        <v/>
      </c>
      <c r="L1193" s="6" t="inlineStr">
        <is>
          <t>REJECTED</t>
        </is>
      </c>
      <c r="M1193" s="8" t="n">
        <v>0</v>
      </c>
      <c r="N1193" s="7">
        <f>M1193*$J$1210-J1193</f>
        <v/>
      </c>
      <c r="O1193" s="9">
        <f>IF(G1193=0,0,N1193/G1193)</f>
        <v/>
      </c>
      <c r="P1193" s="6">
        <f>IF(M1193&gt;0,D1193,"")</f>
        <v/>
      </c>
      <c r="Q1193" s="9">
        <f>I1193+O1193</f>
        <v/>
      </c>
      <c r="R1193" s="7">
        <f>Q1193*G1193</f>
        <v/>
      </c>
      <c r="S1193" s="8">
        <f>IF($R$1210=0,0,R1193/$R$1210)</f>
        <v/>
      </c>
      <c r="T1193" s="8" t="n">
        <v>0</v>
      </c>
      <c r="U1193" s="8" t="n">
        <v>-0.01363461106734654</v>
      </c>
      <c r="V1193" s="6" t="inlineStr">
        <is>
          <t>not selected</t>
        </is>
      </c>
    </row>
    <row r="1194">
      <c r="A1194" s="6" t="inlineStr">
        <is>
          <t>DJ30</t>
        </is>
      </c>
      <c r="B1194" s="6" t="inlineStr">
        <is>
          <t>2023-09-29</t>
        </is>
      </c>
      <c r="C1194" s="6" t="inlineStr">
        <is>
          <t>DIA</t>
        </is>
      </c>
      <c r="D1194" s="6" t="inlineStr">
        <is>
          <t>JNJ</t>
        </is>
      </c>
      <c r="E1194" s="6" t="inlineStr">
        <is>
          <t>JNJ</t>
        </is>
      </c>
      <c r="F1194" s="6" t="inlineStr">
        <is>
          <t>-</t>
        </is>
      </c>
      <c r="G1194" s="7" t="n">
        <v>143.7275695800781</v>
      </c>
      <c r="H1194" s="6">
        <f>P1163</f>
        <v/>
      </c>
      <c r="I1194" s="9">
        <f>Q1163</f>
        <v/>
      </c>
      <c r="J1194" s="7">
        <f>I1194*G1194</f>
        <v/>
      </c>
      <c r="K1194" s="8">
        <f>IF($J$1210=0,0,J1194/$J$1210)</f>
        <v/>
      </c>
      <c r="L1194" s="6" t="inlineStr">
        <is>
          <t>REJECTED</t>
        </is>
      </c>
      <c r="M1194" s="8" t="n">
        <v>0</v>
      </c>
      <c r="N1194" s="7">
        <f>M1194*$J$1210-J1194</f>
        <v/>
      </c>
      <c r="O1194" s="9">
        <f>IF(G1194=0,0,N1194/G1194)</f>
        <v/>
      </c>
      <c r="P1194" s="6">
        <f>IF(M1194&gt;0,D1194,"")</f>
        <v/>
      </c>
      <c r="Q1194" s="9">
        <f>I1194+O1194</f>
        <v/>
      </c>
      <c r="R1194" s="7">
        <f>Q1194*G1194</f>
        <v/>
      </c>
      <c r="S1194" s="8">
        <f>IF($R$1210=0,0,R1194/$R$1210)</f>
        <v/>
      </c>
      <c r="T1194" s="8" t="n">
        <v>0</v>
      </c>
      <c r="U1194" s="8" t="n">
        <v>-0.01363461106734654</v>
      </c>
      <c r="V1194" s="6" t="inlineStr">
        <is>
          <t>not selected</t>
        </is>
      </c>
    </row>
    <row r="1195">
      <c r="A1195" s="6" t="inlineStr">
        <is>
          <t>DJ30</t>
        </is>
      </c>
      <c r="B1195" s="6" t="inlineStr">
        <is>
          <t>2023-09-29</t>
        </is>
      </c>
      <c r="C1195" s="6" t="inlineStr">
        <is>
          <t>DIA</t>
        </is>
      </c>
      <c r="D1195" s="6" t="inlineStr">
        <is>
          <t>JPM</t>
        </is>
      </c>
      <c r="E1195" s="6" t="inlineStr">
        <is>
          <t>JPM</t>
        </is>
      </c>
      <c r="F1195" s="6" t="inlineStr">
        <is>
          <t>-</t>
        </is>
      </c>
      <c r="G1195" s="7" t="n">
        <v>136.3694763183594</v>
      </c>
      <c r="H1195" s="6">
        <f>P1164</f>
        <v/>
      </c>
      <c r="I1195" s="9">
        <f>Q1164</f>
        <v/>
      </c>
      <c r="J1195" s="7">
        <f>I1195*G1195</f>
        <v/>
      </c>
      <c r="K1195" s="8">
        <f>IF($J$1210=0,0,J1195/$J$1210)</f>
        <v/>
      </c>
      <c r="L1195" s="6" t="inlineStr">
        <is>
          <t>REJECTED</t>
        </is>
      </c>
      <c r="M1195" s="8" t="n">
        <v>0</v>
      </c>
      <c r="N1195" s="7">
        <f>M1195*$J$1210-J1195</f>
        <v/>
      </c>
      <c r="O1195" s="9">
        <f>IF(G1195=0,0,N1195/G1195)</f>
        <v/>
      </c>
      <c r="P1195" s="6">
        <f>IF(M1195&gt;0,D1195,"")</f>
        <v/>
      </c>
      <c r="Q1195" s="9">
        <f>I1195+O1195</f>
        <v/>
      </c>
      <c r="R1195" s="7">
        <f>Q1195*G1195</f>
        <v/>
      </c>
      <c r="S1195" s="8">
        <f>IF($R$1210=0,0,R1195/$R$1210)</f>
        <v/>
      </c>
      <c r="T1195" s="8" t="n">
        <v>0</v>
      </c>
      <c r="U1195" s="8" t="n">
        <v>-0.01363461106734654</v>
      </c>
      <c r="V1195" s="6" t="inlineStr">
        <is>
          <t>not selected</t>
        </is>
      </c>
    </row>
    <row r="1196">
      <c r="A1196" s="6" t="inlineStr">
        <is>
          <t>DJ30</t>
        </is>
      </c>
      <c r="B1196" s="6" t="inlineStr">
        <is>
          <t>2023-09-29</t>
        </is>
      </c>
      <c r="C1196" s="6" t="inlineStr">
        <is>
          <t>DIA</t>
        </is>
      </c>
      <c r="D1196" s="6" t="inlineStr">
        <is>
          <t>KO</t>
        </is>
      </c>
      <c r="E1196" s="6" t="inlineStr">
        <is>
          <t>KO</t>
        </is>
      </c>
      <c r="F1196" s="6" t="inlineStr">
        <is>
          <t>-</t>
        </is>
      </c>
      <c r="G1196" s="7" t="n">
        <v>51.65642166137695</v>
      </c>
      <c r="H1196" s="6">
        <f>P1165</f>
        <v/>
      </c>
      <c r="I1196" s="9">
        <f>Q1165</f>
        <v/>
      </c>
      <c r="J1196" s="7">
        <f>I1196*G1196</f>
        <v/>
      </c>
      <c r="K1196" s="8">
        <f>IF($J$1210=0,0,J1196/$J$1210)</f>
        <v/>
      </c>
      <c r="L1196" s="6" t="inlineStr">
        <is>
          <t>REJECTED</t>
        </is>
      </c>
      <c r="M1196" s="8" t="n">
        <v>0</v>
      </c>
      <c r="N1196" s="7">
        <f>M1196*$J$1210-J1196</f>
        <v/>
      </c>
      <c r="O1196" s="9">
        <f>IF(G1196=0,0,N1196/G1196)</f>
        <v/>
      </c>
      <c r="P1196" s="6">
        <f>IF(M1196&gt;0,D1196,"")</f>
        <v/>
      </c>
      <c r="Q1196" s="9">
        <f>I1196+O1196</f>
        <v/>
      </c>
      <c r="R1196" s="7">
        <f>Q1196*G1196</f>
        <v/>
      </c>
      <c r="S1196" s="8">
        <f>IF($R$1210=0,0,R1196/$R$1210)</f>
        <v/>
      </c>
      <c r="T1196" s="8" t="n">
        <v>0</v>
      </c>
      <c r="U1196" s="8" t="n">
        <v>-0.01363461106734654</v>
      </c>
      <c r="V1196" s="6" t="inlineStr">
        <is>
          <t>not selected</t>
        </is>
      </c>
    </row>
    <row r="1197">
      <c r="A1197" s="6" t="inlineStr">
        <is>
          <t>DJ30</t>
        </is>
      </c>
      <c r="B1197" s="6" t="inlineStr">
        <is>
          <t>2023-09-29</t>
        </is>
      </c>
      <c r="C1197" s="6" t="inlineStr">
        <is>
          <t>DIA</t>
        </is>
      </c>
      <c r="D1197" s="6" t="inlineStr">
        <is>
          <t>MCD</t>
        </is>
      </c>
      <c r="E1197" s="6" t="inlineStr">
        <is>
          <t>MCD</t>
        </is>
      </c>
      <c r="F1197" s="6" t="inlineStr">
        <is>
          <t>-</t>
        </is>
      </c>
      <c r="G1197" s="7" t="n">
        <v>246.7857055664062</v>
      </c>
      <c r="H1197" s="6">
        <f>P1166</f>
        <v/>
      </c>
      <c r="I1197" s="9">
        <f>Q1166</f>
        <v/>
      </c>
      <c r="J1197" s="7">
        <f>I1197*G1197</f>
        <v/>
      </c>
      <c r="K1197" s="8">
        <f>IF($J$1210=0,0,J1197/$J$1210)</f>
        <v/>
      </c>
      <c r="L1197" s="6" t="inlineStr">
        <is>
          <t>REJECTED</t>
        </is>
      </c>
      <c r="M1197" s="8" t="n">
        <v>0</v>
      </c>
      <c r="N1197" s="7">
        <f>M1197*$J$1210-J1197</f>
        <v/>
      </c>
      <c r="O1197" s="9">
        <f>IF(G1197=0,0,N1197/G1197)</f>
        <v/>
      </c>
      <c r="P1197" s="6">
        <f>IF(M1197&gt;0,D1197,"")</f>
        <v/>
      </c>
      <c r="Q1197" s="9">
        <f>I1197+O1197</f>
        <v/>
      </c>
      <c r="R1197" s="7">
        <f>Q1197*G1197</f>
        <v/>
      </c>
      <c r="S1197" s="8">
        <f>IF($R$1210=0,0,R1197/$R$1210)</f>
        <v/>
      </c>
      <c r="T1197" s="8" t="n">
        <v>0</v>
      </c>
      <c r="U1197" s="8" t="n">
        <v>-0.01363461106734654</v>
      </c>
      <c r="V1197" s="6" t="inlineStr">
        <is>
          <t>not selected</t>
        </is>
      </c>
    </row>
    <row r="1198">
      <c r="A1198" s="6" t="inlineStr">
        <is>
          <t>DJ30</t>
        </is>
      </c>
      <c r="B1198" s="6" t="inlineStr">
        <is>
          <t>2023-09-29</t>
        </is>
      </c>
      <c r="C1198" s="6" t="inlineStr">
        <is>
          <t>DIA</t>
        </is>
      </c>
      <c r="D1198" s="6" t="inlineStr">
        <is>
          <t>MMM</t>
        </is>
      </c>
      <c r="E1198" s="6" t="inlineStr">
        <is>
          <t>MMM</t>
        </is>
      </c>
      <c r="F1198" s="6" t="inlineStr">
        <is>
          <t>-</t>
        </is>
      </c>
      <c r="G1198" s="7" t="n">
        <v>72.40192413330078</v>
      </c>
      <c r="H1198" s="6">
        <f>P1167</f>
        <v/>
      </c>
      <c r="I1198" s="9">
        <f>Q1167</f>
        <v/>
      </c>
      <c r="J1198" s="7">
        <f>I1198*G1198</f>
        <v/>
      </c>
      <c r="K1198" s="8">
        <f>IF($J$1210=0,0,J1198/$J$1210)</f>
        <v/>
      </c>
      <c r="L1198" s="6" t="inlineStr">
        <is>
          <t>REJECTED</t>
        </is>
      </c>
      <c r="M1198" s="8" t="n">
        <v>0</v>
      </c>
      <c r="N1198" s="7">
        <f>M1198*$J$1210-J1198</f>
        <v/>
      </c>
      <c r="O1198" s="9">
        <f>IF(G1198=0,0,N1198/G1198)</f>
        <v/>
      </c>
      <c r="P1198" s="6">
        <f>IF(M1198&gt;0,D1198,"")</f>
        <v/>
      </c>
      <c r="Q1198" s="9">
        <f>I1198+O1198</f>
        <v/>
      </c>
      <c r="R1198" s="7">
        <f>Q1198*G1198</f>
        <v/>
      </c>
      <c r="S1198" s="8">
        <f>IF($R$1210=0,0,R1198/$R$1210)</f>
        <v/>
      </c>
      <c r="T1198" s="8" t="n">
        <v>0</v>
      </c>
      <c r="U1198" s="8" t="n">
        <v>-0.01363461106734654</v>
      </c>
      <c r="V1198" s="6" t="inlineStr">
        <is>
          <t>not selected</t>
        </is>
      </c>
    </row>
    <row r="1199">
      <c r="A1199" s="6" t="inlineStr">
        <is>
          <t>DJ30</t>
        </is>
      </c>
      <c r="B1199" s="6" t="inlineStr">
        <is>
          <t>2023-09-29</t>
        </is>
      </c>
      <c r="C1199" s="6" t="inlineStr">
        <is>
          <t>DIA</t>
        </is>
      </c>
      <c r="D1199" s="6" t="inlineStr">
        <is>
          <t>MRK</t>
        </is>
      </c>
      <c r="E1199" s="6" t="inlineStr">
        <is>
          <t>MRK</t>
        </is>
      </c>
      <c r="F1199" s="6" t="inlineStr">
        <is>
          <t>-</t>
        </is>
      </c>
      <c r="G1199" s="7" t="n">
        <v>94.5047607421875</v>
      </c>
      <c r="H1199" s="6">
        <f>P1168</f>
        <v/>
      </c>
      <c r="I1199" s="9">
        <f>Q1168</f>
        <v/>
      </c>
      <c r="J1199" s="7">
        <f>I1199*G1199</f>
        <v/>
      </c>
      <c r="K1199" s="8">
        <f>IF($J$1210=0,0,J1199/$J$1210)</f>
        <v/>
      </c>
      <c r="L1199" s="6" t="inlineStr">
        <is>
          <t>REJECTED</t>
        </is>
      </c>
      <c r="M1199" s="8" t="n">
        <v>0</v>
      </c>
      <c r="N1199" s="7">
        <f>M1199*$J$1210-J1199</f>
        <v/>
      </c>
      <c r="O1199" s="9">
        <f>IF(G1199=0,0,N1199/G1199)</f>
        <v/>
      </c>
      <c r="P1199" s="6">
        <f>IF(M1199&gt;0,D1199,"")</f>
        <v/>
      </c>
      <c r="Q1199" s="9">
        <f>I1199+O1199</f>
        <v/>
      </c>
      <c r="R1199" s="7">
        <f>Q1199*G1199</f>
        <v/>
      </c>
      <c r="S1199" s="8">
        <f>IF($R$1210=0,0,R1199/$R$1210)</f>
        <v/>
      </c>
      <c r="T1199" s="8" t="n">
        <v>0</v>
      </c>
      <c r="U1199" s="8" t="n">
        <v>-0.01363461106734654</v>
      </c>
      <c r="V1199" s="6" t="inlineStr">
        <is>
          <t>not selected</t>
        </is>
      </c>
    </row>
    <row r="1200">
      <c r="A1200" s="6" t="inlineStr">
        <is>
          <t>DJ30</t>
        </is>
      </c>
      <c r="B1200" s="6" t="inlineStr">
        <is>
          <t>2023-09-29</t>
        </is>
      </c>
      <c r="C1200" s="6" t="inlineStr">
        <is>
          <t>DIA</t>
        </is>
      </c>
      <c r="D1200" s="6" t="inlineStr">
        <is>
          <t>MSFT</t>
        </is>
      </c>
      <c r="E1200" s="6" t="inlineStr">
        <is>
          <t>MSFT</t>
        </is>
      </c>
      <c r="F1200" s="6" t="inlineStr">
        <is>
          <t>-</t>
        </is>
      </c>
      <c r="G1200" s="7" t="n">
        <v>309.1047058105469</v>
      </c>
      <c r="H1200" s="6">
        <f>P1169</f>
        <v/>
      </c>
      <c r="I1200" s="9">
        <f>Q1169</f>
        <v/>
      </c>
      <c r="J1200" s="7">
        <f>I1200*G1200</f>
        <v/>
      </c>
      <c r="K1200" s="8">
        <f>IF($J$1210=0,0,J1200/$J$1210)</f>
        <v/>
      </c>
      <c r="L1200" s="6" t="inlineStr">
        <is>
          <t>REJECTED</t>
        </is>
      </c>
      <c r="M1200" s="8" t="n">
        <v>0</v>
      </c>
      <c r="N1200" s="7">
        <f>M1200*$J$1210-J1200</f>
        <v/>
      </c>
      <c r="O1200" s="9">
        <f>IF(G1200=0,0,N1200/G1200)</f>
        <v/>
      </c>
      <c r="P1200" s="6">
        <f>IF(M1200&gt;0,D1200,"")</f>
        <v/>
      </c>
      <c r="Q1200" s="9">
        <f>I1200+O1200</f>
        <v/>
      </c>
      <c r="R1200" s="7">
        <f>Q1200*G1200</f>
        <v/>
      </c>
      <c r="S1200" s="8">
        <f>IF($R$1210=0,0,R1200/$R$1210)</f>
        <v/>
      </c>
      <c r="T1200" s="8" t="n">
        <v>0</v>
      </c>
      <c r="U1200" s="8" t="n">
        <v>-0.01363461106734654</v>
      </c>
      <c r="V1200" s="6" t="inlineStr">
        <is>
          <t>not selected</t>
        </is>
      </c>
    </row>
    <row r="1201">
      <c r="A1201" s="6" t="inlineStr">
        <is>
          <t>DJ30</t>
        </is>
      </c>
      <c r="B1201" s="6" t="inlineStr">
        <is>
          <t>2023-09-29</t>
        </is>
      </c>
      <c r="C1201" s="6" t="inlineStr">
        <is>
          <t>DIA</t>
        </is>
      </c>
      <c r="D1201" s="6" t="inlineStr">
        <is>
          <t>NKE</t>
        </is>
      </c>
      <c r="E1201" s="6" t="inlineStr">
        <is>
          <t>NKE</t>
        </is>
      </c>
      <c r="F1201" s="6" t="inlineStr">
        <is>
          <t>-</t>
        </is>
      </c>
      <c r="G1201" s="7" t="n">
        <v>90.1314697265625</v>
      </c>
      <c r="H1201" s="6">
        <f>P1170</f>
        <v/>
      </c>
      <c r="I1201" s="9">
        <f>Q1170</f>
        <v/>
      </c>
      <c r="J1201" s="7">
        <f>I1201*G1201</f>
        <v/>
      </c>
      <c r="K1201" s="8">
        <f>IF($J$1210=0,0,J1201/$J$1210)</f>
        <v/>
      </c>
      <c r="L1201" s="6" t="inlineStr">
        <is>
          <t>REJECTED</t>
        </is>
      </c>
      <c r="M1201" s="8" t="n">
        <v>0</v>
      </c>
      <c r="N1201" s="7">
        <f>M1201*$J$1210-J1201</f>
        <v/>
      </c>
      <c r="O1201" s="9">
        <f>IF(G1201=0,0,N1201/G1201)</f>
        <v/>
      </c>
      <c r="P1201" s="6">
        <f>IF(M1201&gt;0,D1201,"")</f>
        <v/>
      </c>
      <c r="Q1201" s="9">
        <f>I1201+O1201</f>
        <v/>
      </c>
      <c r="R1201" s="7">
        <f>Q1201*G1201</f>
        <v/>
      </c>
      <c r="S1201" s="8">
        <f>IF($R$1210=0,0,R1201/$R$1210)</f>
        <v/>
      </c>
      <c r="T1201" s="8" t="n">
        <v>0</v>
      </c>
      <c r="U1201" s="8" t="n">
        <v>-0.01363461106734654</v>
      </c>
      <c r="V1201" s="6" t="inlineStr">
        <is>
          <t>not selected</t>
        </is>
      </c>
    </row>
    <row r="1202">
      <c r="A1202" s="6" t="inlineStr">
        <is>
          <t>DJ30</t>
        </is>
      </c>
      <c r="B1202" s="6" t="inlineStr">
        <is>
          <t>2023-09-29</t>
        </is>
      </c>
      <c r="C1202" s="6" t="inlineStr">
        <is>
          <t>DIA</t>
        </is>
      </c>
      <c r="D1202" s="6" t="inlineStr">
        <is>
          <t>NVDA</t>
        </is>
      </c>
      <c r="E1202" s="6" t="inlineStr">
        <is>
          <t>NVDA</t>
        </is>
      </c>
      <c r="F1202" s="6" t="inlineStr">
        <is>
          <t>-</t>
        </is>
      </c>
      <c r="G1202" s="7" t="n">
        <v>43.41800308227539</v>
      </c>
      <c r="H1202" s="6">
        <f>P1171</f>
        <v/>
      </c>
      <c r="I1202" s="9">
        <f>Q1171</f>
        <v/>
      </c>
      <c r="J1202" s="7">
        <f>I1202*G1202</f>
        <v/>
      </c>
      <c r="K1202" s="8">
        <f>IF($J$1210=0,0,J1202/$J$1210)</f>
        <v/>
      </c>
      <c r="L1202" s="6" t="inlineStr">
        <is>
          <t>REJECTED</t>
        </is>
      </c>
      <c r="M1202" s="8" t="n">
        <v>0</v>
      </c>
      <c r="N1202" s="7">
        <f>M1202*$J$1210-J1202</f>
        <v/>
      </c>
      <c r="O1202" s="9">
        <f>IF(G1202=0,0,N1202/G1202)</f>
        <v/>
      </c>
      <c r="P1202" s="6">
        <f>IF(M1202&gt;0,D1202,"")</f>
        <v/>
      </c>
      <c r="Q1202" s="9">
        <f>I1202+O1202</f>
        <v/>
      </c>
      <c r="R1202" s="7">
        <f>Q1202*G1202</f>
        <v/>
      </c>
      <c r="S1202" s="8">
        <f>IF($R$1210=0,0,R1202/$R$1210)</f>
        <v/>
      </c>
      <c r="T1202" s="8" t="n">
        <v>0</v>
      </c>
      <c r="U1202" s="8" t="n">
        <v>-0.01363461106734654</v>
      </c>
      <c r="V1202" s="6" t="inlineStr">
        <is>
          <t>not selected</t>
        </is>
      </c>
    </row>
    <row r="1203">
      <c r="A1203" s="6" t="inlineStr">
        <is>
          <t>DJ30</t>
        </is>
      </c>
      <c r="B1203" s="6" t="inlineStr">
        <is>
          <t>2023-09-29</t>
        </is>
      </c>
      <c r="C1203" s="6" t="inlineStr">
        <is>
          <t>DIA</t>
        </is>
      </c>
      <c r="D1203" s="6" t="inlineStr">
        <is>
          <t>PG</t>
        </is>
      </c>
      <c r="E1203" s="6" t="inlineStr">
        <is>
          <t>PG</t>
        </is>
      </c>
      <c r="F1203" s="6" t="inlineStr">
        <is>
          <t>-</t>
        </is>
      </c>
      <c r="G1203" s="7" t="n">
        <v>135.7902069091797</v>
      </c>
      <c r="H1203" s="6">
        <f>P1172</f>
        <v/>
      </c>
      <c r="I1203" s="9">
        <f>Q1172</f>
        <v/>
      </c>
      <c r="J1203" s="7">
        <f>I1203*G1203</f>
        <v/>
      </c>
      <c r="K1203" s="8">
        <f>IF($J$1210=0,0,J1203/$J$1210)</f>
        <v/>
      </c>
      <c r="L1203" s="6" t="inlineStr">
        <is>
          <t>REJECTED</t>
        </is>
      </c>
      <c r="M1203" s="8" t="n">
        <v>0</v>
      </c>
      <c r="N1203" s="7">
        <f>M1203*$J$1210-J1203</f>
        <v/>
      </c>
      <c r="O1203" s="9">
        <f>IF(G1203=0,0,N1203/G1203)</f>
        <v/>
      </c>
      <c r="P1203" s="6">
        <f>IF(M1203&gt;0,D1203,"")</f>
        <v/>
      </c>
      <c r="Q1203" s="9">
        <f>I1203+O1203</f>
        <v/>
      </c>
      <c r="R1203" s="7">
        <f>Q1203*G1203</f>
        <v/>
      </c>
      <c r="S1203" s="8">
        <f>IF($R$1210=0,0,R1203/$R$1210)</f>
        <v/>
      </c>
      <c r="T1203" s="8" t="n">
        <v>0</v>
      </c>
      <c r="U1203" s="8" t="n">
        <v>-0.01363461106734654</v>
      </c>
      <c r="V1203" s="6" t="inlineStr">
        <is>
          <t>not selected</t>
        </is>
      </c>
    </row>
    <row r="1204">
      <c r="A1204" s="6" t="inlineStr">
        <is>
          <t>DJ30</t>
        </is>
      </c>
      <c r="B1204" s="6" t="inlineStr">
        <is>
          <t>2023-09-29</t>
        </is>
      </c>
      <c r="C1204" s="6" t="inlineStr">
        <is>
          <t>DIA</t>
        </is>
      </c>
      <c r="D1204" s="6" t="inlineStr">
        <is>
          <t>SHW</t>
        </is>
      </c>
      <c r="E1204" s="6" t="inlineStr">
        <is>
          <t>SHW</t>
        </is>
      </c>
      <c r="F1204" s="6" t="inlineStr">
        <is>
          <t>-</t>
        </is>
      </c>
      <c r="G1204" s="7" t="n">
        <v>248.9270935058593</v>
      </c>
      <c r="H1204" s="6">
        <f>P1173</f>
        <v/>
      </c>
      <c r="I1204" s="9">
        <f>Q1173</f>
        <v/>
      </c>
      <c r="J1204" s="7">
        <f>I1204*G1204</f>
        <v/>
      </c>
      <c r="K1204" s="8">
        <f>IF($J$1210=0,0,J1204/$J$1210)</f>
        <v/>
      </c>
      <c r="L1204" s="6" t="inlineStr">
        <is>
          <t>REJECTED</t>
        </is>
      </c>
      <c r="M1204" s="8" t="n">
        <v>0</v>
      </c>
      <c r="N1204" s="7">
        <f>M1204*$J$1210-J1204</f>
        <v/>
      </c>
      <c r="O1204" s="9">
        <f>IF(G1204=0,0,N1204/G1204)</f>
        <v/>
      </c>
      <c r="P1204" s="6">
        <f>IF(M1204&gt;0,D1204,"")</f>
        <v/>
      </c>
      <c r="Q1204" s="9">
        <f>I1204+O1204</f>
        <v/>
      </c>
      <c r="R1204" s="7">
        <f>Q1204*G1204</f>
        <v/>
      </c>
      <c r="S1204" s="8">
        <f>IF($R$1210=0,0,R1204/$R$1210)</f>
        <v/>
      </c>
      <c r="T1204" s="8" t="n">
        <v>0</v>
      </c>
      <c r="U1204" s="8" t="n">
        <v>-0.01363461106734654</v>
      </c>
      <c r="V1204" s="6" t="inlineStr">
        <is>
          <t>not selected</t>
        </is>
      </c>
    </row>
    <row r="1205">
      <c r="A1205" s="6" t="inlineStr">
        <is>
          <t>DJ30</t>
        </is>
      </c>
      <c r="B1205" s="6" t="inlineStr">
        <is>
          <t>2023-09-29</t>
        </is>
      </c>
      <c r="C1205" s="6" t="inlineStr">
        <is>
          <t>DIA</t>
        </is>
      </c>
      <c r="D1205" s="6" t="inlineStr">
        <is>
          <t>TRV</t>
        </is>
      </c>
      <c r="E1205" s="6" t="inlineStr">
        <is>
          <t>TRV</t>
        </is>
      </c>
      <c r="F1205" s="6" t="inlineStr">
        <is>
          <t>-</t>
        </is>
      </c>
      <c r="G1205" s="7" t="n">
        <v>155.736328125</v>
      </c>
      <c r="H1205" s="6">
        <f>P1174</f>
        <v/>
      </c>
      <c r="I1205" s="9">
        <f>Q1174</f>
        <v/>
      </c>
      <c r="J1205" s="7">
        <f>I1205*G1205</f>
        <v/>
      </c>
      <c r="K1205" s="8">
        <f>IF($J$1210=0,0,J1205/$J$1210)</f>
        <v/>
      </c>
      <c r="L1205" s="6" t="inlineStr">
        <is>
          <t>REJECTED</t>
        </is>
      </c>
      <c r="M1205" s="8" t="n">
        <v>0</v>
      </c>
      <c r="N1205" s="7">
        <f>M1205*$J$1210-J1205</f>
        <v/>
      </c>
      <c r="O1205" s="9">
        <f>IF(G1205=0,0,N1205/G1205)</f>
        <v/>
      </c>
      <c r="P1205" s="6">
        <f>IF(M1205&gt;0,D1205,"")</f>
        <v/>
      </c>
      <c r="Q1205" s="9">
        <f>I1205+O1205</f>
        <v/>
      </c>
      <c r="R1205" s="7">
        <f>Q1205*G1205</f>
        <v/>
      </c>
      <c r="S1205" s="8">
        <f>IF($R$1210=0,0,R1205/$R$1210)</f>
        <v/>
      </c>
      <c r="T1205" s="8" t="n">
        <v>0</v>
      </c>
      <c r="U1205" s="8" t="n">
        <v>-0.01363461106734654</v>
      </c>
      <c r="V1205" s="6" t="inlineStr">
        <is>
          <t>not selected</t>
        </is>
      </c>
    </row>
    <row r="1206">
      <c r="A1206" s="6" t="inlineStr">
        <is>
          <t>DJ30</t>
        </is>
      </c>
      <c r="B1206" s="6" t="inlineStr">
        <is>
          <t>2023-09-29</t>
        </is>
      </c>
      <c r="C1206" s="6" t="inlineStr">
        <is>
          <t>DIA</t>
        </is>
      </c>
      <c r="D1206" s="6" t="inlineStr">
        <is>
          <t>UNH</t>
        </is>
      </c>
      <c r="E1206" s="6" t="inlineStr">
        <is>
          <t>UNH</t>
        </is>
      </c>
      <c r="F1206" s="6" t="inlineStr">
        <is>
          <t>-</t>
        </is>
      </c>
      <c r="G1206" s="7" t="n">
        <v>476.3935546875</v>
      </c>
      <c r="H1206" s="6">
        <f>P1175</f>
        <v/>
      </c>
      <c r="I1206" s="9">
        <f>Q1175</f>
        <v/>
      </c>
      <c r="J1206" s="7">
        <f>I1206*G1206</f>
        <v/>
      </c>
      <c r="K1206" s="8">
        <f>IF($J$1210=0,0,J1206/$J$1210)</f>
        <v/>
      </c>
      <c r="L1206" s="6" t="inlineStr">
        <is>
          <t>REJECTED</t>
        </is>
      </c>
      <c r="M1206" s="8" t="n">
        <v>0</v>
      </c>
      <c r="N1206" s="7">
        <f>M1206*$J$1210-J1206</f>
        <v/>
      </c>
      <c r="O1206" s="9">
        <f>IF(G1206=0,0,N1206/G1206)</f>
        <v/>
      </c>
      <c r="P1206" s="6">
        <f>IF(M1206&gt;0,D1206,"")</f>
        <v/>
      </c>
      <c r="Q1206" s="9">
        <f>I1206+O1206</f>
        <v/>
      </c>
      <c r="R1206" s="7">
        <f>Q1206*G1206</f>
        <v/>
      </c>
      <c r="S1206" s="8">
        <f>IF($R$1210=0,0,R1206/$R$1210)</f>
        <v/>
      </c>
      <c r="T1206" s="8" t="n">
        <v>0</v>
      </c>
      <c r="U1206" s="8" t="n">
        <v>-0.01363461106734654</v>
      </c>
      <c r="V1206" s="6" t="inlineStr">
        <is>
          <t>not selected</t>
        </is>
      </c>
    </row>
    <row r="1207">
      <c r="A1207" s="6" t="inlineStr">
        <is>
          <t>DJ30</t>
        </is>
      </c>
      <c r="B1207" s="6" t="inlineStr">
        <is>
          <t>2023-09-29</t>
        </is>
      </c>
      <c r="C1207" s="6" t="inlineStr">
        <is>
          <t>DIA</t>
        </is>
      </c>
      <c r="D1207" s="6" t="inlineStr">
        <is>
          <t>V</t>
        </is>
      </c>
      <c r="E1207" s="6" t="inlineStr">
        <is>
          <t>V</t>
        </is>
      </c>
      <c r="F1207" s="6" t="inlineStr">
        <is>
          <t>-</t>
        </is>
      </c>
      <c r="G1207" s="7" t="n">
        <v>225.2414703369141</v>
      </c>
      <c r="H1207" s="6">
        <f>P1176</f>
        <v/>
      </c>
      <c r="I1207" s="9">
        <f>Q1176</f>
        <v/>
      </c>
      <c r="J1207" s="7">
        <f>I1207*G1207</f>
        <v/>
      </c>
      <c r="K1207" s="8">
        <f>IF($J$1210=0,0,J1207/$J$1210)</f>
        <v/>
      </c>
      <c r="L1207" s="6" t="inlineStr">
        <is>
          <t>REJECTED</t>
        </is>
      </c>
      <c r="M1207" s="8" t="n">
        <v>0</v>
      </c>
      <c r="N1207" s="7">
        <f>M1207*$J$1210-J1207</f>
        <v/>
      </c>
      <c r="O1207" s="9">
        <f>IF(G1207=0,0,N1207/G1207)</f>
        <v/>
      </c>
      <c r="P1207" s="6">
        <f>IF(M1207&gt;0,D1207,"")</f>
        <v/>
      </c>
      <c r="Q1207" s="9">
        <f>I1207+O1207</f>
        <v/>
      </c>
      <c r="R1207" s="7">
        <f>Q1207*G1207</f>
        <v/>
      </c>
      <c r="S1207" s="8">
        <f>IF($R$1210=0,0,R1207/$R$1210)</f>
        <v/>
      </c>
      <c r="T1207" s="8" t="n">
        <v>0</v>
      </c>
      <c r="U1207" s="8" t="n">
        <v>-0.01363461106734654</v>
      </c>
      <c r="V1207" s="6" t="inlineStr">
        <is>
          <t>not selected</t>
        </is>
      </c>
    </row>
    <row r="1208">
      <c r="A1208" s="6" t="inlineStr">
        <is>
          <t>DJ30</t>
        </is>
      </c>
      <c r="B1208" s="6" t="inlineStr">
        <is>
          <t>2023-09-29</t>
        </is>
      </c>
      <c r="C1208" s="6" t="inlineStr">
        <is>
          <t>DIA</t>
        </is>
      </c>
      <c r="D1208" s="6" t="inlineStr">
        <is>
          <t>VZ</t>
        </is>
      </c>
      <c r="E1208" s="6" t="inlineStr">
        <is>
          <t>VZ</t>
        </is>
      </c>
      <c r="F1208" s="6" t="inlineStr">
        <is>
          <t>-</t>
        </is>
      </c>
      <c r="G1208" s="7" t="n">
        <v>26.95381736755371</v>
      </c>
      <c r="H1208" s="6">
        <f>P1177</f>
        <v/>
      </c>
      <c r="I1208" s="9">
        <f>Q1177</f>
        <v/>
      </c>
      <c r="J1208" s="7">
        <f>I1208*G1208</f>
        <v/>
      </c>
      <c r="K1208" s="8">
        <f>IF($J$1210=0,0,J1208/$J$1210)</f>
        <v/>
      </c>
      <c r="L1208" s="6" t="inlineStr">
        <is>
          <t>REJECTED</t>
        </is>
      </c>
      <c r="M1208" s="8" t="n">
        <v>0</v>
      </c>
      <c r="N1208" s="7">
        <f>M1208*$J$1210-J1208</f>
        <v/>
      </c>
      <c r="O1208" s="9">
        <f>IF(G1208=0,0,N1208/G1208)</f>
        <v/>
      </c>
      <c r="P1208" s="6">
        <f>IF(M1208&gt;0,D1208,"")</f>
        <v/>
      </c>
      <c r="Q1208" s="9">
        <f>I1208+O1208</f>
        <v/>
      </c>
      <c r="R1208" s="7">
        <f>Q1208*G1208</f>
        <v/>
      </c>
      <c r="S1208" s="8">
        <f>IF($R$1210=0,0,R1208/$R$1210)</f>
        <v/>
      </c>
      <c r="T1208" s="8" t="n">
        <v>0</v>
      </c>
      <c r="U1208" s="8" t="n">
        <v>-0.01363461106734654</v>
      </c>
      <c r="V1208" s="6" t="inlineStr">
        <is>
          <t>not selected</t>
        </is>
      </c>
    </row>
    <row r="1209">
      <c r="A1209" s="6" t="inlineStr">
        <is>
          <t>DJ30</t>
        </is>
      </c>
      <c r="B1209" s="6" t="inlineStr">
        <is>
          <t>2023-09-29</t>
        </is>
      </c>
      <c r="C1209" s="6" t="inlineStr">
        <is>
          <t>DIA</t>
        </is>
      </c>
      <c r="D1209" s="6" t="inlineStr">
        <is>
          <t>WMT</t>
        </is>
      </c>
      <c r="E1209" s="6" t="inlineStr">
        <is>
          <t>WMT</t>
        </is>
      </c>
      <c r="F1209" s="6" t="inlineStr">
        <is>
          <t>-</t>
        </is>
      </c>
      <c r="G1209" s="7" t="n">
        <v>51.78075408935547</v>
      </c>
      <c r="H1209" s="6">
        <f>P1178</f>
        <v/>
      </c>
      <c r="I1209" s="9">
        <f>Q1178</f>
        <v/>
      </c>
      <c r="J1209" s="7">
        <f>I1209*G1209</f>
        <v/>
      </c>
      <c r="K1209" s="8">
        <f>IF($J$1210=0,0,J1209/$J$1210)</f>
        <v/>
      </c>
      <c r="L1209" s="6" t="inlineStr">
        <is>
          <t>REJECTED</t>
        </is>
      </c>
      <c r="M1209" s="8" t="n">
        <v>0</v>
      </c>
      <c r="N1209" s="7">
        <f>M1209*$J$1210-J1209</f>
        <v/>
      </c>
      <c r="O1209" s="9">
        <f>IF(G1209=0,0,N1209/G1209)</f>
        <v/>
      </c>
      <c r="P1209" s="6">
        <f>IF(M1209&gt;0,D1209,"")</f>
        <v/>
      </c>
      <c r="Q1209" s="9">
        <f>I1209+O1209</f>
        <v/>
      </c>
      <c r="R1209" s="7">
        <f>Q1209*G1209</f>
        <v/>
      </c>
      <c r="S1209" s="8">
        <f>IF($R$1210=0,0,R1209/$R$1210)</f>
        <v/>
      </c>
      <c r="T1209" s="8" t="n">
        <v>0</v>
      </c>
      <c r="U1209" s="8" t="n">
        <v>-0.01363461106734654</v>
      </c>
      <c r="V1209" s="6" t="inlineStr">
        <is>
          <t>not selected</t>
        </is>
      </c>
    </row>
    <row r="1210">
      <c r="A1210" s="10" t="inlineStr">
        <is>
          <t>DJ30</t>
        </is>
      </c>
      <c r="B1210" s="10" t="inlineStr">
        <is>
          <t>2023-09-29</t>
        </is>
      </c>
      <c r="C1210" s="10" t="inlineStr">
        <is>
          <t>DIA</t>
        </is>
      </c>
      <c r="D1210" s="10" t="inlineStr">
        <is>
          <t>Tot Portfolio</t>
        </is>
      </c>
      <c r="E1210" s="10" t="inlineStr"/>
      <c r="F1210" s="10" t="inlineStr"/>
      <c r="G1210" s="11" t="inlineStr"/>
      <c r="H1210" s="10" t="inlineStr"/>
      <c r="I1210" s="12" t="inlineStr"/>
      <c r="J1210" s="11">
        <f>SUM(J1180:J1209)</f>
        <v/>
      </c>
      <c r="K1210" s="13">
        <f>SUM(K1180:K1209)</f>
        <v/>
      </c>
      <c r="L1210" s="10" t="inlineStr">
        <is>
          <t>TOTAL</t>
        </is>
      </c>
      <c r="M1210" s="13">
        <f>SUM(M1180:M1209)</f>
        <v/>
      </c>
      <c r="N1210" s="11">
        <f>SUM(N1180:N1209)</f>
        <v/>
      </c>
      <c r="O1210" s="12">
        <f>SUM(O1180:O1209)</f>
        <v/>
      </c>
      <c r="P1210" s="10" t="inlineStr"/>
      <c r="Q1210" s="12" t="inlineStr"/>
      <c r="R1210" s="11">
        <f>SUM(R1180:R1209)</f>
        <v/>
      </c>
      <c r="S1210" s="13">
        <f>SUM(S1180:S1209)</f>
        <v/>
      </c>
      <c r="T1210" s="13" t="n">
        <v>0</v>
      </c>
      <c r="U1210" s="13" t="n">
        <v>-0.01363461106734654</v>
      </c>
      <c r="V1210" s="10" t="inlineStr"/>
    </row>
    <row r="1211">
      <c r="A1211" s="6" t="inlineStr">
        <is>
          <t>DJ30</t>
        </is>
      </c>
      <c r="B1211" s="6" t="inlineStr">
        <is>
          <t>2023-10-06</t>
        </is>
      </c>
      <c r="C1211" s="6" t="inlineStr">
        <is>
          <t>DIA</t>
        </is>
      </c>
      <c r="D1211" s="6" t="inlineStr">
        <is>
          <t>AAPL</t>
        </is>
      </c>
      <c r="E1211" s="6" t="inlineStr">
        <is>
          <t>AAPL</t>
        </is>
      </c>
      <c r="F1211" s="6" t="inlineStr">
        <is>
          <t>-</t>
        </is>
      </c>
      <c r="G1211" s="7" t="n">
        <v>175.2724914550781</v>
      </c>
      <c r="H1211" s="6">
        <f>P1180</f>
        <v/>
      </c>
      <c r="I1211" s="9">
        <f>Q1180</f>
        <v/>
      </c>
      <c r="J1211" s="7">
        <f>I1211*G1211</f>
        <v/>
      </c>
      <c r="K1211" s="8">
        <f>IF($J$1241=0,0,J1211/$J$1241)</f>
        <v/>
      </c>
      <c r="L1211" s="6" t="inlineStr">
        <is>
          <t>REJECTED</t>
        </is>
      </c>
      <c r="M1211" s="8" t="n">
        <v>0</v>
      </c>
      <c r="N1211" s="7">
        <f>M1211*$J$1241-J1211</f>
        <v/>
      </c>
      <c r="O1211" s="9">
        <f>IF(G1211=0,0,N1211/G1211)</f>
        <v/>
      </c>
      <c r="P1211" s="6">
        <f>IF(M1211&gt;0,D1211,"")</f>
        <v/>
      </c>
      <c r="Q1211" s="9">
        <f>I1211+O1211</f>
        <v/>
      </c>
      <c r="R1211" s="7">
        <f>Q1211*G1211</f>
        <v/>
      </c>
      <c r="S1211" s="8">
        <f>IF($R$1241=0,0,R1211/$R$1241)</f>
        <v/>
      </c>
      <c r="T1211" s="8" t="n">
        <v>0</v>
      </c>
      <c r="U1211" s="8" t="n">
        <v>-0.002537625180680569</v>
      </c>
      <c r="V1211" s="6" t="inlineStr">
        <is>
          <t>not selected</t>
        </is>
      </c>
    </row>
    <row r="1212">
      <c r="A1212" s="6" t="inlineStr">
        <is>
          <t>DJ30</t>
        </is>
      </c>
      <c r="B1212" s="6" t="inlineStr">
        <is>
          <t>2023-10-06</t>
        </is>
      </c>
      <c r="C1212" s="6" t="inlineStr">
        <is>
          <t>DIA</t>
        </is>
      </c>
      <c r="D1212" s="6" t="inlineStr">
        <is>
          <t>AMGN</t>
        </is>
      </c>
      <c r="E1212" s="6" t="inlineStr">
        <is>
          <t>AMGN</t>
        </is>
      </c>
      <c r="F1212" s="6" t="inlineStr">
        <is>
          <t>-</t>
        </is>
      </c>
      <c r="G1212" s="7" t="n">
        <v>245.9054565429688</v>
      </c>
      <c r="H1212" s="6">
        <f>P1181</f>
        <v/>
      </c>
      <c r="I1212" s="9">
        <f>Q1181</f>
        <v/>
      </c>
      <c r="J1212" s="7">
        <f>I1212*G1212</f>
        <v/>
      </c>
      <c r="K1212" s="8">
        <f>IF($J$1241=0,0,J1212/$J$1241)</f>
        <v/>
      </c>
      <c r="L1212" s="6" t="inlineStr">
        <is>
          <t>REJECTED</t>
        </is>
      </c>
      <c r="M1212" s="8" t="n">
        <v>0</v>
      </c>
      <c r="N1212" s="7">
        <f>M1212*$J$1241-J1212</f>
        <v/>
      </c>
      <c r="O1212" s="9">
        <f>IF(G1212=0,0,N1212/G1212)</f>
        <v/>
      </c>
      <c r="P1212" s="6">
        <f>IF(M1212&gt;0,D1212,"")</f>
        <v/>
      </c>
      <c r="Q1212" s="9">
        <f>I1212+O1212</f>
        <v/>
      </c>
      <c r="R1212" s="7">
        <f>Q1212*G1212</f>
        <v/>
      </c>
      <c r="S1212" s="8">
        <f>IF($R$1241=0,0,R1212/$R$1241)</f>
        <v/>
      </c>
      <c r="T1212" s="8" t="n">
        <v>0</v>
      </c>
      <c r="U1212" s="8" t="n">
        <v>-0.002537625180680569</v>
      </c>
      <c r="V1212" s="6" t="inlineStr">
        <is>
          <t>not selected</t>
        </is>
      </c>
    </row>
    <row r="1213">
      <c r="A1213" s="6" t="inlineStr">
        <is>
          <t>DJ30</t>
        </is>
      </c>
      <c r="B1213" s="6" t="inlineStr">
        <is>
          <t>2023-10-06</t>
        </is>
      </c>
      <c r="C1213" s="6" t="inlineStr">
        <is>
          <t>DIA</t>
        </is>
      </c>
      <c r="D1213" s="6" t="inlineStr">
        <is>
          <t>AMZN</t>
        </is>
      </c>
      <c r="E1213" s="6" t="inlineStr">
        <is>
          <t>AMZN</t>
        </is>
      </c>
      <c r="F1213" s="6" t="inlineStr">
        <is>
          <t>-</t>
        </is>
      </c>
      <c r="G1213" s="7" t="n">
        <v>127.9599990844727</v>
      </c>
      <c r="H1213" s="6">
        <f>P1182</f>
        <v/>
      </c>
      <c r="I1213" s="9">
        <f>Q1182</f>
        <v/>
      </c>
      <c r="J1213" s="7">
        <f>I1213*G1213</f>
        <v/>
      </c>
      <c r="K1213" s="8">
        <f>IF($J$1241=0,0,J1213/$J$1241)</f>
        <v/>
      </c>
      <c r="L1213" s="6" t="inlineStr">
        <is>
          <t>REJECTED</t>
        </is>
      </c>
      <c r="M1213" s="8" t="n">
        <v>0</v>
      </c>
      <c r="N1213" s="7">
        <f>M1213*$J$1241-J1213</f>
        <v/>
      </c>
      <c r="O1213" s="9">
        <f>IF(G1213=0,0,N1213/G1213)</f>
        <v/>
      </c>
      <c r="P1213" s="6">
        <f>IF(M1213&gt;0,D1213,"")</f>
        <v/>
      </c>
      <c r="Q1213" s="9">
        <f>I1213+O1213</f>
        <v/>
      </c>
      <c r="R1213" s="7">
        <f>Q1213*G1213</f>
        <v/>
      </c>
      <c r="S1213" s="8">
        <f>IF($R$1241=0,0,R1213/$R$1241)</f>
        <v/>
      </c>
      <c r="T1213" s="8" t="n">
        <v>0</v>
      </c>
      <c r="U1213" s="8" t="n">
        <v>-0.002537625180680569</v>
      </c>
      <c r="V1213" s="6" t="inlineStr">
        <is>
          <t>not selected</t>
        </is>
      </c>
    </row>
    <row r="1214">
      <c r="A1214" s="6" t="inlineStr">
        <is>
          <t>DJ30</t>
        </is>
      </c>
      <c r="B1214" s="6" t="inlineStr">
        <is>
          <t>2023-10-06</t>
        </is>
      </c>
      <c r="C1214" s="6" t="inlineStr">
        <is>
          <t>DIA</t>
        </is>
      </c>
      <c r="D1214" s="6" t="inlineStr">
        <is>
          <t>AXP</t>
        </is>
      </c>
      <c r="E1214" s="6" t="inlineStr">
        <is>
          <t>AXP</t>
        </is>
      </c>
      <c r="F1214" s="6" t="inlineStr">
        <is>
          <t>-</t>
        </is>
      </c>
      <c r="G1214" s="7" t="n">
        <v>145.1980438232422</v>
      </c>
      <c r="H1214" s="6">
        <f>P1183</f>
        <v/>
      </c>
      <c r="I1214" s="9">
        <f>Q1183</f>
        <v/>
      </c>
      <c r="J1214" s="7">
        <f>I1214*G1214</f>
        <v/>
      </c>
      <c r="K1214" s="8">
        <f>IF($J$1241=0,0,J1214/$J$1241)</f>
        <v/>
      </c>
      <c r="L1214" s="6" t="inlineStr">
        <is>
          <t>REJECTED</t>
        </is>
      </c>
      <c r="M1214" s="8" t="n">
        <v>0</v>
      </c>
      <c r="N1214" s="7">
        <f>M1214*$J$1241-J1214</f>
        <v/>
      </c>
      <c r="O1214" s="9">
        <f>IF(G1214=0,0,N1214/G1214)</f>
        <v/>
      </c>
      <c r="P1214" s="6">
        <f>IF(M1214&gt;0,D1214,"")</f>
        <v/>
      </c>
      <c r="Q1214" s="9">
        <f>I1214+O1214</f>
        <v/>
      </c>
      <c r="R1214" s="7">
        <f>Q1214*G1214</f>
        <v/>
      </c>
      <c r="S1214" s="8">
        <f>IF($R$1241=0,0,R1214/$R$1241)</f>
        <v/>
      </c>
      <c r="T1214" s="8" t="n">
        <v>0</v>
      </c>
      <c r="U1214" s="8" t="n">
        <v>-0.002537625180680569</v>
      </c>
      <c r="V1214" s="6" t="inlineStr">
        <is>
          <t>not selected</t>
        </is>
      </c>
    </row>
    <row r="1215">
      <c r="A1215" s="6" t="inlineStr">
        <is>
          <t>DJ30</t>
        </is>
      </c>
      <c r="B1215" s="6" t="inlineStr">
        <is>
          <t>2023-10-06</t>
        </is>
      </c>
      <c r="C1215" s="6" t="inlineStr">
        <is>
          <t>DIA</t>
        </is>
      </c>
      <c r="D1215" s="6" t="inlineStr">
        <is>
          <t>BA</t>
        </is>
      </c>
      <c r="E1215" s="6" t="inlineStr">
        <is>
          <t>BA</t>
        </is>
      </c>
      <c r="F1215" s="6" t="inlineStr">
        <is>
          <t>-</t>
        </is>
      </c>
      <c r="G1215" s="7" t="n">
        <v>187.3800048828125</v>
      </c>
      <c r="H1215" s="6">
        <f>P1184</f>
        <v/>
      </c>
      <c r="I1215" s="9">
        <f>Q1184</f>
        <v/>
      </c>
      <c r="J1215" s="7">
        <f>I1215*G1215</f>
        <v/>
      </c>
      <c r="K1215" s="8">
        <f>IF($J$1241=0,0,J1215/$J$1241)</f>
        <v/>
      </c>
      <c r="L1215" s="6" t="inlineStr">
        <is>
          <t>REJECTED</t>
        </is>
      </c>
      <c r="M1215" s="8" t="n">
        <v>0</v>
      </c>
      <c r="N1215" s="7">
        <f>M1215*$J$1241-J1215</f>
        <v/>
      </c>
      <c r="O1215" s="9">
        <f>IF(G1215=0,0,N1215/G1215)</f>
        <v/>
      </c>
      <c r="P1215" s="6">
        <f>IF(M1215&gt;0,D1215,"")</f>
        <v/>
      </c>
      <c r="Q1215" s="9">
        <f>I1215+O1215</f>
        <v/>
      </c>
      <c r="R1215" s="7">
        <f>Q1215*G1215</f>
        <v/>
      </c>
      <c r="S1215" s="8">
        <f>IF($R$1241=0,0,R1215/$R$1241)</f>
        <v/>
      </c>
      <c r="T1215" s="8" t="n">
        <v>0</v>
      </c>
      <c r="U1215" s="8" t="n">
        <v>-0.002537625180680569</v>
      </c>
      <c r="V1215" s="6" t="inlineStr">
        <is>
          <t>not selected</t>
        </is>
      </c>
    </row>
    <row r="1216">
      <c r="A1216" s="6" t="inlineStr">
        <is>
          <t>DJ30</t>
        </is>
      </c>
      <c r="B1216" s="6" t="inlineStr">
        <is>
          <t>2023-10-06</t>
        </is>
      </c>
      <c r="C1216" s="6" t="inlineStr">
        <is>
          <t>DIA</t>
        </is>
      </c>
      <c r="D1216" s="6" t="inlineStr">
        <is>
          <t>CAT</t>
        </is>
      </c>
      <c r="E1216" s="6" t="inlineStr">
        <is>
          <t>CAT</t>
        </is>
      </c>
      <c r="F1216" s="6" t="inlineStr">
        <is>
          <t>-</t>
        </is>
      </c>
      <c r="G1216" s="7" t="n">
        <v>255.5336456298828</v>
      </c>
      <c r="H1216" s="6">
        <f>P1185</f>
        <v/>
      </c>
      <c r="I1216" s="9">
        <f>Q1185</f>
        <v/>
      </c>
      <c r="J1216" s="7">
        <f>I1216*G1216</f>
        <v/>
      </c>
      <c r="K1216" s="8">
        <f>IF($J$1241=0,0,J1216/$J$1241)</f>
        <v/>
      </c>
      <c r="L1216" s="6" t="inlineStr">
        <is>
          <t>REJECTED</t>
        </is>
      </c>
      <c r="M1216" s="8" t="n">
        <v>0</v>
      </c>
      <c r="N1216" s="7">
        <f>M1216*$J$1241-J1216</f>
        <v/>
      </c>
      <c r="O1216" s="9">
        <f>IF(G1216=0,0,N1216/G1216)</f>
        <v/>
      </c>
      <c r="P1216" s="6">
        <f>IF(M1216&gt;0,D1216,"")</f>
        <v/>
      </c>
      <c r="Q1216" s="9">
        <f>I1216+O1216</f>
        <v/>
      </c>
      <c r="R1216" s="7">
        <f>Q1216*G1216</f>
        <v/>
      </c>
      <c r="S1216" s="8">
        <f>IF($R$1241=0,0,R1216/$R$1241)</f>
        <v/>
      </c>
      <c r="T1216" s="8" t="n">
        <v>0</v>
      </c>
      <c r="U1216" s="8" t="n">
        <v>-0.002537625180680569</v>
      </c>
      <c r="V1216" s="6" t="inlineStr">
        <is>
          <t>not selected</t>
        </is>
      </c>
    </row>
    <row r="1217">
      <c r="A1217" s="6" t="inlineStr">
        <is>
          <t>DJ30</t>
        </is>
      </c>
      <c r="B1217" s="6" t="inlineStr">
        <is>
          <t>2023-10-06</t>
        </is>
      </c>
      <c r="C1217" s="6" t="inlineStr">
        <is>
          <t>DIA</t>
        </is>
      </c>
      <c r="D1217" s="6" t="inlineStr">
        <is>
          <t>CRM</t>
        </is>
      </c>
      <c r="E1217" s="6" t="inlineStr">
        <is>
          <t>CRM</t>
        </is>
      </c>
      <c r="F1217" s="6" t="inlineStr">
        <is>
          <t>-</t>
        </is>
      </c>
      <c r="G1217" s="7" t="n">
        <v>203.8335723876953</v>
      </c>
      <c r="H1217" s="6">
        <f>P1186</f>
        <v/>
      </c>
      <c r="I1217" s="9">
        <f>Q1186</f>
        <v/>
      </c>
      <c r="J1217" s="7">
        <f>I1217*G1217</f>
        <v/>
      </c>
      <c r="K1217" s="8">
        <f>IF($J$1241=0,0,J1217/$J$1241)</f>
        <v/>
      </c>
      <c r="L1217" s="6" t="inlineStr">
        <is>
          <t>REJECTED</t>
        </is>
      </c>
      <c r="M1217" s="8" t="n">
        <v>0</v>
      </c>
      <c r="N1217" s="7">
        <f>M1217*$J$1241-J1217</f>
        <v/>
      </c>
      <c r="O1217" s="9">
        <f>IF(G1217=0,0,N1217/G1217)</f>
        <v/>
      </c>
      <c r="P1217" s="6">
        <f>IF(M1217&gt;0,D1217,"")</f>
        <v/>
      </c>
      <c r="Q1217" s="9">
        <f>I1217+O1217</f>
        <v/>
      </c>
      <c r="R1217" s="7">
        <f>Q1217*G1217</f>
        <v/>
      </c>
      <c r="S1217" s="8">
        <f>IF($R$1241=0,0,R1217/$R$1241)</f>
        <v/>
      </c>
      <c r="T1217" s="8" t="n">
        <v>0</v>
      </c>
      <c r="U1217" s="8" t="n">
        <v>-0.002537625180680569</v>
      </c>
      <c r="V1217" s="6" t="inlineStr">
        <is>
          <t>not selected</t>
        </is>
      </c>
    </row>
    <row r="1218">
      <c r="A1218" s="6" t="inlineStr">
        <is>
          <t>DJ30</t>
        </is>
      </c>
      <c r="B1218" s="6" t="inlineStr">
        <is>
          <t>2023-10-06</t>
        </is>
      </c>
      <c r="C1218" s="6" t="inlineStr">
        <is>
          <t>DIA</t>
        </is>
      </c>
      <c r="D1218" s="6" t="inlineStr">
        <is>
          <t>CSCO</t>
        </is>
      </c>
      <c r="E1218" s="6" t="inlineStr">
        <is>
          <t>CSCO</t>
        </is>
      </c>
      <c r="F1218" s="6" t="inlineStr">
        <is>
          <t>-</t>
        </is>
      </c>
      <c r="G1218" s="7" t="n">
        <v>49.92455291748047</v>
      </c>
      <c r="H1218" s="6">
        <f>P1187</f>
        <v/>
      </c>
      <c r="I1218" s="9">
        <f>Q1187</f>
        <v/>
      </c>
      <c r="J1218" s="7">
        <f>I1218*G1218</f>
        <v/>
      </c>
      <c r="K1218" s="8">
        <f>IF($J$1241=0,0,J1218/$J$1241)</f>
        <v/>
      </c>
      <c r="L1218" s="6" t="inlineStr">
        <is>
          <t>REJECTED</t>
        </is>
      </c>
      <c r="M1218" s="8" t="n">
        <v>0</v>
      </c>
      <c r="N1218" s="7">
        <f>M1218*$J$1241-J1218</f>
        <v/>
      </c>
      <c r="O1218" s="9">
        <f>IF(G1218=0,0,N1218/G1218)</f>
        <v/>
      </c>
      <c r="P1218" s="6">
        <f>IF(M1218&gt;0,D1218,"")</f>
        <v/>
      </c>
      <c r="Q1218" s="9">
        <f>I1218+O1218</f>
        <v/>
      </c>
      <c r="R1218" s="7">
        <f>Q1218*G1218</f>
        <v/>
      </c>
      <c r="S1218" s="8">
        <f>IF($R$1241=0,0,R1218/$R$1241)</f>
        <v/>
      </c>
      <c r="T1218" s="8" t="n">
        <v>0</v>
      </c>
      <c r="U1218" s="8" t="n">
        <v>-0.002537625180680569</v>
      </c>
      <c r="V1218" s="6" t="inlineStr">
        <is>
          <t>not selected</t>
        </is>
      </c>
    </row>
    <row r="1219">
      <c r="A1219" s="6" t="inlineStr">
        <is>
          <t>DJ30</t>
        </is>
      </c>
      <c r="B1219" s="6" t="inlineStr">
        <is>
          <t>2023-10-06</t>
        </is>
      </c>
      <c r="C1219" s="6" t="inlineStr">
        <is>
          <t>DIA</t>
        </is>
      </c>
      <c r="D1219" s="6" t="inlineStr">
        <is>
          <t>CVX</t>
        </is>
      </c>
      <c r="E1219" s="6" t="inlineStr">
        <is>
          <t>CVX</t>
        </is>
      </c>
      <c r="F1219" s="6" t="inlineStr">
        <is>
          <t>-</t>
        </is>
      </c>
      <c r="G1219" s="7" t="n">
        <v>144.3500671386719</v>
      </c>
      <c r="H1219" s="6">
        <f>P1188</f>
        <v/>
      </c>
      <c r="I1219" s="9">
        <f>Q1188</f>
        <v/>
      </c>
      <c r="J1219" s="7">
        <f>I1219*G1219</f>
        <v/>
      </c>
      <c r="K1219" s="8">
        <f>IF($J$1241=0,0,J1219/$J$1241)</f>
        <v/>
      </c>
      <c r="L1219" s="6" t="inlineStr">
        <is>
          <t>REJECTED</t>
        </is>
      </c>
      <c r="M1219" s="8" t="n">
        <v>0</v>
      </c>
      <c r="N1219" s="7">
        <f>M1219*$J$1241-J1219</f>
        <v/>
      </c>
      <c r="O1219" s="9">
        <f>IF(G1219=0,0,N1219/G1219)</f>
        <v/>
      </c>
      <c r="P1219" s="6">
        <f>IF(M1219&gt;0,D1219,"")</f>
        <v/>
      </c>
      <c r="Q1219" s="9">
        <f>I1219+O1219</f>
        <v/>
      </c>
      <c r="R1219" s="7">
        <f>Q1219*G1219</f>
        <v/>
      </c>
      <c r="S1219" s="8">
        <f>IF($R$1241=0,0,R1219/$R$1241)</f>
        <v/>
      </c>
      <c r="T1219" s="8" t="n">
        <v>0</v>
      </c>
      <c r="U1219" s="8" t="n">
        <v>-0.002537625180680569</v>
      </c>
      <c r="V1219" s="6" t="inlineStr">
        <is>
          <t>not selected</t>
        </is>
      </c>
    </row>
    <row r="1220">
      <c r="A1220" s="6" t="inlineStr">
        <is>
          <t>DJ30</t>
        </is>
      </c>
      <c r="B1220" s="6" t="inlineStr">
        <is>
          <t>2023-10-06</t>
        </is>
      </c>
      <c r="C1220" s="6" t="inlineStr">
        <is>
          <t>DIA</t>
        </is>
      </c>
      <c r="D1220" s="6" t="inlineStr">
        <is>
          <t>DIS</t>
        </is>
      </c>
      <c r="E1220" s="6" t="inlineStr">
        <is>
          <t>DIS</t>
        </is>
      </c>
      <c r="F1220" s="6" t="inlineStr">
        <is>
          <t>-</t>
        </is>
      </c>
      <c r="G1220" s="7" t="n">
        <v>81.03175354003906</v>
      </c>
      <c r="H1220" s="6">
        <f>P1189</f>
        <v/>
      </c>
      <c r="I1220" s="9">
        <f>Q1189</f>
        <v/>
      </c>
      <c r="J1220" s="7">
        <f>I1220*G1220</f>
        <v/>
      </c>
      <c r="K1220" s="8">
        <f>IF($J$1241=0,0,J1220/$J$1241)</f>
        <v/>
      </c>
      <c r="L1220" s="6" t="inlineStr">
        <is>
          <t>REJECTED</t>
        </is>
      </c>
      <c r="M1220" s="8" t="n">
        <v>0</v>
      </c>
      <c r="N1220" s="7">
        <f>M1220*$J$1241-J1220</f>
        <v/>
      </c>
      <c r="O1220" s="9">
        <f>IF(G1220=0,0,N1220/G1220)</f>
        <v/>
      </c>
      <c r="P1220" s="6">
        <f>IF(M1220&gt;0,D1220,"")</f>
        <v/>
      </c>
      <c r="Q1220" s="9">
        <f>I1220+O1220</f>
        <v/>
      </c>
      <c r="R1220" s="7">
        <f>Q1220*G1220</f>
        <v/>
      </c>
      <c r="S1220" s="8">
        <f>IF($R$1241=0,0,R1220/$R$1241)</f>
        <v/>
      </c>
      <c r="T1220" s="8" t="n">
        <v>0</v>
      </c>
      <c r="U1220" s="8" t="n">
        <v>-0.002537625180680569</v>
      </c>
      <c r="V1220" s="6" t="inlineStr">
        <is>
          <t>not selected</t>
        </is>
      </c>
    </row>
    <row r="1221">
      <c r="A1221" s="6" t="inlineStr">
        <is>
          <t>DJ30</t>
        </is>
      </c>
      <c r="B1221" s="6" t="inlineStr">
        <is>
          <t>2023-10-06</t>
        </is>
      </c>
      <c r="C1221" s="6" t="inlineStr">
        <is>
          <t>DIA</t>
        </is>
      </c>
      <c r="D1221" s="6" t="inlineStr">
        <is>
          <t>GS</t>
        </is>
      </c>
      <c r="E1221" s="6" t="inlineStr">
        <is>
          <t>GS</t>
        </is>
      </c>
      <c r="F1221" s="6" t="inlineStr">
        <is>
          <t>-</t>
        </is>
      </c>
      <c r="G1221" s="7" t="n">
        <v>293.7057189941406</v>
      </c>
      <c r="H1221" s="6">
        <f>P1190</f>
        <v/>
      </c>
      <c r="I1221" s="9">
        <f>Q1190</f>
        <v/>
      </c>
      <c r="J1221" s="7">
        <f>I1221*G1221</f>
        <v/>
      </c>
      <c r="K1221" s="8">
        <f>IF($J$1241=0,0,J1221/$J$1241)</f>
        <v/>
      </c>
      <c r="L1221" s="6" t="inlineStr">
        <is>
          <t>REJECTED</t>
        </is>
      </c>
      <c r="M1221" s="8" t="n">
        <v>0</v>
      </c>
      <c r="N1221" s="7">
        <f>M1221*$J$1241-J1221</f>
        <v/>
      </c>
      <c r="O1221" s="9">
        <f>IF(G1221=0,0,N1221/G1221)</f>
        <v/>
      </c>
      <c r="P1221" s="6">
        <f>IF(M1221&gt;0,D1221,"")</f>
        <v/>
      </c>
      <c r="Q1221" s="9">
        <f>I1221+O1221</f>
        <v/>
      </c>
      <c r="R1221" s="7">
        <f>Q1221*G1221</f>
        <v/>
      </c>
      <c r="S1221" s="8">
        <f>IF($R$1241=0,0,R1221/$R$1241)</f>
        <v/>
      </c>
      <c r="T1221" s="8" t="n">
        <v>0</v>
      </c>
      <c r="U1221" s="8" t="n">
        <v>-0.002537625180680569</v>
      </c>
      <c r="V1221" s="6" t="inlineStr">
        <is>
          <t>not selected</t>
        </is>
      </c>
    </row>
    <row r="1222">
      <c r="A1222" s="6" t="inlineStr">
        <is>
          <t>DJ30</t>
        </is>
      </c>
      <c r="B1222" s="6" t="inlineStr">
        <is>
          <t>2023-10-06</t>
        </is>
      </c>
      <c r="C1222" s="6" t="inlineStr">
        <is>
          <t>DIA</t>
        </is>
      </c>
      <c r="D1222" s="6" t="inlineStr">
        <is>
          <t>HD</t>
        </is>
      </c>
      <c r="E1222" s="6" t="inlineStr">
        <is>
          <t>HD</t>
        </is>
      </c>
      <c r="F1222" s="6" t="inlineStr">
        <is>
          <t>-</t>
        </is>
      </c>
      <c r="G1222" s="7" t="n">
        <v>273.1185302734375</v>
      </c>
      <c r="H1222" s="6">
        <f>P1191</f>
        <v/>
      </c>
      <c r="I1222" s="9">
        <f>Q1191</f>
        <v/>
      </c>
      <c r="J1222" s="7">
        <f>I1222*G1222</f>
        <v/>
      </c>
      <c r="K1222" s="8">
        <f>IF($J$1241=0,0,J1222/$J$1241)</f>
        <v/>
      </c>
      <c r="L1222" s="6" t="inlineStr">
        <is>
          <t>REJECTED</t>
        </is>
      </c>
      <c r="M1222" s="8" t="n">
        <v>0</v>
      </c>
      <c r="N1222" s="7">
        <f>M1222*$J$1241-J1222</f>
        <v/>
      </c>
      <c r="O1222" s="9">
        <f>IF(G1222=0,0,N1222/G1222)</f>
        <v/>
      </c>
      <c r="P1222" s="6">
        <f>IF(M1222&gt;0,D1222,"")</f>
        <v/>
      </c>
      <c r="Q1222" s="9">
        <f>I1222+O1222</f>
        <v/>
      </c>
      <c r="R1222" s="7">
        <f>Q1222*G1222</f>
        <v/>
      </c>
      <c r="S1222" s="8">
        <f>IF($R$1241=0,0,R1222/$R$1241)</f>
        <v/>
      </c>
      <c r="T1222" s="8" t="n">
        <v>0</v>
      </c>
      <c r="U1222" s="8" t="n">
        <v>-0.002537625180680569</v>
      </c>
      <c r="V1222" s="6" t="inlineStr">
        <is>
          <t>not selected</t>
        </is>
      </c>
    </row>
    <row r="1223">
      <c r="A1223" s="6" t="inlineStr">
        <is>
          <t>DJ30</t>
        </is>
      </c>
      <c r="B1223" s="6" t="inlineStr">
        <is>
          <t>2023-10-06</t>
        </is>
      </c>
      <c r="C1223" s="6" t="inlineStr">
        <is>
          <t>DIA</t>
        </is>
      </c>
      <c r="D1223" s="6" t="inlineStr">
        <is>
          <t>HON</t>
        </is>
      </c>
      <c r="E1223" s="6" t="inlineStr">
        <is>
          <t>HON</t>
        </is>
      </c>
      <c r="F1223" s="6" t="inlineStr">
        <is>
          <t>-</t>
        </is>
      </c>
      <c r="G1223" s="7" t="n">
        <v>164.0673065185547</v>
      </c>
      <c r="H1223" s="6">
        <f>P1192</f>
        <v/>
      </c>
      <c r="I1223" s="9">
        <f>Q1192</f>
        <v/>
      </c>
      <c r="J1223" s="7">
        <f>I1223*G1223</f>
        <v/>
      </c>
      <c r="K1223" s="8">
        <f>IF($J$1241=0,0,J1223/$J$1241)</f>
        <v/>
      </c>
      <c r="L1223" s="6" t="inlineStr">
        <is>
          <t>REJECTED</t>
        </is>
      </c>
      <c r="M1223" s="8" t="n">
        <v>0</v>
      </c>
      <c r="N1223" s="7">
        <f>M1223*$J$1241-J1223</f>
        <v/>
      </c>
      <c r="O1223" s="9">
        <f>IF(G1223=0,0,N1223/G1223)</f>
        <v/>
      </c>
      <c r="P1223" s="6">
        <f>IF(M1223&gt;0,D1223,"")</f>
        <v/>
      </c>
      <c r="Q1223" s="9">
        <f>I1223+O1223</f>
        <v/>
      </c>
      <c r="R1223" s="7">
        <f>Q1223*G1223</f>
        <v/>
      </c>
      <c r="S1223" s="8">
        <f>IF($R$1241=0,0,R1223/$R$1241)</f>
        <v/>
      </c>
      <c r="T1223" s="8" t="n">
        <v>0</v>
      </c>
      <c r="U1223" s="8" t="n">
        <v>-0.002537625180680569</v>
      </c>
      <c r="V1223" s="6" t="inlineStr">
        <is>
          <t>not selected</t>
        </is>
      </c>
    </row>
    <row r="1224">
      <c r="A1224" s="6" t="inlineStr">
        <is>
          <t>DJ30</t>
        </is>
      </c>
      <c r="B1224" s="6" t="inlineStr">
        <is>
          <t>2023-10-06</t>
        </is>
      </c>
      <c r="C1224" s="6" t="inlineStr">
        <is>
          <t>DIA</t>
        </is>
      </c>
      <c r="D1224" s="6" t="inlineStr">
        <is>
          <t>IBM</t>
        </is>
      </c>
      <c r="E1224" s="6" t="inlineStr">
        <is>
          <t>IBM</t>
        </is>
      </c>
      <c r="F1224" s="6" t="inlineStr">
        <is>
          <t>-</t>
        </is>
      </c>
      <c r="G1224" s="7" t="n">
        <v>130.4149475097656</v>
      </c>
      <c r="H1224" s="6">
        <f>P1193</f>
        <v/>
      </c>
      <c r="I1224" s="9">
        <f>Q1193</f>
        <v/>
      </c>
      <c r="J1224" s="7">
        <f>I1224*G1224</f>
        <v/>
      </c>
      <c r="K1224" s="8">
        <f>IF($J$1241=0,0,J1224/$J$1241)</f>
        <v/>
      </c>
      <c r="L1224" s="6" t="inlineStr">
        <is>
          <t>REJECTED</t>
        </is>
      </c>
      <c r="M1224" s="8" t="n">
        <v>0</v>
      </c>
      <c r="N1224" s="7">
        <f>M1224*$J$1241-J1224</f>
        <v/>
      </c>
      <c r="O1224" s="9">
        <f>IF(G1224=0,0,N1224/G1224)</f>
        <v/>
      </c>
      <c r="P1224" s="6">
        <f>IF(M1224&gt;0,D1224,"")</f>
        <v/>
      </c>
      <c r="Q1224" s="9">
        <f>I1224+O1224</f>
        <v/>
      </c>
      <c r="R1224" s="7">
        <f>Q1224*G1224</f>
        <v/>
      </c>
      <c r="S1224" s="8">
        <f>IF($R$1241=0,0,R1224/$R$1241)</f>
        <v/>
      </c>
      <c r="T1224" s="8" t="n">
        <v>0</v>
      </c>
      <c r="U1224" s="8" t="n">
        <v>-0.002537625180680569</v>
      </c>
      <c r="V1224" s="6" t="inlineStr">
        <is>
          <t>not selected</t>
        </is>
      </c>
    </row>
    <row r="1225">
      <c r="A1225" s="6" t="inlineStr">
        <is>
          <t>DJ30</t>
        </is>
      </c>
      <c r="B1225" s="6" t="inlineStr">
        <is>
          <t>2023-10-06</t>
        </is>
      </c>
      <c r="C1225" s="6" t="inlineStr">
        <is>
          <t>DIA</t>
        </is>
      </c>
      <c r="D1225" s="6" t="inlineStr">
        <is>
          <t>JNJ</t>
        </is>
      </c>
      <c r="E1225" s="6" t="inlineStr">
        <is>
          <t>JNJ</t>
        </is>
      </c>
      <c r="F1225" s="6" t="inlineStr">
        <is>
          <t>-</t>
        </is>
      </c>
      <c r="G1225" s="7" t="n">
        <v>145.4716491699219</v>
      </c>
      <c r="H1225" s="6">
        <f>P1194</f>
        <v/>
      </c>
      <c r="I1225" s="9">
        <f>Q1194</f>
        <v/>
      </c>
      <c r="J1225" s="7">
        <f>I1225*G1225</f>
        <v/>
      </c>
      <c r="K1225" s="8">
        <f>IF($J$1241=0,0,J1225/$J$1241)</f>
        <v/>
      </c>
      <c r="L1225" s="6" t="inlineStr">
        <is>
          <t>REJECTED</t>
        </is>
      </c>
      <c r="M1225" s="8" t="n">
        <v>0</v>
      </c>
      <c r="N1225" s="7">
        <f>M1225*$J$1241-J1225</f>
        <v/>
      </c>
      <c r="O1225" s="9">
        <f>IF(G1225=0,0,N1225/G1225)</f>
        <v/>
      </c>
      <c r="P1225" s="6">
        <f>IF(M1225&gt;0,D1225,"")</f>
        <v/>
      </c>
      <c r="Q1225" s="9">
        <f>I1225+O1225</f>
        <v/>
      </c>
      <c r="R1225" s="7">
        <f>Q1225*G1225</f>
        <v/>
      </c>
      <c r="S1225" s="8">
        <f>IF($R$1241=0,0,R1225/$R$1241)</f>
        <v/>
      </c>
      <c r="T1225" s="8" t="n">
        <v>0</v>
      </c>
      <c r="U1225" s="8" t="n">
        <v>-0.002537625180680569</v>
      </c>
      <c r="V1225" s="6" t="inlineStr">
        <is>
          <t>not selected</t>
        </is>
      </c>
    </row>
    <row r="1226">
      <c r="A1226" s="6" t="inlineStr">
        <is>
          <t>DJ30</t>
        </is>
      </c>
      <c r="B1226" s="6" t="inlineStr">
        <is>
          <t>2023-10-06</t>
        </is>
      </c>
      <c r="C1226" s="6" t="inlineStr">
        <is>
          <t>DIA</t>
        </is>
      </c>
      <c r="D1226" s="6" t="inlineStr">
        <is>
          <t>JPM</t>
        </is>
      </c>
      <c r="E1226" s="6" t="inlineStr">
        <is>
          <t>JPM</t>
        </is>
      </c>
      <c r="F1226" s="6" t="inlineStr">
        <is>
          <t>-</t>
        </is>
      </c>
      <c r="G1226" s="7" t="n">
        <v>137.4514923095703</v>
      </c>
      <c r="H1226" s="6">
        <f>P1195</f>
        <v/>
      </c>
      <c r="I1226" s="9">
        <f>Q1195</f>
        <v/>
      </c>
      <c r="J1226" s="7">
        <f>I1226*G1226</f>
        <v/>
      </c>
      <c r="K1226" s="8">
        <f>IF($J$1241=0,0,J1226/$J$1241)</f>
        <v/>
      </c>
      <c r="L1226" s="6" t="inlineStr">
        <is>
          <t>REJECTED</t>
        </is>
      </c>
      <c r="M1226" s="8" t="n">
        <v>0</v>
      </c>
      <c r="N1226" s="7">
        <f>M1226*$J$1241-J1226</f>
        <v/>
      </c>
      <c r="O1226" s="9">
        <f>IF(G1226=0,0,N1226/G1226)</f>
        <v/>
      </c>
      <c r="P1226" s="6">
        <f>IF(M1226&gt;0,D1226,"")</f>
        <v/>
      </c>
      <c r="Q1226" s="9">
        <f>I1226+O1226</f>
        <v/>
      </c>
      <c r="R1226" s="7">
        <f>Q1226*G1226</f>
        <v/>
      </c>
      <c r="S1226" s="8">
        <f>IF($R$1241=0,0,R1226/$R$1241)</f>
        <v/>
      </c>
      <c r="T1226" s="8" t="n">
        <v>0</v>
      </c>
      <c r="U1226" s="8" t="n">
        <v>-0.002537625180680569</v>
      </c>
      <c r="V1226" s="6" t="inlineStr">
        <is>
          <t>not selected</t>
        </is>
      </c>
    </row>
    <row r="1227">
      <c r="A1227" s="6" t="inlineStr">
        <is>
          <t>DJ30</t>
        </is>
      </c>
      <c r="B1227" s="6" t="inlineStr">
        <is>
          <t>2023-10-06</t>
        </is>
      </c>
      <c r="C1227" s="6" t="inlineStr">
        <is>
          <t>DIA</t>
        </is>
      </c>
      <c r="D1227" s="6" t="inlineStr">
        <is>
          <t>KO</t>
        </is>
      </c>
      <c r="E1227" s="6" t="inlineStr">
        <is>
          <t>KO</t>
        </is>
      </c>
      <c r="F1227" s="6" t="inlineStr">
        <is>
          <t>-</t>
        </is>
      </c>
      <c r="G1227" s="7" t="n">
        <v>49.03576278686523</v>
      </c>
      <c r="H1227" s="6">
        <f>P1196</f>
        <v/>
      </c>
      <c r="I1227" s="9">
        <f>Q1196</f>
        <v/>
      </c>
      <c r="J1227" s="7">
        <f>I1227*G1227</f>
        <v/>
      </c>
      <c r="K1227" s="8">
        <f>IF($J$1241=0,0,J1227/$J$1241)</f>
        <v/>
      </c>
      <c r="L1227" s="6" t="inlineStr">
        <is>
          <t>REJECTED</t>
        </is>
      </c>
      <c r="M1227" s="8" t="n">
        <v>0</v>
      </c>
      <c r="N1227" s="7">
        <f>M1227*$J$1241-J1227</f>
        <v/>
      </c>
      <c r="O1227" s="9">
        <f>IF(G1227=0,0,N1227/G1227)</f>
        <v/>
      </c>
      <c r="P1227" s="6">
        <f>IF(M1227&gt;0,D1227,"")</f>
        <v/>
      </c>
      <c r="Q1227" s="9">
        <f>I1227+O1227</f>
        <v/>
      </c>
      <c r="R1227" s="7">
        <f>Q1227*G1227</f>
        <v/>
      </c>
      <c r="S1227" s="8">
        <f>IF($R$1241=0,0,R1227/$R$1241)</f>
        <v/>
      </c>
      <c r="T1227" s="8" t="n">
        <v>0</v>
      </c>
      <c r="U1227" s="8" t="n">
        <v>-0.002537625180680569</v>
      </c>
      <c r="V1227" s="6" t="inlineStr">
        <is>
          <t>not selected</t>
        </is>
      </c>
    </row>
    <row r="1228">
      <c r="A1228" s="6" t="inlineStr">
        <is>
          <t>DJ30</t>
        </is>
      </c>
      <c r="B1228" s="6" t="inlineStr">
        <is>
          <t>2023-10-06</t>
        </is>
      </c>
      <c r="C1228" s="6" t="inlineStr">
        <is>
          <t>DIA</t>
        </is>
      </c>
      <c r="D1228" s="6" t="inlineStr">
        <is>
          <t>MCD</t>
        </is>
      </c>
      <c r="E1228" s="6" t="inlineStr">
        <is>
          <t>MCD</t>
        </is>
      </c>
      <c r="F1228" s="6" t="inlineStr">
        <is>
          <t>-</t>
        </is>
      </c>
      <c r="G1228" s="7" t="n">
        <v>232.5279235839844</v>
      </c>
      <c r="H1228" s="6">
        <f>P1197</f>
        <v/>
      </c>
      <c r="I1228" s="9">
        <f>Q1197</f>
        <v/>
      </c>
      <c r="J1228" s="7">
        <f>I1228*G1228</f>
        <v/>
      </c>
      <c r="K1228" s="8">
        <f>IF($J$1241=0,0,J1228/$J$1241)</f>
        <v/>
      </c>
      <c r="L1228" s="6" t="inlineStr">
        <is>
          <t>REJECTED</t>
        </is>
      </c>
      <c r="M1228" s="8" t="n">
        <v>0</v>
      </c>
      <c r="N1228" s="7">
        <f>M1228*$J$1241-J1228</f>
        <v/>
      </c>
      <c r="O1228" s="9">
        <f>IF(G1228=0,0,N1228/G1228)</f>
        <v/>
      </c>
      <c r="P1228" s="6">
        <f>IF(M1228&gt;0,D1228,"")</f>
        <v/>
      </c>
      <c r="Q1228" s="9">
        <f>I1228+O1228</f>
        <v/>
      </c>
      <c r="R1228" s="7">
        <f>Q1228*G1228</f>
        <v/>
      </c>
      <c r="S1228" s="8">
        <f>IF($R$1241=0,0,R1228/$R$1241)</f>
        <v/>
      </c>
      <c r="T1228" s="8" t="n">
        <v>0</v>
      </c>
      <c r="U1228" s="8" t="n">
        <v>-0.002537625180680569</v>
      </c>
      <c r="V1228" s="6" t="inlineStr">
        <is>
          <t>not selected</t>
        </is>
      </c>
    </row>
    <row r="1229">
      <c r="A1229" s="6" t="inlineStr">
        <is>
          <t>DJ30</t>
        </is>
      </c>
      <c r="B1229" s="6" t="inlineStr">
        <is>
          <t>2023-10-06</t>
        </is>
      </c>
      <c r="C1229" s="6" t="inlineStr">
        <is>
          <t>DIA</t>
        </is>
      </c>
      <c r="D1229" s="6" t="inlineStr">
        <is>
          <t>MMM</t>
        </is>
      </c>
      <c r="E1229" s="6" t="inlineStr">
        <is>
          <t>MMM</t>
        </is>
      </c>
      <c r="F1229" s="6" t="inlineStr">
        <is>
          <t>-</t>
        </is>
      </c>
      <c r="G1229" s="7" t="n">
        <v>68.364990234375</v>
      </c>
      <c r="H1229" s="6">
        <f>P1198</f>
        <v/>
      </c>
      <c r="I1229" s="9">
        <f>Q1198</f>
        <v/>
      </c>
      <c r="J1229" s="7">
        <f>I1229*G1229</f>
        <v/>
      </c>
      <c r="K1229" s="8">
        <f>IF($J$1241=0,0,J1229/$J$1241)</f>
        <v/>
      </c>
      <c r="L1229" s="6" t="inlineStr">
        <is>
          <t>REJECTED</t>
        </is>
      </c>
      <c r="M1229" s="8" t="n">
        <v>0</v>
      </c>
      <c r="N1229" s="7">
        <f>M1229*$J$1241-J1229</f>
        <v/>
      </c>
      <c r="O1229" s="9">
        <f>IF(G1229=0,0,N1229/G1229)</f>
        <v/>
      </c>
      <c r="P1229" s="6">
        <f>IF(M1229&gt;0,D1229,"")</f>
        <v/>
      </c>
      <c r="Q1229" s="9">
        <f>I1229+O1229</f>
        <v/>
      </c>
      <c r="R1229" s="7">
        <f>Q1229*G1229</f>
        <v/>
      </c>
      <c r="S1229" s="8">
        <f>IF($R$1241=0,0,R1229/$R$1241)</f>
        <v/>
      </c>
      <c r="T1229" s="8" t="n">
        <v>0</v>
      </c>
      <c r="U1229" s="8" t="n">
        <v>-0.002537625180680569</v>
      </c>
      <c r="V1229" s="6" t="inlineStr">
        <is>
          <t>not selected</t>
        </is>
      </c>
    </row>
    <row r="1230">
      <c r="A1230" s="6" t="inlineStr">
        <is>
          <t>DJ30</t>
        </is>
      </c>
      <c r="B1230" s="6" t="inlineStr">
        <is>
          <t>2023-10-06</t>
        </is>
      </c>
      <c r="C1230" s="6" t="inlineStr">
        <is>
          <t>DIA</t>
        </is>
      </c>
      <c r="D1230" s="6" t="inlineStr">
        <is>
          <t>MRK</t>
        </is>
      </c>
      <c r="E1230" s="6" t="inlineStr">
        <is>
          <t>MRK</t>
        </is>
      </c>
      <c r="F1230" s="6" t="inlineStr">
        <is>
          <t>-</t>
        </is>
      </c>
      <c r="G1230" s="7" t="n">
        <v>95.35845947265624</v>
      </c>
      <c r="H1230" s="6">
        <f>P1199</f>
        <v/>
      </c>
      <c r="I1230" s="9">
        <f>Q1199</f>
        <v/>
      </c>
      <c r="J1230" s="7">
        <f>I1230*G1230</f>
        <v/>
      </c>
      <c r="K1230" s="8">
        <f>IF($J$1241=0,0,J1230/$J$1241)</f>
        <v/>
      </c>
      <c r="L1230" s="6" t="inlineStr">
        <is>
          <t>REJECTED</t>
        </is>
      </c>
      <c r="M1230" s="8" t="n">
        <v>0</v>
      </c>
      <c r="N1230" s="7">
        <f>M1230*$J$1241-J1230</f>
        <v/>
      </c>
      <c r="O1230" s="9">
        <f>IF(G1230=0,0,N1230/G1230)</f>
        <v/>
      </c>
      <c r="P1230" s="6">
        <f>IF(M1230&gt;0,D1230,"")</f>
        <v/>
      </c>
      <c r="Q1230" s="9">
        <f>I1230+O1230</f>
        <v/>
      </c>
      <c r="R1230" s="7">
        <f>Q1230*G1230</f>
        <v/>
      </c>
      <c r="S1230" s="8">
        <f>IF($R$1241=0,0,R1230/$R$1241)</f>
        <v/>
      </c>
      <c r="T1230" s="8" t="n">
        <v>0</v>
      </c>
      <c r="U1230" s="8" t="n">
        <v>-0.002537625180680569</v>
      </c>
      <c r="V1230" s="6" t="inlineStr">
        <is>
          <t>not selected</t>
        </is>
      </c>
    </row>
    <row r="1231">
      <c r="A1231" s="6" t="inlineStr">
        <is>
          <t>DJ30</t>
        </is>
      </c>
      <c r="B1231" s="6" t="inlineStr">
        <is>
          <t>2023-10-06</t>
        </is>
      </c>
      <c r="C1231" s="6" t="inlineStr">
        <is>
          <t>DIA</t>
        </is>
      </c>
      <c r="D1231" s="6" t="inlineStr">
        <is>
          <t>MSFT</t>
        </is>
      </c>
      <c r="E1231" s="6" t="inlineStr">
        <is>
          <t>MSFT</t>
        </is>
      </c>
      <c r="F1231" s="6" t="inlineStr">
        <is>
          <t>-</t>
        </is>
      </c>
      <c r="G1231" s="7" t="n">
        <v>320.3724060058594</v>
      </c>
      <c r="H1231" s="6">
        <f>P1200</f>
        <v/>
      </c>
      <c r="I1231" s="9">
        <f>Q1200</f>
        <v/>
      </c>
      <c r="J1231" s="7">
        <f>I1231*G1231</f>
        <v/>
      </c>
      <c r="K1231" s="8">
        <f>IF($J$1241=0,0,J1231/$J$1241)</f>
        <v/>
      </c>
      <c r="L1231" s="6" t="inlineStr">
        <is>
          <t>REJECTED</t>
        </is>
      </c>
      <c r="M1231" s="8" t="n">
        <v>0</v>
      </c>
      <c r="N1231" s="7">
        <f>M1231*$J$1241-J1231</f>
        <v/>
      </c>
      <c r="O1231" s="9">
        <f>IF(G1231=0,0,N1231/G1231)</f>
        <v/>
      </c>
      <c r="P1231" s="6">
        <f>IF(M1231&gt;0,D1231,"")</f>
        <v/>
      </c>
      <c r="Q1231" s="9">
        <f>I1231+O1231</f>
        <v/>
      </c>
      <c r="R1231" s="7">
        <f>Q1231*G1231</f>
        <v/>
      </c>
      <c r="S1231" s="8">
        <f>IF($R$1241=0,0,R1231/$R$1241)</f>
        <v/>
      </c>
      <c r="T1231" s="8" t="n">
        <v>0</v>
      </c>
      <c r="U1231" s="8" t="n">
        <v>-0.002537625180680569</v>
      </c>
      <c r="V1231" s="6" t="inlineStr">
        <is>
          <t>not selected</t>
        </is>
      </c>
    </row>
    <row r="1232">
      <c r="A1232" s="6" t="inlineStr">
        <is>
          <t>DJ30</t>
        </is>
      </c>
      <c r="B1232" s="6" t="inlineStr">
        <is>
          <t>2023-10-06</t>
        </is>
      </c>
      <c r="C1232" s="6" t="inlineStr">
        <is>
          <t>DIA</t>
        </is>
      </c>
      <c r="D1232" s="6" t="inlineStr">
        <is>
          <t>NKE</t>
        </is>
      </c>
      <c r="E1232" s="6" t="inlineStr">
        <is>
          <t>NKE</t>
        </is>
      </c>
      <c r="F1232" s="6" t="inlineStr">
        <is>
          <t>-</t>
        </is>
      </c>
      <c r="G1232" s="7" t="n">
        <v>91.53592681884766</v>
      </c>
      <c r="H1232" s="6">
        <f>P1201</f>
        <v/>
      </c>
      <c r="I1232" s="9">
        <f>Q1201</f>
        <v/>
      </c>
      <c r="J1232" s="7">
        <f>I1232*G1232</f>
        <v/>
      </c>
      <c r="K1232" s="8">
        <f>IF($J$1241=0,0,J1232/$J$1241)</f>
        <v/>
      </c>
      <c r="L1232" s="6" t="inlineStr">
        <is>
          <t>REJECTED</t>
        </is>
      </c>
      <c r="M1232" s="8" t="n">
        <v>0</v>
      </c>
      <c r="N1232" s="7">
        <f>M1232*$J$1241-J1232</f>
        <v/>
      </c>
      <c r="O1232" s="9">
        <f>IF(G1232=0,0,N1232/G1232)</f>
        <v/>
      </c>
      <c r="P1232" s="6">
        <f>IF(M1232&gt;0,D1232,"")</f>
        <v/>
      </c>
      <c r="Q1232" s="9">
        <f>I1232+O1232</f>
        <v/>
      </c>
      <c r="R1232" s="7">
        <f>Q1232*G1232</f>
        <v/>
      </c>
      <c r="S1232" s="8">
        <f>IF($R$1241=0,0,R1232/$R$1241)</f>
        <v/>
      </c>
      <c r="T1232" s="8" t="n">
        <v>0</v>
      </c>
      <c r="U1232" s="8" t="n">
        <v>-0.002537625180680569</v>
      </c>
      <c r="V1232" s="6" t="inlineStr">
        <is>
          <t>not selected</t>
        </is>
      </c>
    </row>
    <row r="1233">
      <c r="A1233" s="6" t="inlineStr">
        <is>
          <t>DJ30</t>
        </is>
      </c>
      <c r="B1233" s="6" t="inlineStr">
        <is>
          <t>2023-10-06</t>
        </is>
      </c>
      <c r="C1233" s="6" t="inlineStr">
        <is>
          <t>DIA</t>
        </is>
      </c>
      <c r="D1233" s="6" t="inlineStr">
        <is>
          <t>NVDA</t>
        </is>
      </c>
      <c r="E1233" s="6" t="inlineStr">
        <is>
          <t>NVDA</t>
        </is>
      </c>
      <c r="F1233" s="6" t="inlineStr">
        <is>
          <t>-</t>
        </is>
      </c>
      <c r="G1233" s="7" t="n">
        <v>45.6767807006836</v>
      </c>
      <c r="H1233" s="6">
        <f>P1202</f>
        <v/>
      </c>
      <c r="I1233" s="9">
        <f>Q1202</f>
        <v/>
      </c>
      <c r="J1233" s="7">
        <f>I1233*G1233</f>
        <v/>
      </c>
      <c r="K1233" s="8">
        <f>IF($J$1241=0,0,J1233/$J$1241)</f>
        <v/>
      </c>
      <c r="L1233" s="6" t="inlineStr">
        <is>
          <t>REJECTED</t>
        </is>
      </c>
      <c r="M1233" s="8" t="n">
        <v>0</v>
      </c>
      <c r="N1233" s="7">
        <f>M1233*$J$1241-J1233</f>
        <v/>
      </c>
      <c r="O1233" s="9">
        <f>IF(G1233=0,0,N1233/G1233)</f>
        <v/>
      </c>
      <c r="P1233" s="6">
        <f>IF(M1233&gt;0,D1233,"")</f>
        <v/>
      </c>
      <c r="Q1233" s="9">
        <f>I1233+O1233</f>
        <v/>
      </c>
      <c r="R1233" s="7">
        <f>Q1233*G1233</f>
        <v/>
      </c>
      <c r="S1233" s="8">
        <f>IF($R$1241=0,0,R1233/$R$1241)</f>
        <v/>
      </c>
      <c r="T1233" s="8" t="n">
        <v>0</v>
      </c>
      <c r="U1233" s="8" t="n">
        <v>-0.002537625180680569</v>
      </c>
      <c r="V1233" s="6" t="inlineStr">
        <is>
          <t>not selected</t>
        </is>
      </c>
    </row>
    <row r="1234">
      <c r="A1234" s="6" t="inlineStr">
        <is>
          <t>DJ30</t>
        </is>
      </c>
      <c r="B1234" s="6" t="inlineStr">
        <is>
          <t>2023-10-06</t>
        </is>
      </c>
      <c r="C1234" s="6" t="inlineStr">
        <is>
          <t>DIA</t>
        </is>
      </c>
      <c r="D1234" s="6" t="inlineStr">
        <is>
          <t>PG</t>
        </is>
      </c>
      <c r="E1234" s="6" t="inlineStr">
        <is>
          <t>PG</t>
        </is>
      </c>
      <c r="F1234" s="6" t="inlineStr">
        <is>
          <t>-</t>
        </is>
      </c>
      <c r="G1234" s="7" t="n">
        <v>134.1423797607422</v>
      </c>
      <c r="H1234" s="6">
        <f>P1203</f>
        <v/>
      </c>
      <c r="I1234" s="9">
        <f>Q1203</f>
        <v/>
      </c>
      <c r="J1234" s="7">
        <f>I1234*G1234</f>
        <v/>
      </c>
      <c r="K1234" s="8">
        <f>IF($J$1241=0,0,J1234/$J$1241)</f>
        <v/>
      </c>
      <c r="L1234" s="6" t="inlineStr">
        <is>
          <t>REJECTED</t>
        </is>
      </c>
      <c r="M1234" s="8" t="n">
        <v>0</v>
      </c>
      <c r="N1234" s="7">
        <f>M1234*$J$1241-J1234</f>
        <v/>
      </c>
      <c r="O1234" s="9">
        <f>IF(G1234=0,0,N1234/G1234)</f>
        <v/>
      </c>
      <c r="P1234" s="6">
        <f>IF(M1234&gt;0,D1234,"")</f>
        <v/>
      </c>
      <c r="Q1234" s="9">
        <f>I1234+O1234</f>
        <v/>
      </c>
      <c r="R1234" s="7">
        <f>Q1234*G1234</f>
        <v/>
      </c>
      <c r="S1234" s="8">
        <f>IF($R$1241=0,0,R1234/$R$1241)</f>
        <v/>
      </c>
      <c r="T1234" s="8" t="n">
        <v>0</v>
      </c>
      <c r="U1234" s="8" t="n">
        <v>-0.002537625180680569</v>
      </c>
      <c r="V1234" s="6" t="inlineStr">
        <is>
          <t>not selected</t>
        </is>
      </c>
    </row>
    <row r="1235">
      <c r="A1235" s="6" t="inlineStr">
        <is>
          <t>DJ30</t>
        </is>
      </c>
      <c r="B1235" s="6" t="inlineStr">
        <is>
          <t>2023-10-06</t>
        </is>
      </c>
      <c r="C1235" s="6" t="inlineStr">
        <is>
          <t>DIA</t>
        </is>
      </c>
      <c r="D1235" s="6" t="inlineStr">
        <is>
          <t>SHW</t>
        </is>
      </c>
      <c r="E1235" s="6" t="inlineStr">
        <is>
          <t>SHW</t>
        </is>
      </c>
      <c r="F1235" s="6" t="inlineStr">
        <is>
          <t>-</t>
        </is>
      </c>
      <c r="G1235" s="7" t="n">
        <v>248.7319030761719</v>
      </c>
      <c r="H1235" s="6">
        <f>P1204</f>
        <v/>
      </c>
      <c r="I1235" s="9">
        <f>Q1204</f>
        <v/>
      </c>
      <c r="J1235" s="7">
        <f>I1235*G1235</f>
        <v/>
      </c>
      <c r="K1235" s="8">
        <f>IF($J$1241=0,0,J1235/$J$1241)</f>
        <v/>
      </c>
      <c r="L1235" s="6" t="inlineStr">
        <is>
          <t>REJECTED</t>
        </is>
      </c>
      <c r="M1235" s="8" t="n">
        <v>0</v>
      </c>
      <c r="N1235" s="7">
        <f>M1235*$J$1241-J1235</f>
        <v/>
      </c>
      <c r="O1235" s="9">
        <f>IF(G1235=0,0,N1235/G1235)</f>
        <v/>
      </c>
      <c r="P1235" s="6">
        <f>IF(M1235&gt;0,D1235,"")</f>
        <v/>
      </c>
      <c r="Q1235" s="9">
        <f>I1235+O1235</f>
        <v/>
      </c>
      <c r="R1235" s="7">
        <f>Q1235*G1235</f>
        <v/>
      </c>
      <c r="S1235" s="8">
        <f>IF($R$1241=0,0,R1235/$R$1241)</f>
        <v/>
      </c>
      <c r="T1235" s="8" t="n">
        <v>0</v>
      </c>
      <c r="U1235" s="8" t="n">
        <v>-0.002537625180680569</v>
      </c>
      <c r="V1235" s="6" t="inlineStr">
        <is>
          <t>not selected</t>
        </is>
      </c>
    </row>
    <row r="1236">
      <c r="A1236" s="6" t="inlineStr">
        <is>
          <t>DJ30</t>
        </is>
      </c>
      <c r="B1236" s="6" t="inlineStr">
        <is>
          <t>2023-10-06</t>
        </is>
      </c>
      <c r="C1236" s="6" t="inlineStr">
        <is>
          <t>DIA</t>
        </is>
      </c>
      <c r="D1236" s="6" t="inlineStr">
        <is>
          <t>TRV</t>
        </is>
      </c>
      <c r="E1236" s="6" t="inlineStr">
        <is>
          <t>TRV</t>
        </is>
      </c>
      <c r="F1236" s="6" t="inlineStr">
        <is>
          <t>-</t>
        </is>
      </c>
      <c r="G1236" s="7" t="n">
        <v>155.3930053710938</v>
      </c>
      <c r="H1236" s="6">
        <f>P1205</f>
        <v/>
      </c>
      <c r="I1236" s="9">
        <f>Q1205</f>
        <v/>
      </c>
      <c r="J1236" s="7">
        <f>I1236*G1236</f>
        <v/>
      </c>
      <c r="K1236" s="8">
        <f>IF($J$1241=0,0,J1236/$J$1241)</f>
        <v/>
      </c>
      <c r="L1236" s="6" t="inlineStr">
        <is>
          <t>REJECTED</t>
        </is>
      </c>
      <c r="M1236" s="8" t="n">
        <v>0</v>
      </c>
      <c r="N1236" s="7">
        <f>M1236*$J$1241-J1236</f>
        <v/>
      </c>
      <c r="O1236" s="9">
        <f>IF(G1236=0,0,N1236/G1236)</f>
        <v/>
      </c>
      <c r="P1236" s="6">
        <f>IF(M1236&gt;0,D1236,"")</f>
        <v/>
      </c>
      <c r="Q1236" s="9">
        <f>I1236+O1236</f>
        <v/>
      </c>
      <c r="R1236" s="7">
        <f>Q1236*G1236</f>
        <v/>
      </c>
      <c r="S1236" s="8">
        <f>IF($R$1241=0,0,R1236/$R$1241)</f>
        <v/>
      </c>
      <c r="T1236" s="8" t="n">
        <v>0</v>
      </c>
      <c r="U1236" s="8" t="n">
        <v>-0.002537625180680569</v>
      </c>
      <c r="V1236" s="6" t="inlineStr">
        <is>
          <t>not selected</t>
        </is>
      </c>
    </row>
    <row r="1237">
      <c r="A1237" s="6" t="inlineStr">
        <is>
          <t>DJ30</t>
        </is>
      </c>
      <c r="B1237" s="6" t="inlineStr">
        <is>
          <t>2023-10-06</t>
        </is>
      </c>
      <c r="C1237" s="6" t="inlineStr">
        <is>
          <t>DIA</t>
        </is>
      </c>
      <c r="D1237" s="6" t="inlineStr">
        <is>
          <t>UNH</t>
        </is>
      </c>
      <c r="E1237" s="6" t="inlineStr">
        <is>
          <t>UNH</t>
        </is>
      </c>
      <c r="F1237" s="6" t="inlineStr">
        <is>
          <t>-</t>
        </is>
      </c>
      <c r="G1237" s="7" t="n">
        <v>495.8766784667969</v>
      </c>
      <c r="H1237" s="6">
        <f>P1206</f>
        <v/>
      </c>
      <c r="I1237" s="9">
        <f>Q1206</f>
        <v/>
      </c>
      <c r="J1237" s="7">
        <f>I1237*G1237</f>
        <v/>
      </c>
      <c r="K1237" s="8">
        <f>IF($J$1241=0,0,J1237/$J$1241)</f>
        <v/>
      </c>
      <c r="L1237" s="6" t="inlineStr">
        <is>
          <t>REJECTED</t>
        </is>
      </c>
      <c r="M1237" s="8" t="n">
        <v>0</v>
      </c>
      <c r="N1237" s="7">
        <f>M1237*$J$1241-J1237</f>
        <v/>
      </c>
      <c r="O1237" s="9">
        <f>IF(G1237=0,0,N1237/G1237)</f>
        <v/>
      </c>
      <c r="P1237" s="6">
        <f>IF(M1237&gt;0,D1237,"")</f>
        <v/>
      </c>
      <c r="Q1237" s="9">
        <f>I1237+O1237</f>
        <v/>
      </c>
      <c r="R1237" s="7">
        <f>Q1237*G1237</f>
        <v/>
      </c>
      <c r="S1237" s="8">
        <f>IF($R$1241=0,0,R1237/$R$1241)</f>
        <v/>
      </c>
      <c r="T1237" s="8" t="n">
        <v>0</v>
      </c>
      <c r="U1237" s="8" t="n">
        <v>-0.002537625180680569</v>
      </c>
      <c r="V1237" s="6" t="inlineStr">
        <is>
          <t>not selected</t>
        </is>
      </c>
    </row>
    <row r="1238">
      <c r="A1238" s="6" t="inlineStr">
        <is>
          <t>DJ30</t>
        </is>
      </c>
      <c r="B1238" s="6" t="inlineStr">
        <is>
          <t>2023-10-06</t>
        </is>
      </c>
      <c r="C1238" s="6" t="inlineStr">
        <is>
          <t>DIA</t>
        </is>
      </c>
      <c r="D1238" s="6" t="inlineStr">
        <is>
          <t>V</t>
        </is>
      </c>
      <c r="E1238" s="6" t="inlineStr">
        <is>
          <t>V</t>
        </is>
      </c>
      <c r="F1238" s="6" t="inlineStr">
        <is>
          <t>-</t>
        </is>
      </c>
      <c r="G1238" s="7" t="n">
        <v>230.1672058105469</v>
      </c>
      <c r="H1238" s="6">
        <f>P1207</f>
        <v/>
      </c>
      <c r="I1238" s="9">
        <f>Q1207</f>
        <v/>
      </c>
      <c r="J1238" s="7">
        <f>I1238*G1238</f>
        <v/>
      </c>
      <c r="K1238" s="8">
        <f>IF($J$1241=0,0,J1238/$J$1241)</f>
        <v/>
      </c>
      <c r="L1238" s="6" t="inlineStr">
        <is>
          <t>REJECTED</t>
        </is>
      </c>
      <c r="M1238" s="8" t="n">
        <v>0</v>
      </c>
      <c r="N1238" s="7">
        <f>M1238*$J$1241-J1238</f>
        <v/>
      </c>
      <c r="O1238" s="9">
        <f>IF(G1238=0,0,N1238/G1238)</f>
        <v/>
      </c>
      <c r="P1238" s="6">
        <f>IF(M1238&gt;0,D1238,"")</f>
        <v/>
      </c>
      <c r="Q1238" s="9">
        <f>I1238+O1238</f>
        <v/>
      </c>
      <c r="R1238" s="7">
        <f>Q1238*G1238</f>
        <v/>
      </c>
      <c r="S1238" s="8">
        <f>IF($R$1241=0,0,R1238/$R$1241)</f>
        <v/>
      </c>
      <c r="T1238" s="8" t="n">
        <v>0</v>
      </c>
      <c r="U1238" s="8" t="n">
        <v>-0.002537625180680569</v>
      </c>
      <c r="V1238" s="6" t="inlineStr">
        <is>
          <t>not selected</t>
        </is>
      </c>
    </row>
    <row r="1239">
      <c r="A1239" s="6" t="inlineStr">
        <is>
          <t>DJ30</t>
        </is>
      </c>
      <c r="B1239" s="6" t="inlineStr">
        <is>
          <t>2023-10-06</t>
        </is>
      </c>
      <c r="C1239" s="6" t="inlineStr">
        <is>
          <t>DIA</t>
        </is>
      </c>
      <c r="D1239" s="6" t="inlineStr">
        <is>
          <t>VZ</t>
        </is>
      </c>
      <c r="E1239" s="6" t="inlineStr">
        <is>
          <t>VZ</t>
        </is>
      </c>
      <c r="F1239" s="6" t="inlineStr">
        <is>
          <t>-</t>
        </is>
      </c>
      <c r="G1239" s="7" t="n">
        <v>26.20408058166504</v>
      </c>
      <c r="H1239" s="6">
        <f>P1208</f>
        <v/>
      </c>
      <c r="I1239" s="9">
        <f>Q1208</f>
        <v/>
      </c>
      <c r="J1239" s="7">
        <f>I1239*G1239</f>
        <v/>
      </c>
      <c r="K1239" s="8">
        <f>IF($J$1241=0,0,J1239/$J$1241)</f>
        <v/>
      </c>
      <c r="L1239" s="6" t="inlineStr">
        <is>
          <t>REJECTED</t>
        </is>
      </c>
      <c r="M1239" s="8" t="n">
        <v>0</v>
      </c>
      <c r="N1239" s="7">
        <f>M1239*$J$1241-J1239</f>
        <v/>
      </c>
      <c r="O1239" s="9">
        <f>IF(G1239=0,0,N1239/G1239)</f>
        <v/>
      </c>
      <c r="P1239" s="6">
        <f>IF(M1239&gt;0,D1239,"")</f>
        <v/>
      </c>
      <c r="Q1239" s="9">
        <f>I1239+O1239</f>
        <v/>
      </c>
      <c r="R1239" s="7">
        <f>Q1239*G1239</f>
        <v/>
      </c>
      <c r="S1239" s="8">
        <f>IF($R$1241=0,0,R1239/$R$1241)</f>
        <v/>
      </c>
      <c r="T1239" s="8" t="n">
        <v>0</v>
      </c>
      <c r="U1239" s="8" t="n">
        <v>-0.002537625180680569</v>
      </c>
      <c r="V1239" s="6" t="inlineStr">
        <is>
          <t>not selected</t>
        </is>
      </c>
    </row>
    <row r="1240">
      <c r="A1240" s="6" t="inlineStr">
        <is>
          <t>DJ30</t>
        </is>
      </c>
      <c r="B1240" s="6" t="inlineStr">
        <is>
          <t>2023-10-06</t>
        </is>
      </c>
      <c r="C1240" s="6" t="inlineStr">
        <is>
          <t>DIA</t>
        </is>
      </c>
      <c r="D1240" s="6" t="inlineStr">
        <is>
          <t>WMT</t>
        </is>
      </c>
      <c r="E1240" s="6" t="inlineStr">
        <is>
          <t>WMT</t>
        </is>
      </c>
      <c r="F1240" s="6" t="inlineStr">
        <is>
          <t>-</t>
        </is>
      </c>
      <c r="G1240" s="7" t="n">
        <v>50.64107513427734</v>
      </c>
      <c r="H1240" s="6">
        <f>P1209</f>
        <v/>
      </c>
      <c r="I1240" s="9">
        <f>Q1209</f>
        <v/>
      </c>
      <c r="J1240" s="7">
        <f>I1240*G1240</f>
        <v/>
      </c>
      <c r="K1240" s="8">
        <f>IF($J$1241=0,0,J1240/$J$1241)</f>
        <v/>
      </c>
      <c r="L1240" s="6" t="inlineStr">
        <is>
          <t>REJECTED</t>
        </is>
      </c>
      <c r="M1240" s="8" t="n">
        <v>0</v>
      </c>
      <c r="N1240" s="7">
        <f>M1240*$J$1241-J1240</f>
        <v/>
      </c>
      <c r="O1240" s="9">
        <f>IF(G1240=0,0,N1240/G1240)</f>
        <v/>
      </c>
      <c r="P1240" s="6">
        <f>IF(M1240&gt;0,D1240,"")</f>
        <v/>
      </c>
      <c r="Q1240" s="9">
        <f>I1240+O1240</f>
        <v/>
      </c>
      <c r="R1240" s="7">
        <f>Q1240*G1240</f>
        <v/>
      </c>
      <c r="S1240" s="8">
        <f>IF($R$1241=0,0,R1240/$R$1241)</f>
        <v/>
      </c>
      <c r="T1240" s="8" t="n">
        <v>0</v>
      </c>
      <c r="U1240" s="8" t="n">
        <v>-0.002537625180680569</v>
      </c>
      <c r="V1240" s="6" t="inlineStr">
        <is>
          <t>not selected</t>
        </is>
      </c>
    </row>
    <row r="1241">
      <c r="A1241" s="10" t="inlineStr">
        <is>
          <t>DJ30</t>
        </is>
      </c>
      <c r="B1241" s="10" t="inlineStr">
        <is>
          <t>2023-10-06</t>
        </is>
      </c>
      <c r="C1241" s="10" t="inlineStr">
        <is>
          <t>DIA</t>
        </is>
      </c>
      <c r="D1241" s="10" t="inlineStr">
        <is>
          <t>Tot Portfolio</t>
        </is>
      </c>
      <c r="E1241" s="10" t="inlineStr"/>
      <c r="F1241" s="10" t="inlineStr"/>
      <c r="G1241" s="11" t="inlineStr"/>
      <c r="H1241" s="10" t="inlineStr"/>
      <c r="I1241" s="12" t="inlineStr"/>
      <c r="J1241" s="11">
        <f>SUM(J1211:J1240)</f>
        <v/>
      </c>
      <c r="K1241" s="13">
        <f>SUM(K1211:K1240)</f>
        <v/>
      </c>
      <c r="L1241" s="10" t="inlineStr">
        <is>
          <t>TOTAL</t>
        </is>
      </c>
      <c r="M1241" s="13">
        <f>SUM(M1211:M1240)</f>
        <v/>
      </c>
      <c r="N1241" s="11">
        <f>SUM(N1211:N1240)</f>
        <v/>
      </c>
      <c r="O1241" s="12">
        <f>SUM(O1211:O1240)</f>
        <v/>
      </c>
      <c r="P1241" s="10" t="inlineStr"/>
      <c r="Q1241" s="12" t="inlineStr"/>
      <c r="R1241" s="11">
        <f>SUM(R1211:R1240)</f>
        <v/>
      </c>
      <c r="S1241" s="13">
        <f>SUM(S1211:S1240)</f>
        <v/>
      </c>
      <c r="T1241" s="13" t="n">
        <v>0</v>
      </c>
      <c r="U1241" s="13" t="n">
        <v>-0.002537625180680569</v>
      </c>
      <c r="V1241" s="10" t="inlineStr"/>
    </row>
    <row r="1242">
      <c r="A1242" s="6" t="inlineStr">
        <is>
          <t>DJ30</t>
        </is>
      </c>
      <c r="B1242" s="6" t="inlineStr">
        <is>
          <t>2023-10-13</t>
        </is>
      </c>
      <c r="C1242" s="6" t="inlineStr">
        <is>
          <t>DIA</t>
        </is>
      </c>
      <c r="D1242" s="6" t="inlineStr">
        <is>
          <t>AAPL</t>
        </is>
      </c>
      <c r="E1242" s="6" t="inlineStr">
        <is>
          <t>AAPL</t>
        </is>
      </c>
      <c r="F1242" s="6" t="inlineStr">
        <is>
          <t>-</t>
        </is>
      </c>
      <c r="G1242" s="7" t="n">
        <v>176.6155090332031</v>
      </c>
      <c r="H1242" s="6">
        <f>P1211</f>
        <v/>
      </c>
      <c r="I1242" s="9">
        <f>Q1211</f>
        <v/>
      </c>
      <c r="J1242" s="7">
        <f>I1242*G1242</f>
        <v/>
      </c>
      <c r="K1242" s="8">
        <f>IF($J$1272=0,0,J1242/$J$1272)</f>
        <v/>
      </c>
      <c r="L1242" s="6" t="inlineStr">
        <is>
          <t>REJECTED</t>
        </is>
      </c>
      <c r="M1242" s="8" t="n">
        <v>0</v>
      </c>
      <c r="N1242" s="7">
        <f>M1242*$J$1272-J1242</f>
        <v/>
      </c>
      <c r="O1242" s="9">
        <f>IF(G1242=0,0,N1242/G1242)</f>
        <v/>
      </c>
      <c r="P1242" s="6">
        <f>IF(M1242&gt;0,D1242,"")</f>
        <v/>
      </c>
      <c r="Q1242" s="9">
        <f>I1242+O1242</f>
        <v/>
      </c>
      <c r="R1242" s="7">
        <f>Q1242*G1242</f>
        <v/>
      </c>
      <c r="S1242" s="8">
        <f>IF($R$1272=0,0,R1242/$R$1272)</f>
        <v/>
      </c>
      <c r="T1242" s="8" t="n">
        <v>0</v>
      </c>
      <c r="U1242" s="8" t="n">
        <v>0.007722025423236634</v>
      </c>
      <c r="V1242" s="6" t="inlineStr">
        <is>
          <t>not selected</t>
        </is>
      </c>
    </row>
    <row r="1243">
      <c r="A1243" s="6" t="inlineStr">
        <is>
          <t>DJ30</t>
        </is>
      </c>
      <c r="B1243" s="6" t="inlineStr">
        <is>
          <t>2023-10-13</t>
        </is>
      </c>
      <c r="C1243" s="6" t="inlineStr">
        <is>
          <t>DIA</t>
        </is>
      </c>
      <c r="D1243" s="6" t="inlineStr">
        <is>
          <t>AMGN</t>
        </is>
      </c>
      <c r="E1243" s="6" t="inlineStr">
        <is>
          <t>AMGN</t>
        </is>
      </c>
      <c r="F1243" s="6" t="inlineStr">
        <is>
          <t>-</t>
        </is>
      </c>
      <c r="G1243" s="7" t="n">
        <v>261.1946716308594</v>
      </c>
      <c r="H1243" s="6">
        <f>P1212</f>
        <v/>
      </c>
      <c r="I1243" s="9">
        <f>Q1212</f>
        <v/>
      </c>
      <c r="J1243" s="7">
        <f>I1243*G1243</f>
        <v/>
      </c>
      <c r="K1243" s="8">
        <f>IF($J$1272=0,0,J1243/$J$1272)</f>
        <v/>
      </c>
      <c r="L1243" s="6" t="inlineStr">
        <is>
          <t>REJECTED</t>
        </is>
      </c>
      <c r="M1243" s="8" t="n">
        <v>0</v>
      </c>
      <c r="N1243" s="7">
        <f>M1243*$J$1272-J1243</f>
        <v/>
      </c>
      <c r="O1243" s="9">
        <f>IF(G1243=0,0,N1243/G1243)</f>
        <v/>
      </c>
      <c r="P1243" s="6">
        <f>IF(M1243&gt;0,D1243,"")</f>
        <v/>
      </c>
      <c r="Q1243" s="9">
        <f>I1243+O1243</f>
        <v/>
      </c>
      <c r="R1243" s="7">
        <f>Q1243*G1243</f>
        <v/>
      </c>
      <c r="S1243" s="8">
        <f>IF($R$1272=0,0,R1243/$R$1272)</f>
        <v/>
      </c>
      <c r="T1243" s="8" t="n">
        <v>0</v>
      </c>
      <c r="U1243" s="8" t="n">
        <v>0.007722025423236634</v>
      </c>
      <c r="V1243" s="6" t="inlineStr">
        <is>
          <t>not selected</t>
        </is>
      </c>
    </row>
    <row r="1244">
      <c r="A1244" s="6" t="inlineStr">
        <is>
          <t>DJ30</t>
        </is>
      </c>
      <c r="B1244" s="6" t="inlineStr">
        <is>
          <t>2023-10-13</t>
        </is>
      </c>
      <c r="C1244" s="6" t="inlineStr">
        <is>
          <t>DIA</t>
        </is>
      </c>
      <c r="D1244" s="6" t="inlineStr">
        <is>
          <t>AMZN</t>
        </is>
      </c>
      <c r="E1244" s="6" t="inlineStr">
        <is>
          <t>AMZN</t>
        </is>
      </c>
      <c r="F1244" s="6" t="inlineStr">
        <is>
          <t>-</t>
        </is>
      </c>
      <c r="G1244" s="7" t="n">
        <v>129.7899932861328</v>
      </c>
      <c r="H1244" s="6">
        <f>P1213</f>
        <v/>
      </c>
      <c r="I1244" s="9">
        <f>Q1213</f>
        <v/>
      </c>
      <c r="J1244" s="7">
        <f>I1244*G1244</f>
        <v/>
      </c>
      <c r="K1244" s="8">
        <f>IF($J$1272=0,0,J1244/$J$1272)</f>
        <v/>
      </c>
      <c r="L1244" s="6" t="inlineStr">
        <is>
          <t>REJECTED</t>
        </is>
      </c>
      <c r="M1244" s="8" t="n">
        <v>0</v>
      </c>
      <c r="N1244" s="7">
        <f>M1244*$J$1272-J1244</f>
        <v/>
      </c>
      <c r="O1244" s="9">
        <f>IF(G1244=0,0,N1244/G1244)</f>
        <v/>
      </c>
      <c r="P1244" s="6">
        <f>IF(M1244&gt;0,D1244,"")</f>
        <v/>
      </c>
      <c r="Q1244" s="9">
        <f>I1244+O1244</f>
        <v/>
      </c>
      <c r="R1244" s="7">
        <f>Q1244*G1244</f>
        <v/>
      </c>
      <c r="S1244" s="8">
        <f>IF($R$1272=0,0,R1244/$R$1272)</f>
        <v/>
      </c>
      <c r="T1244" s="8" t="n">
        <v>0</v>
      </c>
      <c r="U1244" s="8" t="n">
        <v>0.007722025423236634</v>
      </c>
      <c r="V1244" s="6" t="inlineStr">
        <is>
          <t>not selected</t>
        </is>
      </c>
    </row>
    <row r="1245">
      <c r="A1245" s="6" t="inlineStr">
        <is>
          <t>DJ30</t>
        </is>
      </c>
      <c r="B1245" s="6" t="inlineStr">
        <is>
          <t>2023-10-13</t>
        </is>
      </c>
      <c r="C1245" s="6" t="inlineStr">
        <is>
          <t>DIA</t>
        </is>
      </c>
      <c r="D1245" s="6" t="inlineStr">
        <is>
          <t>AXP</t>
        </is>
      </c>
      <c r="E1245" s="6" t="inlineStr">
        <is>
          <t>AXP</t>
        </is>
      </c>
      <c r="F1245" s="6" t="inlineStr">
        <is>
          <t>-</t>
        </is>
      </c>
      <c r="G1245" s="7" t="n">
        <v>146.9289245605469</v>
      </c>
      <c r="H1245" s="6">
        <f>P1214</f>
        <v/>
      </c>
      <c r="I1245" s="9">
        <f>Q1214</f>
        <v/>
      </c>
      <c r="J1245" s="7">
        <f>I1245*G1245</f>
        <v/>
      </c>
      <c r="K1245" s="8">
        <f>IF($J$1272=0,0,J1245/$J$1272)</f>
        <v/>
      </c>
      <c r="L1245" s="6" t="inlineStr">
        <is>
          <t>REJECTED</t>
        </is>
      </c>
      <c r="M1245" s="8" t="n">
        <v>0</v>
      </c>
      <c r="N1245" s="7">
        <f>M1245*$J$1272-J1245</f>
        <v/>
      </c>
      <c r="O1245" s="9">
        <f>IF(G1245=0,0,N1245/G1245)</f>
        <v/>
      </c>
      <c r="P1245" s="6">
        <f>IF(M1245&gt;0,D1245,"")</f>
        <v/>
      </c>
      <c r="Q1245" s="9">
        <f>I1245+O1245</f>
        <v/>
      </c>
      <c r="R1245" s="7">
        <f>Q1245*G1245</f>
        <v/>
      </c>
      <c r="S1245" s="8">
        <f>IF($R$1272=0,0,R1245/$R$1272)</f>
        <v/>
      </c>
      <c r="T1245" s="8" t="n">
        <v>0</v>
      </c>
      <c r="U1245" s="8" t="n">
        <v>0.007722025423236634</v>
      </c>
      <c r="V1245" s="6" t="inlineStr">
        <is>
          <t>not selected</t>
        </is>
      </c>
    </row>
    <row r="1246">
      <c r="A1246" s="6" t="inlineStr">
        <is>
          <t>DJ30</t>
        </is>
      </c>
      <c r="B1246" s="6" t="inlineStr">
        <is>
          <t>2023-10-13</t>
        </is>
      </c>
      <c r="C1246" s="6" t="inlineStr">
        <is>
          <t>DIA</t>
        </is>
      </c>
      <c r="D1246" s="6" t="inlineStr">
        <is>
          <t>BA</t>
        </is>
      </c>
      <c r="E1246" s="6" t="inlineStr">
        <is>
          <t>BA</t>
        </is>
      </c>
      <c r="F1246" s="6" t="inlineStr">
        <is>
          <t>-</t>
        </is>
      </c>
      <c r="G1246" s="7" t="n">
        <v>184.9100036621093</v>
      </c>
      <c r="H1246" s="6">
        <f>P1215</f>
        <v/>
      </c>
      <c r="I1246" s="9">
        <f>Q1215</f>
        <v/>
      </c>
      <c r="J1246" s="7">
        <f>I1246*G1246</f>
        <v/>
      </c>
      <c r="K1246" s="8">
        <f>IF($J$1272=0,0,J1246/$J$1272)</f>
        <v/>
      </c>
      <c r="L1246" s="6" t="inlineStr">
        <is>
          <t>REJECTED</t>
        </is>
      </c>
      <c r="M1246" s="8" t="n">
        <v>0</v>
      </c>
      <c r="N1246" s="7">
        <f>M1246*$J$1272-J1246</f>
        <v/>
      </c>
      <c r="O1246" s="9">
        <f>IF(G1246=0,0,N1246/G1246)</f>
        <v/>
      </c>
      <c r="P1246" s="6">
        <f>IF(M1246&gt;0,D1246,"")</f>
        <v/>
      </c>
      <c r="Q1246" s="9">
        <f>I1246+O1246</f>
        <v/>
      </c>
      <c r="R1246" s="7">
        <f>Q1246*G1246</f>
        <v/>
      </c>
      <c r="S1246" s="8">
        <f>IF($R$1272=0,0,R1246/$R$1272)</f>
        <v/>
      </c>
      <c r="T1246" s="8" t="n">
        <v>0</v>
      </c>
      <c r="U1246" s="8" t="n">
        <v>0.007722025423236634</v>
      </c>
      <c r="V1246" s="6" t="inlineStr">
        <is>
          <t>not selected</t>
        </is>
      </c>
    </row>
    <row r="1247">
      <c r="A1247" s="6" t="inlineStr">
        <is>
          <t>DJ30</t>
        </is>
      </c>
      <c r="B1247" s="6" t="inlineStr">
        <is>
          <t>2023-10-13</t>
        </is>
      </c>
      <c r="C1247" s="6" t="inlineStr">
        <is>
          <t>DIA</t>
        </is>
      </c>
      <c r="D1247" s="6" t="inlineStr">
        <is>
          <t>CAT</t>
        </is>
      </c>
      <c r="E1247" s="6" t="inlineStr">
        <is>
          <t>CAT</t>
        </is>
      </c>
      <c r="F1247" s="6" t="inlineStr">
        <is>
          <t>-</t>
        </is>
      </c>
      <c r="G1247" s="7" t="n">
        <v>257.3586120605469</v>
      </c>
      <c r="H1247" s="6">
        <f>P1216</f>
        <v/>
      </c>
      <c r="I1247" s="9">
        <f>Q1216</f>
        <v/>
      </c>
      <c r="J1247" s="7">
        <f>I1247*G1247</f>
        <v/>
      </c>
      <c r="K1247" s="8">
        <f>IF($J$1272=0,0,J1247/$J$1272)</f>
        <v/>
      </c>
      <c r="L1247" s="6" t="inlineStr">
        <is>
          <t>REJECTED</t>
        </is>
      </c>
      <c r="M1247" s="8" t="n">
        <v>0</v>
      </c>
      <c r="N1247" s="7">
        <f>M1247*$J$1272-J1247</f>
        <v/>
      </c>
      <c r="O1247" s="9">
        <f>IF(G1247=0,0,N1247/G1247)</f>
        <v/>
      </c>
      <c r="P1247" s="6">
        <f>IF(M1247&gt;0,D1247,"")</f>
        <v/>
      </c>
      <c r="Q1247" s="9">
        <f>I1247+O1247</f>
        <v/>
      </c>
      <c r="R1247" s="7">
        <f>Q1247*G1247</f>
        <v/>
      </c>
      <c r="S1247" s="8">
        <f>IF($R$1272=0,0,R1247/$R$1272)</f>
        <v/>
      </c>
      <c r="T1247" s="8" t="n">
        <v>0</v>
      </c>
      <c r="U1247" s="8" t="n">
        <v>0.007722025423236634</v>
      </c>
      <c r="V1247" s="6" t="inlineStr">
        <is>
          <t>not selected</t>
        </is>
      </c>
    </row>
    <row r="1248">
      <c r="A1248" s="6" t="inlineStr">
        <is>
          <t>DJ30</t>
        </is>
      </c>
      <c r="B1248" s="6" t="inlineStr">
        <is>
          <t>2023-10-13</t>
        </is>
      </c>
      <c r="C1248" s="6" t="inlineStr">
        <is>
          <t>DIA</t>
        </is>
      </c>
      <c r="D1248" s="6" t="inlineStr">
        <is>
          <t>CRM</t>
        </is>
      </c>
      <c r="E1248" s="6" t="inlineStr">
        <is>
          <t>CRM</t>
        </is>
      </c>
      <c r="F1248" s="6" t="inlineStr">
        <is>
          <t>-</t>
        </is>
      </c>
      <c r="G1248" s="7" t="n">
        <v>201.1106719970703</v>
      </c>
      <c r="H1248" s="6">
        <f>P1217</f>
        <v/>
      </c>
      <c r="I1248" s="9">
        <f>Q1217</f>
        <v/>
      </c>
      <c r="J1248" s="7">
        <f>I1248*G1248</f>
        <v/>
      </c>
      <c r="K1248" s="8">
        <f>IF($J$1272=0,0,J1248/$J$1272)</f>
        <v/>
      </c>
      <c r="L1248" s="6" t="inlineStr">
        <is>
          <t>REJECTED</t>
        </is>
      </c>
      <c r="M1248" s="8" t="n">
        <v>0</v>
      </c>
      <c r="N1248" s="7">
        <f>M1248*$J$1272-J1248</f>
        <v/>
      </c>
      <c r="O1248" s="9">
        <f>IF(G1248=0,0,N1248/G1248)</f>
        <v/>
      </c>
      <c r="P1248" s="6">
        <f>IF(M1248&gt;0,D1248,"")</f>
        <v/>
      </c>
      <c r="Q1248" s="9">
        <f>I1248+O1248</f>
        <v/>
      </c>
      <c r="R1248" s="7">
        <f>Q1248*G1248</f>
        <v/>
      </c>
      <c r="S1248" s="8">
        <f>IF($R$1272=0,0,R1248/$R$1272)</f>
        <v/>
      </c>
      <c r="T1248" s="8" t="n">
        <v>0</v>
      </c>
      <c r="U1248" s="8" t="n">
        <v>0.007722025423236634</v>
      </c>
      <c r="V1248" s="6" t="inlineStr">
        <is>
          <t>not selected</t>
        </is>
      </c>
    </row>
    <row r="1249">
      <c r="A1249" s="6" t="inlineStr">
        <is>
          <t>DJ30</t>
        </is>
      </c>
      <c r="B1249" s="6" t="inlineStr">
        <is>
          <t>2023-10-13</t>
        </is>
      </c>
      <c r="C1249" s="6" t="inlineStr">
        <is>
          <t>DIA</t>
        </is>
      </c>
      <c r="D1249" s="6" t="inlineStr">
        <is>
          <t>CSCO</t>
        </is>
      </c>
      <c r="E1249" s="6" t="inlineStr">
        <is>
          <t>CSCO</t>
        </is>
      </c>
      <c r="F1249" s="6" t="inlineStr">
        <is>
          <t>-</t>
        </is>
      </c>
      <c r="G1249" s="7" t="n">
        <v>50.22344207763672</v>
      </c>
      <c r="H1249" s="6">
        <f>P1218</f>
        <v/>
      </c>
      <c r="I1249" s="9">
        <f>Q1218</f>
        <v/>
      </c>
      <c r="J1249" s="7">
        <f>I1249*G1249</f>
        <v/>
      </c>
      <c r="K1249" s="8">
        <f>IF($J$1272=0,0,J1249/$J$1272)</f>
        <v/>
      </c>
      <c r="L1249" s="6" t="inlineStr">
        <is>
          <t>REJECTED</t>
        </is>
      </c>
      <c r="M1249" s="8" t="n">
        <v>0</v>
      </c>
      <c r="N1249" s="7">
        <f>M1249*$J$1272-J1249</f>
        <v/>
      </c>
      <c r="O1249" s="9">
        <f>IF(G1249=0,0,N1249/G1249)</f>
        <v/>
      </c>
      <c r="P1249" s="6">
        <f>IF(M1249&gt;0,D1249,"")</f>
        <v/>
      </c>
      <c r="Q1249" s="9">
        <f>I1249+O1249</f>
        <v/>
      </c>
      <c r="R1249" s="7">
        <f>Q1249*G1249</f>
        <v/>
      </c>
      <c r="S1249" s="8">
        <f>IF($R$1272=0,0,R1249/$R$1272)</f>
        <v/>
      </c>
      <c r="T1249" s="8" t="n">
        <v>0</v>
      </c>
      <c r="U1249" s="8" t="n">
        <v>0.007722025423236634</v>
      </c>
      <c r="V1249" s="6" t="inlineStr">
        <is>
          <t>not selected</t>
        </is>
      </c>
    </row>
    <row r="1250">
      <c r="A1250" s="6" t="inlineStr">
        <is>
          <t>DJ30</t>
        </is>
      </c>
      <c r="B1250" s="6" t="inlineStr">
        <is>
          <t>2023-10-13</t>
        </is>
      </c>
      <c r="C1250" s="6" t="inlineStr">
        <is>
          <t>DIA</t>
        </is>
      </c>
      <c r="D1250" s="6" t="inlineStr">
        <is>
          <t>CVX</t>
        </is>
      </c>
      <c r="E1250" s="6" t="inlineStr">
        <is>
          <t>CVX</t>
        </is>
      </c>
      <c r="F1250" s="6" t="inlineStr">
        <is>
          <t>-</t>
        </is>
      </c>
      <c r="G1250" s="7" t="n">
        <v>145.9783782958984</v>
      </c>
      <c r="H1250" s="6">
        <f>P1219</f>
        <v/>
      </c>
      <c r="I1250" s="9">
        <f>Q1219</f>
        <v/>
      </c>
      <c r="J1250" s="7">
        <f>I1250*G1250</f>
        <v/>
      </c>
      <c r="K1250" s="8">
        <f>IF($J$1272=0,0,J1250/$J$1272)</f>
        <v/>
      </c>
      <c r="L1250" s="6" t="inlineStr">
        <is>
          <t>REJECTED</t>
        </is>
      </c>
      <c r="M1250" s="8" t="n">
        <v>0</v>
      </c>
      <c r="N1250" s="7">
        <f>M1250*$J$1272-J1250</f>
        <v/>
      </c>
      <c r="O1250" s="9">
        <f>IF(G1250=0,0,N1250/G1250)</f>
        <v/>
      </c>
      <c r="P1250" s="6">
        <f>IF(M1250&gt;0,D1250,"")</f>
        <v/>
      </c>
      <c r="Q1250" s="9">
        <f>I1250+O1250</f>
        <v/>
      </c>
      <c r="R1250" s="7">
        <f>Q1250*G1250</f>
        <v/>
      </c>
      <c r="S1250" s="8">
        <f>IF($R$1272=0,0,R1250/$R$1272)</f>
        <v/>
      </c>
      <c r="T1250" s="8" t="n">
        <v>0</v>
      </c>
      <c r="U1250" s="8" t="n">
        <v>0.007722025423236634</v>
      </c>
      <c r="V1250" s="6" t="inlineStr">
        <is>
          <t>not selected</t>
        </is>
      </c>
    </row>
    <row r="1251">
      <c r="A1251" s="6" t="inlineStr">
        <is>
          <t>DJ30</t>
        </is>
      </c>
      <c r="B1251" s="6" t="inlineStr">
        <is>
          <t>2023-10-13</t>
        </is>
      </c>
      <c r="C1251" s="6" t="inlineStr">
        <is>
          <t>DIA</t>
        </is>
      </c>
      <c r="D1251" s="6" t="inlineStr">
        <is>
          <t>DIS</t>
        </is>
      </c>
      <c r="E1251" s="6" t="inlineStr">
        <is>
          <t>DIS</t>
        </is>
      </c>
      <c r="F1251" s="6" t="inlineStr">
        <is>
          <t>-</t>
        </is>
      </c>
      <c r="G1251" s="7" t="n">
        <v>82.40931701660156</v>
      </c>
      <c r="H1251" s="6">
        <f>P1220</f>
        <v/>
      </c>
      <c r="I1251" s="9">
        <f>Q1220</f>
        <v/>
      </c>
      <c r="J1251" s="7">
        <f>I1251*G1251</f>
        <v/>
      </c>
      <c r="K1251" s="8">
        <f>IF($J$1272=0,0,J1251/$J$1272)</f>
        <v/>
      </c>
      <c r="L1251" s="6" t="inlineStr">
        <is>
          <t>REJECTED</t>
        </is>
      </c>
      <c r="M1251" s="8" t="n">
        <v>0</v>
      </c>
      <c r="N1251" s="7">
        <f>M1251*$J$1272-J1251</f>
        <v/>
      </c>
      <c r="O1251" s="9">
        <f>IF(G1251=0,0,N1251/G1251)</f>
        <v/>
      </c>
      <c r="P1251" s="6">
        <f>IF(M1251&gt;0,D1251,"")</f>
        <v/>
      </c>
      <c r="Q1251" s="9">
        <f>I1251+O1251</f>
        <v/>
      </c>
      <c r="R1251" s="7">
        <f>Q1251*G1251</f>
        <v/>
      </c>
      <c r="S1251" s="8">
        <f>IF($R$1272=0,0,R1251/$R$1272)</f>
        <v/>
      </c>
      <c r="T1251" s="8" t="n">
        <v>0</v>
      </c>
      <c r="U1251" s="8" t="n">
        <v>0.007722025423236634</v>
      </c>
      <c r="V1251" s="6" t="inlineStr">
        <is>
          <t>not selected</t>
        </is>
      </c>
    </row>
    <row r="1252">
      <c r="A1252" s="6" t="inlineStr">
        <is>
          <t>DJ30</t>
        </is>
      </c>
      <c r="B1252" s="6" t="inlineStr">
        <is>
          <t>2023-10-13</t>
        </is>
      </c>
      <c r="C1252" s="6" t="inlineStr">
        <is>
          <t>DIA</t>
        </is>
      </c>
      <c r="D1252" s="6" t="inlineStr">
        <is>
          <t>GS</t>
        </is>
      </c>
      <c r="E1252" s="6" t="inlineStr">
        <is>
          <t>GS</t>
        </is>
      </c>
      <c r="F1252" s="6" t="inlineStr">
        <is>
          <t>-</t>
        </is>
      </c>
      <c r="G1252" s="7" t="n">
        <v>290.7166748046875</v>
      </c>
      <c r="H1252" s="6">
        <f>P1221</f>
        <v/>
      </c>
      <c r="I1252" s="9">
        <f>Q1221</f>
        <v/>
      </c>
      <c r="J1252" s="7">
        <f>I1252*G1252</f>
        <v/>
      </c>
      <c r="K1252" s="8">
        <f>IF($J$1272=0,0,J1252/$J$1272)</f>
        <v/>
      </c>
      <c r="L1252" s="6" t="inlineStr">
        <is>
          <t>REJECTED</t>
        </is>
      </c>
      <c r="M1252" s="8" t="n">
        <v>0</v>
      </c>
      <c r="N1252" s="7">
        <f>M1252*$J$1272-J1252</f>
        <v/>
      </c>
      <c r="O1252" s="9">
        <f>IF(G1252=0,0,N1252/G1252)</f>
        <v/>
      </c>
      <c r="P1252" s="6">
        <f>IF(M1252&gt;0,D1252,"")</f>
        <v/>
      </c>
      <c r="Q1252" s="9">
        <f>I1252+O1252</f>
        <v/>
      </c>
      <c r="R1252" s="7">
        <f>Q1252*G1252</f>
        <v/>
      </c>
      <c r="S1252" s="8">
        <f>IF($R$1272=0,0,R1252/$R$1272)</f>
        <v/>
      </c>
      <c r="T1252" s="8" t="n">
        <v>0</v>
      </c>
      <c r="U1252" s="8" t="n">
        <v>0.007722025423236634</v>
      </c>
      <c r="V1252" s="6" t="inlineStr">
        <is>
          <t>not selected</t>
        </is>
      </c>
    </row>
    <row r="1253">
      <c r="A1253" s="6" t="inlineStr">
        <is>
          <t>DJ30</t>
        </is>
      </c>
      <c r="B1253" s="6" t="inlineStr">
        <is>
          <t>2023-10-13</t>
        </is>
      </c>
      <c r="C1253" s="6" t="inlineStr">
        <is>
          <t>DIA</t>
        </is>
      </c>
      <c r="D1253" s="6" t="inlineStr">
        <is>
          <t>HD</t>
        </is>
      </c>
      <c r="E1253" s="6" t="inlineStr">
        <is>
          <t>HD</t>
        </is>
      </c>
      <c r="F1253" s="6" t="inlineStr">
        <is>
          <t>-</t>
        </is>
      </c>
      <c r="G1253" s="7" t="n">
        <v>272.2790832519531</v>
      </c>
      <c r="H1253" s="6">
        <f>P1222</f>
        <v/>
      </c>
      <c r="I1253" s="9">
        <f>Q1222</f>
        <v/>
      </c>
      <c r="J1253" s="7">
        <f>I1253*G1253</f>
        <v/>
      </c>
      <c r="K1253" s="8">
        <f>IF($J$1272=0,0,J1253/$J$1272)</f>
        <v/>
      </c>
      <c r="L1253" s="6" t="inlineStr">
        <is>
          <t>REJECTED</t>
        </is>
      </c>
      <c r="M1253" s="8" t="n">
        <v>0</v>
      </c>
      <c r="N1253" s="7">
        <f>M1253*$J$1272-J1253</f>
        <v/>
      </c>
      <c r="O1253" s="9">
        <f>IF(G1253=0,0,N1253/G1253)</f>
        <v/>
      </c>
      <c r="P1253" s="6">
        <f>IF(M1253&gt;0,D1253,"")</f>
        <v/>
      </c>
      <c r="Q1253" s="9">
        <f>I1253+O1253</f>
        <v/>
      </c>
      <c r="R1253" s="7">
        <f>Q1253*G1253</f>
        <v/>
      </c>
      <c r="S1253" s="8">
        <f>IF($R$1272=0,0,R1253/$R$1272)</f>
        <v/>
      </c>
      <c r="T1253" s="8" t="n">
        <v>0</v>
      </c>
      <c r="U1253" s="8" t="n">
        <v>0.007722025423236634</v>
      </c>
      <c r="V1253" s="6" t="inlineStr">
        <is>
          <t>not selected</t>
        </is>
      </c>
    </row>
    <row r="1254">
      <c r="A1254" s="6" t="inlineStr">
        <is>
          <t>DJ30</t>
        </is>
      </c>
      <c r="B1254" s="6" t="inlineStr">
        <is>
          <t>2023-10-13</t>
        </is>
      </c>
      <c r="C1254" s="6" t="inlineStr">
        <is>
          <t>DIA</t>
        </is>
      </c>
      <c r="D1254" s="6" t="inlineStr">
        <is>
          <t>HON</t>
        </is>
      </c>
      <c r="E1254" s="6" t="inlineStr">
        <is>
          <t>HON</t>
        </is>
      </c>
      <c r="F1254" s="6" t="inlineStr">
        <is>
          <t>-</t>
        </is>
      </c>
      <c r="G1254" s="7" t="n">
        <v>163.0899200439453</v>
      </c>
      <c r="H1254" s="6">
        <f>P1223</f>
        <v/>
      </c>
      <c r="I1254" s="9">
        <f>Q1223</f>
        <v/>
      </c>
      <c r="J1254" s="7">
        <f>I1254*G1254</f>
        <v/>
      </c>
      <c r="K1254" s="8">
        <f>IF($J$1272=0,0,J1254/$J$1272)</f>
        <v/>
      </c>
      <c r="L1254" s="6" t="inlineStr">
        <is>
          <t>REJECTED</t>
        </is>
      </c>
      <c r="M1254" s="8" t="n">
        <v>0</v>
      </c>
      <c r="N1254" s="7">
        <f>M1254*$J$1272-J1254</f>
        <v/>
      </c>
      <c r="O1254" s="9">
        <f>IF(G1254=0,0,N1254/G1254)</f>
        <v/>
      </c>
      <c r="P1254" s="6">
        <f>IF(M1254&gt;0,D1254,"")</f>
        <v/>
      </c>
      <c r="Q1254" s="9">
        <f>I1254+O1254</f>
        <v/>
      </c>
      <c r="R1254" s="7">
        <f>Q1254*G1254</f>
        <v/>
      </c>
      <c r="S1254" s="8">
        <f>IF($R$1272=0,0,R1254/$R$1272)</f>
        <v/>
      </c>
      <c r="T1254" s="8" t="n">
        <v>0</v>
      </c>
      <c r="U1254" s="8" t="n">
        <v>0.007722025423236634</v>
      </c>
      <c r="V1254" s="6" t="inlineStr">
        <is>
          <t>not selected</t>
        </is>
      </c>
    </row>
    <row r="1255">
      <c r="A1255" s="6" t="inlineStr">
        <is>
          <t>DJ30</t>
        </is>
      </c>
      <c r="B1255" s="6" t="inlineStr">
        <is>
          <t>2023-10-13</t>
        </is>
      </c>
      <c r="C1255" s="6" t="inlineStr">
        <is>
          <t>DIA</t>
        </is>
      </c>
      <c r="D1255" s="6" t="inlineStr">
        <is>
          <t>IBM</t>
        </is>
      </c>
      <c r="E1255" s="6" t="inlineStr">
        <is>
          <t>IBM</t>
        </is>
      </c>
      <c r="F1255" s="6" t="inlineStr">
        <is>
          <t>-</t>
        </is>
      </c>
      <c r="G1255" s="7" t="n">
        <v>127.1369247436523</v>
      </c>
      <c r="H1255" s="6">
        <f>P1224</f>
        <v/>
      </c>
      <c r="I1255" s="9">
        <f>Q1224</f>
        <v/>
      </c>
      <c r="J1255" s="7">
        <f>I1255*G1255</f>
        <v/>
      </c>
      <c r="K1255" s="8">
        <f>IF($J$1272=0,0,J1255/$J$1272)</f>
        <v/>
      </c>
      <c r="L1255" s="6" t="inlineStr">
        <is>
          <t>REJECTED</t>
        </is>
      </c>
      <c r="M1255" s="8" t="n">
        <v>0</v>
      </c>
      <c r="N1255" s="7">
        <f>M1255*$J$1272-J1255</f>
        <v/>
      </c>
      <c r="O1255" s="9">
        <f>IF(G1255=0,0,N1255/G1255)</f>
        <v/>
      </c>
      <c r="P1255" s="6">
        <f>IF(M1255&gt;0,D1255,"")</f>
        <v/>
      </c>
      <c r="Q1255" s="9">
        <f>I1255+O1255</f>
        <v/>
      </c>
      <c r="R1255" s="7">
        <f>Q1255*G1255</f>
        <v/>
      </c>
      <c r="S1255" s="8">
        <f>IF($R$1272=0,0,R1255/$R$1272)</f>
        <v/>
      </c>
      <c r="T1255" s="8" t="n">
        <v>0</v>
      </c>
      <c r="U1255" s="8" t="n">
        <v>0.007722025423236634</v>
      </c>
      <c r="V1255" s="6" t="inlineStr">
        <is>
          <t>not selected</t>
        </is>
      </c>
    </row>
    <row r="1256">
      <c r="A1256" s="6" t="inlineStr">
        <is>
          <t>DJ30</t>
        </is>
      </c>
      <c r="B1256" s="6" t="inlineStr">
        <is>
          <t>2023-10-13</t>
        </is>
      </c>
      <c r="C1256" s="6" t="inlineStr">
        <is>
          <t>DIA</t>
        </is>
      </c>
      <c r="D1256" s="6" t="inlineStr">
        <is>
          <t>JNJ</t>
        </is>
      </c>
      <c r="E1256" s="6" t="inlineStr">
        <is>
          <t>JNJ</t>
        </is>
      </c>
      <c r="F1256" s="6" t="inlineStr">
        <is>
          <t>-</t>
        </is>
      </c>
      <c r="G1256" s="7" t="n">
        <v>144.7426605224609</v>
      </c>
      <c r="H1256" s="6">
        <f>P1225</f>
        <v/>
      </c>
      <c r="I1256" s="9">
        <f>Q1225</f>
        <v/>
      </c>
      <c r="J1256" s="7">
        <f>I1256*G1256</f>
        <v/>
      </c>
      <c r="K1256" s="8">
        <f>IF($J$1272=0,0,J1256/$J$1272)</f>
        <v/>
      </c>
      <c r="L1256" s="6" t="inlineStr">
        <is>
          <t>REJECTED</t>
        </is>
      </c>
      <c r="M1256" s="8" t="n">
        <v>0</v>
      </c>
      <c r="N1256" s="7">
        <f>M1256*$J$1272-J1256</f>
        <v/>
      </c>
      <c r="O1256" s="9">
        <f>IF(G1256=0,0,N1256/G1256)</f>
        <v/>
      </c>
      <c r="P1256" s="6">
        <f>IF(M1256&gt;0,D1256,"")</f>
        <v/>
      </c>
      <c r="Q1256" s="9">
        <f>I1256+O1256</f>
        <v/>
      </c>
      <c r="R1256" s="7">
        <f>Q1256*G1256</f>
        <v/>
      </c>
      <c r="S1256" s="8">
        <f>IF($R$1272=0,0,R1256/$R$1272)</f>
        <v/>
      </c>
      <c r="T1256" s="8" t="n">
        <v>0</v>
      </c>
      <c r="U1256" s="8" t="n">
        <v>0.007722025423236634</v>
      </c>
      <c r="V1256" s="6" t="inlineStr">
        <is>
          <t>not selected</t>
        </is>
      </c>
    </row>
    <row r="1257">
      <c r="A1257" s="6" t="inlineStr">
        <is>
          <t>DJ30</t>
        </is>
      </c>
      <c r="B1257" s="6" t="inlineStr">
        <is>
          <t>2023-10-13</t>
        </is>
      </c>
      <c r="C1257" s="6" t="inlineStr">
        <is>
          <t>DIA</t>
        </is>
      </c>
      <c r="D1257" s="6" t="inlineStr">
        <is>
          <t>JPM</t>
        </is>
      </c>
      <c r="E1257" s="6" t="inlineStr">
        <is>
          <t>JPM</t>
        </is>
      </c>
      <c r="F1257" s="6" t="inlineStr">
        <is>
          <t>-</t>
        </is>
      </c>
      <c r="G1257" s="7" t="n">
        <v>140.1986389160156</v>
      </c>
      <c r="H1257" s="6">
        <f>P1226</f>
        <v/>
      </c>
      <c r="I1257" s="9">
        <f>Q1226</f>
        <v/>
      </c>
      <c r="J1257" s="7">
        <f>I1257*G1257</f>
        <v/>
      </c>
      <c r="K1257" s="8">
        <f>IF($J$1272=0,0,J1257/$J$1272)</f>
        <v/>
      </c>
      <c r="L1257" s="6" t="inlineStr">
        <is>
          <t>REJECTED</t>
        </is>
      </c>
      <c r="M1257" s="8" t="n">
        <v>0</v>
      </c>
      <c r="N1257" s="7">
        <f>M1257*$J$1272-J1257</f>
        <v/>
      </c>
      <c r="O1257" s="9">
        <f>IF(G1257=0,0,N1257/G1257)</f>
        <v/>
      </c>
      <c r="P1257" s="6">
        <f>IF(M1257&gt;0,D1257,"")</f>
        <v/>
      </c>
      <c r="Q1257" s="9">
        <f>I1257+O1257</f>
        <v/>
      </c>
      <c r="R1257" s="7">
        <f>Q1257*G1257</f>
        <v/>
      </c>
      <c r="S1257" s="8">
        <f>IF($R$1272=0,0,R1257/$R$1272)</f>
        <v/>
      </c>
      <c r="T1257" s="8" t="n">
        <v>0</v>
      </c>
      <c r="U1257" s="8" t="n">
        <v>0.007722025423236634</v>
      </c>
      <c r="V1257" s="6" t="inlineStr">
        <is>
          <t>not selected</t>
        </is>
      </c>
    </row>
    <row r="1258">
      <c r="A1258" s="6" t="inlineStr">
        <is>
          <t>DJ30</t>
        </is>
      </c>
      <c r="B1258" s="6" t="inlineStr">
        <is>
          <t>2023-10-13</t>
        </is>
      </c>
      <c r="C1258" s="6" t="inlineStr">
        <is>
          <t>DIA</t>
        </is>
      </c>
      <c r="D1258" s="6" t="inlineStr">
        <is>
          <t>KO</t>
        </is>
      </c>
      <c r="E1258" s="6" t="inlineStr">
        <is>
          <t>KO</t>
        </is>
      </c>
      <c r="F1258" s="6" t="inlineStr">
        <is>
          <t>-</t>
        </is>
      </c>
      <c r="G1258" s="7" t="n">
        <v>48.80508041381836</v>
      </c>
      <c r="H1258" s="6">
        <f>P1227</f>
        <v/>
      </c>
      <c r="I1258" s="9">
        <f>Q1227</f>
        <v/>
      </c>
      <c r="J1258" s="7">
        <f>I1258*G1258</f>
        <v/>
      </c>
      <c r="K1258" s="8">
        <f>IF($J$1272=0,0,J1258/$J$1272)</f>
        <v/>
      </c>
      <c r="L1258" s="6" t="inlineStr">
        <is>
          <t>REJECTED</t>
        </is>
      </c>
      <c r="M1258" s="8" t="n">
        <v>0</v>
      </c>
      <c r="N1258" s="7">
        <f>M1258*$J$1272-J1258</f>
        <v/>
      </c>
      <c r="O1258" s="9">
        <f>IF(G1258=0,0,N1258/G1258)</f>
        <v/>
      </c>
      <c r="P1258" s="6">
        <f>IF(M1258&gt;0,D1258,"")</f>
        <v/>
      </c>
      <c r="Q1258" s="9">
        <f>I1258+O1258</f>
        <v/>
      </c>
      <c r="R1258" s="7">
        <f>Q1258*G1258</f>
        <v/>
      </c>
      <c r="S1258" s="8">
        <f>IF($R$1272=0,0,R1258/$R$1272)</f>
        <v/>
      </c>
      <c r="T1258" s="8" t="n">
        <v>0</v>
      </c>
      <c r="U1258" s="8" t="n">
        <v>0.007722025423236634</v>
      </c>
      <c r="V1258" s="6" t="inlineStr">
        <is>
          <t>not selected</t>
        </is>
      </c>
    </row>
    <row r="1259">
      <c r="A1259" s="6" t="inlineStr">
        <is>
          <t>DJ30</t>
        </is>
      </c>
      <c r="B1259" s="6" t="inlineStr">
        <is>
          <t>2023-10-13</t>
        </is>
      </c>
      <c r="C1259" s="6" t="inlineStr">
        <is>
          <t>DIA</t>
        </is>
      </c>
      <c r="D1259" s="6" t="inlineStr">
        <is>
          <t>MCD</t>
        </is>
      </c>
      <c r="E1259" s="6" t="inlineStr">
        <is>
          <t>MCD</t>
        </is>
      </c>
      <c r="F1259" s="6" t="inlineStr">
        <is>
          <t>-</t>
        </is>
      </c>
      <c r="G1259" s="7" t="n">
        <v>232.6122283935547</v>
      </c>
      <c r="H1259" s="6">
        <f>P1228</f>
        <v/>
      </c>
      <c r="I1259" s="9">
        <f>Q1228</f>
        <v/>
      </c>
      <c r="J1259" s="7">
        <f>I1259*G1259</f>
        <v/>
      </c>
      <c r="K1259" s="8">
        <f>IF($J$1272=0,0,J1259/$J$1272)</f>
        <v/>
      </c>
      <c r="L1259" s="6" t="inlineStr">
        <is>
          <t>REJECTED</t>
        </is>
      </c>
      <c r="M1259" s="8" t="n">
        <v>0</v>
      </c>
      <c r="N1259" s="7">
        <f>M1259*$J$1272-J1259</f>
        <v/>
      </c>
      <c r="O1259" s="9">
        <f>IF(G1259=0,0,N1259/G1259)</f>
        <v/>
      </c>
      <c r="P1259" s="6">
        <f>IF(M1259&gt;0,D1259,"")</f>
        <v/>
      </c>
      <c r="Q1259" s="9">
        <f>I1259+O1259</f>
        <v/>
      </c>
      <c r="R1259" s="7">
        <f>Q1259*G1259</f>
        <v/>
      </c>
      <c r="S1259" s="8">
        <f>IF($R$1272=0,0,R1259/$R$1272)</f>
        <v/>
      </c>
      <c r="T1259" s="8" t="n">
        <v>0</v>
      </c>
      <c r="U1259" s="8" t="n">
        <v>0.007722025423236634</v>
      </c>
      <c r="V1259" s="6" t="inlineStr">
        <is>
          <t>not selected</t>
        </is>
      </c>
    </row>
    <row r="1260">
      <c r="A1260" s="6" t="inlineStr">
        <is>
          <t>DJ30</t>
        </is>
      </c>
      <c r="B1260" s="6" t="inlineStr">
        <is>
          <t>2023-10-13</t>
        </is>
      </c>
      <c r="C1260" s="6" t="inlineStr">
        <is>
          <t>DIA</t>
        </is>
      </c>
      <c r="D1260" s="6" t="inlineStr">
        <is>
          <t>MMM</t>
        </is>
      </c>
      <c r="E1260" s="6" t="inlineStr">
        <is>
          <t>MMM</t>
        </is>
      </c>
      <c r="F1260" s="6" t="inlineStr">
        <is>
          <t>-</t>
        </is>
      </c>
      <c r="G1260" s="7" t="n">
        <v>68.58152770996094</v>
      </c>
      <c r="H1260" s="6">
        <f>P1229</f>
        <v/>
      </c>
      <c r="I1260" s="9">
        <f>Q1229</f>
        <v/>
      </c>
      <c r="J1260" s="7">
        <f>I1260*G1260</f>
        <v/>
      </c>
      <c r="K1260" s="8">
        <f>IF($J$1272=0,0,J1260/$J$1272)</f>
        <v/>
      </c>
      <c r="L1260" s="6" t="inlineStr">
        <is>
          <t>REJECTED</t>
        </is>
      </c>
      <c r="M1260" s="8" t="n">
        <v>0</v>
      </c>
      <c r="N1260" s="7">
        <f>M1260*$J$1272-J1260</f>
        <v/>
      </c>
      <c r="O1260" s="9">
        <f>IF(G1260=0,0,N1260/G1260)</f>
        <v/>
      </c>
      <c r="P1260" s="6">
        <f>IF(M1260&gt;0,D1260,"")</f>
        <v/>
      </c>
      <c r="Q1260" s="9">
        <f>I1260+O1260</f>
        <v/>
      </c>
      <c r="R1260" s="7">
        <f>Q1260*G1260</f>
        <v/>
      </c>
      <c r="S1260" s="8">
        <f>IF($R$1272=0,0,R1260/$R$1272)</f>
        <v/>
      </c>
      <c r="T1260" s="8" t="n">
        <v>0</v>
      </c>
      <c r="U1260" s="8" t="n">
        <v>0.007722025423236634</v>
      </c>
      <c r="V1260" s="6" t="inlineStr">
        <is>
          <t>not selected</t>
        </is>
      </c>
    </row>
    <row r="1261">
      <c r="A1261" s="6" t="inlineStr">
        <is>
          <t>DJ30</t>
        </is>
      </c>
      <c r="B1261" s="6" t="inlineStr">
        <is>
          <t>2023-10-13</t>
        </is>
      </c>
      <c r="C1261" s="6" t="inlineStr">
        <is>
          <t>DIA</t>
        </is>
      </c>
      <c r="D1261" s="6" t="inlineStr">
        <is>
          <t>MRK</t>
        </is>
      </c>
      <c r="E1261" s="6" t="inlineStr">
        <is>
          <t>MRK</t>
        </is>
      </c>
      <c r="F1261" s="6" t="inlineStr">
        <is>
          <t>-</t>
        </is>
      </c>
      <c r="G1261" s="7" t="n">
        <v>95.47779846191406</v>
      </c>
      <c r="H1261" s="6">
        <f>P1230</f>
        <v/>
      </c>
      <c r="I1261" s="9">
        <f>Q1230</f>
        <v/>
      </c>
      <c r="J1261" s="7">
        <f>I1261*G1261</f>
        <v/>
      </c>
      <c r="K1261" s="8">
        <f>IF($J$1272=0,0,J1261/$J$1272)</f>
        <v/>
      </c>
      <c r="L1261" s="6" t="inlineStr">
        <is>
          <t>REJECTED</t>
        </is>
      </c>
      <c r="M1261" s="8" t="n">
        <v>0</v>
      </c>
      <c r="N1261" s="7">
        <f>M1261*$J$1272-J1261</f>
        <v/>
      </c>
      <c r="O1261" s="9">
        <f>IF(G1261=0,0,N1261/G1261)</f>
        <v/>
      </c>
      <c r="P1261" s="6">
        <f>IF(M1261&gt;0,D1261,"")</f>
        <v/>
      </c>
      <c r="Q1261" s="9">
        <f>I1261+O1261</f>
        <v/>
      </c>
      <c r="R1261" s="7">
        <f>Q1261*G1261</f>
        <v/>
      </c>
      <c r="S1261" s="8">
        <f>IF($R$1272=0,0,R1261/$R$1272)</f>
        <v/>
      </c>
      <c r="T1261" s="8" t="n">
        <v>0</v>
      </c>
      <c r="U1261" s="8" t="n">
        <v>0.007722025423236634</v>
      </c>
      <c r="V1261" s="6" t="inlineStr">
        <is>
          <t>not selected</t>
        </is>
      </c>
    </row>
    <row r="1262">
      <c r="A1262" s="6" t="inlineStr">
        <is>
          <t>DJ30</t>
        </is>
      </c>
      <c r="B1262" s="6" t="inlineStr">
        <is>
          <t>2023-10-13</t>
        </is>
      </c>
      <c r="C1262" s="6" t="inlineStr">
        <is>
          <t>DIA</t>
        </is>
      </c>
      <c r="D1262" s="6" t="inlineStr">
        <is>
          <t>MSFT</t>
        </is>
      </c>
      <c r="E1262" s="6" t="inlineStr">
        <is>
          <t>MSFT</t>
        </is>
      </c>
      <c r="F1262" s="6" t="inlineStr">
        <is>
          <t>-</t>
        </is>
      </c>
      <c r="G1262" s="7" t="n">
        <v>320.8324890136719</v>
      </c>
      <c r="H1262" s="6">
        <f>P1231</f>
        <v/>
      </c>
      <c r="I1262" s="9">
        <f>Q1231</f>
        <v/>
      </c>
      <c r="J1262" s="7">
        <f>I1262*G1262</f>
        <v/>
      </c>
      <c r="K1262" s="8">
        <f>IF($J$1272=0,0,J1262/$J$1272)</f>
        <v/>
      </c>
      <c r="L1262" s="6" t="inlineStr">
        <is>
          <t>REJECTED</t>
        </is>
      </c>
      <c r="M1262" s="8" t="n">
        <v>0</v>
      </c>
      <c r="N1262" s="7">
        <f>M1262*$J$1272-J1262</f>
        <v/>
      </c>
      <c r="O1262" s="9">
        <f>IF(G1262=0,0,N1262/G1262)</f>
        <v/>
      </c>
      <c r="P1262" s="6">
        <f>IF(M1262&gt;0,D1262,"")</f>
        <v/>
      </c>
      <c r="Q1262" s="9">
        <f>I1262+O1262</f>
        <v/>
      </c>
      <c r="R1262" s="7">
        <f>Q1262*G1262</f>
        <v/>
      </c>
      <c r="S1262" s="8">
        <f>IF($R$1272=0,0,R1262/$R$1272)</f>
        <v/>
      </c>
      <c r="T1262" s="8" t="n">
        <v>0</v>
      </c>
      <c r="U1262" s="8" t="n">
        <v>0.007722025423236634</v>
      </c>
      <c r="V1262" s="6" t="inlineStr">
        <is>
          <t>not selected</t>
        </is>
      </c>
    </row>
    <row r="1263">
      <c r="A1263" s="6" t="inlineStr">
        <is>
          <t>DJ30</t>
        </is>
      </c>
      <c r="B1263" s="6" t="inlineStr">
        <is>
          <t>2023-10-13</t>
        </is>
      </c>
      <c r="C1263" s="6" t="inlineStr">
        <is>
          <t>DIA</t>
        </is>
      </c>
      <c r="D1263" s="6" t="inlineStr">
        <is>
          <t>NKE</t>
        </is>
      </c>
      <c r="E1263" s="6" t="inlineStr">
        <is>
          <t>NKE</t>
        </is>
      </c>
      <c r="F1263" s="6" t="inlineStr">
        <is>
          <t>-</t>
        </is>
      </c>
      <c r="G1263" s="7" t="n">
        <v>94.17520904541016</v>
      </c>
      <c r="H1263" s="6">
        <f>P1232</f>
        <v/>
      </c>
      <c r="I1263" s="9">
        <f>Q1232</f>
        <v/>
      </c>
      <c r="J1263" s="7">
        <f>I1263*G1263</f>
        <v/>
      </c>
      <c r="K1263" s="8">
        <f>IF($J$1272=0,0,J1263/$J$1272)</f>
        <v/>
      </c>
      <c r="L1263" s="6" t="inlineStr">
        <is>
          <t>REJECTED</t>
        </is>
      </c>
      <c r="M1263" s="8" t="n">
        <v>0</v>
      </c>
      <c r="N1263" s="7">
        <f>M1263*$J$1272-J1263</f>
        <v/>
      </c>
      <c r="O1263" s="9">
        <f>IF(G1263=0,0,N1263/G1263)</f>
        <v/>
      </c>
      <c r="P1263" s="6">
        <f>IF(M1263&gt;0,D1263,"")</f>
        <v/>
      </c>
      <c r="Q1263" s="9">
        <f>I1263+O1263</f>
        <v/>
      </c>
      <c r="R1263" s="7">
        <f>Q1263*G1263</f>
        <v/>
      </c>
      <c r="S1263" s="8">
        <f>IF($R$1272=0,0,R1263/$R$1272)</f>
        <v/>
      </c>
      <c r="T1263" s="8" t="n">
        <v>0</v>
      </c>
      <c r="U1263" s="8" t="n">
        <v>0.007722025423236634</v>
      </c>
      <c r="V1263" s="6" t="inlineStr">
        <is>
          <t>not selected</t>
        </is>
      </c>
    </row>
    <row r="1264">
      <c r="A1264" s="6" t="inlineStr">
        <is>
          <t>DJ30</t>
        </is>
      </c>
      <c r="B1264" s="6" t="inlineStr">
        <is>
          <t>2023-10-13</t>
        </is>
      </c>
      <c r="C1264" s="6" t="inlineStr">
        <is>
          <t>DIA</t>
        </is>
      </c>
      <c r="D1264" s="6" t="inlineStr">
        <is>
          <t>NVDA</t>
        </is>
      </c>
      <c r="E1264" s="6" t="inlineStr">
        <is>
          <t>NVDA</t>
        </is>
      </c>
      <c r="F1264" s="6" t="inlineStr">
        <is>
          <t>-</t>
        </is>
      </c>
      <c r="G1264" s="7" t="n">
        <v>45.3763427734375</v>
      </c>
      <c r="H1264" s="6">
        <f>P1233</f>
        <v/>
      </c>
      <c r="I1264" s="9">
        <f>Q1233</f>
        <v/>
      </c>
      <c r="J1264" s="7">
        <f>I1264*G1264</f>
        <v/>
      </c>
      <c r="K1264" s="8">
        <f>IF($J$1272=0,0,J1264/$J$1272)</f>
        <v/>
      </c>
      <c r="L1264" s="6" t="inlineStr">
        <is>
          <t>REJECTED</t>
        </is>
      </c>
      <c r="M1264" s="8" t="n">
        <v>0</v>
      </c>
      <c r="N1264" s="7">
        <f>M1264*$J$1272-J1264</f>
        <v/>
      </c>
      <c r="O1264" s="9">
        <f>IF(G1264=0,0,N1264/G1264)</f>
        <v/>
      </c>
      <c r="P1264" s="6">
        <f>IF(M1264&gt;0,D1264,"")</f>
        <v/>
      </c>
      <c r="Q1264" s="9">
        <f>I1264+O1264</f>
        <v/>
      </c>
      <c r="R1264" s="7">
        <f>Q1264*G1264</f>
        <v/>
      </c>
      <c r="S1264" s="8">
        <f>IF($R$1272=0,0,R1264/$R$1272)</f>
        <v/>
      </c>
      <c r="T1264" s="8" t="n">
        <v>0</v>
      </c>
      <c r="U1264" s="8" t="n">
        <v>0.007722025423236634</v>
      </c>
      <c r="V1264" s="6" t="inlineStr">
        <is>
          <t>not selected</t>
        </is>
      </c>
    </row>
    <row r="1265">
      <c r="A1265" s="6" t="inlineStr">
        <is>
          <t>DJ30</t>
        </is>
      </c>
      <c r="B1265" s="6" t="inlineStr">
        <is>
          <t>2023-10-13</t>
        </is>
      </c>
      <c r="C1265" s="6" t="inlineStr">
        <is>
          <t>DIA</t>
        </is>
      </c>
      <c r="D1265" s="6" t="inlineStr">
        <is>
          <t>PG</t>
        </is>
      </c>
      <c r="E1265" s="6" t="inlineStr">
        <is>
          <t>PG</t>
        </is>
      </c>
      <c r="F1265" s="6" t="inlineStr">
        <is>
          <t>-</t>
        </is>
      </c>
      <c r="G1265" s="7" t="n">
        <v>134.7009887695312</v>
      </c>
      <c r="H1265" s="6">
        <f>P1234</f>
        <v/>
      </c>
      <c r="I1265" s="9">
        <f>Q1234</f>
        <v/>
      </c>
      <c r="J1265" s="7">
        <f>I1265*G1265</f>
        <v/>
      </c>
      <c r="K1265" s="8">
        <f>IF($J$1272=0,0,J1265/$J$1272)</f>
        <v/>
      </c>
      <c r="L1265" s="6" t="inlineStr">
        <is>
          <t>REJECTED</t>
        </is>
      </c>
      <c r="M1265" s="8" t="n">
        <v>0</v>
      </c>
      <c r="N1265" s="7">
        <f>M1265*$J$1272-J1265</f>
        <v/>
      </c>
      <c r="O1265" s="9">
        <f>IF(G1265=0,0,N1265/G1265)</f>
        <v/>
      </c>
      <c r="P1265" s="6">
        <f>IF(M1265&gt;0,D1265,"")</f>
        <v/>
      </c>
      <c r="Q1265" s="9">
        <f>I1265+O1265</f>
        <v/>
      </c>
      <c r="R1265" s="7">
        <f>Q1265*G1265</f>
        <v/>
      </c>
      <c r="S1265" s="8">
        <f>IF($R$1272=0,0,R1265/$R$1272)</f>
        <v/>
      </c>
      <c r="T1265" s="8" t="n">
        <v>0</v>
      </c>
      <c r="U1265" s="8" t="n">
        <v>0.007722025423236634</v>
      </c>
      <c r="V1265" s="6" t="inlineStr">
        <is>
          <t>not selected</t>
        </is>
      </c>
    </row>
    <row r="1266">
      <c r="A1266" s="6" t="inlineStr">
        <is>
          <t>DJ30</t>
        </is>
      </c>
      <c r="B1266" s="6" t="inlineStr">
        <is>
          <t>2023-10-13</t>
        </is>
      </c>
      <c r="C1266" s="6" t="inlineStr">
        <is>
          <t>DIA</t>
        </is>
      </c>
      <c r="D1266" s="6" t="inlineStr">
        <is>
          <t>SHW</t>
        </is>
      </c>
      <c r="E1266" s="6" t="inlineStr">
        <is>
          <t>SHW</t>
        </is>
      </c>
      <c r="F1266" s="6" t="inlineStr">
        <is>
          <t>-</t>
        </is>
      </c>
      <c r="G1266" s="7" t="n">
        <v>241.0117950439453</v>
      </c>
      <c r="H1266" s="6">
        <f>P1235</f>
        <v/>
      </c>
      <c r="I1266" s="9">
        <f>Q1235</f>
        <v/>
      </c>
      <c r="J1266" s="7">
        <f>I1266*G1266</f>
        <v/>
      </c>
      <c r="K1266" s="8">
        <f>IF($J$1272=0,0,J1266/$J$1272)</f>
        <v/>
      </c>
      <c r="L1266" s="6" t="inlineStr">
        <is>
          <t>REJECTED</t>
        </is>
      </c>
      <c r="M1266" s="8" t="n">
        <v>0</v>
      </c>
      <c r="N1266" s="7">
        <f>M1266*$J$1272-J1266</f>
        <v/>
      </c>
      <c r="O1266" s="9">
        <f>IF(G1266=0,0,N1266/G1266)</f>
        <v/>
      </c>
      <c r="P1266" s="6">
        <f>IF(M1266&gt;0,D1266,"")</f>
        <v/>
      </c>
      <c r="Q1266" s="9">
        <f>I1266+O1266</f>
        <v/>
      </c>
      <c r="R1266" s="7">
        <f>Q1266*G1266</f>
        <v/>
      </c>
      <c r="S1266" s="8">
        <f>IF($R$1272=0,0,R1266/$R$1272)</f>
        <v/>
      </c>
      <c r="T1266" s="8" t="n">
        <v>0</v>
      </c>
      <c r="U1266" s="8" t="n">
        <v>0.007722025423236634</v>
      </c>
      <c r="V1266" s="6" t="inlineStr">
        <is>
          <t>not selected</t>
        </is>
      </c>
    </row>
    <row r="1267">
      <c r="A1267" s="6" t="inlineStr">
        <is>
          <t>DJ30</t>
        </is>
      </c>
      <c r="B1267" s="6" t="inlineStr">
        <is>
          <t>2023-10-13</t>
        </is>
      </c>
      <c r="C1267" s="6" t="inlineStr">
        <is>
          <t>DIA</t>
        </is>
      </c>
      <c r="D1267" s="6" t="inlineStr">
        <is>
          <t>TRV</t>
        </is>
      </c>
      <c r="E1267" s="6" t="inlineStr">
        <is>
          <t>TRV</t>
        </is>
      </c>
      <c r="F1267" s="6" t="inlineStr">
        <is>
          <t>-</t>
        </is>
      </c>
      <c r="G1267" s="7" t="n">
        <v>156.5945739746094</v>
      </c>
      <c r="H1267" s="6">
        <f>P1236</f>
        <v/>
      </c>
      <c r="I1267" s="9">
        <f>Q1236</f>
        <v/>
      </c>
      <c r="J1267" s="7">
        <f>I1267*G1267</f>
        <v/>
      </c>
      <c r="K1267" s="8">
        <f>IF($J$1272=0,0,J1267/$J$1272)</f>
        <v/>
      </c>
      <c r="L1267" s="6" t="inlineStr">
        <is>
          <t>REJECTED</t>
        </is>
      </c>
      <c r="M1267" s="8" t="n">
        <v>0</v>
      </c>
      <c r="N1267" s="7">
        <f>M1267*$J$1272-J1267</f>
        <v/>
      </c>
      <c r="O1267" s="9">
        <f>IF(G1267=0,0,N1267/G1267)</f>
        <v/>
      </c>
      <c r="P1267" s="6">
        <f>IF(M1267&gt;0,D1267,"")</f>
        <v/>
      </c>
      <c r="Q1267" s="9">
        <f>I1267+O1267</f>
        <v/>
      </c>
      <c r="R1267" s="7">
        <f>Q1267*G1267</f>
        <v/>
      </c>
      <c r="S1267" s="8">
        <f>IF($R$1272=0,0,R1267/$R$1272)</f>
        <v/>
      </c>
      <c r="T1267" s="8" t="n">
        <v>0</v>
      </c>
      <c r="U1267" s="8" t="n">
        <v>0.007722025423236634</v>
      </c>
      <c r="V1267" s="6" t="inlineStr">
        <is>
          <t>not selected</t>
        </is>
      </c>
    </row>
    <row r="1268">
      <c r="A1268" s="6" t="inlineStr">
        <is>
          <t>DJ30</t>
        </is>
      </c>
      <c r="B1268" s="6" t="inlineStr">
        <is>
          <t>2023-10-13</t>
        </is>
      </c>
      <c r="C1268" s="6" t="inlineStr">
        <is>
          <t>DIA</t>
        </is>
      </c>
      <c r="D1268" s="6" t="inlineStr">
        <is>
          <t>UNH</t>
        </is>
      </c>
      <c r="E1268" s="6" t="inlineStr">
        <is>
          <t>UNH</t>
        </is>
      </c>
      <c r="F1268" s="6" t="inlineStr">
        <is>
          <t>-</t>
        </is>
      </c>
      <c r="G1268" s="7" t="n">
        <v>509.6622924804688</v>
      </c>
      <c r="H1268" s="6">
        <f>P1237</f>
        <v/>
      </c>
      <c r="I1268" s="9">
        <f>Q1237</f>
        <v/>
      </c>
      <c r="J1268" s="7">
        <f>I1268*G1268</f>
        <v/>
      </c>
      <c r="K1268" s="8">
        <f>IF($J$1272=0,0,J1268/$J$1272)</f>
        <v/>
      </c>
      <c r="L1268" s="6" t="inlineStr">
        <is>
          <t>REJECTED</t>
        </is>
      </c>
      <c r="M1268" s="8" t="n">
        <v>0</v>
      </c>
      <c r="N1268" s="7">
        <f>M1268*$J$1272-J1268</f>
        <v/>
      </c>
      <c r="O1268" s="9">
        <f>IF(G1268=0,0,N1268/G1268)</f>
        <v/>
      </c>
      <c r="P1268" s="6">
        <f>IF(M1268&gt;0,D1268,"")</f>
        <v/>
      </c>
      <c r="Q1268" s="9">
        <f>I1268+O1268</f>
        <v/>
      </c>
      <c r="R1268" s="7">
        <f>Q1268*G1268</f>
        <v/>
      </c>
      <c r="S1268" s="8">
        <f>IF($R$1272=0,0,R1268/$R$1272)</f>
        <v/>
      </c>
      <c r="T1268" s="8" t="n">
        <v>0</v>
      </c>
      <c r="U1268" s="8" t="n">
        <v>0.007722025423236634</v>
      </c>
      <c r="V1268" s="6" t="inlineStr">
        <is>
          <t>not selected</t>
        </is>
      </c>
    </row>
    <row r="1269">
      <c r="A1269" s="6" t="inlineStr">
        <is>
          <t>DJ30</t>
        </is>
      </c>
      <c r="B1269" s="6" t="inlineStr">
        <is>
          <t>2023-10-13</t>
        </is>
      </c>
      <c r="C1269" s="6" t="inlineStr">
        <is>
          <t>DIA</t>
        </is>
      </c>
      <c r="D1269" s="6" t="inlineStr">
        <is>
          <t>V</t>
        </is>
      </c>
      <c r="E1269" s="6" t="inlineStr">
        <is>
          <t>V</t>
        </is>
      </c>
      <c r="F1269" s="6" t="inlineStr">
        <is>
          <t>-</t>
        </is>
      </c>
      <c r="G1269" s="7" t="n">
        <v>232.74267578125</v>
      </c>
      <c r="H1269" s="6">
        <f>P1238</f>
        <v/>
      </c>
      <c r="I1269" s="9">
        <f>Q1238</f>
        <v/>
      </c>
      <c r="J1269" s="7">
        <f>I1269*G1269</f>
        <v/>
      </c>
      <c r="K1269" s="8">
        <f>IF($J$1272=0,0,J1269/$J$1272)</f>
        <v/>
      </c>
      <c r="L1269" s="6" t="inlineStr">
        <is>
          <t>REJECTED</t>
        </is>
      </c>
      <c r="M1269" s="8" t="n">
        <v>0</v>
      </c>
      <c r="N1269" s="7">
        <f>M1269*$J$1272-J1269</f>
        <v/>
      </c>
      <c r="O1269" s="9">
        <f>IF(G1269=0,0,N1269/G1269)</f>
        <v/>
      </c>
      <c r="P1269" s="6">
        <f>IF(M1269&gt;0,D1269,"")</f>
        <v/>
      </c>
      <c r="Q1269" s="9">
        <f>I1269+O1269</f>
        <v/>
      </c>
      <c r="R1269" s="7">
        <f>Q1269*G1269</f>
        <v/>
      </c>
      <c r="S1269" s="8">
        <f>IF($R$1272=0,0,R1269/$R$1272)</f>
        <v/>
      </c>
      <c r="T1269" s="8" t="n">
        <v>0</v>
      </c>
      <c r="U1269" s="8" t="n">
        <v>0.007722025423236634</v>
      </c>
      <c r="V1269" s="6" t="inlineStr">
        <is>
          <t>not selected</t>
        </is>
      </c>
    </row>
    <row r="1270">
      <c r="A1270" s="6" t="inlineStr">
        <is>
          <t>DJ30</t>
        </is>
      </c>
      <c r="B1270" s="6" t="inlineStr">
        <is>
          <t>2023-10-13</t>
        </is>
      </c>
      <c r="C1270" s="6" t="inlineStr">
        <is>
          <t>DIA</t>
        </is>
      </c>
      <c r="D1270" s="6" t="inlineStr">
        <is>
          <t>VZ</t>
        </is>
      </c>
      <c r="E1270" s="6" t="inlineStr">
        <is>
          <t>VZ</t>
        </is>
      </c>
      <c r="F1270" s="6" t="inlineStr">
        <is>
          <t>-</t>
        </is>
      </c>
      <c r="G1270" s="7" t="n">
        <v>26.05118370056152</v>
      </c>
      <c r="H1270" s="6">
        <f>P1239</f>
        <v/>
      </c>
      <c r="I1270" s="9">
        <f>Q1239</f>
        <v/>
      </c>
      <c r="J1270" s="7">
        <f>I1270*G1270</f>
        <v/>
      </c>
      <c r="K1270" s="8">
        <f>IF($J$1272=0,0,J1270/$J$1272)</f>
        <v/>
      </c>
      <c r="L1270" s="6" t="inlineStr">
        <is>
          <t>REJECTED</t>
        </is>
      </c>
      <c r="M1270" s="8" t="n">
        <v>0</v>
      </c>
      <c r="N1270" s="7">
        <f>M1270*$J$1272-J1270</f>
        <v/>
      </c>
      <c r="O1270" s="9">
        <f>IF(G1270=0,0,N1270/G1270)</f>
        <v/>
      </c>
      <c r="P1270" s="6">
        <f>IF(M1270&gt;0,D1270,"")</f>
        <v/>
      </c>
      <c r="Q1270" s="9">
        <f>I1270+O1270</f>
        <v/>
      </c>
      <c r="R1270" s="7">
        <f>Q1270*G1270</f>
        <v/>
      </c>
      <c r="S1270" s="8">
        <f>IF($R$1272=0,0,R1270/$R$1272)</f>
        <v/>
      </c>
      <c r="T1270" s="8" t="n">
        <v>0</v>
      </c>
      <c r="U1270" s="8" t="n">
        <v>0.007722025423236634</v>
      </c>
      <c r="V1270" s="6" t="inlineStr">
        <is>
          <t>not selected</t>
        </is>
      </c>
    </row>
    <row r="1271">
      <c r="A1271" s="6" t="inlineStr">
        <is>
          <t>DJ30</t>
        </is>
      </c>
      <c r="B1271" s="6" t="inlineStr">
        <is>
          <t>2023-10-13</t>
        </is>
      </c>
      <c r="C1271" s="6" t="inlineStr">
        <is>
          <t>DIA</t>
        </is>
      </c>
      <c r="D1271" s="6" t="inlineStr">
        <is>
          <t>WMT</t>
        </is>
      </c>
      <c r="E1271" s="6" t="inlineStr">
        <is>
          <t>WMT</t>
        </is>
      </c>
      <c r="F1271" s="6" t="inlineStr">
        <is>
          <t>-</t>
        </is>
      </c>
      <c r="G1271" s="7" t="n">
        <v>51.74838256835938</v>
      </c>
      <c r="H1271" s="6">
        <f>P1240</f>
        <v/>
      </c>
      <c r="I1271" s="9">
        <f>Q1240</f>
        <v/>
      </c>
      <c r="J1271" s="7">
        <f>I1271*G1271</f>
        <v/>
      </c>
      <c r="K1271" s="8">
        <f>IF($J$1272=0,0,J1271/$J$1272)</f>
        <v/>
      </c>
      <c r="L1271" s="6" t="inlineStr">
        <is>
          <t>REJECTED</t>
        </is>
      </c>
      <c r="M1271" s="8" t="n">
        <v>0</v>
      </c>
      <c r="N1271" s="7">
        <f>M1271*$J$1272-J1271</f>
        <v/>
      </c>
      <c r="O1271" s="9">
        <f>IF(G1271=0,0,N1271/G1271)</f>
        <v/>
      </c>
      <c r="P1271" s="6">
        <f>IF(M1271&gt;0,D1271,"")</f>
        <v/>
      </c>
      <c r="Q1271" s="9">
        <f>I1271+O1271</f>
        <v/>
      </c>
      <c r="R1271" s="7">
        <f>Q1271*G1271</f>
        <v/>
      </c>
      <c r="S1271" s="8">
        <f>IF($R$1272=0,0,R1271/$R$1272)</f>
        <v/>
      </c>
      <c r="T1271" s="8" t="n">
        <v>0</v>
      </c>
      <c r="U1271" s="8" t="n">
        <v>0.007722025423236634</v>
      </c>
      <c r="V1271" s="6" t="inlineStr">
        <is>
          <t>not selected</t>
        </is>
      </c>
    </row>
    <row r="1272">
      <c r="A1272" s="10" t="inlineStr">
        <is>
          <t>DJ30</t>
        </is>
      </c>
      <c r="B1272" s="10" t="inlineStr">
        <is>
          <t>2023-10-13</t>
        </is>
      </c>
      <c r="C1272" s="10" t="inlineStr">
        <is>
          <t>DIA</t>
        </is>
      </c>
      <c r="D1272" s="10" t="inlineStr">
        <is>
          <t>Tot Portfolio</t>
        </is>
      </c>
      <c r="E1272" s="10" t="inlineStr"/>
      <c r="F1272" s="10" t="inlineStr"/>
      <c r="G1272" s="11" t="inlineStr"/>
      <c r="H1272" s="10" t="inlineStr"/>
      <c r="I1272" s="12" t="inlineStr"/>
      <c r="J1272" s="11">
        <f>SUM(J1242:J1271)</f>
        <v/>
      </c>
      <c r="K1272" s="13">
        <f>SUM(K1242:K1271)</f>
        <v/>
      </c>
      <c r="L1272" s="10" t="inlineStr">
        <is>
          <t>TOTAL</t>
        </is>
      </c>
      <c r="M1272" s="13">
        <f>SUM(M1242:M1271)</f>
        <v/>
      </c>
      <c r="N1272" s="11">
        <f>SUM(N1242:N1271)</f>
        <v/>
      </c>
      <c r="O1272" s="12">
        <f>SUM(O1242:O1271)</f>
        <v/>
      </c>
      <c r="P1272" s="10" t="inlineStr"/>
      <c r="Q1272" s="12" t="inlineStr"/>
      <c r="R1272" s="11">
        <f>SUM(R1242:R1271)</f>
        <v/>
      </c>
      <c r="S1272" s="13">
        <f>SUM(S1242:S1271)</f>
        <v/>
      </c>
      <c r="T1272" s="13" t="n">
        <v>0</v>
      </c>
      <c r="U1272" s="13" t="n">
        <v>0.007722025423236634</v>
      </c>
      <c r="V1272" s="10" t="inlineStr"/>
    </row>
    <row r="1273">
      <c r="A1273" s="6" t="inlineStr">
        <is>
          <t>DJ30</t>
        </is>
      </c>
      <c r="B1273" s="6" t="inlineStr">
        <is>
          <t>2023-10-20</t>
        </is>
      </c>
      <c r="C1273" s="6" t="inlineStr">
        <is>
          <t>DIA</t>
        </is>
      </c>
      <c r="D1273" s="6" t="inlineStr">
        <is>
          <t>AAPL</t>
        </is>
      </c>
      <c r="E1273" s="6" t="inlineStr">
        <is>
          <t>AAPL</t>
        </is>
      </c>
      <c r="F1273" s="6" t="inlineStr">
        <is>
          <t>-</t>
        </is>
      </c>
      <c r="G1273" s="7" t="n">
        <v>170.7200927734375</v>
      </c>
      <c r="H1273" s="6">
        <f>P1242</f>
        <v/>
      </c>
      <c r="I1273" s="9">
        <f>Q1242</f>
        <v/>
      </c>
      <c r="J1273" s="7">
        <f>I1273*G1273</f>
        <v/>
      </c>
      <c r="K1273" s="8">
        <f>IF($J$1303=0,0,J1273/$J$1303)</f>
        <v/>
      </c>
      <c r="L1273" s="6" t="inlineStr">
        <is>
          <t>REJECTED</t>
        </is>
      </c>
      <c r="M1273" s="8" t="n">
        <v>0</v>
      </c>
      <c r="N1273" s="7">
        <f>M1273*$J$1303-J1273</f>
        <v/>
      </c>
      <c r="O1273" s="9">
        <f>IF(G1273=0,0,N1273/G1273)</f>
        <v/>
      </c>
      <c r="P1273" s="6">
        <f>IF(M1273&gt;0,D1273,"")</f>
        <v/>
      </c>
      <c r="Q1273" s="9">
        <f>I1273+O1273</f>
        <v/>
      </c>
      <c r="R1273" s="7">
        <f>Q1273*G1273</f>
        <v/>
      </c>
      <c r="S1273" s="8">
        <f>IF($R$1303=0,0,R1273/$R$1303)</f>
        <v/>
      </c>
      <c r="T1273" s="8" t="n">
        <v>0</v>
      </c>
      <c r="U1273" s="8" t="n">
        <v>-0.01575496841897728</v>
      </c>
      <c r="V1273" s="6" t="inlineStr">
        <is>
          <t>not selected</t>
        </is>
      </c>
    </row>
    <row r="1274">
      <c r="A1274" s="6" t="inlineStr">
        <is>
          <t>DJ30</t>
        </is>
      </c>
      <c r="B1274" s="6" t="inlineStr">
        <is>
          <t>2023-10-20</t>
        </is>
      </c>
      <c r="C1274" s="6" t="inlineStr">
        <is>
          <t>DIA</t>
        </is>
      </c>
      <c r="D1274" s="6" t="inlineStr">
        <is>
          <t>AMGN</t>
        </is>
      </c>
      <c r="E1274" s="6" t="inlineStr">
        <is>
          <t>AMGN</t>
        </is>
      </c>
      <c r="F1274" s="6" t="inlineStr">
        <is>
          <t>-</t>
        </is>
      </c>
      <c r="G1274" s="7" t="n">
        <v>256.3311462402344</v>
      </c>
      <c r="H1274" s="6">
        <f>P1243</f>
        <v/>
      </c>
      <c r="I1274" s="9">
        <f>Q1243</f>
        <v/>
      </c>
      <c r="J1274" s="7">
        <f>I1274*G1274</f>
        <v/>
      </c>
      <c r="K1274" s="8">
        <f>IF($J$1303=0,0,J1274/$J$1303)</f>
        <v/>
      </c>
      <c r="L1274" s="6" t="inlineStr">
        <is>
          <t>REJECTED</t>
        </is>
      </c>
      <c r="M1274" s="8" t="n">
        <v>0</v>
      </c>
      <c r="N1274" s="7">
        <f>M1274*$J$1303-J1274</f>
        <v/>
      </c>
      <c r="O1274" s="9">
        <f>IF(G1274=0,0,N1274/G1274)</f>
        <v/>
      </c>
      <c r="P1274" s="6">
        <f>IF(M1274&gt;0,D1274,"")</f>
        <v/>
      </c>
      <c r="Q1274" s="9">
        <f>I1274+O1274</f>
        <v/>
      </c>
      <c r="R1274" s="7">
        <f>Q1274*G1274</f>
        <v/>
      </c>
      <c r="S1274" s="8">
        <f>IF($R$1303=0,0,R1274/$R$1303)</f>
        <v/>
      </c>
      <c r="T1274" s="8" t="n">
        <v>0</v>
      </c>
      <c r="U1274" s="8" t="n">
        <v>-0.01575496841897728</v>
      </c>
      <c r="V1274" s="6" t="inlineStr">
        <is>
          <t>not selected</t>
        </is>
      </c>
    </row>
    <row r="1275">
      <c r="A1275" s="6" t="inlineStr">
        <is>
          <t>DJ30</t>
        </is>
      </c>
      <c r="B1275" s="6" t="inlineStr">
        <is>
          <t>2023-10-20</t>
        </is>
      </c>
      <c r="C1275" s="6" t="inlineStr">
        <is>
          <t>DIA</t>
        </is>
      </c>
      <c r="D1275" s="6" t="inlineStr">
        <is>
          <t>AMZN</t>
        </is>
      </c>
      <c r="E1275" s="6" t="inlineStr">
        <is>
          <t>AMZN</t>
        </is>
      </c>
      <c r="F1275" s="6" t="inlineStr">
        <is>
          <t>-</t>
        </is>
      </c>
      <c r="G1275" s="7" t="n">
        <v>125.1699981689453</v>
      </c>
      <c r="H1275" s="6">
        <f>P1244</f>
        <v/>
      </c>
      <c r="I1275" s="9">
        <f>Q1244</f>
        <v/>
      </c>
      <c r="J1275" s="7">
        <f>I1275*G1275</f>
        <v/>
      </c>
      <c r="K1275" s="8">
        <f>IF($J$1303=0,0,J1275/$J$1303)</f>
        <v/>
      </c>
      <c r="L1275" s="6" t="inlineStr">
        <is>
          <t>REJECTED</t>
        </is>
      </c>
      <c r="M1275" s="8" t="n">
        <v>0</v>
      </c>
      <c r="N1275" s="7">
        <f>M1275*$J$1303-J1275</f>
        <v/>
      </c>
      <c r="O1275" s="9">
        <f>IF(G1275=0,0,N1275/G1275)</f>
        <v/>
      </c>
      <c r="P1275" s="6">
        <f>IF(M1275&gt;0,D1275,"")</f>
        <v/>
      </c>
      <c r="Q1275" s="9">
        <f>I1275+O1275</f>
        <v/>
      </c>
      <c r="R1275" s="7">
        <f>Q1275*G1275</f>
        <v/>
      </c>
      <c r="S1275" s="8">
        <f>IF($R$1303=0,0,R1275/$R$1303)</f>
        <v/>
      </c>
      <c r="T1275" s="8" t="n">
        <v>0</v>
      </c>
      <c r="U1275" s="8" t="n">
        <v>-0.01575496841897728</v>
      </c>
      <c r="V1275" s="6" t="inlineStr">
        <is>
          <t>not selected</t>
        </is>
      </c>
    </row>
    <row r="1276">
      <c r="A1276" s="6" t="inlineStr">
        <is>
          <t>DJ30</t>
        </is>
      </c>
      <c r="B1276" s="6" t="inlineStr">
        <is>
          <t>2023-10-20</t>
        </is>
      </c>
      <c r="C1276" s="6" t="inlineStr">
        <is>
          <t>DIA</t>
        </is>
      </c>
      <c r="D1276" s="6" t="inlineStr">
        <is>
          <t>AXP</t>
        </is>
      </c>
      <c r="E1276" s="6" t="inlineStr">
        <is>
          <t>AXP</t>
        </is>
      </c>
      <c r="F1276" s="6" t="inlineStr">
        <is>
          <t>-</t>
        </is>
      </c>
      <c r="G1276" s="7" t="n">
        <v>137.6620178222656</v>
      </c>
      <c r="H1276" s="6">
        <f>P1245</f>
        <v/>
      </c>
      <c r="I1276" s="9">
        <f>Q1245</f>
        <v/>
      </c>
      <c r="J1276" s="7">
        <f>I1276*G1276</f>
        <v/>
      </c>
      <c r="K1276" s="8">
        <f>IF($J$1303=0,0,J1276/$J$1303)</f>
        <v/>
      </c>
      <c r="L1276" s="6" t="inlineStr">
        <is>
          <t>REJECTED</t>
        </is>
      </c>
      <c r="M1276" s="8" t="n">
        <v>0</v>
      </c>
      <c r="N1276" s="7">
        <f>M1276*$J$1303-J1276</f>
        <v/>
      </c>
      <c r="O1276" s="9">
        <f>IF(G1276=0,0,N1276/G1276)</f>
        <v/>
      </c>
      <c r="P1276" s="6">
        <f>IF(M1276&gt;0,D1276,"")</f>
        <v/>
      </c>
      <c r="Q1276" s="9">
        <f>I1276+O1276</f>
        <v/>
      </c>
      <c r="R1276" s="7">
        <f>Q1276*G1276</f>
        <v/>
      </c>
      <c r="S1276" s="8">
        <f>IF($R$1303=0,0,R1276/$R$1303)</f>
        <v/>
      </c>
      <c r="T1276" s="8" t="n">
        <v>0</v>
      </c>
      <c r="U1276" s="8" t="n">
        <v>-0.01575496841897728</v>
      </c>
      <c r="V1276" s="6" t="inlineStr">
        <is>
          <t>not selected</t>
        </is>
      </c>
    </row>
    <row r="1277">
      <c r="A1277" s="6" t="inlineStr">
        <is>
          <t>DJ30</t>
        </is>
      </c>
      <c r="B1277" s="6" t="inlineStr">
        <is>
          <t>2023-10-20</t>
        </is>
      </c>
      <c r="C1277" s="6" t="inlineStr">
        <is>
          <t>DIA</t>
        </is>
      </c>
      <c r="D1277" s="6" t="inlineStr">
        <is>
          <t>BA</t>
        </is>
      </c>
      <c r="E1277" s="6" t="inlineStr">
        <is>
          <t>BA</t>
        </is>
      </c>
      <c r="F1277" s="6" t="inlineStr">
        <is>
          <t>-</t>
        </is>
      </c>
      <c r="G1277" s="7" t="n">
        <v>180.0399932861328</v>
      </c>
      <c r="H1277" s="6">
        <f>P1246</f>
        <v/>
      </c>
      <c r="I1277" s="9">
        <f>Q1246</f>
        <v/>
      </c>
      <c r="J1277" s="7">
        <f>I1277*G1277</f>
        <v/>
      </c>
      <c r="K1277" s="8">
        <f>IF($J$1303=0,0,J1277/$J$1303)</f>
        <v/>
      </c>
      <c r="L1277" s="6" t="inlineStr">
        <is>
          <t>REJECTED</t>
        </is>
      </c>
      <c r="M1277" s="8" t="n">
        <v>0</v>
      </c>
      <c r="N1277" s="7">
        <f>M1277*$J$1303-J1277</f>
        <v/>
      </c>
      <c r="O1277" s="9">
        <f>IF(G1277=0,0,N1277/G1277)</f>
        <v/>
      </c>
      <c r="P1277" s="6">
        <f>IF(M1277&gt;0,D1277,"")</f>
        <v/>
      </c>
      <c r="Q1277" s="9">
        <f>I1277+O1277</f>
        <v/>
      </c>
      <c r="R1277" s="7">
        <f>Q1277*G1277</f>
        <v/>
      </c>
      <c r="S1277" s="8">
        <f>IF($R$1303=0,0,R1277/$R$1303)</f>
        <v/>
      </c>
      <c r="T1277" s="8" t="n">
        <v>0</v>
      </c>
      <c r="U1277" s="8" t="n">
        <v>-0.01575496841897728</v>
      </c>
      <c r="V1277" s="6" t="inlineStr">
        <is>
          <t>not selected</t>
        </is>
      </c>
    </row>
    <row r="1278">
      <c r="A1278" s="6" t="inlineStr">
        <is>
          <t>DJ30</t>
        </is>
      </c>
      <c r="B1278" s="6" t="inlineStr">
        <is>
          <t>2023-10-20</t>
        </is>
      </c>
      <c r="C1278" s="6" t="inlineStr">
        <is>
          <t>DIA</t>
        </is>
      </c>
      <c r="D1278" s="6" t="inlineStr">
        <is>
          <t>CAT</t>
        </is>
      </c>
      <c r="E1278" s="6" t="inlineStr">
        <is>
          <t>CAT</t>
        </is>
      </c>
      <c r="F1278" s="6" t="inlineStr">
        <is>
          <t>-</t>
        </is>
      </c>
      <c r="G1278" s="7" t="n">
        <v>240.5955200195312</v>
      </c>
      <c r="H1278" s="6">
        <f>P1247</f>
        <v/>
      </c>
      <c r="I1278" s="9">
        <f>Q1247</f>
        <v/>
      </c>
      <c r="J1278" s="7">
        <f>I1278*G1278</f>
        <v/>
      </c>
      <c r="K1278" s="8">
        <f>IF($J$1303=0,0,J1278/$J$1303)</f>
        <v/>
      </c>
      <c r="L1278" s="6" t="inlineStr">
        <is>
          <t>REJECTED</t>
        </is>
      </c>
      <c r="M1278" s="8" t="n">
        <v>0</v>
      </c>
      <c r="N1278" s="7">
        <f>M1278*$J$1303-J1278</f>
        <v/>
      </c>
      <c r="O1278" s="9">
        <f>IF(G1278=0,0,N1278/G1278)</f>
        <v/>
      </c>
      <c r="P1278" s="6">
        <f>IF(M1278&gt;0,D1278,"")</f>
        <v/>
      </c>
      <c r="Q1278" s="9">
        <f>I1278+O1278</f>
        <v/>
      </c>
      <c r="R1278" s="7">
        <f>Q1278*G1278</f>
        <v/>
      </c>
      <c r="S1278" s="8">
        <f>IF($R$1303=0,0,R1278/$R$1303)</f>
        <v/>
      </c>
      <c r="T1278" s="8" t="n">
        <v>0</v>
      </c>
      <c r="U1278" s="8" t="n">
        <v>-0.01575496841897728</v>
      </c>
      <c r="V1278" s="6" t="inlineStr">
        <is>
          <t>not selected</t>
        </is>
      </c>
    </row>
    <row r="1279">
      <c r="A1279" s="6" t="inlineStr">
        <is>
          <t>DJ30</t>
        </is>
      </c>
      <c r="B1279" s="6" t="inlineStr">
        <is>
          <t>2023-10-20</t>
        </is>
      </c>
      <c r="C1279" s="6" t="inlineStr">
        <is>
          <t>DIA</t>
        </is>
      </c>
      <c r="D1279" s="6" t="inlineStr">
        <is>
          <t>CRM</t>
        </is>
      </c>
      <c r="E1279" s="6" t="inlineStr">
        <is>
          <t>CRM</t>
        </is>
      </c>
      <c r="F1279" s="6" t="inlineStr">
        <is>
          <t>-</t>
        </is>
      </c>
      <c r="G1279" s="7" t="n">
        <v>200.2653198242188</v>
      </c>
      <c r="H1279" s="6">
        <f>P1248</f>
        <v/>
      </c>
      <c r="I1279" s="9">
        <f>Q1248</f>
        <v/>
      </c>
      <c r="J1279" s="7">
        <f>I1279*G1279</f>
        <v/>
      </c>
      <c r="K1279" s="8">
        <f>IF($J$1303=0,0,J1279/$J$1303)</f>
        <v/>
      </c>
      <c r="L1279" s="6" t="inlineStr">
        <is>
          <t>REJECTED</t>
        </is>
      </c>
      <c r="M1279" s="8" t="n">
        <v>0</v>
      </c>
      <c r="N1279" s="7">
        <f>M1279*$J$1303-J1279</f>
        <v/>
      </c>
      <c r="O1279" s="9">
        <f>IF(G1279=0,0,N1279/G1279)</f>
        <v/>
      </c>
      <c r="P1279" s="6">
        <f>IF(M1279&gt;0,D1279,"")</f>
        <v/>
      </c>
      <c r="Q1279" s="9">
        <f>I1279+O1279</f>
        <v/>
      </c>
      <c r="R1279" s="7">
        <f>Q1279*G1279</f>
        <v/>
      </c>
      <c r="S1279" s="8">
        <f>IF($R$1303=0,0,R1279/$R$1303)</f>
        <v/>
      </c>
      <c r="T1279" s="8" t="n">
        <v>0</v>
      </c>
      <c r="U1279" s="8" t="n">
        <v>-0.01575496841897728</v>
      </c>
      <c r="V1279" s="6" t="inlineStr">
        <is>
          <t>not selected</t>
        </is>
      </c>
    </row>
    <row r="1280">
      <c r="A1280" s="6" t="inlineStr">
        <is>
          <t>DJ30</t>
        </is>
      </c>
      <c r="B1280" s="6" t="inlineStr">
        <is>
          <t>2023-10-20</t>
        </is>
      </c>
      <c r="C1280" s="6" t="inlineStr">
        <is>
          <t>DIA</t>
        </is>
      </c>
      <c r="D1280" s="6" t="inlineStr">
        <is>
          <t>CSCO</t>
        </is>
      </c>
      <c r="E1280" s="6" t="inlineStr">
        <is>
          <t>CSCO</t>
        </is>
      </c>
      <c r="F1280" s="6" t="inlineStr">
        <is>
          <t>-</t>
        </is>
      </c>
      <c r="G1280" s="7" t="n">
        <v>49.43885040283203</v>
      </c>
      <c r="H1280" s="6">
        <f>P1249</f>
        <v/>
      </c>
      <c r="I1280" s="9">
        <f>Q1249</f>
        <v/>
      </c>
      <c r="J1280" s="7">
        <f>I1280*G1280</f>
        <v/>
      </c>
      <c r="K1280" s="8">
        <f>IF($J$1303=0,0,J1280/$J$1303)</f>
        <v/>
      </c>
      <c r="L1280" s="6" t="inlineStr">
        <is>
          <t>REJECTED</t>
        </is>
      </c>
      <c r="M1280" s="8" t="n">
        <v>0</v>
      </c>
      <c r="N1280" s="7">
        <f>M1280*$J$1303-J1280</f>
        <v/>
      </c>
      <c r="O1280" s="9">
        <f>IF(G1280=0,0,N1280/G1280)</f>
        <v/>
      </c>
      <c r="P1280" s="6">
        <f>IF(M1280&gt;0,D1280,"")</f>
        <v/>
      </c>
      <c r="Q1280" s="9">
        <f>I1280+O1280</f>
        <v/>
      </c>
      <c r="R1280" s="7">
        <f>Q1280*G1280</f>
        <v/>
      </c>
      <c r="S1280" s="8">
        <f>IF($R$1303=0,0,R1280/$R$1303)</f>
        <v/>
      </c>
      <c r="T1280" s="8" t="n">
        <v>0</v>
      </c>
      <c r="U1280" s="8" t="n">
        <v>-0.01575496841897728</v>
      </c>
      <c r="V1280" s="6" t="inlineStr">
        <is>
          <t>not selected</t>
        </is>
      </c>
    </row>
    <row r="1281">
      <c r="A1281" s="6" t="inlineStr">
        <is>
          <t>DJ30</t>
        </is>
      </c>
      <c r="B1281" s="6" t="inlineStr">
        <is>
          <t>2023-10-20</t>
        </is>
      </c>
      <c r="C1281" s="6" t="inlineStr">
        <is>
          <t>DIA</t>
        </is>
      </c>
      <c r="D1281" s="6" t="inlineStr">
        <is>
          <t>CVX</t>
        </is>
      </c>
      <c r="E1281" s="6" t="inlineStr">
        <is>
          <t>CVX</t>
        </is>
      </c>
      <c r="F1281" s="6" t="inlineStr">
        <is>
          <t>-</t>
        </is>
      </c>
      <c r="G1281" s="7" t="n">
        <v>148.4430847167969</v>
      </c>
      <c r="H1281" s="6">
        <f>P1250</f>
        <v/>
      </c>
      <c r="I1281" s="9">
        <f>Q1250</f>
        <v/>
      </c>
      <c r="J1281" s="7">
        <f>I1281*G1281</f>
        <v/>
      </c>
      <c r="K1281" s="8">
        <f>IF($J$1303=0,0,J1281/$J$1303)</f>
        <v/>
      </c>
      <c r="L1281" s="6" t="inlineStr">
        <is>
          <t>REJECTED</t>
        </is>
      </c>
      <c r="M1281" s="8" t="n">
        <v>0</v>
      </c>
      <c r="N1281" s="7">
        <f>M1281*$J$1303-J1281</f>
        <v/>
      </c>
      <c r="O1281" s="9">
        <f>IF(G1281=0,0,N1281/G1281)</f>
        <v/>
      </c>
      <c r="P1281" s="6">
        <f>IF(M1281&gt;0,D1281,"")</f>
        <v/>
      </c>
      <c r="Q1281" s="9">
        <f>I1281+O1281</f>
        <v/>
      </c>
      <c r="R1281" s="7">
        <f>Q1281*G1281</f>
        <v/>
      </c>
      <c r="S1281" s="8">
        <f>IF($R$1303=0,0,R1281/$R$1303)</f>
        <v/>
      </c>
      <c r="T1281" s="8" t="n">
        <v>0</v>
      </c>
      <c r="U1281" s="8" t="n">
        <v>-0.01575496841897728</v>
      </c>
      <c r="V1281" s="6" t="inlineStr">
        <is>
          <t>not selected</t>
        </is>
      </c>
    </row>
    <row r="1282">
      <c r="A1282" s="6" t="inlineStr">
        <is>
          <t>DJ30</t>
        </is>
      </c>
      <c r="B1282" s="6" t="inlineStr">
        <is>
          <t>2023-10-20</t>
        </is>
      </c>
      <c r="C1282" s="6" t="inlineStr">
        <is>
          <t>DIA</t>
        </is>
      </c>
      <c r="D1282" s="6" t="inlineStr">
        <is>
          <t>DIS</t>
        </is>
      </c>
      <c r="E1282" s="6" t="inlineStr">
        <is>
          <t>DIS</t>
        </is>
      </c>
      <c r="F1282" s="6" t="inlineStr">
        <is>
          <t>-</t>
        </is>
      </c>
      <c r="G1282" s="7" t="n">
        <v>80.74842071533203</v>
      </c>
      <c r="H1282" s="6">
        <f>P1251</f>
        <v/>
      </c>
      <c r="I1282" s="9">
        <f>Q1251</f>
        <v/>
      </c>
      <c r="J1282" s="7">
        <f>I1282*G1282</f>
        <v/>
      </c>
      <c r="K1282" s="8">
        <f>IF($J$1303=0,0,J1282/$J$1303)</f>
        <v/>
      </c>
      <c r="L1282" s="6" t="inlineStr">
        <is>
          <t>REJECTED</t>
        </is>
      </c>
      <c r="M1282" s="8" t="n">
        <v>0</v>
      </c>
      <c r="N1282" s="7">
        <f>M1282*$J$1303-J1282</f>
        <v/>
      </c>
      <c r="O1282" s="9">
        <f>IF(G1282=0,0,N1282/G1282)</f>
        <v/>
      </c>
      <c r="P1282" s="6">
        <f>IF(M1282&gt;0,D1282,"")</f>
        <v/>
      </c>
      <c r="Q1282" s="9">
        <f>I1282+O1282</f>
        <v/>
      </c>
      <c r="R1282" s="7">
        <f>Q1282*G1282</f>
        <v/>
      </c>
      <c r="S1282" s="8">
        <f>IF($R$1303=0,0,R1282/$R$1303)</f>
        <v/>
      </c>
      <c r="T1282" s="8" t="n">
        <v>0</v>
      </c>
      <c r="U1282" s="8" t="n">
        <v>-0.01575496841897728</v>
      </c>
      <c r="V1282" s="6" t="inlineStr">
        <is>
          <t>not selected</t>
        </is>
      </c>
    </row>
    <row r="1283">
      <c r="A1283" s="6" t="inlineStr">
        <is>
          <t>DJ30</t>
        </is>
      </c>
      <c r="B1283" s="6" t="inlineStr">
        <is>
          <t>2023-10-20</t>
        </is>
      </c>
      <c r="C1283" s="6" t="inlineStr">
        <is>
          <t>DIA</t>
        </is>
      </c>
      <c r="D1283" s="6" t="inlineStr">
        <is>
          <t>GS</t>
        </is>
      </c>
      <c r="E1283" s="6" t="inlineStr">
        <is>
          <t>GS</t>
        </is>
      </c>
      <c r="F1283" s="6" t="inlineStr">
        <is>
          <t>-</t>
        </is>
      </c>
      <c r="G1283" s="7" t="n">
        <v>282.0224914550781</v>
      </c>
      <c r="H1283" s="6">
        <f>P1252</f>
        <v/>
      </c>
      <c r="I1283" s="9">
        <f>Q1252</f>
        <v/>
      </c>
      <c r="J1283" s="7">
        <f>I1283*G1283</f>
        <v/>
      </c>
      <c r="K1283" s="8">
        <f>IF($J$1303=0,0,J1283/$J$1303)</f>
        <v/>
      </c>
      <c r="L1283" s="6" t="inlineStr">
        <is>
          <t>REJECTED</t>
        </is>
      </c>
      <c r="M1283" s="8" t="n">
        <v>0</v>
      </c>
      <c r="N1283" s="7">
        <f>M1283*$J$1303-J1283</f>
        <v/>
      </c>
      <c r="O1283" s="9">
        <f>IF(G1283=0,0,N1283/G1283)</f>
        <v/>
      </c>
      <c r="P1283" s="6">
        <f>IF(M1283&gt;0,D1283,"")</f>
        <v/>
      </c>
      <c r="Q1283" s="9">
        <f>I1283+O1283</f>
        <v/>
      </c>
      <c r="R1283" s="7">
        <f>Q1283*G1283</f>
        <v/>
      </c>
      <c r="S1283" s="8">
        <f>IF($R$1303=0,0,R1283/$R$1303)</f>
        <v/>
      </c>
      <c r="T1283" s="8" t="n">
        <v>0</v>
      </c>
      <c r="U1283" s="8" t="n">
        <v>-0.01575496841897728</v>
      </c>
      <c r="V1283" s="6" t="inlineStr">
        <is>
          <t>not selected</t>
        </is>
      </c>
    </row>
    <row r="1284">
      <c r="A1284" s="6" t="inlineStr">
        <is>
          <t>DJ30</t>
        </is>
      </c>
      <c r="B1284" s="6" t="inlineStr">
        <is>
          <t>2023-10-20</t>
        </is>
      </c>
      <c r="C1284" s="6" t="inlineStr">
        <is>
          <t>DIA</t>
        </is>
      </c>
      <c r="D1284" s="6" t="inlineStr">
        <is>
          <t>HD</t>
        </is>
      </c>
      <c r="E1284" s="6" t="inlineStr">
        <is>
          <t>HD</t>
        </is>
      </c>
      <c r="F1284" s="6" t="inlineStr">
        <is>
          <t>-</t>
        </is>
      </c>
      <c r="G1284" s="7" t="n">
        <v>267.1397399902344</v>
      </c>
      <c r="H1284" s="6">
        <f>P1253</f>
        <v/>
      </c>
      <c r="I1284" s="9">
        <f>Q1253</f>
        <v/>
      </c>
      <c r="J1284" s="7">
        <f>I1284*G1284</f>
        <v/>
      </c>
      <c r="K1284" s="8">
        <f>IF($J$1303=0,0,J1284/$J$1303)</f>
        <v/>
      </c>
      <c r="L1284" s="6" t="inlineStr">
        <is>
          <t>REJECTED</t>
        </is>
      </c>
      <c r="M1284" s="8" t="n">
        <v>0</v>
      </c>
      <c r="N1284" s="7">
        <f>M1284*$J$1303-J1284</f>
        <v/>
      </c>
      <c r="O1284" s="9">
        <f>IF(G1284=0,0,N1284/G1284)</f>
        <v/>
      </c>
      <c r="P1284" s="6">
        <f>IF(M1284&gt;0,D1284,"")</f>
        <v/>
      </c>
      <c r="Q1284" s="9">
        <f>I1284+O1284</f>
        <v/>
      </c>
      <c r="R1284" s="7">
        <f>Q1284*G1284</f>
        <v/>
      </c>
      <c r="S1284" s="8">
        <f>IF($R$1303=0,0,R1284/$R$1303)</f>
        <v/>
      </c>
      <c r="T1284" s="8" t="n">
        <v>0</v>
      </c>
      <c r="U1284" s="8" t="n">
        <v>-0.01575496841897728</v>
      </c>
      <c r="V1284" s="6" t="inlineStr">
        <is>
          <t>not selected</t>
        </is>
      </c>
    </row>
    <row r="1285">
      <c r="A1285" s="6" t="inlineStr">
        <is>
          <t>DJ30</t>
        </is>
      </c>
      <c r="B1285" s="6" t="inlineStr">
        <is>
          <t>2023-10-20</t>
        </is>
      </c>
      <c r="C1285" s="6" t="inlineStr">
        <is>
          <t>DIA</t>
        </is>
      </c>
      <c r="D1285" s="6" t="inlineStr">
        <is>
          <t>HON</t>
        </is>
      </c>
      <c r="E1285" s="6" t="inlineStr">
        <is>
          <t>HON</t>
        </is>
      </c>
      <c r="F1285" s="6" t="inlineStr">
        <is>
          <t>-</t>
        </is>
      </c>
      <c r="G1285" s="7" t="n">
        <v>161.0997772216797</v>
      </c>
      <c r="H1285" s="6">
        <f>P1254</f>
        <v/>
      </c>
      <c r="I1285" s="9">
        <f>Q1254</f>
        <v/>
      </c>
      <c r="J1285" s="7">
        <f>I1285*G1285</f>
        <v/>
      </c>
      <c r="K1285" s="8">
        <f>IF($J$1303=0,0,J1285/$J$1303)</f>
        <v/>
      </c>
      <c r="L1285" s="6" t="inlineStr">
        <is>
          <t>REJECTED</t>
        </is>
      </c>
      <c r="M1285" s="8" t="n">
        <v>0</v>
      </c>
      <c r="N1285" s="7">
        <f>M1285*$J$1303-J1285</f>
        <v/>
      </c>
      <c r="O1285" s="9">
        <f>IF(G1285=0,0,N1285/G1285)</f>
        <v/>
      </c>
      <c r="P1285" s="6">
        <f>IF(M1285&gt;0,D1285,"")</f>
        <v/>
      </c>
      <c r="Q1285" s="9">
        <f>I1285+O1285</f>
        <v/>
      </c>
      <c r="R1285" s="7">
        <f>Q1285*G1285</f>
        <v/>
      </c>
      <c r="S1285" s="8">
        <f>IF($R$1303=0,0,R1285/$R$1303)</f>
        <v/>
      </c>
      <c r="T1285" s="8" t="n">
        <v>0</v>
      </c>
      <c r="U1285" s="8" t="n">
        <v>-0.01575496841897728</v>
      </c>
      <c r="V1285" s="6" t="inlineStr">
        <is>
          <t>not selected</t>
        </is>
      </c>
    </row>
    <row r="1286">
      <c r="A1286" s="6" t="inlineStr">
        <is>
          <t>DJ30</t>
        </is>
      </c>
      <c r="B1286" s="6" t="inlineStr">
        <is>
          <t>2023-10-20</t>
        </is>
      </c>
      <c r="C1286" s="6" t="inlineStr">
        <is>
          <t>DIA</t>
        </is>
      </c>
      <c r="D1286" s="6" t="inlineStr">
        <is>
          <t>IBM</t>
        </is>
      </c>
      <c r="E1286" s="6" t="inlineStr">
        <is>
          <t>IBM</t>
        </is>
      </c>
      <c r="F1286" s="6" t="inlineStr">
        <is>
          <t>-</t>
        </is>
      </c>
      <c r="G1286" s="7" t="n">
        <v>125.943229675293</v>
      </c>
      <c r="H1286" s="6">
        <f>P1255</f>
        <v/>
      </c>
      <c r="I1286" s="9">
        <f>Q1255</f>
        <v/>
      </c>
      <c r="J1286" s="7">
        <f>I1286*G1286</f>
        <v/>
      </c>
      <c r="K1286" s="8">
        <f>IF($J$1303=0,0,J1286/$J$1303)</f>
        <v/>
      </c>
      <c r="L1286" s="6" t="inlineStr">
        <is>
          <t>REJECTED</t>
        </is>
      </c>
      <c r="M1286" s="8" t="n">
        <v>0</v>
      </c>
      <c r="N1286" s="7">
        <f>M1286*$J$1303-J1286</f>
        <v/>
      </c>
      <c r="O1286" s="9">
        <f>IF(G1286=0,0,N1286/G1286)</f>
        <v/>
      </c>
      <c r="P1286" s="6">
        <f>IF(M1286&gt;0,D1286,"")</f>
        <v/>
      </c>
      <c r="Q1286" s="9">
        <f>I1286+O1286</f>
        <v/>
      </c>
      <c r="R1286" s="7">
        <f>Q1286*G1286</f>
        <v/>
      </c>
      <c r="S1286" s="8">
        <f>IF($R$1303=0,0,R1286/$R$1303)</f>
        <v/>
      </c>
      <c r="T1286" s="8" t="n">
        <v>0</v>
      </c>
      <c r="U1286" s="8" t="n">
        <v>-0.01575496841897728</v>
      </c>
      <c r="V1286" s="6" t="inlineStr">
        <is>
          <t>not selected</t>
        </is>
      </c>
    </row>
    <row r="1287">
      <c r="A1287" s="6" t="inlineStr">
        <is>
          <t>DJ30</t>
        </is>
      </c>
      <c r="B1287" s="6" t="inlineStr">
        <is>
          <t>2023-10-20</t>
        </is>
      </c>
      <c r="C1287" s="6" t="inlineStr">
        <is>
          <t>DIA</t>
        </is>
      </c>
      <c r="D1287" s="6" t="inlineStr">
        <is>
          <t>JNJ</t>
        </is>
      </c>
      <c r="E1287" s="6" t="inlineStr">
        <is>
          <t>JNJ</t>
        </is>
      </c>
      <c r="F1287" s="6" t="inlineStr">
        <is>
          <t>-</t>
        </is>
      </c>
      <c r="G1287" s="7" t="n">
        <v>141.1898498535156</v>
      </c>
      <c r="H1287" s="6">
        <f>P1256</f>
        <v/>
      </c>
      <c r="I1287" s="9">
        <f>Q1256</f>
        <v/>
      </c>
      <c r="J1287" s="7">
        <f>I1287*G1287</f>
        <v/>
      </c>
      <c r="K1287" s="8">
        <f>IF($J$1303=0,0,J1287/$J$1303)</f>
        <v/>
      </c>
      <c r="L1287" s="6" t="inlineStr">
        <is>
          <t>REJECTED</t>
        </is>
      </c>
      <c r="M1287" s="8" t="n">
        <v>0</v>
      </c>
      <c r="N1287" s="7">
        <f>M1287*$J$1303-J1287</f>
        <v/>
      </c>
      <c r="O1287" s="9">
        <f>IF(G1287=0,0,N1287/G1287)</f>
        <v/>
      </c>
      <c r="P1287" s="6">
        <f>IF(M1287&gt;0,D1287,"")</f>
        <v/>
      </c>
      <c r="Q1287" s="9">
        <f>I1287+O1287</f>
        <v/>
      </c>
      <c r="R1287" s="7">
        <f>Q1287*G1287</f>
        <v/>
      </c>
      <c r="S1287" s="8">
        <f>IF($R$1303=0,0,R1287/$R$1303)</f>
        <v/>
      </c>
      <c r="T1287" s="8" t="n">
        <v>0</v>
      </c>
      <c r="U1287" s="8" t="n">
        <v>-0.01575496841897728</v>
      </c>
      <c r="V1287" s="6" t="inlineStr">
        <is>
          <t>not selected</t>
        </is>
      </c>
    </row>
    <row r="1288">
      <c r="A1288" s="6" t="inlineStr">
        <is>
          <t>DJ30</t>
        </is>
      </c>
      <c r="B1288" s="6" t="inlineStr">
        <is>
          <t>2023-10-20</t>
        </is>
      </c>
      <c r="C1288" s="6" t="inlineStr">
        <is>
          <t>DIA</t>
        </is>
      </c>
      <c r="D1288" s="6" t="inlineStr">
        <is>
          <t>JPM</t>
        </is>
      </c>
      <c r="E1288" s="6" t="inlineStr">
        <is>
          <t>JPM</t>
        </is>
      </c>
      <c r="F1288" s="6" t="inlineStr">
        <is>
          <t>-</t>
        </is>
      </c>
      <c r="G1288" s="7" t="n">
        <v>135.4148406982422</v>
      </c>
      <c r="H1288" s="6">
        <f>P1257</f>
        <v/>
      </c>
      <c r="I1288" s="9">
        <f>Q1257</f>
        <v/>
      </c>
      <c r="J1288" s="7">
        <f>I1288*G1288</f>
        <v/>
      </c>
      <c r="K1288" s="8">
        <f>IF($J$1303=0,0,J1288/$J$1303)</f>
        <v/>
      </c>
      <c r="L1288" s="6" t="inlineStr">
        <is>
          <t>REJECTED</t>
        </is>
      </c>
      <c r="M1288" s="8" t="n">
        <v>0</v>
      </c>
      <c r="N1288" s="7">
        <f>M1288*$J$1303-J1288</f>
        <v/>
      </c>
      <c r="O1288" s="9">
        <f>IF(G1288=0,0,N1288/G1288)</f>
        <v/>
      </c>
      <c r="P1288" s="6">
        <f>IF(M1288&gt;0,D1288,"")</f>
        <v/>
      </c>
      <c r="Q1288" s="9">
        <f>I1288+O1288</f>
        <v/>
      </c>
      <c r="R1288" s="7">
        <f>Q1288*G1288</f>
        <v/>
      </c>
      <c r="S1288" s="8">
        <f>IF($R$1303=0,0,R1288/$R$1303)</f>
        <v/>
      </c>
      <c r="T1288" s="8" t="n">
        <v>0</v>
      </c>
      <c r="U1288" s="8" t="n">
        <v>-0.01575496841897728</v>
      </c>
      <c r="V1288" s="6" t="inlineStr">
        <is>
          <t>not selected</t>
        </is>
      </c>
    </row>
    <row r="1289">
      <c r="A1289" s="6" t="inlineStr">
        <is>
          <t>DJ30</t>
        </is>
      </c>
      <c r="B1289" s="6" t="inlineStr">
        <is>
          <t>2023-10-20</t>
        </is>
      </c>
      <c r="C1289" s="6" t="inlineStr">
        <is>
          <t>DIA</t>
        </is>
      </c>
      <c r="D1289" s="6" t="inlineStr">
        <is>
          <t>KO</t>
        </is>
      </c>
      <c r="E1289" s="6" t="inlineStr">
        <is>
          <t>KO</t>
        </is>
      </c>
      <c r="F1289" s="6" t="inlineStr">
        <is>
          <t>-</t>
        </is>
      </c>
      <c r="G1289" s="7" t="n">
        <v>50.35531616210938</v>
      </c>
      <c r="H1289" s="6">
        <f>P1258</f>
        <v/>
      </c>
      <c r="I1289" s="9">
        <f>Q1258</f>
        <v/>
      </c>
      <c r="J1289" s="7">
        <f>I1289*G1289</f>
        <v/>
      </c>
      <c r="K1289" s="8">
        <f>IF($J$1303=0,0,J1289/$J$1303)</f>
        <v/>
      </c>
      <c r="L1289" s="6" t="inlineStr">
        <is>
          <t>REJECTED</t>
        </is>
      </c>
      <c r="M1289" s="8" t="n">
        <v>0</v>
      </c>
      <c r="N1289" s="7">
        <f>M1289*$J$1303-J1289</f>
        <v/>
      </c>
      <c r="O1289" s="9">
        <f>IF(G1289=0,0,N1289/G1289)</f>
        <v/>
      </c>
      <c r="P1289" s="6">
        <f>IF(M1289&gt;0,D1289,"")</f>
        <v/>
      </c>
      <c r="Q1289" s="9">
        <f>I1289+O1289</f>
        <v/>
      </c>
      <c r="R1289" s="7">
        <f>Q1289*G1289</f>
        <v/>
      </c>
      <c r="S1289" s="8">
        <f>IF($R$1303=0,0,R1289/$R$1303)</f>
        <v/>
      </c>
      <c r="T1289" s="8" t="n">
        <v>0</v>
      </c>
      <c r="U1289" s="8" t="n">
        <v>-0.01575496841897728</v>
      </c>
      <c r="V1289" s="6" t="inlineStr">
        <is>
          <t>not selected</t>
        </is>
      </c>
    </row>
    <row r="1290">
      <c r="A1290" s="6" t="inlineStr">
        <is>
          <t>DJ30</t>
        </is>
      </c>
      <c r="B1290" s="6" t="inlineStr">
        <is>
          <t>2023-10-20</t>
        </is>
      </c>
      <c r="C1290" s="6" t="inlineStr">
        <is>
          <t>DIA</t>
        </is>
      </c>
      <c r="D1290" s="6" t="inlineStr">
        <is>
          <t>MCD</t>
        </is>
      </c>
      <c r="E1290" s="6" t="inlineStr">
        <is>
          <t>MCD</t>
        </is>
      </c>
      <c r="F1290" s="6" t="inlineStr">
        <is>
          <t>-</t>
        </is>
      </c>
      <c r="G1290" s="7" t="n">
        <v>241.7926635742188</v>
      </c>
      <c r="H1290" s="6">
        <f>P1259</f>
        <v/>
      </c>
      <c r="I1290" s="9">
        <f>Q1259</f>
        <v/>
      </c>
      <c r="J1290" s="7">
        <f>I1290*G1290</f>
        <v/>
      </c>
      <c r="K1290" s="8">
        <f>IF($J$1303=0,0,J1290/$J$1303)</f>
        <v/>
      </c>
      <c r="L1290" s="6" t="inlineStr">
        <is>
          <t>REJECTED</t>
        </is>
      </c>
      <c r="M1290" s="8" t="n">
        <v>0</v>
      </c>
      <c r="N1290" s="7">
        <f>M1290*$J$1303-J1290</f>
        <v/>
      </c>
      <c r="O1290" s="9">
        <f>IF(G1290=0,0,N1290/G1290)</f>
        <v/>
      </c>
      <c r="P1290" s="6">
        <f>IF(M1290&gt;0,D1290,"")</f>
        <v/>
      </c>
      <c r="Q1290" s="9">
        <f>I1290+O1290</f>
        <v/>
      </c>
      <c r="R1290" s="7">
        <f>Q1290*G1290</f>
        <v/>
      </c>
      <c r="S1290" s="8">
        <f>IF($R$1303=0,0,R1290/$R$1303)</f>
        <v/>
      </c>
      <c r="T1290" s="8" t="n">
        <v>0</v>
      </c>
      <c r="U1290" s="8" t="n">
        <v>-0.01575496841897728</v>
      </c>
      <c r="V1290" s="6" t="inlineStr">
        <is>
          <t>not selected</t>
        </is>
      </c>
    </row>
    <row r="1291">
      <c r="A1291" s="6" t="inlineStr">
        <is>
          <t>DJ30</t>
        </is>
      </c>
      <c r="B1291" s="6" t="inlineStr">
        <is>
          <t>2023-10-20</t>
        </is>
      </c>
      <c r="C1291" s="6" t="inlineStr">
        <is>
          <t>DIA</t>
        </is>
      </c>
      <c r="D1291" s="6" t="inlineStr">
        <is>
          <t>MMM</t>
        </is>
      </c>
      <c r="E1291" s="6" t="inlineStr">
        <is>
          <t>MMM</t>
        </is>
      </c>
      <c r="F1291" s="6" t="inlineStr">
        <is>
          <t>-</t>
        </is>
      </c>
      <c r="G1291" s="7" t="n">
        <v>66.93427276611328</v>
      </c>
      <c r="H1291" s="6">
        <f>P1260</f>
        <v/>
      </c>
      <c r="I1291" s="9">
        <f>Q1260</f>
        <v/>
      </c>
      <c r="J1291" s="7">
        <f>I1291*G1291</f>
        <v/>
      </c>
      <c r="K1291" s="8">
        <f>IF($J$1303=0,0,J1291/$J$1303)</f>
        <v/>
      </c>
      <c r="L1291" s="6" t="inlineStr">
        <is>
          <t>REJECTED</t>
        </is>
      </c>
      <c r="M1291" s="8" t="n">
        <v>0</v>
      </c>
      <c r="N1291" s="7">
        <f>M1291*$J$1303-J1291</f>
        <v/>
      </c>
      <c r="O1291" s="9">
        <f>IF(G1291=0,0,N1291/G1291)</f>
        <v/>
      </c>
      <c r="P1291" s="6">
        <f>IF(M1291&gt;0,D1291,"")</f>
        <v/>
      </c>
      <c r="Q1291" s="9">
        <f>I1291+O1291</f>
        <v/>
      </c>
      <c r="R1291" s="7">
        <f>Q1291*G1291</f>
        <v/>
      </c>
      <c r="S1291" s="8">
        <f>IF($R$1303=0,0,R1291/$R$1303)</f>
        <v/>
      </c>
      <c r="T1291" s="8" t="n">
        <v>0</v>
      </c>
      <c r="U1291" s="8" t="n">
        <v>-0.01575496841897728</v>
      </c>
      <c r="V1291" s="6" t="inlineStr">
        <is>
          <t>not selected</t>
        </is>
      </c>
    </row>
    <row r="1292">
      <c r="A1292" s="6" t="inlineStr">
        <is>
          <t>DJ30</t>
        </is>
      </c>
      <c r="B1292" s="6" t="inlineStr">
        <is>
          <t>2023-10-20</t>
        </is>
      </c>
      <c r="C1292" s="6" t="inlineStr">
        <is>
          <t>DIA</t>
        </is>
      </c>
      <c r="D1292" s="6" t="inlineStr">
        <is>
          <t>MRK</t>
        </is>
      </c>
      <c r="E1292" s="6" t="inlineStr">
        <is>
          <t>MRK</t>
        </is>
      </c>
      <c r="F1292" s="6" t="inlineStr">
        <is>
          <t>-</t>
        </is>
      </c>
      <c r="G1292" s="7" t="n">
        <v>94.24773406982422</v>
      </c>
      <c r="H1292" s="6">
        <f>P1261</f>
        <v/>
      </c>
      <c r="I1292" s="9">
        <f>Q1261</f>
        <v/>
      </c>
      <c r="J1292" s="7">
        <f>I1292*G1292</f>
        <v/>
      </c>
      <c r="K1292" s="8">
        <f>IF($J$1303=0,0,J1292/$J$1303)</f>
        <v/>
      </c>
      <c r="L1292" s="6" t="inlineStr">
        <is>
          <t>REJECTED</t>
        </is>
      </c>
      <c r="M1292" s="8" t="n">
        <v>0</v>
      </c>
      <c r="N1292" s="7">
        <f>M1292*$J$1303-J1292</f>
        <v/>
      </c>
      <c r="O1292" s="9">
        <f>IF(G1292=0,0,N1292/G1292)</f>
        <v/>
      </c>
      <c r="P1292" s="6">
        <f>IF(M1292&gt;0,D1292,"")</f>
        <v/>
      </c>
      <c r="Q1292" s="9">
        <f>I1292+O1292</f>
        <v/>
      </c>
      <c r="R1292" s="7">
        <f>Q1292*G1292</f>
        <v/>
      </c>
      <c r="S1292" s="8">
        <f>IF($R$1303=0,0,R1292/$R$1303)</f>
        <v/>
      </c>
      <c r="T1292" s="8" t="n">
        <v>0</v>
      </c>
      <c r="U1292" s="8" t="n">
        <v>-0.01575496841897728</v>
      </c>
      <c r="V1292" s="6" t="inlineStr">
        <is>
          <t>not selected</t>
        </is>
      </c>
    </row>
    <row r="1293">
      <c r="A1293" s="6" t="inlineStr">
        <is>
          <t>DJ30</t>
        </is>
      </c>
      <c r="B1293" s="6" t="inlineStr">
        <is>
          <t>2023-10-20</t>
        </is>
      </c>
      <c r="C1293" s="6" t="inlineStr">
        <is>
          <t>DIA</t>
        </is>
      </c>
      <c r="D1293" s="6" t="inlineStr">
        <is>
          <t>MSFT</t>
        </is>
      </c>
      <c r="E1293" s="6" t="inlineStr">
        <is>
          <t>MSFT</t>
        </is>
      </c>
      <c r="F1293" s="6" t="inlineStr">
        <is>
          <t>-</t>
        </is>
      </c>
      <c r="G1293" s="7" t="n">
        <v>319.7948913574219</v>
      </c>
      <c r="H1293" s="6">
        <f>P1262</f>
        <v/>
      </c>
      <c r="I1293" s="9">
        <f>Q1262</f>
        <v/>
      </c>
      <c r="J1293" s="7">
        <f>I1293*G1293</f>
        <v/>
      </c>
      <c r="K1293" s="8">
        <f>IF($J$1303=0,0,J1293/$J$1303)</f>
        <v/>
      </c>
      <c r="L1293" s="6" t="inlineStr">
        <is>
          <t>REJECTED</t>
        </is>
      </c>
      <c r="M1293" s="8" t="n">
        <v>0</v>
      </c>
      <c r="N1293" s="7">
        <f>M1293*$J$1303-J1293</f>
        <v/>
      </c>
      <c r="O1293" s="9">
        <f>IF(G1293=0,0,N1293/G1293)</f>
        <v/>
      </c>
      <c r="P1293" s="6">
        <f>IF(M1293&gt;0,D1293,"")</f>
        <v/>
      </c>
      <c r="Q1293" s="9">
        <f>I1293+O1293</f>
        <v/>
      </c>
      <c r="R1293" s="7">
        <f>Q1293*G1293</f>
        <v/>
      </c>
      <c r="S1293" s="8">
        <f>IF($R$1303=0,0,R1293/$R$1303)</f>
        <v/>
      </c>
      <c r="T1293" s="8" t="n">
        <v>0</v>
      </c>
      <c r="U1293" s="8" t="n">
        <v>-0.01575496841897728</v>
      </c>
      <c r="V1293" s="6" t="inlineStr">
        <is>
          <t>not selected</t>
        </is>
      </c>
    </row>
    <row r="1294">
      <c r="A1294" s="6" t="inlineStr">
        <is>
          <t>DJ30</t>
        </is>
      </c>
      <c r="B1294" s="6" t="inlineStr">
        <is>
          <t>2023-10-20</t>
        </is>
      </c>
      <c r="C1294" s="6" t="inlineStr">
        <is>
          <t>DIA</t>
        </is>
      </c>
      <c r="D1294" s="6" t="inlineStr">
        <is>
          <t>NKE</t>
        </is>
      </c>
      <c r="E1294" s="6" t="inlineStr">
        <is>
          <t>NKE</t>
        </is>
      </c>
      <c r="F1294" s="6" t="inlineStr">
        <is>
          <t>-</t>
        </is>
      </c>
      <c r="G1294" s="7" t="n">
        <v>96.77678680419922</v>
      </c>
      <c r="H1294" s="6">
        <f>P1263</f>
        <v/>
      </c>
      <c r="I1294" s="9">
        <f>Q1263</f>
        <v/>
      </c>
      <c r="J1294" s="7">
        <f>I1294*G1294</f>
        <v/>
      </c>
      <c r="K1294" s="8">
        <f>IF($J$1303=0,0,J1294/$J$1303)</f>
        <v/>
      </c>
      <c r="L1294" s="6" t="inlineStr">
        <is>
          <t>REJECTED</t>
        </is>
      </c>
      <c r="M1294" s="8" t="n">
        <v>0</v>
      </c>
      <c r="N1294" s="7">
        <f>M1294*$J$1303-J1294</f>
        <v/>
      </c>
      <c r="O1294" s="9">
        <f>IF(G1294=0,0,N1294/G1294)</f>
        <v/>
      </c>
      <c r="P1294" s="6">
        <f>IF(M1294&gt;0,D1294,"")</f>
        <v/>
      </c>
      <c r="Q1294" s="9">
        <f>I1294+O1294</f>
        <v/>
      </c>
      <c r="R1294" s="7">
        <f>Q1294*G1294</f>
        <v/>
      </c>
      <c r="S1294" s="8">
        <f>IF($R$1303=0,0,R1294/$R$1303)</f>
        <v/>
      </c>
      <c r="T1294" s="8" t="n">
        <v>0</v>
      </c>
      <c r="U1294" s="8" t="n">
        <v>-0.01575496841897728</v>
      </c>
      <c r="V1294" s="6" t="inlineStr">
        <is>
          <t>not selected</t>
        </is>
      </c>
    </row>
    <row r="1295">
      <c r="A1295" s="6" t="inlineStr">
        <is>
          <t>DJ30</t>
        </is>
      </c>
      <c r="B1295" s="6" t="inlineStr">
        <is>
          <t>2023-10-20</t>
        </is>
      </c>
      <c r="C1295" s="6" t="inlineStr">
        <is>
          <t>DIA</t>
        </is>
      </c>
      <c r="D1295" s="6" t="inlineStr">
        <is>
          <t>NVDA</t>
        </is>
      </c>
      <c r="E1295" s="6" t="inlineStr">
        <is>
          <t>NVDA</t>
        </is>
      </c>
      <c r="F1295" s="6" t="inlineStr">
        <is>
          <t>-</t>
        </is>
      </c>
      <c r="G1295" s="7" t="n">
        <v>41.3099365234375</v>
      </c>
      <c r="H1295" s="6">
        <f>P1264</f>
        <v/>
      </c>
      <c r="I1295" s="9">
        <f>Q1264</f>
        <v/>
      </c>
      <c r="J1295" s="7">
        <f>I1295*G1295</f>
        <v/>
      </c>
      <c r="K1295" s="8">
        <f>IF($J$1303=0,0,J1295/$J$1303)</f>
        <v/>
      </c>
      <c r="L1295" s="6" t="inlineStr">
        <is>
          <t>REJECTED</t>
        </is>
      </c>
      <c r="M1295" s="8" t="n">
        <v>0</v>
      </c>
      <c r="N1295" s="7">
        <f>M1295*$J$1303-J1295</f>
        <v/>
      </c>
      <c r="O1295" s="9">
        <f>IF(G1295=0,0,N1295/G1295)</f>
        <v/>
      </c>
      <c r="P1295" s="6">
        <f>IF(M1295&gt;0,D1295,"")</f>
        <v/>
      </c>
      <c r="Q1295" s="9">
        <f>I1295+O1295</f>
        <v/>
      </c>
      <c r="R1295" s="7">
        <f>Q1295*G1295</f>
        <v/>
      </c>
      <c r="S1295" s="8">
        <f>IF($R$1303=0,0,R1295/$R$1303)</f>
        <v/>
      </c>
      <c r="T1295" s="8" t="n">
        <v>0</v>
      </c>
      <c r="U1295" s="8" t="n">
        <v>-0.01575496841897728</v>
      </c>
      <c r="V1295" s="6" t="inlineStr">
        <is>
          <t>not selected</t>
        </is>
      </c>
    </row>
    <row r="1296">
      <c r="A1296" s="6" t="inlineStr">
        <is>
          <t>DJ30</t>
        </is>
      </c>
      <c r="B1296" s="6" t="inlineStr">
        <is>
          <t>2023-10-20</t>
        </is>
      </c>
      <c r="C1296" s="6" t="inlineStr">
        <is>
          <t>DIA</t>
        </is>
      </c>
      <c r="D1296" s="6" t="inlineStr">
        <is>
          <t>PG</t>
        </is>
      </c>
      <c r="E1296" s="6" t="inlineStr">
        <is>
          <t>PG</t>
        </is>
      </c>
      <c r="F1296" s="6" t="inlineStr">
        <is>
          <t>-</t>
        </is>
      </c>
      <c r="G1296" s="7" t="n">
        <v>138.6989288330078</v>
      </c>
      <c r="H1296" s="6">
        <f>P1265</f>
        <v/>
      </c>
      <c r="I1296" s="9">
        <f>Q1265</f>
        <v/>
      </c>
      <c r="J1296" s="7">
        <f>I1296*G1296</f>
        <v/>
      </c>
      <c r="K1296" s="8">
        <f>IF($J$1303=0,0,J1296/$J$1303)</f>
        <v/>
      </c>
      <c r="L1296" s="6" t="inlineStr">
        <is>
          <t>REJECTED</t>
        </is>
      </c>
      <c r="M1296" s="8" t="n">
        <v>0</v>
      </c>
      <c r="N1296" s="7">
        <f>M1296*$J$1303-J1296</f>
        <v/>
      </c>
      <c r="O1296" s="9">
        <f>IF(G1296=0,0,N1296/G1296)</f>
        <v/>
      </c>
      <c r="P1296" s="6">
        <f>IF(M1296&gt;0,D1296,"")</f>
        <v/>
      </c>
      <c r="Q1296" s="9">
        <f>I1296+O1296</f>
        <v/>
      </c>
      <c r="R1296" s="7">
        <f>Q1296*G1296</f>
        <v/>
      </c>
      <c r="S1296" s="8">
        <f>IF($R$1303=0,0,R1296/$R$1303)</f>
        <v/>
      </c>
      <c r="T1296" s="8" t="n">
        <v>0</v>
      </c>
      <c r="U1296" s="8" t="n">
        <v>-0.01575496841897728</v>
      </c>
      <c r="V1296" s="6" t="inlineStr">
        <is>
          <t>not selected</t>
        </is>
      </c>
    </row>
    <row r="1297">
      <c r="A1297" s="6" t="inlineStr">
        <is>
          <t>DJ30</t>
        </is>
      </c>
      <c r="B1297" s="6" t="inlineStr">
        <is>
          <t>2023-10-20</t>
        </is>
      </c>
      <c r="C1297" s="6" t="inlineStr">
        <is>
          <t>DIA</t>
        </is>
      </c>
      <c r="D1297" s="6" t="inlineStr">
        <is>
          <t>SHW</t>
        </is>
      </c>
      <c r="E1297" s="6" t="inlineStr">
        <is>
          <t>SHW</t>
        </is>
      </c>
      <c r="F1297" s="6" t="inlineStr">
        <is>
          <t>-</t>
        </is>
      </c>
      <c r="G1297" s="7" t="n">
        <v>231.9936218261719</v>
      </c>
      <c r="H1297" s="6">
        <f>P1266</f>
        <v/>
      </c>
      <c r="I1297" s="9">
        <f>Q1266</f>
        <v/>
      </c>
      <c r="J1297" s="7">
        <f>I1297*G1297</f>
        <v/>
      </c>
      <c r="K1297" s="8">
        <f>IF($J$1303=0,0,J1297/$J$1303)</f>
        <v/>
      </c>
      <c r="L1297" s="6" t="inlineStr">
        <is>
          <t>REJECTED</t>
        </is>
      </c>
      <c r="M1297" s="8" t="n">
        <v>0</v>
      </c>
      <c r="N1297" s="7">
        <f>M1297*$J$1303-J1297</f>
        <v/>
      </c>
      <c r="O1297" s="9">
        <f>IF(G1297=0,0,N1297/G1297)</f>
        <v/>
      </c>
      <c r="P1297" s="6">
        <f>IF(M1297&gt;0,D1297,"")</f>
        <v/>
      </c>
      <c r="Q1297" s="9">
        <f>I1297+O1297</f>
        <v/>
      </c>
      <c r="R1297" s="7">
        <f>Q1297*G1297</f>
        <v/>
      </c>
      <c r="S1297" s="8">
        <f>IF($R$1303=0,0,R1297/$R$1303)</f>
        <v/>
      </c>
      <c r="T1297" s="8" t="n">
        <v>0</v>
      </c>
      <c r="U1297" s="8" t="n">
        <v>-0.01575496841897728</v>
      </c>
      <c r="V1297" s="6" t="inlineStr">
        <is>
          <t>not selected</t>
        </is>
      </c>
    </row>
    <row r="1298">
      <c r="A1298" s="6" t="inlineStr">
        <is>
          <t>DJ30</t>
        </is>
      </c>
      <c r="B1298" s="6" t="inlineStr">
        <is>
          <t>2023-10-20</t>
        </is>
      </c>
      <c r="C1298" s="6" t="inlineStr">
        <is>
          <t>DIA</t>
        </is>
      </c>
      <c r="D1298" s="6" t="inlineStr">
        <is>
          <t>TRV</t>
        </is>
      </c>
      <c r="E1298" s="6" t="inlineStr">
        <is>
          <t>TRV</t>
        </is>
      </c>
      <c r="F1298" s="6" t="inlineStr">
        <is>
          <t>-</t>
        </is>
      </c>
      <c r="G1298" s="7" t="n">
        <v>154.0960693359375</v>
      </c>
      <c r="H1298" s="6">
        <f>P1267</f>
        <v/>
      </c>
      <c r="I1298" s="9">
        <f>Q1267</f>
        <v/>
      </c>
      <c r="J1298" s="7">
        <f>I1298*G1298</f>
        <v/>
      </c>
      <c r="K1298" s="8">
        <f>IF($J$1303=0,0,J1298/$J$1303)</f>
        <v/>
      </c>
      <c r="L1298" s="6" t="inlineStr">
        <is>
          <t>REJECTED</t>
        </is>
      </c>
      <c r="M1298" s="8" t="n">
        <v>0</v>
      </c>
      <c r="N1298" s="7">
        <f>M1298*$J$1303-J1298</f>
        <v/>
      </c>
      <c r="O1298" s="9">
        <f>IF(G1298=0,0,N1298/G1298)</f>
        <v/>
      </c>
      <c r="P1298" s="6">
        <f>IF(M1298&gt;0,D1298,"")</f>
        <v/>
      </c>
      <c r="Q1298" s="9">
        <f>I1298+O1298</f>
        <v/>
      </c>
      <c r="R1298" s="7">
        <f>Q1298*G1298</f>
        <v/>
      </c>
      <c r="S1298" s="8">
        <f>IF($R$1303=0,0,R1298/$R$1303)</f>
        <v/>
      </c>
      <c r="T1298" s="8" t="n">
        <v>0</v>
      </c>
      <c r="U1298" s="8" t="n">
        <v>-0.01575496841897728</v>
      </c>
      <c r="V1298" s="6" t="inlineStr">
        <is>
          <t>not selected</t>
        </is>
      </c>
    </row>
    <row r="1299">
      <c r="A1299" s="6" t="inlineStr">
        <is>
          <t>DJ30</t>
        </is>
      </c>
      <c r="B1299" s="6" t="inlineStr">
        <is>
          <t>2023-10-20</t>
        </is>
      </c>
      <c r="C1299" s="6" t="inlineStr">
        <is>
          <t>DIA</t>
        </is>
      </c>
      <c r="D1299" s="6" t="inlineStr">
        <is>
          <t>UNH</t>
        </is>
      </c>
      <c r="E1299" s="6" t="inlineStr">
        <is>
          <t>UNH</t>
        </is>
      </c>
      <c r="F1299" s="6" t="inlineStr">
        <is>
          <t>-</t>
        </is>
      </c>
      <c r="G1299" s="7" t="n">
        <v>497.974365234375</v>
      </c>
      <c r="H1299" s="6">
        <f>P1268</f>
        <v/>
      </c>
      <c r="I1299" s="9">
        <f>Q1268</f>
        <v/>
      </c>
      <c r="J1299" s="7">
        <f>I1299*G1299</f>
        <v/>
      </c>
      <c r="K1299" s="8">
        <f>IF($J$1303=0,0,J1299/$J$1303)</f>
        <v/>
      </c>
      <c r="L1299" s="6" t="inlineStr">
        <is>
          <t>REJECTED</t>
        </is>
      </c>
      <c r="M1299" s="8" t="n">
        <v>0</v>
      </c>
      <c r="N1299" s="7">
        <f>M1299*$J$1303-J1299</f>
        <v/>
      </c>
      <c r="O1299" s="9">
        <f>IF(G1299=0,0,N1299/G1299)</f>
        <v/>
      </c>
      <c r="P1299" s="6">
        <f>IF(M1299&gt;0,D1299,"")</f>
        <v/>
      </c>
      <c r="Q1299" s="9">
        <f>I1299+O1299</f>
        <v/>
      </c>
      <c r="R1299" s="7">
        <f>Q1299*G1299</f>
        <v/>
      </c>
      <c r="S1299" s="8">
        <f>IF($R$1303=0,0,R1299/$R$1303)</f>
        <v/>
      </c>
      <c r="T1299" s="8" t="n">
        <v>0</v>
      </c>
      <c r="U1299" s="8" t="n">
        <v>-0.01575496841897728</v>
      </c>
      <c r="V1299" s="6" t="inlineStr">
        <is>
          <t>not selected</t>
        </is>
      </c>
    </row>
    <row r="1300">
      <c r="A1300" s="6" t="inlineStr">
        <is>
          <t>DJ30</t>
        </is>
      </c>
      <c r="B1300" s="6" t="inlineStr">
        <is>
          <t>2023-10-20</t>
        </is>
      </c>
      <c r="C1300" s="6" t="inlineStr">
        <is>
          <t>DIA</t>
        </is>
      </c>
      <c r="D1300" s="6" t="inlineStr">
        <is>
          <t>V</t>
        </is>
      </c>
      <c r="E1300" s="6" t="inlineStr">
        <is>
          <t>V</t>
        </is>
      </c>
      <c r="F1300" s="6" t="inlineStr">
        <is>
          <t>-</t>
        </is>
      </c>
      <c r="G1300" s="7" t="n">
        <v>228.5416259765625</v>
      </c>
      <c r="H1300" s="6">
        <f>P1269</f>
        <v/>
      </c>
      <c r="I1300" s="9">
        <f>Q1269</f>
        <v/>
      </c>
      <c r="J1300" s="7">
        <f>I1300*G1300</f>
        <v/>
      </c>
      <c r="K1300" s="8">
        <f>IF($J$1303=0,0,J1300/$J$1303)</f>
        <v/>
      </c>
      <c r="L1300" s="6" t="inlineStr">
        <is>
          <t>REJECTED</t>
        </is>
      </c>
      <c r="M1300" s="8" t="n">
        <v>0</v>
      </c>
      <c r="N1300" s="7">
        <f>M1300*$J$1303-J1300</f>
        <v/>
      </c>
      <c r="O1300" s="9">
        <f>IF(G1300=0,0,N1300/G1300)</f>
        <v/>
      </c>
      <c r="P1300" s="6">
        <f>IF(M1300&gt;0,D1300,"")</f>
        <v/>
      </c>
      <c r="Q1300" s="9">
        <f>I1300+O1300</f>
        <v/>
      </c>
      <c r="R1300" s="7">
        <f>Q1300*G1300</f>
        <v/>
      </c>
      <c r="S1300" s="8">
        <f>IF($R$1303=0,0,R1300/$R$1303)</f>
        <v/>
      </c>
      <c r="T1300" s="8" t="n">
        <v>0</v>
      </c>
      <c r="U1300" s="8" t="n">
        <v>-0.01575496841897728</v>
      </c>
      <c r="V1300" s="6" t="inlineStr">
        <is>
          <t>not selected</t>
        </is>
      </c>
    </row>
    <row r="1301">
      <c r="A1301" s="6" t="inlineStr">
        <is>
          <t>DJ30</t>
        </is>
      </c>
      <c r="B1301" s="6" t="inlineStr">
        <is>
          <t>2023-10-20</t>
        </is>
      </c>
      <c r="C1301" s="6" t="inlineStr">
        <is>
          <t>DIA</t>
        </is>
      </c>
      <c r="D1301" s="6" t="inlineStr">
        <is>
          <t>VZ</t>
        </is>
      </c>
      <c r="E1301" s="6" t="inlineStr">
        <is>
          <t>VZ</t>
        </is>
      </c>
      <c r="F1301" s="6" t="inlineStr">
        <is>
          <t>-</t>
        </is>
      </c>
      <c r="G1301" s="7" t="n">
        <v>26.81564903259277</v>
      </c>
      <c r="H1301" s="6">
        <f>P1270</f>
        <v/>
      </c>
      <c r="I1301" s="9">
        <f>Q1270</f>
        <v/>
      </c>
      <c r="J1301" s="7">
        <f>I1301*G1301</f>
        <v/>
      </c>
      <c r="K1301" s="8">
        <f>IF($J$1303=0,0,J1301/$J$1303)</f>
        <v/>
      </c>
      <c r="L1301" s="6" t="inlineStr">
        <is>
          <t>REJECTED</t>
        </is>
      </c>
      <c r="M1301" s="8" t="n">
        <v>0</v>
      </c>
      <c r="N1301" s="7">
        <f>M1301*$J$1303-J1301</f>
        <v/>
      </c>
      <c r="O1301" s="9">
        <f>IF(G1301=0,0,N1301/G1301)</f>
        <v/>
      </c>
      <c r="P1301" s="6">
        <f>IF(M1301&gt;0,D1301,"")</f>
        <v/>
      </c>
      <c r="Q1301" s="9">
        <f>I1301+O1301</f>
        <v/>
      </c>
      <c r="R1301" s="7">
        <f>Q1301*G1301</f>
        <v/>
      </c>
      <c r="S1301" s="8">
        <f>IF($R$1303=0,0,R1301/$R$1303)</f>
        <v/>
      </c>
      <c r="T1301" s="8" t="n">
        <v>0</v>
      </c>
      <c r="U1301" s="8" t="n">
        <v>-0.01575496841897728</v>
      </c>
      <c r="V1301" s="6" t="inlineStr">
        <is>
          <t>not selected</t>
        </is>
      </c>
    </row>
    <row r="1302">
      <c r="A1302" s="6" t="inlineStr">
        <is>
          <t>DJ30</t>
        </is>
      </c>
      <c r="B1302" s="6" t="inlineStr">
        <is>
          <t>2023-10-20</t>
        </is>
      </c>
      <c r="C1302" s="6" t="inlineStr">
        <is>
          <t>DIA</t>
        </is>
      </c>
      <c r="D1302" s="6" t="inlineStr">
        <is>
          <t>WMT</t>
        </is>
      </c>
      <c r="E1302" s="6" t="inlineStr">
        <is>
          <t>WMT</t>
        </is>
      </c>
      <c r="F1302" s="6" t="inlineStr">
        <is>
          <t>-</t>
        </is>
      </c>
      <c r="G1302" s="7" t="n">
        <v>51.40193939208984</v>
      </c>
      <c r="H1302" s="6">
        <f>P1271</f>
        <v/>
      </c>
      <c r="I1302" s="9">
        <f>Q1271</f>
        <v/>
      </c>
      <c r="J1302" s="7">
        <f>I1302*G1302</f>
        <v/>
      </c>
      <c r="K1302" s="8">
        <f>IF($J$1303=0,0,J1302/$J$1303)</f>
        <v/>
      </c>
      <c r="L1302" s="6" t="inlineStr">
        <is>
          <t>REJECTED</t>
        </is>
      </c>
      <c r="M1302" s="8" t="n">
        <v>0</v>
      </c>
      <c r="N1302" s="7">
        <f>M1302*$J$1303-J1302</f>
        <v/>
      </c>
      <c r="O1302" s="9">
        <f>IF(G1302=0,0,N1302/G1302)</f>
        <v/>
      </c>
      <c r="P1302" s="6">
        <f>IF(M1302&gt;0,D1302,"")</f>
        <v/>
      </c>
      <c r="Q1302" s="9">
        <f>I1302+O1302</f>
        <v/>
      </c>
      <c r="R1302" s="7">
        <f>Q1302*G1302</f>
        <v/>
      </c>
      <c r="S1302" s="8">
        <f>IF($R$1303=0,0,R1302/$R$1303)</f>
        <v/>
      </c>
      <c r="T1302" s="8" t="n">
        <v>0</v>
      </c>
      <c r="U1302" s="8" t="n">
        <v>-0.01575496841897728</v>
      </c>
      <c r="V1302" s="6" t="inlineStr">
        <is>
          <t>not selected</t>
        </is>
      </c>
    </row>
    <row r="1303">
      <c r="A1303" s="10" t="inlineStr">
        <is>
          <t>DJ30</t>
        </is>
      </c>
      <c r="B1303" s="10" t="inlineStr">
        <is>
          <t>2023-10-20</t>
        </is>
      </c>
      <c r="C1303" s="10" t="inlineStr">
        <is>
          <t>DIA</t>
        </is>
      </c>
      <c r="D1303" s="10" t="inlineStr">
        <is>
          <t>Tot Portfolio</t>
        </is>
      </c>
      <c r="E1303" s="10" t="inlineStr"/>
      <c r="F1303" s="10" t="inlineStr"/>
      <c r="G1303" s="11" t="inlineStr"/>
      <c r="H1303" s="10" t="inlineStr"/>
      <c r="I1303" s="12" t="inlineStr"/>
      <c r="J1303" s="11">
        <f>SUM(J1273:J1302)</f>
        <v/>
      </c>
      <c r="K1303" s="13">
        <f>SUM(K1273:K1302)</f>
        <v/>
      </c>
      <c r="L1303" s="10" t="inlineStr">
        <is>
          <t>TOTAL</t>
        </is>
      </c>
      <c r="M1303" s="13">
        <f>SUM(M1273:M1302)</f>
        <v/>
      </c>
      <c r="N1303" s="11">
        <f>SUM(N1273:N1302)</f>
        <v/>
      </c>
      <c r="O1303" s="12">
        <f>SUM(O1273:O1302)</f>
        <v/>
      </c>
      <c r="P1303" s="10" t="inlineStr"/>
      <c r="Q1303" s="12" t="inlineStr"/>
      <c r="R1303" s="11">
        <f>SUM(R1273:R1302)</f>
        <v/>
      </c>
      <c r="S1303" s="13">
        <f>SUM(S1273:S1302)</f>
        <v/>
      </c>
      <c r="T1303" s="13" t="n">
        <v>0</v>
      </c>
      <c r="U1303" s="13" t="n">
        <v>-0.01575496841897728</v>
      </c>
      <c r="V1303" s="10" t="inlineStr"/>
    </row>
    <row r="1304">
      <c r="A1304" s="6" t="inlineStr">
        <is>
          <t>DJ30</t>
        </is>
      </c>
      <c r="B1304" s="6" t="inlineStr">
        <is>
          <t>2023-10-27</t>
        </is>
      </c>
      <c r="C1304" s="6" t="inlineStr">
        <is>
          <t>DIA</t>
        </is>
      </c>
      <c r="D1304" s="6" t="inlineStr">
        <is>
          <t>AAPL</t>
        </is>
      </c>
      <c r="E1304" s="6" t="inlineStr">
        <is>
          <t>AAPL</t>
        </is>
      </c>
      <c r="F1304" s="6" t="inlineStr">
        <is>
          <t>-</t>
        </is>
      </c>
      <c r="G1304" s="7" t="n">
        <v>166.1183319091797</v>
      </c>
      <c r="H1304" s="6">
        <f>P1273</f>
        <v/>
      </c>
      <c r="I1304" s="9">
        <f>Q1273</f>
        <v/>
      </c>
      <c r="J1304" s="7">
        <f>I1304*G1304</f>
        <v/>
      </c>
      <c r="K1304" s="8">
        <f>IF($J$1334=0,0,J1304/$J$1334)</f>
        <v/>
      </c>
      <c r="L1304" s="6" t="inlineStr">
        <is>
          <t>REJECTED</t>
        </is>
      </c>
      <c r="M1304" s="8" t="n">
        <v>0</v>
      </c>
      <c r="N1304" s="7">
        <f>M1304*$J$1334-J1304</f>
        <v/>
      </c>
      <c r="O1304" s="9">
        <f>IF(G1304=0,0,N1304/G1304)</f>
        <v/>
      </c>
      <c r="P1304" s="6">
        <f>IF(M1304&gt;0,D1304,"")</f>
        <v/>
      </c>
      <c r="Q1304" s="9">
        <f>I1304+O1304</f>
        <v/>
      </c>
      <c r="R1304" s="7">
        <f>Q1304*G1304</f>
        <v/>
      </c>
      <c r="S1304" s="8">
        <f>IF($R$1334=0,0,R1304/$R$1334)</f>
        <v/>
      </c>
      <c r="T1304" s="8" t="n">
        <v>0</v>
      </c>
      <c r="U1304" s="8" t="n">
        <v>-0.02113600043911956</v>
      </c>
      <c r="V1304" s="6" t="inlineStr">
        <is>
          <t>not selected</t>
        </is>
      </c>
    </row>
    <row r="1305">
      <c r="A1305" s="6" t="inlineStr">
        <is>
          <t>DJ30</t>
        </is>
      </c>
      <c r="B1305" s="6" t="inlineStr">
        <is>
          <t>2023-10-27</t>
        </is>
      </c>
      <c r="C1305" s="6" t="inlineStr">
        <is>
          <t>DIA</t>
        </is>
      </c>
      <c r="D1305" s="6" t="inlineStr">
        <is>
          <t>AMGN</t>
        </is>
      </c>
      <c r="E1305" s="6" t="inlineStr">
        <is>
          <t>AMGN</t>
        </is>
      </c>
      <c r="F1305" s="6" t="inlineStr">
        <is>
          <t>-</t>
        </is>
      </c>
      <c r="G1305" s="7" t="n">
        <v>240.4811096191407</v>
      </c>
      <c r="H1305" s="6">
        <f>P1274</f>
        <v/>
      </c>
      <c r="I1305" s="9">
        <f>Q1274</f>
        <v/>
      </c>
      <c r="J1305" s="7">
        <f>I1305*G1305</f>
        <v/>
      </c>
      <c r="K1305" s="8">
        <f>IF($J$1334=0,0,J1305/$J$1334)</f>
        <v/>
      </c>
      <c r="L1305" s="6" t="inlineStr">
        <is>
          <t>REJECTED</t>
        </is>
      </c>
      <c r="M1305" s="8" t="n">
        <v>0</v>
      </c>
      <c r="N1305" s="7">
        <f>M1305*$J$1334-J1305</f>
        <v/>
      </c>
      <c r="O1305" s="9">
        <f>IF(G1305=0,0,N1305/G1305)</f>
        <v/>
      </c>
      <c r="P1305" s="6">
        <f>IF(M1305&gt;0,D1305,"")</f>
        <v/>
      </c>
      <c r="Q1305" s="9">
        <f>I1305+O1305</f>
        <v/>
      </c>
      <c r="R1305" s="7">
        <f>Q1305*G1305</f>
        <v/>
      </c>
      <c r="S1305" s="8">
        <f>IF($R$1334=0,0,R1305/$R$1334)</f>
        <v/>
      </c>
      <c r="T1305" s="8" t="n">
        <v>0</v>
      </c>
      <c r="U1305" s="8" t="n">
        <v>-0.02113600043911956</v>
      </c>
      <c r="V1305" s="6" t="inlineStr">
        <is>
          <t>not selected</t>
        </is>
      </c>
    </row>
    <row r="1306">
      <c r="A1306" s="6" t="inlineStr">
        <is>
          <t>DJ30</t>
        </is>
      </c>
      <c r="B1306" s="6" t="inlineStr">
        <is>
          <t>2023-10-27</t>
        </is>
      </c>
      <c r="C1306" s="6" t="inlineStr">
        <is>
          <t>DIA</t>
        </is>
      </c>
      <c r="D1306" s="6" t="inlineStr">
        <is>
          <t>AMZN</t>
        </is>
      </c>
      <c r="E1306" s="6" t="inlineStr">
        <is>
          <t>AMZN</t>
        </is>
      </c>
      <c r="F1306" s="6" t="inlineStr">
        <is>
          <t>-</t>
        </is>
      </c>
      <c r="G1306" s="7" t="n">
        <v>127.7399978637695</v>
      </c>
      <c r="H1306" s="6">
        <f>P1275</f>
        <v/>
      </c>
      <c r="I1306" s="9">
        <f>Q1275</f>
        <v/>
      </c>
      <c r="J1306" s="7">
        <f>I1306*G1306</f>
        <v/>
      </c>
      <c r="K1306" s="8">
        <f>IF($J$1334=0,0,J1306/$J$1334)</f>
        <v/>
      </c>
      <c r="L1306" s="6" t="inlineStr">
        <is>
          <t>REJECTED</t>
        </is>
      </c>
      <c r="M1306" s="8" t="n">
        <v>0</v>
      </c>
      <c r="N1306" s="7">
        <f>M1306*$J$1334-J1306</f>
        <v/>
      </c>
      <c r="O1306" s="9">
        <f>IF(G1306=0,0,N1306/G1306)</f>
        <v/>
      </c>
      <c r="P1306" s="6">
        <f>IF(M1306&gt;0,D1306,"")</f>
        <v/>
      </c>
      <c r="Q1306" s="9">
        <f>I1306+O1306</f>
        <v/>
      </c>
      <c r="R1306" s="7">
        <f>Q1306*G1306</f>
        <v/>
      </c>
      <c r="S1306" s="8">
        <f>IF($R$1334=0,0,R1306/$R$1334)</f>
        <v/>
      </c>
      <c r="T1306" s="8" t="n">
        <v>0</v>
      </c>
      <c r="U1306" s="8" t="n">
        <v>-0.02113600043911956</v>
      </c>
      <c r="V1306" s="6" t="inlineStr">
        <is>
          <t>not selected</t>
        </is>
      </c>
    </row>
    <row r="1307">
      <c r="A1307" s="6" t="inlineStr">
        <is>
          <t>DJ30</t>
        </is>
      </c>
      <c r="B1307" s="6" t="inlineStr">
        <is>
          <t>2023-10-27</t>
        </is>
      </c>
      <c r="C1307" s="6" t="inlineStr">
        <is>
          <t>DIA</t>
        </is>
      </c>
      <c r="D1307" s="6" t="inlineStr">
        <is>
          <t>AXP</t>
        </is>
      </c>
      <c r="E1307" s="6" t="inlineStr">
        <is>
          <t>AXP</t>
        </is>
      </c>
      <c r="F1307" s="6" t="inlineStr">
        <is>
          <t>-</t>
        </is>
      </c>
      <c r="G1307" s="7" t="n">
        <v>137.4091644287109</v>
      </c>
      <c r="H1307" s="6">
        <f>P1276</f>
        <v/>
      </c>
      <c r="I1307" s="9">
        <f>Q1276</f>
        <v/>
      </c>
      <c r="J1307" s="7">
        <f>I1307*G1307</f>
        <v/>
      </c>
      <c r="K1307" s="8">
        <f>IF($J$1334=0,0,J1307/$J$1334)</f>
        <v/>
      </c>
      <c r="L1307" s="6" t="inlineStr">
        <is>
          <t>REJECTED</t>
        </is>
      </c>
      <c r="M1307" s="8" t="n">
        <v>0</v>
      </c>
      <c r="N1307" s="7">
        <f>M1307*$J$1334-J1307</f>
        <v/>
      </c>
      <c r="O1307" s="9">
        <f>IF(G1307=0,0,N1307/G1307)</f>
        <v/>
      </c>
      <c r="P1307" s="6">
        <f>IF(M1307&gt;0,D1307,"")</f>
        <v/>
      </c>
      <c r="Q1307" s="9">
        <f>I1307+O1307</f>
        <v/>
      </c>
      <c r="R1307" s="7">
        <f>Q1307*G1307</f>
        <v/>
      </c>
      <c r="S1307" s="8">
        <f>IF($R$1334=0,0,R1307/$R$1334)</f>
        <v/>
      </c>
      <c r="T1307" s="8" t="n">
        <v>0</v>
      </c>
      <c r="U1307" s="8" t="n">
        <v>-0.02113600043911956</v>
      </c>
      <c r="V1307" s="6" t="inlineStr">
        <is>
          <t>not selected</t>
        </is>
      </c>
    </row>
    <row r="1308">
      <c r="A1308" s="6" t="inlineStr">
        <is>
          <t>DJ30</t>
        </is>
      </c>
      <c r="B1308" s="6" t="inlineStr">
        <is>
          <t>2023-10-27</t>
        </is>
      </c>
      <c r="C1308" s="6" t="inlineStr">
        <is>
          <t>DIA</t>
        </is>
      </c>
      <c r="D1308" s="6" t="inlineStr">
        <is>
          <t>BA</t>
        </is>
      </c>
      <c r="E1308" s="6" t="inlineStr">
        <is>
          <t>BA</t>
        </is>
      </c>
      <c r="F1308" s="6" t="inlineStr">
        <is>
          <t>-</t>
        </is>
      </c>
      <c r="G1308" s="7" t="n">
        <v>179.6900024414062</v>
      </c>
      <c r="H1308" s="6">
        <f>P1277</f>
        <v/>
      </c>
      <c r="I1308" s="9">
        <f>Q1277</f>
        <v/>
      </c>
      <c r="J1308" s="7">
        <f>I1308*G1308</f>
        <v/>
      </c>
      <c r="K1308" s="8">
        <f>IF($J$1334=0,0,J1308/$J$1334)</f>
        <v/>
      </c>
      <c r="L1308" s="6" t="inlineStr">
        <is>
          <t>REJECTED</t>
        </is>
      </c>
      <c r="M1308" s="8" t="n">
        <v>0</v>
      </c>
      <c r="N1308" s="7">
        <f>M1308*$J$1334-J1308</f>
        <v/>
      </c>
      <c r="O1308" s="9">
        <f>IF(G1308=0,0,N1308/G1308)</f>
        <v/>
      </c>
      <c r="P1308" s="6">
        <f>IF(M1308&gt;0,D1308,"")</f>
        <v/>
      </c>
      <c r="Q1308" s="9">
        <f>I1308+O1308</f>
        <v/>
      </c>
      <c r="R1308" s="7">
        <f>Q1308*G1308</f>
        <v/>
      </c>
      <c r="S1308" s="8">
        <f>IF($R$1334=0,0,R1308/$R$1334)</f>
        <v/>
      </c>
      <c r="T1308" s="8" t="n">
        <v>0</v>
      </c>
      <c r="U1308" s="8" t="n">
        <v>-0.02113600043911956</v>
      </c>
      <c r="V1308" s="6" t="inlineStr">
        <is>
          <t>not selected</t>
        </is>
      </c>
    </row>
    <row r="1309">
      <c r="A1309" s="6" t="inlineStr">
        <is>
          <t>DJ30</t>
        </is>
      </c>
      <c r="B1309" s="6" t="inlineStr">
        <is>
          <t>2023-10-27</t>
        </is>
      </c>
      <c r="C1309" s="6" t="inlineStr">
        <is>
          <t>DIA</t>
        </is>
      </c>
      <c r="D1309" s="6" t="inlineStr">
        <is>
          <t>CAT</t>
        </is>
      </c>
      <c r="E1309" s="6" t="inlineStr">
        <is>
          <t>CAT</t>
        </is>
      </c>
      <c r="F1309" s="6" t="inlineStr">
        <is>
          <t>-</t>
        </is>
      </c>
      <c r="G1309" s="7" t="n">
        <v>230.3228607177734</v>
      </c>
      <c r="H1309" s="6">
        <f>P1278</f>
        <v/>
      </c>
      <c r="I1309" s="9">
        <f>Q1278</f>
        <v/>
      </c>
      <c r="J1309" s="7">
        <f>I1309*G1309</f>
        <v/>
      </c>
      <c r="K1309" s="8">
        <f>IF($J$1334=0,0,J1309/$J$1334)</f>
        <v/>
      </c>
      <c r="L1309" s="6" t="inlineStr">
        <is>
          <t>REJECTED</t>
        </is>
      </c>
      <c r="M1309" s="8" t="n">
        <v>0</v>
      </c>
      <c r="N1309" s="7">
        <f>M1309*$J$1334-J1309</f>
        <v/>
      </c>
      <c r="O1309" s="9">
        <f>IF(G1309=0,0,N1309/G1309)</f>
        <v/>
      </c>
      <c r="P1309" s="6">
        <f>IF(M1309&gt;0,D1309,"")</f>
        <v/>
      </c>
      <c r="Q1309" s="9">
        <f>I1309+O1309</f>
        <v/>
      </c>
      <c r="R1309" s="7">
        <f>Q1309*G1309</f>
        <v/>
      </c>
      <c r="S1309" s="8">
        <f>IF($R$1334=0,0,R1309/$R$1334)</f>
        <v/>
      </c>
      <c r="T1309" s="8" t="n">
        <v>0</v>
      </c>
      <c r="U1309" s="8" t="n">
        <v>-0.02113600043911956</v>
      </c>
      <c r="V1309" s="6" t="inlineStr">
        <is>
          <t>not selected</t>
        </is>
      </c>
    </row>
    <row r="1310">
      <c r="A1310" s="6" t="inlineStr">
        <is>
          <t>DJ30</t>
        </is>
      </c>
      <c r="B1310" s="6" t="inlineStr">
        <is>
          <t>2023-10-27</t>
        </is>
      </c>
      <c r="C1310" s="6" t="inlineStr">
        <is>
          <t>DIA</t>
        </is>
      </c>
      <c r="D1310" s="6" t="inlineStr">
        <is>
          <t>CRM</t>
        </is>
      </c>
      <c r="E1310" s="6" t="inlineStr">
        <is>
          <t>CRM</t>
        </is>
      </c>
      <c r="F1310" s="6" t="inlineStr">
        <is>
          <t>-</t>
        </is>
      </c>
      <c r="G1310" s="7" t="n">
        <v>193.227066040039</v>
      </c>
      <c r="H1310" s="6">
        <f>P1279</f>
        <v/>
      </c>
      <c r="I1310" s="9">
        <f>Q1279</f>
        <v/>
      </c>
      <c r="J1310" s="7">
        <f>I1310*G1310</f>
        <v/>
      </c>
      <c r="K1310" s="8">
        <f>IF($J$1334=0,0,J1310/$J$1334)</f>
        <v/>
      </c>
      <c r="L1310" s="6" t="inlineStr">
        <is>
          <t>REJECTED</t>
        </is>
      </c>
      <c r="M1310" s="8" t="n">
        <v>0</v>
      </c>
      <c r="N1310" s="7">
        <f>M1310*$J$1334-J1310</f>
        <v/>
      </c>
      <c r="O1310" s="9">
        <f>IF(G1310=0,0,N1310/G1310)</f>
        <v/>
      </c>
      <c r="P1310" s="6">
        <f>IF(M1310&gt;0,D1310,"")</f>
        <v/>
      </c>
      <c r="Q1310" s="9">
        <f>I1310+O1310</f>
        <v/>
      </c>
      <c r="R1310" s="7">
        <f>Q1310*G1310</f>
        <v/>
      </c>
      <c r="S1310" s="8">
        <f>IF($R$1334=0,0,R1310/$R$1334)</f>
        <v/>
      </c>
      <c r="T1310" s="8" t="n">
        <v>0</v>
      </c>
      <c r="U1310" s="8" t="n">
        <v>-0.02113600043911956</v>
      </c>
      <c r="V1310" s="6" t="inlineStr">
        <is>
          <t>not selected</t>
        </is>
      </c>
    </row>
    <row r="1311">
      <c r="A1311" s="6" t="inlineStr">
        <is>
          <t>DJ30</t>
        </is>
      </c>
      <c r="B1311" s="6" t="inlineStr">
        <is>
          <t>2023-10-27</t>
        </is>
      </c>
      <c r="C1311" s="6" t="inlineStr">
        <is>
          <t>DIA</t>
        </is>
      </c>
      <c r="D1311" s="6" t="inlineStr">
        <is>
          <t>CSCO</t>
        </is>
      </c>
      <c r="E1311" s="6" t="inlineStr">
        <is>
          <t>CSCO</t>
        </is>
      </c>
      <c r="F1311" s="6" t="inlineStr">
        <is>
          <t>-</t>
        </is>
      </c>
      <c r="G1311" s="7" t="n">
        <v>48.15921020507812</v>
      </c>
      <c r="H1311" s="6">
        <f>P1280</f>
        <v/>
      </c>
      <c r="I1311" s="9">
        <f>Q1280</f>
        <v/>
      </c>
      <c r="J1311" s="7">
        <f>I1311*G1311</f>
        <v/>
      </c>
      <c r="K1311" s="8">
        <f>IF($J$1334=0,0,J1311/$J$1334)</f>
        <v/>
      </c>
      <c r="L1311" s="6" t="inlineStr">
        <is>
          <t>REJECTED</t>
        </is>
      </c>
      <c r="M1311" s="8" t="n">
        <v>0</v>
      </c>
      <c r="N1311" s="7">
        <f>M1311*$J$1334-J1311</f>
        <v/>
      </c>
      <c r="O1311" s="9">
        <f>IF(G1311=0,0,N1311/G1311)</f>
        <v/>
      </c>
      <c r="P1311" s="6">
        <f>IF(M1311&gt;0,D1311,"")</f>
        <v/>
      </c>
      <c r="Q1311" s="9">
        <f>I1311+O1311</f>
        <v/>
      </c>
      <c r="R1311" s="7">
        <f>Q1311*G1311</f>
        <v/>
      </c>
      <c r="S1311" s="8">
        <f>IF($R$1334=0,0,R1311/$R$1334)</f>
        <v/>
      </c>
      <c r="T1311" s="8" t="n">
        <v>0</v>
      </c>
      <c r="U1311" s="8" t="n">
        <v>-0.02113600043911956</v>
      </c>
      <c r="V1311" s="6" t="inlineStr">
        <is>
          <t>not selected</t>
        </is>
      </c>
    </row>
    <row r="1312">
      <c r="A1312" s="6" t="inlineStr">
        <is>
          <t>DJ30</t>
        </is>
      </c>
      <c r="B1312" s="6" t="inlineStr">
        <is>
          <t>2023-10-27</t>
        </is>
      </c>
      <c r="C1312" s="6" t="inlineStr">
        <is>
          <t>DIA</t>
        </is>
      </c>
      <c r="D1312" s="6" t="inlineStr">
        <is>
          <t>CVX</t>
        </is>
      </c>
      <c r="E1312" s="6" t="inlineStr">
        <is>
          <t>CVX</t>
        </is>
      </c>
      <c r="F1312" s="6" t="inlineStr">
        <is>
          <t>-</t>
        </is>
      </c>
      <c r="G1312" s="7" t="n">
        <v>128.4407043457031</v>
      </c>
      <c r="H1312" s="6">
        <f>P1281</f>
        <v/>
      </c>
      <c r="I1312" s="9">
        <f>Q1281</f>
        <v/>
      </c>
      <c r="J1312" s="7">
        <f>I1312*G1312</f>
        <v/>
      </c>
      <c r="K1312" s="8">
        <f>IF($J$1334=0,0,J1312/$J$1334)</f>
        <v/>
      </c>
      <c r="L1312" s="6" t="inlineStr">
        <is>
          <t>REJECTED</t>
        </is>
      </c>
      <c r="M1312" s="8" t="n">
        <v>0</v>
      </c>
      <c r="N1312" s="7">
        <f>M1312*$J$1334-J1312</f>
        <v/>
      </c>
      <c r="O1312" s="9">
        <f>IF(G1312=0,0,N1312/G1312)</f>
        <v/>
      </c>
      <c r="P1312" s="6">
        <f>IF(M1312&gt;0,D1312,"")</f>
        <v/>
      </c>
      <c r="Q1312" s="9">
        <f>I1312+O1312</f>
        <v/>
      </c>
      <c r="R1312" s="7">
        <f>Q1312*G1312</f>
        <v/>
      </c>
      <c r="S1312" s="8">
        <f>IF($R$1334=0,0,R1312/$R$1334)</f>
        <v/>
      </c>
      <c r="T1312" s="8" t="n">
        <v>0</v>
      </c>
      <c r="U1312" s="8" t="n">
        <v>-0.02113600043911956</v>
      </c>
      <c r="V1312" s="6" t="inlineStr">
        <is>
          <t>not selected</t>
        </is>
      </c>
    </row>
    <row r="1313">
      <c r="A1313" s="6" t="inlineStr">
        <is>
          <t>DJ30</t>
        </is>
      </c>
      <c r="B1313" s="6" t="inlineStr">
        <is>
          <t>2023-10-27</t>
        </is>
      </c>
      <c r="C1313" s="6" t="inlineStr">
        <is>
          <t>DIA</t>
        </is>
      </c>
      <c r="D1313" s="6" t="inlineStr">
        <is>
          <t>DIS</t>
        </is>
      </c>
      <c r="E1313" s="6" t="inlineStr">
        <is>
          <t>DIS</t>
        </is>
      </c>
      <c r="F1313" s="6" t="inlineStr">
        <is>
          <t>-</t>
        </is>
      </c>
      <c r="G1313" s="7" t="n">
        <v>77.50481414794922</v>
      </c>
      <c r="H1313" s="6">
        <f>P1282</f>
        <v/>
      </c>
      <c r="I1313" s="9">
        <f>Q1282</f>
        <v/>
      </c>
      <c r="J1313" s="7">
        <f>I1313*G1313</f>
        <v/>
      </c>
      <c r="K1313" s="8">
        <f>IF($J$1334=0,0,J1313/$J$1334)</f>
        <v/>
      </c>
      <c r="L1313" s="6" t="inlineStr">
        <is>
          <t>REJECTED</t>
        </is>
      </c>
      <c r="M1313" s="8" t="n">
        <v>0</v>
      </c>
      <c r="N1313" s="7">
        <f>M1313*$J$1334-J1313</f>
        <v/>
      </c>
      <c r="O1313" s="9">
        <f>IF(G1313=0,0,N1313/G1313)</f>
        <v/>
      </c>
      <c r="P1313" s="6">
        <f>IF(M1313&gt;0,D1313,"")</f>
        <v/>
      </c>
      <c r="Q1313" s="9">
        <f>I1313+O1313</f>
        <v/>
      </c>
      <c r="R1313" s="7">
        <f>Q1313*G1313</f>
        <v/>
      </c>
      <c r="S1313" s="8">
        <f>IF($R$1334=0,0,R1313/$R$1334)</f>
        <v/>
      </c>
      <c r="T1313" s="8" t="n">
        <v>0</v>
      </c>
      <c r="U1313" s="8" t="n">
        <v>-0.02113600043911956</v>
      </c>
      <c r="V1313" s="6" t="inlineStr">
        <is>
          <t>not selected</t>
        </is>
      </c>
    </row>
    <row r="1314">
      <c r="A1314" s="6" t="inlineStr">
        <is>
          <t>DJ30</t>
        </is>
      </c>
      <c r="B1314" s="6" t="inlineStr">
        <is>
          <t>2023-10-27</t>
        </is>
      </c>
      <c r="C1314" s="6" t="inlineStr">
        <is>
          <t>DIA</t>
        </is>
      </c>
      <c r="D1314" s="6" t="inlineStr">
        <is>
          <t>GS</t>
        </is>
      </c>
      <c r="E1314" s="6" t="inlineStr">
        <is>
          <t>GS</t>
        </is>
      </c>
      <c r="F1314" s="6" t="inlineStr">
        <is>
          <t>-</t>
        </is>
      </c>
      <c r="G1314" s="7" t="n">
        <v>272.49169921875</v>
      </c>
      <c r="H1314" s="6">
        <f>P1283</f>
        <v/>
      </c>
      <c r="I1314" s="9">
        <f>Q1283</f>
        <v/>
      </c>
      <c r="J1314" s="7">
        <f>I1314*G1314</f>
        <v/>
      </c>
      <c r="K1314" s="8">
        <f>IF($J$1334=0,0,J1314/$J$1334)</f>
        <v/>
      </c>
      <c r="L1314" s="6" t="inlineStr">
        <is>
          <t>REJECTED</t>
        </is>
      </c>
      <c r="M1314" s="8" t="n">
        <v>0</v>
      </c>
      <c r="N1314" s="7">
        <f>M1314*$J$1334-J1314</f>
        <v/>
      </c>
      <c r="O1314" s="9">
        <f>IF(G1314=0,0,N1314/G1314)</f>
        <v/>
      </c>
      <c r="P1314" s="6">
        <f>IF(M1314&gt;0,D1314,"")</f>
        <v/>
      </c>
      <c r="Q1314" s="9">
        <f>I1314+O1314</f>
        <v/>
      </c>
      <c r="R1314" s="7">
        <f>Q1314*G1314</f>
        <v/>
      </c>
      <c r="S1314" s="8">
        <f>IF($R$1334=0,0,R1314/$R$1334)</f>
        <v/>
      </c>
      <c r="T1314" s="8" t="n">
        <v>0</v>
      </c>
      <c r="U1314" s="8" t="n">
        <v>-0.02113600043911956</v>
      </c>
      <c r="V1314" s="6" t="inlineStr">
        <is>
          <t>not selected</t>
        </is>
      </c>
    </row>
    <row r="1315">
      <c r="A1315" s="6" t="inlineStr">
        <is>
          <t>DJ30</t>
        </is>
      </c>
      <c r="B1315" s="6" t="inlineStr">
        <is>
          <t>2023-10-27</t>
        </is>
      </c>
      <c r="C1315" s="6" t="inlineStr">
        <is>
          <t>DIA</t>
        </is>
      </c>
      <c r="D1315" s="6" t="inlineStr">
        <is>
          <t>HD</t>
        </is>
      </c>
      <c r="E1315" s="6" t="inlineStr">
        <is>
          <t>HD</t>
        </is>
      </c>
      <c r="F1315" s="6" t="inlineStr">
        <is>
          <t>-</t>
        </is>
      </c>
      <c r="G1315" s="7" t="n">
        <v>257.8591918945312</v>
      </c>
      <c r="H1315" s="6">
        <f>P1284</f>
        <v/>
      </c>
      <c r="I1315" s="9">
        <f>Q1284</f>
        <v/>
      </c>
      <c r="J1315" s="7">
        <f>I1315*G1315</f>
        <v/>
      </c>
      <c r="K1315" s="8">
        <f>IF($J$1334=0,0,J1315/$J$1334)</f>
        <v/>
      </c>
      <c r="L1315" s="6" t="inlineStr">
        <is>
          <t>REJECTED</t>
        </is>
      </c>
      <c r="M1315" s="8" t="n">
        <v>0</v>
      </c>
      <c r="N1315" s="7">
        <f>M1315*$J$1334-J1315</f>
        <v/>
      </c>
      <c r="O1315" s="9">
        <f>IF(G1315=0,0,N1315/G1315)</f>
        <v/>
      </c>
      <c r="P1315" s="6">
        <f>IF(M1315&gt;0,D1315,"")</f>
        <v/>
      </c>
      <c r="Q1315" s="9">
        <f>I1315+O1315</f>
        <v/>
      </c>
      <c r="R1315" s="7">
        <f>Q1315*G1315</f>
        <v/>
      </c>
      <c r="S1315" s="8">
        <f>IF($R$1334=0,0,R1315/$R$1334)</f>
        <v/>
      </c>
      <c r="T1315" s="8" t="n">
        <v>0</v>
      </c>
      <c r="U1315" s="8" t="n">
        <v>-0.02113600043911956</v>
      </c>
      <c r="V1315" s="6" t="inlineStr">
        <is>
          <t>not selected</t>
        </is>
      </c>
    </row>
    <row r="1316">
      <c r="A1316" s="6" t="inlineStr">
        <is>
          <t>DJ30</t>
        </is>
      </c>
      <c r="B1316" s="6" t="inlineStr">
        <is>
          <t>2023-10-27</t>
        </is>
      </c>
      <c r="C1316" s="6" t="inlineStr">
        <is>
          <t>DIA</t>
        </is>
      </c>
      <c r="D1316" s="6" t="inlineStr">
        <is>
          <t>HON</t>
        </is>
      </c>
      <c r="E1316" s="6" t="inlineStr">
        <is>
          <t>HON</t>
        </is>
      </c>
      <c r="F1316" s="6" t="inlineStr">
        <is>
          <t>-</t>
        </is>
      </c>
      <c r="G1316" s="7" t="n">
        <v>157.2615051269531</v>
      </c>
      <c r="H1316" s="6">
        <f>P1285</f>
        <v/>
      </c>
      <c r="I1316" s="9">
        <f>Q1285</f>
        <v/>
      </c>
      <c r="J1316" s="7">
        <f>I1316*G1316</f>
        <v/>
      </c>
      <c r="K1316" s="8">
        <f>IF($J$1334=0,0,J1316/$J$1334)</f>
        <v/>
      </c>
      <c r="L1316" s="6" t="inlineStr">
        <is>
          <t>REJECTED</t>
        </is>
      </c>
      <c r="M1316" s="8" t="n">
        <v>0</v>
      </c>
      <c r="N1316" s="7">
        <f>M1316*$J$1334-J1316</f>
        <v/>
      </c>
      <c r="O1316" s="9">
        <f>IF(G1316=0,0,N1316/G1316)</f>
        <v/>
      </c>
      <c r="P1316" s="6">
        <f>IF(M1316&gt;0,D1316,"")</f>
        <v/>
      </c>
      <c r="Q1316" s="9">
        <f>I1316+O1316</f>
        <v/>
      </c>
      <c r="R1316" s="7">
        <f>Q1316*G1316</f>
        <v/>
      </c>
      <c r="S1316" s="8">
        <f>IF($R$1334=0,0,R1316/$R$1334)</f>
        <v/>
      </c>
      <c r="T1316" s="8" t="n">
        <v>0</v>
      </c>
      <c r="U1316" s="8" t="n">
        <v>-0.02113600043911956</v>
      </c>
      <c r="V1316" s="6" t="inlineStr">
        <is>
          <t>not selected</t>
        </is>
      </c>
    </row>
    <row r="1317">
      <c r="A1317" s="6" t="inlineStr">
        <is>
          <t>DJ30</t>
        </is>
      </c>
      <c r="B1317" s="6" t="inlineStr">
        <is>
          <t>2023-10-27</t>
        </is>
      </c>
      <c r="C1317" s="6" t="inlineStr">
        <is>
          <t>DIA</t>
        </is>
      </c>
      <c r="D1317" s="6" t="inlineStr">
        <is>
          <t>IBM</t>
        </is>
      </c>
      <c r="E1317" s="6" t="inlineStr">
        <is>
          <t>IBM</t>
        </is>
      </c>
      <c r="F1317" s="6" t="inlineStr">
        <is>
          <t>-</t>
        </is>
      </c>
      <c r="G1317" s="7" t="n">
        <v>130.8648834228516</v>
      </c>
      <c r="H1317" s="6">
        <f>P1286</f>
        <v/>
      </c>
      <c r="I1317" s="9">
        <f>Q1286</f>
        <v/>
      </c>
      <c r="J1317" s="7">
        <f>I1317*G1317</f>
        <v/>
      </c>
      <c r="K1317" s="8">
        <f>IF($J$1334=0,0,J1317/$J$1334)</f>
        <v/>
      </c>
      <c r="L1317" s="6" t="inlineStr">
        <is>
          <t>REJECTED</t>
        </is>
      </c>
      <c r="M1317" s="8" t="n">
        <v>0</v>
      </c>
      <c r="N1317" s="7">
        <f>M1317*$J$1334-J1317</f>
        <v/>
      </c>
      <c r="O1317" s="9">
        <f>IF(G1317=0,0,N1317/G1317)</f>
        <v/>
      </c>
      <c r="P1317" s="6">
        <f>IF(M1317&gt;0,D1317,"")</f>
        <v/>
      </c>
      <c r="Q1317" s="9">
        <f>I1317+O1317</f>
        <v/>
      </c>
      <c r="R1317" s="7">
        <f>Q1317*G1317</f>
        <v/>
      </c>
      <c r="S1317" s="8">
        <f>IF($R$1334=0,0,R1317/$R$1334)</f>
        <v/>
      </c>
      <c r="T1317" s="8" t="n">
        <v>0</v>
      </c>
      <c r="U1317" s="8" t="n">
        <v>-0.02113600043911956</v>
      </c>
      <c r="V1317" s="6" t="inlineStr">
        <is>
          <t>not selected</t>
        </is>
      </c>
    </row>
    <row r="1318">
      <c r="A1318" s="6" t="inlineStr">
        <is>
          <t>DJ30</t>
        </is>
      </c>
      <c r="B1318" s="6" t="inlineStr">
        <is>
          <t>2023-10-27</t>
        </is>
      </c>
      <c r="C1318" s="6" t="inlineStr">
        <is>
          <t>DIA</t>
        </is>
      </c>
      <c r="D1318" s="6" t="inlineStr">
        <is>
          <t>JNJ</t>
        </is>
      </c>
      <c r="E1318" s="6" t="inlineStr">
        <is>
          <t>JNJ</t>
        </is>
      </c>
      <c r="F1318" s="6" t="inlineStr">
        <is>
          <t>-</t>
        </is>
      </c>
      <c r="G1318" s="7" t="n">
        <v>134.3610534667969</v>
      </c>
      <c r="H1318" s="6">
        <f>P1287</f>
        <v/>
      </c>
      <c r="I1318" s="9">
        <f>Q1287</f>
        <v/>
      </c>
      <c r="J1318" s="7">
        <f>I1318*G1318</f>
        <v/>
      </c>
      <c r="K1318" s="8">
        <f>IF($J$1334=0,0,J1318/$J$1334)</f>
        <v/>
      </c>
      <c r="L1318" s="6" t="inlineStr">
        <is>
          <t>REJECTED</t>
        </is>
      </c>
      <c r="M1318" s="8" t="n">
        <v>0</v>
      </c>
      <c r="N1318" s="7">
        <f>M1318*$J$1334-J1318</f>
        <v/>
      </c>
      <c r="O1318" s="9">
        <f>IF(G1318=0,0,N1318/G1318)</f>
        <v/>
      </c>
      <c r="P1318" s="6">
        <f>IF(M1318&gt;0,D1318,"")</f>
        <v/>
      </c>
      <c r="Q1318" s="9">
        <f>I1318+O1318</f>
        <v/>
      </c>
      <c r="R1318" s="7">
        <f>Q1318*G1318</f>
        <v/>
      </c>
      <c r="S1318" s="8">
        <f>IF($R$1334=0,0,R1318/$R$1334)</f>
        <v/>
      </c>
      <c r="T1318" s="8" t="n">
        <v>0</v>
      </c>
      <c r="U1318" s="8" t="n">
        <v>-0.02113600043911956</v>
      </c>
      <c r="V1318" s="6" t="inlineStr">
        <is>
          <t>not selected</t>
        </is>
      </c>
    </row>
    <row r="1319">
      <c r="A1319" s="6" t="inlineStr">
        <is>
          <t>DJ30</t>
        </is>
      </c>
      <c r="B1319" s="6" t="inlineStr">
        <is>
          <t>2023-10-27</t>
        </is>
      </c>
      <c r="C1319" s="6" t="inlineStr">
        <is>
          <t>DIA</t>
        </is>
      </c>
      <c r="D1319" s="6" t="inlineStr">
        <is>
          <t>JPM</t>
        </is>
      </c>
      <c r="E1319" s="6" t="inlineStr">
        <is>
          <t>JPM</t>
        </is>
      </c>
      <c r="F1319" s="6" t="inlineStr">
        <is>
          <t>-</t>
        </is>
      </c>
      <c r="G1319" s="7" t="n">
        <v>128.5375366210938</v>
      </c>
      <c r="H1319" s="6">
        <f>P1288</f>
        <v/>
      </c>
      <c r="I1319" s="9">
        <f>Q1288</f>
        <v/>
      </c>
      <c r="J1319" s="7">
        <f>I1319*G1319</f>
        <v/>
      </c>
      <c r="K1319" s="8">
        <f>IF($J$1334=0,0,J1319/$J$1334)</f>
        <v/>
      </c>
      <c r="L1319" s="6" t="inlineStr">
        <is>
          <t>REJECTED</t>
        </is>
      </c>
      <c r="M1319" s="8" t="n">
        <v>0</v>
      </c>
      <c r="N1319" s="7">
        <f>M1319*$J$1334-J1319</f>
        <v/>
      </c>
      <c r="O1319" s="9">
        <f>IF(G1319=0,0,N1319/G1319)</f>
        <v/>
      </c>
      <c r="P1319" s="6">
        <f>IF(M1319&gt;0,D1319,"")</f>
        <v/>
      </c>
      <c r="Q1319" s="9">
        <f>I1319+O1319</f>
        <v/>
      </c>
      <c r="R1319" s="7">
        <f>Q1319*G1319</f>
        <v/>
      </c>
      <c r="S1319" s="8">
        <f>IF($R$1334=0,0,R1319/$R$1334)</f>
        <v/>
      </c>
      <c r="T1319" s="8" t="n">
        <v>0</v>
      </c>
      <c r="U1319" s="8" t="n">
        <v>-0.02113600043911956</v>
      </c>
      <c r="V1319" s="6" t="inlineStr">
        <is>
          <t>not selected</t>
        </is>
      </c>
    </row>
    <row r="1320">
      <c r="A1320" s="6" t="inlineStr">
        <is>
          <t>DJ30</t>
        </is>
      </c>
      <c r="B1320" s="6" t="inlineStr">
        <is>
          <t>2023-10-27</t>
        </is>
      </c>
      <c r="C1320" s="6" t="inlineStr">
        <is>
          <t>DIA</t>
        </is>
      </c>
      <c r="D1320" s="6" t="inlineStr">
        <is>
          <t>KO</t>
        </is>
      </c>
      <c r="E1320" s="6" t="inlineStr">
        <is>
          <t>KO</t>
        </is>
      </c>
      <c r="F1320" s="6" t="inlineStr">
        <is>
          <t>-</t>
        </is>
      </c>
      <c r="G1320" s="7" t="n">
        <v>50.97357177734375</v>
      </c>
      <c r="H1320" s="6">
        <f>P1289</f>
        <v/>
      </c>
      <c r="I1320" s="9">
        <f>Q1289</f>
        <v/>
      </c>
      <c r="J1320" s="7">
        <f>I1320*G1320</f>
        <v/>
      </c>
      <c r="K1320" s="8">
        <f>IF($J$1334=0,0,J1320/$J$1334)</f>
        <v/>
      </c>
      <c r="L1320" s="6" t="inlineStr">
        <is>
          <t>REJECTED</t>
        </is>
      </c>
      <c r="M1320" s="8" t="n">
        <v>0</v>
      </c>
      <c r="N1320" s="7">
        <f>M1320*$J$1334-J1320</f>
        <v/>
      </c>
      <c r="O1320" s="9">
        <f>IF(G1320=0,0,N1320/G1320)</f>
        <v/>
      </c>
      <c r="P1320" s="6">
        <f>IF(M1320&gt;0,D1320,"")</f>
        <v/>
      </c>
      <c r="Q1320" s="9">
        <f>I1320+O1320</f>
        <v/>
      </c>
      <c r="R1320" s="7">
        <f>Q1320*G1320</f>
        <v/>
      </c>
      <c r="S1320" s="8">
        <f>IF($R$1334=0,0,R1320/$R$1334)</f>
        <v/>
      </c>
      <c r="T1320" s="8" t="n">
        <v>0</v>
      </c>
      <c r="U1320" s="8" t="n">
        <v>-0.02113600043911956</v>
      </c>
      <c r="V1320" s="6" t="inlineStr">
        <is>
          <t>not selected</t>
        </is>
      </c>
    </row>
    <row r="1321">
      <c r="A1321" s="6" t="inlineStr">
        <is>
          <t>DJ30</t>
        </is>
      </c>
      <c r="B1321" s="6" t="inlineStr">
        <is>
          <t>2023-10-27</t>
        </is>
      </c>
      <c r="C1321" s="6" t="inlineStr">
        <is>
          <t>DIA</t>
        </is>
      </c>
      <c r="D1321" s="6" t="inlineStr">
        <is>
          <t>MCD</t>
        </is>
      </c>
      <c r="E1321" s="6" t="inlineStr">
        <is>
          <t>MCD</t>
        </is>
      </c>
      <c r="F1321" s="6" t="inlineStr">
        <is>
          <t>-</t>
        </is>
      </c>
      <c r="G1321" s="7" t="n">
        <v>239.5912170410156</v>
      </c>
      <c r="H1321" s="6">
        <f>P1290</f>
        <v/>
      </c>
      <c r="I1321" s="9">
        <f>Q1290</f>
        <v/>
      </c>
      <c r="J1321" s="7">
        <f>I1321*G1321</f>
        <v/>
      </c>
      <c r="K1321" s="8">
        <f>IF($J$1334=0,0,J1321/$J$1334)</f>
        <v/>
      </c>
      <c r="L1321" s="6" t="inlineStr">
        <is>
          <t>REJECTED</t>
        </is>
      </c>
      <c r="M1321" s="8" t="n">
        <v>0</v>
      </c>
      <c r="N1321" s="7">
        <f>M1321*$J$1334-J1321</f>
        <v/>
      </c>
      <c r="O1321" s="9">
        <f>IF(G1321=0,0,N1321/G1321)</f>
        <v/>
      </c>
      <c r="P1321" s="6">
        <f>IF(M1321&gt;0,D1321,"")</f>
        <v/>
      </c>
      <c r="Q1321" s="9">
        <f>I1321+O1321</f>
        <v/>
      </c>
      <c r="R1321" s="7">
        <f>Q1321*G1321</f>
        <v/>
      </c>
      <c r="S1321" s="8">
        <f>IF($R$1334=0,0,R1321/$R$1334)</f>
        <v/>
      </c>
      <c r="T1321" s="8" t="n">
        <v>0</v>
      </c>
      <c r="U1321" s="8" t="n">
        <v>-0.02113600043911956</v>
      </c>
      <c r="V1321" s="6" t="inlineStr">
        <is>
          <t>not selected</t>
        </is>
      </c>
    </row>
    <row r="1322">
      <c r="A1322" s="6" t="inlineStr">
        <is>
          <t>DJ30</t>
        </is>
      </c>
      <c r="B1322" s="6" t="inlineStr">
        <is>
          <t>2023-10-27</t>
        </is>
      </c>
      <c r="C1322" s="6" t="inlineStr">
        <is>
          <t>DIA</t>
        </is>
      </c>
      <c r="D1322" s="6" t="inlineStr">
        <is>
          <t>MMM</t>
        </is>
      </c>
      <c r="E1322" s="6" t="inlineStr">
        <is>
          <t>MMM</t>
        </is>
      </c>
      <c r="F1322" s="6" t="inlineStr">
        <is>
          <t>-</t>
        </is>
      </c>
      <c r="G1322" s="7" t="n">
        <v>67.68443298339844</v>
      </c>
      <c r="H1322" s="6">
        <f>P1291</f>
        <v/>
      </c>
      <c r="I1322" s="9">
        <f>Q1291</f>
        <v/>
      </c>
      <c r="J1322" s="7">
        <f>I1322*G1322</f>
        <v/>
      </c>
      <c r="K1322" s="8">
        <f>IF($J$1334=0,0,J1322/$J$1334)</f>
        <v/>
      </c>
      <c r="L1322" s="6" t="inlineStr">
        <is>
          <t>REJECTED</t>
        </is>
      </c>
      <c r="M1322" s="8" t="n">
        <v>0</v>
      </c>
      <c r="N1322" s="7">
        <f>M1322*$J$1334-J1322</f>
        <v/>
      </c>
      <c r="O1322" s="9">
        <f>IF(G1322=0,0,N1322/G1322)</f>
        <v/>
      </c>
      <c r="P1322" s="6">
        <f>IF(M1322&gt;0,D1322,"")</f>
        <v/>
      </c>
      <c r="Q1322" s="9">
        <f>I1322+O1322</f>
        <v/>
      </c>
      <c r="R1322" s="7">
        <f>Q1322*G1322</f>
        <v/>
      </c>
      <c r="S1322" s="8">
        <f>IF($R$1334=0,0,R1322/$R$1334)</f>
        <v/>
      </c>
      <c r="T1322" s="8" t="n">
        <v>0</v>
      </c>
      <c r="U1322" s="8" t="n">
        <v>-0.02113600043911956</v>
      </c>
      <c r="V1322" s="6" t="inlineStr">
        <is>
          <t>not selected</t>
        </is>
      </c>
    </row>
    <row r="1323">
      <c r="A1323" s="6" t="inlineStr">
        <is>
          <t>DJ30</t>
        </is>
      </c>
      <c r="B1323" s="6" t="inlineStr">
        <is>
          <t>2023-10-27</t>
        </is>
      </c>
      <c r="C1323" s="6" t="inlineStr">
        <is>
          <t>DIA</t>
        </is>
      </c>
      <c r="D1323" s="6" t="inlineStr">
        <is>
          <t>MRK</t>
        </is>
      </c>
      <c r="E1323" s="6" t="inlineStr">
        <is>
          <t>MRK</t>
        </is>
      </c>
      <c r="F1323" s="6" t="inlineStr">
        <is>
          <t>-</t>
        </is>
      </c>
      <c r="G1323" s="7" t="n">
        <v>94.38541412353516</v>
      </c>
      <c r="H1323" s="6">
        <f>P1292</f>
        <v/>
      </c>
      <c r="I1323" s="9">
        <f>Q1292</f>
        <v/>
      </c>
      <c r="J1323" s="7">
        <f>I1323*G1323</f>
        <v/>
      </c>
      <c r="K1323" s="8">
        <f>IF($J$1334=0,0,J1323/$J$1334)</f>
        <v/>
      </c>
      <c r="L1323" s="6" t="inlineStr">
        <is>
          <t>REJECTED</t>
        </is>
      </c>
      <c r="M1323" s="8" t="n">
        <v>0</v>
      </c>
      <c r="N1323" s="7">
        <f>M1323*$J$1334-J1323</f>
        <v/>
      </c>
      <c r="O1323" s="9">
        <f>IF(G1323=0,0,N1323/G1323)</f>
        <v/>
      </c>
      <c r="P1323" s="6">
        <f>IF(M1323&gt;0,D1323,"")</f>
        <v/>
      </c>
      <c r="Q1323" s="9">
        <f>I1323+O1323</f>
        <v/>
      </c>
      <c r="R1323" s="7">
        <f>Q1323*G1323</f>
        <v/>
      </c>
      <c r="S1323" s="8">
        <f>IF($R$1334=0,0,R1323/$R$1334)</f>
        <v/>
      </c>
      <c r="T1323" s="8" t="n">
        <v>0</v>
      </c>
      <c r="U1323" s="8" t="n">
        <v>-0.02113600043911956</v>
      </c>
      <c r="V1323" s="6" t="inlineStr">
        <is>
          <t>not selected</t>
        </is>
      </c>
    </row>
    <row r="1324">
      <c r="A1324" s="6" t="inlineStr">
        <is>
          <t>DJ30</t>
        </is>
      </c>
      <c r="B1324" s="6" t="inlineStr">
        <is>
          <t>2023-10-27</t>
        </is>
      </c>
      <c r="C1324" s="6" t="inlineStr">
        <is>
          <t>DIA</t>
        </is>
      </c>
      <c r="D1324" s="6" t="inlineStr">
        <is>
          <t>MSFT</t>
        </is>
      </c>
      <c r="E1324" s="6" t="inlineStr">
        <is>
          <t>MSFT</t>
        </is>
      </c>
      <c r="F1324" s="6" t="inlineStr">
        <is>
          <t>-</t>
        </is>
      </c>
      <c r="G1324" s="7" t="n">
        <v>322.8688049316406</v>
      </c>
      <c r="H1324" s="6">
        <f>P1293</f>
        <v/>
      </c>
      <c r="I1324" s="9">
        <f>Q1293</f>
        <v/>
      </c>
      <c r="J1324" s="7">
        <f>I1324*G1324</f>
        <v/>
      </c>
      <c r="K1324" s="8">
        <f>IF($J$1334=0,0,J1324/$J$1334)</f>
        <v/>
      </c>
      <c r="L1324" s="6" t="inlineStr">
        <is>
          <t>REJECTED</t>
        </is>
      </c>
      <c r="M1324" s="8" t="n">
        <v>0</v>
      </c>
      <c r="N1324" s="7">
        <f>M1324*$J$1334-J1324</f>
        <v/>
      </c>
      <c r="O1324" s="9">
        <f>IF(G1324=0,0,N1324/G1324)</f>
        <v/>
      </c>
      <c r="P1324" s="6">
        <f>IF(M1324&gt;0,D1324,"")</f>
        <v/>
      </c>
      <c r="Q1324" s="9">
        <f>I1324+O1324</f>
        <v/>
      </c>
      <c r="R1324" s="7">
        <f>Q1324*G1324</f>
        <v/>
      </c>
      <c r="S1324" s="8">
        <f>IF($R$1334=0,0,R1324/$R$1334)</f>
        <v/>
      </c>
      <c r="T1324" s="8" t="n">
        <v>0</v>
      </c>
      <c r="U1324" s="8" t="n">
        <v>-0.02113600043911956</v>
      </c>
      <c r="V1324" s="6" t="inlineStr">
        <is>
          <t>not selected</t>
        </is>
      </c>
    </row>
    <row r="1325">
      <c r="A1325" s="6" t="inlineStr">
        <is>
          <t>DJ30</t>
        </is>
      </c>
      <c r="B1325" s="6" t="inlineStr">
        <is>
          <t>2023-10-27</t>
        </is>
      </c>
      <c r="C1325" s="6" t="inlineStr">
        <is>
          <t>DIA</t>
        </is>
      </c>
      <c r="D1325" s="6" t="inlineStr">
        <is>
          <t>NKE</t>
        </is>
      </c>
      <c r="E1325" s="6" t="inlineStr">
        <is>
          <t>NKE</t>
        </is>
      </c>
      <c r="F1325" s="6" t="inlineStr">
        <is>
          <t>-</t>
        </is>
      </c>
      <c r="G1325" s="7" t="n">
        <v>92.3560028076172</v>
      </c>
      <c r="H1325" s="6">
        <f>P1294</f>
        <v/>
      </c>
      <c r="I1325" s="9">
        <f>Q1294</f>
        <v/>
      </c>
      <c r="J1325" s="7">
        <f>I1325*G1325</f>
        <v/>
      </c>
      <c r="K1325" s="8">
        <f>IF($J$1334=0,0,J1325/$J$1334)</f>
        <v/>
      </c>
      <c r="L1325" s="6" t="inlineStr">
        <is>
          <t>REJECTED</t>
        </is>
      </c>
      <c r="M1325" s="8" t="n">
        <v>0</v>
      </c>
      <c r="N1325" s="7">
        <f>M1325*$J$1334-J1325</f>
        <v/>
      </c>
      <c r="O1325" s="9">
        <f>IF(G1325=0,0,N1325/G1325)</f>
        <v/>
      </c>
      <c r="P1325" s="6">
        <f>IF(M1325&gt;0,D1325,"")</f>
        <v/>
      </c>
      <c r="Q1325" s="9">
        <f>I1325+O1325</f>
        <v/>
      </c>
      <c r="R1325" s="7">
        <f>Q1325*G1325</f>
        <v/>
      </c>
      <c r="S1325" s="8">
        <f>IF($R$1334=0,0,R1325/$R$1334)</f>
        <v/>
      </c>
      <c r="T1325" s="8" t="n">
        <v>0</v>
      </c>
      <c r="U1325" s="8" t="n">
        <v>-0.02113600043911956</v>
      </c>
      <c r="V1325" s="6" t="inlineStr">
        <is>
          <t>not selected</t>
        </is>
      </c>
    </row>
    <row r="1326">
      <c r="A1326" s="6" t="inlineStr">
        <is>
          <t>DJ30</t>
        </is>
      </c>
      <c r="B1326" s="6" t="inlineStr">
        <is>
          <t>2023-10-27</t>
        </is>
      </c>
      <c r="C1326" s="6" t="inlineStr">
        <is>
          <t>DIA</t>
        </is>
      </c>
      <c r="D1326" s="6" t="inlineStr">
        <is>
          <t>NVDA</t>
        </is>
      </c>
      <c r="E1326" s="6" t="inlineStr">
        <is>
          <t>NVDA</t>
        </is>
      </c>
      <c r="F1326" s="6" t="inlineStr">
        <is>
          <t>-</t>
        </is>
      </c>
      <c r="G1326" s="7" t="n">
        <v>40.42458343505859</v>
      </c>
      <c r="H1326" s="6">
        <f>P1295</f>
        <v/>
      </c>
      <c r="I1326" s="9">
        <f>Q1295</f>
        <v/>
      </c>
      <c r="J1326" s="7">
        <f>I1326*G1326</f>
        <v/>
      </c>
      <c r="K1326" s="8">
        <f>IF($J$1334=0,0,J1326/$J$1334)</f>
        <v/>
      </c>
      <c r="L1326" s="6" t="inlineStr">
        <is>
          <t>REJECTED</t>
        </is>
      </c>
      <c r="M1326" s="8" t="n">
        <v>0</v>
      </c>
      <c r="N1326" s="7">
        <f>M1326*$J$1334-J1326</f>
        <v/>
      </c>
      <c r="O1326" s="9">
        <f>IF(G1326=0,0,N1326/G1326)</f>
        <v/>
      </c>
      <c r="P1326" s="6">
        <f>IF(M1326&gt;0,D1326,"")</f>
        <v/>
      </c>
      <c r="Q1326" s="9">
        <f>I1326+O1326</f>
        <v/>
      </c>
      <c r="R1326" s="7">
        <f>Q1326*G1326</f>
        <v/>
      </c>
      <c r="S1326" s="8">
        <f>IF($R$1334=0,0,R1326/$R$1334)</f>
        <v/>
      </c>
      <c r="T1326" s="8" t="n">
        <v>0</v>
      </c>
      <c r="U1326" s="8" t="n">
        <v>-0.02113600043911956</v>
      </c>
      <c r="V1326" s="6" t="inlineStr">
        <is>
          <t>not selected</t>
        </is>
      </c>
    </row>
    <row r="1327">
      <c r="A1327" s="6" t="inlineStr">
        <is>
          <t>DJ30</t>
        </is>
      </c>
      <c r="B1327" s="6" t="inlineStr">
        <is>
          <t>2023-10-27</t>
        </is>
      </c>
      <c r="C1327" s="6" t="inlineStr">
        <is>
          <t>DIA</t>
        </is>
      </c>
      <c r="D1327" s="6" t="inlineStr">
        <is>
          <t>PG</t>
        </is>
      </c>
      <c r="E1327" s="6" t="inlineStr">
        <is>
          <t>PG</t>
        </is>
      </c>
      <c r="F1327" s="6" t="inlineStr">
        <is>
          <t>-</t>
        </is>
      </c>
      <c r="G1327" s="7" t="n">
        <v>137.8651275634766</v>
      </c>
      <c r="H1327" s="6">
        <f>P1296</f>
        <v/>
      </c>
      <c r="I1327" s="9">
        <f>Q1296</f>
        <v/>
      </c>
      <c r="J1327" s="7">
        <f>I1327*G1327</f>
        <v/>
      </c>
      <c r="K1327" s="8">
        <f>IF($J$1334=0,0,J1327/$J$1334)</f>
        <v/>
      </c>
      <c r="L1327" s="6" t="inlineStr">
        <is>
          <t>REJECTED</t>
        </is>
      </c>
      <c r="M1327" s="8" t="n">
        <v>0</v>
      </c>
      <c r="N1327" s="7">
        <f>M1327*$J$1334-J1327</f>
        <v/>
      </c>
      <c r="O1327" s="9">
        <f>IF(G1327=0,0,N1327/G1327)</f>
        <v/>
      </c>
      <c r="P1327" s="6">
        <f>IF(M1327&gt;0,D1327,"")</f>
        <v/>
      </c>
      <c r="Q1327" s="9">
        <f>I1327+O1327</f>
        <v/>
      </c>
      <c r="R1327" s="7">
        <f>Q1327*G1327</f>
        <v/>
      </c>
      <c r="S1327" s="8">
        <f>IF($R$1334=0,0,R1327/$R$1334)</f>
        <v/>
      </c>
      <c r="T1327" s="8" t="n">
        <v>0</v>
      </c>
      <c r="U1327" s="8" t="n">
        <v>-0.02113600043911956</v>
      </c>
      <c r="V1327" s="6" t="inlineStr">
        <is>
          <t>not selected</t>
        </is>
      </c>
    </row>
    <row r="1328">
      <c r="A1328" s="6" t="inlineStr">
        <is>
          <t>DJ30</t>
        </is>
      </c>
      <c r="B1328" s="6" t="inlineStr">
        <is>
          <t>2023-10-27</t>
        </is>
      </c>
      <c r="C1328" s="6" t="inlineStr">
        <is>
          <t>DIA</t>
        </is>
      </c>
      <c r="D1328" s="6" t="inlineStr">
        <is>
          <t>SHW</t>
        </is>
      </c>
      <c r="E1328" s="6" t="inlineStr">
        <is>
          <t>SHW</t>
        </is>
      </c>
      <c r="F1328" s="6" t="inlineStr">
        <is>
          <t>-</t>
        </is>
      </c>
      <c r="G1328" s="7" t="n">
        <v>230.3636932373047</v>
      </c>
      <c r="H1328" s="6">
        <f>P1297</f>
        <v/>
      </c>
      <c r="I1328" s="9">
        <f>Q1297</f>
        <v/>
      </c>
      <c r="J1328" s="7">
        <f>I1328*G1328</f>
        <v/>
      </c>
      <c r="K1328" s="8">
        <f>IF($J$1334=0,0,J1328/$J$1334)</f>
        <v/>
      </c>
      <c r="L1328" s="6" t="inlineStr">
        <is>
          <t>REJECTED</t>
        </is>
      </c>
      <c r="M1328" s="8" t="n">
        <v>0</v>
      </c>
      <c r="N1328" s="7">
        <f>M1328*$J$1334-J1328</f>
        <v/>
      </c>
      <c r="O1328" s="9">
        <f>IF(G1328=0,0,N1328/G1328)</f>
        <v/>
      </c>
      <c r="P1328" s="6">
        <f>IF(M1328&gt;0,D1328,"")</f>
        <v/>
      </c>
      <c r="Q1328" s="9">
        <f>I1328+O1328</f>
        <v/>
      </c>
      <c r="R1328" s="7">
        <f>Q1328*G1328</f>
        <v/>
      </c>
      <c r="S1328" s="8">
        <f>IF($R$1334=0,0,R1328/$R$1334)</f>
        <v/>
      </c>
      <c r="T1328" s="8" t="n">
        <v>0</v>
      </c>
      <c r="U1328" s="8" t="n">
        <v>-0.02113600043911956</v>
      </c>
      <c r="V1328" s="6" t="inlineStr">
        <is>
          <t>not selected</t>
        </is>
      </c>
    </row>
    <row r="1329">
      <c r="A1329" s="6" t="inlineStr">
        <is>
          <t>DJ30</t>
        </is>
      </c>
      <c r="B1329" s="6" t="inlineStr">
        <is>
          <t>2023-10-27</t>
        </is>
      </c>
      <c r="C1329" s="6" t="inlineStr">
        <is>
          <t>DIA</t>
        </is>
      </c>
      <c r="D1329" s="6" t="inlineStr">
        <is>
          <t>TRV</t>
        </is>
      </c>
      <c r="E1329" s="6" t="inlineStr">
        <is>
          <t>TRV</t>
        </is>
      </c>
      <c r="F1329" s="6" t="inlineStr">
        <is>
          <t>-</t>
        </is>
      </c>
      <c r="G1329" s="7" t="n">
        <v>153.2282562255859</v>
      </c>
      <c r="H1329" s="6">
        <f>P1298</f>
        <v/>
      </c>
      <c r="I1329" s="9">
        <f>Q1298</f>
        <v/>
      </c>
      <c r="J1329" s="7">
        <f>I1329*G1329</f>
        <v/>
      </c>
      <c r="K1329" s="8">
        <f>IF($J$1334=0,0,J1329/$J$1334)</f>
        <v/>
      </c>
      <c r="L1329" s="6" t="inlineStr">
        <is>
          <t>REJECTED</t>
        </is>
      </c>
      <c r="M1329" s="8" t="n">
        <v>0</v>
      </c>
      <c r="N1329" s="7">
        <f>M1329*$J$1334-J1329</f>
        <v/>
      </c>
      <c r="O1329" s="9">
        <f>IF(G1329=0,0,N1329/G1329)</f>
        <v/>
      </c>
      <c r="P1329" s="6">
        <f>IF(M1329&gt;0,D1329,"")</f>
        <v/>
      </c>
      <c r="Q1329" s="9">
        <f>I1329+O1329</f>
        <v/>
      </c>
      <c r="R1329" s="7">
        <f>Q1329*G1329</f>
        <v/>
      </c>
      <c r="S1329" s="8">
        <f>IF($R$1334=0,0,R1329/$R$1334)</f>
        <v/>
      </c>
      <c r="T1329" s="8" t="n">
        <v>0</v>
      </c>
      <c r="U1329" s="8" t="n">
        <v>-0.02113600043911956</v>
      </c>
      <c r="V1329" s="6" t="inlineStr">
        <is>
          <t>not selected</t>
        </is>
      </c>
    </row>
    <row r="1330">
      <c r="A1330" s="6" t="inlineStr">
        <is>
          <t>DJ30</t>
        </is>
      </c>
      <c r="B1330" s="6" t="inlineStr">
        <is>
          <t>2023-10-27</t>
        </is>
      </c>
      <c r="C1330" s="6" t="inlineStr">
        <is>
          <t>DIA</t>
        </is>
      </c>
      <c r="D1330" s="6" t="inlineStr">
        <is>
          <t>UNH</t>
        </is>
      </c>
      <c r="E1330" s="6" t="inlineStr">
        <is>
          <t>UNH</t>
        </is>
      </c>
      <c r="F1330" s="6" t="inlineStr">
        <is>
          <t>-</t>
        </is>
      </c>
      <c r="G1330" s="7" t="n">
        <v>495.7349853515625</v>
      </c>
      <c r="H1330" s="6">
        <f>P1299</f>
        <v/>
      </c>
      <c r="I1330" s="9">
        <f>Q1299</f>
        <v/>
      </c>
      <c r="J1330" s="7">
        <f>I1330*G1330</f>
        <v/>
      </c>
      <c r="K1330" s="8">
        <f>IF($J$1334=0,0,J1330/$J$1334)</f>
        <v/>
      </c>
      <c r="L1330" s="6" t="inlineStr">
        <is>
          <t>REJECTED</t>
        </is>
      </c>
      <c r="M1330" s="8" t="n">
        <v>0</v>
      </c>
      <c r="N1330" s="7">
        <f>M1330*$J$1334-J1330</f>
        <v/>
      </c>
      <c r="O1330" s="9">
        <f>IF(G1330=0,0,N1330/G1330)</f>
        <v/>
      </c>
      <c r="P1330" s="6">
        <f>IF(M1330&gt;0,D1330,"")</f>
        <v/>
      </c>
      <c r="Q1330" s="9">
        <f>I1330+O1330</f>
        <v/>
      </c>
      <c r="R1330" s="7">
        <f>Q1330*G1330</f>
        <v/>
      </c>
      <c r="S1330" s="8">
        <f>IF($R$1334=0,0,R1330/$R$1334)</f>
        <v/>
      </c>
      <c r="T1330" s="8" t="n">
        <v>0</v>
      </c>
      <c r="U1330" s="8" t="n">
        <v>-0.02113600043911956</v>
      </c>
      <c r="V1330" s="6" t="inlineStr">
        <is>
          <t>not selected</t>
        </is>
      </c>
    </row>
    <row r="1331">
      <c r="A1331" s="6" t="inlineStr">
        <is>
          <t>DJ30</t>
        </is>
      </c>
      <c r="B1331" s="6" t="inlineStr">
        <is>
          <t>2023-10-27</t>
        </is>
      </c>
      <c r="C1331" s="6" t="inlineStr">
        <is>
          <t>DIA</t>
        </is>
      </c>
      <c r="D1331" s="6" t="inlineStr">
        <is>
          <t>V</t>
        </is>
      </c>
      <c r="E1331" s="6" t="inlineStr">
        <is>
          <t>V</t>
        </is>
      </c>
      <c r="F1331" s="6" t="inlineStr">
        <is>
          <t>-</t>
        </is>
      </c>
      <c r="G1331" s="7" t="n">
        <v>224.516830444336</v>
      </c>
      <c r="H1331" s="6">
        <f>P1300</f>
        <v/>
      </c>
      <c r="I1331" s="9">
        <f>Q1300</f>
        <v/>
      </c>
      <c r="J1331" s="7">
        <f>I1331*G1331</f>
        <v/>
      </c>
      <c r="K1331" s="8">
        <f>IF($J$1334=0,0,J1331/$J$1334)</f>
        <v/>
      </c>
      <c r="L1331" s="6" t="inlineStr">
        <is>
          <t>REJECTED</t>
        </is>
      </c>
      <c r="M1331" s="8" t="n">
        <v>0</v>
      </c>
      <c r="N1331" s="7">
        <f>M1331*$J$1334-J1331</f>
        <v/>
      </c>
      <c r="O1331" s="9">
        <f>IF(G1331=0,0,N1331/G1331)</f>
        <v/>
      </c>
      <c r="P1331" s="6">
        <f>IF(M1331&gt;0,D1331,"")</f>
        <v/>
      </c>
      <c r="Q1331" s="9">
        <f>I1331+O1331</f>
        <v/>
      </c>
      <c r="R1331" s="7">
        <f>Q1331*G1331</f>
        <v/>
      </c>
      <c r="S1331" s="8">
        <f>IF($R$1334=0,0,R1331/$R$1334)</f>
        <v/>
      </c>
      <c r="T1331" s="8" t="n">
        <v>0</v>
      </c>
      <c r="U1331" s="8" t="n">
        <v>-0.02113600043911956</v>
      </c>
      <c r="V1331" s="6" t="inlineStr">
        <is>
          <t>not selected</t>
        </is>
      </c>
    </row>
    <row r="1332">
      <c r="A1332" s="6" t="inlineStr">
        <is>
          <t>DJ30</t>
        </is>
      </c>
      <c r="B1332" s="6" t="inlineStr">
        <is>
          <t>2023-10-27</t>
        </is>
      </c>
      <c r="C1332" s="6" t="inlineStr">
        <is>
          <t>DIA</t>
        </is>
      </c>
      <c r="D1332" s="6" t="inlineStr">
        <is>
          <t>VZ</t>
        </is>
      </c>
      <c r="E1332" s="6" t="inlineStr">
        <is>
          <t>VZ</t>
        </is>
      </c>
      <c r="F1332" s="6" t="inlineStr">
        <is>
          <t>-</t>
        </is>
      </c>
      <c r="G1332" s="7" t="n">
        <v>28.40402984619141</v>
      </c>
      <c r="H1332" s="6">
        <f>P1301</f>
        <v/>
      </c>
      <c r="I1332" s="9">
        <f>Q1301</f>
        <v/>
      </c>
      <c r="J1332" s="7">
        <f>I1332*G1332</f>
        <v/>
      </c>
      <c r="K1332" s="8">
        <f>IF($J$1334=0,0,J1332/$J$1334)</f>
        <v/>
      </c>
      <c r="L1332" s="6" t="inlineStr">
        <is>
          <t>REJECTED</t>
        </is>
      </c>
      <c r="M1332" s="8" t="n">
        <v>0</v>
      </c>
      <c r="N1332" s="7">
        <f>M1332*$J$1334-J1332</f>
        <v/>
      </c>
      <c r="O1332" s="9">
        <f>IF(G1332=0,0,N1332/G1332)</f>
        <v/>
      </c>
      <c r="P1332" s="6">
        <f>IF(M1332&gt;0,D1332,"")</f>
        <v/>
      </c>
      <c r="Q1332" s="9">
        <f>I1332+O1332</f>
        <v/>
      </c>
      <c r="R1332" s="7">
        <f>Q1332*G1332</f>
        <v/>
      </c>
      <c r="S1332" s="8">
        <f>IF($R$1334=0,0,R1332/$R$1334)</f>
        <v/>
      </c>
      <c r="T1332" s="8" t="n">
        <v>0</v>
      </c>
      <c r="U1332" s="8" t="n">
        <v>-0.02113600043911956</v>
      </c>
      <c r="V1332" s="6" t="inlineStr">
        <is>
          <t>not selected</t>
        </is>
      </c>
    </row>
    <row r="1333">
      <c r="A1333" s="6" t="inlineStr">
        <is>
          <t>DJ30</t>
        </is>
      </c>
      <c r="B1333" s="6" t="inlineStr">
        <is>
          <t>2023-10-27</t>
        </is>
      </c>
      <c r="C1333" s="6" t="inlineStr">
        <is>
          <t>DIA</t>
        </is>
      </c>
      <c r="D1333" s="6" t="inlineStr">
        <is>
          <t>WMT</t>
        </is>
      </c>
      <c r="E1333" s="6" t="inlineStr">
        <is>
          <t>WMT</t>
        </is>
      </c>
      <c r="F1333" s="6" t="inlineStr">
        <is>
          <t>-</t>
        </is>
      </c>
      <c r="G1333" s="7" t="n">
        <v>52.18222808837891</v>
      </c>
      <c r="H1333" s="6">
        <f>P1302</f>
        <v/>
      </c>
      <c r="I1333" s="9">
        <f>Q1302</f>
        <v/>
      </c>
      <c r="J1333" s="7">
        <f>I1333*G1333</f>
        <v/>
      </c>
      <c r="K1333" s="8">
        <f>IF($J$1334=0,0,J1333/$J$1334)</f>
        <v/>
      </c>
      <c r="L1333" s="6" t="inlineStr">
        <is>
          <t>REJECTED</t>
        </is>
      </c>
      <c r="M1333" s="8" t="n">
        <v>0</v>
      </c>
      <c r="N1333" s="7">
        <f>M1333*$J$1334-J1333</f>
        <v/>
      </c>
      <c r="O1333" s="9">
        <f>IF(G1333=0,0,N1333/G1333)</f>
        <v/>
      </c>
      <c r="P1333" s="6">
        <f>IF(M1333&gt;0,D1333,"")</f>
        <v/>
      </c>
      <c r="Q1333" s="9">
        <f>I1333+O1333</f>
        <v/>
      </c>
      <c r="R1333" s="7">
        <f>Q1333*G1333</f>
        <v/>
      </c>
      <c r="S1333" s="8">
        <f>IF($R$1334=0,0,R1333/$R$1334)</f>
        <v/>
      </c>
      <c r="T1333" s="8" t="n">
        <v>0</v>
      </c>
      <c r="U1333" s="8" t="n">
        <v>-0.02113600043911956</v>
      </c>
      <c r="V1333" s="6" t="inlineStr">
        <is>
          <t>not selected</t>
        </is>
      </c>
    </row>
    <row r="1334">
      <c r="A1334" s="10" t="inlineStr">
        <is>
          <t>DJ30</t>
        </is>
      </c>
      <c r="B1334" s="10" t="inlineStr">
        <is>
          <t>2023-10-27</t>
        </is>
      </c>
      <c r="C1334" s="10" t="inlineStr">
        <is>
          <t>DIA</t>
        </is>
      </c>
      <c r="D1334" s="10" t="inlineStr">
        <is>
          <t>Tot Portfolio</t>
        </is>
      </c>
      <c r="E1334" s="10" t="inlineStr"/>
      <c r="F1334" s="10" t="inlineStr"/>
      <c r="G1334" s="11" t="inlineStr"/>
      <c r="H1334" s="10" t="inlineStr"/>
      <c r="I1334" s="12" t="inlineStr"/>
      <c r="J1334" s="11">
        <f>SUM(J1304:J1333)</f>
        <v/>
      </c>
      <c r="K1334" s="13">
        <f>SUM(K1304:K1333)</f>
        <v/>
      </c>
      <c r="L1334" s="10" t="inlineStr">
        <is>
          <t>TOTAL</t>
        </is>
      </c>
      <c r="M1334" s="13">
        <f>SUM(M1304:M1333)</f>
        <v/>
      </c>
      <c r="N1334" s="11">
        <f>SUM(N1304:N1333)</f>
        <v/>
      </c>
      <c r="O1334" s="12">
        <f>SUM(O1304:O1333)</f>
        <v/>
      </c>
      <c r="P1334" s="10" t="inlineStr"/>
      <c r="Q1334" s="12" t="inlineStr"/>
      <c r="R1334" s="11">
        <f>SUM(R1304:R1333)</f>
        <v/>
      </c>
      <c r="S1334" s="13">
        <f>SUM(S1304:S1333)</f>
        <v/>
      </c>
      <c r="T1334" s="13" t="n">
        <v>0</v>
      </c>
      <c r="U1334" s="13" t="n">
        <v>-0.02113600043911956</v>
      </c>
      <c r="V1334" s="10" t="inlineStr"/>
    </row>
    <row r="1335">
      <c r="A1335" s="6" t="inlineStr">
        <is>
          <t>DJ30</t>
        </is>
      </c>
      <c r="B1335" s="6" t="inlineStr">
        <is>
          <t>2023-11-03</t>
        </is>
      </c>
      <c r="C1335" s="6" t="inlineStr">
        <is>
          <t>DIA</t>
        </is>
      </c>
      <c r="D1335" s="6" t="inlineStr">
        <is>
          <t>AAPL</t>
        </is>
      </c>
      <c r="E1335" s="6" t="inlineStr">
        <is>
          <t>AAPL</t>
        </is>
      </c>
      <c r="F1335" s="6" t="inlineStr">
        <is>
          <t>-</t>
        </is>
      </c>
      <c r="G1335" s="7" t="n">
        <v>174.4429626464844</v>
      </c>
      <c r="H1335" s="6">
        <f>P1304</f>
        <v/>
      </c>
      <c r="I1335" s="9">
        <f>Q1304</f>
        <v/>
      </c>
      <c r="J1335" s="7">
        <f>I1335*G1335</f>
        <v/>
      </c>
      <c r="K1335" s="8">
        <f>IF($J$1365=0,0,J1335/$J$1365)</f>
        <v/>
      </c>
      <c r="L1335" s="6" t="inlineStr">
        <is>
          <t>REJECTED</t>
        </is>
      </c>
      <c r="M1335" s="8" t="n">
        <v>0</v>
      </c>
      <c r="N1335" s="7">
        <f>M1335*$J$1365-J1335</f>
        <v/>
      </c>
      <c r="O1335" s="9">
        <f>IF(G1335=0,0,N1335/G1335)</f>
        <v/>
      </c>
      <c r="P1335" s="6">
        <f>IF(M1335&gt;0,D1335,"")</f>
        <v/>
      </c>
      <c r="Q1335" s="9">
        <f>I1335+O1335</f>
        <v/>
      </c>
      <c r="R1335" s="7">
        <f>Q1335*G1335</f>
        <v/>
      </c>
      <c r="S1335" s="8">
        <f>IF($R$1365=0,0,R1335/$R$1365)</f>
        <v/>
      </c>
      <c r="T1335" s="8" t="n">
        <v>0</v>
      </c>
      <c r="U1335" s="8" t="n">
        <v>0.0506492420508553</v>
      </c>
      <c r="V1335" s="6" t="inlineStr">
        <is>
          <t>not selected</t>
        </is>
      </c>
    </row>
    <row r="1336">
      <c r="A1336" s="6" t="inlineStr">
        <is>
          <t>DJ30</t>
        </is>
      </c>
      <c r="B1336" s="6" t="inlineStr">
        <is>
          <t>2023-11-03</t>
        </is>
      </c>
      <c r="C1336" s="6" t="inlineStr">
        <is>
          <t>DIA</t>
        </is>
      </c>
      <c r="D1336" s="6" t="inlineStr">
        <is>
          <t>AMGN</t>
        </is>
      </c>
      <c r="E1336" s="6" t="inlineStr">
        <is>
          <t>AMGN</t>
        </is>
      </c>
      <c r="F1336" s="6" t="inlineStr">
        <is>
          <t>-</t>
        </is>
      </c>
      <c r="G1336" s="7" t="n">
        <v>248.1027221679688</v>
      </c>
      <c r="H1336" s="6">
        <f>P1305</f>
        <v/>
      </c>
      <c r="I1336" s="9">
        <f>Q1305</f>
        <v/>
      </c>
      <c r="J1336" s="7">
        <f>I1336*G1336</f>
        <v/>
      </c>
      <c r="K1336" s="8">
        <f>IF($J$1365=0,0,J1336/$J$1365)</f>
        <v/>
      </c>
      <c r="L1336" s="6" t="inlineStr">
        <is>
          <t>REJECTED</t>
        </is>
      </c>
      <c r="M1336" s="8" t="n">
        <v>0</v>
      </c>
      <c r="N1336" s="7">
        <f>M1336*$J$1365-J1336</f>
        <v/>
      </c>
      <c r="O1336" s="9">
        <f>IF(G1336=0,0,N1336/G1336)</f>
        <v/>
      </c>
      <c r="P1336" s="6">
        <f>IF(M1336&gt;0,D1336,"")</f>
        <v/>
      </c>
      <c r="Q1336" s="9">
        <f>I1336+O1336</f>
        <v/>
      </c>
      <c r="R1336" s="7">
        <f>Q1336*G1336</f>
        <v/>
      </c>
      <c r="S1336" s="8">
        <f>IF($R$1365=0,0,R1336/$R$1365)</f>
        <v/>
      </c>
      <c r="T1336" s="8" t="n">
        <v>0</v>
      </c>
      <c r="U1336" s="8" t="n">
        <v>0.0506492420508553</v>
      </c>
      <c r="V1336" s="6" t="inlineStr">
        <is>
          <t>not selected</t>
        </is>
      </c>
    </row>
    <row r="1337">
      <c r="A1337" s="6" t="inlineStr">
        <is>
          <t>DJ30</t>
        </is>
      </c>
      <c r="B1337" s="6" t="inlineStr">
        <is>
          <t>2023-11-03</t>
        </is>
      </c>
      <c r="C1337" s="6" t="inlineStr">
        <is>
          <t>DIA</t>
        </is>
      </c>
      <c r="D1337" s="6" t="inlineStr">
        <is>
          <t>AMZN</t>
        </is>
      </c>
      <c r="E1337" s="6" t="inlineStr">
        <is>
          <t>AMZN</t>
        </is>
      </c>
      <c r="F1337" s="6" t="inlineStr">
        <is>
          <t>-</t>
        </is>
      </c>
      <c r="G1337" s="7" t="n">
        <v>138.6000061035156</v>
      </c>
      <c r="H1337" s="6">
        <f>P1306</f>
        <v/>
      </c>
      <c r="I1337" s="9">
        <f>Q1306</f>
        <v/>
      </c>
      <c r="J1337" s="7">
        <f>I1337*G1337</f>
        <v/>
      </c>
      <c r="K1337" s="8">
        <f>IF($J$1365=0,0,J1337/$J$1365)</f>
        <v/>
      </c>
      <c r="L1337" s="6" t="inlineStr">
        <is>
          <t>REJECTED</t>
        </is>
      </c>
      <c r="M1337" s="8" t="n">
        <v>0</v>
      </c>
      <c r="N1337" s="7">
        <f>M1337*$J$1365-J1337</f>
        <v/>
      </c>
      <c r="O1337" s="9">
        <f>IF(G1337=0,0,N1337/G1337)</f>
        <v/>
      </c>
      <c r="P1337" s="6">
        <f>IF(M1337&gt;0,D1337,"")</f>
        <v/>
      </c>
      <c r="Q1337" s="9">
        <f>I1337+O1337</f>
        <v/>
      </c>
      <c r="R1337" s="7">
        <f>Q1337*G1337</f>
        <v/>
      </c>
      <c r="S1337" s="8">
        <f>IF($R$1365=0,0,R1337/$R$1365)</f>
        <v/>
      </c>
      <c r="T1337" s="8" t="n">
        <v>0</v>
      </c>
      <c r="U1337" s="8" t="n">
        <v>0.0506492420508553</v>
      </c>
      <c r="V1337" s="6" t="inlineStr">
        <is>
          <t>not selected</t>
        </is>
      </c>
    </row>
    <row r="1338">
      <c r="A1338" s="6" t="inlineStr">
        <is>
          <t>DJ30</t>
        </is>
      </c>
      <c r="B1338" s="6" t="inlineStr">
        <is>
          <t>2023-11-03</t>
        </is>
      </c>
      <c r="C1338" s="6" t="inlineStr">
        <is>
          <t>DIA</t>
        </is>
      </c>
      <c r="D1338" s="6" t="inlineStr">
        <is>
          <t>AXP</t>
        </is>
      </c>
      <c r="E1338" s="6" t="inlineStr">
        <is>
          <t>AXP</t>
        </is>
      </c>
      <c r="F1338" s="6" t="inlineStr">
        <is>
          <t>-</t>
        </is>
      </c>
      <c r="G1338" s="7" t="n">
        <v>148.5430908203125</v>
      </c>
      <c r="H1338" s="6">
        <f>P1307</f>
        <v/>
      </c>
      <c r="I1338" s="9">
        <f>Q1307</f>
        <v/>
      </c>
      <c r="J1338" s="7">
        <f>I1338*G1338</f>
        <v/>
      </c>
      <c r="K1338" s="8">
        <f>IF($J$1365=0,0,J1338/$J$1365)</f>
        <v/>
      </c>
      <c r="L1338" s="6" t="inlineStr">
        <is>
          <t>REJECTED</t>
        </is>
      </c>
      <c r="M1338" s="8" t="n">
        <v>0</v>
      </c>
      <c r="N1338" s="7">
        <f>M1338*$J$1365-J1338</f>
        <v/>
      </c>
      <c r="O1338" s="9">
        <f>IF(G1338=0,0,N1338/G1338)</f>
        <v/>
      </c>
      <c r="P1338" s="6">
        <f>IF(M1338&gt;0,D1338,"")</f>
        <v/>
      </c>
      <c r="Q1338" s="9">
        <f>I1338+O1338</f>
        <v/>
      </c>
      <c r="R1338" s="7">
        <f>Q1338*G1338</f>
        <v/>
      </c>
      <c r="S1338" s="8">
        <f>IF($R$1365=0,0,R1338/$R$1365)</f>
        <v/>
      </c>
      <c r="T1338" s="8" t="n">
        <v>0</v>
      </c>
      <c r="U1338" s="8" t="n">
        <v>0.0506492420508553</v>
      </c>
      <c r="V1338" s="6" t="inlineStr">
        <is>
          <t>not selected</t>
        </is>
      </c>
    </row>
    <row r="1339">
      <c r="A1339" s="6" t="inlineStr">
        <is>
          <t>DJ30</t>
        </is>
      </c>
      <c r="B1339" s="6" t="inlineStr">
        <is>
          <t>2023-11-03</t>
        </is>
      </c>
      <c r="C1339" s="6" t="inlineStr">
        <is>
          <t>DIA</t>
        </is>
      </c>
      <c r="D1339" s="6" t="inlineStr">
        <is>
          <t>BA</t>
        </is>
      </c>
      <c r="E1339" s="6" t="inlineStr">
        <is>
          <t>BA</t>
        </is>
      </c>
      <c r="F1339" s="6" t="inlineStr">
        <is>
          <t>-</t>
        </is>
      </c>
      <c r="G1339" s="7" t="n">
        <v>195.0500030517578</v>
      </c>
      <c r="H1339" s="6">
        <f>P1308</f>
        <v/>
      </c>
      <c r="I1339" s="9">
        <f>Q1308</f>
        <v/>
      </c>
      <c r="J1339" s="7">
        <f>I1339*G1339</f>
        <v/>
      </c>
      <c r="K1339" s="8">
        <f>IF($J$1365=0,0,J1339/$J$1365)</f>
        <v/>
      </c>
      <c r="L1339" s="6" t="inlineStr">
        <is>
          <t>REJECTED</t>
        </is>
      </c>
      <c r="M1339" s="8" t="n">
        <v>0</v>
      </c>
      <c r="N1339" s="7">
        <f>M1339*$J$1365-J1339</f>
        <v/>
      </c>
      <c r="O1339" s="9">
        <f>IF(G1339=0,0,N1339/G1339)</f>
        <v/>
      </c>
      <c r="P1339" s="6">
        <f>IF(M1339&gt;0,D1339,"")</f>
        <v/>
      </c>
      <c r="Q1339" s="9">
        <f>I1339+O1339</f>
        <v/>
      </c>
      <c r="R1339" s="7">
        <f>Q1339*G1339</f>
        <v/>
      </c>
      <c r="S1339" s="8">
        <f>IF($R$1365=0,0,R1339/$R$1365)</f>
        <v/>
      </c>
      <c r="T1339" s="8" t="n">
        <v>0</v>
      </c>
      <c r="U1339" s="8" t="n">
        <v>0.0506492420508553</v>
      </c>
      <c r="V1339" s="6" t="inlineStr">
        <is>
          <t>not selected</t>
        </is>
      </c>
    </row>
    <row r="1340">
      <c r="A1340" s="6" t="inlineStr">
        <is>
          <t>DJ30</t>
        </is>
      </c>
      <c r="B1340" s="6" t="inlineStr">
        <is>
          <t>2023-11-03</t>
        </is>
      </c>
      <c r="C1340" s="6" t="inlineStr">
        <is>
          <t>DIA</t>
        </is>
      </c>
      <c r="D1340" s="6" t="inlineStr">
        <is>
          <t>CAT</t>
        </is>
      </c>
      <c r="E1340" s="6" t="inlineStr">
        <is>
          <t>CAT</t>
        </is>
      </c>
      <c r="F1340" s="6" t="inlineStr">
        <is>
          <t>-</t>
        </is>
      </c>
      <c r="G1340" s="7" t="n">
        <v>232.437255859375</v>
      </c>
      <c r="H1340" s="6">
        <f>P1309</f>
        <v/>
      </c>
      <c r="I1340" s="9">
        <f>Q1309</f>
        <v/>
      </c>
      <c r="J1340" s="7">
        <f>I1340*G1340</f>
        <v/>
      </c>
      <c r="K1340" s="8">
        <f>IF($J$1365=0,0,J1340/$J$1365)</f>
        <v/>
      </c>
      <c r="L1340" s="6" t="inlineStr">
        <is>
          <t>REJECTED</t>
        </is>
      </c>
      <c r="M1340" s="8" t="n">
        <v>0</v>
      </c>
      <c r="N1340" s="7">
        <f>M1340*$J$1365-J1340</f>
        <v/>
      </c>
      <c r="O1340" s="9">
        <f>IF(G1340=0,0,N1340/G1340)</f>
        <v/>
      </c>
      <c r="P1340" s="6">
        <f>IF(M1340&gt;0,D1340,"")</f>
        <v/>
      </c>
      <c r="Q1340" s="9">
        <f>I1340+O1340</f>
        <v/>
      </c>
      <c r="R1340" s="7">
        <f>Q1340*G1340</f>
        <v/>
      </c>
      <c r="S1340" s="8">
        <f>IF($R$1365=0,0,R1340/$R$1365)</f>
        <v/>
      </c>
      <c r="T1340" s="8" t="n">
        <v>0</v>
      </c>
      <c r="U1340" s="8" t="n">
        <v>0.0506492420508553</v>
      </c>
      <c r="V1340" s="6" t="inlineStr">
        <is>
          <t>not selected</t>
        </is>
      </c>
    </row>
    <row r="1341">
      <c r="A1341" s="6" t="inlineStr">
        <is>
          <t>DJ30</t>
        </is>
      </c>
      <c r="B1341" s="6" t="inlineStr">
        <is>
          <t>2023-11-03</t>
        </is>
      </c>
      <c r="C1341" s="6" t="inlineStr">
        <is>
          <t>DIA</t>
        </is>
      </c>
      <c r="D1341" s="6" t="inlineStr">
        <is>
          <t>CRM</t>
        </is>
      </c>
      <c r="E1341" s="6" t="inlineStr">
        <is>
          <t>CRM</t>
        </is>
      </c>
      <c r="F1341" s="6" t="inlineStr">
        <is>
          <t>-</t>
        </is>
      </c>
      <c r="G1341" s="7" t="n">
        <v>203.9417114257812</v>
      </c>
      <c r="H1341" s="6">
        <f>P1310</f>
        <v/>
      </c>
      <c r="I1341" s="9">
        <f>Q1310</f>
        <v/>
      </c>
      <c r="J1341" s="7">
        <f>I1341*G1341</f>
        <v/>
      </c>
      <c r="K1341" s="8">
        <f>IF($J$1365=0,0,J1341/$J$1365)</f>
        <v/>
      </c>
      <c r="L1341" s="6" t="inlineStr">
        <is>
          <t>REJECTED</t>
        </is>
      </c>
      <c r="M1341" s="8" t="n">
        <v>0</v>
      </c>
      <c r="N1341" s="7">
        <f>M1341*$J$1365-J1341</f>
        <v/>
      </c>
      <c r="O1341" s="9">
        <f>IF(G1341=0,0,N1341/G1341)</f>
        <v/>
      </c>
      <c r="P1341" s="6">
        <f>IF(M1341&gt;0,D1341,"")</f>
        <v/>
      </c>
      <c r="Q1341" s="9">
        <f>I1341+O1341</f>
        <v/>
      </c>
      <c r="R1341" s="7">
        <f>Q1341*G1341</f>
        <v/>
      </c>
      <c r="S1341" s="8">
        <f>IF($R$1365=0,0,R1341/$R$1365)</f>
        <v/>
      </c>
      <c r="T1341" s="8" t="n">
        <v>0</v>
      </c>
      <c r="U1341" s="8" t="n">
        <v>0.0506492420508553</v>
      </c>
      <c r="V1341" s="6" t="inlineStr">
        <is>
          <t>not selected</t>
        </is>
      </c>
    </row>
    <row r="1342">
      <c r="A1342" s="6" t="inlineStr">
        <is>
          <t>DJ30</t>
        </is>
      </c>
      <c r="B1342" s="6" t="inlineStr">
        <is>
          <t>2023-11-03</t>
        </is>
      </c>
      <c r="C1342" s="6" t="inlineStr">
        <is>
          <t>DIA</t>
        </is>
      </c>
      <c r="D1342" s="6" t="inlineStr">
        <is>
          <t>CSCO</t>
        </is>
      </c>
      <c r="E1342" s="6" t="inlineStr">
        <is>
          <t>CSCO</t>
        </is>
      </c>
      <c r="F1342" s="6" t="inlineStr">
        <is>
          <t>-</t>
        </is>
      </c>
      <c r="G1342" s="7" t="n">
        <v>49.51356506347656</v>
      </c>
      <c r="H1342" s="6">
        <f>P1311</f>
        <v/>
      </c>
      <c r="I1342" s="9">
        <f>Q1311</f>
        <v/>
      </c>
      <c r="J1342" s="7">
        <f>I1342*G1342</f>
        <v/>
      </c>
      <c r="K1342" s="8">
        <f>IF($J$1365=0,0,J1342/$J$1365)</f>
        <v/>
      </c>
      <c r="L1342" s="6" t="inlineStr">
        <is>
          <t>REJECTED</t>
        </is>
      </c>
      <c r="M1342" s="8" t="n">
        <v>0</v>
      </c>
      <c r="N1342" s="7">
        <f>M1342*$J$1365-J1342</f>
        <v/>
      </c>
      <c r="O1342" s="9">
        <f>IF(G1342=0,0,N1342/G1342)</f>
        <v/>
      </c>
      <c r="P1342" s="6">
        <f>IF(M1342&gt;0,D1342,"")</f>
        <v/>
      </c>
      <c r="Q1342" s="9">
        <f>I1342+O1342</f>
        <v/>
      </c>
      <c r="R1342" s="7">
        <f>Q1342*G1342</f>
        <v/>
      </c>
      <c r="S1342" s="8">
        <f>IF($R$1365=0,0,R1342/$R$1365)</f>
        <v/>
      </c>
      <c r="T1342" s="8" t="n">
        <v>0</v>
      </c>
      <c r="U1342" s="8" t="n">
        <v>0.0506492420508553</v>
      </c>
      <c r="V1342" s="6" t="inlineStr">
        <is>
          <t>not selected</t>
        </is>
      </c>
    </row>
    <row r="1343">
      <c r="A1343" s="6" t="inlineStr">
        <is>
          <t>DJ30</t>
        </is>
      </c>
      <c r="B1343" s="6" t="inlineStr">
        <is>
          <t>2023-11-03</t>
        </is>
      </c>
      <c r="C1343" s="6" t="inlineStr">
        <is>
          <t>DIA</t>
        </is>
      </c>
      <c r="D1343" s="6" t="inlineStr">
        <is>
          <t>CVX</t>
        </is>
      </c>
      <c r="E1343" s="6" t="inlineStr">
        <is>
          <t>CVX</t>
        </is>
      </c>
      <c r="F1343" s="6" t="inlineStr">
        <is>
          <t>-</t>
        </is>
      </c>
      <c r="G1343" s="7" t="n">
        <v>131.3413848876953</v>
      </c>
      <c r="H1343" s="6">
        <f>P1312</f>
        <v/>
      </c>
      <c r="I1343" s="9">
        <f>Q1312</f>
        <v/>
      </c>
      <c r="J1343" s="7">
        <f>I1343*G1343</f>
        <v/>
      </c>
      <c r="K1343" s="8">
        <f>IF($J$1365=0,0,J1343/$J$1365)</f>
        <v/>
      </c>
      <c r="L1343" s="6" t="inlineStr">
        <is>
          <t>REJECTED</t>
        </is>
      </c>
      <c r="M1343" s="8" t="n">
        <v>0</v>
      </c>
      <c r="N1343" s="7">
        <f>M1343*$J$1365-J1343</f>
        <v/>
      </c>
      <c r="O1343" s="9">
        <f>IF(G1343=0,0,N1343/G1343)</f>
        <v/>
      </c>
      <c r="P1343" s="6">
        <f>IF(M1343&gt;0,D1343,"")</f>
        <v/>
      </c>
      <c r="Q1343" s="9">
        <f>I1343+O1343</f>
        <v/>
      </c>
      <c r="R1343" s="7">
        <f>Q1343*G1343</f>
        <v/>
      </c>
      <c r="S1343" s="8">
        <f>IF($R$1365=0,0,R1343/$R$1365)</f>
        <v/>
      </c>
      <c r="T1343" s="8" t="n">
        <v>0</v>
      </c>
      <c r="U1343" s="8" t="n">
        <v>0.0506492420508553</v>
      </c>
      <c r="V1343" s="6" t="inlineStr">
        <is>
          <t>not selected</t>
        </is>
      </c>
    </row>
    <row r="1344">
      <c r="A1344" s="6" t="inlineStr">
        <is>
          <t>DJ30</t>
        </is>
      </c>
      <c r="B1344" s="6" t="inlineStr">
        <is>
          <t>2023-11-03</t>
        </is>
      </c>
      <c r="C1344" s="6" t="inlineStr">
        <is>
          <t>DIA</t>
        </is>
      </c>
      <c r="D1344" s="6" t="inlineStr">
        <is>
          <t>DIS</t>
        </is>
      </c>
      <c r="E1344" s="6" t="inlineStr">
        <is>
          <t>DIS</t>
        </is>
      </c>
      <c r="F1344" s="6" t="inlineStr">
        <is>
          <t>-</t>
        </is>
      </c>
      <c r="G1344" s="7" t="n">
        <v>83.11274719238281</v>
      </c>
      <c r="H1344" s="6">
        <f>P1313</f>
        <v/>
      </c>
      <c r="I1344" s="9">
        <f>Q1313</f>
        <v/>
      </c>
      <c r="J1344" s="7">
        <f>I1344*G1344</f>
        <v/>
      </c>
      <c r="K1344" s="8">
        <f>IF($J$1365=0,0,J1344/$J$1365)</f>
        <v/>
      </c>
      <c r="L1344" s="6" t="inlineStr">
        <is>
          <t>REJECTED</t>
        </is>
      </c>
      <c r="M1344" s="8" t="n">
        <v>0</v>
      </c>
      <c r="N1344" s="7">
        <f>M1344*$J$1365-J1344</f>
        <v/>
      </c>
      <c r="O1344" s="9">
        <f>IF(G1344=0,0,N1344/G1344)</f>
        <v/>
      </c>
      <c r="P1344" s="6">
        <f>IF(M1344&gt;0,D1344,"")</f>
        <v/>
      </c>
      <c r="Q1344" s="9">
        <f>I1344+O1344</f>
        <v/>
      </c>
      <c r="R1344" s="7">
        <f>Q1344*G1344</f>
        <v/>
      </c>
      <c r="S1344" s="8">
        <f>IF($R$1365=0,0,R1344/$R$1365)</f>
        <v/>
      </c>
      <c r="T1344" s="8" t="n">
        <v>0</v>
      </c>
      <c r="U1344" s="8" t="n">
        <v>0.0506492420508553</v>
      </c>
      <c r="V1344" s="6" t="inlineStr">
        <is>
          <t>not selected</t>
        </is>
      </c>
    </row>
    <row r="1345">
      <c r="A1345" s="6" t="inlineStr">
        <is>
          <t>DJ30</t>
        </is>
      </c>
      <c r="B1345" s="6" t="inlineStr">
        <is>
          <t>2023-11-03</t>
        </is>
      </c>
      <c r="C1345" s="6" t="inlineStr">
        <is>
          <t>DIA</t>
        </is>
      </c>
      <c r="D1345" s="6" t="inlineStr">
        <is>
          <t>GS</t>
        </is>
      </c>
      <c r="E1345" s="6" t="inlineStr">
        <is>
          <t>GS</t>
        </is>
      </c>
      <c r="F1345" s="6" t="inlineStr">
        <is>
          <t>-</t>
        </is>
      </c>
      <c r="G1345" s="7" t="n">
        <v>307.93603515625</v>
      </c>
      <c r="H1345" s="6">
        <f>P1314</f>
        <v/>
      </c>
      <c r="I1345" s="9">
        <f>Q1314</f>
        <v/>
      </c>
      <c r="J1345" s="7">
        <f>I1345*G1345</f>
        <v/>
      </c>
      <c r="K1345" s="8">
        <f>IF($J$1365=0,0,J1345/$J$1365)</f>
        <v/>
      </c>
      <c r="L1345" s="6" t="inlineStr">
        <is>
          <t>REJECTED</t>
        </is>
      </c>
      <c r="M1345" s="8" t="n">
        <v>0</v>
      </c>
      <c r="N1345" s="7">
        <f>M1345*$J$1365-J1345</f>
        <v/>
      </c>
      <c r="O1345" s="9">
        <f>IF(G1345=0,0,N1345/G1345)</f>
        <v/>
      </c>
      <c r="P1345" s="6">
        <f>IF(M1345&gt;0,D1345,"")</f>
        <v/>
      </c>
      <c r="Q1345" s="9">
        <f>I1345+O1345</f>
        <v/>
      </c>
      <c r="R1345" s="7">
        <f>Q1345*G1345</f>
        <v/>
      </c>
      <c r="S1345" s="8">
        <f>IF($R$1365=0,0,R1345/$R$1365)</f>
        <v/>
      </c>
      <c r="T1345" s="8" t="n">
        <v>0</v>
      </c>
      <c r="U1345" s="8" t="n">
        <v>0.0506492420508553</v>
      </c>
      <c r="V1345" s="6" t="inlineStr">
        <is>
          <t>not selected</t>
        </is>
      </c>
    </row>
    <row r="1346">
      <c r="A1346" s="6" t="inlineStr">
        <is>
          <t>DJ30</t>
        </is>
      </c>
      <c r="B1346" s="6" t="inlineStr">
        <is>
          <t>2023-11-03</t>
        </is>
      </c>
      <c r="C1346" s="6" t="inlineStr">
        <is>
          <t>DIA</t>
        </is>
      </c>
      <c r="D1346" s="6" t="inlineStr">
        <is>
          <t>HD</t>
        </is>
      </c>
      <c r="E1346" s="6" t="inlineStr">
        <is>
          <t>HD</t>
        </is>
      </c>
      <c r="F1346" s="6" t="inlineStr">
        <is>
          <t>-</t>
        </is>
      </c>
      <c r="G1346" s="7" t="n">
        <v>275.720703125</v>
      </c>
      <c r="H1346" s="6">
        <f>P1315</f>
        <v/>
      </c>
      <c r="I1346" s="9">
        <f>Q1315</f>
        <v/>
      </c>
      <c r="J1346" s="7">
        <f>I1346*G1346</f>
        <v/>
      </c>
      <c r="K1346" s="8">
        <f>IF($J$1365=0,0,J1346/$J$1365)</f>
        <v/>
      </c>
      <c r="L1346" s="6" t="inlineStr">
        <is>
          <t>REJECTED</t>
        </is>
      </c>
      <c r="M1346" s="8" t="n">
        <v>0</v>
      </c>
      <c r="N1346" s="7">
        <f>M1346*$J$1365-J1346</f>
        <v/>
      </c>
      <c r="O1346" s="9">
        <f>IF(G1346=0,0,N1346/G1346)</f>
        <v/>
      </c>
      <c r="P1346" s="6">
        <f>IF(M1346&gt;0,D1346,"")</f>
        <v/>
      </c>
      <c r="Q1346" s="9">
        <f>I1346+O1346</f>
        <v/>
      </c>
      <c r="R1346" s="7">
        <f>Q1346*G1346</f>
        <v/>
      </c>
      <c r="S1346" s="8">
        <f>IF($R$1365=0,0,R1346/$R$1365)</f>
        <v/>
      </c>
      <c r="T1346" s="8" t="n">
        <v>0</v>
      </c>
      <c r="U1346" s="8" t="n">
        <v>0.0506492420508553</v>
      </c>
      <c r="V1346" s="6" t="inlineStr">
        <is>
          <t>not selected</t>
        </is>
      </c>
    </row>
    <row r="1347">
      <c r="A1347" s="6" t="inlineStr">
        <is>
          <t>DJ30</t>
        </is>
      </c>
      <c r="B1347" s="6" t="inlineStr">
        <is>
          <t>2023-11-03</t>
        </is>
      </c>
      <c r="C1347" s="6" t="inlineStr">
        <is>
          <t>DIA</t>
        </is>
      </c>
      <c r="D1347" s="6" t="inlineStr">
        <is>
          <t>HON</t>
        </is>
      </c>
      <c r="E1347" s="6" t="inlineStr">
        <is>
          <t>HON</t>
        </is>
      </c>
      <c r="F1347" s="6" t="inlineStr">
        <is>
          <t>-</t>
        </is>
      </c>
      <c r="G1347" s="7" t="n">
        <v>167.9144134521484</v>
      </c>
      <c r="H1347" s="6">
        <f>P1316</f>
        <v/>
      </c>
      <c r="I1347" s="9">
        <f>Q1316</f>
        <v/>
      </c>
      <c r="J1347" s="7">
        <f>I1347*G1347</f>
        <v/>
      </c>
      <c r="K1347" s="8">
        <f>IF($J$1365=0,0,J1347/$J$1365)</f>
        <v/>
      </c>
      <c r="L1347" s="6" t="inlineStr">
        <is>
          <t>REJECTED</t>
        </is>
      </c>
      <c r="M1347" s="8" t="n">
        <v>0</v>
      </c>
      <c r="N1347" s="7">
        <f>M1347*$J$1365-J1347</f>
        <v/>
      </c>
      <c r="O1347" s="9">
        <f>IF(G1347=0,0,N1347/G1347)</f>
        <v/>
      </c>
      <c r="P1347" s="6">
        <f>IF(M1347&gt;0,D1347,"")</f>
        <v/>
      </c>
      <c r="Q1347" s="9">
        <f>I1347+O1347</f>
        <v/>
      </c>
      <c r="R1347" s="7">
        <f>Q1347*G1347</f>
        <v/>
      </c>
      <c r="S1347" s="8">
        <f>IF($R$1365=0,0,R1347/$R$1365)</f>
        <v/>
      </c>
      <c r="T1347" s="8" t="n">
        <v>0</v>
      </c>
      <c r="U1347" s="8" t="n">
        <v>0.0506492420508553</v>
      </c>
      <c r="V1347" s="6" t="inlineStr">
        <is>
          <t>not selected</t>
        </is>
      </c>
    </row>
    <row r="1348">
      <c r="A1348" s="6" t="inlineStr">
        <is>
          <t>DJ30</t>
        </is>
      </c>
      <c r="B1348" s="6" t="inlineStr">
        <is>
          <t>2023-11-03</t>
        </is>
      </c>
      <c r="C1348" s="6" t="inlineStr">
        <is>
          <t>DIA</t>
        </is>
      </c>
      <c r="D1348" s="6" t="inlineStr">
        <is>
          <t>IBM</t>
        </is>
      </c>
      <c r="E1348" s="6" t="inlineStr">
        <is>
          <t>IBM</t>
        </is>
      </c>
      <c r="F1348" s="6" t="inlineStr">
        <is>
          <t>-</t>
        </is>
      </c>
      <c r="G1348" s="7" t="n">
        <v>135.8049011230469</v>
      </c>
      <c r="H1348" s="6">
        <f>P1317</f>
        <v/>
      </c>
      <c r="I1348" s="9">
        <f>Q1317</f>
        <v/>
      </c>
      <c r="J1348" s="7">
        <f>I1348*G1348</f>
        <v/>
      </c>
      <c r="K1348" s="8">
        <f>IF($J$1365=0,0,J1348/$J$1365)</f>
        <v/>
      </c>
      <c r="L1348" s="6" t="inlineStr">
        <is>
          <t>REJECTED</t>
        </is>
      </c>
      <c r="M1348" s="8" t="n">
        <v>0</v>
      </c>
      <c r="N1348" s="7">
        <f>M1348*$J$1365-J1348</f>
        <v/>
      </c>
      <c r="O1348" s="9">
        <f>IF(G1348=0,0,N1348/G1348)</f>
        <v/>
      </c>
      <c r="P1348" s="6">
        <f>IF(M1348&gt;0,D1348,"")</f>
        <v/>
      </c>
      <c r="Q1348" s="9">
        <f>I1348+O1348</f>
        <v/>
      </c>
      <c r="R1348" s="7">
        <f>Q1348*G1348</f>
        <v/>
      </c>
      <c r="S1348" s="8">
        <f>IF($R$1365=0,0,R1348/$R$1365)</f>
        <v/>
      </c>
      <c r="T1348" s="8" t="n">
        <v>0</v>
      </c>
      <c r="U1348" s="8" t="n">
        <v>0.0506492420508553</v>
      </c>
      <c r="V1348" s="6" t="inlineStr">
        <is>
          <t>not selected</t>
        </is>
      </c>
    </row>
    <row r="1349">
      <c r="A1349" s="6" t="inlineStr">
        <is>
          <t>DJ30</t>
        </is>
      </c>
      <c r="B1349" s="6" t="inlineStr">
        <is>
          <t>2023-11-03</t>
        </is>
      </c>
      <c r="C1349" s="6" t="inlineStr">
        <is>
          <t>DIA</t>
        </is>
      </c>
      <c r="D1349" s="6" t="inlineStr">
        <is>
          <t>JNJ</t>
        </is>
      </c>
      <c r="E1349" s="6" t="inlineStr">
        <is>
          <t>JNJ</t>
        </is>
      </c>
      <c r="F1349" s="6" t="inlineStr">
        <is>
          <t>-</t>
        </is>
      </c>
      <c r="G1349" s="7" t="n">
        <v>139.6579437255859</v>
      </c>
      <c r="H1349" s="6">
        <f>P1318</f>
        <v/>
      </c>
      <c r="I1349" s="9">
        <f>Q1318</f>
        <v/>
      </c>
      <c r="J1349" s="7">
        <f>I1349*G1349</f>
        <v/>
      </c>
      <c r="K1349" s="8">
        <f>IF($J$1365=0,0,J1349/$J$1365)</f>
        <v/>
      </c>
      <c r="L1349" s="6" t="inlineStr">
        <is>
          <t>REJECTED</t>
        </is>
      </c>
      <c r="M1349" s="8" t="n">
        <v>0</v>
      </c>
      <c r="N1349" s="7">
        <f>M1349*$J$1365-J1349</f>
        <v/>
      </c>
      <c r="O1349" s="9">
        <f>IF(G1349=0,0,N1349/G1349)</f>
        <v/>
      </c>
      <c r="P1349" s="6">
        <f>IF(M1349&gt;0,D1349,"")</f>
        <v/>
      </c>
      <c r="Q1349" s="9">
        <f>I1349+O1349</f>
        <v/>
      </c>
      <c r="R1349" s="7">
        <f>Q1349*G1349</f>
        <v/>
      </c>
      <c r="S1349" s="8">
        <f>IF($R$1365=0,0,R1349/$R$1365)</f>
        <v/>
      </c>
      <c r="T1349" s="8" t="n">
        <v>0</v>
      </c>
      <c r="U1349" s="8" t="n">
        <v>0.0506492420508553</v>
      </c>
      <c r="V1349" s="6" t="inlineStr">
        <is>
          <t>not selected</t>
        </is>
      </c>
    </row>
    <row r="1350">
      <c r="A1350" s="6" t="inlineStr">
        <is>
          <t>DJ30</t>
        </is>
      </c>
      <c r="B1350" s="6" t="inlineStr">
        <is>
          <t>2023-11-03</t>
        </is>
      </c>
      <c r="C1350" s="6" t="inlineStr">
        <is>
          <t>DIA</t>
        </is>
      </c>
      <c r="D1350" s="6" t="inlineStr">
        <is>
          <t>JPM</t>
        </is>
      </c>
      <c r="E1350" s="6" t="inlineStr">
        <is>
          <t>JPM</t>
        </is>
      </c>
      <c r="F1350" s="6" t="inlineStr">
        <is>
          <t>-</t>
        </is>
      </c>
      <c r="G1350" s="7" t="n">
        <v>135.4622039794922</v>
      </c>
      <c r="H1350" s="6">
        <f>P1319</f>
        <v/>
      </c>
      <c r="I1350" s="9">
        <f>Q1319</f>
        <v/>
      </c>
      <c r="J1350" s="7">
        <f>I1350*G1350</f>
        <v/>
      </c>
      <c r="K1350" s="8">
        <f>IF($J$1365=0,0,J1350/$J$1365)</f>
        <v/>
      </c>
      <c r="L1350" s="6" t="inlineStr">
        <is>
          <t>REJECTED</t>
        </is>
      </c>
      <c r="M1350" s="8" t="n">
        <v>0</v>
      </c>
      <c r="N1350" s="7">
        <f>M1350*$J$1365-J1350</f>
        <v/>
      </c>
      <c r="O1350" s="9">
        <f>IF(G1350=0,0,N1350/G1350)</f>
        <v/>
      </c>
      <c r="P1350" s="6">
        <f>IF(M1350&gt;0,D1350,"")</f>
        <v/>
      </c>
      <c r="Q1350" s="9">
        <f>I1350+O1350</f>
        <v/>
      </c>
      <c r="R1350" s="7">
        <f>Q1350*G1350</f>
        <v/>
      </c>
      <c r="S1350" s="8">
        <f>IF($R$1365=0,0,R1350/$R$1365)</f>
        <v/>
      </c>
      <c r="T1350" s="8" t="n">
        <v>0</v>
      </c>
      <c r="U1350" s="8" t="n">
        <v>0.0506492420508553</v>
      </c>
      <c r="V1350" s="6" t="inlineStr">
        <is>
          <t>not selected</t>
        </is>
      </c>
    </row>
    <row r="1351">
      <c r="A1351" s="6" t="inlineStr">
        <is>
          <t>DJ30</t>
        </is>
      </c>
      <c r="B1351" s="6" t="inlineStr">
        <is>
          <t>2023-11-03</t>
        </is>
      </c>
      <c r="C1351" s="6" t="inlineStr">
        <is>
          <t>DIA</t>
        </is>
      </c>
      <c r="D1351" s="6" t="inlineStr">
        <is>
          <t>KO</t>
        </is>
      </c>
      <c r="E1351" s="6" t="inlineStr">
        <is>
          <t>KO</t>
        </is>
      </c>
      <c r="F1351" s="6" t="inlineStr">
        <is>
          <t>-</t>
        </is>
      </c>
      <c r="G1351" s="7" t="n">
        <v>52.35772323608398</v>
      </c>
      <c r="H1351" s="6">
        <f>P1320</f>
        <v/>
      </c>
      <c r="I1351" s="9">
        <f>Q1320</f>
        <v/>
      </c>
      <c r="J1351" s="7">
        <f>I1351*G1351</f>
        <v/>
      </c>
      <c r="K1351" s="8">
        <f>IF($J$1365=0,0,J1351/$J$1365)</f>
        <v/>
      </c>
      <c r="L1351" s="6" t="inlineStr">
        <is>
          <t>REJECTED</t>
        </is>
      </c>
      <c r="M1351" s="8" t="n">
        <v>0</v>
      </c>
      <c r="N1351" s="7">
        <f>M1351*$J$1365-J1351</f>
        <v/>
      </c>
      <c r="O1351" s="9">
        <f>IF(G1351=0,0,N1351/G1351)</f>
        <v/>
      </c>
      <c r="P1351" s="6">
        <f>IF(M1351&gt;0,D1351,"")</f>
        <v/>
      </c>
      <c r="Q1351" s="9">
        <f>I1351+O1351</f>
        <v/>
      </c>
      <c r="R1351" s="7">
        <f>Q1351*G1351</f>
        <v/>
      </c>
      <c r="S1351" s="8">
        <f>IF($R$1365=0,0,R1351/$R$1365)</f>
        <v/>
      </c>
      <c r="T1351" s="8" t="n">
        <v>0</v>
      </c>
      <c r="U1351" s="8" t="n">
        <v>0.0506492420508553</v>
      </c>
      <c r="V1351" s="6" t="inlineStr">
        <is>
          <t>not selected</t>
        </is>
      </c>
    </row>
    <row r="1352">
      <c r="A1352" s="6" t="inlineStr">
        <is>
          <t>DJ30</t>
        </is>
      </c>
      <c r="B1352" s="6" t="inlineStr">
        <is>
          <t>2023-11-03</t>
        </is>
      </c>
      <c r="C1352" s="6" t="inlineStr">
        <is>
          <t>DIA</t>
        </is>
      </c>
      <c r="D1352" s="6" t="inlineStr">
        <is>
          <t>MCD</t>
        </is>
      </c>
      <c r="E1352" s="6" t="inlineStr">
        <is>
          <t>MCD</t>
        </is>
      </c>
      <c r="F1352" s="6" t="inlineStr">
        <is>
          <t>-</t>
        </is>
      </c>
      <c r="G1352" s="7" t="n">
        <v>250.9356689453125</v>
      </c>
      <c r="H1352" s="6">
        <f>P1321</f>
        <v/>
      </c>
      <c r="I1352" s="9">
        <f>Q1321</f>
        <v/>
      </c>
      <c r="J1352" s="7">
        <f>I1352*G1352</f>
        <v/>
      </c>
      <c r="K1352" s="8">
        <f>IF($J$1365=0,0,J1352/$J$1365)</f>
        <v/>
      </c>
      <c r="L1352" s="6" t="inlineStr">
        <is>
          <t>REJECTED</t>
        </is>
      </c>
      <c r="M1352" s="8" t="n">
        <v>0</v>
      </c>
      <c r="N1352" s="7">
        <f>M1352*$J$1365-J1352</f>
        <v/>
      </c>
      <c r="O1352" s="9">
        <f>IF(G1352=0,0,N1352/G1352)</f>
        <v/>
      </c>
      <c r="P1352" s="6">
        <f>IF(M1352&gt;0,D1352,"")</f>
        <v/>
      </c>
      <c r="Q1352" s="9">
        <f>I1352+O1352</f>
        <v/>
      </c>
      <c r="R1352" s="7">
        <f>Q1352*G1352</f>
        <v/>
      </c>
      <c r="S1352" s="8">
        <f>IF($R$1365=0,0,R1352/$R$1365)</f>
        <v/>
      </c>
      <c r="T1352" s="8" t="n">
        <v>0</v>
      </c>
      <c r="U1352" s="8" t="n">
        <v>0.0506492420508553</v>
      </c>
      <c r="V1352" s="6" t="inlineStr">
        <is>
          <t>not selected</t>
        </is>
      </c>
    </row>
    <row r="1353">
      <c r="A1353" s="6" t="inlineStr">
        <is>
          <t>DJ30</t>
        </is>
      </c>
      <c r="B1353" s="6" t="inlineStr">
        <is>
          <t>2023-11-03</t>
        </is>
      </c>
      <c r="C1353" s="6" t="inlineStr">
        <is>
          <t>DIA</t>
        </is>
      </c>
      <c r="D1353" s="6" t="inlineStr">
        <is>
          <t>MMM</t>
        </is>
      </c>
      <c r="E1353" s="6" t="inlineStr">
        <is>
          <t>MMM</t>
        </is>
      </c>
      <c r="F1353" s="6" t="inlineStr">
        <is>
          <t>-</t>
        </is>
      </c>
      <c r="G1353" s="7" t="n">
        <v>72.58753967285156</v>
      </c>
      <c r="H1353" s="6">
        <f>P1322</f>
        <v/>
      </c>
      <c r="I1353" s="9">
        <f>Q1322</f>
        <v/>
      </c>
      <c r="J1353" s="7">
        <f>I1353*G1353</f>
        <v/>
      </c>
      <c r="K1353" s="8">
        <f>IF($J$1365=0,0,J1353/$J$1365)</f>
        <v/>
      </c>
      <c r="L1353" s="6" t="inlineStr">
        <is>
          <t>REJECTED</t>
        </is>
      </c>
      <c r="M1353" s="8" t="n">
        <v>0</v>
      </c>
      <c r="N1353" s="7">
        <f>M1353*$J$1365-J1353</f>
        <v/>
      </c>
      <c r="O1353" s="9">
        <f>IF(G1353=0,0,N1353/G1353)</f>
        <v/>
      </c>
      <c r="P1353" s="6">
        <f>IF(M1353&gt;0,D1353,"")</f>
        <v/>
      </c>
      <c r="Q1353" s="9">
        <f>I1353+O1353</f>
        <v/>
      </c>
      <c r="R1353" s="7">
        <f>Q1353*G1353</f>
        <v/>
      </c>
      <c r="S1353" s="8">
        <f>IF($R$1365=0,0,R1353/$R$1365)</f>
        <v/>
      </c>
      <c r="T1353" s="8" t="n">
        <v>0</v>
      </c>
      <c r="U1353" s="8" t="n">
        <v>0.0506492420508553</v>
      </c>
      <c r="V1353" s="6" t="inlineStr">
        <is>
          <t>not selected</t>
        </is>
      </c>
    </row>
    <row r="1354">
      <c r="A1354" s="6" t="inlineStr">
        <is>
          <t>DJ30</t>
        </is>
      </c>
      <c r="B1354" s="6" t="inlineStr">
        <is>
          <t>2023-11-03</t>
        </is>
      </c>
      <c r="C1354" s="6" t="inlineStr">
        <is>
          <t>DIA</t>
        </is>
      </c>
      <c r="D1354" s="6" t="inlineStr">
        <is>
          <t>MRK</t>
        </is>
      </c>
      <c r="E1354" s="6" t="inlineStr">
        <is>
          <t>MRK</t>
        </is>
      </c>
      <c r="F1354" s="6" t="inlineStr">
        <is>
          <t>-</t>
        </is>
      </c>
      <c r="G1354" s="7" t="n">
        <v>94.89948272705078</v>
      </c>
      <c r="H1354" s="6">
        <f>P1323</f>
        <v/>
      </c>
      <c r="I1354" s="9">
        <f>Q1323</f>
        <v/>
      </c>
      <c r="J1354" s="7">
        <f>I1354*G1354</f>
        <v/>
      </c>
      <c r="K1354" s="8">
        <f>IF($J$1365=0,0,J1354/$J$1365)</f>
        <v/>
      </c>
      <c r="L1354" s="6" t="inlineStr">
        <is>
          <t>REJECTED</t>
        </is>
      </c>
      <c r="M1354" s="8" t="n">
        <v>0</v>
      </c>
      <c r="N1354" s="7">
        <f>M1354*$J$1365-J1354</f>
        <v/>
      </c>
      <c r="O1354" s="9">
        <f>IF(G1354=0,0,N1354/G1354)</f>
        <v/>
      </c>
      <c r="P1354" s="6">
        <f>IF(M1354&gt;0,D1354,"")</f>
        <v/>
      </c>
      <c r="Q1354" s="9">
        <f>I1354+O1354</f>
        <v/>
      </c>
      <c r="R1354" s="7">
        <f>Q1354*G1354</f>
        <v/>
      </c>
      <c r="S1354" s="8">
        <f>IF($R$1365=0,0,R1354/$R$1365)</f>
        <v/>
      </c>
      <c r="T1354" s="8" t="n">
        <v>0</v>
      </c>
      <c r="U1354" s="8" t="n">
        <v>0.0506492420508553</v>
      </c>
      <c r="V1354" s="6" t="inlineStr">
        <is>
          <t>not selected</t>
        </is>
      </c>
    </row>
    <row r="1355">
      <c r="A1355" s="6" t="inlineStr">
        <is>
          <t>DJ30</t>
        </is>
      </c>
      <c r="B1355" s="6" t="inlineStr">
        <is>
          <t>2023-11-03</t>
        </is>
      </c>
      <c r="C1355" s="6" t="inlineStr">
        <is>
          <t>DIA</t>
        </is>
      </c>
      <c r="D1355" s="6" t="inlineStr">
        <is>
          <t>MSFT</t>
        </is>
      </c>
      <c r="E1355" s="6" t="inlineStr">
        <is>
          <t>MSFT</t>
        </is>
      </c>
      <c r="F1355" s="6" t="inlineStr">
        <is>
          <t>-</t>
        </is>
      </c>
      <c r="G1355" s="7" t="n">
        <v>345.3748779296875</v>
      </c>
      <c r="H1355" s="6">
        <f>P1324</f>
        <v/>
      </c>
      <c r="I1355" s="9">
        <f>Q1324</f>
        <v/>
      </c>
      <c r="J1355" s="7">
        <f>I1355*G1355</f>
        <v/>
      </c>
      <c r="K1355" s="8">
        <f>IF($J$1365=0,0,J1355/$J$1365)</f>
        <v/>
      </c>
      <c r="L1355" s="6" t="inlineStr">
        <is>
          <t>REJECTED</t>
        </is>
      </c>
      <c r="M1355" s="8" t="n">
        <v>0</v>
      </c>
      <c r="N1355" s="7">
        <f>M1355*$J$1365-J1355</f>
        <v/>
      </c>
      <c r="O1355" s="9">
        <f>IF(G1355=0,0,N1355/G1355)</f>
        <v/>
      </c>
      <c r="P1355" s="6">
        <f>IF(M1355&gt;0,D1355,"")</f>
        <v/>
      </c>
      <c r="Q1355" s="9">
        <f>I1355+O1355</f>
        <v/>
      </c>
      <c r="R1355" s="7">
        <f>Q1355*G1355</f>
        <v/>
      </c>
      <c r="S1355" s="8">
        <f>IF($R$1365=0,0,R1355/$R$1365)</f>
        <v/>
      </c>
      <c r="T1355" s="8" t="n">
        <v>0</v>
      </c>
      <c r="U1355" s="8" t="n">
        <v>0.0506492420508553</v>
      </c>
      <c r="V1355" s="6" t="inlineStr">
        <is>
          <t>not selected</t>
        </is>
      </c>
    </row>
    <row r="1356">
      <c r="A1356" s="6" t="inlineStr">
        <is>
          <t>DJ30</t>
        </is>
      </c>
      <c r="B1356" s="6" t="inlineStr">
        <is>
          <t>2023-11-03</t>
        </is>
      </c>
      <c r="C1356" s="6" t="inlineStr">
        <is>
          <t>DIA</t>
        </is>
      </c>
      <c r="D1356" s="6" t="inlineStr">
        <is>
          <t>NKE</t>
        </is>
      </c>
      <c r="E1356" s="6" t="inlineStr">
        <is>
          <t>NKE</t>
        </is>
      </c>
      <c r="F1356" s="6" t="inlineStr">
        <is>
          <t>-</t>
        </is>
      </c>
      <c r="G1356" s="7" t="n">
        <v>100.9148025512695</v>
      </c>
      <c r="H1356" s="6">
        <f>P1325</f>
        <v/>
      </c>
      <c r="I1356" s="9">
        <f>Q1325</f>
        <v/>
      </c>
      <c r="J1356" s="7">
        <f>I1356*G1356</f>
        <v/>
      </c>
      <c r="K1356" s="8">
        <f>IF($J$1365=0,0,J1356/$J$1365)</f>
        <v/>
      </c>
      <c r="L1356" s="6" t="inlineStr">
        <is>
          <t>REJECTED</t>
        </is>
      </c>
      <c r="M1356" s="8" t="n">
        <v>0</v>
      </c>
      <c r="N1356" s="7">
        <f>M1356*$J$1365-J1356</f>
        <v/>
      </c>
      <c r="O1356" s="9">
        <f>IF(G1356=0,0,N1356/G1356)</f>
        <v/>
      </c>
      <c r="P1356" s="6">
        <f>IF(M1356&gt;0,D1356,"")</f>
        <v/>
      </c>
      <c r="Q1356" s="9">
        <f>I1356+O1356</f>
        <v/>
      </c>
      <c r="R1356" s="7">
        <f>Q1356*G1356</f>
        <v/>
      </c>
      <c r="S1356" s="8">
        <f>IF($R$1365=0,0,R1356/$R$1365)</f>
        <v/>
      </c>
      <c r="T1356" s="8" t="n">
        <v>0</v>
      </c>
      <c r="U1356" s="8" t="n">
        <v>0.0506492420508553</v>
      </c>
      <c r="V1356" s="6" t="inlineStr">
        <is>
          <t>not selected</t>
        </is>
      </c>
    </row>
    <row r="1357">
      <c r="A1357" s="6" t="inlineStr">
        <is>
          <t>DJ30</t>
        </is>
      </c>
      <c r="B1357" s="6" t="inlineStr">
        <is>
          <t>2023-11-03</t>
        </is>
      </c>
      <c r="C1357" s="6" t="inlineStr">
        <is>
          <t>DIA</t>
        </is>
      </c>
      <c r="D1357" s="6" t="inlineStr">
        <is>
          <t>NVDA</t>
        </is>
      </c>
      <c r="E1357" s="6" t="inlineStr">
        <is>
          <t>NVDA</t>
        </is>
      </c>
      <c r="F1357" s="6" t="inlineStr">
        <is>
          <t>-</t>
        </is>
      </c>
      <c r="G1357" s="7" t="n">
        <v>44.92120361328125</v>
      </c>
      <c r="H1357" s="6">
        <f>P1326</f>
        <v/>
      </c>
      <c r="I1357" s="9">
        <f>Q1326</f>
        <v/>
      </c>
      <c r="J1357" s="7">
        <f>I1357*G1357</f>
        <v/>
      </c>
      <c r="K1357" s="8">
        <f>IF($J$1365=0,0,J1357/$J$1365)</f>
        <v/>
      </c>
      <c r="L1357" s="6" t="inlineStr">
        <is>
          <t>REJECTED</t>
        </is>
      </c>
      <c r="M1357" s="8" t="n">
        <v>0</v>
      </c>
      <c r="N1357" s="7">
        <f>M1357*$J$1365-J1357</f>
        <v/>
      </c>
      <c r="O1357" s="9">
        <f>IF(G1357=0,0,N1357/G1357)</f>
        <v/>
      </c>
      <c r="P1357" s="6">
        <f>IF(M1357&gt;0,D1357,"")</f>
        <v/>
      </c>
      <c r="Q1357" s="9">
        <f>I1357+O1357</f>
        <v/>
      </c>
      <c r="R1357" s="7">
        <f>Q1357*G1357</f>
        <v/>
      </c>
      <c r="S1357" s="8">
        <f>IF($R$1365=0,0,R1357/$R$1365)</f>
        <v/>
      </c>
      <c r="T1357" s="8" t="n">
        <v>0</v>
      </c>
      <c r="U1357" s="8" t="n">
        <v>0.0506492420508553</v>
      </c>
      <c r="V1357" s="6" t="inlineStr">
        <is>
          <t>not selected</t>
        </is>
      </c>
    </row>
    <row r="1358">
      <c r="A1358" s="6" t="inlineStr">
        <is>
          <t>DJ30</t>
        </is>
      </c>
      <c r="B1358" s="6" t="inlineStr">
        <is>
          <t>2023-11-03</t>
        </is>
      </c>
      <c r="C1358" s="6" t="inlineStr">
        <is>
          <t>DIA</t>
        </is>
      </c>
      <c r="D1358" s="6" t="inlineStr">
        <is>
          <t>PG</t>
        </is>
      </c>
      <c r="E1358" s="6" t="inlineStr">
        <is>
          <t>PG</t>
        </is>
      </c>
      <c r="F1358" s="6" t="inlineStr">
        <is>
          <t>-</t>
        </is>
      </c>
      <c r="G1358" s="7" t="n">
        <v>140.5913391113281</v>
      </c>
      <c r="H1358" s="6">
        <f>P1327</f>
        <v/>
      </c>
      <c r="I1358" s="9">
        <f>Q1327</f>
        <v/>
      </c>
      <c r="J1358" s="7">
        <f>I1358*G1358</f>
        <v/>
      </c>
      <c r="K1358" s="8">
        <f>IF($J$1365=0,0,J1358/$J$1365)</f>
        <v/>
      </c>
      <c r="L1358" s="6" t="inlineStr">
        <is>
          <t>REJECTED</t>
        </is>
      </c>
      <c r="M1358" s="8" t="n">
        <v>0</v>
      </c>
      <c r="N1358" s="7">
        <f>M1358*$J$1365-J1358</f>
        <v/>
      </c>
      <c r="O1358" s="9">
        <f>IF(G1358=0,0,N1358/G1358)</f>
        <v/>
      </c>
      <c r="P1358" s="6">
        <f>IF(M1358&gt;0,D1358,"")</f>
        <v/>
      </c>
      <c r="Q1358" s="9">
        <f>I1358+O1358</f>
        <v/>
      </c>
      <c r="R1358" s="7">
        <f>Q1358*G1358</f>
        <v/>
      </c>
      <c r="S1358" s="8">
        <f>IF($R$1365=0,0,R1358/$R$1365)</f>
        <v/>
      </c>
      <c r="T1358" s="8" t="n">
        <v>0</v>
      </c>
      <c r="U1358" s="8" t="n">
        <v>0.0506492420508553</v>
      </c>
      <c r="V1358" s="6" t="inlineStr">
        <is>
          <t>not selected</t>
        </is>
      </c>
    </row>
    <row r="1359">
      <c r="A1359" s="6" t="inlineStr">
        <is>
          <t>DJ30</t>
        </is>
      </c>
      <c r="B1359" s="6" t="inlineStr">
        <is>
          <t>2023-11-03</t>
        </is>
      </c>
      <c r="C1359" s="6" t="inlineStr">
        <is>
          <t>DIA</t>
        </is>
      </c>
      <c r="D1359" s="6" t="inlineStr">
        <is>
          <t>SHW</t>
        </is>
      </c>
      <c r="E1359" s="6" t="inlineStr">
        <is>
          <t>SHW</t>
        </is>
      </c>
      <c r="F1359" s="6" t="inlineStr">
        <is>
          <t>-</t>
        </is>
      </c>
      <c r="G1359" s="7" t="n">
        <v>244.886474609375</v>
      </c>
      <c r="H1359" s="6">
        <f>P1328</f>
        <v/>
      </c>
      <c r="I1359" s="9">
        <f>Q1328</f>
        <v/>
      </c>
      <c r="J1359" s="7">
        <f>I1359*G1359</f>
        <v/>
      </c>
      <c r="K1359" s="8">
        <f>IF($J$1365=0,0,J1359/$J$1365)</f>
        <v/>
      </c>
      <c r="L1359" s="6" t="inlineStr">
        <is>
          <t>REJECTED</t>
        </is>
      </c>
      <c r="M1359" s="8" t="n">
        <v>0</v>
      </c>
      <c r="N1359" s="7">
        <f>M1359*$J$1365-J1359</f>
        <v/>
      </c>
      <c r="O1359" s="9">
        <f>IF(G1359=0,0,N1359/G1359)</f>
        <v/>
      </c>
      <c r="P1359" s="6">
        <f>IF(M1359&gt;0,D1359,"")</f>
        <v/>
      </c>
      <c r="Q1359" s="9">
        <f>I1359+O1359</f>
        <v/>
      </c>
      <c r="R1359" s="7">
        <f>Q1359*G1359</f>
        <v/>
      </c>
      <c r="S1359" s="8">
        <f>IF($R$1365=0,0,R1359/$R$1365)</f>
        <v/>
      </c>
      <c r="T1359" s="8" t="n">
        <v>0</v>
      </c>
      <c r="U1359" s="8" t="n">
        <v>0.0506492420508553</v>
      </c>
      <c r="V1359" s="6" t="inlineStr">
        <is>
          <t>not selected</t>
        </is>
      </c>
    </row>
    <row r="1360">
      <c r="A1360" s="6" t="inlineStr">
        <is>
          <t>DJ30</t>
        </is>
      </c>
      <c r="B1360" s="6" t="inlineStr">
        <is>
          <t>2023-11-03</t>
        </is>
      </c>
      <c r="C1360" s="6" t="inlineStr">
        <is>
          <t>DIA</t>
        </is>
      </c>
      <c r="D1360" s="6" t="inlineStr">
        <is>
          <t>TRV</t>
        </is>
      </c>
      <c r="E1360" s="6" t="inlineStr">
        <is>
          <t>TRV</t>
        </is>
      </c>
      <c r="F1360" s="6" t="inlineStr">
        <is>
          <t>-</t>
        </is>
      </c>
      <c r="G1360" s="7" t="n">
        <v>160.5997772216797</v>
      </c>
      <c r="H1360" s="6">
        <f>P1329</f>
        <v/>
      </c>
      <c r="I1360" s="9">
        <f>Q1329</f>
        <v/>
      </c>
      <c r="J1360" s="7">
        <f>I1360*G1360</f>
        <v/>
      </c>
      <c r="K1360" s="8">
        <f>IF($J$1365=0,0,J1360/$J$1365)</f>
        <v/>
      </c>
      <c r="L1360" s="6" t="inlineStr">
        <is>
          <t>REJECTED</t>
        </is>
      </c>
      <c r="M1360" s="8" t="n">
        <v>0</v>
      </c>
      <c r="N1360" s="7">
        <f>M1360*$J$1365-J1360</f>
        <v/>
      </c>
      <c r="O1360" s="9">
        <f>IF(G1360=0,0,N1360/G1360)</f>
        <v/>
      </c>
      <c r="P1360" s="6">
        <f>IF(M1360&gt;0,D1360,"")</f>
        <v/>
      </c>
      <c r="Q1360" s="9">
        <f>I1360+O1360</f>
        <v/>
      </c>
      <c r="R1360" s="7">
        <f>Q1360*G1360</f>
        <v/>
      </c>
      <c r="S1360" s="8">
        <f>IF($R$1365=0,0,R1360/$R$1365)</f>
        <v/>
      </c>
      <c r="T1360" s="8" t="n">
        <v>0</v>
      </c>
      <c r="U1360" s="8" t="n">
        <v>0.0506492420508553</v>
      </c>
      <c r="V1360" s="6" t="inlineStr">
        <is>
          <t>not selected</t>
        </is>
      </c>
    </row>
    <row r="1361">
      <c r="A1361" s="6" t="inlineStr">
        <is>
          <t>DJ30</t>
        </is>
      </c>
      <c r="B1361" s="6" t="inlineStr">
        <is>
          <t>2023-11-03</t>
        </is>
      </c>
      <c r="C1361" s="6" t="inlineStr">
        <is>
          <t>DIA</t>
        </is>
      </c>
      <c r="D1361" s="6" t="inlineStr">
        <is>
          <t>UNH</t>
        </is>
      </c>
      <c r="E1361" s="6" t="inlineStr">
        <is>
          <t>UNH</t>
        </is>
      </c>
      <c r="F1361" s="6" t="inlineStr">
        <is>
          <t>-</t>
        </is>
      </c>
      <c r="G1361" s="7" t="n">
        <v>501.6310424804688</v>
      </c>
      <c r="H1361" s="6">
        <f>P1330</f>
        <v/>
      </c>
      <c r="I1361" s="9">
        <f>Q1330</f>
        <v/>
      </c>
      <c r="J1361" s="7">
        <f>I1361*G1361</f>
        <v/>
      </c>
      <c r="K1361" s="8">
        <f>IF($J$1365=0,0,J1361/$J$1365)</f>
        <v/>
      </c>
      <c r="L1361" s="6" t="inlineStr">
        <is>
          <t>REJECTED</t>
        </is>
      </c>
      <c r="M1361" s="8" t="n">
        <v>0</v>
      </c>
      <c r="N1361" s="7">
        <f>M1361*$J$1365-J1361</f>
        <v/>
      </c>
      <c r="O1361" s="9">
        <f>IF(G1361=0,0,N1361/G1361)</f>
        <v/>
      </c>
      <c r="P1361" s="6">
        <f>IF(M1361&gt;0,D1361,"")</f>
        <v/>
      </c>
      <c r="Q1361" s="9">
        <f>I1361+O1361</f>
        <v/>
      </c>
      <c r="R1361" s="7">
        <f>Q1361*G1361</f>
        <v/>
      </c>
      <c r="S1361" s="8">
        <f>IF($R$1365=0,0,R1361/$R$1365)</f>
        <v/>
      </c>
      <c r="T1361" s="8" t="n">
        <v>0</v>
      </c>
      <c r="U1361" s="8" t="n">
        <v>0.0506492420508553</v>
      </c>
      <c r="V1361" s="6" t="inlineStr">
        <is>
          <t>not selected</t>
        </is>
      </c>
    </row>
    <row r="1362">
      <c r="A1362" s="6" t="inlineStr">
        <is>
          <t>DJ30</t>
        </is>
      </c>
      <c r="B1362" s="6" t="inlineStr">
        <is>
          <t>2023-11-03</t>
        </is>
      </c>
      <c r="C1362" s="6" t="inlineStr">
        <is>
          <t>DIA</t>
        </is>
      </c>
      <c r="D1362" s="6" t="inlineStr">
        <is>
          <t>V</t>
        </is>
      </c>
      <c r="E1362" s="6" t="inlineStr">
        <is>
          <t>V</t>
        </is>
      </c>
      <c r="F1362" s="6" t="inlineStr">
        <is>
          <t>-</t>
        </is>
      </c>
      <c r="G1362" s="7" t="n">
        <v>238.5497283935547</v>
      </c>
      <c r="H1362" s="6">
        <f>P1331</f>
        <v/>
      </c>
      <c r="I1362" s="9">
        <f>Q1331</f>
        <v/>
      </c>
      <c r="J1362" s="7">
        <f>I1362*G1362</f>
        <v/>
      </c>
      <c r="K1362" s="8">
        <f>IF($J$1365=0,0,J1362/$J$1365)</f>
        <v/>
      </c>
      <c r="L1362" s="6" t="inlineStr">
        <is>
          <t>REJECTED</t>
        </is>
      </c>
      <c r="M1362" s="8" t="n">
        <v>0</v>
      </c>
      <c r="N1362" s="7">
        <f>M1362*$J$1365-J1362</f>
        <v/>
      </c>
      <c r="O1362" s="9">
        <f>IF(G1362=0,0,N1362/G1362)</f>
        <v/>
      </c>
      <c r="P1362" s="6">
        <f>IF(M1362&gt;0,D1362,"")</f>
        <v/>
      </c>
      <c r="Q1362" s="9">
        <f>I1362+O1362</f>
        <v/>
      </c>
      <c r="R1362" s="7">
        <f>Q1362*G1362</f>
        <v/>
      </c>
      <c r="S1362" s="8">
        <f>IF($R$1365=0,0,R1362/$R$1365)</f>
        <v/>
      </c>
      <c r="T1362" s="8" t="n">
        <v>0</v>
      </c>
      <c r="U1362" s="8" t="n">
        <v>0.0506492420508553</v>
      </c>
      <c r="V1362" s="6" t="inlineStr">
        <is>
          <t>not selected</t>
        </is>
      </c>
    </row>
    <row r="1363">
      <c r="A1363" s="6" t="inlineStr">
        <is>
          <t>DJ30</t>
        </is>
      </c>
      <c r="B1363" s="6" t="inlineStr">
        <is>
          <t>2023-11-03</t>
        </is>
      </c>
      <c r="C1363" s="6" t="inlineStr">
        <is>
          <t>DIA</t>
        </is>
      </c>
      <c r="D1363" s="6" t="inlineStr">
        <is>
          <t>VZ</t>
        </is>
      </c>
      <c r="E1363" s="6" t="inlineStr">
        <is>
          <t>VZ</t>
        </is>
      </c>
      <c r="F1363" s="6" t="inlineStr">
        <is>
          <t>-</t>
        </is>
      </c>
      <c r="G1363" s="7" t="n">
        <v>30.59549331665039</v>
      </c>
      <c r="H1363" s="6">
        <f>P1332</f>
        <v/>
      </c>
      <c r="I1363" s="9">
        <f>Q1332</f>
        <v/>
      </c>
      <c r="J1363" s="7">
        <f>I1363*G1363</f>
        <v/>
      </c>
      <c r="K1363" s="8">
        <f>IF($J$1365=0,0,J1363/$J$1365)</f>
        <v/>
      </c>
      <c r="L1363" s="6" t="inlineStr">
        <is>
          <t>REJECTED</t>
        </is>
      </c>
      <c r="M1363" s="8" t="n">
        <v>0</v>
      </c>
      <c r="N1363" s="7">
        <f>M1363*$J$1365-J1363</f>
        <v/>
      </c>
      <c r="O1363" s="9">
        <f>IF(G1363=0,0,N1363/G1363)</f>
        <v/>
      </c>
      <c r="P1363" s="6">
        <f>IF(M1363&gt;0,D1363,"")</f>
        <v/>
      </c>
      <c r="Q1363" s="9">
        <f>I1363+O1363</f>
        <v/>
      </c>
      <c r="R1363" s="7">
        <f>Q1363*G1363</f>
        <v/>
      </c>
      <c r="S1363" s="8">
        <f>IF($R$1365=0,0,R1363/$R$1365)</f>
        <v/>
      </c>
      <c r="T1363" s="8" t="n">
        <v>0</v>
      </c>
      <c r="U1363" s="8" t="n">
        <v>0.0506492420508553</v>
      </c>
      <c r="V1363" s="6" t="inlineStr">
        <is>
          <t>not selected</t>
        </is>
      </c>
    </row>
    <row r="1364">
      <c r="A1364" s="6" t="inlineStr">
        <is>
          <t>DJ30</t>
        </is>
      </c>
      <c r="B1364" s="6" t="inlineStr">
        <is>
          <t>2023-11-03</t>
        </is>
      </c>
      <c r="C1364" s="6" t="inlineStr">
        <is>
          <t>DIA</t>
        </is>
      </c>
      <c r="D1364" s="6" t="inlineStr">
        <is>
          <t>WMT</t>
        </is>
      </c>
      <c r="E1364" s="6" t="inlineStr">
        <is>
          <t>WMT</t>
        </is>
      </c>
      <c r="F1364" s="6" t="inlineStr">
        <is>
          <t>-</t>
        </is>
      </c>
      <c r="G1364" s="7" t="n">
        <v>53.31219482421875</v>
      </c>
      <c r="H1364" s="6">
        <f>P1333</f>
        <v/>
      </c>
      <c r="I1364" s="9">
        <f>Q1333</f>
        <v/>
      </c>
      <c r="J1364" s="7">
        <f>I1364*G1364</f>
        <v/>
      </c>
      <c r="K1364" s="8">
        <f>IF($J$1365=0,0,J1364/$J$1365)</f>
        <v/>
      </c>
      <c r="L1364" s="6" t="inlineStr">
        <is>
          <t>REJECTED</t>
        </is>
      </c>
      <c r="M1364" s="8" t="n">
        <v>0</v>
      </c>
      <c r="N1364" s="7">
        <f>M1364*$J$1365-J1364</f>
        <v/>
      </c>
      <c r="O1364" s="9">
        <f>IF(G1364=0,0,N1364/G1364)</f>
        <v/>
      </c>
      <c r="P1364" s="6">
        <f>IF(M1364&gt;0,D1364,"")</f>
        <v/>
      </c>
      <c r="Q1364" s="9">
        <f>I1364+O1364</f>
        <v/>
      </c>
      <c r="R1364" s="7">
        <f>Q1364*G1364</f>
        <v/>
      </c>
      <c r="S1364" s="8">
        <f>IF($R$1365=0,0,R1364/$R$1365)</f>
        <v/>
      </c>
      <c r="T1364" s="8" t="n">
        <v>0</v>
      </c>
      <c r="U1364" s="8" t="n">
        <v>0.0506492420508553</v>
      </c>
      <c r="V1364" s="6" t="inlineStr">
        <is>
          <t>not selected</t>
        </is>
      </c>
    </row>
    <row r="1365">
      <c r="A1365" s="10" t="inlineStr">
        <is>
          <t>DJ30</t>
        </is>
      </c>
      <c r="B1365" s="10" t="inlineStr">
        <is>
          <t>2023-11-03</t>
        </is>
      </c>
      <c r="C1365" s="10" t="inlineStr">
        <is>
          <t>DIA</t>
        </is>
      </c>
      <c r="D1365" s="10" t="inlineStr">
        <is>
          <t>Tot Portfolio</t>
        </is>
      </c>
      <c r="E1365" s="10" t="inlineStr"/>
      <c r="F1365" s="10" t="inlineStr"/>
      <c r="G1365" s="11" t="inlineStr"/>
      <c r="H1365" s="10" t="inlineStr"/>
      <c r="I1365" s="12" t="inlineStr"/>
      <c r="J1365" s="11">
        <f>SUM(J1335:J1364)</f>
        <v/>
      </c>
      <c r="K1365" s="13">
        <f>SUM(K1335:K1364)</f>
        <v/>
      </c>
      <c r="L1365" s="10" t="inlineStr">
        <is>
          <t>TOTAL</t>
        </is>
      </c>
      <c r="M1365" s="13">
        <f>SUM(M1335:M1364)</f>
        <v/>
      </c>
      <c r="N1365" s="11">
        <f>SUM(N1335:N1364)</f>
        <v/>
      </c>
      <c r="O1365" s="12">
        <f>SUM(O1335:O1364)</f>
        <v/>
      </c>
      <c r="P1365" s="10" t="inlineStr"/>
      <c r="Q1365" s="12" t="inlineStr"/>
      <c r="R1365" s="11">
        <f>SUM(R1335:R1364)</f>
        <v/>
      </c>
      <c r="S1365" s="13">
        <f>SUM(S1335:S1364)</f>
        <v/>
      </c>
      <c r="T1365" s="13" t="n">
        <v>0</v>
      </c>
      <c r="U1365" s="13" t="n">
        <v>0.0506492420508553</v>
      </c>
      <c r="V1365" s="10" t="inlineStr"/>
    </row>
    <row r="1366">
      <c r="A1366" s="6" t="inlineStr">
        <is>
          <t>DJ30</t>
        </is>
      </c>
      <c r="B1366" s="6" t="inlineStr">
        <is>
          <t>2023-11-10</t>
        </is>
      </c>
      <c r="C1366" s="6" t="inlineStr">
        <is>
          <t>DIA</t>
        </is>
      </c>
      <c r="D1366" s="6" t="inlineStr">
        <is>
          <t>AAPL</t>
        </is>
      </c>
      <c r="E1366" s="6" t="inlineStr">
        <is>
          <t>AAPL</t>
        </is>
      </c>
      <c r="F1366" s="6" t="inlineStr">
        <is>
          <t>-</t>
        </is>
      </c>
      <c r="G1366" s="7" t="n">
        <v>184.3136901855469</v>
      </c>
      <c r="H1366" s="6">
        <f>P1335</f>
        <v/>
      </c>
      <c r="I1366" s="9">
        <f>Q1335</f>
        <v/>
      </c>
      <c r="J1366" s="7">
        <f>I1366*G1366</f>
        <v/>
      </c>
      <c r="K1366" s="8">
        <f>IF($J$1396=0,0,J1366/$J$1396)</f>
        <v/>
      </c>
      <c r="L1366" s="6" t="inlineStr">
        <is>
          <t>REJECTED</t>
        </is>
      </c>
      <c r="M1366" s="8" t="n">
        <v>0</v>
      </c>
      <c r="N1366" s="7">
        <f>M1366*$J$1396-J1366</f>
        <v/>
      </c>
      <c r="O1366" s="9">
        <f>IF(G1366=0,0,N1366/G1366)</f>
        <v/>
      </c>
      <c r="P1366" s="6">
        <f>IF(M1366&gt;0,D1366,"")</f>
        <v/>
      </c>
      <c r="Q1366" s="9">
        <f>I1366+O1366</f>
        <v/>
      </c>
      <c r="R1366" s="7">
        <f>Q1366*G1366</f>
        <v/>
      </c>
      <c r="S1366" s="8">
        <f>IF($R$1396=0,0,R1366/$R$1396)</f>
        <v/>
      </c>
      <c r="T1366" s="8" t="n">
        <v>0</v>
      </c>
      <c r="U1366" s="8" t="n">
        <v>0.007046215201517381</v>
      </c>
      <c r="V1366" s="6" t="inlineStr">
        <is>
          <t>not selected</t>
        </is>
      </c>
    </row>
    <row r="1367">
      <c r="A1367" s="6" t="inlineStr">
        <is>
          <t>DJ30</t>
        </is>
      </c>
      <c r="B1367" s="6" t="inlineStr">
        <is>
          <t>2023-11-10</t>
        </is>
      </c>
      <c r="C1367" s="6" t="inlineStr">
        <is>
          <t>DIA</t>
        </is>
      </c>
      <c r="D1367" s="6" t="inlineStr">
        <is>
          <t>AMGN</t>
        </is>
      </c>
      <c r="E1367" s="6" t="inlineStr">
        <is>
          <t>AMGN</t>
        </is>
      </c>
      <c r="F1367" s="6" t="inlineStr">
        <is>
          <t>-</t>
        </is>
      </c>
      <c r="G1367" s="7" t="n">
        <v>245.7583618164062</v>
      </c>
      <c r="H1367" s="6">
        <f>P1336</f>
        <v/>
      </c>
      <c r="I1367" s="9">
        <f>Q1336</f>
        <v/>
      </c>
      <c r="J1367" s="7">
        <f>I1367*G1367</f>
        <v/>
      </c>
      <c r="K1367" s="8">
        <f>IF($J$1396=0,0,J1367/$J$1396)</f>
        <v/>
      </c>
      <c r="L1367" s="6" t="inlineStr">
        <is>
          <t>REJECTED</t>
        </is>
      </c>
      <c r="M1367" s="8" t="n">
        <v>0</v>
      </c>
      <c r="N1367" s="7">
        <f>M1367*$J$1396-J1367</f>
        <v/>
      </c>
      <c r="O1367" s="9">
        <f>IF(G1367=0,0,N1367/G1367)</f>
        <v/>
      </c>
      <c r="P1367" s="6">
        <f>IF(M1367&gt;0,D1367,"")</f>
        <v/>
      </c>
      <c r="Q1367" s="9">
        <f>I1367+O1367</f>
        <v/>
      </c>
      <c r="R1367" s="7">
        <f>Q1367*G1367</f>
        <v/>
      </c>
      <c r="S1367" s="8">
        <f>IF($R$1396=0,0,R1367/$R$1396)</f>
        <v/>
      </c>
      <c r="T1367" s="8" t="n">
        <v>0</v>
      </c>
      <c r="U1367" s="8" t="n">
        <v>0.007046215201517381</v>
      </c>
      <c r="V1367" s="6" t="inlineStr">
        <is>
          <t>not selected</t>
        </is>
      </c>
    </row>
    <row r="1368">
      <c r="A1368" s="6" t="inlineStr">
        <is>
          <t>DJ30</t>
        </is>
      </c>
      <c r="B1368" s="6" t="inlineStr">
        <is>
          <t>2023-11-10</t>
        </is>
      </c>
      <c r="C1368" s="6" t="inlineStr">
        <is>
          <t>DIA</t>
        </is>
      </c>
      <c r="D1368" s="6" t="inlineStr">
        <is>
          <t>AMZN</t>
        </is>
      </c>
      <c r="E1368" s="6" t="inlineStr">
        <is>
          <t>AMZN</t>
        </is>
      </c>
      <c r="F1368" s="6" t="inlineStr">
        <is>
          <t>-</t>
        </is>
      </c>
      <c r="G1368" s="7" t="n">
        <v>143.5599975585938</v>
      </c>
      <c r="H1368" s="6">
        <f>P1337</f>
        <v/>
      </c>
      <c r="I1368" s="9">
        <f>Q1337</f>
        <v/>
      </c>
      <c r="J1368" s="7">
        <f>I1368*G1368</f>
        <v/>
      </c>
      <c r="K1368" s="8">
        <f>IF($J$1396=0,0,J1368/$J$1396)</f>
        <v/>
      </c>
      <c r="L1368" s="6" t="inlineStr">
        <is>
          <t>REJECTED</t>
        </is>
      </c>
      <c r="M1368" s="8" t="n">
        <v>0</v>
      </c>
      <c r="N1368" s="7">
        <f>M1368*$J$1396-J1368</f>
        <v/>
      </c>
      <c r="O1368" s="9">
        <f>IF(G1368=0,0,N1368/G1368)</f>
        <v/>
      </c>
      <c r="P1368" s="6">
        <f>IF(M1368&gt;0,D1368,"")</f>
        <v/>
      </c>
      <c r="Q1368" s="9">
        <f>I1368+O1368</f>
        <v/>
      </c>
      <c r="R1368" s="7">
        <f>Q1368*G1368</f>
        <v/>
      </c>
      <c r="S1368" s="8">
        <f>IF($R$1396=0,0,R1368/$R$1396)</f>
        <v/>
      </c>
      <c r="T1368" s="8" t="n">
        <v>0</v>
      </c>
      <c r="U1368" s="8" t="n">
        <v>0.007046215201517381</v>
      </c>
      <c r="V1368" s="6" t="inlineStr">
        <is>
          <t>not selected</t>
        </is>
      </c>
    </row>
    <row r="1369">
      <c r="A1369" s="6" t="inlineStr">
        <is>
          <t>DJ30</t>
        </is>
      </c>
      <c r="B1369" s="6" t="inlineStr">
        <is>
          <t>2023-11-10</t>
        </is>
      </c>
      <c r="C1369" s="6" t="inlineStr">
        <is>
          <t>DIA</t>
        </is>
      </c>
      <c r="D1369" s="6" t="inlineStr">
        <is>
          <t>AXP</t>
        </is>
      </c>
      <c r="E1369" s="6" t="inlineStr">
        <is>
          <t>AXP</t>
        </is>
      </c>
      <c r="F1369" s="6" t="inlineStr">
        <is>
          <t>-</t>
        </is>
      </c>
      <c r="G1369" s="7" t="n">
        <v>150.1183929443359</v>
      </c>
      <c r="H1369" s="6">
        <f>P1338</f>
        <v/>
      </c>
      <c r="I1369" s="9">
        <f>Q1338</f>
        <v/>
      </c>
      <c r="J1369" s="7">
        <f>I1369*G1369</f>
        <v/>
      </c>
      <c r="K1369" s="8">
        <f>IF($J$1396=0,0,J1369/$J$1396)</f>
        <v/>
      </c>
      <c r="L1369" s="6" t="inlineStr">
        <is>
          <t>REJECTED</t>
        </is>
      </c>
      <c r="M1369" s="8" t="n">
        <v>0</v>
      </c>
      <c r="N1369" s="7">
        <f>M1369*$J$1396-J1369</f>
        <v/>
      </c>
      <c r="O1369" s="9">
        <f>IF(G1369=0,0,N1369/G1369)</f>
        <v/>
      </c>
      <c r="P1369" s="6">
        <f>IF(M1369&gt;0,D1369,"")</f>
        <v/>
      </c>
      <c r="Q1369" s="9">
        <f>I1369+O1369</f>
        <v/>
      </c>
      <c r="R1369" s="7">
        <f>Q1369*G1369</f>
        <v/>
      </c>
      <c r="S1369" s="8">
        <f>IF($R$1396=0,0,R1369/$R$1396)</f>
        <v/>
      </c>
      <c r="T1369" s="8" t="n">
        <v>0</v>
      </c>
      <c r="U1369" s="8" t="n">
        <v>0.007046215201517381</v>
      </c>
      <c r="V1369" s="6" t="inlineStr">
        <is>
          <t>not selected</t>
        </is>
      </c>
    </row>
    <row r="1370">
      <c r="A1370" s="6" t="inlineStr">
        <is>
          <t>DJ30</t>
        </is>
      </c>
      <c r="B1370" s="6" t="inlineStr">
        <is>
          <t>2023-11-10</t>
        </is>
      </c>
      <c r="C1370" s="6" t="inlineStr">
        <is>
          <t>DIA</t>
        </is>
      </c>
      <c r="D1370" s="6" t="inlineStr">
        <is>
          <t>BA</t>
        </is>
      </c>
      <c r="E1370" s="6" t="inlineStr">
        <is>
          <t>BA</t>
        </is>
      </c>
      <c r="F1370" s="6" t="inlineStr">
        <is>
          <t>-</t>
        </is>
      </c>
      <c r="G1370" s="7" t="n">
        <v>196.6499938964844</v>
      </c>
      <c r="H1370" s="6">
        <f>P1339</f>
        <v/>
      </c>
      <c r="I1370" s="9">
        <f>Q1339</f>
        <v/>
      </c>
      <c r="J1370" s="7">
        <f>I1370*G1370</f>
        <v/>
      </c>
      <c r="K1370" s="8">
        <f>IF($J$1396=0,0,J1370/$J$1396)</f>
        <v/>
      </c>
      <c r="L1370" s="6" t="inlineStr">
        <is>
          <t>REJECTED</t>
        </is>
      </c>
      <c r="M1370" s="8" t="n">
        <v>0</v>
      </c>
      <c r="N1370" s="7">
        <f>M1370*$J$1396-J1370</f>
        <v/>
      </c>
      <c r="O1370" s="9">
        <f>IF(G1370=0,0,N1370/G1370)</f>
        <v/>
      </c>
      <c r="P1370" s="6">
        <f>IF(M1370&gt;0,D1370,"")</f>
        <v/>
      </c>
      <c r="Q1370" s="9">
        <f>I1370+O1370</f>
        <v/>
      </c>
      <c r="R1370" s="7">
        <f>Q1370*G1370</f>
        <v/>
      </c>
      <c r="S1370" s="8">
        <f>IF($R$1396=0,0,R1370/$R$1396)</f>
        <v/>
      </c>
      <c r="T1370" s="8" t="n">
        <v>0</v>
      </c>
      <c r="U1370" s="8" t="n">
        <v>0.007046215201517381</v>
      </c>
      <c r="V1370" s="6" t="inlineStr">
        <is>
          <t>not selected</t>
        </is>
      </c>
    </row>
    <row r="1371">
      <c r="A1371" s="6" t="inlineStr">
        <is>
          <t>DJ30</t>
        </is>
      </c>
      <c r="B1371" s="6" t="inlineStr">
        <is>
          <t>2023-11-10</t>
        </is>
      </c>
      <c r="C1371" s="6" t="inlineStr">
        <is>
          <t>DIA</t>
        </is>
      </c>
      <c r="D1371" s="6" t="inlineStr">
        <is>
          <t>CAT</t>
        </is>
      </c>
      <c r="E1371" s="6" t="inlineStr">
        <is>
          <t>CAT</t>
        </is>
      </c>
      <c r="F1371" s="6" t="inlineStr">
        <is>
          <t>-</t>
        </is>
      </c>
      <c r="G1371" s="7" t="n">
        <v>231.4042205810547</v>
      </c>
      <c r="H1371" s="6">
        <f>P1340</f>
        <v/>
      </c>
      <c r="I1371" s="9">
        <f>Q1340</f>
        <v/>
      </c>
      <c r="J1371" s="7">
        <f>I1371*G1371</f>
        <v/>
      </c>
      <c r="K1371" s="8">
        <f>IF($J$1396=0,0,J1371/$J$1396)</f>
        <v/>
      </c>
      <c r="L1371" s="6" t="inlineStr">
        <is>
          <t>REJECTED</t>
        </is>
      </c>
      <c r="M1371" s="8" t="n">
        <v>0</v>
      </c>
      <c r="N1371" s="7">
        <f>M1371*$J$1396-J1371</f>
        <v/>
      </c>
      <c r="O1371" s="9">
        <f>IF(G1371=0,0,N1371/G1371)</f>
        <v/>
      </c>
      <c r="P1371" s="6">
        <f>IF(M1371&gt;0,D1371,"")</f>
        <v/>
      </c>
      <c r="Q1371" s="9">
        <f>I1371+O1371</f>
        <v/>
      </c>
      <c r="R1371" s="7">
        <f>Q1371*G1371</f>
        <v/>
      </c>
      <c r="S1371" s="8">
        <f>IF($R$1396=0,0,R1371/$R$1396)</f>
        <v/>
      </c>
      <c r="T1371" s="8" t="n">
        <v>0</v>
      </c>
      <c r="U1371" s="8" t="n">
        <v>0.007046215201517381</v>
      </c>
      <c r="V1371" s="6" t="inlineStr">
        <is>
          <t>not selected</t>
        </is>
      </c>
    </row>
    <row r="1372">
      <c r="A1372" s="6" t="inlineStr">
        <is>
          <t>DJ30</t>
        </is>
      </c>
      <c r="B1372" s="6" t="inlineStr">
        <is>
          <t>2023-11-10</t>
        </is>
      </c>
      <c r="C1372" s="6" t="inlineStr">
        <is>
          <t>DIA</t>
        </is>
      </c>
      <c r="D1372" s="6" t="inlineStr">
        <is>
          <t>CRM</t>
        </is>
      </c>
      <c r="E1372" s="6" t="inlineStr">
        <is>
          <t>CRM</t>
        </is>
      </c>
      <c r="F1372" s="6" t="inlineStr">
        <is>
          <t>-</t>
        </is>
      </c>
      <c r="G1372" s="7" t="n">
        <v>209.9969329833984</v>
      </c>
      <c r="H1372" s="6">
        <f>P1341</f>
        <v/>
      </c>
      <c r="I1372" s="9">
        <f>Q1341</f>
        <v/>
      </c>
      <c r="J1372" s="7">
        <f>I1372*G1372</f>
        <v/>
      </c>
      <c r="K1372" s="8">
        <f>IF($J$1396=0,0,J1372/$J$1396)</f>
        <v/>
      </c>
      <c r="L1372" s="6" t="inlineStr">
        <is>
          <t>REJECTED</t>
        </is>
      </c>
      <c r="M1372" s="8" t="n">
        <v>0</v>
      </c>
      <c r="N1372" s="7">
        <f>M1372*$J$1396-J1372</f>
        <v/>
      </c>
      <c r="O1372" s="9">
        <f>IF(G1372=0,0,N1372/G1372)</f>
        <v/>
      </c>
      <c r="P1372" s="6">
        <f>IF(M1372&gt;0,D1372,"")</f>
        <v/>
      </c>
      <c r="Q1372" s="9">
        <f>I1372+O1372</f>
        <v/>
      </c>
      <c r="R1372" s="7">
        <f>Q1372*G1372</f>
        <v/>
      </c>
      <c r="S1372" s="8">
        <f>IF($R$1396=0,0,R1372/$R$1396)</f>
        <v/>
      </c>
      <c r="T1372" s="8" t="n">
        <v>0</v>
      </c>
      <c r="U1372" s="8" t="n">
        <v>0.007046215201517381</v>
      </c>
      <c r="V1372" s="6" t="inlineStr">
        <is>
          <t>not selected</t>
        </is>
      </c>
    </row>
    <row r="1373">
      <c r="A1373" s="6" t="inlineStr">
        <is>
          <t>DJ30</t>
        </is>
      </c>
      <c r="B1373" s="6" t="inlineStr">
        <is>
          <t>2023-11-10</t>
        </is>
      </c>
      <c r="C1373" s="6" t="inlineStr">
        <is>
          <t>DIA</t>
        </is>
      </c>
      <c r="D1373" s="6" t="inlineStr">
        <is>
          <t>CSCO</t>
        </is>
      </c>
      <c r="E1373" s="6" t="inlineStr">
        <is>
          <t>CSCO</t>
        </is>
      </c>
      <c r="F1373" s="6" t="inlineStr">
        <is>
          <t>-</t>
        </is>
      </c>
      <c r="G1373" s="7" t="n">
        <v>49.12128067016602</v>
      </c>
      <c r="H1373" s="6">
        <f>P1342</f>
        <v/>
      </c>
      <c r="I1373" s="9">
        <f>Q1342</f>
        <v/>
      </c>
      <c r="J1373" s="7">
        <f>I1373*G1373</f>
        <v/>
      </c>
      <c r="K1373" s="8">
        <f>IF($J$1396=0,0,J1373/$J$1396)</f>
        <v/>
      </c>
      <c r="L1373" s="6" t="inlineStr">
        <is>
          <t>REJECTED</t>
        </is>
      </c>
      <c r="M1373" s="8" t="n">
        <v>0</v>
      </c>
      <c r="N1373" s="7">
        <f>M1373*$J$1396-J1373</f>
        <v/>
      </c>
      <c r="O1373" s="9">
        <f>IF(G1373=0,0,N1373/G1373)</f>
        <v/>
      </c>
      <c r="P1373" s="6">
        <f>IF(M1373&gt;0,D1373,"")</f>
        <v/>
      </c>
      <c r="Q1373" s="9">
        <f>I1373+O1373</f>
        <v/>
      </c>
      <c r="R1373" s="7">
        <f>Q1373*G1373</f>
        <v/>
      </c>
      <c r="S1373" s="8">
        <f>IF($R$1396=0,0,R1373/$R$1396)</f>
        <v/>
      </c>
      <c r="T1373" s="8" t="n">
        <v>0</v>
      </c>
      <c r="U1373" s="8" t="n">
        <v>0.007046215201517381</v>
      </c>
      <c r="V1373" s="6" t="inlineStr">
        <is>
          <t>not selected</t>
        </is>
      </c>
    </row>
    <row r="1374">
      <c r="A1374" s="6" t="inlineStr">
        <is>
          <t>DJ30</t>
        </is>
      </c>
      <c r="B1374" s="6" t="inlineStr">
        <is>
          <t>2023-11-10</t>
        </is>
      </c>
      <c r="C1374" s="6" t="inlineStr">
        <is>
          <t>DIA</t>
        </is>
      </c>
      <c r="D1374" s="6" t="inlineStr">
        <is>
          <t>CVX</t>
        </is>
      </c>
      <c r="E1374" s="6" t="inlineStr">
        <is>
          <t>CVX</t>
        </is>
      </c>
      <c r="F1374" s="6" t="inlineStr">
        <is>
          <t>-</t>
        </is>
      </c>
      <c r="G1374" s="7" t="n">
        <v>127.1949844360352</v>
      </c>
      <c r="H1374" s="6">
        <f>P1343</f>
        <v/>
      </c>
      <c r="I1374" s="9">
        <f>Q1343</f>
        <v/>
      </c>
      <c r="J1374" s="7">
        <f>I1374*G1374</f>
        <v/>
      </c>
      <c r="K1374" s="8">
        <f>IF($J$1396=0,0,J1374/$J$1396)</f>
        <v/>
      </c>
      <c r="L1374" s="6" t="inlineStr">
        <is>
          <t>REJECTED</t>
        </is>
      </c>
      <c r="M1374" s="8" t="n">
        <v>0</v>
      </c>
      <c r="N1374" s="7">
        <f>M1374*$J$1396-J1374</f>
        <v/>
      </c>
      <c r="O1374" s="9">
        <f>IF(G1374=0,0,N1374/G1374)</f>
        <v/>
      </c>
      <c r="P1374" s="6">
        <f>IF(M1374&gt;0,D1374,"")</f>
        <v/>
      </c>
      <c r="Q1374" s="9">
        <f>I1374+O1374</f>
        <v/>
      </c>
      <c r="R1374" s="7">
        <f>Q1374*G1374</f>
        <v/>
      </c>
      <c r="S1374" s="8">
        <f>IF($R$1396=0,0,R1374/$R$1396)</f>
        <v/>
      </c>
      <c r="T1374" s="8" t="n">
        <v>0</v>
      </c>
      <c r="U1374" s="8" t="n">
        <v>0.007046215201517381</v>
      </c>
      <c r="V1374" s="6" t="inlineStr">
        <is>
          <t>not selected</t>
        </is>
      </c>
    </row>
    <row r="1375">
      <c r="A1375" s="6" t="inlineStr">
        <is>
          <t>DJ30</t>
        </is>
      </c>
      <c r="B1375" s="6" t="inlineStr">
        <is>
          <t>2023-11-10</t>
        </is>
      </c>
      <c r="C1375" s="6" t="inlineStr">
        <is>
          <t>DIA</t>
        </is>
      </c>
      <c r="D1375" s="6" t="inlineStr">
        <is>
          <t>DIS</t>
        </is>
      </c>
      <c r="E1375" s="6" t="inlineStr">
        <is>
          <t>DIS</t>
        </is>
      </c>
      <c r="F1375" s="6" t="inlineStr">
        <is>
          <t>-</t>
        </is>
      </c>
      <c r="G1375" s="7" t="n">
        <v>86.23911285400391</v>
      </c>
      <c r="H1375" s="6">
        <f>P1344</f>
        <v/>
      </c>
      <c r="I1375" s="9">
        <f>Q1344</f>
        <v/>
      </c>
      <c r="J1375" s="7">
        <f>I1375*G1375</f>
        <v/>
      </c>
      <c r="K1375" s="8">
        <f>IF($J$1396=0,0,J1375/$J$1396)</f>
        <v/>
      </c>
      <c r="L1375" s="6" t="inlineStr">
        <is>
          <t>REJECTED</t>
        </is>
      </c>
      <c r="M1375" s="8" t="n">
        <v>0</v>
      </c>
      <c r="N1375" s="7">
        <f>M1375*$J$1396-J1375</f>
        <v/>
      </c>
      <c r="O1375" s="9">
        <f>IF(G1375=0,0,N1375/G1375)</f>
        <v/>
      </c>
      <c r="P1375" s="6">
        <f>IF(M1375&gt;0,D1375,"")</f>
        <v/>
      </c>
      <c r="Q1375" s="9">
        <f>I1375+O1375</f>
        <v/>
      </c>
      <c r="R1375" s="7">
        <f>Q1375*G1375</f>
        <v/>
      </c>
      <c r="S1375" s="8">
        <f>IF($R$1396=0,0,R1375/$R$1396)</f>
        <v/>
      </c>
      <c r="T1375" s="8" t="n">
        <v>0</v>
      </c>
      <c r="U1375" s="8" t="n">
        <v>0.007046215201517381</v>
      </c>
      <c r="V1375" s="6" t="inlineStr">
        <is>
          <t>not selected</t>
        </is>
      </c>
    </row>
    <row r="1376">
      <c r="A1376" s="6" t="inlineStr">
        <is>
          <t>DJ30</t>
        </is>
      </c>
      <c r="B1376" s="6" t="inlineStr">
        <is>
          <t>2023-11-10</t>
        </is>
      </c>
      <c r="C1376" s="6" t="inlineStr">
        <is>
          <t>DIA</t>
        </is>
      </c>
      <c r="D1376" s="6" t="inlineStr">
        <is>
          <t>GS</t>
        </is>
      </c>
      <c r="E1376" s="6" t="inlineStr">
        <is>
          <t>GS</t>
        </is>
      </c>
      <c r="F1376" s="6" t="inlineStr">
        <is>
          <t>-</t>
        </is>
      </c>
      <c r="G1376" s="7" t="n">
        <v>305.9528198242188</v>
      </c>
      <c r="H1376" s="6">
        <f>P1345</f>
        <v/>
      </c>
      <c r="I1376" s="9">
        <f>Q1345</f>
        <v/>
      </c>
      <c r="J1376" s="7">
        <f>I1376*G1376</f>
        <v/>
      </c>
      <c r="K1376" s="8">
        <f>IF($J$1396=0,0,J1376/$J$1396)</f>
        <v/>
      </c>
      <c r="L1376" s="6" t="inlineStr">
        <is>
          <t>REJECTED</t>
        </is>
      </c>
      <c r="M1376" s="8" t="n">
        <v>0</v>
      </c>
      <c r="N1376" s="7">
        <f>M1376*$J$1396-J1376</f>
        <v/>
      </c>
      <c r="O1376" s="9">
        <f>IF(G1376=0,0,N1376/G1376)</f>
        <v/>
      </c>
      <c r="P1376" s="6">
        <f>IF(M1376&gt;0,D1376,"")</f>
        <v/>
      </c>
      <c r="Q1376" s="9">
        <f>I1376+O1376</f>
        <v/>
      </c>
      <c r="R1376" s="7">
        <f>Q1376*G1376</f>
        <v/>
      </c>
      <c r="S1376" s="8">
        <f>IF($R$1396=0,0,R1376/$R$1396)</f>
        <v/>
      </c>
      <c r="T1376" s="8" t="n">
        <v>0</v>
      </c>
      <c r="U1376" s="8" t="n">
        <v>0.007046215201517381</v>
      </c>
      <c r="V1376" s="6" t="inlineStr">
        <is>
          <t>not selected</t>
        </is>
      </c>
    </row>
    <row r="1377">
      <c r="A1377" s="6" t="inlineStr">
        <is>
          <t>DJ30</t>
        </is>
      </c>
      <c r="B1377" s="6" t="inlineStr">
        <is>
          <t>2023-11-10</t>
        </is>
      </c>
      <c r="C1377" s="6" t="inlineStr">
        <is>
          <t>DIA</t>
        </is>
      </c>
      <c r="D1377" s="6" t="inlineStr">
        <is>
          <t>HD</t>
        </is>
      </c>
      <c r="E1377" s="6" t="inlineStr">
        <is>
          <t>HD</t>
        </is>
      </c>
      <c r="F1377" s="6" t="inlineStr">
        <is>
          <t>-</t>
        </is>
      </c>
      <c r="G1377" s="7" t="n">
        <v>271.9712524414062</v>
      </c>
      <c r="H1377" s="6">
        <f>P1346</f>
        <v/>
      </c>
      <c r="I1377" s="9">
        <f>Q1346</f>
        <v/>
      </c>
      <c r="J1377" s="7">
        <f>I1377*G1377</f>
        <v/>
      </c>
      <c r="K1377" s="8">
        <f>IF($J$1396=0,0,J1377/$J$1396)</f>
        <v/>
      </c>
      <c r="L1377" s="6" t="inlineStr">
        <is>
          <t>REJECTED</t>
        </is>
      </c>
      <c r="M1377" s="8" t="n">
        <v>0</v>
      </c>
      <c r="N1377" s="7">
        <f>M1377*$J$1396-J1377</f>
        <v/>
      </c>
      <c r="O1377" s="9">
        <f>IF(G1377=0,0,N1377/G1377)</f>
        <v/>
      </c>
      <c r="P1377" s="6">
        <f>IF(M1377&gt;0,D1377,"")</f>
        <v/>
      </c>
      <c r="Q1377" s="9">
        <f>I1377+O1377</f>
        <v/>
      </c>
      <c r="R1377" s="7">
        <f>Q1377*G1377</f>
        <v/>
      </c>
      <c r="S1377" s="8">
        <f>IF($R$1396=0,0,R1377/$R$1396)</f>
        <v/>
      </c>
      <c r="T1377" s="8" t="n">
        <v>0</v>
      </c>
      <c r="U1377" s="8" t="n">
        <v>0.007046215201517381</v>
      </c>
      <c r="V1377" s="6" t="inlineStr">
        <is>
          <t>not selected</t>
        </is>
      </c>
    </row>
    <row r="1378">
      <c r="A1378" s="6" t="inlineStr">
        <is>
          <t>DJ30</t>
        </is>
      </c>
      <c r="B1378" s="6" t="inlineStr">
        <is>
          <t>2023-11-10</t>
        </is>
      </c>
      <c r="C1378" s="6" t="inlineStr">
        <is>
          <t>DIA</t>
        </is>
      </c>
      <c r="D1378" s="6" t="inlineStr">
        <is>
          <t>HON</t>
        </is>
      </c>
      <c r="E1378" s="6" t="inlineStr">
        <is>
          <t>HON</t>
        </is>
      </c>
      <c r="F1378" s="6" t="inlineStr">
        <is>
          <t>-</t>
        </is>
      </c>
      <c r="G1378" s="7" t="n">
        <v>166.8648223876953</v>
      </c>
      <c r="H1378" s="6">
        <f>P1347</f>
        <v/>
      </c>
      <c r="I1378" s="9">
        <f>Q1347</f>
        <v/>
      </c>
      <c r="J1378" s="7">
        <f>I1378*G1378</f>
        <v/>
      </c>
      <c r="K1378" s="8">
        <f>IF($J$1396=0,0,J1378/$J$1396)</f>
        <v/>
      </c>
      <c r="L1378" s="6" t="inlineStr">
        <is>
          <t>REJECTED</t>
        </is>
      </c>
      <c r="M1378" s="8" t="n">
        <v>0</v>
      </c>
      <c r="N1378" s="7">
        <f>M1378*$J$1396-J1378</f>
        <v/>
      </c>
      <c r="O1378" s="9">
        <f>IF(G1378=0,0,N1378/G1378)</f>
        <v/>
      </c>
      <c r="P1378" s="6">
        <f>IF(M1378&gt;0,D1378,"")</f>
        <v/>
      </c>
      <c r="Q1378" s="9">
        <f>I1378+O1378</f>
        <v/>
      </c>
      <c r="R1378" s="7">
        <f>Q1378*G1378</f>
        <v/>
      </c>
      <c r="S1378" s="8">
        <f>IF($R$1396=0,0,R1378/$R$1396)</f>
        <v/>
      </c>
      <c r="T1378" s="8" t="n">
        <v>0</v>
      </c>
      <c r="U1378" s="8" t="n">
        <v>0.007046215201517381</v>
      </c>
      <c r="V1378" s="6" t="inlineStr">
        <is>
          <t>not selected</t>
        </is>
      </c>
    </row>
    <row r="1379">
      <c r="A1379" s="6" t="inlineStr">
        <is>
          <t>DJ30</t>
        </is>
      </c>
      <c r="B1379" s="6" t="inlineStr">
        <is>
          <t>2023-11-10</t>
        </is>
      </c>
      <c r="C1379" s="6" t="inlineStr">
        <is>
          <t>DIA</t>
        </is>
      </c>
      <c r="D1379" s="6" t="inlineStr">
        <is>
          <t>IBM</t>
        </is>
      </c>
      <c r="E1379" s="6" t="inlineStr">
        <is>
          <t>IBM</t>
        </is>
      </c>
      <c r="F1379" s="6" t="inlineStr">
        <is>
          <t>-</t>
        </is>
      </c>
      <c r="G1379" s="7" t="n">
        <v>138.3851776123047</v>
      </c>
      <c r="H1379" s="6">
        <f>P1348</f>
        <v/>
      </c>
      <c r="I1379" s="9">
        <f>Q1348</f>
        <v/>
      </c>
      <c r="J1379" s="7">
        <f>I1379*G1379</f>
        <v/>
      </c>
      <c r="K1379" s="8">
        <f>IF($J$1396=0,0,J1379/$J$1396)</f>
        <v/>
      </c>
      <c r="L1379" s="6" t="inlineStr">
        <is>
          <t>REJECTED</t>
        </is>
      </c>
      <c r="M1379" s="8" t="n">
        <v>0</v>
      </c>
      <c r="N1379" s="7">
        <f>M1379*$J$1396-J1379</f>
        <v/>
      </c>
      <c r="O1379" s="9">
        <f>IF(G1379=0,0,N1379/G1379)</f>
        <v/>
      </c>
      <c r="P1379" s="6">
        <f>IF(M1379&gt;0,D1379,"")</f>
        <v/>
      </c>
      <c r="Q1379" s="9">
        <f>I1379+O1379</f>
        <v/>
      </c>
      <c r="R1379" s="7">
        <f>Q1379*G1379</f>
        <v/>
      </c>
      <c r="S1379" s="8">
        <f>IF($R$1396=0,0,R1379/$R$1396)</f>
        <v/>
      </c>
      <c r="T1379" s="8" t="n">
        <v>0</v>
      </c>
      <c r="U1379" s="8" t="n">
        <v>0.007046215201517381</v>
      </c>
      <c r="V1379" s="6" t="inlineStr">
        <is>
          <t>not selected</t>
        </is>
      </c>
    </row>
    <row r="1380">
      <c r="A1380" s="6" t="inlineStr">
        <is>
          <t>DJ30</t>
        </is>
      </c>
      <c r="B1380" s="6" t="inlineStr">
        <is>
          <t>2023-11-10</t>
        </is>
      </c>
      <c r="C1380" s="6" t="inlineStr">
        <is>
          <t>DIA</t>
        </is>
      </c>
      <c r="D1380" s="6" t="inlineStr">
        <is>
          <t>JNJ</t>
        </is>
      </c>
      <c r="E1380" s="6" t="inlineStr">
        <is>
          <t>JNJ</t>
        </is>
      </c>
      <c r="F1380" s="6" t="inlineStr">
        <is>
          <t>-</t>
        </is>
      </c>
      <c r="G1380" s="7" t="n">
        <v>135.8836975097656</v>
      </c>
      <c r="H1380" s="6">
        <f>P1349</f>
        <v/>
      </c>
      <c r="I1380" s="9">
        <f>Q1349</f>
        <v/>
      </c>
      <c r="J1380" s="7">
        <f>I1380*G1380</f>
        <v/>
      </c>
      <c r="K1380" s="8">
        <f>IF($J$1396=0,0,J1380/$J$1396)</f>
        <v/>
      </c>
      <c r="L1380" s="6" t="inlineStr">
        <is>
          <t>REJECTED</t>
        </is>
      </c>
      <c r="M1380" s="8" t="n">
        <v>0</v>
      </c>
      <c r="N1380" s="7">
        <f>M1380*$J$1396-J1380</f>
        <v/>
      </c>
      <c r="O1380" s="9">
        <f>IF(G1380=0,0,N1380/G1380)</f>
        <v/>
      </c>
      <c r="P1380" s="6">
        <f>IF(M1380&gt;0,D1380,"")</f>
        <v/>
      </c>
      <c r="Q1380" s="9">
        <f>I1380+O1380</f>
        <v/>
      </c>
      <c r="R1380" s="7">
        <f>Q1380*G1380</f>
        <v/>
      </c>
      <c r="S1380" s="8">
        <f>IF($R$1396=0,0,R1380/$R$1396)</f>
        <v/>
      </c>
      <c r="T1380" s="8" t="n">
        <v>0</v>
      </c>
      <c r="U1380" s="8" t="n">
        <v>0.007046215201517381</v>
      </c>
      <c r="V1380" s="6" t="inlineStr">
        <is>
          <t>not selected</t>
        </is>
      </c>
    </row>
    <row r="1381">
      <c r="A1381" s="6" t="inlineStr">
        <is>
          <t>DJ30</t>
        </is>
      </c>
      <c r="B1381" s="6" t="inlineStr">
        <is>
          <t>2023-11-10</t>
        </is>
      </c>
      <c r="C1381" s="6" t="inlineStr">
        <is>
          <t>DIA</t>
        </is>
      </c>
      <c r="D1381" s="6" t="inlineStr">
        <is>
          <t>JPM</t>
        </is>
      </c>
      <c r="E1381" s="6" t="inlineStr">
        <is>
          <t>JPM</t>
        </is>
      </c>
      <c r="F1381" s="6" t="inlineStr">
        <is>
          <t>-</t>
        </is>
      </c>
      <c r="G1381" s="7" t="n">
        <v>138.7114105224609</v>
      </c>
      <c r="H1381" s="6">
        <f>P1350</f>
        <v/>
      </c>
      <c r="I1381" s="9">
        <f>Q1350</f>
        <v/>
      </c>
      <c r="J1381" s="7">
        <f>I1381*G1381</f>
        <v/>
      </c>
      <c r="K1381" s="8">
        <f>IF($J$1396=0,0,J1381/$J$1396)</f>
        <v/>
      </c>
      <c r="L1381" s="6" t="inlineStr">
        <is>
          <t>REJECTED</t>
        </is>
      </c>
      <c r="M1381" s="8" t="n">
        <v>0</v>
      </c>
      <c r="N1381" s="7">
        <f>M1381*$J$1396-J1381</f>
        <v/>
      </c>
      <c r="O1381" s="9">
        <f>IF(G1381=0,0,N1381/G1381)</f>
        <v/>
      </c>
      <c r="P1381" s="6">
        <f>IF(M1381&gt;0,D1381,"")</f>
        <v/>
      </c>
      <c r="Q1381" s="9">
        <f>I1381+O1381</f>
        <v/>
      </c>
      <c r="R1381" s="7">
        <f>Q1381*G1381</f>
        <v/>
      </c>
      <c r="S1381" s="8">
        <f>IF($R$1396=0,0,R1381/$R$1396)</f>
        <v/>
      </c>
      <c r="T1381" s="8" t="n">
        <v>0</v>
      </c>
      <c r="U1381" s="8" t="n">
        <v>0.007046215201517381</v>
      </c>
      <c r="V1381" s="6" t="inlineStr">
        <is>
          <t>not selected</t>
        </is>
      </c>
    </row>
    <row r="1382">
      <c r="A1382" s="6" t="inlineStr">
        <is>
          <t>DJ30</t>
        </is>
      </c>
      <c r="B1382" s="6" t="inlineStr">
        <is>
          <t>2023-11-10</t>
        </is>
      </c>
      <c r="C1382" s="6" t="inlineStr">
        <is>
          <t>DIA</t>
        </is>
      </c>
      <c r="D1382" s="6" t="inlineStr">
        <is>
          <t>KO</t>
        </is>
      </c>
      <c r="E1382" s="6" t="inlineStr">
        <is>
          <t>KO</t>
        </is>
      </c>
      <c r="F1382" s="6" t="inlineStr">
        <is>
          <t>-</t>
        </is>
      </c>
      <c r="G1382" s="7" t="n">
        <v>52.33927154541016</v>
      </c>
      <c r="H1382" s="6">
        <f>P1351</f>
        <v/>
      </c>
      <c r="I1382" s="9">
        <f>Q1351</f>
        <v/>
      </c>
      <c r="J1382" s="7">
        <f>I1382*G1382</f>
        <v/>
      </c>
      <c r="K1382" s="8">
        <f>IF($J$1396=0,0,J1382/$J$1396)</f>
        <v/>
      </c>
      <c r="L1382" s="6" t="inlineStr">
        <is>
          <t>REJECTED</t>
        </is>
      </c>
      <c r="M1382" s="8" t="n">
        <v>0</v>
      </c>
      <c r="N1382" s="7">
        <f>M1382*$J$1396-J1382</f>
        <v/>
      </c>
      <c r="O1382" s="9">
        <f>IF(G1382=0,0,N1382/G1382)</f>
        <v/>
      </c>
      <c r="P1382" s="6">
        <f>IF(M1382&gt;0,D1382,"")</f>
        <v/>
      </c>
      <c r="Q1382" s="9">
        <f>I1382+O1382</f>
        <v/>
      </c>
      <c r="R1382" s="7">
        <f>Q1382*G1382</f>
        <v/>
      </c>
      <c r="S1382" s="8">
        <f>IF($R$1396=0,0,R1382/$R$1396)</f>
        <v/>
      </c>
      <c r="T1382" s="8" t="n">
        <v>0</v>
      </c>
      <c r="U1382" s="8" t="n">
        <v>0.007046215201517381</v>
      </c>
      <c r="V1382" s="6" t="inlineStr">
        <is>
          <t>not selected</t>
        </is>
      </c>
    </row>
    <row r="1383">
      <c r="A1383" s="6" t="inlineStr">
        <is>
          <t>DJ30</t>
        </is>
      </c>
      <c r="B1383" s="6" t="inlineStr">
        <is>
          <t>2023-11-10</t>
        </is>
      </c>
      <c r="C1383" s="6" t="inlineStr">
        <is>
          <t>DIA</t>
        </is>
      </c>
      <c r="D1383" s="6" t="inlineStr">
        <is>
          <t>MCD</t>
        </is>
      </c>
      <c r="E1383" s="6" t="inlineStr">
        <is>
          <t>MCD</t>
        </is>
      </c>
      <c r="F1383" s="6" t="inlineStr">
        <is>
          <t>-</t>
        </is>
      </c>
      <c r="G1383" s="7" t="n">
        <v>250.8607177734375</v>
      </c>
      <c r="H1383" s="6">
        <f>P1352</f>
        <v/>
      </c>
      <c r="I1383" s="9">
        <f>Q1352</f>
        <v/>
      </c>
      <c r="J1383" s="7">
        <f>I1383*G1383</f>
        <v/>
      </c>
      <c r="K1383" s="8">
        <f>IF($J$1396=0,0,J1383/$J$1396)</f>
        <v/>
      </c>
      <c r="L1383" s="6" t="inlineStr">
        <is>
          <t>REJECTED</t>
        </is>
      </c>
      <c r="M1383" s="8" t="n">
        <v>0</v>
      </c>
      <c r="N1383" s="7">
        <f>M1383*$J$1396-J1383</f>
        <v/>
      </c>
      <c r="O1383" s="9">
        <f>IF(G1383=0,0,N1383/G1383)</f>
        <v/>
      </c>
      <c r="P1383" s="6">
        <f>IF(M1383&gt;0,D1383,"")</f>
        <v/>
      </c>
      <c r="Q1383" s="9">
        <f>I1383+O1383</f>
        <v/>
      </c>
      <c r="R1383" s="7">
        <f>Q1383*G1383</f>
        <v/>
      </c>
      <c r="S1383" s="8">
        <f>IF($R$1396=0,0,R1383/$R$1396)</f>
        <v/>
      </c>
      <c r="T1383" s="8" t="n">
        <v>0</v>
      </c>
      <c r="U1383" s="8" t="n">
        <v>0.007046215201517381</v>
      </c>
      <c r="V1383" s="6" t="inlineStr">
        <is>
          <t>not selected</t>
        </is>
      </c>
    </row>
    <row r="1384">
      <c r="A1384" s="6" t="inlineStr">
        <is>
          <t>DJ30</t>
        </is>
      </c>
      <c r="B1384" s="6" t="inlineStr">
        <is>
          <t>2023-11-10</t>
        </is>
      </c>
      <c r="C1384" s="6" t="inlineStr">
        <is>
          <t>DIA</t>
        </is>
      </c>
      <c r="D1384" s="6" t="inlineStr">
        <is>
          <t>MMM</t>
        </is>
      </c>
      <c r="E1384" s="6" t="inlineStr">
        <is>
          <t>MMM</t>
        </is>
      </c>
      <c r="F1384" s="6" t="inlineStr">
        <is>
          <t>-</t>
        </is>
      </c>
      <c r="G1384" s="7" t="n">
        <v>71.77550506591797</v>
      </c>
      <c r="H1384" s="6">
        <f>P1353</f>
        <v/>
      </c>
      <c r="I1384" s="9">
        <f>Q1353</f>
        <v/>
      </c>
      <c r="J1384" s="7">
        <f>I1384*G1384</f>
        <v/>
      </c>
      <c r="K1384" s="8">
        <f>IF($J$1396=0,0,J1384/$J$1396)</f>
        <v/>
      </c>
      <c r="L1384" s="6" t="inlineStr">
        <is>
          <t>REJECTED</t>
        </is>
      </c>
      <c r="M1384" s="8" t="n">
        <v>0</v>
      </c>
      <c r="N1384" s="7">
        <f>M1384*$J$1396-J1384</f>
        <v/>
      </c>
      <c r="O1384" s="9">
        <f>IF(G1384=0,0,N1384/G1384)</f>
        <v/>
      </c>
      <c r="P1384" s="6">
        <f>IF(M1384&gt;0,D1384,"")</f>
        <v/>
      </c>
      <c r="Q1384" s="9">
        <f>I1384+O1384</f>
        <v/>
      </c>
      <c r="R1384" s="7">
        <f>Q1384*G1384</f>
        <v/>
      </c>
      <c r="S1384" s="8">
        <f>IF($R$1396=0,0,R1384/$R$1396)</f>
        <v/>
      </c>
      <c r="T1384" s="8" t="n">
        <v>0</v>
      </c>
      <c r="U1384" s="8" t="n">
        <v>0.007046215201517381</v>
      </c>
      <c r="V1384" s="6" t="inlineStr">
        <is>
          <t>not selected</t>
        </is>
      </c>
    </row>
    <row r="1385">
      <c r="A1385" s="6" t="inlineStr">
        <is>
          <t>DJ30</t>
        </is>
      </c>
      <c r="B1385" s="6" t="inlineStr">
        <is>
          <t>2023-11-10</t>
        </is>
      </c>
      <c r="C1385" s="6" t="inlineStr">
        <is>
          <t>DIA</t>
        </is>
      </c>
      <c r="D1385" s="6" t="inlineStr">
        <is>
          <t>MRK</t>
        </is>
      </c>
      <c r="E1385" s="6" t="inlineStr">
        <is>
          <t>MRK</t>
        </is>
      </c>
      <c r="F1385" s="6" t="inlineStr">
        <is>
          <t>-</t>
        </is>
      </c>
      <c r="G1385" s="7" t="n">
        <v>93.07272338867188</v>
      </c>
      <c r="H1385" s="6">
        <f>P1354</f>
        <v/>
      </c>
      <c r="I1385" s="9">
        <f>Q1354</f>
        <v/>
      </c>
      <c r="J1385" s="7">
        <f>I1385*G1385</f>
        <v/>
      </c>
      <c r="K1385" s="8">
        <f>IF($J$1396=0,0,J1385/$J$1396)</f>
        <v/>
      </c>
      <c r="L1385" s="6" t="inlineStr">
        <is>
          <t>REJECTED</t>
        </is>
      </c>
      <c r="M1385" s="8" t="n">
        <v>0</v>
      </c>
      <c r="N1385" s="7">
        <f>M1385*$J$1396-J1385</f>
        <v/>
      </c>
      <c r="O1385" s="9">
        <f>IF(G1385=0,0,N1385/G1385)</f>
        <v/>
      </c>
      <c r="P1385" s="6">
        <f>IF(M1385&gt;0,D1385,"")</f>
        <v/>
      </c>
      <c r="Q1385" s="9">
        <f>I1385+O1385</f>
        <v/>
      </c>
      <c r="R1385" s="7">
        <f>Q1385*G1385</f>
        <v/>
      </c>
      <c r="S1385" s="8">
        <f>IF($R$1396=0,0,R1385/$R$1396)</f>
        <v/>
      </c>
      <c r="T1385" s="8" t="n">
        <v>0</v>
      </c>
      <c r="U1385" s="8" t="n">
        <v>0.007046215201517381</v>
      </c>
      <c r="V1385" s="6" t="inlineStr">
        <is>
          <t>not selected</t>
        </is>
      </c>
    </row>
    <row r="1386">
      <c r="A1386" s="6" t="inlineStr">
        <is>
          <t>DJ30</t>
        </is>
      </c>
      <c r="B1386" s="6" t="inlineStr">
        <is>
          <t>2023-11-10</t>
        </is>
      </c>
      <c r="C1386" s="6" t="inlineStr">
        <is>
          <t>DIA</t>
        </is>
      </c>
      <c r="D1386" s="6" t="inlineStr">
        <is>
          <t>MSFT</t>
        </is>
      </c>
      <c r="E1386" s="6" t="inlineStr">
        <is>
          <t>MSFT</t>
        </is>
      </c>
      <c r="F1386" s="6" t="inlineStr">
        <is>
          <t>-</t>
        </is>
      </c>
      <c r="G1386" s="7" t="n">
        <v>361.8898620605469</v>
      </c>
      <c r="H1386" s="6">
        <f>P1355</f>
        <v/>
      </c>
      <c r="I1386" s="9">
        <f>Q1355</f>
        <v/>
      </c>
      <c r="J1386" s="7">
        <f>I1386*G1386</f>
        <v/>
      </c>
      <c r="K1386" s="8">
        <f>IF($J$1396=0,0,J1386/$J$1396)</f>
        <v/>
      </c>
      <c r="L1386" s="6" t="inlineStr">
        <is>
          <t>REJECTED</t>
        </is>
      </c>
      <c r="M1386" s="8" t="n">
        <v>0</v>
      </c>
      <c r="N1386" s="7">
        <f>M1386*$J$1396-J1386</f>
        <v/>
      </c>
      <c r="O1386" s="9">
        <f>IF(G1386=0,0,N1386/G1386)</f>
        <v/>
      </c>
      <c r="P1386" s="6">
        <f>IF(M1386&gt;0,D1386,"")</f>
        <v/>
      </c>
      <c r="Q1386" s="9">
        <f>I1386+O1386</f>
        <v/>
      </c>
      <c r="R1386" s="7">
        <f>Q1386*G1386</f>
        <v/>
      </c>
      <c r="S1386" s="8">
        <f>IF($R$1396=0,0,R1386/$R$1396)</f>
        <v/>
      </c>
      <c r="T1386" s="8" t="n">
        <v>0</v>
      </c>
      <c r="U1386" s="8" t="n">
        <v>0.007046215201517381</v>
      </c>
      <c r="V1386" s="6" t="inlineStr">
        <is>
          <t>not selected</t>
        </is>
      </c>
    </row>
    <row r="1387">
      <c r="A1387" s="6" t="inlineStr">
        <is>
          <t>DJ30</t>
        </is>
      </c>
      <c r="B1387" s="6" t="inlineStr">
        <is>
          <t>2023-11-10</t>
        </is>
      </c>
      <c r="C1387" s="6" t="inlineStr">
        <is>
          <t>DIA</t>
        </is>
      </c>
      <c r="D1387" s="6" t="inlineStr">
        <is>
          <t>NKE</t>
        </is>
      </c>
      <c r="E1387" s="6" t="inlineStr">
        <is>
          <t>NKE</t>
        </is>
      </c>
      <c r="F1387" s="6" t="inlineStr">
        <is>
          <t>-</t>
        </is>
      </c>
      <c r="G1387" s="7" t="n">
        <v>100.0193328857422</v>
      </c>
      <c r="H1387" s="6">
        <f>P1356</f>
        <v/>
      </c>
      <c r="I1387" s="9">
        <f>Q1356</f>
        <v/>
      </c>
      <c r="J1387" s="7">
        <f>I1387*G1387</f>
        <v/>
      </c>
      <c r="K1387" s="8">
        <f>IF($J$1396=0,0,J1387/$J$1396)</f>
        <v/>
      </c>
      <c r="L1387" s="6" t="inlineStr">
        <is>
          <t>REJECTED</t>
        </is>
      </c>
      <c r="M1387" s="8" t="n">
        <v>0</v>
      </c>
      <c r="N1387" s="7">
        <f>M1387*$J$1396-J1387</f>
        <v/>
      </c>
      <c r="O1387" s="9">
        <f>IF(G1387=0,0,N1387/G1387)</f>
        <v/>
      </c>
      <c r="P1387" s="6">
        <f>IF(M1387&gt;0,D1387,"")</f>
        <v/>
      </c>
      <c r="Q1387" s="9">
        <f>I1387+O1387</f>
        <v/>
      </c>
      <c r="R1387" s="7">
        <f>Q1387*G1387</f>
        <v/>
      </c>
      <c r="S1387" s="8">
        <f>IF($R$1396=0,0,R1387/$R$1396)</f>
        <v/>
      </c>
      <c r="T1387" s="8" t="n">
        <v>0</v>
      </c>
      <c r="U1387" s="8" t="n">
        <v>0.007046215201517381</v>
      </c>
      <c r="V1387" s="6" t="inlineStr">
        <is>
          <t>not selected</t>
        </is>
      </c>
    </row>
    <row r="1388">
      <c r="A1388" s="6" t="inlineStr">
        <is>
          <t>DJ30</t>
        </is>
      </c>
      <c r="B1388" s="6" t="inlineStr">
        <is>
          <t>2023-11-10</t>
        </is>
      </c>
      <c r="C1388" s="6" t="inlineStr">
        <is>
          <t>DIA</t>
        </is>
      </c>
      <c r="D1388" s="6" t="inlineStr">
        <is>
          <t>NVDA</t>
        </is>
      </c>
      <c r="E1388" s="6" t="inlineStr">
        <is>
          <t>NVDA</t>
        </is>
      </c>
      <c r="F1388" s="6" t="inlineStr">
        <is>
          <t>-</t>
        </is>
      </c>
      <c r="G1388" s="7" t="n">
        <v>48.2449951171875</v>
      </c>
      <c r="H1388" s="6">
        <f>P1357</f>
        <v/>
      </c>
      <c r="I1388" s="9">
        <f>Q1357</f>
        <v/>
      </c>
      <c r="J1388" s="7">
        <f>I1388*G1388</f>
        <v/>
      </c>
      <c r="K1388" s="8">
        <f>IF($J$1396=0,0,J1388/$J$1396)</f>
        <v/>
      </c>
      <c r="L1388" s="6" t="inlineStr">
        <is>
          <t>REJECTED</t>
        </is>
      </c>
      <c r="M1388" s="8" t="n">
        <v>0</v>
      </c>
      <c r="N1388" s="7">
        <f>M1388*$J$1396-J1388</f>
        <v/>
      </c>
      <c r="O1388" s="9">
        <f>IF(G1388=0,0,N1388/G1388)</f>
        <v/>
      </c>
      <c r="P1388" s="6">
        <f>IF(M1388&gt;0,D1388,"")</f>
        <v/>
      </c>
      <c r="Q1388" s="9">
        <f>I1388+O1388</f>
        <v/>
      </c>
      <c r="R1388" s="7">
        <f>Q1388*G1388</f>
        <v/>
      </c>
      <c r="S1388" s="8">
        <f>IF($R$1396=0,0,R1388/$R$1396)</f>
        <v/>
      </c>
      <c r="T1388" s="8" t="n">
        <v>0</v>
      </c>
      <c r="U1388" s="8" t="n">
        <v>0.007046215201517381</v>
      </c>
      <c r="V1388" s="6" t="inlineStr">
        <is>
          <t>not selected</t>
        </is>
      </c>
    </row>
    <row r="1389">
      <c r="A1389" s="6" t="inlineStr">
        <is>
          <t>DJ30</t>
        </is>
      </c>
      <c r="B1389" s="6" t="inlineStr">
        <is>
          <t>2023-11-10</t>
        </is>
      </c>
      <c r="C1389" s="6" t="inlineStr">
        <is>
          <t>DIA</t>
        </is>
      </c>
      <c r="D1389" s="6" t="inlineStr">
        <is>
          <t>PG</t>
        </is>
      </c>
      <c r="E1389" s="6" t="inlineStr">
        <is>
          <t>PG</t>
        </is>
      </c>
      <c r="F1389" s="6" t="inlineStr">
        <is>
          <t>-</t>
        </is>
      </c>
      <c r="G1389" s="7" t="n">
        <v>141.8467102050781</v>
      </c>
      <c r="H1389" s="6">
        <f>P1358</f>
        <v/>
      </c>
      <c r="I1389" s="9">
        <f>Q1358</f>
        <v/>
      </c>
      <c r="J1389" s="7">
        <f>I1389*G1389</f>
        <v/>
      </c>
      <c r="K1389" s="8">
        <f>IF($J$1396=0,0,J1389/$J$1396)</f>
        <v/>
      </c>
      <c r="L1389" s="6" t="inlineStr">
        <is>
          <t>REJECTED</t>
        </is>
      </c>
      <c r="M1389" s="8" t="n">
        <v>0</v>
      </c>
      <c r="N1389" s="7">
        <f>M1389*$J$1396-J1389</f>
        <v/>
      </c>
      <c r="O1389" s="9">
        <f>IF(G1389=0,0,N1389/G1389)</f>
        <v/>
      </c>
      <c r="P1389" s="6">
        <f>IF(M1389&gt;0,D1389,"")</f>
        <v/>
      </c>
      <c r="Q1389" s="9">
        <f>I1389+O1389</f>
        <v/>
      </c>
      <c r="R1389" s="7">
        <f>Q1389*G1389</f>
        <v/>
      </c>
      <c r="S1389" s="8">
        <f>IF($R$1396=0,0,R1389/$R$1396)</f>
        <v/>
      </c>
      <c r="T1389" s="8" t="n">
        <v>0</v>
      </c>
      <c r="U1389" s="8" t="n">
        <v>0.007046215201517381</v>
      </c>
      <c r="V1389" s="6" t="inlineStr">
        <is>
          <t>not selected</t>
        </is>
      </c>
    </row>
    <row r="1390">
      <c r="A1390" s="6" t="inlineStr">
        <is>
          <t>DJ30</t>
        </is>
      </c>
      <c r="B1390" s="6" t="inlineStr">
        <is>
          <t>2023-11-10</t>
        </is>
      </c>
      <c r="C1390" s="6" t="inlineStr">
        <is>
          <t>DIA</t>
        </is>
      </c>
      <c r="D1390" s="6" t="inlineStr">
        <is>
          <t>SHW</t>
        </is>
      </c>
      <c r="E1390" s="6" t="inlineStr">
        <is>
          <t>SHW</t>
        </is>
      </c>
      <c r="F1390" s="6" t="inlineStr">
        <is>
          <t>-</t>
        </is>
      </c>
      <c r="G1390" s="7" t="n">
        <v>249.6102905273437</v>
      </c>
      <c r="H1390" s="6">
        <f>P1359</f>
        <v/>
      </c>
      <c r="I1390" s="9">
        <f>Q1359</f>
        <v/>
      </c>
      <c r="J1390" s="7">
        <f>I1390*G1390</f>
        <v/>
      </c>
      <c r="K1390" s="8">
        <f>IF($J$1396=0,0,J1390/$J$1396)</f>
        <v/>
      </c>
      <c r="L1390" s="6" t="inlineStr">
        <is>
          <t>REJECTED</t>
        </is>
      </c>
      <c r="M1390" s="8" t="n">
        <v>0</v>
      </c>
      <c r="N1390" s="7">
        <f>M1390*$J$1396-J1390</f>
        <v/>
      </c>
      <c r="O1390" s="9">
        <f>IF(G1390=0,0,N1390/G1390)</f>
        <v/>
      </c>
      <c r="P1390" s="6">
        <f>IF(M1390&gt;0,D1390,"")</f>
        <v/>
      </c>
      <c r="Q1390" s="9">
        <f>I1390+O1390</f>
        <v/>
      </c>
      <c r="R1390" s="7">
        <f>Q1390*G1390</f>
        <v/>
      </c>
      <c r="S1390" s="8">
        <f>IF($R$1396=0,0,R1390/$R$1396)</f>
        <v/>
      </c>
      <c r="T1390" s="8" t="n">
        <v>0</v>
      </c>
      <c r="U1390" s="8" t="n">
        <v>0.007046215201517381</v>
      </c>
      <c r="V1390" s="6" t="inlineStr">
        <is>
          <t>not selected</t>
        </is>
      </c>
    </row>
    <row r="1391">
      <c r="A1391" s="6" t="inlineStr">
        <is>
          <t>DJ30</t>
        </is>
      </c>
      <c r="B1391" s="6" t="inlineStr">
        <is>
          <t>2023-11-10</t>
        </is>
      </c>
      <c r="C1391" s="6" t="inlineStr">
        <is>
          <t>DIA</t>
        </is>
      </c>
      <c r="D1391" s="6" t="inlineStr">
        <is>
          <t>TRV</t>
        </is>
      </c>
      <c r="E1391" s="6" t="inlineStr">
        <is>
          <t>TRV</t>
        </is>
      </c>
      <c r="F1391" s="6" t="inlineStr">
        <is>
          <t>-</t>
        </is>
      </c>
      <c r="G1391" s="7" t="n">
        <v>162.0779418945312</v>
      </c>
      <c r="H1391" s="6">
        <f>P1360</f>
        <v/>
      </c>
      <c r="I1391" s="9">
        <f>Q1360</f>
        <v/>
      </c>
      <c r="J1391" s="7">
        <f>I1391*G1391</f>
        <v/>
      </c>
      <c r="K1391" s="8">
        <f>IF($J$1396=0,0,J1391/$J$1396)</f>
        <v/>
      </c>
      <c r="L1391" s="6" t="inlineStr">
        <is>
          <t>REJECTED</t>
        </is>
      </c>
      <c r="M1391" s="8" t="n">
        <v>0</v>
      </c>
      <c r="N1391" s="7">
        <f>M1391*$J$1396-J1391</f>
        <v/>
      </c>
      <c r="O1391" s="9">
        <f>IF(G1391=0,0,N1391/G1391)</f>
        <v/>
      </c>
      <c r="P1391" s="6">
        <f>IF(M1391&gt;0,D1391,"")</f>
        <v/>
      </c>
      <c r="Q1391" s="9">
        <f>I1391+O1391</f>
        <v/>
      </c>
      <c r="R1391" s="7">
        <f>Q1391*G1391</f>
        <v/>
      </c>
      <c r="S1391" s="8">
        <f>IF($R$1396=0,0,R1391/$R$1396)</f>
        <v/>
      </c>
      <c r="T1391" s="8" t="n">
        <v>0</v>
      </c>
      <c r="U1391" s="8" t="n">
        <v>0.007046215201517381</v>
      </c>
      <c r="V1391" s="6" t="inlineStr">
        <is>
          <t>not selected</t>
        </is>
      </c>
    </row>
    <row r="1392">
      <c r="A1392" s="6" t="inlineStr">
        <is>
          <t>DJ30</t>
        </is>
      </c>
      <c r="B1392" s="6" t="inlineStr">
        <is>
          <t>2023-11-10</t>
        </is>
      </c>
      <c r="C1392" s="6" t="inlineStr">
        <is>
          <t>DIA</t>
        </is>
      </c>
      <c r="D1392" s="6" t="inlineStr">
        <is>
          <t>UNH</t>
        </is>
      </c>
      <c r="E1392" s="6" t="inlineStr">
        <is>
          <t>UNH</t>
        </is>
      </c>
      <c r="F1392" s="6" t="inlineStr">
        <is>
          <t>-</t>
        </is>
      </c>
      <c r="G1392" s="7" t="n">
        <v>511.3725891113281</v>
      </c>
      <c r="H1392" s="6">
        <f>P1361</f>
        <v/>
      </c>
      <c r="I1392" s="9">
        <f>Q1361</f>
        <v/>
      </c>
      <c r="J1392" s="7">
        <f>I1392*G1392</f>
        <v/>
      </c>
      <c r="K1392" s="8">
        <f>IF($J$1396=0,0,J1392/$J$1396)</f>
        <v/>
      </c>
      <c r="L1392" s="6" t="inlineStr">
        <is>
          <t>REJECTED</t>
        </is>
      </c>
      <c r="M1392" s="8" t="n">
        <v>0</v>
      </c>
      <c r="N1392" s="7">
        <f>M1392*$J$1396-J1392</f>
        <v/>
      </c>
      <c r="O1392" s="9">
        <f>IF(G1392=0,0,N1392/G1392)</f>
        <v/>
      </c>
      <c r="P1392" s="6">
        <f>IF(M1392&gt;0,D1392,"")</f>
        <v/>
      </c>
      <c r="Q1392" s="9">
        <f>I1392+O1392</f>
        <v/>
      </c>
      <c r="R1392" s="7">
        <f>Q1392*G1392</f>
        <v/>
      </c>
      <c r="S1392" s="8">
        <f>IF($R$1396=0,0,R1392/$R$1396)</f>
        <v/>
      </c>
      <c r="T1392" s="8" t="n">
        <v>0</v>
      </c>
      <c r="U1392" s="8" t="n">
        <v>0.007046215201517381</v>
      </c>
      <c r="V1392" s="6" t="inlineStr">
        <is>
          <t>not selected</t>
        </is>
      </c>
    </row>
    <row r="1393">
      <c r="A1393" s="6" t="inlineStr">
        <is>
          <t>DJ30</t>
        </is>
      </c>
      <c r="B1393" s="6" t="inlineStr">
        <is>
          <t>2023-11-10</t>
        </is>
      </c>
      <c r="C1393" s="6" t="inlineStr">
        <is>
          <t>DIA</t>
        </is>
      </c>
      <c r="D1393" s="6" t="inlineStr">
        <is>
          <t>V</t>
        </is>
      </c>
      <c r="E1393" s="6" t="inlineStr">
        <is>
          <t>V</t>
        </is>
      </c>
      <c r="F1393" s="6" t="inlineStr">
        <is>
          <t>-</t>
        </is>
      </c>
      <c r="G1393" s="7" t="n">
        <v>240.6768188476562</v>
      </c>
      <c r="H1393" s="6">
        <f>P1362</f>
        <v/>
      </c>
      <c r="I1393" s="9">
        <f>Q1362</f>
        <v/>
      </c>
      <c r="J1393" s="7">
        <f>I1393*G1393</f>
        <v/>
      </c>
      <c r="K1393" s="8">
        <f>IF($J$1396=0,0,J1393/$J$1396)</f>
        <v/>
      </c>
      <c r="L1393" s="6" t="inlineStr">
        <is>
          <t>REJECTED</t>
        </is>
      </c>
      <c r="M1393" s="8" t="n">
        <v>0</v>
      </c>
      <c r="N1393" s="7">
        <f>M1393*$J$1396-J1393</f>
        <v/>
      </c>
      <c r="O1393" s="9">
        <f>IF(G1393=0,0,N1393/G1393)</f>
        <v/>
      </c>
      <c r="P1393" s="6">
        <f>IF(M1393&gt;0,D1393,"")</f>
        <v/>
      </c>
      <c r="Q1393" s="9">
        <f>I1393+O1393</f>
        <v/>
      </c>
      <c r="R1393" s="7">
        <f>Q1393*G1393</f>
        <v/>
      </c>
      <c r="S1393" s="8">
        <f>IF($R$1396=0,0,R1393/$R$1396)</f>
        <v/>
      </c>
      <c r="T1393" s="8" t="n">
        <v>0</v>
      </c>
      <c r="U1393" s="8" t="n">
        <v>0.007046215201517381</v>
      </c>
      <c r="V1393" s="6" t="inlineStr">
        <is>
          <t>not selected</t>
        </is>
      </c>
    </row>
    <row r="1394">
      <c r="A1394" s="6" t="inlineStr">
        <is>
          <t>DJ30</t>
        </is>
      </c>
      <c r="B1394" s="6" t="inlineStr">
        <is>
          <t>2023-11-10</t>
        </is>
      </c>
      <c r="C1394" s="6" t="inlineStr">
        <is>
          <t>DIA</t>
        </is>
      </c>
      <c r="D1394" s="6" t="inlineStr">
        <is>
          <t>VZ</t>
        </is>
      </c>
      <c r="E1394" s="6" t="inlineStr">
        <is>
          <t>VZ</t>
        </is>
      </c>
      <c r="F1394" s="6" t="inlineStr">
        <is>
          <t>-</t>
        </is>
      </c>
      <c r="G1394" s="7" t="n">
        <v>30.33217811584473</v>
      </c>
      <c r="H1394" s="6">
        <f>P1363</f>
        <v/>
      </c>
      <c r="I1394" s="9">
        <f>Q1363</f>
        <v/>
      </c>
      <c r="J1394" s="7">
        <f>I1394*G1394</f>
        <v/>
      </c>
      <c r="K1394" s="8">
        <f>IF($J$1396=0,0,J1394/$J$1396)</f>
        <v/>
      </c>
      <c r="L1394" s="6" t="inlineStr">
        <is>
          <t>REJECTED</t>
        </is>
      </c>
      <c r="M1394" s="8" t="n">
        <v>0</v>
      </c>
      <c r="N1394" s="7">
        <f>M1394*$J$1396-J1394</f>
        <v/>
      </c>
      <c r="O1394" s="9">
        <f>IF(G1394=0,0,N1394/G1394)</f>
        <v/>
      </c>
      <c r="P1394" s="6">
        <f>IF(M1394&gt;0,D1394,"")</f>
        <v/>
      </c>
      <c r="Q1394" s="9">
        <f>I1394+O1394</f>
        <v/>
      </c>
      <c r="R1394" s="7">
        <f>Q1394*G1394</f>
        <v/>
      </c>
      <c r="S1394" s="8">
        <f>IF($R$1396=0,0,R1394/$R$1396)</f>
        <v/>
      </c>
      <c r="T1394" s="8" t="n">
        <v>0</v>
      </c>
      <c r="U1394" s="8" t="n">
        <v>0.007046215201517381</v>
      </c>
      <c r="V1394" s="6" t="inlineStr">
        <is>
          <t>not selected</t>
        </is>
      </c>
    </row>
    <row r="1395">
      <c r="A1395" s="6" t="inlineStr">
        <is>
          <t>DJ30</t>
        </is>
      </c>
      <c r="B1395" s="6" t="inlineStr">
        <is>
          <t>2023-11-10</t>
        </is>
      </c>
      <c r="C1395" s="6" t="inlineStr">
        <is>
          <t>DIA</t>
        </is>
      </c>
      <c r="D1395" s="6" t="inlineStr">
        <is>
          <t>WMT</t>
        </is>
      </c>
      <c r="E1395" s="6" t="inlineStr">
        <is>
          <t>WMT</t>
        </is>
      </c>
      <c r="F1395" s="6" t="inlineStr">
        <is>
          <t>-</t>
        </is>
      </c>
      <c r="G1395" s="7" t="n">
        <v>53.80756378173828</v>
      </c>
      <c r="H1395" s="6">
        <f>P1364</f>
        <v/>
      </c>
      <c r="I1395" s="9">
        <f>Q1364</f>
        <v/>
      </c>
      <c r="J1395" s="7">
        <f>I1395*G1395</f>
        <v/>
      </c>
      <c r="K1395" s="8">
        <f>IF($J$1396=0,0,J1395/$J$1396)</f>
        <v/>
      </c>
      <c r="L1395" s="6" t="inlineStr">
        <is>
          <t>REJECTED</t>
        </is>
      </c>
      <c r="M1395" s="8" t="n">
        <v>0</v>
      </c>
      <c r="N1395" s="7">
        <f>M1395*$J$1396-J1395</f>
        <v/>
      </c>
      <c r="O1395" s="9">
        <f>IF(G1395=0,0,N1395/G1395)</f>
        <v/>
      </c>
      <c r="P1395" s="6">
        <f>IF(M1395&gt;0,D1395,"")</f>
        <v/>
      </c>
      <c r="Q1395" s="9">
        <f>I1395+O1395</f>
        <v/>
      </c>
      <c r="R1395" s="7">
        <f>Q1395*G1395</f>
        <v/>
      </c>
      <c r="S1395" s="8">
        <f>IF($R$1396=0,0,R1395/$R$1396)</f>
        <v/>
      </c>
      <c r="T1395" s="8" t="n">
        <v>0</v>
      </c>
      <c r="U1395" s="8" t="n">
        <v>0.007046215201517381</v>
      </c>
      <c r="V1395" s="6" t="inlineStr">
        <is>
          <t>not selected</t>
        </is>
      </c>
    </row>
    <row r="1396">
      <c r="A1396" s="10" t="inlineStr">
        <is>
          <t>DJ30</t>
        </is>
      </c>
      <c r="B1396" s="10" t="inlineStr">
        <is>
          <t>2023-11-10</t>
        </is>
      </c>
      <c r="C1396" s="10" t="inlineStr">
        <is>
          <t>DIA</t>
        </is>
      </c>
      <c r="D1396" s="10" t="inlineStr">
        <is>
          <t>Tot Portfolio</t>
        </is>
      </c>
      <c r="E1396" s="10" t="inlineStr"/>
      <c r="F1396" s="10" t="inlineStr"/>
      <c r="G1396" s="11" t="inlineStr"/>
      <c r="H1396" s="10" t="inlineStr"/>
      <c r="I1396" s="12" t="inlineStr"/>
      <c r="J1396" s="11">
        <f>SUM(J1366:J1395)</f>
        <v/>
      </c>
      <c r="K1396" s="13">
        <f>SUM(K1366:K1395)</f>
        <v/>
      </c>
      <c r="L1396" s="10" t="inlineStr">
        <is>
          <t>TOTAL</t>
        </is>
      </c>
      <c r="M1396" s="13">
        <f>SUM(M1366:M1395)</f>
        <v/>
      </c>
      <c r="N1396" s="11">
        <f>SUM(N1366:N1395)</f>
        <v/>
      </c>
      <c r="O1396" s="12">
        <f>SUM(O1366:O1395)</f>
        <v/>
      </c>
      <c r="P1396" s="10" t="inlineStr"/>
      <c r="Q1396" s="12" t="inlineStr"/>
      <c r="R1396" s="11">
        <f>SUM(R1366:R1395)</f>
        <v/>
      </c>
      <c r="S1396" s="13">
        <f>SUM(S1366:S1395)</f>
        <v/>
      </c>
      <c r="T1396" s="13" t="n">
        <v>0</v>
      </c>
      <c r="U1396" s="13" t="n">
        <v>0.007046215201517381</v>
      </c>
      <c r="V1396" s="10" t="inlineStr"/>
    </row>
    <row r="1397">
      <c r="A1397" s="6" t="inlineStr">
        <is>
          <t>DJ30</t>
        </is>
      </c>
      <c r="B1397" s="6" t="inlineStr">
        <is>
          <t>2023-11-17</t>
        </is>
      </c>
      <c r="C1397" s="6" t="inlineStr">
        <is>
          <t>DIA</t>
        </is>
      </c>
      <c r="D1397" s="6" t="inlineStr">
        <is>
          <t>AAPL</t>
        </is>
      </c>
      <c r="E1397" s="6" t="inlineStr">
        <is>
          <t>AAPL</t>
        </is>
      </c>
      <c r="F1397" s="6" t="inlineStr">
        <is>
          <t>-</t>
        </is>
      </c>
      <c r="G1397" s="7" t="n">
        <v>187.5668640136719</v>
      </c>
      <c r="H1397" s="6">
        <f>P1366</f>
        <v/>
      </c>
      <c r="I1397" s="9">
        <f>Q1366</f>
        <v/>
      </c>
      <c r="J1397" s="7">
        <f>I1397*G1397</f>
        <v/>
      </c>
      <c r="K1397" s="8">
        <f>IF($J$1427=0,0,J1397/$J$1427)</f>
        <v/>
      </c>
      <c r="L1397" s="6" t="inlineStr">
        <is>
          <t>REJECTED</t>
        </is>
      </c>
      <c r="M1397" s="8" t="n">
        <v>0</v>
      </c>
      <c r="N1397" s="7">
        <f>M1397*$J$1427-J1397</f>
        <v/>
      </c>
      <c r="O1397" s="9">
        <f>IF(G1397=0,0,N1397/G1397)</f>
        <v/>
      </c>
      <c r="P1397" s="6">
        <f>IF(M1397&gt;0,D1397,"")</f>
        <v/>
      </c>
      <c r="Q1397" s="9">
        <f>I1397+O1397</f>
        <v/>
      </c>
      <c r="R1397" s="7">
        <f>Q1397*G1397</f>
        <v/>
      </c>
      <c r="S1397" s="8">
        <f>IF($R$1427=0,0,R1397/$R$1427)</f>
        <v/>
      </c>
      <c r="T1397" s="8" t="n">
        <v>0</v>
      </c>
      <c r="U1397" s="8" t="n">
        <v>0.0207782815628188</v>
      </c>
      <c r="V1397" s="6" t="inlineStr">
        <is>
          <t>not selected</t>
        </is>
      </c>
    </row>
    <row r="1398">
      <c r="A1398" s="6" t="inlineStr">
        <is>
          <t>DJ30</t>
        </is>
      </c>
      <c r="B1398" s="6" t="inlineStr">
        <is>
          <t>2023-11-17</t>
        </is>
      </c>
      <c r="C1398" s="6" t="inlineStr">
        <is>
          <t>DIA</t>
        </is>
      </c>
      <c r="D1398" s="6" t="inlineStr">
        <is>
          <t>AMGN</t>
        </is>
      </c>
      <c r="E1398" s="6" t="inlineStr">
        <is>
          <t>AMGN</t>
        </is>
      </c>
      <c r="F1398" s="6" t="inlineStr">
        <is>
          <t>-</t>
        </is>
      </c>
      <c r="G1398" s="7" t="n">
        <v>245.91162109375</v>
      </c>
      <c r="H1398" s="6">
        <f>P1367</f>
        <v/>
      </c>
      <c r="I1398" s="9">
        <f>Q1367</f>
        <v/>
      </c>
      <c r="J1398" s="7">
        <f>I1398*G1398</f>
        <v/>
      </c>
      <c r="K1398" s="8">
        <f>IF($J$1427=0,0,J1398/$J$1427)</f>
        <v/>
      </c>
      <c r="L1398" s="6" t="inlineStr">
        <is>
          <t>REJECTED</t>
        </is>
      </c>
      <c r="M1398" s="8" t="n">
        <v>0</v>
      </c>
      <c r="N1398" s="7">
        <f>M1398*$J$1427-J1398</f>
        <v/>
      </c>
      <c r="O1398" s="9">
        <f>IF(G1398=0,0,N1398/G1398)</f>
        <v/>
      </c>
      <c r="P1398" s="6">
        <f>IF(M1398&gt;0,D1398,"")</f>
        <v/>
      </c>
      <c r="Q1398" s="9">
        <f>I1398+O1398</f>
        <v/>
      </c>
      <c r="R1398" s="7">
        <f>Q1398*G1398</f>
        <v/>
      </c>
      <c r="S1398" s="8">
        <f>IF($R$1427=0,0,R1398/$R$1427)</f>
        <v/>
      </c>
      <c r="T1398" s="8" t="n">
        <v>0</v>
      </c>
      <c r="U1398" s="8" t="n">
        <v>0.0207782815628188</v>
      </c>
      <c r="V1398" s="6" t="inlineStr">
        <is>
          <t>not selected</t>
        </is>
      </c>
    </row>
    <row r="1399">
      <c r="A1399" s="6" t="inlineStr">
        <is>
          <t>DJ30</t>
        </is>
      </c>
      <c r="B1399" s="6" t="inlineStr">
        <is>
          <t>2023-11-17</t>
        </is>
      </c>
      <c r="C1399" s="6" t="inlineStr">
        <is>
          <t>DIA</t>
        </is>
      </c>
      <c r="D1399" s="6" t="inlineStr">
        <is>
          <t>AMZN</t>
        </is>
      </c>
      <c r="E1399" s="6" t="inlineStr">
        <is>
          <t>AMZN</t>
        </is>
      </c>
      <c r="F1399" s="6" t="inlineStr">
        <is>
          <t>-</t>
        </is>
      </c>
      <c r="G1399" s="7" t="n">
        <v>145.1799926757812</v>
      </c>
      <c r="H1399" s="6">
        <f>P1368</f>
        <v/>
      </c>
      <c r="I1399" s="9">
        <f>Q1368</f>
        <v/>
      </c>
      <c r="J1399" s="7">
        <f>I1399*G1399</f>
        <v/>
      </c>
      <c r="K1399" s="8">
        <f>IF($J$1427=0,0,J1399/$J$1427)</f>
        <v/>
      </c>
      <c r="L1399" s="6" t="inlineStr">
        <is>
          <t>REJECTED</t>
        </is>
      </c>
      <c r="M1399" s="8" t="n">
        <v>0</v>
      </c>
      <c r="N1399" s="7">
        <f>M1399*$J$1427-J1399</f>
        <v/>
      </c>
      <c r="O1399" s="9">
        <f>IF(G1399=0,0,N1399/G1399)</f>
        <v/>
      </c>
      <c r="P1399" s="6">
        <f>IF(M1399&gt;0,D1399,"")</f>
        <v/>
      </c>
      <c r="Q1399" s="9">
        <f>I1399+O1399</f>
        <v/>
      </c>
      <c r="R1399" s="7">
        <f>Q1399*G1399</f>
        <v/>
      </c>
      <c r="S1399" s="8">
        <f>IF($R$1427=0,0,R1399/$R$1427)</f>
        <v/>
      </c>
      <c r="T1399" s="8" t="n">
        <v>0</v>
      </c>
      <c r="U1399" s="8" t="n">
        <v>0.0207782815628188</v>
      </c>
      <c r="V1399" s="6" t="inlineStr">
        <is>
          <t>not selected</t>
        </is>
      </c>
    </row>
    <row r="1400">
      <c r="A1400" s="6" t="inlineStr">
        <is>
          <t>DJ30</t>
        </is>
      </c>
      <c r="B1400" s="6" t="inlineStr">
        <is>
          <t>2023-11-17</t>
        </is>
      </c>
      <c r="C1400" s="6" t="inlineStr">
        <is>
          <t>DIA</t>
        </is>
      </c>
      <c r="D1400" s="6" t="inlineStr">
        <is>
          <t>AXP</t>
        </is>
      </c>
      <c r="E1400" s="6" t="inlineStr">
        <is>
          <t>AXP</t>
        </is>
      </c>
      <c r="F1400" s="6" t="inlineStr">
        <is>
          <t>-</t>
        </is>
      </c>
      <c r="G1400" s="7" t="n">
        <v>158.0725555419922</v>
      </c>
      <c r="H1400" s="6">
        <f>P1369</f>
        <v/>
      </c>
      <c r="I1400" s="9">
        <f>Q1369</f>
        <v/>
      </c>
      <c r="J1400" s="7">
        <f>I1400*G1400</f>
        <v/>
      </c>
      <c r="K1400" s="8">
        <f>IF($J$1427=0,0,J1400/$J$1427)</f>
        <v/>
      </c>
      <c r="L1400" s="6" t="inlineStr">
        <is>
          <t>REJECTED</t>
        </is>
      </c>
      <c r="M1400" s="8" t="n">
        <v>0</v>
      </c>
      <c r="N1400" s="7">
        <f>M1400*$J$1427-J1400</f>
        <v/>
      </c>
      <c r="O1400" s="9">
        <f>IF(G1400=0,0,N1400/G1400)</f>
        <v/>
      </c>
      <c r="P1400" s="6">
        <f>IF(M1400&gt;0,D1400,"")</f>
        <v/>
      </c>
      <c r="Q1400" s="9">
        <f>I1400+O1400</f>
        <v/>
      </c>
      <c r="R1400" s="7">
        <f>Q1400*G1400</f>
        <v/>
      </c>
      <c r="S1400" s="8">
        <f>IF($R$1427=0,0,R1400/$R$1427)</f>
        <v/>
      </c>
      <c r="T1400" s="8" t="n">
        <v>0</v>
      </c>
      <c r="U1400" s="8" t="n">
        <v>0.0207782815628188</v>
      </c>
      <c r="V1400" s="6" t="inlineStr">
        <is>
          <t>not selected</t>
        </is>
      </c>
    </row>
    <row r="1401">
      <c r="A1401" s="6" t="inlineStr">
        <is>
          <t>DJ30</t>
        </is>
      </c>
      <c r="B1401" s="6" t="inlineStr">
        <is>
          <t>2023-11-17</t>
        </is>
      </c>
      <c r="C1401" s="6" t="inlineStr">
        <is>
          <t>DIA</t>
        </is>
      </c>
      <c r="D1401" s="6" t="inlineStr">
        <is>
          <t>BA</t>
        </is>
      </c>
      <c r="E1401" s="6" t="inlineStr">
        <is>
          <t>BA</t>
        </is>
      </c>
      <c r="F1401" s="6" t="inlineStr">
        <is>
          <t>-</t>
        </is>
      </c>
      <c r="G1401" s="7" t="n">
        <v>208.0399932861328</v>
      </c>
      <c r="H1401" s="6">
        <f>P1370</f>
        <v/>
      </c>
      <c r="I1401" s="9">
        <f>Q1370</f>
        <v/>
      </c>
      <c r="J1401" s="7">
        <f>I1401*G1401</f>
        <v/>
      </c>
      <c r="K1401" s="8">
        <f>IF($J$1427=0,0,J1401/$J$1427)</f>
        <v/>
      </c>
      <c r="L1401" s="6" t="inlineStr">
        <is>
          <t>REJECTED</t>
        </is>
      </c>
      <c r="M1401" s="8" t="n">
        <v>0</v>
      </c>
      <c r="N1401" s="7">
        <f>M1401*$J$1427-J1401</f>
        <v/>
      </c>
      <c r="O1401" s="9">
        <f>IF(G1401=0,0,N1401/G1401)</f>
        <v/>
      </c>
      <c r="P1401" s="6">
        <f>IF(M1401&gt;0,D1401,"")</f>
        <v/>
      </c>
      <c r="Q1401" s="9">
        <f>I1401+O1401</f>
        <v/>
      </c>
      <c r="R1401" s="7">
        <f>Q1401*G1401</f>
        <v/>
      </c>
      <c r="S1401" s="8">
        <f>IF($R$1427=0,0,R1401/$R$1427)</f>
        <v/>
      </c>
      <c r="T1401" s="8" t="n">
        <v>0</v>
      </c>
      <c r="U1401" s="8" t="n">
        <v>0.0207782815628188</v>
      </c>
      <c r="V1401" s="6" t="inlineStr">
        <is>
          <t>not selected</t>
        </is>
      </c>
    </row>
    <row r="1402">
      <c r="A1402" s="6" t="inlineStr">
        <is>
          <t>DJ30</t>
        </is>
      </c>
      <c r="B1402" s="6" t="inlineStr">
        <is>
          <t>2023-11-17</t>
        </is>
      </c>
      <c r="C1402" s="6" t="inlineStr">
        <is>
          <t>DIA</t>
        </is>
      </c>
      <c r="D1402" s="6" t="inlineStr">
        <is>
          <t>CAT</t>
        </is>
      </c>
      <c r="E1402" s="6" t="inlineStr">
        <is>
          <t>CAT</t>
        </is>
      </c>
      <c r="F1402" s="6" t="inlineStr">
        <is>
          <t>-</t>
        </is>
      </c>
      <c r="G1402" s="7" t="n">
        <v>244.3318939208984</v>
      </c>
      <c r="H1402" s="6">
        <f>P1371</f>
        <v/>
      </c>
      <c r="I1402" s="9">
        <f>Q1371</f>
        <v/>
      </c>
      <c r="J1402" s="7">
        <f>I1402*G1402</f>
        <v/>
      </c>
      <c r="K1402" s="8">
        <f>IF($J$1427=0,0,J1402/$J$1427)</f>
        <v/>
      </c>
      <c r="L1402" s="6" t="inlineStr">
        <is>
          <t>REJECTED</t>
        </is>
      </c>
      <c r="M1402" s="8" t="n">
        <v>0</v>
      </c>
      <c r="N1402" s="7">
        <f>M1402*$J$1427-J1402</f>
        <v/>
      </c>
      <c r="O1402" s="9">
        <f>IF(G1402=0,0,N1402/G1402)</f>
        <v/>
      </c>
      <c r="P1402" s="6">
        <f>IF(M1402&gt;0,D1402,"")</f>
        <v/>
      </c>
      <c r="Q1402" s="9">
        <f>I1402+O1402</f>
        <v/>
      </c>
      <c r="R1402" s="7">
        <f>Q1402*G1402</f>
        <v/>
      </c>
      <c r="S1402" s="8">
        <f>IF($R$1427=0,0,R1402/$R$1427)</f>
        <v/>
      </c>
      <c r="T1402" s="8" t="n">
        <v>0</v>
      </c>
      <c r="U1402" s="8" t="n">
        <v>0.0207782815628188</v>
      </c>
      <c r="V1402" s="6" t="inlineStr">
        <is>
          <t>not selected</t>
        </is>
      </c>
    </row>
    <row r="1403">
      <c r="A1403" s="6" t="inlineStr">
        <is>
          <t>DJ30</t>
        </is>
      </c>
      <c r="B1403" s="6" t="inlineStr">
        <is>
          <t>2023-11-17</t>
        </is>
      </c>
      <c r="C1403" s="6" t="inlineStr">
        <is>
          <t>DIA</t>
        </is>
      </c>
      <c r="D1403" s="6" t="inlineStr">
        <is>
          <t>CRM</t>
        </is>
      </c>
      <c r="E1403" s="6" t="inlineStr">
        <is>
          <t>CRM</t>
        </is>
      </c>
      <c r="F1403" s="6" t="inlineStr">
        <is>
          <t>-</t>
        </is>
      </c>
      <c r="G1403" s="7" t="n">
        <v>217.4578704833984</v>
      </c>
      <c r="H1403" s="6">
        <f>P1372</f>
        <v/>
      </c>
      <c r="I1403" s="9">
        <f>Q1372</f>
        <v/>
      </c>
      <c r="J1403" s="7">
        <f>I1403*G1403</f>
        <v/>
      </c>
      <c r="K1403" s="8">
        <f>IF($J$1427=0,0,J1403/$J$1427)</f>
        <v/>
      </c>
      <c r="L1403" s="6" t="inlineStr">
        <is>
          <t>REJECTED</t>
        </is>
      </c>
      <c r="M1403" s="8" t="n">
        <v>0</v>
      </c>
      <c r="N1403" s="7">
        <f>M1403*$J$1427-J1403</f>
        <v/>
      </c>
      <c r="O1403" s="9">
        <f>IF(G1403=0,0,N1403/G1403)</f>
        <v/>
      </c>
      <c r="P1403" s="6">
        <f>IF(M1403&gt;0,D1403,"")</f>
        <v/>
      </c>
      <c r="Q1403" s="9">
        <f>I1403+O1403</f>
        <v/>
      </c>
      <c r="R1403" s="7">
        <f>Q1403*G1403</f>
        <v/>
      </c>
      <c r="S1403" s="8">
        <f>IF($R$1427=0,0,R1403/$R$1427)</f>
        <v/>
      </c>
      <c r="T1403" s="8" t="n">
        <v>0</v>
      </c>
      <c r="U1403" s="8" t="n">
        <v>0.0207782815628188</v>
      </c>
      <c r="V1403" s="6" t="inlineStr">
        <is>
          <t>not selected</t>
        </is>
      </c>
    </row>
    <row r="1404">
      <c r="A1404" s="6" t="inlineStr">
        <is>
          <t>DJ30</t>
        </is>
      </c>
      <c r="B1404" s="6" t="inlineStr">
        <is>
          <t>2023-11-17</t>
        </is>
      </c>
      <c r="C1404" s="6" t="inlineStr">
        <is>
          <t>DIA</t>
        </is>
      </c>
      <c r="D1404" s="6" t="inlineStr">
        <is>
          <t>CSCO</t>
        </is>
      </c>
      <c r="E1404" s="6" t="inlineStr">
        <is>
          <t>CSCO</t>
        </is>
      </c>
      <c r="F1404" s="6" t="inlineStr">
        <is>
          <t>-</t>
        </is>
      </c>
      <c r="G1404" s="7" t="n">
        <v>44.60984802246094</v>
      </c>
      <c r="H1404" s="6">
        <f>P1373</f>
        <v/>
      </c>
      <c r="I1404" s="9">
        <f>Q1373</f>
        <v/>
      </c>
      <c r="J1404" s="7">
        <f>I1404*G1404</f>
        <v/>
      </c>
      <c r="K1404" s="8">
        <f>IF($J$1427=0,0,J1404/$J$1427)</f>
        <v/>
      </c>
      <c r="L1404" s="6" t="inlineStr">
        <is>
          <t>REJECTED</t>
        </is>
      </c>
      <c r="M1404" s="8" t="n">
        <v>0</v>
      </c>
      <c r="N1404" s="7">
        <f>M1404*$J$1427-J1404</f>
        <v/>
      </c>
      <c r="O1404" s="9">
        <f>IF(G1404=0,0,N1404/G1404)</f>
        <v/>
      </c>
      <c r="P1404" s="6">
        <f>IF(M1404&gt;0,D1404,"")</f>
        <v/>
      </c>
      <c r="Q1404" s="9">
        <f>I1404+O1404</f>
        <v/>
      </c>
      <c r="R1404" s="7">
        <f>Q1404*G1404</f>
        <v/>
      </c>
      <c r="S1404" s="8">
        <f>IF($R$1427=0,0,R1404/$R$1427)</f>
        <v/>
      </c>
      <c r="T1404" s="8" t="n">
        <v>0</v>
      </c>
      <c r="U1404" s="8" t="n">
        <v>0.0207782815628188</v>
      </c>
      <c r="V1404" s="6" t="inlineStr">
        <is>
          <t>not selected</t>
        </is>
      </c>
    </row>
    <row r="1405">
      <c r="A1405" s="6" t="inlineStr">
        <is>
          <t>DJ30</t>
        </is>
      </c>
      <c r="B1405" s="6" t="inlineStr">
        <is>
          <t>2023-11-17</t>
        </is>
      </c>
      <c r="C1405" s="6" t="inlineStr">
        <is>
          <t>DIA</t>
        </is>
      </c>
      <c r="D1405" s="6" t="inlineStr">
        <is>
          <t>CVX</t>
        </is>
      </c>
      <c r="E1405" s="6" t="inlineStr">
        <is>
          <t>CVX</t>
        </is>
      </c>
      <c r="F1405" s="6" t="inlineStr">
        <is>
          <t>-</t>
        </is>
      </c>
      <c r="G1405" s="7" t="n">
        <v>129.8859558105469</v>
      </c>
      <c r="H1405" s="6">
        <f>P1374</f>
        <v/>
      </c>
      <c r="I1405" s="9">
        <f>Q1374</f>
        <v/>
      </c>
      <c r="J1405" s="7">
        <f>I1405*G1405</f>
        <v/>
      </c>
      <c r="K1405" s="8">
        <f>IF($J$1427=0,0,J1405/$J$1427)</f>
        <v/>
      </c>
      <c r="L1405" s="6" t="inlineStr">
        <is>
          <t>REJECTED</t>
        </is>
      </c>
      <c r="M1405" s="8" t="n">
        <v>0</v>
      </c>
      <c r="N1405" s="7">
        <f>M1405*$J$1427-J1405</f>
        <v/>
      </c>
      <c r="O1405" s="9">
        <f>IF(G1405=0,0,N1405/G1405)</f>
        <v/>
      </c>
      <c r="P1405" s="6">
        <f>IF(M1405&gt;0,D1405,"")</f>
        <v/>
      </c>
      <c r="Q1405" s="9">
        <f>I1405+O1405</f>
        <v/>
      </c>
      <c r="R1405" s="7">
        <f>Q1405*G1405</f>
        <v/>
      </c>
      <c r="S1405" s="8">
        <f>IF($R$1427=0,0,R1405/$R$1427)</f>
        <v/>
      </c>
      <c r="T1405" s="8" t="n">
        <v>0</v>
      </c>
      <c r="U1405" s="8" t="n">
        <v>0.0207782815628188</v>
      </c>
      <c r="V1405" s="6" t="inlineStr">
        <is>
          <t>not selected</t>
        </is>
      </c>
    </row>
    <row r="1406">
      <c r="A1406" s="6" t="inlineStr">
        <is>
          <t>DJ30</t>
        </is>
      </c>
      <c r="B1406" s="6" t="inlineStr">
        <is>
          <t>2023-11-17</t>
        </is>
      </c>
      <c r="C1406" s="6" t="inlineStr">
        <is>
          <t>DIA</t>
        </is>
      </c>
      <c r="D1406" s="6" t="inlineStr">
        <is>
          <t>DIS</t>
        </is>
      </c>
      <c r="E1406" s="6" t="inlineStr">
        <is>
          <t>DIS</t>
        </is>
      </c>
      <c r="F1406" s="6" t="inlineStr">
        <is>
          <t>-</t>
        </is>
      </c>
      <c r="G1406" s="7" t="n">
        <v>91.9838409423828</v>
      </c>
      <c r="H1406" s="6">
        <f>P1375</f>
        <v/>
      </c>
      <c r="I1406" s="9">
        <f>Q1375</f>
        <v/>
      </c>
      <c r="J1406" s="7">
        <f>I1406*G1406</f>
        <v/>
      </c>
      <c r="K1406" s="8">
        <f>IF($J$1427=0,0,J1406/$J$1427)</f>
        <v/>
      </c>
      <c r="L1406" s="6" t="inlineStr">
        <is>
          <t>REJECTED</t>
        </is>
      </c>
      <c r="M1406" s="8" t="n">
        <v>0</v>
      </c>
      <c r="N1406" s="7">
        <f>M1406*$J$1427-J1406</f>
        <v/>
      </c>
      <c r="O1406" s="9">
        <f>IF(G1406=0,0,N1406/G1406)</f>
        <v/>
      </c>
      <c r="P1406" s="6">
        <f>IF(M1406&gt;0,D1406,"")</f>
        <v/>
      </c>
      <c r="Q1406" s="9">
        <f>I1406+O1406</f>
        <v/>
      </c>
      <c r="R1406" s="7">
        <f>Q1406*G1406</f>
        <v/>
      </c>
      <c r="S1406" s="8">
        <f>IF($R$1427=0,0,R1406/$R$1427)</f>
        <v/>
      </c>
      <c r="T1406" s="8" t="n">
        <v>0</v>
      </c>
      <c r="U1406" s="8" t="n">
        <v>0.0207782815628188</v>
      </c>
      <c r="V1406" s="6" t="inlineStr">
        <is>
          <t>not selected</t>
        </is>
      </c>
    </row>
    <row r="1407">
      <c r="A1407" s="6" t="inlineStr">
        <is>
          <t>DJ30</t>
        </is>
      </c>
      <c r="B1407" s="6" t="inlineStr">
        <is>
          <t>2023-11-17</t>
        </is>
      </c>
      <c r="C1407" s="6" t="inlineStr">
        <is>
          <t>DIA</t>
        </is>
      </c>
      <c r="D1407" s="6" t="inlineStr">
        <is>
          <t>GS</t>
        </is>
      </c>
      <c r="E1407" s="6" t="inlineStr">
        <is>
          <t>GS</t>
        </is>
      </c>
      <c r="F1407" s="6" t="inlineStr">
        <is>
          <t>-</t>
        </is>
      </c>
      <c r="G1407" s="7" t="n">
        <v>318.8108215332031</v>
      </c>
      <c r="H1407" s="6">
        <f>P1376</f>
        <v/>
      </c>
      <c r="I1407" s="9">
        <f>Q1376</f>
        <v/>
      </c>
      <c r="J1407" s="7">
        <f>I1407*G1407</f>
        <v/>
      </c>
      <c r="K1407" s="8">
        <f>IF($J$1427=0,0,J1407/$J$1427)</f>
        <v/>
      </c>
      <c r="L1407" s="6" t="inlineStr">
        <is>
          <t>REJECTED</t>
        </is>
      </c>
      <c r="M1407" s="8" t="n">
        <v>0</v>
      </c>
      <c r="N1407" s="7">
        <f>M1407*$J$1427-J1407</f>
        <v/>
      </c>
      <c r="O1407" s="9">
        <f>IF(G1407=0,0,N1407/G1407)</f>
        <v/>
      </c>
      <c r="P1407" s="6">
        <f>IF(M1407&gt;0,D1407,"")</f>
        <v/>
      </c>
      <c r="Q1407" s="9">
        <f>I1407+O1407</f>
        <v/>
      </c>
      <c r="R1407" s="7">
        <f>Q1407*G1407</f>
        <v/>
      </c>
      <c r="S1407" s="8">
        <f>IF($R$1427=0,0,R1407/$R$1427)</f>
        <v/>
      </c>
      <c r="T1407" s="8" t="n">
        <v>0</v>
      </c>
      <c r="U1407" s="8" t="n">
        <v>0.0207782815628188</v>
      </c>
      <c r="V1407" s="6" t="inlineStr">
        <is>
          <t>not selected</t>
        </is>
      </c>
    </row>
    <row r="1408">
      <c r="A1408" s="6" t="inlineStr">
        <is>
          <t>DJ30</t>
        </is>
      </c>
      <c r="B1408" s="6" t="inlineStr">
        <is>
          <t>2023-11-17</t>
        </is>
      </c>
      <c r="C1408" s="6" t="inlineStr">
        <is>
          <t>DIA</t>
        </is>
      </c>
      <c r="D1408" s="6" t="inlineStr">
        <is>
          <t>HD</t>
        </is>
      </c>
      <c r="E1408" s="6" t="inlineStr">
        <is>
          <t>HD</t>
        </is>
      </c>
      <c r="F1408" s="6" t="inlineStr">
        <is>
          <t>-</t>
        </is>
      </c>
      <c r="G1408" s="7" t="n">
        <v>286.5962219238281</v>
      </c>
      <c r="H1408" s="6">
        <f>P1377</f>
        <v/>
      </c>
      <c r="I1408" s="9">
        <f>Q1377</f>
        <v/>
      </c>
      <c r="J1408" s="7">
        <f>I1408*G1408</f>
        <v/>
      </c>
      <c r="K1408" s="8">
        <f>IF($J$1427=0,0,J1408/$J$1427)</f>
        <v/>
      </c>
      <c r="L1408" s="6" t="inlineStr">
        <is>
          <t>REJECTED</t>
        </is>
      </c>
      <c r="M1408" s="8" t="n">
        <v>0</v>
      </c>
      <c r="N1408" s="7">
        <f>M1408*$J$1427-J1408</f>
        <v/>
      </c>
      <c r="O1408" s="9">
        <f>IF(G1408=0,0,N1408/G1408)</f>
        <v/>
      </c>
      <c r="P1408" s="6">
        <f>IF(M1408&gt;0,D1408,"")</f>
        <v/>
      </c>
      <c r="Q1408" s="9">
        <f>I1408+O1408</f>
        <v/>
      </c>
      <c r="R1408" s="7">
        <f>Q1408*G1408</f>
        <v/>
      </c>
      <c r="S1408" s="8">
        <f>IF($R$1427=0,0,R1408/$R$1427)</f>
        <v/>
      </c>
      <c r="T1408" s="8" t="n">
        <v>0</v>
      </c>
      <c r="U1408" s="8" t="n">
        <v>0.0207782815628188</v>
      </c>
      <c r="V1408" s="6" t="inlineStr">
        <is>
          <t>not selected</t>
        </is>
      </c>
    </row>
    <row r="1409">
      <c r="A1409" s="6" t="inlineStr">
        <is>
          <t>DJ30</t>
        </is>
      </c>
      <c r="B1409" s="6" t="inlineStr">
        <is>
          <t>2023-11-17</t>
        </is>
      </c>
      <c r="C1409" s="6" t="inlineStr">
        <is>
          <t>DIA</t>
        </is>
      </c>
      <c r="D1409" s="6" t="inlineStr">
        <is>
          <t>HON</t>
        </is>
      </c>
      <c r="E1409" s="6" t="inlineStr">
        <is>
          <t>HON</t>
        </is>
      </c>
      <c r="F1409" s="6" t="inlineStr">
        <is>
          <t>-</t>
        </is>
      </c>
      <c r="G1409" s="7" t="n">
        <v>170.8865509033203</v>
      </c>
      <c r="H1409" s="6">
        <f>P1378</f>
        <v/>
      </c>
      <c r="I1409" s="9">
        <f>Q1378</f>
        <v/>
      </c>
      <c r="J1409" s="7">
        <f>I1409*G1409</f>
        <v/>
      </c>
      <c r="K1409" s="8">
        <f>IF($J$1427=0,0,J1409/$J$1427)</f>
        <v/>
      </c>
      <c r="L1409" s="6" t="inlineStr">
        <is>
          <t>REJECTED</t>
        </is>
      </c>
      <c r="M1409" s="8" t="n">
        <v>0</v>
      </c>
      <c r="N1409" s="7">
        <f>M1409*$J$1427-J1409</f>
        <v/>
      </c>
      <c r="O1409" s="9">
        <f>IF(G1409=0,0,N1409/G1409)</f>
        <v/>
      </c>
      <c r="P1409" s="6">
        <f>IF(M1409&gt;0,D1409,"")</f>
        <v/>
      </c>
      <c r="Q1409" s="9">
        <f>I1409+O1409</f>
        <v/>
      </c>
      <c r="R1409" s="7">
        <f>Q1409*G1409</f>
        <v/>
      </c>
      <c r="S1409" s="8">
        <f>IF($R$1427=0,0,R1409/$R$1427)</f>
        <v/>
      </c>
      <c r="T1409" s="8" t="n">
        <v>0</v>
      </c>
      <c r="U1409" s="8" t="n">
        <v>0.0207782815628188</v>
      </c>
      <c r="V1409" s="6" t="inlineStr">
        <is>
          <t>not selected</t>
        </is>
      </c>
    </row>
    <row r="1410">
      <c r="A1410" s="6" t="inlineStr">
        <is>
          <t>DJ30</t>
        </is>
      </c>
      <c r="B1410" s="6" t="inlineStr">
        <is>
          <t>2023-11-17</t>
        </is>
      </c>
      <c r="C1410" s="6" t="inlineStr">
        <is>
          <t>DIA</t>
        </is>
      </c>
      <c r="D1410" s="6" t="inlineStr">
        <is>
          <t>IBM</t>
        </is>
      </c>
      <c r="E1410" s="6" t="inlineStr">
        <is>
          <t>IBM</t>
        </is>
      </c>
      <c r="F1410" s="6" t="inlineStr">
        <is>
          <t>-</t>
        </is>
      </c>
      <c r="G1410" s="7" t="n">
        <v>141.97900390625</v>
      </c>
      <c r="H1410" s="6">
        <f>P1379</f>
        <v/>
      </c>
      <c r="I1410" s="9">
        <f>Q1379</f>
        <v/>
      </c>
      <c r="J1410" s="7">
        <f>I1410*G1410</f>
        <v/>
      </c>
      <c r="K1410" s="8">
        <f>IF($J$1427=0,0,J1410/$J$1427)</f>
        <v/>
      </c>
      <c r="L1410" s="6" t="inlineStr">
        <is>
          <t>REJECTED</t>
        </is>
      </c>
      <c r="M1410" s="8" t="n">
        <v>0</v>
      </c>
      <c r="N1410" s="7">
        <f>M1410*$J$1427-J1410</f>
        <v/>
      </c>
      <c r="O1410" s="9">
        <f>IF(G1410=0,0,N1410/G1410)</f>
        <v/>
      </c>
      <c r="P1410" s="6">
        <f>IF(M1410&gt;0,D1410,"")</f>
        <v/>
      </c>
      <c r="Q1410" s="9">
        <f>I1410+O1410</f>
        <v/>
      </c>
      <c r="R1410" s="7">
        <f>Q1410*G1410</f>
        <v/>
      </c>
      <c r="S1410" s="8">
        <f>IF($R$1427=0,0,R1410/$R$1427)</f>
        <v/>
      </c>
      <c r="T1410" s="8" t="n">
        <v>0</v>
      </c>
      <c r="U1410" s="8" t="n">
        <v>0.0207782815628188</v>
      </c>
      <c r="V1410" s="6" t="inlineStr">
        <is>
          <t>not selected</t>
        </is>
      </c>
    </row>
    <row r="1411">
      <c r="A1411" s="6" t="inlineStr">
        <is>
          <t>DJ30</t>
        </is>
      </c>
      <c r="B1411" s="6" t="inlineStr">
        <is>
          <t>2023-11-17</t>
        </is>
      </c>
      <c r="C1411" s="6" t="inlineStr">
        <is>
          <t>DIA</t>
        </is>
      </c>
      <c r="D1411" s="6" t="inlineStr">
        <is>
          <t>JNJ</t>
        </is>
      </c>
      <c r="E1411" s="6" t="inlineStr">
        <is>
          <t>JNJ</t>
        </is>
      </c>
      <c r="F1411" s="6" t="inlineStr">
        <is>
          <t>-</t>
        </is>
      </c>
      <c r="G1411" s="7" t="n">
        <v>138.2276153564453</v>
      </c>
      <c r="H1411" s="6">
        <f>P1380</f>
        <v/>
      </c>
      <c r="I1411" s="9">
        <f>Q1380</f>
        <v/>
      </c>
      <c r="J1411" s="7">
        <f>I1411*G1411</f>
        <v/>
      </c>
      <c r="K1411" s="8">
        <f>IF($J$1427=0,0,J1411/$J$1427)</f>
        <v/>
      </c>
      <c r="L1411" s="6" t="inlineStr">
        <is>
          <t>REJECTED</t>
        </is>
      </c>
      <c r="M1411" s="8" t="n">
        <v>0</v>
      </c>
      <c r="N1411" s="7">
        <f>M1411*$J$1427-J1411</f>
        <v/>
      </c>
      <c r="O1411" s="9">
        <f>IF(G1411=0,0,N1411/G1411)</f>
        <v/>
      </c>
      <c r="P1411" s="6">
        <f>IF(M1411&gt;0,D1411,"")</f>
        <v/>
      </c>
      <c r="Q1411" s="9">
        <f>I1411+O1411</f>
        <v/>
      </c>
      <c r="R1411" s="7">
        <f>Q1411*G1411</f>
        <v/>
      </c>
      <c r="S1411" s="8">
        <f>IF($R$1427=0,0,R1411/$R$1427)</f>
        <v/>
      </c>
      <c r="T1411" s="8" t="n">
        <v>0</v>
      </c>
      <c r="U1411" s="8" t="n">
        <v>0.0207782815628188</v>
      </c>
      <c r="V1411" s="6" t="inlineStr">
        <is>
          <t>not selected</t>
        </is>
      </c>
    </row>
    <row r="1412">
      <c r="A1412" s="6" t="inlineStr">
        <is>
          <t>DJ30</t>
        </is>
      </c>
      <c r="B1412" s="6" t="inlineStr">
        <is>
          <t>2023-11-17</t>
        </is>
      </c>
      <c r="C1412" s="6" t="inlineStr">
        <is>
          <t>DIA</t>
        </is>
      </c>
      <c r="D1412" s="6" t="inlineStr">
        <is>
          <t>JPM</t>
        </is>
      </c>
      <c r="E1412" s="6" t="inlineStr">
        <is>
          <t>JPM</t>
        </is>
      </c>
      <c r="F1412" s="6" t="inlineStr">
        <is>
          <t>-</t>
        </is>
      </c>
      <c r="G1412" s="7" t="n">
        <v>144.7645874023438</v>
      </c>
      <c r="H1412" s="6">
        <f>P1381</f>
        <v/>
      </c>
      <c r="I1412" s="9">
        <f>Q1381</f>
        <v/>
      </c>
      <c r="J1412" s="7">
        <f>I1412*G1412</f>
        <v/>
      </c>
      <c r="K1412" s="8">
        <f>IF($J$1427=0,0,J1412/$J$1427)</f>
        <v/>
      </c>
      <c r="L1412" s="6" t="inlineStr">
        <is>
          <t>REJECTED</t>
        </is>
      </c>
      <c r="M1412" s="8" t="n">
        <v>0</v>
      </c>
      <c r="N1412" s="7">
        <f>M1412*$J$1427-J1412</f>
        <v/>
      </c>
      <c r="O1412" s="9">
        <f>IF(G1412=0,0,N1412/G1412)</f>
        <v/>
      </c>
      <c r="P1412" s="6">
        <f>IF(M1412&gt;0,D1412,"")</f>
        <v/>
      </c>
      <c r="Q1412" s="9">
        <f>I1412+O1412</f>
        <v/>
      </c>
      <c r="R1412" s="7">
        <f>Q1412*G1412</f>
        <v/>
      </c>
      <c r="S1412" s="8">
        <f>IF($R$1427=0,0,R1412/$R$1427)</f>
        <v/>
      </c>
      <c r="T1412" s="8" t="n">
        <v>0</v>
      </c>
      <c r="U1412" s="8" t="n">
        <v>0.0207782815628188</v>
      </c>
      <c r="V1412" s="6" t="inlineStr">
        <is>
          <t>not selected</t>
        </is>
      </c>
    </row>
    <row r="1413">
      <c r="A1413" s="6" t="inlineStr">
        <is>
          <t>DJ30</t>
        </is>
      </c>
      <c r="B1413" s="6" t="inlineStr">
        <is>
          <t>2023-11-17</t>
        </is>
      </c>
      <c r="C1413" s="6" t="inlineStr">
        <is>
          <t>DIA</t>
        </is>
      </c>
      <c r="D1413" s="6" t="inlineStr">
        <is>
          <t>KO</t>
        </is>
      </c>
      <c r="E1413" s="6" t="inlineStr">
        <is>
          <t>KO</t>
        </is>
      </c>
      <c r="F1413" s="6" t="inlineStr">
        <is>
          <t>-</t>
        </is>
      </c>
      <c r="G1413" s="7" t="n">
        <v>52.83755874633789</v>
      </c>
      <c r="H1413" s="6">
        <f>P1382</f>
        <v/>
      </c>
      <c r="I1413" s="9">
        <f>Q1382</f>
        <v/>
      </c>
      <c r="J1413" s="7">
        <f>I1413*G1413</f>
        <v/>
      </c>
      <c r="K1413" s="8">
        <f>IF($J$1427=0,0,J1413/$J$1427)</f>
        <v/>
      </c>
      <c r="L1413" s="6" t="inlineStr">
        <is>
          <t>REJECTED</t>
        </is>
      </c>
      <c r="M1413" s="8" t="n">
        <v>0</v>
      </c>
      <c r="N1413" s="7">
        <f>M1413*$J$1427-J1413</f>
        <v/>
      </c>
      <c r="O1413" s="9">
        <f>IF(G1413=0,0,N1413/G1413)</f>
        <v/>
      </c>
      <c r="P1413" s="6">
        <f>IF(M1413&gt;0,D1413,"")</f>
        <v/>
      </c>
      <c r="Q1413" s="9">
        <f>I1413+O1413</f>
        <v/>
      </c>
      <c r="R1413" s="7">
        <f>Q1413*G1413</f>
        <v/>
      </c>
      <c r="S1413" s="8">
        <f>IF($R$1427=0,0,R1413/$R$1427)</f>
        <v/>
      </c>
      <c r="T1413" s="8" t="n">
        <v>0</v>
      </c>
      <c r="U1413" s="8" t="n">
        <v>0.0207782815628188</v>
      </c>
      <c r="V1413" s="6" t="inlineStr">
        <is>
          <t>not selected</t>
        </is>
      </c>
    </row>
    <row r="1414">
      <c r="A1414" s="6" t="inlineStr">
        <is>
          <t>DJ30</t>
        </is>
      </c>
      <c r="B1414" s="6" t="inlineStr">
        <is>
          <t>2023-11-17</t>
        </is>
      </c>
      <c r="C1414" s="6" t="inlineStr">
        <is>
          <t>DIA</t>
        </is>
      </c>
      <c r="D1414" s="6" t="inlineStr">
        <is>
          <t>MCD</t>
        </is>
      </c>
      <c r="E1414" s="6" t="inlineStr">
        <is>
          <t>MCD</t>
        </is>
      </c>
      <c r="F1414" s="6" t="inlineStr">
        <is>
          <t>-</t>
        </is>
      </c>
      <c r="G1414" s="7" t="n">
        <v>258.3174743652344</v>
      </c>
      <c r="H1414" s="6">
        <f>P1383</f>
        <v/>
      </c>
      <c r="I1414" s="9">
        <f>Q1383</f>
        <v/>
      </c>
      <c r="J1414" s="7">
        <f>I1414*G1414</f>
        <v/>
      </c>
      <c r="K1414" s="8">
        <f>IF($J$1427=0,0,J1414/$J$1427)</f>
        <v/>
      </c>
      <c r="L1414" s="6" t="inlineStr">
        <is>
          <t>REJECTED</t>
        </is>
      </c>
      <c r="M1414" s="8" t="n">
        <v>0</v>
      </c>
      <c r="N1414" s="7">
        <f>M1414*$J$1427-J1414</f>
        <v/>
      </c>
      <c r="O1414" s="9">
        <f>IF(G1414=0,0,N1414/G1414)</f>
        <v/>
      </c>
      <c r="P1414" s="6">
        <f>IF(M1414&gt;0,D1414,"")</f>
        <v/>
      </c>
      <c r="Q1414" s="9">
        <f>I1414+O1414</f>
        <v/>
      </c>
      <c r="R1414" s="7">
        <f>Q1414*G1414</f>
        <v/>
      </c>
      <c r="S1414" s="8">
        <f>IF($R$1427=0,0,R1414/$R$1427)</f>
        <v/>
      </c>
      <c r="T1414" s="8" t="n">
        <v>0</v>
      </c>
      <c r="U1414" s="8" t="n">
        <v>0.0207782815628188</v>
      </c>
      <c r="V1414" s="6" t="inlineStr">
        <is>
          <t>not selected</t>
        </is>
      </c>
    </row>
    <row r="1415">
      <c r="A1415" s="6" t="inlineStr">
        <is>
          <t>DJ30</t>
        </is>
      </c>
      <c r="B1415" s="6" t="inlineStr">
        <is>
          <t>2023-11-17</t>
        </is>
      </c>
      <c r="C1415" s="6" t="inlineStr">
        <is>
          <t>DIA</t>
        </is>
      </c>
      <c r="D1415" s="6" t="inlineStr">
        <is>
          <t>MMM</t>
        </is>
      </c>
      <c r="E1415" s="6" t="inlineStr">
        <is>
          <t>MMM</t>
        </is>
      </c>
      <c r="F1415" s="6" t="inlineStr">
        <is>
          <t>-</t>
        </is>
      </c>
      <c r="G1415" s="7" t="n">
        <v>74.89239501953125</v>
      </c>
      <c r="H1415" s="6">
        <f>P1384</f>
        <v/>
      </c>
      <c r="I1415" s="9">
        <f>Q1384</f>
        <v/>
      </c>
      <c r="J1415" s="7">
        <f>I1415*G1415</f>
        <v/>
      </c>
      <c r="K1415" s="8">
        <f>IF($J$1427=0,0,J1415/$J$1427)</f>
        <v/>
      </c>
      <c r="L1415" s="6" t="inlineStr">
        <is>
          <t>REJECTED</t>
        </is>
      </c>
      <c r="M1415" s="8" t="n">
        <v>0</v>
      </c>
      <c r="N1415" s="7">
        <f>M1415*$J$1427-J1415</f>
        <v/>
      </c>
      <c r="O1415" s="9">
        <f>IF(G1415=0,0,N1415/G1415)</f>
        <v/>
      </c>
      <c r="P1415" s="6">
        <f>IF(M1415&gt;0,D1415,"")</f>
        <v/>
      </c>
      <c r="Q1415" s="9">
        <f>I1415+O1415</f>
        <v/>
      </c>
      <c r="R1415" s="7">
        <f>Q1415*G1415</f>
        <v/>
      </c>
      <c r="S1415" s="8">
        <f>IF($R$1427=0,0,R1415/$R$1427)</f>
        <v/>
      </c>
      <c r="T1415" s="8" t="n">
        <v>0</v>
      </c>
      <c r="U1415" s="8" t="n">
        <v>0.0207782815628188</v>
      </c>
      <c r="V1415" s="6" t="inlineStr">
        <is>
          <t>not selected</t>
        </is>
      </c>
    </row>
    <row r="1416">
      <c r="A1416" s="6" t="inlineStr">
        <is>
          <t>DJ30</t>
        </is>
      </c>
      <c r="B1416" s="6" t="inlineStr">
        <is>
          <t>2023-11-17</t>
        </is>
      </c>
      <c r="C1416" s="6" t="inlineStr">
        <is>
          <t>DIA</t>
        </is>
      </c>
      <c r="D1416" s="6" t="inlineStr">
        <is>
          <t>MRK</t>
        </is>
      </c>
      <c r="E1416" s="6" t="inlineStr">
        <is>
          <t>MRK</t>
        </is>
      </c>
      <c r="F1416" s="6" t="inlineStr">
        <is>
          <t>-</t>
        </is>
      </c>
      <c r="G1416" s="7" t="n">
        <v>93.40319061279295</v>
      </c>
      <c r="H1416" s="6">
        <f>P1385</f>
        <v/>
      </c>
      <c r="I1416" s="9">
        <f>Q1385</f>
        <v/>
      </c>
      <c r="J1416" s="7">
        <f>I1416*G1416</f>
        <v/>
      </c>
      <c r="K1416" s="8">
        <f>IF($J$1427=0,0,J1416/$J$1427)</f>
        <v/>
      </c>
      <c r="L1416" s="6" t="inlineStr">
        <is>
          <t>REJECTED</t>
        </is>
      </c>
      <c r="M1416" s="8" t="n">
        <v>0</v>
      </c>
      <c r="N1416" s="7">
        <f>M1416*$J$1427-J1416</f>
        <v/>
      </c>
      <c r="O1416" s="9">
        <f>IF(G1416=0,0,N1416/G1416)</f>
        <v/>
      </c>
      <c r="P1416" s="6">
        <f>IF(M1416&gt;0,D1416,"")</f>
        <v/>
      </c>
      <c r="Q1416" s="9">
        <f>I1416+O1416</f>
        <v/>
      </c>
      <c r="R1416" s="7">
        <f>Q1416*G1416</f>
        <v/>
      </c>
      <c r="S1416" s="8">
        <f>IF($R$1427=0,0,R1416/$R$1427)</f>
        <v/>
      </c>
      <c r="T1416" s="8" t="n">
        <v>0</v>
      </c>
      <c r="U1416" s="8" t="n">
        <v>0.0207782815628188</v>
      </c>
      <c r="V1416" s="6" t="inlineStr">
        <is>
          <t>not selected</t>
        </is>
      </c>
    </row>
    <row r="1417">
      <c r="A1417" s="6" t="inlineStr">
        <is>
          <t>DJ30</t>
        </is>
      </c>
      <c r="B1417" s="6" t="inlineStr">
        <is>
          <t>2023-11-17</t>
        </is>
      </c>
      <c r="C1417" s="6" t="inlineStr">
        <is>
          <t>DIA</t>
        </is>
      </c>
      <c r="D1417" s="6" t="inlineStr">
        <is>
          <t>MSFT</t>
        </is>
      </c>
      <c r="E1417" s="6" t="inlineStr">
        <is>
          <t>MSFT</t>
        </is>
      </c>
      <c r="F1417" s="6" t="inlineStr">
        <is>
          <t>-</t>
        </is>
      </c>
      <c r="G1417" s="7" t="n">
        <v>362.8009948730469</v>
      </c>
      <c r="H1417" s="6">
        <f>P1386</f>
        <v/>
      </c>
      <c r="I1417" s="9">
        <f>Q1386</f>
        <v/>
      </c>
      <c r="J1417" s="7">
        <f>I1417*G1417</f>
        <v/>
      </c>
      <c r="K1417" s="8">
        <f>IF($J$1427=0,0,J1417/$J$1427)</f>
        <v/>
      </c>
      <c r="L1417" s="6" t="inlineStr">
        <is>
          <t>REJECTED</t>
        </is>
      </c>
      <c r="M1417" s="8" t="n">
        <v>0</v>
      </c>
      <c r="N1417" s="7">
        <f>M1417*$J$1427-J1417</f>
        <v/>
      </c>
      <c r="O1417" s="9">
        <f>IF(G1417=0,0,N1417/G1417)</f>
        <v/>
      </c>
      <c r="P1417" s="6">
        <f>IF(M1417&gt;0,D1417,"")</f>
        <v/>
      </c>
      <c r="Q1417" s="9">
        <f>I1417+O1417</f>
        <v/>
      </c>
      <c r="R1417" s="7">
        <f>Q1417*G1417</f>
        <v/>
      </c>
      <c r="S1417" s="8">
        <f>IF($R$1427=0,0,R1417/$R$1427)</f>
        <v/>
      </c>
      <c r="T1417" s="8" t="n">
        <v>0</v>
      </c>
      <c r="U1417" s="8" t="n">
        <v>0.0207782815628188</v>
      </c>
      <c r="V1417" s="6" t="inlineStr">
        <is>
          <t>not selected</t>
        </is>
      </c>
    </row>
    <row r="1418">
      <c r="A1418" s="6" t="inlineStr">
        <is>
          <t>DJ30</t>
        </is>
      </c>
      <c r="B1418" s="6" t="inlineStr">
        <is>
          <t>2023-11-17</t>
        </is>
      </c>
      <c r="C1418" s="6" t="inlineStr">
        <is>
          <t>DIA</t>
        </is>
      </c>
      <c r="D1418" s="6" t="inlineStr">
        <is>
          <t>NKE</t>
        </is>
      </c>
      <c r="E1418" s="6" t="inlineStr">
        <is>
          <t>NKE</t>
        </is>
      </c>
      <c r="F1418" s="6" t="inlineStr">
        <is>
          <t>-</t>
        </is>
      </c>
      <c r="G1418" s="7" t="n">
        <v>99.87794494628906</v>
      </c>
      <c r="H1418" s="6">
        <f>P1387</f>
        <v/>
      </c>
      <c r="I1418" s="9">
        <f>Q1387</f>
        <v/>
      </c>
      <c r="J1418" s="7">
        <f>I1418*G1418</f>
        <v/>
      </c>
      <c r="K1418" s="8">
        <f>IF($J$1427=0,0,J1418/$J$1427)</f>
        <v/>
      </c>
      <c r="L1418" s="6" t="inlineStr">
        <is>
          <t>REJECTED</t>
        </is>
      </c>
      <c r="M1418" s="8" t="n">
        <v>0</v>
      </c>
      <c r="N1418" s="7">
        <f>M1418*$J$1427-J1418</f>
        <v/>
      </c>
      <c r="O1418" s="9">
        <f>IF(G1418=0,0,N1418/G1418)</f>
        <v/>
      </c>
      <c r="P1418" s="6">
        <f>IF(M1418&gt;0,D1418,"")</f>
        <v/>
      </c>
      <c r="Q1418" s="9">
        <f>I1418+O1418</f>
        <v/>
      </c>
      <c r="R1418" s="7">
        <f>Q1418*G1418</f>
        <v/>
      </c>
      <c r="S1418" s="8">
        <f>IF($R$1427=0,0,R1418/$R$1427)</f>
        <v/>
      </c>
      <c r="T1418" s="8" t="n">
        <v>0</v>
      </c>
      <c r="U1418" s="8" t="n">
        <v>0.0207782815628188</v>
      </c>
      <c r="V1418" s="6" t="inlineStr">
        <is>
          <t>not selected</t>
        </is>
      </c>
    </row>
    <row r="1419">
      <c r="A1419" s="6" t="inlineStr">
        <is>
          <t>DJ30</t>
        </is>
      </c>
      <c r="B1419" s="6" t="inlineStr">
        <is>
          <t>2023-11-17</t>
        </is>
      </c>
      <c r="C1419" s="6" t="inlineStr">
        <is>
          <t>DIA</t>
        </is>
      </c>
      <c r="D1419" s="6" t="inlineStr">
        <is>
          <t>NVDA</t>
        </is>
      </c>
      <c r="E1419" s="6" t="inlineStr">
        <is>
          <t>NVDA</t>
        </is>
      </c>
      <c r="F1419" s="6" t="inlineStr">
        <is>
          <t>-</t>
        </is>
      </c>
      <c r="G1419" s="7" t="n">
        <v>49.20619964599609</v>
      </c>
      <c r="H1419" s="6">
        <f>P1388</f>
        <v/>
      </c>
      <c r="I1419" s="9">
        <f>Q1388</f>
        <v/>
      </c>
      <c r="J1419" s="7">
        <f>I1419*G1419</f>
        <v/>
      </c>
      <c r="K1419" s="8">
        <f>IF($J$1427=0,0,J1419/$J$1427)</f>
        <v/>
      </c>
      <c r="L1419" s="6" t="inlineStr">
        <is>
          <t>REJECTED</t>
        </is>
      </c>
      <c r="M1419" s="8" t="n">
        <v>0</v>
      </c>
      <c r="N1419" s="7">
        <f>M1419*$J$1427-J1419</f>
        <v/>
      </c>
      <c r="O1419" s="9">
        <f>IF(G1419=0,0,N1419/G1419)</f>
        <v/>
      </c>
      <c r="P1419" s="6">
        <f>IF(M1419&gt;0,D1419,"")</f>
        <v/>
      </c>
      <c r="Q1419" s="9">
        <f>I1419+O1419</f>
        <v/>
      </c>
      <c r="R1419" s="7">
        <f>Q1419*G1419</f>
        <v/>
      </c>
      <c r="S1419" s="8">
        <f>IF($R$1427=0,0,R1419/$R$1427)</f>
        <v/>
      </c>
      <c r="T1419" s="8" t="n">
        <v>0</v>
      </c>
      <c r="U1419" s="8" t="n">
        <v>0.0207782815628188</v>
      </c>
      <c r="V1419" s="6" t="inlineStr">
        <is>
          <t>not selected</t>
        </is>
      </c>
    </row>
    <row r="1420">
      <c r="A1420" s="6" t="inlineStr">
        <is>
          <t>DJ30</t>
        </is>
      </c>
      <c r="B1420" s="6" t="inlineStr">
        <is>
          <t>2023-11-17</t>
        </is>
      </c>
      <c r="C1420" s="6" t="inlineStr">
        <is>
          <t>DIA</t>
        </is>
      </c>
      <c r="D1420" s="6" t="inlineStr">
        <is>
          <t>PG</t>
        </is>
      </c>
      <c r="E1420" s="6" t="inlineStr">
        <is>
          <t>PG</t>
        </is>
      </c>
      <c r="F1420" s="6" t="inlineStr">
        <is>
          <t>-</t>
        </is>
      </c>
      <c r="G1420" s="7" t="n">
        <v>141.5282287597656</v>
      </c>
      <c r="H1420" s="6">
        <f>P1389</f>
        <v/>
      </c>
      <c r="I1420" s="9">
        <f>Q1389</f>
        <v/>
      </c>
      <c r="J1420" s="7">
        <f>I1420*G1420</f>
        <v/>
      </c>
      <c r="K1420" s="8">
        <f>IF($J$1427=0,0,J1420/$J$1427)</f>
        <v/>
      </c>
      <c r="L1420" s="6" t="inlineStr">
        <is>
          <t>REJECTED</t>
        </is>
      </c>
      <c r="M1420" s="8" t="n">
        <v>0</v>
      </c>
      <c r="N1420" s="7">
        <f>M1420*$J$1427-J1420</f>
        <v/>
      </c>
      <c r="O1420" s="9">
        <f>IF(G1420=0,0,N1420/G1420)</f>
        <v/>
      </c>
      <c r="P1420" s="6">
        <f>IF(M1420&gt;0,D1420,"")</f>
        <v/>
      </c>
      <c r="Q1420" s="9">
        <f>I1420+O1420</f>
        <v/>
      </c>
      <c r="R1420" s="7">
        <f>Q1420*G1420</f>
        <v/>
      </c>
      <c r="S1420" s="8">
        <f>IF($R$1427=0,0,R1420/$R$1427)</f>
        <v/>
      </c>
      <c r="T1420" s="8" t="n">
        <v>0</v>
      </c>
      <c r="U1420" s="8" t="n">
        <v>0.0207782815628188</v>
      </c>
      <c r="V1420" s="6" t="inlineStr">
        <is>
          <t>not selected</t>
        </is>
      </c>
    </row>
    <row r="1421">
      <c r="A1421" s="6" t="inlineStr">
        <is>
          <t>DJ30</t>
        </is>
      </c>
      <c r="B1421" s="6" t="inlineStr">
        <is>
          <t>2023-11-17</t>
        </is>
      </c>
      <c r="C1421" s="6" t="inlineStr">
        <is>
          <t>DIA</t>
        </is>
      </c>
      <c r="D1421" s="6" t="inlineStr">
        <is>
          <t>SHW</t>
        </is>
      </c>
      <c r="E1421" s="6" t="inlineStr">
        <is>
          <t>SHW</t>
        </is>
      </c>
      <c r="F1421" s="6" t="inlineStr">
        <is>
          <t>-</t>
        </is>
      </c>
      <c r="G1421" s="7" t="n">
        <v>264.3955383300781</v>
      </c>
      <c r="H1421" s="6">
        <f>P1390</f>
        <v/>
      </c>
      <c r="I1421" s="9">
        <f>Q1390</f>
        <v/>
      </c>
      <c r="J1421" s="7">
        <f>I1421*G1421</f>
        <v/>
      </c>
      <c r="K1421" s="8">
        <f>IF($J$1427=0,0,J1421/$J$1427)</f>
        <v/>
      </c>
      <c r="L1421" s="6" t="inlineStr">
        <is>
          <t>REJECTED</t>
        </is>
      </c>
      <c r="M1421" s="8" t="n">
        <v>0</v>
      </c>
      <c r="N1421" s="7">
        <f>M1421*$J$1427-J1421</f>
        <v/>
      </c>
      <c r="O1421" s="9">
        <f>IF(G1421=0,0,N1421/G1421)</f>
        <v/>
      </c>
      <c r="P1421" s="6">
        <f>IF(M1421&gt;0,D1421,"")</f>
        <v/>
      </c>
      <c r="Q1421" s="9">
        <f>I1421+O1421</f>
        <v/>
      </c>
      <c r="R1421" s="7">
        <f>Q1421*G1421</f>
        <v/>
      </c>
      <c r="S1421" s="8">
        <f>IF($R$1427=0,0,R1421/$R$1427)</f>
        <v/>
      </c>
      <c r="T1421" s="8" t="n">
        <v>0</v>
      </c>
      <c r="U1421" s="8" t="n">
        <v>0.0207782815628188</v>
      </c>
      <c r="V1421" s="6" t="inlineStr">
        <is>
          <t>not selected</t>
        </is>
      </c>
    </row>
    <row r="1422">
      <c r="A1422" s="6" t="inlineStr">
        <is>
          <t>DJ30</t>
        </is>
      </c>
      <c r="B1422" s="6" t="inlineStr">
        <is>
          <t>2023-11-17</t>
        </is>
      </c>
      <c r="C1422" s="6" t="inlineStr">
        <is>
          <t>DIA</t>
        </is>
      </c>
      <c r="D1422" s="6" t="inlineStr">
        <is>
          <t>TRV</t>
        </is>
      </c>
      <c r="E1422" s="6" t="inlineStr">
        <is>
          <t>TRV</t>
        </is>
      </c>
      <c r="F1422" s="6" t="inlineStr">
        <is>
          <t>-</t>
        </is>
      </c>
      <c r="G1422" s="7" t="n">
        <v>163.8516540527344</v>
      </c>
      <c r="H1422" s="6">
        <f>P1391</f>
        <v/>
      </c>
      <c r="I1422" s="9">
        <f>Q1391</f>
        <v/>
      </c>
      <c r="J1422" s="7">
        <f>I1422*G1422</f>
        <v/>
      </c>
      <c r="K1422" s="8">
        <f>IF($J$1427=0,0,J1422/$J$1427)</f>
        <v/>
      </c>
      <c r="L1422" s="6" t="inlineStr">
        <is>
          <t>REJECTED</t>
        </is>
      </c>
      <c r="M1422" s="8" t="n">
        <v>0</v>
      </c>
      <c r="N1422" s="7">
        <f>M1422*$J$1427-J1422</f>
        <v/>
      </c>
      <c r="O1422" s="9">
        <f>IF(G1422=0,0,N1422/G1422)</f>
        <v/>
      </c>
      <c r="P1422" s="6">
        <f>IF(M1422&gt;0,D1422,"")</f>
        <v/>
      </c>
      <c r="Q1422" s="9">
        <f>I1422+O1422</f>
        <v/>
      </c>
      <c r="R1422" s="7">
        <f>Q1422*G1422</f>
        <v/>
      </c>
      <c r="S1422" s="8">
        <f>IF($R$1427=0,0,R1422/$R$1427)</f>
        <v/>
      </c>
      <c r="T1422" s="8" t="n">
        <v>0</v>
      </c>
      <c r="U1422" s="8" t="n">
        <v>0.0207782815628188</v>
      </c>
      <c r="V1422" s="6" t="inlineStr">
        <is>
          <t>not selected</t>
        </is>
      </c>
    </row>
    <row r="1423">
      <c r="A1423" s="6" t="inlineStr">
        <is>
          <t>DJ30</t>
        </is>
      </c>
      <c r="B1423" s="6" t="inlineStr">
        <is>
          <t>2023-11-17</t>
        </is>
      </c>
      <c r="C1423" s="6" t="inlineStr">
        <is>
          <t>DIA</t>
        </is>
      </c>
      <c r="D1423" s="6" t="inlineStr">
        <is>
          <t>UNH</t>
        </is>
      </c>
      <c r="E1423" s="6" t="inlineStr">
        <is>
          <t>UNH</t>
        </is>
      </c>
      <c r="F1423" s="6" t="inlineStr">
        <is>
          <t>-</t>
        </is>
      </c>
      <c r="G1423" s="7" t="n">
        <v>506.7237854003906</v>
      </c>
      <c r="H1423" s="6">
        <f>P1392</f>
        <v/>
      </c>
      <c r="I1423" s="9">
        <f>Q1392</f>
        <v/>
      </c>
      <c r="J1423" s="7">
        <f>I1423*G1423</f>
        <v/>
      </c>
      <c r="K1423" s="8">
        <f>IF($J$1427=0,0,J1423/$J$1427)</f>
        <v/>
      </c>
      <c r="L1423" s="6" t="inlineStr">
        <is>
          <t>REJECTED</t>
        </is>
      </c>
      <c r="M1423" s="8" t="n">
        <v>0</v>
      </c>
      <c r="N1423" s="7">
        <f>M1423*$J$1427-J1423</f>
        <v/>
      </c>
      <c r="O1423" s="9">
        <f>IF(G1423=0,0,N1423/G1423)</f>
        <v/>
      </c>
      <c r="P1423" s="6">
        <f>IF(M1423&gt;0,D1423,"")</f>
        <v/>
      </c>
      <c r="Q1423" s="9">
        <f>I1423+O1423</f>
        <v/>
      </c>
      <c r="R1423" s="7">
        <f>Q1423*G1423</f>
        <v/>
      </c>
      <c r="S1423" s="8">
        <f>IF($R$1427=0,0,R1423/$R$1427)</f>
        <v/>
      </c>
      <c r="T1423" s="8" t="n">
        <v>0</v>
      </c>
      <c r="U1423" s="8" t="n">
        <v>0.0207782815628188</v>
      </c>
      <c r="V1423" s="6" t="inlineStr">
        <is>
          <t>not selected</t>
        </is>
      </c>
    </row>
    <row r="1424">
      <c r="A1424" s="6" t="inlineStr">
        <is>
          <t>DJ30</t>
        </is>
      </c>
      <c r="B1424" s="6" t="inlineStr">
        <is>
          <t>2023-11-17</t>
        </is>
      </c>
      <c r="C1424" s="6" t="inlineStr">
        <is>
          <t>DIA</t>
        </is>
      </c>
      <c r="D1424" s="6" t="inlineStr">
        <is>
          <t>V</t>
        </is>
      </c>
      <c r="E1424" s="6" t="inlineStr">
        <is>
          <t>V</t>
        </is>
      </c>
      <c r="F1424" s="6" t="inlineStr">
        <is>
          <t>-</t>
        </is>
      </c>
      <c r="G1424" s="7" t="n">
        <v>244.9064483642578</v>
      </c>
      <c r="H1424" s="6">
        <f>P1393</f>
        <v/>
      </c>
      <c r="I1424" s="9">
        <f>Q1393</f>
        <v/>
      </c>
      <c r="J1424" s="7">
        <f>I1424*G1424</f>
        <v/>
      </c>
      <c r="K1424" s="8">
        <f>IF($J$1427=0,0,J1424/$J$1427)</f>
        <v/>
      </c>
      <c r="L1424" s="6" t="inlineStr">
        <is>
          <t>REJECTED</t>
        </is>
      </c>
      <c r="M1424" s="8" t="n">
        <v>0</v>
      </c>
      <c r="N1424" s="7">
        <f>M1424*$J$1427-J1424</f>
        <v/>
      </c>
      <c r="O1424" s="9">
        <f>IF(G1424=0,0,N1424/G1424)</f>
        <v/>
      </c>
      <c r="P1424" s="6">
        <f>IF(M1424&gt;0,D1424,"")</f>
        <v/>
      </c>
      <c r="Q1424" s="9">
        <f>I1424+O1424</f>
        <v/>
      </c>
      <c r="R1424" s="7">
        <f>Q1424*G1424</f>
        <v/>
      </c>
      <c r="S1424" s="8">
        <f>IF($R$1427=0,0,R1424/$R$1427)</f>
        <v/>
      </c>
      <c r="T1424" s="8" t="n">
        <v>0</v>
      </c>
      <c r="U1424" s="8" t="n">
        <v>0.0207782815628188</v>
      </c>
      <c r="V1424" s="6" t="inlineStr">
        <is>
          <t>not selected</t>
        </is>
      </c>
    </row>
    <row r="1425">
      <c r="A1425" s="6" t="inlineStr">
        <is>
          <t>DJ30</t>
        </is>
      </c>
      <c r="B1425" s="6" t="inlineStr">
        <is>
          <t>2023-11-17</t>
        </is>
      </c>
      <c r="C1425" s="6" t="inlineStr">
        <is>
          <t>DIA</t>
        </is>
      </c>
      <c r="D1425" s="6" t="inlineStr">
        <is>
          <t>VZ</t>
        </is>
      </c>
      <c r="E1425" s="6" t="inlineStr">
        <is>
          <t>VZ</t>
        </is>
      </c>
      <c r="F1425" s="6" t="inlineStr">
        <is>
          <t>-</t>
        </is>
      </c>
      <c r="G1425" s="7" t="n">
        <v>30.77386665344238</v>
      </c>
      <c r="H1425" s="6">
        <f>P1394</f>
        <v/>
      </c>
      <c r="I1425" s="9">
        <f>Q1394</f>
        <v/>
      </c>
      <c r="J1425" s="7">
        <f>I1425*G1425</f>
        <v/>
      </c>
      <c r="K1425" s="8">
        <f>IF($J$1427=0,0,J1425/$J$1427)</f>
        <v/>
      </c>
      <c r="L1425" s="6" t="inlineStr">
        <is>
          <t>REJECTED</t>
        </is>
      </c>
      <c r="M1425" s="8" t="n">
        <v>0</v>
      </c>
      <c r="N1425" s="7">
        <f>M1425*$J$1427-J1425</f>
        <v/>
      </c>
      <c r="O1425" s="9">
        <f>IF(G1425=0,0,N1425/G1425)</f>
        <v/>
      </c>
      <c r="P1425" s="6">
        <f>IF(M1425&gt;0,D1425,"")</f>
        <v/>
      </c>
      <c r="Q1425" s="9">
        <f>I1425+O1425</f>
        <v/>
      </c>
      <c r="R1425" s="7">
        <f>Q1425*G1425</f>
        <v/>
      </c>
      <c r="S1425" s="8">
        <f>IF($R$1427=0,0,R1425/$R$1427)</f>
        <v/>
      </c>
      <c r="T1425" s="8" t="n">
        <v>0</v>
      </c>
      <c r="U1425" s="8" t="n">
        <v>0.0207782815628188</v>
      </c>
      <c r="V1425" s="6" t="inlineStr">
        <is>
          <t>not selected</t>
        </is>
      </c>
    </row>
    <row r="1426">
      <c r="A1426" s="6" t="inlineStr">
        <is>
          <t>DJ30</t>
        </is>
      </c>
      <c r="B1426" s="6" t="inlineStr">
        <is>
          <t>2023-11-17</t>
        </is>
      </c>
      <c r="C1426" s="6" t="inlineStr">
        <is>
          <t>DIA</t>
        </is>
      </c>
      <c r="D1426" s="6" t="inlineStr">
        <is>
          <t>WMT</t>
        </is>
      </c>
      <c r="E1426" s="6" t="inlineStr">
        <is>
          <t>WMT</t>
        </is>
      </c>
      <c r="F1426" s="6" t="inlineStr">
        <is>
          <t>-</t>
        </is>
      </c>
      <c r="G1426" s="7" t="n">
        <v>50.29788208007812</v>
      </c>
      <c r="H1426" s="6">
        <f>P1395</f>
        <v/>
      </c>
      <c r="I1426" s="9">
        <f>Q1395</f>
        <v/>
      </c>
      <c r="J1426" s="7">
        <f>I1426*G1426</f>
        <v/>
      </c>
      <c r="K1426" s="8">
        <f>IF($J$1427=0,0,J1426/$J$1427)</f>
        <v/>
      </c>
      <c r="L1426" s="6" t="inlineStr">
        <is>
          <t>REJECTED</t>
        </is>
      </c>
      <c r="M1426" s="8" t="n">
        <v>0</v>
      </c>
      <c r="N1426" s="7">
        <f>M1426*$J$1427-J1426</f>
        <v/>
      </c>
      <c r="O1426" s="9">
        <f>IF(G1426=0,0,N1426/G1426)</f>
        <v/>
      </c>
      <c r="P1426" s="6">
        <f>IF(M1426&gt;0,D1426,"")</f>
        <v/>
      </c>
      <c r="Q1426" s="9">
        <f>I1426+O1426</f>
        <v/>
      </c>
      <c r="R1426" s="7">
        <f>Q1426*G1426</f>
        <v/>
      </c>
      <c r="S1426" s="8">
        <f>IF($R$1427=0,0,R1426/$R$1427)</f>
        <v/>
      </c>
      <c r="T1426" s="8" t="n">
        <v>0</v>
      </c>
      <c r="U1426" s="8" t="n">
        <v>0.0207782815628188</v>
      </c>
      <c r="V1426" s="6" t="inlineStr">
        <is>
          <t>not selected</t>
        </is>
      </c>
    </row>
    <row r="1427">
      <c r="A1427" s="10" t="inlineStr">
        <is>
          <t>DJ30</t>
        </is>
      </c>
      <c r="B1427" s="10" t="inlineStr">
        <is>
          <t>2023-11-17</t>
        </is>
      </c>
      <c r="C1427" s="10" t="inlineStr">
        <is>
          <t>DIA</t>
        </is>
      </c>
      <c r="D1427" s="10" t="inlineStr">
        <is>
          <t>Tot Portfolio</t>
        </is>
      </c>
      <c r="E1427" s="10" t="inlineStr"/>
      <c r="F1427" s="10" t="inlineStr"/>
      <c r="G1427" s="11" t="inlineStr"/>
      <c r="H1427" s="10" t="inlineStr"/>
      <c r="I1427" s="12" t="inlineStr"/>
      <c r="J1427" s="11">
        <f>SUM(J1397:J1426)</f>
        <v/>
      </c>
      <c r="K1427" s="13">
        <f>SUM(K1397:K1426)</f>
        <v/>
      </c>
      <c r="L1427" s="10" t="inlineStr">
        <is>
          <t>TOTAL</t>
        </is>
      </c>
      <c r="M1427" s="13">
        <f>SUM(M1397:M1426)</f>
        <v/>
      </c>
      <c r="N1427" s="11">
        <f>SUM(N1397:N1426)</f>
        <v/>
      </c>
      <c r="O1427" s="12">
        <f>SUM(O1397:O1426)</f>
        <v/>
      </c>
      <c r="P1427" s="10" t="inlineStr"/>
      <c r="Q1427" s="12" t="inlineStr"/>
      <c r="R1427" s="11">
        <f>SUM(R1397:R1426)</f>
        <v/>
      </c>
      <c r="S1427" s="13">
        <f>SUM(S1397:S1426)</f>
        <v/>
      </c>
      <c r="T1427" s="13" t="n">
        <v>0</v>
      </c>
      <c r="U1427" s="13" t="n">
        <v>0.0207782815628188</v>
      </c>
      <c r="V1427" s="10" t="inlineStr"/>
    </row>
    <row r="1428">
      <c r="A1428" s="6" t="inlineStr">
        <is>
          <t>DJ30</t>
        </is>
      </c>
      <c r="B1428" s="6" t="inlineStr">
        <is>
          <t>2023-11-24</t>
        </is>
      </c>
      <c r="C1428" s="6" t="inlineStr">
        <is>
          <t>DIA</t>
        </is>
      </c>
      <c r="D1428" s="6" t="inlineStr">
        <is>
          <t>AAPL</t>
        </is>
      </c>
      <c r="E1428" s="6" t="inlineStr">
        <is>
          <t>AAPL</t>
        </is>
      </c>
      <c r="F1428" s="6" t="inlineStr">
        <is>
          <t>-</t>
        </is>
      </c>
      <c r="G1428" s="7" t="n">
        <v>187.8437347412109</v>
      </c>
      <c r="H1428" s="6">
        <f>P1397</f>
        <v/>
      </c>
      <c r="I1428" s="9">
        <f>Q1397</f>
        <v/>
      </c>
      <c r="J1428" s="7">
        <f>I1428*G1428</f>
        <v/>
      </c>
      <c r="K1428" s="8">
        <f>IF($J$1458=0,0,J1428/$J$1458)</f>
        <v/>
      </c>
      <c r="L1428" s="6" t="inlineStr">
        <is>
          <t>REJECTED</t>
        </is>
      </c>
      <c r="M1428" s="8" t="n">
        <v>0</v>
      </c>
      <c r="N1428" s="7">
        <f>M1428*$J$1458-J1428</f>
        <v/>
      </c>
      <c r="O1428" s="9">
        <f>IF(G1428=0,0,N1428/G1428)</f>
        <v/>
      </c>
      <c r="P1428" s="6">
        <f>IF(M1428&gt;0,D1428,"")</f>
        <v/>
      </c>
      <c r="Q1428" s="9">
        <f>I1428+O1428</f>
        <v/>
      </c>
      <c r="R1428" s="7">
        <f>Q1428*G1428</f>
        <v/>
      </c>
      <c r="S1428" s="8">
        <f>IF($R$1458=0,0,R1428/$R$1458)</f>
        <v/>
      </c>
      <c r="T1428" s="8" t="n">
        <v>0</v>
      </c>
      <c r="U1428" s="8" t="n">
        <v>0.01250617229185891</v>
      </c>
      <c r="V1428" s="6" t="inlineStr">
        <is>
          <t>not selected</t>
        </is>
      </c>
    </row>
    <row r="1429">
      <c r="A1429" s="6" t="inlineStr">
        <is>
          <t>DJ30</t>
        </is>
      </c>
      <c r="B1429" s="6" t="inlineStr">
        <is>
          <t>2023-11-24</t>
        </is>
      </c>
      <c r="C1429" s="6" t="inlineStr">
        <is>
          <t>DIA</t>
        </is>
      </c>
      <c r="D1429" s="6" t="inlineStr">
        <is>
          <t>AMGN</t>
        </is>
      </c>
      <c r="E1429" s="6" t="inlineStr">
        <is>
          <t>AMGN</t>
        </is>
      </c>
      <c r="F1429" s="6" t="inlineStr">
        <is>
          <t>-</t>
        </is>
      </c>
      <c r="G1429" s="7" t="n">
        <v>245.9764404296875</v>
      </c>
      <c r="H1429" s="6">
        <f>P1398</f>
        <v/>
      </c>
      <c r="I1429" s="9">
        <f>Q1398</f>
        <v/>
      </c>
      <c r="J1429" s="7">
        <f>I1429*G1429</f>
        <v/>
      </c>
      <c r="K1429" s="8">
        <f>IF($J$1458=0,0,J1429/$J$1458)</f>
        <v/>
      </c>
      <c r="L1429" s="6" t="inlineStr">
        <is>
          <t>REJECTED</t>
        </is>
      </c>
      <c r="M1429" s="8" t="n">
        <v>0</v>
      </c>
      <c r="N1429" s="7">
        <f>M1429*$J$1458-J1429</f>
        <v/>
      </c>
      <c r="O1429" s="9">
        <f>IF(G1429=0,0,N1429/G1429)</f>
        <v/>
      </c>
      <c r="P1429" s="6">
        <f>IF(M1429&gt;0,D1429,"")</f>
        <v/>
      </c>
      <c r="Q1429" s="9">
        <f>I1429+O1429</f>
        <v/>
      </c>
      <c r="R1429" s="7">
        <f>Q1429*G1429</f>
        <v/>
      </c>
      <c r="S1429" s="8">
        <f>IF($R$1458=0,0,R1429/$R$1458)</f>
        <v/>
      </c>
      <c r="T1429" s="8" t="n">
        <v>0</v>
      </c>
      <c r="U1429" s="8" t="n">
        <v>0.01250617229185891</v>
      </c>
      <c r="V1429" s="6" t="inlineStr">
        <is>
          <t>not selected</t>
        </is>
      </c>
    </row>
    <row r="1430">
      <c r="A1430" s="6" t="inlineStr">
        <is>
          <t>DJ30</t>
        </is>
      </c>
      <c r="B1430" s="6" t="inlineStr">
        <is>
          <t>2023-11-24</t>
        </is>
      </c>
      <c r="C1430" s="6" t="inlineStr">
        <is>
          <t>DIA</t>
        </is>
      </c>
      <c r="D1430" s="6" t="inlineStr">
        <is>
          <t>AMZN</t>
        </is>
      </c>
      <c r="E1430" s="6" t="inlineStr">
        <is>
          <t>AMZN</t>
        </is>
      </c>
      <c r="F1430" s="6" t="inlineStr">
        <is>
          <t>-</t>
        </is>
      </c>
      <c r="G1430" s="7" t="n">
        <v>146.7400054931641</v>
      </c>
      <c r="H1430" s="6">
        <f>P1399</f>
        <v/>
      </c>
      <c r="I1430" s="9">
        <f>Q1399</f>
        <v/>
      </c>
      <c r="J1430" s="7">
        <f>I1430*G1430</f>
        <v/>
      </c>
      <c r="K1430" s="8">
        <f>IF($J$1458=0,0,J1430/$J$1458)</f>
        <v/>
      </c>
      <c r="L1430" s="6" t="inlineStr">
        <is>
          <t>REJECTED</t>
        </is>
      </c>
      <c r="M1430" s="8" t="n">
        <v>0</v>
      </c>
      <c r="N1430" s="7">
        <f>M1430*$J$1458-J1430</f>
        <v/>
      </c>
      <c r="O1430" s="9">
        <f>IF(G1430=0,0,N1430/G1430)</f>
        <v/>
      </c>
      <c r="P1430" s="6">
        <f>IF(M1430&gt;0,D1430,"")</f>
        <v/>
      </c>
      <c r="Q1430" s="9">
        <f>I1430+O1430</f>
        <v/>
      </c>
      <c r="R1430" s="7">
        <f>Q1430*G1430</f>
        <v/>
      </c>
      <c r="S1430" s="8">
        <f>IF($R$1458=0,0,R1430/$R$1458)</f>
        <v/>
      </c>
      <c r="T1430" s="8" t="n">
        <v>0</v>
      </c>
      <c r="U1430" s="8" t="n">
        <v>0.01250617229185891</v>
      </c>
      <c r="V1430" s="6" t="inlineStr">
        <is>
          <t>not selected</t>
        </is>
      </c>
    </row>
    <row r="1431">
      <c r="A1431" s="6" t="inlineStr">
        <is>
          <t>DJ30</t>
        </is>
      </c>
      <c r="B1431" s="6" t="inlineStr">
        <is>
          <t>2023-11-24</t>
        </is>
      </c>
      <c r="C1431" s="6" t="inlineStr">
        <is>
          <t>DIA</t>
        </is>
      </c>
      <c r="D1431" s="6" t="inlineStr">
        <is>
          <t>AXP</t>
        </is>
      </c>
      <c r="E1431" s="6" t="inlineStr">
        <is>
          <t>AXP</t>
        </is>
      </c>
      <c r="F1431" s="6" t="inlineStr">
        <is>
          <t>-</t>
        </is>
      </c>
      <c r="G1431" s="7" t="n">
        <v>159.8811950683594</v>
      </c>
      <c r="H1431" s="6">
        <f>P1400</f>
        <v/>
      </c>
      <c r="I1431" s="9">
        <f>Q1400</f>
        <v/>
      </c>
      <c r="J1431" s="7">
        <f>I1431*G1431</f>
        <v/>
      </c>
      <c r="K1431" s="8">
        <f>IF($J$1458=0,0,J1431/$J$1458)</f>
        <v/>
      </c>
      <c r="L1431" s="6" t="inlineStr">
        <is>
          <t>REJECTED</t>
        </is>
      </c>
      <c r="M1431" s="8" t="n">
        <v>0</v>
      </c>
      <c r="N1431" s="7">
        <f>M1431*$J$1458-J1431</f>
        <v/>
      </c>
      <c r="O1431" s="9">
        <f>IF(G1431=0,0,N1431/G1431)</f>
        <v/>
      </c>
      <c r="P1431" s="6">
        <f>IF(M1431&gt;0,D1431,"")</f>
        <v/>
      </c>
      <c r="Q1431" s="9">
        <f>I1431+O1431</f>
        <v/>
      </c>
      <c r="R1431" s="7">
        <f>Q1431*G1431</f>
        <v/>
      </c>
      <c r="S1431" s="8">
        <f>IF($R$1458=0,0,R1431/$R$1458)</f>
        <v/>
      </c>
      <c r="T1431" s="8" t="n">
        <v>0</v>
      </c>
      <c r="U1431" s="8" t="n">
        <v>0.01250617229185891</v>
      </c>
      <c r="V1431" s="6" t="inlineStr">
        <is>
          <t>not selected</t>
        </is>
      </c>
    </row>
    <row r="1432">
      <c r="A1432" s="6" t="inlineStr">
        <is>
          <t>DJ30</t>
        </is>
      </c>
      <c r="B1432" s="6" t="inlineStr">
        <is>
          <t>2023-11-24</t>
        </is>
      </c>
      <c r="C1432" s="6" t="inlineStr">
        <is>
          <t>DIA</t>
        </is>
      </c>
      <c r="D1432" s="6" t="inlineStr">
        <is>
          <t>BA</t>
        </is>
      </c>
      <c r="E1432" s="6" t="inlineStr">
        <is>
          <t>BA</t>
        </is>
      </c>
      <c r="F1432" s="6" t="inlineStr">
        <is>
          <t>-</t>
        </is>
      </c>
      <c r="G1432" s="7" t="n">
        <v>220</v>
      </c>
      <c r="H1432" s="6">
        <f>P1401</f>
        <v/>
      </c>
      <c r="I1432" s="9">
        <f>Q1401</f>
        <v/>
      </c>
      <c r="J1432" s="7">
        <f>I1432*G1432</f>
        <v/>
      </c>
      <c r="K1432" s="8">
        <f>IF($J$1458=0,0,J1432/$J$1458)</f>
        <v/>
      </c>
      <c r="L1432" s="6" t="inlineStr">
        <is>
          <t>REJECTED</t>
        </is>
      </c>
      <c r="M1432" s="8" t="n">
        <v>0</v>
      </c>
      <c r="N1432" s="7">
        <f>M1432*$J$1458-J1432</f>
        <v/>
      </c>
      <c r="O1432" s="9">
        <f>IF(G1432=0,0,N1432/G1432)</f>
        <v/>
      </c>
      <c r="P1432" s="6">
        <f>IF(M1432&gt;0,D1432,"")</f>
        <v/>
      </c>
      <c r="Q1432" s="9">
        <f>I1432+O1432</f>
        <v/>
      </c>
      <c r="R1432" s="7">
        <f>Q1432*G1432</f>
        <v/>
      </c>
      <c r="S1432" s="8">
        <f>IF($R$1458=0,0,R1432/$R$1458)</f>
        <v/>
      </c>
      <c r="T1432" s="8" t="n">
        <v>0</v>
      </c>
      <c r="U1432" s="8" t="n">
        <v>0.01250617229185891</v>
      </c>
      <c r="V1432" s="6" t="inlineStr">
        <is>
          <t>not selected</t>
        </is>
      </c>
    </row>
    <row r="1433">
      <c r="A1433" s="6" t="inlineStr">
        <is>
          <t>DJ30</t>
        </is>
      </c>
      <c r="B1433" s="6" t="inlineStr">
        <is>
          <t>2023-11-24</t>
        </is>
      </c>
      <c r="C1433" s="6" t="inlineStr">
        <is>
          <t>DIA</t>
        </is>
      </c>
      <c r="D1433" s="6" t="inlineStr">
        <is>
          <t>CAT</t>
        </is>
      </c>
      <c r="E1433" s="6" t="inlineStr">
        <is>
          <t>CAT</t>
        </is>
      </c>
      <c r="F1433" s="6" t="inlineStr">
        <is>
          <t>-</t>
        </is>
      </c>
      <c r="G1433" s="7" t="n">
        <v>238.8190155029297</v>
      </c>
      <c r="H1433" s="6">
        <f>P1402</f>
        <v/>
      </c>
      <c r="I1433" s="9">
        <f>Q1402</f>
        <v/>
      </c>
      <c r="J1433" s="7">
        <f>I1433*G1433</f>
        <v/>
      </c>
      <c r="K1433" s="8">
        <f>IF($J$1458=0,0,J1433/$J$1458)</f>
        <v/>
      </c>
      <c r="L1433" s="6" t="inlineStr">
        <is>
          <t>REJECTED</t>
        </is>
      </c>
      <c r="M1433" s="8" t="n">
        <v>0</v>
      </c>
      <c r="N1433" s="7">
        <f>M1433*$J$1458-J1433</f>
        <v/>
      </c>
      <c r="O1433" s="9">
        <f>IF(G1433=0,0,N1433/G1433)</f>
        <v/>
      </c>
      <c r="P1433" s="6">
        <f>IF(M1433&gt;0,D1433,"")</f>
        <v/>
      </c>
      <c r="Q1433" s="9">
        <f>I1433+O1433</f>
        <v/>
      </c>
      <c r="R1433" s="7">
        <f>Q1433*G1433</f>
        <v/>
      </c>
      <c r="S1433" s="8">
        <f>IF($R$1458=0,0,R1433/$R$1458)</f>
        <v/>
      </c>
      <c r="T1433" s="8" t="n">
        <v>0</v>
      </c>
      <c r="U1433" s="8" t="n">
        <v>0.01250617229185891</v>
      </c>
      <c r="V1433" s="6" t="inlineStr">
        <is>
          <t>not selected</t>
        </is>
      </c>
    </row>
    <row r="1434">
      <c r="A1434" s="6" t="inlineStr">
        <is>
          <t>DJ30</t>
        </is>
      </c>
      <c r="B1434" s="6" t="inlineStr">
        <is>
          <t>2023-11-24</t>
        </is>
      </c>
      <c r="C1434" s="6" t="inlineStr">
        <is>
          <t>DIA</t>
        </is>
      </c>
      <c r="D1434" s="6" t="inlineStr">
        <is>
          <t>CRM</t>
        </is>
      </c>
      <c r="E1434" s="6" t="inlineStr">
        <is>
          <t>CRM</t>
        </is>
      </c>
      <c r="F1434" s="6" t="inlineStr">
        <is>
          <t>-</t>
        </is>
      </c>
      <c r="G1434" s="7" t="n">
        <v>220.5641632080078</v>
      </c>
      <c r="H1434" s="6">
        <f>P1403</f>
        <v/>
      </c>
      <c r="I1434" s="9">
        <f>Q1403</f>
        <v/>
      </c>
      <c r="J1434" s="7">
        <f>I1434*G1434</f>
        <v/>
      </c>
      <c r="K1434" s="8">
        <f>IF($J$1458=0,0,J1434/$J$1458)</f>
        <v/>
      </c>
      <c r="L1434" s="6" t="inlineStr">
        <is>
          <t>REJECTED</t>
        </is>
      </c>
      <c r="M1434" s="8" t="n">
        <v>0</v>
      </c>
      <c r="N1434" s="7">
        <f>M1434*$J$1458-J1434</f>
        <v/>
      </c>
      <c r="O1434" s="9">
        <f>IF(G1434=0,0,N1434/G1434)</f>
        <v/>
      </c>
      <c r="P1434" s="6">
        <f>IF(M1434&gt;0,D1434,"")</f>
        <v/>
      </c>
      <c r="Q1434" s="9">
        <f>I1434+O1434</f>
        <v/>
      </c>
      <c r="R1434" s="7">
        <f>Q1434*G1434</f>
        <v/>
      </c>
      <c r="S1434" s="8">
        <f>IF($R$1458=0,0,R1434/$R$1458)</f>
        <v/>
      </c>
      <c r="T1434" s="8" t="n">
        <v>0</v>
      </c>
      <c r="U1434" s="8" t="n">
        <v>0.01250617229185891</v>
      </c>
      <c r="V1434" s="6" t="inlineStr">
        <is>
          <t>not selected</t>
        </is>
      </c>
    </row>
    <row r="1435">
      <c r="A1435" s="6" t="inlineStr">
        <is>
          <t>DJ30</t>
        </is>
      </c>
      <c r="B1435" s="6" t="inlineStr">
        <is>
          <t>2023-11-24</t>
        </is>
      </c>
      <c r="C1435" s="6" t="inlineStr">
        <is>
          <t>DIA</t>
        </is>
      </c>
      <c r="D1435" s="6" t="inlineStr">
        <is>
          <t>CSCO</t>
        </is>
      </c>
      <c r="E1435" s="6" t="inlineStr">
        <is>
          <t>CSCO</t>
        </is>
      </c>
      <c r="F1435" s="6" t="inlineStr">
        <is>
          <t>-</t>
        </is>
      </c>
      <c r="G1435" s="7" t="n">
        <v>45.1702766418457</v>
      </c>
      <c r="H1435" s="6">
        <f>P1404</f>
        <v/>
      </c>
      <c r="I1435" s="9">
        <f>Q1404</f>
        <v/>
      </c>
      <c r="J1435" s="7">
        <f>I1435*G1435</f>
        <v/>
      </c>
      <c r="K1435" s="8">
        <f>IF($J$1458=0,0,J1435/$J$1458)</f>
        <v/>
      </c>
      <c r="L1435" s="6" t="inlineStr">
        <is>
          <t>REJECTED</t>
        </is>
      </c>
      <c r="M1435" s="8" t="n">
        <v>0</v>
      </c>
      <c r="N1435" s="7">
        <f>M1435*$J$1458-J1435</f>
        <v/>
      </c>
      <c r="O1435" s="9">
        <f>IF(G1435=0,0,N1435/G1435)</f>
        <v/>
      </c>
      <c r="P1435" s="6">
        <f>IF(M1435&gt;0,D1435,"")</f>
        <v/>
      </c>
      <c r="Q1435" s="9">
        <f>I1435+O1435</f>
        <v/>
      </c>
      <c r="R1435" s="7">
        <f>Q1435*G1435</f>
        <v/>
      </c>
      <c r="S1435" s="8">
        <f>IF($R$1458=0,0,R1435/$R$1458)</f>
        <v/>
      </c>
      <c r="T1435" s="8" t="n">
        <v>0</v>
      </c>
      <c r="U1435" s="8" t="n">
        <v>0.01250617229185891</v>
      </c>
      <c r="V1435" s="6" t="inlineStr">
        <is>
          <t>not selected</t>
        </is>
      </c>
    </row>
    <row r="1436">
      <c r="A1436" s="6" t="inlineStr">
        <is>
          <t>DJ30</t>
        </is>
      </c>
      <c r="B1436" s="6" t="inlineStr">
        <is>
          <t>2023-11-24</t>
        </is>
      </c>
      <c r="C1436" s="6" t="inlineStr">
        <is>
          <t>DIA</t>
        </is>
      </c>
      <c r="D1436" s="6" t="inlineStr">
        <is>
          <t>CVX</t>
        </is>
      </c>
      <c r="E1436" s="6" t="inlineStr">
        <is>
          <t>CVX</t>
        </is>
      </c>
      <c r="F1436" s="6" t="inlineStr">
        <is>
          <t>-</t>
        </is>
      </c>
      <c r="G1436" s="7" t="n">
        <v>130.2815704345703</v>
      </c>
      <c r="H1436" s="6">
        <f>P1405</f>
        <v/>
      </c>
      <c r="I1436" s="9">
        <f>Q1405</f>
        <v/>
      </c>
      <c r="J1436" s="7">
        <f>I1436*G1436</f>
        <v/>
      </c>
      <c r="K1436" s="8">
        <f>IF($J$1458=0,0,J1436/$J$1458)</f>
        <v/>
      </c>
      <c r="L1436" s="6" t="inlineStr">
        <is>
          <t>REJECTED</t>
        </is>
      </c>
      <c r="M1436" s="8" t="n">
        <v>0</v>
      </c>
      <c r="N1436" s="7">
        <f>M1436*$J$1458-J1436</f>
        <v/>
      </c>
      <c r="O1436" s="9">
        <f>IF(G1436=0,0,N1436/G1436)</f>
        <v/>
      </c>
      <c r="P1436" s="6">
        <f>IF(M1436&gt;0,D1436,"")</f>
        <v/>
      </c>
      <c r="Q1436" s="9">
        <f>I1436+O1436</f>
        <v/>
      </c>
      <c r="R1436" s="7">
        <f>Q1436*G1436</f>
        <v/>
      </c>
      <c r="S1436" s="8">
        <f>IF($R$1458=0,0,R1436/$R$1458)</f>
        <v/>
      </c>
      <c r="T1436" s="8" t="n">
        <v>0</v>
      </c>
      <c r="U1436" s="8" t="n">
        <v>0.01250617229185891</v>
      </c>
      <c r="V1436" s="6" t="inlineStr">
        <is>
          <t>not selected</t>
        </is>
      </c>
    </row>
    <row r="1437">
      <c r="A1437" s="6" t="inlineStr">
        <is>
          <t>DJ30</t>
        </is>
      </c>
      <c r="B1437" s="6" t="inlineStr">
        <is>
          <t>2023-11-24</t>
        </is>
      </c>
      <c r="C1437" s="6" t="inlineStr">
        <is>
          <t>DIA</t>
        </is>
      </c>
      <c r="D1437" s="6" t="inlineStr">
        <is>
          <t>DIS</t>
        </is>
      </c>
      <c r="E1437" s="6" t="inlineStr">
        <is>
          <t>DIS</t>
        </is>
      </c>
      <c r="F1437" s="6" t="inlineStr">
        <is>
          <t>-</t>
        </is>
      </c>
      <c r="G1437" s="7" t="n">
        <v>93.84988403320312</v>
      </c>
      <c r="H1437" s="6">
        <f>P1406</f>
        <v/>
      </c>
      <c r="I1437" s="9">
        <f>Q1406</f>
        <v/>
      </c>
      <c r="J1437" s="7">
        <f>I1437*G1437</f>
        <v/>
      </c>
      <c r="K1437" s="8">
        <f>IF($J$1458=0,0,J1437/$J$1458)</f>
        <v/>
      </c>
      <c r="L1437" s="6" t="inlineStr">
        <is>
          <t>REJECTED</t>
        </is>
      </c>
      <c r="M1437" s="8" t="n">
        <v>0</v>
      </c>
      <c r="N1437" s="7">
        <f>M1437*$J$1458-J1437</f>
        <v/>
      </c>
      <c r="O1437" s="9">
        <f>IF(G1437=0,0,N1437/G1437)</f>
        <v/>
      </c>
      <c r="P1437" s="6">
        <f>IF(M1437&gt;0,D1437,"")</f>
        <v/>
      </c>
      <c r="Q1437" s="9">
        <f>I1437+O1437</f>
        <v/>
      </c>
      <c r="R1437" s="7">
        <f>Q1437*G1437</f>
        <v/>
      </c>
      <c r="S1437" s="8">
        <f>IF($R$1458=0,0,R1437/$R$1458)</f>
        <v/>
      </c>
      <c r="T1437" s="8" t="n">
        <v>0</v>
      </c>
      <c r="U1437" s="8" t="n">
        <v>0.01250617229185891</v>
      </c>
      <c r="V1437" s="6" t="inlineStr">
        <is>
          <t>not selected</t>
        </is>
      </c>
    </row>
    <row r="1438">
      <c r="A1438" s="6" t="inlineStr">
        <is>
          <t>DJ30</t>
        </is>
      </c>
      <c r="B1438" s="6" t="inlineStr">
        <is>
          <t>2023-11-24</t>
        </is>
      </c>
      <c r="C1438" s="6" t="inlineStr">
        <is>
          <t>DIA</t>
        </is>
      </c>
      <c r="D1438" s="6" t="inlineStr">
        <is>
          <t>GS</t>
        </is>
      </c>
      <c r="E1438" s="6" t="inlineStr">
        <is>
          <t>GS</t>
        </is>
      </c>
      <c r="F1438" s="6" t="inlineStr">
        <is>
          <t>-</t>
        </is>
      </c>
      <c r="G1438" s="7" t="n">
        <v>318.7732849121094</v>
      </c>
      <c r="H1438" s="6">
        <f>P1407</f>
        <v/>
      </c>
      <c r="I1438" s="9">
        <f>Q1407</f>
        <v/>
      </c>
      <c r="J1438" s="7">
        <f>I1438*G1438</f>
        <v/>
      </c>
      <c r="K1438" s="8">
        <f>IF($J$1458=0,0,J1438/$J$1458)</f>
        <v/>
      </c>
      <c r="L1438" s="6" t="inlineStr">
        <is>
          <t>REJECTED</t>
        </is>
      </c>
      <c r="M1438" s="8" t="n">
        <v>0</v>
      </c>
      <c r="N1438" s="7">
        <f>M1438*$J$1458-J1438</f>
        <v/>
      </c>
      <c r="O1438" s="9">
        <f>IF(G1438=0,0,N1438/G1438)</f>
        <v/>
      </c>
      <c r="P1438" s="6">
        <f>IF(M1438&gt;0,D1438,"")</f>
        <v/>
      </c>
      <c r="Q1438" s="9">
        <f>I1438+O1438</f>
        <v/>
      </c>
      <c r="R1438" s="7">
        <f>Q1438*G1438</f>
        <v/>
      </c>
      <c r="S1438" s="8">
        <f>IF($R$1458=0,0,R1438/$R$1458)</f>
        <v/>
      </c>
      <c r="T1438" s="8" t="n">
        <v>0</v>
      </c>
      <c r="U1438" s="8" t="n">
        <v>0.01250617229185891</v>
      </c>
      <c r="V1438" s="6" t="inlineStr">
        <is>
          <t>not selected</t>
        </is>
      </c>
    </row>
    <row r="1439">
      <c r="A1439" s="6" t="inlineStr">
        <is>
          <t>DJ30</t>
        </is>
      </c>
      <c r="B1439" s="6" t="inlineStr">
        <is>
          <t>2023-11-24</t>
        </is>
      </c>
      <c r="C1439" s="6" t="inlineStr">
        <is>
          <t>DIA</t>
        </is>
      </c>
      <c r="D1439" s="6" t="inlineStr">
        <is>
          <t>HD</t>
        </is>
      </c>
      <c r="E1439" s="6" t="inlineStr">
        <is>
          <t>HD</t>
        </is>
      </c>
      <c r="F1439" s="6" t="inlineStr">
        <is>
          <t>-</t>
        </is>
      </c>
      <c r="G1439" s="7" t="n">
        <v>289.7955017089844</v>
      </c>
      <c r="H1439" s="6">
        <f>P1408</f>
        <v/>
      </c>
      <c r="I1439" s="9">
        <f>Q1408</f>
        <v/>
      </c>
      <c r="J1439" s="7">
        <f>I1439*G1439</f>
        <v/>
      </c>
      <c r="K1439" s="8">
        <f>IF($J$1458=0,0,J1439/$J$1458)</f>
        <v/>
      </c>
      <c r="L1439" s="6" t="inlineStr">
        <is>
          <t>REJECTED</t>
        </is>
      </c>
      <c r="M1439" s="8" t="n">
        <v>0</v>
      </c>
      <c r="N1439" s="7">
        <f>M1439*$J$1458-J1439</f>
        <v/>
      </c>
      <c r="O1439" s="9">
        <f>IF(G1439=0,0,N1439/G1439)</f>
        <v/>
      </c>
      <c r="P1439" s="6">
        <f>IF(M1439&gt;0,D1439,"")</f>
        <v/>
      </c>
      <c r="Q1439" s="9">
        <f>I1439+O1439</f>
        <v/>
      </c>
      <c r="R1439" s="7">
        <f>Q1439*G1439</f>
        <v/>
      </c>
      <c r="S1439" s="8">
        <f>IF($R$1458=0,0,R1439/$R$1458)</f>
        <v/>
      </c>
      <c r="T1439" s="8" t="n">
        <v>0</v>
      </c>
      <c r="U1439" s="8" t="n">
        <v>0.01250617229185891</v>
      </c>
      <c r="V1439" s="6" t="inlineStr">
        <is>
          <t>not selected</t>
        </is>
      </c>
    </row>
    <row r="1440">
      <c r="A1440" s="6" t="inlineStr">
        <is>
          <t>DJ30</t>
        </is>
      </c>
      <c r="B1440" s="6" t="inlineStr">
        <is>
          <t>2023-11-24</t>
        </is>
      </c>
      <c r="C1440" s="6" t="inlineStr">
        <is>
          <t>DIA</t>
        </is>
      </c>
      <c r="D1440" s="6" t="inlineStr">
        <is>
          <t>HON</t>
        </is>
      </c>
      <c r="E1440" s="6" t="inlineStr">
        <is>
          <t>HON</t>
        </is>
      </c>
      <c r="F1440" s="6" t="inlineStr">
        <is>
          <t>-</t>
        </is>
      </c>
      <c r="G1440" s="7" t="n">
        <v>172.8527069091797</v>
      </c>
      <c r="H1440" s="6">
        <f>P1409</f>
        <v/>
      </c>
      <c r="I1440" s="9">
        <f>Q1409</f>
        <v/>
      </c>
      <c r="J1440" s="7">
        <f>I1440*G1440</f>
        <v/>
      </c>
      <c r="K1440" s="8">
        <f>IF($J$1458=0,0,J1440/$J$1458)</f>
        <v/>
      </c>
      <c r="L1440" s="6" t="inlineStr">
        <is>
          <t>REJECTED</t>
        </is>
      </c>
      <c r="M1440" s="8" t="n">
        <v>0</v>
      </c>
      <c r="N1440" s="7">
        <f>M1440*$J$1458-J1440</f>
        <v/>
      </c>
      <c r="O1440" s="9">
        <f>IF(G1440=0,0,N1440/G1440)</f>
        <v/>
      </c>
      <c r="P1440" s="6">
        <f>IF(M1440&gt;0,D1440,"")</f>
        <v/>
      </c>
      <c r="Q1440" s="9">
        <f>I1440+O1440</f>
        <v/>
      </c>
      <c r="R1440" s="7">
        <f>Q1440*G1440</f>
        <v/>
      </c>
      <c r="S1440" s="8">
        <f>IF($R$1458=0,0,R1440/$R$1458)</f>
        <v/>
      </c>
      <c r="T1440" s="8" t="n">
        <v>0</v>
      </c>
      <c r="U1440" s="8" t="n">
        <v>0.01250617229185891</v>
      </c>
      <c r="V1440" s="6" t="inlineStr">
        <is>
          <t>not selected</t>
        </is>
      </c>
    </row>
    <row r="1441">
      <c r="A1441" s="6" t="inlineStr">
        <is>
          <t>DJ30</t>
        </is>
      </c>
      <c r="B1441" s="6" t="inlineStr">
        <is>
          <t>2023-11-24</t>
        </is>
      </c>
      <c r="C1441" s="6" t="inlineStr">
        <is>
          <t>DIA</t>
        </is>
      </c>
      <c r="D1441" s="6" t="inlineStr">
        <is>
          <t>IBM</t>
        </is>
      </c>
      <c r="E1441" s="6" t="inlineStr">
        <is>
          <t>IBM</t>
        </is>
      </c>
      <c r="F1441" s="6" t="inlineStr">
        <is>
          <t>-</t>
        </is>
      </c>
      <c r="G1441" s="7" t="n">
        <v>144.1055603027344</v>
      </c>
      <c r="H1441" s="6">
        <f>P1410</f>
        <v/>
      </c>
      <c r="I1441" s="9">
        <f>Q1410</f>
        <v/>
      </c>
      <c r="J1441" s="7">
        <f>I1441*G1441</f>
        <v/>
      </c>
      <c r="K1441" s="8">
        <f>IF($J$1458=0,0,J1441/$J$1458)</f>
        <v/>
      </c>
      <c r="L1441" s="6" t="inlineStr">
        <is>
          <t>REJECTED</t>
        </is>
      </c>
      <c r="M1441" s="8" t="n">
        <v>0</v>
      </c>
      <c r="N1441" s="7">
        <f>M1441*$J$1458-J1441</f>
        <v/>
      </c>
      <c r="O1441" s="9">
        <f>IF(G1441=0,0,N1441/G1441)</f>
        <v/>
      </c>
      <c r="P1441" s="6">
        <f>IF(M1441&gt;0,D1441,"")</f>
        <v/>
      </c>
      <c r="Q1441" s="9">
        <f>I1441+O1441</f>
        <v/>
      </c>
      <c r="R1441" s="7">
        <f>Q1441*G1441</f>
        <v/>
      </c>
      <c r="S1441" s="8">
        <f>IF($R$1458=0,0,R1441/$R$1458)</f>
        <v/>
      </c>
      <c r="T1441" s="8" t="n">
        <v>0</v>
      </c>
      <c r="U1441" s="8" t="n">
        <v>0.01250617229185891</v>
      </c>
      <c r="V1441" s="6" t="inlineStr">
        <is>
          <t>not selected</t>
        </is>
      </c>
    </row>
    <row r="1442">
      <c r="A1442" s="6" t="inlineStr">
        <is>
          <t>DJ30</t>
        </is>
      </c>
      <c r="B1442" s="6" t="inlineStr">
        <is>
          <t>2023-11-24</t>
        </is>
      </c>
      <c r="C1442" s="6" t="inlineStr">
        <is>
          <t>DIA</t>
        </is>
      </c>
      <c r="D1442" s="6" t="inlineStr">
        <is>
          <t>JNJ</t>
        </is>
      </c>
      <c r="E1442" s="6" t="inlineStr">
        <is>
          <t>JNJ</t>
        </is>
      </c>
      <c r="F1442" s="6" t="inlineStr">
        <is>
          <t>-</t>
        </is>
      </c>
      <c r="G1442" s="7" t="n">
        <v>141.8554077148438</v>
      </c>
      <c r="H1442" s="6">
        <f>P1411</f>
        <v/>
      </c>
      <c r="I1442" s="9">
        <f>Q1411</f>
        <v/>
      </c>
      <c r="J1442" s="7">
        <f>I1442*G1442</f>
        <v/>
      </c>
      <c r="K1442" s="8">
        <f>IF($J$1458=0,0,J1442/$J$1458)</f>
        <v/>
      </c>
      <c r="L1442" s="6" t="inlineStr">
        <is>
          <t>REJECTED</t>
        </is>
      </c>
      <c r="M1442" s="8" t="n">
        <v>0</v>
      </c>
      <c r="N1442" s="7">
        <f>M1442*$J$1458-J1442</f>
        <v/>
      </c>
      <c r="O1442" s="9">
        <f>IF(G1442=0,0,N1442/G1442)</f>
        <v/>
      </c>
      <c r="P1442" s="6">
        <f>IF(M1442&gt;0,D1442,"")</f>
        <v/>
      </c>
      <c r="Q1442" s="9">
        <f>I1442+O1442</f>
        <v/>
      </c>
      <c r="R1442" s="7">
        <f>Q1442*G1442</f>
        <v/>
      </c>
      <c r="S1442" s="8">
        <f>IF($R$1458=0,0,R1442/$R$1458)</f>
        <v/>
      </c>
      <c r="T1442" s="8" t="n">
        <v>0</v>
      </c>
      <c r="U1442" s="8" t="n">
        <v>0.01250617229185891</v>
      </c>
      <c r="V1442" s="6" t="inlineStr">
        <is>
          <t>not selected</t>
        </is>
      </c>
    </row>
    <row r="1443">
      <c r="A1443" s="6" t="inlineStr">
        <is>
          <t>DJ30</t>
        </is>
      </c>
      <c r="B1443" s="6" t="inlineStr">
        <is>
          <t>2023-11-24</t>
        </is>
      </c>
      <c r="C1443" s="6" t="inlineStr">
        <is>
          <t>DIA</t>
        </is>
      </c>
      <c r="D1443" s="6" t="inlineStr">
        <is>
          <t>JPM</t>
        </is>
      </c>
      <c r="E1443" s="6" t="inlineStr">
        <is>
          <t>JPM</t>
        </is>
      </c>
      <c r="F1443" s="6" t="inlineStr">
        <is>
          <t>-</t>
        </is>
      </c>
      <c r="G1443" s="7" t="n">
        <v>145.4465942382812</v>
      </c>
      <c r="H1443" s="6">
        <f>P1412</f>
        <v/>
      </c>
      <c r="I1443" s="9">
        <f>Q1412</f>
        <v/>
      </c>
      <c r="J1443" s="7">
        <f>I1443*G1443</f>
        <v/>
      </c>
      <c r="K1443" s="8">
        <f>IF($J$1458=0,0,J1443/$J$1458)</f>
        <v/>
      </c>
      <c r="L1443" s="6" t="inlineStr">
        <is>
          <t>REJECTED</t>
        </is>
      </c>
      <c r="M1443" s="8" t="n">
        <v>0</v>
      </c>
      <c r="N1443" s="7">
        <f>M1443*$J$1458-J1443</f>
        <v/>
      </c>
      <c r="O1443" s="9">
        <f>IF(G1443=0,0,N1443/G1443)</f>
        <v/>
      </c>
      <c r="P1443" s="6">
        <f>IF(M1443&gt;0,D1443,"")</f>
        <v/>
      </c>
      <c r="Q1443" s="9">
        <f>I1443+O1443</f>
        <v/>
      </c>
      <c r="R1443" s="7">
        <f>Q1443*G1443</f>
        <v/>
      </c>
      <c r="S1443" s="8">
        <f>IF($R$1458=0,0,R1443/$R$1458)</f>
        <v/>
      </c>
      <c r="T1443" s="8" t="n">
        <v>0</v>
      </c>
      <c r="U1443" s="8" t="n">
        <v>0.01250617229185891</v>
      </c>
      <c r="V1443" s="6" t="inlineStr">
        <is>
          <t>not selected</t>
        </is>
      </c>
    </row>
    <row r="1444">
      <c r="A1444" s="6" t="inlineStr">
        <is>
          <t>DJ30</t>
        </is>
      </c>
      <c r="B1444" s="6" t="inlineStr">
        <is>
          <t>2023-11-24</t>
        </is>
      </c>
      <c r="C1444" s="6" t="inlineStr">
        <is>
          <t>DIA</t>
        </is>
      </c>
      <c r="D1444" s="6" t="inlineStr">
        <is>
          <t>KO</t>
        </is>
      </c>
      <c r="E1444" s="6" t="inlineStr">
        <is>
          <t>KO</t>
        </is>
      </c>
      <c r="F1444" s="6" t="inlineStr">
        <is>
          <t>-</t>
        </is>
      </c>
      <c r="G1444" s="7" t="n">
        <v>54.04637908935547</v>
      </c>
      <c r="H1444" s="6">
        <f>P1413</f>
        <v/>
      </c>
      <c r="I1444" s="9">
        <f>Q1413</f>
        <v/>
      </c>
      <c r="J1444" s="7">
        <f>I1444*G1444</f>
        <v/>
      </c>
      <c r="K1444" s="8">
        <f>IF($J$1458=0,0,J1444/$J$1458)</f>
        <v/>
      </c>
      <c r="L1444" s="6" t="inlineStr">
        <is>
          <t>REJECTED</t>
        </is>
      </c>
      <c r="M1444" s="8" t="n">
        <v>0</v>
      </c>
      <c r="N1444" s="7">
        <f>M1444*$J$1458-J1444</f>
        <v/>
      </c>
      <c r="O1444" s="9">
        <f>IF(G1444=0,0,N1444/G1444)</f>
        <v/>
      </c>
      <c r="P1444" s="6">
        <f>IF(M1444&gt;0,D1444,"")</f>
        <v/>
      </c>
      <c r="Q1444" s="9">
        <f>I1444+O1444</f>
        <v/>
      </c>
      <c r="R1444" s="7">
        <f>Q1444*G1444</f>
        <v/>
      </c>
      <c r="S1444" s="8">
        <f>IF($R$1458=0,0,R1444/$R$1458)</f>
        <v/>
      </c>
      <c r="T1444" s="8" t="n">
        <v>0</v>
      </c>
      <c r="U1444" s="8" t="n">
        <v>0.01250617229185891</v>
      </c>
      <c r="V1444" s="6" t="inlineStr">
        <is>
          <t>not selected</t>
        </is>
      </c>
    </row>
    <row r="1445">
      <c r="A1445" s="6" t="inlineStr">
        <is>
          <t>DJ30</t>
        </is>
      </c>
      <c r="B1445" s="6" t="inlineStr">
        <is>
          <t>2023-11-24</t>
        </is>
      </c>
      <c r="C1445" s="6" t="inlineStr">
        <is>
          <t>DIA</t>
        </is>
      </c>
      <c r="D1445" s="6" t="inlineStr">
        <is>
          <t>MCD</t>
        </is>
      </c>
      <c r="E1445" s="6" t="inlineStr">
        <is>
          <t>MCD</t>
        </is>
      </c>
      <c r="F1445" s="6" t="inlineStr">
        <is>
          <t>-</t>
        </is>
      </c>
      <c r="G1445" s="7" t="n">
        <v>264.6782531738281</v>
      </c>
      <c r="H1445" s="6">
        <f>P1414</f>
        <v/>
      </c>
      <c r="I1445" s="9">
        <f>Q1414</f>
        <v/>
      </c>
      <c r="J1445" s="7">
        <f>I1445*G1445</f>
        <v/>
      </c>
      <c r="K1445" s="8">
        <f>IF($J$1458=0,0,J1445/$J$1458)</f>
        <v/>
      </c>
      <c r="L1445" s="6" t="inlineStr">
        <is>
          <t>REJECTED</t>
        </is>
      </c>
      <c r="M1445" s="8" t="n">
        <v>0</v>
      </c>
      <c r="N1445" s="7">
        <f>M1445*$J$1458-J1445</f>
        <v/>
      </c>
      <c r="O1445" s="9">
        <f>IF(G1445=0,0,N1445/G1445)</f>
        <v/>
      </c>
      <c r="P1445" s="6">
        <f>IF(M1445&gt;0,D1445,"")</f>
        <v/>
      </c>
      <c r="Q1445" s="9">
        <f>I1445+O1445</f>
        <v/>
      </c>
      <c r="R1445" s="7">
        <f>Q1445*G1445</f>
        <v/>
      </c>
      <c r="S1445" s="8">
        <f>IF($R$1458=0,0,R1445/$R$1458)</f>
        <v/>
      </c>
      <c r="T1445" s="8" t="n">
        <v>0</v>
      </c>
      <c r="U1445" s="8" t="n">
        <v>0.01250617229185891</v>
      </c>
      <c r="V1445" s="6" t="inlineStr">
        <is>
          <t>not selected</t>
        </is>
      </c>
    </row>
    <row r="1446">
      <c r="A1446" s="6" t="inlineStr">
        <is>
          <t>DJ30</t>
        </is>
      </c>
      <c r="B1446" s="6" t="inlineStr">
        <is>
          <t>2023-11-24</t>
        </is>
      </c>
      <c r="C1446" s="6" t="inlineStr">
        <is>
          <t>DIA</t>
        </is>
      </c>
      <c r="D1446" s="6" t="inlineStr">
        <is>
          <t>MMM</t>
        </is>
      </c>
      <c r="E1446" s="6" t="inlineStr">
        <is>
          <t>MMM</t>
        </is>
      </c>
      <c r="F1446" s="6" t="inlineStr">
        <is>
          <t>-</t>
        </is>
      </c>
      <c r="G1446" s="7" t="n">
        <v>75.37156677246094</v>
      </c>
      <c r="H1446" s="6">
        <f>P1415</f>
        <v/>
      </c>
      <c r="I1446" s="9">
        <f>Q1415</f>
        <v/>
      </c>
      <c r="J1446" s="7">
        <f>I1446*G1446</f>
        <v/>
      </c>
      <c r="K1446" s="8">
        <f>IF($J$1458=0,0,J1446/$J$1458)</f>
        <v/>
      </c>
      <c r="L1446" s="6" t="inlineStr">
        <is>
          <t>REJECTED</t>
        </is>
      </c>
      <c r="M1446" s="8" t="n">
        <v>0</v>
      </c>
      <c r="N1446" s="7">
        <f>M1446*$J$1458-J1446</f>
        <v/>
      </c>
      <c r="O1446" s="9">
        <f>IF(G1446=0,0,N1446/G1446)</f>
        <v/>
      </c>
      <c r="P1446" s="6">
        <f>IF(M1446&gt;0,D1446,"")</f>
        <v/>
      </c>
      <c r="Q1446" s="9">
        <f>I1446+O1446</f>
        <v/>
      </c>
      <c r="R1446" s="7">
        <f>Q1446*G1446</f>
        <v/>
      </c>
      <c r="S1446" s="8">
        <f>IF($R$1458=0,0,R1446/$R$1458)</f>
        <v/>
      </c>
      <c r="T1446" s="8" t="n">
        <v>0</v>
      </c>
      <c r="U1446" s="8" t="n">
        <v>0.01250617229185891</v>
      </c>
      <c r="V1446" s="6" t="inlineStr">
        <is>
          <t>not selected</t>
        </is>
      </c>
    </row>
    <row r="1447">
      <c r="A1447" s="6" t="inlineStr">
        <is>
          <t>DJ30</t>
        </is>
      </c>
      <c r="B1447" s="6" t="inlineStr">
        <is>
          <t>2023-11-24</t>
        </is>
      </c>
      <c r="C1447" s="6" t="inlineStr">
        <is>
          <t>DIA</t>
        </is>
      </c>
      <c r="D1447" s="6" t="inlineStr">
        <is>
          <t>MRK</t>
        </is>
      </c>
      <c r="E1447" s="6" t="inlineStr">
        <is>
          <t>MRK</t>
        </is>
      </c>
      <c r="F1447" s="6" t="inlineStr">
        <is>
          <t>-</t>
        </is>
      </c>
      <c r="G1447" s="7" t="n">
        <v>93.51334381103516</v>
      </c>
      <c r="H1447" s="6">
        <f>P1416</f>
        <v/>
      </c>
      <c r="I1447" s="9">
        <f>Q1416</f>
        <v/>
      </c>
      <c r="J1447" s="7">
        <f>I1447*G1447</f>
        <v/>
      </c>
      <c r="K1447" s="8">
        <f>IF($J$1458=0,0,J1447/$J$1458)</f>
        <v/>
      </c>
      <c r="L1447" s="6" t="inlineStr">
        <is>
          <t>REJECTED</t>
        </is>
      </c>
      <c r="M1447" s="8" t="n">
        <v>0</v>
      </c>
      <c r="N1447" s="7">
        <f>M1447*$J$1458-J1447</f>
        <v/>
      </c>
      <c r="O1447" s="9">
        <f>IF(G1447=0,0,N1447/G1447)</f>
        <v/>
      </c>
      <c r="P1447" s="6">
        <f>IF(M1447&gt;0,D1447,"")</f>
        <v/>
      </c>
      <c r="Q1447" s="9">
        <f>I1447+O1447</f>
        <v/>
      </c>
      <c r="R1447" s="7">
        <f>Q1447*G1447</f>
        <v/>
      </c>
      <c r="S1447" s="8">
        <f>IF($R$1458=0,0,R1447/$R$1458)</f>
        <v/>
      </c>
      <c r="T1447" s="8" t="n">
        <v>0</v>
      </c>
      <c r="U1447" s="8" t="n">
        <v>0.01250617229185891</v>
      </c>
      <c r="V1447" s="6" t="inlineStr">
        <is>
          <t>not selected</t>
        </is>
      </c>
    </row>
    <row r="1448">
      <c r="A1448" s="6" t="inlineStr">
        <is>
          <t>DJ30</t>
        </is>
      </c>
      <c r="B1448" s="6" t="inlineStr">
        <is>
          <t>2023-11-24</t>
        </is>
      </c>
      <c r="C1448" s="6" t="inlineStr">
        <is>
          <t>DIA</t>
        </is>
      </c>
      <c r="D1448" s="6" t="inlineStr">
        <is>
          <t>MSFT</t>
        </is>
      </c>
      <c r="E1448" s="6" t="inlineStr">
        <is>
          <t>MSFT</t>
        </is>
      </c>
      <c r="F1448" s="6" t="inlineStr">
        <is>
          <t>-</t>
        </is>
      </c>
      <c r="G1448" s="7" t="n">
        <v>370.2364196777344</v>
      </c>
      <c r="H1448" s="6">
        <f>P1417</f>
        <v/>
      </c>
      <c r="I1448" s="9">
        <f>Q1417</f>
        <v/>
      </c>
      <c r="J1448" s="7">
        <f>I1448*G1448</f>
        <v/>
      </c>
      <c r="K1448" s="8">
        <f>IF($J$1458=0,0,J1448/$J$1458)</f>
        <v/>
      </c>
      <c r="L1448" s="6" t="inlineStr">
        <is>
          <t>REJECTED</t>
        </is>
      </c>
      <c r="M1448" s="8" t="n">
        <v>0</v>
      </c>
      <c r="N1448" s="7">
        <f>M1448*$J$1458-J1448</f>
        <v/>
      </c>
      <c r="O1448" s="9">
        <f>IF(G1448=0,0,N1448/G1448)</f>
        <v/>
      </c>
      <c r="P1448" s="6">
        <f>IF(M1448&gt;0,D1448,"")</f>
        <v/>
      </c>
      <c r="Q1448" s="9">
        <f>I1448+O1448</f>
        <v/>
      </c>
      <c r="R1448" s="7">
        <f>Q1448*G1448</f>
        <v/>
      </c>
      <c r="S1448" s="8">
        <f>IF($R$1458=0,0,R1448/$R$1458)</f>
        <v/>
      </c>
      <c r="T1448" s="8" t="n">
        <v>0</v>
      </c>
      <c r="U1448" s="8" t="n">
        <v>0.01250617229185891</v>
      </c>
      <c r="V1448" s="6" t="inlineStr">
        <is>
          <t>not selected</t>
        </is>
      </c>
    </row>
    <row r="1449">
      <c r="A1449" s="6" t="inlineStr">
        <is>
          <t>DJ30</t>
        </is>
      </c>
      <c r="B1449" s="6" t="inlineStr">
        <is>
          <t>2023-11-24</t>
        </is>
      </c>
      <c r="C1449" s="6" t="inlineStr">
        <is>
          <t>DIA</t>
        </is>
      </c>
      <c r="D1449" s="6" t="inlineStr">
        <is>
          <t>NKE</t>
        </is>
      </c>
      <c r="E1449" s="6" t="inlineStr">
        <is>
          <t>NKE</t>
        </is>
      </c>
      <c r="F1449" s="6" t="inlineStr">
        <is>
          <t>-</t>
        </is>
      </c>
      <c r="G1449" s="7" t="n">
        <v>101.4615020751953</v>
      </c>
      <c r="H1449" s="6">
        <f>P1418</f>
        <v/>
      </c>
      <c r="I1449" s="9">
        <f>Q1418</f>
        <v/>
      </c>
      <c r="J1449" s="7">
        <f>I1449*G1449</f>
        <v/>
      </c>
      <c r="K1449" s="8">
        <f>IF($J$1458=0,0,J1449/$J$1458)</f>
        <v/>
      </c>
      <c r="L1449" s="6" t="inlineStr">
        <is>
          <t>REJECTED</t>
        </is>
      </c>
      <c r="M1449" s="8" t="n">
        <v>0</v>
      </c>
      <c r="N1449" s="7">
        <f>M1449*$J$1458-J1449</f>
        <v/>
      </c>
      <c r="O1449" s="9">
        <f>IF(G1449=0,0,N1449/G1449)</f>
        <v/>
      </c>
      <c r="P1449" s="6">
        <f>IF(M1449&gt;0,D1449,"")</f>
        <v/>
      </c>
      <c r="Q1449" s="9">
        <f>I1449+O1449</f>
        <v/>
      </c>
      <c r="R1449" s="7">
        <f>Q1449*G1449</f>
        <v/>
      </c>
      <c r="S1449" s="8">
        <f>IF($R$1458=0,0,R1449/$R$1458)</f>
        <v/>
      </c>
      <c r="T1449" s="8" t="n">
        <v>0</v>
      </c>
      <c r="U1449" s="8" t="n">
        <v>0.01250617229185891</v>
      </c>
      <c r="V1449" s="6" t="inlineStr">
        <is>
          <t>not selected</t>
        </is>
      </c>
    </row>
    <row r="1450">
      <c r="A1450" s="6" t="inlineStr">
        <is>
          <t>DJ30</t>
        </is>
      </c>
      <c r="B1450" s="6" t="inlineStr">
        <is>
          <t>2023-11-24</t>
        </is>
      </c>
      <c r="C1450" s="6" t="inlineStr">
        <is>
          <t>DIA</t>
        </is>
      </c>
      <c r="D1450" s="6" t="inlineStr">
        <is>
          <t>NVDA</t>
        </is>
      </c>
      <c r="E1450" s="6" t="inlineStr">
        <is>
          <t>NVDA</t>
        </is>
      </c>
      <c r="F1450" s="6" t="inlineStr">
        <is>
          <t>-</t>
        </is>
      </c>
      <c r="G1450" s="7" t="n">
        <v>47.68704605102539</v>
      </c>
      <c r="H1450" s="6">
        <f>P1419</f>
        <v/>
      </c>
      <c r="I1450" s="9">
        <f>Q1419</f>
        <v/>
      </c>
      <c r="J1450" s="7">
        <f>I1450*G1450</f>
        <v/>
      </c>
      <c r="K1450" s="8">
        <f>IF($J$1458=0,0,J1450/$J$1458)</f>
        <v/>
      </c>
      <c r="L1450" s="6" t="inlineStr">
        <is>
          <t>REJECTED</t>
        </is>
      </c>
      <c r="M1450" s="8" t="n">
        <v>0</v>
      </c>
      <c r="N1450" s="7">
        <f>M1450*$J$1458-J1450</f>
        <v/>
      </c>
      <c r="O1450" s="9">
        <f>IF(G1450=0,0,N1450/G1450)</f>
        <v/>
      </c>
      <c r="P1450" s="6">
        <f>IF(M1450&gt;0,D1450,"")</f>
        <v/>
      </c>
      <c r="Q1450" s="9">
        <f>I1450+O1450</f>
        <v/>
      </c>
      <c r="R1450" s="7">
        <f>Q1450*G1450</f>
        <v/>
      </c>
      <c r="S1450" s="8">
        <f>IF($R$1458=0,0,R1450/$R$1458)</f>
        <v/>
      </c>
      <c r="T1450" s="8" t="n">
        <v>0</v>
      </c>
      <c r="U1450" s="8" t="n">
        <v>0.01250617229185891</v>
      </c>
      <c r="V1450" s="6" t="inlineStr">
        <is>
          <t>not selected</t>
        </is>
      </c>
    </row>
    <row r="1451">
      <c r="A1451" s="6" t="inlineStr">
        <is>
          <t>DJ30</t>
        </is>
      </c>
      <c r="B1451" s="6" t="inlineStr">
        <is>
          <t>2023-11-24</t>
        </is>
      </c>
      <c r="C1451" s="6" t="inlineStr">
        <is>
          <t>DIA</t>
        </is>
      </c>
      <c r="D1451" s="6" t="inlineStr">
        <is>
          <t>PG</t>
        </is>
      </c>
      <c r="E1451" s="6" t="inlineStr">
        <is>
          <t>PG</t>
        </is>
      </c>
      <c r="F1451" s="6" t="inlineStr">
        <is>
          <t>-</t>
        </is>
      </c>
      <c r="G1451" s="7" t="n">
        <v>141.8185882568359</v>
      </c>
      <c r="H1451" s="6">
        <f>P1420</f>
        <v/>
      </c>
      <c r="I1451" s="9">
        <f>Q1420</f>
        <v/>
      </c>
      <c r="J1451" s="7">
        <f>I1451*G1451</f>
        <v/>
      </c>
      <c r="K1451" s="8">
        <f>IF($J$1458=0,0,J1451/$J$1458)</f>
        <v/>
      </c>
      <c r="L1451" s="6" t="inlineStr">
        <is>
          <t>REJECTED</t>
        </is>
      </c>
      <c r="M1451" s="8" t="n">
        <v>0</v>
      </c>
      <c r="N1451" s="7">
        <f>M1451*$J$1458-J1451</f>
        <v/>
      </c>
      <c r="O1451" s="9">
        <f>IF(G1451=0,0,N1451/G1451)</f>
        <v/>
      </c>
      <c r="P1451" s="6">
        <f>IF(M1451&gt;0,D1451,"")</f>
        <v/>
      </c>
      <c r="Q1451" s="9">
        <f>I1451+O1451</f>
        <v/>
      </c>
      <c r="R1451" s="7">
        <f>Q1451*G1451</f>
        <v/>
      </c>
      <c r="S1451" s="8">
        <f>IF($R$1458=0,0,R1451/$R$1458)</f>
        <v/>
      </c>
      <c r="T1451" s="8" t="n">
        <v>0</v>
      </c>
      <c r="U1451" s="8" t="n">
        <v>0.01250617229185891</v>
      </c>
      <c r="V1451" s="6" t="inlineStr">
        <is>
          <t>not selected</t>
        </is>
      </c>
    </row>
    <row r="1452">
      <c r="A1452" s="6" t="inlineStr">
        <is>
          <t>DJ30</t>
        </is>
      </c>
      <c r="B1452" s="6" t="inlineStr">
        <is>
          <t>2023-11-24</t>
        </is>
      </c>
      <c r="C1452" s="6" t="inlineStr">
        <is>
          <t>DIA</t>
        </is>
      </c>
      <c r="D1452" s="6" t="inlineStr">
        <is>
          <t>SHW</t>
        </is>
      </c>
      <c r="E1452" s="6" t="inlineStr">
        <is>
          <t>SHW</t>
        </is>
      </c>
      <c r="F1452" s="6" t="inlineStr">
        <is>
          <t>-</t>
        </is>
      </c>
      <c r="G1452" s="7" t="n">
        <v>269.82470703125</v>
      </c>
      <c r="H1452" s="6">
        <f>P1421</f>
        <v/>
      </c>
      <c r="I1452" s="9">
        <f>Q1421</f>
        <v/>
      </c>
      <c r="J1452" s="7">
        <f>I1452*G1452</f>
        <v/>
      </c>
      <c r="K1452" s="8">
        <f>IF($J$1458=0,0,J1452/$J$1458)</f>
        <v/>
      </c>
      <c r="L1452" s="6" t="inlineStr">
        <is>
          <t>REJECTED</t>
        </is>
      </c>
      <c r="M1452" s="8" t="n">
        <v>0</v>
      </c>
      <c r="N1452" s="7">
        <f>M1452*$J$1458-J1452</f>
        <v/>
      </c>
      <c r="O1452" s="9">
        <f>IF(G1452=0,0,N1452/G1452)</f>
        <v/>
      </c>
      <c r="P1452" s="6">
        <f>IF(M1452&gt;0,D1452,"")</f>
        <v/>
      </c>
      <c r="Q1452" s="9">
        <f>I1452+O1452</f>
        <v/>
      </c>
      <c r="R1452" s="7">
        <f>Q1452*G1452</f>
        <v/>
      </c>
      <c r="S1452" s="8">
        <f>IF($R$1458=0,0,R1452/$R$1458)</f>
        <v/>
      </c>
      <c r="T1452" s="8" t="n">
        <v>0</v>
      </c>
      <c r="U1452" s="8" t="n">
        <v>0.01250617229185891</v>
      </c>
      <c r="V1452" s="6" t="inlineStr">
        <is>
          <t>not selected</t>
        </is>
      </c>
    </row>
    <row r="1453">
      <c r="A1453" s="6" t="inlineStr">
        <is>
          <t>DJ30</t>
        </is>
      </c>
      <c r="B1453" s="6" t="inlineStr">
        <is>
          <t>2023-11-24</t>
        </is>
      </c>
      <c r="C1453" s="6" t="inlineStr">
        <is>
          <t>DIA</t>
        </is>
      </c>
      <c r="D1453" s="6" t="inlineStr">
        <is>
          <t>TRV</t>
        </is>
      </c>
      <c r="E1453" s="6" t="inlineStr">
        <is>
          <t>TRV</t>
        </is>
      </c>
      <c r="F1453" s="6" t="inlineStr">
        <is>
          <t>-</t>
        </is>
      </c>
      <c r="G1453" s="7" t="n">
        <v>169.3063812255859</v>
      </c>
      <c r="H1453" s="6">
        <f>P1422</f>
        <v/>
      </c>
      <c r="I1453" s="9">
        <f>Q1422</f>
        <v/>
      </c>
      <c r="J1453" s="7">
        <f>I1453*G1453</f>
        <v/>
      </c>
      <c r="K1453" s="8">
        <f>IF($J$1458=0,0,J1453/$J$1458)</f>
        <v/>
      </c>
      <c r="L1453" s="6" t="inlineStr">
        <is>
          <t>REJECTED</t>
        </is>
      </c>
      <c r="M1453" s="8" t="n">
        <v>0</v>
      </c>
      <c r="N1453" s="7">
        <f>M1453*$J$1458-J1453</f>
        <v/>
      </c>
      <c r="O1453" s="9">
        <f>IF(G1453=0,0,N1453/G1453)</f>
        <v/>
      </c>
      <c r="P1453" s="6">
        <f>IF(M1453&gt;0,D1453,"")</f>
        <v/>
      </c>
      <c r="Q1453" s="9">
        <f>I1453+O1453</f>
        <v/>
      </c>
      <c r="R1453" s="7">
        <f>Q1453*G1453</f>
        <v/>
      </c>
      <c r="S1453" s="8">
        <f>IF($R$1458=0,0,R1453/$R$1458)</f>
        <v/>
      </c>
      <c r="T1453" s="8" t="n">
        <v>0</v>
      </c>
      <c r="U1453" s="8" t="n">
        <v>0.01250617229185891</v>
      </c>
      <c r="V1453" s="6" t="inlineStr">
        <is>
          <t>not selected</t>
        </is>
      </c>
    </row>
    <row r="1454">
      <c r="A1454" s="6" t="inlineStr">
        <is>
          <t>DJ30</t>
        </is>
      </c>
      <c r="B1454" s="6" t="inlineStr">
        <is>
          <t>2023-11-24</t>
        </is>
      </c>
      <c r="C1454" s="6" t="inlineStr">
        <is>
          <t>DIA</t>
        </is>
      </c>
      <c r="D1454" s="6" t="inlineStr">
        <is>
          <t>UNH</t>
        </is>
      </c>
      <c r="E1454" s="6" t="inlineStr">
        <is>
          <t>UNH</t>
        </is>
      </c>
      <c r="F1454" s="6" t="inlineStr">
        <is>
          <t>-</t>
        </is>
      </c>
      <c r="G1454" s="7" t="n">
        <v>516.9378662109375</v>
      </c>
      <c r="H1454" s="6">
        <f>P1423</f>
        <v/>
      </c>
      <c r="I1454" s="9">
        <f>Q1423</f>
        <v/>
      </c>
      <c r="J1454" s="7">
        <f>I1454*G1454</f>
        <v/>
      </c>
      <c r="K1454" s="8">
        <f>IF($J$1458=0,0,J1454/$J$1458)</f>
        <v/>
      </c>
      <c r="L1454" s="6" t="inlineStr">
        <is>
          <t>REJECTED</t>
        </is>
      </c>
      <c r="M1454" s="8" t="n">
        <v>0</v>
      </c>
      <c r="N1454" s="7">
        <f>M1454*$J$1458-J1454</f>
        <v/>
      </c>
      <c r="O1454" s="9">
        <f>IF(G1454=0,0,N1454/G1454)</f>
        <v/>
      </c>
      <c r="P1454" s="6">
        <f>IF(M1454&gt;0,D1454,"")</f>
        <v/>
      </c>
      <c r="Q1454" s="9">
        <f>I1454+O1454</f>
        <v/>
      </c>
      <c r="R1454" s="7">
        <f>Q1454*G1454</f>
        <v/>
      </c>
      <c r="S1454" s="8">
        <f>IF($R$1458=0,0,R1454/$R$1458)</f>
        <v/>
      </c>
      <c r="T1454" s="8" t="n">
        <v>0</v>
      </c>
      <c r="U1454" s="8" t="n">
        <v>0.01250617229185891</v>
      </c>
      <c r="V1454" s="6" t="inlineStr">
        <is>
          <t>not selected</t>
        </is>
      </c>
    </row>
    <row r="1455">
      <c r="A1455" s="6" t="inlineStr">
        <is>
          <t>DJ30</t>
        </is>
      </c>
      <c r="B1455" s="6" t="inlineStr">
        <is>
          <t>2023-11-24</t>
        </is>
      </c>
      <c r="C1455" s="6" t="inlineStr">
        <is>
          <t>DIA</t>
        </is>
      </c>
      <c r="D1455" s="6" t="inlineStr">
        <is>
          <t>V</t>
        </is>
      </c>
      <c r="E1455" s="6" t="inlineStr">
        <is>
          <t>V</t>
        </is>
      </c>
      <c r="F1455" s="6" t="inlineStr">
        <is>
          <t>-</t>
        </is>
      </c>
      <c r="G1455" s="7" t="n">
        <v>249.5580902099609</v>
      </c>
      <c r="H1455" s="6">
        <f>P1424</f>
        <v/>
      </c>
      <c r="I1455" s="9">
        <f>Q1424</f>
        <v/>
      </c>
      <c r="J1455" s="7">
        <f>I1455*G1455</f>
        <v/>
      </c>
      <c r="K1455" s="8">
        <f>IF($J$1458=0,0,J1455/$J$1458)</f>
        <v/>
      </c>
      <c r="L1455" s="6" t="inlineStr">
        <is>
          <t>REJECTED</t>
        </is>
      </c>
      <c r="M1455" s="8" t="n">
        <v>0</v>
      </c>
      <c r="N1455" s="7">
        <f>M1455*$J$1458-J1455</f>
        <v/>
      </c>
      <c r="O1455" s="9">
        <f>IF(G1455=0,0,N1455/G1455)</f>
        <v/>
      </c>
      <c r="P1455" s="6">
        <f>IF(M1455&gt;0,D1455,"")</f>
        <v/>
      </c>
      <c r="Q1455" s="9">
        <f>I1455+O1455</f>
        <v/>
      </c>
      <c r="R1455" s="7">
        <f>Q1455*G1455</f>
        <v/>
      </c>
      <c r="S1455" s="8">
        <f>IF($R$1458=0,0,R1455/$R$1458)</f>
        <v/>
      </c>
      <c r="T1455" s="8" t="n">
        <v>0</v>
      </c>
      <c r="U1455" s="8" t="n">
        <v>0.01250617229185891</v>
      </c>
      <c r="V1455" s="6" t="inlineStr">
        <is>
          <t>not selected</t>
        </is>
      </c>
    </row>
    <row r="1456">
      <c r="A1456" s="6" t="inlineStr">
        <is>
          <t>DJ30</t>
        </is>
      </c>
      <c r="B1456" s="6" t="inlineStr">
        <is>
          <t>2023-11-24</t>
        </is>
      </c>
      <c r="C1456" s="6" t="inlineStr">
        <is>
          <t>DIA</t>
        </is>
      </c>
      <c r="D1456" s="6" t="inlineStr">
        <is>
          <t>VZ</t>
        </is>
      </c>
      <c r="E1456" s="6" t="inlineStr">
        <is>
          <t>VZ</t>
        </is>
      </c>
      <c r="F1456" s="6" t="inlineStr">
        <is>
          <t>-</t>
        </is>
      </c>
      <c r="G1456" s="7" t="n">
        <v>31.77615928649902</v>
      </c>
      <c r="H1456" s="6">
        <f>P1425</f>
        <v/>
      </c>
      <c r="I1456" s="9">
        <f>Q1425</f>
        <v/>
      </c>
      <c r="J1456" s="7">
        <f>I1456*G1456</f>
        <v/>
      </c>
      <c r="K1456" s="8">
        <f>IF($J$1458=0,0,J1456/$J$1458)</f>
        <v/>
      </c>
      <c r="L1456" s="6" t="inlineStr">
        <is>
          <t>REJECTED</t>
        </is>
      </c>
      <c r="M1456" s="8" t="n">
        <v>0</v>
      </c>
      <c r="N1456" s="7">
        <f>M1456*$J$1458-J1456</f>
        <v/>
      </c>
      <c r="O1456" s="9">
        <f>IF(G1456=0,0,N1456/G1456)</f>
        <v/>
      </c>
      <c r="P1456" s="6">
        <f>IF(M1456&gt;0,D1456,"")</f>
        <v/>
      </c>
      <c r="Q1456" s="9">
        <f>I1456+O1456</f>
        <v/>
      </c>
      <c r="R1456" s="7">
        <f>Q1456*G1456</f>
        <v/>
      </c>
      <c r="S1456" s="8">
        <f>IF($R$1458=0,0,R1456/$R$1458)</f>
        <v/>
      </c>
      <c r="T1456" s="8" t="n">
        <v>0</v>
      </c>
      <c r="U1456" s="8" t="n">
        <v>0.01250617229185891</v>
      </c>
      <c r="V1456" s="6" t="inlineStr">
        <is>
          <t>not selected</t>
        </is>
      </c>
    </row>
    <row r="1457">
      <c r="A1457" s="6" t="inlineStr">
        <is>
          <t>DJ30</t>
        </is>
      </c>
      <c r="B1457" s="6" t="inlineStr">
        <is>
          <t>2023-11-24</t>
        </is>
      </c>
      <c r="C1457" s="6" t="inlineStr">
        <is>
          <t>DIA</t>
        </is>
      </c>
      <c r="D1457" s="6" t="inlineStr">
        <is>
          <t>WMT</t>
        </is>
      </c>
      <c r="E1457" s="6" t="inlineStr">
        <is>
          <t>WMT</t>
        </is>
      </c>
      <c r="F1457" s="6" t="inlineStr">
        <is>
          <t>-</t>
        </is>
      </c>
      <c r="G1457" s="7" t="n">
        <v>50.52776336669922</v>
      </c>
      <c r="H1457" s="6">
        <f>P1426</f>
        <v/>
      </c>
      <c r="I1457" s="9">
        <f>Q1426</f>
        <v/>
      </c>
      <c r="J1457" s="7">
        <f>I1457*G1457</f>
        <v/>
      </c>
      <c r="K1457" s="8">
        <f>IF($J$1458=0,0,J1457/$J$1458)</f>
        <v/>
      </c>
      <c r="L1457" s="6" t="inlineStr">
        <is>
          <t>REJECTED</t>
        </is>
      </c>
      <c r="M1457" s="8" t="n">
        <v>0</v>
      </c>
      <c r="N1457" s="7">
        <f>M1457*$J$1458-J1457</f>
        <v/>
      </c>
      <c r="O1457" s="9">
        <f>IF(G1457=0,0,N1457/G1457)</f>
        <v/>
      </c>
      <c r="P1457" s="6">
        <f>IF(M1457&gt;0,D1457,"")</f>
        <v/>
      </c>
      <c r="Q1457" s="9">
        <f>I1457+O1457</f>
        <v/>
      </c>
      <c r="R1457" s="7">
        <f>Q1457*G1457</f>
        <v/>
      </c>
      <c r="S1457" s="8">
        <f>IF($R$1458=0,0,R1457/$R$1458)</f>
        <v/>
      </c>
      <c r="T1457" s="8" t="n">
        <v>0</v>
      </c>
      <c r="U1457" s="8" t="n">
        <v>0.01250617229185891</v>
      </c>
      <c r="V1457" s="6" t="inlineStr">
        <is>
          <t>not selected</t>
        </is>
      </c>
    </row>
    <row r="1458">
      <c r="A1458" s="10" t="inlineStr">
        <is>
          <t>DJ30</t>
        </is>
      </c>
      <c r="B1458" s="10" t="inlineStr">
        <is>
          <t>2023-11-24</t>
        </is>
      </c>
      <c r="C1458" s="10" t="inlineStr">
        <is>
          <t>DIA</t>
        </is>
      </c>
      <c r="D1458" s="10" t="inlineStr">
        <is>
          <t>Tot Portfolio</t>
        </is>
      </c>
      <c r="E1458" s="10" t="inlineStr"/>
      <c r="F1458" s="10" t="inlineStr"/>
      <c r="G1458" s="11" t="inlineStr"/>
      <c r="H1458" s="10" t="inlineStr"/>
      <c r="I1458" s="12" t="inlineStr"/>
      <c r="J1458" s="11">
        <f>SUM(J1428:J1457)</f>
        <v/>
      </c>
      <c r="K1458" s="13">
        <f>SUM(K1428:K1457)</f>
        <v/>
      </c>
      <c r="L1458" s="10" t="inlineStr">
        <is>
          <t>TOTAL</t>
        </is>
      </c>
      <c r="M1458" s="13">
        <f>SUM(M1428:M1457)</f>
        <v/>
      </c>
      <c r="N1458" s="11">
        <f>SUM(N1428:N1457)</f>
        <v/>
      </c>
      <c r="O1458" s="12">
        <f>SUM(O1428:O1457)</f>
        <v/>
      </c>
      <c r="P1458" s="10" t="inlineStr"/>
      <c r="Q1458" s="12" t="inlineStr"/>
      <c r="R1458" s="11">
        <f>SUM(R1428:R1457)</f>
        <v/>
      </c>
      <c r="S1458" s="13">
        <f>SUM(S1428:S1457)</f>
        <v/>
      </c>
      <c r="T1458" s="13" t="n">
        <v>0</v>
      </c>
      <c r="U1458" s="13" t="n">
        <v>0.01250617229185891</v>
      </c>
      <c r="V1458" s="10" t="inlineStr"/>
    </row>
    <row r="1459">
      <c r="A1459" s="6" t="inlineStr">
        <is>
          <t>DJ30</t>
        </is>
      </c>
      <c r="B1459" s="6" t="inlineStr">
        <is>
          <t>2023-12-01</t>
        </is>
      </c>
      <c r="C1459" s="6" t="inlineStr">
        <is>
          <t>DIA</t>
        </is>
      </c>
      <c r="D1459" s="6" t="inlineStr">
        <is>
          <t>AAPL</t>
        </is>
      </c>
      <c r="E1459" s="6" t="inlineStr">
        <is>
          <t>AAPL</t>
        </is>
      </c>
      <c r="F1459" s="6" t="inlineStr">
        <is>
          <t>-</t>
        </is>
      </c>
      <c r="G1459" s="7" t="n">
        <v>189.0995178222656</v>
      </c>
      <c r="H1459" s="6">
        <f>P1428</f>
        <v/>
      </c>
      <c r="I1459" s="9">
        <f>Q1428</f>
        <v/>
      </c>
      <c r="J1459" s="7">
        <f>I1459*G1459</f>
        <v/>
      </c>
      <c r="K1459" s="8">
        <f>IF($J$1489=0,0,J1459/$J$1489)</f>
        <v/>
      </c>
      <c r="L1459" s="6" t="inlineStr">
        <is>
          <t>REJECTED</t>
        </is>
      </c>
      <c r="M1459" s="8" t="n">
        <v>0</v>
      </c>
      <c r="N1459" s="7">
        <f>M1459*$J$1489-J1459</f>
        <v/>
      </c>
      <c r="O1459" s="9">
        <f>IF(G1459=0,0,N1459/G1459)</f>
        <v/>
      </c>
      <c r="P1459" s="6">
        <f>IF(M1459&gt;0,D1459,"")</f>
        <v/>
      </c>
      <c r="Q1459" s="9">
        <f>I1459+O1459</f>
        <v/>
      </c>
      <c r="R1459" s="7">
        <f>Q1459*G1459</f>
        <v/>
      </c>
      <c r="S1459" s="8">
        <f>IF($R$1489=0,0,R1459/$R$1489)</f>
        <v/>
      </c>
      <c r="T1459" s="8" t="n">
        <v>0</v>
      </c>
      <c r="U1459" s="8" t="n">
        <v>0.0261446816503863</v>
      </c>
      <c r="V1459" s="6" t="inlineStr">
        <is>
          <t>not selected</t>
        </is>
      </c>
    </row>
    <row r="1460">
      <c r="A1460" s="6" t="inlineStr">
        <is>
          <t>DJ30</t>
        </is>
      </c>
      <c r="B1460" s="6" t="inlineStr">
        <is>
          <t>2023-12-01</t>
        </is>
      </c>
      <c r="C1460" s="6" t="inlineStr">
        <is>
          <t>DIA</t>
        </is>
      </c>
      <c r="D1460" s="6" t="inlineStr">
        <is>
          <t>AMGN</t>
        </is>
      </c>
      <c r="E1460" s="6" t="inlineStr">
        <is>
          <t>AMGN</t>
        </is>
      </c>
      <c r="F1460" s="6" t="inlineStr">
        <is>
          <t>-</t>
        </is>
      </c>
      <c r="G1460" s="7" t="n">
        <v>252.4534301757812</v>
      </c>
      <c r="H1460" s="6">
        <f>P1429</f>
        <v/>
      </c>
      <c r="I1460" s="9">
        <f>Q1429</f>
        <v/>
      </c>
      <c r="J1460" s="7">
        <f>I1460*G1460</f>
        <v/>
      </c>
      <c r="K1460" s="8">
        <f>IF($J$1489=0,0,J1460/$J$1489)</f>
        <v/>
      </c>
      <c r="L1460" s="6" t="inlineStr">
        <is>
          <t>REJECTED</t>
        </is>
      </c>
      <c r="M1460" s="8" t="n">
        <v>0</v>
      </c>
      <c r="N1460" s="7">
        <f>M1460*$J$1489-J1460</f>
        <v/>
      </c>
      <c r="O1460" s="9">
        <f>IF(G1460=0,0,N1460/G1460)</f>
        <v/>
      </c>
      <c r="P1460" s="6">
        <f>IF(M1460&gt;0,D1460,"")</f>
        <v/>
      </c>
      <c r="Q1460" s="9">
        <f>I1460+O1460</f>
        <v/>
      </c>
      <c r="R1460" s="7">
        <f>Q1460*G1460</f>
        <v/>
      </c>
      <c r="S1460" s="8">
        <f>IF($R$1489=0,0,R1460/$R$1489)</f>
        <v/>
      </c>
      <c r="T1460" s="8" t="n">
        <v>0</v>
      </c>
      <c r="U1460" s="8" t="n">
        <v>0.0261446816503863</v>
      </c>
      <c r="V1460" s="6" t="inlineStr">
        <is>
          <t>not selected</t>
        </is>
      </c>
    </row>
    <row r="1461">
      <c r="A1461" s="6" t="inlineStr">
        <is>
          <t>DJ30</t>
        </is>
      </c>
      <c r="B1461" s="6" t="inlineStr">
        <is>
          <t>2023-12-01</t>
        </is>
      </c>
      <c r="C1461" s="6" t="inlineStr">
        <is>
          <t>DIA</t>
        </is>
      </c>
      <c r="D1461" s="6" t="inlineStr">
        <is>
          <t>AMZN</t>
        </is>
      </c>
      <c r="E1461" s="6" t="inlineStr">
        <is>
          <t>AMZN</t>
        </is>
      </c>
      <c r="F1461" s="6" t="inlineStr">
        <is>
          <t>-</t>
        </is>
      </c>
      <c r="G1461" s="7" t="n">
        <v>147.0299987792969</v>
      </c>
      <c r="H1461" s="6">
        <f>P1430</f>
        <v/>
      </c>
      <c r="I1461" s="9">
        <f>Q1430</f>
        <v/>
      </c>
      <c r="J1461" s="7">
        <f>I1461*G1461</f>
        <v/>
      </c>
      <c r="K1461" s="8">
        <f>IF($J$1489=0,0,J1461/$J$1489)</f>
        <v/>
      </c>
      <c r="L1461" s="6" t="inlineStr">
        <is>
          <t>REJECTED</t>
        </is>
      </c>
      <c r="M1461" s="8" t="n">
        <v>0</v>
      </c>
      <c r="N1461" s="7">
        <f>M1461*$J$1489-J1461</f>
        <v/>
      </c>
      <c r="O1461" s="9">
        <f>IF(G1461=0,0,N1461/G1461)</f>
        <v/>
      </c>
      <c r="P1461" s="6">
        <f>IF(M1461&gt;0,D1461,"")</f>
        <v/>
      </c>
      <c r="Q1461" s="9">
        <f>I1461+O1461</f>
        <v/>
      </c>
      <c r="R1461" s="7">
        <f>Q1461*G1461</f>
        <v/>
      </c>
      <c r="S1461" s="8">
        <f>IF($R$1489=0,0,R1461/$R$1489)</f>
        <v/>
      </c>
      <c r="T1461" s="8" t="n">
        <v>0</v>
      </c>
      <c r="U1461" s="8" t="n">
        <v>0.0261446816503863</v>
      </c>
      <c r="V1461" s="6" t="inlineStr">
        <is>
          <t>not selected</t>
        </is>
      </c>
    </row>
    <row r="1462">
      <c r="A1462" s="6" t="inlineStr">
        <is>
          <t>DJ30</t>
        </is>
      </c>
      <c r="B1462" s="6" t="inlineStr">
        <is>
          <t>2023-12-01</t>
        </is>
      </c>
      <c r="C1462" s="6" t="inlineStr">
        <is>
          <t>DIA</t>
        </is>
      </c>
      <c r="D1462" s="6" t="inlineStr">
        <is>
          <t>AXP</t>
        </is>
      </c>
      <c r="E1462" s="6" t="inlineStr">
        <is>
          <t>AXP</t>
        </is>
      </c>
      <c r="F1462" s="6" t="inlineStr">
        <is>
          <t>-</t>
        </is>
      </c>
      <c r="G1462" s="7" t="n">
        <v>168.9633941650391</v>
      </c>
      <c r="H1462" s="6">
        <f>P1431</f>
        <v/>
      </c>
      <c r="I1462" s="9">
        <f>Q1431</f>
        <v/>
      </c>
      <c r="J1462" s="7">
        <f>I1462*G1462</f>
        <v/>
      </c>
      <c r="K1462" s="8">
        <f>IF($J$1489=0,0,J1462/$J$1489)</f>
        <v/>
      </c>
      <c r="L1462" s="6" t="inlineStr">
        <is>
          <t>REJECTED</t>
        </is>
      </c>
      <c r="M1462" s="8" t="n">
        <v>0</v>
      </c>
      <c r="N1462" s="7">
        <f>M1462*$J$1489-J1462</f>
        <v/>
      </c>
      <c r="O1462" s="9">
        <f>IF(G1462=0,0,N1462/G1462)</f>
        <v/>
      </c>
      <c r="P1462" s="6">
        <f>IF(M1462&gt;0,D1462,"")</f>
        <v/>
      </c>
      <c r="Q1462" s="9">
        <f>I1462+O1462</f>
        <v/>
      </c>
      <c r="R1462" s="7">
        <f>Q1462*G1462</f>
        <v/>
      </c>
      <c r="S1462" s="8">
        <f>IF($R$1489=0,0,R1462/$R$1489)</f>
        <v/>
      </c>
      <c r="T1462" s="8" t="n">
        <v>0</v>
      </c>
      <c r="U1462" s="8" t="n">
        <v>0.0261446816503863</v>
      </c>
      <c r="V1462" s="6" t="inlineStr">
        <is>
          <t>not selected</t>
        </is>
      </c>
    </row>
    <row r="1463">
      <c r="A1463" s="6" t="inlineStr">
        <is>
          <t>DJ30</t>
        </is>
      </c>
      <c r="B1463" s="6" t="inlineStr">
        <is>
          <t>2023-12-01</t>
        </is>
      </c>
      <c r="C1463" s="6" t="inlineStr">
        <is>
          <t>DIA</t>
        </is>
      </c>
      <c r="D1463" s="6" t="inlineStr">
        <is>
          <t>BA</t>
        </is>
      </c>
      <c r="E1463" s="6" t="inlineStr">
        <is>
          <t>BA</t>
        </is>
      </c>
      <c r="F1463" s="6" t="inlineStr">
        <is>
          <t>-</t>
        </is>
      </c>
      <c r="G1463" s="7" t="n">
        <v>233.8699951171875</v>
      </c>
      <c r="H1463" s="6">
        <f>P1432</f>
        <v/>
      </c>
      <c r="I1463" s="9">
        <f>Q1432</f>
        <v/>
      </c>
      <c r="J1463" s="7">
        <f>I1463*G1463</f>
        <v/>
      </c>
      <c r="K1463" s="8">
        <f>IF($J$1489=0,0,J1463/$J$1489)</f>
        <v/>
      </c>
      <c r="L1463" s="6" t="inlineStr">
        <is>
          <t>REJECTED</t>
        </is>
      </c>
      <c r="M1463" s="8" t="n">
        <v>0</v>
      </c>
      <c r="N1463" s="7">
        <f>M1463*$J$1489-J1463</f>
        <v/>
      </c>
      <c r="O1463" s="9">
        <f>IF(G1463=0,0,N1463/G1463)</f>
        <v/>
      </c>
      <c r="P1463" s="6">
        <f>IF(M1463&gt;0,D1463,"")</f>
        <v/>
      </c>
      <c r="Q1463" s="9">
        <f>I1463+O1463</f>
        <v/>
      </c>
      <c r="R1463" s="7">
        <f>Q1463*G1463</f>
        <v/>
      </c>
      <c r="S1463" s="8">
        <f>IF($R$1489=0,0,R1463/$R$1489)</f>
        <v/>
      </c>
      <c r="T1463" s="8" t="n">
        <v>0</v>
      </c>
      <c r="U1463" s="8" t="n">
        <v>0.0261446816503863</v>
      </c>
      <c r="V1463" s="6" t="inlineStr">
        <is>
          <t>not selected</t>
        </is>
      </c>
    </row>
    <row r="1464">
      <c r="A1464" s="6" t="inlineStr">
        <is>
          <t>DJ30</t>
        </is>
      </c>
      <c r="B1464" s="6" t="inlineStr">
        <is>
          <t>2023-12-01</t>
        </is>
      </c>
      <c r="C1464" s="6" t="inlineStr">
        <is>
          <t>DIA</t>
        </is>
      </c>
      <c r="D1464" s="6" t="inlineStr">
        <is>
          <t>CAT</t>
        </is>
      </c>
      <c r="E1464" s="6" t="inlineStr">
        <is>
          <t>CAT</t>
        </is>
      </c>
      <c r="F1464" s="6" t="inlineStr">
        <is>
          <t>-</t>
        </is>
      </c>
      <c r="G1464" s="7" t="n">
        <v>247.8944854736328</v>
      </c>
      <c r="H1464" s="6">
        <f>P1433</f>
        <v/>
      </c>
      <c r="I1464" s="9">
        <f>Q1433</f>
        <v/>
      </c>
      <c r="J1464" s="7">
        <f>I1464*G1464</f>
        <v/>
      </c>
      <c r="K1464" s="8">
        <f>IF($J$1489=0,0,J1464/$J$1489)</f>
        <v/>
      </c>
      <c r="L1464" s="6" t="inlineStr">
        <is>
          <t>REJECTED</t>
        </is>
      </c>
      <c r="M1464" s="8" t="n">
        <v>0</v>
      </c>
      <c r="N1464" s="7">
        <f>M1464*$J$1489-J1464</f>
        <v/>
      </c>
      <c r="O1464" s="9">
        <f>IF(G1464=0,0,N1464/G1464)</f>
        <v/>
      </c>
      <c r="P1464" s="6">
        <f>IF(M1464&gt;0,D1464,"")</f>
        <v/>
      </c>
      <c r="Q1464" s="9">
        <f>I1464+O1464</f>
        <v/>
      </c>
      <c r="R1464" s="7">
        <f>Q1464*G1464</f>
        <v/>
      </c>
      <c r="S1464" s="8">
        <f>IF($R$1489=0,0,R1464/$R$1489)</f>
        <v/>
      </c>
      <c r="T1464" s="8" t="n">
        <v>0</v>
      </c>
      <c r="U1464" s="8" t="n">
        <v>0.0261446816503863</v>
      </c>
      <c r="V1464" s="6" t="inlineStr">
        <is>
          <t>not selected</t>
        </is>
      </c>
    </row>
    <row r="1465">
      <c r="A1465" s="6" t="inlineStr">
        <is>
          <t>DJ30</t>
        </is>
      </c>
      <c r="B1465" s="6" t="inlineStr">
        <is>
          <t>2023-12-01</t>
        </is>
      </c>
      <c r="C1465" s="6" t="inlineStr">
        <is>
          <t>DIA</t>
        </is>
      </c>
      <c r="D1465" s="6" t="inlineStr">
        <is>
          <t>CRM</t>
        </is>
      </c>
      <c r="E1465" s="6" t="inlineStr">
        <is>
          <t>CRM</t>
        </is>
      </c>
      <c r="F1465" s="6" t="inlineStr">
        <is>
          <t>-</t>
        </is>
      </c>
      <c r="G1465" s="7" t="n">
        <v>255.5783843994141</v>
      </c>
      <c r="H1465" s="6">
        <f>P1434</f>
        <v/>
      </c>
      <c r="I1465" s="9">
        <f>Q1434</f>
        <v/>
      </c>
      <c r="J1465" s="7">
        <f>I1465*G1465</f>
        <v/>
      </c>
      <c r="K1465" s="8">
        <f>IF($J$1489=0,0,J1465/$J$1489)</f>
        <v/>
      </c>
      <c r="L1465" s="6" t="inlineStr">
        <is>
          <t>REJECTED</t>
        </is>
      </c>
      <c r="M1465" s="8" t="n">
        <v>0</v>
      </c>
      <c r="N1465" s="7">
        <f>M1465*$J$1489-J1465</f>
        <v/>
      </c>
      <c r="O1465" s="9">
        <f>IF(G1465=0,0,N1465/G1465)</f>
        <v/>
      </c>
      <c r="P1465" s="6">
        <f>IF(M1465&gt;0,D1465,"")</f>
        <v/>
      </c>
      <c r="Q1465" s="9">
        <f>I1465+O1465</f>
        <v/>
      </c>
      <c r="R1465" s="7">
        <f>Q1465*G1465</f>
        <v/>
      </c>
      <c r="S1465" s="8">
        <f>IF($R$1489=0,0,R1465/$R$1489)</f>
        <v/>
      </c>
      <c r="T1465" s="8" t="n">
        <v>0</v>
      </c>
      <c r="U1465" s="8" t="n">
        <v>0.0261446816503863</v>
      </c>
      <c r="V1465" s="6" t="inlineStr">
        <is>
          <t>not selected</t>
        </is>
      </c>
    </row>
    <row r="1466">
      <c r="A1466" s="6" t="inlineStr">
        <is>
          <t>DJ30</t>
        </is>
      </c>
      <c r="B1466" s="6" t="inlineStr">
        <is>
          <t>2023-12-01</t>
        </is>
      </c>
      <c r="C1466" s="6" t="inlineStr">
        <is>
          <t>DIA</t>
        </is>
      </c>
      <c r="D1466" s="6" t="inlineStr">
        <is>
          <t>CSCO</t>
        </is>
      </c>
      <c r="E1466" s="6" t="inlineStr">
        <is>
          <t>CSCO</t>
        </is>
      </c>
      <c r="F1466" s="6" t="inlineStr">
        <is>
          <t>-</t>
        </is>
      </c>
      <c r="G1466" s="7" t="n">
        <v>45.27302169799805</v>
      </c>
      <c r="H1466" s="6">
        <f>P1435</f>
        <v/>
      </c>
      <c r="I1466" s="9">
        <f>Q1435</f>
        <v/>
      </c>
      <c r="J1466" s="7">
        <f>I1466*G1466</f>
        <v/>
      </c>
      <c r="K1466" s="8">
        <f>IF($J$1489=0,0,J1466/$J$1489)</f>
        <v/>
      </c>
      <c r="L1466" s="6" t="inlineStr">
        <is>
          <t>REJECTED</t>
        </is>
      </c>
      <c r="M1466" s="8" t="n">
        <v>0</v>
      </c>
      <c r="N1466" s="7">
        <f>M1466*$J$1489-J1466</f>
        <v/>
      </c>
      <c r="O1466" s="9">
        <f>IF(G1466=0,0,N1466/G1466)</f>
        <v/>
      </c>
      <c r="P1466" s="6">
        <f>IF(M1466&gt;0,D1466,"")</f>
        <v/>
      </c>
      <c r="Q1466" s="9">
        <f>I1466+O1466</f>
        <v/>
      </c>
      <c r="R1466" s="7">
        <f>Q1466*G1466</f>
        <v/>
      </c>
      <c r="S1466" s="8">
        <f>IF($R$1489=0,0,R1466/$R$1489)</f>
        <v/>
      </c>
      <c r="T1466" s="8" t="n">
        <v>0</v>
      </c>
      <c r="U1466" s="8" t="n">
        <v>0.0261446816503863</v>
      </c>
      <c r="V1466" s="6" t="inlineStr">
        <is>
          <t>not selected</t>
        </is>
      </c>
    </row>
    <row r="1467">
      <c r="A1467" s="6" t="inlineStr">
        <is>
          <t>DJ30</t>
        </is>
      </c>
      <c r="B1467" s="6" t="inlineStr">
        <is>
          <t>2023-12-01</t>
        </is>
      </c>
      <c r="C1467" s="6" t="inlineStr">
        <is>
          <t>DIA</t>
        </is>
      </c>
      <c r="D1467" s="6" t="inlineStr">
        <is>
          <t>CVX</t>
        </is>
      </c>
      <c r="E1467" s="6" t="inlineStr">
        <is>
          <t>CVX</t>
        </is>
      </c>
      <c r="F1467" s="6" t="inlineStr">
        <is>
          <t>-</t>
        </is>
      </c>
      <c r="G1467" s="7" t="n">
        <v>130.2006378173828</v>
      </c>
      <c r="H1467" s="6">
        <f>P1436</f>
        <v/>
      </c>
      <c r="I1467" s="9">
        <f>Q1436</f>
        <v/>
      </c>
      <c r="J1467" s="7">
        <f>I1467*G1467</f>
        <v/>
      </c>
      <c r="K1467" s="8">
        <f>IF($J$1489=0,0,J1467/$J$1489)</f>
        <v/>
      </c>
      <c r="L1467" s="6" t="inlineStr">
        <is>
          <t>REJECTED</t>
        </is>
      </c>
      <c r="M1467" s="8" t="n">
        <v>0</v>
      </c>
      <c r="N1467" s="7">
        <f>M1467*$J$1489-J1467</f>
        <v/>
      </c>
      <c r="O1467" s="9">
        <f>IF(G1467=0,0,N1467/G1467)</f>
        <v/>
      </c>
      <c r="P1467" s="6">
        <f>IF(M1467&gt;0,D1467,"")</f>
        <v/>
      </c>
      <c r="Q1467" s="9">
        <f>I1467+O1467</f>
        <v/>
      </c>
      <c r="R1467" s="7">
        <f>Q1467*G1467</f>
        <v/>
      </c>
      <c r="S1467" s="8">
        <f>IF($R$1489=0,0,R1467/$R$1489)</f>
        <v/>
      </c>
      <c r="T1467" s="8" t="n">
        <v>0</v>
      </c>
      <c r="U1467" s="8" t="n">
        <v>0.0261446816503863</v>
      </c>
      <c r="V1467" s="6" t="inlineStr">
        <is>
          <t>not selected</t>
        </is>
      </c>
    </row>
    <row r="1468">
      <c r="A1468" s="6" t="inlineStr">
        <is>
          <t>DJ30</t>
        </is>
      </c>
      <c r="B1468" s="6" t="inlineStr">
        <is>
          <t>2023-12-01</t>
        </is>
      </c>
      <c r="C1468" s="6" t="inlineStr">
        <is>
          <t>DIA</t>
        </is>
      </c>
      <c r="D1468" s="6" t="inlineStr">
        <is>
          <t>DIS</t>
        </is>
      </c>
      <c r="E1468" s="6" t="inlineStr">
        <is>
          <t>DIS</t>
        </is>
      </c>
      <c r="F1468" s="6" t="inlineStr">
        <is>
          <t>-</t>
        </is>
      </c>
      <c r="G1468" s="7" t="n">
        <v>90.449951171875</v>
      </c>
      <c r="H1468" s="6">
        <f>P1437</f>
        <v/>
      </c>
      <c r="I1468" s="9">
        <f>Q1437</f>
        <v/>
      </c>
      <c r="J1468" s="7">
        <f>I1468*G1468</f>
        <v/>
      </c>
      <c r="K1468" s="8">
        <f>IF($J$1489=0,0,J1468/$J$1489)</f>
        <v/>
      </c>
      <c r="L1468" s="6" t="inlineStr">
        <is>
          <t>REJECTED</t>
        </is>
      </c>
      <c r="M1468" s="8" t="n">
        <v>0</v>
      </c>
      <c r="N1468" s="7">
        <f>M1468*$J$1489-J1468</f>
        <v/>
      </c>
      <c r="O1468" s="9">
        <f>IF(G1468=0,0,N1468/G1468)</f>
        <v/>
      </c>
      <c r="P1468" s="6">
        <f>IF(M1468&gt;0,D1468,"")</f>
        <v/>
      </c>
      <c r="Q1468" s="9">
        <f>I1468+O1468</f>
        <v/>
      </c>
      <c r="R1468" s="7">
        <f>Q1468*G1468</f>
        <v/>
      </c>
      <c r="S1468" s="8">
        <f>IF($R$1489=0,0,R1468/$R$1489)</f>
        <v/>
      </c>
      <c r="T1468" s="8" t="n">
        <v>0</v>
      </c>
      <c r="U1468" s="8" t="n">
        <v>0.0261446816503863</v>
      </c>
      <c r="V1468" s="6" t="inlineStr">
        <is>
          <t>not selected</t>
        </is>
      </c>
    </row>
    <row r="1469">
      <c r="A1469" s="6" t="inlineStr">
        <is>
          <t>DJ30</t>
        </is>
      </c>
      <c r="B1469" s="6" t="inlineStr">
        <is>
          <t>2023-12-01</t>
        </is>
      </c>
      <c r="C1469" s="6" t="inlineStr">
        <is>
          <t>DIA</t>
        </is>
      </c>
      <c r="D1469" s="6" t="inlineStr">
        <is>
          <t>GS</t>
        </is>
      </c>
      <c r="E1469" s="6" t="inlineStr">
        <is>
          <t>GS</t>
        </is>
      </c>
      <c r="F1469" s="6" t="inlineStr">
        <is>
          <t>-</t>
        </is>
      </c>
      <c r="G1469" s="7" t="n">
        <v>330.1849365234375</v>
      </c>
      <c r="H1469" s="6">
        <f>P1438</f>
        <v/>
      </c>
      <c r="I1469" s="9">
        <f>Q1438</f>
        <v/>
      </c>
      <c r="J1469" s="7">
        <f>I1469*G1469</f>
        <v/>
      </c>
      <c r="K1469" s="8">
        <f>IF($J$1489=0,0,J1469/$J$1489)</f>
        <v/>
      </c>
      <c r="L1469" s="6" t="inlineStr">
        <is>
          <t>REJECTED</t>
        </is>
      </c>
      <c r="M1469" s="8" t="n">
        <v>0</v>
      </c>
      <c r="N1469" s="7">
        <f>M1469*$J$1489-J1469</f>
        <v/>
      </c>
      <c r="O1469" s="9">
        <f>IF(G1469=0,0,N1469/G1469)</f>
        <v/>
      </c>
      <c r="P1469" s="6">
        <f>IF(M1469&gt;0,D1469,"")</f>
        <v/>
      </c>
      <c r="Q1469" s="9">
        <f>I1469+O1469</f>
        <v/>
      </c>
      <c r="R1469" s="7">
        <f>Q1469*G1469</f>
        <v/>
      </c>
      <c r="S1469" s="8">
        <f>IF($R$1489=0,0,R1469/$R$1489)</f>
        <v/>
      </c>
      <c r="T1469" s="8" t="n">
        <v>0</v>
      </c>
      <c r="U1469" s="8" t="n">
        <v>0.0261446816503863</v>
      </c>
      <c r="V1469" s="6" t="inlineStr">
        <is>
          <t>not selected</t>
        </is>
      </c>
    </row>
    <row r="1470">
      <c r="A1470" s="6" t="inlineStr">
        <is>
          <t>DJ30</t>
        </is>
      </c>
      <c r="B1470" s="6" t="inlineStr">
        <is>
          <t>2023-12-01</t>
        </is>
      </c>
      <c r="C1470" s="6" t="inlineStr">
        <is>
          <t>DIA</t>
        </is>
      </c>
      <c r="D1470" s="6" t="inlineStr">
        <is>
          <t>HD</t>
        </is>
      </c>
      <c r="E1470" s="6" t="inlineStr">
        <is>
          <t>HD</t>
        </is>
      </c>
      <c r="F1470" s="6" t="inlineStr">
        <is>
          <t>-</t>
        </is>
      </c>
      <c r="G1470" s="7" t="n">
        <v>300.1171264648437</v>
      </c>
      <c r="H1470" s="6">
        <f>P1439</f>
        <v/>
      </c>
      <c r="I1470" s="9">
        <f>Q1439</f>
        <v/>
      </c>
      <c r="J1470" s="7">
        <f>I1470*G1470</f>
        <v/>
      </c>
      <c r="K1470" s="8">
        <f>IF($J$1489=0,0,J1470/$J$1489)</f>
        <v/>
      </c>
      <c r="L1470" s="6" t="inlineStr">
        <is>
          <t>REJECTED</t>
        </is>
      </c>
      <c r="M1470" s="8" t="n">
        <v>0</v>
      </c>
      <c r="N1470" s="7">
        <f>M1470*$J$1489-J1470</f>
        <v/>
      </c>
      <c r="O1470" s="9">
        <f>IF(G1470=0,0,N1470/G1470)</f>
        <v/>
      </c>
      <c r="P1470" s="6">
        <f>IF(M1470&gt;0,D1470,"")</f>
        <v/>
      </c>
      <c r="Q1470" s="9">
        <f>I1470+O1470</f>
        <v/>
      </c>
      <c r="R1470" s="7">
        <f>Q1470*G1470</f>
        <v/>
      </c>
      <c r="S1470" s="8">
        <f>IF($R$1489=0,0,R1470/$R$1489)</f>
        <v/>
      </c>
      <c r="T1470" s="8" t="n">
        <v>0</v>
      </c>
      <c r="U1470" s="8" t="n">
        <v>0.0261446816503863</v>
      </c>
      <c r="V1470" s="6" t="inlineStr">
        <is>
          <t>not selected</t>
        </is>
      </c>
    </row>
    <row r="1471">
      <c r="A1471" s="6" t="inlineStr">
        <is>
          <t>DJ30</t>
        </is>
      </c>
      <c r="B1471" s="6" t="inlineStr">
        <is>
          <t>2023-12-01</t>
        </is>
      </c>
      <c r="C1471" s="6" t="inlineStr">
        <is>
          <t>DIA</t>
        </is>
      </c>
      <c r="D1471" s="6" t="inlineStr">
        <is>
          <t>HON</t>
        </is>
      </c>
      <c r="E1471" s="6" t="inlineStr">
        <is>
          <t>HON</t>
        </is>
      </c>
      <c r="F1471" s="6" t="inlineStr">
        <is>
          <t>-</t>
        </is>
      </c>
      <c r="G1471" s="7" t="n">
        <v>176.7581939697266</v>
      </c>
      <c r="H1471" s="6">
        <f>P1440</f>
        <v/>
      </c>
      <c r="I1471" s="9">
        <f>Q1440</f>
        <v/>
      </c>
      <c r="J1471" s="7">
        <f>I1471*G1471</f>
        <v/>
      </c>
      <c r="K1471" s="8">
        <f>IF($J$1489=0,0,J1471/$J$1489)</f>
        <v/>
      </c>
      <c r="L1471" s="6" t="inlineStr">
        <is>
          <t>REJECTED</t>
        </is>
      </c>
      <c r="M1471" s="8" t="n">
        <v>0</v>
      </c>
      <c r="N1471" s="7">
        <f>M1471*$J$1489-J1471</f>
        <v/>
      </c>
      <c r="O1471" s="9">
        <f>IF(G1471=0,0,N1471/G1471)</f>
        <v/>
      </c>
      <c r="P1471" s="6">
        <f>IF(M1471&gt;0,D1471,"")</f>
        <v/>
      </c>
      <c r="Q1471" s="9">
        <f>I1471+O1471</f>
        <v/>
      </c>
      <c r="R1471" s="7">
        <f>Q1471*G1471</f>
        <v/>
      </c>
      <c r="S1471" s="8">
        <f>IF($R$1489=0,0,R1471/$R$1489)</f>
        <v/>
      </c>
      <c r="T1471" s="8" t="n">
        <v>0</v>
      </c>
      <c r="U1471" s="8" t="n">
        <v>0.0261446816503863</v>
      </c>
      <c r="V1471" s="6" t="inlineStr">
        <is>
          <t>not selected</t>
        </is>
      </c>
    </row>
    <row r="1472">
      <c r="A1472" s="6" t="inlineStr">
        <is>
          <t>DJ30</t>
        </is>
      </c>
      <c r="B1472" s="6" t="inlineStr">
        <is>
          <t>2023-12-01</t>
        </is>
      </c>
      <c r="C1472" s="6" t="inlineStr">
        <is>
          <t>DIA</t>
        </is>
      </c>
      <c r="D1472" s="6" t="inlineStr">
        <is>
          <t>IBM</t>
        </is>
      </c>
      <c r="E1472" s="6" t="inlineStr">
        <is>
          <t>IBM</t>
        </is>
      </c>
      <c r="F1472" s="6" t="inlineStr">
        <is>
          <t>-</t>
        </is>
      </c>
      <c r="G1472" s="7" t="n">
        <v>149.0923614501953</v>
      </c>
      <c r="H1472" s="6">
        <f>P1441</f>
        <v/>
      </c>
      <c r="I1472" s="9">
        <f>Q1441</f>
        <v/>
      </c>
      <c r="J1472" s="7">
        <f>I1472*G1472</f>
        <v/>
      </c>
      <c r="K1472" s="8">
        <f>IF($J$1489=0,0,J1472/$J$1489)</f>
        <v/>
      </c>
      <c r="L1472" s="6" t="inlineStr">
        <is>
          <t>REJECTED</t>
        </is>
      </c>
      <c r="M1472" s="8" t="n">
        <v>0</v>
      </c>
      <c r="N1472" s="7">
        <f>M1472*$J$1489-J1472</f>
        <v/>
      </c>
      <c r="O1472" s="9">
        <f>IF(G1472=0,0,N1472/G1472)</f>
        <v/>
      </c>
      <c r="P1472" s="6">
        <f>IF(M1472&gt;0,D1472,"")</f>
        <v/>
      </c>
      <c r="Q1472" s="9">
        <f>I1472+O1472</f>
        <v/>
      </c>
      <c r="R1472" s="7">
        <f>Q1472*G1472</f>
        <v/>
      </c>
      <c r="S1472" s="8">
        <f>IF($R$1489=0,0,R1472/$R$1489)</f>
        <v/>
      </c>
      <c r="T1472" s="8" t="n">
        <v>0</v>
      </c>
      <c r="U1472" s="8" t="n">
        <v>0.0261446816503863</v>
      </c>
      <c r="V1472" s="6" t="inlineStr">
        <is>
          <t>not selected</t>
        </is>
      </c>
    </row>
    <row r="1473">
      <c r="A1473" s="6" t="inlineStr">
        <is>
          <t>DJ30</t>
        </is>
      </c>
      <c r="B1473" s="6" t="inlineStr">
        <is>
          <t>2023-12-01</t>
        </is>
      </c>
      <c r="C1473" s="6" t="inlineStr">
        <is>
          <t>DIA</t>
        </is>
      </c>
      <c r="D1473" s="6" t="inlineStr">
        <is>
          <t>JNJ</t>
        </is>
      </c>
      <c r="E1473" s="6" t="inlineStr">
        <is>
          <t>JNJ</t>
        </is>
      </c>
      <c r="F1473" s="6" t="inlineStr">
        <is>
          <t>-</t>
        </is>
      </c>
      <c r="G1473" s="7" t="n">
        <v>147.3249816894531</v>
      </c>
      <c r="H1473" s="6">
        <f>P1442</f>
        <v/>
      </c>
      <c r="I1473" s="9">
        <f>Q1442</f>
        <v/>
      </c>
      <c r="J1473" s="7">
        <f>I1473*G1473</f>
        <v/>
      </c>
      <c r="K1473" s="8">
        <f>IF($J$1489=0,0,J1473/$J$1489)</f>
        <v/>
      </c>
      <c r="L1473" s="6" t="inlineStr">
        <is>
          <t>REJECTED</t>
        </is>
      </c>
      <c r="M1473" s="8" t="n">
        <v>0</v>
      </c>
      <c r="N1473" s="7">
        <f>M1473*$J$1489-J1473</f>
        <v/>
      </c>
      <c r="O1473" s="9">
        <f>IF(G1473=0,0,N1473/G1473)</f>
        <v/>
      </c>
      <c r="P1473" s="6">
        <f>IF(M1473&gt;0,D1473,"")</f>
        <v/>
      </c>
      <c r="Q1473" s="9">
        <f>I1473+O1473</f>
        <v/>
      </c>
      <c r="R1473" s="7">
        <f>Q1473*G1473</f>
        <v/>
      </c>
      <c r="S1473" s="8">
        <f>IF($R$1489=0,0,R1473/$R$1489)</f>
        <v/>
      </c>
      <c r="T1473" s="8" t="n">
        <v>0</v>
      </c>
      <c r="U1473" s="8" t="n">
        <v>0.0261446816503863</v>
      </c>
      <c r="V1473" s="6" t="inlineStr">
        <is>
          <t>not selected</t>
        </is>
      </c>
    </row>
    <row r="1474">
      <c r="A1474" s="6" t="inlineStr">
        <is>
          <t>DJ30</t>
        </is>
      </c>
      <c r="B1474" s="6" t="inlineStr">
        <is>
          <t>2023-12-01</t>
        </is>
      </c>
      <c r="C1474" s="6" t="inlineStr">
        <is>
          <t>DIA</t>
        </is>
      </c>
      <c r="D1474" s="6" t="inlineStr">
        <is>
          <t>JPM</t>
        </is>
      </c>
      <c r="E1474" s="6" t="inlineStr">
        <is>
          <t>JPM</t>
        </is>
      </c>
      <c r="F1474" s="6" t="inlineStr">
        <is>
          <t>-</t>
        </is>
      </c>
      <c r="G1474" s="7" t="n">
        <v>148.5726928710938</v>
      </c>
      <c r="H1474" s="6">
        <f>P1443</f>
        <v/>
      </c>
      <c r="I1474" s="9">
        <f>Q1443</f>
        <v/>
      </c>
      <c r="J1474" s="7">
        <f>I1474*G1474</f>
        <v/>
      </c>
      <c r="K1474" s="8">
        <f>IF($J$1489=0,0,J1474/$J$1489)</f>
        <v/>
      </c>
      <c r="L1474" s="6" t="inlineStr">
        <is>
          <t>REJECTED</t>
        </is>
      </c>
      <c r="M1474" s="8" t="n">
        <v>0</v>
      </c>
      <c r="N1474" s="7">
        <f>M1474*$J$1489-J1474</f>
        <v/>
      </c>
      <c r="O1474" s="9">
        <f>IF(G1474=0,0,N1474/G1474)</f>
        <v/>
      </c>
      <c r="P1474" s="6">
        <f>IF(M1474&gt;0,D1474,"")</f>
        <v/>
      </c>
      <c r="Q1474" s="9">
        <f>I1474+O1474</f>
        <v/>
      </c>
      <c r="R1474" s="7">
        <f>Q1474*G1474</f>
        <v/>
      </c>
      <c r="S1474" s="8">
        <f>IF($R$1489=0,0,R1474/$R$1489)</f>
        <v/>
      </c>
      <c r="T1474" s="8" t="n">
        <v>0</v>
      </c>
      <c r="U1474" s="8" t="n">
        <v>0.0261446816503863</v>
      </c>
      <c r="V1474" s="6" t="inlineStr">
        <is>
          <t>not selected</t>
        </is>
      </c>
    </row>
    <row r="1475">
      <c r="A1475" s="6" t="inlineStr">
        <is>
          <t>DJ30</t>
        </is>
      </c>
      <c r="B1475" s="6" t="inlineStr">
        <is>
          <t>2023-12-01</t>
        </is>
      </c>
      <c r="C1475" s="6" t="inlineStr">
        <is>
          <t>DIA</t>
        </is>
      </c>
      <c r="D1475" s="6" t="inlineStr">
        <is>
          <t>KO</t>
        </is>
      </c>
      <c r="E1475" s="6" t="inlineStr">
        <is>
          <t>KO</t>
        </is>
      </c>
      <c r="F1475" s="6" t="inlineStr">
        <is>
          <t>-</t>
        </is>
      </c>
      <c r="G1475" s="7" t="n">
        <v>54.54183197021485</v>
      </c>
      <c r="H1475" s="6">
        <f>P1444</f>
        <v/>
      </c>
      <c r="I1475" s="9">
        <f>Q1444</f>
        <v/>
      </c>
      <c r="J1475" s="7">
        <f>I1475*G1475</f>
        <v/>
      </c>
      <c r="K1475" s="8">
        <f>IF($J$1489=0,0,J1475/$J$1489)</f>
        <v/>
      </c>
      <c r="L1475" s="6" t="inlineStr">
        <is>
          <t>REJECTED</t>
        </is>
      </c>
      <c r="M1475" s="8" t="n">
        <v>0</v>
      </c>
      <c r="N1475" s="7">
        <f>M1475*$J$1489-J1475</f>
        <v/>
      </c>
      <c r="O1475" s="9">
        <f>IF(G1475=0,0,N1475/G1475)</f>
        <v/>
      </c>
      <c r="P1475" s="6">
        <f>IF(M1475&gt;0,D1475,"")</f>
        <v/>
      </c>
      <c r="Q1475" s="9">
        <f>I1475+O1475</f>
        <v/>
      </c>
      <c r="R1475" s="7">
        <f>Q1475*G1475</f>
        <v/>
      </c>
      <c r="S1475" s="8">
        <f>IF($R$1489=0,0,R1475/$R$1489)</f>
        <v/>
      </c>
      <c r="T1475" s="8" t="n">
        <v>0</v>
      </c>
      <c r="U1475" s="8" t="n">
        <v>0.0261446816503863</v>
      </c>
      <c r="V1475" s="6" t="inlineStr">
        <is>
          <t>not selected</t>
        </is>
      </c>
    </row>
    <row r="1476">
      <c r="A1476" s="6" t="inlineStr">
        <is>
          <t>DJ30</t>
        </is>
      </c>
      <c r="B1476" s="6" t="inlineStr">
        <is>
          <t>2023-12-01</t>
        </is>
      </c>
      <c r="C1476" s="6" t="inlineStr">
        <is>
          <t>DIA</t>
        </is>
      </c>
      <c r="D1476" s="6" t="inlineStr">
        <is>
          <t>MCD</t>
        </is>
      </c>
      <c r="E1476" s="6" t="inlineStr">
        <is>
          <t>MCD</t>
        </is>
      </c>
      <c r="F1476" s="6" t="inlineStr">
        <is>
          <t>-</t>
        </is>
      </c>
      <c r="G1476" s="7" t="n">
        <v>269.4871520996094</v>
      </c>
      <c r="H1476" s="6">
        <f>P1445</f>
        <v/>
      </c>
      <c r="I1476" s="9">
        <f>Q1445</f>
        <v/>
      </c>
      <c r="J1476" s="7">
        <f>I1476*G1476</f>
        <v/>
      </c>
      <c r="K1476" s="8">
        <f>IF($J$1489=0,0,J1476/$J$1489)</f>
        <v/>
      </c>
      <c r="L1476" s="6" t="inlineStr">
        <is>
          <t>REJECTED</t>
        </is>
      </c>
      <c r="M1476" s="8" t="n">
        <v>0</v>
      </c>
      <c r="N1476" s="7">
        <f>M1476*$J$1489-J1476</f>
        <v/>
      </c>
      <c r="O1476" s="9">
        <f>IF(G1476=0,0,N1476/G1476)</f>
        <v/>
      </c>
      <c r="P1476" s="6">
        <f>IF(M1476&gt;0,D1476,"")</f>
        <v/>
      </c>
      <c r="Q1476" s="9">
        <f>I1476+O1476</f>
        <v/>
      </c>
      <c r="R1476" s="7">
        <f>Q1476*G1476</f>
        <v/>
      </c>
      <c r="S1476" s="8">
        <f>IF($R$1489=0,0,R1476/$R$1489)</f>
        <v/>
      </c>
      <c r="T1476" s="8" t="n">
        <v>0</v>
      </c>
      <c r="U1476" s="8" t="n">
        <v>0.0261446816503863</v>
      </c>
      <c r="V1476" s="6" t="inlineStr">
        <is>
          <t>not selected</t>
        </is>
      </c>
    </row>
    <row r="1477">
      <c r="A1477" s="6" t="inlineStr">
        <is>
          <t>DJ30</t>
        </is>
      </c>
      <c r="B1477" s="6" t="inlineStr">
        <is>
          <t>2023-12-01</t>
        </is>
      </c>
      <c r="C1477" s="6" t="inlineStr">
        <is>
          <t>DIA</t>
        </is>
      </c>
      <c r="D1477" s="6" t="inlineStr">
        <is>
          <t>MMM</t>
        </is>
      </c>
      <c r="E1477" s="6" t="inlineStr">
        <is>
          <t>MMM</t>
        </is>
      </c>
      <c r="F1477" s="6" t="inlineStr">
        <is>
          <t>-</t>
        </is>
      </c>
      <c r="G1477" s="7" t="n">
        <v>78.43512725830078</v>
      </c>
      <c r="H1477" s="6">
        <f>P1446</f>
        <v/>
      </c>
      <c r="I1477" s="9">
        <f>Q1446</f>
        <v/>
      </c>
      <c r="J1477" s="7">
        <f>I1477*G1477</f>
        <v/>
      </c>
      <c r="K1477" s="8">
        <f>IF($J$1489=0,0,J1477/$J$1489)</f>
        <v/>
      </c>
      <c r="L1477" s="6" t="inlineStr">
        <is>
          <t>REJECTED</t>
        </is>
      </c>
      <c r="M1477" s="8" t="n">
        <v>0</v>
      </c>
      <c r="N1477" s="7">
        <f>M1477*$J$1489-J1477</f>
        <v/>
      </c>
      <c r="O1477" s="9">
        <f>IF(G1477=0,0,N1477/G1477)</f>
        <v/>
      </c>
      <c r="P1477" s="6">
        <f>IF(M1477&gt;0,D1477,"")</f>
        <v/>
      </c>
      <c r="Q1477" s="9">
        <f>I1477+O1477</f>
        <v/>
      </c>
      <c r="R1477" s="7">
        <f>Q1477*G1477</f>
        <v/>
      </c>
      <c r="S1477" s="8">
        <f>IF($R$1489=0,0,R1477/$R$1489)</f>
        <v/>
      </c>
      <c r="T1477" s="8" t="n">
        <v>0</v>
      </c>
      <c r="U1477" s="8" t="n">
        <v>0.0261446816503863</v>
      </c>
      <c r="V1477" s="6" t="inlineStr">
        <is>
          <t>not selected</t>
        </is>
      </c>
    </row>
    <row r="1478">
      <c r="A1478" s="6" t="inlineStr">
        <is>
          <t>DJ30</t>
        </is>
      </c>
      <c r="B1478" s="6" t="inlineStr">
        <is>
          <t>2023-12-01</t>
        </is>
      </c>
      <c r="C1478" s="6" t="inlineStr">
        <is>
          <t>DIA</t>
        </is>
      </c>
      <c r="D1478" s="6" t="inlineStr">
        <is>
          <t>MRK</t>
        </is>
      </c>
      <c r="E1478" s="6" t="inlineStr">
        <is>
          <t>MRK</t>
        </is>
      </c>
      <c r="F1478" s="6" t="inlineStr">
        <is>
          <t>-</t>
        </is>
      </c>
      <c r="G1478" s="7" t="n">
        <v>94.97290802001952</v>
      </c>
      <c r="H1478" s="6">
        <f>P1447</f>
        <v/>
      </c>
      <c r="I1478" s="9">
        <f>Q1447</f>
        <v/>
      </c>
      <c r="J1478" s="7">
        <f>I1478*G1478</f>
        <v/>
      </c>
      <c r="K1478" s="8">
        <f>IF($J$1489=0,0,J1478/$J$1489)</f>
        <v/>
      </c>
      <c r="L1478" s="6" t="inlineStr">
        <is>
          <t>REJECTED</t>
        </is>
      </c>
      <c r="M1478" s="8" t="n">
        <v>0</v>
      </c>
      <c r="N1478" s="7">
        <f>M1478*$J$1489-J1478</f>
        <v/>
      </c>
      <c r="O1478" s="9">
        <f>IF(G1478=0,0,N1478/G1478)</f>
        <v/>
      </c>
      <c r="P1478" s="6">
        <f>IF(M1478&gt;0,D1478,"")</f>
        <v/>
      </c>
      <c r="Q1478" s="9">
        <f>I1478+O1478</f>
        <v/>
      </c>
      <c r="R1478" s="7">
        <f>Q1478*G1478</f>
        <v/>
      </c>
      <c r="S1478" s="8">
        <f>IF($R$1489=0,0,R1478/$R$1489)</f>
        <v/>
      </c>
      <c r="T1478" s="8" t="n">
        <v>0</v>
      </c>
      <c r="U1478" s="8" t="n">
        <v>0.0261446816503863</v>
      </c>
      <c r="V1478" s="6" t="inlineStr">
        <is>
          <t>not selected</t>
        </is>
      </c>
    </row>
    <row r="1479">
      <c r="A1479" s="6" t="inlineStr">
        <is>
          <t>DJ30</t>
        </is>
      </c>
      <c r="B1479" s="6" t="inlineStr">
        <is>
          <t>2023-12-01</t>
        </is>
      </c>
      <c r="C1479" s="6" t="inlineStr">
        <is>
          <t>DIA</t>
        </is>
      </c>
      <c r="D1479" s="6" t="inlineStr">
        <is>
          <t>MSFT</t>
        </is>
      </c>
      <c r="E1479" s="6" t="inlineStr">
        <is>
          <t>MSFT</t>
        </is>
      </c>
      <c r="F1479" s="6" t="inlineStr">
        <is>
          <t>-</t>
        </is>
      </c>
      <c r="G1479" s="7" t="n">
        <v>367.3721923828125</v>
      </c>
      <c r="H1479" s="6">
        <f>P1448</f>
        <v/>
      </c>
      <c r="I1479" s="9">
        <f>Q1448</f>
        <v/>
      </c>
      <c r="J1479" s="7">
        <f>I1479*G1479</f>
        <v/>
      </c>
      <c r="K1479" s="8">
        <f>IF($J$1489=0,0,J1479/$J$1489)</f>
        <v/>
      </c>
      <c r="L1479" s="6" t="inlineStr">
        <is>
          <t>REJECTED</t>
        </is>
      </c>
      <c r="M1479" s="8" t="n">
        <v>0</v>
      </c>
      <c r="N1479" s="7">
        <f>M1479*$J$1489-J1479</f>
        <v/>
      </c>
      <c r="O1479" s="9">
        <f>IF(G1479=0,0,N1479/G1479)</f>
        <v/>
      </c>
      <c r="P1479" s="6">
        <f>IF(M1479&gt;0,D1479,"")</f>
        <v/>
      </c>
      <c r="Q1479" s="9">
        <f>I1479+O1479</f>
        <v/>
      </c>
      <c r="R1479" s="7">
        <f>Q1479*G1479</f>
        <v/>
      </c>
      <c r="S1479" s="8">
        <f>IF($R$1489=0,0,R1479/$R$1489)</f>
        <v/>
      </c>
      <c r="T1479" s="8" t="n">
        <v>0</v>
      </c>
      <c r="U1479" s="8" t="n">
        <v>0.0261446816503863</v>
      </c>
      <c r="V1479" s="6" t="inlineStr">
        <is>
          <t>not selected</t>
        </is>
      </c>
    </row>
    <row r="1480">
      <c r="A1480" s="6" t="inlineStr">
        <is>
          <t>DJ30</t>
        </is>
      </c>
      <c r="B1480" s="6" t="inlineStr">
        <is>
          <t>2023-12-01</t>
        </is>
      </c>
      <c r="C1480" s="6" t="inlineStr">
        <is>
          <t>DIA</t>
        </is>
      </c>
      <c r="D1480" s="6" t="inlineStr">
        <is>
          <t>NKE</t>
        </is>
      </c>
      <c r="E1480" s="6" t="inlineStr">
        <is>
          <t>NKE</t>
        </is>
      </c>
      <c r="F1480" s="6" t="inlineStr">
        <is>
          <t>-</t>
        </is>
      </c>
      <c r="G1480" s="7" t="n">
        <v>107.326416015625</v>
      </c>
      <c r="H1480" s="6">
        <f>P1449</f>
        <v/>
      </c>
      <c r="I1480" s="9">
        <f>Q1449</f>
        <v/>
      </c>
      <c r="J1480" s="7">
        <f>I1480*G1480</f>
        <v/>
      </c>
      <c r="K1480" s="8">
        <f>IF($J$1489=0,0,J1480/$J$1489)</f>
        <v/>
      </c>
      <c r="L1480" s="6" t="inlineStr">
        <is>
          <t>REJECTED</t>
        </is>
      </c>
      <c r="M1480" s="8" t="n">
        <v>0</v>
      </c>
      <c r="N1480" s="7">
        <f>M1480*$J$1489-J1480</f>
        <v/>
      </c>
      <c r="O1480" s="9">
        <f>IF(G1480=0,0,N1480/G1480)</f>
        <v/>
      </c>
      <c r="P1480" s="6">
        <f>IF(M1480&gt;0,D1480,"")</f>
        <v/>
      </c>
      <c r="Q1480" s="9">
        <f>I1480+O1480</f>
        <v/>
      </c>
      <c r="R1480" s="7">
        <f>Q1480*G1480</f>
        <v/>
      </c>
      <c r="S1480" s="8">
        <f>IF($R$1489=0,0,R1480/$R$1489)</f>
        <v/>
      </c>
      <c r="T1480" s="8" t="n">
        <v>0</v>
      </c>
      <c r="U1480" s="8" t="n">
        <v>0.0261446816503863</v>
      </c>
      <c r="V1480" s="6" t="inlineStr">
        <is>
          <t>not selected</t>
        </is>
      </c>
    </row>
    <row r="1481">
      <c r="A1481" s="6" t="inlineStr">
        <is>
          <t>DJ30</t>
        </is>
      </c>
      <c r="B1481" s="6" t="inlineStr">
        <is>
          <t>2023-12-01</t>
        </is>
      </c>
      <c r="C1481" s="6" t="inlineStr">
        <is>
          <t>DIA</t>
        </is>
      </c>
      <c r="D1481" s="6" t="inlineStr">
        <is>
          <t>NVDA</t>
        </is>
      </c>
      <c r="E1481" s="6" t="inlineStr">
        <is>
          <t>NVDA</t>
        </is>
      </c>
      <c r="F1481" s="6" t="inlineStr">
        <is>
          <t>-</t>
        </is>
      </c>
      <c r="G1481" s="7" t="n">
        <v>46.67791748046875</v>
      </c>
      <c r="H1481" s="6">
        <f>P1450</f>
        <v/>
      </c>
      <c r="I1481" s="9">
        <f>Q1450</f>
        <v/>
      </c>
      <c r="J1481" s="7">
        <f>I1481*G1481</f>
        <v/>
      </c>
      <c r="K1481" s="8">
        <f>IF($J$1489=0,0,J1481/$J$1489)</f>
        <v/>
      </c>
      <c r="L1481" s="6" t="inlineStr">
        <is>
          <t>REJECTED</t>
        </is>
      </c>
      <c r="M1481" s="8" t="n">
        <v>0</v>
      </c>
      <c r="N1481" s="7">
        <f>M1481*$J$1489-J1481</f>
        <v/>
      </c>
      <c r="O1481" s="9">
        <f>IF(G1481=0,0,N1481/G1481)</f>
        <v/>
      </c>
      <c r="P1481" s="6">
        <f>IF(M1481&gt;0,D1481,"")</f>
        <v/>
      </c>
      <c r="Q1481" s="9">
        <f>I1481+O1481</f>
        <v/>
      </c>
      <c r="R1481" s="7">
        <f>Q1481*G1481</f>
        <v/>
      </c>
      <c r="S1481" s="8">
        <f>IF($R$1489=0,0,R1481/$R$1489)</f>
        <v/>
      </c>
      <c r="T1481" s="8" t="n">
        <v>0</v>
      </c>
      <c r="U1481" s="8" t="n">
        <v>0.0261446816503863</v>
      </c>
      <c r="V1481" s="6" t="inlineStr">
        <is>
          <t>not selected</t>
        </is>
      </c>
    </row>
    <row r="1482">
      <c r="A1482" s="6" t="inlineStr">
        <is>
          <t>DJ30</t>
        </is>
      </c>
      <c r="B1482" s="6" t="inlineStr">
        <is>
          <t>2023-12-01</t>
        </is>
      </c>
      <c r="C1482" s="6" t="inlineStr">
        <is>
          <t>DIA</t>
        </is>
      </c>
      <c r="D1482" s="6" t="inlineStr">
        <is>
          <t>PG</t>
        </is>
      </c>
      <c r="E1482" s="6" t="inlineStr">
        <is>
          <t>PG</t>
        </is>
      </c>
      <c r="F1482" s="6" t="inlineStr">
        <is>
          <t>-</t>
        </is>
      </c>
      <c r="G1482" s="7" t="n">
        <v>143.0177307128906</v>
      </c>
      <c r="H1482" s="6">
        <f>P1451</f>
        <v/>
      </c>
      <c r="I1482" s="9">
        <f>Q1451</f>
        <v/>
      </c>
      <c r="J1482" s="7">
        <f>I1482*G1482</f>
        <v/>
      </c>
      <c r="K1482" s="8">
        <f>IF($J$1489=0,0,J1482/$J$1489)</f>
        <v/>
      </c>
      <c r="L1482" s="6" t="inlineStr">
        <is>
          <t>REJECTED</t>
        </is>
      </c>
      <c r="M1482" s="8" t="n">
        <v>0</v>
      </c>
      <c r="N1482" s="7">
        <f>M1482*$J$1489-J1482</f>
        <v/>
      </c>
      <c r="O1482" s="9">
        <f>IF(G1482=0,0,N1482/G1482)</f>
        <v/>
      </c>
      <c r="P1482" s="6">
        <f>IF(M1482&gt;0,D1482,"")</f>
        <v/>
      </c>
      <c r="Q1482" s="9">
        <f>I1482+O1482</f>
        <v/>
      </c>
      <c r="R1482" s="7">
        <f>Q1482*G1482</f>
        <v/>
      </c>
      <c r="S1482" s="8">
        <f>IF($R$1489=0,0,R1482/$R$1489)</f>
        <v/>
      </c>
      <c r="T1482" s="8" t="n">
        <v>0</v>
      </c>
      <c r="U1482" s="8" t="n">
        <v>0.0261446816503863</v>
      </c>
      <c r="V1482" s="6" t="inlineStr">
        <is>
          <t>not selected</t>
        </is>
      </c>
    </row>
    <row r="1483">
      <c r="A1483" s="6" t="inlineStr">
        <is>
          <t>DJ30</t>
        </is>
      </c>
      <c r="B1483" s="6" t="inlineStr">
        <is>
          <t>2023-12-01</t>
        </is>
      </c>
      <c r="C1483" s="6" t="inlineStr">
        <is>
          <t>DIA</t>
        </is>
      </c>
      <c r="D1483" s="6" t="inlineStr">
        <is>
          <t>SHW</t>
        </is>
      </c>
      <c r="E1483" s="6" t="inlineStr">
        <is>
          <t>SHW</t>
        </is>
      </c>
      <c r="F1483" s="6" t="inlineStr">
        <is>
          <t>-</t>
        </is>
      </c>
      <c r="G1483" s="7" t="n">
        <v>276.1831665039062</v>
      </c>
      <c r="H1483" s="6">
        <f>P1452</f>
        <v/>
      </c>
      <c r="I1483" s="9">
        <f>Q1452</f>
        <v/>
      </c>
      <c r="J1483" s="7">
        <f>I1483*G1483</f>
        <v/>
      </c>
      <c r="K1483" s="8">
        <f>IF($J$1489=0,0,J1483/$J$1489)</f>
        <v/>
      </c>
      <c r="L1483" s="6" t="inlineStr">
        <is>
          <t>REJECTED</t>
        </is>
      </c>
      <c r="M1483" s="8" t="n">
        <v>0</v>
      </c>
      <c r="N1483" s="7">
        <f>M1483*$J$1489-J1483</f>
        <v/>
      </c>
      <c r="O1483" s="9">
        <f>IF(G1483=0,0,N1483/G1483)</f>
        <v/>
      </c>
      <c r="P1483" s="6">
        <f>IF(M1483&gt;0,D1483,"")</f>
        <v/>
      </c>
      <c r="Q1483" s="9">
        <f>I1483+O1483</f>
        <v/>
      </c>
      <c r="R1483" s="7">
        <f>Q1483*G1483</f>
        <v/>
      </c>
      <c r="S1483" s="8">
        <f>IF($R$1489=0,0,R1483/$R$1489)</f>
        <v/>
      </c>
      <c r="T1483" s="8" t="n">
        <v>0</v>
      </c>
      <c r="U1483" s="8" t="n">
        <v>0.0261446816503863</v>
      </c>
      <c r="V1483" s="6" t="inlineStr">
        <is>
          <t>not selected</t>
        </is>
      </c>
    </row>
    <row r="1484">
      <c r="A1484" s="6" t="inlineStr">
        <is>
          <t>DJ30</t>
        </is>
      </c>
      <c r="B1484" s="6" t="inlineStr">
        <is>
          <t>2023-12-01</t>
        </is>
      </c>
      <c r="C1484" s="6" t="inlineStr">
        <is>
          <t>DIA</t>
        </is>
      </c>
      <c r="D1484" s="6" t="inlineStr">
        <is>
          <t>TRV</t>
        </is>
      </c>
      <c r="E1484" s="6" t="inlineStr">
        <is>
          <t>TRV</t>
        </is>
      </c>
      <c r="F1484" s="6" t="inlineStr">
        <is>
          <t>-</t>
        </is>
      </c>
      <c r="G1484" s="7" t="n">
        <v>173.5404663085938</v>
      </c>
      <c r="H1484" s="6">
        <f>P1453</f>
        <v/>
      </c>
      <c r="I1484" s="9">
        <f>Q1453</f>
        <v/>
      </c>
      <c r="J1484" s="7">
        <f>I1484*G1484</f>
        <v/>
      </c>
      <c r="K1484" s="8">
        <f>IF($J$1489=0,0,J1484/$J$1489)</f>
        <v/>
      </c>
      <c r="L1484" s="6" t="inlineStr">
        <is>
          <t>REJECTED</t>
        </is>
      </c>
      <c r="M1484" s="8" t="n">
        <v>0</v>
      </c>
      <c r="N1484" s="7">
        <f>M1484*$J$1489-J1484</f>
        <v/>
      </c>
      <c r="O1484" s="9">
        <f>IF(G1484=0,0,N1484/G1484)</f>
        <v/>
      </c>
      <c r="P1484" s="6">
        <f>IF(M1484&gt;0,D1484,"")</f>
        <v/>
      </c>
      <c r="Q1484" s="9">
        <f>I1484+O1484</f>
        <v/>
      </c>
      <c r="R1484" s="7">
        <f>Q1484*G1484</f>
        <v/>
      </c>
      <c r="S1484" s="8">
        <f>IF($R$1489=0,0,R1484/$R$1489)</f>
        <v/>
      </c>
      <c r="T1484" s="8" t="n">
        <v>0</v>
      </c>
      <c r="U1484" s="8" t="n">
        <v>0.0261446816503863</v>
      </c>
      <c r="V1484" s="6" t="inlineStr">
        <is>
          <t>not selected</t>
        </is>
      </c>
    </row>
    <row r="1485">
      <c r="A1485" s="6" t="inlineStr">
        <is>
          <t>DJ30</t>
        </is>
      </c>
      <c r="B1485" s="6" t="inlineStr">
        <is>
          <t>2023-12-01</t>
        </is>
      </c>
      <c r="C1485" s="6" t="inlineStr">
        <is>
          <t>DIA</t>
        </is>
      </c>
      <c r="D1485" s="6" t="inlineStr">
        <is>
          <t>UNH</t>
        </is>
      </c>
      <c r="E1485" s="6" t="inlineStr">
        <is>
          <t>UNH</t>
        </is>
      </c>
      <c r="F1485" s="6" t="inlineStr">
        <is>
          <t>-</t>
        </is>
      </c>
      <c r="G1485" s="7" t="n">
        <v>518.7582397460938</v>
      </c>
      <c r="H1485" s="6">
        <f>P1454</f>
        <v/>
      </c>
      <c r="I1485" s="9">
        <f>Q1454</f>
        <v/>
      </c>
      <c r="J1485" s="7">
        <f>I1485*G1485</f>
        <v/>
      </c>
      <c r="K1485" s="8">
        <f>IF($J$1489=0,0,J1485/$J$1489)</f>
        <v/>
      </c>
      <c r="L1485" s="6" t="inlineStr">
        <is>
          <t>REJECTED</t>
        </is>
      </c>
      <c r="M1485" s="8" t="n">
        <v>0</v>
      </c>
      <c r="N1485" s="7">
        <f>M1485*$J$1489-J1485</f>
        <v/>
      </c>
      <c r="O1485" s="9">
        <f>IF(G1485=0,0,N1485/G1485)</f>
        <v/>
      </c>
      <c r="P1485" s="6">
        <f>IF(M1485&gt;0,D1485,"")</f>
        <v/>
      </c>
      <c r="Q1485" s="9">
        <f>I1485+O1485</f>
        <v/>
      </c>
      <c r="R1485" s="7">
        <f>Q1485*G1485</f>
        <v/>
      </c>
      <c r="S1485" s="8">
        <f>IF($R$1489=0,0,R1485/$R$1489)</f>
        <v/>
      </c>
      <c r="T1485" s="8" t="n">
        <v>0</v>
      </c>
      <c r="U1485" s="8" t="n">
        <v>0.0261446816503863</v>
      </c>
      <c r="V1485" s="6" t="inlineStr">
        <is>
          <t>not selected</t>
        </is>
      </c>
    </row>
    <row r="1486">
      <c r="A1486" s="6" t="inlineStr">
        <is>
          <t>DJ30</t>
        </is>
      </c>
      <c r="B1486" s="6" t="inlineStr">
        <is>
          <t>2023-12-01</t>
        </is>
      </c>
      <c r="C1486" s="6" t="inlineStr">
        <is>
          <t>DIA</t>
        </is>
      </c>
      <c r="D1486" s="6" t="inlineStr">
        <is>
          <t>V</t>
        </is>
      </c>
      <c r="E1486" s="6" t="inlineStr">
        <is>
          <t>V</t>
        </is>
      </c>
      <c r="F1486" s="6" t="inlineStr">
        <is>
          <t>-</t>
        </is>
      </c>
      <c r="G1486" s="7" t="n">
        <v>251.6680145263672</v>
      </c>
      <c r="H1486" s="6">
        <f>P1455</f>
        <v/>
      </c>
      <c r="I1486" s="9">
        <f>Q1455</f>
        <v/>
      </c>
      <c r="J1486" s="7">
        <f>I1486*G1486</f>
        <v/>
      </c>
      <c r="K1486" s="8">
        <f>IF($J$1489=0,0,J1486/$J$1489)</f>
        <v/>
      </c>
      <c r="L1486" s="6" t="inlineStr">
        <is>
          <t>REJECTED</t>
        </is>
      </c>
      <c r="M1486" s="8" t="n">
        <v>0</v>
      </c>
      <c r="N1486" s="7">
        <f>M1486*$J$1489-J1486</f>
        <v/>
      </c>
      <c r="O1486" s="9">
        <f>IF(G1486=0,0,N1486/G1486)</f>
        <v/>
      </c>
      <c r="P1486" s="6">
        <f>IF(M1486&gt;0,D1486,"")</f>
        <v/>
      </c>
      <c r="Q1486" s="9">
        <f>I1486+O1486</f>
        <v/>
      </c>
      <c r="R1486" s="7">
        <f>Q1486*G1486</f>
        <v/>
      </c>
      <c r="S1486" s="8">
        <f>IF($R$1489=0,0,R1486/$R$1489)</f>
        <v/>
      </c>
      <c r="T1486" s="8" t="n">
        <v>0</v>
      </c>
      <c r="U1486" s="8" t="n">
        <v>0.0261446816503863</v>
      </c>
      <c r="V1486" s="6" t="inlineStr">
        <is>
          <t>not selected</t>
        </is>
      </c>
    </row>
    <row r="1487">
      <c r="A1487" s="6" t="inlineStr">
        <is>
          <t>DJ30</t>
        </is>
      </c>
      <c r="B1487" s="6" t="inlineStr">
        <is>
          <t>2023-12-01</t>
        </is>
      </c>
      <c r="C1487" s="6" t="inlineStr">
        <is>
          <t>DIA</t>
        </is>
      </c>
      <c r="D1487" s="6" t="inlineStr">
        <is>
          <t>VZ</t>
        </is>
      </c>
      <c r="E1487" s="6" t="inlineStr">
        <is>
          <t>VZ</t>
        </is>
      </c>
      <c r="F1487" s="6" t="inlineStr">
        <is>
          <t>-</t>
        </is>
      </c>
      <c r="G1487" s="7" t="n">
        <v>32.76996231079102</v>
      </c>
      <c r="H1487" s="6">
        <f>P1456</f>
        <v/>
      </c>
      <c r="I1487" s="9">
        <f>Q1456</f>
        <v/>
      </c>
      <c r="J1487" s="7">
        <f>I1487*G1487</f>
        <v/>
      </c>
      <c r="K1487" s="8">
        <f>IF($J$1489=0,0,J1487/$J$1489)</f>
        <v/>
      </c>
      <c r="L1487" s="6" t="inlineStr">
        <is>
          <t>REJECTED</t>
        </is>
      </c>
      <c r="M1487" s="8" t="n">
        <v>0</v>
      </c>
      <c r="N1487" s="7">
        <f>M1487*$J$1489-J1487</f>
        <v/>
      </c>
      <c r="O1487" s="9">
        <f>IF(G1487=0,0,N1487/G1487)</f>
        <v/>
      </c>
      <c r="P1487" s="6">
        <f>IF(M1487&gt;0,D1487,"")</f>
        <v/>
      </c>
      <c r="Q1487" s="9">
        <f>I1487+O1487</f>
        <v/>
      </c>
      <c r="R1487" s="7">
        <f>Q1487*G1487</f>
        <v/>
      </c>
      <c r="S1487" s="8">
        <f>IF($R$1489=0,0,R1487/$R$1489)</f>
        <v/>
      </c>
      <c r="T1487" s="8" t="n">
        <v>0</v>
      </c>
      <c r="U1487" s="8" t="n">
        <v>0.0261446816503863</v>
      </c>
      <c r="V1487" s="6" t="inlineStr">
        <is>
          <t>not selected</t>
        </is>
      </c>
    </row>
    <row r="1488">
      <c r="A1488" s="6" t="inlineStr">
        <is>
          <t>DJ30</t>
        </is>
      </c>
      <c r="B1488" s="6" t="inlineStr">
        <is>
          <t>2023-12-01</t>
        </is>
      </c>
      <c r="C1488" s="6" t="inlineStr">
        <is>
          <t>DIA</t>
        </is>
      </c>
      <c r="D1488" s="6" t="inlineStr">
        <is>
          <t>WMT</t>
        </is>
      </c>
      <c r="E1488" s="6" t="inlineStr">
        <is>
          <t>WMT</t>
        </is>
      </c>
      <c r="F1488" s="6" t="inlineStr">
        <is>
          <t>-</t>
        </is>
      </c>
      <c r="G1488" s="7" t="n">
        <v>49.97087097167969</v>
      </c>
      <c r="H1488" s="6">
        <f>P1457</f>
        <v/>
      </c>
      <c r="I1488" s="9">
        <f>Q1457</f>
        <v/>
      </c>
      <c r="J1488" s="7">
        <f>I1488*G1488</f>
        <v/>
      </c>
      <c r="K1488" s="8">
        <f>IF($J$1489=0,0,J1488/$J$1489)</f>
        <v/>
      </c>
      <c r="L1488" s="6" t="inlineStr">
        <is>
          <t>REJECTED</t>
        </is>
      </c>
      <c r="M1488" s="8" t="n">
        <v>0</v>
      </c>
      <c r="N1488" s="7">
        <f>M1488*$J$1489-J1488</f>
        <v/>
      </c>
      <c r="O1488" s="9">
        <f>IF(G1488=0,0,N1488/G1488)</f>
        <v/>
      </c>
      <c r="P1488" s="6">
        <f>IF(M1488&gt;0,D1488,"")</f>
        <v/>
      </c>
      <c r="Q1488" s="9">
        <f>I1488+O1488</f>
        <v/>
      </c>
      <c r="R1488" s="7">
        <f>Q1488*G1488</f>
        <v/>
      </c>
      <c r="S1488" s="8">
        <f>IF($R$1489=0,0,R1488/$R$1489)</f>
        <v/>
      </c>
      <c r="T1488" s="8" t="n">
        <v>0</v>
      </c>
      <c r="U1488" s="8" t="n">
        <v>0.0261446816503863</v>
      </c>
      <c r="V1488" s="6" t="inlineStr">
        <is>
          <t>not selected</t>
        </is>
      </c>
    </row>
    <row r="1489">
      <c r="A1489" s="10" t="inlineStr">
        <is>
          <t>DJ30</t>
        </is>
      </c>
      <c r="B1489" s="10" t="inlineStr">
        <is>
          <t>2023-12-01</t>
        </is>
      </c>
      <c r="C1489" s="10" t="inlineStr">
        <is>
          <t>DIA</t>
        </is>
      </c>
      <c r="D1489" s="10" t="inlineStr">
        <is>
          <t>Tot Portfolio</t>
        </is>
      </c>
      <c r="E1489" s="10" t="inlineStr"/>
      <c r="F1489" s="10" t="inlineStr"/>
      <c r="G1489" s="11" t="inlineStr"/>
      <c r="H1489" s="10" t="inlineStr"/>
      <c r="I1489" s="12" t="inlineStr"/>
      <c r="J1489" s="11">
        <f>SUM(J1459:J1488)</f>
        <v/>
      </c>
      <c r="K1489" s="13">
        <f>SUM(K1459:K1488)</f>
        <v/>
      </c>
      <c r="L1489" s="10" t="inlineStr">
        <is>
          <t>TOTAL</t>
        </is>
      </c>
      <c r="M1489" s="13">
        <f>SUM(M1459:M1488)</f>
        <v/>
      </c>
      <c r="N1489" s="11">
        <f>SUM(N1459:N1488)</f>
        <v/>
      </c>
      <c r="O1489" s="12">
        <f>SUM(O1459:O1488)</f>
        <v/>
      </c>
      <c r="P1489" s="10" t="inlineStr"/>
      <c r="Q1489" s="12" t="inlineStr"/>
      <c r="R1489" s="11">
        <f>SUM(R1459:R1488)</f>
        <v/>
      </c>
      <c r="S1489" s="13">
        <f>SUM(S1459:S1488)</f>
        <v/>
      </c>
      <c r="T1489" s="13" t="n">
        <v>0</v>
      </c>
      <c r="U1489" s="13" t="n">
        <v>0.0261446816503863</v>
      </c>
      <c r="V1489" s="10" t="inlineStr"/>
    </row>
    <row r="1490">
      <c r="A1490" s="6" t="inlineStr">
        <is>
          <t>DJ30</t>
        </is>
      </c>
      <c r="B1490" s="6" t="inlineStr">
        <is>
          <t>2023-12-08</t>
        </is>
      </c>
      <c r="C1490" s="6" t="inlineStr">
        <is>
          <t>DIA</t>
        </is>
      </c>
      <c r="D1490" s="6" t="inlineStr">
        <is>
          <t>AAPL</t>
        </is>
      </c>
      <c r="E1490" s="6" t="inlineStr">
        <is>
          <t>AAPL</t>
        </is>
      </c>
      <c r="F1490" s="6" t="inlineStr">
        <is>
          <t>-</t>
        </is>
      </c>
      <c r="G1490" s="7" t="n">
        <v>193.5194854736328</v>
      </c>
      <c r="H1490" s="6">
        <f>P1459</f>
        <v/>
      </c>
      <c r="I1490" s="9">
        <f>Q1459</f>
        <v/>
      </c>
      <c r="J1490" s="7">
        <f>I1490*G1490</f>
        <v/>
      </c>
      <c r="K1490" s="8">
        <f>IF($J$1520=0,0,J1490/$J$1520)</f>
        <v/>
      </c>
      <c r="L1490" s="6" t="inlineStr">
        <is>
          <t>REJECTED</t>
        </is>
      </c>
      <c r="M1490" s="8" t="n">
        <v>0</v>
      </c>
      <c r="N1490" s="7">
        <f>M1490*$J$1520-J1490</f>
        <v/>
      </c>
      <c r="O1490" s="9">
        <f>IF(G1490=0,0,N1490/G1490)</f>
        <v/>
      </c>
      <c r="P1490" s="6">
        <f>IF(M1490&gt;0,D1490,"")</f>
        <v/>
      </c>
      <c r="Q1490" s="9">
        <f>I1490+O1490</f>
        <v/>
      </c>
      <c r="R1490" s="7">
        <f>Q1490*G1490</f>
        <v/>
      </c>
      <c r="S1490" s="8">
        <f>IF($R$1520=0,0,R1490/$R$1520)</f>
        <v/>
      </c>
      <c r="T1490" s="8" t="n">
        <v>0</v>
      </c>
      <c r="U1490" s="8" t="n">
        <v>0.000192961558392879</v>
      </c>
      <c r="V1490" s="6" t="inlineStr">
        <is>
          <t>not selected</t>
        </is>
      </c>
    </row>
    <row r="1491">
      <c r="A1491" s="6" t="inlineStr">
        <is>
          <t>DJ30</t>
        </is>
      </c>
      <c r="B1491" s="6" t="inlineStr">
        <is>
          <t>2023-12-08</t>
        </is>
      </c>
      <c r="C1491" s="6" t="inlineStr">
        <is>
          <t>DIA</t>
        </is>
      </c>
      <c r="D1491" s="6" t="inlineStr">
        <is>
          <t>AMGN</t>
        </is>
      </c>
      <c r="E1491" s="6" t="inlineStr">
        <is>
          <t>AMGN</t>
        </is>
      </c>
      <c r="F1491" s="6" t="inlineStr">
        <is>
          <t>-</t>
        </is>
      </c>
      <c r="G1491" s="7" t="n">
        <v>249.3678131103516</v>
      </c>
      <c r="H1491" s="6">
        <f>P1460</f>
        <v/>
      </c>
      <c r="I1491" s="9">
        <f>Q1460</f>
        <v/>
      </c>
      <c r="J1491" s="7">
        <f>I1491*G1491</f>
        <v/>
      </c>
      <c r="K1491" s="8">
        <f>IF($J$1520=0,0,J1491/$J$1520)</f>
        <v/>
      </c>
      <c r="L1491" s="6" t="inlineStr">
        <is>
          <t>REJECTED</t>
        </is>
      </c>
      <c r="M1491" s="8" t="n">
        <v>0</v>
      </c>
      <c r="N1491" s="7">
        <f>M1491*$J$1520-J1491</f>
        <v/>
      </c>
      <c r="O1491" s="9">
        <f>IF(G1491=0,0,N1491/G1491)</f>
        <v/>
      </c>
      <c r="P1491" s="6">
        <f>IF(M1491&gt;0,D1491,"")</f>
        <v/>
      </c>
      <c r="Q1491" s="9">
        <f>I1491+O1491</f>
        <v/>
      </c>
      <c r="R1491" s="7">
        <f>Q1491*G1491</f>
        <v/>
      </c>
      <c r="S1491" s="8">
        <f>IF($R$1520=0,0,R1491/$R$1520)</f>
        <v/>
      </c>
      <c r="T1491" s="8" t="n">
        <v>0</v>
      </c>
      <c r="U1491" s="8" t="n">
        <v>0.000192961558392879</v>
      </c>
      <c r="V1491" s="6" t="inlineStr">
        <is>
          <t>not selected</t>
        </is>
      </c>
    </row>
    <row r="1492">
      <c r="A1492" s="6" t="inlineStr">
        <is>
          <t>DJ30</t>
        </is>
      </c>
      <c r="B1492" s="6" t="inlineStr">
        <is>
          <t>2023-12-08</t>
        </is>
      </c>
      <c r="C1492" s="6" t="inlineStr">
        <is>
          <t>DIA</t>
        </is>
      </c>
      <c r="D1492" s="6" t="inlineStr">
        <is>
          <t>AMZN</t>
        </is>
      </c>
      <c r="E1492" s="6" t="inlineStr">
        <is>
          <t>AMZN</t>
        </is>
      </c>
      <c r="F1492" s="6" t="inlineStr">
        <is>
          <t>-</t>
        </is>
      </c>
      <c r="G1492" s="7" t="n">
        <v>147.4199981689453</v>
      </c>
      <c r="H1492" s="6">
        <f>P1461</f>
        <v/>
      </c>
      <c r="I1492" s="9">
        <f>Q1461</f>
        <v/>
      </c>
      <c r="J1492" s="7">
        <f>I1492*G1492</f>
        <v/>
      </c>
      <c r="K1492" s="8">
        <f>IF($J$1520=0,0,J1492/$J$1520)</f>
        <v/>
      </c>
      <c r="L1492" s="6" t="inlineStr">
        <is>
          <t>REJECTED</t>
        </is>
      </c>
      <c r="M1492" s="8" t="n">
        <v>0</v>
      </c>
      <c r="N1492" s="7">
        <f>M1492*$J$1520-J1492</f>
        <v/>
      </c>
      <c r="O1492" s="9">
        <f>IF(G1492=0,0,N1492/G1492)</f>
        <v/>
      </c>
      <c r="P1492" s="6">
        <f>IF(M1492&gt;0,D1492,"")</f>
        <v/>
      </c>
      <c r="Q1492" s="9">
        <f>I1492+O1492</f>
        <v/>
      </c>
      <c r="R1492" s="7">
        <f>Q1492*G1492</f>
        <v/>
      </c>
      <c r="S1492" s="8">
        <f>IF($R$1520=0,0,R1492/$R$1520)</f>
        <v/>
      </c>
      <c r="T1492" s="8" t="n">
        <v>0</v>
      </c>
      <c r="U1492" s="8" t="n">
        <v>0.000192961558392879</v>
      </c>
      <c r="V1492" s="6" t="inlineStr">
        <is>
          <t>not selected</t>
        </is>
      </c>
    </row>
    <row r="1493">
      <c r="A1493" s="6" t="inlineStr">
        <is>
          <t>DJ30</t>
        </is>
      </c>
      <c r="B1493" s="6" t="inlineStr">
        <is>
          <t>2023-12-08</t>
        </is>
      </c>
      <c r="C1493" s="6" t="inlineStr">
        <is>
          <t>DIA</t>
        </is>
      </c>
      <c r="D1493" s="6" t="inlineStr">
        <is>
          <t>AXP</t>
        </is>
      </c>
      <c r="E1493" s="6" t="inlineStr">
        <is>
          <t>AXP</t>
        </is>
      </c>
      <c r="F1493" s="6" t="inlineStr">
        <is>
          <t>-</t>
        </is>
      </c>
      <c r="G1493" s="7" t="n">
        <v>163.7804870605469</v>
      </c>
      <c r="H1493" s="6">
        <f>P1462</f>
        <v/>
      </c>
      <c r="I1493" s="9">
        <f>Q1462</f>
        <v/>
      </c>
      <c r="J1493" s="7">
        <f>I1493*G1493</f>
        <v/>
      </c>
      <c r="K1493" s="8">
        <f>IF($J$1520=0,0,J1493/$J$1520)</f>
        <v/>
      </c>
      <c r="L1493" s="6" t="inlineStr">
        <is>
          <t>REJECTED</t>
        </is>
      </c>
      <c r="M1493" s="8" t="n">
        <v>0</v>
      </c>
      <c r="N1493" s="7">
        <f>M1493*$J$1520-J1493</f>
        <v/>
      </c>
      <c r="O1493" s="9">
        <f>IF(G1493=0,0,N1493/G1493)</f>
        <v/>
      </c>
      <c r="P1493" s="6">
        <f>IF(M1493&gt;0,D1493,"")</f>
        <v/>
      </c>
      <c r="Q1493" s="9">
        <f>I1493+O1493</f>
        <v/>
      </c>
      <c r="R1493" s="7">
        <f>Q1493*G1493</f>
        <v/>
      </c>
      <c r="S1493" s="8">
        <f>IF($R$1520=0,0,R1493/$R$1520)</f>
        <v/>
      </c>
      <c r="T1493" s="8" t="n">
        <v>0</v>
      </c>
      <c r="U1493" s="8" t="n">
        <v>0.000192961558392879</v>
      </c>
      <c r="V1493" s="6" t="inlineStr">
        <is>
          <t>not selected</t>
        </is>
      </c>
    </row>
    <row r="1494">
      <c r="A1494" s="6" t="inlineStr">
        <is>
          <t>DJ30</t>
        </is>
      </c>
      <c r="B1494" s="6" t="inlineStr">
        <is>
          <t>2023-12-08</t>
        </is>
      </c>
      <c r="C1494" s="6" t="inlineStr">
        <is>
          <t>DIA</t>
        </is>
      </c>
      <c r="D1494" s="6" t="inlineStr">
        <is>
          <t>BA</t>
        </is>
      </c>
      <c r="E1494" s="6" t="inlineStr">
        <is>
          <t>BA</t>
        </is>
      </c>
      <c r="F1494" s="6" t="inlineStr">
        <is>
          <t>-</t>
        </is>
      </c>
      <c r="G1494" s="7" t="n">
        <v>244.6999969482422</v>
      </c>
      <c r="H1494" s="6">
        <f>P1463</f>
        <v/>
      </c>
      <c r="I1494" s="9">
        <f>Q1463</f>
        <v/>
      </c>
      <c r="J1494" s="7">
        <f>I1494*G1494</f>
        <v/>
      </c>
      <c r="K1494" s="8">
        <f>IF($J$1520=0,0,J1494/$J$1520)</f>
        <v/>
      </c>
      <c r="L1494" s="6" t="inlineStr">
        <is>
          <t>REJECTED</t>
        </is>
      </c>
      <c r="M1494" s="8" t="n">
        <v>0</v>
      </c>
      <c r="N1494" s="7">
        <f>M1494*$J$1520-J1494</f>
        <v/>
      </c>
      <c r="O1494" s="9">
        <f>IF(G1494=0,0,N1494/G1494)</f>
        <v/>
      </c>
      <c r="P1494" s="6">
        <f>IF(M1494&gt;0,D1494,"")</f>
        <v/>
      </c>
      <c r="Q1494" s="9">
        <f>I1494+O1494</f>
        <v/>
      </c>
      <c r="R1494" s="7">
        <f>Q1494*G1494</f>
        <v/>
      </c>
      <c r="S1494" s="8">
        <f>IF($R$1520=0,0,R1494/$R$1520)</f>
        <v/>
      </c>
      <c r="T1494" s="8" t="n">
        <v>0</v>
      </c>
      <c r="U1494" s="8" t="n">
        <v>0.000192961558392879</v>
      </c>
      <c r="V1494" s="6" t="inlineStr">
        <is>
          <t>not selected</t>
        </is>
      </c>
    </row>
    <row r="1495">
      <c r="A1495" s="6" t="inlineStr">
        <is>
          <t>DJ30</t>
        </is>
      </c>
      <c r="B1495" s="6" t="inlineStr">
        <is>
          <t>2023-12-08</t>
        </is>
      </c>
      <c r="C1495" s="6" t="inlineStr">
        <is>
          <t>DIA</t>
        </is>
      </c>
      <c r="D1495" s="6" t="inlineStr">
        <is>
          <t>CAT</t>
        </is>
      </c>
      <c r="E1495" s="6" t="inlineStr">
        <is>
          <t>CAT</t>
        </is>
      </c>
      <c r="F1495" s="6" t="inlineStr">
        <is>
          <t>-</t>
        </is>
      </c>
      <c r="G1495" s="7" t="n">
        <v>250.5398712158203</v>
      </c>
      <c r="H1495" s="6">
        <f>P1464</f>
        <v/>
      </c>
      <c r="I1495" s="9">
        <f>Q1464</f>
        <v/>
      </c>
      <c r="J1495" s="7">
        <f>I1495*G1495</f>
        <v/>
      </c>
      <c r="K1495" s="8">
        <f>IF($J$1520=0,0,J1495/$J$1520)</f>
        <v/>
      </c>
      <c r="L1495" s="6" t="inlineStr">
        <is>
          <t>REJECTED</t>
        </is>
      </c>
      <c r="M1495" s="8" t="n">
        <v>0</v>
      </c>
      <c r="N1495" s="7">
        <f>M1495*$J$1520-J1495</f>
        <v/>
      </c>
      <c r="O1495" s="9">
        <f>IF(G1495=0,0,N1495/G1495)</f>
        <v/>
      </c>
      <c r="P1495" s="6">
        <f>IF(M1495&gt;0,D1495,"")</f>
        <v/>
      </c>
      <c r="Q1495" s="9">
        <f>I1495+O1495</f>
        <v/>
      </c>
      <c r="R1495" s="7">
        <f>Q1495*G1495</f>
        <v/>
      </c>
      <c r="S1495" s="8">
        <f>IF($R$1520=0,0,R1495/$R$1520)</f>
        <v/>
      </c>
      <c r="T1495" s="8" t="n">
        <v>0</v>
      </c>
      <c r="U1495" s="8" t="n">
        <v>0.000192961558392879</v>
      </c>
      <c r="V1495" s="6" t="inlineStr">
        <is>
          <t>not selected</t>
        </is>
      </c>
    </row>
    <row r="1496">
      <c r="A1496" s="6" t="inlineStr">
        <is>
          <t>DJ30</t>
        </is>
      </c>
      <c r="B1496" s="6" t="inlineStr">
        <is>
          <t>2023-12-08</t>
        </is>
      </c>
      <c r="C1496" s="6" t="inlineStr">
        <is>
          <t>DIA</t>
        </is>
      </c>
      <c r="D1496" s="6" t="inlineStr">
        <is>
          <t>CRM</t>
        </is>
      </c>
      <c r="E1496" s="6" t="inlineStr">
        <is>
          <t>CRM</t>
        </is>
      </c>
      <c r="F1496" s="6" t="inlineStr">
        <is>
          <t>-</t>
        </is>
      </c>
      <c r="G1496" s="7" t="n">
        <v>246.544662475586</v>
      </c>
      <c r="H1496" s="6">
        <f>P1465</f>
        <v/>
      </c>
      <c r="I1496" s="9">
        <f>Q1465</f>
        <v/>
      </c>
      <c r="J1496" s="7">
        <f>I1496*G1496</f>
        <v/>
      </c>
      <c r="K1496" s="8">
        <f>IF($J$1520=0,0,J1496/$J$1520)</f>
        <v/>
      </c>
      <c r="L1496" s="6" t="inlineStr">
        <is>
          <t>REJECTED</t>
        </is>
      </c>
      <c r="M1496" s="8" t="n">
        <v>0</v>
      </c>
      <c r="N1496" s="7">
        <f>M1496*$J$1520-J1496</f>
        <v/>
      </c>
      <c r="O1496" s="9">
        <f>IF(G1496=0,0,N1496/G1496)</f>
        <v/>
      </c>
      <c r="P1496" s="6">
        <f>IF(M1496&gt;0,D1496,"")</f>
        <v/>
      </c>
      <c r="Q1496" s="9">
        <f>I1496+O1496</f>
        <v/>
      </c>
      <c r="R1496" s="7">
        <f>Q1496*G1496</f>
        <v/>
      </c>
      <c r="S1496" s="8">
        <f>IF($R$1520=0,0,R1496/$R$1520)</f>
        <v/>
      </c>
      <c r="T1496" s="8" t="n">
        <v>0</v>
      </c>
      <c r="U1496" s="8" t="n">
        <v>0.000192961558392879</v>
      </c>
      <c r="V1496" s="6" t="inlineStr">
        <is>
          <t>not selected</t>
        </is>
      </c>
    </row>
    <row r="1497">
      <c r="A1497" s="6" t="inlineStr">
        <is>
          <t>DJ30</t>
        </is>
      </c>
      <c r="B1497" s="6" t="inlineStr">
        <is>
          <t>2023-12-08</t>
        </is>
      </c>
      <c r="C1497" s="6" t="inlineStr">
        <is>
          <t>DIA</t>
        </is>
      </c>
      <c r="D1497" s="6" t="inlineStr">
        <is>
          <t>CSCO</t>
        </is>
      </c>
      <c r="E1497" s="6" t="inlineStr">
        <is>
          <t>CSCO</t>
        </is>
      </c>
      <c r="F1497" s="6" t="inlineStr">
        <is>
          <t>-</t>
        </is>
      </c>
      <c r="G1497" s="7" t="n">
        <v>45.18896102905273</v>
      </c>
      <c r="H1497" s="6">
        <f>P1466</f>
        <v/>
      </c>
      <c r="I1497" s="9">
        <f>Q1466</f>
        <v/>
      </c>
      <c r="J1497" s="7">
        <f>I1497*G1497</f>
        <v/>
      </c>
      <c r="K1497" s="8">
        <f>IF($J$1520=0,0,J1497/$J$1520)</f>
        <v/>
      </c>
      <c r="L1497" s="6" t="inlineStr">
        <is>
          <t>REJECTED</t>
        </is>
      </c>
      <c r="M1497" s="8" t="n">
        <v>0</v>
      </c>
      <c r="N1497" s="7">
        <f>M1497*$J$1520-J1497</f>
        <v/>
      </c>
      <c r="O1497" s="9">
        <f>IF(G1497=0,0,N1497/G1497)</f>
        <v/>
      </c>
      <c r="P1497" s="6">
        <f>IF(M1497&gt;0,D1497,"")</f>
        <v/>
      </c>
      <c r="Q1497" s="9">
        <f>I1497+O1497</f>
        <v/>
      </c>
      <c r="R1497" s="7">
        <f>Q1497*G1497</f>
        <v/>
      </c>
      <c r="S1497" s="8">
        <f>IF($R$1520=0,0,R1497/$R$1520)</f>
        <v/>
      </c>
      <c r="T1497" s="8" t="n">
        <v>0</v>
      </c>
      <c r="U1497" s="8" t="n">
        <v>0.000192961558392879</v>
      </c>
      <c r="V1497" s="6" t="inlineStr">
        <is>
          <t>not selected</t>
        </is>
      </c>
    </row>
    <row r="1498">
      <c r="A1498" s="6" t="inlineStr">
        <is>
          <t>DJ30</t>
        </is>
      </c>
      <c r="B1498" s="6" t="inlineStr">
        <is>
          <t>2023-12-08</t>
        </is>
      </c>
      <c r="C1498" s="6" t="inlineStr">
        <is>
          <t>DIA</t>
        </is>
      </c>
      <c r="D1498" s="6" t="inlineStr">
        <is>
          <t>CVX</t>
        </is>
      </c>
      <c r="E1498" s="6" t="inlineStr">
        <is>
          <t>CVX</t>
        </is>
      </c>
      <c r="F1498" s="6" t="inlineStr">
        <is>
          <t>-</t>
        </is>
      </c>
      <c r="G1498" s="7" t="n">
        <v>129.7510986328125</v>
      </c>
      <c r="H1498" s="6">
        <f>P1467</f>
        <v/>
      </c>
      <c r="I1498" s="9">
        <f>Q1467</f>
        <v/>
      </c>
      <c r="J1498" s="7">
        <f>I1498*G1498</f>
        <v/>
      </c>
      <c r="K1498" s="8">
        <f>IF($J$1520=0,0,J1498/$J$1520)</f>
        <v/>
      </c>
      <c r="L1498" s="6" t="inlineStr">
        <is>
          <t>REJECTED</t>
        </is>
      </c>
      <c r="M1498" s="8" t="n">
        <v>0</v>
      </c>
      <c r="N1498" s="7">
        <f>M1498*$J$1520-J1498</f>
        <v/>
      </c>
      <c r="O1498" s="9">
        <f>IF(G1498=0,0,N1498/G1498)</f>
        <v/>
      </c>
      <c r="P1498" s="6">
        <f>IF(M1498&gt;0,D1498,"")</f>
        <v/>
      </c>
      <c r="Q1498" s="9">
        <f>I1498+O1498</f>
        <v/>
      </c>
      <c r="R1498" s="7">
        <f>Q1498*G1498</f>
        <v/>
      </c>
      <c r="S1498" s="8">
        <f>IF($R$1520=0,0,R1498/$R$1520)</f>
        <v/>
      </c>
      <c r="T1498" s="8" t="n">
        <v>0</v>
      </c>
      <c r="U1498" s="8" t="n">
        <v>0.000192961558392879</v>
      </c>
      <c r="V1498" s="6" t="inlineStr">
        <is>
          <t>not selected</t>
        </is>
      </c>
    </row>
    <row r="1499">
      <c r="A1499" s="6" t="inlineStr">
        <is>
          <t>DJ30</t>
        </is>
      </c>
      <c r="B1499" s="6" t="inlineStr">
        <is>
          <t>2023-12-08</t>
        </is>
      </c>
      <c r="C1499" s="6" t="inlineStr">
        <is>
          <t>DIA</t>
        </is>
      </c>
      <c r="D1499" s="6" t="inlineStr">
        <is>
          <t>DIS</t>
        </is>
      </c>
      <c r="E1499" s="6" t="inlineStr">
        <is>
          <t>DIS</t>
        </is>
      </c>
      <c r="F1499" s="6" t="inlineStr">
        <is>
          <t>-</t>
        </is>
      </c>
      <c r="G1499" s="7" t="n">
        <v>90.97998809814452</v>
      </c>
      <c r="H1499" s="6">
        <f>P1468</f>
        <v/>
      </c>
      <c r="I1499" s="9">
        <f>Q1468</f>
        <v/>
      </c>
      <c r="J1499" s="7">
        <f>I1499*G1499</f>
        <v/>
      </c>
      <c r="K1499" s="8">
        <f>IF($J$1520=0,0,J1499/$J$1520)</f>
        <v/>
      </c>
      <c r="L1499" s="6" t="inlineStr">
        <is>
          <t>REJECTED</t>
        </is>
      </c>
      <c r="M1499" s="8" t="n">
        <v>0</v>
      </c>
      <c r="N1499" s="7">
        <f>M1499*$J$1520-J1499</f>
        <v/>
      </c>
      <c r="O1499" s="9">
        <f>IF(G1499=0,0,N1499/G1499)</f>
        <v/>
      </c>
      <c r="P1499" s="6">
        <f>IF(M1499&gt;0,D1499,"")</f>
        <v/>
      </c>
      <c r="Q1499" s="9">
        <f>I1499+O1499</f>
        <v/>
      </c>
      <c r="R1499" s="7">
        <f>Q1499*G1499</f>
        <v/>
      </c>
      <c r="S1499" s="8">
        <f>IF($R$1520=0,0,R1499/$R$1520)</f>
        <v/>
      </c>
      <c r="T1499" s="8" t="n">
        <v>0</v>
      </c>
      <c r="U1499" s="8" t="n">
        <v>0.000192961558392879</v>
      </c>
      <c r="V1499" s="6" t="inlineStr">
        <is>
          <t>not selected</t>
        </is>
      </c>
    </row>
    <row r="1500">
      <c r="A1500" s="6" t="inlineStr">
        <is>
          <t>DJ30</t>
        </is>
      </c>
      <c r="B1500" s="6" t="inlineStr">
        <is>
          <t>2023-12-08</t>
        </is>
      </c>
      <c r="C1500" s="6" t="inlineStr">
        <is>
          <t>DIA</t>
        </is>
      </c>
      <c r="D1500" s="6" t="inlineStr">
        <is>
          <t>GS</t>
        </is>
      </c>
      <c r="E1500" s="6" t="inlineStr">
        <is>
          <t>GS</t>
        </is>
      </c>
      <c r="F1500" s="6" t="inlineStr">
        <is>
          <t>-</t>
        </is>
      </c>
      <c r="G1500" s="7" t="n">
        <v>332.4591979980469</v>
      </c>
      <c r="H1500" s="6">
        <f>P1469</f>
        <v/>
      </c>
      <c r="I1500" s="9">
        <f>Q1469</f>
        <v/>
      </c>
      <c r="J1500" s="7">
        <f>I1500*G1500</f>
        <v/>
      </c>
      <c r="K1500" s="8">
        <f>IF($J$1520=0,0,J1500/$J$1520)</f>
        <v/>
      </c>
      <c r="L1500" s="6" t="inlineStr">
        <is>
          <t>REJECTED</t>
        </is>
      </c>
      <c r="M1500" s="8" t="n">
        <v>0</v>
      </c>
      <c r="N1500" s="7">
        <f>M1500*$J$1520-J1500</f>
        <v/>
      </c>
      <c r="O1500" s="9">
        <f>IF(G1500=0,0,N1500/G1500)</f>
        <v/>
      </c>
      <c r="P1500" s="6">
        <f>IF(M1500&gt;0,D1500,"")</f>
        <v/>
      </c>
      <c r="Q1500" s="9">
        <f>I1500+O1500</f>
        <v/>
      </c>
      <c r="R1500" s="7">
        <f>Q1500*G1500</f>
        <v/>
      </c>
      <c r="S1500" s="8">
        <f>IF($R$1520=0,0,R1500/$R$1520)</f>
        <v/>
      </c>
      <c r="T1500" s="8" t="n">
        <v>0</v>
      </c>
      <c r="U1500" s="8" t="n">
        <v>0.000192961558392879</v>
      </c>
      <c r="V1500" s="6" t="inlineStr">
        <is>
          <t>not selected</t>
        </is>
      </c>
    </row>
    <row r="1501">
      <c r="A1501" s="6" t="inlineStr">
        <is>
          <t>DJ30</t>
        </is>
      </c>
      <c r="B1501" s="6" t="inlineStr">
        <is>
          <t>2023-12-08</t>
        </is>
      </c>
      <c r="C1501" s="6" t="inlineStr">
        <is>
          <t>DIA</t>
        </is>
      </c>
      <c r="D1501" s="6" t="inlineStr">
        <is>
          <t>HD</t>
        </is>
      </c>
      <c r="E1501" s="6" t="inlineStr">
        <is>
          <t>HD</t>
        </is>
      </c>
      <c r="F1501" s="6" t="inlineStr">
        <is>
          <t>-</t>
        </is>
      </c>
      <c r="G1501" s="7" t="n">
        <v>306.549072265625</v>
      </c>
      <c r="H1501" s="6">
        <f>P1470</f>
        <v/>
      </c>
      <c r="I1501" s="9">
        <f>Q1470</f>
        <v/>
      </c>
      <c r="J1501" s="7">
        <f>I1501*G1501</f>
        <v/>
      </c>
      <c r="K1501" s="8">
        <f>IF($J$1520=0,0,J1501/$J$1520)</f>
        <v/>
      </c>
      <c r="L1501" s="6" t="inlineStr">
        <is>
          <t>REJECTED</t>
        </is>
      </c>
      <c r="M1501" s="8" t="n">
        <v>0</v>
      </c>
      <c r="N1501" s="7">
        <f>M1501*$J$1520-J1501</f>
        <v/>
      </c>
      <c r="O1501" s="9">
        <f>IF(G1501=0,0,N1501/G1501)</f>
        <v/>
      </c>
      <c r="P1501" s="6">
        <f>IF(M1501&gt;0,D1501,"")</f>
        <v/>
      </c>
      <c r="Q1501" s="9">
        <f>I1501+O1501</f>
        <v/>
      </c>
      <c r="R1501" s="7">
        <f>Q1501*G1501</f>
        <v/>
      </c>
      <c r="S1501" s="8">
        <f>IF($R$1520=0,0,R1501/$R$1520)</f>
        <v/>
      </c>
      <c r="T1501" s="8" t="n">
        <v>0</v>
      </c>
      <c r="U1501" s="8" t="n">
        <v>0.000192961558392879</v>
      </c>
      <c r="V1501" s="6" t="inlineStr">
        <is>
          <t>not selected</t>
        </is>
      </c>
    </row>
    <row r="1502">
      <c r="A1502" s="6" t="inlineStr">
        <is>
          <t>DJ30</t>
        </is>
      </c>
      <c r="B1502" s="6" t="inlineStr">
        <is>
          <t>2023-12-08</t>
        </is>
      </c>
      <c r="C1502" s="6" t="inlineStr">
        <is>
          <t>DIA</t>
        </is>
      </c>
      <c r="D1502" s="6" t="inlineStr">
        <is>
          <t>HON</t>
        </is>
      </c>
      <c r="E1502" s="6" t="inlineStr">
        <is>
          <t>HON</t>
        </is>
      </c>
      <c r="F1502" s="6" t="inlineStr">
        <is>
          <t>-</t>
        </is>
      </c>
      <c r="G1502" s="7" t="n">
        <v>173.9251403808594</v>
      </c>
      <c r="H1502" s="6">
        <f>P1471</f>
        <v/>
      </c>
      <c r="I1502" s="9">
        <f>Q1471</f>
        <v/>
      </c>
      <c r="J1502" s="7">
        <f>I1502*G1502</f>
        <v/>
      </c>
      <c r="K1502" s="8">
        <f>IF($J$1520=0,0,J1502/$J$1520)</f>
        <v/>
      </c>
      <c r="L1502" s="6" t="inlineStr">
        <is>
          <t>REJECTED</t>
        </is>
      </c>
      <c r="M1502" s="8" t="n">
        <v>0</v>
      </c>
      <c r="N1502" s="7">
        <f>M1502*$J$1520-J1502</f>
        <v/>
      </c>
      <c r="O1502" s="9">
        <f>IF(G1502=0,0,N1502/G1502)</f>
        <v/>
      </c>
      <c r="P1502" s="6">
        <f>IF(M1502&gt;0,D1502,"")</f>
        <v/>
      </c>
      <c r="Q1502" s="9">
        <f>I1502+O1502</f>
        <v/>
      </c>
      <c r="R1502" s="7">
        <f>Q1502*G1502</f>
        <v/>
      </c>
      <c r="S1502" s="8">
        <f>IF($R$1520=0,0,R1502/$R$1520)</f>
        <v/>
      </c>
      <c r="T1502" s="8" t="n">
        <v>0</v>
      </c>
      <c r="U1502" s="8" t="n">
        <v>0.000192961558392879</v>
      </c>
      <c r="V1502" s="6" t="inlineStr">
        <is>
          <t>not selected</t>
        </is>
      </c>
    </row>
    <row r="1503">
      <c r="A1503" s="6" t="inlineStr">
        <is>
          <t>DJ30</t>
        </is>
      </c>
      <c r="B1503" s="6" t="inlineStr">
        <is>
          <t>2023-12-08</t>
        </is>
      </c>
      <c r="C1503" s="6" t="inlineStr">
        <is>
          <t>DIA</t>
        </is>
      </c>
      <c r="D1503" s="6" t="inlineStr">
        <is>
          <t>IBM</t>
        </is>
      </c>
      <c r="E1503" s="6" t="inlineStr">
        <is>
          <t>IBM</t>
        </is>
      </c>
      <c r="F1503" s="6" t="inlineStr">
        <is>
          <t>-</t>
        </is>
      </c>
      <c r="G1503" s="7" t="n">
        <v>150.4017028808594</v>
      </c>
      <c r="H1503" s="6">
        <f>P1472</f>
        <v/>
      </c>
      <c r="I1503" s="9">
        <f>Q1472</f>
        <v/>
      </c>
      <c r="J1503" s="7">
        <f>I1503*G1503</f>
        <v/>
      </c>
      <c r="K1503" s="8">
        <f>IF($J$1520=0,0,J1503/$J$1520)</f>
        <v/>
      </c>
      <c r="L1503" s="6" t="inlineStr">
        <is>
          <t>REJECTED</t>
        </is>
      </c>
      <c r="M1503" s="8" t="n">
        <v>0</v>
      </c>
      <c r="N1503" s="7">
        <f>M1503*$J$1520-J1503</f>
        <v/>
      </c>
      <c r="O1503" s="9">
        <f>IF(G1503=0,0,N1503/G1503)</f>
        <v/>
      </c>
      <c r="P1503" s="6">
        <f>IF(M1503&gt;0,D1503,"")</f>
        <v/>
      </c>
      <c r="Q1503" s="9">
        <f>I1503+O1503</f>
        <v/>
      </c>
      <c r="R1503" s="7">
        <f>Q1503*G1503</f>
        <v/>
      </c>
      <c r="S1503" s="8">
        <f>IF($R$1520=0,0,R1503/$R$1520)</f>
        <v/>
      </c>
      <c r="T1503" s="8" t="n">
        <v>0</v>
      </c>
      <c r="U1503" s="8" t="n">
        <v>0.000192961558392879</v>
      </c>
      <c r="V1503" s="6" t="inlineStr">
        <is>
          <t>not selected</t>
        </is>
      </c>
    </row>
    <row r="1504">
      <c r="A1504" s="6" t="inlineStr">
        <is>
          <t>DJ30</t>
        </is>
      </c>
      <c r="B1504" s="6" t="inlineStr">
        <is>
          <t>2023-12-08</t>
        </is>
      </c>
      <c r="C1504" s="6" t="inlineStr">
        <is>
          <t>DIA</t>
        </is>
      </c>
      <c r="D1504" s="6" t="inlineStr">
        <is>
          <t>JNJ</t>
        </is>
      </c>
      <c r="E1504" s="6" t="inlineStr">
        <is>
          <t>JNJ</t>
        </is>
      </c>
      <c r="F1504" s="6" t="inlineStr">
        <is>
          <t>-</t>
        </is>
      </c>
      <c r="G1504" s="7" t="n">
        <v>143.6413726806641</v>
      </c>
      <c r="H1504" s="6">
        <f>P1473</f>
        <v/>
      </c>
      <c r="I1504" s="9">
        <f>Q1473</f>
        <v/>
      </c>
      <c r="J1504" s="7">
        <f>I1504*G1504</f>
        <v/>
      </c>
      <c r="K1504" s="8">
        <f>IF($J$1520=0,0,J1504/$J$1520)</f>
        <v/>
      </c>
      <c r="L1504" s="6" t="inlineStr">
        <is>
          <t>REJECTED</t>
        </is>
      </c>
      <c r="M1504" s="8" t="n">
        <v>0</v>
      </c>
      <c r="N1504" s="7">
        <f>M1504*$J$1520-J1504</f>
        <v/>
      </c>
      <c r="O1504" s="9">
        <f>IF(G1504=0,0,N1504/G1504)</f>
        <v/>
      </c>
      <c r="P1504" s="6">
        <f>IF(M1504&gt;0,D1504,"")</f>
        <v/>
      </c>
      <c r="Q1504" s="9">
        <f>I1504+O1504</f>
        <v/>
      </c>
      <c r="R1504" s="7">
        <f>Q1504*G1504</f>
        <v/>
      </c>
      <c r="S1504" s="8">
        <f>IF($R$1520=0,0,R1504/$R$1520)</f>
        <v/>
      </c>
      <c r="T1504" s="8" t="n">
        <v>0</v>
      </c>
      <c r="U1504" s="8" t="n">
        <v>0.000192961558392879</v>
      </c>
      <c r="V1504" s="6" t="inlineStr">
        <is>
          <t>not selected</t>
        </is>
      </c>
    </row>
    <row r="1505">
      <c r="A1505" s="6" t="inlineStr">
        <is>
          <t>DJ30</t>
        </is>
      </c>
      <c r="B1505" s="6" t="inlineStr">
        <is>
          <t>2023-12-08</t>
        </is>
      </c>
      <c r="C1505" s="6" t="inlineStr">
        <is>
          <t>DIA</t>
        </is>
      </c>
      <c r="D1505" s="6" t="inlineStr">
        <is>
          <t>JPM</t>
        </is>
      </c>
      <c r="E1505" s="6" t="inlineStr">
        <is>
          <t>JPM</t>
        </is>
      </c>
      <c r="F1505" s="6" t="inlineStr">
        <is>
          <t>-</t>
        </is>
      </c>
      <c r="G1505" s="7" t="n">
        <v>150.1641235351562</v>
      </c>
      <c r="H1505" s="6">
        <f>P1474</f>
        <v/>
      </c>
      <c r="I1505" s="9">
        <f>Q1474</f>
        <v/>
      </c>
      <c r="J1505" s="7">
        <f>I1505*G1505</f>
        <v/>
      </c>
      <c r="K1505" s="8">
        <f>IF($J$1520=0,0,J1505/$J$1520)</f>
        <v/>
      </c>
      <c r="L1505" s="6" t="inlineStr">
        <is>
          <t>REJECTED</t>
        </is>
      </c>
      <c r="M1505" s="8" t="n">
        <v>0</v>
      </c>
      <c r="N1505" s="7">
        <f>M1505*$J$1520-J1505</f>
        <v/>
      </c>
      <c r="O1505" s="9">
        <f>IF(G1505=0,0,N1505/G1505)</f>
        <v/>
      </c>
      <c r="P1505" s="6">
        <f>IF(M1505&gt;0,D1505,"")</f>
        <v/>
      </c>
      <c r="Q1505" s="9">
        <f>I1505+O1505</f>
        <v/>
      </c>
      <c r="R1505" s="7">
        <f>Q1505*G1505</f>
        <v/>
      </c>
      <c r="S1505" s="8">
        <f>IF($R$1520=0,0,R1505/$R$1520)</f>
        <v/>
      </c>
      <c r="T1505" s="8" t="n">
        <v>0</v>
      </c>
      <c r="U1505" s="8" t="n">
        <v>0.000192961558392879</v>
      </c>
      <c r="V1505" s="6" t="inlineStr">
        <is>
          <t>not selected</t>
        </is>
      </c>
    </row>
    <row r="1506">
      <c r="A1506" s="6" t="inlineStr">
        <is>
          <t>DJ30</t>
        </is>
      </c>
      <c r="B1506" s="6" t="inlineStr">
        <is>
          <t>2023-12-08</t>
        </is>
      </c>
      <c r="C1506" s="6" t="inlineStr">
        <is>
          <t>DIA</t>
        </is>
      </c>
      <c r="D1506" s="6" t="inlineStr">
        <is>
          <t>KO</t>
        </is>
      </c>
      <c r="E1506" s="6" t="inlineStr">
        <is>
          <t>KO</t>
        </is>
      </c>
      <c r="F1506" s="6" t="inlineStr">
        <is>
          <t>-</t>
        </is>
      </c>
      <c r="G1506" s="7" t="n">
        <v>54.51394271850586</v>
      </c>
      <c r="H1506" s="6">
        <f>P1475</f>
        <v/>
      </c>
      <c r="I1506" s="9">
        <f>Q1475</f>
        <v/>
      </c>
      <c r="J1506" s="7">
        <f>I1506*G1506</f>
        <v/>
      </c>
      <c r="K1506" s="8">
        <f>IF($J$1520=0,0,J1506/$J$1520)</f>
        <v/>
      </c>
      <c r="L1506" s="6" t="inlineStr">
        <is>
          <t>REJECTED</t>
        </is>
      </c>
      <c r="M1506" s="8" t="n">
        <v>0</v>
      </c>
      <c r="N1506" s="7">
        <f>M1506*$J$1520-J1506</f>
        <v/>
      </c>
      <c r="O1506" s="9">
        <f>IF(G1506=0,0,N1506/G1506)</f>
        <v/>
      </c>
      <c r="P1506" s="6">
        <f>IF(M1506&gt;0,D1506,"")</f>
        <v/>
      </c>
      <c r="Q1506" s="9">
        <f>I1506+O1506</f>
        <v/>
      </c>
      <c r="R1506" s="7">
        <f>Q1506*G1506</f>
        <v/>
      </c>
      <c r="S1506" s="8">
        <f>IF($R$1520=0,0,R1506/$R$1520)</f>
        <v/>
      </c>
      <c r="T1506" s="8" t="n">
        <v>0</v>
      </c>
      <c r="U1506" s="8" t="n">
        <v>0.000192961558392879</v>
      </c>
      <c r="V1506" s="6" t="inlineStr">
        <is>
          <t>not selected</t>
        </is>
      </c>
    </row>
    <row r="1507">
      <c r="A1507" s="6" t="inlineStr">
        <is>
          <t>DJ30</t>
        </is>
      </c>
      <c r="B1507" s="6" t="inlineStr">
        <is>
          <t>2023-12-08</t>
        </is>
      </c>
      <c r="C1507" s="6" t="inlineStr">
        <is>
          <t>DIA</t>
        </is>
      </c>
      <c r="D1507" s="6" t="inlineStr">
        <is>
          <t>MCD</t>
        </is>
      </c>
      <c r="E1507" s="6" t="inlineStr">
        <is>
          <t>MCD</t>
        </is>
      </c>
      <c r="F1507" s="6" t="inlineStr">
        <is>
          <t>-</t>
        </is>
      </c>
      <c r="G1507" s="7" t="n">
        <v>269.0819091796875</v>
      </c>
      <c r="H1507" s="6">
        <f>P1476</f>
        <v/>
      </c>
      <c r="I1507" s="9">
        <f>Q1476</f>
        <v/>
      </c>
      <c r="J1507" s="7">
        <f>I1507*G1507</f>
        <v/>
      </c>
      <c r="K1507" s="8">
        <f>IF($J$1520=0,0,J1507/$J$1520)</f>
        <v/>
      </c>
      <c r="L1507" s="6" t="inlineStr">
        <is>
          <t>REJECTED</t>
        </is>
      </c>
      <c r="M1507" s="8" t="n">
        <v>0</v>
      </c>
      <c r="N1507" s="7">
        <f>M1507*$J$1520-J1507</f>
        <v/>
      </c>
      <c r="O1507" s="9">
        <f>IF(G1507=0,0,N1507/G1507)</f>
        <v/>
      </c>
      <c r="P1507" s="6">
        <f>IF(M1507&gt;0,D1507,"")</f>
        <v/>
      </c>
      <c r="Q1507" s="9">
        <f>I1507+O1507</f>
        <v/>
      </c>
      <c r="R1507" s="7">
        <f>Q1507*G1507</f>
        <v/>
      </c>
      <c r="S1507" s="8">
        <f>IF($R$1520=0,0,R1507/$R$1520)</f>
        <v/>
      </c>
      <c r="T1507" s="8" t="n">
        <v>0</v>
      </c>
      <c r="U1507" s="8" t="n">
        <v>0.000192961558392879</v>
      </c>
      <c r="V1507" s="6" t="inlineStr">
        <is>
          <t>not selected</t>
        </is>
      </c>
    </row>
    <row r="1508">
      <c r="A1508" s="6" t="inlineStr">
        <is>
          <t>DJ30</t>
        </is>
      </c>
      <c r="B1508" s="6" t="inlineStr">
        <is>
          <t>2023-12-08</t>
        </is>
      </c>
      <c r="C1508" s="6" t="inlineStr">
        <is>
          <t>DIA</t>
        </is>
      </c>
      <c r="D1508" s="6" t="inlineStr">
        <is>
          <t>MMM</t>
        </is>
      </c>
      <c r="E1508" s="6" t="inlineStr">
        <is>
          <t>MMM</t>
        </is>
      </c>
      <c r="F1508" s="6" t="inlineStr">
        <is>
          <t>-</t>
        </is>
      </c>
      <c r="G1508" s="7" t="n">
        <v>81.20018005371094</v>
      </c>
      <c r="H1508" s="6">
        <f>P1477</f>
        <v/>
      </c>
      <c r="I1508" s="9">
        <f>Q1477</f>
        <v/>
      </c>
      <c r="J1508" s="7">
        <f>I1508*G1508</f>
        <v/>
      </c>
      <c r="K1508" s="8">
        <f>IF($J$1520=0,0,J1508/$J$1520)</f>
        <v/>
      </c>
      <c r="L1508" s="6" t="inlineStr">
        <is>
          <t>REJECTED</t>
        </is>
      </c>
      <c r="M1508" s="8" t="n">
        <v>0</v>
      </c>
      <c r="N1508" s="7">
        <f>M1508*$J$1520-J1508</f>
        <v/>
      </c>
      <c r="O1508" s="9">
        <f>IF(G1508=0,0,N1508/G1508)</f>
        <v/>
      </c>
      <c r="P1508" s="6">
        <f>IF(M1508&gt;0,D1508,"")</f>
        <v/>
      </c>
      <c r="Q1508" s="9">
        <f>I1508+O1508</f>
        <v/>
      </c>
      <c r="R1508" s="7">
        <f>Q1508*G1508</f>
        <v/>
      </c>
      <c r="S1508" s="8">
        <f>IF($R$1520=0,0,R1508/$R$1520)</f>
        <v/>
      </c>
      <c r="T1508" s="8" t="n">
        <v>0</v>
      </c>
      <c r="U1508" s="8" t="n">
        <v>0.000192961558392879</v>
      </c>
      <c r="V1508" s="6" t="inlineStr">
        <is>
          <t>not selected</t>
        </is>
      </c>
    </row>
    <row r="1509">
      <c r="A1509" s="6" t="inlineStr">
        <is>
          <t>DJ30</t>
        </is>
      </c>
      <c r="B1509" s="6" t="inlineStr">
        <is>
          <t>2023-12-08</t>
        </is>
      </c>
      <c r="C1509" s="6" t="inlineStr">
        <is>
          <t>DIA</t>
        </is>
      </c>
      <c r="D1509" s="6" t="inlineStr">
        <is>
          <t>MRK</t>
        </is>
      </c>
      <c r="E1509" s="6" t="inlineStr">
        <is>
          <t>MRK</t>
        </is>
      </c>
      <c r="F1509" s="6" t="inlineStr">
        <is>
          <t>-</t>
        </is>
      </c>
      <c r="G1509" s="7" t="n">
        <v>95.23912048339844</v>
      </c>
      <c r="H1509" s="6">
        <f>P1478</f>
        <v/>
      </c>
      <c r="I1509" s="9">
        <f>Q1478</f>
        <v/>
      </c>
      <c r="J1509" s="7">
        <f>I1509*G1509</f>
        <v/>
      </c>
      <c r="K1509" s="8">
        <f>IF($J$1520=0,0,J1509/$J$1520)</f>
        <v/>
      </c>
      <c r="L1509" s="6" t="inlineStr">
        <is>
          <t>REJECTED</t>
        </is>
      </c>
      <c r="M1509" s="8" t="n">
        <v>0</v>
      </c>
      <c r="N1509" s="7">
        <f>M1509*$J$1520-J1509</f>
        <v/>
      </c>
      <c r="O1509" s="9">
        <f>IF(G1509=0,0,N1509/G1509)</f>
        <v/>
      </c>
      <c r="P1509" s="6">
        <f>IF(M1509&gt;0,D1509,"")</f>
        <v/>
      </c>
      <c r="Q1509" s="9">
        <f>I1509+O1509</f>
        <v/>
      </c>
      <c r="R1509" s="7">
        <f>Q1509*G1509</f>
        <v/>
      </c>
      <c r="S1509" s="8">
        <f>IF($R$1520=0,0,R1509/$R$1520)</f>
        <v/>
      </c>
      <c r="T1509" s="8" t="n">
        <v>0</v>
      </c>
      <c r="U1509" s="8" t="n">
        <v>0.000192961558392879</v>
      </c>
      <c r="V1509" s="6" t="inlineStr">
        <is>
          <t>not selected</t>
        </is>
      </c>
    </row>
    <row r="1510">
      <c r="A1510" s="6" t="inlineStr">
        <is>
          <t>DJ30</t>
        </is>
      </c>
      <c r="B1510" s="6" t="inlineStr">
        <is>
          <t>2023-12-08</t>
        </is>
      </c>
      <c r="C1510" s="6" t="inlineStr">
        <is>
          <t>DIA</t>
        </is>
      </c>
      <c r="D1510" s="6" t="inlineStr">
        <is>
          <t>MSFT</t>
        </is>
      </c>
      <c r="E1510" s="6" t="inlineStr">
        <is>
          <t>MSFT</t>
        </is>
      </c>
      <c r="F1510" s="6" t="inlineStr">
        <is>
          <t>-</t>
        </is>
      </c>
      <c r="G1510" s="7" t="n">
        <v>367.0974731445313</v>
      </c>
      <c r="H1510" s="6">
        <f>P1479</f>
        <v/>
      </c>
      <c r="I1510" s="9">
        <f>Q1479</f>
        <v/>
      </c>
      <c r="J1510" s="7">
        <f>I1510*G1510</f>
        <v/>
      </c>
      <c r="K1510" s="8">
        <f>IF($J$1520=0,0,J1510/$J$1520)</f>
        <v/>
      </c>
      <c r="L1510" s="6" t="inlineStr">
        <is>
          <t>REJECTED</t>
        </is>
      </c>
      <c r="M1510" s="8" t="n">
        <v>0</v>
      </c>
      <c r="N1510" s="7">
        <f>M1510*$J$1520-J1510</f>
        <v/>
      </c>
      <c r="O1510" s="9">
        <f>IF(G1510=0,0,N1510/G1510)</f>
        <v/>
      </c>
      <c r="P1510" s="6">
        <f>IF(M1510&gt;0,D1510,"")</f>
        <v/>
      </c>
      <c r="Q1510" s="9">
        <f>I1510+O1510</f>
        <v/>
      </c>
      <c r="R1510" s="7">
        <f>Q1510*G1510</f>
        <v/>
      </c>
      <c r="S1510" s="8">
        <f>IF($R$1520=0,0,R1510/$R$1520)</f>
        <v/>
      </c>
      <c r="T1510" s="8" t="n">
        <v>0</v>
      </c>
      <c r="U1510" s="8" t="n">
        <v>0.000192961558392879</v>
      </c>
      <c r="V1510" s="6" t="inlineStr">
        <is>
          <t>not selected</t>
        </is>
      </c>
    </row>
    <row r="1511">
      <c r="A1511" s="6" t="inlineStr">
        <is>
          <t>DJ30</t>
        </is>
      </c>
      <c r="B1511" s="6" t="inlineStr">
        <is>
          <t>2023-12-08</t>
        </is>
      </c>
      <c r="C1511" s="6" t="inlineStr">
        <is>
          <t>DIA</t>
        </is>
      </c>
      <c r="D1511" s="6" t="inlineStr">
        <is>
          <t>NKE</t>
        </is>
      </c>
      <c r="E1511" s="6" t="inlineStr">
        <is>
          <t>NKE</t>
        </is>
      </c>
      <c r="F1511" s="6" t="inlineStr">
        <is>
          <t>-</t>
        </is>
      </c>
      <c r="G1511" s="7" t="n">
        <v>109.6246566772461</v>
      </c>
      <c r="H1511" s="6">
        <f>P1480</f>
        <v/>
      </c>
      <c r="I1511" s="9">
        <f>Q1480</f>
        <v/>
      </c>
      <c r="J1511" s="7">
        <f>I1511*G1511</f>
        <v/>
      </c>
      <c r="K1511" s="8">
        <f>IF($J$1520=0,0,J1511/$J$1520)</f>
        <v/>
      </c>
      <c r="L1511" s="6" t="inlineStr">
        <is>
          <t>REJECTED</t>
        </is>
      </c>
      <c r="M1511" s="8" t="n">
        <v>0</v>
      </c>
      <c r="N1511" s="7">
        <f>M1511*$J$1520-J1511</f>
        <v/>
      </c>
      <c r="O1511" s="9">
        <f>IF(G1511=0,0,N1511/G1511)</f>
        <v/>
      </c>
      <c r="P1511" s="6">
        <f>IF(M1511&gt;0,D1511,"")</f>
        <v/>
      </c>
      <c r="Q1511" s="9">
        <f>I1511+O1511</f>
        <v/>
      </c>
      <c r="R1511" s="7">
        <f>Q1511*G1511</f>
        <v/>
      </c>
      <c r="S1511" s="8">
        <f>IF($R$1520=0,0,R1511/$R$1520)</f>
        <v/>
      </c>
      <c r="T1511" s="8" t="n">
        <v>0</v>
      </c>
      <c r="U1511" s="8" t="n">
        <v>0.000192961558392879</v>
      </c>
      <c r="V1511" s="6" t="inlineStr">
        <is>
          <t>not selected</t>
        </is>
      </c>
    </row>
    <row r="1512">
      <c r="A1512" s="6" t="inlineStr">
        <is>
          <t>DJ30</t>
        </is>
      </c>
      <c r="B1512" s="6" t="inlineStr">
        <is>
          <t>2023-12-08</t>
        </is>
      </c>
      <c r="C1512" s="6" t="inlineStr">
        <is>
          <t>DIA</t>
        </is>
      </c>
      <c r="D1512" s="6" t="inlineStr">
        <is>
          <t>NVDA</t>
        </is>
      </c>
      <c r="E1512" s="6" t="inlineStr">
        <is>
          <t>NVDA</t>
        </is>
      </c>
      <c r="F1512" s="6" t="inlineStr">
        <is>
          <t>-</t>
        </is>
      </c>
      <c r="G1512" s="7" t="n">
        <v>47.42170715332031</v>
      </c>
      <c r="H1512" s="6">
        <f>P1481</f>
        <v/>
      </c>
      <c r="I1512" s="9">
        <f>Q1481</f>
        <v/>
      </c>
      <c r="J1512" s="7">
        <f>I1512*G1512</f>
        <v/>
      </c>
      <c r="K1512" s="8">
        <f>IF($J$1520=0,0,J1512/$J$1520)</f>
        <v/>
      </c>
      <c r="L1512" s="6" t="inlineStr">
        <is>
          <t>REJECTED</t>
        </is>
      </c>
      <c r="M1512" s="8" t="n">
        <v>0</v>
      </c>
      <c r="N1512" s="7">
        <f>M1512*$J$1520-J1512</f>
        <v/>
      </c>
      <c r="O1512" s="9">
        <f>IF(G1512=0,0,N1512/G1512)</f>
        <v/>
      </c>
      <c r="P1512" s="6">
        <f>IF(M1512&gt;0,D1512,"")</f>
        <v/>
      </c>
      <c r="Q1512" s="9">
        <f>I1512+O1512</f>
        <v/>
      </c>
      <c r="R1512" s="7">
        <f>Q1512*G1512</f>
        <v/>
      </c>
      <c r="S1512" s="8">
        <f>IF($R$1520=0,0,R1512/$R$1520)</f>
        <v/>
      </c>
      <c r="T1512" s="8" t="n">
        <v>0</v>
      </c>
      <c r="U1512" s="8" t="n">
        <v>0.000192961558392879</v>
      </c>
      <c r="V1512" s="6" t="inlineStr">
        <is>
          <t>not selected</t>
        </is>
      </c>
    </row>
    <row r="1513">
      <c r="A1513" s="6" t="inlineStr">
        <is>
          <t>DJ30</t>
        </is>
      </c>
      <c r="B1513" s="6" t="inlineStr">
        <is>
          <t>2023-12-08</t>
        </is>
      </c>
      <c r="C1513" s="6" t="inlineStr">
        <is>
          <t>DIA</t>
        </is>
      </c>
      <c r="D1513" s="6" t="inlineStr">
        <is>
          <t>PG</t>
        </is>
      </c>
      <c r="E1513" s="6" t="inlineStr">
        <is>
          <t>PG</t>
        </is>
      </c>
      <c r="F1513" s="6" t="inlineStr">
        <is>
          <t>-</t>
        </is>
      </c>
      <c r="G1513" s="7" t="n">
        <v>135.9820861816406</v>
      </c>
      <c r="H1513" s="6">
        <f>P1482</f>
        <v/>
      </c>
      <c r="I1513" s="9">
        <f>Q1482</f>
        <v/>
      </c>
      <c r="J1513" s="7">
        <f>I1513*G1513</f>
        <v/>
      </c>
      <c r="K1513" s="8">
        <f>IF($J$1520=0,0,J1513/$J$1520)</f>
        <v/>
      </c>
      <c r="L1513" s="6" t="inlineStr">
        <is>
          <t>REJECTED</t>
        </is>
      </c>
      <c r="M1513" s="8" t="n">
        <v>0</v>
      </c>
      <c r="N1513" s="7">
        <f>M1513*$J$1520-J1513</f>
        <v/>
      </c>
      <c r="O1513" s="9">
        <f>IF(G1513=0,0,N1513/G1513)</f>
        <v/>
      </c>
      <c r="P1513" s="6">
        <f>IF(M1513&gt;0,D1513,"")</f>
        <v/>
      </c>
      <c r="Q1513" s="9">
        <f>I1513+O1513</f>
        <v/>
      </c>
      <c r="R1513" s="7">
        <f>Q1513*G1513</f>
        <v/>
      </c>
      <c r="S1513" s="8">
        <f>IF($R$1520=0,0,R1513/$R$1520)</f>
        <v/>
      </c>
      <c r="T1513" s="8" t="n">
        <v>0</v>
      </c>
      <c r="U1513" s="8" t="n">
        <v>0.000192961558392879</v>
      </c>
      <c r="V1513" s="6" t="inlineStr">
        <is>
          <t>not selected</t>
        </is>
      </c>
    </row>
    <row r="1514">
      <c r="A1514" s="6" t="inlineStr">
        <is>
          <t>DJ30</t>
        </is>
      </c>
      <c r="B1514" s="6" t="inlineStr">
        <is>
          <t>2023-12-08</t>
        </is>
      </c>
      <c r="C1514" s="6" t="inlineStr">
        <is>
          <t>DIA</t>
        </is>
      </c>
      <c r="D1514" s="6" t="inlineStr">
        <is>
          <t>SHW</t>
        </is>
      </c>
      <c r="E1514" s="6" t="inlineStr">
        <is>
          <t>SHW</t>
        </is>
      </c>
      <c r="F1514" s="6" t="inlineStr">
        <is>
          <t>-</t>
        </is>
      </c>
      <c r="G1514" s="7" t="n">
        <v>283.5101623535156</v>
      </c>
      <c r="H1514" s="6">
        <f>P1483</f>
        <v/>
      </c>
      <c r="I1514" s="9">
        <f>Q1483</f>
        <v/>
      </c>
      <c r="J1514" s="7">
        <f>I1514*G1514</f>
        <v/>
      </c>
      <c r="K1514" s="8">
        <f>IF($J$1520=0,0,J1514/$J$1520)</f>
        <v/>
      </c>
      <c r="L1514" s="6" t="inlineStr">
        <is>
          <t>REJECTED</t>
        </is>
      </c>
      <c r="M1514" s="8" t="n">
        <v>0</v>
      </c>
      <c r="N1514" s="7">
        <f>M1514*$J$1520-J1514</f>
        <v/>
      </c>
      <c r="O1514" s="9">
        <f>IF(G1514=0,0,N1514/G1514)</f>
        <v/>
      </c>
      <c r="P1514" s="6">
        <f>IF(M1514&gt;0,D1514,"")</f>
        <v/>
      </c>
      <c r="Q1514" s="9">
        <f>I1514+O1514</f>
        <v/>
      </c>
      <c r="R1514" s="7">
        <f>Q1514*G1514</f>
        <v/>
      </c>
      <c r="S1514" s="8">
        <f>IF($R$1520=0,0,R1514/$R$1520)</f>
        <v/>
      </c>
      <c r="T1514" s="8" t="n">
        <v>0</v>
      </c>
      <c r="U1514" s="8" t="n">
        <v>0.000192961558392879</v>
      </c>
      <c r="V1514" s="6" t="inlineStr">
        <is>
          <t>not selected</t>
        </is>
      </c>
    </row>
    <row r="1515">
      <c r="A1515" s="6" t="inlineStr">
        <is>
          <t>DJ30</t>
        </is>
      </c>
      <c r="B1515" s="6" t="inlineStr">
        <is>
          <t>2023-12-08</t>
        </is>
      </c>
      <c r="C1515" s="6" t="inlineStr">
        <is>
          <t>DIA</t>
        </is>
      </c>
      <c r="D1515" s="6" t="inlineStr">
        <is>
          <t>TRV</t>
        </is>
      </c>
      <c r="E1515" s="6" t="inlineStr">
        <is>
          <t>TRV</t>
        </is>
      </c>
      <c r="F1515" s="6" t="inlineStr">
        <is>
          <t>-</t>
        </is>
      </c>
      <c r="G1515" s="7" t="n">
        <v>173.8029327392578</v>
      </c>
      <c r="H1515" s="6">
        <f>P1484</f>
        <v/>
      </c>
      <c r="I1515" s="9">
        <f>Q1484</f>
        <v/>
      </c>
      <c r="J1515" s="7">
        <f>I1515*G1515</f>
        <v/>
      </c>
      <c r="K1515" s="8">
        <f>IF($J$1520=0,0,J1515/$J$1520)</f>
        <v/>
      </c>
      <c r="L1515" s="6" t="inlineStr">
        <is>
          <t>REJECTED</t>
        </is>
      </c>
      <c r="M1515" s="8" t="n">
        <v>0</v>
      </c>
      <c r="N1515" s="7">
        <f>M1515*$J$1520-J1515</f>
        <v/>
      </c>
      <c r="O1515" s="9">
        <f>IF(G1515=0,0,N1515/G1515)</f>
        <v/>
      </c>
      <c r="P1515" s="6">
        <f>IF(M1515&gt;0,D1515,"")</f>
        <v/>
      </c>
      <c r="Q1515" s="9">
        <f>I1515+O1515</f>
        <v/>
      </c>
      <c r="R1515" s="7">
        <f>Q1515*G1515</f>
        <v/>
      </c>
      <c r="S1515" s="8">
        <f>IF($R$1520=0,0,R1515/$R$1520)</f>
        <v/>
      </c>
      <c r="T1515" s="8" t="n">
        <v>0</v>
      </c>
      <c r="U1515" s="8" t="n">
        <v>0.000192961558392879</v>
      </c>
      <c r="V1515" s="6" t="inlineStr">
        <is>
          <t>not selected</t>
        </is>
      </c>
    </row>
    <row r="1516">
      <c r="A1516" s="6" t="inlineStr">
        <is>
          <t>DJ30</t>
        </is>
      </c>
      <c r="B1516" s="6" t="inlineStr">
        <is>
          <t>2023-12-08</t>
        </is>
      </c>
      <c r="C1516" s="6" t="inlineStr">
        <is>
          <t>DIA</t>
        </is>
      </c>
      <c r="D1516" s="6" t="inlineStr">
        <is>
          <t>UNH</t>
        </is>
      </c>
      <c r="E1516" s="6" t="inlineStr">
        <is>
          <t>UNH</t>
        </is>
      </c>
      <c r="F1516" s="6" t="inlineStr">
        <is>
          <t>-</t>
        </is>
      </c>
      <c r="G1516" s="7" t="n">
        <v>521.232666015625</v>
      </c>
      <c r="H1516" s="6">
        <f>P1485</f>
        <v/>
      </c>
      <c r="I1516" s="9">
        <f>Q1485</f>
        <v/>
      </c>
      <c r="J1516" s="7">
        <f>I1516*G1516</f>
        <v/>
      </c>
      <c r="K1516" s="8">
        <f>IF($J$1520=0,0,J1516/$J$1520)</f>
        <v/>
      </c>
      <c r="L1516" s="6" t="inlineStr">
        <is>
          <t>REJECTED</t>
        </is>
      </c>
      <c r="M1516" s="8" t="n">
        <v>0</v>
      </c>
      <c r="N1516" s="7">
        <f>M1516*$J$1520-J1516</f>
        <v/>
      </c>
      <c r="O1516" s="9">
        <f>IF(G1516=0,0,N1516/G1516)</f>
        <v/>
      </c>
      <c r="P1516" s="6">
        <f>IF(M1516&gt;0,D1516,"")</f>
        <v/>
      </c>
      <c r="Q1516" s="9">
        <f>I1516+O1516</f>
        <v/>
      </c>
      <c r="R1516" s="7">
        <f>Q1516*G1516</f>
        <v/>
      </c>
      <c r="S1516" s="8">
        <f>IF($R$1520=0,0,R1516/$R$1520)</f>
        <v/>
      </c>
      <c r="T1516" s="8" t="n">
        <v>0</v>
      </c>
      <c r="U1516" s="8" t="n">
        <v>0.000192961558392879</v>
      </c>
      <c r="V1516" s="6" t="inlineStr">
        <is>
          <t>not selected</t>
        </is>
      </c>
    </row>
    <row r="1517">
      <c r="A1517" s="6" t="inlineStr">
        <is>
          <t>DJ30</t>
        </is>
      </c>
      <c r="B1517" s="6" t="inlineStr">
        <is>
          <t>2023-12-08</t>
        </is>
      </c>
      <c r="C1517" s="6" t="inlineStr">
        <is>
          <t>DIA</t>
        </is>
      </c>
      <c r="D1517" s="6" t="inlineStr">
        <is>
          <t>V</t>
        </is>
      </c>
      <c r="E1517" s="6" t="inlineStr">
        <is>
          <t>V</t>
        </is>
      </c>
      <c r="F1517" s="6" t="inlineStr">
        <is>
          <t>-</t>
        </is>
      </c>
      <c r="G1517" s="7" t="n">
        <v>250.9712371826172</v>
      </c>
      <c r="H1517" s="6">
        <f>P1486</f>
        <v/>
      </c>
      <c r="I1517" s="9">
        <f>Q1486</f>
        <v/>
      </c>
      <c r="J1517" s="7">
        <f>I1517*G1517</f>
        <v/>
      </c>
      <c r="K1517" s="8">
        <f>IF($J$1520=0,0,J1517/$J$1520)</f>
        <v/>
      </c>
      <c r="L1517" s="6" t="inlineStr">
        <is>
          <t>REJECTED</t>
        </is>
      </c>
      <c r="M1517" s="8" t="n">
        <v>0</v>
      </c>
      <c r="N1517" s="7">
        <f>M1517*$J$1520-J1517</f>
        <v/>
      </c>
      <c r="O1517" s="9">
        <f>IF(G1517=0,0,N1517/G1517)</f>
        <v/>
      </c>
      <c r="P1517" s="6">
        <f>IF(M1517&gt;0,D1517,"")</f>
        <v/>
      </c>
      <c r="Q1517" s="9">
        <f>I1517+O1517</f>
        <v/>
      </c>
      <c r="R1517" s="7">
        <f>Q1517*G1517</f>
        <v/>
      </c>
      <c r="S1517" s="8">
        <f>IF($R$1520=0,0,R1517/$R$1520)</f>
        <v/>
      </c>
      <c r="T1517" s="8" t="n">
        <v>0</v>
      </c>
      <c r="U1517" s="8" t="n">
        <v>0.000192961558392879</v>
      </c>
      <c r="V1517" s="6" t="inlineStr">
        <is>
          <t>not selected</t>
        </is>
      </c>
    </row>
    <row r="1518">
      <c r="A1518" s="6" t="inlineStr">
        <is>
          <t>DJ30</t>
        </is>
      </c>
      <c r="B1518" s="6" t="inlineStr">
        <is>
          <t>2023-12-08</t>
        </is>
      </c>
      <c r="C1518" s="6" t="inlineStr">
        <is>
          <t>DIA</t>
        </is>
      </c>
      <c r="D1518" s="6" t="inlineStr">
        <is>
          <t>VZ</t>
        </is>
      </c>
      <c r="E1518" s="6" t="inlineStr">
        <is>
          <t>VZ</t>
        </is>
      </c>
      <c r="F1518" s="6" t="inlineStr">
        <is>
          <t>-</t>
        </is>
      </c>
      <c r="G1518" s="7" t="n">
        <v>32.48965835571289</v>
      </c>
      <c r="H1518" s="6">
        <f>P1487</f>
        <v/>
      </c>
      <c r="I1518" s="9">
        <f>Q1487</f>
        <v/>
      </c>
      <c r="J1518" s="7">
        <f>I1518*G1518</f>
        <v/>
      </c>
      <c r="K1518" s="8">
        <f>IF($J$1520=0,0,J1518/$J$1520)</f>
        <v/>
      </c>
      <c r="L1518" s="6" t="inlineStr">
        <is>
          <t>REJECTED</t>
        </is>
      </c>
      <c r="M1518" s="8" t="n">
        <v>0</v>
      </c>
      <c r="N1518" s="7">
        <f>M1518*$J$1520-J1518</f>
        <v/>
      </c>
      <c r="O1518" s="9">
        <f>IF(G1518=0,0,N1518/G1518)</f>
        <v/>
      </c>
      <c r="P1518" s="6">
        <f>IF(M1518&gt;0,D1518,"")</f>
        <v/>
      </c>
      <c r="Q1518" s="9">
        <f>I1518+O1518</f>
        <v/>
      </c>
      <c r="R1518" s="7">
        <f>Q1518*G1518</f>
        <v/>
      </c>
      <c r="S1518" s="8">
        <f>IF($R$1520=0,0,R1518/$R$1520)</f>
        <v/>
      </c>
      <c r="T1518" s="8" t="n">
        <v>0</v>
      </c>
      <c r="U1518" s="8" t="n">
        <v>0.000192961558392879</v>
      </c>
      <c r="V1518" s="6" t="inlineStr">
        <is>
          <t>not selected</t>
        </is>
      </c>
    </row>
    <row r="1519">
      <c r="A1519" s="6" t="inlineStr">
        <is>
          <t>DJ30</t>
        </is>
      </c>
      <c r="B1519" s="6" t="inlineStr">
        <is>
          <t>2023-12-08</t>
        </is>
      </c>
      <c r="C1519" s="6" t="inlineStr">
        <is>
          <t>DIA</t>
        </is>
      </c>
      <c r="D1519" s="6" t="inlineStr">
        <is>
          <t>WMT</t>
        </is>
      </c>
      <c r="E1519" s="6" t="inlineStr">
        <is>
          <t>WMT</t>
        </is>
      </c>
      <c r="F1519" s="6" t="inlineStr">
        <is>
          <t>-</t>
        </is>
      </c>
      <c r="G1519" s="7" t="n">
        <v>49.02556228637695</v>
      </c>
      <c r="H1519" s="6">
        <f>P1488</f>
        <v/>
      </c>
      <c r="I1519" s="9">
        <f>Q1488</f>
        <v/>
      </c>
      <c r="J1519" s="7">
        <f>I1519*G1519</f>
        <v/>
      </c>
      <c r="K1519" s="8">
        <f>IF($J$1520=0,0,J1519/$J$1520)</f>
        <v/>
      </c>
      <c r="L1519" s="6" t="inlineStr">
        <is>
          <t>REJECTED</t>
        </is>
      </c>
      <c r="M1519" s="8" t="n">
        <v>0</v>
      </c>
      <c r="N1519" s="7">
        <f>M1519*$J$1520-J1519</f>
        <v/>
      </c>
      <c r="O1519" s="9">
        <f>IF(G1519=0,0,N1519/G1519)</f>
        <v/>
      </c>
      <c r="P1519" s="6">
        <f>IF(M1519&gt;0,D1519,"")</f>
        <v/>
      </c>
      <c r="Q1519" s="9">
        <f>I1519+O1519</f>
        <v/>
      </c>
      <c r="R1519" s="7">
        <f>Q1519*G1519</f>
        <v/>
      </c>
      <c r="S1519" s="8">
        <f>IF($R$1520=0,0,R1519/$R$1520)</f>
        <v/>
      </c>
      <c r="T1519" s="8" t="n">
        <v>0</v>
      </c>
      <c r="U1519" s="8" t="n">
        <v>0.000192961558392879</v>
      </c>
      <c r="V1519" s="6" t="inlineStr">
        <is>
          <t>not selected</t>
        </is>
      </c>
    </row>
    <row r="1520">
      <c r="A1520" s="10" t="inlineStr">
        <is>
          <t>DJ30</t>
        </is>
      </c>
      <c r="B1520" s="10" t="inlineStr">
        <is>
          <t>2023-12-08</t>
        </is>
      </c>
      <c r="C1520" s="10" t="inlineStr">
        <is>
          <t>DIA</t>
        </is>
      </c>
      <c r="D1520" s="10" t="inlineStr">
        <is>
          <t>Tot Portfolio</t>
        </is>
      </c>
      <c r="E1520" s="10" t="inlineStr"/>
      <c r="F1520" s="10" t="inlineStr"/>
      <c r="G1520" s="11" t="inlineStr"/>
      <c r="H1520" s="10" t="inlineStr"/>
      <c r="I1520" s="12" t="inlineStr"/>
      <c r="J1520" s="11">
        <f>SUM(J1490:J1519)</f>
        <v/>
      </c>
      <c r="K1520" s="13">
        <f>SUM(K1490:K1519)</f>
        <v/>
      </c>
      <c r="L1520" s="10" t="inlineStr">
        <is>
          <t>TOTAL</t>
        </is>
      </c>
      <c r="M1520" s="13">
        <f>SUM(M1490:M1519)</f>
        <v/>
      </c>
      <c r="N1520" s="11">
        <f>SUM(N1490:N1519)</f>
        <v/>
      </c>
      <c r="O1520" s="12">
        <f>SUM(O1490:O1519)</f>
        <v/>
      </c>
      <c r="P1520" s="10" t="inlineStr"/>
      <c r="Q1520" s="12" t="inlineStr"/>
      <c r="R1520" s="11">
        <f>SUM(R1490:R1519)</f>
        <v/>
      </c>
      <c r="S1520" s="13">
        <f>SUM(S1490:S1519)</f>
        <v/>
      </c>
      <c r="T1520" s="13" t="n">
        <v>0</v>
      </c>
      <c r="U1520" s="13" t="n">
        <v>0.000192961558392879</v>
      </c>
      <c r="V1520" s="10" t="inlineStr"/>
    </row>
    <row r="1521">
      <c r="A1521" s="6" t="inlineStr">
        <is>
          <t>DJ30</t>
        </is>
      </c>
      <c r="B1521" s="6" t="inlineStr">
        <is>
          <t>2023-12-15</t>
        </is>
      </c>
      <c r="C1521" s="6" t="inlineStr">
        <is>
          <t>DIA</t>
        </is>
      </c>
      <c r="D1521" s="6" t="inlineStr">
        <is>
          <t>AAPL</t>
        </is>
      </c>
      <c r="E1521" s="6" t="inlineStr">
        <is>
          <t>AAPL</t>
        </is>
      </c>
      <c r="F1521" s="6" t="inlineStr">
        <is>
          <t>-</t>
        </is>
      </c>
      <c r="G1521" s="7" t="n">
        <v>195.3586730957031</v>
      </c>
      <c r="H1521" s="6">
        <f>P1490</f>
        <v/>
      </c>
      <c r="I1521" s="9">
        <f>Q1490</f>
        <v/>
      </c>
      <c r="J1521" s="7">
        <f>I1521*G1521</f>
        <v/>
      </c>
      <c r="K1521" s="8">
        <f>IF($J$1551=0,0,J1521/$J$1551)</f>
        <v/>
      </c>
      <c r="L1521" s="6" t="inlineStr">
        <is>
          <t>REJECTED</t>
        </is>
      </c>
      <c r="M1521" s="8" t="n">
        <v>0</v>
      </c>
      <c r="N1521" s="7">
        <f>M1521*$J$1551-J1521</f>
        <v/>
      </c>
      <c r="O1521" s="9">
        <f>IF(G1521=0,0,N1521/G1521)</f>
        <v/>
      </c>
      <c r="P1521" s="6">
        <f>IF(M1521&gt;0,D1521,"")</f>
        <v/>
      </c>
      <c r="Q1521" s="9">
        <f>I1521+O1521</f>
        <v/>
      </c>
      <c r="R1521" s="7">
        <f>Q1521*G1521</f>
        <v/>
      </c>
      <c r="S1521" s="8">
        <f>IF($R$1551=0,0,R1521/$R$1551)</f>
        <v/>
      </c>
      <c r="T1521" s="8" t="n">
        <v>0</v>
      </c>
      <c r="U1521" s="8" t="n">
        <v>0.02848443168138326</v>
      </c>
      <c r="V1521" s="6" t="inlineStr">
        <is>
          <t>not selected</t>
        </is>
      </c>
    </row>
    <row r="1522">
      <c r="A1522" s="6" t="inlineStr">
        <is>
          <t>DJ30</t>
        </is>
      </c>
      <c r="B1522" s="6" t="inlineStr">
        <is>
          <t>2023-12-15</t>
        </is>
      </c>
      <c r="C1522" s="6" t="inlineStr">
        <is>
          <t>DIA</t>
        </is>
      </c>
      <c r="D1522" s="6" t="inlineStr">
        <is>
          <t>AMGN</t>
        </is>
      </c>
      <c r="E1522" s="6" t="inlineStr">
        <is>
          <t>AMGN</t>
        </is>
      </c>
      <c r="F1522" s="6" t="inlineStr">
        <is>
          <t>-</t>
        </is>
      </c>
      <c r="G1522" s="7" t="n">
        <v>255.2332305908203</v>
      </c>
      <c r="H1522" s="6">
        <f>P1491</f>
        <v/>
      </c>
      <c r="I1522" s="9">
        <f>Q1491</f>
        <v/>
      </c>
      <c r="J1522" s="7">
        <f>I1522*G1522</f>
        <v/>
      </c>
      <c r="K1522" s="8">
        <f>IF($J$1551=0,0,J1522/$J$1551)</f>
        <v/>
      </c>
      <c r="L1522" s="6" t="inlineStr">
        <is>
          <t>REJECTED</t>
        </is>
      </c>
      <c r="M1522" s="8" t="n">
        <v>0</v>
      </c>
      <c r="N1522" s="7">
        <f>M1522*$J$1551-J1522</f>
        <v/>
      </c>
      <c r="O1522" s="9">
        <f>IF(G1522=0,0,N1522/G1522)</f>
        <v/>
      </c>
      <c r="P1522" s="6">
        <f>IF(M1522&gt;0,D1522,"")</f>
        <v/>
      </c>
      <c r="Q1522" s="9">
        <f>I1522+O1522</f>
        <v/>
      </c>
      <c r="R1522" s="7">
        <f>Q1522*G1522</f>
        <v/>
      </c>
      <c r="S1522" s="8">
        <f>IF($R$1551=0,0,R1522/$R$1551)</f>
        <v/>
      </c>
      <c r="T1522" s="8" t="n">
        <v>0</v>
      </c>
      <c r="U1522" s="8" t="n">
        <v>0.02848443168138326</v>
      </c>
      <c r="V1522" s="6" t="inlineStr">
        <is>
          <t>not selected</t>
        </is>
      </c>
    </row>
    <row r="1523">
      <c r="A1523" s="6" t="inlineStr">
        <is>
          <t>DJ30</t>
        </is>
      </c>
      <c r="B1523" s="6" t="inlineStr">
        <is>
          <t>2023-12-15</t>
        </is>
      </c>
      <c r="C1523" s="6" t="inlineStr">
        <is>
          <t>DIA</t>
        </is>
      </c>
      <c r="D1523" s="6" t="inlineStr">
        <is>
          <t>AMZN</t>
        </is>
      </c>
      <c r="E1523" s="6" t="inlineStr">
        <is>
          <t>AMZN</t>
        </is>
      </c>
      <c r="F1523" s="6" t="inlineStr">
        <is>
          <t>-</t>
        </is>
      </c>
      <c r="G1523" s="7" t="n">
        <v>149.9700012207031</v>
      </c>
      <c r="H1523" s="6">
        <f>P1492</f>
        <v/>
      </c>
      <c r="I1523" s="9">
        <f>Q1492</f>
        <v/>
      </c>
      <c r="J1523" s="7">
        <f>I1523*G1523</f>
        <v/>
      </c>
      <c r="K1523" s="8">
        <f>IF($J$1551=0,0,J1523/$J$1551)</f>
        <v/>
      </c>
      <c r="L1523" s="6" t="inlineStr">
        <is>
          <t>REJECTED</t>
        </is>
      </c>
      <c r="M1523" s="8" t="n">
        <v>0</v>
      </c>
      <c r="N1523" s="7">
        <f>M1523*$J$1551-J1523</f>
        <v/>
      </c>
      <c r="O1523" s="9">
        <f>IF(G1523=0,0,N1523/G1523)</f>
        <v/>
      </c>
      <c r="P1523" s="6">
        <f>IF(M1523&gt;0,D1523,"")</f>
        <v/>
      </c>
      <c r="Q1523" s="9">
        <f>I1523+O1523</f>
        <v/>
      </c>
      <c r="R1523" s="7">
        <f>Q1523*G1523</f>
        <v/>
      </c>
      <c r="S1523" s="8">
        <f>IF($R$1551=0,0,R1523/$R$1551)</f>
        <v/>
      </c>
      <c r="T1523" s="8" t="n">
        <v>0</v>
      </c>
      <c r="U1523" s="8" t="n">
        <v>0.02848443168138326</v>
      </c>
      <c r="V1523" s="6" t="inlineStr">
        <is>
          <t>not selected</t>
        </is>
      </c>
    </row>
    <row r="1524">
      <c r="A1524" s="6" t="inlineStr">
        <is>
          <t>DJ30</t>
        </is>
      </c>
      <c r="B1524" s="6" t="inlineStr">
        <is>
          <t>2023-12-15</t>
        </is>
      </c>
      <c r="C1524" s="6" t="inlineStr">
        <is>
          <t>DIA</t>
        </is>
      </c>
      <c r="D1524" s="6" t="inlineStr">
        <is>
          <t>AXP</t>
        </is>
      </c>
      <c r="E1524" s="6" t="inlineStr">
        <is>
          <t>AXP</t>
        </is>
      </c>
      <c r="F1524" s="6" t="inlineStr">
        <is>
          <t>-</t>
        </is>
      </c>
      <c r="G1524" s="7" t="n">
        <v>175.5270538330078</v>
      </c>
      <c r="H1524" s="6">
        <f>P1493</f>
        <v/>
      </c>
      <c r="I1524" s="9">
        <f>Q1493</f>
        <v/>
      </c>
      <c r="J1524" s="7">
        <f>I1524*G1524</f>
        <v/>
      </c>
      <c r="K1524" s="8">
        <f>IF($J$1551=0,0,J1524/$J$1551)</f>
        <v/>
      </c>
      <c r="L1524" s="6" t="inlineStr">
        <is>
          <t>REJECTED</t>
        </is>
      </c>
      <c r="M1524" s="8" t="n">
        <v>0</v>
      </c>
      <c r="N1524" s="7">
        <f>M1524*$J$1551-J1524</f>
        <v/>
      </c>
      <c r="O1524" s="9">
        <f>IF(G1524=0,0,N1524/G1524)</f>
        <v/>
      </c>
      <c r="P1524" s="6">
        <f>IF(M1524&gt;0,D1524,"")</f>
        <v/>
      </c>
      <c r="Q1524" s="9">
        <f>I1524+O1524</f>
        <v/>
      </c>
      <c r="R1524" s="7">
        <f>Q1524*G1524</f>
        <v/>
      </c>
      <c r="S1524" s="8">
        <f>IF($R$1551=0,0,R1524/$R$1551)</f>
        <v/>
      </c>
      <c r="T1524" s="8" t="n">
        <v>0</v>
      </c>
      <c r="U1524" s="8" t="n">
        <v>0.02848443168138326</v>
      </c>
      <c r="V1524" s="6" t="inlineStr">
        <is>
          <t>not selected</t>
        </is>
      </c>
    </row>
    <row r="1525">
      <c r="A1525" s="6" t="inlineStr">
        <is>
          <t>DJ30</t>
        </is>
      </c>
      <c r="B1525" s="6" t="inlineStr">
        <is>
          <t>2023-12-15</t>
        </is>
      </c>
      <c r="C1525" s="6" t="inlineStr">
        <is>
          <t>DIA</t>
        </is>
      </c>
      <c r="D1525" s="6" t="inlineStr">
        <is>
          <t>BA</t>
        </is>
      </c>
      <c r="E1525" s="6" t="inlineStr">
        <is>
          <t>BA</t>
        </is>
      </c>
      <c r="F1525" s="6" t="inlineStr">
        <is>
          <t>-</t>
        </is>
      </c>
      <c r="G1525" s="7" t="n">
        <v>264.2699890136719</v>
      </c>
      <c r="H1525" s="6">
        <f>P1494</f>
        <v/>
      </c>
      <c r="I1525" s="9">
        <f>Q1494</f>
        <v/>
      </c>
      <c r="J1525" s="7">
        <f>I1525*G1525</f>
        <v/>
      </c>
      <c r="K1525" s="8">
        <f>IF($J$1551=0,0,J1525/$J$1551)</f>
        <v/>
      </c>
      <c r="L1525" s="6" t="inlineStr">
        <is>
          <t>REJECTED</t>
        </is>
      </c>
      <c r="M1525" s="8" t="n">
        <v>0</v>
      </c>
      <c r="N1525" s="7">
        <f>M1525*$J$1551-J1525</f>
        <v/>
      </c>
      <c r="O1525" s="9">
        <f>IF(G1525=0,0,N1525/G1525)</f>
        <v/>
      </c>
      <c r="P1525" s="6">
        <f>IF(M1525&gt;0,D1525,"")</f>
        <v/>
      </c>
      <c r="Q1525" s="9">
        <f>I1525+O1525</f>
        <v/>
      </c>
      <c r="R1525" s="7">
        <f>Q1525*G1525</f>
        <v/>
      </c>
      <c r="S1525" s="8">
        <f>IF($R$1551=0,0,R1525/$R$1551)</f>
        <v/>
      </c>
      <c r="T1525" s="8" t="n">
        <v>0</v>
      </c>
      <c r="U1525" s="8" t="n">
        <v>0.02848443168138326</v>
      </c>
      <c r="V1525" s="6" t="inlineStr">
        <is>
          <t>not selected</t>
        </is>
      </c>
    </row>
    <row r="1526">
      <c r="A1526" s="6" t="inlineStr">
        <is>
          <t>DJ30</t>
        </is>
      </c>
      <c r="B1526" s="6" t="inlineStr">
        <is>
          <t>2023-12-15</t>
        </is>
      </c>
      <c r="C1526" s="6" t="inlineStr">
        <is>
          <t>DIA</t>
        </is>
      </c>
      <c r="D1526" s="6" t="inlineStr">
        <is>
          <t>CAT</t>
        </is>
      </c>
      <c r="E1526" s="6" t="inlineStr">
        <is>
          <t>CAT</t>
        </is>
      </c>
      <c r="F1526" s="6" t="inlineStr">
        <is>
          <t>-</t>
        </is>
      </c>
      <c r="G1526" s="7" t="n">
        <v>275.8738403320312</v>
      </c>
      <c r="H1526" s="6">
        <f>P1495</f>
        <v/>
      </c>
      <c r="I1526" s="9">
        <f>Q1495</f>
        <v/>
      </c>
      <c r="J1526" s="7">
        <f>I1526*G1526</f>
        <v/>
      </c>
      <c r="K1526" s="8">
        <f>IF($J$1551=0,0,J1526/$J$1551)</f>
        <v/>
      </c>
      <c r="L1526" s="6" t="inlineStr">
        <is>
          <t>REJECTED</t>
        </is>
      </c>
      <c r="M1526" s="8" t="n">
        <v>0</v>
      </c>
      <c r="N1526" s="7">
        <f>M1526*$J$1551-J1526</f>
        <v/>
      </c>
      <c r="O1526" s="9">
        <f>IF(G1526=0,0,N1526/G1526)</f>
        <v/>
      </c>
      <c r="P1526" s="6">
        <f>IF(M1526&gt;0,D1526,"")</f>
        <v/>
      </c>
      <c r="Q1526" s="9">
        <f>I1526+O1526</f>
        <v/>
      </c>
      <c r="R1526" s="7">
        <f>Q1526*G1526</f>
        <v/>
      </c>
      <c r="S1526" s="8">
        <f>IF($R$1551=0,0,R1526/$R$1551)</f>
        <v/>
      </c>
      <c r="T1526" s="8" t="n">
        <v>0</v>
      </c>
      <c r="U1526" s="8" t="n">
        <v>0.02848443168138326</v>
      </c>
      <c r="V1526" s="6" t="inlineStr">
        <is>
          <t>not selected</t>
        </is>
      </c>
    </row>
    <row r="1527">
      <c r="A1527" s="6" t="inlineStr">
        <is>
          <t>DJ30</t>
        </is>
      </c>
      <c r="B1527" s="6" t="inlineStr">
        <is>
          <t>2023-12-15</t>
        </is>
      </c>
      <c r="C1527" s="6" t="inlineStr">
        <is>
          <t>DIA</t>
        </is>
      </c>
      <c r="D1527" s="6" t="inlineStr">
        <is>
          <t>CRM</t>
        </is>
      </c>
      <c r="E1527" s="6" t="inlineStr">
        <is>
          <t>CRM</t>
        </is>
      </c>
      <c r="F1527" s="6" t="inlineStr">
        <is>
          <t>-</t>
        </is>
      </c>
      <c r="G1527" s="7" t="n">
        <v>257.1511535644531</v>
      </c>
      <c r="H1527" s="6">
        <f>P1496</f>
        <v/>
      </c>
      <c r="I1527" s="9">
        <f>Q1496</f>
        <v/>
      </c>
      <c r="J1527" s="7">
        <f>I1527*G1527</f>
        <v/>
      </c>
      <c r="K1527" s="8">
        <f>IF($J$1551=0,0,J1527/$J$1551)</f>
        <v/>
      </c>
      <c r="L1527" s="6" t="inlineStr">
        <is>
          <t>REJECTED</t>
        </is>
      </c>
      <c r="M1527" s="8" t="n">
        <v>0</v>
      </c>
      <c r="N1527" s="7">
        <f>M1527*$J$1551-J1527</f>
        <v/>
      </c>
      <c r="O1527" s="9">
        <f>IF(G1527=0,0,N1527/G1527)</f>
        <v/>
      </c>
      <c r="P1527" s="6">
        <f>IF(M1527&gt;0,D1527,"")</f>
        <v/>
      </c>
      <c r="Q1527" s="9">
        <f>I1527+O1527</f>
        <v/>
      </c>
      <c r="R1527" s="7">
        <f>Q1527*G1527</f>
        <v/>
      </c>
      <c r="S1527" s="8">
        <f>IF($R$1551=0,0,R1527/$R$1551)</f>
        <v/>
      </c>
      <c r="T1527" s="8" t="n">
        <v>0</v>
      </c>
      <c r="U1527" s="8" t="n">
        <v>0.02848443168138326</v>
      </c>
      <c r="V1527" s="6" t="inlineStr">
        <is>
          <t>not selected</t>
        </is>
      </c>
    </row>
    <row r="1528">
      <c r="A1528" s="6" t="inlineStr">
        <is>
          <t>DJ30</t>
        </is>
      </c>
      <c r="B1528" s="6" t="inlineStr">
        <is>
          <t>2023-12-15</t>
        </is>
      </c>
      <c r="C1528" s="6" t="inlineStr">
        <is>
          <t>DIA</t>
        </is>
      </c>
      <c r="D1528" s="6" t="inlineStr">
        <is>
          <t>CSCO</t>
        </is>
      </c>
      <c r="E1528" s="6" t="inlineStr">
        <is>
          <t>CSCO</t>
        </is>
      </c>
      <c r="F1528" s="6" t="inlineStr">
        <is>
          <t>-</t>
        </is>
      </c>
      <c r="G1528" s="7" t="n">
        <v>46.58066558837891</v>
      </c>
      <c r="H1528" s="6">
        <f>P1497</f>
        <v/>
      </c>
      <c r="I1528" s="9">
        <f>Q1497</f>
        <v/>
      </c>
      <c r="J1528" s="7">
        <f>I1528*G1528</f>
        <v/>
      </c>
      <c r="K1528" s="8">
        <f>IF($J$1551=0,0,J1528/$J$1551)</f>
        <v/>
      </c>
      <c r="L1528" s="6" t="inlineStr">
        <is>
          <t>REJECTED</t>
        </is>
      </c>
      <c r="M1528" s="8" t="n">
        <v>0</v>
      </c>
      <c r="N1528" s="7">
        <f>M1528*$J$1551-J1528</f>
        <v/>
      </c>
      <c r="O1528" s="9">
        <f>IF(G1528=0,0,N1528/G1528)</f>
        <v/>
      </c>
      <c r="P1528" s="6">
        <f>IF(M1528&gt;0,D1528,"")</f>
        <v/>
      </c>
      <c r="Q1528" s="9">
        <f>I1528+O1528</f>
        <v/>
      </c>
      <c r="R1528" s="7">
        <f>Q1528*G1528</f>
        <v/>
      </c>
      <c r="S1528" s="8">
        <f>IF($R$1551=0,0,R1528/$R$1551)</f>
        <v/>
      </c>
      <c r="T1528" s="8" t="n">
        <v>0</v>
      </c>
      <c r="U1528" s="8" t="n">
        <v>0.02848443168138326</v>
      </c>
      <c r="V1528" s="6" t="inlineStr">
        <is>
          <t>not selected</t>
        </is>
      </c>
    </row>
    <row r="1529">
      <c r="A1529" s="6" t="inlineStr">
        <is>
          <t>DJ30</t>
        </is>
      </c>
      <c r="B1529" s="6" t="inlineStr">
        <is>
          <t>2023-12-15</t>
        </is>
      </c>
      <c r="C1529" s="6" t="inlineStr">
        <is>
          <t>DIA</t>
        </is>
      </c>
      <c r="D1529" s="6" t="inlineStr">
        <is>
          <t>CVX</t>
        </is>
      </c>
      <c r="E1529" s="6" t="inlineStr">
        <is>
          <t>CVX</t>
        </is>
      </c>
      <c r="F1529" s="6" t="inlineStr">
        <is>
          <t>-</t>
        </is>
      </c>
      <c r="G1529" s="7" t="n">
        <v>134.2826538085938</v>
      </c>
      <c r="H1529" s="6">
        <f>P1498</f>
        <v/>
      </c>
      <c r="I1529" s="9">
        <f>Q1498</f>
        <v/>
      </c>
      <c r="J1529" s="7">
        <f>I1529*G1529</f>
        <v/>
      </c>
      <c r="K1529" s="8">
        <f>IF($J$1551=0,0,J1529/$J$1551)</f>
        <v/>
      </c>
      <c r="L1529" s="6" t="inlineStr">
        <is>
          <t>REJECTED</t>
        </is>
      </c>
      <c r="M1529" s="8" t="n">
        <v>0</v>
      </c>
      <c r="N1529" s="7">
        <f>M1529*$J$1551-J1529</f>
        <v/>
      </c>
      <c r="O1529" s="9">
        <f>IF(G1529=0,0,N1529/G1529)</f>
        <v/>
      </c>
      <c r="P1529" s="6">
        <f>IF(M1529&gt;0,D1529,"")</f>
        <v/>
      </c>
      <c r="Q1529" s="9">
        <f>I1529+O1529</f>
        <v/>
      </c>
      <c r="R1529" s="7">
        <f>Q1529*G1529</f>
        <v/>
      </c>
      <c r="S1529" s="8">
        <f>IF($R$1551=0,0,R1529/$R$1551)</f>
        <v/>
      </c>
      <c r="T1529" s="8" t="n">
        <v>0</v>
      </c>
      <c r="U1529" s="8" t="n">
        <v>0.02848443168138326</v>
      </c>
      <c r="V1529" s="6" t="inlineStr">
        <is>
          <t>not selected</t>
        </is>
      </c>
    </row>
    <row r="1530">
      <c r="A1530" s="6" t="inlineStr">
        <is>
          <t>DJ30</t>
        </is>
      </c>
      <c r="B1530" s="6" t="inlineStr">
        <is>
          <t>2023-12-15</t>
        </is>
      </c>
      <c r="C1530" s="6" t="inlineStr">
        <is>
          <t>DIA</t>
        </is>
      </c>
      <c r="D1530" s="6" t="inlineStr">
        <is>
          <t>DIS</t>
        </is>
      </c>
      <c r="E1530" s="6" t="inlineStr">
        <is>
          <t>DIS</t>
        </is>
      </c>
      <c r="F1530" s="6" t="inlineStr">
        <is>
          <t>-</t>
        </is>
      </c>
      <c r="G1530" s="7" t="n">
        <v>91.6072998046875</v>
      </c>
      <c r="H1530" s="6">
        <f>P1499</f>
        <v/>
      </c>
      <c r="I1530" s="9">
        <f>Q1499</f>
        <v/>
      </c>
      <c r="J1530" s="7">
        <f>I1530*G1530</f>
        <v/>
      </c>
      <c r="K1530" s="8">
        <f>IF($J$1551=0,0,J1530/$J$1551)</f>
        <v/>
      </c>
      <c r="L1530" s="6" t="inlineStr">
        <is>
          <t>REJECTED</t>
        </is>
      </c>
      <c r="M1530" s="8" t="n">
        <v>0</v>
      </c>
      <c r="N1530" s="7">
        <f>M1530*$J$1551-J1530</f>
        <v/>
      </c>
      <c r="O1530" s="9">
        <f>IF(G1530=0,0,N1530/G1530)</f>
        <v/>
      </c>
      <c r="P1530" s="6">
        <f>IF(M1530&gt;0,D1530,"")</f>
        <v/>
      </c>
      <c r="Q1530" s="9">
        <f>I1530+O1530</f>
        <v/>
      </c>
      <c r="R1530" s="7">
        <f>Q1530*G1530</f>
        <v/>
      </c>
      <c r="S1530" s="8">
        <f>IF($R$1551=0,0,R1530/$R$1551)</f>
        <v/>
      </c>
      <c r="T1530" s="8" t="n">
        <v>0</v>
      </c>
      <c r="U1530" s="8" t="n">
        <v>0.02848443168138326</v>
      </c>
      <c r="V1530" s="6" t="inlineStr">
        <is>
          <t>not selected</t>
        </is>
      </c>
    </row>
    <row r="1531">
      <c r="A1531" s="6" t="inlineStr">
        <is>
          <t>DJ30</t>
        </is>
      </c>
      <c r="B1531" s="6" t="inlineStr">
        <is>
          <t>2023-12-15</t>
        </is>
      </c>
      <c r="C1531" s="6" t="inlineStr">
        <is>
          <t>DIA</t>
        </is>
      </c>
      <c r="D1531" s="6" t="inlineStr">
        <is>
          <t>GS</t>
        </is>
      </c>
      <c r="E1531" s="6" t="inlineStr">
        <is>
          <t>GS</t>
        </is>
      </c>
      <c r="F1531" s="6" t="inlineStr">
        <is>
          <t>-</t>
        </is>
      </c>
      <c r="G1531" s="7" t="n">
        <v>360.5851135253906</v>
      </c>
      <c r="H1531" s="6">
        <f>P1500</f>
        <v/>
      </c>
      <c r="I1531" s="9">
        <f>Q1500</f>
        <v/>
      </c>
      <c r="J1531" s="7">
        <f>I1531*G1531</f>
        <v/>
      </c>
      <c r="K1531" s="8">
        <f>IF($J$1551=0,0,J1531/$J$1551)</f>
        <v/>
      </c>
      <c r="L1531" s="6" t="inlineStr">
        <is>
          <t>REJECTED</t>
        </is>
      </c>
      <c r="M1531" s="8" t="n">
        <v>0</v>
      </c>
      <c r="N1531" s="7">
        <f>M1531*$J$1551-J1531</f>
        <v/>
      </c>
      <c r="O1531" s="9">
        <f>IF(G1531=0,0,N1531/G1531)</f>
        <v/>
      </c>
      <c r="P1531" s="6">
        <f>IF(M1531&gt;0,D1531,"")</f>
        <v/>
      </c>
      <c r="Q1531" s="9">
        <f>I1531+O1531</f>
        <v/>
      </c>
      <c r="R1531" s="7">
        <f>Q1531*G1531</f>
        <v/>
      </c>
      <c r="S1531" s="8">
        <f>IF($R$1551=0,0,R1531/$R$1551)</f>
        <v/>
      </c>
      <c r="T1531" s="8" t="n">
        <v>0</v>
      </c>
      <c r="U1531" s="8" t="n">
        <v>0.02848443168138326</v>
      </c>
      <c r="V1531" s="6" t="inlineStr">
        <is>
          <t>not selected</t>
        </is>
      </c>
    </row>
    <row r="1532">
      <c r="A1532" s="6" t="inlineStr">
        <is>
          <t>DJ30</t>
        </is>
      </c>
      <c r="B1532" s="6" t="inlineStr">
        <is>
          <t>2023-12-15</t>
        </is>
      </c>
      <c r="C1532" s="6" t="inlineStr">
        <is>
          <t>DIA</t>
        </is>
      </c>
      <c r="D1532" s="6" t="inlineStr">
        <is>
          <t>HD</t>
        </is>
      </c>
      <c r="E1532" s="6" t="inlineStr">
        <is>
          <t>HD</t>
        </is>
      </c>
      <c r="F1532" s="6" t="inlineStr">
        <is>
          <t>-</t>
        </is>
      </c>
      <c r="G1532" s="7" t="n">
        <v>332.3993225097656</v>
      </c>
      <c r="H1532" s="6">
        <f>P1501</f>
        <v/>
      </c>
      <c r="I1532" s="9">
        <f>Q1501</f>
        <v/>
      </c>
      <c r="J1532" s="7">
        <f>I1532*G1532</f>
        <v/>
      </c>
      <c r="K1532" s="8">
        <f>IF($J$1551=0,0,J1532/$J$1551)</f>
        <v/>
      </c>
      <c r="L1532" s="6" t="inlineStr">
        <is>
          <t>REJECTED</t>
        </is>
      </c>
      <c r="M1532" s="8" t="n">
        <v>0</v>
      </c>
      <c r="N1532" s="7">
        <f>M1532*$J$1551-J1532</f>
        <v/>
      </c>
      <c r="O1532" s="9">
        <f>IF(G1532=0,0,N1532/G1532)</f>
        <v/>
      </c>
      <c r="P1532" s="6">
        <f>IF(M1532&gt;0,D1532,"")</f>
        <v/>
      </c>
      <c r="Q1532" s="9">
        <f>I1532+O1532</f>
        <v/>
      </c>
      <c r="R1532" s="7">
        <f>Q1532*G1532</f>
        <v/>
      </c>
      <c r="S1532" s="8">
        <f>IF($R$1551=0,0,R1532/$R$1551)</f>
        <v/>
      </c>
      <c r="T1532" s="8" t="n">
        <v>0</v>
      </c>
      <c r="U1532" s="8" t="n">
        <v>0.02848443168138326</v>
      </c>
      <c r="V1532" s="6" t="inlineStr">
        <is>
          <t>not selected</t>
        </is>
      </c>
    </row>
    <row r="1533">
      <c r="A1533" s="6" t="inlineStr">
        <is>
          <t>DJ30</t>
        </is>
      </c>
      <c r="B1533" s="6" t="inlineStr">
        <is>
          <t>2023-12-15</t>
        </is>
      </c>
      <c r="C1533" s="6" t="inlineStr">
        <is>
          <t>DIA</t>
        </is>
      </c>
      <c r="D1533" s="6" t="inlineStr">
        <is>
          <t>HON</t>
        </is>
      </c>
      <c r="E1533" s="6" t="inlineStr">
        <is>
          <t>HON</t>
        </is>
      </c>
      <c r="F1533" s="6" t="inlineStr">
        <is>
          <t>-</t>
        </is>
      </c>
      <c r="G1533" s="7" t="n">
        <v>181.7808532714844</v>
      </c>
      <c r="H1533" s="6">
        <f>P1502</f>
        <v/>
      </c>
      <c r="I1533" s="9">
        <f>Q1502</f>
        <v/>
      </c>
      <c r="J1533" s="7">
        <f>I1533*G1533</f>
        <v/>
      </c>
      <c r="K1533" s="8">
        <f>IF($J$1551=0,0,J1533/$J$1551)</f>
        <v/>
      </c>
      <c r="L1533" s="6" t="inlineStr">
        <is>
          <t>REJECTED</t>
        </is>
      </c>
      <c r="M1533" s="8" t="n">
        <v>0</v>
      </c>
      <c r="N1533" s="7">
        <f>M1533*$J$1551-J1533</f>
        <v/>
      </c>
      <c r="O1533" s="9">
        <f>IF(G1533=0,0,N1533/G1533)</f>
        <v/>
      </c>
      <c r="P1533" s="6">
        <f>IF(M1533&gt;0,D1533,"")</f>
        <v/>
      </c>
      <c r="Q1533" s="9">
        <f>I1533+O1533</f>
        <v/>
      </c>
      <c r="R1533" s="7">
        <f>Q1533*G1533</f>
        <v/>
      </c>
      <c r="S1533" s="8">
        <f>IF($R$1551=0,0,R1533/$R$1551)</f>
        <v/>
      </c>
      <c r="T1533" s="8" t="n">
        <v>0</v>
      </c>
      <c r="U1533" s="8" t="n">
        <v>0.02848443168138326</v>
      </c>
      <c r="V1533" s="6" t="inlineStr">
        <is>
          <t>not selected</t>
        </is>
      </c>
    </row>
    <row r="1534">
      <c r="A1534" s="6" t="inlineStr">
        <is>
          <t>DJ30</t>
        </is>
      </c>
      <c r="B1534" s="6" t="inlineStr">
        <is>
          <t>2023-12-15</t>
        </is>
      </c>
      <c r="C1534" s="6" t="inlineStr">
        <is>
          <t>DIA</t>
        </is>
      </c>
      <c r="D1534" s="6" t="inlineStr">
        <is>
          <t>IBM</t>
        </is>
      </c>
      <c r="E1534" s="6" t="inlineStr">
        <is>
          <t>IBM</t>
        </is>
      </c>
      <c r="F1534" s="6" t="inlineStr">
        <is>
          <t>-</t>
        </is>
      </c>
      <c r="G1534" s="7" t="n">
        <v>150.6524353027344</v>
      </c>
      <c r="H1534" s="6">
        <f>P1503</f>
        <v/>
      </c>
      <c r="I1534" s="9">
        <f>Q1503</f>
        <v/>
      </c>
      <c r="J1534" s="7">
        <f>I1534*G1534</f>
        <v/>
      </c>
      <c r="K1534" s="8">
        <f>IF($J$1551=0,0,J1534/$J$1551)</f>
        <v/>
      </c>
      <c r="L1534" s="6" t="inlineStr">
        <is>
          <t>REJECTED</t>
        </is>
      </c>
      <c r="M1534" s="8" t="n">
        <v>0</v>
      </c>
      <c r="N1534" s="7">
        <f>M1534*$J$1551-J1534</f>
        <v/>
      </c>
      <c r="O1534" s="9">
        <f>IF(G1534=0,0,N1534/G1534)</f>
        <v/>
      </c>
      <c r="P1534" s="6">
        <f>IF(M1534&gt;0,D1534,"")</f>
        <v/>
      </c>
      <c r="Q1534" s="9">
        <f>I1534+O1534</f>
        <v/>
      </c>
      <c r="R1534" s="7">
        <f>Q1534*G1534</f>
        <v/>
      </c>
      <c r="S1534" s="8">
        <f>IF($R$1551=0,0,R1534/$R$1551)</f>
        <v/>
      </c>
      <c r="T1534" s="8" t="n">
        <v>0</v>
      </c>
      <c r="U1534" s="8" t="n">
        <v>0.02848443168138326</v>
      </c>
      <c r="V1534" s="6" t="inlineStr">
        <is>
          <t>not selected</t>
        </is>
      </c>
    </row>
    <row r="1535">
      <c r="A1535" s="6" t="inlineStr">
        <is>
          <t>DJ30</t>
        </is>
      </c>
      <c r="B1535" s="6" t="inlineStr">
        <is>
          <t>2023-12-15</t>
        </is>
      </c>
      <c r="C1535" s="6" t="inlineStr">
        <is>
          <t>DIA</t>
        </is>
      </c>
      <c r="D1535" s="6" t="inlineStr">
        <is>
          <t>JNJ</t>
        </is>
      </c>
      <c r="E1535" s="6" t="inlineStr">
        <is>
          <t>JNJ</t>
        </is>
      </c>
      <c r="F1535" s="6" t="inlineStr">
        <is>
          <t>-</t>
        </is>
      </c>
      <c r="G1535" s="7" t="n">
        <v>144.3297271728516</v>
      </c>
      <c r="H1535" s="6">
        <f>P1504</f>
        <v/>
      </c>
      <c r="I1535" s="9">
        <f>Q1504</f>
        <v/>
      </c>
      <c r="J1535" s="7">
        <f>I1535*G1535</f>
        <v/>
      </c>
      <c r="K1535" s="8">
        <f>IF($J$1551=0,0,J1535/$J$1551)</f>
        <v/>
      </c>
      <c r="L1535" s="6" t="inlineStr">
        <is>
          <t>REJECTED</t>
        </is>
      </c>
      <c r="M1535" s="8" t="n">
        <v>0</v>
      </c>
      <c r="N1535" s="7">
        <f>M1535*$J$1551-J1535</f>
        <v/>
      </c>
      <c r="O1535" s="9">
        <f>IF(G1535=0,0,N1535/G1535)</f>
        <v/>
      </c>
      <c r="P1535" s="6">
        <f>IF(M1535&gt;0,D1535,"")</f>
        <v/>
      </c>
      <c r="Q1535" s="9">
        <f>I1535+O1535</f>
        <v/>
      </c>
      <c r="R1535" s="7">
        <f>Q1535*G1535</f>
        <v/>
      </c>
      <c r="S1535" s="8">
        <f>IF($R$1551=0,0,R1535/$R$1551)</f>
        <v/>
      </c>
      <c r="T1535" s="8" t="n">
        <v>0</v>
      </c>
      <c r="U1535" s="8" t="n">
        <v>0.02848443168138326</v>
      </c>
      <c r="V1535" s="6" t="inlineStr">
        <is>
          <t>not selected</t>
        </is>
      </c>
    </row>
    <row r="1536">
      <c r="A1536" s="6" t="inlineStr">
        <is>
          <t>DJ30</t>
        </is>
      </c>
      <c r="B1536" s="6" t="inlineStr">
        <is>
          <t>2023-12-15</t>
        </is>
      </c>
      <c r="C1536" s="6" t="inlineStr">
        <is>
          <t>DIA</t>
        </is>
      </c>
      <c r="D1536" s="6" t="inlineStr">
        <is>
          <t>JPM</t>
        </is>
      </c>
      <c r="E1536" s="6" t="inlineStr">
        <is>
          <t>JPM</t>
        </is>
      </c>
      <c r="F1536" s="6" t="inlineStr">
        <is>
          <t>-</t>
        </is>
      </c>
      <c r="G1536" s="7" t="n">
        <v>156.5204162597656</v>
      </c>
      <c r="H1536" s="6">
        <f>P1505</f>
        <v/>
      </c>
      <c r="I1536" s="9">
        <f>Q1505</f>
        <v/>
      </c>
      <c r="J1536" s="7">
        <f>I1536*G1536</f>
        <v/>
      </c>
      <c r="K1536" s="8">
        <f>IF($J$1551=0,0,J1536/$J$1551)</f>
        <v/>
      </c>
      <c r="L1536" s="6" t="inlineStr">
        <is>
          <t>REJECTED</t>
        </is>
      </c>
      <c r="M1536" s="8" t="n">
        <v>0</v>
      </c>
      <c r="N1536" s="7">
        <f>M1536*$J$1551-J1536</f>
        <v/>
      </c>
      <c r="O1536" s="9">
        <f>IF(G1536=0,0,N1536/G1536)</f>
        <v/>
      </c>
      <c r="P1536" s="6">
        <f>IF(M1536&gt;0,D1536,"")</f>
        <v/>
      </c>
      <c r="Q1536" s="9">
        <f>I1536+O1536</f>
        <v/>
      </c>
      <c r="R1536" s="7">
        <f>Q1536*G1536</f>
        <v/>
      </c>
      <c r="S1536" s="8">
        <f>IF($R$1551=0,0,R1536/$R$1551)</f>
        <v/>
      </c>
      <c r="T1536" s="8" t="n">
        <v>0</v>
      </c>
      <c r="U1536" s="8" t="n">
        <v>0.02848443168138326</v>
      </c>
      <c r="V1536" s="6" t="inlineStr">
        <is>
          <t>not selected</t>
        </is>
      </c>
    </row>
    <row r="1537">
      <c r="A1537" s="6" t="inlineStr">
        <is>
          <t>DJ30</t>
        </is>
      </c>
      <c r="B1537" s="6" t="inlineStr">
        <is>
          <t>2023-12-15</t>
        </is>
      </c>
      <c r="C1537" s="6" t="inlineStr">
        <is>
          <t>DIA</t>
        </is>
      </c>
      <c r="D1537" s="6" t="inlineStr">
        <is>
          <t>KO</t>
        </is>
      </c>
      <c r="E1537" s="6" t="inlineStr">
        <is>
          <t>KO</t>
        </is>
      </c>
      <c r="F1537" s="6" t="inlineStr">
        <is>
          <t>-</t>
        </is>
      </c>
      <c r="G1537" s="7" t="n">
        <v>54.50463104248047</v>
      </c>
      <c r="H1537" s="6">
        <f>P1506</f>
        <v/>
      </c>
      <c r="I1537" s="9">
        <f>Q1506</f>
        <v/>
      </c>
      <c r="J1537" s="7">
        <f>I1537*G1537</f>
        <v/>
      </c>
      <c r="K1537" s="8">
        <f>IF($J$1551=0,0,J1537/$J$1551)</f>
        <v/>
      </c>
      <c r="L1537" s="6" t="inlineStr">
        <is>
          <t>REJECTED</t>
        </is>
      </c>
      <c r="M1537" s="8" t="n">
        <v>0</v>
      </c>
      <c r="N1537" s="7">
        <f>M1537*$J$1551-J1537</f>
        <v/>
      </c>
      <c r="O1537" s="9">
        <f>IF(G1537=0,0,N1537/G1537)</f>
        <v/>
      </c>
      <c r="P1537" s="6">
        <f>IF(M1537&gt;0,D1537,"")</f>
        <v/>
      </c>
      <c r="Q1537" s="9">
        <f>I1537+O1537</f>
        <v/>
      </c>
      <c r="R1537" s="7">
        <f>Q1537*G1537</f>
        <v/>
      </c>
      <c r="S1537" s="8">
        <f>IF($R$1551=0,0,R1537/$R$1551)</f>
        <v/>
      </c>
      <c r="T1537" s="8" t="n">
        <v>0</v>
      </c>
      <c r="U1537" s="8" t="n">
        <v>0.02848443168138326</v>
      </c>
      <c r="V1537" s="6" t="inlineStr">
        <is>
          <t>not selected</t>
        </is>
      </c>
    </row>
    <row r="1538">
      <c r="A1538" s="6" t="inlineStr">
        <is>
          <t>DJ30</t>
        </is>
      </c>
      <c r="B1538" s="6" t="inlineStr">
        <is>
          <t>2023-12-15</t>
        </is>
      </c>
      <c r="C1538" s="6" t="inlineStr">
        <is>
          <t>DIA</t>
        </is>
      </c>
      <c r="D1538" s="6" t="inlineStr">
        <is>
          <t>MCD</t>
        </is>
      </c>
      <c r="E1538" s="6" t="inlineStr">
        <is>
          <t>MCD</t>
        </is>
      </c>
      <c r="F1538" s="6" t="inlineStr">
        <is>
          <t>-</t>
        </is>
      </c>
      <c r="G1538" s="7" t="n">
        <v>270.7216796875</v>
      </c>
      <c r="H1538" s="6">
        <f>P1507</f>
        <v/>
      </c>
      <c r="I1538" s="9">
        <f>Q1507</f>
        <v/>
      </c>
      <c r="J1538" s="7">
        <f>I1538*G1538</f>
        <v/>
      </c>
      <c r="K1538" s="8">
        <f>IF($J$1551=0,0,J1538/$J$1551)</f>
        <v/>
      </c>
      <c r="L1538" s="6" t="inlineStr">
        <is>
          <t>REJECTED</t>
        </is>
      </c>
      <c r="M1538" s="8" t="n">
        <v>0</v>
      </c>
      <c r="N1538" s="7">
        <f>M1538*$J$1551-J1538</f>
        <v/>
      </c>
      <c r="O1538" s="9">
        <f>IF(G1538=0,0,N1538/G1538)</f>
        <v/>
      </c>
      <c r="P1538" s="6">
        <f>IF(M1538&gt;0,D1538,"")</f>
        <v/>
      </c>
      <c r="Q1538" s="9">
        <f>I1538+O1538</f>
        <v/>
      </c>
      <c r="R1538" s="7">
        <f>Q1538*G1538</f>
        <v/>
      </c>
      <c r="S1538" s="8">
        <f>IF($R$1551=0,0,R1538/$R$1551)</f>
        <v/>
      </c>
      <c r="T1538" s="8" t="n">
        <v>0</v>
      </c>
      <c r="U1538" s="8" t="n">
        <v>0.02848443168138326</v>
      </c>
      <c r="V1538" s="6" t="inlineStr">
        <is>
          <t>not selected</t>
        </is>
      </c>
    </row>
    <row r="1539">
      <c r="A1539" s="6" t="inlineStr">
        <is>
          <t>DJ30</t>
        </is>
      </c>
      <c r="B1539" s="6" t="inlineStr">
        <is>
          <t>2023-12-15</t>
        </is>
      </c>
      <c r="C1539" s="6" t="inlineStr">
        <is>
          <t>DIA</t>
        </is>
      </c>
      <c r="D1539" s="6" t="inlineStr">
        <is>
          <t>MMM</t>
        </is>
      </c>
      <c r="E1539" s="6" t="inlineStr">
        <is>
          <t>MMM</t>
        </is>
      </c>
      <c r="F1539" s="6" t="inlineStr">
        <is>
          <t>-</t>
        </is>
      </c>
      <c r="G1539" s="7" t="n">
        <v>84.03594970703125</v>
      </c>
      <c r="H1539" s="6">
        <f>P1508</f>
        <v/>
      </c>
      <c r="I1539" s="9">
        <f>Q1508</f>
        <v/>
      </c>
      <c r="J1539" s="7">
        <f>I1539*G1539</f>
        <v/>
      </c>
      <c r="K1539" s="8">
        <f>IF($J$1551=0,0,J1539/$J$1551)</f>
        <v/>
      </c>
      <c r="L1539" s="6" t="inlineStr">
        <is>
          <t>REJECTED</t>
        </is>
      </c>
      <c r="M1539" s="8" t="n">
        <v>0</v>
      </c>
      <c r="N1539" s="7">
        <f>M1539*$J$1551-J1539</f>
        <v/>
      </c>
      <c r="O1539" s="9">
        <f>IF(G1539=0,0,N1539/G1539)</f>
        <v/>
      </c>
      <c r="P1539" s="6">
        <f>IF(M1539&gt;0,D1539,"")</f>
        <v/>
      </c>
      <c r="Q1539" s="9">
        <f>I1539+O1539</f>
        <v/>
      </c>
      <c r="R1539" s="7">
        <f>Q1539*G1539</f>
        <v/>
      </c>
      <c r="S1539" s="8">
        <f>IF($R$1551=0,0,R1539/$R$1551)</f>
        <v/>
      </c>
      <c r="T1539" s="8" t="n">
        <v>0</v>
      </c>
      <c r="U1539" s="8" t="n">
        <v>0.02848443168138326</v>
      </c>
      <c r="V1539" s="6" t="inlineStr">
        <is>
          <t>not selected</t>
        </is>
      </c>
    </row>
    <row r="1540">
      <c r="A1540" s="6" t="inlineStr">
        <is>
          <t>DJ30</t>
        </is>
      </c>
      <c r="B1540" s="6" t="inlineStr">
        <is>
          <t>2023-12-15</t>
        </is>
      </c>
      <c r="C1540" s="6" t="inlineStr">
        <is>
          <t>DIA</t>
        </is>
      </c>
      <c r="D1540" s="6" t="inlineStr">
        <is>
          <t>MRK</t>
        </is>
      </c>
      <c r="E1540" s="6" t="inlineStr">
        <is>
          <t>MRK</t>
        </is>
      </c>
      <c r="F1540" s="6" t="inlineStr">
        <is>
          <t>-</t>
        </is>
      </c>
      <c r="G1540" s="7" t="n">
        <v>97.18621063232422</v>
      </c>
      <c r="H1540" s="6">
        <f>P1509</f>
        <v/>
      </c>
      <c r="I1540" s="9">
        <f>Q1509</f>
        <v/>
      </c>
      <c r="J1540" s="7">
        <f>I1540*G1540</f>
        <v/>
      </c>
      <c r="K1540" s="8">
        <f>IF($J$1551=0,0,J1540/$J$1551)</f>
        <v/>
      </c>
      <c r="L1540" s="6" t="inlineStr">
        <is>
          <t>REJECTED</t>
        </is>
      </c>
      <c r="M1540" s="8" t="n">
        <v>0</v>
      </c>
      <c r="N1540" s="7">
        <f>M1540*$J$1551-J1540</f>
        <v/>
      </c>
      <c r="O1540" s="9">
        <f>IF(G1540=0,0,N1540/G1540)</f>
        <v/>
      </c>
      <c r="P1540" s="6">
        <f>IF(M1540&gt;0,D1540,"")</f>
        <v/>
      </c>
      <c r="Q1540" s="9">
        <f>I1540+O1540</f>
        <v/>
      </c>
      <c r="R1540" s="7">
        <f>Q1540*G1540</f>
        <v/>
      </c>
      <c r="S1540" s="8">
        <f>IF($R$1551=0,0,R1540/$R$1551)</f>
        <v/>
      </c>
      <c r="T1540" s="8" t="n">
        <v>0</v>
      </c>
      <c r="U1540" s="8" t="n">
        <v>0.02848443168138326</v>
      </c>
      <c r="V1540" s="6" t="inlineStr">
        <is>
          <t>not selected</t>
        </is>
      </c>
    </row>
    <row r="1541">
      <c r="A1541" s="6" t="inlineStr">
        <is>
          <t>DJ30</t>
        </is>
      </c>
      <c r="B1541" s="6" t="inlineStr">
        <is>
          <t>2023-12-15</t>
        </is>
      </c>
      <c r="C1541" s="6" t="inlineStr">
        <is>
          <t>DIA</t>
        </is>
      </c>
      <c r="D1541" s="6" t="inlineStr">
        <is>
          <t>MSFT</t>
        </is>
      </c>
      <c r="E1541" s="6" t="inlineStr">
        <is>
          <t>MSFT</t>
        </is>
      </c>
      <c r="F1541" s="6" t="inlineStr">
        <is>
          <t>-</t>
        </is>
      </c>
      <c r="G1541" s="7" t="n">
        <v>363.6641235351562</v>
      </c>
      <c r="H1541" s="6">
        <f>P1510</f>
        <v/>
      </c>
      <c r="I1541" s="9">
        <f>Q1510</f>
        <v/>
      </c>
      <c r="J1541" s="7">
        <f>I1541*G1541</f>
        <v/>
      </c>
      <c r="K1541" s="8">
        <f>IF($J$1551=0,0,J1541/$J$1551)</f>
        <v/>
      </c>
      <c r="L1541" s="6" t="inlineStr">
        <is>
          <t>REJECTED</t>
        </is>
      </c>
      <c r="M1541" s="8" t="n">
        <v>0</v>
      </c>
      <c r="N1541" s="7">
        <f>M1541*$J$1551-J1541</f>
        <v/>
      </c>
      <c r="O1541" s="9">
        <f>IF(G1541=0,0,N1541/G1541)</f>
        <v/>
      </c>
      <c r="P1541" s="6">
        <f>IF(M1541&gt;0,D1541,"")</f>
        <v/>
      </c>
      <c r="Q1541" s="9">
        <f>I1541+O1541</f>
        <v/>
      </c>
      <c r="R1541" s="7">
        <f>Q1541*G1541</f>
        <v/>
      </c>
      <c r="S1541" s="8">
        <f>IF($R$1551=0,0,R1541/$R$1551)</f>
        <v/>
      </c>
      <c r="T1541" s="8" t="n">
        <v>0</v>
      </c>
      <c r="U1541" s="8" t="n">
        <v>0.02848443168138326</v>
      </c>
      <c r="V1541" s="6" t="inlineStr">
        <is>
          <t>not selected</t>
        </is>
      </c>
    </row>
    <row r="1542">
      <c r="A1542" s="6" t="inlineStr">
        <is>
          <t>DJ30</t>
        </is>
      </c>
      <c r="B1542" s="6" t="inlineStr">
        <is>
          <t>2023-12-15</t>
        </is>
      </c>
      <c r="C1542" s="6" t="inlineStr">
        <is>
          <t>DIA</t>
        </is>
      </c>
      <c r="D1542" s="6" t="inlineStr">
        <is>
          <t>NKE</t>
        </is>
      </c>
      <c r="E1542" s="6" t="inlineStr">
        <is>
          <t>NKE</t>
        </is>
      </c>
      <c r="F1542" s="6" t="inlineStr">
        <is>
          <t>-</t>
        </is>
      </c>
      <c r="G1542" s="7" t="n">
        <v>114.9588165283203</v>
      </c>
      <c r="H1542" s="6">
        <f>P1511</f>
        <v/>
      </c>
      <c r="I1542" s="9">
        <f>Q1511</f>
        <v/>
      </c>
      <c r="J1542" s="7">
        <f>I1542*G1542</f>
        <v/>
      </c>
      <c r="K1542" s="8">
        <f>IF($J$1551=0,0,J1542/$J$1551)</f>
        <v/>
      </c>
      <c r="L1542" s="6" t="inlineStr">
        <is>
          <t>REJECTED</t>
        </is>
      </c>
      <c r="M1542" s="8" t="n">
        <v>0</v>
      </c>
      <c r="N1542" s="7">
        <f>M1542*$J$1551-J1542</f>
        <v/>
      </c>
      <c r="O1542" s="9">
        <f>IF(G1542=0,0,N1542/G1542)</f>
        <v/>
      </c>
      <c r="P1542" s="6">
        <f>IF(M1542&gt;0,D1542,"")</f>
        <v/>
      </c>
      <c r="Q1542" s="9">
        <f>I1542+O1542</f>
        <v/>
      </c>
      <c r="R1542" s="7">
        <f>Q1542*G1542</f>
        <v/>
      </c>
      <c r="S1542" s="8">
        <f>IF($R$1551=0,0,R1542/$R$1551)</f>
        <v/>
      </c>
      <c r="T1542" s="8" t="n">
        <v>0</v>
      </c>
      <c r="U1542" s="8" t="n">
        <v>0.02848443168138326</v>
      </c>
      <c r="V1542" s="6" t="inlineStr">
        <is>
          <t>not selected</t>
        </is>
      </c>
    </row>
    <row r="1543">
      <c r="A1543" s="6" t="inlineStr">
        <is>
          <t>DJ30</t>
        </is>
      </c>
      <c r="B1543" s="6" t="inlineStr">
        <is>
          <t>2023-12-15</t>
        </is>
      </c>
      <c r="C1543" s="6" t="inlineStr">
        <is>
          <t>DIA</t>
        </is>
      </c>
      <c r="D1543" s="6" t="inlineStr">
        <is>
          <t>NVDA</t>
        </is>
      </c>
      <c r="E1543" s="6" t="inlineStr">
        <is>
          <t>NVDA</t>
        </is>
      </c>
      <c r="F1543" s="6" t="inlineStr">
        <is>
          <t>-</t>
        </is>
      </c>
      <c r="G1543" s="7" t="n">
        <v>48.80324935913086</v>
      </c>
      <c r="H1543" s="6">
        <f>P1512</f>
        <v/>
      </c>
      <c r="I1543" s="9">
        <f>Q1512</f>
        <v/>
      </c>
      <c r="J1543" s="7">
        <f>I1543*G1543</f>
        <v/>
      </c>
      <c r="K1543" s="8">
        <f>IF($J$1551=0,0,J1543/$J$1551)</f>
        <v/>
      </c>
      <c r="L1543" s="6" t="inlineStr">
        <is>
          <t>REJECTED</t>
        </is>
      </c>
      <c r="M1543" s="8" t="n">
        <v>0</v>
      </c>
      <c r="N1543" s="7">
        <f>M1543*$J$1551-J1543</f>
        <v/>
      </c>
      <c r="O1543" s="9">
        <f>IF(G1543=0,0,N1543/G1543)</f>
        <v/>
      </c>
      <c r="P1543" s="6">
        <f>IF(M1543&gt;0,D1543,"")</f>
        <v/>
      </c>
      <c r="Q1543" s="9">
        <f>I1543+O1543</f>
        <v/>
      </c>
      <c r="R1543" s="7">
        <f>Q1543*G1543</f>
        <v/>
      </c>
      <c r="S1543" s="8">
        <f>IF($R$1551=0,0,R1543/$R$1551)</f>
        <v/>
      </c>
      <c r="T1543" s="8" t="n">
        <v>0</v>
      </c>
      <c r="U1543" s="8" t="n">
        <v>0.02848443168138326</v>
      </c>
      <c r="V1543" s="6" t="inlineStr">
        <is>
          <t>not selected</t>
        </is>
      </c>
    </row>
    <row r="1544">
      <c r="A1544" s="6" t="inlineStr">
        <is>
          <t>DJ30</t>
        </is>
      </c>
      <c r="B1544" s="6" t="inlineStr">
        <is>
          <t>2023-12-15</t>
        </is>
      </c>
      <c r="C1544" s="6" t="inlineStr">
        <is>
          <t>DIA</t>
        </is>
      </c>
      <c r="D1544" s="6" t="inlineStr">
        <is>
          <t>PG</t>
        </is>
      </c>
      <c r="E1544" s="6" t="inlineStr">
        <is>
          <t>PG</t>
        </is>
      </c>
      <c r="F1544" s="6" t="inlineStr">
        <is>
          <t>-</t>
        </is>
      </c>
      <c r="G1544" s="7" t="n">
        <v>134.8672790527344</v>
      </c>
      <c r="H1544" s="6">
        <f>P1513</f>
        <v/>
      </c>
      <c r="I1544" s="9">
        <f>Q1513</f>
        <v/>
      </c>
      <c r="J1544" s="7">
        <f>I1544*G1544</f>
        <v/>
      </c>
      <c r="K1544" s="8">
        <f>IF($J$1551=0,0,J1544/$J$1551)</f>
        <v/>
      </c>
      <c r="L1544" s="6" t="inlineStr">
        <is>
          <t>REJECTED</t>
        </is>
      </c>
      <c r="M1544" s="8" t="n">
        <v>0</v>
      </c>
      <c r="N1544" s="7">
        <f>M1544*$J$1551-J1544</f>
        <v/>
      </c>
      <c r="O1544" s="9">
        <f>IF(G1544=0,0,N1544/G1544)</f>
        <v/>
      </c>
      <c r="P1544" s="6">
        <f>IF(M1544&gt;0,D1544,"")</f>
        <v/>
      </c>
      <c r="Q1544" s="9">
        <f>I1544+O1544</f>
        <v/>
      </c>
      <c r="R1544" s="7">
        <f>Q1544*G1544</f>
        <v/>
      </c>
      <c r="S1544" s="8">
        <f>IF($R$1551=0,0,R1544/$R$1551)</f>
        <v/>
      </c>
      <c r="T1544" s="8" t="n">
        <v>0</v>
      </c>
      <c r="U1544" s="8" t="n">
        <v>0.02848443168138326</v>
      </c>
      <c r="V1544" s="6" t="inlineStr">
        <is>
          <t>not selected</t>
        </is>
      </c>
    </row>
    <row r="1545">
      <c r="A1545" s="6" t="inlineStr">
        <is>
          <t>DJ30</t>
        </is>
      </c>
      <c r="B1545" s="6" t="inlineStr">
        <is>
          <t>2023-12-15</t>
        </is>
      </c>
      <c r="C1545" s="6" t="inlineStr">
        <is>
          <t>DIA</t>
        </is>
      </c>
      <c r="D1545" s="6" t="inlineStr">
        <is>
          <t>SHW</t>
        </is>
      </c>
      <c r="E1545" s="6" t="inlineStr">
        <is>
          <t>SHW</t>
        </is>
      </c>
      <c r="F1545" s="6" t="inlineStr">
        <is>
          <t>-</t>
        </is>
      </c>
      <c r="G1545" s="7" t="n">
        <v>303.0257873535156</v>
      </c>
      <c r="H1545" s="6">
        <f>P1514</f>
        <v/>
      </c>
      <c r="I1545" s="9">
        <f>Q1514</f>
        <v/>
      </c>
      <c r="J1545" s="7">
        <f>I1545*G1545</f>
        <v/>
      </c>
      <c r="K1545" s="8">
        <f>IF($J$1551=0,0,J1545/$J$1551)</f>
        <v/>
      </c>
      <c r="L1545" s="6" t="inlineStr">
        <is>
          <t>REJECTED</t>
        </is>
      </c>
      <c r="M1545" s="8" t="n">
        <v>0</v>
      </c>
      <c r="N1545" s="7">
        <f>M1545*$J$1551-J1545</f>
        <v/>
      </c>
      <c r="O1545" s="9">
        <f>IF(G1545=0,0,N1545/G1545)</f>
        <v/>
      </c>
      <c r="P1545" s="6">
        <f>IF(M1545&gt;0,D1545,"")</f>
        <v/>
      </c>
      <c r="Q1545" s="9">
        <f>I1545+O1545</f>
        <v/>
      </c>
      <c r="R1545" s="7">
        <f>Q1545*G1545</f>
        <v/>
      </c>
      <c r="S1545" s="8">
        <f>IF($R$1551=0,0,R1545/$R$1551)</f>
        <v/>
      </c>
      <c r="T1545" s="8" t="n">
        <v>0</v>
      </c>
      <c r="U1545" s="8" t="n">
        <v>0.02848443168138326</v>
      </c>
      <c r="V1545" s="6" t="inlineStr">
        <is>
          <t>not selected</t>
        </is>
      </c>
    </row>
    <row r="1546">
      <c r="A1546" s="6" t="inlineStr">
        <is>
          <t>DJ30</t>
        </is>
      </c>
      <c r="B1546" s="6" t="inlineStr">
        <is>
          <t>2023-12-15</t>
        </is>
      </c>
      <c r="C1546" s="6" t="inlineStr">
        <is>
          <t>DIA</t>
        </is>
      </c>
      <c r="D1546" s="6" t="inlineStr">
        <is>
          <t>TRV</t>
        </is>
      </c>
      <c r="E1546" s="6" t="inlineStr">
        <is>
          <t>TRV</t>
        </is>
      </c>
      <c r="F1546" s="6" t="inlineStr">
        <is>
          <t>-</t>
        </is>
      </c>
      <c r="G1546" s="7" t="n">
        <v>175.2891540527344</v>
      </c>
      <c r="H1546" s="6">
        <f>P1515</f>
        <v/>
      </c>
      <c r="I1546" s="9">
        <f>Q1515</f>
        <v/>
      </c>
      <c r="J1546" s="7">
        <f>I1546*G1546</f>
        <v/>
      </c>
      <c r="K1546" s="8">
        <f>IF($J$1551=0,0,J1546/$J$1551)</f>
        <v/>
      </c>
      <c r="L1546" s="6" t="inlineStr">
        <is>
          <t>REJECTED</t>
        </is>
      </c>
      <c r="M1546" s="8" t="n">
        <v>0</v>
      </c>
      <c r="N1546" s="7">
        <f>M1546*$J$1551-J1546</f>
        <v/>
      </c>
      <c r="O1546" s="9">
        <f>IF(G1546=0,0,N1546/G1546)</f>
        <v/>
      </c>
      <c r="P1546" s="6">
        <f>IF(M1546&gt;0,D1546,"")</f>
        <v/>
      </c>
      <c r="Q1546" s="9">
        <f>I1546+O1546</f>
        <v/>
      </c>
      <c r="R1546" s="7">
        <f>Q1546*G1546</f>
        <v/>
      </c>
      <c r="S1546" s="8">
        <f>IF($R$1551=0,0,R1546/$R$1551)</f>
        <v/>
      </c>
      <c r="T1546" s="8" t="n">
        <v>0</v>
      </c>
      <c r="U1546" s="8" t="n">
        <v>0.02848443168138326</v>
      </c>
      <c r="V1546" s="6" t="inlineStr">
        <is>
          <t>not selected</t>
        </is>
      </c>
    </row>
    <row r="1547">
      <c r="A1547" s="6" t="inlineStr">
        <is>
          <t>DJ30</t>
        </is>
      </c>
      <c r="B1547" s="6" t="inlineStr">
        <is>
          <t>2023-12-15</t>
        </is>
      </c>
      <c r="C1547" s="6" t="inlineStr">
        <is>
          <t>DIA</t>
        </is>
      </c>
      <c r="D1547" s="6" t="inlineStr">
        <is>
          <t>UNH</t>
        </is>
      </c>
      <c r="E1547" s="6" t="inlineStr">
        <is>
          <t>UNH</t>
        </is>
      </c>
      <c r="F1547" s="6" t="inlineStr">
        <is>
          <t>-</t>
        </is>
      </c>
      <c r="G1547" s="7" t="n">
        <v>503.5508728027344</v>
      </c>
      <c r="H1547" s="6">
        <f>P1516</f>
        <v/>
      </c>
      <c r="I1547" s="9">
        <f>Q1516</f>
        <v/>
      </c>
      <c r="J1547" s="7">
        <f>I1547*G1547</f>
        <v/>
      </c>
      <c r="K1547" s="8">
        <f>IF($J$1551=0,0,J1547/$J$1551)</f>
        <v/>
      </c>
      <c r="L1547" s="6" t="inlineStr">
        <is>
          <t>REJECTED</t>
        </is>
      </c>
      <c r="M1547" s="8" t="n">
        <v>0</v>
      </c>
      <c r="N1547" s="7">
        <f>M1547*$J$1551-J1547</f>
        <v/>
      </c>
      <c r="O1547" s="9">
        <f>IF(G1547=0,0,N1547/G1547)</f>
        <v/>
      </c>
      <c r="P1547" s="6">
        <f>IF(M1547&gt;0,D1547,"")</f>
        <v/>
      </c>
      <c r="Q1547" s="9">
        <f>I1547+O1547</f>
        <v/>
      </c>
      <c r="R1547" s="7">
        <f>Q1547*G1547</f>
        <v/>
      </c>
      <c r="S1547" s="8">
        <f>IF($R$1551=0,0,R1547/$R$1551)</f>
        <v/>
      </c>
      <c r="T1547" s="8" t="n">
        <v>0</v>
      </c>
      <c r="U1547" s="8" t="n">
        <v>0.02848443168138326</v>
      </c>
      <c r="V1547" s="6" t="inlineStr">
        <is>
          <t>not selected</t>
        </is>
      </c>
    </row>
    <row r="1548">
      <c r="A1548" s="6" t="inlineStr">
        <is>
          <t>DJ30</t>
        </is>
      </c>
      <c r="B1548" s="6" t="inlineStr">
        <is>
          <t>2023-12-15</t>
        </is>
      </c>
      <c r="C1548" s="6" t="inlineStr">
        <is>
          <t>DIA</t>
        </is>
      </c>
      <c r="D1548" s="6" t="inlineStr">
        <is>
          <t>V</t>
        </is>
      </c>
      <c r="E1548" s="6" t="inlineStr">
        <is>
          <t>V</t>
        </is>
      </c>
      <c r="F1548" s="6" t="inlineStr">
        <is>
          <t>-</t>
        </is>
      </c>
      <c r="G1548" s="7" t="n">
        <v>253.2185211181641</v>
      </c>
      <c r="H1548" s="6">
        <f>P1517</f>
        <v/>
      </c>
      <c r="I1548" s="9">
        <f>Q1517</f>
        <v/>
      </c>
      <c r="J1548" s="7">
        <f>I1548*G1548</f>
        <v/>
      </c>
      <c r="K1548" s="8">
        <f>IF($J$1551=0,0,J1548/$J$1551)</f>
        <v/>
      </c>
      <c r="L1548" s="6" t="inlineStr">
        <is>
          <t>REJECTED</t>
        </is>
      </c>
      <c r="M1548" s="8" t="n">
        <v>0</v>
      </c>
      <c r="N1548" s="7">
        <f>M1548*$J$1551-J1548</f>
        <v/>
      </c>
      <c r="O1548" s="9">
        <f>IF(G1548=0,0,N1548/G1548)</f>
        <v/>
      </c>
      <c r="P1548" s="6">
        <f>IF(M1548&gt;0,D1548,"")</f>
        <v/>
      </c>
      <c r="Q1548" s="9">
        <f>I1548+O1548</f>
        <v/>
      </c>
      <c r="R1548" s="7">
        <f>Q1548*G1548</f>
        <v/>
      </c>
      <c r="S1548" s="8">
        <f>IF($R$1551=0,0,R1548/$R$1551)</f>
        <v/>
      </c>
      <c r="T1548" s="8" t="n">
        <v>0</v>
      </c>
      <c r="U1548" s="8" t="n">
        <v>0.02848443168138326</v>
      </c>
      <c r="V1548" s="6" t="inlineStr">
        <is>
          <t>not selected</t>
        </is>
      </c>
    </row>
    <row r="1549">
      <c r="A1549" s="6" t="inlineStr">
        <is>
          <t>DJ30</t>
        </is>
      </c>
      <c r="B1549" s="6" t="inlineStr">
        <is>
          <t>2023-12-15</t>
        </is>
      </c>
      <c r="C1549" s="6" t="inlineStr">
        <is>
          <t>DIA</t>
        </is>
      </c>
      <c r="D1549" s="6" t="inlineStr">
        <is>
          <t>VZ</t>
        </is>
      </c>
      <c r="E1549" s="6" t="inlineStr">
        <is>
          <t>VZ</t>
        </is>
      </c>
      <c r="F1549" s="6" t="inlineStr">
        <is>
          <t>-</t>
        </is>
      </c>
      <c r="G1549" s="7" t="n">
        <v>31.74217987060547</v>
      </c>
      <c r="H1549" s="6">
        <f>P1518</f>
        <v/>
      </c>
      <c r="I1549" s="9">
        <f>Q1518</f>
        <v/>
      </c>
      <c r="J1549" s="7">
        <f>I1549*G1549</f>
        <v/>
      </c>
      <c r="K1549" s="8">
        <f>IF($J$1551=0,0,J1549/$J$1551)</f>
        <v/>
      </c>
      <c r="L1549" s="6" t="inlineStr">
        <is>
          <t>REJECTED</t>
        </is>
      </c>
      <c r="M1549" s="8" t="n">
        <v>0</v>
      </c>
      <c r="N1549" s="7">
        <f>M1549*$J$1551-J1549</f>
        <v/>
      </c>
      <c r="O1549" s="9">
        <f>IF(G1549=0,0,N1549/G1549)</f>
        <v/>
      </c>
      <c r="P1549" s="6">
        <f>IF(M1549&gt;0,D1549,"")</f>
        <v/>
      </c>
      <c r="Q1549" s="9">
        <f>I1549+O1549</f>
        <v/>
      </c>
      <c r="R1549" s="7">
        <f>Q1549*G1549</f>
        <v/>
      </c>
      <c r="S1549" s="8">
        <f>IF($R$1551=0,0,R1549/$R$1551)</f>
        <v/>
      </c>
      <c r="T1549" s="8" t="n">
        <v>0</v>
      </c>
      <c r="U1549" s="8" t="n">
        <v>0.02848443168138326</v>
      </c>
      <c r="V1549" s="6" t="inlineStr">
        <is>
          <t>not selected</t>
        </is>
      </c>
    </row>
    <row r="1550">
      <c r="A1550" s="6" t="inlineStr">
        <is>
          <t>DJ30</t>
        </is>
      </c>
      <c r="B1550" s="6" t="inlineStr">
        <is>
          <t>2023-12-15</t>
        </is>
      </c>
      <c r="C1550" s="6" t="inlineStr">
        <is>
          <t>DIA</t>
        </is>
      </c>
      <c r="D1550" s="6" t="inlineStr">
        <is>
          <t>WMT</t>
        </is>
      </c>
      <c r="E1550" s="6" t="inlineStr">
        <is>
          <t>WMT</t>
        </is>
      </c>
      <c r="F1550" s="6" t="inlineStr">
        <is>
          <t>-</t>
        </is>
      </c>
      <c r="G1550" s="7" t="n">
        <v>49.63650894165039</v>
      </c>
      <c r="H1550" s="6">
        <f>P1519</f>
        <v/>
      </c>
      <c r="I1550" s="9">
        <f>Q1519</f>
        <v/>
      </c>
      <c r="J1550" s="7">
        <f>I1550*G1550</f>
        <v/>
      </c>
      <c r="K1550" s="8">
        <f>IF($J$1551=0,0,J1550/$J$1551)</f>
        <v/>
      </c>
      <c r="L1550" s="6" t="inlineStr">
        <is>
          <t>REJECTED</t>
        </is>
      </c>
      <c r="M1550" s="8" t="n">
        <v>0</v>
      </c>
      <c r="N1550" s="7">
        <f>M1550*$J$1551-J1550</f>
        <v/>
      </c>
      <c r="O1550" s="9">
        <f>IF(G1550=0,0,N1550/G1550)</f>
        <v/>
      </c>
      <c r="P1550" s="6">
        <f>IF(M1550&gt;0,D1550,"")</f>
        <v/>
      </c>
      <c r="Q1550" s="9">
        <f>I1550+O1550</f>
        <v/>
      </c>
      <c r="R1550" s="7">
        <f>Q1550*G1550</f>
        <v/>
      </c>
      <c r="S1550" s="8">
        <f>IF($R$1551=0,0,R1550/$R$1551)</f>
        <v/>
      </c>
      <c r="T1550" s="8" t="n">
        <v>0</v>
      </c>
      <c r="U1550" s="8" t="n">
        <v>0.02848443168138326</v>
      </c>
      <c r="V1550" s="6" t="inlineStr">
        <is>
          <t>not selected</t>
        </is>
      </c>
    </row>
    <row r="1551">
      <c r="A1551" s="10" t="inlineStr">
        <is>
          <t>DJ30</t>
        </is>
      </c>
      <c r="B1551" s="10" t="inlineStr">
        <is>
          <t>2023-12-15</t>
        </is>
      </c>
      <c r="C1551" s="10" t="inlineStr">
        <is>
          <t>DIA</t>
        </is>
      </c>
      <c r="D1551" s="10" t="inlineStr">
        <is>
          <t>Tot Portfolio</t>
        </is>
      </c>
      <c r="E1551" s="10" t="inlineStr"/>
      <c r="F1551" s="10" t="inlineStr"/>
      <c r="G1551" s="11" t="inlineStr"/>
      <c r="H1551" s="10" t="inlineStr"/>
      <c r="I1551" s="12" t="inlineStr"/>
      <c r="J1551" s="11">
        <f>SUM(J1521:J1550)</f>
        <v/>
      </c>
      <c r="K1551" s="13">
        <f>SUM(K1521:K1550)</f>
        <v/>
      </c>
      <c r="L1551" s="10" t="inlineStr">
        <is>
          <t>TOTAL</t>
        </is>
      </c>
      <c r="M1551" s="13">
        <f>SUM(M1521:M1550)</f>
        <v/>
      </c>
      <c r="N1551" s="11">
        <f>SUM(N1521:N1550)</f>
        <v/>
      </c>
      <c r="O1551" s="12">
        <f>SUM(O1521:O1550)</f>
        <v/>
      </c>
      <c r="P1551" s="10" t="inlineStr"/>
      <c r="Q1551" s="12" t="inlineStr"/>
      <c r="R1551" s="11">
        <f>SUM(R1521:R1550)</f>
        <v/>
      </c>
      <c r="S1551" s="13">
        <f>SUM(S1521:S1550)</f>
        <v/>
      </c>
      <c r="T1551" s="13" t="n">
        <v>0</v>
      </c>
      <c r="U1551" s="13" t="n">
        <v>0.02848443168138326</v>
      </c>
      <c r="V1551" s="10" t="inlineStr"/>
    </row>
    <row r="1552">
      <c r="A1552" s="6" t="inlineStr">
        <is>
          <t>DJ30</t>
        </is>
      </c>
      <c r="B1552" s="6" t="inlineStr">
        <is>
          <t>2023-12-22</t>
        </is>
      </c>
      <c r="C1552" s="6" t="inlineStr">
        <is>
          <t>DIA</t>
        </is>
      </c>
      <c r="D1552" s="6" t="inlineStr">
        <is>
          <t>AAPL</t>
        </is>
      </c>
      <c r="E1552" s="6" t="inlineStr">
        <is>
          <t>AAPL</t>
        </is>
      </c>
      <c r="F1552" s="6" t="inlineStr">
        <is>
          <t>-</t>
        </is>
      </c>
      <c r="G1552" s="7" t="n">
        <v>191.433120727539</v>
      </c>
      <c r="H1552" s="6">
        <f>P1521</f>
        <v/>
      </c>
      <c r="I1552" s="9">
        <f>Q1521</f>
        <v/>
      </c>
      <c r="J1552" s="7">
        <f>I1552*G1552</f>
        <v/>
      </c>
      <c r="K1552" s="8">
        <f>IF($J$1582=0,0,J1552/$J$1582)</f>
        <v/>
      </c>
      <c r="L1552" s="6" t="inlineStr">
        <is>
          <t>REJECTED</t>
        </is>
      </c>
      <c r="M1552" s="8" t="n">
        <v>0</v>
      </c>
      <c r="N1552" s="7">
        <f>M1552*$J$1582-J1552</f>
        <v/>
      </c>
      <c r="O1552" s="9">
        <f>IF(G1552=0,0,N1552/G1552)</f>
        <v/>
      </c>
      <c r="P1552" s="6">
        <f>IF(M1552&gt;0,D1552,"")</f>
        <v/>
      </c>
      <c r="Q1552" s="9">
        <f>I1552+O1552</f>
        <v/>
      </c>
      <c r="R1552" s="7">
        <f>Q1552*G1552</f>
        <v/>
      </c>
      <c r="S1552" s="8">
        <f>IF($R$1582=0,0,R1552/$R$1582)</f>
        <v/>
      </c>
      <c r="T1552" s="8" t="n">
        <v>0</v>
      </c>
      <c r="U1552" s="8" t="n">
        <v>0.003139705116577352</v>
      </c>
      <c r="V1552" s="6" t="inlineStr">
        <is>
          <t>not selected</t>
        </is>
      </c>
    </row>
    <row r="1553">
      <c r="A1553" s="6" t="inlineStr">
        <is>
          <t>DJ30</t>
        </is>
      </c>
      <c r="B1553" s="6" t="inlineStr">
        <is>
          <t>2023-12-22</t>
        </is>
      </c>
      <c r="C1553" s="6" t="inlineStr">
        <is>
          <t>DIA</t>
        </is>
      </c>
      <c r="D1553" s="6" t="inlineStr">
        <is>
          <t>AMGN</t>
        </is>
      </c>
      <c r="E1553" s="6" t="inlineStr">
        <is>
          <t>AMGN</t>
        </is>
      </c>
      <c r="F1553" s="6" t="inlineStr">
        <is>
          <t>-</t>
        </is>
      </c>
      <c r="G1553" s="7" t="n">
        <v>263.303955078125</v>
      </c>
      <c r="H1553" s="6">
        <f>P1522</f>
        <v/>
      </c>
      <c r="I1553" s="9">
        <f>Q1522</f>
        <v/>
      </c>
      <c r="J1553" s="7">
        <f>I1553*G1553</f>
        <v/>
      </c>
      <c r="K1553" s="8">
        <f>IF($J$1582=0,0,J1553/$J$1582)</f>
        <v/>
      </c>
      <c r="L1553" s="6" t="inlineStr">
        <is>
          <t>REJECTED</t>
        </is>
      </c>
      <c r="M1553" s="8" t="n">
        <v>0</v>
      </c>
      <c r="N1553" s="7">
        <f>M1553*$J$1582-J1553</f>
        <v/>
      </c>
      <c r="O1553" s="9">
        <f>IF(G1553=0,0,N1553/G1553)</f>
        <v/>
      </c>
      <c r="P1553" s="6">
        <f>IF(M1553&gt;0,D1553,"")</f>
        <v/>
      </c>
      <c r="Q1553" s="9">
        <f>I1553+O1553</f>
        <v/>
      </c>
      <c r="R1553" s="7">
        <f>Q1553*G1553</f>
        <v/>
      </c>
      <c r="S1553" s="8">
        <f>IF($R$1582=0,0,R1553/$R$1582)</f>
        <v/>
      </c>
      <c r="T1553" s="8" t="n">
        <v>0</v>
      </c>
      <c r="U1553" s="8" t="n">
        <v>0.003139705116577352</v>
      </c>
      <c r="V1553" s="6" t="inlineStr">
        <is>
          <t>not selected</t>
        </is>
      </c>
    </row>
    <row r="1554">
      <c r="A1554" s="6" t="inlineStr">
        <is>
          <t>DJ30</t>
        </is>
      </c>
      <c r="B1554" s="6" t="inlineStr">
        <is>
          <t>2023-12-22</t>
        </is>
      </c>
      <c r="C1554" s="6" t="inlineStr">
        <is>
          <t>DIA</t>
        </is>
      </c>
      <c r="D1554" s="6" t="inlineStr">
        <is>
          <t>AMZN</t>
        </is>
      </c>
      <c r="E1554" s="6" t="inlineStr">
        <is>
          <t>AMZN</t>
        </is>
      </c>
      <c r="F1554" s="6" t="inlineStr">
        <is>
          <t>-</t>
        </is>
      </c>
      <c r="G1554" s="7" t="n">
        <v>153.4199981689453</v>
      </c>
      <c r="H1554" s="6">
        <f>P1523</f>
        <v/>
      </c>
      <c r="I1554" s="9">
        <f>Q1523</f>
        <v/>
      </c>
      <c r="J1554" s="7">
        <f>I1554*G1554</f>
        <v/>
      </c>
      <c r="K1554" s="8">
        <f>IF($J$1582=0,0,J1554/$J$1582)</f>
        <v/>
      </c>
      <c r="L1554" s="6" t="inlineStr">
        <is>
          <t>REJECTED</t>
        </is>
      </c>
      <c r="M1554" s="8" t="n">
        <v>0</v>
      </c>
      <c r="N1554" s="7">
        <f>M1554*$J$1582-J1554</f>
        <v/>
      </c>
      <c r="O1554" s="9">
        <f>IF(G1554=0,0,N1554/G1554)</f>
        <v/>
      </c>
      <c r="P1554" s="6">
        <f>IF(M1554&gt;0,D1554,"")</f>
        <v/>
      </c>
      <c r="Q1554" s="9">
        <f>I1554+O1554</f>
        <v/>
      </c>
      <c r="R1554" s="7">
        <f>Q1554*G1554</f>
        <v/>
      </c>
      <c r="S1554" s="8">
        <f>IF($R$1582=0,0,R1554/$R$1582)</f>
        <v/>
      </c>
      <c r="T1554" s="8" t="n">
        <v>0</v>
      </c>
      <c r="U1554" s="8" t="n">
        <v>0.003139705116577352</v>
      </c>
      <c r="V1554" s="6" t="inlineStr">
        <is>
          <t>not selected</t>
        </is>
      </c>
    </row>
    <row r="1555">
      <c r="A1555" s="6" t="inlineStr">
        <is>
          <t>DJ30</t>
        </is>
      </c>
      <c r="B1555" s="6" t="inlineStr">
        <is>
          <t>2023-12-22</t>
        </is>
      </c>
      <c r="C1555" s="6" t="inlineStr">
        <is>
          <t>DIA</t>
        </is>
      </c>
      <c r="D1555" s="6" t="inlineStr">
        <is>
          <t>AXP</t>
        </is>
      </c>
      <c r="E1555" s="6" t="inlineStr">
        <is>
          <t>AXP</t>
        </is>
      </c>
      <c r="F1555" s="6" t="inlineStr">
        <is>
          <t>-</t>
        </is>
      </c>
      <c r="G1555" s="7" t="n">
        <v>180.4474029541016</v>
      </c>
      <c r="H1555" s="6">
        <f>P1524</f>
        <v/>
      </c>
      <c r="I1555" s="9">
        <f>Q1524</f>
        <v/>
      </c>
      <c r="J1555" s="7">
        <f>I1555*G1555</f>
        <v/>
      </c>
      <c r="K1555" s="8">
        <f>IF($J$1582=0,0,J1555/$J$1582)</f>
        <v/>
      </c>
      <c r="L1555" s="6" t="inlineStr">
        <is>
          <t>REJECTED</t>
        </is>
      </c>
      <c r="M1555" s="8" t="n">
        <v>0</v>
      </c>
      <c r="N1555" s="7">
        <f>M1555*$J$1582-J1555</f>
        <v/>
      </c>
      <c r="O1555" s="9">
        <f>IF(G1555=0,0,N1555/G1555)</f>
        <v/>
      </c>
      <c r="P1555" s="6">
        <f>IF(M1555&gt;0,D1555,"")</f>
        <v/>
      </c>
      <c r="Q1555" s="9">
        <f>I1555+O1555</f>
        <v/>
      </c>
      <c r="R1555" s="7">
        <f>Q1555*G1555</f>
        <v/>
      </c>
      <c r="S1555" s="8">
        <f>IF($R$1582=0,0,R1555/$R$1582)</f>
        <v/>
      </c>
      <c r="T1555" s="8" t="n">
        <v>0</v>
      </c>
      <c r="U1555" s="8" t="n">
        <v>0.003139705116577352</v>
      </c>
      <c r="V1555" s="6" t="inlineStr">
        <is>
          <t>not selected</t>
        </is>
      </c>
    </row>
    <row r="1556">
      <c r="A1556" s="6" t="inlineStr">
        <is>
          <t>DJ30</t>
        </is>
      </c>
      <c r="B1556" s="6" t="inlineStr">
        <is>
          <t>2023-12-22</t>
        </is>
      </c>
      <c r="C1556" s="6" t="inlineStr">
        <is>
          <t>DIA</t>
        </is>
      </c>
      <c r="D1556" s="6" t="inlineStr">
        <is>
          <t>BA</t>
        </is>
      </c>
      <c r="E1556" s="6" t="inlineStr">
        <is>
          <t>BA</t>
        </is>
      </c>
      <c r="F1556" s="6" t="inlineStr">
        <is>
          <t>-</t>
        </is>
      </c>
      <c r="G1556" s="7" t="n">
        <v>260.4400024414062</v>
      </c>
      <c r="H1556" s="6">
        <f>P1525</f>
        <v/>
      </c>
      <c r="I1556" s="9">
        <f>Q1525</f>
        <v/>
      </c>
      <c r="J1556" s="7">
        <f>I1556*G1556</f>
        <v/>
      </c>
      <c r="K1556" s="8">
        <f>IF($J$1582=0,0,J1556/$J$1582)</f>
        <v/>
      </c>
      <c r="L1556" s="6" t="inlineStr">
        <is>
          <t>REJECTED</t>
        </is>
      </c>
      <c r="M1556" s="8" t="n">
        <v>0</v>
      </c>
      <c r="N1556" s="7">
        <f>M1556*$J$1582-J1556</f>
        <v/>
      </c>
      <c r="O1556" s="9">
        <f>IF(G1556=0,0,N1556/G1556)</f>
        <v/>
      </c>
      <c r="P1556" s="6">
        <f>IF(M1556&gt;0,D1556,"")</f>
        <v/>
      </c>
      <c r="Q1556" s="9">
        <f>I1556+O1556</f>
        <v/>
      </c>
      <c r="R1556" s="7">
        <f>Q1556*G1556</f>
        <v/>
      </c>
      <c r="S1556" s="8">
        <f>IF($R$1582=0,0,R1556/$R$1582)</f>
        <v/>
      </c>
      <c r="T1556" s="8" t="n">
        <v>0</v>
      </c>
      <c r="U1556" s="8" t="n">
        <v>0.003139705116577352</v>
      </c>
      <c r="V1556" s="6" t="inlineStr">
        <is>
          <t>not selected</t>
        </is>
      </c>
    </row>
    <row r="1557">
      <c r="A1557" s="6" t="inlineStr">
        <is>
          <t>DJ30</t>
        </is>
      </c>
      <c r="B1557" s="6" t="inlineStr">
        <is>
          <t>2023-12-22</t>
        </is>
      </c>
      <c r="C1557" s="6" t="inlineStr">
        <is>
          <t>DIA</t>
        </is>
      </c>
      <c r="D1557" s="6" t="inlineStr">
        <is>
          <t>CAT</t>
        </is>
      </c>
      <c r="E1557" s="6" t="inlineStr">
        <is>
          <t>CAT</t>
        </is>
      </c>
      <c r="F1557" s="6" t="inlineStr">
        <is>
          <t>-</t>
        </is>
      </c>
      <c r="G1557" s="7" t="n">
        <v>280.3342895507812</v>
      </c>
      <c r="H1557" s="6">
        <f>P1526</f>
        <v/>
      </c>
      <c r="I1557" s="9">
        <f>Q1526</f>
        <v/>
      </c>
      <c r="J1557" s="7">
        <f>I1557*G1557</f>
        <v/>
      </c>
      <c r="K1557" s="8">
        <f>IF($J$1582=0,0,J1557/$J$1582)</f>
        <v/>
      </c>
      <c r="L1557" s="6" t="inlineStr">
        <is>
          <t>REJECTED</t>
        </is>
      </c>
      <c r="M1557" s="8" t="n">
        <v>0</v>
      </c>
      <c r="N1557" s="7">
        <f>M1557*$J$1582-J1557</f>
        <v/>
      </c>
      <c r="O1557" s="9">
        <f>IF(G1557=0,0,N1557/G1557)</f>
        <v/>
      </c>
      <c r="P1557" s="6">
        <f>IF(M1557&gt;0,D1557,"")</f>
        <v/>
      </c>
      <c r="Q1557" s="9">
        <f>I1557+O1557</f>
        <v/>
      </c>
      <c r="R1557" s="7">
        <f>Q1557*G1557</f>
        <v/>
      </c>
      <c r="S1557" s="8">
        <f>IF($R$1582=0,0,R1557/$R$1582)</f>
        <v/>
      </c>
      <c r="T1557" s="8" t="n">
        <v>0</v>
      </c>
      <c r="U1557" s="8" t="n">
        <v>0.003139705116577352</v>
      </c>
      <c r="V1557" s="6" t="inlineStr">
        <is>
          <t>not selected</t>
        </is>
      </c>
    </row>
    <row r="1558">
      <c r="A1558" s="6" t="inlineStr">
        <is>
          <t>DJ30</t>
        </is>
      </c>
      <c r="B1558" s="6" t="inlineStr">
        <is>
          <t>2023-12-22</t>
        </is>
      </c>
      <c r="C1558" s="6" t="inlineStr">
        <is>
          <t>DIA</t>
        </is>
      </c>
      <c r="D1558" s="6" t="inlineStr">
        <is>
          <t>CRM</t>
        </is>
      </c>
      <c r="E1558" s="6" t="inlineStr">
        <is>
          <t>CRM</t>
        </is>
      </c>
      <c r="F1558" s="6" t="inlineStr">
        <is>
          <t>-</t>
        </is>
      </c>
      <c r="G1558" s="7" t="n">
        <v>261.8105163574219</v>
      </c>
      <c r="H1558" s="6">
        <f>P1527</f>
        <v/>
      </c>
      <c r="I1558" s="9">
        <f>Q1527</f>
        <v/>
      </c>
      <c r="J1558" s="7">
        <f>I1558*G1558</f>
        <v/>
      </c>
      <c r="K1558" s="8">
        <f>IF($J$1582=0,0,J1558/$J$1582)</f>
        <v/>
      </c>
      <c r="L1558" s="6" t="inlineStr">
        <is>
          <t>REJECTED</t>
        </is>
      </c>
      <c r="M1558" s="8" t="n">
        <v>0</v>
      </c>
      <c r="N1558" s="7">
        <f>M1558*$J$1582-J1558</f>
        <v/>
      </c>
      <c r="O1558" s="9">
        <f>IF(G1558=0,0,N1558/G1558)</f>
        <v/>
      </c>
      <c r="P1558" s="6">
        <f>IF(M1558&gt;0,D1558,"")</f>
        <v/>
      </c>
      <c r="Q1558" s="9">
        <f>I1558+O1558</f>
        <v/>
      </c>
      <c r="R1558" s="7">
        <f>Q1558*G1558</f>
        <v/>
      </c>
      <c r="S1558" s="8">
        <f>IF($R$1582=0,0,R1558/$R$1582)</f>
        <v/>
      </c>
      <c r="T1558" s="8" t="n">
        <v>0</v>
      </c>
      <c r="U1558" s="8" t="n">
        <v>0.003139705116577352</v>
      </c>
      <c r="V1558" s="6" t="inlineStr">
        <is>
          <t>not selected</t>
        </is>
      </c>
    </row>
    <row r="1559">
      <c r="A1559" s="6" t="inlineStr">
        <is>
          <t>DJ30</t>
        </is>
      </c>
      <c r="B1559" s="6" t="inlineStr">
        <is>
          <t>2023-12-22</t>
        </is>
      </c>
      <c r="C1559" s="6" t="inlineStr">
        <is>
          <t>DIA</t>
        </is>
      </c>
      <c r="D1559" s="6" t="inlineStr">
        <is>
          <t>CSCO</t>
        </is>
      </c>
      <c r="E1559" s="6" t="inlineStr">
        <is>
          <t>CSCO</t>
        </is>
      </c>
      <c r="F1559" s="6" t="inlineStr">
        <is>
          <t>-</t>
        </is>
      </c>
      <c r="G1559" s="7" t="n">
        <v>46.78617095947266</v>
      </c>
      <c r="H1559" s="6">
        <f>P1528</f>
        <v/>
      </c>
      <c r="I1559" s="9">
        <f>Q1528</f>
        <v/>
      </c>
      <c r="J1559" s="7">
        <f>I1559*G1559</f>
        <v/>
      </c>
      <c r="K1559" s="8">
        <f>IF($J$1582=0,0,J1559/$J$1582)</f>
        <v/>
      </c>
      <c r="L1559" s="6" t="inlineStr">
        <is>
          <t>REJECTED</t>
        </is>
      </c>
      <c r="M1559" s="8" t="n">
        <v>0</v>
      </c>
      <c r="N1559" s="7">
        <f>M1559*$J$1582-J1559</f>
        <v/>
      </c>
      <c r="O1559" s="9">
        <f>IF(G1559=0,0,N1559/G1559)</f>
        <v/>
      </c>
      <c r="P1559" s="6">
        <f>IF(M1559&gt;0,D1559,"")</f>
        <v/>
      </c>
      <c r="Q1559" s="9">
        <f>I1559+O1559</f>
        <v/>
      </c>
      <c r="R1559" s="7">
        <f>Q1559*G1559</f>
        <v/>
      </c>
      <c r="S1559" s="8">
        <f>IF($R$1582=0,0,R1559/$R$1582)</f>
        <v/>
      </c>
      <c r="T1559" s="8" t="n">
        <v>0</v>
      </c>
      <c r="U1559" s="8" t="n">
        <v>0.003139705116577352</v>
      </c>
      <c r="V1559" s="6" t="inlineStr">
        <is>
          <t>not selected</t>
        </is>
      </c>
    </row>
    <row r="1560">
      <c r="A1560" s="6" t="inlineStr">
        <is>
          <t>DJ30</t>
        </is>
      </c>
      <c r="B1560" s="6" t="inlineStr">
        <is>
          <t>2023-12-22</t>
        </is>
      </c>
      <c r="C1560" s="6" t="inlineStr">
        <is>
          <t>DIA</t>
        </is>
      </c>
      <c r="D1560" s="6" t="inlineStr">
        <is>
          <t>CVX</t>
        </is>
      </c>
      <c r="E1560" s="6" t="inlineStr">
        <is>
          <t>CVX</t>
        </is>
      </c>
      <c r="F1560" s="6" t="inlineStr">
        <is>
          <t>-</t>
        </is>
      </c>
      <c r="G1560" s="7" t="n">
        <v>135.8111267089844</v>
      </c>
      <c r="H1560" s="6">
        <f>P1529</f>
        <v/>
      </c>
      <c r="I1560" s="9">
        <f>Q1529</f>
        <v/>
      </c>
      <c r="J1560" s="7">
        <f>I1560*G1560</f>
        <v/>
      </c>
      <c r="K1560" s="8">
        <f>IF($J$1582=0,0,J1560/$J$1582)</f>
        <v/>
      </c>
      <c r="L1560" s="6" t="inlineStr">
        <is>
          <t>REJECTED</t>
        </is>
      </c>
      <c r="M1560" s="8" t="n">
        <v>0</v>
      </c>
      <c r="N1560" s="7">
        <f>M1560*$J$1582-J1560</f>
        <v/>
      </c>
      <c r="O1560" s="9">
        <f>IF(G1560=0,0,N1560/G1560)</f>
        <v/>
      </c>
      <c r="P1560" s="6">
        <f>IF(M1560&gt;0,D1560,"")</f>
        <v/>
      </c>
      <c r="Q1560" s="9">
        <f>I1560+O1560</f>
        <v/>
      </c>
      <c r="R1560" s="7">
        <f>Q1560*G1560</f>
        <v/>
      </c>
      <c r="S1560" s="8">
        <f>IF($R$1582=0,0,R1560/$R$1582)</f>
        <v/>
      </c>
      <c r="T1560" s="8" t="n">
        <v>0</v>
      </c>
      <c r="U1560" s="8" t="n">
        <v>0.003139705116577352</v>
      </c>
      <c r="V1560" s="6" t="inlineStr">
        <is>
          <t>not selected</t>
        </is>
      </c>
    </row>
    <row r="1561">
      <c r="A1561" s="6" t="inlineStr">
        <is>
          <t>DJ30</t>
        </is>
      </c>
      <c r="B1561" s="6" t="inlineStr">
        <is>
          <t>2023-12-22</t>
        </is>
      </c>
      <c r="C1561" s="6" t="inlineStr">
        <is>
          <t>DIA</t>
        </is>
      </c>
      <c r="D1561" s="6" t="inlineStr">
        <is>
          <t>DIS</t>
        </is>
      </c>
      <c r="E1561" s="6" t="inlineStr">
        <is>
          <t>DIS</t>
        </is>
      </c>
      <c r="F1561" s="6" t="inlineStr">
        <is>
          <t>-</t>
        </is>
      </c>
      <c r="G1561" s="7" t="n">
        <v>89.21566772460938</v>
      </c>
      <c r="H1561" s="6">
        <f>P1530</f>
        <v/>
      </c>
      <c r="I1561" s="9">
        <f>Q1530</f>
        <v/>
      </c>
      <c r="J1561" s="7">
        <f>I1561*G1561</f>
        <v/>
      </c>
      <c r="K1561" s="8">
        <f>IF($J$1582=0,0,J1561/$J$1582)</f>
        <v/>
      </c>
      <c r="L1561" s="6" t="inlineStr">
        <is>
          <t>REJECTED</t>
        </is>
      </c>
      <c r="M1561" s="8" t="n">
        <v>0</v>
      </c>
      <c r="N1561" s="7">
        <f>M1561*$J$1582-J1561</f>
        <v/>
      </c>
      <c r="O1561" s="9">
        <f>IF(G1561=0,0,N1561/G1561)</f>
        <v/>
      </c>
      <c r="P1561" s="6">
        <f>IF(M1561&gt;0,D1561,"")</f>
        <v/>
      </c>
      <c r="Q1561" s="9">
        <f>I1561+O1561</f>
        <v/>
      </c>
      <c r="R1561" s="7">
        <f>Q1561*G1561</f>
        <v/>
      </c>
      <c r="S1561" s="8">
        <f>IF($R$1582=0,0,R1561/$R$1582)</f>
        <v/>
      </c>
      <c r="T1561" s="8" t="n">
        <v>0</v>
      </c>
      <c r="U1561" s="8" t="n">
        <v>0.003139705116577352</v>
      </c>
      <c r="V1561" s="6" t="inlineStr">
        <is>
          <t>not selected</t>
        </is>
      </c>
    </row>
    <row r="1562">
      <c r="A1562" s="6" t="inlineStr">
        <is>
          <t>DJ30</t>
        </is>
      </c>
      <c r="B1562" s="6" t="inlineStr">
        <is>
          <t>2023-12-22</t>
        </is>
      </c>
      <c r="C1562" s="6" t="inlineStr">
        <is>
          <t>DIA</t>
        </is>
      </c>
      <c r="D1562" s="6" t="inlineStr">
        <is>
          <t>GS</t>
        </is>
      </c>
      <c r="E1562" s="6" t="inlineStr">
        <is>
          <t>GS</t>
        </is>
      </c>
      <c r="F1562" s="6" t="inlineStr">
        <is>
          <t>-</t>
        </is>
      </c>
      <c r="G1562" s="7" t="n">
        <v>360.7177429199219</v>
      </c>
      <c r="H1562" s="6">
        <f>P1531</f>
        <v/>
      </c>
      <c r="I1562" s="9">
        <f>Q1531</f>
        <v/>
      </c>
      <c r="J1562" s="7">
        <f>I1562*G1562</f>
        <v/>
      </c>
      <c r="K1562" s="8">
        <f>IF($J$1582=0,0,J1562/$J$1582)</f>
        <v/>
      </c>
      <c r="L1562" s="6" t="inlineStr">
        <is>
          <t>REJECTED</t>
        </is>
      </c>
      <c r="M1562" s="8" t="n">
        <v>0</v>
      </c>
      <c r="N1562" s="7">
        <f>M1562*$J$1582-J1562</f>
        <v/>
      </c>
      <c r="O1562" s="9">
        <f>IF(G1562=0,0,N1562/G1562)</f>
        <v/>
      </c>
      <c r="P1562" s="6">
        <f>IF(M1562&gt;0,D1562,"")</f>
        <v/>
      </c>
      <c r="Q1562" s="9">
        <f>I1562+O1562</f>
        <v/>
      </c>
      <c r="R1562" s="7">
        <f>Q1562*G1562</f>
        <v/>
      </c>
      <c r="S1562" s="8">
        <f>IF($R$1582=0,0,R1562/$R$1582)</f>
        <v/>
      </c>
      <c r="T1562" s="8" t="n">
        <v>0</v>
      </c>
      <c r="U1562" s="8" t="n">
        <v>0.003139705116577352</v>
      </c>
      <c r="V1562" s="6" t="inlineStr">
        <is>
          <t>not selected</t>
        </is>
      </c>
    </row>
    <row r="1563">
      <c r="A1563" s="6" t="inlineStr">
        <is>
          <t>DJ30</t>
        </is>
      </c>
      <c r="B1563" s="6" t="inlineStr">
        <is>
          <t>2023-12-22</t>
        </is>
      </c>
      <c r="C1563" s="6" t="inlineStr">
        <is>
          <t>DIA</t>
        </is>
      </c>
      <c r="D1563" s="6" t="inlineStr">
        <is>
          <t>HD</t>
        </is>
      </c>
      <c r="E1563" s="6" t="inlineStr">
        <is>
          <t>HD</t>
        </is>
      </c>
      <c r="F1563" s="6" t="inlineStr">
        <is>
          <t>-</t>
        </is>
      </c>
      <c r="G1563" s="7" t="n">
        <v>327.3194580078125</v>
      </c>
      <c r="H1563" s="6">
        <f>P1532</f>
        <v/>
      </c>
      <c r="I1563" s="9">
        <f>Q1532</f>
        <v/>
      </c>
      <c r="J1563" s="7">
        <f>I1563*G1563</f>
        <v/>
      </c>
      <c r="K1563" s="8">
        <f>IF($J$1582=0,0,J1563/$J$1582)</f>
        <v/>
      </c>
      <c r="L1563" s="6" t="inlineStr">
        <is>
          <t>REJECTED</t>
        </is>
      </c>
      <c r="M1563" s="8" t="n">
        <v>0</v>
      </c>
      <c r="N1563" s="7">
        <f>M1563*$J$1582-J1563</f>
        <v/>
      </c>
      <c r="O1563" s="9">
        <f>IF(G1563=0,0,N1563/G1563)</f>
        <v/>
      </c>
      <c r="P1563" s="6">
        <f>IF(M1563&gt;0,D1563,"")</f>
        <v/>
      </c>
      <c r="Q1563" s="9">
        <f>I1563+O1563</f>
        <v/>
      </c>
      <c r="R1563" s="7">
        <f>Q1563*G1563</f>
        <v/>
      </c>
      <c r="S1563" s="8">
        <f>IF($R$1582=0,0,R1563/$R$1582)</f>
        <v/>
      </c>
      <c r="T1563" s="8" t="n">
        <v>0</v>
      </c>
      <c r="U1563" s="8" t="n">
        <v>0.003139705116577352</v>
      </c>
      <c r="V1563" s="6" t="inlineStr">
        <is>
          <t>not selected</t>
        </is>
      </c>
    </row>
    <row r="1564">
      <c r="A1564" s="6" t="inlineStr">
        <is>
          <t>DJ30</t>
        </is>
      </c>
      <c r="B1564" s="6" t="inlineStr">
        <is>
          <t>2023-12-22</t>
        </is>
      </c>
      <c r="C1564" s="6" t="inlineStr">
        <is>
          <t>DIA</t>
        </is>
      </c>
      <c r="D1564" s="6" t="inlineStr">
        <is>
          <t>HON</t>
        </is>
      </c>
      <c r="E1564" s="6" t="inlineStr">
        <is>
          <t>HON</t>
        </is>
      </c>
      <c r="F1564" s="6" t="inlineStr">
        <is>
          <t>-</t>
        </is>
      </c>
      <c r="G1564" s="7" t="n">
        <v>183.7827606201172</v>
      </c>
      <c r="H1564" s="6">
        <f>P1533</f>
        <v/>
      </c>
      <c r="I1564" s="9">
        <f>Q1533</f>
        <v/>
      </c>
      <c r="J1564" s="7">
        <f>I1564*G1564</f>
        <v/>
      </c>
      <c r="K1564" s="8">
        <f>IF($J$1582=0,0,J1564/$J$1582)</f>
        <v/>
      </c>
      <c r="L1564" s="6" t="inlineStr">
        <is>
          <t>REJECTED</t>
        </is>
      </c>
      <c r="M1564" s="8" t="n">
        <v>0</v>
      </c>
      <c r="N1564" s="7">
        <f>M1564*$J$1582-J1564</f>
        <v/>
      </c>
      <c r="O1564" s="9">
        <f>IF(G1564=0,0,N1564/G1564)</f>
        <v/>
      </c>
      <c r="P1564" s="6">
        <f>IF(M1564&gt;0,D1564,"")</f>
        <v/>
      </c>
      <c r="Q1564" s="9">
        <f>I1564+O1564</f>
        <v/>
      </c>
      <c r="R1564" s="7">
        <f>Q1564*G1564</f>
        <v/>
      </c>
      <c r="S1564" s="8">
        <f>IF($R$1582=0,0,R1564/$R$1582)</f>
        <v/>
      </c>
      <c r="T1564" s="8" t="n">
        <v>0</v>
      </c>
      <c r="U1564" s="8" t="n">
        <v>0.003139705116577352</v>
      </c>
      <c r="V1564" s="6" t="inlineStr">
        <is>
          <t>not selected</t>
        </is>
      </c>
    </row>
    <row r="1565">
      <c r="A1565" s="6" t="inlineStr">
        <is>
          <t>DJ30</t>
        </is>
      </c>
      <c r="B1565" s="6" t="inlineStr">
        <is>
          <t>2023-12-22</t>
        </is>
      </c>
      <c r="C1565" s="6" t="inlineStr">
        <is>
          <t>DIA</t>
        </is>
      </c>
      <c r="D1565" s="6" t="inlineStr">
        <is>
          <t>IBM</t>
        </is>
      </c>
      <c r="E1565" s="6" t="inlineStr">
        <is>
          <t>IBM</t>
        </is>
      </c>
      <c r="F1565" s="6" t="inlineStr">
        <is>
          <t>-</t>
        </is>
      </c>
      <c r="G1565" s="7" t="n">
        <v>150.5688629150391</v>
      </c>
      <c r="H1565" s="6">
        <f>P1534</f>
        <v/>
      </c>
      <c r="I1565" s="9">
        <f>Q1534</f>
        <v/>
      </c>
      <c r="J1565" s="7">
        <f>I1565*G1565</f>
        <v/>
      </c>
      <c r="K1565" s="8">
        <f>IF($J$1582=0,0,J1565/$J$1582)</f>
        <v/>
      </c>
      <c r="L1565" s="6" t="inlineStr">
        <is>
          <t>REJECTED</t>
        </is>
      </c>
      <c r="M1565" s="8" t="n">
        <v>0</v>
      </c>
      <c r="N1565" s="7">
        <f>M1565*$J$1582-J1565</f>
        <v/>
      </c>
      <c r="O1565" s="9">
        <f>IF(G1565=0,0,N1565/G1565)</f>
        <v/>
      </c>
      <c r="P1565" s="6">
        <f>IF(M1565&gt;0,D1565,"")</f>
        <v/>
      </c>
      <c r="Q1565" s="9">
        <f>I1565+O1565</f>
        <v/>
      </c>
      <c r="R1565" s="7">
        <f>Q1565*G1565</f>
        <v/>
      </c>
      <c r="S1565" s="8">
        <f>IF($R$1582=0,0,R1565/$R$1582)</f>
        <v/>
      </c>
      <c r="T1565" s="8" t="n">
        <v>0</v>
      </c>
      <c r="U1565" s="8" t="n">
        <v>0.003139705116577352</v>
      </c>
      <c r="V1565" s="6" t="inlineStr">
        <is>
          <t>not selected</t>
        </is>
      </c>
    </row>
    <row r="1566">
      <c r="A1566" s="6" t="inlineStr">
        <is>
          <t>DJ30</t>
        </is>
      </c>
      <c r="B1566" s="6" t="inlineStr">
        <is>
          <t>2023-12-22</t>
        </is>
      </c>
      <c r="C1566" s="6" t="inlineStr">
        <is>
          <t>DIA</t>
        </is>
      </c>
      <c r="D1566" s="6" t="inlineStr">
        <is>
          <t>JNJ</t>
        </is>
      </c>
      <c r="E1566" s="6" t="inlineStr">
        <is>
          <t>JNJ</t>
        </is>
      </c>
      <c r="F1566" s="6" t="inlineStr">
        <is>
          <t>-</t>
        </is>
      </c>
      <c r="G1566" s="7" t="n">
        <v>144.6087951660156</v>
      </c>
      <c r="H1566" s="6">
        <f>P1535</f>
        <v/>
      </c>
      <c r="I1566" s="9">
        <f>Q1535</f>
        <v/>
      </c>
      <c r="J1566" s="7">
        <f>I1566*G1566</f>
        <v/>
      </c>
      <c r="K1566" s="8">
        <f>IF($J$1582=0,0,J1566/$J$1582)</f>
        <v/>
      </c>
      <c r="L1566" s="6" t="inlineStr">
        <is>
          <t>REJECTED</t>
        </is>
      </c>
      <c r="M1566" s="8" t="n">
        <v>0</v>
      </c>
      <c r="N1566" s="7">
        <f>M1566*$J$1582-J1566</f>
        <v/>
      </c>
      <c r="O1566" s="9">
        <f>IF(G1566=0,0,N1566/G1566)</f>
        <v/>
      </c>
      <c r="P1566" s="6">
        <f>IF(M1566&gt;0,D1566,"")</f>
        <v/>
      </c>
      <c r="Q1566" s="9">
        <f>I1566+O1566</f>
        <v/>
      </c>
      <c r="R1566" s="7">
        <f>Q1566*G1566</f>
        <v/>
      </c>
      <c r="S1566" s="8">
        <f>IF($R$1582=0,0,R1566/$R$1582)</f>
        <v/>
      </c>
      <c r="T1566" s="8" t="n">
        <v>0</v>
      </c>
      <c r="U1566" s="8" t="n">
        <v>0.003139705116577352</v>
      </c>
      <c r="V1566" s="6" t="inlineStr">
        <is>
          <t>not selected</t>
        </is>
      </c>
    </row>
    <row r="1567">
      <c r="A1567" s="6" t="inlineStr">
        <is>
          <t>DJ30</t>
        </is>
      </c>
      <c r="B1567" s="6" t="inlineStr">
        <is>
          <t>2023-12-22</t>
        </is>
      </c>
      <c r="C1567" s="6" t="inlineStr">
        <is>
          <t>DIA</t>
        </is>
      </c>
      <c r="D1567" s="6" t="inlineStr">
        <is>
          <t>JPM</t>
        </is>
      </c>
      <c r="E1567" s="6" t="inlineStr">
        <is>
          <t>JPM</t>
        </is>
      </c>
      <c r="F1567" s="6" t="inlineStr">
        <is>
          <t>-</t>
        </is>
      </c>
      <c r="G1567" s="7" t="n">
        <v>158.5760192871094</v>
      </c>
      <c r="H1567" s="6">
        <f>P1536</f>
        <v/>
      </c>
      <c r="I1567" s="9">
        <f>Q1536</f>
        <v/>
      </c>
      <c r="J1567" s="7">
        <f>I1567*G1567</f>
        <v/>
      </c>
      <c r="K1567" s="8">
        <f>IF($J$1582=0,0,J1567/$J$1582)</f>
        <v/>
      </c>
      <c r="L1567" s="6" t="inlineStr">
        <is>
          <t>REJECTED</t>
        </is>
      </c>
      <c r="M1567" s="8" t="n">
        <v>0</v>
      </c>
      <c r="N1567" s="7">
        <f>M1567*$J$1582-J1567</f>
        <v/>
      </c>
      <c r="O1567" s="9">
        <f>IF(G1567=0,0,N1567/G1567)</f>
        <v/>
      </c>
      <c r="P1567" s="6">
        <f>IF(M1567&gt;0,D1567,"")</f>
        <v/>
      </c>
      <c r="Q1567" s="9">
        <f>I1567+O1567</f>
        <v/>
      </c>
      <c r="R1567" s="7">
        <f>Q1567*G1567</f>
        <v/>
      </c>
      <c r="S1567" s="8">
        <f>IF($R$1582=0,0,R1567/$R$1582)</f>
        <v/>
      </c>
      <c r="T1567" s="8" t="n">
        <v>0</v>
      </c>
      <c r="U1567" s="8" t="n">
        <v>0.003139705116577352</v>
      </c>
      <c r="V1567" s="6" t="inlineStr">
        <is>
          <t>not selected</t>
        </is>
      </c>
    </row>
    <row r="1568">
      <c r="A1568" s="6" t="inlineStr">
        <is>
          <t>DJ30</t>
        </is>
      </c>
      <c r="B1568" s="6" t="inlineStr">
        <is>
          <t>2023-12-22</t>
        </is>
      </c>
      <c r="C1568" s="6" t="inlineStr">
        <is>
          <t>DIA</t>
        </is>
      </c>
      <c r="D1568" s="6" t="inlineStr">
        <is>
          <t>KO</t>
        </is>
      </c>
      <c r="E1568" s="6" t="inlineStr">
        <is>
          <t>KO</t>
        </is>
      </c>
      <c r="F1568" s="6" t="inlineStr">
        <is>
          <t>-</t>
        </is>
      </c>
      <c r="G1568" s="7" t="n">
        <v>54.24420166015625</v>
      </c>
      <c r="H1568" s="6">
        <f>P1537</f>
        <v/>
      </c>
      <c r="I1568" s="9">
        <f>Q1537</f>
        <v/>
      </c>
      <c r="J1568" s="7">
        <f>I1568*G1568</f>
        <v/>
      </c>
      <c r="K1568" s="8">
        <f>IF($J$1582=0,0,J1568/$J$1582)</f>
        <v/>
      </c>
      <c r="L1568" s="6" t="inlineStr">
        <is>
          <t>REJECTED</t>
        </is>
      </c>
      <c r="M1568" s="8" t="n">
        <v>0</v>
      </c>
      <c r="N1568" s="7">
        <f>M1568*$J$1582-J1568</f>
        <v/>
      </c>
      <c r="O1568" s="9">
        <f>IF(G1568=0,0,N1568/G1568)</f>
        <v/>
      </c>
      <c r="P1568" s="6">
        <f>IF(M1568&gt;0,D1568,"")</f>
        <v/>
      </c>
      <c r="Q1568" s="9">
        <f>I1568+O1568</f>
        <v/>
      </c>
      <c r="R1568" s="7">
        <f>Q1568*G1568</f>
        <v/>
      </c>
      <c r="S1568" s="8">
        <f>IF($R$1582=0,0,R1568/$R$1582)</f>
        <v/>
      </c>
      <c r="T1568" s="8" t="n">
        <v>0</v>
      </c>
      <c r="U1568" s="8" t="n">
        <v>0.003139705116577352</v>
      </c>
      <c r="V1568" s="6" t="inlineStr">
        <is>
          <t>not selected</t>
        </is>
      </c>
    </row>
    <row r="1569">
      <c r="A1569" s="6" t="inlineStr">
        <is>
          <t>DJ30</t>
        </is>
      </c>
      <c r="B1569" s="6" t="inlineStr">
        <is>
          <t>2023-12-22</t>
        </is>
      </c>
      <c r="C1569" s="6" t="inlineStr">
        <is>
          <t>DIA</t>
        </is>
      </c>
      <c r="D1569" s="6" t="inlineStr">
        <is>
          <t>MCD</t>
        </is>
      </c>
      <c r="E1569" s="6" t="inlineStr">
        <is>
          <t>MCD</t>
        </is>
      </c>
      <c r="F1569" s="6" t="inlineStr">
        <is>
          <t>-</t>
        </is>
      </c>
      <c r="G1569" s="7" t="n">
        <v>274.8964538574219</v>
      </c>
      <c r="H1569" s="6">
        <f>P1538</f>
        <v/>
      </c>
      <c r="I1569" s="9">
        <f>Q1538</f>
        <v/>
      </c>
      <c r="J1569" s="7">
        <f>I1569*G1569</f>
        <v/>
      </c>
      <c r="K1569" s="8">
        <f>IF($J$1582=0,0,J1569/$J$1582)</f>
        <v/>
      </c>
      <c r="L1569" s="6" t="inlineStr">
        <is>
          <t>REJECTED</t>
        </is>
      </c>
      <c r="M1569" s="8" t="n">
        <v>0</v>
      </c>
      <c r="N1569" s="7">
        <f>M1569*$J$1582-J1569</f>
        <v/>
      </c>
      <c r="O1569" s="9">
        <f>IF(G1569=0,0,N1569/G1569)</f>
        <v/>
      </c>
      <c r="P1569" s="6">
        <f>IF(M1569&gt;0,D1569,"")</f>
        <v/>
      </c>
      <c r="Q1569" s="9">
        <f>I1569+O1569</f>
        <v/>
      </c>
      <c r="R1569" s="7">
        <f>Q1569*G1569</f>
        <v/>
      </c>
      <c r="S1569" s="8">
        <f>IF($R$1582=0,0,R1569/$R$1582)</f>
        <v/>
      </c>
      <c r="T1569" s="8" t="n">
        <v>0</v>
      </c>
      <c r="U1569" s="8" t="n">
        <v>0.003139705116577352</v>
      </c>
      <c r="V1569" s="6" t="inlineStr">
        <is>
          <t>not selected</t>
        </is>
      </c>
    </row>
    <row r="1570">
      <c r="A1570" s="6" t="inlineStr">
        <is>
          <t>DJ30</t>
        </is>
      </c>
      <c r="B1570" s="6" t="inlineStr">
        <is>
          <t>2023-12-22</t>
        </is>
      </c>
      <c r="C1570" s="6" t="inlineStr">
        <is>
          <t>DIA</t>
        </is>
      </c>
      <c r="D1570" s="6" t="inlineStr">
        <is>
          <t>MMM</t>
        </is>
      </c>
      <c r="E1570" s="6" t="inlineStr">
        <is>
          <t>MMM</t>
        </is>
      </c>
      <c r="F1570" s="6" t="inlineStr">
        <is>
          <t>-</t>
        </is>
      </c>
      <c r="G1570" s="7" t="n">
        <v>83.52535247802734</v>
      </c>
      <c r="H1570" s="6">
        <f>P1539</f>
        <v/>
      </c>
      <c r="I1570" s="9">
        <f>Q1539</f>
        <v/>
      </c>
      <c r="J1570" s="7">
        <f>I1570*G1570</f>
        <v/>
      </c>
      <c r="K1570" s="8">
        <f>IF($J$1582=0,0,J1570/$J$1582)</f>
        <v/>
      </c>
      <c r="L1570" s="6" t="inlineStr">
        <is>
          <t>REJECTED</t>
        </is>
      </c>
      <c r="M1570" s="8" t="n">
        <v>0</v>
      </c>
      <c r="N1570" s="7">
        <f>M1570*$J$1582-J1570</f>
        <v/>
      </c>
      <c r="O1570" s="9">
        <f>IF(G1570=0,0,N1570/G1570)</f>
        <v/>
      </c>
      <c r="P1570" s="6">
        <f>IF(M1570&gt;0,D1570,"")</f>
        <v/>
      </c>
      <c r="Q1570" s="9">
        <f>I1570+O1570</f>
        <v/>
      </c>
      <c r="R1570" s="7">
        <f>Q1570*G1570</f>
        <v/>
      </c>
      <c r="S1570" s="8">
        <f>IF($R$1582=0,0,R1570/$R$1582)</f>
        <v/>
      </c>
      <c r="T1570" s="8" t="n">
        <v>0</v>
      </c>
      <c r="U1570" s="8" t="n">
        <v>0.003139705116577352</v>
      </c>
      <c r="V1570" s="6" t="inlineStr">
        <is>
          <t>not selected</t>
        </is>
      </c>
    </row>
    <row r="1571">
      <c r="A1571" s="6" t="inlineStr">
        <is>
          <t>DJ30</t>
        </is>
      </c>
      <c r="B1571" s="6" t="inlineStr">
        <is>
          <t>2023-12-22</t>
        </is>
      </c>
      <c r="C1571" s="6" t="inlineStr">
        <is>
          <t>DIA</t>
        </is>
      </c>
      <c r="D1571" s="6" t="inlineStr">
        <is>
          <t>MRK</t>
        </is>
      </c>
      <c r="E1571" s="6" t="inlineStr">
        <is>
          <t>MRK</t>
        </is>
      </c>
      <c r="F1571" s="6" t="inlineStr">
        <is>
          <t>-</t>
        </is>
      </c>
      <c r="G1571" s="7" t="n">
        <v>99.58095550537109</v>
      </c>
      <c r="H1571" s="6">
        <f>P1540</f>
        <v/>
      </c>
      <c r="I1571" s="9">
        <f>Q1540</f>
        <v/>
      </c>
      <c r="J1571" s="7">
        <f>I1571*G1571</f>
        <v/>
      </c>
      <c r="K1571" s="8">
        <f>IF($J$1582=0,0,J1571/$J$1582)</f>
        <v/>
      </c>
      <c r="L1571" s="6" t="inlineStr">
        <is>
          <t>REJECTED</t>
        </is>
      </c>
      <c r="M1571" s="8" t="n">
        <v>0</v>
      </c>
      <c r="N1571" s="7">
        <f>M1571*$J$1582-J1571</f>
        <v/>
      </c>
      <c r="O1571" s="9">
        <f>IF(G1571=0,0,N1571/G1571)</f>
        <v/>
      </c>
      <c r="P1571" s="6">
        <f>IF(M1571&gt;0,D1571,"")</f>
        <v/>
      </c>
      <c r="Q1571" s="9">
        <f>I1571+O1571</f>
        <v/>
      </c>
      <c r="R1571" s="7">
        <f>Q1571*G1571</f>
        <v/>
      </c>
      <c r="S1571" s="8">
        <f>IF($R$1582=0,0,R1571/$R$1582)</f>
        <v/>
      </c>
      <c r="T1571" s="8" t="n">
        <v>0</v>
      </c>
      <c r="U1571" s="8" t="n">
        <v>0.003139705116577352</v>
      </c>
      <c r="V1571" s="6" t="inlineStr">
        <is>
          <t>not selected</t>
        </is>
      </c>
    </row>
    <row r="1572">
      <c r="A1572" s="6" t="inlineStr">
        <is>
          <t>DJ30</t>
        </is>
      </c>
      <c r="B1572" s="6" t="inlineStr">
        <is>
          <t>2023-12-22</t>
        </is>
      </c>
      <c r="C1572" s="6" t="inlineStr">
        <is>
          <t>DIA</t>
        </is>
      </c>
      <c r="D1572" s="6" t="inlineStr">
        <is>
          <t>MSFT</t>
        </is>
      </c>
      <c r="E1572" s="6" t="inlineStr">
        <is>
          <t>MSFT</t>
        </is>
      </c>
      <c r="F1572" s="6" t="inlineStr">
        <is>
          <t>-</t>
        </is>
      </c>
      <c r="G1572" s="7" t="n">
        <v>367.4407958984375</v>
      </c>
      <c r="H1572" s="6">
        <f>P1541</f>
        <v/>
      </c>
      <c r="I1572" s="9">
        <f>Q1541</f>
        <v/>
      </c>
      <c r="J1572" s="7">
        <f>I1572*G1572</f>
        <v/>
      </c>
      <c r="K1572" s="8">
        <f>IF($J$1582=0,0,J1572/$J$1582)</f>
        <v/>
      </c>
      <c r="L1572" s="6" t="inlineStr">
        <is>
          <t>REJECTED</t>
        </is>
      </c>
      <c r="M1572" s="8" t="n">
        <v>0</v>
      </c>
      <c r="N1572" s="7">
        <f>M1572*$J$1582-J1572</f>
        <v/>
      </c>
      <c r="O1572" s="9">
        <f>IF(G1572=0,0,N1572/G1572)</f>
        <v/>
      </c>
      <c r="P1572" s="6">
        <f>IF(M1572&gt;0,D1572,"")</f>
        <v/>
      </c>
      <c r="Q1572" s="9">
        <f>I1572+O1572</f>
        <v/>
      </c>
      <c r="R1572" s="7">
        <f>Q1572*G1572</f>
        <v/>
      </c>
      <c r="S1572" s="8">
        <f>IF($R$1582=0,0,R1572/$R$1582)</f>
        <v/>
      </c>
      <c r="T1572" s="8" t="n">
        <v>0</v>
      </c>
      <c r="U1572" s="8" t="n">
        <v>0.003139705116577352</v>
      </c>
      <c r="V1572" s="6" t="inlineStr">
        <is>
          <t>not selected</t>
        </is>
      </c>
    </row>
    <row r="1573">
      <c r="A1573" s="6" t="inlineStr">
        <is>
          <t>DJ30</t>
        </is>
      </c>
      <c r="B1573" s="6" t="inlineStr">
        <is>
          <t>2023-12-22</t>
        </is>
      </c>
      <c r="C1573" s="6" t="inlineStr">
        <is>
          <t>DIA</t>
        </is>
      </c>
      <c r="D1573" s="6" t="inlineStr">
        <is>
          <t>NKE</t>
        </is>
      </c>
      <c r="E1573" s="6" t="inlineStr">
        <is>
          <t>NKE</t>
        </is>
      </c>
      <c r="F1573" s="6" t="inlineStr">
        <is>
          <t>-</t>
        </is>
      </c>
      <c r="G1573" s="7" t="n">
        <v>102.1814117431641</v>
      </c>
      <c r="H1573" s="6">
        <f>P1542</f>
        <v/>
      </c>
      <c r="I1573" s="9">
        <f>Q1542</f>
        <v/>
      </c>
      <c r="J1573" s="7">
        <f>I1573*G1573</f>
        <v/>
      </c>
      <c r="K1573" s="8">
        <f>IF($J$1582=0,0,J1573/$J$1582)</f>
        <v/>
      </c>
      <c r="L1573" s="6" t="inlineStr">
        <is>
          <t>REJECTED</t>
        </is>
      </c>
      <c r="M1573" s="8" t="n">
        <v>0</v>
      </c>
      <c r="N1573" s="7">
        <f>M1573*$J$1582-J1573</f>
        <v/>
      </c>
      <c r="O1573" s="9">
        <f>IF(G1573=0,0,N1573/G1573)</f>
        <v/>
      </c>
      <c r="P1573" s="6">
        <f>IF(M1573&gt;0,D1573,"")</f>
        <v/>
      </c>
      <c r="Q1573" s="9">
        <f>I1573+O1573</f>
        <v/>
      </c>
      <c r="R1573" s="7">
        <f>Q1573*G1573</f>
        <v/>
      </c>
      <c r="S1573" s="8">
        <f>IF($R$1582=0,0,R1573/$R$1582)</f>
        <v/>
      </c>
      <c r="T1573" s="8" t="n">
        <v>0</v>
      </c>
      <c r="U1573" s="8" t="n">
        <v>0.003139705116577352</v>
      </c>
      <c r="V1573" s="6" t="inlineStr">
        <is>
          <t>not selected</t>
        </is>
      </c>
    </row>
    <row r="1574">
      <c r="A1574" s="6" t="inlineStr">
        <is>
          <t>DJ30</t>
        </is>
      </c>
      <c r="B1574" s="6" t="inlineStr">
        <is>
          <t>2023-12-22</t>
        </is>
      </c>
      <c r="C1574" s="6" t="inlineStr">
        <is>
          <t>DIA</t>
        </is>
      </c>
      <c r="D1574" s="6" t="inlineStr">
        <is>
          <t>NVDA</t>
        </is>
      </c>
      <c r="E1574" s="6" t="inlineStr">
        <is>
          <t>NVDA</t>
        </is>
      </c>
      <c r="F1574" s="6" t="inlineStr">
        <is>
          <t>-</t>
        </is>
      </c>
      <c r="G1574" s="7" t="n">
        <v>48.74336242675781</v>
      </c>
      <c r="H1574" s="6">
        <f>P1543</f>
        <v/>
      </c>
      <c r="I1574" s="9">
        <f>Q1543</f>
        <v/>
      </c>
      <c r="J1574" s="7">
        <f>I1574*G1574</f>
        <v/>
      </c>
      <c r="K1574" s="8">
        <f>IF($J$1582=0,0,J1574/$J$1582)</f>
        <v/>
      </c>
      <c r="L1574" s="6" t="inlineStr">
        <is>
          <t>REJECTED</t>
        </is>
      </c>
      <c r="M1574" s="8" t="n">
        <v>0</v>
      </c>
      <c r="N1574" s="7">
        <f>M1574*$J$1582-J1574</f>
        <v/>
      </c>
      <c r="O1574" s="9">
        <f>IF(G1574=0,0,N1574/G1574)</f>
        <v/>
      </c>
      <c r="P1574" s="6">
        <f>IF(M1574&gt;0,D1574,"")</f>
        <v/>
      </c>
      <c r="Q1574" s="9">
        <f>I1574+O1574</f>
        <v/>
      </c>
      <c r="R1574" s="7">
        <f>Q1574*G1574</f>
        <v/>
      </c>
      <c r="S1574" s="8">
        <f>IF($R$1582=0,0,R1574/$R$1582)</f>
        <v/>
      </c>
      <c r="T1574" s="8" t="n">
        <v>0</v>
      </c>
      <c r="U1574" s="8" t="n">
        <v>0.003139705116577352</v>
      </c>
      <c r="V1574" s="6" t="inlineStr">
        <is>
          <t>not selected</t>
        </is>
      </c>
    </row>
    <row r="1575">
      <c r="A1575" s="6" t="inlineStr">
        <is>
          <t>DJ30</t>
        </is>
      </c>
      <c r="B1575" s="6" t="inlineStr">
        <is>
          <t>2023-12-22</t>
        </is>
      </c>
      <c r="C1575" s="6" t="inlineStr">
        <is>
          <t>DIA</t>
        </is>
      </c>
      <c r="D1575" s="6" t="inlineStr">
        <is>
          <t>PG</t>
        </is>
      </c>
      <c r="E1575" s="6" t="inlineStr">
        <is>
          <t>PG</t>
        </is>
      </c>
      <c r="F1575" s="6" t="inlineStr">
        <is>
          <t>-</t>
        </is>
      </c>
      <c r="G1575" s="7" t="n">
        <v>136.1038665771484</v>
      </c>
      <c r="H1575" s="6">
        <f>P1544</f>
        <v/>
      </c>
      <c r="I1575" s="9">
        <f>Q1544</f>
        <v/>
      </c>
      <c r="J1575" s="7">
        <f>I1575*G1575</f>
        <v/>
      </c>
      <c r="K1575" s="8">
        <f>IF($J$1582=0,0,J1575/$J$1582)</f>
        <v/>
      </c>
      <c r="L1575" s="6" t="inlineStr">
        <is>
          <t>REJECTED</t>
        </is>
      </c>
      <c r="M1575" s="8" t="n">
        <v>0</v>
      </c>
      <c r="N1575" s="7">
        <f>M1575*$J$1582-J1575</f>
        <v/>
      </c>
      <c r="O1575" s="9">
        <f>IF(G1575=0,0,N1575/G1575)</f>
        <v/>
      </c>
      <c r="P1575" s="6">
        <f>IF(M1575&gt;0,D1575,"")</f>
        <v/>
      </c>
      <c r="Q1575" s="9">
        <f>I1575+O1575</f>
        <v/>
      </c>
      <c r="R1575" s="7">
        <f>Q1575*G1575</f>
        <v/>
      </c>
      <c r="S1575" s="8">
        <f>IF($R$1582=0,0,R1575/$R$1582)</f>
        <v/>
      </c>
      <c r="T1575" s="8" t="n">
        <v>0</v>
      </c>
      <c r="U1575" s="8" t="n">
        <v>0.003139705116577352</v>
      </c>
      <c r="V1575" s="6" t="inlineStr">
        <is>
          <t>not selected</t>
        </is>
      </c>
    </row>
    <row r="1576">
      <c r="A1576" s="6" t="inlineStr">
        <is>
          <t>DJ30</t>
        </is>
      </c>
      <c r="B1576" s="6" t="inlineStr">
        <is>
          <t>2023-12-22</t>
        </is>
      </c>
      <c r="C1576" s="6" t="inlineStr">
        <is>
          <t>DIA</t>
        </is>
      </c>
      <c r="D1576" s="6" t="inlineStr">
        <is>
          <t>SHW</t>
        </is>
      </c>
      <c r="E1576" s="6" t="inlineStr">
        <is>
          <t>SHW</t>
        </is>
      </c>
      <c r="F1576" s="6" t="inlineStr">
        <is>
          <t>-</t>
        </is>
      </c>
      <c r="G1576" s="7" t="n">
        <v>304.4931335449219</v>
      </c>
      <c r="H1576" s="6">
        <f>P1545</f>
        <v/>
      </c>
      <c r="I1576" s="9">
        <f>Q1545</f>
        <v/>
      </c>
      <c r="J1576" s="7">
        <f>I1576*G1576</f>
        <v/>
      </c>
      <c r="K1576" s="8">
        <f>IF($J$1582=0,0,J1576/$J$1582)</f>
        <v/>
      </c>
      <c r="L1576" s="6" t="inlineStr">
        <is>
          <t>REJECTED</t>
        </is>
      </c>
      <c r="M1576" s="8" t="n">
        <v>0</v>
      </c>
      <c r="N1576" s="7">
        <f>M1576*$J$1582-J1576</f>
        <v/>
      </c>
      <c r="O1576" s="9">
        <f>IF(G1576=0,0,N1576/G1576)</f>
        <v/>
      </c>
      <c r="P1576" s="6">
        <f>IF(M1576&gt;0,D1576,"")</f>
        <v/>
      </c>
      <c r="Q1576" s="9">
        <f>I1576+O1576</f>
        <v/>
      </c>
      <c r="R1576" s="7">
        <f>Q1576*G1576</f>
        <v/>
      </c>
      <c r="S1576" s="8">
        <f>IF($R$1582=0,0,R1576/$R$1582)</f>
        <v/>
      </c>
      <c r="T1576" s="8" t="n">
        <v>0</v>
      </c>
      <c r="U1576" s="8" t="n">
        <v>0.003139705116577352</v>
      </c>
      <c r="V1576" s="6" t="inlineStr">
        <is>
          <t>not selected</t>
        </is>
      </c>
    </row>
    <row r="1577">
      <c r="A1577" s="6" t="inlineStr">
        <is>
          <t>DJ30</t>
        </is>
      </c>
      <c r="B1577" s="6" t="inlineStr">
        <is>
          <t>2023-12-22</t>
        </is>
      </c>
      <c r="C1577" s="6" t="inlineStr">
        <is>
          <t>DIA</t>
        </is>
      </c>
      <c r="D1577" s="6" t="inlineStr">
        <is>
          <t>TRV</t>
        </is>
      </c>
      <c r="E1577" s="6" t="inlineStr">
        <is>
          <t>TRV</t>
        </is>
      </c>
      <c r="F1577" s="6" t="inlineStr">
        <is>
          <t>-</t>
        </is>
      </c>
      <c r="G1577" s="7" t="n">
        <v>178.1561584472656</v>
      </c>
      <c r="H1577" s="6">
        <f>P1546</f>
        <v/>
      </c>
      <c r="I1577" s="9">
        <f>Q1546</f>
        <v/>
      </c>
      <c r="J1577" s="7">
        <f>I1577*G1577</f>
        <v/>
      </c>
      <c r="K1577" s="8">
        <f>IF($J$1582=0,0,J1577/$J$1582)</f>
        <v/>
      </c>
      <c r="L1577" s="6" t="inlineStr">
        <is>
          <t>REJECTED</t>
        </is>
      </c>
      <c r="M1577" s="8" t="n">
        <v>0</v>
      </c>
      <c r="N1577" s="7">
        <f>M1577*$J$1582-J1577</f>
        <v/>
      </c>
      <c r="O1577" s="9">
        <f>IF(G1577=0,0,N1577/G1577)</f>
        <v/>
      </c>
      <c r="P1577" s="6">
        <f>IF(M1577&gt;0,D1577,"")</f>
        <v/>
      </c>
      <c r="Q1577" s="9">
        <f>I1577+O1577</f>
        <v/>
      </c>
      <c r="R1577" s="7">
        <f>Q1577*G1577</f>
        <v/>
      </c>
      <c r="S1577" s="8">
        <f>IF($R$1582=0,0,R1577/$R$1582)</f>
        <v/>
      </c>
      <c r="T1577" s="8" t="n">
        <v>0</v>
      </c>
      <c r="U1577" s="8" t="n">
        <v>0.003139705116577352</v>
      </c>
      <c r="V1577" s="6" t="inlineStr">
        <is>
          <t>not selected</t>
        </is>
      </c>
    </row>
    <row r="1578">
      <c r="A1578" s="6" t="inlineStr">
        <is>
          <t>DJ30</t>
        </is>
      </c>
      <c r="B1578" s="6" t="inlineStr">
        <is>
          <t>2023-12-22</t>
        </is>
      </c>
      <c r="C1578" s="6" t="inlineStr">
        <is>
          <t>DIA</t>
        </is>
      </c>
      <c r="D1578" s="6" t="inlineStr">
        <is>
          <t>UNH</t>
        </is>
      </c>
      <c r="E1578" s="6" t="inlineStr">
        <is>
          <t>UNH</t>
        </is>
      </c>
      <c r="F1578" s="6" t="inlineStr">
        <is>
          <t>-</t>
        </is>
      </c>
      <c r="G1578" s="7" t="n">
        <v>493.302001953125</v>
      </c>
      <c r="H1578" s="6">
        <f>P1547</f>
        <v/>
      </c>
      <c r="I1578" s="9">
        <f>Q1547</f>
        <v/>
      </c>
      <c r="J1578" s="7">
        <f>I1578*G1578</f>
        <v/>
      </c>
      <c r="K1578" s="8">
        <f>IF($J$1582=0,0,J1578/$J$1582)</f>
        <v/>
      </c>
      <c r="L1578" s="6" t="inlineStr">
        <is>
          <t>REJECTED</t>
        </is>
      </c>
      <c r="M1578" s="8" t="n">
        <v>0</v>
      </c>
      <c r="N1578" s="7">
        <f>M1578*$J$1582-J1578</f>
        <v/>
      </c>
      <c r="O1578" s="9">
        <f>IF(G1578=0,0,N1578/G1578)</f>
        <v/>
      </c>
      <c r="P1578" s="6">
        <f>IF(M1578&gt;0,D1578,"")</f>
        <v/>
      </c>
      <c r="Q1578" s="9">
        <f>I1578+O1578</f>
        <v/>
      </c>
      <c r="R1578" s="7">
        <f>Q1578*G1578</f>
        <v/>
      </c>
      <c r="S1578" s="8">
        <f>IF($R$1582=0,0,R1578/$R$1582)</f>
        <v/>
      </c>
      <c r="T1578" s="8" t="n">
        <v>0</v>
      </c>
      <c r="U1578" s="8" t="n">
        <v>0.003139705116577352</v>
      </c>
      <c r="V1578" s="6" t="inlineStr">
        <is>
          <t>not selected</t>
        </is>
      </c>
    </row>
    <row r="1579">
      <c r="A1579" s="6" t="inlineStr">
        <is>
          <t>DJ30</t>
        </is>
      </c>
      <c r="B1579" s="6" t="inlineStr">
        <is>
          <t>2023-12-22</t>
        </is>
      </c>
      <c r="C1579" s="6" t="inlineStr">
        <is>
          <t>DIA</t>
        </is>
      </c>
      <c r="D1579" s="6" t="inlineStr">
        <is>
          <t>V</t>
        </is>
      </c>
      <c r="E1579" s="6" t="inlineStr">
        <is>
          <t>V</t>
        </is>
      </c>
      <c r="F1579" s="6" t="inlineStr">
        <is>
          <t>-</t>
        </is>
      </c>
      <c r="G1579" s="7" t="n">
        <v>253.6110534667969</v>
      </c>
      <c r="H1579" s="6">
        <f>P1548</f>
        <v/>
      </c>
      <c r="I1579" s="9">
        <f>Q1548</f>
        <v/>
      </c>
      <c r="J1579" s="7">
        <f>I1579*G1579</f>
        <v/>
      </c>
      <c r="K1579" s="8">
        <f>IF($J$1582=0,0,J1579/$J$1582)</f>
        <v/>
      </c>
      <c r="L1579" s="6" t="inlineStr">
        <is>
          <t>REJECTED</t>
        </is>
      </c>
      <c r="M1579" s="8" t="n">
        <v>0</v>
      </c>
      <c r="N1579" s="7">
        <f>M1579*$J$1582-J1579</f>
        <v/>
      </c>
      <c r="O1579" s="9">
        <f>IF(G1579=0,0,N1579/G1579)</f>
        <v/>
      </c>
      <c r="P1579" s="6">
        <f>IF(M1579&gt;0,D1579,"")</f>
        <v/>
      </c>
      <c r="Q1579" s="9">
        <f>I1579+O1579</f>
        <v/>
      </c>
      <c r="R1579" s="7">
        <f>Q1579*G1579</f>
        <v/>
      </c>
      <c r="S1579" s="8">
        <f>IF($R$1582=0,0,R1579/$R$1582)</f>
        <v/>
      </c>
      <c r="T1579" s="8" t="n">
        <v>0</v>
      </c>
      <c r="U1579" s="8" t="n">
        <v>0.003139705116577352</v>
      </c>
      <c r="V1579" s="6" t="inlineStr">
        <is>
          <t>not selected</t>
        </is>
      </c>
    </row>
    <row r="1580">
      <c r="A1580" s="6" t="inlineStr">
        <is>
          <t>DJ30</t>
        </is>
      </c>
      <c r="B1580" s="6" t="inlineStr">
        <is>
          <t>2023-12-22</t>
        </is>
      </c>
      <c r="C1580" s="6" t="inlineStr">
        <is>
          <t>DIA</t>
        </is>
      </c>
      <c r="D1580" s="6" t="inlineStr">
        <is>
          <t>VZ</t>
        </is>
      </c>
      <c r="E1580" s="6" t="inlineStr">
        <is>
          <t>VZ</t>
        </is>
      </c>
      <c r="F1580" s="6" t="inlineStr">
        <is>
          <t>-</t>
        </is>
      </c>
      <c r="G1580" s="7" t="n">
        <v>31.8441104888916</v>
      </c>
      <c r="H1580" s="6">
        <f>P1549</f>
        <v/>
      </c>
      <c r="I1580" s="9">
        <f>Q1549</f>
        <v/>
      </c>
      <c r="J1580" s="7">
        <f>I1580*G1580</f>
        <v/>
      </c>
      <c r="K1580" s="8">
        <f>IF($J$1582=0,0,J1580/$J$1582)</f>
        <v/>
      </c>
      <c r="L1580" s="6" t="inlineStr">
        <is>
          <t>REJECTED</t>
        </is>
      </c>
      <c r="M1580" s="8" t="n">
        <v>0</v>
      </c>
      <c r="N1580" s="7">
        <f>M1580*$J$1582-J1580</f>
        <v/>
      </c>
      <c r="O1580" s="9">
        <f>IF(G1580=0,0,N1580/G1580)</f>
        <v/>
      </c>
      <c r="P1580" s="6">
        <f>IF(M1580&gt;0,D1580,"")</f>
        <v/>
      </c>
      <c r="Q1580" s="9">
        <f>I1580+O1580</f>
        <v/>
      </c>
      <c r="R1580" s="7">
        <f>Q1580*G1580</f>
        <v/>
      </c>
      <c r="S1580" s="8">
        <f>IF($R$1582=0,0,R1580/$R$1582)</f>
        <v/>
      </c>
      <c r="T1580" s="8" t="n">
        <v>0</v>
      </c>
      <c r="U1580" s="8" t="n">
        <v>0.003139705116577352</v>
      </c>
      <c r="V1580" s="6" t="inlineStr">
        <is>
          <t>not selected</t>
        </is>
      </c>
    </row>
    <row r="1581">
      <c r="A1581" s="6" t="inlineStr">
        <is>
          <t>DJ30</t>
        </is>
      </c>
      <c r="B1581" s="6" t="inlineStr">
        <is>
          <t>2023-12-22</t>
        </is>
      </c>
      <c r="C1581" s="6" t="inlineStr">
        <is>
          <t>DIA</t>
        </is>
      </c>
      <c r="D1581" s="6" t="inlineStr">
        <is>
          <t>WMT</t>
        </is>
      </c>
      <c r="E1581" s="6" t="inlineStr">
        <is>
          <t>WMT</t>
        </is>
      </c>
      <c r="F1581" s="6" t="inlineStr">
        <is>
          <t>-</t>
        </is>
      </c>
      <c r="G1581" s="7" t="n">
        <v>50.90716171264648</v>
      </c>
      <c r="H1581" s="6">
        <f>P1550</f>
        <v/>
      </c>
      <c r="I1581" s="9">
        <f>Q1550</f>
        <v/>
      </c>
      <c r="J1581" s="7">
        <f>I1581*G1581</f>
        <v/>
      </c>
      <c r="K1581" s="8">
        <f>IF($J$1582=0,0,J1581/$J$1582)</f>
        <v/>
      </c>
      <c r="L1581" s="6" t="inlineStr">
        <is>
          <t>REJECTED</t>
        </is>
      </c>
      <c r="M1581" s="8" t="n">
        <v>0</v>
      </c>
      <c r="N1581" s="7">
        <f>M1581*$J$1582-J1581</f>
        <v/>
      </c>
      <c r="O1581" s="9">
        <f>IF(G1581=0,0,N1581/G1581)</f>
        <v/>
      </c>
      <c r="P1581" s="6">
        <f>IF(M1581&gt;0,D1581,"")</f>
        <v/>
      </c>
      <c r="Q1581" s="9">
        <f>I1581+O1581</f>
        <v/>
      </c>
      <c r="R1581" s="7">
        <f>Q1581*G1581</f>
        <v/>
      </c>
      <c r="S1581" s="8">
        <f>IF($R$1582=0,0,R1581/$R$1582)</f>
        <v/>
      </c>
      <c r="T1581" s="8" t="n">
        <v>0</v>
      </c>
      <c r="U1581" s="8" t="n">
        <v>0.003139705116577352</v>
      </c>
      <c r="V1581" s="6" t="inlineStr">
        <is>
          <t>not selected</t>
        </is>
      </c>
    </row>
    <row r="1582">
      <c r="A1582" s="10" t="inlineStr">
        <is>
          <t>DJ30</t>
        </is>
      </c>
      <c r="B1582" s="10" t="inlineStr">
        <is>
          <t>2023-12-22</t>
        </is>
      </c>
      <c r="C1582" s="10" t="inlineStr">
        <is>
          <t>DIA</t>
        </is>
      </c>
      <c r="D1582" s="10" t="inlineStr">
        <is>
          <t>Tot Portfolio</t>
        </is>
      </c>
      <c r="E1582" s="10" t="inlineStr"/>
      <c r="F1582" s="10" t="inlineStr"/>
      <c r="G1582" s="11" t="inlineStr"/>
      <c r="H1582" s="10" t="inlineStr"/>
      <c r="I1582" s="12" t="inlineStr"/>
      <c r="J1582" s="11">
        <f>SUM(J1552:J1581)</f>
        <v/>
      </c>
      <c r="K1582" s="13">
        <f>SUM(K1552:K1581)</f>
        <v/>
      </c>
      <c r="L1582" s="10" t="inlineStr">
        <is>
          <t>TOTAL</t>
        </is>
      </c>
      <c r="M1582" s="13">
        <f>SUM(M1552:M1581)</f>
        <v/>
      </c>
      <c r="N1582" s="11">
        <f>SUM(N1552:N1581)</f>
        <v/>
      </c>
      <c r="O1582" s="12">
        <f>SUM(O1552:O1581)</f>
        <v/>
      </c>
      <c r="P1582" s="10" t="inlineStr"/>
      <c r="Q1582" s="12" t="inlineStr"/>
      <c r="R1582" s="11">
        <f>SUM(R1552:R1581)</f>
        <v/>
      </c>
      <c r="S1582" s="13">
        <f>SUM(S1552:S1581)</f>
        <v/>
      </c>
      <c r="T1582" s="13" t="n">
        <v>0</v>
      </c>
      <c r="U1582" s="13" t="n">
        <v>0.003139705116577352</v>
      </c>
      <c r="V1582" s="10" t="inlineStr"/>
    </row>
    <row r="1583">
      <c r="A1583" s="6" t="inlineStr">
        <is>
          <t>DJ30</t>
        </is>
      </c>
      <c r="B1583" s="6" t="inlineStr">
        <is>
          <t>2023-12-29</t>
        </is>
      </c>
      <c r="C1583" s="6" t="inlineStr">
        <is>
          <t>DIA</t>
        </is>
      </c>
      <c r="D1583" s="6" t="inlineStr">
        <is>
          <t>AAPL</t>
        </is>
      </c>
      <c r="E1583" s="6" t="inlineStr">
        <is>
          <t>AAPL</t>
        </is>
      </c>
      <c r="F1583" s="6" t="inlineStr">
        <is>
          <t>-</t>
        </is>
      </c>
      <c r="G1583" s="7" t="n">
        <v>190.3750915527344</v>
      </c>
      <c r="H1583" s="6">
        <f>P1552</f>
        <v/>
      </c>
      <c r="I1583" s="9">
        <f>Q1552</f>
        <v/>
      </c>
      <c r="J1583" s="7">
        <f>I1583*G1583</f>
        <v/>
      </c>
      <c r="K1583" s="8">
        <f>IF($J$1613=0,0,J1583/$J$1613)</f>
        <v/>
      </c>
      <c r="L1583" s="6" t="inlineStr">
        <is>
          <t>REJECTED</t>
        </is>
      </c>
      <c r="M1583" s="8" t="n">
        <v>0</v>
      </c>
      <c r="N1583" s="7">
        <f>M1583*$J$1613-J1583</f>
        <v/>
      </c>
      <c r="O1583" s="9">
        <f>IF(G1583=0,0,N1583/G1583)</f>
        <v/>
      </c>
      <c r="P1583" s="6">
        <f>IF(M1583&gt;0,D1583,"")</f>
        <v/>
      </c>
      <c r="Q1583" s="9">
        <f>I1583+O1583</f>
        <v/>
      </c>
      <c r="R1583" s="7">
        <f>Q1583*G1583</f>
        <v/>
      </c>
      <c r="S1583" s="8">
        <f>IF($R$1613=0,0,R1583/$R$1613)</f>
        <v/>
      </c>
      <c r="T1583" s="8" t="n">
        <v>0</v>
      </c>
      <c r="U1583" s="8" t="n">
        <v>0.008212871819592626</v>
      </c>
      <c r="V1583" s="6" t="inlineStr">
        <is>
          <t>not selected</t>
        </is>
      </c>
    </row>
    <row r="1584">
      <c r="A1584" s="6" t="inlineStr">
        <is>
          <t>DJ30</t>
        </is>
      </c>
      <c r="B1584" s="6" t="inlineStr">
        <is>
          <t>2023-12-29</t>
        </is>
      </c>
      <c r="C1584" s="6" t="inlineStr">
        <is>
          <t>DIA</t>
        </is>
      </c>
      <c r="D1584" s="6" t="inlineStr">
        <is>
          <t>AMGN</t>
        </is>
      </c>
      <c r="E1584" s="6" t="inlineStr">
        <is>
          <t>AMGN</t>
        </is>
      </c>
      <c r="F1584" s="6" t="inlineStr">
        <is>
          <t>-</t>
        </is>
      </c>
      <c r="G1584" s="7" t="n">
        <v>266.880615234375</v>
      </c>
      <c r="H1584" s="6">
        <f>P1553</f>
        <v/>
      </c>
      <c r="I1584" s="9">
        <f>Q1553</f>
        <v/>
      </c>
      <c r="J1584" s="7">
        <f>I1584*G1584</f>
        <v/>
      </c>
      <c r="K1584" s="8">
        <f>IF($J$1613=0,0,J1584/$J$1613)</f>
        <v/>
      </c>
      <c r="L1584" s="6" t="inlineStr">
        <is>
          <t>REJECTED</t>
        </is>
      </c>
      <c r="M1584" s="8" t="n">
        <v>0</v>
      </c>
      <c r="N1584" s="7">
        <f>M1584*$J$1613-J1584</f>
        <v/>
      </c>
      <c r="O1584" s="9">
        <f>IF(G1584=0,0,N1584/G1584)</f>
        <v/>
      </c>
      <c r="P1584" s="6">
        <f>IF(M1584&gt;0,D1584,"")</f>
        <v/>
      </c>
      <c r="Q1584" s="9">
        <f>I1584+O1584</f>
        <v/>
      </c>
      <c r="R1584" s="7">
        <f>Q1584*G1584</f>
        <v/>
      </c>
      <c r="S1584" s="8">
        <f>IF($R$1613=0,0,R1584/$R$1613)</f>
        <v/>
      </c>
      <c r="T1584" s="8" t="n">
        <v>0</v>
      </c>
      <c r="U1584" s="8" t="n">
        <v>0.008212871819592626</v>
      </c>
      <c r="V1584" s="6" t="inlineStr">
        <is>
          <t>not selected</t>
        </is>
      </c>
    </row>
    <row r="1585">
      <c r="A1585" s="6" t="inlineStr">
        <is>
          <t>DJ30</t>
        </is>
      </c>
      <c r="B1585" s="6" t="inlineStr">
        <is>
          <t>2023-12-29</t>
        </is>
      </c>
      <c r="C1585" s="6" t="inlineStr">
        <is>
          <t>DIA</t>
        </is>
      </c>
      <c r="D1585" s="6" t="inlineStr">
        <is>
          <t>AMZN</t>
        </is>
      </c>
      <c r="E1585" s="6" t="inlineStr">
        <is>
          <t>AMZN</t>
        </is>
      </c>
      <c r="F1585" s="6" t="inlineStr">
        <is>
          <t>-</t>
        </is>
      </c>
      <c r="G1585" s="7" t="n">
        <v>151.9400024414062</v>
      </c>
      <c r="H1585" s="6">
        <f>P1554</f>
        <v/>
      </c>
      <c r="I1585" s="9">
        <f>Q1554</f>
        <v/>
      </c>
      <c r="J1585" s="7">
        <f>I1585*G1585</f>
        <v/>
      </c>
      <c r="K1585" s="8">
        <f>IF($J$1613=0,0,J1585/$J$1613)</f>
        <v/>
      </c>
      <c r="L1585" s="6" t="inlineStr">
        <is>
          <t>REJECTED</t>
        </is>
      </c>
      <c r="M1585" s="8" t="n">
        <v>0</v>
      </c>
      <c r="N1585" s="7">
        <f>M1585*$J$1613-J1585</f>
        <v/>
      </c>
      <c r="O1585" s="9">
        <f>IF(G1585=0,0,N1585/G1585)</f>
        <v/>
      </c>
      <c r="P1585" s="6">
        <f>IF(M1585&gt;0,D1585,"")</f>
        <v/>
      </c>
      <c r="Q1585" s="9">
        <f>I1585+O1585</f>
        <v/>
      </c>
      <c r="R1585" s="7">
        <f>Q1585*G1585</f>
        <v/>
      </c>
      <c r="S1585" s="8">
        <f>IF($R$1613=0,0,R1585/$R$1613)</f>
        <v/>
      </c>
      <c r="T1585" s="8" t="n">
        <v>0</v>
      </c>
      <c r="U1585" s="8" t="n">
        <v>0.008212871819592626</v>
      </c>
      <c r="V1585" s="6" t="inlineStr">
        <is>
          <t>not selected</t>
        </is>
      </c>
    </row>
    <row r="1586">
      <c r="A1586" s="6" t="inlineStr">
        <is>
          <t>DJ30</t>
        </is>
      </c>
      <c r="B1586" s="6" t="inlineStr">
        <is>
          <t>2023-12-29</t>
        </is>
      </c>
      <c r="C1586" s="6" t="inlineStr">
        <is>
          <t>DIA</t>
        </is>
      </c>
      <c r="D1586" s="6" t="inlineStr">
        <is>
          <t>AXP</t>
        </is>
      </c>
      <c r="E1586" s="6" t="inlineStr">
        <is>
          <t>AXP</t>
        </is>
      </c>
      <c r="F1586" s="6" t="inlineStr">
        <is>
          <t>-</t>
        </is>
      </c>
      <c r="G1586" s="7" t="n">
        <v>182.1685485839844</v>
      </c>
      <c r="H1586" s="6">
        <f>P1555</f>
        <v/>
      </c>
      <c r="I1586" s="9">
        <f>Q1555</f>
        <v/>
      </c>
      <c r="J1586" s="7">
        <f>I1586*G1586</f>
        <v/>
      </c>
      <c r="K1586" s="8">
        <f>IF($J$1613=0,0,J1586/$J$1613)</f>
        <v/>
      </c>
      <c r="L1586" s="6" t="inlineStr">
        <is>
          <t>REJECTED</t>
        </is>
      </c>
      <c r="M1586" s="8" t="n">
        <v>0</v>
      </c>
      <c r="N1586" s="7">
        <f>M1586*$J$1613-J1586</f>
        <v/>
      </c>
      <c r="O1586" s="9">
        <f>IF(G1586=0,0,N1586/G1586)</f>
        <v/>
      </c>
      <c r="P1586" s="6">
        <f>IF(M1586&gt;0,D1586,"")</f>
        <v/>
      </c>
      <c r="Q1586" s="9">
        <f>I1586+O1586</f>
        <v/>
      </c>
      <c r="R1586" s="7">
        <f>Q1586*G1586</f>
        <v/>
      </c>
      <c r="S1586" s="8">
        <f>IF($R$1613=0,0,R1586/$R$1613)</f>
        <v/>
      </c>
      <c r="T1586" s="8" t="n">
        <v>0</v>
      </c>
      <c r="U1586" s="8" t="n">
        <v>0.008212871819592626</v>
      </c>
      <c r="V1586" s="6" t="inlineStr">
        <is>
          <t>not selected</t>
        </is>
      </c>
    </row>
    <row r="1587">
      <c r="A1587" s="6" t="inlineStr">
        <is>
          <t>DJ30</t>
        </is>
      </c>
      <c r="B1587" s="6" t="inlineStr">
        <is>
          <t>2023-12-29</t>
        </is>
      </c>
      <c r="C1587" s="6" t="inlineStr">
        <is>
          <t>DIA</t>
        </is>
      </c>
      <c r="D1587" s="6" t="inlineStr">
        <is>
          <t>BA</t>
        </is>
      </c>
      <c r="E1587" s="6" t="inlineStr">
        <is>
          <t>BA</t>
        </is>
      </c>
      <c r="F1587" s="6" t="inlineStr">
        <is>
          <t>-</t>
        </is>
      </c>
      <c r="G1587" s="7" t="n">
        <v>260.6600036621094</v>
      </c>
      <c r="H1587" s="6">
        <f>P1556</f>
        <v/>
      </c>
      <c r="I1587" s="9">
        <f>Q1556</f>
        <v/>
      </c>
      <c r="J1587" s="7">
        <f>I1587*G1587</f>
        <v/>
      </c>
      <c r="K1587" s="8">
        <f>IF($J$1613=0,0,J1587/$J$1613)</f>
        <v/>
      </c>
      <c r="L1587" s="6" t="inlineStr">
        <is>
          <t>REJECTED</t>
        </is>
      </c>
      <c r="M1587" s="8" t="n">
        <v>0</v>
      </c>
      <c r="N1587" s="7">
        <f>M1587*$J$1613-J1587</f>
        <v/>
      </c>
      <c r="O1587" s="9">
        <f>IF(G1587=0,0,N1587/G1587)</f>
        <v/>
      </c>
      <c r="P1587" s="6">
        <f>IF(M1587&gt;0,D1587,"")</f>
        <v/>
      </c>
      <c r="Q1587" s="9">
        <f>I1587+O1587</f>
        <v/>
      </c>
      <c r="R1587" s="7">
        <f>Q1587*G1587</f>
        <v/>
      </c>
      <c r="S1587" s="8">
        <f>IF($R$1613=0,0,R1587/$R$1613)</f>
        <v/>
      </c>
      <c r="T1587" s="8" t="n">
        <v>0</v>
      </c>
      <c r="U1587" s="8" t="n">
        <v>0.008212871819592626</v>
      </c>
      <c r="V1587" s="6" t="inlineStr">
        <is>
          <t>not selected</t>
        </is>
      </c>
    </row>
    <row r="1588">
      <c r="A1588" s="6" t="inlineStr">
        <is>
          <t>DJ30</t>
        </is>
      </c>
      <c r="B1588" s="6" t="inlineStr">
        <is>
          <t>2023-12-29</t>
        </is>
      </c>
      <c r="C1588" s="6" t="inlineStr">
        <is>
          <t>DIA</t>
        </is>
      </c>
      <c r="D1588" s="6" t="inlineStr">
        <is>
          <t>CAT</t>
        </is>
      </c>
      <c r="E1588" s="6" t="inlineStr">
        <is>
          <t>CAT</t>
        </is>
      </c>
      <c r="F1588" s="6" t="inlineStr">
        <is>
          <t>-</t>
        </is>
      </c>
      <c r="G1588" s="7" t="n">
        <v>285.4609375</v>
      </c>
      <c r="H1588" s="6">
        <f>P1557</f>
        <v/>
      </c>
      <c r="I1588" s="9">
        <f>Q1557</f>
        <v/>
      </c>
      <c r="J1588" s="7">
        <f>I1588*G1588</f>
        <v/>
      </c>
      <c r="K1588" s="8">
        <f>IF($J$1613=0,0,J1588/$J$1613)</f>
        <v/>
      </c>
      <c r="L1588" s="6" t="inlineStr">
        <is>
          <t>REJECTED</t>
        </is>
      </c>
      <c r="M1588" s="8" t="n">
        <v>0</v>
      </c>
      <c r="N1588" s="7">
        <f>M1588*$J$1613-J1588</f>
        <v/>
      </c>
      <c r="O1588" s="9">
        <f>IF(G1588=0,0,N1588/G1588)</f>
        <v/>
      </c>
      <c r="P1588" s="6">
        <f>IF(M1588&gt;0,D1588,"")</f>
        <v/>
      </c>
      <c r="Q1588" s="9">
        <f>I1588+O1588</f>
        <v/>
      </c>
      <c r="R1588" s="7">
        <f>Q1588*G1588</f>
        <v/>
      </c>
      <c r="S1588" s="8">
        <f>IF($R$1613=0,0,R1588/$R$1613)</f>
        <v/>
      </c>
      <c r="T1588" s="8" t="n">
        <v>0</v>
      </c>
      <c r="U1588" s="8" t="n">
        <v>0.008212871819592626</v>
      </c>
      <c r="V1588" s="6" t="inlineStr">
        <is>
          <t>not selected</t>
        </is>
      </c>
    </row>
    <row r="1589">
      <c r="A1589" s="6" t="inlineStr">
        <is>
          <t>DJ30</t>
        </is>
      </c>
      <c r="B1589" s="6" t="inlineStr">
        <is>
          <t>2023-12-29</t>
        </is>
      </c>
      <c r="C1589" s="6" t="inlineStr">
        <is>
          <t>DIA</t>
        </is>
      </c>
      <c r="D1589" s="6" t="inlineStr">
        <is>
          <t>CRM</t>
        </is>
      </c>
      <c r="E1589" s="6" t="inlineStr">
        <is>
          <t>CRM</t>
        </is>
      </c>
      <c r="F1589" s="6" t="inlineStr">
        <is>
          <t>-</t>
        </is>
      </c>
      <c r="G1589" s="7" t="n">
        <v>258.6650085449219</v>
      </c>
      <c r="H1589" s="6">
        <f>P1558</f>
        <v/>
      </c>
      <c r="I1589" s="9">
        <f>Q1558</f>
        <v/>
      </c>
      <c r="J1589" s="7">
        <f>I1589*G1589</f>
        <v/>
      </c>
      <c r="K1589" s="8">
        <f>IF($J$1613=0,0,J1589/$J$1613)</f>
        <v/>
      </c>
      <c r="L1589" s="6" t="inlineStr">
        <is>
          <t>REJECTED</t>
        </is>
      </c>
      <c r="M1589" s="8" t="n">
        <v>0</v>
      </c>
      <c r="N1589" s="7">
        <f>M1589*$J$1613-J1589</f>
        <v/>
      </c>
      <c r="O1589" s="9">
        <f>IF(G1589=0,0,N1589/G1589)</f>
        <v/>
      </c>
      <c r="P1589" s="6">
        <f>IF(M1589&gt;0,D1589,"")</f>
        <v/>
      </c>
      <c r="Q1589" s="9">
        <f>I1589+O1589</f>
        <v/>
      </c>
      <c r="R1589" s="7">
        <f>Q1589*G1589</f>
        <v/>
      </c>
      <c r="S1589" s="8">
        <f>IF($R$1613=0,0,R1589/$R$1613)</f>
        <v/>
      </c>
      <c r="T1589" s="8" t="n">
        <v>0</v>
      </c>
      <c r="U1589" s="8" t="n">
        <v>0.008212871819592626</v>
      </c>
      <c r="V1589" s="6" t="inlineStr">
        <is>
          <t>not selected</t>
        </is>
      </c>
    </row>
    <row r="1590">
      <c r="A1590" s="6" t="inlineStr">
        <is>
          <t>DJ30</t>
        </is>
      </c>
      <c r="B1590" s="6" t="inlineStr">
        <is>
          <t>2023-12-29</t>
        </is>
      </c>
      <c r="C1590" s="6" t="inlineStr">
        <is>
          <t>DIA</t>
        </is>
      </c>
      <c r="D1590" s="6" t="inlineStr">
        <is>
          <t>CSCO</t>
        </is>
      </c>
      <c r="E1590" s="6" t="inlineStr">
        <is>
          <t>CSCO</t>
        </is>
      </c>
      <c r="F1590" s="6" t="inlineStr">
        <is>
          <t>-</t>
        </is>
      </c>
      <c r="G1590" s="7" t="n">
        <v>47.18780899047852</v>
      </c>
      <c r="H1590" s="6">
        <f>P1559</f>
        <v/>
      </c>
      <c r="I1590" s="9">
        <f>Q1559</f>
        <v/>
      </c>
      <c r="J1590" s="7">
        <f>I1590*G1590</f>
        <v/>
      </c>
      <c r="K1590" s="8">
        <f>IF($J$1613=0,0,J1590/$J$1613)</f>
        <v/>
      </c>
      <c r="L1590" s="6" t="inlineStr">
        <is>
          <t>REJECTED</t>
        </is>
      </c>
      <c r="M1590" s="8" t="n">
        <v>0</v>
      </c>
      <c r="N1590" s="7">
        <f>M1590*$J$1613-J1590</f>
        <v/>
      </c>
      <c r="O1590" s="9">
        <f>IF(G1590=0,0,N1590/G1590)</f>
        <v/>
      </c>
      <c r="P1590" s="6">
        <f>IF(M1590&gt;0,D1590,"")</f>
        <v/>
      </c>
      <c r="Q1590" s="9">
        <f>I1590+O1590</f>
        <v/>
      </c>
      <c r="R1590" s="7">
        <f>Q1590*G1590</f>
        <v/>
      </c>
      <c r="S1590" s="8">
        <f>IF($R$1613=0,0,R1590/$R$1613)</f>
        <v/>
      </c>
      <c r="T1590" s="8" t="n">
        <v>0</v>
      </c>
      <c r="U1590" s="8" t="n">
        <v>0.008212871819592626</v>
      </c>
      <c r="V1590" s="6" t="inlineStr">
        <is>
          <t>not selected</t>
        </is>
      </c>
    </row>
    <row r="1591">
      <c r="A1591" s="6" t="inlineStr">
        <is>
          <t>DJ30</t>
        </is>
      </c>
      <c r="B1591" s="6" t="inlineStr">
        <is>
          <t>2023-12-29</t>
        </is>
      </c>
      <c r="C1591" s="6" t="inlineStr">
        <is>
          <t>DIA</t>
        </is>
      </c>
      <c r="D1591" s="6" t="inlineStr">
        <is>
          <t>CVX</t>
        </is>
      </c>
      <c r="E1591" s="6" t="inlineStr">
        <is>
          <t>CVX</t>
        </is>
      </c>
      <c r="F1591" s="6" t="inlineStr">
        <is>
          <t>-</t>
        </is>
      </c>
      <c r="G1591" s="7" t="n">
        <v>134.11181640625</v>
      </c>
      <c r="H1591" s="6">
        <f>P1560</f>
        <v/>
      </c>
      <c r="I1591" s="9">
        <f>Q1560</f>
        <v/>
      </c>
      <c r="J1591" s="7">
        <f>I1591*G1591</f>
        <v/>
      </c>
      <c r="K1591" s="8">
        <f>IF($J$1613=0,0,J1591/$J$1613)</f>
        <v/>
      </c>
      <c r="L1591" s="6" t="inlineStr">
        <is>
          <t>REJECTED</t>
        </is>
      </c>
      <c r="M1591" s="8" t="n">
        <v>0</v>
      </c>
      <c r="N1591" s="7">
        <f>M1591*$J$1613-J1591</f>
        <v/>
      </c>
      <c r="O1591" s="9">
        <f>IF(G1591=0,0,N1591/G1591)</f>
        <v/>
      </c>
      <c r="P1591" s="6">
        <f>IF(M1591&gt;0,D1591,"")</f>
        <v/>
      </c>
      <c r="Q1591" s="9">
        <f>I1591+O1591</f>
        <v/>
      </c>
      <c r="R1591" s="7">
        <f>Q1591*G1591</f>
        <v/>
      </c>
      <c r="S1591" s="8">
        <f>IF($R$1613=0,0,R1591/$R$1613)</f>
        <v/>
      </c>
      <c r="T1591" s="8" t="n">
        <v>0</v>
      </c>
      <c r="U1591" s="8" t="n">
        <v>0.008212871819592626</v>
      </c>
      <c r="V1591" s="6" t="inlineStr">
        <is>
          <t>not selected</t>
        </is>
      </c>
    </row>
    <row r="1592">
      <c r="A1592" s="6" t="inlineStr">
        <is>
          <t>DJ30</t>
        </is>
      </c>
      <c r="B1592" s="6" t="inlineStr">
        <is>
          <t>2023-12-29</t>
        </is>
      </c>
      <c r="C1592" s="6" t="inlineStr">
        <is>
          <t>DIA</t>
        </is>
      </c>
      <c r="D1592" s="6" t="inlineStr">
        <is>
          <t>DIS</t>
        </is>
      </c>
      <c r="E1592" s="6" t="inlineStr">
        <is>
          <t>DIS</t>
        </is>
      </c>
      <c r="F1592" s="6" t="inlineStr">
        <is>
          <t>-</t>
        </is>
      </c>
      <c r="G1592" s="7" t="n">
        <v>88.50013732910156</v>
      </c>
      <c r="H1592" s="6">
        <f>P1561</f>
        <v/>
      </c>
      <c r="I1592" s="9">
        <f>Q1561</f>
        <v/>
      </c>
      <c r="J1592" s="7">
        <f>I1592*G1592</f>
        <v/>
      </c>
      <c r="K1592" s="8">
        <f>IF($J$1613=0,0,J1592/$J$1613)</f>
        <v/>
      </c>
      <c r="L1592" s="6" t="inlineStr">
        <is>
          <t>REJECTED</t>
        </is>
      </c>
      <c r="M1592" s="8" t="n">
        <v>0</v>
      </c>
      <c r="N1592" s="7">
        <f>M1592*$J$1613-J1592</f>
        <v/>
      </c>
      <c r="O1592" s="9">
        <f>IF(G1592=0,0,N1592/G1592)</f>
        <v/>
      </c>
      <c r="P1592" s="6">
        <f>IF(M1592&gt;0,D1592,"")</f>
        <v/>
      </c>
      <c r="Q1592" s="9">
        <f>I1592+O1592</f>
        <v/>
      </c>
      <c r="R1592" s="7">
        <f>Q1592*G1592</f>
        <v/>
      </c>
      <c r="S1592" s="8">
        <f>IF($R$1613=0,0,R1592/$R$1613)</f>
        <v/>
      </c>
      <c r="T1592" s="8" t="n">
        <v>0</v>
      </c>
      <c r="U1592" s="8" t="n">
        <v>0.008212871819592626</v>
      </c>
      <c r="V1592" s="6" t="inlineStr">
        <is>
          <t>not selected</t>
        </is>
      </c>
    </row>
    <row r="1593">
      <c r="A1593" s="6" t="inlineStr">
        <is>
          <t>DJ30</t>
        </is>
      </c>
      <c r="B1593" s="6" t="inlineStr">
        <is>
          <t>2023-12-29</t>
        </is>
      </c>
      <c r="C1593" s="6" t="inlineStr">
        <is>
          <t>DIA</t>
        </is>
      </c>
      <c r="D1593" s="6" t="inlineStr">
        <is>
          <t>GS</t>
        </is>
      </c>
      <c r="E1593" s="6" t="inlineStr">
        <is>
          <t>GS</t>
        </is>
      </c>
      <c r="F1593" s="6" t="inlineStr">
        <is>
          <t>-</t>
        </is>
      </c>
      <c r="G1593" s="7" t="n">
        <v>365.5696411132813</v>
      </c>
      <c r="H1593" s="6">
        <f>P1562</f>
        <v/>
      </c>
      <c r="I1593" s="9">
        <f>Q1562</f>
        <v/>
      </c>
      <c r="J1593" s="7">
        <f>I1593*G1593</f>
        <v/>
      </c>
      <c r="K1593" s="8">
        <f>IF($J$1613=0,0,J1593/$J$1613)</f>
        <v/>
      </c>
      <c r="L1593" s="6" t="inlineStr">
        <is>
          <t>REJECTED</t>
        </is>
      </c>
      <c r="M1593" s="8" t="n">
        <v>0</v>
      </c>
      <c r="N1593" s="7">
        <f>M1593*$J$1613-J1593</f>
        <v/>
      </c>
      <c r="O1593" s="9">
        <f>IF(G1593=0,0,N1593/G1593)</f>
        <v/>
      </c>
      <c r="P1593" s="6">
        <f>IF(M1593&gt;0,D1593,"")</f>
        <v/>
      </c>
      <c r="Q1593" s="9">
        <f>I1593+O1593</f>
        <v/>
      </c>
      <c r="R1593" s="7">
        <f>Q1593*G1593</f>
        <v/>
      </c>
      <c r="S1593" s="8">
        <f>IF($R$1613=0,0,R1593/$R$1613)</f>
        <v/>
      </c>
      <c r="T1593" s="8" t="n">
        <v>0</v>
      </c>
      <c r="U1593" s="8" t="n">
        <v>0.008212871819592626</v>
      </c>
      <c r="V1593" s="6" t="inlineStr">
        <is>
          <t>not selected</t>
        </is>
      </c>
    </row>
    <row r="1594">
      <c r="A1594" s="6" t="inlineStr">
        <is>
          <t>DJ30</t>
        </is>
      </c>
      <c r="B1594" s="6" t="inlineStr">
        <is>
          <t>2023-12-29</t>
        </is>
      </c>
      <c r="C1594" s="6" t="inlineStr">
        <is>
          <t>DIA</t>
        </is>
      </c>
      <c r="D1594" s="6" t="inlineStr">
        <is>
          <t>HD</t>
        </is>
      </c>
      <c r="E1594" s="6" t="inlineStr">
        <is>
          <t>HD</t>
        </is>
      </c>
      <c r="F1594" s="6" t="inlineStr">
        <is>
          <t>-</t>
        </is>
      </c>
      <c r="G1594" s="7" t="n">
        <v>325.4038391113281</v>
      </c>
      <c r="H1594" s="6">
        <f>P1563</f>
        <v/>
      </c>
      <c r="I1594" s="9">
        <f>Q1563</f>
        <v/>
      </c>
      <c r="J1594" s="7">
        <f>I1594*G1594</f>
        <v/>
      </c>
      <c r="K1594" s="8">
        <f>IF($J$1613=0,0,J1594/$J$1613)</f>
        <v/>
      </c>
      <c r="L1594" s="6" t="inlineStr">
        <is>
          <t>REJECTED</t>
        </is>
      </c>
      <c r="M1594" s="8" t="n">
        <v>0</v>
      </c>
      <c r="N1594" s="7">
        <f>M1594*$J$1613-J1594</f>
        <v/>
      </c>
      <c r="O1594" s="9">
        <f>IF(G1594=0,0,N1594/G1594)</f>
        <v/>
      </c>
      <c r="P1594" s="6">
        <f>IF(M1594&gt;0,D1594,"")</f>
        <v/>
      </c>
      <c r="Q1594" s="9">
        <f>I1594+O1594</f>
        <v/>
      </c>
      <c r="R1594" s="7">
        <f>Q1594*G1594</f>
        <v/>
      </c>
      <c r="S1594" s="8">
        <f>IF($R$1613=0,0,R1594/$R$1613)</f>
        <v/>
      </c>
      <c r="T1594" s="8" t="n">
        <v>0</v>
      </c>
      <c r="U1594" s="8" t="n">
        <v>0.008212871819592626</v>
      </c>
      <c r="V1594" s="6" t="inlineStr">
        <is>
          <t>not selected</t>
        </is>
      </c>
    </row>
    <row r="1595">
      <c r="A1595" s="6" t="inlineStr">
        <is>
          <t>DJ30</t>
        </is>
      </c>
      <c r="B1595" s="6" t="inlineStr">
        <is>
          <t>2023-12-29</t>
        </is>
      </c>
      <c r="C1595" s="6" t="inlineStr">
        <is>
          <t>DIA</t>
        </is>
      </c>
      <c r="D1595" s="6" t="inlineStr">
        <is>
          <t>HON</t>
        </is>
      </c>
      <c r="E1595" s="6" t="inlineStr">
        <is>
          <t>HON</t>
        </is>
      </c>
      <c r="F1595" s="6" t="inlineStr">
        <is>
          <t>-</t>
        </is>
      </c>
      <c r="G1595" s="7" t="n">
        <v>187.4201812744141</v>
      </c>
      <c r="H1595" s="6">
        <f>P1564</f>
        <v/>
      </c>
      <c r="I1595" s="9">
        <f>Q1564</f>
        <v/>
      </c>
      <c r="J1595" s="7">
        <f>I1595*G1595</f>
        <v/>
      </c>
      <c r="K1595" s="8">
        <f>IF($J$1613=0,0,J1595/$J$1613)</f>
        <v/>
      </c>
      <c r="L1595" s="6" t="inlineStr">
        <is>
          <t>REJECTED</t>
        </is>
      </c>
      <c r="M1595" s="8" t="n">
        <v>0</v>
      </c>
      <c r="N1595" s="7">
        <f>M1595*$J$1613-J1595</f>
        <v/>
      </c>
      <c r="O1595" s="9">
        <f>IF(G1595=0,0,N1595/G1595)</f>
        <v/>
      </c>
      <c r="P1595" s="6">
        <f>IF(M1595&gt;0,D1595,"")</f>
        <v/>
      </c>
      <c r="Q1595" s="9">
        <f>I1595+O1595</f>
        <v/>
      </c>
      <c r="R1595" s="7">
        <f>Q1595*G1595</f>
        <v/>
      </c>
      <c r="S1595" s="8">
        <f>IF($R$1613=0,0,R1595/$R$1613)</f>
        <v/>
      </c>
      <c r="T1595" s="8" t="n">
        <v>0</v>
      </c>
      <c r="U1595" s="8" t="n">
        <v>0.008212871819592626</v>
      </c>
      <c r="V1595" s="6" t="inlineStr">
        <is>
          <t>not selected</t>
        </is>
      </c>
    </row>
    <row r="1596">
      <c r="A1596" s="6" t="inlineStr">
        <is>
          <t>DJ30</t>
        </is>
      </c>
      <c r="B1596" s="6" t="inlineStr">
        <is>
          <t>2023-12-29</t>
        </is>
      </c>
      <c r="C1596" s="6" t="inlineStr">
        <is>
          <t>DIA</t>
        </is>
      </c>
      <c r="D1596" s="6" t="inlineStr">
        <is>
          <t>IBM</t>
        </is>
      </c>
      <c r="E1596" s="6" t="inlineStr">
        <is>
          <t>IBM</t>
        </is>
      </c>
      <c r="F1596" s="6" t="inlineStr">
        <is>
          <t>-</t>
        </is>
      </c>
      <c r="G1596" s="7" t="n">
        <v>151.8782348632812</v>
      </c>
      <c r="H1596" s="6">
        <f>P1565</f>
        <v/>
      </c>
      <c r="I1596" s="9">
        <f>Q1565</f>
        <v/>
      </c>
      <c r="J1596" s="7">
        <f>I1596*G1596</f>
        <v/>
      </c>
      <c r="K1596" s="8">
        <f>IF($J$1613=0,0,J1596/$J$1613)</f>
        <v/>
      </c>
      <c r="L1596" s="6" t="inlineStr">
        <is>
          <t>REJECTED</t>
        </is>
      </c>
      <c r="M1596" s="8" t="n">
        <v>0</v>
      </c>
      <c r="N1596" s="7">
        <f>M1596*$J$1613-J1596</f>
        <v/>
      </c>
      <c r="O1596" s="9">
        <f>IF(G1596=0,0,N1596/G1596)</f>
        <v/>
      </c>
      <c r="P1596" s="6">
        <f>IF(M1596&gt;0,D1596,"")</f>
        <v/>
      </c>
      <c r="Q1596" s="9">
        <f>I1596+O1596</f>
        <v/>
      </c>
      <c r="R1596" s="7">
        <f>Q1596*G1596</f>
        <v/>
      </c>
      <c r="S1596" s="8">
        <f>IF($R$1613=0,0,R1596/$R$1613)</f>
        <v/>
      </c>
      <c r="T1596" s="8" t="n">
        <v>0</v>
      </c>
      <c r="U1596" s="8" t="n">
        <v>0.008212871819592626</v>
      </c>
      <c r="V1596" s="6" t="inlineStr">
        <is>
          <t>not selected</t>
        </is>
      </c>
    </row>
    <row r="1597">
      <c r="A1597" s="6" t="inlineStr">
        <is>
          <t>DJ30</t>
        </is>
      </c>
      <c r="B1597" s="6" t="inlineStr">
        <is>
          <t>2023-12-29</t>
        </is>
      </c>
      <c r="C1597" s="6" t="inlineStr">
        <is>
          <t>DIA</t>
        </is>
      </c>
      <c r="D1597" s="6" t="inlineStr">
        <is>
          <t>JNJ</t>
        </is>
      </c>
      <c r="E1597" s="6" t="inlineStr">
        <is>
          <t>JNJ</t>
        </is>
      </c>
      <c r="F1597" s="6" t="inlineStr">
        <is>
          <t>-</t>
        </is>
      </c>
      <c r="G1597" s="7" t="n">
        <v>145.7994537353516</v>
      </c>
      <c r="H1597" s="6">
        <f>P1566</f>
        <v/>
      </c>
      <c r="I1597" s="9">
        <f>Q1566</f>
        <v/>
      </c>
      <c r="J1597" s="7">
        <f>I1597*G1597</f>
        <v/>
      </c>
      <c r="K1597" s="8">
        <f>IF($J$1613=0,0,J1597/$J$1613)</f>
        <v/>
      </c>
      <c r="L1597" s="6" t="inlineStr">
        <is>
          <t>REJECTED</t>
        </is>
      </c>
      <c r="M1597" s="8" t="n">
        <v>0</v>
      </c>
      <c r="N1597" s="7">
        <f>M1597*$J$1613-J1597</f>
        <v/>
      </c>
      <c r="O1597" s="9">
        <f>IF(G1597=0,0,N1597/G1597)</f>
        <v/>
      </c>
      <c r="P1597" s="6">
        <f>IF(M1597&gt;0,D1597,"")</f>
        <v/>
      </c>
      <c r="Q1597" s="9">
        <f>I1597+O1597</f>
        <v/>
      </c>
      <c r="R1597" s="7">
        <f>Q1597*G1597</f>
        <v/>
      </c>
      <c r="S1597" s="8">
        <f>IF($R$1613=0,0,R1597/$R$1613)</f>
        <v/>
      </c>
      <c r="T1597" s="8" t="n">
        <v>0</v>
      </c>
      <c r="U1597" s="8" t="n">
        <v>0.008212871819592626</v>
      </c>
      <c r="V1597" s="6" t="inlineStr">
        <is>
          <t>not selected</t>
        </is>
      </c>
    </row>
    <row r="1598">
      <c r="A1598" s="6" t="inlineStr">
        <is>
          <t>DJ30</t>
        </is>
      </c>
      <c r="B1598" s="6" t="inlineStr">
        <is>
          <t>2023-12-29</t>
        </is>
      </c>
      <c r="C1598" s="6" t="inlineStr">
        <is>
          <t>DIA</t>
        </is>
      </c>
      <c r="D1598" s="6" t="inlineStr">
        <is>
          <t>JPM</t>
        </is>
      </c>
      <c r="E1598" s="6" t="inlineStr">
        <is>
          <t>JPM</t>
        </is>
      </c>
      <c r="F1598" s="6" t="inlineStr">
        <is>
          <t>-</t>
        </is>
      </c>
      <c r="G1598" s="7" t="n">
        <v>161.1337127685547</v>
      </c>
      <c r="H1598" s="6">
        <f>P1567</f>
        <v/>
      </c>
      <c r="I1598" s="9">
        <f>Q1567</f>
        <v/>
      </c>
      <c r="J1598" s="7">
        <f>I1598*G1598</f>
        <v/>
      </c>
      <c r="K1598" s="8">
        <f>IF($J$1613=0,0,J1598/$J$1613)</f>
        <v/>
      </c>
      <c r="L1598" s="6" t="inlineStr">
        <is>
          <t>REJECTED</t>
        </is>
      </c>
      <c r="M1598" s="8" t="n">
        <v>0</v>
      </c>
      <c r="N1598" s="7">
        <f>M1598*$J$1613-J1598</f>
        <v/>
      </c>
      <c r="O1598" s="9">
        <f>IF(G1598=0,0,N1598/G1598)</f>
        <v/>
      </c>
      <c r="P1598" s="6">
        <f>IF(M1598&gt;0,D1598,"")</f>
        <v/>
      </c>
      <c r="Q1598" s="9">
        <f>I1598+O1598</f>
        <v/>
      </c>
      <c r="R1598" s="7">
        <f>Q1598*G1598</f>
        <v/>
      </c>
      <c r="S1598" s="8">
        <f>IF($R$1613=0,0,R1598/$R$1613)</f>
        <v/>
      </c>
      <c r="T1598" s="8" t="n">
        <v>0</v>
      </c>
      <c r="U1598" s="8" t="n">
        <v>0.008212871819592626</v>
      </c>
      <c r="V1598" s="6" t="inlineStr">
        <is>
          <t>not selected</t>
        </is>
      </c>
    </row>
    <row r="1599">
      <c r="A1599" s="6" t="inlineStr">
        <is>
          <t>DJ30</t>
        </is>
      </c>
      <c r="B1599" s="6" t="inlineStr">
        <is>
          <t>2023-12-29</t>
        </is>
      </c>
      <c r="C1599" s="6" t="inlineStr">
        <is>
          <t>DIA</t>
        </is>
      </c>
      <c r="D1599" s="6" t="inlineStr">
        <is>
          <t>KO</t>
        </is>
      </c>
      <c r="E1599" s="6" t="inlineStr">
        <is>
          <t>KO</t>
        </is>
      </c>
      <c r="F1599" s="6" t="inlineStr">
        <is>
          <t>-</t>
        </is>
      </c>
      <c r="G1599" s="7" t="n">
        <v>54.81157302856445</v>
      </c>
      <c r="H1599" s="6">
        <f>P1568</f>
        <v/>
      </c>
      <c r="I1599" s="9">
        <f>Q1568</f>
        <v/>
      </c>
      <c r="J1599" s="7">
        <f>I1599*G1599</f>
        <v/>
      </c>
      <c r="K1599" s="8">
        <f>IF($J$1613=0,0,J1599/$J$1613)</f>
        <v/>
      </c>
      <c r="L1599" s="6" t="inlineStr">
        <is>
          <t>REJECTED</t>
        </is>
      </c>
      <c r="M1599" s="8" t="n">
        <v>0</v>
      </c>
      <c r="N1599" s="7">
        <f>M1599*$J$1613-J1599</f>
        <v/>
      </c>
      <c r="O1599" s="9">
        <f>IF(G1599=0,0,N1599/G1599)</f>
        <v/>
      </c>
      <c r="P1599" s="6">
        <f>IF(M1599&gt;0,D1599,"")</f>
        <v/>
      </c>
      <c r="Q1599" s="9">
        <f>I1599+O1599</f>
        <v/>
      </c>
      <c r="R1599" s="7">
        <f>Q1599*G1599</f>
        <v/>
      </c>
      <c r="S1599" s="8">
        <f>IF($R$1613=0,0,R1599/$R$1613)</f>
        <v/>
      </c>
      <c r="T1599" s="8" t="n">
        <v>0</v>
      </c>
      <c r="U1599" s="8" t="n">
        <v>0.008212871819592626</v>
      </c>
      <c r="V1599" s="6" t="inlineStr">
        <is>
          <t>not selected</t>
        </is>
      </c>
    </row>
    <row r="1600">
      <c r="A1600" s="6" t="inlineStr">
        <is>
          <t>DJ30</t>
        </is>
      </c>
      <c r="B1600" s="6" t="inlineStr">
        <is>
          <t>2023-12-29</t>
        </is>
      </c>
      <c r="C1600" s="6" t="inlineStr">
        <is>
          <t>DIA</t>
        </is>
      </c>
      <c r="D1600" s="6" t="inlineStr">
        <is>
          <t>MCD</t>
        </is>
      </c>
      <c r="E1600" s="6" t="inlineStr">
        <is>
          <t>MCD</t>
        </is>
      </c>
      <c r="F1600" s="6" t="inlineStr">
        <is>
          <t>-</t>
        </is>
      </c>
      <c r="G1600" s="7" t="n">
        <v>279.4293823242188</v>
      </c>
      <c r="H1600" s="6">
        <f>P1569</f>
        <v/>
      </c>
      <c r="I1600" s="9">
        <f>Q1569</f>
        <v/>
      </c>
      <c r="J1600" s="7">
        <f>I1600*G1600</f>
        <v/>
      </c>
      <c r="K1600" s="8">
        <f>IF($J$1613=0,0,J1600/$J$1613)</f>
        <v/>
      </c>
      <c r="L1600" s="6" t="inlineStr">
        <is>
          <t>REJECTED</t>
        </is>
      </c>
      <c r="M1600" s="8" t="n">
        <v>0</v>
      </c>
      <c r="N1600" s="7">
        <f>M1600*$J$1613-J1600</f>
        <v/>
      </c>
      <c r="O1600" s="9">
        <f>IF(G1600=0,0,N1600/G1600)</f>
        <v/>
      </c>
      <c r="P1600" s="6">
        <f>IF(M1600&gt;0,D1600,"")</f>
        <v/>
      </c>
      <c r="Q1600" s="9">
        <f>I1600+O1600</f>
        <v/>
      </c>
      <c r="R1600" s="7">
        <f>Q1600*G1600</f>
        <v/>
      </c>
      <c r="S1600" s="8">
        <f>IF($R$1613=0,0,R1600/$R$1613)</f>
        <v/>
      </c>
      <c r="T1600" s="8" t="n">
        <v>0</v>
      </c>
      <c r="U1600" s="8" t="n">
        <v>0.008212871819592626</v>
      </c>
      <c r="V1600" s="6" t="inlineStr">
        <is>
          <t>not selected</t>
        </is>
      </c>
    </row>
    <row r="1601">
      <c r="A1601" s="6" t="inlineStr">
        <is>
          <t>DJ30</t>
        </is>
      </c>
      <c r="B1601" s="6" t="inlineStr">
        <is>
          <t>2023-12-29</t>
        </is>
      </c>
      <c r="C1601" s="6" t="inlineStr">
        <is>
          <t>DIA</t>
        </is>
      </c>
      <c r="D1601" s="6" t="inlineStr">
        <is>
          <t>MMM</t>
        </is>
      </c>
      <c r="E1601" s="6" t="inlineStr">
        <is>
          <t>MMM</t>
        </is>
      </c>
      <c r="F1601" s="6" t="inlineStr">
        <is>
          <t>-</t>
        </is>
      </c>
      <c r="G1601" s="7" t="n">
        <v>85.87409973144531</v>
      </c>
      <c r="H1601" s="6">
        <f>P1570</f>
        <v/>
      </c>
      <c r="I1601" s="9">
        <f>Q1570</f>
        <v/>
      </c>
      <c r="J1601" s="7">
        <f>I1601*G1601</f>
        <v/>
      </c>
      <c r="K1601" s="8">
        <f>IF($J$1613=0,0,J1601/$J$1613)</f>
        <v/>
      </c>
      <c r="L1601" s="6" t="inlineStr">
        <is>
          <t>REJECTED</t>
        </is>
      </c>
      <c r="M1601" s="8" t="n">
        <v>0</v>
      </c>
      <c r="N1601" s="7">
        <f>M1601*$J$1613-J1601</f>
        <v/>
      </c>
      <c r="O1601" s="9">
        <f>IF(G1601=0,0,N1601/G1601)</f>
        <v/>
      </c>
      <c r="P1601" s="6">
        <f>IF(M1601&gt;0,D1601,"")</f>
        <v/>
      </c>
      <c r="Q1601" s="9">
        <f>I1601+O1601</f>
        <v/>
      </c>
      <c r="R1601" s="7">
        <f>Q1601*G1601</f>
        <v/>
      </c>
      <c r="S1601" s="8">
        <f>IF($R$1613=0,0,R1601/$R$1613)</f>
        <v/>
      </c>
      <c r="T1601" s="8" t="n">
        <v>0</v>
      </c>
      <c r="U1601" s="8" t="n">
        <v>0.008212871819592626</v>
      </c>
      <c r="V1601" s="6" t="inlineStr">
        <is>
          <t>not selected</t>
        </is>
      </c>
    </row>
    <row r="1602">
      <c r="A1602" s="6" t="inlineStr">
        <is>
          <t>DJ30</t>
        </is>
      </c>
      <c r="B1602" s="6" t="inlineStr">
        <is>
          <t>2023-12-29</t>
        </is>
      </c>
      <c r="C1602" s="6" t="inlineStr">
        <is>
          <t>DIA</t>
        </is>
      </c>
      <c r="D1602" s="6" t="inlineStr">
        <is>
          <t>MRK</t>
        </is>
      </c>
      <c r="E1602" s="6" t="inlineStr">
        <is>
          <t>MRK</t>
        </is>
      </c>
      <c r="F1602" s="6" t="inlineStr">
        <is>
          <t>-</t>
        </is>
      </c>
      <c r="G1602" s="7" t="n">
        <v>100.8014678955078</v>
      </c>
      <c r="H1602" s="6">
        <f>P1571</f>
        <v/>
      </c>
      <c r="I1602" s="9">
        <f>Q1571</f>
        <v/>
      </c>
      <c r="J1602" s="7">
        <f>I1602*G1602</f>
        <v/>
      </c>
      <c r="K1602" s="8">
        <f>IF($J$1613=0,0,J1602/$J$1613)</f>
        <v/>
      </c>
      <c r="L1602" s="6" t="inlineStr">
        <is>
          <t>REJECTED</t>
        </is>
      </c>
      <c r="M1602" s="8" t="n">
        <v>0</v>
      </c>
      <c r="N1602" s="7">
        <f>M1602*$J$1613-J1602</f>
        <v/>
      </c>
      <c r="O1602" s="9">
        <f>IF(G1602=0,0,N1602/G1602)</f>
        <v/>
      </c>
      <c r="P1602" s="6">
        <f>IF(M1602&gt;0,D1602,"")</f>
        <v/>
      </c>
      <c r="Q1602" s="9">
        <f>I1602+O1602</f>
        <v/>
      </c>
      <c r="R1602" s="7">
        <f>Q1602*G1602</f>
        <v/>
      </c>
      <c r="S1602" s="8">
        <f>IF($R$1613=0,0,R1602/$R$1613)</f>
        <v/>
      </c>
      <c r="T1602" s="8" t="n">
        <v>0</v>
      </c>
      <c r="U1602" s="8" t="n">
        <v>0.008212871819592626</v>
      </c>
      <c r="V1602" s="6" t="inlineStr">
        <is>
          <t>not selected</t>
        </is>
      </c>
    </row>
    <row r="1603">
      <c r="A1603" s="6" t="inlineStr">
        <is>
          <t>DJ30</t>
        </is>
      </c>
      <c r="B1603" s="6" t="inlineStr">
        <is>
          <t>2023-12-29</t>
        </is>
      </c>
      <c r="C1603" s="6" t="inlineStr">
        <is>
          <t>DIA</t>
        </is>
      </c>
      <c r="D1603" s="6" t="inlineStr">
        <is>
          <t>MSFT</t>
        </is>
      </c>
      <c r="E1603" s="6" t="inlineStr">
        <is>
          <t>MSFT</t>
        </is>
      </c>
      <c r="F1603" s="6" t="inlineStr">
        <is>
          <t>-</t>
        </is>
      </c>
      <c r="G1603" s="7" t="n">
        <v>368.8729553222656</v>
      </c>
      <c r="H1603" s="6">
        <f>P1572</f>
        <v/>
      </c>
      <c r="I1603" s="9">
        <f>Q1572</f>
        <v/>
      </c>
      <c r="J1603" s="7">
        <f>I1603*G1603</f>
        <v/>
      </c>
      <c r="K1603" s="8">
        <f>IF($J$1613=0,0,J1603/$J$1613)</f>
        <v/>
      </c>
      <c r="L1603" s="6" t="inlineStr">
        <is>
          <t>REJECTED</t>
        </is>
      </c>
      <c r="M1603" s="8" t="n">
        <v>0</v>
      </c>
      <c r="N1603" s="7">
        <f>M1603*$J$1613-J1603</f>
        <v/>
      </c>
      <c r="O1603" s="9">
        <f>IF(G1603=0,0,N1603/G1603)</f>
        <v/>
      </c>
      <c r="P1603" s="6">
        <f>IF(M1603&gt;0,D1603,"")</f>
        <v/>
      </c>
      <c r="Q1603" s="9">
        <f>I1603+O1603</f>
        <v/>
      </c>
      <c r="R1603" s="7">
        <f>Q1603*G1603</f>
        <v/>
      </c>
      <c r="S1603" s="8">
        <f>IF($R$1613=0,0,R1603/$R$1613)</f>
        <v/>
      </c>
      <c r="T1603" s="8" t="n">
        <v>0</v>
      </c>
      <c r="U1603" s="8" t="n">
        <v>0.008212871819592626</v>
      </c>
      <c r="V1603" s="6" t="inlineStr">
        <is>
          <t>not selected</t>
        </is>
      </c>
    </row>
    <row r="1604">
      <c r="A1604" s="6" t="inlineStr">
        <is>
          <t>DJ30</t>
        </is>
      </c>
      <c r="B1604" s="6" t="inlineStr">
        <is>
          <t>2023-12-29</t>
        </is>
      </c>
      <c r="C1604" s="6" t="inlineStr">
        <is>
          <t>DIA</t>
        </is>
      </c>
      <c r="D1604" s="6" t="inlineStr">
        <is>
          <t>NKE</t>
        </is>
      </c>
      <c r="E1604" s="6" t="inlineStr">
        <is>
          <t>NKE</t>
        </is>
      </c>
      <c r="F1604" s="6" t="inlineStr">
        <is>
          <t>-</t>
        </is>
      </c>
      <c r="G1604" s="7" t="n">
        <v>102.6826705932617</v>
      </c>
      <c r="H1604" s="6">
        <f>P1573</f>
        <v/>
      </c>
      <c r="I1604" s="9">
        <f>Q1573</f>
        <v/>
      </c>
      <c r="J1604" s="7">
        <f>I1604*G1604</f>
        <v/>
      </c>
      <c r="K1604" s="8">
        <f>IF($J$1613=0,0,J1604/$J$1613)</f>
        <v/>
      </c>
      <c r="L1604" s="6" t="inlineStr">
        <is>
          <t>REJECTED</t>
        </is>
      </c>
      <c r="M1604" s="8" t="n">
        <v>0</v>
      </c>
      <c r="N1604" s="7">
        <f>M1604*$J$1613-J1604</f>
        <v/>
      </c>
      <c r="O1604" s="9">
        <f>IF(G1604=0,0,N1604/G1604)</f>
        <v/>
      </c>
      <c r="P1604" s="6">
        <f>IF(M1604&gt;0,D1604,"")</f>
        <v/>
      </c>
      <c r="Q1604" s="9">
        <f>I1604+O1604</f>
        <v/>
      </c>
      <c r="R1604" s="7">
        <f>Q1604*G1604</f>
        <v/>
      </c>
      <c r="S1604" s="8">
        <f>IF($R$1613=0,0,R1604/$R$1613)</f>
        <v/>
      </c>
      <c r="T1604" s="8" t="n">
        <v>0</v>
      </c>
      <c r="U1604" s="8" t="n">
        <v>0.008212871819592626</v>
      </c>
      <c r="V1604" s="6" t="inlineStr">
        <is>
          <t>not selected</t>
        </is>
      </c>
    </row>
    <row r="1605">
      <c r="A1605" s="6" t="inlineStr">
        <is>
          <t>DJ30</t>
        </is>
      </c>
      <c r="B1605" s="6" t="inlineStr">
        <is>
          <t>2023-12-29</t>
        </is>
      </c>
      <c r="C1605" s="6" t="inlineStr">
        <is>
          <t>DIA</t>
        </is>
      </c>
      <c r="D1605" s="6" t="inlineStr">
        <is>
          <t>NVDA</t>
        </is>
      </c>
      <c r="E1605" s="6" t="inlineStr">
        <is>
          <t>NVDA</t>
        </is>
      </c>
      <c r="F1605" s="6" t="inlineStr">
        <is>
          <t>-</t>
        </is>
      </c>
      <c r="G1605" s="7" t="n">
        <v>49.43413162231445</v>
      </c>
      <c r="H1605" s="6">
        <f>P1574</f>
        <v/>
      </c>
      <c r="I1605" s="9">
        <f>Q1574</f>
        <v/>
      </c>
      <c r="J1605" s="7">
        <f>I1605*G1605</f>
        <v/>
      </c>
      <c r="K1605" s="8">
        <f>IF($J$1613=0,0,J1605/$J$1613)</f>
        <v/>
      </c>
      <c r="L1605" s="6" t="inlineStr">
        <is>
          <t>REJECTED</t>
        </is>
      </c>
      <c r="M1605" s="8" t="n">
        <v>0</v>
      </c>
      <c r="N1605" s="7">
        <f>M1605*$J$1613-J1605</f>
        <v/>
      </c>
      <c r="O1605" s="9">
        <f>IF(G1605=0,0,N1605/G1605)</f>
        <v/>
      </c>
      <c r="P1605" s="6">
        <f>IF(M1605&gt;0,D1605,"")</f>
        <v/>
      </c>
      <c r="Q1605" s="9">
        <f>I1605+O1605</f>
        <v/>
      </c>
      <c r="R1605" s="7">
        <f>Q1605*G1605</f>
        <v/>
      </c>
      <c r="S1605" s="8">
        <f>IF($R$1613=0,0,R1605/$R$1613)</f>
        <v/>
      </c>
      <c r="T1605" s="8" t="n">
        <v>0</v>
      </c>
      <c r="U1605" s="8" t="n">
        <v>0.008212871819592626</v>
      </c>
      <c r="V1605" s="6" t="inlineStr">
        <is>
          <t>not selected</t>
        </is>
      </c>
    </row>
    <row r="1606">
      <c r="A1606" s="6" t="inlineStr">
        <is>
          <t>DJ30</t>
        </is>
      </c>
      <c r="B1606" s="6" t="inlineStr">
        <is>
          <t>2023-12-29</t>
        </is>
      </c>
      <c r="C1606" s="6" t="inlineStr">
        <is>
          <t>DIA</t>
        </is>
      </c>
      <c r="D1606" s="6" t="inlineStr">
        <is>
          <t>PG</t>
        </is>
      </c>
      <c r="E1606" s="6" t="inlineStr">
        <is>
          <t>PG</t>
        </is>
      </c>
      <c r="F1606" s="6" t="inlineStr">
        <is>
          <t>-</t>
        </is>
      </c>
      <c r="G1606" s="7" t="n">
        <v>137.2842864990234</v>
      </c>
      <c r="H1606" s="6">
        <f>P1575</f>
        <v/>
      </c>
      <c r="I1606" s="9">
        <f>Q1575</f>
        <v/>
      </c>
      <c r="J1606" s="7">
        <f>I1606*G1606</f>
        <v/>
      </c>
      <c r="K1606" s="8">
        <f>IF($J$1613=0,0,J1606/$J$1613)</f>
        <v/>
      </c>
      <c r="L1606" s="6" t="inlineStr">
        <is>
          <t>REJECTED</t>
        </is>
      </c>
      <c r="M1606" s="8" t="n">
        <v>0</v>
      </c>
      <c r="N1606" s="7">
        <f>M1606*$J$1613-J1606</f>
        <v/>
      </c>
      <c r="O1606" s="9">
        <f>IF(G1606=0,0,N1606/G1606)</f>
        <v/>
      </c>
      <c r="P1606" s="6">
        <f>IF(M1606&gt;0,D1606,"")</f>
        <v/>
      </c>
      <c r="Q1606" s="9">
        <f>I1606+O1606</f>
        <v/>
      </c>
      <c r="R1606" s="7">
        <f>Q1606*G1606</f>
        <v/>
      </c>
      <c r="S1606" s="8">
        <f>IF($R$1613=0,0,R1606/$R$1613)</f>
        <v/>
      </c>
      <c r="T1606" s="8" t="n">
        <v>0</v>
      </c>
      <c r="U1606" s="8" t="n">
        <v>0.008212871819592626</v>
      </c>
      <c r="V1606" s="6" t="inlineStr">
        <is>
          <t>not selected</t>
        </is>
      </c>
    </row>
    <row r="1607">
      <c r="A1607" s="6" t="inlineStr">
        <is>
          <t>DJ30</t>
        </is>
      </c>
      <c r="B1607" s="6" t="inlineStr">
        <is>
          <t>2023-12-29</t>
        </is>
      </c>
      <c r="C1607" s="6" t="inlineStr">
        <is>
          <t>DIA</t>
        </is>
      </c>
      <c r="D1607" s="6" t="inlineStr">
        <is>
          <t>SHW</t>
        </is>
      </c>
      <c r="E1607" s="6" t="inlineStr">
        <is>
          <t>SHW</t>
        </is>
      </c>
      <c r="F1607" s="6" t="inlineStr">
        <is>
          <t>-</t>
        </is>
      </c>
      <c r="G1607" s="7" t="n">
        <v>305.1094055175781</v>
      </c>
      <c r="H1607" s="6">
        <f>P1576</f>
        <v/>
      </c>
      <c r="I1607" s="9">
        <f>Q1576</f>
        <v/>
      </c>
      <c r="J1607" s="7">
        <f>I1607*G1607</f>
        <v/>
      </c>
      <c r="K1607" s="8">
        <f>IF($J$1613=0,0,J1607/$J$1613)</f>
        <v/>
      </c>
      <c r="L1607" s="6" t="inlineStr">
        <is>
          <t>REJECTED</t>
        </is>
      </c>
      <c r="M1607" s="8" t="n">
        <v>0</v>
      </c>
      <c r="N1607" s="7">
        <f>M1607*$J$1613-J1607</f>
        <v/>
      </c>
      <c r="O1607" s="9">
        <f>IF(G1607=0,0,N1607/G1607)</f>
        <v/>
      </c>
      <c r="P1607" s="6">
        <f>IF(M1607&gt;0,D1607,"")</f>
        <v/>
      </c>
      <c r="Q1607" s="9">
        <f>I1607+O1607</f>
        <v/>
      </c>
      <c r="R1607" s="7">
        <f>Q1607*G1607</f>
        <v/>
      </c>
      <c r="S1607" s="8">
        <f>IF($R$1613=0,0,R1607/$R$1613)</f>
        <v/>
      </c>
      <c r="T1607" s="8" t="n">
        <v>0</v>
      </c>
      <c r="U1607" s="8" t="n">
        <v>0.008212871819592626</v>
      </c>
      <c r="V1607" s="6" t="inlineStr">
        <is>
          <t>not selected</t>
        </is>
      </c>
    </row>
    <row r="1608">
      <c r="A1608" s="6" t="inlineStr">
        <is>
          <t>DJ30</t>
        </is>
      </c>
      <c r="B1608" s="6" t="inlineStr">
        <is>
          <t>2023-12-29</t>
        </is>
      </c>
      <c r="C1608" s="6" t="inlineStr">
        <is>
          <t>DIA</t>
        </is>
      </c>
      <c r="D1608" s="6" t="inlineStr">
        <is>
          <t>TRV</t>
        </is>
      </c>
      <c r="E1608" s="6" t="inlineStr">
        <is>
          <t>TRV</t>
        </is>
      </c>
      <c r="F1608" s="6" t="inlineStr">
        <is>
          <t>-</t>
        </is>
      </c>
      <c r="G1608" s="7" t="n">
        <v>182.6531982421875</v>
      </c>
      <c r="H1608" s="6">
        <f>P1577</f>
        <v/>
      </c>
      <c r="I1608" s="9">
        <f>Q1577</f>
        <v/>
      </c>
      <c r="J1608" s="7">
        <f>I1608*G1608</f>
        <v/>
      </c>
      <c r="K1608" s="8">
        <f>IF($J$1613=0,0,J1608/$J$1613)</f>
        <v/>
      </c>
      <c r="L1608" s="6" t="inlineStr">
        <is>
          <t>REJECTED</t>
        </is>
      </c>
      <c r="M1608" s="8" t="n">
        <v>0</v>
      </c>
      <c r="N1608" s="7">
        <f>M1608*$J$1613-J1608</f>
        <v/>
      </c>
      <c r="O1608" s="9">
        <f>IF(G1608=0,0,N1608/G1608)</f>
        <v/>
      </c>
      <c r="P1608" s="6">
        <f>IF(M1608&gt;0,D1608,"")</f>
        <v/>
      </c>
      <c r="Q1608" s="9">
        <f>I1608+O1608</f>
        <v/>
      </c>
      <c r="R1608" s="7">
        <f>Q1608*G1608</f>
        <v/>
      </c>
      <c r="S1608" s="8">
        <f>IF($R$1613=0,0,R1608/$R$1613)</f>
        <v/>
      </c>
      <c r="T1608" s="8" t="n">
        <v>0</v>
      </c>
      <c r="U1608" s="8" t="n">
        <v>0.008212871819592626</v>
      </c>
      <c r="V1608" s="6" t="inlineStr">
        <is>
          <t>not selected</t>
        </is>
      </c>
    </row>
    <row r="1609">
      <c r="A1609" s="6" t="inlineStr">
        <is>
          <t>DJ30</t>
        </is>
      </c>
      <c r="B1609" s="6" t="inlineStr">
        <is>
          <t>2023-12-29</t>
        </is>
      </c>
      <c r="C1609" s="6" t="inlineStr">
        <is>
          <t>DIA</t>
        </is>
      </c>
      <c r="D1609" s="6" t="inlineStr">
        <is>
          <t>UNH</t>
        </is>
      </c>
      <c r="E1609" s="6" t="inlineStr">
        <is>
          <t>UNH</t>
        </is>
      </c>
      <c r="F1609" s="6" t="inlineStr">
        <is>
          <t>-</t>
        </is>
      </c>
      <c r="G1609" s="7" t="n">
        <v>499.1421508789063</v>
      </c>
      <c r="H1609" s="6">
        <f>P1578</f>
        <v/>
      </c>
      <c r="I1609" s="9">
        <f>Q1578</f>
        <v/>
      </c>
      <c r="J1609" s="7">
        <f>I1609*G1609</f>
        <v/>
      </c>
      <c r="K1609" s="8">
        <f>IF($J$1613=0,0,J1609/$J$1613)</f>
        <v/>
      </c>
      <c r="L1609" s="6" t="inlineStr">
        <is>
          <t>REJECTED</t>
        </is>
      </c>
      <c r="M1609" s="8" t="n">
        <v>0</v>
      </c>
      <c r="N1609" s="7">
        <f>M1609*$J$1613-J1609</f>
        <v/>
      </c>
      <c r="O1609" s="9">
        <f>IF(G1609=0,0,N1609/G1609)</f>
        <v/>
      </c>
      <c r="P1609" s="6">
        <f>IF(M1609&gt;0,D1609,"")</f>
        <v/>
      </c>
      <c r="Q1609" s="9">
        <f>I1609+O1609</f>
        <v/>
      </c>
      <c r="R1609" s="7">
        <f>Q1609*G1609</f>
        <v/>
      </c>
      <c r="S1609" s="8">
        <f>IF($R$1613=0,0,R1609/$R$1613)</f>
        <v/>
      </c>
      <c r="T1609" s="8" t="n">
        <v>0</v>
      </c>
      <c r="U1609" s="8" t="n">
        <v>0.008212871819592626</v>
      </c>
      <c r="V1609" s="6" t="inlineStr">
        <is>
          <t>not selected</t>
        </is>
      </c>
    </row>
    <row r="1610">
      <c r="A1610" s="6" t="inlineStr">
        <is>
          <t>DJ30</t>
        </is>
      </c>
      <c r="B1610" s="6" t="inlineStr">
        <is>
          <t>2023-12-29</t>
        </is>
      </c>
      <c r="C1610" s="6" t="inlineStr">
        <is>
          <t>DIA</t>
        </is>
      </c>
      <c r="D1610" s="6" t="inlineStr">
        <is>
          <t>V</t>
        </is>
      </c>
      <c r="E1610" s="6" t="inlineStr">
        <is>
          <t>V</t>
        </is>
      </c>
      <c r="F1610" s="6" t="inlineStr">
        <is>
          <t>-</t>
        </is>
      </c>
      <c r="G1610" s="7" t="n">
        <v>255.4952850341797</v>
      </c>
      <c r="H1610" s="6">
        <f>P1579</f>
        <v/>
      </c>
      <c r="I1610" s="9">
        <f>Q1579</f>
        <v/>
      </c>
      <c r="J1610" s="7">
        <f>I1610*G1610</f>
        <v/>
      </c>
      <c r="K1610" s="8">
        <f>IF($J$1613=0,0,J1610/$J$1613)</f>
        <v/>
      </c>
      <c r="L1610" s="6" t="inlineStr">
        <is>
          <t>REJECTED</t>
        </is>
      </c>
      <c r="M1610" s="8" t="n">
        <v>0</v>
      </c>
      <c r="N1610" s="7">
        <f>M1610*$J$1613-J1610</f>
        <v/>
      </c>
      <c r="O1610" s="9">
        <f>IF(G1610=0,0,N1610/G1610)</f>
        <v/>
      </c>
      <c r="P1610" s="6">
        <f>IF(M1610&gt;0,D1610,"")</f>
        <v/>
      </c>
      <c r="Q1610" s="9">
        <f>I1610+O1610</f>
        <v/>
      </c>
      <c r="R1610" s="7">
        <f>Q1610*G1610</f>
        <v/>
      </c>
      <c r="S1610" s="8">
        <f>IF($R$1613=0,0,R1610/$R$1613)</f>
        <v/>
      </c>
      <c r="T1610" s="8" t="n">
        <v>0</v>
      </c>
      <c r="U1610" s="8" t="n">
        <v>0.008212871819592626</v>
      </c>
      <c r="V1610" s="6" t="inlineStr">
        <is>
          <t>not selected</t>
        </is>
      </c>
    </row>
    <row r="1611">
      <c r="A1611" s="6" t="inlineStr">
        <is>
          <t>DJ30</t>
        </is>
      </c>
      <c r="B1611" s="6" t="inlineStr">
        <is>
          <t>2023-12-29</t>
        </is>
      </c>
      <c r="C1611" s="6" t="inlineStr">
        <is>
          <t>DIA</t>
        </is>
      </c>
      <c r="D1611" s="6" t="inlineStr">
        <is>
          <t>VZ</t>
        </is>
      </c>
      <c r="E1611" s="6" t="inlineStr">
        <is>
          <t>VZ</t>
        </is>
      </c>
      <c r="F1611" s="6" t="inlineStr">
        <is>
          <t>-</t>
        </is>
      </c>
      <c r="G1611" s="7" t="n">
        <v>32.02248764038086</v>
      </c>
      <c r="H1611" s="6">
        <f>P1580</f>
        <v/>
      </c>
      <c r="I1611" s="9">
        <f>Q1580</f>
        <v/>
      </c>
      <c r="J1611" s="7">
        <f>I1611*G1611</f>
        <v/>
      </c>
      <c r="K1611" s="8">
        <f>IF($J$1613=0,0,J1611/$J$1613)</f>
        <v/>
      </c>
      <c r="L1611" s="6" t="inlineStr">
        <is>
          <t>REJECTED</t>
        </is>
      </c>
      <c r="M1611" s="8" t="n">
        <v>0</v>
      </c>
      <c r="N1611" s="7">
        <f>M1611*$J$1613-J1611</f>
        <v/>
      </c>
      <c r="O1611" s="9">
        <f>IF(G1611=0,0,N1611/G1611)</f>
        <v/>
      </c>
      <c r="P1611" s="6">
        <f>IF(M1611&gt;0,D1611,"")</f>
        <v/>
      </c>
      <c r="Q1611" s="9">
        <f>I1611+O1611</f>
        <v/>
      </c>
      <c r="R1611" s="7">
        <f>Q1611*G1611</f>
        <v/>
      </c>
      <c r="S1611" s="8">
        <f>IF($R$1613=0,0,R1611/$R$1613)</f>
        <v/>
      </c>
      <c r="T1611" s="8" t="n">
        <v>0</v>
      </c>
      <c r="U1611" s="8" t="n">
        <v>0.008212871819592626</v>
      </c>
      <c r="V1611" s="6" t="inlineStr">
        <is>
          <t>not selected</t>
        </is>
      </c>
    </row>
    <row r="1612">
      <c r="A1612" s="6" t="inlineStr">
        <is>
          <t>DJ30</t>
        </is>
      </c>
      <c r="B1612" s="6" t="inlineStr">
        <is>
          <t>2023-12-29</t>
        </is>
      </c>
      <c r="C1612" s="6" t="inlineStr">
        <is>
          <t>DIA</t>
        </is>
      </c>
      <c r="D1612" s="6" t="inlineStr">
        <is>
          <t>WMT</t>
        </is>
      </c>
      <c r="E1612" s="6" t="inlineStr">
        <is>
          <t>WMT</t>
        </is>
      </c>
      <c r="F1612" s="6" t="inlineStr">
        <is>
          <t>-</t>
        </is>
      </c>
      <c r="G1612" s="7" t="n">
        <v>51.23212814331055</v>
      </c>
      <c r="H1612" s="6">
        <f>P1581</f>
        <v/>
      </c>
      <c r="I1612" s="9">
        <f>Q1581</f>
        <v/>
      </c>
      <c r="J1612" s="7">
        <f>I1612*G1612</f>
        <v/>
      </c>
      <c r="K1612" s="8">
        <f>IF($J$1613=0,0,J1612/$J$1613)</f>
        <v/>
      </c>
      <c r="L1612" s="6" t="inlineStr">
        <is>
          <t>REJECTED</t>
        </is>
      </c>
      <c r="M1612" s="8" t="n">
        <v>0</v>
      </c>
      <c r="N1612" s="7">
        <f>M1612*$J$1613-J1612</f>
        <v/>
      </c>
      <c r="O1612" s="9">
        <f>IF(G1612=0,0,N1612/G1612)</f>
        <v/>
      </c>
      <c r="P1612" s="6">
        <f>IF(M1612&gt;0,D1612,"")</f>
        <v/>
      </c>
      <c r="Q1612" s="9">
        <f>I1612+O1612</f>
        <v/>
      </c>
      <c r="R1612" s="7">
        <f>Q1612*G1612</f>
        <v/>
      </c>
      <c r="S1612" s="8">
        <f>IF($R$1613=0,0,R1612/$R$1613)</f>
        <v/>
      </c>
      <c r="T1612" s="8" t="n">
        <v>0</v>
      </c>
      <c r="U1612" s="8" t="n">
        <v>0.008212871819592626</v>
      </c>
      <c r="V1612" s="6" t="inlineStr">
        <is>
          <t>not selected</t>
        </is>
      </c>
    </row>
    <row r="1613">
      <c r="A1613" s="10" t="inlineStr">
        <is>
          <t>DJ30</t>
        </is>
      </c>
      <c r="B1613" s="10" t="inlineStr">
        <is>
          <t>2023-12-29</t>
        </is>
      </c>
      <c r="C1613" s="10" t="inlineStr">
        <is>
          <t>DIA</t>
        </is>
      </c>
      <c r="D1613" s="10" t="inlineStr">
        <is>
          <t>Tot Portfolio</t>
        </is>
      </c>
      <c r="E1613" s="10" t="inlineStr"/>
      <c r="F1613" s="10" t="inlineStr"/>
      <c r="G1613" s="11" t="inlineStr"/>
      <c r="H1613" s="10" t="inlineStr"/>
      <c r="I1613" s="12" t="inlineStr"/>
      <c r="J1613" s="11">
        <f>SUM(J1583:J1612)</f>
        <v/>
      </c>
      <c r="K1613" s="13">
        <f>SUM(K1583:K1612)</f>
        <v/>
      </c>
      <c r="L1613" s="10" t="inlineStr">
        <is>
          <t>TOTAL</t>
        </is>
      </c>
      <c r="M1613" s="13">
        <f>SUM(M1583:M1612)</f>
        <v/>
      </c>
      <c r="N1613" s="11">
        <f>SUM(N1583:N1612)</f>
        <v/>
      </c>
      <c r="O1613" s="12">
        <f>SUM(O1583:O1612)</f>
        <v/>
      </c>
      <c r="P1613" s="10" t="inlineStr"/>
      <c r="Q1613" s="12" t="inlineStr"/>
      <c r="R1613" s="11">
        <f>SUM(R1583:R1612)</f>
        <v/>
      </c>
      <c r="S1613" s="13">
        <f>SUM(S1583:S1612)</f>
        <v/>
      </c>
      <c r="T1613" s="13" t="n">
        <v>0</v>
      </c>
      <c r="U1613" s="13" t="n">
        <v>0.008212871819592626</v>
      </c>
      <c r="V1613" s="10" t="inlineStr"/>
    </row>
    <row r="1614">
      <c r="A1614" s="6" t="inlineStr">
        <is>
          <t>DJ30</t>
        </is>
      </c>
      <c r="B1614" s="6" t="inlineStr">
        <is>
          <t>2024-01-05</t>
        </is>
      </c>
      <c r="C1614" s="6" t="inlineStr">
        <is>
          <t>DIA</t>
        </is>
      </c>
      <c r="D1614" s="6" t="inlineStr">
        <is>
          <t>AAPL</t>
        </is>
      </c>
      <c r="E1614" s="6" t="inlineStr">
        <is>
          <t>AAPL</t>
        </is>
      </c>
      <c r="F1614" s="6" t="inlineStr">
        <is>
          <t>-</t>
        </is>
      </c>
      <c r="G1614" s="7" t="n">
        <v>179.152099609375</v>
      </c>
      <c r="H1614" s="6">
        <f>P1583</f>
        <v/>
      </c>
      <c r="I1614" s="9">
        <f>Q1583</f>
        <v/>
      </c>
      <c r="J1614" s="7">
        <f>I1614*G1614</f>
        <v/>
      </c>
      <c r="K1614" s="8">
        <f>IF($J$1644=0,0,J1614/$J$1644)</f>
        <v/>
      </c>
      <c r="L1614" s="6" t="inlineStr">
        <is>
          <t>WATCHLIST</t>
        </is>
      </c>
      <c r="M1614" s="8" t="n">
        <v>0</v>
      </c>
      <c r="N1614" s="7">
        <f>M1614*$J$1644-J1614</f>
        <v/>
      </c>
      <c r="O1614" s="9">
        <f>IF(G1614=0,0,N1614/G1614)</f>
        <v/>
      </c>
      <c r="P1614" s="6">
        <f>IF(M1614&gt;0,D1614,"")</f>
        <v/>
      </c>
      <c r="Q1614" s="9">
        <f>I1614+O1614</f>
        <v/>
      </c>
      <c r="R1614" s="7">
        <f>Q1614*G1614</f>
        <v/>
      </c>
      <c r="S1614" s="8">
        <f>IF($R$1644=0,0,R1614/$R$1644)</f>
        <v/>
      </c>
      <c r="T1614" s="8" t="n">
        <v>-0.001000000000000001</v>
      </c>
      <c r="U1614" s="8" t="n">
        <v>-0.005916865079448663</v>
      </c>
      <c r="V1614" s="6" t="inlineStr">
        <is>
          <t>not selected</t>
        </is>
      </c>
    </row>
    <row r="1615">
      <c r="A1615" s="6" t="inlineStr">
        <is>
          <t>DJ30</t>
        </is>
      </c>
      <c r="B1615" s="6" t="inlineStr">
        <is>
          <t>2024-01-05</t>
        </is>
      </c>
      <c r="C1615" s="6" t="inlineStr">
        <is>
          <t>DIA</t>
        </is>
      </c>
      <c r="D1615" s="6" t="inlineStr">
        <is>
          <t>AMGN</t>
        </is>
      </c>
      <c r="E1615" s="6" t="inlineStr">
        <is>
          <t>AMGN</t>
        </is>
      </c>
      <c r="F1615" s="6" t="inlineStr">
        <is>
          <t>-</t>
        </is>
      </c>
      <c r="G1615" s="7" t="n">
        <v>280.7611694335937</v>
      </c>
      <c r="H1615" s="6">
        <f>P1584</f>
        <v/>
      </c>
      <c r="I1615" s="9">
        <f>Q1584</f>
        <v/>
      </c>
      <c r="J1615" s="7">
        <f>I1615*G1615</f>
        <v/>
      </c>
      <c r="K1615" s="8">
        <f>IF($J$1644=0,0,J1615/$J$1644)</f>
        <v/>
      </c>
      <c r="L1615" s="6" t="inlineStr">
        <is>
          <t>WATCHLIST</t>
        </is>
      </c>
      <c r="M1615" s="8" t="n">
        <v>0</v>
      </c>
      <c r="N1615" s="7">
        <f>M1615*$J$1644-J1615</f>
        <v/>
      </c>
      <c r="O1615" s="9">
        <f>IF(G1615=0,0,N1615/G1615)</f>
        <v/>
      </c>
      <c r="P1615" s="6">
        <f>IF(M1615&gt;0,D1615,"")</f>
        <v/>
      </c>
      <c r="Q1615" s="9">
        <f>I1615+O1615</f>
        <v/>
      </c>
      <c r="R1615" s="7">
        <f>Q1615*G1615</f>
        <v/>
      </c>
      <c r="S1615" s="8">
        <f>IF($R$1644=0,0,R1615/$R$1644)</f>
        <v/>
      </c>
      <c r="T1615" s="8" t="n">
        <v>-0.001000000000000001</v>
      </c>
      <c r="U1615" s="8" t="n">
        <v>-0.005916865079448663</v>
      </c>
      <c r="V1615" s="6" t="inlineStr">
        <is>
          <t>not selected</t>
        </is>
      </c>
    </row>
    <row r="1616">
      <c r="A1616" s="6" t="inlineStr">
        <is>
          <t>DJ30</t>
        </is>
      </c>
      <c r="B1616" s="6" t="inlineStr">
        <is>
          <t>2024-01-05</t>
        </is>
      </c>
      <c r="C1616" s="6" t="inlineStr">
        <is>
          <t>DIA</t>
        </is>
      </c>
      <c r="D1616" s="6" t="inlineStr">
        <is>
          <t>AMZN</t>
        </is>
      </c>
      <c r="E1616" s="6" t="inlineStr">
        <is>
          <t>AMZN</t>
        </is>
      </c>
      <c r="F1616" s="6" t="inlineStr">
        <is>
          <t>-</t>
        </is>
      </c>
      <c r="G1616" s="7" t="n">
        <v>145.2400054931641</v>
      </c>
      <c r="H1616" s="6">
        <f>P1585</f>
        <v/>
      </c>
      <c r="I1616" s="9">
        <f>Q1585</f>
        <v/>
      </c>
      <c r="J1616" s="7">
        <f>I1616*G1616</f>
        <v/>
      </c>
      <c r="K1616" s="8">
        <f>IF($J$1644=0,0,J1616/$J$1644)</f>
        <v/>
      </c>
      <c r="L1616" s="6" t="inlineStr">
        <is>
          <t>SELECTED</t>
        </is>
      </c>
      <c r="M1616" s="8" t="n">
        <v>0.2</v>
      </c>
      <c r="N1616" s="7">
        <f>M1616*$J$1644-J1616</f>
        <v/>
      </c>
      <c r="O1616" s="9">
        <f>IF(G1616=0,0,N1616/G1616)</f>
        <v/>
      </c>
      <c r="P1616" s="6">
        <f>IF(M1616&gt;0,D1616,"")</f>
        <v/>
      </c>
      <c r="Q1616" s="9">
        <f>I1616+O1616</f>
        <v/>
      </c>
      <c r="R1616" s="7">
        <f>Q1616*G1616</f>
        <v/>
      </c>
      <c r="S1616" s="8">
        <f>IF($R$1644=0,0,R1616/$R$1644)</f>
        <v/>
      </c>
      <c r="T1616" s="8" t="n">
        <v>-0.001000000000000001</v>
      </c>
      <c r="U1616" s="8" t="n">
        <v>-0.005916865079448663</v>
      </c>
      <c r="V1616" s="6" t="inlineStr">
        <is>
          <t>entered weekly selection</t>
        </is>
      </c>
    </row>
    <row r="1617">
      <c r="A1617" s="6" t="inlineStr">
        <is>
          <t>DJ30</t>
        </is>
      </c>
      <c r="B1617" s="6" t="inlineStr">
        <is>
          <t>2024-01-05</t>
        </is>
      </c>
      <c r="C1617" s="6" t="inlineStr">
        <is>
          <t>DIA</t>
        </is>
      </c>
      <c r="D1617" s="6" t="inlineStr">
        <is>
          <t>AXP</t>
        </is>
      </c>
      <c r="E1617" s="6" t="inlineStr">
        <is>
          <t>AXP</t>
        </is>
      </c>
      <c r="F1617" s="6" t="inlineStr">
        <is>
          <t>-</t>
        </is>
      </c>
      <c r="G1617" s="7" t="n">
        <v>184.4349670410156</v>
      </c>
      <c r="H1617" s="6">
        <f>P1586</f>
        <v/>
      </c>
      <c r="I1617" s="9">
        <f>Q1586</f>
        <v/>
      </c>
      <c r="J1617" s="7">
        <f>I1617*G1617</f>
        <v/>
      </c>
      <c r="K1617" s="8">
        <f>IF($J$1644=0,0,J1617/$J$1644)</f>
        <v/>
      </c>
      <c r="L1617" s="6" t="inlineStr">
        <is>
          <t>REJECTED</t>
        </is>
      </c>
      <c r="M1617" s="8" t="n">
        <v>0</v>
      </c>
      <c r="N1617" s="7">
        <f>M1617*$J$1644-J1617</f>
        <v/>
      </c>
      <c r="O1617" s="9">
        <f>IF(G1617=0,0,N1617/G1617)</f>
        <v/>
      </c>
      <c r="P1617" s="6">
        <f>IF(M1617&gt;0,D1617,"")</f>
        <v/>
      </c>
      <c r="Q1617" s="9">
        <f>I1617+O1617</f>
        <v/>
      </c>
      <c r="R1617" s="7">
        <f>Q1617*G1617</f>
        <v/>
      </c>
      <c r="S1617" s="8">
        <f>IF($R$1644=0,0,R1617/$R$1644)</f>
        <v/>
      </c>
      <c r="T1617" s="8" t="n">
        <v>-0.001000000000000001</v>
      </c>
      <c r="U1617" s="8" t="n">
        <v>-0.005916865079448663</v>
      </c>
      <c r="V1617" s="6" t="inlineStr">
        <is>
          <t>not selected</t>
        </is>
      </c>
    </row>
    <row r="1618">
      <c r="A1618" s="6" t="inlineStr">
        <is>
          <t>DJ30</t>
        </is>
      </c>
      <c r="B1618" s="6" t="inlineStr">
        <is>
          <t>2024-01-05</t>
        </is>
      </c>
      <c r="C1618" s="6" t="inlineStr">
        <is>
          <t>DIA</t>
        </is>
      </c>
      <c r="D1618" s="6" t="inlineStr">
        <is>
          <t>BA</t>
        </is>
      </c>
      <c r="E1618" s="6" t="inlineStr">
        <is>
          <t>BA</t>
        </is>
      </c>
      <c r="F1618" s="6" t="inlineStr">
        <is>
          <t>-</t>
        </is>
      </c>
      <c r="G1618" s="7" t="n">
        <v>249</v>
      </c>
      <c r="H1618" s="6">
        <f>P1587</f>
        <v/>
      </c>
      <c r="I1618" s="9">
        <f>Q1587</f>
        <v/>
      </c>
      <c r="J1618" s="7">
        <f>I1618*G1618</f>
        <v/>
      </c>
      <c r="K1618" s="8">
        <f>IF($J$1644=0,0,J1618/$J$1644)</f>
        <v/>
      </c>
      <c r="L1618" s="6" t="inlineStr">
        <is>
          <t>REJECTED</t>
        </is>
      </c>
      <c r="M1618" s="8" t="n">
        <v>0</v>
      </c>
      <c r="N1618" s="7">
        <f>M1618*$J$1644-J1618</f>
        <v/>
      </c>
      <c r="O1618" s="9">
        <f>IF(G1618=0,0,N1618/G1618)</f>
        <v/>
      </c>
      <c r="P1618" s="6">
        <f>IF(M1618&gt;0,D1618,"")</f>
        <v/>
      </c>
      <c r="Q1618" s="9">
        <f>I1618+O1618</f>
        <v/>
      </c>
      <c r="R1618" s="7">
        <f>Q1618*G1618</f>
        <v/>
      </c>
      <c r="S1618" s="8">
        <f>IF($R$1644=0,0,R1618/$R$1644)</f>
        <v/>
      </c>
      <c r="T1618" s="8" t="n">
        <v>-0.001000000000000001</v>
      </c>
      <c r="U1618" s="8" t="n">
        <v>-0.005916865079448663</v>
      </c>
      <c r="V1618" s="6" t="inlineStr">
        <is>
          <t>not selected</t>
        </is>
      </c>
    </row>
    <row r="1619">
      <c r="A1619" s="6" t="inlineStr">
        <is>
          <t>DJ30</t>
        </is>
      </c>
      <c r="B1619" s="6" t="inlineStr">
        <is>
          <t>2024-01-05</t>
        </is>
      </c>
      <c r="C1619" s="6" t="inlineStr">
        <is>
          <t>DIA</t>
        </is>
      </c>
      <c r="D1619" s="6" t="inlineStr">
        <is>
          <t>CAT</t>
        </is>
      </c>
      <c r="E1619" s="6" t="inlineStr">
        <is>
          <t>CAT</t>
        </is>
      </c>
      <c r="F1619" s="6" t="inlineStr">
        <is>
          <t>-</t>
        </is>
      </c>
      <c r="G1619" s="7" t="n">
        <v>278.9536743164062</v>
      </c>
      <c r="H1619" s="6">
        <f>P1588</f>
        <v/>
      </c>
      <c r="I1619" s="9">
        <f>Q1588</f>
        <v/>
      </c>
      <c r="J1619" s="7">
        <f>I1619*G1619</f>
        <v/>
      </c>
      <c r="K1619" s="8">
        <f>IF($J$1644=0,0,J1619/$J$1644)</f>
        <v/>
      </c>
      <c r="L1619" s="6" t="inlineStr">
        <is>
          <t>WATCHLIST</t>
        </is>
      </c>
      <c r="M1619" s="8" t="n">
        <v>0</v>
      </c>
      <c r="N1619" s="7">
        <f>M1619*$J$1644-J1619</f>
        <v/>
      </c>
      <c r="O1619" s="9">
        <f>IF(G1619=0,0,N1619/G1619)</f>
        <v/>
      </c>
      <c r="P1619" s="6">
        <f>IF(M1619&gt;0,D1619,"")</f>
        <v/>
      </c>
      <c r="Q1619" s="9">
        <f>I1619+O1619</f>
        <v/>
      </c>
      <c r="R1619" s="7">
        <f>Q1619*G1619</f>
        <v/>
      </c>
      <c r="S1619" s="8">
        <f>IF($R$1644=0,0,R1619/$R$1644)</f>
        <v/>
      </c>
      <c r="T1619" s="8" t="n">
        <v>-0.001000000000000001</v>
      </c>
      <c r="U1619" s="8" t="n">
        <v>-0.005916865079448663</v>
      </c>
      <c r="V1619" s="6" t="inlineStr">
        <is>
          <t>not selected</t>
        </is>
      </c>
    </row>
    <row r="1620">
      <c r="A1620" s="6" t="inlineStr">
        <is>
          <t>DJ30</t>
        </is>
      </c>
      <c r="B1620" s="6" t="inlineStr">
        <is>
          <t>2024-01-05</t>
        </is>
      </c>
      <c r="C1620" s="6" t="inlineStr">
        <is>
          <t>DIA</t>
        </is>
      </c>
      <c r="D1620" s="6" t="inlineStr">
        <is>
          <t>CRM</t>
        </is>
      </c>
      <c r="E1620" s="6" t="inlineStr">
        <is>
          <t>CRM</t>
        </is>
      </c>
      <c r="F1620" s="6" t="inlineStr">
        <is>
          <t>-</t>
        </is>
      </c>
      <c r="G1620" s="7" t="n">
        <v>246.849365234375</v>
      </c>
      <c r="H1620" s="6">
        <f>P1589</f>
        <v/>
      </c>
      <c r="I1620" s="9">
        <f>Q1589</f>
        <v/>
      </c>
      <c r="J1620" s="7">
        <f>I1620*G1620</f>
        <v/>
      </c>
      <c r="K1620" s="8">
        <f>IF($J$1644=0,0,J1620/$J$1644)</f>
        <v/>
      </c>
      <c r="L1620" s="6" t="inlineStr">
        <is>
          <t>SELECTED</t>
        </is>
      </c>
      <c r="M1620" s="8" t="n">
        <v>0.2</v>
      </c>
      <c r="N1620" s="7">
        <f>M1620*$J$1644-J1620</f>
        <v/>
      </c>
      <c r="O1620" s="9">
        <f>IF(G1620=0,0,N1620/G1620)</f>
        <v/>
      </c>
      <c r="P1620" s="6">
        <f>IF(M1620&gt;0,D1620,"")</f>
        <v/>
      </c>
      <c r="Q1620" s="9">
        <f>I1620+O1620</f>
        <v/>
      </c>
      <c r="R1620" s="7">
        <f>Q1620*G1620</f>
        <v/>
      </c>
      <c r="S1620" s="8">
        <f>IF($R$1644=0,0,R1620/$R$1644)</f>
        <v/>
      </c>
      <c r="T1620" s="8" t="n">
        <v>-0.001000000000000001</v>
      </c>
      <c r="U1620" s="8" t="n">
        <v>-0.005916865079448663</v>
      </c>
      <c r="V1620" s="6" t="inlineStr">
        <is>
          <t>entered weekly selection</t>
        </is>
      </c>
    </row>
    <row r="1621">
      <c r="A1621" s="6" t="inlineStr">
        <is>
          <t>DJ30</t>
        </is>
      </c>
      <c r="B1621" s="6" t="inlineStr">
        <is>
          <t>2024-01-05</t>
        </is>
      </c>
      <c r="C1621" s="6" t="inlineStr">
        <is>
          <t>DIA</t>
        </is>
      </c>
      <c r="D1621" s="6" t="inlineStr">
        <is>
          <t>CSCO</t>
        </is>
      </c>
      <c r="E1621" s="6" t="inlineStr">
        <is>
          <t>CSCO</t>
        </is>
      </c>
      <c r="F1621" s="6" t="inlineStr">
        <is>
          <t>-</t>
        </is>
      </c>
      <c r="G1621" s="7" t="n">
        <v>47.15022659301758</v>
      </c>
      <c r="H1621" s="6">
        <f>P1590</f>
        <v/>
      </c>
      <c r="I1621" s="9">
        <f>Q1590</f>
        <v/>
      </c>
      <c r="J1621" s="7">
        <f>I1621*G1621</f>
        <v/>
      </c>
      <c r="K1621" s="8">
        <f>IF($J$1644=0,0,J1621/$J$1644)</f>
        <v/>
      </c>
      <c r="L1621" s="6" t="inlineStr">
        <is>
          <t>REJECTED</t>
        </is>
      </c>
      <c r="M1621" s="8" t="n">
        <v>0</v>
      </c>
      <c r="N1621" s="7">
        <f>M1621*$J$1644-J1621</f>
        <v/>
      </c>
      <c r="O1621" s="9">
        <f>IF(G1621=0,0,N1621/G1621)</f>
        <v/>
      </c>
      <c r="P1621" s="6">
        <f>IF(M1621&gt;0,D1621,"")</f>
        <v/>
      </c>
      <c r="Q1621" s="9">
        <f>I1621+O1621</f>
        <v/>
      </c>
      <c r="R1621" s="7">
        <f>Q1621*G1621</f>
        <v/>
      </c>
      <c r="S1621" s="8">
        <f>IF($R$1644=0,0,R1621/$R$1644)</f>
        <v/>
      </c>
      <c r="T1621" s="8" t="n">
        <v>-0.001000000000000001</v>
      </c>
      <c r="U1621" s="8" t="n">
        <v>-0.005916865079448663</v>
      </c>
      <c r="V1621" s="6" t="inlineStr">
        <is>
          <t>not selected</t>
        </is>
      </c>
    </row>
    <row r="1622">
      <c r="A1622" s="6" t="inlineStr">
        <is>
          <t>DJ30</t>
        </is>
      </c>
      <c r="B1622" s="6" t="inlineStr">
        <is>
          <t>2024-01-05</t>
        </is>
      </c>
      <c r="C1622" s="6" t="inlineStr">
        <is>
          <t>DIA</t>
        </is>
      </c>
      <c r="D1622" s="6" t="inlineStr">
        <is>
          <t>CVX</t>
        </is>
      </c>
      <c r="E1622" s="6" t="inlineStr">
        <is>
          <t>CVX</t>
        </is>
      </c>
      <c r="F1622" s="6" t="inlineStr">
        <is>
          <t>-</t>
        </is>
      </c>
      <c r="G1622" s="7" t="n">
        <v>135.2266998291016</v>
      </c>
      <c r="H1622" s="6">
        <f>P1591</f>
        <v/>
      </c>
      <c r="I1622" s="9">
        <f>Q1591</f>
        <v/>
      </c>
      <c r="J1622" s="7">
        <f>I1622*G1622</f>
        <v/>
      </c>
      <c r="K1622" s="8">
        <f>IF($J$1644=0,0,J1622/$J$1644)</f>
        <v/>
      </c>
      <c r="L1622" s="6" t="inlineStr">
        <is>
          <t>REJECTED</t>
        </is>
      </c>
      <c r="M1622" s="8" t="n">
        <v>0</v>
      </c>
      <c r="N1622" s="7">
        <f>M1622*$J$1644-J1622</f>
        <v/>
      </c>
      <c r="O1622" s="9">
        <f>IF(G1622=0,0,N1622/G1622)</f>
        <v/>
      </c>
      <c r="P1622" s="6">
        <f>IF(M1622&gt;0,D1622,"")</f>
        <v/>
      </c>
      <c r="Q1622" s="9">
        <f>I1622+O1622</f>
        <v/>
      </c>
      <c r="R1622" s="7">
        <f>Q1622*G1622</f>
        <v/>
      </c>
      <c r="S1622" s="8">
        <f>IF($R$1644=0,0,R1622/$R$1644)</f>
        <v/>
      </c>
      <c r="T1622" s="8" t="n">
        <v>-0.001000000000000001</v>
      </c>
      <c r="U1622" s="8" t="n">
        <v>-0.005916865079448663</v>
      </c>
      <c r="V1622" s="6" t="inlineStr">
        <is>
          <t>not selected</t>
        </is>
      </c>
    </row>
    <row r="1623">
      <c r="A1623" s="6" t="inlineStr">
        <is>
          <t>DJ30</t>
        </is>
      </c>
      <c r="B1623" s="6" t="inlineStr">
        <is>
          <t>2024-01-05</t>
        </is>
      </c>
      <c r="C1623" s="6" t="inlineStr">
        <is>
          <t>DIA</t>
        </is>
      </c>
      <c r="D1623" s="6" t="inlineStr">
        <is>
          <t>DIS</t>
        </is>
      </c>
      <c r="E1623" s="6" t="inlineStr">
        <is>
          <t>DIS</t>
        </is>
      </c>
      <c r="F1623" s="6" t="inlineStr">
        <is>
          <t>-</t>
        </is>
      </c>
      <c r="G1623" s="7" t="n">
        <v>89.09804534912109</v>
      </c>
      <c r="H1623" s="6">
        <f>P1592</f>
        <v/>
      </c>
      <c r="I1623" s="9">
        <f>Q1592</f>
        <v/>
      </c>
      <c r="J1623" s="7">
        <f>I1623*G1623</f>
        <v/>
      </c>
      <c r="K1623" s="8">
        <f>IF($J$1644=0,0,J1623/$J$1644)</f>
        <v/>
      </c>
      <c r="L1623" s="6" t="inlineStr">
        <is>
          <t>REJECTED</t>
        </is>
      </c>
      <c r="M1623" s="8" t="n">
        <v>0</v>
      </c>
      <c r="N1623" s="7">
        <f>M1623*$J$1644-J1623</f>
        <v/>
      </c>
      <c r="O1623" s="9">
        <f>IF(G1623=0,0,N1623/G1623)</f>
        <v/>
      </c>
      <c r="P1623" s="6">
        <f>IF(M1623&gt;0,D1623,"")</f>
        <v/>
      </c>
      <c r="Q1623" s="9">
        <f>I1623+O1623</f>
        <v/>
      </c>
      <c r="R1623" s="7">
        <f>Q1623*G1623</f>
        <v/>
      </c>
      <c r="S1623" s="8">
        <f>IF($R$1644=0,0,R1623/$R$1644)</f>
        <v/>
      </c>
      <c r="T1623" s="8" t="n">
        <v>-0.001000000000000001</v>
      </c>
      <c r="U1623" s="8" t="n">
        <v>-0.005916865079448663</v>
      </c>
      <c r="V1623" s="6" t="inlineStr">
        <is>
          <t>not selected</t>
        </is>
      </c>
    </row>
    <row r="1624">
      <c r="A1624" s="6" t="inlineStr">
        <is>
          <t>DJ30</t>
        </is>
      </c>
      <c r="B1624" s="6" t="inlineStr">
        <is>
          <t>2024-01-05</t>
        </is>
      </c>
      <c r="C1624" s="6" t="inlineStr">
        <is>
          <t>DIA</t>
        </is>
      </c>
      <c r="D1624" s="6" t="inlineStr">
        <is>
          <t>GS</t>
        </is>
      </c>
      <c r="E1624" s="6" t="inlineStr">
        <is>
          <t>GS</t>
        </is>
      </c>
      <c r="F1624" s="6" t="inlineStr">
        <is>
          <t>-</t>
        </is>
      </c>
      <c r="G1624" s="7" t="n">
        <v>366.2045593261719</v>
      </c>
      <c r="H1624" s="6">
        <f>P1593</f>
        <v/>
      </c>
      <c r="I1624" s="9">
        <f>Q1593</f>
        <v/>
      </c>
      <c r="J1624" s="7">
        <f>I1624*G1624</f>
        <v/>
      </c>
      <c r="K1624" s="8">
        <f>IF($J$1644=0,0,J1624/$J$1644)</f>
        <v/>
      </c>
      <c r="L1624" s="6" t="inlineStr">
        <is>
          <t>REJECTED</t>
        </is>
      </c>
      <c r="M1624" s="8" t="n">
        <v>0</v>
      </c>
      <c r="N1624" s="7">
        <f>M1624*$J$1644-J1624</f>
        <v/>
      </c>
      <c r="O1624" s="9">
        <f>IF(G1624=0,0,N1624/G1624)</f>
        <v/>
      </c>
      <c r="P1624" s="6">
        <f>IF(M1624&gt;0,D1624,"")</f>
        <v/>
      </c>
      <c r="Q1624" s="9">
        <f>I1624+O1624</f>
        <v/>
      </c>
      <c r="R1624" s="7">
        <f>Q1624*G1624</f>
        <v/>
      </c>
      <c r="S1624" s="8">
        <f>IF($R$1644=0,0,R1624/$R$1644)</f>
        <v/>
      </c>
      <c r="T1624" s="8" t="n">
        <v>-0.001000000000000001</v>
      </c>
      <c r="U1624" s="8" t="n">
        <v>-0.005916865079448663</v>
      </c>
      <c r="V1624" s="6" t="inlineStr">
        <is>
          <t>not selected</t>
        </is>
      </c>
    </row>
    <row r="1625">
      <c r="A1625" s="6" t="inlineStr">
        <is>
          <t>DJ30</t>
        </is>
      </c>
      <c r="B1625" s="6" t="inlineStr">
        <is>
          <t>2024-01-05</t>
        </is>
      </c>
      <c r="C1625" s="6" t="inlineStr">
        <is>
          <t>DIA</t>
        </is>
      </c>
      <c r="D1625" s="6" t="inlineStr">
        <is>
          <t>HD</t>
        </is>
      </c>
      <c r="E1625" s="6" t="inlineStr">
        <is>
          <t>HD</t>
        </is>
      </c>
      <c r="F1625" s="6" t="inlineStr">
        <is>
          <t>-</t>
        </is>
      </c>
      <c r="G1625" s="7" t="n">
        <v>322.01416015625</v>
      </c>
      <c r="H1625" s="6">
        <f>P1594</f>
        <v/>
      </c>
      <c r="I1625" s="9">
        <f>Q1594</f>
        <v/>
      </c>
      <c r="J1625" s="7">
        <f>I1625*G1625</f>
        <v/>
      </c>
      <c r="K1625" s="8">
        <f>IF($J$1644=0,0,J1625/$J$1644)</f>
        <v/>
      </c>
      <c r="L1625" s="6" t="inlineStr">
        <is>
          <t>REJECTED</t>
        </is>
      </c>
      <c r="M1625" s="8" t="n">
        <v>0</v>
      </c>
      <c r="N1625" s="7">
        <f>M1625*$J$1644-J1625</f>
        <v/>
      </c>
      <c r="O1625" s="9">
        <f>IF(G1625=0,0,N1625/G1625)</f>
        <v/>
      </c>
      <c r="P1625" s="6">
        <f>IF(M1625&gt;0,D1625,"")</f>
        <v/>
      </c>
      <c r="Q1625" s="9">
        <f>I1625+O1625</f>
        <v/>
      </c>
      <c r="R1625" s="7">
        <f>Q1625*G1625</f>
        <v/>
      </c>
      <c r="S1625" s="8">
        <f>IF($R$1644=0,0,R1625/$R$1644)</f>
        <v/>
      </c>
      <c r="T1625" s="8" t="n">
        <v>-0.001000000000000001</v>
      </c>
      <c r="U1625" s="8" t="n">
        <v>-0.005916865079448663</v>
      </c>
      <c r="V1625" s="6" t="inlineStr">
        <is>
          <t>not selected</t>
        </is>
      </c>
    </row>
    <row r="1626">
      <c r="A1626" s="6" t="inlineStr">
        <is>
          <t>DJ30</t>
        </is>
      </c>
      <c r="B1626" s="6" t="inlineStr">
        <is>
          <t>2024-01-05</t>
        </is>
      </c>
      <c r="C1626" s="6" t="inlineStr">
        <is>
          <t>DIA</t>
        </is>
      </c>
      <c r="D1626" s="6" t="inlineStr">
        <is>
          <t>HON</t>
        </is>
      </c>
      <c r="E1626" s="6" t="inlineStr">
        <is>
          <t>HON</t>
        </is>
      </c>
      <c r="F1626" s="6" t="inlineStr">
        <is>
          <t>-</t>
        </is>
      </c>
      <c r="G1626" s="7" t="n">
        <v>181.8970489501953</v>
      </c>
      <c r="H1626" s="6">
        <f>P1595</f>
        <v/>
      </c>
      <c r="I1626" s="9">
        <f>Q1595</f>
        <v/>
      </c>
      <c r="J1626" s="7">
        <f>I1626*G1626</f>
        <v/>
      </c>
      <c r="K1626" s="8">
        <f>IF($J$1644=0,0,J1626/$J$1644)</f>
        <v/>
      </c>
      <c r="L1626" s="6" t="inlineStr">
        <is>
          <t>REJECTED</t>
        </is>
      </c>
      <c r="M1626" s="8" t="n">
        <v>0</v>
      </c>
      <c r="N1626" s="7">
        <f>M1626*$J$1644-J1626</f>
        <v/>
      </c>
      <c r="O1626" s="9">
        <f>IF(G1626=0,0,N1626/G1626)</f>
        <v/>
      </c>
      <c r="P1626" s="6">
        <f>IF(M1626&gt;0,D1626,"")</f>
        <v/>
      </c>
      <c r="Q1626" s="9">
        <f>I1626+O1626</f>
        <v/>
      </c>
      <c r="R1626" s="7">
        <f>Q1626*G1626</f>
        <v/>
      </c>
      <c r="S1626" s="8">
        <f>IF($R$1644=0,0,R1626/$R$1644)</f>
        <v/>
      </c>
      <c r="T1626" s="8" t="n">
        <v>-0.001000000000000001</v>
      </c>
      <c r="U1626" s="8" t="n">
        <v>-0.005916865079448663</v>
      </c>
      <c r="V1626" s="6" t="inlineStr">
        <is>
          <t>not selected</t>
        </is>
      </c>
    </row>
    <row r="1627">
      <c r="A1627" s="6" t="inlineStr">
        <is>
          <t>DJ30</t>
        </is>
      </c>
      <c r="B1627" s="6" t="inlineStr">
        <is>
          <t>2024-01-05</t>
        </is>
      </c>
      <c r="C1627" s="6" t="inlineStr">
        <is>
          <t>DIA</t>
        </is>
      </c>
      <c r="D1627" s="6" t="inlineStr">
        <is>
          <t>IBM</t>
        </is>
      </c>
      <c r="E1627" s="6" t="inlineStr">
        <is>
          <t>IBM</t>
        </is>
      </c>
      <c r="F1627" s="6" t="inlineStr">
        <is>
          <t>-</t>
        </is>
      </c>
      <c r="G1627" s="7" t="n">
        <v>147.8015289306641</v>
      </c>
      <c r="H1627" s="6">
        <f>P1596</f>
        <v/>
      </c>
      <c r="I1627" s="9">
        <f>Q1596</f>
        <v/>
      </c>
      <c r="J1627" s="7">
        <f>I1627*G1627</f>
        <v/>
      </c>
      <c r="K1627" s="8">
        <f>IF($J$1644=0,0,J1627/$J$1644)</f>
        <v/>
      </c>
      <c r="L1627" s="6" t="inlineStr">
        <is>
          <t>SELECTED</t>
        </is>
      </c>
      <c r="M1627" s="8" t="n">
        <v>0.2</v>
      </c>
      <c r="N1627" s="7">
        <f>M1627*$J$1644-J1627</f>
        <v/>
      </c>
      <c r="O1627" s="9">
        <f>IF(G1627=0,0,N1627/G1627)</f>
        <v/>
      </c>
      <c r="P1627" s="6">
        <f>IF(M1627&gt;0,D1627,"")</f>
        <v/>
      </c>
      <c r="Q1627" s="9">
        <f>I1627+O1627</f>
        <v/>
      </c>
      <c r="R1627" s="7">
        <f>Q1627*G1627</f>
        <v/>
      </c>
      <c r="S1627" s="8">
        <f>IF($R$1644=0,0,R1627/$R$1644)</f>
        <v/>
      </c>
      <c r="T1627" s="8" t="n">
        <v>-0.001000000000000001</v>
      </c>
      <c r="U1627" s="8" t="n">
        <v>-0.005916865079448663</v>
      </c>
      <c r="V1627" s="6" t="inlineStr">
        <is>
          <t>entered weekly selection</t>
        </is>
      </c>
    </row>
    <row r="1628">
      <c r="A1628" s="6" t="inlineStr">
        <is>
          <t>DJ30</t>
        </is>
      </c>
      <c r="B1628" s="6" t="inlineStr">
        <is>
          <t>2024-01-05</t>
        </is>
      </c>
      <c r="C1628" s="6" t="inlineStr">
        <is>
          <t>DIA</t>
        </is>
      </c>
      <c r="D1628" s="6" t="inlineStr">
        <is>
          <t>JNJ</t>
        </is>
      </c>
      <c r="E1628" s="6" t="inlineStr">
        <is>
          <t>JNJ</t>
        </is>
      </c>
      <c r="F1628" s="6" t="inlineStr">
        <is>
          <t>-</t>
        </is>
      </c>
      <c r="G1628" s="7" t="n">
        <v>149.8830108642578</v>
      </c>
      <c r="H1628" s="6">
        <f>P1597</f>
        <v/>
      </c>
      <c r="I1628" s="9">
        <f>Q1597</f>
        <v/>
      </c>
      <c r="J1628" s="7">
        <f>I1628*G1628</f>
        <v/>
      </c>
      <c r="K1628" s="8">
        <f>IF($J$1644=0,0,J1628/$J$1644)</f>
        <v/>
      </c>
      <c r="L1628" s="6" t="inlineStr">
        <is>
          <t>REJECTED</t>
        </is>
      </c>
      <c r="M1628" s="8" t="n">
        <v>0</v>
      </c>
      <c r="N1628" s="7">
        <f>M1628*$J$1644-J1628</f>
        <v/>
      </c>
      <c r="O1628" s="9">
        <f>IF(G1628=0,0,N1628/G1628)</f>
        <v/>
      </c>
      <c r="P1628" s="6">
        <f>IF(M1628&gt;0,D1628,"")</f>
        <v/>
      </c>
      <c r="Q1628" s="9">
        <f>I1628+O1628</f>
        <v/>
      </c>
      <c r="R1628" s="7">
        <f>Q1628*G1628</f>
        <v/>
      </c>
      <c r="S1628" s="8">
        <f>IF($R$1644=0,0,R1628/$R$1644)</f>
        <v/>
      </c>
      <c r="T1628" s="8" t="n">
        <v>-0.001000000000000001</v>
      </c>
      <c r="U1628" s="8" t="n">
        <v>-0.005916865079448663</v>
      </c>
      <c r="V1628" s="6" t="inlineStr">
        <is>
          <t>not selected</t>
        </is>
      </c>
    </row>
    <row r="1629">
      <c r="A1629" s="6" t="inlineStr">
        <is>
          <t>DJ30</t>
        </is>
      </c>
      <c r="B1629" s="6" t="inlineStr">
        <is>
          <t>2024-01-05</t>
        </is>
      </c>
      <c r="C1629" s="6" t="inlineStr">
        <is>
          <t>DIA</t>
        </is>
      </c>
      <c r="D1629" s="6" t="inlineStr">
        <is>
          <t>JPM</t>
        </is>
      </c>
      <c r="E1629" s="6" t="inlineStr">
        <is>
          <t>JPM</t>
        </is>
      </c>
      <c r="F1629" s="6" t="inlineStr">
        <is>
          <t>-</t>
        </is>
      </c>
      <c r="G1629" s="7" t="n">
        <v>164.1956176757812</v>
      </c>
      <c r="H1629" s="6">
        <f>P1598</f>
        <v/>
      </c>
      <c r="I1629" s="9">
        <f>Q1598</f>
        <v/>
      </c>
      <c r="J1629" s="7">
        <f>I1629*G1629</f>
        <v/>
      </c>
      <c r="K1629" s="8">
        <f>IF($J$1644=0,0,J1629/$J$1644)</f>
        <v/>
      </c>
      <c r="L1629" s="6" t="inlineStr">
        <is>
          <t>SELECTED</t>
        </is>
      </c>
      <c r="M1629" s="8" t="n">
        <v>0.2</v>
      </c>
      <c r="N1629" s="7">
        <f>M1629*$J$1644-J1629</f>
        <v/>
      </c>
      <c r="O1629" s="9">
        <f>IF(G1629=0,0,N1629/G1629)</f>
        <v/>
      </c>
      <c r="P1629" s="6">
        <f>IF(M1629&gt;0,D1629,"")</f>
        <v/>
      </c>
      <c r="Q1629" s="9">
        <f>I1629+O1629</f>
        <v/>
      </c>
      <c r="R1629" s="7">
        <f>Q1629*G1629</f>
        <v/>
      </c>
      <c r="S1629" s="8">
        <f>IF($R$1644=0,0,R1629/$R$1644)</f>
        <v/>
      </c>
      <c r="T1629" s="8" t="n">
        <v>-0.001000000000000001</v>
      </c>
      <c r="U1629" s="8" t="n">
        <v>-0.005916865079448663</v>
      </c>
      <c r="V1629" s="6" t="inlineStr">
        <is>
          <t>entered weekly selection</t>
        </is>
      </c>
    </row>
    <row r="1630">
      <c r="A1630" s="6" t="inlineStr">
        <is>
          <t>DJ30</t>
        </is>
      </c>
      <c r="B1630" s="6" t="inlineStr">
        <is>
          <t>2024-01-05</t>
        </is>
      </c>
      <c r="C1630" s="6" t="inlineStr">
        <is>
          <t>DIA</t>
        </is>
      </c>
      <c r="D1630" s="6" t="inlineStr">
        <is>
          <t>KO</t>
        </is>
      </c>
      <c r="E1630" s="6" t="inlineStr">
        <is>
          <t>KO</t>
        </is>
      </c>
      <c r="F1630" s="6" t="inlineStr">
        <is>
          <t>-</t>
        </is>
      </c>
      <c r="G1630" s="7" t="n">
        <v>55.49985504150391</v>
      </c>
      <c r="H1630" s="6">
        <f>P1599</f>
        <v/>
      </c>
      <c r="I1630" s="9">
        <f>Q1599</f>
        <v/>
      </c>
      <c r="J1630" s="7">
        <f>I1630*G1630</f>
        <v/>
      </c>
      <c r="K1630" s="8">
        <f>IF($J$1644=0,0,J1630/$J$1644)</f>
        <v/>
      </c>
      <c r="L1630" s="6" t="inlineStr">
        <is>
          <t>REJECTED</t>
        </is>
      </c>
      <c r="M1630" s="8" t="n">
        <v>0</v>
      </c>
      <c r="N1630" s="7">
        <f>M1630*$J$1644-J1630</f>
        <v/>
      </c>
      <c r="O1630" s="9">
        <f>IF(G1630=0,0,N1630/G1630)</f>
        <v/>
      </c>
      <c r="P1630" s="6">
        <f>IF(M1630&gt;0,D1630,"")</f>
        <v/>
      </c>
      <c r="Q1630" s="9">
        <f>I1630+O1630</f>
        <v/>
      </c>
      <c r="R1630" s="7">
        <f>Q1630*G1630</f>
        <v/>
      </c>
      <c r="S1630" s="8">
        <f>IF($R$1644=0,0,R1630/$R$1644)</f>
        <v/>
      </c>
      <c r="T1630" s="8" t="n">
        <v>-0.001000000000000001</v>
      </c>
      <c r="U1630" s="8" t="n">
        <v>-0.005916865079448663</v>
      </c>
      <c r="V1630" s="6" t="inlineStr">
        <is>
          <t>not selected</t>
        </is>
      </c>
    </row>
    <row r="1631">
      <c r="A1631" s="6" t="inlineStr">
        <is>
          <t>DJ30</t>
        </is>
      </c>
      <c r="B1631" s="6" t="inlineStr">
        <is>
          <t>2024-01-05</t>
        </is>
      </c>
      <c r="C1631" s="6" t="inlineStr">
        <is>
          <t>DIA</t>
        </is>
      </c>
      <c r="D1631" s="6" t="inlineStr">
        <is>
          <t>MCD</t>
        </is>
      </c>
      <c r="E1631" s="6" t="inlineStr">
        <is>
          <t>MCD</t>
        </is>
      </c>
      <c r="F1631" s="6" t="inlineStr">
        <is>
          <t>-</t>
        </is>
      </c>
      <c r="G1631" s="7" t="n">
        <v>272.3425598144531</v>
      </c>
      <c r="H1631" s="6">
        <f>P1600</f>
        <v/>
      </c>
      <c r="I1631" s="9">
        <f>Q1600</f>
        <v/>
      </c>
      <c r="J1631" s="7">
        <f>I1631*G1631</f>
        <v/>
      </c>
      <c r="K1631" s="8">
        <f>IF($J$1644=0,0,J1631/$J$1644)</f>
        <v/>
      </c>
      <c r="L1631" s="6" t="inlineStr">
        <is>
          <t>REJECTED</t>
        </is>
      </c>
      <c r="M1631" s="8" t="n">
        <v>0</v>
      </c>
      <c r="N1631" s="7">
        <f>M1631*$J$1644-J1631</f>
        <v/>
      </c>
      <c r="O1631" s="9">
        <f>IF(G1631=0,0,N1631/G1631)</f>
        <v/>
      </c>
      <c r="P1631" s="6">
        <f>IF(M1631&gt;0,D1631,"")</f>
        <v/>
      </c>
      <c r="Q1631" s="9">
        <f>I1631+O1631</f>
        <v/>
      </c>
      <c r="R1631" s="7">
        <f>Q1631*G1631</f>
        <v/>
      </c>
      <c r="S1631" s="8">
        <f>IF($R$1644=0,0,R1631/$R$1644)</f>
        <v/>
      </c>
      <c r="T1631" s="8" t="n">
        <v>-0.001000000000000001</v>
      </c>
      <c r="U1631" s="8" t="n">
        <v>-0.005916865079448663</v>
      </c>
      <c r="V1631" s="6" t="inlineStr">
        <is>
          <t>not selected</t>
        </is>
      </c>
    </row>
    <row r="1632">
      <c r="A1632" s="6" t="inlineStr">
        <is>
          <t>DJ30</t>
        </is>
      </c>
      <c r="B1632" s="6" t="inlineStr">
        <is>
          <t>2024-01-05</t>
        </is>
      </c>
      <c r="C1632" s="6" t="inlineStr">
        <is>
          <t>DIA</t>
        </is>
      </c>
      <c r="D1632" s="6" t="inlineStr">
        <is>
          <t>MMM</t>
        </is>
      </c>
      <c r="E1632" s="6" t="inlineStr">
        <is>
          <t>MMM</t>
        </is>
      </c>
      <c r="F1632" s="6" t="inlineStr">
        <is>
          <t>-</t>
        </is>
      </c>
      <c r="G1632" s="7" t="n">
        <v>85.30064392089844</v>
      </c>
      <c r="H1632" s="6">
        <f>P1601</f>
        <v/>
      </c>
      <c r="I1632" s="9">
        <f>Q1601</f>
        <v/>
      </c>
      <c r="J1632" s="7">
        <f>I1632*G1632</f>
        <v/>
      </c>
      <c r="K1632" s="8">
        <f>IF($J$1644=0,0,J1632/$J$1644)</f>
        <v/>
      </c>
      <c r="L1632" s="6" t="inlineStr">
        <is>
          <t>REJECTED</t>
        </is>
      </c>
      <c r="M1632" s="8" t="n">
        <v>0</v>
      </c>
      <c r="N1632" s="7">
        <f>M1632*$J$1644-J1632</f>
        <v/>
      </c>
      <c r="O1632" s="9">
        <f>IF(G1632=0,0,N1632/G1632)</f>
        <v/>
      </c>
      <c r="P1632" s="6">
        <f>IF(M1632&gt;0,D1632,"")</f>
        <v/>
      </c>
      <c r="Q1632" s="9">
        <f>I1632+O1632</f>
        <v/>
      </c>
      <c r="R1632" s="7">
        <f>Q1632*G1632</f>
        <v/>
      </c>
      <c r="S1632" s="8">
        <f>IF($R$1644=0,0,R1632/$R$1644)</f>
        <v/>
      </c>
      <c r="T1632" s="8" t="n">
        <v>-0.001000000000000001</v>
      </c>
      <c r="U1632" s="8" t="n">
        <v>-0.005916865079448663</v>
      </c>
      <c r="V1632" s="6" t="inlineStr">
        <is>
          <t>not selected</t>
        </is>
      </c>
    </row>
    <row r="1633">
      <c r="A1633" s="6" t="inlineStr">
        <is>
          <t>DJ30</t>
        </is>
      </c>
      <c r="B1633" s="6" t="inlineStr">
        <is>
          <t>2024-01-05</t>
        </is>
      </c>
      <c r="C1633" s="6" t="inlineStr">
        <is>
          <t>DIA</t>
        </is>
      </c>
      <c r="D1633" s="6" t="inlineStr">
        <is>
          <t>MRK</t>
        </is>
      </c>
      <c r="E1633" s="6" t="inlineStr">
        <is>
          <t>MRK</t>
        </is>
      </c>
      <c r="F1633" s="6" t="inlineStr">
        <is>
          <t>-</t>
        </is>
      </c>
      <c r="G1633" s="7" t="n">
        <v>108.3833084106445</v>
      </c>
      <c r="H1633" s="6">
        <f>P1602</f>
        <v/>
      </c>
      <c r="I1633" s="9">
        <f>Q1602</f>
        <v/>
      </c>
      <c r="J1633" s="7">
        <f>I1633*G1633</f>
        <v/>
      </c>
      <c r="K1633" s="8">
        <f>IF($J$1644=0,0,J1633/$J$1644)</f>
        <v/>
      </c>
      <c r="L1633" s="6" t="inlineStr">
        <is>
          <t>REJECTED</t>
        </is>
      </c>
      <c r="M1633" s="8" t="n">
        <v>0</v>
      </c>
      <c r="N1633" s="7">
        <f>M1633*$J$1644-J1633</f>
        <v/>
      </c>
      <c r="O1633" s="9">
        <f>IF(G1633=0,0,N1633/G1633)</f>
        <v/>
      </c>
      <c r="P1633" s="6">
        <f>IF(M1633&gt;0,D1633,"")</f>
        <v/>
      </c>
      <c r="Q1633" s="9">
        <f>I1633+O1633</f>
        <v/>
      </c>
      <c r="R1633" s="7">
        <f>Q1633*G1633</f>
        <v/>
      </c>
      <c r="S1633" s="8">
        <f>IF($R$1644=0,0,R1633/$R$1644)</f>
        <v/>
      </c>
      <c r="T1633" s="8" t="n">
        <v>-0.001000000000000001</v>
      </c>
      <c r="U1633" s="8" t="n">
        <v>-0.005916865079448663</v>
      </c>
      <c r="V1633" s="6" t="inlineStr">
        <is>
          <t>not selected</t>
        </is>
      </c>
    </row>
    <row r="1634">
      <c r="A1634" s="6" t="inlineStr">
        <is>
          <t>DJ30</t>
        </is>
      </c>
      <c r="B1634" s="6" t="inlineStr">
        <is>
          <t>2024-01-05</t>
        </is>
      </c>
      <c r="C1634" s="6" t="inlineStr">
        <is>
          <t>DIA</t>
        </is>
      </c>
      <c r="D1634" s="6" t="inlineStr">
        <is>
          <t>MSFT</t>
        </is>
      </c>
      <c r="E1634" s="6" t="inlineStr">
        <is>
          <t>MSFT</t>
        </is>
      </c>
      <c r="F1634" s="6" t="inlineStr">
        <is>
          <t>-</t>
        </is>
      </c>
      <c r="G1634" s="7" t="n">
        <v>360.7409973144531</v>
      </c>
      <c r="H1634" s="6">
        <f>P1603</f>
        <v/>
      </c>
      <c r="I1634" s="9">
        <f>Q1603</f>
        <v/>
      </c>
      <c r="J1634" s="7">
        <f>I1634*G1634</f>
        <v/>
      </c>
      <c r="K1634" s="8">
        <f>IF($J$1644=0,0,J1634/$J$1644)</f>
        <v/>
      </c>
      <c r="L1634" s="6" t="inlineStr">
        <is>
          <t>WATCHLIST</t>
        </is>
      </c>
      <c r="M1634" s="8" t="n">
        <v>0</v>
      </c>
      <c r="N1634" s="7">
        <f>M1634*$J$1644-J1634</f>
        <v/>
      </c>
      <c r="O1634" s="9">
        <f>IF(G1634=0,0,N1634/G1634)</f>
        <v/>
      </c>
      <c r="P1634" s="6">
        <f>IF(M1634&gt;0,D1634,"")</f>
        <v/>
      </c>
      <c r="Q1634" s="9">
        <f>I1634+O1634</f>
        <v/>
      </c>
      <c r="R1634" s="7">
        <f>Q1634*G1634</f>
        <v/>
      </c>
      <c r="S1634" s="8">
        <f>IF($R$1644=0,0,R1634/$R$1644)</f>
        <v/>
      </c>
      <c r="T1634" s="8" t="n">
        <v>-0.001000000000000001</v>
      </c>
      <c r="U1634" s="8" t="n">
        <v>-0.005916865079448663</v>
      </c>
      <c r="V1634" s="6" t="inlineStr">
        <is>
          <t>not selected</t>
        </is>
      </c>
    </row>
    <row r="1635">
      <c r="A1635" s="6" t="inlineStr">
        <is>
          <t>DJ30</t>
        </is>
      </c>
      <c r="B1635" s="6" t="inlineStr">
        <is>
          <t>2024-01-05</t>
        </is>
      </c>
      <c r="C1635" s="6" t="inlineStr">
        <is>
          <t>DIA</t>
        </is>
      </c>
      <c r="D1635" s="6" t="inlineStr">
        <is>
          <t>NKE</t>
        </is>
      </c>
      <c r="E1635" s="6" t="inlineStr">
        <is>
          <t>NKE</t>
        </is>
      </c>
      <c r="F1635" s="6" t="inlineStr">
        <is>
          <t>-</t>
        </is>
      </c>
      <c r="G1635" s="7" t="n">
        <v>96.54459381103516</v>
      </c>
      <c r="H1635" s="6">
        <f>P1604</f>
        <v/>
      </c>
      <c r="I1635" s="9">
        <f>Q1604</f>
        <v/>
      </c>
      <c r="J1635" s="7">
        <f>I1635*G1635</f>
        <v/>
      </c>
      <c r="K1635" s="8">
        <f>IF($J$1644=0,0,J1635/$J$1644)</f>
        <v/>
      </c>
      <c r="L1635" s="6" t="inlineStr">
        <is>
          <t>REJECTED</t>
        </is>
      </c>
      <c r="M1635" s="8" t="n">
        <v>0</v>
      </c>
      <c r="N1635" s="7">
        <f>M1635*$J$1644-J1635</f>
        <v/>
      </c>
      <c r="O1635" s="9">
        <f>IF(G1635=0,0,N1635/G1635)</f>
        <v/>
      </c>
      <c r="P1635" s="6">
        <f>IF(M1635&gt;0,D1635,"")</f>
        <v/>
      </c>
      <c r="Q1635" s="9">
        <f>I1635+O1635</f>
        <v/>
      </c>
      <c r="R1635" s="7">
        <f>Q1635*G1635</f>
        <v/>
      </c>
      <c r="S1635" s="8">
        <f>IF($R$1644=0,0,R1635/$R$1644)</f>
        <v/>
      </c>
      <c r="T1635" s="8" t="n">
        <v>-0.001000000000000001</v>
      </c>
      <c r="U1635" s="8" t="n">
        <v>-0.005916865079448663</v>
      </c>
      <c r="V1635" s="6" t="inlineStr">
        <is>
          <t>not selected</t>
        </is>
      </c>
    </row>
    <row r="1636">
      <c r="A1636" s="6" t="inlineStr">
        <is>
          <t>DJ30</t>
        </is>
      </c>
      <c r="B1636" s="6" t="inlineStr">
        <is>
          <t>2024-01-05</t>
        </is>
      </c>
      <c r="C1636" s="6" t="inlineStr">
        <is>
          <t>DIA</t>
        </is>
      </c>
      <c r="D1636" s="6" t="inlineStr">
        <is>
          <t>NVDA</t>
        </is>
      </c>
      <c r="E1636" s="6" t="inlineStr">
        <is>
          <t>NVDA</t>
        </is>
      </c>
      <c r="F1636" s="6" t="inlineStr">
        <is>
          <t>-</t>
        </is>
      </c>
      <c r="G1636" s="7" t="n">
        <v>49.0098876953125</v>
      </c>
      <c r="H1636" s="6">
        <f>P1605</f>
        <v/>
      </c>
      <c r="I1636" s="9">
        <f>Q1605</f>
        <v/>
      </c>
      <c r="J1636" s="7">
        <f>I1636*G1636</f>
        <v/>
      </c>
      <c r="K1636" s="8">
        <f>IF($J$1644=0,0,J1636/$J$1644)</f>
        <v/>
      </c>
      <c r="L1636" s="6" t="inlineStr">
        <is>
          <t>SELECTED</t>
        </is>
      </c>
      <c r="M1636" s="8" t="n">
        <v>0.2</v>
      </c>
      <c r="N1636" s="7">
        <f>M1636*$J$1644-J1636</f>
        <v/>
      </c>
      <c r="O1636" s="9">
        <f>IF(G1636=0,0,N1636/G1636)</f>
        <v/>
      </c>
      <c r="P1636" s="6">
        <f>IF(M1636&gt;0,D1636,"")</f>
        <v/>
      </c>
      <c r="Q1636" s="9">
        <f>I1636+O1636</f>
        <v/>
      </c>
      <c r="R1636" s="7">
        <f>Q1636*G1636</f>
        <v/>
      </c>
      <c r="S1636" s="8">
        <f>IF($R$1644=0,0,R1636/$R$1644)</f>
        <v/>
      </c>
      <c r="T1636" s="8" t="n">
        <v>-0.001000000000000001</v>
      </c>
      <c r="U1636" s="8" t="n">
        <v>-0.005916865079448663</v>
      </c>
      <c r="V1636" s="6" t="inlineStr">
        <is>
          <t>entered weekly selection</t>
        </is>
      </c>
    </row>
    <row r="1637">
      <c r="A1637" s="6" t="inlineStr">
        <is>
          <t>DJ30</t>
        </is>
      </c>
      <c r="B1637" s="6" t="inlineStr">
        <is>
          <t>2024-01-05</t>
        </is>
      </c>
      <c r="C1637" s="6" t="inlineStr">
        <is>
          <t>DIA</t>
        </is>
      </c>
      <c r="D1637" s="6" t="inlineStr">
        <is>
          <t>PG</t>
        </is>
      </c>
      <c r="E1637" s="6" t="inlineStr">
        <is>
          <t>PG</t>
        </is>
      </c>
      <c r="F1637" s="6" t="inlineStr">
        <is>
          <t>-</t>
        </is>
      </c>
      <c r="G1637" s="7" t="n">
        <v>138.1087493896484</v>
      </c>
      <c r="H1637" s="6">
        <f>P1606</f>
        <v/>
      </c>
      <c r="I1637" s="9">
        <f>Q1606</f>
        <v/>
      </c>
      <c r="J1637" s="7">
        <f>I1637*G1637</f>
        <v/>
      </c>
      <c r="K1637" s="8">
        <f>IF($J$1644=0,0,J1637/$J$1644)</f>
        <v/>
      </c>
      <c r="L1637" s="6" t="inlineStr">
        <is>
          <t>REJECTED</t>
        </is>
      </c>
      <c r="M1637" s="8" t="n">
        <v>0</v>
      </c>
      <c r="N1637" s="7">
        <f>M1637*$J$1644-J1637</f>
        <v/>
      </c>
      <c r="O1637" s="9">
        <f>IF(G1637=0,0,N1637/G1637)</f>
        <v/>
      </c>
      <c r="P1637" s="6">
        <f>IF(M1637&gt;0,D1637,"")</f>
        <v/>
      </c>
      <c r="Q1637" s="9">
        <f>I1637+O1637</f>
        <v/>
      </c>
      <c r="R1637" s="7">
        <f>Q1637*G1637</f>
        <v/>
      </c>
      <c r="S1637" s="8">
        <f>IF($R$1644=0,0,R1637/$R$1644)</f>
        <v/>
      </c>
      <c r="T1637" s="8" t="n">
        <v>-0.001000000000000001</v>
      </c>
      <c r="U1637" s="8" t="n">
        <v>-0.005916865079448663</v>
      </c>
      <c r="V1637" s="6" t="inlineStr">
        <is>
          <t>not selected</t>
        </is>
      </c>
    </row>
    <row r="1638">
      <c r="A1638" s="6" t="inlineStr">
        <is>
          <t>DJ30</t>
        </is>
      </c>
      <c r="B1638" s="6" t="inlineStr">
        <is>
          <t>2024-01-05</t>
        </is>
      </c>
      <c r="C1638" s="6" t="inlineStr">
        <is>
          <t>DIA</t>
        </is>
      </c>
      <c r="D1638" s="6" t="inlineStr">
        <is>
          <t>SHW</t>
        </is>
      </c>
      <c r="E1638" s="6" t="inlineStr">
        <is>
          <t>SHW</t>
        </is>
      </c>
      <c r="F1638" s="6" t="inlineStr">
        <is>
          <t>-</t>
        </is>
      </c>
      <c r="G1638" s="7" t="n">
        <v>290.2207946777344</v>
      </c>
      <c r="H1638" s="6">
        <f>P1607</f>
        <v/>
      </c>
      <c r="I1638" s="9">
        <f>Q1607</f>
        <v/>
      </c>
      <c r="J1638" s="7">
        <f>I1638*G1638</f>
        <v/>
      </c>
      <c r="K1638" s="8">
        <f>IF($J$1644=0,0,J1638/$J$1644)</f>
        <v/>
      </c>
      <c r="L1638" s="6" t="inlineStr">
        <is>
          <t>WATCHLIST</t>
        </is>
      </c>
      <c r="M1638" s="8" t="n">
        <v>0</v>
      </c>
      <c r="N1638" s="7">
        <f>M1638*$J$1644-J1638</f>
        <v/>
      </c>
      <c r="O1638" s="9">
        <f>IF(G1638=0,0,N1638/G1638)</f>
        <v/>
      </c>
      <c r="P1638" s="6">
        <f>IF(M1638&gt;0,D1638,"")</f>
        <v/>
      </c>
      <c r="Q1638" s="9">
        <f>I1638+O1638</f>
        <v/>
      </c>
      <c r="R1638" s="7">
        <f>Q1638*G1638</f>
        <v/>
      </c>
      <c r="S1638" s="8">
        <f>IF($R$1644=0,0,R1638/$R$1644)</f>
        <v/>
      </c>
      <c r="T1638" s="8" t="n">
        <v>-0.001000000000000001</v>
      </c>
      <c r="U1638" s="8" t="n">
        <v>-0.005916865079448663</v>
      </c>
      <c r="V1638" s="6" t="inlineStr">
        <is>
          <t>not selected</t>
        </is>
      </c>
    </row>
    <row r="1639">
      <c r="A1639" s="6" t="inlineStr">
        <is>
          <t>DJ30</t>
        </is>
      </c>
      <c r="B1639" s="6" t="inlineStr">
        <is>
          <t>2024-01-05</t>
        </is>
      </c>
      <c r="C1639" s="6" t="inlineStr">
        <is>
          <t>DIA</t>
        </is>
      </c>
      <c r="D1639" s="6" t="inlineStr">
        <is>
          <t>TRV</t>
        </is>
      </c>
      <c r="E1639" s="6" t="inlineStr">
        <is>
          <t>TRV</t>
        </is>
      </c>
      <c r="F1639" s="6" t="inlineStr">
        <is>
          <t>-</t>
        </is>
      </c>
      <c r="G1639" s="7" t="n">
        <v>185.1270751953125</v>
      </c>
      <c r="H1639" s="6">
        <f>P1608</f>
        <v/>
      </c>
      <c r="I1639" s="9">
        <f>Q1608</f>
        <v/>
      </c>
      <c r="J1639" s="7">
        <f>I1639*G1639</f>
        <v/>
      </c>
      <c r="K1639" s="8">
        <f>IF($J$1644=0,0,J1639/$J$1644)</f>
        <v/>
      </c>
      <c r="L1639" s="6" t="inlineStr">
        <is>
          <t>REJECTED</t>
        </is>
      </c>
      <c r="M1639" s="8" t="n">
        <v>0</v>
      </c>
      <c r="N1639" s="7">
        <f>M1639*$J$1644-J1639</f>
        <v/>
      </c>
      <c r="O1639" s="9">
        <f>IF(G1639=0,0,N1639/G1639)</f>
        <v/>
      </c>
      <c r="P1639" s="6">
        <f>IF(M1639&gt;0,D1639,"")</f>
        <v/>
      </c>
      <c r="Q1639" s="9">
        <f>I1639+O1639</f>
        <v/>
      </c>
      <c r="R1639" s="7">
        <f>Q1639*G1639</f>
        <v/>
      </c>
      <c r="S1639" s="8">
        <f>IF($R$1644=0,0,R1639/$R$1644)</f>
        <v/>
      </c>
      <c r="T1639" s="8" t="n">
        <v>-0.001000000000000001</v>
      </c>
      <c r="U1639" s="8" t="n">
        <v>-0.005916865079448663</v>
      </c>
      <c r="V1639" s="6" t="inlineStr">
        <is>
          <t>not selected</t>
        </is>
      </c>
    </row>
    <row r="1640">
      <c r="A1640" s="6" t="inlineStr">
        <is>
          <t>DJ30</t>
        </is>
      </c>
      <c r="B1640" s="6" t="inlineStr">
        <is>
          <t>2024-01-05</t>
        </is>
      </c>
      <c r="C1640" s="6" t="inlineStr">
        <is>
          <t>DIA</t>
        </is>
      </c>
      <c r="D1640" s="6" t="inlineStr">
        <is>
          <t>UNH</t>
        </is>
      </c>
      <c r="E1640" s="6" t="inlineStr">
        <is>
          <t>UNH</t>
        </is>
      </c>
      <c r="F1640" s="6" t="inlineStr">
        <is>
          <t>-</t>
        </is>
      </c>
      <c r="G1640" s="7" t="n">
        <v>509.4859619140625</v>
      </c>
      <c r="H1640" s="6">
        <f>P1609</f>
        <v/>
      </c>
      <c r="I1640" s="9">
        <f>Q1609</f>
        <v/>
      </c>
      <c r="J1640" s="7">
        <f>I1640*G1640</f>
        <v/>
      </c>
      <c r="K1640" s="8">
        <f>IF($J$1644=0,0,J1640/$J$1644)</f>
        <v/>
      </c>
      <c r="L1640" s="6" t="inlineStr">
        <is>
          <t>WATCHLIST</t>
        </is>
      </c>
      <c r="M1640" s="8" t="n">
        <v>0</v>
      </c>
      <c r="N1640" s="7">
        <f>M1640*$J$1644-J1640</f>
        <v/>
      </c>
      <c r="O1640" s="9">
        <f>IF(G1640=0,0,N1640/G1640)</f>
        <v/>
      </c>
      <c r="P1640" s="6">
        <f>IF(M1640&gt;0,D1640,"")</f>
        <v/>
      </c>
      <c r="Q1640" s="9">
        <f>I1640+O1640</f>
        <v/>
      </c>
      <c r="R1640" s="7">
        <f>Q1640*G1640</f>
        <v/>
      </c>
      <c r="S1640" s="8">
        <f>IF($R$1644=0,0,R1640/$R$1644)</f>
        <v/>
      </c>
      <c r="T1640" s="8" t="n">
        <v>-0.001000000000000001</v>
      </c>
      <c r="U1640" s="8" t="n">
        <v>-0.005916865079448663</v>
      </c>
      <c r="V1640" s="6" t="inlineStr">
        <is>
          <t>not selected</t>
        </is>
      </c>
    </row>
    <row r="1641">
      <c r="A1641" s="6" t="inlineStr">
        <is>
          <t>DJ30</t>
        </is>
      </c>
      <c r="B1641" s="6" t="inlineStr">
        <is>
          <t>2024-01-05</t>
        </is>
      </c>
      <c r="C1641" s="6" t="inlineStr">
        <is>
          <t>DIA</t>
        </is>
      </c>
      <c r="D1641" s="6" t="inlineStr">
        <is>
          <t>V</t>
        </is>
      </c>
      <c r="E1641" s="6" t="inlineStr">
        <is>
          <t>V</t>
        </is>
      </c>
      <c r="F1641" s="6" t="inlineStr">
        <is>
          <t>-</t>
        </is>
      </c>
      <c r="G1641" s="7" t="n">
        <v>254.8475799560547</v>
      </c>
      <c r="H1641" s="6">
        <f>P1610</f>
        <v/>
      </c>
      <c r="I1641" s="9">
        <f>Q1610</f>
        <v/>
      </c>
      <c r="J1641" s="7">
        <f>I1641*G1641</f>
        <v/>
      </c>
      <c r="K1641" s="8">
        <f>IF($J$1644=0,0,J1641/$J$1644)</f>
        <v/>
      </c>
      <c r="L1641" s="6" t="inlineStr">
        <is>
          <t>WATCHLIST</t>
        </is>
      </c>
      <c r="M1641" s="8" t="n">
        <v>0</v>
      </c>
      <c r="N1641" s="7">
        <f>M1641*$J$1644-J1641</f>
        <v/>
      </c>
      <c r="O1641" s="9">
        <f>IF(G1641=0,0,N1641/G1641)</f>
        <v/>
      </c>
      <c r="P1641" s="6">
        <f>IF(M1641&gt;0,D1641,"")</f>
        <v/>
      </c>
      <c r="Q1641" s="9">
        <f>I1641+O1641</f>
        <v/>
      </c>
      <c r="R1641" s="7">
        <f>Q1641*G1641</f>
        <v/>
      </c>
      <c r="S1641" s="8">
        <f>IF($R$1644=0,0,R1641/$R$1644)</f>
        <v/>
      </c>
      <c r="T1641" s="8" t="n">
        <v>-0.001000000000000001</v>
      </c>
      <c r="U1641" s="8" t="n">
        <v>-0.005916865079448663</v>
      </c>
      <c r="V1641" s="6" t="inlineStr">
        <is>
          <t>not selected</t>
        </is>
      </c>
    </row>
    <row r="1642">
      <c r="A1642" s="6" t="inlineStr">
        <is>
          <t>DJ30</t>
        </is>
      </c>
      <c r="B1642" s="6" t="inlineStr">
        <is>
          <t>2024-01-05</t>
        </is>
      </c>
      <c r="C1642" s="6" t="inlineStr">
        <is>
          <t>DIA</t>
        </is>
      </c>
      <c r="D1642" s="6" t="inlineStr">
        <is>
          <t>VZ</t>
        </is>
      </c>
      <c r="E1642" s="6" t="inlineStr">
        <is>
          <t>VZ</t>
        </is>
      </c>
      <c r="F1642" s="6" t="inlineStr">
        <is>
          <t>-</t>
        </is>
      </c>
      <c r="G1642" s="7" t="n">
        <v>34.14599609375</v>
      </c>
      <c r="H1642" s="6">
        <f>P1611</f>
        <v/>
      </c>
      <c r="I1642" s="9">
        <f>Q1611</f>
        <v/>
      </c>
      <c r="J1642" s="7">
        <f>I1642*G1642</f>
        <v/>
      </c>
      <c r="K1642" s="8">
        <f>IF($J$1644=0,0,J1642/$J$1644)</f>
        <v/>
      </c>
      <c r="L1642" s="6" t="inlineStr">
        <is>
          <t>REJECTED</t>
        </is>
      </c>
      <c r="M1642" s="8" t="n">
        <v>0</v>
      </c>
      <c r="N1642" s="7">
        <f>M1642*$J$1644-J1642</f>
        <v/>
      </c>
      <c r="O1642" s="9">
        <f>IF(G1642=0,0,N1642/G1642)</f>
        <v/>
      </c>
      <c r="P1642" s="6">
        <f>IF(M1642&gt;0,D1642,"")</f>
        <v/>
      </c>
      <c r="Q1642" s="9">
        <f>I1642+O1642</f>
        <v/>
      </c>
      <c r="R1642" s="7">
        <f>Q1642*G1642</f>
        <v/>
      </c>
      <c r="S1642" s="8">
        <f>IF($R$1644=0,0,R1642/$R$1644)</f>
        <v/>
      </c>
      <c r="T1642" s="8" t="n">
        <v>-0.001000000000000001</v>
      </c>
      <c r="U1642" s="8" t="n">
        <v>-0.005916865079448663</v>
      </c>
      <c r="V1642" s="6" t="inlineStr">
        <is>
          <t>not selected</t>
        </is>
      </c>
    </row>
    <row r="1643">
      <c r="A1643" s="6" t="inlineStr">
        <is>
          <t>DJ30</t>
        </is>
      </c>
      <c r="B1643" s="6" t="inlineStr">
        <is>
          <t>2024-01-05</t>
        </is>
      </c>
      <c r="C1643" s="6" t="inlineStr">
        <is>
          <t>DIA</t>
        </is>
      </c>
      <c r="D1643" s="6" t="inlineStr">
        <is>
          <t>WMT</t>
        </is>
      </c>
      <c r="E1643" s="6" t="inlineStr">
        <is>
          <t>WMT</t>
        </is>
      </c>
      <c r="F1643" s="6" t="inlineStr">
        <is>
          <t>-</t>
        </is>
      </c>
      <c r="G1643" s="7" t="n">
        <v>50.92665863037109</v>
      </c>
      <c r="H1643" s="6">
        <f>P1612</f>
        <v/>
      </c>
      <c r="I1643" s="9">
        <f>Q1612</f>
        <v/>
      </c>
      <c r="J1643" s="7">
        <f>I1643*G1643</f>
        <v/>
      </c>
      <c r="K1643" s="8">
        <f>IF($J$1644=0,0,J1643/$J$1644)</f>
        <v/>
      </c>
      <c r="L1643" s="6" t="inlineStr">
        <is>
          <t>WATCHLIST</t>
        </is>
      </c>
      <c r="M1643" s="8" t="n">
        <v>0</v>
      </c>
      <c r="N1643" s="7">
        <f>M1643*$J$1644-J1643</f>
        <v/>
      </c>
      <c r="O1643" s="9">
        <f>IF(G1643=0,0,N1643/G1643)</f>
        <v/>
      </c>
      <c r="P1643" s="6">
        <f>IF(M1643&gt;0,D1643,"")</f>
        <v/>
      </c>
      <c r="Q1643" s="9">
        <f>I1643+O1643</f>
        <v/>
      </c>
      <c r="R1643" s="7">
        <f>Q1643*G1643</f>
        <v/>
      </c>
      <c r="S1643" s="8">
        <f>IF($R$1644=0,0,R1643/$R$1644)</f>
        <v/>
      </c>
      <c r="T1643" s="8" t="n">
        <v>-0.001000000000000001</v>
      </c>
      <c r="U1643" s="8" t="n">
        <v>-0.005916865079448663</v>
      </c>
      <c r="V1643" s="6" t="inlineStr">
        <is>
          <t>not selected</t>
        </is>
      </c>
    </row>
    <row r="1644">
      <c r="A1644" s="10" t="inlineStr">
        <is>
          <t>DJ30</t>
        </is>
      </c>
      <c r="B1644" s="10" t="inlineStr">
        <is>
          <t>2024-01-05</t>
        </is>
      </c>
      <c r="C1644" s="10" t="inlineStr">
        <is>
          <t>DIA</t>
        </is>
      </c>
      <c r="D1644" s="10" t="inlineStr">
        <is>
          <t>Tot Portfolio</t>
        </is>
      </c>
      <c r="E1644" s="10" t="inlineStr"/>
      <c r="F1644" s="10" t="inlineStr"/>
      <c r="G1644" s="11" t="inlineStr"/>
      <c r="H1644" s="10" t="inlineStr"/>
      <c r="I1644" s="12" t="inlineStr"/>
      <c r="J1644" s="11">
        <f>SUM(J1614:J1643)</f>
        <v/>
      </c>
      <c r="K1644" s="13">
        <f>SUM(K1614:K1643)</f>
        <v/>
      </c>
      <c r="L1644" s="10" t="inlineStr">
        <is>
          <t>TOTAL</t>
        </is>
      </c>
      <c r="M1644" s="13">
        <f>SUM(M1614:M1643)</f>
        <v/>
      </c>
      <c r="N1644" s="11">
        <f>SUM(N1614:N1643)</f>
        <v/>
      </c>
      <c r="O1644" s="12">
        <f>SUM(O1614:O1643)</f>
        <v/>
      </c>
      <c r="P1644" s="10" t="inlineStr"/>
      <c r="Q1644" s="12" t="inlineStr"/>
      <c r="R1644" s="11">
        <f>SUM(R1614:R1643)</f>
        <v/>
      </c>
      <c r="S1644" s="13">
        <f>SUM(S1614:S1643)</f>
        <v/>
      </c>
      <c r="T1644" s="13" t="n">
        <v>-0.001000000000000001</v>
      </c>
      <c r="U1644" s="13" t="n">
        <v>-0.005916865079448663</v>
      </c>
      <c r="V1644" s="10" t="inlineStr"/>
    </row>
    <row r="1645">
      <c r="A1645" s="6" t="inlineStr">
        <is>
          <t>DJ30</t>
        </is>
      </c>
      <c r="B1645" s="6" t="inlineStr">
        <is>
          <t>2024-01-12</t>
        </is>
      </c>
      <c r="C1645" s="6" t="inlineStr">
        <is>
          <t>DIA</t>
        </is>
      </c>
      <c r="D1645" s="6" t="inlineStr">
        <is>
          <t>AAPL</t>
        </is>
      </c>
      <c r="E1645" s="6" t="inlineStr">
        <is>
          <t>AAPL</t>
        </is>
      </c>
      <c r="F1645" s="6" t="inlineStr">
        <is>
          <t>-</t>
        </is>
      </c>
      <c r="G1645" s="7" t="n">
        <v>183.8390350341797</v>
      </c>
      <c r="H1645" s="6">
        <f>P1614</f>
        <v/>
      </c>
      <c r="I1645" s="9">
        <f>Q1614</f>
        <v/>
      </c>
      <c r="J1645" s="7">
        <f>I1645*G1645</f>
        <v/>
      </c>
      <c r="K1645" s="8">
        <f>IF($J$1675=0,0,J1645/$J$1675)</f>
        <v/>
      </c>
      <c r="L1645" s="6" t="inlineStr">
        <is>
          <t>WATCHLIST</t>
        </is>
      </c>
      <c r="M1645" s="8" t="n">
        <v>0</v>
      </c>
      <c r="N1645" s="7">
        <f>M1645*$J$1675-J1645</f>
        <v/>
      </c>
      <c r="O1645" s="9">
        <f>IF(G1645=0,0,N1645/G1645)</f>
        <v/>
      </c>
      <c r="P1645" s="6">
        <f>IF(M1645&gt;0,D1645,"")</f>
        <v/>
      </c>
      <c r="Q1645" s="9">
        <f>I1645+O1645</f>
        <v/>
      </c>
      <c r="R1645" s="7">
        <f>Q1645*G1645</f>
        <v/>
      </c>
      <c r="S1645" s="8">
        <f>IF($R$1675=0,0,R1645/$R$1675)</f>
        <v/>
      </c>
      <c r="T1645" s="8" t="n">
        <v>0.05656075474568034</v>
      </c>
      <c r="U1645" s="8" t="n">
        <v>0.003389625340736391</v>
      </c>
      <c r="V1645" s="6" t="inlineStr">
        <is>
          <t>not selected</t>
        </is>
      </c>
    </row>
    <row r="1646">
      <c r="A1646" s="6" t="inlineStr">
        <is>
          <t>DJ30</t>
        </is>
      </c>
      <c r="B1646" s="6" t="inlineStr">
        <is>
          <t>2024-01-12</t>
        </is>
      </c>
      <c r="C1646" s="6" t="inlineStr">
        <is>
          <t>DIA</t>
        </is>
      </c>
      <c r="D1646" s="6" t="inlineStr">
        <is>
          <t>AMGN</t>
        </is>
      </c>
      <c r="E1646" s="6" t="inlineStr">
        <is>
          <t>AMGN</t>
        </is>
      </c>
      <c r="F1646" s="6" t="inlineStr">
        <is>
          <t>-</t>
        </is>
      </c>
      <c r="G1646" s="7" t="n">
        <v>284.0135803222656</v>
      </c>
      <c r="H1646" s="6">
        <f>P1615</f>
        <v/>
      </c>
      <c r="I1646" s="9">
        <f>Q1615</f>
        <v/>
      </c>
      <c r="J1646" s="7">
        <f>I1646*G1646</f>
        <v/>
      </c>
      <c r="K1646" s="8">
        <f>IF($J$1675=0,0,J1646/$J$1675)</f>
        <v/>
      </c>
      <c r="L1646" s="6" t="inlineStr">
        <is>
          <t>SELECTED</t>
        </is>
      </c>
      <c r="M1646" s="8" t="n">
        <v>0.2</v>
      </c>
      <c r="N1646" s="7">
        <f>M1646*$J$1675-J1646</f>
        <v/>
      </c>
      <c r="O1646" s="9">
        <f>IF(G1646=0,0,N1646/G1646)</f>
        <v/>
      </c>
      <c r="P1646" s="6">
        <f>IF(M1646&gt;0,D1646,"")</f>
        <v/>
      </c>
      <c r="Q1646" s="9">
        <f>I1646+O1646</f>
        <v/>
      </c>
      <c r="R1646" s="7">
        <f>Q1646*G1646</f>
        <v/>
      </c>
      <c r="S1646" s="8">
        <f>IF($R$1675=0,0,R1646/$R$1675)</f>
        <v/>
      </c>
      <c r="T1646" s="8" t="n">
        <v>0.05656075474568034</v>
      </c>
      <c r="U1646" s="8" t="n">
        <v>0.003389625340736391</v>
      </c>
      <c r="V1646" s="6" t="inlineStr">
        <is>
          <t>entered weekly selection</t>
        </is>
      </c>
    </row>
    <row r="1647">
      <c r="A1647" s="6" t="inlineStr">
        <is>
          <t>DJ30</t>
        </is>
      </c>
      <c r="B1647" s="6" t="inlineStr">
        <is>
          <t>2024-01-12</t>
        </is>
      </c>
      <c r="C1647" s="6" t="inlineStr">
        <is>
          <t>DIA</t>
        </is>
      </c>
      <c r="D1647" s="6" t="inlineStr">
        <is>
          <t>AMZN</t>
        </is>
      </c>
      <c r="E1647" s="6" t="inlineStr">
        <is>
          <t>AMZN</t>
        </is>
      </c>
      <c r="F1647" s="6" t="inlineStr">
        <is>
          <t>-</t>
        </is>
      </c>
      <c r="G1647" s="7" t="n">
        <v>154.6199951171875</v>
      </c>
      <c r="H1647" s="6">
        <f>P1616</f>
        <v/>
      </c>
      <c r="I1647" s="9">
        <f>Q1616</f>
        <v/>
      </c>
      <c r="J1647" s="7">
        <f>I1647*G1647</f>
        <v/>
      </c>
      <c r="K1647" s="8">
        <f>IF($J$1675=0,0,J1647/$J$1675)</f>
        <v/>
      </c>
      <c r="L1647" s="6" t="inlineStr">
        <is>
          <t>SELECTED</t>
        </is>
      </c>
      <c r="M1647" s="8" t="n">
        <v>0.2</v>
      </c>
      <c r="N1647" s="7">
        <f>M1647*$J$1675-J1647</f>
        <v/>
      </c>
      <c r="O1647" s="9">
        <f>IF(G1647=0,0,N1647/G1647)</f>
        <v/>
      </c>
      <c r="P1647" s="6">
        <f>IF(M1647&gt;0,D1647,"")</f>
        <v/>
      </c>
      <c r="Q1647" s="9">
        <f>I1647+O1647</f>
        <v/>
      </c>
      <c r="R1647" s="7">
        <f>Q1647*G1647</f>
        <v/>
      </c>
      <c r="S1647" s="8">
        <f>IF($R$1675=0,0,R1647/$R$1675)</f>
        <v/>
      </c>
      <c r="T1647" s="8" t="n">
        <v>0.05656075474568034</v>
      </c>
      <c r="U1647" s="8" t="n">
        <v>0.003389625340736391</v>
      </c>
      <c r="V1647" s="6" t="inlineStr">
        <is>
          <t>remained in weekly selection</t>
        </is>
      </c>
    </row>
    <row r="1648">
      <c r="A1648" s="6" t="inlineStr">
        <is>
          <t>DJ30</t>
        </is>
      </c>
      <c r="B1648" s="6" t="inlineStr">
        <is>
          <t>2024-01-12</t>
        </is>
      </c>
      <c r="C1648" s="6" t="inlineStr">
        <is>
          <t>DIA</t>
        </is>
      </c>
      <c r="D1648" s="6" t="inlineStr">
        <is>
          <t>AXP</t>
        </is>
      </c>
      <c r="E1648" s="6" t="inlineStr">
        <is>
          <t>AXP</t>
        </is>
      </c>
      <c r="F1648" s="6" t="inlineStr">
        <is>
          <t>-</t>
        </is>
      </c>
      <c r="G1648" s="7" t="n">
        <v>177.5867004394531</v>
      </c>
      <c r="H1648" s="6">
        <f>P1617</f>
        <v/>
      </c>
      <c r="I1648" s="9">
        <f>Q1617</f>
        <v/>
      </c>
      <c r="J1648" s="7">
        <f>I1648*G1648</f>
        <v/>
      </c>
      <c r="K1648" s="8">
        <f>IF($J$1675=0,0,J1648/$J$1675)</f>
        <v/>
      </c>
      <c r="L1648" s="6" t="inlineStr">
        <is>
          <t>REJECTED</t>
        </is>
      </c>
      <c r="M1648" s="8" t="n">
        <v>0</v>
      </c>
      <c r="N1648" s="7">
        <f>M1648*$J$1675-J1648</f>
        <v/>
      </c>
      <c r="O1648" s="9">
        <f>IF(G1648=0,0,N1648/G1648)</f>
        <v/>
      </c>
      <c r="P1648" s="6">
        <f>IF(M1648&gt;0,D1648,"")</f>
        <v/>
      </c>
      <c r="Q1648" s="9">
        <f>I1648+O1648</f>
        <v/>
      </c>
      <c r="R1648" s="7">
        <f>Q1648*G1648</f>
        <v/>
      </c>
      <c r="S1648" s="8">
        <f>IF($R$1675=0,0,R1648/$R$1675)</f>
        <v/>
      </c>
      <c r="T1648" s="8" t="n">
        <v>0.05656075474568034</v>
      </c>
      <c r="U1648" s="8" t="n">
        <v>0.003389625340736391</v>
      </c>
      <c r="V1648" s="6" t="inlineStr">
        <is>
          <t>not selected</t>
        </is>
      </c>
    </row>
    <row r="1649">
      <c r="A1649" s="6" t="inlineStr">
        <is>
          <t>DJ30</t>
        </is>
      </c>
      <c r="B1649" s="6" t="inlineStr">
        <is>
          <t>2024-01-12</t>
        </is>
      </c>
      <c r="C1649" s="6" t="inlineStr">
        <is>
          <t>DIA</t>
        </is>
      </c>
      <c r="D1649" s="6" t="inlineStr">
        <is>
          <t>BA</t>
        </is>
      </c>
      <c r="E1649" s="6" t="inlineStr">
        <is>
          <t>BA</t>
        </is>
      </c>
      <c r="F1649" s="6" t="inlineStr">
        <is>
          <t>-</t>
        </is>
      </c>
      <c r="G1649" s="7" t="n">
        <v>217.6999969482422</v>
      </c>
      <c r="H1649" s="6">
        <f>P1618</f>
        <v/>
      </c>
      <c r="I1649" s="9">
        <f>Q1618</f>
        <v/>
      </c>
      <c r="J1649" s="7">
        <f>I1649*G1649</f>
        <v/>
      </c>
      <c r="K1649" s="8">
        <f>IF($J$1675=0,0,J1649/$J$1675)</f>
        <v/>
      </c>
      <c r="L1649" s="6" t="inlineStr">
        <is>
          <t>REJECTED</t>
        </is>
      </c>
      <c r="M1649" s="8" t="n">
        <v>0</v>
      </c>
      <c r="N1649" s="7">
        <f>M1649*$J$1675-J1649</f>
        <v/>
      </c>
      <c r="O1649" s="9">
        <f>IF(G1649=0,0,N1649/G1649)</f>
        <v/>
      </c>
      <c r="P1649" s="6">
        <f>IF(M1649&gt;0,D1649,"")</f>
        <v/>
      </c>
      <c r="Q1649" s="9">
        <f>I1649+O1649</f>
        <v/>
      </c>
      <c r="R1649" s="7">
        <f>Q1649*G1649</f>
        <v/>
      </c>
      <c r="S1649" s="8">
        <f>IF($R$1675=0,0,R1649/$R$1675)</f>
        <v/>
      </c>
      <c r="T1649" s="8" t="n">
        <v>0.05656075474568034</v>
      </c>
      <c r="U1649" s="8" t="n">
        <v>0.003389625340736391</v>
      </c>
      <c r="V1649" s="6" t="inlineStr">
        <is>
          <t>not selected</t>
        </is>
      </c>
    </row>
    <row r="1650">
      <c r="A1650" s="6" t="inlineStr">
        <is>
          <t>DJ30</t>
        </is>
      </c>
      <c r="B1650" s="6" t="inlineStr">
        <is>
          <t>2024-01-12</t>
        </is>
      </c>
      <c r="C1650" s="6" t="inlineStr">
        <is>
          <t>DIA</t>
        </is>
      </c>
      <c r="D1650" s="6" t="inlineStr">
        <is>
          <t>CAT</t>
        </is>
      </c>
      <c r="E1650" s="6" t="inlineStr">
        <is>
          <t>CAT</t>
        </is>
      </c>
      <c r="F1650" s="6" t="inlineStr">
        <is>
          <t>-</t>
        </is>
      </c>
      <c r="G1650" s="7" t="n">
        <v>280.382568359375</v>
      </c>
      <c r="H1650" s="6">
        <f>P1619</f>
        <v/>
      </c>
      <c r="I1650" s="9">
        <f>Q1619</f>
        <v/>
      </c>
      <c r="J1650" s="7">
        <f>I1650*G1650</f>
        <v/>
      </c>
      <c r="K1650" s="8">
        <f>IF($J$1675=0,0,J1650/$J$1675)</f>
        <v/>
      </c>
      <c r="L1650" s="6" t="inlineStr">
        <is>
          <t>WATCHLIST</t>
        </is>
      </c>
      <c r="M1650" s="8" t="n">
        <v>0</v>
      </c>
      <c r="N1650" s="7">
        <f>M1650*$J$1675-J1650</f>
        <v/>
      </c>
      <c r="O1650" s="9">
        <f>IF(G1650=0,0,N1650/G1650)</f>
        <v/>
      </c>
      <c r="P1650" s="6">
        <f>IF(M1650&gt;0,D1650,"")</f>
        <v/>
      </c>
      <c r="Q1650" s="9">
        <f>I1650+O1650</f>
        <v/>
      </c>
      <c r="R1650" s="7">
        <f>Q1650*G1650</f>
        <v/>
      </c>
      <c r="S1650" s="8">
        <f>IF($R$1675=0,0,R1650/$R$1675)</f>
        <v/>
      </c>
      <c r="T1650" s="8" t="n">
        <v>0.05656075474568034</v>
      </c>
      <c r="U1650" s="8" t="n">
        <v>0.003389625340736391</v>
      </c>
      <c r="V1650" s="6" t="inlineStr">
        <is>
          <t>not selected</t>
        </is>
      </c>
    </row>
    <row r="1651">
      <c r="A1651" s="6" t="inlineStr">
        <is>
          <t>DJ30</t>
        </is>
      </c>
      <c r="B1651" s="6" t="inlineStr">
        <is>
          <t>2024-01-12</t>
        </is>
      </c>
      <c r="C1651" s="6" t="inlineStr">
        <is>
          <t>DIA</t>
        </is>
      </c>
      <c r="D1651" s="6" t="inlineStr">
        <is>
          <t>CRM</t>
        </is>
      </c>
      <c r="E1651" s="6" t="inlineStr">
        <is>
          <t>CRM</t>
        </is>
      </c>
      <c r="F1651" s="6" t="inlineStr">
        <is>
          <t>-</t>
        </is>
      </c>
      <c r="G1651" s="7" t="n">
        <v>267.3055419921875</v>
      </c>
      <c r="H1651" s="6">
        <f>P1620</f>
        <v/>
      </c>
      <c r="I1651" s="9">
        <f>Q1620</f>
        <v/>
      </c>
      <c r="J1651" s="7">
        <f>I1651*G1651</f>
        <v/>
      </c>
      <c r="K1651" s="8">
        <f>IF($J$1675=0,0,J1651/$J$1675)</f>
        <v/>
      </c>
      <c r="L1651" s="6" t="inlineStr">
        <is>
          <t>SELECTED</t>
        </is>
      </c>
      <c r="M1651" s="8" t="n">
        <v>0.2</v>
      </c>
      <c r="N1651" s="7">
        <f>M1651*$J$1675-J1651</f>
        <v/>
      </c>
      <c r="O1651" s="9">
        <f>IF(G1651=0,0,N1651/G1651)</f>
        <v/>
      </c>
      <c r="P1651" s="6">
        <f>IF(M1651&gt;0,D1651,"")</f>
        <v/>
      </c>
      <c r="Q1651" s="9">
        <f>I1651+O1651</f>
        <v/>
      </c>
      <c r="R1651" s="7">
        <f>Q1651*G1651</f>
        <v/>
      </c>
      <c r="S1651" s="8">
        <f>IF($R$1675=0,0,R1651/$R$1675)</f>
        <v/>
      </c>
      <c r="T1651" s="8" t="n">
        <v>0.05656075474568034</v>
      </c>
      <c r="U1651" s="8" t="n">
        <v>0.003389625340736391</v>
      </c>
      <c r="V1651" s="6" t="inlineStr">
        <is>
          <t>remained in weekly selection</t>
        </is>
      </c>
    </row>
    <row r="1652">
      <c r="A1652" s="6" t="inlineStr">
        <is>
          <t>DJ30</t>
        </is>
      </c>
      <c r="B1652" s="6" t="inlineStr">
        <is>
          <t>2024-01-12</t>
        </is>
      </c>
      <c r="C1652" s="6" t="inlineStr">
        <is>
          <t>DIA</t>
        </is>
      </c>
      <c r="D1652" s="6" t="inlineStr">
        <is>
          <t>CSCO</t>
        </is>
      </c>
      <c r="E1652" s="6" t="inlineStr">
        <is>
          <t>CSCO</t>
        </is>
      </c>
      <c r="F1652" s="6" t="inlineStr">
        <is>
          <t>-</t>
        </is>
      </c>
      <c r="G1652" s="7" t="n">
        <v>47.38555145263672</v>
      </c>
      <c r="H1652" s="6">
        <f>P1621</f>
        <v/>
      </c>
      <c r="I1652" s="9">
        <f>Q1621</f>
        <v/>
      </c>
      <c r="J1652" s="7">
        <f>I1652*G1652</f>
        <v/>
      </c>
      <c r="K1652" s="8">
        <f>IF($J$1675=0,0,J1652/$J$1675)</f>
        <v/>
      </c>
      <c r="L1652" s="6" t="inlineStr">
        <is>
          <t>REJECTED</t>
        </is>
      </c>
      <c r="M1652" s="8" t="n">
        <v>0</v>
      </c>
      <c r="N1652" s="7">
        <f>M1652*$J$1675-J1652</f>
        <v/>
      </c>
      <c r="O1652" s="9">
        <f>IF(G1652=0,0,N1652/G1652)</f>
        <v/>
      </c>
      <c r="P1652" s="6">
        <f>IF(M1652&gt;0,D1652,"")</f>
        <v/>
      </c>
      <c r="Q1652" s="9">
        <f>I1652+O1652</f>
        <v/>
      </c>
      <c r="R1652" s="7">
        <f>Q1652*G1652</f>
        <v/>
      </c>
      <c r="S1652" s="8">
        <f>IF($R$1675=0,0,R1652/$R$1675)</f>
        <v/>
      </c>
      <c r="T1652" s="8" t="n">
        <v>0.05656075474568034</v>
      </c>
      <c r="U1652" s="8" t="n">
        <v>0.003389625340736391</v>
      </c>
      <c r="V1652" s="6" t="inlineStr">
        <is>
          <t>not selected</t>
        </is>
      </c>
    </row>
    <row r="1653">
      <c r="A1653" s="6" t="inlineStr">
        <is>
          <t>DJ30</t>
        </is>
      </c>
      <c r="B1653" s="6" t="inlineStr">
        <is>
          <t>2024-01-12</t>
        </is>
      </c>
      <c r="C1653" s="6" t="inlineStr">
        <is>
          <t>DIA</t>
        </is>
      </c>
      <c r="D1653" s="6" t="inlineStr">
        <is>
          <t>CVX</t>
        </is>
      </c>
      <c r="E1653" s="6" t="inlineStr">
        <is>
          <t>CVX</t>
        </is>
      </c>
      <c r="F1653" s="6" t="inlineStr">
        <is>
          <t>-</t>
        </is>
      </c>
      <c r="G1653" s="7" t="n">
        <v>132.4124908447266</v>
      </c>
      <c r="H1653" s="6">
        <f>P1622</f>
        <v/>
      </c>
      <c r="I1653" s="9">
        <f>Q1622</f>
        <v/>
      </c>
      <c r="J1653" s="7">
        <f>I1653*G1653</f>
        <v/>
      </c>
      <c r="K1653" s="8">
        <f>IF($J$1675=0,0,J1653/$J$1675)</f>
        <v/>
      </c>
      <c r="L1653" s="6" t="inlineStr">
        <is>
          <t>REJECTED</t>
        </is>
      </c>
      <c r="M1653" s="8" t="n">
        <v>0</v>
      </c>
      <c r="N1653" s="7">
        <f>M1653*$J$1675-J1653</f>
        <v/>
      </c>
      <c r="O1653" s="9">
        <f>IF(G1653=0,0,N1653/G1653)</f>
        <v/>
      </c>
      <c r="P1653" s="6">
        <f>IF(M1653&gt;0,D1653,"")</f>
        <v/>
      </c>
      <c r="Q1653" s="9">
        <f>I1653+O1653</f>
        <v/>
      </c>
      <c r="R1653" s="7">
        <f>Q1653*G1653</f>
        <v/>
      </c>
      <c r="S1653" s="8">
        <f>IF($R$1675=0,0,R1653/$R$1675)</f>
        <v/>
      </c>
      <c r="T1653" s="8" t="n">
        <v>0.05656075474568034</v>
      </c>
      <c r="U1653" s="8" t="n">
        <v>0.003389625340736391</v>
      </c>
      <c r="V1653" s="6" t="inlineStr">
        <is>
          <t>not selected</t>
        </is>
      </c>
    </row>
    <row r="1654">
      <c r="A1654" s="6" t="inlineStr">
        <is>
          <t>DJ30</t>
        </is>
      </c>
      <c r="B1654" s="6" t="inlineStr">
        <is>
          <t>2024-01-12</t>
        </is>
      </c>
      <c r="C1654" s="6" t="inlineStr">
        <is>
          <t>DIA</t>
        </is>
      </c>
      <c r="D1654" s="6" t="inlineStr">
        <is>
          <t>DIS</t>
        </is>
      </c>
      <c r="E1654" s="6" t="inlineStr">
        <is>
          <t>DIS</t>
        </is>
      </c>
      <c r="F1654" s="6" t="inlineStr">
        <is>
          <t>-</t>
        </is>
      </c>
      <c r="G1654" s="7" t="n">
        <v>88.55894470214844</v>
      </c>
      <c r="H1654" s="6">
        <f>P1623</f>
        <v/>
      </c>
      <c r="I1654" s="9">
        <f>Q1623</f>
        <v/>
      </c>
      <c r="J1654" s="7">
        <f>I1654*G1654</f>
        <v/>
      </c>
      <c r="K1654" s="8">
        <f>IF($J$1675=0,0,J1654/$J$1675)</f>
        <v/>
      </c>
      <c r="L1654" s="6" t="inlineStr">
        <is>
          <t>REJECTED</t>
        </is>
      </c>
      <c r="M1654" s="8" t="n">
        <v>0</v>
      </c>
      <c r="N1654" s="7">
        <f>M1654*$J$1675-J1654</f>
        <v/>
      </c>
      <c r="O1654" s="9">
        <f>IF(G1654=0,0,N1654/G1654)</f>
        <v/>
      </c>
      <c r="P1654" s="6">
        <f>IF(M1654&gt;0,D1654,"")</f>
        <v/>
      </c>
      <c r="Q1654" s="9">
        <f>I1654+O1654</f>
        <v/>
      </c>
      <c r="R1654" s="7">
        <f>Q1654*G1654</f>
        <v/>
      </c>
      <c r="S1654" s="8">
        <f>IF($R$1675=0,0,R1654/$R$1675)</f>
        <v/>
      </c>
      <c r="T1654" s="8" t="n">
        <v>0.05656075474568034</v>
      </c>
      <c r="U1654" s="8" t="n">
        <v>0.003389625340736391</v>
      </c>
      <c r="V1654" s="6" t="inlineStr">
        <is>
          <t>not selected</t>
        </is>
      </c>
    </row>
    <row r="1655">
      <c r="A1655" s="6" t="inlineStr">
        <is>
          <t>DJ30</t>
        </is>
      </c>
      <c r="B1655" s="6" t="inlineStr">
        <is>
          <t>2024-01-12</t>
        </is>
      </c>
      <c r="C1655" s="6" t="inlineStr">
        <is>
          <t>DIA</t>
        </is>
      </c>
      <c r="D1655" s="6" t="inlineStr">
        <is>
          <t>GS</t>
        </is>
      </c>
      <c r="E1655" s="6" t="inlineStr">
        <is>
          <t>GS</t>
        </is>
      </c>
      <c r="F1655" s="6" t="inlineStr">
        <is>
          <t>-</t>
        </is>
      </c>
      <c r="G1655" s="7" t="n">
        <v>357.9696350097656</v>
      </c>
      <c r="H1655" s="6">
        <f>P1624</f>
        <v/>
      </c>
      <c r="I1655" s="9">
        <f>Q1624</f>
        <v/>
      </c>
      <c r="J1655" s="7">
        <f>I1655*G1655</f>
        <v/>
      </c>
      <c r="K1655" s="8">
        <f>IF($J$1675=0,0,J1655/$J$1675)</f>
        <v/>
      </c>
      <c r="L1655" s="6" t="inlineStr">
        <is>
          <t>REJECTED</t>
        </is>
      </c>
      <c r="M1655" s="8" t="n">
        <v>0</v>
      </c>
      <c r="N1655" s="7">
        <f>M1655*$J$1675-J1655</f>
        <v/>
      </c>
      <c r="O1655" s="9">
        <f>IF(G1655=0,0,N1655/G1655)</f>
        <v/>
      </c>
      <c r="P1655" s="6">
        <f>IF(M1655&gt;0,D1655,"")</f>
        <v/>
      </c>
      <c r="Q1655" s="9">
        <f>I1655+O1655</f>
        <v/>
      </c>
      <c r="R1655" s="7">
        <f>Q1655*G1655</f>
        <v/>
      </c>
      <c r="S1655" s="8">
        <f>IF($R$1675=0,0,R1655/$R$1675)</f>
        <v/>
      </c>
      <c r="T1655" s="8" t="n">
        <v>0.05656075474568034</v>
      </c>
      <c r="U1655" s="8" t="n">
        <v>0.003389625340736391</v>
      </c>
      <c r="V1655" s="6" t="inlineStr">
        <is>
          <t>not selected</t>
        </is>
      </c>
    </row>
    <row r="1656">
      <c r="A1656" s="6" t="inlineStr">
        <is>
          <t>DJ30</t>
        </is>
      </c>
      <c r="B1656" s="6" t="inlineStr">
        <is>
          <t>2024-01-12</t>
        </is>
      </c>
      <c r="C1656" s="6" t="inlineStr">
        <is>
          <t>DIA</t>
        </is>
      </c>
      <c r="D1656" s="6" t="inlineStr">
        <is>
          <t>HD</t>
        </is>
      </c>
      <c r="E1656" s="6" t="inlineStr">
        <is>
          <t>HD</t>
        </is>
      </c>
      <c r="F1656" s="6" t="inlineStr">
        <is>
          <t>-</t>
        </is>
      </c>
      <c r="G1656" s="7" t="n">
        <v>334.0049133300781</v>
      </c>
      <c r="H1656" s="6">
        <f>P1625</f>
        <v/>
      </c>
      <c r="I1656" s="9">
        <f>Q1625</f>
        <v/>
      </c>
      <c r="J1656" s="7">
        <f>I1656*G1656</f>
        <v/>
      </c>
      <c r="K1656" s="8">
        <f>IF($J$1675=0,0,J1656/$J$1675)</f>
        <v/>
      </c>
      <c r="L1656" s="6" t="inlineStr">
        <is>
          <t>REJECTED</t>
        </is>
      </c>
      <c r="M1656" s="8" t="n">
        <v>0</v>
      </c>
      <c r="N1656" s="7">
        <f>M1656*$J$1675-J1656</f>
        <v/>
      </c>
      <c r="O1656" s="9">
        <f>IF(G1656=0,0,N1656/G1656)</f>
        <v/>
      </c>
      <c r="P1656" s="6">
        <f>IF(M1656&gt;0,D1656,"")</f>
        <v/>
      </c>
      <c r="Q1656" s="9">
        <f>I1656+O1656</f>
        <v/>
      </c>
      <c r="R1656" s="7">
        <f>Q1656*G1656</f>
        <v/>
      </c>
      <c r="S1656" s="8">
        <f>IF($R$1675=0,0,R1656/$R$1675)</f>
        <v/>
      </c>
      <c r="T1656" s="8" t="n">
        <v>0.05656075474568034</v>
      </c>
      <c r="U1656" s="8" t="n">
        <v>0.003389625340736391</v>
      </c>
      <c r="V1656" s="6" t="inlineStr">
        <is>
          <t>not selected</t>
        </is>
      </c>
    </row>
    <row r="1657">
      <c r="A1657" s="6" t="inlineStr">
        <is>
          <t>DJ30</t>
        </is>
      </c>
      <c r="B1657" s="6" t="inlineStr">
        <is>
          <t>2024-01-12</t>
        </is>
      </c>
      <c r="C1657" s="6" t="inlineStr">
        <is>
          <t>DIA</t>
        </is>
      </c>
      <c r="D1657" s="6" t="inlineStr">
        <is>
          <t>HON</t>
        </is>
      </c>
      <c r="E1657" s="6" t="inlineStr">
        <is>
          <t>HON</t>
        </is>
      </c>
      <c r="F1657" s="6" t="inlineStr">
        <is>
          <t>-</t>
        </is>
      </c>
      <c r="G1657" s="7" t="n">
        <v>179.7253112792969</v>
      </c>
      <c r="H1657" s="6">
        <f>P1626</f>
        <v/>
      </c>
      <c r="I1657" s="9">
        <f>Q1626</f>
        <v/>
      </c>
      <c r="J1657" s="7">
        <f>I1657*G1657</f>
        <v/>
      </c>
      <c r="K1657" s="8">
        <f>IF($J$1675=0,0,J1657/$J$1675)</f>
        <v/>
      </c>
      <c r="L1657" s="6" t="inlineStr">
        <is>
          <t>REJECTED</t>
        </is>
      </c>
      <c r="M1657" s="8" t="n">
        <v>0</v>
      </c>
      <c r="N1657" s="7">
        <f>M1657*$J$1675-J1657</f>
        <v/>
      </c>
      <c r="O1657" s="9">
        <f>IF(G1657=0,0,N1657/G1657)</f>
        <v/>
      </c>
      <c r="P1657" s="6">
        <f>IF(M1657&gt;0,D1657,"")</f>
        <v/>
      </c>
      <c r="Q1657" s="9">
        <f>I1657+O1657</f>
        <v/>
      </c>
      <c r="R1657" s="7">
        <f>Q1657*G1657</f>
        <v/>
      </c>
      <c r="S1657" s="8">
        <f>IF($R$1675=0,0,R1657/$R$1675)</f>
        <v/>
      </c>
      <c r="T1657" s="8" t="n">
        <v>0.05656075474568034</v>
      </c>
      <c r="U1657" s="8" t="n">
        <v>0.003389625340736391</v>
      </c>
      <c r="V1657" s="6" t="inlineStr">
        <is>
          <t>not selected</t>
        </is>
      </c>
    </row>
    <row r="1658">
      <c r="A1658" s="6" t="inlineStr">
        <is>
          <t>DJ30</t>
        </is>
      </c>
      <c r="B1658" s="6" t="inlineStr">
        <is>
          <t>2024-01-12</t>
        </is>
      </c>
      <c r="C1658" s="6" t="inlineStr">
        <is>
          <t>DIA</t>
        </is>
      </c>
      <c r="D1658" s="6" t="inlineStr">
        <is>
          <t>IBM</t>
        </is>
      </c>
      <c r="E1658" s="6" t="inlineStr">
        <is>
          <t>IBM</t>
        </is>
      </c>
      <c r="F1658" s="6" t="inlineStr">
        <is>
          <t>-</t>
        </is>
      </c>
      <c r="G1658" s="7" t="n">
        <v>153.9676666259766</v>
      </c>
      <c r="H1658" s="6">
        <f>P1627</f>
        <v/>
      </c>
      <c r="I1658" s="9">
        <f>Q1627</f>
        <v/>
      </c>
      <c r="J1658" s="7">
        <f>I1658*G1658</f>
        <v/>
      </c>
      <c r="K1658" s="8">
        <f>IF($J$1675=0,0,J1658/$J$1675)</f>
        <v/>
      </c>
      <c r="L1658" s="6" t="inlineStr">
        <is>
          <t>WATCHLIST</t>
        </is>
      </c>
      <c r="M1658" s="8" t="n">
        <v>0</v>
      </c>
      <c r="N1658" s="7">
        <f>M1658*$J$1675-J1658</f>
        <v/>
      </c>
      <c r="O1658" s="9">
        <f>IF(G1658=0,0,N1658/G1658)</f>
        <v/>
      </c>
      <c r="P1658" s="6">
        <f>IF(M1658&gt;0,D1658,"")</f>
        <v/>
      </c>
      <c r="Q1658" s="9">
        <f>I1658+O1658</f>
        <v/>
      </c>
      <c r="R1658" s="7">
        <f>Q1658*G1658</f>
        <v/>
      </c>
      <c r="S1658" s="8">
        <f>IF($R$1675=0,0,R1658/$R$1675)</f>
        <v/>
      </c>
      <c r="T1658" s="8" t="n">
        <v>0.05656075474568034</v>
      </c>
      <c r="U1658" s="8" t="n">
        <v>0.003389625340736391</v>
      </c>
      <c r="V1658" s="6" t="inlineStr">
        <is>
          <t>removed from weekly selection</t>
        </is>
      </c>
    </row>
    <row r="1659">
      <c r="A1659" s="6" t="inlineStr">
        <is>
          <t>DJ30</t>
        </is>
      </c>
      <c r="B1659" s="6" t="inlineStr">
        <is>
          <t>2024-01-12</t>
        </is>
      </c>
      <c r="C1659" s="6" t="inlineStr">
        <is>
          <t>DIA</t>
        </is>
      </c>
      <c r="D1659" s="6" t="inlineStr">
        <is>
          <t>JNJ</t>
        </is>
      </c>
      <c r="E1659" s="6" t="inlineStr">
        <is>
          <t>JNJ</t>
        </is>
      </c>
      <c r="F1659" s="6" t="inlineStr">
        <is>
          <t>-</t>
        </is>
      </c>
      <c r="G1659" s="7" t="n">
        <v>151.0550842285156</v>
      </c>
      <c r="H1659" s="6">
        <f>P1628</f>
        <v/>
      </c>
      <c r="I1659" s="9">
        <f>Q1628</f>
        <v/>
      </c>
      <c r="J1659" s="7">
        <f>I1659*G1659</f>
        <v/>
      </c>
      <c r="K1659" s="8">
        <f>IF($J$1675=0,0,J1659/$J$1675)</f>
        <v/>
      </c>
      <c r="L1659" s="6" t="inlineStr">
        <is>
          <t>REJECTED</t>
        </is>
      </c>
      <c r="M1659" s="8" t="n">
        <v>0</v>
      </c>
      <c r="N1659" s="7">
        <f>M1659*$J$1675-J1659</f>
        <v/>
      </c>
      <c r="O1659" s="9">
        <f>IF(G1659=0,0,N1659/G1659)</f>
        <v/>
      </c>
      <c r="P1659" s="6">
        <f>IF(M1659&gt;0,D1659,"")</f>
        <v/>
      </c>
      <c r="Q1659" s="9">
        <f>I1659+O1659</f>
        <v/>
      </c>
      <c r="R1659" s="7">
        <f>Q1659*G1659</f>
        <v/>
      </c>
      <c r="S1659" s="8">
        <f>IF($R$1675=0,0,R1659/$R$1675)</f>
        <v/>
      </c>
      <c r="T1659" s="8" t="n">
        <v>0.05656075474568034</v>
      </c>
      <c r="U1659" s="8" t="n">
        <v>0.003389625340736391</v>
      </c>
      <c r="V1659" s="6" t="inlineStr">
        <is>
          <t>not selected</t>
        </is>
      </c>
    </row>
    <row r="1660">
      <c r="A1660" s="6" t="inlineStr">
        <is>
          <t>DJ30</t>
        </is>
      </c>
      <c r="B1660" s="6" t="inlineStr">
        <is>
          <t>2024-01-12</t>
        </is>
      </c>
      <c r="C1660" s="6" t="inlineStr">
        <is>
          <t>DIA</t>
        </is>
      </c>
      <c r="D1660" s="6" t="inlineStr">
        <is>
          <t>JPM</t>
        </is>
      </c>
      <c r="E1660" s="6" t="inlineStr">
        <is>
          <t>JPM</t>
        </is>
      </c>
      <c r="F1660" s="6" t="inlineStr">
        <is>
          <t>-</t>
        </is>
      </c>
      <c r="G1660" s="7" t="n">
        <v>161.1265258789062</v>
      </c>
      <c r="H1660" s="6">
        <f>P1629</f>
        <v/>
      </c>
      <c r="I1660" s="9">
        <f>Q1629</f>
        <v/>
      </c>
      <c r="J1660" s="7">
        <f>I1660*G1660</f>
        <v/>
      </c>
      <c r="K1660" s="8">
        <f>IF($J$1675=0,0,J1660/$J$1675)</f>
        <v/>
      </c>
      <c r="L1660" s="6" t="inlineStr">
        <is>
          <t>SELECTED</t>
        </is>
      </c>
      <c r="M1660" s="8" t="n">
        <v>0.2</v>
      </c>
      <c r="N1660" s="7">
        <f>M1660*$J$1675-J1660</f>
        <v/>
      </c>
      <c r="O1660" s="9">
        <f>IF(G1660=0,0,N1660/G1660)</f>
        <v/>
      </c>
      <c r="P1660" s="6">
        <f>IF(M1660&gt;0,D1660,"")</f>
        <v/>
      </c>
      <c r="Q1660" s="9">
        <f>I1660+O1660</f>
        <v/>
      </c>
      <c r="R1660" s="7">
        <f>Q1660*G1660</f>
        <v/>
      </c>
      <c r="S1660" s="8">
        <f>IF($R$1675=0,0,R1660/$R$1675)</f>
        <v/>
      </c>
      <c r="T1660" s="8" t="n">
        <v>0.05656075474568034</v>
      </c>
      <c r="U1660" s="8" t="n">
        <v>0.003389625340736391</v>
      </c>
      <c r="V1660" s="6" t="inlineStr">
        <is>
          <t>remained in weekly selection</t>
        </is>
      </c>
    </row>
    <row r="1661">
      <c r="A1661" s="6" t="inlineStr">
        <is>
          <t>DJ30</t>
        </is>
      </c>
      <c r="B1661" s="6" t="inlineStr">
        <is>
          <t>2024-01-12</t>
        </is>
      </c>
      <c r="C1661" s="6" t="inlineStr">
        <is>
          <t>DIA</t>
        </is>
      </c>
      <c r="D1661" s="6" t="inlineStr">
        <is>
          <t>KO</t>
        </is>
      </c>
      <c r="E1661" s="6" t="inlineStr">
        <is>
          <t>KO</t>
        </is>
      </c>
      <c r="F1661" s="6" t="inlineStr">
        <is>
          <t>-</t>
        </is>
      </c>
      <c r="G1661" s="7" t="n">
        <v>56.16953659057617</v>
      </c>
      <c r="H1661" s="6">
        <f>P1630</f>
        <v/>
      </c>
      <c r="I1661" s="9">
        <f>Q1630</f>
        <v/>
      </c>
      <c r="J1661" s="7">
        <f>I1661*G1661</f>
        <v/>
      </c>
      <c r="K1661" s="8">
        <f>IF($J$1675=0,0,J1661/$J$1675)</f>
        <v/>
      </c>
      <c r="L1661" s="6" t="inlineStr">
        <is>
          <t>REJECTED</t>
        </is>
      </c>
      <c r="M1661" s="8" t="n">
        <v>0</v>
      </c>
      <c r="N1661" s="7">
        <f>M1661*$J$1675-J1661</f>
        <v/>
      </c>
      <c r="O1661" s="9">
        <f>IF(G1661=0,0,N1661/G1661)</f>
        <v/>
      </c>
      <c r="P1661" s="6">
        <f>IF(M1661&gt;0,D1661,"")</f>
        <v/>
      </c>
      <c r="Q1661" s="9">
        <f>I1661+O1661</f>
        <v/>
      </c>
      <c r="R1661" s="7">
        <f>Q1661*G1661</f>
        <v/>
      </c>
      <c r="S1661" s="8">
        <f>IF($R$1675=0,0,R1661/$R$1675)</f>
        <v/>
      </c>
      <c r="T1661" s="8" t="n">
        <v>0.05656075474568034</v>
      </c>
      <c r="U1661" s="8" t="n">
        <v>0.003389625340736391</v>
      </c>
      <c r="V1661" s="6" t="inlineStr">
        <is>
          <t>not selected</t>
        </is>
      </c>
    </row>
    <row r="1662">
      <c r="A1662" s="6" t="inlineStr">
        <is>
          <t>DJ30</t>
        </is>
      </c>
      <c r="B1662" s="6" t="inlineStr">
        <is>
          <t>2024-01-12</t>
        </is>
      </c>
      <c r="C1662" s="6" t="inlineStr">
        <is>
          <t>DIA</t>
        </is>
      </c>
      <c r="D1662" s="6" t="inlineStr">
        <is>
          <t>MCD</t>
        </is>
      </c>
      <c r="E1662" s="6" t="inlineStr">
        <is>
          <t>MCD</t>
        </is>
      </c>
      <c r="F1662" s="6" t="inlineStr">
        <is>
          <t>-</t>
        </is>
      </c>
      <c r="G1662" s="7" t="n">
        <v>276.5645141601562</v>
      </c>
      <c r="H1662" s="6">
        <f>P1631</f>
        <v/>
      </c>
      <c r="I1662" s="9">
        <f>Q1631</f>
        <v/>
      </c>
      <c r="J1662" s="7">
        <f>I1662*G1662</f>
        <v/>
      </c>
      <c r="K1662" s="8">
        <f>IF($J$1675=0,0,J1662/$J$1675)</f>
        <v/>
      </c>
      <c r="L1662" s="6" t="inlineStr">
        <is>
          <t>REJECTED</t>
        </is>
      </c>
      <c r="M1662" s="8" t="n">
        <v>0</v>
      </c>
      <c r="N1662" s="7">
        <f>M1662*$J$1675-J1662</f>
        <v/>
      </c>
      <c r="O1662" s="9">
        <f>IF(G1662=0,0,N1662/G1662)</f>
        <v/>
      </c>
      <c r="P1662" s="6">
        <f>IF(M1662&gt;0,D1662,"")</f>
        <v/>
      </c>
      <c r="Q1662" s="9">
        <f>I1662+O1662</f>
        <v/>
      </c>
      <c r="R1662" s="7">
        <f>Q1662*G1662</f>
        <v/>
      </c>
      <c r="S1662" s="8">
        <f>IF($R$1675=0,0,R1662/$R$1675)</f>
        <v/>
      </c>
      <c r="T1662" s="8" t="n">
        <v>0.05656075474568034</v>
      </c>
      <c r="U1662" s="8" t="n">
        <v>0.003389625340736391</v>
      </c>
      <c r="V1662" s="6" t="inlineStr">
        <is>
          <t>not selected</t>
        </is>
      </c>
    </row>
    <row r="1663">
      <c r="A1663" s="6" t="inlineStr">
        <is>
          <t>DJ30</t>
        </is>
      </c>
      <c r="B1663" s="6" t="inlineStr">
        <is>
          <t>2024-01-12</t>
        </is>
      </c>
      <c r="C1663" s="6" t="inlineStr">
        <is>
          <t>DIA</t>
        </is>
      </c>
      <c r="D1663" s="6" t="inlineStr">
        <is>
          <t>MMM</t>
        </is>
      </c>
      <c r="E1663" s="6" t="inlineStr">
        <is>
          <t>MMM</t>
        </is>
      </c>
      <c r="F1663" s="6" t="inlineStr">
        <is>
          <t>-</t>
        </is>
      </c>
      <c r="G1663" s="7" t="n">
        <v>84.93144226074219</v>
      </c>
      <c r="H1663" s="6">
        <f>P1632</f>
        <v/>
      </c>
      <c r="I1663" s="9">
        <f>Q1632</f>
        <v/>
      </c>
      <c r="J1663" s="7">
        <f>I1663*G1663</f>
        <v/>
      </c>
      <c r="K1663" s="8">
        <f>IF($J$1675=0,0,J1663/$J$1675)</f>
        <v/>
      </c>
      <c r="L1663" s="6" t="inlineStr">
        <is>
          <t>REJECTED</t>
        </is>
      </c>
      <c r="M1663" s="8" t="n">
        <v>0</v>
      </c>
      <c r="N1663" s="7">
        <f>M1663*$J$1675-J1663</f>
        <v/>
      </c>
      <c r="O1663" s="9">
        <f>IF(G1663=0,0,N1663/G1663)</f>
        <v/>
      </c>
      <c r="P1663" s="6">
        <f>IF(M1663&gt;0,D1663,"")</f>
        <v/>
      </c>
      <c r="Q1663" s="9">
        <f>I1663+O1663</f>
        <v/>
      </c>
      <c r="R1663" s="7">
        <f>Q1663*G1663</f>
        <v/>
      </c>
      <c r="S1663" s="8">
        <f>IF($R$1675=0,0,R1663/$R$1675)</f>
        <v/>
      </c>
      <c r="T1663" s="8" t="n">
        <v>0.05656075474568034</v>
      </c>
      <c r="U1663" s="8" t="n">
        <v>0.003389625340736391</v>
      </c>
      <c r="V1663" s="6" t="inlineStr">
        <is>
          <t>not selected</t>
        </is>
      </c>
    </row>
    <row r="1664">
      <c r="A1664" s="6" t="inlineStr">
        <is>
          <t>DJ30</t>
        </is>
      </c>
      <c r="B1664" s="6" t="inlineStr">
        <is>
          <t>2024-01-12</t>
        </is>
      </c>
      <c r="C1664" s="6" t="inlineStr">
        <is>
          <t>DIA</t>
        </is>
      </c>
      <c r="D1664" s="6" t="inlineStr">
        <is>
          <t>MRK</t>
        </is>
      </c>
      <c r="E1664" s="6" t="inlineStr">
        <is>
          <t>MRK</t>
        </is>
      </c>
      <c r="F1664" s="6" t="inlineStr">
        <is>
          <t>-</t>
        </is>
      </c>
      <c r="G1664" s="7" t="n">
        <v>109.6869964599609</v>
      </c>
      <c r="H1664" s="6">
        <f>P1633</f>
        <v/>
      </c>
      <c r="I1664" s="9">
        <f>Q1633</f>
        <v/>
      </c>
      <c r="J1664" s="7">
        <f>I1664*G1664</f>
        <v/>
      </c>
      <c r="K1664" s="8">
        <f>IF($J$1675=0,0,J1664/$J$1675)</f>
        <v/>
      </c>
      <c r="L1664" s="6" t="inlineStr">
        <is>
          <t>REJECTED</t>
        </is>
      </c>
      <c r="M1664" s="8" t="n">
        <v>0</v>
      </c>
      <c r="N1664" s="7">
        <f>M1664*$J$1675-J1664</f>
        <v/>
      </c>
      <c r="O1664" s="9">
        <f>IF(G1664=0,0,N1664/G1664)</f>
        <v/>
      </c>
      <c r="P1664" s="6">
        <f>IF(M1664&gt;0,D1664,"")</f>
        <v/>
      </c>
      <c r="Q1664" s="9">
        <f>I1664+O1664</f>
        <v/>
      </c>
      <c r="R1664" s="7">
        <f>Q1664*G1664</f>
        <v/>
      </c>
      <c r="S1664" s="8">
        <f>IF($R$1675=0,0,R1664/$R$1675)</f>
        <v/>
      </c>
      <c r="T1664" s="8" t="n">
        <v>0.05656075474568034</v>
      </c>
      <c r="U1664" s="8" t="n">
        <v>0.003389625340736391</v>
      </c>
      <c r="V1664" s="6" t="inlineStr">
        <is>
          <t>not selected</t>
        </is>
      </c>
    </row>
    <row r="1665">
      <c r="A1665" s="6" t="inlineStr">
        <is>
          <t>DJ30</t>
        </is>
      </c>
      <c r="B1665" s="6" t="inlineStr">
        <is>
          <t>2024-01-12</t>
        </is>
      </c>
      <c r="C1665" s="6" t="inlineStr">
        <is>
          <t>DIA</t>
        </is>
      </c>
      <c r="D1665" s="6" t="inlineStr">
        <is>
          <t>MSFT</t>
        </is>
      </c>
      <c r="E1665" s="6" t="inlineStr">
        <is>
          <t>MSFT</t>
        </is>
      </c>
      <c r="F1665" s="6" t="inlineStr">
        <is>
          <t>-</t>
        </is>
      </c>
      <c r="G1665" s="7" t="n">
        <v>381.0660705566406</v>
      </c>
      <c r="H1665" s="6">
        <f>P1634</f>
        <v/>
      </c>
      <c r="I1665" s="9">
        <f>Q1634</f>
        <v/>
      </c>
      <c r="J1665" s="7">
        <f>I1665*G1665</f>
        <v/>
      </c>
      <c r="K1665" s="8">
        <f>IF($J$1675=0,0,J1665/$J$1675)</f>
        <v/>
      </c>
      <c r="L1665" s="6" t="inlineStr">
        <is>
          <t>WATCHLIST</t>
        </is>
      </c>
      <c r="M1665" s="8" t="n">
        <v>0</v>
      </c>
      <c r="N1665" s="7">
        <f>M1665*$J$1675-J1665</f>
        <v/>
      </c>
      <c r="O1665" s="9">
        <f>IF(G1665=0,0,N1665/G1665)</f>
        <v/>
      </c>
      <c r="P1665" s="6">
        <f>IF(M1665&gt;0,D1665,"")</f>
        <v/>
      </c>
      <c r="Q1665" s="9">
        <f>I1665+O1665</f>
        <v/>
      </c>
      <c r="R1665" s="7">
        <f>Q1665*G1665</f>
        <v/>
      </c>
      <c r="S1665" s="8">
        <f>IF($R$1675=0,0,R1665/$R$1675)</f>
        <v/>
      </c>
      <c r="T1665" s="8" t="n">
        <v>0.05656075474568034</v>
      </c>
      <c r="U1665" s="8" t="n">
        <v>0.003389625340736391</v>
      </c>
      <c r="V1665" s="6" t="inlineStr">
        <is>
          <t>not selected</t>
        </is>
      </c>
    </row>
    <row r="1666">
      <c r="A1666" s="6" t="inlineStr">
        <is>
          <t>DJ30</t>
        </is>
      </c>
      <c r="B1666" s="6" t="inlineStr">
        <is>
          <t>2024-01-12</t>
        </is>
      </c>
      <c r="C1666" s="6" t="inlineStr">
        <is>
          <t>DIA</t>
        </is>
      </c>
      <c r="D1666" s="6" t="inlineStr">
        <is>
          <t>NKE</t>
        </is>
      </c>
      <c r="E1666" s="6" t="inlineStr">
        <is>
          <t>NKE</t>
        </is>
      </c>
      <c r="F1666" s="6" t="inlineStr">
        <is>
          <t>-</t>
        </is>
      </c>
      <c r="G1666" s="7" t="n">
        <v>99.36299896240234</v>
      </c>
      <c r="H1666" s="6">
        <f>P1635</f>
        <v/>
      </c>
      <c r="I1666" s="9">
        <f>Q1635</f>
        <v/>
      </c>
      <c r="J1666" s="7">
        <f>I1666*G1666</f>
        <v/>
      </c>
      <c r="K1666" s="8">
        <f>IF($J$1675=0,0,J1666/$J$1675)</f>
        <v/>
      </c>
      <c r="L1666" s="6" t="inlineStr">
        <is>
          <t>REJECTED</t>
        </is>
      </c>
      <c r="M1666" s="8" t="n">
        <v>0</v>
      </c>
      <c r="N1666" s="7">
        <f>M1666*$J$1675-J1666</f>
        <v/>
      </c>
      <c r="O1666" s="9">
        <f>IF(G1666=0,0,N1666/G1666)</f>
        <v/>
      </c>
      <c r="P1666" s="6">
        <f>IF(M1666&gt;0,D1666,"")</f>
        <v/>
      </c>
      <c r="Q1666" s="9">
        <f>I1666+O1666</f>
        <v/>
      </c>
      <c r="R1666" s="7">
        <f>Q1666*G1666</f>
        <v/>
      </c>
      <c r="S1666" s="8">
        <f>IF($R$1675=0,0,R1666/$R$1675)</f>
        <v/>
      </c>
      <c r="T1666" s="8" t="n">
        <v>0.05656075474568034</v>
      </c>
      <c r="U1666" s="8" t="n">
        <v>0.003389625340736391</v>
      </c>
      <c r="V1666" s="6" t="inlineStr">
        <is>
          <t>not selected</t>
        </is>
      </c>
    </row>
    <row r="1667">
      <c r="A1667" s="6" t="inlineStr">
        <is>
          <t>DJ30</t>
        </is>
      </c>
      <c r="B1667" s="6" t="inlineStr">
        <is>
          <t>2024-01-12</t>
        </is>
      </c>
      <c r="C1667" s="6" t="inlineStr">
        <is>
          <t>DIA</t>
        </is>
      </c>
      <c r="D1667" s="6" t="inlineStr">
        <is>
          <t>NVDA</t>
        </is>
      </c>
      <c r="E1667" s="6" t="inlineStr">
        <is>
          <t>NVDA</t>
        </is>
      </c>
      <c r="F1667" s="6" t="inlineStr">
        <is>
          <t>-</t>
        </is>
      </c>
      <c r="G1667" s="7" t="n">
        <v>54.6129264831543</v>
      </c>
      <c r="H1667" s="6">
        <f>P1636</f>
        <v/>
      </c>
      <c r="I1667" s="9">
        <f>Q1636</f>
        <v/>
      </c>
      <c r="J1667" s="7">
        <f>I1667*G1667</f>
        <v/>
      </c>
      <c r="K1667" s="8">
        <f>IF($J$1675=0,0,J1667/$J$1675)</f>
        <v/>
      </c>
      <c r="L1667" s="6" t="inlineStr">
        <is>
          <t>SELECTED</t>
        </is>
      </c>
      <c r="M1667" s="8" t="n">
        <v>0.2</v>
      </c>
      <c r="N1667" s="7">
        <f>M1667*$J$1675-J1667</f>
        <v/>
      </c>
      <c r="O1667" s="9">
        <f>IF(G1667=0,0,N1667/G1667)</f>
        <v/>
      </c>
      <c r="P1667" s="6">
        <f>IF(M1667&gt;0,D1667,"")</f>
        <v/>
      </c>
      <c r="Q1667" s="9">
        <f>I1667+O1667</f>
        <v/>
      </c>
      <c r="R1667" s="7">
        <f>Q1667*G1667</f>
        <v/>
      </c>
      <c r="S1667" s="8">
        <f>IF($R$1675=0,0,R1667/$R$1675)</f>
        <v/>
      </c>
      <c r="T1667" s="8" t="n">
        <v>0.05656075474568034</v>
      </c>
      <c r="U1667" s="8" t="n">
        <v>0.003389625340736391</v>
      </c>
      <c r="V1667" s="6" t="inlineStr">
        <is>
          <t>remained in weekly selection</t>
        </is>
      </c>
    </row>
    <row r="1668">
      <c r="A1668" s="6" t="inlineStr">
        <is>
          <t>DJ30</t>
        </is>
      </c>
      <c r="B1668" s="6" t="inlineStr">
        <is>
          <t>2024-01-12</t>
        </is>
      </c>
      <c r="C1668" s="6" t="inlineStr">
        <is>
          <t>DIA</t>
        </is>
      </c>
      <c r="D1668" s="6" t="inlineStr">
        <is>
          <t>PG</t>
        </is>
      </c>
      <c r="E1668" s="6" t="inlineStr">
        <is>
          <t>PG</t>
        </is>
      </c>
      <c r="F1668" s="6" t="inlineStr">
        <is>
          <t>-</t>
        </is>
      </c>
      <c r="G1668" s="7" t="n">
        <v>141.0878448486328</v>
      </c>
      <c r="H1668" s="6">
        <f>P1637</f>
        <v/>
      </c>
      <c r="I1668" s="9">
        <f>Q1637</f>
        <v/>
      </c>
      <c r="J1668" s="7">
        <f>I1668*G1668</f>
        <v/>
      </c>
      <c r="K1668" s="8">
        <f>IF($J$1675=0,0,J1668/$J$1675)</f>
        <v/>
      </c>
      <c r="L1668" s="6" t="inlineStr">
        <is>
          <t>REJECTED</t>
        </is>
      </c>
      <c r="M1668" s="8" t="n">
        <v>0</v>
      </c>
      <c r="N1668" s="7">
        <f>M1668*$J$1675-J1668</f>
        <v/>
      </c>
      <c r="O1668" s="9">
        <f>IF(G1668=0,0,N1668/G1668)</f>
        <v/>
      </c>
      <c r="P1668" s="6">
        <f>IF(M1668&gt;0,D1668,"")</f>
        <v/>
      </c>
      <c r="Q1668" s="9">
        <f>I1668+O1668</f>
        <v/>
      </c>
      <c r="R1668" s="7">
        <f>Q1668*G1668</f>
        <v/>
      </c>
      <c r="S1668" s="8">
        <f>IF($R$1675=0,0,R1668/$R$1675)</f>
        <v/>
      </c>
      <c r="T1668" s="8" t="n">
        <v>0.05656075474568034</v>
      </c>
      <c r="U1668" s="8" t="n">
        <v>0.003389625340736391</v>
      </c>
      <c r="V1668" s="6" t="inlineStr">
        <is>
          <t>not selected</t>
        </is>
      </c>
    </row>
    <row r="1669">
      <c r="A1669" s="6" t="inlineStr">
        <is>
          <t>DJ30</t>
        </is>
      </c>
      <c r="B1669" s="6" t="inlineStr">
        <is>
          <t>2024-01-12</t>
        </is>
      </c>
      <c r="C1669" s="6" t="inlineStr">
        <is>
          <t>DIA</t>
        </is>
      </c>
      <c r="D1669" s="6" t="inlineStr">
        <is>
          <t>SHW</t>
        </is>
      </c>
      <c r="E1669" s="6" t="inlineStr">
        <is>
          <t>SHW</t>
        </is>
      </c>
      <c r="F1669" s="6" t="inlineStr">
        <is>
          <t>-</t>
        </is>
      </c>
      <c r="G1669" s="7" t="n">
        <v>295.9238586425781</v>
      </c>
      <c r="H1669" s="6">
        <f>P1638</f>
        <v/>
      </c>
      <c r="I1669" s="9">
        <f>Q1638</f>
        <v/>
      </c>
      <c r="J1669" s="7">
        <f>I1669*G1669</f>
        <v/>
      </c>
      <c r="K1669" s="8">
        <f>IF($J$1675=0,0,J1669/$J$1675)</f>
        <v/>
      </c>
      <c r="L1669" s="6" t="inlineStr">
        <is>
          <t>WATCHLIST</t>
        </is>
      </c>
      <c r="M1669" s="8" t="n">
        <v>0</v>
      </c>
      <c r="N1669" s="7">
        <f>M1669*$J$1675-J1669</f>
        <v/>
      </c>
      <c r="O1669" s="9">
        <f>IF(G1669=0,0,N1669/G1669)</f>
        <v/>
      </c>
      <c r="P1669" s="6">
        <f>IF(M1669&gt;0,D1669,"")</f>
        <v/>
      </c>
      <c r="Q1669" s="9">
        <f>I1669+O1669</f>
        <v/>
      </c>
      <c r="R1669" s="7">
        <f>Q1669*G1669</f>
        <v/>
      </c>
      <c r="S1669" s="8">
        <f>IF($R$1675=0,0,R1669/$R$1675)</f>
        <v/>
      </c>
      <c r="T1669" s="8" t="n">
        <v>0.05656075474568034</v>
      </c>
      <c r="U1669" s="8" t="n">
        <v>0.003389625340736391</v>
      </c>
      <c r="V1669" s="6" t="inlineStr">
        <is>
          <t>not selected</t>
        </is>
      </c>
    </row>
    <row r="1670">
      <c r="A1670" s="6" t="inlineStr">
        <is>
          <t>DJ30</t>
        </is>
      </c>
      <c r="B1670" s="6" t="inlineStr">
        <is>
          <t>2024-01-12</t>
        </is>
      </c>
      <c r="C1670" s="6" t="inlineStr">
        <is>
          <t>DIA</t>
        </is>
      </c>
      <c r="D1670" s="6" t="inlineStr">
        <is>
          <t>TRV</t>
        </is>
      </c>
      <c r="E1670" s="6" t="inlineStr">
        <is>
          <t>TRV</t>
        </is>
      </c>
      <c r="F1670" s="6" t="inlineStr">
        <is>
          <t>-</t>
        </is>
      </c>
      <c r="G1670" s="7" t="n">
        <v>187.5146331787109</v>
      </c>
      <c r="H1670" s="6">
        <f>P1639</f>
        <v/>
      </c>
      <c r="I1670" s="9">
        <f>Q1639</f>
        <v/>
      </c>
      <c r="J1670" s="7">
        <f>I1670*G1670</f>
        <v/>
      </c>
      <c r="K1670" s="8">
        <f>IF($J$1675=0,0,J1670/$J$1675)</f>
        <v/>
      </c>
      <c r="L1670" s="6" t="inlineStr">
        <is>
          <t>REJECTED</t>
        </is>
      </c>
      <c r="M1670" s="8" t="n">
        <v>0</v>
      </c>
      <c r="N1670" s="7">
        <f>M1670*$J$1675-J1670</f>
        <v/>
      </c>
      <c r="O1670" s="9">
        <f>IF(G1670=0,0,N1670/G1670)</f>
        <v/>
      </c>
      <c r="P1670" s="6">
        <f>IF(M1670&gt;0,D1670,"")</f>
        <v/>
      </c>
      <c r="Q1670" s="9">
        <f>I1670+O1670</f>
        <v/>
      </c>
      <c r="R1670" s="7">
        <f>Q1670*G1670</f>
        <v/>
      </c>
      <c r="S1670" s="8">
        <f>IF($R$1675=0,0,R1670/$R$1675)</f>
        <v/>
      </c>
      <c r="T1670" s="8" t="n">
        <v>0.05656075474568034</v>
      </c>
      <c r="U1670" s="8" t="n">
        <v>0.003389625340736391</v>
      </c>
      <c r="V1670" s="6" t="inlineStr">
        <is>
          <t>not selected</t>
        </is>
      </c>
    </row>
    <row r="1671">
      <c r="A1671" s="6" t="inlineStr">
        <is>
          <t>DJ30</t>
        </is>
      </c>
      <c r="B1671" s="6" t="inlineStr">
        <is>
          <t>2024-01-12</t>
        </is>
      </c>
      <c r="C1671" s="6" t="inlineStr">
        <is>
          <t>DIA</t>
        </is>
      </c>
      <c r="D1671" s="6" t="inlineStr">
        <is>
          <t>UNH</t>
        </is>
      </c>
      <c r="E1671" s="6" t="inlineStr">
        <is>
          <t>UNH</t>
        </is>
      </c>
      <c r="F1671" s="6" t="inlineStr">
        <is>
          <t>-</t>
        </is>
      </c>
      <c r="G1671" s="7" t="n">
        <v>494.4396362304688</v>
      </c>
      <c r="H1671" s="6">
        <f>P1640</f>
        <v/>
      </c>
      <c r="I1671" s="9">
        <f>Q1640</f>
        <v/>
      </c>
      <c r="J1671" s="7">
        <f>I1671*G1671</f>
        <v/>
      </c>
      <c r="K1671" s="8">
        <f>IF($J$1675=0,0,J1671/$J$1675)</f>
        <v/>
      </c>
      <c r="L1671" s="6" t="inlineStr">
        <is>
          <t>WATCHLIST</t>
        </is>
      </c>
      <c r="M1671" s="8" t="n">
        <v>0</v>
      </c>
      <c r="N1671" s="7">
        <f>M1671*$J$1675-J1671</f>
        <v/>
      </c>
      <c r="O1671" s="9">
        <f>IF(G1671=0,0,N1671/G1671)</f>
        <v/>
      </c>
      <c r="P1671" s="6">
        <f>IF(M1671&gt;0,D1671,"")</f>
        <v/>
      </c>
      <c r="Q1671" s="9">
        <f>I1671+O1671</f>
        <v/>
      </c>
      <c r="R1671" s="7">
        <f>Q1671*G1671</f>
        <v/>
      </c>
      <c r="S1671" s="8">
        <f>IF($R$1675=0,0,R1671/$R$1675)</f>
        <v/>
      </c>
      <c r="T1671" s="8" t="n">
        <v>0.05656075474568034</v>
      </c>
      <c r="U1671" s="8" t="n">
        <v>0.003389625340736391</v>
      </c>
      <c r="V1671" s="6" t="inlineStr">
        <is>
          <t>not selected</t>
        </is>
      </c>
    </row>
    <row r="1672">
      <c r="A1672" s="6" t="inlineStr">
        <is>
          <t>DJ30</t>
        </is>
      </c>
      <c r="B1672" s="6" t="inlineStr">
        <is>
          <t>2024-01-12</t>
        </is>
      </c>
      <c r="C1672" s="6" t="inlineStr">
        <is>
          <t>DIA</t>
        </is>
      </c>
      <c r="D1672" s="6" t="inlineStr">
        <is>
          <t>V</t>
        </is>
      </c>
      <c r="E1672" s="6" t="inlineStr">
        <is>
          <t>V</t>
        </is>
      </c>
      <c r="F1672" s="6" t="inlineStr">
        <is>
          <t>-</t>
        </is>
      </c>
      <c r="G1672" s="7" t="n">
        <v>259.2440490722656</v>
      </c>
      <c r="H1672" s="6">
        <f>P1641</f>
        <v/>
      </c>
      <c r="I1672" s="9">
        <f>Q1641</f>
        <v/>
      </c>
      <c r="J1672" s="7">
        <f>I1672*G1672</f>
        <v/>
      </c>
      <c r="K1672" s="8">
        <f>IF($J$1675=0,0,J1672/$J$1675)</f>
        <v/>
      </c>
      <c r="L1672" s="6" t="inlineStr">
        <is>
          <t>WATCHLIST</t>
        </is>
      </c>
      <c r="M1672" s="8" t="n">
        <v>0</v>
      </c>
      <c r="N1672" s="7">
        <f>M1672*$J$1675-J1672</f>
        <v/>
      </c>
      <c r="O1672" s="9">
        <f>IF(G1672=0,0,N1672/G1672)</f>
        <v/>
      </c>
      <c r="P1672" s="6">
        <f>IF(M1672&gt;0,D1672,"")</f>
        <v/>
      </c>
      <c r="Q1672" s="9">
        <f>I1672+O1672</f>
        <v/>
      </c>
      <c r="R1672" s="7">
        <f>Q1672*G1672</f>
        <v/>
      </c>
      <c r="S1672" s="8">
        <f>IF($R$1675=0,0,R1672/$R$1675)</f>
        <v/>
      </c>
      <c r="T1672" s="8" t="n">
        <v>0.05656075474568034</v>
      </c>
      <c r="U1672" s="8" t="n">
        <v>0.003389625340736391</v>
      </c>
      <c r="V1672" s="6" t="inlineStr">
        <is>
          <t>not selected</t>
        </is>
      </c>
    </row>
    <row r="1673">
      <c r="A1673" s="6" t="inlineStr">
        <is>
          <t>DJ30</t>
        </is>
      </c>
      <c r="B1673" s="6" t="inlineStr">
        <is>
          <t>2024-01-12</t>
        </is>
      </c>
      <c r="C1673" s="6" t="inlineStr">
        <is>
          <t>DIA</t>
        </is>
      </c>
      <c r="D1673" s="6" t="inlineStr">
        <is>
          <t>VZ</t>
        </is>
      </c>
      <c r="E1673" s="6" t="inlineStr">
        <is>
          <t>VZ</t>
        </is>
      </c>
      <c r="F1673" s="6" t="inlineStr">
        <is>
          <t>-</t>
        </is>
      </c>
      <c r="G1673" s="7" t="n">
        <v>33.3052978515625</v>
      </c>
      <c r="H1673" s="6">
        <f>P1642</f>
        <v/>
      </c>
      <c r="I1673" s="9">
        <f>Q1642</f>
        <v/>
      </c>
      <c r="J1673" s="7">
        <f>I1673*G1673</f>
        <v/>
      </c>
      <c r="K1673" s="8">
        <f>IF($J$1675=0,0,J1673/$J$1675)</f>
        <v/>
      </c>
      <c r="L1673" s="6" t="inlineStr">
        <is>
          <t>REJECTED</t>
        </is>
      </c>
      <c r="M1673" s="8" t="n">
        <v>0</v>
      </c>
      <c r="N1673" s="7">
        <f>M1673*$J$1675-J1673</f>
        <v/>
      </c>
      <c r="O1673" s="9">
        <f>IF(G1673=0,0,N1673/G1673)</f>
        <v/>
      </c>
      <c r="P1673" s="6">
        <f>IF(M1673&gt;0,D1673,"")</f>
        <v/>
      </c>
      <c r="Q1673" s="9">
        <f>I1673+O1673</f>
        <v/>
      </c>
      <c r="R1673" s="7">
        <f>Q1673*G1673</f>
        <v/>
      </c>
      <c r="S1673" s="8">
        <f>IF($R$1675=0,0,R1673/$R$1675)</f>
        <v/>
      </c>
      <c r="T1673" s="8" t="n">
        <v>0.05656075474568034</v>
      </c>
      <c r="U1673" s="8" t="n">
        <v>0.003389625340736391</v>
      </c>
      <c r="V1673" s="6" t="inlineStr">
        <is>
          <t>not selected</t>
        </is>
      </c>
    </row>
    <row r="1674">
      <c r="A1674" s="6" t="inlineStr">
        <is>
          <t>DJ30</t>
        </is>
      </c>
      <c r="B1674" s="6" t="inlineStr">
        <is>
          <t>2024-01-12</t>
        </is>
      </c>
      <c r="C1674" s="6" t="inlineStr">
        <is>
          <t>DIA</t>
        </is>
      </c>
      <c r="D1674" s="6" t="inlineStr">
        <is>
          <t>WMT</t>
        </is>
      </c>
      <c r="E1674" s="6" t="inlineStr">
        <is>
          <t>WMT</t>
        </is>
      </c>
      <c r="F1674" s="6" t="inlineStr">
        <is>
          <t>-</t>
        </is>
      </c>
      <c r="G1674" s="7" t="n">
        <v>52.42478942871094</v>
      </c>
      <c r="H1674" s="6">
        <f>P1643</f>
        <v/>
      </c>
      <c r="I1674" s="9">
        <f>Q1643</f>
        <v/>
      </c>
      <c r="J1674" s="7">
        <f>I1674*G1674</f>
        <v/>
      </c>
      <c r="K1674" s="8">
        <f>IF($J$1675=0,0,J1674/$J$1675)</f>
        <v/>
      </c>
      <c r="L1674" s="6" t="inlineStr">
        <is>
          <t>WATCHLIST</t>
        </is>
      </c>
      <c r="M1674" s="8" t="n">
        <v>0</v>
      </c>
      <c r="N1674" s="7">
        <f>M1674*$J$1675-J1674</f>
        <v/>
      </c>
      <c r="O1674" s="9">
        <f>IF(G1674=0,0,N1674/G1674)</f>
        <v/>
      </c>
      <c r="P1674" s="6">
        <f>IF(M1674&gt;0,D1674,"")</f>
        <v/>
      </c>
      <c r="Q1674" s="9">
        <f>I1674+O1674</f>
        <v/>
      </c>
      <c r="R1674" s="7">
        <f>Q1674*G1674</f>
        <v/>
      </c>
      <c r="S1674" s="8">
        <f>IF($R$1675=0,0,R1674/$R$1675)</f>
        <v/>
      </c>
      <c r="T1674" s="8" t="n">
        <v>0.05656075474568034</v>
      </c>
      <c r="U1674" s="8" t="n">
        <v>0.003389625340736391</v>
      </c>
      <c r="V1674" s="6" t="inlineStr">
        <is>
          <t>not selected</t>
        </is>
      </c>
    </row>
    <row r="1675">
      <c r="A1675" s="10" t="inlineStr">
        <is>
          <t>DJ30</t>
        </is>
      </c>
      <c r="B1675" s="10" t="inlineStr">
        <is>
          <t>2024-01-12</t>
        </is>
      </c>
      <c r="C1675" s="10" t="inlineStr">
        <is>
          <t>DIA</t>
        </is>
      </c>
      <c r="D1675" s="10" t="inlineStr">
        <is>
          <t>Tot Portfolio</t>
        </is>
      </c>
      <c r="E1675" s="10" t="inlineStr"/>
      <c r="F1675" s="10" t="inlineStr"/>
      <c r="G1675" s="11" t="inlineStr"/>
      <c r="H1675" s="10" t="inlineStr"/>
      <c r="I1675" s="12" t="inlineStr"/>
      <c r="J1675" s="11">
        <f>SUM(J1645:J1674)</f>
        <v/>
      </c>
      <c r="K1675" s="13">
        <f>SUM(K1645:K1674)</f>
        <v/>
      </c>
      <c r="L1675" s="10" t="inlineStr">
        <is>
          <t>TOTAL</t>
        </is>
      </c>
      <c r="M1675" s="13">
        <f>SUM(M1645:M1674)</f>
        <v/>
      </c>
      <c r="N1675" s="11">
        <f>SUM(N1645:N1674)</f>
        <v/>
      </c>
      <c r="O1675" s="12">
        <f>SUM(O1645:O1674)</f>
        <v/>
      </c>
      <c r="P1675" s="10" t="inlineStr"/>
      <c r="Q1675" s="12" t="inlineStr"/>
      <c r="R1675" s="11">
        <f>SUM(R1645:R1674)</f>
        <v/>
      </c>
      <c r="S1675" s="13">
        <f>SUM(S1645:S1674)</f>
        <v/>
      </c>
      <c r="T1675" s="13" t="n">
        <v>0.05656075474568034</v>
      </c>
      <c r="U1675" s="13" t="n">
        <v>0.003389625340736391</v>
      </c>
      <c r="V1675" s="10" t="inlineStr"/>
    </row>
    <row r="1676">
      <c r="A1676" s="6" t="inlineStr">
        <is>
          <t>DJ30</t>
        </is>
      </c>
      <c r="B1676" s="6" t="inlineStr">
        <is>
          <t>2024-01-19</t>
        </is>
      </c>
      <c r="C1676" s="6" t="inlineStr">
        <is>
          <t>DIA</t>
        </is>
      </c>
      <c r="D1676" s="6" t="inlineStr">
        <is>
          <t>AAPL</t>
        </is>
      </c>
      <c r="E1676" s="6" t="inlineStr">
        <is>
          <t>AAPL</t>
        </is>
      </c>
      <c r="F1676" s="6" t="inlineStr">
        <is>
          <t>-</t>
        </is>
      </c>
      <c r="G1676" s="7" t="n">
        <v>189.4159393310547</v>
      </c>
      <c r="H1676" s="6">
        <f>P1645</f>
        <v/>
      </c>
      <c r="I1676" s="9">
        <f>Q1645</f>
        <v/>
      </c>
      <c r="J1676" s="7">
        <f>I1676*G1676</f>
        <v/>
      </c>
      <c r="K1676" s="8">
        <f>IF($J$1706=0,0,J1676/$J$1706)</f>
        <v/>
      </c>
      <c r="L1676" s="6" t="inlineStr">
        <is>
          <t>WATCHLIST</t>
        </is>
      </c>
      <c r="M1676" s="8" t="n">
        <v>0</v>
      </c>
      <c r="N1676" s="7">
        <f>M1676*$J$1706-J1676</f>
        <v/>
      </c>
      <c r="O1676" s="9">
        <f>IF(G1676=0,0,N1676/G1676)</f>
        <v/>
      </c>
      <c r="P1676" s="6">
        <f>IF(M1676&gt;0,D1676,"")</f>
        <v/>
      </c>
      <c r="Q1676" s="9">
        <f>I1676+O1676</f>
        <v/>
      </c>
      <c r="R1676" s="7">
        <f>Q1676*G1676</f>
        <v/>
      </c>
      <c r="S1676" s="8">
        <f>IF($R$1706=0,0,R1676/$R$1706)</f>
        <v/>
      </c>
      <c r="T1676" s="8" t="n">
        <v>0.02733038785607311</v>
      </c>
      <c r="U1676" s="8" t="n">
        <v>0.007728734953998728</v>
      </c>
      <c r="V1676" s="6" t="inlineStr">
        <is>
          <t>not selected</t>
        </is>
      </c>
    </row>
    <row r="1677">
      <c r="A1677" s="6" t="inlineStr">
        <is>
          <t>DJ30</t>
        </is>
      </c>
      <c r="B1677" s="6" t="inlineStr">
        <is>
          <t>2024-01-19</t>
        </is>
      </c>
      <c r="C1677" s="6" t="inlineStr">
        <is>
          <t>DIA</t>
        </is>
      </c>
      <c r="D1677" s="6" t="inlineStr">
        <is>
          <t>AMGN</t>
        </is>
      </c>
      <c r="E1677" s="6" t="inlineStr">
        <is>
          <t>AMGN</t>
        </is>
      </c>
      <c r="F1677" s="6" t="inlineStr">
        <is>
          <t>-</t>
        </is>
      </c>
      <c r="G1677" s="7" t="n">
        <v>285.2181701660156</v>
      </c>
      <c r="H1677" s="6">
        <f>P1646</f>
        <v/>
      </c>
      <c r="I1677" s="9">
        <f>Q1646</f>
        <v/>
      </c>
      <c r="J1677" s="7">
        <f>I1677*G1677</f>
        <v/>
      </c>
      <c r="K1677" s="8">
        <f>IF($J$1706=0,0,J1677/$J$1706)</f>
        <v/>
      </c>
      <c r="L1677" s="6" t="inlineStr">
        <is>
          <t>SELECTED</t>
        </is>
      </c>
      <c r="M1677" s="8" t="n">
        <v>0.2</v>
      </c>
      <c r="N1677" s="7">
        <f>M1677*$J$1706-J1677</f>
        <v/>
      </c>
      <c r="O1677" s="9">
        <f>IF(G1677=0,0,N1677/G1677)</f>
        <v/>
      </c>
      <c r="P1677" s="6">
        <f>IF(M1677&gt;0,D1677,"")</f>
        <v/>
      </c>
      <c r="Q1677" s="9">
        <f>I1677+O1677</f>
        <v/>
      </c>
      <c r="R1677" s="7">
        <f>Q1677*G1677</f>
        <v/>
      </c>
      <c r="S1677" s="8">
        <f>IF($R$1706=0,0,R1677/$R$1706)</f>
        <v/>
      </c>
      <c r="T1677" s="8" t="n">
        <v>0.02733038785607311</v>
      </c>
      <c r="U1677" s="8" t="n">
        <v>0.007728734953998728</v>
      </c>
      <c r="V1677" s="6" t="inlineStr">
        <is>
          <t>remained in weekly selection</t>
        </is>
      </c>
    </row>
    <row r="1678">
      <c r="A1678" s="6" t="inlineStr">
        <is>
          <t>DJ30</t>
        </is>
      </c>
      <c r="B1678" s="6" t="inlineStr">
        <is>
          <t>2024-01-19</t>
        </is>
      </c>
      <c r="C1678" s="6" t="inlineStr">
        <is>
          <t>DIA</t>
        </is>
      </c>
      <c r="D1678" s="6" t="inlineStr">
        <is>
          <t>AMZN</t>
        </is>
      </c>
      <c r="E1678" s="6" t="inlineStr">
        <is>
          <t>AMZN</t>
        </is>
      </c>
      <c r="F1678" s="6" t="inlineStr">
        <is>
          <t>-</t>
        </is>
      </c>
      <c r="G1678" s="7" t="n">
        <v>155.3399963378906</v>
      </c>
      <c r="H1678" s="6">
        <f>P1647</f>
        <v/>
      </c>
      <c r="I1678" s="9">
        <f>Q1647</f>
        <v/>
      </c>
      <c r="J1678" s="7">
        <f>I1678*G1678</f>
        <v/>
      </c>
      <c r="K1678" s="8">
        <f>IF($J$1706=0,0,J1678/$J$1706)</f>
        <v/>
      </c>
      <c r="L1678" s="6" t="inlineStr">
        <is>
          <t>SELECTED</t>
        </is>
      </c>
      <c r="M1678" s="8" t="n">
        <v>0.2</v>
      </c>
      <c r="N1678" s="7">
        <f>M1678*$J$1706-J1678</f>
        <v/>
      </c>
      <c r="O1678" s="9">
        <f>IF(G1678=0,0,N1678/G1678)</f>
        <v/>
      </c>
      <c r="P1678" s="6">
        <f>IF(M1678&gt;0,D1678,"")</f>
        <v/>
      </c>
      <c r="Q1678" s="9">
        <f>I1678+O1678</f>
        <v/>
      </c>
      <c r="R1678" s="7">
        <f>Q1678*G1678</f>
        <v/>
      </c>
      <c r="S1678" s="8">
        <f>IF($R$1706=0,0,R1678/$R$1706)</f>
        <v/>
      </c>
      <c r="T1678" s="8" t="n">
        <v>0.02733038785607311</v>
      </c>
      <c r="U1678" s="8" t="n">
        <v>0.007728734953998728</v>
      </c>
      <c r="V1678" s="6" t="inlineStr">
        <is>
          <t>remained in weekly selection</t>
        </is>
      </c>
    </row>
    <row r="1679">
      <c r="A1679" s="6" t="inlineStr">
        <is>
          <t>DJ30</t>
        </is>
      </c>
      <c r="B1679" s="6" t="inlineStr">
        <is>
          <t>2024-01-19</t>
        </is>
      </c>
      <c r="C1679" s="6" t="inlineStr">
        <is>
          <t>DIA</t>
        </is>
      </c>
      <c r="D1679" s="6" t="inlineStr">
        <is>
          <t>AXP</t>
        </is>
      </c>
      <c r="E1679" s="6" t="inlineStr">
        <is>
          <t>AXP</t>
        </is>
      </c>
      <c r="F1679" s="6" t="inlineStr">
        <is>
          <t>-</t>
        </is>
      </c>
      <c r="G1679" s="7" t="n">
        <v>178.6890716552734</v>
      </c>
      <c r="H1679" s="6">
        <f>P1648</f>
        <v/>
      </c>
      <c r="I1679" s="9">
        <f>Q1648</f>
        <v/>
      </c>
      <c r="J1679" s="7">
        <f>I1679*G1679</f>
        <v/>
      </c>
      <c r="K1679" s="8">
        <f>IF($J$1706=0,0,J1679/$J$1706)</f>
        <v/>
      </c>
      <c r="L1679" s="6" t="inlineStr">
        <is>
          <t>REJECTED</t>
        </is>
      </c>
      <c r="M1679" s="8" t="n">
        <v>0</v>
      </c>
      <c r="N1679" s="7">
        <f>M1679*$J$1706-J1679</f>
        <v/>
      </c>
      <c r="O1679" s="9">
        <f>IF(G1679=0,0,N1679/G1679)</f>
        <v/>
      </c>
      <c r="P1679" s="6">
        <f>IF(M1679&gt;0,D1679,"")</f>
        <v/>
      </c>
      <c r="Q1679" s="9">
        <f>I1679+O1679</f>
        <v/>
      </c>
      <c r="R1679" s="7">
        <f>Q1679*G1679</f>
        <v/>
      </c>
      <c r="S1679" s="8">
        <f>IF($R$1706=0,0,R1679/$R$1706)</f>
        <v/>
      </c>
      <c r="T1679" s="8" t="n">
        <v>0.02733038785607311</v>
      </c>
      <c r="U1679" s="8" t="n">
        <v>0.007728734953998728</v>
      </c>
      <c r="V1679" s="6" t="inlineStr">
        <is>
          <t>not selected</t>
        </is>
      </c>
    </row>
    <row r="1680">
      <c r="A1680" s="6" t="inlineStr">
        <is>
          <t>DJ30</t>
        </is>
      </c>
      <c r="B1680" s="6" t="inlineStr">
        <is>
          <t>2024-01-19</t>
        </is>
      </c>
      <c r="C1680" s="6" t="inlineStr">
        <is>
          <t>DIA</t>
        </is>
      </c>
      <c r="D1680" s="6" t="inlineStr">
        <is>
          <t>BA</t>
        </is>
      </c>
      <c r="E1680" s="6" t="inlineStr">
        <is>
          <t>BA</t>
        </is>
      </c>
      <c r="F1680" s="6" t="inlineStr">
        <is>
          <t>-</t>
        </is>
      </c>
      <c r="G1680" s="7" t="n">
        <v>215.0200042724609</v>
      </c>
      <c r="H1680" s="6">
        <f>P1649</f>
        <v/>
      </c>
      <c r="I1680" s="9">
        <f>Q1649</f>
        <v/>
      </c>
      <c r="J1680" s="7">
        <f>I1680*G1680</f>
        <v/>
      </c>
      <c r="K1680" s="8">
        <f>IF($J$1706=0,0,J1680/$J$1706)</f>
        <v/>
      </c>
      <c r="L1680" s="6" t="inlineStr">
        <is>
          <t>REJECTED</t>
        </is>
      </c>
      <c r="M1680" s="8" t="n">
        <v>0</v>
      </c>
      <c r="N1680" s="7">
        <f>M1680*$J$1706-J1680</f>
        <v/>
      </c>
      <c r="O1680" s="9">
        <f>IF(G1680=0,0,N1680/G1680)</f>
        <v/>
      </c>
      <c r="P1680" s="6">
        <f>IF(M1680&gt;0,D1680,"")</f>
        <v/>
      </c>
      <c r="Q1680" s="9">
        <f>I1680+O1680</f>
        <v/>
      </c>
      <c r="R1680" s="7">
        <f>Q1680*G1680</f>
        <v/>
      </c>
      <c r="S1680" s="8">
        <f>IF($R$1706=0,0,R1680/$R$1706)</f>
        <v/>
      </c>
      <c r="T1680" s="8" t="n">
        <v>0.02733038785607311</v>
      </c>
      <c r="U1680" s="8" t="n">
        <v>0.007728734953998728</v>
      </c>
      <c r="V1680" s="6" t="inlineStr">
        <is>
          <t>not selected</t>
        </is>
      </c>
    </row>
    <row r="1681">
      <c r="A1681" s="6" t="inlineStr">
        <is>
          <t>DJ30</t>
        </is>
      </c>
      <c r="B1681" s="6" t="inlineStr">
        <is>
          <t>2024-01-19</t>
        </is>
      </c>
      <c r="C1681" s="6" t="inlineStr">
        <is>
          <t>DIA</t>
        </is>
      </c>
      <c r="D1681" s="6" t="inlineStr">
        <is>
          <t>CAT</t>
        </is>
      </c>
      <c r="E1681" s="6" t="inlineStr">
        <is>
          <t>CAT</t>
        </is>
      </c>
      <c r="F1681" s="6" t="inlineStr">
        <is>
          <t>-</t>
        </is>
      </c>
      <c r="G1681" s="7" t="n">
        <v>276.7057800292969</v>
      </c>
      <c r="H1681" s="6">
        <f>P1650</f>
        <v/>
      </c>
      <c r="I1681" s="9">
        <f>Q1650</f>
        <v/>
      </c>
      <c r="J1681" s="7">
        <f>I1681*G1681</f>
        <v/>
      </c>
      <c r="K1681" s="8">
        <f>IF($J$1706=0,0,J1681/$J$1706)</f>
        <v/>
      </c>
      <c r="L1681" s="6" t="inlineStr">
        <is>
          <t>WATCHLIST</t>
        </is>
      </c>
      <c r="M1681" s="8" t="n">
        <v>0</v>
      </c>
      <c r="N1681" s="7">
        <f>M1681*$J$1706-J1681</f>
        <v/>
      </c>
      <c r="O1681" s="9">
        <f>IF(G1681=0,0,N1681/G1681)</f>
        <v/>
      </c>
      <c r="P1681" s="6">
        <f>IF(M1681&gt;0,D1681,"")</f>
        <v/>
      </c>
      <c r="Q1681" s="9">
        <f>I1681+O1681</f>
        <v/>
      </c>
      <c r="R1681" s="7">
        <f>Q1681*G1681</f>
        <v/>
      </c>
      <c r="S1681" s="8">
        <f>IF($R$1706=0,0,R1681/$R$1706)</f>
        <v/>
      </c>
      <c r="T1681" s="8" t="n">
        <v>0.02733038785607311</v>
      </c>
      <c r="U1681" s="8" t="n">
        <v>0.007728734953998728</v>
      </c>
      <c r="V1681" s="6" t="inlineStr">
        <is>
          <t>not selected</t>
        </is>
      </c>
    </row>
    <row r="1682">
      <c r="A1682" s="6" t="inlineStr">
        <is>
          <t>DJ30</t>
        </is>
      </c>
      <c r="B1682" s="6" t="inlineStr">
        <is>
          <t>2024-01-19</t>
        </is>
      </c>
      <c r="C1682" s="6" t="inlineStr">
        <is>
          <t>DIA</t>
        </is>
      </c>
      <c r="D1682" s="6" t="inlineStr">
        <is>
          <t>CRM</t>
        </is>
      </c>
      <c r="E1682" s="6" t="inlineStr">
        <is>
          <t>CRM</t>
        </is>
      </c>
      <c r="F1682" s="6" t="inlineStr">
        <is>
          <t>-</t>
        </is>
      </c>
      <c r="G1682" s="7" t="n">
        <v>276.1033020019531</v>
      </c>
      <c r="H1682" s="6">
        <f>P1651</f>
        <v/>
      </c>
      <c r="I1682" s="9">
        <f>Q1651</f>
        <v/>
      </c>
      <c r="J1682" s="7">
        <f>I1682*G1682</f>
        <v/>
      </c>
      <c r="K1682" s="8">
        <f>IF($J$1706=0,0,J1682/$J$1706)</f>
        <v/>
      </c>
      <c r="L1682" s="6" t="inlineStr">
        <is>
          <t>SELECTED</t>
        </is>
      </c>
      <c r="M1682" s="8" t="n">
        <v>0.2</v>
      </c>
      <c r="N1682" s="7">
        <f>M1682*$J$1706-J1682</f>
        <v/>
      </c>
      <c r="O1682" s="9">
        <f>IF(G1682=0,0,N1682/G1682)</f>
        <v/>
      </c>
      <c r="P1682" s="6">
        <f>IF(M1682&gt;0,D1682,"")</f>
        <v/>
      </c>
      <c r="Q1682" s="9">
        <f>I1682+O1682</f>
        <v/>
      </c>
      <c r="R1682" s="7">
        <f>Q1682*G1682</f>
        <v/>
      </c>
      <c r="S1682" s="8">
        <f>IF($R$1706=0,0,R1682/$R$1706)</f>
        <v/>
      </c>
      <c r="T1682" s="8" t="n">
        <v>0.02733038785607311</v>
      </c>
      <c r="U1682" s="8" t="n">
        <v>0.007728734953998728</v>
      </c>
      <c r="V1682" s="6" t="inlineStr">
        <is>
          <t>remained in weekly selection</t>
        </is>
      </c>
    </row>
    <row r="1683">
      <c r="A1683" s="6" t="inlineStr">
        <is>
          <t>DJ30</t>
        </is>
      </c>
      <c r="B1683" s="6" t="inlineStr">
        <is>
          <t>2024-01-19</t>
        </is>
      </c>
      <c r="C1683" s="6" t="inlineStr">
        <is>
          <t>DIA</t>
        </is>
      </c>
      <c r="D1683" s="6" t="inlineStr">
        <is>
          <t>CSCO</t>
        </is>
      </c>
      <c r="E1683" s="6" t="inlineStr">
        <is>
          <t>CSCO</t>
        </is>
      </c>
      <c r="F1683" s="6" t="inlineStr">
        <is>
          <t>-</t>
        </is>
      </c>
      <c r="G1683" s="7" t="n">
        <v>48.26096725463867</v>
      </c>
      <c r="H1683" s="6">
        <f>P1652</f>
        <v/>
      </c>
      <c r="I1683" s="9">
        <f>Q1652</f>
        <v/>
      </c>
      <c r="J1683" s="7">
        <f>I1683*G1683</f>
        <v/>
      </c>
      <c r="K1683" s="8">
        <f>IF($J$1706=0,0,J1683/$J$1706)</f>
        <v/>
      </c>
      <c r="L1683" s="6" t="inlineStr">
        <is>
          <t>REJECTED</t>
        </is>
      </c>
      <c r="M1683" s="8" t="n">
        <v>0</v>
      </c>
      <c r="N1683" s="7">
        <f>M1683*$J$1706-J1683</f>
        <v/>
      </c>
      <c r="O1683" s="9">
        <f>IF(G1683=0,0,N1683/G1683)</f>
        <v/>
      </c>
      <c r="P1683" s="6">
        <f>IF(M1683&gt;0,D1683,"")</f>
        <v/>
      </c>
      <c r="Q1683" s="9">
        <f>I1683+O1683</f>
        <v/>
      </c>
      <c r="R1683" s="7">
        <f>Q1683*G1683</f>
        <v/>
      </c>
      <c r="S1683" s="8">
        <f>IF($R$1706=0,0,R1683/$R$1706)</f>
        <v/>
      </c>
      <c r="T1683" s="8" t="n">
        <v>0.02733038785607311</v>
      </c>
      <c r="U1683" s="8" t="n">
        <v>0.007728734953998728</v>
      </c>
      <c r="V1683" s="6" t="inlineStr">
        <is>
          <t>not selected</t>
        </is>
      </c>
    </row>
    <row r="1684">
      <c r="A1684" s="6" t="inlineStr">
        <is>
          <t>DJ30</t>
        </is>
      </c>
      <c r="B1684" s="6" t="inlineStr">
        <is>
          <t>2024-01-19</t>
        </is>
      </c>
      <c r="C1684" s="6" t="inlineStr">
        <is>
          <t>DIA</t>
        </is>
      </c>
      <c r="D1684" s="6" t="inlineStr">
        <is>
          <t>CVX</t>
        </is>
      </c>
      <c r="E1684" s="6" t="inlineStr">
        <is>
          <t>CVX</t>
        </is>
      </c>
      <c r="F1684" s="6" t="inlineStr">
        <is>
          <t>-</t>
        </is>
      </c>
      <c r="G1684" s="7" t="n">
        <v>127.8899230957031</v>
      </c>
      <c r="H1684" s="6">
        <f>P1653</f>
        <v/>
      </c>
      <c r="I1684" s="9">
        <f>Q1653</f>
        <v/>
      </c>
      <c r="J1684" s="7">
        <f>I1684*G1684</f>
        <v/>
      </c>
      <c r="K1684" s="8">
        <f>IF($J$1706=0,0,J1684/$J$1706)</f>
        <v/>
      </c>
      <c r="L1684" s="6" t="inlineStr">
        <is>
          <t>REJECTED</t>
        </is>
      </c>
      <c r="M1684" s="8" t="n">
        <v>0</v>
      </c>
      <c r="N1684" s="7">
        <f>M1684*$J$1706-J1684</f>
        <v/>
      </c>
      <c r="O1684" s="9">
        <f>IF(G1684=0,0,N1684/G1684)</f>
        <v/>
      </c>
      <c r="P1684" s="6">
        <f>IF(M1684&gt;0,D1684,"")</f>
        <v/>
      </c>
      <c r="Q1684" s="9">
        <f>I1684+O1684</f>
        <v/>
      </c>
      <c r="R1684" s="7">
        <f>Q1684*G1684</f>
        <v/>
      </c>
      <c r="S1684" s="8">
        <f>IF($R$1706=0,0,R1684/$R$1706)</f>
        <v/>
      </c>
      <c r="T1684" s="8" t="n">
        <v>0.02733038785607311</v>
      </c>
      <c r="U1684" s="8" t="n">
        <v>0.007728734953998728</v>
      </c>
      <c r="V1684" s="6" t="inlineStr">
        <is>
          <t>not selected</t>
        </is>
      </c>
    </row>
    <row r="1685">
      <c r="A1685" s="6" t="inlineStr">
        <is>
          <t>DJ30</t>
        </is>
      </c>
      <c r="B1685" s="6" t="inlineStr">
        <is>
          <t>2024-01-19</t>
        </is>
      </c>
      <c r="C1685" s="6" t="inlineStr">
        <is>
          <t>DIA</t>
        </is>
      </c>
      <c r="D1685" s="6" t="inlineStr">
        <is>
          <t>DIS</t>
        </is>
      </c>
      <c r="E1685" s="6" t="inlineStr">
        <is>
          <t>DIS</t>
        </is>
      </c>
      <c r="F1685" s="6" t="inlineStr">
        <is>
          <t>-</t>
        </is>
      </c>
      <c r="G1685" s="7" t="n">
        <v>91.21521759033205</v>
      </c>
      <c r="H1685" s="6">
        <f>P1654</f>
        <v/>
      </c>
      <c r="I1685" s="9">
        <f>Q1654</f>
        <v/>
      </c>
      <c r="J1685" s="7">
        <f>I1685*G1685</f>
        <v/>
      </c>
      <c r="K1685" s="8">
        <f>IF($J$1706=0,0,J1685/$J$1706)</f>
        <v/>
      </c>
      <c r="L1685" s="6" t="inlineStr">
        <is>
          <t>REJECTED</t>
        </is>
      </c>
      <c r="M1685" s="8" t="n">
        <v>0</v>
      </c>
      <c r="N1685" s="7">
        <f>M1685*$J$1706-J1685</f>
        <v/>
      </c>
      <c r="O1685" s="9">
        <f>IF(G1685=0,0,N1685/G1685)</f>
        <v/>
      </c>
      <c r="P1685" s="6">
        <f>IF(M1685&gt;0,D1685,"")</f>
        <v/>
      </c>
      <c r="Q1685" s="9">
        <f>I1685+O1685</f>
        <v/>
      </c>
      <c r="R1685" s="7">
        <f>Q1685*G1685</f>
        <v/>
      </c>
      <c r="S1685" s="8">
        <f>IF($R$1706=0,0,R1685/$R$1706)</f>
        <v/>
      </c>
      <c r="T1685" s="8" t="n">
        <v>0.02733038785607311</v>
      </c>
      <c r="U1685" s="8" t="n">
        <v>0.007728734953998728</v>
      </c>
      <c r="V1685" s="6" t="inlineStr">
        <is>
          <t>not selected</t>
        </is>
      </c>
    </row>
    <row r="1686">
      <c r="A1686" s="6" t="inlineStr">
        <is>
          <t>DJ30</t>
        </is>
      </c>
      <c r="B1686" s="6" t="inlineStr">
        <is>
          <t>2024-01-19</t>
        </is>
      </c>
      <c r="C1686" s="6" t="inlineStr">
        <is>
          <t>DIA</t>
        </is>
      </c>
      <c r="D1686" s="6" t="inlineStr">
        <is>
          <t>GS</t>
        </is>
      </c>
      <c r="E1686" s="6" t="inlineStr">
        <is>
          <t>GS</t>
        </is>
      </c>
      <c r="F1686" s="6" t="inlineStr">
        <is>
          <t>-</t>
        </is>
      </c>
      <c r="G1686" s="7" t="n">
        <v>362.1866149902344</v>
      </c>
      <c r="H1686" s="6">
        <f>P1655</f>
        <v/>
      </c>
      <c r="I1686" s="9">
        <f>Q1655</f>
        <v/>
      </c>
      <c r="J1686" s="7">
        <f>I1686*G1686</f>
        <v/>
      </c>
      <c r="K1686" s="8">
        <f>IF($J$1706=0,0,J1686/$J$1706)</f>
        <v/>
      </c>
      <c r="L1686" s="6" t="inlineStr">
        <is>
          <t>REJECTED</t>
        </is>
      </c>
      <c r="M1686" s="8" t="n">
        <v>0</v>
      </c>
      <c r="N1686" s="7">
        <f>M1686*$J$1706-J1686</f>
        <v/>
      </c>
      <c r="O1686" s="9">
        <f>IF(G1686=0,0,N1686/G1686)</f>
        <v/>
      </c>
      <c r="P1686" s="6">
        <f>IF(M1686&gt;0,D1686,"")</f>
        <v/>
      </c>
      <c r="Q1686" s="9">
        <f>I1686+O1686</f>
        <v/>
      </c>
      <c r="R1686" s="7">
        <f>Q1686*G1686</f>
        <v/>
      </c>
      <c r="S1686" s="8">
        <f>IF($R$1706=0,0,R1686/$R$1706)</f>
        <v/>
      </c>
      <c r="T1686" s="8" t="n">
        <v>0.02733038785607311</v>
      </c>
      <c r="U1686" s="8" t="n">
        <v>0.007728734953998728</v>
      </c>
      <c r="V1686" s="6" t="inlineStr">
        <is>
          <t>not selected</t>
        </is>
      </c>
    </row>
    <row r="1687">
      <c r="A1687" s="6" t="inlineStr">
        <is>
          <t>DJ30</t>
        </is>
      </c>
      <c r="B1687" s="6" t="inlineStr">
        <is>
          <t>2024-01-19</t>
        </is>
      </c>
      <c r="C1687" s="6" t="inlineStr">
        <is>
          <t>DIA</t>
        </is>
      </c>
      <c r="D1687" s="6" t="inlineStr">
        <is>
          <t>HD</t>
        </is>
      </c>
      <c r="E1687" s="6" t="inlineStr">
        <is>
          <t>HD</t>
        </is>
      </c>
      <c r="F1687" s="6" t="inlineStr">
        <is>
          <t>-</t>
        </is>
      </c>
      <c r="G1687" s="7" t="n">
        <v>340.2961730957031</v>
      </c>
      <c r="H1687" s="6">
        <f>P1656</f>
        <v/>
      </c>
      <c r="I1687" s="9">
        <f>Q1656</f>
        <v/>
      </c>
      <c r="J1687" s="7">
        <f>I1687*G1687</f>
        <v/>
      </c>
      <c r="K1687" s="8">
        <f>IF($J$1706=0,0,J1687/$J$1706)</f>
        <v/>
      </c>
      <c r="L1687" s="6" t="inlineStr">
        <is>
          <t>WATCHLIST</t>
        </is>
      </c>
      <c r="M1687" s="8" t="n">
        <v>0</v>
      </c>
      <c r="N1687" s="7">
        <f>M1687*$J$1706-J1687</f>
        <v/>
      </c>
      <c r="O1687" s="9">
        <f>IF(G1687=0,0,N1687/G1687)</f>
        <v/>
      </c>
      <c r="P1687" s="6">
        <f>IF(M1687&gt;0,D1687,"")</f>
        <v/>
      </c>
      <c r="Q1687" s="9">
        <f>I1687+O1687</f>
        <v/>
      </c>
      <c r="R1687" s="7">
        <f>Q1687*G1687</f>
        <v/>
      </c>
      <c r="S1687" s="8">
        <f>IF($R$1706=0,0,R1687/$R$1706)</f>
        <v/>
      </c>
      <c r="T1687" s="8" t="n">
        <v>0.02733038785607311</v>
      </c>
      <c r="U1687" s="8" t="n">
        <v>0.007728734953998728</v>
      </c>
      <c r="V1687" s="6" t="inlineStr">
        <is>
          <t>not selected</t>
        </is>
      </c>
    </row>
    <row r="1688">
      <c r="A1688" s="6" t="inlineStr">
        <is>
          <t>DJ30</t>
        </is>
      </c>
      <c r="B1688" s="6" t="inlineStr">
        <is>
          <t>2024-01-19</t>
        </is>
      </c>
      <c r="C1688" s="6" t="inlineStr">
        <is>
          <t>DIA</t>
        </is>
      </c>
      <c r="D1688" s="6" t="inlineStr">
        <is>
          <t>HON</t>
        </is>
      </c>
      <c r="E1688" s="6" t="inlineStr">
        <is>
          <t>HON</t>
        </is>
      </c>
      <c r="F1688" s="6" t="inlineStr">
        <is>
          <t>-</t>
        </is>
      </c>
      <c r="G1688" s="7" t="n">
        <v>179.4393615722656</v>
      </c>
      <c r="H1688" s="6">
        <f>P1657</f>
        <v/>
      </c>
      <c r="I1688" s="9">
        <f>Q1657</f>
        <v/>
      </c>
      <c r="J1688" s="7">
        <f>I1688*G1688</f>
        <v/>
      </c>
      <c r="K1688" s="8">
        <f>IF($J$1706=0,0,J1688/$J$1706)</f>
        <v/>
      </c>
      <c r="L1688" s="6" t="inlineStr">
        <is>
          <t>REJECTED</t>
        </is>
      </c>
      <c r="M1688" s="8" t="n">
        <v>0</v>
      </c>
      <c r="N1688" s="7">
        <f>M1688*$J$1706-J1688</f>
        <v/>
      </c>
      <c r="O1688" s="9">
        <f>IF(G1688=0,0,N1688/G1688)</f>
        <v/>
      </c>
      <c r="P1688" s="6">
        <f>IF(M1688&gt;0,D1688,"")</f>
        <v/>
      </c>
      <c r="Q1688" s="9">
        <f>I1688+O1688</f>
        <v/>
      </c>
      <c r="R1688" s="7">
        <f>Q1688*G1688</f>
        <v/>
      </c>
      <c r="S1688" s="8">
        <f>IF($R$1706=0,0,R1688/$R$1706)</f>
        <v/>
      </c>
      <c r="T1688" s="8" t="n">
        <v>0.02733038785607311</v>
      </c>
      <c r="U1688" s="8" t="n">
        <v>0.007728734953998728</v>
      </c>
      <c r="V1688" s="6" t="inlineStr">
        <is>
          <t>not selected</t>
        </is>
      </c>
    </row>
    <row r="1689">
      <c r="A1689" s="6" t="inlineStr">
        <is>
          <t>DJ30</t>
        </is>
      </c>
      <c r="B1689" s="6" t="inlineStr">
        <is>
          <t>2024-01-19</t>
        </is>
      </c>
      <c r="C1689" s="6" t="inlineStr">
        <is>
          <t>DIA</t>
        </is>
      </c>
      <c r="D1689" s="6" t="inlineStr">
        <is>
          <t>IBM</t>
        </is>
      </c>
      <c r="E1689" s="6" t="inlineStr">
        <is>
          <t>IBM</t>
        </is>
      </c>
      <c r="F1689" s="6" t="inlineStr">
        <is>
          <t>-</t>
        </is>
      </c>
      <c r="G1689" s="7" t="n">
        <v>159.2423095703125</v>
      </c>
      <c r="H1689" s="6">
        <f>P1658</f>
        <v/>
      </c>
      <c r="I1689" s="9">
        <f>Q1658</f>
        <v/>
      </c>
      <c r="J1689" s="7">
        <f>I1689*G1689</f>
        <v/>
      </c>
      <c r="K1689" s="8">
        <f>IF($J$1706=0,0,J1689/$J$1706)</f>
        <v/>
      </c>
      <c r="L1689" s="6" t="inlineStr">
        <is>
          <t>WATCHLIST</t>
        </is>
      </c>
      <c r="M1689" s="8" t="n">
        <v>0</v>
      </c>
      <c r="N1689" s="7">
        <f>M1689*$J$1706-J1689</f>
        <v/>
      </c>
      <c r="O1689" s="9">
        <f>IF(G1689=0,0,N1689/G1689)</f>
        <v/>
      </c>
      <c r="P1689" s="6">
        <f>IF(M1689&gt;0,D1689,"")</f>
        <v/>
      </c>
      <c r="Q1689" s="9">
        <f>I1689+O1689</f>
        <v/>
      </c>
      <c r="R1689" s="7">
        <f>Q1689*G1689</f>
        <v/>
      </c>
      <c r="S1689" s="8">
        <f>IF($R$1706=0,0,R1689/$R$1706)</f>
        <v/>
      </c>
      <c r="T1689" s="8" t="n">
        <v>0.02733038785607311</v>
      </c>
      <c r="U1689" s="8" t="n">
        <v>0.007728734953998728</v>
      </c>
      <c r="V1689" s="6" t="inlineStr">
        <is>
          <t>not selected</t>
        </is>
      </c>
    </row>
    <row r="1690">
      <c r="A1690" s="6" t="inlineStr">
        <is>
          <t>DJ30</t>
        </is>
      </c>
      <c r="B1690" s="6" t="inlineStr">
        <is>
          <t>2024-01-19</t>
        </is>
      </c>
      <c r="C1690" s="6" t="inlineStr">
        <is>
          <t>DIA</t>
        </is>
      </c>
      <c r="D1690" s="6" t="inlineStr">
        <is>
          <t>JNJ</t>
        </is>
      </c>
      <c r="E1690" s="6" t="inlineStr">
        <is>
          <t>JNJ</t>
        </is>
      </c>
      <c r="F1690" s="6" t="inlineStr">
        <is>
          <t>-</t>
        </is>
      </c>
      <c r="G1690" s="7" t="n">
        <v>150.3946075439453</v>
      </c>
      <c r="H1690" s="6">
        <f>P1659</f>
        <v/>
      </c>
      <c r="I1690" s="9">
        <f>Q1659</f>
        <v/>
      </c>
      <c r="J1690" s="7">
        <f>I1690*G1690</f>
        <v/>
      </c>
      <c r="K1690" s="8">
        <f>IF($J$1706=0,0,J1690/$J$1706)</f>
        <v/>
      </c>
      <c r="L1690" s="6" t="inlineStr">
        <is>
          <t>REJECTED</t>
        </is>
      </c>
      <c r="M1690" s="8" t="n">
        <v>0</v>
      </c>
      <c r="N1690" s="7">
        <f>M1690*$J$1706-J1690</f>
        <v/>
      </c>
      <c r="O1690" s="9">
        <f>IF(G1690=0,0,N1690/G1690)</f>
        <v/>
      </c>
      <c r="P1690" s="6">
        <f>IF(M1690&gt;0,D1690,"")</f>
        <v/>
      </c>
      <c r="Q1690" s="9">
        <f>I1690+O1690</f>
        <v/>
      </c>
      <c r="R1690" s="7">
        <f>Q1690*G1690</f>
        <v/>
      </c>
      <c r="S1690" s="8">
        <f>IF($R$1706=0,0,R1690/$R$1706)</f>
        <v/>
      </c>
      <c r="T1690" s="8" t="n">
        <v>0.02733038785607311</v>
      </c>
      <c r="U1690" s="8" t="n">
        <v>0.007728734953998728</v>
      </c>
      <c r="V1690" s="6" t="inlineStr">
        <is>
          <t>not selected</t>
        </is>
      </c>
    </row>
    <row r="1691">
      <c r="A1691" s="6" t="inlineStr">
        <is>
          <t>DJ30</t>
        </is>
      </c>
      <c r="B1691" s="6" t="inlineStr">
        <is>
          <t>2024-01-19</t>
        </is>
      </c>
      <c r="C1691" s="6" t="inlineStr">
        <is>
          <t>DIA</t>
        </is>
      </c>
      <c r="D1691" s="6" t="inlineStr">
        <is>
          <t>JPM</t>
        </is>
      </c>
      <c r="E1691" s="6" t="inlineStr">
        <is>
          <t>JPM</t>
        </is>
      </c>
      <c r="F1691" s="6" t="inlineStr">
        <is>
          <t>-</t>
        </is>
      </c>
      <c r="G1691" s="7" t="n">
        <v>162.3274383544922</v>
      </c>
      <c r="H1691" s="6">
        <f>P1660</f>
        <v/>
      </c>
      <c r="I1691" s="9">
        <f>Q1660</f>
        <v/>
      </c>
      <c r="J1691" s="7">
        <f>I1691*G1691</f>
        <v/>
      </c>
      <c r="K1691" s="8">
        <f>IF($J$1706=0,0,J1691/$J$1706)</f>
        <v/>
      </c>
      <c r="L1691" s="6" t="inlineStr">
        <is>
          <t>SELECTED</t>
        </is>
      </c>
      <c r="M1691" s="8" t="n">
        <v>0.2</v>
      </c>
      <c r="N1691" s="7">
        <f>M1691*$J$1706-J1691</f>
        <v/>
      </c>
      <c r="O1691" s="9">
        <f>IF(G1691=0,0,N1691/G1691)</f>
        <v/>
      </c>
      <c r="P1691" s="6">
        <f>IF(M1691&gt;0,D1691,"")</f>
        <v/>
      </c>
      <c r="Q1691" s="9">
        <f>I1691+O1691</f>
        <v/>
      </c>
      <c r="R1691" s="7">
        <f>Q1691*G1691</f>
        <v/>
      </c>
      <c r="S1691" s="8">
        <f>IF($R$1706=0,0,R1691/$R$1706)</f>
        <v/>
      </c>
      <c r="T1691" s="8" t="n">
        <v>0.02733038785607311</v>
      </c>
      <c r="U1691" s="8" t="n">
        <v>0.007728734953998728</v>
      </c>
      <c r="V1691" s="6" t="inlineStr">
        <is>
          <t>remained in weekly selection</t>
        </is>
      </c>
    </row>
    <row r="1692">
      <c r="A1692" s="6" t="inlineStr">
        <is>
          <t>DJ30</t>
        </is>
      </c>
      <c r="B1692" s="6" t="inlineStr">
        <is>
          <t>2024-01-19</t>
        </is>
      </c>
      <c r="C1692" s="6" t="inlineStr">
        <is>
          <t>DIA</t>
        </is>
      </c>
      <c r="D1692" s="6" t="inlineStr">
        <is>
          <t>KO</t>
        </is>
      </c>
      <c r="E1692" s="6" t="inlineStr">
        <is>
          <t>KO</t>
        </is>
      </c>
      <c r="F1692" s="6" t="inlineStr">
        <is>
          <t>-</t>
        </is>
      </c>
      <c r="G1692" s="7" t="n">
        <v>55.64867401123047</v>
      </c>
      <c r="H1692" s="6">
        <f>P1661</f>
        <v/>
      </c>
      <c r="I1692" s="9">
        <f>Q1661</f>
        <v/>
      </c>
      <c r="J1692" s="7">
        <f>I1692*G1692</f>
        <v/>
      </c>
      <c r="K1692" s="8">
        <f>IF($J$1706=0,0,J1692/$J$1706)</f>
        <v/>
      </c>
      <c r="L1692" s="6" t="inlineStr">
        <is>
          <t>REJECTED</t>
        </is>
      </c>
      <c r="M1692" s="8" t="n">
        <v>0</v>
      </c>
      <c r="N1692" s="7">
        <f>M1692*$J$1706-J1692</f>
        <v/>
      </c>
      <c r="O1692" s="9">
        <f>IF(G1692=0,0,N1692/G1692)</f>
        <v/>
      </c>
      <c r="P1692" s="6">
        <f>IF(M1692&gt;0,D1692,"")</f>
        <v/>
      </c>
      <c r="Q1692" s="9">
        <f>I1692+O1692</f>
        <v/>
      </c>
      <c r="R1692" s="7">
        <f>Q1692*G1692</f>
        <v/>
      </c>
      <c r="S1692" s="8">
        <f>IF($R$1706=0,0,R1692/$R$1706)</f>
        <v/>
      </c>
      <c r="T1692" s="8" t="n">
        <v>0.02733038785607311</v>
      </c>
      <c r="U1692" s="8" t="n">
        <v>0.007728734953998728</v>
      </c>
      <c r="V1692" s="6" t="inlineStr">
        <is>
          <t>not selected</t>
        </is>
      </c>
    </row>
    <row r="1693">
      <c r="A1693" s="6" t="inlineStr">
        <is>
          <t>DJ30</t>
        </is>
      </c>
      <c r="B1693" s="6" t="inlineStr">
        <is>
          <t>2024-01-19</t>
        </is>
      </c>
      <c r="C1693" s="6" t="inlineStr">
        <is>
          <t>DIA</t>
        </is>
      </c>
      <c r="D1693" s="6" t="inlineStr">
        <is>
          <t>MCD</t>
        </is>
      </c>
      <c r="E1693" s="6" t="inlineStr">
        <is>
          <t>MCD</t>
        </is>
      </c>
      <c r="F1693" s="6" t="inlineStr">
        <is>
          <t>-</t>
        </is>
      </c>
      <c r="G1693" s="7" t="n">
        <v>283.2178344726562</v>
      </c>
      <c r="H1693" s="6">
        <f>P1662</f>
        <v/>
      </c>
      <c r="I1693" s="9">
        <f>Q1662</f>
        <v/>
      </c>
      <c r="J1693" s="7">
        <f>I1693*G1693</f>
        <v/>
      </c>
      <c r="K1693" s="8">
        <f>IF($J$1706=0,0,J1693/$J$1706)</f>
        <v/>
      </c>
      <c r="L1693" s="6" t="inlineStr">
        <is>
          <t>REJECTED</t>
        </is>
      </c>
      <c r="M1693" s="8" t="n">
        <v>0</v>
      </c>
      <c r="N1693" s="7">
        <f>M1693*$J$1706-J1693</f>
        <v/>
      </c>
      <c r="O1693" s="9">
        <f>IF(G1693=0,0,N1693/G1693)</f>
        <v/>
      </c>
      <c r="P1693" s="6">
        <f>IF(M1693&gt;0,D1693,"")</f>
        <v/>
      </c>
      <c r="Q1693" s="9">
        <f>I1693+O1693</f>
        <v/>
      </c>
      <c r="R1693" s="7">
        <f>Q1693*G1693</f>
        <v/>
      </c>
      <c r="S1693" s="8">
        <f>IF($R$1706=0,0,R1693/$R$1706)</f>
        <v/>
      </c>
      <c r="T1693" s="8" t="n">
        <v>0.02733038785607311</v>
      </c>
      <c r="U1693" s="8" t="n">
        <v>0.007728734953998728</v>
      </c>
      <c r="V1693" s="6" t="inlineStr">
        <is>
          <t>not selected</t>
        </is>
      </c>
    </row>
    <row r="1694">
      <c r="A1694" s="6" t="inlineStr">
        <is>
          <t>DJ30</t>
        </is>
      </c>
      <c r="B1694" s="6" t="inlineStr">
        <is>
          <t>2024-01-19</t>
        </is>
      </c>
      <c r="C1694" s="6" t="inlineStr">
        <is>
          <t>DIA</t>
        </is>
      </c>
      <c r="D1694" s="6" t="inlineStr">
        <is>
          <t>MMM</t>
        </is>
      </c>
      <c r="E1694" s="6" t="inlineStr">
        <is>
          <t>MMM</t>
        </is>
      </c>
      <c r="F1694" s="6" t="inlineStr">
        <is>
          <t>-</t>
        </is>
      </c>
      <c r="G1694" s="7" t="n">
        <v>84.64866638183594</v>
      </c>
      <c r="H1694" s="6">
        <f>P1663</f>
        <v/>
      </c>
      <c r="I1694" s="9">
        <f>Q1663</f>
        <v/>
      </c>
      <c r="J1694" s="7">
        <f>I1694*G1694</f>
        <v/>
      </c>
      <c r="K1694" s="8">
        <f>IF($J$1706=0,0,J1694/$J$1706)</f>
        <v/>
      </c>
      <c r="L1694" s="6" t="inlineStr">
        <is>
          <t>REJECTED</t>
        </is>
      </c>
      <c r="M1694" s="8" t="n">
        <v>0</v>
      </c>
      <c r="N1694" s="7">
        <f>M1694*$J$1706-J1694</f>
        <v/>
      </c>
      <c r="O1694" s="9">
        <f>IF(G1694=0,0,N1694/G1694)</f>
        <v/>
      </c>
      <c r="P1694" s="6">
        <f>IF(M1694&gt;0,D1694,"")</f>
        <v/>
      </c>
      <c r="Q1694" s="9">
        <f>I1694+O1694</f>
        <v/>
      </c>
      <c r="R1694" s="7">
        <f>Q1694*G1694</f>
        <v/>
      </c>
      <c r="S1694" s="8">
        <f>IF($R$1706=0,0,R1694/$R$1706)</f>
        <v/>
      </c>
      <c r="T1694" s="8" t="n">
        <v>0.02733038785607311</v>
      </c>
      <c r="U1694" s="8" t="n">
        <v>0.007728734953998728</v>
      </c>
      <c r="V1694" s="6" t="inlineStr">
        <is>
          <t>not selected</t>
        </is>
      </c>
    </row>
    <row r="1695">
      <c r="A1695" s="6" t="inlineStr">
        <is>
          <t>DJ30</t>
        </is>
      </c>
      <c r="B1695" s="6" t="inlineStr">
        <is>
          <t>2024-01-19</t>
        </is>
      </c>
      <c r="C1695" s="6" t="inlineStr">
        <is>
          <t>DIA</t>
        </is>
      </c>
      <c r="D1695" s="6" t="inlineStr">
        <is>
          <t>MRK</t>
        </is>
      </c>
      <c r="E1695" s="6" t="inlineStr">
        <is>
          <t>MRK</t>
        </is>
      </c>
      <c r="F1695" s="6" t="inlineStr">
        <is>
          <t>-</t>
        </is>
      </c>
      <c r="G1695" s="7" t="n">
        <v>109.9273986816406</v>
      </c>
      <c r="H1695" s="6">
        <f>P1664</f>
        <v/>
      </c>
      <c r="I1695" s="9">
        <f>Q1664</f>
        <v/>
      </c>
      <c r="J1695" s="7">
        <f>I1695*G1695</f>
        <v/>
      </c>
      <c r="K1695" s="8">
        <f>IF($J$1706=0,0,J1695/$J$1706)</f>
        <v/>
      </c>
      <c r="L1695" s="6" t="inlineStr">
        <is>
          <t>REJECTED</t>
        </is>
      </c>
      <c r="M1695" s="8" t="n">
        <v>0</v>
      </c>
      <c r="N1695" s="7">
        <f>M1695*$J$1706-J1695</f>
        <v/>
      </c>
      <c r="O1695" s="9">
        <f>IF(G1695=0,0,N1695/G1695)</f>
        <v/>
      </c>
      <c r="P1695" s="6">
        <f>IF(M1695&gt;0,D1695,"")</f>
        <v/>
      </c>
      <c r="Q1695" s="9">
        <f>I1695+O1695</f>
        <v/>
      </c>
      <c r="R1695" s="7">
        <f>Q1695*G1695</f>
        <v/>
      </c>
      <c r="S1695" s="8">
        <f>IF($R$1706=0,0,R1695/$R$1706)</f>
        <v/>
      </c>
      <c r="T1695" s="8" t="n">
        <v>0.02733038785607311</v>
      </c>
      <c r="U1695" s="8" t="n">
        <v>0.007728734953998728</v>
      </c>
      <c r="V1695" s="6" t="inlineStr">
        <is>
          <t>not selected</t>
        </is>
      </c>
    </row>
    <row r="1696">
      <c r="A1696" s="6" t="inlineStr">
        <is>
          <t>DJ30</t>
        </is>
      </c>
      <c r="B1696" s="6" t="inlineStr">
        <is>
          <t>2024-01-19</t>
        </is>
      </c>
      <c r="C1696" s="6" t="inlineStr">
        <is>
          <t>DIA</t>
        </is>
      </c>
      <c r="D1696" s="6" t="inlineStr">
        <is>
          <t>MSFT</t>
        </is>
      </c>
      <c r="E1696" s="6" t="inlineStr">
        <is>
          <t>MSFT</t>
        </is>
      </c>
      <c r="F1696" s="6" t="inlineStr">
        <is>
          <t>-</t>
        </is>
      </c>
      <c r="G1696" s="7" t="n">
        <v>391.0716552734375</v>
      </c>
      <c r="H1696" s="6">
        <f>P1665</f>
        <v/>
      </c>
      <c r="I1696" s="9">
        <f>Q1665</f>
        <v/>
      </c>
      <c r="J1696" s="7">
        <f>I1696*G1696</f>
        <v/>
      </c>
      <c r="K1696" s="8">
        <f>IF($J$1706=0,0,J1696/$J$1706)</f>
        <v/>
      </c>
      <c r="L1696" s="6" t="inlineStr">
        <is>
          <t>WATCHLIST</t>
        </is>
      </c>
      <c r="M1696" s="8" t="n">
        <v>0</v>
      </c>
      <c r="N1696" s="7">
        <f>M1696*$J$1706-J1696</f>
        <v/>
      </c>
      <c r="O1696" s="9">
        <f>IF(G1696=0,0,N1696/G1696)</f>
        <v/>
      </c>
      <c r="P1696" s="6">
        <f>IF(M1696&gt;0,D1696,"")</f>
        <v/>
      </c>
      <c r="Q1696" s="9">
        <f>I1696+O1696</f>
        <v/>
      </c>
      <c r="R1696" s="7">
        <f>Q1696*G1696</f>
        <v/>
      </c>
      <c r="S1696" s="8">
        <f>IF($R$1706=0,0,R1696/$R$1706)</f>
        <v/>
      </c>
      <c r="T1696" s="8" t="n">
        <v>0.02733038785607311</v>
      </c>
      <c r="U1696" s="8" t="n">
        <v>0.007728734953998728</v>
      </c>
      <c r="V1696" s="6" t="inlineStr">
        <is>
          <t>not selected</t>
        </is>
      </c>
    </row>
    <row r="1697">
      <c r="A1697" s="6" t="inlineStr">
        <is>
          <t>DJ30</t>
        </is>
      </c>
      <c r="B1697" s="6" t="inlineStr">
        <is>
          <t>2024-01-19</t>
        </is>
      </c>
      <c r="C1697" s="6" t="inlineStr">
        <is>
          <t>DIA</t>
        </is>
      </c>
      <c r="D1697" s="6" t="inlineStr">
        <is>
          <t>NKE</t>
        </is>
      </c>
      <c r="E1697" s="6" t="inlineStr">
        <is>
          <t>NKE</t>
        </is>
      </c>
      <c r="F1697" s="6" t="inlineStr">
        <is>
          <t>-</t>
        </is>
      </c>
      <c r="G1697" s="7" t="n">
        <v>96.26087188720705</v>
      </c>
      <c r="H1697" s="6">
        <f>P1666</f>
        <v/>
      </c>
      <c r="I1697" s="9">
        <f>Q1666</f>
        <v/>
      </c>
      <c r="J1697" s="7">
        <f>I1697*G1697</f>
        <v/>
      </c>
      <c r="K1697" s="8">
        <f>IF($J$1706=0,0,J1697/$J$1706)</f>
        <v/>
      </c>
      <c r="L1697" s="6" t="inlineStr">
        <is>
          <t>REJECTED</t>
        </is>
      </c>
      <c r="M1697" s="8" t="n">
        <v>0</v>
      </c>
      <c r="N1697" s="7">
        <f>M1697*$J$1706-J1697</f>
        <v/>
      </c>
      <c r="O1697" s="9">
        <f>IF(G1697=0,0,N1697/G1697)</f>
        <v/>
      </c>
      <c r="P1697" s="6">
        <f>IF(M1697&gt;0,D1697,"")</f>
        <v/>
      </c>
      <c r="Q1697" s="9">
        <f>I1697+O1697</f>
        <v/>
      </c>
      <c r="R1697" s="7">
        <f>Q1697*G1697</f>
        <v/>
      </c>
      <c r="S1697" s="8">
        <f>IF($R$1706=0,0,R1697/$R$1706)</f>
        <v/>
      </c>
      <c r="T1697" s="8" t="n">
        <v>0.02733038785607311</v>
      </c>
      <c r="U1697" s="8" t="n">
        <v>0.007728734953998728</v>
      </c>
      <c r="V1697" s="6" t="inlineStr">
        <is>
          <t>not selected</t>
        </is>
      </c>
    </row>
    <row r="1698">
      <c r="A1698" s="6" t="inlineStr">
        <is>
          <t>DJ30</t>
        </is>
      </c>
      <c r="B1698" s="6" t="inlineStr">
        <is>
          <t>2024-01-19</t>
        </is>
      </c>
      <c r="C1698" s="6" t="inlineStr">
        <is>
          <t>DIA</t>
        </is>
      </c>
      <c r="D1698" s="6" t="inlineStr">
        <is>
          <t>NVDA</t>
        </is>
      </c>
      <c r="E1698" s="6" t="inlineStr">
        <is>
          <t>NVDA</t>
        </is>
      </c>
      <c r="F1698" s="6" t="inlineStr">
        <is>
          <t>-</t>
        </is>
      </c>
      <c r="G1698" s="7" t="n">
        <v>59.38544464111328</v>
      </c>
      <c r="H1698" s="6">
        <f>P1667</f>
        <v/>
      </c>
      <c r="I1698" s="9">
        <f>Q1667</f>
        <v/>
      </c>
      <c r="J1698" s="7">
        <f>I1698*G1698</f>
        <v/>
      </c>
      <c r="K1698" s="8">
        <f>IF($J$1706=0,0,J1698/$J$1706)</f>
        <v/>
      </c>
      <c r="L1698" s="6" t="inlineStr">
        <is>
          <t>SELECTED</t>
        </is>
      </c>
      <c r="M1698" s="8" t="n">
        <v>0.2</v>
      </c>
      <c r="N1698" s="7">
        <f>M1698*$J$1706-J1698</f>
        <v/>
      </c>
      <c r="O1698" s="9">
        <f>IF(G1698=0,0,N1698/G1698)</f>
        <v/>
      </c>
      <c r="P1698" s="6">
        <f>IF(M1698&gt;0,D1698,"")</f>
        <v/>
      </c>
      <c r="Q1698" s="9">
        <f>I1698+O1698</f>
        <v/>
      </c>
      <c r="R1698" s="7">
        <f>Q1698*G1698</f>
        <v/>
      </c>
      <c r="S1698" s="8">
        <f>IF($R$1706=0,0,R1698/$R$1706)</f>
        <v/>
      </c>
      <c r="T1698" s="8" t="n">
        <v>0.02733038785607311</v>
      </c>
      <c r="U1698" s="8" t="n">
        <v>0.007728734953998728</v>
      </c>
      <c r="V1698" s="6" t="inlineStr">
        <is>
          <t>remained in weekly selection</t>
        </is>
      </c>
    </row>
    <row r="1699">
      <c r="A1699" s="6" t="inlineStr">
        <is>
          <t>DJ30</t>
        </is>
      </c>
      <c r="B1699" s="6" t="inlineStr">
        <is>
          <t>2024-01-19</t>
        </is>
      </c>
      <c r="C1699" s="6" t="inlineStr">
        <is>
          <t>DIA</t>
        </is>
      </c>
      <c r="D1699" s="6" t="inlineStr">
        <is>
          <t>PG</t>
        </is>
      </c>
      <c r="E1699" s="6" t="inlineStr">
        <is>
          <t>PG</t>
        </is>
      </c>
      <c r="F1699" s="6" t="inlineStr">
        <is>
          <t>-</t>
        </is>
      </c>
      <c r="G1699" s="7" t="n">
        <v>139.1223449707031</v>
      </c>
      <c r="H1699" s="6">
        <f>P1668</f>
        <v/>
      </c>
      <c r="I1699" s="9">
        <f>Q1668</f>
        <v/>
      </c>
      <c r="J1699" s="7">
        <f>I1699*G1699</f>
        <v/>
      </c>
      <c r="K1699" s="8">
        <f>IF($J$1706=0,0,J1699/$J$1706)</f>
        <v/>
      </c>
      <c r="L1699" s="6" t="inlineStr">
        <is>
          <t>REJECTED</t>
        </is>
      </c>
      <c r="M1699" s="8" t="n">
        <v>0</v>
      </c>
      <c r="N1699" s="7">
        <f>M1699*$J$1706-J1699</f>
        <v/>
      </c>
      <c r="O1699" s="9">
        <f>IF(G1699=0,0,N1699/G1699)</f>
        <v/>
      </c>
      <c r="P1699" s="6">
        <f>IF(M1699&gt;0,D1699,"")</f>
        <v/>
      </c>
      <c r="Q1699" s="9">
        <f>I1699+O1699</f>
        <v/>
      </c>
      <c r="R1699" s="7">
        <f>Q1699*G1699</f>
        <v/>
      </c>
      <c r="S1699" s="8">
        <f>IF($R$1706=0,0,R1699/$R$1706)</f>
        <v/>
      </c>
      <c r="T1699" s="8" t="n">
        <v>0.02733038785607311</v>
      </c>
      <c r="U1699" s="8" t="n">
        <v>0.007728734953998728</v>
      </c>
      <c r="V1699" s="6" t="inlineStr">
        <is>
          <t>not selected</t>
        </is>
      </c>
    </row>
    <row r="1700">
      <c r="A1700" s="6" t="inlineStr">
        <is>
          <t>DJ30</t>
        </is>
      </c>
      <c r="B1700" s="6" t="inlineStr">
        <is>
          <t>2024-01-19</t>
        </is>
      </c>
      <c r="C1700" s="6" t="inlineStr">
        <is>
          <t>DIA</t>
        </is>
      </c>
      <c r="D1700" s="6" t="inlineStr">
        <is>
          <t>SHW</t>
        </is>
      </c>
      <c r="E1700" s="6" t="inlineStr">
        <is>
          <t>SHW</t>
        </is>
      </c>
      <c r="F1700" s="6" t="inlineStr">
        <is>
          <t>-</t>
        </is>
      </c>
      <c r="G1700" s="7" t="n">
        <v>297.4009704589844</v>
      </c>
      <c r="H1700" s="6">
        <f>P1669</f>
        <v/>
      </c>
      <c r="I1700" s="9">
        <f>Q1669</f>
        <v/>
      </c>
      <c r="J1700" s="7">
        <f>I1700*G1700</f>
        <v/>
      </c>
      <c r="K1700" s="8">
        <f>IF($J$1706=0,0,J1700/$J$1706)</f>
        <v/>
      </c>
      <c r="L1700" s="6" t="inlineStr">
        <is>
          <t>WATCHLIST</t>
        </is>
      </c>
      <c r="M1700" s="8" t="n">
        <v>0</v>
      </c>
      <c r="N1700" s="7">
        <f>M1700*$J$1706-J1700</f>
        <v/>
      </c>
      <c r="O1700" s="9">
        <f>IF(G1700=0,0,N1700/G1700)</f>
        <v/>
      </c>
      <c r="P1700" s="6">
        <f>IF(M1700&gt;0,D1700,"")</f>
        <v/>
      </c>
      <c r="Q1700" s="9">
        <f>I1700+O1700</f>
        <v/>
      </c>
      <c r="R1700" s="7">
        <f>Q1700*G1700</f>
        <v/>
      </c>
      <c r="S1700" s="8">
        <f>IF($R$1706=0,0,R1700/$R$1706)</f>
        <v/>
      </c>
      <c r="T1700" s="8" t="n">
        <v>0.02733038785607311</v>
      </c>
      <c r="U1700" s="8" t="n">
        <v>0.007728734953998728</v>
      </c>
      <c r="V1700" s="6" t="inlineStr">
        <is>
          <t>not selected</t>
        </is>
      </c>
    </row>
    <row r="1701">
      <c r="A1701" s="6" t="inlineStr">
        <is>
          <t>DJ30</t>
        </is>
      </c>
      <c r="B1701" s="6" t="inlineStr">
        <is>
          <t>2024-01-19</t>
        </is>
      </c>
      <c r="C1701" s="6" t="inlineStr">
        <is>
          <t>DIA</t>
        </is>
      </c>
      <c r="D1701" s="6" t="inlineStr">
        <is>
          <t>TRV</t>
        </is>
      </c>
      <c r="E1701" s="6" t="inlineStr">
        <is>
          <t>TRV</t>
        </is>
      </c>
      <c r="F1701" s="6" t="inlineStr">
        <is>
          <t>-</t>
        </is>
      </c>
      <c r="G1701" s="7" t="n">
        <v>202.9618835449219</v>
      </c>
      <c r="H1701" s="6">
        <f>P1670</f>
        <v/>
      </c>
      <c r="I1701" s="9">
        <f>Q1670</f>
        <v/>
      </c>
      <c r="J1701" s="7">
        <f>I1701*G1701</f>
        <v/>
      </c>
      <c r="K1701" s="8">
        <f>IF($J$1706=0,0,J1701/$J$1706)</f>
        <v/>
      </c>
      <c r="L1701" s="6" t="inlineStr">
        <is>
          <t>REJECTED</t>
        </is>
      </c>
      <c r="M1701" s="8" t="n">
        <v>0</v>
      </c>
      <c r="N1701" s="7">
        <f>M1701*$J$1706-J1701</f>
        <v/>
      </c>
      <c r="O1701" s="9">
        <f>IF(G1701=0,0,N1701/G1701)</f>
        <v/>
      </c>
      <c r="P1701" s="6">
        <f>IF(M1701&gt;0,D1701,"")</f>
        <v/>
      </c>
      <c r="Q1701" s="9">
        <f>I1701+O1701</f>
        <v/>
      </c>
      <c r="R1701" s="7">
        <f>Q1701*G1701</f>
        <v/>
      </c>
      <c r="S1701" s="8">
        <f>IF($R$1706=0,0,R1701/$R$1706)</f>
        <v/>
      </c>
      <c r="T1701" s="8" t="n">
        <v>0.02733038785607311</v>
      </c>
      <c r="U1701" s="8" t="n">
        <v>0.007728734953998728</v>
      </c>
      <c r="V1701" s="6" t="inlineStr">
        <is>
          <t>not selected</t>
        </is>
      </c>
    </row>
    <row r="1702">
      <c r="A1702" s="6" t="inlineStr">
        <is>
          <t>DJ30</t>
        </is>
      </c>
      <c r="B1702" s="6" t="inlineStr">
        <is>
          <t>2024-01-19</t>
        </is>
      </c>
      <c r="C1702" s="6" t="inlineStr">
        <is>
          <t>DIA</t>
        </is>
      </c>
      <c r="D1702" s="6" t="inlineStr">
        <is>
          <t>UNH</t>
        </is>
      </c>
      <c r="E1702" s="6" t="inlineStr">
        <is>
          <t>UNH</t>
        </is>
      </c>
      <c r="F1702" s="6" t="inlineStr">
        <is>
          <t>-</t>
        </is>
      </c>
      <c r="G1702" s="7" t="n">
        <v>477.4214477539063</v>
      </c>
      <c r="H1702" s="6">
        <f>P1671</f>
        <v/>
      </c>
      <c r="I1702" s="9">
        <f>Q1671</f>
        <v/>
      </c>
      <c r="J1702" s="7">
        <f>I1702*G1702</f>
        <v/>
      </c>
      <c r="K1702" s="8">
        <f>IF($J$1706=0,0,J1702/$J$1706)</f>
        <v/>
      </c>
      <c r="L1702" s="6" t="inlineStr">
        <is>
          <t>WATCHLIST</t>
        </is>
      </c>
      <c r="M1702" s="8" t="n">
        <v>0</v>
      </c>
      <c r="N1702" s="7">
        <f>M1702*$J$1706-J1702</f>
        <v/>
      </c>
      <c r="O1702" s="9">
        <f>IF(G1702=0,0,N1702/G1702)</f>
        <v/>
      </c>
      <c r="P1702" s="6">
        <f>IF(M1702&gt;0,D1702,"")</f>
        <v/>
      </c>
      <c r="Q1702" s="9">
        <f>I1702+O1702</f>
        <v/>
      </c>
      <c r="R1702" s="7">
        <f>Q1702*G1702</f>
        <v/>
      </c>
      <c r="S1702" s="8">
        <f>IF($R$1706=0,0,R1702/$R$1706)</f>
        <v/>
      </c>
      <c r="T1702" s="8" t="n">
        <v>0.02733038785607311</v>
      </c>
      <c r="U1702" s="8" t="n">
        <v>0.007728734953998728</v>
      </c>
      <c r="V1702" s="6" t="inlineStr">
        <is>
          <t>not selected</t>
        </is>
      </c>
    </row>
    <row r="1703">
      <c r="A1703" s="6" t="inlineStr">
        <is>
          <t>DJ30</t>
        </is>
      </c>
      <c r="B1703" s="6" t="inlineStr">
        <is>
          <t>2024-01-19</t>
        </is>
      </c>
      <c r="C1703" s="6" t="inlineStr">
        <is>
          <t>DIA</t>
        </is>
      </c>
      <c r="D1703" s="6" t="inlineStr">
        <is>
          <t>V</t>
        </is>
      </c>
      <c r="E1703" s="6" t="inlineStr">
        <is>
          <t>V</t>
        </is>
      </c>
      <c r="F1703" s="6" t="inlineStr">
        <is>
          <t>-</t>
        </is>
      </c>
      <c r="G1703" s="7" t="n">
        <v>265.8485412597656</v>
      </c>
      <c r="H1703" s="6">
        <f>P1672</f>
        <v/>
      </c>
      <c r="I1703" s="9">
        <f>Q1672</f>
        <v/>
      </c>
      <c r="J1703" s="7">
        <f>I1703*G1703</f>
        <v/>
      </c>
      <c r="K1703" s="8">
        <f>IF($J$1706=0,0,J1703/$J$1706)</f>
        <v/>
      </c>
      <c r="L1703" s="6" t="inlineStr">
        <is>
          <t>WATCHLIST</t>
        </is>
      </c>
      <c r="M1703" s="8" t="n">
        <v>0</v>
      </c>
      <c r="N1703" s="7">
        <f>M1703*$J$1706-J1703</f>
        <v/>
      </c>
      <c r="O1703" s="9">
        <f>IF(G1703=0,0,N1703/G1703)</f>
        <v/>
      </c>
      <c r="P1703" s="6">
        <f>IF(M1703&gt;0,D1703,"")</f>
        <v/>
      </c>
      <c r="Q1703" s="9">
        <f>I1703+O1703</f>
        <v/>
      </c>
      <c r="R1703" s="7">
        <f>Q1703*G1703</f>
        <v/>
      </c>
      <c r="S1703" s="8">
        <f>IF($R$1706=0,0,R1703/$R$1706)</f>
        <v/>
      </c>
      <c r="T1703" s="8" t="n">
        <v>0.02733038785607311</v>
      </c>
      <c r="U1703" s="8" t="n">
        <v>0.007728734953998728</v>
      </c>
      <c r="V1703" s="6" t="inlineStr">
        <is>
          <t>not selected</t>
        </is>
      </c>
    </row>
    <row r="1704">
      <c r="A1704" s="6" t="inlineStr">
        <is>
          <t>DJ30</t>
        </is>
      </c>
      <c r="B1704" s="6" t="inlineStr">
        <is>
          <t>2024-01-19</t>
        </is>
      </c>
      <c r="C1704" s="6" t="inlineStr">
        <is>
          <t>DIA</t>
        </is>
      </c>
      <c r="D1704" s="6" t="inlineStr">
        <is>
          <t>VZ</t>
        </is>
      </c>
      <c r="E1704" s="6" t="inlineStr">
        <is>
          <t>VZ</t>
        </is>
      </c>
      <c r="F1704" s="6" t="inlineStr">
        <is>
          <t>-</t>
        </is>
      </c>
      <c r="G1704" s="7" t="n">
        <v>33.97036743164062</v>
      </c>
      <c r="H1704" s="6">
        <f>P1673</f>
        <v/>
      </c>
      <c r="I1704" s="9">
        <f>Q1673</f>
        <v/>
      </c>
      <c r="J1704" s="7">
        <f>I1704*G1704</f>
        <v/>
      </c>
      <c r="K1704" s="8">
        <f>IF($J$1706=0,0,J1704/$J$1706)</f>
        <v/>
      </c>
      <c r="L1704" s="6" t="inlineStr">
        <is>
          <t>REJECTED</t>
        </is>
      </c>
      <c r="M1704" s="8" t="n">
        <v>0</v>
      </c>
      <c r="N1704" s="7">
        <f>M1704*$J$1706-J1704</f>
        <v/>
      </c>
      <c r="O1704" s="9">
        <f>IF(G1704=0,0,N1704/G1704)</f>
        <v/>
      </c>
      <c r="P1704" s="6">
        <f>IF(M1704&gt;0,D1704,"")</f>
        <v/>
      </c>
      <c r="Q1704" s="9">
        <f>I1704+O1704</f>
        <v/>
      </c>
      <c r="R1704" s="7">
        <f>Q1704*G1704</f>
        <v/>
      </c>
      <c r="S1704" s="8">
        <f>IF($R$1706=0,0,R1704/$R$1706)</f>
        <v/>
      </c>
      <c r="T1704" s="8" t="n">
        <v>0.02733038785607311</v>
      </c>
      <c r="U1704" s="8" t="n">
        <v>0.007728734953998728</v>
      </c>
      <c r="V1704" s="6" t="inlineStr">
        <is>
          <t>not selected</t>
        </is>
      </c>
    </row>
    <row r="1705">
      <c r="A1705" s="6" t="inlineStr">
        <is>
          <t>DJ30</t>
        </is>
      </c>
      <c r="B1705" s="6" t="inlineStr">
        <is>
          <t>2024-01-19</t>
        </is>
      </c>
      <c r="C1705" s="6" t="inlineStr">
        <is>
          <t>DIA</t>
        </is>
      </c>
      <c r="D1705" s="6" t="inlineStr">
        <is>
          <t>WMT</t>
        </is>
      </c>
      <c r="E1705" s="6" t="inlineStr">
        <is>
          <t>WMT</t>
        </is>
      </c>
      <c r="F1705" s="6" t="inlineStr">
        <is>
          <t>-</t>
        </is>
      </c>
      <c r="G1705" s="7" t="n">
        <v>52.76925659179688</v>
      </c>
      <c r="H1705" s="6">
        <f>P1674</f>
        <v/>
      </c>
      <c r="I1705" s="9">
        <f>Q1674</f>
        <v/>
      </c>
      <c r="J1705" s="7">
        <f>I1705*G1705</f>
        <v/>
      </c>
      <c r="K1705" s="8">
        <f>IF($J$1706=0,0,J1705/$J$1706)</f>
        <v/>
      </c>
      <c r="L1705" s="6" t="inlineStr">
        <is>
          <t>WATCHLIST</t>
        </is>
      </c>
      <c r="M1705" s="8" t="n">
        <v>0</v>
      </c>
      <c r="N1705" s="7">
        <f>M1705*$J$1706-J1705</f>
        <v/>
      </c>
      <c r="O1705" s="9">
        <f>IF(G1705=0,0,N1705/G1705)</f>
        <v/>
      </c>
      <c r="P1705" s="6">
        <f>IF(M1705&gt;0,D1705,"")</f>
        <v/>
      </c>
      <c r="Q1705" s="9">
        <f>I1705+O1705</f>
        <v/>
      </c>
      <c r="R1705" s="7">
        <f>Q1705*G1705</f>
        <v/>
      </c>
      <c r="S1705" s="8">
        <f>IF($R$1706=0,0,R1705/$R$1706)</f>
        <v/>
      </c>
      <c r="T1705" s="8" t="n">
        <v>0.02733038785607311</v>
      </c>
      <c r="U1705" s="8" t="n">
        <v>0.007728734953998728</v>
      </c>
      <c r="V1705" s="6" t="inlineStr">
        <is>
          <t>not selected</t>
        </is>
      </c>
    </row>
    <row r="1706">
      <c r="A1706" s="10" t="inlineStr">
        <is>
          <t>DJ30</t>
        </is>
      </c>
      <c r="B1706" s="10" t="inlineStr">
        <is>
          <t>2024-01-19</t>
        </is>
      </c>
      <c r="C1706" s="10" t="inlineStr">
        <is>
          <t>DIA</t>
        </is>
      </c>
      <c r="D1706" s="10" t="inlineStr">
        <is>
          <t>Tot Portfolio</t>
        </is>
      </c>
      <c r="E1706" s="10" t="inlineStr"/>
      <c r="F1706" s="10" t="inlineStr"/>
      <c r="G1706" s="11" t="inlineStr"/>
      <c r="H1706" s="10" t="inlineStr"/>
      <c r="I1706" s="12" t="inlineStr"/>
      <c r="J1706" s="11">
        <f>SUM(J1676:J1705)</f>
        <v/>
      </c>
      <c r="K1706" s="13">
        <f>SUM(K1676:K1705)</f>
        <v/>
      </c>
      <c r="L1706" s="10" t="inlineStr">
        <is>
          <t>TOTAL</t>
        </is>
      </c>
      <c r="M1706" s="13">
        <f>SUM(M1676:M1705)</f>
        <v/>
      </c>
      <c r="N1706" s="11">
        <f>SUM(N1676:N1705)</f>
        <v/>
      </c>
      <c r="O1706" s="12">
        <f>SUM(O1676:O1705)</f>
        <v/>
      </c>
      <c r="P1706" s="10" t="inlineStr"/>
      <c r="Q1706" s="12" t="inlineStr"/>
      <c r="R1706" s="11">
        <f>SUM(R1676:R1705)</f>
        <v/>
      </c>
      <c r="S1706" s="13">
        <f>SUM(S1676:S1705)</f>
        <v/>
      </c>
      <c r="T1706" s="13" t="n">
        <v>0.02733038785607311</v>
      </c>
      <c r="U1706" s="13" t="n">
        <v>0.007728734953998728</v>
      </c>
      <c r="V1706" s="10" t="inlineStr"/>
    </row>
    <row r="1707">
      <c r="A1707" s="6" t="inlineStr">
        <is>
          <t>DJ30</t>
        </is>
      </c>
      <c r="B1707" s="6" t="inlineStr">
        <is>
          <t>2024-01-26</t>
        </is>
      </c>
      <c r="C1707" s="6" t="inlineStr">
        <is>
          <t>DIA</t>
        </is>
      </c>
      <c r="D1707" s="6" t="inlineStr">
        <is>
          <t>AAPL</t>
        </is>
      </c>
      <c r="E1707" s="6" t="inlineStr">
        <is>
          <t>AAPL</t>
        </is>
      </c>
      <c r="F1707" s="6" t="inlineStr">
        <is>
          <t>-</t>
        </is>
      </c>
      <c r="G1707" s="7" t="n">
        <v>190.2662811279297</v>
      </c>
      <c r="H1707" s="6">
        <f>P1676</f>
        <v/>
      </c>
      <c r="I1707" s="9">
        <f>Q1676</f>
        <v/>
      </c>
      <c r="J1707" s="7">
        <f>I1707*G1707</f>
        <v/>
      </c>
      <c r="K1707" s="8">
        <f>IF($J$1737=0,0,J1707/$J$1737)</f>
        <v/>
      </c>
      <c r="L1707" s="6" t="inlineStr">
        <is>
          <t>WATCHLIST</t>
        </is>
      </c>
      <c r="M1707" s="8" t="n">
        <v>0</v>
      </c>
      <c r="N1707" s="7">
        <f>M1707*$J$1737-J1707</f>
        <v/>
      </c>
      <c r="O1707" s="9">
        <f>IF(G1707=0,0,N1707/G1707)</f>
        <v/>
      </c>
      <c r="P1707" s="6">
        <f>IF(M1707&gt;0,D1707,"")</f>
        <v/>
      </c>
      <c r="Q1707" s="9">
        <f>I1707+O1707</f>
        <v/>
      </c>
      <c r="R1707" s="7">
        <f>Q1707*G1707</f>
        <v/>
      </c>
      <c r="S1707" s="8">
        <f>IF($R$1737=0,0,R1707/$R$1737)</f>
        <v/>
      </c>
      <c r="T1707" s="8" t="n">
        <v>0.01386109885315023</v>
      </c>
      <c r="U1707" s="8" t="n">
        <v>0.006576852624210483</v>
      </c>
      <c r="V1707" s="6" t="inlineStr">
        <is>
          <t>not selected</t>
        </is>
      </c>
    </row>
    <row r="1708">
      <c r="A1708" s="6" t="inlineStr">
        <is>
          <t>DJ30</t>
        </is>
      </c>
      <c r="B1708" s="6" t="inlineStr">
        <is>
          <t>2024-01-26</t>
        </is>
      </c>
      <c r="C1708" s="6" t="inlineStr">
        <is>
          <t>DIA</t>
        </is>
      </c>
      <c r="D1708" s="6" t="inlineStr">
        <is>
          <t>AMGN</t>
        </is>
      </c>
      <c r="E1708" s="6" t="inlineStr">
        <is>
          <t>AMGN</t>
        </is>
      </c>
      <c r="F1708" s="6" t="inlineStr">
        <is>
          <t>-</t>
        </is>
      </c>
      <c r="G1708" s="7" t="n">
        <v>288.887451171875</v>
      </c>
      <c r="H1708" s="6">
        <f>P1677</f>
        <v/>
      </c>
      <c r="I1708" s="9">
        <f>Q1677</f>
        <v/>
      </c>
      <c r="J1708" s="7">
        <f>I1708*G1708</f>
        <v/>
      </c>
      <c r="K1708" s="8">
        <f>IF($J$1737=0,0,J1708/$J$1737)</f>
        <v/>
      </c>
      <c r="L1708" s="6" t="inlineStr">
        <is>
          <t>SELECTED</t>
        </is>
      </c>
      <c r="M1708" s="8" t="n">
        <v>0.2</v>
      </c>
      <c r="N1708" s="7">
        <f>M1708*$J$1737-J1708</f>
        <v/>
      </c>
      <c r="O1708" s="9">
        <f>IF(G1708=0,0,N1708/G1708)</f>
        <v/>
      </c>
      <c r="P1708" s="6">
        <f>IF(M1708&gt;0,D1708,"")</f>
        <v/>
      </c>
      <c r="Q1708" s="9">
        <f>I1708+O1708</f>
        <v/>
      </c>
      <c r="R1708" s="7">
        <f>Q1708*G1708</f>
        <v/>
      </c>
      <c r="S1708" s="8">
        <f>IF($R$1737=0,0,R1708/$R$1737)</f>
        <v/>
      </c>
      <c r="T1708" s="8" t="n">
        <v>0.01386109885315023</v>
      </c>
      <c r="U1708" s="8" t="n">
        <v>0.006576852624210483</v>
      </c>
      <c r="V1708" s="6" t="inlineStr">
        <is>
          <t>remained in weekly selection</t>
        </is>
      </c>
    </row>
    <row r="1709">
      <c r="A1709" s="6" t="inlineStr">
        <is>
          <t>DJ30</t>
        </is>
      </c>
      <c r="B1709" s="6" t="inlineStr">
        <is>
          <t>2024-01-26</t>
        </is>
      </c>
      <c r="C1709" s="6" t="inlineStr">
        <is>
          <t>DIA</t>
        </is>
      </c>
      <c r="D1709" s="6" t="inlineStr">
        <is>
          <t>AMZN</t>
        </is>
      </c>
      <c r="E1709" s="6" t="inlineStr">
        <is>
          <t>AMZN</t>
        </is>
      </c>
      <c r="F1709" s="6" t="inlineStr">
        <is>
          <t>-</t>
        </is>
      </c>
      <c r="G1709" s="7" t="n">
        <v>159.1199951171875</v>
      </c>
      <c r="H1709" s="6">
        <f>P1678</f>
        <v/>
      </c>
      <c r="I1709" s="9">
        <f>Q1678</f>
        <v/>
      </c>
      <c r="J1709" s="7">
        <f>I1709*G1709</f>
        <v/>
      </c>
      <c r="K1709" s="8">
        <f>IF($J$1737=0,0,J1709/$J$1737)</f>
        <v/>
      </c>
      <c r="L1709" s="6" t="inlineStr">
        <is>
          <t>WATCHLIST</t>
        </is>
      </c>
      <c r="M1709" s="8" t="n">
        <v>0</v>
      </c>
      <c r="N1709" s="7">
        <f>M1709*$J$1737-J1709</f>
        <v/>
      </c>
      <c r="O1709" s="9">
        <f>IF(G1709=0,0,N1709/G1709)</f>
        <v/>
      </c>
      <c r="P1709" s="6">
        <f>IF(M1709&gt;0,D1709,"")</f>
        <v/>
      </c>
      <c r="Q1709" s="9">
        <f>I1709+O1709</f>
        <v/>
      </c>
      <c r="R1709" s="7">
        <f>Q1709*G1709</f>
        <v/>
      </c>
      <c r="S1709" s="8">
        <f>IF($R$1737=0,0,R1709/$R$1737)</f>
        <v/>
      </c>
      <c r="T1709" s="8" t="n">
        <v>0.01386109885315023</v>
      </c>
      <c r="U1709" s="8" t="n">
        <v>0.006576852624210483</v>
      </c>
      <c r="V1709" s="6" t="inlineStr">
        <is>
          <t>removed from weekly selection</t>
        </is>
      </c>
    </row>
    <row r="1710">
      <c r="A1710" s="6" t="inlineStr">
        <is>
          <t>DJ30</t>
        </is>
      </c>
      <c r="B1710" s="6" t="inlineStr">
        <is>
          <t>2024-01-26</t>
        </is>
      </c>
      <c r="C1710" s="6" t="inlineStr">
        <is>
          <t>DIA</t>
        </is>
      </c>
      <c r="D1710" s="6" t="inlineStr">
        <is>
          <t>AXP</t>
        </is>
      </c>
      <c r="E1710" s="6" t="inlineStr">
        <is>
          <t>AXP</t>
        </is>
      </c>
      <c r="F1710" s="6" t="inlineStr">
        <is>
          <t>-</t>
        </is>
      </c>
      <c r="G1710" s="7" t="n">
        <v>196.5023498535156</v>
      </c>
      <c r="H1710" s="6">
        <f>P1679</f>
        <v/>
      </c>
      <c r="I1710" s="9">
        <f>Q1679</f>
        <v/>
      </c>
      <c r="J1710" s="7">
        <f>I1710*G1710</f>
        <v/>
      </c>
      <c r="K1710" s="8">
        <f>IF($J$1737=0,0,J1710/$J$1737)</f>
        <v/>
      </c>
      <c r="L1710" s="6" t="inlineStr">
        <is>
          <t>REJECTED</t>
        </is>
      </c>
      <c r="M1710" s="8" t="n">
        <v>0</v>
      </c>
      <c r="N1710" s="7">
        <f>M1710*$J$1737-J1710</f>
        <v/>
      </c>
      <c r="O1710" s="9">
        <f>IF(G1710=0,0,N1710/G1710)</f>
        <v/>
      </c>
      <c r="P1710" s="6">
        <f>IF(M1710&gt;0,D1710,"")</f>
        <v/>
      </c>
      <c r="Q1710" s="9">
        <f>I1710+O1710</f>
        <v/>
      </c>
      <c r="R1710" s="7">
        <f>Q1710*G1710</f>
        <v/>
      </c>
      <c r="S1710" s="8">
        <f>IF($R$1737=0,0,R1710/$R$1737)</f>
        <v/>
      </c>
      <c r="T1710" s="8" t="n">
        <v>0.01386109885315023</v>
      </c>
      <c r="U1710" s="8" t="n">
        <v>0.006576852624210483</v>
      </c>
      <c r="V1710" s="6" t="inlineStr">
        <is>
          <t>not selected</t>
        </is>
      </c>
    </row>
    <row r="1711">
      <c r="A1711" s="6" t="inlineStr">
        <is>
          <t>DJ30</t>
        </is>
      </c>
      <c r="B1711" s="6" t="inlineStr">
        <is>
          <t>2024-01-26</t>
        </is>
      </c>
      <c r="C1711" s="6" t="inlineStr">
        <is>
          <t>DIA</t>
        </is>
      </c>
      <c r="D1711" s="6" t="inlineStr">
        <is>
          <t>BA</t>
        </is>
      </c>
      <c r="E1711" s="6" t="inlineStr">
        <is>
          <t>BA</t>
        </is>
      </c>
      <c r="F1711" s="6" t="inlineStr">
        <is>
          <t>-</t>
        </is>
      </c>
      <c r="G1711" s="7" t="n">
        <v>205.4700012207031</v>
      </c>
      <c r="H1711" s="6">
        <f>P1680</f>
        <v/>
      </c>
      <c r="I1711" s="9">
        <f>Q1680</f>
        <v/>
      </c>
      <c r="J1711" s="7">
        <f>I1711*G1711</f>
        <v/>
      </c>
      <c r="K1711" s="8">
        <f>IF($J$1737=0,0,J1711/$J$1737)</f>
        <v/>
      </c>
      <c r="L1711" s="6" t="inlineStr">
        <is>
          <t>REJECTED</t>
        </is>
      </c>
      <c r="M1711" s="8" t="n">
        <v>0</v>
      </c>
      <c r="N1711" s="7">
        <f>M1711*$J$1737-J1711</f>
        <v/>
      </c>
      <c r="O1711" s="9">
        <f>IF(G1711=0,0,N1711/G1711)</f>
        <v/>
      </c>
      <c r="P1711" s="6">
        <f>IF(M1711&gt;0,D1711,"")</f>
        <v/>
      </c>
      <c r="Q1711" s="9">
        <f>I1711+O1711</f>
        <v/>
      </c>
      <c r="R1711" s="7">
        <f>Q1711*G1711</f>
        <v/>
      </c>
      <c r="S1711" s="8">
        <f>IF($R$1737=0,0,R1711/$R$1737)</f>
        <v/>
      </c>
      <c r="T1711" s="8" t="n">
        <v>0.01386109885315023</v>
      </c>
      <c r="U1711" s="8" t="n">
        <v>0.006576852624210483</v>
      </c>
      <c r="V1711" s="6" t="inlineStr">
        <is>
          <t>not selected</t>
        </is>
      </c>
    </row>
    <row r="1712">
      <c r="A1712" s="6" t="inlineStr">
        <is>
          <t>DJ30</t>
        </is>
      </c>
      <c r="B1712" s="6" t="inlineStr">
        <is>
          <t>2024-01-26</t>
        </is>
      </c>
      <c r="C1712" s="6" t="inlineStr">
        <is>
          <t>DIA</t>
        </is>
      </c>
      <c r="D1712" s="6" t="inlineStr">
        <is>
          <t>CAT</t>
        </is>
      </c>
      <c r="E1712" s="6" t="inlineStr">
        <is>
          <t>CAT</t>
        </is>
      </c>
      <c r="F1712" s="6" t="inlineStr">
        <is>
          <t>-</t>
        </is>
      </c>
      <c r="G1712" s="7" t="n">
        <v>290.4304504394531</v>
      </c>
      <c r="H1712" s="6">
        <f>P1681</f>
        <v/>
      </c>
      <c r="I1712" s="9">
        <f>Q1681</f>
        <v/>
      </c>
      <c r="J1712" s="7">
        <f>I1712*G1712</f>
        <v/>
      </c>
      <c r="K1712" s="8">
        <f>IF($J$1737=0,0,J1712/$J$1737)</f>
        <v/>
      </c>
      <c r="L1712" s="6" t="inlineStr">
        <is>
          <t>WATCHLIST</t>
        </is>
      </c>
      <c r="M1712" s="8" t="n">
        <v>0</v>
      </c>
      <c r="N1712" s="7">
        <f>M1712*$J$1737-J1712</f>
        <v/>
      </c>
      <c r="O1712" s="9">
        <f>IF(G1712=0,0,N1712/G1712)</f>
        <v/>
      </c>
      <c r="P1712" s="6">
        <f>IF(M1712&gt;0,D1712,"")</f>
        <v/>
      </c>
      <c r="Q1712" s="9">
        <f>I1712+O1712</f>
        <v/>
      </c>
      <c r="R1712" s="7">
        <f>Q1712*G1712</f>
        <v/>
      </c>
      <c r="S1712" s="8">
        <f>IF($R$1737=0,0,R1712/$R$1737)</f>
        <v/>
      </c>
      <c r="T1712" s="8" t="n">
        <v>0.01386109885315023</v>
      </c>
      <c r="U1712" s="8" t="n">
        <v>0.006576852624210483</v>
      </c>
      <c r="V1712" s="6" t="inlineStr">
        <is>
          <t>not selected</t>
        </is>
      </c>
    </row>
    <row r="1713">
      <c r="A1713" s="6" t="inlineStr">
        <is>
          <t>DJ30</t>
        </is>
      </c>
      <c r="B1713" s="6" t="inlineStr">
        <is>
          <t>2024-01-26</t>
        </is>
      </c>
      <c r="C1713" s="6" t="inlineStr">
        <is>
          <t>DIA</t>
        </is>
      </c>
      <c r="D1713" s="6" t="inlineStr">
        <is>
          <t>CRM</t>
        </is>
      </c>
      <c r="E1713" s="6" t="inlineStr">
        <is>
          <t>CRM</t>
        </is>
      </c>
      <c r="F1713" s="6" t="inlineStr">
        <is>
          <t>-</t>
        </is>
      </c>
      <c r="G1713" s="7" t="n">
        <v>275.1792907714844</v>
      </c>
      <c r="H1713" s="6">
        <f>P1682</f>
        <v/>
      </c>
      <c r="I1713" s="9">
        <f>Q1682</f>
        <v/>
      </c>
      <c r="J1713" s="7">
        <f>I1713*G1713</f>
        <v/>
      </c>
      <c r="K1713" s="8">
        <f>IF($J$1737=0,0,J1713/$J$1737)</f>
        <v/>
      </c>
      <c r="L1713" s="6" t="inlineStr">
        <is>
          <t>SELECTED</t>
        </is>
      </c>
      <c r="M1713" s="8" t="n">
        <v>0.2</v>
      </c>
      <c r="N1713" s="7">
        <f>M1713*$J$1737-J1713</f>
        <v/>
      </c>
      <c r="O1713" s="9">
        <f>IF(G1713=0,0,N1713/G1713)</f>
        <v/>
      </c>
      <c r="P1713" s="6">
        <f>IF(M1713&gt;0,D1713,"")</f>
        <v/>
      </c>
      <c r="Q1713" s="9">
        <f>I1713+O1713</f>
        <v/>
      </c>
      <c r="R1713" s="7">
        <f>Q1713*G1713</f>
        <v/>
      </c>
      <c r="S1713" s="8">
        <f>IF($R$1737=0,0,R1713/$R$1737)</f>
        <v/>
      </c>
      <c r="T1713" s="8" t="n">
        <v>0.01386109885315023</v>
      </c>
      <c r="U1713" s="8" t="n">
        <v>0.006576852624210483</v>
      </c>
      <c r="V1713" s="6" t="inlineStr">
        <is>
          <t>remained in weekly selection</t>
        </is>
      </c>
    </row>
    <row r="1714">
      <c r="A1714" s="6" t="inlineStr">
        <is>
          <t>DJ30</t>
        </is>
      </c>
      <c r="B1714" s="6" t="inlineStr">
        <is>
          <t>2024-01-26</t>
        </is>
      </c>
      <c r="C1714" s="6" t="inlineStr">
        <is>
          <t>DIA</t>
        </is>
      </c>
      <c r="D1714" s="6" t="inlineStr">
        <is>
          <t>CSCO</t>
        </is>
      </c>
      <c r="E1714" s="6" t="inlineStr">
        <is>
          <t>CSCO</t>
        </is>
      </c>
      <c r="F1714" s="6" t="inlineStr">
        <is>
          <t>-</t>
        </is>
      </c>
      <c r="G1714" s="7" t="n">
        <v>49.07991409301758</v>
      </c>
      <c r="H1714" s="6">
        <f>P1683</f>
        <v/>
      </c>
      <c r="I1714" s="9">
        <f>Q1683</f>
        <v/>
      </c>
      <c r="J1714" s="7">
        <f>I1714*G1714</f>
        <v/>
      </c>
      <c r="K1714" s="8">
        <f>IF($J$1737=0,0,J1714/$J$1737)</f>
        <v/>
      </c>
      <c r="L1714" s="6" t="inlineStr">
        <is>
          <t>REJECTED</t>
        </is>
      </c>
      <c r="M1714" s="8" t="n">
        <v>0</v>
      </c>
      <c r="N1714" s="7">
        <f>M1714*$J$1737-J1714</f>
        <v/>
      </c>
      <c r="O1714" s="9">
        <f>IF(G1714=0,0,N1714/G1714)</f>
        <v/>
      </c>
      <c r="P1714" s="6">
        <f>IF(M1714&gt;0,D1714,"")</f>
        <v/>
      </c>
      <c r="Q1714" s="9">
        <f>I1714+O1714</f>
        <v/>
      </c>
      <c r="R1714" s="7">
        <f>Q1714*G1714</f>
        <v/>
      </c>
      <c r="S1714" s="8">
        <f>IF($R$1737=0,0,R1714/$R$1737)</f>
        <v/>
      </c>
      <c r="T1714" s="8" t="n">
        <v>0.01386109885315023</v>
      </c>
      <c r="U1714" s="8" t="n">
        <v>0.006576852624210483</v>
      </c>
      <c r="V1714" s="6" t="inlineStr">
        <is>
          <t>not selected</t>
        </is>
      </c>
    </row>
    <row r="1715">
      <c r="A1715" s="6" t="inlineStr">
        <is>
          <t>DJ30</t>
        </is>
      </c>
      <c r="B1715" s="6" t="inlineStr">
        <is>
          <t>2024-01-26</t>
        </is>
      </c>
      <c r="C1715" s="6" t="inlineStr">
        <is>
          <t>DIA</t>
        </is>
      </c>
      <c r="D1715" s="6" t="inlineStr">
        <is>
          <t>CVX</t>
        </is>
      </c>
      <c r="E1715" s="6" t="inlineStr">
        <is>
          <t>CVX</t>
        </is>
      </c>
      <c r="F1715" s="6" t="inlineStr">
        <is>
          <t>-</t>
        </is>
      </c>
      <c r="G1715" s="7" t="n">
        <v>134.0938110351562</v>
      </c>
      <c r="H1715" s="6">
        <f>P1684</f>
        <v/>
      </c>
      <c r="I1715" s="9">
        <f>Q1684</f>
        <v/>
      </c>
      <c r="J1715" s="7">
        <f>I1715*G1715</f>
        <v/>
      </c>
      <c r="K1715" s="8">
        <f>IF($J$1737=0,0,J1715/$J$1737)</f>
        <v/>
      </c>
      <c r="L1715" s="6" t="inlineStr">
        <is>
          <t>REJECTED</t>
        </is>
      </c>
      <c r="M1715" s="8" t="n">
        <v>0</v>
      </c>
      <c r="N1715" s="7">
        <f>M1715*$J$1737-J1715</f>
        <v/>
      </c>
      <c r="O1715" s="9">
        <f>IF(G1715=0,0,N1715/G1715)</f>
        <v/>
      </c>
      <c r="P1715" s="6">
        <f>IF(M1715&gt;0,D1715,"")</f>
        <v/>
      </c>
      <c r="Q1715" s="9">
        <f>I1715+O1715</f>
        <v/>
      </c>
      <c r="R1715" s="7">
        <f>Q1715*G1715</f>
        <v/>
      </c>
      <c r="S1715" s="8">
        <f>IF($R$1737=0,0,R1715/$R$1737)</f>
        <v/>
      </c>
      <c r="T1715" s="8" t="n">
        <v>0.01386109885315023</v>
      </c>
      <c r="U1715" s="8" t="n">
        <v>0.006576852624210483</v>
      </c>
      <c r="V1715" s="6" t="inlineStr">
        <is>
          <t>not selected</t>
        </is>
      </c>
    </row>
    <row r="1716">
      <c r="A1716" s="6" t="inlineStr">
        <is>
          <t>DJ30</t>
        </is>
      </c>
      <c r="B1716" s="6" t="inlineStr">
        <is>
          <t>2024-01-26</t>
        </is>
      </c>
      <c r="C1716" s="6" t="inlineStr">
        <is>
          <t>DIA</t>
        </is>
      </c>
      <c r="D1716" s="6" t="inlineStr">
        <is>
          <t>DIS</t>
        </is>
      </c>
      <c r="E1716" s="6" t="inlineStr">
        <is>
          <t>DIS</t>
        </is>
      </c>
      <c r="F1716" s="6" t="inlineStr">
        <is>
          <t>-</t>
        </is>
      </c>
      <c r="G1716" s="7" t="n">
        <v>93.46963500976562</v>
      </c>
      <c r="H1716" s="6">
        <f>P1685</f>
        <v/>
      </c>
      <c r="I1716" s="9">
        <f>Q1685</f>
        <v/>
      </c>
      <c r="J1716" s="7">
        <f>I1716*G1716</f>
        <v/>
      </c>
      <c r="K1716" s="8">
        <f>IF($J$1737=0,0,J1716/$J$1737)</f>
        <v/>
      </c>
      <c r="L1716" s="6" t="inlineStr">
        <is>
          <t>REJECTED</t>
        </is>
      </c>
      <c r="M1716" s="8" t="n">
        <v>0</v>
      </c>
      <c r="N1716" s="7">
        <f>M1716*$J$1737-J1716</f>
        <v/>
      </c>
      <c r="O1716" s="9">
        <f>IF(G1716=0,0,N1716/G1716)</f>
        <v/>
      </c>
      <c r="P1716" s="6">
        <f>IF(M1716&gt;0,D1716,"")</f>
        <v/>
      </c>
      <c r="Q1716" s="9">
        <f>I1716+O1716</f>
        <v/>
      </c>
      <c r="R1716" s="7">
        <f>Q1716*G1716</f>
        <v/>
      </c>
      <c r="S1716" s="8">
        <f>IF($R$1737=0,0,R1716/$R$1737)</f>
        <v/>
      </c>
      <c r="T1716" s="8" t="n">
        <v>0.01386109885315023</v>
      </c>
      <c r="U1716" s="8" t="n">
        <v>0.006576852624210483</v>
      </c>
      <c r="V1716" s="6" t="inlineStr">
        <is>
          <t>not selected</t>
        </is>
      </c>
    </row>
    <row r="1717">
      <c r="A1717" s="6" t="inlineStr">
        <is>
          <t>DJ30</t>
        </is>
      </c>
      <c r="B1717" s="6" t="inlineStr">
        <is>
          <t>2024-01-26</t>
        </is>
      </c>
      <c r="C1717" s="6" t="inlineStr">
        <is>
          <t>DIA</t>
        </is>
      </c>
      <c r="D1717" s="6" t="inlineStr">
        <is>
          <t>GS</t>
        </is>
      </c>
      <c r="E1717" s="6" t="inlineStr">
        <is>
          <t>GS</t>
        </is>
      </c>
      <c r="F1717" s="6" t="inlineStr">
        <is>
          <t>-</t>
        </is>
      </c>
      <c r="G1717" s="7" t="n">
        <v>358.0075073242188</v>
      </c>
      <c r="H1717" s="6">
        <f>P1686</f>
        <v/>
      </c>
      <c r="I1717" s="9">
        <f>Q1686</f>
        <v/>
      </c>
      <c r="J1717" s="7">
        <f>I1717*G1717</f>
        <v/>
      </c>
      <c r="K1717" s="8">
        <f>IF($J$1737=0,0,J1717/$J$1737)</f>
        <v/>
      </c>
      <c r="L1717" s="6" t="inlineStr">
        <is>
          <t>REJECTED</t>
        </is>
      </c>
      <c r="M1717" s="8" t="n">
        <v>0</v>
      </c>
      <c r="N1717" s="7">
        <f>M1717*$J$1737-J1717</f>
        <v/>
      </c>
      <c r="O1717" s="9">
        <f>IF(G1717=0,0,N1717/G1717)</f>
        <v/>
      </c>
      <c r="P1717" s="6">
        <f>IF(M1717&gt;0,D1717,"")</f>
        <v/>
      </c>
      <c r="Q1717" s="9">
        <f>I1717+O1717</f>
        <v/>
      </c>
      <c r="R1717" s="7">
        <f>Q1717*G1717</f>
        <v/>
      </c>
      <c r="S1717" s="8">
        <f>IF($R$1737=0,0,R1717/$R$1737)</f>
        <v/>
      </c>
      <c r="T1717" s="8" t="n">
        <v>0.01386109885315023</v>
      </c>
      <c r="U1717" s="8" t="n">
        <v>0.006576852624210483</v>
      </c>
      <c r="V1717" s="6" t="inlineStr">
        <is>
          <t>not selected</t>
        </is>
      </c>
    </row>
    <row r="1718">
      <c r="A1718" s="6" t="inlineStr">
        <is>
          <t>DJ30</t>
        </is>
      </c>
      <c r="B1718" s="6" t="inlineStr">
        <is>
          <t>2024-01-26</t>
        </is>
      </c>
      <c r="C1718" s="6" t="inlineStr">
        <is>
          <t>DIA</t>
        </is>
      </c>
      <c r="D1718" s="6" t="inlineStr">
        <is>
          <t>HD</t>
        </is>
      </c>
      <c r="E1718" s="6" t="inlineStr">
        <is>
          <t>HD</t>
        </is>
      </c>
      <c r="F1718" s="6" t="inlineStr">
        <is>
          <t>-</t>
        </is>
      </c>
      <c r="G1718" s="7" t="n">
        <v>333.6199951171875</v>
      </c>
      <c r="H1718" s="6">
        <f>P1687</f>
        <v/>
      </c>
      <c r="I1718" s="9">
        <f>Q1687</f>
        <v/>
      </c>
      <c r="J1718" s="7">
        <f>I1718*G1718</f>
        <v/>
      </c>
      <c r="K1718" s="8">
        <f>IF($J$1737=0,0,J1718/$J$1737)</f>
        <v/>
      </c>
      <c r="L1718" s="6" t="inlineStr">
        <is>
          <t>WATCHLIST</t>
        </is>
      </c>
      <c r="M1718" s="8" t="n">
        <v>0</v>
      </c>
      <c r="N1718" s="7">
        <f>M1718*$J$1737-J1718</f>
        <v/>
      </c>
      <c r="O1718" s="9">
        <f>IF(G1718=0,0,N1718/G1718)</f>
        <v/>
      </c>
      <c r="P1718" s="6">
        <f>IF(M1718&gt;0,D1718,"")</f>
        <v/>
      </c>
      <c r="Q1718" s="9">
        <f>I1718+O1718</f>
        <v/>
      </c>
      <c r="R1718" s="7">
        <f>Q1718*G1718</f>
        <v/>
      </c>
      <c r="S1718" s="8">
        <f>IF($R$1737=0,0,R1718/$R$1737)</f>
        <v/>
      </c>
      <c r="T1718" s="8" t="n">
        <v>0.01386109885315023</v>
      </c>
      <c r="U1718" s="8" t="n">
        <v>0.006576852624210483</v>
      </c>
      <c r="V1718" s="6" t="inlineStr">
        <is>
          <t>not selected</t>
        </is>
      </c>
    </row>
    <row r="1719">
      <c r="A1719" s="6" t="inlineStr">
        <is>
          <t>DJ30</t>
        </is>
      </c>
      <c r="B1719" s="6" t="inlineStr">
        <is>
          <t>2024-01-26</t>
        </is>
      </c>
      <c r="C1719" s="6" t="inlineStr">
        <is>
          <t>DIA</t>
        </is>
      </c>
      <c r="D1719" s="6" t="inlineStr">
        <is>
          <t>HON</t>
        </is>
      </c>
      <c r="E1719" s="6" t="inlineStr">
        <is>
          <t>HON</t>
        </is>
      </c>
      <c r="F1719" s="6" t="inlineStr">
        <is>
          <t>-</t>
        </is>
      </c>
      <c r="G1719" s="7" t="n">
        <v>180.3509063720703</v>
      </c>
      <c r="H1719" s="6">
        <f>P1688</f>
        <v/>
      </c>
      <c r="I1719" s="9">
        <f>Q1688</f>
        <v/>
      </c>
      <c r="J1719" s="7">
        <f>I1719*G1719</f>
        <v/>
      </c>
      <c r="K1719" s="8">
        <f>IF($J$1737=0,0,J1719/$J$1737)</f>
        <v/>
      </c>
      <c r="L1719" s="6" t="inlineStr">
        <is>
          <t>REJECTED</t>
        </is>
      </c>
      <c r="M1719" s="8" t="n">
        <v>0</v>
      </c>
      <c r="N1719" s="7">
        <f>M1719*$J$1737-J1719</f>
        <v/>
      </c>
      <c r="O1719" s="9">
        <f>IF(G1719=0,0,N1719/G1719)</f>
        <v/>
      </c>
      <c r="P1719" s="6">
        <f>IF(M1719&gt;0,D1719,"")</f>
        <v/>
      </c>
      <c r="Q1719" s="9">
        <f>I1719+O1719</f>
        <v/>
      </c>
      <c r="R1719" s="7">
        <f>Q1719*G1719</f>
        <v/>
      </c>
      <c r="S1719" s="8">
        <f>IF($R$1737=0,0,R1719/$R$1737)</f>
        <v/>
      </c>
      <c r="T1719" s="8" t="n">
        <v>0.01386109885315023</v>
      </c>
      <c r="U1719" s="8" t="n">
        <v>0.006576852624210483</v>
      </c>
      <c r="V1719" s="6" t="inlineStr">
        <is>
          <t>not selected</t>
        </is>
      </c>
    </row>
    <row r="1720">
      <c r="A1720" s="6" t="inlineStr">
        <is>
          <t>DJ30</t>
        </is>
      </c>
      <c r="B1720" s="6" t="inlineStr">
        <is>
          <t>2024-01-26</t>
        </is>
      </c>
      <c r="C1720" s="6" t="inlineStr">
        <is>
          <t>DIA</t>
        </is>
      </c>
      <c r="D1720" s="6" t="inlineStr">
        <is>
          <t>IBM</t>
        </is>
      </c>
      <c r="E1720" s="6" t="inlineStr">
        <is>
          <t>IBM</t>
        </is>
      </c>
      <c r="F1720" s="6" t="inlineStr">
        <is>
          <t>-</t>
        </is>
      </c>
      <c r="G1720" s="7" t="n">
        <v>174.0447540283203</v>
      </c>
      <c r="H1720" s="6">
        <f>P1689</f>
        <v/>
      </c>
      <c r="I1720" s="9">
        <f>Q1689</f>
        <v/>
      </c>
      <c r="J1720" s="7">
        <f>I1720*G1720</f>
        <v/>
      </c>
      <c r="K1720" s="8">
        <f>IF($J$1737=0,0,J1720/$J$1737)</f>
        <v/>
      </c>
      <c r="L1720" s="6" t="inlineStr">
        <is>
          <t>SELECTED</t>
        </is>
      </c>
      <c r="M1720" s="8" t="n">
        <v>0.2</v>
      </c>
      <c r="N1720" s="7">
        <f>M1720*$J$1737-J1720</f>
        <v/>
      </c>
      <c r="O1720" s="9">
        <f>IF(G1720=0,0,N1720/G1720)</f>
        <v/>
      </c>
      <c r="P1720" s="6">
        <f>IF(M1720&gt;0,D1720,"")</f>
        <v/>
      </c>
      <c r="Q1720" s="9">
        <f>I1720+O1720</f>
        <v/>
      </c>
      <c r="R1720" s="7">
        <f>Q1720*G1720</f>
        <v/>
      </c>
      <c r="S1720" s="8">
        <f>IF($R$1737=0,0,R1720/$R$1737)</f>
        <v/>
      </c>
      <c r="T1720" s="8" t="n">
        <v>0.01386109885315023</v>
      </c>
      <c r="U1720" s="8" t="n">
        <v>0.006576852624210483</v>
      </c>
      <c r="V1720" s="6" t="inlineStr">
        <is>
          <t>entered weekly selection</t>
        </is>
      </c>
    </row>
    <row r="1721">
      <c r="A1721" s="6" t="inlineStr">
        <is>
          <t>DJ30</t>
        </is>
      </c>
      <c r="B1721" s="6" t="inlineStr">
        <is>
          <t>2024-01-26</t>
        </is>
      </c>
      <c r="C1721" s="6" t="inlineStr">
        <is>
          <t>DIA</t>
        </is>
      </c>
      <c r="D1721" s="6" t="inlineStr">
        <is>
          <t>JNJ</t>
        </is>
      </c>
      <c r="E1721" s="6" t="inlineStr">
        <is>
          <t>JNJ</t>
        </is>
      </c>
      <c r="F1721" s="6" t="inlineStr">
        <is>
          <t>-</t>
        </is>
      </c>
      <c r="G1721" s="7" t="n">
        <v>148.3667907714844</v>
      </c>
      <c r="H1721" s="6">
        <f>P1690</f>
        <v/>
      </c>
      <c r="I1721" s="9">
        <f>Q1690</f>
        <v/>
      </c>
      <c r="J1721" s="7">
        <f>I1721*G1721</f>
        <v/>
      </c>
      <c r="K1721" s="8">
        <f>IF($J$1737=0,0,J1721/$J$1737)</f>
        <v/>
      </c>
      <c r="L1721" s="6" t="inlineStr">
        <is>
          <t>REJECTED</t>
        </is>
      </c>
      <c r="M1721" s="8" t="n">
        <v>0</v>
      </c>
      <c r="N1721" s="7">
        <f>M1721*$J$1737-J1721</f>
        <v/>
      </c>
      <c r="O1721" s="9">
        <f>IF(G1721=0,0,N1721/G1721)</f>
        <v/>
      </c>
      <c r="P1721" s="6">
        <f>IF(M1721&gt;0,D1721,"")</f>
        <v/>
      </c>
      <c r="Q1721" s="9">
        <f>I1721+O1721</f>
        <v/>
      </c>
      <c r="R1721" s="7">
        <f>Q1721*G1721</f>
        <v/>
      </c>
      <c r="S1721" s="8">
        <f>IF($R$1737=0,0,R1721/$R$1737)</f>
        <v/>
      </c>
      <c r="T1721" s="8" t="n">
        <v>0.01386109885315023</v>
      </c>
      <c r="U1721" s="8" t="n">
        <v>0.006576852624210483</v>
      </c>
      <c r="V1721" s="6" t="inlineStr">
        <is>
          <t>not selected</t>
        </is>
      </c>
    </row>
    <row r="1722">
      <c r="A1722" s="6" t="inlineStr">
        <is>
          <t>DJ30</t>
        </is>
      </c>
      <c r="B1722" s="6" t="inlineStr">
        <is>
          <t>2024-01-26</t>
        </is>
      </c>
      <c r="C1722" s="6" t="inlineStr">
        <is>
          <t>DIA</t>
        </is>
      </c>
      <c r="D1722" s="6" t="inlineStr">
        <is>
          <t>JPM</t>
        </is>
      </c>
      <c r="E1722" s="6" t="inlineStr">
        <is>
          <t>JPM</t>
        </is>
      </c>
      <c r="F1722" s="6" t="inlineStr">
        <is>
          <t>-</t>
        </is>
      </c>
      <c r="G1722" s="7" t="n">
        <v>164.2051239013672</v>
      </c>
      <c r="H1722" s="6">
        <f>P1691</f>
        <v/>
      </c>
      <c r="I1722" s="9">
        <f>Q1691</f>
        <v/>
      </c>
      <c r="J1722" s="7">
        <f>I1722*G1722</f>
        <v/>
      </c>
      <c r="K1722" s="8">
        <f>IF($J$1737=0,0,J1722/$J$1737)</f>
        <v/>
      </c>
      <c r="L1722" s="6" t="inlineStr">
        <is>
          <t>SELECTED</t>
        </is>
      </c>
      <c r="M1722" s="8" t="n">
        <v>0.2</v>
      </c>
      <c r="N1722" s="7">
        <f>M1722*$J$1737-J1722</f>
        <v/>
      </c>
      <c r="O1722" s="9">
        <f>IF(G1722=0,0,N1722/G1722)</f>
        <v/>
      </c>
      <c r="P1722" s="6">
        <f>IF(M1722&gt;0,D1722,"")</f>
        <v/>
      </c>
      <c r="Q1722" s="9">
        <f>I1722+O1722</f>
        <v/>
      </c>
      <c r="R1722" s="7">
        <f>Q1722*G1722</f>
        <v/>
      </c>
      <c r="S1722" s="8">
        <f>IF($R$1737=0,0,R1722/$R$1737)</f>
        <v/>
      </c>
      <c r="T1722" s="8" t="n">
        <v>0.01386109885315023</v>
      </c>
      <c r="U1722" s="8" t="n">
        <v>0.006576852624210483</v>
      </c>
      <c r="V1722" s="6" t="inlineStr">
        <is>
          <t>remained in weekly selection</t>
        </is>
      </c>
    </row>
    <row r="1723">
      <c r="A1723" s="6" t="inlineStr">
        <is>
          <t>DJ30</t>
        </is>
      </c>
      <c r="B1723" s="6" t="inlineStr">
        <is>
          <t>2024-01-26</t>
        </is>
      </c>
      <c r="C1723" s="6" t="inlineStr">
        <is>
          <t>DIA</t>
        </is>
      </c>
      <c r="D1723" s="6" t="inlineStr">
        <is>
          <t>KO</t>
        </is>
      </c>
      <c r="E1723" s="6" t="inlineStr">
        <is>
          <t>KO</t>
        </is>
      </c>
      <c r="F1723" s="6" t="inlineStr">
        <is>
          <t>-</t>
        </is>
      </c>
      <c r="G1723" s="7" t="n">
        <v>55.22082138061523</v>
      </c>
      <c r="H1723" s="6">
        <f>P1692</f>
        <v/>
      </c>
      <c r="I1723" s="9">
        <f>Q1692</f>
        <v/>
      </c>
      <c r="J1723" s="7">
        <f>I1723*G1723</f>
        <v/>
      </c>
      <c r="K1723" s="8">
        <f>IF($J$1737=0,0,J1723/$J$1737)</f>
        <v/>
      </c>
      <c r="L1723" s="6" t="inlineStr">
        <is>
          <t>REJECTED</t>
        </is>
      </c>
      <c r="M1723" s="8" t="n">
        <v>0</v>
      </c>
      <c r="N1723" s="7">
        <f>M1723*$J$1737-J1723</f>
        <v/>
      </c>
      <c r="O1723" s="9">
        <f>IF(G1723=0,0,N1723/G1723)</f>
        <v/>
      </c>
      <c r="P1723" s="6">
        <f>IF(M1723&gt;0,D1723,"")</f>
        <v/>
      </c>
      <c r="Q1723" s="9">
        <f>I1723+O1723</f>
        <v/>
      </c>
      <c r="R1723" s="7">
        <f>Q1723*G1723</f>
        <v/>
      </c>
      <c r="S1723" s="8">
        <f>IF($R$1737=0,0,R1723/$R$1737)</f>
        <v/>
      </c>
      <c r="T1723" s="8" t="n">
        <v>0.01386109885315023</v>
      </c>
      <c r="U1723" s="8" t="n">
        <v>0.006576852624210483</v>
      </c>
      <c r="V1723" s="6" t="inlineStr">
        <is>
          <t>not selected</t>
        </is>
      </c>
    </row>
    <row r="1724">
      <c r="A1724" s="6" t="inlineStr">
        <is>
          <t>DJ30</t>
        </is>
      </c>
      <c r="B1724" s="6" t="inlineStr">
        <is>
          <t>2024-01-26</t>
        </is>
      </c>
      <c r="C1724" s="6" t="inlineStr">
        <is>
          <t>DIA</t>
        </is>
      </c>
      <c r="D1724" s="6" t="inlineStr">
        <is>
          <t>MCD</t>
        </is>
      </c>
      <c r="E1724" s="6" t="inlineStr">
        <is>
          <t>MCD</t>
        </is>
      </c>
      <c r="F1724" s="6" t="inlineStr">
        <is>
          <t>-</t>
        </is>
      </c>
      <c r="G1724" s="7" t="n">
        <v>275.4241943359375</v>
      </c>
      <c r="H1724" s="6">
        <f>P1693</f>
        <v/>
      </c>
      <c r="I1724" s="9">
        <f>Q1693</f>
        <v/>
      </c>
      <c r="J1724" s="7">
        <f>I1724*G1724</f>
        <v/>
      </c>
      <c r="K1724" s="8">
        <f>IF($J$1737=0,0,J1724/$J$1737)</f>
        <v/>
      </c>
      <c r="L1724" s="6" t="inlineStr">
        <is>
          <t>REJECTED</t>
        </is>
      </c>
      <c r="M1724" s="8" t="n">
        <v>0</v>
      </c>
      <c r="N1724" s="7">
        <f>M1724*$J$1737-J1724</f>
        <v/>
      </c>
      <c r="O1724" s="9">
        <f>IF(G1724=0,0,N1724/G1724)</f>
        <v/>
      </c>
      <c r="P1724" s="6">
        <f>IF(M1724&gt;0,D1724,"")</f>
        <v/>
      </c>
      <c r="Q1724" s="9">
        <f>I1724+O1724</f>
        <v/>
      </c>
      <c r="R1724" s="7">
        <f>Q1724*G1724</f>
        <v/>
      </c>
      <c r="S1724" s="8">
        <f>IF($R$1737=0,0,R1724/$R$1737)</f>
        <v/>
      </c>
      <c r="T1724" s="8" t="n">
        <v>0.01386109885315023</v>
      </c>
      <c r="U1724" s="8" t="n">
        <v>0.006576852624210483</v>
      </c>
      <c r="V1724" s="6" t="inlineStr">
        <is>
          <t>not selected</t>
        </is>
      </c>
    </row>
    <row r="1725">
      <c r="A1725" s="6" t="inlineStr">
        <is>
          <t>DJ30</t>
        </is>
      </c>
      <c r="B1725" s="6" t="inlineStr">
        <is>
          <t>2024-01-26</t>
        </is>
      </c>
      <c r="C1725" s="6" t="inlineStr">
        <is>
          <t>DIA</t>
        </is>
      </c>
      <c r="D1725" s="6" t="inlineStr">
        <is>
          <t>MMM</t>
        </is>
      </c>
      <c r="E1725" s="6" t="inlineStr">
        <is>
          <t>MMM</t>
        </is>
      </c>
      <c r="F1725" s="6" t="inlineStr">
        <is>
          <t>-</t>
        </is>
      </c>
      <c r="G1725" s="7" t="n">
        <v>75.40296173095703</v>
      </c>
      <c r="H1725" s="6">
        <f>P1694</f>
        <v/>
      </c>
      <c r="I1725" s="9">
        <f>Q1694</f>
        <v/>
      </c>
      <c r="J1725" s="7">
        <f>I1725*G1725</f>
        <v/>
      </c>
      <c r="K1725" s="8">
        <f>IF($J$1737=0,0,J1725/$J$1737)</f>
        <v/>
      </c>
      <c r="L1725" s="6" t="inlineStr">
        <is>
          <t>REJECTED</t>
        </is>
      </c>
      <c r="M1725" s="8" t="n">
        <v>0</v>
      </c>
      <c r="N1725" s="7">
        <f>M1725*$J$1737-J1725</f>
        <v/>
      </c>
      <c r="O1725" s="9">
        <f>IF(G1725=0,0,N1725/G1725)</f>
        <v/>
      </c>
      <c r="P1725" s="6">
        <f>IF(M1725&gt;0,D1725,"")</f>
        <v/>
      </c>
      <c r="Q1725" s="9">
        <f>I1725+O1725</f>
        <v/>
      </c>
      <c r="R1725" s="7">
        <f>Q1725*G1725</f>
        <v/>
      </c>
      <c r="S1725" s="8">
        <f>IF($R$1737=0,0,R1725/$R$1737)</f>
        <v/>
      </c>
      <c r="T1725" s="8" t="n">
        <v>0.01386109885315023</v>
      </c>
      <c r="U1725" s="8" t="n">
        <v>0.006576852624210483</v>
      </c>
      <c r="V1725" s="6" t="inlineStr">
        <is>
          <t>not selected</t>
        </is>
      </c>
    </row>
    <row r="1726">
      <c r="A1726" s="6" t="inlineStr">
        <is>
          <t>DJ30</t>
        </is>
      </c>
      <c r="B1726" s="6" t="inlineStr">
        <is>
          <t>2024-01-26</t>
        </is>
      </c>
      <c r="C1726" s="6" t="inlineStr">
        <is>
          <t>DIA</t>
        </is>
      </c>
      <c r="D1726" s="6" t="inlineStr">
        <is>
          <t>MRK</t>
        </is>
      </c>
      <c r="E1726" s="6" t="inlineStr">
        <is>
          <t>MRK</t>
        </is>
      </c>
      <c r="F1726" s="6" t="inlineStr">
        <is>
          <t>-</t>
        </is>
      </c>
      <c r="G1726" s="7" t="n">
        <v>111.7118988037109</v>
      </c>
      <c r="H1726" s="6">
        <f>P1695</f>
        <v/>
      </c>
      <c r="I1726" s="9">
        <f>Q1695</f>
        <v/>
      </c>
      <c r="J1726" s="7">
        <f>I1726*G1726</f>
        <v/>
      </c>
      <c r="K1726" s="8">
        <f>IF($J$1737=0,0,J1726/$J$1737)</f>
        <v/>
      </c>
      <c r="L1726" s="6" t="inlineStr">
        <is>
          <t>REJECTED</t>
        </is>
      </c>
      <c r="M1726" s="8" t="n">
        <v>0</v>
      </c>
      <c r="N1726" s="7">
        <f>M1726*$J$1737-J1726</f>
        <v/>
      </c>
      <c r="O1726" s="9">
        <f>IF(G1726=0,0,N1726/G1726)</f>
        <v/>
      </c>
      <c r="P1726" s="6">
        <f>IF(M1726&gt;0,D1726,"")</f>
        <v/>
      </c>
      <c r="Q1726" s="9">
        <f>I1726+O1726</f>
        <v/>
      </c>
      <c r="R1726" s="7">
        <f>Q1726*G1726</f>
        <v/>
      </c>
      <c r="S1726" s="8">
        <f>IF($R$1737=0,0,R1726/$R$1737)</f>
        <v/>
      </c>
      <c r="T1726" s="8" t="n">
        <v>0.01386109885315023</v>
      </c>
      <c r="U1726" s="8" t="n">
        <v>0.006576852624210483</v>
      </c>
      <c r="V1726" s="6" t="inlineStr">
        <is>
          <t>not selected</t>
        </is>
      </c>
    </row>
    <row r="1727">
      <c r="A1727" s="6" t="inlineStr">
        <is>
          <t>DJ30</t>
        </is>
      </c>
      <c r="B1727" s="6" t="inlineStr">
        <is>
          <t>2024-01-26</t>
        </is>
      </c>
      <c r="C1727" s="6" t="inlineStr">
        <is>
          <t>DIA</t>
        </is>
      </c>
      <c r="D1727" s="6" t="inlineStr">
        <is>
          <t>MSFT</t>
        </is>
      </c>
      <c r="E1727" s="6" t="inlineStr">
        <is>
          <t>MSFT</t>
        </is>
      </c>
      <c r="F1727" s="6" t="inlineStr">
        <is>
          <t>-</t>
        </is>
      </c>
      <c r="G1727" s="7" t="n">
        <v>396.2313842773438</v>
      </c>
      <c r="H1727" s="6">
        <f>P1696</f>
        <v/>
      </c>
      <c r="I1727" s="9">
        <f>Q1696</f>
        <v/>
      </c>
      <c r="J1727" s="7">
        <f>I1727*G1727</f>
        <v/>
      </c>
      <c r="K1727" s="8">
        <f>IF($J$1737=0,0,J1727/$J$1737)</f>
        <v/>
      </c>
      <c r="L1727" s="6" t="inlineStr">
        <is>
          <t>WATCHLIST</t>
        </is>
      </c>
      <c r="M1727" s="8" t="n">
        <v>0</v>
      </c>
      <c r="N1727" s="7">
        <f>M1727*$J$1737-J1727</f>
        <v/>
      </c>
      <c r="O1727" s="9">
        <f>IF(G1727=0,0,N1727/G1727)</f>
        <v/>
      </c>
      <c r="P1727" s="6">
        <f>IF(M1727&gt;0,D1727,"")</f>
        <v/>
      </c>
      <c r="Q1727" s="9">
        <f>I1727+O1727</f>
        <v/>
      </c>
      <c r="R1727" s="7">
        <f>Q1727*G1727</f>
        <v/>
      </c>
      <c r="S1727" s="8">
        <f>IF($R$1737=0,0,R1727/$R$1737)</f>
        <v/>
      </c>
      <c r="T1727" s="8" t="n">
        <v>0.01386109885315023</v>
      </c>
      <c r="U1727" s="8" t="n">
        <v>0.006576852624210483</v>
      </c>
      <c r="V1727" s="6" t="inlineStr">
        <is>
          <t>not selected</t>
        </is>
      </c>
    </row>
    <row r="1728">
      <c r="A1728" s="6" t="inlineStr">
        <is>
          <t>DJ30</t>
        </is>
      </c>
      <c r="B1728" s="6" t="inlineStr">
        <is>
          <t>2024-01-26</t>
        </is>
      </c>
      <c r="C1728" s="6" t="inlineStr">
        <is>
          <t>DIA</t>
        </is>
      </c>
      <c r="D1728" s="6" t="inlineStr">
        <is>
          <t>NKE</t>
        </is>
      </c>
      <c r="E1728" s="6" t="inlineStr">
        <is>
          <t>NKE</t>
        </is>
      </c>
      <c r="F1728" s="6" t="inlineStr">
        <is>
          <t>-</t>
        </is>
      </c>
      <c r="G1728" s="7" t="n">
        <v>97.17827606201172</v>
      </c>
      <c r="H1728" s="6">
        <f>P1697</f>
        <v/>
      </c>
      <c r="I1728" s="9">
        <f>Q1697</f>
        <v/>
      </c>
      <c r="J1728" s="7">
        <f>I1728*G1728</f>
        <v/>
      </c>
      <c r="K1728" s="8">
        <f>IF($J$1737=0,0,J1728/$J$1737)</f>
        <v/>
      </c>
      <c r="L1728" s="6" t="inlineStr">
        <is>
          <t>REJECTED</t>
        </is>
      </c>
      <c r="M1728" s="8" t="n">
        <v>0</v>
      </c>
      <c r="N1728" s="7">
        <f>M1728*$J$1737-J1728</f>
        <v/>
      </c>
      <c r="O1728" s="9">
        <f>IF(G1728=0,0,N1728/G1728)</f>
        <v/>
      </c>
      <c r="P1728" s="6">
        <f>IF(M1728&gt;0,D1728,"")</f>
        <v/>
      </c>
      <c r="Q1728" s="9">
        <f>I1728+O1728</f>
        <v/>
      </c>
      <c r="R1728" s="7">
        <f>Q1728*G1728</f>
        <v/>
      </c>
      <c r="S1728" s="8">
        <f>IF($R$1737=0,0,R1728/$R$1737)</f>
        <v/>
      </c>
      <c r="T1728" s="8" t="n">
        <v>0.01386109885315023</v>
      </c>
      <c r="U1728" s="8" t="n">
        <v>0.006576852624210483</v>
      </c>
      <c r="V1728" s="6" t="inlineStr">
        <is>
          <t>not selected</t>
        </is>
      </c>
    </row>
    <row r="1729">
      <c r="A1729" s="6" t="inlineStr">
        <is>
          <t>DJ30</t>
        </is>
      </c>
      <c r="B1729" s="6" t="inlineStr">
        <is>
          <t>2024-01-26</t>
        </is>
      </c>
      <c r="C1729" s="6" t="inlineStr">
        <is>
          <t>DIA</t>
        </is>
      </c>
      <c r="D1729" s="6" t="inlineStr">
        <is>
          <t>NVDA</t>
        </is>
      </c>
      <c r="E1729" s="6" t="inlineStr">
        <is>
          <t>NVDA</t>
        </is>
      </c>
      <c r="F1729" s="6" t="inlineStr">
        <is>
          <t>-</t>
        </is>
      </c>
      <c r="G1729" s="7" t="n">
        <v>60.92271423339844</v>
      </c>
      <c r="H1729" s="6">
        <f>P1698</f>
        <v/>
      </c>
      <c r="I1729" s="9">
        <f>Q1698</f>
        <v/>
      </c>
      <c r="J1729" s="7">
        <f>I1729*G1729</f>
        <v/>
      </c>
      <c r="K1729" s="8">
        <f>IF($J$1737=0,0,J1729/$J$1737)</f>
        <v/>
      </c>
      <c r="L1729" s="6" t="inlineStr">
        <is>
          <t>SELECTED</t>
        </is>
      </c>
      <c r="M1729" s="8" t="n">
        <v>0.2</v>
      </c>
      <c r="N1729" s="7">
        <f>M1729*$J$1737-J1729</f>
        <v/>
      </c>
      <c r="O1729" s="9">
        <f>IF(G1729=0,0,N1729/G1729)</f>
        <v/>
      </c>
      <c r="P1729" s="6">
        <f>IF(M1729&gt;0,D1729,"")</f>
        <v/>
      </c>
      <c r="Q1729" s="9">
        <f>I1729+O1729</f>
        <v/>
      </c>
      <c r="R1729" s="7">
        <f>Q1729*G1729</f>
        <v/>
      </c>
      <c r="S1729" s="8">
        <f>IF($R$1737=0,0,R1729/$R$1737)</f>
        <v/>
      </c>
      <c r="T1729" s="8" t="n">
        <v>0.01386109885315023</v>
      </c>
      <c r="U1729" s="8" t="n">
        <v>0.006576852624210483</v>
      </c>
      <c r="V1729" s="6" t="inlineStr">
        <is>
          <t>remained in weekly selection</t>
        </is>
      </c>
    </row>
    <row r="1730">
      <c r="A1730" s="6" t="inlineStr">
        <is>
          <t>DJ30</t>
        </is>
      </c>
      <c r="B1730" s="6" t="inlineStr">
        <is>
          <t>2024-01-26</t>
        </is>
      </c>
      <c r="C1730" s="6" t="inlineStr">
        <is>
          <t>DIA</t>
        </is>
      </c>
      <c r="D1730" s="6" t="inlineStr">
        <is>
          <t>PG</t>
        </is>
      </c>
      <c r="E1730" s="6" t="inlineStr">
        <is>
          <t>PG</t>
        </is>
      </c>
      <c r="F1730" s="6" t="inlineStr">
        <is>
          <t>-</t>
        </is>
      </c>
      <c r="G1730" s="7" t="n">
        <v>147.2017669677734</v>
      </c>
      <c r="H1730" s="6">
        <f>P1699</f>
        <v/>
      </c>
      <c r="I1730" s="9">
        <f>Q1699</f>
        <v/>
      </c>
      <c r="J1730" s="7">
        <f>I1730*G1730</f>
        <v/>
      </c>
      <c r="K1730" s="8">
        <f>IF($J$1737=0,0,J1730/$J$1737)</f>
        <v/>
      </c>
      <c r="L1730" s="6" t="inlineStr">
        <is>
          <t>REJECTED</t>
        </is>
      </c>
      <c r="M1730" s="8" t="n">
        <v>0</v>
      </c>
      <c r="N1730" s="7">
        <f>M1730*$J$1737-J1730</f>
        <v/>
      </c>
      <c r="O1730" s="9">
        <f>IF(G1730=0,0,N1730/G1730)</f>
        <v/>
      </c>
      <c r="P1730" s="6">
        <f>IF(M1730&gt;0,D1730,"")</f>
        <v/>
      </c>
      <c r="Q1730" s="9">
        <f>I1730+O1730</f>
        <v/>
      </c>
      <c r="R1730" s="7">
        <f>Q1730*G1730</f>
        <v/>
      </c>
      <c r="S1730" s="8">
        <f>IF($R$1737=0,0,R1730/$R$1737)</f>
        <v/>
      </c>
      <c r="T1730" s="8" t="n">
        <v>0.01386109885315023</v>
      </c>
      <c r="U1730" s="8" t="n">
        <v>0.006576852624210483</v>
      </c>
      <c r="V1730" s="6" t="inlineStr">
        <is>
          <t>not selected</t>
        </is>
      </c>
    </row>
    <row r="1731">
      <c r="A1731" s="6" t="inlineStr">
        <is>
          <t>DJ30</t>
        </is>
      </c>
      <c r="B1731" s="6" t="inlineStr">
        <is>
          <t>2024-01-26</t>
        </is>
      </c>
      <c r="C1731" s="6" t="inlineStr">
        <is>
          <t>DIA</t>
        </is>
      </c>
      <c r="D1731" s="6" t="inlineStr">
        <is>
          <t>SHW</t>
        </is>
      </c>
      <c r="E1731" s="6" t="inlineStr">
        <is>
          <t>SHW</t>
        </is>
      </c>
      <c r="F1731" s="6" t="inlineStr">
        <is>
          <t>-</t>
        </is>
      </c>
      <c r="G1731" s="7" t="n">
        <v>295.2782592773437</v>
      </c>
      <c r="H1731" s="6">
        <f>P1700</f>
        <v/>
      </c>
      <c r="I1731" s="9">
        <f>Q1700</f>
        <v/>
      </c>
      <c r="J1731" s="7">
        <f>I1731*G1731</f>
        <v/>
      </c>
      <c r="K1731" s="8">
        <f>IF($J$1737=0,0,J1731/$J$1737)</f>
        <v/>
      </c>
      <c r="L1731" s="6" t="inlineStr">
        <is>
          <t>WATCHLIST</t>
        </is>
      </c>
      <c r="M1731" s="8" t="n">
        <v>0</v>
      </c>
      <c r="N1731" s="7">
        <f>M1731*$J$1737-J1731</f>
        <v/>
      </c>
      <c r="O1731" s="9">
        <f>IF(G1731=0,0,N1731/G1731)</f>
        <v/>
      </c>
      <c r="P1731" s="6">
        <f>IF(M1731&gt;0,D1731,"")</f>
        <v/>
      </c>
      <c r="Q1731" s="9">
        <f>I1731+O1731</f>
        <v/>
      </c>
      <c r="R1731" s="7">
        <f>Q1731*G1731</f>
        <v/>
      </c>
      <c r="S1731" s="8">
        <f>IF($R$1737=0,0,R1731/$R$1737)</f>
        <v/>
      </c>
      <c r="T1731" s="8" t="n">
        <v>0.01386109885315023</v>
      </c>
      <c r="U1731" s="8" t="n">
        <v>0.006576852624210483</v>
      </c>
      <c r="V1731" s="6" t="inlineStr">
        <is>
          <t>not selected</t>
        </is>
      </c>
    </row>
    <row r="1732">
      <c r="A1732" s="6" t="inlineStr">
        <is>
          <t>DJ30</t>
        </is>
      </c>
      <c r="B1732" s="6" t="inlineStr">
        <is>
          <t>2024-01-26</t>
        </is>
      </c>
      <c r="C1732" s="6" t="inlineStr">
        <is>
          <t>DIA</t>
        </is>
      </c>
      <c r="D1732" s="6" t="inlineStr">
        <is>
          <t>TRV</t>
        </is>
      </c>
      <c r="E1732" s="6" t="inlineStr">
        <is>
          <t>TRV</t>
        </is>
      </c>
      <c r="F1732" s="6" t="inlineStr">
        <is>
          <t>-</t>
        </is>
      </c>
      <c r="G1732" s="7" t="n">
        <v>202.7317199707031</v>
      </c>
      <c r="H1732" s="6">
        <f>P1701</f>
        <v/>
      </c>
      <c r="I1732" s="9">
        <f>Q1701</f>
        <v/>
      </c>
      <c r="J1732" s="7">
        <f>I1732*G1732</f>
        <v/>
      </c>
      <c r="K1732" s="8">
        <f>IF($J$1737=0,0,J1732/$J$1737)</f>
        <v/>
      </c>
      <c r="L1732" s="6" t="inlineStr">
        <is>
          <t>REJECTED</t>
        </is>
      </c>
      <c r="M1732" s="8" t="n">
        <v>0</v>
      </c>
      <c r="N1732" s="7">
        <f>M1732*$J$1737-J1732</f>
        <v/>
      </c>
      <c r="O1732" s="9">
        <f>IF(G1732=0,0,N1732/G1732)</f>
        <v/>
      </c>
      <c r="P1732" s="6">
        <f>IF(M1732&gt;0,D1732,"")</f>
        <v/>
      </c>
      <c r="Q1732" s="9">
        <f>I1732+O1732</f>
        <v/>
      </c>
      <c r="R1732" s="7">
        <f>Q1732*G1732</f>
        <v/>
      </c>
      <c r="S1732" s="8">
        <f>IF($R$1737=0,0,R1732/$R$1737)</f>
        <v/>
      </c>
      <c r="T1732" s="8" t="n">
        <v>0.01386109885315023</v>
      </c>
      <c r="U1732" s="8" t="n">
        <v>0.006576852624210483</v>
      </c>
      <c r="V1732" s="6" t="inlineStr">
        <is>
          <t>not selected</t>
        </is>
      </c>
    </row>
    <row r="1733">
      <c r="A1733" s="6" t="inlineStr">
        <is>
          <t>DJ30</t>
        </is>
      </c>
      <c r="B1733" s="6" t="inlineStr">
        <is>
          <t>2024-01-26</t>
        </is>
      </c>
      <c r="C1733" s="6" t="inlineStr">
        <is>
          <t>DIA</t>
        </is>
      </c>
      <c r="D1733" s="6" t="inlineStr">
        <is>
          <t>UNH</t>
        </is>
      </c>
      <c r="E1733" s="6" t="inlineStr">
        <is>
          <t>UNH</t>
        </is>
      </c>
      <c r="F1733" s="6" t="inlineStr">
        <is>
          <t>-</t>
        </is>
      </c>
      <c r="G1733" s="7" t="n">
        <v>477.0801391601562</v>
      </c>
      <c r="H1733" s="6">
        <f>P1702</f>
        <v/>
      </c>
      <c r="I1733" s="9">
        <f>Q1702</f>
        <v/>
      </c>
      <c r="J1733" s="7">
        <f>I1733*G1733</f>
        <v/>
      </c>
      <c r="K1733" s="8">
        <f>IF($J$1737=0,0,J1733/$J$1737)</f>
        <v/>
      </c>
      <c r="L1733" s="6" t="inlineStr">
        <is>
          <t>WATCHLIST</t>
        </is>
      </c>
      <c r="M1733" s="8" t="n">
        <v>0</v>
      </c>
      <c r="N1733" s="7">
        <f>M1733*$J$1737-J1733</f>
        <v/>
      </c>
      <c r="O1733" s="9">
        <f>IF(G1733=0,0,N1733/G1733)</f>
        <v/>
      </c>
      <c r="P1733" s="6">
        <f>IF(M1733&gt;0,D1733,"")</f>
        <v/>
      </c>
      <c r="Q1733" s="9">
        <f>I1733+O1733</f>
        <v/>
      </c>
      <c r="R1733" s="7">
        <f>Q1733*G1733</f>
        <v/>
      </c>
      <c r="S1733" s="8">
        <f>IF($R$1737=0,0,R1733/$R$1737)</f>
        <v/>
      </c>
      <c r="T1733" s="8" t="n">
        <v>0.01386109885315023</v>
      </c>
      <c r="U1733" s="8" t="n">
        <v>0.006576852624210483</v>
      </c>
      <c r="V1733" s="6" t="inlineStr">
        <is>
          <t>not selected</t>
        </is>
      </c>
    </row>
    <row r="1734">
      <c r="A1734" s="6" t="inlineStr">
        <is>
          <t>DJ30</t>
        </is>
      </c>
      <c r="B1734" s="6" t="inlineStr">
        <is>
          <t>2024-01-26</t>
        </is>
      </c>
      <c r="C1734" s="6" t="inlineStr">
        <is>
          <t>DIA</t>
        </is>
      </c>
      <c r="D1734" s="6" t="inlineStr">
        <is>
          <t>V</t>
        </is>
      </c>
      <c r="E1734" s="6" t="inlineStr">
        <is>
          <t>V</t>
        </is>
      </c>
      <c r="F1734" s="6" t="inlineStr">
        <is>
          <t>-</t>
        </is>
      </c>
      <c r="G1734" s="7" t="n">
        <v>262.9437561035156</v>
      </c>
      <c r="H1734" s="6">
        <f>P1703</f>
        <v/>
      </c>
      <c r="I1734" s="9">
        <f>Q1703</f>
        <v/>
      </c>
      <c r="J1734" s="7">
        <f>I1734*G1734</f>
        <v/>
      </c>
      <c r="K1734" s="8">
        <f>IF($J$1737=0,0,J1734/$J$1737)</f>
        <v/>
      </c>
      <c r="L1734" s="6" t="inlineStr">
        <is>
          <t>WATCHLIST</t>
        </is>
      </c>
      <c r="M1734" s="8" t="n">
        <v>0</v>
      </c>
      <c r="N1734" s="7">
        <f>M1734*$J$1737-J1734</f>
        <v/>
      </c>
      <c r="O1734" s="9">
        <f>IF(G1734=0,0,N1734/G1734)</f>
        <v/>
      </c>
      <c r="P1734" s="6">
        <f>IF(M1734&gt;0,D1734,"")</f>
        <v/>
      </c>
      <c r="Q1734" s="9">
        <f>I1734+O1734</f>
        <v/>
      </c>
      <c r="R1734" s="7">
        <f>Q1734*G1734</f>
        <v/>
      </c>
      <c r="S1734" s="8">
        <f>IF($R$1737=0,0,R1734/$R$1737)</f>
        <v/>
      </c>
      <c r="T1734" s="8" t="n">
        <v>0.01386109885315023</v>
      </c>
      <c r="U1734" s="8" t="n">
        <v>0.006576852624210483</v>
      </c>
      <c r="V1734" s="6" t="inlineStr">
        <is>
          <t>not selected</t>
        </is>
      </c>
    </row>
    <row r="1735">
      <c r="A1735" s="6" t="inlineStr">
        <is>
          <t>DJ30</t>
        </is>
      </c>
      <c r="B1735" s="6" t="inlineStr">
        <is>
          <t>2024-01-26</t>
        </is>
      </c>
      <c r="C1735" s="6" t="inlineStr">
        <is>
          <t>DIA</t>
        </is>
      </c>
      <c r="D1735" s="6" t="inlineStr">
        <is>
          <t>VZ</t>
        </is>
      </c>
      <c r="E1735" s="6" t="inlineStr">
        <is>
          <t>VZ</t>
        </is>
      </c>
      <c r="F1735" s="6" t="inlineStr">
        <is>
          <t>-</t>
        </is>
      </c>
      <c r="G1735" s="7" t="n">
        <v>36.62200546264648</v>
      </c>
      <c r="H1735" s="6">
        <f>P1704</f>
        <v/>
      </c>
      <c r="I1735" s="9">
        <f>Q1704</f>
        <v/>
      </c>
      <c r="J1735" s="7">
        <f>I1735*G1735</f>
        <v/>
      </c>
      <c r="K1735" s="8">
        <f>IF($J$1737=0,0,J1735/$J$1737)</f>
        <v/>
      </c>
      <c r="L1735" s="6" t="inlineStr">
        <is>
          <t>REJECTED</t>
        </is>
      </c>
      <c r="M1735" s="8" t="n">
        <v>0</v>
      </c>
      <c r="N1735" s="7">
        <f>M1735*$J$1737-J1735</f>
        <v/>
      </c>
      <c r="O1735" s="9">
        <f>IF(G1735=0,0,N1735/G1735)</f>
        <v/>
      </c>
      <c r="P1735" s="6">
        <f>IF(M1735&gt;0,D1735,"")</f>
        <v/>
      </c>
      <c r="Q1735" s="9">
        <f>I1735+O1735</f>
        <v/>
      </c>
      <c r="R1735" s="7">
        <f>Q1735*G1735</f>
        <v/>
      </c>
      <c r="S1735" s="8">
        <f>IF($R$1737=0,0,R1735/$R$1737)</f>
        <v/>
      </c>
      <c r="T1735" s="8" t="n">
        <v>0.01386109885315023</v>
      </c>
      <c r="U1735" s="8" t="n">
        <v>0.006576852624210483</v>
      </c>
      <c r="V1735" s="6" t="inlineStr">
        <is>
          <t>not selected</t>
        </is>
      </c>
    </row>
    <row r="1736">
      <c r="A1736" s="6" t="inlineStr">
        <is>
          <t>DJ30</t>
        </is>
      </c>
      <c r="B1736" s="6" t="inlineStr">
        <is>
          <t>2024-01-26</t>
        </is>
      </c>
      <c r="C1736" s="6" t="inlineStr">
        <is>
          <t>DIA</t>
        </is>
      </c>
      <c r="D1736" s="6" t="inlineStr">
        <is>
          <t>WMT</t>
        </is>
      </c>
      <c r="E1736" s="6" t="inlineStr">
        <is>
          <t>WMT</t>
        </is>
      </c>
      <c r="F1736" s="6" t="inlineStr">
        <is>
          <t>-</t>
        </is>
      </c>
      <c r="G1736" s="7" t="n">
        <v>53.38345718383789</v>
      </c>
      <c r="H1736" s="6">
        <f>P1705</f>
        <v/>
      </c>
      <c r="I1736" s="9">
        <f>Q1705</f>
        <v/>
      </c>
      <c r="J1736" s="7">
        <f>I1736*G1736</f>
        <v/>
      </c>
      <c r="K1736" s="8">
        <f>IF($J$1737=0,0,J1736/$J$1737)</f>
        <v/>
      </c>
      <c r="L1736" s="6" t="inlineStr">
        <is>
          <t>WATCHLIST</t>
        </is>
      </c>
      <c r="M1736" s="8" t="n">
        <v>0</v>
      </c>
      <c r="N1736" s="7">
        <f>M1736*$J$1737-J1736</f>
        <v/>
      </c>
      <c r="O1736" s="9">
        <f>IF(G1736=0,0,N1736/G1736)</f>
        <v/>
      </c>
      <c r="P1736" s="6">
        <f>IF(M1736&gt;0,D1736,"")</f>
        <v/>
      </c>
      <c r="Q1736" s="9">
        <f>I1736+O1736</f>
        <v/>
      </c>
      <c r="R1736" s="7">
        <f>Q1736*G1736</f>
        <v/>
      </c>
      <c r="S1736" s="8">
        <f>IF($R$1737=0,0,R1736/$R$1737)</f>
        <v/>
      </c>
      <c r="T1736" s="8" t="n">
        <v>0.01386109885315023</v>
      </c>
      <c r="U1736" s="8" t="n">
        <v>0.006576852624210483</v>
      </c>
      <c r="V1736" s="6" t="inlineStr">
        <is>
          <t>not selected</t>
        </is>
      </c>
    </row>
    <row r="1737">
      <c r="A1737" s="10" t="inlineStr">
        <is>
          <t>DJ30</t>
        </is>
      </c>
      <c r="B1737" s="10" t="inlineStr">
        <is>
          <t>2024-01-26</t>
        </is>
      </c>
      <c r="C1737" s="10" t="inlineStr">
        <is>
          <t>DIA</t>
        </is>
      </c>
      <c r="D1737" s="10" t="inlineStr">
        <is>
          <t>Tot Portfolio</t>
        </is>
      </c>
      <c r="E1737" s="10" t="inlineStr"/>
      <c r="F1737" s="10" t="inlineStr"/>
      <c r="G1737" s="11" t="inlineStr"/>
      <c r="H1737" s="10" t="inlineStr"/>
      <c r="I1737" s="12" t="inlineStr"/>
      <c r="J1737" s="11">
        <f>SUM(J1707:J1736)</f>
        <v/>
      </c>
      <c r="K1737" s="13">
        <f>SUM(K1707:K1736)</f>
        <v/>
      </c>
      <c r="L1737" s="10" t="inlineStr">
        <is>
          <t>TOTAL</t>
        </is>
      </c>
      <c r="M1737" s="13">
        <f>SUM(M1707:M1736)</f>
        <v/>
      </c>
      <c r="N1737" s="11">
        <f>SUM(N1707:N1736)</f>
        <v/>
      </c>
      <c r="O1737" s="12">
        <f>SUM(O1707:O1736)</f>
        <v/>
      </c>
      <c r="P1737" s="10" t="inlineStr"/>
      <c r="Q1737" s="12" t="inlineStr"/>
      <c r="R1737" s="11">
        <f>SUM(R1707:R1736)</f>
        <v/>
      </c>
      <c r="S1737" s="13">
        <f>SUM(S1707:S1736)</f>
        <v/>
      </c>
      <c r="T1737" s="13" t="n">
        <v>0.01386109885315023</v>
      </c>
      <c r="U1737" s="13" t="n">
        <v>0.006576852624210483</v>
      </c>
      <c r="V1737" s="10" t="inlineStr"/>
    </row>
    <row r="1738">
      <c r="A1738" s="6" t="inlineStr">
        <is>
          <t>DJ30</t>
        </is>
      </c>
      <c r="B1738" s="6" t="inlineStr">
        <is>
          <t>2024-02-02</t>
        </is>
      </c>
      <c r="C1738" s="6" t="inlineStr">
        <is>
          <t>DIA</t>
        </is>
      </c>
      <c r="D1738" s="6" t="inlineStr">
        <is>
          <t>AAPL</t>
        </is>
      </c>
      <c r="E1738" s="6" t="inlineStr">
        <is>
          <t>AAPL</t>
        </is>
      </c>
      <c r="F1738" s="6" t="inlineStr">
        <is>
          <t>-</t>
        </is>
      </c>
      <c r="G1738" s="7" t="n">
        <v>183.7698364257812</v>
      </c>
      <c r="H1738" s="6">
        <f>P1707</f>
        <v/>
      </c>
      <c r="I1738" s="9">
        <f>Q1707</f>
        <v/>
      </c>
      <c r="J1738" s="7">
        <f>I1738*G1738</f>
        <v/>
      </c>
      <c r="K1738" s="8">
        <f>IF($J$1768=0,0,J1738/$J$1768)</f>
        <v/>
      </c>
      <c r="L1738" s="6" t="inlineStr">
        <is>
          <t>WATCHLIST</t>
        </is>
      </c>
      <c r="M1738" s="8" t="n">
        <v>0</v>
      </c>
      <c r="N1738" s="7">
        <f>M1738*$J$1768-J1738</f>
        <v/>
      </c>
      <c r="O1738" s="9">
        <f>IF(G1738=0,0,N1738/G1738)</f>
        <v/>
      </c>
      <c r="P1738" s="6">
        <f>IF(M1738&gt;0,D1738,"")</f>
        <v/>
      </c>
      <c r="Q1738" s="9">
        <f>I1738+O1738</f>
        <v/>
      </c>
      <c r="R1738" s="7">
        <f>Q1738*G1738</f>
        <v/>
      </c>
      <c r="S1738" s="8">
        <f>IF($R$1768=0,0,R1738/$R$1768)</f>
        <v/>
      </c>
      <c r="T1738" s="8" t="n">
        <v>0.02892522809420051</v>
      </c>
      <c r="U1738" s="8" t="n">
        <v>0.01398623996516646</v>
      </c>
      <c r="V1738" s="6" t="inlineStr">
        <is>
          <t>not selected</t>
        </is>
      </c>
    </row>
    <row r="1739">
      <c r="A1739" s="6" t="inlineStr">
        <is>
          <t>DJ30</t>
        </is>
      </c>
      <c r="B1739" s="6" t="inlineStr">
        <is>
          <t>2024-02-02</t>
        </is>
      </c>
      <c r="C1739" s="6" t="inlineStr">
        <is>
          <t>DIA</t>
        </is>
      </c>
      <c r="D1739" s="6" t="inlineStr">
        <is>
          <t>AMGN</t>
        </is>
      </c>
      <c r="E1739" s="6" t="inlineStr">
        <is>
          <t>AMGN</t>
        </is>
      </c>
      <c r="F1739" s="6" t="inlineStr">
        <is>
          <t>-</t>
        </is>
      </c>
      <c r="G1739" s="7" t="n">
        <v>299.4693908691406</v>
      </c>
      <c r="H1739" s="6">
        <f>P1708</f>
        <v/>
      </c>
      <c r="I1739" s="9">
        <f>Q1708</f>
        <v/>
      </c>
      <c r="J1739" s="7">
        <f>I1739*G1739</f>
        <v/>
      </c>
      <c r="K1739" s="8">
        <f>IF($J$1768=0,0,J1739/$J$1768)</f>
        <v/>
      </c>
      <c r="L1739" s="6" t="inlineStr">
        <is>
          <t>SELECTED</t>
        </is>
      </c>
      <c r="M1739" s="8" t="n">
        <v>0.2</v>
      </c>
      <c r="N1739" s="7">
        <f>M1739*$J$1768-J1739</f>
        <v/>
      </c>
      <c r="O1739" s="9">
        <f>IF(G1739=0,0,N1739/G1739)</f>
        <v/>
      </c>
      <c r="P1739" s="6">
        <f>IF(M1739&gt;0,D1739,"")</f>
        <v/>
      </c>
      <c r="Q1739" s="9">
        <f>I1739+O1739</f>
        <v/>
      </c>
      <c r="R1739" s="7">
        <f>Q1739*G1739</f>
        <v/>
      </c>
      <c r="S1739" s="8">
        <f>IF($R$1768=0,0,R1739/$R$1768)</f>
        <v/>
      </c>
      <c r="T1739" s="8" t="n">
        <v>0.02892522809420051</v>
      </c>
      <c r="U1739" s="8" t="n">
        <v>0.01398623996516646</v>
      </c>
      <c r="V1739" s="6" t="inlineStr">
        <is>
          <t>remained in weekly selection</t>
        </is>
      </c>
    </row>
    <row r="1740">
      <c r="A1740" s="6" t="inlineStr">
        <is>
          <t>DJ30</t>
        </is>
      </c>
      <c r="B1740" s="6" t="inlineStr">
        <is>
          <t>2024-02-02</t>
        </is>
      </c>
      <c r="C1740" s="6" t="inlineStr">
        <is>
          <t>DIA</t>
        </is>
      </c>
      <c r="D1740" s="6" t="inlineStr">
        <is>
          <t>AMZN</t>
        </is>
      </c>
      <c r="E1740" s="6" t="inlineStr">
        <is>
          <t>AMZN</t>
        </is>
      </c>
      <c r="F1740" s="6" t="inlineStr">
        <is>
          <t>-</t>
        </is>
      </c>
      <c r="G1740" s="7" t="n">
        <v>171.8099975585938</v>
      </c>
      <c r="H1740" s="6">
        <f>P1709</f>
        <v/>
      </c>
      <c r="I1740" s="9">
        <f>Q1709</f>
        <v/>
      </c>
      <c r="J1740" s="7">
        <f>I1740*G1740</f>
        <v/>
      </c>
      <c r="K1740" s="8">
        <f>IF($J$1768=0,0,J1740/$J$1768)</f>
        <v/>
      </c>
      <c r="L1740" s="6" t="inlineStr">
        <is>
          <t>WATCHLIST</t>
        </is>
      </c>
      <c r="M1740" s="8" t="n">
        <v>0</v>
      </c>
      <c r="N1740" s="7">
        <f>M1740*$J$1768-J1740</f>
        <v/>
      </c>
      <c r="O1740" s="9">
        <f>IF(G1740=0,0,N1740/G1740)</f>
        <v/>
      </c>
      <c r="P1740" s="6">
        <f>IF(M1740&gt;0,D1740,"")</f>
        <v/>
      </c>
      <c r="Q1740" s="9">
        <f>I1740+O1740</f>
        <v/>
      </c>
      <c r="R1740" s="7">
        <f>Q1740*G1740</f>
        <v/>
      </c>
      <c r="S1740" s="8">
        <f>IF($R$1768=0,0,R1740/$R$1768)</f>
        <v/>
      </c>
      <c r="T1740" s="8" t="n">
        <v>0.02892522809420051</v>
      </c>
      <c r="U1740" s="8" t="n">
        <v>0.01398623996516646</v>
      </c>
      <c r="V1740" s="6" t="inlineStr">
        <is>
          <t>not selected</t>
        </is>
      </c>
    </row>
    <row r="1741">
      <c r="A1741" s="6" t="inlineStr">
        <is>
          <t>DJ30</t>
        </is>
      </c>
      <c r="B1741" s="6" t="inlineStr">
        <is>
          <t>2024-02-02</t>
        </is>
      </c>
      <c r="C1741" s="6" t="inlineStr">
        <is>
          <t>DIA</t>
        </is>
      </c>
      <c r="D1741" s="6" t="inlineStr">
        <is>
          <t>AXP</t>
        </is>
      </c>
      <c r="E1741" s="6" t="inlineStr">
        <is>
          <t>AXP</t>
        </is>
      </c>
      <c r="F1741" s="6" t="inlineStr">
        <is>
          <t>-</t>
        </is>
      </c>
      <c r="G1741" s="7" t="n">
        <v>201.3605346679688</v>
      </c>
      <c r="H1741" s="6">
        <f>P1710</f>
        <v/>
      </c>
      <c r="I1741" s="9">
        <f>Q1710</f>
        <v/>
      </c>
      <c r="J1741" s="7">
        <f>I1741*G1741</f>
        <v/>
      </c>
      <c r="K1741" s="8">
        <f>IF($J$1768=0,0,J1741/$J$1768)</f>
        <v/>
      </c>
      <c r="L1741" s="6" t="inlineStr">
        <is>
          <t>REJECTED</t>
        </is>
      </c>
      <c r="M1741" s="8" t="n">
        <v>0</v>
      </c>
      <c r="N1741" s="7">
        <f>M1741*$J$1768-J1741</f>
        <v/>
      </c>
      <c r="O1741" s="9">
        <f>IF(G1741=0,0,N1741/G1741)</f>
        <v/>
      </c>
      <c r="P1741" s="6">
        <f>IF(M1741&gt;0,D1741,"")</f>
        <v/>
      </c>
      <c r="Q1741" s="9">
        <f>I1741+O1741</f>
        <v/>
      </c>
      <c r="R1741" s="7">
        <f>Q1741*G1741</f>
        <v/>
      </c>
      <c r="S1741" s="8">
        <f>IF($R$1768=0,0,R1741/$R$1768)</f>
        <v/>
      </c>
      <c r="T1741" s="8" t="n">
        <v>0.02892522809420051</v>
      </c>
      <c r="U1741" s="8" t="n">
        <v>0.01398623996516646</v>
      </c>
      <c r="V1741" s="6" t="inlineStr">
        <is>
          <t>not selected</t>
        </is>
      </c>
    </row>
    <row r="1742">
      <c r="A1742" s="6" t="inlineStr">
        <is>
          <t>DJ30</t>
        </is>
      </c>
      <c r="B1742" s="6" t="inlineStr">
        <is>
          <t>2024-02-02</t>
        </is>
      </c>
      <c r="C1742" s="6" t="inlineStr">
        <is>
          <t>DIA</t>
        </is>
      </c>
      <c r="D1742" s="6" t="inlineStr">
        <is>
          <t>BA</t>
        </is>
      </c>
      <c r="E1742" s="6" t="inlineStr">
        <is>
          <t>BA</t>
        </is>
      </c>
      <c r="F1742" s="6" t="inlineStr">
        <is>
          <t>-</t>
        </is>
      </c>
      <c r="G1742" s="7" t="n">
        <v>209.3800048828125</v>
      </c>
      <c r="H1742" s="6">
        <f>P1711</f>
        <v/>
      </c>
      <c r="I1742" s="9">
        <f>Q1711</f>
        <v/>
      </c>
      <c r="J1742" s="7">
        <f>I1742*G1742</f>
        <v/>
      </c>
      <c r="K1742" s="8">
        <f>IF($J$1768=0,0,J1742/$J$1768)</f>
        <v/>
      </c>
      <c r="L1742" s="6" t="inlineStr">
        <is>
          <t>REJECTED</t>
        </is>
      </c>
      <c r="M1742" s="8" t="n">
        <v>0</v>
      </c>
      <c r="N1742" s="7">
        <f>M1742*$J$1768-J1742</f>
        <v/>
      </c>
      <c r="O1742" s="9">
        <f>IF(G1742=0,0,N1742/G1742)</f>
        <v/>
      </c>
      <c r="P1742" s="6">
        <f>IF(M1742&gt;0,D1742,"")</f>
        <v/>
      </c>
      <c r="Q1742" s="9">
        <f>I1742+O1742</f>
        <v/>
      </c>
      <c r="R1742" s="7">
        <f>Q1742*G1742</f>
        <v/>
      </c>
      <c r="S1742" s="8">
        <f>IF($R$1768=0,0,R1742/$R$1768)</f>
        <v/>
      </c>
      <c r="T1742" s="8" t="n">
        <v>0.02892522809420051</v>
      </c>
      <c r="U1742" s="8" t="n">
        <v>0.01398623996516646</v>
      </c>
      <c r="V1742" s="6" t="inlineStr">
        <is>
          <t>not selected</t>
        </is>
      </c>
    </row>
    <row r="1743">
      <c r="A1743" s="6" t="inlineStr">
        <is>
          <t>DJ30</t>
        </is>
      </c>
      <c r="B1743" s="6" t="inlineStr">
        <is>
          <t>2024-02-02</t>
        </is>
      </c>
      <c r="C1743" s="6" t="inlineStr">
        <is>
          <t>DIA</t>
        </is>
      </c>
      <c r="D1743" s="6" t="inlineStr">
        <is>
          <t>CAT</t>
        </is>
      </c>
      <c r="E1743" s="6" t="inlineStr">
        <is>
          <t>CAT</t>
        </is>
      </c>
      <c r="F1743" s="6" t="inlineStr">
        <is>
          <t>-</t>
        </is>
      </c>
      <c r="G1743" s="7" t="n">
        <v>305.6197509765625</v>
      </c>
      <c r="H1743" s="6">
        <f>P1712</f>
        <v/>
      </c>
      <c r="I1743" s="9">
        <f>Q1712</f>
        <v/>
      </c>
      <c r="J1743" s="7">
        <f>I1743*G1743</f>
        <v/>
      </c>
      <c r="K1743" s="8">
        <f>IF($J$1768=0,0,J1743/$J$1768)</f>
        <v/>
      </c>
      <c r="L1743" s="6" t="inlineStr">
        <is>
          <t>SELECTED</t>
        </is>
      </c>
      <c r="M1743" s="8" t="n">
        <v>0.2</v>
      </c>
      <c r="N1743" s="7">
        <f>M1743*$J$1768-J1743</f>
        <v/>
      </c>
      <c r="O1743" s="9">
        <f>IF(G1743=0,0,N1743/G1743)</f>
        <v/>
      </c>
      <c r="P1743" s="6">
        <f>IF(M1743&gt;0,D1743,"")</f>
        <v/>
      </c>
      <c r="Q1743" s="9">
        <f>I1743+O1743</f>
        <v/>
      </c>
      <c r="R1743" s="7">
        <f>Q1743*G1743</f>
        <v/>
      </c>
      <c r="S1743" s="8">
        <f>IF($R$1768=0,0,R1743/$R$1768)</f>
        <v/>
      </c>
      <c r="T1743" s="8" t="n">
        <v>0.02892522809420051</v>
      </c>
      <c r="U1743" s="8" t="n">
        <v>0.01398623996516646</v>
      </c>
      <c r="V1743" s="6" t="inlineStr">
        <is>
          <t>entered weekly selection</t>
        </is>
      </c>
    </row>
    <row r="1744">
      <c r="A1744" s="6" t="inlineStr">
        <is>
          <t>DJ30</t>
        </is>
      </c>
      <c r="B1744" s="6" t="inlineStr">
        <is>
          <t>2024-02-02</t>
        </is>
      </c>
      <c r="C1744" s="6" t="inlineStr">
        <is>
          <t>DIA</t>
        </is>
      </c>
      <c r="D1744" s="6" t="inlineStr">
        <is>
          <t>CRM</t>
        </is>
      </c>
      <c r="E1744" s="6" t="inlineStr">
        <is>
          <t>CRM</t>
        </is>
      </c>
      <c r="F1744" s="6" t="inlineStr">
        <is>
          <t>-</t>
        </is>
      </c>
      <c r="G1744" s="7" t="n">
        <v>280.8019714355469</v>
      </c>
      <c r="H1744" s="6">
        <f>P1713</f>
        <v/>
      </c>
      <c r="I1744" s="9">
        <f>Q1713</f>
        <v/>
      </c>
      <c r="J1744" s="7">
        <f>I1744*G1744</f>
        <v/>
      </c>
      <c r="K1744" s="8">
        <f>IF($J$1768=0,0,J1744/$J$1768)</f>
        <v/>
      </c>
      <c r="L1744" s="6" t="inlineStr">
        <is>
          <t>SELECTED</t>
        </is>
      </c>
      <c r="M1744" s="8" t="n">
        <v>0.2</v>
      </c>
      <c r="N1744" s="7">
        <f>M1744*$J$1768-J1744</f>
        <v/>
      </c>
      <c r="O1744" s="9">
        <f>IF(G1744=0,0,N1744/G1744)</f>
        <v/>
      </c>
      <c r="P1744" s="6">
        <f>IF(M1744&gt;0,D1744,"")</f>
        <v/>
      </c>
      <c r="Q1744" s="9">
        <f>I1744+O1744</f>
        <v/>
      </c>
      <c r="R1744" s="7">
        <f>Q1744*G1744</f>
        <v/>
      </c>
      <c r="S1744" s="8">
        <f>IF($R$1768=0,0,R1744/$R$1768)</f>
        <v/>
      </c>
      <c r="T1744" s="8" t="n">
        <v>0.02892522809420051</v>
      </c>
      <c r="U1744" s="8" t="n">
        <v>0.01398623996516646</v>
      </c>
      <c r="V1744" s="6" t="inlineStr">
        <is>
          <t>remained in weekly selection</t>
        </is>
      </c>
    </row>
    <row r="1745">
      <c r="A1745" s="6" t="inlineStr">
        <is>
          <t>DJ30</t>
        </is>
      </c>
      <c r="B1745" s="6" t="inlineStr">
        <is>
          <t>2024-02-02</t>
        </is>
      </c>
      <c r="C1745" s="6" t="inlineStr">
        <is>
          <t>DIA</t>
        </is>
      </c>
      <c r="D1745" s="6" t="inlineStr">
        <is>
          <t>CSCO</t>
        </is>
      </c>
      <c r="E1745" s="6" t="inlineStr">
        <is>
          <t>CSCO</t>
        </is>
      </c>
      <c r="F1745" s="6" t="inlineStr">
        <is>
          <t>-</t>
        </is>
      </c>
      <c r="G1745" s="7" t="n">
        <v>47.23494720458984</v>
      </c>
      <c r="H1745" s="6">
        <f>P1714</f>
        <v/>
      </c>
      <c r="I1745" s="9">
        <f>Q1714</f>
        <v/>
      </c>
      <c r="J1745" s="7">
        <f>I1745*G1745</f>
        <v/>
      </c>
      <c r="K1745" s="8">
        <f>IF($J$1768=0,0,J1745/$J$1768)</f>
        <v/>
      </c>
      <c r="L1745" s="6" t="inlineStr">
        <is>
          <t>REJECTED</t>
        </is>
      </c>
      <c r="M1745" s="8" t="n">
        <v>0</v>
      </c>
      <c r="N1745" s="7">
        <f>M1745*$J$1768-J1745</f>
        <v/>
      </c>
      <c r="O1745" s="9">
        <f>IF(G1745=0,0,N1745/G1745)</f>
        <v/>
      </c>
      <c r="P1745" s="6">
        <f>IF(M1745&gt;0,D1745,"")</f>
        <v/>
      </c>
      <c r="Q1745" s="9">
        <f>I1745+O1745</f>
        <v/>
      </c>
      <c r="R1745" s="7">
        <f>Q1745*G1745</f>
        <v/>
      </c>
      <c r="S1745" s="8">
        <f>IF($R$1768=0,0,R1745/$R$1768)</f>
        <v/>
      </c>
      <c r="T1745" s="8" t="n">
        <v>0.02892522809420051</v>
      </c>
      <c r="U1745" s="8" t="n">
        <v>0.01398623996516646</v>
      </c>
      <c r="V1745" s="6" t="inlineStr">
        <is>
          <t>not selected</t>
        </is>
      </c>
    </row>
    <row r="1746">
      <c r="A1746" s="6" t="inlineStr">
        <is>
          <t>DJ30</t>
        </is>
      </c>
      <c r="B1746" s="6" t="inlineStr">
        <is>
          <t>2024-02-02</t>
        </is>
      </c>
      <c r="C1746" s="6" t="inlineStr">
        <is>
          <t>DIA</t>
        </is>
      </c>
      <c r="D1746" s="6" t="inlineStr">
        <is>
          <t>CVX</t>
        </is>
      </c>
      <c r="E1746" s="6" t="inlineStr">
        <is>
          <t>CVX</t>
        </is>
      </c>
      <c r="F1746" s="6" t="inlineStr">
        <is>
          <t>-</t>
        </is>
      </c>
      <c r="G1746" s="7" t="n">
        <v>136.8810729980469</v>
      </c>
      <c r="H1746" s="6">
        <f>P1715</f>
        <v/>
      </c>
      <c r="I1746" s="9">
        <f>Q1715</f>
        <v/>
      </c>
      <c r="J1746" s="7">
        <f>I1746*G1746</f>
        <v/>
      </c>
      <c r="K1746" s="8">
        <f>IF($J$1768=0,0,J1746/$J$1768)</f>
        <v/>
      </c>
      <c r="L1746" s="6" t="inlineStr">
        <is>
          <t>REJECTED</t>
        </is>
      </c>
      <c r="M1746" s="8" t="n">
        <v>0</v>
      </c>
      <c r="N1746" s="7">
        <f>M1746*$J$1768-J1746</f>
        <v/>
      </c>
      <c r="O1746" s="9">
        <f>IF(G1746=0,0,N1746/G1746)</f>
        <v/>
      </c>
      <c r="P1746" s="6">
        <f>IF(M1746&gt;0,D1746,"")</f>
        <v/>
      </c>
      <c r="Q1746" s="9">
        <f>I1746+O1746</f>
        <v/>
      </c>
      <c r="R1746" s="7">
        <f>Q1746*G1746</f>
        <v/>
      </c>
      <c r="S1746" s="8">
        <f>IF($R$1768=0,0,R1746/$R$1768)</f>
        <v/>
      </c>
      <c r="T1746" s="8" t="n">
        <v>0.02892522809420051</v>
      </c>
      <c r="U1746" s="8" t="n">
        <v>0.01398623996516646</v>
      </c>
      <c r="V1746" s="6" t="inlineStr">
        <is>
          <t>not selected</t>
        </is>
      </c>
    </row>
    <row r="1747">
      <c r="A1747" s="6" t="inlineStr">
        <is>
          <t>DJ30</t>
        </is>
      </c>
      <c r="B1747" s="6" t="inlineStr">
        <is>
          <t>2024-02-02</t>
        </is>
      </c>
      <c r="C1747" s="6" t="inlineStr">
        <is>
          <t>DIA</t>
        </is>
      </c>
      <c r="D1747" s="6" t="inlineStr">
        <is>
          <t>DIS</t>
        </is>
      </c>
      <c r="E1747" s="6" t="inlineStr">
        <is>
          <t>DIS</t>
        </is>
      </c>
      <c r="F1747" s="6" t="inlineStr">
        <is>
          <t>-</t>
        </is>
      </c>
      <c r="G1747" s="7" t="n">
        <v>95.2045440673828</v>
      </c>
      <c r="H1747" s="6">
        <f>P1716</f>
        <v/>
      </c>
      <c r="I1747" s="9">
        <f>Q1716</f>
        <v/>
      </c>
      <c r="J1747" s="7">
        <f>I1747*G1747</f>
        <v/>
      </c>
      <c r="K1747" s="8">
        <f>IF($J$1768=0,0,J1747/$J$1768)</f>
        <v/>
      </c>
      <c r="L1747" s="6" t="inlineStr">
        <is>
          <t>REJECTED</t>
        </is>
      </c>
      <c r="M1747" s="8" t="n">
        <v>0</v>
      </c>
      <c r="N1747" s="7">
        <f>M1747*$J$1768-J1747</f>
        <v/>
      </c>
      <c r="O1747" s="9">
        <f>IF(G1747=0,0,N1747/G1747)</f>
        <v/>
      </c>
      <c r="P1747" s="6">
        <f>IF(M1747&gt;0,D1747,"")</f>
        <v/>
      </c>
      <c r="Q1747" s="9">
        <f>I1747+O1747</f>
        <v/>
      </c>
      <c r="R1747" s="7">
        <f>Q1747*G1747</f>
        <v/>
      </c>
      <c r="S1747" s="8">
        <f>IF($R$1768=0,0,R1747/$R$1768)</f>
        <v/>
      </c>
      <c r="T1747" s="8" t="n">
        <v>0.02892522809420051</v>
      </c>
      <c r="U1747" s="8" t="n">
        <v>0.01398623996516646</v>
      </c>
      <c r="V1747" s="6" t="inlineStr">
        <is>
          <t>not selected</t>
        </is>
      </c>
    </row>
    <row r="1748">
      <c r="A1748" s="6" t="inlineStr">
        <is>
          <t>DJ30</t>
        </is>
      </c>
      <c r="B1748" s="6" t="inlineStr">
        <is>
          <t>2024-02-02</t>
        </is>
      </c>
      <c r="C1748" s="6" t="inlineStr">
        <is>
          <t>DIA</t>
        </is>
      </c>
      <c r="D1748" s="6" t="inlineStr">
        <is>
          <t>GS</t>
        </is>
      </c>
      <c r="E1748" s="6" t="inlineStr">
        <is>
          <t>GS</t>
        </is>
      </c>
      <c r="F1748" s="6" t="inlineStr">
        <is>
          <t>-</t>
        </is>
      </c>
      <c r="G1748" s="7" t="n">
        <v>367.5502014160156</v>
      </c>
      <c r="H1748" s="6">
        <f>P1717</f>
        <v/>
      </c>
      <c r="I1748" s="9">
        <f>Q1717</f>
        <v/>
      </c>
      <c r="J1748" s="7">
        <f>I1748*G1748</f>
        <v/>
      </c>
      <c r="K1748" s="8">
        <f>IF($J$1768=0,0,J1748/$J$1768)</f>
        <v/>
      </c>
      <c r="L1748" s="6" t="inlineStr">
        <is>
          <t>REJECTED</t>
        </is>
      </c>
      <c r="M1748" s="8" t="n">
        <v>0</v>
      </c>
      <c r="N1748" s="7">
        <f>M1748*$J$1768-J1748</f>
        <v/>
      </c>
      <c r="O1748" s="9">
        <f>IF(G1748=0,0,N1748/G1748)</f>
        <v/>
      </c>
      <c r="P1748" s="6">
        <f>IF(M1748&gt;0,D1748,"")</f>
        <v/>
      </c>
      <c r="Q1748" s="9">
        <f>I1748+O1748</f>
        <v/>
      </c>
      <c r="R1748" s="7">
        <f>Q1748*G1748</f>
        <v/>
      </c>
      <c r="S1748" s="8">
        <f>IF($R$1768=0,0,R1748/$R$1768)</f>
        <v/>
      </c>
      <c r="T1748" s="8" t="n">
        <v>0.02892522809420051</v>
      </c>
      <c r="U1748" s="8" t="n">
        <v>0.01398623996516646</v>
      </c>
      <c r="V1748" s="6" t="inlineStr">
        <is>
          <t>not selected</t>
        </is>
      </c>
    </row>
    <row r="1749">
      <c r="A1749" s="6" t="inlineStr">
        <is>
          <t>DJ30</t>
        </is>
      </c>
      <c r="B1749" s="6" t="inlineStr">
        <is>
          <t>2024-02-02</t>
        </is>
      </c>
      <c r="C1749" s="6" t="inlineStr">
        <is>
          <t>DIA</t>
        </is>
      </c>
      <c r="D1749" s="6" t="inlineStr">
        <is>
          <t>HD</t>
        </is>
      </c>
      <c r="E1749" s="6" t="inlineStr">
        <is>
          <t>HD</t>
        </is>
      </c>
      <c r="F1749" s="6" t="inlineStr">
        <is>
          <t>-</t>
        </is>
      </c>
      <c r="G1749" s="7" t="n">
        <v>335.4321899414062</v>
      </c>
      <c r="H1749" s="6">
        <f>P1718</f>
        <v/>
      </c>
      <c r="I1749" s="9">
        <f>Q1718</f>
        <v/>
      </c>
      <c r="J1749" s="7">
        <f>I1749*G1749</f>
        <v/>
      </c>
      <c r="K1749" s="8">
        <f>IF($J$1768=0,0,J1749/$J$1768)</f>
        <v/>
      </c>
      <c r="L1749" s="6" t="inlineStr">
        <is>
          <t>WATCHLIST</t>
        </is>
      </c>
      <c r="M1749" s="8" t="n">
        <v>0</v>
      </c>
      <c r="N1749" s="7">
        <f>M1749*$J$1768-J1749</f>
        <v/>
      </c>
      <c r="O1749" s="9">
        <f>IF(G1749=0,0,N1749/G1749)</f>
        <v/>
      </c>
      <c r="P1749" s="6">
        <f>IF(M1749&gt;0,D1749,"")</f>
        <v/>
      </c>
      <c r="Q1749" s="9">
        <f>I1749+O1749</f>
        <v/>
      </c>
      <c r="R1749" s="7">
        <f>Q1749*G1749</f>
        <v/>
      </c>
      <c r="S1749" s="8">
        <f>IF($R$1768=0,0,R1749/$R$1768)</f>
        <v/>
      </c>
      <c r="T1749" s="8" t="n">
        <v>0.02892522809420051</v>
      </c>
      <c r="U1749" s="8" t="n">
        <v>0.01398623996516646</v>
      </c>
      <c r="V1749" s="6" t="inlineStr">
        <is>
          <t>not selected</t>
        </is>
      </c>
    </row>
    <row r="1750">
      <c r="A1750" s="6" t="inlineStr">
        <is>
          <t>DJ30</t>
        </is>
      </c>
      <c r="B1750" s="6" t="inlineStr">
        <is>
          <t>2024-02-02</t>
        </is>
      </c>
      <c r="C1750" s="6" t="inlineStr">
        <is>
          <t>DIA</t>
        </is>
      </c>
      <c r="D1750" s="6" t="inlineStr">
        <is>
          <t>HON</t>
        </is>
      </c>
      <c r="E1750" s="6" t="inlineStr">
        <is>
          <t>HON</t>
        </is>
      </c>
      <c r="F1750" s="6" t="inlineStr">
        <is>
          <t>-</t>
        </is>
      </c>
      <c r="G1750" s="7" t="n">
        <v>175.2657012939453</v>
      </c>
      <c r="H1750" s="6">
        <f>P1719</f>
        <v/>
      </c>
      <c r="I1750" s="9">
        <f>Q1719</f>
        <v/>
      </c>
      <c r="J1750" s="7">
        <f>I1750*G1750</f>
        <v/>
      </c>
      <c r="K1750" s="8">
        <f>IF($J$1768=0,0,J1750/$J$1768)</f>
        <v/>
      </c>
      <c r="L1750" s="6" t="inlineStr">
        <is>
          <t>REJECTED</t>
        </is>
      </c>
      <c r="M1750" s="8" t="n">
        <v>0</v>
      </c>
      <c r="N1750" s="7">
        <f>M1750*$J$1768-J1750</f>
        <v/>
      </c>
      <c r="O1750" s="9">
        <f>IF(G1750=0,0,N1750/G1750)</f>
        <v/>
      </c>
      <c r="P1750" s="6">
        <f>IF(M1750&gt;0,D1750,"")</f>
        <v/>
      </c>
      <c r="Q1750" s="9">
        <f>I1750+O1750</f>
        <v/>
      </c>
      <c r="R1750" s="7">
        <f>Q1750*G1750</f>
        <v/>
      </c>
      <c r="S1750" s="8">
        <f>IF($R$1768=0,0,R1750/$R$1768)</f>
        <v/>
      </c>
      <c r="T1750" s="8" t="n">
        <v>0.02892522809420051</v>
      </c>
      <c r="U1750" s="8" t="n">
        <v>0.01398623996516646</v>
      </c>
      <c r="V1750" s="6" t="inlineStr">
        <is>
          <t>not selected</t>
        </is>
      </c>
    </row>
    <row r="1751">
      <c r="A1751" s="6" t="inlineStr">
        <is>
          <t>DJ30</t>
        </is>
      </c>
      <c r="B1751" s="6" t="inlineStr">
        <is>
          <t>2024-02-02</t>
        </is>
      </c>
      <c r="C1751" s="6" t="inlineStr">
        <is>
          <t>DIA</t>
        </is>
      </c>
      <c r="D1751" s="6" t="inlineStr">
        <is>
          <t>IBM</t>
        </is>
      </c>
      <c r="E1751" s="6" t="inlineStr">
        <is>
          <t>IBM</t>
        </is>
      </c>
      <c r="F1751" s="6" t="inlineStr">
        <is>
          <t>-</t>
        </is>
      </c>
      <c r="G1751" s="7" t="n">
        <v>172.5310821533203</v>
      </c>
      <c r="H1751" s="6">
        <f>P1720</f>
        <v/>
      </c>
      <c r="I1751" s="9">
        <f>Q1720</f>
        <v/>
      </c>
      <c r="J1751" s="7">
        <f>I1751*G1751</f>
        <v/>
      </c>
      <c r="K1751" s="8">
        <f>IF($J$1768=0,0,J1751/$J$1768)</f>
        <v/>
      </c>
      <c r="L1751" s="6" t="inlineStr">
        <is>
          <t>SELECTED</t>
        </is>
      </c>
      <c r="M1751" s="8" t="n">
        <v>0.2</v>
      </c>
      <c r="N1751" s="7">
        <f>M1751*$J$1768-J1751</f>
        <v/>
      </c>
      <c r="O1751" s="9">
        <f>IF(G1751=0,0,N1751/G1751)</f>
        <v/>
      </c>
      <c r="P1751" s="6">
        <f>IF(M1751&gt;0,D1751,"")</f>
        <v/>
      </c>
      <c r="Q1751" s="9">
        <f>I1751+O1751</f>
        <v/>
      </c>
      <c r="R1751" s="7">
        <f>Q1751*G1751</f>
        <v/>
      </c>
      <c r="S1751" s="8">
        <f>IF($R$1768=0,0,R1751/$R$1768)</f>
        <v/>
      </c>
      <c r="T1751" s="8" t="n">
        <v>0.02892522809420051</v>
      </c>
      <c r="U1751" s="8" t="n">
        <v>0.01398623996516646</v>
      </c>
      <c r="V1751" s="6" t="inlineStr">
        <is>
          <t>remained in weekly selection</t>
        </is>
      </c>
    </row>
    <row r="1752">
      <c r="A1752" s="6" t="inlineStr">
        <is>
          <t>DJ30</t>
        </is>
      </c>
      <c r="B1752" s="6" t="inlineStr">
        <is>
          <t>2024-02-02</t>
        </is>
      </c>
      <c r="C1752" s="6" t="inlineStr">
        <is>
          <t>DIA</t>
        </is>
      </c>
      <c r="D1752" s="6" t="inlineStr">
        <is>
          <t>JNJ</t>
        </is>
      </c>
      <c r="E1752" s="6" t="inlineStr">
        <is>
          <t>JNJ</t>
        </is>
      </c>
      <c r="F1752" s="6" t="inlineStr">
        <is>
          <t>-</t>
        </is>
      </c>
      <c r="G1752" s="7" t="n">
        <v>145.6785278320312</v>
      </c>
      <c r="H1752" s="6">
        <f>P1721</f>
        <v/>
      </c>
      <c r="I1752" s="9">
        <f>Q1721</f>
        <v/>
      </c>
      <c r="J1752" s="7">
        <f>I1752*G1752</f>
        <v/>
      </c>
      <c r="K1752" s="8">
        <f>IF($J$1768=0,0,J1752/$J$1768)</f>
        <v/>
      </c>
      <c r="L1752" s="6" t="inlineStr">
        <is>
          <t>REJECTED</t>
        </is>
      </c>
      <c r="M1752" s="8" t="n">
        <v>0</v>
      </c>
      <c r="N1752" s="7">
        <f>M1752*$J$1768-J1752</f>
        <v/>
      </c>
      <c r="O1752" s="9">
        <f>IF(G1752=0,0,N1752/G1752)</f>
        <v/>
      </c>
      <c r="P1752" s="6">
        <f>IF(M1752&gt;0,D1752,"")</f>
        <v/>
      </c>
      <c r="Q1752" s="9">
        <f>I1752+O1752</f>
        <v/>
      </c>
      <c r="R1752" s="7">
        <f>Q1752*G1752</f>
        <v/>
      </c>
      <c r="S1752" s="8">
        <f>IF($R$1768=0,0,R1752/$R$1768)</f>
        <v/>
      </c>
      <c r="T1752" s="8" t="n">
        <v>0.02892522809420051</v>
      </c>
      <c r="U1752" s="8" t="n">
        <v>0.01398623996516646</v>
      </c>
      <c r="V1752" s="6" t="inlineStr">
        <is>
          <t>not selected</t>
        </is>
      </c>
    </row>
    <row r="1753">
      <c r="A1753" s="6" t="inlineStr">
        <is>
          <t>DJ30</t>
        </is>
      </c>
      <c r="B1753" s="6" t="inlineStr">
        <is>
          <t>2024-02-02</t>
        </is>
      </c>
      <c r="C1753" s="6" t="inlineStr">
        <is>
          <t>DIA</t>
        </is>
      </c>
      <c r="D1753" s="6" t="inlineStr">
        <is>
          <t>JPM</t>
        </is>
      </c>
      <c r="E1753" s="6" t="inlineStr">
        <is>
          <t>JPM</t>
        </is>
      </c>
      <c r="F1753" s="6" t="inlineStr">
        <is>
          <t>-</t>
        </is>
      </c>
      <c r="G1753" s="7" t="n">
        <v>166.5402984619141</v>
      </c>
      <c r="H1753" s="6">
        <f>P1722</f>
        <v/>
      </c>
      <c r="I1753" s="9">
        <f>Q1722</f>
        <v/>
      </c>
      <c r="J1753" s="7">
        <f>I1753*G1753</f>
        <v/>
      </c>
      <c r="K1753" s="8">
        <f>IF($J$1768=0,0,J1753/$J$1768)</f>
        <v/>
      </c>
      <c r="L1753" s="6" t="inlineStr">
        <is>
          <t>WATCHLIST</t>
        </is>
      </c>
      <c r="M1753" s="8" t="n">
        <v>0</v>
      </c>
      <c r="N1753" s="7">
        <f>M1753*$J$1768-J1753</f>
        <v/>
      </c>
      <c r="O1753" s="9">
        <f>IF(G1753=0,0,N1753/G1753)</f>
        <v/>
      </c>
      <c r="P1753" s="6">
        <f>IF(M1753&gt;0,D1753,"")</f>
        <v/>
      </c>
      <c r="Q1753" s="9">
        <f>I1753+O1753</f>
        <v/>
      </c>
      <c r="R1753" s="7">
        <f>Q1753*G1753</f>
        <v/>
      </c>
      <c r="S1753" s="8">
        <f>IF($R$1768=0,0,R1753/$R$1768)</f>
        <v/>
      </c>
      <c r="T1753" s="8" t="n">
        <v>0.02892522809420051</v>
      </c>
      <c r="U1753" s="8" t="n">
        <v>0.01398623996516646</v>
      </c>
      <c r="V1753" s="6" t="inlineStr">
        <is>
          <t>removed from weekly selection</t>
        </is>
      </c>
    </row>
    <row r="1754">
      <c r="A1754" s="6" t="inlineStr">
        <is>
          <t>DJ30</t>
        </is>
      </c>
      <c r="B1754" s="6" t="inlineStr">
        <is>
          <t>2024-02-02</t>
        </is>
      </c>
      <c r="C1754" s="6" t="inlineStr">
        <is>
          <t>DIA</t>
        </is>
      </c>
      <c r="D1754" s="6" t="inlineStr">
        <is>
          <t>KO</t>
        </is>
      </c>
      <c r="E1754" s="6" t="inlineStr">
        <is>
          <t>KO</t>
        </is>
      </c>
      <c r="F1754" s="6" t="inlineStr">
        <is>
          <t>-</t>
        </is>
      </c>
      <c r="G1754" s="7" t="n">
        <v>56.30905532836914</v>
      </c>
      <c r="H1754" s="6">
        <f>P1723</f>
        <v/>
      </c>
      <c r="I1754" s="9">
        <f>Q1723</f>
        <v/>
      </c>
      <c r="J1754" s="7">
        <f>I1754*G1754</f>
        <v/>
      </c>
      <c r="K1754" s="8">
        <f>IF($J$1768=0,0,J1754/$J$1768)</f>
        <v/>
      </c>
      <c r="L1754" s="6" t="inlineStr">
        <is>
          <t>REJECTED</t>
        </is>
      </c>
      <c r="M1754" s="8" t="n">
        <v>0</v>
      </c>
      <c r="N1754" s="7">
        <f>M1754*$J$1768-J1754</f>
        <v/>
      </c>
      <c r="O1754" s="9">
        <f>IF(G1754=0,0,N1754/G1754)</f>
        <v/>
      </c>
      <c r="P1754" s="6">
        <f>IF(M1754&gt;0,D1754,"")</f>
        <v/>
      </c>
      <c r="Q1754" s="9">
        <f>I1754+O1754</f>
        <v/>
      </c>
      <c r="R1754" s="7">
        <f>Q1754*G1754</f>
        <v/>
      </c>
      <c r="S1754" s="8">
        <f>IF($R$1768=0,0,R1754/$R$1768)</f>
        <v/>
      </c>
      <c r="T1754" s="8" t="n">
        <v>0.02892522809420051</v>
      </c>
      <c r="U1754" s="8" t="n">
        <v>0.01398623996516646</v>
      </c>
      <c r="V1754" s="6" t="inlineStr">
        <is>
          <t>not selected</t>
        </is>
      </c>
    </row>
    <row r="1755">
      <c r="A1755" s="6" t="inlineStr">
        <is>
          <t>DJ30</t>
        </is>
      </c>
      <c r="B1755" s="6" t="inlineStr">
        <is>
          <t>2024-02-02</t>
        </is>
      </c>
      <c r="C1755" s="6" t="inlineStr">
        <is>
          <t>DIA</t>
        </is>
      </c>
      <c r="D1755" s="6" t="inlineStr">
        <is>
          <t>MCD</t>
        </is>
      </c>
      <c r="E1755" s="6" t="inlineStr">
        <is>
          <t>MCD</t>
        </is>
      </c>
      <c r="F1755" s="6" t="inlineStr">
        <is>
          <t>-</t>
        </is>
      </c>
      <c r="G1755" s="7" t="n">
        <v>279.9382934570312</v>
      </c>
      <c r="H1755" s="6">
        <f>P1724</f>
        <v/>
      </c>
      <c r="I1755" s="9">
        <f>Q1724</f>
        <v/>
      </c>
      <c r="J1755" s="7">
        <f>I1755*G1755</f>
        <v/>
      </c>
      <c r="K1755" s="8">
        <f>IF($J$1768=0,0,J1755/$J$1768)</f>
        <v/>
      </c>
      <c r="L1755" s="6" t="inlineStr">
        <is>
          <t>REJECTED</t>
        </is>
      </c>
      <c r="M1755" s="8" t="n">
        <v>0</v>
      </c>
      <c r="N1755" s="7">
        <f>M1755*$J$1768-J1755</f>
        <v/>
      </c>
      <c r="O1755" s="9">
        <f>IF(G1755=0,0,N1755/G1755)</f>
        <v/>
      </c>
      <c r="P1755" s="6">
        <f>IF(M1755&gt;0,D1755,"")</f>
        <v/>
      </c>
      <c r="Q1755" s="9">
        <f>I1755+O1755</f>
        <v/>
      </c>
      <c r="R1755" s="7">
        <f>Q1755*G1755</f>
        <v/>
      </c>
      <c r="S1755" s="8">
        <f>IF($R$1768=0,0,R1755/$R$1768)</f>
        <v/>
      </c>
      <c r="T1755" s="8" t="n">
        <v>0.02892522809420051</v>
      </c>
      <c r="U1755" s="8" t="n">
        <v>0.01398623996516646</v>
      </c>
      <c r="V1755" s="6" t="inlineStr">
        <is>
          <t>not selected</t>
        </is>
      </c>
    </row>
    <row r="1756">
      <c r="A1756" s="6" t="inlineStr">
        <is>
          <t>DJ30</t>
        </is>
      </c>
      <c r="B1756" s="6" t="inlineStr">
        <is>
          <t>2024-02-02</t>
        </is>
      </c>
      <c r="C1756" s="6" t="inlineStr">
        <is>
          <t>DIA</t>
        </is>
      </c>
      <c r="D1756" s="6" t="inlineStr">
        <is>
          <t>MMM</t>
        </is>
      </c>
      <c r="E1756" s="6" t="inlineStr">
        <is>
          <t>MMM</t>
        </is>
      </c>
      <c r="F1756" s="6" t="inlineStr">
        <is>
          <t>-</t>
        </is>
      </c>
      <c r="G1756" s="7" t="n">
        <v>74.52318572998047</v>
      </c>
      <c r="H1756" s="6">
        <f>P1725</f>
        <v/>
      </c>
      <c r="I1756" s="9">
        <f>Q1725</f>
        <v/>
      </c>
      <c r="J1756" s="7">
        <f>I1756*G1756</f>
        <v/>
      </c>
      <c r="K1756" s="8">
        <f>IF($J$1768=0,0,J1756/$J$1768)</f>
        <v/>
      </c>
      <c r="L1756" s="6" t="inlineStr">
        <is>
          <t>REJECTED</t>
        </is>
      </c>
      <c r="M1756" s="8" t="n">
        <v>0</v>
      </c>
      <c r="N1756" s="7">
        <f>M1756*$J$1768-J1756</f>
        <v/>
      </c>
      <c r="O1756" s="9">
        <f>IF(G1756=0,0,N1756/G1756)</f>
        <v/>
      </c>
      <c r="P1756" s="6">
        <f>IF(M1756&gt;0,D1756,"")</f>
        <v/>
      </c>
      <c r="Q1756" s="9">
        <f>I1756+O1756</f>
        <v/>
      </c>
      <c r="R1756" s="7">
        <f>Q1756*G1756</f>
        <v/>
      </c>
      <c r="S1756" s="8">
        <f>IF($R$1768=0,0,R1756/$R$1768)</f>
        <v/>
      </c>
      <c r="T1756" s="8" t="n">
        <v>0.02892522809420051</v>
      </c>
      <c r="U1756" s="8" t="n">
        <v>0.01398623996516646</v>
      </c>
      <c r="V1756" s="6" t="inlineStr">
        <is>
          <t>not selected</t>
        </is>
      </c>
    </row>
    <row r="1757">
      <c r="A1757" s="6" t="inlineStr">
        <is>
          <t>DJ30</t>
        </is>
      </c>
      <c r="B1757" s="6" t="inlineStr">
        <is>
          <t>2024-02-02</t>
        </is>
      </c>
      <c r="C1757" s="6" t="inlineStr">
        <is>
          <t>DIA</t>
        </is>
      </c>
      <c r="D1757" s="6" t="inlineStr">
        <is>
          <t>MRK</t>
        </is>
      </c>
      <c r="E1757" s="6" t="inlineStr">
        <is>
          <t>MRK</t>
        </is>
      </c>
      <c r="F1757" s="6" t="inlineStr">
        <is>
          <t>-</t>
        </is>
      </c>
      <c r="G1757" s="7" t="n">
        <v>116.8805084228516</v>
      </c>
      <c r="H1757" s="6">
        <f>P1726</f>
        <v/>
      </c>
      <c r="I1757" s="9">
        <f>Q1726</f>
        <v/>
      </c>
      <c r="J1757" s="7">
        <f>I1757*G1757</f>
        <v/>
      </c>
      <c r="K1757" s="8">
        <f>IF($J$1768=0,0,J1757/$J$1768)</f>
        <v/>
      </c>
      <c r="L1757" s="6" t="inlineStr">
        <is>
          <t>REJECTED</t>
        </is>
      </c>
      <c r="M1757" s="8" t="n">
        <v>0</v>
      </c>
      <c r="N1757" s="7">
        <f>M1757*$J$1768-J1757</f>
        <v/>
      </c>
      <c r="O1757" s="9">
        <f>IF(G1757=0,0,N1757/G1757)</f>
        <v/>
      </c>
      <c r="P1757" s="6">
        <f>IF(M1757&gt;0,D1757,"")</f>
        <v/>
      </c>
      <c r="Q1757" s="9">
        <f>I1757+O1757</f>
        <v/>
      </c>
      <c r="R1757" s="7">
        <f>Q1757*G1757</f>
        <v/>
      </c>
      <c r="S1757" s="8">
        <f>IF($R$1768=0,0,R1757/$R$1768)</f>
        <v/>
      </c>
      <c r="T1757" s="8" t="n">
        <v>0.02892522809420051</v>
      </c>
      <c r="U1757" s="8" t="n">
        <v>0.01398623996516646</v>
      </c>
      <c r="V1757" s="6" t="inlineStr">
        <is>
          <t>not selected</t>
        </is>
      </c>
    </row>
    <row r="1758">
      <c r="A1758" s="6" t="inlineStr">
        <is>
          <t>DJ30</t>
        </is>
      </c>
      <c r="B1758" s="6" t="inlineStr">
        <is>
          <t>2024-02-02</t>
        </is>
      </c>
      <c r="C1758" s="6" t="inlineStr">
        <is>
          <t>DIA</t>
        </is>
      </c>
      <c r="D1758" s="6" t="inlineStr">
        <is>
          <t>MSFT</t>
        </is>
      </c>
      <c r="E1758" s="6" t="inlineStr">
        <is>
          <t>MSFT</t>
        </is>
      </c>
      <c r="F1758" s="6" t="inlineStr">
        <is>
          <t>-</t>
        </is>
      </c>
      <c r="G1758" s="7" t="n">
        <v>403.3824157714844</v>
      </c>
      <c r="H1758" s="6">
        <f>P1727</f>
        <v/>
      </c>
      <c r="I1758" s="9">
        <f>Q1727</f>
        <v/>
      </c>
      <c r="J1758" s="7">
        <f>I1758*G1758</f>
        <v/>
      </c>
      <c r="K1758" s="8">
        <f>IF($J$1768=0,0,J1758/$J$1768)</f>
        <v/>
      </c>
      <c r="L1758" s="6" t="inlineStr">
        <is>
          <t>WATCHLIST</t>
        </is>
      </c>
      <c r="M1758" s="8" t="n">
        <v>0</v>
      </c>
      <c r="N1758" s="7">
        <f>M1758*$J$1768-J1758</f>
        <v/>
      </c>
      <c r="O1758" s="9">
        <f>IF(G1758=0,0,N1758/G1758)</f>
        <v/>
      </c>
      <c r="P1758" s="6">
        <f>IF(M1758&gt;0,D1758,"")</f>
        <v/>
      </c>
      <c r="Q1758" s="9">
        <f>I1758+O1758</f>
        <v/>
      </c>
      <c r="R1758" s="7">
        <f>Q1758*G1758</f>
        <v/>
      </c>
      <c r="S1758" s="8">
        <f>IF($R$1768=0,0,R1758/$R$1768)</f>
        <v/>
      </c>
      <c r="T1758" s="8" t="n">
        <v>0.02892522809420051</v>
      </c>
      <c r="U1758" s="8" t="n">
        <v>0.01398623996516646</v>
      </c>
      <c r="V1758" s="6" t="inlineStr">
        <is>
          <t>not selected</t>
        </is>
      </c>
    </row>
    <row r="1759">
      <c r="A1759" s="6" t="inlineStr">
        <is>
          <t>DJ30</t>
        </is>
      </c>
      <c r="B1759" s="6" t="inlineStr">
        <is>
          <t>2024-02-02</t>
        </is>
      </c>
      <c r="C1759" s="6" t="inlineStr">
        <is>
          <t>DIA</t>
        </is>
      </c>
      <c r="D1759" s="6" t="inlineStr">
        <is>
          <t>NKE</t>
        </is>
      </c>
      <c r="E1759" s="6" t="inlineStr">
        <is>
          <t>NKE</t>
        </is>
      </c>
      <c r="F1759" s="6" t="inlineStr">
        <is>
          <t>-</t>
        </is>
      </c>
      <c r="G1759" s="7" t="n">
        <v>95.24887847900391</v>
      </c>
      <c r="H1759" s="6">
        <f>P1728</f>
        <v/>
      </c>
      <c r="I1759" s="9">
        <f>Q1728</f>
        <v/>
      </c>
      <c r="J1759" s="7">
        <f>I1759*G1759</f>
        <v/>
      </c>
      <c r="K1759" s="8">
        <f>IF($J$1768=0,0,J1759/$J$1768)</f>
        <v/>
      </c>
      <c r="L1759" s="6" t="inlineStr">
        <is>
          <t>REJECTED</t>
        </is>
      </c>
      <c r="M1759" s="8" t="n">
        <v>0</v>
      </c>
      <c r="N1759" s="7">
        <f>M1759*$J$1768-J1759</f>
        <v/>
      </c>
      <c r="O1759" s="9">
        <f>IF(G1759=0,0,N1759/G1759)</f>
        <v/>
      </c>
      <c r="P1759" s="6">
        <f>IF(M1759&gt;0,D1759,"")</f>
        <v/>
      </c>
      <c r="Q1759" s="9">
        <f>I1759+O1759</f>
        <v/>
      </c>
      <c r="R1759" s="7">
        <f>Q1759*G1759</f>
        <v/>
      </c>
      <c r="S1759" s="8">
        <f>IF($R$1768=0,0,R1759/$R$1768)</f>
        <v/>
      </c>
      <c r="T1759" s="8" t="n">
        <v>0.02892522809420051</v>
      </c>
      <c r="U1759" s="8" t="n">
        <v>0.01398623996516646</v>
      </c>
      <c r="V1759" s="6" t="inlineStr">
        <is>
          <t>not selected</t>
        </is>
      </c>
    </row>
    <row r="1760">
      <c r="A1760" s="6" t="inlineStr">
        <is>
          <t>DJ30</t>
        </is>
      </c>
      <c r="B1760" s="6" t="inlineStr">
        <is>
          <t>2024-02-02</t>
        </is>
      </c>
      <c r="C1760" s="6" t="inlineStr">
        <is>
          <t>DIA</t>
        </is>
      </c>
      <c r="D1760" s="6" t="inlineStr">
        <is>
          <t>NVDA</t>
        </is>
      </c>
      <c r="E1760" s="6" t="inlineStr">
        <is>
          <t>NVDA</t>
        </is>
      </c>
      <c r="F1760" s="6" t="inlineStr">
        <is>
          <t>-</t>
        </is>
      </c>
      <c r="G1760" s="7" t="n">
        <v>66.04261779785156</v>
      </c>
      <c r="H1760" s="6">
        <f>P1729</f>
        <v/>
      </c>
      <c r="I1760" s="9">
        <f>Q1729</f>
        <v/>
      </c>
      <c r="J1760" s="7">
        <f>I1760*G1760</f>
        <v/>
      </c>
      <c r="K1760" s="8">
        <f>IF($J$1768=0,0,J1760/$J$1768)</f>
        <v/>
      </c>
      <c r="L1760" s="6" t="inlineStr">
        <is>
          <t>SELECTED</t>
        </is>
      </c>
      <c r="M1760" s="8" t="n">
        <v>0.2</v>
      </c>
      <c r="N1760" s="7">
        <f>M1760*$J$1768-J1760</f>
        <v/>
      </c>
      <c r="O1760" s="9">
        <f>IF(G1760=0,0,N1760/G1760)</f>
        <v/>
      </c>
      <c r="P1760" s="6">
        <f>IF(M1760&gt;0,D1760,"")</f>
        <v/>
      </c>
      <c r="Q1760" s="9">
        <f>I1760+O1760</f>
        <v/>
      </c>
      <c r="R1760" s="7">
        <f>Q1760*G1760</f>
        <v/>
      </c>
      <c r="S1760" s="8">
        <f>IF($R$1768=0,0,R1760/$R$1768)</f>
        <v/>
      </c>
      <c r="T1760" s="8" t="n">
        <v>0.02892522809420051</v>
      </c>
      <c r="U1760" s="8" t="n">
        <v>0.01398623996516646</v>
      </c>
      <c r="V1760" s="6" t="inlineStr">
        <is>
          <t>remained in weekly selection</t>
        </is>
      </c>
    </row>
    <row r="1761">
      <c r="A1761" s="6" t="inlineStr">
        <is>
          <t>DJ30</t>
        </is>
      </c>
      <c r="B1761" s="6" t="inlineStr">
        <is>
          <t>2024-02-02</t>
        </is>
      </c>
      <c r="C1761" s="6" t="inlineStr">
        <is>
          <t>DIA</t>
        </is>
      </c>
      <c r="D1761" s="6" t="inlineStr">
        <is>
          <t>PG</t>
        </is>
      </c>
      <c r="E1761" s="6" t="inlineStr">
        <is>
          <t>PG</t>
        </is>
      </c>
      <c r="F1761" s="6" t="inlineStr">
        <is>
          <t>-</t>
        </is>
      </c>
      <c r="G1761" s="7" t="n">
        <v>149.0401153564453</v>
      </c>
      <c r="H1761" s="6">
        <f>P1730</f>
        <v/>
      </c>
      <c r="I1761" s="9">
        <f>Q1730</f>
        <v/>
      </c>
      <c r="J1761" s="7">
        <f>I1761*G1761</f>
        <v/>
      </c>
      <c r="K1761" s="8">
        <f>IF($J$1768=0,0,J1761/$J$1768)</f>
        <v/>
      </c>
      <c r="L1761" s="6" t="inlineStr">
        <is>
          <t>REJECTED</t>
        </is>
      </c>
      <c r="M1761" s="8" t="n">
        <v>0</v>
      </c>
      <c r="N1761" s="7">
        <f>M1761*$J$1768-J1761</f>
        <v/>
      </c>
      <c r="O1761" s="9">
        <f>IF(G1761=0,0,N1761/G1761)</f>
        <v/>
      </c>
      <c r="P1761" s="6">
        <f>IF(M1761&gt;0,D1761,"")</f>
        <v/>
      </c>
      <c r="Q1761" s="9">
        <f>I1761+O1761</f>
        <v/>
      </c>
      <c r="R1761" s="7">
        <f>Q1761*G1761</f>
        <v/>
      </c>
      <c r="S1761" s="8">
        <f>IF($R$1768=0,0,R1761/$R$1768)</f>
        <v/>
      </c>
      <c r="T1761" s="8" t="n">
        <v>0.02892522809420051</v>
      </c>
      <c r="U1761" s="8" t="n">
        <v>0.01398623996516646</v>
      </c>
      <c r="V1761" s="6" t="inlineStr">
        <is>
          <t>not selected</t>
        </is>
      </c>
    </row>
    <row r="1762">
      <c r="A1762" s="6" t="inlineStr">
        <is>
          <t>DJ30</t>
        </is>
      </c>
      <c r="B1762" s="6" t="inlineStr">
        <is>
          <t>2024-02-02</t>
        </is>
      </c>
      <c r="C1762" s="6" t="inlineStr">
        <is>
          <t>DIA</t>
        </is>
      </c>
      <c r="D1762" s="6" t="inlineStr">
        <is>
          <t>SHW</t>
        </is>
      </c>
      <c r="E1762" s="6" t="inlineStr">
        <is>
          <t>SHW</t>
        </is>
      </c>
      <c r="F1762" s="6" t="inlineStr">
        <is>
          <t>-</t>
        </is>
      </c>
      <c r="G1762" s="7" t="n">
        <v>303.2409973144531</v>
      </c>
      <c r="H1762" s="6">
        <f>P1731</f>
        <v/>
      </c>
      <c r="I1762" s="9">
        <f>Q1731</f>
        <v/>
      </c>
      <c r="J1762" s="7">
        <f>I1762*G1762</f>
        <v/>
      </c>
      <c r="K1762" s="8">
        <f>IF($J$1768=0,0,J1762/$J$1768)</f>
        <v/>
      </c>
      <c r="L1762" s="6" t="inlineStr">
        <is>
          <t>WATCHLIST</t>
        </is>
      </c>
      <c r="M1762" s="8" t="n">
        <v>0</v>
      </c>
      <c r="N1762" s="7">
        <f>M1762*$J$1768-J1762</f>
        <v/>
      </c>
      <c r="O1762" s="9">
        <f>IF(G1762=0,0,N1762/G1762)</f>
        <v/>
      </c>
      <c r="P1762" s="6">
        <f>IF(M1762&gt;0,D1762,"")</f>
        <v/>
      </c>
      <c r="Q1762" s="9">
        <f>I1762+O1762</f>
        <v/>
      </c>
      <c r="R1762" s="7">
        <f>Q1762*G1762</f>
        <v/>
      </c>
      <c r="S1762" s="8">
        <f>IF($R$1768=0,0,R1762/$R$1768)</f>
        <v/>
      </c>
      <c r="T1762" s="8" t="n">
        <v>0.02892522809420051</v>
      </c>
      <c r="U1762" s="8" t="n">
        <v>0.01398623996516646</v>
      </c>
      <c r="V1762" s="6" t="inlineStr">
        <is>
          <t>not selected</t>
        </is>
      </c>
    </row>
    <row r="1763">
      <c r="A1763" s="6" t="inlineStr">
        <is>
          <t>DJ30</t>
        </is>
      </c>
      <c r="B1763" s="6" t="inlineStr">
        <is>
          <t>2024-02-02</t>
        </is>
      </c>
      <c r="C1763" s="6" t="inlineStr">
        <is>
          <t>DIA</t>
        </is>
      </c>
      <c r="D1763" s="6" t="inlineStr">
        <is>
          <t>TRV</t>
        </is>
      </c>
      <c r="E1763" s="6" t="inlineStr">
        <is>
          <t>TRV</t>
        </is>
      </c>
      <c r="F1763" s="6" t="inlineStr">
        <is>
          <t>-</t>
        </is>
      </c>
      <c r="G1763" s="7" t="n">
        <v>205.9822998046875</v>
      </c>
      <c r="H1763" s="6">
        <f>P1732</f>
        <v/>
      </c>
      <c r="I1763" s="9">
        <f>Q1732</f>
        <v/>
      </c>
      <c r="J1763" s="7">
        <f>I1763*G1763</f>
        <v/>
      </c>
      <c r="K1763" s="8">
        <f>IF($J$1768=0,0,J1763/$J$1768)</f>
        <v/>
      </c>
      <c r="L1763" s="6" t="inlineStr">
        <is>
          <t>REJECTED</t>
        </is>
      </c>
      <c r="M1763" s="8" t="n">
        <v>0</v>
      </c>
      <c r="N1763" s="7">
        <f>M1763*$J$1768-J1763</f>
        <v/>
      </c>
      <c r="O1763" s="9">
        <f>IF(G1763=0,0,N1763/G1763)</f>
        <v/>
      </c>
      <c r="P1763" s="6">
        <f>IF(M1763&gt;0,D1763,"")</f>
        <v/>
      </c>
      <c r="Q1763" s="9">
        <f>I1763+O1763</f>
        <v/>
      </c>
      <c r="R1763" s="7">
        <f>Q1763*G1763</f>
        <v/>
      </c>
      <c r="S1763" s="8">
        <f>IF($R$1768=0,0,R1763/$R$1768)</f>
        <v/>
      </c>
      <c r="T1763" s="8" t="n">
        <v>0.02892522809420051</v>
      </c>
      <c r="U1763" s="8" t="n">
        <v>0.01398623996516646</v>
      </c>
      <c r="V1763" s="6" t="inlineStr">
        <is>
          <t>not selected</t>
        </is>
      </c>
    </row>
    <row r="1764">
      <c r="A1764" s="6" t="inlineStr">
        <is>
          <t>DJ30</t>
        </is>
      </c>
      <c r="B1764" s="6" t="inlineStr">
        <is>
          <t>2024-02-02</t>
        </is>
      </c>
      <c r="C1764" s="6" t="inlineStr">
        <is>
          <t>DIA</t>
        </is>
      </c>
      <c r="D1764" s="6" t="inlineStr">
        <is>
          <t>UNH</t>
        </is>
      </c>
      <c r="E1764" s="6" t="inlineStr">
        <is>
          <t>UNH</t>
        </is>
      </c>
      <c r="F1764" s="6" t="inlineStr">
        <is>
          <t>-</t>
        </is>
      </c>
      <c r="G1764" s="7" t="n">
        <v>483.7451782226562</v>
      </c>
      <c r="H1764" s="6">
        <f>P1733</f>
        <v/>
      </c>
      <c r="I1764" s="9">
        <f>Q1733</f>
        <v/>
      </c>
      <c r="J1764" s="7">
        <f>I1764*G1764</f>
        <v/>
      </c>
      <c r="K1764" s="8">
        <f>IF($J$1768=0,0,J1764/$J$1768)</f>
        <v/>
      </c>
      <c r="L1764" s="6" t="inlineStr">
        <is>
          <t>WATCHLIST</t>
        </is>
      </c>
      <c r="M1764" s="8" t="n">
        <v>0</v>
      </c>
      <c r="N1764" s="7">
        <f>M1764*$J$1768-J1764</f>
        <v/>
      </c>
      <c r="O1764" s="9">
        <f>IF(G1764=0,0,N1764/G1764)</f>
        <v/>
      </c>
      <c r="P1764" s="6">
        <f>IF(M1764&gt;0,D1764,"")</f>
        <v/>
      </c>
      <c r="Q1764" s="9">
        <f>I1764+O1764</f>
        <v/>
      </c>
      <c r="R1764" s="7">
        <f>Q1764*G1764</f>
        <v/>
      </c>
      <c r="S1764" s="8">
        <f>IF($R$1768=0,0,R1764/$R$1768)</f>
        <v/>
      </c>
      <c r="T1764" s="8" t="n">
        <v>0.02892522809420051</v>
      </c>
      <c r="U1764" s="8" t="n">
        <v>0.01398623996516646</v>
      </c>
      <c r="V1764" s="6" t="inlineStr">
        <is>
          <t>not selected</t>
        </is>
      </c>
    </row>
    <row r="1765">
      <c r="A1765" s="6" t="inlineStr">
        <is>
          <t>DJ30</t>
        </is>
      </c>
      <c r="B1765" s="6" t="inlineStr">
        <is>
          <t>2024-02-02</t>
        </is>
      </c>
      <c r="C1765" s="6" t="inlineStr">
        <is>
          <t>DIA</t>
        </is>
      </c>
      <c r="D1765" s="6" t="inlineStr">
        <is>
          <t>V</t>
        </is>
      </c>
      <c r="E1765" s="6" t="inlineStr">
        <is>
          <t>V</t>
        </is>
      </c>
      <c r="F1765" s="6" t="inlineStr">
        <is>
          <t>-</t>
        </is>
      </c>
      <c r="G1765" s="7" t="n">
        <v>272.0113830566406</v>
      </c>
      <c r="H1765" s="6">
        <f>P1734</f>
        <v/>
      </c>
      <c r="I1765" s="9">
        <f>Q1734</f>
        <v/>
      </c>
      <c r="J1765" s="7">
        <f>I1765*G1765</f>
        <v/>
      </c>
      <c r="K1765" s="8">
        <f>IF($J$1768=0,0,J1765/$J$1768)</f>
        <v/>
      </c>
      <c r="L1765" s="6" t="inlineStr">
        <is>
          <t>WATCHLIST</t>
        </is>
      </c>
      <c r="M1765" s="8" t="n">
        <v>0</v>
      </c>
      <c r="N1765" s="7">
        <f>M1765*$J$1768-J1765</f>
        <v/>
      </c>
      <c r="O1765" s="9">
        <f>IF(G1765=0,0,N1765/G1765)</f>
        <v/>
      </c>
      <c r="P1765" s="6">
        <f>IF(M1765&gt;0,D1765,"")</f>
        <v/>
      </c>
      <c r="Q1765" s="9">
        <f>I1765+O1765</f>
        <v/>
      </c>
      <c r="R1765" s="7">
        <f>Q1765*G1765</f>
        <v/>
      </c>
      <c r="S1765" s="8">
        <f>IF($R$1768=0,0,R1765/$R$1768)</f>
        <v/>
      </c>
      <c r="T1765" s="8" t="n">
        <v>0.02892522809420051</v>
      </c>
      <c r="U1765" s="8" t="n">
        <v>0.01398623996516646</v>
      </c>
      <c r="V1765" s="6" t="inlineStr">
        <is>
          <t>not selected</t>
        </is>
      </c>
    </row>
    <row r="1766">
      <c r="A1766" s="6" t="inlineStr">
        <is>
          <t>DJ30</t>
        </is>
      </c>
      <c r="B1766" s="6" t="inlineStr">
        <is>
          <t>2024-02-02</t>
        </is>
      </c>
      <c r="C1766" s="6" t="inlineStr">
        <is>
          <t>DIA</t>
        </is>
      </c>
      <c r="D1766" s="6" t="inlineStr">
        <is>
          <t>VZ</t>
        </is>
      </c>
      <c r="E1766" s="6" t="inlineStr">
        <is>
          <t>VZ</t>
        </is>
      </c>
      <c r="F1766" s="6" t="inlineStr">
        <is>
          <t>-</t>
        </is>
      </c>
      <c r="G1766" s="7" t="n">
        <v>36.38880157470703</v>
      </c>
      <c r="H1766" s="6">
        <f>P1735</f>
        <v/>
      </c>
      <c r="I1766" s="9">
        <f>Q1735</f>
        <v/>
      </c>
      <c r="J1766" s="7">
        <f>I1766*G1766</f>
        <v/>
      </c>
      <c r="K1766" s="8">
        <f>IF($J$1768=0,0,J1766/$J$1768)</f>
        <v/>
      </c>
      <c r="L1766" s="6" t="inlineStr">
        <is>
          <t>REJECTED</t>
        </is>
      </c>
      <c r="M1766" s="8" t="n">
        <v>0</v>
      </c>
      <c r="N1766" s="7">
        <f>M1766*$J$1768-J1766</f>
        <v/>
      </c>
      <c r="O1766" s="9">
        <f>IF(G1766=0,0,N1766/G1766)</f>
        <v/>
      </c>
      <c r="P1766" s="6">
        <f>IF(M1766&gt;0,D1766,"")</f>
        <v/>
      </c>
      <c r="Q1766" s="9">
        <f>I1766+O1766</f>
        <v/>
      </c>
      <c r="R1766" s="7">
        <f>Q1766*G1766</f>
        <v/>
      </c>
      <c r="S1766" s="8">
        <f>IF($R$1768=0,0,R1766/$R$1768)</f>
        <v/>
      </c>
      <c r="T1766" s="8" t="n">
        <v>0.02892522809420051</v>
      </c>
      <c r="U1766" s="8" t="n">
        <v>0.01398623996516646</v>
      </c>
      <c r="V1766" s="6" t="inlineStr">
        <is>
          <t>not selected</t>
        </is>
      </c>
    </row>
    <row r="1767">
      <c r="A1767" s="6" t="inlineStr">
        <is>
          <t>DJ30</t>
        </is>
      </c>
      <c r="B1767" s="6" t="inlineStr">
        <is>
          <t>2024-02-02</t>
        </is>
      </c>
      <c r="C1767" s="6" t="inlineStr">
        <is>
          <t>DIA</t>
        </is>
      </c>
      <c r="D1767" s="6" t="inlineStr">
        <is>
          <t>WMT</t>
        </is>
      </c>
      <c r="E1767" s="6" t="inlineStr">
        <is>
          <t>WMT</t>
        </is>
      </c>
      <c r="F1767" s="6" t="inlineStr">
        <is>
          <t>-</t>
        </is>
      </c>
      <c r="G1767" s="7" t="n">
        <v>55.10581970214844</v>
      </c>
      <c r="H1767" s="6">
        <f>P1736</f>
        <v/>
      </c>
      <c r="I1767" s="9">
        <f>Q1736</f>
        <v/>
      </c>
      <c r="J1767" s="7">
        <f>I1767*G1767</f>
        <v/>
      </c>
      <c r="K1767" s="8">
        <f>IF($J$1768=0,0,J1767/$J$1768)</f>
        <v/>
      </c>
      <c r="L1767" s="6" t="inlineStr">
        <is>
          <t>WATCHLIST</t>
        </is>
      </c>
      <c r="M1767" s="8" t="n">
        <v>0</v>
      </c>
      <c r="N1767" s="7">
        <f>M1767*$J$1768-J1767</f>
        <v/>
      </c>
      <c r="O1767" s="9">
        <f>IF(G1767=0,0,N1767/G1767)</f>
        <v/>
      </c>
      <c r="P1767" s="6">
        <f>IF(M1767&gt;0,D1767,"")</f>
        <v/>
      </c>
      <c r="Q1767" s="9">
        <f>I1767+O1767</f>
        <v/>
      </c>
      <c r="R1767" s="7">
        <f>Q1767*G1767</f>
        <v/>
      </c>
      <c r="S1767" s="8">
        <f>IF($R$1768=0,0,R1767/$R$1768)</f>
        <v/>
      </c>
      <c r="T1767" s="8" t="n">
        <v>0.02892522809420051</v>
      </c>
      <c r="U1767" s="8" t="n">
        <v>0.01398623996516646</v>
      </c>
      <c r="V1767" s="6" t="inlineStr">
        <is>
          <t>not selected</t>
        </is>
      </c>
    </row>
    <row r="1768">
      <c r="A1768" s="10" t="inlineStr">
        <is>
          <t>DJ30</t>
        </is>
      </c>
      <c r="B1768" s="10" t="inlineStr">
        <is>
          <t>2024-02-02</t>
        </is>
      </c>
      <c r="C1768" s="10" t="inlineStr">
        <is>
          <t>DIA</t>
        </is>
      </c>
      <c r="D1768" s="10" t="inlineStr">
        <is>
          <t>Tot Portfolio</t>
        </is>
      </c>
      <c r="E1768" s="10" t="inlineStr"/>
      <c r="F1768" s="10" t="inlineStr"/>
      <c r="G1768" s="11" t="inlineStr"/>
      <c r="H1768" s="10" t="inlineStr"/>
      <c r="I1768" s="12" t="inlineStr"/>
      <c r="J1768" s="11">
        <f>SUM(J1738:J1767)</f>
        <v/>
      </c>
      <c r="K1768" s="13">
        <f>SUM(K1738:K1767)</f>
        <v/>
      </c>
      <c r="L1768" s="10" t="inlineStr">
        <is>
          <t>TOTAL</t>
        </is>
      </c>
      <c r="M1768" s="13">
        <f>SUM(M1738:M1767)</f>
        <v/>
      </c>
      <c r="N1768" s="11">
        <f>SUM(N1738:N1767)</f>
        <v/>
      </c>
      <c r="O1768" s="12">
        <f>SUM(O1738:O1767)</f>
        <v/>
      </c>
      <c r="P1768" s="10" t="inlineStr"/>
      <c r="Q1768" s="12" t="inlineStr"/>
      <c r="R1768" s="11">
        <f>SUM(R1738:R1767)</f>
        <v/>
      </c>
      <c r="S1768" s="13">
        <f>SUM(S1738:S1767)</f>
        <v/>
      </c>
      <c r="T1768" s="13" t="n">
        <v>0.02892522809420051</v>
      </c>
      <c r="U1768" s="13" t="n">
        <v>0.01398623996516646</v>
      </c>
      <c r="V1768" s="10" t="inlineStr"/>
    </row>
    <row r="1769">
      <c r="A1769" s="6" t="inlineStr">
        <is>
          <t>DJ30</t>
        </is>
      </c>
      <c r="B1769" s="6" t="inlineStr">
        <is>
          <t>2024-02-09</t>
        </is>
      </c>
      <c r="C1769" s="6" t="inlineStr">
        <is>
          <t>DIA</t>
        </is>
      </c>
      <c r="D1769" s="6" t="inlineStr">
        <is>
          <t>AAPL</t>
        </is>
      </c>
      <c r="E1769" s="6" t="inlineStr">
        <is>
          <t>AAPL</t>
        </is>
      </c>
      <c r="F1769" s="6" t="inlineStr">
        <is>
          <t>-</t>
        </is>
      </c>
      <c r="G1769" s="7" t="n">
        <v>186.9745483398437</v>
      </c>
      <c r="H1769" s="6">
        <f>P1738</f>
        <v/>
      </c>
      <c r="I1769" s="9">
        <f>Q1738</f>
        <v/>
      </c>
      <c r="J1769" s="7">
        <f>I1769*G1769</f>
        <v/>
      </c>
      <c r="K1769" s="8">
        <f>IF($J$1799=0,0,J1769/$J$1799)</f>
        <v/>
      </c>
      <c r="L1769" s="6" t="inlineStr">
        <is>
          <t>WATCHLIST</t>
        </is>
      </c>
      <c r="M1769" s="8" t="n">
        <v>0</v>
      </c>
      <c r="N1769" s="7">
        <f>M1769*$J$1799-J1769</f>
        <v/>
      </c>
      <c r="O1769" s="9">
        <f>IF(G1769=0,0,N1769/G1769)</f>
        <v/>
      </c>
      <c r="P1769" s="6">
        <f>IF(M1769&gt;0,D1769,"")</f>
        <v/>
      </c>
      <c r="Q1769" s="9">
        <f>I1769+O1769</f>
        <v/>
      </c>
      <c r="R1769" s="7">
        <f>Q1769*G1769</f>
        <v/>
      </c>
      <c r="S1769" s="8">
        <f>IF($R$1799=0,0,R1769/$R$1799)</f>
        <v/>
      </c>
      <c r="T1769" s="8" t="n">
        <v>0.005893791578818197</v>
      </c>
      <c r="U1769" s="8" t="n">
        <v>0.0007762799851596114</v>
      </c>
      <c r="V1769" s="6" t="inlineStr">
        <is>
          <t>not selected</t>
        </is>
      </c>
    </row>
    <row r="1770">
      <c r="A1770" s="6" t="inlineStr">
        <is>
          <t>DJ30</t>
        </is>
      </c>
      <c r="B1770" s="6" t="inlineStr">
        <is>
          <t>2024-02-09</t>
        </is>
      </c>
      <c r="C1770" s="6" t="inlineStr">
        <is>
          <t>DIA</t>
        </is>
      </c>
      <c r="D1770" s="6" t="inlineStr">
        <is>
          <t>AMGN</t>
        </is>
      </c>
      <c r="E1770" s="6" t="inlineStr">
        <is>
          <t>AMGN</t>
        </is>
      </c>
      <c r="F1770" s="6" t="inlineStr">
        <is>
          <t>-</t>
        </is>
      </c>
      <c r="G1770" s="7" t="n">
        <v>269.7531127929688</v>
      </c>
      <c r="H1770" s="6">
        <f>P1739</f>
        <v/>
      </c>
      <c r="I1770" s="9">
        <f>Q1739</f>
        <v/>
      </c>
      <c r="J1770" s="7">
        <f>I1770*G1770</f>
        <v/>
      </c>
      <c r="K1770" s="8">
        <f>IF($J$1799=0,0,J1770/$J$1799)</f>
        <v/>
      </c>
      <c r="L1770" s="6" t="inlineStr">
        <is>
          <t>SELECTED</t>
        </is>
      </c>
      <c r="M1770" s="8" t="n">
        <v>0.2</v>
      </c>
      <c r="N1770" s="7">
        <f>M1770*$J$1799-J1770</f>
        <v/>
      </c>
      <c r="O1770" s="9">
        <f>IF(G1770=0,0,N1770/G1770)</f>
        <v/>
      </c>
      <c r="P1770" s="6">
        <f>IF(M1770&gt;0,D1770,"")</f>
        <v/>
      </c>
      <c r="Q1770" s="9">
        <f>I1770+O1770</f>
        <v/>
      </c>
      <c r="R1770" s="7">
        <f>Q1770*G1770</f>
        <v/>
      </c>
      <c r="S1770" s="8">
        <f>IF($R$1799=0,0,R1770/$R$1799)</f>
        <v/>
      </c>
      <c r="T1770" s="8" t="n">
        <v>0.005893791578818197</v>
      </c>
      <c r="U1770" s="8" t="n">
        <v>0.0007762799851596114</v>
      </c>
      <c r="V1770" s="6" t="inlineStr">
        <is>
          <t>remained in weekly selection</t>
        </is>
      </c>
    </row>
    <row r="1771">
      <c r="A1771" s="6" t="inlineStr">
        <is>
          <t>DJ30</t>
        </is>
      </c>
      <c r="B1771" s="6" t="inlineStr">
        <is>
          <t>2024-02-09</t>
        </is>
      </c>
      <c r="C1771" s="6" t="inlineStr">
        <is>
          <t>DIA</t>
        </is>
      </c>
      <c r="D1771" s="6" t="inlineStr">
        <is>
          <t>AMZN</t>
        </is>
      </c>
      <c r="E1771" s="6" t="inlineStr">
        <is>
          <t>AMZN</t>
        </is>
      </c>
      <c r="F1771" s="6" t="inlineStr">
        <is>
          <t>-</t>
        </is>
      </c>
      <c r="G1771" s="7" t="n">
        <v>174.4499969482422</v>
      </c>
      <c r="H1771" s="6">
        <f>P1740</f>
        <v/>
      </c>
      <c r="I1771" s="9">
        <f>Q1740</f>
        <v/>
      </c>
      <c r="J1771" s="7">
        <f>I1771*G1771</f>
        <v/>
      </c>
      <c r="K1771" s="8">
        <f>IF($J$1799=0,0,J1771/$J$1799)</f>
        <v/>
      </c>
      <c r="L1771" s="6" t="inlineStr">
        <is>
          <t>WATCHLIST</t>
        </is>
      </c>
      <c r="M1771" s="8" t="n">
        <v>0</v>
      </c>
      <c r="N1771" s="7">
        <f>M1771*$J$1799-J1771</f>
        <v/>
      </c>
      <c r="O1771" s="9">
        <f>IF(G1771=0,0,N1771/G1771)</f>
        <v/>
      </c>
      <c r="P1771" s="6">
        <f>IF(M1771&gt;0,D1771,"")</f>
        <v/>
      </c>
      <c r="Q1771" s="9">
        <f>I1771+O1771</f>
        <v/>
      </c>
      <c r="R1771" s="7">
        <f>Q1771*G1771</f>
        <v/>
      </c>
      <c r="S1771" s="8">
        <f>IF($R$1799=0,0,R1771/$R$1799)</f>
        <v/>
      </c>
      <c r="T1771" s="8" t="n">
        <v>0.005893791578818197</v>
      </c>
      <c r="U1771" s="8" t="n">
        <v>0.0007762799851596114</v>
      </c>
      <c r="V1771" s="6" t="inlineStr">
        <is>
          <t>not selected</t>
        </is>
      </c>
    </row>
    <row r="1772">
      <c r="A1772" s="6" t="inlineStr">
        <is>
          <t>DJ30</t>
        </is>
      </c>
      <c r="B1772" s="6" t="inlineStr">
        <is>
          <t>2024-02-09</t>
        </is>
      </c>
      <c r="C1772" s="6" t="inlineStr">
        <is>
          <t>DIA</t>
        </is>
      </c>
      <c r="D1772" s="6" t="inlineStr">
        <is>
          <t>AXP</t>
        </is>
      </c>
      <c r="E1772" s="6" t="inlineStr">
        <is>
          <t>AXP</t>
        </is>
      </c>
      <c r="F1772" s="6" t="inlineStr">
        <is>
          <t>-</t>
        </is>
      </c>
      <c r="G1772" s="7" t="n">
        <v>207.2722625732422</v>
      </c>
      <c r="H1772" s="6">
        <f>P1741</f>
        <v/>
      </c>
      <c r="I1772" s="9">
        <f>Q1741</f>
        <v/>
      </c>
      <c r="J1772" s="7">
        <f>I1772*G1772</f>
        <v/>
      </c>
      <c r="K1772" s="8">
        <f>IF($J$1799=0,0,J1772/$J$1799)</f>
        <v/>
      </c>
      <c r="L1772" s="6" t="inlineStr">
        <is>
          <t>REJECTED</t>
        </is>
      </c>
      <c r="M1772" s="8" t="n">
        <v>0</v>
      </c>
      <c r="N1772" s="7">
        <f>M1772*$J$1799-J1772</f>
        <v/>
      </c>
      <c r="O1772" s="9">
        <f>IF(G1772=0,0,N1772/G1772)</f>
        <v/>
      </c>
      <c r="P1772" s="6">
        <f>IF(M1772&gt;0,D1772,"")</f>
        <v/>
      </c>
      <c r="Q1772" s="9">
        <f>I1772+O1772</f>
        <v/>
      </c>
      <c r="R1772" s="7">
        <f>Q1772*G1772</f>
        <v/>
      </c>
      <c r="S1772" s="8">
        <f>IF($R$1799=0,0,R1772/$R$1799)</f>
        <v/>
      </c>
      <c r="T1772" s="8" t="n">
        <v>0.005893791578818197</v>
      </c>
      <c r="U1772" s="8" t="n">
        <v>0.0007762799851596114</v>
      </c>
      <c r="V1772" s="6" t="inlineStr">
        <is>
          <t>not selected</t>
        </is>
      </c>
    </row>
    <row r="1773">
      <c r="A1773" s="6" t="inlineStr">
        <is>
          <t>DJ30</t>
        </is>
      </c>
      <c r="B1773" s="6" t="inlineStr">
        <is>
          <t>2024-02-09</t>
        </is>
      </c>
      <c r="C1773" s="6" t="inlineStr">
        <is>
          <t>DIA</t>
        </is>
      </c>
      <c r="D1773" s="6" t="inlineStr">
        <is>
          <t>BA</t>
        </is>
      </c>
      <c r="E1773" s="6" t="inlineStr">
        <is>
          <t>BA</t>
        </is>
      </c>
      <c r="F1773" s="6" t="inlineStr">
        <is>
          <t>-</t>
        </is>
      </c>
      <c r="G1773" s="7" t="n">
        <v>209.1999969482422</v>
      </c>
      <c r="H1773" s="6">
        <f>P1742</f>
        <v/>
      </c>
      <c r="I1773" s="9">
        <f>Q1742</f>
        <v/>
      </c>
      <c r="J1773" s="7">
        <f>I1773*G1773</f>
        <v/>
      </c>
      <c r="K1773" s="8">
        <f>IF($J$1799=0,0,J1773/$J$1799)</f>
        <v/>
      </c>
      <c r="L1773" s="6" t="inlineStr">
        <is>
          <t>REJECTED</t>
        </is>
      </c>
      <c r="M1773" s="8" t="n">
        <v>0</v>
      </c>
      <c r="N1773" s="7">
        <f>M1773*$J$1799-J1773</f>
        <v/>
      </c>
      <c r="O1773" s="9">
        <f>IF(G1773=0,0,N1773/G1773)</f>
        <v/>
      </c>
      <c r="P1773" s="6">
        <f>IF(M1773&gt;0,D1773,"")</f>
        <v/>
      </c>
      <c r="Q1773" s="9">
        <f>I1773+O1773</f>
        <v/>
      </c>
      <c r="R1773" s="7">
        <f>Q1773*G1773</f>
        <v/>
      </c>
      <c r="S1773" s="8">
        <f>IF($R$1799=0,0,R1773/$R$1799)</f>
        <v/>
      </c>
      <c r="T1773" s="8" t="n">
        <v>0.005893791578818197</v>
      </c>
      <c r="U1773" s="8" t="n">
        <v>0.0007762799851596114</v>
      </c>
      <c r="V1773" s="6" t="inlineStr">
        <is>
          <t>not selected</t>
        </is>
      </c>
    </row>
    <row r="1774">
      <c r="A1774" s="6" t="inlineStr">
        <is>
          <t>DJ30</t>
        </is>
      </c>
      <c r="B1774" s="6" t="inlineStr">
        <is>
          <t>2024-02-09</t>
        </is>
      </c>
      <c r="C1774" s="6" t="inlineStr">
        <is>
          <t>DIA</t>
        </is>
      </c>
      <c r="D1774" s="6" t="inlineStr">
        <is>
          <t>CAT</t>
        </is>
      </c>
      <c r="E1774" s="6" t="inlineStr">
        <is>
          <t>CAT</t>
        </is>
      </c>
      <c r="F1774" s="6" t="inlineStr">
        <is>
          <t>-</t>
        </is>
      </c>
      <c r="G1774" s="7" t="n">
        <v>307.6275939941406</v>
      </c>
      <c r="H1774" s="6">
        <f>P1743</f>
        <v/>
      </c>
      <c r="I1774" s="9">
        <f>Q1743</f>
        <v/>
      </c>
      <c r="J1774" s="7">
        <f>I1774*G1774</f>
        <v/>
      </c>
      <c r="K1774" s="8">
        <f>IF($J$1799=0,0,J1774/$J$1799)</f>
        <v/>
      </c>
      <c r="L1774" s="6" t="inlineStr">
        <is>
          <t>SELECTED</t>
        </is>
      </c>
      <c r="M1774" s="8" t="n">
        <v>0.2</v>
      </c>
      <c r="N1774" s="7">
        <f>M1774*$J$1799-J1774</f>
        <v/>
      </c>
      <c r="O1774" s="9">
        <f>IF(G1774=0,0,N1774/G1774)</f>
        <v/>
      </c>
      <c r="P1774" s="6">
        <f>IF(M1774&gt;0,D1774,"")</f>
        <v/>
      </c>
      <c r="Q1774" s="9">
        <f>I1774+O1774</f>
        <v/>
      </c>
      <c r="R1774" s="7">
        <f>Q1774*G1774</f>
        <v/>
      </c>
      <c r="S1774" s="8">
        <f>IF($R$1799=0,0,R1774/$R$1799)</f>
        <v/>
      </c>
      <c r="T1774" s="8" t="n">
        <v>0.005893791578818197</v>
      </c>
      <c r="U1774" s="8" t="n">
        <v>0.0007762799851596114</v>
      </c>
      <c r="V1774" s="6" t="inlineStr">
        <is>
          <t>remained in weekly selection</t>
        </is>
      </c>
    </row>
    <row r="1775">
      <c r="A1775" s="6" t="inlineStr">
        <is>
          <t>DJ30</t>
        </is>
      </c>
      <c r="B1775" s="6" t="inlineStr">
        <is>
          <t>2024-02-09</t>
        </is>
      </c>
      <c r="C1775" s="6" t="inlineStr">
        <is>
          <t>DIA</t>
        </is>
      </c>
      <c r="D1775" s="6" t="inlineStr">
        <is>
          <t>CRM</t>
        </is>
      </c>
      <c r="E1775" s="6" t="inlineStr">
        <is>
          <t>CRM</t>
        </is>
      </c>
      <c r="F1775" s="6" t="inlineStr">
        <is>
          <t>-</t>
        </is>
      </c>
      <c r="G1775" s="7" t="n">
        <v>286.3460388183594</v>
      </c>
      <c r="H1775" s="6">
        <f>P1744</f>
        <v/>
      </c>
      <c r="I1775" s="9">
        <f>Q1744</f>
        <v/>
      </c>
      <c r="J1775" s="7">
        <f>I1775*G1775</f>
        <v/>
      </c>
      <c r="K1775" s="8">
        <f>IF($J$1799=0,0,J1775/$J$1799)</f>
        <v/>
      </c>
      <c r="L1775" s="6" t="inlineStr">
        <is>
          <t>SELECTED</t>
        </is>
      </c>
      <c r="M1775" s="8" t="n">
        <v>0.2</v>
      </c>
      <c r="N1775" s="7">
        <f>M1775*$J$1799-J1775</f>
        <v/>
      </c>
      <c r="O1775" s="9">
        <f>IF(G1775=0,0,N1775/G1775)</f>
        <v/>
      </c>
      <c r="P1775" s="6">
        <f>IF(M1775&gt;0,D1775,"")</f>
        <v/>
      </c>
      <c r="Q1775" s="9">
        <f>I1775+O1775</f>
        <v/>
      </c>
      <c r="R1775" s="7">
        <f>Q1775*G1775</f>
        <v/>
      </c>
      <c r="S1775" s="8">
        <f>IF($R$1799=0,0,R1775/$R$1799)</f>
        <v/>
      </c>
      <c r="T1775" s="8" t="n">
        <v>0.005893791578818197</v>
      </c>
      <c r="U1775" s="8" t="n">
        <v>0.0007762799851596114</v>
      </c>
      <c r="V1775" s="6" t="inlineStr">
        <is>
          <t>remained in weekly selection</t>
        </is>
      </c>
    </row>
    <row r="1776">
      <c r="A1776" s="6" t="inlineStr">
        <is>
          <t>DJ30</t>
        </is>
      </c>
      <c r="B1776" s="6" t="inlineStr">
        <is>
          <t>2024-02-09</t>
        </is>
      </c>
      <c r="C1776" s="6" t="inlineStr">
        <is>
          <t>DIA</t>
        </is>
      </c>
      <c r="D1776" s="6" t="inlineStr">
        <is>
          <t>CSCO</t>
        </is>
      </c>
      <c r="E1776" s="6" t="inlineStr">
        <is>
          <t>CSCO</t>
        </is>
      </c>
      <c r="F1776" s="6" t="inlineStr">
        <is>
          <t>-</t>
        </is>
      </c>
      <c r="G1776" s="7" t="n">
        <v>47.1878776550293</v>
      </c>
      <c r="H1776" s="6">
        <f>P1745</f>
        <v/>
      </c>
      <c r="I1776" s="9">
        <f>Q1745</f>
        <v/>
      </c>
      <c r="J1776" s="7">
        <f>I1776*G1776</f>
        <v/>
      </c>
      <c r="K1776" s="8">
        <f>IF($J$1799=0,0,J1776/$J$1799)</f>
        <v/>
      </c>
      <c r="L1776" s="6" t="inlineStr">
        <is>
          <t>REJECTED</t>
        </is>
      </c>
      <c r="M1776" s="8" t="n">
        <v>0</v>
      </c>
      <c r="N1776" s="7">
        <f>M1776*$J$1799-J1776</f>
        <v/>
      </c>
      <c r="O1776" s="9">
        <f>IF(G1776=0,0,N1776/G1776)</f>
        <v/>
      </c>
      <c r="P1776" s="6">
        <f>IF(M1776&gt;0,D1776,"")</f>
        <v/>
      </c>
      <c r="Q1776" s="9">
        <f>I1776+O1776</f>
        <v/>
      </c>
      <c r="R1776" s="7">
        <f>Q1776*G1776</f>
        <v/>
      </c>
      <c r="S1776" s="8">
        <f>IF($R$1799=0,0,R1776/$R$1799)</f>
        <v/>
      </c>
      <c r="T1776" s="8" t="n">
        <v>0.005893791578818197</v>
      </c>
      <c r="U1776" s="8" t="n">
        <v>0.0007762799851596114</v>
      </c>
      <c r="V1776" s="6" t="inlineStr">
        <is>
          <t>not selected</t>
        </is>
      </c>
    </row>
    <row r="1777">
      <c r="A1777" s="6" t="inlineStr">
        <is>
          <t>DJ30</t>
        </is>
      </c>
      <c r="B1777" s="6" t="inlineStr">
        <is>
          <t>2024-02-09</t>
        </is>
      </c>
      <c r="C1777" s="6" t="inlineStr">
        <is>
          <t>DIA</t>
        </is>
      </c>
      <c r="D1777" s="6" t="inlineStr">
        <is>
          <t>CVX</t>
        </is>
      </c>
      <c r="E1777" s="6" t="inlineStr">
        <is>
          <t>CVX</t>
        </is>
      </c>
      <c r="F1777" s="6" t="inlineStr">
        <is>
          <t>-</t>
        </is>
      </c>
      <c r="G1777" s="7" t="n">
        <v>135.8021240234375</v>
      </c>
      <c r="H1777" s="6">
        <f>P1746</f>
        <v/>
      </c>
      <c r="I1777" s="9">
        <f>Q1746</f>
        <v/>
      </c>
      <c r="J1777" s="7">
        <f>I1777*G1777</f>
        <v/>
      </c>
      <c r="K1777" s="8">
        <f>IF($J$1799=0,0,J1777/$J$1799)</f>
        <v/>
      </c>
      <c r="L1777" s="6" t="inlineStr">
        <is>
          <t>REJECTED</t>
        </is>
      </c>
      <c r="M1777" s="8" t="n">
        <v>0</v>
      </c>
      <c r="N1777" s="7">
        <f>M1777*$J$1799-J1777</f>
        <v/>
      </c>
      <c r="O1777" s="9">
        <f>IF(G1777=0,0,N1777/G1777)</f>
        <v/>
      </c>
      <c r="P1777" s="6">
        <f>IF(M1777&gt;0,D1777,"")</f>
        <v/>
      </c>
      <c r="Q1777" s="9">
        <f>I1777+O1777</f>
        <v/>
      </c>
      <c r="R1777" s="7">
        <f>Q1777*G1777</f>
        <v/>
      </c>
      <c r="S1777" s="8">
        <f>IF($R$1799=0,0,R1777/$R$1799)</f>
        <v/>
      </c>
      <c r="T1777" s="8" t="n">
        <v>0.005893791578818197</v>
      </c>
      <c r="U1777" s="8" t="n">
        <v>0.0007762799851596114</v>
      </c>
      <c r="V1777" s="6" t="inlineStr">
        <is>
          <t>not selected</t>
        </is>
      </c>
    </row>
    <row r="1778">
      <c r="A1778" s="6" t="inlineStr">
        <is>
          <t>DJ30</t>
        </is>
      </c>
      <c r="B1778" s="6" t="inlineStr">
        <is>
          <t>2024-02-09</t>
        </is>
      </c>
      <c r="C1778" s="6" t="inlineStr">
        <is>
          <t>DIA</t>
        </is>
      </c>
      <c r="D1778" s="6" t="inlineStr">
        <is>
          <t>DIS</t>
        </is>
      </c>
      <c r="E1778" s="6" t="inlineStr">
        <is>
          <t>DIS</t>
        </is>
      </c>
      <c r="F1778" s="6" t="inlineStr">
        <is>
          <t>-</t>
        </is>
      </c>
      <c r="G1778" s="7" t="n">
        <v>106.2413330078125</v>
      </c>
      <c r="H1778" s="6">
        <f>P1747</f>
        <v/>
      </c>
      <c r="I1778" s="9">
        <f>Q1747</f>
        <v/>
      </c>
      <c r="J1778" s="7">
        <f>I1778*G1778</f>
        <v/>
      </c>
      <c r="K1778" s="8">
        <f>IF($J$1799=0,0,J1778/$J$1799)</f>
        <v/>
      </c>
      <c r="L1778" s="6" t="inlineStr">
        <is>
          <t>REJECTED</t>
        </is>
      </c>
      <c r="M1778" s="8" t="n">
        <v>0</v>
      </c>
      <c r="N1778" s="7">
        <f>M1778*$J$1799-J1778</f>
        <v/>
      </c>
      <c r="O1778" s="9">
        <f>IF(G1778=0,0,N1778/G1778)</f>
        <v/>
      </c>
      <c r="P1778" s="6">
        <f>IF(M1778&gt;0,D1778,"")</f>
        <v/>
      </c>
      <c r="Q1778" s="9">
        <f>I1778+O1778</f>
        <v/>
      </c>
      <c r="R1778" s="7">
        <f>Q1778*G1778</f>
        <v/>
      </c>
      <c r="S1778" s="8">
        <f>IF($R$1799=0,0,R1778/$R$1799)</f>
        <v/>
      </c>
      <c r="T1778" s="8" t="n">
        <v>0.005893791578818197</v>
      </c>
      <c r="U1778" s="8" t="n">
        <v>0.0007762799851596114</v>
      </c>
      <c r="V1778" s="6" t="inlineStr">
        <is>
          <t>not selected</t>
        </is>
      </c>
    </row>
    <row r="1779">
      <c r="A1779" s="6" t="inlineStr">
        <is>
          <t>DJ30</t>
        </is>
      </c>
      <c r="B1779" s="6" t="inlineStr">
        <is>
          <t>2024-02-09</t>
        </is>
      </c>
      <c r="C1779" s="6" t="inlineStr">
        <is>
          <t>DIA</t>
        </is>
      </c>
      <c r="D1779" s="6" t="inlineStr">
        <is>
          <t>GS</t>
        </is>
      </c>
      <c r="E1779" s="6" t="inlineStr">
        <is>
          <t>GS</t>
        </is>
      </c>
      <c r="F1779" s="6" t="inlineStr">
        <is>
          <t>-</t>
        </is>
      </c>
      <c r="G1779" s="7" t="n">
        <v>364.1387023925781</v>
      </c>
      <c r="H1779" s="6">
        <f>P1748</f>
        <v/>
      </c>
      <c r="I1779" s="9">
        <f>Q1748</f>
        <v/>
      </c>
      <c r="J1779" s="7">
        <f>I1779*G1779</f>
        <v/>
      </c>
      <c r="K1779" s="8">
        <f>IF($J$1799=0,0,J1779/$J$1799)</f>
        <v/>
      </c>
      <c r="L1779" s="6" t="inlineStr">
        <is>
          <t>REJECTED</t>
        </is>
      </c>
      <c r="M1779" s="8" t="n">
        <v>0</v>
      </c>
      <c r="N1779" s="7">
        <f>M1779*$J$1799-J1779</f>
        <v/>
      </c>
      <c r="O1779" s="9">
        <f>IF(G1779=0,0,N1779/G1779)</f>
        <v/>
      </c>
      <c r="P1779" s="6">
        <f>IF(M1779&gt;0,D1779,"")</f>
        <v/>
      </c>
      <c r="Q1779" s="9">
        <f>I1779+O1779</f>
        <v/>
      </c>
      <c r="R1779" s="7">
        <f>Q1779*G1779</f>
        <v/>
      </c>
      <c r="S1779" s="8">
        <f>IF($R$1799=0,0,R1779/$R$1799)</f>
        <v/>
      </c>
      <c r="T1779" s="8" t="n">
        <v>0.005893791578818197</v>
      </c>
      <c r="U1779" s="8" t="n">
        <v>0.0007762799851596114</v>
      </c>
      <c r="V1779" s="6" t="inlineStr">
        <is>
          <t>not selected</t>
        </is>
      </c>
    </row>
    <row r="1780">
      <c r="A1780" s="6" t="inlineStr">
        <is>
          <t>DJ30</t>
        </is>
      </c>
      <c r="B1780" s="6" t="inlineStr">
        <is>
          <t>2024-02-09</t>
        </is>
      </c>
      <c r="C1780" s="6" t="inlineStr">
        <is>
          <t>DIA</t>
        </is>
      </c>
      <c r="D1780" s="6" t="inlineStr">
        <is>
          <t>HD</t>
        </is>
      </c>
      <c r="E1780" s="6" t="inlineStr">
        <is>
          <t>HD</t>
        </is>
      </c>
      <c r="F1780" s="6" t="inlineStr">
        <is>
          <t>-</t>
        </is>
      </c>
      <c r="G1780" s="7" t="n">
        <v>340.990966796875</v>
      </c>
      <c r="H1780" s="6">
        <f>P1749</f>
        <v/>
      </c>
      <c r="I1780" s="9">
        <f>Q1749</f>
        <v/>
      </c>
      <c r="J1780" s="7">
        <f>I1780*G1780</f>
        <v/>
      </c>
      <c r="K1780" s="8">
        <f>IF($J$1799=0,0,J1780/$J$1799)</f>
        <v/>
      </c>
      <c r="L1780" s="6" t="inlineStr">
        <is>
          <t>WATCHLIST</t>
        </is>
      </c>
      <c r="M1780" s="8" t="n">
        <v>0</v>
      </c>
      <c r="N1780" s="7">
        <f>M1780*$J$1799-J1780</f>
        <v/>
      </c>
      <c r="O1780" s="9">
        <f>IF(G1780=0,0,N1780/G1780)</f>
        <v/>
      </c>
      <c r="P1780" s="6">
        <f>IF(M1780&gt;0,D1780,"")</f>
        <v/>
      </c>
      <c r="Q1780" s="9">
        <f>I1780+O1780</f>
        <v/>
      </c>
      <c r="R1780" s="7">
        <f>Q1780*G1780</f>
        <v/>
      </c>
      <c r="S1780" s="8">
        <f>IF($R$1799=0,0,R1780/$R$1799)</f>
        <v/>
      </c>
      <c r="T1780" s="8" t="n">
        <v>0.005893791578818197</v>
      </c>
      <c r="U1780" s="8" t="n">
        <v>0.0007762799851596114</v>
      </c>
      <c r="V1780" s="6" t="inlineStr">
        <is>
          <t>not selected</t>
        </is>
      </c>
    </row>
    <row r="1781">
      <c r="A1781" s="6" t="inlineStr">
        <is>
          <t>DJ30</t>
        </is>
      </c>
      <c r="B1781" s="6" t="inlineStr">
        <is>
          <t>2024-02-09</t>
        </is>
      </c>
      <c r="C1781" s="6" t="inlineStr">
        <is>
          <t>DIA</t>
        </is>
      </c>
      <c r="D1781" s="6" t="inlineStr">
        <is>
          <t>HON</t>
        </is>
      </c>
      <c r="E1781" s="6" t="inlineStr">
        <is>
          <t>HON</t>
        </is>
      </c>
      <c r="F1781" s="6" t="inlineStr">
        <is>
          <t>-</t>
        </is>
      </c>
      <c r="G1781" s="7" t="n">
        <v>174.1306915283203</v>
      </c>
      <c r="H1781" s="6">
        <f>P1750</f>
        <v/>
      </c>
      <c r="I1781" s="9">
        <f>Q1750</f>
        <v/>
      </c>
      <c r="J1781" s="7">
        <f>I1781*G1781</f>
        <v/>
      </c>
      <c r="K1781" s="8">
        <f>IF($J$1799=0,0,J1781/$J$1799)</f>
        <v/>
      </c>
      <c r="L1781" s="6" t="inlineStr">
        <is>
          <t>REJECTED</t>
        </is>
      </c>
      <c r="M1781" s="8" t="n">
        <v>0</v>
      </c>
      <c r="N1781" s="7">
        <f>M1781*$J$1799-J1781</f>
        <v/>
      </c>
      <c r="O1781" s="9">
        <f>IF(G1781=0,0,N1781/G1781)</f>
        <v/>
      </c>
      <c r="P1781" s="6">
        <f>IF(M1781&gt;0,D1781,"")</f>
        <v/>
      </c>
      <c r="Q1781" s="9">
        <f>I1781+O1781</f>
        <v/>
      </c>
      <c r="R1781" s="7">
        <f>Q1781*G1781</f>
        <v/>
      </c>
      <c r="S1781" s="8">
        <f>IF($R$1799=0,0,R1781/$R$1799)</f>
        <v/>
      </c>
      <c r="T1781" s="8" t="n">
        <v>0.005893791578818197</v>
      </c>
      <c r="U1781" s="8" t="n">
        <v>0.0007762799851596114</v>
      </c>
      <c r="V1781" s="6" t="inlineStr">
        <is>
          <t>not selected</t>
        </is>
      </c>
    </row>
    <row r="1782">
      <c r="A1782" s="6" t="inlineStr">
        <is>
          <t>DJ30</t>
        </is>
      </c>
      <c r="B1782" s="6" t="inlineStr">
        <is>
          <t>2024-02-09</t>
        </is>
      </c>
      <c r="C1782" s="6" t="inlineStr">
        <is>
          <t>DIA</t>
        </is>
      </c>
      <c r="D1782" s="6" t="inlineStr">
        <is>
          <t>IBM</t>
        </is>
      </c>
      <c r="E1782" s="6" t="inlineStr">
        <is>
          <t>IBM</t>
        </is>
      </c>
      <c r="F1782" s="6" t="inlineStr">
        <is>
          <t>-</t>
        </is>
      </c>
      <c r="G1782" s="7" t="n">
        <v>174.6194458007812</v>
      </c>
      <c r="H1782" s="6">
        <f>P1751</f>
        <v/>
      </c>
      <c r="I1782" s="9">
        <f>Q1751</f>
        <v/>
      </c>
      <c r="J1782" s="7">
        <f>I1782*G1782</f>
        <v/>
      </c>
      <c r="K1782" s="8">
        <f>IF($J$1799=0,0,J1782/$J$1799)</f>
        <v/>
      </c>
      <c r="L1782" s="6" t="inlineStr">
        <is>
          <t>SELECTED</t>
        </is>
      </c>
      <c r="M1782" s="8" t="n">
        <v>0.2</v>
      </c>
      <c r="N1782" s="7">
        <f>M1782*$J$1799-J1782</f>
        <v/>
      </c>
      <c r="O1782" s="9">
        <f>IF(G1782=0,0,N1782/G1782)</f>
        <v/>
      </c>
      <c r="P1782" s="6">
        <f>IF(M1782&gt;0,D1782,"")</f>
        <v/>
      </c>
      <c r="Q1782" s="9">
        <f>I1782+O1782</f>
        <v/>
      </c>
      <c r="R1782" s="7">
        <f>Q1782*G1782</f>
        <v/>
      </c>
      <c r="S1782" s="8">
        <f>IF($R$1799=0,0,R1782/$R$1799)</f>
        <v/>
      </c>
      <c r="T1782" s="8" t="n">
        <v>0.005893791578818197</v>
      </c>
      <c r="U1782" s="8" t="n">
        <v>0.0007762799851596114</v>
      </c>
      <c r="V1782" s="6" t="inlineStr">
        <is>
          <t>remained in weekly selection</t>
        </is>
      </c>
    </row>
    <row r="1783">
      <c r="A1783" s="6" t="inlineStr">
        <is>
          <t>DJ30</t>
        </is>
      </c>
      <c r="B1783" s="6" t="inlineStr">
        <is>
          <t>2024-02-09</t>
        </is>
      </c>
      <c r="C1783" s="6" t="inlineStr">
        <is>
          <t>DIA</t>
        </is>
      </c>
      <c r="D1783" s="6" t="inlineStr">
        <is>
          <t>JNJ</t>
        </is>
      </c>
      <c r="E1783" s="6" t="inlineStr">
        <is>
          <t>JNJ</t>
        </is>
      </c>
      <c r="F1783" s="6" t="inlineStr">
        <is>
          <t>-</t>
        </is>
      </c>
      <c r="G1783" s="7" t="n">
        <v>145.8180236816406</v>
      </c>
      <c r="H1783" s="6">
        <f>P1752</f>
        <v/>
      </c>
      <c r="I1783" s="9">
        <f>Q1752</f>
        <v/>
      </c>
      <c r="J1783" s="7">
        <f>I1783*G1783</f>
        <v/>
      </c>
      <c r="K1783" s="8">
        <f>IF($J$1799=0,0,J1783/$J$1799)</f>
        <v/>
      </c>
      <c r="L1783" s="6" t="inlineStr">
        <is>
          <t>REJECTED</t>
        </is>
      </c>
      <c r="M1783" s="8" t="n">
        <v>0</v>
      </c>
      <c r="N1783" s="7">
        <f>M1783*$J$1799-J1783</f>
        <v/>
      </c>
      <c r="O1783" s="9">
        <f>IF(G1783=0,0,N1783/G1783)</f>
        <v/>
      </c>
      <c r="P1783" s="6">
        <f>IF(M1783&gt;0,D1783,"")</f>
        <v/>
      </c>
      <c r="Q1783" s="9">
        <f>I1783+O1783</f>
        <v/>
      </c>
      <c r="R1783" s="7">
        <f>Q1783*G1783</f>
        <v/>
      </c>
      <c r="S1783" s="8">
        <f>IF($R$1799=0,0,R1783/$R$1799)</f>
        <v/>
      </c>
      <c r="T1783" s="8" t="n">
        <v>0.005893791578818197</v>
      </c>
      <c r="U1783" s="8" t="n">
        <v>0.0007762799851596114</v>
      </c>
      <c r="V1783" s="6" t="inlineStr">
        <is>
          <t>not selected</t>
        </is>
      </c>
    </row>
    <row r="1784">
      <c r="A1784" s="6" t="inlineStr">
        <is>
          <t>DJ30</t>
        </is>
      </c>
      <c r="B1784" s="6" t="inlineStr">
        <is>
          <t>2024-02-09</t>
        </is>
      </c>
      <c r="C1784" s="6" t="inlineStr">
        <is>
          <t>DIA</t>
        </is>
      </c>
      <c r="D1784" s="6" t="inlineStr">
        <is>
          <t>JPM</t>
        </is>
      </c>
      <c r="E1784" s="6" t="inlineStr">
        <is>
          <t>JPM</t>
        </is>
      </c>
      <c r="F1784" s="6" t="inlineStr">
        <is>
          <t>-</t>
        </is>
      </c>
      <c r="G1784" s="7" t="n">
        <v>166.8071746826172</v>
      </c>
      <c r="H1784" s="6">
        <f>P1753</f>
        <v/>
      </c>
      <c r="I1784" s="9">
        <f>Q1753</f>
        <v/>
      </c>
      <c r="J1784" s="7">
        <f>I1784*G1784</f>
        <v/>
      </c>
      <c r="K1784" s="8">
        <f>IF($J$1799=0,0,J1784/$J$1799)</f>
        <v/>
      </c>
      <c r="L1784" s="6" t="inlineStr">
        <is>
          <t>WATCHLIST</t>
        </is>
      </c>
      <c r="M1784" s="8" t="n">
        <v>0</v>
      </c>
      <c r="N1784" s="7">
        <f>M1784*$J$1799-J1784</f>
        <v/>
      </c>
      <c r="O1784" s="9">
        <f>IF(G1784=0,0,N1784/G1784)</f>
        <v/>
      </c>
      <c r="P1784" s="6">
        <f>IF(M1784&gt;0,D1784,"")</f>
        <v/>
      </c>
      <c r="Q1784" s="9">
        <f>I1784+O1784</f>
        <v/>
      </c>
      <c r="R1784" s="7">
        <f>Q1784*G1784</f>
        <v/>
      </c>
      <c r="S1784" s="8">
        <f>IF($R$1799=0,0,R1784/$R$1799)</f>
        <v/>
      </c>
      <c r="T1784" s="8" t="n">
        <v>0.005893791578818197</v>
      </c>
      <c r="U1784" s="8" t="n">
        <v>0.0007762799851596114</v>
      </c>
      <c r="V1784" s="6" t="inlineStr">
        <is>
          <t>not selected</t>
        </is>
      </c>
    </row>
    <row r="1785">
      <c r="A1785" s="6" t="inlineStr">
        <is>
          <t>DJ30</t>
        </is>
      </c>
      <c r="B1785" s="6" t="inlineStr">
        <is>
          <t>2024-02-09</t>
        </is>
      </c>
      <c r="C1785" s="6" t="inlineStr">
        <is>
          <t>DIA</t>
        </is>
      </c>
      <c r="D1785" s="6" t="inlineStr">
        <is>
          <t>KO</t>
        </is>
      </c>
      <c r="E1785" s="6" t="inlineStr">
        <is>
          <t>KO</t>
        </is>
      </c>
      <c r="F1785" s="6" t="inlineStr">
        <is>
          <t>-</t>
        </is>
      </c>
      <c r="G1785" s="7" t="n">
        <v>55.39754486083984</v>
      </c>
      <c r="H1785" s="6">
        <f>P1754</f>
        <v/>
      </c>
      <c r="I1785" s="9">
        <f>Q1754</f>
        <v/>
      </c>
      <c r="J1785" s="7">
        <f>I1785*G1785</f>
        <v/>
      </c>
      <c r="K1785" s="8">
        <f>IF($J$1799=0,0,J1785/$J$1799)</f>
        <v/>
      </c>
      <c r="L1785" s="6" t="inlineStr">
        <is>
          <t>REJECTED</t>
        </is>
      </c>
      <c r="M1785" s="8" t="n">
        <v>0</v>
      </c>
      <c r="N1785" s="7">
        <f>M1785*$J$1799-J1785</f>
        <v/>
      </c>
      <c r="O1785" s="9">
        <f>IF(G1785=0,0,N1785/G1785)</f>
        <v/>
      </c>
      <c r="P1785" s="6">
        <f>IF(M1785&gt;0,D1785,"")</f>
        <v/>
      </c>
      <c r="Q1785" s="9">
        <f>I1785+O1785</f>
        <v/>
      </c>
      <c r="R1785" s="7">
        <f>Q1785*G1785</f>
        <v/>
      </c>
      <c r="S1785" s="8">
        <f>IF($R$1799=0,0,R1785/$R$1799)</f>
        <v/>
      </c>
      <c r="T1785" s="8" t="n">
        <v>0.005893791578818197</v>
      </c>
      <c r="U1785" s="8" t="n">
        <v>0.0007762799851596114</v>
      </c>
      <c r="V1785" s="6" t="inlineStr">
        <is>
          <t>not selected</t>
        </is>
      </c>
    </row>
    <row r="1786">
      <c r="A1786" s="6" t="inlineStr">
        <is>
          <t>DJ30</t>
        </is>
      </c>
      <c r="B1786" s="6" t="inlineStr">
        <is>
          <t>2024-02-09</t>
        </is>
      </c>
      <c r="C1786" s="6" t="inlineStr">
        <is>
          <t>DIA</t>
        </is>
      </c>
      <c r="D1786" s="6" t="inlineStr">
        <is>
          <t>MCD</t>
        </is>
      </c>
      <c r="E1786" s="6" t="inlineStr">
        <is>
          <t>MCD</t>
        </is>
      </c>
      <c r="F1786" s="6" t="inlineStr">
        <is>
          <t>-</t>
        </is>
      </c>
      <c r="G1786" s="7" t="n">
        <v>272.7949523925781</v>
      </c>
      <c r="H1786" s="6">
        <f>P1755</f>
        <v/>
      </c>
      <c r="I1786" s="9">
        <f>Q1755</f>
        <v/>
      </c>
      <c r="J1786" s="7">
        <f>I1786*G1786</f>
        <v/>
      </c>
      <c r="K1786" s="8">
        <f>IF($J$1799=0,0,J1786/$J$1799)</f>
        <v/>
      </c>
      <c r="L1786" s="6" t="inlineStr">
        <is>
          <t>REJECTED</t>
        </is>
      </c>
      <c r="M1786" s="8" t="n">
        <v>0</v>
      </c>
      <c r="N1786" s="7">
        <f>M1786*$J$1799-J1786</f>
        <v/>
      </c>
      <c r="O1786" s="9">
        <f>IF(G1786=0,0,N1786/G1786)</f>
        <v/>
      </c>
      <c r="P1786" s="6">
        <f>IF(M1786&gt;0,D1786,"")</f>
        <v/>
      </c>
      <c r="Q1786" s="9">
        <f>I1786+O1786</f>
        <v/>
      </c>
      <c r="R1786" s="7">
        <f>Q1786*G1786</f>
        <v/>
      </c>
      <c r="S1786" s="8">
        <f>IF($R$1799=0,0,R1786/$R$1799)</f>
        <v/>
      </c>
      <c r="T1786" s="8" t="n">
        <v>0.005893791578818197</v>
      </c>
      <c r="U1786" s="8" t="n">
        <v>0.0007762799851596114</v>
      </c>
      <c r="V1786" s="6" t="inlineStr">
        <is>
          <t>not selected</t>
        </is>
      </c>
    </row>
    <row r="1787">
      <c r="A1787" s="6" t="inlineStr">
        <is>
          <t>DJ30</t>
        </is>
      </c>
      <c r="B1787" s="6" t="inlineStr">
        <is>
          <t>2024-02-09</t>
        </is>
      </c>
      <c r="C1787" s="6" t="inlineStr">
        <is>
          <t>DIA</t>
        </is>
      </c>
      <c r="D1787" s="6" t="inlineStr">
        <is>
          <t>MMM</t>
        </is>
      </c>
      <c r="E1787" s="6" t="inlineStr">
        <is>
          <t>MMM</t>
        </is>
      </c>
      <c r="F1787" s="6" t="inlineStr">
        <is>
          <t>-</t>
        </is>
      </c>
      <c r="G1787" s="7" t="n">
        <v>72.97568511962891</v>
      </c>
      <c r="H1787" s="6">
        <f>P1756</f>
        <v/>
      </c>
      <c r="I1787" s="9">
        <f>Q1756</f>
        <v/>
      </c>
      <c r="J1787" s="7">
        <f>I1787*G1787</f>
        <v/>
      </c>
      <c r="K1787" s="8">
        <f>IF($J$1799=0,0,J1787/$J$1799)</f>
        <v/>
      </c>
      <c r="L1787" s="6" t="inlineStr">
        <is>
          <t>REJECTED</t>
        </is>
      </c>
      <c r="M1787" s="8" t="n">
        <v>0</v>
      </c>
      <c r="N1787" s="7">
        <f>M1787*$J$1799-J1787</f>
        <v/>
      </c>
      <c r="O1787" s="9">
        <f>IF(G1787=0,0,N1787/G1787)</f>
        <v/>
      </c>
      <c r="P1787" s="6">
        <f>IF(M1787&gt;0,D1787,"")</f>
        <v/>
      </c>
      <c r="Q1787" s="9">
        <f>I1787+O1787</f>
        <v/>
      </c>
      <c r="R1787" s="7">
        <f>Q1787*G1787</f>
        <v/>
      </c>
      <c r="S1787" s="8">
        <f>IF($R$1799=0,0,R1787/$R$1799)</f>
        <v/>
      </c>
      <c r="T1787" s="8" t="n">
        <v>0.005893791578818197</v>
      </c>
      <c r="U1787" s="8" t="n">
        <v>0.0007762799851596114</v>
      </c>
      <c r="V1787" s="6" t="inlineStr">
        <is>
          <t>not selected</t>
        </is>
      </c>
    </row>
    <row r="1788">
      <c r="A1788" s="6" t="inlineStr">
        <is>
          <t>DJ30</t>
        </is>
      </c>
      <c r="B1788" s="6" t="inlineStr">
        <is>
          <t>2024-02-09</t>
        </is>
      </c>
      <c r="C1788" s="6" t="inlineStr">
        <is>
          <t>DIA</t>
        </is>
      </c>
      <c r="D1788" s="6" t="inlineStr">
        <is>
          <t>MRK</t>
        </is>
      </c>
      <c r="E1788" s="6" t="inlineStr">
        <is>
          <t>MRK</t>
        </is>
      </c>
      <c r="F1788" s="6" t="inlineStr">
        <is>
          <t>-</t>
        </is>
      </c>
      <c r="G1788" s="7" t="n">
        <v>115.9928665161133</v>
      </c>
      <c r="H1788" s="6">
        <f>P1757</f>
        <v/>
      </c>
      <c r="I1788" s="9">
        <f>Q1757</f>
        <v/>
      </c>
      <c r="J1788" s="7">
        <f>I1788*G1788</f>
        <v/>
      </c>
      <c r="K1788" s="8">
        <f>IF($J$1799=0,0,J1788/$J$1799)</f>
        <v/>
      </c>
      <c r="L1788" s="6" t="inlineStr">
        <is>
          <t>REJECTED</t>
        </is>
      </c>
      <c r="M1788" s="8" t="n">
        <v>0</v>
      </c>
      <c r="N1788" s="7">
        <f>M1788*$J$1799-J1788</f>
        <v/>
      </c>
      <c r="O1788" s="9">
        <f>IF(G1788=0,0,N1788/G1788)</f>
        <v/>
      </c>
      <c r="P1788" s="6">
        <f>IF(M1788&gt;0,D1788,"")</f>
        <v/>
      </c>
      <c r="Q1788" s="9">
        <f>I1788+O1788</f>
        <v/>
      </c>
      <c r="R1788" s="7">
        <f>Q1788*G1788</f>
        <v/>
      </c>
      <c r="S1788" s="8">
        <f>IF($R$1799=0,0,R1788/$R$1799)</f>
        <v/>
      </c>
      <c r="T1788" s="8" t="n">
        <v>0.005893791578818197</v>
      </c>
      <c r="U1788" s="8" t="n">
        <v>0.0007762799851596114</v>
      </c>
      <c r="V1788" s="6" t="inlineStr">
        <is>
          <t>not selected</t>
        </is>
      </c>
    </row>
    <row r="1789">
      <c r="A1789" s="6" t="inlineStr">
        <is>
          <t>DJ30</t>
        </is>
      </c>
      <c r="B1789" s="6" t="inlineStr">
        <is>
          <t>2024-02-09</t>
        </is>
      </c>
      <c r="C1789" s="6" t="inlineStr">
        <is>
          <t>DIA</t>
        </is>
      </c>
      <c r="D1789" s="6" t="inlineStr">
        <is>
          <t>MSFT</t>
        </is>
      </c>
      <c r="E1789" s="6" t="inlineStr">
        <is>
          <t>MSFT</t>
        </is>
      </c>
      <c r="F1789" s="6" t="inlineStr">
        <is>
          <t>-</t>
        </is>
      </c>
      <c r="G1789" s="7" t="n">
        <v>412.5346374511719</v>
      </c>
      <c r="H1789" s="6">
        <f>P1758</f>
        <v/>
      </c>
      <c r="I1789" s="9">
        <f>Q1758</f>
        <v/>
      </c>
      <c r="J1789" s="7">
        <f>I1789*G1789</f>
        <v/>
      </c>
      <c r="K1789" s="8">
        <f>IF($J$1799=0,0,J1789/$J$1799)</f>
        <v/>
      </c>
      <c r="L1789" s="6" t="inlineStr">
        <is>
          <t>WATCHLIST</t>
        </is>
      </c>
      <c r="M1789" s="8" t="n">
        <v>0</v>
      </c>
      <c r="N1789" s="7">
        <f>M1789*$J$1799-J1789</f>
        <v/>
      </c>
      <c r="O1789" s="9">
        <f>IF(G1789=0,0,N1789/G1789)</f>
        <v/>
      </c>
      <c r="P1789" s="6">
        <f>IF(M1789&gt;0,D1789,"")</f>
        <v/>
      </c>
      <c r="Q1789" s="9">
        <f>I1789+O1789</f>
        <v/>
      </c>
      <c r="R1789" s="7">
        <f>Q1789*G1789</f>
        <v/>
      </c>
      <c r="S1789" s="8">
        <f>IF($R$1799=0,0,R1789/$R$1799)</f>
        <v/>
      </c>
      <c r="T1789" s="8" t="n">
        <v>0.005893791578818197</v>
      </c>
      <c r="U1789" s="8" t="n">
        <v>0.0007762799851596114</v>
      </c>
      <c r="V1789" s="6" t="inlineStr">
        <is>
          <t>not selected</t>
        </is>
      </c>
    </row>
    <row r="1790">
      <c r="A1790" s="6" t="inlineStr">
        <is>
          <t>DJ30</t>
        </is>
      </c>
      <c r="B1790" s="6" t="inlineStr">
        <is>
          <t>2024-02-09</t>
        </is>
      </c>
      <c r="C1790" s="6" t="inlineStr">
        <is>
          <t>DIA</t>
        </is>
      </c>
      <c r="D1790" s="6" t="inlineStr">
        <is>
          <t>NKE</t>
        </is>
      </c>
      <c r="E1790" s="6" t="inlineStr">
        <is>
          <t>NKE</t>
        </is>
      </c>
      <c r="F1790" s="6" t="inlineStr">
        <is>
          <t>-</t>
        </is>
      </c>
      <c r="G1790" s="7" t="n">
        <v>98.83336639404295</v>
      </c>
      <c r="H1790" s="6">
        <f>P1759</f>
        <v/>
      </c>
      <c r="I1790" s="9">
        <f>Q1759</f>
        <v/>
      </c>
      <c r="J1790" s="7">
        <f>I1790*G1790</f>
        <v/>
      </c>
      <c r="K1790" s="8">
        <f>IF($J$1799=0,0,J1790/$J$1799)</f>
        <v/>
      </c>
      <c r="L1790" s="6" t="inlineStr">
        <is>
          <t>REJECTED</t>
        </is>
      </c>
      <c r="M1790" s="8" t="n">
        <v>0</v>
      </c>
      <c r="N1790" s="7">
        <f>M1790*$J$1799-J1790</f>
        <v/>
      </c>
      <c r="O1790" s="9">
        <f>IF(G1790=0,0,N1790/G1790)</f>
        <v/>
      </c>
      <c r="P1790" s="6">
        <f>IF(M1790&gt;0,D1790,"")</f>
        <v/>
      </c>
      <c r="Q1790" s="9">
        <f>I1790+O1790</f>
        <v/>
      </c>
      <c r="R1790" s="7">
        <f>Q1790*G1790</f>
        <v/>
      </c>
      <c r="S1790" s="8">
        <f>IF($R$1799=0,0,R1790/$R$1799)</f>
        <v/>
      </c>
      <c r="T1790" s="8" t="n">
        <v>0.005893791578818197</v>
      </c>
      <c r="U1790" s="8" t="n">
        <v>0.0007762799851596114</v>
      </c>
      <c r="V1790" s="6" t="inlineStr">
        <is>
          <t>not selected</t>
        </is>
      </c>
    </row>
    <row r="1791">
      <c r="A1791" s="6" t="inlineStr">
        <is>
          <t>DJ30</t>
        </is>
      </c>
      <c r="B1791" s="6" t="inlineStr">
        <is>
          <t>2024-02-09</t>
        </is>
      </c>
      <c r="C1791" s="6" t="inlineStr">
        <is>
          <t>DIA</t>
        </is>
      </c>
      <c r="D1791" s="6" t="inlineStr">
        <is>
          <t>NVDA</t>
        </is>
      </c>
      <c r="E1791" s="6" t="inlineStr">
        <is>
          <t>NVDA</t>
        </is>
      </c>
      <c r="F1791" s="6" t="inlineStr">
        <is>
          <t>-</t>
        </is>
      </c>
      <c r="G1791" s="7" t="n">
        <v>72.00501251220703</v>
      </c>
      <c r="H1791" s="6">
        <f>P1760</f>
        <v/>
      </c>
      <c r="I1791" s="9">
        <f>Q1760</f>
        <v/>
      </c>
      <c r="J1791" s="7">
        <f>I1791*G1791</f>
        <v/>
      </c>
      <c r="K1791" s="8">
        <f>IF($J$1799=0,0,J1791/$J$1799)</f>
        <v/>
      </c>
      <c r="L1791" s="6" t="inlineStr">
        <is>
          <t>SELECTED</t>
        </is>
      </c>
      <c r="M1791" s="8" t="n">
        <v>0.2</v>
      </c>
      <c r="N1791" s="7">
        <f>M1791*$J$1799-J1791</f>
        <v/>
      </c>
      <c r="O1791" s="9">
        <f>IF(G1791=0,0,N1791/G1791)</f>
        <v/>
      </c>
      <c r="P1791" s="6">
        <f>IF(M1791&gt;0,D1791,"")</f>
        <v/>
      </c>
      <c r="Q1791" s="9">
        <f>I1791+O1791</f>
        <v/>
      </c>
      <c r="R1791" s="7">
        <f>Q1791*G1791</f>
        <v/>
      </c>
      <c r="S1791" s="8">
        <f>IF($R$1799=0,0,R1791/$R$1799)</f>
        <v/>
      </c>
      <c r="T1791" s="8" t="n">
        <v>0.005893791578818197</v>
      </c>
      <c r="U1791" s="8" t="n">
        <v>0.0007762799851596114</v>
      </c>
      <c r="V1791" s="6" t="inlineStr">
        <is>
          <t>remained in weekly selection</t>
        </is>
      </c>
    </row>
    <row r="1792">
      <c r="A1792" s="6" t="inlineStr">
        <is>
          <t>DJ30</t>
        </is>
      </c>
      <c r="B1792" s="6" t="inlineStr">
        <is>
          <t>2024-02-09</t>
        </is>
      </c>
      <c r="C1792" s="6" t="inlineStr">
        <is>
          <t>DIA</t>
        </is>
      </c>
      <c r="D1792" s="6" t="inlineStr">
        <is>
          <t>PG</t>
        </is>
      </c>
      <c r="E1792" s="6" t="inlineStr">
        <is>
          <t>PG</t>
        </is>
      </c>
      <c r="F1792" s="6" t="inlineStr">
        <is>
          <t>-</t>
        </is>
      </c>
      <c r="G1792" s="7" t="n">
        <v>148.4084777832031</v>
      </c>
      <c r="H1792" s="6">
        <f>P1761</f>
        <v/>
      </c>
      <c r="I1792" s="9">
        <f>Q1761</f>
        <v/>
      </c>
      <c r="J1792" s="7">
        <f>I1792*G1792</f>
        <v/>
      </c>
      <c r="K1792" s="8">
        <f>IF($J$1799=0,0,J1792/$J$1799)</f>
        <v/>
      </c>
      <c r="L1792" s="6" t="inlineStr">
        <is>
          <t>REJECTED</t>
        </is>
      </c>
      <c r="M1792" s="8" t="n">
        <v>0</v>
      </c>
      <c r="N1792" s="7">
        <f>M1792*$J$1799-J1792</f>
        <v/>
      </c>
      <c r="O1792" s="9">
        <f>IF(G1792=0,0,N1792/G1792)</f>
        <v/>
      </c>
      <c r="P1792" s="6">
        <f>IF(M1792&gt;0,D1792,"")</f>
        <v/>
      </c>
      <c r="Q1792" s="9">
        <f>I1792+O1792</f>
        <v/>
      </c>
      <c r="R1792" s="7">
        <f>Q1792*G1792</f>
        <v/>
      </c>
      <c r="S1792" s="8">
        <f>IF($R$1799=0,0,R1792/$R$1799)</f>
        <v/>
      </c>
      <c r="T1792" s="8" t="n">
        <v>0.005893791578818197</v>
      </c>
      <c r="U1792" s="8" t="n">
        <v>0.0007762799851596114</v>
      </c>
      <c r="V1792" s="6" t="inlineStr">
        <is>
          <t>not selected</t>
        </is>
      </c>
    </row>
    <row r="1793">
      <c r="A1793" s="6" t="inlineStr">
        <is>
          <t>DJ30</t>
        </is>
      </c>
      <c r="B1793" s="6" t="inlineStr">
        <is>
          <t>2024-02-09</t>
        </is>
      </c>
      <c r="C1793" s="6" t="inlineStr">
        <is>
          <t>DIA</t>
        </is>
      </c>
      <c r="D1793" s="6" t="inlineStr">
        <is>
          <t>SHW</t>
        </is>
      </c>
      <c r="E1793" s="6" t="inlineStr">
        <is>
          <t>SHW</t>
        </is>
      </c>
      <c r="F1793" s="6" t="inlineStr">
        <is>
          <t>-</t>
        </is>
      </c>
      <c r="G1793" s="7" t="n">
        <v>304.9529113769531</v>
      </c>
      <c r="H1793" s="6">
        <f>P1762</f>
        <v/>
      </c>
      <c r="I1793" s="9">
        <f>Q1762</f>
        <v/>
      </c>
      <c r="J1793" s="7">
        <f>I1793*G1793</f>
        <v/>
      </c>
      <c r="K1793" s="8">
        <f>IF($J$1799=0,0,J1793/$J$1799)</f>
        <v/>
      </c>
      <c r="L1793" s="6" t="inlineStr">
        <is>
          <t>WATCHLIST</t>
        </is>
      </c>
      <c r="M1793" s="8" t="n">
        <v>0</v>
      </c>
      <c r="N1793" s="7">
        <f>M1793*$J$1799-J1793</f>
        <v/>
      </c>
      <c r="O1793" s="9">
        <f>IF(G1793=0,0,N1793/G1793)</f>
        <v/>
      </c>
      <c r="P1793" s="6">
        <f>IF(M1793&gt;0,D1793,"")</f>
        <v/>
      </c>
      <c r="Q1793" s="9">
        <f>I1793+O1793</f>
        <v/>
      </c>
      <c r="R1793" s="7">
        <f>Q1793*G1793</f>
        <v/>
      </c>
      <c r="S1793" s="8">
        <f>IF($R$1799=0,0,R1793/$R$1799)</f>
        <v/>
      </c>
      <c r="T1793" s="8" t="n">
        <v>0.005893791578818197</v>
      </c>
      <c r="U1793" s="8" t="n">
        <v>0.0007762799851596114</v>
      </c>
      <c r="V1793" s="6" t="inlineStr">
        <is>
          <t>not selected</t>
        </is>
      </c>
    </row>
    <row r="1794">
      <c r="A1794" s="6" t="inlineStr">
        <is>
          <t>DJ30</t>
        </is>
      </c>
      <c r="B1794" s="6" t="inlineStr">
        <is>
          <t>2024-02-09</t>
        </is>
      </c>
      <c r="C1794" s="6" t="inlineStr">
        <is>
          <t>DIA</t>
        </is>
      </c>
      <c r="D1794" s="6" t="inlineStr">
        <is>
          <t>TRV</t>
        </is>
      </c>
      <c r="E1794" s="6" t="inlineStr">
        <is>
          <t>TRV</t>
        </is>
      </c>
      <c r="F1794" s="6" t="inlineStr">
        <is>
          <t>-</t>
        </is>
      </c>
      <c r="G1794" s="7" t="n">
        <v>205.6754608154297</v>
      </c>
      <c r="H1794" s="6">
        <f>P1763</f>
        <v/>
      </c>
      <c r="I1794" s="9">
        <f>Q1763</f>
        <v/>
      </c>
      <c r="J1794" s="7">
        <f>I1794*G1794</f>
        <v/>
      </c>
      <c r="K1794" s="8">
        <f>IF($J$1799=0,0,J1794/$J$1799)</f>
        <v/>
      </c>
      <c r="L1794" s="6" t="inlineStr">
        <is>
          <t>REJECTED</t>
        </is>
      </c>
      <c r="M1794" s="8" t="n">
        <v>0</v>
      </c>
      <c r="N1794" s="7">
        <f>M1794*$J$1799-J1794</f>
        <v/>
      </c>
      <c r="O1794" s="9">
        <f>IF(G1794=0,0,N1794/G1794)</f>
        <v/>
      </c>
      <c r="P1794" s="6">
        <f>IF(M1794&gt;0,D1794,"")</f>
        <v/>
      </c>
      <c r="Q1794" s="9">
        <f>I1794+O1794</f>
        <v/>
      </c>
      <c r="R1794" s="7">
        <f>Q1794*G1794</f>
        <v/>
      </c>
      <c r="S1794" s="8">
        <f>IF($R$1799=0,0,R1794/$R$1799)</f>
        <v/>
      </c>
      <c r="T1794" s="8" t="n">
        <v>0.005893791578818197</v>
      </c>
      <c r="U1794" s="8" t="n">
        <v>0.0007762799851596114</v>
      </c>
      <c r="V1794" s="6" t="inlineStr">
        <is>
          <t>not selected</t>
        </is>
      </c>
    </row>
    <row r="1795">
      <c r="A1795" s="6" t="inlineStr">
        <is>
          <t>DJ30</t>
        </is>
      </c>
      <c r="B1795" s="6" t="inlineStr">
        <is>
          <t>2024-02-09</t>
        </is>
      </c>
      <c r="C1795" s="6" t="inlineStr">
        <is>
          <t>DIA</t>
        </is>
      </c>
      <c r="D1795" s="6" t="inlineStr">
        <is>
          <t>UNH</t>
        </is>
      </c>
      <c r="E1795" s="6" t="inlineStr">
        <is>
          <t>UNH</t>
        </is>
      </c>
      <c r="F1795" s="6" t="inlineStr">
        <is>
          <t>-</t>
        </is>
      </c>
      <c r="G1795" s="7" t="n">
        <v>491.3204345703125</v>
      </c>
      <c r="H1795" s="6">
        <f>P1764</f>
        <v/>
      </c>
      <c r="I1795" s="9">
        <f>Q1764</f>
        <v/>
      </c>
      <c r="J1795" s="7">
        <f>I1795*G1795</f>
        <v/>
      </c>
      <c r="K1795" s="8">
        <f>IF($J$1799=0,0,J1795/$J$1799)</f>
        <v/>
      </c>
      <c r="L1795" s="6" t="inlineStr">
        <is>
          <t>WATCHLIST</t>
        </is>
      </c>
      <c r="M1795" s="8" t="n">
        <v>0</v>
      </c>
      <c r="N1795" s="7">
        <f>M1795*$J$1799-J1795</f>
        <v/>
      </c>
      <c r="O1795" s="9">
        <f>IF(G1795=0,0,N1795/G1795)</f>
        <v/>
      </c>
      <c r="P1795" s="6">
        <f>IF(M1795&gt;0,D1795,"")</f>
        <v/>
      </c>
      <c r="Q1795" s="9">
        <f>I1795+O1795</f>
        <v/>
      </c>
      <c r="R1795" s="7">
        <f>Q1795*G1795</f>
        <v/>
      </c>
      <c r="S1795" s="8">
        <f>IF($R$1799=0,0,R1795/$R$1799)</f>
        <v/>
      </c>
      <c r="T1795" s="8" t="n">
        <v>0.005893791578818197</v>
      </c>
      <c r="U1795" s="8" t="n">
        <v>0.0007762799851596114</v>
      </c>
      <c r="V1795" s="6" t="inlineStr">
        <is>
          <t>not selected</t>
        </is>
      </c>
    </row>
    <row r="1796">
      <c r="A1796" s="6" t="inlineStr">
        <is>
          <t>DJ30</t>
        </is>
      </c>
      <c r="B1796" s="6" t="inlineStr">
        <is>
          <t>2024-02-09</t>
        </is>
      </c>
      <c r="C1796" s="6" t="inlineStr">
        <is>
          <t>DIA</t>
        </is>
      </c>
      <c r="D1796" s="6" t="inlineStr">
        <is>
          <t>V</t>
        </is>
      </c>
      <c r="E1796" s="6" t="inlineStr">
        <is>
          <t>V</t>
        </is>
      </c>
      <c r="F1796" s="6" t="inlineStr">
        <is>
          <t>-</t>
        </is>
      </c>
      <c r="G1796" s="7" t="n">
        <v>271.7812805175781</v>
      </c>
      <c r="H1796" s="6">
        <f>P1765</f>
        <v/>
      </c>
      <c r="I1796" s="9">
        <f>Q1765</f>
        <v/>
      </c>
      <c r="J1796" s="7">
        <f>I1796*G1796</f>
        <v/>
      </c>
      <c r="K1796" s="8">
        <f>IF($J$1799=0,0,J1796/$J$1799)</f>
        <v/>
      </c>
      <c r="L1796" s="6" t="inlineStr">
        <is>
          <t>WATCHLIST</t>
        </is>
      </c>
      <c r="M1796" s="8" t="n">
        <v>0</v>
      </c>
      <c r="N1796" s="7">
        <f>M1796*$J$1799-J1796</f>
        <v/>
      </c>
      <c r="O1796" s="9">
        <f>IF(G1796=0,0,N1796/G1796)</f>
        <v/>
      </c>
      <c r="P1796" s="6">
        <f>IF(M1796&gt;0,D1796,"")</f>
        <v/>
      </c>
      <c r="Q1796" s="9">
        <f>I1796+O1796</f>
        <v/>
      </c>
      <c r="R1796" s="7">
        <f>Q1796*G1796</f>
        <v/>
      </c>
      <c r="S1796" s="8">
        <f>IF($R$1799=0,0,R1796/$R$1799)</f>
        <v/>
      </c>
      <c r="T1796" s="8" t="n">
        <v>0.005893791578818197</v>
      </c>
      <c r="U1796" s="8" t="n">
        <v>0.0007762799851596114</v>
      </c>
      <c r="V1796" s="6" t="inlineStr">
        <is>
          <t>not selected</t>
        </is>
      </c>
    </row>
    <row r="1797">
      <c r="A1797" s="6" t="inlineStr">
        <is>
          <t>DJ30</t>
        </is>
      </c>
      <c r="B1797" s="6" t="inlineStr">
        <is>
          <t>2024-02-09</t>
        </is>
      </c>
      <c r="C1797" s="6" t="inlineStr">
        <is>
          <t>DIA</t>
        </is>
      </c>
      <c r="D1797" s="6" t="inlineStr">
        <is>
          <t>VZ</t>
        </is>
      </c>
      <c r="E1797" s="6" t="inlineStr">
        <is>
          <t>VZ</t>
        </is>
      </c>
      <c r="F1797" s="6" t="inlineStr">
        <is>
          <t>-</t>
        </is>
      </c>
      <c r="G1797" s="7" t="n">
        <v>34.30722045898438</v>
      </c>
      <c r="H1797" s="6">
        <f>P1766</f>
        <v/>
      </c>
      <c r="I1797" s="9">
        <f>Q1766</f>
        <v/>
      </c>
      <c r="J1797" s="7">
        <f>I1797*G1797</f>
        <v/>
      </c>
      <c r="K1797" s="8">
        <f>IF($J$1799=0,0,J1797/$J$1799)</f>
        <v/>
      </c>
      <c r="L1797" s="6" t="inlineStr">
        <is>
          <t>REJECTED</t>
        </is>
      </c>
      <c r="M1797" s="8" t="n">
        <v>0</v>
      </c>
      <c r="N1797" s="7">
        <f>M1797*$J$1799-J1797</f>
        <v/>
      </c>
      <c r="O1797" s="9">
        <f>IF(G1797=0,0,N1797/G1797)</f>
        <v/>
      </c>
      <c r="P1797" s="6">
        <f>IF(M1797&gt;0,D1797,"")</f>
        <v/>
      </c>
      <c r="Q1797" s="9">
        <f>I1797+O1797</f>
        <v/>
      </c>
      <c r="R1797" s="7">
        <f>Q1797*G1797</f>
        <v/>
      </c>
      <c r="S1797" s="8">
        <f>IF($R$1799=0,0,R1797/$R$1799)</f>
        <v/>
      </c>
      <c r="T1797" s="8" t="n">
        <v>0.005893791578818197</v>
      </c>
      <c r="U1797" s="8" t="n">
        <v>0.0007762799851596114</v>
      </c>
      <c r="V1797" s="6" t="inlineStr">
        <is>
          <t>not selected</t>
        </is>
      </c>
    </row>
    <row r="1798">
      <c r="A1798" s="6" t="inlineStr">
        <is>
          <t>DJ30</t>
        </is>
      </c>
      <c r="B1798" s="6" t="inlineStr">
        <is>
          <t>2024-02-09</t>
        </is>
      </c>
      <c r="C1798" s="6" t="inlineStr">
        <is>
          <t>DIA</t>
        </is>
      </c>
      <c r="D1798" s="6" t="inlineStr">
        <is>
          <t>WMT</t>
        </is>
      </c>
      <c r="E1798" s="6" t="inlineStr">
        <is>
          <t>WMT</t>
        </is>
      </c>
      <c r="F1798" s="6" t="inlineStr">
        <is>
          <t>-</t>
        </is>
      </c>
      <c r="G1798" s="7" t="n">
        <v>55.01157379150391</v>
      </c>
      <c r="H1798" s="6">
        <f>P1767</f>
        <v/>
      </c>
      <c r="I1798" s="9">
        <f>Q1767</f>
        <v/>
      </c>
      <c r="J1798" s="7">
        <f>I1798*G1798</f>
        <v/>
      </c>
      <c r="K1798" s="8">
        <f>IF($J$1799=0,0,J1798/$J$1799)</f>
        <v/>
      </c>
      <c r="L1798" s="6" t="inlineStr">
        <is>
          <t>WATCHLIST</t>
        </is>
      </c>
      <c r="M1798" s="8" t="n">
        <v>0</v>
      </c>
      <c r="N1798" s="7">
        <f>M1798*$J$1799-J1798</f>
        <v/>
      </c>
      <c r="O1798" s="9">
        <f>IF(G1798=0,0,N1798/G1798)</f>
        <v/>
      </c>
      <c r="P1798" s="6">
        <f>IF(M1798&gt;0,D1798,"")</f>
        <v/>
      </c>
      <c r="Q1798" s="9">
        <f>I1798+O1798</f>
        <v/>
      </c>
      <c r="R1798" s="7">
        <f>Q1798*G1798</f>
        <v/>
      </c>
      <c r="S1798" s="8">
        <f>IF($R$1799=0,0,R1798/$R$1799)</f>
        <v/>
      </c>
      <c r="T1798" s="8" t="n">
        <v>0.005893791578818197</v>
      </c>
      <c r="U1798" s="8" t="n">
        <v>0.0007762799851596114</v>
      </c>
      <c r="V1798" s="6" t="inlineStr">
        <is>
          <t>not selected</t>
        </is>
      </c>
    </row>
    <row r="1799">
      <c r="A1799" s="10" t="inlineStr">
        <is>
          <t>DJ30</t>
        </is>
      </c>
      <c r="B1799" s="10" t="inlineStr">
        <is>
          <t>2024-02-09</t>
        </is>
      </c>
      <c r="C1799" s="10" t="inlineStr">
        <is>
          <t>DIA</t>
        </is>
      </c>
      <c r="D1799" s="10" t="inlineStr">
        <is>
          <t>Tot Portfolio</t>
        </is>
      </c>
      <c r="E1799" s="10" t="inlineStr"/>
      <c r="F1799" s="10" t="inlineStr"/>
      <c r="G1799" s="11" t="inlineStr"/>
      <c r="H1799" s="10" t="inlineStr"/>
      <c r="I1799" s="12" t="inlineStr"/>
      <c r="J1799" s="11">
        <f>SUM(J1769:J1798)</f>
        <v/>
      </c>
      <c r="K1799" s="13">
        <f>SUM(K1769:K1798)</f>
        <v/>
      </c>
      <c r="L1799" s="10" t="inlineStr">
        <is>
          <t>TOTAL</t>
        </is>
      </c>
      <c r="M1799" s="13">
        <f>SUM(M1769:M1798)</f>
        <v/>
      </c>
      <c r="N1799" s="11">
        <f>SUM(N1769:N1798)</f>
        <v/>
      </c>
      <c r="O1799" s="12">
        <f>SUM(O1769:O1798)</f>
        <v/>
      </c>
      <c r="P1799" s="10" t="inlineStr"/>
      <c r="Q1799" s="12" t="inlineStr"/>
      <c r="R1799" s="11">
        <f>SUM(R1769:R1798)</f>
        <v/>
      </c>
      <c r="S1799" s="13">
        <f>SUM(S1769:S1798)</f>
        <v/>
      </c>
      <c r="T1799" s="13" t="n">
        <v>0.005893791578818197</v>
      </c>
      <c r="U1799" s="13" t="n">
        <v>0.0007762799851596114</v>
      </c>
      <c r="V1799" s="10" t="inlineStr"/>
    </row>
    <row r="1800">
      <c r="A1800" s="6" t="inlineStr">
        <is>
          <t>DJ30</t>
        </is>
      </c>
      <c r="B1800" s="6" t="inlineStr">
        <is>
          <t>2024-02-16</t>
        </is>
      </c>
      <c r="C1800" s="6" t="inlineStr">
        <is>
          <t>DIA</t>
        </is>
      </c>
      <c r="D1800" s="6" t="inlineStr">
        <is>
          <t>AAPL</t>
        </is>
      </c>
      <c r="E1800" s="6" t="inlineStr">
        <is>
          <t>AAPL</t>
        </is>
      </c>
      <c r="F1800" s="6" t="inlineStr">
        <is>
          <t>-</t>
        </is>
      </c>
      <c r="G1800" s="7" t="n">
        <v>180.4994812011719</v>
      </c>
      <c r="H1800" s="6">
        <f>P1769</f>
        <v/>
      </c>
      <c r="I1800" s="9">
        <f>Q1769</f>
        <v/>
      </c>
      <c r="J1800" s="7">
        <f>I1800*G1800</f>
        <v/>
      </c>
      <c r="K1800" s="8">
        <f>IF($J$1830=0,0,J1800/$J$1830)</f>
        <v/>
      </c>
      <c r="L1800" s="6" t="inlineStr">
        <is>
          <t>WATCHLIST</t>
        </is>
      </c>
      <c r="M1800" s="8" t="n">
        <v>0</v>
      </c>
      <c r="N1800" s="7">
        <f>M1800*$J$1830-J1800</f>
        <v/>
      </c>
      <c r="O1800" s="9">
        <f>IF(G1800=0,0,N1800/G1800)</f>
        <v/>
      </c>
      <c r="P1800" s="6">
        <f>IF(M1800&gt;0,D1800,"")</f>
        <v/>
      </c>
      <c r="Q1800" s="9">
        <f>I1800+O1800</f>
        <v/>
      </c>
      <c r="R1800" s="7">
        <f>Q1800*G1800</f>
        <v/>
      </c>
      <c r="S1800" s="8">
        <f>IF($R$1830=0,0,R1800/$R$1830)</f>
        <v/>
      </c>
      <c r="T1800" s="8" t="n">
        <v>0.001062826109048842</v>
      </c>
      <c r="U1800" s="8" t="n">
        <v>0.0002063330964687804</v>
      </c>
      <c r="V1800" s="6" t="inlineStr">
        <is>
          <t>not selected</t>
        </is>
      </c>
    </row>
    <row r="1801">
      <c r="A1801" s="6" t="inlineStr">
        <is>
          <t>DJ30</t>
        </is>
      </c>
      <c r="B1801" s="6" t="inlineStr">
        <is>
          <t>2024-02-16</t>
        </is>
      </c>
      <c r="C1801" s="6" t="inlineStr">
        <is>
          <t>DIA</t>
        </is>
      </c>
      <c r="D1801" s="6" t="inlineStr">
        <is>
          <t>AMGN</t>
        </is>
      </c>
      <c r="E1801" s="6" t="inlineStr">
        <is>
          <t>AMGN</t>
        </is>
      </c>
      <c r="F1801" s="6" t="inlineStr">
        <is>
          <t>-</t>
        </is>
      </c>
      <c r="G1801" s="7" t="n">
        <v>264.9327392578125</v>
      </c>
      <c r="H1801" s="6">
        <f>P1770</f>
        <v/>
      </c>
      <c r="I1801" s="9">
        <f>Q1770</f>
        <v/>
      </c>
      <c r="J1801" s="7">
        <f>I1801*G1801</f>
        <v/>
      </c>
      <c r="K1801" s="8">
        <f>IF($J$1830=0,0,J1801/$J$1830)</f>
        <v/>
      </c>
      <c r="L1801" s="6" t="inlineStr">
        <is>
          <t>SELECTED</t>
        </is>
      </c>
      <c r="M1801" s="8" t="n">
        <v>0.2</v>
      </c>
      <c r="N1801" s="7">
        <f>M1801*$J$1830-J1801</f>
        <v/>
      </c>
      <c r="O1801" s="9">
        <f>IF(G1801=0,0,N1801/G1801)</f>
        <v/>
      </c>
      <c r="P1801" s="6">
        <f>IF(M1801&gt;0,D1801,"")</f>
        <v/>
      </c>
      <c r="Q1801" s="9">
        <f>I1801+O1801</f>
        <v/>
      </c>
      <c r="R1801" s="7">
        <f>Q1801*G1801</f>
        <v/>
      </c>
      <c r="S1801" s="8">
        <f>IF($R$1830=0,0,R1801/$R$1830)</f>
        <v/>
      </c>
      <c r="T1801" s="8" t="n">
        <v>0.001062826109048842</v>
      </c>
      <c r="U1801" s="8" t="n">
        <v>0.0002063330964687804</v>
      </c>
      <c r="V1801" s="6" t="inlineStr">
        <is>
          <t>remained in weekly selection</t>
        </is>
      </c>
    </row>
    <row r="1802">
      <c r="A1802" s="6" t="inlineStr">
        <is>
          <t>DJ30</t>
        </is>
      </c>
      <c r="B1802" s="6" t="inlineStr">
        <is>
          <t>2024-02-16</t>
        </is>
      </c>
      <c r="C1802" s="6" t="inlineStr">
        <is>
          <t>DIA</t>
        </is>
      </c>
      <c r="D1802" s="6" t="inlineStr">
        <is>
          <t>AMZN</t>
        </is>
      </c>
      <c r="E1802" s="6" t="inlineStr">
        <is>
          <t>AMZN</t>
        </is>
      </c>
      <c r="F1802" s="6" t="inlineStr">
        <is>
          <t>-</t>
        </is>
      </c>
      <c r="G1802" s="7" t="n">
        <v>169.5099945068359</v>
      </c>
      <c r="H1802" s="6">
        <f>P1771</f>
        <v/>
      </c>
      <c r="I1802" s="9">
        <f>Q1771</f>
        <v/>
      </c>
      <c r="J1802" s="7">
        <f>I1802*G1802</f>
        <v/>
      </c>
      <c r="K1802" s="8">
        <f>IF($J$1830=0,0,J1802/$J$1830)</f>
        <v/>
      </c>
      <c r="L1802" s="6" t="inlineStr">
        <is>
          <t>WATCHLIST</t>
        </is>
      </c>
      <c r="M1802" s="8" t="n">
        <v>0</v>
      </c>
      <c r="N1802" s="7">
        <f>M1802*$J$1830-J1802</f>
        <v/>
      </c>
      <c r="O1802" s="9">
        <f>IF(G1802=0,0,N1802/G1802)</f>
        <v/>
      </c>
      <c r="P1802" s="6">
        <f>IF(M1802&gt;0,D1802,"")</f>
        <v/>
      </c>
      <c r="Q1802" s="9">
        <f>I1802+O1802</f>
        <v/>
      </c>
      <c r="R1802" s="7">
        <f>Q1802*G1802</f>
        <v/>
      </c>
      <c r="S1802" s="8">
        <f>IF($R$1830=0,0,R1802/$R$1830)</f>
        <v/>
      </c>
      <c r="T1802" s="8" t="n">
        <v>0.001062826109048842</v>
      </c>
      <c r="U1802" s="8" t="n">
        <v>0.0002063330964687804</v>
      </c>
      <c r="V1802" s="6" t="inlineStr">
        <is>
          <t>not selected</t>
        </is>
      </c>
    </row>
    <row r="1803">
      <c r="A1803" s="6" t="inlineStr">
        <is>
          <t>DJ30</t>
        </is>
      </c>
      <c r="B1803" s="6" t="inlineStr">
        <is>
          <t>2024-02-16</t>
        </is>
      </c>
      <c r="C1803" s="6" t="inlineStr">
        <is>
          <t>DIA</t>
        </is>
      </c>
      <c r="D1803" s="6" t="inlineStr">
        <is>
          <t>AXP</t>
        </is>
      </c>
      <c r="E1803" s="6" t="inlineStr">
        <is>
          <t>AXP</t>
        </is>
      </c>
      <c r="F1803" s="6" t="inlineStr">
        <is>
          <t>-</t>
        </is>
      </c>
      <c r="G1803" s="7" t="n">
        <v>207.360107421875</v>
      </c>
      <c r="H1803" s="6">
        <f>P1772</f>
        <v/>
      </c>
      <c r="I1803" s="9">
        <f>Q1772</f>
        <v/>
      </c>
      <c r="J1803" s="7">
        <f>I1803*G1803</f>
        <v/>
      </c>
      <c r="K1803" s="8">
        <f>IF($J$1830=0,0,J1803/$J$1830)</f>
        <v/>
      </c>
      <c r="L1803" s="6" t="inlineStr">
        <is>
          <t>REJECTED</t>
        </is>
      </c>
      <c r="M1803" s="8" t="n">
        <v>0</v>
      </c>
      <c r="N1803" s="7">
        <f>M1803*$J$1830-J1803</f>
        <v/>
      </c>
      <c r="O1803" s="9">
        <f>IF(G1803=0,0,N1803/G1803)</f>
        <v/>
      </c>
      <c r="P1803" s="6">
        <f>IF(M1803&gt;0,D1803,"")</f>
        <v/>
      </c>
      <c r="Q1803" s="9">
        <f>I1803+O1803</f>
        <v/>
      </c>
      <c r="R1803" s="7">
        <f>Q1803*G1803</f>
        <v/>
      </c>
      <c r="S1803" s="8">
        <f>IF($R$1830=0,0,R1803/$R$1830)</f>
        <v/>
      </c>
      <c r="T1803" s="8" t="n">
        <v>0.001062826109048842</v>
      </c>
      <c r="U1803" s="8" t="n">
        <v>0.0002063330964687804</v>
      </c>
      <c r="V1803" s="6" t="inlineStr">
        <is>
          <t>not selected</t>
        </is>
      </c>
    </row>
    <row r="1804">
      <c r="A1804" s="6" t="inlineStr">
        <is>
          <t>DJ30</t>
        </is>
      </c>
      <c r="B1804" s="6" t="inlineStr">
        <is>
          <t>2024-02-16</t>
        </is>
      </c>
      <c r="C1804" s="6" t="inlineStr">
        <is>
          <t>DIA</t>
        </is>
      </c>
      <c r="D1804" s="6" t="inlineStr">
        <is>
          <t>BA</t>
        </is>
      </c>
      <c r="E1804" s="6" t="inlineStr">
        <is>
          <t>BA</t>
        </is>
      </c>
      <c r="F1804" s="6" t="inlineStr">
        <is>
          <t>-</t>
        </is>
      </c>
      <c r="G1804" s="7" t="n">
        <v>203.8899993896484</v>
      </c>
      <c r="H1804" s="6">
        <f>P1773</f>
        <v/>
      </c>
      <c r="I1804" s="9">
        <f>Q1773</f>
        <v/>
      </c>
      <c r="J1804" s="7">
        <f>I1804*G1804</f>
        <v/>
      </c>
      <c r="K1804" s="8">
        <f>IF($J$1830=0,0,J1804/$J$1830)</f>
        <v/>
      </c>
      <c r="L1804" s="6" t="inlineStr">
        <is>
          <t>REJECTED</t>
        </is>
      </c>
      <c r="M1804" s="8" t="n">
        <v>0</v>
      </c>
      <c r="N1804" s="7">
        <f>M1804*$J$1830-J1804</f>
        <v/>
      </c>
      <c r="O1804" s="9">
        <f>IF(G1804=0,0,N1804/G1804)</f>
        <v/>
      </c>
      <c r="P1804" s="6">
        <f>IF(M1804&gt;0,D1804,"")</f>
        <v/>
      </c>
      <c r="Q1804" s="9">
        <f>I1804+O1804</f>
        <v/>
      </c>
      <c r="R1804" s="7">
        <f>Q1804*G1804</f>
        <v/>
      </c>
      <c r="S1804" s="8">
        <f>IF($R$1830=0,0,R1804/$R$1830)</f>
        <v/>
      </c>
      <c r="T1804" s="8" t="n">
        <v>0.001062826109048842</v>
      </c>
      <c r="U1804" s="8" t="n">
        <v>0.0002063330964687804</v>
      </c>
      <c r="V1804" s="6" t="inlineStr">
        <is>
          <t>not selected</t>
        </is>
      </c>
    </row>
    <row r="1805">
      <c r="A1805" s="6" t="inlineStr">
        <is>
          <t>DJ30</t>
        </is>
      </c>
      <c r="B1805" s="6" t="inlineStr">
        <is>
          <t>2024-02-16</t>
        </is>
      </c>
      <c r="C1805" s="6" t="inlineStr">
        <is>
          <t>DIA</t>
        </is>
      </c>
      <c r="D1805" s="6" t="inlineStr">
        <is>
          <t>CAT</t>
        </is>
      </c>
      <c r="E1805" s="6" t="inlineStr">
        <is>
          <t>CAT</t>
        </is>
      </c>
      <c r="F1805" s="6" t="inlineStr">
        <is>
          <t>-</t>
        </is>
      </c>
      <c r="G1805" s="7" t="n">
        <v>312.2347717285156</v>
      </c>
      <c r="H1805" s="6">
        <f>P1774</f>
        <v/>
      </c>
      <c r="I1805" s="9">
        <f>Q1774</f>
        <v/>
      </c>
      <c r="J1805" s="7">
        <f>I1805*G1805</f>
        <v/>
      </c>
      <c r="K1805" s="8">
        <f>IF($J$1830=0,0,J1805/$J$1830)</f>
        <v/>
      </c>
      <c r="L1805" s="6" t="inlineStr">
        <is>
          <t>SELECTED</t>
        </is>
      </c>
      <c r="M1805" s="8" t="n">
        <v>0.2</v>
      </c>
      <c r="N1805" s="7">
        <f>M1805*$J$1830-J1805</f>
        <v/>
      </c>
      <c r="O1805" s="9">
        <f>IF(G1805=0,0,N1805/G1805)</f>
        <v/>
      </c>
      <c r="P1805" s="6">
        <f>IF(M1805&gt;0,D1805,"")</f>
        <v/>
      </c>
      <c r="Q1805" s="9">
        <f>I1805+O1805</f>
        <v/>
      </c>
      <c r="R1805" s="7">
        <f>Q1805*G1805</f>
        <v/>
      </c>
      <c r="S1805" s="8">
        <f>IF($R$1830=0,0,R1805/$R$1830)</f>
        <v/>
      </c>
      <c r="T1805" s="8" t="n">
        <v>0.001062826109048842</v>
      </c>
      <c r="U1805" s="8" t="n">
        <v>0.0002063330964687804</v>
      </c>
      <c r="V1805" s="6" t="inlineStr">
        <is>
          <t>remained in weekly selection</t>
        </is>
      </c>
    </row>
    <row r="1806">
      <c r="A1806" s="6" t="inlineStr">
        <is>
          <t>DJ30</t>
        </is>
      </c>
      <c r="B1806" s="6" t="inlineStr">
        <is>
          <t>2024-02-16</t>
        </is>
      </c>
      <c r="C1806" s="6" t="inlineStr">
        <is>
          <t>DIA</t>
        </is>
      </c>
      <c r="D1806" s="6" t="inlineStr">
        <is>
          <t>CRM</t>
        </is>
      </c>
      <c r="E1806" s="6" t="inlineStr">
        <is>
          <t>CRM</t>
        </is>
      </c>
      <c r="F1806" s="6" t="inlineStr">
        <is>
          <t>-</t>
        </is>
      </c>
      <c r="G1806" s="7" t="n">
        <v>284.7929992675781</v>
      </c>
      <c r="H1806" s="6">
        <f>P1775</f>
        <v/>
      </c>
      <c r="I1806" s="9">
        <f>Q1775</f>
        <v/>
      </c>
      <c r="J1806" s="7">
        <f>I1806*G1806</f>
        <v/>
      </c>
      <c r="K1806" s="8">
        <f>IF($J$1830=0,0,J1806/$J$1830)</f>
        <v/>
      </c>
      <c r="L1806" s="6" t="inlineStr">
        <is>
          <t>SELECTED</t>
        </is>
      </c>
      <c r="M1806" s="8" t="n">
        <v>0.2</v>
      </c>
      <c r="N1806" s="7">
        <f>M1806*$J$1830-J1806</f>
        <v/>
      </c>
      <c r="O1806" s="9">
        <f>IF(G1806=0,0,N1806/G1806)</f>
        <v/>
      </c>
      <c r="P1806" s="6">
        <f>IF(M1806&gt;0,D1806,"")</f>
        <v/>
      </c>
      <c r="Q1806" s="9">
        <f>I1806+O1806</f>
        <v/>
      </c>
      <c r="R1806" s="7">
        <f>Q1806*G1806</f>
        <v/>
      </c>
      <c r="S1806" s="8">
        <f>IF($R$1830=0,0,R1806/$R$1830)</f>
        <v/>
      </c>
      <c r="T1806" s="8" t="n">
        <v>0.001062826109048842</v>
      </c>
      <c r="U1806" s="8" t="n">
        <v>0.0002063330964687804</v>
      </c>
      <c r="V1806" s="6" t="inlineStr">
        <is>
          <t>remained in weekly selection</t>
        </is>
      </c>
    </row>
    <row r="1807">
      <c r="A1807" s="6" t="inlineStr">
        <is>
          <t>DJ30</t>
        </is>
      </c>
      <c r="B1807" s="6" t="inlineStr">
        <is>
          <t>2024-02-16</t>
        </is>
      </c>
      <c r="C1807" s="6" t="inlineStr">
        <is>
          <t>DIA</t>
        </is>
      </c>
      <c r="D1807" s="6" t="inlineStr">
        <is>
          <t>CSCO</t>
        </is>
      </c>
      <c r="E1807" s="6" t="inlineStr">
        <is>
          <t>CSCO</t>
        </is>
      </c>
      <c r="F1807" s="6" t="inlineStr">
        <is>
          <t>-</t>
        </is>
      </c>
      <c r="G1807" s="7" t="n">
        <v>45.59706115722656</v>
      </c>
      <c r="H1807" s="6">
        <f>P1776</f>
        <v/>
      </c>
      <c r="I1807" s="9">
        <f>Q1776</f>
        <v/>
      </c>
      <c r="J1807" s="7">
        <f>I1807*G1807</f>
        <v/>
      </c>
      <c r="K1807" s="8">
        <f>IF($J$1830=0,0,J1807/$J$1830)</f>
        <v/>
      </c>
      <c r="L1807" s="6" t="inlineStr">
        <is>
          <t>REJECTED</t>
        </is>
      </c>
      <c r="M1807" s="8" t="n">
        <v>0</v>
      </c>
      <c r="N1807" s="7">
        <f>M1807*$J$1830-J1807</f>
        <v/>
      </c>
      <c r="O1807" s="9">
        <f>IF(G1807=0,0,N1807/G1807)</f>
        <v/>
      </c>
      <c r="P1807" s="6">
        <f>IF(M1807&gt;0,D1807,"")</f>
        <v/>
      </c>
      <c r="Q1807" s="9">
        <f>I1807+O1807</f>
        <v/>
      </c>
      <c r="R1807" s="7">
        <f>Q1807*G1807</f>
        <v/>
      </c>
      <c r="S1807" s="8">
        <f>IF($R$1830=0,0,R1807/$R$1830)</f>
        <v/>
      </c>
      <c r="T1807" s="8" t="n">
        <v>0.001062826109048842</v>
      </c>
      <c r="U1807" s="8" t="n">
        <v>0.0002063330964687804</v>
      </c>
      <c r="V1807" s="6" t="inlineStr">
        <is>
          <t>not selected</t>
        </is>
      </c>
    </row>
    <row r="1808">
      <c r="A1808" s="6" t="inlineStr">
        <is>
          <t>DJ30</t>
        </is>
      </c>
      <c r="B1808" s="6" t="inlineStr">
        <is>
          <t>2024-02-16</t>
        </is>
      </c>
      <c r="C1808" s="6" t="inlineStr">
        <is>
          <t>DIA</t>
        </is>
      </c>
      <c r="D1808" s="6" t="inlineStr">
        <is>
          <t>CVX</t>
        </is>
      </c>
      <c r="E1808" s="6" t="inlineStr">
        <is>
          <t>CVX</t>
        </is>
      </c>
      <c r="F1808" s="6" t="inlineStr">
        <is>
          <t>-</t>
        </is>
      </c>
      <c r="G1808" s="7" t="n">
        <v>140.5470123291016</v>
      </c>
      <c r="H1808" s="6">
        <f>P1777</f>
        <v/>
      </c>
      <c r="I1808" s="9">
        <f>Q1777</f>
        <v/>
      </c>
      <c r="J1808" s="7">
        <f>I1808*G1808</f>
        <v/>
      </c>
      <c r="K1808" s="8">
        <f>IF($J$1830=0,0,J1808/$J$1830)</f>
        <v/>
      </c>
      <c r="L1808" s="6" t="inlineStr">
        <is>
          <t>REJECTED</t>
        </is>
      </c>
      <c r="M1808" s="8" t="n">
        <v>0</v>
      </c>
      <c r="N1808" s="7">
        <f>M1808*$J$1830-J1808</f>
        <v/>
      </c>
      <c r="O1808" s="9">
        <f>IF(G1808=0,0,N1808/G1808)</f>
        <v/>
      </c>
      <c r="P1808" s="6">
        <f>IF(M1808&gt;0,D1808,"")</f>
        <v/>
      </c>
      <c r="Q1808" s="9">
        <f>I1808+O1808</f>
        <v/>
      </c>
      <c r="R1808" s="7">
        <f>Q1808*G1808</f>
        <v/>
      </c>
      <c r="S1808" s="8">
        <f>IF($R$1830=0,0,R1808/$R$1830)</f>
        <v/>
      </c>
      <c r="T1808" s="8" t="n">
        <v>0.001062826109048842</v>
      </c>
      <c r="U1808" s="8" t="n">
        <v>0.0002063330964687804</v>
      </c>
      <c r="V1808" s="6" t="inlineStr">
        <is>
          <t>not selected</t>
        </is>
      </c>
    </row>
    <row r="1809">
      <c r="A1809" s="6" t="inlineStr">
        <is>
          <t>DJ30</t>
        </is>
      </c>
      <c r="B1809" s="6" t="inlineStr">
        <is>
          <t>2024-02-16</t>
        </is>
      </c>
      <c r="C1809" s="6" t="inlineStr">
        <is>
          <t>DIA</t>
        </is>
      </c>
      <c r="D1809" s="6" t="inlineStr">
        <is>
          <t>DIS</t>
        </is>
      </c>
      <c r="E1809" s="6" t="inlineStr">
        <is>
          <t>DIS</t>
        </is>
      </c>
      <c r="F1809" s="6" t="inlineStr">
        <is>
          <t>-</t>
        </is>
      </c>
      <c r="G1809" s="7" t="n">
        <v>109.3877029418945</v>
      </c>
      <c r="H1809" s="6">
        <f>P1778</f>
        <v/>
      </c>
      <c r="I1809" s="9">
        <f>Q1778</f>
        <v/>
      </c>
      <c r="J1809" s="7">
        <f>I1809*G1809</f>
        <v/>
      </c>
      <c r="K1809" s="8">
        <f>IF($J$1830=0,0,J1809/$J$1830)</f>
        <v/>
      </c>
      <c r="L1809" s="6" t="inlineStr">
        <is>
          <t>REJECTED</t>
        </is>
      </c>
      <c r="M1809" s="8" t="n">
        <v>0</v>
      </c>
      <c r="N1809" s="7">
        <f>M1809*$J$1830-J1809</f>
        <v/>
      </c>
      <c r="O1809" s="9">
        <f>IF(G1809=0,0,N1809/G1809)</f>
        <v/>
      </c>
      <c r="P1809" s="6">
        <f>IF(M1809&gt;0,D1809,"")</f>
        <v/>
      </c>
      <c r="Q1809" s="9">
        <f>I1809+O1809</f>
        <v/>
      </c>
      <c r="R1809" s="7">
        <f>Q1809*G1809</f>
        <v/>
      </c>
      <c r="S1809" s="8">
        <f>IF($R$1830=0,0,R1809/$R$1830)</f>
        <v/>
      </c>
      <c r="T1809" s="8" t="n">
        <v>0.001062826109048842</v>
      </c>
      <c r="U1809" s="8" t="n">
        <v>0.0002063330964687804</v>
      </c>
      <c r="V1809" s="6" t="inlineStr">
        <is>
          <t>not selected</t>
        </is>
      </c>
    </row>
    <row r="1810">
      <c r="A1810" s="6" t="inlineStr">
        <is>
          <t>DJ30</t>
        </is>
      </c>
      <c r="B1810" s="6" t="inlineStr">
        <is>
          <t>2024-02-16</t>
        </is>
      </c>
      <c r="C1810" s="6" t="inlineStr">
        <is>
          <t>DIA</t>
        </is>
      </c>
      <c r="D1810" s="6" t="inlineStr">
        <is>
          <t>GS</t>
        </is>
      </c>
      <c r="E1810" s="6" t="inlineStr">
        <is>
          <t>GS</t>
        </is>
      </c>
      <c r="F1810" s="6" t="inlineStr">
        <is>
          <t>-</t>
        </is>
      </c>
      <c r="G1810" s="7" t="n">
        <v>364.309326171875</v>
      </c>
      <c r="H1810" s="6">
        <f>P1779</f>
        <v/>
      </c>
      <c r="I1810" s="9">
        <f>Q1779</f>
        <v/>
      </c>
      <c r="J1810" s="7">
        <f>I1810*G1810</f>
        <v/>
      </c>
      <c r="K1810" s="8">
        <f>IF($J$1830=0,0,J1810/$J$1830)</f>
        <v/>
      </c>
      <c r="L1810" s="6" t="inlineStr">
        <is>
          <t>WATCHLIST</t>
        </is>
      </c>
      <c r="M1810" s="8" t="n">
        <v>0</v>
      </c>
      <c r="N1810" s="7">
        <f>M1810*$J$1830-J1810</f>
        <v/>
      </c>
      <c r="O1810" s="9">
        <f>IF(G1810=0,0,N1810/G1810)</f>
        <v/>
      </c>
      <c r="P1810" s="6">
        <f>IF(M1810&gt;0,D1810,"")</f>
        <v/>
      </c>
      <c r="Q1810" s="9">
        <f>I1810+O1810</f>
        <v/>
      </c>
      <c r="R1810" s="7">
        <f>Q1810*G1810</f>
        <v/>
      </c>
      <c r="S1810" s="8">
        <f>IF($R$1830=0,0,R1810/$R$1830)</f>
        <v/>
      </c>
      <c r="T1810" s="8" t="n">
        <v>0.001062826109048842</v>
      </c>
      <c r="U1810" s="8" t="n">
        <v>0.0002063330964687804</v>
      </c>
      <c r="V1810" s="6" t="inlineStr">
        <is>
          <t>not selected</t>
        </is>
      </c>
    </row>
    <row r="1811">
      <c r="A1811" s="6" t="inlineStr">
        <is>
          <t>DJ30</t>
        </is>
      </c>
      <c r="B1811" s="6" t="inlineStr">
        <is>
          <t>2024-02-16</t>
        </is>
      </c>
      <c r="C1811" s="6" t="inlineStr">
        <is>
          <t>DIA</t>
        </is>
      </c>
      <c r="D1811" s="6" t="inlineStr">
        <is>
          <t>HD</t>
        </is>
      </c>
      <c r="E1811" s="6" t="inlineStr">
        <is>
          <t>HD</t>
        </is>
      </c>
      <c r="F1811" s="6" t="inlineStr">
        <is>
          <t>-</t>
        </is>
      </c>
      <c r="G1811" s="7" t="n">
        <v>340.2398071289062</v>
      </c>
      <c r="H1811" s="6">
        <f>P1780</f>
        <v/>
      </c>
      <c r="I1811" s="9">
        <f>Q1780</f>
        <v/>
      </c>
      <c r="J1811" s="7">
        <f>I1811*G1811</f>
        <v/>
      </c>
      <c r="K1811" s="8">
        <f>IF($J$1830=0,0,J1811/$J$1830)</f>
        <v/>
      </c>
      <c r="L1811" s="6" t="inlineStr">
        <is>
          <t>WATCHLIST</t>
        </is>
      </c>
      <c r="M1811" s="8" t="n">
        <v>0</v>
      </c>
      <c r="N1811" s="7">
        <f>M1811*$J$1830-J1811</f>
        <v/>
      </c>
      <c r="O1811" s="9">
        <f>IF(G1811=0,0,N1811/G1811)</f>
        <v/>
      </c>
      <c r="P1811" s="6">
        <f>IF(M1811&gt;0,D1811,"")</f>
        <v/>
      </c>
      <c r="Q1811" s="9">
        <f>I1811+O1811</f>
        <v/>
      </c>
      <c r="R1811" s="7">
        <f>Q1811*G1811</f>
        <v/>
      </c>
      <c r="S1811" s="8">
        <f>IF($R$1830=0,0,R1811/$R$1830)</f>
        <v/>
      </c>
      <c r="T1811" s="8" t="n">
        <v>0.001062826109048842</v>
      </c>
      <c r="U1811" s="8" t="n">
        <v>0.0002063330964687804</v>
      </c>
      <c r="V1811" s="6" t="inlineStr">
        <is>
          <t>not selected</t>
        </is>
      </c>
    </row>
    <row r="1812">
      <c r="A1812" s="6" t="inlineStr">
        <is>
          <t>DJ30</t>
        </is>
      </c>
      <c r="B1812" s="6" t="inlineStr">
        <is>
          <t>2024-02-16</t>
        </is>
      </c>
      <c r="C1812" s="6" t="inlineStr">
        <is>
          <t>DIA</t>
        </is>
      </c>
      <c r="D1812" s="6" t="inlineStr">
        <is>
          <t>HON</t>
        </is>
      </c>
      <c r="E1812" s="6" t="inlineStr">
        <is>
          <t>HON</t>
        </is>
      </c>
      <c r="F1812" s="6" t="inlineStr">
        <is>
          <t>-</t>
        </is>
      </c>
      <c r="G1812" s="7" t="n">
        <v>176.2130584716797</v>
      </c>
      <c r="H1812" s="6">
        <f>P1781</f>
        <v/>
      </c>
      <c r="I1812" s="9">
        <f>Q1781</f>
        <v/>
      </c>
      <c r="J1812" s="7">
        <f>I1812*G1812</f>
        <v/>
      </c>
      <c r="K1812" s="8">
        <f>IF($J$1830=0,0,J1812/$J$1830)</f>
        <v/>
      </c>
      <c r="L1812" s="6" t="inlineStr">
        <is>
          <t>REJECTED</t>
        </is>
      </c>
      <c r="M1812" s="8" t="n">
        <v>0</v>
      </c>
      <c r="N1812" s="7">
        <f>M1812*$J$1830-J1812</f>
        <v/>
      </c>
      <c r="O1812" s="9">
        <f>IF(G1812=0,0,N1812/G1812)</f>
        <v/>
      </c>
      <c r="P1812" s="6">
        <f>IF(M1812&gt;0,D1812,"")</f>
        <v/>
      </c>
      <c r="Q1812" s="9">
        <f>I1812+O1812</f>
        <v/>
      </c>
      <c r="R1812" s="7">
        <f>Q1812*G1812</f>
        <v/>
      </c>
      <c r="S1812" s="8">
        <f>IF($R$1830=0,0,R1812/$R$1830)</f>
        <v/>
      </c>
      <c r="T1812" s="8" t="n">
        <v>0.001062826109048842</v>
      </c>
      <c r="U1812" s="8" t="n">
        <v>0.0002063330964687804</v>
      </c>
      <c r="V1812" s="6" t="inlineStr">
        <is>
          <t>not selected</t>
        </is>
      </c>
    </row>
    <row r="1813">
      <c r="A1813" s="6" t="inlineStr">
        <is>
          <t>DJ30</t>
        </is>
      </c>
      <c r="B1813" s="6" t="inlineStr">
        <is>
          <t>2024-02-16</t>
        </is>
      </c>
      <c r="C1813" s="6" t="inlineStr">
        <is>
          <t>DIA</t>
        </is>
      </c>
      <c r="D1813" s="6" t="inlineStr">
        <is>
          <t>IBM</t>
        </is>
      </c>
      <c r="E1813" s="6" t="inlineStr">
        <is>
          <t>IBM</t>
        </is>
      </c>
      <c r="F1813" s="6" t="inlineStr">
        <is>
          <t>-</t>
        </is>
      </c>
      <c r="G1813" s="7" t="n">
        <v>175.8376770019531</v>
      </c>
      <c r="H1813" s="6">
        <f>P1782</f>
        <v/>
      </c>
      <c r="I1813" s="9">
        <f>Q1782</f>
        <v/>
      </c>
      <c r="J1813" s="7">
        <f>I1813*G1813</f>
        <v/>
      </c>
      <c r="K1813" s="8">
        <f>IF($J$1830=0,0,J1813/$J$1830)</f>
        <v/>
      </c>
      <c r="L1813" s="6" t="inlineStr">
        <is>
          <t>SELECTED</t>
        </is>
      </c>
      <c r="M1813" s="8" t="n">
        <v>0.2</v>
      </c>
      <c r="N1813" s="7">
        <f>M1813*$J$1830-J1813</f>
        <v/>
      </c>
      <c r="O1813" s="9">
        <f>IF(G1813=0,0,N1813/G1813)</f>
        <v/>
      </c>
      <c r="P1813" s="6">
        <f>IF(M1813&gt;0,D1813,"")</f>
        <v/>
      </c>
      <c r="Q1813" s="9">
        <f>I1813+O1813</f>
        <v/>
      </c>
      <c r="R1813" s="7">
        <f>Q1813*G1813</f>
        <v/>
      </c>
      <c r="S1813" s="8">
        <f>IF($R$1830=0,0,R1813/$R$1830)</f>
        <v/>
      </c>
      <c r="T1813" s="8" t="n">
        <v>0.001062826109048842</v>
      </c>
      <c r="U1813" s="8" t="n">
        <v>0.0002063330964687804</v>
      </c>
      <c r="V1813" s="6" t="inlineStr">
        <is>
          <t>remained in weekly selection</t>
        </is>
      </c>
    </row>
    <row r="1814">
      <c r="A1814" s="6" t="inlineStr">
        <is>
          <t>DJ30</t>
        </is>
      </c>
      <c r="B1814" s="6" t="inlineStr">
        <is>
          <t>2024-02-16</t>
        </is>
      </c>
      <c r="C1814" s="6" t="inlineStr">
        <is>
          <t>DIA</t>
        </is>
      </c>
      <c r="D1814" s="6" t="inlineStr">
        <is>
          <t>JNJ</t>
        </is>
      </c>
      <c r="E1814" s="6" t="inlineStr">
        <is>
          <t>JNJ</t>
        </is>
      </c>
      <c r="F1814" s="6" t="inlineStr">
        <is>
          <t>-</t>
        </is>
      </c>
      <c r="G1814" s="7" t="n">
        <v>146.7283782958984</v>
      </c>
      <c r="H1814" s="6">
        <f>P1783</f>
        <v/>
      </c>
      <c r="I1814" s="9">
        <f>Q1783</f>
        <v/>
      </c>
      <c r="J1814" s="7">
        <f>I1814*G1814</f>
        <v/>
      </c>
      <c r="K1814" s="8">
        <f>IF($J$1830=0,0,J1814/$J$1830)</f>
        <v/>
      </c>
      <c r="L1814" s="6" t="inlineStr">
        <is>
          <t>REJECTED</t>
        </is>
      </c>
      <c r="M1814" s="8" t="n">
        <v>0</v>
      </c>
      <c r="N1814" s="7">
        <f>M1814*$J$1830-J1814</f>
        <v/>
      </c>
      <c r="O1814" s="9">
        <f>IF(G1814=0,0,N1814/G1814)</f>
        <v/>
      </c>
      <c r="P1814" s="6">
        <f>IF(M1814&gt;0,D1814,"")</f>
        <v/>
      </c>
      <c r="Q1814" s="9">
        <f>I1814+O1814</f>
        <v/>
      </c>
      <c r="R1814" s="7">
        <f>Q1814*G1814</f>
        <v/>
      </c>
      <c r="S1814" s="8">
        <f>IF($R$1830=0,0,R1814/$R$1830)</f>
        <v/>
      </c>
      <c r="T1814" s="8" t="n">
        <v>0.001062826109048842</v>
      </c>
      <c r="U1814" s="8" t="n">
        <v>0.0002063330964687804</v>
      </c>
      <c r="V1814" s="6" t="inlineStr">
        <is>
          <t>not selected</t>
        </is>
      </c>
    </row>
    <row r="1815">
      <c r="A1815" s="6" t="inlineStr">
        <is>
          <t>DJ30</t>
        </is>
      </c>
      <c r="B1815" s="6" t="inlineStr">
        <is>
          <t>2024-02-16</t>
        </is>
      </c>
      <c r="C1815" s="6" t="inlineStr">
        <is>
          <t>DIA</t>
        </is>
      </c>
      <c r="D1815" s="6" t="inlineStr">
        <is>
          <t>JPM</t>
        </is>
      </c>
      <c r="E1815" s="6" t="inlineStr">
        <is>
          <t>JPM</t>
        </is>
      </c>
      <c r="F1815" s="6" t="inlineStr">
        <is>
          <t>-</t>
        </is>
      </c>
      <c r="G1815" s="7" t="n">
        <v>170.6387634277344</v>
      </c>
      <c r="H1815" s="6">
        <f>P1784</f>
        <v/>
      </c>
      <c r="I1815" s="9">
        <f>Q1784</f>
        <v/>
      </c>
      <c r="J1815" s="7">
        <f>I1815*G1815</f>
        <v/>
      </c>
      <c r="K1815" s="8">
        <f>IF($J$1830=0,0,J1815/$J$1830)</f>
        <v/>
      </c>
      <c r="L1815" s="6" t="inlineStr">
        <is>
          <t>WATCHLIST</t>
        </is>
      </c>
      <c r="M1815" s="8" t="n">
        <v>0</v>
      </c>
      <c r="N1815" s="7">
        <f>M1815*$J$1830-J1815</f>
        <v/>
      </c>
      <c r="O1815" s="9">
        <f>IF(G1815=0,0,N1815/G1815)</f>
        <v/>
      </c>
      <c r="P1815" s="6">
        <f>IF(M1815&gt;0,D1815,"")</f>
        <v/>
      </c>
      <c r="Q1815" s="9">
        <f>I1815+O1815</f>
        <v/>
      </c>
      <c r="R1815" s="7">
        <f>Q1815*G1815</f>
        <v/>
      </c>
      <c r="S1815" s="8">
        <f>IF($R$1830=0,0,R1815/$R$1830)</f>
        <v/>
      </c>
      <c r="T1815" s="8" t="n">
        <v>0.001062826109048842</v>
      </c>
      <c r="U1815" s="8" t="n">
        <v>0.0002063330964687804</v>
      </c>
      <c r="V1815" s="6" t="inlineStr">
        <is>
          <t>not selected</t>
        </is>
      </c>
    </row>
    <row r="1816">
      <c r="A1816" s="6" t="inlineStr">
        <is>
          <t>DJ30</t>
        </is>
      </c>
      <c r="B1816" s="6" t="inlineStr">
        <is>
          <t>2024-02-16</t>
        </is>
      </c>
      <c r="C1816" s="6" t="inlineStr">
        <is>
          <t>DIA</t>
        </is>
      </c>
      <c r="D1816" s="6" t="inlineStr">
        <is>
          <t>KO</t>
        </is>
      </c>
      <c r="E1816" s="6" t="inlineStr">
        <is>
          <t>KO</t>
        </is>
      </c>
      <c r="F1816" s="6" t="inlineStr">
        <is>
          <t>-</t>
        </is>
      </c>
      <c r="G1816" s="7" t="n">
        <v>55.23942184448242</v>
      </c>
      <c r="H1816" s="6">
        <f>P1785</f>
        <v/>
      </c>
      <c r="I1816" s="9">
        <f>Q1785</f>
        <v/>
      </c>
      <c r="J1816" s="7">
        <f>I1816*G1816</f>
        <v/>
      </c>
      <c r="K1816" s="8">
        <f>IF($J$1830=0,0,J1816/$J$1830)</f>
        <v/>
      </c>
      <c r="L1816" s="6" t="inlineStr">
        <is>
          <t>REJECTED</t>
        </is>
      </c>
      <c r="M1816" s="8" t="n">
        <v>0</v>
      </c>
      <c r="N1816" s="7">
        <f>M1816*$J$1830-J1816</f>
        <v/>
      </c>
      <c r="O1816" s="9">
        <f>IF(G1816=0,0,N1816/G1816)</f>
        <v/>
      </c>
      <c r="P1816" s="6">
        <f>IF(M1816&gt;0,D1816,"")</f>
        <v/>
      </c>
      <c r="Q1816" s="9">
        <f>I1816+O1816</f>
        <v/>
      </c>
      <c r="R1816" s="7">
        <f>Q1816*G1816</f>
        <v/>
      </c>
      <c r="S1816" s="8">
        <f>IF($R$1830=0,0,R1816/$R$1830)</f>
        <v/>
      </c>
      <c r="T1816" s="8" t="n">
        <v>0.001062826109048842</v>
      </c>
      <c r="U1816" s="8" t="n">
        <v>0.0002063330964687804</v>
      </c>
      <c r="V1816" s="6" t="inlineStr">
        <is>
          <t>not selected</t>
        </is>
      </c>
    </row>
    <row r="1817">
      <c r="A1817" s="6" t="inlineStr">
        <is>
          <t>DJ30</t>
        </is>
      </c>
      <c r="B1817" s="6" t="inlineStr">
        <is>
          <t>2024-02-16</t>
        </is>
      </c>
      <c r="C1817" s="6" t="inlineStr">
        <is>
          <t>DIA</t>
        </is>
      </c>
      <c r="D1817" s="6" t="inlineStr">
        <is>
          <t>MCD</t>
        </is>
      </c>
      <c r="E1817" s="6" t="inlineStr">
        <is>
          <t>MCD</t>
        </is>
      </c>
      <c r="F1817" s="6" t="inlineStr">
        <is>
          <t>-</t>
        </is>
      </c>
      <c r="G1817" s="7" t="n">
        <v>275.1980590820312</v>
      </c>
      <c r="H1817" s="6">
        <f>P1786</f>
        <v/>
      </c>
      <c r="I1817" s="9">
        <f>Q1786</f>
        <v/>
      </c>
      <c r="J1817" s="7">
        <f>I1817*G1817</f>
        <v/>
      </c>
      <c r="K1817" s="8">
        <f>IF($J$1830=0,0,J1817/$J$1830)</f>
        <v/>
      </c>
      <c r="L1817" s="6" t="inlineStr">
        <is>
          <t>REJECTED</t>
        </is>
      </c>
      <c r="M1817" s="8" t="n">
        <v>0</v>
      </c>
      <c r="N1817" s="7">
        <f>M1817*$J$1830-J1817</f>
        <v/>
      </c>
      <c r="O1817" s="9">
        <f>IF(G1817=0,0,N1817/G1817)</f>
        <v/>
      </c>
      <c r="P1817" s="6">
        <f>IF(M1817&gt;0,D1817,"")</f>
        <v/>
      </c>
      <c r="Q1817" s="9">
        <f>I1817+O1817</f>
        <v/>
      </c>
      <c r="R1817" s="7">
        <f>Q1817*G1817</f>
        <v/>
      </c>
      <c r="S1817" s="8">
        <f>IF($R$1830=0,0,R1817/$R$1830)</f>
        <v/>
      </c>
      <c r="T1817" s="8" t="n">
        <v>0.001062826109048842</v>
      </c>
      <c r="U1817" s="8" t="n">
        <v>0.0002063330964687804</v>
      </c>
      <c r="V1817" s="6" t="inlineStr">
        <is>
          <t>not selected</t>
        </is>
      </c>
    </row>
    <row r="1818">
      <c r="A1818" s="6" t="inlineStr">
        <is>
          <t>DJ30</t>
        </is>
      </c>
      <c r="B1818" s="6" t="inlineStr">
        <is>
          <t>2024-02-16</t>
        </is>
      </c>
      <c r="C1818" s="6" t="inlineStr">
        <is>
          <t>DIA</t>
        </is>
      </c>
      <c r="D1818" s="6" t="inlineStr">
        <is>
          <t>MMM</t>
        </is>
      </c>
      <c r="E1818" s="6" t="inlineStr">
        <is>
          <t>MMM</t>
        </is>
      </c>
      <c r="F1818" s="6" t="inlineStr">
        <is>
          <t>-</t>
        </is>
      </c>
      <c r="G1818" s="7" t="n">
        <v>72.87015533447266</v>
      </c>
      <c r="H1818" s="6">
        <f>P1787</f>
        <v/>
      </c>
      <c r="I1818" s="9">
        <f>Q1787</f>
        <v/>
      </c>
      <c r="J1818" s="7">
        <f>I1818*G1818</f>
        <v/>
      </c>
      <c r="K1818" s="8">
        <f>IF($J$1830=0,0,J1818/$J$1830)</f>
        <v/>
      </c>
      <c r="L1818" s="6" t="inlineStr">
        <is>
          <t>REJECTED</t>
        </is>
      </c>
      <c r="M1818" s="8" t="n">
        <v>0</v>
      </c>
      <c r="N1818" s="7">
        <f>M1818*$J$1830-J1818</f>
        <v/>
      </c>
      <c r="O1818" s="9">
        <f>IF(G1818=0,0,N1818/G1818)</f>
        <v/>
      </c>
      <c r="P1818" s="6">
        <f>IF(M1818&gt;0,D1818,"")</f>
        <v/>
      </c>
      <c r="Q1818" s="9">
        <f>I1818+O1818</f>
        <v/>
      </c>
      <c r="R1818" s="7">
        <f>Q1818*G1818</f>
        <v/>
      </c>
      <c r="S1818" s="8">
        <f>IF($R$1830=0,0,R1818/$R$1830)</f>
        <v/>
      </c>
      <c r="T1818" s="8" t="n">
        <v>0.001062826109048842</v>
      </c>
      <c r="U1818" s="8" t="n">
        <v>0.0002063330964687804</v>
      </c>
      <c r="V1818" s="6" t="inlineStr">
        <is>
          <t>not selected</t>
        </is>
      </c>
    </row>
    <row r="1819">
      <c r="A1819" s="6" t="inlineStr">
        <is>
          <t>DJ30</t>
        </is>
      </c>
      <c r="B1819" s="6" t="inlineStr">
        <is>
          <t>2024-02-16</t>
        </is>
      </c>
      <c r="C1819" s="6" t="inlineStr">
        <is>
          <t>DIA</t>
        </is>
      </c>
      <c r="D1819" s="6" t="inlineStr">
        <is>
          <t>MRK</t>
        </is>
      </c>
      <c r="E1819" s="6" t="inlineStr">
        <is>
          <t>MRK</t>
        </is>
      </c>
      <c r="F1819" s="6" t="inlineStr">
        <is>
          <t>-</t>
        </is>
      </c>
      <c r="G1819" s="7" t="n">
        <v>118.1564712524414</v>
      </c>
      <c r="H1819" s="6">
        <f>P1788</f>
        <v/>
      </c>
      <c r="I1819" s="9">
        <f>Q1788</f>
        <v/>
      </c>
      <c r="J1819" s="7">
        <f>I1819*G1819</f>
        <v/>
      </c>
      <c r="K1819" s="8">
        <f>IF($J$1830=0,0,J1819/$J$1830)</f>
        <v/>
      </c>
      <c r="L1819" s="6" t="inlineStr">
        <is>
          <t>REJECTED</t>
        </is>
      </c>
      <c r="M1819" s="8" t="n">
        <v>0</v>
      </c>
      <c r="N1819" s="7">
        <f>M1819*$J$1830-J1819</f>
        <v/>
      </c>
      <c r="O1819" s="9">
        <f>IF(G1819=0,0,N1819/G1819)</f>
        <v/>
      </c>
      <c r="P1819" s="6">
        <f>IF(M1819&gt;0,D1819,"")</f>
        <v/>
      </c>
      <c r="Q1819" s="9">
        <f>I1819+O1819</f>
        <v/>
      </c>
      <c r="R1819" s="7">
        <f>Q1819*G1819</f>
        <v/>
      </c>
      <c r="S1819" s="8">
        <f>IF($R$1830=0,0,R1819/$R$1830)</f>
        <v/>
      </c>
      <c r="T1819" s="8" t="n">
        <v>0.001062826109048842</v>
      </c>
      <c r="U1819" s="8" t="n">
        <v>0.0002063330964687804</v>
      </c>
      <c r="V1819" s="6" t="inlineStr">
        <is>
          <t>not selected</t>
        </is>
      </c>
    </row>
    <row r="1820">
      <c r="A1820" s="6" t="inlineStr">
        <is>
          <t>DJ30</t>
        </is>
      </c>
      <c r="B1820" s="6" t="inlineStr">
        <is>
          <t>2024-02-16</t>
        </is>
      </c>
      <c r="C1820" s="6" t="inlineStr">
        <is>
          <t>DIA</t>
        </is>
      </c>
      <c r="D1820" s="6" t="inlineStr">
        <is>
          <t>MSFT</t>
        </is>
      </c>
      <c r="E1820" s="6" t="inlineStr">
        <is>
          <t>MSFT</t>
        </is>
      </c>
      <c r="F1820" s="6" t="inlineStr">
        <is>
          <t>-</t>
        </is>
      </c>
      <c r="G1820" s="7" t="n">
        <v>397.0918579101562</v>
      </c>
      <c r="H1820" s="6">
        <f>P1789</f>
        <v/>
      </c>
      <c r="I1820" s="9">
        <f>Q1789</f>
        <v/>
      </c>
      <c r="J1820" s="7">
        <f>I1820*G1820</f>
        <v/>
      </c>
      <c r="K1820" s="8">
        <f>IF($J$1830=0,0,J1820/$J$1830)</f>
        <v/>
      </c>
      <c r="L1820" s="6" t="inlineStr">
        <is>
          <t>WATCHLIST</t>
        </is>
      </c>
      <c r="M1820" s="8" t="n">
        <v>0</v>
      </c>
      <c r="N1820" s="7">
        <f>M1820*$J$1830-J1820</f>
        <v/>
      </c>
      <c r="O1820" s="9">
        <f>IF(G1820=0,0,N1820/G1820)</f>
        <v/>
      </c>
      <c r="P1820" s="6">
        <f>IF(M1820&gt;0,D1820,"")</f>
        <v/>
      </c>
      <c r="Q1820" s="9">
        <f>I1820+O1820</f>
        <v/>
      </c>
      <c r="R1820" s="7">
        <f>Q1820*G1820</f>
        <v/>
      </c>
      <c r="S1820" s="8">
        <f>IF($R$1830=0,0,R1820/$R$1830)</f>
        <v/>
      </c>
      <c r="T1820" s="8" t="n">
        <v>0.001062826109048842</v>
      </c>
      <c r="U1820" s="8" t="n">
        <v>0.0002063330964687804</v>
      </c>
      <c r="V1820" s="6" t="inlineStr">
        <is>
          <t>not selected</t>
        </is>
      </c>
    </row>
    <row r="1821">
      <c r="A1821" s="6" t="inlineStr">
        <is>
          <t>DJ30</t>
        </is>
      </c>
      <c r="B1821" s="6" t="inlineStr">
        <is>
          <t>2024-02-16</t>
        </is>
      </c>
      <c r="C1821" s="6" t="inlineStr">
        <is>
          <t>DIA</t>
        </is>
      </c>
      <c r="D1821" s="6" t="inlineStr">
        <is>
          <t>NKE</t>
        </is>
      </c>
      <c r="E1821" s="6" t="inlineStr">
        <is>
          <t>NKE</t>
        </is>
      </c>
      <c r="F1821" s="6" t="inlineStr">
        <is>
          <t>-</t>
        </is>
      </c>
      <c r="G1821" s="7" t="n">
        <v>97.89705657958984</v>
      </c>
      <c r="H1821" s="6">
        <f>P1790</f>
        <v/>
      </c>
      <c r="I1821" s="9">
        <f>Q1790</f>
        <v/>
      </c>
      <c r="J1821" s="7">
        <f>I1821*G1821</f>
        <v/>
      </c>
      <c r="K1821" s="8">
        <f>IF($J$1830=0,0,J1821/$J$1830)</f>
        <v/>
      </c>
      <c r="L1821" s="6" t="inlineStr">
        <is>
          <t>REJECTED</t>
        </is>
      </c>
      <c r="M1821" s="8" t="n">
        <v>0</v>
      </c>
      <c r="N1821" s="7">
        <f>M1821*$J$1830-J1821</f>
        <v/>
      </c>
      <c r="O1821" s="9">
        <f>IF(G1821=0,0,N1821/G1821)</f>
        <v/>
      </c>
      <c r="P1821" s="6">
        <f>IF(M1821&gt;0,D1821,"")</f>
        <v/>
      </c>
      <c r="Q1821" s="9">
        <f>I1821+O1821</f>
        <v/>
      </c>
      <c r="R1821" s="7">
        <f>Q1821*G1821</f>
        <v/>
      </c>
      <c r="S1821" s="8">
        <f>IF($R$1830=0,0,R1821/$R$1830)</f>
        <v/>
      </c>
      <c r="T1821" s="8" t="n">
        <v>0.001062826109048842</v>
      </c>
      <c r="U1821" s="8" t="n">
        <v>0.0002063330964687804</v>
      </c>
      <c r="V1821" s="6" t="inlineStr">
        <is>
          <t>not selected</t>
        </is>
      </c>
    </row>
    <row r="1822">
      <c r="A1822" s="6" t="inlineStr">
        <is>
          <t>DJ30</t>
        </is>
      </c>
      <c r="B1822" s="6" t="inlineStr">
        <is>
          <t>2024-02-16</t>
        </is>
      </c>
      <c r="C1822" s="6" t="inlineStr">
        <is>
          <t>DIA</t>
        </is>
      </c>
      <c r="D1822" s="6" t="inlineStr">
        <is>
          <t>NVDA</t>
        </is>
      </c>
      <c r="E1822" s="6" t="inlineStr">
        <is>
          <t>NVDA</t>
        </is>
      </c>
      <c r="F1822" s="6" t="inlineStr">
        <is>
          <t>-</t>
        </is>
      </c>
      <c r="G1822" s="7" t="n">
        <v>72.48416137695312</v>
      </c>
      <c r="H1822" s="6">
        <f>P1791</f>
        <v/>
      </c>
      <c r="I1822" s="9">
        <f>Q1791</f>
        <v/>
      </c>
      <c r="J1822" s="7">
        <f>I1822*G1822</f>
        <v/>
      </c>
      <c r="K1822" s="8">
        <f>IF($J$1830=0,0,J1822/$J$1830)</f>
        <v/>
      </c>
      <c r="L1822" s="6" t="inlineStr">
        <is>
          <t>SELECTED</t>
        </is>
      </c>
      <c r="M1822" s="8" t="n">
        <v>0.2</v>
      </c>
      <c r="N1822" s="7">
        <f>M1822*$J$1830-J1822</f>
        <v/>
      </c>
      <c r="O1822" s="9">
        <f>IF(G1822=0,0,N1822/G1822)</f>
        <v/>
      </c>
      <c r="P1822" s="6">
        <f>IF(M1822&gt;0,D1822,"")</f>
        <v/>
      </c>
      <c r="Q1822" s="9">
        <f>I1822+O1822</f>
        <v/>
      </c>
      <c r="R1822" s="7">
        <f>Q1822*G1822</f>
        <v/>
      </c>
      <c r="S1822" s="8">
        <f>IF($R$1830=0,0,R1822/$R$1830)</f>
        <v/>
      </c>
      <c r="T1822" s="8" t="n">
        <v>0.001062826109048842</v>
      </c>
      <c r="U1822" s="8" t="n">
        <v>0.0002063330964687804</v>
      </c>
      <c r="V1822" s="6" t="inlineStr">
        <is>
          <t>remained in weekly selection</t>
        </is>
      </c>
    </row>
    <row r="1823">
      <c r="A1823" s="6" t="inlineStr">
        <is>
          <t>DJ30</t>
        </is>
      </c>
      <c r="B1823" s="6" t="inlineStr">
        <is>
          <t>2024-02-16</t>
        </is>
      </c>
      <c r="C1823" s="6" t="inlineStr">
        <is>
          <t>DIA</t>
        </is>
      </c>
      <c r="D1823" s="6" t="inlineStr">
        <is>
          <t>PG</t>
        </is>
      </c>
      <c r="E1823" s="6" t="inlineStr">
        <is>
          <t>PG</t>
        </is>
      </c>
      <c r="F1823" s="6" t="inlineStr">
        <is>
          <t>-</t>
        </is>
      </c>
      <c r="G1823" s="7" t="n">
        <v>148.4933166503906</v>
      </c>
      <c r="H1823" s="6">
        <f>P1792</f>
        <v/>
      </c>
      <c r="I1823" s="9">
        <f>Q1792</f>
        <v/>
      </c>
      <c r="J1823" s="7">
        <f>I1823*G1823</f>
        <v/>
      </c>
      <c r="K1823" s="8">
        <f>IF($J$1830=0,0,J1823/$J$1830)</f>
        <v/>
      </c>
      <c r="L1823" s="6" t="inlineStr">
        <is>
          <t>REJECTED</t>
        </is>
      </c>
      <c r="M1823" s="8" t="n">
        <v>0</v>
      </c>
      <c r="N1823" s="7">
        <f>M1823*$J$1830-J1823</f>
        <v/>
      </c>
      <c r="O1823" s="9">
        <f>IF(G1823=0,0,N1823/G1823)</f>
        <v/>
      </c>
      <c r="P1823" s="6">
        <f>IF(M1823&gt;0,D1823,"")</f>
        <v/>
      </c>
      <c r="Q1823" s="9">
        <f>I1823+O1823</f>
        <v/>
      </c>
      <c r="R1823" s="7">
        <f>Q1823*G1823</f>
        <v/>
      </c>
      <c r="S1823" s="8">
        <f>IF($R$1830=0,0,R1823/$R$1830)</f>
        <v/>
      </c>
      <c r="T1823" s="8" t="n">
        <v>0.001062826109048842</v>
      </c>
      <c r="U1823" s="8" t="n">
        <v>0.0002063330964687804</v>
      </c>
      <c r="V1823" s="6" t="inlineStr">
        <is>
          <t>not selected</t>
        </is>
      </c>
    </row>
    <row r="1824">
      <c r="A1824" s="6" t="inlineStr">
        <is>
          <t>DJ30</t>
        </is>
      </c>
      <c r="B1824" s="6" t="inlineStr">
        <is>
          <t>2024-02-16</t>
        </is>
      </c>
      <c r="C1824" s="6" t="inlineStr">
        <is>
          <t>DIA</t>
        </is>
      </c>
      <c r="D1824" s="6" t="inlineStr">
        <is>
          <t>SHW</t>
        </is>
      </c>
      <c r="E1824" s="6" t="inlineStr">
        <is>
          <t>SHW</t>
        </is>
      </c>
      <c r="F1824" s="6" t="inlineStr">
        <is>
          <t>-</t>
        </is>
      </c>
      <c r="G1824" s="7" t="n">
        <v>302.3507995605469</v>
      </c>
      <c r="H1824" s="6">
        <f>P1793</f>
        <v/>
      </c>
      <c r="I1824" s="9">
        <f>Q1793</f>
        <v/>
      </c>
      <c r="J1824" s="7">
        <f>I1824*G1824</f>
        <v/>
      </c>
      <c r="K1824" s="8">
        <f>IF($J$1830=0,0,J1824/$J$1830)</f>
        <v/>
      </c>
      <c r="L1824" s="6" t="inlineStr">
        <is>
          <t>WATCHLIST</t>
        </is>
      </c>
      <c r="M1824" s="8" t="n">
        <v>0</v>
      </c>
      <c r="N1824" s="7">
        <f>M1824*$J$1830-J1824</f>
        <v/>
      </c>
      <c r="O1824" s="9">
        <f>IF(G1824=0,0,N1824/G1824)</f>
        <v/>
      </c>
      <c r="P1824" s="6">
        <f>IF(M1824&gt;0,D1824,"")</f>
        <v/>
      </c>
      <c r="Q1824" s="9">
        <f>I1824+O1824</f>
        <v/>
      </c>
      <c r="R1824" s="7">
        <f>Q1824*G1824</f>
        <v/>
      </c>
      <c r="S1824" s="8">
        <f>IF($R$1830=0,0,R1824/$R$1830)</f>
        <v/>
      </c>
      <c r="T1824" s="8" t="n">
        <v>0.001062826109048842</v>
      </c>
      <c r="U1824" s="8" t="n">
        <v>0.0002063330964687804</v>
      </c>
      <c r="V1824" s="6" t="inlineStr">
        <is>
          <t>not selected</t>
        </is>
      </c>
    </row>
    <row r="1825">
      <c r="A1825" s="6" t="inlineStr">
        <is>
          <t>DJ30</t>
        </is>
      </c>
      <c r="B1825" s="6" t="inlineStr">
        <is>
          <t>2024-02-16</t>
        </is>
      </c>
      <c r="C1825" s="6" t="inlineStr">
        <is>
          <t>DIA</t>
        </is>
      </c>
      <c r="D1825" s="6" t="inlineStr">
        <is>
          <t>TRV</t>
        </is>
      </c>
      <c r="E1825" s="6" t="inlineStr">
        <is>
          <t>TRV</t>
        </is>
      </c>
      <c r="F1825" s="6" t="inlineStr">
        <is>
          <t>-</t>
        </is>
      </c>
      <c r="G1825" s="7" t="n">
        <v>208.5807647705078</v>
      </c>
      <c r="H1825" s="6">
        <f>P1794</f>
        <v/>
      </c>
      <c r="I1825" s="9">
        <f>Q1794</f>
        <v/>
      </c>
      <c r="J1825" s="7">
        <f>I1825*G1825</f>
        <v/>
      </c>
      <c r="K1825" s="8">
        <f>IF($J$1830=0,0,J1825/$J$1830)</f>
        <v/>
      </c>
      <c r="L1825" s="6" t="inlineStr">
        <is>
          <t>REJECTED</t>
        </is>
      </c>
      <c r="M1825" s="8" t="n">
        <v>0</v>
      </c>
      <c r="N1825" s="7">
        <f>M1825*$J$1830-J1825</f>
        <v/>
      </c>
      <c r="O1825" s="9">
        <f>IF(G1825=0,0,N1825/G1825)</f>
        <v/>
      </c>
      <c r="P1825" s="6">
        <f>IF(M1825&gt;0,D1825,"")</f>
        <v/>
      </c>
      <c r="Q1825" s="9">
        <f>I1825+O1825</f>
        <v/>
      </c>
      <c r="R1825" s="7">
        <f>Q1825*G1825</f>
        <v/>
      </c>
      <c r="S1825" s="8">
        <f>IF($R$1830=0,0,R1825/$R$1830)</f>
        <v/>
      </c>
      <c r="T1825" s="8" t="n">
        <v>0.001062826109048842</v>
      </c>
      <c r="U1825" s="8" t="n">
        <v>0.0002063330964687804</v>
      </c>
      <c r="V1825" s="6" t="inlineStr">
        <is>
          <t>not selected</t>
        </is>
      </c>
    </row>
    <row r="1826">
      <c r="A1826" s="6" t="inlineStr">
        <is>
          <t>DJ30</t>
        </is>
      </c>
      <c r="B1826" s="6" t="inlineStr">
        <is>
          <t>2024-02-16</t>
        </is>
      </c>
      <c r="C1826" s="6" t="inlineStr">
        <is>
          <t>DIA</t>
        </is>
      </c>
      <c r="D1826" s="6" t="inlineStr">
        <is>
          <t>UNH</t>
        </is>
      </c>
      <c r="E1826" s="6" t="inlineStr">
        <is>
          <t>UNH</t>
        </is>
      </c>
      <c r="F1826" s="6" t="inlineStr">
        <is>
          <t>-</t>
        </is>
      </c>
      <c r="G1826" s="7" t="n">
        <v>494.4776000976562</v>
      </c>
      <c r="H1826" s="6">
        <f>P1795</f>
        <v/>
      </c>
      <c r="I1826" s="9">
        <f>Q1795</f>
        <v/>
      </c>
      <c r="J1826" s="7">
        <f>I1826*G1826</f>
        <v/>
      </c>
      <c r="K1826" s="8">
        <f>IF($J$1830=0,0,J1826/$J$1830)</f>
        <v/>
      </c>
      <c r="L1826" s="6" t="inlineStr">
        <is>
          <t>WATCHLIST</t>
        </is>
      </c>
      <c r="M1826" s="8" t="n">
        <v>0</v>
      </c>
      <c r="N1826" s="7">
        <f>M1826*$J$1830-J1826</f>
        <v/>
      </c>
      <c r="O1826" s="9">
        <f>IF(G1826=0,0,N1826/G1826)</f>
        <v/>
      </c>
      <c r="P1826" s="6">
        <f>IF(M1826&gt;0,D1826,"")</f>
        <v/>
      </c>
      <c r="Q1826" s="9">
        <f>I1826+O1826</f>
        <v/>
      </c>
      <c r="R1826" s="7">
        <f>Q1826*G1826</f>
        <v/>
      </c>
      <c r="S1826" s="8">
        <f>IF($R$1830=0,0,R1826/$R$1830)</f>
        <v/>
      </c>
      <c r="T1826" s="8" t="n">
        <v>0.001062826109048842</v>
      </c>
      <c r="U1826" s="8" t="n">
        <v>0.0002063330964687804</v>
      </c>
      <c r="V1826" s="6" t="inlineStr">
        <is>
          <t>not selected</t>
        </is>
      </c>
    </row>
    <row r="1827">
      <c r="A1827" s="6" t="inlineStr">
        <is>
          <t>DJ30</t>
        </is>
      </c>
      <c r="B1827" s="6" t="inlineStr">
        <is>
          <t>2024-02-16</t>
        </is>
      </c>
      <c r="C1827" s="6" t="inlineStr">
        <is>
          <t>DIA</t>
        </is>
      </c>
      <c r="D1827" s="6" t="inlineStr">
        <is>
          <t>V</t>
        </is>
      </c>
      <c r="E1827" s="6" t="inlineStr">
        <is>
          <t>V</t>
        </is>
      </c>
      <c r="F1827" s="6" t="inlineStr">
        <is>
          <t>-</t>
        </is>
      </c>
      <c r="G1827" s="7" t="n">
        <v>273.8754272460937</v>
      </c>
      <c r="H1827" s="6">
        <f>P1796</f>
        <v/>
      </c>
      <c r="I1827" s="9">
        <f>Q1796</f>
        <v/>
      </c>
      <c r="J1827" s="7">
        <f>I1827*G1827</f>
        <v/>
      </c>
      <c r="K1827" s="8">
        <f>IF($J$1830=0,0,J1827/$J$1830)</f>
        <v/>
      </c>
      <c r="L1827" s="6" t="inlineStr">
        <is>
          <t>WATCHLIST</t>
        </is>
      </c>
      <c r="M1827" s="8" t="n">
        <v>0</v>
      </c>
      <c r="N1827" s="7">
        <f>M1827*$J$1830-J1827</f>
        <v/>
      </c>
      <c r="O1827" s="9">
        <f>IF(G1827=0,0,N1827/G1827)</f>
        <v/>
      </c>
      <c r="P1827" s="6">
        <f>IF(M1827&gt;0,D1827,"")</f>
        <v/>
      </c>
      <c r="Q1827" s="9">
        <f>I1827+O1827</f>
        <v/>
      </c>
      <c r="R1827" s="7">
        <f>Q1827*G1827</f>
        <v/>
      </c>
      <c r="S1827" s="8">
        <f>IF($R$1830=0,0,R1827/$R$1830)</f>
        <v/>
      </c>
      <c r="T1827" s="8" t="n">
        <v>0.001062826109048842</v>
      </c>
      <c r="U1827" s="8" t="n">
        <v>0.0002063330964687804</v>
      </c>
      <c r="V1827" s="6" t="inlineStr">
        <is>
          <t>not selected</t>
        </is>
      </c>
    </row>
    <row r="1828">
      <c r="A1828" s="6" t="inlineStr">
        <is>
          <t>DJ30</t>
        </is>
      </c>
      <c r="B1828" s="6" t="inlineStr">
        <is>
          <t>2024-02-16</t>
        </is>
      </c>
      <c r="C1828" s="6" t="inlineStr">
        <is>
          <t>DIA</t>
        </is>
      </c>
      <c r="D1828" s="6" t="inlineStr">
        <is>
          <t>VZ</t>
        </is>
      </c>
      <c r="E1828" s="6" t="inlineStr">
        <is>
          <t>VZ</t>
        </is>
      </c>
      <c r="F1828" s="6" t="inlineStr">
        <is>
          <t>-</t>
        </is>
      </c>
      <c r="G1828" s="7" t="n">
        <v>34.9722900390625</v>
      </c>
      <c r="H1828" s="6">
        <f>P1797</f>
        <v/>
      </c>
      <c r="I1828" s="9">
        <f>Q1797</f>
        <v/>
      </c>
      <c r="J1828" s="7">
        <f>I1828*G1828</f>
        <v/>
      </c>
      <c r="K1828" s="8">
        <f>IF($J$1830=0,0,J1828/$J$1830)</f>
        <v/>
      </c>
      <c r="L1828" s="6" t="inlineStr">
        <is>
          <t>REJECTED</t>
        </is>
      </c>
      <c r="M1828" s="8" t="n">
        <v>0</v>
      </c>
      <c r="N1828" s="7">
        <f>M1828*$J$1830-J1828</f>
        <v/>
      </c>
      <c r="O1828" s="9">
        <f>IF(G1828=0,0,N1828/G1828)</f>
        <v/>
      </c>
      <c r="P1828" s="6">
        <f>IF(M1828&gt;0,D1828,"")</f>
        <v/>
      </c>
      <c r="Q1828" s="9">
        <f>I1828+O1828</f>
        <v/>
      </c>
      <c r="R1828" s="7">
        <f>Q1828*G1828</f>
        <v/>
      </c>
      <c r="S1828" s="8">
        <f>IF($R$1830=0,0,R1828/$R$1830)</f>
        <v/>
      </c>
      <c r="T1828" s="8" t="n">
        <v>0.001062826109048842</v>
      </c>
      <c r="U1828" s="8" t="n">
        <v>0.0002063330964687804</v>
      </c>
      <c r="V1828" s="6" t="inlineStr">
        <is>
          <t>not selected</t>
        </is>
      </c>
    </row>
    <row r="1829">
      <c r="A1829" s="6" t="inlineStr">
        <is>
          <t>DJ30</t>
        </is>
      </c>
      <c r="B1829" s="6" t="inlineStr">
        <is>
          <t>2024-02-16</t>
        </is>
      </c>
      <c r="C1829" s="6" t="inlineStr">
        <is>
          <t>DIA</t>
        </is>
      </c>
      <c r="D1829" s="6" t="inlineStr">
        <is>
          <t>WMT</t>
        </is>
      </c>
      <c r="E1829" s="6" t="inlineStr">
        <is>
          <t>WMT</t>
        </is>
      </c>
      <c r="F1829" s="6" t="inlineStr">
        <is>
          <t>-</t>
        </is>
      </c>
      <c r="G1829" s="7" t="n">
        <v>55.36255645751953</v>
      </c>
      <c r="H1829" s="6">
        <f>P1798</f>
        <v/>
      </c>
      <c r="I1829" s="9">
        <f>Q1798</f>
        <v/>
      </c>
      <c r="J1829" s="7">
        <f>I1829*G1829</f>
        <v/>
      </c>
      <c r="K1829" s="8">
        <f>IF($J$1830=0,0,J1829/$J$1830)</f>
        <v/>
      </c>
      <c r="L1829" s="6" t="inlineStr">
        <is>
          <t>WATCHLIST</t>
        </is>
      </c>
      <c r="M1829" s="8" t="n">
        <v>0</v>
      </c>
      <c r="N1829" s="7">
        <f>M1829*$J$1830-J1829</f>
        <v/>
      </c>
      <c r="O1829" s="9">
        <f>IF(G1829=0,0,N1829/G1829)</f>
        <v/>
      </c>
      <c r="P1829" s="6">
        <f>IF(M1829&gt;0,D1829,"")</f>
        <v/>
      </c>
      <c r="Q1829" s="9">
        <f>I1829+O1829</f>
        <v/>
      </c>
      <c r="R1829" s="7">
        <f>Q1829*G1829</f>
        <v/>
      </c>
      <c r="S1829" s="8">
        <f>IF($R$1830=0,0,R1829/$R$1830)</f>
        <v/>
      </c>
      <c r="T1829" s="8" t="n">
        <v>0.001062826109048842</v>
      </c>
      <c r="U1829" s="8" t="n">
        <v>0.0002063330964687804</v>
      </c>
      <c r="V1829" s="6" t="inlineStr">
        <is>
          <t>not selected</t>
        </is>
      </c>
    </row>
    <row r="1830">
      <c r="A1830" s="10" t="inlineStr">
        <is>
          <t>DJ30</t>
        </is>
      </c>
      <c r="B1830" s="10" t="inlineStr">
        <is>
          <t>2024-02-16</t>
        </is>
      </c>
      <c r="C1830" s="10" t="inlineStr">
        <is>
          <t>DIA</t>
        </is>
      </c>
      <c r="D1830" s="10" t="inlineStr">
        <is>
          <t>Tot Portfolio</t>
        </is>
      </c>
      <c r="E1830" s="10" t="inlineStr"/>
      <c r="F1830" s="10" t="inlineStr"/>
      <c r="G1830" s="11" t="inlineStr"/>
      <c r="H1830" s="10" t="inlineStr"/>
      <c r="I1830" s="12" t="inlineStr"/>
      <c r="J1830" s="11">
        <f>SUM(J1800:J1829)</f>
        <v/>
      </c>
      <c r="K1830" s="13">
        <f>SUM(K1800:K1829)</f>
        <v/>
      </c>
      <c r="L1830" s="10" t="inlineStr">
        <is>
          <t>TOTAL</t>
        </is>
      </c>
      <c r="M1830" s="13">
        <f>SUM(M1800:M1829)</f>
        <v/>
      </c>
      <c r="N1830" s="11">
        <f>SUM(N1800:N1829)</f>
        <v/>
      </c>
      <c r="O1830" s="12">
        <f>SUM(O1800:O1829)</f>
        <v/>
      </c>
      <c r="P1830" s="10" t="inlineStr"/>
      <c r="Q1830" s="12" t="inlineStr"/>
      <c r="R1830" s="11">
        <f>SUM(R1800:R1829)</f>
        <v/>
      </c>
      <c r="S1830" s="13">
        <f>SUM(S1800:S1829)</f>
        <v/>
      </c>
      <c r="T1830" s="13" t="n">
        <v>0.001062826109048842</v>
      </c>
      <c r="U1830" s="13" t="n">
        <v>0.0002063330964687804</v>
      </c>
      <c r="V1830" s="10" t="inlineStr"/>
    </row>
    <row r="1831">
      <c r="A1831" s="6" t="inlineStr">
        <is>
          <t>DJ30</t>
        </is>
      </c>
      <c r="B1831" s="6" t="inlineStr">
        <is>
          <t>2024-02-23</t>
        </is>
      </c>
      <c r="C1831" s="6" t="inlineStr">
        <is>
          <t>DIA</t>
        </is>
      </c>
      <c r="D1831" s="6" t="inlineStr">
        <is>
          <t>AAPL</t>
        </is>
      </c>
      <c r="E1831" s="6" t="inlineStr">
        <is>
          <t>AAPL</t>
        </is>
      </c>
      <c r="F1831" s="6" t="inlineStr">
        <is>
          <t>-</t>
        </is>
      </c>
      <c r="G1831" s="7" t="n">
        <v>180.7073974609375</v>
      </c>
      <c r="H1831" s="6">
        <f>P1800</f>
        <v/>
      </c>
      <c r="I1831" s="9">
        <f>Q1800</f>
        <v/>
      </c>
      <c r="J1831" s="7">
        <f>I1831*G1831</f>
        <v/>
      </c>
      <c r="K1831" s="8">
        <f>IF($J$1861=0,0,J1831/$J$1861)</f>
        <v/>
      </c>
      <c r="L1831" s="6" t="inlineStr">
        <is>
          <t>WATCHLIST</t>
        </is>
      </c>
      <c r="M1831" s="8" t="n">
        <v>0</v>
      </c>
      <c r="N1831" s="7">
        <f>M1831*$J$1861-J1831</f>
        <v/>
      </c>
      <c r="O1831" s="9">
        <f>IF(G1831=0,0,N1831/G1831)</f>
        <v/>
      </c>
      <c r="P1831" s="6">
        <f>IF(M1831&gt;0,D1831,"")</f>
        <v/>
      </c>
      <c r="Q1831" s="9">
        <f>I1831+O1831</f>
        <v/>
      </c>
      <c r="R1831" s="7">
        <f>Q1831*G1831</f>
        <v/>
      </c>
      <c r="S1831" s="8">
        <f>IF($R$1861=0,0,R1831/$R$1861)</f>
        <v/>
      </c>
      <c r="T1831" s="8" t="n">
        <v>0.02225472216910429</v>
      </c>
      <c r="U1831" s="8" t="n">
        <v>0.01318002845069732</v>
      </c>
      <c r="V1831" s="6" t="inlineStr">
        <is>
          <t>not selected</t>
        </is>
      </c>
    </row>
    <row r="1832">
      <c r="A1832" s="6" t="inlineStr">
        <is>
          <t>DJ30</t>
        </is>
      </c>
      <c r="B1832" s="6" t="inlineStr">
        <is>
          <t>2024-02-23</t>
        </is>
      </c>
      <c r="C1832" s="6" t="inlineStr">
        <is>
          <t>DIA</t>
        </is>
      </c>
      <c r="D1832" s="6" t="inlineStr">
        <is>
          <t>AMGN</t>
        </is>
      </c>
      <c r="E1832" s="6" t="inlineStr">
        <is>
          <t>AMGN</t>
        </is>
      </c>
      <c r="F1832" s="6" t="inlineStr">
        <is>
          <t>-</t>
        </is>
      </c>
      <c r="G1832" s="7" t="n">
        <v>270.0501708984375</v>
      </c>
      <c r="H1832" s="6">
        <f>P1801</f>
        <v/>
      </c>
      <c r="I1832" s="9">
        <f>Q1801</f>
        <v/>
      </c>
      <c r="J1832" s="7">
        <f>I1832*G1832</f>
        <v/>
      </c>
      <c r="K1832" s="8">
        <f>IF($J$1861=0,0,J1832/$J$1861)</f>
        <v/>
      </c>
      <c r="L1832" s="6" t="inlineStr">
        <is>
          <t>SELECTED</t>
        </is>
      </c>
      <c r="M1832" s="8" t="n">
        <v>0.2</v>
      </c>
      <c r="N1832" s="7">
        <f>M1832*$J$1861-J1832</f>
        <v/>
      </c>
      <c r="O1832" s="9">
        <f>IF(G1832=0,0,N1832/G1832)</f>
        <v/>
      </c>
      <c r="P1832" s="6">
        <f>IF(M1832&gt;0,D1832,"")</f>
        <v/>
      </c>
      <c r="Q1832" s="9">
        <f>I1832+O1832</f>
        <v/>
      </c>
      <c r="R1832" s="7">
        <f>Q1832*G1832</f>
        <v/>
      </c>
      <c r="S1832" s="8">
        <f>IF($R$1861=0,0,R1832/$R$1861)</f>
        <v/>
      </c>
      <c r="T1832" s="8" t="n">
        <v>0.02225472216910429</v>
      </c>
      <c r="U1832" s="8" t="n">
        <v>0.01318002845069732</v>
      </c>
      <c r="V1832" s="6" t="inlineStr">
        <is>
          <t>remained in weekly selection</t>
        </is>
      </c>
    </row>
    <row r="1833">
      <c r="A1833" s="6" t="inlineStr">
        <is>
          <t>DJ30</t>
        </is>
      </c>
      <c r="B1833" s="6" t="inlineStr">
        <is>
          <t>2024-02-23</t>
        </is>
      </c>
      <c r="C1833" s="6" t="inlineStr">
        <is>
          <t>DIA</t>
        </is>
      </c>
      <c r="D1833" s="6" t="inlineStr">
        <is>
          <t>AMZN</t>
        </is>
      </c>
      <c r="E1833" s="6" t="inlineStr">
        <is>
          <t>AMZN</t>
        </is>
      </c>
      <c r="F1833" s="6" t="inlineStr">
        <is>
          <t>-</t>
        </is>
      </c>
      <c r="G1833" s="7" t="n">
        <v>174.9900054931641</v>
      </c>
      <c r="H1833" s="6">
        <f>P1802</f>
        <v/>
      </c>
      <c r="I1833" s="9">
        <f>Q1802</f>
        <v/>
      </c>
      <c r="J1833" s="7">
        <f>I1833*G1833</f>
        <v/>
      </c>
      <c r="K1833" s="8">
        <f>IF($J$1861=0,0,J1833/$J$1861)</f>
        <v/>
      </c>
      <c r="L1833" s="6" t="inlineStr">
        <is>
          <t>WATCHLIST</t>
        </is>
      </c>
      <c r="M1833" s="8" t="n">
        <v>0</v>
      </c>
      <c r="N1833" s="7">
        <f>M1833*$J$1861-J1833</f>
        <v/>
      </c>
      <c r="O1833" s="9">
        <f>IF(G1833=0,0,N1833/G1833)</f>
        <v/>
      </c>
      <c r="P1833" s="6">
        <f>IF(M1833&gt;0,D1833,"")</f>
        <v/>
      </c>
      <c r="Q1833" s="9">
        <f>I1833+O1833</f>
        <v/>
      </c>
      <c r="R1833" s="7">
        <f>Q1833*G1833</f>
        <v/>
      </c>
      <c r="S1833" s="8">
        <f>IF($R$1861=0,0,R1833/$R$1861)</f>
        <v/>
      </c>
      <c r="T1833" s="8" t="n">
        <v>0.02225472216910429</v>
      </c>
      <c r="U1833" s="8" t="n">
        <v>0.01318002845069732</v>
      </c>
      <c r="V1833" s="6" t="inlineStr">
        <is>
          <t>not selected</t>
        </is>
      </c>
    </row>
    <row r="1834">
      <c r="A1834" s="6" t="inlineStr">
        <is>
          <t>DJ30</t>
        </is>
      </c>
      <c r="B1834" s="6" t="inlineStr">
        <is>
          <t>2024-02-23</t>
        </is>
      </c>
      <c r="C1834" s="6" t="inlineStr">
        <is>
          <t>DIA</t>
        </is>
      </c>
      <c r="D1834" s="6" t="inlineStr">
        <is>
          <t>AXP</t>
        </is>
      </c>
      <c r="E1834" s="6" t="inlineStr">
        <is>
          <t>AXP</t>
        </is>
      </c>
      <c r="F1834" s="6" t="inlineStr">
        <is>
          <t>-</t>
        </is>
      </c>
      <c r="G1834" s="7" t="n">
        <v>209.3111572265625</v>
      </c>
      <c r="H1834" s="6">
        <f>P1803</f>
        <v/>
      </c>
      <c r="I1834" s="9">
        <f>Q1803</f>
        <v/>
      </c>
      <c r="J1834" s="7">
        <f>I1834*G1834</f>
        <v/>
      </c>
      <c r="K1834" s="8">
        <f>IF($J$1861=0,0,J1834/$J$1861)</f>
        <v/>
      </c>
      <c r="L1834" s="6" t="inlineStr">
        <is>
          <t>REJECTED</t>
        </is>
      </c>
      <c r="M1834" s="8" t="n">
        <v>0</v>
      </c>
      <c r="N1834" s="7">
        <f>M1834*$J$1861-J1834</f>
        <v/>
      </c>
      <c r="O1834" s="9">
        <f>IF(G1834=0,0,N1834/G1834)</f>
        <v/>
      </c>
      <c r="P1834" s="6">
        <f>IF(M1834&gt;0,D1834,"")</f>
        <v/>
      </c>
      <c r="Q1834" s="9">
        <f>I1834+O1834</f>
        <v/>
      </c>
      <c r="R1834" s="7">
        <f>Q1834*G1834</f>
        <v/>
      </c>
      <c r="S1834" s="8">
        <f>IF($R$1861=0,0,R1834/$R$1861)</f>
        <v/>
      </c>
      <c r="T1834" s="8" t="n">
        <v>0.02225472216910429</v>
      </c>
      <c r="U1834" s="8" t="n">
        <v>0.01318002845069732</v>
      </c>
      <c r="V1834" s="6" t="inlineStr">
        <is>
          <t>not selected</t>
        </is>
      </c>
    </row>
    <row r="1835">
      <c r="A1835" s="6" t="inlineStr">
        <is>
          <t>DJ30</t>
        </is>
      </c>
      <c r="B1835" s="6" t="inlineStr">
        <is>
          <t>2024-02-23</t>
        </is>
      </c>
      <c r="C1835" s="6" t="inlineStr">
        <is>
          <t>DIA</t>
        </is>
      </c>
      <c r="D1835" s="6" t="inlineStr">
        <is>
          <t>BA</t>
        </is>
      </c>
      <c r="E1835" s="6" t="inlineStr">
        <is>
          <t>BA</t>
        </is>
      </c>
      <c r="F1835" s="6" t="inlineStr">
        <is>
          <t>-</t>
        </is>
      </c>
      <c r="G1835" s="7" t="n">
        <v>200.8300018310547</v>
      </c>
      <c r="H1835" s="6">
        <f>P1804</f>
        <v/>
      </c>
      <c r="I1835" s="9">
        <f>Q1804</f>
        <v/>
      </c>
      <c r="J1835" s="7">
        <f>I1835*G1835</f>
        <v/>
      </c>
      <c r="K1835" s="8">
        <f>IF($J$1861=0,0,J1835/$J$1861)</f>
        <v/>
      </c>
      <c r="L1835" s="6" t="inlineStr">
        <is>
          <t>REJECTED</t>
        </is>
      </c>
      <c r="M1835" s="8" t="n">
        <v>0</v>
      </c>
      <c r="N1835" s="7">
        <f>M1835*$J$1861-J1835</f>
        <v/>
      </c>
      <c r="O1835" s="9">
        <f>IF(G1835=0,0,N1835/G1835)</f>
        <v/>
      </c>
      <c r="P1835" s="6">
        <f>IF(M1835&gt;0,D1835,"")</f>
        <v/>
      </c>
      <c r="Q1835" s="9">
        <f>I1835+O1835</f>
        <v/>
      </c>
      <c r="R1835" s="7">
        <f>Q1835*G1835</f>
        <v/>
      </c>
      <c r="S1835" s="8">
        <f>IF($R$1861=0,0,R1835/$R$1861)</f>
        <v/>
      </c>
      <c r="T1835" s="8" t="n">
        <v>0.02225472216910429</v>
      </c>
      <c r="U1835" s="8" t="n">
        <v>0.01318002845069732</v>
      </c>
      <c r="V1835" s="6" t="inlineStr">
        <is>
          <t>not selected</t>
        </is>
      </c>
    </row>
    <row r="1836">
      <c r="A1836" s="6" t="inlineStr">
        <is>
          <t>DJ30</t>
        </is>
      </c>
      <c r="B1836" s="6" t="inlineStr">
        <is>
          <t>2024-02-23</t>
        </is>
      </c>
      <c r="C1836" s="6" t="inlineStr">
        <is>
          <t>DIA</t>
        </is>
      </c>
      <c r="D1836" s="6" t="inlineStr">
        <is>
          <t>CAT</t>
        </is>
      </c>
      <c r="E1836" s="6" t="inlineStr">
        <is>
          <t>CAT</t>
        </is>
      </c>
      <c r="F1836" s="6" t="inlineStr">
        <is>
          <t>-</t>
        </is>
      </c>
      <c r="G1836" s="7" t="n">
        <v>314.1456298828125</v>
      </c>
      <c r="H1836" s="6">
        <f>P1805</f>
        <v/>
      </c>
      <c r="I1836" s="9">
        <f>Q1805</f>
        <v/>
      </c>
      <c r="J1836" s="7">
        <f>I1836*G1836</f>
        <v/>
      </c>
      <c r="K1836" s="8">
        <f>IF($J$1861=0,0,J1836/$J$1861)</f>
        <v/>
      </c>
      <c r="L1836" s="6" t="inlineStr">
        <is>
          <t>SELECTED</t>
        </is>
      </c>
      <c r="M1836" s="8" t="n">
        <v>0.2</v>
      </c>
      <c r="N1836" s="7">
        <f>M1836*$J$1861-J1836</f>
        <v/>
      </c>
      <c r="O1836" s="9">
        <f>IF(G1836=0,0,N1836/G1836)</f>
        <v/>
      </c>
      <c r="P1836" s="6">
        <f>IF(M1836&gt;0,D1836,"")</f>
        <v/>
      </c>
      <c r="Q1836" s="9">
        <f>I1836+O1836</f>
        <v/>
      </c>
      <c r="R1836" s="7">
        <f>Q1836*G1836</f>
        <v/>
      </c>
      <c r="S1836" s="8">
        <f>IF($R$1861=0,0,R1836/$R$1861)</f>
        <v/>
      </c>
      <c r="T1836" s="8" t="n">
        <v>0.02225472216910429</v>
      </c>
      <c r="U1836" s="8" t="n">
        <v>0.01318002845069732</v>
      </c>
      <c r="V1836" s="6" t="inlineStr">
        <is>
          <t>remained in weekly selection</t>
        </is>
      </c>
    </row>
    <row r="1837">
      <c r="A1837" s="6" t="inlineStr">
        <is>
          <t>DJ30</t>
        </is>
      </c>
      <c r="B1837" s="6" t="inlineStr">
        <is>
          <t>2024-02-23</t>
        </is>
      </c>
      <c r="C1837" s="6" t="inlineStr">
        <is>
          <t>DIA</t>
        </is>
      </c>
      <c r="D1837" s="6" t="inlineStr">
        <is>
          <t>CRM</t>
        </is>
      </c>
      <c r="E1837" s="6" t="inlineStr">
        <is>
          <t>CRM</t>
        </is>
      </c>
      <c r="F1837" s="6" t="inlineStr">
        <is>
          <t>-</t>
        </is>
      </c>
      <c r="G1837" s="7" t="n">
        <v>287.8205871582031</v>
      </c>
      <c r="H1837" s="6">
        <f>P1806</f>
        <v/>
      </c>
      <c r="I1837" s="9">
        <f>Q1806</f>
        <v/>
      </c>
      <c r="J1837" s="7">
        <f>I1837*G1837</f>
        <v/>
      </c>
      <c r="K1837" s="8">
        <f>IF($J$1861=0,0,J1837/$J$1861)</f>
        <v/>
      </c>
      <c r="L1837" s="6" t="inlineStr">
        <is>
          <t>SELECTED</t>
        </is>
      </c>
      <c r="M1837" s="8" t="n">
        <v>0.2</v>
      </c>
      <c r="N1837" s="7">
        <f>M1837*$J$1861-J1837</f>
        <v/>
      </c>
      <c r="O1837" s="9">
        <f>IF(G1837=0,0,N1837/G1837)</f>
        <v/>
      </c>
      <c r="P1837" s="6">
        <f>IF(M1837&gt;0,D1837,"")</f>
        <v/>
      </c>
      <c r="Q1837" s="9">
        <f>I1837+O1837</f>
        <v/>
      </c>
      <c r="R1837" s="7">
        <f>Q1837*G1837</f>
        <v/>
      </c>
      <c r="S1837" s="8">
        <f>IF($R$1861=0,0,R1837/$R$1861)</f>
        <v/>
      </c>
      <c r="T1837" s="8" t="n">
        <v>0.02225472216910429</v>
      </c>
      <c r="U1837" s="8" t="n">
        <v>0.01318002845069732</v>
      </c>
      <c r="V1837" s="6" t="inlineStr">
        <is>
          <t>remained in weekly selection</t>
        </is>
      </c>
    </row>
    <row r="1838">
      <c r="A1838" s="6" t="inlineStr">
        <is>
          <t>DJ30</t>
        </is>
      </c>
      <c r="B1838" s="6" t="inlineStr">
        <is>
          <t>2024-02-23</t>
        </is>
      </c>
      <c r="C1838" s="6" t="inlineStr">
        <is>
          <t>DIA</t>
        </is>
      </c>
      <c r="D1838" s="6" t="inlineStr">
        <is>
          <t>CSCO</t>
        </is>
      </c>
      <c r="E1838" s="6" t="inlineStr">
        <is>
          <t>CSCO</t>
        </is>
      </c>
      <c r="F1838" s="6" t="inlineStr">
        <is>
          <t>-</t>
        </is>
      </c>
      <c r="G1838" s="7" t="n">
        <v>45.99241638183594</v>
      </c>
      <c r="H1838" s="6">
        <f>P1807</f>
        <v/>
      </c>
      <c r="I1838" s="9">
        <f>Q1807</f>
        <v/>
      </c>
      <c r="J1838" s="7">
        <f>I1838*G1838</f>
        <v/>
      </c>
      <c r="K1838" s="8">
        <f>IF($J$1861=0,0,J1838/$J$1861)</f>
        <v/>
      </c>
      <c r="L1838" s="6" t="inlineStr">
        <is>
          <t>REJECTED</t>
        </is>
      </c>
      <c r="M1838" s="8" t="n">
        <v>0</v>
      </c>
      <c r="N1838" s="7">
        <f>M1838*$J$1861-J1838</f>
        <v/>
      </c>
      <c r="O1838" s="9">
        <f>IF(G1838=0,0,N1838/G1838)</f>
        <v/>
      </c>
      <c r="P1838" s="6">
        <f>IF(M1838&gt;0,D1838,"")</f>
        <v/>
      </c>
      <c r="Q1838" s="9">
        <f>I1838+O1838</f>
        <v/>
      </c>
      <c r="R1838" s="7">
        <f>Q1838*G1838</f>
        <v/>
      </c>
      <c r="S1838" s="8">
        <f>IF($R$1861=0,0,R1838/$R$1861)</f>
        <v/>
      </c>
      <c r="T1838" s="8" t="n">
        <v>0.02225472216910429</v>
      </c>
      <c r="U1838" s="8" t="n">
        <v>0.01318002845069732</v>
      </c>
      <c r="V1838" s="6" t="inlineStr">
        <is>
          <t>not selected</t>
        </is>
      </c>
    </row>
    <row r="1839">
      <c r="A1839" s="6" t="inlineStr">
        <is>
          <t>DJ30</t>
        </is>
      </c>
      <c r="B1839" s="6" t="inlineStr">
        <is>
          <t>2024-02-23</t>
        </is>
      </c>
      <c r="C1839" s="6" t="inlineStr">
        <is>
          <t>DIA</t>
        </is>
      </c>
      <c r="D1839" s="6" t="inlineStr">
        <is>
          <t>CVX</t>
        </is>
      </c>
      <c r="E1839" s="6" t="inlineStr">
        <is>
          <t>CVX</t>
        </is>
      </c>
      <c r="F1839" s="6" t="inlineStr">
        <is>
          <t>-</t>
        </is>
      </c>
      <c r="G1839" s="7" t="n">
        <v>140.5742797851562</v>
      </c>
      <c r="H1839" s="6">
        <f>P1808</f>
        <v/>
      </c>
      <c r="I1839" s="9">
        <f>Q1808</f>
        <v/>
      </c>
      <c r="J1839" s="7">
        <f>I1839*G1839</f>
        <v/>
      </c>
      <c r="K1839" s="8">
        <f>IF($J$1861=0,0,J1839/$J$1861)</f>
        <v/>
      </c>
      <c r="L1839" s="6" t="inlineStr">
        <is>
          <t>REJECTED</t>
        </is>
      </c>
      <c r="M1839" s="8" t="n">
        <v>0</v>
      </c>
      <c r="N1839" s="7">
        <f>M1839*$J$1861-J1839</f>
        <v/>
      </c>
      <c r="O1839" s="9">
        <f>IF(G1839=0,0,N1839/G1839)</f>
        <v/>
      </c>
      <c r="P1839" s="6">
        <f>IF(M1839&gt;0,D1839,"")</f>
        <v/>
      </c>
      <c r="Q1839" s="9">
        <f>I1839+O1839</f>
        <v/>
      </c>
      <c r="R1839" s="7">
        <f>Q1839*G1839</f>
        <v/>
      </c>
      <c r="S1839" s="8">
        <f>IF($R$1861=0,0,R1839/$R$1861)</f>
        <v/>
      </c>
      <c r="T1839" s="8" t="n">
        <v>0.02225472216910429</v>
      </c>
      <c r="U1839" s="8" t="n">
        <v>0.01318002845069732</v>
      </c>
      <c r="V1839" s="6" t="inlineStr">
        <is>
          <t>not selected</t>
        </is>
      </c>
    </row>
    <row r="1840">
      <c r="A1840" s="6" t="inlineStr">
        <is>
          <t>DJ30</t>
        </is>
      </c>
      <c r="B1840" s="6" t="inlineStr">
        <is>
          <t>2024-02-23</t>
        </is>
      </c>
      <c r="C1840" s="6" t="inlineStr">
        <is>
          <t>DIA</t>
        </is>
      </c>
      <c r="D1840" s="6" t="inlineStr">
        <is>
          <t>DIS</t>
        </is>
      </c>
      <c r="E1840" s="6" t="inlineStr">
        <is>
          <t>DIS</t>
        </is>
      </c>
      <c r="F1840" s="6" t="inlineStr">
        <is>
          <t>-</t>
        </is>
      </c>
      <c r="G1840" s="7" t="n">
        <v>105.6042098999023</v>
      </c>
      <c r="H1840" s="6">
        <f>P1809</f>
        <v/>
      </c>
      <c r="I1840" s="9">
        <f>Q1809</f>
        <v/>
      </c>
      <c r="J1840" s="7">
        <f>I1840*G1840</f>
        <v/>
      </c>
      <c r="K1840" s="8">
        <f>IF($J$1861=0,0,J1840/$J$1861)</f>
        <v/>
      </c>
      <c r="L1840" s="6" t="inlineStr">
        <is>
          <t>REJECTED</t>
        </is>
      </c>
      <c r="M1840" s="8" t="n">
        <v>0</v>
      </c>
      <c r="N1840" s="7">
        <f>M1840*$J$1861-J1840</f>
        <v/>
      </c>
      <c r="O1840" s="9">
        <f>IF(G1840=0,0,N1840/G1840)</f>
        <v/>
      </c>
      <c r="P1840" s="6">
        <f>IF(M1840&gt;0,D1840,"")</f>
        <v/>
      </c>
      <c r="Q1840" s="9">
        <f>I1840+O1840</f>
        <v/>
      </c>
      <c r="R1840" s="7">
        <f>Q1840*G1840</f>
        <v/>
      </c>
      <c r="S1840" s="8">
        <f>IF($R$1861=0,0,R1840/$R$1861)</f>
        <v/>
      </c>
      <c r="T1840" s="8" t="n">
        <v>0.02225472216910429</v>
      </c>
      <c r="U1840" s="8" t="n">
        <v>0.01318002845069732</v>
      </c>
      <c r="V1840" s="6" t="inlineStr">
        <is>
          <t>not selected</t>
        </is>
      </c>
    </row>
    <row r="1841">
      <c r="A1841" s="6" t="inlineStr">
        <is>
          <t>DJ30</t>
        </is>
      </c>
      <c r="B1841" s="6" t="inlineStr">
        <is>
          <t>2024-02-23</t>
        </is>
      </c>
      <c r="C1841" s="6" t="inlineStr">
        <is>
          <t>DIA</t>
        </is>
      </c>
      <c r="D1841" s="6" t="inlineStr">
        <is>
          <t>GS</t>
        </is>
      </c>
      <c r="E1841" s="6" t="inlineStr">
        <is>
          <t>GS</t>
        </is>
      </c>
      <c r="F1841" s="6" t="inlineStr">
        <is>
          <t>-</t>
        </is>
      </c>
      <c r="G1841" s="7" t="n">
        <v>370.5731811523438</v>
      </c>
      <c r="H1841" s="6">
        <f>P1810</f>
        <v/>
      </c>
      <c r="I1841" s="9">
        <f>Q1810</f>
        <v/>
      </c>
      <c r="J1841" s="7">
        <f>I1841*G1841</f>
        <v/>
      </c>
      <c r="K1841" s="8">
        <f>IF($J$1861=0,0,J1841/$J$1861)</f>
        <v/>
      </c>
      <c r="L1841" s="6" t="inlineStr">
        <is>
          <t>WATCHLIST</t>
        </is>
      </c>
      <c r="M1841" s="8" t="n">
        <v>0</v>
      </c>
      <c r="N1841" s="7">
        <f>M1841*$J$1861-J1841</f>
        <v/>
      </c>
      <c r="O1841" s="9">
        <f>IF(G1841=0,0,N1841/G1841)</f>
        <v/>
      </c>
      <c r="P1841" s="6">
        <f>IF(M1841&gt;0,D1841,"")</f>
        <v/>
      </c>
      <c r="Q1841" s="9">
        <f>I1841+O1841</f>
        <v/>
      </c>
      <c r="R1841" s="7">
        <f>Q1841*G1841</f>
        <v/>
      </c>
      <c r="S1841" s="8">
        <f>IF($R$1861=0,0,R1841/$R$1861)</f>
        <v/>
      </c>
      <c r="T1841" s="8" t="n">
        <v>0.02225472216910429</v>
      </c>
      <c r="U1841" s="8" t="n">
        <v>0.01318002845069732</v>
      </c>
      <c r="V1841" s="6" t="inlineStr">
        <is>
          <t>not selected</t>
        </is>
      </c>
    </row>
    <row r="1842">
      <c r="A1842" s="6" t="inlineStr">
        <is>
          <t>DJ30</t>
        </is>
      </c>
      <c r="B1842" s="6" t="inlineStr">
        <is>
          <t>2024-02-23</t>
        </is>
      </c>
      <c r="C1842" s="6" t="inlineStr">
        <is>
          <t>DIA</t>
        </is>
      </c>
      <c r="D1842" s="6" t="inlineStr">
        <is>
          <t>HD</t>
        </is>
      </c>
      <c r="E1842" s="6" t="inlineStr">
        <is>
          <t>HD</t>
        </is>
      </c>
      <c r="F1842" s="6" t="inlineStr">
        <is>
          <t>-</t>
        </is>
      </c>
      <c r="G1842" s="7" t="n">
        <v>349.2633666992188</v>
      </c>
      <c r="H1842" s="6">
        <f>P1811</f>
        <v/>
      </c>
      <c r="I1842" s="9">
        <f>Q1811</f>
        <v/>
      </c>
      <c r="J1842" s="7">
        <f>I1842*G1842</f>
        <v/>
      </c>
      <c r="K1842" s="8">
        <f>IF($J$1861=0,0,J1842/$J$1861)</f>
        <v/>
      </c>
      <c r="L1842" s="6" t="inlineStr">
        <is>
          <t>WATCHLIST</t>
        </is>
      </c>
      <c r="M1842" s="8" t="n">
        <v>0</v>
      </c>
      <c r="N1842" s="7">
        <f>M1842*$J$1861-J1842</f>
        <v/>
      </c>
      <c r="O1842" s="9">
        <f>IF(G1842=0,0,N1842/G1842)</f>
        <v/>
      </c>
      <c r="P1842" s="6">
        <f>IF(M1842&gt;0,D1842,"")</f>
        <v/>
      </c>
      <c r="Q1842" s="9">
        <f>I1842+O1842</f>
        <v/>
      </c>
      <c r="R1842" s="7">
        <f>Q1842*G1842</f>
        <v/>
      </c>
      <c r="S1842" s="8">
        <f>IF($R$1861=0,0,R1842/$R$1861)</f>
        <v/>
      </c>
      <c r="T1842" s="8" t="n">
        <v>0.02225472216910429</v>
      </c>
      <c r="U1842" s="8" t="n">
        <v>0.01318002845069732</v>
      </c>
      <c r="V1842" s="6" t="inlineStr">
        <is>
          <t>not selected</t>
        </is>
      </c>
    </row>
    <row r="1843">
      <c r="A1843" s="6" t="inlineStr">
        <is>
          <t>DJ30</t>
        </is>
      </c>
      <c r="B1843" s="6" t="inlineStr">
        <is>
          <t>2024-02-23</t>
        </is>
      </c>
      <c r="C1843" s="6" t="inlineStr">
        <is>
          <t>DIA</t>
        </is>
      </c>
      <c r="D1843" s="6" t="inlineStr">
        <is>
          <t>HON</t>
        </is>
      </c>
      <c r="E1843" s="6" t="inlineStr">
        <is>
          <t>HON</t>
        </is>
      </c>
      <c r="F1843" s="6" t="inlineStr">
        <is>
          <t>-</t>
        </is>
      </c>
      <c r="G1843" s="7" t="n">
        <v>179.3053131103516</v>
      </c>
      <c r="H1843" s="6">
        <f>P1812</f>
        <v/>
      </c>
      <c r="I1843" s="9">
        <f>Q1812</f>
        <v/>
      </c>
      <c r="J1843" s="7">
        <f>I1843*G1843</f>
        <v/>
      </c>
      <c r="K1843" s="8">
        <f>IF($J$1861=0,0,J1843/$J$1861)</f>
        <v/>
      </c>
      <c r="L1843" s="6" t="inlineStr">
        <is>
          <t>REJECTED</t>
        </is>
      </c>
      <c r="M1843" s="8" t="n">
        <v>0</v>
      </c>
      <c r="N1843" s="7">
        <f>M1843*$J$1861-J1843</f>
        <v/>
      </c>
      <c r="O1843" s="9">
        <f>IF(G1843=0,0,N1843/G1843)</f>
        <v/>
      </c>
      <c r="P1843" s="6">
        <f>IF(M1843&gt;0,D1843,"")</f>
        <v/>
      </c>
      <c r="Q1843" s="9">
        <f>I1843+O1843</f>
        <v/>
      </c>
      <c r="R1843" s="7">
        <f>Q1843*G1843</f>
        <v/>
      </c>
      <c r="S1843" s="8">
        <f>IF($R$1861=0,0,R1843/$R$1861)</f>
        <v/>
      </c>
      <c r="T1843" s="8" t="n">
        <v>0.02225472216910429</v>
      </c>
      <c r="U1843" s="8" t="n">
        <v>0.01318002845069732</v>
      </c>
      <c r="V1843" s="6" t="inlineStr">
        <is>
          <t>not selected</t>
        </is>
      </c>
    </row>
    <row r="1844">
      <c r="A1844" s="6" t="inlineStr">
        <is>
          <t>DJ30</t>
        </is>
      </c>
      <c r="B1844" s="6" t="inlineStr">
        <is>
          <t>2024-02-23</t>
        </is>
      </c>
      <c r="C1844" s="6" t="inlineStr">
        <is>
          <t>DIA</t>
        </is>
      </c>
      <c r="D1844" s="6" t="inlineStr">
        <is>
          <t>IBM</t>
        </is>
      </c>
      <c r="E1844" s="6" t="inlineStr">
        <is>
          <t>IBM</t>
        </is>
      </c>
      <c r="F1844" s="6" t="inlineStr">
        <is>
          <t>-</t>
        </is>
      </c>
      <c r="G1844" s="7" t="n">
        <v>174.0384368896484</v>
      </c>
      <c r="H1844" s="6">
        <f>P1813</f>
        <v/>
      </c>
      <c r="I1844" s="9">
        <f>Q1813</f>
        <v/>
      </c>
      <c r="J1844" s="7">
        <f>I1844*G1844</f>
        <v/>
      </c>
      <c r="K1844" s="8">
        <f>IF($J$1861=0,0,J1844/$J$1861)</f>
        <v/>
      </c>
      <c r="L1844" s="6" t="inlineStr">
        <is>
          <t>SELECTED</t>
        </is>
      </c>
      <c r="M1844" s="8" t="n">
        <v>0.2</v>
      </c>
      <c r="N1844" s="7">
        <f>M1844*$J$1861-J1844</f>
        <v/>
      </c>
      <c r="O1844" s="9">
        <f>IF(G1844=0,0,N1844/G1844)</f>
        <v/>
      </c>
      <c r="P1844" s="6">
        <f>IF(M1844&gt;0,D1844,"")</f>
        <v/>
      </c>
      <c r="Q1844" s="9">
        <f>I1844+O1844</f>
        <v/>
      </c>
      <c r="R1844" s="7">
        <f>Q1844*G1844</f>
        <v/>
      </c>
      <c r="S1844" s="8">
        <f>IF($R$1861=0,0,R1844/$R$1861)</f>
        <v/>
      </c>
      <c r="T1844" s="8" t="n">
        <v>0.02225472216910429</v>
      </c>
      <c r="U1844" s="8" t="n">
        <v>0.01318002845069732</v>
      </c>
      <c r="V1844" s="6" t="inlineStr">
        <is>
          <t>remained in weekly selection</t>
        </is>
      </c>
    </row>
    <row r="1845">
      <c r="A1845" s="6" t="inlineStr">
        <is>
          <t>DJ30</t>
        </is>
      </c>
      <c r="B1845" s="6" t="inlineStr">
        <is>
          <t>2024-02-23</t>
        </is>
      </c>
      <c r="C1845" s="6" t="inlineStr">
        <is>
          <t>DIA</t>
        </is>
      </c>
      <c r="D1845" s="6" t="inlineStr">
        <is>
          <t>JNJ</t>
        </is>
      </c>
      <c r="E1845" s="6" t="inlineStr">
        <is>
          <t>JNJ</t>
        </is>
      </c>
      <c r="F1845" s="6" t="inlineStr">
        <is>
          <t>-</t>
        </is>
      </c>
      <c r="G1845" s="7" t="n">
        <v>151.6864776611328</v>
      </c>
      <c r="H1845" s="6">
        <f>P1814</f>
        <v/>
      </c>
      <c r="I1845" s="9">
        <f>Q1814</f>
        <v/>
      </c>
      <c r="J1845" s="7">
        <f>I1845*G1845</f>
        <v/>
      </c>
      <c r="K1845" s="8">
        <f>IF($J$1861=0,0,J1845/$J$1861)</f>
        <v/>
      </c>
      <c r="L1845" s="6" t="inlineStr">
        <is>
          <t>REJECTED</t>
        </is>
      </c>
      <c r="M1845" s="8" t="n">
        <v>0</v>
      </c>
      <c r="N1845" s="7">
        <f>M1845*$J$1861-J1845</f>
        <v/>
      </c>
      <c r="O1845" s="9">
        <f>IF(G1845=0,0,N1845/G1845)</f>
        <v/>
      </c>
      <c r="P1845" s="6">
        <f>IF(M1845&gt;0,D1845,"")</f>
        <v/>
      </c>
      <c r="Q1845" s="9">
        <f>I1845+O1845</f>
        <v/>
      </c>
      <c r="R1845" s="7">
        <f>Q1845*G1845</f>
        <v/>
      </c>
      <c r="S1845" s="8">
        <f>IF($R$1861=0,0,R1845/$R$1861)</f>
        <v/>
      </c>
      <c r="T1845" s="8" t="n">
        <v>0.02225472216910429</v>
      </c>
      <c r="U1845" s="8" t="n">
        <v>0.01318002845069732</v>
      </c>
      <c r="V1845" s="6" t="inlineStr">
        <is>
          <t>not selected</t>
        </is>
      </c>
    </row>
    <row r="1846">
      <c r="A1846" s="6" t="inlineStr">
        <is>
          <t>DJ30</t>
        </is>
      </c>
      <c r="B1846" s="6" t="inlineStr">
        <is>
          <t>2024-02-23</t>
        </is>
      </c>
      <c r="C1846" s="6" t="inlineStr">
        <is>
          <t>DIA</t>
        </is>
      </c>
      <c r="D1846" s="6" t="inlineStr">
        <is>
          <t>JPM</t>
        </is>
      </c>
      <c r="E1846" s="6" t="inlineStr">
        <is>
          <t>JPM</t>
        </is>
      </c>
      <c r="F1846" s="6" t="inlineStr">
        <is>
          <t>-</t>
        </is>
      </c>
      <c r="G1846" s="7" t="n">
        <v>175.3662872314453</v>
      </c>
      <c r="H1846" s="6">
        <f>P1815</f>
        <v/>
      </c>
      <c r="I1846" s="9">
        <f>Q1815</f>
        <v/>
      </c>
      <c r="J1846" s="7">
        <f>I1846*G1846</f>
        <v/>
      </c>
      <c r="K1846" s="8">
        <f>IF($J$1861=0,0,J1846/$J$1861)</f>
        <v/>
      </c>
      <c r="L1846" s="6" t="inlineStr">
        <is>
          <t>WATCHLIST</t>
        </is>
      </c>
      <c r="M1846" s="8" t="n">
        <v>0</v>
      </c>
      <c r="N1846" s="7">
        <f>M1846*$J$1861-J1846</f>
        <v/>
      </c>
      <c r="O1846" s="9">
        <f>IF(G1846=0,0,N1846/G1846)</f>
        <v/>
      </c>
      <c r="P1846" s="6">
        <f>IF(M1846&gt;0,D1846,"")</f>
        <v/>
      </c>
      <c r="Q1846" s="9">
        <f>I1846+O1846</f>
        <v/>
      </c>
      <c r="R1846" s="7">
        <f>Q1846*G1846</f>
        <v/>
      </c>
      <c r="S1846" s="8">
        <f>IF($R$1861=0,0,R1846/$R$1861)</f>
        <v/>
      </c>
      <c r="T1846" s="8" t="n">
        <v>0.02225472216910429</v>
      </c>
      <c r="U1846" s="8" t="n">
        <v>0.01318002845069732</v>
      </c>
      <c r="V1846" s="6" t="inlineStr">
        <is>
          <t>not selected</t>
        </is>
      </c>
    </row>
    <row r="1847">
      <c r="A1847" s="6" t="inlineStr">
        <is>
          <t>DJ30</t>
        </is>
      </c>
      <c r="B1847" s="6" t="inlineStr">
        <is>
          <t>2024-02-23</t>
        </is>
      </c>
      <c r="C1847" s="6" t="inlineStr">
        <is>
          <t>DIA</t>
        </is>
      </c>
      <c r="D1847" s="6" t="inlineStr">
        <is>
          <t>KO</t>
        </is>
      </c>
      <c r="E1847" s="6" t="inlineStr">
        <is>
          <t>KO</t>
        </is>
      </c>
      <c r="F1847" s="6" t="inlineStr">
        <is>
          <t>-</t>
        </is>
      </c>
      <c r="G1847" s="7" t="n">
        <v>56.92292404174805</v>
      </c>
      <c r="H1847" s="6">
        <f>P1816</f>
        <v/>
      </c>
      <c r="I1847" s="9">
        <f>Q1816</f>
        <v/>
      </c>
      <c r="J1847" s="7">
        <f>I1847*G1847</f>
        <v/>
      </c>
      <c r="K1847" s="8">
        <f>IF($J$1861=0,0,J1847/$J$1861)</f>
        <v/>
      </c>
      <c r="L1847" s="6" t="inlineStr">
        <is>
          <t>REJECTED</t>
        </is>
      </c>
      <c r="M1847" s="8" t="n">
        <v>0</v>
      </c>
      <c r="N1847" s="7">
        <f>M1847*$J$1861-J1847</f>
        <v/>
      </c>
      <c r="O1847" s="9">
        <f>IF(G1847=0,0,N1847/G1847)</f>
        <v/>
      </c>
      <c r="P1847" s="6">
        <f>IF(M1847&gt;0,D1847,"")</f>
        <v/>
      </c>
      <c r="Q1847" s="9">
        <f>I1847+O1847</f>
        <v/>
      </c>
      <c r="R1847" s="7">
        <f>Q1847*G1847</f>
        <v/>
      </c>
      <c r="S1847" s="8">
        <f>IF($R$1861=0,0,R1847/$R$1861)</f>
        <v/>
      </c>
      <c r="T1847" s="8" t="n">
        <v>0.02225472216910429</v>
      </c>
      <c r="U1847" s="8" t="n">
        <v>0.01318002845069732</v>
      </c>
      <c r="V1847" s="6" t="inlineStr">
        <is>
          <t>not selected</t>
        </is>
      </c>
    </row>
    <row r="1848">
      <c r="A1848" s="6" t="inlineStr">
        <is>
          <t>DJ30</t>
        </is>
      </c>
      <c r="B1848" s="6" t="inlineStr">
        <is>
          <t>2024-02-23</t>
        </is>
      </c>
      <c r="C1848" s="6" t="inlineStr">
        <is>
          <t>DIA</t>
        </is>
      </c>
      <c r="D1848" s="6" t="inlineStr">
        <is>
          <t>MCD</t>
        </is>
      </c>
      <c r="E1848" s="6" t="inlineStr">
        <is>
          <t>MCD</t>
        </is>
      </c>
      <c r="F1848" s="6" t="inlineStr">
        <is>
          <t>-</t>
        </is>
      </c>
      <c r="G1848" s="7" t="n">
        <v>280.5979614257812</v>
      </c>
      <c r="H1848" s="6">
        <f>P1817</f>
        <v/>
      </c>
      <c r="I1848" s="9">
        <f>Q1817</f>
        <v/>
      </c>
      <c r="J1848" s="7">
        <f>I1848*G1848</f>
        <v/>
      </c>
      <c r="K1848" s="8">
        <f>IF($J$1861=0,0,J1848/$J$1861)</f>
        <v/>
      </c>
      <c r="L1848" s="6" t="inlineStr">
        <is>
          <t>REJECTED</t>
        </is>
      </c>
      <c r="M1848" s="8" t="n">
        <v>0</v>
      </c>
      <c r="N1848" s="7">
        <f>M1848*$J$1861-J1848</f>
        <v/>
      </c>
      <c r="O1848" s="9">
        <f>IF(G1848=0,0,N1848/G1848)</f>
        <v/>
      </c>
      <c r="P1848" s="6">
        <f>IF(M1848&gt;0,D1848,"")</f>
        <v/>
      </c>
      <c r="Q1848" s="9">
        <f>I1848+O1848</f>
        <v/>
      </c>
      <c r="R1848" s="7">
        <f>Q1848*G1848</f>
        <v/>
      </c>
      <c r="S1848" s="8">
        <f>IF($R$1861=0,0,R1848/$R$1861)</f>
        <v/>
      </c>
      <c r="T1848" s="8" t="n">
        <v>0.02225472216910429</v>
      </c>
      <c r="U1848" s="8" t="n">
        <v>0.01318002845069732</v>
      </c>
      <c r="V1848" s="6" t="inlineStr">
        <is>
          <t>not selected</t>
        </is>
      </c>
    </row>
    <row r="1849">
      <c r="A1849" s="6" t="inlineStr">
        <is>
          <t>DJ30</t>
        </is>
      </c>
      <c r="B1849" s="6" t="inlineStr">
        <is>
          <t>2024-02-23</t>
        </is>
      </c>
      <c r="C1849" s="6" t="inlineStr">
        <is>
          <t>DIA</t>
        </is>
      </c>
      <c r="D1849" s="6" t="inlineStr">
        <is>
          <t>MMM</t>
        </is>
      </c>
      <c r="E1849" s="6" t="inlineStr">
        <is>
          <t>MMM</t>
        </is>
      </c>
      <c r="F1849" s="6" t="inlineStr">
        <is>
          <t>-</t>
        </is>
      </c>
      <c r="G1849" s="7" t="n">
        <v>73.93226623535156</v>
      </c>
      <c r="H1849" s="6">
        <f>P1818</f>
        <v/>
      </c>
      <c r="I1849" s="9">
        <f>Q1818</f>
        <v/>
      </c>
      <c r="J1849" s="7">
        <f>I1849*G1849</f>
        <v/>
      </c>
      <c r="K1849" s="8">
        <f>IF($J$1861=0,0,J1849/$J$1861)</f>
        <v/>
      </c>
      <c r="L1849" s="6" t="inlineStr">
        <is>
          <t>REJECTED</t>
        </is>
      </c>
      <c r="M1849" s="8" t="n">
        <v>0</v>
      </c>
      <c r="N1849" s="7">
        <f>M1849*$J$1861-J1849</f>
        <v/>
      </c>
      <c r="O1849" s="9">
        <f>IF(G1849=0,0,N1849/G1849)</f>
        <v/>
      </c>
      <c r="P1849" s="6">
        <f>IF(M1849&gt;0,D1849,"")</f>
        <v/>
      </c>
      <c r="Q1849" s="9">
        <f>I1849+O1849</f>
        <v/>
      </c>
      <c r="R1849" s="7">
        <f>Q1849*G1849</f>
        <v/>
      </c>
      <c r="S1849" s="8">
        <f>IF($R$1861=0,0,R1849/$R$1861)</f>
        <v/>
      </c>
      <c r="T1849" s="8" t="n">
        <v>0.02225472216910429</v>
      </c>
      <c r="U1849" s="8" t="n">
        <v>0.01318002845069732</v>
      </c>
      <c r="V1849" s="6" t="inlineStr">
        <is>
          <t>not selected</t>
        </is>
      </c>
    </row>
    <row r="1850">
      <c r="A1850" s="6" t="inlineStr">
        <is>
          <t>DJ30</t>
        </is>
      </c>
      <c r="B1850" s="6" t="inlineStr">
        <is>
          <t>2024-02-23</t>
        </is>
      </c>
      <c r="C1850" s="6" t="inlineStr">
        <is>
          <t>DIA</t>
        </is>
      </c>
      <c r="D1850" s="6" t="inlineStr">
        <is>
          <t>MRK</t>
        </is>
      </c>
      <c r="E1850" s="6" t="inlineStr">
        <is>
          <t>MRK</t>
        </is>
      </c>
      <c r="F1850" s="6" t="inlineStr">
        <is>
          <t>-</t>
        </is>
      </c>
      <c r="G1850" s="7" t="n">
        <v>119.6913299560547</v>
      </c>
      <c r="H1850" s="6">
        <f>P1819</f>
        <v/>
      </c>
      <c r="I1850" s="9">
        <f>Q1819</f>
        <v/>
      </c>
      <c r="J1850" s="7">
        <f>I1850*G1850</f>
        <v/>
      </c>
      <c r="K1850" s="8">
        <f>IF($J$1861=0,0,J1850/$J$1861)</f>
        <v/>
      </c>
      <c r="L1850" s="6" t="inlineStr">
        <is>
          <t>REJECTED</t>
        </is>
      </c>
      <c r="M1850" s="8" t="n">
        <v>0</v>
      </c>
      <c r="N1850" s="7">
        <f>M1850*$J$1861-J1850</f>
        <v/>
      </c>
      <c r="O1850" s="9">
        <f>IF(G1850=0,0,N1850/G1850)</f>
        <v/>
      </c>
      <c r="P1850" s="6">
        <f>IF(M1850&gt;0,D1850,"")</f>
        <v/>
      </c>
      <c r="Q1850" s="9">
        <f>I1850+O1850</f>
        <v/>
      </c>
      <c r="R1850" s="7">
        <f>Q1850*G1850</f>
        <v/>
      </c>
      <c r="S1850" s="8">
        <f>IF($R$1861=0,0,R1850/$R$1861)</f>
        <v/>
      </c>
      <c r="T1850" s="8" t="n">
        <v>0.02225472216910429</v>
      </c>
      <c r="U1850" s="8" t="n">
        <v>0.01318002845069732</v>
      </c>
      <c r="V1850" s="6" t="inlineStr">
        <is>
          <t>not selected</t>
        </is>
      </c>
    </row>
    <row r="1851">
      <c r="A1851" s="6" t="inlineStr">
        <is>
          <t>DJ30</t>
        </is>
      </c>
      <c r="B1851" s="6" t="inlineStr">
        <is>
          <t>2024-02-23</t>
        </is>
      </c>
      <c r="C1851" s="6" t="inlineStr">
        <is>
          <t>DIA</t>
        </is>
      </c>
      <c r="D1851" s="6" t="inlineStr">
        <is>
          <t>MSFT</t>
        </is>
      </c>
      <c r="E1851" s="6" t="inlineStr">
        <is>
          <t>MSFT</t>
        </is>
      </c>
      <c r="F1851" s="6" t="inlineStr">
        <is>
          <t>-</t>
        </is>
      </c>
      <c r="G1851" s="7" t="n">
        <v>403.2635803222656</v>
      </c>
      <c r="H1851" s="6">
        <f>P1820</f>
        <v/>
      </c>
      <c r="I1851" s="9">
        <f>Q1820</f>
        <v/>
      </c>
      <c r="J1851" s="7">
        <f>I1851*G1851</f>
        <v/>
      </c>
      <c r="K1851" s="8">
        <f>IF($J$1861=0,0,J1851/$J$1861)</f>
        <v/>
      </c>
      <c r="L1851" s="6" t="inlineStr">
        <is>
          <t>WATCHLIST</t>
        </is>
      </c>
      <c r="M1851" s="8" t="n">
        <v>0</v>
      </c>
      <c r="N1851" s="7">
        <f>M1851*$J$1861-J1851</f>
        <v/>
      </c>
      <c r="O1851" s="9">
        <f>IF(G1851=0,0,N1851/G1851)</f>
        <v/>
      </c>
      <c r="P1851" s="6">
        <f>IF(M1851&gt;0,D1851,"")</f>
        <v/>
      </c>
      <c r="Q1851" s="9">
        <f>I1851+O1851</f>
        <v/>
      </c>
      <c r="R1851" s="7">
        <f>Q1851*G1851</f>
        <v/>
      </c>
      <c r="S1851" s="8">
        <f>IF($R$1861=0,0,R1851/$R$1861)</f>
        <v/>
      </c>
      <c r="T1851" s="8" t="n">
        <v>0.02225472216910429</v>
      </c>
      <c r="U1851" s="8" t="n">
        <v>0.01318002845069732</v>
      </c>
      <c r="V1851" s="6" t="inlineStr">
        <is>
          <t>not selected</t>
        </is>
      </c>
    </row>
    <row r="1852">
      <c r="A1852" s="6" t="inlineStr">
        <is>
          <t>DJ30</t>
        </is>
      </c>
      <c r="B1852" s="6" t="inlineStr">
        <is>
          <t>2024-02-23</t>
        </is>
      </c>
      <c r="C1852" s="6" t="inlineStr">
        <is>
          <t>DIA</t>
        </is>
      </c>
      <c r="D1852" s="6" t="inlineStr">
        <is>
          <t>NKE</t>
        </is>
      </c>
      <c r="E1852" s="6" t="inlineStr">
        <is>
          <t>NKE</t>
        </is>
      </c>
      <c r="F1852" s="6" t="inlineStr">
        <is>
          <t>-</t>
        </is>
      </c>
      <c r="G1852" s="7" t="n">
        <v>99.90209197998048</v>
      </c>
      <c r="H1852" s="6">
        <f>P1821</f>
        <v/>
      </c>
      <c r="I1852" s="9">
        <f>Q1821</f>
        <v/>
      </c>
      <c r="J1852" s="7">
        <f>I1852*G1852</f>
        <v/>
      </c>
      <c r="K1852" s="8">
        <f>IF($J$1861=0,0,J1852/$J$1861)</f>
        <v/>
      </c>
      <c r="L1852" s="6" t="inlineStr">
        <is>
          <t>REJECTED</t>
        </is>
      </c>
      <c r="M1852" s="8" t="n">
        <v>0</v>
      </c>
      <c r="N1852" s="7">
        <f>M1852*$J$1861-J1852</f>
        <v/>
      </c>
      <c r="O1852" s="9">
        <f>IF(G1852=0,0,N1852/G1852)</f>
        <v/>
      </c>
      <c r="P1852" s="6">
        <f>IF(M1852&gt;0,D1852,"")</f>
        <v/>
      </c>
      <c r="Q1852" s="9">
        <f>I1852+O1852</f>
        <v/>
      </c>
      <c r="R1852" s="7">
        <f>Q1852*G1852</f>
        <v/>
      </c>
      <c r="S1852" s="8">
        <f>IF($R$1861=0,0,R1852/$R$1861)</f>
        <v/>
      </c>
      <c r="T1852" s="8" t="n">
        <v>0.02225472216910429</v>
      </c>
      <c r="U1852" s="8" t="n">
        <v>0.01318002845069732</v>
      </c>
      <c r="V1852" s="6" t="inlineStr">
        <is>
          <t>not selected</t>
        </is>
      </c>
    </row>
    <row r="1853">
      <c r="A1853" s="6" t="inlineStr">
        <is>
          <t>DJ30</t>
        </is>
      </c>
      <c r="B1853" s="6" t="inlineStr">
        <is>
          <t>2024-02-23</t>
        </is>
      </c>
      <c r="C1853" s="6" t="inlineStr">
        <is>
          <t>DIA</t>
        </is>
      </c>
      <c r="D1853" s="6" t="inlineStr">
        <is>
          <t>NVDA</t>
        </is>
      </c>
      <c r="E1853" s="6" t="inlineStr">
        <is>
          <t>NVDA</t>
        </is>
      </c>
      <c r="F1853" s="6" t="inlineStr">
        <is>
          <t>-</t>
        </is>
      </c>
      <c r="G1853" s="7" t="n">
        <v>78.67715454101562</v>
      </c>
      <c r="H1853" s="6">
        <f>P1822</f>
        <v/>
      </c>
      <c r="I1853" s="9">
        <f>Q1822</f>
        <v/>
      </c>
      <c r="J1853" s="7">
        <f>I1853*G1853</f>
        <v/>
      </c>
      <c r="K1853" s="8">
        <f>IF($J$1861=0,0,J1853/$J$1861)</f>
        <v/>
      </c>
      <c r="L1853" s="6" t="inlineStr">
        <is>
          <t>SELECTED</t>
        </is>
      </c>
      <c r="M1853" s="8" t="n">
        <v>0.2</v>
      </c>
      <c r="N1853" s="7">
        <f>M1853*$J$1861-J1853</f>
        <v/>
      </c>
      <c r="O1853" s="9">
        <f>IF(G1853=0,0,N1853/G1853)</f>
        <v/>
      </c>
      <c r="P1853" s="6">
        <f>IF(M1853&gt;0,D1853,"")</f>
        <v/>
      </c>
      <c r="Q1853" s="9">
        <f>I1853+O1853</f>
        <v/>
      </c>
      <c r="R1853" s="7">
        <f>Q1853*G1853</f>
        <v/>
      </c>
      <c r="S1853" s="8">
        <f>IF($R$1861=0,0,R1853/$R$1861)</f>
        <v/>
      </c>
      <c r="T1853" s="8" t="n">
        <v>0.02225472216910429</v>
      </c>
      <c r="U1853" s="8" t="n">
        <v>0.01318002845069732</v>
      </c>
      <c r="V1853" s="6" t="inlineStr">
        <is>
          <t>remained in weekly selection</t>
        </is>
      </c>
    </row>
    <row r="1854">
      <c r="A1854" s="6" t="inlineStr">
        <is>
          <t>DJ30</t>
        </is>
      </c>
      <c r="B1854" s="6" t="inlineStr">
        <is>
          <t>2024-02-23</t>
        </is>
      </c>
      <c r="C1854" s="6" t="inlineStr">
        <is>
          <t>DIA</t>
        </is>
      </c>
      <c r="D1854" s="6" t="inlineStr">
        <is>
          <t>PG</t>
        </is>
      </c>
      <c r="E1854" s="6" t="inlineStr">
        <is>
          <t>PG</t>
        </is>
      </c>
      <c r="F1854" s="6" t="inlineStr">
        <is>
          <t>-</t>
        </is>
      </c>
      <c r="G1854" s="7" t="n">
        <v>151.8118133544922</v>
      </c>
      <c r="H1854" s="6">
        <f>P1823</f>
        <v/>
      </c>
      <c r="I1854" s="9">
        <f>Q1823</f>
        <v/>
      </c>
      <c r="J1854" s="7">
        <f>I1854*G1854</f>
        <v/>
      </c>
      <c r="K1854" s="8">
        <f>IF($J$1861=0,0,J1854/$J$1861)</f>
        <v/>
      </c>
      <c r="L1854" s="6" t="inlineStr">
        <is>
          <t>REJECTED</t>
        </is>
      </c>
      <c r="M1854" s="8" t="n">
        <v>0</v>
      </c>
      <c r="N1854" s="7">
        <f>M1854*$J$1861-J1854</f>
        <v/>
      </c>
      <c r="O1854" s="9">
        <f>IF(G1854=0,0,N1854/G1854)</f>
        <v/>
      </c>
      <c r="P1854" s="6">
        <f>IF(M1854&gt;0,D1854,"")</f>
        <v/>
      </c>
      <c r="Q1854" s="9">
        <f>I1854+O1854</f>
        <v/>
      </c>
      <c r="R1854" s="7">
        <f>Q1854*G1854</f>
        <v/>
      </c>
      <c r="S1854" s="8">
        <f>IF($R$1861=0,0,R1854/$R$1861)</f>
        <v/>
      </c>
      <c r="T1854" s="8" t="n">
        <v>0.02225472216910429</v>
      </c>
      <c r="U1854" s="8" t="n">
        <v>0.01318002845069732</v>
      </c>
      <c r="V1854" s="6" t="inlineStr">
        <is>
          <t>not selected</t>
        </is>
      </c>
    </row>
    <row r="1855">
      <c r="A1855" s="6" t="inlineStr">
        <is>
          <t>DJ30</t>
        </is>
      </c>
      <c r="B1855" s="6" t="inlineStr">
        <is>
          <t>2024-02-23</t>
        </is>
      </c>
      <c r="C1855" s="6" t="inlineStr">
        <is>
          <t>DIA</t>
        </is>
      </c>
      <c r="D1855" s="6" t="inlineStr">
        <is>
          <t>SHW</t>
        </is>
      </c>
      <c r="E1855" s="6" t="inlineStr">
        <is>
          <t>SHW</t>
        </is>
      </c>
      <c r="F1855" s="6" t="inlineStr">
        <is>
          <t>-</t>
        </is>
      </c>
      <c r="G1855" s="7" t="n">
        <v>315.7229614257812</v>
      </c>
      <c r="H1855" s="6">
        <f>P1824</f>
        <v/>
      </c>
      <c r="I1855" s="9">
        <f>Q1824</f>
        <v/>
      </c>
      <c r="J1855" s="7">
        <f>I1855*G1855</f>
        <v/>
      </c>
      <c r="K1855" s="8">
        <f>IF($J$1861=0,0,J1855/$J$1861)</f>
        <v/>
      </c>
      <c r="L1855" s="6" t="inlineStr">
        <is>
          <t>WATCHLIST</t>
        </is>
      </c>
      <c r="M1855" s="8" t="n">
        <v>0</v>
      </c>
      <c r="N1855" s="7">
        <f>M1855*$J$1861-J1855</f>
        <v/>
      </c>
      <c r="O1855" s="9">
        <f>IF(G1855=0,0,N1855/G1855)</f>
        <v/>
      </c>
      <c r="P1855" s="6">
        <f>IF(M1855&gt;0,D1855,"")</f>
        <v/>
      </c>
      <c r="Q1855" s="9">
        <f>I1855+O1855</f>
        <v/>
      </c>
      <c r="R1855" s="7">
        <f>Q1855*G1855</f>
        <v/>
      </c>
      <c r="S1855" s="8">
        <f>IF($R$1861=0,0,R1855/$R$1861)</f>
        <v/>
      </c>
      <c r="T1855" s="8" t="n">
        <v>0.02225472216910429</v>
      </c>
      <c r="U1855" s="8" t="n">
        <v>0.01318002845069732</v>
      </c>
      <c r="V1855" s="6" t="inlineStr">
        <is>
          <t>not selected</t>
        </is>
      </c>
    </row>
    <row r="1856">
      <c r="A1856" s="6" t="inlineStr">
        <is>
          <t>DJ30</t>
        </is>
      </c>
      <c r="B1856" s="6" t="inlineStr">
        <is>
          <t>2024-02-23</t>
        </is>
      </c>
      <c r="C1856" s="6" t="inlineStr">
        <is>
          <t>DIA</t>
        </is>
      </c>
      <c r="D1856" s="6" t="inlineStr">
        <is>
          <t>TRV</t>
        </is>
      </c>
      <c r="E1856" s="6" t="inlineStr">
        <is>
          <t>TRV</t>
        </is>
      </c>
      <c r="F1856" s="6" t="inlineStr">
        <is>
          <t>-</t>
        </is>
      </c>
      <c r="G1856" s="7" t="n">
        <v>211.8696594238281</v>
      </c>
      <c r="H1856" s="6">
        <f>P1825</f>
        <v/>
      </c>
      <c r="I1856" s="9">
        <f>Q1825</f>
        <v/>
      </c>
      <c r="J1856" s="7">
        <f>I1856*G1856</f>
        <v/>
      </c>
      <c r="K1856" s="8">
        <f>IF($J$1861=0,0,J1856/$J$1861)</f>
        <v/>
      </c>
      <c r="L1856" s="6" t="inlineStr">
        <is>
          <t>WATCHLIST</t>
        </is>
      </c>
      <c r="M1856" s="8" t="n">
        <v>0</v>
      </c>
      <c r="N1856" s="7">
        <f>M1856*$J$1861-J1856</f>
        <v/>
      </c>
      <c r="O1856" s="9">
        <f>IF(G1856=0,0,N1856/G1856)</f>
        <v/>
      </c>
      <c r="P1856" s="6">
        <f>IF(M1856&gt;0,D1856,"")</f>
        <v/>
      </c>
      <c r="Q1856" s="9">
        <f>I1856+O1856</f>
        <v/>
      </c>
      <c r="R1856" s="7">
        <f>Q1856*G1856</f>
        <v/>
      </c>
      <c r="S1856" s="8">
        <f>IF($R$1861=0,0,R1856/$R$1861)</f>
        <v/>
      </c>
      <c r="T1856" s="8" t="n">
        <v>0.02225472216910429</v>
      </c>
      <c r="U1856" s="8" t="n">
        <v>0.01318002845069732</v>
      </c>
      <c r="V1856" s="6" t="inlineStr">
        <is>
          <t>not selected</t>
        </is>
      </c>
    </row>
    <row r="1857">
      <c r="A1857" s="6" t="inlineStr">
        <is>
          <t>DJ30</t>
        </is>
      </c>
      <c r="B1857" s="6" t="inlineStr">
        <is>
          <t>2024-02-23</t>
        </is>
      </c>
      <c r="C1857" s="6" t="inlineStr">
        <is>
          <t>DIA</t>
        </is>
      </c>
      <c r="D1857" s="6" t="inlineStr">
        <is>
          <t>UNH</t>
        </is>
      </c>
      <c r="E1857" s="6" t="inlineStr">
        <is>
          <t>UNH</t>
        </is>
      </c>
      <c r="F1857" s="6" t="inlineStr">
        <is>
          <t>-</t>
        </is>
      </c>
      <c r="G1857" s="7" t="n">
        <v>499.8721313476562</v>
      </c>
      <c r="H1857" s="6">
        <f>P1826</f>
        <v/>
      </c>
      <c r="I1857" s="9">
        <f>Q1826</f>
        <v/>
      </c>
      <c r="J1857" s="7">
        <f>I1857*G1857</f>
        <v/>
      </c>
      <c r="K1857" s="8">
        <f>IF($J$1861=0,0,J1857/$J$1861)</f>
        <v/>
      </c>
      <c r="L1857" s="6" t="inlineStr">
        <is>
          <t>WATCHLIST</t>
        </is>
      </c>
      <c r="M1857" s="8" t="n">
        <v>0</v>
      </c>
      <c r="N1857" s="7">
        <f>M1857*$J$1861-J1857</f>
        <v/>
      </c>
      <c r="O1857" s="9">
        <f>IF(G1857=0,0,N1857/G1857)</f>
        <v/>
      </c>
      <c r="P1857" s="6">
        <f>IF(M1857&gt;0,D1857,"")</f>
        <v/>
      </c>
      <c r="Q1857" s="9">
        <f>I1857+O1857</f>
        <v/>
      </c>
      <c r="R1857" s="7">
        <f>Q1857*G1857</f>
        <v/>
      </c>
      <c r="S1857" s="8">
        <f>IF($R$1861=0,0,R1857/$R$1861)</f>
        <v/>
      </c>
      <c r="T1857" s="8" t="n">
        <v>0.02225472216910429</v>
      </c>
      <c r="U1857" s="8" t="n">
        <v>0.01318002845069732</v>
      </c>
      <c r="V1857" s="6" t="inlineStr">
        <is>
          <t>not selected</t>
        </is>
      </c>
    </row>
    <row r="1858">
      <c r="A1858" s="6" t="inlineStr">
        <is>
          <t>DJ30</t>
        </is>
      </c>
      <c r="B1858" s="6" t="inlineStr">
        <is>
          <t>2024-02-23</t>
        </is>
      </c>
      <c r="C1858" s="6" t="inlineStr">
        <is>
          <t>DIA</t>
        </is>
      </c>
      <c r="D1858" s="6" t="inlineStr">
        <is>
          <t>V</t>
        </is>
      </c>
      <c r="E1858" s="6" t="inlineStr">
        <is>
          <t>V</t>
        </is>
      </c>
      <c r="F1858" s="6" t="inlineStr">
        <is>
          <t>-</t>
        </is>
      </c>
      <c r="G1858" s="7" t="n">
        <v>278.8306579589844</v>
      </c>
      <c r="H1858" s="6">
        <f>P1827</f>
        <v/>
      </c>
      <c r="I1858" s="9">
        <f>Q1827</f>
        <v/>
      </c>
      <c r="J1858" s="7">
        <f>I1858*G1858</f>
        <v/>
      </c>
      <c r="K1858" s="8">
        <f>IF($J$1861=0,0,J1858/$J$1861)</f>
        <v/>
      </c>
      <c r="L1858" s="6" t="inlineStr">
        <is>
          <t>WATCHLIST</t>
        </is>
      </c>
      <c r="M1858" s="8" t="n">
        <v>0</v>
      </c>
      <c r="N1858" s="7">
        <f>M1858*$J$1861-J1858</f>
        <v/>
      </c>
      <c r="O1858" s="9">
        <f>IF(G1858=0,0,N1858/G1858)</f>
        <v/>
      </c>
      <c r="P1858" s="6">
        <f>IF(M1858&gt;0,D1858,"")</f>
        <v/>
      </c>
      <c r="Q1858" s="9">
        <f>I1858+O1858</f>
        <v/>
      </c>
      <c r="R1858" s="7">
        <f>Q1858*G1858</f>
        <v/>
      </c>
      <c r="S1858" s="8">
        <f>IF($R$1861=0,0,R1858/$R$1861)</f>
        <v/>
      </c>
      <c r="T1858" s="8" t="n">
        <v>0.02225472216910429</v>
      </c>
      <c r="U1858" s="8" t="n">
        <v>0.01318002845069732</v>
      </c>
      <c r="V1858" s="6" t="inlineStr">
        <is>
          <t>not selected</t>
        </is>
      </c>
    </row>
    <row r="1859">
      <c r="A1859" s="6" t="inlineStr">
        <is>
          <t>DJ30</t>
        </is>
      </c>
      <c r="B1859" s="6" t="inlineStr">
        <is>
          <t>2024-02-23</t>
        </is>
      </c>
      <c r="C1859" s="6" t="inlineStr">
        <is>
          <t>DIA</t>
        </is>
      </c>
      <c r="D1859" s="6" t="inlineStr">
        <is>
          <t>VZ</t>
        </is>
      </c>
      <c r="E1859" s="6" t="inlineStr">
        <is>
          <t>VZ</t>
        </is>
      </c>
      <c r="F1859" s="6" t="inlineStr">
        <is>
          <t>-</t>
        </is>
      </c>
      <c r="G1859" s="7" t="n">
        <v>35.11912155151367</v>
      </c>
      <c r="H1859" s="6">
        <f>P1828</f>
        <v/>
      </c>
      <c r="I1859" s="9">
        <f>Q1828</f>
        <v/>
      </c>
      <c r="J1859" s="7">
        <f>I1859*G1859</f>
        <v/>
      </c>
      <c r="K1859" s="8">
        <f>IF($J$1861=0,0,J1859/$J$1861)</f>
        <v/>
      </c>
      <c r="L1859" s="6" t="inlineStr">
        <is>
          <t>REJECTED</t>
        </is>
      </c>
      <c r="M1859" s="8" t="n">
        <v>0</v>
      </c>
      <c r="N1859" s="7">
        <f>M1859*$J$1861-J1859</f>
        <v/>
      </c>
      <c r="O1859" s="9">
        <f>IF(G1859=0,0,N1859/G1859)</f>
        <v/>
      </c>
      <c r="P1859" s="6">
        <f>IF(M1859&gt;0,D1859,"")</f>
        <v/>
      </c>
      <c r="Q1859" s="9">
        <f>I1859+O1859</f>
        <v/>
      </c>
      <c r="R1859" s="7">
        <f>Q1859*G1859</f>
        <v/>
      </c>
      <c r="S1859" s="8">
        <f>IF($R$1861=0,0,R1859/$R$1861)</f>
        <v/>
      </c>
      <c r="T1859" s="8" t="n">
        <v>0.02225472216910429</v>
      </c>
      <c r="U1859" s="8" t="n">
        <v>0.01318002845069732</v>
      </c>
      <c r="V1859" s="6" t="inlineStr">
        <is>
          <t>not selected</t>
        </is>
      </c>
    </row>
    <row r="1860">
      <c r="A1860" s="6" t="inlineStr">
        <is>
          <t>DJ30</t>
        </is>
      </c>
      <c r="B1860" s="6" t="inlineStr">
        <is>
          <t>2024-02-23</t>
        </is>
      </c>
      <c r="C1860" s="6" t="inlineStr">
        <is>
          <t>DIA</t>
        </is>
      </c>
      <c r="D1860" s="6" t="inlineStr">
        <is>
          <t>WMT</t>
        </is>
      </c>
      <c r="E1860" s="6" t="inlineStr">
        <is>
          <t>WMT</t>
        </is>
      </c>
      <c r="F1860" s="6" t="inlineStr">
        <is>
          <t>-</t>
        </is>
      </c>
      <c r="G1860" s="7" t="n">
        <v>57.05241775512695</v>
      </c>
      <c r="H1860" s="6">
        <f>P1829</f>
        <v/>
      </c>
      <c r="I1860" s="9">
        <f>Q1829</f>
        <v/>
      </c>
      <c r="J1860" s="7">
        <f>I1860*G1860</f>
        <v/>
      </c>
      <c r="K1860" s="8">
        <f>IF($J$1861=0,0,J1860/$J$1861)</f>
        <v/>
      </c>
      <c r="L1860" s="6" t="inlineStr">
        <is>
          <t>WATCHLIST</t>
        </is>
      </c>
      <c r="M1860" s="8" t="n">
        <v>0</v>
      </c>
      <c r="N1860" s="7">
        <f>M1860*$J$1861-J1860</f>
        <v/>
      </c>
      <c r="O1860" s="9">
        <f>IF(G1860=0,0,N1860/G1860)</f>
        <v/>
      </c>
      <c r="P1860" s="6">
        <f>IF(M1860&gt;0,D1860,"")</f>
        <v/>
      </c>
      <c r="Q1860" s="9">
        <f>I1860+O1860</f>
        <v/>
      </c>
      <c r="R1860" s="7">
        <f>Q1860*G1860</f>
        <v/>
      </c>
      <c r="S1860" s="8">
        <f>IF($R$1861=0,0,R1860/$R$1861)</f>
        <v/>
      </c>
      <c r="T1860" s="8" t="n">
        <v>0.02225472216910429</v>
      </c>
      <c r="U1860" s="8" t="n">
        <v>0.01318002845069732</v>
      </c>
      <c r="V1860" s="6" t="inlineStr">
        <is>
          <t>not selected</t>
        </is>
      </c>
    </row>
    <row r="1861">
      <c r="A1861" s="10" t="inlineStr">
        <is>
          <t>DJ30</t>
        </is>
      </c>
      <c r="B1861" s="10" t="inlineStr">
        <is>
          <t>2024-02-23</t>
        </is>
      </c>
      <c r="C1861" s="10" t="inlineStr">
        <is>
          <t>DIA</t>
        </is>
      </c>
      <c r="D1861" s="10" t="inlineStr">
        <is>
          <t>Tot Portfolio</t>
        </is>
      </c>
      <c r="E1861" s="10" t="inlineStr"/>
      <c r="F1861" s="10" t="inlineStr"/>
      <c r="G1861" s="11" t="inlineStr"/>
      <c r="H1861" s="10" t="inlineStr"/>
      <c r="I1861" s="12" t="inlineStr"/>
      <c r="J1861" s="11">
        <f>SUM(J1831:J1860)</f>
        <v/>
      </c>
      <c r="K1861" s="13">
        <f>SUM(K1831:K1860)</f>
        <v/>
      </c>
      <c r="L1861" s="10" t="inlineStr">
        <is>
          <t>TOTAL</t>
        </is>
      </c>
      <c r="M1861" s="13">
        <f>SUM(M1831:M1860)</f>
        <v/>
      </c>
      <c r="N1861" s="11">
        <f>SUM(N1831:N1860)</f>
        <v/>
      </c>
      <c r="O1861" s="12">
        <f>SUM(O1831:O1860)</f>
        <v/>
      </c>
      <c r="P1861" s="10" t="inlineStr"/>
      <c r="Q1861" s="12" t="inlineStr"/>
      <c r="R1861" s="11">
        <f>SUM(R1831:R1860)</f>
        <v/>
      </c>
      <c r="S1861" s="13">
        <f>SUM(S1831:S1860)</f>
        <v/>
      </c>
      <c r="T1861" s="13" t="n">
        <v>0.02225472216910429</v>
      </c>
      <c r="U1861" s="13" t="n">
        <v>0.01318002845069732</v>
      </c>
      <c r="V1861" s="10" t="inlineStr"/>
    </row>
    <row r="1862">
      <c r="A1862" s="6" t="inlineStr">
        <is>
          <t>DJ30</t>
        </is>
      </c>
      <c r="B1862" s="6" t="inlineStr">
        <is>
          <t>2024-03-01</t>
        </is>
      </c>
      <c r="C1862" s="6" t="inlineStr">
        <is>
          <t>DIA</t>
        </is>
      </c>
      <c r="D1862" s="6" t="inlineStr">
        <is>
          <t>AAPL</t>
        </is>
      </c>
      <c r="E1862" s="6" t="inlineStr">
        <is>
          <t>AAPL</t>
        </is>
      </c>
      <c r="F1862" s="6" t="inlineStr">
        <is>
          <t>-</t>
        </is>
      </c>
      <c r="G1862" s="7" t="n">
        <v>177.8758239746094</v>
      </c>
      <c r="H1862" s="6">
        <f>P1831</f>
        <v/>
      </c>
      <c r="I1862" s="9">
        <f>Q1831</f>
        <v/>
      </c>
      <c r="J1862" s="7">
        <f>I1862*G1862</f>
        <v/>
      </c>
      <c r="K1862" s="8">
        <f>IF($J$1892=0,0,J1862/$J$1892)</f>
        <v/>
      </c>
      <c r="L1862" s="6" t="inlineStr">
        <is>
          <t>WATCHLIST</t>
        </is>
      </c>
      <c r="M1862" s="8" t="n">
        <v>0</v>
      </c>
      <c r="N1862" s="7">
        <f>M1862*$J$1892-J1862</f>
        <v/>
      </c>
      <c r="O1862" s="9">
        <f>IF(G1862=0,0,N1862/G1862)</f>
        <v/>
      </c>
      <c r="P1862" s="6">
        <f>IF(M1862&gt;0,D1862,"")</f>
        <v/>
      </c>
      <c r="Q1862" s="9">
        <f>I1862+O1862</f>
        <v/>
      </c>
      <c r="R1862" s="7">
        <f>Q1862*G1862</f>
        <v/>
      </c>
      <c r="S1862" s="8">
        <f>IF($R$1892=0,0,R1862/$R$1892)</f>
        <v/>
      </c>
      <c r="T1862" s="8" t="n">
        <v>0.02969939999532456</v>
      </c>
      <c r="U1862" s="8" t="n">
        <v>7.653484558645118e-05</v>
      </c>
      <c r="V1862" s="6" t="inlineStr">
        <is>
          <t>not selected</t>
        </is>
      </c>
    </row>
    <row r="1863">
      <c r="A1863" s="6" t="inlineStr">
        <is>
          <t>DJ30</t>
        </is>
      </c>
      <c r="B1863" s="6" t="inlineStr">
        <is>
          <t>2024-03-01</t>
        </is>
      </c>
      <c r="C1863" s="6" t="inlineStr">
        <is>
          <t>DIA</t>
        </is>
      </c>
      <c r="D1863" s="6" t="inlineStr">
        <is>
          <t>AMGN</t>
        </is>
      </c>
      <c r="E1863" s="6" t="inlineStr">
        <is>
          <t>AMGN</t>
        </is>
      </c>
      <c r="F1863" s="6" t="inlineStr">
        <is>
          <t>-</t>
        </is>
      </c>
      <c r="G1863" s="7" t="n">
        <v>261.78564453125</v>
      </c>
      <c r="H1863" s="6">
        <f>P1832</f>
        <v/>
      </c>
      <c r="I1863" s="9">
        <f>Q1832</f>
        <v/>
      </c>
      <c r="J1863" s="7">
        <f>I1863*G1863</f>
        <v/>
      </c>
      <c r="K1863" s="8">
        <f>IF($J$1892=0,0,J1863/$J$1892)</f>
        <v/>
      </c>
      <c r="L1863" s="6" t="inlineStr">
        <is>
          <t>SELECTED</t>
        </is>
      </c>
      <c r="M1863" s="8" t="n">
        <v>0.2</v>
      </c>
      <c r="N1863" s="7">
        <f>M1863*$J$1892-J1863</f>
        <v/>
      </c>
      <c r="O1863" s="9">
        <f>IF(G1863=0,0,N1863/G1863)</f>
        <v/>
      </c>
      <c r="P1863" s="6">
        <f>IF(M1863&gt;0,D1863,"")</f>
        <v/>
      </c>
      <c r="Q1863" s="9">
        <f>I1863+O1863</f>
        <v/>
      </c>
      <c r="R1863" s="7">
        <f>Q1863*G1863</f>
        <v/>
      </c>
      <c r="S1863" s="8">
        <f>IF($R$1892=0,0,R1863/$R$1892)</f>
        <v/>
      </c>
      <c r="T1863" s="8" t="n">
        <v>0.02969939999532456</v>
      </c>
      <c r="U1863" s="8" t="n">
        <v>7.653484558645118e-05</v>
      </c>
      <c r="V1863" s="6" t="inlineStr">
        <is>
          <t>remained in weekly selection</t>
        </is>
      </c>
    </row>
    <row r="1864">
      <c r="A1864" s="6" t="inlineStr">
        <is>
          <t>DJ30</t>
        </is>
      </c>
      <c r="B1864" s="6" t="inlineStr">
        <is>
          <t>2024-03-01</t>
        </is>
      </c>
      <c r="C1864" s="6" t="inlineStr">
        <is>
          <t>DIA</t>
        </is>
      </c>
      <c r="D1864" s="6" t="inlineStr">
        <is>
          <t>AMZN</t>
        </is>
      </c>
      <c r="E1864" s="6" t="inlineStr">
        <is>
          <t>AMZN</t>
        </is>
      </c>
      <c r="F1864" s="6" t="inlineStr">
        <is>
          <t>-</t>
        </is>
      </c>
      <c r="G1864" s="7" t="n">
        <v>178.2200012207031</v>
      </c>
      <c r="H1864" s="6">
        <f>P1833</f>
        <v/>
      </c>
      <c r="I1864" s="9">
        <f>Q1833</f>
        <v/>
      </c>
      <c r="J1864" s="7">
        <f>I1864*G1864</f>
        <v/>
      </c>
      <c r="K1864" s="8">
        <f>IF($J$1892=0,0,J1864/$J$1892)</f>
        <v/>
      </c>
      <c r="L1864" s="6" t="inlineStr">
        <is>
          <t>WATCHLIST</t>
        </is>
      </c>
      <c r="M1864" s="8" t="n">
        <v>0</v>
      </c>
      <c r="N1864" s="7">
        <f>M1864*$J$1892-J1864</f>
        <v/>
      </c>
      <c r="O1864" s="9">
        <f>IF(G1864=0,0,N1864/G1864)</f>
        <v/>
      </c>
      <c r="P1864" s="6">
        <f>IF(M1864&gt;0,D1864,"")</f>
        <v/>
      </c>
      <c r="Q1864" s="9">
        <f>I1864+O1864</f>
        <v/>
      </c>
      <c r="R1864" s="7">
        <f>Q1864*G1864</f>
        <v/>
      </c>
      <c r="S1864" s="8">
        <f>IF($R$1892=0,0,R1864/$R$1892)</f>
        <v/>
      </c>
      <c r="T1864" s="8" t="n">
        <v>0.02969939999532456</v>
      </c>
      <c r="U1864" s="8" t="n">
        <v>7.653484558645118e-05</v>
      </c>
      <c r="V1864" s="6" t="inlineStr">
        <is>
          <t>not selected</t>
        </is>
      </c>
    </row>
    <row r="1865">
      <c r="A1865" s="6" t="inlineStr">
        <is>
          <t>DJ30</t>
        </is>
      </c>
      <c r="B1865" s="6" t="inlineStr">
        <is>
          <t>2024-03-01</t>
        </is>
      </c>
      <c r="C1865" s="6" t="inlineStr">
        <is>
          <t>DIA</t>
        </is>
      </c>
      <c r="D1865" s="6" t="inlineStr">
        <is>
          <t>AXP</t>
        </is>
      </c>
      <c r="E1865" s="6" t="inlineStr">
        <is>
          <t>AXP</t>
        </is>
      </c>
      <c r="F1865" s="6" t="inlineStr">
        <is>
          <t>-</t>
        </is>
      </c>
      <c r="G1865" s="7" t="n">
        <v>214.2864074707031</v>
      </c>
      <c r="H1865" s="6">
        <f>P1834</f>
        <v/>
      </c>
      <c r="I1865" s="9">
        <f>Q1834</f>
        <v/>
      </c>
      <c r="J1865" s="7">
        <f>I1865*G1865</f>
        <v/>
      </c>
      <c r="K1865" s="8">
        <f>IF($J$1892=0,0,J1865/$J$1892)</f>
        <v/>
      </c>
      <c r="L1865" s="6" t="inlineStr">
        <is>
          <t>WATCHLIST</t>
        </is>
      </c>
      <c r="M1865" s="8" t="n">
        <v>0</v>
      </c>
      <c r="N1865" s="7">
        <f>M1865*$J$1892-J1865</f>
        <v/>
      </c>
      <c r="O1865" s="9">
        <f>IF(G1865=0,0,N1865/G1865)</f>
        <v/>
      </c>
      <c r="P1865" s="6">
        <f>IF(M1865&gt;0,D1865,"")</f>
        <v/>
      </c>
      <c r="Q1865" s="9">
        <f>I1865+O1865</f>
        <v/>
      </c>
      <c r="R1865" s="7">
        <f>Q1865*G1865</f>
        <v/>
      </c>
      <c r="S1865" s="8">
        <f>IF($R$1892=0,0,R1865/$R$1892)</f>
        <v/>
      </c>
      <c r="T1865" s="8" t="n">
        <v>0.02969939999532456</v>
      </c>
      <c r="U1865" s="8" t="n">
        <v>7.653484558645118e-05</v>
      </c>
      <c r="V1865" s="6" t="inlineStr">
        <is>
          <t>not selected</t>
        </is>
      </c>
    </row>
    <row r="1866">
      <c r="A1866" s="6" t="inlineStr">
        <is>
          <t>DJ30</t>
        </is>
      </c>
      <c r="B1866" s="6" t="inlineStr">
        <is>
          <t>2024-03-01</t>
        </is>
      </c>
      <c r="C1866" s="6" t="inlineStr">
        <is>
          <t>DIA</t>
        </is>
      </c>
      <c r="D1866" s="6" t="inlineStr">
        <is>
          <t>BA</t>
        </is>
      </c>
      <c r="E1866" s="6" t="inlineStr">
        <is>
          <t>BA</t>
        </is>
      </c>
      <c r="F1866" s="6" t="inlineStr">
        <is>
          <t>-</t>
        </is>
      </c>
      <c r="G1866" s="7" t="n">
        <v>200</v>
      </c>
      <c r="H1866" s="6">
        <f>P1835</f>
        <v/>
      </c>
      <c r="I1866" s="9">
        <f>Q1835</f>
        <v/>
      </c>
      <c r="J1866" s="7">
        <f>I1866*G1866</f>
        <v/>
      </c>
      <c r="K1866" s="8">
        <f>IF($J$1892=0,0,J1866/$J$1892)</f>
        <v/>
      </c>
      <c r="L1866" s="6" t="inlineStr">
        <is>
          <t>REJECTED</t>
        </is>
      </c>
      <c r="M1866" s="8" t="n">
        <v>0</v>
      </c>
      <c r="N1866" s="7">
        <f>M1866*$J$1892-J1866</f>
        <v/>
      </c>
      <c r="O1866" s="9">
        <f>IF(G1866=0,0,N1866/G1866)</f>
        <v/>
      </c>
      <c r="P1866" s="6">
        <f>IF(M1866&gt;0,D1866,"")</f>
        <v/>
      </c>
      <c r="Q1866" s="9">
        <f>I1866+O1866</f>
        <v/>
      </c>
      <c r="R1866" s="7">
        <f>Q1866*G1866</f>
        <v/>
      </c>
      <c r="S1866" s="8">
        <f>IF($R$1892=0,0,R1866/$R$1892)</f>
        <v/>
      </c>
      <c r="T1866" s="8" t="n">
        <v>0.02969939999532456</v>
      </c>
      <c r="U1866" s="8" t="n">
        <v>7.653484558645118e-05</v>
      </c>
      <c r="V1866" s="6" t="inlineStr">
        <is>
          <t>not selected</t>
        </is>
      </c>
    </row>
    <row r="1867">
      <c r="A1867" s="6" t="inlineStr">
        <is>
          <t>DJ30</t>
        </is>
      </c>
      <c r="B1867" s="6" t="inlineStr">
        <is>
          <t>2024-03-01</t>
        </is>
      </c>
      <c r="C1867" s="6" t="inlineStr">
        <is>
          <t>DIA</t>
        </is>
      </c>
      <c r="D1867" s="6" t="inlineStr">
        <is>
          <t>CAT</t>
        </is>
      </c>
      <c r="E1867" s="6" t="inlineStr">
        <is>
          <t>CAT</t>
        </is>
      </c>
      <c r="F1867" s="6" t="inlineStr">
        <is>
          <t>-</t>
        </is>
      </c>
      <c r="G1867" s="7" t="n">
        <v>326.5802917480469</v>
      </c>
      <c r="H1867" s="6">
        <f>P1836</f>
        <v/>
      </c>
      <c r="I1867" s="9">
        <f>Q1836</f>
        <v/>
      </c>
      <c r="J1867" s="7">
        <f>I1867*G1867</f>
        <v/>
      </c>
      <c r="K1867" s="8">
        <f>IF($J$1892=0,0,J1867/$J$1892)</f>
        <v/>
      </c>
      <c r="L1867" s="6" t="inlineStr">
        <is>
          <t>SELECTED</t>
        </is>
      </c>
      <c r="M1867" s="8" t="n">
        <v>0.2</v>
      </c>
      <c r="N1867" s="7">
        <f>M1867*$J$1892-J1867</f>
        <v/>
      </c>
      <c r="O1867" s="9">
        <f>IF(G1867=0,0,N1867/G1867)</f>
        <v/>
      </c>
      <c r="P1867" s="6">
        <f>IF(M1867&gt;0,D1867,"")</f>
        <v/>
      </c>
      <c r="Q1867" s="9">
        <f>I1867+O1867</f>
        <v/>
      </c>
      <c r="R1867" s="7">
        <f>Q1867*G1867</f>
        <v/>
      </c>
      <c r="S1867" s="8">
        <f>IF($R$1892=0,0,R1867/$R$1892)</f>
        <v/>
      </c>
      <c r="T1867" s="8" t="n">
        <v>0.02969939999532456</v>
      </c>
      <c r="U1867" s="8" t="n">
        <v>7.653484558645118e-05</v>
      </c>
      <c r="V1867" s="6" t="inlineStr">
        <is>
          <t>remained in weekly selection</t>
        </is>
      </c>
    </row>
    <row r="1868">
      <c r="A1868" s="6" t="inlineStr">
        <is>
          <t>DJ30</t>
        </is>
      </c>
      <c r="B1868" s="6" t="inlineStr">
        <is>
          <t>2024-03-01</t>
        </is>
      </c>
      <c r="C1868" s="6" t="inlineStr">
        <is>
          <t>DIA</t>
        </is>
      </c>
      <c r="D1868" s="6" t="inlineStr">
        <is>
          <t>CRM</t>
        </is>
      </c>
      <c r="E1868" s="6" t="inlineStr">
        <is>
          <t>CRM</t>
        </is>
      </c>
      <c r="F1868" s="6" t="inlineStr">
        <is>
          <t>-</t>
        </is>
      </c>
      <c r="G1868" s="7" t="n">
        <v>311.4910583496094</v>
      </c>
      <c r="H1868" s="6">
        <f>P1837</f>
        <v/>
      </c>
      <c r="I1868" s="9">
        <f>Q1837</f>
        <v/>
      </c>
      <c r="J1868" s="7">
        <f>I1868*G1868</f>
        <v/>
      </c>
      <c r="K1868" s="8">
        <f>IF($J$1892=0,0,J1868/$J$1892)</f>
        <v/>
      </c>
      <c r="L1868" s="6" t="inlineStr">
        <is>
          <t>SELECTED</t>
        </is>
      </c>
      <c r="M1868" s="8" t="n">
        <v>0.2</v>
      </c>
      <c r="N1868" s="7">
        <f>M1868*$J$1892-J1868</f>
        <v/>
      </c>
      <c r="O1868" s="9">
        <f>IF(G1868=0,0,N1868/G1868)</f>
        <v/>
      </c>
      <c r="P1868" s="6">
        <f>IF(M1868&gt;0,D1868,"")</f>
        <v/>
      </c>
      <c r="Q1868" s="9">
        <f>I1868+O1868</f>
        <v/>
      </c>
      <c r="R1868" s="7">
        <f>Q1868*G1868</f>
        <v/>
      </c>
      <c r="S1868" s="8">
        <f>IF($R$1892=0,0,R1868/$R$1892)</f>
        <v/>
      </c>
      <c r="T1868" s="8" t="n">
        <v>0.02969939999532456</v>
      </c>
      <c r="U1868" s="8" t="n">
        <v>7.653484558645118e-05</v>
      </c>
      <c r="V1868" s="6" t="inlineStr">
        <is>
          <t>remained in weekly selection</t>
        </is>
      </c>
    </row>
    <row r="1869">
      <c r="A1869" s="6" t="inlineStr">
        <is>
          <t>DJ30</t>
        </is>
      </c>
      <c r="B1869" s="6" t="inlineStr">
        <is>
          <t>2024-03-01</t>
        </is>
      </c>
      <c r="C1869" s="6" t="inlineStr">
        <is>
          <t>DIA</t>
        </is>
      </c>
      <c r="D1869" s="6" t="inlineStr">
        <is>
          <t>CSCO</t>
        </is>
      </c>
      <c r="E1869" s="6" t="inlineStr">
        <is>
          <t>CSCO</t>
        </is>
      </c>
      <c r="F1869" s="6" t="inlineStr">
        <is>
          <t>-</t>
        </is>
      </c>
      <c r="G1869" s="7" t="n">
        <v>45.55941390991211</v>
      </c>
      <c r="H1869" s="6">
        <f>P1838</f>
        <v/>
      </c>
      <c r="I1869" s="9">
        <f>Q1838</f>
        <v/>
      </c>
      <c r="J1869" s="7">
        <f>I1869*G1869</f>
        <v/>
      </c>
      <c r="K1869" s="8">
        <f>IF($J$1892=0,0,J1869/$J$1892)</f>
        <v/>
      </c>
      <c r="L1869" s="6" t="inlineStr">
        <is>
          <t>REJECTED</t>
        </is>
      </c>
      <c r="M1869" s="8" t="n">
        <v>0</v>
      </c>
      <c r="N1869" s="7">
        <f>M1869*$J$1892-J1869</f>
        <v/>
      </c>
      <c r="O1869" s="9">
        <f>IF(G1869=0,0,N1869/G1869)</f>
        <v/>
      </c>
      <c r="P1869" s="6">
        <f>IF(M1869&gt;0,D1869,"")</f>
        <v/>
      </c>
      <c r="Q1869" s="9">
        <f>I1869+O1869</f>
        <v/>
      </c>
      <c r="R1869" s="7">
        <f>Q1869*G1869</f>
        <v/>
      </c>
      <c r="S1869" s="8">
        <f>IF($R$1892=0,0,R1869/$R$1892)</f>
        <v/>
      </c>
      <c r="T1869" s="8" t="n">
        <v>0.02969939999532456</v>
      </c>
      <c r="U1869" s="8" t="n">
        <v>7.653484558645118e-05</v>
      </c>
      <c r="V1869" s="6" t="inlineStr">
        <is>
          <t>not selected</t>
        </is>
      </c>
    </row>
    <row r="1870">
      <c r="A1870" s="6" t="inlineStr">
        <is>
          <t>DJ30</t>
        </is>
      </c>
      <c r="B1870" s="6" t="inlineStr">
        <is>
          <t>2024-03-01</t>
        </is>
      </c>
      <c r="C1870" s="6" t="inlineStr">
        <is>
          <t>DIA</t>
        </is>
      </c>
      <c r="D1870" s="6" t="inlineStr">
        <is>
          <t>CVX</t>
        </is>
      </c>
      <c r="E1870" s="6" t="inlineStr">
        <is>
          <t>CVX</t>
        </is>
      </c>
      <c r="F1870" s="6" t="inlineStr">
        <is>
          <t>-</t>
        </is>
      </c>
      <c r="G1870" s="7" t="n">
        <v>138.8927612304688</v>
      </c>
      <c r="H1870" s="6">
        <f>P1839</f>
        <v/>
      </c>
      <c r="I1870" s="9">
        <f>Q1839</f>
        <v/>
      </c>
      <c r="J1870" s="7">
        <f>I1870*G1870</f>
        <v/>
      </c>
      <c r="K1870" s="8">
        <f>IF($J$1892=0,0,J1870/$J$1892)</f>
        <v/>
      </c>
      <c r="L1870" s="6" t="inlineStr">
        <is>
          <t>REJECTED</t>
        </is>
      </c>
      <c r="M1870" s="8" t="n">
        <v>0</v>
      </c>
      <c r="N1870" s="7">
        <f>M1870*$J$1892-J1870</f>
        <v/>
      </c>
      <c r="O1870" s="9">
        <f>IF(G1870=0,0,N1870/G1870)</f>
        <v/>
      </c>
      <c r="P1870" s="6">
        <f>IF(M1870&gt;0,D1870,"")</f>
        <v/>
      </c>
      <c r="Q1870" s="9">
        <f>I1870+O1870</f>
        <v/>
      </c>
      <c r="R1870" s="7">
        <f>Q1870*G1870</f>
        <v/>
      </c>
      <c r="S1870" s="8">
        <f>IF($R$1892=0,0,R1870/$R$1892)</f>
        <v/>
      </c>
      <c r="T1870" s="8" t="n">
        <v>0.02969939999532456</v>
      </c>
      <c r="U1870" s="8" t="n">
        <v>7.653484558645118e-05</v>
      </c>
      <c r="V1870" s="6" t="inlineStr">
        <is>
          <t>not selected</t>
        </is>
      </c>
    </row>
    <row r="1871">
      <c r="A1871" s="6" t="inlineStr">
        <is>
          <t>DJ30</t>
        </is>
      </c>
      <c r="B1871" s="6" t="inlineStr">
        <is>
          <t>2024-03-01</t>
        </is>
      </c>
      <c r="C1871" s="6" t="inlineStr">
        <is>
          <t>DIA</t>
        </is>
      </c>
      <c r="D1871" s="6" t="inlineStr">
        <is>
          <t>DIS</t>
        </is>
      </c>
      <c r="E1871" s="6" t="inlineStr">
        <is>
          <t>DIS</t>
        </is>
      </c>
      <c r="F1871" s="6" t="inlineStr">
        <is>
          <t>-</t>
        </is>
      </c>
      <c r="G1871" s="7" t="n">
        <v>109.7307586669922</v>
      </c>
      <c r="H1871" s="6">
        <f>P1840</f>
        <v/>
      </c>
      <c r="I1871" s="9">
        <f>Q1840</f>
        <v/>
      </c>
      <c r="J1871" s="7">
        <f>I1871*G1871</f>
        <v/>
      </c>
      <c r="K1871" s="8">
        <f>IF($J$1892=0,0,J1871/$J$1892)</f>
        <v/>
      </c>
      <c r="L1871" s="6" t="inlineStr">
        <is>
          <t>REJECTED</t>
        </is>
      </c>
      <c r="M1871" s="8" t="n">
        <v>0</v>
      </c>
      <c r="N1871" s="7">
        <f>M1871*$J$1892-J1871</f>
        <v/>
      </c>
      <c r="O1871" s="9">
        <f>IF(G1871=0,0,N1871/G1871)</f>
        <v/>
      </c>
      <c r="P1871" s="6">
        <f>IF(M1871&gt;0,D1871,"")</f>
        <v/>
      </c>
      <c r="Q1871" s="9">
        <f>I1871+O1871</f>
        <v/>
      </c>
      <c r="R1871" s="7">
        <f>Q1871*G1871</f>
        <v/>
      </c>
      <c r="S1871" s="8">
        <f>IF($R$1892=0,0,R1871/$R$1892)</f>
        <v/>
      </c>
      <c r="T1871" s="8" t="n">
        <v>0.02969939999532456</v>
      </c>
      <c r="U1871" s="8" t="n">
        <v>7.653484558645118e-05</v>
      </c>
      <c r="V1871" s="6" t="inlineStr">
        <is>
          <t>not selected</t>
        </is>
      </c>
    </row>
    <row r="1872">
      <c r="A1872" s="6" t="inlineStr">
        <is>
          <t>DJ30</t>
        </is>
      </c>
      <c r="B1872" s="6" t="inlineStr">
        <is>
          <t>2024-03-01</t>
        </is>
      </c>
      <c r="C1872" s="6" t="inlineStr">
        <is>
          <t>DIA</t>
        </is>
      </c>
      <c r="D1872" s="6" t="inlineStr">
        <is>
          <t>GS</t>
        </is>
      </c>
      <c r="E1872" s="6" t="inlineStr">
        <is>
          <t>GS</t>
        </is>
      </c>
      <c r="F1872" s="6" t="inlineStr">
        <is>
          <t>-</t>
        </is>
      </c>
      <c r="G1872" s="7" t="n">
        <v>370.3839111328125</v>
      </c>
      <c r="H1872" s="6">
        <f>P1841</f>
        <v/>
      </c>
      <c r="I1872" s="9">
        <f>Q1841</f>
        <v/>
      </c>
      <c r="J1872" s="7">
        <f>I1872*G1872</f>
        <v/>
      </c>
      <c r="K1872" s="8">
        <f>IF($J$1892=0,0,J1872/$J$1892)</f>
        <v/>
      </c>
      <c r="L1872" s="6" t="inlineStr">
        <is>
          <t>WATCHLIST</t>
        </is>
      </c>
      <c r="M1872" s="8" t="n">
        <v>0</v>
      </c>
      <c r="N1872" s="7">
        <f>M1872*$J$1892-J1872</f>
        <v/>
      </c>
      <c r="O1872" s="9">
        <f>IF(G1872=0,0,N1872/G1872)</f>
        <v/>
      </c>
      <c r="P1872" s="6">
        <f>IF(M1872&gt;0,D1872,"")</f>
        <v/>
      </c>
      <c r="Q1872" s="9">
        <f>I1872+O1872</f>
        <v/>
      </c>
      <c r="R1872" s="7">
        <f>Q1872*G1872</f>
        <v/>
      </c>
      <c r="S1872" s="8">
        <f>IF($R$1892=0,0,R1872/$R$1892)</f>
        <v/>
      </c>
      <c r="T1872" s="8" t="n">
        <v>0.02969939999532456</v>
      </c>
      <c r="U1872" s="8" t="n">
        <v>7.653484558645118e-05</v>
      </c>
      <c r="V1872" s="6" t="inlineStr">
        <is>
          <t>not selected</t>
        </is>
      </c>
    </row>
    <row r="1873">
      <c r="A1873" s="6" t="inlineStr">
        <is>
          <t>DJ30</t>
        </is>
      </c>
      <c r="B1873" s="6" t="inlineStr">
        <is>
          <t>2024-03-01</t>
        </is>
      </c>
      <c r="C1873" s="6" t="inlineStr">
        <is>
          <t>DIA</t>
        </is>
      </c>
      <c r="D1873" s="6" t="inlineStr">
        <is>
          <t>HD</t>
        </is>
      </c>
      <c r="E1873" s="6" t="inlineStr">
        <is>
          <t>HD</t>
        </is>
      </c>
      <c r="F1873" s="6" t="inlineStr">
        <is>
          <t>-</t>
        </is>
      </c>
      <c r="G1873" s="7" t="n">
        <v>360.9912719726562</v>
      </c>
      <c r="H1873" s="6">
        <f>P1842</f>
        <v/>
      </c>
      <c r="I1873" s="9">
        <f>Q1842</f>
        <v/>
      </c>
      <c r="J1873" s="7">
        <f>I1873*G1873</f>
        <v/>
      </c>
      <c r="K1873" s="8">
        <f>IF($J$1892=0,0,J1873/$J$1892)</f>
        <v/>
      </c>
      <c r="L1873" s="6" t="inlineStr">
        <is>
          <t>WATCHLIST</t>
        </is>
      </c>
      <c r="M1873" s="8" t="n">
        <v>0</v>
      </c>
      <c r="N1873" s="7">
        <f>M1873*$J$1892-J1873</f>
        <v/>
      </c>
      <c r="O1873" s="9">
        <f>IF(G1873=0,0,N1873/G1873)</f>
        <v/>
      </c>
      <c r="P1873" s="6">
        <f>IF(M1873&gt;0,D1873,"")</f>
        <v/>
      </c>
      <c r="Q1873" s="9">
        <f>I1873+O1873</f>
        <v/>
      </c>
      <c r="R1873" s="7">
        <f>Q1873*G1873</f>
        <v/>
      </c>
      <c r="S1873" s="8">
        <f>IF($R$1892=0,0,R1873/$R$1892)</f>
        <v/>
      </c>
      <c r="T1873" s="8" t="n">
        <v>0.02969939999532456</v>
      </c>
      <c r="U1873" s="8" t="n">
        <v>7.653484558645118e-05</v>
      </c>
      <c r="V1873" s="6" t="inlineStr">
        <is>
          <t>not selected</t>
        </is>
      </c>
    </row>
    <row r="1874">
      <c r="A1874" s="6" t="inlineStr">
        <is>
          <t>DJ30</t>
        </is>
      </c>
      <c r="B1874" s="6" t="inlineStr">
        <is>
          <t>2024-03-01</t>
        </is>
      </c>
      <c r="C1874" s="6" t="inlineStr">
        <is>
          <t>DIA</t>
        </is>
      </c>
      <c r="D1874" s="6" t="inlineStr">
        <is>
          <t>HON</t>
        </is>
      </c>
      <c r="E1874" s="6" t="inlineStr">
        <is>
          <t>HON</t>
        </is>
      </c>
      <c r="F1874" s="6" t="inlineStr">
        <is>
          <t>-</t>
        </is>
      </c>
      <c r="G1874" s="7" t="n">
        <v>178.5295104980469</v>
      </c>
      <c r="H1874" s="6">
        <f>P1843</f>
        <v/>
      </c>
      <c r="I1874" s="9">
        <f>Q1843</f>
        <v/>
      </c>
      <c r="J1874" s="7">
        <f>I1874*G1874</f>
        <v/>
      </c>
      <c r="K1874" s="8">
        <f>IF($J$1892=0,0,J1874/$J$1892)</f>
        <v/>
      </c>
      <c r="L1874" s="6" t="inlineStr">
        <is>
          <t>REJECTED</t>
        </is>
      </c>
      <c r="M1874" s="8" t="n">
        <v>0</v>
      </c>
      <c r="N1874" s="7">
        <f>M1874*$J$1892-J1874</f>
        <v/>
      </c>
      <c r="O1874" s="9">
        <f>IF(G1874=0,0,N1874/G1874)</f>
        <v/>
      </c>
      <c r="P1874" s="6">
        <f>IF(M1874&gt;0,D1874,"")</f>
        <v/>
      </c>
      <c r="Q1874" s="9">
        <f>I1874+O1874</f>
        <v/>
      </c>
      <c r="R1874" s="7">
        <f>Q1874*G1874</f>
        <v/>
      </c>
      <c r="S1874" s="8">
        <f>IF($R$1892=0,0,R1874/$R$1892)</f>
        <v/>
      </c>
      <c r="T1874" s="8" t="n">
        <v>0.02969939999532456</v>
      </c>
      <c r="U1874" s="8" t="n">
        <v>7.653484558645118e-05</v>
      </c>
      <c r="V1874" s="6" t="inlineStr">
        <is>
          <t>not selected</t>
        </is>
      </c>
    </row>
    <row r="1875">
      <c r="A1875" s="6" t="inlineStr">
        <is>
          <t>DJ30</t>
        </is>
      </c>
      <c r="B1875" s="6" t="inlineStr">
        <is>
          <t>2024-03-01</t>
        </is>
      </c>
      <c r="C1875" s="6" t="inlineStr">
        <is>
          <t>DIA</t>
        </is>
      </c>
      <c r="D1875" s="6" t="inlineStr">
        <is>
          <t>IBM</t>
        </is>
      </c>
      <c r="E1875" s="6" t="inlineStr">
        <is>
          <t>IBM</t>
        </is>
      </c>
      <c r="F1875" s="6" t="inlineStr">
        <is>
          <t>-</t>
        </is>
      </c>
      <c r="G1875" s="7" t="n">
        <v>176.3624420166016</v>
      </c>
      <c r="H1875" s="6">
        <f>P1844</f>
        <v/>
      </c>
      <c r="I1875" s="9">
        <f>Q1844</f>
        <v/>
      </c>
      <c r="J1875" s="7">
        <f>I1875*G1875</f>
        <v/>
      </c>
      <c r="K1875" s="8">
        <f>IF($J$1892=0,0,J1875/$J$1892)</f>
        <v/>
      </c>
      <c r="L1875" s="6" t="inlineStr">
        <is>
          <t>SELECTED</t>
        </is>
      </c>
      <c r="M1875" s="8" t="n">
        <v>0.2</v>
      </c>
      <c r="N1875" s="7">
        <f>M1875*$J$1892-J1875</f>
        <v/>
      </c>
      <c r="O1875" s="9">
        <f>IF(G1875=0,0,N1875/G1875)</f>
        <v/>
      </c>
      <c r="P1875" s="6">
        <f>IF(M1875&gt;0,D1875,"")</f>
        <v/>
      </c>
      <c r="Q1875" s="9">
        <f>I1875+O1875</f>
        <v/>
      </c>
      <c r="R1875" s="7">
        <f>Q1875*G1875</f>
        <v/>
      </c>
      <c r="S1875" s="8">
        <f>IF($R$1892=0,0,R1875/$R$1892)</f>
        <v/>
      </c>
      <c r="T1875" s="8" t="n">
        <v>0.02969939999532456</v>
      </c>
      <c r="U1875" s="8" t="n">
        <v>7.653484558645118e-05</v>
      </c>
      <c r="V1875" s="6" t="inlineStr">
        <is>
          <t>remained in weekly selection</t>
        </is>
      </c>
    </row>
    <row r="1876">
      <c r="A1876" s="6" t="inlineStr">
        <is>
          <t>DJ30</t>
        </is>
      </c>
      <c r="B1876" s="6" t="inlineStr">
        <is>
          <t>2024-03-01</t>
        </is>
      </c>
      <c r="C1876" s="6" t="inlineStr">
        <is>
          <t>DIA</t>
        </is>
      </c>
      <c r="D1876" s="6" t="inlineStr">
        <is>
          <t>JNJ</t>
        </is>
      </c>
      <c r="E1876" s="6" t="inlineStr">
        <is>
          <t>JNJ</t>
        </is>
      </c>
      <c r="F1876" s="6" t="inlineStr">
        <is>
          <t>-</t>
        </is>
      </c>
      <c r="G1876" s="7" t="n">
        <v>151.9488983154297</v>
      </c>
      <c r="H1876" s="6">
        <f>P1845</f>
        <v/>
      </c>
      <c r="I1876" s="9">
        <f>Q1845</f>
        <v/>
      </c>
      <c r="J1876" s="7">
        <f>I1876*G1876</f>
        <v/>
      </c>
      <c r="K1876" s="8">
        <f>IF($J$1892=0,0,J1876/$J$1892)</f>
        <v/>
      </c>
      <c r="L1876" s="6" t="inlineStr">
        <is>
          <t>REJECTED</t>
        </is>
      </c>
      <c r="M1876" s="8" t="n">
        <v>0</v>
      </c>
      <c r="N1876" s="7">
        <f>M1876*$J$1892-J1876</f>
        <v/>
      </c>
      <c r="O1876" s="9">
        <f>IF(G1876=0,0,N1876/G1876)</f>
        <v/>
      </c>
      <c r="P1876" s="6">
        <f>IF(M1876&gt;0,D1876,"")</f>
        <v/>
      </c>
      <c r="Q1876" s="9">
        <f>I1876+O1876</f>
        <v/>
      </c>
      <c r="R1876" s="7">
        <f>Q1876*G1876</f>
        <v/>
      </c>
      <c r="S1876" s="8">
        <f>IF($R$1892=0,0,R1876/$R$1892)</f>
        <v/>
      </c>
      <c r="T1876" s="8" t="n">
        <v>0.02969939999532456</v>
      </c>
      <c r="U1876" s="8" t="n">
        <v>7.653484558645118e-05</v>
      </c>
      <c r="V1876" s="6" t="inlineStr">
        <is>
          <t>not selected</t>
        </is>
      </c>
    </row>
    <row r="1877">
      <c r="A1877" s="6" t="inlineStr">
        <is>
          <t>DJ30</t>
        </is>
      </c>
      <c r="B1877" s="6" t="inlineStr">
        <is>
          <t>2024-03-01</t>
        </is>
      </c>
      <c r="C1877" s="6" t="inlineStr">
        <is>
          <t>DIA</t>
        </is>
      </c>
      <c r="D1877" s="6" t="inlineStr">
        <is>
          <t>JPM</t>
        </is>
      </c>
      <c r="E1877" s="6" t="inlineStr">
        <is>
          <t>JPM</t>
        </is>
      </c>
      <c r="F1877" s="6" t="inlineStr">
        <is>
          <t>-</t>
        </is>
      </c>
      <c r="G1877" s="7" t="n">
        <v>176.6053161621094</v>
      </c>
      <c r="H1877" s="6">
        <f>P1846</f>
        <v/>
      </c>
      <c r="I1877" s="9">
        <f>Q1846</f>
        <v/>
      </c>
      <c r="J1877" s="7">
        <f>I1877*G1877</f>
        <v/>
      </c>
      <c r="K1877" s="8">
        <f>IF($J$1892=0,0,J1877/$J$1892)</f>
        <v/>
      </c>
      <c r="L1877" s="6" t="inlineStr">
        <is>
          <t>WATCHLIST</t>
        </is>
      </c>
      <c r="M1877" s="8" t="n">
        <v>0</v>
      </c>
      <c r="N1877" s="7">
        <f>M1877*$J$1892-J1877</f>
        <v/>
      </c>
      <c r="O1877" s="9">
        <f>IF(G1877=0,0,N1877/G1877)</f>
        <v/>
      </c>
      <c r="P1877" s="6">
        <f>IF(M1877&gt;0,D1877,"")</f>
        <v/>
      </c>
      <c r="Q1877" s="9">
        <f>I1877+O1877</f>
        <v/>
      </c>
      <c r="R1877" s="7">
        <f>Q1877*G1877</f>
        <v/>
      </c>
      <c r="S1877" s="8">
        <f>IF($R$1892=0,0,R1877/$R$1892)</f>
        <v/>
      </c>
      <c r="T1877" s="8" t="n">
        <v>0.02969939999532456</v>
      </c>
      <c r="U1877" s="8" t="n">
        <v>7.653484558645118e-05</v>
      </c>
      <c r="V1877" s="6" t="inlineStr">
        <is>
          <t>not selected</t>
        </is>
      </c>
    </row>
    <row r="1878">
      <c r="A1878" s="6" t="inlineStr">
        <is>
          <t>DJ30</t>
        </is>
      </c>
      <c r="B1878" s="6" t="inlineStr">
        <is>
          <t>2024-03-01</t>
        </is>
      </c>
      <c r="C1878" s="6" t="inlineStr">
        <is>
          <t>DIA</t>
        </is>
      </c>
      <c r="D1878" s="6" t="inlineStr">
        <is>
          <t>KO</t>
        </is>
      </c>
      <c r="E1878" s="6" t="inlineStr">
        <is>
          <t>KO</t>
        </is>
      </c>
      <c r="F1878" s="6" t="inlineStr">
        <is>
          <t>-</t>
        </is>
      </c>
      <c r="G1878" s="7" t="n">
        <v>55.36963653564453</v>
      </c>
      <c r="H1878" s="6">
        <f>P1847</f>
        <v/>
      </c>
      <c r="I1878" s="9">
        <f>Q1847</f>
        <v/>
      </c>
      <c r="J1878" s="7">
        <f>I1878*G1878</f>
        <v/>
      </c>
      <c r="K1878" s="8">
        <f>IF($J$1892=0,0,J1878/$J$1892)</f>
        <v/>
      </c>
      <c r="L1878" s="6" t="inlineStr">
        <is>
          <t>REJECTED</t>
        </is>
      </c>
      <c r="M1878" s="8" t="n">
        <v>0</v>
      </c>
      <c r="N1878" s="7">
        <f>M1878*$J$1892-J1878</f>
        <v/>
      </c>
      <c r="O1878" s="9">
        <f>IF(G1878=0,0,N1878/G1878)</f>
        <v/>
      </c>
      <c r="P1878" s="6">
        <f>IF(M1878&gt;0,D1878,"")</f>
        <v/>
      </c>
      <c r="Q1878" s="9">
        <f>I1878+O1878</f>
        <v/>
      </c>
      <c r="R1878" s="7">
        <f>Q1878*G1878</f>
        <v/>
      </c>
      <c r="S1878" s="8">
        <f>IF($R$1892=0,0,R1878/$R$1892)</f>
        <v/>
      </c>
      <c r="T1878" s="8" t="n">
        <v>0.02969939999532456</v>
      </c>
      <c r="U1878" s="8" t="n">
        <v>7.653484558645118e-05</v>
      </c>
      <c r="V1878" s="6" t="inlineStr">
        <is>
          <t>not selected</t>
        </is>
      </c>
    </row>
    <row r="1879">
      <c r="A1879" s="6" t="inlineStr">
        <is>
          <t>DJ30</t>
        </is>
      </c>
      <c r="B1879" s="6" t="inlineStr">
        <is>
          <t>2024-03-01</t>
        </is>
      </c>
      <c r="C1879" s="6" t="inlineStr">
        <is>
          <t>DIA</t>
        </is>
      </c>
      <c r="D1879" s="6" t="inlineStr">
        <is>
          <t>MCD</t>
        </is>
      </c>
      <c r="E1879" s="6" t="inlineStr">
        <is>
          <t>MCD</t>
        </is>
      </c>
      <c r="F1879" s="6" t="inlineStr">
        <is>
          <t>-</t>
        </is>
      </c>
      <c r="G1879" s="7" t="n">
        <v>275.5412292480469</v>
      </c>
      <c r="H1879" s="6">
        <f>P1848</f>
        <v/>
      </c>
      <c r="I1879" s="9">
        <f>Q1848</f>
        <v/>
      </c>
      <c r="J1879" s="7">
        <f>I1879*G1879</f>
        <v/>
      </c>
      <c r="K1879" s="8">
        <f>IF($J$1892=0,0,J1879/$J$1892)</f>
        <v/>
      </c>
      <c r="L1879" s="6" t="inlineStr">
        <is>
          <t>REJECTED</t>
        </is>
      </c>
      <c r="M1879" s="8" t="n">
        <v>0</v>
      </c>
      <c r="N1879" s="7">
        <f>M1879*$J$1892-J1879</f>
        <v/>
      </c>
      <c r="O1879" s="9">
        <f>IF(G1879=0,0,N1879/G1879)</f>
        <v/>
      </c>
      <c r="P1879" s="6">
        <f>IF(M1879&gt;0,D1879,"")</f>
        <v/>
      </c>
      <c r="Q1879" s="9">
        <f>I1879+O1879</f>
        <v/>
      </c>
      <c r="R1879" s="7">
        <f>Q1879*G1879</f>
        <v/>
      </c>
      <c r="S1879" s="8">
        <f>IF($R$1892=0,0,R1879/$R$1892)</f>
        <v/>
      </c>
      <c r="T1879" s="8" t="n">
        <v>0.02969939999532456</v>
      </c>
      <c r="U1879" s="8" t="n">
        <v>7.653484558645118e-05</v>
      </c>
      <c r="V1879" s="6" t="inlineStr">
        <is>
          <t>not selected</t>
        </is>
      </c>
    </row>
    <row r="1880">
      <c r="A1880" s="6" t="inlineStr">
        <is>
          <t>DJ30</t>
        </is>
      </c>
      <c r="B1880" s="6" t="inlineStr">
        <is>
          <t>2024-03-01</t>
        </is>
      </c>
      <c r="C1880" s="6" t="inlineStr">
        <is>
          <t>DIA</t>
        </is>
      </c>
      <c r="D1880" s="6" t="inlineStr">
        <is>
          <t>MMM</t>
        </is>
      </c>
      <c r="E1880" s="6" t="inlineStr">
        <is>
          <t>MMM</t>
        </is>
      </c>
      <c r="F1880" s="6" t="inlineStr">
        <is>
          <t>-</t>
        </is>
      </c>
      <c r="G1880" s="7" t="n">
        <v>73.3572998046875</v>
      </c>
      <c r="H1880" s="6">
        <f>P1849</f>
        <v/>
      </c>
      <c r="I1880" s="9">
        <f>Q1849</f>
        <v/>
      </c>
      <c r="J1880" s="7">
        <f>I1880*G1880</f>
        <v/>
      </c>
      <c r="K1880" s="8">
        <f>IF($J$1892=0,0,J1880/$J$1892)</f>
        <v/>
      </c>
      <c r="L1880" s="6" t="inlineStr">
        <is>
          <t>REJECTED</t>
        </is>
      </c>
      <c r="M1880" s="8" t="n">
        <v>0</v>
      </c>
      <c r="N1880" s="7">
        <f>M1880*$J$1892-J1880</f>
        <v/>
      </c>
      <c r="O1880" s="9">
        <f>IF(G1880=0,0,N1880/G1880)</f>
        <v/>
      </c>
      <c r="P1880" s="6">
        <f>IF(M1880&gt;0,D1880,"")</f>
        <v/>
      </c>
      <c r="Q1880" s="9">
        <f>I1880+O1880</f>
        <v/>
      </c>
      <c r="R1880" s="7">
        <f>Q1880*G1880</f>
        <v/>
      </c>
      <c r="S1880" s="8">
        <f>IF($R$1892=0,0,R1880/$R$1892)</f>
        <v/>
      </c>
      <c r="T1880" s="8" t="n">
        <v>0.02969939999532456</v>
      </c>
      <c r="U1880" s="8" t="n">
        <v>7.653484558645118e-05</v>
      </c>
      <c r="V1880" s="6" t="inlineStr">
        <is>
          <t>not selected</t>
        </is>
      </c>
    </row>
    <row r="1881">
      <c r="A1881" s="6" t="inlineStr">
        <is>
          <t>DJ30</t>
        </is>
      </c>
      <c r="B1881" s="6" t="inlineStr">
        <is>
          <t>2024-03-01</t>
        </is>
      </c>
      <c r="C1881" s="6" t="inlineStr">
        <is>
          <t>DIA</t>
        </is>
      </c>
      <c r="D1881" s="6" t="inlineStr">
        <is>
          <t>MRK</t>
        </is>
      </c>
      <c r="E1881" s="6" t="inlineStr">
        <is>
          <t>MRK</t>
        </is>
      </c>
      <c r="F1881" s="6" t="inlineStr">
        <is>
          <t>-</t>
        </is>
      </c>
      <c r="G1881" s="7" t="n">
        <v>117.389045715332</v>
      </c>
      <c r="H1881" s="6">
        <f>P1850</f>
        <v/>
      </c>
      <c r="I1881" s="9">
        <f>Q1850</f>
        <v/>
      </c>
      <c r="J1881" s="7">
        <f>I1881*G1881</f>
        <v/>
      </c>
      <c r="K1881" s="8">
        <f>IF($J$1892=0,0,J1881/$J$1892)</f>
        <v/>
      </c>
      <c r="L1881" s="6" t="inlineStr">
        <is>
          <t>REJECTED</t>
        </is>
      </c>
      <c r="M1881" s="8" t="n">
        <v>0</v>
      </c>
      <c r="N1881" s="7">
        <f>M1881*$J$1892-J1881</f>
        <v/>
      </c>
      <c r="O1881" s="9">
        <f>IF(G1881=0,0,N1881/G1881)</f>
        <v/>
      </c>
      <c r="P1881" s="6">
        <f>IF(M1881&gt;0,D1881,"")</f>
        <v/>
      </c>
      <c r="Q1881" s="9">
        <f>I1881+O1881</f>
        <v/>
      </c>
      <c r="R1881" s="7">
        <f>Q1881*G1881</f>
        <v/>
      </c>
      <c r="S1881" s="8">
        <f>IF($R$1892=0,0,R1881/$R$1892)</f>
        <v/>
      </c>
      <c r="T1881" s="8" t="n">
        <v>0.02969939999532456</v>
      </c>
      <c r="U1881" s="8" t="n">
        <v>7.653484558645118e-05</v>
      </c>
      <c r="V1881" s="6" t="inlineStr">
        <is>
          <t>not selected</t>
        </is>
      </c>
    </row>
    <row r="1882">
      <c r="A1882" s="6" t="inlineStr">
        <is>
          <t>DJ30</t>
        </is>
      </c>
      <c r="B1882" s="6" t="inlineStr">
        <is>
          <t>2024-03-01</t>
        </is>
      </c>
      <c r="C1882" s="6" t="inlineStr">
        <is>
          <t>DIA</t>
        </is>
      </c>
      <c r="D1882" s="6" t="inlineStr">
        <is>
          <t>MSFT</t>
        </is>
      </c>
      <c r="E1882" s="6" t="inlineStr">
        <is>
          <t>MSFT</t>
        </is>
      </c>
      <c r="F1882" s="6" t="inlineStr">
        <is>
          <t>-</t>
        </is>
      </c>
      <c r="G1882" s="7" t="n">
        <v>408.3345947265625</v>
      </c>
      <c r="H1882" s="6">
        <f>P1851</f>
        <v/>
      </c>
      <c r="I1882" s="9">
        <f>Q1851</f>
        <v/>
      </c>
      <c r="J1882" s="7">
        <f>I1882*G1882</f>
        <v/>
      </c>
      <c r="K1882" s="8">
        <f>IF($J$1892=0,0,J1882/$J$1892)</f>
        <v/>
      </c>
      <c r="L1882" s="6" t="inlineStr">
        <is>
          <t>WATCHLIST</t>
        </is>
      </c>
      <c r="M1882" s="8" t="n">
        <v>0</v>
      </c>
      <c r="N1882" s="7">
        <f>M1882*$J$1892-J1882</f>
        <v/>
      </c>
      <c r="O1882" s="9">
        <f>IF(G1882=0,0,N1882/G1882)</f>
        <v/>
      </c>
      <c r="P1882" s="6">
        <f>IF(M1882&gt;0,D1882,"")</f>
        <v/>
      </c>
      <c r="Q1882" s="9">
        <f>I1882+O1882</f>
        <v/>
      </c>
      <c r="R1882" s="7">
        <f>Q1882*G1882</f>
        <v/>
      </c>
      <c r="S1882" s="8">
        <f>IF($R$1892=0,0,R1882/$R$1892)</f>
        <v/>
      </c>
      <c r="T1882" s="8" t="n">
        <v>0.02969939999532456</v>
      </c>
      <c r="U1882" s="8" t="n">
        <v>7.653484558645118e-05</v>
      </c>
      <c r="V1882" s="6" t="inlineStr">
        <is>
          <t>not selected</t>
        </is>
      </c>
    </row>
    <row r="1883">
      <c r="A1883" s="6" t="inlineStr">
        <is>
          <t>DJ30</t>
        </is>
      </c>
      <c r="B1883" s="6" t="inlineStr">
        <is>
          <t>2024-03-01</t>
        </is>
      </c>
      <c r="C1883" s="6" t="inlineStr">
        <is>
          <t>DIA</t>
        </is>
      </c>
      <c r="D1883" s="6" t="inlineStr">
        <is>
          <t>NKE</t>
        </is>
      </c>
      <c r="E1883" s="6" t="inlineStr">
        <is>
          <t>NKE</t>
        </is>
      </c>
      <c r="F1883" s="6" t="inlineStr">
        <is>
          <t>-</t>
        </is>
      </c>
      <c r="G1883" s="7" t="n">
        <v>96.69969940185548</v>
      </c>
      <c r="H1883" s="6">
        <f>P1852</f>
        <v/>
      </c>
      <c r="I1883" s="9">
        <f>Q1852</f>
        <v/>
      </c>
      <c r="J1883" s="7">
        <f>I1883*G1883</f>
        <v/>
      </c>
      <c r="K1883" s="8">
        <f>IF($J$1892=0,0,J1883/$J$1892)</f>
        <v/>
      </c>
      <c r="L1883" s="6" t="inlineStr">
        <is>
          <t>REJECTED</t>
        </is>
      </c>
      <c r="M1883" s="8" t="n">
        <v>0</v>
      </c>
      <c r="N1883" s="7">
        <f>M1883*$J$1892-J1883</f>
        <v/>
      </c>
      <c r="O1883" s="9">
        <f>IF(G1883=0,0,N1883/G1883)</f>
        <v/>
      </c>
      <c r="P1883" s="6">
        <f>IF(M1883&gt;0,D1883,"")</f>
        <v/>
      </c>
      <c r="Q1883" s="9">
        <f>I1883+O1883</f>
        <v/>
      </c>
      <c r="R1883" s="7">
        <f>Q1883*G1883</f>
        <v/>
      </c>
      <c r="S1883" s="8">
        <f>IF($R$1892=0,0,R1883/$R$1892)</f>
        <v/>
      </c>
      <c r="T1883" s="8" t="n">
        <v>0.02969939999532456</v>
      </c>
      <c r="U1883" s="8" t="n">
        <v>7.653484558645118e-05</v>
      </c>
      <c r="V1883" s="6" t="inlineStr">
        <is>
          <t>not selected</t>
        </is>
      </c>
    </row>
    <row r="1884">
      <c r="A1884" s="6" t="inlineStr">
        <is>
          <t>DJ30</t>
        </is>
      </c>
      <c r="B1884" s="6" t="inlineStr">
        <is>
          <t>2024-03-01</t>
        </is>
      </c>
      <c r="C1884" s="6" t="inlineStr">
        <is>
          <t>DIA</t>
        </is>
      </c>
      <c r="D1884" s="6" t="inlineStr">
        <is>
          <t>NVDA</t>
        </is>
      </c>
      <c r="E1884" s="6" t="inlineStr">
        <is>
          <t>NVDA</t>
        </is>
      </c>
      <c r="F1884" s="6" t="inlineStr">
        <is>
          <t>-</t>
        </is>
      </c>
      <c r="G1884" s="7" t="n">
        <v>82.13300323486328</v>
      </c>
      <c r="H1884" s="6">
        <f>P1853</f>
        <v/>
      </c>
      <c r="I1884" s="9">
        <f>Q1853</f>
        <v/>
      </c>
      <c r="J1884" s="7">
        <f>I1884*G1884</f>
        <v/>
      </c>
      <c r="K1884" s="8">
        <f>IF($J$1892=0,0,J1884/$J$1892)</f>
        <v/>
      </c>
      <c r="L1884" s="6" t="inlineStr">
        <is>
          <t>SELECTED</t>
        </is>
      </c>
      <c r="M1884" s="8" t="n">
        <v>0.2</v>
      </c>
      <c r="N1884" s="7">
        <f>M1884*$J$1892-J1884</f>
        <v/>
      </c>
      <c r="O1884" s="9">
        <f>IF(G1884=0,0,N1884/G1884)</f>
        <v/>
      </c>
      <c r="P1884" s="6">
        <f>IF(M1884&gt;0,D1884,"")</f>
        <v/>
      </c>
      <c r="Q1884" s="9">
        <f>I1884+O1884</f>
        <v/>
      </c>
      <c r="R1884" s="7">
        <f>Q1884*G1884</f>
        <v/>
      </c>
      <c r="S1884" s="8">
        <f>IF($R$1892=0,0,R1884/$R$1892)</f>
        <v/>
      </c>
      <c r="T1884" s="8" t="n">
        <v>0.02969939999532456</v>
      </c>
      <c r="U1884" s="8" t="n">
        <v>7.653484558645118e-05</v>
      </c>
      <c r="V1884" s="6" t="inlineStr">
        <is>
          <t>remained in weekly selection</t>
        </is>
      </c>
    </row>
    <row r="1885">
      <c r="A1885" s="6" t="inlineStr">
        <is>
          <t>DJ30</t>
        </is>
      </c>
      <c r="B1885" s="6" t="inlineStr">
        <is>
          <t>2024-03-01</t>
        </is>
      </c>
      <c r="C1885" s="6" t="inlineStr">
        <is>
          <t>DIA</t>
        </is>
      </c>
      <c r="D1885" s="6" t="inlineStr">
        <is>
          <t>PG</t>
        </is>
      </c>
      <c r="E1885" s="6" t="inlineStr">
        <is>
          <t>PG</t>
        </is>
      </c>
      <c r="F1885" s="6" t="inlineStr">
        <is>
          <t>-</t>
        </is>
      </c>
      <c r="G1885" s="7" t="n">
        <v>149.7566070556641</v>
      </c>
      <c r="H1885" s="6">
        <f>P1854</f>
        <v/>
      </c>
      <c r="I1885" s="9">
        <f>Q1854</f>
        <v/>
      </c>
      <c r="J1885" s="7">
        <f>I1885*G1885</f>
        <v/>
      </c>
      <c r="K1885" s="8">
        <f>IF($J$1892=0,0,J1885/$J$1892)</f>
        <v/>
      </c>
      <c r="L1885" s="6" t="inlineStr">
        <is>
          <t>REJECTED</t>
        </is>
      </c>
      <c r="M1885" s="8" t="n">
        <v>0</v>
      </c>
      <c r="N1885" s="7">
        <f>M1885*$J$1892-J1885</f>
        <v/>
      </c>
      <c r="O1885" s="9">
        <f>IF(G1885=0,0,N1885/G1885)</f>
        <v/>
      </c>
      <c r="P1885" s="6">
        <f>IF(M1885&gt;0,D1885,"")</f>
        <v/>
      </c>
      <c r="Q1885" s="9">
        <f>I1885+O1885</f>
        <v/>
      </c>
      <c r="R1885" s="7">
        <f>Q1885*G1885</f>
        <v/>
      </c>
      <c r="S1885" s="8">
        <f>IF($R$1892=0,0,R1885/$R$1892)</f>
        <v/>
      </c>
      <c r="T1885" s="8" t="n">
        <v>0.02969939999532456</v>
      </c>
      <c r="U1885" s="8" t="n">
        <v>7.653484558645118e-05</v>
      </c>
      <c r="V1885" s="6" t="inlineStr">
        <is>
          <t>not selected</t>
        </is>
      </c>
    </row>
    <row r="1886">
      <c r="A1886" s="6" t="inlineStr">
        <is>
          <t>DJ30</t>
        </is>
      </c>
      <c r="B1886" s="6" t="inlineStr">
        <is>
          <t>2024-03-01</t>
        </is>
      </c>
      <c r="C1886" s="6" t="inlineStr">
        <is>
          <t>DIA</t>
        </is>
      </c>
      <c r="D1886" s="6" t="inlineStr">
        <is>
          <t>SHW</t>
        </is>
      </c>
      <c r="E1886" s="6" t="inlineStr">
        <is>
          <t>SHW</t>
        </is>
      </c>
      <c r="F1886" s="6" t="inlineStr">
        <is>
          <t>-</t>
        </is>
      </c>
      <c r="G1886" s="7" t="n">
        <v>328.6644592285156</v>
      </c>
      <c r="H1886" s="6">
        <f>P1855</f>
        <v/>
      </c>
      <c r="I1886" s="9">
        <f>Q1855</f>
        <v/>
      </c>
      <c r="J1886" s="7">
        <f>I1886*G1886</f>
        <v/>
      </c>
      <c r="K1886" s="8">
        <f>IF($J$1892=0,0,J1886/$J$1892)</f>
        <v/>
      </c>
      <c r="L1886" s="6" t="inlineStr">
        <is>
          <t>WATCHLIST</t>
        </is>
      </c>
      <c r="M1886" s="8" t="n">
        <v>0</v>
      </c>
      <c r="N1886" s="7">
        <f>M1886*$J$1892-J1886</f>
        <v/>
      </c>
      <c r="O1886" s="9">
        <f>IF(G1886=0,0,N1886/G1886)</f>
        <v/>
      </c>
      <c r="P1886" s="6">
        <f>IF(M1886&gt;0,D1886,"")</f>
        <v/>
      </c>
      <c r="Q1886" s="9">
        <f>I1886+O1886</f>
        <v/>
      </c>
      <c r="R1886" s="7">
        <f>Q1886*G1886</f>
        <v/>
      </c>
      <c r="S1886" s="8">
        <f>IF($R$1892=0,0,R1886/$R$1892)</f>
        <v/>
      </c>
      <c r="T1886" s="8" t="n">
        <v>0.02969939999532456</v>
      </c>
      <c r="U1886" s="8" t="n">
        <v>7.653484558645118e-05</v>
      </c>
      <c r="V1886" s="6" t="inlineStr">
        <is>
          <t>not selected</t>
        </is>
      </c>
    </row>
    <row r="1887">
      <c r="A1887" s="6" t="inlineStr">
        <is>
          <t>DJ30</t>
        </is>
      </c>
      <c r="B1887" s="6" t="inlineStr">
        <is>
          <t>2024-03-01</t>
        </is>
      </c>
      <c r="C1887" s="6" t="inlineStr">
        <is>
          <t>DIA</t>
        </is>
      </c>
      <c r="D1887" s="6" t="inlineStr">
        <is>
          <t>TRV</t>
        </is>
      </c>
      <c r="E1887" s="6" t="inlineStr">
        <is>
          <t>TRV</t>
        </is>
      </c>
      <c r="F1887" s="6" t="inlineStr">
        <is>
          <t>-</t>
        </is>
      </c>
      <c r="G1887" s="7" t="n">
        <v>209.8177337646484</v>
      </c>
      <c r="H1887" s="6">
        <f>P1856</f>
        <v/>
      </c>
      <c r="I1887" s="9">
        <f>Q1856</f>
        <v/>
      </c>
      <c r="J1887" s="7">
        <f>I1887*G1887</f>
        <v/>
      </c>
      <c r="K1887" s="8">
        <f>IF($J$1892=0,0,J1887/$J$1892)</f>
        <v/>
      </c>
      <c r="L1887" s="6" t="inlineStr">
        <is>
          <t>WATCHLIST</t>
        </is>
      </c>
      <c r="M1887" s="8" t="n">
        <v>0</v>
      </c>
      <c r="N1887" s="7">
        <f>M1887*$J$1892-J1887</f>
        <v/>
      </c>
      <c r="O1887" s="9">
        <f>IF(G1887=0,0,N1887/G1887)</f>
        <v/>
      </c>
      <c r="P1887" s="6">
        <f>IF(M1887&gt;0,D1887,"")</f>
        <v/>
      </c>
      <c r="Q1887" s="9">
        <f>I1887+O1887</f>
        <v/>
      </c>
      <c r="R1887" s="7">
        <f>Q1887*G1887</f>
        <v/>
      </c>
      <c r="S1887" s="8">
        <f>IF($R$1892=0,0,R1887/$R$1892)</f>
        <v/>
      </c>
      <c r="T1887" s="8" t="n">
        <v>0.02969939999532456</v>
      </c>
      <c r="U1887" s="8" t="n">
        <v>7.653484558645118e-05</v>
      </c>
      <c r="V1887" s="6" t="inlineStr">
        <is>
          <t>not selected</t>
        </is>
      </c>
    </row>
    <row r="1888">
      <c r="A1888" s="6" t="inlineStr">
        <is>
          <t>DJ30</t>
        </is>
      </c>
      <c r="B1888" s="6" t="inlineStr">
        <is>
          <t>2024-03-01</t>
        </is>
      </c>
      <c r="C1888" s="6" t="inlineStr">
        <is>
          <t>DIA</t>
        </is>
      </c>
      <c r="D1888" s="6" t="inlineStr">
        <is>
          <t>UNH</t>
        </is>
      </c>
      <c r="E1888" s="6" t="inlineStr">
        <is>
          <t>UNH</t>
        </is>
      </c>
      <c r="F1888" s="6" t="inlineStr">
        <is>
          <t>-</t>
        </is>
      </c>
      <c r="G1888" s="7" t="n">
        <v>464.1196594238281</v>
      </c>
      <c r="H1888" s="6">
        <f>P1857</f>
        <v/>
      </c>
      <c r="I1888" s="9">
        <f>Q1857</f>
        <v/>
      </c>
      <c r="J1888" s="7">
        <f>I1888*G1888</f>
        <v/>
      </c>
      <c r="K1888" s="8">
        <f>IF($J$1892=0,0,J1888/$J$1892)</f>
        <v/>
      </c>
      <c r="L1888" s="6" t="inlineStr">
        <is>
          <t>WATCHLIST</t>
        </is>
      </c>
      <c r="M1888" s="8" t="n">
        <v>0</v>
      </c>
      <c r="N1888" s="7">
        <f>M1888*$J$1892-J1888</f>
        <v/>
      </c>
      <c r="O1888" s="9">
        <f>IF(G1888=0,0,N1888/G1888)</f>
        <v/>
      </c>
      <c r="P1888" s="6">
        <f>IF(M1888&gt;0,D1888,"")</f>
        <v/>
      </c>
      <c r="Q1888" s="9">
        <f>I1888+O1888</f>
        <v/>
      </c>
      <c r="R1888" s="7">
        <f>Q1888*G1888</f>
        <v/>
      </c>
      <c r="S1888" s="8">
        <f>IF($R$1892=0,0,R1888/$R$1892)</f>
        <v/>
      </c>
      <c r="T1888" s="8" t="n">
        <v>0.02969939999532456</v>
      </c>
      <c r="U1888" s="8" t="n">
        <v>7.653484558645118e-05</v>
      </c>
      <c r="V1888" s="6" t="inlineStr">
        <is>
          <t>not selected</t>
        </is>
      </c>
    </row>
    <row r="1889">
      <c r="A1889" s="6" t="inlineStr">
        <is>
          <t>DJ30</t>
        </is>
      </c>
      <c r="B1889" s="6" t="inlineStr">
        <is>
          <t>2024-03-01</t>
        </is>
      </c>
      <c r="C1889" s="6" t="inlineStr">
        <is>
          <t>DIA</t>
        </is>
      </c>
      <c r="D1889" s="6" t="inlineStr">
        <is>
          <t>V</t>
        </is>
      </c>
      <c r="E1889" s="6" t="inlineStr">
        <is>
          <t>V</t>
        </is>
      </c>
      <c r="F1889" s="6" t="inlineStr">
        <is>
          <t>-</t>
        </is>
      </c>
      <c r="G1889" s="7" t="n">
        <v>278.3980712890625</v>
      </c>
      <c r="H1889" s="6">
        <f>P1858</f>
        <v/>
      </c>
      <c r="I1889" s="9">
        <f>Q1858</f>
        <v/>
      </c>
      <c r="J1889" s="7">
        <f>I1889*G1889</f>
        <v/>
      </c>
      <c r="K1889" s="8">
        <f>IF($J$1892=0,0,J1889/$J$1892)</f>
        <v/>
      </c>
      <c r="L1889" s="6" t="inlineStr">
        <is>
          <t>WATCHLIST</t>
        </is>
      </c>
      <c r="M1889" s="8" t="n">
        <v>0</v>
      </c>
      <c r="N1889" s="7">
        <f>M1889*$J$1892-J1889</f>
        <v/>
      </c>
      <c r="O1889" s="9">
        <f>IF(G1889=0,0,N1889/G1889)</f>
        <v/>
      </c>
      <c r="P1889" s="6">
        <f>IF(M1889&gt;0,D1889,"")</f>
        <v/>
      </c>
      <c r="Q1889" s="9">
        <f>I1889+O1889</f>
        <v/>
      </c>
      <c r="R1889" s="7">
        <f>Q1889*G1889</f>
        <v/>
      </c>
      <c r="S1889" s="8">
        <f>IF($R$1892=0,0,R1889/$R$1892)</f>
        <v/>
      </c>
      <c r="T1889" s="8" t="n">
        <v>0.02969939999532456</v>
      </c>
      <c r="U1889" s="8" t="n">
        <v>7.653484558645118e-05</v>
      </c>
      <c r="V1889" s="6" t="inlineStr">
        <is>
          <t>not selected</t>
        </is>
      </c>
    </row>
    <row r="1890">
      <c r="A1890" s="6" t="inlineStr">
        <is>
          <t>DJ30</t>
        </is>
      </c>
      <c r="B1890" s="6" t="inlineStr">
        <is>
          <t>2024-03-01</t>
        </is>
      </c>
      <c r="C1890" s="6" t="inlineStr">
        <is>
          <t>DIA</t>
        </is>
      </c>
      <c r="D1890" s="6" t="inlineStr">
        <is>
          <t>VZ</t>
        </is>
      </c>
      <c r="E1890" s="6" t="inlineStr">
        <is>
          <t>VZ</t>
        </is>
      </c>
      <c r="F1890" s="6" t="inlineStr">
        <is>
          <t>-</t>
        </is>
      </c>
      <c r="G1890" s="7" t="n">
        <v>34.72180557250977</v>
      </c>
      <c r="H1890" s="6">
        <f>P1859</f>
        <v/>
      </c>
      <c r="I1890" s="9">
        <f>Q1859</f>
        <v/>
      </c>
      <c r="J1890" s="7">
        <f>I1890*G1890</f>
        <v/>
      </c>
      <c r="K1890" s="8">
        <f>IF($J$1892=0,0,J1890/$J$1892)</f>
        <v/>
      </c>
      <c r="L1890" s="6" t="inlineStr">
        <is>
          <t>REJECTED</t>
        </is>
      </c>
      <c r="M1890" s="8" t="n">
        <v>0</v>
      </c>
      <c r="N1890" s="7">
        <f>M1890*$J$1892-J1890</f>
        <v/>
      </c>
      <c r="O1890" s="9">
        <f>IF(G1890=0,0,N1890/G1890)</f>
        <v/>
      </c>
      <c r="P1890" s="6">
        <f>IF(M1890&gt;0,D1890,"")</f>
        <v/>
      </c>
      <c r="Q1890" s="9">
        <f>I1890+O1890</f>
        <v/>
      </c>
      <c r="R1890" s="7">
        <f>Q1890*G1890</f>
        <v/>
      </c>
      <c r="S1890" s="8">
        <f>IF($R$1892=0,0,R1890/$R$1892)</f>
        <v/>
      </c>
      <c r="T1890" s="8" t="n">
        <v>0.02969939999532456</v>
      </c>
      <c r="U1890" s="8" t="n">
        <v>7.653484558645118e-05</v>
      </c>
      <c r="V1890" s="6" t="inlineStr">
        <is>
          <t>not selected</t>
        </is>
      </c>
    </row>
    <row r="1891">
      <c r="A1891" s="6" t="inlineStr">
        <is>
          <t>DJ30</t>
        </is>
      </c>
      <c r="B1891" s="6" t="inlineStr">
        <is>
          <t>2024-03-01</t>
        </is>
      </c>
      <c r="C1891" s="6" t="inlineStr">
        <is>
          <t>DIA</t>
        </is>
      </c>
      <c r="D1891" s="6" t="inlineStr">
        <is>
          <t>WMT</t>
        </is>
      </c>
      <c r="E1891" s="6" t="inlineStr">
        <is>
          <t>WMT</t>
        </is>
      </c>
      <c r="F1891" s="6" t="inlineStr">
        <is>
          <t>-</t>
        </is>
      </c>
      <c r="G1891" s="7" t="n">
        <v>57.28639602661133</v>
      </c>
      <c r="H1891" s="6">
        <f>P1860</f>
        <v/>
      </c>
      <c r="I1891" s="9">
        <f>Q1860</f>
        <v/>
      </c>
      <c r="J1891" s="7">
        <f>I1891*G1891</f>
        <v/>
      </c>
      <c r="K1891" s="8">
        <f>IF($J$1892=0,0,J1891/$J$1892)</f>
        <v/>
      </c>
      <c r="L1891" s="6" t="inlineStr">
        <is>
          <t>WATCHLIST</t>
        </is>
      </c>
      <c r="M1891" s="8" t="n">
        <v>0</v>
      </c>
      <c r="N1891" s="7">
        <f>M1891*$J$1892-J1891</f>
        <v/>
      </c>
      <c r="O1891" s="9">
        <f>IF(G1891=0,0,N1891/G1891)</f>
        <v/>
      </c>
      <c r="P1891" s="6">
        <f>IF(M1891&gt;0,D1891,"")</f>
        <v/>
      </c>
      <c r="Q1891" s="9">
        <f>I1891+O1891</f>
        <v/>
      </c>
      <c r="R1891" s="7">
        <f>Q1891*G1891</f>
        <v/>
      </c>
      <c r="S1891" s="8">
        <f>IF($R$1892=0,0,R1891/$R$1892)</f>
        <v/>
      </c>
      <c r="T1891" s="8" t="n">
        <v>0.02969939999532456</v>
      </c>
      <c r="U1891" s="8" t="n">
        <v>7.653484558645118e-05</v>
      </c>
      <c r="V1891" s="6" t="inlineStr">
        <is>
          <t>not selected</t>
        </is>
      </c>
    </row>
    <row r="1892">
      <c r="A1892" s="10" t="inlineStr">
        <is>
          <t>DJ30</t>
        </is>
      </c>
      <c r="B1892" s="10" t="inlineStr">
        <is>
          <t>2024-03-01</t>
        </is>
      </c>
      <c r="C1892" s="10" t="inlineStr">
        <is>
          <t>DIA</t>
        </is>
      </c>
      <c r="D1892" s="10" t="inlineStr">
        <is>
          <t>Tot Portfolio</t>
        </is>
      </c>
      <c r="E1892" s="10" t="inlineStr"/>
      <c r="F1892" s="10" t="inlineStr"/>
      <c r="G1892" s="11" t="inlineStr"/>
      <c r="H1892" s="10" t="inlineStr"/>
      <c r="I1892" s="12" t="inlineStr"/>
      <c r="J1892" s="11">
        <f>SUM(J1862:J1891)</f>
        <v/>
      </c>
      <c r="K1892" s="13">
        <f>SUM(K1862:K1891)</f>
        <v/>
      </c>
      <c r="L1892" s="10" t="inlineStr">
        <is>
          <t>TOTAL</t>
        </is>
      </c>
      <c r="M1892" s="13">
        <f>SUM(M1862:M1891)</f>
        <v/>
      </c>
      <c r="N1892" s="11">
        <f>SUM(N1862:N1891)</f>
        <v/>
      </c>
      <c r="O1892" s="12">
        <f>SUM(O1862:O1891)</f>
        <v/>
      </c>
      <c r="P1892" s="10" t="inlineStr"/>
      <c r="Q1892" s="12" t="inlineStr"/>
      <c r="R1892" s="11">
        <f>SUM(R1862:R1891)</f>
        <v/>
      </c>
      <c r="S1892" s="13">
        <f>SUM(S1862:S1891)</f>
        <v/>
      </c>
      <c r="T1892" s="13" t="n">
        <v>0.02969939999532456</v>
      </c>
      <c r="U1892" s="13" t="n">
        <v>7.653484558645118e-05</v>
      </c>
      <c r="V1892" s="10" t="inlineStr"/>
    </row>
    <row r="1893">
      <c r="A1893" s="6" t="inlineStr">
        <is>
          <t>DJ30</t>
        </is>
      </c>
      <c r="B1893" s="6" t="inlineStr">
        <is>
          <t>2024-03-08</t>
        </is>
      </c>
      <c r="C1893" s="6" t="inlineStr">
        <is>
          <t>DIA</t>
        </is>
      </c>
      <c r="D1893" s="6" t="inlineStr">
        <is>
          <t>AAPL</t>
        </is>
      </c>
      <c r="E1893" s="6" t="inlineStr">
        <is>
          <t>AAPL</t>
        </is>
      </c>
      <c r="F1893" s="6" t="inlineStr">
        <is>
          <t>-</t>
        </is>
      </c>
      <c r="G1893" s="7" t="n">
        <v>169.0345001220703</v>
      </c>
      <c r="H1893" s="6">
        <f>P1862</f>
        <v/>
      </c>
      <c r="I1893" s="9">
        <f>Q1862</f>
        <v/>
      </c>
      <c r="J1893" s="7">
        <f>I1893*G1893</f>
        <v/>
      </c>
      <c r="K1893" s="8">
        <f>IF($J$1923=0,0,J1893/$J$1923)</f>
        <v/>
      </c>
      <c r="L1893" s="6" t="inlineStr">
        <is>
          <t>WATCHLIST</t>
        </is>
      </c>
      <c r="M1893" s="8" t="n">
        <v>0</v>
      </c>
      <c r="N1893" s="7">
        <f>M1893*$J$1923-J1893</f>
        <v/>
      </c>
      <c r="O1893" s="9">
        <f>IF(G1893=0,0,N1893/G1893)</f>
        <v/>
      </c>
      <c r="P1893" s="6">
        <f>IF(M1893&gt;0,D1893,"")</f>
        <v/>
      </c>
      <c r="Q1893" s="9">
        <f>I1893+O1893</f>
        <v/>
      </c>
      <c r="R1893" s="7">
        <f>Q1893*G1893</f>
        <v/>
      </c>
      <c r="S1893" s="8">
        <f>IF($R$1923=0,0,R1893/$R$1923)</f>
        <v/>
      </c>
      <c r="T1893" s="8" t="n">
        <v>0.01046812428606603</v>
      </c>
      <c r="U1893" s="8" t="n">
        <v>-0.008484351886929753</v>
      </c>
      <c r="V1893" s="6" t="inlineStr">
        <is>
          <t>not selected</t>
        </is>
      </c>
    </row>
    <row r="1894">
      <c r="A1894" s="6" t="inlineStr">
        <is>
          <t>DJ30</t>
        </is>
      </c>
      <c r="B1894" s="6" t="inlineStr">
        <is>
          <t>2024-03-08</t>
        </is>
      </c>
      <c r="C1894" s="6" t="inlineStr">
        <is>
          <t>DIA</t>
        </is>
      </c>
      <c r="D1894" s="6" t="inlineStr">
        <is>
          <t>AMGN</t>
        </is>
      </c>
      <c r="E1894" s="6" t="inlineStr">
        <is>
          <t>AMGN</t>
        </is>
      </c>
      <c r="F1894" s="6" t="inlineStr">
        <is>
          <t>-</t>
        </is>
      </c>
      <c r="G1894" s="7" t="n">
        <v>255.6409149169922</v>
      </c>
      <c r="H1894" s="6">
        <f>P1863</f>
        <v/>
      </c>
      <c r="I1894" s="9">
        <f>Q1863</f>
        <v/>
      </c>
      <c r="J1894" s="7">
        <f>I1894*G1894</f>
        <v/>
      </c>
      <c r="K1894" s="8">
        <f>IF($J$1923=0,0,J1894/$J$1923)</f>
        <v/>
      </c>
      <c r="L1894" s="6" t="inlineStr">
        <is>
          <t>SELECTED</t>
        </is>
      </c>
      <c r="M1894" s="8" t="n">
        <v>0.2</v>
      </c>
      <c r="N1894" s="7">
        <f>M1894*$J$1923-J1894</f>
        <v/>
      </c>
      <c r="O1894" s="9">
        <f>IF(G1894=0,0,N1894/G1894)</f>
        <v/>
      </c>
      <c r="P1894" s="6">
        <f>IF(M1894&gt;0,D1894,"")</f>
        <v/>
      </c>
      <c r="Q1894" s="9">
        <f>I1894+O1894</f>
        <v/>
      </c>
      <c r="R1894" s="7">
        <f>Q1894*G1894</f>
        <v/>
      </c>
      <c r="S1894" s="8">
        <f>IF($R$1923=0,0,R1894/$R$1923)</f>
        <v/>
      </c>
      <c r="T1894" s="8" t="n">
        <v>0.01046812428606603</v>
      </c>
      <c r="U1894" s="8" t="n">
        <v>-0.008484351886929753</v>
      </c>
      <c r="V1894" s="6" t="inlineStr">
        <is>
          <t>remained in weekly selection</t>
        </is>
      </c>
    </row>
    <row r="1895">
      <c r="A1895" s="6" t="inlineStr">
        <is>
          <t>DJ30</t>
        </is>
      </c>
      <c r="B1895" s="6" t="inlineStr">
        <is>
          <t>2024-03-08</t>
        </is>
      </c>
      <c r="C1895" s="6" t="inlineStr">
        <is>
          <t>DIA</t>
        </is>
      </c>
      <c r="D1895" s="6" t="inlineStr">
        <is>
          <t>AMZN</t>
        </is>
      </c>
      <c r="E1895" s="6" t="inlineStr">
        <is>
          <t>AMZN</t>
        </is>
      </c>
      <c r="F1895" s="6" t="inlineStr">
        <is>
          <t>-</t>
        </is>
      </c>
      <c r="G1895" s="7" t="n">
        <v>175.3500061035156</v>
      </c>
      <c r="H1895" s="6">
        <f>P1864</f>
        <v/>
      </c>
      <c r="I1895" s="9">
        <f>Q1864</f>
        <v/>
      </c>
      <c r="J1895" s="7">
        <f>I1895*G1895</f>
        <v/>
      </c>
      <c r="K1895" s="8">
        <f>IF($J$1923=0,0,J1895/$J$1923)</f>
        <v/>
      </c>
      <c r="L1895" s="6" t="inlineStr">
        <is>
          <t>WATCHLIST</t>
        </is>
      </c>
      <c r="M1895" s="8" t="n">
        <v>0</v>
      </c>
      <c r="N1895" s="7">
        <f>M1895*$J$1923-J1895</f>
        <v/>
      </c>
      <c r="O1895" s="9">
        <f>IF(G1895=0,0,N1895/G1895)</f>
        <v/>
      </c>
      <c r="P1895" s="6">
        <f>IF(M1895&gt;0,D1895,"")</f>
        <v/>
      </c>
      <c r="Q1895" s="9">
        <f>I1895+O1895</f>
        <v/>
      </c>
      <c r="R1895" s="7">
        <f>Q1895*G1895</f>
        <v/>
      </c>
      <c r="S1895" s="8">
        <f>IF($R$1923=0,0,R1895/$R$1923)</f>
        <v/>
      </c>
      <c r="T1895" s="8" t="n">
        <v>0.01046812428606603</v>
      </c>
      <c r="U1895" s="8" t="n">
        <v>-0.008484351886929753</v>
      </c>
      <c r="V1895" s="6" t="inlineStr">
        <is>
          <t>not selected</t>
        </is>
      </c>
    </row>
    <row r="1896">
      <c r="A1896" s="6" t="inlineStr">
        <is>
          <t>DJ30</t>
        </is>
      </c>
      <c r="B1896" s="6" t="inlineStr">
        <is>
          <t>2024-03-08</t>
        </is>
      </c>
      <c r="C1896" s="6" t="inlineStr">
        <is>
          <t>DIA</t>
        </is>
      </c>
      <c r="D1896" s="6" t="inlineStr">
        <is>
          <t>AXP</t>
        </is>
      </c>
      <c r="E1896" s="6" t="inlineStr">
        <is>
          <t>AXP</t>
        </is>
      </c>
      <c r="F1896" s="6" t="inlineStr">
        <is>
          <t>-</t>
        </is>
      </c>
      <c r="G1896" s="7" t="n">
        <v>217.9056243896484</v>
      </c>
      <c r="H1896" s="6">
        <f>P1865</f>
        <v/>
      </c>
      <c r="I1896" s="9">
        <f>Q1865</f>
        <v/>
      </c>
      <c r="J1896" s="7">
        <f>I1896*G1896</f>
        <v/>
      </c>
      <c r="K1896" s="8">
        <f>IF($J$1923=0,0,J1896/$J$1923)</f>
        <v/>
      </c>
      <c r="L1896" s="6" t="inlineStr">
        <is>
          <t>WATCHLIST</t>
        </is>
      </c>
      <c r="M1896" s="8" t="n">
        <v>0</v>
      </c>
      <c r="N1896" s="7">
        <f>M1896*$J$1923-J1896</f>
        <v/>
      </c>
      <c r="O1896" s="9">
        <f>IF(G1896=0,0,N1896/G1896)</f>
        <v/>
      </c>
      <c r="P1896" s="6">
        <f>IF(M1896&gt;0,D1896,"")</f>
        <v/>
      </c>
      <c r="Q1896" s="9">
        <f>I1896+O1896</f>
        <v/>
      </c>
      <c r="R1896" s="7">
        <f>Q1896*G1896</f>
        <v/>
      </c>
      <c r="S1896" s="8">
        <f>IF($R$1923=0,0,R1896/$R$1923)</f>
        <v/>
      </c>
      <c r="T1896" s="8" t="n">
        <v>0.01046812428606603</v>
      </c>
      <c r="U1896" s="8" t="n">
        <v>-0.008484351886929753</v>
      </c>
      <c r="V1896" s="6" t="inlineStr">
        <is>
          <t>not selected</t>
        </is>
      </c>
    </row>
    <row r="1897">
      <c r="A1897" s="6" t="inlineStr">
        <is>
          <t>DJ30</t>
        </is>
      </c>
      <c r="B1897" s="6" t="inlineStr">
        <is>
          <t>2024-03-08</t>
        </is>
      </c>
      <c r="C1897" s="6" t="inlineStr">
        <is>
          <t>DIA</t>
        </is>
      </c>
      <c r="D1897" s="6" t="inlineStr">
        <is>
          <t>BA</t>
        </is>
      </c>
      <c r="E1897" s="6" t="inlineStr">
        <is>
          <t>BA</t>
        </is>
      </c>
      <c r="F1897" s="6" t="inlineStr">
        <is>
          <t>-</t>
        </is>
      </c>
      <c r="G1897" s="7" t="n">
        <v>198.4900054931641</v>
      </c>
      <c r="H1897" s="6">
        <f>P1866</f>
        <v/>
      </c>
      <c r="I1897" s="9">
        <f>Q1866</f>
        <v/>
      </c>
      <c r="J1897" s="7">
        <f>I1897*G1897</f>
        <v/>
      </c>
      <c r="K1897" s="8">
        <f>IF($J$1923=0,0,J1897/$J$1923)</f>
        <v/>
      </c>
      <c r="L1897" s="6" t="inlineStr">
        <is>
          <t>REJECTED</t>
        </is>
      </c>
      <c r="M1897" s="8" t="n">
        <v>0</v>
      </c>
      <c r="N1897" s="7">
        <f>M1897*$J$1923-J1897</f>
        <v/>
      </c>
      <c r="O1897" s="9">
        <f>IF(G1897=0,0,N1897/G1897)</f>
        <v/>
      </c>
      <c r="P1897" s="6">
        <f>IF(M1897&gt;0,D1897,"")</f>
        <v/>
      </c>
      <c r="Q1897" s="9">
        <f>I1897+O1897</f>
        <v/>
      </c>
      <c r="R1897" s="7">
        <f>Q1897*G1897</f>
        <v/>
      </c>
      <c r="S1897" s="8">
        <f>IF($R$1923=0,0,R1897/$R$1923)</f>
        <v/>
      </c>
      <c r="T1897" s="8" t="n">
        <v>0.01046812428606603</v>
      </c>
      <c r="U1897" s="8" t="n">
        <v>-0.008484351886929753</v>
      </c>
      <c r="V1897" s="6" t="inlineStr">
        <is>
          <t>not selected</t>
        </is>
      </c>
    </row>
    <row r="1898">
      <c r="A1898" s="6" t="inlineStr">
        <is>
          <t>DJ30</t>
        </is>
      </c>
      <c r="B1898" s="6" t="inlineStr">
        <is>
          <t>2024-03-08</t>
        </is>
      </c>
      <c r="C1898" s="6" t="inlineStr">
        <is>
          <t>DIA</t>
        </is>
      </c>
      <c r="D1898" s="6" t="inlineStr">
        <is>
          <t>CAT</t>
        </is>
      </c>
      <c r="E1898" s="6" t="inlineStr">
        <is>
          <t>CAT</t>
        </is>
      </c>
      <c r="F1898" s="6" t="inlineStr">
        <is>
          <t>-</t>
        </is>
      </c>
      <c r="G1898" s="7" t="n">
        <v>328.9954528808594</v>
      </c>
      <c r="H1898" s="6">
        <f>P1867</f>
        <v/>
      </c>
      <c r="I1898" s="9">
        <f>Q1867</f>
        <v/>
      </c>
      <c r="J1898" s="7">
        <f>I1898*G1898</f>
        <v/>
      </c>
      <c r="K1898" s="8">
        <f>IF($J$1923=0,0,J1898/$J$1923)</f>
        <v/>
      </c>
      <c r="L1898" s="6" t="inlineStr">
        <is>
          <t>SELECTED</t>
        </is>
      </c>
      <c r="M1898" s="8" t="n">
        <v>0.2</v>
      </c>
      <c r="N1898" s="7">
        <f>M1898*$J$1923-J1898</f>
        <v/>
      </c>
      <c r="O1898" s="9">
        <f>IF(G1898=0,0,N1898/G1898)</f>
        <v/>
      </c>
      <c r="P1898" s="6">
        <f>IF(M1898&gt;0,D1898,"")</f>
        <v/>
      </c>
      <c r="Q1898" s="9">
        <f>I1898+O1898</f>
        <v/>
      </c>
      <c r="R1898" s="7">
        <f>Q1898*G1898</f>
        <v/>
      </c>
      <c r="S1898" s="8">
        <f>IF($R$1923=0,0,R1898/$R$1923)</f>
        <v/>
      </c>
      <c r="T1898" s="8" t="n">
        <v>0.01046812428606603</v>
      </c>
      <c r="U1898" s="8" t="n">
        <v>-0.008484351886929753</v>
      </c>
      <c r="V1898" s="6" t="inlineStr">
        <is>
          <t>remained in weekly selection</t>
        </is>
      </c>
    </row>
    <row r="1899">
      <c r="A1899" s="6" t="inlineStr">
        <is>
          <t>DJ30</t>
        </is>
      </c>
      <c r="B1899" s="6" t="inlineStr">
        <is>
          <t>2024-03-08</t>
        </is>
      </c>
      <c r="C1899" s="6" t="inlineStr">
        <is>
          <t>DIA</t>
        </is>
      </c>
      <c r="D1899" s="6" t="inlineStr">
        <is>
          <t>CRM</t>
        </is>
      </c>
      <c r="E1899" s="6" t="inlineStr">
        <is>
          <t>CRM</t>
        </is>
      </c>
      <c r="F1899" s="6" t="inlineStr">
        <is>
          <t>-</t>
        </is>
      </c>
      <c r="G1899" s="7" t="n">
        <v>300.0882873535156</v>
      </c>
      <c r="H1899" s="6">
        <f>P1868</f>
        <v/>
      </c>
      <c r="I1899" s="9">
        <f>Q1868</f>
        <v/>
      </c>
      <c r="J1899" s="7">
        <f>I1899*G1899</f>
        <v/>
      </c>
      <c r="K1899" s="8">
        <f>IF($J$1923=0,0,J1899/$J$1923)</f>
        <v/>
      </c>
      <c r="L1899" s="6" t="inlineStr">
        <is>
          <t>SELECTED</t>
        </is>
      </c>
      <c r="M1899" s="8" t="n">
        <v>0.2</v>
      </c>
      <c r="N1899" s="7">
        <f>M1899*$J$1923-J1899</f>
        <v/>
      </c>
      <c r="O1899" s="9">
        <f>IF(G1899=0,0,N1899/G1899)</f>
        <v/>
      </c>
      <c r="P1899" s="6">
        <f>IF(M1899&gt;0,D1899,"")</f>
        <v/>
      </c>
      <c r="Q1899" s="9">
        <f>I1899+O1899</f>
        <v/>
      </c>
      <c r="R1899" s="7">
        <f>Q1899*G1899</f>
        <v/>
      </c>
      <c r="S1899" s="8">
        <f>IF($R$1923=0,0,R1899/$R$1923)</f>
        <v/>
      </c>
      <c r="T1899" s="8" t="n">
        <v>0.01046812428606603</v>
      </c>
      <c r="U1899" s="8" t="n">
        <v>-0.008484351886929753</v>
      </c>
      <c r="V1899" s="6" t="inlineStr">
        <is>
          <t>remained in weekly selection</t>
        </is>
      </c>
    </row>
    <row r="1900">
      <c r="A1900" s="6" t="inlineStr">
        <is>
          <t>DJ30</t>
        </is>
      </c>
      <c r="B1900" s="6" t="inlineStr">
        <is>
          <t>2024-03-08</t>
        </is>
      </c>
      <c r="C1900" s="6" t="inlineStr">
        <is>
          <t>DIA</t>
        </is>
      </c>
      <c r="D1900" s="6" t="inlineStr">
        <is>
          <t>CSCO</t>
        </is>
      </c>
      <c r="E1900" s="6" t="inlineStr">
        <is>
          <t>CSCO</t>
        </is>
      </c>
      <c r="F1900" s="6" t="inlineStr">
        <is>
          <t>-</t>
        </is>
      </c>
      <c r="G1900" s="7" t="n">
        <v>46.5948486328125</v>
      </c>
      <c r="H1900" s="6">
        <f>P1869</f>
        <v/>
      </c>
      <c r="I1900" s="9">
        <f>Q1869</f>
        <v/>
      </c>
      <c r="J1900" s="7">
        <f>I1900*G1900</f>
        <v/>
      </c>
      <c r="K1900" s="8">
        <f>IF($J$1923=0,0,J1900/$J$1923)</f>
        <v/>
      </c>
      <c r="L1900" s="6" t="inlineStr">
        <is>
          <t>REJECTED</t>
        </is>
      </c>
      <c r="M1900" s="8" t="n">
        <v>0</v>
      </c>
      <c r="N1900" s="7">
        <f>M1900*$J$1923-J1900</f>
        <v/>
      </c>
      <c r="O1900" s="9">
        <f>IF(G1900=0,0,N1900/G1900)</f>
        <v/>
      </c>
      <c r="P1900" s="6">
        <f>IF(M1900&gt;0,D1900,"")</f>
        <v/>
      </c>
      <c r="Q1900" s="9">
        <f>I1900+O1900</f>
        <v/>
      </c>
      <c r="R1900" s="7">
        <f>Q1900*G1900</f>
        <v/>
      </c>
      <c r="S1900" s="8">
        <f>IF($R$1923=0,0,R1900/$R$1923)</f>
        <v/>
      </c>
      <c r="T1900" s="8" t="n">
        <v>0.01046812428606603</v>
      </c>
      <c r="U1900" s="8" t="n">
        <v>-0.008484351886929753</v>
      </c>
      <c r="V1900" s="6" t="inlineStr">
        <is>
          <t>not selected</t>
        </is>
      </c>
    </row>
    <row r="1901">
      <c r="A1901" s="6" t="inlineStr">
        <is>
          <t>DJ30</t>
        </is>
      </c>
      <c r="B1901" s="6" t="inlineStr">
        <is>
          <t>2024-03-08</t>
        </is>
      </c>
      <c r="C1901" s="6" t="inlineStr">
        <is>
          <t>DIA</t>
        </is>
      </c>
      <c r="D1901" s="6" t="inlineStr">
        <is>
          <t>CVX</t>
        </is>
      </c>
      <c r="E1901" s="6" t="inlineStr">
        <is>
          <t>CVX</t>
        </is>
      </c>
      <c r="F1901" s="6" t="inlineStr">
        <is>
          <t>-</t>
        </is>
      </c>
      <c r="G1901" s="7" t="n">
        <v>136.2296142578125</v>
      </c>
      <c r="H1901" s="6">
        <f>P1870</f>
        <v/>
      </c>
      <c r="I1901" s="9">
        <f>Q1870</f>
        <v/>
      </c>
      <c r="J1901" s="7">
        <f>I1901*G1901</f>
        <v/>
      </c>
      <c r="K1901" s="8">
        <f>IF($J$1923=0,0,J1901/$J$1923)</f>
        <v/>
      </c>
      <c r="L1901" s="6" t="inlineStr">
        <is>
          <t>REJECTED</t>
        </is>
      </c>
      <c r="M1901" s="8" t="n">
        <v>0</v>
      </c>
      <c r="N1901" s="7">
        <f>M1901*$J$1923-J1901</f>
        <v/>
      </c>
      <c r="O1901" s="9">
        <f>IF(G1901=0,0,N1901/G1901)</f>
        <v/>
      </c>
      <c r="P1901" s="6">
        <f>IF(M1901&gt;0,D1901,"")</f>
        <v/>
      </c>
      <c r="Q1901" s="9">
        <f>I1901+O1901</f>
        <v/>
      </c>
      <c r="R1901" s="7">
        <f>Q1901*G1901</f>
        <v/>
      </c>
      <c r="S1901" s="8">
        <f>IF($R$1923=0,0,R1901/$R$1923)</f>
        <v/>
      </c>
      <c r="T1901" s="8" t="n">
        <v>0.01046812428606603</v>
      </c>
      <c r="U1901" s="8" t="n">
        <v>-0.008484351886929753</v>
      </c>
      <c r="V1901" s="6" t="inlineStr">
        <is>
          <t>not selected</t>
        </is>
      </c>
    </row>
    <row r="1902">
      <c r="A1902" s="6" t="inlineStr">
        <is>
          <t>DJ30</t>
        </is>
      </c>
      <c r="B1902" s="6" t="inlineStr">
        <is>
          <t>2024-03-08</t>
        </is>
      </c>
      <c r="C1902" s="6" t="inlineStr">
        <is>
          <t>DIA</t>
        </is>
      </c>
      <c r="D1902" s="6" t="inlineStr">
        <is>
          <t>DIS</t>
        </is>
      </c>
      <c r="E1902" s="6" t="inlineStr">
        <is>
          <t>DIS</t>
        </is>
      </c>
      <c r="F1902" s="6" t="inlineStr">
        <is>
          <t>-</t>
        </is>
      </c>
      <c r="G1902" s="7" t="n">
        <v>108.1330795288086</v>
      </c>
      <c r="H1902" s="6">
        <f>P1871</f>
        <v/>
      </c>
      <c r="I1902" s="9">
        <f>Q1871</f>
        <v/>
      </c>
      <c r="J1902" s="7">
        <f>I1902*G1902</f>
        <v/>
      </c>
      <c r="K1902" s="8">
        <f>IF($J$1923=0,0,J1902/$J$1923)</f>
        <v/>
      </c>
      <c r="L1902" s="6" t="inlineStr">
        <is>
          <t>REJECTED</t>
        </is>
      </c>
      <c r="M1902" s="8" t="n">
        <v>0</v>
      </c>
      <c r="N1902" s="7">
        <f>M1902*$J$1923-J1902</f>
        <v/>
      </c>
      <c r="O1902" s="9">
        <f>IF(G1902=0,0,N1902/G1902)</f>
        <v/>
      </c>
      <c r="P1902" s="6">
        <f>IF(M1902&gt;0,D1902,"")</f>
        <v/>
      </c>
      <c r="Q1902" s="9">
        <f>I1902+O1902</f>
        <v/>
      </c>
      <c r="R1902" s="7">
        <f>Q1902*G1902</f>
        <v/>
      </c>
      <c r="S1902" s="8">
        <f>IF($R$1923=0,0,R1902/$R$1923)</f>
        <v/>
      </c>
      <c r="T1902" s="8" t="n">
        <v>0.01046812428606603</v>
      </c>
      <c r="U1902" s="8" t="n">
        <v>-0.008484351886929753</v>
      </c>
      <c r="V1902" s="6" t="inlineStr">
        <is>
          <t>not selected</t>
        </is>
      </c>
    </row>
    <row r="1903">
      <c r="A1903" s="6" t="inlineStr">
        <is>
          <t>DJ30</t>
        </is>
      </c>
      <c r="B1903" s="6" t="inlineStr">
        <is>
          <t>2024-03-08</t>
        </is>
      </c>
      <c r="C1903" s="6" t="inlineStr">
        <is>
          <t>DIA</t>
        </is>
      </c>
      <c r="D1903" s="6" t="inlineStr">
        <is>
          <t>GS</t>
        </is>
      </c>
      <c r="E1903" s="6" t="inlineStr">
        <is>
          <t>GS</t>
        </is>
      </c>
      <c r="F1903" s="6" t="inlineStr">
        <is>
          <t>-</t>
        </is>
      </c>
      <c r="G1903" s="7" t="n">
        <v>369.3245849609375</v>
      </c>
      <c r="H1903" s="6">
        <f>P1872</f>
        <v/>
      </c>
      <c r="I1903" s="9">
        <f>Q1872</f>
        <v/>
      </c>
      <c r="J1903" s="7">
        <f>I1903*G1903</f>
        <v/>
      </c>
      <c r="K1903" s="8">
        <f>IF($J$1923=0,0,J1903/$J$1923)</f>
        <v/>
      </c>
      <c r="L1903" s="6" t="inlineStr">
        <is>
          <t>WATCHLIST</t>
        </is>
      </c>
      <c r="M1903" s="8" t="n">
        <v>0</v>
      </c>
      <c r="N1903" s="7">
        <f>M1903*$J$1923-J1903</f>
        <v/>
      </c>
      <c r="O1903" s="9">
        <f>IF(G1903=0,0,N1903/G1903)</f>
        <v/>
      </c>
      <c r="P1903" s="6">
        <f>IF(M1903&gt;0,D1903,"")</f>
        <v/>
      </c>
      <c r="Q1903" s="9">
        <f>I1903+O1903</f>
        <v/>
      </c>
      <c r="R1903" s="7">
        <f>Q1903*G1903</f>
        <v/>
      </c>
      <c r="S1903" s="8">
        <f>IF($R$1923=0,0,R1903/$R$1923)</f>
        <v/>
      </c>
      <c r="T1903" s="8" t="n">
        <v>0.01046812428606603</v>
      </c>
      <c r="U1903" s="8" t="n">
        <v>-0.008484351886929753</v>
      </c>
      <c r="V1903" s="6" t="inlineStr">
        <is>
          <t>not selected</t>
        </is>
      </c>
    </row>
    <row r="1904">
      <c r="A1904" s="6" t="inlineStr">
        <is>
          <t>DJ30</t>
        </is>
      </c>
      <c r="B1904" s="6" t="inlineStr">
        <is>
          <t>2024-03-08</t>
        </is>
      </c>
      <c r="C1904" s="6" t="inlineStr">
        <is>
          <t>DIA</t>
        </is>
      </c>
      <c r="D1904" s="6" t="inlineStr">
        <is>
          <t>HD</t>
        </is>
      </c>
      <c r="E1904" s="6" t="inlineStr">
        <is>
          <t>HD</t>
        </is>
      </c>
      <c r="F1904" s="6" t="inlineStr">
        <is>
          <t>-</t>
        </is>
      </c>
      <c r="G1904" s="7" t="n">
        <v>352.665283203125</v>
      </c>
      <c r="H1904" s="6">
        <f>P1873</f>
        <v/>
      </c>
      <c r="I1904" s="9">
        <f>Q1873</f>
        <v/>
      </c>
      <c r="J1904" s="7">
        <f>I1904*G1904</f>
        <v/>
      </c>
      <c r="K1904" s="8">
        <f>IF($J$1923=0,0,J1904/$J$1923)</f>
        <v/>
      </c>
      <c r="L1904" s="6" t="inlineStr">
        <is>
          <t>WATCHLIST</t>
        </is>
      </c>
      <c r="M1904" s="8" t="n">
        <v>0</v>
      </c>
      <c r="N1904" s="7">
        <f>M1904*$J$1923-J1904</f>
        <v/>
      </c>
      <c r="O1904" s="9">
        <f>IF(G1904=0,0,N1904/G1904)</f>
        <v/>
      </c>
      <c r="P1904" s="6">
        <f>IF(M1904&gt;0,D1904,"")</f>
        <v/>
      </c>
      <c r="Q1904" s="9">
        <f>I1904+O1904</f>
        <v/>
      </c>
      <c r="R1904" s="7">
        <f>Q1904*G1904</f>
        <v/>
      </c>
      <c r="S1904" s="8">
        <f>IF($R$1923=0,0,R1904/$R$1923)</f>
        <v/>
      </c>
      <c r="T1904" s="8" t="n">
        <v>0.01046812428606603</v>
      </c>
      <c r="U1904" s="8" t="n">
        <v>-0.008484351886929753</v>
      </c>
      <c r="V1904" s="6" t="inlineStr">
        <is>
          <t>not selected</t>
        </is>
      </c>
    </row>
    <row r="1905">
      <c r="A1905" s="6" t="inlineStr">
        <is>
          <t>DJ30</t>
        </is>
      </c>
      <c r="B1905" s="6" t="inlineStr">
        <is>
          <t>2024-03-08</t>
        </is>
      </c>
      <c r="C1905" s="6" t="inlineStr">
        <is>
          <t>DIA</t>
        </is>
      </c>
      <c r="D1905" s="6" t="inlineStr">
        <is>
          <t>HON</t>
        </is>
      </c>
      <c r="E1905" s="6" t="inlineStr">
        <is>
          <t>HON</t>
        </is>
      </c>
      <c r="F1905" s="6" t="inlineStr">
        <is>
          <t>-</t>
        </is>
      </c>
      <c r="G1905" s="7" t="n">
        <v>180.398681640625</v>
      </c>
      <c r="H1905" s="6">
        <f>P1874</f>
        <v/>
      </c>
      <c r="I1905" s="9">
        <f>Q1874</f>
        <v/>
      </c>
      <c r="J1905" s="7">
        <f>I1905*G1905</f>
        <v/>
      </c>
      <c r="K1905" s="8">
        <f>IF($J$1923=0,0,J1905/$J$1923)</f>
        <v/>
      </c>
      <c r="L1905" s="6" t="inlineStr">
        <is>
          <t>REJECTED</t>
        </is>
      </c>
      <c r="M1905" s="8" t="n">
        <v>0</v>
      </c>
      <c r="N1905" s="7">
        <f>M1905*$J$1923-J1905</f>
        <v/>
      </c>
      <c r="O1905" s="9">
        <f>IF(G1905=0,0,N1905/G1905)</f>
        <v/>
      </c>
      <c r="P1905" s="6">
        <f>IF(M1905&gt;0,D1905,"")</f>
        <v/>
      </c>
      <c r="Q1905" s="9">
        <f>I1905+O1905</f>
        <v/>
      </c>
      <c r="R1905" s="7">
        <f>Q1905*G1905</f>
        <v/>
      </c>
      <c r="S1905" s="8">
        <f>IF($R$1923=0,0,R1905/$R$1923)</f>
        <v/>
      </c>
      <c r="T1905" s="8" t="n">
        <v>0.01046812428606603</v>
      </c>
      <c r="U1905" s="8" t="n">
        <v>-0.008484351886929753</v>
      </c>
      <c r="V1905" s="6" t="inlineStr">
        <is>
          <t>not selected</t>
        </is>
      </c>
    </row>
    <row r="1906">
      <c r="A1906" s="6" t="inlineStr">
        <is>
          <t>DJ30</t>
        </is>
      </c>
      <c r="B1906" s="6" t="inlineStr">
        <is>
          <t>2024-03-08</t>
        </is>
      </c>
      <c r="C1906" s="6" t="inlineStr">
        <is>
          <t>DIA</t>
        </is>
      </c>
      <c r="D1906" s="6" t="inlineStr">
        <is>
          <t>IBM</t>
        </is>
      </c>
      <c r="E1906" s="6" t="inlineStr">
        <is>
          <t>IBM</t>
        </is>
      </c>
      <c r="F1906" s="6" t="inlineStr">
        <is>
          <t>-</t>
        </is>
      </c>
      <c r="G1906" s="7" t="n">
        <v>183.6249847412109</v>
      </c>
      <c r="H1906" s="6">
        <f>P1875</f>
        <v/>
      </c>
      <c r="I1906" s="9">
        <f>Q1875</f>
        <v/>
      </c>
      <c r="J1906" s="7">
        <f>I1906*G1906</f>
        <v/>
      </c>
      <c r="K1906" s="8">
        <f>IF($J$1923=0,0,J1906/$J$1923)</f>
        <v/>
      </c>
      <c r="L1906" s="6" t="inlineStr">
        <is>
          <t>SELECTED</t>
        </is>
      </c>
      <c r="M1906" s="8" t="n">
        <v>0.2</v>
      </c>
      <c r="N1906" s="7">
        <f>M1906*$J$1923-J1906</f>
        <v/>
      </c>
      <c r="O1906" s="9">
        <f>IF(G1906=0,0,N1906/G1906)</f>
        <v/>
      </c>
      <c r="P1906" s="6">
        <f>IF(M1906&gt;0,D1906,"")</f>
        <v/>
      </c>
      <c r="Q1906" s="9">
        <f>I1906+O1906</f>
        <v/>
      </c>
      <c r="R1906" s="7">
        <f>Q1906*G1906</f>
        <v/>
      </c>
      <c r="S1906" s="8">
        <f>IF($R$1923=0,0,R1906/$R$1923)</f>
        <v/>
      </c>
      <c r="T1906" s="8" t="n">
        <v>0.01046812428606603</v>
      </c>
      <c r="U1906" s="8" t="n">
        <v>-0.008484351886929753</v>
      </c>
      <c r="V1906" s="6" t="inlineStr">
        <is>
          <t>remained in weekly selection</t>
        </is>
      </c>
    </row>
    <row r="1907">
      <c r="A1907" s="6" t="inlineStr">
        <is>
          <t>DJ30</t>
        </is>
      </c>
      <c r="B1907" s="6" t="inlineStr">
        <is>
          <t>2024-03-08</t>
        </is>
      </c>
      <c r="C1907" s="6" t="inlineStr">
        <is>
          <t>DIA</t>
        </is>
      </c>
      <c r="D1907" s="6" t="inlineStr">
        <is>
          <t>JNJ</t>
        </is>
      </c>
      <c r="E1907" s="6" t="inlineStr">
        <is>
          <t>JNJ</t>
        </is>
      </c>
      <c r="F1907" s="6" t="inlineStr">
        <is>
          <t>-</t>
        </is>
      </c>
      <c r="G1907" s="7" t="n">
        <v>149.5120391845703</v>
      </c>
      <c r="H1907" s="6">
        <f>P1876</f>
        <v/>
      </c>
      <c r="I1907" s="9">
        <f>Q1876</f>
        <v/>
      </c>
      <c r="J1907" s="7">
        <f>I1907*G1907</f>
        <v/>
      </c>
      <c r="K1907" s="8">
        <f>IF($J$1923=0,0,J1907/$J$1923)</f>
        <v/>
      </c>
      <c r="L1907" s="6" t="inlineStr">
        <is>
          <t>REJECTED</t>
        </is>
      </c>
      <c r="M1907" s="8" t="n">
        <v>0</v>
      </c>
      <c r="N1907" s="7">
        <f>M1907*$J$1923-J1907</f>
        <v/>
      </c>
      <c r="O1907" s="9">
        <f>IF(G1907=0,0,N1907/G1907)</f>
        <v/>
      </c>
      <c r="P1907" s="6">
        <f>IF(M1907&gt;0,D1907,"")</f>
        <v/>
      </c>
      <c r="Q1907" s="9">
        <f>I1907+O1907</f>
        <v/>
      </c>
      <c r="R1907" s="7">
        <f>Q1907*G1907</f>
        <v/>
      </c>
      <c r="S1907" s="8">
        <f>IF($R$1923=0,0,R1907/$R$1923)</f>
        <v/>
      </c>
      <c r="T1907" s="8" t="n">
        <v>0.01046812428606603</v>
      </c>
      <c r="U1907" s="8" t="n">
        <v>-0.008484351886929753</v>
      </c>
      <c r="V1907" s="6" t="inlineStr">
        <is>
          <t>not selected</t>
        </is>
      </c>
    </row>
    <row r="1908">
      <c r="A1908" s="6" t="inlineStr">
        <is>
          <t>DJ30</t>
        </is>
      </c>
      <c r="B1908" s="6" t="inlineStr">
        <is>
          <t>2024-03-08</t>
        </is>
      </c>
      <c r="C1908" s="6" t="inlineStr">
        <is>
          <t>DIA</t>
        </is>
      </c>
      <c r="D1908" s="6" t="inlineStr">
        <is>
          <t>JPM</t>
        </is>
      </c>
      <c r="E1908" s="6" t="inlineStr">
        <is>
          <t>JPM</t>
        </is>
      </c>
      <c r="F1908" s="6" t="inlineStr">
        <is>
          <t>-</t>
        </is>
      </c>
      <c r="G1908" s="7" t="n">
        <v>179.3980255126953</v>
      </c>
      <c r="H1908" s="6">
        <f>P1877</f>
        <v/>
      </c>
      <c r="I1908" s="9">
        <f>Q1877</f>
        <v/>
      </c>
      <c r="J1908" s="7">
        <f>I1908*G1908</f>
        <v/>
      </c>
      <c r="K1908" s="8">
        <f>IF($J$1923=0,0,J1908/$J$1923)</f>
        <v/>
      </c>
      <c r="L1908" s="6" t="inlineStr">
        <is>
          <t>WATCHLIST</t>
        </is>
      </c>
      <c r="M1908" s="8" t="n">
        <v>0</v>
      </c>
      <c r="N1908" s="7">
        <f>M1908*$J$1923-J1908</f>
        <v/>
      </c>
      <c r="O1908" s="9">
        <f>IF(G1908=0,0,N1908/G1908)</f>
        <v/>
      </c>
      <c r="P1908" s="6">
        <f>IF(M1908&gt;0,D1908,"")</f>
        <v/>
      </c>
      <c r="Q1908" s="9">
        <f>I1908+O1908</f>
        <v/>
      </c>
      <c r="R1908" s="7">
        <f>Q1908*G1908</f>
        <v/>
      </c>
      <c r="S1908" s="8">
        <f>IF($R$1923=0,0,R1908/$R$1923)</f>
        <v/>
      </c>
      <c r="T1908" s="8" t="n">
        <v>0.01046812428606603</v>
      </c>
      <c r="U1908" s="8" t="n">
        <v>-0.008484351886929753</v>
      </c>
      <c r="V1908" s="6" t="inlineStr">
        <is>
          <t>not selected</t>
        </is>
      </c>
    </row>
    <row r="1909">
      <c r="A1909" s="6" t="inlineStr">
        <is>
          <t>DJ30</t>
        </is>
      </c>
      <c r="B1909" s="6" t="inlineStr">
        <is>
          <t>2024-03-08</t>
        </is>
      </c>
      <c r="C1909" s="6" t="inlineStr">
        <is>
          <t>DIA</t>
        </is>
      </c>
      <c r="D1909" s="6" t="inlineStr">
        <is>
          <t>KO</t>
        </is>
      </c>
      <c r="E1909" s="6" t="inlineStr">
        <is>
          <t>KO</t>
        </is>
      </c>
      <c r="F1909" s="6" t="inlineStr">
        <is>
          <t>-</t>
        </is>
      </c>
      <c r="G1909" s="7" t="n">
        <v>55.3603401184082</v>
      </c>
      <c r="H1909" s="6">
        <f>P1878</f>
        <v/>
      </c>
      <c r="I1909" s="9">
        <f>Q1878</f>
        <v/>
      </c>
      <c r="J1909" s="7">
        <f>I1909*G1909</f>
        <v/>
      </c>
      <c r="K1909" s="8">
        <f>IF($J$1923=0,0,J1909/$J$1923)</f>
        <v/>
      </c>
      <c r="L1909" s="6" t="inlineStr">
        <is>
          <t>REJECTED</t>
        </is>
      </c>
      <c r="M1909" s="8" t="n">
        <v>0</v>
      </c>
      <c r="N1909" s="7">
        <f>M1909*$J$1923-J1909</f>
        <v/>
      </c>
      <c r="O1909" s="9">
        <f>IF(G1909=0,0,N1909/G1909)</f>
        <v/>
      </c>
      <c r="P1909" s="6">
        <f>IF(M1909&gt;0,D1909,"")</f>
        <v/>
      </c>
      <c r="Q1909" s="9">
        <f>I1909+O1909</f>
        <v/>
      </c>
      <c r="R1909" s="7">
        <f>Q1909*G1909</f>
        <v/>
      </c>
      <c r="S1909" s="8">
        <f>IF($R$1923=0,0,R1909/$R$1923)</f>
        <v/>
      </c>
      <c r="T1909" s="8" t="n">
        <v>0.01046812428606603</v>
      </c>
      <c r="U1909" s="8" t="n">
        <v>-0.008484351886929753</v>
      </c>
      <c r="V1909" s="6" t="inlineStr">
        <is>
          <t>not selected</t>
        </is>
      </c>
    </row>
    <row r="1910">
      <c r="A1910" s="6" t="inlineStr">
        <is>
          <t>DJ30</t>
        </is>
      </c>
      <c r="B1910" s="6" t="inlineStr">
        <is>
          <t>2024-03-08</t>
        </is>
      </c>
      <c r="C1910" s="6" t="inlineStr">
        <is>
          <t>DIA</t>
        </is>
      </c>
      <c r="D1910" s="6" t="inlineStr">
        <is>
          <t>MCD</t>
        </is>
      </c>
      <c r="E1910" s="6" t="inlineStr">
        <is>
          <t>MCD</t>
        </is>
      </c>
      <c r="F1910" s="6" t="inlineStr">
        <is>
          <t>-</t>
        </is>
      </c>
      <c r="G1910" s="7" t="n">
        <v>277.26611328125</v>
      </c>
      <c r="H1910" s="6">
        <f>P1879</f>
        <v/>
      </c>
      <c r="I1910" s="9">
        <f>Q1879</f>
        <v/>
      </c>
      <c r="J1910" s="7">
        <f>I1910*G1910</f>
        <v/>
      </c>
      <c r="K1910" s="8">
        <f>IF($J$1923=0,0,J1910/$J$1923)</f>
        <v/>
      </c>
      <c r="L1910" s="6" t="inlineStr">
        <is>
          <t>REJECTED</t>
        </is>
      </c>
      <c r="M1910" s="8" t="n">
        <v>0</v>
      </c>
      <c r="N1910" s="7">
        <f>M1910*$J$1923-J1910</f>
        <v/>
      </c>
      <c r="O1910" s="9">
        <f>IF(G1910=0,0,N1910/G1910)</f>
        <v/>
      </c>
      <c r="P1910" s="6">
        <f>IF(M1910&gt;0,D1910,"")</f>
        <v/>
      </c>
      <c r="Q1910" s="9">
        <f>I1910+O1910</f>
        <v/>
      </c>
      <c r="R1910" s="7">
        <f>Q1910*G1910</f>
        <v/>
      </c>
      <c r="S1910" s="8">
        <f>IF($R$1923=0,0,R1910/$R$1923)</f>
        <v/>
      </c>
      <c r="T1910" s="8" t="n">
        <v>0.01046812428606603</v>
      </c>
      <c r="U1910" s="8" t="n">
        <v>-0.008484351886929753</v>
      </c>
      <c r="V1910" s="6" t="inlineStr">
        <is>
          <t>not selected</t>
        </is>
      </c>
    </row>
    <row r="1911">
      <c r="A1911" s="6" t="inlineStr">
        <is>
          <t>DJ30</t>
        </is>
      </c>
      <c r="B1911" s="6" t="inlineStr">
        <is>
          <t>2024-03-08</t>
        </is>
      </c>
      <c r="C1911" s="6" t="inlineStr">
        <is>
          <t>DIA</t>
        </is>
      </c>
      <c r="D1911" s="6" t="inlineStr">
        <is>
          <t>MMM</t>
        </is>
      </c>
      <c r="E1911" s="6" t="inlineStr">
        <is>
          <t>MMM</t>
        </is>
      </c>
      <c r="F1911" s="6" t="inlineStr">
        <is>
          <t>-</t>
        </is>
      </c>
      <c r="G1911" s="7" t="n">
        <v>74.98638153076172</v>
      </c>
      <c r="H1911" s="6">
        <f>P1880</f>
        <v/>
      </c>
      <c r="I1911" s="9">
        <f>Q1880</f>
        <v/>
      </c>
      <c r="J1911" s="7">
        <f>I1911*G1911</f>
        <v/>
      </c>
      <c r="K1911" s="8">
        <f>IF($J$1923=0,0,J1911/$J$1923)</f>
        <v/>
      </c>
      <c r="L1911" s="6" t="inlineStr">
        <is>
          <t>REJECTED</t>
        </is>
      </c>
      <c r="M1911" s="8" t="n">
        <v>0</v>
      </c>
      <c r="N1911" s="7">
        <f>M1911*$J$1923-J1911</f>
        <v/>
      </c>
      <c r="O1911" s="9">
        <f>IF(G1911=0,0,N1911/G1911)</f>
        <v/>
      </c>
      <c r="P1911" s="6">
        <f>IF(M1911&gt;0,D1911,"")</f>
        <v/>
      </c>
      <c r="Q1911" s="9">
        <f>I1911+O1911</f>
        <v/>
      </c>
      <c r="R1911" s="7">
        <f>Q1911*G1911</f>
        <v/>
      </c>
      <c r="S1911" s="8">
        <f>IF($R$1923=0,0,R1911/$R$1923)</f>
        <v/>
      </c>
      <c r="T1911" s="8" t="n">
        <v>0.01046812428606603</v>
      </c>
      <c r="U1911" s="8" t="n">
        <v>-0.008484351886929753</v>
      </c>
      <c r="V1911" s="6" t="inlineStr">
        <is>
          <t>not selected</t>
        </is>
      </c>
    </row>
    <row r="1912">
      <c r="A1912" s="6" t="inlineStr">
        <is>
          <t>DJ30</t>
        </is>
      </c>
      <c r="B1912" s="6" t="inlineStr">
        <is>
          <t>2024-03-08</t>
        </is>
      </c>
      <c r="C1912" s="6" t="inlineStr">
        <is>
          <t>DIA</t>
        </is>
      </c>
      <c r="D1912" s="6" t="inlineStr">
        <is>
          <t>MRK</t>
        </is>
      </c>
      <c r="E1912" s="6" t="inlineStr">
        <is>
          <t>MRK</t>
        </is>
      </c>
      <c r="F1912" s="6" t="inlineStr">
        <is>
          <t>-</t>
        </is>
      </c>
      <c r="G1912" s="7" t="n">
        <v>114.1898727416992</v>
      </c>
      <c r="H1912" s="6">
        <f>P1881</f>
        <v/>
      </c>
      <c r="I1912" s="9">
        <f>Q1881</f>
        <v/>
      </c>
      <c r="J1912" s="7">
        <f>I1912*G1912</f>
        <v/>
      </c>
      <c r="K1912" s="8">
        <f>IF($J$1923=0,0,J1912/$J$1923)</f>
        <v/>
      </c>
      <c r="L1912" s="6" t="inlineStr">
        <is>
          <t>REJECTED</t>
        </is>
      </c>
      <c r="M1912" s="8" t="n">
        <v>0</v>
      </c>
      <c r="N1912" s="7">
        <f>M1912*$J$1923-J1912</f>
        <v/>
      </c>
      <c r="O1912" s="9">
        <f>IF(G1912=0,0,N1912/G1912)</f>
        <v/>
      </c>
      <c r="P1912" s="6">
        <f>IF(M1912&gt;0,D1912,"")</f>
        <v/>
      </c>
      <c r="Q1912" s="9">
        <f>I1912+O1912</f>
        <v/>
      </c>
      <c r="R1912" s="7">
        <f>Q1912*G1912</f>
        <v/>
      </c>
      <c r="S1912" s="8">
        <f>IF($R$1923=0,0,R1912/$R$1923)</f>
        <v/>
      </c>
      <c r="T1912" s="8" t="n">
        <v>0.01046812428606603</v>
      </c>
      <c r="U1912" s="8" t="n">
        <v>-0.008484351886929753</v>
      </c>
      <c r="V1912" s="6" t="inlineStr">
        <is>
          <t>not selected</t>
        </is>
      </c>
    </row>
    <row r="1913">
      <c r="A1913" s="6" t="inlineStr">
        <is>
          <t>DJ30</t>
        </is>
      </c>
      <c r="B1913" s="6" t="inlineStr">
        <is>
          <t>2024-03-08</t>
        </is>
      </c>
      <c r="C1913" s="6" t="inlineStr">
        <is>
          <t>DIA</t>
        </is>
      </c>
      <c r="D1913" s="6" t="inlineStr">
        <is>
          <t>MSFT</t>
        </is>
      </c>
      <c r="E1913" s="6" t="inlineStr">
        <is>
          <t>MSFT</t>
        </is>
      </c>
      <c r="F1913" s="6" t="inlineStr">
        <is>
          <t>-</t>
        </is>
      </c>
      <c r="G1913" s="7" t="n">
        <v>399.2146301269531</v>
      </c>
      <c r="H1913" s="6">
        <f>P1882</f>
        <v/>
      </c>
      <c r="I1913" s="9">
        <f>Q1882</f>
        <v/>
      </c>
      <c r="J1913" s="7">
        <f>I1913*G1913</f>
        <v/>
      </c>
      <c r="K1913" s="8">
        <f>IF($J$1923=0,0,J1913/$J$1923)</f>
        <v/>
      </c>
      <c r="L1913" s="6" t="inlineStr">
        <is>
          <t>WATCHLIST</t>
        </is>
      </c>
      <c r="M1913" s="8" t="n">
        <v>0</v>
      </c>
      <c r="N1913" s="7">
        <f>M1913*$J$1923-J1913</f>
        <v/>
      </c>
      <c r="O1913" s="9">
        <f>IF(G1913=0,0,N1913/G1913)</f>
        <v/>
      </c>
      <c r="P1913" s="6">
        <f>IF(M1913&gt;0,D1913,"")</f>
        <v/>
      </c>
      <c r="Q1913" s="9">
        <f>I1913+O1913</f>
        <v/>
      </c>
      <c r="R1913" s="7">
        <f>Q1913*G1913</f>
        <v/>
      </c>
      <c r="S1913" s="8">
        <f>IF($R$1923=0,0,R1913/$R$1923)</f>
        <v/>
      </c>
      <c r="T1913" s="8" t="n">
        <v>0.01046812428606603</v>
      </c>
      <c r="U1913" s="8" t="n">
        <v>-0.008484351886929753</v>
      </c>
      <c r="V1913" s="6" t="inlineStr">
        <is>
          <t>not selected</t>
        </is>
      </c>
    </row>
    <row r="1914">
      <c r="A1914" s="6" t="inlineStr">
        <is>
          <t>DJ30</t>
        </is>
      </c>
      <c r="B1914" s="6" t="inlineStr">
        <is>
          <t>2024-03-08</t>
        </is>
      </c>
      <c r="C1914" s="6" t="inlineStr">
        <is>
          <t>DIA</t>
        </is>
      </c>
      <c r="D1914" s="6" t="inlineStr">
        <is>
          <t>NKE</t>
        </is>
      </c>
      <c r="E1914" s="6" t="inlineStr">
        <is>
          <t>NKE</t>
        </is>
      </c>
      <c r="F1914" s="6" t="inlineStr">
        <is>
          <t>-</t>
        </is>
      </c>
      <c r="G1914" s="7" t="n">
        <v>94.11799621582033</v>
      </c>
      <c r="H1914" s="6">
        <f>P1883</f>
        <v/>
      </c>
      <c r="I1914" s="9">
        <f>Q1883</f>
        <v/>
      </c>
      <c r="J1914" s="7">
        <f>I1914*G1914</f>
        <v/>
      </c>
      <c r="K1914" s="8">
        <f>IF($J$1923=0,0,J1914/$J$1923)</f>
        <v/>
      </c>
      <c r="L1914" s="6" t="inlineStr">
        <is>
          <t>REJECTED</t>
        </is>
      </c>
      <c r="M1914" s="8" t="n">
        <v>0</v>
      </c>
      <c r="N1914" s="7">
        <f>M1914*$J$1923-J1914</f>
        <v/>
      </c>
      <c r="O1914" s="9">
        <f>IF(G1914=0,0,N1914/G1914)</f>
        <v/>
      </c>
      <c r="P1914" s="6">
        <f>IF(M1914&gt;0,D1914,"")</f>
        <v/>
      </c>
      <c r="Q1914" s="9">
        <f>I1914+O1914</f>
        <v/>
      </c>
      <c r="R1914" s="7">
        <f>Q1914*G1914</f>
        <v/>
      </c>
      <c r="S1914" s="8">
        <f>IF($R$1923=0,0,R1914/$R$1923)</f>
        <v/>
      </c>
      <c r="T1914" s="8" t="n">
        <v>0.01046812428606603</v>
      </c>
      <c r="U1914" s="8" t="n">
        <v>-0.008484351886929753</v>
      </c>
      <c r="V1914" s="6" t="inlineStr">
        <is>
          <t>not selected</t>
        </is>
      </c>
    </row>
    <row r="1915">
      <c r="A1915" s="6" t="inlineStr">
        <is>
          <t>DJ30</t>
        </is>
      </c>
      <c r="B1915" s="6" t="inlineStr">
        <is>
          <t>2024-03-08</t>
        </is>
      </c>
      <c r="C1915" s="6" t="inlineStr">
        <is>
          <t>DIA</t>
        </is>
      </c>
      <c r="D1915" s="6" t="inlineStr">
        <is>
          <t>NVDA</t>
        </is>
      </c>
      <c r="E1915" s="6" t="inlineStr">
        <is>
          <t>NVDA</t>
        </is>
      </c>
      <c r="F1915" s="6" t="inlineStr">
        <is>
          <t>-</t>
        </is>
      </c>
      <c r="G1915" s="7" t="n">
        <v>87.37679290771484</v>
      </c>
      <c r="H1915" s="6">
        <f>P1884</f>
        <v/>
      </c>
      <c r="I1915" s="9">
        <f>Q1884</f>
        <v/>
      </c>
      <c r="J1915" s="7">
        <f>I1915*G1915</f>
        <v/>
      </c>
      <c r="K1915" s="8">
        <f>IF($J$1923=0,0,J1915/$J$1923)</f>
        <v/>
      </c>
      <c r="L1915" s="6" t="inlineStr">
        <is>
          <t>SELECTED</t>
        </is>
      </c>
      <c r="M1915" s="8" t="n">
        <v>0.2</v>
      </c>
      <c r="N1915" s="7">
        <f>M1915*$J$1923-J1915</f>
        <v/>
      </c>
      <c r="O1915" s="9">
        <f>IF(G1915=0,0,N1915/G1915)</f>
        <v/>
      </c>
      <c r="P1915" s="6">
        <f>IF(M1915&gt;0,D1915,"")</f>
        <v/>
      </c>
      <c r="Q1915" s="9">
        <f>I1915+O1915</f>
        <v/>
      </c>
      <c r="R1915" s="7">
        <f>Q1915*G1915</f>
        <v/>
      </c>
      <c r="S1915" s="8">
        <f>IF($R$1923=0,0,R1915/$R$1923)</f>
        <v/>
      </c>
      <c r="T1915" s="8" t="n">
        <v>0.01046812428606603</v>
      </c>
      <c r="U1915" s="8" t="n">
        <v>-0.008484351886929753</v>
      </c>
      <c r="V1915" s="6" t="inlineStr">
        <is>
          <t>remained in weekly selection</t>
        </is>
      </c>
    </row>
    <row r="1916">
      <c r="A1916" s="6" t="inlineStr">
        <is>
          <t>DJ30</t>
        </is>
      </c>
      <c r="B1916" s="6" t="inlineStr">
        <is>
          <t>2024-03-08</t>
        </is>
      </c>
      <c r="C1916" s="6" t="inlineStr">
        <is>
          <t>DIA</t>
        </is>
      </c>
      <c r="D1916" s="6" t="inlineStr">
        <is>
          <t>PG</t>
        </is>
      </c>
      <c r="E1916" s="6" t="inlineStr">
        <is>
          <t>PG</t>
        </is>
      </c>
      <c r="F1916" s="6" t="inlineStr">
        <is>
          <t>-</t>
        </is>
      </c>
      <c r="G1916" s="7" t="n">
        <v>151.1707611083984</v>
      </c>
      <c r="H1916" s="6">
        <f>P1885</f>
        <v/>
      </c>
      <c r="I1916" s="9">
        <f>Q1885</f>
        <v/>
      </c>
      <c r="J1916" s="7">
        <f>I1916*G1916</f>
        <v/>
      </c>
      <c r="K1916" s="8">
        <f>IF($J$1923=0,0,J1916/$J$1923)</f>
        <v/>
      </c>
      <c r="L1916" s="6" t="inlineStr">
        <is>
          <t>REJECTED</t>
        </is>
      </c>
      <c r="M1916" s="8" t="n">
        <v>0</v>
      </c>
      <c r="N1916" s="7">
        <f>M1916*$J$1923-J1916</f>
        <v/>
      </c>
      <c r="O1916" s="9">
        <f>IF(G1916=0,0,N1916/G1916)</f>
        <v/>
      </c>
      <c r="P1916" s="6">
        <f>IF(M1916&gt;0,D1916,"")</f>
        <v/>
      </c>
      <c r="Q1916" s="9">
        <f>I1916+O1916</f>
        <v/>
      </c>
      <c r="R1916" s="7">
        <f>Q1916*G1916</f>
        <v/>
      </c>
      <c r="S1916" s="8">
        <f>IF($R$1923=0,0,R1916/$R$1923)</f>
        <v/>
      </c>
      <c r="T1916" s="8" t="n">
        <v>0.01046812428606603</v>
      </c>
      <c r="U1916" s="8" t="n">
        <v>-0.008484351886929753</v>
      </c>
      <c r="V1916" s="6" t="inlineStr">
        <is>
          <t>not selected</t>
        </is>
      </c>
    </row>
    <row r="1917">
      <c r="A1917" s="6" t="inlineStr">
        <is>
          <t>DJ30</t>
        </is>
      </c>
      <c r="B1917" s="6" t="inlineStr">
        <is>
          <t>2024-03-08</t>
        </is>
      </c>
      <c r="C1917" s="6" t="inlineStr">
        <is>
          <t>DIA</t>
        </is>
      </c>
      <c r="D1917" s="6" t="inlineStr">
        <is>
          <t>SHW</t>
        </is>
      </c>
      <c r="E1917" s="6" t="inlineStr">
        <is>
          <t>SHW</t>
        </is>
      </c>
      <c r="F1917" s="6" t="inlineStr">
        <is>
          <t>-</t>
        </is>
      </c>
      <c r="G1917" s="7" t="n">
        <v>334.0175170898437</v>
      </c>
      <c r="H1917" s="6">
        <f>P1886</f>
        <v/>
      </c>
      <c r="I1917" s="9">
        <f>Q1886</f>
        <v/>
      </c>
      <c r="J1917" s="7">
        <f>I1917*G1917</f>
        <v/>
      </c>
      <c r="K1917" s="8">
        <f>IF($J$1923=0,0,J1917/$J$1923)</f>
        <v/>
      </c>
      <c r="L1917" s="6" t="inlineStr">
        <is>
          <t>WATCHLIST</t>
        </is>
      </c>
      <c r="M1917" s="8" t="n">
        <v>0</v>
      </c>
      <c r="N1917" s="7">
        <f>M1917*$J$1923-J1917</f>
        <v/>
      </c>
      <c r="O1917" s="9">
        <f>IF(G1917=0,0,N1917/G1917)</f>
        <v/>
      </c>
      <c r="P1917" s="6">
        <f>IF(M1917&gt;0,D1917,"")</f>
        <v/>
      </c>
      <c r="Q1917" s="9">
        <f>I1917+O1917</f>
        <v/>
      </c>
      <c r="R1917" s="7">
        <f>Q1917*G1917</f>
        <v/>
      </c>
      <c r="S1917" s="8">
        <f>IF($R$1923=0,0,R1917/$R$1923)</f>
        <v/>
      </c>
      <c r="T1917" s="8" t="n">
        <v>0.01046812428606603</v>
      </c>
      <c r="U1917" s="8" t="n">
        <v>-0.008484351886929753</v>
      </c>
      <c r="V1917" s="6" t="inlineStr">
        <is>
          <t>not selected</t>
        </is>
      </c>
    </row>
    <row r="1918">
      <c r="A1918" s="6" t="inlineStr">
        <is>
          <t>DJ30</t>
        </is>
      </c>
      <c r="B1918" s="6" t="inlineStr">
        <is>
          <t>2024-03-08</t>
        </is>
      </c>
      <c r="C1918" s="6" t="inlineStr">
        <is>
          <t>DIA</t>
        </is>
      </c>
      <c r="D1918" s="6" t="inlineStr">
        <is>
          <t>TRV</t>
        </is>
      </c>
      <c r="E1918" s="6" t="inlineStr">
        <is>
          <t>TRV</t>
        </is>
      </c>
      <c r="F1918" s="6" t="inlineStr">
        <is>
          <t>-</t>
        </is>
      </c>
      <c r="G1918" s="7" t="n">
        <v>210.4167022705078</v>
      </c>
      <c r="H1918" s="6">
        <f>P1887</f>
        <v/>
      </c>
      <c r="I1918" s="9">
        <f>Q1887</f>
        <v/>
      </c>
      <c r="J1918" s="7">
        <f>I1918*G1918</f>
        <v/>
      </c>
      <c r="K1918" s="8">
        <f>IF($J$1923=0,0,J1918/$J$1923)</f>
        <v/>
      </c>
      <c r="L1918" s="6" t="inlineStr">
        <is>
          <t>WATCHLIST</t>
        </is>
      </c>
      <c r="M1918" s="8" t="n">
        <v>0</v>
      </c>
      <c r="N1918" s="7">
        <f>M1918*$J$1923-J1918</f>
        <v/>
      </c>
      <c r="O1918" s="9">
        <f>IF(G1918=0,0,N1918/G1918)</f>
        <v/>
      </c>
      <c r="P1918" s="6">
        <f>IF(M1918&gt;0,D1918,"")</f>
        <v/>
      </c>
      <c r="Q1918" s="9">
        <f>I1918+O1918</f>
        <v/>
      </c>
      <c r="R1918" s="7">
        <f>Q1918*G1918</f>
        <v/>
      </c>
      <c r="S1918" s="8">
        <f>IF($R$1923=0,0,R1918/$R$1923)</f>
        <v/>
      </c>
      <c r="T1918" s="8" t="n">
        <v>0.01046812428606603</v>
      </c>
      <c r="U1918" s="8" t="n">
        <v>-0.008484351886929753</v>
      </c>
      <c r="V1918" s="6" t="inlineStr">
        <is>
          <t>not selected</t>
        </is>
      </c>
    </row>
    <row r="1919">
      <c r="A1919" s="6" t="inlineStr">
        <is>
          <t>DJ30</t>
        </is>
      </c>
      <c r="B1919" s="6" t="inlineStr">
        <is>
          <t>2024-03-08</t>
        </is>
      </c>
      <c r="C1919" s="6" t="inlineStr">
        <is>
          <t>DIA</t>
        </is>
      </c>
      <c r="D1919" s="6" t="inlineStr">
        <is>
          <t>UNH</t>
        </is>
      </c>
      <c r="E1919" s="6" t="inlineStr">
        <is>
          <t>UNH</t>
        </is>
      </c>
      <c r="F1919" s="6" t="inlineStr">
        <is>
          <t>-</t>
        </is>
      </c>
      <c r="G1919" s="7" t="n">
        <v>453.6135864257813</v>
      </c>
      <c r="H1919" s="6">
        <f>P1888</f>
        <v/>
      </c>
      <c r="I1919" s="9">
        <f>Q1888</f>
        <v/>
      </c>
      <c r="J1919" s="7">
        <f>I1919*G1919</f>
        <v/>
      </c>
      <c r="K1919" s="8">
        <f>IF($J$1923=0,0,J1919/$J$1923)</f>
        <v/>
      </c>
      <c r="L1919" s="6" t="inlineStr">
        <is>
          <t>WATCHLIST</t>
        </is>
      </c>
      <c r="M1919" s="8" t="n">
        <v>0</v>
      </c>
      <c r="N1919" s="7">
        <f>M1919*$J$1923-J1919</f>
        <v/>
      </c>
      <c r="O1919" s="9">
        <f>IF(G1919=0,0,N1919/G1919)</f>
        <v/>
      </c>
      <c r="P1919" s="6">
        <f>IF(M1919&gt;0,D1919,"")</f>
        <v/>
      </c>
      <c r="Q1919" s="9">
        <f>I1919+O1919</f>
        <v/>
      </c>
      <c r="R1919" s="7">
        <f>Q1919*G1919</f>
        <v/>
      </c>
      <c r="S1919" s="8">
        <f>IF($R$1923=0,0,R1919/$R$1923)</f>
        <v/>
      </c>
      <c r="T1919" s="8" t="n">
        <v>0.01046812428606603</v>
      </c>
      <c r="U1919" s="8" t="n">
        <v>-0.008484351886929753</v>
      </c>
      <c r="V1919" s="6" t="inlineStr">
        <is>
          <t>not selected</t>
        </is>
      </c>
    </row>
    <row r="1920">
      <c r="A1920" s="6" t="inlineStr">
        <is>
          <t>DJ30</t>
        </is>
      </c>
      <c r="B1920" s="6" t="inlineStr">
        <is>
          <t>2024-03-08</t>
        </is>
      </c>
      <c r="C1920" s="6" t="inlineStr">
        <is>
          <t>DIA</t>
        </is>
      </c>
      <c r="D1920" s="6" t="inlineStr">
        <is>
          <t>V</t>
        </is>
      </c>
      <c r="E1920" s="6" t="inlineStr">
        <is>
          <t>V</t>
        </is>
      </c>
      <c r="F1920" s="6" t="inlineStr">
        <is>
          <t>-</t>
        </is>
      </c>
      <c r="G1920" s="7" t="n">
        <v>275.33056640625</v>
      </c>
      <c r="H1920" s="6">
        <f>P1889</f>
        <v/>
      </c>
      <c r="I1920" s="9">
        <f>Q1889</f>
        <v/>
      </c>
      <c r="J1920" s="7">
        <f>I1920*G1920</f>
        <v/>
      </c>
      <c r="K1920" s="8">
        <f>IF($J$1923=0,0,J1920/$J$1923)</f>
        <v/>
      </c>
      <c r="L1920" s="6" t="inlineStr">
        <is>
          <t>WATCHLIST</t>
        </is>
      </c>
      <c r="M1920" s="8" t="n">
        <v>0</v>
      </c>
      <c r="N1920" s="7">
        <f>M1920*$J$1923-J1920</f>
        <v/>
      </c>
      <c r="O1920" s="9">
        <f>IF(G1920=0,0,N1920/G1920)</f>
        <v/>
      </c>
      <c r="P1920" s="6">
        <f>IF(M1920&gt;0,D1920,"")</f>
        <v/>
      </c>
      <c r="Q1920" s="9">
        <f>I1920+O1920</f>
        <v/>
      </c>
      <c r="R1920" s="7">
        <f>Q1920*G1920</f>
        <v/>
      </c>
      <c r="S1920" s="8">
        <f>IF($R$1923=0,0,R1920/$R$1923)</f>
        <v/>
      </c>
      <c r="T1920" s="8" t="n">
        <v>0.01046812428606603</v>
      </c>
      <c r="U1920" s="8" t="n">
        <v>-0.008484351886929753</v>
      </c>
      <c r="V1920" s="6" t="inlineStr">
        <is>
          <t>not selected</t>
        </is>
      </c>
    </row>
    <row r="1921">
      <c r="A1921" s="6" t="inlineStr">
        <is>
          <t>DJ30</t>
        </is>
      </c>
      <c r="B1921" s="6" t="inlineStr">
        <is>
          <t>2024-03-08</t>
        </is>
      </c>
      <c r="C1921" s="6" t="inlineStr">
        <is>
          <t>DIA</t>
        </is>
      </c>
      <c r="D1921" s="6" t="inlineStr">
        <is>
          <t>VZ</t>
        </is>
      </c>
      <c r="E1921" s="6" t="inlineStr">
        <is>
          <t>VZ</t>
        </is>
      </c>
      <c r="F1921" s="6" t="inlineStr">
        <is>
          <t>-</t>
        </is>
      </c>
      <c r="G1921" s="7" t="n">
        <v>34.12582778930664</v>
      </c>
      <c r="H1921" s="6">
        <f>P1890</f>
        <v/>
      </c>
      <c r="I1921" s="9">
        <f>Q1890</f>
        <v/>
      </c>
      <c r="J1921" s="7">
        <f>I1921*G1921</f>
        <v/>
      </c>
      <c r="K1921" s="8">
        <f>IF($J$1923=0,0,J1921/$J$1923)</f>
        <v/>
      </c>
      <c r="L1921" s="6" t="inlineStr">
        <is>
          <t>REJECTED</t>
        </is>
      </c>
      <c r="M1921" s="8" t="n">
        <v>0</v>
      </c>
      <c r="N1921" s="7">
        <f>M1921*$J$1923-J1921</f>
        <v/>
      </c>
      <c r="O1921" s="9">
        <f>IF(G1921=0,0,N1921/G1921)</f>
        <v/>
      </c>
      <c r="P1921" s="6">
        <f>IF(M1921&gt;0,D1921,"")</f>
        <v/>
      </c>
      <c r="Q1921" s="9">
        <f>I1921+O1921</f>
        <v/>
      </c>
      <c r="R1921" s="7">
        <f>Q1921*G1921</f>
        <v/>
      </c>
      <c r="S1921" s="8">
        <f>IF($R$1923=0,0,R1921/$R$1923)</f>
        <v/>
      </c>
      <c r="T1921" s="8" t="n">
        <v>0.01046812428606603</v>
      </c>
      <c r="U1921" s="8" t="n">
        <v>-0.008484351886929753</v>
      </c>
      <c r="V1921" s="6" t="inlineStr">
        <is>
          <t>not selected</t>
        </is>
      </c>
    </row>
    <row r="1922">
      <c r="A1922" s="6" t="inlineStr">
        <is>
          <t>DJ30</t>
        </is>
      </c>
      <c r="B1922" s="6" t="inlineStr">
        <is>
          <t>2024-03-08</t>
        </is>
      </c>
      <c r="C1922" s="6" t="inlineStr">
        <is>
          <t>DIA</t>
        </is>
      </c>
      <c r="D1922" s="6" t="inlineStr">
        <is>
          <t>WMT</t>
        </is>
      </c>
      <c r="E1922" s="6" t="inlineStr">
        <is>
          <t>WMT</t>
        </is>
      </c>
      <c r="F1922" s="6" t="inlineStr">
        <is>
          <t>-</t>
        </is>
      </c>
      <c r="G1922" s="7" t="n">
        <v>58.61228561401367</v>
      </c>
      <c r="H1922" s="6">
        <f>P1891</f>
        <v/>
      </c>
      <c r="I1922" s="9">
        <f>Q1891</f>
        <v/>
      </c>
      <c r="J1922" s="7">
        <f>I1922*G1922</f>
        <v/>
      </c>
      <c r="K1922" s="8">
        <f>IF($J$1923=0,0,J1922/$J$1923)</f>
        <v/>
      </c>
      <c r="L1922" s="6" t="inlineStr">
        <is>
          <t>WATCHLIST</t>
        </is>
      </c>
      <c r="M1922" s="8" t="n">
        <v>0</v>
      </c>
      <c r="N1922" s="7">
        <f>M1922*$J$1923-J1922</f>
        <v/>
      </c>
      <c r="O1922" s="9">
        <f>IF(G1922=0,0,N1922/G1922)</f>
        <v/>
      </c>
      <c r="P1922" s="6">
        <f>IF(M1922&gt;0,D1922,"")</f>
        <v/>
      </c>
      <c r="Q1922" s="9">
        <f>I1922+O1922</f>
        <v/>
      </c>
      <c r="R1922" s="7">
        <f>Q1922*G1922</f>
        <v/>
      </c>
      <c r="S1922" s="8">
        <f>IF($R$1923=0,0,R1922/$R$1923)</f>
        <v/>
      </c>
      <c r="T1922" s="8" t="n">
        <v>0.01046812428606603</v>
      </c>
      <c r="U1922" s="8" t="n">
        <v>-0.008484351886929753</v>
      </c>
      <c r="V1922" s="6" t="inlineStr">
        <is>
          <t>not selected</t>
        </is>
      </c>
    </row>
    <row r="1923">
      <c r="A1923" s="10" t="inlineStr">
        <is>
          <t>DJ30</t>
        </is>
      </c>
      <c r="B1923" s="10" t="inlineStr">
        <is>
          <t>2024-03-08</t>
        </is>
      </c>
      <c r="C1923" s="10" t="inlineStr">
        <is>
          <t>DIA</t>
        </is>
      </c>
      <c r="D1923" s="10" t="inlineStr">
        <is>
          <t>Tot Portfolio</t>
        </is>
      </c>
      <c r="E1923" s="10" t="inlineStr"/>
      <c r="F1923" s="10" t="inlineStr"/>
      <c r="G1923" s="11" t="inlineStr"/>
      <c r="H1923" s="10" t="inlineStr"/>
      <c r="I1923" s="12" t="inlineStr"/>
      <c r="J1923" s="11">
        <f>SUM(J1893:J1922)</f>
        <v/>
      </c>
      <c r="K1923" s="13">
        <f>SUM(K1893:K1922)</f>
        <v/>
      </c>
      <c r="L1923" s="10" t="inlineStr">
        <is>
          <t>TOTAL</t>
        </is>
      </c>
      <c r="M1923" s="13">
        <f>SUM(M1893:M1922)</f>
        <v/>
      </c>
      <c r="N1923" s="11">
        <f>SUM(N1893:N1922)</f>
        <v/>
      </c>
      <c r="O1923" s="12">
        <f>SUM(O1893:O1922)</f>
        <v/>
      </c>
      <c r="P1923" s="10" t="inlineStr"/>
      <c r="Q1923" s="12" t="inlineStr"/>
      <c r="R1923" s="11">
        <f>SUM(R1893:R1922)</f>
        <v/>
      </c>
      <c r="S1923" s="13">
        <f>SUM(S1893:S1922)</f>
        <v/>
      </c>
      <c r="T1923" s="13" t="n">
        <v>0.01046812428606603</v>
      </c>
      <c r="U1923" s="13" t="n">
        <v>-0.008484351886929753</v>
      </c>
      <c r="V1923" s="10" t="inlineStr"/>
    </row>
    <row r="1924">
      <c r="A1924" s="6" t="inlineStr">
        <is>
          <t>DJ30</t>
        </is>
      </c>
      <c r="B1924" s="6" t="inlineStr">
        <is>
          <t>2024-03-15</t>
        </is>
      </c>
      <c r="C1924" s="6" t="inlineStr">
        <is>
          <t>DIA</t>
        </is>
      </c>
      <c r="D1924" s="6" t="inlineStr">
        <is>
          <t>AAPL</t>
        </is>
      </c>
      <c r="E1924" s="6" t="inlineStr">
        <is>
          <t>AAPL</t>
        </is>
      </c>
      <c r="F1924" s="6" t="inlineStr">
        <is>
          <t>-</t>
        </is>
      </c>
      <c r="G1924" s="7" t="n">
        <v>170.9057312011719</v>
      </c>
      <c r="H1924" s="6">
        <f>P1893</f>
        <v/>
      </c>
      <c r="I1924" s="9">
        <f>Q1893</f>
        <v/>
      </c>
      <c r="J1924" s="7">
        <f>I1924*G1924</f>
        <v/>
      </c>
      <c r="K1924" s="8">
        <f>IF($J$1954=0,0,J1924/$J$1954)</f>
        <v/>
      </c>
      <c r="L1924" s="6" t="inlineStr">
        <is>
          <t>REJECTED</t>
        </is>
      </c>
      <c r="M1924" s="8" t="n">
        <v>0</v>
      </c>
      <c r="N1924" s="7">
        <f>M1924*$J$1954-J1924</f>
        <v/>
      </c>
      <c r="O1924" s="9">
        <f>IF(G1924=0,0,N1924/G1924)</f>
        <v/>
      </c>
      <c r="P1924" s="6">
        <f>IF(M1924&gt;0,D1924,"")</f>
        <v/>
      </c>
      <c r="Q1924" s="9">
        <f>I1924+O1924</f>
        <v/>
      </c>
      <c r="R1924" s="7">
        <f>Q1924*G1924</f>
        <v/>
      </c>
      <c r="S1924" s="8">
        <f>IF($R$1954=0,0,R1924/$R$1954)</f>
        <v/>
      </c>
      <c r="T1924" s="8" t="n">
        <v>-0.01017449473481191</v>
      </c>
      <c r="U1924" s="8" t="n">
        <v>-0.0001598399803325323</v>
      </c>
      <c r="V1924" s="6" t="inlineStr">
        <is>
          <t>not selected</t>
        </is>
      </c>
    </row>
    <row r="1925">
      <c r="A1925" s="6" t="inlineStr">
        <is>
          <t>DJ30</t>
        </is>
      </c>
      <c r="B1925" s="6" t="inlineStr">
        <is>
          <t>2024-03-15</t>
        </is>
      </c>
      <c r="C1925" s="6" t="inlineStr">
        <is>
          <t>DIA</t>
        </is>
      </c>
      <c r="D1925" s="6" t="inlineStr">
        <is>
          <t>AMGN</t>
        </is>
      </c>
      <c r="E1925" s="6" t="inlineStr">
        <is>
          <t>AMGN</t>
        </is>
      </c>
      <c r="F1925" s="6" t="inlineStr">
        <is>
          <t>-</t>
        </is>
      </c>
      <c r="G1925" s="7" t="n">
        <v>251.0837554931641</v>
      </c>
      <c r="H1925" s="6">
        <f>P1894</f>
        <v/>
      </c>
      <c r="I1925" s="9">
        <f>Q1894</f>
        <v/>
      </c>
      <c r="J1925" s="7">
        <f>I1925*G1925</f>
        <v/>
      </c>
      <c r="K1925" s="8">
        <f>IF($J$1954=0,0,J1925/$J$1954)</f>
        <v/>
      </c>
      <c r="L1925" s="6" t="inlineStr">
        <is>
          <t>SELECTED</t>
        </is>
      </c>
      <c r="M1925" s="8" t="n">
        <v>0.2</v>
      </c>
      <c r="N1925" s="7">
        <f>M1925*$J$1954-J1925</f>
        <v/>
      </c>
      <c r="O1925" s="9">
        <f>IF(G1925=0,0,N1925/G1925)</f>
        <v/>
      </c>
      <c r="P1925" s="6">
        <f>IF(M1925&gt;0,D1925,"")</f>
        <v/>
      </c>
      <c r="Q1925" s="9">
        <f>I1925+O1925</f>
        <v/>
      </c>
      <c r="R1925" s="7">
        <f>Q1925*G1925</f>
        <v/>
      </c>
      <c r="S1925" s="8">
        <f>IF($R$1954=0,0,R1925/$R$1954)</f>
        <v/>
      </c>
      <c r="T1925" s="8" t="n">
        <v>-0.01017449473481191</v>
      </c>
      <c r="U1925" s="8" t="n">
        <v>-0.0001598399803325323</v>
      </c>
      <c r="V1925" s="6" t="inlineStr">
        <is>
          <t>remained in weekly selection</t>
        </is>
      </c>
    </row>
    <row r="1926">
      <c r="A1926" s="6" t="inlineStr">
        <is>
          <t>DJ30</t>
        </is>
      </c>
      <c r="B1926" s="6" t="inlineStr">
        <is>
          <t>2024-03-15</t>
        </is>
      </c>
      <c r="C1926" s="6" t="inlineStr">
        <is>
          <t>DIA</t>
        </is>
      </c>
      <c r="D1926" s="6" t="inlineStr">
        <is>
          <t>AMZN</t>
        </is>
      </c>
      <c r="E1926" s="6" t="inlineStr">
        <is>
          <t>AMZN</t>
        </is>
      </c>
      <c r="F1926" s="6" t="inlineStr">
        <is>
          <t>-</t>
        </is>
      </c>
      <c r="G1926" s="7" t="n">
        <v>174.4199981689453</v>
      </c>
      <c r="H1926" s="6">
        <f>P1895</f>
        <v/>
      </c>
      <c r="I1926" s="9">
        <f>Q1895</f>
        <v/>
      </c>
      <c r="J1926" s="7">
        <f>I1926*G1926</f>
        <v/>
      </c>
      <c r="K1926" s="8">
        <f>IF($J$1954=0,0,J1926/$J$1954)</f>
        <v/>
      </c>
      <c r="L1926" s="6" t="inlineStr">
        <is>
          <t>WATCHLIST</t>
        </is>
      </c>
      <c r="M1926" s="8" t="n">
        <v>0</v>
      </c>
      <c r="N1926" s="7">
        <f>M1926*$J$1954-J1926</f>
        <v/>
      </c>
      <c r="O1926" s="9">
        <f>IF(G1926=0,0,N1926/G1926)</f>
        <v/>
      </c>
      <c r="P1926" s="6">
        <f>IF(M1926&gt;0,D1926,"")</f>
        <v/>
      </c>
      <c r="Q1926" s="9">
        <f>I1926+O1926</f>
        <v/>
      </c>
      <c r="R1926" s="7">
        <f>Q1926*G1926</f>
        <v/>
      </c>
      <c r="S1926" s="8">
        <f>IF($R$1954=0,0,R1926/$R$1954)</f>
        <v/>
      </c>
      <c r="T1926" s="8" t="n">
        <v>-0.01017449473481191</v>
      </c>
      <c r="U1926" s="8" t="n">
        <v>-0.0001598399803325323</v>
      </c>
      <c r="V1926" s="6" t="inlineStr">
        <is>
          <t>not selected</t>
        </is>
      </c>
    </row>
    <row r="1927">
      <c r="A1927" s="6" t="inlineStr">
        <is>
          <t>DJ30</t>
        </is>
      </c>
      <c r="B1927" s="6" t="inlineStr">
        <is>
          <t>2024-03-15</t>
        </is>
      </c>
      <c r="C1927" s="6" t="inlineStr">
        <is>
          <t>DIA</t>
        </is>
      </c>
      <c r="D1927" s="6" t="inlineStr">
        <is>
          <t>AXP</t>
        </is>
      </c>
      <c r="E1927" s="6" t="inlineStr">
        <is>
          <t>AXP</t>
        </is>
      </c>
      <c r="F1927" s="6" t="inlineStr">
        <is>
          <t>-</t>
        </is>
      </c>
      <c r="G1927" s="7" t="n">
        <v>213.115737915039</v>
      </c>
      <c r="H1927" s="6">
        <f>P1896</f>
        <v/>
      </c>
      <c r="I1927" s="9">
        <f>Q1896</f>
        <v/>
      </c>
      <c r="J1927" s="7">
        <f>I1927*G1927</f>
        <v/>
      </c>
      <c r="K1927" s="8">
        <f>IF($J$1954=0,0,J1927/$J$1954)</f>
        <v/>
      </c>
      <c r="L1927" s="6" t="inlineStr">
        <is>
          <t>WATCHLIST</t>
        </is>
      </c>
      <c r="M1927" s="8" t="n">
        <v>0</v>
      </c>
      <c r="N1927" s="7">
        <f>M1927*$J$1954-J1927</f>
        <v/>
      </c>
      <c r="O1927" s="9">
        <f>IF(G1927=0,0,N1927/G1927)</f>
        <v/>
      </c>
      <c r="P1927" s="6">
        <f>IF(M1927&gt;0,D1927,"")</f>
        <v/>
      </c>
      <c r="Q1927" s="9">
        <f>I1927+O1927</f>
        <v/>
      </c>
      <c r="R1927" s="7">
        <f>Q1927*G1927</f>
        <v/>
      </c>
      <c r="S1927" s="8">
        <f>IF($R$1954=0,0,R1927/$R$1954)</f>
        <v/>
      </c>
      <c r="T1927" s="8" t="n">
        <v>-0.01017449473481191</v>
      </c>
      <c r="U1927" s="8" t="n">
        <v>-0.0001598399803325323</v>
      </c>
      <c r="V1927" s="6" t="inlineStr">
        <is>
          <t>not selected</t>
        </is>
      </c>
    </row>
    <row r="1928">
      <c r="A1928" s="6" t="inlineStr">
        <is>
          <t>DJ30</t>
        </is>
      </c>
      <c r="B1928" s="6" t="inlineStr">
        <is>
          <t>2024-03-15</t>
        </is>
      </c>
      <c r="C1928" s="6" t="inlineStr">
        <is>
          <t>DIA</t>
        </is>
      </c>
      <c r="D1928" s="6" t="inlineStr">
        <is>
          <t>BA</t>
        </is>
      </c>
      <c r="E1928" s="6" t="inlineStr">
        <is>
          <t>BA</t>
        </is>
      </c>
      <c r="F1928" s="6" t="inlineStr">
        <is>
          <t>-</t>
        </is>
      </c>
      <c r="G1928" s="7" t="n">
        <v>182.5299987792969</v>
      </c>
      <c r="H1928" s="6">
        <f>P1897</f>
        <v/>
      </c>
      <c r="I1928" s="9">
        <f>Q1897</f>
        <v/>
      </c>
      <c r="J1928" s="7">
        <f>I1928*G1928</f>
        <v/>
      </c>
      <c r="K1928" s="8">
        <f>IF($J$1954=0,0,J1928/$J$1954)</f>
        <v/>
      </c>
      <c r="L1928" s="6" t="inlineStr">
        <is>
          <t>REJECTED</t>
        </is>
      </c>
      <c r="M1928" s="8" t="n">
        <v>0</v>
      </c>
      <c r="N1928" s="7">
        <f>M1928*$J$1954-J1928</f>
        <v/>
      </c>
      <c r="O1928" s="9">
        <f>IF(G1928=0,0,N1928/G1928)</f>
        <v/>
      </c>
      <c r="P1928" s="6">
        <f>IF(M1928&gt;0,D1928,"")</f>
        <v/>
      </c>
      <c r="Q1928" s="9">
        <f>I1928+O1928</f>
        <v/>
      </c>
      <c r="R1928" s="7">
        <f>Q1928*G1928</f>
        <v/>
      </c>
      <c r="S1928" s="8">
        <f>IF($R$1954=0,0,R1928/$R$1954)</f>
        <v/>
      </c>
      <c r="T1928" s="8" t="n">
        <v>-0.01017449473481191</v>
      </c>
      <c r="U1928" s="8" t="n">
        <v>-0.0001598399803325323</v>
      </c>
      <c r="V1928" s="6" t="inlineStr">
        <is>
          <t>not selected</t>
        </is>
      </c>
    </row>
    <row r="1929">
      <c r="A1929" s="6" t="inlineStr">
        <is>
          <t>DJ30</t>
        </is>
      </c>
      <c r="B1929" s="6" t="inlineStr">
        <is>
          <t>2024-03-15</t>
        </is>
      </c>
      <c r="C1929" s="6" t="inlineStr">
        <is>
          <t>DIA</t>
        </is>
      </c>
      <c r="D1929" s="6" t="inlineStr">
        <is>
          <t>CAT</t>
        </is>
      </c>
      <c r="E1929" s="6" t="inlineStr">
        <is>
          <t>CAT</t>
        </is>
      </c>
      <c r="F1929" s="6" t="inlineStr">
        <is>
          <t>-</t>
        </is>
      </c>
      <c r="G1929" s="7" t="n">
        <v>336.5415954589844</v>
      </c>
      <c r="H1929" s="6">
        <f>P1898</f>
        <v/>
      </c>
      <c r="I1929" s="9">
        <f>Q1898</f>
        <v/>
      </c>
      <c r="J1929" s="7">
        <f>I1929*G1929</f>
        <v/>
      </c>
      <c r="K1929" s="8">
        <f>IF($J$1954=0,0,J1929/$J$1954)</f>
        <v/>
      </c>
      <c r="L1929" s="6" t="inlineStr">
        <is>
          <t>SELECTED</t>
        </is>
      </c>
      <c r="M1929" s="8" t="n">
        <v>0.2</v>
      </c>
      <c r="N1929" s="7">
        <f>M1929*$J$1954-J1929</f>
        <v/>
      </c>
      <c r="O1929" s="9">
        <f>IF(G1929=0,0,N1929/G1929)</f>
        <v/>
      </c>
      <c r="P1929" s="6">
        <f>IF(M1929&gt;0,D1929,"")</f>
        <v/>
      </c>
      <c r="Q1929" s="9">
        <f>I1929+O1929</f>
        <v/>
      </c>
      <c r="R1929" s="7">
        <f>Q1929*G1929</f>
        <v/>
      </c>
      <c r="S1929" s="8">
        <f>IF($R$1954=0,0,R1929/$R$1954)</f>
        <v/>
      </c>
      <c r="T1929" s="8" t="n">
        <v>-0.01017449473481191</v>
      </c>
      <c r="U1929" s="8" t="n">
        <v>-0.0001598399803325323</v>
      </c>
      <c r="V1929" s="6" t="inlineStr">
        <is>
          <t>remained in weekly selection</t>
        </is>
      </c>
    </row>
    <row r="1930">
      <c r="A1930" s="6" t="inlineStr">
        <is>
          <t>DJ30</t>
        </is>
      </c>
      <c r="B1930" s="6" t="inlineStr">
        <is>
          <t>2024-03-15</t>
        </is>
      </c>
      <c r="C1930" s="6" t="inlineStr">
        <is>
          <t>DIA</t>
        </is>
      </c>
      <c r="D1930" s="6" t="inlineStr">
        <is>
          <t>CRM</t>
        </is>
      </c>
      <c r="E1930" s="6" t="inlineStr">
        <is>
          <t>CRM</t>
        </is>
      </c>
      <c r="F1930" s="6" t="inlineStr">
        <is>
          <t>-</t>
        </is>
      </c>
      <c r="G1930" s="7" t="n">
        <v>289.7024536132812</v>
      </c>
      <c r="H1930" s="6">
        <f>P1899</f>
        <v/>
      </c>
      <c r="I1930" s="9">
        <f>Q1899</f>
        <v/>
      </c>
      <c r="J1930" s="7">
        <f>I1930*G1930</f>
        <v/>
      </c>
      <c r="K1930" s="8">
        <f>IF($J$1954=0,0,J1930/$J$1954)</f>
        <v/>
      </c>
      <c r="L1930" s="6" t="inlineStr">
        <is>
          <t>SELECTED</t>
        </is>
      </c>
      <c r="M1930" s="8" t="n">
        <v>0.2</v>
      </c>
      <c r="N1930" s="7">
        <f>M1930*$J$1954-J1930</f>
        <v/>
      </c>
      <c r="O1930" s="9">
        <f>IF(G1930=0,0,N1930/G1930)</f>
        <v/>
      </c>
      <c r="P1930" s="6">
        <f>IF(M1930&gt;0,D1930,"")</f>
        <v/>
      </c>
      <c r="Q1930" s="9">
        <f>I1930+O1930</f>
        <v/>
      </c>
      <c r="R1930" s="7">
        <f>Q1930*G1930</f>
        <v/>
      </c>
      <c r="S1930" s="8">
        <f>IF($R$1954=0,0,R1930/$R$1954)</f>
        <v/>
      </c>
      <c r="T1930" s="8" t="n">
        <v>-0.01017449473481191</v>
      </c>
      <c r="U1930" s="8" t="n">
        <v>-0.0001598399803325323</v>
      </c>
      <c r="V1930" s="6" t="inlineStr">
        <is>
          <t>remained in weekly selection</t>
        </is>
      </c>
    </row>
    <row r="1931">
      <c r="A1931" s="6" t="inlineStr">
        <is>
          <t>DJ30</t>
        </is>
      </c>
      <c r="B1931" s="6" t="inlineStr">
        <is>
          <t>2024-03-15</t>
        </is>
      </c>
      <c r="C1931" s="6" t="inlineStr">
        <is>
          <t>DIA</t>
        </is>
      </c>
      <c r="D1931" s="6" t="inlineStr">
        <is>
          <t>CSCO</t>
        </is>
      </c>
      <c r="E1931" s="6" t="inlineStr">
        <is>
          <t>CSCO</t>
        </is>
      </c>
      <c r="F1931" s="6" t="inlineStr">
        <is>
          <t>-</t>
        </is>
      </c>
      <c r="G1931" s="7" t="n">
        <v>46.05830764770508</v>
      </c>
      <c r="H1931" s="6">
        <f>P1900</f>
        <v/>
      </c>
      <c r="I1931" s="9">
        <f>Q1900</f>
        <v/>
      </c>
      <c r="J1931" s="7">
        <f>I1931*G1931</f>
        <v/>
      </c>
      <c r="K1931" s="8">
        <f>IF($J$1954=0,0,J1931/$J$1954)</f>
        <v/>
      </c>
      <c r="L1931" s="6" t="inlineStr">
        <is>
          <t>REJECTED</t>
        </is>
      </c>
      <c r="M1931" s="8" t="n">
        <v>0</v>
      </c>
      <c r="N1931" s="7">
        <f>M1931*$J$1954-J1931</f>
        <v/>
      </c>
      <c r="O1931" s="9">
        <f>IF(G1931=0,0,N1931/G1931)</f>
        <v/>
      </c>
      <c r="P1931" s="6">
        <f>IF(M1931&gt;0,D1931,"")</f>
        <v/>
      </c>
      <c r="Q1931" s="9">
        <f>I1931+O1931</f>
        <v/>
      </c>
      <c r="R1931" s="7">
        <f>Q1931*G1931</f>
        <v/>
      </c>
      <c r="S1931" s="8">
        <f>IF($R$1954=0,0,R1931/$R$1954)</f>
        <v/>
      </c>
      <c r="T1931" s="8" t="n">
        <v>-0.01017449473481191</v>
      </c>
      <c r="U1931" s="8" t="n">
        <v>-0.0001598399803325323</v>
      </c>
      <c r="V1931" s="6" t="inlineStr">
        <is>
          <t>not selected</t>
        </is>
      </c>
    </row>
    <row r="1932">
      <c r="A1932" s="6" t="inlineStr">
        <is>
          <t>DJ30</t>
        </is>
      </c>
      <c r="B1932" s="6" t="inlineStr">
        <is>
          <t>2024-03-15</t>
        </is>
      </c>
      <c r="C1932" s="6" t="inlineStr">
        <is>
          <t>DIA</t>
        </is>
      </c>
      <c r="D1932" s="6" t="inlineStr">
        <is>
          <t>CVX</t>
        </is>
      </c>
      <c r="E1932" s="6" t="inlineStr">
        <is>
          <t>CVX</t>
        </is>
      </c>
      <c r="F1932" s="6" t="inlineStr">
        <is>
          <t>-</t>
        </is>
      </c>
      <c r="G1932" s="7" t="n">
        <v>141.3832244873047</v>
      </c>
      <c r="H1932" s="6">
        <f>P1901</f>
        <v/>
      </c>
      <c r="I1932" s="9">
        <f>Q1901</f>
        <v/>
      </c>
      <c r="J1932" s="7">
        <f>I1932*G1932</f>
        <v/>
      </c>
      <c r="K1932" s="8">
        <f>IF($J$1954=0,0,J1932/$J$1954)</f>
        <v/>
      </c>
      <c r="L1932" s="6" t="inlineStr">
        <is>
          <t>REJECTED</t>
        </is>
      </c>
      <c r="M1932" s="8" t="n">
        <v>0</v>
      </c>
      <c r="N1932" s="7">
        <f>M1932*$J$1954-J1932</f>
        <v/>
      </c>
      <c r="O1932" s="9">
        <f>IF(G1932=0,0,N1932/G1932)</f>
        <v/>
      </c>
      <c r="P1932" s="6">
        <f>IF(M1932&gt;0,D1932,"")</f>
        <v/>
      </c>
      <c r="Q1932" s="9">
        <f>I1932+O1932</f>
        <v/>
      </c>
      <c r="R1932" s="7">
        <f>Q1932*G1932</f>
        <v/>
      </c>
      <c r="S1932" s="8">
        <f>IF($R$1954=0,0,R1932/$R$1954)</f>
        <v/>
      </c>
      <c r="T1932" s="8" t="n">
        <v>-0.01017449473481191</v>
      </c>
      <c r="U1932" s="8" t="n">
        <v>-0.0001598399803325323</v>
      </c>
      <c r="V1932" s="6" t="inlineStr">
        <is>
          <t>not selected</t>
        </is>
      </c>
    </row>
    <row r="1933">
      <c r="A1933" s="6" t="inlineStr">
        <is>
          <t>DJ30</t>
        </is>
      </c>
      <c r="B1933" s="6" t="inlineStr">
        <is>
          <t>2024-03-15</t>
        </is>
      </c>
      <c r="C1933" s="6" t="inlineStr">
        <is>
          <t>DIA</t>
        </is>
      </c>
      <c r="D1933" s="6" t="inlineStr">
        <is>
          <t>DIS</t>
        </is>
      </c>
      <c r="E1933" s="6" t="inlineStr">
        <is>
          <t>DIS</t>
        </is>
      </c>
      <c r="F1933" s="6" t="inlineStr">
        <is>
          <t>-</t>
        </is>
      </c>
      <c r="G1933" s="7" t="n">
        <v>109.7307586669922</v>
      </c>
      <c r="H1933" s="6">
        <f>P1902</f>
        <v/>
      </c>
      <c r="I1933" s="9">
        <f>Q1902</f>
        <v/>
      </c>
      <c r="J1933" s="7">
        <f>I1933*G1933</f>
        <v/>
      </c>
      <c r="K1933" s="8">
        <f>IF($J$1954=0,0,J1933/$J$1954)</f>
        <v/>
      </c>
      <c r="L1933" s="6" t="inlineStr">
        <is>
          <t>REJECTED</t>
        </is>
      </c>
      <c r="M1933" s="8" t="n">
        <v>0</v>
      </c>
      <c r="N1933" s="7">
        <f>M1933*$J$1954-J1933</f>
        <v/>
      </c>
      <c r="O1933" s="9">
        <f>IF(G1933=0,0,N1933/G1933)</f>
        <v/>
      </c>
      <c r="P1933" s="6">
        <f>IF(M1933&gt;0,D1933,"")</f>
        <v/>
      </c>
      <c r="Q1933" s="9">
        <f>I1933+O1933</f>
        <v/>
      </c>
      <c r="R1933" s="7">
        <f>Q1933*G1933</f>
        <v/>
      </c>
      <c r="S1933" s="8">
        <f>IF($R$1954=0,0,R1933/$R$1954)</f>
        <v/>
      </c>
      <c r="T1933" s="8" t="n">
        <v>-0.01017449473481191</v>
      </c>
      <c r="U1933" s="8" t="n">
        <v>-0.0001598399803325323</v>
      </c>
      <c r="V1933" s="6" t="inlineStr">
        <is>
          <t>not selected</t>
        </is>
      </c>
    </row>
    <row r="1934">
      <c r="A1934" s="6" t="inlineStr">
        <is>
          <t>DJ30</t>
        </is>
      </c>
      <c r="B1934" s="6" t="inlineStr">
        <is>
          <t>2024-03-15</t>
        </is>
      </c>
      <c r="C1934" s="6" t="inlineStr">
        <is>
          <t>DIA</t>
        </is>
      </c>
      <c r="D1934" s="6" t="inlineStr">
        <is>
          <t>GS</t>
        </is>
      </c>
      <c r="E1934" s="6" t="inlineStr">
        <is>
          <t>GS</t>
        </is>
      </c>
      <c r="F1934" s="6" t="inlineStr">
        <is>
          <t>-</t>
        </is>
      </c>
      <c r="G1934" s="7" t="n">
        <v>369.5345458984375</v>
      </c>
      <c r="H1934" s="6">
        <f>P1903</f>
        <v/>
      </c>
      <c r="I1934" s="9">
        <f>Q1903</f>
        <v/>
      </c>
      <c r="J1934" s="7">
        <f>I1934*G1934</f>
        <v/>
      </c>
      <c r="K1934" s="8">
        <f>IF($J$1954=0,0,J1934/$J$1954)</f>
        <v/>
      </c>
      <c r="L1934" s="6" t="inlineStr">
        <is>
          <t>WATCHLIST</t>
        </is>
      </c>
      <c r="M1934" s="8" t="n">
        <v>0</v>
      </c>
      <c r="N1934" s="7">
        <f>M1934*$J$1954-J1934</f>
        <v/>
      </c>
      <c r="O1934" s="9">
        <f>IF(G1934=0,0,N1934/G1934)</f>
        <v/>
      </c>
      <c r="P1934" s="6">
        <f>IF(M1934&gt;0,D1934,"")</f>
        <v/>
      </c>
      <c r="Q1934" s="9">
        <f>I1934+O1934</f>
        <v/>
      </c>
      <c r="R1934" s="7">
        <f>Q1934*G1934</f>
        <v/>
      </c>
      <c r="S1934" s="8">
        <f>IF($R$1954=0,0,R1934/$R$1954)</f>
        <v/>
      </c>
      <c r="T1934" s="8" t="n">
        <v>-0.01017449473481191</v>
      </c>
      <c r="U1934" s="8" t="n">
        <v>-0.0001598399803325323</v>
      </c>
      <c r="V1934" s="6" t="inlineStr">
        <is>
          <t>not selected</t>
        </is>
      </c>
    </row>
    <row r="1935">
      <c r="A1935" s="6" t="inlineStr">
        <is>
          <t>DJ30</t>
        </is>
      </c>
      <c r="B1935" s="6" t="inlineStr">
        <is>
          <t>2024-03-15</t>
        </is>
      </c>
      <c r="C1935" s="6" t="inlineStr">
        <is>
          <t>DIA</t>
        </is>
      </c>
      <c r="D1935" s="6" t="inlineStr">
        <is>
          <t>HD</t>
        </is>
      </c>
      <c r="E1935" s="6" t="inlineStr">
        <is>
          <t>HD</t>
        </is>
      </c>
      <c r="F1935" s="6" t="inlineStr">
        <is>
          <t>-</t>
        </is>
      </c>
      <c r="G1935" s="7" t="n">
        <v>352.5519409179688</v>
      </c>
      <c r="H1935" s="6">
        <f>P1904</f>
        <v/>
      </c>
      <c r="I1935" s="9">
        <f>Q1904</f>
        <v/>
      </c>
      <c r="J1935" s="7">
        <f>I1935*G1935</f>
        <v/>
      </c>
      <c r="K1935" s="8">
        <f>IF($J$1954=0,0,J1935/$J$1954)</f>
        <v/>
      </c>
      <c r="L1935" s="6" t="inlineStr">
        <is>
          <t>WATCHLIST</t>
        </is>
      </c>
      <c r="M1935" s="8" t="n">
        <v>0</v>
      </c>
      <c r="N1935" s="7">
        <f>M1935*$J$1954-J1935</f>
        <v/>
      </c>
      <c r="O1935" s="9">
        <f>IF(G1935=0,0,N1935/G1935)</f>
        <v/>
      </c>
      <c r="P1935" s="6">
        <f>IF(M1935&gt;0,D1935,"")</f>
        <v/>
      </c>
      <c r="Q1935" s="9">
        <f>I1935+O1935</f>
        <v/>
      </c>
      <c r="R1935" s="7">
        <f>Q1935*G1935</f>
        <v/>
      </c>
      <c r="S1935" s="8">
        <f>IF($R$1954=0,0,R1935/$R$1954)</f>
        <v/>
      </c>
      <c r="T1935" s="8" t="n">
        <v>-0.01017449473481191</v>
      </c>
      <c r="U1935" s="8" t="n">
        <v>-0.0001598399803325323</v>
      </c>
      <c r="V1935" s="6" t="inlineStr">
        <is>
          <t>not selected</t>
        </is>
      </c>
    </row>
    <row r="1936">
      <c r="A1936" s="6" t="inlineStr">
        <is>
          <t>DJ30</t>
        </is>
      </c>
      <c r="B1936" s="6" t="inlineStr">
        <is>
          <t>2024-03-15</t>
        </is>
      </c>
      <c r="C1936" s="6" t="inlineStr">
        <is>
          <t>DIA</t>
        </is>
      </c>
      <c r="D1936" s="6" t="inlineStr">
        <is>
          <t>HON</t>
        </is>
      </c>
      <c r="E1936" s="6" t="inlineStr">
        <is>
          <t>HON</t>
        </is>
      </c>
      <c r="F1936" s="6" t="inlineStr">
        <is>
          <t>-</t>
        </is>
      </c>
      <c r="G1936" s="7" t="n">
        <v>177.6488494873047</v>
      </c>
      <c r="H1936" s="6">
        <f>P1905</f>
        <v/>
      </c>
      <c r="I1936" s="9">
        <f>Q1905</f>
        <v/>
      </c>
      <c r="J1936" s="7">
        <f>I1936*G1936</f>
        <v/>
      </c>
      <c r="K1936" s="8">
        <f>IF($J$1954=0,0,J1936/$J$1954)</f>
        <v/>
      </c>
      <c r="L1936" s="6" t="inlineStr">
        <is>
          <t>REJECTED</t>
        </is>
      </c>
      <c r="M1936" s="8" t="n">
        <v>0</v>
      </c>
      <c r="N1936" s="7">
        <f>M1936*$J$1954-J1936</f>
        <v/>
      </c>
      <c r="O1936" s="9">
        <f>IF(G1936=0,0,N1936/G1936)</f>
        <v/>
      </c>
      <c r="P1936" s="6">
        <f>IF(M1936&gt;0,D1936,"")</f>
        <v/>
      </c>
      <c r="Q1936" s="9">
        <f>I1936+O1936</f>
        <v/>
      </c>
      <c r="R1936" s="7">
        <f>Q1936*G1936</f>
        <v/>
      </c>
      <c r="S1936" s="8">
        <f>IF($R$1954=0,0,R1936/$R$1954)</f>
        <v/>
      </c>
      <c r="T1936" s="8" t="n">
        <v>-0.01017449473481191</v>
      </c>
      <c r="U1936" s="8" t="n">
        <v>-0.0001598399803325323</v>
      </c>
      <c r="V1936" s="6" t="inlineStr">
        <is>
          <t>not selected</t>
        </is>
      </c>
    </row>
    <row r="1937">
      <c r="A1937" s="6" t="inlineStr">
        <is>
          <t>DJ30</t>
        </is>
      </c>
      <c r="B1937" s="6" t="inlineStr">
        <is>
          <t>2024-03-15</t>
        </is>
      </c>
      <c r="C1937" s="6" t="inlineStr">
        <is>
          <t>DIA</t>
        </is>
      </c>
      <c r="D1937" s="6" t="inlineStr">
        <is>
          <t>IBM</t>
        </is>
      </c>
      <c r="E1937" s="6" t="inlineStr">
        <is>
          <t>IBM</t>
        </is>
      </c>
      <c r="F1937" s="6" t="inlineStr">
        <is>
          <t>-</t>
        </is>
      </c>
      <c r="G1937" s="7" t="n">
        <v>179.0519561767578</v>
      </c>
      <c r="H1937" s="6">
        <f>P1906</f>
        <v/>
      </c>
      <c r="I1937" s="9">
        <f>Q1906</f>
        <v/>
      </c>
      <c r="J1937" s="7">
        <f>I1937*G1937</f>
        <v/>
      </c>
      <c r="K1937" s="8">
        <f>IF($J$1954=0,0,J1937/$J$1954)</f>
        <v/>
      </c>
      <c r="L1937" s="6" t="inlineStr">
        <is>
          <t>SELECTED</t>
        </is>
      </c>
      <c r="M1937" s="8" t="n">
        <v>0.2</v>
      </c>
      <c r="N1937" s="7">
        <f>M1937*$J$1954-J1937</f>
        <v/>
      </c>
      <c r="O1937" s="9">
        <f>IF(G1937=0,0,N1937/G1937)</f>
        <v/>
      </c>
      <c r="P1937" s="6">
        <f>IF(M1937&gt;0,D1937,"")</f>
        <v/>
      </c>
      <c r="Q1937" s="9">
        <f>I1937+O1937</f>
        <v/>
      </c>
      <c r="R1937" s="7">
        <f>Q1937*G1937</f>
        <v/>
      </c>
      <c r="S1937" s="8">
        <f>IF($R$1954=0,0,R1937/$R$1954)</f>
        <v/>
      </c>
      <c r="T1937" s="8" t="n">
        <v>-0.01017449473481191</v>
      </c>
      <c r="U1937" s="8" t="n">
        <v>-0.0001598399803325323</v>
      </c>
      <c r="V1937" s="6" t="inlineStr">
        <is>
          <t>remained in weekly selection</t>
        </is>
      </c>
    </row>
    <row r="1938">
      <c r="A1938" s="6" t="inlineStr">
        <is>
          <t>DJ30</t>
        </is>
      </c>
      <c r="B1938" s="6" t="inlineStr">
        <is>
          <t>2024-03-15</t>
        </is>
      </c>
      <c r="C1938" s="6" t="inlineStr">
        <is>
          <t>DIA</t>
        </is>
      </c>
      <c r="D1938" s="6" t="inlineStr">
        <is>
          <t>JNJ</t>
        </is>
      </c>
      <c r="E1938" s="6" t="inlineStr">
        <is>
          <t>JNJ</t>
        </is>
      </c>
      <c r="F1938" s="6" t="inlineStr">
        <is>
          <t>-</t>
        </is>
      </c>
      <c r="G1938" s="7" t="n">
        <v>148.2560882568359</v>
      </c>
      <c r="H1938" s="6">
        <f>P1907</f>
        <v/>
      </c>
      <c r="I1938" s="9">
        <f>Q1907</f>
        <v/>
      </c>
      <c r="J1938" s="7">
        <f>I1938*G1938</f>
        <v/>
      </c>
      <c r="K1938" s="8">
        <f>IF($J$1954=0,0,J1938/$J$1954)</f>
        <v/>
      </c>
      <c r="L1938" s="6" t="inlineStr">
        <is>
          <t>REJECTED</t>
        </is>
      </c>
      <c r="M1938" s="8" t="n">
        <v>0</v>
      </c>
      <c r="N1938" s="7">
        <f>M1938*$J$1954-J1938</f>
        <v/>
      </c>
      <c r="O1938" s="9">
        <f>IF(G1938=0,0,N1938/G1938)</f>
        <v/>
      </c>
      <c r="P1938" s="6">
        <f>IF(M1938&gt;0,D1938,"")</f>
        <v/>
      </c>
      <c r="Q1938" s="9">
        <f>I1938+O1938</f>
        <v/>
      </c>
      <c r="R1938" s="7">
        <f>Q1938*G1938</f>
        <v/>
      </c>
      <c r="S1938" s="8">
        <f>IF($R$1954=0,0,R1938/$R$1954)</f>
        <v/>
      </c>
      <c r="T1938" s="8" t="n">
        <v>-0.01017449473481191</v>
      </c>
      <c r="U1938" s="8" t="n">
        <v>-0.0001598399803325323</v>
      </c>
      <c r="V1938" s="6" t="inlineStr">
        <is>
          <t>not selected</t>
        </is>
      </c>
    </row>
    <row r="1939">
      <c r="A1939" s="6" t="inlineStr">
        <is>
          <t>DJ30</t>
        </is>
      </c>
      <c r="B1939" s="6" t="inlineStr">
        <is>
          <t>2024-03-15</t>
        </is>
      </c>
      <c r="C1939" s="6" t="inlineStr">
        <is>
          <t>DIA</t>
        </is>
      </c>
      <c r="D1939" s="6" t="inlineStr">
        <is>
          <t>JPM</t>
        </is>
      </c>
      <c r="E1939" s="6" t="inlineStr">
        <is>
          <t>JPM</t>
        </is>
      </c>
      <c r="F1939" s="6" t="inlineStr">
        <is>
          <t>-</t>
        </is>
      </c>
      <c r="G1939" s="7" t="n">
        <v>181.3805084228516</v>
      </c>
      <c r="H1939" s="6">
        <f>P1908</f>
        <v/>
      </c>
      <c r="I1939" s="9">
        <f>Q1908</f>
        <v/>
      </c>
      <c r="J1939" s="7">
        <f>I1939*G1939</f>
        <v/>
      </c>
      <c r="K1939" s="8">
        <f>IF($J$1954=0,0,J1939/$J$1954)</f>
        <v/>
      </c>
      <c r="L1939" s="6" t="inlineStr">
        <is>
          <t>WATCHLIST</t>
        </is>
      </c>
      <c r="M1939" s="8" t="n">
        <v>0</v>
      </c>
      <c r="N1939" s="7">
        <f>M1939*$J$1954-J1939</f>
        <v/>
      </c>
      <c r="O1939" s="9">
        <f>IF(G1939=0,0,N1939/G1939)</f>
        <v/>
      </c>
      <c r="P1939" s="6">
        <f>IF(M1939&gt;0,D1939,"")</f>
        <v/>
      </c>
      <c r="Q1939" s="9">
        <f>I1939+O1939</f>
        <v/>
      </c>
      <c r="R1939" s="7">
        <f>Q1939*G1939</f>
        <v/>
      </c>
      <c r="S1939" s="8">
        <f>IF($R$1954=0,0,R1939/$R$1954)</f>
        <v/>
      </c>
      <c r="T1939" s="8" t="n">
        <v>-0.01017449473481191</v>
      </c>
      <c r="U1939" s="8" t="n">
        <v>-0.0001598399803325323</v>
      </c>
      <c r="V1939" s="6" t="inlineStr">
        <is>
          <t>not selected</t>
        </is>
      </c>
    </row>
    <row r="1940">
      <c r="A1940" s="6" t="inlineStr">
        <is>
          <t>DJ30</t>
        </is>
      </c>
      <c r="B1940" s="6" t="inlineStr">
        <is>
          <t>2024-03-15</t>
        </is>
      </c>
      <c r="C1940" s="6" t="inlineStr">
        <is>
          <t>DIA</t>
        </is>
      </c>
      <c r="D1940" s="6" t="inlineStr">
        <is>
          <t>KO</t>
        </is>
      </c>
      <c r="E1940" s="6" t="inlineStr">
        <is>
          <t>KO</t>
        </is>
      </c>
      <c r="F1940" s="6" t="inlineStr">
        <is>
          <t>-</t>
        </is>
      </c>
      <c r="G1940" s="7" t="n">
        <v>56.14066696166992</v>
      </c>
      <c r="H1940" s="6">
        <f>P1909</f>
        <v/>
      </c>
      <c r="I1940" s="9">
        <f>Q1909</f>
        <v/>
      </c>
      <c r="J1940" s="7">
        <f>I1940*G1940</f>
        <v/>
      </c>
      <c r="K1940" s="8">
        <f>IF($J$1954=0,0,J1940/$J$1954)</f>
        <v/>
      </c>
      <c r="L1940" s="6" t="inlineStr">
        <is>
          <t>REJECTED</t>
        </is>
      </c>
      <c r="M1940" s="8" t="n">
        <v>0</v>
      </c>
      <c r="N1940" s="7">
        <f>M1940*$J$1954-J1940</f>
        <v/>
      </c>
      <c r="O1940" s="9">
        <f>IF(G1940=0,0,N1940/G1940)</f>
        <v/>
      </c>
      <c r="P1940" s="6">
        <f>IF(M1940&gt;0,D1940,"")</f>
        <v/>
      </c>
      <c r="Q1940" s="9">
        <f>I1940+O1940</f>
        <v/>
      </c>
      <c r="R1940" s="7">
        <f>Q1940*G1940</f>
        <v/>
      </c>
      <c r="S1940" s="8">
        <f>IF($R$1954=0,0,R1940/$R$1954)</f>
        <v/>
      </c>
      <c r="T1940" s="8" t="n">
        <v>-0.01017449473481191</v>
      </c>
      <c r="U1940" s="8" t="n">
        <v>-0.0001598399803325323</v>
      </c>
      <c r="V1940" s="6" t="inlineStr">
        <is>
          <t>not selected</t>
        </is>
      </c>
    </row>
    <row r="1941">
      <c r="A1941" s="6" t="inlineStr">
        <is>
          <t>DJ30</t>
        </is>
      </c>
      <c r="B1941" s="6" t="inlineStr">
        <is>
          <t>2024-03-15</t>
        </is>
      </c>
      <c r="C1941" s="6" t="inlineStr">
        <is>
          <t>DIA</t>
        </is>
      </c>
      <c r="D1941" s="6" t="inlineStr">
        <is>
          <t>MCD</t>
        </is>
      </c>
      <c r="E1941" s="6" t="inlineStr">
        <is>
          <t>MCD</t>
        </is>
      </c>
      <c r="F1941" s="6" t="inlineStr">
        <is>
          <t>-</t>
        </is>
      </c>
      <c r="G1941" s="7" t="n">
        <v>264.5567016601562</v>
      </c>
      <c r="H1941" s="6">
        <f>P1910</f>
        <v/>
      </c>
      <c r="I1941" s="9">
        <f>Q1910</f>
        <v/>
      </c>
      <c r="J1941" s="7">
        <f>I1941*G1941</f>
        <v/>
      </c>
      <c r="K1941" s="8">
        <f>IF($J$1954=0,0,J1941/$J$1954)</f>
        <v/>
      </c>
      <c r="L1941" s="6" t="inlineStr">
        <is>
          <t>REJECTED</t>
        </is>
      </c>
      <c r="M1941" s="8" t="n">
        <v>0</v>
      </c>
      <c r="N1941" s="7">
        <f>M1941*$J$1954-J1941</f>
        <v/>
      </c>
      <c r="O1941" s="9">
        <f>IF(G1941=0,0,N1941/G1941)</f>
        <v/>
      </c>
      <c r="P1941" s="6">
        <f>IF(M1941&gt;0,D1941,"")</f>
        <v/>
      </c>
      <c r="Q1941" s="9">
        <f>I1941+O1941</f>
        <v/>
      </c>
      <c r="R1941" s="7">
        <f>Q1941*G1941</f>
        <v/>
      </c>
      <c r="S1941" s="8">
        <f>IF($R$1954=0,0,R1941/$R$1954)</f>
        <v/>
      </c>
      <c r="T1941" s="8" t="n">
        <v>-0.01017449473481191</v>
      </c>
      <c r="U1941" s="8" t="n">
        <v>-0.0001598399803325323</v>
      </c>
      <c r="V1941" s="6" t="inlineStr">
        <is>
          <t>not selected</t>
        </is>
      </c>
    </row>
    <row r="1942">
      <c r="A1942" s="6" t="inlineStr">
        <is>
          <t>DJ30</t>
        </is>
      </c>
      <c r="B1942" s="6" t="inlineStr">
        <is>
          <t>2024-03-15</t>
        </is>
      </c>
      <c r="C1942" s="6" t="inlineStr">
        <is>
          <t>DIA</t>
        </is>
      </c>
      <c r="D1942" s="6" t="inlineStr">
        <is>
          <t>MMM</t>
        </is>
      </c>
      <c r="E1942" s="6" t="inlineStr">
        <is>
          <t>MMM</t>
        </is>
      </c>
      <c r="F1942" s="6" t="inlineStr">
        <is>
          <t>-</t>
        </is>
      </c>
      <c r="G1942" s="7" t="n">
        <v>83.85060119628906</v>
      </c>
      <c r="H1942" s="6">
        <f>P1911</f>
        <v/>
      </c>
      <c r="I1942" s="9">
        <f>Q1911</f>
        <v/>
      </c>
      <c r="J1942" s="7">
        <f>I1942*G1942</f>
        <v/>
      </c>
      <c r="K1942" s="8">
        <f>IF($J$1954=0,0,J1942/$J$1954)</f>
        <v/>
      </c>
      <c r="L1942" s="6" t="inlineStr">
        <is>
          <t>REJECTED</t>
        </is>
      </c>
      <c r="M1942" s="8" t="n">
        <v>0</v>
      </c>
      <c r="N1942" s="7">
        <f>M1942*$J$1954-J1942</f>
        <v/>
      </c>
      <c r="O1942" s="9">
        <f>IF(G1942=0,0,N1942/G1942)</f>
        <v/>
      </c>
      <c r="P1942" s="6">
        <f>IF(M1942&gt;0,D1942,"")</f>
        <v/>
      </c>
      <c r="Q1942" s="9">
        <f>I1942+O1942</f>
        <v/>
      </c>
      <c r="R1942" s="7">
        <f>Q1942*G1942</f>
        <v/>
      </c>
      <c r="S1942" s="8">
        <f>IF($R$1954=0,0,R1942/$R$1954)</f>
        <v/>
      </c>
      <c r="T1942" s="8" t="n">
        <v>-0.01017449473481191</v>
      </c>
      <c r="U1942" s="8" t="n">
        <v>-0.0001598399803325323</v>
      </c>
      <c r="V1942" s="6" t="inlineStr">
        <is>
          <t>not selected</t>
        </is>
      </c>
    </row>
    <row r="1943">
      <c r="A1943" s="6" t="inlineStr">
        <is>
          <t>DJ30</t>
        </is>
      </c>
      <c r="B1943" s="6" t="inlineStr">
        <is>
          <t>2024-03-15</t>
        </is>
      </c>
      <c r="C1943" s="6" t="inlineStr">
        <is>
          <t>DIA</t>
        </is>
      </c>
      <c r="D1943" s="6" t="inlineStr">
        <is>
          <t>MRK</t>
        </is>
      </c>
      <c r="E1943" s="6" t="inlineStr">
        <is>
          <t>MRK</t>
        </is>
      </c>
      <c r="F1943" s="6" t="inlineStr">
        <is>
          <t>-</t>
        </is>
      </c>
      <c r="G1943" s="7" t="n">
        <v>113.0718460083008</v>
      </c>
      <c r="H1943" s="6">
        <f>P1912</f>
        <v/>
      </c>
      <c r="I1943" s="9">
        <f>Q1912</f>
        <v/>
      </c>
      <c r="J1943" s="7">
        <f>I1943*G1943</f>
        <v/>
      </c>
      <c r="K1943" s="8">
        <f>IF($J$1954=0,0,J1943/$J$1954)</f>
        <v/>
      </c>
      <c r="L1943" s="6" t="inlineStr">
        <is>
          <t>REJECTED</t>
        </is>
      </c>
      <c r="M1943" s="8" t="n">
        <v>0</v>
      </c>
      <c r="N1943" s="7">
        <f>M1943*$J$1954-J1943</f>
        <v/>
      </c>
      <c r="O1943" s="9">
        <f>IF(G1943=0,0,N1943/G1943)</f>
        <v/>
      </c>
      <c r="P1943" s="6">
        <f>IF(M1943&gt;0,D1943,"")</f>
        <v/>
      </c>
      <c r="Q1943" s="9">
        <f>I1943+O1943</f>
        <v/>
      </c>
      <c r="R1943" s="7">
        <f>Q1943*G1943</f>
        <v/>
      </c>
      <c r="S1943" s="8">
        <f>IF($R$1954=0,0,R1943/$R$1954)</f>
        <v/>
      </c>
      <c r="T1943" s="8" t="n">
        <v>-0.01017449473481191</v>
      </c>
      <c r="U1943" s="8" t="n">
        <v>-0.0001598399803325323</v>
      </c>
      <c r="V1943" s="6" t="inlineStr">
        <is>
          <t>not selected</t>
        </is>
      </c>
    </row>
    <row r="1944">
      <c r="A1944" s="6" t="inlineStr">
        <is>
          <t>DJ30</t>
        </is>
      </c>
      <c r="B1944" s="6" t="inlineStr">
        <is>
          <t>2024-03-15</t>
        </is>
      </c>
      <c r="C1944" s="6" t="inlineStr">
        <is>
          <t>DIA</t>
        </is>
      </c>
      <c r="D1944" s="6" t="inlineStr">
        <is>
          <t>MSFT</t>
        </is>
      </c>
      <c r="E1944" s="6" t="inlineStr">
        <is>
          <t>MSFT</t>
        </is>
      </c>
      <c r="F1944" s="6" t="inlineStr">
        <is>
          <t>-</t>
        </is>
      </c>
      <c r="G1944" s="7" t="n">
        <v>409.23876953125</v>
      </c>
      <c r="H1944" s="6">
        <f>P1913</f>
        <v/>
      </c>
      <c r="I1944" s="9">
        <f>Q1913</f>
        <v/>
      </c>
      <c r="J1944" s="7">
        <f>I1944*G1944</f>
        <v/>
      </c>
      <c r="K1944" s="8">
        <f>IF($J$1954=0,0,J1944/$J$1954)</f>
        <v/>
      </c>
      <c r="L1944" s="6" t="inlineStr">
        <is>
          <t>WATCHLIST</t>
        </is>
      </c>
      <c r="M1944" s="8" t="n">
        <v>0</v>
      </c>
      <c r="N1944" s="7">
        <f>M1944*$J$1954-J1944</f>
        <v/>
      </c>
      <c r="O1944" s="9">
        <f>IF(G1944=0,0,N1944/G1944)</f>
        <v/>
      </c>
      <c r="P1944" s="6">
        <f>IF(M1944&gt;0,D1944,"")</f>
        <v/>
      </c>
      <c r="Q1944" s="9">
        <f>I1944+O1944</f>
        <v/>
      </c>
      <c r="R1944" s="7">
        <f>Q1944*G1944</f>
        <v/>
      </c>
      <c r="S1944" s="8">
        <f>IF($R$1954=0,0,R1944/$R$1954)</f>
        <v/>
      </c>
      <c r="T1944" s="8" t="n">
        <v>-0.01017449473481191</v>
      </c>
      <c r="U1944" s="8" t="n">
        <v>-0.0001598399803325323</v>
      </c>
      <c r="V1944" s="6" t="inlineStr">
        <is>
          <t>not selected</t>
        </is>
      </c>
    </row>
    <row r="1945">
      <c r="A1945" s="6" t="inlineStr">
        <is>
          <t>DJ30</t>
        </is>
      </c>
      <c r="B1945" s="6" t="inlineStr">
        <is>
          <t>2024-03-15</t>
        </is>
      </c>
      <c r="C1945" s="6" t="inlineStr">
        <is>
          <t>DIA</t>
        </is>
      </c>
      <c r="D1945" s="6" t="inlineStr">
        <is>
          <t>NKE</t>
        </is>
      </c>
      <c r="E1945" s="6" t="inlineStr">
        <is>
          <t>NKE</t>
        </is>
      </c>
      <c r="F1945" s="6" t="inlineStr">
        <is>
          <t>-</t>
        </is>
      </c>
      <c r="G1945" s="7" t="n">
        <v>94.57358551025391</v>
      </c>
      <c r="H1945" s="6">
        <f>P1914</f>
        <v/>
      </c>
      <c r="I1945" s="9">
        <f>Q1914</f>
        <v/>
      </c>
      <c r="J1945" s="7">
        <f>I1945*G1945</f>
        <v/>
      </c>
      <c r="K1945" s="8">
        <f>IF($J$1954=0,0,J1945/$J$1954)</f>
        <v/>
      </c>
      <c r="L1945" s="6" t="inlineStr">
        <is>
          <t>REJECTED</t>
        </is>
      </c>
      <c r="M1945" s="8" t="n">
        <v>0</v>
      </c>
      <c r="N1945" s="7">
        <f>M1945*$J$1954-J1945</f>
        <v/>
      </c>
      <c r="O1945" s="9">
        <f>IF(G1945=0,0,N1945/G1945)</f>
        <v/>
      </c>
      <c r="P1945" s="6">
        <f>IF(M1945&gt;0,D1945,"")</f>
        <v/>
      </c>
      <c r="Q1945" s="9">
        <f>I1945+O1945</f>
        <v/>
      </c>
      <c r="R1945" s="7">
        <f>Q1945*G1945</f>
        <v/>
      </c>
      <c r="S1945" s="8">
        <f>IF($R$1954=0,0,R1945/$R$1954)</f>
        <v/>
      </c>
      <c r="T1945" s="8" t="n">
        <v>-0.01017449473481191</v>
      </c>
      <c r="U1945" s="8" t="n">
        <v>-0.0001598399803325323</v>
      </c>
      <c r="V1945" s="6" t="inlineStr">
        <is>
          <t>not selected</t>
        </is>
      </c>
    </row>
    <row r="1946">
      <c r="A1946" s="6" t="inlineStr">
        <is>
          <t>DJ30</t>
        </is>
      </c>
      <c r="B1946" s="6" t="inlineStr">
        <is>
          <t>2024-03-15</t>
        </is>
      </c>
      <c r="C1946" s="6" t="inlineStr">
        <is>
          <t>DIA</t>
        </is>
      </c>
      <c r="D1946" s="6" t="inlineStr">
        <is>
          <t>NVDA</t>
        </is>
      </c>
      <c r="E1946" s="6" t="inlineStr">
        <is>
          <t>NVDA</t>
        </is>
      </c>
      <c r="F1946" s="6" t="inlineStr">
        <is>
          <t>-</t>
        </is>
      </c>
      <c r="G1946" s="7" t="n">
        <v>87.68527221679688</v>
      </c>
      <c r="H1946" s="6">
        <f>P1915</f>
        <v/>
      </c>
      <c r="I1946" s="9">
        <f>Q1915</f>
        <v/>
      </c>
      <c r="J1946" s="7">
        <f>I1946*G1946</f>
        <v/>
      </c>
      <c r="K1946" s="8">
        <f>IF($J$1954=0,0,J1946/$J$1954)</f>
        <v/>
      </c>
      <c r="L1946" s="6" t="inlineStr">
        <is>
          <t>SELECTED</t>
        </is>
      </c>
      <c r="M1946" s="8" t="n">
        <v>0.2</v>
      </c>
      <c r="N1946" s="7">
        <f>M1946*$J$1954-J1946</f>
        <v/>
      </c>
      <c r="O1946" s="9">
        <f>IF(G1946=0,0,N1946/G1946)</f>
        <v/>
      </c>
      <c r="P1946" s="6">
        <f>IF(M1946&gt;0,D1946,"")</f>
        <v/>
      </c>
      <c r="Q1946" s="9">
        <f>I1946+O1946</f>
        <v/>
      </c>
      <c r="R1946" s="7">
        <f>Q1946*G1946</f>
        <v/>
      </c>
      <c r="S1946" s="8">
        <f>IF($R$1954=0,0,R1946/$R$1954)</f>
        <v/>
      </c>
      <c r="T1946" s="8" t="n">
        <v>-0.01017449473481191</v>
      </c>
      <c r="U1946" s="8" t="n">
        <v>-0.0001598399803325323</v>
      </c>
      <c r="V1946" s="6" t="inlineStr">
        <is>
          <t>remained in weekly selection</t>
        </is>
      </c>
    </row>
    <row r="1947">
      <c r="A1947" s="6" t="inlineStr">
        <is>
          <t>DJ30</t>
        </is>
      </c>
      <c r="B1947" s="6" t="inlineStr">
        <is>
          <t>2024-03-15</t>
        </is>
      </c>
      <c r="C1947" s="6" t="inlineStr">
        <is>
          <t>DIA</t>
        </is>
      </c>
      <c r="D1947" s="6" t="inlineStr">
        <is>
          <t>PG</t>
        </is>
      </c>
      <c r="E1947" s="6" t="inlineStr">
        <is>
          <t>PG</t>
        </is>
      </c>
      <c r="F1947" s="6" t="inlineStr">
        <is>
          <t>-</t>
        </is>
      </c>
      <c r="G1947" s="7" t="n">
        <v>152.1417999267578</v>
      </c>
      <c r="H1947" s="6">
        <f>P1916</f>
        <v/>
      </c>
      <c r="I1947" s="9">
        <f>Q1916</f>
        <v/>
      </c>
      <c r="J1947" s="7">
        <f>I1947*G1947</f>
        <v/>
      </c>
      <c r="K1947" s="8">
        <f>IF($J$1954=0,0,J1947/$J$1954)</f>
        <v/>
      </c>
      <c r="L1947" s="6" t="inlineStr">
        <is>
          <t>REJECTED</t>
        </is>
      </c>
      <c r="M1947" s="8" t="n">
        <v>0</v>
      </c>
      <c r="N1947" s="7">
        <f>M1947*$J$1954-J1947</f>
        <v/>
      </c>
      <c r="O1947" s="9">
        <f>IF(G1947=0,0,N1947/G1947)</f>
        <v/>
      </c>
      <c r="P1947" s="6">
        <f>IF(M1947&gt;0,D1947,"")</f>
        <v/>
      </c>
      <c r="Q1947" s="9">
        <f>I1947+O1947</f>
        <v/>
      </c>
      <c r="R1947" s="7">
        <f>Q1947*G1947</f>
        <v/>
      </c>
      <c r="S1947" s="8">
        <f>IF($R$1954=0,0,R1947/$R$1954)</f>
        <v/>
      </c>
      <c r="T1947" s="8" t="n">
        <v>-0.01017449473481191</v>
      </c>
      <c r="U1947" s="8" t="n">
        <v>-0.0001598399803325323</v>
      </c>
      <c r="V1947" s="6" t="inlineStr">
        <is>
          <t>not selected</t>
        </is>
      </c>
    </row>
    <row r="1948">
      <c r="A1948" s="6" t="inlineStr">
        <is>
          <t>DJ30</t>
        </is>
      </c>
      <c r="B1948" s="6" t="inlineStr">
        <is>
          <t>2024-03-15</t>
        </is>
      </c>
      <c r="C1948" s="6" t="inlineStr">
        <is>
          <t>DIA</t>
        </is>
      </c>
      <c r="D1948" s="6" t="inlineStr">
        <is>
          <t>SHW</t>
        </is>
      </c>
      <c r="E1948" s="6" t="inlineStr">
        <is>
          <t>SHW</t>
        </is>
      </c>
      <c r="F1948" s="6" t="inlineStr">
        <is>
          <t>-</t>
        </is>
      </c>
      <c r="G1948" s="7" t="n">
        <v>328.1056518554688</v>
      </c>
      <c r="H1948" s="6">
        <f>P1917</f>
        <v/>
      </c>
      <c r="I1948" s="9">
        <f>Q1917</f>
        <v/>
      </c>
      <c r="J1948" s="7">
        <f>I1948*G1948</f>
        <v/>
      </c>
      <c r="K1948" s="8">
        <f>IF($J$1954=0,0,J1948/$J$1954)</f>
        <v/>
      </c>
      <c r="L1948" s="6" t="inlineStr">
        <is>
          <t>WATCHLIST</t>
        </is>
      </c>
      <c r="M1948" s="8" t="n">
        <v>0</v>
      </c>
      <c r="N1948" s="7">
        <f>M1948*$J$1954-J1948</f>
        <v/>
      </c>
      <c r="O1948" s="9">
        <f>IF(G1948=0,0,N1948/G1948)</f>
        <v/>
      </c>
      <c r="P1948" s="6">
        <f>IF(M1948&gt;0,D1948,"")</f>
        <v/>
      </c>
      <c r="Q1948" s="9">
        <f>I1948+O1948</f>
        <v/>
      </c>
      <c r="R1948" s="7">
        <f>Q1948*G1948</f>
        <v/>
      </c>
      <c r="S1948" s="8">
        <f>IF($R$1954=0,0,R1948/$R$1954)</f>
        <v/>
      </c>
      <c r="T1948" s="8" t="n">
        <v>-0.01017449473481191</v>
      </c>
      <c r="U1948" s="8" t="n">
        <v>-0.0001598399803325323</v>
      </c>
      <c r="V1948" s="6" t="inlineStr">
        <is>
          <t>not selected</t>
        </is>
      </c>
    </row>
    <row r="1949">
      <c r="A1949" s="6" t="inlineStr">
        <is>
          <t>DJ30</t>
        </is>
      </c>
      <c r="B1949" s="6" t="inlineStr">
        <is>
          <t>2024-03-15</t>
        </is>
      </c>
      <c r="C1949" s="6" t="inlineStr">
        <is>
          <t>DIA</t>
        </is>
      </c>
      <c r="D1949" s="6" t="inlineStr">
        <is>
          <t>TRV</t>
        </is>
      </c>
      <c r="E1949" s="6" t="inlineStr">
        <is>
          <t>TRV</t>
        </is>
      </c>
      <c r="F1949" s="6" t="inlineStr">
        <is>
          <t>-</t>
        </is>
      </c>
      <c r="G1949" s="7" t="n">
        <v>212.8054809570312</v>
      </c>
      <c r="H1949" s="6">
        <f>P1918</f>
        <v/>
      </c>
      <c r="I1949" s="9">
        <f>Q1918</f>
        <v/>
      </c>
      <c r="J1949" s="7">
        <f>I1949*G1949</f>
        <v/>
      </c>
      <c r="K1949" s="8">
        <f>IF($J$1954=0,0,J1949/$J$1954)</f>
        <v/>
      </c>
      <c r="L1949" s="6" t="inlineStr">
        <is>
          <t>WATCHLIST</t>
        </is>
      </c>
      <c r="M1949" s="8" t="n">
        <v>0</v>
      </c>
      <c r="N1949" s="7">
        <f>M1949*$J$1954-J1949</f>
        <v/>
      </c>
      <c r="O1949" s="9">
        <f>IF(G1949=0,0,N1949/G1949)</f>
        <v/>
      </c>
      <c r="P1949" s="6">
        <f>IF(M1949&gt;0,D1949,"")</f>
        <v/>
      </c>
      <c r="Q1949" s="9">
        <f>I1949+O1949</f>
        <v/>
      </c>
      <c r="R1949" s="7">
        <f>Q1949*G1949</f>
        <v/>
      </c>
      <c r="S1949" s="8">
        <f>IF($R$1954=0,0,R1949/$R$1954)</f>
        <v/>
      </c>
      <c r="T1949" s="8" t="n">
        <v>-0.01017449473481191</v>
      </c>
      <c r="U1949" s="8" t="n">
        <v>-0.0001598399803325323</v>
      </c>
      <c r="V1949" s="6" t="inlineStr">
        <is>
          <t>not selected</t>
        </is>
      </c>
    </row>
    <row r="1950">
      <c r="A1950" s="6" t="inlineStr">
        <is>
          <t>DJ30</t>
        </is>
      </c>
      <c r="B1950" s="6" t="inlineStr">
        <is>
          <t>2024-03-15</t>
        </is>
      </c>
      <c r="C1950" s="6" t="inlineStr">
        <is>
          <t>DIA</t>
        </is>
      </c>
      <c r="D1950" s="6" t="inlineStr">
        <is>
          <t>UNH</t>
        </is>
      </c>
      <c r="E1950" s="6" t="inlineStr">
        <is>
          <t>UNH</t>
        </is>
      </c>
      <c r="F1950" s="6" t="inlineStr">
        <is>
          <t>-</t>
        </is>
      </c>
      <c r="G1950" s="7" t="n">
        <v>467.1771850585938</v>
      </c>
      <c r="H1950" s="6">
        <f>P1919</f>
        <v/>
      </c>
      <c r="I1950" s="9">
        <f>Q1919</f>
        <v/>
      </c>
      <c r="J1950" s="7">
        <f>I1950*G1950</f>
        <v/>
      </c>
      <c r="K1950" s="8">
        <f>IF($J$1954=0,0,J1950/$J$1954)</f>
        <v/>
      </c>
      <c r="L1950" s="6" t="inlineStr">
        <is>
          <t>WATCHLIST</t>
        </is>
      </c>
      <c r="M1950" s="8" t="n">
        <v>0</v>
      </c>
      <c r="N1950" s="7">
        <f>M1950*$J$1954-J1950</f>
        <v/>
      </c>
      <c r="O1950" s="9">
        <f>IF(G1950=0,0,N1950/G1950)</f>
        <v/>
      </c>
      <c r="P1950" s="6">
        <f>IF(M1950&gt;0,D1950,"")</f>
        <v/>
      </c>
      <c r="Q1950" s="9">
        <f>I1950+O1950</f>
        <v/>
      </c>
      <c r="R1950" s="7">
        <f>Q1950*G1950</f>
        <v/>
      </c>
      <c r="S1950" s="8">
        <f>IF($R$1954=0,0,R1950/$R$1954)</f>
        <v/>
      </c>
      <c r="T1950" s="8" t="n">
        <v>-0.01017449473481191</v>
      </c>
      <c r="U1950" s="8" t="n">
        <v>-0.0001598399803325323</v>
      </c>
      <c r="V1950" s="6" t="inlineStr">
        <is>
          <t>not selected</t>
        </is>
      </c>
    </row>
    <row r="1951">
      <c r="A1951" s="6" t="inlineStr">
        <is>
          <t>DJ30</t>
        </is>
      </c>
      <c r="B1951" s="6" t="inlineStr">
        <is>
          <t>2024-03-15</t>
        </is>
      </c>
      <c r="C1951" s="6" t="inlineStr">
        <is>
          <t>DIA</t>
        </is>
      </c>
      <c r="D1951" s="6" t="inlineStr">
        <is>
          <t>V</t>
        </is>
      </c>
      <c r="E1951" s="6" t="inlineStr">
        <is>
          <t>V</t>
        </is>
      </c>
      <c r="F1951" s="6" t="inlineStr">
        <is>
          <t>-</t>
        </is>
      </c>
      <c r="G1951" s="7" t="n">
        <v>278.2800903320312</v>
      </c>
      <c r="H1951" s="6">
        <f>P1920</f>
        <v/>
      </c>
      <c r="I1951" s="9">
        <f>Q1920</f>
        <v/>
      </c>
      <c r="J1951" s="7">
        <f>I1951*G1951</f>
        <v/>
      </c>
      <c r="K1951" s="8">
        <f>IF($J$1954=0,0,J1951/$J$1954)</f>
        <v/>
      </c>
      <c r="L1951" s="6" t="inlineStr">
        <is>
          <t>WATCHLIST</t>
        </is>
      </c>
      <c r="M1951" s="8" t="n">
        <v>0</v>
      </c>
      <c r="N1951" s="7">
        <f>M1951*$J$1954-J1951</f>
        <v/>
      </c>
      <c r="O1951" s="9">
        <f>IF(G1951=0,0,N1951/G1951)</f>
        <v/>
      </c>
      <c r="P1951" s="6">
        <f>IF(M1951&gt;0,D1951,"")</f>
        <v/>
      </c>
      <c r="Q1951" s="9">
        <f>I1951+O1951</f>
        <v/>
      </c>
      <c r="R1951" s="7">
        <f>Q1951*G1951</f>
        <v/>
      </c>
      <c r="S1951" s="8">
        <f>IF($R$1954=0,0,R1951/$R$1954)</f>
        <v/>
      </c>
      <c r="T1951" s="8" t="n">
        <v>-0.01017449473481191</v>
      </c>
      <c r="U1951" s="8" t="n">
        <v>-0.0001598399803325323</v>
      </c>
      <c r="V1951" s="6" t="inlineStr">
        <is>
          <t>not selected</t>
        </is>
      </c>
    </row>
    <row r="1952">
      <c r="A1952" s="6" t="inlineStr">
        <is>
          <t>DJ30</t>
        </is>
      </c>
      <c r="B1952" s="6" t="inlineStr">
        <is>
          <t>2024-03-15</t>
        </is>
      </c>
      <c r="C1952" s="6" t="inlineStr">
        <is>
          <t>DIA</t>
        </is>
      </c>
      <c r="D1952" s="6" t="inlineStr">
        <is>
          <t>VZ</t>
        </is>
      </c>
      <c r="E1952" s="6" t="inlineStr">
        <is>
          <t>VZ</t>
        </is>
      </c>
      <c r="F1952" s="6" t="inlineStr">
        <is>
          <t>-</t>
        </is>
      </c>
      <c r="G1952" s="7" t="n">
        <v>34.10855865478516</v>
      </c>
      <c r="H1952" s="6">
        <f>P1921</f>
        <v/>
      </c>
      <c r="I1952" s="9">
        <f>Q1921</f>
        <v/>
      </c>
      <c r="J1952" s="7">
        <f>I1952*G1952</f>
        <v/>
      </c>
      <c r="K1952" s="8">
        <f>IF($J$1954=0,0,J1952/$J$1954)</f>
        <v/>
      </c>
      <c r="L1952" s="6" t="inlineStr">
        <is>
          <t>REJECTED</t>
        </is>
      </c>
      <c r="M1952" s="8" t="n">
        <v>0</v>
      </c>
      <c r="N1952" s="7">
        <f>M1952*$J$1954-J1952</f>
        <v/>
      </c>
      <c r="O1952" s="9">
        <f>IF(G1952=0,0,N1952/G1952)</f>
        <v/>
      </c>
      <c r="P1952" s="6">
        <f>IF(M1952&gt;0,D1952,"")</f>
        <v/>
      </c>
      <c r="Q1952" s="9">
        <f>I1952+O1952</f>
        <v/>
      </c>
      <c r="R1952" s="7">
        <f>Q1952*G1952</f>
        <v/>
      </c>
      <c r="S1952" s="8">
        <f>IF($R$1954=0,0,R1952/$R$1954)</f>
        <v/>
      </c>
      <c r="T1952" s="8" t="n">
        <v>-0.01017449473481191</v>
      </c>
      <c r="U1952" s="8" t="n">
        <v>-0.0001598399803325323</v>
      </c>
      <c r="V1952" s="6" t="inlineStr">
        <is>
          <t>not selected</t>
        </is>
      </c>
    </row>
    <row r="1953">
      <c r="A1953" s="6" t="inlineStr">
        <is>
          <t>DJ30</t>
        </is>
      </c>
      <c r="B1953" s="6" t="inlineStr">
        <is>
          <t>2024-03-15</t>
        </is>
      </c>
      <c r="C1953" s="6" t="inlineStr">
        <is>
          <t>DIA</t>
        </is>
      </c>
      <c r="D1953" s="6" t="inlineStr">
        <is>
          <t>WMT</t>
        </is>
      </c>
      <c r="E1953" s="6" t="inlineStr">
        <is>
          <t>WMT</t>
        </is>
      </c>
      <c r="F1953" s="6" t="inlineStr">
        <is>
          <t>-</t>
        </is>
      </c>
      <c r="G1953" s="7" t="n">
        <v>59.35972595214844</v>
      </c>
      <c r="H1953" s="6">
        <f>P1922</f>
        <v/>
      </c>
      <c r="I1953" s="9">
        <f>Q1922</f>
        <v/>
      </c>
      <c r="J1953" s="7">
        <f>I1953*G1953</f>
        <v/>
      </c>
      <c r="K1953" s="8">
        <f>IF($J$1954=0,0,J1953/$J$1954)</f>
        <v/>
      </c>
      <c r="L1953" s="6" t="inlineStr">
        <is>
          <t>WATCHLIST</t>
        </is>
      </c>
      <c r="M1953" s="8" t="n">
        <v>0</v>
      </c>
      <c r="N1953" s="7">
        <f>M1953*$J$1954-J1953</f>
        <v/>
      </c>
      <c r="O1953" s="9">
        <f>IF(G1953=0,0,N1953/G1953)</f>
        <v/>
      </c>
      <c r="P1953" s="6">
        <f>IF(M1953&gt;0,D1953,"")</f>
        <v/>
      </c>
      <c r="Q1953" s="9">
        <f>I1953+O1953</f>
        <v/>
      </c>
      <c r="R1953" s="7">
        <f>Q1953*G1953</f>
        <v/>
      </c>
      <c r="S1953" s="8">
        <f>IF($R$1954=0,0,R1953/$R$1954)</f>
        <v/>
      </c>
      <c r="T1953" s="8" t="n">
        <v>-0.01017449473481191</v>
      </c>
      <c r="U1953" s="8" t="n">
        <v>-0.0001598399803325323</v>
      </c>
      <c r="V1953" s="6" t="inlineStr">
        <is>
          <t>not selected</t>
        </is>
      </c>
    </row>
    <row r="1954">
      <c r="A1954" s="10" t="inlineStr">
        <is>
          <t>DJ30</t>
        </is>
      </c>
      <c r="B1954" s="10" t="inlineStr">
        <is>
          <t>2024-03-15</t>
        </is>
      </c>
      <c r="C1954" s="10" t="inlineStr">
        <is>
          <t>DIA</t>
        </is>
      </c>
      <c r="D1954" s="10" t="inlineStr">
        <is>
          <t>Tot Portfolio</t>
        </is>
      </c>
      <c r="E1954" s="10" t="inlineStr"/>
      <c r="F1954" s="10" t="inlineStr"/>
      <c r="G1954" s="11" t="inlineStr"/>
      <c r="H1954" s="10" t="inlineStr"/>
      <c r="I1954" s="12" t="inlineStr"/>
      <c r="J1954" s="11">
        <f>SUM(J1924:J1953)</f>
        <v/>
      </c>
      <c r="K1954" s="13">
        <f>SUM(K1924:K1953)</f>
        <v/>
      </c>
      <c r="L1954" s="10" t="inlineStr">
        <is>
          <t>TOTAL</t>
        </is>
      </c>
      <c r="M1954" s="13">
        <f>SUM(M1924:M1953)</f>
        <v/>
      </c>
      <c r="N1954" s="11">
        <f>SUM(N1924:N1953)</f>
        <v/>
      </c>
      <c r="O1954" s="12">
        <f>SUM(O1924:O1953)</f>
        <v/>
      </c>
      <c r="P1954" s="10" t="inlineStr"/>
      <c r="Q1954" s="12" t="inlineStr"/>
      <c r="R1954" s="11">
        <f>SUM(R1924:R1953)</f>
        <v/>
      </c>
      <c r="S1954" s="13">
        <f>SUM(S1924:S1953)</f>
        <v/>
      </c>
      <c r="T1954" s="13" t="n">
        <v>-0.01017449473481191</v>
      </c>
      <c r="U1954" s="13" t="n">
        <v>-0.0001598399803325323</v>
      </c>
      <c r="V1954" s="10" t="inlineStr"/>
    </row>
    <row r="1955">
      <c r="A1955" s="6" t="inlineStr">
        <is>
          <t>DJ30</t>
        </is>
      </c>
      <c r="B1955" s="6" t="inlineStr">
        <is>
          <t>2024-03-22</t>
        </is>
      </c>
      <c r="C1955" s="6" t="inlineStr">
        <is>
          <t>DIA</t>
        </is>
      </c>
      <c r="D1955" s="6" t="inlineStr">
        <is>
          <t>AAPL</t>
        </is>
      </c>
      <c r="E1955" s="6" t="inlineStr">
        <is>
          <t>AAPL</t>
        </is>
      </c>
      <c r="F1955" s="6" t="inlineStr">
        <is>
          <t>-</t>
        </is>
      </c>
      <c r="G1955" s="7" t="n">
        <v>170.5690765380859</v>
      </c>
      <c r="H1955" s="6">
        <f>P1924</f>
        <v/>
      </c>
      <c r="I1955" s="9">
        <f>Q1924</f>
        <v/>
      </c>
      <c r="J1955" s="7">
        <f>I1955*G1955</f>
        <v/>
      </c>
      <c r="K1955" s="8">
        <f>IF($J$1985=0,0,J1955/$J$1985)</f>
        <v/>
      </c>
      <c r="L1955" s="6" t="inlineStr">
        <is>
          <t>REJECTED</t>
        </is>
      </c>
      <c r="M1955" s="8" t="n">
        <v>0</v>
      </c>
      <c r="N1955" s="7">
        <f>M1955*$J$1985-J1955</f>
        <v/>
      </c>
      <c r="O1955" s="9">
        <f>IF(G1955=0,0,N1955/G1955)</f>
        <v/>
      </c>
      <c r="P1955" s="6">
        <f>IF(M1955&gt;0,D1955,"")</f>
        <v/>
      </c>
      <c r="Q1955" s="9">
        <f>I1955+O1955</f>
        <v/>
      </c>
      <c r="R1955" s="7">
        <f>Q1955*G1955</f>
        <v/>
      </c>
      <c r="S1955" s="8">
        <f>IF($R$1985=0,0,R1955/$R$1985)</f>
        <v/>
      </c>
      <c r="T1955" s="8" t="n">
        <v>0.03543408840690376</v>
      </c>
      <c r="U1955" s="8" t="n">
        <v>0.01945719565629744</v>
      </c>
      <c r="V1955" s="6" t="inlineStr">
        <is>
          <t>not selected</t>
        </is>
      </c>
    </row>
    <row r="1956">
      <c r="A1956" s="6" t="inlineStr">
        <is>
          <t>DJ30</t>
        </is>
      </c>
      <c r="B1956" s="6" t="inlineStr">
        <is>
          <t>2024-03-22</t>
        </is>
      </c>
      <c r="C1956" s="6" t="inlineStr">
        <is>
          <t>DIA</t>
        </is>
      </c>
      <c r="D1956" s="6" t="inlineStr">
        <is>
          <t>AMGN</t>
        </is>
      </c>
      <c r="E1956" s="6" t="inlineStr">
        <is>
          <t>AMGN</t>
        </is>
      </c>
      <c r="F1956" s="6" t="inlineStr">
        <is>
          <t>-</t>
        </is>
      </c>
      <c r="G1956" s="7" t="n">
        <v>257.9008483886719</v>
      </c>
      <c r="H1956" s="6">
        <f>P1925</f>
        <v/>
      </c>
      <c r="I1956" s="9">
        <f>Q1925</f>
        <v/>
      </c>
      <c r="J1956" s="7">
        <f>I1956*G1956</f>
        <v/>
      </c>
      <c r="K1956" s="8">
        <f>IF($J$1985=0,0,J1956/$J$1985)</f>
        <v/>
      </c>
      <c r="L1956" s="6" t="inlineStr">
        <is>
          <t>SELECTED</t>
        </is>
      </c>
      <c r="M1956" s="8" t="n">
        <v>0.2</v>
      </c>
      <c r="N1956" s="7">
        <f>M1956*$J$1985-J1956</f>
        <v/>
      </c>
      <c r="O1956" s="9">
        <f>IF(G1956=0,0,N1956/G1956)</f>
        <v/>
      </c>
      <c r="P1956" s="6">
        <f>IF(M1956&gt;0,D1956,"")</f>
        <v/>
      </c>
      <c r="Q1956" s="9">
        <f>I1956+O1956</f>
        <v/>
      </c>
      <c r="R1956" s="7">
        <f>Q1956*G1956</f>
        <v/>
      </c>
      <c r="S1956" s="8">
        <f>IF($R$1985=0,0,R1956/$R$1985)</f>
        <v/>
      </c>
      <c r="T1956" s="8" t="n">
        <v>0.03543408840690376</v>
      </c>
      <c r="U1956" s="8" t="n">
        <v>0.01945719565629744</v>
      </c>
      <c r="V1956" s="6" t="inlineStr">
        <is>
          <t>remained in weekly selection</t>
        </is>
      </c>
    </row>
    <row r="1957">
      <c r="A1957" s="6" t="inlineStr">
        <is>
          <t>DJ30</t>
        </is>
      </c>
      <c r="B1957" s="6" t="inlineStr">
        <is>
          <t>2024-03-22</t>
        </is>
      </c>
      <c r="C1957" s="6" t="inlineStr">
        <is>
          <t>DIA</t>
        </is>
      </c>
      <c r="D1957" s="6" t="inlineStr">
        <is>
          <t>AMZN</t>
        </is>
      </c>
      <c r="E1957" s="6" t="inlineStr">
        <is>
          <t>AMZN</t>
        </is>
      </c>
      <c r="F1957" s="6" t="inlineStr">
        <is>
          <t>-</t>
        </is>
      </c>
      <c r="G1957" s="7" t="n">
        <v>178.8699951171875</v>
      </c>
      <c r="H1957" s="6">
        <f>P1926</f>
        <v/>
      </c>
      <c r="I1957" s="9">
        <f>Q1926</f>
        <v/>
      </c>
      <c r="J1957" s="7">
        <f>I1957*G1957</f>
        <v/>
      </c>
      <c r="K1957" s="8">
        <f>IF($J$1985=0,0,J1957/$J$1985)</f>
        <v/>
      </c>
      <c r="L1957" s="6" t="inlineStr">
        <is>
          <t>WATCHLIST</t>
        </is>
      </c>
      <c r="M1957" s="8" t="n">
        <v>0</v>
      </c>
      <c r="N1957" s="7">
        <f>M1957*$J$1985-J1957</f>
        <v/>
      </c>
      <c r="O1957" s="9">
        <f>IF(G1957=0,0,N1957/G1957)</f>
        <v/>
      </c>
      <c r="P1957" s="6">
        <f>IF(M1957&gt;0,D1957,"")</f>
        <v/>
      </c>
      <c r="Q1957" s="9">
        <f>I1957+O1957</f>
        <v/>
      </c>
      <c r="R1957" s="7">
        <f>Q1957*G1957</f>
        <v/>
      </c>
      <c r="S1957" s="8">
        <f>IF($R$1985=0,0,R1957/$R$1985)</f>
        <v/>
      </c>
      <c r="T1957" s="8" t="n">
        <v>0.03543408840690376</v>
      </c>
      <c r="U1957" s="8" t="n">
        <v>0.01945719565629744</v>
      </c>
      <c r="V1957" s="6" t="inlineStr">
        <is>
          <t>not selected</t>
        </is>
      </c>
    </row>
    <row r="1958">
      <c r="A1958" s="6" t="inlineStr">
        <is>
          <t>DJ30</t>
        </is>
      </c>
      <c r="B1958" s="6" t="inlineStr">
        <is>
          <t>2024-03-22</t>
        </is>
      </c>
      <c r="C1958" s="6" t="inlineStr">
        <is>
          <t>DIA</t>
        </is>
      </c>
      <c r="D1958" s="6" t="inlineStr">
        <is>
          <t>AXP</t>
        </is>
      </c>
      <c r="E1958" s="6" t="inlineStr">
        <is>
          <t>AXP</t>
        </is>
      </c>
      <c r="F1958" s="6" t="inlineStr">
        <is>
          <t>-</t>
        </is>
      </c>
      <c r="G1958" s="7" t="n">
        <v>220.4322814941407</v>
      </c>
      <c r="H1958" s="6">
        <f>P1927</f>
        <v/>
      </c>
      <c r="I1958" s="9">
        <f>Q1927</f>
        <v/>
      </c>
      <c r="J1958" s="7">
        <f>I1958*G1958</f>
        <v/>
      </c>
      <c r="K1958" s="8">
        <f>IF($J$1985=0,0,J1958/$J$1985)</f>
        <v/>
      </c>
      <c r="L1958" s="6" t="inlineStr">
        <is>
          <t>WATCHLIST</t>
        </is>
      </c>
      <c r="M1958" s="8" t="n">
        <v>0</v>
      </c>
      <c r="N1958" s="7">
        <f>M1958*$J$1985-J1958</f>
        <v/>
      </c>
      <c r="O1958" s="9">
        <f>IF(G1958=0,0,N1958/G1958)</f>
        <v/>
      </c>
      <c r="P1958" s="6">
        <f>IF(M1958&gt;0,D1958,"")</f>
        <v/>
      </c>
      <c r="Q1958" s="9">
        <f>I1958+O1958</f>
        <v/>
      </c>
      <c r="R1958" s="7">
        <f>Q1958*G1958</f>
        <v/>
      </c>
      <c r="S1958" s="8">
        <f>IF($R$1985=0,0,R1958/$R$1985)</f>
        <v/>
      </c>
      <c r="T1958" s="8" t="n">
        <v>0.03543408840690376</v>
      </c>
      <c r="U1958" s="8" t="n">
        <v>0.01945719565629744</v>
      </c>
      <c r="V1958" s="6" t="inlineStr">
        <is>
          <t>not selected</t>
        </is>
      </c>
    </row>
    <row r="1959">
      <c r="A1959" s="6" t="inlineStr">
        <is>
          <t>DJ30</t>
        </is>
      </c>
      <c r="B1959" s="6" t="inlineStr">
        <is>
          <t>2024-03-22</t>
        </is>
      </c>
      <c r="C1959" s="6" t="inlineStr">
        <is>
          <t>DIA</t>
        </is>
      </c>
      <c r="D1959" s="6" t="inlineStr">
        <is>
          <t>BA</t>
        </is>
      </c>
      <c r="E1959" s="6" t="inlineStr">
        <is>
          <t>BA</t>
        </is>
      </c>
      <c r="F1959" s="6" t="inlineStr">
        <is>
          <t>-</t>
        </is>
      </c>
      <c r="G1959" s="7" t="n">
        <v>188.8500061035156</v>
      </c>
      <c r="H1959" s="6">
        <f>P1928</f>
        <v/>
      </c>
      <c r="I1959" s="9">
        <f>Q1928</f>
        <v/>
      </c>
      <c r="J1959" s="7">
        <f>I1959*G1959</f>
        <v/>
      </c>
      <c r="K1959" s="8">
        <f>IF($J$1985=0,0,J1959/$J$1985)</f>
        <v/>
      </c>
      <c r="L1959" s="6" t="inlineStr">
        <is>
          <t>REJECTED</t>
        </is>
      </c>
      <c r="M1959" s="8" t="n">
        <v>0</v>
      </c>
      <c r="N1959" s="7">
        <f>M1959*$J$1985-J1959</f>
        <v/>
      </c>
      <c r="O1959" s="9">
        <f>IF(G1959=0,0,N1959/G1959)</f>
        <v/>
      </c>
      <c r="P1959" s="6">
        <f>IF(M1959&gt;0,D1959,"")</f>
        <v/>
      </c>
      <c r="Q1959" s="9">
        <f>I1959+O1959</f>
        <v/>
      </c>
      <c r="R1959" s="7">
        <f>Q1959*G1959</f>
        <v/>
      </c>
      <c r="S1959" s="8">
        <f>IF($R$1985=0,0,R1959/$R$1985)</f>
        <v/>
      </c>
      <c r="T1959" s="8" t="n">
        <v>0.03543408840690376</v>
      </c>
      <c r="U1959" s="8" t="n">
        <v>0.01945719565629744</v>
      </c>
      <c r="V1959" s="6" t="inlineStr">
        <is>
          <t>not selected</t>
        </is>
      </c>
    </row>
    <row r="1960">
      <c r="A1960" s="6" t="inlineStr">
        <is>
          <t>DJ30</t>
        </is>
      </c>
      <c r="B1960" s="6" t="inlineStr">
        <is>
          <t>2024-03-22</t>
        </is>
      </c>
      <c r="C1960" s="6" t="inlineStr">
        <is>
          <t>DIA</t>
        </is>
      </c>
      <c r="D1960" s="6" t="inlineStr">
        <is>
          <t>CAT</t>
        </is>
      </c>
      <c r="E1960" s="6" t="inlineStr">
        <is>
          <t>CAT</t>
        </is>
      </c>
      <c r="F1960" s="6" t="inlineStr">
        <is>
          <t>-</t>
        </is>
      </c>
      <c r="G1960" s="7" t="n">
        <v>347.3467712402344</v>
      </c>
      <c r="H1960" s="6">
        <f>P1929</f>
        <v/>
      </c>
      <c r="I1960" s="9">
        <f>Q1929</f>
        <v/>
      </c>
      <c r="J1960" s="7">
        <f>I1960*G1960</f>
        <v/>
      </c>
      <c r="K1960" s="8">
        <f>IF($J$1985=0,0,J1960/$J$1985)</f>
        <v/>
      </c>
      <c r="L1960" s="6" t="inlineStr">
        <is>
          <t>SELECTED</t>
        </is>
      </c>
      <c r="M1960" s="8" t="n">
        <v>0.2</v>
      </c>
      <c r="N1960" s="7">
        <f>M1960*$J$1985-J1960</f>
        <v/>
      </c>
      <c r="O1960" s="9">
        <f>IF(G1960=0,0,N1960/G1960)</f>
        <v/>
      </c>
      <c r="P1960" s="6">
        <f>IF(M1960&gt;0,D1960,"")</f>
        <v/>
      </c>
      <c r="Q1960" s="9">
        <f>I1960+O1960</f>
        <v/>
      </c>
      <c r="R1960" s="7">
        <f>Q1960*G1960</f>
        <v/>
      </c>
      <c r="S1960" s="8">
        <f>IF($R$1985=0,0,R1960/$R$1985)</f>
        <v/>
      </c>
      <c r="T1960" s="8" t="n">
        <v>0.03543408840690376</v>
      </c>
      <c r="U1960" s="8" t="n">
        <v>0.01945719565629744</v>
      </c>
      <c r="V1960" s="6" t="inlineStr">
        <is>
          <t>remained in weekly selection</t>
        </is>
      </c>
    </row>
    <row r="1961">
      <c r="A1961" s="6" t="inlineStr">
        <is>
          <t>DJ30</t>
        </is>
      </c>
      <c r="B1961" s="6" t="inlineStr">
        <is>
          <t>2024-03-22</t>
        </is>
      </c>
      <c r="C1961" s="6" t="inlineStr">
        <is>
          <t>DIA</t>
        </is>
      </c>
      <c r="D1961" s="6" t="inlineStr">
        <is>
          <t>CRM</t>
        </is>
      </c>
      <c r="E1961" s="6" t="inlineStr">
        <is>
          <t>CRM</t>
        </is>
      </c>
      <c r="F1961" s="6" t="inlineStr">
        <is>
          <t>-</t>
        </is>
      </c>
      <c r="G1961" s="7" t="n">
        <v>302.9311828613281</v>
      </c>
      <c r="H1961" s="6">
        <f>P1930</f>
        <v/>
      </c>
      <c r="I1961" s="9">
        <f>Q1930</f>
        <v/>
      </c>
      <c r="J1961" s="7">
        <f>I1961*G1961</f>
        <v/>
      </c>
      <c r="K1961" s="8">
        <f>IF($J$1985=0,0,J1961/$J$1985)</f>
        <v/>
      </c>
      <c r="L1961" s="6" t="inlineStr">
        <is>
          <t>SELECTED</t>
        </is>
      </c>
      <c r="M1961" s="8" t="n">
        <v>0.2</v>
      </c>
      <c r="N1961" s="7">
        <f>M1961*$J$1985-J1961</f>
        <v/>
      </c>
      <c r="O1961" s="9">
        <f>IF(G1961=0,0,N1961/G1961)</f>
        <v/>
      </c>
      <c r="P1961" s="6">
        <f>IF(M1961&gt;0,D1961,"")</f>
        <v/>
      </c>
      <c r="Q1961" s="9">
        <f>I1961+O1961</f>
        <v/>
      </c>
      <c r="R1961" s="7">
        <f>Q1961*G1961</f>
        <v/>
      </c>
      <c r="S1961" s="8">
        <f>IF($R$1985=0,0,R1961/$R$1985)</f>
        <v/>
      </c>
      <c r="T1961" s="8" t="n">
        <v>0.03543408840690376</v>
      </c>
      <c r="U1961" s="8" t="n">
        <v>0.01945719565629744</v>
      </c>
      <c r="V1961" s="6" t="inlineStr">
        <is>
          <t>remained in weekly selection</t>
        </is>
      </c>
    </row>
    <row r="1962">
      <c r="A1962" s="6" t="inlineStr">
        <is>
          <t>DJ30</t>
        </is>
      </c>
      <c r="B1962" s="6" t="inlineStr">
        <is>
          <t>2024-03-22</t>
        </is>
      </c>
      <c r="C1962" s="6" t="inlineStr">
        <is>
          <t>DIA</t>
        </is>
      </c>
      <c r="D1962" s="6" t="inlineStr">
        <is>
          <t>CSCO</t>
        </is>
      </c>
      <c r="E1962" s="6" t="inlineStr">
        <is>
          <t>CSCO</t>
        </is>
      </c>
      <c r="F1962" s="6" t="inlineStr">
        <is>
          <t>-</t>
        </is>
      </c>
      <c r="G1962" s="7" t="n">
        <v>46.8584213256836</v>
      </c>
      <c r="H1962" s="6">
        <f>P1931</f>
        <v/>
      </c>
      <c r="I1962" s="9">
        <f>Q1931</f>
        <v/>
      </c>
      <c r="J1962" s="7">
        <f>I1962*G1962</f>
        <v/>
      </c>
      <c r="K1962" s="8">
        <f>IF($J$1985=0,0,J1962/$J$1985)</f>
        <v/>
      </c>
      <c r="L1962" s="6" t="inlineStr">
        <is>
          <t>REJECTED</t>
        </is>
      </c>
      <c r="M1962" s="8" t="n">
        <v>0</v>
      </c>
      <c r="N1962" s="7">
        <f>M1962*$J$1985-J1962</f>
        <v/>
      </c>
      <c r="O1962" s="9">
        <f>IF(G1962=0,0,N1962/G1962)</f>
        <v/>
      </c>
      <c r="P1962" s="6">
        <f>IF(M1962&gt;0,D1962,"")</f>
        <v/>
      </c>
      <c r="Q1962" s="9">
        <f>I1962+O1962</f>
        <v/>
      </c>
      <c r="R1962" s="7">
        <f>Q1962*G1962</f>
        <v/>
      </c>
      <c r="S1962" s="8">
        <f>IF($R$1985=0,0,R1962/$R$1985)</f>
        <v/>
      </c>
      <c r="T1962" s="8" t="n">
        <v>0.03543408840690376</v>
      </c>
      <c r="U1962" s="8" t="n">
        <v>0.01945719565629744</v>
      </c>
      <c r="V1962" s="6" t="inlineStr">
        <is>
          <t>not selected</t>
        </is>
      </c>
    </row>
    <row r="1963">
      <c r="A1963" s="6" t="inlineStr">
        <is>
          <t>DJ30</t>
        </is>
      </c>
      <c r="B1963" s="6" t="inlineStr">
        <is>
          <t>2024-03-22</t>
        </is>
      </c>
      <c r="C1963" s="6" t="inlineStr">
        <is>
          <t>DIA</t>
        </is>
      </c>
      <c r="D1963" s="6" t="inlineStr">
        <is>
          <t>CVX</t>
        </is>
      </c>
      <c r="E1963" s="6" t="inlineStr">
        <is>
          <t>CVX</t>
        </is>
      </c>
      <c r="F1963" s="6" t="inlineStr">
        <is>
          <t>-</t>
        </is>
      </c>
      <c r="G1963" s="7" t="n">
        <v>140.5742797851562</v>
      </c>
      <c r="H1963" s="6">
        <f>P1932</f>
        <v/>
      </c>
      <c r="I1963" s="9">
        <f>Q1932</f>
        <v/>
      </c>
      <c r="J1963" s="7">
        <f>I1963*G1963</f>
        <v/>
      </c>
      <c r="K1963" s="8">
        <f>IF($J$1985=0,0,J1963/$J$1985)</f>
        <v/>
      </c>
      <c r="L1963" s="6" t="inlineStr">
        <is>
          <t>REJECTED</t>
        </is>
      </c>
      <c r="M1963" s="8" t="n">
        <v>0</v>
      </c>
      <c r="N1963" s="7">
        <f>M1963*$J$1985-J1963</f>
        <v/>
      </c>
      <c r="O1963" s="9">
        <f>IF(G1963=0,0,N1963/G1963)</f>
        <v/>
      </c>
      <c r="P1963" s="6">
        <f>IF(M1963&gt;0,D1963,"")</f>
        <v/>
      </c>
      <c r="Q1963" s="9">
        <f>I1963+O1963</f>
        <v/>
      </c>
      <c r="R1963" s="7">
        <f>Q1963*G1963</f>
        <v/>
      </c>
      <c r="S1963" s="8">
        <f>IF($R$1985=0,0,R1963/$R$1985)</f>
        <v/>
      </c>
      <c r="T1963" s="8" t="n">
        <v>0.03543408840690376</v>
      </c>
      <c r="U1963" s="8" t="n">
        <v>0.01945719565629744</v>
      </c>
      <c r="V1963" s="6" t="inlineStr">
        <is>
          <t>not selected</t>
        </is>
      </c>
    </row>
    <row r="1964">
      <c r="A1964" s="6" t="inlineStr">
        <is>
          <t>DJ30</t>
        </is>
      </c>
      <c r="B1964" s="6" t="inlineStr">
        <is>
          <t>2024-03-22</t>
        </is>
      </c>
      <c r="C1964" s="6" t="inlineStr">
        <is>
          <t>DIA</t>
        </is>
      </c>
      <c r="D1964" s="6" t="inlineStr">
        <is>
          <t>DIS</t>
        </is>
      </c>
      <c r="E1964" s="6" t="inlineStr">
        <is>
          <t>DIS</t>
        </is>
      </c>
      <c r="F1964" s="6" t="inlineStr">
        <is>
          <t>-</t>
        </is>
      </c>
      <c r="G1964" s="7" t="n">
        <v>113.5730514526367</v>
      </c>
      <c r="H1964" s="6">
        <f>P1933</f>
        <v/>
      </c>
      <c r="I1964" s="9">
        <f>Q1933</f>
        <v/>
      </c>
      <c r="J1964" s="7">
        <f>I1964*G1964</f>
        <v/>
      </c>
      <c r="K1964" s="8">
        <f>IF($J$1985=0,0,J1964/$J$1985)</f>
        <v/>
      </c>
      <c r="L1964" s="6" t="inlineStr">
        <is>
          <t>REJECTED</t>
        </is>
      </c>
      <c r="M1964" s="8" t="n">
        <v>0</v>
      </c>
      <c r="N1964" s="7">
        <f>M1964*$J$1985-J1964</f>
        <v/>
      </c>
      <c r="O1964" s="9">
        <f>IF(G1964=0,0,N1964/G1964)</f>
        <v/>
      </c>
      <c r="P1964" s="6">
        <f>IF(M1964&gt;0,D1964,"")</f>
        <v/>
      </c>
      <c r="Q1964" s="9">
        <f>I1964+O1964</f>
        <v/>
      </c>
      <c r="R1964" s="7">
        <f>Q1964*G1964</f>
        <v/>
      </c>
      <c r="S1964" s="8">
        <f>IF($R$1985=0,0,R1964/$R$1985)</f>
        <v/>
      </c>
      <c r="T1964" s="8" t="n">
        <v>0.03543408840690376</v>
      </c>
      <c r="U1964" s="8" t="n">
        <v>0.01945719565629744</v>
      </c>
      <c r="V1964" s="6" t="inlineStr">
        <is>
          <t>not selected</t>
        </is>
      </c>
    </row>
    <row r="1965">
      <c r="A1965" s="6" t="inlineStr">
        <is>
          <t>DJ30</t>
        </is>
      </c>
      <c r="B1965" s="6" t="inlineStr">
        <is>
          <t>2024-03-22</t>
        </is>
      </c>
      <c r="C1965" s="6" t="inlineStr">
        <is>
          <t>DIA</t>
        </is>
      </c>
      <c r="D1965" s="6" t="inlineStr">
        <is>
          <t>GS</t>
        </is>
      </c>
      <c r="E1965" s="6" t="inlineStr">
        <is>
          <t>GS</t>
        </is>
      </c>
      <c r="F1965" s="6" t="inlineStr">
        <is>
          <t>-</t>
        </is>
      </c>
      <c r="G1965" s="7" t="n">
        <v>388.2493896484375</v>
      </c>
      <c r="H1965" s="6">
        <f>P1934</f>
        <v/>
      </c>
      <c r="I1965" s="9">
        <f>Q1934</f>
        <v/>
      </c>
      <c r="J1965" s="7">
        <f>I1965*G1965</f>
        <v/>
      </c>
      <c r="K1965" s="8">
        <f>IF($J$1985=0,0,J1965/$J$1985)</f>
        <v/>
      </c>
      <c r="L1965" s="6" t="inlineStr">
        <is>
          <t>WATCHLIST</t>
        </is>
      </c>
      <c r="M1965" s="8" t="n">
        <v>0</v>
      </c>
      <c r="N1965" s="7">
        <f>M1965*$J$1985-J1965</f>
        <v/>
      </c>
      <c r="O1965" s="9">
        <f>IF(G1965=0,0,N1965/G1965)</f>
        <v/>
      </c>
      <c r="P1965" s="6">
        <f>IF(M1965&gt;0,D1965,"")</f>
        <v/>
      </c>
      <c r="Q1965" s="9">
        <f>I1965+O1965</f>
        <v/>
      </c>
      <c r="R1965" s="7">
        <f>Q1965*G1965</f>
        <v/>
      </c>
      <c r="S1965" s="8">
        <f>IF($R$1985=0,0,R1965/$R$1985)</f>
        <v/>
      </c>
      <c r="T1965" s="8" t="n">
        <v>0.03543408840690376</v>
      </c>
      <c r="U1965" s="8" t="n">
        <v>0.01945719565629744</v>
      </c>
      <c r="V1965" s="6" t="inlineStr">
        <is>
          <t>not selected</t>
        </is>
      </c>
    </row>
    <row r="1966">
      <c r="A1966" s="6" t="inlineStr">
        <is>
          <t>DJ30</t>
        </is>
      </c>
      <c r="B1966" s="6" t="inlineStr">
        <is>
          <t>2024-03-22</t>
        </is>
      </c>
      <c r="C1966" s="6" t="inlineStr">
        <is>
          <t>DIA</t>
        </is>
      </c>
      <c r="D1966" s="6" t="inlineStr">
        <is>
          <t>HD</t>
        </is>
      </c>
      <c r="E1966" s="6" t="inlineStr">
        <is>
          <t>HD</t>
        </is>
      </c>
      <c r="F1966" s="6" t="inlineStr">
        <is>
          <t>-</t>
        </is>
      </c>
      <c r="G1966" s="7" t="n">
        <v>368.6572875976562</v>
      </c>
      <c r="H1966" s="6">
        <f>P1935</f>
        <v/>
      </c>
      <c r="I1966" s="9">
        <f>Q1935</f>
        <v/>
      </c>
      <c r="J1966" s="7">
        <f>I1966*G1966</f>
        <v/>
      </c>
      <c r="K1966" s="8">
        <f>IF($J$1985=0,0,J1966/$J$1985)</f>
        <v/>
      </c>
      <c r="L1966" s="6" t="inlineStr">
        <is>
          <t>WATCHLIST</t>
        </is>
      </c>
      <c r="M1966" s="8" t="n">
        <v>0</v>
      </c>
      <c r="N1966" s="7">
        <f>M1966*$J$1985-J1966</f>
        <v/>
      </c>
      <c r="O1966" s="9">
        <f>IF(G1966=0,0,N1966/G1966)</f>
        <v/>
      </c>
      <c r="P1966" s="6">
        <f>IF(M1966&gt;0,D1966,"")</f>
        <v/>
      </c>
      <c r="Q1966" s="9">
        <f>I1966+O1966</f>
        <v/>
      </c>
      <c r="R1966" s="7">
        <f>Q1966*G1966</f>
        <v/>
      </c>
      <c r="S1966" s="8">
        <f>IF($R$1985=0,0,R1966/$R$1985)</f>
        <v/>
      </c>
      <c r="T1966" s="8" t="n">
        <v>0.03543408840690376</v>
      </c>
      <c r="U1966" s="8" t="n">
        <v>0.01945719565629744</v>
      </c>
      <c r="V1966" s="6" t="inlineStr">
        <is>
          <t>not selected</t>
        </is>
      </c>
    </row>
    <row r="1967">
      <c r="A1967" s="6" t="inlineStr">
        <is>
          <t>DJ30</t>
        </is>
      </c>
      <c r="B1967" s="6" t="inlineStr">
        <is>
          <t>2024-03-22</t>
        </is>
      </c>
      <c r="C1967" s="6" t="inlineStr">
        <is>
          <t>DIA</t>
        </is>
      </c>
      <c r="D1967" s="6" t="inlineStr">
        <is>
          <t>HON</t>
        </is>
      </c>
      <c r="E1967" s="6" t="inlineStr">
        <is>
          <t>HON</t>
        </is>
      </c>
      <c r="F1967" s="6" t="inlineStr">
        <is>
          <t>-</t>
        </is>
      </c>
      <c r="G1967" s="7" t="n">
        <v>180.3806915283203</v>
      </c>
      <c r="H1967" s="6">
        <f>P1936</f>
        <v/>
      </c>
      <c r="I1967" s="9">
        <f>Q1936</f>
        <v/>
      </c>
      <c r="J1967" s="7">
        <f>I1967*G1967</f>
        <v/>
      </c>
      <c r="K1967" s="8">
        <f>IF($J$1985=0,0,J1967/$J$1985)</f>
        <v/>
      </c>
      <c r="L1967" s="6" t="inlineStr">
        <is>
          <t>REJECTED</t>
        </is>
      </c>
      <c r="M1967" s="8" t="n">
        <v>0</v>
      </c>
      <c r="N1967" s="7">
        <f>M1967*$J$1985-J1967</f>
        <v/>
      </c>
      <c r="O1967" s="9">
        <f>IF(G1967=0,0,N1967/G1967)</f>
        <v/>
      </c>
      <c r="P1967" s="6">
        <f>IF(M1967&gt;0,D1967,"")</f>
        <v/>
      </c>
      <c r="Q1967" s="9">
        <f>I1967+O1967</f>
        <v/>
      </c>
      <c r="R1967" s="7">
        <f>Q1967*G1967</f>
        <v/>
      </c>
      <c r="S1967" s="8">
        <f>IF($R$1985=0,0,R1967/$R$1985)</f>
        <v/>
      </c>
      <c r="T1967" s="8" t="n">
        <v>0.03543408840690376</v>
      </c>
      <c r="U1967" s="8" t="n">
        <v>0.01945719565629744</v>
      </c>
      <c r="V1967" s="6" t="inlineStr">
        <is>
          <t>not selected</t>
        </is>
      </c>
    </row>
    <row r="1968">
      <c r="A1968" s="6" t="inlineStr">
        <is>
          <t>DJ30</t>
        </is>
      </c>
      <c r="B1968" s="6" t="inlineStr">
        <is>
          <t>2024-03-22</t>
        </is>
      </c>
      <c r="C1968" s="6" t="inlineStr">
        <is>
          <t>DIA</t>
        </is>
      </c>
      <c r="D1968" s="6" t="inlineStr">
        <is>
          <t>IBM</t>
        </is>
      </c>
      <c r="E1968" s="6" t="inlineStr">
        <is>
          <t>IBM</t>
        </is>
      </c>
      <c r="F1968" s="6" t="inlineStr">
        <is>
          <t>-</t>
        </is>
      </c>
      <c r="G1968" s="7" t="n">
        <v>178.8363800048828</v>
      </c>
      <c r="H1968" s="6">
        <f>P1937</f>
        <v/>
      </c>
      <c r="I1968" s="9">
        <f>Q1937</f>
        <v/>
      </c>
      <c r="J1968" s="7">
        <f>I1968*G1968</f>
        <v/>
      </c>
      <c r="K1968" s="8">
        <f>IF($J$1985=0,0,J1968/$J$1985)</f>
        <v/>
      </c>
      <c r="L1968" s="6" t="inlineStr">
        <is>
          <t>SELECTED</t>
        </is>
      </c>
      <c r="M1968" s="8" t="n">
        <v>0.2</v>
      </c>
      <c r="N1968" s="7">
        <f>M1968*$J$1985-J1968</f>
        <v/>
      </c>
      <c r="O1968" s="9">
        <f>IF(G1968=0,0,N1968/G1968)</f>
        <v/>
      </c>
      <c r="P1968" s="6">
        <f>IF(M1968&gt;0,D1968,"")</f>
        <v/>
      </c>
      <c r="Q1968" s="9">
        <f>I1968+O1968</f>
        <v/>
      </c>
      <c r="R1968" s="7">
        <f>Q1968*G1968</f>
        <v/>
      </c>
      <c r="S1968" s="8">
        <f>IF($R$1985=0,0,R1968/$R$1985)</f>
        <v/>
      </c>
      <c r="T1968" s="8" t="n">
        <v>0.03543408840690376</v>
      </c>
      <c r="U1968" s="8" t="n">
        <v>0.01945719565629744</v>
      </c>
      <c r="V1968" s="6" t="inlineStr">
        <is>
          <t>remained in weekly selection</t>
        </is>
      </c>
    </row>
    <row r="1969">
      <c r="A1969" s="6" t="inlineStr">
        <is>
          <t>DJ30</t>
        </is>
      </c>
      <c r="B1969" s="6" t="inlineStr">
        <is>
          <t>2024-03-22</t>
        </is>
      </c>
      <c r="C1969" s="6" t="inlineStr">
        <is>
          <t>DIA</t>
        </is>
      </c>
      <c r="D1969" s="6" t="inlineStr">
        <is>
          <t>JNJ</t>
        </is>
      </c>
      <c r="E1969" s="6" t="inlineStr">
        <is>
          <t>JNJ</t>
        </is>
      </c>
      <c r="F1969" s="6" t="inlineStr">
        <is>
          <t>-</t>
        </is>
      </c>
      <c r="G1969" s="7" t="n">
        <v>145.4911804199219</v>
      </c>
      <c r="H1969" s="6">
        <f>P1938</f>
        <v/>
      </c>
      <c r="I1969" s="9">
        <f>Q1938</f>
        <v/>
      </c>
      <c r="J1969" s="7">
        <f>I1969*G1969</f>
        <v/>
      </c>
      <c r="K1969" s="8">
        <f>IF($J$1985=0,0,J1969/$J$1985)</f>
        <v/>
      </c>
      <c r="L1969" s="6" t="inlineStr">
        <is>
          <t>REJECTED</t>
        </is>
      </c>
      <c r="M1969" s="8" t="n">
        <v>0</v>
      </c>
      <c r="N1969" s="7">
        <f>M1969*$J$1985-J1969</f>
        <v/>
      </c>
      <c r="O1969" s="9">
        <f>IF(G1969=0,0,N1969/G1969)</f>
        <v/>
      </c>
      <c r="P1969" s="6">
        <f>IF(M1969&gt;0,D1969,"")</f>
        <v/>
      </c>
      <c r="Q1969" s="9">
        <f>I1969+O1969</f>
        <v/>
      </c>
      <c r="R1969" s="7">
        <f>Q1969*G1969</f>
        <v/>
      </c>
      <c r="S1969" s="8">
        <f>IF($R$1985=0,0,R1969/$R$1985)</f>
        <v/>
      </c>
      <c r="T1969" s="8" t="n">
        <v>0.03543408840690376</v>
      </c>
      <c r="U1969" s="8" t="n">
        <v>0.01945719565629744</v>
      </c>
      <c r="V1969" s="6" t="inlineStr">
        <is>
          <t>not selected</t>
        </is>
      </c>
    </row>
    <row r="1970">
      <c r="A1970" s="6" t="inlineStr">
        <is>
          <t>DJ30</t>
        </is>
      </c>
      <c r="B1970" s="6" t="inlineStr">
        <is>
          <t>2024-03-22</t>
        </is>
      </c>
      <c r="C1970" s="6" t="inlineStr">
        <is>
          <t>DIA</t>
        </is>
      </c>
      <c r="D1970" s="6" t="inlineStr">
        <is>
          <t>JPM</t>
        </is>
      </c>
      <c r="E1970" s="6" t="inlineStr">
        <is>
          <t>JPM</t>
        </is>
      </c>
      <c r="F1970" s="6" t="inlineStr">
        <is>
          <t>-</t>
        </is>
      </c>
      <c r="G1970" s="7" t="n">
        <v>187.4042816162109</v>
      </c>
      <c r="H1970" s="6">
        <f>P1939</f>
        <v/>
      </c>
      <c r="I1970" s="9">
        <f>Q1939</f>
        <v/>
      </c>
      <c r="J1970" s="7">
        <f>I1970*G1970</f>
        <v/>
      </c>
      <c r="K1970" s="8">
        <f>IF($J$1985=0,0,J1970/$J$1985)</f>
        <v/>
      </c>
      <c r="L1970" s="6" t="inlineStr">
        <is>
          <t>WATCHLIST</t>
        </is>
      </c>
      <c r="M1970" s="8" t="n">
        <v>0</v>
      </c>
      <c r="N1970" s="7">
        <f>M1970*$J$1985-J1970</f>
        <v/>
      </c>
      <c r="O1970" s="9">
        <f>IF(G1970=0,0,N1970/G1970)</f>
        <v/>
      </c>
      <c r="P1970" s="6">
        <f>IF(M1970&gt;0,D1970,"")</f>
        <v/>
      </c>
      <c r="Q1970" s="9">
        <f>I1970+O1970</f>
        <v/>
      </c>
      <c r="R1970" s="7">
        <f>Q1970*G1970</f>
        <v/>
      </c>
      <c r="S1970" s="8">
        <f>IF($R$1985=0,0,R1970/$R$1985)</f>
        <v/>
      </c>
      <c r="T1970" s="8" t="n">
        <v>0.03543408840690376</v>
      </c>
      <c r="U1970" s="8" t="n">
        <v>0.01945719565629744</v>
      </c>
      <c r="V1970" s="6" t="inlineStr">
        <is>
          <t>not selected</t>
        </is>
      </c>
    </row>
    <row r="1971">
      <c r="A1971" s="6" t="inlineStr">
        <is>
          <t>DJ30</t>
        </is>
      </c>
      <c r="B1971" s="6" t="inlineStr">
        <is>
          <t>2024-03-22</t>
        </is>
      </c>
      <c r="C1971" s="6" t="inlineStr">
        <is>
          <t>DIA</t>
        </is>
      </c>
      <c r="D1971" s="6" t="inlineStr">
        <is>
          <t>KO</t>
        </is>
      </c>
      <c r="E1971" s="6" t="inlineStr">
        <is>
          <t>KO</t>
        </is>
      </c>
      <c r="F1971" s="6" t="inlineStr">
        <is>
          <t>-</t>
        </is>
      </c>
      <c r="G1971" s="7" t="n">
        <v>56.71257400512695</v>
      </c>
      <c r="H1971" s="6">
        <f>P1940</f>
        <v/>
      </c>
      <c r="I1971" s="9">
        <f>Q1940</f>
        <v/>
      </c>
      <c r="J1971" s="7">
        <f>I1971*G1971</f>
        <v/>
      </c>
      <c r="K1971" s="8">
        <f>IF($J$1985=0,0,J1971/$J$1985)</f>
        <v/>
      </c>
      <c r="L1971" s="6" t="inlineStr">
        <is>
          <t>REJECTED</t>
        </is>
      </c>
      <c r="M1971" s="8" t="n">
        <v>0</v>
      </c>
      <c r="N1971" s="7">
        <f>M1971*$J$1985-J1971</f>
        <v/>
      </c>
      <c r="O1971" s="9">
        <f>IF(G1971=0,0,N1971/G1971)</f>
        <v/>
      </c>
      <c r="P1971" s="6">
        <f>IF(M1971&gt;0,D1971,"")</f>
        <v/>
      </c>
      <c r="Q1971" s="9">
        <f>I1971+O1971</f>
        <v/>
      </c>
      <c r="R1971" s="7">
        <f>Q1971*G1971</f>
        <v/>
      </c>
      <c r="S1971" s="8">
        <f>IF($R$1985=0,0,R1971/$R$1985)</f>
        <v/>
      </c>
      <c r="T1971" s="8" t="n">
        <v>0.03543408840690376</v>
      </c>
      <c r="U1971" s="8" t="n">
        <v>0.01945719565629744</v>
      </c>
      <c r="V1971" s="6" t="inlineStr">
        <is>
          <t>not selected</t>
        </is>
      </c>
    </row>
    <row r="1972">
      <c r="A1972" s="6" t="inlineStr">
        <is>
          <t>DJ30</t>
        </is>
      </c>
      <c r="B1972" s="6" t="inlineStr">
        <is>
          <t>2024-03-22</t>
        </is>
      </c>
      <c r="C1972" s="6" t="inlineStr">
        <is>
          <t>DIA</t>
        </is>
      </c>
      <c r="D1972" s="6" t="inlineStr">
        <is>
          <t>MCD</t>
        </is>
      </c>
      <c r="E1972" s="6" t="inlineStr">
        <is>
          <t>MCD</t>
        </is>
      </c>
      <c r="F1972" s="6" t="inlineStr">
        <is>
          <t>-</t>
        </is>
      </c>
      <c r="G1972" s="7" t="n">
        <v>267.8643493652344</v>
      </c>
      <c r="H1972" s="6">
        <f>P1941</f>
        <v/>
      </c>
      <c r="I1972" s="9">
        <f>Q1941</f>
        <v/>
      </c>
      <c r="J1972" s="7">
        <f>I1972*G1972</f>
        <v/>
      </c>
      <c r="K1972" s="8">
        <f>IF($J$1985=0,0,J1972/$J$1985)</f>
        <v/>
      </c>
      <c r="L1972" s="6" t="inlineStr">
        <is>
          <t>REJECTED</t>
        </is>
      </c>
      <c r="M1972" s="8" t="n">
        <v>0</v>
      </c>
      <c r="N1972" s="7">
        <f>M1972*$J$1985-J1972</f>
        <v/>
      </c>
      <c r="O1972" s="9">
        <f>IF(G1972=0,0,N1972/G1972)</f>
        <v/>
      </c>
      <c r="P1972" s="6">
        <f>IF(M1972&gt;0,D1972,"")</f>
        <v/>
      </c>
      <c r="Q1972" s="9">
        <f>I1972+O1972</f>
        <v/>
      </c>
      <c r="R1972" s="7">
        <f>Q1972*G1972</f>
        <v/>
      </c>
      <c r="S1972" s="8">
        <f>IF($R$1985=0,0,R1972/$R$1985)</f>
        <v/>
      </c>
      <c r="T1972" s="8" t="n">
        <v>0.03543408840690376</v>
      </c>
      <c r="U1972" s="8" t="n">
        <v>0.01945719565629744</v>
      </c>
      <c r="V1972" s="6" t="inlineStr">
        <is>
          <t>not selected</t>
        </is>
      </c>
    </row>
    <row r="1973">
      <c r="A1973" s="6" t="inlineStr">
        <is>
          <t>DJ30</t>
        </is>
      </c>
      <c r="B1973" s="6" t="inlineStr">
        <is>
          <t>2024-03-22</t>
        </is>
      </c>
      <c r="C1973" s="6" t="inlineStr">
        <is>
          <t>DIA</t>
        </is>
      </c>
      <c r="D1973" s="6" t="inlineStr">
        <is>
          <t>MMM</t>
        </is>
      </c>
      <c r="E1973" s="6" t="inlineStr">
        <is>
          <t>MMM</t>
        </is>
      </c>
      <c r="F1973" s="6" t="inlineStr">
        <is>
          <t>-</t>
        </is>
      </c>
      <c r="G1973" s="7" t="n">
        <v>85.27205657958984</v>
      </c>
      <c r="H1973" s="6">
        <f>P1942</f>
        <v/>
      </c>
      <c r="I1973" s="9">
        <f>Q1942</f>
        <v/>
      </c>
      <c r="J1973" s="7">
        <f>I1973*G1973</f>
        <v/>
      </c>
      <c r="K1973" s="8">
        <f>IF($J$1985=0,0,J1973/$J$1985)</f>
        <v/>
      </c>
      <c r="L1973" s="6" t="inlineStr">
        <is>
          <t>REJECTED</t>
        </is>
      </c>
      <c r="M1973" s="8" t="n">
        <v>0</v>
      </c>
      <c r="N1973" s="7">
        <f>M1973*$J$1985-J1973</f>
        <v/>
      </c>
      <c r="O1973" s="9">
        <f>IF(G1973=0,0,N1973/G1973)</f>
        <v/>
      </c>
      <c r="P1973" s="6">
        <f>IF(M1973&gt;0,D1973,"")</f>
        <v/>
      </c>
      <c r="Q1973" s="9">
        <f>I1973+O1973</f>
        <v/>
      </c>
      <c r="R1973" s="7">
        <f>Q1973*G1973</f>
        <v/>
      </c>
      <c r="S1973" s="8">
        <f>IF($R$1985=0,0,R1973/$R$1985)</f>
        <v/>
      </c>
      <c r="T1973" s="8" t="n">
        <v>0.03543408840690376</v>
      </c>
      <c r="U1973" s="8" t="n">
        <v>0.01945719565629744</v>
      </c>
      <c r="V1973" s="6" t="inlineStr">
        <is>
          <t>not selected</t>
        </is>
      </c>
    </row>
    <row r="1974">
      <c r="A1974" s="6" t="inlineStr">
        <is>
          <t>DJ30</t>
        </is>
      </c>
      <c r="B1974" s="6" t="inlineStr">
        <is>
          <t>2024-03-22</t>
        </is>
      </c>
      <c r="C1974" s="6" t="inlineStr">
        <is>
          <t>DIA</t>
        </is>
      </c>
      <c r="D1974" s="6" t="inlineStr">
        <is>
          <t>MRK</t>
        </is>
      </c>
      <c r="E1974" s="6" t="inlineStr">
        <is>
          <t>MRK</t>
        </is>
      </c>
      <c r="F1974" s="6" t="inlineStr">
        <is>
          <t>-</t>
        </is>
      </c>
      <c r="G1974" s="7" t="n">
        <v>115.2398681640625</v>
      </c>
      <c r="H1974" s="6">
        <f>P1943</f>
        <v/>
      </c>
      <c r="I1974" s="9">
        <f>Q1943</f>
        <v/>
      </c>
      <c r="J1974" s="7">
        <f>I1974*G1974</f>
        <v/>
      </c>
      <c r="K1974" s="8">
        <f>IF($J$1985=0,0,J1974/$J$1985)</f>
        <v/>
      </c>
      <c r="L1974" s="6" t="inlineStr">
        <is>
          <t>REJECTED</t>
        </is>
      </c>
      <c r="M1974" s="8" t="n">
        <v>0</v>
      </c>
      <c r="N1974" s="7">
        <f>M1974*$J$1985-J1974</f>
        <v/>
      </c>
      <c r="O1974" s="9">
        <f>IF(G1974=0,0,N1974/G1974)</f>
        <v/>
      </c>
      <c r="P1974" s="6">
        <f>IF(M1974&gt;0,D1974,"")</f>
        <v/>
      </c>
      <c r="Q1974" s="9">
        <f>I1974+O1974</f>
        <v/>
      </c>
      <c r="R1974" s="7">
        <f>Q1974*G1974</f>
        <v/>
      </c>
      <c r="S1974" s="8">
        <f>IF($R$1985=0,0,R1974/$R$1985)</f>
        <v/>
      </c>
      <c r="T1974" s="8" t="n">
        <v>0.03543408840690376</v>
      </c>
      <c r="U1974" s="8" t="n">
        <v>0.01945719565629744</v>
      </c>
      <c r="V1974" s="6" t="inlineStr">
        <is>
          <t>not selected</t>
        </is>
      </c>
    </row>
    <row r="1975">
      <c r="A1975" s="6" t="inlineStr">
        <is>
          <t>DJ30</t>
        </is>
      </c>
      <c r="B1975" s="6" t="inlineStr">
        <is>
          <t>2024-03-22</t>
        </is>
      </c>
      <c r="C1975" s="6" t="inlineStr">
        <is>
          <t>DIA</t>
        </is>
      </c>
      <c r="D1975" s="6" t="inlineStr">
        <is>
          <t>MSFT</t>
        </is>
      </c>
      <c r="E1975" s="6" t="inlineStr">
        <is>
          <t>MSFT</t>
        </is>
      </c>
      <c r="F1975" s="6" t="inlineStr">
        <is>
          <t>-</t>
        </is>
      </c>
      <c r="G1975" s="7" t="n">
        <v>421.3462829589844</v>
      </c>
      <c r="H1975" s="6">
        <f>P1944</f>
        <v/>
      </c>
      <c r="I1975" s="9">
        <f>Q1944</f>
        <v/>
      </c>
      <c r="J1975" s="7">
        <f>I1975*G1975</f>
        <v/>
      </c>
      <c r="K1975" s="8">
        <f>IF($J$1985=0,0,J1975/$J$1985)</f>
        <v/>
      </c>
      <c r="L1975" s="6" t="inlineStr">
        <is>
          <t>WATCHLIST</t>
        </is>
      </c>
      <c r="M1975" s="8" t="n">
        <v>0</v>
      </c>
      <c r="N1975" s="7">
        <f>M1975*$J$1985-J1975</f>
        <v/>
      </c>
      <c r="O1975" s="9">
        <f>IF(G1975=0,0,N1975/G1975)</f>
        <v/>
      </c>
      <c r="P1975" s="6">
        <f>IF(M1975&gt;0,D1975,"")</f>
        <v/>
      </c>
      <c r="Q1975" s="9">
        <f>I1975+O1975</f>
        <v/>
      </c>
      <c r="R1975" s="7">
        <f>Q1975*G1975</f>
        <v/>
      </c>
      <c r="S1975" s="8">
        <f>IF($R$1985=0,0,R1975/$R$1985)</f>
        <v/>
      </c>
      <c r="T1975" s="8" t="n">
        <v>0.03543408840690376</v>
      </c>
      <c r="U1975" s="8" t="n">
        <v>0.01945719565629744</v>
      </c>
      <c r="V1975" s="6" t="inlineStr">
        <is>
          <t>not selected</t>
        </is>
      </c>
    </row>
    <row r="1976">
      <c r="A1976" s="6" t="inlineStr">
        <is>
          <t>DJ30</t>
        </is>
      </c>
      <c r="B1976" s="6" t="inlineStr">
        <is>
          <t>2024-03-22</t>
        </is>
      </c>
      <c r="C1976" s="6" t="inlineStr">
        <is>
          <t>DIA</t>
        </is>
      </c>
      <c r="D1976" s="6" t="inlineStr">
        <is>
          <t>NKE</t>
        </is>
      </c>
      <c r="E1976" s="6" t="inlineStr">
        <is>
          <t>NKE</t>
        </is>
      </c>
      <c r="F1976" s="6" t="inlineStr">
        <is>
          <t>-</t>
        </is>
      </c>
      <c r="G1976" s="7" t="n">
        <v>89.08750152587891</v>
      </c>
      <c r="H1976" s="6">
        <f>P1945</f>
        <v/>
      </c>
      <c r="I1976" s="9">
        <f>Q1945</f>
        <v/>
      </c>
      <c r="J1976" s="7">
        <f>I1976*G1976</f>
        <v/>
      </c>
      <c r="K1976" s="8">
        <f>IF($J$1985=0,0,J1976/$J$1985)</f>
        <v/>
      </c>
      <c r="L1976" s="6" t="inlineStr">
        <is>
          <t>REJECTED</t>
        </is>
      </c>
      <c r="M1976" s="8" t="n">
        <v>0</v>
      </c>
      <c r="N1976" s="7">
        <f>M1976*$J$1985-J1976</f>
        <v/>
      </c>
      <c r="O1976" s="9">
        <f>IF(G1976=0,0,N1976/G1976)</f>
        <v/>
      </c>
      <c r="P1976" s="6">
        <f>IF(M1976&gt;0,D1976,"")</f>
        <v/>
      </c>
      <c r="Q1976" s="9">
        <f>I1976+O1976</f>
        <v/>
      </c>
      <c r="R1976" s="7">
        <f>Q1976*G1976</f>
        <v/>
      </c>
      <c r="S1976" s="8">
        <f>IF($R$1985=0,0,R1976/$R$1985)</f>
        <v/>
      </c>
      <c r="T1976" s="8" t="n">
        <v>0.03543408840690376</v>
      </c>
      <c r="U1976" s="8" t="n">
        <v>0.01945719565629744</v>
      </c>
      <c r="V1976" s="6" t="inlineStr">
        <is>
          <t>not selected</t>
        </is>
      </c>
    </row>
    <row r="1977">
      <c r="A1977" s="6" t="inlineStr">
        <is>
          <t>DJ30</t>
        </is>
      </c>
      <c r="B1977" s="6" t="inlineStr">
        <is>
          <t>2024-03-22</t>
        </is>
      </c>
      <c r="C1977" s="6" t="inlineStr">
        <is>
          <t>DIA</t>
        </is>
      </c>
      <c r="D1977" s="6" t="inlineStr">
        <is>
          <t>NVDA</t>
        </is>
      </c>
      <c r="E1977" s="6" t="inlineStr">
        <is>
          <t>NVDA</t>
        </is>
      </c>
      <c r="F1977" s="6" t="inlineStr">
        <is>
          <t>-</t>
        </is>
      </c>
      <c r="G1977" s="7" t="n">
        <v>94.12611389160156</v>
      </c>
      <c r="H1977" s="6">
        <f>P1946</f>
        <v/>
      </c>
      <c r="I1977" s="9">
        <f>Q1946</f>
        <v/>
      </c>
      <c r="J1977" s="7">
        <f>I1977*G1977</f>
        <v/>
      </c>
      <c r="K1977" s="8">
        <f>IF($J$1985=0,0,J1977/$J$1985)</f>
        <v/>
      </c>
      <c r="L1977" s="6" t="inlineStr">
        <is>
          <t>SELECTED</t>
        </is>
      </c>
      <c r="M1977" s="8" t="n">
        <v>0.2</v>
      </c>
      <c r="N1977" s="7">
        <f>M1977*$J$1985-J1977</f>
        <v/>
      </c>
      <c r="O1977" s="9">
        <f>IF(G1977=0,0,N1977/G1977)</f>
        <v/>
      </c>
      <c r="P1977" s="6">
        <f>IF(M1977&gt;0,D1977,"")</f>
        <v/>
      </c>
      <c r="Q1977" s="9">
        <f>I1977+O1977</f>
        <v/>
      </c>
      <c r="R1977" s="7">
        <f>Q1977*G1977</f>
        <v/>
      </c>
      <c r="S1977" s="8">
        <f>IF($R$1985=0,0,R1977/$R$1985)</f>
        <v/>
      </c>
      <c r="T1977" s="8" t="n">
        <v>0.03543408840690376</v>
      </c>
      <c r="U1977" s="8" t="n">
        <v>0.01945719565629744</v>
      </c>
      <c r="V1977" s="6" t="inlineStr">
        <is>
          <t>remained in weekly selection</t>
        </is>
      </c>
    </row>
    <row r="1978">
      <c r="A1978" s="6" t="inlineStr">
        <is>
          <t>DJ30</t>
        </is>
      </c>
      <c r="B1978" s="6" t="inlineStr">
        <is>
          <t>2024-03-22</t>
        </is>
      </c>
      <c r="C1978" s="6" t="inlineStr">
        <is>
          <t>DIA</t>
        </is>
      </c>
      <c r="D1978" s="6" t="inlineStr">
        <is>
          <t>PG</t>
        </is>
      </c>
      <c r="E1978" s="6" t="inlineStr">
        <is>
          <t>PG</t>
        </is>
      </c>
      <c r="F1978" s="6" t="inlineStr">
        <is>
          <t>-</t>
        </is>
      </c>
      <c r="G1978" s="7" t="n">
        <v>152.40576171875</v>
      </c>
      <c r="H1978" s="6">
        <f>P1947</f>
        <v/>
      </c>
      <c r="I1978" s="9">
        <f>Q1947</f>
        <v/>
      </c>
      <c r="J1978" s="7">
        <f>I1978*G1978</f>
        <v/>
      </c>
      <c r="K1978" s="8">
        <f>IF($J$1985=0,0,J1978/$J$1985)</f>
        <v/>
      </c>
      <c r="L1978" s="6" t="inlineStr">
        <is>
          <t>REJECTED</t>
        </is>
      </c>
      <c r="M1978" s="8" t="n">
        <v>0</v>
      </c>
      <c r="N1978" s="7">
        <f>M1978*$J$1985-J1978</f>
        <v/>
      </c>
      <c r="O1978" s="9">
        <f>IF(G1978=0,0,N1978/G1978)</f>
        <v/>
      </c>
      <c r="P1978" s="6">
        <f>IF(M1978&gt;0,D1978,"")</f>
        <v/>
      </c>
      <c r="Q1978" s="9">
        <f>I1978+O1978</f>
        <v/>
      </c>
      <c r="R1978" s="7">
        <f>Q1978*G1978</f>
        <v/>
      </c>
      <c r="S1978" s="8">
        <f>IF($R$1985=0,0,R1978/$R$1985)</f>
        <v/>
      </c>
      <c r="T1978" s="8" t="n">
        <v>0.03543408840690376</v>
      </c>
      <c r="U1978" s="8" t="n">
        <v>0.01945719565629744</v>
      </c>
      <c r="V1978" s="6" t="inlineStr">
        <is>
          <t>not selected</t>
        </is>
      </c>
    </row>
    <row r="1979">
      <c r="A1979" s="6" t="inlineStr">
        <is>
          <t>DJ30</t>
        </is>
      </c>
      <c r="B1979" s="6" t="inlineStr">
        <is>
          <t>2024-03-22</t>
        </is>
      </c>
      <c r="C1979" s="6" t="inlineStr">
        <is>
          <t>DIA</t>
        </is>
      </c>
      <c r="D1979" s="6" t="inlineStr">
        <is>
          <t>SHW</t>
        </is>
      </c>
      <c r="E1979" s="6" t="inlineStr">
        <is>
          <t>SHW</t>
        </is>
      </c>
      <c r="F1979" s="6" t="inlineStr">
        <is>
          <t>-</t>
        </is>
      </c>
      <c r="G1979" s="7" t="n">
        <v>336.1548156738281</v>
      </c>
      <c r="H1979" s="6">
        <f>P1948</f>
        <v/>
      </c>
      <c r="I1979" s="9">
        <f>Q1948</f>
        <v/>
      </c>
      <c r="J1979" s="7">
        <f>I1979*G1979</f>
        <v/>
      </c>
      <c r="K1979" s="8">
        <f>IF($J$1985=0,0,J1979/$J$1985)</f>
        <v/>
      </c>
      <c r="L1979" s="6" t="inlineStr">
        <is>
          <t>WATCHLIST</t>
        </is>
      </c>
      <c r="M1979" s="8" t="n">
        <v>0</v>
      </c>
      <c r="N1979" s="7">
        <f>M1979*$J$1985-J1979</f>
        <v/>
      </c>
      <c r="O1979" s="9">
        <f>IF(G1979=0,0,N1979/G1979)</f>
        <v/>
      </c>
      <c r="P1979" s="6">
        <f>IF(M1979&gt;0,D1979,"")</f>
        <v/>
      </c>
      <c r="Q1979" s="9">
        <f>I1979+O1979</f>
        <v/>
      </c>
      <c r="R1979" s="7">
        <f>Q1979*G1979</f>
        <v/>
      </c>
      <c r="S1979" s="8">
        <f>IF($R$1985=0,0,R1979/$R$1985)</f>
        <v/>
      </c>
      <c r="T1979" s="8" t="n">
        <v>0.03543408840690376</v>
      </c>
      <c r="U1979" s="8" t="n">
        <v>0.01945719565629744</v>
      </c>
      <c r="V1979" s="6" t="inlineStr">
        <is>
          <t>not selected</t>
        </is>
      </c>
    </row>
    <row r="1980">
      <c r="A1980" s="6" t="inlineStr">
        <is>
          <t>DJ30</t>
        </is>
      </c>
      <c r="B1980" s="6" t="inlineStr">
        <is>
          <t>2024-03-22</t>
        </is>
      </c>
      <c r="C1980" s="6" t="inlineStr">
        <is>
          <t>DIA</t>
        </is>
      </c>
      <c r="D1980" s="6" t="inlineStr">
        <is>
          <t>TRV</t>
        </is>
      </c>
      <c r="E1980" s="6" t="inlineStr">
        <is>
          <t>TRV</t>
        </is>
      </c>
      <c r="F1980" s="6" t="inlineStr">
        <is>
          <t>-</t>
        </is>
      </c>
      <c r="G1980" s="7" t="n">
        <v>216.196044921875</v>
      </c>
      <c r="H1980" s="6">
        <f>P1949</f>
        <v/>
      </c>
      <c r="I1980" s="9">
        <f>Q1949</f>
        <v/>
      </c>
      <c r="J1980" s="7">
        <f>I1980*G1980</f>
        <v/>
      </c>
      <c r="K1980" s="8">
        <f>IF($J$1985=0,0,J1980/$J$1985)</f>
        <v/>
      </c>
      <c r="L1980" s="6" t="inlineStr">
        <is>
          <t>WATCHLIST</t>
        </is>
      </c>
      <c r="M1980" s="8" t="n">
        <v>0</v>
      </c>
      <c r="N1980" s="7">
        <f>M1980*$J$1985-J1980</f>
        <v/>
      </c>
      <c r="O1980" s="9">
        <f>IF(G1980=0,0,N1980/G1980)</f>
        <v/>
      </c>
      <c r="P1980" s="6">
        <f>IF(M1980&gt;0,D1980,"")</f>
        <v/>
      </c>
      <c r="Q1980" s="9">
        <f>I1980+O1980</f>
        <v/>
      </c>
      <c r="R1980" s="7">
        <f>Q1980*G1980</f>
        <v/>
      </c>
      <c r="S1980" s="8">
        <f>IF($R$1985=0,0,R1980/$R$1985)</f>
        <v/>
      </c>
      <c r="T1980" s="8" t="n">
        <v>0.03543408840690376</v>
      </c>
      <c r="U1980" s="8" t="n">
        <v>0.01945719565629744</v>
      </c>
      <c r="V1980" s="6" t="inlineStr">
        <is>
          <t>not selected</t>
        </is>
      </c>
    </row>
    <row r="1981">
      <c r="A1981" s="6" t="inlineStr">
        <is>
          <t>DJ30</t>
        </is>
      </c>
      <c r="B1981" s="6" t="inlineStr">
        <is>
          <t>2024-03-22</t>
        </is>
      </c>
      <c r="C1981" s="6" t="inlineStr">
        <is>
          <t>DIA</t>
        </is>
      </c>
      <c r="D1981" s="6" t="inlineStr">
        <is>
          <t>UNH</t>
        </is>
      </c>
      <c r="E1981" s="6" t="inlineStr">
        <is>
          <t>UNH</t>
        </is>
      </c>
      <c r="F1981" s="6" t="inlineStr">
        <is>
          <t>-</t>
        </is>
      </c>
      <c r="G1981" s="7" t="n">
        <v>466.4632873535156</v>
      </c>
      <c r="H1981" s="6">
        <f>P1950</f>
        <v/>
      </c>
      <c r="I1981" s="9">
        <f>Q1950</f>
        <v/>
      </c>
      <c r="J1981" s="7">
        <f>I1981*G1981</f>
        <v/>
      </c>
      <c r="K1981" s="8">
        <f>IF($J$1985=0,0,J1981/$J$1985)</f>
        <v/>
      </c>
      <c r="L1981" s="6" t="inlineStr">
        <is>
          <t>REJECTED</t>
        </is>
      </c>
      <c r="M1981" s="8" t="n">
        <v>0</v>
      </c>
      <c r="N1981" s="7">
        <f>M1981*$J$1985-J1981</f>
        <v/>
      </c>
      <c r="O1981" s="9">
        <f>IF(G1981=0,0,N1981/G1981)</f>
        <v/>
      </c>
      <c r="P1981" s="6">
        <f>IF(M1981&gt;0,D1981,"")</f>
        <v/>
      </c>
      <c r="Q1981" s="9">
        <f>I1981+O1981</f>
        <v/>
      </c>
      <c r="R1981" s="7">
        <f>Q1981*G1981</f>
        <v/>
      </c>
      <c r="S1981" s="8">
        <f>IF($R$1985=0,0,R1981/$R$1985)</f>
        <v/>
      </c>
      <c r="T1981" s="8" t="n">
        <v>0.03543408840690376</v>
      </c>
      <c r="U1981" s="8" t="n">
        <v>0.01945719565629744</v>
      </c>
      <c r="V1981" s="6" t="inlineStr">
        <is>
          <t>not selected</t>
        </is>
      </c>
    </row>
    <row r="1982">
      <c r="A1982" s="6" t="inlineStr">
        <is>
          <t>DJ30</t>
        </is>
      </c>
      <c r="B1982" s="6" t="inlineStr">
        <is>
          <t>2024-03-22</t>
        </is>
      </c>
      <c r="C1982" s="6" t="inlineStr">
        <is>
          <t>DIA</t>
        </is>
      </c>
      <c r="D1982" s="6" t="inlineStr">
        <is>
          <t>V</t>
        </is>
      </c>
      <c r="E1982" s="6" t="inlineStr">
        <is>
          <t>V</t>
        </is>
      </c>
      <c r="F1982" s="6" t="inlineStr">
        <is>
          <t>-</t>
        </is>
      </c>
      <c r="G1982" s="7" t="n">
        <v>278.4963989257812</v>
      </c>
      <c r="H1982" s="6">
        <f>P1951</f>
        <v/>
      </c>
      <c r="I1982" s="9">
        <f>Q1951</f>
        <v/>
      </c>
      <c r="J1982" s="7">
        <f>I1982*G1982</f>
        <v/>
      </c>
      <c r="K1982" s="8">
        <f>IF($J$1985=0,0,J1982/$J$1985)</f>
        <v/>
      </c>
      <c r="L1982" s="6" t="inlineStr">
        <is>
          <t>WATCHLIST</t>
        </is>
      </c>
      <c r="M1982" s="8" t="n">
        <v>0</v>
      </c>
      <c r="N1982" s="7">
        <f>M1982*$J$1985-J1982</f>
        <v/>
      </c>
      <c r="O1982" s="9">
        <f>IF(G1982=0,0,N1982/G1982)</f>
        <v/>
      </c>
      <c r="P1982" s="6">
        <f>IF(M1982&gt;0,D1982,"")</f>
        <v/>
      </c>
      <c r="Q1982" s="9">
        <f>I1982+O1982</f>
        <v/>
      </c>
      <c r="R1982" s="7">
        <f>Q1982*G1982</f>
        <v/>
      </c>
      <c r="S1982" s="8">
        <f>IF($R$1985=0,0,R1982/$R$1985)</f>
        <v/>
      </c>
      <c r="T1982" s="8" t="n">
        <v>0.03543408840690376</v>
      </c>
      <c r="U1982" s="8" t="n">
        <v>0.01945719565629744</v>
      </c>
      <c r="V1982" s="6" t="inlineStr">
        <is>
          <t>not selected</t>
        </is>
      </c>
    </row>
    <row r="1983">
      <c r="A1983" s="6" t="inlineStr">
        <is>
          <t>DJ30</t>
        </is>
      </c>
      <c r="B1983" s="6" t="inlineStr">
        <is>
          <t>2024-03-22</t>
        </is>
      </c>
      <c r="C1983" s="6" t="inlineStr">
        <is>
          <t>DIA</t>
        </is>
      </c>
      <c r="D1983" s="6" t="inlineStr">
        <is>
          <t>VZ</t>
        </is>
      </c>
      <c r="E1983" s="6" t="inlineStr">
        <is>
          <t>VZ</t>
        </is>
      </c>
      <c r="F1983" s="6" t="inlineStr">
        <is>
          <t>-</t>
        </is>
      </c>
      <c r="G1983" s="7" t="n">
        <v>34.86864471435547</v>
      </c>
      <c r="H1983" s="6">
        <f>P1952</f>
        <v/>
      </c>
      <c r="I1983" s="9">
        <f>Q1952</f>
        <v/>
      </c>
      <c r="J1983" s="7">
        <f>I1983*G1983</f>
        <v/>
      </c>
      <c r="K1983" s="8">
        <f>IF($J$1985=0,0,J1983/$J$1985)</f>
        <v/>
      </c>
      <c r="L1983" s="6" t="inlineStr">
        <is>
          <t>WATCHLIST</t>
        </is>
      </c>
      <c r="M1983" s="8" t="n">
        <v>0</v>
      </c>
      <c r="N1983" s="7">
        <f>M1983*$J$1985-J1983</f>
        <v/>
      </c>
      <c r="O1983" s="9">
        <f>IF(G1983=0,0,N1983/G1983)</f>
        <v/>
      </c>
      <c r="P1983" s="6">
        <f>IF(M1983&gt;0,D1983,"")</f>
        <v/>
      </c>
      <c r="Q1983" s="9">
        <f>I1983+O1983</f>
        <v/>
      </c>
      <c r="R1983" s="7">
        <f>Q1983*G1983</f>
        <v/>
      </c>
      <c r="S1983" s="8">
        <f>IF($R$1985=0,0,R1983/$R$1985)</f>
        <v/>
      </c>
      <c r="T1983" s="8" t="n">
        <v>0.03543408840690376</v>
      </c>
      <c r="U1983" s="8" t="n">
        <v>0.01945719565629744</v>
      </c>
      <c r="V1983" s="6" t="inlineStr">
        <is>
          <t>not selected</t>
        </is>
      </c>
    </row>
    <row r="1984">
      <c r="A1984" s="6" t="inlineStr">
        <is>
          <t>DJ30</t>
        </is>
      </c>
      <c r="B1984" s="6" t="inlineStr">
        <is>
          <t>2024-03-22</t>
        </is>
      </c>
      <c r="C1984" s="6" t="inlineStr">
        <is>
          <t>DIA</t>
        </is>
      </c>
      <c r="D1984" s="6" t="inlineStr">
        <is>
          <t>WMT</t>
        </is>
      </c>
      <c r="E1984" s="6" t="inlineStr">
        <is>
          <t>WMT</t>
        </is>
      </c>
      <c r="F1984" s="6" t="inlineStr">
        <is>
          <t>-</t>
        </is>
      </c>
      <c r="G1984" s="7" t="n">
        <v>59.54558944702149</v>
      </c>
      <c r="H1984" s="6">
        <f>P1953</f>
        <v/>
      </c>
      <c r="I1984" s="9">
        <f>Q1953</f>
        <v/>
      </c>
      <c r="J1984" s="7">
        <f>I1984*G1984</f>
        <v/>
      </c>
      <c r="K1984" s="8">
        <f>IF($J$1985=0,0,J1984/$J$1985)</f>
        <v/>
      </c>
      <c r="L1984" s="6" t="inlineStr">
        <is>
          <t>WATCHLIST</t>
        </is>
      </c>
      <c r="M1984" s="8" t="n">
        <v>0</v>
      </c>
      <c r="N1984" s="7">
        <f>M1984*$J$1985-J1984</f>
        <v/>
      </c>
      <c r="O1984" s="9">
        <f>IF(G1984=0,0,N1984/G1984)</f>
        <v/>
      </c>
      <c r="P1984" s="6">
        <f>IF(M1984&gt;0,D1984,"")</f>
        <v/>
      </c>
      <c r="Q1984" s="9">
        <f>I1984+O1984</f>
        <v/>
      </c>
      <c r="R1984" s="7">
        <f>Q1984*G1984</f>
        <v/>
      </c>
      <c r="S1984" s="8">
        <f>IF($R$1985=0,0,R1984/$R$1985)</f>
        <v/>
      </c>
      <c r="T1984" s="8" t="n">
        <v>0.03543408840690376</v>
      </c>
      <c r="U1984" s="8" t="n">
        <v>0.01945719565629744</v>
      </c>
      <c r="V1984" s="6" t="inlineStr">
        <is>
          <t>not selected</t>
        </is>
      </c>
    </row>
    <row r="1985">
      <c r="A1985" s="10" t="inlineStr">
        <is>
          <t>DJ30</t>
        </is>
      </c>
      <c r="B1985" s="10" t="inlineStr">
        <is>
          <t>2024-03-22</t>
        </is>
      </c>
      <c r="C1985" s="10" t="inlineStr">
        <is>
          <t>DIA</t>
        </is>
      </c>
      <c r="D1985" s="10" t="inlineStr">
        <is>
          <t>Tot Portfolio</t>
        </is>
      </c>
      <c r="E1985" s="10" t="inlineStr"/>
      <c r="F1985" s="10" t="inlineStr"/>
      <c r="G1985" s="11" t="inlineStr"/>
      <c r="H1985" s="10" t="inlineStr"/>
      <c r="I1985" s="12" t="inlineStr"/>
      <c r="J1985" s="11">
        <f>SUM(J1955:J1984)</f>
        <v/>
      </c>
      <c r="K1985" s="13">
        <f>SUM(K1955:K1984)</f>
        <v/>
      </c>
      <c r="L1985" s="10" t="inlineStr">
        <is>
          <t>TOTAL</t>
        </is>
      </c>
      <c r="M1985" s="13">
        <f>SUM(M1955:M1984)</f>
        <v/>
      </c>
      <c r="N1985" s="11">
        <f>SUM(N1955:N1984)</f>
        <v/>
      </c>
      <c r="O1985" s="12">
        <f>SUM(O1955:O1984)</f>
        <v/>
      </c>
      <c r="P1985" s="10" t="inlineStr"/>
      <c r="Q1985" s="12" t="inlineStr"/>
      <c r="R1985" s="11">
        <f>SUM(R1955:R1984)</f>
        <v/>
      </c>
      <c r="S1985" s="13">
        <f>SUM(S1955:S1984)</f>
        <v/>
      </c>
      <c r="T1985" s="13" t="n">
        <v>0.03543408840690376</v>
      </c>
      <c r="U1985" s="13" t="n">
        <v>0.01945719565629744</v>
      </c>
      <c r="V1985" s="10" t="inlineStr"/>
    </row>
    <row r="1986">
      <c r="A1986" s="6" t="inlineStr">
        <is>
          <t>DJ30</t>
        </is>
      </c>
      <c r="B1986" s="6" t="inlineStr">
        <is>
          <t>2024-03-29</t>
        </is>
      </c>
      <c r="C1986" s="6" t="inlineStr">
        <is>
          <t>DIA</t>
        </is>
      </c>
      <c r="D1986" s="6" t="inlineStr">
        <is>
          <t>AAPL</t>
        </is>
      </c>
      <c r="E1986" s="6" t="inlineStr">
        <is>
          <t>AAPL</t>
        </is>
      </c>
      <c r="F1986" s="6" t="inlineStr">
        <is>
          <t>-</t>
        </is>
      </c>
      <c r="G1986" s="7" t="n">
        <v>169.7770538330078</v>
      </c>
      <c r="H1986" s="6">
        <f>P1955</f>
        <v/>
      </c>
      <c r="I1986" s="9">
        <f>Q1955</f>
        <v/>
      </c>
      <c r="J1986" s="7">
        <f>I1986*G1986</f>
        <v/>
      </c>
      <c r="K1986" s="8">
        <f>IF($J$2016=0,0,J1986/$J$2016)</f>
        <v/>
      </c>
      <c r="L1986" s="6" t="inlineStr">
        <is>
          <t>REJECTED</t>
        </is>
      </c>
      <c r="M1986" s="8" t="n">
        <v>0</v>
      </c>
      <c r="N1986" s="7">
        <f>M1986*$J$2016-J1986</f>
        <v/>
      </c>
      <c r="O1986" s="9">
        <f>IF(G1986=0,0,N1986/G1986)</f>
        <v/>
      </c>
      <c r="P1986" s="6">
        <f>IF(M1986&gt;0,D1986,"")</f>
        <v/>
      </c>
      <c r="Q1986" s="9">
        <f>I1986+O1986</f>
        <v/>
      </c>
      <c r="R1986" s="7">
        <f>Q1986*G1986</f>
        <v/>
      </c>
      <c r="S1986" s="8">
        <f>IF($R$2016=0,0,R1986/$R$2016)</f>
        <v/>
      </c>
      <c r="T1986" s="8" t="n">
        <v>-0.001950327282804754</v>
      </c>
      <c r="U1986" s="8" t="n">
        <v>0.008186879773943945</v>
      </c>
      <c r="V1986" s="6" t="inlineStr">
        <is>
          <t>not selected</t>
        </is>
      </c>
    </row>
    <row r="1987">
      <c r="A1987" s="6" t="inlineStr">
        <is>
          <t>DJ30</t>
        </is>
      </c>
      <c r="B1987" s="6" t="inlineStr">
        <is>
          <t>2024-03-29</t>
        </is>
      </c>
      <c r="C1987" s="6" t="inlineStr">
        <is>
          <t>DIA</t>
        </is>
      </c>
      <c r="D1987" s="6" t="inlineStr">
        <is>
          <t>AMGN</t>
        </is>
      </c>
      <c r="E1987" s="6" t="inlineStr">
        <is>
          <t>AMGN</t>
        </is>
      </c>
      <c r="F1987" s="6" t="inlineStr">
        <is>
          <t>-</t>
        </is>
      </c>
      <c r="G1987" s="7" t="n">
        <v>265.51171875</v>
      </c>
      <c r="H1987" s="6">
        <f>P1956</f>
        <v/>
      </c>
      <c r="I1987" s="9">
        <f>Q1956</f>
        <v/>
      </c>
      <c r="J1987" s="7">
        <f>I1987*G1987</f>
        <v/>
      </c>
      <c r="K1987" s="8">
        <f>IF($J$2016=0,0,J1987/$J$2016)</f>
        <v/>
      </c>
      <c r="L1987" s="6" t="inlineStr">
        <is>
          <t>SELECTED</t>
        </is>
      </c>
      <c r="M1987" s="8" t="n">
        <v>0.2</v>
      </c>
      <c r="N1987" s="7">
        <f>M1987*$J$2016-J1987</f>
        <v/>
      </c>
      <c r="O1987" s="9">
        <f>IF(G1987=0,0,N1987/G1987)</f>
        <v/>
      </c>
      <c r="P1987" s="6">
        <f>IF(M1987&gt;0,D1987,"")</f>
        <v/>
      </c>
      <c r="Q1987" s="9">
        <f>I1987+O1987</f>
        <v/>
      </c>
      <c r="R1987" s="7">
        <f>Q1987*G1987</f>
        <v/>
      </c>
      <c r="S1987" s="8">
        <f>IF($R$2016=0,0,R1987/$R$2016)</f>
        <v/>
      </c>
      <c r="T1987" s="8" t="n">
        <v>-0.001950327282804754</v>
      </c>
      <c r="U1987" s="8" t="n">
        <v>0.008186879773943945</v>
      </c>
      <c r="V1987" s="6" t="inlineStr">
        <is>
          <t>remained in weekly selection</t>
        </is>
      </c>
    </row>
    <row r="1988">
      <c r="A1988" s="6" t="inlineStr">
        <is>
          <t>DJ30</t>
        </is>
      </c>
      <c r="B1988" s="6" t="inlineStr">
        <is>
          <t>2024-03-29</t>
        </is>
      </c>
      <c r="C1988" s="6" t="inlineStr">
        <is>
          <t>DIA</t>
        </is>
      </c>
      <c r="D1988" s="6" t="inlineStr">
        <is>
          <t>AMZN</t>
        </is>
      </c>
      <c r="E1988" s="6" t="inlineStr">
        <is>
          <t>AMZN</t>
        </is>
      </c>
      <c r="F1988" s="6" t="inlineStr">
        <is>
          <t>-</t>
        </is>
      </c>
      <c r="G1988" s="7" t="n">
        <v>180.3800048828125</v>
      </c>
      <c r="H1988" s="6">
        <f>P1957</f>
        <v/>
      </c>
      <c r="I1988" s="9">
        <f>Q1957</f>
        <v/>
      </c>
      <c r="J1988" s="7">
        <f>I1988*G1988</f>
        <v/>
      </c>
      <c r="K1988" s="8">
        <f>IF($J$2016=0,0,J1988/$J$2016)</f>
        <v/>
      </c>
      <c r="L1988" s="6" t="inlineStr">
        <is>
          <t>WATCHLIST</t>
        </is>
      </c>
      <c r="M1988" s="8" t="n">
        <v>0</v>
      </c>
      <c r="N1988" s="7">
        <f>M1988*$J$2016-J1988</f>
        <v/>
      </c>
      <c r="O1988" s="9">
        <f>IF(G1988=0,0,N1988/G1988)</f>
        <v/>
      </c>
      <c r="P1988" s="6">
        <f>IF(M1988&gt;0,D1988,"")</f>
        <v/>
      </c>
      <c r="Q1988" s="9">
        <f>I1988+O1988</f>
        <v/>
      </c>
      <c r="R1988" s="7">
        <f>Q1988*G1988</f>
        <v/>
      </c>
      <c r="S1988" s="8">
        <f>IF($R$2016=0,0,R1988/$R$2016)</f>
        <v/>
      </c>
      <c r="T1988" s="8" t="n">
        <v>-0.001950327282804754</v>
      </c>
      <c r="U1988" s="8" t="n">
        <v>0.008186879773943945</v>
      </c>
      <c r="V1988" s="6" t="inlineStr">
        <is>
          <t>not selected</t>
        </is>
      </c>
    </row>
    <row r="1989">
      <c r="A1989" s="6" t="inlineStr">
        <is>
          <t>DJ30</t>
        </is>
      </c>
      <c r="B1989" s="6" t="inlineStr">
        <is>
          <t>2024-03-29</t>
        </is>
      </c>
      <c r="C1989" s="6" t="inlineStr">
        <is>
          <t>DIA</t>
        </is>
      </c>
      <c r="D1989" s="6" t="inlineStr">
        <is>
          <t>AXP</t>
        </is>
      </c>
      <c r="E1989" s="6" t="inlineStr">
        <is>
          <t>AXP</t>
        </is>
      </c>
      <c r="F1989" s="6" t="inlineStr">
        <is>
          <t>-</t>
        </is>
      </c>
      <c r="G1989" s="7" t="n">
        <v>222.1199493408203</v>
      </c>
      <c r="H1989" s="6">
        <f>P1958</f>
        <v/>
      </c>
      <c r="I1989" s="9">
        <f>Q1958</f>
        <v/>
      </c>
      <c r="J1989" s="7">
        <f>I1989*G1989</f>
        <v/>
      </c>
      <c r="K1989" s="8">
        <f>IF($J$2016=0,0,J1989/$J$2016)</f>
        <v/>
      </c>
      <c r="L1989" s="6" t="inlineStr">
        <is>
          <t>WATCHLIST</t>
        </is>
      </c>
      <c r="M1989" s="8" t="n">
        <v>0</v>
      </c>
      <c r="N1989" s="7">
        <f>M1989*$J$2016-J1989</f>
        <v/>
      </c>
      <c r="O1989" s="9">
        <f>IF(G1989=0,0,N1989/G1989)</f>
        <v/>
      </c>
      <c r="P1989" s="6">
        <f>IF(M1989&gt;0,D1989,"")</f>
        <v/>
      </c>
      <c r="Q1989" s="9">
        <f>I1989+O1989</f>
        <v/>
      </c>
      <c r="R1989" s="7">
        <f>Q1989*G1989</f>
        <v/>
      </c>
      <c r="S1989" s="8">
        <f>IF($R$2016=0,0,R1989/$R$2016)</f>
        <v/>
      </c>
      <c r="T1989" s="8" t="n">
        <v>-0.001950327282804754</v>
      </c>
      <c r="U1989" s="8" t="n">
        <v>0.008186879773943945</v>
      </c>
      <c r="V1989" s="6" t="inlineStr">
        <is>
          <t>not selected</t>
        </is>
      </c>
    </row>
    <row r="1990">
      <c r="A1990" s="6" t="inlineStr">
        <is>
          <t>DJ30</t>
        </is>
      </c>
      <c r="B1990" s="6" t="inlineStr">
        <is>
          <t>2024-03-29</t>
        </is>
      </c>
      <c r="C1990" s="6" t="inlineStr">
        <is>
          <t>DIA</t>
        </is>
      </c>
      <c r="D1990" s="6" t="inlineStr">
        <is>
          <t>BA</t>
        </is>
      </c>
      <c r="E1990" s="6" t="inlineStr">
        <is>
          <t>BA</t>
        </is>
      </c>
      <c r="F1990" s="6" t="inlineStr">
        <is>
          <t>-</t>
        </is>
      </c>
      <c r="G1990" s="7" t="n">
        <v>192.9900054931641</v>
      </c>
      <c r="H1990" s="6">
        <f>P1959</f>
        <v/>
      </c>
      <c r="I1990" s="9">
        <f>Q1959</f>
        <v/>
      </c>
      <c r="J1990" s="7">
        <f>I1990*G1990</f>
        <v/>
      </c>
      <c r="K1990" s="8">
        <f>IF($J$2016=0,0,J1990/$J$2016)</f>
        <v/>
      </c>
      <c r="L1990" s="6" t="inlineStr">
        <is>
          <t>REJECTED</t>
        </is>
      </c>
      <c r="M1990" s="8" t="n">
        <v>0</v>
      </c>
      <c r="N1990" s="7">
        <f>M1990*$J$2016-J1990</f>
        <v/>
      </c>
      <c r="O1990" s="9">
        <f>IF(G1990=0,0,N1990/G1990)</f>
        <v/>
      </c>
      <c r="P1990" s="6">
        <f>IF(M1990&gt;0,D1990,"")</f>
        <v/>
      </c>
      <c r="Q1990" s="9">
        <f>I1990+O1990</f>
        <v/>
      </c>
      <c r="R1990" s="7">
        <f>Q1990*G1990</f>
        <v/>
      </c>
      <c r="S1990" s="8">
        <f>IF($R$2016=0,0,R1990/$R$2016)</f>
        <v/>
      </c>
      <c r="T1990" s="8" t="n">
        <v>-0.001950327282804754</v>
      </c>
      <c r="U1990" s="8" t="n">
        <v>0.008186879773943945</v>
      </c>
      <c r="V1990" s="6" t="inlineStr">
        <is>
          <t>not selected</t>
        </is>
      </c>
    </row>
    <row r="1991">
      <c r="A1991" s="6" t="inlineStr">
        <is>
          <t>DJ30</t>
        </is>
      </c>
      <c r="B1991" s="6" t="inlineStr">
        <is>
          <t>2024-03-29</t>
        </is>
      </c>
      <c r="C1991" s="6" t="inlineStr">
        <is>
          <t>DIA</t>
        </is>
      </c>
      <c r="D1991" s="6" t="inlineStr">
        <is>
          <t>CAT</t>
        </is>
      </c>
      <c r="E1991" s="6" t="inlineStr">
        <is>
          <t>CAT</t>
        </is>
      </c>
      <c r="F1991" s="6" t="inlineStr">
        <is>
          <t>-</t>
        </is>
      </c>
      <c r="G1991" s="7" t="n">
        <v>355.416748046875</v>
      </c>
      <c r="H1991" s="6">
        <f>P1960</f>
        <v/>
      </c>
      <c r="I1991" s="9">
        <f>Q1960</f>
        <v/>
      </c>
      <c r="J1991" s="7">
        <f>I1991*G1991</f>
        <v/>
      </c>
      <c r="K1991" s="8">
        <f>IF($J$2016=0,0,J1991/$J$2016)</f>
        <v/>
      </c>
      <c r="L1991" s="6" t="inlineStr">
        <is>
          <t>SELECTED</t>
        </is>
      </c>
      <c r="M1991" s="8" t="n">
        <v>0.2</v>
      </c>
      <c r="N1991" s="7">
        <f>M1991*$J$2016-J1991</f>
        <v/>
      </c>
      <c r="O1991" s="9">
        <f>IF(G1991=0,0,N1991/G1991)</f>
        <v/>
      </c>
      <c r="P1991" s="6">
        <f>IF(M1991&gt;0,D1991,"")</f>
        <v/>
      </c>
      <c r="Q1991" s="9">
        <f>I1991+O1991</f>
        <v/>
      </c>
      <c r="R1991" s="7">
        <f>Q1991*G1991</f>
        <v/>
      </c>
      <c r="S1991" s="8">
        <f>IF($R$2016=0,0,R1991/$R$2016)</f>
        <v/>
      </c>
      <c r="T1991" s="8" t="n">
        <v>-0.001950327282804754</v>
      </c>
      <c r="U1991" s="8" t="n">
        <v>0.008186879773943945</v>
      </c>
      <c r="V1991" s="6" t="inlineStr">
        <is>
          <t>remained in weekly selection</t>
        </is>
      </c>
    </row>
    <row r="1992">
      <c r="A1992" s="6" t="inlineStr">
        <is>
          <t>DJ30</t>
        </is>
      </c>
      <c r="B1992" s="6" t="inlineStr">
        <is>
          <t>2024-03-29</t>
        </is>
      </c>
      <c r="C1992" s="6" t="inlineStr">
        <is>
          <t>DIA</t>
        </is>
      </c>
      <c r="D1992" s="6" t="inlineStr">
        <is>
          <t>CRM</t>
        </is>
      </c>
      <c r="E1992" s="6" t="inlineStr">
        <is>
          <t>CRM</t>
        </is>
      </c>
      <c r="F1992" s="6" t="inlineStr">
        <is>
          <t>-</t>
        </is>
      </c>
      <c r="G1992" s="7" t="n">
        <v>296.4447326660156</v>
      </c>
      <c r="H1992" s="6">
        <f>P1961</f>
        <v/>
      </c>
      <c r="I1992" s="9">
        <f>Q1961</f>
        <v/>
      </c>
      <c r="J1992" s="7">
        <f>I1992*G1992</f>
        <v/>
      </c>
      <c r="K1992" s="8">
        <f>IF($J$2016=0,0,J1992/$J$2016)</f>
        <v/>
      </c>
      <c r="L1992" s="6" t="inlineStr">
        <is>
          <t>SELECTED</t>
        </is>
      </c>
      <c r="M1992" s="8" t="n">
        <v>0.2</v>
      </c>
      <c r="N1992" s="7">
        <f>M1992*$J$2016-J1992</f>
        <v/>
      </c>
      <c r="O1992" s="9">
        <f>IF(G1992=0,0,N1992/G1992)</f>
        <v/>
      </c>
      <c r="P1992" s="6">
        <f>IF(M1992&gt;0,D1992,"")</f>
        <v/>
      </c>
      <c r="Q1992" s="9">
        <f>I1992+O1992</f>
        <v/>
      </c>
      <c r="R1992" s="7">
        <f>Q1992*G1992</f>
        <v/>
      </c>
      <c r="S1992" s="8">
        <f>IF($R$2016=0,0,R1992/$R$2016)</f>
        <v/>
      </c>
      <c r="T1992" s="8" t="n">
        <v>-0.001950327282804754</v>
      </c>
      <c r="U1992" s="8" t="n">
        <v>0.008186879773943945</v>
      </c>
      <c r="V1992" s="6" t="inlineStr">
        <is>
          <t>remained in weekly selection</t>
        </is>
      </c>
    </row>
    <row r="1993">
      <c r="A1993" s="6" t="inlineStr">
        <is>
          <t>DJ30</t>
        </is>
      </c>
      <c r="B1993" s="6" t="inlineStr">
        <is>
          <t>2024-03-29</t>
        </is>
      </c>
      <c r="C1993" s="6" t="inlineStr">
        <is>
          <t>DIA</t>
        </is>
      </c>
      <c r="D1993" s="6" t="inlineStr">
        <is>
          <t>CSCO</t>
        </is>
      </c>
      <c r="E1993" s="6" t="inlineStr">
        <is>
          <t>CSCO</t>
        </is>
      </c>
      <c r="F1993" s="6" t="inlineStr">
        <is>
          <t>-</t>
        </is>
      </c>
      <c r="G1993" s="7" t="n">
        <v>46.98078536987305</v>
      </c>
      <c r="H1993" s="6">
        <f>P1962</f>
        <v/>
      </c>
      <c r="I1993" s="9">
        <f>Q1962</f>
        <v/>
      </c>
      <c r="J1993" s="7">
        <f>I1993*G1993</f>
        <v/>
      </c>
      <c r="K1993" s="8">
        <f>IF($J$2016=0,0,J1993/$J$2016)</f>
        <v/>
      </c>
      <c r="L1993" s="6" t="inlineStr">
        <is>
          <t>REJECTED</t>
        </is>
      </c>
      <c r="M1993" s="8" t="n">
        <v>0</v>
      </c>
      <c r="N1993" s="7">
        <f>M1993*$J$2016-J1993</f>
        <v/>
      </c>
      <c r="O1993" s="9">
        <f>IF(G1993=0,0,N1993/G1993)</f>
        <v/>
      </c>
      <c r="P1993" s="6">
        <f>IF(M1993&gt;0,D1993,"")</f>
        <v/>
      </c>
      <c r="Q1993" s="9">
        <f>I1993+O1993</f>
        <v/>
      </c>
      <c r="R1993" s="7">
        <f>Q1993*G1993</f>
        <v/>
      </c>
      <c r="S1993" s="8">
        <f>IF($R$2016=0,0,R1993/$R$2016)</f>
        <v/>
      </c>
      <c r="T1993" s="8" t="n">
        <v>-0.001950327282804754</v>
      </c>
      <c r="U1993" s="8" t="n">
        <v>0.008186879773943945</v>
      </c>
      <c r="V1993" s="6" t="inlineStr">
        <is>
          <t>not selected</t>
        </is>
      </c>
    </row>
    <row r="1994">
      <c r="A1994" s="6" t="inlineStr">
        <is>
          <t>DJ30</t>
        </is>
      </c>
      <c r="B1994" s="6" t="inlineStr">
        <is>
          <t>2024-03-29</t>
        </is>
      </c>
      <c r="C1994" s="6" t="inlineStr">
        <is>
          <t>DIA</t>
        </is>
      </c>
      <c r="D1994" s="6" t="inlineStr">
        <is>
          <t>CVX</t>
        </is>
      </c>
      <c r="E1994" s="6" t="inlineStr">
        <is>
          <t>CVX</t>
        </is>
      </c>
      <c r="F1994" s="6" t="inlineStr">
        <is>
          <t>-</t>
        </is>
      </c>
      <c r="G1994" s="7" t="n">
        <v>143.3737945556641</v>
      </c>
      <c r="H1994" s="6">
        <f>P1963</f>
        <v/>
      </c>
      <c r="I1994" s="9">
        <f>Q1963</f>
        <v/>
      </c>
      <c r="J1994" s="7">
        <f>I1994*G1994</f>
        <v/>
      </c>
      <c r="K1994" s="8">
        <f>IF($J$2016=0,0,J1994/$J$2016)</f>
        <v/>
      </c>
      <c r="L1994" s="6" t="inlineStr">
        <is>
          <t>REJECTED</t>
        </is>
      </c>
      <c r="M1994" s="8" t="n">
        <v>0</v>
      </c>
      <c r="N1994" s="7">
        <f>M1994*$J$2016-J1994</f>
        <v/>
      </c>
      <c r="O1994" s="9">
        <f>IF(G1994=0,0,N1994/G1994)</f>
        <v/>
      </c>
      <c r="P1994" s="6">
        <f>IF(M1994&gt;0,D1994,"")</f>
        <v/>
      </c>
      <c r="Q1994" s="9">
        <f>I1994+O1994</f>
        <v/>
      </c>
      <c r="R1994" s="7">
        <f>Q1994*G1994</f>
        <v/>
      </c>
      <c r="S1994" s="8">
        <f>IF($R$2016=0,0,R1994/$R$2016)</f>
        <v/>
      </c>
      <c r="T1994" s="8" t="n">
        <v>-0.001950327282804754</v>
      </c>
      <c r="U1994" s="8" t="n">
        <v>0.008186879773943945</v>
      </c>
      <c r="V1994" s="6" t="inlineStr">
        <is>
          <t>not selected</t>
        </is>
      </c>
    </row>
    <row r="1995">
      <c r="A1995" s="6" t="inlineStr">
        <is>
          <t>DJ30</t>
        </is>
      </c>
      <c r="B1995" s="6" t="inlineStr">
        <is>
          <t>2024-03-29</t>
        </is>
      </c>
      <c r="C1995" s="6" t="inlineStr">
        <is>
          <t>DIA</t>
        </is>
      </c>
      <c r="D1995" s="6" t="inlineStr">
        <is>
          <t>DIS</t>
        </is>
      </c>
      <c r="E1995" s="6" t="inlineStr">
        <is>
          <t>DIS</t>
        </is>
      </c>
      <c r="F1995" s="6" t="inlineStr">
        <is>
          <t>-</t>
        </is>
      </c>
      <c r="G1995" s="7" t="n">
        <v>119.9344024658203</v>
      </c>
      <c r="H1995" s="6">
        <f>P1964</f>
        <v/>
      </c>
      <c r="I1995" s="9">
        <f>Q1964</f>
        <v/>
      </c>
      <c r="J1995" s="7">
        <f>I1995*G1995</f>
        <v/>
      </c>
      <c r="K1995" s="8">
        <f>IF($J$2016=0,0,J1995/$J$2016)</f>
        <v/>
      </c>
      <c r="L1995" s="6" t="inlineStr">
        <is>
          <t>REJECTED</t>
        </is>
      </c>
      <c r="M1995" s="8" t="n">
        <v>0</v>
      </c>
      <c r="N1995" s="7">
        <f>M1995*$J$2016-J1995</f>
        <v/>
      </c>
      <c r="O1995" s="9">
        <f>IF(G1995=0,0,N1995/G1995)</f>
        <v/>
      </c>
      <c r="P1995" s="6">
        <f>IF(M1995&gt;0,D1995,"")</f>
        <v/>
      </c>
      <c r="Q1995" s="9">
        <f>I1995+O1995</f>
        <v/>
      </c>
      <c r="R1995" s="7">
        <f>Q1995*G1995</f>
        <v/>
      </c>
      <c r="S1995" s="8">
        <f>IF($R$2016=0,0,R1995/$R$2016)</f>
        <v/>
      </c>
      <c r="T1995" s="8" t="n">
        <v>-0.001950327282804754</v>
      </c>
      <c r="U1995" s="8" t="n">
        <v>0.008186879773943945</v>
      </c>
      <c r="V1995" s="6" t="inlineStr">
        <is>
          <t>not selected</t>
        </is>
      </c>
    </row>
    <row r="1996">
      <c r="A1996" s="6" t="inlineStr">
        <is>
          <t>DJ30</t>
        </is>
      </c>
      <c r="B1996" s="6" t="inlineStr">
        <is>
          <t>2024-03-29</t>
        </is>
      </c>
      <c r="C1996" s="6" t="inlineStr">
        <is>
          <t>DIA</t>
        </is>
      </c>
      <c r="D1996" s="6" t="inlineStr">
        <is>
          <t>GS</t>
        </is>
      </c>
      <c r="E1996" s="6" t="inlineStr">
        <is>
          <t>GS</t>
        </is>
      </c>
      <c r="F1996" s="6" t="inlineStr">
        <is>
          <t>-</t>
        </is>
      </c>
      <c r="G1996" s="7" t="n">
        <v>398.6231689453125</v>
      </c>
      <c r="H1996" s="6">
        <f>P1965</f>
        <v/>
      </c>
      <c r="I1996" s="9">
        <f>Q1965</f>
        <v/>
      </c>
      <c r="J1996" s="7">
        <f>I1996*G1996</f>
        <v/>
      </c>
      <c r="K1996" s="8">
        <f>IF($J$2016=0,0,J1996/$J$2016)</f>
        <v/>
      </c>
      <c r="L1996" s="6" t="inlineStr">
        <is>
          <t>WATCHLIST</t>
        </is>
      </c>
      <c r="M1996" s="8" t="n">
        <v>0</v>
      </c>
      <c r="N1996" s="7">
        <f>M1996*$J$2016-J1996</f>
        <v/>
      </c>
      <c r="O1996" s="9">
        <f>IF(G1996=0,0,N1996/G1996)</f>
        <v/>
      </c>
      <c r="P1996" s="6">
        <f>IF(M1996&gt;0,D1996,"")</f>
        <v/>
      </c>
      <c r="Q1996" s="9">
        <f>I1996+O1996</f>
        <v/>
      </c>
      <c r="R1996" s="7">
        <f>Q1996*G1996</f>
        <v/>
      </c>
      <c r="S1996" s="8">
        <f>IF($R$2016=0,0,R1996/$R$2016)</f>
        <v/>
      </c>
      <c r="T1996" s="8" t="n">
        <v>-0.001950327282804754</v>
      </c>
      <c r="U1996" s="8" t="n">
        <v>0.008186879773943945</v>
      </c>
      <c r="V1996" s="6" t="inlineStr">
        <is>
          <t>not selected</t>
        </is>
      </c>
    </row>
    <row r="1997">
      <c r="A1997" s="6" t="inlineStr">
        <is>
          <t>DJ30</t>
        </is>
      </c>
      <c r="B1997" s="6" t="inlineStr">
        <is>
          <t>2024-03-29</t>
        </is>
      </c>
      <c r="C1997" s="6" t="inlineStr">
        <is>
          <t>DIA</t>
        </is>
      </c>
      <c r="D1997" s="6" t="inlineStr">
        <is>
          <t>HD</t>
        </is>
      </c>
      <c r="E1997" s="6" t="inlineStr">
        <is>
          <t>HD</t>
        </is>
      </c>
      <c r="F1997" s="6" t="inlineStr">
        <is>
          <t>-</t>
        </is>
      </c>
      <c r="G1997" s="7" t="n">
        <v>362.3473815917969</v>
      </c>
      <c r="H1997" s="6">
        <f>P1966</f>
        <v/>
      </c>
      <c r="I1997" s="9">
        <f>Q1966</f>
        <v/>
      </c>
      <c r="J1997" s="7">
        <f>I1997*G1997</f>
        <v/>
      </c>
      <c r="K1997" s="8">
        <f>IF($J$2016=0,0,J1997/$J$2016)</f>
        <v/>
      </c>
      <c r="L1997" s="6" t="inlineStr">
        <is>
          <t>WATCHLIST</t>
        </is>
      </c>
      <c r="M1997" s="8" t="n">
        <v>0</v>
      </c>
      <c r="N1997" s="7">
        <f>M1997*$J$2016-J1997</f>
        <v/>
      </c>
      <c r="O1997" s="9">
        <f>IF(G1997=0,0,N1997/G1997)</f>
        <v/>
      </c>
      <c r="P1997" s="6">
        <f>IF(M1997&gt;0,D1997,"")</f>
        <v/>
      </c>
      <c r="Q1997" s="9">
        <f>I1997+O1997</f>
        <v/>
      </c>
      <c r="R1997" s="7">
        <f>Q1997*G1997</f>
        <v/>
      </c>
      <c r="S1997" s="8">
        <f>IF($R$2016=0,0,R1997/$R$2016)</f>
        <v/>
      </c>
      <c r="T1997" s="8" t="n">
        <v>-0.001950327282804754</v>
      </c>
      <c r="U1997" s="8" t="n">
        <v>0.008186879773943945</v>
      </c>
      <c r="V1997" s="6" t="inlineStr">
        <is>
          <t>not selected</t>
        </is>
      </c>
    </row>
    <row r="1998">
      <c r="A1998" s="6" t="inlineStr">
        <is>
          <t>DJ30</t>
        </is>
      </c>
      <c r="B1998" s="6" t="inlineStr">
        <is>
          <t>2024-03-29</t>
        </is>
      </c>
      <c r="C1998" s="6" t="inlineStr">
        <is>
          <t>DIA</t>
        </is>
      </c>
      <c r="D1998" s="6" t="inlineStr">
        <is>
          <t>HON</t>
        </is>
      </c>
      <c r="E1998" s="6" t="inlineStr">
        <is>
          <t>HON</t>
        </is>
      </c>
      <c r="F1998" s="6" t="inlineStr">
        <is>
          <t>-</t>
        </is>
      </c>
      <c r="G1998" s="7" t="n">
        <v>184.4424438476562</v>
      </c>
      <c r="H1998" s="6">
        <f>P1967</f>
        <v/>
      </c>
      <c r="I1998" s="9">
        <f>Q1967</f>
        <v/>
      </c>
      <c r="J1998" s="7">
        <f>I1998*G1998</f>
        <v/>
      </c>
      <c r="K1998" s="8">
        <f>IF($J$2016=0,0,J1998/$J$2016)</f>
        <v/>
      </c>
      <c r="L1998" s="6" t="inlineStr">
        <is>
          <t>REJECTED</t>
        </is>
      </c>
      <c r="M1998" s="8" t="n">
        <v>0</v>
      </c>
      <c r="N1998" s="7">
        <f>M1998*$J$2016-J1998</f>
        <v/>
      </c>
      <c r="O1998" s="9">
        <f>IF(G1998=0,0,N1998/G1998)</f>
        <v/>
      </c>
      <c r="P1998" s="6">
        <f>IF(M1998&gt;0,D1998,"")</f>
        <v/>
      </c>
      <c r="Q1998" s="9">
        <f>I1998+O1998</f>
        <v/>
      </c>
      <c r="R1998" s="7">
        <f>Q1998*G1998</f>
        <v/>
      </c>
      <c r="S1998" s="8">
        <f>IF($R$2016=0,0,R1998/$R$2016)</f>
        <v/>
      </c>
      <c r="T1998" s="8" t="n">
        <v>-0.001950327282804754</v>
      </c>
      <c r="U1998" s="8" t="n">
        <v>0.008186879773943945</v>
      </c>
      <c r="V1998" s="6" t="inlineStr">
        <is>
          <t>not selected</t>
        </is>
      </c>
    </row>
    <row r="1999">
      <c r="A1999" s="6" t="inlineStr">
        <is>
          <t>DJ30</t>
        </is>
      </c>
      <c r="B1999" s="6" t="inlineStr">
        <is>
          <t>2024-03-29</t>
        </is>
      </c>
      <c r="C1999" s="6" t="inlineStr">
        <is>
          <t>DIA</t>
        </is>
      </c>
      <c r="D1999" s="6" t="inlineStr">
        <is>
          <t>IBM</t>
        </is>
      </c>
      <c r="E1999" s="6" t="inlineStr">
        <is>
          <t>IBM</t>
        </is>
      </c>
      <c r="F1999" s="6" t="inlineStr">
        <is>
          <t>-</t>
        </is>
      </c>
      <c r="G1999" s="7" t="n">
        <v>178.9488372802734</v>
      </c>
      <c r="H1999" s="6">
        <f>P1968</f>
        <v/>
      </c>
      <c r="I1999" s="9">
        <f>Q1968</f>
        <v/>
      </c>
      <c r="J1999" s="7">
        <f>I1999*G1999</f>
        <v/>
      </c>
      <c r="K1999" s="8">
        <f>IF($J$2016=0,0,J1999/$J$2016)</f>
        <v/>
      </c>
      <c r="L1999" s="6" t="inlineStr">
        <is>
          <t>SELECTED</t>
        </is>
      </c>
      <c r="M1999" s="8" t="n">
        <v>0.2</v>
      </c>
      <c r="N1999" s="7">
        <f>M1999*$J$2016-J1999</f>
        <v/>
      </c>
      <c r="O1999" s="9">
        <f>IF(G1999=0,0,N1999/G1999)</f>
        <v/>
      </c>
      <c r="P1999" s="6">
        <f>IF(M1999&gt;0,D1999,"")</f>
        <v/>
      </c>
      <c r="Q1999" s="9">
        <f>I1999+O1999</f>
        <v/>
      </c>
      <c r="R1999" s="7">
        <f>Q1999*G1999</f>
        <v/>
      </c>
      <c r="S1999" s="8">
        <f>IF($R$2016=0,0,R1999/$R$2016)</f>
        <v/>
      </c>
      <c r="T1999" s="8" t="n">
        <v>-0.001950327282804754</v>
      </c>
      <c r="U1999" s="8" t="n">
        <v>0.008186879773943945</v>
      </c>
      <c r="V1999" s="6" t="inlineStr">
        <is>
          <t>remained in weekly selection</t>
        </is>
      </c>
    </row>
    <row r="2000">
      <c r="A2000" s="6" t="inlineStr">
        <is>
          <t>DJ30</t>
        </is>
      </c>
      <c r="B2000" s="6" t="inlineStr">
        <is>
          <t>2024-03-29</t>
        </is>
      </c>
      <c r="C2000" s="6" t="inlineStr">
        <is>
          <t>DIA</t>
        </is>
      </c>
      <c r="D2000" s="6" t="inlineStr">
        <is>
          <t>JNJ</t>
        </is>
      </c>
      <c r="E2000" s="6" t="inlineStr">
        <is>
          <t>JNJ</t>
        </is>
      </c>
      <c r="F2000" s="6" t="inlineStr">
        <is>
          <t>-</t>
        </is>
      </c>
      <c r="G2000" s="7" t="n">
        <v>148.2654724121094</v>
      </c>
      <c r="H2000" s="6">
        <f>P1969</f>
        <v/>
      </c>
      <c r="I2000" s="9">
        <f>Q1969</f>
        <v/>
      </c>
      <c r="J2000" s="7">
        <f>I2000*G2000</f>
        <v/>
      </c>
      <c r="K2000" s="8">
        <f>IF($J$2016=0,0,J2000/$J$2016)</f>
        <v/>
      </c>
      <c r="L2000" s="6" t="inlineStr">
        <is>
          <t>REJECTED</t>
        </is>
      </c>
      <c r="M2000" s="8" t="n">
        <v>0</v>
      </c>
      <c r="N2000" s="7">
        <f>M2000*$J$2016-J2000</f>
        <v/>
      </c>
      <c r="O2000" s="9">
        <f>IF(G2000=0,0,N2000/G2000)</f>
        <v/>
      </c>
      <c r="P2000" s="6">
        <f>IF(M2000&gt;0,D2000,"")</f>
        <v/>
      </c>
      <c r="Q2000" s="9">
        <f>I2000+O2000</f>
        <v/>
      </c>
      <c r="R2000" s="7">
        <f>Q2000*G2000</f>
        <v/>
      </c>
      <c r="S2000" s="8">
        <f>IF($R$2016=0,0,R2000/$R$2016)</f>
        <v/>
      </c>
      <c r="T2000" s="8" t="n">
        <v>-0.001950327282804754</v>
      </c>
      <c r="U2000" s="8" t="n">
        <v>0.008186879773943945</v>
      </c>
      <c r="V2000" s="6" t="inlineStr">
        <is>
          <t>not selected</t>
        </is>
      </c>
    </row>
    <row r="2001">
      <c r="A2001" s="6" t="inlineStr">
        <is>
          <t>DJ30</t>
        </is>
      </c>
      <c r="B2001" s="6" t="inlineStr">
        <is>
          <t>2024-03-29</t>
        </is>
      </c>
      <c r="C2001" s="6" t="inlineStr">
        <is>
          <t>DIA</t>
        </is>
      </c>
      <c r="D2001" s="6" t="inlineStr">
        <is>
          <t>JPM</t>
        </is>
      </c>
      <c r="E2001" s="6" t="inlineStr">
        <is>
          <t>JPM</t>
        </is>
      </c>
      <c r="F2001" s="6" t="inlineStr">
        <is>
          <t>-</t>
        </is>
      </c>
      <c r="G2001" s="7" t="n">
        <v>190.9118347167969</v>
      </c>
      <c r="H2001" s="6">
        <f>P1970</f>
        <v/>
      </c>
      <c r="I2001" s="9">
        <f>Q1970</f>
        <v/>
      </c>
      <c r="J2001" s="7">
        <f>I2001*G2001</f>
        <v/>
      </c>
      <c r="K2001" s="8">
        <f>IF($J$2016=0,0,J2001/$J$2016)</f>
        <v/>
      </c>
      <c r="L2001" s="6" t="inlineStr">
        <is>
          <t>WATCHLIST</t>
        </is>
      </c>
      <c r="M2001" s="8" t="n">
        <v>0</v>
      </c>
      <c r="N2001" s="7">
        <f>M2001*$J$2016-J2001</f>
        <v/>
      </c>
      <c r="O2001" s="9">
        <f>IF(G2001=0,0,N2001/G2001)</f>
        <v/>
      </c>
      <c r="P2001" s="6">
        <f>IF(M2001&gt;0,D2001,"")</f>
        <v/>
      </c>
      <c r="Q2001" s="9">
        <f>I2001+O2001</f>
        <v/>
      </c>
      <c r="R2001" s="7">
        <f>Q2001*G2001</f>
        <v/>
      </c>
      <c r="S2001" s="8">
        <f>IF($R$2016=0,0,R2001/$R$2016)</f>
        <v/>
      </c>
      <c r="T2001" s="8" t="n">
        <v>-0.001950327282804754</v>
      </c>
      <c r="U2001" s="8" t="n">
        <v>0.008186879773943945</v>
      </c>
      <c r="V2001" s="6" t="inlineStr">
        <is>
          <t>not selected</t>
        </is>
      </c>
    </row>
    <row r="2002">
      <c r="A2002" s="6" t="inlineStr">
        <is>
          <t>DJ30</t>
        </is>
      </c>
      <c r="B2002" s="6" t="inlineStr">
        <is>
          <t>2024-03-29</t>
        </is>
      </c>
      <c r="C2002" s="6" t="inlineStr">
        <is>
          <t>DIA</t>
        </is>
      </c>
      <c r="D2002" s="6" t="inlineStr">
        <is>
          <t>KO</t>
        </is>
      </c>
      <c r="E2002" s="6" t="inlineStr">
        <is>
          <t>KO</t>
        </is>
      </c>
      <c r="F2002" s="6" t="inlineStr">
        <is>
          <t>-</t>
        </is>
      </c>
      <c r="G2002" s="7" t="n">
        <v>57.3594856262207</v>
      </c>
      <c r="H2002" s="6">
        <f>P1971</f>
        <v/>
      </c>
      <c r="I2002" s="9">
        <f>Q1971</f>
        <v/>
      </c>
      <c r="J2002" s="7">
        <f>I2002*G2002</f>
        <v/>
      </c>
      <c r="K2002" s="8">
        <f>IF($J$2016=0,0,J2002/$J$2016)</f>
        <v/>
      </c>
      <c r="L2002" s="6" t="inlineStr">
        <is>
          <t>REJECTED</t>
        </is>
      </c>
      <c r="M2002" s="8" t="n">
        <v>0</v>
      </c>
      <c r="N2002" s="7">
        <f>M2002*$J$2016-J2002</f>
        <v/>
      </c>
      <c r="O2002" s="9">
        <f>IF(G2002=0,0,N2002/G2002)</f>
        <v/>
      </c>
      <c r="P2002" s="6">
        <f>IF(M2002&gt;0,D2002,"")</f>
        <v/>
      </c>
      <c r="Q2002" s="9">
        <f>I2002+O2002</f>
        <v/>
      </c>
      <c r="R2002" s="7">
        <f>Q2002*G2002</f>
        <v/>
      </c>
      <c r="S2002" s="8">
        <f>IF($R$2016=0,0,R2002/$R$2016)</f>
        <v/>
      </c>
      <c r="T2002" s="8" t="n">
        <v>-0.001950327282804754</v>
      </c>
      <c r="U2002" s="8" t="n">
        <v>0.008186879773943945</v>
      </c>
      <c r="V2002" s="6" t="inlineStr">
        <is>
          <t>not selected</t>
        </is>
      </c>
    </row>
    <row r="2003">
      <c r="A2003" s="6" t="inlineStr">
        <is>
          <t>DJ30</t>
        </is>
      </c>
      <c r="B2003" s="6" t="inlineStr">
        <is>
          <t>2024-03-29</t>
        </is>
      </c>
      <c r="C2003" s="6" t="inlineStr">
        <is>
          <t>DIA</t>
        </is>
      </c>
      <c r="D2003" s="6" t="inlineStr">
        <is>
          <t>MCD</t>
        </is>
      </c>
      <c r="E2003" s="6" t="inlineStr">
        <is>
          <t>MCD</t>
        </is>
      </c>
      <c r="F2003" s="6" t="inlineStr">
        <is>
          <t>-</t>
        </is>
      </c>
      <c r="G2003" s="7" t="n">
        <v>267.2199096679688</v>
      </c>
      <c r="H2003" s="6">
        <f>P1972</f>
        <v/>
      </c>
      <c r="I2003" s="9">
        <f>Q1972</f>
        <v/>
      </c>
      <c r="J2003" s="7">
        <f>I2003*G2003</f>
        <v/>
      </c>
      <c r="K2003" s="8">
        <f>IF($J$2016=0,0,J2003/$J$2016)</f>
        <v/>
      </c>
      <c r="L2003" s="6" t="inlineStr">
        <is>
          <t>REJECTED</t>
        </is>
      </c>
      <c r="M2003" s="8" t="n">
        <v>0</v>
      </c>
      <c r="N2003" s="7">
        <f>M2003*$J$2016-J2003</f>
        <v/>
      </c>
      <c r="O2003" s="9">
        <f>IF(G2003=0,0,N2003/G2003)</f>
        <v/>
      </c>
      <c r="P2003" s="6">
        <f>IF(M2003&gt;0,D2003,"")</f>
        <v/>
      </c>
      <c r="Q2003" s="9">
        <f>I2003+O2003</f>
        <v/>
      </c>
      <c r="R2003" s="7">
        <f>Q2003*G2003</f>
        <v/>
      </c>
      <c r="S2003" s="8">
        <f>IF($R$2016=0,0,R2003/$R$2016)</f>
        <v/>
      </c>
      <c r="T2003" s="8" t="n">
        <v>-0.001950327282804754</v>
      </c>
      <c r="U2003" s="8" t="n">
        <v>0.008186879773943945</v>
      </c>
      <c r="V2003" s="6" t="inlineStr">
        <is>
          <t>not selected</t>
        </is>
      </c>
    </row>
    <row r="2004">
      <c r="A2004" s="6" t="inlineStr">
        <is>
          <t>DJ30</t>
        </is>
      </c>
      <c r="B2004" s="6" t="inlineStr">
        <is>
          <t>2024-03-29</t>
        </is>
      </c>
      <c r="C2004" s="6" t="inlineStr">
        <is>
          <t>DIA</t>
        </is>
      </c>
      <c r="D2004" s="6" t="inlineStr">
        <is>
          <t>MMM</t>
        </is>
      </c>
      <c r="E2004" s="6" t="inlineStr">
        <is>
          <t>MMM</t>
        </is>
      </c>
      <c r="F2004" s="6" t="inlineStr">
        <is>
          <t>-</t>
        </is>
      </c>
      <c r="G2004" s="7" t="n">
        <v>84.70506286621094</v>
      </c>
      <c r="H2004" s="6">
        <f>P1973</f>
        <v/>
      </c>
      <c r="I2004" s="9">
        <f>Q1973</f>
        <v/>
      </c>
      <c r="J2004" s="7">
        <f>I2004*G2004</f>
        <v/>
      </c>
      <c r="K2004" s="8">
        <f>IF($J$2016=0,0,J2004/$J$2016)</f>
        <v/>
      </c>
      <c r="L2004" s="6" t="inlineStr">
        <is>
          <t>REJECTED</t>
        </is>
      </c>
      <c r="M2004" s="8" t="n">
        <v>0</v>
      </c>
      <c r="N2004" s="7">
        <f>M2004*$J$2016-J2004</f>
        <v/>
      </c>
      <c r="O2004" s="9">
        <f>IF(G2004=0,0,N2004/G2004)</f>
        <v/>
      </c>
      <c r="P2004" s="6">
        <f>IF(M2004&gt;0,D2004,"")</f>
        <v/>
      </c>
      <c r="Q2004" s="9">
        <f>I2004+O2004</f>
        <v/>
      </c>
      <c r="R2004" s="7">
        <f>Q2004*G2004</f>
        <v/>
      </c>
      <c r="S2004" s="8">
        <f>IF($R$2016=0,0,R2004/$R$2016)</f>
        <v/>
      </c>
      <c r="T2004" s="8" t="n">
        <v>-0.001950327282804754</v>
      </c>
      <c r="U2004" s="8" t="n">
        <v>0.008186879773943945</v>
      </c>
      <c r="V2004" s="6" t="inlineStr">
        <is>
          <t>not selected</t>
        </is>
      </c>
    </row>
    <row r="2005">
      <c r="A2005" s="6" t="inlineStr">
        <is>
          <t>DJ30</t>
        </is>
      </c>
      <c r="B2005" s="6" t="inlineStr">
        <is>
          <t>2024-03-29</t>
        </is>
      </c>
      <c r="C2005" s="6" t="inlineStr">
        <is>
          <t>DIA</t>
        </is>
      </c>
      <c r="D2005" s="6" t="inlineStr">
        <is>
          <t>MRK</t>
        </is>
      </c>
      <c r="E2005" s="6" t="inlineStr">
        <is>
          <t>MRK</t>
        </is>
      </c>
      <c r="F2005" s="6" t="inlineStr">
        <is>
          <t>-</t>
        </is>
      </c>
      <c r="G2005" s="7" t="n">
        <v>122.7767562866211</v>
      </c>
      <c r="H2005" s="6">
        <f>P1974</f>
        <v/>
      </c>
      <c r="I2005" s="9">
        <f>Q1974</f>
        <v/>
      </c>
      <c r="J2005" s="7">
        <f>I2005*G2005</f>
        <v/>
      </c>
      <c r="K2005" s="8">
        <f>IF($J$2016=0,0,J2005/$J$2016)</f>
        <v/>
      </c>
      <c r="L2005" s="6" t="inlineStr">
        <is>
          <t>REJECTED</t>
        </is>
      </c>
      <c r="M2005" s="8" t="n">
        <v>0</v>
      </c>
      <c r="N2005" s="7">
        <f>M2005*$J$2016-J2005</f>
        <v/>
      </c>
      <c r="O2005" s="9">
        <f>IF(G2005=0,0,N2005/G2005)</f>
        <v/>
      </c>
      <c r="P2005" s="6">
        <f>IF(M2005&gt;0,D2005,"")</f>
        <v/>
      </c>
      <c r="Q2005" s="9">
        <f>I2005+O2005</f>
        <v/>
      </c>
      <c r="R2005" s="7">
        <f>Q2005*G2005</f>
        <v/>
      </c>
      <c r="S2005" s="8">
        <f>IF($R$2016=0,0,R2005/$R$2016)</f>
        <v/>
      </c>
      <c r="T2005" s="8" t="n">
        <v>-0.001950327282804754</v>
      </c>
      <c r="U2005" s="8" t="n">
        <v>0.008186879773943945</v>
      </c>
      <c r="V2005" s="6" t="inlineStr">
        <is>
          <t>not selected</t>
        </is>
      </c>
    </row>
    <row r="2006">
      <c r="A2006" s="6" t="inlineStr">
        <is>
          <t>DJ30</t>
        </is>
      </c>
      <c r="B2006" s="6" t="inlineStr">
        <is>
          <t>2024-03-29</t>
        </is>
      </c>
      <c r="C2006" s="6" t="inlineStr">
        <is>
          <t>DIA</t>
        </is>
      </c>
      <c r="D2006" s="6" t="inlineStr">
        <is>
          <t>MSFT</t>
        </is>
      </c>
      <c r="E2006" s="6" t="inlineStr">
        <is>
          <t>MSFT</t>
        </is>
      </c>
      <c r="F2006" s="6" t="inlineStr">
        <is>
          <t>-</t>
        </is>
      </c>
      <c r="G2006" s="7" t="n">
        <v>413.4645690917969</v>
      </c>
      <c r="H2006" s="6">
        <f>P1975</f>
        <v/>
      </c>
      <c r="I2006" s="9">
        <f>Q1975</f>
        <v/>
      </c>
      <c r="J2006" s="7">
        <f>I2006*G2006</f>
        <v/>
      </c>
      <c r="K2006" s="8">
        <f>IF($J$2016=0,0,J2006/$J$2016)</f>
        <v/>
      </c>
      <c r="L2006" s="6" t="inlineStr">
        <is>
          <t>WATCHLIST</t>
        </is>
      </c>
      <c r="M2006" s="8" t="n">
        <v>0</v>
      </c>
      <c r="N2006" s="7">
        <f>M2006*$J$2016-J2006</f>
        <v/>
      </c>
      <c r="O2006" s="9">
        <f>IF(G2006=0,0,N2006/G2006)</f>
        <v/>
      </c>
      <c r="P2006" s="6">
        <f>IF(M2006&gt;0,D2006,"")</f>
        <v/>
      </c>
      <c r="Q2006" s="9">
        <f>I2006+O2006</f>
        <v/>
      </c>
      <c r="R2006" s="7">
        <f>Q2006*G2006</f>
        <v/>
      </c>
      <c r="S2006" s="8">
        <f>IF($R$2016=0,0,R2006/$R$2016)</f>
        <v/>
      </c>
      <c r="T2006" s="8" t="n">
        <v>-0.001950327282804754</v>
      </c>
      <c r="U2006" s="8" t="n">
        <v>0.008186879773943945</v>
      </c>
      <c r="V2006" s="6" t="inlineStr">
        <is>
          <t>not selected</t>
        </is>
      </c>
    </row>
    <row r="2007">
      <c r="A2007" s="6" t="inlineStr">
        <is>
          <t>DJ30</t>
        </is>
      </c>
      <c r="B2007" s="6" t="inlineStr">
        <is>
          <t>2024-03-29</t>
        </is>
      </c>
      <c r="C2007" s="6" t="inlineStr">
        <is>
          <t>DIA</t>
        </is>
      </c>
      <c r="D2007" s="6" t="inlineStr">
        <is>
          <t>NKE</t>
        </is>
      </c>
      <c r="E2007" s="6" t="inlineStr">
        <is>
          <t>NKE</t>
        </is>
      </c>
      <c r="F2007" s="6" t="inlineStr">
        <is>
          <t>-</t>
        </is>
      </c>
      <c r="G2007" s="7" t="n">
        <v>89.20139312744141</v>
      </c>
      <c r="H2007" s="6">
        <f>P1976</f>
        <v/>
      </c>
      <c r="I2007" s="9">
        <f>Q1976</f>
        <v/>
      </c>
      <c r="J2007" s="7">
        <f>I2007*G2007</f>
        <v/>
      </c>
      <c r="K2007" s="8">
        <f>IF($J$2016=0,0,J2007/$J$2016)</f>
        <v/>
      </c>
      <c r="L2007" s="6" t="inlineStr">
        <is>
          <t>REJECTED</t>
        </is>
      </c>
      <c r="M2007" s="8" t="n">
        <v>0</v>
      </c>
      <c r="N2007" s="7">
        <f>M2007*$J$2016-J2007</f>
        <v/>
      </c>
      <c r="O2007" s="9">
        <f>IF(G2007=0,0,N2007/G2007)</f>
        <v/>
      </c>
      <c r="P2007" s="6">
        <f>IF(M2007&gt;0,D2007,"")</f>
        <v/>
      </c>
      <c r="Q2007" s="9">
        <f>I2007+O2007</f>
        <v/>
      </c>
      <c r="R2007" s="7">
        <f>Q2007*G2007</f>
        <v/>
      </c>
      <c r="S2007" s="8">
        <f>IF($R$2016=0,0,R2007/$R$2016)</f>
        <v/>
      </c>
      <c r="T2007" s="8" t="n">
        <v>-0.001950327282804754</v>
      </c>
      <c r="U2007" s="8" t="n">
        <v>0.008186879773943945</v>
      </c>
      <c r="V2007" s="6" t="inlineStr">
        <is>
          <t>not selected</t>
        </is>
      </c>
    </row>
    <row r="2008">
      <c r="A2008" s="6" t="inlineStr">
        <is>
          <t>DJ30</t>
        </is>
      </c>
      <c r="B2008" s="6" t="inlineStr">
        <is>
          <t>2024-03-29</t>
        </is>
      </c>
      <c r="C2008" s="6" t="inlineStr">
        <is>
          <t>DIA</t>
        </is>
      </c>
      <c r="D2008" s="6" t="inlineStr">
        <is>
          <t>NVDA</t>
        </is>
      </c>
      <c r="E2008" s="6" t="inlineStr">
        <is>
          <t>NVDA</t>
        </is>
      </c>
      <c r="F2008" s="6" t="inlineStr">
        <is>
          <t>-</t>
        </is>
      </c>
      <c r="G2008" s="7" t="n">
        <v>90.1999053955078</v>
      </c>
      <c r="H2008" s="6">
        <f>P1977</f>
        <v/>
      </c>
      <c r="I2008" s="9">
        <f>Q1977</f>
        <v/>
      </c>
      <c r="J2008" s="7">
        <f>I2008*G2008</f>
        <v/>
      </c>
      <c r="K2008" s="8">
        <f>IF($J$2016=0,0,J2008/$J$2016)</f>
        <v/>
      </c>
      <c r="L2008" s="6" t="inlineStr">
        <is>
          <t>SELECTED</t>
        </is>
      </c>
      <c r="M2008" s="8" t="n">
        <v>0.2</v>
      </c>
      <c r="N2008" s="7">
        <f>M2008*$J$2016-J2008</f>
        <v/>
      </c>
      <c r="O2008" s="9">
        <f>IF(G2008=0,0,N2008/G2008)</f>
        <v/>
      </c>
      <c r="P2008" s="6">
        <f>IF(M2008&gt;0,D2008,"")</f>
        <v/>
      </c>
      <c r="Q2008" s="9">
        <f>I2008+O2008</f>
        <v/>
      </c>
      <c r="R2008" s="7">
        <f>Q2008*G2008</f>
        <v/>
      </c>
      <c r="S2008" s="8">
        <f>IF($R$2016=0,0,R2008/$R$2016)</f>
        <v/>
      </c>
      <c r="T2008" s="8" t="n">
        <v>-0.001950327282804754</v>
      </c>
      <c r="U2008" s="8" t="n">
        <v>0.008186879773943945</v>
      </c>
      <c r="V2008" s="6" t="inlineStr">
        <is>
          <t>remained in weekly selection</t>
        </is>
      </c>
    </row>
    <row r="2009">
      <c r="A2009" s="6" t="inlineStr">
        <is>
          <t>DJ30</t>
        </is>
      </c>
      <c r="B2009" s="6" t="inlineStr">
        <is>
          <t>2024-03-29</t>
        </is>
      </c>
      <c r="C2009" s="6" t="inlineStr">
        <is>
          <t>DIA</t>
        </is>
      </c>
      <c r="D2009" s="6" t="inlineStr">
        <is>
          <t>PG</t>
        </is>
      </c>
      <c r="E2009" s="6" t="inlineStr">
        <is>
          <t>PG</t>
        </is>
      </c>
      <c r="F2009" s="6" t="inlineStr">
        <is>
          <t>-</t>
        </is>
      </c>
      <c r="G2009" s="7" t="n">
        <v>152.9619903564453</v>
      </c>
      <c r="H2009" s="6">
        <f>P1978</f>
        <v/>
      </c>
      <c r="I2009" s="9">
        <f>Q1978</f>
        <v/>
      </c>
      <c r="J2009" s="7">
        <f>I2009*G2009</f>
        <v/>
      </c>
      <c r="K2009" s="8">
        <f>IF($J$2016=0,0,J2009/$J$2016)</f>
        <v/>
      </c>
      <c r="L2009" s="6" t="inlineStr">
        <is>
          <t>REJECTED</t>
        </is>
      </c>
      <c r="M2009" s="8" t="n">
        <v>0</v>
      </c>
      <c r="N2009" s="7">
        <f>M2009*$J$2016-J2009</f>
        <v/>
      </c>
      <c r="O2009" s="9">
        <f>IF(G2009=0,0,N2009/G2009)</f>
        <v/>
      </c>
      <c r="P2009" s="6">
        <f>IF(M2009&gt;0,D2009,"")</f>
        <v/>
      </c>
      <c r="Q2009" s="9">
        <f>I2009+O2009</f>
        <v/>
      </c>
      <c r="R2009" s="7">
        <f>Q2009*G2009</f>
        <v/>
      </c>
      <c r="S2009" s="8">
        <f>IF($R$2016=0,0,R2009/$R$2016)</f>
        <v/>
      </c>
      <c r="T2009" s="8" t="n">
        <v>-0.001950327282804754</v>
      </c>
      <c r="U2009" s="8" t="n">
        <v>0.008186879773943945</v>
      </c>
      <c r="V2009" s="6" t="inlineStr">
        <is>
          <t>not selected</t>
        </is>
      </c>
    </row>
    <row r="2010">
      <c r="A2010" s="6" t="inlineStr">
        <is>
          <t>DJ30</t>
        </is>
      </c>
      <c r="B2010" s="6" t="inlineStr">
        <is>
          <t>2024-03-29</t>
        </is>
      </c>
      <c r="C2010" s="6" t="inlineStr">
        <is>
          <t>DIA</t>
        </is>
      </c>
      <c r="D2010" s="6" t="inlineStr">
        <is>
          <t>SHW</t>
        </is>
      </c>
      <c r="E2010" s="6" t="inlineStr">
        <is>
          <t>SHW</t>
        </is>
      </c>
      <c r="F2010" s="6" t="inlineStr">
        <is>
          <t>-</t>
        </is>
      </c>
      <c r="G2010" s="7" t="n">
        <v>340.5274353027344</v>
      </c>
      <c r="H2010" s="6">
        <f>P1979</f>
        <v/>
      </c>
      <c r="I2010" s="9">
        <f>Q1979</f>
        <v/>
      </c>
      <c r="J2010" s="7">
        <f>I2010*G2010</f>
        <v/>
      </c>
      <c r="K2010" s="8">
        <f>IF($J$2016=0,0,J2010/$J$2016)</f>
        <v/>
      </c>
      <c r="L2010" s="6" t="inlineStr">
        <is>
          <t>WATCHLIST</t>
        </is>
      </c>
      <c r="M2010" s="8" t="n">
        <v>0</v>
      </c>
      <c r="N2010" s="7">
        <f>M2010*$J$2016-J2010</f>
        <v/>
      </c>
      <c r="O2010" s="9">
        <f>IF(G2010=0,0,N2010/G2010)</f>
        <v/>
      </c>
      <c r="P2010" s="6">
        <f>IF(M2010&gt;0,D2010,"")</f>
        <v/>
      </c>
      <c r="Q2010" s="9">
        <f>I2010+O2010</f>
        <v/>
      </c>
      <c r="R2010" s="7">
        <f>Q2010*G2010</f>
        <v/>
      </c>
      <c r="S2010" s="8">
        <f>IF($R$2016=0,0,R2010/$R$2016)</f>
        <v/>
      </c>
      <c r="T2010" s="8" t="n">
        <v>-0.001950327282804754</v>
      </c>
      <c r="U2010" s="8" t="n">
        <v>0.008186879773943945</v>
      </c>
      <c r="V2010" s="6" t="inlineStr">
        <is>
          <t>not selected</t>
        </is>
      </c>
    </row>
    <row r="2011">
      <c r="A2011" s="6" t="inlineStr">
        <is>
          <t>DJ30</t>
        </is>
      </c>
      <c r="B2011" s="6" t="inlineStr">
        <is>
          <t>2024-03-29</t>
        </is>
      </c>
      <c r="C2011" s="6" t="inlineStr">
        <is>
          <t>DIA</t>
        </is>
      </c>
      <c r="D2011" s="6" t="inlineStr">
        <is>
          <t>TRV</t>
        </is>
      </c>
      <c r="E2011" s="6" t="inlineStr">
        <is>
          <t>TRV</t>
        </is>
      </c>
      <c r="F2011" s="6" t="inlineStr">
        <is>
          <t>-</t>
        </is>
      </c>
      <c r="G2011" s="7" t="n">
        <v>221.6768035888672</v>
      </c>
      <c r="H2011" s="6">
        <f>P1980</f>
        <v/>
      </c>
      <c r="I2011" s="9">
        <f>Q1980</f>
        <v/>
      </c>
      <c r="J2011" s="7">
        <f>I2011*G2011</f>
        <v/>
      </c>
      <c r="K2011" s="8">
        <f>IF($J$2016=0,0,J2011/$J$2016)</f>
        <v/>
      </c>
      <c r="L2011" s="6" t="inlineStr">
        <is>
          <t>WATCHLIST</t>
        </is>
      </c>
      <c r="M2011" s="8" t="n">
        <v>0</v>
      </c>
      <c r="N2011" s="7">
        <f>M2011*$J$2016-J2011</f>
        <v/>
      </c>
      <c r="O2011" s="9">
        <f>IF(G2011=0,0,N2011/G2011)</f>
        <v/>
      </c>
      <c r="P2011" s="6">
        <f>IF(M2011&gt;0,D2011,"")</f>
        <v/>
      </c>
      <c r="Q2011" s="9">
        <f>I2011+O2011</f>
        <v/>
      </c>
      <c r="R2011" s="7">
        <f>Q2011*G2011</f>
        <v/>
      </c>
      <c r="S2011" s="8">
        <f>IF($R$2016=0,0,R2011/$R$2016)</f>
        <v/>
      </c>
      <c r="T2011" s="8" t="n">
        <v>-0.001950327282804754</v>
      </c>
      <c r="U2011" s="8" t="n">
        <v>0.008186879773943945</v>
      </c>
      <c r="V2011" s="6" t="inlineStr">
        <is>
          <t>not selected</t>
        </is>
      </c>
    </row>
    <row r="2012">
      <c r="A2012" s="6" t="inlineStr">
        <is>
          <t>DJ30</t>
        </is>
      </c>
      <c r="B2012" s="6" t="inlineStr">
        <is>
          <t>2024-03-29</t>
        </is>
      </c>
      <c r="C2012" s="6" t="inlineStr">
        <is>
          <t>DIA</t>
        </is>
      </c>
      <c r="D2012" s="6" t="inlineStr">
        <is>
          <t>UNH</t>
        </is>
      </c>
      <c r="E2012" s="6" t="inlineStr">
        <is>
          <t>UNH</t>
        </is>
      </c>
      <c r="F2012" s="6" t="inlineStr">
        <is>
          <t>-</t>
        </is>
      </c>
      <c r="G2012" s="7" t="n">
        <v>470.8702392578125</v>
      </c>
      <c r="H2012" s="6">
        <f>P1981</f>
        <v/>
      </c>
      <c r="I2012" s="9">
        <f>Q1981</f>
        <v/>
      </c>
      <c r="J2012" s="7">
        <f>I2012*G2012</f>
        <v/>
      </c>
      <c r="K2012" s="8">
        <f>IF($J$2016=0,0,J2012/$J$2016)</f>
        <v/>
      </c>
      <c r="L2012" s="6" t="inlineStr">
        <is>
          <t>REJECTED</t>
        </is>
      </c>
      <c r="M2012" s="8" t="n">
        <v>0</v>
      </c>
      <c r="N2012" s="7">
        <f>M2012*$J$2016-J2012</f>
        <v/>
      </c>
      <c r="O2012" s="9">
        <f>IF(G2012=0,0,N2012/G2012)</f>
        <v/>
      </c>
      <c r="P2012" s="6">
        <f>IF(M2012&gt;0,D2012,"")</f>
        <v/>
      </c>
      <c r="Q2012" s="9">
        <f>I2012+O2012</f>
        <v/>
      </c>
      <c r="R2012" s="7">
        <f>Q2012*G2012</f>
        <v/>
      </c>
      <c r="S2012" s="8">
        <f>IF($R$2016=0,0,R2012/$R$2016)</f>
        <v/>
      </c>
      <c r="T2012" s="8" t="n">
        <v>-0.001950327282804754</v>
      </c>
      <c r="U2012" s="8" t="n">
        <v>0.008186879773943945</v>
      </c>
      <c r="V2012" s="6" t="inlineStr">
        <is>
          <t>not selected</t>
        </is>
      </c>
    </row>
    <row r="2013">
      <c r="A2013" s="6" t="inlineStr">
        <is>
          <t>DJ30</t>
        </is>
      </c>
      <c r="B2013" s="6" t="inlineStr">
        <is>
          <t>2024-03-29</t>
        </is>
      </c>
      <c r="C2013" s="6" t="inlineStr">
        <is>
          <t>DIA</t>
        </is>
      </c>
      <c r="D2013" s="6" t="inlineStr">
        <is>
          <t>V</t>
        </is>
      </c>
      <c r="E2013" s="6" t="inlineStr">
        <is>
          <t>V</t>
        </is>
      </c>
      <c r="F2013" s="6" t="inlineStr">
        <is>
          <t>-</t>
        </is>
      </c>
      <c r="G2013" s="7" t="n">
        <v>274.3866882324219</v>
      </c>
      <c r="H2013" s="6">
        <f>P1982</f>
        <v/>
      </c>
      <c r="I2013" s="9">
        <f>Q1982</f>
        <v/>
      </c>
      <c r="J2013" s="7">
        <f>I2013*G2013</f>
        <v/>
      </c>
      <c r="K2013" s="8">
        <f>IF($J$2016=0,0,J2013/$J$2016)</f>
        <v/>
      </c>
      <c r="L2013" s="6" t="inlineStr">
        <is>
          <t>WATCHLIST</t>
        </is>
      </c>
      <c r="M2013" s="8" t="n">
        <v>0</v>
      </c>
      <c r="N2013" s="7">
        <f>M2013*$J$2016-J2013</f>
        <v/>
      </c>
      <c r="O2013" s="9">
        <f>IF(G2013=0,0,N2013/G2013)</f>
        <v/>
      </c>
      <c r="P2013" s="6">
        <f>IF(M2013&gt;0,D2013,"")</f>
        <v/>
      </c>
      <c r="Q2013" s="9">
        <f>I2013+O2013</f>
        <v/>
      </c>
      <c r="R2013" s="7">
        <f>Q2013*G2013</f>
        <v/>
      </c>
      <c r="S2013" s="8">
        <f>IF($R$2016=0,0,R2013/$R$2016)</f>
        <v/>
      </c>
      <c r="T2013" s="8" t="n">
        <v>-0.001950327282804754</v>
      </c>
      <c r="U2013" s="8" t="n">
        <v>0.008186879773943945</v>
      </c>
      <c r="V2013" s="6" t="inlineStr">
        <is>
          <t>not selected</t>
        </is>
      </c>
    </row>
    <row r="2014">
      <c r="A2014" s="6" t="inlineStr">
        <is>
          <t>DJ30</t>
        </is>
      </c>
      <c r="B2014" s="6" t="inlineStr">
        <is>
          <t>2024-03-29</t>
        </is>
      </c>
      <c r="C2014" s="6" t="inlineStr">
        <is>
          <t>DIA</t>
        </is>
      </c>
      <c r="D2014" s="6" t="inlineStr">
        <is>
          <t>VZ</t>
        </is>
      </c>
      <c r="E2014" s="6" t="inlineStr">
        <is>
          <t>VZ</t>
        </is>
      </c>
      <c r="F2014" s="6" t="inlineStr">
        <is>
          <t>-</t>
        </is>
      </c>
      <c r="G2014" s="7" t="n">
        <v>36.24197387695312</v>
      </c>
      <c r="H2014" s="6">
        <f>P1983</f>
        <v/>
      </c>
      <c r="I2014" s="9">
        <f>Q1983</f>
        <v/>
      </c>
      <c r="J2014" s="7">
        <f>I2014*G2014</f>
        <v/>
      </c>
      <c r="K2014" s="8">
        <f>IF($J$2016=0,0,J2014/$J$2016)</f>
        <v/>
      </c>
      <c r="L2014" s="6" t="inlineStr">
        <is>
          <t>WATCHLIST</t>
        </is>
      </c>
      <c r="M2014" s="8" t="n">
        <v>0</v>
      </c>
      <c r="N2014" s="7">
        <f>M2014*$J$2016-J2014</f>
        <v/>
      </c>
      <c r="O2014" s="9">
        <f>IF(G2014=0,0,N2014/G2014)</f>
        <v/>
      </c>
      <c r="P2014" s="6">
        <f>IF(M2014&gt;0,D2014,"")</f>
        <v/>
      </c>
      <c r="Q2014" s="9">
        <f>I2014+O2014</f>
        <v/>
      </c>
      <c r="R2014" s="7">
        <f>Q2014*G2014</f>
        <v/>
      </c>
      <c r="S2014" s="8">
        <f>IF($R$2016=0,0,R2014/$R$2016)</f>
        <v/>
      </c>
      <c r="T2014" s="8" t="n">
        <v>-0.001950327282804754</v>
      </c>
      <c r="U2014" s="8" t="n">
        <v>0.008186879773943945</v>
      </c>
      <c r="V2014" s="6" t="inlineStr">
        <is>
          <t>not selected</t>
        </is>
      </c>
    </row>
    <row r="2015">
      <c r="A2015" s="6" t="inlineStr">
        <is>
          <t>DJ30</t>
        </is>
      </c>
      <c r="B2015" s="6" t="inlineStr">
        <is>
          <t>2024-03-29</t>
        </is>
      </c>
      <c r="C2015" s="6" t="inlineStr">
        <is>
          <t>DIA</t>
        </is>
      </c>
      <c r="D2015" s="6" t="inlineStr">
        <is>
          <t>WMT</t>
        </is>
      </c>
      <c r="E2015" s="6" t="inlineStr">
        <is>
          <t>WMT</t>
        </is>
      </c>
      <c r="F2015" s="6" t="inlineStr">
        <is>
          <t>-</t>
        </is>
      </c>
      <c r="G2015" s="7" t="n">
        <v>58.86082458496094</v>
      </c>
      <c r="H2015" s="6">
        <f>P1984</f>
        <v/>
      </c>
      <c r="I2015" s="9">
        <f>Q1984</f>
        <v/>
      </c>
      <c r="J2015" s="7">
        <f>I2015*G2015</f>
        <v/>
      </c>
      <c r="K2015" s="8">
        <f>IF($J$2016=0,0,J2015/$J$2016)</f>
        <v/>
      </c>
      <c r="L2015" s="6" t="inlineStr">
        <is>
          <t>WATCHLIST</t>
        </is>
      </c>
      <c r="M2015" s="8" t="n">
        <v>0</v>
      </c>
      <c r="N2015" s="7">
        <f>M2015*$J$2016-J2015</f>
        <v/>
      </c>
      <c r="O2015" s="9">
        <f>IF(G2015=0,0,N2015/G2015)</f>
        <v/>
      </c>
      <c r="P2015" s="6">
        <f>IF(M2015&gt;0,D2015,"")</f>
        <v/>
      </c>
      <c r="Q2015" s="9">
        <f>I2015+O2015</f>
        <v/>
      </c>
      <c r="R2015" s="7">
        <f>Q2015*G2015</f>
        <v/>
      </c>
      <c r="S2015" s="8">
        <f>IF($R$2016=0,0,R2015/$R$2016)</f>
        <v/>
      </c>
      <c r="T2015" s="8" t="n">
        <v>-0.001950327282804754</v>
      </c>
      <c r="U2015" s="8" t="n">
        <v>0.008186879773943945</v>
      </c>
      <c r="V2015" s="6" t="inlineStr">
        <is>
          <t>not selected</t>
        </is>
      </c>
    </row>
    <row r="2016">
      <c r="A2016" s="10" t="inlineStr">
        <is>
          <t>DJ30</t>
        </is>
      </c>
      <c r="B2016" s="10" t="inlineStr">
        <is>
          <t>2024-03-29</t>
        </is>
      </c>
      <c r="C2016" s="10" t="inlineStr">
        <is>
          <t>DIA</t>
        </is>
      </c>
      <c r="D2016" s="10" t="inlineStr">
        <is>
          <t>Tot Portfolio</t>
        </is>
      </c>
      <c r="E2016" s="10" t="inlineStr"/>
      <c r="F2016" s="10" t="inlineStr"/>
      <c r="G2016" s="11" t="inlineStr"/>
      <c r="H2016" s="10" t="inlineStr"/>
      <c r="I2016" s="12" t="inlineStr"/>
      <c r="J2016" s="11">
        <f>SUM(J1986:J2015)</f>
        <v/>
      </c>
      <c r="K2016" s="13">
        <f>SUM(K1986:K2015)</f>
        <v/>
      </c>
      <c r="L2016" s="10" t="inlineStr">
        <is>
          <t>TOTAL</t>
        </is>
      </c>
      <c r="M2016" s="13">
        <f>SUM(M1986:M2015)</f>
        <v/>
      </c>
      <c r="N2016" s="11">
        <f>SUM(N1986:N2015)</f>
        <v/>
      </c>
      <c r="O2016" s="12">
        <f>SUM(O1986:O2015)</f>
        <v/>
      </c>
      <c r="P2016" s="10" t="inlineStr"/>
      <c r="Q2016" s="12" t="inlineStr"/>
      <c r="R2016" s="11">
        <f>SUM(R1986:R2015)</f>
        <v/>
      </c>
      <c r="S2016" s="13">
        <f>SUM(S1986:S2015)</f>
        <v/>
      </c>
      <c r="T2016" s="13" t="n">
        <v>-0.001950327282804754</v>
      </c>
      <c r="U2016" s="13" t="n">
        <v>0.008186879773943945</v>
      </c>
      <c r="V2016" s="10" t="inlineStr"/>
    </row>
    <row r="2017">
      <c r="A2017" s="6" t="inlineStr">
        <is>
          <t>DJ30</t>
        </is>
      </c>
      <c r="B2017" s="6" t="inlineStr">
        <is>
          <t>2024-04-05</t>
        </is>
      </c>
      <c r="C2017" s="6" t="inlineStr">
        <is>
          <t>DIA</t>
        </is>
      </c>
      <c r="D2017" s="6" t="inlineStr">
        <is>
          <t>AAPL</t>
        </is>
      </c>
      <c r="E2017" s="6" t="inlineStr">
        <is>
          <t>AAPL</t>
        </is>
      </c>
      <c r="F2017" s="6" t="inlineStr">
        <is>
          <t>-</t>
        </is>
      </c>
      <c r="G2017" s="7" t="n">
        <v>167.8959350585938</v>
      </c>
      <c r="H2017" s="6">
        <f>P1986</f>
        <v/>
      </c>
      <c r="I2017" s="9">
        <f>Q1986</f>
        <v/>
      </c>
      <c r="J2017" s="7">
        <f>I2017*G2017</f>
        <v/>
      </c>
      <c r="K2017" s="8">
        <f>IF($J$2047=0,0,J2017/$J$2047)</f>
        <v/>
      </c>
      <c r="L2017" s="6" t="inlineStr">
        <is>
          <t>REJECTED</t>
        </is>
      </c>
      <c r="M2017" s="8" t="n">
        <v>0</v>
      </c>
      <c r="N2017" s="7">
        <f>M2017*$J$2047-J2017</f>
        <v/>
      </c>
      <c r="O2017" s="9">
        <f>IF(G2017=0,0,N2017/G2017)</f>
        <v/>
      </c>
      <c r="P2017" s="6">
        <f>IF(M2017&gt;0,D2017,"")</f>
        <v/>
      </c>
      <c r="Q2017" s="9">
        <f>I2017+O2017</f>
        <v/>
      </c>
      <c r="R2017" s="7">
        <f>Q2017*G2017</f>
        <v/>
      </c>
      <c r="S2017" s="8">
        <f>IF($R$2047=0,0,R2017/$R$2047)</f>
        <v/>
      </c>
      <c r="T2017" s="8" t="n">
        <v>-0.009702336422716895</v>
      </c>
      <c r="U2017" s="8" t="n">
        <v>-0.02237524811447311</v>
      </c>
      <c r="V2017" s="6" t="inlineStr">
        <is>
          <t>not selected</t>
        </is>
      </c>
    </row>
    <row r="2018">
      <c r="A2018" s="6" t="inlineStr">
        <is>
          <t>DJ30</t>
        </is>
      </c>
      <c r="B2018" s="6" t="inlineStr">
        <is>
          <t>2024-04-05</t>
        </is>
      </c>
      <c r="C2018" s="6" t="inlineStr">
        <is>
          <t>DIA</t>
        </is>
      </c>
      <c r="D2018" s="6" t="inlineStr">
        <is>
          <t>AMGN</t>
        </is>
      </c>
      <c r="E2018" s="6" t="inlineStr">
        <is>
          <t>AMGN</t>
        </is>
      </c>
      <c r="F2018" s="6" t="inlineStr">
        <is>
          <t>-</t>
        </is>
      </c>
      <c r="G2018" s="7" t="n">
        <v>252.0923461914062</v>
      </c>
      <c r="H2018" s="6">
        <f>P1987</f>
        <v/>
      </c>
      <c r="I2018" s="9">
        <f>Q1987</f>
        <v/>
      </c>
      <c r="J2018" s="7">
        <f>I2018*G2018</f>
        <v/>
      </c>
      <c r="K2018" s="8">
        <f>IF($J$2047=0,0,J2018/$J$2047)</f>
        <v/>
      </c>
      <c r="L2018" s="6" t="inlineStr">
        <is>
          <t>SELECTED</t>
        </is>
      </c>
      <c r="M2018" s="8" t="n">
        <v>0.2</v>
      </c>
      <c r="N2018" s="7">
        <f>M2018*$J$2047-J2018</f>
        <v/>
      </c>
      <c r="O2018" s="9">
        <f>IF(G2018=0,0,N2018/G2018)</f>
        <v/>
      </c>
      <c r="P2018" s="6">
        <f>IF(M2018&gt;0,D2018,"")</f>
        <v/>
      </c>
      <c r="Q2018" s="9">
        <f>I2018+O2018</f>
        <v/>
      </c>
      <c r="R2018" s="7">
        <f>Q2018*G2018</f>
        <v/>
      </c>
      <c r="S2018" s="8">
        <f>IF($R$2047=0,0,R2018/$R$2047)</f>
        <v/>
      </c>
      <c r="T2018" s="8" t="n">
        <v>-0.009702336422716895</v>
      </c>
      <c r="U2018" s="8" t="n">
        <v>-0.02237524811447311</v>
      </c>
      <c r="V2018" s="6" t="inlineStr">
        <is>
          <t>remained in weekly selection</t>
        </is>
      </c>
    </row>
    <row r="2019">
      <c r="A2019" s="6" t="inlineStr">
        <is>
          <t>DJ30</t>
        </is>
      </c>
      <c r="B2019" s="6" t="inlineStr">
        <is>
          <t>2024-04-05</t>
        </is>
      </c>
      <c r="C2019" s="6" t="inlineStr">
        <is>
          <t>DIA</t>
        </is>
      </c>
      <c r="D2019" s="6" t="inlineStr">
        <is>
          <t>AMZN</t>
        </is>
      </c>
      <c r="E2019" s="6" t="inlineStr">
        <is>
          <t>AMZN</t>
        </is>
      </c>
      <c r="F2019" s="6" t="inlineStr">
        <is>
          <t>-</t>
        </is>
      </c>
      <c r="G2019" s="7" t="n">
        <v>185.0700073242188</v>
      </c>
      <c r="H2019" s="6">
        <f>P1988</f>
        <v/>
      </c>
      <c r="I2019" s="9">
        <f>Q1988</f>
        <v/>
      </c>
      <c r="J2019" s="7">
        <f>I2019*G2019</f>
        <v/>
      </c>
      <c r="K2019" s="8">
        <f>IF($J$2047=0,0,J2019/$J$2047)</f>
        <v/>
      </c>
      <c r="L2019" s="6" t="inlineStr">
        <is>
          <t>WATCHLIST</t>
        </is>
      </c>
      <c r="M2019" s="8" t="n">
        <v>0</v>
      </c>
      <c r="N2019" s="7">
        <f>M2019*$J$2047-J2019</f>
        <v/>
      </c>
      <c r="O2019" s="9">
        <f>IF(G2019=0,0,N2019/G2019)</f>
        <v/>
      </c>
      <c r="P2019" s="6">
        <f>IF(M2019&gt;0,D2019,"")</f>
        <v/>
      </c>
      <c r="Q2019" s="9">
        <f>I2019+O2019</f>
        <v/>
      </c>
      <c r="R2019" s="7">
        <f>Q2019*G2019</f>
        <v/>
      </c>
      <c r="S2019" s="8">
        <f>IF($R$2047=0,0,R2019/$R$2047)</f>
        <v/>
      </c>
      <c r="T2019" s="8" t="n">
        <v>-0.009702336422716895</v>
      </c>
      <c r="U2019" s="8" t="n">
        <v>-0.02237524811447311</v>
      </c>
      <c r="V2019" s="6" t="inlineStr">
        <is>
          <t>not selected</t>
        </is>
      </c>
    </row>
    <row r="2020">
      <c r="A2020" s="6" t="inlineStr">
        <is>
          <t>DJ30</t>
        </is>
      </c>
      <c r="B2020" s="6" t="inlineStr">
        <is>
          <t>2024-04-05</t>
        </is>
      </c>
      <c r="C2020" s="6" t="inlineStr">
        <is>
          <t>DIA</t>
        </is>
      </c>
      <c r="D2020" s="6" t="inlineStr">
        <is>
          <t>AXP</t>
        </is>
      </c>
      <c r="E2020" s="6" t="inlineStr">
        <is>
          <t>AXP</t>
        </is>
      </c>
      <c r="F2020" s="6" t="inlineStr">
        <is>
          <t>-</t>
        </is>
      </c>
      <c r="G2020" s="7" t="n">
        <v>217.6902770996093</v>
      </c>
      <c r="H2020" s="6">
        <f>P1989</f>
        <v/>
      </c>
      <c r="I2020" s="9">
        <f>Q1989</f>
        <v/>
      </c>
      <c r="J2020" s="7">
        <f>I2020*G2020</f>
        <v/>
      </c>
      <c r="K2020" s="8">
        <f>IF($J$2047=0,0,J2020/$J$2047)</f>
        <v/>
      </c>
      <c r="L2020" s="6" t="inlineStr">
        <is>
          <t>WATCHLIST</t>
        </is>
      </c>
      <c r="M2020" s="8" t="n">
        <v>0</v>
      </c>
      <c r="N2020" s="7">
        <f>M2020*$J$2047-J2020</f>
        <v/>
      </c>
      <c r="O2020" s="9">
        <f>IF(G2020=0,0,N2020/G2020)</f>
        <v/>
      </c>
      <c r="P2020" s="6">
        <f>IF(M2020&gt;0,D2020,"")</f>
        <v/>
      </c>
      <c r="Q2020" s="9">
        <f>I2020+O2020</f>
        <v/>
      </c>
      <c r="R2020" s="7">
        <f>Q2020*G2020</f>
        <v/>
      </c>
      <c r="S2020" s="8">
        <f>IF($R$2047=0,0,R2020/$R$2047)</f>
        <v/>
      </c>
      <c r="T2020" s="8" t="n">
        <v>-0.009702336422716895</v>
      </c>
      <c r="U2020" s="8" t="n">
        <v>-0.02237524811447311</v>
      </c>
      <c r="V2020" s="6" t="inlineStr">
        <is>
          <t>not selected</t>
        </is>
      </c>
    </row>
    <row r="2021">
      <c r="A2021" s="6" t="inlineStr">
        <is>
          <t>DJ30</t>
        </is>
      </c>
      <c r="B2021" s="6" t="inlineStr">
        <is>
          <t>2024-04-05</t>
        </is>
      </c>
      <c r="C2021" s="6" t="inlineStr">
        <is>
          <t>DIA</t>
        </is>
      </c>
      <c r="D2021" s="6" t="inlineStr">
        <is>
          <t>BA</t>
        </is>
      </c>
      <c r="E2021" s="6" t="inlineStr">
        <is>
          <t>BA</t>
        </is>
      </c>
      <c r="F2021" s="6" t="inlineStr">
        <is>
          <t>-</t>
        </is>
      </c>
      <c r="G2021" s="7" t="n">
        <v>183.1399993896484</v>
      </c>
      <c r="H2021" s="6">
        <f>P1990</f>
        <v/>
      </c>
      <c r="I2021" s="9">
        <f>Q1990</f>
        <v/>
      </c>
      <c r="J2021" s="7">
        <f>I2021*G2021</f>
        <v/>
      </c>
      <c r="K2021" s="8">
        <f>IF($J$2047=0,0,J2021/$J$2047)</f>
        <v/>
      </c>
      <c r="L2021" s="6" t="inlineStr">
        <is>
          <t>REJECTED</t>
        </is>
      </c>
      <c r="M2021" s="8" t="n">
        <v>0</v>
      </c>
      <c r="N2021" s="7">
        <f>M2021*$J$2047-J2021</f>
        <v/>
      </c>
      <c r="O2021" s="9">
        <f>IF(G2021=0,0,N2021/G2021)</f>
        <v/>
      </c>
      <c r="P2021" s="6">
        <f>IF(M2021&gt;0,D2021,"")</f>
        <v/>
      </c>
      <c r="Q2021" s="9">
        <f>I2021+O2021</f>
        <v/>
      </c>
      <c r="R2021" s="7">
        <f>Q2021*G2021</f>
        <v/>
      </c>
      <c r="S2021" s="8">
        <f>IF($R$2047=0,0,R2021/$R$2047)</f>
        <v/>
      </c>
      <c r="T2021" s="8" t="n">
        <v>-0.009702336422716895</v>
      </c>
      <c r="U2021" s="8" t="n">
        <v>-0.02237524811447311</v>
      </c>
      <c r="V2021" s="6" t="inlineStr">
        <is>
          <t>not selected</t>
        </is>
      </c>
    </row>
    <row r="2022">
      <c r="A2022" s="6" t="inlineStr">
        <is>
          <t>DJ30</t>
        </is>
      </c>
      <c r="B2022" s="6" t="inlineStr">
        <is>
          <t>2024-04-05</t>
        </is>
      </c>
      <c r="C2022" s="6" t="inlineStr">
        <is>
          <t>DIA</t>
        </is>
      </c>
      <c r="D2022" s="6" t="inlineStr">
        <is>
          <t>CAT</t>
        </is>
      </c>
      <c r="E2022" s="6" t="inlineStr">
        <is>
          <t>CAT</t>
        </is>
      </c>
      <c r="F2022" s="6" t="inlineStr">
        <is>
          <t>-</t>
        </is>
      </c>
      <c r="G2022" s="7" t="n">
        <v>367.89990234375</v>
      </c>
      <c r="H2022" s="6">
        <f>P1991</f>
        <v/>
      </c>
      <c r="I2022" s="9">
        <f>Q1991</f>
        <v/>
      </c>
      <c r="J2022" s="7">
        <f>I2022*G2022</f>
        <v/>
      </c>
      <c r="K2022" s="8">
        <f>IF($J$2047=0,0,J2022/$J$2047)</f>
        <v/>
      </c>
      <c r="L2022" s="6" t="inlineStr">
        <is>
          <t>SELECTED</t>
        </is>
      </c>
      <c r="M2022" s="8" t="n">
        <v>0.2</v>
      </c>
      <c r="N2022" s="7">
        <f>M2022*$J$2047-J2022</f>
        <v/>
      </c>
      <c r="O2022" s="9">
        <f>IF(G2022=0,0,N2022/G2022)</f>
        <v/>
      </c>
      <c r="P2022" s="6">
        <f>IF(M2022&gt;0,D2022,"")</f>
        <v/>
      </c>
      <c r="Q2022" s="9">
        <f>I2022+O2022</f>
        <v/>
      </c>
      <c r="R2022" s="7">
        <f>Q2022*G2022</f>
        <v/>
      </c>
      <c r="S2022" s="8">
        <f>IF($R$2047=0,0,R2022/$R$2047)</f>
        <v/>
      </c>
      <c r="T2022" s="8" t="n">
        <v>-0.009702336422716895</v>
      </c>
      <c r="U2022" s="8" t="n">
        <v>-0.02237524811447311</v>
      </c>
      <c r="V2022" s="6" t="inlineStr">
        <is>
          <t>remained in weekly selection</t>
        </is>
      </c>
    </row>
    <row r="2023">
      <c r="A2023" s="6" t="inlineStr">
        <is>
          <t>DJ30</t>
        </is>
      </c>
      <c r="B2023" s="6" t="inlineStr">
        <is>
          <t>2024-04-05</t>
        </is>
      </c>
      <c r="C2023" s="6" t="inlineStr">
        <is>
          <t>DIA</t>
        </is>
      </c>
      <c r="D2023" s="6" t="inlineStr">
        <is>
          <t>CRM</t>
        </is>
      </c>
      <c r="E2023" s="6" t="inlineStr">
        <is>
          <t>CRM</t>
        </is>
      </c>
      <c r="F2023" s="6" t="inlineStr">
        <is>
          <t>-</t>
        </is>
      </c>
      <c r="G2023" s="7" t="n">
        <v>297.1632995605469</v>
      </c>
      <c r="H2023" s="6">
        <f>P1992</f>
        <v/>
      </c>
      <c r="I2023" s="9">
        <f>Q1992</f>
        <v/>
      </c>
      <c r="J2023" s="7">
        <f>I2023*G2023</f>
        <v/>
      </c>
      <c r="K2023" s="8">
        <f>IF($J$2047=0,0,J2023/$J$2047)</f>
        <v/>
      </c>
      <c r="L2023" s="6" t="inlineStr">
        <is>
          <t>SELECTED</t>
        </is>
      </c>
      <c r="M2023" s="8" t="n">
        <v>0.2</v>
      </c>
      <c r="N2023" s="7">
        <f>M2023*$J$2047-J2023</f>
        <v/>
      </c>
      <c r="O2023" s="9">
        <f>IF(G2023=0,0,N2023/G2023)</f>
        <v/>
      </c>
      <c r="P2023" s="6">
        <f>IF(M2023&gt;0,D2023,"")</f>
        <v/>
      </c>
      <c r="Q2023" s="9">
        <f>I2023+O2023</f>
        <v/>
      </c>
      <c r="R2023" s="7">
        <f>Q2023*G2023</f>
        <v/>
      </c>
      <c r="S2023" s="8">
        <f>IF($R$2047=0,0,R2023/$R$2047)</f>
        <v/>
      </c>
      <c r="T2023" s="8" t="n">
        <v>-0.009702336422716895</v>
      </c>
      <c r="U2023" s="8" t="n">
        <v>-0.02237524811447311</v>
      </c>
      <c r="V2023" s="6" t="inlineStr">
        <is>
          <t>remained in weekly selection</t>
        </is>
      </c>
    </row>
    <row r="2024">
      <c r="A2024" s="6" t="inlineStr">
        <is>
          <t>DJ30</t>
        </is>
      </c>
      <c r="B2024" s="6" t="inlineStr">
        <is>
          <t>2024-04-05</t>
        </is>
      </c>
      <c r="C2024" s="6" t="inlineStr">
        <is>
          <t>DIA</t>
        </is>
      </c>
      <c r="D2024" s="6" t="inlineStr">
        <is>
          <t>CSCO</t>
        </is>
      </c>
      <c r="E2024" s="6" t="inlineStr">
        <is>
          <t>CSCO</t>
        </is>
      </c>
      <c r="F2024" s="6" t="inlineStr">
        <is>
          <t>-</t>
        </is>
      </c>
      <c r="G2024" s="7" t="n">
        <v>46.07397842407227</v>
      </c>
      <c r="H2024" s="6">
        <f>P1993</f>
        <v/>
      </c>
      <c r="I2024" s="9">
        <f>Q1993</f>
        <v/>
      </c>
      <c r="J2024" s="7">
        <f>I2024*G2024</f>
        <v/>
      </c>
      <c r="K2024" s="8">
        <f>IF($J$2047=0,0,J2024/$J$2047)</f>
        <v/>
      </c>
      <c r="L2024" s="6" t="inlineStr">
        <is>
          <t>REJECTED</t>
        </is>
      </c>
      <c r="M2024" s="8" t="n">
        <v>0</v>
      </c>
      <c r="N2024" s="7">
        <f>M2024*$J$2047-J2024</f>
        <v/>
      </c>
      <c r="O2024" s="9">
        <f>IF(G2024=0,0,N2024/G2024)</f>
        <v/>
      </c>
      <c r="P2024" s="6">
        <f>IF(M2024&gt;0,D2024,"")</f>
        <v/>
      </c>
      <c r="Q2024" s="9">
        <f>I2024+O2024</f>
        <v/>
      </c>
      <c r="R2024" s="7">
        <f>Q2024*G2024</f>
        <v/>
      </c>
      <c r="S2024" s="8">
        <f>IF($R$2047=0,0,R2024/$R$2047)</f>
        <v/>
      </c>
      <c r="T2024" s="8" t="n">
        <v>-0.009702336422716895</v>
      </c>
      <c r="U2024" s="8" t="n">
        <v>-0.02237524811447311</v>
      </c>
      <c r="V2024" s="6" t="inlineStr">
        <is>
          <t>not selected</t>
        </is>
      </c>
    </row>
    <row r="2025">
      <c r="A2025" s="6" t="inlineStr">
        <is>
          <t>DJ30</t>
        </is>
      </c>
      <c r="B2025" s="6" t="inlineStr">
        <is>
          <t>2024-04-05</t>
        </is>
      </c>
      <c r="C2025" s="6" t="inlineStr">
        <is>
          <t>DIA</t>
        </is>
      </c>
      <c r="D2025" s="6" t="inlineStr">
        <is>
          <t>CVX</t>
        </is>
      </c>
      <c r="E2025" s="6" t="inlineStr">
        <is>
          <t>CVX</t>
        </is>
      </c>
      <c r="F2025" s="6" t="inlineStr">
        <is>
          <t>-</t>
        </is>
      </c>
      <c r="G2025" s="7" t="n">
        <v>146.8822326660156</v>
      </c>
      <c r="H2025" s="6">
        <f>P1994</f>
        <v/>
      </c>
      <c r="I2025" s="9">
        <f>Q1994</f>
        <v/>
      </c>
      <c r="J2025" s="7">
        <f>I2025*G2025</f>
        <v/>
      </c>
      <c r="K2025" s="8">
        <f>IF($J$2047=0,0,J2025/$J$2047)</f>
        <v/>
      </c>
      <c r="L2025" s="6" t="inlineStr">
        <is>
          <t>REJECTED</t>
        </is>
      </c>
      <c r="M2025" s="8" t="n">
        <v>0</v>
      </c>
      <c r="N2025" s="7">
        <f>M2025*$J$2047-J2025</f>
        <v/>
      </c>
      <c r="O2025" s="9">
        <f>IF(G2025=0,0,N2025/G2025)</f>
        <v/>
      </c>
      <c r="P2025" s="6">
        <f>IF(M2025&gt;0,D2025,"")</f>
        <v/>
      </c>
      <c r="Q2025" s="9">
        <f>I2025+O2025</f>
        <v/>
      </c>
      <c r="R2025" s="7">
        <f>Q2025*G2025</f>
        <v/>
      </c>
      <c r="S2025" s="8">
        <f>IF($R$2047=0,0,R2025/$R$2047)</f>
        <v/>
      </c>
      <c r="T2025" s="8" t="n">
        <v>-0.009702336422716895</v>
      </c>
      <c r="U2025" s="8" t="n">
        <v>-0.02237524811447311</v>
      </c>
      <c r="V2025" s="6" t="inlineStr">
        <is>
          <t>not selected</t>
        </is>
      </c>
    </row>
    <row r="2026">
      <c r="A2026" s="6" t="inlineStr">
        <is>
          <t>DJ30</t>
        </is>
      </c>
      <c r="B2026" s="6" t="inlineStr">
        <is>
          <t>2024-04-05</t>
        </is>
      </c>
      <c r="C2026" s="6" t="inlineStr">
        <is>
          <t>DIA</t>
        </is>
      </c>
      <c r="D2026" s="6" t="inlineStr">
        <is>
          <t>DIS</t>
        </is>
      </c>
      <c r="E2026" s="6" t="inlineStr">
        <is>
          <t>DIS</t>
        </is>
      </c>
      <c r="F2026" s="6" t="inlineStr">
        <is>
          <t>-</t>
        </is>
      </c>
      <c r="G2026" s="7" t="n">
        <v>116.0332870483398</v>
      </c>
      <c r="H2026" s="6">
        <f>P1995</f>
        <v/>
      </c>
      <c r="I2026" s="9">
        <f>Q1995</f>
        <v/>
      </c>
      <c r="J2026" s="7">
        <f>I2026*G2026</f>
        <v/>
      </c>
      <c r="K2026" s="8">
        <f>IF($J$2047=0,0,J2026/$J$2047)</f>
        <v/>
      </c>
      <c r="L2026" s="6" t="inlineStr">
        <is>
          <t>REJECTED</t>
        </is>
      </c>
      <c r="M2026" s="8" t="n">
        <v>0</v>
      </c>
      <c r="N2026" s="7">
        <f>M2026*$J$2047-J2026</f>
        <v/>
      </c>
      <c r="O2026" s="9">
        <f>IF(G2026=0,0,N2026/G2026)</f>
        <v/>
      </c>
      <c r="P2026" s="6">
        <f>IF(M2026&gt;0,D2026,"")</f>
        <v/>
      </c>
      <c r="Q2026" s="9">
        <f>I2026+O2026</f>
        <v/>
      </c>
      <c r="R2026" s="7">
        <f>Q2026*G2026</f>
        <v/>
      </c>
      <c r="S2026" s="8">
        <f>IF($R$2047=0,0,R2026/$R$2047)</f>
        <v/>
      </c>
      <c r="T2026" s="8" t="n">
        <v>-0.009702336422716895</v>
      </c>
      <c r="U2026" s="8" t="n">
        <v>-0.02237524811447311</v>
      </c>
      <c r="V2026" s="6" t="inlineStr">
        <is>
          <t>not selected</t>
        </is>
      </c>
    </row>
    <row r="2027">
      <c r="A2027" s="6" t="inlineStr">
        <is>
          <t>DJ30</t>
        </is>
      </c>
      <c r="B2027" s="6" t="inlineStr">
        <is>
          <t>2024-04-05</t>
        </is>
      </c>
      <c r="C2027" s="6" t="inlineStr">
        <is>
          <t>DIA</t>
        </is>
      </c>
      <c r="D2027" s="6" t="inlineStr">
        <is>
          <t>GS</t>
        </is>
      </c>
      <c r="E2027" s="6" t="inlineStr">
        <is>
          <t>GS</t>
        </is>
      </c>
      <c r="F2027" s="6" t="inlineStr">
        <is>
          <t>-</t>
        </is>
      </c>
      <c r="G2027" s="7" t="n">
        <v>389.4423522949219</v>
      </c>
      <c r="H2027" s="6">
        <f>P1996</f>
        <v/>
      </c>
      <c r="I2027" s="9">
        <f>Q1996</f>
        <v/>
      </c>
      <c r="J2027" s="7">
        <f>I2027*G2027</f>
        <v/>
      </c>
      <c r="K2027" s="8">
        <f>IF($J$2047=0,0,J2027/$J$2047)</f>
        <v/>
      </c>
      <c r="L2027" s="6" t="inlineStr">
        <is>
          <t>WATCHLIST</t>
        </is>
      </c>
      <c r="M2027" s="8" t="n">
        <v>0</v>
      </c>
      <c r="N2027" s="7">
        <f>M2027*$J$2047-J2027</f>
        <v/>
      </c>
      <c r="O2027" s="9">
        <f>IF(G2027=0,0,N2027/G2027)</f>
        <v/>
      </c>
      <c r="P2027" s="6">
        <f>IF(M2027&gt;0,D2027,"")</f>
        <v/>
      </c>
      <c r="Q2027" s="9">
        <f>I2027+O2027</f>
        <v/>
      </c>
      <c r="R2027" s="7">
        <f>Q2027*G2027</f>
        <v/>
      </c>
      <c r="S2027" s="8">
        <f>IF($R$2047=0,0,R2027/$R$2047)</f>
        <v/>
      </c>
      <c r="T2027" s="8" t="n">
        <v>-0.009702336422716895</v>
      </c>
      <c r="U2027" s="8" t="n">
        <v>-0.02237524811447311</v>
      </c>
      <c r="V2027" s="6" t="inlineStr">
        <is>
          <t>not selected</t>
        </is>
      </c>
    </row>
    <row r="2028">
      <c r="A2028" s="6" t="inlineStr">
        <is>
          <t>DJ30</t>
        </is>
      </c>
      <c r="B2028" s="6" t="inlineStr">
        <is>
          <t>2024-04-05</t>
        </is>
      </c>
      <c r="C2028" s="6" t="inlineStr">
        <is>
          <t>DIA</t>
        </is>
      </c>
      <c r="D2028" s="6" t="inlineStr">
        <is>
          <t>HD</t>
        </is>
      </c>
      <c r="E2028" s="6" t="inlineStr">
        <is>
          <t>HD</t>
        </is>
      </c>
      <c r="F2028" s="6" t="inlineStr">
        <is>
          <t>-</t>
        </is>
      </c>
      <c r="G2028" s="7" t="n">
        <v>338.0429382324219</v>
      </c>
      <c r="H2028" s="6">
        <f>P1997</f>
        <v/>
      </c>
      <c r="I2028" s="9">
        <f>Q1997</f>
        <v/>
      </c>
      <c r="J2028" s="7">
        <f>I2028*G2028</f>
        <v/>
      </c>
      <c r="K2028" s="8">
        <f>IF($J$2047=0,0,J2028/$J$2047)</f>
        <v/>
      </c>
      <c r="L2028" s="6" t="inlineStr">
        <is>
          <t>WATCHLIST</t>
        </is>
      </c>
      <c r="M2028" s="8" t="n">
        <v>0</v>
      </c>
      <c r="N2028" s="7">
        <f>M2028*$J$2047-J2028</f>
        <v/>
      </c>
      <c r="O2028" s="9">
        <f>IF(G2028=0,0,N2028/G2028)</f>
        <v/>
      </c>
      <c r="P2028" s="6">
        <f>IF(M2028&gt;0,D2028,"")</f>
        <v/>
      </c>
      <c r="Q2028" s="9">
        <f>I2028+O2028</f>
        <v/>
      </c>
      <c r="R2028" s="7">
        <f>Q2028*G2028</f>
        <v/>
      </c>
      <c r="S2028" s="8">
        <f>IF($R$2047=0,0,R2028/$R$2047)</f>
        <v/>
      </c>
      <c r="T2028" s="8" t="n">
        <v>-0.009702336422716895</v>
      </c>
      <c r="U2028" s="8" t="n">
        <v>-0.02237524811447311</v>
      </c>
      <c r="V2028" s="6" t="inlineStr">
        <is>
          <t>not selected</t>
        </is>
      </c>
    </row>
    <row r="2029">
      <c r="A2029" s="6" t="inlineStr">
        <is>
          <t>DJ30</t>
        </is>
      </c>
      <c r="B2029" s="6" t="inlineStr">
        <is>
          <t>2024-04-05</t>
        </is>
      </c>
      <c r="C2029" s="6" t="inlineStr">
        <is>
          <t>DIA</t>
        </is>
      </c>
      <c r="D2029" s="6" t="inlineStr">
        <is>
          <t>HON</t>
        </is>
      </c>
      <c r="E2029" s="6" t="inlineStr">
        <is>
          <t>HON</t>
        </is>
      </c>
      <c r="F2029" s="6" t="inlineStr">
        <is>
          <t>-</t>
        </is>
      </c>
      <c r="G2029" s="7" t="n">
        <v>177.1636047363281</v>
      </c>
      <c r="H2029" s="6">
        <f>P1998</f>
        <v/>
      </c>
      <c r="I2029" s="9">
        <f>Q1998</f>
        <v/>
      </c>
      <c r="J2029" s="7">
        <f>I2029*G2029</f>
        <v/>
      </c>
      <c r="K2029" s="8">
        <f>IF($J$2047=0,0,J2029/$J$2047)</f>
        <v/>
      </c>
      <c r="L2029" s="6" t="inlineStr">
        <is>
          <t>REJECTED</t>
        </is>
      </c>
      <c r="M2029" s="8" t="n">
        <v>0</v>
      </c>
      <c r="N2029" s="7">
        <f>M2029*$J$2047-J2029</f>
        <v/>
      </c>
      <c r="O2029" s="9">
        <f>IF(G2029=0,0,N2029/G2029)</f>
        <v/>
      </c>
      <c r="P2029" s="6">
        <f>IF(M2029&gt;0,D2029,"")</f>
        <v/>
      </c>
      <c r="Q2029" s="9">
        <f>I2029+O2029</f>
        <v/>
      </c>
      <c r="R2029" s="7">
        <f>Q2029*G2029</f>
        <v/>
      </c>
      <c r="S2029" s="8">
        <f>IF($R$2047=0,0,R2029/$R$2047)</f>
        <v/>
      </c>
      <c r="T2029" s="8" t="n">
        <v>-0.009702336422716895</v>
      </c>
      <c r="U2029" s="8" t="n">
        <v>-0.02237524811447311</v>
      </c>
      <c r="V2029" s="6" t="inlineStr">
        <is>
          <t>not selected</t>
        </is>
      </c>
    </row>
    <row r="2030">
      <c r="A2030" s="6" t="inlineStr">
        <is>
          <t>DJ30</t>
        </is>
      </c>
      <c r="B2030" s="6" t="inlineStr">
        <is>
          <t>2024-04-05</t>
        </is>
      </c>
      <c r="C2030" s="6" t="inlineStr">
        <is>
          <t>DIA</t>
        </is>
      </c>
      <c r="D2030" s="6" t="inlineStr">
        <is>
          <t>IBM</t>
        </is>
      </c>
      <c r="E2030" s="6" t="inlineStr">
        <is>
          <t>IBM</t>
        </is>
      </c>
      <c r="F2030" s="6" t="inlineStr">
        <is>
          <t>-</t>
        </is>
      </c>
      <c r="G2030" s="7" t="n">
        <v>177.2433319091797</v>
      </c>
      <c r="H2030" s="6">
        <f>P1999</f>
        <v/>
      </c>
      <c r="I2030" s="9">
        <f>Q1999</f>
        <v/>
      </c>
      <c r="J2030" s="7">
        <f>I2030*G2030</f>
        <v/>
      </c>
      <c r="K2030" s="8">
        <f>IF($J$2047=0,0,J2030/$J$2047)</f>
        <v/>
      </c>
      <c r="L2030" s="6" t="inlineStr">
        <is>
          <t>SELECTED</t>
        </is>
      </c>
      <c r="M2030" s="8" t="n">
        <v>0.2</v>
      </c>
      <c r="N2030" s="7">
        <f>M2030*$J$2047-J2030</f>
        <v/>
      </c>
      <c r="O2030" s="9">
        <f>IF(G2030=0,0,N2030/G2030)</f>
        <v/>
      </c>
      <c r="P2030" s="6">
        <f>IF(M2030&gt;0,D2030,"")</f>
        <v/>
      </c>
      <c r="Q2030" s="9">
        <f>I2030+O2030</f>
        <v/>
      </c>
      <c r="R2030" s="7">
        <f>Q2030*G2030</f>
        <v/>
      </c>
      <c r="S2030" s="8">
        <f>IF($R$2047=0,0,R2030/$R$2047)</f>
        <v/>
      </c>
      <c r="T2030" s="8" t="n">
        <v>-0.009702336422716895</v>
      </c>
      <c r="U2030" s="8" t="n">
        <v>-0.02237524811447311</v>
      </c>
      <c r="V2030" s="6" t="inlineStr">
        <is>
          <t>remained in weekly selection</t>
        </is>
      </c>
    </row>
    <row r="2031">
      <c r="A2031" s="6" t="inlineStr">
        <is>
          <t>DJ30</t>
        </is>
      </c>
      <c r="B2031" s="6" t="inlineStr">
        <is>
          <t>2024-04-05</t>
        </is>
      </c>
      <c r="C2031" s="6" t="inlineStr">
        <is>
          <t>DIA</t>
        </is>
      </c>
      <c r="D2031" s="6" t="inlineStr">
        <is>
          <t>JNJ</t>
        </is>
      </c>
      <c r="E2031" s="6" t="inlineStr">
        <is>
          <t>JNJ</t>
        </is>
      </c>
      <c r="F2031" s="6" t="inlineStr">
        <is>
          <t>-</t>
        </is>
      </c>
      <c r="G2031" s="7" t="n">
        <v>142.8293609619141</v>
      </c>
      <c r="H2031" s="6">
        <f>P2000</f>
        <v/>
      </c>
      <c r="I2031" s="9">
        <f>Q2000</f>
        <v/>
      </c>
      <c r="J2031" s="7">
        <f>I2031*G2031</f>
        <v/>
      </c>
      <c r="K2031" s="8">
        <f>IF($J$2047=0,0,J2031/$J$2047)</f>
        <v/>
      </c>
      <c r="L2031" s="6" t="inlineStr">
        <is>
          <t>REJECTED</t>
        </is>
      </c>
      <c r="M2031" s="8" t="n">
        <v>0</v>
      </c>
      <c r="N2031" s="7">
        <f>M2031*$J$2047-J2031</f>
        <v/>
      </c>
      <c r="O2031" s="9">
        <f>IF(G2031=0,0,N2031/G2031)</f>
        <v/>
      </c>
      <c r="P2031" s="6">
        <f>IF(M2031&gt;0,D2031,"")</f>
        <v/>
      </c>
      <c r="Q2031" s="9">
        <f>I2031+O2031</f>
        <v/>
      </c>
      <c r="R2031" s="7">
        <f>Q2031*G2031</f>
        <v/>
      </c>
      <c r="S2031" s="8">
        <f>IF($R$2047=0,0,R2031/$R$2047)</f>
        <v/>
      </c>
      <c r="T2031" s="8" t="n">
        <v>-0.009702336422716895</v>
      </c>
      <c r="U2031" s="8" t="n">
        <v>-0.02237524811447311</v>
      </c>
      <c r="V2031" s="6" t="inlineStr">
        <is>
          <t>not selected</t>
        </is>
      </c>
    </row>
    <row r="2032">
      <c r="A2032" s="6" t="inlineStr">
        <is>
          <t>DJ30</t>
        </is>
      </c>
      <c r="B2032" s="6" t="inlineStr">
        <is>
          <t>2024-04-05</t>
        </is>
      </c>
      <c r="C2032" s="6" t="inlineStr">
        <is>
          <t>DIA</t>
        </is>
      </c>
      <c r="D2032" s="6" t="inlineStr">
        <is>
          <t>JPM</t>
        </is>
      </c>
      <c r="E2032" s="6" t="inlineStr">
        <is>
          <t>JPM</t>
        </is>
      </c>
      <c r="F2032" s="6" t="inlineStr">
        <is>
          <t>-</t>
        </is>
      </c>
      <c r="G2032" s="7" t="n">
        <v>189.2931671142578</v>
      </c>
      <c r="H2032" s="6">
        <f>P2001</f>
        <v/>
      </c>
      <c r="I2032" s="9">
        <f>Q2001</f>
        <v/>
      </c>
      <c r="J2032" s="7">
        <f>I2032*G2032</f>
        <v/>
      </c>
      <c r="K2032" s="8">
        <f>IF($J$2047=0,0,J2032/$J$2047)</f>
        <v/>
      </c>
      <c r="L2032" s="6" t="inlineStr">
        <is>
          <t>WATCHLIST</t>
        </is>
      </c>
      <c r="M2032" s="8" t="n">
        <v>0</v>
      </c>
      <c r="N2032" s="7">
        <f>M2032*$J$2047-J2032</f>
        <v/>
      </c>
      <c r="O2032" s="9">
        <f>IF(G2032=0,0,N2032/G2032)</f>
        <v/>
      </c>
      <c r="P2032" s="6">
        <f>IF(M2032&gt;0,D2032,"")</f>
        <v/>
      </c>
      <c r="Q2032" s="9">
        <f>I2032+O2032</f>
        <v/>
      </c>
      <c r="R2032" s="7">
        <f>Q2032*G2032</f>
        <v/>
      </c>
      <c r="S2032" s="8">
        <f>IF($R$2047=0,0,R2032/$R$2047)</f>
        <v/>
      </c>
      <c r="T2032" s="8" t="n">
        <v>-0.009702336422716895</v>
      </c>
      <c r="U2032" s="8" t="n">
        <v>-0.02237524811447311</v>
      </c>
      <c r="V2032" s="6" t="inlineStr">
        <is>
          <t>not selected</t>
        </is>
      </c>
    </row>
    <row r="2033">
      <c r="A2033" s="6" t="inlineStr">
        <is>
          <t>DJ30</t>
        </is>
      </c>
      <c r="B2033" s="6" t="inlineStr">
        <is>
          <t>2024-04-05</t>
        </is>
      </c>
      <c r="C2033" s="6" t="inlineStr">
        <is>
          <t>DIA</t>
        </is>
      </c>
      <c r="D2033" s="6" t="inlineStr">
        <is>
          <t>KO</t>
        </is>
      </c>
      <c r="E2033" s="6" t="inlineStr">
        <is>
          <t>KO</t>
        </is>
      </c>
      <c r="F2033" s="6" t="inlineStr">
        <is>
          <t>-</t>
        </is>
      </c>
      <c r="G2033" s="7" t="n">
        <v>55.79376983642578</v>
      </c>
      <c r="H2033" s="6">
        <f>P2002</f>
        <v/>
      </c>
      <c r="I2033" s="9">
        <f>Q2002</f>
        <v/>
      </c>
      <c r="J2033" s="7">
        <f>I2033*G2033</f>
        <v/>
      </c>
      <c r="K2033" s="8">
        <f>IF($J$2047=0,0,J2033/$J$2047)</f>
        <v/>
      </c>
      <c r="L2033" s="6" t="inlineStr">
        <is>
          <t>REJECTED</t>
        </is>
      </c>
      <c r="M2033" s="8" t="n">
        <v>0</v>
      </c>
      <c r="N2033" s="7">
        <f>M2033*$J$2047-J2033</f>
        <v/>
      </c>
      <c r="O2033" s="9">
        <f>IF(G2033=0,0,N2033/G2033)</f>
        <v/>
      </c>
      <c r="P2033" s="6">
        <f>IF(M2033&gt;0,D2033,"")</f>
        <v/>
      </c>
      <c r="Q2033" s="9">
        <f>I2033+O2033</f>
        <v/>
      </c>
      <c r="R2033" s="7">
        <f>Q2033*G2033</f>
        <v/>
      </c>
      <c r="S2033" s="8">
        <f>IF($R$2047=0,0,R2033/$R$2047)</f>
        <v/>
      </c>
      <c r="T2033" s="8" t="n">
        <v>-0.009702336422716895</v>
      </c>
      <c r="U2033" s="8" t="n">
        <v>-0.02237524811447311</v>
      </c>
      <c r="V2033" s="6" t="inlineStr">
        <is>
          <t>not selected</t>
        </is>
      </c>
    </row>
    <row r="2034">
      <c r="A2034" s="6" t="inlineStr">
        <is>
          <t>DJ30</t>
        </is>
      </c>
      <c r="B2034" s="6" t="inlineStr">
        <is>
          <t>2024-04-05</t>
        </is>
      </c>
      <c r="C2034" s="6" t="inlineStr">
        <is>
          <t>DIA</t>
        </is>
      </c>
      <c r="D2034" s="6" t="inlineStr">
        <is>
          <t>MCD</t>
        </is>
      </c>
      <c r="E2034" s="6" t="inlineStr">
        <is>
          <t>MCD</t>
        </is>
      </c>
      <c r="F2034" s="6" t="inlineStr">
        <is>
          <t>-</t>
        </is>
      </c>
      <c r="G2034" s="7" t="n">
        <v>252.7571563720703</v>
      </c>
      <c r="H2034" s="6">
        <f>P2003</f>
        <v/>
      </c>
      <c r="I2034" s="9">
        <f>Q2003</f>
        <v/>
      </c>
      <c r="J2034" s="7">
        <f>I2034*G2034</f>
        <v/>
      </c>
      <c r="K2034" s="8">
        <f>IF($J$2047=0,0,J2034/$J$2047)</f>
        <v/>
      </c>
      <c r="L2034" s="6" t="inlineStr">
        <is>
          <t>REJECTED</t>
        </is>
      </c>
      <c r="M2034" s="8" t="n">
        <v>0</v>
      </c>
      <c r="N2034" s="7">
        <f>M2034*$J$2047-J2034</f>
        <v/>
      </c>
      <c r="O2034" s="9">
        <f>IF(G2034=0,0,N2034/G2034)</f>
        <v/>
      </c>
      <c r="P2034" s="6">
        <f>IF(M2034&gt;0,D2034,"")</f>
        <v/>
      </c>
      <c r="Q2034" s="9">
        <f>I2034+O2034</f>
        <v/>
      </c>
      <c r="R2034" s="7">
        <f>Q2034*G2034</f>
        <v/>
      </c>
      <c r="S2034" s="8">
        <f>IF($R$2047=0,0,R2034/$R$2047)</f>
        <v/>
      </c>
      <c r="T2034" s="8" t="n">
        <v>-0.009702336422716895</v>
      </c>
      <c r="U2034" s="8" t="n">
        <v>-0.02237524811447311</v>
      </c>
      <c r="V2034" s="6" t="inlineStr">
        <is>
          <t>not selected</t>
        </is>
      </c>
    </row>
    <row r="2035">
      <c r="A2035" s="6" t="inlineStr">
        <is>
          <t>DJ30</t>
        </is>
      </c>
      <c r="B2035" s="6" t="inlineStr">
        <is>
          <t>2024-04-05</t>
        </is>
      </c>
      <c r="C2035" s="6" t="inlineStr">
        <is>
          <t>DIA</t>
        </is>
      </c>
      <c r="D2035" s="6" t="inlineStr">
        <is>
          <t>MMM</t>
        </is>
      </c>
      <c r="E2035" s="6" t="inlineStr">
        <is>
          <t>MMM</t>
        </is>
      </c>
      <c r="F2035" s="6" t="inlineStr">
        <is>
          <t>-</t>
        </is>
      </c>
      <c r="G2035" s="7" t="n">
        <v>86.94258880615234</v>
      </c>
      <c r="H2035" s="6">
        <f>P2004</f>
        <v/>
      </c>
      <c r="I2035" s="9">
        <f>Q2004</f>
        <v/>
      </c>
      <c r="J2035" s="7">
        <f>I2035*G2035</f>
        <v/>
      </c>
      <c r="K2035" s="8">
        <f>IF($J$2047=0,0,J2035/$J$2047)</f>
        <v/>
      </c>
      <c r="L2035" s="6" t="inlineStr">
        <is>
          <t>REJECTED</t>
        </is>
      </c>
      <c r="M2035" s="8" t="n">
        <v>0</v>
      </c>
      <c r="N2035" s="7">
        <f>M2035*$J$2047-J2035</f>
        <v/>
      </c>
      <c r="O2035" s="9">
        <f>IF(G2035=0,0,N2035/G2035)</f>
        <v/>
      </c>
      <c r="P2035" s="6">
        <f>IF(M2035&gt;0,D2035,"")</f>
        <v/>
      </c>
      <c r="Q2035" s="9">
        <f>I2035+O2035</f>
        <v/>
      </c>
      <c r="R2035" s="7">
        <f>Q2035*G2035</f>
        <v/>
      </c>
      <c r="S2035" s="8">
        <f>IF($R$2047=0,0,R2035/$R$2047)</f>
        <v/>
      </c>
      <c r="T2035" s="8" t="n">
        <v>-0.009702336422716895</v>
      </c>
      <c r="U2035" s="8" t="n">
        <v>-0.02237524811447311</v>
      </c>
      <c r="V2035" s="6" t="inlineStr">
        <is>
          <t>not selected</t>
        </is>
      </c>
    </row>
    <row r="2036">
      <c r="A2036" s="6" t="inlineStr">
        <is>
          <t>DJ30</t>
        </is>
      </c>
      <c r="B2036" s="6" t="inlineStr">
        <is>
          <t>2024-04-05</t>
        </is>
      </c>
      <c r="C2036" s="6" t="inlineStr">
        <is>
          <t>DIA</t>
        </is>
      </c>
      <c r="D2036" s="6" t="inlineStr">
        <is>
          <t>MRK</t>
        </is>
      </c>
      <c r="E2036" s="6" t="inlineStr">
        <is>
          <t>MRK</t>
        </is>
      </c>
      <c r="F2036" s="6" t="inlineStr">
        <is>
          <t>-</t>
        </is>
      </c>
      <c r="G2036" s="7" t="n">
        <v>119.0920486450195</v>
      </c>
      <c r="H2036" s="6">
        <f>P2005</f>
        <v/>
      </c>
      <c r="I2036" s="9">
        <f>Q2005</f>
        <v/>
      </c>
      <c r="J2036" s="7">
        <f>I2036*G2036</f>
        <v/>
      </c>
      <c r="K2036" s="8">
        <f>IF($J$2047=0,0,J2036/$J$2047)</f>
        <v/>
      </c>
      <c r="L2036" s="6" t="inlineStr">
        <is>
          <t>REJECTED</t>
        </is>
      </c>
      <c r="M2036" s="8" t="n">
        <v>0</v>
      </c>
      <c r="N2036" s="7">
        <f>M2036*$J$2047-J2036</f>
        <v/>
      </c>
      <c r="O2036" s="9">
        <f>IF(G2036=0,0,N2036/G2036)</f>
        <v/>
      </c>
      <c r="P2036" s="6">
        <f>IF(M2036&gt;0,D2036,"")</f>
        <v/>
      </c>
      <c r="Q2036" s="9">
        <f>I2036+O2036</f>
        <v/>
      </c>
      <c r="R2036" s="7">
        <f>Q2036*G2036</f>
        <v/>
      </c>
      <c r="S2036" s="8">
        <f>IF($R$2047=0,0,R2036/$R$2047)</f>
        <v/>
      </c>
      <c r="T2036" s="8" t="n">
        <v>-0.009702336422716895</v>
      </c>
      <c r="U2036" s="8" t="n">
        <v>-0.02237524811447311</v>
      </c>
      <c r="V2036" s="6" t="inlineStr">
        <is>
          <t>not selected</t>
        </is>
      </c>
    </row>
    <row r="2037">
      <c r="A2037" s="6" t="inlineStr">
        <is>
          <t>DJ30</t>
        </is>
      </c>
      <c r="B2037" s="6" t="inlineStr">
        <is>
          <t>2024-04-05</t>
        </is>
      </c>
      <c r="C2037" s="6" t="inlineStr">
        <is>
          <t>DIA</t>
        </is>
      </c>
      <c r="D2037" s="6" t="inlineStr">
        <is>
          <t>MSFT</t>
        </is>
      </c>
      <c r="E2037" s="6" t="inlineStr">
        <is>
          <t>MSFT</t>
        </is>
      </c>
      <c r="F2037" s="6" t="inlineStr">
        <is>
          <t>-</t>
        </is>
      </c>
      <c r="G2037" s="7" t="n">
        <v>418.1818237304688</v>
      </c>
      <c r="H2037" s="6">
        <f>P2006</f>
        <v/>
      </c>
      <c r="I2037" s="9">
        <f>Q2006</f>
        <v/>
      </c>
      <c r="J2037" s="7">
        <f>I2037*G2037</f>
        <v/>
      </c>
      <c r="K2037" s="8">
        <f>IF($J$2047=0,0,J2037/$J$2047)</f>
        <v/>
      </c>
      <c r="L2037" s="6" t="inlineStr">
        <is>
          <t>WATCHLIST</t>
        </is>
      </c>
      <c r="M2037" s="8" t="n">
        <v>0</v>
      </c>
      <c r="N2037" s="7">
        <f>M2037*$J$2047-J2037</f>
        <v/>
      </c>
      <c r="O2037" s="9">
        <f>IF(G2037=0,0,N2037/G2037)</f>
        <v/>
      </c>
      <c r="P2037" s="6">
        <f>IF(M2037&gt;0,D2037,"")</f>
        <v/>
      </c>
      <c r="Q2037" s="9">
        <f>I2037+O2037</f>
        <v/>
      </c>
      <c r="R2037" s="7">
        <f>Q2037*G2037</f>
        <v/>
      </c>
      <c r="S2037" s="8">
        <f>IF($R$2047=0,0,R2037/$R$2047)</f>
        <v/>
      </c>
      <c r="T2037" s="8" t="n">
        <v>-0.009702336422716895</v>
      </c>
      <c r="U2037" s="8" t="n">
        <v>-0.02237524811447311</v>
      </c>
      <c r="V2037" s="6" t="inlineStr">
        <is>
          <t>not selected</t>
        </is>
      </c>
    </row>
    <row r="2038">
      <c r="A2038" s="6" t="inlineStr">
        <is>
          <t>DJ30</t>
        </is>
      </c>
      <c r="B2038" s="6" t="inlineStr">
        <is>
          <t>2024-04-05</t>
        </is>
      </c>
      <c r="C2038" s="6" t="inlineStr">
        <is>
          <t>DIA</t>
        </is>
      </c>
      <c r="D2038" s="6" t="inlineStr">
        <is>
          <t>NKE</t>
        </is>
      </c>
      <c r="E2038" s="6" t="inlineStr">
        <is>
          <t>NKE</t>
        </is>
      </c>
      <c r="F2038" s="6" t="inlineStr">
        <is>
          <t>-</t>
        </is>
      </c>
      <c r="G2038" s="7" t="n">
        <v>84.32274627685547</v>
      </c>
      <c r="H2038" s="6">
        <f>P2007</f>
        <v/>
      </c>
      <c r="I2038" s="9">
        <f>Q2007</f>
        <v/>
      </c>
      <c r="J2038" s="7">
        <f>I2038*G2038</f>
        <v/>
      </c>
      <c r="K2038" s="8">
        <f>IF($J$2047=0,0,J2038/$J$2047)</f>
        <v/>
      </c>
      <c r="L2038" s="6" t="inlineStr">
        <is>
          <t>REJECTED</t>
        </is>
      </c>
      <c r="M2038" s="8" t="n">
        <v>0</v>
      </c>
      <c r="N2038" s="7">
        <f>M2038*$J$2047-J2038</f>
        <v/>
      </c>
      <c r="O2038" s="9">
        <f>IF(G2038=0,0,N2038/G2038)</f>
        <v/>
      </c>
      <c r="P2038" s="6">
        <f>IF(M2038&gt;0,D2038,"")</f>
        <v/>
      </c>
      <c r="Q2038" s="9">
        <f>I2038+O2038</f>
        <v/>
      </c>
      <c r="R2038" s="7">
        <f>Q2038*G2038</f>
        <v/>
      </c>
      <c r="S2038" s="8">
        <f>IF($R$2047=0,0,R2038/$R$2047)</f>
        <v/>
      </c>
      <c r="T2038" s="8" t="n">
        <v>-0.009702336422716895</v>
      </c>
      <c r="U2038" s="8" t="n">
        <v>-0.02237524811447311</v>
      </c>
      <c r="V2038" s="6" t="inlineStr">
        <is>
          <t>not selected</t>
        </is>
      </c>
    </row>
    <row r="2039">
      <c r="A2039" s="6" t="inlineStr">
        <is>
          <t>DJ30</t>
        </is>
      </c>
      <c r="B2039" s="6" t="inlineStr">
        <is>
          <t>2024-04-05</t>
        </is>
      </c>
      <c r="C2039" s="6" t="inlineStr">
        <is>
          <t>DIA</t>
        </is>
      </c>
      <c r="D2039" s="6" t="inlineStr">
        <is>
          <t>NVDA</t>
        </is>
      </c>
      <c r="E2039" s="6" t="inlineStr">
        <is>
          <t>NVDA</t>
        </is>
      </c>
      <c r="F2039" s="6" t="inlineStr">
        <is>
          <t>-</t>
        </is>
      </c>
      <c r="G2039" s="7" t="n">
        <v>87.85597229003906</v>
      </c>
      <c r="H2039" s="6">
        <f>P2008</f>
        <v/>
      </c>
      <c r="I2039" s="9">
        <f>Q2008</f>
        <v/>
      </c>
      <c r="J2039" s="7">
        <f>I2039*G2039</f>
        <v/>
      </c>
      <c r="K2039" s="8">
        <f>IF($J$2047=0,0,J2039/$J$2047)</f>
        <v/>
      </c>
      <c r="L2039" s="6" t="inlineStr">
        <is>
          <t>SELECTED</t>
        </is>
      </c>
      <c r="M2039" s="8" t="n">
        <v>0.2</v>
      </c>
      <c r="N2039" s="7">
        <f>M2039*$J$2047-J2039</f>
        <v/>
      </c>
      <c r="O2039" s="9">
        <f>IF(G2039=0,0,N2039/G2039)</f>
        <v/>
      </c>
      <c r="P2039" s="6">
        <f>IF(M2039&gt;0,D2039,"")</f>
        <v/>
      </c>
      <c r="Q2039" s="9">
        <f>I2039+O2039</f>
        <v/>
      </c>
      <c r="R2039" s="7">
        <f>Q2039*G2039</f>
        <v/>
      </c>
      <c r="S2039" s="8">
        <f>IF($R$2047=0,0,R2039/$R$2047)</f>
        <v/>
      </c>
      <c r="T2039" s="8" t="n">
        <v>-0.009702336422716895</v>
      </c>
      <c r="U2039" s="8" t="n">
        <v>-0.02237524811447311</v>
      </c>
      <c r="V2039" s="6" t="inlineStr">
        <is>
          <t>remained in weekly selection</t>
        </is>
      </c>
    </row>
    <row r="2040">
      <c r="A2040" s="6" t="inlineStr">
        <is>
          <t>DJ30</t>
        </is>
      </c>
      <c r="B2040" s="6" t="inlineStr">
        <is>
          <t>2024-04-05</t>
        </is>
      </c>
      <c r="C2040" s="6" t="inlineStr">
        <is>
          <t>DIA</t>
        </is>
      </c>
      <c r="D2040" s="6" t="inlineStr">
        <is>
          <t>PG</t>
        </is>
      </c>
      <c r="E2040" s="6" t="inlineStr">
        <is>
          <t>PG</t>
        </is>
      </c>
      <c r="F2040" s="6" t="inlineStr">
        <is>
          <t>-</t>
        </is>
      </c>
      <c r="G2040" s="7" t="n">
        <v>147.1640319824219</v>
      </c>
      <c r="H2040" s="6">
        <f>P2009</f>
        <v/>
      </c>
      <c r="I2040" s="9">
        <f>Q2009</f>
        <v/>
      </c>
      <c r="J2040" s="7">
        <f>I2040*G2040</f>
        <v/>
      </c>
      <c r="K2040" s="8">
        <f>IF($J$2047=0,0,J2040/$J$2047)</f>
        <v/>
      </c>
      <c r="L2040" s="6" t="inlineStr">
        <is>
          <t>REJECTED</t>
        </is>
      </c>
      <c r="M2040" s="8" t="n">
        <v>0</v>
      </c>
      <c r="N2040" s="7">
        <f>M2040*$J$2047-J2040</f>
        <v/>
      </c>
      <c r="O2040" s="9">
        <f>IF(G2040=0,0,N2040/G2040)</f>
        <v/>
      </c>
      <c r="P2040" s="6">
        <f>IF(M2040&gt;0,D2040,"")</f>
        <v/>
      </c>
      <c r="Q2040" s="9">
        <f>I2040+O2040</f>
        <v/>
      </c>
      <c r="R2040" s="7">
        <f>Q2040*G2040</f>
        <v/>
      </c>
      <c r="S2040" s="8">
        <f>IF($R$2047=0,0,R2040/$R$2047)</f>
        <v/>
      </c>
      <c r="T2040" s="8" t="n">
        <v>-0.009702336422716895</v>
      </c>
      <c r="U2040" s="8" t="n">
        <v>-0.02237524811447311</v>
      </c>
      <c r="V2040" s="6" t="inlineStr">
        <is>
          <t>not selected</t>
        </is>
      </c>
    </row>
    <row r="2041">
      <c r="A2041" s="6" t="inlineStr">
        <is>
          <t>DJ30</t>
        </is>
      </c>
      <c r="B2041" s="6" t="inlineStr">
        <is>
          <t>2024-04-05</t>
        </is>
      </c>
      <c r="C2041" s="6" t="inlineStr">
        <is>
          <t>DIA</t>
        </is>
      </c>
      <c r="D2041" s="6" t="inlineStr">
        <is>
          <t>SHW</t>
        </is>
      </c>
      <c r="E2041" s="6" t="inlineStr">
        <is>
          <t>SHW</t>
        </is>
      </c>
      <c r="F2041" s="6" t="inlineStr">
        <is>
          <t>-</t>
        </is>
      </c>
      <c r="G2041" s="7" t="n">
        <v>325.3506164550781</v>
      </c>
      <c r="H2041" s="6">
        <f>P2010</f>
        <v/>
      </c>
      <c r="I2041" s="9">
        <f>Q2010</f>
        <v/>
      </c>
      <c r="J2041" s="7">
        <f>I2041*G2041</f>
        <v/>
      </c>
      <c r="K2041" s="8">
        <f>IF($J$2047=0,0,J2041/$J$2047)</f>
        <v/>
      </c>
      <c r="L2041" s="6" t="inlineStr">
        <is>
          <t>WATCHLIST</t>
        </is>
      </c>
      <c r="M2041" s="8" t="n">
        <v>0</v>
      </c>
      <c r="N2041" s="7">
        <f>M2041*$J$2047-J2041</f>
        <v/>
      </c>
      <c r="O2041" s="9">
        <f>IF(G2041=0,0,N2041/G2041)</f>
        <v/>
      </c>
      <c r="P2041" s="6">
        <f>IF(M2041&gt;0,D2041,"")</f>
        <v/>
      </c>
      <c r="Q2041" s="9">
        <f>I2041+O2041</f>
        <v/>
      </c>
      <c r="R2041" s="7">
        <f>Q2041*G2041</f>
        <v/>
      </c>
      <c r="S2041" s="8">
        <f>IF($R$2047=0,0,R2041/$R$2047)</f>
        <v/>
      </c>
      <c r="T2041" s="8" t="n">
        <v>-0.009702336422716895</v>
      </c>
      <c r="U2041" s="8" t="n">
        <v>-0.02237524811447311</v>
      </c>
      <c r="V2041" s="6" t="inlineStr">
        <is>
          <t>not selected</t>
        </is>
      </c>
    </row>
    <row r="2042">
      <c r="A2042" s="6" t="inlineStr">
        <is>
          <t>DJ30</t>
        </is>
      </c>
      <c r="B2042" s="6" t="inlineStr">
        <is>
          <t>2024-04-05</t>
        </is>
      </c>
      <c r="C2042" s="6" t="inlineStr">
        <is>
          <t>DIA</t>
        </is>
      </c>
      <c r="D2042" s="6" t="inlineStr">
        <is>
          <t>TRV</t>
        </is>
      </c>
      <c r="E2042" s="6" t="inlineStr">
        <is>
          <t>TRV</t>
        </is>
      </c>
      <c r="F2042" s="6" t="inlineStr">
        <is>
          <t>-</t>
        </is>
      </c>
      <c r="G2042" s="7" t="n">
        <v>222.3992309570312</v>
      </c>
      <c r="H2042" s="6">
        <f>P2011</f>
        <v/>
      </c>
      <c r="I2042" s="9">
        <f>Q2011</f>
        <v/>
      </c>
      <c r="J2042" s="7">
        <f>I2042*G2042</f>
        <v/>
      </c>
      <c r="K2042" s="8">
        <f>IF($J$2047=0,0,J2042/$J$2047)</f>
        <v/>
      </c>
      <c r="L2042" s="6" t="inlineStr">
        <is>
          <t>WATCHLIST</t>
        </is>
      </c>
      <c r="M2042" s="8" t="n">
        <v>0</v>
      </c>
      <c r="N2042" s="7">
        <f>M2042*$J$2047-J2042</f>
        <v/>
      </c>
      <c r="O2042" s="9">
        <f>IF(G2042=0,0,N2042/G2042)</f>
        <v/>
      </c>
      <c r="P2042" s="6">
        <f>IF(M2042&gt;0,D2042,"")</f>
        <v/>
      </c>
      <c r="Q2042" s="9">
        <f>I2042+O2042</f>
        <v/>
      </c>
      <c r="R2042" s="7">
        <f>Q2042*G2042</f>
        <v/>
      </c>
      <c r="S2042" s="8">
        <f>IF($R$2047=0,0,R2042/$R$2047)</f>
        <v/>
      </c>
      <c r="T2042" s="8" t="n">
        <v>-0.009702336422716895</v>
      </c>
      <c r="U2042" s="8" t="n">
        <v>-0.02237524811447311</v>
      </c>
      <c r="V2042" s="6" t="inlineStr">
        <is>
          <t>not selected</t>
        </is>
      </c>
    </row>
    <row r="2043">
      <c r="A2043" s="6" t="inlineStr">
        <is>
          <t>DJ30</t>
        </is>
      </c>
      <c r="B2043" s="6" t="inlineStr">
        <is>
          <t>2024-04-05</t>
        </is>
      </c>
      <c r="C2043" s="6" t="inlineStr">
        <is>
          <t>DIA</t>
        </is>
      </c>
      <c r="D2043" s="6" t="inlineStr">
        <is>
          <t>UNH</t>
        </is>
      </c>
      <c r="E2043" s="6" t="inlineStr">
        <is>
          <t>UNH</t>
        </is>
      </c>
      <c r="F2043" s="6" t="inlineStr">
        <is>
          <t>-</t>
        </is>
      </c>
      <c r="G2043" s="7" t="n">
        <v>433.7869262695313</v>
      </c>
      <c r="H2043" s="6">
        <f>P2012</f>
        <v/>
      </c>
      <c r="I2043" s="9">
        <f>Q2012</f>
        <v/>
      </c>
      <c r="J2043" s="7">
        <f>I2043*G2043</f>
        <v/>
      </c>
      <c r="K2043" s="8">
        <f>IF($J$2047=0,0,J2043/$J$2047)</f>
        <v/>
      </c>
      <c r="L2043" s="6" t="inlineStr">
        <is>
          <t>REJECTED</t>
        </is>
      </c>
      <c r="M2043" s="8" t="n">
        <v>0</v>
      </c>
      <c r="N2043" s="7">
        <f>M2043*$J$2047-J2043</f>
        <v/>
      </c>
      <c r="O2043" s="9">
        <f>IF(G2043=0,0,N2043/G2043)</f>
        <v/>
      </c>
      <c r="P2043" s="6">
        <f>IF(M2043&gt;0,D2043,"")</f>
        <v/>
      </c>
      <c r="Q2043" s="9">
        <f>I2043+O2043</f>
        <v/>
      </c>
      <c r="R2043" s="7">
        <f>Q2043*G2043</f>
        <v/>
      </c>
      <c r="S2043" s="8">
        <f>IF($R$2047=0,0,R2043/$R$2047)</f>
        <v/>
      </c>
      <c r="T2043" s="8" t="n">
        <v>-0.009702336422716895</v>
      </c>
      <c r="U2043" s="8" t="n">
        <v>-0.02237524811447311</v>
      </c>
      <c r="V2043" s="6" t="inlineStr">
        <is>
          <t>not selected</t>
        </is>
      </c>
    </row>
    <row r="2044">
      <c r="A2044" s="6" t="inlineStr">
        <is>
          <t>DJ30</t>
        </is>
      </c>
      <c r="B2044" s="6" t="inlineStr">
        <is>
          <t>2024-04-05</t>
        </is>
      </c>
      <c r="C2044" s="6" t="inlineStr">
        <is>
          <t>DIA</t>
        </is>
      </c>
      <c r="D2044" s="6" t="inlineStr">
        <is>
          <t>V</t>
        </is>
      </c>
      <c r="E2044" s="6" t="inlineStr">
        <is>
          <t>V</t>
        </is>
      </c>
      <c r="F2044" s="6" t="inlineStr">
        <is>
          <t>-</t>
        </is>
      </c>
      <c r="G2044" s="7" t="n">
        <v>272.4793090820312</v>
      </c>
      <c r="H2044" s="6">
        <f>P2013</f>
        <v/>
      </c>
      <c r="I2044" s="9">
        <f>Q2013</f>
        <v/>
      </c>
      <c r="J2044" s="7">
        <f>I2044*G2044</f>
        <v/>
      </c>
      <c r="K2044" s="8">
        <f>IF($J$2047=0,0,J2044/$J$2047)</f>
        <v/>
      </c>
      <c r="L2044" s="6" t="inlineStr">
        <is>
          <t>WATCHLIST</t>
        </is>
      </c>
      <c r="M2044" s="8" t="n">
        <v>0</v>
      </c>
      <c r="N2044" s="7">
        <f>M2044*$J$2047-J2044</f>
        <v/>
      </c>
      <c r="O2044" s="9">
        <f>IF(G2044=0,0,N2044/G2044)</f>
        <v/>
      </c>
      <c r="P2044" s="6">
        <f>IF(M2044&gt;0,D2044,"")</f>
        <v/>
      </c>
      <c r="Q2044" s="9">
        <f>I2044+O2044</f>
        <v/>
      </c>
      <c r="R2044" s="7">
        <f>Q2044*G2044</f>
        <v/>
      </c>
      <c r="S2044" s="8">
        <f>IF($R$2047=0,0,R2044/$R$2047)</f>
        <v/>
      </c>
      <c r="T2044" s="8" t="n">
        <v>-0.009702336422716895</v>
      </c>
      <c r="U2044" s="8" t="n">
        <v>-0.02237524811447311</v>
      </c>
      <c r="V2044" s="6" t="inlineStr">
        <is>
          <t>not selected</t>
        </is>
      </c>
    </row>
    <row r="2045">
      <c r="A2045" s="6" t="inlineStr">
        <is>
          <t>DJ30</t>
        </is>
      </c>
      <c r="B2045" s="6" t="inlineStr">
        <is>
          <t>2024-04-05</t>
        </is>
      </c>
      <c r="C2045" s="6" t="inlineStr">
        <is>
          <t>DIA</t>
        </is>
      </c>
      <c r="D2045" s="6" t="inlineStr">
        <is>
          <t>VZ</t>
        </is>
      </c>
      <c r="E2045" s="6" t="inlineStr">
        <is>
          <t>VZ</t>
        </is>
      </c>
      <c r="F2045" s="6" t="inlineStr">
        <is>
          <t>-</t>
        </is>
      </c>
      <c r="G2045" s="7" t="n">
        <v>36.38016128540039</v>
      </c>
      <c r="H2045" s="6">
        <f>P2014</f>
        <v/>
      </c>
      <c r="I2045" s="9">
        <f>Q2014</f>
        <v/>
      </c>
      <c r="J2045" s="7">
        <f>I2045*G2045</f>
        <v/>
      </c>
      <c r="K2045" s="8">
        <f>IF($J$2047=0,0,J2045/$J$2047)</f>
        <v/>
      </c>
      <c r="L2045" s="6" t="inlineStr">
        <is>
          <t>WATCHLIST</t>
        </is>
      </c>
      <c r="M2045" s="8" t="n">
        <v>0</v>
      </c>
      <c r="N2045" s="7">
        <f>M2045*$J$2047-J2045</f>
        <v/>
      </c>
      <c r="O2045" s="9">
        <f>IF(G2045=0,0,N2045/G2045)</f>
        <v/>
      </c>
      <c r="P2045" s="6">
        <f>IF(M2045&gt;0,D2045,"")</f>
        <v/>
      </c>
      <c r="Q2045" s="9">
        <f>I2045+O2045</f>
        <v/>
      </c>
      <c r="R2045" s="7">
        <f>Q2045*G2045</f>
        <v/>
      </c>
      <c r="S2045" s="8">
        <f>IF($R$2047=0,0,R2045/$R$2047)</f>
        <v/>
      </c>
      <c r="T2045" s="8" t="n">
        <v>-0.009702336422716895</v>
      </c>
      <c r="U2045" s="8" t="n">
        <v>-0.02237524811447311</v>
      </c>
      <c r="V2045" s="6" t="inlineStr">
        <is>
          <t>not selected</t>
        </is>
      </c>
    </row>
    <row r="2046">
      <c r="A2046" s="6" t="inlineStr">
        <is>
          <t>DJ30</t>
        </is>
      </c>
      <c r="B2046" s="6" t="inlineStr">
        <is>
          <t>2024-04-05</t>
        </is>
      </c>
      <c r="C2046" s="6" t="inlineStr">
        <is>
          <t>DIA</t>
        </is>
      </c>
      <c r="D2046" s="6" t="inlineStr">
        <is>
          <t>WMT</t>
        </is>
      </c>
      <c r="E2046" s="6" t="inlineStr">
        <is>
          <t>WMT</t>
        </is>
      </c>
      <c r="F2046" s="6" t="inlineStr">
        <is>
          <t>-</t>
        </is>
      </c>
      <c r="G2046" s="7" t="n">
        <v>58.54778289794922</v>
      </c>
      <c r="H2046" s="6">
        <f>P2015</f>
        <v/>
      </c>
      <c r="I2046" s="9">
        <f>Q2015</f>
        <v/>
      </c>
      <c r="J2046" s="7">
        <f>I2046*G2046</f>
        <v/>
      </c>
      <c r="K2046" s="8">
        <f>IF($J$2047=0,0,J2046/$J$2047)</f>
        <v/>
      </c>
      <c r="L2046" s="6" t="inlineStr">
        <is>
          <t>WATCHLIST</t>
        </is>
      </c>
      <c r="M2046" s="8" t="n">
        <v>0</v>
      </c>
      <c r="N2046" s="7">
        <f>M2046*$J$2047-J2046</f>
        <v/>
      </c>
      <c r="O2046" s="9">
        <f>IF(G2046=0,0,N2046/G2046)</f>
        <v/>
      </c>
      <c r="P2046" s="6">
        <f>IF(M2046&gt;0,D2046,"")</f>
        <v/>
      </c>
      <c r="Q2046" s="9">
        <f>I2046+O2046</f>
        <v/>
      </c>
      <c r="R2046" s="7">
        <f>Q2046*G2046</f>
        <v/>
      </c>
      <c r="S2046" s="8">
        <f>IF($R$2047=0,0,R2046/$R$2047)</f>
        <v/>
      </c>
      <c r="T2046" s="8" t="n">
        <v>-0.009702336422716895</v>
      </c>
      <c r="U2046" s="8" t="n">
        <v>-0.02237524811447311</v>
      </c>
      <c r="V2046" s="6" t="inlineStr">
        <is>
          <t>not selected</t>
        </is>
      </c>
    </row>
    <row r="2047">
      <c r="A2047" s="10" t="inlineStr">
        <is>
          <t>DJ30</t>
        </is>
      </c>
      <c r="B2047" s="10" t="inlineStr">
        <is>
          <t>2024-04-05</t>
        </is>
      </c>
      <c r="C2047" s="10" t="inlineStr">
        <is>
          <t>DIA</t>
        </is>
      </c>
      <c r="D2047" s="10" t="inlineStr">
        <is>
          <t>Tot Portfolio</t>
        </is>
      </c>
      <c r="E2047" s="10" t="inlineStr"/>
      <c r="F2047" s="10" t="inlineStr"/>
      <c r="G2047" s="11" t="inlineStr"/>
      <c r="H2047" s="10" t="inlineStr"/>
      <c r="I2047" s="12" t="inlineStr"/>
      <c r="J2047" s="11">
        <f>SUM(J2017:J2046)</f>
        <v/>
      </c>
      <c r="K2047" s="13">
        <f>SUM(K2017:K2046)</f>
        <v/>
      </c>
      <c r="L2047" s="10" t="inlineStr">
        <is>
          <t>TOTAL</t>
        </is>
      </c>
      <c r="M2047" s="13">
        <f>SUM(M2017:M2046)</f>
        <v/>
      </c>
      <c r="N2047" s="11">
        <f>SUM(N2017:N2046)</f>
        <v/>
      </c>
      <c r="O2047" s="12">
        <f>SUM(O2017:O2046)</f>
        <v/>
      </c>
      <c r="P2047" s="10" t="inlineStr"/>
      <c r="Q2047" s="12" t="inlineStr"/>
      <c r="R2047" s="11">
        <f>SUM(R2017:R2046)</f>
        <v/>
      </c>
      <c r="S2047" s="13">
        <f>SUM(S2017:S2046)</f>
        <v/>
      </c>
      <c r="T2047" s="13" t="n">
        <v>-0.009702336422716895</v>
      </c>
      <c r="U2047" s="13" t="n">
        <v>-0.02237524811447311</v>
      </c>
      <c r="V2047" s="10" t="inlineStr"/>
    </row>
    <row r="2048">
      <c r="A2048" s="6" t="inlineStr">
        <is>
          <t>DJ30</t>
        </is>
      </c>
      <c r="B2048" s="6" t="inlineStr">
        <is>
          <t>2024-04-12</t>
        </is>
      </c>
      <c r="C2048" s="6" t="inlineStr">
        <is>
          <t>DIA</t>
        </is>
      </c>
      <c r="D2048" s="6" t="inlineStr">
        <is>
          <t>AAPL</t>
        </is>
      </c>
      <c r="E2048" s="6" t="inlineStr">
        <is>
          <t>AAPL</t>
        </is>
      </c>
      <c r="F2048" s="6" t="inlineStr">
        <is>
          <t>-</t>
        </is>
      </c>
      <c r="G2048" s="7" t="n">
        <v>174.7966918945312</v>
      </c>
      <c r="H2048" s="6">
        <f>P2017</f>
        <v/>
      </c>
      <c r="I2048" s="9">
        <f>Q2017</f>
        <v/>
      </c>
      <c r="J2048" s="7">
        <f>I2048*G2048</f>
        <v/>
      </c>
      <c r="K2048" s="8">
        <f>IF($J$2078=0,0,J2048/$J$2078)</f>
        <v/>
      </c>
      <c r="L2048" s="6" t="inlineStr">
        <is>
          <t>REJECTED</t>
        </is>
      </c>
      <c r="M2048" s="8" t="n">
        <v>0</v>
      </c>
      <c r="N2048" s="7">
        <f>M2048*$J$2078-J2048</f>
        <v/>
      </c>
      <c r="O2048" s="9">
        <f>IF(G2048=0,0,N2048/G2048)</f>
        <v/>
      </c>
      <c r="P2048" s="6">
        <f>IF(M2048&gt;0,D2048,"")</f>
        <v/>
      </c>
      <c r="Q2048" s="9">
        <f>I2048+O2048</f>
        <v/>
      </c>
      <c r="R2048" s="7">
        <f>Q2048*G2048</f>
        <v/>
      </c>
      <c r="S2048" s="8">
        <f>IF($R$2078=0,0,R2048/$R$2078)</f>
        <v/>
      </c>
      <c r="T2048" s="8" t="n">
        <v>-0.02107418821911522</v>
      </c>
      <c r="U2048" s="8" t="n">
        <v>-0.0231191400649623</v>
      </c>
      <c r="V2048" s="6" t="inlineStr">
        <is>
          <t>not selected</t>
        </is>
      </c>
    </row>
    <row r="2049">
      <c r="A2049" s="6" t="inlineStr">
        <is>
          <t>DJ30</t>
        </is>
      </c>
      <c r="B2049" s="6" t="inlineStr">
        <is>
          <t>2024-04-12</t>
        </is>
      </c>
      <c r="C2049" s="6" t="inlineStr">
        <is>
          <t>DIA</t>
        </is>
      </c>
      <c r="D2049" s="6" t="inlineStr">
        <is>
          <t>AMGN</t>
        </is>
      </c>
      <c r="E2049" s="6" t="inlineStr">
        <is>
          <t>AMGN</t>
        </is>
      </c>
      <c r="F2049" s="6" t="inlineStr">
        <is>
          <t>-</t>
        </is>
      </c>
      <c r="G2049" s="7" t="n">
        <v>249.5989227294922</v>
      </c>
      <c r="H2049" s="6">
        <f>P2018</f>
        <v/>
      </c>
      <c r="I2049" s="9">
        <f>Q2018</f>
        <v/>
      </c>
      <c r="J2049" s="7">
        <f>I2049*G2049</f>
        <v/>
      </c>
      <c r="K2049" s="8">
        <f>IF($J$2078=0,0,J2049/$J$2078)</f>
        <v/>
      </c>
      <c r="L2049" s="6" t="inlineStr">
        <is>
          <t>SELECTED</t>
        </is>
      </c>
      <c r="M2049" s="8" t="n">
        <v>0.2</v>
      </c>
      <c r="N2049" s="7">
        <f>M2049*$J$2078-J2049</f>
        <v/>
      </c>
      <c r="O2049" s="9">
        <f>IF(G2049=0,0,N2049/G2049)</f>
        <v/>
      </c>
      <c r="P2049" s="6">
        <f>IF(M2049&gt;0,D2049,"")</f>
        <v/>
      </c>
      <c r="Q2049" s="9">
        <f>I2049+O2049</f>
        <v/>
      </c>
      <c r="R2049" s="7">
        <f>Q2049*G2049</f>
        <v/>
      </c>
      <c r="S2049" s="8">
        <f>IF($R$2078=0,0,R2049/$R$2078)</f>
        <v/>
      </c>
      <c r="T2049" s="8" t="n">
        <v>-0.02107418821911522</v>
      </c>
      <c r="U2049" s="8" t="n">
        <v>-0.0231191400649623</v>
      </c>
      <c r="V2049" s="6" t="inlineStr">
        <is>
          <t>remained in weekly selection</t>
        </is>
      </c>
    </row>
    <row r="2050">
      <c r="A2050" s="6" t="inlineStr">
        <is>
          <t>DJ30</t>
        </is>
      </c>
      <c r="B2050" s="6" t="inlineStr">
        <is>
          <t>2024-04-12</t>
        </is>
      </c>
      <c r="C2050" s="6" t="inlineStr">
        <is>
          <t>DIA</t>
        </is>
      </c>
      <c r="D2050" s="6" t="inlineStr">
        <is>
          <t>AMZN</t>
        </is>
      </c>
      <c r="E2050" s="6" t="inlineStr">
        <is>
          <t>AMZN</t>
        </is>
      </c>
      <c r="F2050" s="6" t="inlineStr">
        <is>
          <t>-</t>
        </is>
      </c>
      <c r="G2050" s="7" t="n">
        <v>186.1300048828125</v>
      </c>
      <c r="H2050" s="6">
        <f>P2019</f>
        <v/>
      </c>
      <c r="I2050" s="9">
        <f>Q2019</f>
        <v/>
      </c>
      <c r="J2050" s="7">
        <f>I2050*G2050</f>
        <v/>
      </c>
      <c r="K2050" s="8">
        <f>IF($J$2078=0,0,J2050/$J$2078)</f>
        <v/>
      </c>
      <c r="L2050" s="6" t="inlineStr">
        <is>
          <t>WATCHLIST</t>
        </is>
      </c>
      <c r="M2050" s="8" t="n">
        <v>0</v>
      </c>
      <c r="N2050" s="7">
        <f>M2050*$J$2078-J2050</f>
        <v/>
      </c>
      <c r="O2050" s="9">
        <f>IF(G2050=0,0,N2050/G2050)</f>
        <v/>
      </c>
      <c r="P2050" s="6">
        <f>IF(M2050&gt;0,D2050,"")</f>
        <v/>
      </c>
      <c r="Q2050" s="9">
        <f>I2050+O2050</f>
        <v/>
      </c>
      <c r="R2050" s="7">
        <f>Q2050*G2050</f>
        <v/>
      </c>
      <c r="S2050" s="8">
        <f>IF($R$2078=0,0,R2050/$R$2078)</f>
        <v/>
      </c>
      <c r="T2050" s="8" t="n">
        <v>-0.02107418821911522</v>
      </c>
      <c r="U2050" s="8" t="n">
        <v>-0.0231191400649623</v>
      </c>
      <c r="V2050" s="6" t="inlineStr">
        <is>
          <t>not selected</t>
        </is>
      </c>
    </row>
    <row r="2051">
      <c r="A2051" s="6" t="inlineStr">
        <is>
          <t>DJ30</t>
        </is>
      </c>
      <c r="B2051" s="6" t="inlineStr">
        <is>
          <t>2024-04-12</t>
        </is>
      </c>
      <c r="C2051" s="6" t="inlineStr">
        <is>
          <t>DIA</t>
        </is>
      </c>
      <c r="D2051" s="6" t="inlineStr">
        <is>
          <t>AXP</t>
        </is>
      </c>
      <c r="E2051" s="6" t="inlineStr">
        <is>
          <t>AXP</t>
        </is>
      </c>
      <c r="F2051" s="6" t="inlineStr">
        <is>
          <t>-</t>
        </is>
      </c>
      <c r="G2051" s="7" t="n">
        <v>213.5216217041016</v>
      </c>
      <c r="H2051" s="6">
        <f>P2020</f>
        <v/>
      </c>
      <c r="I2051" s="9">
        <f>Q2020</f>
        <v/>
      </c>
      <c r="J2051" s="7">
        <f>I2051*G2051</f>
        <v/>
      </c>
      <c r="K2051" s="8">
        <f>IF($J$2078=0,0,J2051/$J$2078)</f>
        <v/>
      </c>
      <c r="L2051" s="6" t="inlineStr">
        <is>
          <t>WATCHLIST</t>
        </is>
      </c>
      <c r="M2051" s="8" t="n">
        <v>0</v>
      </c>
      <c r="N2051" s="7">
        <f>M2051*$J$2078-J2051</f>
        <v/>
      </c>
      <c r="O2051" s="9">
        <f>IF(G2051=0,0,N2051/G2051)</f>
        <v/>
      </c>
      <c r="P2051" s="6">
        <f>IF(M2051&gt;0,D2051,"")</f>
        <v/>
      </c>
      <c r="Q2051" s="9">
        <f>I2051+O2051</f>
        <v/>
      </c>
      <c r="R2051" s="7">
        <f>Q2051*G2051</f>
        <v/>
      </c>
      <c r="S2051" s="8">
        <f>IF($R$2078=0,0,R2051/$R$2078)</f>
        <v/>
      </c>
      <c r="T2051" s="8" t="n">
        <v>-0.02107418821911522</v>
      </c>
      <c r="U2051" s="8" t="n">
        <v>-0.0231191400649623</v>
      </c>
      <c r="V2051" s="6" t="inlineStr">
        <is>
          <t>not selected</t>
        </is>
      </c>
    </row>
    <row r="2052">
      <c r="A2052" s="6" t="inlineStr">
        <is>
          <t>DJ30</t>
        </is>
      </c>
      <c r="B2052" s="6" t="inlineStr">
        <is>
          <t>2024-04-12</t>
        </is>
      </c>
      <c r="C2052" s="6" t="inlineStr">
        <is>
          <t>DIA</t>
        </is>
      </c>
      <c r="D2052" s="6" t="inlineStr">
        <is>
          <t>BA</t>
        </is>
      </c>
      <c r="E2052" s="6" t="inlineStr">
        <is>
          <t>BA</t>
        </is>
      </c>
      <c r="F2052" s="6" t="inlineStr">
        <is>
          <t>-</t>
        </is>
      </c>
      <c r="G2052" s="7" t="n">
        <v>169.5500030517578</v>
      </c>
      <c r="H2052" s="6">
        <f>P2021</f>
        <v/>
      </c>
      <c r="I2052" s="9">
        <f>Q2021</f>
        <v/>
      </c>
      <c r="J2052" s="7">
        <f>I2052*G2052</f>
        <v/>
      </c>
      <c r="K2052" s="8">
        <f>IF($J$2078=0,0,J2052/$J$2078)</f>
        <v/>
      </c>
      <c r="L2052" s="6" t="inlineStr">
        <is>
          <t>REJECTED</t>
        </is>
      </c>
      <c r="M2052" s="8" t="n">
        <v>0</v>
      </c>
      <c r="N2052" s="7">
        <f>M2052*$J$2078-J2052</f>
        <v/>
      </c>
      <c r="O2052" s="9">
        <f>IF(G2052=0,0,N2052/G2052)</f>
        <v/>
      </c>
      <c r="P2052" s="6">
        <f>IF(M2052&gt;0,D2052,"")</f>
        <v/>
      </c>
      <c r="Q2052" s="9">
        <f>I2052+O2052</f>
        <v/>
      </c>
      <c r="R2052" s="7">
        <f>Q2052*G2052</f>
        <v/>
      </c>
      <c r="S2052" s="8">
        <f>IF($R$2078=0,0,R2052/$R$2078)</f>
        <v/>
      </c>
      <c r="T2052" s="8" t="n">
        <v>-0.02107418821911522</v>
      </c>
      <c r="U2052" s="8" t="n">
        <v>-0.0231191400649623</v>
      </c>
      <c r="V2052" s="6" t="inlineStr">
        <is>
          <t>not selected</t>
        </is>
      </c>
    </row>
    <row r="2053">
      <c r="A2053" s="6" t="inlineStr">
        <is>
          <t>DJ30</t>
        </is>
      </c>
      <c r="B2053" s="6" t="inlineStr">
        <is>
          <t>2024-04-12</t>
        </is>
      </c>
      <c r="C2053" s="6" t="inlineStr">
        <is>
          <t>DIA</t>
        </is>
      </c>
      <c r="D2053" s="6" t="inlineStr">
        <is>
          <t>CAT</t>
        </is>
      </c>
      <c r="E2053" s="6" t="inlineStr">
        <is>
          <t>CAT</t>
        </is>
      </c>
      <c r="F2053" s="6" t="inlineStr">
        <is>
          <t>-</t>
        </is>
      </c>
      <c r="G2053" s="7" t="n">
        <v>354.6407775878906</v>
      </c>
      <c r="H2053" s="6">
        <f>P2022</f>
        <v/>
      </c>
      <c r="I2053" s="9">
        <f>Q2022</f>
        <v/>
      </c>
      <c r="J2053" s="7">
        <f>I2053*G2053</f>
        <v/>
      </c>
      <c r="K2053" s="8">
        <f>IF($J$2078=0,0,J2053/$J$2078)</f>
        <v/>
      </c>
      <c r="L2053" s="6" t="inlineStr">
        <is>
          <t>SELECTED</t>
        </is>
      </c>
      <c r="M2053" s="8" t="n">
        <v>0.2</v>
      </c>
      <c r="N2053" s="7">
        <f>M2053*$J$2078-J2053</f>
        <v/>
      </c>
      <c r="O2053" s="9">
        <f>IF(G2053=0,0,N2053/G2053)</f>
        <v/>
      </c>
      <c r="P2053" s="6">
        <f>IF(M2053&gt;0,D2053,"")</f>
        <v/>
      </c>
      <c r="Q2053" s="9">
        <f>I2053+O2053</f>
        <v/>
      </c>
      <c r="R2053" s="7">
        <f>Q2053*G2053</f>
        <v/>
      </c>
      <c r="S2053" s="8">
        <f>IF($R$2078=0,0,R2053/$R$2078)</f>
        <v/>
      </c>
      <c r="T2053" s="8" t="n">
        <v>-0.02107418821911522</v>
      </c>
      <c r="U2053" s="8" t="n">
        <v>-0.0231191400649623</v>
      </c>
      <c r="V2053" s="6" t="inlineStr">
        <is>
          <t>remained in weekly selection</t>
        </is>
      </c>
    </row>
    <row r="2054">
      <c r="A2054" s="6" t="inlineStr">
        <is>
          <t>DJ30</t>
        </is>
      </c>
      <c r="B2054" s="6" t="inlineStr">
        <is>
          <t>2024-04-12</t>
        </is>
      </c>
      <c r="C2054" s="6" t="inlineStr">
        <is>
          <t>DIA</t>
        </is>
      </c>
      <c r="D2054" s="6" t="inlineStr">
        <is>
          <t>CRM</t>
        </is>
      </c>
      <c r="E2054" s="6" t="inlineStr">
        <is>
          <t>CRM</t>
        </is>
      </c>
      <c r="F2054" s="6" t="inlineStr">
        <is>
          <t>-</t>
        </is>
      </c>
      <c r="G2054" s="7" t="n">
        <v>289.692626953125</v>
      </c>
      <c r="H2054" s="6">
        <f>P2023</f>
        <v/>
      </c>
      <c r="I2054" s="9">
        <f>Q2023</f>
        <v/>
      </c>
      <c r="J2054" s="7">
        <f>I2054*G2054</f>
        <v/>
      </c>
      <c r="K2054" s="8">
        <f>IF($J$2078=0,0,J2054/$J$2078)</f>
        <v/>
      </c>
      <c r="L2054" s="6" t="inlineStr">
        <is>
          <t>SELECTED</t>
        </is>
      </c>
      <c r="M2054" s="8" t="n">
        <v>0.2</v>
      </c>
      <c r="N2054" s="7">
        <f>M2054*$J$2078-J2054</f>
        <v/>
      </c>
      <c r="O2054" s="9">
        <f>IF(G2054=0,0,N2054/G2054)</f>
        <v/>
      </c>
      <c r="P2054" s="6">
        <f>IF(M2054&gt;0,D2054,"")</f>
        <v/>
      </c>
      <c r="Q2054" s="9">
        <f>I2054+O2054</f>
        <v/>
      </c>
      <c r="R2054" s="7">
        <f>Q2054*G2054</f>
        <v/>
      </c>
      <c r="S2054" s="8">
        <f>IF($R$2078=0,0,R2054/$R$2078)</f>
        <v/>
      </c>
      <c r="T2054" s="8" t="n">
        <v>-0.02107418821911522</v>
      </c>
      <c r="U2054" s="8" t="n">
        <v>-0.0231191400649623</v>
      </c>
      <c r="V2054" s="6" t="inlineStr">
        <is>
          <t>remained in weekly selection</t>
        </is>
      </c>
    </row>
    <row r="2055">
      <c r="A2055" s="6" t="inlineStr">
        <is>
          <t>DJ30</t>
        </is>
      </c>
      <c r="B2055" s="6" t="inlineStr">
        <is>
          <t>2024-04-12</t>
        </is>
      </c>
      <c r="C2055" s="6" t="inlineStr">
        <is>
          <t>DIA</t>
        </is>
      </c>
      <c r="D2055" s="6" t="inlineStr">
        <is>
          <t>CSCO</t>
        </is>
      </c>
      <c r="E2055" s="6" t="inlineStr">
        <is>
          <t>CSCO</t>
        </is>
      </c>
      <c r="F2055" s="6" t="inlineStr">
        <is>
          <t>-</t>
        </is>
      </c>
      <c r="G2055" s="7" t="n">
        <v>46.01704406738281</v>
      </c>
      <c r="H2055" s="6">
        <f>P2024</f>
        <v/>
      </c>
      <c r="I2055" s="9">
        <f>Q2024</f>
        <v/>
      </c>
      <c r="J2055" s="7">
        <f>I2055*G2055</f>
        <v/>
      </c>
      <c r="K2055" s="8">
        <f>IF($J$2078=0,0,J2055/$J$2078)</f>
        <v/>
      </c>
      <c r="L2055" s="6" t="inlineStr">
        <is>
          <t>REJECTED</t>
        </is>
      </c>
      <c r="M2055" s="8" t="n">
        <v>0</v>
      </c>
      <c r="N2055" s="7">
        <f>M2055*$J$2078-J2055</f>
        <v/>
      </c>
      <c r="O2055" s="9">
        <f>IF(G2055=0,0,N2055/G2055)</f>
        <v/>
      </c>
      <c r="P2055" s="6">
        <f>IF(M2055&gt;0,D2055,"")</f>
        <v/>
      </c>
      <c r="Q2055" s="9">
        <f>I2055+O2055</f>
        <v/>
      </c>
      <c r="R2055" s="7">
        <f>Q2055*G2055</f>
        <v/>
      </c>
      <c r="S2055" s="8">
        <f>IF($R$2078=0,0,R2055/$R$2078)</f>
        <v/>
      </c>
      <c r="T2055" s="8" t="n">
        <v>-0.02107418821911522</v>
      </c>
      <c r="U2055" s="8" t="n">
        <v>-0.0231191400649623</v>
      </c>
      <c r="V2055" s="6" t="inlineStr">
        <is>
          <t>not selected</t>
        </is>
      </c>
    </row>
    <row r="2056">
      <c r="A2056" s="6" t="inlineStr">
        <is>
          <t>DJ30</t>
        </is>
      </c>
      <c r="B2056" s="6" t="inlineStr">
        <is>
          <t>2024-04-12</t>
        </is>
      </c>
      <c r="C2056" s="6" t="inlineStr">
        <is>
          <t>DIA</t>
        </is>
      </c>
      <c r="D2056" s="6" t="inlineStr">
        <is>
          <t>CVX</t>
        </is>
      </c>
      <c r="E2056" s="6" t="inlineStr">
        <is>
          <t>CVX</t>
        </is>
      </c>
      <c r="F2056" s="6" t="inlineStr">
        <is>
          <t>-</t>
        </is>
      </c>
      <c r="G2056" s="7" t="n">
        <v>144.4826507568359</v>
      </c>
      <c r="H2056" s="6">
        <f>P2025</f>
        <v/>
      </c>
      <c r="I2056" s="9">
        <f>Q2025</f>
        <v/>
      </c>
      <c r="J2056" s="7">
        <f>I2056*G2056</f>
        <v/>
      </c>
      <c r="K2056" s="8">
        <f>IF($J$2078=0,0,J2056/$J$2078)</f>
        <v/>
      </c>
      <c r="L2056" s="6" t="inlineStr">
        <is>
          <t>REJECTED</t>
        </is>
      </c>
      <c r="M2056" s="8" t="n">
        <v>0</v>
      </c>
      <c r="N2056" s="7">
        <f>M2056*$J$2078-J2056</f>
        <v/>
      </c>
      <c r="O2056" s="9">
        <f>IF(G2056=0,0,N2056/G2056)</f>
        <v/>
      </c>
      <c r="P2056" s="6">
        <f>IF(M2056&gt;0,D2056,"")</f>
        <v/>
      </c>
      <c r="Q2056" s="9">
        <f>I2056+O2056</f>
        <v/>
      </c>
      <c r="R2056" s="7">
        <f>Q2056*G2056</f>
        <v/>
      </c>
      <c r="S2056" s="8">
        <f>IF($R$2078=0,0,R2056/$R$2078)</f>
        <v/>
      </c>
      <c r="T2056" s="8" t="n">
        <v>-0.02107418821911522</v>
      </c>
      <c r="U2056" s="8" t="n">
        <v>-0.0231191400649623</v>
      </c>
      <c r="V2056" s="6" t="inlineStr">
        <is>
          <t>not selected</t>
        </is>
      </c>
    </row>
    <row r="2057">
      <c r="A2057" s="6" t="inlineStr">
        <is>
          <t>DJ30</t>
        </is>
      </c>
      <c r="B2057" s="6" t="inlineStr">
        <is>
          <t>2024-04-12</t>
        </is>
      </c>
      <c r="C2057" s="6" t="inlineStr">
        <is>
          <t>DIA</t>
        </is>
      </c>
      <c r="D2057" s="6" t="inlineStr">
        <is>
          <t>DIS</t>
        </is>
      </c>
      <c r="E2057" s="6" t="inlineStr">
        <is>
          <t>DIS</t>
        </is>
      </c>
      <c r="F2057" s="6" t="inlineStr">
        <is>
          <t>-</t>
        </is>
      </c>
      <c r="G2057" s="7" t="n">
        <v>111.7499313354492</v>
      </c>
      <c r="H2057" s="6">
        <f>P2026</f>
        <v/>
      </c>
      <c r="I2057" s="9">
        <f>Q2026</f>
        <v/>
      </c>
      <c r="J2057" s="7">
        <f>I2057*G2057</f>
        <v/>
      </c>
      <c r="K2057" s="8">
        <f>IF($J$2078=0,0,J2057/$J$2078)</f>
        <v/>
      </c>
      <c r="L2057" s="6" t="inlineStr">
        <is>
          <t>WATCHLIST</t>
        </is>
      </c>
      <c r="M2057" s="8" t="n">
        <v>0</v>
      </c>
      <c r="N2057" s="7">
        <f>M2057*$J$2078-J2057</f>
        <v/>
      </c>
      <c r="O2057" s="9">
        <f>IF(G2057=0,0,N2057/G2057)</f>
        <v/>
      </c>
      <c r="P2057" s="6">
        <f>IF(M2057&gt;0,D2057,"")</f>
        <v/>
      </c>
      <c r="Q2057" s="9">
        <f>I2057+O2057</f>
        <v/>
      </c>
      <c r="R2057" s="7">
        <f>Q2057*G2057</f>
        <v/>
      </c>
      <c r="S2057" s="8">
        <f>IF($R$2078=0,0,R2057/$R$2078)</f>
        <v/>
      </c>
      <c r="T2057" s="8" t="n">
        <v>-0.02107418821911522</v>
      </c>
      <c r="U2057" s="8" t="n">
        <v>-0.0231191400649623</v>
      </c>
      <c r="V2057" s="6" t="inlineStr">
        <is>
          <t>not selected</t>
        </is>
      </c>
    </row>
    <row r="2058">
      <c r="A2058" s="6" t="inlineStr">
        <is>
          <t>DJ30</t>
        </is>
      </c>
      <c r="B2058" s="6" t="inlineStr">
        <is>
          <t>2024-04-12</t>
        </is>
      </c>
      <c r="C2058" s="6" t="inlineStr">
        <is>
          <t>DIA</t>
        </is>
      </c>
      <c r="D2058" s="6" t="inlineStr">
        <is>
          <t>GS</t>
        </is>
      </c>
      <c r="E2058" s="6" t="inlineStr">
        <is>
          <t>GS</t>
        </is>
      </c>
      <c r="F2058" s="6" t="inlineStr">
        <is>
          <t>-</t>
        </is>
      </c>
      <c r="G2058" s="7" t="n">
        <v>371.71044921875</v>
      </c>
      <c r="H2058" s="6">
        <f>P2027</f>
        <v/>
      </c>
      <c r="I2058" s="9">
        <f>Q2027</f>
        <v/>
      </c>
      <c r="J2058" s="7">
        <f>I2058*G2058</f>
        <v/>
      </c>
      <c r="K2058" s="8">
        <f>IF($J$2078=0,0,J2058/$J$2078)</f>
        <v/>
      </c>
      <c r="L2058" s="6" t="inlineStr">
        <is>
          <t>WATCHLIST</t>
        </is>
      </c>
      <c r="M2058" s="8" t="n">
        <v>0</v>
      </c>
      <c r="N2058" s="7">
        <f>M2058*$J$2078-J2058</f>
        <v/>
      </c>
      <c r="O2058" s="9">
        <f>IF(G2058=0,0,N2058/G2058)</f>
        <v/>
      </c>
      <c r="P2058" s="6">
        <f>IF(M2058&gt;0,D2058,"")</f>
        <v/>
      </c>
      <c r="Q2058" s="9">
        <f>I2058+O2058</f>
        <v/>
      </c>
      <c r="R2058" s="7">
        <f>Q2058*G2058</f>
        <v/>
      </c>
      <c r="S2058" s="8">
        <f>IF($R$2078=0,0,R2058/$R$2078)</f>
        <v/>
      </c>
      <c r="T2058" s="8" t="n">
        <v>-0.02107418821911522</v>
      </c>
      <c r="U2058" s="8" t="n">
        <v>-0.0231191400649623</v>
      </c>
      <c r="V2058" s="6" t="inlineStr">
        <is>
          <t>not selected</t>
        </is>
      </c>
    </row>
    <row r="2059">
      <c r="A2059" s="6" t="inlineStr">
        <is>
          <t>DJ30</t>
        </is>
      </c>
      <c r="B2059" s="6" t="inlineStr">
        <is>
          <t>2024-04-12</t>
        </is>
      </c>
      <c r="C2059" s="6" t="inlineStr">
        <is>
          <t>DIA</t>
        </is>
      </c>
      <c r="D2059" s="6" t="inlineStr">
        <is>
          <t>HD</t>
        </is>
      </c>
      <c r="E2059" s="6" t="inlineStr">
        <is>
          <t>HD</t>
        </is>
      </c>
      <c r="F2059" s="6" t="inlineStr">
        <is>
          <t>-</t>
        </is>
      </c>
      <c r="G2059" s="7" t="n">
        <v>323.8739318847656</v>
      </c>
      <c r="H2059" s="6">
        <f>P2028</f>
        <v/>
      </c>
      <c r="I2059" s="9">
        <f>Q2028</f>
        <v/>
      </c>
      <c r="J2059" s="7">
        <f>I2059*G2059</f>
        <v/>
      </c>
      <c r="K2059" s="8">
        <f>IF($J$2078=0,0,J2059/$J$2078)</f>
        <v/>
      </c>
      <c r="L2059" s="6" t="inlineStr">
        <is>
          <t>WATCHLIST</t>
        </is>
      </c>
      <c r="M2059" s="8" t="n">
        <v>0</v>
      </c>
      <c r="N2059" s="7">
        <f>M2059*$J$2078-J2059</f>
        <v/>
      </c>
      <c r="O2059" s="9">
        <f>IF(G2059=0,0,N2059/G2059)</f>
        <v/>
      </c>
      <c r="P2059" s="6">
        <f>IF(M2059&gt;0,D2059,"")</f>
        <v/>
      </c>
      <c r="Q2059" s="9">
        <f>I2059+O2059</f>
        <v/>
      </c>
      <c r="R2059" s="7">
        <f>Q2059*G2059</f>
        <v/>
      </c>
      <c r="S2059" s="8">
        <f>IF($R$2078=0,0,R2059/$R$2078)</f>
        <v/>
      </c>
      <c r="T2059" s="8" t="n">
        <v>-0.02107418821911522</v>
      </c>
      <c r="U2059" s="8" t="n">
        <v>-0.0231191400649623</v>
      </c>
      <c r="V2059" s="6" t="inlineStr">
        <is>
          <t>not selected</t>
        </is>
      </c>
    </row>
    <row r="2060">
      <c r="A2060" s="6" t="inlineStr">
        <is>
          <t>DJ30</t>
        </is>
      </c>
      <c r="B2060" s="6" t="inlineStr">
        <is>
          <t>2024-04-12</t>
        </is>
      </c>
      <c r="C2060" s="6" t="inlineStr">
        <is>
          <t>DIA</t>
        </is>
      </c>
      <c r="D2060" s="6" t="inlineStr">
        <is>
          <t>HON</t>
        </is>
      </c>
      <c r="E2060" s="6" t="inlineStr">
        <is>
          <t>HON</t>
        </is>
      </c>
      <c r="F2060" s="6" t="inlineStr">
        <is>
          <t>-</t>
        </is>
      </c>
      <c r="G2060" s="7" t="n">
        <v>176.2740020751953</v>
      </c>
      <c r="H2060" s="6">
        <f>P2029</f>
        <v/>
      </c>
      <c r="I2060" s="9">
        <f>Q2029</f>
        <v/>
      </c>
      <c r="J2060" s="7">
        <f>I2060*G2060</f>
        <v/>
      </c>
      <c r="K2060" s="8">
        <f>IF($J$2078=0,0,J2060/$J$2078)</f>
        <v/>
      </c>
      <c r="L2060" s="6" t="inlineStr">
        <is>
          <t>REJECTED</t>
        </is>
      </c>
      <c r="M2060" s="8" t="n">
        <v>0</v>
      </c>
      <c r="N2060" s="7">
        <f>M2060*$J$2078-J2060</f>
        <v/>
      </c>
      <c r="O2060" s="9">
        <f>IF(G2060=0,0,N2060/G2060)</f>
        <v/>
      </c>
      <c r="P2060" s="6">
        <f>IF(M2060&gt;0,D2060,"")</f>
        <v/>
      </c>
      <c r="Q2060" s="9">
        <f>I2060+O2060</f>
        <v/>
      </c>
      <c r="R2060" s="7">
        <f>Q2060*G2060</f>
        <v/>
      </c>
      <c r="S2060" s="8">
        <f>IF($R$2078=0,0,R2060/$R$2078)</f>
        <v/>
      </c>
      <c r="T2060" s="8" t="n">
        <v>-0.02107418821911522</v>
      </c>
      <c r="U2060" s="8" t="n">
        <v>-0.0231191400649623</v>
      </c>
      <c r="V2060" s="6" t="inlineStr">
        <is>
          <t>not selected</t>
        </is>
      </c>
    </row>
    <row r="2061">
      <c r="A2061" s="6" t="inlineStr">
        <is>
          <t>DJ30</t>
        </is>
      </c>
      <c r="B2061" s="6" t="inlineStr">
        <is>
          <t>2024-04-12</t>
        </is>
      </c>
      <c r="C2061" s="6" t="inlineStr">
        <is>
          <t>DIA</t>
        </is>
      </c>
      <c r="D2061" s="6" t="inlineStr">
        <is>
          <t>IBM</t>
        </is>
      </c>
      <c r="E2061" s="6" t="inlineStr">
        <is>
          <t>IBM</t>
        </is>
      </c>
      <c r="F2061" s="6" t="inlineStr">
        <is>
          <t>-</t>
        </is>
      </c>
      <c r="G2061" s="7" t="n">
        <v>170.805419921875</v>
      </c>
      <c r="H2061" s="6">
        <f>P2030</f>
        <v/>
      </c>
      <c r="I2061" s="9">
        <f>Q2030</f>
        <v/>
      </c>
      <c r="J2061" s="7">
        <f>I2061*G2061</f>
        <v/>
      </c>
      <c r="K2061" s="8">
        <f>IF($J$2078=0,0,J2061/$J$2078)</f>
        <v/>
      </c>
      <c r="L2061" s="6" t="inlineStr">
        <is>
          <t>SELECTED</t>
        </is>
      </c>
      <c r="M2061" s="8" t="n">
        <v>0.2</v>
      </c>
      <c r="N2061" s="7">
        <f>M2061*$J$2078-J2061</f>
        <v/>
      </c>
      <c r="O2061" s="9">
        <f>IF(G2061=0,0,N2061/G2061)</f>
        <v/>
      </c>
      <c r="P2061" s="6">
        <f>IF(M2061&gt;0,D2061,"")</f>
        <v/>
      </c>
      <c r="Q2061" s="9">
        <f>I2061+O2061</f>
        <v/>
      </c>
      <c r="R2061" s="7">
        <f>Q2061*G2061</f>
        <v/>
      </c>
      <c r="S2061" s="8">
        <f>IF($R$2078=0,0,R2061/$R$2078)</f>
        <v/>
      </c>
      <c r="T2061" s="8" t="n">
        <v>-0.02107418821911522</v>
      </c>
      <c r="U2061" s="8" t="n">
        <v>-0.0231191400649623</v>
      </c>
      <c r="V2061" s="6" t="inlineStr">
        <is>
          <t>remained in weekly selection</t>
        </is>
      </c>
    </row>
    <row r="2062">
      <c r="A2062" s="6" t="inlineStr">
        <is>
          <t>DJ30</t>
        </is>
      </c>
      <c r="B2062" s="6" t="inlineStr">
        <is>
          <t>2024-04-12</t>
        </is>
      </c>
      <c r="C2062" s="6" t="inlineStr">
        <is>
          <t>DIA</t>
        </is>
      </c>
      <c r="D2062" s="6" t="inlineStr">
        <is>
          <t>JNJ</t>
        </is>
      </c>
      <c r="E2062" s="6" t="inlineStr">
        <is>
          <t>JNJ</t>
        </is>
      </c>
      <c r="F2062" s="6" t="inlineStr">
        <is>
          <t>-</t>
        </is>
      </c>
      <c r="G2062" s="7" t="n">
        <v>138.2649078369141</v>
      </c>
      <c r="H2062" s="6">
        <f>P2031</f>
        <v/>
      </c>
      <c r="I2062" s="9">
        <f>Q2031</f>
        <v/>
      </c>
      <c r="J2062" s="7">
        <f>I2062*G2062</f>
        <v/>
      </c>
      <c r="K2062" s="8">
        <f>IF($J$2078=0,0,J2062/$J$2078)</f>
        <v/>
      </c>
      <c r="L2062" s="6" t="inlineStr">
        <is>
          <t>REJECTED</t>
        </is>
      </c>
      <c r="M2062" s="8" t="n">
        <v>0</v>
      </c>
      <c r="N2062" s="7">
        <f>M2062*$J$2078-J2062</f>
        <v/>
      </c>
      <c r="O2062" s="9">
        <f>IF(G2062=0,0,N2062/G2062)</f>
        <v/>
      </c>
      <c r="P2062" s="6">
        <f>IF(M2062&gt;0,D2062,"")</f>
        <v/>
      </c>
      <c r="Q2062" s="9">
        <f>I2062+O2062</f>
        <v/>
      </c>
      <c r="R2062" s="7">
        <f>Q2062*G2062</f>
        <v/>
      </c>
      <c r="S2062" s="8">
        <f>IF($R$2078=0,0,R2062/$R$2078)</f>
        <v/>
      </c>
      <c r="T2062" s="8" t="n">
        <v>-0.02107418821911522</v>
      </c>
      <c r="U2062" s="8" t="n">
        <v>-0.0231191400649623</v>
      </c>
      <c r="V2062" s="6" t="inlineStr">
        <is>
          <t>not selected</t>
        </is>
      </c>
    </row>
    <row r="2063">
      <c r="A2063" s="6" t="inlineStr">
        <is>
          <t>DJ30</t>
        </is>
      </c>
      <c r="B2063" s="6" t="inlineStr">
        <is>
          <t>2024-04-12</t>
        </is>
      </c>
      <c r="C2063" s="6" t="inlineStr">
        <is>
          <t>DIA</t>
        </is>
      </c>
      <c r="D2063" s="6" t="inlineStr">
        <is>
          <t>JPM</t>
        </is>
      </c>
      <c r="E2063" s="6" t="inlineStr">
        <is>
          <t>JPM</t>
        </is>
      </c>
      <c r="F2063" s="6" t="inlineStr">
        <is>
          <t>-</t>
        </is>
      </c>
      <c r="G2063" s="7" t="n">
        <v>175.2387847900391</v>
      </c>
      <c r="H2063" s="6">
        <f>P2032</f>
        <v/>
      </c>
      <c r="I2063" s="9">
        <f>Q2032</f>
        <v/>
      </c>
      <c r="J2063" s="7">
        <f>I2063*G2063</f>
        <v/>
      </c>
      <c r="K2063" s="8">
        <f>IF($J$2078=0,0,J2063/$J$2078)</f>
        <v/>
      </c>
      <c r="L2063" s="6" t="inlineStr">
        <is>
          <t>WATCHLIST</t>
        </is>
      </c>
      <c r="M2063" s="8" t="n">
        <v>0</v>
      </c>
      <c r="N2063" s="7">
        <f>M2063*$J$2078-J2063</f>
        <v/>
      </c>
      <c r="O2063" s="9">
        <f>IF(G2063=0,0,N2063/G2063)</f>
        <v/>
      </c>
      <c r="P2063" s="6">
        <f>IF(M2063&gt;0,D2063,"")</f>
        <v/>
      </c>
      <c r="Q2063" s="9">
        <f>I2063+O2063</f>
        <v/>
      </c>
      <c r="R2063" s="7">
        <f>Q2063*G2063</f>
        <v/>
      </c>
      <c r="S2063" s="8">
        <f>IF($R$2078=0,0,R2063/$R$2078)</f>
        <v/>
      </c>
      <c r="T2063" s="8" t="n">
        <v>-0.02107418821911522</v>
      </c>
      <c r="U2063" s="8" t="n">
        <v>-0.0231191400649623</v>
      </c>
      <c r="V2063" s="6" t="inlineStr">
        <is>
          <t>not selected</t>
        </is>
      </c>
    </row>
    <row r="2064">
      <c r="A2064" s="6" t="inlineStr">
        <is>
          <t>DJ30</t>
        </is>
      </c>
      <c r="B2064" s="6" t="inlineStr">
        <is>
          <t>2024-04-12</t>
        </is>
      </c>
      <c r="C2064" s="6" t="inlineStr">
        <is>
          <t>DIA</t>
        </is>
      </c>
      <c r="D2064" s="6" t="inlineStr">
        <is>
          <t>KO</t>
        </is>
      </c>
      <c r="E2064" s="6" t="inlineStr">
        <is>
          <t>KO</t>
        </is>
      </c>
      <c r="F2064" s="6" t="inlineStr">
        <is>
          <t>-</t>
        </is>
      </c>
      <c r="G2064" s="7" t="n">
        <v>54.64057922363281</v>
      </c>
      <c r="H2064" s="6">
        <f>P2033</f>
        <v/>
      </c>
      <c r="I2064" s="9">
        <f>Q2033</f>
        <v/>
      </c>
      <c r="J2064" s="7">
        <f>I2064*G2064</f>
        <v/>
      </c>
      <c r="K2064" s="8">
        <f>IF($J$2078=0,0,J2064/$J$2078)</f>
        <v/>
      </c>
      <c r="L2064" s="6" t="inlineStr">
        <is>
          <t>REJECTED</t>
        </is>
      </c>
      <c r="M2064" s="8" t="n">
        <v>0</v>
      </c>
      <c r="N2064" s="7">
        <f>M2064*$J$2078-J2064</f>
        <v/>
      </c>
      <c r="O2064" s="9">
        <f>IF(G2064=0,0,N2064/G2064)</f>
        <v/>
      </c>
      <c r="P2064" s="6">
        <f>IF(M2064&gt;0,D2064,"")</f>
        <v/>
      </c>
      <c r="Q2064" s="9">
        <f>I2064+O2064</f>
        <v/>
      </c>
      <c r="R2064" s="7">
        <f>Q2064*G2064</f>
        <v/>
      </c>
      <c r="S2064" s="8">
        <f>IF($R$2078=0,0,R2064/$R$2078)</f>
        <v/>
      </c>
      <c r="T2064" s="8" t="n">
        <v>-0.02107418821911522</v>
      </c>
      <c r="U2064" s="8" t="n">
        <v>-0.0231191400649623</v>
      </c>
      <c r="V2064" s="6" t="inlineStr">
        <is>
          <t>not selected</t>
        </is>
      </c>
    </row>
    <row r="2065">
      <c r="A2065" s="6" t="inlineStr">
        <is>
          <t>DJ30</t>
        </is>
      </c>
      <c r="B2065" s="6" t="inlineStr">
        <is>
          <t>2024-04-12</t>
        </is>
      </c>
      <c r="C2065" s="6" t="inlineStr">
        <is>
          <t>DIA</t>
        </is>
      </c>
      <c r="D2065" s="6" t="inlineStr">
        <is>
          <t>MCD</t>
        </is>
      </c>
      <c r="E2065" s="6" t="inlineStr">
        <is>
          <t>MCD</t>
        </is>
      </c>
      <c r="F2065" s="6" t="inlineStr">
        <is>
          <t>-</t>
        </is>
      </c>
      <c r="G2065" s="7" t="n">
        <v>253.4205780029297</v>
      </c>
      <c r="H2065" s="6">
        <f>P2034</f>
        <v/>
      </c>
      <c r="I2065" s="9">
        <f>Q2034</f>
        <v/>
      </c>
      <c r="J2065" s="7">
        <f>I2065*G2065</f>
        <v/>
      </c>
      <c r="K2065" s="8">
        <f>IF($J$2078=0,0,J2065/$J$2078)</f>
        <v/>
      </c>
      <c r="L2065" s="6" t="inlineStr">
        <is>
          <t>REJECTED</t>
        </is>
      </c>
      <c r="M2065" s="8" t="n">
        <v>0</v>
      </c>
      <c r="N2065" s="7">
        <f>M2065*$J$2078-J2065</f>
        <v/>
      </c>
      <c r="O2065" s="9">
        <f>IF(G2065=0,0,N2065/G2065)</f>
        <v/>
      </c>
      <c r="P2065" s="6">
        <f>IF(M2065&gt;0,D2065,"")</f>
        <v/>
      </c>
      <c r="Q2065" s="9">
        <f>I2065+O2065</f>
        <v/>
      </c>
      <c r="R2065" s="7">
        <f>Q2065*G2065</f>
        <v/>
      </c>
      <c r="S2065" s="8">
        <f>IF($R$2078=0,0,R2065/$R$2078)</f>
        <v/>
      </c>
      <c r="T2065" s="8" t="n">
        <v>-0.02107418821911522</v>
      </c>
      <c r="U2065" s="8" t="n">
        <v>-0.0231191400649623</v>
      </c>
      <c r="V2065" s="6" t="inlineStr">
        <is>
          <t>not selected</t>
        </is>
      </c>
    </row>
    <row r="2066">
      <c r="A2066" s="6" t="inlineStr">
        <is>
          <t>DJ30</t>
        </is>
      </c>
      <c r="B2066" s="6" t="inlineStr">
        <is>
          <t>2024-04-12</t>
        </is>
      </c>
      <c r="C2066" s="6" t="inlineStr">
        <is>
          <t>DIA</t>
        </is>
      </c>
      <c r="D2066" s="6" t="inlineStr">
        <is>
          <t>MMM</t>
        </is>
      </c>
      <c r="E2066" s="6" t="inlineStr">
        <is>
          <t>MMM</t>
        </is>
      </c>
      <c r="F2066" s="6" t="inlineStr">
        <is>
          <t>-</t>
        </is>
      </c>
      <c r="G2066" s="7" t="n">
        <v>87.20999908447266</v>
      </c>
      <c r="H2066" s="6">
        <f>P2035</f>
        <v/>
      </c>
      <c r="I2066" s="9">
        <f>Q2035</f>
        <v/>
      </c>
      <c r="J2066" s="7">
        <f>I2066*G2066</f>
        <v/>
      </c>
      <c r="K2066" s="8">
        <f>IF($J$2078=0,0,J2066/$J$2078)</f>
        <v/>
      </c>
      <c r="L2066" s="6" t="inlineStr">
        <is>
          <t>REJECTED</t>
        </is>
      </c>
      <c r="M2066" s="8" t="n">
        <v>0</v>
      </c>
      <c r="N2066" s="7">
        <f>M2066*$J$2078-J2066</f>
        <v/>
      </c>
      <c r="O2066" s="9">
        <f>IF(G2066=0,0,N2066/G2066)</f>
        <v/>
      </c>
      <c r="P2066" s="6">
        <f>IF(M2066&gt;0,D2066,"")</f>
        <v/>
      </c>
      <c r="Q2066" s="9">
        <f>I2066+O2066</f>
        <v/>
      </c>
      <c r="R2066" s="7">
        <f>Q2066*G2066</f>
        <v/>
      </c>
      <c r="S2066" s="8">
        <f>IF($R$2078=0,0,R2066/$R$2078)</f>
        <v/>
      </c>
      <c r="T2066" s="8" t="n">
        <v>-0.02107418821911522</v>
      </c>
      <c r="U2066" s="8" t="n">
        <v>-0.0231191400649623</v>
      </c>
      <c r="V2066" s="6" t="inlineStr">
        <is>
          <t>not selected</t>
        </is>
      </c>
    </row>
    <row r="2067">
      <c r="A2067" s="6" t="inlineStr">
        <is>
          <t>DJ30</t>
        </is>
      </c>
      <c r="B2067" s="6" t="inlineStr">
        <is>
          <t>2024-04-12</t>
        </is>
      </c>
      <c r="C2067" s="6" t="inlineStr">
        <is>
          <t>DIA</t>
        </is>
      </c>
      <c r="D2067" s="6" t="inlineStr">
        <is>
          <t>MRK</t>
        </is>
      </c>
      <c r="E2067" s="6" t="inlineStr">
        <is>
          <t>MRK</t>
        </is>
      </c>
      <c r="F2067" s="6" t="inlineStr">
        <is>
          <t>-</t>
        </is>
      </c>
      <c r="G2067" s="7" t="n">
        <v>116.9984741210938</v>
      </c>
      <c r="H2067" s="6">
        <f>P2036</f>
        <v/>
      </c>
      <c r="I2067" s="9">
        <f>Q2036</f>
        <v/>
      </c>
      <c r="J2067" s="7">
        <f>I2067*G2067</f>
        <v/>
      </c>
      <c r="K2067" s="8">
        <f>IF($J$2078=0,0,J2067/$J$2078)</f>
        <v/>
      </c>
      <c r="L2067" s="6" t="inlineStr">
        <is>
          <t>REJECTED</t>
        </is>
      </c>
      <c r="M2067" s="8" t="n">
        <v>0</v>
      </c>
      <c r="N2067" s="7">
        <f>M2067*$J$2078-J2067</f>
        <v/>
      </c>
      <c r="O2067" s="9">
        <f>IF(G2067=0,0,N2067/G2067)</f>
        <v/>
      </c>
      <c r="P2067" s="6">
        <f>IF(M2067&gt;0,D2067,"")</f>
        <v/>
      </c>
      <c r="Q2067" s="9">
        <f>I2067+O2067</f>
        <v/>
      </c>
      <c r="R2067" s="7">
        <f>Q2067*G2067</f>
        <v/>
      </c>
      <c r="S2067" s="8">
        <f>IF($R$2078=0,0,R2067/$R$2078)</f>
        <v/>
      </c>
      <c r="T2067" s="8" t="n">
        <v>-0.02107418821911522</v>
      </c>
      <c r="U2067" s="8" t="n">
        <v>-0.0231191400649623</v>
      </c>
      <c r="V2067" s="6" t="inlineStr">
        <is>
          <t>not selected</t>
        </is>
      </c>
    </row>
    <row r="2068">
      <c r="A2068" s="6" t="inlineStr">
        <is>
          <t>DJ30</t>
        </is>
      </c>
      <c r="B2068" s="6" t="inlineStr">
        <is>
          <t>2024-04-12</t>
        </is>
      </c>
      <c r="C2068" s="6" t="inlineStr">
        <is>
          <t>DIA</t>
        </is>
      </c>
      <c r="D2068" s="6" t="inlineStr">
        <is>
          <t>MSFT</t>
        </is>
      </c>
      <c r="E2068" s="6" t="inlineStr">
        <is>
          <t>MSFT</t>
        </is>
      </c>
      <c r="F2068" s="6" t="inlineStr">
        <is>
          <t>-</t>
        </is>
      </c>
      <c r="G2068" s="7" t="n">
        <v>414.624267578125</v>
      </c>
      <c r="H2068" s="6">
        <f>P2037</f>
        <v/>
      </c>
      <c r="I2068" s="9">
        <f>Q2037</f>
        <v/>
      </c>
      <c r="J2068" s="7">
        <f>I2068*G2068</f>
        <v/>
      </c>
      <c r="K2068" s="8">
        <f>IF($J$2078=0,0,J2068/$J$2078)</f>
        <v/>
      </c>
      <c r="L2068" s="6" t="inlineStr">
        <is>
          <t>WATCHLIST</t>
        </is>
      </c>
      <c r="M2068" s="8" t="n">
        <v>0</v>
      </c>
      <c r="N2068" s="7">
        <f>M2068*$J$2078-J2068</f>
        <v/>
      </c>
      <c r="O2068" s="9">
        <f>IF(G2068=0,0,N2068/G2068)</f>
        <v/>
      </c>
      <c r="P2068" s="6">
        <f>IF(M2068&gt;0,D2068,"")</f>
        <v/>
      </c>
      <c r="Q2068" s="9">
        <f>I2068+O2068</f>
        <v/>
      </c>
      <c r="R2068" s="7">
        <f>Q2068*G2068</f>
        <v/>
      </c>
      <c r="S2068" s="8">
        <f>IF($R$2078=0,0,R2068/$R$2078)</f>
        <v/>
      </c>
      <c r="T2068" s="8" t="n">
        <v>-0.02107418821911522</v>
      </c>
      <c r="U2068" s="8" t="n">
        <v>-0.0231191400649623</v>
      </c>
      <c r="V2068" s="6" t="inlineStr">
        <is>
          <t>not selected</t>
        </is>
      </c>
    </row>
    <row r="2069">
      <c r="A2069" s="6" t="inlineStr">
        <is>
          <t>DJ30</t>
        </is>
      </c>
      <c r="B2069" s="6" t="inlineStr">
        <is>
          <t>2024-04-12</t>
        </is>
      </c>
      <c r="C2069" s="6" t="inlineStr">
        <is>
          <t>DIA</t>
        </is>
      </c>
      <c r="D2069" s="6" t="inlineStr">
        <is>
          <t>NKE</t>
        </is>
      </c>
      <c r="E2069" s="6" t="inlineStr">
        <is>
          <t>NKE</t>
        </is>
      </c>
      <c r="F2069" s="6" t="inlineStr">
        <is>
          <t>-</t>
        </is>
      </c>
      <c r="G2069" s="7" t="n">
        <v>87.32206726074219</v>
      </c>
      <c r="H2069" s="6">
        <f>P2038</f>
        <v/>
      </c>
      <c r="I2069" s="9">
        <f>Q2038</f>
        <v/>
      </c>
      <c r="J2069" s="7">
        <f>I2069*G2069</f>
        <v/>
      </c>
      <c r="K2069" s="8">
        <f>IF($J$2078=0,0,J2069/$J$2078)</f>
        <v/>
      </c>
      <c r="L2069" s="6" t="inlineStr">
        <is>
          <t>REJECTED</t>
        </is>
      </c>
      <c r="M2069" s="8" t="n">
        <v>0</v>
      </c>
      <c r="N2069" s="7">
        <f>M2069*$J$2078-J2069</f>
        <v/>
      </c>
      <c r="O2069" s="9">
        <f>IF(G2069=0,0,N2069/G2069)</f>
        <v/>
      </c>
      <c r="P2069" s="6">
        <f>IF(M2069&gt;0,D2069,"")</f>
        <v/>
      </c>
      <c r="Q2069" s="9">
        <f>I2069+O2069</f>
        <v/>
      </c>
      <c r="R2069" s="7">
        <f>Q2069*G2069</f>
        <v/>
      </c>
      <c r="S2069" s="8">
        <f>IF($R$2078=0,0,R2069/$R$2078)</f>
        <v/>
      </c>
      <c r="T2069" s="8" t="n">
        <v>-0.02107418821911522</v>
      </c>
      <c r="U2069" s="8" t="n">
        <v>-0.0231191400649623</v>
      </c>
      <c r="V2069" s="6" t="inlineStr">
        <is>
          <t>not selected</t>
        </is>
      </c>
    </row>
    <row r="2070">
      <c r="A2070" s="6" t="inlineStr">
        <is>
          <t>DJ30</t>
        </is>
      </c>
      <c r="B2070" s="6" t="inlineStr">
        <is>
          <t>2024-04-12</t>
        </is>
      </c>
      <c r="C2070" s="6" t="inlineStr">
        <is>
          <t>DIA</t>
        </is>
      </c>
      <c r="D2070" s="6" t="inlineStr">
        <is>
          <t>NVDA</t>
        </is>
      </c>
      <c r="E2070" s="6" t="inlineStr">
        <is>
          <t>NVDA</t>
        </is>
      </c>
      <c r="F2070" s="6" t="inlineStr">
        <is>
          <t>-</t>
        </is>
      </c>
      <c r="G2070" s="7" t="n">
        <v>88.03365325927734</v>
      </c>
      <c r="H2070" s="6">
        <f>P2039</f>
        <v/>
      </c>
      <c r="I2070" s="9">
        <f>Q2039</f>
        <v/>
      </c>
      <c r="J2070" s="7">
        <f>I2070*G2070</f>
        <v/>
      </c>
      <c r="K2070" s="8">
        <f>IF($J$2078=0,0,J2070/$J$2078)</f>
        <v/>
      </c>
      <c r="L2070" s="6" t="inlineStr">
        <is>
          <t>SELECTED</t>
        </is>
      </c>
      <c r="M2070" s="8" t="n">
        <v>0.2</v>
      </c>
      <c r="N2070" s="7">
        <f>M2070*$J$2078-J2070</f>
        <v/>
      </c>
      <c r="O2070" s="9">
        <f>IF(G2070=0,0,N2070/G2070)</f>
        <v/>
      </c>
      <c r="P2070" s="6">
        <f>IF(M2070&gt;0,D2070,"")</f>
        <v/>
      </c>
      <c r="Q2070" s="9">
        <f>I2070+O2070</f>
        <v/>
      </c>
      <c r="R2070" s="7">
        <f>Q2070*G2070</f>
        <v/>
      </c>
      <c r="S2070" s="8">
        <f>IF($R$2078=0,0,R2070/$R$2078)</f>
        <v/>
      </c>
      <c r="T2070" s="8" t="n">
        <v>-0.02107418821911522</v>
      </c>
      <c r="U2070" s="8" t="n">
        <v>-0.0231191400649623</v>
      </c>
      <c r="V2070" s="6" t="inlineStr">
        <is>
          <t>remained in weekly selection</t>
        </is>
      </c>
    </row>
    <row r="2071">
      <c r="A2071" s="6" t="inlineStr">
        <is>
          <t>DJ30</t>
        </is>
      </c>
      <c r="B2071" s="6" t="inlineStr">
        <is>
          <t>2024-04-12</t>
        </is>
      </c>
      <c r="C2071" s="6" t="inlineStr">
        <is>
          <t>DIA</t>
        </is>
      </c>
      <c r="D2071" s="6" t="inlineStr">
        <is>
          <t>PG</t>
        </is>
      </c>
      <c r="E2071" s="6" t="inlineStr">
        <is>
          <t>PG</t>
        </is>
      </c>
      <c r="F2071" s="6" t="inlineStr">
        <is>
          <t>-</t>
        </is>
      </c>
      <c r="G2071" s="7" t="n">
        <v>146.4381408691406</v>
      </c>
      <c r="H2071" s="6">
        <f>P2040</f>
        <v/>
      </c>
      <c r="I2071" s="9">
        <f>Q2040</f>
        <v/>
      </c>
      <c r="J2071" s="7">
        <f>I2071*G2071</f>
        <v/>
      </c>
      <c r="K2071" s="8">
        <f>IF($J$2078=0,0,J2071/$J$2078)</f>
        <v/>
      </c>
      <c r="L2071" s="6" t="inlineStr">
        <is>
          <t>REJECTED</t>
        </is>
      </c>
      <c r="M2071" s="8" t="n">
        <v>0</v>
      </c>
      <c r="N2071" s="7">
        <f>M2071*$J$2078-J2071</f>
        <v/>
      </c>
      <c r="O2071" s="9">
        <f>IF(G2071=0,0,N2071/G2071)</f>
        <v/>
      </c>
      <c r="P2071" s="6">
        <f>IF(M2071&gt;0,D2071,"")</f>
        <v/>
      </c>
      <c r="Q2071" s="9">
        <f>I2071+O2071</f>
        <v/>
      </c>
      <c r="R2071" s="7">
        <f>Q2071*G2071</f>
        <v/>
      </c>
      <c r="S2071" s="8">
        <f>IF($R$2078=0,0,R2071/$R$2078)</f>
        <v/>
      </c>
      <c r="T2071" s="8" t="n">
        <v>-0.02107418821911522</v>
      </c>
      <c r="U2071" s="8" t="n">
        <v>-0.0231191400649623</v>
      </c>
      <c r="V2071" s="6" t="inlineStr">
        <is>
          <t>not selected</t>
        </is>
      </c>
    </row>
    <row r="2072">
      <c r="A2072" s="6" t="inlineStr">
        <is>
          <t>DJ30</t>
        </is>
      </c>
      <c r="B2072" s="6" t="inlineStr">
        <is>
          <t>2024-04-12</t>
        </is>
      </c>
      <c r="C2072" s="6" t="inlineStr">
        <is>
          <t>DIA</t>
        </is>
      </c>
      <c r="D2072" s="6" t="inlineStr">
        <is>
          <t>SHW</t>
        </is>
      </c>
      <c r="E2072" s="6" t="inlineStr">
        <is>
          <t>SHW</t>
        </is>
      </c>
      <c r="F2072" s="6" t="inlineStr">
        <is>
          <t>-</t>
        </is>
      </c>
      <c r="G2072" s="7" t="n">
        <v>312.0170288085937</v>
      </c>
      <c r="H2072" s="6">
        <f>P2041</f>
        <v/>
      </c>
      <c r="I2072" s="9">
        <f>Q2041</f>
        <v/>
      </c>
      <c r="J2072" s="7">
        <f>I2072*G2072</f>
        <v/>
      </c>
      <c r="K2072" s="8">
        <f>IF($J$2078=0,0,J2072/$J$2078)</f>
        <v/>
      </c>
      <c r="L2072" s="6" t="inlineStr">
        <is>
          <t>WATCHLIST</t>
        </is>
      </c>
      <c r="M2072" s="8" t="n">
        <v>0</v>
      </c>
      <c r="N2072" s="7">
        <f>M2072*$J$2078-J2072</f>
        <v/>
      </c>
      <c r="O2072" s="9">
        <f>IF(G2072=0,0,N2072/G2072)</f>
        <v/>
      </c>
      <c r="P2072" s="6">
        <f>IF(M2072&gt;0,D2072,"")</f>
        <v/>
      </c>
      <c r="Q2072" s="9">
        <f>I2072+O2072</f>
        <v/>
      </c>
      <c r="R2072" s="7">
        <f>Q2072*G2072</f>
        <v/>
      </c>
      <c r="S2072" s="8">
        <f>IF($R$2078=0,0,R2072/$R$2078)</f>
        <v/>
      </c>
      <c r="T2072" s="8" t="n">
        <v>-0.02107418821911522</v>
      </c>
      <c r="U2072" s="8" t="n">
        <v>-0.0231191400649623</v>
      </c>
      <c r="V2072" s="6" t="inlineStr">
        <is>
          <t>not selected</t>
        </is>
      </c>
    </row>
    <row r="2073">
      <c r="A2073" s="6" t="inlineStr">
        <is>
          <t>DJ30</t>
        </is>
      </c>
      <c r="B2073" s="6" t="inlineStr">
        <is>
          <t>2024-04-12</t>
        </is>
      </c>
      <c r="C2073" s="6" t="inlineStr">
        <is>
          <t>DIA</t>
        </is>
      </c>
      <c r="D2073" s="6" t="inlineStr">
        <is>
          <t>TRV</t>
        </is>
      </c>
      <c r="E2073" s="6" t="inlineStr">
        <is>
          <t>TRV</t>
        </is>
      </c>
      <c r="F2073" s="6" t="inlineStr">
        <is>
          <t>-</t>
        </is>
      </c>
      <c r="G2073" s="7" t="n">
        <v>212.9692230224609</v>
      </c>
      <c r="H2073" s="6">
        <f>P2042</f>
        <v/>
      </c>
      <c r="I2073" s="9">
        <f>Q2042</f>
        <v/>
      </c>
      <c r="J2073" s="7">
        <f>I2073*G2073</f>
        <v/>
      </c>
      <c r="K2073" s="8">
        <f>IF($J$2078=0,0,J2073/$J$2078)</f>
        <v/>
      </c>
      <c r="L2073" s="6" t="inlineStr">
        <is>
          <t>WATCHLIST</t>
        </is>
      </c>
      <c r="M2073" s="8" t="n">
        <v>0</v>
      </c>
      <c r="N2073" s="7">
        <f>M2073*$J$2078-J2073</f>
        <v/>
      </c>
      <c r="O2073" s="9">
        <f>IF(G2073=0,0,N2073/G2073)</f>
        <v/>
      </c>
      <c r="P2073" s="6">
        <f>IF(M2073&gt;0,D2073,"")</f>
        <v/>
      </c>
      <c r="Q2073" s="9">
        <f>I2073+O2073</f>
        <v/>
      </c>
      <c r="R2073" s="7">
        <f>Q2073*G2073</f>
        <v/>
      </c>
      <c r="S2073" s="8">
        <f>IF($R$2078=0,0,R2073/$R$2078)</f>
        <v/>
      </c>
      <c r="T2073" s="8" t="n">
        <v>-0.02107418821911522</v>
      </c>
      <c r="U2073" s="8" t="n">
        <v>-0.0231191400649623</v>
      </c>
      <c r="V2073" s="6" t="inlineStr">
        <is>
          <t>not selected</t>
        </is>
      </c>
    </row>
    <row r="2074">
      <c r="A2074" s="6" t="inlineStr">
        <is>
          <t>DJ30</t>
        </is>
      </c>
      <c r="B2074" s="6" t="inlineStr">
        <is>
          <t>2024-04-12</t>
        </is>
      </c>
      <c r="C2074" s="6" t="inlineStr">
        <is>
          <t>DIA</t>
        </is>
      </c>
      <c r="D2074" s="6" t="inlineStr">
        <is>
          <t>UNH</t>
        </is>
      </c>
      <c r="E2074" s="6" t="inlineStr">
        <is>
          <t>UNH</t>
        </is>
      </c>
      <c r="F2074" s="6" t="inlineStr">
        <is>
          <t>-</t>
        </is>
      </c>
      <c r="G2074" s="7" t="n">
        <v>418.043701171875</v>
      </c>
      <c r="H2074" s="6">
        <f>P2043</f>
        <v/>
      </c>
      <c r="I2074" s="9">
        <f>Q2043</f>
        <v/>
      </c>
      <c r="J2074" s="7">
        <f>I2074*G2074</f>
        <v/>
      </c>
      <c r="K2074" s="8">
        <f>IF($J$2078=0,0,J2074/$J$2078)</f>
        <v/>
      </c>
      <c r="L2074" s="6" t="inlineStr">
        <is>
          <t>REJECTED</t>
        </is>
      </c>
      <c r="M2074" s="8" t="n">
        <v>0</v>
      </c>
      <c r="N2074" s="7">
        <f>M2074*$J$2078-J2074</f>
        <v/>
      </c>
      <c r="O2074" s="9">
        <f>IF(G2074=0,0,N2074/G2074)</f>
        <v/>
      </c>
      <c r="P2074" s="6">
        <f>IF(M2074&gt;0,D2074,"")</f>
        <v/>
      </c>
      <c r="Q2074" s="9">
        <f>I2074+O2074</f>
        <v/>
      </c>
      <c r="R2074" s="7">
        <f>Q2074*G2074</f>
        <v/>
      </c>
      <c r="S2074" s="8">
        <f>IF($R$2078=0,0,R2074/$R$2078)</f>
        <v/>
      </c>
      <c r="T2074" s="8" t="n">
        <v>-0.02107418821911522</v>
      </c>
      <c r="U2074" s="8" t="n">
        <v>-0.0231191400649623</v>
      </c>
      <c r="V2074" s="6" t="inlineStr">
        <is>
          <t>not selected</t>
        </is>
      </c>
    </row>
    <row r="2075">
      <c r="A2075" s="6" t="inlineStr">
        <is>
          <t>DJ30</t>
        </is>
      </c>
      <c r="B2075" s="6" t="inlineStr">
        <is>
          <t>2024-04-12</t>
        </is>
      </c>
      <c r="C2075" s="6" t="inlineStr">
        <is>
          <t>DIA</t>
        </is>
      </c>
      <c r="D2075" s="6" t="inlineStr">
        <is>
          <t>V</t>
        </is>
      </c>
      <c r="E2075" s="6" t="inlineStr">
        <is>
          <t>V</t>
        </is>
      </c>
      <c r="F2075" s="6" t="inlineStr">
        <is>
          <t>-</t>
        </is>
      </c>
      <c r="G2075" s="7" t="n">
        <v>271.3191833496094</v>
      </c>
      <c r="H2075" s="6">
        <f>P2044</f>
        <v/>
      </c>
      <c r="I2075" s="9">
        <f>Q2044</f>
        <v/>
      </c>
      <c r="J2075" s="7">
        <f>I2075*G2075</f>
        <v/>
      </c>
      <c r="K2075" s="8">
        <f>IF($J$2078=0,0,J2075/$J$2078)</f>
        <v/>
      </c>
      <c r="L2075" s="6" t="inlineStr">
        <is>
          <t>WATCHLIST</t>
        </is>
      </c>
      <c r="M2075" s="8" t="n">
        <v>0</v>
      </c>
      <c r="N2075" s="7">
        <f>M2075*$J$2078-J2075</f>
        <v/>
      </c>
      <c r="O2075" s="9">
        <f>IF(G2075=0,0,N2075/G2075)</f>
        <v/>
      </c>
      <c r="P2075" s="6">
        <f>IF(M2075&gt;0,D2075,"")</f>
        <v/>
      </c>
      <c r="Q2075" s="9">
        <f>I2075+O2075</f>
        <v/>
      </c>
      <c r="R2075" s="7">
        <f>Q2075*G2075</f>
        <v/>
      </c>
      <c r="S2075" s="8">
        <f>IF($R$2078=0,0,R2075/$R$2078)</f>
        <v/>
      </c>
      <c r="T2075" s="8" t="n">
        <v>-0.02107418821911522</v>
      </c>
      <c r="U2075" s="8" t="n">
        <v>-0.0231191400649623</v>
      </c>
      <c r="V2075" s="6" t="inlineStr">
        <is>
          <t>not selected</t>
        </is>
      </c>
    </row>
    <row r="2076">
      <c r="A2076" s="6" t="inlineStr">
        <is>
          <t>DJ30</t>
        </is>
      </c>
      <c r="B2076" s="6" t="inlineStr">
        <is>
          <t>2024-04-12</t>
        </is>
      </c>
      <c r="C2076" s="6" t="inlineStr">
        <is>
          <t>DIA</t>
        </is>
      </c>
      <c r="D2076" s="6" t="inlineStr">
        <is>
          <t>VZ</t>
        </is>
      </c>
      <c r="E2076" s="6" t="inlineStr">
        <is>
          <t>VZ</t>
        </is>
      </c>
      <c r="F2076" s="6" t="inlineStr">
        <is>
          <t>-</t>
        </is>
      </c>
      <c r="G2076" s="7" t="n">
        <v>34.86278915405273</v>
      </c>
      <c r="H2076" s="6">
        <f>P2045</f>
        <v/>
      </c>
      <c r="I2076" s="9">
        <f>Q2045</f>
        <v/>
      </c>
      <c r="J2076" s="7">
        <f>I2076*G2076</f>
        <v/>
      </c>
      <c r="K2076" s="8">
        <f>IF($J$2078=0,0,J2076/$J$2078)</f>
        <v/>
      </c>
      <c r="L2076" s="6" t="inlineStr">
        <is>
          <t>WATCHLIST</t>
        </is>
      </c>
      <c r="M2076" s="8" t="n">
        <v>0</v>
      </c>
      <c r="N2076" s="7">
        <f>M2076*$J$2078-J2076</f>
        <v/>
      </c>
      <c r="O2076" s="9">
        <f>IF(G2076=0,0,N2076/G2076)</f>
        <v/>
      </c>
      <c r="P2076" s="6">
        <f>IF(M2076&gt;0,D2076,"")</f>
        <v/>
      </c>
      <c r="Q2076" s="9">
        <f>I2076+O2076</f>
        <v/>
      </c>
      <c r="R2076" s="7">
        <f>Q2076*G2076</f>
        <v/>
      </c>
      <c r="S2076" s="8">
        <f>IF($R$2078=0,0,R2076/$R$2078)</f>
        <v/>
      </c>
      <c r="T2076" s="8" t="n">
        <v>-0.02107418821911522</v>
      </c>
      <c r="U2076" s="8" t="n">
        <v>-0.0231191400649623</v>
      </c>
      <c r="V2076" s="6" t="inlineStr">
        <is>
          <t>not selected</t>
        </is>
      </c>
    </row>
    <row r="2077">
      <c r="A2077" s="6" t="inlineStr">
        <is>
          <t>DJ30</t>
        </is>
      </c>
      <c r="B2077" s="6" t="inlineStr">
        <is>
          <t>2024-04-12</t>
        </is>
      </c>
      <c r="C2077" s="6" t="inlineStr">
        <is>
          <t>DIA</t>
        </is>
      </c>
      <c r="D2077" s="6" t="inlineStr">
        <is>
          <t>WMT</t>
        </is>
      </c>
      <c r="E2077" s="6" t="inlineStr">
        <is>
          <t>WMT</t>
        </is>
      </c>
      <c r="F2077" s="6" t="inlineStr">
        <is>
          <t>-</t>
        </is>
      </c>
      <c r="G2077" s="7" t="n">
        <v>58.83147811889648</v>
      </c>
      <c r="H2077" s="6">
        <f>P2046</f>
        <v/>
      </c>
      <c r="I2077" s="9">
        <f>Q2046</f>
        <v/>
      </c>
      <c r="J2077" s="7">
        <f>I2077*G2077</f>
        <v/>
      </c>
      <c r="K2077" s="8">
        <f>IF($J$2078=0,0,J2077/$J$2078)</f>
        <v/>
      </c>
      <c r="L2077" s="6" t="inlineStr">
        <is>
          <t>WATCHLIST</t>
        </is>
      </c>
      <c r="M2077" s="8" t="n">
        <v>0</v>
      </c>
      <c r="N2077" s="7">
        <f>M2077*$J$2078-J2077</f>
        <v/>
      </c>
      <c r="O2077" s="9">
        <f>IF(G2077=0,0,N2077/G2077)</f>
        <v/>
      </c>
      <c r="P2077" s="6">
        <f>IF(M2077&gt;0,D2077,"")</f>
        <v/>
      </c>
      <c r="Q2077" s="9">
        <f>I2077+O2077</f>
        <v/>
      </c>
      <c r="R2077" s="7">
        <f>Q2077*G2077</f>
        <v/>
      </c>
      <c r="S2077" s="8">
        <f>IF($R$2078=0,0,R2077/$R$2078)</f>
        <v/>
      </c>
      <c r="T2077" s="8" t="n">
        <v>-0.02107418821911522</v>
      </c>
      <c r="U2077" s="8" t="n">
        <v>-0.0231191400649623</v>
      </c>
      <c r="V2077" s="6" t="inlineStr">
        <is>
          <t>not selected</t>
        </is>
      </c>
    </row>
    <row r="2078">
      <c r="A2078" s="10" t="inlineStr">
        <is>
          <t>DJ30</t>
        </is>
      </c>
      <c r="B2078" s="10" t="inlineStr">
        <is>
          <t>2024-04-12</t>
        </is>
      </c>
      <c r="C2078" s="10" t="inlineStr">
        <is>
          <t>DIA</t>
        </is>
      </c>
      <c r="D2078" s="10" t="inlineStr">
        <is>
          <t>Tot Portfolio</t>
        </is>
      </c>
      <c r="E2078" s="10" t="inlineStr"/>
      <c r="F2078" s="10" t="inlineStr"/>
      <c r="G2078" s="11" t="inlineStr"/>
      <c r="H2078" s="10" t="inlineStr"/>
      <c r="I2078" s="12" t="inlineStr"/>
      <c r="J2078" s="11">
        <f>SUM(J2048:J2077)</f>
        <v/>
      </c>
      <c r="K2078" s="13">
        <f>SUM(K2048:K2077)</f>
        <v/>
      </c>
      <c r="L2078" s="10" t="inlineStr">
        <is>
          <t>TOTAL</t>
        </is>
      </c>
      <c r="M2078" s="13">
        <f>SUM(M2048:M2077)</f>
        <v/>
      </c>
      <c r="N2078" s="11">
        <f>SUM(N2048:N2077)</f>
        <v/>
      </c>
      <c r="O2078" s="12">
        <f>SUM(O2048:O2077)</f>
        <v/>
      </c>
      <c r="P2078" s="10" t="inlineStr"/>
      <c r="Q2078" s="12" t="inlineStr"/>
      <c r="R2078" s="11">
        <f>SUM(R2048:R2077)</f>
        <v/>
      </c>
      <c r="S2078" s="13">
        <f>SUM(S2048:S2077)</f>
        <v/>
      </c>
      <c r="T2078" s="13" t="n">
        <v>-0.02107418821911522</v>
      </c>
      <c r="U2078" s="13" t="n">
        <v>-0.0231191400649623</v>
      </c>
      <c r="V2078" s="10" t="inlineStr"/>
    </row>
    <row r="2079">
      <c r="A2079" s="6" t="inlineStr">
        <is>
          <t>DJ30</t>
        </is>
      </c>
      <c r="B2079" s="6" t="inlineStr">
        <is>
          <t>2024-04-19</t>
        </is>
      </c>
      <c r="C2079" s="6" t="inlineStr">
        <is>
          <t>DIA</t>
        </is>
      </c>
      <c r="D2079" s="6" t="inlineStr">
        <is>
          <t>AAPL</t>
        </is>
      </c>
      <c r="E2079" s="6" t="inlineStr">
        <is>
          <t>AAPL</t>
        </is>
      </c>
      <c r="F2079" s="6" t="inlineStr">
        <is>
          <t>-</t>
        </is>
      </c>
      <c r="G2079" s="7" t="n">
        <v>163.3614044189453</v>
      </c>
      <c r="H2079" s="6">
        <f>P2048</f>
        <v/>
      </c>
      <c r="I2079" s="9">
        <f>Q2048</f>
        <v/>
      </c>
      <c r="J2079" s="7">
        <f>I2079*G2079</f>
        <v/>
      </c>
      <c r="K2079" s="8">
        <f>IF($J$2109=0,0,J2079/$J$2109)</f>
        <v/>
      </c>
      <c r="L2079" s="6" t="inlineStr">
        <is>
          <t>REJECTED</t>
        </is>
      </c>
      <c r="M2079" s="8" t="n">
        <v>0</v>
      </c>
      <c r="N2079" s="7">
        <f>M2079*$J$2109-J2079</f>
        <v/>
      </c>
      <c r="O2079" s="9">
        <f>IF(G2079=0,0,N2079/G2079)</f>
        <v/>
      </c>
      <c r="P2079" s="6">
        <f>IF(M2079&gt;0,D2079,"")</f>
        <v/>
      </c>
      <c r="Q2079" s="9">
        <f>I2079+O2079</f>
        <v/>
      </c>
      <c r="R2079" s="7">
        <f>Q2079*G2079</f>
        <v/>
      </c>
      <c r="S2079" s="8">
        <f>IF($R$2109=0,0,R2079/$R$2109)</f>
        <v/>
      </c>
      <c r="T2079" s="8" t="n">
        <v>-0.04867409465595163</v>
      </c>
      <c r="U2079" s="8" t="n">
        <v>0.0003401299118166445</v>
      </c>
      <c r="V2079" s="6" t="inlineStr">
        <is>
          <t>not selected</t>
        </is>
      </c>
    </row>
    <row r="2080">
      <c r="A2080" s="6" t="inlineStr">
        <is>
          <t>DJ30</t>
        </is>
      </c>
      <c r="B2080" s="6" t="inlineStr">
        <is>
          <t>2024-04-19</t>
        </is>
      </c>
      <c r="C2080" s="6" t="inlineStr">
        <is>
          <t>DIA</t>
        </is>
      </c>
      <c r="D2080" s="6" t="inlineStr">
        <is>
          <t>AMGN</t>
        </is>
      </c>
      <c r="E2080" s="6" t="inlineStr">
        <is>
          <t>AMGN</t>
        </is>
      </c>
      <c r="F2080" s="6" t="inlineStr">
        <is>
          <t>-</t>
        </is>
      </c>
      <c r="G2080" s="7" t="n">
        <v>251.1397552490234</v>
      </c>
      <c r="H2080" s="6">
        <f>P2049</f>
        <v/>
      </c>
      <c r="I2080" s="9">
        <f>Q2049</f>
        <v/>
      </c>
      <c r="J2080" s="7">
        <f>I2080*G2080</f>
        <v/>
      </c>
      <c r="K2080" s="8">
        <f>IF($J$2109=0,0,J2080/$J$2109)</f>
        <v/>
      </c>
      <c r="L2080" s="6" t="inlineStr">
        <is>
          <t>WATCHLIST</t>
        </is>
      </c>
      <c r="M2080" s="8" t="n">
        <v>0</v>
      </c>
      <c r="N2080" s="7">
        <f>M2080*$J$2109-J2080</f>
        <v/>
      </c>
      <c r="O2080" s="9">
        <f>IF(G2080=0,0,N2080/G2080)</f>
        <v/>
      </c>
      <c r="P2080" s="6">
        <f>IF(M2080&gt;0,D2080,"")</f>
        <v/>
      </c>
      <c r="Q2080" s="9">
        <f>I2080+O2080</f>
        <v/>
      </c>
      <c r="R2080" s="7">
        <f>Q2080*G2080</f>
        <v/>
      </c>
      <c r="S2080" s="8">
        <f>IF($R$2109=0,0,R2080/$R$2109)</f>
        <v/>
      </c>
      <c r="T2080" s="8" t="n">
        <v>-0.04867409465595163</v>
      </c>
      <c r="U2080" s="8" t="n">
        <v>0.0003401299118166445</v>
      </c>
      <c r="V2080" s="6" t="inlineStr">
        <is>
          <t>removed from weekly selection</t>
        </is>
      </c>
    </row>
    <row r="2081">
      <c r="A2081" s="6" t="inlineStr">
        <is>
          <t>DJ30</t>
        </is>
      </c>
      <c r="B2081" s="6" t="inlineStr">
        <is>
          <t>2024-04-19</t>
        </is>
      </c>
      <c r="C2081" s="6" t="inlineStr">
        <is>
          <t>DIA</t>
        </is>
      </c>
      <c r="D2081" s="6" t="inlineStr">
        <is>
          <t>AMZN</t>
        </is>
      </c>
      <c r="E2081" s="6" t="inlineStr">
        <is>
          <t>AMZN</t>
        </is>
      </c>
      <c r="F2081" s="6" t="inlineStr">
        <is>
          <t>-</t>
        </is>
      </c>
      <c r="G2081" s="7" t="n">
        <v>174.6300048828125</v>
      </c>
      <c r="H2081" s="6">
        <f>P2050</f>
        <v/>
      </c>
      <c r="I2081" s="9">
        <f>Q2050</f>
        <v/>
      </c>
      <c r="J2081" s="7">
        <f>I2081*G2081</f>
        <v/>
      </c>
      <c r="K2081" s="8">
        <f>IF($J$2109=0,0,J2081/$J$2109)</f>
        <v/>
      </c>
      <c r="L2081" s="6" t="inlineStr">
        <is>
          <t>WATCHLIST</t>
        </is>
      </c>
      <c r="M2081" s="8" t="n">
        <v>0</v>
      </c>
      <c r="N2081" s="7">
        <f>M2081*$J$2109-J2081</f>
        <v/>
      </c>
      <c r="O2081" s="9">
        <f>IF(G2081=0,0,N2081/G2081)</f>
        <v/>
      </c>
      <c r="P2081" s="6">
        <f>IF(M2081&gt;0,D2081,"")</f>
        <v/>
      </c>
      <c r="Q2081" s="9">
        <f>I2081+O2081</f>
        <v/>
      </c>
      <c r="R2081" s="7">
        <f>Q2081*G2081</f>
        <v/>
      </c>
      <c r="S2081" s="8">
        <f>IF($R$2109=0,0,R2081/$R$2109)</f>
        <v/>
      </c>
      <c r="T2081" s="8" t="n">
        <v>-0.04867409465595163</v>
      </c>
      <c r="U2081" s="8" t="n">
        <v>0.0003401299118166445</v>
      </c>
      <c r="V2081" s="6" t="inlineStr">
        <is>
          <t>not selected</t>
        </is>
      </c>
    </row>
    <row r="2082">
      <c r="A2082" s="6" t="inlineStr">
        <is>
          <t>DJ30</t>
        </is>
      </c>
      <c r="B2082" s="6" t="inlineStr">
        <is>
          <t>2024-04-19</t>
        </is>
      </c>
      <c r="C2082" s="6" t="inlineStr">
        <is>
          <t>DIA</t>
        </is>
      </c>
      <c r="D2082" s="6" t="inlineStr">
        <is>
          <t>AXP</t>
        </is>
      </c>
      <c r="E2082" s="6" t="inlineStr">
        <is>
          <t>AXP</t>
        </is>
      </c>
      <c r="F2082" s="6" t="inlineStr">
        <is>
          <t>-</t>
        </is>
      </c>
      <c r="G2082" s="7" t="n">
        <v>226.0863037109375</v>
      </c>
      <c r="H2082" s="6">
        <f>P2051</f>
        <v/>
      </c>
      <c r="I2082" s="9">
        <f>Q2051</f>
        <v/>
      </c>
      <c r="J2082" s="7">
        <f>I2082*G2082</f>
        <v/>
      </c>
      <c r="K2082" s="8">
        <f>IF($J$2109=0,0,J2082/$J$2109)</f>
        <v/>
      </c>
      <c r="L2082" s="6" t="inlineStr">
        <is>
          <t>WATCHLIST</t>
        </is>
      </c>
      <c r="M2082" s="8" t="n">
        <v>0</v>
      </c>
      <c r="N2082" s="7">
        <f>M2082*$J$2109-J2082</f>
        <v/>
      </c>
      <c r="O2082" s="9">
        <f>IF(G2082=0,0,N2082/G2082)</f>
        <v/>
      </c>
      <c r="P2082" s="6">
        <f>IF(M2082&gt;0,D2082,"")</f>
        <v/>
      </c>
      <c r="Q2082" s="9">
        <f>I2082+O2082</f>
        <v/>
      </c>
      <c r="R2082" s="7">
        <f>Q2082*G2082</f>
        <v/>
      </c>
      <c r="S2082" s="8">
        <f>IF($R$2109=0,0,R2082/$R$2109)</f>
        <v/>
      </c>
      <c r="T2082" s="8" t="n">
        <v>-0.04867409465595163</v>
      </c>
      <c r="U2082" s="8" t="n">
        <v>0.0003401299118166445</v>
      </c>
      <c r="V2082" s="6" t="inlineStr">
        <is>
          <t>not selected</t>
        </is>
      </c>
    </row>
    <row r="2083">
      <c r="A2083" s="6" t="inlineStr">
        <is>
          <t>DJ30</t>
        </is>
      </c>
      <c r="B2083" s="6" t="inlineStr">
        <is>
          <t>2024-04-19</t>
        </is>
      </c>
      <c r="C2083" s="6" t="inlineStr">
        <is>
          <t>DIA</t>
        </is>
      </c>
      <c r="D2083" s="6" t="inlineStr">
        <is>
          <t>BA</t>
        </is>
      </c>
      <c r="E2083" s="6" t="inlineStr">
        <is>
          <t>BA</t>
        </is>
      </c>
      <c r="F2083" s="6" t="inlineStr">
        <is>
          <t>-</t>
        </is>
      </c>
      <c r="G2083" s="7" t="n">
        <v>169.8200073242188</v>
      </c>
      <c r="H2083" s="6">
        <f>P2052</f>
        <v/>
      </c>
      <c r="I2083" s="9">
        <f>Q2052</f>
        <v/>
      </c>
      <c r="J2083" s="7">
        <f>I2083*G2083</f>
        <v/>
      </c>
      <c r="K2083" s="8">
        <f>IF($J$2109=0,0,J2083/$J$2109)</f>
        <v/>
      </c>
      <c r="L2083" s="6" t="inlineStr">
        <is>
          <t>REJECTED</t>
        </is>
      </c>
      <c r="M2083" s="8" t="n">
        <v>0</v>
      </c>
      <c r="N2083" s="7">
        <f>M2083*$J$2109-J2083</f>
        <v/>
      </c>
      <c r="O2083" s="9">
        <f>IF(G2083=0,0,N2083/G2083)</f>
        <v/>
      </c>
      <c r="P2083" s="6">
        <f>IF(M2083&gt;0,D2083,"")</f>
        <v/>
      </c>
      <c r="Q2083" s="9">
        <f>I2083+O2083</f>
        <v/>
      </c>
      <c r="R2083" s="7">
        <f>Q2083*G2083</f>
        <v/>
      </c>
      <c r="S2083" s="8">
        <f>IF($R$2109=0,0,R2083/$R$2109)</f>
        <v/>
      </c>
      <c r="T2083" s="8" t="n">
        <v>-0.04867409465595163</v>
      </c>
      <c r="U2083" s="8" t="n">
        <v>0.0003401299118166445</v>
      </c>
      <c r="V2083" s="6" t="inlineStr">
        <is>
          <t>not selected</t>
        </is>
      </c>
    </row>
    <row r="2084">
      <c r="A2084" s="6" t="inlineStr">
        <is>
          <t>DJ30</t>
        </is>
      </c>
      <c r="B2084" s="6" t="inlineStr">
        <is>
          <t>2024-04-19</t>
        </is>
      </c>
      <c r="C2084" s="6" t="inlineStr">
        <is>
          <t>DIA</t>
        </is>
      </c>
      <c r="D2084" s="6" t="inlineStr">
        <is>
          <t>CAT</t>
        </is>
      </c>
      <c r="E2084" s="6" t="inlineStr">
        <is>
          <t>CAT</t>
        </is>
      </c>
      <c r="F2084" s="6" t="inlineStr">
        <is>
          <t>-</t>
        </is>
      </c>
      <c r="G2084" s="7" t="n">
        <v>345.2544860839844</v>
      </c>
      <c r="H2084" s="6">
        <f>P2053</f>
        <v/>
      </c>
      <c r="I2084" s="9">
        <f>Q2053</f>
        <v/>
      </c>
      <c r="J2084" s="7">
        <f>I2084*G2084</f>
        <v/>
      </c>
      <c r="K2084" s="8">
        <f>IF($J$2109=0,0,J2084/$J$2109)</f>
        <v/>
      </c>
      <c r="L2084" s="6" t="inlineStr">
        <is>
          <t>SELECTED</t>
        </is>
      </c>
      <c r="M2084" s="8" t="n">
        <v>0.2</v>
      </c>
      <c r="N2084" s="7">
        <f>M2084*$J$2109-J2084</f>
        <v/>
      </c>
      <c r="O2084" s="9">
        <f>IF(G2084=0,0,N2084/G2084)</f>
        <v/>
      </c>
      <c r="P2084" s="6">
        <f>IF(M2084&gt;0,D2084,"")</f>
        <v/>
      </c>
      <c r="Q2084" s="9">
        <f>I2084+O2084</f>
        <v/>
      </c>
      <c r="R2084" s="7">
        <f>Q2084*G2084</f>
        <v/>
      </c>
      <c r="S2084" s="8">
        <f>IF($R$2109=0,0,R2084/$R$2109)</f>
        <v/>
      </c>
      <c r="T2084" s="8" t="n">
        <v>-0.04867409465595163</v>
      </c>
      <c r="U2084" s="8" t="n">
        <v>0.0003401299118166445</v>
      </c>
      <c r="V2084" s="6" t="inlineStr">
        <is>
          <t>remained in weekly selection</t>
        </is>
      </c>
    </row>
    <row r="2085">
      <c r="A2085" s="6" t="inlineStr">
        <is>
          <t>DJ30</t>
        </is>
      </c>
      <c r="B2085" s="6" t="inlineStr">
        <is>
          <t>2024-04-19</t>
        </is>
      </c>
      <c r="C2085" s="6" t="inlineStr">
        <is>
          <t>DIA</t>
        </is>
      </c>
      <c r="D2085" s="6" t="inlineStr">
        <is>
          <t>CRM</t>
        </is>
      </c>
      <c r="E2085" s="6" t="inlineStr">
        <is>
          <t>CRM</t>
        </is>
      </c>
      <c r="F2085" s="6" t="inlineStr">
        <is>
          <t>-</t>
        </is>
      </c>
      <c r="G2085" s="7" t="n">
        <v>266.1191711425781</v>
      </c>
      <c r="H2085" s="6">
        <f>P2054</f>
        <v/>
      </c>
      <c r="I2085" s="9">
        <f>Q2054</f>
        <v/>
      </c>
      <c r="J2085" s="7">
        <f>I2085*G2085</f>
        <v/>
      </c>
      <c r="K2085" s="8">
        <f>IF($J$2109=0,0,J2085/$J$2109)</f>
        <v/>
      </c>
      <c r="L2085" s="6" t="inlineStr">
        <is>
          <t>SELECTED</t>
        </is>
      </c>
      <c r="M2085" s="8" t="n">
        <v>0.2</v>
      </c>
      <c r="N2085" s="7">
        <f>M2085*$J$2109-J2085</f>
        <v/>
      </c>
      <c r="O2085" s="9">
        <f>IF(G2085=0,0,N2085/G2085)</f>
        <v/>
      </c>
      <c r="P2085" s="6">
        <f>IF(M2085&gt;0,D2085,"")</f>
        <v/>
      </c>
      <c r="Q2085" s="9">
        <f>I2085+O2085</f>
        <v/>
      </c>
      <c r="R2085" s="7">
        <f>Q2085*G2085</f>
        <v/>
      </c>
      <c r="S2085" s="8">
        <f>IF($R$2109=0,0,R2085/$R$2109)</f>
        <v/>
      </c>
      <c r="T2085" s="8" t="n">
        <v>-0.04867409465595163</v>
      </c>
      <c r="U2085" s="8" t="n">
        <v>0.0003401299118166445</v>
      </c>
      <c r="V2085" s="6" t="inlineStr">
        <is>
          <t>remained in weekly selection</t>
        </is>
      </c>
    </row>
    <row r="2086">
      <c r="A2086" s="6" t="inlineStr">
        <is>
          <t>DJ30</t>
        </is>
      </c>
      <c r="B2086" s="6" t="inlineStr">
        <is>
          <t>2024-04-19</t>
        </is>
      </c>
      <c r="C2086" s="6" t="inlineStr">
        <is>
          <t>DIA</t>
        </is>
      </c>
      <c r="D2086" s="6" t="inlineStr">
        <is>
          <t>CSCO</t>
        </is>
      </c>
      <c r="E2086" s="6" t="inlineStr">
        <is>
          <t>CSCO</t>
        </is>
      </c>
      <c r="F2086" s="6" t="inlineStr">
        <is>
          <t>-</t>
        </is>
      </c>
      <c r="G2086" s="7" t="n">
        <v>45.85570526123047</v>
      </c>
      <c r="H2086" s="6">
        <f>P2055</f>
        <v/>
      </c>
      <c r="I2086" s="9">
        <f>Q2055</f>
        <v/>
      </c>
      <c r="J2086" s="7">
        <f>I2086*G2086</f>
        <v/>
      </c>
      <c r="K2086" s="8">
        <f>IF($J$2109=0,0,J2086/$J$2109)</f>
        <v/>
      </c>
      <c r="L2086" s="6" t="inlineStr">
        <is>
          <t>REJECTED</t>
        </is>
      </c>
      <c r="M2086" s="8" t="n">
        <v>0</v>
      </c>
      <c r="N2086" s="7">
        <f>M2086*$J$2109-J2086</f>
        <v/>
      </c>
      <c r="O2086" s="9">
        <f>IF(G2086=0,0,N2086/G2086)</f>
        <v/>
      </c>
      <c r="P2086" s="6">
        <f>IF(M2086&gt;0,D2086,"")</f>
        <v/>
      </c>
      <c r="Q2086" s="9">
        <f>I2086+O2086</f>
        <v/>
      </c>
      <c r="R2086" s="7">
        <f>Q2086*G2086</f>
        <v/>
      </c>
      <c r="S2086" s="8">
        <f>IF($R$2109=0,0,R2086/$R$2109)</f>
        <v/>
      </c>
      <c r="T2086" s="8" t="n">
        <v>-0.04867409465595163</v>
      </c>
      <c r="U2086" s="8" t="n">
        <v>0.0003401299118166445</v>
      </c>
      <c r="V2086" s="6" t="inlineStr">
        <is>
          <t>not selected</t>
        </is>
      </c>
    </row>
    <row r="2087">
      <c r="A2087" s="6" t="inlineStr">
        <is>
          <t>DJ30</t>
        </is>
      </c>
      <c r="B2087" s="6" t="inlineStr">
        <is>
          <t>2024-04-19</t>
        </is>
      </c>
      <c r="C2087" s="6" t="inlineStr">
        <is>
          <t>DIA</t>
        </is>
      </c>
      <c r="D2087" s="6" t="inlineStr">
        <is>
          <t>CVX</t>
        </is>
      </c>
      <c r="E2087" s="6" t="inlineStr">
        <is>
          <t>CVX</t>
        </is>
      </c>
      <c r="F2087" s="6" t="inlineStr">
        <is>
          <t>-</t>
        </is>
      </c>
      <c r="G2087" s="7" t="n">
        <v>145.4279632568359</v>
      </c>
      <c r="H2087" s="6">
        <f>P2056</f>
        <v/>
      </c>
      <c r="I2087" s="9">
        <f>Q2056</f>
        <v/>
      </c>
      <c r="J2087" s="7">
        <f>I2087*G2087</f>
        <v/>
      </c>
      <c r="K2087" s="8">
        <f>IF($J$2109=0,0,J2087/$J$2109)</f>
        <v/>
      </c>
      <c r="L2087" s="6" t="inlineStr">
        <is>
          <t>REJECTED</t>
        </is>
      </c>
      <c r="M2087" s="8" t="n">
        <v>0</v>
      </c>
      <c r="N2087" s="7">
        <f>M2087*$J$2109-J2087</f>
        <v/>
      </c>
      <c r="O2087" s="9">
        <f>IF(G2087=0,0,N2087/G2087)</f>
        <v/>
      </c>
      <c r="P2087" s="6">
        <f>IF(M2087&gt;0,D2087,"")</f>
        <v/>
      </c>
      <c r="Q2087" s="9">
        <f>I2087+O2087</f>
        <v/>
      </c>
      <c r="R2087" s="7">
        <f>Q2087*G2087</f>
        <v/>
      </c>
      <c r="S2087" s="8">
        <f>IF($R$2109=0,0,R2087/$R$2109)</f>
        <v/>
      </c>
      <c r="T2087" s="8" t="n">
        <v>-0.04867409465595163</v>
      </c>
      <c r="U2087" s="8" t="n">
        <v>0.0003401299118166445</v>
      </c>
      <c r="V2087" s="6" t="inlineStr">
        <is>
          <t>not selected</t>
        </is>
      </c>
    </row>
    <row r="2088">
      <c r="A2088" s="6" t="inlineStr">
        <is>
          <t>DJ30</t>
        </is>
      </c>
      <c r="B2088" s="6" t="inlineStr">
        <is>
          <t>2024-04-19</t>
        </is>
      </c>
      <c r="C2088" s="6" t="inlineStr">
        <is>
          <t>DIA</t>
        </is>
      </c>
      <c r="D2088" s="6" t="inlineStr">
        <is>
          <t>DIS</t>
        </is>
      </c>
      <c r="E2088" s="6" t="inlineStr">
        <is>
          <t>DIS</t>
        </is>
      </c>
      <c r="F2088" s="6" t="inlineStr">
        <is>
          <t>-</t>
        </is>
      </c>
      <c r="G2088" s="7" t="n">
        <v>110.3776779174805</v>
      </c>
      <c r="H2088" s="6">
        <f>P2057</f>
        <v/>
      </c>
      <c r="I2088" s="9">
        <f>Q2057</f>
        <v/>
      </c>
      <c r="J2088" s="7">
        <f>I2088*G2088</f>
        <v/>
      </c>
      <c r="K2088" s="8">
        <f>IF($J$2109=0,0,J2088/$J$2109)</f>
        <v/>
      </c>
      <c r="L2088" s="6" t="inlineStr">
        <is>
          <t>WATCHLIST</t>
        </is>
      </c>
      <c r="M2088" s="8" t="n">
        <v>0</v>
      </c>
      <c r="N2088" s="7">
        <f>M2088*$J$2109-J2088</f>
        <v/>
      </c>
      <c r="O2088" s="9">
        <f>IF(G2088=0,0,N2088/G2088)</f>
        <v/>
      </c>
      <c r="P2088" s="6">
        <f>IF(M2088&gt;0,D2088,"")</f>
        <v/>
      </c>
      <c r="Q2088" s="9">
        <f>I2088+O2088</f>
        <v/>
      </c>
      <c r="R2088" s="7">
        <f>Q2088*G2088</f>
        <v/>
      </c>
      <c r="S2088" s="8">
        <f>IF($R$2109=0,0,R2088/$R$2109)</f>
        <v/>
      </c>
      <c r="T2088" s="8" t="n">
        <v>-0.04867409465595163</v>
      </c>
      <c r="U2088" s="8" t="n">
        <v>0.0003401299118166445</v>
      </c>
      <c r="V2088" s="6" t="inlineStr">
        <is>
          <t>not selected</t>
        </is>
      </c>
    </row>
    <row r="2089">
      <c r="A2089" s="6" t="inlineStr">
        <is>
          <t>DJ30</t>
        </is>
      </c>
      <c r="B2089" s="6" t="inlineStr">
        <is>
          <t>2024-04-19</t>
        </is>
      </c>
      <c r="C2089" s="6" t="inlineStr">
        <is>
          <t>DIA</t>
        </is>
      </c>
      <c r="D2089" s="6" t="inlineStr">
        <is>
          <t>GS</t>
        </is>
      </c>
      <c r="E2089" s="6" t="inlineStr">
        <is>
          <t>GS</t>
        </is>
      </c>
      <c r="F2089" s="6" t="inlineStr">
        <is>
          <t>-</t>
        </is>
      </c>
      <c r="G2089" s="7" t="n">
        <v>385.55810546875</v>
      </c>
      <c r="H2089" s="6">
        <f>P2058</f>
        <v/>
      </c>
      <c r="I2089" s="9">
        <f>Q2058</f>
        <v/>
      </c>
      <c r="J2089" s="7">
        <f>I2089*G2089</f>
        <v/>
      </c>
      <c r="K2089" s="8">
        <f>IF($J$2109=0,0,J2089/$J$2109)</f>
        <v/>
      </c>
      <c r="L2089" s="6" t="inlineStr">
        <is>
          <t>WATCHLIST</t>
        </is>
      </c>
      <c r="M2089" s="8" t="n">
        <v>0</v>
      </c>
      <c r="N2089" s="7">
        <f>M2089*$J$2109-J2089</f>
        <v/>
      </c>
      <c r="O2089" s="9">
        <f>IF(G2089=0,0,N2089/G2089)</f>
        <v/>
      </c>
      <c r="P2089" s="6">
        <f>IF(M2089&gt;0,D2089,"")</f>
        <v/>
      </c>
      <c r="Q2089" s="9">
        <f>I2089+O2089</f>
        <v/>
      </c>
      <c r="R2089" s="7">
        <f>Q2089*G2089</f>
        <v/>
      </c>
      <c r="S2089" s="8">
        <f>IF($R$2109=0,0,R2089/$R$2109)</f>
        <v/>
      </c>
      <c r="T2089" s="8" t="n">
        <v>-0.04867409465595163</v>
      </c>
      <c r="U2089" s="8" t="n">
        <v>0.0003401299118166445</v>
      </c>
      <c r="V2089" s="6" t="inlineStr">
        <is>
          <t>not selected</t>
        </is>
      </c>
    </row>
    <row r="2090">
      <c r="A2090" s="6" t="inlineStr">
        <is>
          <t>DJ30</t>
        </is>
      </c>
      <c r="B2090" s="6" t="inlineStr">
        <is>
          <t>2024-04-19</t>
        </is>
      </c>
      <c r="C2090" s="6" t="inlineStr">
        <is>
          <t>DIA</t>
        </is>
      </c>
      <c r="D2090" s="6" t="inlineStr">
        <is>
          <t>HD</t>
        </is>
      </c>
      <c r="E2090" s="6" t="inlineStr">
        <is>
          <t>HD</t>
        </is>
      </c>
      <c r="F2090" s="6" t="inlineStr">
        <is>
          <t>-</t>
        </is>
      </c>
      <c r="G2090" s="7" t="n">
        <v>316.780029296875</v>
      </c>
      <c r="H2090" s="6">
        <f>P2059</f>
        <v/>
      </c>
      <c r="I2090" s="9">
        <f>Q2059</f>
        <v/>
      </c>
      <c r="J2090" s="7">
        <f>I2090*G2090</f>
        <v/>
      </c>
      <c r="K2090" s="8">
        <f>IF($J$2109=0,0,J2090/$J$2109)</f>
        <v/>
      </c>
      <c r="L2090" s="6" t="inlineStr">
        <is>
          <t>WATCHLIST</t>
        </is>
      </c>
      <c r="M2090" s="8" t="n">
        <v>0</v>
      </c>
      <c r="N2090" s="7">
        <f>M2090*$J$2109-J2090</f>
        <v/>
      </c>
      <c r="O2090" s="9">
        <f>IF(G2090=0,0,N2090/G2090)</f>
        <v/>
      </c>
      <c r="P2090" s="6">
        <f>IF(M2090&gt;0,D2090,"")</f>
        <v/>
      </c>
      <c r="Q2090" s="9">
        <f>I2090+O2090</f>
        <v/>
      </c>
      <c r="R2090" s="7">
        <f>Q2090*G2090</f>
        <v/>
      </c>
      <c r="S2090" s="8">
        <f>IF($R$2109=0,0,R2090/$R$2109)</f>
        <v/>
      </c>
      <c r="T2090" s="8" t="n">
        <v>-0.04867409465595163</v>
      </c>
      <c r="U2090" s="8" t="n">
        <v>0.0003401299118166445</v>
      </c>
      <c r="V2090" s="6" t="inlineStr">
        <is>
          <t>not selected</t>
        </is>
      </c>
    </row>
    <row r="2091">
      <c r="A2091" s="6" t="inlineStr">
        <is>
          <t>DJ30</t>
        </is>
      </c>
      <c r="B2091" s="6" t="inlineStr">
        <is>
          <t>2024-04-19</t>
        </is>
      </c>
      <c r="C2091" s="6" t="inlineStr">
        <is>
          <t>DIA</t>
        </is>
      </c>
      <c r="D2091" s="6" t="inlineStr">
        <is>
          <t>HON</t>
        </is>
      </c>
      <c r="E2091" s="6" t="inlineStr">
        <is>
          <t>HON</t>
        </is>
      </c>
      <c r="F2091" s="6" t="inlineStr">
        <is>
          <t>-</t>
        </is>
      </c>
      <c r="G2091" s="7" t="n">
        <v>174.5665893554688</v>
      </c>
      <c r="H2091" s="6">
        <f>P2060</f>
        <v/>
      </c>
      <c r="I2091" s="9">
        <f>Q2060</f>
        <v/>
      </c>
      <c r="J2091" s="7">
        <f>I2091*G2091</f>
        <v/>
      </c>
      <c r="K2091" s="8">
        <f>IF($J$2109=0,0,J2091/$J$2109)</f>
        <v/>
      </c>
      <c r="L2091" s="6" t="inlineStr">
        <is>
          <t>REJECTED</t>
        </is>
      </c>
      <c r="M2091" s="8" t="n">
        <v>0</v>
      </c>
      <c r="N2091" s="7">
        <f>M2091*$J$2109-J2091</f>
        <v/>
      </c>
      <c r="O2091" s="9">
        <f>IF(G2091=0,0,N2091/G2091)</f>
        <v/>
      </c>
      <c r="P2091" s="6">
        <f>IF(M2091&gt;0,D2091,"")</f>
        <v/>
      </c>
      <c r="Q2091" s="9">
        <f>I2091+O2091</f>
        <v/>
      </c>
      <c r="R2091" s="7">
        <f>Q2091*G2091</f>
        <v/>
      </c>
      <c r="S2091" s="8">
        <f>IF($R$2109=0,0,R2091/$R$2109)</f>
        <v/>
      </c>
      <c r="T2091" s="8" t="n">
        <v>-0.04867409465595163</v>
      </c>
      <c r="U2091" s="8" t="n">
        <v>0.0003401299118166445</v>
      </c>
      <c r="V2091" s="6" t="inlineStr">
        <is>
          <t>not selected</t>
        </is>
      </c>
    </row>
    <row r="2092">
      <c r="A2092" s="6" t="inlineStr">
        <is>
          <t>DJ30</t>
        </is>
      </c>
      <c r="B2092" s="6" t="inlineStr">
        <is>
          <t>2024-04-19</t>
        </is>
      </c>
      <c r="C2092" s="6" t="inlineStr">
        <is>
          <t>DIA</t>
        </is>
      </c>
      <c r="D2092" s="6" t="inlineStr">
        <is>
          <t>IBM</t>
        </is>
      </c>
      <c r="E2092" s="6" t="inlineStr">
        <is>
          <t>IBM</t>
        </is>
      </c>
      <c r="F2092" s="6" t="inlineStr">
        <is>
          <t>-</t>
        </is>
      </c>
      <c r="G2092" s="7" t="n">
        <v>170.1588287353516</v>
      </c>
      <c r="H2092" s="6">
        <f>P2061</f>
        <v/>
      </c>
      <c r="I2092" s="9">
        <f>Q2061</f>
        <v/>
      </c>
      <c r="J2092" s="7">
        <f>I2092*G2092</f>
        <v/>
      </c>
      <c r="K2092" s="8">
        <f>IF($J$2109=0,0,J2092/$J$2109)</f>
        <v/>
      </c>
      <c r="L2092" s="6" t="inlineStr">
        <is>
          <t>SELECTED</t>
        </is>
      </c>
      <c r="M2092" s="8" t="n">
        <v>0.2</v>
      </c>
      <c r="N2092" s="7">
        <f>M2092*$J$2109-J2092</f>
        <v/>
      </c>
      <c r="O2092" s="9">
        <f>IF(G2092=0,0,N2092/G2092)</f>
        <v/>
      </c>
      <c r="P2092" s="6">
        <f>IF(M2092&gt;0,D2092,"")</f>
        <v/>
      </c>
      <c r="Q2092" s="9">
        <f>I2092+O2092</f>
        <v/>
      </c>
      <c r="R2092" s="7">
        <f>Q2092*G2092</f>
        <v/>
      </c>
      <c r="S2092" s="8">
        <f>IF($R$2109=0,0,R2092/$R$2109)</f>
        <v/>
      </c>
      <c r="T2092" s="8" t="n">
        <v>-0.04867409465595163</v>
      </c>
      <c r="U2092" s="8" t="n">
        <v>0.0003401299118166445</v>
      </c>
      <c r="V2092" s="6" t="inlineStr">
        <is>
          <t>remained in weekly selection</t>
        </is>
      </c>
    </row>
    <row r="2093">
      <c r="A2093" s="6" t="inlineStr">
        <is>
          <t>DJ30</t>
        </is>
      </c>
      <c r="B2093" s="6" t="inlineStr">
        <is>
          <t>2024-04-19</t>
        </is>
      </c>
      <c r="C2093" s="6" t="inlineStr">
        <is>
          <t>DIA</t>
        </is>
      </c>
      <c r="D2093" s="6" t="inlineStr">
        <is>
          <t>JNJ</t>
        </is>
      </c>
      <c r="E2093" s="6" t="inlineStr">
        <is>
          <t>JNJ</t>
        </is>
      </c>
      <c r="F2093" s="6" t="inlineStr">
        <is>
          <t>-</t>
        </is>
      </c>
      <c r="G2093" s="7" t="n">
        <v>138.6304321289062</v>
      </c>
      <c r="H2093" s="6">
        <f>P2062</f>
        <v/>
      </c>
      <c r="I2093" s="9">
        <f>Q2062</f>
        <v/>
      </c>
      <c r="J2093" s="7">
        <f>I2093*G2093</f>
        <v/>
      </c>
      <c r="K2093" s="8">
        <f>IF($J$2109=0,0,J2093/$J$2109)</f>
        <v/>
      </c>
      <c r="L2093" s="6" t="inlineStr">
        <is>
          <t>REJECTED</t>
        </is>
      </c>
      <c r="M2093" s="8" t="n">
        <v>0</v>
      </c>
      <c r="N2093" s="7">
        <f>M2093*$J$2109-J2093</f>
        <v/>
      </c>
      <c r="O2093" s="9">
        <f>IF(G2093=0,0,N2093/G2093)</f>
        <v/>
      </c>
      <c r="P2093" s="6">
        <f>IF(M2093&gt;0,D2093,"")</f>
        <v/>
      </c>
      <c r="Q2093" s="9">
        <f>I2093+O2093</f>
        <v/>
      </c>
      <c r="R2093" s="7">
        <f>Q2093*G2093</f>
        <v/>
      </c>
      <c r="S2093" s="8">
        <f>IF($R$2109=0,0,R2093/$R$2109)</f>
        <v/>
      </c>
      <c r="T2093" s="8" t="n">
        <v>-0.04867409465595163</v>
      </c>
      <c r="U2093" s="8" t="n">
        <v>0.0003401299118166445</v>
      </c>
      <c r="V2093" s="6" t="inlineStr">
        <is>
          <t>not selected</t>
        </is>
      </c>
    </row>
    <row r="2094">
      <c r="A2094" s="6" t="inlineStr">
        <is>
          <t>DJ30</t>
        </is>
      </c>
      <c r="B2094" s="6" t="inlineStr">
        <is>
          <t>2024-04-19</t>
        </is>
      </c>
      <c r="C2094" s="6" t="inlineStr">
        <is>
          <t>DIA</t>
        </is>
      </c>
      <c r="D2094" s="6" t="inlineStr">
        <is>
          <t>JPM</t>
        </is>
      </c>
      <c r="E2094" s="6" t="inlineStr">
        <is>
          <t>JPM</t>
        </is>
      </c>
      <c r="F2094" s="6" t="inlineStr">
        <is>
          <t>-</t>
        </is>
      </c>
      <c r="G2094" s="7" t="n">
        <v>178.1244506835938</v>
      </c>
      <c r="H2094" s="6">
        <f>P2063</f>
        <v/>
      </c>
      <c r="I2094" s="9">
        <f>Q2063</f>
        <v/>
      </c>
      <c r="J2094" s="7">
        <f>I2094*G2094</f>
        <v/>
      </c>
      <c r="K2094" s="8">
        <f>IF($J$2109=0,0,J2094/$J$2109)</f>
        <v/>
      </c>
      <c r="L2094" s="6" t="inlineStr">
        <is>
          <t>SELECTED</t>
        </is>
      </c>
      <c r="M2094" s="8" t="n">
        <v>0.2</v>
      </c>
      <c r="N2094" s="7">
        <f>M2094*$J$2109-J2094</f>
        <v/>
      </c>
      <c r="O2094" s="9">
        <f>IF(G2094=0,0,N2094/G2094)</f>
        <v/>
      </c>
      <c r="P2094" s="6">
        <f>IF(M2094&gt;0,D2094,"")</f>
        <v/>
      </c>
      <c r="Q2094" s="9">
        <f>I2094+O2094</f>
        <v/>
      </c>
      <c r="R2094" s="7">
        <f>Q2094*G2094</f>
        <v/>
      </c>
      <c r="S2094" s="8">
        <f>IF($R$2109=0,0,R2094/$R$2109)</f>
        <v/>
      </c>
      <c r="T2094" s="8" t="n">
        <v>-0.04867409465595163</v>
      </c>
      <c r="U2094" s="8" t="n">
        <v>0.0003401299118166445</v>
      </c>
      <c r="V2094" s="6" t="inlineStr">
        <is>
          <t>entered weekly selection</t>
        </is>
      </c>
    </row>
    <row r="2095">
      <c r="A2095" s="6" t="inlineStr">
        <is>
          <t>DJ30</t>
        </is>
      </c>
      <c r="B2095" s="6" t="inlineStr">
        <is>
          <t>2024-04-19</t>
        </is>
      </c>
      <c r="C2095" s="6" t="inlineStr">
        <is>
          <t>DIA</t>
        </is>
      </c>
      <c r="D2095" s="6" t="inlineStr">
        <is>
          <t>KO</t>
        </is>
      </c>
      <c r="E2095" s="6" t="inlineStr">
        <is>
          <t>KO</t>
        </is>
      </c>
      <c r="F2095" s="6" t="inlineStr">
        <is>
          <t>-</t>
        </is>
      </c>
      <c r="G2095" s="7" t="n">
        <v>56.41255950927734</v>
      </c>
      <c r="H2095" s="6">
        <f>P2064</f>
        <v/>
      </c>
      <c r="I2095" s="9">
        <f>Q2064</f>
        <v/>
      </c>
      <c r="J2095" s="7">
        <f>I2095*G2095</f>
        <v/>
      </c>
      <c r="K2095" s="8">
        <f>IF($J$2109=0,0,J2095/$J$2109)</f>
        <v/>
      </c>
      <c r="L2095" s="6" t="inlineStr">
        <is>
          <t>REJECTED</t>
        </is>
      </c>
      <c r="M2095" s="8" t="n">
        <v>0</v>
      </c>
      <c r="N2095" s="7">
        <f>M2095*$J$2109-J2095</f>
        <v/>
      </c>
      <c r="O2095" s="9">
        <f>IF(G2095=0,0,N2095/G2095)</f>
        <v/>
      </c>
      <c r="P2095" s="6">
        <f>IF(M2095&gt;0,D2095,"")</f>
        <v/>
      </c>
      <c r="Q2095" s="9">
        <f>I2095+O2095</f>
        <v/>
      </c>
      <c r="R2095" s="7">
        <f>Q2095*G2095</f>
        <v/>
      </c>
      <c r="S2095" s="8">
        <f>IF($R$2109=0,0,R2095/$R$2109)</f>
        <v/>
      </c>
      <c r="T2095" s="8" t="n">
        <v>-0.04867409465595163</v>
      </c>
      <c r="U2095" s="8" t="n">
        <v>0.0003401299118166445</v>
      </c>
      <c r="V2095" s="6" t="inlineStr">
        <is>
          <t>not selected</t>
        </is>
      </c>
    </row>
    <row r="2096">
      <c r="A2096" s="6" t="inlineStr">
        <is>
          <t>DJ30</t>
        </is>
      </c>
      <c r="B2096" s="6" t="inlineStr">
        <is>
          <t>2024-04-19</t>
        </is>
      </c>
      <c r="C2096" s="6" t="inlineStr">
        <is>
          <t>DIA</t>
        </is>
      </c>
      <c r="D2096" s="6" t="inlineStr">
        <is>
          <t>MCD</t>
        </is>
      </c>
      <c r="E2096" s="6" t="inlineStr">
        <is>
          <t>MCD</t>
        </is>
      </c>
      <c r="F2096" s="6" t="inlineStr">
        <is>
          <t>-</t>
        </is>
      </c>
      <c r="G2096" s="7" t="n">
        <v>257.7802429199219</v>
      </c>
      <c r="H2096" s="6">
        <f>P2065</f>
        <v/>
      </c>
      <c r="I2096" s="9">
        <f>Q2065</f>
        <v/>
      </c>
      <c r="J2096" s="7">
        <f>I2096*G2096</f>
        <v/>
      </c>
      <c r="K2096" s="8">
        <f>IF($J$2109=0,0,J2096/$J$2109)</f>
        <v/>
      </c>
      <c r="L2096" s="6" t="inlineStr">
        <is>
          <t>REJECTED</t>
        </is>
      </c>
      <c r="M2096" s="8" t="n">
        <v>0</v>
      </c>
      <c r="N2096" s="7">
        <f>M2096*$J$2109-J2096</f>
        <v/>
      </c>
      <c r="O2096" s="9">
        <f>IF(G2096=0,0,N2096/G2096)</f>
        <v/>
      </c>
      <c r="P2096" s="6">
        <f>IF(M2096&gt;0,D2096,"")</f>
        <v/>
      </c>
      <c r="Q2096" s="9">
        <f>I2096+O2096</f>
        <v/>
      </c>
      <c r="R2096" s="7">
        <f>Q2096*G2096</f>
        <v/>
      </c>
      <c r="S2096" s="8">
        <f>IF($R$2109=0,0,R2096/$R$2109)</f>
        <v/>
      </c>
      <c r="T2096" s="8" t="n">
        <v>-0.04867409465595163</v>
      </c>
      <c r="U2096" s="8" t="n">
        <v>0.0003401299118166445</v>
      </c>
      <c r="V2096" s="6" t="inlineStr">
        <is>
          <t>not selected</t>
        </is>
      </c>
    </row>
    <row r="2097">
      <c r="A2097" s="6" t="inlineStr">
        <is>
          <t>DJ30</t>
        </is>
      </c>
      <c r="B2097" s="6" t="inlineStr">
        <is>
          <t>2024-04-19</t>
        </is>
      </c>
      <c r="C2097" s="6" t="inlineStr">
        <is>
          <t>DIA</t>
        </is>
      </c>
      <c r="D2097" s="6" t="inlineStr">
        <is>
          <t>MMM</t>
        </is>
      </c>
      <c r="E2097" s="6" t="inlineStr">
        <is>
          <t>MMM</t>
        </is>
      </c>
      <c r="F2097" s="6" t="inlineStr">
        <is>
          <t>-</t>
        </is>
      </c>
      <c r="G2097" s="7" t="n">
        <v>88.12689971923828</v>
      </c>
      <c r="H2097" s="6">
        <f>P2066</f>
        <v/>
      </c>
      <c r="I2097" s="9">
        <f>Q2066</f>
        <v/>
      </c>
      <c r="J2097" s="7">
        <f>I2097*G2097</f>
        <v/>
      </c>
      <c r="K2097" s="8">
        <f>IF($J$2109=0,0,J2097/$J$2109)</f>
        <v/>
      </c>
      <c r="L2097" s="6" t="inlineStr">
        <is>
          <t>REJECTED</t>
        </is>
      </c>
      <c r="M2097" s="8" t="n">
        <v>0</v>
      </c>
      <c r="N2097" s="7">
        <f>M2097*$J$2109-J2097</f>
        <v/>
      </c>
      <c r="O2097" s="9">
        <f>IF(G2097=0,0,N2097/G2097)</f>
        <v/>
      </c>
      <c r="P2097" s="6">
        <f>IF(M2097&gt;0,D2097,"")</f>
        <v/>
      </c>
      <c r="Q2097" s="9">
        <f>I2097+O2097</f>
        <v/>
      </c>
      <c r="R2097" s="7">
        <f>Q2097*G2097</f>
        <v/>
      </c>
      <c r="S2097" s="8">
        <f>IF($R$2109=0,0,R2097/$R$2109)</f>
        <v/>
      </c>
      <c r="T2097" s="8" t="n">
        <v>-0.04867409465595163</v>
      </c>
      <c r="U2097" s="8" t="n">
        <v>0.0003401299118166445</v>
      </c>
      <c r="V2097" s="6" t="inlineStr">
        <is>
          <t>not selected</t>
        </is>
      </c>
    </row>
    <row r="2098">
      <c r="A2098" s="6" t="inlineStr">
        <is>
          <t>DJ30</t>
        </is>
      </c>
      <c r="B2098" s="6" t="inlineStr">
        <is>
          <t>2024-04-19</t>
        </is>
      </c>
      <c r="C2098" s="6" t="inlineStr">
        <is>
          <t>DIA</t>
        </is>
      </c>
      <c r="D2098" s="6" t="inlineStr">
        <is>
          <t>MRK</t>
        </is>
      </c>
      <c r="E2098" s="6" t="inlineStr">
        <is>
          <t>MRK</t>
        </is>
      </c>
      <c r="F2098" s="6" t="inlineStr">
        <is>
          <t>-</t>
        </is>
      </c>
      <c r="G2098" s="7" t="n">
        <v>117.0356903076172</v>
      </c>
      <c r="H2098" s="6">
        <f>P2067</f>
        <v/>
      </c>
      <c r="I2098" s="9">
        <f>Q2067</f>
        <v/>
      </c>
      <c r="J2098" s="7">
        <f>I2098*G2098</f>
        <v/>
      </c>
      <c r="K2098" s="8">
        <f>IF($J$2109=0,0,J2098/$J$2109)</f>
        <v/>
      </c>
      <c r="L2098" s="6" t="inlineStr">
        <is>
          <t>WATCHLIST</t>
        </is>
      </c>
      <c r="M2098" s="8" t="n">
        <v>0</v>
      </c>
      <c r="N2098" s="7">
        <f>M2098*$J$2109-J2098</f>
        <v/>
      </c>
      <c r="O2098" s="9">
        <f>IF(G2098=0,0,N2098/G2098)</f>
        <v/>
      </c>
      <c r="P2098" s="6">
        <f>IF(M2098&gt;0,D2098,"")</f>
        <v/>
      </c>
      <c r="Q2098" s="9">
        <f>I2098+O2098</f>
        <v/>
      </c>
      <c r="R2098" s="7">
        <f>Q2098*G2098</f>
        <v/>
      </c>
      <c r="S2098" s="8">
        <f>IF($R$2109=0,0,R2098/$R$2109)</f>
        <v/>
      </c>
      <c r="T2098" s="8" t="n">
        <v>-0.04867409465595163</v>
      </c>
      <c r="U2098" s="8" t="n">
        <v>0.0003401299118166445</v>
      </c>
      <c r="V2098" s="6" t="inlineStr">
        <is>
          <t>not selected</t>
        </is>
      </c>
    </row>
    <row r="2099">
      <c r="A2099" s="6" t="inlineStr">
        <is>
          <t>DJ30</t>
        </is>
      </c>
      <c r="B2099" s="6" t="inlineStr">
        <is>
          <t>2024-04-19</t>
        </is>
      </c>
      <c r="C2099" s="6" t="inlineStr">
        <is>
          <t>DIA</t>
        </is>
      </c>
      <c r="D2099" s="6" t="inlineStr">
        <is>
          <t>MSFT</t>
        </is>
      </c>
      <c r="E2099" s="6" t="inlineStr">
        <is>
          <t>MSFT</t>
        </is>
      </c>
      <c r="F2099" s="6" t="inlineStr">
        <is>
          <t>-</t>
        </is>
      </c>
      <c r="G2099" s="7" t="n">
        <v>392.2371215820313</v>
      </c>
      <c r="H2099" s="6">
        <f>P2068</f>
        <v/>
      </c>
      <c r="I2099" s="9">
        <f>Q2068</f>
        <v/>
      </c>
      <c r="J2099" s="7">
        <f>I2099*G2099</f>
        <v/>
      </c>
      <c r="K2099" s="8">
        <f>IF($J$2109=0,0,J2099/$J$2109)</f>
        <v/>
      </c>
      <c r="L2099" s="6" t="inlineStr">
        <is>
          <t>WATCHLIST</t>
        </is>
      </c>
      <c r="M2099" s="8" t="n">
        <v>0</v>
      </c>
      <c r="N2099" s="7">
        <f>M2099*$J$2109-J2099</f>
        <v/>
      </c>
      <c r="O2099" s="9">
        <f>IF(G2099=0,0,N2099/G2099)</f>
        <v/>
      </c>
      <c r="P2099" s="6">
        <f>IF(M2099&gt;0,D2099,"")</f>
        <v/>
      </c>
      <c r="Q2099" s="9">
        <f>I2099+O2099</f>
        <v/>
      </c>
      <c r="R2099" s="7">
        <f>Q2099*G2099</f>
        <v/>
      </c>
      <c r="S2099" s="8">
        <f>IF($R$2109=0,0,R2099/$R$2109)</f>
        <v/>
      </c>
      <c r="T2099" s="8" t="n">
        <v>-0.04867409465595163</v>
      </c>
      <c r="U2099" s="8" t="n">
        <v>0.0003401299118166445</v>
      </c>
      <c r="V2099" s="6" t="inlineStr">
        <is>
          <t>not selected</t>
        </is>
      </c>
    </row>
    <row r="2100">
      <c r="A2100" s="6" t="inlineStr">
        <is>
          <t>DJ30</t>
        </is>
      </c>
      <c r="B2100" s="6" t="inlineStr">
        <is>
          <t>2024-04-19</t>
        </is>
      </c>
      <c r="C2100" s="6" t="inlineStr">
        <is>
          <t>DIA</t>
        </is>
      </c>
      <c r="D2100" s="6" t="inlineStr">
        <is>
          <t>NKE</t>
        </is>
      </c>
      <c r="E2100" s="6" t="inlineStr">
        <is>
          <t>NKE</t>
        </is>
      </c>
      <c r="F2100" s="6" t="inlineStr">
        <is>
          <t>-</t>
        </is>
      </c>
      <c r="G2100" s="7" t="n">
        <v>89.72341918945312</v>
      </c>
      <c r="H2100" s="6">
        <f>P2069</f>
        <v/>
      </c>
      <c r="I2100" s="9">
        <f>Q2069</f>
        <v/>
      </c>
      <c r="J2100" s="7">
        <f>I2100*G2100</f>
        <v/>
      </c>
      <c r="K2100" s="8">
        <f>IF($J$2109=0,0,J2100/$J$2109)</f>
        <v/>
      </c>
      <c r="L2100" s="6" t="inlineStr">
        <is>
          <t>REJECTED</t>
        </is>
      </c>
      <c r="M2100" s="8" t="n">
        <v>0</v>
      </c>
      <c r="N2100" s="7">
        <f>M2100*$J$2109-J2100</f>
        <v/>
      </c>
      <c r="O2100" s="9">
        <f>IF(G2100=0,0,N2100/G2100)</f>
        <v/>
      </c>
      <c r="P2100" s="6">
        <f>IF(M2100&gt;0,D2100,"")</f>
        <v/>
      </c>
      <c r="Q2100" s="9">
        <f>I2100+O2100</f>
        <v/>
      </c>
      <c r="R2100" s="7">
        <f>Q2100*G2100</f>
        <v/>
      </c>
      <c r="S2100" s="8">
        <f>IF($R$2109=0,0,R2100/$R$2109)</f>
        <v/>
      </c>
      <c r="T2100" s="8" t="n">
        <v>-0.04867409465595163</v>
      </c>
      <c r="U2100" s="8" t="n">
        <v>0.0003401299118166445</v>
      </c>
      <c r="V2100" s="6" t="inlineStr">
        <is>
          <t>not selected</t>
        </is>
      </c>
    </row>
    <row r="2101">
      <c r="A2101" s="6" t="inlineStr">
        <is>
          <t>DJ30</t>
        </is>
      </c>
      <c r="B2101" s="6" t="inlineStr">
        <is>
          <t>2024-04-19</t>
        </is>
      </c>
      <c r="C2101" s="6" t="inlineStr">
        <is>
          <t>DIA</t>
        </is>
      </c>
      <c r="D2101" s="6" t="inlineStr">
        <is>
          <t>NVDA</t>
        </is>
      </c>
      <c r="E2101" s="6" t="inlineStr">
        <is>
          <t>NVDA</t>
        </is>
      </c>
      <c r="F2101" s="6" t="inlineStr">
        <is>
          <t>-</t>
        </is>
      </c>
      <c r="G2101" s="7" t="n">
        <v>76.06837463378906</v>
      </c>
      <c r="H2101" s="6">
        <f>P2070</f>
        <v/>
      </c>
      <c r="I2101" s="9">
        <f>Q2070</f>
        <v/>
      </c>
      <c r="J2101" s="7">
        <f>I2101*G2101</f>
        <v/>
      </c>
      <c r="K2101" s="8">
        <f>IF($J$2109=0,0,J2101/$J$2109)</f>
        <v/>
      </c>
      <c r="L2101" s="6" t="inlineStr">
        <is>
          <t>SELECTED</t>
        </is>
      </c>
      <c r="M2101" s="8" t="n">
        <v>0.2</v>
      </c>
      <c r="N2101" s="7">
        <f>M2101*$J$2109-J2101</f>
        <v/>
      </c>
      <c r="O2101" s="9">
        <f>IF(G2101=0,0,N2101/G2101)</f>
        <v/>
      </c>
      <c r="P2101" s="6">
        <f>IF(M2101&gt;0,D2101,"")</f>
        <v/>
      </c>
      <c r="Q2101" s="9">
        <f>I2101+O2101</f>
        <v/>
      </c>
      <c r="R2101" s="7">
        <f>Q2101*G2101</f>
        <v/>
      </c>
      <c r="S2101" s="8">
        <f>IF($R$2109=0,0,R2101/$R$2109)</f>
        <v/>
      </c>
      <c r="T2101" s="8" t="n">
        <v>-0.04867409465595163</v>
      </c>
      <c r="U2101" s="8" t="n">
        <v>0.0003401299118166445</v>
      </c>
      <c r="V2101" s="6" t="inlineStr">
        <is>
          <t>remained in weekly selection</t>
        </is>
      </c>
    </row>
    <row r="2102">
      <c r="A2102" s="6" t="inlineStr">
        <is>
          <t>DJ30</t>
        </is>
      </c>
      <c r="B2102" s="6" t="inlineStr">
        <is>
          <t>2024-04-19</t>
        </is>
      </c>
      <c r="C2102" s="6" t="inlineStr">
        <is>
          <t>DIA</t>
        </is>
      </c>
      <c r="D2102" s="6" t="inlineStr">
        <is>
          <t>PG</t>
        </is>
      </c>
      <c r="E2102" s="6" t="inlineStr">
        <is>
          <t>PG</t>
        </is>
      </c>
      <c r="F2102" s="6" t="inlineStr">
        <is>
          <t>-</t>
        </is>
      </c>
      <c r="G2102" s="7" t="n">
        <v>150.0499572753906</v>
      </c>
      <c r="H2102" s="6">
        <f>P2071</f>
        <v/>
      </c>
      <c r="I2102" s="9">
        <f>Q2071</f>
        <v/>
      </c>
      <c r="J2102" s="7">
        <f>I2102*G2102</f>
        <v/>
      </c>
      <c r="K2102" s="8">
        <f>IF($J$2109=0,0,J2102/$J$2109)</f>
        <v/>
      </c>
      <c r="L2102" s="6" t="inlineStr">
        <is>
          <t>REJECTED</t>
        </is>
      </c>
      <c r="M2102" s="8" t="n">
        <v>0</v>
      </c>
      <c r="N2102" s="7">
        <f>M2102*$J$2109-J2102</f>
        <v/>
      </c>
      <c r="O2102" s="9">
        <f>IF(G2102=0,0,N2102/G2102)</f>
        <v/>
      </c>
      <c r="P2102" s="6">
        <f>IF(M2102&gt;0,D2102,"")</f>
        <v/>
      </c>
      <c r="Q2102" s="9">
        <f>I2102+O2102</f>
        <v/>
      </c>
      <c r="R2102" s="7">
        <f>Q2102*G2102</f>
        <v/>
      </c>
      <c r="S2102" s="8">
        <f>IF($R$2109=0,0,R2102/$R$2109)</f>
        <v/>
      </c>
      <c r="T2102" s="8" t="n">
        <v>-0.04867409465595163</v>
      </c>
      <c r="U2102" s="8" t="n">
        <v>0.0003401299118166445</v>
      </c>
      <c r="V2102" s="6" t="inlineStr">
        <is>
          <t>not selected</t>
        </is>
      </c>
    </row>
    <row r="2103">
      <c r="A2103" s="6" t="inlineStr">
        <is>
          <t>DJ30</t>
        </is>
      </c>
      <c r="B2103" s="6" t="inlineStr">
        <is>
          <t>2024-04-19</t>
        </is>
      </c>
      <c r="C2103" s="6" t="inlineStr">
        <is>
          <t>DIA</t>
        </is>
      </c>
      <c r="D2103" s="6" t="inlineStr">
        <is>
          <t>SHW</t>
        </is>
      </c>
      <c r="E2103" s="6" t="inlineStr">
        <is>
          <t>SHW</t>
        </is>
      </c>
      <c r="F2103" s="6" t="inlineStr">
        <is>
          <t>-</t>
        </is>
      </c>
      <c r="G2103" s="7" t="n">
        <v>299.9677124023437</v>
      </c>
      <c r="H2103" s="6">
        <f>P2072</f>
        <v/>
      </c>
      <c r="I2103" s="9">
        <f>Q2072</f>
        <v/>
      </c>
      <c r="J2103" s="7">
        <f>I2103*G2103</f>
        <v/>
      </c>
      <c r="K2103" s="8">
        <f>IF($J$2109=0,0,J2103/$J$2109)</f>
        <v/>
      </c>
      <c r="L2103" s="6" t="inlineStr">
        <is>
          <t>WATCHLIST</t>
        </is>
      </c>
      <c r="M2103" s="8" t="n">
        <v>0</v>
      </c>
      <c r="N2103" s="7">
        <f>M2103*$J$2109-J2103</f>
        <v/>
      </c>
      <c r="O2103" s="9">
        <f>IF(G2103=0,0,N2103/G2103)</f>
        <v/>
      </c>
      <c r="P2103" s="6">
        <f>IF(M2103&gt;0,D2103,"")</f>
        <v/>
      </c>
      <c r="Q2103" s="9">
        <f>I2103+O2103</f>
        <v/>
      </c>
      <c r="R2103" s="7">
        <f>Q2103*G2103</f>
        <v/>
      </c>
      <c r="S2103" s="8">
        <f>IF($R$2109=0,0,R2103/$R$2109)</f>
        <v/>
      </c>
      <c r="T2103" s="8" t="n">
        <v>-0.04867409465595163</v>
      </c>
      <c r="U2103" s="8" t="n">
        <v>0.0003401299118166445</v>
      </c>
      <c r="V2103" s="6" t="inlineStr">
        <is>
          <t>not selected</t>
        </is>
      </c>
    </row>
    <row r="2104">
      <c r="A2104" s="6" t="inlineStr">
        <is>
          <t>DJ30</t>
        </is>
      </c>
      <c r="B2104" s="6" t="inlineStr">
        <is>
          <t>2024-04-19</t>
        </is>
      </c>
      <c r="C2104" s="6" t="inlineStr">
        <is>
          <t>DIA</t>
        </is>
      </c>
      <c r="D2104" s="6" t="inlineStr">
        <is>
          <t>TRV</t>
        </is>
      </c>
      <c r="E2104" s="6" t="inlineStr">
        <is>
          <t>TRV</t>
        </is>
      </c>
      <c r="F2104" s="6" t="inlineStr">
        <is>
          <t>-</t>
        </is>
      </c>
      <c r="G2104" s="7" t="n">
        <v>206.19775390625</v>
      </c>
      <c r="H2104" s="6">
        <f>P2073</f>
        <v/>
      </c>
      <c r="I2104" s="9">
        <f>Q2073</f>
        <v/>
      </c>
      <c r="J2104" s="7">
        <f>I2104*G2104</f>
        <v/>
      </c>
      <c r="K2104" s="8">
        <f>IF($J$2109=0,0,J2104/$J$2109)</f>
        <v/>
      </c>
      <c r="L2104" s="6" t="inlineStr">
        <is>
          <t>WATCHLIST</t>
        </is>
      </c>
      <c r="M2104" s="8" t="n">
        <v>0</v>
      </c>
      <c r="N2104" s="7">
        <f>M2104*$J$2109-J2104</f>
        <v/>
      </c>
      <c r="O2104" s="9">
        <f>IF(G2104=0,0,N2104/G2104)</f>
        <v/>
      </c>
      <c r="P2104" s="6">
        <f>IF(M2104&gt;0,D2104,"")</f>
        <v/>
      </c>
      <c r="Q2104" s="9">
        <f>I2104+O2104</f>
        <v/>
      </c>
      <c r="R2104" s="7">
        <f>Q2104*G2104</f>
        <v/>
      </c>
      <c r="S2104" s="8">
        <f>IF($R$2109=0,0,R2104/$R$2109)</f>
        <v/>
      </c>
      <c r="T2104" s="8" t="n">
        <v>-0.04867409465595163</v>
      </c>
      <c r="U2104" s="8" t="n">
        <v>0.0003401299118166445</v>
      </c>
      <c r="V2104" s="6" t="inlineStr">
        <is>
          <t>not selected</t>
        </is>
      </c>
    </row>
    <row r="2105">
      <c r="A2105" s="6" t="inlineStr">
        <is>
          <t>DJ30</t>
        </is>
      </c>
      <c r="B2105" s="6" t="inlineStr">
        <is>
          <t>2024-04-19</t>
        </is>
      </c>
      <c r="C2105" s="6" t="inlineStr">
        <is>
          <t>DIA</t>
        </is>
      </c>
      <c r="D2105" s="6" t="inlineStr">
        <is>
          <t>UNH</t>
        </is>
      </c>
      <c r="E2105" s="6" t="inlineStr">
        <is>
          <t>UNH</t>
        </is>
      </c>
      <c r="F2105" s="6" t="inlineStr">
        <is>
          <t>-</t>
        </is>
      </c>
      <c r="G2105" s="7" t="n">
        <v>476.9905395507813</v>
      </c>
      <c r="H2105" s="6">
        <f>P2074</f>
        <v/>
      </c>
      <c r="I2105" s="9">
        <f>Q2074</f>
        <v/>
      </c>
      <c r="J2105" s="7">
        <f>I2105*G2105</f>
        <v/>
      </c>
      <c r="K2105" s="8">
        <f>IF($J$2109=0,0,J2105/$J$2109)</f>
        <v/>
      </c>
      <c r="L2105" s="6" t="inlineStr">
        <is>
          <t>REJECTED</t>
        </is>
      </c>
      <c r="M2105" s="8" t="n">
        <v>0</v>
      </c>
      <c r="N2105" s="7">
        <f>M2105*$J$2109-J2105</f>
        <v/>
      </c>
      <c r="O2105" s="9">
        <f>IF(G2105=0,0,N2105/G2105)</f>
        <v/>
      </c>
      <c r="P2105" s="6">
        <f>IF(M2105&gt;0,D2105,"")</f>
        <v/>
      </c>
      <c r="Q2105" s="9">
        <f>I2105+O2105</f>
        <v/>
      </c>
      <c r="R2105" s="7">
        <f>Q2105*G2105</f>
        <v/>
      </c>
      <c r="S2105" s="8">
        <f>IF($R$2109=0,0,R2105/$R$2109)</f>
        <v/>
      </c>
      <c r="T2105" s="8" t="n">
        <v>-0.04867409465595163</v>
      </c>
      <c r="U2105" s="8" t="n">
        <v>0.0003401299118166445</v>
      </c>
      <c r="V2105" s="6" t="inlineStr">
        <is>
          <t>not selected</t>
        </is>
      </c>
    </row>
    <row r="2106">
      <c r="A2106" s="6" t="inlineStr">
        <is>
          <t>DJ30</t>
        </is>
      </c>
      <c r="B2106" s="6" t="inlineStr">
        <is>
          <t>2024-04-19</t>
        </is>
      </c>
      <c r="C2106" s="6" t="inlineStr">
        <is>
          <t>DIA</t>
        </is>
      </c>
      <c r="D2106" s="6" t="inlineStr">
        <is>
          <t>V</t>
        </is>
      </c>
      <c r="E2106" s="6" t="inlineStr">
        <is>
          <t>V</t>
        </is>
      </c>
      <c r="F2106" s="6" t="inlineStr">
        <is>
          <t>-</t>
        </is>
      </c>
      <c r="G2106" s="7" t="n">
        <v>265.2431030273437</v>
      </c>
      <c r="H2106" s="6">
        <f>P2075</f>
        <v/>
      </c>
      <c r="I2106" s="9">
        <f>Q2075</f>
        <v/>
      </c>
      <c r="J2106" s="7">
        <f>I2106*G2106</f>
        <v/>
      </c>
      <c r="K2106" s="8">
        <f>IF($J$2109=0,0,J2106/$J$2109)</f>
        <v/>
      </c>
      <c r="L2106" s="6" t="inlineStr">
        <is>
          <t>WATCHLIST</t>
        </is>
      </c>
      <c r="M2106" s="8" t="n">
        <v>0</v>
      </c>
      <c r="N2106" s="7">
        <f>M2106*$J$2109-J2106</f>
        <v/>
      </c>
      <c r="O2106" s="9">
        <f>IF(G2106=0,0,N2106/G2106)</f>
        <v/>
      </c>
      <c r="P2106" s="6">
        <f>IF(M2106&gt;0,D2106,"")</f>
        <v/>
      </c>
      <c r="Q2106" s="9">
        <f>I2106+O2106</f>
        <v/>
      </c>
      <c r="R2106" s="7">
        <f>Q2106*G2106</f>
        <v/>
      </c>
      <c r="S2106" s="8">
        <f>IF($R$2109=0,0,R2106/$R$2109)</f>
        <v/>
      </c>
      <c r="T2106" s="8" t="n">
        <v>-0.04867409465595163</v>
      </c>
      <c r="U2106" s="8" t="n">
        <v>0.0003401299118166445</v>
      </c>
      <c r="V2106" s="6" t="inlineStr">
        <is>
          <t>not selected</t>
        </is>
      </c>
    </row>
    <row r="2107">
      <c r="A2107" s="6" t="inlineStr">
        <is>
          <t>DJ30</t>
        </is>
      </c>
      <c r="B2107" s="6" t="inlineStr">
        <is>
          <t>2024-04-19</t>
        </is>
      </c>
      <c r="C2107" s="6" t="inlineStr">
        <is>
          <t>DIA</t>
        </is>
      </c>
      <c r="D2107" s="6" t="inlineStr">
        <is>
          <t>VZ</t>
        </is>
      </c>
      <c r="E2107" s="6" t="inlineStr">
        <is>
          <t>VZ</t>
        </is>
      </c>
      <c r="F2107" s="6" t="inlineStr">
        <is>
          <t>-</t>
        </is>
      </c>
      <c r="G2107" s="7" t="n">
        <v>35.53862762451172</v>
      </c>
      <c r="H2107" s="6">
        <f>P2076</f>
        <v/>
      </c>
      <c r="I2107" s="9">
        <f>Q2076</f>
        <v/>
      </c>
      <c r="J2107" s="7">
        <f>I2107*G2107</f>
        <v/>
      </c>
      <c r="K2107" s="8">
        <f>IF($J$2109=0,0,J2107/$J$2109)</f>
        <v/>
      </c>
      <c r="L2107" s="6" t="inlineStr">
        <is>
          <t>WATCHLIST</t>
        </is>
      </c>
      <c r="M2107" s="8" t="n">
        <v>0</v>
      </c>
      <c r="N2107" s="7">
        <f>M2107*$J$2109-J2107</f>
        <v/>
      </c>
      <c r="O2107" s="9">
        <f>IF(G2107=0,0,N2107/G2107)</f>
        <v/>
      </c>
      <c r="P2107" s="6">
        <f>IF(M2107&gt;0,D2107,"")</f>
        <v/>
      </c>
      <c r="Q2107" s="9">
        <f>I2107+O2107</f>
        <v/>
      </c>
      <c r="R2107" s="7">
        <f>Q2107*G2107</f>
        <v/>
      </c>
      <c r="S2107" s="8">
        <f>IF($R$2109=0,0,R2107/$R$2109)</f>
        <v/>
      </c>
      <c r="T2107" s="8" t="n">
        <v>-0.04867409465595163</v>
      </c>
      <c r="U2107" s="8" t="n">
        <v>0.0003401299118166445</v>
      </c>
      <c r="V2107" s="6" t="inlineStr">
        <is>
          <t>not selected</t>
        </is>
      </c>
    </row>
    <row r="2108">
      <c r="A2108" s="6" t="inlineStr">
        <is>
          <t>DJ30</t>
        </is>
      </c>
      <c r="B2108" s="6" t="inlineStr">
        <is>
          <t>2024-04-19</t>
        </is>
      </c>
      <c r="C2108" s="6" t="inlineStr">
        <is>
          <t>DIA</t>
        </is>
      </c>
      <c r="D2108" s="6" t="inlineStr">
        <is>
          <t>WMT</t>
        </is>
      </c>
      <c r="E2108" s="6" t="inlineStr">
        <is>
          <t>WMT</t>
        </is>
      </c>
      <c r="F2108" s="6" t="inlineStr">
        <is>
          <t>-</t>
        </is>
      </c>
      <c r="G2108" s="7" t="n">
        <v>58.23474502563477</v>
      </c>
      <c r="H2108" s="6">
        <f>P2077</f>
        <v/>
      </c>
      <c r="I2108" s="9">
        <f>Q2077</f>
        <v/>
      </c>
      <c r="J2108" s="7">
        <f>I2108*G2108</f>
        <v/>
      </c>
      <c r="K2108" s="8">
        <f>IF($J$2109=0,0,J2108/$J$2109)</f>
        <v/>
      </c>
      <c r="L2108" s="6" t="inlineStr">
        <is>
          <t>WATCHLIST</t>
        </is>
      </c>
      <c r="M2108" s="8" t="n">
        <v>0</v>
      </c>
      <c r="N2108" s="7">
        <f>M2108*$J$2109-J2108</f>
        <v/>
      </c>
      <c r="O2108" s="9">
        <f>IF(G2108=0,0,N2108/G2108)</f>
        <v/>
      </c>
      <c r="P2108" s="6">
        <f>IF(M2108&gt;0,D2108,"")</f>
        <v/>
      </c>
      <c r="Q2108" s="9">
        <f>I2108+O2108</f>
        <v/>
      </c>
      <c r="R2108" s="7">
        <f>Q2108*G2108</f>
        <v/>
      </c>
      <c r="S2108" s="8">
        <f>IF($R$2109=0,0,R2108/$R$2109)</f>
        <v/>
      </c>
      <c r="T2108" s="8" t="n">
        <v>-0.04867409465595163</v>
      </c>
      <c r="U2108" s="8" t="n">
        <v>0.0003401299118166445</v>
      </c>
      <c r="V2108" s="6" t="inlineStr">
        <is>
          <t>not selected</t>
        </is>
      </c>
    </row>
    <row r="2109">
      <c r="A2109" s="10" t="inlineStr">
        <is>
          <t>DJ30</t>
        </is>
      </c>
      <c r="B2109" s="10" t="inlineStr">
        <is>
          <t>2024-04-19</t>
        </is>
      </c>
      <c r="C2109" s="10" t="inlineStr">
        <is>
          <t>DIA</t>
        </is>
      </c>
      <c r="D2109" s="10" t="inlineStr">
        <is>
          <t>Tot Portfolio</t>
        </is>
      </c>
      <c r="E2109" s="10" t="inlineStr"/>
      <c r="F2109" s="10" t="inlineStr"/>
      <c r="G2109" s="11" t="inlineStr"/>
      <c r="H2109" s="10" t="inlineStr"/>
      <c r="I2109" s="12" t="inlineStr"/>
      <c r="J2109" s="11">
        <f>SUM(J2079:J2108)</f>
        <v/>
      </c>
      <c r="K2109" s="13">
        <f>SUM(K2079:K2108)</f>
        <v/>
      </c>
      <c r="L2109" s="10" t="inlineStr">
        <is>
          <t>TOTAL</t>
        </is>
      </c>
      <c r="M2109" s="13">
        <f>SUM(M2079:M2108)</f>
        <v/>
      </c>
      <c r="N2109" s="11">
        <f>SUM(N2079:N2108)</f>
        <v/>
      </c>
      <c r="O2109" s="12">
        <f>SUM(O2079:O2108)</f>
        <v/>
      </c>
      <c r="P2109" s="10" t="inlineStr"/>
      <c r="Q2109" s="12" t="inlineStr"/>
      <c r="R2109" s="11">
        <f>SUM(R2079:R2108)</f>
        <v/>
      </c>
      <c r="S2109" s="13">
        <f>SUM(S2079:S2108)</f>
        <v/>
      </c>
      <c r="T2109" s="13" t="n">
        <v>-0.04867409465595163</v>
      </c>
      <c r="U2109" s="13" t="n">
        <v>0.0003401299118166445</v>
      </c>
      <c r="V2109" s="10" t="inlineStr"/>
    </row>
    <row r="2110">
      <c r="A2110" s="6" t="inlineStr">
        <is>
          <t>DJ30</t>
        </is>
      </c>
      <c r="B2110" s="6" t="inlineStr">
        <is>
          <t>2024-04-26</t>
        </is>
      </c>
      <c r="C2110" s="6" t="inlineStr">
        <is>
          <t>DIA</t>
        </is>
      </c>
      <c r="D2110" s="6" t="inlineStr">
        <is>
          <t>AAPL</t>
        </is>
      </c>
      <c r="E2110" s="6" t="inlineStr">
        <is>
          <t>AAPL</t>
        </is>
      </c>
      <c r="F2110" s="6" t="inlineStr">
        <is>
          <t>-</t>
        </is>
      </c>
      <c r="G2110" s="7" t="n">
        <v>167.6186828613281</v>
      </c>
      <c r="H2110" s="6">
        <f>P2079</f>
        <v/>
      </c>
      <c r="I2110" s="9">
        <f>Q2079</f>
        <v/>
      </c>
      <c r="J2110" s="7">
        <f>I2110*G2110</f>
        <v/>
      </c>
      <c r="K2110" s="8">
        <f>IF($J$2140=0,0,J2110/$J$2140)</f>
        <v/>
      </c>
      <c r="L2110" s="6" t="inlineStr">
        <is>
          <t>REJECTED</t>
        </is>
      </c>
      <c r="M2110" s="8" t="n">
        <v>0</v>
      </c>
      <c r="N2110" s="7">
        <f>M2110*$J$2140-J2110</f>
        <v/>
      </c>
      <c r="O2110" s="9">
        <f>IF(G2110=0,0,N2110/G2110)</f>
        <v/>
      </c>
      <c r="P2110" s="6">
        <f>IF(M2110&gt;0,D2110,"")</f>
        <v/>
      </c>
      <c r="Q2110" s="9">
        <f>I2110+O2110</f>
        <v/>
      </c>
      <c r="R2110" s="7">
        <f>Q2110*G2110</f>
        <v/>
      </c>
      <c r="S2110" s="8">
        <f>IF($R$2140=0,0,R2110/$R$2140)</f>
        <v/>
      </c>
      <c r="T2110" s="8" t="n">
        <v>0.01917615068449985</v>
      </c>
      <c r="U2110" s="8" t="n">
        <v>0.006608855645268363</v>
      </c>
      <c r="V2110" s="6" t="inlineStr">
        <is>
          <t>not selected</t>
        </is>
      </c>
    </row>
    <row r="2111">
      <c r="A2111" s="6" t="inlineStr">
        <is>
          <t>DJ30</t>
        </is>
      </c>
      <c r="B2111" s="6" t="inlineStr">
        <is>
          <t>2024-04-26</t>
        </is>
      </c>
      <c r="C2111" s="6" t="inlineStr">
        <is>
          <t>DIA</t>
        </is>
      </c>
      <c r="D2111" s="6" t="inlineStr">
        <is>
          <t>AMGN</t>
        </is>
      </c>
      <c r="E2111" s="6" t="inlineStr">
        <is>
          <t>AMGN</t>
        </is>
      </c>
      <c r="F2111" s="6" t="inlineStr">
        <is>
          <t>-</t>
        </is>
      </c>
      <c r="G2111" s="7" t="n">
        <v>252.1203002929688</v>
      </c>
      <c r="H2111" s="6">
        <f>P2080</f>
        <v/>
      </c>
      <c r="I2111" s="9">
        <f>Q2080</f>
        <v/>
      </c>
      <c r="J2111" s="7">
        <f>I2111*G2111</f>
        <v/>
      </c>
      <c r="K2111" s="8">
        <f>IF($J$2140=0,0,J2111/$J$2140)</f>
        <v/>
      </c>
      <c r="L2111" s="6" t="inlineStr">
        <is>
          <t>WATCHLIST</t>
        </is>
      </c>
      <c r="M2111" s="8" t="n">
        <v>0</v>
      </c>
      <c r="N2111" s="7">
        <f>M2111*$J$2140-J2111</f>
        <v/>
      </c>
      <c r="O2111" s="9">
        <f>IF(G2111=0,0,N2111/G2111)</f>
        <v/>
      </c>
      <c r="P2111" s="6">
        <f>IF(M2111&gt;0,D2111,"")</f>
        <v/>
      </c>
      <c r="Q2111" s="9">
        <f>I2111+O2111</f>
        <v/>
      </c>
      <c r="R2111" s="7">
        <f>Q2111*G2111</f>
        <v/>
      </c>
      <c r="S2111" s="8">
        <f>IF($R$2140=0,0,R2111/$R$2140)</f>
        <v/>
      </c>
      <c r="T2111" s="8" t="n">
        <v>0.01917615068449985</v>
      </c>
      <c r="U2111" s="8" t="n">
        <v>0.006608855645268363</v>
      </c>
      <c r="V2111" s="6" t="inlineStr">
        <is>
          <t>not selected</t>
        </is>
      </c>
    </row>
    <row r="2112">
      <c r="A2112" s="6" t="inlineStr">
        <is>
          <t>DJ30</t>
        </is>
      </c>
      <c r="B2112" s="6" t="inlineStr">
        <is>
          <t>2024-04-26</t>
        </is>
      </c>
      <c r="C2112" s="6" t="inlineStr">
        <is>
          <t>DIA</t>
        </is>
      </c>
      <c r="D2112" s="6" t="inlineStr">
        <is>
          <t>AMZN</t>
        </is>
      </c>
      <c r="E2112" s="6" t="inlineStr">
        <is>
          <t>AMZN</t>
        </is>
      </c>
      <c r="F2112" s="6" t="inlineStr">
        <is>
          <t>-</t>
        </is>
      </c>
      <c r="G2112" s="7" t="n">
        <v>179.6199951171875</v>
      </c>
      <c r="H2112" s="6">
        <f>P2081</f>
        <v/>
      </c>
      <c r="I2112" s="9">
        <f>Q2081</f>
        <v/>
      </c>
      <c r="J2112" s="7">
        <f>I2112*G2112</f>
        <v/>
      </c>
      <c r="K2112" s="8">
        <f>IF($J$2140=0,0,J2112/$J$2140)</f>
        <v/>
      </c>
      <c r="L2112" s="6" t="inlineStr">
        <is>
          <t>WATCHLIST</t>
        </is>
      </c>
      <c r="M2112" s="8" t="n">
        <v>0</v>
      </c>
      <c r="N2112" s="7">
        <f>M2112*$J$2140-J2112</f>
        <v/>
      </c>
      <c r="O2112" s="9">
        <f>IF(G2112=0,0,N2112/G2112)</f>
        <v/>
      </c>
      <c r="P2112" s="6">
        <f>IF(M2112&gt;0,D2112,"")</f>
        <v/>
      </c>
      <c r="Q2112" s="9">
        <f>I2112+O2112</f>
        <v/>
      </c>
      <c r="R2112" s="7">
        <f>Q2112*G2112</f>
        <v/>
      </c>
      <c r="S2112" s="8">
        <f>IF($R$2140=0,0,R2112/$R$2140)</f>
        <v/>
      </c>
      <c r="T2112" s="8" t="n">
        <v>0.01917615068449985</v>
      </c>
      <c r="U2112" s="8" t="n">
        <v>0.006608855645268363</v>
      </c>
      <c r="V2112" s="6" t="inlineStr">
        <is>
          <t>not selected</t>
        </is>
      </c>
    </row>
    <row r="2113">
      <c r="A2113" s="6" t="inlineStr">
        <is>
          <t>DJ30</t>
        </is>
      </c>
      <c r="B2113" s="6" t="inlineStr">
        <is>
          <t>2024-04-26</t>
        </is>
      </c>
      <c r="C2113" s="6" t="inlineStr">
        <is>
          <t>DIA</t>
        </is>
      </c>
      <c r="D2113" s="6" t="inlineStr">
        <is>
          <t>AXP</t>
        </is>
      </c>
      <c r="E2113" s="6" t="inlineStr">
        <is>
          <t>AXP</t>
        </is>
      </c>
      <c r="F2113" s="6" t="inlineStr">
        <is>
          <t>-</t>
        </is>
      </c>
      <c r="G2113" s="7" t="n">
        <v>230.5876770019531</v>
      </c>
      <c r="H2113" s="6">
        <f>P2082</f>
        <v/>
      </c>
      <c r="I2113" s="9">
        <f>Q2082</f>
        <v/>
      </c>
      <c r="J2113" s="7">
        <f>I2113*G2113</f>
        <v/>
      </c>
      <c r="K2113" s="8">
        <f>IF($J$2140=0,0,J2113/$J$2140)</f>
        <v/>
      </c>
      <c r="L2113" s="6" t="inlineStr">
        <is>
          <t>WATCHLIST</t>
        </is>
      </c>
      <c r="M2113" s="8" t="n">
        <v>0</v>
      </c>
      <c r="N2113" s="7">
        <f>M2113*$J$2140-J2113</f>
        <v/>
      </c>
      <c r="O2113" s="9">
        <f>IF(G2113=0,0,N2113/G2113)</f>
        <v/>
      </c>
      <c r="P2113" s="6">
        <f>IF(M2113&gt;0,D2113,"")</f>
        <v/>
      </c>
      <c r="Q2113" s="9">
        <f>I2113+O2113</f>
        <v/>
      </c>
      <c r="R2113" s="7">
        <f>Q2113*G2113</f>
        <v/>
      </c>
      <c r="S2113" s="8">
        <f>IF($R$2140=0,0,R2113/$R$2140)</f>
        <v/>
      </c>
      <c r="T2113" s="8" t="n">
        <v>0.01917615068449985</v>
      </c>
      <c r="U2113" s="8" t="n">
        <v>0.006608855645268363</v>
      </c>
      <c r="V2113" s="6" t="inlineStr">
        <is>
          <t>not selected</t>
        </is>
      </c>
    </row>
    <row r="2114">
      <c r="A2114" s="6" t="inlineStr">
        <is>
          <t>DJ30</t>
        </is>
      </c>
      <c r="B2114" s="6" t="inlineStr">
        <is>
          <t>2024-04-26</t>
        </is>
      </c>
      <c r="C2114" s="6" t="inlineStr">
        <is>
          <t>DIA</t>
        </is>
      </c>
      <c r="D2114" s="6" t="inlineStr">
        <is>
          <t>BA</t>
        </is>
      </c>
      <c r="E2114" s="6" t="inlineStr">
        <is>
          <t>BA</t>
        </is>
      </c>
      <c r="F2114" s="6" t="inlineStr">
        <is>
          <t>-</t>
        </is>
      </c>
      <c r="G2114" s="7" t="n">
        <v>167.2200012207031</v>
      </c>
      <c r="H2114" s="6">
        <f>P2083</f>
        <v/>
      </c>
      <c r="I2114" s="9">
        <f>Q2083</f>
        <v/>
      </c>
      <c r="J2114" s="7">
        <f>I2114*G2114</f>
        <v/>
      </c>
      <c r="K2114" s="8">
        <f>IF($J$2140=0,0,J2114/$J$2140)</f>
        <v/>
      </c>
      <c r="L2114" s="6" t="inlineStr">
        <is>
          <t>REJECTED</t>
        </is>
      </c>
      <c r="M2114" s="8" t="n">
        <v>0</v>
      </c>
      <c r="N2114" s="7">
        <f>M2114*$J$2140-J2114</f>
        <v/>
      </c>
      <c r="O2114" s="9">
        <f>IF(G2114=0,0,N2114/G2114)</f>
        <v/>
      </c>
      <c r="P2114" s="6">
        <f>IF(M2114&gt;0,D2114,"")</f>
        <v/>
      </c>
      <c r="Q2114" s="9">
        <f>I2114+O2114</f>
        <v/>
      </c>
      <c r="R2114" s="7">
        <f>Q2114*G2114</f>
        <v/>
      </c>
      <c r="S2114" s="8">
        <f>IF($R$2140=0,0,R2114/$R$2140)</f>
        <v/>
      </c>
      <c r="T2114" s="8" t="n">
        <v>0.01917615068449985</v>
      </c>
      <c r="U2114" s="8" t="n">
        <v>0.006608855645268363</v>
      </c>
      <c r="V2114" s="6" t="inlineStr">
        <is>
          <t>not selected</t>
        </is>
      </c>
    </row>
    <row r="2115">
      <c r="A2115" s="6" t="inlineStr">
        <is>
          <t>DJ30</t>
        </is>
      </c>
      <c r="B2115" s="6" t="inlineStr">
        <is>
          <t>2024-04-26</t>
        </is>
      </c>
      <c r="C2115" s="6" t="inlineStr">
        <is>
          <t>DIA</t>
        </is>
      </c>
      <c r="D2115" s="6" t="inlineStr">
        <is>
          <t>CAT</t>
        </is>
      </c>
      <c r="E2115" s="6" t="inlineStr">
        <is>
          <t>CAT</t>
        </is>
      </c>
      <c r="F2115" s="6" t="inlineStr">
        <is>
          <t>-</t>
        </is>
      </c>
      <c r="G2115" s="7" t="n">
        <v>334.2736206054688</v>
      </c>
      <c r="H2115" s="6">
        <f>P2084</f>
        <v/>
      </c>
      <c r="I2115" s="9">
        <f>Q2084</f>
        <v/>
      </c>
      <c r="J2115" s="7">
        <f>I2115*G2115</f>
        <v/>
      </c>
      <c r="K2115" s="8">
        <f>IF($J$2140=0,0,J2115/$J$2140)</f>
        <v/>
      </c>
      <c r="L2115" s="6" t="inlineStr">
        <is>
          <t>SELECTED</t>
        </is>
      </c>
      <c r="M2115" s="8" t="n">
        <v>0.2</v>
      </c>
      <c r="N2115" s="7">
        <f>M2115*$J$2140-J2115</f>
        <v/>
      </c>
      <c r="O2115" s="9">
        <f>IF(G2115=0,0,N2115/G2115)</f>
        <v/>
      </c>
      <c r="P2115" s="6">
        <f>IF(M2115&gt;0,D2115,"")</f>
        <v/>
      </c>
      <c r="Q2115" s="9">
        <f>I2115+O2115</f>
        <v/>
      </c>
      <c r="R2115" s="7">
        <f>Q2115*G2115</f>
        <v/>
      </c>
      <c r="S2115" s="8">
        <f>IF($R$2140=0,0,R2115/$R$2140)</f>
        <v/>
      </c>
      <c r="T2115" s="8" t="n">
        <v>0.01917615068449985</v>
      </c>
      <c r="U2115" s="8" t="n">
        <v>0.006608855645268363</v>
      </c>
      <c r="V2115" s="6" t="inlineStr">
        <is>
          <t>remained in weekly selection</t>
        </is>
      </c>
    </row>
    <row r="2116">
      <c r="A2116" s="6" t="inlineStr">
        <is>
          <t>DJ30</t>
        </is>
      </c>
      <c r="B2116" s="6" t="inlineStr">
        <is>
          <t>2024-04-26</t>
        </is>
      </c>
      <c r="C2116" s="6" t="inlineStr">
        <is>
          <t>DIA</t>
        </is>
      </c>
      <c r="D2116" s="6" t="inlineStr">
        <is>
          <t>CRM</t>
        </is>
      </c>
      <c r="E2116" s="6" t="inlineStr">
        <is>
          <t>CRM</t>
        </is>
      </c>
      <c r="F2116" s="6" t="inlineStr">
        <is>
          <t>-</t>
        </is>
      </c>
      <c r="G2116" s="7" t="n">
        <v>269.9775695800781</v>
      </c>
      <c r="H2116" s="6">
        <f>P2085</f>
        <v/>
      </c>
      <c r="I2116" s="9">
        <f>Q2085</f>
        <v/>
      </c>
      <c r="J2116" s="7">
        <f>I2116*G2116</f>
        <v/>
      </c>
      <c r="K2116" s="8">
        <f>IF($J$2140=0,0,J2116/$J$2140)</f>
        <v/>
      </c>
      <c r="L2116" s="6" t="inlineStr">
        <is>
          <t>SELECTED</t>
        </is>
      </c>
      <c r="M2116" s="8" t="n">
        <v>0.2</v>
      </c>
      <c r="N2116" s="7">
        <f>M2116*$J$2140-J2116</f>
        <v/>
      </c>
      <c r="O2116" s="9">
        <f>IF(G2116=0,0,N2116/G2116)</f>
        <v/>
      </c>
      <c r="P2116" s="6">
        <f>IF(M2116&gt;0,D2116,"")</f>
        <v/>
      </c>
      <c r="Q2116" s="9">
        <f>I2116+O2116</f>
        <v/>
      </c>
      <c r="R2116" s="7">
        <f>Q2116*G2116</f>
        <v/>
      </c>
      <c r="S2116" s="8">
        <f>IF($R$2140=0,0,R2116/$R$2140)</f>
        <v/>
      </c>
      <c r="T2116" s="8" t="n">
        <v>0.01917615068449985</v>
      </c>
      <c r="U2116" s="8" t="n">
        <v>0.006608855645268363</v>
      </c>
      <c r="V2116" s="6" t="inlineStr">
        <is>
          <t>remained in weekly selection</t>
        </is>
      </c>
    </row>
    <row r="2117">
      <c r="A2117" s="6" t="inlineStr">
        <is>
          <t>DJ30</t>
        </is>
      </c>
      <c r="B2117" s="6" t="inlineStr">
        <is>
          <t>2024-04-26</t>
        </is>
      </c>
      <c r="C2117" s="6" t="inlineStr">
        <is>
          <t>DIA</t>
        </is>
      </c>
      <c r="D2117" s="6" t="inlineStr">
        <is>
          <t>CSCO</t>
        </is>
      </c>
      <c r="E2117" s="6" t="inlineStr">
        <is>
          <t>CSCO</t>
        </is>
      </c>
      <c r="F2117" s="6" t="inlineStr">
        <is>
          <t>-</t>
        </is>
      </c>
      <c r="G2117" s="7" t="n">
        <v>45.41917037963867</v>
      </c>
      <c r="H2117" s="6">
        <f>P2086</f>
        <v/>
      </c>
      <c r="I2117" s="9">
        <f>Q2086</f>
        <v/>
      </c>
      <c r="J2117" s="7">
        <f>I2117*G2117</f>
        <v/>
      </c>
      <c r="K2117" s="8">
        <f>IF($J$2140=0,0,J2117/$J$2140)</f>
        <v/>
      </c>
      <c r="L2117" s="6" t="inlineStr">
        <is>
          <t>REJECTED</t>
        </is>
      </c>
      <c r="M2117" s="8" t="n">
        <v>0</v>
      </c>
      <c r="N2117" s="7">
        <f>M2117*$J$2140-J2117</f>
        <v/>
      </c>
      <c r="O2117" s="9">
        <f>IF(G2117=0,0,N2117/G2117)</f>
        <v/>
      </c>
      <c r="P2117" s="6">
        <f>IF(M2117&gt;0,D2117,"")</f>
        <v/>
      </c>
      <c r="Q2117" s="9">
        <f>I2117+O2117</f>
        <v/>
      </c>
      <c r="R2117" s="7">
        <f>Q2117*G2117</f>
        <v/>
      </c>
      <c r="S2117" s="8">
        <f>IF($R$2140=0,0,R2117/$R$2140)</f>
        <v/>
      </c>
      <c r="T2117" s="8" t="n">
        <v>0.01917615068449985</v>
      </c>
      <c r="U2117" s="8" t="n">
        <v>0.006608855645268363</v>
      </c>
      <c r="V2117" s="6" t="inlineStr">
        <is>
          <t>not selected</t>
        </is>
      </c>
    </row>
    <row r="2118">
      <c r="A2118" s="6" t="inlineStr">
        <is>
          <t>DJ30</t>
        </is>
      </c>
      <c r="B2118" s="6" t="inlineStr">
        <is>
          <t>2024-04-26</t>
        </is>
      </c>
      <c r="C2118" s="6" t="inlineStr">
        <is>
          <t>DIA</t>
        </is>
      </c>
      <c r="D2118" s="6" t="inlineStr">
        <is>
          <t>CVX</t>
        </is>
      </c>
      <c r="E2118" s="6" t="inlineStr">
        <is>
          <t>CVX</t>
        </is>
      </c>
      <c r="F2118" s="6" t="inlineStr">
        <is>
          <t>-</t>
        </is>
      </c>
      <c r="G2118" s="7" t="n">
        <v>150.7815093994141</v>
      </c>
      <c r="H2118" s="6">
        <f>P2087</f>
        <v/>
      </c>
      <c r="I2118" s="9">
        <f>Q2087</f>
        <v/>
      </c>
      <c r="J2118" s="7">
        <f>I2118*G2118</f>
        <v/>
      </c>
      <c r="K2118" s="8">
        <f>IF($J$2140=0,0,J2118/$J$2140)</f>
        <v/>
      </c>
      <c r="L2118" s="6" t="inlineStr">
        <is>
          <t>REJECTED</t>
        </is>
      </c>
      <c r="M2118" s="8" t="n">
        <v>0</v>
      </c>
      <c r="N2118" s="7">
        <f>M2118*$J$2140-J2118</f>
        <v/>
      </c>
      <c r="O2118" s="9">
        <f>IF(G2118=0,0,N2118/G2118)</f>
        <v/>
      </c>
      <c r="P2118" s="6">
        <f>IF(M2118&gt;0,D2118,"")</f>
        <v/>
      </c>
      <c r="Q2118" s="9">
        <f>I2118+O2118</f>
        <v/>
      </c>
      <c r="R2118" s="7">
        <f>Q2118*G2118</f>
        <v/>
      </c>
      <c r="S2118" s="8">
        <f>IF($R$2140=0,0,R2118/$R$2140)</f>
        <v/>
      </c>
      <c r="T2118" s="8" t="n">
        <v>0.01917615068449985</v>
      </c>
      <c r="U2118" s="8" t="n">
        <v>0.006608855645268363</v>
      </c>
      <c r="V2118" s="6" t="inlineStr">
        <is>
          <t>not selected</t>
        </is>
      </c>
    </row>
    <row r="2119">
      <c r="A2119" s="6" t="inlineStr">
        <is>
          <t>DJ30</t>
        </is>
      </c>
      <c r="B2119" s="6" t="inlineStr">
        <is>
          <t>2024-04-26</t>
        </is>
      </c>
      <c r="C2119" s="6" t="inlineStr">
        <is>
          <t>DIA</t>
        </is>
      </c>
      <c r="D2119" s="6" t="inlineStr">
        <is>
          <t>DIS</t>
        </is>
      </c>
      <c r="E2119" s="6" t="inlineStr">
        <is>
          <t>DIS</t>
        </is>
      </c>
      <c r="F2119" s="6" t="inlineStr">
        <is>
          <t>-</t>
        </is>
      </c>
      <c r="G2119" s="7" t="n">
        <v>110.4953002929688</v>
      </c>
      <c r="H2119" s="6">
        <f>P2088</f>
        <v/>
      </c>
      <c r="I2119" s="9">
        <f>Q2088</f>
        <v/>
      </c>
      <c r="J2119" s="7">
        <f>I2119*G2119</f>
        <v/>
      </c>
      <c r="K2119" s="8">
        <f>IF($J$2140=0,0,J2119/$J$2140)</f>
        <v/>
      </c>
      <c r="L2119" s="6" t="inlineStr">
        <is>
          <t>WATCHLIST</t>
        </is>
      </c>
      <c r="M2119" s="8" t="n">
        <v>0</v>
      </c>
      <c r="N2119" s="7">
        <f>M2119*$J$2140-J2119</f>
        <v/>
      </c>
      <c r="O2119" s="9">
        <f>IF(G2119=0,0,N2119/G2119)</f>
        <v/>
      </c>
      <c r="P2119" s="6">
        <f>IF(M2119&gt;0,D2119,"")</f>
        <v/>
      </c>
      <c r="Q2119" s="9">
        <f>I2119+O2119</f>
        <v/>
      </c>
      <c r="R2119" s="7">
        <f>Q2119*G2119</f>
        <v/>
      </c>
      <c r="S2119" s="8">
        <f>IF($R$2140=0,0,R2119/$R$2140)</f>
        <v/>
      </c>
      <c r="T2119" s="8" t="n">
        <v>0.01917615068449985</v>
      </c>
      <c r="U2119" s="8" t="n">
        <v>0.006608855645268363</v>
      </c>
      <c r="V2119" s="6" t="inlineStr">
        <is>
          <t>not selected</t>
        </is>
      </c>
    </row>
    <row r="2120">
      <c r="A2120" s="6" t="inlineStr">
        <is>
          <t>DJ30</t>
        </is>
      </c>
      <c r="B2120" s="6" t="inlineStr">
        <is>
          <t>2024-04-26</t>
        </is>
      </c>
      <c r="C2120" s="6" t="inlineStr">
        <is>
          <t>DIA</t>
        </is>
      </c>
      <c r="D2120" s="6" t="inlineStr">
        <is>
          <t>GS</t>
        </is>
      </c>
      <c r="E2120" s="6" t="inlineStr">
        <is>
          <t>GS</t>
        </is>
      </c>
      <c r="F2120" s="6" t="inlineStr">
        <is>
          <t>-</t>
        </is>
      </c>
      <c r="G2120" s="7" t="n">
        <v>408.0521850585938</v>
      </c>
      <c r="H2120" s="6">
        <f>P2089</f>
        <v/>
      </c>
      <c r="I2120" s="9">
        <f>Q2089</f>
        <v/>
      </c>
      <c r="J2120" s="7">
        <f>I2120*G2120</f>
        <v/>
      </c>
      <c r="K2120" s="8">
        <f>IF($J$2140=0,0,J2120/$J$2140)</f>
        <v/>
      </c>
      <c r="L2120" s="6" t="inlineStr">
        <is>
          <t>WATCHLIST</t>
        </is>
      </c>
      <c r="M2120" s="8" t="n">
        <v>0</v>
      </c>
      <c r="N2120" s="7">
        <f>M2120*$J$2140-J2120</f>
        <v/>
      </c>
      <c r="O2120" s="9">
        <f>IF(G2120=0,0,N2120/G2120)</f>
        <v/>
      </c>
      <c r="P2120" s="6">
        <f>IF(M2120&gt;0,D2120,"")</f>
        <v/>
      </c>
      <c r="Q2120" s="9">
        <f>I2120+O2120</f>
        <v/>
      </c>
      <c r="R2120" s="7">
        <f>Q2120*G2120</f>
        <v/>
      </c>
      <c r="S2120" s="8">
        <f>IF($R$2140=0,0,R2120/$R$2140)</f>
        <v/>
      </c>
      <c r="T2120" s="8" t="n">
        <v>0.01917615068449985</v>
      </c>
      <c r="U2120" s="8" t="n">
        <v>0.006608855645268363</v>
      </c>
      <c r="V2120" s="6" t="inlineStr">
        <is>
          <t>not selected</t>
        </is>
      </c>
    </row>
    <row r="2121">
      <c r="A2121" s="6" t="inlineStr">
        <is>
          <t>DJ30</t>
        </is>
      </c>
      <c r="B2121" s="6" t="inlineStr">
        <is>
          <t>2024-04-26</t>
        </is>
      </c>
      <c r="C2121" s="6" t="inlineStr">
        <is>
          <t>DIA</t>
        </is>
      </c>
      <c r="D2121" s="6" t="inlineStr">
        <is>
          <t>HD</t>
        </is>
      </c>
      <c r="E2121" s="6" t="inlineStr">
        <is>
          <t>HD</t>
        </is>
      </c>
      <c r="F2121" s="6" t="inlineStr">
        <is>
          <t>-</t>
        </is>
      </c>
      <c r="G2121" s="7" t="n">
        <v>316.5250244140625</v>
      </c>
      <c r="H2121" s="6">
        <f>P2090</f>
        <v/>
      </c>
      <c r="I2121" s="9">
        <f>Q2090</f>
        <v/>
      </c>
      <c r="J2121" s="7">
        <f>I2121*G2121</f>
        <v/>
      </c>
      <c r="K2121" s="8">
        <f>IF($J$2140=0,0,J2121/$J$2140)</f>
        <v/>
      </c>
      <c r="L2121" s="6" t="inlineStr">
        <is>
          <t>WATCHLIST</t>
        </is>
      </c>
      <c r="M2121" s="8" t="n">
        <v>0</v>
      </c>
      <c r="N2121" s="7">
        <f>M2121*$J$2140-J2121</f>
        <v/>
      </c>
      <c r="O2121" s="9">
        <f>IF(G2121=0,0,N2121/G2121)</f>
        <v/>
      </c>
      <c r="P2121" s="6">
        <f>IF(M2121&gt;0,D2121,"")</f>
        <v/>
      </c>
      <c r="Q2121" s="9">
        <f>I2121+O2121</f>
        <v/>
      </c>
      <c r="R2121" s="7">
        <f>Q2121*G2121</f>
        <v/>
      </c>
      <c r="S2121" s="8">
        <f>IF($R$2140=0,0,R2121/$R$2140)</f>
        <v/>
      </c>
      <c r="T2121" s="8" t="n">
        <v>0.01917615068449985</v>
      </c>
      <c r="U2121" s="8" t="n">
        <v>0.006608855645268363</v>
      </c>
      <c r="V2121" s="6" t="inlineStr">
        <is>
          <t>not selected</t>
        </is>
      </c>
    </row>
    <row r="2122">
      <c r="A2122" s="6" t="inlineStr">
        <is>
          <t>DJ30</t>
        </is>
      </c>
      <c r="B2122" s="6" t="inlineStr">
        <is>
          <t>2024-04-26</t>
        </is>
      </c>
      <c r="C2122" s="6" t="inlineStr">
        <is>
          <t>DIA</t>
        </is>
      </c>
      <c r="D2122" s="6" t="inlineStr">
        <is>
          <t>HON</t>
        </is>
      </c>
      <c r="E2122" s="6" t="inlineStr">
        <is>
          <t>HON</t>
        </is>
      </c>
      <c r="F2122" s="6" t="inlineStr">
        <is>
          <t>-</t>
        </is>
      </c>
      <c r="G2122" s="7" t="n">
        <v>173.8387145996094</v>
      </c>
      <c r="H2122" s="6">
        <f>P2091</f>
        <v/>
      </c>
      <c r="I2122" s="9">
        <f>Q2091</f>
        <v/>
      </c>
      <c r="J2122" s="7">
        <f>I2122*G2122</f>
        <v/>
      </c>
      <c r="K2122" s="8">
        <f>IF($J$2140=0,0,J2122/$J$2140)</f>
        <v/>
      </c>
      <c r="L2122" s="6" t="inlineStr">
        <is>
          <t>REJECTED</t>
        </is>
      </c>
      <c r="M2122" s="8" t="n">
        <v>0</v>
      </c>
      <c r="N2122" s="7">
        <f>M2122*$J$2140-J2122</f>
        <v/>
      </c>
      <c r="O2122" s="9">
        <f>IF(G2122=0,0,N2122/G2122)</f>
        <v/>
      </c>
      <c r="P2122" s="6">
        <f>IF(M2122&gt;0,D2122,"")</f>
        <v/>
      </c>
      <c r="Q2122" s="9">
        <f>I2122+O2122</f>
        <v/>
      </c>
      <c r="R2122" s="7">
        <f>Q2122*G2122</f>
        <v/>
      </c>
      <c r="S2122" s="8">
        <f>IF($R$2140=0,0,R2122/$R$2140)</f>
        <v/>
      </c>
      <c r="T2122" s="8" t="n">
        <v>0.01917615068449985</v>
      </c>
      <c r="U2122" s="8" t="n">
        <v>0.006608855645268363</v>
      </c>
      <c r="V2122" s="6" t="inlineStr">
        <is>
          <t>not selected</t>
        </is>
      </c>
    </row>
    <row r="2123">
      <c r="A2123" s="6" t="inlineStr">
        <is>
          <t>DJ30</t>
        </is>
      </c>
      <c r="B2123" s="6" t="inlineStr">
        <is>
          <t>2024-04-26</t>
        </is>
      </c>
      <c r="C2123" s="6" t="inlineStr">
        <is>
          <t>DIA</t>
        </is>
      </c>
      <c r="D2123" s="6" t="inlineStr">
        <is>
          <t>IBM</t>
        </is>
      </c>
      <c r="E2123" s="6" t="inlineStr">
        <is>
          <t>IBM</t>
        </is>
      </c>
      <c r="F2123" s="6" t="inlineStr">
        <is>
          <t>-</t>
        </is>
      </c>
      <c r="G2123" s="7" t="n">
        <v>156.6177062988281</v>
      </c>
      <c r="H2123" s="6">
        <f>P2092</f>
        <v/>
      </c>
      <c r="I2123" s="9">
        <f>Q2092</f>
        <v/>
      </c>
      <c r="J2123" s="7">
        <f>I2123*G2123</f>
        <v/>
      </c>
      <c r="K2123" s="8">
        <f>IF($J$2140=0,0,J2123/$J$2140)</f>
        <v/>
      </c>
      <c r="L2123" s="6" t="inlineStr">
        <is>
          <t>SELECTED</t>
        </is>
      </c>
      <c r="M2123" s="8" t="n">
        <v>0.2</v>
      </c>
      <c r="N2123" s="7">
        <f>M2123*$J$2140-J2123</f>
        <v/>
      </c>
      <c r="O2123" s="9">
        <f>IF(G2123=0,0,N2123/G2123)</f>
        <v/>
      </c>
      <c r="P2123" s="6">
        <f>IF(M2123&gt;0,D2123,"")</f>
        <v/>
      </c>
      <c r="Q2123" s="9">
        <f>I2123+O2123</f>
        <v/>
      </c>
      <c r="R2123" s="7">
        <f>Q2123*G2123</f>
        <v/>
      </c>
      <c r="S2123" s="8">
        <f>IF($R$2140=0,0,R2123/$R$2140)</f>
        <v/>
      </c>
      <c r="T2123" s="8" t="n">
        <v>0.01917615068449985</v>
      </c>
      <c r="U2123" s="8" t="n">
        <v>0.006608855645268363</v>
      </c>
      <c r="V2123" s="6" t="inlineStr">
        <is>
          <t>remained in weekly selection</t>
        </is>
      </c>
    </row>
    <row r="2124">
      <c r="A2124" s="6" t="inlineStr">
        <is>
          <t>DJ30</t>
        </is>
      </c>
      <c r="B2124" s="6" t="inlineStr">
        <is>
          <t>2024-04-26</t>
        </is>
      </c>
      <c r="C2124" s="6" t="inlineStr">
        <is>
          <t>DIA</t>
        </is>
      </c>
      <c r="D2124" s="6" t="inlineStr">
        <is>
          <t>JNJ</t>
        </is>
      </c>
      <c r="E2124" s="6" t="inlineStr">
        <is>
          <t>JNJ</t>
        </is>
      </c>
      <c r="F2124" s="6" t="inlineStr">
        <is>
          <t>-</t>
        </is>
      </c>
      <c r="G2124" s="7" t="n">
        <v>136.9714660644531</v>
      </c>
      <c r="H2124" s="6">
        <f>P2093</f>
        <v/>
      </c>
      <c r="I2124" s="9">
        <f>Q2093</f>
        <v/>
      </c>
      <c r="J2124" s="7">
        <f>I2124*G2124</f>
        <v/>
      </c>
      <c r="K2124" s="8">
        <f>IF($J$2140=0,0,J2124/$J$2140)</f>
        <v/>
      </c>
      <c r="L2124" s="6" t="inlineStr">
        <is>
          <t>REJECTED</t>
        </is>
      </c>
      <c r="M2124" s="8" t="n">
        <v>0</v>
      </c>
      <c r="N2124" s="7">
        <f>M2124*$J$2140-J2124</f>
        <v/>
      </c>
      <c r="O2124" s="9">
        <f>IF(G2124=0,0,N2124/G2124)</f>
        <v/>
      </c>
      <c r="P2124" s="6">
        <f>IF(M2124&gt;0,D2124,"")</f>
        <v/>
      </c>
      <c r="Q2124" s="9">
        <f>I2124+O2124</f>
        <v/>
      </c>
      <c r="R2124" s="7">
        <f>Q2124*G2124</f>
        <v/>
      </c>
      <c r="S2124" s="8">
        <f>IF($R$2140=0,0,R2124/$R$2140)</f>
        <v/>
      </c>
      <c r="T2124" s="8" t="n">
        <v>0.01917615068449985</v>
      </c>
      <c r="U2124" s="8" t="n">
        <v>0.006608855645268363</v>
      </c>
      <c r="V2124" s="6" t="inlineStr">
        <is>
          <t>not selected</t>
        </is>
      </c>
    </row>
    <row r="2125">
      <c r="A2125" s="6" t="inlineStr">
        <is>
          <t>DJ30</t>
        </is>
      </c>
      <c r="B2125" s="6" t="inlineStr">
        <is>
          <t>2024-04-26</t>
        </is>
      </c>
      <c r="C2125" s="6" t="inlineStr">
        <is>
          <t>DIA</t>
        </is>
      </c>
      <c r="D2125" s="6" t="inlineStr">
        <is>
          <t>JPM</t>
        </is>
      </c>
      <c r="E2125" s="6" t="inlineStr">
        <is>
          <t>JPM</t>
        </is>
      </c>
      <c r="F2125" s="6" t="inlineStr">
        <is>
          <t>-</t>
        </is>
      </c>
      <c r="G2125" s="7" t="n">
        <v>185.4967498779297</v>
      </c>
      <c r="H2125" s="6">
        <f>P2094</f>
        <v/>
      </c>
      <c r="I2125" s="9">
        <f>Q2094</f>
        <v/>
      </c>
      <c r="J2125" s="7">
        <f>I2125*G2125</f>
        <v/>
      </c>
      <c r="K2125" s="8">
        <f>IF($J$2140=0,0,J2125/$J$2140)</f>
        <v/>
      </c>
      <c r="L2125" s="6" t="inlineStr">
        <is>
          <t>SELECTED</t>
        </is>
      </c>
      <c r="M2125" s="8" t="n">
        <v>0.2</v>
      </c>
      <c r="N2125" s="7">
        <f>M2125*$J$2140-J2125</f>
        <v/>
      </c>
      <c r="O2125" s="9">
        <f>IF(G2125=0,0,N2125/G2125)</f>
        <v/>
      </c>
      <c r="P2125" s="6">
        <f>IF(M2125&gt;0,D2125,"")</f>
        <v/>
      </c>
      <c r="Q2125" s="9">
        <f>I2125+O2125</f>
        <v/>
      </c>
      <c r="R2125" s="7">
        <f>Q2125*G2125</f>
        <v/>
      </c>
      <c r="S2125" s="8">
        <f>IF($R$2140=0,0,R2125/$R$2140)</f>
        <v/>
      </c>
      <c r="T2125" s="8" t="n">
        <v>0.01917615068449985</v>
      </c>
      <c r="U2125" s="8" t="n">
        <v>0.006608855645268363</v>
      </c>
      <c r="V2125" s="6" t="inlineStr">
        <is>
          <t>remained in weekly selection</t>
        </is>
      </c>
    </row>
    <row r="2126">
      <c r="A2126" s="6" t="inlineStr">
        <is>
          <t>DJ30</t>
        </is>
      </c>
      <c r="B2126" s="6" t="inlineStr">
        <is>
          <t>2024-04-26</t>
        </is>
      </c>
      <c r="C2126" s="6" t="inlineStr">
        <is>
          <t>DIA</t>
        </is>
      </c>
      <c r="D2126" s="6" t="inlineStr">
        <is>
          <t>KO</t>
        </is>
      </c>
      <c r="E2126" s="6" t="inlineStr">
        <is>
          <t>KO</t>
        </is>
      </c>
      <c r="F2126" s="6" t="inlineStr">
        <is>
          <t>-</t>
        </is>
      </c>
      <c r="G2126" s="7" t="n">
        <v>57.88451766967773</v>
      </c>
      <c r="H2126" s="6">
        <f>P2095</f>
        <v/>
      </c>
      <c r="I2126" s="9">
        <f>Q2095</f>
        <v/>
      </c>
      <c r="J2126" s="7">
        <f>I2126*G2126</f>
        <v/>
      </c>
      <c r="K2126" s="8">
        <f>IF($J$2140=0,0,J2126/$J$2140)</f>
        <v/>
      </c>
      <c r="L2126" s="6" t="inlineStr">
        <is>
          <t>REJECTED</t>
        </is>
      </c>
      <c r="M2126" s="8" t="n">
        <v>0</v>
      </c>
      <c r="N2126" s="7">
        <f>M2126*$J$2140-J2126</f>
        <v/>
      </c>
      <c r="O2126" s="9">
        <f>IF(G2126=0,0,N2126/G2126)</f>
        <v/>
      </c>
      <c r="P2126" s="6">
        <f>IF(M2126&gt;0,D2126,"")</f>
        <v/>
      </c>
      <c r="Q2126" s="9">
        <f>I2126+O2126</f>
        <v/>
      </c>
      <c r="R2126" s="7">
        <f>Q2126*G2126</f>
        <v/>
      </c>
      <c r="S2126" s="8">
        <f>IF($R$2140=0,0,R2126/$R$2140)</f>
        <v/>
      </c>
      <c r="T2126" s="8" t="n">
        <v>0.01917615068449985</v>
      </c>
      <c r="U2126" s="8" t="n">
        <v>0.006608855645268363</v>
      </c>
      <c r="V2126" s="6" t="inlineStr">
        <is>
          <t>not selected</t>
        </is>
      </c>
    </row>
    <row r="2127">
      <c r="A2127" s="6" t="inlineStr">
        <is>
          <t>DJ30</t>
        </is>
      </c>
      <c r="B2127" s="6" t="inlineStr">
        <is>
          <t>2024-04-26</t>
        </is>
      </c>
      <c r="C2127" s="6" t="inlineStr">
        <is>
          <t>DIA</t>
        </is>
      </c>
      <c r="D2127" s="6" t="inlineStr">
        <is>
          <t>MCD</t>
        </is>
      </c>
      <c r="E2127" s="6" t="inlineStr">
        <is>
          <t>MCD</t>
        </is>
      </c>
      <c r="F2127" s="6" t="inlineStr">
        <is>
          <t>-</t>
        </is>
      </c>
      <c r="G2127" s="7" t="n">
        <v>258.82275390625</v>
      </c>
      <c r="H2127" s="6">
        <f>P2096</f>
        <v/>
      </c>
      <c r="I2127" s="9">
        <f>Q2096</f>
        <v/>
      </c>
      <c r="J2127" s="7">
        <f>I2127*G2127</f>
        <v/>
      </c>
      <c r="K2127" s="8">
        <f>IF($J$2140=0,0,J2127/$J$2140)</f>
        <v/>
      </c>
      <c r="L2127" s="6" t="inlineStr">
        <is>
          <t>REJECTED</t>
        </is>
      </c>
      <c r="M2127" s="8" t="n">
        <v>0</v>
      </c>
      <c r="N2127" s="7">
        <f>M2127*$J$2140-J2127</f>
        <v/>
      </c>
      <c r="O2127" s="9">
        <f>IF(G2127=0,0,N2127/G2127)</f>
        <v/>
      </c>
      <c r="P2127" s="6">
        <f>IF(M2127&gt;0,D2127,"")</f>
        <v/>
      </c>
      <c r="Q2127" s="9">
        <f>I2127+O2127</f>
        <v/>
      </c>
      <c r="R2127" s="7">
        <f>Q2127*G2127</f>
        <v/>
      </c>
      <c r="S2127" s="8">
        <f>IF($R$2140=0,0,R2127/$R$2140)</f>
        <v/>
      </c>
      <c r="T2127" s="8" t="n">
        <v>0.01917615068449985</v>
      </c>
      <c r="U2127" s="8" t="n">
        <v>0.006608855645268363</v>
      </c>
      <c r="V2127" s="6" t="inlineStr">
        <is>
          <t>not selected</t>
        </is>
      </c>
    </row>
    <row r="2128">
      <c r="A2128" s="6" t="inlineStr">
        <is>
          <t>DJ30</t>
        </is>
      </c>
      <c r="B2128" s="6" t="inlineStr">
        <is>
          <t>2024-04-26</t>
        </is>
      </c>
      <c r="C2128" s="6" t="inlineStr">
        <is>
          <t>DIA</t>
        </is>
      </c>
      <c r="D2128" s="6" t="inlineStr">
        <is>
          <t>MMM</t>
        </is>
      </c>
      <c r="E2128" s="6" t="inlineStr">
        <is>
          <t>MMM</t>
        </is>
      </c>
      <c r="F2128" s="6" t="inlineStr">
        <is>
          <t>-</t>
        </is>
      </c>
      <c r="G2128" s="7" t="n">
        <v>87.70665740966797</v>
      </c>
      <c r="H2128" s="6">
        <f>P2097</f>
        <v/>
      </c>
      <c r="I2128" s="9">
        <f>Q2097</f>
        <v/>
      </c>
      <c r="J2128" s="7">
        <f>I2128*G2128</f>
        <v/>
      </c>
      <c r="K2128" s="8">
        <f>IF($J$2140=0,0,J2128/$J$2140)</f>
        <v/>
      </c>
      <c r="L2128" s="6" t="inlineStr">
        <is>
          <t>REJECTED</t>
        </is>
      </c>
      <c r="M2128" s="8" t="n">
        <v>0</v>
      </c>
      <c r="N2128" s="7">
        <f>M2128*$J$2140-J2128</f>
        <v/>
      </c>
      <c r="O2128" s="9">
        <f>IF(G2128=0,0,N2128/G2128)</f>
        <v/>
      </c>
      <c r="P2128" s="6">
        <f>IF(M2128&gt;0,D2128,"")</f>
        <v/>
      </c>
      <c r="Q2128" s="9">
        <f>I2128+O2128</f>
        <v/>
      </c>
      <c r="R2128" s="7">
        <f>Q2128*G2128</f>
        <v/>
      </c>
      <c r="S2128" s="8">
        <f>IF($R$2140=0,0,R2128/$R$2140)</f>
        <v/>
      </c>
      <c r="T2128" s="8" t="n">
        <v>0.01917615068449985</v>
      </c>
      <c r="U2128" s="8" t="n">
        <v>0.006608855645268363</v>
      </c>
      <c r="V2128" s="6" t="inlineStr">
        <is>
          <t>not selected</t>
        </is>
      </c>
    </row>
    <row r="2129">
      <c r="A2129" s="6" t="inlineStr">
        <is>
          <t>DJ30</t>
        </is>
      </c>
      <c r="B2129" s="6" t="inlineStr">
        <is>
          <t>2024-04-26</t>
        </is>
      </c>
      <c r="C2129" s="6" t="inlineStr">
        <is>
          <t>DIA</t>
        </is>
      </c>
      <c r="D2129" s="6" t="inlineStr">
        <is>
          <t>MRK</t>
        </is>
      </c>
      <c r="E2129" s="6" t="inlineStr">
        <is>
          <t>MRK</t>
        </is>
      </c>
      <c r="F2129" s="6" t="inlineStr">
        <is>
          <t>-</t>
        </is>
      </c>
      <c r="G2129" s="7" t="n">
        <v>122.0788803100586</v>
      </c>
      <c r="H2129" s="6">
        <f>P2098</f>
        <v/>
      </c>
      <c r="I2129" s="9">
        <f>Q2098</f>
        <v/>
      </c>
      <c r="J2129" s="7">
        <f>I2129*G2129</f>
        <v/>
      </c>
      <c r="K2129" s="8">
        <f>IF($J$2140=0,0,J2129/$J$2140)</f>
        <v/>
      </c>
      <c r="L2129" s="6" t="inlineStr">
        <is>
          <t>WATCHLIST</t>
        </is>
      </c>
      <c r="M2129" s="8" t="n">
        <v>0</v>
      </c>
      <c r="N2129" s="7">
        <f>M2129*$J$2140-J2129</f>
        <v/>
      </c>
      <c r="O2129" s="9">
        <f>IF(G2129=0,0,N2129/G2129)</f>
        <v/>
      </c>
      <c r="P2129" s="6">
        <f>IF(M2129&gt;0,D2129,"")</f>
        <v/>
      </c>
      <c r="Q2129" s="9">
        <f>I2129+O2129</f>
        <v/>
      </c>
      <c r="R2129" s="7">
        <f>Q2129*G2129</f>
        <v/>
      </c>
      <c r="S2129" s="8">
        <f>IF($R$2140=0,0,R2129/$R$2140)</f>
        <v/>
      </c>
      <c r="T2129" s="8" t="n">
        <v>0.01917615068449985</v>
      </c>
      <c r="U2129" s="8" t="n">
        <v>0.006608855645268363</v>
      </c>
      <c r="V2129" s="6" t="inlineStr">
        <is>
          <t>not selected</t>
        </is>
      </c>
    </row>
    <row r="2130">
      <c r="A2130" s="6" t="inlineStr">
        <is>
          <t>DJ30</t>
        </is>
      </c>
      <c r="B2130" s="6" t="inlineStr">
        <is>
          <t>2024-04-26</t>
        </is>
      </c>
      <c r="C2130" s="6" t="inlineStr">
        <is>
          <t>DIA</t>
        </is>
      </c>
      <c r="D2130" s="6" t="inlineStr">
        <is>
          <t>MSFT</t>
        </is>
      </c>
      <c r="E2130" s="6" t="inlineStr">
        <is>
          <t>MSFT</t>
        </is>
      </c>
      <c r="F2130" s="6" t="inlineStr">
        <is>
          <t>-</t>
        </is>
      </c>
      <c r="G2130" s="7" t="n">
        <v>399.3129577636719</v>
      </c>
      <c r="H2130" s="6">
        <f>P2099</f>
        <v/>
      </c>
      <c r="I2130" s="9">
        <f>Q2099</f>
        <v/>
      </c>
      <c r="J2130" s="7">
        <f>I2130*G2130</f>
        <v/>
      </c>
      <c r="K2130" s="8">
        <f>IF($J$2140=0,0,J2130/$J$2140)</f>
        <v/>
      </c>
      <c r="L2130" s="6" t="inlineStr">
        <is>
          <t>WATCHLIST</t>
        </is>
      </c>
      <c r="M2130" s="8" t="n">
        <v>0</v>
      </c>
      <c r="N2130" s="7">
        <f>M2130*$J$2140-J2130</f>
        <v/>
      </c>
      <c r="O2130" s="9">
        <f>IF(G2130=0,0,N2130/G2130)</f>
        <v/>
      </c>
      <c r="P2130" s="6">
        <f>IF(M2130&gt;0,D2130,"")</f>
        <v/>
      </c>
      <c r="Q2130" s="9">
        <f>I2130+O2130</f>
        <v/>
      </c>
      <c r="R2130" s="7">
        <f>Q2130*G2130</f>
        <v/>
      </c>
      <c r="S2130" s="8">
        <f>IF($R$2140=0,0,R2130/$R$2140)</f>
        <v/>
      </c>
      <c r="T2130" s="8" t="n">
        <v>0.01917615068449985</v>
      </c>
      <c r="U2130" s="8" t="n">
        <v>0.006608855645268363</v>
      </c>
      <c r="V2130" s="6" t="inlineStr">
        <is>
          <t>not selected</t>
        </is>
      </c>
    </row>
    <row r="2131">
      <c r="A2131" s="6" t="inlineStr">
        <is>
          <t>DJ30</t>
        </is>
      </c>
      <c r="B2131" s="6" t="inlineStr">
        <is>
          <t>2024-04-26</t>
        </is>
      </c>
      <c r="C2131" s="6" t="inlineStr">
        <is>
          <t>DIA</t>
        </is>
      </c>
      <c r="D2131" s="6" t="inlineStr">
        <is>
          <t>NKE</t>
        </is>
      </c>
      <c r="E2131" s="6" t="inlineStr">
        <is>
          <t>NKE</t>
        </is>
      </c>
      <c r="F2131" s="6" t="inlineStr">
        <is>
          <t>-</t>
        </is>
      </c>
      <c r="G2131" s="7" t="n">
        <v>89.33428192138672</v>
      </c>
      <c r="H2131" s="6">
        <f>P2100</f>
        <v/>
      </c>
      <c r="I2131" s="9">
        <f>Q2100</f>
        <v/>
      </c>
      <c r="J2131" s="7">
        <f>I2131*G2131</f>
        <v/>
      </c>
      <c r="K2131" s="8">
        <f>IF($J$2140=0,0,J2131/$J$2140)</f>
        <v/>
      </c>
      <c r="L2131" s="6" t="inlineStr">
        <is>
          <t>REJECTED</t>
        </is>
      </c>
      <c r="M2131" s="8" t="n">
        <v>0</v>
      </c>
      <c r="N2131" s="7">
        <f>M2131*$J$2140-J2131</f>
        <v/>
      </c>
      <c r="O2131" s="9">
        <f>IF(G2131=0,0,N2131/G2131)</f>
        <v/>
      </c>
      <c r="P2131" s="6">
        <f>IF(M2131&gt;0,D2131,"")</f>
        <v/>
      </c>
      <c r="Q2131" s="9">
        <f>I2131+O2131</f>
        <v/>
      </c>
      <c r="R2131" s="7">
        <f>Q2131*G2131</f>
        <v/>
      </c>
      <c r="S2131" s="8">
        <f>IF($R$2140=0,0,R2131/$R$2140)</f>
        <v/>
      </c>
      <c r="T2131" s="8" t="n">
        <v>0.01917615068449985</v>
      </c>
      <c r="U2131" s="8" t="n">
        <v>0.006608855645268363</v>
      </c>
      <c r="V2131" s="6" t="inlineStr">
        <is>
          <t>not selected</t>
        </is>
      </c>
    </row>
    <row r="2132">
      <c r="A2132" s="6" t="inlineStr">
        <is>
          <t>DJ30</t>
        </is>
      </c>
      <c r="B2132" s="6" t="inlineStr">
        <is>
          <t>2024-04-26</t>
        </is>
      </c>
      <c r="C2132" s="6" t="inlineStr">
        <is>
          <t>DIA</t>
        </is>
      </c>
      <c r="D2132" s="6" t="inlineStr">
        <is>
          <t>NVDA</t>
        </is>
      </c>
      <c r="E2132" s="6" t="inlineStr">
        <is>
          <t>NVDA</t>
        </is>
      </c>
      <c r="F2132" s="6" t="inlineStr">
        <is>
          <t>-</t>
        </is>
      </c>
      <c r="G2132" s="7" t="n">
        <v>87.58345031738281</v>
      </c>
      <c r="H2132" s="6">
        <f>P2101</f>
        <v/>
      </c>
      <c r="I2132" s="9">
        <f>Q2101</f>
        <v/>
      </c>
      <c r="J2132" s="7">
        <f>I2132*G2132</f>
        <v/>
      </c>
      <c r="K2132" s="8">
        <f>IF($J$2140=0,0,J2132/$J$2140)</f>
        <v/>
      </c>
      <c r="L2132" s="6" t="inlineStr">
        <is>
          <t>SELECTED</t>
        </is>
      </c>
      <c r="M2132" s="8" t="n">
        <v>0.2</v>
      </c>
      <c r="N2132" s="7">
        <f>M2132*$J$2140-J2132</f>
        <v/>
      </c>
      <c r="O2132" s="9">
        <f>IF(G2132=0,0,N2132/G2132)</f>
        <v/>
      </c>
      <c r="P2132" s="6">
        <f>IF(M2132&gt;0,D2132,"")</f>
        <v/>
      </c>
      <c r="Q2132" s="9">
        <f>I2132+O2132</f>
        <v/>
      </c>
      <c r="R2132" s="7">
        <f>Q2132*G2132</f>
        <v/>
      </c>
      <c r="S2132" s="8">
        <f>IF($R$2140=0,0,R2132/$R$2140)</f>
        <v/>
      </c>
      <c r="T2132" s="8" t="n">
        <v>0.01917615068449985</v>
      </c>
      <c r="U2132" s="8" t="n">
        <v>0.006608855645268363</v>
      </c>
      <c r="V2132" s="6" t="inlineStr">
        <is>
          <t>remained in weekly selection</t>
        </is>
      </c>
    </row>
    <row r="2133">
      <c r="A2133" s="6" t="inlineStr">
        <is>
          <t>DJ30</t>
        </is>
      </c>
      <c r="B2133" s="6" t="inlineStr">
        <is>
          <t>2024-04-26</t>
        </is>
      </c>
      <c r="C2133" s="6" t="inlineStr">
        <is>
          <t>DIA</t>
        </is>
      </c>
      <c r="D2133" s="6" t="inlineStr">
        <is>
          <t>PG</t>
        </is>
      </c>
      <c r="E2133" s="6" t="inlineStr">
        <is>
          <t>PG</t>
        </is>
      </c>
      <c r="F2133" s="6" t="inlineStr">
        <is>
          <t>-</t>
        </is>
      </c>
      <c r="G2133" s="7" t="n">
        <v>153.038818359375</v>
      </c>
      <c r="H2133" s="6">
        <f>P2102</f>
        <v/>
      </c>
      <c r="I2133" s="9">
        <f>Q2102</f>
        <v/>
      </c>
      <c r="J2133" s="7">
        <f>I2133*G2133</f>
        <v/>
      </c>
      <c r="K2133" s="8">
        <f>IF($J$2140=0,0,J2133/$J$2140)</f>
        <v/>
      </c>
      <c r="L2133" s="6" t="inlineStr">
        <is>
          <t>WATCHLIST</t>
        </is>
      </c>
      <c r="M2133" s="8" t="n">
        <v>0</v>
      </c>
      <c r="N2133" s="7">
        <f>M2133*$J$2140-J2133</f>
        <v/>
      </c>
      <c r="O2133" s="9">
        <f>IF(G2133=0,0,N2133/G2133)</f>
        <v/>
      </c>
      <c r="P2133" s="6">
        <f>IF(M2133&gt;0,D2133,"")</f>
        <v/>
      </c>
      <c r="Q2133" s="9">
        <f>I2133+O2133</f>
        <v/>
      </c>
      <c r="R2133" s="7">
        <f>Q2133*G2133</f>
        <v/>
      </c>
      <c r="S2133" s="8">
        <f>IF($R$2140=0,0,R2133/$R$2140)</f>
        <v/>
      </c>
      <c r="T2133" s="8" t="n">
        <v>0.01917615068449985</v>
      </c>
      <c r="U2133" s="8" t="n">
        <v>0.006608855645268363</v>
      </c>
      <c r="V2133" s="6" t="inlineStr">
        <is>
          <t>not selected</t>
        </is>
      </c>
    </row>
    <row r="2134">
      <c r="A2134" s="6" t="inlineStr">
        <is>
          <t>DJ30</t>
        </is>
      </c>
      <c r="B2134" s="6" t="inlineStr">
        <is>
          <t>2024-04-26</t>
        </is>
      </c>
      <c r="C2134" s="6" t="inlineStr">
        <is>
          <t>DIA</t>
        </is>
      </c>
      <c r="D2134" s="6" t="inlineStr">
        <is>
          <t>SHW</t>
        </is>
      </c>
      <c r="E2134" s="6" t="inlineStr">
        <is>
          <t>SHW</t>
        </is>
      </c>
      <c r="F2134" s="6" t="inlineStr">
        <is>
          <t>-</t>
        </is>
      </c>
      <c r="G2134" s="7" t="n">
        <v>300.4481201171875</v>
      </c>
      <c r="H2134" s="6">
        <f>P2103</f>
        <v/>
      </c>
      <c r="I2134" s="9">
        <f>Q2103</f>
        <v/>
      </c>
      <c r="J2134" s="7">
        <f>I2134*G2134</f>
        <v/>
      </c>
      <c r="K2134" s="8">
        <f>IF($J$2140=0,0,J2134/$J$2140)</f>
        <v/>
      </c>
      <c r="L2134" s="6" t="inlineStr">
        <is>
          <t>WATCHLIST</t>
        </is>
      </c>
      <c r="M2134" s="8" t="n">
        <v>0</v>
      </c>
      <c r="N2134" s="7">
        <f>M2134*$J$2140-J2134</f>
        <v/>
      </c>
      <c r="O2134" s="9">
        <f>IF(G2134=0,0,N2134/G2134)</f>
        <v/>
      </c>
      <c r="P2134" s="6">
        <f>IF(M2134&gt;0,D2134,"")</f>
        <v/>
      </c>
      <c r="Q2134" s="9">
        <f>I2134+O2134</f>
        <v/>
      </c>
      <c r="R2134" s="7">
        <f>Q2134*G2134</f>
        <v/>
      </c>
      <c r="S2134" s="8">
        <f>IF($R$2140=0,0,R2134/$R$2140)</f>
        <v/>
      </c>
      <c r="T2134" s="8" t="n">
        <v>0.01917615068449985</v>
      </c>
      <c r="U2134" s="8" t="n">
        <v>0.006608855645268363</v>
      </c>
      <c r="V2134" s="6" t="inlineStr">
        <is>
          <t>not selected</t>
        </is>
      </c>
    </row>
    <row r="2135">
      <c r="A2135" s="6" t="inlineStr">
        <is>
          <t>DJ30</t>
        </is>
      </c>
      <c r="B2135" s="6" t="inlineStr">
        <is>
          <t>2024-04-26</t>
        </is>
      </c>
      <c r="C2135" s="6" t="inlineStr">
        <is>
          <t>DIA</t>
        </is>
      </c>
      <c r="D2135" s="6" t="inlineStr">
        <is>
          <t>TRV</t>
        </is>
      </c>
      <c r="E2135" s="6" t="inlineStr">
        <is>
          <t>TRV</t>
        </is>
      </c>
      <c r="F2135" s="6" t="inlineStr">
        <is>
          <t>-</t>
        </is>
      </c>
      <c r="G2135" s="7" t="n">
        <v>205.6005706787109</v>
      </c>
      <c r="H2135" s="6">
        <f>P2104</f>
        <v/>
      </c>
      <c r="I2135" s="9">
        <f>Q2104</f>
        <v/>
      </c>
      <c r="J2135" s="7">
        <f>I2135*G2135</f>
        <v/>
      </c>
      <c r="K2135" s="8">
        <f>IF($J$2140=0,0,J2135/$J$2140)</f>
        <v/>
      </c>
      <c r="L2135" s="6" t="inlineStr">
        <is>
          <t>WATCHLIST</t>
        </is>
      </c>
      <c r="M2135" s="8" t="n">
        <v>0</v>
      </c>
      <c r="N2135" s="7">
        <f>M2135*$J$2140-J2135</f>
        <v/>
      </c>
      <c r="O2135" s="9">
        <f>IF(G2135=0,0,N2135/G2135)</f>
        <v/>
      </c>
      <c r="P2135" s="6">
        <f>IF(M2135&gt;0,D2135,"")</f>
        <v/>
      </c>
      <c r="Q2135" s="9">
        <f>I2135+O2135</f>
        <v/>
      </c>
      <c r="R2135" s="7">
        <f>Q2135*G2135</f>
        <v/>
      </c>
      <c r="S2135" s="8">
        <f>IF($R$2140=0,0,R2135/$R$2140)</f>
        <v/>
      </c>
      <c r="T2135" s="8" t="n">
        <v>0.01917615068449985</v>
      </c>
      <c r="U2135" s="8" t="n">
        <v>0.006608855645268363</v>
      </c>
      <c r="V2135" s="6" t="inlineStr">
        <is>
          <t>not selected</t>
        </is>
      </c>
    </row>
    <row r="2136">
      <c r="A2136" s="6" t="inlineStr">
        <is>
          <t>DJ30</t>
        </is>
      </c>
      <c r="B2136" s="6" t="inlineStr">
        <is>
          <t>2024-04-26</t>
        </is>
      </c>
      <c r="C2136" s="6" t="inlineStr">
        <is>
          <t>DIA</t>
        </is>
      </c>
      <c r="D2136" s="6" t="inlineStr">
        <is>
          <t>UNH</t>
        </is>
      </c>
      <c r="E2136" s="6" t="inlineStr">
        <is>
          <t>UNH</t>
        </is>
      </c>
      <c r="F2136" s="6" t="inlineStr">
        <is>
          <t>-</t>
        </is>
      </c>
      <c r="G2136" s="7" t="n">
        <v>471.4889831542969</v>
      </c>
      <c r="H2136" s="6">
        <f>P2105</f>
        <v/>
      </c>
      <c r="I2136" s="9">
        <f>Q2105</f>
        <v/>
      </c>
      <c r="J2136" s="7">
        <f>I2136*G2136</f>
        <v/>
      </c>
      <c r="K2136" s="8">
        <f>IF($J$2140=0,0,J2136/$J$2140)</f>
        <v/>
      </c>
      <c r="L2136" s="6" t="inlineStr">
        <is>
          <t>REJECTED</t>
        </is>
      </c>
      <c r="M2136" s="8" t="n">
        <v>0</v>
      </c>
      <c r="N2136" s="7">
        <f>M2136*$J$2140-J2136</f>
        <v/>
      </c>
      <c r="O2136" s="9">
        <f>IF(G2136=0,0,N2136/G2136)</f>
        <v/>
      </c>
      <c r="P2136" s="6">
        <f>IF(M2136&gt;0,D2136,"")</f>
        <v/>
      </c>
      <c r="Q2136" s="9">
        <f>I2136+O2136</f>
        <v/>
      </c>
      <c r="R2136" s="7">
        <f>Q2136*G2136</f>
        <v/>
      </c>
      <c r="S2136" s="8">
        <f>IF($R$2140=0,0,R2136/$R$2140)</f>
        <v/>
      </c>
      <c r="T2136" s="8" t="n">
        <v>0.01917615068449985</v>
      </c>
      <c r="U2136" s="8" t="n">
        <v>0.006608855645268363</v>
      </c>
      <c r="V2136" s="6" t="inlineStr">
        <is>
          <t>not selected</t>
        </is>
      </c>
    </row>
    <row r="2137">
      <c r="A2137" s="6" t="inlineStr">
        <is>
          <t>DJ30</t>
        </is>
      </c>
      <c r="B2137" s="6" t="inlineStr">
        <is>
          <t>2024-04-26</t>
        </is>
      </c>
      <c r="C2137" s="6" t="inlineStr">
        <is>
          <t>DIA</t>
        </is>
      </c>
      <c r="D2137" s="6" t="inlineStr">
        <is>
          <t>V</t>
        </is>
      </c>
      <c r="E2137" s="6" t="inlineStr">
        <is>
          <t>V</t>
        </is>
      </c>
      <c r="F2137" s="6" t="inlineStr">
        <is>
          <t>-</t>
        </is>
      </c>
      <c r="G2137" s="7" t="n">
        <v>269.9033508300781</v>
      </c>
      <c r="H2137" s="6">
        <f>P2106</f>
        <v/>
      </c>
      <c r="I2137" s="9">
        <f>Q2106</f>
        <v/>
      </c>
      <c r="J2137" s="7">
        <f>I2137*G2137</f>
        <v/>
      </c>
      <c r="K2137" s="8">
        <f>IF($J$2140=0,0,J2137/$J$2140)</f>
        <v/>
      </c>
      <c r="L2137" s="6" t="inlineStr">
        <is>
          <t>WATCHLIST</t>
        </is>
      </c>
      <c r="M2137" s="8" t="n">
        <v>0</v>
      </c>
      <c r="N2137" s="7">
        <f>M2137*$J$2140-J2137</f>
        <v/>
      </c>
      <c r="O2137" s="9">
        <f>IF(G2137=0,0,N2137/G2137)</f>
        <v/>
      </c>
      <c r="P2137" s="6">
        <f>IF(M2137&gt;0,D2137,"")</f>
        <v/>
      </c>
      <c r="Q2137" s="9">
        <f>I2137+O2137</f>
        <v/>
      </c>
      <c r="R2137" s="7">
        <f>Q2137*G2137</f>
        <v/>
      </c>
      <c r="S2137" s="8">
        <f>IF($R$2140=0,0,R2137/$R$2140)</f>
        <v/>
      </c>
      <c r="T2137" s="8" t="n">
        <v>0.01917615068449985</v>
      </c>
      <c r="U2137" s="8" t="n">
        <v>0.006608855645268363</v>
      </c>
      <c r="V2137" s="6" t="inlineStr">
        <is>
          <t>not selected</t>
        </is>
      </c>
    </row>
    <row r="2138">
      <c r="A2138" s="6" t="inlineStr">
        <is>
          <t>DJ30</t>
        </is>
      </c>
      <c r="B2138" s="6" t="inlineStr">
        <is>
          <t>2024-04-26</t>
        </is>
      </c>
      <c r="C2138" s="6" t="inlineStr">
        <is>
          <t>DIA</t>
        </is>
      </c>
      <c r="D2138" s="6" t="inlineStr">
        <is>
          <t>VZ</t>
        </is>
      </c>
      <c r="E2138" s="6" t="inlineStr">
        <is>
          <t>VZ</t>
        </is>
      </c>
      <c r="F2138" s="6" t="inlineStr">
        <is>
          <t>-</t>
        </is>
      </c>
      <c r="G2138" s="7" t="n">
        <v>34.82767486572266</v>
      </c>
      <c r="H2138" s="6">
        <f>P2107</f>
        <v/>
      </c>
      <c r="I2138" s="9">
        <f>Q2107</f>
        <v/>
      </c>
      <c r="J2138" s="7">
        <f>I2138*G2138</f>
        <v/>
      </c>
      <c r="K2138" s="8">
        <f>IF($J$2140=0,0,J2138/$J$2140)</f>
        <v/>
      </c>
      <c r="L2138" s="6" t="inlineStr">
        <is>
          <t>WATCHLIST</t>
        </is>
      </c>
      <c r="M2138" s="8" t="n">
        <v>0</v>
      </c>
      <c r="N2138" s="7">
        <f>M2138*$J$2140-J2138</f>
        <v/>
      </c>
      <c r="O2138" s="9">
        <f>IF(G2138=0,0,N2138/G2138)</f>
        <v/>
      </c>
      <c r="P2138" s="6">
        <f>IF(M2138&gt;0,D2138,"")</f>
        <v/>
      </c>
      <c r="Q2138" s="9">
        <f>I2138+O2138</f>
        <v/>
      </c>
      <c r="R2138" s="7">
        <f>Q2138*G2138</f>
        <v/>
      </c>
      <c r="S2138" s="8">
        <f>IF($R$2140=0,0,R2138/$R$2140)</f>
        <v/>
      </c>
      <c r="T2138" s="8" t="n">
        <v>0.01917615068449985</v>
      </c>
      <c r="U2138" s="8" t="n">
        <v>0.006608855645268363</v>
      </c>
      <c r="V2138" s="6" t="inlineStr">
        <is>
          <t>not selected</t>
        </is>
      </c>
    </row>
    <row r="2139">
      <c r="A2139" s="6" t="inlineStr">
        <is>
          <t>DJ30</t>
        </is>
      </c>
      <c r="B2139" s="6" t="inlineStr">
        <is>
          <t>2024-04-26</t>
        </is>
      </c>
      <c r="C2139" s="6" t="inlineStr">
        <is>
          <t>DIA</t>
        </is>
      </c>
      <c r="D2139" s="6" t="inlineStr">
        <is>
          <t>WMT</t>
        </is>
      </c>
      <c r="E2139" s="6" t="inlineStr">
        <is>
          <t>WMT</t>
        </is>
      </c>
      <c r="F2139" s="6" t="inlineStr">
        <is>
          <t>-</t>
        </is>
      </c>
      <c r="G2139" s="7" t="n">
        <v>58.85103988647461</v>
      </c>
      <c r="H2139" s="6">
        <f>P2108</f>
        <v/>
      </c>
      <c r="I2139" s="9">
        <f>Q2108</f>
        <v/>
      </c>
      <c r="J2139" s="7">
        <f>I2139*G2139</f>
        <v/>
      </c>
      <c r="K2139" s="8">
        <f>IF($J$2140=0,0,J2139/$J$2140)</f>
        <v/>
      </c>
      <c r="L2139" s="6" t="inlineStr">
        <is>
          <t>WATCHLIST</t>
        </is>
      </c>
      <c r="M2139" s="8" t="n">
        <v>0</v>
      </c>
      <c r="N2139" s="7">
        <f>M2139*$J$2140-J2139</f>
        <v/>
      </c>
      <c r="O2139" s="9">
        <f>IF(G2139=0,0,N2139/G2139)</f>
        <v/>
      </c>
      <c r="P2139" s="6">
        <f>IF(M2139&gt;0,D2139,"")</f>
        <v/>
      </c>
      <c r="Q2139" s="9">
        <f>I2139+O2139</f>
        <v/>
      </c>
      <c r="R2139" s="7">
        <f>Q2139*G2139</f>
        <v/>
      </c>
      <c r="S2139" s="8">
        <f>IF($R$2140=0,0,R2139/$R$2140)</f>
        <v/>
      </c>
      <c r="T2139" s="8" t="n">
        <v>0.01917615068449985</v>
      </c>
      <c r="U2139" s="8" t="n">
        <v>0.006608855645268363</v>
      </c>
      <c r="V2139" s="6" t="inlineStr">
        <is>
          <t>not selected</t>
        </is>
      </c>
    </row>
    <row r="2140">
      <c r="A2140" s="10" t="inlineStr">
        <is>
          <t>DJ30</t>
        </is>
      </c>
      <c r="B2140" s="10" t="inlineStr">
        <is>
          <t>2024-04-26</t>
        </is>
      </c>
      <c r="C2140" s="10" t="inlineStr">
        <is>
          <t>DIA</t>
        </is>
      </c>
      <c r="D2140" s="10" t="inlineStr">
        <is>
          <t>Tot Portfolio</t>
        </is>
      </c>
      <c r="E2140" s="10" t="inlineStr"/>
      <c r="F2140" s="10" t="inlineStr"/>
      <c r="G2140" s="11" t="inlineStr"/>
      <c r="H2140" s="10" t="inlineStr"/>
      <c r="I2140" s="12" t="inlineStr"/>
      <c r="J2140" s="11">
        <f>SUM(J2110:J2139)</f>
        <v/>
      </c>
      <c r="K2140" s="13">
        <f>SUM(K2110:K2139)</f>
        <v/>
      </c>
      <c r="L2140" s="10" t="inlineStr">
        <is>
          <t>TOTAL</t>
        </is>
      </c>
      <c r="M2140" s="13">
        <f>SUM(M2110:M2139)</f>
        <v/>
      </c>
      <c r="N2140" s="11">
        <f>SUM(N2110:N2139)</f>
        <v/>
      </c>
      <c r="O2140" s="12">
        <f>SUM(O2110:O2139)</f>
        <v/>
      </c>
      <c r="P2140" s="10" t="inlineStr"/>
      <c r="Q2140" s="12" t="inlineStr"/>
      <c r="R2140" s="11">
        <f>SUM(R2110:R2139)</f>
        <v/>
      </c>
      <c r="S2140" s="13">
        <f>SUM(S2110:S2139)</f>
        <v/>
      </c>
      <c r="T2140" s="13" t="n">
        <v>0.01917615068449985</v>
      </c>
      <c r="U2140" s="13" t="n">
        <v>0.006608855645268363</v>
      </c>
      <c r="V2140" s="10" t="inlineStr"/>
    </row>
    <row r="2141">
      <c r="A2141" s="6" t="inlineStr">
        <is>
          <t>DJ30</t>
        </is>
      </c>
      <c r="B2141" s="6" t="inlineStr">
        <is>
          <t>2024-05-03</t>
        </is>
      </c>
      <c r="C2141" s="6" t="inlineStr">
        <is>
          <t>DIA</t>
        </is>
      </c>
      <c r="D2141" s="6" t="inlineStr">
        <is>
          <t>AAPL</t>
        </is>
      </c>
      <c r="E2141" s="6" t="inlineStr">
        <is>
          <t>AAPL</t>
        </is>
      </c>
      <c r="F2141" s="6" t="inlineStr">
        <is>
          <t>-</t>
        </is>
      </c>
      <c r="G2141" s="7" t="n">
        <v>181.5588684082031</v>
      </c>
      <c r="H2141" s="6">
        <f>P2110</f>
        <v/>
      </c>
      <c r="I2141" s="9">
        <f>Q2110</f>
        <v/>
      </c>
      <c r="J2141" s="7">
        <f>I2141*G2141</f>
        <v/>
      </c>
      <c r="K2141" s="8">
        <f>IF($J$2171=0,0,J2141/$J$2171)</f>
        <v/>
      </c>
      <c r="L2141" s="6" t="inlineStr">
        <is>
          <t>REJECTED</t>
        </is>
      </c>
      <c r="M2141" s="8" t="n">
        <v>0</v>
      </c>
      <c r="N2141" s="7">
        <f>M2141*$J$2171-J2141</f>
        <v/>
      </c>
      <c r="O2141" s="9">
        <f>IF(G2141=0,0,N2141/G2141)</f>
        <v/>
      </c>
      <c r="P2141" s="6">
        <f>IF(M2141&gt;0,D2141,"")</f>
        <v/>
      </c>
      <c r="Q2141" s="9">
        <f>I2141+O2141</f>
        <v/>
      </c>
      <c r="R2141" s="7">
        <f>Q2141*G2141</f>
        <v/>
      </c>
      <c r="S2141" s="8">
        <f>IF($R$2171=0,0,R2141/$R$2171)</f>
        <v/>
      </c>
      <c r="T2141" s="8" t="n">
        <v>-0.006697818387099597</v>
      </c>
      <c r="U2141" s="8" t="n">
        <v>0.01166574913738327</v>
      </c>
      <c r="V2141" s="6" t="inlineStr">
        <is>
          <t>not selected</t>
        </is>
      </c>
    </row>
    <row r="2142">
      <c r="A2142" s="6" t="inlineStr">
        <is>
          <t>DJ30</t>
        </is>
      </c>
      <c r="B2142" s="6" t="inlineStr">
        <is>
          <t>2024-05-03</t>
        </is>
      </c>
      <c r="C2142" s="6" t="inlineStr">
        <is>
          <t>DIA</t>
        </is>
      </c>
      <c r="D2142" s="6" t="inlineStr">
        <is>
          <t>AMGN</t>
        </is>
      </c>
      <c r="E2142" s="6" t="inlineStr">
        <is>
          <t>AMGN</t>
        </is>
      </c>
      <c r="F2142" s="6" t="inlineStr">
        <is>
          <t>-</t>
        </is>
      </c>
      <c r="G2142" s="7" t="n">
        <v>290.6976318359375</v>
      </c>
      <c r="H2142" s="6">
        <f>P2111</f>
        <v/>
      </c>
      <c r="I2142" s="9">
        <f>Q2111</f>
        <v/>
      </c>
      <c r="J2142" s="7">
        <f>I2142*G2142</f>
        <v/>
      </c>
      <c r="K2142" s="8">
        <f>IF($J$2171=0,0,J2142/$J$2171)</f>
        <v/>
      </c>
      <c r="L2142" s="6" t="inlineStr">
        <is>
          <t>WATCHLIST</t>
        </is>
      </c>
      <c r="M2142" s="8" t="n">
        <v>0</v>
      </c>
      <c r="N2142" s="7">
        <f>M2142*$J$2171-J2142</f>
        <v/>
      </c>
      <c r="O2142" s="9">
        <f>IF(G2142=0,0,N2142/G2142)</f>
        <v/>
      </c>
      <c r="P2142" s="6">
        <f>IF(M2142&gt;0,D2142,"")</f>
        <v/>
      </c>
      <c r="Q2142" s="9">
        <f>I2142+O2142</f>
        <v/>
      </c>
      <c r="R2142" s="7">
        <f>Q2142*G2142</f>
        <v/>
      </c>
      <c r="S2142" s="8">
        <f>IF($R$2171=0,0,R2142/$R$2171)</f>
        <v/>
      </c>
      <c r="T2142" s="8" t="n">
        <v>-0.006697818387099597</v>
      </c>
      <c r="U2142" s="8" t="n">
        <v>0.01166574913738327</v>
      </c>
      <c r="V2142" s="6" t="inlineStr">
        <is>
          <t>not selected</t>
        </is>
      </c>
    </row>
    <row r="2143">
      <c r="A2143" s="6" t="inlineStr">
        <is>
          <t>DJ30</t>
        </is>
      </c>
      <c r="B2143" s="6" t="inlineStr">
        <is>
          <t>2024-05-03</t>
        </is>
      </c>
      <c r="C2143" s="6" t="inlineStr">
        <is>
          <t>DIA</t>
        </is>
      </c>
      <c r="D2143" s="6" t="inlineStr">
        <is>
          <t>AMZN</t>
        </is>
      </c>
      <c r="E2143" s="6" t="inlineStr">
        <is>
          <t>AMZN</t>
        </is>
      </c>
      <c r="F2143" s="6" t="inlineStr">
        <is>
          <t>-</t>
        </is>
      </c>
      <c r="G2143" s="7" t="n">
        <v>186.2100067138672</v>
      </c>
      <c r="H2143" s="6">
        <f>P2112</f>
        <v/>
      </c>
      <c r="I2143" s="9">
        <f>Q2112</f>
        <v/>
      </c>
      <c r="J2143" s="7">
        <f>I2143*G2143</f>
        <v/>
      </c>
      <c r="K2143" s="8">
        <f>IF($J$2171=0,0,J2143/$J$2171)</f>
        <v/>
      </c>
      <c r="L2143" s="6" t="inlineStr">
        <is>
          <t>WATCHLIST</t>
        </is>
      </c>
      <c r="M2143" s="8" t="n">
        <v>0</v>
      </c>
      <c r="N2143" s="7">
        <f>M2143*$J$2171-J2143</f>
        <v/>
      </c>
      <c r="O2143" s="9">
        <f>IF(G2143=0,0,N2143/G2143)</f>
        <v/>
      </c>
      <c r="P2143" s="6">
        <f>IF(M2143&gt;0,D2143,"")</f>
        <v/>
      </c>
      <c r="Q2143" s="9">
        <f>I2143+O2143</f>
        <v/>
      </c>
      <c r="R2143" s="7">
        <f>Q2143*G2143</f>
        <v/>
      </c>
      <c r="S2143" s="8">
        <f>IF($R$2171=0,0,R2143/$R$2171)</f>
        <v/>
      </c>
      <c r="T2143" s="8" t="n">
        <v>-0.006697818387099597</v>
      </c>
      <c r="U2143" s="8" t="n">
        <v>0.01166574913738327</v>
      </c>
      <c r="V2143" s="6" t="inlineStr">
        <is>
          <t>not selected</t>
        </is>
      </c>
    </row>
    <row r="2144">
      <c r="A2144" s="6" t="inlineStr">
        <is>
          <t>DJ30</t>
        </is>
      </c>
      <c r="B2144" s="6" t="inlineStr">
        <is>
          <t>2024-05-03</t>
        </is>
      </c>
      <c r="C2144" s="6" t="inlineStr">
        <is>
          <t>DIA</t>
        </is>
      </c>
      <c r="D2144" s="6" t="inlineStr">
        <is>
          <t>AXP</t>
        </is>
      </c>
      <c r="E2144" s="6" t="inlineStr">
        <is>
          <t>AXP</t>
        </is>
      </c>
      <c r="F2144" s="6" t="inlineStr">
        <is>
          <t>-</t>
        </is>
      </c>
      <c r="G2144" s="7" t="n">
        <v>225.8221130371093</v>
      </c>
      <c r="H2144" s="6">
        <f>P2113</f>
        <v/>
      </c>
      <c r="I2144" s="9">
        <f>Q2113</f>
        <v/>
      </c>
      <c r="J2144" s="7">
        <f>I2144*G2144</f>
        <v/>
      </c>
      <c r="K2144" s="8">
        <f>IF($J$2171=0,0,J2144/$J$2171)</f>
        <v/>
      </c>
      <c r="L2144" s="6" t="inlineStr">
        <is>
          <t>WATCHLIST</t>
        </is>
      </c>
      <c r="M2144" s="8" t="n">
        <v>0</v>
      </c>
      <c r="N2144" s="7">
        <f>M2144*$J$2171-J2144</f>
        <v/>
      </c>
      <c r="O2144" s="9">
        <f>IF(G2144=0,0,N2144/G2144)</f>
        <v/>
      </c>
      <c r="P2144" s="6">
        <f>IF(M2144&gt;0,D2144,"")</f>
        <v/>
      </c>
      <c r="Q2144" s="9">
        <f>I2144+O2144</f>
        <v/>
      </c>
      <c r="R2144" s="7">
        <f>Q2144*G2144</f>
        <v/>
      </c>
      <c r="S2144" s="8">
        <f>IF($R$2171=0,0,R2144/$R$2171)</f>
        <v/>
      </c>
      <c r="T2144" s="8" t="n">
        <v>-0.006697818387099597</v>
      </c>
      <c r="U2144" s="8" t="n">
        <v>0.01166574913738327</v>
      </c>
      <c r="V2144" s="6" t="inlineStr">
        <is>
          <t>not selected</t>
        </is>
      </c>
    </row>
    <row r="2145">
      <c r="A2145" s="6" t="inlineStr">
        <is>
          <t>DJ30</t>
        </is>
      </c>
      <c r="B2145" s="6" t="inlineStr">
        <is>
          <t>2024-05-03</t>
        </is>
      </c>
      <c r="C2145" s="6" t="inlineStr">
        <is>
          <t>DIA</t>
        </is>
      </c>
      <c r="D2145" s="6" t="inlineStr">
        <is>
          <t>BA</t>
        </is>
      </c>
      <c r="E2145" s="6" t="inlineStr">
        <is>
          <t>BA</t>
        </is>
      </c>
      <c r="F2145" s="6" t="inlineStr">
        <is>
          <t>-</t>
        </is>
      </c>
      <c r="G2145" s="7" t="n">
        <v>179.7899932861328</v>
      </c>
      <c r="H2145" s="6">
        <f>P2114</f>
        <v/>
      </c>
      <c r="I2145" s="9">
        <f>Q2114</f>
        <v/>
      </c>
      <c r="J2145" s="7">
        <f>I2145*G2145</f>
        <v/>
      </c>
      <c r="K2145" s="8">
        <f>IF($J$2171=0,0,J2145/$J$2171)</f>
        <v/>
      </c>
      <c r="L2145" s="6" t="inlineStr">
        <is>
          <t>REJECTED</t>
        </is>
      </c>
      <c r="M2145" s="8" t="n">
        <v>0</v>
      </c>
      <c r="N2145" s="7">
        <f>M2145*$J$2171-J2145</f>
        <v/>
      </c>
      <c r="O2145" s="9">
        <f>IF(G2145=0,0,N2145/G2145)</f>
        <v/>
      </c>
      <c r="P2145" s="6">
        <f>IF(M2145&gt;0,D2145,"")</f>
        <v/>
      </c>
      <c r="Q2145" s="9">
        <f>I2145+O2145</f>
        <v/>
      </c>
      <c r="R2145" s="7">
        <f>Q2145*G2145</f>
        <v/>
      </c>
      <c r="S2145" s="8">
        <f>IF($R$2171=0,0,R2145/$R$2171)</f>
        <v/>
      </c>
      <c r="T2145" s="8" t="n">
        <v>-0.006697818387099597</v>
      </c>
      <c r="U2145" s="8" t="n">
        <v>0.01166574913738327</v>
      </c>
      <c r="V2145" s="6" t="inlineStr">
        <is>
          <t>not selected</t>
        </is>
      </c>
    </row>
    <row r="2146">
      <c r="A2146" s="6" t="inlineStr">
        <is>
          <t>DJ30</t>
        </is>
      </c>
      <c r="B2146" s="6" t="inlineStr">
        <is>
          <t>2024-05-03</t>
        </is>
      </c>
      <c r="C2146" s="6" t="inlineStr">
        <is>
          <t>DIA</t>
        </is>
      </c>
      <c r="D2146" s="6" t="inlineStr">
        <is>
          <t>CAT</t>
        </is>
      </c>
      <c r="E2146" s="6" t="inlineStr">
        <is>
          <t>CAT</t>
        </is>
      </c>
      <c r="F2146" s="6" t="inlineStr">
        <is>
          <t>-</t>
        </is>
      </c>
      <c r="G2146" s="7" t="n">
        <v>327.8194580078125</v>
      </c>
      <c r="H2146" s="6">
        <f>P2115</f>
        <v/>
      </c>
      <c r="I2146" s="9">
        <f>Q2115</f>
        <v/>
      </c>
      <c r="J2146" s="7">
        <f>I2146*G2146</f>
        <v/>
      </c>
      <c r="K2146" s="8">
        <f>IF($J$2171=0,0,J2146/$J$2171)</f>
        <v/>
      </c>
      <c r="L2146" s="6" t="inlineStr">
        <is>
          <t>SELECTED</t>
        </is>
      </c>
      <c r="M2146" s="8" t="n">
        <v>0.2</v>
      </c>
      <c r="N2146" s="7">
        <f>M2146*$J$2171-J2146</f>
        <v/>
      </c>
      <c r="O2146" s="9">
        <f>IF(G2146=0,0,N2146/G2146)</f>
        <v/>
      </c>
      <c r="P2146" s="6">
        <f>IF(M2146&gt;0,D2146,"")</f>
        <v/>
      </c>
      <c r="Q2146" s="9">
        <f>I2146+O2146</f>
        <v/>
      </c>
      <c r="R2146" s="7">
        <f>Q2146*G2146</f>
        <v/>
      </c>
      <c r="S2146" s="8">
        <f>IF($R$2171=0,0,R2146/$R$2171)</f>
        <v/>
      </c>
      <c r="T2146" s="8" t="n">
        <v>-0.006697818387099597</v>
      </c>
      <c r="U2146" s="8" t="n">
        <v>0.01166574913738327</v>
      </c>
      <c r="V2146" s="6" t="inlineStr">
        <is>
          <t>remained in weekly selection</t>
        </is>
      </c>
    </row>
    <row r="2147">
      <c r="A2147" s="6" t="inlineStr">
        <is>
          <t>DJ30</t>
        </is>
      </c>
      <c r="B2147" s="6" t="inlineStr">
        <is>
          <t>2024-05-03</t>
        </is>
      </c>
      <c r="C2147" s="6" t="inlineStr">
        <is>
          <t>DIA</t>
        </is>
      </c>
      <c r="D2147" s="6" t="inlineStr">
        <is>
          <t>CRM</t>
        </is>
      </c>
      <c r="E2147" s="6" t="inlineStr">
        <is>
          <t>CRM</t>
        </is>
      </c>
      <c r="F2147" s="6" t="inlineStr">
        <is>
          <t>-</t>
        </is>
      </c>
      <c r="G2147" s="7" t="n">
        <v>269.3574523925781</v>
      </c>
      <c r="H2147" s="6">
        <f>P2116</f>
        <v/>
      </c>
      <c r="I2147" s="9">
        <f>Q2116</f>
        <v/>
      </c>
      <c r="J2147" s="7">
        <f>I2147*G2147</f>
        <v/>
      </c>
      <c r="K2147" s="8">
        <f>IF($J$2171=0,0,J2147/$J$2171)</f>
        <v/>
      </c>
      <c r="L2147" s="6" t="inlineStr">
        <is>
          <t>SELECTED</t>
        </is>
      </c>
      <c r="M2147" s="8" t="n">
        <v>0.2</v>
      </c>
      <c r="N2147" s="7">
        <f>M2147*$J$2171-J2147</f>
        <v/>
      </c>
      <c r="O2147" s="9">
        <f>IF(G2147=0,0,N2147/G2147)</f>
        <v/>
      </c>
      <c r="P2147" s="6">
        <f>IF(M2147&gt;0,D2147,"")</f>
        <v/>
      </c>
      <c r="Q2147" s="9">
        <f>I2147+O2147</f>
        <v/>
      </c>
      <c r="R2147" s="7">
        <f>Q2147*G2147</f>
        <v/>
      </c>
      <c r="S2147" s="8">
        <f>IF($R$2171=0,0,R2147/$R$2171)</f>
        <v/>
      </c>
      <c r="T2147" s="8" t="n">
        <v>-0.006697818387099597</v>
      </c>
      <c r="U2147" s="8" t="n">
        <v>0.01166574913738327</v>
      </c>
      <c r="V2147" s="6" t="inlineStr">
        <is>
          <t>remained in weekly selection</t>
        </is>
      </c>
    </row>
    <row r="2148">
      <c r="A2148" s="6" t="inlineStr">
        <is>
          <t>DJ30</t>
        </is>
      </c>
      <c r="B2148" s="6" t="inlineStr">
        <is>
          <t>2024-05-03</t>
        </is>
      </c>
      <c r="C2148" s="6" t="inlineStr">
        <is>
          <t>DIA</t>
        </is>
      </c>
      <c r="D2148" s="6" t="inlineStr">
        <is>
          <t>CSCO</t>
        </is>
      </c>
      <c r="E2148" s="6" t="inlineStr">
        <is>
          <t>CSCO</t>
        </is>
      </c>
      <c r="F2148" s="6" t="inlineStr">
        <is>
          <t>-</t>
        </is>
      </c>
      <c r="G2148" s="7" t="n">
        <v>44.7169075012207</v>
      </c>
      <c r="H2148" s="6">
        <f>P2117</f>
        <v/>
      </c>
      <c r="I2148" s="9">
        <f>Q2117</f>
        <v/>
      </c>
      <c r="J2148" s="7">
        <f>I2148*G2148</f>
        <v/>
      </c>
      <c r="K2148" s="8">
        <f>IF($J$2171=0,0,J2148/$J$2171)</f>
        <v/>
      </c>
      <c r="L2148" s="6" t="inlineStr">
        <is>
          <t>REJECTED</t>
        </is>
      </c>
      <c r="M2148" s="8" t="n">
        <v>0</v>
      </c>
      <c r="N2148" s="7">
        <f>M2148*$J$2171-J2148</f>
        <v/>
      </c>
      <c r="O2148" s="9">
        <f>IF(G2148=0,0,N2148/G2148)</f>
        <v/>
      </c>
      <c r="P2148" s="6">
        <f>IF(M2148&gt;0,D2148,"")</f>
        <v/>
      </c>
      <c r="Q2148" s="9">
        <f>I2148+O2148</f>
        <v/>
      </c>
      <c r="R2148" s="7">
        <f>Q2148*G2148</f>
        <v/>
      </c>
      <c r="S2148" s="8">
        <f>IF($R$2171=0,0,R2148/$R$2171)</f>
        <v/>
      </c>
      <c r="T2148" s="8" t="n">
        <v>-0.006697818387099597</v>
      </c>
      <c r="U2148" s="8" t="n">
        <v>0.01166574913738327</v>
      </c>
      <c r="V2148" s="6" t="inlineStr">
        <is>
          <t>not selected</t>
        </is>
      </c>
    </row>
    <row r="2149">
      <c r="A2149" s="6" t="inlineStr">
        <is>
          <t>DJ30</t>
        </is>
      </c>
      <c r="B2149" s="6" t="inlineStr">
        <is>
          <t>2024-05-03</t>
        </is>
      </c>
      <c r="C2149" s="6" t="inlineStr">
        <is>
          <t>DIA</t>
        </is>
      </c>
      <c r="D2149" s="6" t="inlineStr">
        <is>
          <t>CVX</t>
        </is>
      </c>
      <c r="E2149" s="6" t="inlineStr">
        <is>
          <t>CVX</t>
        </is>
      </c>
      <c r="F2149" s="6" t="inlineStr">
        <is>
          <t>-</t>
        </is>
      </c>
      <c r="G2149" s="7" t="n">
        <v>145.6551818847656</v>
      </c>
      <c r="H2149" s="6">
        <f>P2118</f>
        <v/>
      </c>
      <c r="I2149" s="9">
        <f>Q2118</f>
        <v/>
      </c>
      <c r="J2149" s="7">
        <f>I2149*G2149</f>
        <v/>
      </c>
      <c r="K2149" s="8">
        <f>IF($J$2171=0,0,J2149/$J$2171)</f>
        <v/>
      </c>
      <c r="L2149" s="6" t="inlineStr">
        <is>
          <t>REJECTED</t>
        </is>
      </c>
      <c r="M2149" s="8" t="n">
        <v>0</v>
      </c>
      <c r="N2149" s="7">
        <f>M2149*$J$2171-J2149</f>
        <v/>
      </c>
      <c r="O2149" s="9">
        <f>IF(G2149=0,0,N2149/G2149)</f>
        <v/>
      </c>
      <c r="P2149" s="6">
        <f>IF(M2149&gt;0,D2149,"")</f>
        <v/>
      </c>
      <c r="Q2149" s="9">
        <f>I2149+O2149</f>
        <v/>
      </c>
      <c r="R2149" s="7">
        <f>Q2149*G2149</f>
        <v/>
      </c>
      <c r="S2149" s="8">
        <f>IF($R$2171=0,0,R2149/$R$2171)</f>
        <v/>
      </c>
      <c r="T2149" s="8" t="n">
        <v>-0.006697818387099597</v>
      </c>
      <c r="U2149" s="8" t="n">
        <v>0.01166574913738327</v>
      </c>
      <c r="V2149" s="6" t="inlineStr">
        <is>
          <t>not selected</t>
        </is>
      </c>
    </row>
    <row r="2150">
      <c r="A2150" s="6" t="inlineStr">
        <is>
          <t>DJ30</t>
        </is>
      </c>
      <c r="B2150" s="6" t="inlineStr">
        <is>
          <t>2024-05-03</t>
        </is>
      </c>
      <c r="C2150" s="6" t="inlineStr">
        <is>
          <t>DIA</t>
        </is>
      </c>
      <c r="D2150" s="6" t="inlineStr">
        <is>
          <t>DIS</t>
        </is>
      </c>
      <c r="E2150" s="6" t="inlineStr">
        <is>
          <t>DIS</t>
        </is>
      </c>
      <c r="F2150" s="6" t="inlineStr">
        <is>
          <t>-</t>
        </is>
      </c>
      <c r="G2150" s="7" t="n">
        <v>111.406867980957</v>
      </c>
      <c r="H2150" s="6">
        <f>P2119</f>
        <v/>
      </c>
      <c r="I2150" s="9">
        <f>Q2119</f>
        <v/>
      </c>
      <c r="J2150" s="7">
        <f>I2150*G2150</f>
        <v/>
      </c>
      <c r="K2150" s="8">
        <f>IF($J$2171=0,0,J2150/$J$2171)</f>
        <v/>
      </c>
      <c r="L2150" s="6" t="inlineStr">
        <is>
          <t>WATCHLIST</t>
        </is>
      </c>
      <c r="M2150" s="8" t="n">
        <v>0</v>
      </c>
      <c r="N2150" s="7">
        <f>M2150*$J$2171-J2150</f>
        <v/>
      </c>
      <c r="O2150" s="9">
        <f>IF(G2150=0,0,N2150/G2150)</f>
        <v/>
      </c>
      <c r="P2150" s="6">
        <f>IF(M2150&gt;0,D2150,"")</f>
        <v/>
      </c>
      <c r="Q2150" s="9">
        <f>I2150+O2150</f>
        <v/>
      </c>
      <c r="R2150" s="7">
        <f>Q2150*G2150</f>
        <v/>
      </c>
      <c r="S2150" s="8">
        <f>IF($R$2171=0,0,R2150/$R$2171)</f>
        <v/>
      </c>
      <c r="T2150" s="8" t="n">
        <v>-0.006697818387099597</v>
      </c>
      <c r="U2150" s="8" t="n">
        <v>0.01166574913738327</v>
      </c>
      <c r="V2150" s="6" t="inlineStr">
        <is>
          <t>not selected</t>
        </is>
      </c>
    </row>
    <row r="2151">
      <c r="A2151" s="6" t="inlineStr">
        <is>
          <t>DJ30</t>
        </is>
      </c>
      <c r="B2151" s="6" t="inlineStr">
        <is>
          <t>2024-05-03</t>
        </is>
      </c>
      <c r="C2151" s="6" t="inlineStr">
        <is>
          <t>DIA</t>
        </is>
      </c>
      <c r="D2151" s="6" t="inlineStr">
        <is>
          <t>GS</t>
        </is>
      </c>
      <c r="E2151" s="6" t="inlineStr">
        <is>
          <t>GS</t>
        </is>
      </c>
      <c r="F2151" s="6" t="inlineStr">
        <is>
          <t>-</t>
        </is>
      </c>
      <c r="G2151" s="7" t="n">
        <v>418.1779174804688</v>
      </c>
      <c r="H2151" s="6">
        <f>P2120</f>
        <v/>
      </c>
      <c r="I2151" s="9">
        <f>Q2120</f>
        <v/>
      </c>
      <c r="J2151" s="7">
        <f>I2151*G2151</f>
        <v/>
      </c>
      <c r="K2151" s="8">
        <f>IF($J$2171=0,0,J2151/$J$2171)</f>
        <v/>
      </c>
      <c r="L2151" s="6" t="inlineStr">
        <is>
          <t>WATCHLIST</t>
        </is>
      </c>
      <c r="M2151" s="8" t="n">
        <v>0</v>
      </c>
      <c r="N2151" s="7">
        <f>M2151*$J$2171-J2151</f>
        <v/>
      </c>
      <c r="O2151" s="9">
        <f>IF(G2151=0,0,N2151/G2151)</f>
        <v/>
      </c>
      <c r="P2151" s="6">
        <f>IF(M2151&gt;0,D2151,"")</f>
        <v/>
      </c>
      <c r="Q2151" s="9">
        <f>I2151+O2151</f>
        <v/>
      </c>
      <c r="R2151" s="7">
        <f>Q2151*G2151</f>
        <v/>
      </c>
      <c r="S2151" s="8">
        <f>IF($R$2171=0,0,R2151/$R$2171)</f>
        <v/>
      </c>
      <c r="T2151" s="8" t="n">
        <v>-0.006697818387099597</v>
      </c>
      <c r="U2151" s="8" t="n">
        <v>0.01166574913738327</v>
      </c>
      <c r="V2151" s="6" t="inlineStr">
        <is>
          <t>not selected</t>
        </is>
      </c>
    </row>
    <row r="2152">
      <c r="A2152" s="6" t="inlineStr">
        <is>
          <t>DJ30</t>
        </is>
      </c>
      <c r="B2152" s="6" t="inlineStr">
        <is>
          <t>2024-05-03</t>
        </is>
      </c>
      <c r="C2152" s="6" t="inlineStr">
        <is>
          <t>DIA</t>
        </is>
      </c>
      <c r="D2152" s="6" t="inlineStr">
        <is>
          <t>HD</t>
        </is>
      </c>
      <c r="E2152" s="6" t="inlineStr">
        <is>
          <t>HD</t>
        </is>
      </c>
      <c r="F2152" s="6" t="inlineStr">
        <is>
          <t>-</t>
        </is>
      </c>
      <c r="G2152" s="7" t="n">
        <v>323.8550720214844</v>
      </c>
      <c r="H2152" s="6">
        <f>P2121</f>
        <v/>
      </c>
      <c r="I2152" s="9">
        <f>Q2121</f>
        <v/>
      </c>
      <c r="J2152" s="7">
        <f>I2152*G2152</f>
        <v/>
      </c>
      <c r="K2152" s="8">
        <f>IF($J$2171=0,0,J2152/$J$2171)</f>
        <v/>
      </c>
      <c r="L2152" s="6" t="inlineStr">
        <is>
          <t>WATCHLIST</t>
        </is>
      </c>
      <c r="M2152" s="8" t="n">
        <v>0</v>
      </c>
      <c r="N2152" s="7">
        <f>M2152*$J$2171-J2152</f>
        <v/>
      </c>
      <c r="O2152" s="9">
        <f>IF(G2152=0,0,N2152/G2152)</f>
        <v/>
      </c>
      <c r="P2152" s="6">
        <f>IF(M2152&gt;0,D2152,"")</f>
        <v/>
      </c>
      <c r="Q2152" s="9">
        <f>I2152+O2152</f>
        <v/>
      </c>
      <c r="R2152" s="7">
        <f>Q2152*G2152</f>
        <v/>
      </c>
      <c r="S2152" s="8">
        <f>IF($R$2171=0,0,R2152/$R$2171)</f>
        <v/>
      </c>
      <c r="T2152" s="8" t="n">
        <v>-0.006697818387099597</v>
      </c>
      <c r="U2152" s="8" t="n">
        <v>0.01166574913738327</v>
      </c>
      <c r="V2152" s="6" t="inlineStr">
        <is>
          <t>not selected</t>
        </is>
      </c>
    </row>
    <row r="2153">
      <c r="A2153" s="6" t="inlineStr">
        <is>
          <t>DJ30</t>
        </is>
      </c>
      <c r="B2153" s="6" t="inlineStr">
        <is>
          <t>2024-05-03</t>
        </is>
      </c>
      <c r="C2153" s="6" t="inlineStr">
        <is>
          <t>DIA</t>
        </is>
      </c>
      <c r="D2153" s="6" t="inlineStr">
        <is>
          <t>HON</t>
        </is>
      </c>
      <c r="E2153" s="6" t="inlineStr">
        <is>
          <t>HON</t>
        </is>
      </c>
      <c r="F2153" s="6" t="inlineStr">
        <is>
          <t>-</t>
        </is>
      </c>
      <c r="G2153" s="7" t="n">
        <v>175.95947265625</v>
      </c>
      <c r="H2153" s="6">
        <f>P2122</f>
        <v/>
      </c>
      <c r="I2153" s="9">
        <f>Q2122</f>
        <v/>
      </c>
      <c r="J2153" s="7">
        <f>I2153*G2153</f>
        <v/>
      </c>
      <c r="K2153" s="8">
        <f>IF($J$2171=0,0,J2153/$J$2171)</f>
        <v/>
      </c>
      <c r="L2153" s="6" t="inlineStr">
        <is>
          <t>REJECTED</t>
        </is>
      </c>
      <c r="M2153" s="8" t="n">
        <v>0</v>
      </c>
      <c r="N2153" s="7">
        <f>M2153*$J$2171-J2153</f>
        <v/>
      </c>
      <c r="O2153" s="9">
        <f>IF(G2153=0,0,N2153/G2153)</f>
        <v/>
      </c>
      <c r="P2153" s="6">
        <f>IF(M2153&gt;0,D2153,"")</f>
        <v/>
      </c>
      <c r="Q2153" s="9">
        <f>I2153+O2153</f>
        <v/>
      </c>
      <c r="R2153" s="7">
        <f>Q2153*G2153</f>
        <v/>
      </c>
      <c r="S2153" s="8">
        <f>IF($R$2171=0,0,R2153/$R$2171)</f>
        <v/>
      </c>
      <c r="T2153" s="8" t="n">
        <v>-0.006697818387099597</v>
      </c>
      <c r="U2153" s="8" t="n">
        <v>0.01166574913738327</v>
      </c>
      <c r="V2153" s="6" t="inlineStr">
        <is>
          <t>not selected</t>
        </is>
      </c>
    </row>
    <row r="2154">
      <c r="A2154" s="6" t="inlineStr">
        <is>
          <t>DJ30</t>
        </is>
      </c>
      <c r="B2154" s="6" t="inlineStr">
        <is>
          <t>2024-05-03</t>
        </is>
      </c>
      <c r="C2154" s="6" t="inlineStr">
        <is>
          <t>DIA</t>
        </is>
      </c>
      <c r="D2154" s="6" t="inlineStr">
        <is>
          <t>IBM</t>
        </is>
      </c>
      <c r="E2154" s="6" t="inlineStr">
        <is>
          <t>IBM</t>
        </is>
      </c>
      <c r="F2154" s="6" t="inlineStr">
        <is>
          <t>-</t>
        </is>
      </c>
      <c r="G2154" s="7" t="n">
        <v>155.2870635986328</v>
      </c>
      <c r="H2154" s="6">
        <f>P2123</f>
        <v/>
      </c>
      <c r="I2154" s="9">
        <f>Q2123</f>
        <v/>
      </c>
      <c r="J2154" s="7">
        <f>I2154*G2154</f>
        <v/>
      </c>
      <c r="K2154" s="8">
        <f>IF($J$2171=0,0,J2154/$J$2171)</f>
        <v/>
      </c>
      <c r="L2154" s="6" t="inlineStr">
        <is>
          <t>SELECTED</t>
        </is>
      </c>
      <c r="M2154" s="8" t="n">
        <v>0.2</v>
      </c>
      <c r="N2154" s="7">
        <f>M2154*$J$2171-J2154</f>
        <v/>
      </c>
      <c r="O2154" s="9">
        <f>IF(G2154=0,0,N2154/G2154)</f>
        <v/>
      </c>
      <c r="P2154" s="6">
        <f>IF(M2154&gt;0,D2154,"")</f>
        <v/>
      </c>
      <c r="Q2154" s="9">
        <f>I2154+O2154</f>
        <v/>
      </c>
      <c r="R2154" s="7">
        <f>Q2154*G2154</f>
        <v/>
      </c>
      <c r="S2154" s="8">
        <f>IF($R$2171=0,0,R2154/$R$2171)</f>
        <v/>
      </c>
      <c r="T2154" s="8" t="n">
        <v>-0.006697818387099597</v>
      </c>
      <c r="U2154" s="8" t="n">
        <v>0.01166574913738327</v>
      </c>
      <c r="V2154" s="6" t="inlineStr">
        <is>
          <t>remained in weekly selection</t>
        </is>
      </c>
    </row>
    <row r="2155">
      <c r="A2155" s="6" t="inlineStr">
        <is>
          <t>DJ30</t>
        </is>
      </c>
      <c r="B2155" s="6" t="inlineStr">
        <is>
          <t>2024-05-03</t>
        </is>
      </c>
      <c r="C2155" s="6" t="inlineStr">
        <is>
          <t>DIA</t>
        </is>
      </c>
      <c r="D2155" s="6" t="inlineStr">
        <is>
          <t>JNJ</t>
        </is>
      </c>
      <c r="E2155" s="6" t="inlineStr">
        <is>
          <t>JNJ</t>
        </is>
      </c>
      <c r="F2155" s="6" t="inlineStr">
        <is>
          <t>-</t>
        </is>
      </c>
      <c r="G2155" s="7" t="n">
        <v>139.9051208496094</v>
      </c>
      <c r="H2155" s="6">
        <f>P2124</f>
        <v/>
      </c>
      <c r="I2155" s="9">
        <f>Q2124</f>
        <v/>
      </c>
      <c r="J2155" s="7">
        <f>I2155*G2155</f>
        <v/>
      </c>
      <c r="K2155" s="8">
        <f>IF($J$2171=0,0,J2155/$J$2171)</f>
        <v/>
      </c>
      <c r="L2155" s="6" t="inlineStr">
        <is>
          <t>REJECTED</t>
        </is>
      </c>
      <c r="M2155" s="8" t="n">
        <v>0</v>
      </c>
      <c r="N2155" s="7">
        <f>M2155*$J$2171-J2155</f>
        <v/>
      </c>
      <c r="O2155" s="9">
        <f>IF(G2155=0,0,N2155/G2155)</f>
        <v/>
      </c>
      <c r="P2155" s="6">
        <f>IF(M2155&gt;0,D2155,"")</f>
        <v/>
      </c>
      <c r="Q2155" s="9">
        <f>I2155+O2155</f>
        <v/>
      </c>
      <c r="R2155" s="7">
        <f>Q2155*G2155</f>
        <v/>
      </c>
      <c r="S2155" s="8">
        <f>IF($R$2171=0,0,R2155/$R$2171)</f>
        <v/>
      </c>
      <c r="T2155" s="8" t="n">
        <v>-0.006697818387099597</v>
      </c>
      <c r="U2155" s="8" t="n">
        <v>0.01166574913738327</v>
      </c>
      <c r="V2155" s="6" t="inlineStr">
        <is>
          <t>not selected</t>
        </is>
      </c>
    </row>
    <row r="2156">
      <c r="A2156" s="6" t="inlineStr">
        <is>
          <t>DJ30</t>
        </is>
      </c>
      <c r="B2156" s="6" t="inlineStr">
        <is>
          <t>2024-05-03</t>
        </is>
      </c>
      <c r="C2156" s="6" t="inlineStr">
        <is>
          <t>DIA</t>
        </is>
      </c>
      <c r="D2156" s="6" t="inlineStr">
        <is>
          <t>JPM</t>
        </is>
      </c>
      <c r="E2156" s="6" t="inlineStr">
        <is>
          <t>JPM</t>
        </is>
      </c>
      <c r="F2156" s="6" t="inlineStr">
        <is>
          <t>-</t>
        </is>
      </c>
      <c r="G2156" s="7" t="n">
        <v>182.6398620605469</v>
      </c>
      <c r="H2156" s="6">
        <f>P2125</f>
        <v/>
      </c>
      <c r="I2156" s="9">
        <f>Q2125</f>
        <v/>
      </c>
      <c r="J2156" s="7">
        <f>I2156*G2156</f>
        <v/>
      </c>
      <c r="K2156" s="8">
        <f>IF($J$2171=0,0,J2156/$J$2171)</f>
        <v/>
      </c>
      <c r="L2156" s="6" t="inlineStr">
        <is>
          <t>SELECTED</t>
        </is>
      </c>
      <c r="M2156" s="8" t="n">
        <v>0.2</v>
      </c>
      <c r="N2156" s="7">
        <f>M2156*$J$2171-J2156</f>
        <v/>
      </c>
      <c r="O2156" s="9">
        <f>IF(G2156=0,0,N2156/G2156)</f>
        <v/>
      </c>
      <c r="P2156" s="6">
        <f>IF(M2156&gt;0,D2156,"")</f>
        <v/>
      </c>
      <c r="Q2156" s="9">
        <f>I2156+O2156</f>
        <v/>
      </c>
      <c r="R2156" s="7">
        <f>Q2156*G2156</f>
        <v/>
      </c>
      <c r="S2156" s="8">
        <f>IF($R$2171=0,0,R2156/$R$2171)</f>
        <v/>
      </c>
      <c r="T2156" s="8" t="n">
        <v>-0.006697818387099597</v>
      </c>
      <c r="U2156" s="8" t="n">
        <v>0.01166574913738327</v>
      </c>
      <c r="V2156" s="6" t="inlineStr">
        <is>
          <t>remained in weekly selection</t>
        </is>
      </c>
    </row>
    <row r="2157">
      <c r="A2157" s="6" t="inlineStr">
        <is>
          <t>DJ30</t>
        </is>
      </c>
      <c r="B2157" s="6" t="inlineStr">
        <is>
          <t>2024-05-03</t>
        </is>
      </c>
      <c r="C2157" s="6" t="inlineStr">
        <is>
          <t>DIA</t>
        </is>
      </c>
      <c r="D2157" s="6" t="inlineStr">
        <is>
          <t>KO</t>
        </is>
      </c>
      <c r="E2157" s="6" t="inlineStr">
        <is>
          <t>KO</t>
        </is>
      </c>
      <c r="F2157" s="6" t="inlineStr">
        <is>
          <t>-</t>
        </is>
      </c>
      <c r="G2157" s="7" t="n">
        <v>58.28766250610352</v>
      </c>
      <c r="H2157" s="6">
        <f>P2126</f>
        <v/>
      </c>
      <c r="I2157" s="9">
        <f>Q2126</f>
        <v/>
      </c>
      <c r="J2157" s="7">
        <f>I2157*G2157</f>
        <v/>
      </c>
      <c r="K2157" s="8">
        <f>IF($J$2171=0,0,J2157/$J$2171)</f>
        <v/>
      </c>
      <c r="L2157" s="6" t="inlineStr">
        <is>
          <t>REJECTED</t>
        </is>
      </c>
      <c r="M2157" s="8" t="n">
        <v>0</v>
      </c>
      <c r="N2157" s="7">
        <f>M2157*$J$2171-J2157</f>
        <v/>
      </c>
      <c r="O2157" s="9">
        <f>IF(G2157=0,0,N2157/G2157)</f>
        <v/>
      </c>
      <c r="P2157" s="6">
        <f>IF(M2157&gt;0,D2157,"")</f>
        <v/>
      </c>
      <c r="Q2157" s="9">
        <f>I2157+O2157</f>
        <v/>
      </c>
      <c r="R2157" s="7">
        <f>Q2157*G2157</f>
        <v/>
      </c>
      <c r="S2157" s="8">
        <f>IF($R$2171=0,0,R2157/$R$2171)</f>
        <v/>
      </c>
      <c r="T2157" s="8" t="n">
        <v>-0.006697818387099597</v>
      </c>
      <c r="U2157" s="8" t="n">
        <v>0.01166574913738327</v>
      </c>
      <c r="V2157" s="6" t="inlineStr">
        <is>
          <t>not selected</t>
        </is>
      </c>
    </row>
    <row r="2158">
      <c r="A2158" s="6" t="inlineStr">
        <is>
          <t>DJ30</t>
        </is>
      </c>
      <c r="B2158" s="6" t="inlineStr">
        <is>
          <t>2024-05-03</t>
        </is>
      </c>
      <c r="C2158" s="6" t="inlineStr">
        <is>
          <t>DIA</t>
        </is>
      </c>
      <c r="D2158" s="6" t="inlineStr">
        <is>
          <t>MCD</t>
        </is>
      </c>
      <c r="E2158" s="6" t="inlineStr">
        <is>
          <t>MCD</t>
        </is>
      </c>
      <c r="F2158" s="6" t="inlineStr">
        <is>
          <t>-</t>
        </is>
      </c>
      <c r="G2158" s="7" t="n">
        <v>256.1974792480469</v>
      </c>
      <c r="H2158" s="6">
        <f>P2127</f>
        <v/>
      </c>
      <c r="I2158" s="9">
        <f>Q2127</f>
        <v/>
      </c>
      <c r="J2158" s="7">
        <f>I2158*G2158</f>
        <v/>
      </c>
      <c r="K2158" s="8">
        <f>IF($J$2171=0,0,J2158/$J$2171)</f>
        <v/>
      </c>
      <c r="L2158" s="6" t="inlineStr">
        <is>
          <t>REJECTED</t>
        </is>
      </c>
      <c r="M2158" s="8" t="n">
        <v>0</v>
      </c>
      <c r="N2158" s="7">
        <f>M2158*$J$2171-J2158</f>
        <v/>
      </c>
      <c r="O2158" s="9">
        <f>IF(G2158=0,0,N2158/G2158)</f>
        <v/>
      </c>
      <c r="P2158" s="6">
        <f>IF(M2158&gt;0,D2158,"")</f>
        <v/>
      </c>
      <c r="Q2158" s="9">
        <f>I2158+O2158</f>
        <v/>
      </c>
      <c r="R2158" s="7">
        <f>Q2158*G2158</f>
        <v/>
      </c>
      <c r="S2158" s="8">
        <f>IF($R$2171=0,0,R2158/$R$2171)</f>
        <v/>
      </c>
      <c r="T2158" s="8" t="n">
        <v>-0.006697818387099597</v>
      </c>
      <c r="U2158" s="8" t="n">
        <v>0.01166574913738327</v>
      </c>
      <c r="V2158" s="6" t="inlineStr">
        <is>
          <t>not selected</t>
        </is>
      </c>
    </row>
    <row r="2159">
      <c r="A2159" s="6" t="inlineStr">
        <is>
          <t>DJ30</t>
        </is>
      </c>
      <c r="B2159" s="6" t="inlineStr">
        <is>
          <t>2024-05-03</t>
        </is>
      </c>
      <c r="C2159" s="6" t="inlineStr">
        <is>
          <t>DIA</t>
        </is>
      </c>
      <c r="D2159" s="6" t="inlineStr">
        <is>
          <t>MMM</t>
        </is>
      </c>
      <c r="E2159" s="6" t="inlineStr">
        <is>
          <t>MMM</t>
        </is>
      </c>
      <c r="F2159" s="6" t="inlineStr">
        <is>
          <t>-</t>
        </is>
      </c>
      <c r="G2159" s="7" t="n">
        <v>92.78778839111328</v>
      </c>
      <c r="H2159" s="6">
        <f>P2128</f>
        <v/>
      </c>
      <c r="I2159" s="9">
        <f>Q2128</f>
        <v/>
      </c>
      <c r="J2159" s="7">
        <f>I2159*G2159</f>
        <v/>
      </c>
      <c r="K2159" s="8">
        <f>IF($J$2171=0,0,J2159/$J$2171)</f>
        <v/>
      </c>
      <c r="L2159" s="6" t="inlineStr">
        <is>
          <t>REJECTED</t>
        </is>
      </c>
      <c r="M2159" s="8" t="n">
        <v>0</v>
      </c>
      <c r="N2159" s="7">
        <f>M2159*$J$2171-J2159</f>
        <v/>
      </c>
      <c r="O2159" s="9">
        <f>IF(G2159=0,0,N2159/G2159)</f>
        <v/>
      </c>
      <c r="P2159" s="6">
        <f>IF(M2159&gt;0,D2159,"")</f>
        <v/>
      </c>
      <c r="Q2159" s="9">
        <f>I2159+O2159</f>
        <v/>
      </c>
      <c r="R2159" s="7">
        <f>Q2159*G2159</f>
        <v/>
      </c>
      <c r="S2159" s="8">
        <f>IF($R$2171=0,0,R2159/$R$2171)</f>
        <v/>
      </c>
      <c r="T2159" s="8" t="n">
        <v>-0.006697818387099597</v>
      </c>
      <c r="U2159" s="8" t="n">
        <v>0.01166574913738327</v>
      </c>
      <c r="V2159" s="6" t="inlineStr">
        <is>
          <t>not selected</t>
        </is>
      </c>
    </row>
    <row r="2160">
      <c r="A2160" s="6" t="inlineStr">
        <is>
          <t>DJ30</t>
        </is>
      </c>
      <c r="B2160" s="6" t="inlineStr">
        <is>
          <t>2024-05-03</t>
        </is>
      </c>
      <c r="C2160" s="6" t="inlineStr">
        <is>
          <t>DIA</t>
        </is>
      </c>
      <c r="D2160" s="6" t="inlineStr">
        <is>
          <t>MRK</t>
        </is>
      </c>
      <c r="E2160" s="6" t="inlineStr">
        <is>
          <t>MRK</t>
        </is>
      </c>
      <c r="F2160" s="6" t="inlineStr">
        <is>
          <t>-</t>
        </is>
      </c>
      <c r="G2160" s="7" t="n">
        <v>118.6454238891602</v>
      </c>
      <c r="H2160" s="6">
        <f>P2129</f>
        <v/>
      </c>
      <c r="I2160" s="9">
        <f>Q2129</f>
        <v/>
      </c>
      <c r="J2160" s="7">
        <f>I2160*G2160</f>
        <v/>
      </c>
      <c r="K2160" s="8">
        <f>IF($J$2171=0,0,J2160/$J$2171)</f>
        <v/>
      </c>
      <c r="L2160" s="6" t="inlineStr">
        <is>
          <t>WATCHLIST</t>
        </is>
      </c>
      <c r="M2160" s="8" t="n">
        <v>0</v>
      </c>
      <c r="N2160" s="7">
        <f>M2160*$J$2171-J2160</f>
        <v/>
      </c>
      <c r="O2160" s="9">
        <f>IF(G2160=0,0,N2160/G2160)</f>
        <v/>
      </c>
      <c r="P2160" s="6">
        <f>IF(M2160&gt;0,D2160,"")</f>
        <v/>
      </c>
      <c r="Q2160" s="9">
        <f>I2160+O2160</f>
        <v/>
      </c>
      <c r="R2160" s="7">
        <f>Q2160*G2160</f>
        <v/>
      </c>
      <c r="S2160" s="8">
        <f>IF($R$2171=0,0,R2160/$R$2171)</f>
        <v/>
      </c>
      <c r="T2160" s="8" t="n">
        <v>-0.006697818387099597</v>
      </c>
      <c r="U2160" s="8" t="n">
        <v>0.01166574913738327</v>
      </c>
      <c r="V2160" s="6" t="inlineStr">
        <is>
          <t>not selected</t>
        </is>
      </c>
    </row>
    <row r="2161">
      <c r="A2161" s="6" t="inlineStr">
        <is>
          <t>DJ30</t>
        </is>
      </c>
      <c r="B2161" s="6" t="inlineStr">
        <is>
          <t>2024-05-03</t>
        </is>
      </c>
      <c r="C2161" s="6" t="inlineStr">
        <is>
          <t>DIA</t>
        </is>
      </c>
      <c r="D2161" s="6" t="inlineStr">
        <is>
          <t>MSFT</t>
        </is>
      </c>
      <c r="E2161" s="6" t="inlineStr">
        <is>
          <t>MSFT</t>
        </is>
      </c>
      <c r="F2161" s="6" t="inlineStr">
        <is>
          <t>-</t>
        </is>
      </c>
      <c r="G2161" s="7" t="n">
        <v>399.6470642089844</v>
      </c>
      <c r="H2161" s="6">
        <f>P2130</f>
        <v/>
      </c>
      <c r="I2161" s="9">
        <f>Q2130</f>
        <v/>
      </c>
      <c r="J2161" s="7">
        <f>I2161*G2161</f>
        <v/>
      </c>
      <c r="K2161" s="8">
        <f>IF($J$2171=0,0,J2161/$J$2171)</f>
        <v/>
      </c>
      <c r="L2161" s="6" t="inlineStr">
        <is>
          <t>WATCHLIST</t>
        </is>
      </c>
      <c r="M2161" s="8" t="n">
        <v>0</v>
      </c>
      <c r="N2161" s="7">
        <f>M2161*$J$2171-J2161</f>
        <v/>
      </c>
      <c r="O2161" s="9">
        <f>IF(G2161=0,0,N2161/G2161)</f>
        <v/>
      </c>
      <c r="P2161" s="6">
        <f>IF(M2161&gt;0,D2161,"")</f>
        <v/>
      </c>
      <c r="Q2161" s="9">
        <f>I2161+O2161</f>
        <v/>
      </c>
      <c r="R2161" s="7">
        <f>Q2161*G2161</f>
        <v/>
      </c>
      <c r="S2161" s="8">
        <f>IF($R$2171=0,0,R2161/$R$2171)</f>
        <v/>
      </c>
      <c r="T2161" s="8" t="n">
        <v>-0.006697818387099597</v>
      </c>
      <c r="U2161" s="8" t="n">
        <v>0.01166574913738327</v>
      </c>
      <c r="V2161" s="6" t="inlineStr">
        <is>
          <t>not selected</t>
        </is>
      </c>
    </row>
    <row r="2162">
      <c r="A2162" s="6" t="inlineStr">
        <is>
          <t>DJ30</t>
        </is>
      </c>
      <c r="B2162" s="6" t="inlineStr">
        <is>
          <t>2024-05-03</t>
        </is>
      </c>
      <c r="C2162" s="6" t="inlineStr">
        <is>
          <t>DIA</t>
        </is>
      </c>
      <c r="D2162" s="6" t="inlineStr">
        <is>
          <t>NKE</t>
        </is>
      </c>
      <c r="E2162" s="6" t="inlineStr">
        <is>
          <t>NKE</t>
        </is>
      </c>
      <c r="F2162" s="6" t="inlineStr">
        <is>
          <t>-</t>
        </is>
      </c>
      <c r="G2162" s="7" t="n">
        <v>87.46444702148438</v>
      </c>
      <c r="H2162" s="6">
        <f>P2131</f>
        <v/>
      </c>
      <c r="I2162" s="9">
        <f>Q2131</f>
        <v/>
      </c>
      <c r="J2162" s="7">
        <f>I2162*G2162</f>
        <v/>
      </c>
      <c r="K2162" s="8">
        <f>IF($J$2171=0,0,J2162/$J$2171)</f>
        <v/>
      </c>
      <c r="L2162" s="6" t="inlineStr">
        <is>
          <t>REJECTED</t>
        </is>
      </c>
      <c r="M2162" s="8" t="n">
        <v>0</v>
      </c>
      <c r="N2162" s="7">
        <f>M2162*$J$2171-J2162</f>
        <v/>
      </c>
      <c r="O2162" s="9">
        <f>IF(G2162=0,0,N2162/G2162)</f>
        <v/>
      </c>
      <c r="P2162" s="6">
        <f>IF(M2162&gt;0,D2162,"")</f>
        <v/>
      </c>
      <c r="Q2162" s="9">
        <f>I2162+O2162</f>
        <v/>
      </c>
      <c r="R2162" s="7">
        <f>Q2162*G2162</f>
        <v/>
      </c>
      <c r="S2162" s="8">
        <f>IF($R$2171=0,0,R2162/$R$2171)</f>
        <v/>
      </c>
      <c r="T2162" s="8" t="n">
        <v>-0.006697818387099597</v>
      </c>
      <c r="U2162" s="8" t="n">
        <v>0.01166574913738327</v>
      </c>
      <c r="V2162" s="6" t="inlineStr">
        <is>
          <t>not selected</t>
        </is>
      </c>
    </row>
    <row r="2163">
      <c r="A2163" s="6" t="inlineStr">
        <is>
          <t>DJ30</t>
        </is>
      </c>
      <c r="B2163" s="6" t="inlineStr">
        <is>
          <t>2024-05-03</t>
        </is>
      </c>
      <c r="C2163" s="6" t="inlineStr">
        <is>
          <t>DIA</t>
        </is>
      </c>
      <c r="D2163" s="6" t="inlineStr">
        <is>
          <t>NVDA</t>
        </is>
      </c>
      <c r="E2163" s="6" t="inlineStr">
        <is>
          <t>NVDA</t>
        </is>
      </c>
      <c r="F2163" s="6" t="inlineStr">
        <is>
          <t>-</t>
        </is>
      </c>
      <c r="G2163" s="7" t="n">
        <v>88.63561248779297</v>
      </c>
      <c r="H2163" s="6">
        <f>P2132</f>
        <v/>
      </c>
      <c r="I2163" s="9">
        <f>Q2132</f>
        <v/>
      </c>
      <c r="J2163" s="7">
        <f>I2163*G2163</f>
        <v/>
      </c>
      <c r="K2163" s="8">
        <f>IF($J$2171=0,0,J2163/$J$2171)</f>
        <v/>
      </c>
      <c r="L2163" s="6" t="inlineStr">
        <is>
          <t>SELECTED</t>
        </is>
      </c>
      <c r="M2163" s="8" t="n">
        <v>0.2</v>
      </c>
      <c r="N2163" s="7">
        <f>M2163*$J$2171-J2163</f>
        <v/>
      </c>
      <c r="O2163" s="9">
        <f>IF(G2163=0,0,N2163/G2163)</f>
        <v/>
      </c>
      <c r="P2163" s="6">
        <f>IF(M2163&gt;0,D2163,"")</f>
        <v/>
      </c>
      <c r="Q2163" s="9">
        <f>I2163+O2163</f>
        <v/>
      </c>
      <c r="R2163" s="7">
        <f>Q2163*G2163</f>
        <v/>
      </c>
      <c r="S2163" s="8">
        <f>IF($R$2171=0,0,R2163/$R$2171)</f>
        <v/>
      </c>
      <c r="T2163" s="8" t="n">
        <v>-0.006697818387099597</v>
      </c>
      <c r="U2163" s="8" t="n">
        <v>0.01166574913738327</v>
      </c>
      <c r="V2163" s="6" t="inlineStr">
        <is>
          <t>remained in weekly selection</t>
        </is>
      </c>
    </row>
    <row r="2164">
      <c r="A2164" s="6" t="inlineStr">
        <is>
          <t>DJ30</t>
        </is>
      </c>
      <c r="B2164" s="6" t="inlineStr">
        <is>
          <t>2024-05-03</t>
        </is>
      </c>
      <c r="C2164" s="6" t="inlineStr">
        <is>
          <t>DIA</t>
        </is>
      </c>
      <c r="D2164" s="6" t="inlineStr">
        <is>
          <t>PG</t>
        </is>
      </c>
      <c r="E2164" s="6" t="inlineStr">
        <is>
          <t>PG</t>
        </is>
      </c>
      <c r="F2164" s="6" t="inlineStr">
        <is>
          <t>-</t>
        </is>
      </c>
      <c r="G2164" s="7" t="n">
        <v>156.046630859375</v>
      </c>
      <c r="H2164" s="6">
        <f>P2133</f>
        <v/>
      </c>
      <c r="I2164" s="9">
        <f>Q2133</f>
        <v/>
      </c>
      <c r="J2164" s="7">
        <f>I2164*G2164</f>
        <v/>
      </c>
      <c r="K2164" s="8">
        <f>IF($J$2171=0,0,J2164/$J$2171)</f>
        <v/>
      </c>
      <c r="L2164" s="6" t="inlineStr">
        <is>
          <t>WATCHLIST</t>
        </is>
      </c>
      <c r="M2164" s="8" t="n">
        <v>0</v>
      </c>
      <c r="N2164" s="7">
        <f>M2164*$J$2171-J2164</f>
        <v/>
      </c>
      <c r="O2164" s="9">
        <f>IF(G2164=0,0,N2164/G2164)</f>
        <v/>
      </c>
      <c r="P2164" s="6">
        <f>IF(M2164&gt;0,D2164,"")</f>
        <v/>
      </c>
      <c r="Q2164" s="9">
        <f>I2164+O2164</f>
        <v/>
      </c>
      <c r="R2164" s="7">
        <f>Q2164*G2164</f>
        <v/>
      </c>
      <c r="S2164" s="8">
        <f>IF($R$2171=0,0,R2164/$R$2171)</f>
        <v/>
      </c>
      <c r="T2164" s="8" t="n">
        <v>-0.006697818387099597</v>
      </c>
      <c r="U2164" s="8" t="n">
        <v>0.01166574913738327</v>
      </c>
      <c r="V2164" s="6" t="inlineStr">
        <is>
          <t>not selected</t>
        </is>
      </c>
    </row>
    <row r="2165">
      <c r="A2165" s="6" t="inlineStr">
        <is>
          <t>DJ30</t>
        </is>
      </c>
      <c r="B2165" s="6" t="inlineStr">
        <is>
          <t>2024-05-03</t>
        </is>
      </c>
      <c r="C2165" s="6" t="inlineStr">
        <is>
          <t>DIA</t>
        </is>
      </c>
      <c r="D2165" s="6" t="inlineStr">
        <is>
          <t>SHW</t>
        </is>
      </c>
      <c r="E2165" s="6" t="inlineStr">
        <is>
          <t>SHW</t>
        </is>
      </c>
      <c r="F2165" s="6" t="inlineStr">
        <is>
          <t>-</t>
        </is>
      </c>
      <c r="G2165" s="7" t="n">
        <v>305.2030639648437</v>
      </c>
      <c r="H2165" s="6">
        <f>P2134</f>
        <v/>
      </c>
      <c r="I2165" s="9">
        <f>Q2134</f>
        <v/>
      </c>
      <c r="J2165" s="7">
        <f>I2165*G2165</f>
        <v/>
      </c>
      <c r="K2165" s="8">
        <f>IF($J$2171=0,0,J2165/$J$2171)</f>
        <v/>
      </c>
      <c r="L2165" s="6" t="inlineStr">
        <is>
          <t>WATCHLIST</t>
        </is>
      </c>
      <c r="M2165" s="8" t="n">
        <v>0</v>
      </c>
      <c r="N2165" s="7">
        <f>M2165*$J$2171-J2165</f>
        <v/>
      </c>
      <c r="O2165" s="9">
        <f>IF(G2165=0,0,N2165/G2165)</f>
        <v/>
      </c>
      <c r="P2165" s="6">
        <f>IF(M2165&gt;0,D2165,"")</f>
        <v/>
      </c>
      <c r="Q2165" s="9">
        <f>I2165+O2165</f>
        <v/>
      </c>
      <c r="R2165" s="7">
        <f>Q2165*G2165</f>
        <v/>
      </c>
      <c r="S2165" s="8">
        <f>IF($R$2171=0,0,R2165/$R$2171)</f>
        <v/>
      </c>
      <c r="T2165" s="8" t="n">
        <v>-0.006697818387099597</v>
      </c>
      <c r="U2165" s="8" t="n">
        <v>0.01166574913738327</v>
      </c>
      <c r="V2165" s="6" t="inlineStr">
        <is>
          <t>not selected</t>
        </is>
      </c>
    </row>
    <row r="2166">
      <c r="A2166" s="6" t="inlineStr">
        <is>
          <t>DJ30</t>
        </is>
      </c>
      <c r="B2166" s="6" t="inlineStr">
        <is>
          <t>2024-05-03</t>
        </is>
      </c>
      <c r="C2166" s="6" t="inlineStr">
        <is>
          <t>DIA</t>
        </is>
      </c>
      <c r="D2166" s="6" t="inlineStr">
        <is>
          <t>TRV</t>
        </is>
      </c>
      <c r="E2166" s="6" t="inlineStr">
        <is>
          <t>TRV</t>
        </is>
      </c>
      <c r="F2166" s="6" t="inlineStr">
        <is>
          <t>-</t>
        </is>
      </c>
      <c r="G2166" s="7" t="n">
        <v>205.985855102539</v>
      </c>
      <c r="H2166" s="6">
        <f>P2135</f>
        <v/>
      </c>
      <c r="I2166" s="9">
        <f>Q2135</f>
        <v/>
      </c>
      <c r="J2166" s="7">
        <f>I2166*G2166</f>
        <v/>
      </c>
      <c r="K2166" s="8">
        <f>IF($J$2171=0,0,J2166/$J$2171)</f>
        <v/>
      </c>
      <c r="L2166" s="6" t="inlineStr">
        <is>
          <t>WATCHLIST</t>
        </is>
      </c>
      <c r="M2166" s="8" t="n">
        <v>0</v>
      </c>
      <c r="N2166" s="7">
        <f>M2166*$J$2171-J2166</f>
        <v/>
      </c>
      <c r="O2166" s="9">
        <f>IF(G2166=0,0,N2166/G2166)</f>
        <v/>
      </c>
      <c r="P2166" s="6">
        <f>IF(M2166&gt;0,D2166,"")</f>
        <v/>
      </c>
      <c r="Q2166" s="9">
        <f>I2166+O2166</f>
        <v/>
      </c>
      <c r="R2166" s="7">
        <f>Q2166*G2166</f>
        <v/>
      </c>
      <c r="S2166" s="8">
        <f>IF($R$2171=0,0,R2166/$R$2171)</f>
        <v/>
      </c>
      <c r="T2166" s="8" t="n">
        <v>-0.006697818387099597</v>
      </c>
      <c r="U2166" s="8" t="n">
        <v>0.01166574913738327</v>
      </c>
      <c r="V2166" s="6" t="inlineStr">
        <is>
          <t>not selected</t>
        </is>
      </c>
    </row>
    <row r="2167">
      <c r="A2167" s="6" t="inlineStr">
        <is>
          <t>DJ30</t>
        </is>
      </c>
      <c r="B2167" s="6" t="inlineStr">
        <is>
          <t>2024-05-03</t>
        </is>
      </c>
      <c r="C2167" s="6" t="inlineStr">
        <is>
          <t>DIA</t>
        </is>
      </c>
      <c r="D2167" s="6" t="inlineStr">
        <is>
          <t>UNH</t>
        </is>
      </c>
      <c r="E2167" s="6" t="inlineStr">
        <is>
          <t>UNH</t>
        </is>
      </c>
      <c r="F2167" s="6" t="inlineStr">
        <is>
          <t>-</t>
        </is>
      </c>
      <c r="G2167" s="7" t="n">
        <v>468.7286682128906</v>
      </c>
      <c r="H2167" s="6">
        <f>P2136</f>
        <v/>
      </c>
      <c r="I2167" s="9">
        <f>Q2136</f>
        <v/>
      </c>
      <c r="J2167" s="7">
        <f>I2167*G2167</f>
        <v/>
      </c>
      <c r="K2167" s="8">
        <f>IF($J$2171=0,0,J2167/$J$2171)</f>
        <v/>
      </c>
      <c r="L2167" s="6" t="inlineStr">
        <is>
          <t>REJECTED</t>
        </is>
      </c>
      <c r="M2167" s="8" t="n">
        <v>0</v>
      </c>
      <c r="N2167" s="7">
        <f>M2167*$J$2171-J2167</f>
        <v/>
      </c>
      <c r="O2167" s="9">
        <f>IF(G2167=0,0,N2167/G2167)</f>
        <v/>
      </c>
      <c r="P2167" s="6">
        <f>IF(M2167&gt;0,D2167,"")</f>
        <v/>
      </c>
      <c r="Q2167" s="9">
        <f>I2167+O2167</f>
        <v/>
      </c>
      <c r="R2167" s="7">
        <f>Q2167*G2167</f>
        <v/>
      </c>
      <c r="S2167" s="8">
        <f>IF($R$2171=0,0,R2167/$R$2171)</f>
        <v/>
      </c>
      <c r="T2167" s="8" t="n">
        <v>-0.006697818387099597</v>
      </c>
      <c r="U2167" s="8" t="n">
        <v>0.01166574913738327</v>
      </c>
      <c r="V2167" s="6" t="inlineStr">
        <is>
          <t>not selected</t>
        </is>
      </c>
    </row>
    <row r="2168">
      <c r="A2168" s="6" t="inlineStr">
        <is>
          <t>DJ30</t>
        </is>
      </c>
      <c r="B2168" s="6" t="inlineStr">
        <is>
          <t>2024-05-03</t>
        </is>
      </c>
      <c r="C2168" s="6" t="inlineStr">
        <is>
          <t>DIA</t>
        </is>
      </c>
      <c r="D2168" s="6" t="inlineStr">
        <is>
          <t>V</t>
        </is>
      </c>
      <c r="E2168" s="6" t="inlineStr">
        <is>
          <t>V</t>
        </is>
      </c>
      <c r="F2168" s="6" t="inlineStr">
        <is>
          <t>-</t>
        </is>
      </c>
      <c r="G2168" s="7" t="n">
        <v>263.9747619628906</v>
      </c>
      <c r="H2168" s="6">
        <f>P2137</f>
        <v/>
      </c>
      <c r="I2168" s="9">
        <f>Q2137</f>
        <v/>
      </c>
      <c r="J2168" s="7">
        <f>I2168*G2168</f>
        <v/>
      </c>
      <c r="K2168" s="8">
        <f>IF($J$2171=0,0,J2168/$J$2171)</f>
        <v/>
      </c>
      <c r="L2168" s="6" t="inlineStr">
        <is>
          <t>WATCHLIST</t>
        </is>
      </c>
      <c r="M2168" s="8" t="n">
        <v>0</v>
      </c>
      <c r="N2168" s="7">
        <f>M2168*$J$2171-J2168</f>
        <v/>
      </c>
      <c r="O2168" s="9">
        <f>IF(G2168=0,0,N2168/G2168)</f>
        <v/>
      </c>
      <c r="P2168" s="6">
        <f>IF(M2168&gt;0,D2168,"")</f>
        <v/>
      </c>
      <c r="Q2168" s="9">
        <f>I2168+O2168</f>
        <v/>
      </c>
      <c r="R2168" s="7">
        <f>Q2168*G2168</f>
        <v/>
      </c>
      <c r="S2168" s="8">
        <f>IF($R$2171=0,0,R2168/$R$2171)</f>
        <v/>
      </c>
      <c r="T2168" s="8" t="n">
        <v>-0.006697818387099597</v>
      </c>
      <c r="U2168" s="8" t="n">
        <v>0.01166574913738327</v>
      </c>
      <c r="V2168" s="6" t="inlineStr">
        <is>
          <t>not selected</t>
        </is>
      </c>
    </row>
    <row r="2169">
      <c r="A2169" s="6" t="inlineStr">
        <is>
          <t>DJ30</t>
        </is>
      </c>
      <c r="B2169" s="6" t="inlineStr">
        <is>
          <t>2024-05-03</t>
        </is>
      </c>
      <c r="C2169" s="6" t="inlineStr">
        <is>
          <t>DIA</t>
        </is>
      </c>
      <c r="D2169" s="6" t="inlineStr">
        <is>
          <t>VZ</t>
        </is>
      </c>
      <c r="E2169" s="6" t="inlineStr">
        <is>
          <t>VZ</t>
        </is>
      </c>
      <c r="F2169" s="6" t="inlineStr">
        <is>
          <t>-</t>
        </is>
      </c>
      <c r="G2169" s="7" t="n">
        <v>34.13428115844727</v>
      </c>
      <c r="H2169" s="6">
        <f>P2138</f>
        <v/>
      </c>
      <c r="I2169" s="9">
        <f>Q2138</f>
        <v/>
      </c>
      <c r="J2169" s="7">
        <f>I2169*G2169</f>
        <v/>
      </c>
      <c r="K2169" s="8">
        <f>IF($J$2171=0,0,J2169/$J$2171)</f>
        <v/>
      </c>
      <c r="L2169" s="6" t="inlineStr">
        <is>
          <t>WATCHLIST</t>
        </is>
      </c>
      <c r="M2169" s="8" t="n">
        <v>0</v>
      </c>
      <c r="N2169" s="7">
        <f>M2169*$J$2171-J2169</f>
        <v/>
      </c>
      <c r="O2169" s="9">
        <f>IF(G2169=0,0,N2169/G2169)</f>
        <v/>
      </c>
      <c r="P2169" s="6">
        <f>IF(M2169&gt;0,D2169,"")</f>
        <v/>
      </c>
      <c r="Q2169" s="9">
        <f>I2169+O2169</f>
        <v/>
      </c>
      <c r="R2169" s="7">
        <f>Q2169*G2169</f>
        <v/>
      </c>
      <c r="S2169" s="8">
        <f>IF($R$2171=0,0,R2169/$R$2171)</f>
        <v/>
      </c>
      <c r="T2169" s="8" t="n">
        <v>-0.006697818387099597</v>
      </c>
      <c r="U2169" s="8" t="n">
        <v>0.01166574913738327</v>
      </c>
      <c r="V2169" s="6" t="inlineStr">
        <is>
          <t>not selected</t>
        </is>
      </c>
    </row>
    <row r="2170">
      <c r="A2170" s="6" t="inlineStr">
        <is>
          <t>DJ30</t>
        </is>
      </c>
      <c r="B2170" s="6" t="inlineStr">
        <is>
          <t>2024-05-03</t>
        </is>
      </c>
      <c r="C2170" s="6" t="inlineStr">
        <is>
          <t>DIA</t>
        </is>
      </c>
      <c r="D2170" s="6" t="inlineStr">
        <is>
          <t>WMT</t>
        </is>
      </c>
      <c r="E2170" s="6" t="inlineStr">
        <is>
          <t>WMT</t>
        </is>
      </c>
      <c r="F2170" s="6" t="inlineStr">
        <is>
          <t>-</t>
        </is>
      </c>
      <c r="G2170" s="7" t="n">
        <v>58.5184326171875</v>
      </c>
      <c r="H2170" s="6">
        <f>P2139</f>
        <v/>
      </c>
      <c r="I2170" s="9">
        <f>Q2139</f>
        <v/>
      </c>
      <c r="J2170" s="7">
        <f>I2170*G2170</f>
        <v/>
      </c>
      <c r="K2170" s="8">
        <f>IF($J$2171=0,0,J2170/$J$2171)</f>
        <v/>
      </c>
      <c r="L2170" s="6" t="inlineStr">
        <is>
          <t>WATCHLIST</t>
        </is>
      </c>
      <c r="M2170" s="8" t="n">
        <v>0</v>
      </c>
      <c r="N2170" s="7">
        <f>M2170*$J$2171-J2170</f>
        <v/>
      </c>
      <c r="O2170" s="9">
        <f>IF(G2170=0,0,N2170/G2170)</f>
        <v/>
      </c>
      <c r="P2170" s="6">
        <f>IF(M2170&gt;0,D2170,"")</f>
        <v/>
      </c>
      <c r="Q2170" s="9">
        <f>I2170+O2170</f>
        <v/>
      </c>
      <c r="R2170" s="7">
        <f>Q2170*G2170</f>
        <v/>
      </c>
      <c r="S2170" s="8">
        <f>IF($R$2171=0,0,R2170/$R$2171)</f>
        <v/>
      </c>
      <c r="T2170" s="8" t="n">
        <v>-0.006697818387099597</v>
      </c>
      <c r="U2170" s="8" t="n">
        <v>0.01166574913738327</v>
      </c>
      <c r="V2170" s="6" t="inlineStr">
        <is>
          <t>not selected</t>
        </is>
      </c>
    </row>
    <row r="2171">
      <c r="A2171" s="10" t="inlineStr">
        <is>
          <t>DJ30</t>
        </is>
      </c>
      <c r="B2171" s="10" t="inlineStr">
        <is>
          <t>2024-05-03</t>
        </is>
      </c>
      <c r="C2171" s="10" t="inlineStr">
        <is>
          <t>DIA</t>
        </is>
      </c>
      <c r="D2171" s="10" t="inlineStr">
        <is>
          <t>Tot Portfolio</t>
        </is>
      </c>
      <c r="E2171" s="10" t="inlineStr"/>
      <c r="F2171" s="10" t="inlineStr"/>
      <c r="G2171" s="11" t="inlineStr"/>
      <c r="H2171" s="10" t="inlineStr"/>
      <c r="I2171" s="12" t="inlineStr"/>
      <c r="J2171" s="11">
        <f>SUM(J2141:J2170)</f>
        <v/>
      </c>
      <c r="K2171" s="13">
        <f>SUM(K2141:K2170)</f>
        <v/>
      </c>
      <c r="L2171" s="10" t="inlineStr">
        <is>
          <t>TOTAL</t>
        </is>
      </c>
      <c r="M2171" s="13">
        <f>SUM(M2141:M2170)</f>
        <v/>
      </c>
      <c r="N2171" s="11">
        <f>SUM(N2141:N2170)</f>
        <v/>
      </c>
      <c r="O2171" s="12">
        <f>SUM(O2141:O2170)</f>
        <v/>
      </c>
      <c r="P2171" s="10" t="inlineStr"/>
      <c r="Q2171" s="12" t="inlineStr"/>
      <c r="R2171" s="11">
        <f>SUM(R2141:R2170)</f>
        <v/>
      </c>
      <c r="S2171" s="13">
        <f>SUM(S2141:S2170)</f>
        <v/>
      </c>
      <c r="T2171" s="13" t="n">
        <v>-0.006697818387099597</v>
      </c>
      <c r="U2171" s="13" t="n">
        <v>0.01166574913738327</v>
      </c>
      <c r="V2171" s="10" t="inlineStr"/>
    </row>
    <row r="2172">
      <c r="A2172" s="6" t="inlineStr">
        <is>
          <t>DJ30</t>
        </is>
      </c>
      <c r="B2172" s="6" t="inlineStr">
        <is>
          <t>2024-05-10</t>
        </is>
      </c>
      <c r="C2172" s="6" t="inlineStr">
        <is>
          <t>DIA</t>
        </is>
      </c>
      <c r="D2172" s="6" t="inlineStr">
        <is>
          <t>AAPL</t>
        </is>
      </c>
      <c r="E2172" s="6" t="inlineStr">
        <is>
          <t>AAPL</t>
        </is>
      </c>
      <c r="F2172" s="6" t="inlineStr">
        <is>
          <t>-</t>
        </is>
      </c>
      <c r="G2172" s="7" t="n">
        <v>181.4779510498047</v>
      </c>
      <c r="H2172" s="6">
        <f>P2141</f>
        <v/>
      </c>
      <c r="I2172" s="9">
        <f>Q2141</f>
        <v/>
      </c>
      <c r="J2172" s="7">
        <f>I2172*G2172</f>
        <v/>
      </c>
      <c r="K2172" s="8">
        <f>IF($J$2202=0,0,J2172/$J$2202)</f>
        <v/>
      </c>
      <c r="L2172" s="6" t="inlineStr">
        <is>
          <t>REJECTED</t>
        </is>
      </c>
      <c r="M2172" s="8" t="n">
        <v>0</v>
      </c>
      <c r="N2172" s="7">
        <f>M2172*$J$2202-J2172</f>
        <v/>
      </c>
      <c r="O2172" s="9">
        <f>IF(G2172=0,0,N2172/G2172)</f>
        <v/>
      </c>
      <c r="P2172" s="6">
        <f>IF(M2172&gt;0,D2172,"")</f>
        <v/>
      </c>
      <c r="Q2172" s="9">
        <f>I2172+O2172</f>
        <v/>
      </c>
      <c r="R2172" s="7">
        <f>Q2172*G2172</f>
        <v/>
      </c>
      <c r="S2172" s="8">
        <f>IF($R$2202=0,0,R2172/$R$2202)</f>
        <v/>
      </c>
      <c r="T2172" s="8" t="n">
        <v>0.02777901753814471</v>
      </c>
      <c r="U2172" s="8" t="n">
        <v>0.02174431095414464</v>
      </c>
      <c r="V2172" s="6" t="inlineStr">
        <is>
          <t>not selected</t>
        </is>
      </c>
    </row>
    <row r="2173">
      <c r="A2173" s="6" t="inlineStr">
        <is>
          <t>DJ30</t>
        </is>
      </c>
      <c r="B2173" s="6" t="inlineStr">
        <is>
          <t>2024-05-10</t>
        </is>
      </c>
      <c r="C2173" s="6" t="inlineStr">
        <is>
          <t>DIA</t>
        </is>
      </c>
      <c r="D2173" s="6" t="inlineStr">
        <is>
          <t>AMGN</t>
        </is>
      </c>
      <c r="E2173" s="6" t="inlineStr">
        <is>
          <t>AMGN</t>
        </is>
      </c>
      <c r="F2173" s="6" t="inlineStr">
        <is>
          <t>-</t>
        </is>
      </c>
      <c r="G2173" s="7" t="n">
        <v>289.6329956054688</v>
      </c>
      <c r="H2173" s="6">
        <f>P2142</f>
        <v/>
      </c>
      <c r="I2173" s="9">
        <f>Q2142</f>
        <v/>
      </c>
      <c r="J2173" s="7">
        <f>I2173*G2173</f>
        <v/>
      </c>
      <c r="K2173" s="8">
        <f>IF($J$2202=0,0,J2173/$J$2202)</f>
        <v/>
      </c>
      <c r="L2173" s="6" t="inlineStr">
        <is>
          <t>WATCHLIST</t>
        </is>
      </c>
      <c r="M2173" s="8" t="n">
        <v>0</v>
      </c>
      <c r="N2173" s="7">
        <f>M2173*$J$2202-J2173</f>
        <v/>
      </c>
      <c r="O2173" s="9">
        <f>IF(G2173=0,0,N2173/G2173)</f>
        <v/>
      </c>
      <c r="P2173" s="6">
        <f>IF(M2173&gt;0,D2173,"")</f>
        <v/>
      </c>
      <c r="Q2173" s="9">
        <f>I2173+O2173</f>
        <v/>
      </c>
      <c r="R2173" s="7">
        <f>Q2173*G2173</f>
        <v/>
      </c>
      <c r="S2173" s="8">
        <f>IF($R$2202=0,0,R2173/$R$2202)</f>
        <v/>
      </c>
      <c r="T2173" s="8" t="n">
        <v>0.02777901753814471</v>
      </c>
      <c r="U2173" s="8" t="n">
        <v>0.02174431095414464</v>
      </c>
      <c r="V2173" s="6" t="inlineStr">
        <is>
          <t>not selected</t>
        </is>
      </c>
    </row>
    <row r="2174">
      <c r="A2174" s="6" t="inlineStr">
        <is>
          <t>DJ30</t>
        </is>
      </c>
      <c r="B2174" s="6" t="inlineStr">
        <is>
          <t>2024-05-10</t>
        </is>
      </c>
      <c r="C2174" s="6" t="inlineStr">
        <is>
          <t>DIA</t>
        </is>
      </c>
      <c r="D2174" s="6" t="inlineStr">
        <is>
          <t>AMZN</t>
        </is>
      </c>
      <c r="E2174" s="6" t="inlineStr">
        <is>
          <t>AMZN</t>
        </is>
      </c>
      <c r="F2174" s="6" t="inlineStr">
        <is>
          <t>-</t>
        </is>
      </c>
      <c r="G2174" s="7" t="n">
        <v>187.479995727539</v>
      </c>
      <c r="H2174" s="6">
        <f>P2143</f>
        <v/>
      </c>
      <c r="I2174" s="9">
        <f>Q2143</f>
        <v/>
      </c>
      <c r="J2174" s="7">
        <f>I2174*G2174</f>
        <v/>
      </c>
      <c r="K2174" s="8">
        <f>IF($J$2202=0,0,J2174/$J$2202)</f>
        <v/>
      </c>
      <c r="L2174" s="6" t="inlineStr">
        <is>
          <t>WATCHLIST</t>
        </is>
      </c>
      <c r="M2174" s="8" t="n">
        <v>0</v>
      </c>
      <c r="N2174" s="7">
        <f>M2174*$J$2202-J2174</f>
        <v/>
      </c>
      <c r="O2174" s="9">
        <f>IF(G2174=0,0,N2174/G2174)</f>
        <v/>
      </c>
      <c r="P2174" s="6">
        <f>IF(M2174&gt;0,D2174,"")</f>
        <v/>
      </c>
      <c r="Q2174" s="9">
        <f>I2174+O2174</f>
        <v/>
      </c>
      <c r="R2174" s="7">
        <f>Q2174*G2174</f>
        <v/>
      </c>
      <c r="S2174" s="8">
        <f>IF($R$2202=0,0,R2174/$R$2202)</f>
        <v/>
      </c>
      <c r="T2174" s="8" t="n">
        <v>0.02777901753814471</v>
      </c>
      <c r="U2174" s="8" t="n">
        <v>0.02174431095414464</v>
      </c>
      <c r="V2174" s="6" t="inlineStr">
        <is>
          <t>not selected</t>
        </is>
      </c>
    </row>
    <row r="2175">
      <c r="A2175" s="6" t="inlineStr">
        <is>
          <t>DJ30</t>
        </is>
      </c>
      <c r="B2175" s="6" t="inlineStr">
        <is>
          <t>2024-05-10</t>
        </is>
      </c>
      <c r="C2175" s="6" t="inlineStr">
        <is>
          <t>DIA</t>
        </is>
      </c>
      <c r="D2175" s="6" t="inlineStr">
        <is>
          <t>AXP</t>
        </is>
      </c>
      <c r="E2175" s="6" t="inlineStr">
        <is>
          <t>AXP</t>
        </is>
      </c>
      <c r="F2175" s="6" t="inlineStr">
        <is>
          <t>-</t>
        </is>
      </c>
      <c r="G2175" s="7" t="n">
        <v>237.1048889160156</v>
      </c>
      <c r="H2175" s="6">
        <f>P2144</f>
        <v/>
      </c>
      <c r="I2175" s="9">
        <f>Q2144</f>
        <v/>
      </c>
      <c r="J2175" s="7">
        <f>I2175*G2175</f>
        <v/>
      </c>
      <c r="K2175" s="8">
        <f>IF($J$2202=0,0,J2175/$J$2202)</f>
        <v/>
      </c>
      <c r="L2175" s="6" t="inlineStr">
        <is>
          <t>WATCHLIST</t>
        </is>
      </c>
      <c r="M2175" s="8" t="n">
        <v>0</v>
      </c>
      <c r="N2175" s="7">
        <f>M2175*$J$2202-J2175</f>
        <v/>
      </c>
      <c r="O2175" s="9">
        <f>IF(G2175=0,0,N2175/G2175)</f>
        <v/>
      </c>
      <c r="P2175" s="6">
        <f>IF(M2175&gt;0,D2175,"")</f>
        <v/>
      </c>
      <c r="Q2175" s="9">
        <f>I2175+O2175</f>
        <v/>
      </c>
      <c r="R2175" s="7">
        <f>Q2175*G2175</f>
        <v/>
      </c>
      <c r="S2175" s="8">
        <f>IF($R$2202=0,0,R2175/$R$2202)</f>
        <v/>
      </c>
      <c r="T2175" s="8" t="n">
        <v>0.02777901753814471</v>
      </c>
      <c r="U2175" s="8" t="n">
        <v>0.02174431095414464</v>
      </c>
      <c r="V2175" s="6" t="inlineStr">
        <is>
          <t>not selected</t>
        </is>
      </c>
    </row>
    <row r="2176">
      <c r="A2176" s="6" t="inlineStr">
        <is>
          <t>DJ30</t>
        </is>
      </c>
      <c r="B2176" s="6" t="inlineStr">
        <is>
          <t>2024-05-10</t>
        </is>
      </c>
      <c r="C2176" s="6" t="inlineStr">
        <is>
          <t>DIA</t>
        </is>
      </c>
      <c r="D2176" s="6" t="inlineStr">
        <is>
          <t>BA</t>
        </is>
      </c>
      <c r="E2176" s="6" t="inlineStr">
        <is>
          <t>BA</t>
        </is>
      </c>
      <c r="F2176" s="6" t="inlineStr">
        <is>
          <t>-</t>
        </is>
      </c>
      <c r="G2176" s="7" t="n">
        <v>178.5099945068359</v>
      </c>
      <c r="H2176" s="6">
        <f>P2145</f>
        <v/>
      </c>
      <c r="I2176" s="9">
        <f>Q2145</f>
        <v/>
      </c>
      <c r="J2176" s="7">
        <f>I2176*G2176</f>
        <v/>
      </c>
      <c r="K2176" s="8">
        <f>IF($J$2202=0,0,J2176/$J$2202)</f>
        <v/>
      </c>
      <c r="L2176" s="6" t="inlineStr">
        <is>
          <t>REJECTED</t>
        </is>
      </c>
      <c r="M2176" s="8" t="n">
        <v>0</v>
      </c>
      <c r="N2176" s="7">
        <f>M2176*$J$2202-J2176</f>
        <v/>
      </c>
      <c r="O2176" s="9">
        <f>IF(G2176=0,0,N2176/G2176)</f>
        <v/>
      </c>
      <c r="P2176" s="6">
        <f>IF(M2176&gt;0,D2176,"")</f>
        <v/>
      </c>
      <c r="Q2176" s="9">
        <f>I2176+O2176</f>
        <v/>
      </c>
      <c r="R2176" s="7">
        <f>Q2176*G2176</f>
        <v/>
      </c>
      <c r="S2176" s="8">
        <f>IF($R$2202=0,0,R2176/$R$2202)</f>
        <v/>
      </c>
      <c r="T2176" s="8" t="n">
        <v>0.02777901753814471</v>
      </c>
      <c r="U2176" s="8" t="n">
        <v>0.02174431095414464</v>
      </c>
      <c r="V2176" s="6" t="inlineStr">
        <is>
          <t>not selected</t>
        </is>
      </c>
    </row>
    <row r="2177">
      <c r="A2177" s="6" t="inlineStr">
        <is>
          <t>DJ30</t>
        </is>
      </c>
      <c r="B2177" s="6" t="inlineStr">
        <is>
          <t>2024-05-10</t>
        </is>
      </c>
      <c r="C2177" s="6" t="inlineStr">
        <is>
          <t>DIA</t>
        </is>
      </c>
      <c r="D2177" s="6" t="inlineStr">
        <is>
          <t>CAT</t>
        </is>
      </c>
      <c r="E2177" s="6" t="inlineStr">
        <is>
          <t>CAT</t>
        </is>
      </c>
      <c r="F2177" s="6" t="inlineStr">
        <is>
          <t>-</t>
        </is>
      </c>
      <c r="G2177" s="7" t="n">
        <v>345.3810424804688</v>
      </c>
      <c r="H2177" s="6">
        <f>P2146</f>
        <v/>
      </c>
      <c r="I2177" s="9">
        <f>Q2146</f>
        <v/>
      </c>
      <c r="J2177" s="7">
        <f>I2177*G2177</f>
        <v/>
      </c>
      <c r="K2177" s="8">
        <f>IF($J$2202=0,0,J2177/$J$2202)</f>
        <v/>
      </c>
      <c r="L2177" s="6" t="inlineStr">
        <is>
          <t>SELECTED</t>
        </is>
      </c>
      <c r="M2177" s="8" t="n">
        <v>0.2</v>
      </c>
      <c r="N2177" s="7">
        <f>M2177*$J$2202-J2177</f>
        <v/>
      </c>
      <c r="O2177" s="9">
        <f>IF(G2177=0,0,N2177/G2177)</f>
        <v/>
      </c>
      <c r="P2177" s="6">
        <f>IF(M2177&gt;0,D2177,"")</f>
        <v/>
      </c>
      <c r="Q2177" s="9">
        <f>I2177+O2177</f>
        <v/>
      </c>
      <c r="R2177" s="7">
        <f>Q2177*G2177</f>
        <v/>
      </c>
      <c r="S2177" s="8">
        <f>IF($R$2202=0,0,R2177/$R$2202)</f>
        <v/>
      </c>
      <c r="T2177" s="8" t="n">
        <v>0.02777901753814471</v>
      </c>
      <c r="U2177" s="8" t="n">
        <v>0.02174431095414464</v>
      </c>
      <c r="V2177" s="6" t="inlineStr">
        <is>
          <t>remained in weekly selection</t>
        </is>
      </c>
    </row>
    <row r="2178">
      <c r="A2178" s="6" t="inlineStr">
        <is>
          <t>DJ30</t>
        </is>
      </c>
      <c r="B2178" s="6" t="inlineStr">
        <is>
          <t>2024-05-10</t>
        </is>
      </c>
      <c r="C2178" s="6" t="inlineStr">
        <is>
          <t>DIA</t>
        </is>
      </c>
      <c r="D2178" s="6" t="inlineStr">
        <is>
          <t>CRM</t>
        </is>
      </c>
      <c r="E2178" s="6" t="inlineStr">
        <is>
          <t>CRM</t>
        </is>
      </c>
      <c r="F2178" s="6" t="inlineStr">
        <is>
          <t>-</t>
        </is>
      </c>
      <c r="G2178" s="7" t="n">
        <v>272.3201293945312</v>
      </c>
      <c r="H2178" s="6">
        <f>P2147</f>
        <v/>
      </c>
      <c r="I2178" s="9">
        <f>Q2147</f>
        <v/>
      </c>
      <c r="J2178" s="7">
        <f>I2178*G2178</f>
        <v/>
      </c>
      <c r="K2178" s="8">
        <f>IF($J$2202=0,0,J2178/$J$2202)</f>
        <v/>
      </c>
      <c r="L2178" s="6" t="inlineStr">
        <is>
          <t>SELECTED</t>
        </is>
      </c>
      <c r="M2178" s="8" t="n">
        <v>0.2</v>
      </c>
      <c r="N2178" s="7">
        <f>M2178*$J$2202-J2178</f>
        <v/>
      </c>
      <c r="O2178" s="9">
        <f>IF(G2178=0,0,N2178/G2178)</f>
        <v/>
      </c>
      <c r="P2178" s="6">
        <f>IF(M2178&gt;0,D2178,"")</f>
        <v/>
      </c>
      <c r="Q2178" s="9">
        <f>I2178+O2178</f>
        <v/>
      </c>
      <c r="R2178" s="7">
        <f>Q2178*G2178</f>
        <v/>
      </c>
      <c r="S2178" s="8">
        <f>IF($R$2202=0,0,R2178/$R$2202)</f>
        <v/>
      </c>
      <c r="T2178" s="8" t="n">
        <v>0.02777901753814471</v>
      </c>
      <c r="U2178" s="8" t="n">
        <v>0.02174431095414464</v>
      </c>
      <c r="V2178" s="6" t="inlineStr">
        <is>
          <t>remained in weekly selection</t>
        </is>
      </c>
    </row>
    <row r="2179">
      <c r="A2179" s="6" t="inlineStr">
        <is>
          <t>DJ30</t>
        </is>
      </c>
      <c r="B2179" s="6" t="inlineStr">
        <is>
          <t>2024-05-10</t>
        </is>
      </c>
      <c r="C2179" s="6" t="inlineStr">
        <is>
          <t>DIA</t>
        </is>
      </c>
      <c r="D2179" s="6" t="inlineStr">
        <is>
          <t>CSCO</t>
        </is>
      </c>
      <c r="E2179" s="6" t="inlineStr">
        <is>
          <t>CSCO</t>
        </is>
      </c>
      <c r="F2179" s="6" t="inlineStr">
        <is>
          <t>-</t>
        </is>
      </c>
      <c r="G2179" s="7" t="n">
        <v>45.60897445678711</v>
      </c>
      <c r="H2179" s="6">
        <f>P2148</f>
        <v/>
      </c>
      <c r="I2179" s="9">
        <f>Q2148</f>
        <v/>
      </c>
      <c r="J2179" s="7">
        <f>I2179*G2179</f>
        <v/>
      </c>
      <c r="K2179" s="8">
        <f>IF($J$2202=0,0,J2179/$J$2202)</f>
        <v/>
      </c>
      <c r="L2179" s="6" t="inlineStr">
        <is>
          <t>REJECTED</t>
        </is>
      </c>
      <c r="M2179" s="8" t="n">
        <v>0</v>
      </c>
      <c r="N2179" s="7">
        <f>M2179*$J$2202-J2179</f>
        <v/>
      </c>
      <c r="O2179" s="9">
        <f>IF(G2179=0,0,N2179/G2179)</f>
        <v/>
      </c>
      <c r="P2179" s="6">
        <f>IF(M2179&gt;0,D2179,"")</f>
        <v/>
      </c>
      <c r="Q2179" s="9">
        <f>I2179+O2179</f>
        <v/>
      </c>
      <c r="R2179" s="7">
        <f>Q2179*G2179</f>
        <v/>
      </c>
      <c r="S2179" s="8">
        <f>IF($R$2202=0,0,R2179/$R$2202)</f>
        <v/>
      </c>
      <c r="T2179" s="8" t="n">
        <v>0.02777901753814471</v>
      </c>
      <c r="U2179" s="8" t="n">
        <v>0.02174431095414464</v>
      </c>
      <c r="V2179" s="6" t="inlineStr">
        <is>
          <t>not selected</t>
        </is>
      </c>
    </row>
    <row r="2180">
      <c r="A2180" s="6" t="inlineStr">
        <is>
          <t>DJ30</t>
        </is>
      </c>
      <c r="B2180" s="6" t="inlineStr">
        <is>
          <t>2024-05-10</t>
        </is>
      </c>
      <c r="C2180" s="6" t="inlineStr">
        <is>
          <t>DIA</t>
        </is>
      </c>
      <c r="D2180" s="6" t="inlineStr">
        <is>
          <t>CVX</t>
        </is>
      </c>
      <c r="E2180" s="6" t="inlineStr">
        <is>
          <t>CVX</t>
        </is>
      </c>
      <c r="F2180" s="6" t="inlineStr">
        <is>
          <t>-</t>
        </is>
      </c>
      <c r="G2180" s="7" t="n">
        <v>150.7178955078125</v>
      </c>
      <c r="H2180" s="6">
        <f>P2149</f>
        <v/>
      </c>
      <c r="I2180" s="9">
        <f>Q2149</f>
        <v/>
      </c>
      <c r="J2180" s="7">
        <f>I2180*G2180</f>
        <v/>
      </c>
      <c r="K2180" s="8">
        <f>IF($J$2202=0,0,J2180/$J$2202)</f>
        <v/>
      </c>
      <c r="L2180" s="6" t="inlineStr">
        <is>
          <t>REJECTED</t>
        </is>
      </c>
      <c r="M2180" s="8" t="n">
        <v>0</v>
      </c>
      <c r="N2180" s="7">
        <f>M2180*$J$2202-J2180</f>
        <v/>
      </c>
      <c r="O2180" s="9">
        <f>IF(G2180=0,0,N2180/G2180)</f>
        <v/>
      </c>
      <c r="P2180" s="6">
        <f>IF(M2180&gt;0,D2180,"")</f>
        <v/>
      </c>
      <c r="Q2180" s="9">
        <f>I2180+O2180</f>
        <v/>
      </c>
      <c r="R2180" s="7">
        <f>Q2180*G2180</f>
        <v/>
      </c>
      <c r="S2180" s="8">
        <f>IF($R$2202=0,0,R2180/$R$2202)</f>
        <v/>
      </c>
      <c r="T2180" s="8" t="n">
        <v>0.02777901753814471</v>
      </c>
      <c r="U2180" s="8" t="n">
        <v>0.02174431095414464</v>
      </c>
      <c r="V2180" s="6" t="inlineStr">
        <is>
          <t>not selected</t>
        </is>
      </c>
    </row>
    <row r="2181">
      <c r="A2181" s="6" t="inlineStr">
        <is>
          <t>DJ30</t>
        </is>
      </c>
      <c r="B2181" s="6" t="inlineStr">
        <is>
          <t>2024-05-10</t>
        </is>
      </c>
      <c r="C2181" s="6" t="inlineStr">
        <is>
          <t>DIA</t>
        </is>
      </c>
      <c r="D2181" s="6" t="inlineStr">
        <is>
          <t>DIS</t>
        </is>
      </c>
      <c r="E2181" s="6" t="inlineStr">
        <is>
          <t>DIS</t>
        </is>
      </c>
      <c r="F2181" s="6" t="inlineStr">
        <is>
          <t>-</t>
        </is>
      </c>
      <c r="G2181" s="7" t="n">
        <v>103.6928787231445</v>
      </c>
      <c r="H2181" s="6">
        <f>P2150</f>
        <v/>
      </c>
      <c r="I2181" s="9">
        <f>Q2150</f>
        <v/>
      </c>
      <c r="J2181" s="7">
        <f>I2181*G2181</f>
        <v/>
      </c>
      <c r="K2181" s="8">
        <f>IF($J$2202=0,0,J2181/$J$2202)</f>
        <v/>
      </c>
      <c r="L2181" s="6" t="inlineStr">
        <is>
          <t>WATCHLIST</t>
        </is>
      </c>
      <c r="M2181" s="8" t="n">
        <v>0</v>
      </c>
      <c r="N2181" s="7">
        <f>M2181*$J$2202-J2181</f>
        <v/>
      </c>
      <c r="O2181" s="9">
        <f>IF(G2181=0,0,N2181/G2181)</f>
        <v/>
      </c>
      <c r="P2181" s="6">
        <f>IF(M2181&gt;0,D2181,"")</f>
        <v/>
      </c>
      <c r="Q2181" s="9">
        <f>I2181+O2181</f>
        <v/>
      </c>
      <c r="R2181" s="7">
        <f>Q2181*G2181</f>
        <v/>
      </c>
      <c r="S2181" s="8">
        <f>IF($R$2202=0,0,R2181/$R$2202)</f>
        <v/>
      </c>
      <c r="T2181" s="8" t="n">
        <v>0.02777901753814471</v>
      </c>
      <c r="U2181" s="8" t="n">
        <v>0.02174431095414464</v>
      </c>
      <c r="V2181" s="6" t="inlineStr">
        <is>
          <t>not selected</t>
        </is>
      </c>
    </row>
    <row r="2182">
      <c r="A2182" s="6" t="inlineStr">
        <is>
          <t>DJ30</t>
        </is>
      </c>
      <c r="B2182" s="6" t="inlineStr">
        <is>
          <t>2024-05-10</t>
        </is>
      </c>
      <c r="C2182" s="6" t="inlineStr">
        <is>
          <t>DIA</t>
        </is>
      </c>
      <c r="D2182" s="6" t="inlineStr">
        <is>
          <t>GS</t>
        </is>
      </c>
      <c r="E2182" s="6" t="inlineStr">
        <is>
          <t>GS</t>
        </is>
      </c>
      <c r="F2182" s="6" t="inlineStr">
        <is>
          <t>-</t>
        </is>
      </c>
      <c r="G2182" s="7" t="n">
        <v>433.9723510742188</v>
      </c>
      <c r="H2182" s="6">
        <f>P2151</f>
        <v/>
      </c>
      <c r="I2182" s="9">
        <f>Q2151</f>
        <v/>
      </c>
      <c r="J2182" s="7">
        <f>I2182*G2182</f>
        <v/>
      </c>
      <c r="K2182" s="8">
        <f>IF($J$2202=0,0,J2182/$J$2202)</f>
        <v/>
      </c>
      <c r="L2182" s="6" t="inlineStr">
        <is>
          <t>WATCHLIST</t>
        </is>
      </c>
      <c r="M2182" s="8" t="n">
        <v>0</v>
      </c>
      <c r="N2182" s="7">
        <f>M2182*$J$2202-J2182</f>
        <v/>
      </c>
      <c r="O2182" s="9">
        <f>IF(G2182=0,0,N2182/G2182)</f>
        <v/>
      </c>
      <c r="P2182" s="6">
        <f>IF(M2182&gt;0,D2182,"")</f>
        <v/>
      </c>
      <c r="Q2182" s="9">
        <f>I2182+O2182</f>
        <v/>
      </c>
      <c r="R2182" s="7">
        <f>Q2182*G2182</f>
        <v/>
      </c>
      <c r="S2182" s="8">
        <f>IF($R$2202=0,0,R2182/$R$2202)</f>
        <v/>
      </c>
      <c r="T2182" s="8" t="n">
        <v>0.02777901753814471</v>
      </c>
      <c r="U2182" s="8" t="n">
        <v>0.02174431095414464</v>
      </c>
      <c r="V2182" s="6" t="inlineStr">
        <is>
          <t>not selected</t>
        </is>
      </c>
    </row>
    <row r="2183">
      <c r="A2183" s="6" t="inlineStr">
        <is>
          <t>DJ30</t>
        </is>
      </c>
      <c r="B2183" s="6" t="inlineStr">
        <is>
          <t>2024-05-10</t>
        </is>
      </c>
      <c r="C2183" s="6" t="inlineStr">
        <is>
          <t>DIA</t>
        </is>
      </c>
      <c r="D2183" s="6" t="inlineStr">
        <is>
          <t>HD</t>
        </is>
      </c>
      <c r="E2183" s="6" t="inlineStr">
        <is>
          <t>HD</t>
        </is>
      </c>
      <c r="F2183" s="6" t="inlineStr">
        <is>
          <t>-</t>
        </is>
      </c>
      <c r="G2183" s="7" t="n">
        <v>327.2367248535156</v>
      </c>
      <c r="H2183" s="6">
        <f>P2152</f>
        <v/>
      </c>
      <c r="I2183" s="9">
        <f>Q2152</f>
        <v/>
      </c>
      <c r="J2183" s="7">
        <f>I2183*G2183</f>
        <v/>
      </c>
      <c r="K2183" s="8">
        <f>IF($J$2202=0,0,J2183/$J$2202)</f>
        <v/>
      </c>
      <c r="L2183" s="6" t="inlineStr">
        <is>
          <t>WATCHLIST</t>
        </is>
      </c>
      <c r="M2183" s="8" t="n">
        <v>0</v>
      </c>
      <c r="N2183" s="7">
        <f>M2183*$J$2202-J2183</f>
        <v/>
      </c>
      <c r="O2183" s="9">
        <f>IF(G2183=0,0,N2183/G2183)</f>
        <v/>
      </c>
      <c r="P2183" s="6">
        <f>IF(M2183&gt;0,D2183,"")</f>
        <v/>
      </c>
      <c r="Q2183" s="9">
        <f>I2183+O2183</f>
        <v/>
      </c>
      <c r="R2183" s="7">
        <f>Q2183*G2183</f>
        <v/>
      </c>
      <c r="S2183" s="8">
        <f>IF($R$2202=0,0,R2183/$R$2202)</f>
        <v/>
      </c>
      <c r="T2183" s="8" t="n">
        <v>0.02777901753814471</v>
      </c>
      <c r="U2183" s="8" t="n">
        <v>0.02174431095414464</v>
      </c>
      <c r="V2183" s="6" t="inlineStr">
        <is>
          <t>not selected</t>
        </is>
      </c>
    </row>
    <row r="2184">
      <c r="A2184" s="6" t="inlineStr">
        <is>
          <t>DJ30</t>
        </is>
      </c>
      <c r="B2184" s="6" t="inlineStr">
        <is>
          <t>2024-05-10</t>
        </is>
      </c>
      <c r="C2184" s="6" t="inlineStr">
        <is>
          <t>DIA</t>
        </is>
      </c>
      <c r="D2184" s="6" t="inlineStr">
        <is>
          <t>HON</t>
        </is>
      </c>
      <c r="E2184" s="6" t="inlineStr">
        <is>
          <t>HON</t>
        </is>
      </c>
      <c r="F2184" s="6" t="inlineStr">
        <is>
          <t>-</t>
        </is>
      </c>
      <c r="G2184" s="7" t="n">
        <v>182.3486633300781</v>
      </c>
      <c r="H2184" s="6">
        <f>P2153</f>
        <v/>
      </c>
      <c r="I2184" s="9">
        <f>Q2153</f>
        <v/>
      </c>
      <c r="J2184" s="7">
        <f>I2184*G2184</f>
        <v/>
      </c>
      <c r="K2184" s="8">
        <f>IF($J$2202=0,0,J2184/$J$2202)</f>
        <v/>
      </c>
      <c r="L2184" s="6" t="inlineStr">
        <is>
          <t>REJECTED</t>
        </is>
      </c>
      <c r="M2184" s="8" t="n">
        <v>0</v>
      </c>
      <c r="N2184" s="7">
        <f>M2184*$J$2202-J2184</f>
        <v/>
      </c>
      <c r="O2184" s="9">
        <f>IF(G2184=0,0,N2184/G2184)</f>
        <v/>
      </c>
      <c r="P2184" s="6">
        <f>IF(M2184&gt;0,D2184,"")</f>
        <v/>
      </c>
      <c r="Q2184" s="9">
        <f>I2184+O2184</f>
        <v/>
      </c>
      <c r="R2184" s="7">
        <f>Q2184*G2184</f>
        <v/>
      </c>
      <c r="S2184" s="8">
        <f>IF($R$2202=0,0,R2184/$R$2202)</f>
        <v/>
      </c>
      <c r="T2184" s="8" t="n">
        <v>0.02777901753814471</v>
      </c>
      <c r="U2184" s="8" t="n">
        <v>0.02174431095414464</v>
      </c>
      <c r="V2184" s="6" t="inlineStr">
        <is>
          <t>not selected</t>
        </is>
      </c>
    </row>
    <row r="2185">
      <c r="A2185" s="6" t="inlineStr">
        <is>
          <t>DJ30</t>
        </is>
      </c>
      <c r="B2185" s="6" t="inlineStr">
        <is>
          <t>2024-05-10</t>
        </is>
      </c>
      <c r="C2185" s="6" t="inlineStr">
        <is>
          <t>DIA</t>
        </is>
      </c>
      <c r="D2185" s="6" t="inlineStr">
        <is>
          <t>IBM</t>
        </is>
      </c>
      <c r="E2185" s="6" t="inlineStr">
        <is>
          <t>IBM</t>
        </is>
      </c>
      <c r="F2185" s="6" t="inlineStr">
        <is>
          <t>-</t>
        </is>
      </c>
      <c r="G2185" s="7" t="n">
        <v>158.1913452148438</v>
      </c>
      <c r="H2185" s="6">
        <f>P2154</f>
        <v/>
      </c>
      <c r="I2185" s="9">
        <f>Q2154</f>
        <v/>
      </c>
      <c r="J2185" s="7">
        <f>I2185*G2185</f>
        <v/>
      </c>
      <c r="K2185" s="8">
        <f>IF($J$2202=0,0,J2185/$J$2202)</f>
        <v/>
      </c>
      <c r="L2185" s="6" t="inlineStr">
        <is>
          <t>SELECTED</t>
        </is>
      </c>
      <c r="M2185" s="8" t="n">
        <v>0.2</v>
      </c>
      <c r="N2185" s="7">
        <f>M2185*$J$2202-J2185</f>
        <v/>
      </c>
      <c r="O2185" s="9">
        <f>IF(G2185=0,0,N2185/G2185)</f>
        <v/>
      </c>
      <c r="P2185" s="6">
        <f>IF(M2185&gt;0,D2185,"")</f>
        <v/>
      </c>
      <c r="Q2185" s="9">
        <f>I2185+O2185</f>
        <v/>
      </c>
      <c r="R2185" s="7">
        <f>Q2185*G2185</f>
        <v/>
      </c>
      <c r="S2185" s="8">
        <f>IF($R$2202=0,0,R2185/$R$2202)</f>
        <v/>
      </c>
      <c r="T2185" s="8" t="n">
        <v>0.02777901753814471</v>
      </c>
      <c r="U2185" s="8" t="n">
        <v>0.02174431095414464</v>
      </c>
      <c r="V2185" s="6" t="inlineStr">
        <is>
          <t>remained in weekly selection</t>
        </is>
      </c>
    </row>
    <row r="2186">
      <c r="A2186" s="6" t="inlineStr">
        <is>
          <t>DJ30</t>
        </is>
      </c>
      <c r="B2186" s="6" t="inlineStr">
        <is>
          <t>2024-05-10</t>
        </is>
      </c>
      <c r="C2186" s="6" t="inlineStr">
        <is>
          <t>DIA</t>
        </is>
      </c>
      <c r="D2186" s="6" t="inlineStr">
        <is>
          <t>JNJ</t>
        </is>
      </c>
      <c r="E2186" s="6" t="inlineStr">
        <is>
          <t>JNJ</t>
        </is>
      </c>
      <c r="F2186" s="6" t="inlineStr">
        <is>
          <t>-</t>
        </is>
      </c>
      <c r="G2186" s="7" t="n">
        <v>140.5049438476562</v>
      </c>
      <c r="H2186" s="6">
        <f>P2155</f>
        <v/>
      </c>
      <c r="I2186" s="9">
        <f>Q2155</f>
        <v/>
      </c>
      <c r="J2186" s="7">
        <f>I2186*G2186</f>
        <v/>
      </c>
      <c r="K2186" s="8">
        <f>IF($J$2202=0,0,J2186/$J$2202)</f>
        <v/>
      </c>
      <c r="L2186" s="6" t="inlineStr">
        <is>
          <t>REJECTED</t>
        </is>
      </c>
      <c r="M2186" s="8" t="n">
        <v>0</v>
      </c>
      <c r="N2186" s="7">
        <f>M2186*$J$2202-J2186</f>
        <v/>
      </c>
      <c r="O2186" s="9">
        <f>IF(G2186=0,0,N2186/G2186)</f>
        <v/>
      </c>
      <c r="P2186" s="6">
        <f>IF(M2186&gt;0,D2186,"")</f>
        <v/>
      </c>
      <c r="Q2186" s="9">
        <f>I2186+O2186</f>
        <v/>
      </c>
      <c r="R2186" s="7">
        <f>Q2186*G2186</f>
        <v/>
      </c>
      <c r="S2186" s="8">
        <f>IF($R$2202=0,0,R2186/$R$2202)</f>
        <v/>
      </c>
      <c r="T2186" s="8" t="n">
        <v>0.02777901753814471</v>
      </c>
      <c r="U2186" s="8" t="n">
        <v>0.02174431095414464</v>
      </c>
      <c r="V2186" s="6" t="inlineStr">
        <is>
          <t>not selected</t>
        </is>
      </c>
    </row>
    <row r="2187">
      <c r="A2187" s="6" t="inlineStr">
        <is>
          <t>DJ30</t>
        </is>
      </c>
      <c r="B2187" s="6" t="inlineStr">
        <is>
          <t>2024-05-10</t>
        </is>
      </c>
      <c r="C2187" s="6" t="inlineStr">
        <is>
          <t>DIA</t>
        </is>
      </c>
      <c r="D2187" s="6" t="inlineStr">
        <is>
          <t>JPM</t>
        </is>
      </c>
      <c r="E2187" s="6" t="inlineStr">
        <is>
          <t>JPM</t>
        </is>
      </c>
      <c r="F2187" s="6" t="inlineStr">
        <is>
          <t>-</t>
        </is>
      </c>
      <c r="G2187" s="7" t="n">
        <v>190.5586395263672</v>
      </c>
      <c r="H2187" s="6">
        <f>P2156</f>
        <v/>
      </c>
      <c r="I2187" s="9">
        <f>Q2156</f>
        <v/>
      </c>
      <c r="J2187" s="7">
        <f>I2187*G2187</f>
        <v/>
      </c>
      <c r="K2187" s="8">
        <f>IF($J$2202=0,0,J2187/$J$2202)</f>
        <v/>
      </c>
      <c r="L2187" s="6" t="inlineStr">
        <is>
          <t>SELECTED</t>
        </is>
      </c>
      <c r="M2187" s="8" t="n">
        <v>0.2</v>
      </c>
      <c r="N2187" s="7">
        <f>M2187*$J$2202-J2187</f>
        <v/>
      </c>
      <c r="O2187" s="9">
        <f>IF(G2187=0,0,N2187/G2187)</f>
        <v/>
      </c>
      <c r="P2187" s="6">
        <f>IF(M2187&gt;0,D2187,"")</f>
        <v/>
      </c>
      <c r="Q2187" s="9">
        <f>I2187+O2187</f>
        <v/>
      </c>
      <c r="R2187" s="7">
        <f>Q2187*G2187</f>
        <v/>
      </c>
      <c r="S2187" s="8">
        <f>IF($R$2202=0,0,R2187/$R$2202)</f>
        <v/>
      </c>
      <c r="T2187" s="8" t="n">
        <v>0.02777901753814471</v>
      </c>
      <c r="U2187" s="8" t="n">
        <v>0.02174431095414464</v>
      </c>
      <c r="V2187" s="6" t="inlineStr">
        <is>
          <t>remained in weekly selection</t>
        </is>
      </c>
    </row>
    <row r="2188">
      <c r="A2188" s="6" t="inlineStr">
        <is>
          <t>DJ30</t>
        </is>
      </c>
      <c r="B2188" s="6" t="inlineStr">
        <is>
          <t>2024-05-10</t>
        </is>
      </c>
      <c r="C2188" s="6" t="inlineStr">
        <is>
          <t>DIA</t>
        </is>
      </c>
      <c r="D2188" s="6" t="inlineStr">
        <is>
          <t>KO</t>
        </is>
      </c>
      <c r="E2188" s="6" t="inlineStr">
        <is>
          <t>KO</t>
        </is>
      </c>
      <c r="F2188" s="6" t="inlineStr">
        <is>
          <t>-</t>
        </is>
      </c>
      <c r="G2188" s="7" t="n">
        <v>59.3095932006836</v>
      </c>
      <c r="H2188" s="6">
        <f>P2157</f>
        <v/>
      </c>
      <c r="I2188" s="9">
        <f>Q2157</f>
        <v/>
      </c>
      <c r="J2188" s="7">
        <f>I2188*G2188</f>
        <v/>
      </c>
      <c r="K2188" s="8">
        <f>IF($J$2202=0,0,J2188/$J$2202)</f>
        <v/>
      </c>
      <c r="L2188" s="6" t="inlineStr">
        <is>
          <t>REJECTED</t>
        </is>
      </c>
      <c r="M2188" s="8" t="n">
        <v>0</v>
      </c>
      <c r="N2188" s="7">
        <f>M2188*$J$2202-J2188</f>
        <v/>
      </c>
      <c r="O2188" s="9">
        <f>IF(G2188=0,0,N2188/G2188)</f>
        <v/>
      </c>
      <c r="P2188" s="6">
        <f>IF(M2188&gt;0,D2188,"")</f>
        <v/>
      </c>
      <c r="Q2188" s="9">
        <f>I2188+O2188</f>
        <v/>
      </c>
      <c r="R2188" s="7">
        <f>Q2188*G2188</f>
        <v/>
      </c>
      <c r="S2188" s="8">
        <f>IF($R$2202=0,0,R2188/$R$2202)</f>
        <v/>
      </c>
      <c r="T2188" s="8" t="n">
        <v>0.02777901753814471</v>
      </c>
      <c r="U2188" s="8" t="n">
        <v>0.02174431095414464</v>
      </c>
      <c r="V2188" s="6" t="inlineStr">
        <is>
          <t>not selected</t>
        </is>
      </c>
    </row>
    <row r="2189">
      <c r="A2189" s="6" t="inlineStr">
        <is>
          <t>DJ30</t>
        </is>
      </c>
      <c r="B2189" s="6" t="inlineStr">
        <is>
          <t>2024-05-10</t>
        </is>
      </c>
      <c r="C2189" s="6" t="inlineStr">
        <is>
          <t>DIA</t>
        </is>
      </c>
      <c r="D2189" s="6" t="inlineStr">
        <is>
          <t>MCD</t>
        </is>
      </c>
      <c r="E2189" s="6" t="inlineStr">
        <is>
          <t>MCD</t>
        </is>
      </c>
      <c r="F2189" s="6" t="inlineStr">
        <is>
          <t>-</t>
        </is>
      </c>
      <c r="G2189" s="7" t="n">
        <v>260.6329956054688</v>
      </c>
      <c r="H2189" s="6">
        <f>P2158</f>
        <v/>
      </c>
      <c r="I2189" s="9">
        <f>Q2158</f>
        <v/>
      </c>
      <c r="J2189" s="7">
        <f>I2189*G2189</f>
        <v/>
      </c>
      <c r="K2189" s="8">
        <f>IF($J$2202=0,0,J2189/$J$2202)</f>
        <v/>
      </c>
      <c r="L2189" s="6" t="inlineStr">
        <is>
          <t>REJECTED</t>
        </is>
      </c>
      <c r="M2189" s="8" t="n">
        <v>0</v>
      </c>
      <c r="N2189" s="7">
        <f>M2189*$J$2202-J2189</f>
        <v/>
      </c>
      <c r="O2189" s="9">
        <f>IF(G2189=0,0,N2189/G2189)</f>
        <v/>
      </c>
      <c r="P2189" s="6">
        <f>IF(M2189&gt;0,D2189,"")</f>
        <v/>
      </c>
      <c r="Q2189" s="9">
        <f>I2189+O2189</f>
        <v/>
      </c>
      <c r="R2189" s="7">
        <f>Q2189*G2189</f>
        <v/>
      </c>
      <c r="S2189" s="8">
        <f>IF($R$2202=0,0,R2189/$R$2202)</f>
        <v/>
      </c>
      <c r="T2189" s="8" t="n">
        <v>0.02777901753814471</v>
      </c>
      <c r="U2189" s="8" t="n">
        <v>0.02174431095414464</v>
      </c>
      <c r="V2189" s="6" t="inlineStr">
        <is>
          <t>not selected</t>
        </is>
      </c>
    </row>
    <row r="2190">
      <c r="A2190" s="6" t="inlineStr">
        <is>
          <t>DJ30</t>
        </is>
      </c>
      <c r="B2190" s="6" t="inlineStr">
        <is>
          <t>2024-05-10</t>
        </is>
      </c>
      <c r="C2190" s="6" t="inlineStr">
        <is>
          <t>DIA</t>
        </is>
      </c>
      <c r="D2190" s="6" t="inlineStr">
        <is>
          <t>MMM</t>
        </is>
      </c>
      <c r="E2190" s="6" t="inlineStr">
        <is>
          <t>MMM</t>
        </is>
      </c>
      <c r="F2190" s="6" t="inlineStr">
        <is>
          <t>-</t>
        </is>
      </c>
      <c r="G2190" s="7" t="n">
        <v>94.48786163330078</v>
      </c>
      <c r="H2190" s="6">
        <f>P2159</f>
        <v/>
      </c>
      <c r="I2190" s="9">
        <f>Q2159</f>
        <v/>
      </c>
      <c r="J2190" s="7">
        <f>I2190*G2190</f>
        <v/>
      </c>
      <c r="K2190" s="8">
        <f>IF($J$2202=0,0,J2190/$J$2202)</f>
        <v/>
      </c>
      <c r="L2190" s="6" t="inlineStr">
        <is>
          <t>REJECTED</t>
        </is>
      </c>
      <c r="M2190" s="8" t="n">
        <v>0</v>
      </c>
      <c r="N2190" s="7">
        <f>M2190*$J$2202-J2190</f>
        <v/>
      </c>
      <c r="O2190" s="9">
        <f>IF(G2190=0,0,N2190/G2190)</f>
        <v/>
      </c>
      <c r="P2190" s="6">
        <f>IF(M2190&gt;0,D2190,"")</f>
        <v/>
      </c>
      <c r="Q2190" s="9">
        <f>I2190+O2190</f>
        <v/>
      </c>
      <c r="R2190" s="7">
        <f>Q2190*G2190</f>
        <v/>
      </c>
      <c r="S2190" s="8">
        <f>IF($R$2202=0,0,R2190/$R$2202)</f>
        <v/>
      </c>
      <c r="T2190" s="8" t="n">
        <v>0.02777901753814471</v>
      </c>
      <c r="U2190" s="8" t="n">
        <v>0.02174431095414464</v>
      </c>
      <c r="V2190" s="6" t="inlineStr">
        <is>
          <t>not selected</t>
        </is>
      </c>
    </row>
    <row r="2191">
      <c r="A2191" s="6" t="inlineStr">
        <is>
          <t>DJ30</t>
        </is>
      </c>
      <c r="B2191" s="6" t="inlineStr">
        <is>
          <t>2024-05-10</t>
        </is>
      </c>
      <c r="C2191" s="6" t="inlineStr">
        <is>
          <t>DIA</t>
        </is>
      </c>
      <c r="D2191" s="6" t="inlineStr">
        <is>
          <t>MRK</t>
        </is>
      </c>
      <c r="E2191" s="6" t="inlineStr">
        <is>
          <t>MRK</t>
        </is>
      </c>
      <c r="F2191" s="6" t="inlineStr">
        <is>
          <t>-</t>
        </is>
      </c>
      <c r="G2191" s="7" t="n">
        <v>121.0181503295898</v>
      </c>
      <c r="H2191" s="6">
        <f>P2160</f>
        <v/>
      </c>
      <c r="I2191" s="9">
        <f>Q2160</f>
        <v/>
      </c>
      <c r="J2191" s="7">
        <f>I2191*G2191</f>
        <v/>
      </c>
      <c r="K2191" s="8">
        <f>IF($J$2202=0,0,J2191/$J$2202)</f>
        <v/>
      </c>
      <c r="L2191" s="6" t="inlineStr">
        <is>
          <t>WATCHLIST</t>
        </is>
      </c>
      <c r="M2191" s="8" t="n">
        <v>0</v>
      </c>
      <c r="N2191" s="7">
        <f>M2191*$J$2202-J2191</f>
        <v/>
      </c>
      <c r="O2191" s="9">
        <f>IF(G2191=0,0,N2191/G2191)</f>
        <v/>
      </c>
      <c r="P2191" s="6">
        <f>IF(M2191&gt;0,D2191,"")</f>
        <v/>
      </c>
      <c r="Q2191" s="9">
        <f>I2191+O2191</f>
        <v/>
      </c>
      <c r="R2191" s="7">
        <f>Q2191*G2191</f>
        <v/>
      </c>
      <c r="S2191" s="8">
        <f>IF($R$2202=0,0,R2191/$R$2202)</f>
        <v/>
      </c>
      <c r="T2191" s="8" t="n">
        <v>0.02777901753814471</v>
      </c>
      <c r="U2191" s="8" t="n">
        <v>0.02174431095414464</v>
      </c>
      <c r="V2191" s="6" t="inlineStr">
        <is>
          <t>not selected</t>
        </is>
      </c>
    </row>
    <row r="2192">
      <c r="A2192" s="6" t="inlineStr">
        <is>
          <t>DJ30</t>
        </is>
      </c>
      <c r="B2192" s="6" t="inlineStr">
        <is>
          <t>2024-05-10</t>
        </is>
      </c>
      <c r="C2192" s="6" t="inlineStr">
        <is>
          <t>DIA</t>
        </is>
      </c>
      <c r="D2192" s="6" t="inlineStr">
        <is>
          <t>MSFT</t>
        </is>
      </c>
      <c r="E2192" s="6" t="inlineStr">
        <is>
          <t>MSFT</t>
        </is>
      </c>
      <c r="F2192" s="6" t="inlineStr">
        <is>
          <t>-</t>
        </is>
      </c>
      <c r="G2192" s="7" t="n">
        <v>407.5877380371094</v>
      </c>
      <c r="H2192" s="6">
        <f>P2161</f>
        <v/>
      </c>
      <c r="I2192" s="9">
        <f>Q2161</f>
        <v/>
      </c>
      <c r="J2192" s="7">
        <f>I2192*G2192</f>
        <v/>
      </c>
      <c r="K2192" s="8">
        <f>IF($J$2202=0,0,J2192/$J$2202)</f>
        <v/>
      </c>
      <c r="L2192" s="6" t="inlineStr">
        <is>
          <t>WATCHLIST</t>
        </is>
      </c>
      <c r="M2192" s="8" t="n">
        <v>0</v>
      </c>
      <c r="N2192" s="7">
        <f>M2192*$J$2202-J2192</f>
        <v/>
      </c>
      <c r="O2192" s="9">
        <f>IF(G2192=0,0,N2192/G2192)</f>
        <v/>
      </c>
      <c r="P2192" s="6">
        <f>IF(M2192&gt;0,D2192,"")</f>
        <v/>
      </c>
      <c r="Q2192" s="9">
        <f>I2192+O2192</f>
        <v/>
      </c>
      <c r="R2192" s="7">
        <f>Q2192*G2192</f>
        <v/>
      </c>
      <c r="S2192" s="8">
        <f>IF($R$2202=0,0,R2192/$R$2202)</f>
        <v/>
      </c>
      <c r="T2192" s="8" t="n">
        <v>0.02777901753814471</v>
      </c>
      <c r="U2192" s="8" t="n">
        <v>0.02174431095414464</v>
      </c>
      <c r="V2192" s="6" t="inlineStr">
        <is>
          <t>not selected</t>
        </is>
      </c>
    </row>
    <row r="2193">
      <c r="A2193" s="6" t="inlineStr">
        <is>
          <t>DJ30</t>
        </is>
      </c>
      <c r="B2193" s="6" t="inlineStr">
        <is>
          <t>2024-05-10</t>
        </is>
      </c>
      <c r="C2193" s="6" t="inlineStr">
        <is>
          <t>DIA</t>
        </is>
      </c>
      <c r="D2193" s="6" t="inlineStr">
        <is>
          <t>NKE</t>
        </is>
      </c>
      <c r="E2193" s="6" t="inlineStr">
        <is>
          <t>NKE</t>
        </is>
      </c>
      <c r="F2193" s="6" t="inlineStr">
        <is>
          <t>-</t>
        </is>
      </c>
      <c r="G2193" s="7" t="n">
        <v>86.31597900390625</v>
      </c>
      <c r="H2193" s="6">
        <f>P2162</f>
        <v/>
      </c>
      <c r="I2193" s="9">
        <f>Q2162</f>
        <v/>
      </c>
      <c r="J2193" s="7">
        <f>I2193*G2193</f>
        <v/>
      </c>
      <c r="K2193" s="8">
        <f>IF($J$2202=0,0,J2193/$J$2202)</f>
        <v/>
      </c>
      <c r="L2193" s="6" t="inlineStr">
        <is>
          <t>REJECTED</t>
        </is>
      </c>
      <c r="M2193" s="8" t="n">
        <v>0</v>
      </c>
      <c r="N2193" s="7">
        <f>M2193*$J$2202-J2193</f>
        <v/>
      </c>
      <c r="O2193" s="9">
        <f>IF(G2193=0,0,N2193/G2193)</f>
        <v/>
      </c>
      <c r="P2193" s="6">
        <f>IF(M2193&gt;0,D2193,"")</f>
        <v/>
      </c>
      <c r="Q2193" s="9">
        <f>I2193+O2193</f>
        <v/>
      </c>
      <c r="R2193" s="7">
        <f>Q2193*G2193</f>
        <v/>
      </c>
      <c r="S2193" s="8">
        <f>IF($R$2202=0,0,R2193/$R$2202)</f>
        <v/>
      </c>
      <c r="T2193" s="8" t="n">
        <v>0.02777901753814471</v>
      </c>
      <c r="U2193" s="8" t="n">
        <v>0.02174431095414464</v>
      </c>
      <c r="V2193" s="6" t="inlineStr">
        <is>
          <t>not selected</t>
        </is>
      </c>
    </row>
    <row r="2194">
      <c r="A2194" s="6" t="inlineStr">
        <is>
          <t>DJ30</t>
        </is>
      </c>
      <c r="B2194" s="6" t="inlineStr">
        <is>
          <t>2024-05-10</t>
        </is>
      </c>
      <c r="C2194" s="6" t="inlineStr">
        <is>
          <t>DIA</t>
        </is>
      </c>
      <c r="D2194" s="6" t="inlineStr">
        <is>
          <t>NVDA</t>
        </is>
      </c>
      <c r="E2194" s="6" t="inlineStr">
        <is>
          <t>NVDA</t>
        </is>
      </c>
      <c r="F2194" s="6" t="inlineStr">
        <is>
          <t>-</t>
        </is>
      </c>
      <c r="G2194" s="7" t="n">
        <v>89.72274017333984</v>
      </c>
      <c r="H2194" s="6">
        <f>P2163</f>
        <v/>
      </c>
      <c r="I2194" s="9">
        <f>Q2163</f>
        <v/>
      </c>
      <c r="J2194" s="7">
        <f>I2194*G2194</f>
        <v/>
      </c>
      <c r="K2194" s="8">
        <f>IF($J$2202=0,0,J2194/$J$2202)</f>
        <v/>
      </c>
      <c r="L2194" s="6" t="inlineStr">
        <is>
          <t>SELECTED</t>
        </is>
      </c>
      <c r="M2194" s="8" t="n">
        <v>0.2</v>
      </c>
      <c r="N2194" s="7">
        <f>M2194*$J$2202-J2194</f>
        <v/>
      </c>
      <c r="O2194" s="9">
        <f>IF(G2194=0,0,N2194/G2194)</f>
        <v/>
      </c>
      <c r="P2194" s="6">
        <f>IF(M2194&gt;0,D2194,"")</f>
        <v/>
      </c>
      <c r="Q2194" s="9">
        <f>I2194+O2194</f>
        <v/>
      </c>
      <c r="R2194" s="7">
        <f>Q2194*G2194</f>
        <v/>
      </c>
      <c r="S2194" s="8">
        <f>IF($R$2202=0,0,R2194/$R$2202)</f>
        <v/>
      </c>
      <c r="T2194" s="8" t="n">
        <v>0.02777901753814471</v>
      </c>
      <c r="U2194" s="8" t="n">
        <v>0.02174431095414464</v>
      </c>
      <c r="V2194" s="6" t="inlineStr">
        <is>
          <t>remained in weekly selection</t>
        </is>
      </c>
    </row>
    <row r="2195">
      <c r="A2195" s="6" t="inlineStr">
        <is>
          <t>DJ30</t>
        </is>
      </c>
      <c r="B2195" s="6" t="inlineStr">
        <is>
          <t>2024-05-10</t>
        </is>
      </c>
      <c r="C2195" s="6" t="inlineStr">
        <is>
          <t>DIA</t>
        </is>
      </c>
      <c r="D2195" s="6" t="inlineStr">
        <is>
          <t>PG</t>
        </is>
      </c>
      <c r="E2195" s="6" t="inlineStr">
        <is>
          <t>PG</t>
        </is>
      </c>
      <c r="F2195" s="6" t="inlineStr">
        <is>
          <t>-</t>
        </is>
      </c>
      <c r="G2195" s="7" t="n">
        <v>158.3143615722656</v>
      </c>
      <c r="H2195" s="6">
        <f>P2164</f>
        <v/>
      </c>
      <c r="I2195" s="9">
        <f>Q2164</f>
        <v/>
      </c>
      <c r="J2195" s="7">
        <f>I2195*G2195</f>
        <v/>
      </c>
      <c r="K2195" s="8">
        <f>IF($J$2202=0,0,J2195/$J$2202)</f>
        <v/>
      </c>
      <c r="L2195" s="6" t="inlineStr">
        <is>
          <t>WATCHLIST</t>
        </is>
      </c>
      <c r="M2195" s="8" t="n">
        <v>0</v>
      </c>
      <c r="N2195" s="7">
        <f>M2195*$J$2202-J2195</f>
        <v/>
      </c>
      <c r="O2195" s="9">
        <f>IF(G2195=0,0,N2195/G2195)</f>
        <v/>
      </c>
      <c r="P2195" s="6">
        <f>IF(M2195&gt;0,D2195,"")</f>
        <v/>
      </c>
      <c r="Q2195" s="9">
        <f>I2195+O2195</f>
        <v/>
      </c>
      <c r="R2195" s="7">
        <f>Q2195*G2195</f>
        <v/>
      </c>
      <c r="S2195" s="8">
        <f>IF($R$2202=0,0,R2195/$R$2202)</f>
        <v/>
      </c>
      <c r="T2195" s="8" t="n">
        <v>0.02777901753814471</v>
      </c>
      <c r="U2195" s="8" t="n">
        <v>0.02174431095414464</v>
      </c>
      <c r="V2195" s="6" t="inlineStr">
        <is>
          <t>not selected</t>
        </is>
      </c>
    </row>
    <row r="2196">
      <c r="A2196" s="6" t="inlineStr">
        <is>
          <t>DJ30</t>
        </is>
      </c>
      <c r="B2196" s="6" t="inlineStr">
        <is>
          <t>2024-05-10</t>
        </is>
      </c>
      <c r="C2196" s="6" t="inlineStr">
        <is>
          <t>DIA</t>
        </is>
      </c>
      <c r="D2196" s="6" t="inlineStr">
        <is>
          <t>SHW</t>
        </is>
      </c>
      <c r="E2196" s="6" t="inlineStr">
        <is>
          <t>SHW</t>
        </is>
      </c>
      <c r="F2196" s="6" t="inlineStr">
        <is>
          <t>-</t>
        </is>
      </c>
      <c r="G2196" s="7" t="n">
        <v>314.5758361816406</v>
      </c>
      <c r="H2196" s="6">
        <f>P2165</f>
        <v/>
      </c>
      <c r="I2196" s="9">
        <f>Q2165</f>
        <v/>
      </c>
      <c r="J2196" s="7">
        <f>I2196*G2196</f>
        <v/>
      </c>
      <c r="K2196" s="8">
        <f>IF($J$2202=0,0,J2196/$J$2202)</f>
        <v/>
      </c>
      <c r="L2196" s="6" t="inlineStr">
        <is>
          <t>WATCHLIST</t>
        </is>
      </c>
      <c r="M2196" s="8" t="n">
        <v>0</v>
      </c>
      <c r="N2196" s="7">
        <f>M2196*$J$2202-J2196</f>
        <v/>
      </c>
      <c r="O2196" s="9">
        <f>IF(G2196=0,0,N2196/G2196)</f>
        <v/>
      </c>
      <c r="P2196" s="6">
        <f>IF(M2196&gt;0,D2196,"")</f>
        <v/>
      </c>
      <c r="Q2196" s="9">
        <f>I2196+O2196</f>
        <v/>
      </c>
      <c r="R2196" s="7">
        <f>Q2196*G2196</f>
        <v/>
      </c>
      <c r="S2196" s="8">
        <f>IF($R$2202=0,0,R2196/$R$2202)</f>
        <v/>
      </c>
      <c r="T2196" s="8" t="n">
        <v>0.02777901753814471</v>
      </c>
      <c r="U2196" s="8" t="n">
        <v>0.02174431095414464</v>
      </c>
      <c r="V2196" s="6" t="inlineStr">
        <is>
          <t>not selected</t>
        </is>
      </c>
    </row>
    <row r="2197">
      <c r="A2197" s="6" t="inlineStr">
        <is>
          <t>DJ30</t>
        </is>
      </c>
      <c r="B2197" s="6" t="inlineStr">
        <is>
          <t>2024-05-10</t>
        </is>
      </c>
      <c r="C2197" s="6" t="inlineStr">
        <is>
          <t>DIA</t>
        </is>
      </c>
      <c r="D2197" s="6" t="inlineStr">
        <is>
          <t>TRV</t>
        </is>
      </c>
      <c r="E2197" s="6" t="inlineStr">
        <is>
          <t>TRV</t>
        </is>
      </c>
      <c r="F2197" s="6" t="inlineStr">
        <is>
          <t>-</t>
        </is>
      </c>
      <c r="G2197" s="7" t="n">
        <v>210.464859008789</v>
      </c>
      <c r="H2197" s="6">
        <f>P2166</f>
        <v/>
      </c>
      <c r="I2197" s="9">
        <f>Q2166</f>
        <v/>
      </c>
      <c r="J2197" s="7">
        <f>I2197*G2197</f>
        <v/>
      </c>
      <c r="K2197" s="8">
        <f>IF($J$2202=0,0,J2197/$J$2202)</f>
        <v/>
      </c>
      <c r="L2197" s="6" t="inlineStr">
        <is>
          <t>WATCHLIST</t>
        </is>
      </c>
      <c r="M2197" s="8" t="n">
        <v>0</v>
      </c>
      <c r="N2197" s="7">
        <f>M2197*$J$2202-J2197</f>
        <v/>
      </c>
      <c r="O2197" s="9">
        <f>IF(G2197=0,0,N2197/G2197)</f>
        <v/>
      </c>
      <c r="P2197" s="6">
        <f>IF(M2197&gt;0,D2197,"")</f>
        <v/>
      </c>
      <c r="Q2197" s="9">
        <f>I2197+O2197</f>
        <v/>
      </c>
      <c r="R2197" s="7">
        <f>Q2197*G2197</f>
        <v/>
      </c>
      <c r="S2197" s="8">
        <f>IF($R$2202=0,0,R2197/$R$2202)</f>
        <v/>
      </c>
      <c r="T2197" s="8" t="n">
        <v>0.02777901753814471</v>
      </c>
      <c r="U2197" s="8" t="n">
        <v>0.02174431095414464</v>
      </c>
      <c r="V2197" s="6" t="inlineStr">
        <is>
          <t>not selected</t>
        </is>
      </c>
    </row>
    <row r="2198">
      <c r="A2198" s="6" t="inlineStr">
        <is>
          <t>DJ30</t>
        </is>
      </c>
      <c r="B2198" s="6" t="inlineStr">
        <is>
          <t>2024-05-10</t>
        </is>
      </c>
      <c r="C2198" s="6" t="inlineStr">
        <is>
          <t>DIA</t>
        </is>
      </c>
      <c r="D2198" s="6" t="inlineStr">
        <is>
          <t>UNH</t>
        </is>
      </c>
      <c r="E2198" s="6" t="inlineStr">
        <is>
          <t>UNH</t>
        </is>
      </c>
      <c r="F2198" s="6" t="inlineStr">
        <is>
          <t>-</t>
        </is>
      </c>
      <c r="G2198" s="7" t="n">
        <v>488.10791015625</v>
      </c>
      <c r="H2198" s="6">
        <f>P2167</f>
        <v/>
      </c>
      <c r="I2198" s="9">
        <f>Q2167</f>
        <v/>
      </c>
      <c r="J2198" s="7">
        <f>I2198*G2198</f>
        <v/>
      </c>
      <c r="K2198" s="8">
        <f>IF($J$2202=0,0,J2198/$J$2202)</f>
        <v/>
      </c>
      <c r="L2198" s="6" t="inlineStr">
        <is>
          <t>REJECTED</t>
        </is>
      </c>
      <c r="M2198" s="8" t="n">
        <v>0</v>
      </c>
      <c r="N2198" s="7">
        <f>M2198*$J$2202-J2198</f>
        <v/>
      </c>
      <c r="O2198" s="9">
        <f>IF(G2198=0,0,N2198/G2198)</f>
        <v/>
      </c>
      <c r="P2198" s="6">
        <f>IF(M2198&gt;0,D2198,"")</f>
        <v/>
      </c>
      <c r="Q2198" s="9">
        <f>I2198+O2198</f>
        <v/>
      </c>
      <c r="R2198" s="7">
        <f>Q2198*G2198</f>
        <v/>
      </c>
      <c r="S2198" s="8">
        <f>IF($R$2202=0,0,R2198/$R$2202)</f>
        <v/>
      </c>
      <c r="T2198" s="8" t="n">
        <v>0.02777901753814471</v>
      </c>
      <c r="U2198" s="8" t="n">
        <v>0.02174431095414464</v>
      </c>
      <c r="V2198" s="6" t="inlineStr">
        <is>
          <t>not selected</t>
        </is>
      </c>
    </row>
    <row r="2199">
      <c r="A2199" s="6" t="inlineStr">
        <is>
          <t>DJ30</t>
        </is>
      </c>
      <c r="B2199" s="6" t="inlineStr">
        <is>
          <t>2024-05-10</t>
        </is>
      </c>
      <c r="C2199" s="6" t="inlineStr">
        <is>
          <t>DIA</t>
        </is>
      </c>
      <c r="D2199" s="6" t="inlineStr">
        <is>
          <t>V</t>
        </is>
      </c>
      <c r="E2199" s="6" t="inlineStr">
        <is>
          <t>V</t>
        </is>
      </c>
      <c r="F2199" s="6" t="inlineStr">
        <is>
          <t>-</t>
        </is>
      </c>
      <c r="G2199" s="7" t="n">
        <v>276.0187072753906</v>
      </c>
      <c r="H2199" s="6">
        <f>P2168</f>
        <v/>
      </c>
      <c r="I2199" s="9">
        <f>Q2168</f>
        <v/>
      </c>
      <c r="J2199" s="7">
        <f>I2199*G2199</f>
        <v/>
      </c>
      <c r="K2199" s="8">
        <f>IF($J$2202=0,0,J2199/$J$2202)</f>
        <v/>
      </c>
      <c r="L2199" s="6" t="inlineStr">
        <is>
          <t>WATCHLIST</t>
        </is>
      </c>
      <c r="M2199" s="8" t="n">
        <v>0</v>
      </c>
      <c r="N2199" s="7">
        <f>M2199*$J$2202-J2199</f>
        <v/>
      </c>
      <c r="O2199" s="9">
        <f>IF(G2199=0,0,N2199/G2199)</f>
        <v/>
      </c>
      <c r="P2199" s="6">
        <f>IF(M2199&gt;0,D2199,"")</f>
        <v/>
      </c>
      <c r="Q2199" s="9">
        <f>I2199+O2199</f>
        <v/>
      </c>
      <c r="R2199" s="7">
        <f>Q2199*G2199</f>
        <v/>
      </c>
      <c r="S2199" s="8">
        <f>IF($R$2202=0,0,R2199/$R$2202)</f>
        <v/>
      </c>
      <c r="T2199" s="8" t="n">
        <v>0.02777901753814471</v>
      </c>
      <c r="U2199" s="8" t="n">
        <v>0.02174431095414464</v>
      </c>
      <c r="V2199" s="6" t="inlineStr">
        <is>
          <t>not selected</t>
        </is>
      </c>
    </row>
    <row r="2200">
      <c r="A2200" s="6" t="inlineStr">
        <is>
          <t>DJ30</t>
        </is>
      </c>
      <c r="B2200" s="6" t="inlineStr">
        <is>
          <t>2024-05-10</t>
        </is>
      </c>
      <c r="C2200" s="6" t="inlineStr">
        <is>
          <t>DIA</t>
        </is>
      </c>
      <c r="D2200" s="6" t="inlineStr">
        <is>
          <t>VZ</t>
        </is>
      </c>
      <c r="E2200" s="6" t="inlineStr">
        <is>
          <t>VZ</t>
        </is>
      </c>
      <c r="F2200" s="6" t="inlineStr">
        <is>
          <t>-</t>
        </is>
      </c>
      <c r="G2200" s="7" t="n">
        <v>35.45962905883789</v>
      </c>
      <c r="H2200" s="6">
        <f>P2169</f>
        <v/>
      </c>
      <c r="I2200" s="9">
        <f>Q2169</f>
        <v/>
      </c>
      <c r="J2200" s="7">
        <f>I2200*G2200</f>
        <v/>
      </c>
      <c r="K2200" s="8">
        <f>IF($J$2202=0,0,J2200/$J$2202)</f>
        <v/>
      </c>
      <c r="L2200" s="6" t="inlineStr">
        <is>
          <t>WATCHLIST</t>
        </is>
      </c>
      <c r="M2200" s="8" t="n">
        <v>0</v>
      </c>
      <c r="N2200" s="7">
        <f>M2200*$J$2202-J2200</f>
        <v/>
      </c>
      <c r="O2200" s="9">
        <f>IF(G2200=0,0,N2200/G2200)</f>
        <v/>
      </c>
      <c r="P2200" s="6">
        <f>IF(M2200&gt;0,D2200,"")</f>
        <v/>
      </c>
      <c r="Q2200" s="9">
        <f>I2200+O2200</f>
        <v/>
      </c>
      <c r="R2200" s="7">
        <f>Q2200*G2200</f>
        <v/>
      </c>
      <c r="S2200" s="8">
        <f>IF($R$2202=0,0,R2200/$R$2202)</f>
        <v/>
      </c>
      <c r="T2200" s="8" t="n">
        <v>0.02777901753814471</v>
      </c>
      <c r="U2200" s="8" t="n">
        <v>0.02174431095414464</v>
      </c>
      <c r="V2200" s="6" t="inlineStr">
        <is>
          <t>not selected</t>
        </is>
      </c>
    </row>
    <row r="2201">
      <c r="A2201" s="6" t="inlineStr">
        <is>
          <t>DJ30</t>
        </is>
      </c>
      <c r="B2201" s="6" t="inlineStr">
        <is>
          <t>2024-05-10</t>
        </is>
      </c>
      <c r="C2201" s="6" t="inlineStr">
        <is>
          <t>DIA</t>
        </is>
      </c>
      <c r="D2201" s="6" t="inlineStr">
        <is>
          <t>WMT</t>
        </is>
      </c>
      <c r="E2201" s="6" t="inlineStr">
        <is>
          <t>WMT</t>
        </is>
      </c>
      <c r="F2201" s="6" t="inlineStr">
        <is>
          <t>-</t>
        </is>
      </c>
      <c r="G2201" s="7" t="n">
        <v>59.36886596679688</v>
      </c>
      <c r="H2201" s="6">
        <f>P2170</f>
        <v/>
      </c>
      <c r="I2201" s="9">
        <f>Q2170</f>
        <v/>
      </c>
      <c r="J2201" s="7">
        <f>I2201*G2201</f>
        <v/>
      </c>
      <c r="K2201" s="8">
        <f>IF($J$2202=0,0,J2201/$J$2202)</f>
        <v/>
      </c>
      <c r="L2201" s="6" t="inlineStr">
        <is>
          <t>WATCHLIST</t>
        </is>
      </c>
      <c r="M2201" s="8" t="n">
        <v>0</v>
      </c>
      <c r="N2201" s="7">
        <f>M2201*$J$2202-J2201</f>
        <v/>
      </c>
      <c r="O2201" s="9">
        <f>IF(G2201=0,0,N2201/G2201)</f>
        <v/>
      </c>
      <c r="P2201" s="6">
        <f>IF(M2201&gt;0,D2201,"")</f>
        <v/>
      </c>
      <c r="Q2201" s="9">
        <f>I2201+O2201</f>
        <v/>
      </c>
      <c r="R2201" s="7">
        <f>Q2201*G2201</f>
        <v/>
      </c>
      <c r="S2201" s="8">
        <f>IF($R$2202=0,0,R2201/$R$2202)</f>
        <v/>
      </c>
      <c r="T2201" s="8" t="n">
        <v>0.02777901753814471</v>
      </c>
      <c r="U2201" s="8" t="n">
        <v>0.02174431095414464</v>
      </c>
      <c r="V2201" s="6" t="inlineStr">
        <is>
          <t>not selected</t>
        </is>
      </c>
    </row>
    <row r="2202">
      <c r="A2202" s="10" t="inlineStr">
        <is>
          <t>DJ30</t>
        </is>
      </c>
      <c r="B2202" s="10" t="inlineStr">
        <is>
          <t>2024-05-10</t>
        </is>
      </c>
      <c r="C2202" s="10" t="inlineStr">
        <is>
          <t>DIA</t>
        </is>
      </c>
      <c r="D2202" s="10" t="inlineStr">
        <is>
          <t>Tot Portfolio</t>
        </is>
      </c>
      <c r="E2202" s="10" t="inlineStr"/>
      <c r="F2202" s="10" t="inlineStr"/>
      <c r="G2202" s="11" t="inlineStr"/>
      <c r="H2202" s="10" t="inlineStr"/>
      <c r="I2202" s="12" t="inlineStr"/>
      <c r="J2202" s="11">
        <f>SUM(J2172:J2201)</f>
        <v/>
      </c>
      <c r="K2202" s="13">
        <f>SUM(K2172:K2201)</f>
        <v/>
      </c>
      <c r="L2202" s="10" t="inlineStr">
        <is>
          <t>TOTAL</t>
        </is>
      </c>
      <c r="M2202" s="13">
        <f>SUM(M2172:M2201)</f>
        <v/>
      </c>
      <c r="N2202" s="11">
        <f>SUM(N2172:N2201)</f>
        <v/>
      </c>
      <c r="O2202" s="12">
        <f>SUM(O2172:O2201)</f>
        <v/>
      </c>
      <c r="P2202" s="10" t="inlineStr"/>
      <c r="Q2202" s="12" t="inlineStr"/>
      <c r="R2202" s="11">
        <f>SUM(R2172:R2201)</f>
        <v/>
      </c>
      <c r="S2202" s="13">
        <f>SUM(S2172:S2201)</f>
        <v/>
      </c>
      <c r="T2202" s="13" t="n">
        <v>0.02777901753814471</v>
      </c>
      <c r="U2202" s="13" t="n">
        <v>0.02174431095414464</v>
      </c>
      <c r="V2202" s="10" t="inlineStr"/>
    </row>
    <row r="2203">
      <c r="A2203" s="6" t="inlineStr">
        <is>
          <t>DJ30</t>
        </is>
      </c>
      <c r="B2203" s="6" t="inlineStr">
        <is>
          <t>2024-05-17</t>
        </is>
      </c>
      <c r="C2203" s="6" t="inlineStr">
        <is>
          <t>DIA</t>
        </is>
      </c>
      <c r="D2203" s="6" t="inlineStr">
        <is>
          <t>AAPL</t>
        </is>
      </c>
      <c r="E2203" s="6" t="inlineStr">
        <is>
          <t>AAPL</t>
        </is>
      </c>
      <c r="F2203" s="6" t="inlineStr">
        <is>
          <t>-</t>
        </is>
      </c>
      <c r="G2203" s="7" t="n">
        <v>188.2393798828125</v>
      </c>
      <c r="H2203" s="6">
        <f>P2172</f>
        <v/>
      </c>
      <c r="I2203" s="9">
        <f>Q2172</f>
        <v/>
      </c>
      <c r="J2203" s="7">
        <f>I2203*G2203</f>
        <v/>
      </c>
      <c r="K2203" s="8">
        <f>IF($J$2233=0,0,J2203/$J$2233)</f>
        <v/>
      </c>
      <c r="L2203" s="6" t="inlineStr">
        <is>
          <t>REJECTED</t>
        </is>
      </c>
      <c r="M2203" s="8" t="n">
        <v>0</v>
      </c>
      <c r="N2203" s="7">
        <f>M2203*$J$2233-J2203</f>
        <v/>
      </c>
      <c r="O2203" s="9">
        <f>IF(G2203=0,0,N2203/G2203)</f>
        <v/>
      </c>
      <c r="P2203" s="6">
        <f>IF(M2203&gt;0,D2203,"")</f>
        <v/>
      </c>
      <c r="Q2203" s="9">
        <f>I2203+O2203</f>
        <v/>
      </c>
      <c r="R2203" s="7">
        <f>Q2203*G2203</f>
        <v/>
      </c>
      <c r="S2203" s="8">
        <f>IF($R$2233=0,0,R2203/$R$2233)</f>
        <v/>
      </c>
      <c r="T2203" s="8" t="n">
        <v>0.02139141051527815</v>
      </c>
      <c r="U2203" s="8" t="n">
        <v>0.01357873189050651</v>
      </c>
      <c r="V2203" s="6" t="inlineStr">
        <is>
          <t>not selected</t>
        </is>
      </c>
    </row>
    <row r="2204">
      <c r="A2204" s="6" t="inlineStr">
        <is>
          <t>DJ30</t>
        </is>
      </c>
      <c r="B2204" s="6" t="inlineStr">
        <is>
          <t>2024-05-17</t>
        </is>
      </c>
      <c r="C2204" s="6" t="inlineStr">
        <is>
          <t>DIA</t>
        </is>
      </c>
      <c r="D2204" s="6" t="inlineStr">
        <is>
          <t>AMGN</t>
        </is>
      </c>
      <c r="E2204" s="6" t="inlineStr">
        <is>
          <t>AMGN</t>
        </is>
      </c>
      <c r="F2204" s="6" t="inlineStr">
        <is>
          <t>-</t>
        </is>
      </c>
      <c r="G2204" s="7" t="n">
        <v>293.8720703125</v>
      </c>
      <c r="H2204" s="6">
        <f>P2173</f>
        <v/>
      </c>
      <c r="I2204" s="9">
        <f>Q2173</f>
        <v/>
      </c>
      <c r="J2204" s="7">
        <f>I2204*G2204</f>
        <v/>
      </c>
      <c r="K2204" s="8">
        <f>IF($J$2233=0,0,J2204/$J$2233)</f>
        <v/>
      </c>
      <c r="L2204" s="6" t="inlineStr">
        <is>
          <t>WATCHLIST</t>
        </is>
      </c>
      <c r="M2204" s="8" t="n">
        <v>0</v>
      </c>
      <c r="N2204" s="7">
        <f>M2204*$J$2233-J2204</f>
        <v/>
      </c>
      <c r="O2204" s="9">
        <f>IF(G2204=0,0,N2204/G2204)</f>
        <v/>
      </c>
      <c r="P2204" s="6">
        <f>IF(M2204&gt;0,D2204,"")</f>
        <v/>
      </c>
      <c r="Q2204" s="9">
        <f>I2204+O2204</f>
        <v/>
      </c>
      <c r="R2204" s="7">
        <f>Q2204*G2204</f>
        <v/>
      </c>
      <c r="S2204" s="8">
        <f>IF($R$2233=0,0,R2204/$R$2233)</f>
        <v/>
      </c>
      <c r="T2204" s="8" t="n">
        <v>0.02139141051527815</v>
      </c>
      <c r="U2204" s="8" t="n">
        <v>0.01357873189050651</v>
      </c>
      <c r="V2204" s="6" t="inlineStr">
        <is>
          <t>not selected</t>
        </is>
      </c>
    </row>
    <row r="2205">
      <c r="A2205" s="6" t="inlineStr">
        <is>
          <t>DJ30</t>
        </is>
      </c>
      <c r="B2205" s="6" t="inlineStr">
        <is>
          <t>2024-05-17</t>
        </is>
      </c>
      <c r="C2205" s="6" t="inlineStr">
        <is>
          <t>DIA</t>
        </is>
      </c>
      <c r="D2205" s="6" t="inlineStr">
        <is>
          <t>AMZN</t>
        </is>
      </c>
      <c r="E2205" s="6" t="inlineStr">
        <is>
          <t>AMZN</t>
        </is>
      </c>
      <c r="F2205" s="6" t="inlineStr">
        <is>
          <t>-</t>
        </is>
      </c>
      <c r="G2205" s="7" t="n">
        <v>184.6999969482422</v>
      </c>
      <c r="H2205" s="6">
        <f>P2174</f>
        <v/>
      </c>
      <c r="I2205" s="9">
        <f>Q2174</f>
        <v/>
      </c>
      <c r="J2205" s="7">
        <f>I2205*G2205</f>
        <v/>
      </c>
      <c r="K2205" s="8">
        <f>IF($J$2233=0,0,J2205/$J$2233)</f>
        <v/>
      </c>
      <c r="L2205" s="6" t="inlineStr">
        <is>
          <t>WATCHLIST</t>
        </is>
      </c>
      <c r="M2205" s="8" t="n">
        <v>0</v>
      </c>
      <c r="N2205" s="7">
        <f>M2205*$J$2233-J2205</f>
        <v/>
      </c>
      <c r="O2205" s="9">
        <f>IF(G2205=0,0,N2205/G2205)</f>
        <v/>
      </c>
      <c r="P2205" s="6">
        <f>IF(M2205&gt;0,D2205,"")</f>
        <v/>
      </c>
      <c r="Q2205" s="9">
        <f>I2205+O2205</f>
        <v/>
      </c>
      <c r="R2205" s="7">
        <f>Q2205*G2205</f>
        <v/>
      </c>
      <c r="S2205" s="8">
        <f>IF($R$2233=0,0,R2205/$R$2233)</f>
        <v/>
      </c>
      <c r="T2205" s="8" t="n">
        <v>0.02139141051527815</v>
      </c>
      <c r="U2205" s="8" t="n">
        <v>0.01357873189050651</v>
      </c>
      <c r="V2205" s="6" t="inlineStr">
        <is>
          <t>not selected</t>
        </is>
      </c>
    </row>
    <row r="2206">
      <c r="A2206" s="6" t="inlineStr">
        <is>
          <t>DJ30</t>
        </is>
      </c>
      <c r="B2206" s="6" t="inlineStr">
        <is>
          <t>2024-05-17</t>
        </is>
      </c>
      <c r="C2206" s="6" t="inlineStr">
        <is>
          <t>DIA</t>
        </is>
      </c>
      <c r="D2206" s="6" t="inlineStr">
        <is>
          <t>AXP</t>
        </is>
      </c>
      <c r="E2206" s="6" t="inlineStr">
        <is>
          <t>AXP</t>
        </is>
      </c>
      <c r="F2206" s="6" t="inlineStr">
        <is>
          <t>-</t>
        </is>
      </c>
      <c r="G2206" s="7" t="n">
        <v>237.6137390136719</v>
      </c>
      <c r="H2206" s="6">
        <f>P2175</f>
        <v/>
      </c>
      <c r="I2206" s="9">
        <f>Q2175</f>
        <v/>
      </c>
      <c r="J2206" s="7">
        <f>I2206*G2206</f>
        <v/>
      </c>
      <c r="K2206" s="8">
        <f>IF($J$2233=0,0,J2206/$J$2233)</f>
        <v/>
      </c>
      <c r="L2206" s="6" t="inlineStr">
        <is>
          <t>WATCHLIST</t>
        </is>
      </c>
      <c r="M2206" s="8" t="n">
        <v>0</v>
      </c>
      <c r="N2206" s="7">
        <f>M2206*$J$2233-J2206</f>
        <v/>
      </c>
      <c r="O2206" s="9">
        <f>IF(G2206=0,0,N2206/G2206)</f>
        <v/>
      </c>
      <c r="P2206" s="6">
        <f>IF(M2206&gt;0,D2206,"")</f>
        <v/>
      </c>
      <c r="Q2206" s="9">
        <f>I2206+O2206</f>
        <v/>
      </c>
      <c r="R2206" s="7">
        <f>Q2206*G2206</f>
        <v/>
      </c>
      <c r="S2206" s="8">
        <f>IF($R$2233=0,0,R2206/$R$2233)</f>
        <v/>
      </c>
      <c r="T2206" s="8" t="n">
        <v>0.02139141051527815</v>
      </c>
      <c r="U2206" s="8" t="n">
        <v>0.01357873189050651</v>
      </c>
      <c r="V2206" s="6" t="inlineStr">
        <is>
          <t>not selected</t>
        </is>
      </c>
    </row>
    <row r="2207">
      <c r="A2207" s="6" t="inlineStr">
        <is>
          <t>DJ30</t>
        </is>
      </c>
      <c r="B2207" s="6" t="inlineStr">
        <is>
          <t>2024-05-17</t>
        </is>
      </c>
      <c r="C2207" s="6" t="inlineStr">
        <is>
          <t>DIA</t>
        </is>
      </c>
      <c r="D2207" s="6" t="inlineStr">
        <is>
          <t>BA</t>
        </is>
      </c>
      <c r="E2207" s="6" t="inlineStr">
        <is>
          <t>BA</t>
        </is>
      </c>
      <c r="F2207" s="6" t="inlineStr">
        <is>
          <t>-</t>
        </is>
      </c>
      <c r="G2207" s="7" t="n">
        <v>184.9499969482422</v>
      </c>
      <c r="H2207" s="6">
        <f>P2176</f>
        <v/>
      </c>
      <c r="I2207" s="9">
        <f>Q2176</f>
        <v/>
      </c>
      <c r="J2207" s="7">
        <f>I2207*G2207</f>
        <v/>
      </c>
      <c r="K2207" s="8">
        <f>IF($J$2233=0,0,J2207/$J$2233)</f>
        <v/>
      </c>
      <c r="L2207" s="6" t="inlineStr">
        <is>
          <t>REJECTED</t>
        </is>
      </c>
      <c r="M2207" s="8" t="n">
        <v>0</v>
      </c>
      <c r="N2207" s="7">
        <f>M2207*$J$2233-J2207</f>
        <v/>
      </c>
      <c r="O2207" s="9">
        <f>IF(G2207=0,0,N2207/G2207)</f>
        <v/>
      </c>
      <c r="P2207" s="6">
        <f>IF(M2207&gt;0,D2207,"")</f>
        <v/>
      </c>
      <c r="Q2207" s="9">
        <f>I2207+O2207</f>
        <v/>
      </c>
      <c r="R2207" s="7">
        <f>Q2207*G2207</f>
        <v/>
      </c>
      <c r="S2207" s="8">
        <f>IF($R$2233=0,0,R2207/$R$2233)</f>
        <v/>
      </c>
      <c r="T2207" s="8" t="n">
        <v>0.02139141051527815</v>
      </c>
      <c r="U2207" s="8" t="n">
        <v>0.01357873189050651</v>
      </c>
      <c r="V2207" s="6" t="inlineStr">
        <is>
          <t>not selected</t>
        </is>
      </c>
    </row>
    <row r="2208">
      <c r="A2208" s="6" t="inlineStr">
        <is>
          <t>DJ30</t>
        </is>
      </c>
      <c r="B2208" s="6" t="inlineStr">
        <is>
          <t>2024-05-17</t>
        </is>
      </c>
      <c r="C2208" s="6" t="inlineStr">
        <is>
          <t>DIA</t>
        </is>
      </c>
      <c r="D2208" s="6" t="inlineStr">
        <is>
          <t>CAT</t>
        </is>
      </c>
      <c r="E2208" s="6" t="inlineStr">
        <is>
          <t>CAT</t>
        </is>
      </c>
      <c r="F2208" s="6" t="inlineStr">
        <is>
          <t>-</t>
        </is>
      </c>
      <c r="G2208" s="7" t="n">
        <v>346.82177734375</v>
      </c>
      <c r="H2208" s="6">
        <f>P2177</f>
        <v/>
      </c>
      <c r="I2208" s="9">
        <f>Q2177</f>
        <v/>
      </c>
      <c r="J2208" s="7">
        <f>I2208*G2208</f>
        <v/>
      </c>
      <c r="K2208" s="8">
        <f>IF($J$2233=0,0,J2208/$J$2233)</f>
        <v/>
      </c>
      <c r="L2208" s="6" t="inlineStr">
        <is>
          <t>SELECTED</t>
        </is>
      </c>
      <c r="M2208" s="8" t="n">
        <v>0.2</v>
      </c>
      <c r="N2208" s="7">
        <f>M2208*$J$2233-J2208</f>
        <v/>
      </c>
      <c r="O2208" s="9">
        <f>IF(G2208=0,0,N2208/G2208)</f>
        <v/>
      </c>
      <c r="P2208" s="6">
        <f>IF(M2208&gt;0,D2208,"")</f>
        <v/>
      </c>
      <c r="Q2208" s="9">
        <f>I2208+O2208</f>
        <v/>
      </c>
      <c r="R2208" s="7">
        <f>Q2208*G2208</f>
        <v/>
      </c>
      <c r="S2208" s="8">
        <f>IF($R$2233=0,0,R2208/$R$2233)</f>
        <v/>
      </c>
      <c r="T2208" s="8" t="n">
        <v>0.02139141051527815</v>
      </c>
      <c r="U2208" s="8" t="n">
        <v>0.01357873189050651</v>
      </c>
      <c r="V2208" s="6" t="inlineStr">
        <is>
          <t>remained in weekly selection</t>
        </is>
      </c>
    </row>
    <row r="2209">
      <c r="A2209" s="6" t="inlineStr">
        <is>
          <t>DJ30</t>
        </is>
      </c>
      <c r="B2209" s="6" t="inlineStr">
        <is>
          <t>2024-05-17</t>
        </is>
      </c>
      <c r="C2209" s="6" t="inlineStr">
        <is>
          <t>DIA</t>
        </is>
      </c>
      <c r="D2209" s="6" t="inlineStr">
        <is>
          <t>CRM</t>
        </is>
      </c>
      <c r="E2209" s="6" t="inlineStr">
        <is>
          <t>CRM</t>
        </is>
      </c>
      <c r="F2209" s="6" t="inlineStr">
        <is>
          <t>-</t>
        </is>
      </c>
      <c r="G2209" s="7" t="n">
        <v>281.1195373535156</v>
      </c>
      <c r="H2209" s="6">
        <f>P2178</f>
        <v/>
      </c>
      <c r="I2209" s="9">
        <f>Q2178</f>
        <v/>
      </c>
      <c r="J2209" s="7">
        <f>I2209*G2209</f>
        <v/>
      </c>
      <c r="K2209" s="8">
        <f>IF($J$2233=0,0,J2209/$J$2233)</f>
        <v/>
      </c>
      <c r="L2209" s="6" t="inlineStr">
        <is>
          <t>SELECTED</t>
        </is>
      </c>
      <c r="M2209" s="8" t="n">
        <v>0.2</v>
      </c>
      <c r="N2209" s="7">
        <f>M2209*$J$2233-J2209</f>
        <v/>
      </c>
      <c r="O2209" s="9">
        <f>IF(G2209=0,0,N2209/G2209)</f>
        <v/>
      </c>
      <c r="P2209" s="6">
        <f>IF(M2209&gt;0,D2209,"")</f>
        <v/>
      </c>
      <c r="Q2209" s="9">
        <f>I2209+O2209</f>
        <v/>
      </c>
      <c r="R2209" s="7">
        <f>Q2209*G2209</f>
        <v/>
      </c>
      <c r="S2209" s="8">
        <f>IF($R$2233=0,0,R2209/$R$2233)</f>
        <v/>
      </c>
      <c r="T2209" s="8" t="n">
        <v>0.02139141051527815</v>
      </c>
      <c r="U2209" s="8" t="n">
        <v>0.01357873189050651</v>
      </c>
      <c r="V2209" s="6" t="inlineStr">
        <is>
          <t>remained in weekly selection</t>
        </is>
      </c>
    </row>
    <row r="2210">
      <c r="A2210" s="6" t="inlineStr">
        <is>
          <t>DJ30</t>
        </is>
      </c>
      <c r="B2210" s="6" t="inlineStr">
        <is>
          <t>2024-05-17</t>
        </is>
      </c>
      <c r="C2210" s="6" t="inlineStr">
        <is>
          <t>DIA</t>
        </is>
      </c>
      <c r="D2210" s="6" t="inlineStr">
        <is>
          <t>CSCO</t>
        </is>
      </c>
      <c r="E2210" s="6" t="inlineStr">
        <is>
          <t>CSCO</t>
        </is>
      </c>
      <c r="F2210" s="6" t="inlineStr">
        <is>
          <t>-</t>
        </is>
      </c>
      <c r="G2210" s="7" t="n">
        <v>45.71335983276367</v>
      </c>
      <c r="H2210" s="6">
        <f>P2179</f>
        <v/>
      </c>
      <c r="I2210" s="9">
        <f>Q2179</f>
        <v/>
      </c>
      <c r="J2210" s="7">
        <f>I2210*G2210</f>
        <v/>
      </c>
      <c r="K2210" s="8">
        <f>IF($J$2233=0,0,J2210/$J$2233)</f>
        <v/>
      </c>
      <c r="L2210" s="6" t="inlineStr">
        <is>
          <t>REJECTED</t>
        </is>
      </c>
      <c r="M2210" s="8" t="n">
        <v>0</v>
      </c>
      <c r="N2210" s="7">
        <f>M2210*$J$2233-J2210</f>
        <v/>
      </c>
      <c r="O2210" s="9">
        <f>IF(G2210=0,0,N2210/G2210)</f>
        <v/>
      </c>
      <c r="P2210" s="6">
        <f>IF(M2210&gt;0,D2210,"")</f>
        <v/>
      </c>
      <c r="Q2210" s="9">
        <f>I2210+O2210</f>
        <v/>
      </c>
      <c r="R2210" s="7">
        <f>Q2210*G2210</f>
        <v/>
      </c>
      <c r="S2210" s="8">
        <f>IF($R$2233=0,0,R2210/$R$2233)</f>
        <v/>
      </c>
      <c r="T2210" s="8" t="n">
        <v>0.02139141051527815</v>
      </c>
      <c r="U2210" s="8" t="n">
        <v>0.01357873189050651</v>
      </c>
      <c r="V2210" s="6" t="inlineStr">
        <is>
          <t>not selected</t>
        </is>
      </c>
    </row>
    <row r="2211">
      <c r="A2211" s="6" t="inlineStr">
        <is>
          <t>DJ30</t>
        </is>
      </c>
      <c r="B2211" s="6" t="inlineStr">
        <is>
          <t>2024-05-17</t>
        </is>
      </c>
      <c r="C2211" s="6" t="inlineStr">
        <is>
          <t>DIA</t>
        </is>
      </c>
      <c r="D2211" s="6" t="inlineStr">
        <is>
          <t>CVX</t>
        </is>
      </c>
      <c r="E2211" s="6" t="inlineStr">
        <is>
          <t>CVX</t>
        </is>
      </c>
      <c r="F2211" s="6" t="inlineStr">
        <is>
          <t>-</t>
        </is>
      </c>
      <c r="G2211" s="7" t="n">
        <v>149.3477783203125</v>
      </c>
      <c r="H2211" s="6">
        <f>P2180</f>
        <v/>
      </c>
      <c r="I2211" s="9">
        <f>Q2180</f>
        <v/>
      </c>
      <c r="J2211" s="7">
        <f>I2211*G2211</f>
        <v/>
      </c>
      <c r="K2211" s="8">
        <f>IF($J$2233=0,0,J2211/$J$2233)</f>
        <v/>
      </c>
      <c r="L2211" s="6" t="inlineStr">
        <is>
          <t>REJECTED</t>
        </is>
      </c>
      <c r="M2211" s="8" t="n">
        <v>0</v>
      </c>
      <c r="N2211" s="7">
        <f>M2211*$J$2233-J2211</f>
        <v/>
      </c>
      <c r="O2211" s="9">
        <f>IF(G2211=0,0,N2211/G2211)</f>
        <v/>
      </c>
      <c r="P2211" s="6">
        <f>IF(M2211&gt;0,D2211,"")</f>
        <v/>
      </c>
      <c r="Q2211" s="9">
        <f>I2211+O2211</f>
        <v/>
      </c>
      <c r="R2211" s="7">
        <f>Q2211*G2211</f>
        <v/>
      </c>
      <c r="S2211" s="8">
        <f>IF($R$2233=0,0,R2211/$R$2233)</f>
        <v/>
      </c>
      <c r="T2211" s="8" t="n">
        <v>0.02139141051527815</v>
      </c>
      <c r="U2211" s="8" t="n">
        <v>0.01357873189050651</v>
      </c>
      <c r="V2211" s="6" t="inlineStr">
        <is>
          <t>not selected</t>
        </is>
      </c>
    </row>
    <row r="2212">
      <c r="A2212" s="6" t="inlineStr">
        <is>
          <t>DJ30</t>
        </is>
      </c>
      <c r="B2212" s="6" t="inlineStr">
        <is>
          <t>2024-05-17</t>
        </is>
      </c>
      <c r="C2212" s="6" t="inlineStr">
        <is>
          <t>DIA</t>
        </is>
      </c>
      <c r="D2212" s="6" t="inlineStr">
        <is>
          <t>DIS</t>
        </is>
      </c>
      <c r="E2212" s="6" t="inlineStr">
        <is>
          <t>DIS</t>
        </is>
      </c>
      <c r="F2212" s="6" t="inlineStr">
        <is>
          <t>-</t>
        </is>
      </c>
      <c r="G2212" s="7" t="n">
        <v>101.2032241821289</v>
      </c>
      <c r="H2212" s="6">
        <f>P2181</f>
        <v/>
      </c>
      <c r="I2212" s="9">
        <f>Q2181</f>
        <v/>
      </c>
      <c r="J2212" s="7">
        <f>I2212*G2212</f>
        <v/>
      </c>
      <c r="K2212" s="8">
        <f>IF($J$2233=0,0,J2212/$J$2233)</f>
        <v/>
      </c>
      <c r="L2212" s="6" t="inlineStr">
        <is>
          <t>WATCHLIST</t>
        </is>
      </c>
      <c r="M2212" s="8" t="n">
        <v>0</v>
      </c>
      <c r="N2212" s="7">
        <f>M2212*$J$2233-J2212</f>
        <v/>
      </c>
      <c r="O2212" s="9">
        <f>IF(G2212=0,0,N2212/G2212)</f>
        <v/>
      </c>
      <c r="P2212" s="6">
        <f>IF(M2212&gt;0,D2212,"")</f>
        <v/>
      </c>
      <c r="Q2212" s="9">
        <f>I2212+O2212</f>
        <v/>
      </c>
      <c r="R2212" s="7">
        <f>Q2212*G2212</f>
        <v/>
      </c>
      <c r="S2212" s="8">
        <f>IF($R$2233=0,0,R2212/$R$2233)</f>
        <v/>
      </c>
      <c r="T2212" s="8" t="n">
        <v>0.02139141051527815</v>
      </c>
      <c r="U2212" s="8" t="n">
        <v>0.01357873189050651</v>
      </c>
      <c r="V2212" s="6" t="inlineStr">
        <is>
          <t>not selected</t>
        </is>
      </c>
    </row>
    <row r="2213">
      <c r="A2213" s="6" t="inlineStr">
        <is>
          <t>DJ30</t>
        </is>
      </c>
      <c r="B2213" s="6" t="inlineStr">
        <is>
          <t>2024-05-17</t>
        </is>
      </c>
      <c r="C2213" s="6" t="inlineStr">
        <is>
          <t>DIA</t>
        </is>
      </c>
      <c r="D2213" s="6" t="inlineStr">
        <is>
          <t>GS</t>
        </is>
      </c>
      <c r="E2213" s="6" t="inlineStr">
        <is>
          <t>GS</t>
        </is>
      </c>
      <c r="F2213" s="6" t="inlineStr">
        <is>
          <t>-</t>
        </is>
      </c>
      <c r="G2213" s="7" t="n">
        <v>446.3694152832031</v>
      </c>
      <c r="H2213" s="6">
        <f>P2182</f>
        <v/>
      </c>
      <c r="I2213" s="9">
        <f>Q2182</f>
        <v/>
      </c>
      <c r="J2213" s="7">
        <f>I2213*G2213</f>
        <v/>
      </c>
      <c r="K2213" s="8">
        <f>IF($J$2233=0,0,J2213/$J$2233)</f>
        <v/>
      </c>
      <c r="L2213" s="6" t="inlineStr">
        <is>
          <t>WATCHLIST</t>
        </is>
      </c>
      <c r="M2213" s="8" t="n">
        <v>0</v>
      </c>
      <c r="N2213" s="7">
        <f>M2213*$J$2233-J2213</f>
        <v/>
      </c>
      <c r="O2213" s="9">
        <f>IF(G2213=0,0,N2213/G2213)</f>
        <v/>
      </c>
      <c r="P2213" s="6">
        <f>IF(M2213&gt;0,D2213,"")</f>
        <v/>
      </c>
      <c r="Q2213" s="9">
        <f>I2213+O2213</f>
        <v/>
      </c>
      <c r="R2213" s="7">
        <f>Q2213*G2213</f>
        <v/>
      </c>
      <c r="S2213" s="8">
        <f>IF($R$2233=0,0,R2213/$R$2233)</f>
        <v/>
      </c>
      <c r="T2213" s="8" t="n">
        <v>0.02139141051527815</v>
      </c>
      <c r="U2213" s="8" t="n">
        <v>0.01357873189050651</v>
      </c>
      <c r="V2213" s="6" t="inlineStr">
        <is>
          <t>not selected</t>
        </is>
      </c>
    </row>
    <row r="2214">
      <c r="A2214" s="6" t="inlineStr">
        <is>
          <t>DJ30</t>
        </is>
      </c>
      <c r="B2214" s="6" t="inlineStr">
        <is>
          <t>2024-05-17</t>
        </is>
      </c>
      <c r="C2214" s="6" t="inlineStr">
        <is>
          <t>DIA</t>
        </is>
      </c>
      <c r="D2214" s="6" t="inlineStr">
        <is>
          <t>HD</t>
        </is>
      </c>
      <c r="E2214" s="6" t="inlineStr">
        <is>
          <t>HD</t>
        </is>
      </c>
      <c r="F2214" s="6" t="inlineStr">
        <is>
          <t>-</t>
        </is>
      </c>
      <c r="G2214" s="7" t="n">
        <v>325.1397094726562</v>
      </c>
      <c r="H2214" s="6">
        <f>P2183</f>
        <v/>
      </c>
      <c r="I2214" s="9">
        <f>Q2183</f>
        <v/>
      </c>
      <c r="J2214" s="7">
        <f>I2214*G2214</f>
        <v/>
      </c>
      <c r="K2214" s="8">
        <f>IF($J$2233=0,0,J2214/$J$2233)</f>
        <v/>
      </c>
      <c r="L2214" s="6" t="inlineStr">
        <is>
          <t>WATCHLIST</t>
        </is>
      </c>
      <c r="M2214" s="8" t="n">
        <v>0</v>
      </c>
      <c r="N2214" s="7">
        <f>M2214*$J$2233-J2214</f>
        <v/>
      </c>
      <c r="O2214" s="9">
        <f>IF(G2214=0,0,N2214/G2214)</f>
        <v/>
      </c>
      <c r="P2214" s="6">
        <f>IF(M2214&gt;0,D2214,"")</f>
        <v/>
      </c>
      <c r="Q2214" s="9">
        <f>I2214+O2214</f>
        <v/>
      </c>
      <c r="R2214" s="7">
        <f>Q2214*G2214</f>
        <v/>
      </c>
      <c r="S2214" s="8">
        <f>IF($R$2233=0,0,R2214/$R$2233)</f>
        <v/>
      </c>
      <c r="T2214" s="8" t="n">
        <v>0.02139141051527815</v>
      </c>
      <c r="U2214" s="8" t="n">
        <v>0.01357873189050651</v>
      </c>
      <c r="V2214" s="6" t="inlineStr">
        <is>
          <t>not selected</t>
        </is>
      </c>
    </row>
    <row r="2215">
      <c r="A2215" s="6" t="inlineStr">
        <is>
          <t>DJ30</t>
        </is>
      </c>
      <c r="B2215" s="6" t="inlineStr">
        <is>
          <t>2024-05-17</t>
        </is>
      </c>
      <c r="C2215" s="6" t="inlineStr">
        <is>
          <t>DIA</t>
        </is>
      </c>
      <c r="D2215" s="6" t="inlineStr">
        <is>
          <t>HON</t>
        </is>
      </c>
      <c r="E2215" s="6" t="inlineStr">
        <is>
          <t>HON</t>
        </is>
      </c>
      <c r="F2215" s="6" t="inlineStr">
        <is>
          <t>-</t>
        </is>
      </c>
      <c r="G2215" s="7" t="n">
        <v>186.0694580078125</v>
      </c>
      <c r="H2215" s="6">
        <f>P2184</f>
        <v/>
      </c>
      <c r="I2215" s="9">
        <f>Q2184</f>
        <v/>
      </c>
      <c r="J2215" s="7">
        <f>I2215*G2215</f>
        <v/>
      </c>
      <c r="K2215" s="8">
        <f>IF($J$2233=0,0,J2215/$J$2233)</f>
        <v/>
      </c>
      <c r="L2215" s="6" t="inlineStr">
        <is>
          <t>REJECTED</t>
        </is>
      </c>
      <c r="M2215" s="8" t="n">
        <v>0</v>
      </c>
      <c r="N2215" s="7">
        <f>M2215*$J$2233-J2215</f>
        <v/>
      </c>
      <c r="O2215" s="9">
        <f>IF(G2215=0,0,N2215/G2215)</f>
        <v/>
      </c>
      <c r="P2215" s="6">
        <f>IF(M2215&gt;0,D2215,"")</f>
        <v/>
      </c>
      <c r="Q2215" s="9">
        <f>I2215+O2215</f>
        <v/>
      </c>
      <c r="R2215" s="7">
        <f>Q2215*G2215</f>
        <v/>
      </c>
      <c r="S2215" s="8">
        <f>IF($R$2233=0,0,R2215/$R$2233)</f>
        <v/>
      </c>
      <c r="T2215" s="8" t="n">
        <v>0.02139141051527815</v>
      </c>
      <c r="U2215" s="8" t="n">
        <v>0.01357873189050651</v>
      </c>
      <c r="V2215" s="6" t="inlineStr">
        <is>
          <t>not selected</t>
        </is>
      </c>
    </row>
    <row r="2216">
      <c r="A2216" s="6" t="inlineStr">
        <is>
          <t>DJ30</t>
        </is>
      </c>
      <c r="B2216" s="6" t="inlineStr">
        <is>
          <t>2024-05-17</t>
        </is>
      </c>
      <c r="C2216" s="6" t="inlineStr">
        <is>
          <t>DIA</t>
        </is>
      </c>
      <c r="D2216" s="6" t="inlineStr">
        <is>
          <t>IBM</t>
        </is>
      </c>
      <c r="E2216" s="6" t="inlineStr">
        <is>
          <t>IBM</t>
        </is>
      </c>
      <c r="F2216" s="6" t="inlineStr">
        <is>
          <t>-</t>
        </is>
      </c>
      <c r="G2216" s="7" t="n">
        <v>159.9705963134766</v>
      </c>
      <c r="H2216" s="6">
        <f>P2185</f>
        <v/>
      </c>
      <c r="I2216" s="9">
        <f>Q2185</f>
        <v/>
      </c>
      <c r="J2216" s="7">
        <f>I2216*G2216</f>
        <v/>
      </c>
      <c r="K2216" s="8">
        <f>IF($J$2233=0,0,J2216/$J$2233)</f>
        <v/>
      </c>
      <c r="L2216" s="6" t="inlineStr">
        <is>
          <t>SELECTED</t>
        </is>
      </c>
      <c r="M2216" s="8" t="n">
        <v>0.2</v>
      </c>
      <c r="N2216" s="7">
        <f>M2216*$J$2233-J2216</f>
        <v/>
      </c>
      <c r="O2216" s="9">
        <f>IF(G2216=0,0,N2216/G2216)</f>
        <v/>
      </c>
      <c r="P2216" s="6">
        <f>IF(M2216&gt;0,D2216,"")</f>
        <v/>
      </c>
      <c r="Q2216" s="9">
        <f>I2216+O2216</f>
        <v/>
      </c>
      <c r="R2216" s="7">
        <f>Q2216*G2216</f>
        <v/>
      </c>
      <c r="S2216" s="8">
        <f>IF($R$2233=0,0,R2216/$R$2233)</f>
        <v/>
      </c>
      <c r="T2216" s="8" t="n">
        <v>0.02139141051527815</v>
      </c>
      <c r="U2216" s="8" t="n">
        <v>0.01357873189050651</v>
      </c>
      <c r="V2216" s="6" t="inlineStr">
        <is>
          <t>remained in weekly selection</t>
        </is>
      </c>
    </row>
    <row r="2217">
      <c r="A2217" s="6" t="inlineStr">
        <is>
          <t>DJ30</t>
        </is>
      </c>
      <c r="B2217" s="6" t="inlineStr">
        <is>
          <t>2024-05-17</t>
        </is>
      </c>
      <c r="C2217" s="6" t="inlineStr">
        <is>
          <t>DIA</t>
        </is>
      </c>
      <c r="D2217" s="6" t="inlineStr">
        <is>
          <t>JNJ</t>
        </is>
      </c>
      <c r="E2217" s="6" t="inlineStr">
        <is>
          <t>JNJ</t>
        </is>
      </c>
      <c r="F2217" s="6" t="inlineStr">
        <is>
          <t>-</t>
        </is>
      </c>
      <c r="G2217" s="7" t="n">
        <v>144.9382171630859</v>
      </c>
      <c r="H2217" s="6">
        <f>P2186</f>
        <v/>
      </c>
      <c r="I2217" s="9">
        <f>Q2186</f>
        <v/>
      </c>
      <c r="J2217" s="7">
        <f>I2217*G2217</f>
        <v/>
      </c>
      <c r="K2217" s="8">
        <f>IF($J$2233=0,0,J2217/$J$2233)</f>
        <v/>
      </c>
      <c r="L2217" s="6" t="inlineStr">
        <is>
          <t>REJECTED</t>
        </is>
      </c>
      <c r="M2217" s="8" t="n">
        <v>0</v>
      </c>
      <c r="N2217" s="7">
        <f>M2217*$J$2233-J2217</f>
        <v/>
      </c>
      <c r="O2217" s="9">
        <f>IF(G2217=0,0,N2217/G2217)</f>
        <v/>
      </c>
      <c r="P2217" s="6">
        <f>IF(M2217&gt;0,D2217,"")</f>
        <v/>
      </c>
      <c r="Q2217" s="9">
        <f>I2217+O2217</f>
        <v/>
      </c>
      <c r="R2217" s="7">
        <f>Q2217*G2217</f>
        <v/>
      </c>
      <c r="S2217" s="8">
        <f>IF($R$2233=0,0,R2217/$R$2233)</f>
        <v/>
      </c>
      <c r="T2217" s="8" t="n">
        <v>0.02139141051527815</v>
      </c>
      <c r="U2217" s="8" t="n">
        <v>0.01357873189050651</v>
      </c>
      <c r="V2217" s="6" t="inlineStr">
        <is>
          <t>not selected</t>
        </is>
      </c>
    </row>
    <row r="2218">
      <c r="A2218" s="6" t="inlineStr">
        <is>
          <t>DJ30</t>
        </is>
      </c>
      <c r="B2218" s="6" t="inlineStr">
        <is>
          <t>2024-05-17</t>
        </is>
      </c>
      <c r="C2218" s="6" t="inlineStr">
        <is>
          <t>DIA</t>
        </is>
      </c>
      <c r="D2218" s="6" t="inlineStr">
        <is>
          <t>JPM</t>
        </is>
      </c>
      <c r="E2218" s="6" t="inlineStr">
        <is>
          <t>JPM</t>
        </is>
      </c>
      <c r="F2218" s="6" t="inlineStr">
        <is>
          <t>-</t>
        </is>
      </c>
      <c r="G2218" s="7" t="n">
        <v>196.3299407958984</v>
      </c>
      <c r="H2218" s="6">
        <f>P2187</f>
        <v/>
      </c>
      <c r="I2218" s="9">
        <f>Q2187</f>
        <v/>
      </c>
      <c r="J2218" s="7">
        <f>I2218*G2218</f>
        <v/>
      </c>
      <c r="K2218" s="8">
        <f>IF($J$2233=0,0,J2218/$J$2233)</f>
        <v/>
      </c>
      <c r="L2218" s="6" t="inlineStr">
        <is>
          <t>SELECTED</t>
        </is>
      </c>
      <c r="M2218" s="8" t="n">
        <v>0.2</v>
      </c>
      <c r="N2218" s="7">
        <f>M2218*$J$2233-J2218</f>
        <v/>
      </c>
      <c r="O2218" s="9">
        <f>IF(G2218=0,0,N2218/G2218)</f>
        <v/>
      </c>
      <c r="P2218" s="6">
        <f>IF(M2218&gt;0,D2218,"")</f>
        <v/>
      </c>
      <c r="Q2218" s="9">
        <f>I2218+O2218</f>
        <v/>
      </c>
      <c r="R2218" s="7">
        <f>Q2218*G2218</f>
        <v/>
      </c>
      <c r="S2218" s="8">
        <f>IF($R$2233=0,0,R2218/$R$2233)</f>
        <v/>
      </c>
      <c r="T2218" s="8" t="n">
        <v>0.02139141051527815</v>
      </c>
      <c r="U2218" s="8" t="n">
        <v>0.01357873189050651</v>
      </c>
      <c r="V2218" s="6" t="inlineStr">
        <is>
          <t>remained in weekly selection</t>
        </is>
      </c>
    </row>
    <row r="2219">
      <c r="A2219" s="6" t="inlineStr">
        <is>
          <t>DJ30</t>
        </is>
      </c>
      <c r="B2219" s="6" t="inlineStr">
        <is>
          <t>2024-05-17</t>
        </is>
      </c>
      <c r="C2219" s="6" t="inlineStr">
        <is>
          <t>DIA</t>
        </is>
      </c>
      <c r="D2219" s="6" t="inlineStr">
        <is>
          <t>KO</t>
        </is>
      </c>
      <c r="E2219" s="6" t="inlineStr">
        <is>
          <t>KO</t>
        </is>
      </c>
      <c r="F2219" s="6" t="inlineStr">
        <is>
          <t>-</t>
        </is>
      </c>
      <c r="G2219" s="7" t="n">
        <v>59.09395980834961</v>
      </c>
      <c r="H2219" s="6">
        <f>P2188</f>
        <v/>
      </c>
      <c r="I2219" s="9">
        <f>Q2188</f>
        <v/>
      </c>
      <c r="J2219" s="7">
        <f>I2219*G2219</f>
        <v/>
      </c>
      <c r="K2219" s="8">
        <f>IF($J$2233=0,0,J2219/$J$2233)</f>
        <v/>
      </c>
      <c r="L2219" s="6" t="inlineStr">
        <is>
          <t>REJECTED</t>
        </is>
      </c>
      <c r="M2219" s="8" t="n">
        <v>0</v>
      </c>
      <c r="N2219" s="7">
        <f>M2219*$J$2233-J2219</f>
        <v/>
      </c>
      <c r="O2219" s="9">
        <f>IF(G2219=0,0,N2219/G2219)</f>
        <v/>
      </c>
      <c r="P2219" s="6">
        <f>IF(M2219&gt;0,D2219,"")</f>
        <v/>
      </c>
      <c r="Q2219" s="9">
        <f>I2219+O2219</f>
        <v/>
      </c>
      <c r="R2219" s="7">
        <f>Q2219*G2219</f>
        <v/>
      </c>
      <c r="S2219" s="8">
        <f>IF($R$2233=0,0,R2219/$R$2233)</f>
        <v/>
      </c>
      <c r="T2219" s="8" t="n">
        <v>0.02139141051527815</v>
      </c>
      <c r="U2219" s="8" t="n">
        <v>0.01357873189050651</v>
      </c>
      <c r="V2219" s="6" t="inlineStr">
        <is>
          <t>not selected</t>
        </is>
      </c>
    </row>
    <row r="2220">
      <c r="A2220" s="6" t="inlineStr">
        <is>
          <t>DJ30</t>
        </is>
      </c>
      <c r="B2220" s="6" t="inlineStr">
        <is>
          <t>2024-05-17</t>
        </is>
      </c>
      <c r="C2220" s="6" t="inlineStr">
        <is>
          <t>DIA</t>
        </is>
      </c>
      <c r="D2220" s="6" t="inlineStr">
        <is>
          <t>MCD</t>
        </is>
      </c>
      <c r="E2220" s="6" t="inlineStr">
        <is>
          <t>MCD</t>
        </is>
      </c>
      <c r="F2220" s="6" t="inlineStr">
        <is>
          <t>-</t>
        </is>
      </c>
      <c r="G2220" s="7" t="n">
        <v>258.14990234375</v>
      </c>
      <c r="H2220" s="6">
        <f>P2189</f>
        <v/>
      </c>
      <c r="I2220" s="9">
        <f>Q2189</f>
        <v/>
      </c>
      <c r="J2220" s="7">
        <f>I2220*G2220</f>
        <v/>
      </c>
      <c r="K2220" s="8">
        <f>IF($J$2233=0,0,J2220/$J$2233)</f>
        <v/>
      </c>
      <c r="L2220" s="6" t="inlineStr">
        <is>
          <t>REJECTED</t>
        </is>
      </c>
      <c r="M2220" s="8" t="n">
        <v>0</v>
      </c>
      <c r="N2220" s="7">
        <f>M2220*$J$2233-J2220</f>
        <v/>
      </c>
      <c r="O2220" s="9">
        <f>IF(G2220=0,0,N2220/G2220)</f>
        <v/>
      </c>
      <c r="P2220" s="6">
        <f>IF(M2220&gt;0,D2220,"")</f>
        <v/>
      </c>
      <c r="Q2220" s="9">
        <f>I2220+O2220</f>
        <v/>
      </c>
      <c r="R2220" s="7">
        <f>Q2220*G2220</f>
        <v/>
      </c>
      <c r="S2220" s="8">
        <f>IF($R$2233=0,0,R2220/$R$2233)</f>
        <v/>
      </c>
      <c r="T2220" s="8" t="n">
        <v>0.02139141051527815</v>
      </c>
      <c r="U2220" s="8" t="n">
        <v>0.01357873189050651</v>
      </c>
      <c r="V2220" s="6" t="inlineStr">
        <is>
          <t>not selected</t>
        </is>
      </c>
    </row>
    <row r="2221">
      <c r="A2221" s="6" t="inlineStr">
        <is>
          <t>DJ30</t>
        </is>
      </c>
      <c r="B2221" s="6" t="inlineStr">
        <is>
          <t>2024-05-17</t>
        </is>
      </c>
      <c r="C2221" s="6" t="inlineStr">
        <is>
          <t>DIA</t>
        </is>
      </c>
      <c r="D2221" s="6" t="inlineStr">
        <is>
          <t>MMM</t>
        </is>
      </c>
      <c r="E2221" s="6" t="inlineStr">
        <is>
          <t>MMM</t>
        </is>
      </c>
      <c r="F2221" s="6" t="inlineStr">
        <is>
          <t>-</t>
        </is>
      </c>
      <c r="G2221" s="7" t="n">
        <v>100.5336380004883</v>
      </c>
      <c r="H2221" s="6">
        <f>P2190</f>
        <v/>
      </c>
      <c r="I2221" s="9">
        <f>Q2190</f>
        <v/>
      </c>
      <c r="J2221" s="7">
        <f>I2221*G2221</f>
        <v/>
      </c>
      <c r="K2221" s="8">
        <f>IF($J$2233=0,0,J2221/$J$2233)</f>
        <v/>
      </c>
      <c r="L2221" s="6" t="inlineStr">
        <is>
          <t>REJECTED</t>
        </is>
      </c>
      <c r="M2221" s="8" t="n">
        <v>0</v>
      </c>
      <c r="N2221" s="7">
        <f>M2221*$J$2233-J2221</f>
        <v/>
      </c>
      <c r="O2221" s="9">
        <f>IF(G2221=0,0,N2221/G2221)</f>
        <v/>
      </c>
      <c r="P2221" s="6">
        <f>IF(M2221&gt;0,D2221,"")</f>
        <v/>
      </c>
      <c r="Q2221" s="9">
        <f>I2221+O2221</f>
        <v/>
      </c>
      <c r="R2221" s="7">
        <f>Q2221*G2221</f>
        <v/>
      </c>
      <c r="S2221" s="8">
        <f>IF($R$2233=0,0,R2221/$R$2233)</f>
        <v/>
      </c>
      <c r="T2221" s="8" t="n">
        <v>0.02139141051527815</v>
      </c>
      <c r="U2221" s="8" t="n">
        <v>0.01357873189050651</v>
      </c>
      <c r="V2221" s="6" t="inlineStr">
        <is>
          <t>not selected</t>
        </is>
      </c>
    </row>
    <row r="2222">
      <c r="A2222" s="6" t="inlineStr">
        <is>
          <t>DJ30</t>
        </is>
      </c>
      <c r="B2222" s="6" t="inlineStr">
        <is>
          <t>2024-05-17</t>
        </is>
      </c>
      <c r="C2222" s="6" t="inlineStr">
        <is>
          <t>DIA</t>
        </is>
      </c>
      <c r="D2222" s="6" t="inlineStr">
        <is>
          <t>MRK</t>
        </is>
      </c>
      <c r="E2222" s="6" t="inlineStr">
        <is>
          <t>MRK</t>
        </is>
      </c>
      <c r="F2222" s="6" t="inlineStr">
        <is>
          <t>-</t>
        </is>
      </c>
      <c r="G2222" s="7" t="n">
        <v>122.0695953369141</v>
      </c>
      <c r="H2222" s="6">
        <f>P2191</f>
        <v/>
      </c>
      <c r="I2222" s="9">
        <f>Q2191</f>
        <v/>
      </c>
      <c r="J2222" s="7">
        <f>I2222*G2222</f>
        <v/>
      </c>
      <c r="K2222" s="8">
        <f>IF($J$2233=0,0,J2222/$J$2233)</f>
        <v/>
      </c>
      <c r="L2222" s="6" t="inlineStr">
        <is>
          <t>WATCHLIST</t>
        </is>
      </c>
      <c r="M2222" s="8" t="n">
        <v>0</v>
      </c>
      <c r="N2222" s="7">
        <f>M2222*$J$2233-J2222</f>
        <v/>
      </c>
      <c r="O2222" s="9">
        <f>IF(G2222=0,0,N2222/G2222)</f>
        <v/>
      </c>
      <c r="P2222" s="6">
        <f>IF(M2222&gt;0,D2222,"")</f>
        <v/>
      </c>
      <c r="Q2222" s="9">
        <f>I2222+O2222</f>
        <v/>
      </c>
      <c r="R2222" s="7">
        <f>Q2222*G2222</f>
        <v/>
      </c>
      <c r="S2222" s="8">
        <f>IF($R$2233=0,0,R2222/$R$2233)</f>
        <v/>
      </c>
      <c r="T2222" s="8" t="n">
        <v>0.02139141051527815</v>
      </c>
      <c r="U2222" s="8" t="n">
        <v>0.01357873189050651</v>
      </c>
      <c r="V2222" s="6" t="inlineStr">
        <is>
          <t>not selected</t>
        </is>
      </c>
    </row>
    <row r="2223">
      <c r="A2223" s="6" t="inlineStr">
        <is>
          <t>DJ30</t>
        </is>
      </c>
      <c r="B2223" s="6" t="inlineStr">
        <is>
          <t>2024-05-17</t>
        </is>
      </c>
      <c r="C2223" s="6" t="inlineStr">
        <is>
          <t>DIA</t>
        </is>
      </c>
      <c r="D2223" s="6" t="inlineStr">
        <is>
          <t>MSFT</t>
        </is>
      </c>
      <c r="E2223" s="6" t="inlineStr">
        <is>
          <t>MSFT</t>
        </is>
      </c>
      <c r="F2223" s="6" t="inlineStr">
        <is>
          <t>-</t>
        </is>
      </c>
      <c r="G2223" s="7" t="n">
        <v>413.7081909179688</v>
      </c>
      <c r="H2223" s="6">
        <f>P2192</f>
        <v/>
      </c>
      <c r="I2223" s="9">
        <f>Q2192</f>
        <v/>
      </c>
      <c r="J2223" s="7">
        <f>I2223*G2223</f>
        <v/>
      </c>
      <c r="K2223" s="8">
        <f>IF($J$2233=0,0,J2223/$J$2233)</f>
        <v/>
      </c>
      <c r="L2223" s="6" t="inlineStr">
        <is>
          <t>WATCHLIST</t>
        </is>
      </c>
      <c r="M2223" s="8" t="n">
        <v>0</v>
      </c>
      <c r="N2223" s="7">
        <f>M2223*$J$2233-J2223</f>
        <v/>
      </c>
      <c r="O2223" s="9">
        <f>IF(G2223=0,0,N2223/G2223)</f>
        <v/>
      </c>
      <c r="P2223" s="6">
        <f>IF(M2223&gt;0,D2223,"")</f>
        <v/>
      </c>
      <c r="Q2223" s="9">
        <f>I2223+O2223</f>
        <v/>
      </c>
      <c r="R2223" s="7">
        <f>Q2223*G2223</f>
        <v/>
      </c>
      <c r="S2223" s="8">
        <f>IF($R$2233=0,0,R2223/$R$2233)</f>
        <v/>
      </c>
      <c r="T2223" s="8" t="n">
        <v>0.02139141051527815</v>
      </c>
      <c r="U2223" s="8" t="n">
        <v>0.01357873189050651</v>
      </c>
      <c r="V2223" s="6" t="inlineStr">
        <is>
          <t>not selected</t>
        </is>
      </c>
    </row>
    <row r="2224">
      <c r="A2224" s="6" t="inlineStr">
        <is>
          <t>DJ30</t>
        </is>
      </c>
      <c r="B2224" s="6" t="inlineStr">
        <is>
          <t>2024-05-17</t>
        </is>
      </c>
      <c r="C2224" s="6" t="inlineStr">
        <is>
          <t>DIA</t>
        </is>
      </c>
      <c r="D2224" s="6" t="inlineStr">
        <is>
          <t>NKE</t>
        </is>
      </c>
      <c r="E2224" s="6" t="inlineStr">
        <is>
          <t>NKE</t>
        </is>
      </c>
      <c r="F2224" s="6" t="inlineStr">
        <is>
          <t>-</t>
        </is>
      </c>
      <c r="G2224" s="7" t="n">
        <v>87.49291229248047</v>
      </c>
      <c r="H2224" s="6">
        <f>P2193</f>
        <v/>
      </c>
      <c r="I2224" s="9">
        <f>Q2193</f>
        <v/>
      </c>
      <c r="J2224" s="7">
        <f>I2224*G2224</f>
        <v/>
      </c>
      <c r="K2224" s="8">
        <f>IF($J$2233=0,0,J2224/$J$2233)</f>
        <v/>
      </c>
      <c r="L2224" s="6" t="inlineStr">
        <is>
          <t>REJECTED</t>
        </is>
      </c>
      <c r="M2224" s="8" t="n">
        <v>0</v>
      </c>
      <c r="N2224" s="7">
        <f>M2224*$J$2233-J2224</f>
        <v/>
      </c>
      <c r="O2224" s="9">
        <f>IF(G2224=0,0,N2224/G2224)</f>
        <v/>
      </c>
      <c r="P2224" s="6">
        <f>IF(M2224&gt;0,D2224,"")</f>
        <v/>
      </c>
      <c r="Q2224" s="9">
        <f>I2224+O2224</f>
        <v/>
      </c>
      <c r="R2224" s="7">
        <f>Q2224*G2224</f>
        <v/>
      </c>
      <c r="S2224" s="8">
        <f>IF($R$2233=0,0,R2224/$R$2233)</f>
        <v/>
      </c>
      <c r="T2224" s="8" t="n">
        <v>0.02139141051527815</v>
      </c>
      <c r="U2224" s="8" t="n">
        <v>0.01357873189050651</v>
      </c>
      <c r="V2224" s="6" t="inlineStr">
        <is>
          <t>not selected</t>
        </is>
      </c>
    </row>
    <row r="2225">
      <c r="A2225" s="6" t="inlineStr">
        <is>
          <t>DJ30</t>
        </is>
      </c>
      <c r="B2225" s="6" t="inlineStr">
        <is>
          <t>2024-05-17</t>
        </is>
      </c>
      <c r="C2225" s="6" t="inlineStr">
        <is>
          <t>DIA</t>
        </is>
      </c>
      <c r="D2225" s="6" t="inlineStr">
        <is>
          <t>NVDA</t>
        </is>
      </c>
      <c r="E2225" s="6" t="inlineStr">
        <is>
          <t>NVDA</t>
        </is>
      </c>
      <c r="F2225" s="6" t="inlineStr">
        <is>
          <t>-</t>
        </is>
      </c>
      <c r="G2225" s="7" t="n">
        <v>92.31924438476562</v>
      </c>
      <c r="H2225" s="6">
        <f>P2194</f>
        <v/>
      </c>
      <c r="I2225" s="9">
        <f>Q2194</f>
        <v/>
      </c>
      <c r="J2225" s="7">
        <f>I2225*G2225</f>
        <v/>
      </c>
      <c r="K2225" s="8">
        <f>IF($J$2233=0,0,J2225/$J$2233)</f>
        <v/>
      </c>
      <c r="L2225" s="6" t="inlineStr">
        <is>
          <t>SELECTED</t>
        </is>
      </c>
      <c r="M2225" s="8" t="n">
        <v>0.2</v>
      </c>
      <c r="N2225" s="7">
        <f>M2225*$J$2233-J2225</f>
        <v/>
      </c>
      <c r="O2225" s="9">
        <f>IF(G2225=0,0,N2225/G2225)</f>
        <v/>
      </c>
      <c r="P2225" s="6">
        <f>IF(M2225&gt;0,D2225,"")</f>
        <v/>
      </c>
      <c r="Q2225" s="9">
        <f>I2225+O2225</f>
        <v/>
      </c>
      <c r="R2225" s="7">
        <f>Q2225*G2225</f>
        <v/>
      </c>
      <c r="S2225" s="8">
        <f>IF($R$2233=0,0,R2225/$R$2233)</f>
        <v/>
      </c>
      <c r="T2225" s="8" t="n">
        <v>0.02139141051527815</v>
      </c>
      <c r="U2225" s="8" t="n">
        <v>0.01357873189050651</v>
      </c>
      <c r="V2225" s="6" t="inlineStr">
        <is>
          <t>remained in weekly selection</t>
        </is>
      </c>
    </row>
    <row r="2226">
      <c r="A2226" s="6" t="inlineStr">
        <is>
          <t>DJ30</t>
        </is>
      </c>
      <c r="B2226" s="6" t="inlineStr">
        <is>
          <t>2024-05-17</t>
        </is>
      </c>
      <c r="C2226" s="6" t="inlineStr">
        <is>
          <t>DIA</t>
        </is>
      </c>
      <c r="D2226" s="6" t="inlineStr">
        <is>
          <t>PG</t>
        </is>
      </c>
      <c r="E2226" s="6" t="inlineStr">
        <is>
          <t>PG</t>
        </is>
      </c>
      <c r="F2226" s="6" t="inlineStr">
        <is>
          <t>-</t>
        </is>
      </c>
      <c r="G2226" s="7" t="n">
        <v>159.0639343261719</v>
      </c>
      <c r="H2226" s="6">
        <f>P2195</f>
        <v/>
      </c>
      <c r="I2226" s="9">
        <f>Q2195</f>
        <v/>
      </c>
      <c r="J2226" s="7">
        <f>I2226*G2226</f>
        <v/>
      </c>
      <c r="K2226" s="8">
        <f>IF($J$2233=0,0,J2226/$J$2233)</f>
        <v/>
      </c>
      <c r="L2226" s="6" t="inlineStr">
        <is>
          <t>WATCHLIST</t>
        </is>
      </c>
      <c r="M2226" s="8" t="n">
        <v>0</v>
      </c>
      <c r="N2226" s="7">
        <f>M2226*$J$2233-J2226</f>
        <v/>
      </c>
      <c r="O2226" s="9">
        <f>IF(G2226=0,0,N2226/G2226)</f>
        <v/>
      </c>
      <c r="P2226" s="6">
        <f>IF(M2226&gt;0,D2226,"")</f>
        <v/>
      </c>
      <c r="Q2226" s="9">
        <f>I2226+O2226</f>
        <v/>
      </c>
      <c r="R2226" s="7">
        <f>Q2226*G2226</f>
        <v/>
      </c>
      <c r="S2226" s="8">
        <f>IF($R$2233=0,0,R2226/$R$2233)</f>
        <v/>
      </c>
      <c r="T2226" s="8" t="n">
        <v>0.02139141051527815</v>
      </c>
      <c r="U2226" s="8" t="n">
        <v>0.01357873189050651</v>
      </c>
      <c r="V2226" s="6" t="inlineStr">
        <is>
          <t>not selected</t>
        </is>
      </c>
    </row>
    <row r="2227">
      <c r="A2227" s="6" t="inlineStr">
        <is>
          <t>DJ30</t>
        </is>
      </c>
      <c r="B2227" s="6" t="inlineStr">
        <is>
          <t>2024-05-17</t>
        </is>
      </c>
      <c r="C2227" s="6" t="inlineStr">
        <is>
          <t>DIA</t>
        </is>
      </c>
      <c r="D2227" s="6" t="inlineStr">
        <is>
          <t>SHW</t>
        </is>
      </c>
      <c r="E2227" s="6" t="inlineStr">
        <is>
          <t>SHW</t>
        </is>
      </c>
      <c r="F2227" s="6" t="inlineStr">
        <is>
          <t>-</t>
        </is>
      </c>
      <c r="G2227" s="7" t="n">
        <v>306.9753723144531</v>
      </c>
      <c r="H2227" s="6">
        <f>P2196</f>
        <v/>
      </c>
      <c r="I2227" s="9">
        <f>Q2196</f>
        <v/>
      </c>
      <c r="J2227" s="7">
        <f>I2227*G2227</f>
        <v/>
      </c>
      <c r="K2227" s="8">
        <f>IF($J$2233=0,0,J2227/$J$2233)</f>
        <v/>
      </c>
      <c r="L2227" s="6" t="inlineStr">
        <is>
          <t>WATCHLIST</t>
        </is>
      </c>
      <c r="M2227" s="8" t="n">
        <v>0</v>
      </c>
      <c r="N2227" s="7">
        <f>M2227*$J$2233-J2227</f>
        <v/>
      </c>
      <c r="O2227" s="9">
        <f>IF(G2227=0,0,N2227/G2227)</f>
        <v/>
      </c>
      <c r="P2227" s="6">
        <f>IF(M2227&gt;0,D2227,"")</f>
        <v/>
      </c>
      <c r="Q2227" s="9">
        <f>I2227+O2227</f>
        <v/>
      </c>
      <c r="R2227" s="7">
        <f>Q2227*G2227</f>
        <v/>
      </c>
      <c r="S2227" s="8">
        <f>IF($R$2233=0,0,R2227/$R$2233)</f>
        <v/>
      </c>
      <c r="T2227" s="8" t="n">
        <v>0.02139141051527815</v>
      </c>
      <c r="U2227" s="8" t="n">
        <v>0.01357873189050651</v>
      </c>
      <c r="V2227" s="6" t="inlineStr">
        <is>
          <t>not selected</t>
        </is>
      </c>
    </row>
    <row r="2228">
      <c r="A2228" s="6" t="inlineStr">
        <is>
          <t>DJ30</t>
        </is>
      </c>
      <c r="B2228" s="6" t="inlineStr">
        <is>
          <t>2024-05-17</t>
        </is>
      </c>
      <c r="C2228" s="6" t="inlineStr">
        <is>
          <t>DIA</t>
        </is>
      </c>
      <c r="D2228" s="6" t="inlineStr">
        <is>
          <t>TRV</t>
        </is>
      </c>
      <c r="E2228" s="6" t="inlineStr">
        <is>
          <t>TRV</t>
        </is>
      </c>
      <c r="F2228" s="6" t="inlineStr">
        <is>
          <t>-</t>
        </is>
      </c>
      <c r="G2228" s="7" t="n">
        <v>211.63037109375</v>
      </c>
      <c r="H2228" s="6">
        <f>P2197</f>
        <v/>
      </c>
      <c r="I2228" s="9">
        <f>Q2197</f>
        <v/>
      </c>
      <c r="J2228" s="7">
        <f>I2228*G2228</f>
        <v/>
      </c>
      <c r="K2228" s="8">
        <f>IF($J$2233=0,0,J2228/$J$2233)</f>
        <v/>
      </c>
      <c r="L2228" s="6" t="inlineStr">
        <is>
          <t>WATCHLIST</t>
        </is>
      </c>
      <c r="M2228" s="8" t="n">
        <v>0</v>
      </c>
      <c r="N2228" s="7">
        <f>M2228*$J$2233-J2228</f>
        <v/>
      </c>
      <c r="O2228" s="9">
        <f>IF(G2228=0,0,N2228/G2228)</f>
        <v/>
      </c>
      <c r="P2228" s="6">
        <f>IF(M2228&gt;0,D2228,"")</f>
        <v/>
      </c>
      <c r="Q2228" s="9">
        <f>I2228+O2228</f>
        <v/>
      </c>
      <c r="R2228" s="7">
        <f>Q2228*G2228</f>
        <v/>
      </c>
      <c r="S2228" s="8">
        <f>IF($R$2233=0,0,R2228/$R$2233)</f>
        <v/>
      </c>
      <c r="T2228" s="8" t="n">
        <v>0.02139141051527815</v>
      </c>
      <c r="U2228" s="8" t="n">
        <v>0.01357873189050651</v>
      </c>
      <c r="V2228" s="6" t="inlineStr">
        <is>
          <t>not selected</t>
        </is>
      </c>
    </row>
    <row r="2229">
      <c r="A2229" s="6" t="inlineStr">
        <is>
          <t>DJ30</t>
        </is>
      </c>
      <c r="B2229" s="6" t="inlineStr">
        <is>
          <t>2024-05-17</t>
        </is>
      </c>
      <c r="C2229" s="6" t="inlineStr">
        <is>
          <t>DIA</t>
        </is>
      </c>
      <c r="D2229" s="6" t="inlineStr">
        <is>
          <t>UNH</t>
        </is>
      </c>
      <c r="E2229" s="6" t="inlineStr">
        <is>
          <t>UNH</t>
        </is>
      </c>
      <c r="F2229" s="6" t="inlineStr">
        <is>
          <t>-</t>
        </is>
      </c>
      <c r="G2229" s="7" t="n">
        <v>499.3585815429688</v>
      </c>
      <c r="H2229" s="6">
        <f>P2198</f>
        <v/>
      </c>
      <c r="I2229" s="9">
        <f>Q2198</f>
        <v/>
      </c>
      <c r="J2229" s="7">
        <f>I2229*G2229</f>
        <v/>
      </c>
      <c r="K2229" s="8">
        <f>IF($J$2233=0,0,J2229/$J$2233)</f>
        <v/>
      </c>
      <c r="L2229" s="6" t="inlineStr">
        <is>
          <t>REJECTED</t>
        </is>
      </c>
      <c r="M2229" s="8" t="n">
        <v>0</v>
      </c>
      <c r="N2229" s="7">
        <f>M2229*$J$2233-J2229</f>
        <v/>
      </c>
      <c r="O2229" s="9">
        <f>IF(G2229=0,0,N2229/G2229)</f>
        <v/>
      </c>
      <c r="P2229" s="6">
        <f>IF(M2229&gt;0,D2229,"")</f>
        <v/>
      </c>
      <c r="Q2229" s="9">
        <f>I2229+O2229</f>
        <v/>
      </c>
      <c r="R2229" s="7">
        <f>Q2229*G2229</f>
        <v/>
      </c>
      <c r="S2229" s="8">
        <f>IF($R$2233=0,0,R2229/$R$2233)</f>
        <v/>
      </c>
      <c r="T2229" s="8" t="n">
        <v>0.02139141051527815</v>
      </c>
      <c r="U2229" s="8" t="n">
        <v>0.01357873189050651</v>
      </c>
      <c r="V2229" s="6" t="inlineStr">
        <is>
          <t>not selected</t>
        </is>
      </c>
    </row>
    <row r="2230">
      <c r="A2230" s="6" t="inlineStr">
        <is>
          <t>DJ30</t>
        </is>
      </c>
      <c r="B2230" s="6" t="inlineStr">
        <is>
          <t>2024-05-17</t>
        </is>
      </c>
      <c r="C2230" s="6" t="inlineStr">
        <is>
          <t>DIA</t>
        </is>
      </c>
      <c r="D2230" s="6" t="inlineStr">
        <is>
          <t>V</t>
        </is>
      </c>
      <c r="E2230" s="6" t="inlineStr">
        <is>
          <t>V</t>
        </is>
      </c>
      <c r="F2230" s="6" t="inlineStr">
        <is>
          <t>-</t>
        </is>
      </c>
      <c r="G2230" s="7" t="n">
        <v>275.8992004394531</v>
      </c>
      <c r="H2230" s="6">
        <f>P2199</f>
        <v/>
      </c>
      <c r="I2230" s="9">
        <f>Q2199</f>
        <v/>
      </c>
      <c r="J2230" s="7">
        <f>I2230*G2230</f>
        <v/>
      </c>
      <c r="K2230" s="8">
        <f>IF($J$2233=0,0,J2230/$J$2233)</f>
        <v/>
      </c>
      <c r="L2230" s="6" t="inlineStr">
        <is>
          <t>WATCHLIST</t>
        </is>
      </c>
      <c r="M2230" s="8" t="n">
        <v>0</v>
      </c>
      <c r="N2230" s="7">
        <f>M2230*$J$2233-J2230</f>
        <v/>
      </c>
      <c r="O2230" s="9">
        <f>IF(G2230=0,0,N2230/G2230)</f>
        <v/>
      </c>
      <c r="P2230" s="6">
        <f>IF(M2230&gt;0,D2230,"")</f>
        <v/>
      </c>
      <c r="Q2230" s="9">
        <f>I2230+O2230</f>
        <v/>
      </c>
      <c r="R2230" s="7">
        <f>Q2230*G2230</f>
        <v/>
      </c>
      <c r="S2230" s="8">
        <f>IF($R$2233=0,0,R2230/$R$2233)</f>
        <v/>
      </c>
      <c r="T2230" s="8" t="n">
        <v>0.02139141051527815</v>
      </c>
      <c r="U2230" s="8" t="n">
        <v>0.01357873189050651</v>
      </c>
      <c r="V2230" s="6" t="inlineStr">
        <is>
          <t>not selected</t>
        </is>
      </c>
    </row>
    <row r="2231">
      <c r="A2231" s="6" t="inlineStr">
        <is>
          <t>DJ30</t>
        </is>
      </c>
      <c r="B2231" s="6" t="inlineStr">
        <is>
          <t>2024-05-17</t>
        </is>
      </c>
      <c r="C2231" s="6" t="inlineStr">
        <is>
          <t>DIA</t>
        </is>
      </c>
      <c r="D2231" s="6" t="inlineStr">
        <is>
          <t>VZ</t>
        </is>
      </c>
      <c r="E2231" s="6" t="inlineStr">
        <is>
          <t>VZ</t>
        </is>
      </c>
      <c r="F2231" s="6" t="inlineStr">
        <is>
          <t>-</t>
        </is>
      </c>
      <c r="G2231" s="7" t="n">
        <v>35.16120529174805</v>
      </c>
      <c r="H2231" s="6">
        <f>P2200</f>
        <v/>
      </c>
      <c r="I2231" s="9">
        <f>Q2200</f>
        <v/>
      </c>
      <c r="J2231" s="7">
        <f>I2231*G2231</f>
        <v/>
      </c>
      <c r="K2231" s="8">
        <f>IF($J$2233=0,0,J2231/$J$2233)</f>
        <v/>
      </c>
      <c r="L2231" s="6" t="inlineStr">
        <is>
          <t>WATCHLIST</t>
        </is>
      </c>
      <c r="M2231" s="8" t="n">
        <v>0</v>
      </c>
      <c r="N2231" s="7">
        <f>M2231*$J$2233-J2231</f>
        <v/>
      </c>
      <c r="O2231" s="9">
        <f>IF(G2231=0,0,N2231/G2231)</f>
        <v/>
      </c>
      <c r="P2231" s="6">
        <f>IF(M2231&gt;0,D2231,"")</f>
        <v/>
      </c>
      <c r="Q2231" s="9">
        <f>I2231+O2231</f>
        <v/>
      </c>
      <c r="R2231" s="7">
        <f>Q2231*G2231</f>
        <v/>
      </c>
      <c r="S2231" s="8">
        <f>IF($R$2233=0,0,R2231/$R$2233)</f>
        <v/>
      </c>
      <c r="T2231" s="8" t="n">
        <v>0.02139141051527815</v>
      </c>
      <c r="U2231" s="8" t="n">
        <v>0.01357873189050651</v>
      </c>
      <c r="V2231" s="6" t="inlineStr">
        <is>
          <t>not selected</t>
        </is>
      </c>
    </row>
    <row r="2232">
      <c r="A2232" s="6" t="inlineStr">
        <is>
          <t>DJ30</t>
        </is>
      </c>
      <c r="B2232" s="6" t="inlineStr">
        <is>
          <t>2024-05-17</t>
        </is>
      </c>
      <c r="C2232" s="6" t="inlineStr">
        <is>
          <t>DIA</t>
        </is>
      </c>
      <c r="D2232" s="6" t="inlineStr">
        <is>
          <t>WMT</t>
        </is>
      </c>
      <c r="E2232" s="6" t="inlineStr">
        <is>
          <t>WMT</t>
        </is>
      </c>
      <c r="F2232" s="6" t="inlineStr">
        <is>
          <t>-</t>
        </is>
      </c>
      <c r="G2232" s="7" t="n">
        <v>63.46226501464844</v>
      </c>
      <c r="H2232" s="6">
        <f>P2201</f>
        <v/>
      </c>
      <c r="I2232" s="9">
        <f>Q2201</f>
        <v/>
      </c>
      <c r="J2232" s="7">
        <f>I2232*G2232</f>
        <v/>
      </c>
      <c r="K2232" s="8">
        <f>IF($J$2233=0,0,J2232/$J$2233)</f>
        <v/>
      </c>
      <c r="L2232" s="6" t="inlineStr">
        <is>
          <t>WATCHLIST</t>
        </is>
      </c>
      <c r="M2232" s="8" t="n">
        <v>0</v>
      </c>
      <c r="N2232" s="7">
        <f>M2232*$J$2233-J2232</f>
        <v/>
      </c>
      <c r="O2232" s="9">
        <f>IF(G2232=0,0,N2232/G2232)</f>
        <v/>
      </c>
      <c r="P2232" s="6">
        <f>IF(M2232&gt;0,D2232,"")</f>
        <v/>
      </c>
      <c r="Q2232" s="9">
        <f>I2232+O2232</f>
        <v/>
      </c>
      <c r="R2232" s="7">
        <f>Q2232*G2232</f>
        <v/>
      </c>
      <c r="S2232" s="8">
        <f>IF($R$2233=0,0,R2232/$R$2233)</f>
        <v/>
      </c>
      <c r="T2232" s="8" t="n">
        <v>0.02139141051527815</v>
      </c>
      <c r="U2232" s="8" t="n">
        <v>0.01357873189050651</v>
      </c>
      <c r="V2232" s="6" t="inlineStr">
        <is>
          <t>not selected</t>
        </is>
      </c>
    </row>
    <row r="2233">
      <c r="A2233" s="10" t="inlineStr">
        <is>
          <t>DJ30</t>
        </is>
      </c>
      <c r="B2233" s="10" t="inlineStr">
        <is>
          <t>2024-05-17</t>
        </is>
      </c>
      <c r="C2233" s="10" t="inlineStr">
        <is>
          <t>DIA</t>
        </is>
      </c>
      <c r="D2233" s="10" t="inlineStr">
        <is>
          <t>Tot Portfolio</t>
        </is>
      </c>
      <c r="E2233" s="10" t="inlineStr"/>
      <c r="F2233" s="10" t="inlineStr"/>
      <c r="G2233" s="11" t="inlineStr"/>
      <c r="H2233" s="10" t="inlineStr"/>
      <c r="I2233" s="12" t="inlineStr"/>
      <c r="J2233" s="11">
        <f>SUM(J2203:J2232)</f>
        <v/>
      </c>
      <c r="K2233" s="13">
        <f>SUM(K2203:K2232)</f>
        <v/>
      </c>
      <c r="L2233" s="10" t="inlineStr">
        <is>
          <t>TOTAL</t>
        </is>
      </c>
      <c r="M2233" s="13">
        <f>SUM(M2203:M2232)</f>
        <v/>
      </c>
      <c r="N2233" s="11">
        <f>SUM(N2203:N2232)</f>
        <v/>
      </c>
      <c r="O2233" s="12">
        <f>SUM(O2203:O2232)</f>
        <v/>
      </c>
      <c r="P2233" s="10" t="inlineStr"/>
      <c r="Q2233" s="12" t="inlineStr"/>
      <c r="R2233" s="11">
        <f>SUM(R2203:R2232)</f>
        <v/>
      </c>
      <c r="S2233" s="13">
        <f>SUM(S2203:S2232)</f>
        <v/>
      </c>
      <c r="T2233" s="13" t="n">
        <v>0.02139141051527815</v>
      </c>
      <c r="U2233" s="13" t="n">
        <v>0.01357873189050651</v>
      </c>
      <c r="V2233" s="10" t="inlineStr"/>
    </row>
    <row r="2234">
      <c r="A2234" s="6" t="inlineStr">
        <is>
          <t>DJ30</t>
        </is>
      </c>
      <c r="B2234" s="6" t="inlineStr">
        <is>
          <t>2024-05-24</t>
        </is>
      </c>
      <c r="C2234" s="6" t="inlineStr">
        <is>
          <t>DIA</t>
        </is>
      </c>
      <c r="D2234" s="6" t="inlineStr">
        <is>
          <t>AAPL</t>
        </is>
      </c>
      <c r="E2234" s="6" t="inlineStr">
        <is>
          <t>AAPL</t>
        </is>
      </c>
      <c r="F2234" s="6" t="inlineStr">
        <is>
          <t>-</t>
        </is>
      </c>
      <c r="G2234" s="7" t="n">
        <v>188.3484497070312</v>
      </c>
      <c r="H2234" s="6">
        <f>P2203</f>
        <v/>
      </c>
      <c r="I2234" s="9">
        <f>Q2203</f>
        <v/>
      </c>
      <c r="J2234" s="7">
        <f>I2234*G2234</f>
        <v/>
      </c>
      <c r="K2234" s="8">
        <f>IF($J$2264=0,0,J2234/$J$2264)</f>
        <v/>
      </c>
      <c r="L2234" s="6" t="inlineStr">
        <is>
          <t>REJECTED</t>
        </is>
      </c>
      <c r="M2234" s="8" t="n">
        <v>0</v>
      </c>
      <c r="N2234" s="7">
        <f>M2234*$J$2264-J2234</f>
        <v/>
      </c>
      <c r="O2234" s="9">
        <f>IF(G2234=0,0,N2234/G2234)</f>
        <v/>
      </c>
      <c r="P2234" s="6">
        <f>IF(M2234&gt;0,D2234,"")</f>
        <v/>
      </c>
      <c r="Q2234" s="9">
        <f>I2234+O2234</f>
        <v/>
      </c>
      <c r="R2234" s="7">
        <f>Q2234*G2234</f>
        <v/>
      </c>
      <c r="S2234" s="8">
        <f>IF($R$2264=0,0,R2234/$R$2264)</f>
        <v/>
      </c>
      <c r="T2234" s="8" t="n">
        <v>0.01460706195400574</v>
      </c>
      <c r="U2234" s="8" t="n">
        <v>-0.02327812559533604</v>
      </c>
      <c r="V2234" s="6" t="inlineStr">
        <is>
          <t>not selected</t>
        </is>
      </c>
    </row>
    <row r="2235">
      <c r="A2235" s="6" t="inlineStr">
        <is>
          <t>DJ30</t>
        </is>
      </c>
      <c r="B2235" s="6" t="inlineStr">
        <is>
          <t>2024-05-24</t>
        </is>
      </c>
      <c r="C2235" s="6" t="inlineStr">
        <is>
          <t>DIA</t>
        </is>
      </c>
      <c r="D2235" s="6" t="inlineStr">
        <is>
          <t>AMGN</t>
        </is>
      </c>
      <c r="E2235" s="6" t="inlineStr">
        <is>
          <t>AMGN</t>
        </is>
      </c>
      <c r="F2235" s="6" t="inlineStr">
        <is>
          <t>-</t>
        </is>
      </c>
      <c r="G2235" s="7" t="n">
        <v>287.6366577148437</v>
      </c>
      <c r="H2235" s="6">
        <f>P2204</f>
        <v/>
      </c>
      <c r="I2235" s="9">
        <f>Q2204</f>
        <v/>
      </c>
      <c r="J2235" s="7">
        <f>I2235*G2235</f>
        <v/>
      </c>
      <c r="K2235" s="8">
        <f>IF($J$2264=0,0,J2235/$J$2264)</f>
        <v/>
      </c>
      <c r="L2235" s="6" t="inlineStr">
        <is>
          <t>WATCHLIST</t>
        </is>
      </c>
      <c r="M2235" s="8" t="n">
        <v>0</v>
      </c>
      <c r="N2235" s="7">
        <f>M2235*$J$2264-J2235</f>
        <v/>
      </c>
      <c r="O2235" s="9">
        <f>IF(G2235=0,0,N2235/G2235)</f>
        <v/>
      </c>
      <c r="P2235" s="6">
        <f>IF(M2235&gt;0,D2235,"")</f>
        <v/>
      </c>
      <c r="Q2235" s="9">
        <f>I2235+O2235</f>
        <v/>
      </c>
      <c r="R2235" s="7">
        <f>Q2235*G2235</f>
        <v/>
      </c>
      <c r="S2235" s="8">
        <f>IF($R$2264=0,0,R2235/$R$2264)</f>
        <v/>
      </c>
      <c r="T2235" s="8" t="n">
        <v>0.01460706195400574</v>
      </c>
      <c r="U2235" s="8" t="n">
        <v>-0.02327812559533604</v>
      </c>
      <c r="V2235" s="6" t="inlineStr">
        <is>
          <t>not selected</t>
        </is>
      </c>
    </row>
    <row r="2236">
      <c r="A2236" s="6" t="inlineStr">
        <is>
          <t>DJ30</t>
        </is>
      </c>
      <c r="B2236" s="6" t="inlineStr">
        <is>
          <t>2024-05-24</t>
        </is>
      </c>
      <c r="C2236" s="6" t="inlineStr">
        <is>
          <t>DIA</t>
        </is>
      </c>
      <c r="D2236" s="6" t="inlineStr">
        <is>
          <t>AMZN</t>
        </is>
      </c>
      <c r="E2236" s="6" t="inlineStr">
        <is>
          <t>AMZN</t>
        </is>
      </c>
      <c r="F2236" s="6" t="inlineStr">
        <is>
          <t>-</t>
        </is>
      </c>
      <c r="G2236" s="7" t="n">
        <v>180.75</v>
      </c>
      <c r="H2236" s="6">
        <f>P2205</f>
        <v/>
      </c>
      <c r="I2236" s="9">
        <f>Q2205</f>
        <v/>
      </c>
      <c r="J2236" s="7">
        <f>I2236*G2236</f>
        <v/>
      </c>
      <c r="K2236" s="8">
        <f>IF($J$2264=0,0,J2236/$J$2264)</f>
        <v/>
      </c>
      <c r="L2236" s="6" t="inlineStr">
        <is>
          <t>SELECTED</t>
        </is>
      </c>
      <c r="M2236" s="8" t="n">
        <v>0.2</v>
      </c>
      <c r="N2236" s="7">
        <f>M2236*$J$2264-J2236</f>
        <v/>
      </c>
      <c r="O2236" s="9">
        <f>IF(G2236=0,0,N2236/G2236)</f>
        <v/>
      </c>
      <c r="P2236" s="6">
        <f>IF(M2236&gt;0,D2236,"")</f>
        <v/>
      </c>
      <c r="Q2236" s="9">
        <f>I2236+O2236</f>
        <v/>
      </c>
      <c r="R2236" s="7">
        <f>Q2236*G2236</f>
        <v/>
      </c>
      <c r="S2236" s="8">
        <f>IF($R$2264=0,0,R2236/$R$2264)</f>
        <v/>
      </c>
      <c r="T2236" s="8" t="n">
        <v>0.01460706195400574</v>
      </c>
      <c r="U2236" s="8" t="n">
        <v>-0.02327812559533604</v>
      </c>
      <c r="V2236" s="6" t="inlineStr">
        <is>
          <t>entered weekly selection</t>
        </is>
      </c>
    </row>
    <row r="2237">
      <c r="A2237" s="6" t="inlineStr">
        <is>
          <t>DJ30</t>
        </is>
      </c>
      <c r="B2237" s="6" t="inlineStr">
        <is>
          <t>2024-05-24</t>
        </is>
      </c>
      <c r="C2237" s="6" t="inlineStr">
        <is>
          <t>DIA</t>
        </is>
      </c>
      <c r="D2237" s="6" t="inlineStr">
        <is>
          <t>AXP</t>
        </is>
      </c>
      <c r="E2237" s="6" t="inlineStr">
        <is>
          <t>AXP</t>
        </is>
      </c>
      <c r="F2237" s="6" t="inlineStr">
        <is>
          <t>-</t>
        </is>
      </c>
      <c r="G2237" s="7" t="n">
        <v>233.0732421875</v>
      </c>
      <c r="H2237" s="6">
        <f>P2206</f>
        <v/>
      </c>
      <c r="I2237" s="9">
        <f>Q2206</f>
        <v/>
      </c>
      <c r="J2237" s="7">
        <f>I2237*G2237</f>
        <v/>
      </c>
      <c r="K2237" s="8">
        <f>IF($J$2264=0,0,J2237/$J$2264)</f>
        <v/>
      </c>
      <c r="L2237" s="6" t="inlineStr">
        <is>
          <t>WATCHLIST</t>
        </is>
      </c>
      <c r="M2237" s="8" t="n">
        <v>0</v>
      </c>
      <c r="N2237" s="7">
        <f>M2237*$J$2264-J2237</f>
        <v/>
      </c>
      <c r="O2237" s="9">
        <f>IF(G2237=0,0,N2237/G2237)</f>
        <v/>
      </c>
      <c r="P2237" s="6">
        <f>IF(M2237&gt;0,D2237,"")</f>
        <v/>
      </c>
      <c r="Q2237" s="9">
        <f>I2237+O2237</f>
        <v/>
      </c>
      <c r="R2237" s="7">
        <f>Q2237*G2237</f>
        <v/>
      </c>
      <c r="S2237" s="8">
        <f>IF($R$2264=0,0,R2237/$R$2264)</f>
        <v/>
      </c>
      <c r="T2237" s="8" t="n">
        <v>0.01460706195400574</v>
      </c>
      <c r="U2237" s="8" t="n">
        <v>-0.02327812559533604</v>
      </c>
      <c r="V2237" s="6" t="inlineStr">
        <is>
          <t>not selected</t>
        </is>
      </c>
    </row>
    <row r="2238">
      <c r="A2238" s="6" t="inlineStr">
        <is>
          <t>DJ30</t>
        </is>
      </c>
      <c r="B2238" s="6" t="inlineStr">
        <is>
          <t>2024-05-24</t>
        </is>
      </c>
      <c r="C2238" s="6" t="inlineStr">
        <is>
          <t>DIA</t>
        </is>
      </c>
      <c r="D2238" s="6" t="inlineStr">
        <is>
          <t>BA</t>
        </is>
      </c>
      <c r="E2238" s="6" t="inlineStr">
        <is>
          <t>BA</t>
        </is>
      </c>
      <c r="F2238" s="6" t="inlineStr">
        <is>
          <t>-</t>
        </is>
      </c>
      <c r="G2238" s="7" t="n">
        <v>174.5200042724609</v>
      </c>
      <c r="H2238" s="6">
        <f>P2207</f>
        <v/>
      </c>
      <c r="I2238" s="9">
        <f>Q2207</f>
        <v/>
      </c>
      <c r="J2238" s="7">
        <f>I2238*G2238</f>
        <v/>
      </c>
      <c r="K2238" s="8">
        <f>IF($J$2264=0,0,J2238/$J$2264)</f>
        <v/>
      </c>
      <c r="L2238" s="6" t="inlineStr">
        <is>
          <t>REJECTED</t>
        </is>
      </c>
      <c r="M2238" s="8" t="n">
        <v>0</v>
      </c>
      <c r="N2238" s="7">
        <f>M2238*$J$2264-J2238</f>
        <v/>
      </c>
      <c r="O2238" s="9">
        <f>IF(G2238=0,0,N2238/G2238)</f>
        <v/>
      </c>
      <c r="P2238" s="6">
        <f>IF(M2238&gt;0,D2238,"")</f>
        <v/>
      </c>
      <c r="Q2238" s="9">
        <f>I2238+O2238</f>
        <v/>
      </c>
      <c r="R2238" s="7">
        <f>Q2238*G2238</f>
        <v/>
      </c>
      <c r="S2238" s="8">
        <f>IF($R$2264=0,0,R2238/$R$2264)</f>
        <v/>
      </c>
      <c r="T2238" s="8" t="n">
        <v>0.01460706195400574</v>
      </c>
      <c r="U2238" s="8" t="n">
        <v>-0.02327812559533604</v>
      </c>
      <c r="V2238" s="6" t="inlineStr">
        <is>
          <t>not selected</t>
        </is>
      </c>
    </row>
    <row r="2239">
      <c r="A2239" s="6" t="inlineStr">
        <is>
          <t>DJ30</t>
        </is>
      </c>
      <c r="B2239" s="6" t="inlineStr">
        <is>
          <t>2024-05-24</t>
        </is>
      </c>
      <c r="C2239" s="6" t="inlineStr">
        <is>
          <t>DIA</t>
        </is>
      </c>
      <c r="D2239" s="6" t="inlineStr">
        <is>
          <t>CAT</t>
        </is>
      </c>
      <c r="E2239" s="6" t="inlineStr">
        <is>
          <t>CAT</t>
        </is>
      </c>
      <c r="F2239" s="6" t="inlineStr">
        <is>
          <t>-</t>
        </is>
      </c>
      <c r="G2239" s="7" t="n">
        <v>339.6471862792969</v>
      </c>
      <c r="H2239" s="6">
        <f>P2208</f>
        <v/>
      </c>
      <c r="I2239" s="9">
        <f>Q2208</f>
        <v/>
      </c>
      <c r="J2239" s="7">
        <f>I2239*G2239</f>
        <v/>
      </c>
      <c r="K2239" s="8">
        <f>IF($J$2264=0,0,J2239/$J$2264)</f>
        <v/>
      </c>
      <c r="L2239" s="6" t="inlineStr">
        <is>
          <t>SELECTED</t>
        </is>
      </c>
      <c r="M2239" s="8" t="n">
        <v>0.2</v>
      </c>
      <c r="N2239" s="7">
        <f>M2239*$J$2264-J2239</f>
        <v/>
      </c>
      <c r="O2239" s="9">
        <f>IF(G2239=0,0,N2239/G2239)</f>
        <v/>
      </c>
      <c r="P2239" s="6">
        <f>IF(M2239&gt;0,D2239,"")</f>
        <v/>
      </c>
      <c r="Q2239" s="9">
        <f>I2239+O2239</f>
        <v/>
      </c>
      <c r="R2239" s="7">
        <f>Q2239*G2239</f>
        <v/>
      </c>
      <c r="S2239" s="8">
        <f>IF($R$2264=0,0,R2239/$R$2264)</f>
        <v/>
      </c>
      <c r="T2239" s="8" t="n">
        <v>0.01460706195400574</v>
      </c>
      <c r="U2239" s="8" t="n">
        <v>-0.02327812559533604</v>
      </c>
      <c r="V2239" s="6" t="inlineStr">
        <is>
          <t>remained in weekly selection</t>
        </is>
      </c>
    </row>
    <row r="2240">
      <c r="A2240" s="6" t="inlineStr">
        <is>
          <t>DJ30</t>
        </is>
      </c>
      <c r="B2240" s="6" t="inlineStr">
        <is>
          <t>2024-05-24</t>
        </is>
      </c>
      <c r="C2240" s="6" t="inlineStr">
        <is>
          <t>DIA</t>
        </is>
      </c>
      <c r="D2240" s="6" t="inlineStr">
        <is>
          <t>CRM</t>
        </is>
      </c>
      <c r="E2240" s="6" t="inlineStr">
        <is>
          <t>CRM</t>
        </is>
      </c>
      <c r="F2240" s="6" t="inlineStr">
        <is>
          <t>-</t>
        </is>
      </c>
      <c r="G2240" s="7" t="n">
        <v>268.0090026855469</v>
      </c>
      <c r="H2240" s="6">
        <f>P2209</f>
        <v/>
      </c>
      <c r="I2240" s="9">
        <f>Q2209</f>
        <v/>
      </c>
      <c r="J2240" s="7">
        <f>I2240*G2240</f>
        <v/>
      </c>
      <c r="K2240" s="8">
        <f>IF($J$2264=0,0,J2240/$J$2264)</f>
        <v/>
      </c>
      <c r="L2240" s="6" t="inlineStr">
        <is>
          <t>WATCHLIST</t>
        </is>
      </c>
      <c r="M2240" s="8" t="n">
        <v>0</v>
      </c>
      <c r="N2240" s="7">
        <f>M2240*$J$2264-J2240</f>
        <v/>
      </c>
      <c r="O2240" s="9">
        <f>IF(G2240=0,0,N2240/G2240)</f>
        <v/>
      </c>
      <c r="P2240" s="6">
        <f>IF(M2240&gt;0,D2240,"")</f>
        <v/>
      </c>
      <c r="Q2240" s="9">
        <f>I2240+O2240</f>
        <v/>
      </c>
      <c r="R2240" s="7">
        <f>Q2240*G2240</f>
        <v/>
      </c>
      <c r="S2240" s="8">
        <f>IF($R$2264=0,0,R2240/$R$2264)</f>
        <v/>
      </c>
      <c r="T2240" s="8" t="n">
        <v>0.01460706195400574</v>
      </c>
      <c r="U2240" s="8" t="n">
        <v>-0.02327812559533604</v>
      </c>
      <c r="V2240" s="6" t="inlineStr">
        <is>
          <t>removed from weekly selection</t>
        </is>
      </c>
    </row>
    <row r="2241">
      <c r="A2241" s="6" t="inlineStr">
        <is>
          <t>DJ30</t>
        </is>
      </c>
      <c r="B2241" s="6" t="inlineStr">
        <is>
          <t>2024-05-24</t>
        </is>
      </c>
      <c r="C2241" s="6" t="inlineStr">
        <is>
          <t>DIA</t>
        </is>
      </c>
      <c r="D2241" s="6" t="inlineStr">
        <is>
          <t>CSCO</t>
        </is>
      </c>
      <c r="E2241" s="6" t="inlineStr">
        <is>
          <t>CSCO</t>
        </is>
      </c>
      <c r="F2241" s="6" t="inlineStr">
        <is>
          <t>-</t>
        </is>
      </c>
      <c r="G2241" s="7" t="n">
        <v>44.05260848999024</v>
      </c>
      <c r="H2241" s="6">
        <f>P2210</f>
        <v/>
      </c>
      <c r="I2241" s="9">
        <f>Q2210</f>
        <v/>
      </c>
      <c r="J2241" s="7">
        <f>I2241*G2241</f>
        <v/>
      </c>
      <c r="K2241" s="8">
        <f>IF($J$2264=0,0,J2241/$J$2264)</f>
        <v/>
      </c>
      <c r="L2241" s="6" t="inlineStr">
        <is>
          <t>REJECTED</t>
        </is>
      </c>
      <c r="M2241" s="8" t="n">
        <v>0</v>
      </c>
      <c r="N2241" s="7">
        <f>M2241*$J$2264-J2241</f>
        <v/>
      </c>
      <c r="O2241" s="9">
        <f>IF(G2241=0,0,N2241/G2241)</f>
        <v/>
      </c>
      <c r="P2241" s="6">
        <f>IF(M2241&gt;0,D2241,"")</f>
        <v/>
      </c>
      <c r="Q2241" s="9">
        <f>I2241+O2241</f>
        <v/>
      </c>
      <c r="R2241" s="7">
        <f>Q2241*G2241</f>
        <v/>
      </c>
      <c r="S2241" s="8">
        <f>IF($R$2264=0,0,R2241/$R$2264)</f>
        <v/>
      </c>
      <c r="T2241" s="8" t="n">
        <v>0.01460706195400574</v>
      </c>
      <c r="U2241" s="8" t="n">
        <v>-0.02327812559533604</v>
      </c>
      <c r="V2241" s="6" t="inlineStr">
        <is>
          <t>not selected</t>
        </is>
      </c>
    </row>
    <row r="2242">
      <c r="A2242" s="6" t="inlineStr">
        <is>
          <t>DJ30</t>
        </is>
      </c>
      <c r="B2242" s="6" t="inlineStr">
        <is>
          <t>2024-05-24</t>
        </is>
      </c>
      <c r="C2242" s="6" t="inlineStr">
        <is>
          <t>DIA</t>
        </is>
      </c>
      <c r="D2242" s="6" t="inlineStr">
        <is>
          <t>CVX</t>
        </is>
      </c>
      <c r="E2242" s="6" t="inlineStr">
        <is>
          <t>CVX</t>
        </is>
      </c>
      <c r="F2242" s="6" t="inlineStr">
        <is>
          <t>-</t>
        </is>
      </c>
      <c r="G2242" s="7" t="n">
        <v>144.8307189941406</v>
      </c>
      <c r="H2242" s="6">
        <f>P2211</f>
        <v/>
      </c>
      <c r="I2242" s="9">
        <f>Q2211</f>
        <v/>
      </c>
      <c r="J2242" s="7">
        <f>I2242*G2242</f>
        <v/>
      </c>
      <c r="K2242" s="8">
        <f>IF($J$2264=0,0,J2242/$J$2264)</f>
        <v/>
      </c>
      <c r="L2242" s="6" t="inlineStr">
        <is>
          <t>REJECTED</t>
        </is>
      </c>
      <c r="M2242" s="8" t="n">
        <v>0</v>
      </c>
      <c r="N2242" s="7">
        <f>M2242*$J$2264-J2242</f>
        <v/>
      </c>
      <c r="O2242" s="9">
        <f>IF(G2242=0,0,N2242/G2242)</f>
        <v/>
      </c>
      <c r="P2242" s="6">
        <f>IF(M2242&gt;0,D2242,"")</f>
        <v/>
      </c>
      <c r="Q2242" s="9">
        <f>I2242+O2242</f>
        <v/>
      </c>
      <c r="R2242" s="7">
        <f>Q2242*G2242</f>
        <v/>
      </c>
      <c r="S2242" s="8">
        <f>IF($R$2264=0,0,R2242/$R$2264)</f>
        <v/>
      </c>
      <c r="T2242" s="8" t="n">
        <v>0.01460706195400574</v>
      </c>
      <c r="U2242" s="8" t="n">
        <v>-0.02327812559533604</v>
      </c>
      <c r="V2242" s="6" t="inlineStr">
        <is>
          <t>not selected</t>
        </is>
      </c>
    </row>
    <row r="2243">
      <c r="A2243" s="6" t="inlineStr">
        <is>
          <t>DJ30</t>
        </is>
      </c>
      <c r="B2243" s="6" t="inlineStr">
        <is>
          <t>2024-05-24</t>
        </is>
      </c>
      <c r="C2243" s="6" t="inlineStr">
        <is>
          <t>DIA</t>
        </is>
      </c>
      <c r="D2243" s="6" t="inlineStr">
        <is>
          <t>DIS</t>
        </is>
      </c>
      <c r="E2243" s="6" t="inlineStr">
        <is>
          <t>DIS</t>
        </is>
      </c>
      <c r="F2243" s="6" t="inlineStr">
        <is>
          <t>-</t>
        </is>
      </c>
      <c r="G2243" s="7" t="n">
        <v>99.74275970458984</v>
      </c>
      <c r="H2243" s="6">
        <f>P2212</f>
        <v/>
      </c>
      <c r="I2243" s="9">
        <f>Q2212</f>
        <v/>
      </c>
      <c r="J2243" s="7">
        <f>I2243*G2243</f>
        <v/>
      </c>
      <c r="K2243" s="8">
        <f>IF($J$2264=0,0,J2243/$J$2264)</f>
        <v/>
      </c>
      <c r="L2243" s="6" t="inlineStr">
        <is>
          <t>WATCHLIST</t>
        </is>
      </c>
      <c r="M2243" s="8" t="n">
        <v>0</v>
      </c>
      <c r="N2243" s="7">
        <f>M2243*$J$2264-J2243</f>
        <v/>
      </c>
      <c r="O2243" s="9">
        <f>IF(G2243=0,0,N2243/G2243)</f>
        <v/>
      </c>
      <c r="P2243" s="6">
        <f>IF(M2243&gt;0,D2243,"")</f>
        <v/>
      </c>
      <c r="Q2243" s="9">
        <f>I2243+O2243</f>
        <v/>
      </c>
      <c r="R2243" s="7">
        <f>Q2243*G2243</f>
        <v/>
      </c>
      <c r="S2243" s="8">
        <f>IF($R$2264=0,0,R2243/$R$2264)</f>
        <v/>
      </c>
      <c r="T2243" s="8" t="n">
        <v>0.01460706195400574</v>
      </c>
      <c r="U2243" s="8" t="n">
        <v>-0.02327812559533604</v>
      </c>
      <c r="V2243" s="6" t="inlineStr">
        <is>
          <t>not selected</t>
        </is>
      </c>
    </row>
    <row r="2244">
      <c r="A2244" s="6" t="inlineStr">
        <is>
          <t>DJ30</t>
        </is>
      </c>
      <c r="B2244" s="6" t="inlineStr">
        <is>
          <t>2024-05-24</t>
        </is>
      </c>
      <c r="C2244" s="6" t="inlineStr">
        <is>
          <t>DIA</t>
        </is>
      </c>
      <c r="D2244" s="6" t="inlineStr">
        <is>
          <t>GS</t>
        </is>
      </c>
      <c r="E2244" s="6" t="inlineStr">
        <is>
          <t>GS</t>
        </is>
      </c>
      <c r="F2244" s="6" t="inlineStr">
        <is>
          <t>-</t>
        </is>
      </c>
      <c r="G2244" s="7" t="n">
        <v>440.1279296875</v>
      </c>
      <c r="H2244" s="6">
        <f>P2213</f>
        <v/>
      </c>
      <c r="I2244" s="9">
        <f>Q2213</f>
        <v/>
      </c>
      <c r="J2244" s="7">
        <f>I2244*G2244</f>
        <v/>
      </c>
      <c r="K2244" s="8">
        <f>IF($J$2264=0,0,J2244/$J$2264)</f>
        <v/>
      </c>
      <c r="L2244" s="6" t="inlineStr">
        <is>
          <t>WATCHLIST</t>
        </is>
      </c>
      <c r="M2244" s="8" t="n">
        <v>0</v>
      </c>
      <c r="N2244" s="7">
        <f>M2244*$J$2264-J2244</f>
        <v/>
      </c>
      <c r="O2244" s="9">
        <f>IF(G2244=0,0,N2244/G2244)</f>
        <v/>
      </c>
      <c r="P2244" s="6">
        <f>IF(M2244&gt;0,D2244,"")</f>
        <v/>
      </c>
      <c r="Q2244" s="9">
        <f>I2244+O2244</f>
        <v/>
      </c>
      <c r="R2244" s="7">
        <f>Q2244*G2244</f>
        <v/>
      </c>
      <c r="S2244" s="8">
        <f>IF($R$2264=0,0,R2244/$R$2264)</f>
        <v/>
      </c>
      <c r="T2244" s="8" t="n">
        <v>0.01460706195400574</v>
      </c>
      <c r="U2244" s="8" t="n">
        <v>-0.02327812559533604</v>
      </c>
      <c r="V2244" s="6" t="inlineStr">
        <is>
          <t>not selected</t>
        </is>
      </c>
    </row>
    <row r="2245">
      <c r="A2245" s="6" t="inlineStr">
        <is>
          <t>DJ30</t>
        </is>
      </c>
      <c r="B2245" s="6" t="inlineStr">
        <is>
          <t>2024-05-24</t>
        </is>
      </c>
      <c r="C2245" s="6" t="inlineStr">
        <is>
          <t>DIA</t>
        </is>
      </c>
      <c r="D2245" s="6" t="inlineStr">
        <is>
          <t>HD</t>
        </is>
      </c>
      <c r="E2245" s="6" t="inlineStr">
        <is>
          <t>HD</t>
        </is>
      </c>
      <c r="F2245" s="6" t="inlineStr">
        <is>
          <t>-</t>
        </is>
      </c>
      <c r="G2245" s="7" t="n">
        <v>307.0884704589844</v>
      </c>
      <c r="H2245" s="6">
        <f>P2214</f>
        <v/>
      </c>
      <c r="I2245" s="9">
        <f>Q2214</f>
        <v/>
      </c>
      <c r="J2245" s="7">
        <f>I2245*G2245</f>
        <v/>
      </c>
      <c r="K2245" s="8">
        <f>IF($J$2264=0,0,J2245/$J$2264)</f>
        <v/>
      </c>
      <c r="L2245" s="6" t="inlineStr">
        <is>
          <t>WATCHLIST</t>
        </is>
      </c>
      <c r="M2245" s="8" t="n">
        <v>0</v>
      </c>
      <c r="N2245" s="7">
        <f>M2245*$J$2264-J2245</f>
        <v/>
      </c>
      <c r="O2245" s="9">
        <f>IF(G2245=0,0,N2245/G2245)</f>
        <v/>
      </c>
      <c r="P2245" s="6">
        <f>IF(M2245&gt;0,D2245,"")</f>
        <v/>
      </c>
      <c r="Q2245" s="9">
        <f>I2245+O2245</f>
        <v/>
      </c>
      <c r="R2245" s="7">
        <f>Q2245*G2245</f>
        <v/>
      </c>
      <c r="S2245" s="8">
        <f>IF($R$2264=0,0,R2245/$R$2264)</f>
        <v/>
      </c>
      <c r="T2245" s="8" t="n">
        <v>0.01460706195400574</v>
      </c>
      <c r="U2245" s="8" t="n">
        <v>-0.02327812559533604</v>
      </c>
      <c r="V2245" s="6" t="inlineStr">
        <is>
          <t>not selected</t>
        </is>
      </c>
    </row>
    <row r="2246">
      <c r="A2246" s="6" t="inlineStr">
        <is>
          <t>DJ30</t>
        </is>
      </c>
      <c r="B2246" s="6" t="inlineStr">
        <is>
          <t>2024-05-24</t>
        </is>
      </c>
      <c r="C2246" s="6" t="inlineStr">
        <is>
          <t>DIA</t>
        </is>
      </c>
      <c r="D2246" s="6" t="inlineStr">
        <is>
          <t>HON</t>
        </is>
      </c>
      <c r="E2246" s="6" t="inlineStr">
        <is>
          <t>HON</t>
        </is>
      </c>
      <c r="F2246" s="6" t="inlineStr">
        <is>
          <t>-</t>
        </is>
      </c>
      <c r="G2246" s="7" t="n">
        <v>180.3962097167969</v>
      </c>
      <c r="H2246" s="6">
        <f>P2215</f>
        <v/>
      </c>
      <c r="I2246" s="9">
        <f>Q2215</f>
        <v/>
      </c>
      <c r="J2246" s="7">
        <f>I2246*G2246</f>
        <v/>
      </c>
      <c r="K2246" s="8">
        <f>IF($J$2264=0,0,J2246/$J$2264)</f>
        <v/>
      </c>
      <c r="L2246" s="6" t="inlineStr">
        <is>
          <t>REJECTED</t>
        </is>
      </c>
      <c r="M2246" s="8" t="n">
        <v>0</v>
      </c>
      <c r="N2246" s="7">
        <f>M2246*$J$2264-J2246</f>
        <v/>
      </c>
      <c r="O2246" s="9">
        <f>IF(G2246=0,0,N2246/G2246)</f>
        <v/>
      </c>
      <c r="P2246" s="6">
        <f>IF(M2246&gt;0,D2246,"")</f>
        <v/>
      </c>
      <c r="Q2246" s="9">
        <f>I2246+O2246</f>
        <v/>
      </c>
      <c r="R2246" s="7">
        <f>Q2246*G2246</f>
        <v/>
      </c>
      <c r="S2246" s="8">
        <f>IF($R$2264=0,0,R2246/$R$2264)</f>
        <v/>
      </c>
      <c r="T2246" s="8" t="n">
        <v>0.01460706195400574</v>
      </c>
      <c r="U2246" s="8" t="n">
        <v>-0.02327812559533604</v>
      </c>
      <c r="V2246" s="6" t="inlineStr">
        <is>
          <t>not selected</t>
        </is>
      </c>
    </row>
    <row r="2247">
      <c r="A2247" s="6" t="inlineStr">
        <is>
          <t>DJ30</t>
        </is>
      </c>
      <c r="B2247" s="6" t="inlineStr">
        <is>
          <t>2024-05-24</t>
        </is>
      </c>
      <c r="C2247" s="6" t="inlineStr">
        <is>
          <t>DIA</t>
        </is>
      </c>
      <c r="D2247" s="6" t="inlineStr">
        <is>
          <t>IBM</t>
        </is>
      </c>
      <c r="E2247" s="6" t="inlineStr">
        <is>
          <t>IBM</t>
        </is>
      </c>
      <c r="F2247" s="6" t="inlineStr">
        <is>
          <t>-</t>
        </is>
      </c>
      <c r="G2247" s="7" t="n">
        <v>161.7309417724609</v>
      </c>
      <c r="H2247" s="6">
        <f>P2216</f>
        <v/>
      </c>
      <c r="I2247" s="9">
        <f>Q2216</f>
        <v/>
      </c>
      <c r="J2247" s="7">
        <f>I2247*G2247</f>
        <v/>
      </c>
      <c r="K2247" s="8">
        <f>IF($J$2264=0,0,J2247/$J$2264)</f>
        <v/>
      </c>
      <c r="L2247" s="6" t="inlineStr">
        <is>
          <t>SELECTED</t>
        </is>
      </c>
      <c r="M2247" s="8" t="n">
        <v>0.2</v>
      </c>
      <c r="N2247" s="7">
        <f>M2247*$J$2264-J2247</f>
        <v/>
      </c>
      <c r="O2247" s="9">
        <f>IF(G2247=0,0,N2247/G2247)</f>
        <v/>
      </c>
      <c r="P2247" s="6">
        <f>IF(M2247&gt;0,D2247,"")</f>
        <v/>
      </c>
      <c r="Q2247" s="9">
        <f>I2247+O2247</f>
        <v/>
      </c>
      <c r="R2247" s="7">
        <f>Q2247*G2247</f>
        <v/>
      </c>
      <c r="S2247" s="8">
        <f>IF($R$2264=0,0,R2247/$R$2264)</f>
        <v/>
      </c>
      <c r="T2247" s="8" t="n">
        <v>0.01460706195400574</v>
      </c>
      <c r="U2247" s="8" t="n">
        <v>-0.02327812559533604</v>
      </c>
      <c r="V2247" s="6" t="inlineStr">
        <is>
          <t>remained in weekly selection</t>
        </is>
      </c>
    </row>
    <row r="2248">
      <c r="A2248" s="6" t="inlineStr">
        <is>
          <t>DJ30</t>
        </is>
      </c>
      <c r="B2248" s="6" t="inlineStr">
        <is>
          <t>2024-05-24</t>
        </is>
      </c>
      <c r="C2248" s="6" t="inlineStr">
        <is>
          <t>DIA</t>
        </is>
      </c>
      <c r="D2248" s="6" t="inlineStr">
        <is>
          <t>JNJ</t>
        </is>
      </c>
      <c r="E2248" s="6" t="inlineStr">
        <is>
          <t>JNJ</t>
        </is>
      </c>
      <c r="F2248" s="6" t="inlineStr">
        <is>
          <t>-</t>
        </is>
      </c>
      <c r="G2248" s="7" t="n">
        <v>138.8628997802734</v>
      </c>
      <c r="H2248" s="6">
        <f>P2217</f>
        <v/>
      </c>
      <c r="I2248" s="9">
        <f>Q2217</f>
        <v/>
      </c>
      <c r="J2248" s="7">
        <f>I2248*G2248</f>
        <v/>
      </c>
      <c r="K2248" s="8">
        <f>IF($J$2264=0,0,J2248/$J$2264)</f>
        <v/>
      </c>
      <c r="L2248" s="6" t="inlineStr">
        <is>
          <t>REJECTED</t>
        </is>
      </c>
      <c r="M2248" s="8" t="n">
        <v>0</v>
      </c>
      <c r="N2248" s="7">
        <f>M2248*$J$2264-J2248</f>
        <v/>
      </c>
      <c r="O2248" s="9">
        <f>IF(G2248=0,0,N2248/G2248)</f>
        <v/>
      </c>
      <c r="P2248" s="6">
        <f>IF(M2248&gt;0,D2248,"")</f>
        <v/>
      </c>
      <c r="Q2248" s="9">
        <f>I2248+O2248</f>
        <v/>
      </c>
      <c r="R2248" s="7">
        <f>Q2248*G2248</f>
        <v/>
      </c>
      <c r="S2248" s="8">
        <f>IF($R$2264=0,0,R2248/$R$2264)</f>
        <v/>
      </c>
      <c r="T2248" s="8" t="n">
        <v>0.01460706195400574</v>
      </c>
      <c r="U2248" s="8" t="n">
        <v>-0.02327812559533604</v>
      </c>
      <c r="V2248" s="6" t="inlineStr">
        <is>
          <t>not selected</t>
        </is>
      </c>
    </row>
    <row r="2249">
      <c r="A2249" s="6" t="inlineStr">
        <is>
          <t>DJ30</t>
        </is>
      </c>
      <c r="B2249" s="6" t="inlineStr">
        <is>
          <t>2024-05-24</t>
        </is>
      </c>
      <c r="C2249" s="6" t="inlineStr">
        <is>
          <t>DIA</t>
        </is>
      </c>
      <c r="D2249" s="6" t="inlineStr">
        <is>
          <t>JPM</t>
        </is>
      </c>
      <c r="E2249" s="6" t="inlineStr">
        <is>
          <t>JPM</t>
        </is>
      </c>
      <c r="F2249" s="6" t="inlineStr">
        <is>
          <t>-</t>
        </is>
      </c>
      <c r="G2249" s="7" t="n">
        <v>192.4185028076172</v>
      </c>
      <c r="H2249" s="6">
        <f>P2218</f>
        <v/>
      </c>
      <c r="I2249" s="9">
        <f>Q2218</f>
        <v/>
      </c>
      <c r="J2249" s="7">
        <f>I2249*G2249</f>
        <v/>
      </c>
      <c r="K2249" s="8">
        <f>IF($J$2264=0,0,J2249/$J$2264)</f>
        <v/>
      </c>
      <c r="L2249" s="6" t="inlineStr">
        <is>
          <t>SELECTED</t>
        </is>
      </c>
      <c r="M2249" s="8" t="n">
        <v>0.2</v>
      </c>
      <c r="N2249" s="7">
        <f>M2249*$J$2264-J2249</f>
        <v/>
      </c>
      <c r="O2249" s="9">
        <f>IF(G2249=0,0,N2249/G2249)</f>
        <v/>
      </c>
      <c r="P2249" s="6">
        <f>IF(M2249&gt;0,D2249,"")</f>
        <v/>
      </c>
      <c r="Q2249" s="9">
        <f>I2249+O2249</f>
        <v/>
      </c>
      <c r="R2249" s="7">
        <f>Q2249*G2249</f>
        <v/>
      </c>
      <c r="S2249" s="8">
        <f>IF($R$2264=0,0,R2249/$R$2264)</f>
        <v/>
      </c>
      <c r="T2249" s="8" t="n">
        <v>0.01460706195400574</v>
      </c>
      <c r="U2249" s="8" t="n">
        <v>-0.02327812559533604</v>
      </c>
      <c r="V2249" s="6" t="inlineStr">
        <is>
          <t>remained in weekly selection</t>
        </is>
      </c>
    </row>
    <row r="2250">
      <c r="A2250" s="6" t="inlineStr">
        <is>
          <t>DJ30</t>
        </is>
      </c>
      <c r="B2250" s="6" t="inlineStr">
        <is>
          <t>2024-05-24</t>
        </is>
      </c>
      <c r="C2250" s="6" t="inlineStr">
        <is>
          <t>DIA</t>
        </is>
      </c>
      <c r="D2250" s="6" t="inlineStr">
        <is>
          <t>KO</t>
        </is>
      </c>
      <c r="E2250" s="6" t="inlineStr">
        <is>
          <t>KO</t>
        </is>
      </c>
      <c r="F2250" s="6" t="inlineStr">
        <is>
          <t>-</t>
        </is>
      </c>
      <c r="G2250" s="7" t="n">
        <v>58.12828063964844</v>
      </c>
      <c r="H2250" s="6">
        <f>P2219</f>
        <v/>
      </c>
      <c r="I2250" s="9">
        <f>Q2219</f>
        <v/>
      </c>
      <c r="J2250" s="7">
        <f>I2250*G2250</f>
        <v/>
      </c>
      <c r="K2250" s="8">
        <f>IF($J$2264=0,0,J2250/$J$2264)</f>
        <v/>
      </c>
      <c r="L2250" s="6" t="inlineStr">
        <is>
          <t>REJECTED</t>
        </is>
      </c>
      <c r="M2250" s="8" t="n">
        <v>0</v>
      </c>
      <c r="N2250" s="7">
        <f>M2250*$J$2264-J2250</f>
        <v/>
      </c>
      <c r="O2250" s="9">
        <f>IF(G2250=0,0,N2250/G2250)</f>
        <v/>
      </c>
      <c r="P2250" s="6">
        <f>IF(M2250&gt;0,D2250,"")</f>
        <v/>
      </c>
      <c r="Q2250" s="9">
        <f>I2250+O2250</f>
        <v/>
      </c>
      <c r="R2250" s="7">
        <f>Q2250*G2250</f>
        <v/>
      </c>
      <c r="S2250" s="8">
        <f>IF($R$2264=0,0,R2250/$R$2264)</f>
        <v/>
      </c>
      <c r="T2250" s="8" t="n">
        <v>0.01460706195400574</v>
      </c>
      <c r="U2250" s="8" t="n">
        <v>-0.02327812559533604</v>
      </c>
      <c r="V2250" s="6" t="inlineStr">
        <is>
          <t>not selected</t>
        </is>
      </c>
    </row>
    <row r="2251">
      <c r="A2251" s="6" t="inlineStr">
        <is>
          <t>DJ30</t>
        </is>
      </c>
      <c r="B2251" s="6" t="inlineStr">
        <is>
          <t>2024-05-24</t>
        </is>
      </c>
      <c r="C2251" s="6" t="inlineStr">
        <is>
          <t>DIA</t>
        </is>
      </c>
      <c r="D2251" s="6" t="inlineStr">
        <is>
          <t>MCD</t>
        </is>
      </c>
      <c r="E2251" s="6" t="inlineStr">
        <is>
          <t>MCD</t>
        </is>
      </c>
      <c r="F2251" s="6" t="inlineStr">
        <is>
          <t>-</t>
        </is>
      </c>
      <c r="G2251" s="7" t="n">
        <v>244.6253662109375</v>
      </c>
      <c r="H2251" s="6">
        <f>P2220</f>
        <v/>
      </c>
      <c r="I2251" s="9">
        <f>Q2220</f>
        <v/>
      </c>
      <c r="J2251" s="7">
        <f>I2251*G2251</f>
        <v/>
      </c>
      <c r="K2251" s="8">
        <f>IF($J$2264=0,0,J2251/$J$2264)</f>
        <v/>
      </c>
      <c r="L2251" s="6" t="inlineStr">
        <is>
          <t>REJECTED</t>
        </is>
      </c>
      <c r="M2251" s="8" t="n">
        <v>0</v>
      </c>
      <c r="N2251" s="7">
        <f>M2251*$J$2264-J2251</f>
        <v/>
      </c>
      <c r="O2251" s="9">
        <f>IF(G2251=0,0,N2251/G2251)</f>
        <v/>
      </c>
      <c r="P2251" s="6">
        <f>IF(M2251&gt;0,D2251,"")</f>
        <v/>
      </c>
      <c r="Q2251" s="9">
        <f>I2251+O2251</f>
        <v/>
      </c>
      <c r="R2251" s="7">
        <f>Q2251*G2251</f>
        <v/>
      </c>
      <c r="S2251" s="8">
        <f>IF($R$2264=0,0,R2251/$R$2264)</f>
        <v/>
      </c>
      <c r="T2251" s="8" t="n">
        <v>0.01460706195400574</v>
      </c>
      <c r="U2251" s="8" t="n">
        <v>-0.02327812559533604</v>
      </c>
      <c r="V2251" s="6" t="inlineStr">
        <is>
          <t>not selected</t>
        </is>
      </c>
    </row>
    <row r="2252">
      <c r="A2252" s="6" t="inlineStr">
        <is>
          <t>DJ30</t>
        </is>
      </c>
      <c r="B2252" s="6" t="inlineStr">
        <is>
          <t>2024-05-24</t>
        </is>
      </c>
      <c r="C2252" s="6" t="inlineStr">
        <is>
          <t>DIA</t>
        </is>
      </c>
      <c r="D2252" s="6" t="inlineStr">
        <is>
          <t>MMM</t>
        </is>
      </c>
      <c r="E2252" s="6" t="inlineStr">
        <is>
          <t>MMM</t>
        </is>
      </c>
      <c r="F2252" s="6" t="inlineStr">
        <is>
          <t>-</t>
        </is>
      </c>
      <c r="G2252" s="7" t="n">
        <v>95.8557586669922</v>
      </c>
      <c r="H2252" s="6">
        <f>P2221</f>
        <v/>
      </c>
      <c r="I2252" s="9">
        <f>Q2221</f>
        <v/>
      </c>
      <c r="J2252" s="7">
        <f>I2252*G2252</f>
        <v/>
      </c>
      <c r="K2252" s="8">
        <f>IF($J$2264=0,0,J2252/$J$2264)</f>
        <v/>
      </c>
      <c r="L2252" s="6" t="inlineStr">
        <is>
          <t>REJECTED</t>
        </is>
      </c>
      <c r="M2252" s="8" t="n">
        <v>0</v>
      </c>
      <c r="N2252" s="7">
        <f>M2252*$J$2264-J2252</f>
        <v/>
      </c>
      <c r="O2252" s="9">
        <f>IF(G2252=0,0,N2252/G2252)</f>
        <v/>
      </c>
      <c r="P2252" s="6">
        <f>IF(M2252&gt;0,D2252,"")</f>
        <v/>
      </c>
      <c r="Q2252" s="9">
        <f>I2252+O2252</f>
        <v/>
      </c>
      <c r="R2252" s="7">
        <f>Q2252*G2252</f>
        <v/>
      </c>
      <c r="S2252" s="8">
        <f>IF($R$2264=0,0,R2252/$R$2264)</f>
        <v/>
      </c>
      <c r="T2252" s="8" t="n">
        <v>0.01460706195400574</v>
      </c>
      <c r="U2252" s="8" t="n">
        <v>-0.02327812559533604</v>
      </c>
      <c r="V2252" s="6" t="inlineStr">
        <is>
          <t>not selected</t>
        </is>
      </c>
    </row>
    <row r="2253">
      <c r="A2253" s="6" t="inlineStr">
        <is>
          <t>DJ30</t>
        </is>
      </c>
      <c r="B2253" s="6" t="inlineStr">
        <is>
          <t>2024-05-24</t>
        </is>
      </c>
      <c r="C2253" s="6" t="inlineStr">
        <is>
          <t>DIA</t>
        </is>
      </c>
      <c r="D2253" s="6" t="inlineStr">
        <is>
          <t>MRK</t>
        </is>
      </c>
      <c r="E2253" s="6" t="inlineStr">
        <is>
          <t>MRK</t>
        </is>
      </c>
      <c r="F2253" s="6" t="inlineStr">
        <is>
          <t>-</t>
        </is>
      </c>
      <c r="G2253" s="7" t="n">
        <v>120.4877777099609</v>
      </c>
      <c r="H2253" s="6">
        <f>P2222</f>
        <v/>
      </c>
      <c r="I2253" s="9">
        <f>Q2222</f>
        <v/>
      </c>
      <c r="J2253" s="7">
        <f>I2253*G2253</f>
        <v/>
      </c>
      <c r="K2253" s="8">
        <f>IF($J$2264=0,0,J2253/$J$2264)</f>
        <v/>
      </c>
      <c r="L2253" s="6" t="inlineStr">
        <is>
          <t>WATCHLIST</t>
        </is>
      </c>
      <c r="M2253" s="8" t="n">
        <v>0</v>
      </c>
      <c r="N2253" s="7">
        <f>M2253*$J$2264-J2253</f>
        <v/>
      </c>
      <c r="O2253" s="9">
        <f>IF(G2253=0,0,N2253/G2253)</f>
        <v/>
      </c>
      <c r="P2253" s="6">
        <f>IF(M2253&gt;0,D2253,"")</f>
        <v/>
      </c>
      <c r="Q2253" s="9">
        <f>I2253+O2253</f>
        <v/>
      </c>
      <c r="R2253" s="7">
        <f>Q2253*G2253</f>
        <v/>
      </c>
      <c r="S2253" s="8">
        <f>IF($R$2264=0,0,R2253/$R$2264)</f>
        <v/>
      </c>
      <c r="T2253" s="8" t="n">
        <v>0.01460706195400574</v>
      </c>
      <c r="U2253" s="8" t="n">
        <v>-0.02327812559533604</v>
      </c>
      <c r="V2253" s="6" t="inlineStr">
        <is>
          <t>not selected</t>
        </is>
      </c>
    </row>
    <row r="2254">
      <c r="A2254" s="6" t="inlineStr">
        <is>
          <t>DJ30</t>
        </is>
      </c>
      <c r="B2254" s="6" t="inlineStr">
        <is>
          <t>2024-05-24</t>
        </is>
      </c>
      <c r="C2254" s="6" t="inlineStr">
        <is>
          <t>DIA</t>
        </is>
      </c>
      <c r="D2254" s="6" t="inlineStr">
        <is>
          <t>MSFT</t>
        </is>
      </c>
      <c r="E2254" s="6" t="inlineStr">
        <is>
          <t>MSFT</t>
        </is>
      </c>
      <c r="F2254" s="6" t="inlineStr">
        <is>
          <t>-</t>
        </is>
      </c>
      <c r="G2254" s="7" t="n">
        <v>423.5043029785156</v>
      </c>
      <c r="H2254" s="6">
        <f>P2223</f>
        <v/>
      </c>
      <c r="I2254" s="9">
        <f>Q2223</f>
        <v/>
      </c>
      <c r="J2254" s="7">
        <f>I2254*G2254</f>
        <v/>
      </c>
      <c r="K2254" s="8">
        <f>IF($J$2264=0,0,J2254/$J$2264)</f>
        <v/>
      </c>
      <c r="L2254" s="6" t="inlineStr">
        <is>
          <t>WATCHLIST</t>
        </is>
      </c>
      <c r="M2254" s="8" t="n">
        <v>0</v>
      </c>
      <c r="N2254" s="7">
        <f>M2254*$J$2264-J2254</f>
        <v/>
      </c>
      <c r="O2254" s="9">
        <f>IF(G2254=0,0,N2254/G2254)</f>
        <v/>
      </c>
      <c r="P2254" s="6">
        <f>IF(M2254&gt;0,D2254,"")</f>
        <v/>
      </c>
      <c r="Q2254" s="9">
        <f>I2254+O2254</f>
        <v/>
      </c>
      <c r="R2254" s="7">
        <f>Q2254*G2254</f>
        <v/>
      </c>
      <c r="S2254" s="8">
        <f>IF($R$2264=0,0,R2254/$R$2264)</f>
        <v/>
      </c>
      <c r="T2254" s="8" t="n">
        <v>0.01460706195400574</v>
      </c>
      <c r="U2254" s="8" t="n">
        <v>-0.02327812559533604</v>
      </c>
      <c r="V2254" s="6" t="inlineStr">
        <is>
          <t>not selected</t>
        </is>
      </c>
    </row>
    <row r="2255">
      <c r="A2255" s="6" t="inlineStr">
        <is>
          <t>DJ30</t>
        </is>
      </c>
      <c r="B2255" s="6" t="inlineStr">
        <is>
          <t>2024-05-24</t>
        </is>
      </c>
      <c r="C2255" s="6" t="inlineStr">
        <is>
          <t>DIA</t>
        </is>
      </c>
      <c r="D2255" s="6" t="inlineStr">
        <is>
          <t>NKE</t>
        </is>
      </c>
      <c r="E2255" s="6" t="inlineStr">
        <is>
          <t>NKE</t>
        </is>
      </c>
      <c r="F2255" s="6" t="inlineStr">
        <is>
          <t>-</t>
        </is>
      </c>
      <c r="G2255" s="7" t="n">
        <v>87.08477783203125</v>
      </c>
      <c r="H2255" s="6">
        <f>P2224</f>
        <v/>
      </c>
      <c r="I2255" s="9">
        <f>Q2224</f>
        <v/>
      </c>
      <c r="J2255" s="7">
        <f>I2255*G2255</f>
        <v/>
      </c>
      <c r="K2255" s="8">
        <f>IF($J$2264=0,0,J2255/$J$2264)</f>
        <v/>
      </c>
      <c r="L2255" s="6" t="inlineStr">
        <is>
          <t>REJECTED</t>
        </is>
      </c>
      <c r="M2255" s="8" t="n">
        <v>0</v>
      </c>
      <c r="N2255" s="7">
        <f>M2255*$J$2264-J2255</f>
        <v/>
      </c>
      <c r="O2255" s="9">
        <f>IF(G2255=0,0,N2255/G2255)</f>
        <v/>
      </c>
      <c r="P2255" s="6">
        <f>IF(M2255&gt;0,D2255,"")</f>
        <v/>
      </c>
      <c r="Q2255" s="9">
        <f>I2255+O2255</f>
        <v/>
      </c>
      <c r="R2255" s="7">
        <f>Q2255*G2255</f>
        <v/>
      </c>
      <c r="S2255" s="8">
        <f>IF($R$2264=0,0,R2255/$R$2264)</f>
        <v/>
      </c>
      <c r="T2255" s="8" t="n">
        <v>0.01460706195400574</v>
      </c>
      <c r="U2255" s="8" t="n">
        <v>-0.02327812559533604</v>
      </c>
      <c r="V2255" s="6" t="inlineStr">
        <is>
          <t>not selected</t>
        </is>
      </c>
    </row>
    <row r="2256">
      <c r="A2256" s="6" t="inlineStr">
        <is>
          <t>DJ30</t>
        </is>
      </c>
      <c r="B2256" s="6" t="inlineStr">
        <is>
          <t>2024-05-24</t>
        </is>
      </c>
      <c r="C2256" s="6" t="inlineStr">
        <is>
          <t>DIA</t>
        </is>
      </c>
      <c r="D2256" s="6" t="inlineStr">
        <is>
          <t>NVDA</t>
        </is>
      </c>
      <c r="E2256" s="6" t="inlineStr">
        <is>
          <t>NVDA</t>
        </is>
      </c>
      <c r="F2256" s="6" t="inlineStr">
        <is>
          <t>-</t>
        </is>
      </c>
      <c r="G2256" s="7" t="n">
        <v>106.2850646972656</v>
      </c>
      <c r="H2256" s="6">
        <f>P2225</f>
        <v/>
      </c>
      <c r="I2256" s="9">
        <f>Q2225</f>
        <v/>
      </c>
      <c r="J2256" s="7">
        <f>I2256*G2256</f>
        <v/>
      </c>
      <c r="K2256" s="8">
        <f>IF($J$2264=0,0,J2256/$J$2264)</f>
        <v/>
      </c>
      <c r="L2256" s="6" t="inlineStr">
        <is>
          <t>SELECTED</t>
        </is>
      </c>
      <c r="M2256" s="8" t="n">
        <v>0.2</v>
      </c>
      <c r="N2256" s="7">
        <f>M2256*$J$2264-J2256</f>
        <v/>
      </c>
      <c r="O2256" s="9">
        <f>IF(G2256=0,0,N2256/G2256)</f>
        <v/>
      </c>
      <c r="P2256" s="6">
        <f>IF(M2256&gt;0,D2256,"")</f>
        <v/>
      </c>
      <c r="Q2256" s="9">
        <f>I2256+O2256</f>
        <v/>
      </c>
      <c r="R2256" s="7">
        <f>Q2256*G2256</f>
        <v/>
      </c>
      <c r="S2256" s="8">
        <f>IF($R$2264=0,0,R2256/$R$2264)</f>
        <v/>
      </c>
      <c r="T2256" s="8" t="n">
        <v>0.01460706195400574</v>
      </c>
      <c r="U2256" s="8" t="n">
        <v>-0.02327812559533604</v>
      </c>
      <c r="V2256" s="6" t="inlineStr">
        <is>
          <t>remained in weekly selection</t>
        </is>
      </c>
    </row>
    <row r="2257">
      <c r="A2257" s="6" t="inlineStr">
        <is>
          <t>DJ30</t>
        </is>
      </c>
      <c r="B2257" s="6" t="inlineStr">
        <is>
          <t>2024-05-24</t>
        </is>
      </c>
      <c r="C2257" s="6" t="inlineStr">
        <is>
          <t>DIA</t>
        </is>
      </c>
      <c r="D2257" s="6" t="inlineStr">
        <is>
          <t>PG</t>
        </is>
      </c>
      <c r="E2257" s="6" t="inlineStr">
        <is>
          <t>PG</t>
        </is>
      </c>
      <c r="F2257" s="6" t="inlineStr">
        <is>
          <t>-</t>
        </is>
      </c>
      <c r="G2257" s="7" t="n">
        <v>156.8721160888672</v>
      </c>
      <c r="H2257" s="6">
        <f>P2226</f>
        <v/>
      </c>
      <c r="I2257" s="9">
        <f>Q2226</f>
        <v/>
      </c>
      <c r="J2257" s="7">
        <f>I2257*G2257</f>
        <v/>
      </c>
      <c r="K2257" s="8">
        <f>IF($J$2264=0,0,J2257/$J$2264)</f>
        <v/>
      </c>
      <c r="L2257" s="6" t="inlineStr">
        <is>
          <t>WATCHLIST</t>
        </is>
      </c>
      <c r="M2257" s="8" t="n">
        <v>0</v>
      </c>
      <c r="N2257" s="7">
        <f>M2257*$J$2264-J2257</f>
        <v/>
      </c>
      <c r="O2257" s="9">
        <f>IF(G2257=0,0,N2257/G2257)</f>
        <v/>
      </c>
      <c r="P2257" s="6">
        <f>IF(M2257&gt;0,D2257,"")</f>
        <v/>
      </c>
      <c r="Q2257" s="9">
        <f>I2257+O2257</f>
        <v/>
      </c>
      <c r="R2257" s="7">
        <f>Q2257*G2257</f>
        <v/>
      </c>
      <c r="S2257" s="8">
        <f>IF($R$2264=0,0,R2257/$R$2264)</f>
        <v/>
      </c>
      <c r="T2257" s="8" t="n">
        <v>0.01460706195400574</v>
      </c>
      <c r="U2257" s="8" t="n">
        <v>-0.02327812559533604</v>
      </c>
      <c r="V2257" s="6" t="inlineStr">
        <is>
          <t>not selected</t>
        </is>
      </c>
    </row>
    <row r="2258">
      <c r="A2258" s="6" t="inlineStr">
        <is>
          <t>DJ30</t>
        </is>
      </c>
      <c r="B2258" s="6" t="inlineStr">
        <is>
          <t>2024-05-24</t>
        </is>
      </c>
      <c r="C2258" s="6" t="inlineStr">
        <is>
          <t>DIA</t>
        </is>
      </c>
      <c r="D2258" s="6" t="inlineStr">
        <is>
          <t>SHW</t>
        </is>
      </c>
      <c r="E2258" s="6" t="inlineStr">
        <is>
          <t>SHW</t>
        </is>
      </c>
      <c r="F2258" s="6" t="inlineStr">
        <is>
          <t>-</t>
        </is>
      </c>
      <c r="G2258" s="7" t="n">
        <v>299.546630859375</v>
      </c>
      <c r="H2258" s="6">
        <f>P2227</f>
        <v/>
      </c>
      <c r="I2258" s="9">
        <f>Q2227</f>
        <v/>
      </c>
      <c r="J2258" s="7">
        <f>I2258*G2258</f>
        <v/>
      </c>
      <c r="K2258" s="8">
        <f>IF($J$2264=0,0,J2258/$J$2264)</f>
        <v/>
      </c>
      <c r="L2258" s="6" t="inlineStr">
        <is>
          <t>WATCHLIST</t>
        </is>
      </c>
      <c r="M2258" s="8" t="n">
        <v>0</v>
      </c>
      <c r="N2258" s="7">
        <f>M2258*$J$2264-J2258</f>
        <v/>
      </c>
      <c r="O2258" s="9">
        <f>IF(G2258=0,0,N2258/G2258)</f>
        <v/>
      </c>
      <c r="P2258" s="6">
        <f>IF(M2258&gt;0,D2258,"")</f>
        <v/>
      </c>
      <c r="Q2258" s="9">
        <f>I2258+O2258</f>
        <v/>
      </c>
      <c r="R2258" s="7">
        <f>Q2258*G2258</f>
        <v/>
      </c>
      <c r="S2258" s="8">
        <f>IF($R$2264=0,0,R2258/$R$2264)</f>
        <v/>
      </c>
      <c r="T2258" s="8" t="n">
        <v>0.01460706195400574</v>
      </c>
      <c r="U2258" s="8" t="n">
        <v>-0.02327812559533604</v>
      </c>
      <c r="V2258" s="6" t="inlineStr">
        <is>
          <t>not selected</t>
        </is>
      </c>
    </row>
    <row r="2259">
      <c r="A2259" s="6" t="inlineStr">
        <is>
          <t>DJ30</t>
        </is>
      </c>
      <c r="B2259" s="6" t="inlineStr">
        <is>
          <t>2024-05-24</t>
        </is>
      </c>
      <c r="C2259" s="6" t="inlineStr">
        <is>
          <t>DIA</t>
        </is>
      </c>
      <c r="D2259" s="6" t="inlineStr">
        <is>
          <t>TRV</t>
        </is>
      </c>
      <c r="E2259" s="6" t="inlineStr">
        <is>
          <t>TRV</t>
        </is>
      </c>
      <c r="F2259" s="6" t="inlineStr">
        <is>
          <t>-</t>
        </is>
      </c>
      <c r="G2259" s="7" t="n">
        <v>205.4849853515625</v>
      </c>
      <c r="H2259" s="6">
        <f>P2228</f>
        <v/>
      </c>
      <c r="I2259" s="9">
        <f>Q2228</f>
        <v/>
      </c>
      <c r="J2259" s="7">
        <f>I2259*G2259</f>
        <v/>
      </c>
      <c r="K2259" s="8">
        <f>IF($J$2264=0,0,J2259/$J$2264)</f>
        <v/>
      </c>
      <c r="L2259" s="6" t="inlineStr">
        <is>
          <t>WATCHLIST</t>
        </is>
      </c>
      <c r="M2259" s="8" t="n">
        <v>0</v>
      </c>
      <c r="N2259" s="7">
        <f>M2259*$J$2264-J2259</f>
        <v/>
      </c>
      <c r="O2259" s="9">
        <f>IF(G2259=0,0,N2259/G2259)</f>
        <v/>
      </c>
      <c r="P2259" s="6">
        <f>IF(M2259&gt;0,D2259,"")</f>
        <v/>
      </c>
      <c r="Q2259" s="9">
        <f>I2259+O2259</f>
        <v/>
      </c>
      <c r="R2259" s="7">
        <f>Q2259*G2259</f>
        <v/>
      </c>
      <c r="S2259" s="8">
        <f>IF($R$2264=0,0,R2259/$R$2264)</f>
        <v/>
      </c>
      <c r="T2259" s="8" t="n">
        <v>0.01460706195400574</v>
      </c>
      <c r="U2259" s="8" t="n">
        <v>-0.02327812559533604</v>
      </c>
      <c r="V2259" s="6" t="inlineStr">
        <is>
          <t>not selected</t>
        </is>
      </c>
    </row>
    <row r="2260">
      <c r="A2260" s="6" t="inlineStr">
        <is>
          <t>DJ30</t>
        </is>
      </c>
      <c r="B2260" s="6" t="inlineStr">
        <is>
          <t>2024-05-24</t>
        </is>
      </c>
      <c r="C2260" s="6" t="inlineStr">
        <is>
          <t>DIA</t>
        </is>
      </c>
      <c r="D2260" s="6" t="inlineStr">
        <is>
          <t>UNH</t>
        </is>
      </c>
      <c r="E2260" s="6" t="inlineStr">
        <is>
          <t>UNH</t>
        </is>
      </c>
      <c r="F2260" s="6" t="inlineStr">
        <is>
          <t>-</t>
        </is>
      </c>
      <c r="G2260" s="7" t="n">
        <v>483.69140625</v>
      </c>
      <c r="H2260" s="6">
        <f>P2229</f>
        <v/>
      </c>
      <c r="I2260" s="9">
        <f>Q2229</f>
        <v/>
      </c>
      <c r="J2260" s="7">
        <f>I2260*G2260</f>
        <v/>
      </c>
      <c r="K2260" s="8">
        <f>IF($J$2264=0,0,J2260/$J$2264)</f>
        <v/>
      </c>
      <c r="L2260" s="6" t="inlineStr">
        <is>
          <t>REJECTED</t>
        </is>
      </c>
      <c r="M2260" s="8" t="n">
        <v>0</v>
      </c>
      <c r="N2260" s="7">
        <f>M2260*$J$2264-J2260</f>
        <v/>
      </c>
      <c r="O2260" s="9">
        <f>IF(G2260=0,0,N2260/G2260)</f>
        <v/>
      </c>
      <c r="P2260" s="6">
        <f>IF(M2260&gt;0,D2260,"")</f>
        <v/>
      </c>
      <c r="Q2260" s="9">
        <f>I2260+O2260</f>
        <v/>
      </c>
      <c r="R2260" s="7">
        <f>Q2260*G2260</f>
        <v/>
      </c>
      <c r="S2260" s="8">
        <f>IF($R$2264=0,0,R2260/$R$2264)</f>
        <v/>
      </c>
      <c r="T2260" s="8" t="n">
        <v>0.01460706195400574</v>
      </c>
      <c r="U2260" s="8" t="n">
        <v>-0.02327812559533604</v>
      </c>
      <c r="V2260" s="6" t="inlineStr">
        <is>
          <t>not selected</t>
        </is>
      </c>
    </row>
    <row r="2261">
      <c r="A2261" s="6" t="inlineStr">
        <is>
          <t>DJ30</t>
        </is>
      </c>
      <c r="B2261" s="6" t="inlineStr">
        <is>
          <t>2024-05-24</t>
        </is>
      </c>
      <c r="C2261" s="6" t="inlineStr">
        <is>
          <t>DIA</t>
        </is>
      </c>
      <c r="D2261" s="6" t="inlineStr">
        <is>
          <t>V</t>
        </is>
      </c>
      <c r="E2261" s="6" t="inlineStr">
        <is>
          <t>V</t>
        </is>
      </c>
      <c r="F2261" s="6" t="inlineStr">
        <is>
          <t>-</t>
        </is>
      </c>
      <c r="G2261" s="7" t="n">
        <v>270.3733520507812</v>
      </c>
      <c r="H2261" s="6">
        <f>P2230</f>
        <v/>
      </c>
      <c r="I2261" s="9">
        <f>Q2230</f>
        <v/>
      </c>
      <c r="J2261" s="7">
        <f>I2261*G2261</f>
        <v/>
      </c>
      <c r="K2261" s="8">
        <f>IF($J$2264=0,0,J2261/$J$2264)</f>
        <v/>
      </c>
      <c r="L2261" s="6" t="inlineStr">
        <is>
          <t>WATCHLIST</t>
        </is>
      </c>
      <c r="M2261" s="8" t="n">
        <v>0</v>
      </c>
      <c r="N2261" s="7">
        <f>M2261*$J$2264-J2261</f>
        <v/>
      </c>
      <c r="O2261" s="9">
        <f>IF(G2261=0,0,N2261/G2261)</f>
        <v/>
      </c>
      <c r="P2261" s="6">
        <f>IF(M2261&gt;0,D2261,"")</f>
        <v/>
      </c>
      <c r="Q2261" s="9">
        <f>I2261+O2261</f>
        <v/>
      </c>
      <c r="R2261" s="7">
        <f>Q2261*G2261</f>
        <v/>
      </c>
      <c r="S2261" s="8">
        <f>IF($R$2264=0,0,R2261/$R$2264)</f>
        <v/>
      </c>
      <c r="T2261" s="8" t="n">
        <v>0.01460706195400574</v>
      </c>
      <c r="U2261" s="8" t="n">
        <v>-0.02327812559533604</v>
      </c>
      <c r="V2261" s="6" t="inlineStr">
        <is>
          <t>not selected</t>
        </is>
      </c>
    </row>
    <row r="2262">
      <c r="A2262" s="6" t="inlineStr">
        <is>
          <t>DJ30</t>
        </is>
      </c>
      <c r="B2262" s="6" t="inlineStr">
        <is>
          <t>2024-05-24</t>
        </is>
      </c>
      <c r="C2262" s="6" t="inlineStr">
        <is>
          <t>DIA</t>
        </is>
      </c>
      <c r="D2262" s="6" t="inlineStr">
        <is>
          <t>VZ</t>
        </is>
      </c>
      <c r="E2262" s="6" t="inlineStr">
        <is>
          <t>VZ</t>
        </is>
      </c>
      <c r="F2262" s="6" t="inlineStr">
        <is>
          <t>-</t>
        </is>
      </c>
      <c r="G2262" s="7" t="n">
        <v>34.88034057617188</v>
      </c>
      <c r="H2262" s="6">
        <f>P2231</f>
        <v/>
      </c>
      <c r="I2262" s="9">
        <f>Q2231</f>
        <v/>
      </c>
      <c r="J2262" s="7">
        <f>I2262*G2262</f>
        <v/>
      </c>
      <c r="K2262" s="8">
        <f>IF($J$2264=0,0,J2262/$J$2264)</f>
        <v/>
      </c>
      <c r="L2262" s="6" t="inlineStr">
        <is>
          <t>WATCHLIST</t>
        </is>
      </c>
      <c r="M2262" s="8" t="n">
        <v>0</v>
      </c>
      <c r="N2262" s="7">
        <f>M2262*$J$2264-J2262</f>
        <v/>
      </c>
      <c r="O2262" s="9">
        <f>IF(G2262=0,0,N2262/G2262)</f>
        <v/>
      </c>
      <c r="P2262" s="6">
        <f>IF(M2262&gt;0,D2262,"")</f>
        <v/>
      </c>
      <c r="Q2262" s="9">
        <f>I2262+O2262</f>
        <v/>
      </c>
      <c r="R2262" s="7">
        <f>Q2262*G2262</f>
        <v/>
      </c>
      <c r="S2262" s="8">
        <f>IF($R$2264=0,0,R2262/$R$2264)</f>
        <v/>
      </c>
      <c r="T2262" s="8" t="n">
        <v>0.01460706195400574</v>
      </c>
      <c r="U2262" s="8" t="n">
        <v>-0.02327812559533604</v>
      </c>
      <c r="V2262" s="6" t="inlineStr">
        <is>
          <t>not selected</t>
        </is>
      </c>
    </row>
    <row r="2263">
      <c r="A2263" s="6" t="inlineStr">
        <is>
          <t>DJ30</t>
        </is>
      </c>
      <c r="B2263" s="6" t="inlineStr">
        <is>
          <t>2024-05-24</t>
        </is>
      </c>
      <c r="C2263" s="6" t="inlineStr">
        <is>
          <t>DIA</t>
        </is>
      </c>
      <c r="D2263" s="6" t="inlineStr">
        <is>
          <t>WMT</t>
        </is>
      </c>
      <c r="E2263" s="6" t="inlineStr">
        <is>
          <t>WMT</t>
        </is>
      </c>
      <c r="F2263" s="6" t="inlineStr">
        <is>
          <t>-</t>
        </is>
      </c>
      <c r="G2263" s="7" t="n">
        <v>64.17884063720703</v>
      </c>
      <c r="H2263" s="6">
        <f>P2232</f>
        <v/>
      </c>
      <c r="I2263" s="9">
        <f>Q2232</f>
        <v/>
      </c>
      <c r="J2263" s="7">
        <f>I2263*G2263</f>
        <v/>
      </c>
      <c r="K2263" s="8">
        <f>IF($J$2264=0,0,J2263/$J$2264)</f>
        <v/>
      </c>
      <c r="L2263" s="6" t="inlineStr">
        <is>
          <t>WATCHLIST</t>
        </is>
      </c>
      <c r="M2263" s="8" t="n">
        <v>0</v>
      </c>
      <c r="N2263" s="7">
        <f>M2263*$J$2264-J2263</f>
        <v/>
      </c>
      <c r="O2263" s="9">
        <f>IF(G2263=0,0,N2263/G2263)</f>
        <v/>
      </c>
      <c r="P2263" s="6">
        <f>IF(M2263&gt;0,D2263,"")</f>
        <v/>
      </c>
      <c r="Q2263" s="9">
        <f>I2263+O2263</f>
        <v/>
      </c>
      <c r="R2263" s="7">
        <f>Q2263*G2263</f>
        <v/>
      </c>
      <c r="S2263" s="8">
        <f>IF($R$2264=0,0,R2263/$R$2264)</f>
        <v/>
      </c>
      <c r="T2263" s="8" t="n">
        <v>0.01460706195400574</v>
      </c>
      <c r="U2263" s="8" t="n">
        <v>-0.02327812559533604</v>
      </c>
      <c r="V2263" s="6" t="inlineStr">
        <is>
          <t>not selected</t>
        </is>
      </c>
    </row>
    <row r="2264">
      <c r="A2264" s="10" t="inlineStr">
        <is>
          <t>DJ30</t>
        </is>
      </c>
      <c r="B2264" s="10" t="inlineStr">
        <is>
          <t>2024-05-24</t>
        </is>
      </c>
      <c r="C2264" s="10" t="inlineStr">
        <is>
          <t>DIA</t>
        </is>
      </c>
      <c r="D2264" s="10" t="inlineStr">
        <is>
          <t>Tot Portfolio</t>
        </is>
      </c>
      <c r="E2264" s="10" t="inlineStr"/>
      <c r="F2264" s="10" t="inlineStr"/>
      <c r="G2264" s="11" t="inlineStr"/>
      <c r="H2264" s="10" t="inlineStr"/>
      <c r="I2264" s="12" t="inlineStr"/>
      <c r="J2264" s="11">
        <f>SUM(J2234:J2263)</f>
        <v/>
      </c>
      <c r="K2264" s="13">
        <f>SUM(K2234:K2263)</f>
        <v/>
      </c>
      <c r="L2264" s="10" t="inlineStr">
        <is>
          <t>TOTAL</t>
        </is>
      </c>
      <c r="M2264" s="13">
        <f>SUM(M2234:M2263)</f>
        <v/>
      </c>
      <c r="N2264" s="11">
        <f>SUM(N2234:N2263)</f>
        <v/>
      </c>
      <c r="O2264" s="12">
        <f>SUM(O2234:O2263)</f>
        <v/>
      </c>
      <c r="P2264" s="10" t="inlineStr"/>
      <c r="Q2264" s="12" t="inlineStr"/>
      <c r="R2264" s="11">
        <f>SUM(R2234:R2263)</f>
        <v/>
      </c>
      <c r="S2264" s="13">
        <f>SUM(S2234:S2263)</f>
        <v/>
      </c>
      <c r="T2264" s="13" t="n">
        <v>0.01460706195400574</v>
      </c>
      <c r="U2264" s="13" t="n">
        <v>-0.02327812559533604</v>
      </c>
      <c r="V2264" s="10" t="inlineStr"/>
    </row>
    <row r="2265">
      <c r="A2265" s="6" t="inlineStr">
        <is>
          <t>DJ30</t>
        </is>
      </c>
      <c r="B2265" s="6" t="inlineStr">
        <is>
          <t>2024-05-31</t>
        </is>
      </c>
      <c r="C2265" s="6" t="inlineStr">
        <is>
          <t>DIA</t>
        </is>
      </c>
      <c r="D2265" s="6" t="inlineStr">
        <is>
          <t>AAPL</t>
        </is>
      </c>
      <c r="E2265" s="6" t="inlineStr">
        <is>
          <t>AAPL</t>
        </is>
      </c>
      <c r="F2265" s="6" t="inlineStr">
        <is>
          <t>-</t>
        </is>
      </c>
      <c r="G2265" s="7" t="n">
        <v>190.5989532470703</v>
      </c>
      <c r="H2265" s="6">
        <f>P2234</f>
        <v/>
      </c>
      <c r="I2265" s="9">
        <f>Q2234</f>
        <v/>
      </c>
      <c r="J2265" s="7">
        <f>I2265*G2265</f>
        <v/>
      </c>
      <c r="K2265" s="8">
        <f>IF($J$2295=0,0,J2265/$J$2295)</f>
        <v/>
      </c>
      <c r="L2265" s="6" t="inlineStr">
        <is>
          <t>REJECTED</t>
        </is>
      </c>
      <c r="M2265" s="8" t="n">
        <v>0</v>
      </c>
      <c r="N2265" s="7">
        <f>M2265*$J$2295-J2265</f>
        <v/>
      </c>
      <c r="O2265" s="9">
        <f>IF(G2265=0,0,N2265/G2265)</f>
        <v/>
      </c>
      <c r="P2265" s="6">
        <f>IF(M2265&gt;0,D2265,"")</f>
        <v/>
      </c>
      <c r="Q2265" s="9">
        <f>I2265+O2265</f>
        <v/>
      </c>
      <c r="R2265" s="7">
        <f>Q2265*G2265</f>
        <v/>
      </c>
      <c r="S2265" s="8">
        <f>IF($R$2295=0,0,R2265/$R$2295)</f>
        <v/>
      </c>
      <c r="T2265" s="8" t="n">
        <v>-0.007590604021549319</v>
      </c>
      <c r="U2265" s="8" t="n">
        <v>-0.007961264381852518</v>
      </c>
      <c r="V2265" s="6" t="inlineStr">
        <is>
          <t>not selected</t>
        </is>
      </c>
    </row>
    <row r="2266">
      <c r="A2266" s="6" t="inlineStr">
        <is>
          <t>DJ30</t>
        </is>
      </c>
      <c r="B2266" s="6" t="inlineStr">
        <is>
          <t>2024-05-31</t>
        </is>
      </c>
      <c r="C2266" s="6" t="inlineStr">
        <is>
          <t>DIA</t>
        </is>
      </c>
      <c r="D2266" s="6" t="inlineStr">
        <is>
          <t>AMGN</t>
        </is>
      </c>
      <c r="E2266" s="6" t="inlineStr">
        <is>
          <t>AMGN</t>
        </is>
      </c>
      <c r="F2266" s="6" t="inlineStr">
        <is>
          <t>-</t>
        </is>
      </c>
      <c r="G2266" s="7" t="n">
        <v>287.6460571289062</v>
      </c>
      <c r="H2266" s="6">
        <f>P2235</f>
        <v/>
      </c>
      <c r="I2266" s="9">
        <f>Q2235</f>
        <v/>
      </c>
      <c r="J2266" s="7">
        <f>I2266*G2266</f>
        <v/>
      </c>
      <c r="K2266" s="8">
        <f>IF($J$2295=0,0,J2266/$J$2295)</f>
        <v/>
      </c>
      <c r="L2266" s="6" t="inlineStr">
        <is>
          <t>WATCHLIST</t>
        </is>
      </c>
      <c r="M2266" s="8" t="n">
        <v>0</v>
      </c>
      <c r="N2266" s="7">
        <f>M2266*$J$2295-J2266</f>
        <v/>
      </c>
      <c r="O2266" s="9">
        <f>IF(G2266=0,0,N2266/G2266)</f>
        <v/>
      </c>
      <c r="P2266" s="6">
        <f>IF(M2266&gt;0,D2266,"")</f>
        <v/>
      </c>
      <c r="Q2266" s="9">
        <f>I2266+O2266</f>
        <v/>
      </c>
      <c r="R2266" s="7">
        <f>Q2266*G2266</f>
        <v/>
      </c>
      <c r="S2266" s="8">
        <f>IF($R$2295=0,0,R2266/$R$2295)</f>
        <v/>
      </c>
      <c r="T2266" s="8" t="n">
        <v>-0.007590604021549319</v>
      </c>
      <c r="U2266" s="8" t="n">
        <v>-0.007961264381852518</v>
      </c>
      <c r="V2266" s="6" t="inlineStr">
        <is>
          <t>not selected</t>
        </is>
      </c>
    </row>
    <row r="2267">
      <c r="A2267" s="6" t="inlineStr">
        <is>
          <t>DJ30</t>
        </is>
      </c>
      <c r="B2267" s="6" t="inlineStr">
        <is>
          <t>2024-05-31</t>
        </is>
      </c>
      <c r="C2267" s="6" t="inlineStr">
        <is>
          <t>DIA</t>
        </is>
      </c>
      <c r="D2267" s="6" t="inlineStr">
        <is>
          <t>AMZN</t>
        </is>
      </c>
      <c r="E2267" s="6" t="inlineStr">
        <is>
          <t>AMZN</t>
        </is>
      </c>
      <c r="F2267" s="6" t="inlineStr">
        <is>
          <t>-</t>
        </is>
      </c>
      <c r="G2267" s="7" t="n">
        <v>176.4400024414062</v>
      </c>
      <c r="H2267" s="6">
        <f>P2236</f>
        <v/>
      </c>
      <c r="I2267" s="9">
        <f>Q2236</f>
        <v/>
      </c>
      <c r="J2267" s="7">
        <f>I2267*G2267</f>
        <v/>
      </c>
      <c r="K2267" s="8">
        <f>IF($J$2295=0,0,J2267/$J$2295)</f>
        <v/>
      </c>
      <c r="L2267" s="6" t="inlineStr">
        <is>
          <t>SELECTED</t>
        </is>
      </c>
      <c r="M2267" s="8" t="n">
        <v>0.2</v>
      </c>
      <c r="N2267" s="7">
        <f>M2267*$J$2295-J2267</f>
        <v/>
      </c>
      <c r="O2267" s="9">
        <f>IF(G2267=0,0,N2267/G2267)</f>
        <v/>
      </c>
      <c r="P2267" s="6">
        <f>IF(M2267&gt;0,D2267,"")</f>
        <v/>
      </c>
      <c r="Q2267" s="9">
        <f>I2267+O2267</f>
        <v/>
      </c>
      <c r="R2267" s="7">
        <f>Q2267*G2267</f>
        <v/>
      </c>
      <c r="S2267" s="8">
        <f>IF($R$2295=0,0,R2267/$R$2295)</f>
        <v/>
      </c>
      <c r="T2267" s="8" t="n">
        <v>-0.007590604021549319</v>
      </c>
      <c r="U2267" s="8" t="n">
        <v>-0.007961264381852518</v>
      </c>
      <c r="V2267" s="6" t="inlineStr">
        <is>
          <t>remained in weekly selection</t>
        </is>
      </c>
    </row>
    <row r="2268">
      <c r="A2268" s="6" t="inlineStr">
        <is>
          <t>DJ30</t>
        </is>
      </c>
      <c r="B2268" s="6" t="inlineStr">
        <is>
          <t>2024-05-31</t>
        </is>
      </c>
      <c r="C2268" s="6" t="inlineStr">
        <is>
          <t>DIA</t>
        </is>
      </c>
      <c r="D2268" s="6" t="inlineStr">
        <is>
          <t>AXP</t>
        </is>
      </c>
      <c r="E2268" s="6" t="inlineStr">
        <is>
          <t>AXP</t>
        </is>
      </c>
      <c r="F2268" s="6" t="inlineStr">
        <is>
          <t>-</t>
        </is>
      </c>
      <c r="G2268" s="7" t="n">
        <v>234.8542175292969</v>
      </c>
      <c r="H2268" s="6">
        <f>P2237</f>
        <v/>
      </c>
      <c r="I2268" s="9">
        <f>Q2237</f>
        <v/>
      </c>
      <c r="J2268" s="7">
        <f>I2268*G2268</f>
        <v/>
      </c>
      <c r="K2268" s="8">
        <f>IF($J$2295=0,0,J2268/$J$2295)</f>
        <v/>
      </c>
      <c r="L2268" s="6" t="inlineStr">
        <is>
          <t>WATCHLIST</t>
        </is>
      </c>
      <c r="M2268" s="8" t="n">
        <v>0</v>
      </c>
      <c r="N2268" s="7">
        <f>M2268*$J$2295-J2268</f>
        <v/>
      </c>
      <c r="O2268" s="9">
        <f>IF(G2268=0,0,N2268/G2268)</f>
        <v/>
      </c>
      <c r="P2268" s="6">
        <f>IF(M2268&gt;0,D2268,"")</f>
        <v/>
      </c>
      <c r="Q2268" s="9">
        <f>I2268+O2268</f>
        <v/>
      </c>
      <c r="R2268" s="7">
        <f>Q2268*G2268</f>
        <v/>
      </c>
      <c r="S2268" s="8">
        <f>IF($R$2295=0,0,R2268/$R$2295)</f>
        <v/>
      </c>
      <c r="T2268" s="8" t="n">
        <v>-0.007590604021549319</v>
      </c>
      <c r="U2268" s="8" t="n">
        <v>-0.007961264381852518</v>
      </c>
      <c r="V2268" s="6" t="inlineStr">
        <is>
          <t>not selected</t>
        </is>
      </c>
    </row>
    <row r="2269">
      <c r="A2269" s="6" t="inlineStr">
        <is>
          <t>DJ30</t>
        </is>
      </c>
      <c r="B2269" s="6" t="inlineStr">
        <is>
          <t>2024-05-31</t>
        </is>
      </c>
      <c r="C2269" s="6" t="inlineStr">
        <is>
          <t>DIA</t>
        </is>
      </c>
      <c r="D2269" s="6" t="inlineStr">
        <is>
          <t>BA</t>
        </is>
      </c>
      <c r="E2269" s="6" t="inlineStr">
        <is>
          <t>BA</t>
        </is>
      </c>
      <c r="F2269" s="6" t="inlineStr">
        <is>
          <t>-</t>
        </is>
      </c>
      <c r="G2269" s="7" t="n">
        <v>177.6100006103516</v>
      </c>
      <c r="H2269" s="6">
        <f>P2238</f>
        <v/>
      </c>
      <c r="I2269" s="9">
        <f>Q2238</f>
        <v/>
      </c>
      <c r="J2269" s="7">
        <f>I2269*G2269</f>
        <v/>
      </c>
      <c r="K2269" s="8">
        <f>IF($J$2295=0,0,J2269/$J$2295)</f>
        <v/>
      </c>
      <c r="L2269" s="6" t="inlineStr">
        <is>
          <t>REJECTED</t>
        </is>
      </c>
      <c r="M2269" s="8" t="n">
        <v>0</v>
      </c>
      <c r="N2269" s="7">
        <f>M2269*$J$2295-J2269</f>
        <v/>
      </c>
      <c r="O2269" s="9">
        <f>IF(G2269=0,0,N2269/G2269)</f>
        <v/>
      </c>
      <c r="P2269" s="6">
        <f>IF(M2269&gt;0,D2269,"")</f>
        <v/>
      </c>
      <c r="Q2269" s="9">
        <f>I2269+O2269</f>
        <v/>
      </c>
      <c r="R2269" s="7">
        <f>Q2269*G2269</f>
        <v/>
      </c>
      <c r="S2269" s="8">
        <f>IF($R$2295=0,0,R2269/$R$2295)</f>
        <v/>
      </c>
      <c r="T2269" s="8" t="n">
        <v>-0.007590604021549319</v>
      </c>
      <c r="U2269" s="8" t="n">
        <v>-0.007961264381852518</v>
      </c>
      <c r="V2269" s="6" t="inlineStr">
        <is>
          <t>not selected</t>
        </is>
      </c>
    </row>
    <row r="2270">
      <c r="A2270" s="6" t="inlineStr">
        <is>
          <t>DJ30</t>
        </is>
      </c>
      <c r="B2270" s="6" t="inlineStr">
        <is>
          <t>2024-05-31</t>
        </is>
      </c>
      <c r="C2270" s="6" t="inlineStr">
        <is>
          <t>DIA</t>
        </is>
      </c>
      <c r="D2270" s="6" t="inlineStr">
        <is>
          <t>CAT</t>
        </is>
      </c>
      <c r="E2270" s="6" t="inlineStr">
        <is>
          <t>CAT</t>
        </is>
      </c>
      <c r="F2270" s="6" t="inlineStr">
        <is>
          <t>-</t>
        </is>
      </c>
      <c r="G2270" s="7" t="n">
        <v>329.54248046875</v>
      </c>
      <c r="H2270" s="6">
        <f>P2239</f>
        <v/>
      </c>
      <c r="I2270" s="9">
        <f>Q2239</f>
        <v/>
      </c>
      <c r="J2270" s="7">
        <f>I2270*G2270</f>
        <v/>
      </c>
      <c r="K2270" s="8">
        <f>IF($J$2295=0,0,J2270/$J$2295)</f>
        <v/>
      </c>
      <c r="L2270" s="6" t="inlineStr">
        <is>
          <t>SELECTED</t>
        </is>
      </c>
      <c r="M2270" s="8" t="n">
        <v>0.2</v>
      </c>
      <c r="N2270" s="7">
        <f>M2270*$J$2295-J2270</f>
        <v/>
      </c>
      <c r="O2270" s="9">
        <f>IF(G2270=0,0,N2270/G2270)</f>
        <v/>
      </c>
      <c r="P2270" s="6">
        <f>IF(M2270&gt;0,D2270,"")</f>
        <v/>
      </c>
      <c r="Q2270" s="9">
        <f>I2270+O2270</f>
        <v/>
      </c>
      <c r="R2270" s="7">
        <f>Q2270*G2270</f>
        <v/>
      </c>
      <c r="S2270" s="8">
        <f>IF($R$2295=0,0,R2270/$R$2295)</f>
        <v/>
      </c>
      <c r="T2270" s="8" t="n">
        <v>-0.007590604021549319</v>
      </c>
      <c r="U2270" s="8" t="n">
        <v>-0.007961264381852518</v>
      </c>
      <c r="V2270" s="6" t="inlineStr">
        <is>
          <t>remained in weekly selection</t>
        </is>
      </c>
    </row>
    <row r="2271">
      <c r="A2271" s="6" t="inlineStr">
        <is>
          <t>DJ30</t>
        </is>
      </c>
      <c r="B2271" s="6" t="inlineStr">
        <is>
          <t>2024-05-31</t>
        </is>
      </c>
      <c r="C2271" s="6" t="inlineStr">
        <is>
          <t>DIA</t>
        </is>
      </c>
      <c r="D2271" s="6" t="inlineStr">
        <is>
          <t>CRM</t>
        </is>
      </c>
      <c r="E2271" s="6" t="inlineStr">
        <is>
          <t>CRM</t>
        </is>
      </c>
      <c r="F2271" s="6" t="inlineStr">
        <is>
          <t>-</t>
        </is>
      </c>
      <c r="G2271" s="7" t="n">
        <v>230.7540893554688</v>
      </c>
      <c r="H2271" s="6">
        <f>P2240</f>
        <v/>
      </c>
      <c r="I2271" s="9">
        <f>Q2240</f>
        <v/>
      </c>
      <c r="J2271" s="7">
        <f>I2271*G2271</f>
        <v/>
      </c>
      <c r="K2271" s="8">
        <f>IF($J$2295=0,0,J2271/$J$2295)</f>
        <v/>
      </c>
      <c r="L2271" s="6" t="inlineStr">
        <is>
          <t>WATCHLIST</t>
        </is>
      </c>
      <c r="M2271" s="8" t="n">
        <v>0</v>
      </c>
      <c r="N2271" s="7">
        <f>M2271*$J$2295-J2271</f>
        <v/>
      </c>
      <c r="O2271" s="9">
        <f>IF(G2271=0,0,N2271/G2271)</f>
        <v/>
      </c>
      <c r="P2271" s="6">
        <f>IF(M2271&gt;0,D2271,"")</f>
        <v/>
      </c>
      <c r="Q2271" s="9">
        <f>I2271+O2271</f>
        <v/>
      </c>
      <c r="R2271" s="7">
        <f>Q2271*G2271</f>
        <v/>
      </c>
      <c r="S2271" s="8">
        <f>IF($R$2295=0,0,R2271/$R$2295)</f>
        <v/>
      </c>
      <c r="T2271" s="8" t="n">
        <v>-0.007590604021549319</v>
      </c>
      <c r="U2271" s="8" t="n">
        <v>-0.007961264381852518</v>
      </c>
      <c r="V2271" s="6" t="inlineStr">
        <is>
          <t>not selected</t>
        </is>
      </c>
    </row>
    <row r="2272">
      <c r="A2272" s="6" t="inlineStr">
        <is>
          <t>DJ30</t>
        </is>
      </c>
      <c r="B2272" s="6" t="inlineStr">
        <is>
          <t>2024-05-31</t>
        </is>
      </c>
      <c r="C2272" s="6" t="inlineStr">
        <is>
          <t>DIA</t>
        </is>
      </c>
      <c r="D2272" s="6" t="inlineStr">
        <is>
          <t>CSCO</t>
        </is>
      </c>
      <c r="E2272" s="6" t="inlineStr">
        <is>
          <t>CSCO</t>
        </is>
      </c>
      <c r="F2272" s="6" t="inlineStr">
        <is>
          <t>-</t>
        </is>
      </c>
      <c r="G2272" s="7" t="n">
        <v>44.12852478027344</v>
      </c>
      <c r="H2272" s="6">
        <f>P2241</f>
        <v/>
      </c>
      <c r="I2272" s="9">
        <f>Q2241</f>
        <v/>
      </c>
      <c r="J2272" s="7">
        <f>I2272*G2272</f>
        <v/>
      </c>
      <c r="K2272" s="8">
        <f>IF($J$2295=0,0,J2272/$J$2295)</f>
        <v/>
      </c>
      <c r="L2272" s="6" t="inlineStr">
        <is>
          <t>REJECTED</t>
        </is>
      </c>
      <c r="M2272" s="8" t="n">
        <v>0</v>
      </c>
      <c r="N2272" s="7">
        <f>M2272*$J$2295-J2272</f>
        <v/>
      </c>
      <c r="O2272" s="9">
        <f>IF(G2272=0,0,N2272/G2272)</f>
        <v/>
      </c>
      <c r="P2272" s="6">
        <f>IF(M2272&gt;0,D2272,"")</f>
        <v/>
      </c>
      <c r="Q2272" s="9">
        <f>I2272+O2272</f>
        <v/>
      </c>
      <c r="R2272" s="7">
        <f>Q2272*G2272</f>
        <v/>
      </c>
      <c r="S2272" s="8">
        <f>IF($R$2295=0,0,R2272/$R$2295)</f>
        <v/>
      </c>
      <c r="T2272" s="8" t="n">
        <v>-0.007590604021549319</v>
      </c>
      <c r="U2272" s="8" t="n">
        <v>-0.007961264381852518</v>
      </c>
      <c r="V2272" s="6" t="inlineStr">
        <is>
          <t>not selected</t>
        </is>
      </c>
    </row>
    <row r="2273">
      <c r="A2273" s="6" t="inlineStr">
        <is>
          <t>DJ30</t>
        </is>
      </c>
      <c r="B2273" s="6" t="inlineStr">
        <is>
          <t>2024-05-31</t>
        </is>
      </c>
      <c r="C2273" s="6" t="inlineStr">
        <is>
          <t>DIA</t>
        </is>
      </c>
      <c r="D2273" s="6" t="inlineStr">
        <is>
          <t>CVX</t>
        </is>
      </c>
      <c r="E2273" s="6" t="inlineStr">
        <is>
          <t>CVX</t>
        </is>
      </c>
      <c r="F2273" s="6" t="inlineStr">
        <is>
          <t>-</t>
        </is>
      </c>
      <c r="G2273" s="7" t="n">
        <v>149.0081024169922</v>
      </c>
      <c r="H2273" s="6">
        <f>P2242</f>
        <v/>
      </c>
      <c r="I2273" s="9">
        <f>Q2242</f>
        <v/>
      </c>
      <c r="J2273" s="7">
        <f>I2273*G2273</f>
        <v/>
      </c>
      <c r="K2273" s="8">
        <f>IF($J$2295=0,0,J2273/$J$2295)</f>
        <v/>
      </c>
      <c r="L2273" s="6" t="inlineStr">
        <is>
          <t>REJECTED</t>
        </is>
      </c>
      <c r="M2273" s="8" t="n">
        <v>0</v>
      </c>
      <c r="N2273" s="7">
        <f>M2273*$J$2295-J2273</f>
        <v/>
      </c>
      <c r="O2273" s="9">
        <f>IF(G2273=0,0,N2273/G2273)</f>
        <v/>
      </c>
      <c r="P2273" s="6">
        <f>IF(M2273&gt;0,D2273,"")</f>
        <v/>
      </c>
      <c r="Q2273" s="9">
        <f>I2273+O2273</f>
        <v/>
      </c>
      <c r="R2273" s="7">
        <f>Q2273*G2273</f>
        <v/>
      </c>
      <c r="S2273" s="8">
        <f>IF($R$2295=0,0,R2273/$R$2295)</f>
        <v/>
      </c>
      <c r="T2273" s="8" t="n">
        <v>-0.007590604021549319</v>
      </c>
      <c r="U2273" s="8" t="n">
        <v>-0.007961264381852518</v>
      </c>
      <c r="V2273" s="6" t="inlineStr">
        <is>
          <t>not selected</t>
        </is>
      </c>
    </row>
    <row r="2274">
      <c r="A2274" s="6" t="inlineStr">
        <is>
          <t>DJ30</t>
        </is>
      </c>
      <c r="B2274" s="6" t="inlineStr">
        <is>
          <t>2024-05-31</t>
        </is>
      </c>
      <c r="C2274" s="6" t="inlineStr">
        <is>
          <t>DIA</t>
        </is>
      </c>
      <c r="D2274" s="6" t="inlineStr">
        <is>
          <t>DIS</t>
        </is>
      </c>
      <c r="E2274" s="6" t="inlineStr">
        <is>
          <t>DIS</t>
        </is>
      </c>
      <c r="F2274" s="6" t="inlineStr">
        <is>
          <t>-</t>
        </is>
      </c>
      <c r="G2274" s="7" t="n">
        <v>101.8501434326172</v>
      </c>
      <c r="H2274" s="6">
        <f>P2243</f>
        <v/>
      </c>
      <c r="I2274" s="9">
        <f>Q2243</f>
        <v/>
      </c>
      <c r="J2274" s="7">
        <f>I2274*G2274</f>
        <v/>
      </c>
      <c r="K2274" s="8">
        <f>IF($J$2295=0,0,J2274/$J$2295)</f>
        <v/>
      </c>
      <c r="L2274" s="6" t="inlineStr">
        <is>
          <t>WATCHLIST</t>
        </is>
      </c>
      <c r="M2274" s="8" t="n">
        <v>0</v>
      </c>
      <c r="N2274" s="7">
        <f>M2274*$J$2295-J2274</f>
        <v/>
      </c>
      <c r="O2274" s="9">
        <f>IF(G2274=0,0,N2274/G2274)</f>
        <v/>
      </c>
      <c r="P2274" s="6">
        <f>IF(M2274&gt;0,D2274,"")</f>
        <v/>
      </c>
      <c r="Q2274" s="9">
        <f>I2274+O2274</f>
        <v/>
      </c>
      <c r="R2274" s="7">
        <f>Q2274*G2274</f>
        <v/>
      </c>
      <c r="S2274" s="8">
        <f>IF($R$2295=0,0,R2274/$R$2295)</f>
        <v/>
      </c>
      <c r="T2274" s="8" t="n">
        <v>-0.007590604021549319</v>
      </c>
      <c r="U2274" s="8" t="n">
        <v>-0.007961264381852518</v>
      </c>
      <c r="V2274" s="6" t="inlineStr">
        <is>
          <t>not selected</t>
        </is>
      </c>
    </row>
    <row r="2275">
      <c r="A2275" s="6" t="inlineStr">
        <is>
          <t>DJ30</t>
        </is>
      </c>
      <c r="B2275" s="6" t="inlineStr">
        <is>
          <t>2024-05-31</t>
        </is>
      </c>
      <c r="C2275" s="6" t="inlineStr">
        <is>
          <t>DIA</t>
        </is>
      </c>
      <c r="D2275" s="6" t="inlineStr">
        <is>
          <t>GS</t>
        </is>
      </c>
      <c r="E2275" s="6" t="inlineStr">
        <is>
          <t>GS</t>
        </is>
      </c>
      <c r="F2275" s="6" t="inlineStr">
        <is>
          <t>-</t>
        </is>
      </c>
      <c r="G2275" s="7" t="n">
        <v>438.3171997070313</v>
      </c>
      <c r="H2275" s="6">
        <f>P2244</f>
        <v/>
      </c>
      <c r="I2275" s="9">
        <f>Q2244</f>
        <v/>
      </c>
      <c r="J2275" s="7">
        <f>I2275*G2275</f>
        <v/>
      </c>
      <c r="K2275" s="8">
        <f>IF($J$2295=0,0,J2275/$J$2295)</f>
        <v/>
      </c>
      <c r="L2275" s="6" t="inlineStr">
        <is>
          <t>WATCHLIST</t>
        </is>
      </c>
      <c r="M2275" s="8" t="n">
        <v>0</v>
      </c>
      <c r="N2275" s="7">
        <f>M2275*$J$2295-J2275</f>
        <v/>
      </c>
      <c r="O2275" s="9">
        <f>IF(G2275=0,0,N2275/G2275)</f>
        <v/>
      </c>
      <c r="P2275" s="6">
        <f>IF(M2275&gt;0,D2275,"")</f>
        <v/>
      </c>
      <c r="Q2275" s="9">
        <f>I2275+O2275</f>
        <v/>
      </c>
      <c r="R2275" s="7">
        <f>Q2275*G2275</f>
        <v/>
      </c>
      <c r="S2275" s="8">
        <f>IF($R$2295=0,0,R2275/$R$2295)</f>
        <v/>
      </c>
      <c r="T2275" s="8" t="n">
        <v>-0.007590604021549319</v>
      </c>
      <c r="U2275" s="8" t="n">
        <v>-0.007961264381852518</v>
      </c>
      <c r="V2275" s="6" t="inlineStr">
        <is>
          <t>not selected</t>
        </is>
      </c>
    </row>
    <row r="2276">
      <c r="A2276" s="6" t="inlineStr">
        <is>
          <t>DJ30</t>
        </is>
      </c>
      <c r="B2276" s="6" t="inlineStr">
        <is>
          <t>2024-05-31</t>
        </is>
      </c>
      <c r="C2276" s="6" t="inlineStr">
        <is>
          <t>DIA</t>
        </is>
      </c>
      <c r="D2276" s="6" t="inlineStr">
        <is>
          <t>HD</t>
        </is>
      </c>
      <c r="E2276" s="6" t="inlineStr">
        <is>
          <t>HD</t>
        </is>
      </c>
      <c r="F2276" s="6" t="inlineStr">
        <is>
          <t>-</t>
        </is>
      </c>
      <c r="G2276" s="7" t="n">
        <v>318.5161437988281</v>
      </c>
      <c r="H2276" s="6">
        <f>P2245</f>
        <v/>
      </c>
      <c r="I2276" s="9">
        <f>Q2245</f>
        <v/>
      </c>
      <c r="J2276" s="7">
        <f>I2276*G2276</f>
        <v/>
      </c>
      <c r="K2276" s="8">
        <f>IF($J$2295=0,0,J2276/$J$2295)</f>
        <v/>
      </c>
      <c r="L2276" s="6" t="inlineStr">
        <is>
          <t>WATCHLIST</t>
        </is>
      </c>
      <c r="M2276" s="8" t="n">
        <v>0</v>
      </c>
      <c r="N2276" s="7">
        <f>M2276*$J$2295-J2276</f>
        <v/>
      </c>
      <c r="O2276" s="9">
        <f>IF(G2276=0,0,N2276/G2276)</f>
        <v/>
      </c>
      <c r="P2276" s="6">
        <f>IF(M2276&gt;0,D2276,"")</f>
        <v/>
      </c>
      <c r="Q2276" s="9">
        <f>I2276+O2276</f>
        <v/>
      </c>
      <c r="R2276" s="7">
        <f>Q2276*G2276</f>
        <v/>
      </c>
      <c r="S2276" s="8">
        <f>IF($R$2295=0,0,R2276/$R$2295)</f>
        <v/>
      </c>
      <c r="T2276" s="8" t="n">
        <v>-0.007590604021549319</v>
      </c>
      <c r="U2276" s="8" t="n">
        <v>-0.007961264381852518</v>
      </c>
      <c r="V2276" s="6" t="inlineStr">
        <is>
          <t>not selected</t>
        </is>
      </c>
    </row>
    <row r="2277">
      <c r="A2277" s="6" t="inlineStr">
        <is>
          <t>DJ30</t>
        </is>
      </c>
      <c r="B2277" s="6" t="inlineStr">
        <is>
          <t>2024-05-31</t>
        </is>
      </c>
      <c r="C2277" s="6" t="inlineStr">
        <is>
          <t>DIA</t>
        </is>
      </c>
      <c r="D2277" s="6" t="inlineStr">
        <is>
          <t>HON</t>
        </is>
      </c>
      <c r="E2277" s="6" t="inlineStr">
        <is>
          <t>HON</t>
        </is>
      </c>
      <c r="F2277" s="6" t="inlineStr">
        <is>
          <t>-</t>
        </is>
      </c>
      <c r="G2277" s="7" t="n">
        <v>182.6546936035156</v>
      </c>
      <c r="H2277" s="6">
        <f>P2246</f>
        <v/>
      </c>
      <c r="I2277" s="9">
        <f>Q2246</f>
        <v/>
      </c>
      <c r="J2277" s="7">
        <f>I2277*G2277</f>
        <v/>
      </c>
      <c r="K2277" s="8">
        <f>IF($J$2295=0,0,J2277/$J$2295)</f>
        <v/>
      </c>
      <c r="L2277" s="6" t="inlineStr">
        <is>
          <t>REJECTED</t>
        </is>
      </c>
      <c r="M2277" s="8" t="n">
        <v>0</v>
      </c>
      <c r="N2277" s="7">
        <f>M2277*$J$2295-J2277</f>
        <v/>
      </c>
      <c r="O2277" s="9">
        <f>IF(G2277=0,0,N2277/G2277)</f>
        <v/>
      </c>
      <c r="P2277" s="6">
        <f>IF(M2277&gt;0,D2277,"")</f>
        <v/>
      </c>
      <c r="Q2277" s="9">
        <f>I2277+O2277</f>
        <v/>
      </c>
      <c r="R2277" s="7">
        <f>Q2277*G2277</f>
        <v/>
      </c>
      <c r="S2277" s="8">
        <f>IF($R$2295=0,0,R2277/$R$2295)</f>
        <v/>
      </c>
      <c r="T2277" s="8" t="n">
        <v>-0.007590604021549319</v>
      </c>
      <c r="U2277" s="8" t="n">
        <v>-0.007961264381852518</v>
      </c>
      <c r="V2277" s="6" t="inlineStr">
        <is>
          <t>not selected</t>
        </is>
      </c>
    </row>
    <row r="2278">
      <c r="A2278" s="6" t="inlineStr">
        <is>
          <t>DJ30</t>
        </is>
      </c>
      <c r="B2278" s="6" t="inlineStr">
        <is>
          <t>2024-05-31</t>
        </is>
      </c>
      <c r="C2278" s="6" t="inlineStr">
        <is>
          <t>DIA</t>
        </is>
      </c>
      <c r="D2278" s="6" t="inlineStr">
        <is>
          <t>IBM</t>
        </is>
      </c>
      <c r="E2278" s="6" t="inlineStr">
        <is>
          <t>IBM</t>
        </is>
      </c>
      <c r="F2278" s="6" t="inlineStr">
        <is>
          <t>-</t>
        </is>
      </c>
      <c r="G2278" s="7" t="n">
        <v>157.9074249267578</v>
      </c>
      <c r="H2278" s="6">
        <f>P2247</f>
        <v/>
      </c>
      <c r="I2278" s="9">
        <f>Q2247</f>
        <v/>
      </c>
      <c r="J2278" s="7">
        <f>I2278*G2278</f>
        <v/>
      </c>
      <c r="K2278" s="8">
        <f>IF($J$2295=0,0,J2278/$J$2295)</f>
        <v/>
      </c>
      <c r="L2278" s="6" t="inlineStr">
        <is>
          <t>SELECTED</t>
        </is>
      </c>
      <c r="M2278" s="8" t="n">
        <v>0.2</v>
      </c>
      <c r="N2278" s="7">
        <f>M2278*$J$2295-J2278</f>
        <v/>
      </c>
      <c r="O2278" s="9">
        <f>IF(G2278=0,0,N2278/G2278)</f>
        <v/>
      </c>
      <c r="P2278" s="6">
        <f>IF(M2278&gt;0,D2278,"")</f>
        <v/>
      </c>
      <c r="Q2278" s="9">
        <f>I2278+O2278</f>
        <v/>
      </c>
      <c r="R2278" s="7">
        <f>Q2278*G2278</f>
        <v/>
      </c>
      <c r="S2278" s="8">
        <f>IF($R$2295=0,0,R2278/$R$2295)</f>
        <v/>
      </c>
      <c r="T2278" s="8" t="n">
        <v>-0.007590604021549319</v>
      </c>
      <c r="U2278" s="8" t="n">
        <v>-0.007961264381852518</v>
      </c>
      <c r="V2278" s="6" t="inlineStr">
        <is>
          <t>remained in weekly selection</t>
        </is>
      </c>
    </row>
    <row r="2279">
      <c r="A2279" s="6" t="inlineStr">
        <is>
          <t>DJ30</t>
        </is>
      </c>
      <c r="B2279" s="6" t="inlineStr">
        <is>
          <t>2024-05-31</t>
        </is>
      </c>
      <c r="C2279" s="6" t="inlineStr">
        <is>
          <t>DIA</t>
        </is>
      </c>
      <c r="D2279" s="6" t="inlineStr">
        <is>
          <t>JNJ</t>
        </is>
      </c>
      <c r="E2279" s="6" t="inlineStr">
        <is>
          <t>JNJ</t>
        </is>
      </c>
      <c r="F2279" s="6" t="inlineStr">
        <is>
          <t>-</t>
        </is>
      </c>
      <c r="G2279" s="7" t="n">
        <v>138.5794372558594</v>
      </c>
      <c r="H2279" s="6">
        <f>P2248</f>
        <v/>
      </c>
      <c r="I2279" s="9">
        <f>Q2248</f>
        <v/>
      </c>
      <c r="J2279" s="7">
        <f>I2279*G2279</f>
        <v/>
      </c>
      <c r="K2279" s="8">
        <f>IF($J$2295=0,0,J2279/$J$2295)</f>
        <v/>
      </c>
      <c r="L2279" s="6" t="inlineStr">
        <is>
          <t>REJECTED</t>
        </is>
      </c>
      <c r="M2279" s="8" t="n">
        <v>0</v>
      </c>
      <c r="N2279" s="7">
        <f>M2279*$J$2295-J2279</f>
        <v/>
      </c>
      <c r="O2279" s="9">
        <f>IF(G2279=0,0,N2279/G2279)</f>
        <v/>
      </c>
      <c r="P2279" s="6">
        <f>IF(M2279&gt;0,D2279,"")</f>
        <v/>
      </c>
      <c r="Q2279" s="9">
        <f>I2279+O2279</f>
        <v/>
      </c>
      <c r="R2279" s="7">
        <f>Q2279*G2279</f>
        <v/>
      </c>
      <c r="S2279" s="8">
        <f>IF($R$2295=0,0,R2279/$R$2295)</f>
        <v/>
      </c>
      <c r="T2279" s="8" t="n">
        <v>-0.007590604021549319</v>
      </c>
      <c r="U2279" s="8" t="n">
        <v>-0.007961264381852518</v>
      </c>
      <c r="V2279" s="6" t="inlineStr">
        <is>
          <t>not selected</t>
        </is>
      </c>
    </row>
    <row r="2280">
      <c r="A2280" s="6" t="inlineStr">
        <is>
          <t>DJ30</t>
        </is>
      </c>
      <c r="B2280" s="6" t="inlineStr">
        <is>
          <t>2024-05-31</t>
        </is>
      </c>
      <c r="C2280" s="6" t="inlineStr">
        <is>
          <t>DIA</t>
        </is>
      </c>
      <c r="D2280" s="6" t="inlineStr">
        <is>
          <t>JPM</t>
        </is>
      </c>
      <c r="E2280" s="6" t="inlineStr">
        <is>
          <t>JPM</t>
        </is>
      </c>
      <c r="F2280" s="6" t="inlineStr">
        <is>
          <t>-</t>
        </is>
      </c>
      <c r="G2280" s="7" t="n">
        <v>194.2591857910156</v>
      </c>
      <c r="H2280" s="6">
        <f>P2249</f>
        <v/>
      </c>
      <c r="I2280" s="9">
        <f>Q2249</f>
        <v/>
      </c>
      <c r="J2280" s="7">
        <f>I2280*G2280</f>
        <v/>
      </c>
      <c r="K2280" s="8">
        <f>IF($J$2295=0,0,J2280/$J$2295)</f>
        <v/>
      </c>
      <c r="L2280" s="6" t="inlineStr">
        <is>
          <t>SELECTED</t>
        </is>
      </c>
      <c r="M2280" s="8" t="n">
        <v>0.2</v>
      </c>
      <c r="N2280" s="7">
        <f>M2280*$J$2295-J2280</f>
        <v/>
      </c>
      <c r="O2280" s="9">
        <f>IF(G2280=0,0,N2280/G2280)</f>
        <v/>
      </c>
      <c r="P2280" s="6">
        <f>IF(M2280&gt;0,D2280,"")</f>
        <v/>
      </c>
      <c r="Q2280" s="9">
        <f>I2280+O2280</f>
        <v/>
      </c>
      <c r="R2280" s="7">
        <f>Q2280*G2280</f>
        <v/>
      </c>
      <c r="S2280" s="8">
        <f>IF($R$2295=0,0,R2280/$R$2295)</f>
        <v/>
      </c>
      <c r="T2280" s="8" t="n">
        <v>-0.007590604021549319</v>
      </c>
      <c r="U2280" s="8" t="n">
        <v>-0.007961264381852518</v>
      </c>
      <c r="V2280" s="6" t="inlineStr">
        <is>
          <t>remained in weekly selection</t>
        </is>
      </c>
    </row>
    <row r="2281">
      <c r="A2281" s="6" t="inlineStr">
        <is>
          <t>DJ30</t>
        </is>
      </c>
      <c r="B2281" s="6" t="inlineStr">
        <is>
          <t>2024-05-31</t>
        </is>
      </c>
      <c r="C2281" s="6" t="inlineStr">
        <is>
          <t>DIA</t>
        </is>
      </c>
      <c r="D2281" s="6" t="inlineStr">
        <is>
          <t>KO</t>
        </is>
      </c>
      <c r="E2281" s="6" t="inlineStr">
        <is>
          <t>KO</t>
        </is>
      </c>
      <c r="F2281" s="6" t="inlineStr">
        <is>
          <t>-</t>
        </is>
      </c>
      <c r="G2281" s="7" t="n">
        <v>59.00020599365234</v>
      </c>
      <c r="H2281" s="6">
        <f>P2250</f>
        <v/>
      </c>
      <c r="I2281" s="9">
        <f>Q2250</f>
        <v/>
      </c>
      <c r="J2281" s="7">
        <f>I2281*G2281</f>
        <v/>
      </c>
      <c r="K2281" s="8">
        <f>IF($J$2295=0,0,J2281/$J$2295)</f>
        <v/>
      </c>
      <c r="L2281" s="6" t="inlineStr">
        <is>
          <t>REJECTED</t>
        </is>
      </c>
      <c r="M2281" s="8" t="n">
        <v>0</v>
      </c>
      <c r="N2281" s="7">
        <f>M2281*$J$2295-J2281</f>
        <v/>
      </c>
      <c r="O2281" s="9">
        <f>IF(G2281=0,0,N2281/G2281)</f>
        <v/>
      </c>
      <c r="P2281" s="6">
        <f>IF(M2281&gt;0,D2281,"")</f>
        <v/>
      </c>
      <c r="Q2281" s="9">
        <f>I2281+O2281</f>
        <v/>
      </c>
      <c r="R2281" s="7">
        <f>Q2281*G2281</f>
        <v/>
      </c>
      <c r="S2281" s="8">
        <f>IF($R$2295=0,0,R2281/$R$2295)</f>
        <v/>
      </c>
      <c r="T2281" s="8" t="n">
        <v>-0.007590604021549319</v>
      </c>
      <c r="U2281" s="8" t="n">
        <v>-0.007961264381852518</v>
      </c>
      <c r="V2281" s="6" t="inlineStr">
        <is>
          <t>not selected</t>
        </is>
      </c>
    </row>
    <row r="2282">
      <c r="A2282" s="6" t="inlineStr">
        <is>
          <t>DJ30</t>
        </is>
      </c>
      <c r="B2282" s="6" t="inlineStr">
        <is>
          <t>2024-05-31</t>
        </is>
      </c>
      <c r="C2282" s="6" t="inlineStr">
        <is>
          <t>DIA</t>
        </is>
      </c>
      <c r="D2282" s="6" t="inlineStr">
        <is>
          <t>MCD</t>
        </is>
      </c>
      <c r="E2282" s="6" t="inlineStr">
        <is>
          <t>MCD</t>
        </is>
      </c>
      <c r="F2282" s="6" t="inlineStr">
        <is>
          <t>-</t>
        </is>
      </c>
      <c r="G2282" s="7" t="n">
        <v>245.3646545410156</v>
      </c>
      <c r="H2282" s="6">
        <f>P2251</f>
        <v/>
      </c>
      <c r="I2282" s="9">
        <f>Q2251</f>
        <v/>
      </c>
      <c r="J2282" s="7">
        <f>I2282*G2282</f>
        <v/>
      </c>
      <c r="K2282" s="8">
        <f>IF($J$2295=0,0,J2282/$J$2295)</f>
        <v/>
      </c>
      <c r="L2282" s="6" t="inlineStr">
        <is>
          <t>REJECTED</t>
        </is>
      </c>
      <c r="M2282" s="8" t="n">
        <v>0</v>
      </c>
      <c r="N2282" s="7">
        <f>M2282*$J$2295-J2282</f>
        <v/>
      </c>
      <c r="O2282" s="9">
        <f>IF(G2282=0,0,N2282/G2282)</f>
        <v/>
      </c>
      <c r="P2282" s="6">
        <f>IF(M2282&gt;0,D2282,"")</f>
        <v/>
      </c>
      <c r="Q2282" s="9">
        <f>I2282+O2282</f>
        <v/>
      </c>
      <c r="R2282" s="7">
        <f>Q2282*G2282</f>
        <v/>
      </c>
      <c r="S2282" s="8">
        <f>IF($R$2295=0,0,R2282/$R$2295)</f>
        <v/>
      </c>
      <c r="T2282" s="8" t="n">
        <v>-0.007590604021549319</v>
      </c>
      <c r="U2282" s="8" t="n">
        <v>-0.007961264381852518</v>
      </c>
      <c r="V2282" s="6" t="inlineStr">
        <is>
          <t>not selected</t>
        </is>
      </c>
    </row>
    <row r="2283">
      <c r="A2283" s="6" t="inlineStr">
        <is>
          <t>DJ30</t>
        </is>
      </c>
      <c r="B2283" s="6" t="inlineStr">
        <is>
          <t>2024-05-31</t>
        </is>
      </c>
      <c r="C2283" s="6" t="inlineStr">
        <is>
          <t>DIA</t>
        </is>
      </c>
      <c r="D2283" s="6" t="inlineStr">
        <is>
          <t>MMM</t>
        </is>
      </c>
      <c r="E2283" s="6" t="inlineStr">
        <is>
          <t>MMM</t>
        </is>
      </c>
      <c r="F2283" s="6" t="inlineStr">
        <is>
          <t>-</t>
        </is>
      </c>
      <c r="G2283" s="7" t="n">
        <v>96.30777740478516</v>
      </c>
      <c r="H2283" s="6">
        <f>P2252</f>
        <v/>
      </c>
      <c r="I2283" s="9">
        <f>Q2252</f>
        <v/>
      </c>
      <c r="J2283" s="7">
        <f>I2283*G2283</f>
        <v/>
      </c>
      <c r="K2283" s="8">
        <f>IF($J$2295=0,0,J2283/$J$2295)</f>
        <v/>
      </c>
      <c r="L2283" s="6" t="inlineStr">
        <is>
          <t>REJECTED</t>
        </is>
      </c>
      <c r="M2283" s="8" t="n">
        <v>0</v>
      </c>
      <c r="N2283" s="7">
        <f>M2283*$J$2295-J2283</f>
        <v/>
      </c>
      <c r="O2283" s="9">
        <f>IF(G2283=0,0,N2283/G2283)</f>
        <v/>
      </c>
      <c r="P2283" s="6">
        <f>IF(M2283&gt;0,D2283,"")</f>
        <v/>
      </c>
      <c r="Q2283" s="9">
        <f>I2283+O2283</f>
        <v/>
      </c>
      <c r="R2283" s="7">
        <f>Q2283*G2283</f>
        <v/>
      </c>
      <c r="S2283" s="8">
        <f>IF($R$2295=0,0,R2283/$R$2295)</f>
        <v/>
      </c>
      <c r="T2283" s="8" t="n">
        <v>-0.007590604021549319</v>
      </c>
      <c r="U2283" s="8" t="n">
        <v>-0.007961264381852518</v>
      </c>
      <c r="V2283" s="6" t="inlineStr">
        <is>
          <t>not selected</t>
        </is>
      </c>
    </row>
    <row r="2284">
      <c r="A2284" s="6" t="inlineStr">
        <is>
          <t>DJ30</t>
        </is>
      </c>
      <c r="B2284" s="6" t="inlineStr">
        <is>
          <t>2024-05-31</t>
        </is>
      </c>
      <c r="C2284" s="6" t="inlineStr">
        <is>
          <t>DIA</t>
        </is>
      </c>
      <c r="D2284" s="6" t="inlineStr">
        <is>
          <t>MRK</t>
        </is>
      </c>
      <c r="E2284" s="6" t="inlineStr">
        <is>
          <t>MRK</t>
        </is>
      </c>
      <c r="F2284" s="6" t="inlineStr">
        <is>
          <t>-</t>
        </is>
      </c>
      <c r="G2284" s="7" t="n">
        <v>116.812385559082</v>
      </c>
      <c r="H2284" s="6">
        <f>P2253</f>
        <v/>
      </c>
      <c r="I2284" s="9">
        <f>Q2253</f>
        <v/>
      </c>
      <c r="J2284" s="7">
        <f>I2284*G2284</f>
        <v/>
      </c>
      <c r="K2284" s="8">
        <f>IF($J$2295=0,0,J2284/$J$2295)</f>
        <v/>
      </c>
      <c r="L2284" s="6" t="inlineStr">
        <is>
          <t>WATCHLIST</t>
        </is>
      </c>
      <c r="M2284" s="8" t="n">
        <v>0</v>
      </c>
      <c r="N2284" s="7">
        <f>M2284*$J$2295-J2284</f>
        <v/>
      </c>
      <c r="O2284" s="9">
        <f>IF(G2284=0,0,N2284/G2284)</f>
        <v/>
      </c>
      <c r="P2284" s="6">
        <f>IF(M2284&gt;0,D2284,"")</f>
        <v/>
      </c>
      <c r="Q2284" s="9">
        <f>I2284+O2284</f>
        <v/>
      </c>
      <c r="R2284" s="7">
        <f>Q2284*G2284</f>
        <v/>
      </c>
      <c r="S2284" s="8">
        <f>IF($R$2295=0,0,R2284/$R$2295)</f>
        <v/>
      </c>
      <c r="T2284" s="8" t="n">
        <v>-0.007590604021549319</v>
      </c>
      <c r="U2284" s="8" t="n">
        <v>-0.007961264381852518</v>
      </c>
      <c r="V2284" s="6" t="inlineStr">
        <is>
          <t>not selected</t>
        </is>
      </c>
    </row>
    <row r="2285">
      <c r="A2285" s="6" t="inlineStr">
        <is>
          <t>DJ30</t>
        </is>
      </c>
      <c r="B2285" s="6" t="inlineStr">
        <is>
          <t>2024-05-31</t>
        </is>
      </c>
      <c r="C2285" s="6" t="inlineStr">
        <is>
          <t>DIA</t>
        </is>
      </c>
      <c r="D2285" s="6" t="inlineStr">
        <is>
          <t>MSFT</t>
        </is>
      </c>
      <c r="E2285" s="6" t="inlineStr">
        <is>
          <t>MSFT</t>
        </is>
      </c>
      <c r="F2285" s="6" t="inlineStr">
        <is>
          <t>-</t>
        </is>
      </c>
      <c r="G2285" s="7" t="n">
        <v>408.7069091796875</v>
      </c>
      <c r="H2285" s="6">
        <f>P2254</f>
        <v/>
      </c>
      <c r="I2285" s="9">
        <f>Q2254</f>
        <v/>
      </c>
      <c r="J2285" s="7">
        <f>I2285*G2285</f>
        <v/>
      </c>
      <c r="K2285" s="8">
        <f>IF($J$2295=0,0,J2285/$J$2295)</f>
        <v/>
      </c>
      <c r="L2285" s="6" t="inlineStr">
        <is>
          <t>WATCHLIST</t>
        </is>
      </c>
      <c r="M2285" s="8" t="n">
        <v>0</v>
      </c>
      <c r="N2285" s="7">
        <f>M2285*$J$2295-J2285</f>
        <v/>
      </c>
      <c r="O2285" s="9">
        <f>IF(G2285=0,0,N2285/G2285)</f>
        <v/>
      </c>
      <c r="P2285" s="6">
        <f>IF(M2285&gt;0,D2285,"")</f>
        <v/>
      </c>
      <c r="Q2285" s="9">
        <f>I2285+O2285</f>
        <v/>
      </c>
      <c r="R2285" s="7">
        <f>Q2285*G2285</f>
        <v/>
      </c>
      <c r="S2285" s="8">
        <f>IF($R$2295=0,0,R2285/$R$2295)</f>
        <v/>
      </c>
      <c r="T2285" s="8" t="n">
        <v>-0.007590604021549319</v>
      </c>
      <c r="U2285" s="8" t="n">
        <v>-0.007961264381852518</v>
      </c>
      <c r="V2285" s="6" t="inlineStr">
        <is>
          <t>not selected</t>
        </is>
      </c>
    </row>
    <row r="2286">
      <c r="A2286" s="6" t="inlineStr">
        <is>
          <t>DJ30</t>
        </is>
      </c>
      <c r="B2286" s="6" t="inlineStr">
        <is>
          <t>2024-05-31</t>
        </is>
      </c>
      <c r="C2286" s="6" t="inlineStr">
        <is>
          <t>DIA</t>
        </is>
      </c>
      <c r="D2286" s="6" t="inlineStr">
        <is>
          <t>NKE</t>
        </is>
      </c>
      <c r="E2286" s="6" t="inlineStr">
        <is>
          <t>NKE</t>
        </is>
      </c>
      <c r="F2286" s="6" t="inlineStr">
        <is>
          <t>-</t>
        </is>
      </c>
      <c r="G2286" s="7" t="n">
        <v>90.2169952392578</v>
      </c>
      <c r="H2286" s="6">
        <f>P2255</f>
        <v/>
      </c>
      <c r="I2286" s="9">
        <f>Q2255</f>
        <v/>
      </c>
      <c r="J2286" s="7">
        <f>I2286*G2286</f>
        <v/>
      </c>
      <c r="K2286" s="8">
        <f>IF($J$2295=0,0,J2286/$J$2295)</f>
        <v/>
      </c>
      <c r="L2286" s="6" t="inlineStr">
        <is>
          <t>REJECTED</t>
        </is>
      </c>
      <c r="M2286" s="8" t="n">
        <v>0</v>
      </c>
      <c r="N2286" s="7">
        <f>M2286*$J$2295-J2286</f>
        <v/>
      </c>
      <c r="O2286" s="9">
        <f>IF(G2286=0,0,N2286/G2286)</f>
        <v/>
      </c>
      <c r="P2286" s="6">
        <f>IF(M2286&gt;0,D2286,"")</f>
        <v/>
      </c>
      <c r="Q2286" s="9">
        <f>I2286+O2286</f>
        <v/>
      </c>
      <c r="R2286" s="7">
        <f>Q2286*G2286</f>
        <v/>
      </c>
      <c r="S2286" s="8">
        <f>IF($R$2295=0,0,R2286/$R$2295)</f>
        <v/>
      </c>
      <c r="T2286" s="8" t="n">
        <v>-0.007590604021549319</v>
      </c>
      <c r="U2286" s="8" t="n">
        <v>-0.007961264381852518</v>
      </c>
      <c r="V2286" s="6" t="inlineStr">
        <is>
          <t>not selected</t>
        </is>
      </c>
    </row>
    <row r="2287">
      <c r="A2287" s="6" t="inlineStr">
        <is>
          <t>DJ30</t>
        </is>
      </c>
      <c r="B2287" s="6" t="inlineStr">
        <is>
          <t>2024-05-31</t>
        </is>
      </c>
      <c r="C2287" s="6" t="inlineStr">
        <is>
          <t>DIA</t>
        </is>
      </c>
      <c r="D2287" s="6" t="inlineStr">
        <is>
          <t>NVDA</t>
        </is>
      </c>
      <c r="E2287" s="6" t="inlineStr">
        <is>
          <t>NVDA</t>
        </is>
      </c>
      <c r="F2287" s="6" t="inlineStr">
        <is>
          <t>-</t>
        </is>
      </c>
      <c r="G2287" s="7" t="n">
        <v>109.4436264038086</v>
      </c>
      <c r="H2287" s="6">
        <f>P2256</f>
        <v/>
      </c>
      <c r="I2287" s="9">
        <f>Q2256</f>
        <v/>
      </c>
      <c r="J2287" s="7">
        <f>I2287*G2287</f>
        <v/>
      </c>
      <c r="K2287" s="8">
        <f>IF($J$2295=0,0,J2287/$J$2295)</f>
        <v/>
      </c>
      <c r="L2287" s="6" t="inlineStr">
        <is>
          <t>SELECTED</t>
        </is>
      </c>
      <c r="M2287" s="8" t="n">
        <v>0.2</v>
      </c>
      <c r="N2287" s="7">
        <f>M2287*$J$2295-J2287</f>
        <v/>
      </c>
      <c r="O2287" s="9">
        <f>IF(G2287=0,0,N2287/G2287)</f>
        <v/>
      </c>
      <c r="P2287" s="6">
        <f>IF(M2287&gt;0,D2287,"")</f>
        <v/>
      </c>
      <c r="Q2287" s="9">
        <f>I2287+O2287</f>
        <v/>
      </c>
      <c r="R2287" s="7">
        <f>Q2287*G2287</f>
        <v/>
      </c>
      <c r="S2287" s="8">
        <f>IF($R$2295=0,0,R2287/$R$2295)</f>
        <v/>
      </c>
      <c r="T2287" s="8" t="n">
        <v>-0.007590604021549319</v>
      </c>
      <c r="U2287" s="8" t="n">
        <v>-0.007961264381852518</v>
      </c>
      <c r="V2287" s="6" t="inlineStr">
        <is>
          <t>remained in weekly selection</t>
        </is>
      </c>
    </row>
    <row r="2288">
      <c r="A2288" s="6" t="inlineStr">
        <is>
          <t>DJ30</t>
        </is>
      </c>
      <c r="B2288" s="6" t="inlineStr">
        <is>
          <t>2024-05-31</t>
        </is>
      </c>
      <c r="C2288" s="6" t="inlineStr">
        <is>
          <t>DIA</t>
        </is>
      </c>
      <c r="D2288" s="6" t="inlineStr">
        <is>
          <t>PG</t>
        </is>
      </c>
      <c r="E2288" s="6" t="inlineStr">
        <is>
          <t>PG</t>
        </is>
      </c>
      <c r="F2288" s="6" t="inlineStr">
        <is>
          <t>-</t>
        </is>
      </c>
      <c r="G2288" s="7" t="n">
        <v>156.1225433349609</v>
      </c>
      <c r="H2288" s="6">
        <f>P2257</f>
        <v/>
      </c>
      <c r="I2288" s="9">
        <f>Q2257</f>
        <v/>
      </c>
      <c r="J2288" s="7">
        <f>I2288*G2288</f>
        <v/>
      </c>
      <c r="K2288" s="8">
        <f>IF($J$2295=0,0,J2288/$J$2295)</f>
        <v/>
      </c>
      <c r="L2288" s="6" t="inlineStr">
        <is>
          <t>WATCHLIST</t>
        </is>
      </c>
      <c r="M2288" s="8" t="n">
        <v>0</v>
      </c>
      <c r="N2288" s="7">
        <f>M2288*$J$2295-J2288</f>
        <v/>
      </c>
      <c r="O2288" s="9">
        <f>IF(G2288=0,0,N2288/G2288)</f>
        <v/>
      </c>
      <c r="P2288" s="6">
        <f>IF(M2288&gt;0,D2288,"")</f>
        <v/>
      </c>
      <c r="Q2288" s="9">
        <f>I2288+O2288</f>
        <v/>
      </c>
      <c r="R2288" s="7">
        <f>Q2288*G2288</f>
        <v/>
      </c>
      <c r="S2288" s="8">
        <f>IF($R$2295=0,0,R2288/$R$2295)</f>
        <v/>
      </c>
      <c r="T2288" s="8" t="n">
        <v>-0.007590604021549319</v>
      </c>
      <c r="U2288" s="8" t="n">
        <v>-0.007961264381852518</v>
      </c>
      <c r="V2288" s="6" t="inlineStr">
        <is>
          <t>not selected</t>
        </is>
      </c>
    </row>
    <row r="2289">
      <c r="A2289" s="6" t="inlineStr">
        <is>
          <t>DJ30</t>
        </is>
      </c>
      <c r="B2289" s="6" t="inlineStr">
        <is>
          <t>2024-05-31</t>
        </is>
      </c>
      <c r="C2289" s="6" t="inlineStr">
        <is>
          <t>DIA</t>
        </is>
      </c>
      <c r="D2289" s="6" t="inlineStr">
        <is>
          <t>SHW</t>
        </is>
      </c>
      <c r="E2289" s="6" t="inlineStr">
        <is>
          <t>SHW</t>
        </is>
      </c>
      <c r="F2289" s="6" t="inlineStr">
        <is>
          <t>-</t>
        </is>
      </c>
      <c r="G2289" s="7" t="n">
        <v>298.524658203125</v>
      </c>
      <c r="H2289" s="6">
        <f>P2258</f>
        <v/>
      </c>
      <c r="I2289" s="9">
        <f>Q2258</f>
        <v/>
      </c>
      <c r="J2289" s="7">
        <f>I2289*G2289</f>
        <v/>
      </c>
      <c r="K2289" s="8">
        <f>IF($J$2295=0,0,J2289/$J$2295)</f>
        <v/>
      </c>
      <c r="L2289" s="6" t="inlineStr">
        <is>
          <t>WATCHLIST</t>
        </is>
      </c>
      <c r="M2289" s="8" t="n">
        <v>0</v>
      </c>
      <c r="N2289" s="7">
        <f>M2289*$J$2295-J2289</f>
        <v/>
      </c>
      <c r="O2289" s="9">
        <f>IF(G2289=0,0,N2289/G2289)</f>
        <v/>
      </c>
      <c r="P2289" s="6">
        <f>IF(M2289&gt;0,D2289,"")</f>
        <v/>
      </c>
      <c r="Q2289" s="9">
        <f>I2289+O2289</f>
        <v/>
      </c>
      <c r="R2289" s="7">
        <f>Q2289*G2289</f>
        <v/>
      </c>
      <c r="S2289" s="8">
        <f>IF($R$2295=0,0,R2289/$R$2295)</f>
        <v/>
      </c>
      <c r="T2289" s="8" t="n">
        <v>-0.007590604021549319</v>
      </c>
      <c r="U2289" s="8" t="n">
        <v>-0.007961264381852518</v>
      </c>
      <c r="V2289" s="6" t="inlineStr">
        <is>
          <t>not selected</t>
        </is>
      </c>
    </row>
    <row r="2290">
      <c r="A2290" s="6" t="inlineStr">
        <is>
          <t>DJ30</t>
        </is>
      </c>
      <c r="B2290" s="6" t="inlineStr">
        <is>
          <t>2024-05-31</t>
        </is>
      </c>
      <c r="C2290" s="6" t="inlineStr">
        <is>
          <t>DIA</t>
        </is>
      </c>
      <c r="D2290" s="6" t="inlineStr">
        <is>
          <t>TRV</t>
        </is>
      </c>
      <c r="E2290" s="6" t="inlineStr">
        <is>
          <t>TRV</t>
        </is>
      </c>
      <c r="F2290" s="6" t="inlineStr">
        <is>
          <t>-</t>
        </is>
      </c>
      <c r="G2290" s="7" t="n">
        <v>207.767807006836</v>
      </c>
      <c r="H2290" s="6">
        <f>P2259</f>
        <v/>
      </c>
      <c r="I2290" s="9">
        <f>Q2259</f>
        <v/>
      </c>
      <c r="J2290" s="7">
        <f>I2290*G2290</f>
        <v/>
      </c>
      <c r="K2290" s="8">
        <f>IF($J$2295=0,0,J2290/$J$2295)</f>
        <v/>
      </c>
      <c r="L2290" s="6" t="inlineStr">
        <is>
          <t>WATCHLIST</t>
        </is>
      </c>
      <c r="M2290" s="8" t="n">
        <v>0</v>
      </c>
      <c r="N2290" s="7">
        <f>M2290*$J$2295-J2290</f>
        <v/>
      </c>
      <c r="O2290" s="9">
        <f>IF(G2290=0,0,N2290/G2290)</f>
        <v/>
      </c>
      <c r="P2290" s="6">
        <f>IF(M2290&gt;0,D2290,"")</f>
        <v/>
      </c>
      <c r="Q2290" s="9">
        <f>I2290+O2290</f>
        <v/>
      </c>
      <c r="R2290" s="7">
        <f>Q2290*G2290</f>
        <v/>
      </c>
      <c r="S2290" s="8">
        <f>IF($R$2295=0,0,R2290/$R$2295)</f>
        <v/>
      </c>
      <c r="T2290" s="8" t="n">
        <v>-0.007590604021549319</v>
      </c>
      <c r="U2290" s="8" t="n">
        <v>-0.007961264381852518</v>
      </c>
      <c r="V2290" s="6" t="inlineStr">
        <is>
          <t>not selected</t>
        </is>
      </c>
    </row>
    <row r="2291">
      <c r="A2291" s="6" t="inlineStr">
        <is>
          <t>DJ30</t>
        </is>
      </c>
      <c r="B2291" s="6" t="inlineStr">
        <is>
          <t>2024-05-31</t>
        </is>
      </c>
      <c r="C2291" s="6" t="inlineStr">
        <is>
          <t>DIA</t>
        </is>
      </c>
      <c r="D2291" s="6" t="inlineStr">
        <is>
          <t>UNH</t>
        </is>
      </c>
      <c r="E2291" s="6" t="inlineStr">
        <is>
          <t>UNH</t>
        </is>
      </c>
      <c r="F2291" s="6" t="inlineStr">
        <is>
          <t>-</t>
        </is>
      </c>
      <c r="G2291" s="7" t="n">
        <v>471.5079345703125</v>
      </c>
      <c r="H2291" s="6">
        <f>P2260</f>
        <v/>
      </c>
      <c r="I2291" s="9">
        <f>Q2260</f>
        <v/>
      </c>
      <c r="J2291" s="7">
        <f>I2291*G2291</f>
        <v/>
      </c>
      <c r="K2291" s="8">
        <f>IF($J$2295=0,0,J2291/$J$2295)</f>
        <v/>
      </c>
      <c r="L2291" s="6" t="inlineStr">
        <is>
          <t>REJECTED</t>
        </is>
      </c>
      <c r="M2291" s="8" t="n">
        <v>0</v>
      </c>
      <c r="N2291" s="7">
        <f>M2291*$J$2295-J2291</f>
        <v/>
      </c>
      <c r="O2291" s="9">
        <f>IF(G2291=0,0,N2291/G2291)</f>
        <v/>
      </c>
      <c r="P2291" s="6">
        <f>IF(M2291&gt;0,D2291,"")</f>
        <v/>
      </c>
      <c r="Q2291" s="9">
        <f>I2291+O2291</f>
        <v/>
      </c>
      <c r="R2291" s="7">
        <f>Q2291*G2291</f>
        <v/>
      </c>
      <c r="S2291" s="8">
        <f>IF($R$2295=0,0,R2291/$R$2295)</f>
        <v/>
      </c>
      <c r="T2291" s="8" t="n">
        <v>-0.007590604021549319</v>
      </c>
      <c r="U2291" s="8" t="n">
        <v>-0.007961264381852518</v>
      </c>
      <c r="V2291" s="6" t="inlineStr">
        <is>
          <t>not selected</t>
        </is>
      </c>
    </row>
    <row r="2292">
      <c r="A2292" s="6" t="inlineStr">
        <is>
          <t>DJ30</t>
        </is>
      </c>
      <c r="B2292" s="6" t="inlineStr">
        <is>
          <t>2024-05-31</t>
        </is>
      </c>
      <c r="C2292" s="6" t="inlineStr">
        <is>
          <t>DIA</t>
        </is>
      </c>
      <c r="D2292" s="6" t="inlineStr">
        <is>
          <t>V</t>
        </is>
      </c>
      <c r="E2292" s="6" t="inlineStr">
        <is>
          <t>V</t>
        </is>
      </c>
      <c r="F2292" s="6" t="inlineStr">
        <is>
          <t>-</t>
        </is>
      </c>
      <c r="G2292" s="7" t="n">
        <v>268.3737487792969</v>
      </c>
      <c r="H2292" s="6">
        <f>P2261</f>
        <v/>
      </c>
      <c r="I2292" s="9">
        <f>Q2261</f>
        <v/>
      </c>
      <c r="J2292" s="7">
        <f>I2292*G2292</f>
        <v/>
      </c>
      <c r="K2292" s="8">
        <f>IF($J$2295=0,0,J2292/$J$2295)</f>
        <v/>
      </c>
      <c r="L2292" s="6" t="inlineStr">
        <is>
          <t>WATCHLIST</t>
        </is>
      </c>
      <c r="M2292" s="8" t="n">
        <v>0</v>
      </c>
      <c r="N2292" s="7">
        <f>M2292*$J$2295-J2292</f>
        <v/>
      </c>
      <c r="O2292" s="9">
        <f>IF(G2292=0,0,N2292/G2292)</f>
        <v/>
      </c>
      <c r="P2292" s="6">
        <f>IF(M2292&gt;0,D2292,"")</f>
        <v/>
      </c>
      <c r="Q2292" s="9">
        <f>I2292+O2292</f>
        <v/>
      </c>
      <c r="R2292" s="7">
        <f>Q2292*G2292</f>
        <v/>
      </c>
      <c r="S2292" s="8">
        <f>IF($R$2295=0,0,R2292/$R$2295)</f>
        <v/>
      </c>
      <c r="T2292" s="8" t="n">
        <v>-0.007590604021549319</v>
      </c>
      <c r="U2292" s="8" t="n">
        <v>-0.007961264381852518</v>
      </c>
      <c r="V2292" s="6" t="inlineStr">
        <is>
          <t>not selected</t>
        </is>
      </c>
    </row>
    <row r="2293">
      <c r="A2293" s="6" t="inlineStr">
        <is>
          <t>DJ30</t>
        </is>
      </c>
      <c r="B2293" s="6" t="inlineStr">
        <is>
          <t>2024-05-31</t>
        </is>
      </c>
      <c r="C2293" s="6" t="inlineStr">
        <is>
          <t>DIA</t>
        </is>
      </c>
      <c r="D2293" s="6" t="inlineStr">
        <is>
          <t>VZ</t>
        </is>
      </c>
      <c r="E2293" s="6" t="inlineStr">
        <is>
          <t>VZ</t>
        </is>
      </c>
      <c r="F2293" s="6" t="inlineStr">
        <is>
          <t>-</t>
        </is>
      </c>
      <c r="G2293" s="7" t="n">
        <v>36.117919921875</v>
      </c>
      <c r="H2293" s="6">
        <f>P2262</f>
        <v/>
      </c>
      <c r="I2293" s="9">
        <f>Q2262</f>
        <v/>
      </c>
      <c r="J2293" s="7">
        <f>I2293*G2293</f>
        <v/>
      </c>
      <c r="K2293" s="8">
        <f>IF($J$2295=0,0,J2293/$J$2295)</f>
        <v/>
      </c>
      <c r="L2293" s="6" t="inlineStr">
        <is>
          <t>WATCHLIST</t>
        </is>
      </c>
      <c r="M2293" s="8" t="n">
        <v>0</v>
      </c>
      <c r="N2293" s="7">
        <f>M2293*$J$2295-J2293</f>
        <v/>
      </c>
      <c r="O2293" s="9">
        <f>IF(G2293=0,0,N2293/G2293)</f>
        <v/>
      </c>
      <c r="P2293" s="6">
        <f>IF(M2293&gt;0,D2293,"")</f>
        <v/>
      </c>
      <c r="Q2293" s="9">
        <f>I2293+O2293</f>
        <v/>
      </c>
      <c r="R2293" s="7">
        <f>Q2293*G2293</f>
        <v/>
      </c>
      <c r="S2293" s="8">
        <f>IF($R$2295=0,0,R2293/$R$2295)</f>
        <v/>
      </c>
      <c r="T2293" s="8" t="n">
        <v>-0.007590604021549319</v>
      </c>
      <c r="U2293" s="8" t="n">
        <v>-0.007961264381852518</v>
      </c>
      <c r="V2293" s="6" t="inlineStr">
        <is>
          <t>not selected</t>
        </is>
      </c>
    </row>
    <row r="2294">
      <c r="A2294" s="6" t="inlineStr">
        <is>
          <t>DJ30</t>
        </is>
      </c>
      <c r="B2294" s="6" t="inlineStr">
        <is>
          <t>2024-05-31</t>
        </is>
      </c>
      <c r="C2294" s="6" t="inlineStr">
        <is>
          <t>DIA</t>
        </is>
      </c>
      <c r="D2294" s="6" t="inlineStr">
        <is>
          <t>WMT</t>
        </is>
      </c>
      <c r="E2294" s="6" t="inlineStr">
        <is>
          <t>WMT</t>
        </is>
      </c>
      <c r="F2294" s="6" t="inlineStr">
        <is>
          <t>-</t>
        </is>
      </c>
      <c r="G2294" s="7" t="n">
        <v>64.55186462402344</v>
      </c>
      <c r="H2294" s="6">
        <f>P2263</f>
        <v/>
      </c>
      <c r="I2294" s="9">
        <f>Q2263</f>
        <v/>
      </c>
      <c r="J2294" s="7">
        <f>I2294*G2294</f>
        <v/>
      </c>
      <c r="K2294" s="8">
        <f>IF($J$2295=0,0,J2294/$J$2295)</f>
        <v/>
      </c>
      <c r="L2294" s="6" t="inlineStr">
        <is>
          <t>WATCHLIST</t>
        </is>
      </c>
      <c r="M2294" s="8" t="n">
        <v>0</v>
      </c>
      <c r="N2294" s="7">
        <f>M2294*$J$2295-J2294</f>
        <v/>
      </c>
      <c r="O2294" s="9">
        <f>IF(G2294=0,0,N2294/G2294)</f>
        <v/>
      </c>
      <c r="P2294" s="6">
        <f>IF(M2294&gt;0,D2294,"")</f>
        <v/>
      </c>
      <c r="Q2294" s="9">
        <f>I2294+O2294</f>
        <v/>
      </c>
      <c r="R2294" s="7">
        <f>Q2294*G2294</f>
        <v/>
      </c>
      <c r="S2294" s="8">
        <f>IF($R$2295=0,0,R2294/$R$2295)</f>
        <v/>
      </c>
      <c r="T2294" s="8" t="n">
        <v>-0.007590604021549319</v>
      </c>
      <c r="U2294" s="8" t="n">
        <v>-0.007961264381852518</v>
      </c>
      <c r="V2294" s="6" t="inlineStr">
        <is>
          <t>not selected</t>
        </is>
      </c>
    </row>
    <row r="2295">
      <c r="A2295" s="10" t="inlineStr">
        <is>
          <t>DJ30</t>
        </is>
      </c>
      <c r="B2295" s="10" t="inlineStr">
        <is>
          <t>2024-05-31</t>
        </is>
      </c>
      <c r="C2295" s="10" t="inlineStr">
        <is>
          <t>DIA</t>
        </is>
      </c>
      <c r="D2295" s="10" t="inlineStr">
        <is>
          <t>Tot Portfolio</t>
        </is>
      </c>
      <c r="E2295" s="10" t="inlineStr"/>
      <c r="F2295" s="10" t="inlineStr"/>
      <c r="G2295" s="11" t="inlineStr"/>
      <c r="H2295" s="10" t="inlineStr"/>
      <c r="I2295" s="12" t="inlineStr"/>
      <c r="J2295" s="11">
        <f>SUM(J2265:J2294)</f>
        <v/>
      </c>
      <c r="K2295" s="13">
        <f>SUM(K2265:K2294)</f>
        <v/>
      </c>
      <c r="L2295" s="10" t="inlineStr">
        <is>
          <t>TOTAL</t>
        </is>
      </c>
      <c r="M2295" s="13">
        <f>SUM(M2265:M2294)</f>
        <v/>
      </c>
      <c r="N2295" s="11">
        <f>SUM(N2265:N2294)</f>
        <v/>
      </c>
      <c r="O2295" s="12">
        <f>SUM(O2265:O2294)</f>
        <v/>
      </c>
      <c r="P2295" s="10" t="inlineStr"/>
      <c r="Q2295" s="12" t="inlineStr"/>
      <c r="R2295" s="11">
        <f>SUM(R2265:R2294)</f>
        <v/>
      </c>
      <c r="S2295" s="13">
        <f>SUM(S2265:S2294)</f>
        <v/>
      </c>
      <c r="T2295" s="13" t="n">
        <v>-0.007590604021549319</v>
      </c>
      <c r="U2295" s="13" t="n">
        <v>-0.007961264381852518</v>
      </c>
      <c r="V2295" s="10" t="inlineStr"/>
    </row>
    <row r="2296">
      <c r="A2296" s="6" t="inlineStr">
        <is>
          <t>DJ30</t>
        </is>
      </c>
      <c r="B2296" s="6" t="inlineStr">
        <is>
          <t>2024-06-07</t>
        </is>
      </c>
      <c r="C2296" s="6" t="inlineStr">
        <is>
          <t>DIA</t>
        </is>
      </c>
      <c r="D2296" s="6" t="inlineStr">
        <is>
          <t>AAPL</t>
        </is>
      </c>
      <c r="E2296" s="6" t="inlineStr">
        <is>
          <t>AAPL</t>
        </is>
      </c>
      <c r="F2296" s="6" t="inlineStr">
        <is>
          <t>-</t>
        </is>
      </c>
      <c r="G2296" s="7" t="n">
        <v>195.1991119384766</v>
      </c>
      <c r="H2296" s="6">
        <f>P2265</f>
        <v/>
      </c>
      <c r="I2296" s="9">
        <f>Q2265</f>
        <v/>
      </c>
      <c r="J2296" s="7">
        <f>I2296*G2296</f>
        <v/>
      </c>
      <c r="K2296" s="8">
        <f>IF($J$2326=0,0,J2296/$J$2326)</f>
        <v/>
      </c>
      <c r="L2296" s="6" t="inlineStr">
        <is>
          <t>REJECTED</t>
        </is>
      </c>
      <c r="M2296" s="8" t="n">
        <v>0</v>
      </c>
      <c r="N2296" s="7">
        <f>M2296*$J$2326-J2296</f>
        <v/>
      </c>
      <c r="O2296" s="9">
        <f>IF(G2296=0,0,N2296/G2296)</f>
        <v/>
      </c>
      <c r="P2296" s="6">
        <f>IF(M2296&gt;0,D2296,"")</f>
        <v/>
      </c>
      <c r="Q2296" s="9">
        <f>I2296+O2296</f>
        <v/>
      </c>
      <c r="R2296" s="7">
        <f>Q2296*G2296</f>
        <v/>
      </c>
      <c r="S2296" s="8">
        <f>IF($R$2326=0,0,R2296/$R$2326)</f>
        <v/>
      </c>
      <c r="T2296" s="8" t="n">
        <v>0.02372435832925524</v>
      </c>
      <c r="U2296" s="8" t="n">
        <v>0.00247716295436895</v>
      </c>
      <c r="V2296" s="6" t="inlineStr">
        <is>
          <t>not selected</t>
        </is>
      </c>
    </row>
    <row r="2297">
      <c r="A2297" s="6" t="inlineStr">
        <is>
          <t>DJ30</t>
        </is>
      </c>
      <c r="B2297" s="6" t="inlineStr">
        <is>
          <t>2024-06-07</t>
        </is>
      </c>
      <c r="C2297" s="6" t="inlineStr">
        <is>
          <t>DIA</t>
        </is>
      </c>
      <c r="D2297" s="6" t="inlineStr">
        <is>
          <t>AMGN</t>
        </is>
      </c>
      <c r="E2297" s="6" t="inlineStr">
        <is>
          <t>AMGN</t>
        </is>
      </c>
      <c r="F2297" s="6" t="inlineStr">
        <is>
          <t>-</t>
        </is>
      </c>
      <c r="G2297" s="7" t="n">
        <v>286.8654479980469</v>
      </c>
      <c r="H2297" s="6">
        <f>P2266</f>
        <v/>
      </c>
      <c r="I2297" s="9">
        <f>Q2266</f>
        <v/>
      </c>
      <c r="J2297" s="7">
        <f>I2297*G2297</f>
        <v/>
      </c>
      <c r="K2297" s="8">
        <f>IF($J$2326=0,0,J2297/$J$2326)</f>
        <v/>
      </c>
      <c r="L2297" s="6" t="inlineStr">
        <is>
          <t>WATCHLIST</t>
        </is>
      </c>
      <c r="M2297" s="8" t="n">
        <v>0</v>
      </c>
      <c r="N2297" s="7">
        <f>M2297*$J$2326-J2297</f>
        <v/>
      </c>
      <c r="O2297" s="9">
        <f>IF(G2297=0,0,N2297/G2297)</f>
        <v/>
      </c>
      <c r="P2297" s="6">
        <f>IF(M2297&gt;0,D2297,"")</f>
        <v/>
      </c>
      <c r="Q2297" s="9">
        <f>I2297+O2297</f>
        <v/>
      </c>
      <c r="R2297" s="7">
        <f>Q2297*G2297</f>
        <v/>
      </c>
      <c r="S2297" s="8">
        <f>IF($R$2326=0,0,R2297/$R$2326)</f>
        <v/>
      </c>
      <c r="T2297" s="8" t="n">
        <v>0.02372435832925524</v>
      </c>
      <c r="U2297" s="8" t="n">
        <v>0.00247716295436895</v>
      </c>
      <c r="V2297" s="6" t="inlineStr">
        <is>
          <t>not selected</t>
        </is>
      </c>
    </row>
    <row r="2298">
      <c r="A2298" s="6" t="inlineStr">
        <is>
          <t>DJ30</t>
        </is>
      </c>
      <c r="B2298" s="6" t="inlineStr">
        <is>
          <t>2024-06-07</t>
        </is>
      </c>
      <c r="C2298" s="6" t="inlineStr">
        <is>
          <t>DIA</t>
        </is>
      </c>
      <c r="D2298" s="6" t="inlineStr">
        <is>
          <t>AMZN</t>
        </is>
      </c>
      <c r="E2298" s="6" t="inlineStr">
        <is>
          <t>AMZN</t>
        </is>
      </c>
      <c r="F2298" s="6" t="inlineStr">
        <is>
          <t>-</t>
        </is>
      </c>
      <c r="G2298" s="7" t="n">
        <v>184.3000030517578</v>
      </c>
      <c r="H2298" s="6">
        <f>P2267</f>
        <v/>
      </c>
      <c r="I2298" s="9">
        <f>Q2267</f>
        <v/>
      </c>
      <c r="J2298" s="7">
        <f>I2298*G2298</f>
        <v/>
      </c>
      <c r="K2298" s="8">
        <f>IF($J$2326=0,0,J2298/$J$2326)</f>
        <v/>
      </c>
      <c r="L2298" s="6" t="inlineStr">
        <is>
          <t>WATCHLIST</t>
        </is>
      </c>
      <c r="M2298" s="8" t="n">
        <v>0</v>
      </c>
      <c r="N2298" s="7">
        <f>M2298*$J$2326-J2298</f>
        <v/>
      </c>
      <c r="O2298" s="9">
        <f>IF(G2298=0,0,N2298/G2298)</f>
        <v/>
      </c>
      <c r="P2298" s="6">
        <f>IF(M2298&gt;0,D2298,"")</f>
        <v/>
      </c>
      <c r="Q2298" s="9">
        <f>I2298+O2298</f>
        <v/>
      </c>
      <c r="R2298" s="7">
        <f>Q2298*G2298</f>
        <v/>
      </c>
      <c r="S2298" s="8">
        <f>IF($R$2326=0,0,R2298/$R$2326)</f>
        <v/>
      </c>
      <c r="T2298" s="8" t="n">
        <v>0.02372435832925524</v>
      </c>
      <c r="U2298" s="8" t="n">
        <v>0.00247716295436895</v>
      </c>
      <c r="V2298" s="6" t="inlineStr">
        <is>
          <t>removed from weekly selection</t>
        </is>
      </c>
    </row>
    <row r="2299">
      <c r="A2299" s="6" t="inlineStr">
        <is>
          <t>DJ30</t>
        </is>
      </c>
      <c r="B2299" s="6" t="inlineStr">
        <is>
          <t>2024-06-07</t>
        </is>
      </c>
      <c r="C2299" s="6" t="inlineStr">
        <is>
          <t>DIA</t>
        </is>
      </c>
      <c r="D2299" s="6" t="inlineStr">
        <is>
          <t>AXP</t>
        </is>
      </c>
      <c r="E2299" s="6" t="inlineStr">
        <is>
          <t>AXP</t>
        </is>
      </c>
      <c r="F2299" s="6" t="inlineStr">
        <is>
          <t>-</t>
        </is>
      </c>
      <c r="G2299" s="7" t="n">
        <v>227.6813659667969</v>
      </c>
      <c r="H2299" s="6">
        <f>P2268</f>
        <v/>
      </c>
      <c r="I2299" s="9">
        <f>Q2268</f>
        <v/>
      </c>
      <c r="J2299" s="7">
        <f>I2299*G2299</f>
        <v/>
      </c>
      <c r="K2299" s="8">
        <f>IF($J$2326=0,0,J2299/$J$2326)</f>
        <v/>
      </c>
      <c r="L2299" s="6" t="inlineStr">
        <is>
          <t>SELECTED</t>
        </is>
      </c>
      <c r="M2299" s="8" t="n">
        <v>0.2</v>
      </c>
      <c r="N2299" s="7">
        <f>M2299*$J$2326-J2299</f>
        <v/>
      </c>
      <c r="O2299" s="9">
        <f>IF(G2299=0,0,N2299/G2299)</f>
        <v/>
      </c>
      <c r="P2299" s="6">
        <f>IF(M2299&gt;0,D2299,"")</f>
        <v/>
      </c>
      <c r="Q2299" s="9">
        <f>I2299+O2299</f>
        <v/>
      </c>
      <c r="R2299" s="7">
        <f>Q2299*G2299</f>
        <v/>
      </c>
      <c r="S2299" s="8">
        <f>IF($R$2326=0,0,R2299/$R$2326)</f>
        <v/>
      </c>
      <c r="T2299" s="8" t="n">
        <v>0.02372435832925524</v>
      </c>
      <c r="U2299" s="8" t="n">
        <v>0.00247716295436895</v>
      </c>
      <c r="V2299" s="6" t="inlineStr">
        <is>
          <t>entered weekly selection</t>
        </is>
      </c>
    </row>
    <row r="2300">
      <c r="A2300" s="6" t="inlineStr">
        <is>
          <t>DJ30</t>
        </is>
      </c>
      <c r="B2300" s="6" t="inlineStr">
        <is>
          <t>2024-06-07</t>
        </is>
      </c>
      <c r="C2300" s="6" t="inlineStr">
        <is>
          <t>DIA</t>
        </is>
      </c>
      <c r="D2300" s="6" t="inlineStr">
        <is>
          <t>BA</t>
        </is>
      </c>
      <c r="E2300" s="6" t="inlineStr">
        <is>
          <t>BA</t>
        </is>
      </c>
      <c r="F2300" s="6" t="inlineStr">
        <is>
          <t>-</t>
        </is>
      </c>
      <c r="G2300" s="7" t="n">
        <v>190.2400054931641</v>
      </c>
      <c r="H2300" s="6">
        <f>P2269</f>
        <v/>
      </c>
      <c r="I2300" s="9">
        <f>Q2269</f>
        <v/>
      </c>
      <c r="J2300" s="7">
        <f>I2300*G2300</f>
        <v/>
      </c>
      <c r="K2300" s="8">
        <f>IF($J$2326=0,0,J2300/$J$2326)</f>
        <v/>
      </c>
      <c r="L2300" s="6" t="inlineStr">
        <is>
          <t>REJECTED</t>
        </is>
      </c>
      <c r="M2300" s="8" t="n">
        <v>0</v>
      </c>
      <c r="N2300" s="7">
        <f>M2300*$J$2326-J2300</f>
        <v/>
      </c>
      <c r="O2300" s="9">
        <f>IF(G2300=0,0,N2300/G2300)</f>
        <v/>
      </c>
      <c r="P2300" s="6">
        <f>IF(M2300&gt;0,D2300,"")</f>
        <v/>
      </c>
      <c r="Q2300" s="9">
        <f>I2300+O2300</f>
        <v/>
      </c>
      <c r="R2300" s="7">
        <f>Q2300*G2300</f>
        <v/>
      </c>
      <c r="S2300" s="8">
        <f>IF($R$2326=0,0,R2300/$R$2326)</f>
        <v/>
      </c>
      <c r="T2300" s="8" t="n">
        <v>0.02372435832925524</v>
      </c>
      <c r="U2300" s="8" t="n">
        <v>0.00247716295436895</v>
      </c>
      <c r="V2300" s="6" t="inlineStr">
        <is>
          <t>not selected</t>
        </is>
      </c>
    </row>
    <row r="2301">
      <c r="A2301" s="6" t="inlineStr">
        <is>
          <t>DJ30</t>
        </is>
      </c>
      <c r="B2301" s="6" t="inlineStr">
        <is>
          <t>2024-06-07</t>
        </is>
      </c>
      <c r="C2301" s="6" t="inlineStr">
        <is>
          <t>DIA</t>
        </is>
      </c>
      <c r="D2301" s="6" t="inlineStr">
        <is>
          <t>CAT</t>
        </is>
      </c>
      <c r="E2301" s="6" t="inlineStr">
        <is>
          <t>CAT</t>
        </is>
      </c>
      <c r="F2301" s="6" t="inlineStr">
        <is>
          <t>-</t>
        </is>
      </c>
      <c r="G2301" s="7" t="n">
        <v>320.216552734375</v>
      </c>
      <c r="H2301" s="6">
        <f>P2270</f>
        <v/>
      </c>
      <c r="I2301" s="9">
        <f>Q2270</f>
        <v/>
      </c>
      <c r="J2301" s="7">
        <f>I2301*G2301</f>
        <v/>
      </c>
      <c r="K2301" s="8">
        <f>IF($J$2326=0,0,J2301/$J$2326)</f>
        <v/>
      </c>
      <c r="L2301" s="6" t="inlineStr">
        <is>
          <t>SELECTED</t>
        </is>
      </c>
      <c r="M2301" s="8" t="n">
        <v>0.2</v>
      </c>
      <c r="N2301" s="7">
        <f>M2301*$J$2326-J2301</f>
        <v/>
      </c>
      <c r="O2301" s="9">
        <f>IF(G2301=0,0,N2301/G2301)</f>
        <v/>
      </c>
      <c r="P2301" s="6">
        <f>IF(M2301&gt;0,D2301,"")</f>
        <v/>
      </c>
      <c r="Q2301" s="9">
        <f>I2301+O2301</f>
        <v/>
      </c>
      <c r="R2301" s="7">
        <f>Q2301*G2301</f>
        <v/>
      </c>
      <c r="S2301" s="8">
        <f>IF($R$2326=0,0,R2301/$R$2326)</f>
        <v/>
      </c>
      <c r="T2301" s="8" t="n">
        <v>0.02372435832925524</v>
      </c>
      <c r="U2301" s="8" t="n">
        <v>0.00247716295436895</v>
      </c>
      <c r="V2301" s="6" t="inlineStr">
        <is>
          <t>remained in weekly selection</t>
        </is>
      </c>
    </row>
    <row r="2302">
      <c r="A2302" s="6" t="inlineStr">
        <is>
          <t>DJ30</t>
        </is>
      </c>
      <c r="B2302" s="6" t="inlineStr">
        <is>
          <t>2024-06-07</t>
        </is>
      </c>
      <c r="C2302" s="6" t="inlineStr">
        <is>
          <t>DIA</t>
        </is>
      </c>
      <c r="D2302" s="6" t="inlineStr">
        <is>
          <t>CRM</t>
        </is>
      </c>
      <c r="E2302" s="6" t="inlineStr">
        <is>
          <t>CRM</t>
        </is>
      </c>
      <c r="F2302" s="6" t="inlineStr">
        <is>
          <t>-</t>
        </is>
      </c>
      <c r="G2302" s="7" t="n">
        <v>238.047607421875</v>
      </c>
      <c r="H2302" s="6">
        <f>P2271</f>
        <v/>
      </c>
      <c r="I2302" s="9">
        <f>Q2271</f>
        <v/>
      </c>
      <c r="J2302" s="7">
        <f>I2302*G2302</f>
        <v/>
      </c>
      <c r="K2302" s="8">
        <f>IF($J$2326=0,0,J2302/$J$2326)</f>
        <v/>
      </c>
      <c r="L2302" s="6" t="inlineStr">
        <is>
          <t>WATCHLIST</t>
        </is>
      </c>
      <c r="M2302" s="8" t="n">
        <v>0</v>
      </c>
      <c r="N2302" s="7">
        <f>M2302*$J$2326-J2302</f>
        <v/>
      </c>
      <c r="O2302" s="9">
        <f>IF(G2302=0,0,N2302/G2302)</f>
        <v/>
      </c>
      <c r="P2302" s="6">
        <f>IF(M2302&gt;0,D2302,"")</f>
        <v/>
      </c>
      <c r="Q2302" s="9">
        <f>I2302+O2302</f>
        <v/>
      </c>
      <c r="R2302" s="7">
        <f>Q2302*G2302</f>
        <v/>
      </c>
      <c r="S2302" s="8">
        <f>IF($R$2326=0,0,R2302/$R$2326)</f>
        <v/>
      </c>
      <c r="T2302" s="8" t="n">
        <v>0.02372435832925524</v>
      </c>
      <c r="U2302" s="8" t="n">
        <v>0.00247716295436895</v>
      </c>
      <c r="V2302" s="6" t="inlineStr">
        <is>
          <t>not selected</t>
        </is>
      </c>
    </row>
    <row r="2303">
      <c r="A2303" s="6" t="inlineStr">
        <is>
          <t>DJ30</t>
        </is>
      </c>
      <c r="B2303" s="6" t="inlineStr">
        <is>
          <t>2024-06-07</t>
        </is>
      </c>
      <c r="C2303" s="6" t="inlineStr">
        <is>
          <t>DIA</t>
        </is>
      </c>
      <c r="D2303" s="6" t="inlineStr">
        <is>
          <t>CSCO</t>
        </is>
      </c>
      <c r="E2303" s="6" t="inlineStr">
        <is>
          <t>CSCO</t>
        </is>
      </c>
      <c r="F2303" s="6" t="inlineStr">
        <is>
          <t>-</t>
        </is>
      </c>
      <c r="G2303" s="7" t="n">
        <v>43.5021858215332</v>
      </c>
      <c r="H2303" s="6">
        <f>P2272</f>
        <v/>
      </c>
      <c r="I2303" s="9">
        <f>Q2272</f>
        <v/>
      </c>
      <c r="J2303" s="7">
        <f>I2303*G2303</f>
        <v/>
      </c>
      <c r="K2303" s="8">
        <f>IF($J$2326=0,0,J2303/$J$2326)</f>
        <v/>
      </c>
      <c r="L2303" s="6" t="inlineStr">
        <is>
          <t>REJECTED</t>
        </is>
      </c>
      <c r="M2303" s="8" t="n">
        <v>0</v>
      </c>
      <c r="N2303" s="7">
        <f>M2303*$J$2326-J2303</f>
        <v/>
      </c>
      <c r="O2303" s="9">
        <f>IF(G2303=0,0,N2303/G2303)</f>
        <v/>
      </c>
      <c r="P2303" s="6">
        <f>IF(M2303&gt;0,D2303,"")</f>
        <v/>
      </c>
      <c r="Q2303" s="9">
        <f>I2303+O2303</f>
        <v/>
      </c>
      <c r="R2303" s="7">
        <f>Q2303*G2303</f>
        <v/>
      </c>
      <c r="S2303" s="8">
        <f>IF($R$2326=0,0,R2303/$R$2326)</f>
        <v/>
      </c>
      <c r="T2303" s="8" t="n">
        <v>0.02372435832925524</v>
      </c>
      <c r="U2303" s="8" t="n">
        <v>0.00247716295436895</v>
      </c>
      <c r="V2303" s="6" t="inlineStr">
        <is>
          <t>not selected</t>
        </is>
      </c>
    </row>
    <row r="2304">
      <c r="A2304" s="6" t="inlineStr">
        <is>
          <t>DJ30</t>
        </is>
      </c>
      <c r="B2304" s="6" t="inlineStr">
        <is>
          <t>2024-06-07</t>
        </is>
      </c>
      <c r="C2304" s="6" t="inlineStr">
        <is>
          <t>DIA</t>
        </is>
      </c>
      <c r="D2304" s="6" t="inlineStr">
        <is>
          <t>CVX</t>
        </is>
      </c>
      <c r="E2304" s="6" t="inlineStr">
        <is>
          <t>CVX</t>
        </is>
      </c>
      <c r="F2304" s="6" t="inlineStr">
        <is>
          <t>-</t>
        </is>
      </c>
      <c r="G2304" s="7" t="n">
        <v>143.2975006103516</v>
      </c>
      <c r="H2304" s="6">
        <f>P2273</f>
        <v/>
      </c>
      <c r="I2304" s="9">
        <f>Q2273</f>
        <v/>
      </c>
      <c r="J2304" s="7">
        <f>I2304*G2304</f>
        <v/>
      </c>
      <c r="K2304" s="8">
        <f>IF($J$2326=0,0,J2304/$J$2326)</f>
        <v/>
      </c>
      <c r="L2304" s="6" t="inlineStr">
        <is>
          <t>REJECTED</t>
        </is>
      </c>
      <c r="M2304" s="8" t="n">
        <v>0</v>
      </c>
      <c r="N2304" s="7">
        <f>M2304*$J$2326-J2304</f>
        <v/>
      </c>
      <c r="O2304" s="9">
        <f>IF(G2304=0,0,N2304/G2304)</f>
        <v/>
      </c>
      <c r="P2304" s="6">
        <f>IF(M2304&gt;0,D2304,"")</f>
        <v/>
      </c>
      <c r="Q2304" s="9">
        <f>I2304+O2304</f>
        <v/>
      </c>
      <c r="R2304" s="7">
        <f>Q2304*G2304</f>
        <v/>
      </c>
      <c r="S2304" s="8">
        <f>IF($R$2326=0,0,R2304/$R$2326)</f>
        <v/>
      </c>
      <c r="T2304" s="8" t="n">
        <v>0.02372435832925524</v>
      </c>
      <c r="U2304" s="8" t="n">
        <v>0.00247716295436895</v>
      </c>
      <c r="V2304" s="6" t="inlineStr">
        <is>
          <t>not selected</t>
        </is>
      </c>
    </row>
    <row r="2305">
      <c r="A2305" s="6" t="inlineStr">
        <is>
          <t>DJ30</t>
        </is>
      </c>
      <c r="B2305" s="6" t="inlineStr">
        <is>
          <t>2024-06-07</t>
        </is>
      </c>
      <c r="C2305" s="6" t="inlineStr">
        <is>
          <t>DIA</t>
        </is>
      </c>
      <c r="D2305" s="6" t="inlineStr">
        <is>
          <t>DIS</t>
        </is>
      </c>
      <c r="E2305" s="6" t="inlineStr">
        <is>
          <t>DIS</t>
        </is>
      </c>
      <c r="F2305" s="6" t="inlineStr">
        <is>
          <t>-</t>
        </is>
      </c>
      <c r="G2305" s="7" t="n">
        <v>99.52712249755859</v>
      </c>
      <c r="H2305" s="6">
        <f>P2274</f>
        <v/>
      </c>
      <c r="I2305" s="9">
        <f>Q2274</f>
        <v/>
      </c>
      <c r="J2305" s="7">
        <f>I2305*G2305</f>
        <v/>
      </c>
      <c r="K2305" s="8">
        <f>IF($J$2326=0,0,J2305/$J$2326)</f>
        <v/>
      </c>
      <c r="L2305" s="6" t="inlineStr">
        <is>
          <t>WATCHLIST</t>
        </is>
      </c>
      <c r="M2305" s="8" t="n">
        <v>0</v>
      </c>
      <c r="N2305" s="7">
        <f>M2305*$J$2326-J2305</f>
        <v/>
      </c>
      <c r="O2305" s="9">
        <f>IF(G2305=0,0,N2305/G2305)</f>
        <v/>
      </c>
      <c r="P2305" s="6">
        <f>IF(M2305&gt;0,D2305,"")</f>
        <v/>
      </c>
      <c r="Q2305" s="9">
        <f>I2305+O2305</f>
        <v/>
      </c>
      <c r="R2305" s="7">
        <f>Q2305*G2305</f>
        <v/>
      </c>
      <c r="S2305" s="8">
        <f>IF($R$2326=0,0,R2305/$R$2326)</f>
        <v/>
      </c>
      <c r="T2305" s="8" t="n">
        <v>0.02372435832925524</v>
      </c>
      <c r="U2305" s="8" t="n">
        <v>0.00247716295436895</v>
      </c>
      <c r="V2305" s="6" t="inlineStr">
        <is>
          <t>not selected</t>
        </is>
      </c>
    </row>
    <row r="2306">
      <c r="A2306" s="6" t="inlineStr">
        <is>
          <t>DJ30</t>
        </is>
      </c>
      <c r="B2306" s="6" t="inlineStr">
        <is>
          <t>2024-06-07</t>
        </is>
      </c>
      <c r="C2306" s="6" t="inlineStr">
        <is>
          <t>DIA</t>
        </is>
      </c>
      <c r="D2306" s="6" t="inlineStr">
        <is>
          <t>GS</t>
        </is>
      </c>
      <c r="E2306" s="6" t="inlineStr">
        <is>
          <t>GS</t>
        </is>
      </c>
      <c r="F2306" s="6" t="inlineStr">
        <is>
          <t>-</t>
        </is>
      </c>
      <c r="G2306" s="7" t="n">
        <v>436.771484375</v>
      </c>
      <c r="H2306" s="6">
        <f>P2275</f>
        <v/>
      </c>
      <c r="I2306" s="9">
        <f>Q2275</f>
        <v/>
      </c>
      <c r="J2306" s="7">
        <f>I2306*G2306</f>
        <v/>
      </c>
      <c r="K2306" s="8">
        <f>IF($J$2326=0,0,J2306/$J$2326)</f>
        <v/>
      </c>
      <c r="L2306" s="6" t="inlineStr">
        <is>
          <t>SELECTED</t>
        </is>
      </c>
      <c r="M2306" s="8" t="n">
        <v>0.2</v>
      </c>
      <c r="N2306" s="7">
        <f>M2306*$J$2326-J2306</f>
        <v/>
      </c>
      <c r="O2306" s="9">
        <f>IF(G2306=0,0,N2306/G2306)</f>
        <v/>
      </c>
      <c r="P2306" s="6">
        <f>IF(M2306&gt;0,D2306,"")</f>
        <v/>
      </c>
      <c r="Q2306" s="9">
        <f>I2306+O2306</f>
        <v/>
      </c>
      <c r="R2306" s="7">
        <f>Q2306*G2306</f>
        <v/>
      </c>
      <c r="S2306" s="8">
        <f>IF($R$2326=0,0,R2306/$R$2326)</f>
        <v/>
      </c>
      <c r="T2306" s="8" t="n">
        <v>0.02372435832925524</v>
      </c>
      <c r="U2306" s="8" t="n">
        <v>0.00247716295436895</v>
      </c>
      <c r="V2306" s="6" t="inlineStr">
        <is>
          <t>entered weekly selection</t>
        </is>
      </c>
    </row>
    <row r="2307">
      <c r="A2307" s="6" t="inlineStr">
        <is>
          <t>DJ30</t>
        </is>
      </c>
      <c r="B2307" s="6" t="inlineStr">
        <is>
          <t>2024-06-07</t>
        </is>
      </c>
      <c r="C2307" s="6" t="inlineStr">
        <is>
          <t>DIA</t>
        </is>
      </c>
      <c r="D2307" s="6" t="inlineStr">
        <is>
          <t>HD</t>
        </is>
      </c>
      <c r="E2307" s="6" t="inlineStr">
        <is>
          <t>HD</t>
        </is>
      </c>
      <c r="F2307" s="6" t="inlineStr">
        <is>
          <t>-</t>
        </is>
      </c>
      <c r="G2307" s="7" t="n">
        <v>311.0590515136719</v>
      </c>
      <c r="H2307" s="6">
        <f>P2276</f>
        <v/>
      </c>
      <c r="I2307" s="9">
        <f>Q2276</f>
        <v/>
      </c>
      <c r="J2307" s="7">
        <f>I2307*G2307</f>
        <v/>
      </c>
      <c r="K2307" s="8">
        <f>IF($J$2326=0,0,J2307/$J$2326)</f>
        <v/>
      </c>
      <c r="L2307" s="6" t="inlineStr">
        <is>
          <t>WATCHLIST</t>
        </is>
      </c>
      <c r="M2307" s="8" t="n">
        <v>0</v>
      </c>
      <c r="N2307" s="7">
        <f>M2307*$J$2326-J2307</f>
        <v/>
      </c>
      <c r="O2307" s="9">
        <f>IF(G2307=0,0,N2307/G2307)</f>
        <v/>
      </c>
      <c r="P2307" s="6">
        <f>IF(M2307&gt;0,D2307,"")</f>
        <v/>
      </c>
      <c r="Q2307" s="9">
        <f>I2307+O2307</f>
        <v/>
      </c>
      <c r="R2307" s="7">
        <f>Q2307*G2307</f>
        <v/>
      </c>
      <c r="S2307" s="8">
        <f>IF($R$2326=0,0,R2307/$R$2326)</f>
        <v/>
      </c>
      <c r="T2307" s="8" t="n">
        <v>0.02372435832925524</v>
      </c>
      <c r="U2307" s="8" t="n">
        <v>0.00247716295436895</v>
      </c>
      <c r="V2307" s="6" t="inlineStr">
        <is>
          <t>not selected</t>
        </is>
      </c>
    </row>
    <row r="2308">
      <c r="A2308" s="6" t="inlineStr">
        <is>
          <t>DJ30</t>
        </is>
      </c>
      <c r="B2308" s="6" t="inlineStr">
        <is>
          <t>2024-06-07</t>
        </is>
      </c>
      <c r="C2308" s="6" t="inlineStr">
        <is>
          <t>DIA</t>
        </is>
      </c>
      <c r="D2308" s="6" t="inlineStr">
        <is>
          <t>HON</t>
        </is>
      </c>
      <c r="E2308" s="6" t="inlineStr">
        <is>
          <t>HON</t>
        </is>
      </c>
      <c r="F2308" s="6" t="inlineStr">
        <is>
          <t>-</t>
        </is>
      </c>
      <c r="G2308" s="7" t="n">
        <v>188.6079711914062</v>
      </c>
      <c r="H2308" s="6">
        <f>P2277</f>
        <v/>
      </c>
      <c r="I2308" s="9">
        <f>Q2277</f>
        <v/>
      </c>
      <c r="J2308" s="7">
        <f>I2308*G2308</f>
        <v/>
      </c>
      <c r="K2308" s="8">
        <f>IF($J$2326=0,0,J2308/$J$2326)</f>
        <v/>
      </c>
      <c r="L2308" s="6" t="inlineStr">
        <is>
          <t>REJECTED</t>
        </is>
      </c>
      <c r="M2308" s="8" t="n">
        <v>0</v>
      </c>
      <c r="N2308" s="7">
        <f>M2308*$J$2326-J2308</f>
        <v/>
      </c>
      <c r="O2308" s="9">
        <f>IF(G2308=0,0,N2308/G2308)</f>
        <v/>
      </c>
      <c r="P2308" s="6">
        <f>IF(M2308&gt;0,D2308,"")</f>
        <v/>
      </c>
      <c r="Q2308" s="9">
        <f>I2308+O2308</f>
        <v/>
      </c>
      <c r="R2308" s="7">
        <f>Q2308*G2308</f>
        <v/>
      </c>
      <c r="S2308" s="8">
        <f>IF($R$2326=0,0,R2308/$R$2326)</f>
        <v/>
      </c>
      <c r="T2308" s="8" t="n">
        <v>0.02372435832925524</v>
      </c>
      <c r="U2308" s="8" t="n">
        <v>0.00247716295436895</v>
      </c>
      <c r="V2308" s="6" t="inlineStr">
        <is>
          <t>not selected</t>
        </is>
      </c>
    </row>
    <row r="2309">
      <c r="A2309" s="6" t="inlineStr">
        <is>
          <t>DJ30</t>
        </is>
      </c>
      <c r="B2309" s="6" t="inlineStr">
        <is>
          <t>2024-06-07</t>
        </is>
      </c>
      <c r="C2309" s="6" t="inlineStr">
        <is>
          <t>DIA</t>
        </is>
      </c>
      <c r="D2309" s="6" t="inlineStr">
        <is>
          <t>IBM</t>
        </is>
      </c>
      <c r="E2309" s="6" t="inlineStr">
        <is>
          <t>IBM</t>
        </is>
      </c>
      <c r="F2309" s="6" t="inlineStr">
        <is>
          <t>-</t>
        </is>
      </c>
      <c r="G2309" s="7" t="n">
        <v>160.8980712890625</v>
      </c>
      <c r="H2309" s="6">
        <f>P2278</f>
        <v/>
      </c>
      <c r="I2309" s="9">
        <f>Q2278</f>
        <v/>
      </c>
      <c r="J2309" s="7">
        <f>I2309*G2309</f>
        <v/>
      </c>
      <c r="K2309" s="8">
        <f>IF($J$2326=0,0,J2309/$J$2326)</f>
        <v/>
      </c>
      <c r="L2309" s="6" t="inlineStr">
        <is>
          <t>WATCHLIST</t>
        </is>
      </c>
      <c r="M2309" s="8" t="n">
        <v>0</v>
      </c>
      <c r="N2309" s="7">
        <f>M2309*$J$2326-J2309</f>
        <v/>
      </c>
      <c r="O2309" s="9">
        <f>IF(G2309=0,0,N2309/G2309)</f>
        <v/>
      </c>
      <c r="P2309" s="6">
        <f>IF(M2309&gt;0,D2309,"")</f>
        <v/>
      </c>
      <c r="Q2309" s="9">
        <f>I2309+O2309</f>
        <v/>
      </c>
      <c r="R2309" s="7">
        <f>Q2309*G2309</f>
        <v/>
      </c>
      <c r="S2309" s="8">
        <f>IF($R$2326=0,0,R2309/$R$2326)</f>
        <v/>
      </c>
      <c r="T2309" s="8" t="n">
        <v>0.02372435832925524</v>
      </c>
      <c r="U2309" s="8" t="n">
        <v>0.00247716295436895</v>
      </c>
      <c r="V2309" s="6" t="inlineStr">
        <is>
          <t>removed from weekly selection</t>
        </is>
      </c>
    </row>
    <row r="2310">
      <c r="A2310" s="6" t="inlineStr">
        <is>
          <t>DJ30</t>
        </is>
      </c>
      <c r="B2310" s="6" t="inlineStr">
        <is>
          <t>2024-06-07</t>
        </is>
      </c>
      <c r="C2310" s="6" t="inlineStr">
        <is>
          <t>DIA</t>
        </is>
      </c>
      <c r="D2310" s="6" t="inlineStr">
        <is>
          <t>JNJ</t>
        </is>
      </c>
      <c r="E2310" s="6" t="inlineStr">
        <is>
          <t>JNJ</t>
        </is>
      </c>
      <c r="F2310" s="6" t="inlineStr">
        <is>
          <t>-</t>
        </is>
      </c>
      <c r="G2310" s="7" t="n">
        <v>138.9668273925781</v>
      </c>
      <c r="H2310" s="6">
        <f>P2279</f>
        <v/>
      </c>
      <c r="I2310" s="9">
        <f>Q2279</f>
        <v/>
      </c>
      <c r="J2310" s="7">
        <f>I2310*G2310</f>
        <v/>
      </c>
      <c r="K2310" s="8">
        <f>IF($J$2326=0,0,J2310/$J$2326)</f>
        <v/>
      </c>
      <c r="L2310" s="6" t="inlineStr">
        <is>
          <t>REJECTED</t>
        </is>
      </c>
      <c r="M2310" s="8" t="n">
        <v>0</v>
      </c>
      <c r="N2310" s="7">
        <f>M2310*$J$2326-J2310</f>
        <v/>
      </c>
      <c r="O2310" s="9">
        <f>IF(G2310=0,0,N2310/G2310)</f>
        <v/>
      </c>
      <c r="P2310" s="6">
        <f>IF(M2310&gt;0,D2310,"")</f>
        <v/>
      </c>
      <c r="Q2310" s="9">
        <f>I2310+O2310</f>
        <v/>
      </c>
      <c r="R2310" s="7">
        <f>Q2310*G2310</f>
        <v/>
      </c>
      <c r="S2310" s="8">
        <f>IF($R$2326=0,0,R2310/$R$2326)</f>
        <v/>
      </c>
      <c r="T2310" s="8" t="n">
        <v>0.02372435832925524</v>
      </c>
      <c r="U2310" s="8" t="n">
        <v>0.00247716295436895</v>
      </c>
      <c r="V2310" s="6" t="inlineStr">
        <is>
          <t>not selected</t>
        </is>
      </c>
    </row>
    <row r="2311">
      <c r="A2311" s="6" t="inlineStr">
        <is>
          <t>DJ30</t>
        </is>
      </c>
      <c r="B2311" s="6" t="inlineStr">
        <is>
          <t>2024-06-07</t>
        </is>
      </c>
      <c r="C2311" s="6" t="inlineStr">
        <is>
          <t>DIA</t>
        </is>
      </c>
      <c r="D2311" s="6" t="inlineStr">
        <is>
          <t>JPM</t>
        </is>
      </c>
      <c r="E2311" s="6" t="inlineStr">
        <is>
          <t>JPM</t>
        </is>
      </c>
      <c r="F2311" s="6" t="inlineStr">
        <is>
          <t>-</t>
        </is>
      </c>
      <c r="G2311" s="7" t="n">
        <v>191.6898956298828</v>
      </c>
      <c r="H2311" s="6">
        <f>P2280</f>
        <v/>
      </c>
      <c r="I2311" s="9">
        <f>Q2280</f>
        <v/>
      </c>
      <c r="J2311" s="7">
        <f>I2311*G2311</f>
        <v/>
      </c>
      <c r="K2311" s="8">
        <f>IF($J$2326=0,0,J2311/$J$2326)</f>
        <v/>
      </c>
      <c r="L2311" s="6" t="inlineStr">
        <is>
          <t>WATCHLIST</t>
        </is>
      </c>
      <c r="M2311" s="8" t="n">
        <v>0</v>
      </c>
      <c r="N2311" s="7">
        <f>M2311*$J$2326-J2311</f>
        <v/>
      </c>
      <c r="O2311" s="9">
        <f>IF(G2311=0,0,N2311/G2311)</f>
        <v/>
      </c>
      <c r="P2311" s="6">
        <f>IF(M2311&gt;0,D2311,"")</f>
        <v/>
      </c>
      <c r="Q2311" s="9">
        <f>I2311+O2311</f>
        <v/>
      </c>
      <c r="R2311" s="7">
        <f>Q2311*G2311</f>
        <v/>
      </c>
      <c r="S2311" s="8">
        <f>IF($R$2326=0,0,R2311/$R$2326)</f>
        <v/>
      </c>
      <c r="T2311" s="8" t="n">
        <v>0.02372435832925524</v>
      </c>
      <c r="U2311" s="8" t="n">
        <v>0.00247716295436895</v>
      </c>
      <c r="V2311" s="6" t="inlineStr">
        <is>
          <t>removed from weekly selection</t>
        </is>
      </c>
    </row>
    <row r="2312">
      <c r="A2312" s="6" t="inlineStr">
        <is>
          <t>DJ30</t>
        </is>
      </c>
      <c r="B2312" s="6" t="inlineStr">
        <is>
          <t>2024-06-07</t>
        </is>
      </c>
      <c r="C2312" s="6" t="inlineStr">
        <is>
          <t>DIA</t>
        </is>
      </c>
      <c r="D2312" s="6" t="inlineStr">
        <is>
          <t>KO</t>
        </is>
      </c>
      <c r="E2312" s="6" t="inlineStr">
        <is>
          <t>KO</t>
        </is>
      </c>
      <c r="F2312" s="6" t="inlineStr">
        <is>
          <t>-</t>
        </is>
      </c>
      <c r="G2312" s="7" t="n">
        <v>59.91900253295898</v>
      </c>
      <c r="H2312" s="6">
        <f>P2281</f>
        <v/>
      </c>
      <c r="I2312" s="9">
        <f>Q2281</f>
        <v/>
      </c>
      <c r="J2312" s="7">
        <f>I2312*G2312</f>
        <v/>
      </c>
      <c r="K2312" s="8">
        <f>IF($J$2326=0,0,J2312/$J$2326)</f>
        <v/>
      </c>
      <c r="L2312" s="6" t="inlineStr">
        <is>
          <t>REJECTED</t>
        </is>
      </c>
      <c r="M2312" s="8" t="n">
        <v>0</v>
      </c>
      <c r="N2312" s="7">
        <f>M2312*$J$2326-J2312</f>
        <v/>
      </c>
      <c r="O2312" s="9">
        <f>IF(G2312=0,0,N2312/G2312)</f>
        <v/>
      </c>
      <c r="P2312" s="6">
        <f>IF(M2312&gt;0,D2312,"")</f>
        <v/>
      </c>
      <c r="Q2312" s="9">
        <f>I2312+O2312</f>
        <v/>
      </c>
      <c r="R2312" s="7">
        <f>Q2312*G2312</f>
        <v/>
      </c>
      <c r="S2312" s="8">
        <f>IF($R$2326=0,0,R2312/$R$2326)</f>
        <v/>
      </c>
      <c r="T2312" s="8" t="n">
        <v>0.02372435832925524</v>
      </c>
      <c r="U2312" s="8" t="n">
        <v>0.00247716295436895</v>
      </c>
      <c r="V2312" s="6" t="inlineStr">
        <is>
          <t>not selected</t>
        </is>
      </c>
    </row>
    <row r="2313">
      <c r="A2313" s="6" t="inlineStr">
        <is>
          <t>DJ30</t>
        </is>
      </c>
      <c r="B2313" s="6" t="inlineStr">
        <is>
          <t>2024-06-07</t>
        </is>
      </c>
      <c r="C2313" s="6" t="inlineStr">
        <is>
          <t>DIA</t>
        </is>
      </c>
      <c r="D2313" s="6" t="inlineStr">
        <is>
          <t>MCD</t>
        </is>
      </c>
      <c r="E2313" s="6" t="inlineStr">
        <is>
          <t>MCD</t>
        </is>
      </c>
      <c r="F2313" s="6" t="inlineStr">
        <is>
          <t>-</t>
        </is>
      </c>
      <c r="G2313" s="7" t="n">
        <v>244.4011840820312</v>
      </c>
      <c r="H2313" s="6">
        <f>P2282</f>
        <v/>
      </c>
      <c r="I2313" s="9">
        <f>Q2282</f>
        <v/>
      </c>
      <c r="J2313" s="7">
        <f>I2313*G2313</f>
        <v/>
      </c>
      <c r="K2313" s="8">
        <f>IF($J$2326=0,0,J2313/$J$2326)</f>
        <v/>
      </c>
      <c r="L2313" s="6" t="inlineStr">
        <is>
          <t>REJECTED</t>
        </is>
      </c>
      <c r="M2313" s="8" t="n">
        <v>0</v>
      </c>
      <c r="N2313" s="7">
        <f>M2313*$J$2326-J2313</f>
        <v/>
      </c>
      <c r="O2313" s="9">
        <f>IF(G2313=0,0,N2313/G2313)</f>
        <v/>
      </c>
      <c r="P2313" s="6">
        <f>IF(M2313&gt;0,D2313,"")</f>
        <v/>
      </c>
      <c r="Q2313" s="9">
        <f>I2313+O2313</f>
        <v/>
      </c>
      <c r="R2313" s="7">
        <f>Q2313*G2313</f>
        <v/>
      </c>
      <c r="S2313" s="8">
        <f>IF($R$2326=0,0,R2313/$R$2326)</f>
        <v/>
      </c>
      <c r="T2313" s="8" t="n">
        <v>0.02372435832925524</v>
      </c>
      <c r="U2313" s="8" t="n">
        <v>0.00247716295436895</v>
      </c>
      <c r="V2313" s="6" t="inlineStr">
        <is>
          <t>not selected</t>
        </is>
      </c>
    </row>
    <row r="2314">
      <c r="A2314" s="6" t="inlineStr">
        <is>
          <t>DJ30</t>
        </is>
      </c>
      <c r="B2314" s="6" t="inlineStr">
        <is>
          <t>2024-06-07</t>
        </is>
      </c>
      <c r="C2314" s="6" t="inlineStr">
        <is>
          <t>DIA</t>
        </is>
      </c>
      <c r="D2314" s="6" t="inlineStr">
        <is>
          <t>MMM</t>
        </is>
      </c>
      <c r="E2314" s="6" t="inlineStr">
        <is>
          <t>MMM</t>
        </is>
      </c>
      <c r="F2314" s="6" t="inlineStr">
        <is>
          <t>-</t>
        </is>
      </c>
      <c r="G2314" s="7" t="n">
        <v>97.00022888183594</v>
      </c>
      <c r="H2314" s="6">
        <f>P2283</f>
        <v/>
      </c>
      <c r="I2314" s="9">
        <f>Q2283</f>
        <v/>
      </c>
      <c r="J2314" s="7">
        <f>I2314*G2314</f>
        <v/>
      </c>
      <c r="K2314" s="8">
        <f>IF($J$2326=0,0,J2314/$J$2326)</f>
        <v/>
      </c>
      <c r="L2314" s="6" t="inlineStr">
        <is>
          <t>WATCHLIST</t>
        </is>
      </c>
      <c r="M2314" s="8" t="n">
        <v>0</v>
      </c>
      <c r="N2314" s="7">
        <f>M2314*$J$2326-J2314</f>
        <v/>
      </c>
      <c r="O2314" s="9">
        <f>IF(G2314=0,0,N2314/G2314)</f>
        <v/>
      </c>
      <c r="P2314" s="6">
        <f>IF(M2314&gt;0,D2314,"")</f>
        <v/>
      </c>
      <c r="Q2314" s="9">
        <f>I2314+O2314</f>
        <v/>
      </c>
      <c r="R2314" s="7">
        <f>Q2314*G2314</f>
        <v/>
      </c>
      <c r="S2314" s="8">
        <f>IF($R$2326=0,0,R2314/$R$2326)</f>
        <v/>
      </c>
      <c r="T2314" s="8" t="n">
        <v>0.02372435832925524</v>
      </c>
      <c r="U2314" s="8" t="n">
        <v>0.00247716295436895</v>
      </c>
      <c r="V2314" s="6" t="inlineStr">
        <is>
          <t>not selected</t>
        </is>
      </c>
    </row>
    <row r="2315">
      <c r="A2315" s="6" t="inlineStr">
        <is>
          <t>DJ30</t>
        </is>
      </c>
      <c r="B2315" s="6" t="inlineStr">
        <is>
          <t>2024-06-07</t>
        </is>
      </c>
      <c r="C2315" s="6" t="inlineStr">
        <is>
          <t>DIA</t>
        </is>
      </c>
      <c r="D2315" s="6" t="inlineStr">
        <is>
          <t>MRK</t>
        </is>
      </c>
      <c r="E2315" s="6" t="inlineStr">
        <is>
          <t>MRK</t>
        </is>
      </c>
      <c r="F2315" s="6" t="inlineStr">
        <is>
          <t>-</t>
        </is>
      </c>
      <c r="G2315" s="7" t="n">
        <v>121.5857467651367</v>
      </c>
      <c r="H2315" s="6">
        <f>P2284</f>
        <v/>
      </c>
      <c r="I2315" s="9">
        <f>Q2284</f>
        <v/>
      </c>
      <c r="J2315" s="7">
        <f>I2315*G2315</f>
        <v/>
      </c>
      <c r="K2315" s="8">
        <f>IF($J$2326=0,0,J2315/$J$2326)</f>
        <v/>
      </c>
      <c r="L2315" s="6" t="inlineStr">
        <is>
          <t>WATCHLIST</t>
        </is>
      </c>
      <c r="M2315" s="8" t="n">
        <v>0</v>
      </c>
      <c r="N2315" s="7">
        <f>M2315*$J$2326-J2315</f>
        <v/>
      </c>
      <c r="O2315" s="9">
        <f>IF(G2315=0,0,N2315/G2315)</f>
        <v/>
      </c>
      <c r="P2315" s="6">
        <f>IF(M2315&gt;0,D2315,"")</f>
        <v/>
      </c>
      <c r="Q2315" s="9">
        <f>I2315+O2315</f>
        <v/>
      </c>
      <c r="R2315" s="7">
        <f>Q2315*G2315</f>
        <v/>
      </c>
      <c r="S2315" s="8">
        <f>IF($R$2326=0,0,R2315/$R$2326)</f>
        <v/>
      </c>
      <c r="T2315" s="8" t="n">
        <v>0.02372435832925524</v>
      </c>
      <c r="U2315" s="8" t="n">
        <v>0.00247716295436895</v>
      </c>
      <c r="V2315" s="6" t="inlineStr">
        <is>
          <t>not selected</t>
        </is>
      </c>
    </row>
    <row r="2316">
      <c r="A2316" s="6" t="inlineStr">
        <is>
          <t>DJ30</t>
        </is>
      </c>
      <c r="B2316" s="6" t="inlineStr">
        <is>
          <t>2024-06-07</t>
        </is>
      </c>
      <c r="C2316" s="6" t="inlineStr">
        <is>
          <t>DIA</t>
        </is>
      </c>
      <c r="D2316" s="6" t="inlineStr">
        <is>
          <t>MSFT</t>
        </is>
      </c>
      <c r="E2316" s="6" t="inlineStr">
        <is>
          <t>MSFT</t>
        </is>
      </c>
      <c r="F2316" s="6" t="inlineStr">
        <is>
          <t>-</t>
        </is>
      </c>
      <c r="G2316" s="7" t="n">
        <v>417.2919006347656</v>
      </c>
      <c r="H2316" s="6">
        <f>P2285</f>
        <v/>
      </c>
      <c r="I2316" s="9">
        <f>Q2285</f>
        <v/>
      </c>
      <c r="J2316" s="7">
        <f>I2316*G2316</f>
        <v/>
      </c>
      <c r="K2316" s="8">
        <f>IF($J$2326=0,0,J2316/$J$2326)</f>
        <v/>
      </c>
      <c r="L2316" s="6" t="inlineStr">
        <is>
          <t>WATCHLIST</t>
        </is>
      </c>
      <c r="M2316" s="8" t="n">
        <v>0</v>
      </c>
      <c r="N2316" s="7">
        <f>M2316*$J$2326-J2316</f>
        <v/>
      </c>
      <c r="O2316" s="9">
        <f>IF(G2316=0,0,N2316/G2316)</f>
        <v/>
      </c>
      <c r="P2316" s="6">
        <f>IF(M2316&gt;0,D2316,"")</f>
        <v/>
      </c>
      <c r="Q2316" s="9">
        <f>I2316+O2316</f>
        <v/>
      </c>
      <c r="R2316" s="7">
        <f>Q2316*G2316</f>
        <v/>
      </c>
      <c r="S2316" s="8">
        <f>IF($R$2326=0,0,R2316/$R$2326)</f>
        <v/>
      </c>
      <c r="T2316" s="8" t="n">
        <v>0.02372435832925524</v>
      </c>
      <c r="U2316" s="8" t="n">
        <v>0.00247716295436895</v>
      </c>
      <c r="V2316" s="6" t="inlineStr">
        <is>
          <t>not selected</t>
        </is>
      </c>
    </row>
    <row r="2317">
      <c r="A2317" s="6" t="inlineStr">
        <is>
          <t>DJ30</t>
        </is>
      </c>
      <c r="B2317" s="6" t="inlineStr">
        <is>
          <t>2024-06-07</t>
        </is>
      </c>
      <c r="C2317" s="6" t="inlineStr">
        <is>
          <t>DIA</t>
        </is>
      </c>
      <c r="D2317" s="6" t="inlineStr">
        <is>
          <t>NKE</t>
        </is>
      </c>
      <c r="E2317" s="6" t="inlineStr">
        <is>
          <t>NKE</t>
        </is>
      </c>
      <c r="F2317" s="6" t="inlineStr">
        <is>
          <t>-</t>
        </is>
      </c>
      <c r="G2317" s="7" t="n">
        <v>91.99883270263672</v>
      </c>
      <c r="H2317" s="6">
        <f>P2286</f>
        <v/>
      </c>
      <c r="I2317" s="9">
        <f>Q2286</f>
        <v/>
      </c>
      <c r="J2317" s="7">
        <f>I2317*G2317</f>
        <v/>
      </c>
      <c r="K2317" s="8">
        <f>IF($J$2326=0,0,J2317/$J$2326)</f>
        <v/>
      </c>
      <c r="L2317" s="6" t="inlineStr">
        <is>
          <t>REJECTED</t>
        </is>
      </c>
      <c r="M2317" s="8" t="n">
        <v>0</v>
      </c>
      <c r="N2317" s="7">
        <f>M2317*$J$2326-J2317</f>
        <v/>
      </c>
      <c r="O2317" s="9">
        <f>IF(G2317=0,0,N2317/G2317)</f>
        <v/>
      </c>
      <c r="P2317" s="6">
        <f>IF(M2317&gt;0,D2317,"")</f>
        <v/>
      </c>
      <c r="Q2317" s="9">
        <f>I2317+O2317</f>
        <v/>
      </c>
      <c r="R2317" s="7">
        <f>Q2317*G2317</f>
        <v/>
      </c>
      <c r="S2317" s="8">
        <f>IF($R$2326=0,0,R2317/$R$2326)</f>
        <v/>
      </c>
      <c r="T2317" s="8" t="n">
        <v>0.02372435832925524</v>
      </c>
      <c r="U2317" s="8" t="n">
        <v>0.00247716295436895</v>
      </c>
      <c r="V2317" s="6" t="inlineStr">
        <is>
          <t>not selected</t>
        </is>
      </c>
    </row>
    <row r="2318">
      <c r="A2318" s="6" t="inlineStr">
        <is>
          <t>DJ30</t>
        </is>
      </c>
      <c r="B2318" s="6" t="inlineStr">
        <is>
          <t>2024-06-07</t>
        </is>
      </c>
      <c r="C2318" s="6" t="inlineStr">
        <is>
          <t>DIA</t>
        </is>
      </c>
      <c r="D2318" s="6" t="inlineStr">
        <is>
          <t>NVDA</t>
        </is>
      </c>
      <c r="E2318" s="6" t="inlineStr">
        <is>
          <t>NVDA</t>
        </is>
      </c>
      <c r="F2318" s="6" t="inlineStr">
        <is>
          <t>-</t>
        </is>
      </c>
      <c r="G2318" s="7" t="n">
        <v>120.6791687011719</v>
      </c>
      <c r="H2318" s="6">
        <f>P2287</f>
        <v/>
      </c>
      <c r="I2318" s="9">
        <f>Q2287</f>
        <v/>
      </c>
      <c r="J2318" s="7">
        <f>I2318*G2318</f>
        <v/>
      </c>
      <c r="K2318" s="8">
        <f>IF($J$2326=0,0,J2318/$J$2326)</f>
        <v/>
      </c>
      <c r="L2318" s="6" t="inlineStr">
        <is>
          <t>SELECTED</t>
        </is>
      </c>
      <c r="M2318" s="8" t="n">
        <v>0.2</v>
      </c>
      <c r="N2318" s="7">
        <f>M2318*$J$2326-J2318</f>
        <v/>
      </c>
      <c r="O2318" s="9">
        <f>IF(G2318=0,0,N2318/G2318)</f>
        <v/>
      </c>
      <c r="P2318" s="6">
        <f>IF(M2318&gt;0,D2318,"")</f>
        <v/>
      </c>
      <c r="Q2318" s="9">
        <f>I2318+O2318</f>
        <v/>
      </c>
      <c r="R2318" s="7">
        <f>Q2318*G2318</f>
        <v/>
      </c>
      <c r="S2318" s="8">
        <f>IF($R$2326=0,0,R2318/$R$2326)</f>
        <v/>
      </c>
      <c r="T2318" s="8" t="n">
        <v>0.02372435832925524</v>
      </c>
      <c r="U2318" s="8" t="n">
        <v>0.00247716295436895</v>
      </c>
      <c r="V2318" s="6" t="inlineStr">
        <is>
          <t>remained in weekly selection</t>
        </is>
      </c>
    </row>
    <row r="2319">
      <c r="A2319" s="6" t="inlineStr">
        <is>
          <t>DJ30</t>
        </is>
      </c>
      <c r="B2319" s="6" t="inlineStr">
        <is>
          <t>2024-06-07</t>
        </is>
      </c>
      <c r="C2319" s="6" t="inlineStr">
        <is>
          <t>DIA</t>
        </is>
      </c>
      <c r="D2319" s="6" t="inlineStr">
        <is>
          <t>PG</t>
        </is>
      </c>
      <c r="E2319" s="6" t="inlineStr">
        <is>
          <t>PG</t>
        </is>
      </c>
      <c r="F2319" s="6" t="inlineStr">
        <is>
          <t>-</t>
        </is>
      </c>
      <c r="G2319" s="7" t="n">
        <v>158.5136108398438</v>
      </c>
      <c r="H2319" s="6">
        <f>P2288</f>
        <v/>
      </c>
      <c r="I2319" s="9">
        <f>Q2288</f>
        <v/>
      </c>
      <c r="J2319" s="7">
        <f>I2319*G2319</f>
        <v/>
      </c>
      <c r="K2319" s="8">
        <f>IF($J$2326=0,0,J2319/$J$2326)</f>
        <v/>
      </c>
      <c r="L2319" s="6" t="inlineStr">
        <is>
          <t>WATCHLIST</t>
        </is>
      </c>
      <c r="M2319" s="8" t="n">
        <v>0</v>
      </c>
      <c r="N2319" s="7">
        <f>M2319*$J$2326-J2319</f>
        <v/>
      </c>
      <c r="O2319" s="9">
        <f>IF(G2319=0,0,N2319/G2319)</f>
        <v/>
      </c>
      <c r="P2319" s="6">
        <f>IF(M2319&gt;0,D2319,"")</f>
        <v/>
      </c>
      <c r="Q2319" s="9">
        <f>I2319+O2319</f>
        <v/>
      </c>
      <c r="R2319" s="7">
        <f>Q2319*G2319</f>
        <v/>
      </c>
      <c r="S2319" s="8">
        <f>IF($R$2326=0,0,R2319/$R$2326)</f>
        <v/>
      </c>
      <c r="T2319" s="8" t="n">
        <v>0.02372435832925524</v>
      </c>
      <c r="U2319" s="8" t="n">
        <v>0.00247716295436895</v>
      </c>
      <c r="V2319" s="6" t="inlineStr">
        <is>
          <t>not selected</t>
        </is>
      </c>
    </row>
    <row r="2320">
      <c r="A2320" s="6" t="inlineStr">
        <is>
          <t>DJ30</t>
        </is>
      </c>
      <c r="B2320" s="6" t="inlineStr">
        <is>
          <t>2024-06-07</t>
        </is>
      </c>
      <c r="C2320" s="6" t="inlineStr">
        <is>
          <t>DIA</t>
        </is>
      </c>
      <c r="D2320" s="6" t="inlineStr">
        <is>
          <t>SHW</t>
        </is>
      </c>
      <c r="E2320" s="6" t="inlineStr">
        <is>
          <t>SHW</t>
        </is>
      </c>
      <c r="F2320" s="6" t="inlineStr">
        <is>
          <t>-</t>
        </is>
      </c>
      <c r="G2320" s="7" t="n">
        <v>286.8804626464844</v>
      </c>
      <c r="H2320" s="6">
        <f>P2289</f>
        <v/>
      </c>
      <c r="I2320" s="9">
        <f>Q2289</f>
        <v/>
      </c>
      <c r="J2320" s="7">
        <f>I2320*G2320</f>
        <v/>
      </c>
      <c r="K2320" s="8">
        <f>IF($J$2326=0,0,J2320/$J$2326)</f>
        <v/>
      </c>
      <c r="L2320" s="6" t="inlineStr">
        <is>
          <t>WATCHLIST</t>
        </is>
      </c>
      <c r="M2320" s="8" t="n">
        <v>0</v>
      </c>
      <c r="N2320" s="7">
        <f>M2320*$J$2326-J2320</f>
        <v/>
      </c>
      <c r="O2320" s="9">
        <f>IF(G2320=0,0,N2320/G2320)</f>
        <v/>
      </c>
      <c r="P2320" s="6">
        <f>IF(M2320&gt;0,D2320,"")</f>
        <v/>
      </c>
      <c r="Q2320" s="9">
        <f>I2320+O2320</f>
        <v/>
      </c>
      <c r="R2320" s="7">
        <f>Q2320*G2320</f>
        <v/>
      </c>
      <c r="S2320" s="8">
        <f>IF($R$2326=0,0,R2320/$R$2326)</f>
        <v/>
      </c>
      <c r="T2320" s="8" t="n">
        <v>0.02372435832925524</v>
      </c>
      <c r="U2320" s="8" t="n">
        <v>0.00247716295436895</v>
      </c>
      <c r="V2320" s="6" t="inlineStr">
        <is>
          <t>not selected</t>
        </is>
      </c>
    </row>
    <row r="2321">
      <c r="A2321" s="6" t="inlineStr">
        <is>
          <t>DJ30</t>
        </is>
      </c>
      <c r="B2321" s="6" t="inlineStr">
        <is>
          <t>2024-06-07</t>
        </is>
      </c>
      <c r="C2321" s="6" t="inlineStr">
        <is>
          <t>DIA</t>
        </is>
      </c>
      <c r="D2321" s="6" t="inlineStr">
        <is>
          <t>TRV</t>
        </is>
      </c>
      <c r="E2321" s="6" t="inlineStr">
        <is>
          <t>TRV</t>
        </is>
      </c>
      <c r="F2321" s="6" t="inlineStr">
        <is>
          <t>-</t>
        </is>
      </c>
      <c r="G2321" s="7" t="n">
        <v>205.1189575195312</v>
      </c>
      <c r="H2321" s="6">
        <f>P2290</f>
        <v/>
      </c>
      <c r="I2321" s="9">
        <f>Q2290</f>
        <v/>
      </c>
      <c r="J2321" s="7">
        <f>I2321*G2321</f>
        <v/>
      </c>
      <c r="K2321" s="8">
        <f>IF($J$2326=0,0,J2321/$J$2326)</f>
        <v/>
      </c>
      <c r="L2321" s="6" t="inlineStr">
        <is>
          <t>SELECTED</t>
        </is>
      </c>
      <c r="M2321" s="8" t="n">
        <v>0.2</v>
      </c>
      <c r="N2321" s="7">
        <f>M2321*$J$2326-J2321</f>
        <v/>
      </c>
      <c r="O2321" s="9">
        <f>IF(G2321=0,0,N2321/G2321)</f>
        <v/>
      </c>
      <c r="P2321" s="6">
        <f>IF(M2321&gt;0,D2321,"")</f>
        <v/>
      </c>
      <c r="Q2321" s="9">
        <f>I2321+O2321</f>
        <v/>
      </c>
      <c r="R2321" s="7">
        <f>Q2321*G2321</f>
        <v/>
      </c>
      <c r="S2321" s="8">
        <f>IF($R$2326=0,0,R2321/$R$2326)</f>
        <v/>
      </c>
      <c r="T2321" s="8" t="n">
        <v>0.02372435832925524</v>
      </c>
      <c r="U2321" s="8" t="n">
        <v>0.00247716295436895</v>
      </c>
      <c r="V2321" s="6" t="inlineStr">
        <is>
          <t>entered weekly selection</t>
        </is>
      </c>
    </row>
    <row r="2322">
      <c r="A2322" s="6" t="inlineStr">
        <is>
          <t>DJ30</t>
        </is>
      </c>
      <c r="B2322" s="6" t="inlineStr">
        <is>
          <t>2024-06-07</t>
        </is>
      </c>
      <c r="C2322" s="6" t="inlineStr">
        <is>
          <t>DIA</t>
        </is>
      </c>
      <c r="D2322" s="6" t="inlineStr">
        <is>
          <t>UNH</t>
        </is>
      </c>
      <c r="E2322" s="6" t="inlineStr">
        <is>
          <t>UNH</t>
        </is>
      </c>
      <c r="F2322" s="6" t="inlineStr">
        <is>
          <t>-</t>
        </is>
      </c>
      <c r="G2322" s="7" t="n">
        <v>467.0534362792969</v>
      </c>
      <c r="H2322" s="6">
        <f>P2291</f>
        <v/>
      </c>
      <c r="I2322" s="9">
        <f>Q2291</f>
        <v/>
      </c>
      <c r="J2322" s="7">
        <f>I2322*G2322</f>
        <v/>
      </c>
      <c r="K2322" s="8">
        <f>IF($J$2326=0,0,J2322/$J$2326)</f>
        <v/>
      </c>
      <c r="L2322" s="6" t="inlineStr">
        <is>
          <t>REJECTED</t>
        </is>
      </c>
      <c r="M2322" s="8" t="n">
        <v>0</v>
      </c>
      <c r="N2322" s="7">
        <f>M2322*$J$2326-J2322</f>
        <v/>
      </c>
      <c r="O2322" s="9">
        <f>IF(G2322=0,0,N2322/G2322)</f>
        <v/>
      </c>
      <c r="P2322" s="6">
        <f>IF(M2322&gt;0,D2322,"")</f>
        <v/>
      </c>
      <c r="Q2322" s="9">
        <f>I2322+O2322</f>
        <v/>
      </c>
      <c r="R2322" s="7">
        <f>Q2322*G2322</f>
        <v/>
      </c>
      <c r="S2322" s="8">
        <f>IF($R$2326=0,0,R2322/$R$2326)</f>
        <v/>
      </c>
      <c r="T2322" s="8" t="n">
        <v>0.02372435832925524</v>
      </c>
      <c r="U2322" s="8" t="n">
        <v>0.00247716295436895</v>
      </c>
      <c r="V2322" s="6" t="inlineStr">
        <is>
          <t>not selected</t>
        </is>
      </c>
    </row>
    <row r="2323">
      <c r="A2323" s="6" t="inlineStr">
        <is>
          <t>DJ30</t>
        </is>
      </c>
      <c r="B2323" s="6" t="inlineStr">
        <is>
          <t>2024-06-07</t>
        </is>
      </c>
      <c r="C2323" s="6" t="inlineStr">
        <is>
          <t>DIA</t>
        </is>
      </c>
      <c r="D2323" s="6" t="inlineStr">
        <is>
          <t>V</t>
        </is>
      </c>
      <c r="E2323" s="6" t="inlineStr">
        <is>
          <t>V</t>
        </is>
      </c>
      <c r="F2323" s="6" t="inlineStr">
        <is>
          <t>-</t>
        </is>
      </c>
      <c r="G2323" s="7" t="n">
        <v>274.4906311035156</v>
      </c>
      <c r="H2323" s="6">
        <f>P2292</f>
        <v/>
      </c>
      <c r="I2323" s="9">
        <f>Q2292</f>
        <v/>
      </c>
      <c r="J2323" s="7">
        <f>I2323*G2323</f>
        <v/>
      </c>
      <c r="K2323" s="8">
        <f>IF($J$2326=0,0,J2323/$J$2326)</f>
        <v/>
      </c>
      <c r="L2323" s="6" t="inlineStr">
        <is>
          <t>WATCHLIST</t>
        </is>
      </c>
      <c r="M2323" s="8" t="n">
        <v>0</v>
      </c>
      <c r="N2323" s="7">
        <f>M2323*$J$2326-J2323</f>
        <v/>
      </c>
      <c r="O2323" s="9">
        <f>IF(G2323=0,0,N2323/G2323)</f>
        <v/>
      </c>
      <c r="P2323" s="6">
        <f>IF(M2323&gt;0,D2323,"")</f>
        <v/>
      </c>
      <c r="Q2323" s="9">
        <f>I2323+O2323</f>
        <v/>
      </c>
      <c r="R2323" s="7">
        <f>Q2323*G2323</f>
        <v/>
      </c>
      <c r="S2323" s="8">
        <f>IF($R$2326=0,0,R2323/$R$2326)</f>
        <v/>
      </c>
      <c r="T2323" s="8" t="n">
        <v>0.02372435832925524</v>
      </c>
      <c r="U2323" s="8" t="n">
        <v>0.00247716295436895</v>
      </c>
      <c r="V2323" s="6" t="inlineStr">
        <is>
          <t>not selected</t>
        </is>
      </c>
    </row>
    <row r="2324">
      <c r="A2324" s="6" t="inlineStr">
        <is>
          <t>DJ30</t>
        </is>
      </c>
      <c r="B2324" s="6" t="inlineStr">
        <is>
          <t>2024-06-07</t>
        </is>
      </c>
      <c r="C2324" s="6" t="inlineStr">
        <is>
          <t>DIA</t>
        </is>
      </c>
      <c r="D2324" s="6" t="inlineStr">
        <is>
          <t>VZ</t>
        </is>
      </c>
      <c r="E2324" s="6" t="inlineStr">
        <is>
          <t>VZ</t>
        </is>
      </c>
      <c r="F2324" s="6" t="inlineStr">
        <is>
          <t>-</t>
        </is>
      </c>
      <c r="G2324" s="7" t="n">
        <v>35.93359375</v>
      </c>
      <c r="H2324" s="6">
        <f>P2293</f>
        <v/>
      </c>
      <c r="I2324" s="9">
        <f>Q2293</f>
        <v/>
      </c>
      <c r="J2324" s="7">
        <f>I2324*G2324</f>
        <v/>
      </c>
      <c r="K2324" s="8">
        <f>IF($J$2326=0,0,J2324/$J$2326)</f>
        <v/>
      </c>
      <c r="L2324" s="6" t="inlineStr">
        <is>
          <t>WATCHLIST</t>
        </is>
      </c>
      <c r="M2324" s="8" t="n">
        <v>0</v>
      </c>
      <c r="N2324" s="7">
        <f>M2324*$J$2326-J2324</f>
        <v/>
      </c>
      <c r="O2324" s="9">
        <f>IF(G2324=0,0,N2324/G2324)</f>
        <v/>
      </c>
      <c r="P2324" s="6">
        <f>IF(M2324&gt;0,D2324,"")</f>
        <v/>
      </c>
      <c r="Q2324" s="9">
        <f>I2324+O2324</f>
        <v/>
      </c>
      <c r="R2324" s="7">
        <f>Q2324*G2324</f>
        <v/>
      </c>
      <c r="S2324" s="8">
        <f>IF($R$2326=0,0,R2324/$R$2326)</f>
        <v/>
      </c>
      <c r="T2324" s="8" t="n">
        <v>0.02372435832925524</v>
      </c>
      <c r="U2324" s="8" t="n">
        <v>0.00247716295436895</v>
      </c>
      <c r="V2324" s="6" t="inlineStr">
        <is>
          <t>not selected</t>
        </is>
      </c>
    </row>
    <row r="2325">
      <c r="A2325" s="6" t="inlineStr">
        <is>
          <t>DJ30</t>
        </is>
      </c>
      <c r="B2325" s="6" t="inlineStr">
        <is>
          <t>2024-06-07</t>
        </is>
      </c>
      <c r="C2325" s="6" t="inlineStr">
        <is>
          <t>DIA</t>
        </is>
      </c>
      <c r="D2325" s="6" t="inlineStr">
        <is>
          <t>WMT</t>
        </is>
      </c>
      <c r="E2325" s="6" t="inlineStr">
        <is>
          <t>WMT</t>
        </is>
      </c>
      <c r="F2325" s="6" t="inlineStr">
        <is>
          <t>-</t>
        </is>
      </c>
      <c r="G2325" s="7" t="n">
        <v>64.66965484619141</v>
      </c>
      <c r="H2325" s="6">
        <f>P2294</f>
        <v/>
      </c>
      <c r="I2325" s="9">
        <f>Q2294</f>
        <v/>
      </c>
      <c r="J2325" s="7">
        <f>I2325*G2325</f>
        <v/>
      </c>
      <c r="K2325" s="8">
        <f>IF($J$2326=0,0,J2325/$J$2326)</f>
        <v/>
      </c>
      <c r="L2325" s="6" t="inlineStr">
        <is>
          <t>WATCHLIST</t>
        </is>
      </c>
      <c r="M2325" s="8" t="n">
        <v>0</v>
      </c>
      <c r="N2325" s="7">
        <f>M2325*$J$2326-J2325</f>
        <v/>
      </c>
      <c r="O2325" s="9">
        <f>IF(G2325=0,0,N2325/G2325)</f>
        <v/>
      </c>
      <c r="P2325" s="6">
        <f>IF(M2325&gt;0,D2325,"")</f>
        <v/>
      </c>
      <c r="Q2325" s="9">
        <f>I2325+O2325</f>
        <v/>
      </c>
      <c r="R2325" s="7">
        <f>Q2325*G2325</f>
        <v/>
      </c>
      <c r="S2325" s="8">
        <f>IF($R$2326=0,0,R2325/$R$2326)</f>
        <v/>
      </c>
      <c r="T2325" s="8" t="n">
        <v>0.02372435832925524</v>
      </c>
      <c r="U2325" s="8" t="n">
        <v>0.00247716295436895</v>
      </c>
      <c r="V2325" s="6" t="inlineStr">
        <is>
          <t>not selected</t>
        </is>
      </c>
    </row>
    <row r="2326">
      <c r="A2326" s="10" t="inlineStr">
        <is>
          <t>DJ30</t>
        </is>
      </c>
      <c r="B2326" s="10" t="inlineStr">
        <is>
          <t>2024-06-07</t>
        </is>
      </c>
      <c r="C2326" s="10" t="inlineStr">
        <is>
          <t>DIA</t>
        </is>
      </c>
      <c r="D2326" s="10" t="inlineStr">
        <is>
          <t>Tot Portfolio</t>
        </is>
      </c>
      <c r="E2326" s="10" t="inlineStr"/>
      <c r="F2326" s="10" t="inlineStr"/>
      <c r="G2326" s="11" t="inlineStr"/>
      <c r="H2326" s="10" t="inlineStr"/>
      <c r="I2326" s="12" t="inlineStr"/>
      <c r="J2326" s="11">
        <f>SUM(J2296:J2325)</f>
        <v/>
      </c>
      <c r="K2326" s="13">
        <f>SUM(K2296:K2325)</f>
        <v/>
      </c>
      <c r="L2326" s="10" t="inlineStr">
        <is>
          <t>TOTAL</t>
        </is>
      </c>
      <c r="M2326" s="13">
        <f>SUM(M2296:M2325)</f>
        <v/>
      </c>
      <c r="N2326" s="11">
        <f>SUM(N2296:N2325)</f>
        <v/>
      </c>
      <c r="O2326" s="12">
        <f>SUM(O2296:O2325)</f>
        <v/>
      </c>
      <c r="P2326" s="10" t="inlineStr"/>
      <c r="Q2326" s="12" t="inlineStr"/>
      <c r="R2326" s="11">
        <f>SUM(R2296:R2325)</f>
        <v/>
      </c>
      <c r="S2326" s="13">
        <f>SUM(S2296:S2325)</f>
        <v/>
      </c>
      <c r="T2326" s="13" t="n">
        <v>0.02372435832925524</v>
      </c>
      <c r="U2326" s="13" t="n">
        <v>0.00247716295436895</v>
      </c>
      <c r="V2326" s="10" t="inlineStr"/>
    </row>
    <row r="2327">
      <c r="A2327" s="6" t="inlineStr">
        <is>
          <t>DJ30</t>
        </is>
      </c>
      <c r="B2327" s="6" t="inlineStr">
        <is>
          <t>2024-06-14</t>
        </is>
      </c>
      <c r="C2327" s="6" t="inlineStr">
        <is>
          <t>DIA</t>
        </is>
      </c>
      <c r="D2327" s="6" t="inlineStr">
        <is>
          <t>AAPL</t>
        </is>
      </c>
      <c r="E2327" s="6" t="inlineStr">
        <is>
          <t>AAPL</t>
        </is>
      </c>
      <c r="F2327" s="6" t="inlineStr">
        <is>
          <t>-</t>
        </is>
      </c>
      <c r="G2327" s="7" t="n">
        <v>210.6651458740234</v>
      </c>
      <c r="H2327" s="6">
        <f>P2296</f>
        <v/>
      </c>
      <c r="I2327" s="9">
        <f>Q2296</f>
        <v/>
      </c>
      <c r="J2327" s="7">
        <f>I2327*G2327</f>
        <v/>
      </c>
      <c r="K2327" s="8">
        <f>IF($J$2357=0,0,J2327/$J$2357)</f>
        <v/>
      </c>
      <c r="L2327" s="6" t="inlineStr">
        <is>
          <t>REJECTED</t>
        </is>
      </c>
      <c r="M2327" s="8" t="n">
        <v>0</v>
      </c>
      <c r="N2327" s="7">
        <f>M2327*$J$2357-J2327</f>
        <v/>
      </c>
      <c r="O2327" s="9">
        <f>IF(G2327=0,0,N2327/G2327)</f>
        <v/>
      </c>
      <c r="P2327" s="6">
        <f>IF(M2327&gt;0,D2327,"")</f>
        <v/>
      </c>
      <c r="Q2327" s="9">
        <f>I2327+O2327</f>
        <v/>
      </c>
      <c r="R2327" s="7">
        <f>Q2327*G2327</f>
        <v/>
      </c>
      <c r="S2327" s="8">
        <f>IF($R$2357=0,0,R2327/$R$2357)</f>
        <v/>
      </c>
      <c r="T2327" s="8" t="n">
        <v>-0.002511604909337217</v>
      </c>
      <c r="U2327" s="8" t="n">
        <v>-0.005225351506444764</v>
      </c>
      <c r="V2327" s="6" t="inlineStr">
        <is>
          <t>not selected</t>
        </is>
      </c>
    </row>
    <row r="2328">
      <c r="A2328" s="6" t="inlineStr">
        <is>
          <t>DJ30</t>
        </is>
      </c>
      <c r="B2328" s="6" t="inlineStr">
        <is>
          <t>2024-06-14</t>
        </is>
      </c>
      <c r="C2328" s="6" t="inlineStr">
        <is>
          <t>DIA</t>
        </is>
      </c>
      <c r="D2328" s="6" t="inlineStr">
        <is>
          <t>AMGN</t>
        </is>
      </c>
      <c r="E2328" s="6" t="inlineStr">
        <is>
          <t>AMGN</t>
        </is>
      </c>
      <c r="F2328" s="6" t="inlineStr">
        <is>
          <t>-</t>
        </is>
      </c>
      <c r="G2328" s="7" t="n">
        <v>280.8464050292969</v>
      </c>
      <c r="H2328" s="6">
        <f>P2297</f>
        <v/>
      </c>
      <c r="I2328" s="9">
        <f>Q2297</f>
        <v/>
      </c>
      <c r="J2328" s="7">
        <f>I2328*G2328</f>
        <v/>
      </c>
      <c r="K2328" s="8">
        <f>IF($J$2357=0,0,J2328/$J$2357)</f>
        <v/>
      </c>
      <c r="L2328" s="6" t="inlineStr">
        <is>
          <t>WATCHLIST</t>
        </is>
      </c>
      <c r="M2328" s="8" t="n">
        <v>0</v>
      </c>
      <c r="N2328" s="7">
        <f>M2328*$J$2357-J2328</f>
        <v/>
      </c>
      <c r="O2328" s="9">
        <f>IF(G2328=0,0,N2328/G2328)</f>
        <v/>
      </c>
      <c r="P2328" s="6">
        <f>IF(M2328&gt;0,D2328,"")</f>
        <v/>
      </c>
      <c r="Q2328" s="9">
        <f>I2328+O2328</f>
        <v/>
      </c>
      <c r="R2328" s="7">
        <f>Q2328*G2328</f>
        <v/>
      </c>
      <c r="S2328" s="8">
        <f>IF($R$2357=0,0,R2328/$R$2357)</f>
        <v/>
      </c>
      <c r="T2328" s="8" t="n">
        <v>-0.002511604909337217</v>
      </c>
      <c r="U2328" s="8" t="n">
        <v>-0.005225351506444764</v>
      </c>
      <c r="V2328" s="6" t="inlineStr">
        <is>
          <t>not selected</t>
        </is>
      </c>
    </row>
    <row r="2329">
      <c r="A2329" s="6" t="inlineStr">
        <is>
          <t>DJ30</t>
        </is>
      </c>
      <c r="B2329" s="6" t="inlineStr">
        <is>
          <t>2024-06-14</t>
        </is>
      </c>
      <c r="C2329" s="6" t="inlineStr">
        <is>
          <t>DIA</t>
        </is>
      </c>
      <c r="D2329" s="6" t="inlineStr">
        <is>
          <t>AMZN</t>
        </is>
      </c>
      <c r="E2329" s="6" t="inlineStr">
        <is>
          <t>AMZN</t>
        </is>
      </c>
      <c r="F2329" s="6" t="inlineStr">
        <is>
          <t>-</t>
        </is>
      </c>
      <c r="G2329" s="7" t="n">
        <v>183.6600036621093</v>
      </c>
      <c r="H2329" s="6">
        <f>P2298</f>
        <v/>
      </c>
      <c r="I2329" s="9">
        <f>Q2298</f>
        <v/>
      </c>
      <c r="J2329" s="7">
        <f>I2329*G2329</f>
        <v/>
      </c>
      <c r="K2329" s="8">
        <f>IF($J$2357=0,0,J2329/$J$2357)</f>
        <v/>
      </c>
      <c r="L2329" s="6" t="inlineStr">
        <is>
          <t>WATCHLIST</t>
        </is>
      </c>
      <c r="M2329" s="8" t="n">
        <v>0</v>
      </c>
      <c r="N2329" s="7">
        <f>M2329*$J$2357-J2329</f>
        <v/>
      </c>
      <c r="O2329" s="9">
        <f>IF(G2329=0,0,N2329/G2329)</f>
        <v/>
      </c>
      <c r="P2329" s="6">
        <f>IF(M2329&gt;0,D2329,"")</f>
        <v/>
      </c>
      <c r="Q2329" s="9">
        <f>I2329+O2329</f>
        <v/>
      </c>
      <c r="R2329" s="7">
        <f>Q2329*G2329</f>
        <v/>
      </c>
      <c r="S2329" s="8">
        <f>IF($R$2357=0,0,R2329/$R$2357)</f>
        <v/>
      </c>
      <c r="T2329" s="8" t="n">
        <v>-0.002511604909337217</v>
      </c>
      <c r="U2329" s="8" t="n">
        <v>-0.005225351506444764</v>
      </c>
      <c r="V2329" s="6" t="inlineStr">
        <is>
          <t>not selected</t>
        </is>
      </c>
    </row>
    <row r="2330">
      <c r="A2330" s="6" t="inlineStr">
        <is>
          <t>DJ30</t>
        </is>
      </c>
      <c r="B2330" s="6" t="inlineStr">
        <is>
          <t>2024-06-14</t>
        </is>
      </c>
      <c r="C2330" s="6" t="inlineStr">
        <is>
          <t>DIA</t>
        </is>
      </c>
      <c r="D2330" s="6" t="inlineStr">
        <is>
          <t>AXP</t>
        </is>
      </c>
      <c r="E2330" s="6" t="inlineStr">
        <is>
          <t>AXP</t>
        </is>
      </c>
      <c r="F2330" s="6" t="inlineStr">
        <is>
          <t>-</t>
        </is>
      </c>
      <c r="G2330" s="7" t="n">
        <v>219.9996795654297</v>
      </c>
      <c r="H2330" s="6">
        <f>P2299</f>
        <v/>
      </c>
      <c r="I2330" s="9">
        <f>Q2299</f>
        <v/>
      </c>
      <c r="J2330" s="7">
        <f>I2330*G2330</f>
        <v/>
      </c>
      <c r="K2330" s="8">
        <f>IF($J$2357=0,0,J2330/$J$2357)</f>
        <v/>
      </c>
      <c r="L2330" s="6" t="inlineStr">
        <is>
          <t>SELECTED</t>
        </is>
      </c>
      <c r="M2330" s="8" t="n">
        <v>0.2</v>
      </c>
      <c r="N2330" s="7">
        <f>M2330*$J$2357-J2330</f>
        <v/>
      </c>
      <c r="O2330" s="9">
        <f>IF(G2330=0,0,N2330/G2330)</f>
        <v/>
      </c>
      <c r="P2330" s="6">
        <f>IF(M2330&gt;0,D2330,"")</f>
        <v/>
      </c>
      <c r="Q2330" s="9">
        <f>I2330+O2330</f>
        <v/>
      </c>
      <c r="R2330" s="7">
        <f>Q2330*G2330</f>
        <v/>
      </c>
      <c r="S2330" s="8">
        <f>IF($R$2357=0,0,R2330/$R$2357)</f>
        <v/>
      </c>
      <c r="T2330" s="8" t="n">
        <v>-0.002511604909337217</v>
      </c>
      <c r="U2330" s="8" t="n">
        <v>-0.005225351506444764</v>
      </c>
      <c r="V2330" s="6" t="inlineStr">
        <is>
          <t>remained in weekly selection</t>
        </is>
      </c>
    </row>
    <row r="2331">
      <c r="A2331" s="6" t="inlineStr">
        <is>
          <t>DJ30</t>
        </is>
      </c>
      <c r="B2331" s="6" t="inlineStr">
        <is>
          <t>2024-06-14</t>
        </is>
      </c>
      <c r="C2331" s="6" t="inlineStr">
        <is>
          <t>DIA</t>
        </is>
      </c>
      <c r="D2331" s="6" t="inlineStr">
        <is>
          <t>BA</t>
        </is>
      </c>
      <c r="E2331" s="6" t="inlineStr">
        <is>
          <t>BA</t>
        </is>
      </c>
      <c r="F2331" s="6" t="inlineStr">
        <is>
          <t>-</t>
        </is>
      </c>
      <c r="G2331" s="7" t="n">
        <v>177.2700042724609</v>
      </c>
      <c r="H2331" s="6">
        <f>P2300</f>
        <v/>
      </c>
      <c r="I2331" s="9">
        <f>Q2300</f>
        <v/>
      </c>
      <c r="J2331" s="7">
        <f>I2331*G2331</f>
        <v/>
      </c>
      <c r="K2331" s="8">
        <f>IF($J$2357=0,0,J2331/$J$2357)</f>
        <v/>
      </c>
      <c r="L2331" s="6" t="inlineStr">
        <is>
          <t>REJECTED</t>
        </is>
      </c>
      <c r="M2331" s="8" t="n">
        <v>0</v>
      </c>
      <c r="N2331" s="7">
        <f>M2331*$J$2357-J2331</f>
        <v/>
      </c>
      <c r="O2331" s="9">
        <f>IF(G2331=0,0,N2331/G2331)</f>
        <v/>
      </c>
      <c r="P2331" s="6">
        <f>IF(M2331&gt;0,D2331,"")</f>
        <v/>
      </c>
      <c r="Q2331" s="9">
        <f>I2331+O2331</f>
        <v/>
      </c>
      <c r="R2331" s="7">
        <f>Q2331*G2331</f>
        <v/>
      </c>
      <c r="S2331" s="8">
        <f>IF($R$2357=0,0,R2331/$R$2357)</f>
        <v/>
      </c>
      <c r="T2331" s="8" t="n">
        <v>-0.002511604909337217</v>
      </c>
      <c r="U2331" s="8" t="n">
        <v>-0.005225351506444764</v>
      </c>
      <c r="V2331" s="6" t="inlineStr">
        <is>
          <t>not selected</t>
        </is>
      </c>
    </row>
    <row r="2332">
      <c r="A2332" s="6" t="inlineStr">
        <is>
          <t>DJ30</t>
        </is>
      </c>
      <c r="B2332" s="6" t="inlineStr">
        <is>
          <t>2024-06-14</t>
        </is>
      </c>
      <c r="C2332" s="6" t="inlineStr">
        <is>
          <t>DIA</t>
        </is>
      </c>
      <c r="D2332" s="6" t="inlineStr">
        <is>
          <t>CAT</t>
        </is>
      </c>
      <c r="E2332" s="6" t="inlineStr">
        <is>
          <t>CAT</t>
        </is>
      </c>
      <c r="F2332" s="6" t="inlineStr">
        <is>
          <t>-</t>
        </is>
      </c>
      <c r="G2332" s="7" t="n">
        <v>312.9446411132812</v>
      </c>
      <c r="H2332" s="6">
        <f>P2301</f>
        <v/>
      </c>
      <c r="I2332" s="9">
        <f>Q2301</f>
        <v/>
      </c>
      <c r="J2332" s="7">
        <f>I2332*G2332</f>
        <v/>
      </c>
      <c r="K2332" s="8">
        <f>IF($J$2357=0,0,J2332/$J$2357)</f>
        <v/>
      </c>
      <c r="L2332" s="6" t="inlineStr">
        <is>
          <t>SELECTED</t>
        </is>
      </c>
      <c r="M2332" s="8" t="n">
        <v>0.2</v>
      </c>
      <c r="N2332" s="7">
        <f>M2332*$J$2357-J2332</f>
        <v/>
      </c>
      <c r="O2332" s="9">
        <f>IF(G2332=0,0,N2332/G2332)</f>
        <v/>
      </c>
      <c r="P2332" s="6">
        <f>IF(M2332&gt;0,D2332,"")</f>
        <v/>
      </c>
      <c r="Q2332" s="9">
        <f>I2332+O2332</f>
        <v/>
      </c>
      <c r="R2332" s="7">
        <f>Q2332*G2332</f>
        <v/>
      </c>
      <c r="S2332" s="8">
        <f>IF($R$2357=0,0,R2332/$R$2357)</f>
        <v/>
      </c>
      <c r="T2332" s="8" t="n">
        <v>-0.002511604909337217</v>
      </c>
      <c r="U2332" s="8" t="n">
        <v>-0.005225351506444764</v>
      </c>
      <c r="V2332" s="6" t="inlineStr">
        <is>
          <t>remained in weekly selection</t>
        </is>
      </c>
    </row>
    <row r="2333">
      <c r="A2333" s="6" t="inlineStr">
        <is>
          <t>DJ30</t>
        </is>
      </c>
      <c r="B2333" s="6" t="inlineStr">
        <is>
          <t>2024-06-14</t>
        </is>
      </c>
      <c r="C2333" s="6" t="inlineStr">
        <is>
          <t>DIA</t>
        </is>
      </c>
      <c r="D2333" s="6" t="inlineStr">
        <is>
          <t>CRM</t>
        </is>
      </c>
      <c r="E2333" s="6" t="inlineStr">
        <is>
          <t>CRM</t>
        </is>
      </c>
      <c r="F2333" s="6" t="inlineStr">
        <is>
          <t>-</t>
        </is>
      </c>
      <c r="G2333" s="7" t="n">
        <v>228.2933807373047</v>
      </c>
      <c r="H2333" s="6">
        <f>P2302</f>
        <v/>
      </c>
      <c r="I2333" s="9">
        <f>Q2302</f>
        <v/>
      </c>
      <c r="J2333" s="7">
        <f>I2333*G2333</f>
        <v/>
      </c>
      <c r="K2333" s="8">
        <f>IF($J$2357=0,0,J2333/$J$2357)</f>
        <v/>
      </c>
      <c r="L2333" s="6" t="inlineStr">
        <is>
          <t>WATCHLIST</t>
        </is>
      </c>
      <c r="M2333" s="8" t="n">
        <v>0</v>
      </c>
      <c r="N2333" s="7">
        <f>M2333*$J$2357-J2333</f>
        <v/>
      </c>
      <c r="O2333" s="9">
        <f>IF(G2333=0,0,N2333/G2333)</f>
        <v/>
      </c>
      <c r="P2333" s="6">
        <f>IF(M2333&gt;0,D2333,"")</f>
        <v/>
      </c>
      <c r="Q2333" s="9">
        <f>I2333+O2333</f>
        <v/>
      </c>
      <c r="R2333" s="7">
        <f>Q2333*G2333</f>
        <v/>
      </c>
      <c r="S2333" s="8">
        <f>IF($R$2357=0,0,R2333/$R$2357)</f>
        <v/>
      </c>
      <c r="T2333" s="8" t="n">
        <v>-0.002511604909337217</v>
      </c>
      <c r="U2333" s="8" t="n">
        <v>-0.005225351506444764</v>
      </c>
      <c r="V2333" s="6" t="inlineStr">
        <is>
          <t>not selected</t>
        </is>
      </c>
    </row>
    <row r="2334">
      <c r="A2334" s="6" t="inlineStr">
        <is>
          <t>DJ30</t>
        </is>
      </c>
      <c r="B2334" s="6" t="inlineStr">
        <is>
          <t>2024-06-14</t>
        </is>
      </c>
      <c r="C2334" s="6" t="inlineStr">
        <is>
          <t>DIA</t>
        </is>
      </c>
      <c r="D2334" s="6" t="inlineStr">
        <is>
          <t>CSCO</t>
        </is>
      </c>
      <c r="E2334" s="6" t="inlineStr">
        <is>
          <t>CSCO</t>
        </is>
      </c>
      <c r="F2334" s="6" t="inlineStr">
        <is>
          <t>-</t>
        </is>
      </c>
      <c r="G2334" s="7" t="n">
        <v>43.350341796875</v>
      </c>
      <c r="H2334" s="6">
        <f>P2303</f>
        <v/>
      </c>
      <c r="I2334" s="9">
        <f>Q2303</f>
        <v/>
      </c>
      <c r="J2334" s="7">
        <f>I2334*G2334</f>
        <v/>
      </c>
      <c r="K2334" s="8">
        <f>IF($J$2357=0,0,J2334/$J$2357)</f>
        <v/>
      </c>
      <c r="L2334" s="6" t="inlineStr">
        <is>
          <t>REJECTED</t>
        </is>
      </c>
      <c r="M2334" s="8" t="n">
        <v>0</v>
      </c>
      <c r="N2334" s="7">
        <f>M2334*$J$2357-J2334</f>
        <v/>
      </c>
      <c r="O2334" s="9">
        <f>IF(G2334=0,0,N2334/G2334)</f>
        <v/>
      </c>
      <c r="P2334" s="6">
        <f>IF(M2334&gt;0,D2334,"")</f>
        <v/>
      </c>
      <c r="Q2334" s="9">
        <f>I2334+O2334</f>
        <v/>
      </c>
      <c r="R2334" s="7">
        <f>Q2334*G2334</f>
        <v/>
      </c>
      <c r="S2334" s="8">
        <f>IF($R$2357=0,0,R2334/$R$2357)</f>
        <v/>
      </c>
      <c r="T2334" s="8" t="n">
        <v>-0.002511604909337217</v>
      </c>
      <c r="U2334" s="8" t="n">
        <v>-0.005225351506444764</v>
      </c>
      <c r="V2334" s="6" t="inlineStr">
        <is>
          <t>not selected</t>
        </is>
      </c>
    </row>
    <row r="2335">
      <c r="A2335" s="6" t="inlineStr">
        <is>
          <t>DJ30</t>
        </is>
      </c>
      <c r="B2335" s="6" t="inlineStr">
        <is>
          <t>2024-06-14</t>
        </is>
      </c>
      <c r="C2335" s="6" t="inlineStr">
        <is>
          <t>DIA</t>
        </is>
      </c>
      <c r="D2335" s="6" t="inlineStr">
        <is>
          <t>CVX</t>
        </is>
      </c>
      <c r="E2335" s="6" t="inlineStr">
        <is>
          <t>CVX</t>
        </is>
      </c>
      <c r="F2335" s="6" t="inlineStr">
        <is>
          <t>-</t>
        </is>
      </c>
      <c r="G2335" s="7" t="n">
        <v>140.074951171875</v>
      </c>
      <c r="H2335" s="6">
        <f>P2304</f>
        <v/>
      </c>
      <c r="I2335" s="9">
        <f>Q2304</f>
        <v/>
      </c>
      <c r="J2335" s="7">
        <f>I2335*G2335</f>
        <v/>
      </c>
      <c r="K2335" s="8">
        <f>IF($J$2357=0,0,J2335/$J$2357)</f>
        <v/>
      </c>
      <c r="L2335" s="6" t="inlineStr">
        <is>
          <t>REJECTED</t>
        </is>
      </c>
      <c r="M2335" s="8" t="n">
        <v>0</v>
      </c>
      <c r="N2335" s="7">
        <f>M2335*$J$2357-J2335</f>
        <v/>
      </c>
      <c r="O2335" s="9">
        <f>IF(G2335=0,0,N2335/G2335)</f>
        <v/>
      </c>
      <c r="P2335" s="6">
        <f>IF(M2335&gt;0,D2335,"")</f>
        <v/>
      </c>
      <c r="Q2335" s="9">
        <f>I2335+O2335</f>
        <v/>
      </c>
      <c r="R2335" s="7">
        <f>Q2335*G2335</f>
        <v/>
      </c>
      <c r="S2335" s="8">
        <f>IF($R$2357=0,0,R2335/$R$2357)</f>
        <v/>
      </c>
      <c r="T2335" s="8" t="n">
        <v>-0.002511604909337217</v>
      </c>
      <c r="U2335" s="8" t="n">
        <v>-0.005225351506444764</v>
      </c>
      <c r="V2335" s="6" t="inlineStr">
        <is>
          <t>not selected</t>
        </is>
      </c>
    </row>
    <row r="2336">
      <c r="A2336" s="6" t="inlineStr">
        <is>
          <t>DJ30</t>
        </is>
      </c>
      <c r="B2336" s="6" t="inlineStr">
        <is>
          <t>2024-06-14</t>
        </is>
      </c>
      <c r="C2336" s="6" t="inlineStr">
        <is>
          <t>DIA</t>
        </is>
      </c>
      <c r="D2336" s="6" t="inlineStr">
        <is>
          <t>DIS</t>
        </is>
      </c>
      <c r="E2336" s="6" t="inlineStr">
        <is>
          <t>DIS</t>
        </is>
      </c>
      <c r="F2336" s="6" t="inlineStr">
        <is>
          <t>-</t>
        </is>
      </c>
      <c r="G2336" s="7" t="n">
        <v>97.98825073242188</v>
      </c>
      <c r="H2336" s="6">
        <f>P2305</f>
        <v/>
      </c>
      <c r="I2336" s="9">
        <f>Q2305</f>
        <v/>
      </c>
      <c r="J2336" s="7">
        <f>I2336*G2336</f>
        <v/>
      </c>
      <c r="K2336" s="8">
        <f>IF($J$2357=0,0,J2336/$J$2357)</f>
        <v/>
      </c>
      <c r="L2336" s="6" t="inlineStr">
        <is>
          <t>WATCHLIST</t>
        </is>
      </c>
      <c r="M2336" s="8" t="n">
        <v>0</v>
      </c>
      <c r="N2336" s="7">
        <f>M2336*$J$2357-J2336</f>
        <v/>
      </c>
      <c r="O2336" s="9">
        <f>IF(G2336=0,0,N2336/G2336)</f>
        <v/>
      </c>
      <c r="P2336" s="6">
        <f>IF(M2336&gt;0,D2336,"")</f>
        <v/>
      </c>
      <c r="Q2336" s="9">
        <f>I2336+O2336</f>
        <v/>
      </c>
      <c r="R2336" s="7">
        <f>Q2336*G2336</f>
        <v/>
      </c>
      <c r="S2336" s="8">
        <f>IF($R$2357=0,0,R2336/$R$2357)</f>
        <v/>
      </c>
      <c r="T2336" s="8" t="n">
        <v>-0.002511604909337217</v>
      </c>
      <c r="U2336" s="8" t="n">
        <v>-0.005225351506444764</v>
      </c>
      <c r="V2336" s="6" t="inlineStr">
        <is>
          <t>not selected</t>
        </is>
      </c>
    </row>
    <row r="2337">
      <c r="A2337" s="6" t="inlineStr">
        <is>
          <t>DJ30</t>
        </is>
      </c>
      <c r="B2337" s="6" t="inlineStr">
        <is>
          <t>2024-06-14</t>
        </is>
      </c>
      <c r="C2337" s="6" t="inlineStr">
        <is>
          <t>DIA</t>
        </is>
      </c>
      <c r="D2337" s="6" t="inlineStr">
        <is>
          <t>GS</t>
        </is>
      </c>
      <c r="E2337" s="6" t="inlineStr">
        <is>
          <t>GS</t>
        </is>
      </c>
      <c r="F2337" s="6" t="inlineStr">
        <is>
          <t>-</t>
        </is>
      </c>
      <c r="G2337" s="7" t="n">
        <v>428.6583557128906</v>
      </c>
      <c r="H2337" s="6">
        <f>P2306</f>
        <v/>
      </c>
      <c r="I2337" s="9">
        <f>Q2306</f>
        <v/>
      </c>
      <c r="J2337" s="7">
        <f>I2337*G2337</f>
        <v/>
      </c>
      <c r="K2337" s="8">
        <f>IF($J$2357=0,0,J2337/$J$2357)</f>
        <v/>
      </c>
      <c r="L2337" s="6" t="inlineStr">
        <is>
          <t>SELECTED</t>
        </is>
      </c>
      <c r="M2337" s="8" t="n">
        <v>0.2</v>
      </c>
      <c r="N2337" s="7">
        <f>M2337*$J$2357-J2337</f>
        <v/>
      </c>
      <c r="O2337" s="9">
        <f>IF(G2337=0,0,N2337/G2337)</f>
        <v/>
      </c>
      <c r="P2337" s="6">
        <f>IF(M2337&gt;0,D2337,"")</f>
        <v/>
      </c>
      <c r="Q2337" s="9">
        <f>I2337+O2337</f>
        <v/>
      </c>
      <c r="R2337" s="7">
        <f>Q2337*G2337</f>
        <v/>
      </c>
      <c r="S2337" s="8">
        <f>IF($R$2357=0,0,R2337/$R$2357)</f>
        <v/>
      </c>
      <c r="T2337" s="8" t="n">
        <v>-0.002511604909337217</v>
      </c>
      <c r="U2337" s="8" t="n">
        <v>-0.005225351506444764</v>
      </c>
      <c r="V2337" s="6" t="inlineStr">
        <is>
          <t>remained in weekly selection</t>
        </is>
      </c>
    </row>
    <row r="2338">
      <c r="A2338" s="6" t="inlineStr">
        <is>
          <t>DJ30</t>
        </is>
      </c>
      <c r="B2338" s="6" t="inlineStr">
        <is>
          <t>2024-06-14</t>
        </is>
      </c>
      <c r="C2338" s="6" t="inlineStr">
        <is>
          <t>DIA</t>
        </is>
      </c>
      <c r="D2338" s="6" t="inlineStr">
        <is>
          <t>HD</t>
        </is>
      </c>
      <c r="E2338" s="6" t="inlineStr">
        <is>
          <t>HD</t>
        </is>
      </c>
      <c r="F2338" s="6" t="inlineStr">
        <is>
          <t>-</t>
        </is>
      </c>
      <c r="G2338" s="7" t="n">
        <v>329.9015808105469</v>
      </c>
      <c r="H2338" s="6">
        <f>P2307</f>
        <v/>
      </c>
      <c r="I2338" s="9">
        <f>Q2307</f>
        <v/>
      </c>
      <c r="J2338" s="7">
        <f>I2338*G2338</f>
        <v/>
      </c>
      <c r="K2338" s="8">
        <f>IF($J$2357=0,0,J2338/$J$2357)</f>
        <v/>
      </c>
      <c r="L2338" s="6" t="inlineStr">
        <is>
          <t>WATCHLIST</t>
        </is>
      </c>
      <c r="M2338" s="8" t="n">
        <v>0</v>
      </c>
      <c r="N2338" s="7">
        <f>M2338*$J$2357-J2338</f>
        <v/>
      </c>
      <c r="O2338" s="9">
        <f>IF(G2338=0,0,N2338/G2338)</f>
        <v/>
      </c>
      <c r="P2338" s="6">
        <f>IF(M2338&gt;0,D2338,"")</f>
        <v/>
      </c>
      <c r="Q2338" s="9">
        <f>I2338+O2338</f>
        <v/>
      </c>
      <c r="R2338" s="7">
        <f>Q2338*G2338</f>
        <v/>
      </c>
      <c r="S2338" s="8">
        <f>IF($R$2357=0,0,R2338/$R$2357)</f>
        <v/>
      </c>
      <c r="T2338" s="8" t="n">
        <v>-0.002511604909337217</v>
      </c>
      <c r="U2338" s="8" t="n">
        <v>-0.005225351506444764</v>
      </c>
      <c r="V2338" s="6" t="inlineStr">
        <is>
          <t>not selected</t>
        </is>
      </c>
    </row>
    <row r="2339">
      <c r="A2339" s="6" t="inlineStr">
        <is>
          <t>DJ30</t>
        </is>
      </c>
      <c r="B2339" s="6" t="inlineStr">
        <is>
          <t>2024-06-14</t>
        </is>
      </c>
      <c r="C2339" s="6" t="inlineStr">
        <is>
          <t>DIA</t>
        </is>
      </c>
      <c r="D2339" s="6" t="inlineStr">
        <is>
          <t>HON</t>
        </is>
      </c>
      <c r="E2339" s="6" t="inlineStr">
        <is>
          <t>HON</t>
        </is>
      </c>
      <c r="F2339" s="6" t="inlineStr">
        <is>
          <t>-</t>
        </is>
      </c>
      <c r="G2339" s="7" t="n">
        <v>188.3821105957031</v>
      </c>
      <c r="H2339" s="6">
        <f>P2308</f>
        <v/>
      </c>
      <c r="I2339" s="9">
        <f>Q2308</f>
        <v/>
      </c>
      <c r="J2339" s="7">
        <f>I2339*G2339</f>
        <v/>
      </c>
      <c r="K2339" s="8">
        <f>IF($J$2357=0,0,J2339/$J$2357)</f>
        <v/>
      </c>
      <c r="L2339" s="6" t="inlineStr">
        <is>
          <t>REJECTED</t>
        </is>
      </c>
      <c r="M2339" s="8" t="n">
        <v>0</v>
      </c>
      <c r="N2339" s="7">
        <f>M2339*$J$2357-J2339</f>
        <v/>
      </c>
      <c r="O2339" s="9">
        <f>IF(G2339=0,0,N2339/G2339)</f>
        <v/>
      </c>
      <c r="P2339" s="6">
        <f>IF(M2339&gt;0,D2339,"")</f>
        <v/>
      </c>
      <c r="Q2339" s="9">
        <f>I2339+O2339</f>
        <v/>
      </c>
      <c r="R2339" s="7">
        <f>Q2339*G2339</f>
        <v/>
      </c>
      <c r="S2339" s="8">
        <f>IF($R$2357=0,0,R2339/$R$2357)</f>
        <v/>
      </c>
      <c r="T2339" s="8" t="n">
        <v>-0.002511604909337217</v>
      </c>
      <c r="U2339" s="8" t="n">
        <v>-0.005225351506444764</v>
      </c>
      <c r="V2339" s="6" t="inlineStr">
        <is>
          <t>not selected</t>
        </is>
      </c>
    </row>
    <row r="2340">
      <c r="A2340" s="6" t="inlineStr">
        <is>
          <t>DJ30</t>
        </is>
      </c>
      <c r="B2340" s="6" t="inlineStr">
        <is>
          <t>2024-06-14</t>
        </is>
      </c>
      <c r="C2340" s="6" t="inlineStr">
        <is>
          <t>DIA</t>
        </is>
      </c>
      <c r="D2340" s="6" t="inlineStr">
        <is>
          <t>IBM</t>
        </is>
      </c>
      <c r="E2340" s="6" t="inlineStr">
        <is>
          <t>IBM</t>
        </is>
      </c>
      <c r="F2340" s="6" t="inlineStr">
        <is>
          <t>-</t>
        </is>
      </c>
      <c r="G2340" s="7" t="n">
        <v>160.1409759521484</v>
      </c>
      <c r="H2340" s="6">
        <f>P2309</f>
        <v/>
      </c>
      <c r="I2340" s="9">
        <f>Q2309</f>
        <v/>
      </c>
      <c r="J2340" s="7">
        <f>I2340*G2340</f>
        <v/>
      </c>
      <c r="K2340" s="8">
        <f>IF($J$2357=0,0,J2340/$J$2357)</f>
        <v/>
      </c>
      <c r="L2340" s="6" t="inlineStr">
        <is>
          <t>WATCHLIST</t>
        </is>
      </c>
      <c r="M2340" s="8" t="n">
        <v>0</v>
      </c>
      <c r="N2340" s="7">
        <f>M2340*$J$2357-J2340</f>
        <v/>
      </c>
      <c r="O2340" s="9">
        <f>IF(G2340=0,0,N2340/G2340)</f>
        <v/>
      </c>
      <c r="P2340" s="6">
        <f>IF(M2340&gt;0,D2340,"")</f>
        <v/>
      </c>
      <c r="Q2340" s="9">
        <f>I2340+O2340</f>
        <v/>
      </c>
      <c r="R2340" s="7">
        <f>Q2340*G2340</f>
        <v/>
      </c>
      <c r="S2340" s="8">
        <f>IF($R$2357=0,0,R2340/$R$2357)</f>
        <v/>
      </c>
      <c r="T2340" s="8" t="n">
        <v>-0.002511604909337217</v>
      </c>
      <c r="U2340" s="8" t="n">
        <v>-0.005225351506444764</v>
      </c>
      <c r="V2340" s="6" t="inlineStr">
        <is>
          <t>not selected</t>
        </is>
      </c>
    </row>
    <row r="2341">
      <c r="A2341" s="6" t="inlineStr">
        <is>
          <t>DJ30</t>
        </is>
      </c>
      <c r="B2341" s="6" t="inlineStr">
        <is>
          <t>2024-06-14</t>
        </is>
      </c>
      <c r="C2341" s="6" t="inlineStr">
        <is>
          <t>DIA</t>
        </is>
      </c>
      <c r="D2341" s="6" t="inlineStr">
        <is>
          <t>JNJ</t>
        </is>
      </c>
      <c r="E2341" s="6" t="inlineStr">
        <is>
          <t>JNJ</t>
        </is>
      </c>
      <c r="F2341" s="6" t="inlineStr">
        <is>
          <t>-</t>
        </is>
      </c>
      <c r="G2341" s="7" t="n">
        <v>137.5117492675781</v>
      </c>
      <c r="H2341" s="6">
        <f>P2310</f>
        <v/>
      </c>
      <c r="I2341" s="9">
        <f>Q2310</f>
        <v/>
      </c>
      <c r="J2341" s="7">
        <f>I2341*G2341</f>
        <v/>
      </c>
      <c r="K2341" s="8">
        <f>IF($J$2357=0,0,J2341/$J$2357)</f>
        <v/>
      </c>
      <c r="L2341" s="6" t="inlineStr">
        <is>
          <t>REJECTED</t>
        </is>
      </c>
      <c r="M2341" s="8" t="n">
        <v>0</v>
      </c>
      <c r="N2341" s="7">
        <f>M2341*$J$2357-J2341</f>
        <v/>
      </c>
      <c r="O2341" s="9">
        <f>IF(G2341=0,0,N2341/G2341)</f>
        <v/>
      </c>
      <c r="P2341" s="6">
        <f>IF(M2341&gt;0,D2341,"")</f>
        <v/>
      </c>
      <c r="Q2341" s="9">
        <f>I2341+O2341</f>
        <v/>
      </c>
      <c r="R2341" s="7">
        <f>Q2341*G2341</f>
        <v/>
      </c>
      <c r="S2341" s="8">
        <f>IF($R$2357=0,0,R2341/$R$2357)</f>
        <v/>
      </c>
      <c r="T2341" s="8" t="n">
        <v>-0.002511604909337217</v>
      </c>
      <c r="U2341" s="8" t="n">
        <v>-0.005225351506444764</v>
      </c>
      <c r="V2341" s="6" t="inlineStr">
        <is>
          <t>not selected</t>
        </is>
      </c>
    </row>
    <row r="2342">
      <c r="A2342" s="6" t="inlineStr">
        <is>
          <t>DJ30</t>
        </is>
      </c>
      <c r="B2342" s="6" t="inlineStr">
        <is>
          <t>2024-06-14</t>
        </is>
      </c>
      <c r="C2342" s="6" t="inlineStr">
        <is>
          <t>DIA</t>
        </is>
      </c>
      <c r="D2342" s="6" t="inlineStr">
        <is>
          <t>JPM</t>
        </is>
      </c>
      <c r="E2342" s="6" t="inlineStr">
        <is>
          <t>JPM</t>
        </is>
      </c>
      <c r="F2342" s="6" t="inlineStr">
        <is>
          <t>-</t>
        </is>
      </c>
      <c r="G2342" s="7" t="n">
        <v>185.7747802734375</v>
      </c>
      <c r="H2342" s="6">
        <f>P2311</f>
        <v/>
      </c>
      <c r="I2342" s="9">
        <f>Q2311</f>
        <v/>
      </c>
      <c r="J2342" s="7">
        <f>I2342*G2342</f>
        <v/>
      </c>
      <c r="K2342" s="8">
        <f>IF($J$2357=0,0,J2342/$J$2357)</f>
        <v/>
      </c>
      <c r="L2342" s="6" t="inlineStr">
        <is>
          <t>WATCHLIST</t>
        </is>
      </c>
      <c r="M2342" s="8" t="n">
        <v>0</v>
      </c>
      <c r="N2342" s="7">
        <f>M2342*$J$2357-J2342</f>
        <v/>
      </c>
      <c r="O2342" s="9">
        <f>IF(G2342=0,0,N2342/G2342)</f>
        <v/>
      </c>
      <c r="P2342" s="6">
        <f>IF(M2342&gt;0,D2342,"")</f>
        <v/>
      </c>
      <c r="Q2342" s="9">
        <f>I2342+O2342</f>
        <v/>
      </c>
      <c r="R2342" s="7">
        <f>Q2342*G2342</f>
        <v/>
      </c>
      <c r="S2342" s="8">
        <f>IF($R$2357=0,0,R2342/$R$2357)</f>
        <v/>
      </c>
      <c r="T2342" s="8" t="n">
        <v>-0.002511604909337217</v>
      </c>
      <c r="U2342" s="8" t="n">
        <v>-0.005225351506444764</v>
      </c>
      <c r="V2342" s="6" t="inlineStr">
        <is>
          <t>not selected</t>
        </is>
      </c>
    </row>
    <row r="2343">
      <c r="A2343" s="6" t="inlineStr">
        <is>
          <t>DJ30</t>
        </is>
      </c>
      <c r="B2343" s="6" t="inlineStr">
        <is>
          <t>2024-06-14</t>
        </is>
      </c>
      <c r="C2343" s="6" t="inlineStr">
        <is>
          <t>DIA</t>
        </is>
      </c>
      <c r="D2343" s="6" t="inlineStr">
        <is>
          <t>KO</t>
        </is>
      </c>
      <c r="E2343" s="6" t="inlineStr">
        <is>
          <t>KO</t>
        </is>
      </c>
      <c r="F2343" s="6" t="inlineStr">
        <is>
          <t>-</t>
        </is>
      </c>
      <c r="G2343" s="7" t="n">
        <v>59.09896850585938</v>
      </c>
      <c r="H2343" s="6">
        <f>P2312</f>
        <v/>
      </c>
      <c r="I2343" s="9">
        <f>Q2312</f>
        <v/>
      </c>
      <c r="J2343" s="7">
        <f>I2343*G2343</f>
        <v/>
      </c>
      <c r="K2343" s="8">
        <f>IF($J$2357=0,0,J2343/$J$2357)</f>
        <v/>
      </c>
      <c r="L2343" s="6" t="inlineStr">
        <is>
          <t>REJECTED</t>
        </is>
      </c>
      <c r="M2343" s="8" t="n">
        <v>0</v>
      </c>
      <c r="N2343" s="7">
        <f>M2343*$J$2357-J2343</f>
        <v/>
      </c>
      <c r="O2343" s="9">
        <f>IF(G2343=0,0,N2343/G2343)</f>
        <v/>
      </c>
      <c r="P2343" s="6">
        <f>IF(M2343&gt;0,D2343,"")</f>
        <v/>
      </c>
      <c r="Q2343" s="9">
        <f>I2343+O2343</f>
        <v/>
      </c>
      <c r="R2343" s="7">
        <f>Q2343*G2343</f>
        <v/>
      </c>
      <c r="S2343" s="8">
        <f>IF($R$2357=0,0,R2343/$R$2357)</f>
        <v/>
      </c>
      <c r="T2343" s="8" t="n">
        <v>-0.002511604909337217</v>
      </c>
      <c r="U2343" s="8" t="n">
        <v>-0.005225351506444764</v>
      </c>
      <c r="V2343" s="6" t="inlineStr">
        <is>
          <t>not selected</t>
        </is>
      </c>
    </row>
    <row r="2344">
      <c r="A2344" s="6" t="inlineStr">
        <is>
          <t>DJ30</t>
        </is>
      </c>
      <c r="B2344" s="6" t="inlineStr">
        <is>
          <t>2024-06-14</t>
        </is>
      </c>
      <c r="C2344" s="6" t="inlineStr">
        <is>
          <t>DIA</t>
        </is>
      </c>
      <c r="D2344" s="6" t="inlineStr">
        <is>
          <t>MCD</t>
        </is>
      </c>
      <c r="E2344" s="6" t="inlineStr">
        <is>
          <t>MCD</t>
        </is>
      </c>
      <c r="F2344" s="6" t="inlineStr">
        <is>
          <t>-</t>
        </is>
      </c>
      <c r="G2344" s="7" t="n">
        <v>241.8923797607422</v>
      </c>
      <c r="H2344" s="6">
        <f>P2313</f>
        <v/>
      </c>
      <c r="I2344" s="9">
        <f>Q2313</f>
        <v/>
      </c>
      <c r="J2344" s="7">
        <f>I2344*G2344</f>
        <v/>
      </c>
      <c r="K2344" s="8">
        <f>IF($J$2357=0,0,J2344/$J$2357)</f>
        <v/>
      </c>
      <c r="L2344" s="6" t="inlineStr">
        <is>
          <t>REJECTED</t>
        </is>
      </c>
      <c r="M2344" s="8" t="n">
        <v>0</v>
      </c>
      <c r="N2344" s="7">
        <f>M2344*$J$2357-J2344</f>
        <v/>
      </c>
      <c r="O2344" s="9">
        <f>IF(G2344=0,0,N2344/G2344)</f>
        <v/>
      </c>
      <c r="P2344" s="6">
        <f>IF(M2344&gt;0,D2344,"")</f>
        <v/>
      </c>
      <c r="Q2344" s="9">
        <f>I2344+O2344</f>
        <v/>
      </c>
      <c r="R2344" s="7">
        <f>Q2344*G2344</f>
        <v/>
      </c>
      <c r="S2344" s="8">
        <f>IF($R$2357=0,0,R2344/$R$2357)</f>
        <v/>
      </c>
      <c r="T2344" s="8" t="n">
        <v>-0.002511604909337217</v>
      </c>
      <c r="U2344" s="8" t="n">
        <v>-0.005225351506444764</v>
      </c>
      <c r="V2344" s="6" t="inlineStr">
        <is>
          <t>not selected</t>
        </is>
      </c>
    </row>
    <row r="2345">
      <c r="A2345" s="6" t="inlineStr">
        <is>
          <t>DJ30</t>
        </is>
      </c>
      <c r="B2345" s="6" t="inlineStr">
        <is>
          <t>2024-06-14</t>
        </is>
      </c>
      <c r="C2345" s="6" t="inlineStr">
        <is>
          <t>DIA</t>
        </is>
      </c>
      <c r="D2345" s="6" t="inlineStr">
        <is>
          <t>MMM</t>
        </is>
      </c>
      <c r="E2345" s="6" t="inlineStr">
        <is>
          <t>MMM</t>
        </is>
      </c>
      <c r="F2345" s="6" t="inlineStr">
        <is>
          <t>-</t>
        </is>
      </c>
      <c r="G2345" s="7" t="n">
        <v>97.03870391845705</v>
      </c>
      <c r="H2345" s="6">
        <f>P2314</f>
        <v/>
      </c>
      <c r="I2345" s="9">
        <f>Q2314</f>
        <v/>
      </c>
      <c r="J2345" s="7">
        <f>I2345*G2345</f>
        <v/>
      </c>
      <c r="K2345" s="8">
        <f>IF($J$2357=0,0,J2345/$J$2357)</f>
        <v/>
      </c>
      <c r="L2345" s="6" t="inlineStr">
        <is>
          <t>WATCHLIST</t>
        </is>
      </c>
      <c r="M2345" s="8" t="n">
        <v>0</v>
      </c>
      <c r="N2345" s="7">
        <f>M2345*$J$2357-J2345</f>
        <v/>
      </c>
      <c r="O2345" s="9">
        <f>IF(G2345=0,0,N2345/G2345)</f>
        <v/>
      </c>
      <c r="P2345" s="6">
        <f>IF(M2345&gt;0,D2345,"")</f>
        <v/>
      </c>
      <c r="Q2345" s="9">
        <f>I2345+O2345</f>
        <v/>
      </c>
      <c r="R2345" s="7">
        <f>Q2345*G2345</f>
        <v/>
      </c>
      <c r="S2345" s="8">
        <f>IF($R$2357=0,0,R2345/$R$2357)</f>
        <v/>
      </c>
      <c r="T2345" s="8" t="n">
        <v>-0.002511604909337217</v>
      </c>
      <c r="U2345" s="8" t="n">
        <v>-0.005225351506444764</v>
      </c>
      <c r="V2345" s="6" t="inlineStr">
        <is>
          <t>not selected</t>
        </is>
      </c>
    </row>
    <row r="2346">
      <c r="A2346" s="6" t="inlineStr">
        <is>
          <t>DJ30</t>
        </is>
      </c>
      <c r="B2346" s="6" t="inlineStr">
        <is>
          <t>2024-06-14</t>
        </is>
      </c>
      <c r="C2346" s="6" t="inlineStr">
        <is>
          <t>DIA</t>
        </is>
      </c>
      <c r="D2346" s="6" t="inlineStr">
        <is>
          <t>MRK</t>
        </is>
      </c>
      <c r="E2346" s="6" t="inlineStr">
        <is>
          <t>MRK</t>
        </is>
      </c>
      <c r="F2346" s="6" t="inlineStr">
        <is>
          <t>-</t>
        </is>
      </c>
      <c r="G2346" s="7" t="n">
        <v>120.4784698486328</v>
      </c>
      <c r="H2346" s="6">
        <f>P2315</f>
        <v/>
      </c>
      <c r="I2346" s="9">
        <f>Q2315</f>
        <v/>
      </c>
      <c r="J2346" s="7">
        <f>I2346*G2346</f>
        <v/>
      </c>
      <c r="K2346" s="8">
        <f>IF($J$2357=0,0,J2346/$J$2357)</f>
        <v/>
      </c>
      <c r="L2346" s="6" t="inlineStr">
        <is>
          <t>WATCHLIST</t>
        </is>
      </c>
      <c r="M2346" s="8" t="n">
        <v>0</v>
      </c>
      <c r="N2346" s="7">
        <f>M2346*$J$2357-J2346</f>
        <v/>
      </c>
      <c r="O2346" s="9">
        <f>IF(G2346=0,0,N2346/G2346)</f>
        <v/>
      </c>
      <c r="P2346" s="6">
        <f>IF(M2346&gt;0,D2346,"")</f>
        <v/>
      </c>
      <c r="Q2346" s="9">
        <f>I2346+O2346</f>
        <v/>
      </c>
      <c r="R2346" s="7">
        <f>Q2346*G2346</f>
        <v/>
      </c>
      <c r="S2346" s="8">
        <f>IF($R$2357=0,0,R2346/$R$2357)</f>
        <v/>
      </c>
      <c r="T2346" s="8" t="n">
        <v>-0.002511604909337217</v>
      </c>
      <c r="U2346" s="8" t="n">
        <v>-0.005225351506444764</v>
      </c>
      <c r="V2346" s="6" t="inlineStr">
        <is>
          <t>not selected</t>
        </is>
      </c>
    </row>
    <row r="2347">
      <c r="A2347" s="6" t="inlineStr">
        <is>
          <t>DJ30</t>
        </is>
      </c>
      <c r="B2347" s="6" t="inlineStr">
        <is>
          <t>2024-06-14</t>
        </is>
      </c>
      <c r="C2347" s="6" t="inlineStr">
        <is>
          <t>DIA</t>
        </is>
      </c>
      <c r="D2347" s="6" t="inlineStr">
        <is>
          <t>MSFT</t>
        </is>
      </c>
      <c r="E2347" s="6" t="inlineStr">
        <is>
          <t>MSFT</t>
        </is>
      </c>
      <c r="F2347" s="6" t="inlineStr">
        <is>
          <t>-</t>
        </is>
      </c>
      <c r="G2347" s="7" t="n">
        <v>435.7222900390625</v>
      </c>
      <c r="H2347" s="6">
        <f>P2316</f>
        <v/>
      </c>
      <c r="I2347" s="9">
        <f>Q2316</f>
        <v/>
      </c>
      <c r="J2347" s="7">
        <f>I2347*G2347</f>
        <v/>
      </c>
      <c r="K2347" s="8">
        <f>IF($J$2357=0,0,J2347/$J$2357)</f>
        <v/>
      </c>
      <c r="L2347" s="6" t="inlineStr">
        <is>
          <t>WATCHLIST</t>
        </is>
      </c>
      <c r="M2347" s="8" t="n">
        <v>0</v>
      </c>
      <c r="N2347" s="7">
        <f>M2347*$J$2357-J2347</f>
        <v/>
      </c>
      <c r="O2347" s="9">
        <f>IF(G2347=0,0,N2347/G2347)</f>
        <v/>
      </c>
      <c r="P2347" s="6">
        <f>IF(M2347&gt;0,D2347,"")</f>
        <v/>
      </c>
      <c r="Q2347" s="9">
        <f>I2347+O2347</f>
        <v/>
      </c>
      <c r="R2347" s="7">
        <f>Q2347*G2347</f>
        <v/>
      </c>
      <c r="S2347" s="8">
        <f>IF($R$2357=0,0,R2347/$R$2357)</f>
        <v/>
      </c>
      <c r="T2347" s="8" t="n">
        <v>-0.002511604909337217</v>
      </c>
      <c r="U2347" s="8" t="n">
        <v>-0.005225351506444764</v>
      </c>
      <c r="V2347" s="6" t="inlineStr">
        <is>
          <t>not selected</t>
        </is>
      </c>
    </row>
    <row r="2348">
      <c r="A2348" s="6" t="inlineStr">
        <is>
          <t>DJ30</t>
        </is>
      </c>
      <c r="B2348" s="6" t="inlineStr">
        <is>
          <t>2024-06-14</t>
        </is>
      </c>
      <c r="C2348" s="6" t="inlineStr">
        <is>
          <t>DIA</t>
        </is>
      </c>
      <c r="D2348" s="6" t="inlineStr">
        <is>
          <t>NKE</t>
        </is>
      </c>
      <c r="E2348" s="6" t="inlineStr">
        <is>
          <t>NKE</t>
        </is>
      </c>
      <c r="F2348" s="6" t="inlineStr">
        <is>
          <t>-</t>
        </is>
      </c>
      <c r="G2348" s="7" t="n">
        <v>88.98779296875</v>
      </c>
      <c r="H2348" s="6">
        <f>P2317</f>
        <v/>
      </c>
      <c r="I2348" s="9">
        <f>Q2317</f>
        <v/>
      </c>
      <c r="J2348" s="7">
        <f>I2348*G2348</f>
        <v/>
      </c>
      <c r="K2348" s="8">
        <f>IF($J$2357=0,0,J2348/$J$2357)</f>
        <v/>
      </c>
      <c r="L2348" s="6" t="inlineStr">
        <is>
          <t>REJECTED</t>
        </is>
      </c>
      <c r="M2348" s="8" t="n">
        <v>0</v>
      </c>
      <c r="N2348" s="7">
        <f>M2348*$J$2357-J2348</f>
        <v/>
      </c>
      <c r="O2348" s="9">
        <f>IF(G2348=0,0,N2348/G2348)</f>
        <v/>
      </c>
      <c r="P2348" s="6">
        <f>IF(M2348&gt;0,D2348,"")</f>
        <v/>
      </c>
      <c r="Q2348" s="9">
        <f>I2348+O2348</f>
        <v/>
      </c>
      <c r="R2348" s="7">
        <f>Q2348*G2348</f>
        <v/>
      </c>
      <c r="S2348" s="8">
        <f>IF($R$2357=0,0,R2348/$R$2357)</f>
        <v/>
      </c>
      <c r="T2348" s="8" t="n">
        <v>-0.002511604909337217</v>
      </c>
      <c r="U2348" s="8" t="n">
        <v>-0.005225351506444764</v>
      </c>
      <c r="V2348" s="6" t="inlineStr">
        <is>
          <t>not selected</t>
        </is>
      </c>
    </row>
    <row r="2349">
      <c r="A2349" s="6" t="inlineStr">
        <is>
          <t>DJ30</t>
        </is>
      </c>
      <c r="B2349" s="6" t="inlineStr">
        <is>
          <t>2024-06-14</t>
        </is>
      </c>
      <c r="C2349" s="6" t="inlineStr">
        <is>
          <t>DIA</t>
        </is>
      </c>
      <c r="D2349" s="6" t="inlineStr">
        <is>
          <t>NVDA</t>
        </is>
      </c>
      <c r="E2349" s="6" t="inlineStr">
        <is>
          <t>NVDA</t>
        </is>
      </c>
      <c r="F2349" s="6" t="inlineStr">
        <is>
          <t>-</t>
        </is>
      </c>
      <c r="G2349" s="7" t="n">
        <v>131.6629791259766</v>
      </c>
      <c r="H2349" s="6">
        <f>P2318</f>
        <v/>
      </c>
      <c r="I2349" s="9">
        <f>Q2318</f>
        <v/>
      </c>
      <c r="J2349" s="7">
        <f>I2349*G2349</f>
        <v/>
      </c>
      <c r="K2349" s="8">
        <f>IF($J$2357=0,0,J2349/$J$2357)</f>
        <v/>
      </c>
      <c r="L2349" s="6" t="inlineStr">
        <is>
          <t>SELECTED</t>
        </is>
      </c>
      <c r="M2349" s="8" t="n">
        <v>0.2</v>
      </c>
      <c r="N2349" s="7">
        <f>M2349*$J$2357-J2349</f>
        <v/>
      </c>
      <c r="O2349" s="9">
        <f>IF(G2349=0,0,N2349/G2349)</f>
        <v/>
      </c>
      <c r="P2349" s="6">
        <f>IF(M2349&gt;0,D2349,"")</f>
        <v/>
      </c>
      <c r="Q2349" s="9">
        <f>I2349+O2349</f>
        <v/>
      </c>
      <c r="R2349" s="7">
        <f>Q2349*G2349</f>
        <v/>
      </c>
      <c r="S2349" s="8">
        <f>IF($R$2357=0,0,R2349/$R$2357)</f>
        <v/>
      </c>
      <c r="T2349" s="8" t="n">
        <v>-0.002511604909337217</v>
      </c>
      <c r="U2349" s="8" t="n">
        <v>-0.005225351506444764</v>
      </c>
      <c r="V2349" s="6" t="inlineStr">
        <is>
          <t>remained in weekly selection</t>
        </is>
      </c>
    </row>
    <row r="2350">
      <c r="A2350" s="6" t="inlineStr">
        <is>
          <t>DJ30</t>
        </is>
      </c>
      <c r="B2350" s="6" t="inlineStr">
        <is>
          <t>2024-06-14</t>
        </is>
      </c>
      <c r="C2350" s="6" t="inlineStr">
        <is>
          <t>DIA</t>
        </is>
      </c>
      <c r="D2350" s="6" t="inlineStr">
        <is>
          <t>PG</t>
        </is>
      </c>
      <c r="E2350" s="6" t="inlineStr">
        <is>
          <t>PG</t>
        </is>
      </c>
      <c r="F2350" s="6" t="inlineStr">
        <is>
          <t>-</t>
        </is>
      </c>
      <c r="G2350" s="7" t="n">
        <v>158.2574005126953</v>
      </c>
      <c r="H2350" s="6">
        <f>P2319</f>
        <v/>
      </c>
      <c r="I2350" s="9">
        <f>Q2319</f>
        <v/>
      </c>
      <c r="J2350" s="7">
        <f>I2350*G2350</f>
        <v/>
      </c>
      <c r="K2350" s="8">
        <f>IF($J$2357=0,0,J2350/$J$2357)</f>
        <v/>
      </c>
      <c r="L2350" s="6" t="inlineStr">
        <is>
          <t>WATCHLIST</t>
        </is>
      </c>
      <c r="M2350" s="8" t="n">
        <v>0</v>
      </c>
      <c r="N2350" s="7">
        <f>M2350*$J$2357-J2350</f>
        <v/>
      </c>
      <c r="O2350" s="9">
        <f>IF(G2350=0,0,N2350/G2350)</f>
        <v/>
      </c>
      <c r="P2350" s="6">
        <f>IF(M2350&gt;0,D2350,"")</f>
        <v/>
      </c>
      <c r="Q2350" s="9">
        <f>I2350+O2350</f>
        <v/>
      </c>
      <c r="R2350" s="7">
        <f>Q2350*G2350</f>
        <v/>
      </c>
      <c r="S2350" s="8">
        <f>IF($R$2357=0,0,R2350/$R$2357)</f>
        <v/>
      </c>
      <c r="T2350" s="8" t="n">
        <v>-0.002511604909337217</v>
      </c>
      <c r="U2350" s="8" t="n">
        <v>-0.005225351506444764</v>
      </c>
      <c r="V2350" s="6" t="inlineStr">
        <is>
          <t>not selected</t>
        </is>
      </c>
    </row>
    <row r="2351">
      <c r="A2351" s="6" t="inlineStr">
        <is>
          <t>DJ30</t>
        </is>
      </c>
      <c r="B2351" s="6" t="inlineStr">
        <is>
          <t>2024-06-14</t>
        </is>
      </c>
      <c r="C2351" s="6" t="inlineStr">
        <is>
          <t>DIA</t>
        </is>
      </c>
      <c r="D2351" s="6" t="inlineStr">
        <is>
          <t>SHW</t>
        </is>
      </c>
      <c r="E2351" s="6" t="inlineStr">
        <is>
          <t>SHW</t>
        </is>
      </c>
      <c r="F2351" s="6" t="inlineStr">
        <is>
          <t>-</t>
        </is>
      </c>
      <c r="G2351" s="7" t="n">
        <v>291.8329162597656</v>
      </c>
      <c r="H2351" s="6">
        <f>P2320</f>
        <v/>
      </c>
      <c r="I2351" s="9">
        <f>Q2320</f>
        <v/>
      </c>
      <c r="J2351" s="7">
        <f>I2351*G2351</f>
        <v/>
      </c>
      <c r="K2351" s="8">
        <f>IF($J$2357=0,0,J2351/$J$2357)</f>
        <v/>
      </c>
      <c r="L2351" s="6" t="inlineStr">
        <is>
          <t>WATCHLIST</t>
        </is>
      </c>
      <c r="M2351" s="8" t="n">
        <v>0</v>
      </c>
      <c r="N2351" s="7">
        <f>M2351*$J$2357-J2351</f>
        <v/>
      </c>
      <c r="O2351" s="9">
        <f>IF(G2351=0,0,N2351/G2351)</f>
        <v/>
      </c>
      <c r="P2351" s="6">
        <f>IF(M2351&gt;0,D2351,"")</f>
        <v/>
      </c>
      <c r="Q2351" s="9">
        <f>I2351+O2351</f>
        <v/>
      </c>
      <c r="R2351" s="7">
        <f>Q2351*G2351</f>
        <v/>
      </c>
      <c r="S2351" s="8">
        <f>IF($R$2357=0,0,R2351/$R$2357)</f>
        <v/>
      </c>
      <c r="T2351" s="8" t="n">
        <v>-0.002511604909337217</v>
      </c>
      <c r="U2351" s="8" t="n">
        <v>-0.005225351506444764</v>
      </c>
      <c r="V2351" s="6" t="inlineStr">
        <is>
          <t>not selected</t>
        </is>
      </c>
    </row>
    <row r="2352">
      <c r="A2352" s="6" t="inlineStr">
        <is>
          <t>DJ30</t>
        </is>
      </c>
      <c r="B2352" s="6" t="inlineStr">
        <is>
          <t>2024-06-14</t>
        </is>
      </c>
      <c r="C2352" s="6" t="inlineStr">
        <is>
          <t>DIA</t>
        </is>
      </c>
      <c r="D2352" s="6" t="inlineStr">
        <is>
          <t>TRV</t>
        </is>
      </c>
      <c r="E2352" s="6" t="inlineStr">
        <is>
          <t>TRV</t>
        </is>
      </c>
      <c r="F2352" s="6" t="inlineStr">
        <is>
          <t>-</t>
        </is>
      </c>
      <c r="G2352" s="7" t="n">
        <v>199.2625427246093</v>
      </c>
      <c r="H2352" s="6">
        <f>P2321</f>
        <v/>
      </c>
      <c r="I2352" s="9">
        <f>Q2321</f>
        <v/>
      </c>
      <c r="J2352" s="7">
        <f>I2352*G2352</f>
        <v/>
      </c>
      <c r="K2352" s="8">
        <f>IF($J$2357=0,0,J2352/$J$2357)</f>
        <v/>
      </c>
      <c r="L2352" s="6" t="inlineStr">
        <is>
          <t>SELECTED</t>
        </is>
      </c>
      <c r="M2352" s="8" t="n">
        <v>0.2</v>
      </c>
      <c r="N2352" s="7">
        <f>M2352*$J$2357-J2352</f>
        <v/>
      </c>
      <c r="O2352" s="9">
        <f>IF(G2352=0,0,N2352/G2352)</f>
        <v/>
      </c>
      <c r="P2352" s="6">
        <f>IF(M2352&gt;0,D2352,"")</f>
        <v/>
      </c>
      <c r="Q2352" s="9">
        <f>I2352+O2352</f>
        <v/>
      </c>
      <c r="R2352" s="7">
        <f>Q2352*G2352</f>
        <v/>
      </c>
      <c r="S2352" s="8">
        <f>IF($R$2357=0,0,R2352/$R$2357)</f>
        <v/>
      </c>
      <c r="T2352" s="8" t="n">
        <v>-0.002511604909337217</v>
      </c>
      <c r="U2352" s="8" t="n">
        <v>-0.005225351506444764</v>
      </c>
      <c r="V2352" s="6" t="inlineStr">
        <is>
          <t>remained in weekly selection</t>
        </is>
      </c>
    </row>
    <row r="2353">
      <c r="A2353" s="6" t="inlineStr">
        <is>
          <t>DJ30</t>
        </is>
      </c>
      <c r="B2353" s="6" t="inlineStr">
        <is>
          <t>2024-06-14</t>
        </is>
      </c>
      <c r="C2353" s="6" t="inlineStr">
        <is>
          <t>DIA</t>
        </is>
      </c>
      <c r="D2353" s="6" t="inlineStr">
        <is>
          <t>UNH</t>
        </is>
      </c>
      <c r="E2353" s="6" t="inlineStr">
        <is>
          <t>UNH</t>
        </is>
      </c>
      <c r="F2353" s="6" t="inlineStr">
        <is>
          <t>-</t>
        </is>
      </c>
      <c r="G2353" s="7" t="n">
        <v>473.1736755371094</v>
      </c>
      <c r="H2353" s="6">
        <f>P2322</f>
        <v/>
      </c>
      <c r="I2353" s="9">
        <f>Q2322</f>
        <v/>
      </c>
      <c r="J2353" s="7">
        <f>I2353*G2353</f>
        <v/>
      </c>
      <c r="K2353" s="8">
        <f>IF($J$2357=0,0,J2353/$J$2357)</f>
        <v/>
      </c>
      <c r="L2353" s="6" t="inlineStr">
        <is>
          <t>REJECTED</t>
        </is>
      </c>
      <c r="M2353" s="8" t="n">
        <v>0</v>
      </c>
      <c r="N2353" s="7">
        <f>M2353*$J$2357-J2353</f>
        <v/>
      </c>
      <c r="O2353" s="9">
        <f>IF(G2353=0,0,N2353/G2353)</f>
        <v/>
      </c>
      <c r="P2353" s="6">
        <f>IF(M2353&gt;0,D2353,"")</f>
        <v/>
      </c>
      <c r="Q2353" s="9">
        <f>I2353+O2353</f>
        <v/>
      </c>
      <c r="R2353" s="7">
        <f>Q2353*G2353</f>
        <v/>
      </c>
      <c r="S2353" s="8">
        <f>IF($R$2357=0,0,R2353/$R$2357)</f>
        <v/>
      </c>
      <c r="T2353" s="8" t="n">
        <v>-0.002511604909337217</v>
      </c>
      <c r="U2353" s="8" t="n">
        <v>-0.005225351506444764</v>
      </c>
      <c r="V2353" s="6" t="inlineStr">
        <is>
          <t>not selected</t>
        </is>
      </c>
    </row>
    <row r="2354">
      <c r="A2354" s="6" t="inlineStr">
        <is>
          <t>DJ30</t>
        </is>
      </c>
      <c r="B2354" s="6" t="inlineStr">
        <is>
          <t>2024-06-14</t>
        </is>
      </c>
      <c r="C2354" s="6" t="inlineStr">
        <is>
          <t>DIA</t>
        </is>
      </c>
      <c r="D2354" s="6" t="inlineStr">
        <is>
          <t>V</t>
        </is>
      </c>
      <c r="E2354" s="6" t="inlineStr">
        <is>
          <t>V</t>
        </is>
      </c>
      <c r="F2354" s="6" t="inlineStr">
        <is>
          <t>-</t>
        </is>
      </c>
      <c r="G2354" s="7" t="n">
        <v>266.6007995605469</v>
      </c>
      <c r="H2354" s="6">
        <f>P2323</f>
        <v/>
      </c>
      <c r="I2354" s="9">
        <f>Q2323</f>
        <v/>
      </c>
      <c r="J2354" s="7">
        <f>I2354*G2354</f>
        <v/>
      </c>
      <c r="K2354" s="8">
        <f>IF($J$2357=0,0,J2354/$J$2357)</f>
        <v/>
      </c>
      <c r="L2354" s="6" t="inlineStr">
        <is>
          <t>WATCHLIST</t>
        </is>
      </c>
      <c r="M2354" s="8" t="n">
        <v>0</v>
      </c>
      <c r="N2354" s="7">
        <f>M2354*$J$2357-J2354</f>
        <v/>
      </c>
      <c r="O2354" s="9">
        <f>IF(G2354=0,0,N2354/G2354)</f>
        <v/>
      </c>
      <c r="P2354" s="6">
        <f>IF(M2354&gt;0,D2354,"")</f>
        <v/>
      </c>
      <c r="Q2354" s="9">
        <f>I2354+O2354</f>
        <v/>
      </c>
      <c r="R2354" s="7">
        <f>Q2354*G2354</f>
        <v/>
      </c>
      <c r="S2354" s="8">
        <f>IF($R$2357=0,0,R2354/$R$2357)</f>
        <v/>
      </c>
      <c r="T2354" s="8" t="n">
        <v>-0.002511604909337217</v>
      </c>
      <c r="U2354" s="8" t="n">
        <v>-0.005225351506444764</v>
      </c>
      <c r="V2354" s="6" t="inlineStr">
        <is>
          <t>not selected</t>
        </is>
      </c>
    </row>
    <row r="2355">
      <c r="A2355" s="6" t="inlineStr">
        <is>
          <t>DJ30</t>
        </is>
      </c>
      <c r="B2355" s="6" t="inlineStr">
        <is>
          <t>2024-06-14</t>
        </is>
      </c>
      <c r="C2355" s="6" t="inlineStr">
        <is>
          <t>DIA</t>
        </is>
      </c>
      <c r="D2355" s="6" t="inlineStr">
        <is>
          <t>VZ</t>
        </is>
      </c>
      <c r="E2355" s="6" t="inlineStr">
        <is>
          <t>VZ</t>
        </is>
      </c>
      <c r="F2355" s="6" t="inlineStr">
        <is>
          <t>-</t>
        </is>
      </c>
      <c r="G2355" s="7" t="n">
        <v>34.81889343261719</v>
      </c>
      <c r="H2355" s="6">
        <f>P2324</f>
        <v/>
      </c>
      <c r="I2355" s="9">
        <f>Q2324</f>
        <v/>
      </c>
      <c r="J2355" s="7">
        <f>I2355*G2355</f>
        <v/>
      </c>
      <c r="K2355" s="8">
        <f>IF($J$2357=0,0,J2355/$J$2357)</f>
        <v/>
      </c>
      <c r="L2355" s="6" t="inlineStr">
        <is>
          <t>WATCHLIST</t>
        </is>
      </c>
      <c r="M2355" s="8" t="n">
        <v>0</v>
      </c>
      <c r="N2355" s="7">
        <f>M2355*$J$2357-J2355</f>
        <v/>
      </c>
      <c r="O2355" s="9">
        <f>IF(G2355=0,0,N2355/G2355)</f>
        <v/>
      </c>
      <c r="P2355" s="6">
        <f>IF(M2355&gt;0,D2355,"")</f>
        <v/>
      </c>
      <c r="Q2355" s="9">
        <f>I2355+O2355</f>
        <v/>
      </c>
      <c r="R2355" s="7">
        <f>Q2355*G2355</f>
        <v/>
      </c>
      <c r="S2355" s="8">
        <f>IF($R$2357=0,0,R2355/$R$2357)</f>
        <v/>
      </c>
      <c r="T2355" s="8" t="n">
        <v>-0.002511604909337217</v>
      </c>
      <c r="U2355" s="8" t="n">
        <v>-0.005225351506444764</v>
      </c>
      <c r="V2355" s="6" t="inlineStr">
        <is>
          <t>not selected</t>
        </is>
      </c>
    </row>
    <row r="2356">
      <c r="A2356" s="6" t="inlineStr">
        <is>
          <t>DJ30</t>
        </is>
      </c>
      <c r="B2356" s="6" t="inlineStr">
        <is>
          <t>2024-06-14</t>
        </is>
      </c>
      <c r="C2356" s="6" t="inlineStr">
        <is>
          <t>DIA</t>
        </is>
      </c>
      <c r="D2356" s="6" t="inlineStr">
        <is>
          <t>WMT</t>
        </is>
      </c>
      <c r="E2356" s="6" t="inlineStr">
        <is>
          <t>WMT</t>
        </is>
      </c>
      <c r="F2356" s="6" t="inlineStr">
        <is>
          <t>-</t>
        </is>
      </c>
      <c r="G2356" s="7" t="n">
        <v>65.78870391845703</v>
      </c>
      <c r="H2356" s="6">
        <f>P2325</f>
        <v/>
      </c>
      <c r="I2356" s="9">
        <f>Q2325</f>
        <v/>
      </c>
      <c r="J2356" s="7">
        <f>I2356*G2356</f>
        <v/>
      </c>
      <c r="K2356" s="8">
        <f>IF($J$2357=0,0,J2356/$J$2357)</f>
        <v/>
      </c>
      <c r="L2356" s="6" t="inlineStr">
        <is>
          <t>WATCHLIST</t>
        </is>
      </c>
      <c r="M2356" s="8" t="n">
        <v>0</v>
      </c>
      <c r="N2356" s="7">
        <f>M2356*$J$2357-J2356</f>
        <v/>
      </c>
      <c r="O2356" s="9">
        <f>IF(G2356=0,0,N2356/G2356)</f>
        <v/>
      </c>
      <c r="P2356" s="6">
        <f>IF(M2356&gt;0,D2356,"")</f>
        <v/>
      </c>
      <c r="Q2356" s="9">
        <f>I2356+O2356</f>
        <v/>
      </c>
      <c r="R2356" s="7">
        <f>Q2356*G2356</f>
        <v/>
      </c>
      <c r="S2356" s="8">
        <f>IF($R$2357=0,0,R2356/$R$2357)</f>
        <v/>
      </c>
      <c r="T2356" s="8" t="n">
        <v>-0.002511604909337217</v>
      </c>
      <c r="U2356" s="8" t="n">
        <v>-0.005225351506444764</v>
      </c>
      <c r="V2356" s="6" t="inlineStr">
        <is>
          <t>not selected</t>
        </is>
      </c>
    </row>
    <row r="2357">
      <c r="A2357" s="10" t="inlineStr">
        <is>
          <t>DJ30</t>
        </is>
      </c>
      <c r="B2357" s="10" t="inlineStr">
        <is>
          <t>2024-06-14</t>
        </is>
      </c>
      <c r="C2357" s="10" t="inlineStr">
        <is>
          <t>DIA</t>
        </is>
      </c>
      <c r="D2357" s="10" t="inlineStr">
        <is>
          <t>Tot Portfolio</t>
        </is>
      </c>
      <c r="E2357" s="10" t="inlineStr"/>
      <c r="F2357" s="10" t="inlineStr"/>
      <c r="G2357" s="11" t="inlineStr"/>
      <c r="H2357" s="10" t="inlineStr"/>
      <c r="I2357" s="12" t="inlineStr"/>
      <c r="J2357" s="11">
        <f>SUM(J2327:J2356)</f>
        <v/>
      </c>
      <c r="K2357" s="13">
        <f>SUM(K2327:K2356)</f>
        <v/>
      </c>
      <c r="L2357" s="10" t="inlineStr">
        <is>
          <t>TOTAL</t>
        </is>
      </c>
      <c r="M2357" s="13">
        <f>SUM(M2327:M2356)</f>
        <v/>
      </c>
      <c r="N2357" s="11">
        <f>SUM(N2327:N2356)</f>
        <v/>
      </c>
      <c r="O2357" s="12">
        <f>SUM(O2327:O2356)</f>
        <v/>
      </c>
      <c r="P2357" s="10" t="inlineStr"/>
      <c r="Q2357" s="12" t="inlineStr"/>
      <c r="R2357" s="11">
        <f>SUM(R2327:R2356)</f>
        <v/>
      </c>
      <c r="S2357" s="13">
        <f>SUM(S2327:S2356)</f>
        <v/>
      </c>
      <c r="T2357" s="13" t="n">
        <v>-0.002511604909337217</v>
      </c>
      <c r="U2357" s="13" t="n">
        <v>-0.005225351506444764</v>
      </c>
      <c r="V2357" s="10" t="inlineStr"/>
    </row>
    <row r="2358">
      <c r="A2358" s="6" t="inlineStr">
        <is>
          <t>DJ30</t>
        </is>
      </c>
      <c r="B2358" s="6" t="inlineStr">
        <is>
          <t>2024-06-21</t>
        </is>
      </c>
      <c r="C2358" s="6" t="inlineStr">
        <is>
          <t>DIA</t>
        </is>
      </c>
      <c r="D2358" s="6" t="inlineStr">
        <is>
          <t>AAPL</t>
        </is>
      </c>
      <c r="E2358" s="6" t="inlineStr">
        <is>
          <t>AAPL</t>
        </is>
      </c>
      <c r="F2358" s="6" t="inlineStr">
        <is>
          <t>-</t>
        </is>
      </c>
      <c r="G2358" s="7" t="n">
        <v>205.7080688476562</v>
      </c>
      <c r="H2358" s="6">
        <f>P2327</f>
        <v/>
      </c>
      <c r="I2358" s="9">
        <f>Q2327</f>
        <v/>
      </c>
      <c r="J2358" s="7">
        <f>I2358*G2358</f>
        <v/>
      </c>
      <c r="K2358" s="8">
        <f>IF($J$2388=0,0,J2358/$J$2388)</f>
        <v/>
      </c>
      <c r="L2358" s="6" t="inlineStr">
        <is>
          <t>REJECTED</t>
        </is>
      </c>
      <c r="M2358" s="8" t="n">
        <v>0</v>
      </c>
      <c r="N2358" s="7">
        <f>M2358*$J$2388-J2358</f>
        <v/>
      </c>
      <c r="O2358" s="9">
        <f>IF(G2358=0,0,N2358/G2358)</f>
        <v/>
      </c>
      <c r="P2358" s="6">
        <f>IF(M2358&gt;0,D2358,"")</f>
        <v/>
      </c>
      <c r="Q2358" s="9">
        <f>I2358+O2358</f>
        <v/>
      </c>
      <c r="R2358" s="7">
        <f>Q2358*G2358</f>
        <v/>
      </c>
      <c r="S2358" s="8">
        <f>IF($R$2388=0,0,R2358/$R$2388)</f>
        <v/>
      </c>
      <c r="T2358" s="8" t="n">
        <v>0.005960690441265459</v>
      </c>
      <c r="U2358" s="8" t="n">
        <v>0.01488992486624308</v>
      </c>
      <c r="V2358" s="6" t="inlineStr">
        <is>
          <t>not selected</t>
        </is>
      </c>
    </row>
    <row r="2359">
      <c r="A2359" s="6" t="inlineStr">
        <is>
          <t>DJ30</t>
        </is>
      </c>
      <c r="B2359" s="6" t="inlineStr">
        <is>
          <t>2024-06-21</t>
        </is>
      </c>
      <c r="C2359" s="6" t="inlineStr">
        <is>
          <t>DIA</t>
        </is>
      </c>
      <c r="D2359" s="6" t="inlineStr">
        <is>
          <t>AMGN</t>
        </is>
      </c>
      <c r="E2359" s="6" t="inlineStr">
        <is>
          <t>AMGN</t>
        </is>
      </c>
      <c r="F2359" s="6" t="inlineStr">
        <is>
          <t>-</t>
        </is>
      </c>
      <c r="G2359" s="7" t="n">
        <v>289.818603515625</v>
      </c>
      <c r="H2359" s="6">
        <f>P2328</f>
        <v/>
      </c>
      <c r="I2359" s="9">
        <f>Q2328</f>
        <v/>
      </c>
      <c r="J2359" s="7">
        <f>I2359*G2359</f>
        <v/>
      </c>
      <c r="K2359" s="8">
        <f>IF($J$2388=0,0,J2359/$J$2388)</f>
        <v/>
      </c>
      <c r="L2359" s="6" t="inlineStr">
        <is>
          <t>WATCHLIST</t>
        </is>
      </c>
      <c r="M2359" s="8" t="n">
        <v>0</v>
      </c>
      <c r="N2359" s="7">
        <f>M2359*$J$2388-J2359</f>
        <v/>
      </c>
      <c r="O2359" s="9">
        <f>IF(G2359=0,0,N2359/G2359)</f>
        <v/>
      </c>
      <c r="P2359" s="6">
        <f>IF(M2359&gt;0,D2359,"")</f>
        <v/>
      </c>
      <c r="Q2359" s="9">
        <f>I2359+O2359</f>
        <v/>
      </c>
      <c r="R2359" s="7">
        <f>Q2359*G2359</f>
        <v/>
      </c>
      <c r="S2359" s="8">
        <f>IF($R$2388=0,0,R2359/$R$2388)</f>
        <v/>
      </c>
      <c r="T2359" s="8" t="n">
        <v>0.005960690441265459</v>
      </c>
      <c r="U2359" s="8" t="n">
        <v>0.01488992486624308</v>
      </c>
      <c r="V2359" s="6" t="inlineStr">
        <is>
          <t>not selected</t>
        </is>
      </c>
    </row>
    <row r="2360">
      <c r="A2360" s="6" t="inlineStr">
        <is>
          <t>DJ30</t>
        </is>
      </c>
      <c r="B2360" s="6" t="inlineStr">
        <is>
          <t>2024-06-21</t>
        </is>
      </c>
      <c r="C2360" s="6" t="inlineStr">
        <is>
          <t>DIA</t>
        </is>
      </c>
      <c r="D2360" s="6" t="inlineStr">
        <is>
          <t>AMZN</t>
        </is>
      </c>
      <c r="E2360" s="6" t="inlineStr">
        <is>
          <t>AMZN</t>
        </is>
      </c>
      <c r="F2360" s="6" t="inlineStr">
        <is>
          <t>-</t>
        </is>
      </c>
      <c r="G2360" s="7" t="n">
        <v>189.0800018310547</v>
      </c>
      <c r="H2360" s="6">
        <f>P2329</f>
        <v/>
      </c>
      <c r="I2360" s="9">
        <f>Q2329</f>
        <v/>
      </c>
      <c r="J2360" s="7">
        <f>I2360*G2360</f>
        <v/>
      </c>
      <c r="K2360" s="8">
        <f>IF($J$2388=0,0,J2360/$J$2388)</f>
        <v/>
      </c>
      <c r="L2360" s="6" t="inlineStr">
        <is>
          <t>SELECTED</t>
        </is>
      </c>
      <c r="M2360" s="8" t="n">
        <v>0.2</v>
      </c>
      <c r="N2360" s="7">
        <f>M2360*$J$2388-J2360</f>
        <v/>
      </c>
      <c r="O2360" s="9">
        <f>IF(G2360=0,0,N2360/G2360)</f>
        <v/>
      </c>
      <c r="P2360" s="6">
        <f>IF(M2360&gt;0,D2360,"")</f>
        <v/>
      </c>
      <c r="Q2360" s="9">
        <f>I2360+O2360</f>
        <v/>
      </c>
      <c r="R2360" s="7">
        <f>Q2360*G2360</f>
        <v/>
      </c>
      <c r="S2360" s="8">
        <f>IF($R$2388=0,0,R2360/$R$2388)</f>
        <v/>
      </c>
      <c r="T2360" s="8" t="n">
        <v>0.005960690441265459</v>
      </c>
      <c r="U2360" s="8" t="n">
        <v>0.01488992486624308</v>
      </c>
      <c r="V2360" s="6" t="inlineStr">
        <is>
          <t>entered weekly selection</t>
        </is>
      </c>
    </row>
    <row r="2361">
      <c r="A2361" s="6" t="inlineStr">
        <is>
          <t>DJ30</t>
        </is>
      </c>
      <c r="B2361" s="6" t="inlineStr">
        <is>
          <t>2024-06-21</t>
        </is>
      </c>
      <c r="C2361" s="6" t="inlineStr">
        <is>
          <t>DIA</t>
        </is>
      </c>
      <c r="D2361" s="6" t="inlineStr">
        <is>
          <t>AXP</t>
        </is>
      </c>
      <c r="E2361" s="6" t="inlineStr">
        <is>
          <t>AXP</t>
        </is>
      </c>
      <c r="F2361" s="6" t="inlineStr">
        <is>
          <t>-</t>
        </is>
      </c>
      <c r="G2361" s="7" t="n">
        <v>225.4404602050781</v>
      </c>
      <c r="H2361" s="6">
        <f>P2330</f>
        <v/>
      </c>
      <c r="I2361" s="9">
        <f>Q2330</f>
        <v/>
      </c>
      <c r="J2361" s="7">
        <f>I2361*G2361</f>
        <v/>
      </c>
      <c r="K2361" s="8">
        <f>IF($J$2388=0,0,J2361/$J$2388)</f>
        <v/>
      </c>
      <c r="L2361" s="6" t="inlineStr">
        <is>
          <t>SELECTED</t>
        </is>
      </c>
      <c r="M2361" s="8" t="n">
        <v>0.2</v>
      </c>
      <c r="N2361" s="7">
        <f>M2361*$J$2388-J2361</f>
        <v/>
      </c>
      <c r="O2361" s="9">
        <f>IF(G2361=0,0,N2361/G2361)</f>
        <v/>
      </c>
      <c r="P2361" s="6">
        <f>IF(M2361&gt;0,D2361,"")</f>
        <v/>
      </c>
      <c r="Q2361" s="9">
        <f>I2361+O2361</f>
        <v/>
      </c>
      <c r="R2361" s="7">
        <f>Q2361*G2361</f>
        <v/>
      </c>
      <c r="S2361" s="8">
        <f>IF($R$2388=0,0,R2361/$R$2388)</f>
        <v/>
      </c>
      <c r="T2361" s="8" t="n">
        <v>0.005960690441265459</v>
      </c>
      <c r="U2361" s="8" t="n">
        <v>0.01488992486624308</v>
      </c>
      <c r="V2361" s="6" t="inlineStr">
        <is>
          <t>remained in weekly selection</t>
        </is>
      </c>
    </row>
    <row r="2362">
      <c r="A2362" s="6" t="inlineStr">
        <is>
          <t>DJ30</t>
        </is>
      </c>
      <c r="B2362" s="6" t="inlineStr">
        <is>
          <t>2024-06-21</t>
        </is>
      </c>
      <c r="C2362" s="6" t="inlineStr">
        <is>
          <t>DIA</t>
        </is>
      </c>
      <c r="D2362" s="6" t="inlineStr">
        <is>
          <t>BA</t>
        </is>
      </c>
      <c r="E2362" s="6" t="inlineStr">
        <is>
          <t>BA</t>
        </is>
      </c>
      <c r="F2362" s="6" t="inlineStr">
        <is>
          <t>-</t>
        </is>
      </c>
      <c r="G2362" s="7" t="n">
        <v>176.5599975585938</v>
      </c>
      <c r="H2362" s="6">
        <f>P2331</f>
        <v/>
      </c>
      <c r="I2362" s="9">
        <f>Q2331</f>
        <v/>
      </c>
      <c r="J2362" s="7">
        <f>I2362*G2362</f>
        <v/>
      </c>
      <c r="K2362" s="8">
        <f>IF($J$2388=0,0,J2362/$J$2388)</f>
        <v/>
      </c>
      <c r="L2362" s="6" t="inlineStr">
        <is>
          <t>REJECTED</t>
        </is>
      </c>
      <c r="M2362" s="8" t="n">
        <v>0</v>
      </c>
      <c r="N2362" s="7">
        <f>M2362*$J$2388-J2362</f>
        <v/>
      </c>
      <c r="O2362" s="9">
        <f>IF(G2362=0,0,N2362/G2362)</f>
        <v/>
      </c>
      <c r="P2362" s="6">
        <f>IF(M2362&gt;0,D2362,"")</f>
        <v/>
      </c>
      <c r="Q2362" s="9">
        <f>I2362+O2362</f>
        <v/>
      </c>
      <c r="R2362" s="7">
        <f>Q2362*G2362</f>
        <v/>
      </c>
      <c r="S2362" s="8">
        <f>IF($R$2388=0,0,R2362/$R$2388)</f>
        <v/>
      </c>
      <c r="T2362" s="8" t="n">
        <v>0.005960690441265459</v>
      </c>
      <c r="U2362" s="8" t="n">
        <v>0.01488992486624308</v>
      </c>
      <c r="V2362" s="6" t="inlineStr">
        <is>
          <t>not selected</t>
        </is>
      </c>
    </row>
    <row r="2363">
      <c r="A2363" s="6" t="inlineStr">
        <is>
          <t>DJ30</t>
        </is>
      </c>
      <c r="B2363" s="6" t="inlineStr">
        <is>
          <t>2024-06-21</t>
        </is>
      </c>
      <c r="C2363" s="6" t="inlineStr">
        <is>
          <t>DIA</t>
        </is>
      </c>
      <c r="D2363" s="6" t="inlineStr">
        <is>
          <t>CAT</t>
        </is>
      </c>
      <c r="E2363" s="6" t="inlineStr">
        <is>
          <t>CAT</t>
        </is>
      </c>
      <c r="F2363" s="6" t="inlineStr">
        <is>
          <t>-</t>
        </is>
      </c>
      <c r="G2363" s="7" t="n">
        <v>319.1457214355469</v>
      </c>
      <c r="H2363" s="6">
        <f>P2332</f>
        <v/>
      </c>
      <c r="I2363" s="9">
        <f>Q2332</f>
        <v/>
      </c>
      <c r="J2363" s="7">
        <f>I2363*G2363</f>
        <v/>
      </c>
      <c r="K2363" s="8">
        <f>IF($J$2388=0,0,J2363/$J$2388)</f>
        <v/>
      </c>
      <c r="L2363" s="6" t="inlineStr">
        <is>
          <t>WATCHLIST</t>
        </is>
      </c>
      <c r="M2363" s="8" t="n">
        <v>0</v>
      </c>
      <c r="N2363" s="7">
        <f>M2363*$J$2388-J2363</f>
        <v/>
      </c>
      <c r="O2363" s="9">
        <f>IF(G2363=0,0,N2363/G2363)</f>
        <v/>
      </c>
      <c r="P2363" s="6">
        <f>IF(M2363&gt;0,D2363,"")</f>
        <v/>
      </c>
      <c r="Q2363" s="9">
        <f>I2363+O2363</f>
        <v/>
      </c>
      <c r="R2363" s="7">
        <f>Q2363*G2363</f>
        <v/>
      </c>
      <c r="S2363" s="8">
        <f>IF($R$2388=0,0,R2363/$R$2388)</f>
        <v/>
      </c>
      <c r="T2363" s="8" t="n">
        <v>0.005960690441265459</v>
      </c>
      <c r="U2363" s="8" t="n">
        <v>0.01488992486624308</v>
      </c>
      <c r="V2363" s="6" t="inlineStr">
        <is>
          <t>removed from weekly selection</t>
        </is>
      </c>
    </row>
    <row r="2364">
      <c r="A2364" s="6" t="inlineStr">
        <is>
          <t>DJ30</t>
        </is>
      </c>
      <c r="B2364" s="6" t="inlineStr">
        <is>
          <t>2024-06-21</t>
        </is>
      </c>
      <c r="C2364" s="6" t="inlineStr">
        <is>
          <t>DIA</t>
        </is>
      </c>
      <c r="D2364" s="6" t="inlineStr">
        <is>
          <t>CRM</t>
        </is>
      </c>
      <c r="E2364" s="6" t="inlineStr">
        <is>
          <t>CRM</t>
        </is>
      </c>
      <c r="F2364" s="6" t="inlineStr">
        <is>
          <t>-</t>
        </is>
      </c>
      <c r="G2364" s="7" t="n">
        <v>241.2071075439453</v>
      </c>
      <c r="H2364" s="6">
        <f>P2333</f>
        <v/>
      </c>
      <c r="I2364" s="9">
        <f>Q2333</f>
        <v/>
      </c>
      <c r="J2364" s="7">
        <f>I2364*G2364</f>
        <v/>
      </c>
      <c r="K2364" s="8">
        <f>IF($J$2388=0,0,J2364/$J$2388)</f>
        <v/>
      </c>
      <c r="L2364" s="6" t="inlineStr">
        <is>
          <t>WATCHLIST</t>
        </is>
      </c>
      <c r="M2364" s="8" t="n">
        <v>0</v>
      </c>
      <c r="N2364" s="7">
        <f>M2364*$J$2388-J2364</f>
        <v/>
      </c>
      <c r="O2364" s="9">
        <f>IF(G2364=0,0,N2364/G2364)</f>
        <v/>
      </c>
      <c r="P2364" s="6">
        <f>IF(M2364&gt;0,D2364,"")</f>
        <v/>
      </c>
      <c r="Q2364" s="9">
        <f>I2364+O2364</f>
        <v/>
      </c>
      <c r="R2364" s="7">
        <f>Q2364*G2364</f>
        <v/>
      </c>
      <c r="S2364" s="8">
        <f>IF($R$2388=0,0,R2364/$R$2388)</f>
        <v/>
      </c>
      <c r="T2364" s="8" t="n">
        <v>0.005960690441265459</v>
      </c>
      <c r="U2364" s="8" t="n">
        <v>0.01488992486624308</v>
      </c>
      <c r="V2364" s="6" t="inlineStr">
        <is>
          <t>not selected</t>
        </is>
      </c>
    </row>
    <row r="2365">
      <c r="A2365" s="6" t="inlineStr">
        <is>
          <t>DJ30</t>
        </is>
      </c>
      <c r="B2365" s="6" t="inlineStr">
        <is>
          <t>2024-06-21</t>
        </is>
      </c>
      <c r="C2365" s="6" t="inlineStr">
        <is>
          <t>DIA</t>
        </is>
      </c>
      <c r="D2365" s="6" t="inlineStr">
        <is>
          <t>CSCO</t>
        </is>
      </c>
      <c r="E2365" s="6" t="inlineStr">
        <is>
          <t>CSCO</t>
        </is>
      </c>
      <c r="F2365" s="6" t="inlineStr">
        <is>
          <t>-</t>
        </is>
      </c>
      <c r="G2365" s="7" t="n">
        <v>44.87823867797852</v>
      </c>
      <c r="H2365" s="6">
        <f>P2334</f>
        <v/>
      </c>
      <c r="I2365" s="9">
        <f>Q2334</f>
        <v/>
      </c>
      <c r="J2365" s="7">
        <f>I2365*G2365</f>
        <v/>
      </c>
      <c r="K2365" s="8">
        <f>IF($J$2388=0,0,J2365/$J$2388)</f>
        <v/>
      </c>
      <c r="L2365" s="6" t="inlineStr">
        <is>
          <t>REJECTED</t>
        </is>
      </c>
      <c r="M2365" s="8" t="n">
        <v>0</v>
      </c>
      <c r="N2365" s="7">
        <f>M2365*$J$2388-J2365</f>
        <v/>
      </c>
      <c r="O2365" s="9">
        <f>IF(G2365=0,0,N2365/G2365)</f>
        <v/>
      </c>
      <c r="P2365" s="6">
        <f>IF(M2365&gt;0,D2365,"")</f>
        <v/>
      </c>
      <c r="Q2365" s="9">
        <f>I2365+O2365</f>
        <v/>
      </c>
      <c r="R2365" s="7">
        <f>Q2365*G2365</f>
        <v/>
      </c>
      <c r="S2365" s="8">
        <f>IF($R$2388=0,0,R2365/$R$2388)</f>
        <v/>
      </c>
      <c r="T2365" s="8" t="n">
        <v>0.005960690441265459</v>
      </c>
      <c r="U2365" s="8" t="n">
        <v>0.01488992486624308</v>
      </c>
      <c r="V2365" s="6" t="inlineStr">
        <is>
          <t>not selected</t>
        </is>
      </c>
    </row>
    <row r="2366">
      <c r="A2366" s="6" t="inlineStr">
        <is>
          <t>DJ30</t>
        </is>
      </c>
      <c r="B2366" s="6" t="inlineStr">
        <is>
          <t>2024-06-21</t>
        </is>
      </c>
      <c r="C2366" s="6" t="inlineStr">
        <is>
          <t>DIA</t>
        </is>
      </c>
      <c r="D2366" s="6" t="inlineStr">
        <is>
          <t>CVX</t>
        </is>
      </c>
      <c r="E2366" s="6" t="inlineStr">
        <is>
          <t>CVX</t>
        </is>
      </c>
      <c r="F2366" s="6" t="inlineStr">
        <is>
          <t>-</t>
        </is>
      </c>
      <c r="G2366" s="7" t="n">
        <v>142.5630340576172</v>
      </c>
      <c r="H2366" s="6">
        <f>P2335</f>
        <v/>
      </c>
      <c r="I2366" s="9">
        <f>Q2335</f>
        <v/>
      </c>
      <c r="J2366" s="7">
        <f>I2366*G2366</f>
        <v/>
      </c>
      <c r="K2366" s="8">
        <f>IF($J$2388=0,0,J2366/$J$2388)</f>
        <v/>
      </c>
      <c r="L2366" s="6" t="inlineStr">
        <is>
          <t>REJECTED</t>
        </is>
      </c>
      <c r="M2366" s="8" t="n">
        <v>0</v>
      </c>
      <c r="N2366" s="7">
        <f>M2366*$J$2388-J2366</f>
        <v/>
      </c>
      <c r="O2366" s="9">
        <f>IF(G2366=0,0,N2366/G2366)</f>
        <v/>
      </c>
      <c r="P2366" s="6">
        <f>IF(M2366&gt;0,D2366,"")</f>
        <v/>
      </c>
      <c r="Q2366" s="9">
        <f>I2366+O2366</f>
        <v/>
      </c>
      <c r="R2366" s="7">
        <f>Q2366*G2366</f>
        <v/>
      </c>
      <c r="S2366" s="8">
        <f>IF($R$2388=0,0,R2366/$R$2388)</f>
        <v/>
      </c>
      <c r="T2366" s="8" t="n">
        <v>0.005960690441265459</v>
      </c>
      <c r="U2366" s="8" t="n">
        <v>0.01488992486624308</v>
      </c>
      <c r="V2366" s="6" t="inlineStr">
        <is>
          <t>not selected</t>
        </is>
      </c>
    </row>
    <row r="2367">
      <c r="A2367" s="6" t="inlineStr">
        <is>
          <t>DJ30</t>
        </is>
      </c>
      <c r="B2367" s="6" t="inlineStr">
        <is>
          <t>2024-06-21</t>
        </is>
      </c>
      <c r="C2367" s="6" t="inlineStr">
        <is>
          <t>DIA</t>
        </is>
      </c>
      <c r="D2367" s="6" t="inlineStr">
        <is>
          <t>DIS</t>
        </is>
      </c>
      <c r="E2367" s="6" t="inlineStr">
        <is>
          <t>DIS</t>
        </is>
      </c>
      <c r="F2367" s="6" t="inlineStr">
        <is>
          <t>-</t>
        </is>
      </c>
      <c r="G2367" s="7" t="n">
        <v>100.2426452636719</v>
      </c>
      <c r="H2367" s="6">
        <f>P2336</f>
        <v/>
      </c>
      <c r="I2367" s="9">
        <f>Q2336</f>
        <v/>
      </c>
      <c r="J2367" s="7">
        <f>I2367*G2367</f>
        <v/>
      </c>
      <c r="K2367" s="8">
        <f>IF($J$2388=0,0,J2367/$J$2388)</f>
        <v/>
      </c>
      <c r="L2367" s="6" t="inlineStr">
        <is>
          <t>WATCHLIST</t>
        </is>
      </c>
      <c r="M2367" s="8" t="n">
        <v>0</v>
      </c>
      <c r="N2367" s="7">
        <f>M2367*$J$2388-J2367</f>
        <v/>
      </c>
      <c r="O2367" s="9">
        <f>IF(G2367=0,0,N2367/G2367)</f>
        <v/>
      </c>
      <c r="P2367" s="6">
        <f>IF(M2367&gt;0,D2367,"")</f>
        <v/>
      </c>
      <c r="Q2367" s="9">
        <f>I2367+O2367</f>
        <v/>
      </c>
      <c r="R2367" s="7">
        <f>Q2367*G2367</f>
        <v/>
      </c>
      <c r="S2367" s="8">
        <f>IF($R$2388=0,0,R2367/$R$2388)</f>
        <v/>
      </c>
      <c r="T2367" s="8" t="n">
        <v>0.005960690441265459</v>
      </c>
      <c r="U2367" s="8" t="n">
        <v>0.01488992486624308</v>
      </c>
      <c r="V2367" s="6" t="inlineStr">
        <is>
          <t>not selected</t>
        </is>
      </c>
    </row>
    <row r="2368">
      <c r="A2368" s="6" t="inlineStr">
        <is>
          <t>DJ30</t>
        </is>
      </c>
      <c r="B2368" s="6" t="inlineStr">
        <is>
          <t>2024-06-21</t>
        </is>
      </c>
      <c r="C2368" s="6" t="inlineStr">
        <is>
          <t>DIA</t>
        </is>
      </c>
      <c r="D2368" s="6" t="inlineStr">
        <is>
          <t>GS</t>
        </is>
      </c>
      <c r="E2368" s="6" t="inlineStr">
        <is>
          <t>GS</t>
        </is>
      </c>
      <c r="F2368" s="6" t="inlineStr">
        <is>
          <t>-</t>
        </is>
      </c>
      <c r="G2368" s="7" t="n">
        <v>432.2300720214844</v>
      </c>
      <c r="H2368" s="6">
        <f>P2337</f>
        <v/>
      </c>
      <c r="I2368" s="9">
        <f>Q2337</f>
        <v/>
      </c>
      <c r="J2368" s="7">
        <f>I2368*G2368</f>
        <v/>
      </c>
      <c r="K2368" s="8">
        <f>IF($J$2388=0,0,J2368/$J$2388)</f>
        <v/>
      </c>
      <c r="L2368" s="6" t="inlineStr">
        <is>
          <t>SELECTED</t>
        </is>
      </c>
      <c r="M2368" s="8" t="n">
        <v>0.2</v>
      </c>
      <c r="N2368" s="7">
        <f>M2368*$J$2388-J2368</f>
        <v/>
      </c>
      <c r="O2368" s="9">
        <f>IF(G2368=0,0,N2368/G2368)</f>
        <v/>
      </c>
      <c r="P2368" s="6">
        <f>IF(M2368&gt;0,D2368,"")</f>
        <v/>
      </c>
      <c r="Q2368" s="9">
        <f>I2368+O2368</f>
        <v/>
      </c>
      <c r="R2368" s="7">
        <f>Q2368*G2368</f>
        <v/>
      </c>
      <c r="S2368" s="8">
        <f>IF($R$2388=0,0,R2368/$R$2388)</f>
        <v/>
      </c>
      <c r="T2368" s="8" t="n">
        <v>0.005960690441265459</v>
      </c>
      <c r="U2368" s="8" t="n">
        <v>0.01488992486624308</v>
      </c>
      <c r="V2368" s="6" t="inlineStr">
        <is>
          <t>remained in weekly selection</t>
        </is>
      </c>
    </row>
    <row r="2369">
      <c r="A2369" s="6" t="inlineStr">
        <is>
          <t>DJ30</t>
        </is>
      </c>
      <c r="B2369" s="6" t="inlineStr">
        <is>
          <t>2024-06-21</t>
        </is>
      </c>
      <c r="C2369" s="6" t="inlineStr">
        <is>
          <t>DIA</t>
        </is>
      </c>
      <c r="D2369" s="6" t="inlineStr">
        <is>
          <t>HD</t>
        </is>
      </c>
      <c r="E2369" s="6" t="inlineStr">
        <is>
          <t>HD</t>
        </is>
      </c>
      <c r="F2369" s="6" t="inlineStr">
        <is>
          <t>-</t>
        </is>
      </c>
      <c r="G2369" s="7" t="n">
        <v>338.4240417480469</v>
      </c>
      <c r="H2369" s="6">
        <f>P2338</f>
        <v/>
      </c>
      <c r="I2369" s="9">
        <f>Q2338</f>
        <v/>
      </c>
      <c r="J2369" s="7">
        <f>I2369*G2369</f>
        <v/>
      </c>
      <c r="K2369" s="8">
        <f>IF($J$2388=0,0,J2369/$J$2388)</f>
        <v/>
      </c>
      <c r="L2369" s="6" t="inlineStr">
        <is>
          <t>WATCHLIST</t>
        </is>
      </c>
      <c r="M2369" s="8" t="n">
        <v>0</v>
      </c>
      <c r="N2369" s="7">
        <f>M2369*$J$2388-J2369</f>
        <v/>
      </c>
      <c r="O2369" s="9">
        <f>IF(G2369=0,0,N2369/G2369)</f>
        <v/>
      </c>
      <c r="P2369" s="6">
        <f>IF(M2369&gt;0,D2369,"")</f>
        <v/>
      </c>
      <c r="Q2369" s="9">
        <f>I2369+O2369</f>
        <v/>
      </c>
      <c r="R2369" s="7">
        <f>Q2369*G2369</f>
        <v/>
      </c>
      <c r="S2369" s="8">
        <f>IF($R$2388=0,0,R2369/$R$2388)</f>
        <v/>
      </c>
      <c r="T2369" s="8" t="n">
        <v>0.005960690441265459</v>
      </c>
      <c r="U2369" s="8" t="n">
        <v>0.01488992486624308</v>
      </c>
      <c r="V2369" s="6" t="inlineStr">
        <is>
          <t>not selected</t>
        </is>
      </c>
    </row>
    <row r="2370">
      <c r="A2370" s="6" t="inlineStr">
        <is>
          <t>DJ30</t>
        </is>
      </c>
      <c r="B2370" s="6" t="inlineStr">
        <is>
          <t>2024-06-21</t>
        </is>
      </c>
      <c r="C2370" s="6" t="inlineStr">
        <is>
          <t>DIA</t>
        </is>
      </c>
      <c r="D2370" s="6" t="inlineStr">
        <is>
          <t>HON</t>
        </is>
      </c>
      <c r="E2370" s="6" t="inlineStr">
        <is>
          <t>HON</t>
        </is>
      </c>
      <c r="F2370" s="6" t="inlineStr">
        <is>
          <t>-</t>
        </is>
      </c>
      <c r="G2370" s="7" t="n">
        <v>194.3082885742188</v>
      </c>
      <c r="H2370" s="6">
        <f>P2339</f>
        <v/>
      </c>
      <c r="I2370" s="9">
        <f>Q2339</f>
        <v/>
      </c>
      <c r="J2370" s="7">
        <f>I2370*G2370</f>
        <v/>
      </c>
      <c r="K2370" s="8">
        <f>IF($J$2388=0,0,J2370/$J$2388)</f>
        <v/>
      </c>
      <c r="L2370" s="6" t="inlineStr">
        <is>
          <t>WATCHLIST</t>
        </is>
      </c>
      <c r="M2370" s="8" t="n">
        <v>0</v>
      </c>
      <c r="N2370" s="7">
        <f>M2370*$J$2388-J2370</f>
        <v/>
      </c>
      <c r="O2370" s="9">
        <f>IF(G2370=0,0,N2370/G2370)</f>
        <v/>
      </c>
      <c r="P2370" s="6">
        <f>IF(M2370&gt;0,D2370,"")</f>
        <v/>
      </c>
      <c r="Q2370" s="9">
        <f>I2370+O2370</f>
        <v/>
      </c>
      <c r="R2370" s="7">
        <f>Q2370*G2370</f>
        <v/>
      </c>
      <c r="S2370" s="8">
        <f>IF($R$2388=0,0,R2370/$R$2388)</f>
        <v/>
      </c>
      <c r="T2370" s="8" t="n">
        <v>0.005960690441265459</v>
      </c>
      <c r="U2370" s="8" t="n">
        <v>0.01488992486624308</v>
      </c>
      <c r="V2370" s="6" t="inlineStr">
        <is>
          <t>not selected</t>
        </is>
      </c>
    </row>
    <row r="2371">
      <c r="A2371" s="6" t="inlineStr">
        <is>
          <t>DJ30</t>
        </is>
      </c>
      <c r="B2371" s="6" t="inlineStr">
        <is>
          <t>2024-06-21</t>
        </is>
      </c>
      <c r="C2371" s="6" t="inlineStr">
        <is>
          <t>DIA</t>
        </is>
      </c>
      <c r="D2371" s="6" t="inlineStr">
        <is>
          <t>IBM</t>
        </is>
      </c>
      <c r="E2371" s="6" t="inlineStr">
        <is>
          <t>IBM</t>
        </is>
      </c>
      <c r="F2371" s="6" t="inlineStr">
        <is>
          <t>-</t>
        </is>
      </c>
      <c r="G2371" s="7" t="n">
        <v>163.2167816162109</v>
      </c>
      <c r="H2371" s="6">
        <f>P2340</f>
        <v/>
      </c>
      <c r="I2371" s="9">
        <f>Q2340</f>
        <v/>
      </c>
      <c r="J2371" s="7">
        <f>I2371*G2371</f>
        <v/>
      </c>
      <c r="K2371" s="8">
        <f>IF($J$2388=0,0,J2371/$J$2388)</f>
        <v/>
      </c>
      <c r="L2371" s="6" t="inlineStr">
        <is>
          <t>WATCHLIST</t>
        </is>
      </c>
      <c r="M2371" s="8" t="n">
        <v>0</v>
      </c>
      <c r="N2371" s="7">
        <f>M2371*$J$2388-J2371</f>
        <v/>
      </c>
      <c r="O2371" s="9">
        <f>IF(G2371=0,0,N2371/G2371)</f>
        <v/>
      </c>
      <c r="P2371" s="6">
        <f>IF(M2371&gt;0,D2371,"")</f>
        <v/>
      </c>
      <c r="Q2371" s="9">
        <f>I2371+O2371</f>
        <v/>
      </c>
      <c r="R2371" s="7">
        <f>Q2371*G2371</f>
        <v/>
      </c>
      <c r="S2371" s="8">
        <f>IF($R$2388=0,0,R2371/$R$2388)</f>
        <v/>
      </c>
      <c r="T2371" s="8" t="n">
        <v>0.005960690441265459</v>
      </c>
      <c r="U2371" s="8" t="n">
        <v>0.01488992486624308</v>
      </c>
      <c r="V2371" s="6" t="inlineStr">
        <is>
          <t>not selected</t>
        </is>
      </c>
    </row>
    <row r="2372">
      <c r="A2372" s="6" t="inlineStr">
        <is>
          <t>DJ30</t>
        </is>
      </c>
      <c r="B2372" s="6" t="inlineStr">
        <is>
          <t>2024-06-21</t>
        </is>
      </c>
      <c r="C2372" s="6" t="inlineStr">
        <is>
          <t>DIA</t>
        </is>
      </c>
      <c r="D2372" s="6" t="inlineStr">
        <is>
          <t>JNJ</t>
        </is>
      </c>
      <c r="E2372" s="6" t="inlineStr">
        <is>
          <t>JNJ</t>
        </is>
      </c>
      <c r="F2372" s="6" t="inlineStr">
        <is>
          <t>-</t>
        </is>
      </c>
      <c r="G2372" s="7" t="n">
        <v>140.5446929931641</v>
      </c>
      <c r="H2372" s="6">
        <f>P2341</f>
        <v/>
      </c>
      <c r="I2372" s="9">
        <f>Q2341</f>
        <v/>
      </c>
      <c r="J2372" s="7">
        <f>I2372*G2372</f>
        <v/>
      </c>
      <c r="K2372" s="8">
        <f>IF($J$2388=0,0,J2372/$J$2388)</f>
        <v/>
      </c>
      <c r="L2372" s="6" t="inlineStr">
        <is>
          <t>REJECTED</t>
        </is>
      </c>
      <c r="M2372" s="8" t="n">
        <v>0</v>
      </c>
      <c r="N2372" s="7">
        <f>M2372*$J$2388-J2372</f>
        <v/>
      </c>
      <c r="O2372" s="9">
        <f>IF(G2372=0,0,N2372/G2372)</f>
        <v/>
      </c>
      <c r="P2372" s="6">
        <f>IF(M2372&gt;0,D2372,"")</f>
        <v/>
      </c>
      <c r="Q2372" s="9">
        <f>I2372+O2372</f>
        <v/>
      </c>
      <c r="R2372" s="7">
        <f>Q2372*G2372</f>
        <v/>
      </c>
      <c r="S2372" s="8">
        <f>IF($R$2388=0,0,R2372/$R$2388)</f>
        <v/>
      </c>
      <c r="T2372" s="8" t="n">
        <v>0.005960690441265459</v>
      </c>
      <c r="U2372" s="8" t="n">
        <v>0.01488992486624308</v>
      </c>
      <c r="V2372" s="6" t="inlineStr">
        <is>
          <t>not selected</t>
        </is>
      </c>
    </row>
    <row r="2373">
      <c r="A2373" s="6" t="inlineStr">
        <is>
          <t>DJ30</t>
        </is>
      </c>
      <c r="B2373" s="6" t="inlineStr">
        <is>
          <t>2024-06-21</t>
        </is>
      </c>
      <c r="C2373" s="6" t="inlineStr">
        <is>
          <t>DIA</t>
        </is>
      </c>
      <c r="D2373" s="6" t="inlineStr">
        <is>
          <t>JPM</t>
        </is>
      </c>
      <c r="E2373" s="6" t="inlineStr">
        <is>
          <t>JPM</t>
        </is>
      </c>
      <c r="F2373" s="6" t="inlineStr">
        <is>
          <t>-</t>
        </is>
      </c>
      <c r="G2373" s="7" t="n">
        <v>188.190673828125</v>
      </c>
      <c r="H2373" s="6">
        <f>P2342</f>
        <v/>
      </c>
      <c r="I2373" s="9">
        <f>Q2342</f>
        <v/>
      </c>
      <c r="J2373" s="7">
        <f>I2373*G2373</f>
        <v/>
      </c>
      <c r="K2373" s="8">
        <f>IF($J$2388=0,0,J2373/$J$2388)</f>
        <v/>
      </c>
      <c r="L2373" s="6" t="inlineStr">
        <is>
          <t>WATCHLIST</t>
        </is>
      </c>
      <c r="M2373" s="8" t="n">
        <v>0</v>
      </c>
      <c r="N2373" s="7">
        <f>M2373*$J$2388-J2373</f>
        <v/>
      </c>
      <c r="O2373" s="9">
        <f>IF(G2373=0,0,N2373/G2373)</f>
        <v/>
      </c>
      <c r="P2373" s="6">
        <f>IF(M2373&gt;0,D2373,"")</f>
        <v/>
      </c>
      <c r="Q2373" s="9">
        <f>I2373+O2373</f>
        <v/>
      </c>
      <c r="R2373" s="7">
        <f>Q2373*G2373</f>
        <v/>
      </c>
      <c r="S2373" s="8">
        <f>IF($R$2388=0,0,R2373/$R$2388)</f>
        <v/>
      </c>
      <c r="T2373" s="8" t="n">
        <v>0.005960690441265459</v>
      </c>
      <c r="U2373" s="8" t="n">
        <v>0.01488992486624308</v>
      </c>
      <c r="V2373" s="6" t="inlineStr">
        <is>
          <t>not selected</t>
        </is>
      </c>
    </row>
    <row r="2374">
      <c r="A2374" s="6" t="inlineStr">
        <is>
          <t>DJ30</t>
        </is>
      </c>
      <c r="B2374" s="6" t="inlineStr">
        <is>
          <t>2024-06-21</t>
        </is>
      </c>
      <c r="C2374" s="6" t="inlineStr">
        <is>
          <t>DIA</t>
        </is>
      </c>
      <c r="D2374" s="6" t="inlineStr">
        <is>
          <t>KO</t>
        </is>
      </c>
      <c r="E2374" s="6" t="inlineStr">
        <is>
          <t>KO</t>
        </is>
      </c>
      <c r="F2374" s="6" t="inlineStr">
        <is>
          <t>-</t>
        </is>
      </c>
      <c r="G2374" s="7" t="n">
        <v>59.30683898925781</v>
      </c>
      <c r="H2374" s="6">
        <f>P2343</f>
        <v/>
      </c>
      <c r="I2374" s="9">
        <f>Q2343</f>
        <v/>
      </c>
      <c r="J2374" s="7">
        <f>I2374*G2374</f>
        <v/>
      </c>
      <c r="K2374" s="8">
        <f>IF($J$2388=0,0,J2374/$J$2388)</f>
        <v/>
      </c>
      <c r="L2374" s="6" t="inlineStr">
        <is>
          <t>WATCHLIST</t>
        </is>
      </c>
      <c r="M2374" s="8" t="n">
        <v>0</v>
      </c>
      <c r="N2374" s="7">
        <f>M2374*$J$2388-J2374</f>
        <v/>
      </c>
      <c r="O2374" s="9">
        <f>IF(G2374=0,0,N2374/G2374)</f>
        <v/>
      </c>
      <c r="P2374" s="6">
        <f>IF(M2374&gt;0,D2374,"")</f>
        <v/>
      </c>
      <c r="Q2374" s="9">
        <f>I2374+O2374</f>
        <v/>
      </c>
      <c r="R2374" s="7">
        <f>Q2374*G2374</f>
        <v/>
      </c>
      <c r="S2374" s="8">
        <f>IF($R$2388=0,0,R2374/$R$2388)</f>
        <v/>
      </c>
      <c r="T2374" s="8" t="n">
        <v>0.005960690441265459</v>
      </c>
      <c r="U2374" s="8" t="n">
        <v>0.01488992486624308</v>
      </c>
      <c r="V2374" s="6" t="inlineStr">
        <is>
          <t>not selected</t>
        </is>
      </c>
    </row>
    <row r="2375">
      <c r="A2375" s="6" t="inlineStr">
        <is>
          <t>DJ30</t>
        </is>
      </c>
      <c r="B2375" s="6" t="inlineStr">
        <is>
          <t>2024-06-21</t>
        </is>
      </c>
      <c r="C2375" s="6" t="inlineStr">
        <is>
          <t>DIA</t>
        </is>
      </c>
      <c r="D2375" s="6" t="inlineStr">
        <is>
          <t>MCD</t>
        </is>
      </c>
      <c r="E2375" s="6" t="inlineStr">
        <is>
          <t>MCD</t>
        </is>
      </c>
      <c r="F2375" s="6" t="inlineStr">
        <is>
          <t>-</t>
        </is>
      </c>
      <c r="G2375" s="7" t="n">
        <v>247.4346160888672</v>
      </c>
      <c r="H2375" s="6">
        <f>P2344</f>
        <v/>
      </c>
      <c r="I2375" s="9">
        <f>Q2344</f>
        <v/>
      </c>
      <c r="J2375" s="7">
        <f>I2375*G2375</f>
        <v/>
      </c>
      <c r="K2375" s="8">
        <f>IF($J$2388=0,0,J2375/$J$2388)</f>
        <v/>
      </c>
      <c r="L2375" s="6" t="inlineStr">
        <is>
          <t>REJECTED</t>
        </is>
      </c>
      <c r="M2375" s="8" t="n">
        <v>0</v>
      </c>
      <c r="N2375" s="7">
        <f>M2375*$J$2388-J2375</f>
        <v/>
      </c>
      <c r="O2375" s="9">
        <f>IF(G2375=0,0,N2375/G2375)</f>
        <v/>
      </c>
      <c r="P2375" s="6">
        <f>IF(M2375&gt;0,D2375,"")</f>
        <v/>
      </c>
      <c r="Q2375" s="9">
        <f>I2375+O2375</f>
        <v/>
      </c>
      <c r="R2375" s="7">
        <f>Q2375*G2375</f>
        <v/>
      </c>
      <c r="S2375" s="8">
        <f>IF($R$2388=0,0,R2375/$R$2388)</f>
        <v/>
      </c>
      <c r="T2375" s="8" t="n">
        <v>0.005960690441265459</v>
      </c>
      <c r="U2375" s="8" t="n">
        <v>0.01488992486624308</v>
      </c>
      <c r="V2375" s="6" t="inlineStr">
        <is>
          <t>not selected</t>
        </is>
      </c>
    </row>
    <row r="2376">
      <c r="A2376" s="6" t="inlineStr">
        <is>
          <t>DJ30</t>
        </is>
      </c>
      <c r="B2376" s="6" t="inlineStr">
        <is>
          <t>2024-06-21</t>
        </is>
      </c>
      <c r="C2376" s="6" t="inlineStr">
        <is>
          <t>DIA</t>
        </is>
      </c>
      <c r="D2376" s="6" t="inlineStr">
        <is>
          <t>MMM</t>
        </is>
      </c>
      <c r="E2376" s="6" t="inlineStr">
        <is>
          <t>MMM</t>
        </is>
      </c>
      <c r="F2376" s="6" t="inlineStr">
        <is>
          <t>-</t>
        </is>
      </c>
      <c r="G2376" s="7" t="n">
        <v>98.4716796875</v>
      </c>
      <c r="H2376" s="6">
        <f>P2345</f>
        <v/>
      </c>
      <c r="I2376" s="9">
        <f>Q2345</f>
        <v/>
      </c>
      <c r="J2376" s="7">
        <f>I2376*G2376</f>
        <v/>
      </c>
      <c r="K2376" s="8">
        <f>IF($J$2388=0,0,J2376/$J$2388)</f>
        <v/>
      </c>
      <c r="L2376" s="6" t="inlineStr">
        <is>
          <t>WATCHLIST</t>
        </is>
      </c>
      <c r="M2376" s="8" t="n">
        <v>0</v>
      </c>
      <c r="N2376" s="7">
        <f>M2376*$J$2388-J2376</f>
        <v/>
      </c>
      <c r="O2376" s="9">
        <f>IF(G2376=0,0,N2376/G2376)</f>
        <v/>
      </c>
      <c r="P2376" s="6">
        <f>IF(M2376&gt;0,D2376,"")</f>
        <v/>
      </c>
      <c r="Q2376" s="9">
        <f>I2376+O2376</f>
        <v/>
      </c>
      <c r="R2376" s="7">
        <f>Q2376*G2376</f>
        <v/>
      </c>
      <c r="S2376" s="8">
        <f>IF($R$2388=0,0,R2376/$R$2388)</f>
        <v/>
      </c>
      <c r="T2376" s="8" t="n">
        <v>0.005960690441265459</v>
      </c>
      <c r="U2376" s="8" t="n">
        <v>0.01488992486624308</v>
      </c>
      <c r="V2376" s="6" t="inlineStr">
        <is>
          <t>not selected</t>
        </is>
      </c>
    </row>
    <row r="2377">
      <c r="A2377" s="6" t="inlineStr">
        <is>
          <t>DJ30</t>
        </is>
      </c>
      <c r="B2377" s="6" t="inlineStr">
        <is>
          <t>2024-06-21</t>
        </is>
      </c>
      <c r="C2377" s="6" t="inlineStr">
        <is>
          <t>DIA</t>
        </is>
      </c>
      <c r="D2377" s="6" t="inlineStr">
        <is>
          <t>MRK</t>
        </is>
      </c>
      <c r="E2377" s="6" t="inlineStr">
        <is>
          <t>MRK</t>
        </is>
      </c>
      <c r="F2377" s="6" t="inlineStr">
        <is>
          <t>-</t>
        </is>
      </c>
      <c r="G2377" s="7" t="n">
        <v>122.3599166870117</v>
      </c>
      <c r="H2377" s="6">
        <f>P2346</f>
        <v/>
      </c>
      <c r="I2377" s="9">
        <f>Q2346</f>
        <v/>
      </c>
      <c r="J2377" s="7">
        <f>I2377*G2377</f>
        <v/>
      </c>
      <c r="K2377" s="8">
        <f>IF($J$2388=0,0,J2377/$J$2388)</f>
        <v/>
      </c>
      <c r="L2377" s="6" t="inlineStr">
        <is>
          <t>WATCHLIST</t>
        </is>
      </c>
      <c r="M2377" s="8" t="n">
        <v>0</v>
      </c>
      <c r="N2377" s="7">
        <f>M2377*$J$2388-J2377</f>
        <v/>
      </c>
      <c r="O2377" s="9">
        <f>IF(G2377=0,0,N2377/G2377)</f>
        <v/>
      </c>
      <c r="P2377" s="6">
        <f>IF(M2377&gt;0,D2377,"")</f>
        <v/>
      </c>
      <c r="Q2377" s="9">
        <f>I2377+O2377</f>
        <v/>
      </c>
      <c r="R2377" s="7">
        <f>Q2377*G2377</f>
        <v/>
      </c>
      <c r="S2377" s="8">
        <f>IF($R$2388=0,0,R2377/$R$2388)</f>
        <v/>
      </c>
      <c r="T2377" s="8" t="n">
        <v>0.005960690441265459</v>
      </c>
      <c r="U2377" s="8" t="n">
        <v>0.01488992486624308</v>
      </c>
      <c r="V2377" s="6" t="inlineStr">
        <is>
          <t>not selected</t>
        </is>
      </c>
    </row>
    <row r="2378">
      <c r="A2378" s="6" t="inlineStr">
        <is>
          <t>DJ30</t>
        </is>
      </c>
      <c r="B2378" s="6" t="inlineStr">
        <is>
          <t>2024-06-21</t>
        </is>
      </c>
      <c r="C2378" s="6" t="inlineStr">
        <is>
          <t>DIA</t>
        </is>
      </c>
      <c r="D2378" s="6" t="inlineStr">
        <is>
          <t>MSFT</t>
        </is>
      </c>
      <c r="E2378" s="6" t="inlineStr">
        <is>
          <t>MSFT</t>
        </is>
      </c>
      <c r="F2378" s="6" t="inlineStr">
        <is>
          <t>-</t>
        </is>
      </c>
      <c r="G2378" s="7" t="n">
        <v>442.8207397460938</v>
      </c>
      <c r="H2378" s="6">
        <f>P2347</f>
        <v/>
      </c>
      <c r="I2378" s="9">
        <f>Q2347</f>
        <v/>
      </c>
      <c r="J2378" s="7">
        <f>I2378*G2378</f>
        <v/>
      </c>
      <c r="K2378" s="8">
        <f>IF($J$2388=0,0,J2378/$J$2388)</f>
        <v/>
      </c>
      <c r="L2378" s="6" t="inlineStr">
        <is>
          <t>WATCHLIST</t>
        </is>
      </c>
      <c r="M2378" s="8" t="n">
        <v>0</v>
      </c>
      <c r="N2378" s="7">
        <f>M2378*$J$2388-J2378</f>
        <v/>
      </c>
      <c r="O2378" s="9">
        <f>IF(G2378=0,0,N2378/G2378)</f>
        <v/>
      </c>
      <c r="P2378" s="6">
        <f>IF(M2378&gt;0,D2378,"")</f>
        <v/>
      </c>
      <c r="Q2378" s="9">
        <f>I2378+O2378</f>
        <v/>
      </c>
      <c r="R2378" s="7">
        <f>Q2378*G2378</f>
        <v/>
      </c>
      <c r="S2378" s="8">
        <f>IF($R$2388=0,0,R2378/$R$2388)</f>
        <v/>
      </c>
      <c r="T2378" s="8" t="n">
        <v>0.005960690441265459</v>
      </c>
      <c r="U2378" s="8" t="n">
        <v>0.01488992486624308</v>
      </c>
      <c r="V2378" s="6" t="inlineStr">
        <is>
          <t>not selected</t>
        </is>
      </c>
    </row>
    <row r="2379">
      <c r="A2379" s="6" t="inlineStr">
        <is>
          <t>DJ30</t>
        </is>
      </c>
      <c r="B2379" s="6" t="inlineStr">
        <is>
          <t>2024-06-21</t>
        </is>
      </c>
      <c r="C2379" s="6" t="inlineStr">
        <is>
          <t>DIA</t>
        </is>
      </c>
      <c r="D2379" s="6" t="inlineStr">
        <is>
          <t>NKE</t>
        </is>
      </c>
      <c r="E2379" s="6" t="inlineStr">
        <is>
          <t>NKE</t>
        </is>
      </c>
      <c r="F2379" s="6" t="inlineStr">
        <is>
          <t>-</t>
        </is>
      </c>
      <c r="G2379" s="7" t="n">
        <v>92.59914398193359</v>
      </c>
      <c r="H2379" s="6">
        <f>P2348</f>
        <v/>
      </c>
      <c r="I2379" s="9">
        <f>Q2348</f>
        <v/>
      </c>
      <c r="J2379" s="7">
        <f>I2379*G2379</f>
        <v/>
      </c>
      <c r="K2379" s="8">
        <f>IF($J$2388=0,0,J2379/$J$2388)</f>
        <v/>
      </c>
      <c r="L2379" s="6" t="inlineStr">
        <is>
          <t>REJECTED</t>
        </is>
      </c>
      <c r="M2379" s="8" t="n">
        <v>0</v>
      </c>
      <c r="N2379" s="7">
        <f>M2379*$J$2388-J2379</f>
        <v/>
      </c>
      <c r="O2379" s="9">
        <f>IF(G2379=0,0,N2379/G2379)</f>
        <v/>
      </c>
      <c r="P2379" s="6">
        <f>IF(M2379&gt;0,D2379,"")</f>
        <v/>
      </c>
      <c r="Q2379" s="9">
        <f>I2379+O2379</f>
        <v/>
      </c>
      <c r="R2379" s="7">
        <f>Q2379*G2379</f>
        <v/>
      </c>
      <c r="S2379" s="8">
        <f>IF($R$2388=0,0,R2379/$R$2388)</f>
        <v/>
      </c>
      <c r="T2379" s="8" t="n">
        <v>0.005960690441265459</v>
      </c>
      <c r="U2379" s="8" t="n">
        <v>0.01488992486624308</v>
      </c>
      <c r="V2379" s="6" t="inlineStr">
        <is>
          <t>not selected</t>
        </is>
      </c>
    </row>
    <row r="2380">
      <c r="A2380" s="6" t="inlineStr">
        <is>
          <t>DJ30</t>
        </is>
      </c>
      <c r="B2380" s="6" t="inlineStr">
        <is>
          <t>2024-06-21</t>
        </is>
      </c>
      <c r="C2380" s="6" t="inlineStr">
        <is>
          <t>DIA</t>
        </is>
      </c>
      <c r="D2380" s="6" t="inlineStr">
        <is>
          <t>NVDA</t>
        </is>
      </c>
      <c r="E2380" s="6" t="inlineStr">
        <is>
          <t>NVDA</t>
        </is>
      </c>
      <c r="F2380" s="6" t="inlineStr">
        <is>
          <t>-</t>
        </is>
      </c>
      <c r="G2380" s="7" t="n">
        <v>126.3617401123047</v>
      </c>
      <c r="H2380" s="6">
        <f>P2349</f>
        <v/>
      </c>
      <c r="I2380" s="9">
        <f>Q2349</f>
        <v/>
      </c>
      <c r="J2380" s="7">
        <f>I2380*G2380</f>
        <v/>
      </c>
      <c r="K2380" s="8">
        <f>IF($J$2388=0,0,J2380/$J$2388)</f>
        <v/>
      </c>
      <c r="L2380" s="6" t="inlineStr">
        <is>
          <t>SELECTED</t>
        </is>
      </c>
      <c r="M2380" s="8" t="n">
        <v>0.2</v>
      </c>
      <c r="N2380" s="7">
        <f>M2380*$J$2388-J2380</f>
        <v/>
      </c>
      <c r="O2380" s="9">
        <f>IF(G2380=0,0,N2380/G2380)</f>
        <v/>
      </c>
      <c r="P2380" s="6">
        <f>IF(M2380&gt;0,D2380,"")</f>
        <v/>
      </c>
      <c r="Q2380" s="9">
        <f>I2380+O2380</f>
        <v/>
      </c>
      <c r="R2380" s="7">
        <f>Q2380*G2380</f>
        <v/>
      </c>
      <c r="S2380" s="8">
        <f>IF($R$2388=0,0,R2380/$R$2388)</f>
        <v/>
      </c>
      <c r="T2380" s="8" t="n">
        <v>0.005960690441265459</v>
      </c>
      <c r="U2380" s="8" t="n">
        <v>0.01488992486624308</v>
      </c>
      <c r="V2380" s="6" t="inlineStr">
        <is>
          <t>remained in weekly selection</t>
        </is>
      </c>
    </row>
    <row r="2381">
      <c r="A2381" s="6" t="inlineStr">
        <is>
          <t>DJ30</t>
        </is>
      </c>
      <c r="B2381" s="6" t="inlineStr">
        <is>
          <t>2024-06-21</t>
        </is>
      </c>
      <c r="C2381" s="6" t="inlineStr">
        <is>
          <t>DIA</t>
        </is>
      </c>
      <c r="D2381" s="6" t="inlineStr">
        <is>
          <t>PG</t>
        </is>
      </c>
      <c r="E2381" s="6" t="inlineStr">
        <is>
          <t>PG</t>
        </is>
      </c>
      <c r="F2381" s="6" t="inlineStr">
        <is>
          <t>-</t>
        </is>
      </c>
      <c r="G2381" s="7" t="n">
        <v>159.6522216796875</v>
      </c>
      <c r="H2381" s="6">
        <f>P2350</f>
        <v/>
      </c>
      <c r="I2381" s="9">
        <f>Q2350</f>
        <v/>
      </c>
      <c r="J2381" s="7">
        <f>I2381*G2381</f>
        <v/>
      </c>
      <c r="K2381" s="8">
        <f>IF($J$2388=0,0,J2381/$J$2388)</f>
        <v/>
      </c>
      <c r="L2381" s="6" t="inlineStr">
        <is>
          <t>WATCHLIST</t>
        </is>
      </c>
      <c r="M2381" s="8" t="n">
        <v>0</v>
      </c>
      <c r="N2381" s="7">
        <f>M2381*$J$2388-J2381</f>
        <v/>
      </c>
      <c r="O2381" s="9">
        <f>IF(G2381=0,0,N2381/G2381)</f>
        <v/>
      </c>
      <c r="P2381" s="6">
        <f>IF(M2381&gt;0,D2381,"")</f>
        <v/>
      </c>
      <c r="Q2381" s="9">
        <f>I2381+O2381</f>
        <v/>
      </c>
      <c r="R2381" s="7">
        <f>Q2381*G2381</f>
        <v/>
      </c>
      <c r="S2381" s="8">
        <f>IF($R$2388=0,0,R2381/$R$2388)</f>
        <v/>
      </c>
      <c r="T2381" s="8" t="n">
        <v>0.005960690441265459</v>
      </c>
      <c r="U2381" s="8" t="n">
        <v>0.01488992486624308</v>
      </c>
      <c r="V2381" s="6" t="inlineStr">
        <is>
          <t>not selected</t>
        </is>
      </c>
    </row>
    <row r="2382">
      <c r="A2382" s="6" t="inlineStr">
        <is>
          <t>DJ30</t>
        </is>
      </c>
      <c r="B2382" s="6" t="inlineStr">
        <is>
          <t>2024-06-21</t>
        </is>
      </c>
      <c r="C2382" s="6" t="inlineStr">
        <is>
          <t>DIA</t>
        </is>
      </c>
      <c r="D2382" s="6" t="inlineStr">
        <is>
          <t>SHW</t>
        </is>
      </c>
      <c r="E2382" s="6" t="inlineStr">
        <is>
          <t>SHW</t>
        </is>
      </c>
      <c r="F2382" s="6" t="inlineStr">
        <is>
          <t>-</t>
        </is>
      </c>
      <c r="G2382" s="7" t="n">
        <v>296.0288391113281</v>
      </c>
      <c r="H2382" s="6">
        <f>P2351</f>
        <v/>
      </c>
      <c r="I2382" s="9">
        <f>Q2351</f>
        <v/>
      </c>
      <c r="J2382" s="7">
        <f>I2382*G2382</f>
        <v/>
      </c>
      <c r="K2382" s="8">
        <f>IF($J$2388=0,0,J2382/$J$2388)</f>
        <v/>
      </c>
      <c r="L2382" s="6" t="inlineStr">
        <is>
          <t>WATCHLIST</t>
        </is>
      </c>
      <c r="M2382" s="8" t="n">
        <v>0</v>
      </c>
      <c r="N2382" s="7">
        <f>M2382*$J$2388-J2382</f>
        <v/>
      </c>
      <c r="O2382" s="9">
        <f>IF(G2382=0,0,N2382/G2382)</f>
        <v/>
      </c>
      <c r="P2382" s="6">
        <f>IF(M2382&gt;0,D2382,"")</f>
        <v/>
      </c>
      <c r="Q2382" s="9">
        <f>I2382+O2382</f>
        <v/>
      </c>
      <c r="R2382" s="7">
        <f>Q2382*G2382</f>
        <v/>
      </c>
      <c r="S2382" s="8">
        <f>IF($R$2388=0,0,R2382/$R$2388)</f>
        <v/>
      </c>
      <c r="T2382" s="8" t="n">
        <v>0.005960690441265459</v>
      </c>
      <c r="U2382" s="8" t="n">
        <v>0.01488992486624308</v>
      </c>
      <c r="V2382" s="6" t="inlineStr">
        <is>
          <t>not selected</t>
        </is>
      </c>
    </row>
    <row r="2383">
      <c r="A2383" s="6" t="inlineStr">
        <is>
          <t>DJ30</t>
        </is>
      </c>
      <c r="B2383" s="6" t="inlineStr">
        <is>
          <t>2024-06-21</t>
        </is>
      </c>
      <c r="C2383" s="6" t="inlineStr">
        <is>
          <t>DIA</t>
        </is>
      </c>
      <c r="D2383" s="6" t="inlineStr">
        <is>
          <t>TRV</t>
        </is>
      </c>
      <c r="E2383" s="6" t="inlineStr">
        <is>
          <t>TRV</t>
        </is>
      </c>
      <c r="F2383" s="6" t="inlineStr">
        <is>
          <t>-</t>
        </is>
      </c>
      <c r="G2383" s="7" t="n">
        <v>203.0861358642578</v>
      </c>
      <c r="H2383" s="6">
        <f>P2352</f>
        <v/>
      </c>
      <c r="I2383" s="9">
        <f>Q2352</f>
        <v/>
      </c>
      <c r="J2383" s="7">
        <f>I2383*G2383</f>
        <v/>
      </c>
      <c r="K2383" s="8">
        <f>IF($J$2388=0,0,J2383/$J$2388)</f>
        <v/>
      </c>
      <c r="L2383" s="6" t="inlineStr">
        <is>
          <t>SELECTED</t>
        </is>
      </c>
      <c r="M2383" s="8" t="n">
        <v>0.2</v>
      </c>
      <c r="N2383" s="7">
        <f>M2383*$J$2388-J2383</f>
        <v/>
      </c>
      <c r="O2383" s="9">
        <f>IF(G2383=0,0,N2383/G2383)</f>
        <v/>
      </c>
      <c r="P2383" s="6">
        <f>IF(M2383&gt;0,D2383,"")</f>
        <v/>
      </c>
      <c r="Q2383" s="9">
        <f>I2383+O2383</f>
        <v/>
      </c>
      <c r="R2383" s="7">
        <f>Q2383*G2383</f>
        <v/>
      </c>
      <c r="S2383" s="8">
        <f>IF($R$2388=0,0,R2383/$R$2388)</f>
        <v/>
      </c>
      <c r="T2383" s="8" t="n">
        <v>0.005960690441265459</v>
      </c>
      <c r="U2383" s="8" t="n">
        <v>0.01488992486624308</v>
      </c>
      <c r="V2383" s="6" t="inlineStr">
        <is>
          <t>remained in weekly selection</t>
        </is>
      </c>
    </row>
    <row r="2384">
      <c r="A2384" s="6" t="inlineStr">
        <is>
          <t>DJ30</t>
        </is>
      </c>
      <c r="B2384" s="6" t="inlineStr">
        <is>
          <t>2024-06-21</t>
        </is>
      </c>
      <c r="C2384" s="6" t="inlineStr">
        <is>
          <t>DIA</t>
        </is>
      </c>
      <c r="D2384" s="6" t="inlineStr">
        <is>
          <t>UNH</t>
        </is>
      </c>
      <c r="E2384" s="6" t="inlineStr">
        <is>
          <t>UNH</t>
        </is>
      </c>
      <c r="F2384" s="6" t="inlineStr">
        <is>
          <t>-</t>
        </is>
      </c>
      <c r="G2384" s="7" t="n">
        <v>461.292236328125</v>
      </c>
      <c r="H2384" s="6">
        <f>P2353</f>
        <v/>
      </c>
      <c r="I2384" s="9">
        <f>Q2353</f>
        <v/>
      </c>
      <c r="J2384" s="7">
        <f>I2384*G2384</f>
        <v/>
      </c>
      <c r="K2384" s="8">
        <f>IF($J$2388=0,0,J2384/$J$2388)</f>
        <v/>
      </c>
      <c r="L2384" s="6" t="inlineStr">
        <is>
          <t>REJECTED</t>
        </is>
      </c>
      <c r="M2384" s="8" t="n">
        <v>0</v>
      </c>
      <c r="N2384" s="7">
        <f>M2384*$J$2388-J2384</f>
        <v/>
      </c>
      <c r="O2384" s="9">
        <f>IF(G2384=0,0,N2384/G2384)</f>
        <v/>
      </c>
      <c r="P2384" s="6">
        <f>IF(M2384&gt;0,D2384,"")</f>
        <v/>
      </c>
      <c r="Q2384" s="9">
        <f>I2384+O2384</f>
        <v/>
      </c>
      <c r="R2384" s="7">
        <f>Q2384*G2384</f>
        <v/>
      </c>
      <c r="S2384" s="8">
        <f>IF($R$2388=0,0,R2384/$R$2388)</f>
        <v/>
      </c>
      <c r="T2384" s="8" t="n">
        <v>0.005960690441265459</v>
      </c>
      <c r="U2384" s="8" t="n">
        <v>0.01488992486624308</v>
      </c>
      <c r="V2384" s="6" t="inlineStr">
        <is>
          <t>not selected</t>
        </is>
      </c>
    </row>
    <row r="2385">
      <c r="A2385" s="6" t="inlineStr">
        <is>
          <t>DJ30</t>
        </is>
      </c>
      <c r="B2385" s="6" t="inlineStr">
        <is>
          <t>2024-06-21</t>
        </is>
      </c>
      <c r="C2385" s="6" t="inlineStr">
        <is>
          <t>DIA</t>
        </is>
      </c>
      <c r="D2385" s="6" t="inlineStr">
        <is>
          <t>V</t>
        </is>
      </c>
      <c r="E2385" s="6" t="inlineStr">
        <is>
          <t>V</t>
        </is>
      </c>
      <c r="F2385" s="6" t="inlineStr">
        <is>
          <t>-</t>
        </is>
      </c>
      <c r="G2385" s="7" t="n">
        <v>271.0924072265625</v>
      </c>
      <c r="H2385" s="6">
        <f>P2354</f>
        <v/>
      </c>
      <c r="I2385" s="9">
        <f>Q2354</f>
        <v/>
      </c>
      <c r="J2385" s="7">
        <f>I2385*G2385</f>
        <v/>
      </c>
      <c r="K2385" s="8">
        <f>IF($J$2388=0,0,J2385/$J$2388)</f>
        <v/>
      </c>
      <c r="L2385" s="6" t="inlineStr">
        <is>
          <t>WATCHLIST</t>
        </is>
      </c>
      <c r="M2385" s="8" t="n">
        <v>0</v>
      </c>
      <c r="N2385" s="7">
        <f>M2385*$J$2388-J2385</f>
        <v/>
      </c>
      <c r="O2385" s="9">
        <f>IF(G2385=0,0,N2385/G2385)</f>
        <v/>
      </c>
      <c r="P2385" s="6">
        <f>IF(M2385&gt;0,D2385,"")</f>
        <v/>
      </c>
      <c r="Q2385" s="9">
        <f>I2385+O2385</f>
        <v/>
      </c>
      <c r="R2385" s="7">
        <f>Q2385*G2385</f>
        <v/>
      </c>
      <c r="S2385" s="8">
        <f>IF($R$2388=0,0,R2385/$R$2388)</f>
        <v/>
      </c>
      <c r="T2385" s="8" t="n">
        <v>0.005960690441265459</v>
      </c>
      <c r="U2385" s="8" t="n">
        <v>0.01488992486624308</v>
      </c>
      <c r="V2385" s="6" t="inlineStr">
        <is>
          <t>not selected</t>
        </is>
      </c>
    </row>
    <row r="2386">
      <c r="A2386" s="6" t="inlineStr">
        <is>
          <t>DJ30</t>
        </is>
      </c>
      <c r="B2386" s="6" t="inlineStr">
        <is>
          <t>2024-06-21</t>
        </is>
      </c>
      <c r="C2386" s="6" t="inlineStr">
        <is>
          <t>DIA</t>
        </is>
      </c>
      <c r="D2386" s="6" t="inlineStr">
        <is>
          <t>VZ</t>
        </is>
      </c>
      <c r="E2386" s="6" t="inlineStr">
        <is>
          <t>VZ</t>
        </is>
      </c>
      <c r="F2386" s="6" t="inlineStr">
        <is>
          <t>-</t>
        </is>
      </c>
      <c r="G2386" s="7" t="n">
        <v>35.31919479370117</v>
      </c>
      <c r="H2386" s="6">
        <f>P2355</f>
        <v/>
      </c>
      <c r="I2386" s="9">
        <f>Q2355</f>
        <v/>
      </c>
      <c r="J2386" s="7">
        <f>I2386*G2386</f>
        <v/>
      </c>
      <c r="K2386" s="8">
        <f>IF($J$2388=0,0,J2386/$J$2388)</f>
        <v/>
      </c>
      <c r="L2386" s="6" t="inlineStr">
        <is>
          <t>WATCHLIST</t>
        </is>
      </c>
      <c r="M2386" s="8" t="n">
        <v>0</v>
      </c>
      <c r="N2386" s="7">
        <f>M2386*$J$2388-J2386</f>
        <v/>
      </c>
      <c r="O2386" s="9">
        <f>IF(G2386=0,0,N2386/G2386)</f>
        <v/>
      </c>
      <c r="P2386" s="6">
        <f>IF(M2386&gt;0,D2386,"")</f>
        <v/>
      </c>
      <c r="Q2386" s="9">
        <f>I2386+O2386</f>
        <v/>
      </c>
      <c r="R2386" s="7">
        <f>Q2386*G2386</f>
        <v/>
      </c>
      <c r="S2386" s="8">
        <f>IF($R$2388=0,0,R2386/$R$2388)</f>
        <v/>
      </c>
      <c r="T2386" s="8" t="n">
        <v>0.005960690441265459</v>
      </c>
      <c r="U2386" s="8" t="n">
        <v>0.01488992486624308</v>
      </c>
      <c r="V2386" s="6" t="inlineStr">
        <is>
          <t>not selected</t>
        </is>
      </c>
    </row>
    <row r="2387">
      <c r="A2387" s="6" t="inlineStr">
        <is>
          <t>DJ30</t>
        </is>
      </c>
      <c r="B2387" s="6" t="inlineStr">
        <is>
          <t>2024-06-21</t>
        </is>
      </c>
      <c r="C2387" s="6" t="inlineStr">
        <is>
          <t>DIA</t>
        </is>
      </c>
      <c r="D2387" s="6" t="inlineStr">
        <is>
          <t>WMT</t>
        </is>
      </c>
      <c r="E2387" s="6" t="inlineStr">
        <is>
          <t>WMT</t>
        </is>
      </c>
      <c r="F2387" s="6" t="inlineStr">
        <is>
          <t>-</t>
        </is>
      </c>
      <c r="G2387" s="7" t="n">
        <v>66.66236114501953</v>
      </c>
      <c r="H2387" s="6">
        <f>P2356</f>
        <v/>
      </c>
      <c r="I2387" s="9">
        <f>Q2356</f>
        <v/>
      </c>
      <c r="J2387" s="7">
        <f>I2387*G2387</f>
        <v/>
      </c>
      <c r="K2387" s="8">
        <f>IF($J$2388=0,0,J2387/$J$2388)</f>
        <v/>
      </c>
      <c r="L2387" s="6" t="inlineStr">
        <is>
          <t>WATCHLIST</t>
        </is>
      </c>
      <c r="M2387" s="8" t="n">
        <v>0</v>
      </c>
      <c r="N2387" s="7">
        <f>M2387*$J$2388-J2387</f>
        <v/>
      </c>
      <c r="O2387" s="9">
        <f>IF(G2387=0,0,N2387/G2387)</f>
        <v/>
      </c>
      <c r="P2387" s="6">
        <f>IF(M2387&gt;0,D2387,"")</f>
        <v/>
      </c>
      <c r="Q2387" s="9">
        <f>I2387+O2387</f>
        <v/>
      </c>
      <c r="R2387" s="7">
        <f>Q2387*G2387</f>
        <v/>
      </c>
      <c r="S2387" s="8">
        <f>IF($R$2388=0,0,R2387/$R$2388)</f>
        <v/>
      </c>
      <c r="T2387" s="8" t="n">
        <v>0.005960690441265459</v>
      </c>
      <c r="U2387" s="8" t="n">
        <v>0.01488992486624308</v>
      </c>
      <c r="V2387" s="6" t="inlineStr">
        <is>
          <t>not selected</t>
        </is>
      </c>
    </row>
    <row r="2388">
      <c r="A2388" s="10" t="inlineStr">
        <is>
          <t>DJ30</t>
        </is>
      </c>
      <c r="B2388" s="10" t="inlineStr">
        <is>
          <t>2024-06-21</t>
        </is>
      </c>
      <c r="C2388" s="10" t="inlineStr">
        <is>
          <t>DIA</t>
        </is>
      </c>
      <c r="D2388" s="10" t="inlineStr">
        <is>
          <t>Tot Portfolio</t>
        </is>
      </c>
      <c r="E2388" s="10" t="inlineStr"/>
      <c r="F2388" s="10" t="inlineStr"/>
      <c r="G2388" s="11" t="inlineStr"/>
      <c r="H2388" s="10" t="inlineStr"/>
      <c r="I2388" s="12" t="inlineStr"/>
      <c r="J2388" s="11">
        <f>SUM(J2358:J2387)</f>
        <v/>
      </c>
      <c r="K2388" s="13">
        <f>SUM(K2358:K2387)</f>
        <v/>
      </c>
      <c r="L2388" s="10" t="inlineStr">
        <is>
          <t>TOTAL</t>
        </is>
      </c>
      <c r="M2388" s="13">
        <f>SUM(M2358:M2387)</f>
        <v/>
      </c>
      <c r="N2388" s="11">
        <f>SUM(N2358:N2387)</f>
        <v/>
      </c>
      <c r="O2388" s="12">
        <f>SUM(O2358:O2387)</f>
        <v/>
      </c>
      <c r="P2388" s="10" t="inlineStr"/>
      <c r="Q2388" s="12" t="inlineStr"/>
      <c r="R2388" s="11">
        <f>SUM(R2358:R2387)</f>
        <v/>
      </c>
      <c r="S2388" s="13">
        <f>SUM(S2358:S2387)</f>
        <v/>
      </c>
      <c r="T2388" s="13" t="n">
        <v>0.005960690441265459</v>
      </c>
      <c r="U2388" s="13" t="n">
        <v>0.01488992486624308</v>
      </c>
      <c r="V2388" s="10" t="inlineStr"/>
    </row>
    <row r="2389">
      <c r="A2389" s="6" t="inlineStr">
        <is>
          <t>DJ30</t>
        </is>
      </c>
      <c r="B2389" s="6" t="inlineStr">
        <is>
          <t>2024-06-28</t>
        </is>
      </c>
      <c r="C2389" s="6" t="inlineStr">
        <is>
          <t>DIA</t>
        </is>
      </c>
      <c r="D2389" s="6" t="inlineStr">
        <is>
          <t>AAPL</t>
        </is>
      </c>
      <c r="E2389" s="6" t="inlineStr">
        <is>
          <t>AAPL</t>
        </is>
      </c>
      <c r="F2389" s="6" t="inlineStr">
        <is>
          <t>-</t>
        </is>
      </c>
      <c r="G2389" s="7" t="n">
        <v>208.8111877441407</v>
      </c>
      <c r="H2389" s="6">
        <f>P2358</f>
        <v/>
      </c>
      <c r="I2389" s="9">
        <f>Q2358</f>
        <v/>
      </c>
      <c r="J2389" s="7">
        <f>I2389*G2389</f>
        <v/>
      </c>
      <c r="K2389" s="8">
        <f>IF($J$2419=0,0,J2389/$J$2419)</f>
        <v/>
      </c>
      <c r="L2389" s="6" t="inlineStr">
        <is>
          <t>REJECTED</t>
        </is>
      </c>
      <c r="M2389" s="8" t="n">
        <v>0</v>
      </c>
      <c r="N2389" s="7">
        <f>M2389*$J$2419-J2389</f>
        <v/>
      </c>
      <c r="O2389" s="9">
        <f>IF(G2389=0,0,N2389/G2389)</f>
        <v/>
      </c>
      <c r="P2389" s="6">
        <f>IF(M2389&gt;0,D2389,"")</f>
        <v/>
      </c>
      <c r="Q2389" s="9">
        <f>I2389+O2389</f>
        <v/>
      </c>
      <c r="R2389" s="7">
        <f>Q2389*G2389</f>
        <v/>
      </c>
      <c r="S2389" s="8">
        <f>IF($R$2419=0,0,R2389/$R$2419)</f>
        <v/>
      </c>
      <c r="T2389" s="8" t="n">
        <v>-0.004568814190195281</v>
      </c>
      <c r="U2389" s="8" t="n">
        <v>-0.0005366217173246035</v>
      </c>
      <c r="V2389" s="6" t="inlineStr">
        <is>
          <t>not selected</t>
        </is>
      </c>
    </row>
    <row r="2390">
      <c r="A2390" s="6" t="inlineStr">
        <is>
          <t>DJ30</t>
        </is>
      </c>
      <c r="B2390" s="6" t="inlineStr">
        <is>
          <t>2024-06-28</t>
        </is>
      </c>
      <c r="C2390" s="6" t="inlineStr">
        <is>
          <t>DIA</t>
        </is>
      </c>
      <c r="D2390" s="6" t="inlineStr">
        <is>
          <t>AMGN</t>
        </is>
      </c>
      <c r="E2390" s="6" t="inlineStr">
        <is>
          <t>AMGN</t>
        </is>
      </c>
      <c r="F2390" s="6" t="inlineStr">
        <is>
          <t>-</t>
        </is>
      </c>
      <c r="G2390" s="7" t="n">
        <v>293.8532104492188</v>
      </c>
      <c r="H2390" s="6">
        <f>P2359</f>
        <v/>
      </c>
      <c r="I2390" s="9">
        <f>Q2359</f>
        <v/>
      </c>
      <c r="J2390" s="7">
        <f>I2390*G2390</f>
        <v/>
      </c>
      <c r="K2390" s="8">
        <f>IF($J$2419=0,0,J2390/$J$2419)</f>
        <v/>
      </c>
      <c r="L2390" s="6" t="inlineStr">
        <is>
          <t>WATCHLIST</t>
        </is>
      </c>
      <c r="M2390" s="8" t="n">
        <v>0</v>
      </c>
      <c r="N2390" s="7">
        <f>M2390*$J$2419-J2390</f>
        <v/>
      </c>
      <c r="O2390" s="9">
        <f>IF(G2390=0,0,N2390/G2390)</f>
        <v/>
      </c>
      <c r="P2390" s="6">
        <f>IF(M2390&gt;0,D2390,"")</f>
        <v/>
      </c>
      <c r="Q2390" s="9">
        <f>I2390+O2390</f>
        <v/>
      </c>
      <c r="R2390" s="7">
        <f>Q2390*G2390</f>
        <v/>
      </c>
      <c r="S2390" s="8">
        <f>IF($R$2419=0,0,R2390/$R$2419)</f>
        <v/>
      </c>
      <c r="T2390" s="8" t="n">
        <v>-0.004568814190195281</v>
      </c>
      <c r="U2390" s="8" t="n">
        <v>-0.0005366217173246035</v>
      </c>
      <c r="V2390" s="6" t="inlineStr">
        <is>
          <t>not selected</t>
        </is>
      </c>
    </row>
    <row r="2391">
      <c r="A2391" s="6" t="inlineStr">
        <is>
          <t>DJ30</t>
        </is>
      </c>
      <c r="B2391" s="6" t="inlineStr">
        <is>
          <t>2024-06-28</t>
        </is>
      </c>
      <c r="C2391" s="6" t="inlineStr">
        <is>
          <t>DIA</t>
        </is>
      </c>
      <c r="D2391" s="6" t="inlineStr">
        <is>
          <t>AMZN</t>
        </is>
      </c>
      <c r="E2391" s="6" t="inlineStr">
        <is>
          <t>AMZN</t>
        </is>
      </c>
      <c r="F2391" s="6" t="inlineStr">
        <is>
          <t>-</t>
        </is>
      </c>
      <c r="G2391" s="7" t="n">
        <v>193.25</v>
      </c>
      <c r="H2391" s="6">
        <f>P2360</f>
        <v/>
      </c>
      <c r="I2391" s="9">
        <f>Q2360</f>
        <v/>
      </c>
      <c r="J2391" s="7">
        <f>I2391*G2391</f>
        <v/>
      </c>
      <c r="K2391" s="8">
        <f>IF($J$2419=0,0,J2391/$J$2419)</f>
        <v/>
      </c>
      <c r="L2391" s="6" t="inlineStr">
        <is>
          <t>SELECTED</t>
        </is>
      </c>
      <c r="M2391" s="8" t="n">
        <v>0.2</v>
      </c>
      <c r="N2391" s="7">
        <f>M2391*$J$2419-J2391</f>
        <v/>
      </c>
      <c r="O2391" s="9">
        <f>IF(G2391=0,0,N2391/G2391)</f>
        <v/>
      </c>
      <c r="P2391" s="6">
        <f>IF(M2391&gt;0,D2391,"")</f>
        <v/>
      </c>
      <c r="Q2391" s="9">
        <f>I2391+O2391</f>
        <v/>
      </c>
      <c r="R2391" s="7">
        <f>Q2391*G2391</f>
        <v/>
      </c>
      <c r="S2391" s="8">
        <f>IF($R$2419=0,0,R2391/$R$2419)</f>
        <v/>
      </c>
      <c r="T2391" s="8" t="n">
        <v>-0.004568814190195281</v>
      </c>
      <c r="U2391" s="8" t="n">
        <v>-0.0005366217173246035</v>
      </c>
      <c r="V2391" s="6" t="inlineStr">
        <is>
          <t>remained in weekly selection</t>
        </is>
      </c>
    </row>
    <row r="2392">
      <c r="A2392" s="6" t="inlineStr">
        <is>
          <t>DJ30</t>
        </is>
      </c>
      <c r="B2392" s="6" t="inlineStr">
        <is>
          <t>2024-06-28</t>
        </is>
      </c>
      <c r="C2392" s="6" t="inlineStr">
        <is>
          <t>DIA</t>
        </is>
      </c>
      <c r="D2392" s="6" t="inlineStr">
        <is>
          <t>AXP</t>
        </is>
      </c>
      <c r="E2392" s="6" t="inlineStr">
        <is>
          <t>AXP</t>
        </is>
      </c>
      <c r="F2392" s="6" t="inlineStr">
        <is>
          <t>-</t>
        </is>
      </c>
      <c r="G2392" s="7" t="n">
        <v>226.5853881835937</v>
      </c>
      <c r="H2392" s="6">
        <f>P2361</f>
        <v/>
      </c>
      <c r="I2392" s="9">
        <f>Q2361</f>
        <v/>
      </c>
      <c r="J2392" s="7">
        <f>I2392*G2392</f>
        <v/>
      </c>
      <c r="K2392" s="8">
        <f>IF($J$2419=0,0,J2392/$J$2419)</f>
        <v/>
      </c>
      <c r="L2392" s="6" t="inlineStr">
        <is>
          <t>SELECTED</t>
        </is>
      </c>
      <c r="M2392" s="8" t="n">
        <v>0.2</v>
      </c>
      <c r="N2392" s="7">
        <f>M2392*$J$2419-J2392</f>
        <v/>
      </c>
      <c r="O2392" s="9">
        <f>IF(G2392=0,0,N2392/G2392)</f>
        <v/>
      </c>
      <c r="P2392" s="6">
        <f>IF(M2392&gt;0,D2392,"")</f>
        <v/>
      </c>
      <c r="Q2392" s="9">
        <f>I2392+O2392</f>
        <v/>
      </c>
      <c r="R2392" s="7">
        <f>Q2392*G2392</f>
        <v/>
      </c>
      <c r="S2392" s="8">
        <f>IF($R$2419=0,0,R2392/$R$2419)</f>
        <v/>
      </c>
      <c r="T2392" s="8" t="n">
        <v>-0.004568814190195281</v>
      </c>
      <c r="U2392" s="8" t="n">
        <v>-0.0005366217173246035</v>
      </c>
      <c r="V2392" s="6" t="inlineStr">
        <is>
          <t>remained in weekly selection</t>
        </is>
      </c>
    </row>
    <row r="2393">
      <c r="A2393" s="6" t="inlineStr">
        <is>
          <t>DJ30</t>
        </is>
      </c>
      <c r="B2393" s="6" t="inlineStr">
        <is>
          <t>2024-06-28</t>
        </is>
      </c>
      <c r="C2393" s="6" t="inlineStr">
        <is>
          <t>DIA</t>
        </is>
      </c>
      <c r="D2393" s="6" t="inlineStr">
        <is>
          <t>BA</t>
        </is>
      </c>
      <c r="E2393" s="6" t="inlineStr">
        <is>
          <t>BA</t>
        </is>
      </c>
      <c r="F2393" s="6" t="inlineStr">
        <is>
          <t>-</t>
        </is>
      </c>
      <c r="G2393" s="7" t="n">
        <v>182.009994506836</v>
      </c>
      <c r="H2393" s="6">
        <f>P2362</f>
        <v/>
      </c>
      <c r="I2393" s="9">
        <f>Q2362</f>
        <v/>
      </c>
      <c r="J2393" s="7">
        <f>I2393*G2393</f>
        <v/>
      </c>
      <c r="K2393" s="8">
        <f>IF($J$2419=0,0,J2393/$J$2419)</f>
        <v/>
      </c>
      <c r="L2393" s="6" t="inlineStr">
        <is>
          <t>REJECTED</t>
        </is>
      </c>
      <c r="M2393" s="8" t="n">
        <v>0</v>
      </c>
      <c r="N2393" s="7">
        <f>M2393*$J$2419-J2393</f>
        <v/>
      </c>
      <c r="O2393" s="9">
        <f>IF(G2393=0,0,N2393/G2393)</f>
        <v/>
      </c>
      <c r="P2393" s="6">
        <f>IF(M2393&gt;0,D2393,"")</f>
        <v/>
      </c>
      <c r="Q2393" s="9">
        <f>I2393+O2393</f>
        <v/>
      </c>
      <c r="R2393" s="7">
        <f>Q2393*G2393</f>
        <v/>
      </c>
      <c r="S2393" s="8">
        <f>IF($R$2419=0,0,R2393/$R$2419)</f>
        <v/>
      </c>
      <c r="T2393" s="8" t="n">
        <v>-0.004568814190195281</v>
      </c>
      <c r="U2393" s="8" t="n">
        <v>-0.0005366217173246035</v>
      </c>
      <c r="V2393" s="6" t="inlineStr">
        <is>
          <t>not selected</t>
        </is>
      </c>
    </row>
    <row r="2394">
      <c r="A2394" s="6" t="inlineStr">
        <is>
          <t>DJ30</t>
        </is>
      </c>
      <c r="B2394" s="6" t="inlineStr">
        <is>
          <t>2024-06-28</t>
        </is>
      </c>
      <c r="C2394" s="6" t="inlineStr">
        <is>
          <t>DIA</t>
        </is>
      </c>
      <c r="D2394" s="6" t="inlineStr">
        <is>
          <t>CAT</t>
        </is>
      </c>
      <c r="E2394" s="6" t="inlineStr">
        <is>
          <t>CAT</t>
        </is>
      </c>
      <c r="F2394" s="6" t="inlineStr">
        <is>
          <t>-</t>
        </is>
      </c>
      <c r="G2394" s="7" t="n">
        <v>324.2662353515625</v>
      </c>
      <c r="H2394" s="6">
        <f>P2363</f>
        <v/>
      </c>
      <c r="I2394" s="9">
        <f>Q2363</f>
        <v/>
      </c>
      <c r="J2394" s="7">
        <f>I2394*G2394</f>
        <v/>
      </c>
      <c r="K2394" s="8">
        <f>IF($J$2419=0,0,J2394/$J$2419)</f>
        <v/>
      </c>
      <c r="L2394" s="6" t="inlineStr">
        <is>
          <t>WATCHLIST</t>
        </is>
      </c>
      <c r="M2394" s="8" t="n">
        <v>0</v>
      </c>
      <c r="N2394" s="7">
        <f>M2394*$J$2419-J2394</f>
        <v/>
      </c>
      <c r="O2394" s="9">
        <f>IF(G2394=0,0,N2394/G2394)</f>
        <v/>
      </c>
      <c r="P2394" s="6">
        <f>IF(M2394&gt;0,D2394,"")</f>
        <v/>
      </c>
      <c r="Q2394" s="9">
        <f>I2394+O2394</f>
        <v/>
      </c>
      <c r="R2394" s="7">
        <f>Q2394*G2394</f>
        <v/>
      </c>
      <c r="S2394" s="8">
        <f>IF($R$2419=0,0,R2394/$R$2419)</f>
        <v/>
      </c>
      <c r="T2394" s="8" t="n">
        <v>-0.004568814190195281</v>
      </c>
      <c r="U2394" s="8" t="n">
        <v>-0.0005366217173246035</v>
      </c>
      <c r="V2394" s="6" t="inlineStr">
        <is>
          <t>not selected</t>
        </is>
      </c>
    </row>
    <row r="2395">
      <c r="A2395" s="6" t="inlineStr">
        <is>
          <t>DJ30</t>
        </is>
      </c>
      <c r="B2395" s="6" t="inlineStr">
        <is>
          <t>2024-06-28</t>
        </is>
      </c>
      <c r="C2395" s="6" t="inlineStr">
        <is>
          <t>DIA</t>
        </is>
      </c>
      <c r="D2395" s="6" t="inlineStr">
        <is>
          <t>CRM</t>
        </is>
      </c>
      <c r="E2395" s="6" t="inlineStr">
        <is>
          <t>CRM</t>
        </is>
      </c>
      <c r="F2395" s="6" t="inlineStr">
        <is>
          <t>-</t>
        </is>
      </c>
      <c r="G2395" s="7" t="n">
        <v>253.057846069336</v>
      </c>
      <c r="H2395" s="6">
        <f>P2364</f>
        <v/>
      </c>
      <c r="I2395" s="9">
        <f>Q2364</f>
        <v/>
      </c>
      <c r="J2395" s="7">
        <f>I2395*G2395</f>
        <v/>
      </c>
      <c r="K2395" s="8">
        <f>IF($J$2419=0,0,J2395/$J$2419)</f>
        <v/>
      </c>
      <c r="L2395" s="6" t="inlineStr">
        <is>
          <t>WATCHLIST</t>
        </is>
      </c>
      <c r="M2395" s="8" t="n">
        <v>0</v>
      </c>
      <c r="N2395" s="7">
        <f>M2395*$J$2419-J2395</f>
        <v/>
      </c>
      <c r="O2395" s="9">
        <f>IF(G2395=0,0,N2395/G2395)</f>
        <v/>
      </c>
      <c r="P2395" s="6">
        <f>IF(M2395&gt;0,D2395,"")</f>
        <v/>
      </c>
      <c r="Q2395" s="9">
        <f>I2395+O2395</f>
        <v/>
      </c>
      <c r="R2395" s="7">
        <f>Q2395*G2395</f>
        <v/>
      </c>
      <c r="S2395" s="8">
        <f>IF($R$2419=0,0,R2395/$R$2419)</f>
        <v/>
      </c>
      <c r="T2395" s="8" t="n">
        <v>-0.004568814190195281</v>
      </c>
      <c r="U2395" s="8" t="n">
        <v>-0.0005366217173246035</v>
      </c>
      <c r="V2395" s="6" t="inlineStr">
        <is>
          <t>not selected</t>
        </is>
      </c>
    </row>
    <row r="2396">
      <c r="A2396" s="6" t="inlineStr">
        <is>
          <t>DJ30</t>
        </is>
      </c>
      <c r="B2396" s="6" t="inlineStr">
        <is>
          <t>2024-06-28</t>
        </is>
      </c>
      <c r="C2396" s="6" t="inlineStr">
        <is>
          <t>DIA</t>
        </is>
      </c>
      <c r="D2396" s="6" t="inlineStr">
        <is>
          <t>CSCO</t>
        </is>
      </c>
      <c r="E2396" s="6" t="inlineStr">
        <is>
          <t>CSCO</t>
        </is>
      </c>
      <c r="F2396" s="6" t="inlineStr">
        <is>
          <t>-</t>
        </is>
      </c>
      <c r="G2396" s="7" t="n">
        <v>45.08701705932617</v>
      </c>
      <c r="H2396" s="6">
        <f>P2365</f>
        <v/>
      </c>
      <c r="I2396" s="9">
        <f>Q2365</f>
        <v/>
      </c>
      <c r="J2396" s="7">
        <f>I2396*G2396</f>
        <v/>
      </c>
      <c r="K2396" s="8">
        <f>IF($J$2419=0,0,J2396/$J$2419)</f>
        <v/>
      </c>
      <c r="L2396" s="6" t="inlineStr">
        <is>
          <t>REJECTED</t>
        </is>
      </c>
      <c r="M2396" s="8" t="n">
        <v>0</v>
      </c>
      <c r="N2396" s="7">
        <f>M2396*$J$2419-J2396</f>
        <v/>
      </c>
      <c r="O2396" s="9">
        <f>IF(G2396=0,0,N2396/G2396)</f>
        <v/>
      </c>
      <c r="P2396" s="6">
        <f>IF(M2396&gt;0,D2396,"")</f>
        <v/>
      </c>
      <c r="Q2396" s="9">
        <f>I2396+O2396</f>
        <v/>
      </c>
      <c r="R2396" s="7">
        <f>Q2396*G2396</f>
        <v/>
      </c>
      <c r="S2396" s="8">
        <f>IF($R$2419=0,0,R2396/$R$2419)</f>
        <v/>
      </c>
      <c r="T2396" s="8" t="n">
        <v>-0.004568814190195281</v>
      </c>
      <c r="U2396" s="8" t="n">
        <v>-0.0005366217173246035</v>
      </c>
      <c r="V2396" s="6" t="inlineStr">
        <is>
          <t>not selected</t>
        </is>
      </c>
    </row>
    <row r="2397">
      <c r="A2397" s="6" t="inlineStr">
        <is>
          <t>DJ30</t>
        </is>
      </c>
      <c r="B2397" s="6" t="inlineStr">
        <is>
          <t>2024-06-28</t>
        </is>
      </c>
      <c r="C2397" s="6" t="inlineStr">
        <is>
          <t>DIA</t>
        </is>
      </c>
      <c r="D2397" s="6" t="inlineStr">
        <is>
          <t>CVX</t>
        </is>
      </c>
      <c r="E2397" s="6" t="inlineStr">
        <is>
          <t>CVX</t>
        </is>
      </c>
      <c r="F2397" s="6" t="inlineStr">
        <is>
          <t>-</t>
        </is>
      </c>
      <c r="G2397" s="7" t="n">
        <v>143.6096496582031</v>
      </c>
      <c r="H2397" s="6">
        <f>P2366</f>
        <v/>
      </c>
      <c r="I2397" s="9">
        <f>Q2366</f>
        <v/>
      </c>
      <c r="J2397" s="7">
        <f>I2397*G2397</f>
        <v/>
      </c>
      <c r="K2397" s="8">
        <f>IF($J$2419=0,0,J2397/$J$2419)</f>
        <v/>
      </c>
      <c r="L2397" s="6" t="inlineStr">
        <is>
          <t>REJECTED</t>
        </is>
      </c>
      <c r="M2397" s="8" t="n">
        <v>0</v>
      </c>
      <c r="N2397" s="7">
        <f>M2397*$J$2419-J2397</f>
        <v/>
      </c>
      <c r="O2397" s="9">
        <f>IF(G2397=0,0,N2397/G2397)</f>
        <v/>
      </c>
      <c r="P2397" s="6">
        <f>IF(M2397&gt;0,D2397,"")</f>
        <v/>
      </c>
      <c r="Q2397" s="9">
        <f>I2397+O2397</f>
        <v/>
      </c>
      <c r="R2397" s="7">
        <f>Q2397*G2397</f>
        <v/>
      </c>
      <c r="S2397" s="8">
        <f>IF($R$2419=0,0,R2397/$R$2419)</f>
        <v/>
      </c>
      <c r="T2397" s="8" t="n">
        <v>-0.004568814190195281</v>
      </c>
      <c r="U2397" s="8" t="n">
        <v>-0.0005366217173246035</v>
      </c>
      <c r="V2397" s="6" t="inlineStr">
        <is>
          <t>not selected</t>
        </is>
      </c>
    </row>
    <row r="2398">
      <c r="A2398" s="6" t="inlineStr">
        <is>
          <t>DJ30</t>
        </is>
      </c>
      <c r="B2398" s="6" t="inlineStr">
        <is>
          <t>2024-06-28</t>
        </is>
      </c>
      <c r="C2398" s="6" t="inlineStr">
        <is>
          <t>DIA</t>
        </is>
      </c>
      <c r="D2398" s="6" t="inlineStr">
        <is>
          <t>DIS</t>
        </is>
      </c>
      <c r="E2398" s="6" t="inlineStr">
        <is>
          <t>DIS</t>
        </is>
      </c>
      <c r="F2398" s="6" t="inlineStr">
        <is>
          <t>-</t>
        </is>
      </c>
      <c r="G2398" s="7" t="n">
        <v>97.3217315673828</v>
      </c>
      <c r="H2398" s="6">
        <f>P2367</f>
        <v/>
      </c>
      <c r="I2398" s="9">
        <f>Q2367</f>
        <v/>
      </c>
      <c r="J2398" s="7">
        <f>I2398*G2398</f>
        <v/>
      </c>
      <c r="K2398" s="8">
        <f>IF($J$2419=0,0,J2398/$J$2419)</f>
        <v/>
      </c>
      <c r="L2398" s="6" t="inlineStr">
        <is>
          <t>WATCHLIST</t>
        </is>
      </c>
      <c r="M2398" s="8" t="n">
        <v>0</v>
      </c>
      <c r="N2398" s="7">
        <f>M2398*$J$2419-J2398</f>
        <v/>
      </c>
      <c r="O2398" s="9">
        <f>IF(G2398=0,0,N2398/G2398)</f>
        <v/>
      </c>
      <c r="P2398" s="6">
        <f>IF(M2398&gt;0,D2398,"")</f>
        <v/>
      </c>
      <c r="Q2398" s="9">
        <f>I2398+O2398</f>
        <v/>
      </c>
      <c r="R2398" s="7">
        <f>Q2398*G2398</f>
        <v/>
      </c>
      <c r="S2398" s="8">
        <f>IF($R$2419=0,0,R2398/$R$2419)</f>
        <v/>
      </c>
      <c r="T2398" s="8" t="n">
        <v>-0.004568814190195281</v>
      </c>
      <c r="U2398" s="8" t="n">
        <v>-0.0005366217173246035</v>
      </c>
      <c r="V2398" s="6" t="inlineStr">
        <is>
          <t>not selected</t>
        </is>
      </c>
    </row>
    <row r="2399">
      <c r="A2399" s="6" t="inlineStr">
        <is>
          <t>DJ30</t>
        </is>
      </c>
      <c r="B2399" s="6" t="inlineStr">
        <is>
          <t>2024-06-28</t>
        </is>
      </c>
      <c r="C2399" s="6" t="inlineStr">
        <is>
          <t>DIA</t>
        </is>
      </c>
      <c r="D2399" s="6" t="inlineStr">
        <is>
          <t>GS</t>
        </is>
      </c>
      <c r="E2399" s="6" t="inlineStr">
        <is>
          <t>GS</t>
        </is>
      </c>
      <c r="F2399" s="6" t="inlineStr">
        <is>
          <t>-</t>
        </is>
      </c>
      <c r="G2399" s="7" t="n">
        <v>434.2847290039063</v>
      </c>
      <c r="H2399" s="6">
        <f>P2368</f>
        <v/>
      </c>
      <c r="I2399" s="9">
        <f>Q2368</f>
        <v/>
      </c>
      <c r="J2399" s="7">
        <f>I2399*G2399</f>
        <v/>
      </c>
      <c r="K2399" s="8">
        <f>IF($J$2419=0,0,J2399/$J$2419)</f>
        <v/>
      </c>
      <c r="L2399" s="6" t="inlineStr">
        <is>
          <t>SELECTED</t>
        </is>
      </c>
      <c r="M2399" s="8" t="n">
        <v>0.2</v>
      </c>
      <c r="N2399" s="7">
        <f>M2399*$J$2419-J2399</f>
        <v/>
      </c>
      <c r="O2399" s="9">
        <f>IF(G2399=0,0,N2399/G2399)</f>
        <v/>
      </c>
      <c r="P2399" s="6">
        <f>IF(M2399&gt;0,D2399,"")</f>
        <v/>
      </c>
      <c r="Q2399" s="9">
        <f>I2399+O2399</f>
        <v/>
      </c>
      <c r="R2399" s="7">
        <f>Q2399*G2399</f>
        <v/>
      </c>
      <c r="S2399" s="8">
        <f>IF($R$2419=0,0,R2399/$R$2419)</f>
        <v/>
      </c>
      <c r="T2399" s="8" t="n">
        <v>-0.004568814190195281</v>
      </c>
      <c r="U2399" s="8" t="n">
        <v>-0.0005366217173246035</v>
      </c>
      <c r="V2399" s="6" t="inlineStr">
        <is>
          <t>remained in weekly selection</t>
        </is>
      </c>
    </row>
    <row r="2400">
      <c r="A2400" s="6" t="inlineStr">
        <is>
          <t>DJ30</t>
        </is>
      </c>
      <c r="B2400" s="6" t="inlineStr">
        <is>
          <t>2024-06-28</t>
        </is>
      </c>
      <c r="C2400" s="6" t="inlineStr">
        <is>
          <t>DIA</t>
        </is>
      </c>
      <c r="D2400" s="6" t="inlineStr">
        <is>
          <t>HD</t>
        </is>
      </c>
      <c r="E2400" s="6" t="inlineStr">
        <is>
          <t>HD</t>
        </is>
      </c>
      <c r="F2400" s="6" t="inlineStr">
        <is>
          <t>-</t>
        </is>
      </c>
      <c r="G2400" s="7" t="n">
        <v>327.4285583496094</v>
      </c>
      <c r="H2400" s="6">
        <f>P2369</f>
        <v/>
      </c>
      <c r="I2400" s="9">
        <f>Q2369</f>
        <v/>
      </c>
      <c r="J2400" s="7">
        <f>I2400*G2400</f>
        <v/>
      </c>
      <c r="K2400" s="8">
        <f>IF($J$2419=0,0,J2400/$J$2419)</f>
        <v/>
      </c>
      <c r="L2400" s="6" t="inlineStr">
        <is>
          <t>WATCHLIST</t>
        </is>
      </c>
      <c r="M2400" s="8" t="n">
        <v>0</v>
      </c>
      <c r="N2400" s="7">
        <f>M2400*$J$2419-J2400</f>
        <v/>
      </c>
      <c r="O2400" s="9">
        <f>IF(G2400=0,0,N2400/G2400)</f>
        <v/>
      </c>
      <c r="P2400" s="6">
        <f>IF(M2400&gt;0,D2400,"")</f>
        <v/>
      </c>
      <c r="Q2400" s="9">
        <f>I2400+O2400</f>
        <v/>
      </c>
      <c r="R2400" s="7">
        <f>Q2400*G2400</f>
        <v/>
      </c>
      <c r="S2400" s="8">
        <f>IF($R$2419=0,0,R2400/$R$2419)</f>
        <v/>
      </c>
      <c r="T2400" s="8" t="n">
        <v>-0.004568814190195281</v>
      </c>
      <c r="U2400" s="8" t="n">
        <v>-0.0005366217173246035</v>
      </c>
      <c r="V2400" s="6" t="inlineStr">
        <is>
          <t>not selected</t>
        </is>
      </c>
    </row>
    <row r="2401">
      <c r="A2401" s="6" t="inlineStr">
        <is>
          <t>DJ30</t>
        </is>
      </c>
      <c r="B2401" s="6" t="inlineStr">
        <is>
          <t>2024-06-28</t>
        </is>
      </c>
      <c r="C2401" s="6" t="inlineStr">
        <is>
          <t>DIA</t>
        </is>
      </c>
      <c r="D2401" s="6" t="inlineStr">
        <is>
          <t>HON</t>
        </is>
      </c>
      <c r="E2401" s="6" t="inlineStr">
        <is>
          <t>HON</t>
        </is>
      </c>
      <c r="F2401" s="6" t="inlineStr">
        <is>
          <t>-</t>
        </is>
      </c>
      <c r="G2401" s="7" t="n">
        <v>192.9080505371093</v>
      </c>
      <c r="H2401" s="6">
        <f>P2370</f>
        <v/>
      </c>
      <c r="I2401" s="9">
        <f>Q2370</f>
        <v/>
      </c>
      <c r="J2401" s="7">
        <f>I2401*G2401</f>
        <v/>
      </c>
      <c r="K2401" s="8">
        <f>IF($J$2419=0,0,J2401/$J$2419)</f>
        <v/>
      </c>
      <c r="L2401" s="6" t="inlineStr">
        <is>
          <t>WATCHLIST</t>
        </is>
      </c>
      <c r="M2401" s="8" t="n">
        <v>0</v>
      </c>
      <c r="N2401" s="7">
        <f>M2401*$J$2419-J2401</f>
        <v/>
      </c>
      <c r="O2401" s="9">
        <f>IF(G2401=0,0,N2401/G2401)</f>
        <v/>
      </c>
      <c r="P2401" s="6">
        <f>IF(M2401&gt;0,D2401,"")</f>
        <v/>
      </c>
      <c r="Q2401" s="9">
        <f>I2401+O2401</f>
        <v/>
      </c>
      <c r="R2401" s="7">
        <f>Q2401*G2401</f>
        <v/>
      </c>
      <c r="S2401" s="8">
        <f>IF($R$2419=0,0,R2401/$R$2419)</f>
        <v/>
      </c>
      <c r="T2401" s="8" t="n">
        <v>-0.004568814190195281</v>
      </c>
      <c r="U2401" s="8" t="n">
        <v>-0.0005366217173246035</v>
      </c>
      <c r="V2401" s="6" t="inlineStr">
        <is>
          <t>not selected</t>
        </is>
      </c>
    </row>
    <row r="2402">
      <c r="A2402" s="6" t="inlineStr">
        <is>
          <t>DJ30</t>
        </is>
      </c>
      <c r="B2402" s="6" t="inlineStr">
        <is>
          <t>2024-06-28</t>
        </is>
      </c>
      <c r="C2402" s="6" t="inlineStr">
        <is>
          <t>DIA</t>
        </is>
      </c>
      <c r="D2402" s="6" t="inlineStr">
        <is>
          <t>IBM</t>
        </is>
      </c>
      <c r="E2402" s="6" t="inlineStr">
        <is>
          <t>IBM</t>
        </is>
      </c>
      <c r="F2402" s="6" t="inlineStr">
        <is>
          <t>-</t>
        </is>
      </c>
      <c r="G2402" s="7" t="n">
        <v>163.6805114746094</v>
      </c>
      <c r="H2402" s="6">
        <f>P2371</f>
        <v/>
      </c>
      <c r="I2402" s="9">
        <f>Q2371</f>
        <v/>
      </c>
      <c r="J2402" s="7">
        <f>I2402*G2402</f>
        <v/>
      </c>
      <c r="K2402" s="8">
        <f>IF($J$2419=0,0,J2402/$J$2419)</f>
        <v/>
      </c>
      <c r="L2402" s="6" t="inlineStr">
        <is>
          <t>WATCHLIST</t>
        </is>
      </c>
      <c r="M2402" s="8" t="n">
        <v>0</v>
      </c>
      <c r="N2402" s="7">
        <f>M2402*$J$2419-J2402</f>
        <v/>
      </c>
      <c r="O2402" s="9">
        <f>IF(G2402=0,0,N2402/G2402)</f>
        <v/>
      </c>
      <c r="P2402" s="6">
        <f>IF(M2402&gt;0,D2402,"")</f>
        <v/>
      </c>
      <c r="Q2402" s="9">
        <f>I2402+O2402</f>
        <v/>
      </c>
      <c r="R2402" s="7">
        <f>Q2402*G2402</f>
        <v/>
      </c>
      <c r="S2402" s="8">
        <f>IF($R$2419=0,0,R2402/$R$2419)</f>
        <v/>
      </c>
      <c r="T2402" s="8" t="n">
        <v>-0.004568814190195281</v>
      </c>
      <c r="U2402" s="8" t="n">
        <v>-0.0005366217173246035</v>
      </c>
      <c r="V2402" s="6" t="inlineStr">
        <is>
          <t>not selected</t>
        </is>
      </c>
    </row>
    <row r="2403">
      <c r="A2403" s="6" t="inlineStr">
        <is>
          <t>DJ30</t>
        </is>
      </c>
      <c r="B2403" s="6" t="inlineStr">
        <is>
          <t>2024-06-28</t>
        </is>
      </c>
      <c r="C2403" s="6" t="inlineStr">
        <is>
          <t>DIA</t>
        </is>
      </c>
      <c r="D2403" s="6" t="inlineStr">
        <is>
          <t>JNJ</t>
        </is>
      </c>
      <c r="E2403" s="6" t="inlineStr">
        <is>
          <t>JNJ</t>
        </is>
      </c>
      <c r="F2403" s="6" t="inlineStr">
        <is>
          <t>-</t>
        </is>
      </c>
      <c r="G2403" s="7" t="n">
        <v>138.0975799560547</v>
      </c>
      <c r="H2403" s="6">
        <f>P2372</f>
        <v/>
      </c>
      <c r="I2403" s="9">
        <f>Q2372</f>
        <v/>
      </c>
      <c r="J2403" s="7">
        <f>I2403*G2403</f>
        <v/>
      </c>
      <c r="K2403" s="8">
        <f>IF($J$2419=0,0,J2403/$J$2419)</f>
        <v/>
      </c>
      <c r="L2403" s="6" t="inlineStr">
        <is>
          <t>REJECTED</t>
        </is>
      </c>
      <c r="M2403" s="8" t="n">
        <v>0</v>
      </c>
      <c r="N2403" s="7">
        <f>M2403*$J$2419-J2403</f>
        <v/>
      </c>
      <c r="O2403" s="9">
        <f>IF(G2403=0,0,N2403/G2403)</f>
        <v/>
      </c>
      <c r="P2403" s="6">
        <f>IF(M2403&gt;0,D2403,"")</f>
        <v/>
      </c>
      <c r="Q2403" s="9">
        <f>I2403+O2403</f>
        <v/>
      </c>
      <c r="R2403" s="7">
        <f>Q2403*G2403</f>
        <v/>
      </c>
      <c r="S2403" s="8">
        <f>IF($R$2419=0,0,R2403/$R$2419)</f>
        <v/>
      </c>
      <c r="T2403" s="8" t="n">
        <v>-0.004568814190195281</v>
      </c>
      <c r="U2403" s="8" t="n">
        <v>-0.0005366217173246035</v>
      </c>
      <c r="V2403" s="6" t="inlineStr">
        <is>
          <t>not selected</t>
        </is>
      </c>
    </row>
    <row r="2404">
      <c r="A2404" s="6" t="inlineStr">
        <is>
          <t>DJ30</t>
        </is>
      </c>
      <c r="B2404" s="6" t="inlineStr">
        <is>
          <t>2024-06-28</t>
        </is>
      </c>
      <c r="C2404" s="6" t="inlineStr">
        <is>
          <t>DIA</t>
        </is>
      </c>
      <c r="D2404" s="6" t="inlineStr">
        <is>
          <t>JPM</t>
        </is>
      </c>
      <c r="E2404" s="6" t="inlineStr">
        <is>
          <t>JPM</t>
        </is>
      </c>
      <c r="F2404" s="6" t="inlineStr">
        <is>
          <t>-</t>
        </is>
      </c>
      <c r="G2404" s="7" t="n">
        <v>193.9044799804688</v>
      </c>
      <c r="H2404" s="6">
        <f>P2373</f>
        <v/>
      </c>
      <c r="I2404" s="9">
        <f>Q2373</f>
        <v/>
      </c>
      <c r="J2404" s="7">
        <f>I2404*G2404</f>
        <v/>
      </c>
      <c r="K2404" s="8">
        <f>IF($J$2419=0,0,J2404/$J$2419)</f>
        <v/>
      </c>
      <c r="L2404" s="6" t="inlineStr">
        <is>
          <t>WATCHLIST</t>
        </is>
      </c>
      <c r="M2404" s="8" t="n">
        <v>0</v>
      </c>
      <c r="N2404" s="7">
        <f>M2404*$J$2419-J2404</f>
        <v/>
      </c>
      <c r="O2404" s="9">
        <f>IF(G2404=0,0,N2404/G2404)</f>
        <v/>
      </c>
      <c r="P2404" s="6">
        <f>IF(M2404&gt;0,D2404,"")</f>
        <v/>
      </c>
      <c r="Q2404" s="9">
        <f>I2404+O2404</f>
        <v/>
      </c>
      <c r="R2404" s="7">
        <f>Q2404*G2404</f>
        <v/>
      </c>
      <c r="S2404" s="8">
        <f>IF($R$2419=0,0,R2404/$R$2419)</f>
        <v/>
      </c>
      <c r="T2404" s="8" t="n">
        <v>-0.004568814190195281</v>
      </c>
      <c r="U2404" s="8" t="n">
        <v>-0.0005366217173246035</v>
      </c>
      <c r="V2404" s="6" t="inlineStr">
        <is>
          <t>not selected</t>
        </is>
      </c>
    </row>
    <row r="2405">
      <c r="A2405" s="6" t="inlineStr">
        <is>
          <t>DJ30</t>
        </is>
      </c>
      <c r="B2405" s="6" t="inlineStr">
        <is>
          <t>2024-06-28</t>
        </is>
      </c>
      <c r="C2405" s="6" t="inlineStr">
        <is>
          <t>DIA</t>
        </is>
      </c>
      <c r="D2405" s="6" t="inlineStr">
        <is>
          <t>KO</t>
        </is>
      </c>
      <c r="E2405" s="6" t="inlineStr">
        <is>
          <t>KO</t>
        </is>
      </c>
      <c r="F2405" s="6" t="inlineStr">
        <is>
          <t>-</t>
        </is>
      </c>
      <c r="G2405" s="7" t="n">
        <v>60.13828277587891</v>
      </c>
      <c r="H2405" s="6">
        <f>P2374</f>
        <v/>
      </c>
      <c r="I2405" s="9">
        <f>Q2374</f>
        <v/>
      </c>
      <c r="J2405" s="7">
        <f>I2405*G2405</f>
        <v/>
      </c>
      <c r="K2405" s="8">
        <f>IF($J$2419=0,0,J2405/$J$2419)</f>
        <v/>
      </c>
      <c r="L2405" s="6" t="inlineStr">
        <is>
          <t>WATCHLIST</t>
        </is>
      </c>
      <c r="M2405" s="8" t="n">
        <v>0</v>
      </c>
      <c r="N2405" s="7">
        <f>M2405*$J$2419-J2405</f>
        <v/>
      </c>
      <c r="O2405" s="9">
        <f>IF(G2405=0,0,N2405/G2405)</f>
        <v/>
      </c>
      <c r="P2405" s="6">
        <f>IF(M2405&gt;0,D2405,"")</f>
        <v/>
      </c>
      <c r="Q2405" s="9">
        <f>I2405+O2405</f>
        <v/>
      </c>
      <c r="R2405" s="7">
        <f>Q2405*G2405</f>
        <v/>
      </c>
      <c r="S2405" s="8">
        <f>IF($R$2419=0,0,R2405/$R$2419)</f>
        <v/>
      </c>
      <c r="T2405" s="8" t="n">
        <v>-0.004568814190195281</v>
      </c>
      <c r="U2405" s="8" t="n">
        <v>-0.0005366217173246035</v>
      </c>
      <c r="V2405" s="6" t="inlineStr">
        <is>
          <t>not selected</t>
        </is>
      </c>
    </row>
    <row r="2406">
      <c r="A2406" s="6" t="inlineStr">
        <is>
          <t>DJ30</t>
        </is>
      </c>
      <c r="B2406" s="6" t="inlineStr">
        <is>
          <t>2024-06-28</t>
        </is>
      </c>
      <c r="C2406" s="6" t="inlineStr">
        <is>
          <t>DIA</t>
        </is>
      </c>
      <c r="D2406" s="6" t="inlineStr">
        <is>
          <t>MCD</t>
        </is>
      </c>
      <c r="E2406" s="6" t="inlineStr">
        <is>
          <t>MCD</t>
        </is>
      </c>
      <c r="F2406" s="6" t="inlineStr">
        <is>
          <t>-</t>
        </is>
      </c>
      <c r="G2406" s="7" t="n">
        <v>243.0943450927734</v>
      </c>
      <c r="H2406" s="6">
        <f>P2375</f>
        <v/>
      </c>
      <c r="I2406" s="9">
        <f>Q2375</f>
        <v/>
      </c>
      <c r="J2406" s="7">
        <f>I2406*G2406</f>
        <v/>
      </c>
      <c r="K2406" s="8">
        <f>IF($J$2419=0,0,J2406/$J$2419)</f>
        <v/>
      </c>
      <c r="L2406" s="6" t="inlineStr">
        <is>
          <t>REJECTED</t>
        </is>
      </c>
      <c r="M2406" s="8" t="n">
        <v>0</v>
      </c>
      <c r="N2406" s="7">
        <f>M2406*$J$2419-J2406</f>
        <v/>
      </c>
      <c r="O2406" s="9">
        <f>IF(G2406=0,0,N2406/G2406)</f>
        <v/>
      </c>
      <c r="P2406" s="6">
        <f>IF(M2406&gt;0,D2406,"")</f>
        <v/>
      </c>
      <c r="Q2406" s="9">
        <f>I2406+O2406</f>
        <v/>
      </c>
      <c r="R2406" s="7">
        <f>Q2406*G2406</f>
        <v/>
      </c>
      <c r="S2406" s="8">
        <f>IF($R$2419=0,0,R2406/$R$2419)</f>
        <v/>
      </c>
      <c r="T2406" s="8" t="n">
        <v>-0.004568814190195281</v>
      </c>
      <c r="U2406" s="8" t="n">
        <v>-0.0005366217173246035</v>
      </c>
      <c r="V2406" s="6" t="inlineStr">
        <is>
          <t>not selected</t>
        </is>
      </c>
    </row>
    <row r="2407">
      <c r="A2407" s="6" t="inlineStr">
        <is>
          <t>DJ30</t>
        </is>
      </c>
      <c r="B2407" s="6" t="inlineStr">
        <is>
          <t>2024-06-28</t>
        </is>
      </c>
      <c r="C2407" s="6" t="inlineStr">
        <is>
          <t>DIA</t>
        </is>
      </c>
      <c r="D2407" s="6" t="inlineStr">
        <is>
          <t>MMM</t>
        </is>
      </c>
      <c r="E2407" s="6" t="inlineStr">
        <is>
          <t>MMM</t>
        </is>
      </c>
      <c r="F2407" s="6" t="inlineStr">
        <is>
          <t>-</t>
        </is>
      </c>
      <c r="G2407" s="7" t="n">
        <v>98.27933502197266</v>
      </c>
      <c r="H2407" s="6">
        <f>P2376</f>
        <v/>
      </c>
      <c r="I2407" s="9">
        <f>Q2376</f>
        <v/>
      </c>
      <c r="J2407" s="7">
        <f>I2407*G2407</f>
        <v/>
      </c>
      <c r="K2407" s="8">
        <f>IF($J$2419=0,0,J2407/$J$2419)</f>
        <v/>
      </c>
      <c r="L2407" s="6" t="inlineStr">
        <is>
          <t>WATCHLIST</t>
        </is>
      </c>
      <c r="M2407" s="8" t="n">
        <v>0</v>
      </c>
      <c r="N2407" s="7">
        <f>M2407*$J$2419-J2407</f>
        <v/>
      </c>
      <c r="O2407" s="9">
        <f>IF(G2407=0,0,N2407/G2407)</f>
        <v/>
      </c>
      <c r="P2407" s="6">
        <f>IF(M2407&gt;0,D2407,"")</f>
        <v/>
      </c>
      <c r="Q2407" s="9">
        <f>I2407+O2407</f>
        <v/>
      </c>
      <c r="R2407" s="7">
        <f>Q2407*G2407</f>
        <v/>
      </c>
      <c r="S2407" s="8">
        <f>IF($R$2419=0,0,R2407/$R$2419)</f>
        <v/>
      </c>
      <c r="T2407" s="8" t="n">
        <v>-0.004568814190195281</v>
      </c>
      <c r="U2407" s="8" t="n">
        <v>-0.0005366217173246035</v>
      </c>
      <c r="V2407" s="6" t="inlineStr">
        <is>
          <t>not selected</t>
        </is>
      </c>
    </row>
    <row r="2408">
      <c r="A2408" s="6" t="inlineStr">
        <is>
          <t>DJ30</t>
        </is>
      </c>
      <c r="B2408" s="6" t="inlineStr">
        <is>
          <t>2024-06-28</t>
        </is>
      </c>
      <c r="C2408" s="6" t="inlineStr">
        <is>
          <t>DIA</t>
        </is>
      </c>
      <c r="D2408" s="6" t="inlineStr">
        <is>
          <t>MRK</t>
        </is>
      </c>
      <c r="E2408" s="6" t="inlineStr">
        <is>
          <t>MRK</t>
        </is>
      </c>
      <c r="F2408" s="6" t="inlineStr">
        <is>
          <t>-</t>
        </is>
      </c>
      <c r="G2408" s="7" t="n">
        <v>115.8824920654297</v>
      </c>
      <c r="H2408" s="6">
        <f>P2377</f>
        <v/>
      </c>
      <c r="I2408" s="9">
        <f>Q2377</f>
        <v/>
      </c>
      <c r="J2408" s="7">
        <f>I2408*G2408</f>
        <v/>
      </c>
      <c r="K2408" s="8">
        <f>IF($J$2419=0,0,J2408/$J$2419)</f>
        <v/>
      </c>
      <c r="L2408" s="6" t="inlineStr">
        <is>
          <t>WATCHLIST</t>
        </is>
      </c>
      <c r="M2408" s="8" t="n">
        <v>0</v>
      </c>
      <c r="N2408" s="7">
        <f>M2408*$J$2419-J2408</f>
        <v/>
      </c>
      <c r="O2408" s="9">
        <f>IF(G2408=0,0,N2408/G2408)</f>
        <v/>
      </c>
      <c r="P2408" s="6">
        <f>IF(M2408&gt;0,D2408,"")</f>
        <v/>
      </c>
      <c r="Q2408" s="9">
        <f>I2408+O2408</f>
        <v/>
      </c>
      <c r="R2408" s="7">
        <f>Q2408*G2408</f>
        <v/>
      </c>
      <c r="S2408" s="8">
        <f>IF($R$2419=0,0,R2408/$R$2419)</f>
        <v/>
      </c>
      <c r="T2408" s="8" t="n">
        <v>-0.004568814190195281</v>
      </c>
      <c r="U2408" s="8" t="n">
        <v>-0.0005366217173246035</v>
      </c>
      <c r="V2408" s="6" t="inlineStr">
        <is>
          <t>not selected</t>
        </is>
      </c>
    </row>
    <row r="2409">
      <c r="A2409" s="6" t="inlineStr">
        <is>
          <t>DJ30</t>
        </is>
      </c>
      <c r="B2409" s="6" t="inlineStr">
        <is>
          <t>2024-06-28</t>
        </is>
      </c>
      <c r="C2409" s="6" t="inlineStr">
        <is>
          <t>DIA</t>
        </is>
      </c>
      <c r="D2409" s="6" t="inlineStr">
        <is>
          <t>MSFT</t>
        </is>
      </c>
      <c r="E2409" s="6" t="inlineStr">
        <is>
          <t>MSFT</t>
        </is>
      </c>
      <c r="F2409" s="6" t="inlineStr">
        <is>
          <t>-</t>
        </is>
      </c>
      <c r="G2409" s="7" t="n">
        <v>440.0345153808594</v>
      </c>
      <c r="H2409" s="6">
        <f>P2378</f>
        <v/>
      </c>
      <c r="I2409" s="9">
        <f>Q2378</f>
        <v/>
      </c>
      <c r="J2409" s="7">
        <f>I2409*G2409</f>
        <v/>
      </c>
      <c r="K2409" s="8">
        <f>IF($J$2419=0,0,J2409/$J$2419)</f>
        <v/>
      </c>
      <c r="L2409" s="6" t="inlineStr">
        <is>
          <t>WATCHLIST</t>
        </is>
      </c>
      <c r="M2409" s="8" t="n">
        <v>0</v>
      </c>
      <c r="N2409" s="7">
        <f>M2409*$J$2419-J2409</f>
        <v/>
      </c>
      <c r="O2409" s="9">
        <f>IF(G2409=0,0,N2409/G2409)</f>
        <v/>
      </c>
      <c r="P2409" s="6">
        <f>IF(M2409&gt;0,D2409,"")</f>
        <v/>
      </c>
      <c r="Q2409" s="9">
        <f>I2409+O2409</f>
        <v/>
      </c>
      <c r="R2409" s="7">
        <f>Q2409*G2409</f>
        <v/>
      </c>
      <c r="S2409" s="8">
        <f>IF($R$2419=0,0,R2409/$R$2419)</f>
        <v/>
      </c>
      <c r="T2409" s="8" t="n">
        <v>-0.004568814190195281</v>
      </c>
      <c r="U2409" s="8" t="n">
        <v>-0.0005366217173246035</v>
      </c>
      <c r="V2409" s="6" t="inlineStr">
        <is>
          <t>not selected</t>
        </is>
      </c>
    </row>
    <row r="2410">
      <c r="A2410" s="6" t="inlineStr">
        <is>
          <t>DJ30</t>
        </is>
      </c>
      <c r="B2410" s="6" t="inlineStr">
        <is>
          <t>2024-06-28</t>
        </is>
      </c>
      <c r="C2410" s="6" t="inlineStr">
        <is>
          <t>DIA</t>
        </is>
      </c>
      <c r="D2410" s="6" t="inlineStr">
        <is>
          <t>NKE</t>
        </is>
      </c>
      <c r="E2410" s="6" t="inlineStr">
        <is>
          <t>NKE</t>
        </is>
      </c>
      <c r="F2410" s="6" t="inlineStr">
        <is>
          <t>-</t>
        </is>
      </c>
      <c r="G2410" s="7" t="n">
        <v>71.81721496582031</v>
      </c>
      <c r="H2410" s="6">
        <f>P2379</f>
        <v/>
      </c>
      <c r="I2410" s="9">
        <f>Q2379</f>
        <v/>
      </c>
      <c r="J2410" s="7">
        <f>I2410*G2410</f>
        <v/>
      </c>
      <c r="K2410" s="8">
        <f>IF($J$2419=0,0,J2410/$J$2419)</f>
        <v/>
      </c>
      <c r="L2410" s="6" t="inlineStr">
        <is>
          <t>REJECTED</t>
        </is>
      </c>
      <c r="M2410" s="8" t="n">
        <v>0</v>
      </c>
      <c r="N2410" s="7">
        <f>M2410*$J$2419-J2410</f>
        <v/>
      </c>
      <c r="O2410" s="9">
        <f>IF(G2410=0,0,N2410/G2410)</f>
        <v/>
      </c>
      <c r="P2410" s="6">
        <f>IF(M2410&gt;0,D2410,"")</f>
        <v/>
      </c>
      <c r="Q2410" s="9">
        <f>I2410+O2410</f>
        <v/>
      </c>
      <c r="R2410" s="7">
        <f>Q2410*G2410</f>
        <v/>
      </c>
      <c r="S2410" s="8">
        <f>IF($R$2419=0,0,R2410/$R$2419)</f>
        <v/>
      </c>
      <c r="T2410" s="8" t="n">
        <v>-0.004568814190195281</v>
      </c>
      <c r="U2410" s="8" t="n">
        <v>-0.0005366217173246035</v>
      </c>
      <c r="V2410" s="6" t="inlineStr">
        <is>
          <t>not selected</t>
        </is>
      </c>
    </row>
    <row r="2411">
      <c r="A2411" s="6" t="inlineStr">
        <is>
          <t>DJ30</t>
        </is>
      </c>
      <c r="B2411" s="6" t="inlineStr">
        <is>
          <t>2024-06-28</t>
        </is>
      </c>
      <c r="C2411" s="6" t="inlineStr">
        <is>
          <t>DIA</t>
        </is>
      </c>
      <c r="D2411" s="6" t="inlineStr">
        <is>
          <t>NVDA</t>
        </is>
      </c>
      <c r="E2411" s="6" t="inlineStr">
        <is>
          <t>NVDA</t>
        </is>
      </c>
      <c r="F2411" s="6" t="inlineStr">
        <is>
          <t>-</t>
        </is>
      </c>
      <c r="G2411" s="7" t="n">
        <v>123.3367233276367</v>
      </c>
      <c r="H2411" s="6">
        <f>P2380</f>
        <v/>
      </c>
      <c r="I2411" s="9">
        <f>Q2380</f>
        <v/>
      </c>
      <c r="J2411" s="7">
        <f>I2411*G2411</f>
        <v/>
      </c>
      <c r="K2411" s="8">
        <f>IF($J$2419=0,0,J2411/$J$2419)</f>
        <v/>
      </c>
      <c r="L2411" s="6" t="inlineStr">
        <is>
          <t>SELECTED</t>
        </is>
      </c>
      <c r="M2411" s="8" t="n">
        <v>0.2</v>
      </c>
      <c r="N2411" s="7">
        <f>M2411*$J$2419-J2411</f>
        <v/>
      </c>
      <c r="O2411" s="9">
        <f>IF(G2411=0,0,N2411/G2411)</f>
        <v/>
      </c>
      <c r="P2411" s="6">
        <f>IF(M2411&gt;0,D2411,"")</f>
        <v/>
      </c>
      <c r="Q2411" s="9">
        <f>I2411+O2411</f>
        <v/>
      </c>
      <c r="R2411" s="7">
        <f>Q2411*G2411</f>
        <v/>
      </c>
      <c r="S2411" s="8">
        <f>IF($R$2419=0,0,R2411/$R$2419)</f>
        <v/>
      </c>
      <c r="T2411" s="8" t="n">
        <v>-0.004568814190195281</v>
      </c>
      <c r="U2411" s="8" t="n">
        <v>-0.0005366217173246035</v>
      </c>
      <c r="V2411" s="6" t="inlineStr">
        <is>
          <t>remained in weekly selection</t>
        </is>
      </c>
    </row>
    <row r="2412">
      <c r="A2412" s="6" t="inlineStr">
        <is>
          <t>DJ30</t>
        </is>
      </c>
      <c r="B2412" s="6" t="inlineStr">
        <is>
          <t>2024-06-28</t>
        </is>
      </c>
      <c r="C2412" s="6" t="inlineStr">
        <is>
          <t>DIA</t>
        </is>
      </c>
      <c r="D2412" s="6" t="inlineStr">
        <is>
          <t>PG</t>
        </is>
      </c>
      <c r="E2412" s="6" t="inlineStr">
        <is>
          <t>PG</t>
        </is>
      </c>
      <c r="F2412" s="6" t="inlineStr">
        <is>
          <t>-</t>
        </is>
      </c>
      <c r="G2412" s="7" t="n">
        <v>156.4831085205078</v>
      </c>
      <c r="H2412" s="6">
        <f>P2381</f>
        <v/>
      </c>
      <c r="I2412" s="9">
        <f>Q2381</f>
        <v/>
      </c>
      <c r="J2412" s="7">
        <f>I2412*G2412</f>
        <v/>
      </c>
      <c r="K2412" s="8">
        <f>IF($J$2419=0,0,J2412/$J$2419)</f>
        <v/>
      </c>
      <c r="L2412" s="6" t="inlineStr">
        <is>
          <t>WATCHLIST</t>
        </is>
      </c>
      <c r="M2412" s="8" t="n">
        <v>0</v>
      </c>
      <c r="N2412" s="7">
        <f>M2412*$J$2419-J2412</f>
        <v/>
      </c>
      <c r="O2412" s="9">
        <f>IF(G2412=0,0,N2412/G2412)</f>
        <v/>
      </c>
      <c r="P2412" s="6">
        <f>IF(M2412&gt;0,D2412,"")</f>
        <v/>
      </c>
      <c r="Q2412" s="9">
        <f>I2412+O2412</f>
        <v/>
      </c>
      <c r="R2412" s="7">
        <f>Q2412*G2412</f>
        <v/>
      </c>
      <c r="S2412" s="8">
        <f>IF($R$2419=0,0,R2412/$R$2419)</f>
        <v/>
      </c>
      <c r="T2412" s="8" t="n">
        <v>-0.004568814190195281</v>
      </c>
      <c r="U2412" s="8" t="n">
        <v>-0.0005366217173246035</v>
      </c>
      <c r="V2412" s="6" t="inlineStr">
        <is>
          <t>not selected</t>
        </is>
      </c>
    </row>
    <row r="2413">
      <c r="A2413" s="6" t="inlineStr">
        <is>
          <t>DJ30</t>
        </is>
      </c>
      <c r="B2413" s="6" t="inlineStr">
        <is>
          <t>2024-06-28</t>
        </is>
      </c>
      <c r="C2413" s="6" t="inlineStr">
        <is>
          <t>DIA</t>
        </is>
      </c>
      <c r="D2413" s="6" t="inlineStr">
        <is>
          <t>SHW</t>
        </is>
      </c>
      <c r="E2413" s="6" t="inlineStr">
        <is>
          <t>SHW</t>
        </is>
      </c>
      <c r="F2413" s="6" t="inlineStr">
        <is>
          <t>-</t>
        </is>
      </c>
      <c r="G2413" s="7" t="n">
        <v>293.2479248046875</v>
      </c>
      <c r="H2413" s="6">
        <f>P2382</f>
        <v/>
      </c>
      <c r="I2413" s="9">
        <f>Q2382</f>
        <v/>
      </c>
      <c r="J2413" s="7">
        <f>I2413*G2413</f>
        <v/>
      </c>
      <c r="K2413" s="8">
        <f>IF($J$2419=0,0,J2413/$J$2419)</f>
        <v/>
      </c>
      <c r="L2413" s="6" t="inlineStr">
        <is>
          <t>WATCHLIST</t>
        </is>
      </c>
      <c r="M2413" s="8" t="n">
        <v>0</v>
      </c>
      <c r="N2413" s="7">
        <f>M2413*$J$2419-J2413</f>
        <v/>
      </c>
      <c r="O2413" s="9">
        <f>IF(G2413=0,0,N2413/G2413)</f>
        <v/>
      </c>
      <c r="P2413" s="6">
        <f>IF(M2413&gt;0,D2413,"")</f>
        <v/>
      </c>
      <c r="Q2413" s="9">
        <f>I2413+O2413</f>
        <v/>
      </c>
      <c r="R2413" s="7">
        <f>Q2413*G2413</f>
        <v/>
      </c>
      <c r="S2413" s="8">
        <f>IF($R$2419=0,0,R2413/$R$2419)</f>
        <v/>
      </c>
      <c r="T2413" s="8" t="n">
        <v>-0.004568814190195281</v>
      </c>
      <c r="U2413" s="8" t="n">
        <v>-0.0005366217173246035</v>
      </c>
      <c r="V2413" s="6" t="inlineStr">
        <is>
          <t>not selected</t>
        </is>
      </c>
    </row>
    <row r="2414">
      <c r="A2414" s="6" t="inlineStr">
        <is>
          <t>DJ30</t>
        </is>
      </c>
      <c r="B2414" s="6" t="inlineStr">
        <is>
          <t>2024-06-28</t>
        </is>
      </c>
      <c r="C2414" s="6" t="inlineStr">
        <is>
          <t>DIA</t>
        </is>
      </c>
      <c r="D2414" s="6" t="inlineStr">
        <is>
          <t>TRV</t>
        </is>
      </c>
      <c r="E2414" s="6" t="inlineStr">
        <is>
          <t>TRV</t>
        </is>
      </c>
      <c r="F2414" s="6" t="inlineStr">
        <is>
          <t>-</t>
        </is>
      </c>
      <c r="G2414" s="7" t="n">
        <v>196.8328857421875</v>
      </c>
      <c r="H2414" s="6">
        <f>P2383</f>
        <v/>
      </c>
      <c r="I2414" s="9">
        <f>Q2383</f>
        <v/>
      </c>
      <c r="J2414" s="7">
        <f>I2414*G2414</f>
        <v/>
      </c>
      <c r="K2414" s="8">
        <f>IF($J$2419=0,0,J2414/$J$2419)</f>
        <v/>
      </c>
      <c r="L2414" s="6" t="inlineStr">
        <is>
          <t>SELECTED</t>
        </is>
      </c>
      <c r="M2414" s="8" t="n">
        <v>0.2</v>
      </c>
      <c r="N2414" s="7">
        <f>M2414*$J$2419-J2414</f>
        <v/>
      </c>
      <c r="O2414" s="9">
        <f>IF(G2414=0,0,N2414/G2414)</f>
        <v/>
      </c>
      <c r="P2414" s="6">
        <f>IF(M2414&gt;0,D2414,"")</f>
        <v/>
      </c>
      <c r="Q2414" s="9">
        <f>I2414+O2414</f>
        <v/>
      </c>
      <c r="R2414" s="7">
        <f>Q2414*G2414</f>
        <v/>
      </c>
      <c r="S2414" s="8">
        <f>IF($R$2419=0,0,R2414/$R$2419)</f>
        <v/>
      </c>
      <c r="T2414" s="8" t="n">
        <v>-0.004568814190195281</v>
      </c>
      <c r="U2414" s="8" t="n">
        <v>-0.0005366217173246035</v>
      </c>
      <c r="V2414" s="6" t="inlineStr">
        <is>
          <t>remained in weekly selection</t>
        </is>
      </c>
    </row>
    <row r="2415">
      <c r="A2415" s="6" t="inlineStr">
        <is>
          <t>DJ30</t>
        </is>
      </c>
      <c r="B2415" s="6" t="inlineStr">
        <is>
          <t>2024-06-28</t>
        </is>
      </c>
      <c r="C2415" s="6" t="inlineStr">
        <is>
          <t>DIA</t>
        </is>
      </c>
      <c r="D2415" s="6" t="inlineStr">
        <is>
          <t>UNH</t>
        </is>
      </c>
      <c r="E2415" s="6" t="inlineStr">
        <is>
          <t>UNH</t>
        </is>
      </c>
      <c r="F2415" s="6" t="inlineStr">
        <is>
          <t>-</t>
        </is>
      </c>
      <c r="G2415" s="7" t="n">
        <v>486.7852783203125</v>
      </c>
      <c r="H2415" s="6">
        <f>P2384</f>
        <v/>
      </c>
      <c r="I2415" s="9">
        <f>Q2384</f>
        <v/>
      </c>
      <c r="J2415" s="7">
        <f>I2415*G2415</f>
        <v/>
      </c>
      <c r="K2415" s="8">
        <f>IF($J$2419=0,0,J2415/$J$2419)</f>
        <v/>
      </c>
      <c r="L2415" s="6" t="inlineStr">
        <is>
          <t>REJECTED</t>
        </is>
      </c>
      <c r="M2415" s="8" t="n">
        <v>0</v>
      </c>
      <c r="N2415" s="7">
        <f>M2415*$J$2419-J2415</f>
        <v/>
      </c>
      <c r="O2415" s="9">
        <f>IF(G2415=0,0,N2415/G2415)</f>
        <v/>
      </c>
      <c r="P2415" s="6">
        <f>IF(M2415&gt;0,D2415,"")</f>
        <v/>
      </c>
      <c r="Q2415" s="9">
        <f>I2415+O2415</f>
        <v/>
      </c>
      <c r="R2415" s="7">
        <f>Q2415*G2415</f>
        <v/>
      </c>
      <c r="S2415" s="8">
        <f>IF($R$2419=0,0,R2415/$R$2419)</f>
        <v/>
      </c>
      <c r="T2415" s="8" t="n">
        <v>-0.004568814190195281</v>
      </c>
      <c r="U2415" s="8" t="n">
        <v>-0.0005366217173246035</v>
      </c>
      <c r="V2415" s="6" t="inlineStr">
        <is>
          <t>not selected</t>
        </is>
      </c>
    </row>
    <row r="2416">
      <c r="A2416" s="6" t="inlineStr">
        <is>
          <t>DJ30</t>
        </is>
      </c>
      <c r="B2416" s="6" t="inlineStr">
        <is>
          <t>2024-06-28</t>
        </is>
      </c>
      <c r="C2416" s="6" t="inlineStr">
        <is>
          <t>DIA</t>
        </is>
      </c>
      <c r="D2416" s="6" t="inlineStr">
        <is>
          <t>V</t>
        </is>
      </c>
      <c r="E2416" s="6" t="inlineStr">
        <is>
          <t>V</t>
        </is>
      </c>
      <c r="F2416" s="6" t="inlineStr">
        <is>
          <t>-</t>
        </is>
      </c>
      <c r="G2416" s="7" t="n">
        <v>258.5336303710937</v>
      </c>
      <c r="H2416" s="6">
        <f>P2385</f>
        <v/>
      </c>
      <c r="I2416" s="9">
        <f>Q2385</f>
        <v/>
      </c>
      <c r="J2416" s="7">
        <f>I2416*G2416</f>
        <v/>
      </c>
      <c r="K2416" s="8">
        <f>IF($J$2419=0,0,J2416/$J$2419)</f>
        <v/>
      </c>
      <c r="L2416" s="6" t="inlineStr">
        <is>
          <t>WATCHLIST</t>
        </is>
      </c>
      <c r="M2416" s="8" t="n">
        <v>0</v>
      </c>
      <c r="N2416" s="7">
        <f>M2416*$J$2419-J2416</f>
        <v/>
      </c>
      <c r="O2416" s="9">
        <f>IF(G2416=0,0,N2416/G2416)</f>
        <v/>
      </c>
      <c r="P2416" s="6">
        <f>IF(M2416&gt;0,D2416,"")</f>
        <v/>
      </c>
      <c r="Q2416" s="9">
        <f>I2416+O2416</f>
        <v/>
      </c>
      <c r="R2416" s="7">
        <f>Q2416*G2416</f>
        <v/>
      </c>
      <c r="S2416" s="8">
        <f>IF($R$2419=0,0,R2416/$R$2419)</f>
        <v/>
      </c>
      <c r="T2416" s="8" t="n">
        <v>-0.004568814190195281</v>
      </c>
      <c r="U2416" s="8" t="n">
        <v>-0.0005366217173246035</v>
      </c>
      <c r="V2416" s="6" t="inlineStr">
        <is>
          <t>not selected</t>
        </is>
      </c>
    </row>
    <row r="2417">
      <c r="A2417" s="6" t="inlineStr">
        <is>
          <t>DJ30</t>
        </is>
      </c>
      <c r="B2417" s="6" t="inlineStr">
        <is>
          <t>2024-06-28</t>
        </is>
      </c>
      <c r="C2417" s="6" t="inlineStr">
        <is>
          <t>DIA</t>
        </is>
      </c>
      <c r="D2417" s="6" t="inlineStr">
        <is>
          <t>VZ</t>
        </is>
      </c>
      <c r="E2417" s="6" t="inlineStr">
        <is>
          <t>VZ</t>
        </is>
      </c>
      <c r="F2417" s="6" t="inlineStr">
        <is>
          <t>-</t>
        </is>
      </c>
      <c r="G2417" s="7" t="n">
        <v>36.19690704345703</v>
      </c>
      <c r="H2417" s="6">
        <f>P2386</f>
        <v/>
      </c>
      <c r="I2417" s="9">
        <f>Q2386</f>
        <v/>
      </c>
      <c r="J2417" s="7">
        <f>I2417*G2417</f>
        <v/>
      </c>
      <c r="K2417" s="8">
        <f>IF($J$2419=0,0,J2417/$J$2419)</f>
        <v/>
      </c>
      <c r="L2417" s="6" t="inlineStr">
        <is>
          <t>WATCHLIST</t>
        </is>
      </c>
      <c r="M2417" s="8" t="n">
        <v>0</v>
      </c>
      <c r="N2417" s="7">
        <f>M2417*$J$2419-J2417</f>
        <v/>
      </c>
      <c r="O2417" s="9">
        <f>IF(G2417=0,0,N2417/G2417)</f>
        <v/>
      </c>
      <c r="P2417" s="6">
        <f>IF(M2417&gt;0,D2417,"")</f>
        <v/>
      </c>
      <c r="Q2417" s="9">
        <f>I2417+O2417</f>
        <v/>
      </c>
      <c r="R2417" s="7">
        <f>Q2417*G2417</f>
        <v/>
      </c>
      <c r="S2417" s="8">
        <f>IF($R$2419=0,0,R2417/$R$2419)</f>
        <v/>
      </c>
      <c r="T2417" s="8" t="n">
        <v>-0.004568814190195281</v>
      </c>
      <c r="U2417" s="8" t="n">
        <v>-0.0005366217173246035</v>
      </c>
      <c r="V2417" s="6" t="inlineStr">
        <is>
          <t>not selected</t>
        </is>
      </c>
    </row>
    <row r="2418">
      <c r="A2418" s="6" t="inlineStr">
        <is>
          <t>DJ30</t>
        </is>
      </c>
      <c r="B2418" s="6" t="inlineStr">
        <is>
          <t>2024-06-28</t>
        </is>
      </c>
      <c r="C2418" s="6" t="inlineStr">
        <is>
          <t>DIA</t>
        </is>
      </c>
      <c r="D2418" s="6" t="inlineStr">
        <is>
          <t>WMT</t>
        </is>
      </c>
      <c r="E2418" s="6" t="inlineStr">
        <is>
          <t>WMT</t>
        </is>
      </c>
      <c r="F2418" s="6" t="inlineStr">
        <is>
          <t>-</t>
        </is>
      </c>
      <c r="G2418" s="7" t="n">
        <v>66.46604919433594</v>
      </c>
      <c r="H2418" s="6">
        <f>P2387</f>
        <v/>
      </c>
      <c r="I2418" s="9">
        <f>Q2387</f>
        <v/>
      </c>
      <c r="J2418" s="7">
        <f>I2418*G2418</f>
        <v/>
      </c>
      <c r="K2418" s="8">
        <f>IF($J$2419=0,0,J2418/$J$2419)</f>
        <v/>
      </c>
      <c r="L2418" s="6" t="inlineStr">
        <is>
          <t>WATCHLIST</t>
        </is>
      </c>
      <c r="M2418" s="8" t="n">
        <v>0</v>
      </c>
      <c r="N2418" s="7">
        <f>M2418*$J$2419-J2418</f>
        <v/>
      </c>
      <c r="O2418" s="9">
        <f>IF(G2418=0,0,N2418/G2418)</f>
        <v/>
      </c>
      <c r="P2418" s="6">
        <f>IF(M2418&gt;0,D2418,"")</f>
        <v/>
      </c>
      <c r="Q2418" s="9">
        <f>I2418+O2418</f>
        <v/>
      </c>
      <c r="R2418" s="7">
        <f>Q2418*G2418</f>
        <v/>
      </c>
      <c r="S2418" s="8">
        <f>IF($R$2419=0,0,R2418/$R$2419)</f>
        <v/>
      </c>
      <c r="T2418" s="8" t="n">
        <v>-0.004568814190195281</v>
      </c>
      <c r="U2418" s="8" t="n">
        <v>-0.0005366217173246035</v>
      </c>
      <c r="V2418" s="6" t="inlineStr">
        <is>
          <t>not selected</t>
        </is>
      </c>
    </row>
    <row r="2419">
      <c r="A2419" s="10" t="inlineStr">
        <is>
          <t>DJ30</t>
        </is>
      </c>
      <c r="B2419" s="10" t="inlineStr">
        <is>
          <t>2024-06-28</t>
        </is>
      </c>
      <c r="C2419" s="10" t="inlineStr">
        <is>
          <t>DIA</t>
        </is>
      </c>
      <c r="D2419" s="10" t="inlineStr">
        <is>
          <t>Tot Portfolio</t>
        </is>
      </c>
      <c r="E2419" s="10" t="inlineStr"/>
      <c r="F2419" s="10" t="inlineStr"/>
      <c r="G2419" s="11" t="inlineStr"/>
      <c r="H2419" s="10" t="inlineStr"/>
      <c r="I2419" s="12" t="inlineStr"/>
      <c r="J2419" s="11">
        <f>SUM(J2389:J2418)</f>
        <v/>
      </c>
      <c r="K2419" s="13">
        <f>SUM(K2389:K2418)</f>
        <v/>
      </c>
      <c r="L2419" s="10" t="inlineStr">
        <is>
          <t>TOTAL</t>
        </is>
      </c>
      <c r="M2419" s="13">
        <f>SUM(M2389:M2418)</f>
        <v/>
      </c>
      <c r="N2419" s="11">
        <f>SUM(N2389:N2418)</f>
        <v/>
      </c>
      <c r="O2419" s="12">
        <f>SUM(O2389:O2418)</f>
        <v/>
      </c>
      <c r="P2419" s="10" t="inlineStr"/>
      <c r="Q2419" s="12" t="inlineStr"/>
      <c r="R2419" s="11">
        <f>SUM(R2389:R2418)</f>
        <v/>
      </c>
      <c r="S2419" s="13">
        <f>SUM(S2389:S2418)</f>
        <v/>
      </c>
      <c r="T2419" s="13" t="n">
        <v>-0.004568814190195281</v>
      </c>
      <c r="U2419" s="13" t="n">
        <v>-0.0005366217173246035</v>
      </c>
      <c r="V2419" s="10" t="inlineStr"/>
    </row>
    <row r="2420">
      <c r="A2420" s="6" t="inlineStr">
        <is>
          <t>DJ30</t>
        </is>
      </c>
      <c r="B2420" s="6" t="inlineStr">
        <is>
          <t>2024-07-05</t>
        </is>
      </c>
      <c r="C2420" s="6" t="inlineStr">
        <is>
          <t>DIA</t>
        </is>
      </c>
      <c r="D2420" s="6" t="inlineStr">
        <is>
          <t>AAPL</t>
        </is>
      </c>
      <c r="E2420" s="6" t="inlineStr">
        <is>
          <t>AAPL</t>
        </is>
      </c>
      <c r="F2420" s="6" t="inlineStr">
        <is>
          <t>-</t>
        </is>
      </c>
      <c r="G2420" s="7" t="n">
        <v>224.3961791992188</v>
      </c>
      <c r="H2420" s="6">
        <f>P2389</f>
        <v/>
      </c>
      <c r="I2420" s="9">
        <f>Q2389</f>
        <v/>
      </c>
      <c r="J2420" s="7">
        <f>I2420*G2420</f>
        <v/>
      </c>
      <c r="K2420" s="8">
        <f>IF($J$2450=0,0,J2420/$J$2450)</f>
        <v/>
      </c>
      <c r="L2420" s="6" t="inlineStr">
        <is>
          <t>REJECTED</t>
        </is>
      </c>
      <c r="M2420" s="8" t="n">
        <v>0</v>
      </c>
      <c r="N2420" s="7">
        <f>M2420*$J$2450-J2420</f>
        <v/>
      </c>
      <c r="O2420" s="9">
        <f>IF(G2420=0,0,N2420/G2420)</f>
        <v/>
      </c>
      <c r="P2420" s="6">
        <f>IF(M2420&gt;0,D2420,"")</f>
        <v/>
      </c>
      <c r="Q2420" s="9">
        <f>I2420+O2420</f>
        <v/>
      </c>
      <c r="R2420" s="7">
        <f>Q2420*G2420</f>
        <v/>
      </c>
      <c r="S2420" s="8">
        <f>IF($R$2450=0,0,R2420/$R$2450)</f>
        <v/>
      </c>
      <c r="T2420" s="8" t="n">
        <v>0.01887359925646837</v>
      </c>
      <c r="U2420" s="8" t="n">
        <v>0.006570887832847205</v>
      </c>
      <c r="V2420" s="6" t="inlineStr">
        <is>
          <t>not selected</t>
        </is>
      </c>
    </row>
    <row r="2421">
      <c r="A2421" s="6" t="inlineStr">
        <is>
          <t>DJ30</t>
        </is>
      </c>
      <c r="B2421" s="6" t="inlineStr">
        <is>
          <t>2024-07-05</t>
        </is>
      </c>
      <c r="C2421" s="6" t="inlineStr">
        <is>
          <t>DIA</t>
        </is>
      </c>
      <c r="D2421" s="6" t="inlineStr">
        <is>
          <t>AMGN</t>
        </is>
      </c>
      <c r="E2421" s="6" t="inlineStr">
        <is>
          <t>AMGN</t>
        </is>
      </c>
      <c r="F2421" s="6" t="inlineStr">
        <is>
          <t>-</t>
        </is>
      </c>
      <c r="G2421" s="7" t="n">
        <v>292.3767395019531</v>
      </c>
      <c r="H2421" s="6">
        <f>P2390</f>
        <v/>
      </c>
      <c r="I2421" s="9">
        <f>Q2390</f>
        <v/>
      </c>
      <c r="J2421" s="7">
        <f>I2421*G2421</f>
        <v/>
      </c>
      <c r="K2421" s="8">
        <f>IF($J$2450=0,0,J2421/$J$2450)</f>
        <v/>
      </c>
      <c r="L2421" s="6" t="inlineStr">
        <is>
          <t>WATCHLIST</t>
        </is>
      </c>
      <c r="M2421" s="8" t="n">
        <v>0</v>
      </c>
      <c r="N2421" s="7">
        <f>M2421*$J$2450-J2421</f>
        <v/>
      </c>
      <c r="O2421" s="9">
        <f>IF(G2421=0,0,N2421/G2421)</f>
        <v/>
      </c>
      <c r="P2421" s="6">
        <f>IF(M2421&gt;0,D2421,"")</f>
        <v/>
      </c>
      <c r="Q2421" s="9">
        <f>I2421+O2421</f>
        <v/>
      </c>
      <c r="R2421" s="7">
        <f>Q2421*G2421</f>
        <v/>
      </c>
      <c r="S2421" s="8">
        <f>IF($R$2450=0,0,R2421/$R$2450)</f>
        <v/>
      </c>
      <c r="T2421" s="8" t="n">
        <v>0.01887359925646837</v>
      </c>
      <c r="U2421" s="8" t="n">
        <v>0.006570887832847205</v>
      </c>
      <c r="V2421" s="6" t="inlineStr">
        <is>
          <t>not selected</t>
        </is>
      </c>
    </row>
    <row r="2422">
      <c r="A2422" s="6" t="inlineStr">
        <is>
          <t>DJ30</t>
        </is>
      </c>
      <c r="B2422" s="6" t="inlineStr">
        <is>
          <t>2024-07-05</t>
        </is>
      </c>
      <c r="C2422" s="6" t="inlineStr">
        <is>
          <t>DIA</t>
        </is>
      </c>
      <c r="D2422" s="6" t="inlineStr">
        <is>
          <t>AMZN</t>
        </is>
      </c>
      <c r="E2422" s="6" t="inlineStr">
        <is>
          <t>AMZN</t>
        </is>
      </c>
      <c r="F2422" s="6" t="inlineStr">
        <is>
          <t>-</t>
        </is>
      </c>
      <c r="G2422" s="7" t="n">
        <v>200</v>
      </c>
      <c r="H2422" s="6">
        <f>P2391</f>
        <v/>
      </c>
      <c r="I2422" s="9">
        <f>Q2391</f>
        <v/>
      </c>
      <c r="J2422" s="7">
        <f>I2422*G2422</f>
        <v/>
      </c>
      <c r="K2422" s="8">
        <f>IF($J$2450=0,0,J2422/$J$2450)</f>
        <v/>
      </c>
      <c r="L2422" s="6" t="inlineStr">
        <is>
          <t>SELECTED</t>
        </is>
      </c>
      <c r="M2422" s="8" t="n">
        <v>0.2</v>
      </c>
      <c r="N2422" s="7">
        <f>M2422*$J$2450-J2422</f>
        <v/>
      </c>
      <c r="O2422" s="9">
        <f>IF(G2422=0,0,N2422/G2422)</f>
        <v/>
      </c>
      <c r="P2422" s="6">
        <f>IF(M2422&gt;0,D2422,"")</f>
        <v/>
      </c>
      <c r="Q2422" s="9">
        <f>I2422+O2422</f>
        <v/>
      </c>
      <c r="R2422" s="7">
        <f>Q2422*G2422</f>
        <v/>
      </c>
      <c r="S2422" s="8">
        <f>IF($R$2450=0,0,R2422/$R$2450)</f>
        <v/>
      </c>
      <c r="T2422" s="8" t="n">
        <v>0.01887359925646837</v>
      </c>
      <c r="U2422" s="8" t="n">
        <v>0.006570887832847205</v>
      </c>
      <c r="V2422" s="6" t="inlineStr">
        <is>
          <t>remained in weekly selection</t>
        </is>
      </c>
    </row>
    <row r="2423">
      <c r="A2423" s="6" t="inlineStr">
        <is>
          <t>DJ30</t>
        </is>
      </c>
      <c r="B2423" s="6" t="inlineStr">
        <is>
          <t>2024-07-05</t>
        </is>
      </c>
      <c r="C2423" s="6" t="inlineStr">
        <is>
          <t>DIA</t>
        </is>
      </c>
      <c r="D2423" s="6" t="inlineStr">
        <is>
          <t>AXP</t>
        </is>
      </c>
      <c r="E2423" s="6" t="inlineStr">
        <is>
          <t>AXP</t>
        </is>
      </c>
      <c r="F2423" s="6" t="inlineStr">
        <is>
          <t>-</t>
        </is>
      </c>
      <c r="G2423" s="7" t="n">
        <v>231.2647094726562</v>
      </c>
      <c r="H2423" s="6">
        <f>P2392</f>
        <v/>
      </c>
      <c r="I2423" s="9">
        <f>Q2392</f>
        <v/>
      </c>
      <c r="J2423" s="7">
        <f>I2423*G2423</f>
        <v/>
      </c>
      <c r="K2423" s="8">
        <f>IF($J$2450=0,0,J2423/$J$2450)</f>
        <v/>
      </c>
      <c r="L2423" s="6" t="inlineStr">
        <is>
          <t>SELECTED</t>
        </is>
      </c>
      <c r="M2423" s="8" t="n">
        <v>0.2</v>
      </c>
      <c r="N2423" s="7">
        <f>M2423*$J$2450-J2423</f>
        <v/>
      </c>
      <c r="O2423" s="9">
        <f>IF(G2423=0,0,N2423/G2423)</f>
        <v/>
      </c>
      <c r="P2423" s="6">
        <f>IF(M2423&gt;0,D2423,"")</f>
        <v/>
      </c>
      <c r="Q2423" s="9">
        <f>I2423+O2423</f>
        <v/>
      </c>
      <c r="R2423" s="7">
        <f>Q2423*G2423</f>
        <v/>
      </c>
      <c r="S2423" s="8">
        <f>IF($R$2450=0,0,R2423/$R$2450)</f>
        <v/>
      </c>
      <c r="T2423" s="8" t="n">
        <v>0.01887359925646837</v>
      </c>
      <c r="U2423" s="8" t="n">
        <v>0.006570887832847205</v>
      </c>
      <c r="V2423" s="6" t="inlineStr">
        <is>
          <t>remained in weekly selection</t>
        </is>
      </c>
    </row>
    <row r="2424">
      <c r="A2424" s="6" t="inlineStr">
        <is>
          <t>DJ30</t>
        </is>
      </c>
      <c r="B2424" s="6" t="inlineStr">
        <is>
          <t>2024-07-05</t>
        </is>
      </c>
      <c r="C2424" s="6" t="inlineStr">
        <is>
          <t>DIA</t>
        </is>
      </c>
      <c r="D2424" s="6" t="inlineStr">
        <is>
          <t>BA</t>
        </is>
      </c>
      <c r="E2424" s="6" t="inlineStr">
        <is>
          <t>BA</t>
        </is>
      </c>
      <c r="F2424" s="6" t="inlineStr">
        <is>
          <t>-</t>
        </is>
      </c>
      <c r="G2424" s="7" t="n">
        <v>184.8300018310547</v>
      </c>
      <c r="H2424" s="6">
        <f>P2393</f>
        <v/>
      </c>
      <c r="I2424" s="9">
        <f>Q2393</f>
        <v/>
      </c>
      <c r="J2424" s="7">
        <f>I2424*G2424</f>
        <v/>
      </c>
      <c r="K2424" s="8">
        <f>IF($J$2450=0,0,J2424/$J$2450)</f>
        <v/>
      </c>
      <c r="L2424" s="6" t="inlineStr">
        <is>
          <t>REJECTED</t>
        </is>
      </c>
      <c r="M2424" s="8" t="n">
        <v>0</v>
      </c>
      <c r="N2424" s="7">
        <f>M2424*$J$2450-J2424</f>
        <v/>
      </c>
      <c r="O2424" s="9">
        <f>IF(G2424=0,0,N2424/G2424)</f>
        <v/>
      </c>
      <c r="P2424" s="6">
        <f>IF(M2424&gt;0,D2424,"")</f>
        <v/>
      </c>
      <c r="Q2424" s="9">
        <f>I2424+O2424</f>
        <v/>
      </c>
      <c r="R2424" s="7">
        <f>Q2424*G2424</f>
        <v/>
      </c>
      <c r="S2424" s="8">
        <f>IF($R$2450=0,0,R2424/$R$2450)</f>
        <v/>
      </c>
      <c r="T2424" s="8" t="n">
        <v>0.01887359925646837</v>
      </c>
      <c r="U2424" s="8" t="n">
        <v>0.006570887832847205</v>
      </c>
      <c r="V2424" s="6" t="inlineStr">
        <is>
          <t>not selected</t>
        </is>
      </c>
    </row>
    <row r="2425">
      <c r="A2425" s="6" t="inlineStr">
        <is>
          <t>DJ30</t>
        </is>
      </c>
      <c r="B2425" s="6" t="inlineStr">
        <is>
          <t>2024-07-05</t>
        </is>
      </c>
      <c r="C2425" s="6" t="inlineStr">
        <is>
          <t>DIA</t>
        </is>
      </c>
      <c r="D2425" s="6" t="inlineStr">
        <is>
          <t>CAT</t>
        </is>
      </c>
      <c r="E2425" s="6" t="inlineStr">
        <is>
          <t>CAT</t>
        </is>
      </c>
      <c r="F2425" s="6" t="inlineStr">
        <is>
          <t>-</t>
        </is>
      </c>
      <c r="G2425" s="7" t="n">
        <v>319.6421813964844</v>
      </c>
      <c r="H2425" s="6">
        <f>P2394</f>
        <v/>
      </c>
      <c r="I2425" s="9">
        <f>Q2394</f>
        <v/>
      </c>
      <c r="J2425" s="7">
        <f>I2425*G2425</f>
        <v/>
      </c>
      <c r="K2425" s="8">
        <f>IF($J$2450=0,0,J2425/$J$2450)</f>
        <v/>
      </c>
      <c r="L2425" s="6" t="inlineStr">
        <is>
          <t>WATCHLIST</t>
        </is>
      </c>
      <c r="M2425" s="8" t="n">
        <v>0</v>
      </c>
      <c r="N2425" s="7">
        <f>M2425*$J$2450-J2425</f>
        <v/>
      </c>
      <c r="O2425" s="9">
        <f>IF(G2425=0,0,N2425/G2425)</f>
        <v/>
      </c>
      <c r="P2425" s="6">
        <f>IF(M2425&gt;0,D2425,"")</f>
        <v/>
      </c>
      <c r="Q2425" s="9">
        <f>I2425+O2425</f>
        <v/>
      </c>
      <c r="R2425" s="7">
        <f>Q2425*G2425</f>
        <v/>
      </c>
      <c r="S2425" s="8">
        <f>IF($R$2450=0,0,R2425/$R$2450)</f>
        <v/>
      </c>
      <c r="T2425" s="8" t="n">
        <v>0.01887359925646837</v>
      </c>
      <c r="U2425" s="8" t="n">
        <v>0.006570887832847205</v>
      </c>
      <c r="V2425" s="6" t="inlineStr">
        <is>
          <t>not selected</t>
        </is>
      </c>
    </row>
    <row r="2426">
      <c r="A2426" s="6" t="inlineStr">
        <is>
          <t>DJ30</t>
        </is>
      </c>
      <c r="B2426" s="6" t="inlineStr">
        <is>
          <t>2024-07-05</t>
        </is>
      </c>
      <c r="C2426" s="6" t="inlineStr">
        <is>
          <t>DIA</t>
        </is>
      </c>
      <c r="D2426" s="6" t="inlineStr">
        <is>
          <t>CRM</t>
        </is>
      </c>
      <c r="E2426" s="6" t="inlineStr">
        <is>
          <t>CRM</t>
        </is>
      </c>
      <c r="F2426" s="6" t="inlineStr">
        <is>
          <t>-</t>
        </is>
      </c>
      <c r="G2426" s="7" t="n">
        <v>259.0520324707031</v>
      </c>
      <c r="H2426" s="6">
        <f>P2395</f>
        <v/>
      </c>
      <c r="I2426" s="9">
        <f>Q2395</f>
        <v/>
      </c>
      <c r="J2426" s="7">
        <f>I2426*G2426</f>
        <v/>
      </c>
      <c r="K2426" s="8">
        <f>IF($J$2450=0,0,J2426/$J$2450)</f>
        <v/>
      </c>
      <c r="L2426" s="6" t="inlineStr">
        <is>
          <t>WATCHLIST</t>
        </is>
      </c>
      <c r="M2426" s="8" t="n">
        <v>0</v>
      </c>
      <c r="N2426" s="7">
        <f>M2426*$J$2450-J2426</f>
        <v/>
      </c>
      <c r="O2426" s="9">
        <f>IF(G2426=0,0,N2426/G2426)</f>
        <v/>
      </c>
      <c r="P2426" s="6">
        <f>IF(M2426&gt;0,D2426,"")</f>
        <v/>
      </c>
      <c r="Q2426" s="9">
        <f>I2426+O2426</f>
        <v/>
      </c>
      <c r="R2426" s="7">
        <f>Q2426*G2426</f>
        <v/>
      </c>
      <c r="S2426" s="8">
        <f>IF($R$2450=0,0,R2426/$R$2450)</f>
        <v/>
      </c>
      <c r="T2426" s="8" t="n">
        <v>0.01887359925646837</v>
      </c>
      <c r="U2426" s="8" t="n">
        <v>0.006570887832847205</v>
      </c>
      <c r="V2426" s="6" t="inlineStr">
        <is>
          <t>not selected</t>
        </is>
      </c>
    </row>
    <row r="2427">
      <c r="A2427" s="6" t="inlineStr">
        <is>
          <t>DJ30</t>
        </is>
      </c>
      <c r="B2427" s="6" t="inlineStr">
        <is>
          <t>2024-07-05</t>
        </is>
      </c>
      <c r="C2427" s="6" t="inlineStr">
        <is>
          <t>DIA</t>
        </is>
      </c>
      <c r="D2427" s="6" t="inlineStr">
        <is>
          <t>CSCO</t>
        </is>
      </c>
      <c r="E2427" s="6" t="inlineStr">
        <is>
          <t>CSCO</t>
        </is>
      </c>
      <c r="F2427" s="6" t="inlineStr">
        <is>
          <t>-</t>
        </is>
      </c>
      <c r="G2427" s="7" t="n">
        <v>44.65015029907227</v>
      </c>
      <c r="H2427" s="6">
        <f>P2396</f>
        <v/>
      </c>
      <c r="I2427" s="9">
        <f>Q2396</f>
        <v/>
      </c>
      <c r="J2427" s="7">
        <f>I2427*G2427</f>
        <v/>
      </c>
      <c r="K2427" s="8">
        <f>IF($J$2450=0,0,J2427/$J$2450)</f>
        <v/>
      </c>
      <c r="L2427" s="6" t="inlineStr">
        <is>
          <t>REJECTED</t>
        </is>
      </c>
      <c r="M2427" s="8" t="n">
        <v>0</v>
      </c>
      <c r="N2427" s="7">
        <f>M2427*$J$2450-J2427</f>
        <v/>
      </c>
      <c r="O2427" s="9">
        <f>IF(G2427=0,0,N2427/G2427)</f>
        <v/>
      </c>
      <c r="P2427" s="6">
        <f>IF(M2427&gt;0,D2427,"")</f>
        <v/>
      </c>
      <c r="Q2427" s="9">
        <f>I2427+O2427</f>
        <v/>
      </c>
      <c r="R2427" s="7">
        <f>Q2427*G2427</f>
        <v/>
      </c>
      <c r="S2427" s="8">
        <f>IF($R$2450=0,0,R2427/$R$2450)</f>
        <v/>
      </c>
      <c r="T2427" s="8" t="n">
        <v>0.01887359925646837</v>
      </c>
      <c r="U2427" s="8" t="n">
        <v>0.006570887832847205</v>
      </c>
      <c r="V2427" s="6" t="inlineStr">
        <is>
          <t>not selected</t>
        </is>
      </c>
    </row>
    <row r="2428">
      <c r="A2428" s="6" t="inlineStr">
        <is>
          <t>DJ30</t>
        </is>
      </c>
      <c r="B2428" s="6" t="inlineStr">
        <is>
          <t>2024-07-05</t>
        </is>
      </c>
      <c r="C2428" s="6" t="inlineStr">
        <is>
          <t>DIA</t>
        </is>
      </c>
      <c r="D2428" s="6" t="inlineStr">
        <is>
          <t>CVX</t>
        </is>
      </c>
      <c r="E2428" s="6" t="inlineStr">
        <is>
          <t>CVX</t>
        </is>
      </c>
      <c r="F2428" s="6" t="inlineStr">
        <is>
          <t>-</t>
        </is>
      </c>
      <c r="G2428" s="7" t="n">
        <v>141.6724548339844</v>
      </c>
      <c r="H2428" s="6">
        <f>P2397</f>
        <v/>
      </c>
      <c r="I2428" s="9">
        <f>Q2397</f>
        <v/>
      </c>
      <c r="J2428" s="7">
        <f>I2428*G2428</f>
        <v/>
      </c>
      <c r="K2428" s="8">
        <f>IF($J$2450=0,0,J2428/$J$2450)</f>
        <v/>
      </c>
      <c r="L2428" s="6" t="inlineStr">
        <is>
          <t>REJECTED</t>
        </is>
      </c>
      <c r="M2428" s="8" t="n">
        <v>0</v>
      </c>
      <c r="N2428" s="7">
        <f>M2428*$J$2450-J2428</f>
        <v/>
      </c>
      <c r="O2428" s="9">
        <f>IF(G2428=0,0,N2428/G2428)</f>
        <v/>
      </c>
      <c r="P2428" s="6">
        <f>IF(M2428&gt;0,D2428,"")</f>
        <v/>
      </c>
      <c r="Q2428" s="9">
        <f>I2428+O2428</f>
        <v/>
      </c>
      <c r="R2428" s="7">
        <f>Q2428*G2428</f>
        <v/>
      </c>
      <c r="S2428" s="8">
        <f>IF($R$2450=0,0,R2428/$R$2450)</f>
        <v/>
      </c>
      <c r="T2428" s="8" t="n">
        <v>0.01887359925646837</v>
      </c>
      <c r="U2428" s="8" t="n">
        <v>0.006570887832847205</v>
      </c>
      <c r="V2428" s="6" t="inlineStr">
        <is>
          <t>not selected</t>
        </is>
      </c>
    </row>
    <row r="2429">
      <c r="A2429" s="6" t="inlineStr">
        <is>
          <t>DJ30</t>
        </is>
      </c>
      <c r="B2429" s="6" t="inlineStr">
        <is>
          <t>2024-07-05</t>
        </is>
      </c>
      <c r="C2429" s="6" t="inlineStr">
        <is>
          <t>DIA</t>
        </is>
      </c>
      <c r="D2429" s="6" t="inlineStr">
        <is>
          <t>DIS</t>
        </is>
      </c>
      <c r="E2429" s="6" t="inlineStr">
        <is>
          <t>DIS</t>
        </is>
      </c>
      <c r="F2429" s="6" t="inlineStr">
        <is>
          <t>-</t>
        </is>
      </c>
      <c r="G2429" s="7" t="n">
        <v>96.04750061035156</v>
      </c>
      <c r="H2429" s="6">
        <f>P2398</f>
        <v/>
      </c>
      <c r="I2429" s="9">
        <f>Q2398</f>
        <v/>
      </c>
      <c r="J2429" s="7">
        <f>I2429*G2429</f>
        <v/>
      </c>
      <c r="K2429" s="8">
        <f>IF($J$2450=0,0,J2429/$J$2450)</f>
        <v/>
      </c>
      <c r="L2429" s="6" t="inlineStr">
        <is>
          <t>WATCHLIST</t>
        </is>
      </c>
      <c r="M2429" s="8" t="n">
        <v>0</v>
      </c>
      <c r="N2429" s="7">
        <f>M2429*$J$2450-J2429</f>
        <v/>
      </c>
      <c r="O2429" s="9">
        <f>IF(G2429=0,0,N2429/G2429)</f>
        <v/>
      </c>
      <c r="P2429" s="6">
        <f>IF(M2429&gt;0,D2429,"")</f>
        <v/>
      </c>
      <c r="Q2429" s="9">
        <f>I2429+O2429</f>
        <v/>
      </c>
      <c r="R2429" s="7">
        <f>Q2429*G2429</f>
        <v/>
      </c>
      <c r="S2429" s="8">
        <f>IF($R$2450=0,0,R2429/$R$2450)</f>
        <v/>
      </c>
      <c r="T2429" s="8" t="n">
        <v>0.01887359925646837</v>
      </c>
      <c r="U2429" s="8" t="n">
        <v>0.006570887832847205</v>
      </c>
      <c r="V2429" s="6" t="inlineStr">
        <is>
          <t>not selected</t>
        </is>
      </c>
    </row>
    <row r="2430">
      <c r="A2430" s="6" t="inlineStr">
        <is>
          <t>DJ30</t>
        </is>
      </c>
      <c r="B2430" s="6" t="inlineStr">
        <is>
          <t>2024-07-05</t>
        </is>
      </c>
      <c r="C2430" s="6" t="inlineStr">
        <is>
          <t>DIA</t>
        </is>
      </c>
      <c r="D2430" s="6" t="inlineStr">
        <is>
          <t>GS</t>
        </is>
      </c>
      <c r="E2430" s="6" t="inlineStr">
        <is>
          <t>GS</t>
        </is>
      </c>
      <c r="F2430" s="6" t="inlineStr">
        <is>
          <t>-</t>
        </is>
      </c>
      <c r="G2430" s="7" t="n">
        <v>446.2190856933594</v>
      </c>
      <c r="H2430" s="6">
        <f>P2399</f>
        <v/>
      </c>
      <c r="I2430" s="9">
        <f>Q2399</f>
        <v/>
      </c>
      <c r="J2430" s="7">
        <f>I2430*G2430</f>
        <v/>
      </c>
      <c r="K2430" s="8">
        <f>IF($J$2450=0,0,J2430/$J$2450)</f>
        <v/>
      </c>
      <c r="L2430" s="6" t="inlineStr">
        <is>
          <t>SELECTED</t>
        </is>
      </c>
      <c r="M2430" s="8" t="n">
        <v>0.2</v>
      </c>
      <c r="N2430" s="7">
        <f>M2430*$J$2450-J2430</f>
        <v/>
      </c>
      <c r="O2430" s="9">
        <f>IF(G2430=0,0,N2430/G2430)</f>
        <v/>
      </c>
      <c r="P2430" s="6">
        <f>IF(M2430&gt;0,D2430,"")</f>
        <v/>
      </c>
      <c r="Q2430" s="9">
        <f>I2430+O2430</f>
        <v/>
      </c>
      <c r="R2430" s="7">
        <f>Q2430*G2430</f>
        <v/>
      </c>
      <c r="S2430" s="8">
        <f>IF($R$2450=0,0,R2430/$R$2450)</f>
        <v/>
      </c>
      <c r="T2430" s="8" t="n">
        <v>0.01887359925646837</v>
      </c>
      <c r="U2430" s="8" t="n">
        <v>0.006570887832847205</v>
      </c>
      <c r="V2430" s="6" t="inlineStr">
        <is>
          <t>remained in weekly selection</t>
        </is>
      </c>
    </row>
    <row r="2431">
      <c r="A2431" s="6" t="inlineStr">
        <is>
          <t>DJ30</t>
        </is>
      </c>
      <c r="B2431" s="6" t="inlineStr">
        <is>
          <t>2024-07-05</t>
        </is>
      </c>
      <c r="C2431" s="6" t="inlineStr">
        <is>
          <t>DIA</t>
        </is>
      </c>
      <c r="D2431" s="6" t="inlineStr">
        <is>
          <t>HD</t>
        </is>
      </c>
      <c r="E2431" s="6" t="inlineStr">
        <is>
          <t>HD</t>
        </is>
      </c>
      <c r="F2431" s="6" t="inlineStr">
        <is>
          <t>-</t>
        </is>
      </c>
      <c r="G2431" s="7" t="n">
        <v>318.2402648925781</v>
      </c>
      <c r="H2431" s="6">
        <f>P2400</f>
        <v/>
      </c>
      <c r="I2431" s="9">
        <f>Q2400</f>
        <v/>
      </c>
      <c r="J2431" s="7">
        <f>I2431*G2431</f>
        <v/>
      </c>
      <c r="K2431" s="8">
        <f>IF($J$2450=0,0,J2431/$J$2450)</f>
        <v/>
      </c>
      <c r="L2431" s="6" t="inlineStr">
        <is>
          <t>WATCHLIST</t>
        </is>
      </c>
      <c r="M2431" s="8" t="n">
        <v>0</v>
      </c>
      <c r="N2431" s="7">
        <f>M2431*$J$2450-J2431</f>
        <v/>
      </c>
      <c r="O2431" s="9">
        <f>IF(G2431=0,0,N2431/G2431)</f>
        <v/>
      </c>
      <c r="P2431" s="6">
        <f>IF(M2431&gt;0,D2431,"")</f>
        <v/>
      </c>
      <c r="Q2431" s="9">
        <f>I2431+O2431</f>
        <v/>
      </c>
      <c r="R2431" s="7">
        <f>Q2431*G2431</f>
        <v/>
      </c>
      <c r="S2431" s="8">
        <f>IF($R$2450=0,0,R2431/$R$2450)</f>
        <v/>
      </c>
      <c r="T2431" s="8" t="n">
        <v>0.01887359925646837</v>
      </c>
      <c r="U2431" s="8" t="n">
        <v>0.006570887832847205</v>
      </c>
      <c r="V2431" s="6" t="inlineStr">
        <is>
          <t>not selected</t>
        </is>
      </c>
    </row>
    <row r="2432">
      <c r="A2432" s="6" t="inlineStr">
        <is>
          <t>DJ30</t>
        </is>
      </c>
      <c r="B2432" s="6" t="inlineStr">
        <is>
          <t>2024-07-05</t>
        </is>
      </c>
      <c r="C2432" s="6" t="inlineStr">
        <is>
          <t>DIA</t>
        </is>
      </c>
      <c r="D2432" s="6" t="inlineStr">
        <is>
          <t>HON</t>
        </is>
      </c>
      <c r="E2432" s="6" t="inlineStr">
        <is>
          <t>HON</t>
        </is>
      </c>
      <c r="F2432" s="6" t="inlineStr">
        <is>
          <t>-</t>
        </is>
      </c>
      <c r="G2432" s="7" t="n">
        <v>191.7336578369141</v>
      </c>
      <c r="H2432" s="6">
        <f>P2401</f>
        <v/>
      </c>
      <c r="I2432" s="9">
        <f>Q2401</f>
        <v/>
      </c>
      <c r="J2432" s="7">
        <f>I2432*G2432</f>
        <v/>
      </c>
      <c r="K2432" s="8">
        <f>IF($J$2450=0,0,J2432/$J$2450)</f>
        <v/>
      </c>
      <c r="L2432" s="6" t="inlineStr">
        <is>
          <t>WATCHLIST</t>
        </is>
      </c>
      <c r="M2432" s="8" t="n">
        <v>0</v>
      </c>
      <c r="N2432" s="7">
        <f>M2432*$J$2450-J2432</f>
        <v/>
      </c>
      <c r="O2432" s="9">
        <f>IF(G2432=0,0,N2432/G2432)</f>
        <v/>
      </c>
      <c r="P2432" s="6">
        <f>IF(M2432&gt;0,D2432,"")</f>
        <v/>
      </c>
      <c r="Q2432" s="9">
        <f>I2432+O2432</f>
        <v/>
      </c>
      <c r="R2432" s="7">
        <f>Q2432*G2432</f>
        <v/>
      </c>
      <c r="S2432" s="8">
        <f>IF($R$2450=0,0,R2432/$R$2450)</f>
        <v/>
      </c>
      <c r="T2432" s="8" t="n">
        <v>0.01887359925646837</v>
      </c>
      <c r="U2432" s="8" t="n">
        <v>0.006570887832847205</v>
      </c>
      <c r="V2432" s="6" t="inlineStr">
        <is>
          <t>not selected</t>
        </is>
      </c>
    </row>
    <row r="2433">
      <c r="A2433" s="6" t="inlineStr">
        <is>
          <t>DJ30</t>
        </is>
      </c>
      <c r="B2433" s="6" t="inlineStr">
        <is>
          <t>2024-07-05</t>
        </is>
      </c>
      <c r="C2433" s="6" t="inlineStr">
        <is>
          <t>DIA</t>
        </is>
      </c>
      <c r="D2433" s="6" t="inlineStr">
        <is>
          <t>IBM</t>
        </is>
      </c>
      <c r="E2433" s="6" t="inlineStr">
        <is>
          <t>IBM</t>
        </is>
      </c>
      <c r="F2433" s="6" t="inlineStr">
        <is>
          <t>-</t>
        </is>
      </c>
      <c r="G2433" s="7" t="n">
        <v>166.5859832763672</v>
      </c>
      <c r="H2433" s="6">
        <f>P2402</f>
        <v/>
      </c>
      <c r="I2433" s="9">
        <f>Q2402</f>
        <v/>
      </c>
      <c r="J2433" s="7">
        <f>I2433*G2433</f>
        <v/>
      </c>
      <c r="K2433" s="8">
        <f>IF($J$2450=0,0,J2433/$J$2450)</f>
        <v/>
      </c>
      <c r="L2433" s="6" t="inlineStr">
        <is>
          <t>WATCHLIST</t>
        </is>
      </c>
      <c r="M2433" s="8" t="n">
        <v>0</v>
      </c>
      <c r="N2433" s="7">
        <f>M2433*$J$2450-J2433</f>
        <v/>
      </c>
      <c r="O2433" s="9">
        <f>IF(G2433=0,0,N2433/G2433)</f>
        <v/>
      </c>
      <c r="P2433" s="6">
        <f>IF(M2433&gt;0,D2433,"")</f>
        <v/>
      </c>
      <c r="Q2433" s="9">
        <f>I2433+O2433</f>
        <v/>
      </c>
      <c r="R2433" s="7">
        <f>Q2433*G2433</f>
        <v/>
      </c>
      <c r="S2433" s="8">
        <f>IF($R$2450=0,0,R2433/$R$2450)</f>
        <v/>
      </c>
      <c r="T2433" s="8" t="n">
        <v>0.01887359925646837</v>
      </c>
      <c r="U2433" s="8" t="n">
        <v>0.006570887832847205</v>
      </c>
      <c r="V2433" s="6" t="inlineStr">
        <is>
          <t>not selected</t>
        </is>
      </c>
    </row>
    <row r="2434">
      <c r="A2434" s="6" t="inlineStr">
        <is>
          <t>DJ30</t>
        </is>
      </c>
      <c r="B2434" s="6" t="inlineStr">
        <is>
          <t>2024-07-05</t>
        </is>
      </c>
      <c r="C2434" s="6" t="inlineStr">
        <is>
          <t>DIA</t>
        </is>
      </c>
      <c r="D2434" s="6" t="inlineStr">
        <is>
          <t>JNJ</t>
        </is>
      </c>
      <c r="E2434" s="6" t="inlineStr">
        <is>
          <t>JNJ</t>
        </is>
      </c>
      <c r="F2434" s="6" t="inlineStr">
        <is>
          <t>-</t>
        </is>
      </c>
      <c r="G2434" s="7" t="n">
        <v>138.3999176025391</v>
      </c>
      <c r="H2434" s="6">
        <f>P2403</f>
        <v/>
      </c>
      <c r="I2434" s="9">
        <f>Q2403</f>
        <v/>
      </c>
      <c r="J2434" s="7">
        <f>I2434*G2434</f>
        <v/>
      </c>
      <c r="K2434" s="8">
        <f>IF($J$2450=0,0,J2434/$J$2450)</f>
        <v/>
      </c>
      <c r="L2434" s="6" t="inlineStr">
        <is>
          <t>REJECTED</t>
        </is>
      </c>
      <c r="M2434" s="8" t="n">
        <v>0</v>
      </c>
      <c r="N2434" s="7">
        <f>M2434*$J$2450-J2434</f>
        <v/>
      </c>
      <c r="O2434" s="9">
        <f>IF(G2434=0,0,N2434/G2434)</f>
        <v/>
      </c>
      <c r="P2434" s="6">
        <f>IF(M2434&gt;0,D2434,"")</f>
        <v/>
      </c>
      <c r="Q2434" s="9">
        <f>I2434+O2434</f>
        <v/>
      </c>
      <c r="R2434" s="7">
        <f>Q2434*G2434</f>
        <v/>
      </c>
      <c r="S2434" s="8">
        <f>IF($R$2450=0,0,R2434/$R$2450)</f>
        <v/>
      </c>
      <c r="T2434" s="8" t="n">
        <v>0.01887359925646837</v>
      </c>
      <c r="U2434" s="8" t="n">
        <v>0.006570887832847205</v>
      </c>
      <c r="V2434" s="6" t="inlineStr">
        <is>
          <t>not selected</t>
        </is>
      </c>
    </row>
    <row r="2435">
      <c r="A2435" s="6" t="inlineStr">
        <is>
          <t>DJ30</t>
        </is>
      </c>
      <c r="B2435" s="6" t="inlineStr">
        <is>
          <t>2024-07-05</t>
        </is>
      </c>
      <c r="C2435" s="6" t="inlineStr">
        <is>
          <t>DIA</t>
        </is>
      </c>
      <c r="D2435" s="6" t="inlineStr">
        <is>
          <t>JPM</t>
        </is>
      </c>
      <c r="E2435" s="6" t="inlineStr">
        <is>
          <t>JPM</t>
        </is>
      </c>
      <c r="F2435" s="6" t="inlineStr">
        <is>
          <t>-</t>
        </is>
      </c>
      <c r="G2435" s="7" t="n">
        <v>197.4178314208984</v>
      </c>
      <c r="H2435" s="6">
        <f>P2404</f>
        <v/>
      </c>
      <c r="I2435" s="9">
        <f>Q2404</f>
        <v/>
      </c>
      <c r="J2435" s="7">
        <f>I2435*G2435</f>
        <v/>
      </c>
      <c r="K2435" s="8">
        <f>IF($J$2450=0,0,J2435/$J$2450)</f>
        <v/>
      </c>
      <c r="L2435" s="6" t="inlineStr">
        <is>
          <t>WATCHLIST</t>
        </is>
      </c>
      <c r="M2435" s="8" t="n">
        <v>0</v>
      </c>
      <c r="N2435" s="7">
        <f>M2435*$J$2450-J2435</f>
        <v/>
      </c>
      <c r="O2435" s="9">
        <f>IF(G2435=0,0,N2435/G2435)</f>
        <v/>
      </c>
      <c r="P2435" s="6">
        <f>IF(M2435&gt;0,D2435,"")</f>
        <v/>
      </c>
      <c r="Q2435" s="9">
        <f>I2435+O2435</f>
        <v/>
      </c>
      <c r="R2435" s="7">
        <f>Q2435*G2435</f>
        <v/>
      </c>
      <c r="S2435" s="8">
        <f>IF($R$2450=0,0,R2435/$R$2450)</f>
        <v/>
      </c>
      <c r="T2435" s="8" t="n">
        <v>0.01887359925646837</v>
      </c>
      <c r="U2435" s="8" t="n">
        <v>0.006570887832847205</v>
      </c>
      <c r="V2435" s="6" t="inlineStr">
        <is>
          <t>not selected</t>
        </is>
      </c>
    </row>
    <row r="2436">
      <c r="A2436" s="6" t="inlineStr">
        <is>
          <t>DJ30</t>
        </is>
      </c>
      <c r="B2436" s="6" t="inlineStr">
        <is>
          <t>2024-07-05</t>
        </is>
      </c>
      <c r="C2436" s="6" t="inlineStr">
        <is>
          <t>DIA</t>
        </is>
      </c>
      <c r="D2436" s="6" t="inlineStr">
        <is>
          <t>KO</t>
        </is>
      </c>
      <c r="E2436" s="6" t="inlineStr">
        <is>
          <t>KO</t>
        </is>
      </c>
      <c r="F2436" s="6" t="inlineStr">
        <is>
          <t>-</t>
        </is>
      </c>
      <c r="G2436" s="7" t="n">
        <v>60.2422103881836</v>
      </c>
      <c r="H2436" s="6">
        <f>P2405</f>
        <v/>
      </c>
      <c r="I2436" s="9">
        <f>Q2405</f>
        <v/>
      </c>
      <c r="J2436" s="7">
        <f>I2436*G2436</f>
        <v/>
      </c>
      <c r="K2436" s="8">
        <f>IF($J$2450=0,0,J2436/$J$2450)</f>
        <v/>
      </c>
      <c r="L2436" s="6" t="inlineStr">
        <is>
          <t>WATCHLIST</t>
        </is>
      </c>
      <c r="M2436" s="8" t="n">
        <v>0</v>
      </c>
      <c r="N2436" s="7">
        <f>M2436*$J$2450-J2436</f>
        <v/>
      </c>
      <c r="O2436" s="9">
        <f>IF(G2436=0,0,N2436/G2436)</f>
        <v/>
      </c>
      <c r="P2436" s="6">
        <f>IF(M2436&gt;0,D2436,"")</f>
        <v/>
      </c>
      <c r="Q2436" s="9">
        <f>I2436+O2436</f>
        <v/>
      </c>
      <c r="R2436" s="7">
        <f>Q2436*G2436</f>
        <v/>
      </c>
      <c r="S2436" s="8">
        <f>IF($R$2450=0,0,R2436/$R$2450)</f>
        <v/>
      </c>
      <c r="T2436" s="8" t="n">
        <v>0.01887359925646837</v>
      </c>
      <c r="U2436" s="8" t="n">
        <v>0.006570887832847205</v>
      </c>
      <c r="V2436" s="6" t="inlineStr">
        <is>
          <t>not selected</t>
        </is>
      </c>
    </row>
    <row r="2437">
      <c r="A2437" s="6" t="inlineStr">
        <is>
          <t>DJ30</t>
        </is>
      </c>
      <c r="B2437" s="6" t="inlineStr">
        <is>
          <t>2024-07-05</t>
        </is>
      </c>
      <c r="C2437" s="6" t="inlineStr">
        <is>
          <t>DIA</t>
        </is>
      </c>
      <c r="D2437" s="6" t="inlineStr">
        <is>
          <t>MCD</t>
        </is>
      </c>
      <c r="E2437" s="6" t="inlineStr">
        <is>
          <t>MCD</t>
        </is>
      </c>
      <c r="F2437" s="6" t="inlineStr">
        <is>
          <t>-</t>
        </is>
      </c>
      <c r="G2437" s="7" t="n">
        <v>239.5171813964844</v>
      </c>
      <c r="H2437" s="6">
        <f>P2406</f>
        <v/>
      </c>
      <c r="I2437" s="9">
        <f>Q2406</f>
        <v/>
      </c>
      <c r="J2437" s="7">
        <f>I2437*G2437</f>
        <v/>
      </c>
      <c r="K2437" s="8">
        <f>IF($J$2450=0,0,J2437/$J$2450)</f>
        <v/>
      </c>
      <c r="L2437" s="6" t="inlineStr">
        <is>
          <t>REJECTED</t>
        </is>
      </c>
      <c r="M2437" s="8" t="n">
        <v>0</v>
      </c>
      <c r="N2437" s="7">
        <f>M2437*$J$2450-J2437</f>
        <v/>
      </c>
      <c r="O2437" s="9">
        <f>IF(G2437=0,0,N2437/G2437)</f>
        <v/>
      </c>
      <c r="P2437" s="6">
        <f>IF(M2437&gt;0,D2437,"")</f>
        <v/>
      </c>
      <c r="Q2437" s="9">
        <f>I2437+O2437</f>
        <v/>
      </c>
      <c r="R2437" s="7">
        <f>Q2437*G2437</f>
        <v/>
      </c>
      <c r="S2437" s="8">
        <f>IF($R$2450=0,0,R2437/$R$2450)</f>
        <v/>
      </c>
      <c r="T2437" s="8" t="n">
        <v>0.01887359925646837</v>
      </c>
      <c r="U2437" s="8" t="n">
        <v>0.006570887832847205</v>
      </c>
      <c r="V2437" s="6" t="inlineStr">
        <is>
          <t>not selected</t>
        </is>
      </c>
    </row>
    <row r="2438">
      <c r="A2438" s="6" t="inlineStr">
        <is>
          <t>DJ30</t>
        </is>
      </c>
      <c r="B2438" s="6" t="inlineStr">
        <is>
          <t>2024-07-05</t>
        </is>
      </c>
      <c r="C2438" s="6" t="inlineStr">
        <is>
          <t>DIA</t>
        </is>
      </c>
      <c r="D2438" s="6" t="inlineStr">
        <is>
          <t>MMM</t>
        </is>
      </c>
      <c r="E2438" s="6" t="inlineStr">
        <is>
          <t>MMM</t>
        </is>
      </c>
      <c r="F2438" s="6" t="inlineStr">
        <is>
          <t>-</t>
        </is>
      </c>
      <c r="G2438" s="7" t="n">
        <v>97.442626953125</v>
      </c>
      <c r="H2438" s="6">
        <f>P2407</f>
        <v/>
      </c>
      <c r="I2438" s="9">
        <f>Q2407</f>
        <v/>
      </c>
      <c r="J2438" s="7">
        <f>I2438*G2438</f>
        <v/>
      </c>
      <c r="K2438" s="8">
        <f>IF($J$2450=0,0,J2438/$J$2450)</f>
        <v/>
      </c>
      <c r="L2438" s="6" t="inlineStr">
        <is>
          <t>WATCHLIST</t>
        </is>
      </c>
      <c r="M2438" s="8" t="n">
        <v>0</v>
      </c>
      <c r="N2438" s="7">
        <f>M2438*$J$2450-J2438</f>
        <v/>
      </c>
      <c r="O2438" s="9">
        <f>IF(G2438=0,0,N2438/G2438)</f>
        <v/>
      </c>
      <c r="P2438" s="6">
        <f>IF(M2438&gt;0,D2438,"")</f>
        <v/>
      </c>
      <c r="Q2438" s="9">
        <f>I2438+O2438</f>
        <v/>
      </c>
      <c r="R2438" s="7">
        <f>Q2438*G2438</f>
        <v/>
      </c>
      <c r="S2438" s="8">
        <f>IF($R$2450=0,0,R2438/$R$2450)</f>
        <v/>
      </c>
      <c r="T2438" s="8" t="n">
        <v>0.01887359925646837</v>
      </c>
      <c r="U2438" s="8" t="n">
        <v>0.006570887832847205</v>
      </c>
      <c r="V2438" s="6" t="inlineStr">
        <is>
          <t>not selected</t>
        </is>
      </c>
    </row>
    <row r="2439">
      <c r="A2439" s="6" t="inlineStr">
        <is>
          <t>DJ30</t>
        </is>
      </c>
      <c r="B2439" s="6" t="inlineStr">
        <is>
          <t>2024-07-05</t>
        </is>
      </c>
      <c r="C2439" s="6" t="inlineStr">
        <is>
          <t>DIA</t>
        </is>
      </c>
      <c r="D2439" s="6" t="inlineStr">
        <is>
          <t>MRK</t>
        </is>
      </c>
      <c r="E2439" s="6" t="inlineStr">
        <is>
          <t>MRK</t>
        </is>
      </c>
      <c r="F2439" s="6" t="inlineStr">
        <is>
          <t>-</t>
        </is>
      </c>
      <c r="G2439" s="7" t="n">
        <v>118.3630142211914</v>
      </c>
      <c r="H2439" s="6">
        <f>P2408</f>
        <v/>
      </c>
      <c r="I2439" s="9">
        <f>Q2408</f>
        <v/>
      </c>
      <c r="J2439" s="7">
        <f>I2439*G2439</f>
        <v/>
      </c>
      <c r="K2439" s="8">
        <f>IF($J$2450=0,0,J2439/$J$2450)</f>
        <v/>
      </c>
      <c r="L2439" s="6" t="inlineStr">
        <is>
          <t>WATCHLIST</t>
        </is>
      </c>
      <c r="M2439" s="8" t="n">
        <v>0</v>
      </c>
      <c r="N2439" s="7">
        <f>M2439*$J$2450-J2439</f>
        <v/>
      </c>
      <c r="O2439" s="9">
        <f>IF(G2439=0,0,N2439/G2439)</f>
        <v/>
      </c>
      <c r="P2439" s="6">
        <f>IF(M2439&gt;0,D2439,"")</f>
        <v/>
      </c>
      <c r="Q2439" s="9">
        <f>I2439+O2439</f>
        <v/>
      </c>
      <c r="R2439" s="7">
        <f>Q2439*G2439</f>
        <v/>
      </c>
      <c r="S2439" s="8">
        <f>IF($R$2450=0,0,R2439/$R$2450)</f>
        <v/>
      </c>
      <c r="T2439" s="8" t="n">
        <v>0.01887359925646837</v>
      </c>
      <c r="U2439" s="8" t="n">
        <v>0.006570887832847205</v>
      </c>
      <c r="V2439" s="6" t="inlineStr">
        <is>
          <t>not selected</t>
        </is>
      </c>
    </row>
    <row r="2440">
      <c r="A2440" s="6" t="inlineStr">
        <is>
          <t>DJ30</t>
        </is>
      </c>
      <c r="B2440" s="6" t="inlineStr">
        <is>
          <t>2024-07-05</t>
        </is>
      </c>
      <c r="C2440" s="6" t="inlineStr">
        <is>
          <t>DIA</t>
        </is>
      </c>
      <c r="D2440" s="6" t="inlineStr">
        <is>
          <t>MSFT</t>
        </is>
      </c>
      <c r="E2440" s="6" t="inlineStr">
        <is>
          <t>MSFT</t>
        </is>
      </c>
      <c r="F2440" s="6" t="inlineStr">
        <is>
          <t>-</t>
        </is>
      </c>
      <c r="G2440" s="7" t="n">
        <v>460.3256530761719</v>
      </c>
      <c r="H2440" s="6">
        <f>P2409</f>
        <v/>
      </c>
      <c r="I2440" s="9">
        <f>Q2409</f>
        <v/>
      </c>
      <c r="J2440" s="7">
        <f>I2440*G2440</f>
        <v/>
      </c>
      <c r="K2440" s="8">
        <f>IF($J$2450=0,0,J2440/$J$2450)</f>
        <v/>
      </c>
      <c r="L2440" s="6" t="inlineStr">
        <is>
          <t>WATCHLIST</t>
        </is>
      </c>
      <c r="M2440" s="8" t="n">
        <v>0</v>
      </c>
      <c r="N2440" s="7">
        <f>M2440*$J$2450-J2440</f>
        <v/>
      </c>
      <c r="O2440" s="9">
        <f>IF(G2440=0,0,N2440/G2440)</f>
        <v/>
      </c>
      <c r="P2440" s="6">
        <f>IF(M2440&gt;0,D2440,"")</f>
        <v/>
      </c>
      <c r="Q2440" s="9">
        <f>I2440+O2440</f>
        <v/>
      </c>
      <c r="R2440" s="7">
        <f>Q2440*G2440</f>
        <v/>
      </c>
      <c r="S2440" s="8">
        <f>IF($R$2450=0,0,R2440/$R$2450)</f>
        <v/>
      </c>
      <c r="T2440" s="8" t="n">
        <v>0.01887359925646837</v>
      </c>
      <c r="U2440" s="8" t="n">
        <v>0.006570887832847205</v>
      </c>
      <c r="V2440" s="6" t="inlineStr">
        <is>
          <t>not selected</t>
        </is>
      </c>
    </row>
    <row r="2441">
      <c r="A2441" s="6" t="inlineStr">
        <is>
          <t>DJ30</t>
        </is>
      </c>
      <c r="B2441" s="6" t="inlineStr">
        <is>
          <t>2024-07-05</t>
        </is>
      </c>
      <c r="C2441" s="6" t="inlineStr">
        <is>
          <t>DIA</t>
        </is>
      </c>
      <c r="D2441" s="6" t="inlineStr">
        <is>
          <t>NKE</t>
        </is>
      </c>
      <c r="E2441" s="6" t="inlineStr">
        <is>
          <t>NKE</t>
        </is>
      </c>
      <c r="F2441" s="6" t="inlineStr">
        <is>
          <t>-</t>
        </is>
      </c>
      <c r="G2441" s="7" t="n">
        <v>71.8743896484375</v>
      </c>
      <c r="H2441" s="6">
        <f>P2410</f>
        <v/>
      </c>
      <c r="I2441" s="9">
        <f>Q2410</f>
        <v/>
      </c>
      <c r="J2441" s="7">
        <f>I2441*G2441</f>
        <v/>
      </c>
      <c r="K2441" s="8">
        <f>IF($J$2450=0,0,J2441/$J$2450)</f>
        <v/>
      </c>
      <c r="L2441" s="6" t="inlineStr">
        <is>
          <t>REJECTED</t>
        </is>
      </c>
      <c r="M2441" s="8" t="n">
        <v>0</v>
      </c>
      <c r="N2441" s="7">
        <f>M2441*$J$2450-J2441</f>
        <v/>
      </c>
      <c r="O2441" s="9">
        <f>IF(G2441=0,0,N2441/G2441)</f>
        <v/>
      </c>
      <c r="P2441" s="6">
        <f>IF(M2441&gt;0,D2441,"")</f>
        <v/>
      </c>
      <c r="Q2441" s="9">
        <f>I2441+O2441</f>
        <v/>
      </c>
      <c r="R2441" s="7">
        <f>Q2441*G2441</f>
        <v/>
      </c>
      <c r="S2441" s="8">
        <f>IF($R$2450=0,0,R2441/$R$2450)</f>
        <v/>
      </c>
      <c r="T2441" s="8" t="n">
        <v>0.01887359925646837</v>
      </c>
      <c r="U2441" s="8" t="n">
        <v>0.006570887832847205</v>
      </c>
      <c r="V2441" s="6" t="inlineStr">
        <is>
          <t>not selected</t>
        </is>
      </c>
    </row>
    <row r="2442">
      <c r="A2442" s="6" t="inlineStr">
        <is>
          <t>DJ30</t>
        </is>
      </c>
      <c r="B2442" s="6" t="inlineStr">
        <is>
          <t>2024-07-05</t>
        </is>
      </c>
      <c r="C2442" s="6" t="inlineStr">
        <is>
          <t>DIA</t>
        </is>
      </c>
      <c r="D2442" s="6" t="inlineStr">
        <is>
          <t>NVDA</t>
        </is>
      </c>
      <c r="E2442" s="6" t="inlineStr">
        <is>
          <t>NVDA</t>
        </is>
      </c>
      <c r="F2442" s="6" t="inlineStr">
        <is>
          <t>-</t>
        </is>
      </c>
      <c r="G2442" s="7" t="n">
        <v>125.6229400634766</v>
      </c>
      <c r="H2442" s="6">
        <f>P2411</f>
        <v/>
      </c>
      <c r="I2442" s="9">
        <f>Q2411</f>
        <v/>
      </c>
      <c r="J2442" s="7">
        <f>I2442*G2442</f>
        <v/>
      </c>
      <c r="K2442" s="8">
        <f>IF($J$2450=0,0,J2442/$J$2450)</f>
        <v/>
      </c>
      <c r="L2442" s="6" t="inlineStr">
        <is>
          <t>SELECTED</t>
        </is>
      </c>
      <c r="M2442" s="8" t="n">
        <v>0.2</v>
      </c>
      <c r="N2442" s="7">
        <f>M2442*$J$2450-J2442</f>
        <v/>
      </c>
      <c r="O2442" s="9">
        <f>IF(G2442=0,0,N2442/G2442)</f>
        <v/>
      </c>
      <c r="P2442" s="6">
        <f>IF(M2442&gt;0,D2442,"")</f>
        <v/>
      </c>
      <c r="Q2442" s="9">
        <f>I2442+O2442</f>
        <v/>
      </c>
      <c r="R2442" s="7">
        <f>Q2442*G2442</f>
        <v/>
      </c>
      <c r="S2442" s="8">
        <f>IF($R$2450=0,0,R2442/$R$2450)</f>
        <v/>
      </c>
      <c r="T2442" s="8" t="n">
        <v>0.01887359925646837</v>
      </c>
      <c r="U2442" s="8" t="n">
        <v>0.006570887832847205</v>
      </c>
      <c r="V2442" s="6" t="inlineStr">
        <is>
          <t>remained in weekly selection</t>
        </is>
      </c>
    </row>
    <row r="2443">
      <c r="A2443" s="6" t="inlineStr">
        <is>
          <t>DJ30</t>
        </is>
      </c>
      <c r="B2443" s="6" t="inlineStr">
        <is>
          <t>2024-07-05</t>
        </is>
      </c>
      <c r="C2443" s="6" t="inlineStr">
        <is>
          <t>DIA</t>
        </is>
      </c>
      <c r="D2443" s="6" t="inlineStr">
        <is>
          <t>PG</t>
        </is>
      </c>
      <c r="E2443" s="6" t="inlineStr">
        <is>
          <t>PG</t>
        </is>
      </c>
      <c r="F2443" s="6" t="inlineStr">
        <is>
          <t>-</t>
        </is>
      </c>
      <c r="G2443" s="7" t="n">
        <v>156.7582397460938</v>
      </c>
      <c r="H2443" s="6">
        <f>P2412</f>
        <v/>
      </c>
      <c r="I2443" s="9">
        <f>Q2412</f>
        <v/>
      </c>
      <c r="J2443" s="7">
        <f>I2443*G2443</f>
        <v/>
      </c>
      <c r="K2443" s="8">
        <f>IF($J$2450=0,0,J2443/$J$2450)</f>
        <v/>
      </c>
      <c r="L2443" s="6" t="inlineStr">
        <is>
          <t>WATCHLIST</t>
        </is>
      </c>
      <c r="M2443" s="8" t="n">
        <v>0</v>
      </c>
      <c r="N2443" s="7">
        <f>M2443*$J$2450-J2443</f>
        <v/>
      </c>
      <c r="O2443" s="9">
        <f>IF(G2443=0,0,N2443/G2443)</f>
        <v/>
      </c>
      <c r="P2443" s="6">
        <f>IF(M2443&gt;0,D2443,"")</f>
        <v/>
      </c>
      <c r="Q2443" s="9">
        <f>I2443+O2443</f>
        <v/>
      </c>
      <c r="R2443" s="7">
        <f>Q2443*G2443</f>
        <v/>
      </c>
      <c r="S2443" s="8">
        <f>IF($R$2450=0,0,R2443/$R$2450)</f>
        <v/>
      </c>
      <c r="T2443" s="8" t="n">
        <v>0.01887359925646837</v>
      </c>
      <c r="U2443" s="8" t="n">
        <v>0.006570887832847205</v>
      </c>
      <c r="V2443" s="6" t="inlineStr">
        <is>
          <t>not selected</t>
        </is>
      </c>
    </row>
    <row r="2444">
      <c r="A2444" s="6" t="inlineStr">
        <is>
          <t>DJ30</t>
        </is>
      </c>
      <c r="B2444" s="6" t="inlineStr">
        <is>
          <t>2024-07-05</t>
        </is>
      </c>
      <c r="C2444" s="6" t="inlineStr">
        <is>
          <t>DIA</t>
        </is>
      </c>
      <c r="D2444" s="6" t="inlineStr">
        <is>
          <t>SHW</t>
        </is>
      </c>
      <c r="E2444" s="6" t="inlineStr">
        <is>
          <t>SHW</t>
        </is>
      </c>
      <c r="F2444" s="6" t="inlineStr">
        <is>
          <t>-</t>
        </is>
      </c>
      <c r="G2444" s="7" t="n">
        <v>290.5653076171875</v>
      </c>
      <c r="H2444" s="6">
        <f>P2413</f>
        <v/>
      </c>
      <c r="I2444" s="9">
        <f>Q2413</f>
        <v/>
      </c>
      <c r="J2444" s="7">
        <f>I2444*G2444</f>
        <v/>
      </c>
      <c r="K2444" s="8">
        <f>IF($J$2450=0,0,J2444/$J$2450)</f>
        <v/>
      </c>
      <c r="L2444" s="6" t="inlineStr">
        <is>
          <t>WATCHLIST</t>
        </is>
      </c>
      <c r="M2444" s="8" t="n">
        <v>0</v>
      </c>
      <c r="N2444" s="7">
        <f>M2444*$J$2450-J2444</f>
        <v/>
      </c>
      <c r="O2444" s="9">
        <f>IF(G2444=0,0,N2444/G2444)</f>
        <v/>
      </c>
      <c r="P2444" s="6">
        <f>IF(M2444&gt;0,D2444,"")</f>
        <v/>
      </c>
      <c r="Q2444" s="9">
        <f>I2444+O2444</f>
        <v/>
      </c>
      <c r="R2444" s="7">
        <f>Q2444*G2444</f>
        <v/>
      </c>
      <c r="S2444" s="8">
        <f>IF($R$2450=0,0,R2444/$R$2450)</f>
        <v/>
      </c>
      <c r="T2444" s="8" t="n">
        <v>0.01887359925646837</v>
      </c>
      <c r="U2444" s="8" t="n">
        <v>0.006570887832847205</v>
      </c>
      <c r="V2444" s="6" t="inlineStr">
        <is>
          <t>not selected</t>
        </is>
      </c>
    </row>
    <row r="2445">
      <c r="A2445" s="6" t="inlineStr">
        <is>
          <t>DJ30</t>
        </is>
      </c>
      <c r="B2445" s="6" t="inlineStr">
        <is>
          <t>2024-07-05</t>
        </is>
      </c>
      <c r="C2445" s="6" t="inlineStr">
        <is>
          <t>DIA</t>
        </is>
      </c>
      <c r="D2445" s="6" t="inlineStr">
        <is>
          <t>TRV</t>
        </is>
      </c>
      <c r="E2445" s="6" t="inlineStr">
        <is>
          <t>TRV</t>
        </is>
      </c>
      <c r="F2445" s="6" t="inlineStr">
        <is>
          <t>-</t>
        </is>
      </c>
      <c r="G2445" s="7" t="n">
        <v>195.4099426269531</v>
      </c>
      <c r="H2445" s="6">
        <f>P2414</f>
        <v/>
      </c>
      <c r="I2445" s="9">
        <f>Q2414</f>
        <v/>
      </c>
      <c r="J2445" s="7">
        <f>I2445*G2445</f>
        <v/>
      </c>
      <c r="K2445" s="8">
        <f>IF($J$2450=0,0,J2445/$J$2450)</f>
        <v/>
      </c>
      <c r="L2445" s="6" t="inlineStr">
        <is>
          <t>SELECTED</t>
        </is>
      </c>
      <c r="M2445" s="8" t="n">
        <v>0.2</v>
      </c>
      <c r="N2445" s="7">
        <f>M2445*$J$2450-J2445</f>
        <v/>
      </c>
      <c r="O2445" s="9">
        <f>IF(G2445=0,0,N2445/G2445)</f>
        <v/>
      </c>
      <c r="P2445" s="6">
        <f>IF(M2445&gt;0,D2445,"")</f>
        <v/>
      </c>
      <c r="Q2445" s="9">
        <f>I2445+O2445</f>
        <v/>
      </c>
      <c r="R2445" s="7">
        <f>Q2445*G2445</f>
        <v/>
      </c>
      <c r="S2445" s="8">
        <f>IF($R$2450=0,0,R2445/$R$2450)</f>
        <v/>
      </c>
      <c r="T2445" s="8" t="n">
        <v>0.01887359925646837</v>
      </c>
      <c r="U2445" s="8" t="n">
        <v>0.006570887832847205</v>
      </c>
      <c r="V2445" s="6" t="inlineStr">
        <is>
          <t>remained in weekly selection</t>
        </is>
      </c>
    </row>
    <row r="2446">
      <c r="A2446" s="6" t="inlineStr">
        <is>
          <t>DJ30</t>
        </is>
      </c>
      <c r="B2446" s="6" t="inlineStr">
        <is>
          <t>2024-07-05</t>
        </is>
      </c>
      <c r="C2446" s="6" t="inlineStr">
        <is>
          <t>DIA</t>
        </is>
      </c>
      <c r="D2446" s="6" t="inlineStr">
        <is>
          <t>UNH</t>
        </is>
      </c>
      <c r="E2446" s="6" t="inlineStr">
        <is>
          <t>UNH</t>
        </is>
      </c>
      <c r="F2446" s="6" t="inlineStr">
        <is>
          <t>-</t>
        </is>
      </c>
      <c r="G2446" s="7" t="n">
        <v>466.4731140136719</v>
      </c>
      <c r="H2446" s="6">
        <f>P2415</f>
        <v/>
      </c>
      <c r="I2446" s="9">
        <f>Q2415</f>
        <v/>
      </c>
      <c r="J2446" s="7">
        <f>I2446*G2446</f>
        <v/>
      </c>
      <c r="K2446" s="8">
        <f>IF($J$2450=0,0,J2446/$J$2450)</f>
        <v/>
      </c>
      <c r="L2446" s="6" t="inlineStr">
        <is>
          <t>REJECTED</t>
        </is>
      </c>
      <c r="M2446" s="8" t="n">
        <v>0</v>
      </c>
      <c r="N2446" s="7">
        <f>M2446*$J$2450-J2446</f>
        <v/>
      </c>
      <c r="O2446" s="9">
        <f>IF(G2446=0,0,N2446/G2446)</f>
        <v/>
      </c>
      <c r="P2446" s="6">
        <f>IF(M2446&gt;0,D2446,"")</f>
        <v/>
      </c>
      <c r="Q2446" s="9">
        <f>I2446+O2446</f>
        <v/>
      </c>
      <c r="R2446" s="7">
        <f>Q2446*G2446</f>
        <v/>
      </c>
      <c r="S2446" s="8">
        <f>IF($R$2450=0,0,R2446/$R$2450)</f>
        <v/>
      </c>
      <c r="T2446" s="8" t="n">
        <v>0.01887359925646837</v>
      </c>
      <c r="U2446" s="8" t="n">
        <v>0.006570887832847205</v>
      </c>
      <c r="V2446" s="6" t="inlineStr">
        <is>
          <t>not selected</t>
        </is>
      </c>
    </row>
    <row r="2447">
      <c r="A2447" s="6" t="inlineStr">
        <is>
          <t>DJ30</t>
        </is>
      </c>
      <c r="B2447" s="6" t="inlineStr">
        <is>
          <t>2024-07-05</t>
        </is>
      </c>
      <c r="C2447" s="6" t="inlineStr">
        <is>
          <t>DIA</t>
        </is>
      </c>
      <c r="D2447" s="6" t="inlineStr">
        <is>
          <t>V</t>
        </is>
      </c>
      <c r="E2447" s="6" t="inlineStr">
        <is>
          <t>V</t>
        </is>
      </c>
      <c r="F2447" s="6" t="inlineStr">
        <is>
          <t>-</t>
        </is>
      </c>
      <c r="G2447" s="7" t="n">
        <v>266.3052673339844</v>
      </c>
      <c r="H2447" s="6">
        <f>P2416</f>
        <v/>
      </c>
      <c r="I2447" s="9">
        <f>Q2416</f>
        <v/>
      </c>
      <c r="J2447" s="7">
        <f>I2447*G2447</f>
        <v/>
      </c>
      <c r="K2447" s="8">
        <f>IF($J$2450=0,0,J2447/$J$2450)</f>
        <v/>
      </c>
      <c r="L2447" s="6" t="inlineStr">
        <is>
          <t>WATCHLIST</t>
        </is>
      </c>
      <c r="M2447" s="8" t="n">
        <v>0</v>
      </c>
      <c r="N2447" s="7">
        <f>M2447*$J$2450-J2447</f>
        <v/>
      </c>
      <c r="O2447" s="9">
        <f>IF(G2447=0,0,N2447/G2447)</f>
        <v/>
      </c>
      <c r="P2447" s="6">
        <f>IF(M2447&gt;0,D2447,"")</f>
        <v/>
      </c>
      <c r="Q2447" s="9">
        <f>I2447+O2447</f>
        <v/>
      </c>
      <c r="R2447" s="7">
        <f>Q2447*G2447</f>
        <v/>
      </c>
      <c r="S2447" s="8">
        <f>IF($R$2450=0,0,R2447/$R$2450)</f>
        <v/>
      </c>
      <c r="T2447" s="8" t="n">
        <v>0.01887359925646837</v>
      </c>
      <c r="U2447" s="8" t="n">
        <v>0.006570887832847205</v>
      </c>
      <c r="V2447" s="6" t="inlineStr">
        <is>
          <t>not selected</t>
        </is>
      </c>
    </row>
    <row r="2448">
      <c r="A2448" s="6" t="inlineStr">
        <is>
          <t>DJ30</t>
        </is>
      </c>
      <c r="B2448" s="6" t="inlineStr">
        <is>
          <t>2024-07-05</t>
        </is>
      </c>
      <c r="C2448" s="6" t="inlineStr">
        <is>
          <t>DIA</t>
        </is>
      </c>
      <c r="D2448" s="6" t="inlineStr">
        <is>
          <t>VZ</t>
        </is>
      </c>
      <c r="E2448" s="6" t="inlineStr">
        <is>
          <t>VZ</t>
        </is>
      </c>
      <c r="F2448" s="6" t="inlineStr">
        <is>
          <t>-</t>
        </is>
      </c>
      <c r="G2448" s="7" t="n">
        <v>36.22323608398438</v>
      </c>
      <c r="H2448" s="6">
        <f>P2417</f>
        <v/>
      </c>
      <c r="I2448" s="9">
        <f>Q2417</f>
        <v/>
      </c>
      <c r="J2448" s="7">
        <f>I2448*G2448</f>
        <v/>
      </c>
      <c r="K2448" s="8">
        <f>IF($J$2450=0,0,J2448/$J$2450)</f>
        <v/>
      </c>
      <c r="L2448" s="6" t="inlineStr">
        <is>
          <t>WATCHLIST</t>
        </is>
      </c>
      <c r="M2448" s="8" t="n">
        <v>0</v>
      </c>
      <c r="N2448" s="7">
        <f>M2448*$J$2450-J2448</f>
        <v/>
      </c>
      <c r="O2448" s="9">
        <f>IF(G2448=0,0,N2448/G2448)</f>
        <v/>
      </c>
      <c r="P2448" s="6">
        <f>IF(M2448&gt;0,D2448,"")</f>
        <v/>
      </c>
      <c r="Q2448" s="9">
        <f>I2448+O2448</f>
        <v/>
      </c>
      <c r="R2448" s="7">
        <f>Q2448*G2448</f>
        <v/>
      </c>
      <c r="S2448" s="8">
        <f>IF($R$2450=0,0,R2448/$R$2450)</f>
        <v/>
      </c>
      <c r="T2448" s="8" t="n">
        <v>0.01887359925646837</v>
      </c>
      <c r="U2448" s="8" t="n">
        <v>0.006570887832847205</v>
      </c>
      <c r="V2448" s="6" t="inlineStr">
        <is>
          <t>not selected</t>
        </is>
      </c>
    </row>
    <row r="2449">
      <c r="A2449" s="6" t="inlineStr">
        <is>
          <t>DJ30</t>
        </is>
      </c>
      <c r="B2449" s="6" t="inlineStr">
        <is>
          <t>2024-07-05</t>
        </is>
      </c>
      <c r="C2449" s="6" t="inlineStr">
        <is>
          <t>DIA</t>
        </is>
      </c>
      <c r="D2449" s="6" t="inlineStr">
        <is>
          <t>WMT</t>
        </is>
      </c>
      <c r="E2449" s="6" t="inlineStr">
        <is>
          <t>WMT</t>
        </is>
      </c>
      <c r="F2449" s="6" t="inlineStr">
        <is>
          <t>-</t>
        </is>
      </c>
      <c r="G2449" s="7" t="n">
        <v>68.75324249267578</v>
      </c>
      <c r="H2449" s="6">
        <f>P2418</f>
        <v/>
      </c>
      <c r="I2449" s="9">
        <f>Q2418</f>
        <v/>
      </c>
      <c r="J2449" s="7">
        <f>I2449*G2449</f>
        <v/>
      </c>
      <c r="K2449" s="8">
        <f>IF($J$2450=0,0,J2449/$J$2450)</f>
        <v/>
      </c>
      <c r="L2449" s="6" t="inlineStr">
        <is>
          <t>WATCHLIST</t>
        </is>
      </c>
      <c r="M2449" s="8" t="n">
        <v>0</v>
      </c>
      <c r="N2449" s="7">
        <f>M2449*$J$2450-J2449</f>
        <v/>
      </c>
      <c r="O2449" s="9">
        <f>IF(G2449=0,0,N2449/G2449)</f>
        <v/>
      </c>
      <c r="P2449" s="6">
        <f>IF(M2449&gt;0,D2449,"")</f>
        <v/>
      </c>
      <c r="Q2449" s="9">
        <f>I2449+O2449</f>
        <v/>
      </c>
      <c r="R2449" s="7">
        <f>Q2449*G2449</f>
        <v/>
      </c>
      <c r="S2449" s="8">
        <f>IF($R$2450=0,0,R2449/$R$2450)</f>
        <v/>
      </c>
      <c r="T2449" s="8" t="n">
        <v>0.01887359925646837</v>
      </c>
      <c r="U2449" s="8" t="n">
        <v>0.006570887832847205</v>
      </c>
      <c r="V2449" s="6" t="inlineStr">
        <is>
          <t>not selected</t>
        </is>
      </c>
    </row>
    <row r="2450">
      <c r="A2450" s="10" t="inlineStr">
        <is>
          <t>DJ30</t>
        </is>
      </c>
      <c r="B2450" s="10" t="inlineStr">
        <is>
          <t>2024-07-05</t>
        </is>
      </c>
      <c r="C2450" s="10" t="inlineStr">
        <is>
          <t>DIA</t>
        </is>
      </c>
      <c r="D2450" s="10" t="inlineStr">
        <is>
          <t>Tot Portfolio</t>
        </is>
      </c>
      <c r="E2450" s="10" t="inlineStr"/>
      <c r="F2450" s="10" t="inlineStr"/>
      <c r="G2450" s="11" t="inlineStr"/>
      <c r="H2450" s="10" t="inlineStr"/>
      <c r="I2450" s="12" t="inlineStr"/>
      <c r="J2450" s="11">
        <f>SUM(J2420:J2449)</f>
        <v/>
      </c>
      <c r="K2450" s="13">
        <f>SUM(K2420:K2449)</f>
        <v/>
      </c>
      <c r="L2450" s="10" t="inlineStr">
        <is>
          <t>TOTAL</t>
        </is>
      </c>
      <c r="M2450" s="13">
        <f>SUM(M2420:M2449)</f>
        <v/>
      </c>
      <c r="N2450" s="11">
        <f>SUM(N2420:N2449)</f>
        <v/>
      </c>
      <c r="O2450" s="12">
        <f>SUM(O2420:O2449)</f>
        <v/>
      </c>
      <c r="P2450" s="10" t="inlineStr"/>
      <c r="Q2450" s="12" t="inlineStr"/>
      <c r="R2450" s="11">
        <f>SUM(R2420:R2449)</f>
        <v/>
      </c>
      <c r="S2450" s="13">
        <f>SUM(S2420:S2449)</f>
        <v/>
      </c>
      <c r="T2450" s="13" t="n">
        <v>0.01887359925646837</v>
      </c>
      <c r="U2450" s="13" t="n">
        <v>0.006570887832847205</v>
      </c>
      <c r="V2450" s="10" t="inlineStr"/>
    </row>
    <row r="2451">
      <c r="A2451" s="6" t="inlineStr">
        <is>
          <t>DJ30</t>
        </is>
      </c>
      <c r="B2451" s="6" t="inlineStr">
        <is>
          <t>2024-07-12</t>
        </is>
      </c>
      <c r="C2451" s="6" t="inlineStr">
        <is>
          <t>DIA</t>
        </is>
      </c>
      <c r="D2451" s="6" t="inlineStr">
        <is>
          <t>AAPL</t>
        </is>
      </c>
      <c r="E2451" s="6" t="inlineStr">
        <is>
          <t>AAPL</t>
        </is>
      </c>
      <c r="F2451" s="6" t="inlineStr">
        <is>
          <t>-</t>
        </is>
      </c>
      <c r="G2451" s="7" t="n">
        <v>228.5601043701172</v>
      </c>
      <c r="H2451" s="6">
        <f>P2420</f>
        <v/>
      </c>
      <c r="I2451" s="9">
        <f>Q2420</f>
        <v/>
      </c>
      <c r="J2451" s="7">
        <f>I2451*G2451</f>
        <v/>
      </c>
      <c r="K2451" s="8">
        <f>IF($J$2481=0,0,J2451/$J$2481)</f>
        <v/>
      </c>
      <c r="L2451" s="6" t="inlineStr">
        <is>
          <t>REJECTED</t>
        </is>
      </c>
      <c r="M2451" s="8" t="n">
        <v>0</v>
      </c>
      <c r="N2451" s="7">
        <f>M2451*$J$2481-J2451</f>
        <v/>
      </c>
      <c r="O2451" s="9">
        <f>IF(G2451=0,0,N2451/G2451)</f>
        <v/>
      </c>
      <c r="P2451" s="6">
        <f>IF(M2451&gt;0,D2451,"")</f>
        <v/>
      </c>
      <c r="Q2451" s="9">
        <f>I2451+O2451</f>
        <v/>
      </c>
      <c r="R2451" s="7">
        <f>Q2451*G2451</f>
        <v/>
      </c>
      <c r="S2451" s="8">
        <f>IF($R$2481=0,0,R2451/$R$2481)</f>
        <v/>
      </c>
      <c r="T2451" s="8" t="n">
        <v>0.01860724974217431</v>
      </c>
      <c r="U2451" s="8" t="n">
        <v>0.01681460769793364</v>
      </c>
      <c r="V2451" s="6" t="inlineStr">
        <is>
          <t>not selected</t>
        </is>
      </c>
    </row>
    <row r="2452">
      <c r="A2452" s="6" t="inlineStr">
        <is>
          <t>DJ30</t>
        </is>
      </c>
      <c r="B2452" s="6" t="inlineStr">
        <is>
          <t>2024-07-12</t>
        </is>
      </c>
      <c r="C2452" s="6" t="inlineStr">
        <is>
          <t>DIA</t>
        </is>
      </c>
      <c r="D2452" s="6" t="inlineStr">
        <is>
          <t>AMGN</t>
        </is>
      </c>
      <c r="E2452" s="6" t="inlineStr">
        <is>
          <t>AMGN</t>
        </is>
      </c>
      <c r="F2452" s="6" t="inlineStr">
        <is>
          <t>-</t>
        </is>
      </c>
      <c r="G2452" s="7" t="n">
        <v>311.1392822265625</v>
      </c>
      <c r="H2452" s="6">
        <f>P2421</f>
        <v/>
      </c>
      <c r="I2452" s="9">
        <f>Q2421</f>
        <v/>
      </c>
      <c r="J2452" s="7">
        <f>I2452*G2452</f>
        <v/>
      </c>
      <c r="K2452" s="8">
        <f>IF($J$2481=0,0,J2452/$J$2481)</f>
        <v/>
      </c>
      <c r="L2452" s="6" t="inlineStr">
        <is>
          <t>WATCHLIST</t>
        </is>
      </c>
      <c r="M2452" s="8" t="n">
        <v>0</v>
      </c>
      <c r="N2452" s="7">
        <f>M2452*$J$2481-J2452</f>
        <v/>
      </c>
      <c r="O2452" s="9">
        <f>IF(G2452=0,0,N2452/G2452)</f>
        <v/>
      </c>
      <c r="P2452" s="6">
        <f>IF(M2452&gt;0,D2452,"")</f>
        <v/>
      </c>
      <c r="Q2452" s="9">
        <f>I2452+O2452</f>
        <v/>
      </c>
      <c r="R2452" s="7">
        <f>Q2452*G2452</f>
        <v/>
      </c>
      <c r="S2452" s="8">
        <f>IF($R$2481=0,0,R2452/$R$2481)</f>
        <v/>
      </c>
      <c r="T2452" s="8" t="n">
        <v>0.01860724974217431</v>
      </c>
      <c r="U2452" s="8" t="n">
        <v>0.01681460769793364</v>
      </c>
      <c r="V2452" s="6" t="inlineStr">
        <is>
          <t>not selected</t>
        </is>
      </c>
    </row>
    <row r="2453">
      <c r="A2453" s="6" t="inlineStr">
        <is>
          <t>DJ30</t>
        </is>
      </c>
      <c r="B2453" s="6" t="inlineStr">
        <is>
          <t>2024-07-12</t>
        </is>
      </c>
      <c r="C2453" s="6" t="inlineStr">
        <is>
          <t>DIA</t>
        </is>
      </c>
      <c r="D2453" s="6" t="inlineStr">
        <is>
          <t>AMZN</t>
        </is>
      </c>
      <c r="E2453" s="6" t="inlineStr">
        <is>
          <t>AMZN</t>
        </is>
      </c>
      <c r="F2453" s="6" t="inlineStr">
        <is>
          <t>-</t>
        </is>
      </c>
      <c r="G2453" s="7" t="n">
        <v>194.4900054931641</v>
      </c>
      <c r="H2453" s="6">
        <f>P2422</f>
        <v/>
      </c>
      <c r="I2453" s="9">
        <f>Q2422</f>
        <v/>
      </c>
      <c r="J2453" s="7">
        <f>I2453*G2453</f>
        <v/>
      </c>
      <c r="K2453" s="8">
        <f>IF($J$2481=0,0,J2453/$J$2481)</f>
        <v/>
      </c>
      <c r="L2453" s="6" t="inlineStr">
        <is>
          <t>SELECTED</t>
        </is>
      </c>
      <c r="M2453" s="8" t="n">
        <v>0.2</v>
      </c>
      <c r="N2453" s="7">
        <f>M2453*$J$2481-J2453</f>
        <v/>
      </c>
      <c r="O2453" s="9">
        <f>IF(G2453=0,0,N2453/G2453)</f>
        <v/>
      </c>
      <c r="P2453" s="6">
        <f>IF(M2453&gt;0,D2453,"")</f>
        <v/>
      </c>
      <c r="Q2453" s="9">
        <f>I2453+O2453</f>
        <v/>
      </c>
      <c r="R2453" s="7">
        <f>Q2453*G2453</f>
        <v/>
      </c>
      <c r="S2453" s="8">
        <f>IF($R$2481=0,0,R2453/$R$2481)</f>
        <v/>
      </c>
      <c r="T2453" s="8" t="n">
        <v>0.01860724974217431</v>
      </c>
      <c r="U2453" s="8" t="n">
        <v>0.01681460769793364</v>
      </c>
      <c r="V2453" s="6" t="inlineStr">
        <is>
          <t>remained in weekly selection</t>
        </is>
      </c>
    </row>
    <row r="2454">
      <c r="A2454" s="6" t="inlineStr">
        <is>
          <t>DJ30</t>
        </is>
      </c>
      <c r="B2454" s="6" t="inlineStr">
        <is>
          <t>2024-07-12</t>
        </is>
      </c>
      <c r="C2454" s="6" t="inlineStr">
        <is>
          <t>DIA</t>
        </is>
      </c>
      <c r="D2454" s="6" t="inlineStr">
        <is>
          <t>AXP</t>
        </is>
      </c>
      <c r="E2454" s="6" t="inlineStr">
        <is>
          <t>AXP</t>
        </is>
      </c>
      <c r="F2454" s="6" t="inlineStr">
        <is>
          <t>-</t>
        </is>
      </c>
      <c r="G2454" s="7" t="n">
        <v>234.2091217041016</v>
      </c>
      <c r="H2454" s="6">
        <f>P2423</f>
        <v/>
      </c>
      <c r="I2454" s="9">
        <f>Q2423</f>
        <v/>
      </c>
      <c r="J2454" s="7">
        <f>I2454*G2454</f>
        <v/>
      </c>
      <c r="K2454" s="8">
        <f>IF($J$2481=0,0,J2454/$J$2481)</f>
        <v/>
      </c>
      <c r="L2454" s="6" t="inlineStr">
        <is>
          <t>SELECTED</t>
        </is>
      </c>
      <c r="M2454" s="8" t="n">
        <v>0.2</v>
      </c>
      <c r="N2454" s="7">
        <f>M2454*$J$2481-J2454</f>
        <v/>
      </c>
      <c r="O2454" s="9">
        <f>IF(G2454=0,0,N2454/G2454)</f>
        <v/>
      </c>
      <c r="P2454" s="6">
        <f>IF(M2454&gt;0,D2454,"")</f>
        <v/>
      </c>
      <c r="Q2454" s="9">
        <f>I2454+O2454</f>
        <v/>
      </c>
      <c r="R2454" s="7">
        <f>Q2454*G2454</f>
        <v/>
      </c>
      <c r="S2454" s="8">
        <f>IF($R$2481=0,0,R2454/$R$2481)</f>
        <v/>
      </c>
      <c r="T2454" s="8" t="n">
        <v>0.01860724974217431</v>
      </c>
      <c r="U2454" s="8" t="n">
        <v>0.01681460769793364</v>
      </c>
      <c r="V2454" s="6" t="inlineStr">
        <is>
          <t>remained in weekly selection</t>
        </is>
      </c>
    </row>
    <row r="2455">
      <c r="A2455" s="6" t="inlineStr">
        <is>
          <t>DJ30</t>
        </is>
      </c>
      <c r="B2455" s="6" t="inlineStr">
        <is>
          <t>2024-07-12</t>
        </is>
      </c>
      <c r="C2455" s="6" t="inlineStr">
        <is>
          <t>DIA</t>
        </is>
      </c>
      <c r="D2455" s="6" t="inlineStr">
        <is>
          <t>BA</t>
        </is>
      </c>
      <c r="E2455" s="6" t="inlineStr">
        <is>
          <t>BA</t>
        </is>
      </c>
      <c r="F2455" s="6" t="inlineStr">
        <is>
          <t>-</t>
        </is>
      </c>
      <c r="G2455" s="7" t="n">
        <v>182.3099975585937</v>
      </c>
      <c r="H2455" s="6">
        <f>P2424</f>
        <v/>
      </c>
      <c r="I2455" s="9">
        <f>Q2424</f>
        <v/>
      </c>
      <c r="J2455" s="7">
        <f>I2455*G2455</f>
        <v/>
      </c>
      <c r="K2455" s="8">
        <f>IF($J$2481=0,0,J2455/$J$2481)</f>
        <v/>
      </c>
      <c r="L2455" s="6" t="inlineStr">
        <is>
          <t>REJECTED</t>
        </is>
      </c>
      <c r="M2455" s="8" t="n">
        <v>0</v>
      </c>
      <c r="N2455" s="7">
        <f>M2455*$J$2481-J2455</f>
        <v/>
      </c>
      <c r="O2455" s="9">
        <f>IF(G2455=0,0,N2455/G2455)</f>
        <v/>
      </c>
      <c r="P2455" s="6">
        <f>IF(M2455&gt;0,D2455,"")</f>
        <v/>
      </c>
      <c r="Q2455" s="9">
        <f>I2455+O2455</f>
        <v/>
      </c>
      <c r="R2455" s="7">
        <f>Q2455*G2455</f>
        <v/>
      </c>
      <c r="S2455" s="8">
        <f>IF($R$2481=0,0,R2455/$R$2481)</f>
        <v/>
      </c>
      <c r="T2455" s="8" t="n">
        <v>0.01860724974217431</v>
      </c>
      <c r="U2455" s="8" t="n">
        <v>0.01681460769793364</v>
      </c>
      <c r="V2455" s="6" t="inlineStr">
        <is>
          <t>not selected</t>
        </is>
      </c>
    </row>
    <row r="2456">
      <c r="A2456" s="6" t="inlineStr">
        <is>
          <t>DJ30</t>
        </is>
      </c>
      <c r="B2456" s="6" t="inlineStr">
        <is>
          <t>2024-07-12</t>
        </is>
      </c>
      <c r="C2456" s="6" t="inlineStr">
        <is>
          <t>DIA</t>
        </is>
      </c>
      <c r="D2456" s="6" t="inlineStr">
        <is>
          <t>CAT</t>
        </is>
      </c>
      <c r="E2456" s="6" t="inlineStr">
        <is>
          <t>CAT</t>
        </is>
      </c>
      <c r="F2456" s="6" t="inlineStr">
        <is>
          <t>-</t>
        </is>
      </c>
      <c r="G2456" s="7" t="n">
        <v>326.6901550292969</v>
      </c>
      <c r="H2456" s="6">
        <f>P2425</f>
        <v/>
      </c>
      <c r="I2456" s="9">
        <f>Q2425</f>
        <v/>
      </c>
      <c r="J2456" s="7">
        <f>I2456*G2456</f>
        <v/>
      </c>
      <c r="K2456" s="8">
        <f>IF($J$2481=0,0,J2456/$J$2481)</f>
        <v/>
      </c>
      <c r="L2456" s="6" t="inlineStr">
        <is>
          <t>WATCHLIST</t>
        </is>
      </c>
      <c r="M2456" s="8" t="n">
        <v>0</v>
      </c>
      <c r="N2456" s="7">
        <f>M2456*$J$2481-J2456</f>
        <v/>
      </c>
      <c r="O2456" s="9">
        <f>IF(G2456=0,0,N2456/G2456)</f>
        <v/>
      </c>
      <c r="P2456" s="6">
        <f>IF(M2456&gt;0,D2456,"")</f>
        <v/>
      </c>
      <c r="Q2456" s="9">
        <f>I2456+O2456</f>
        <v/>
      </c>
      <c r="R2456" s="7">
        <f>Q2456*G2456</f>
        <v/>
      </c>
      <c r="S2456" s="8">
        <f>IF($R$2481=0,0,R2456/$R$2481)</f>
        <v/>
      </c>
      <c r="T2456" s="8" t="n">
        <v>0.01860724974217431</v>
      </c>
      <c r="U2456" s="8" t="n">
        <v>0.01681460769793364</v>
      </c>
      <c r="V2456" s="6" t="inlineStr">
        <is>
          <t>not selected</t>
        </is>
      </c>
    </row>
    <row r="2457">
      <c r="A2457" s="6" t="inlineStr">
        <is>
          <t>DJ30</t>
        </is>
      </c>
      <c r="B2457" s="6" t="inlineStr">
        <is>
          <t>2024-07-12</t>
        </is>
      </c>
      <c r="C2457" s="6" t="inlineStr">
        <is>
          <t>DIA</t>
        </is>
      </c>
      <c r="D2457" s="6" t="inlineStr">
        <is>
          <t>CRM</t>
        </is>
      </c>
      <c r="E2457" s="6" t="inlineStr">
        <is>
          <t>CRM</t>
        </is>
      </c>
      <c r="F2457" s="6" t="inlineStr">
        <is>
          <t>-</t>
        </is>
      </c>
      <c r="G2457" s="7" t="n">
        <v>250.3661346435547</v>
      </c>
      <c r="H2457" s="6">
        <f>P2426</f>
        <v/>
      </c>
      <c r="I2457" s="9">
        <f>Q2426</f>
        <v/>
      </c>
      <c r="J2457" s="7">
        <f>I2457*G2457</f>
        <v/>
      </c>
      <c r="K2457" s="8">
        <f>IF($J$2481=0,0,J2457/$J$2481)</f>
        <v/>
      </c>
      <c r="L2457" s="6" t="inlineStr">
        <is>
          <t>WATCHLIST</t>
        </is>
      </c>
      <c r="M2457" s="8" t="n">
        <v>0</v>
      </c>
      <c r="N2457" s="7">
        <f>M2457*$J$2481-J2457</f>
        <v/>
      </c>
      <c r="O2457" s="9">
        <f>IF(G2457=0,0,N2457/G2457)</f>
        <v/>
      </c>
      <c r="P2457" s="6">
        <f>IF(M2457&gt;0,D2457,"")</f>
        <v/>
      </c>
      <c r="Q2457" s="9">
        <f>I2457+O2457</f>
        <v/>
      </c>
      <c r="R2457" s="7">
        <f>Q2457*G2457</f>
        <v/>
      </c>
      <c r="S2457" s="8">
        <f>IF($R$2481=0,0,R2457/$R$2481)</f>
        <v/>
      </c>
      <c r="T2457" s="8" t="n">
        <v>0.01860724974217431</v>
      </c>
      <c r="U2457" s="8" t="n">
        <v>0.01681460769793364</v>
      </c>
      <c r="V2457" s="6" t="inlineStr">
        <is>
          <t>not selected</t>
        </is>
      </c>
    </row>
    <row r="2458">
      <c r="A2458" s="6" t="inlineStr">
        <is>
          <t>DJ30</t>
        </is>
      </c>
      <c r="B2458" s="6" t="inlineStr">
        <is>
          <t>2024-07-12</t>
        </is>
      </c>
      <c r="C2458" s="6" t="inlineStr">
        <is>
          <t>DIA</t>
        </is>
      </c>
      <c r="D2458" s="6" t="inlineStr">
        <is>
          <t>CSCO</t>
        </is>
      </c>
      <c r="E2458" s="6" t="inlineStr">
        <is>
          <t>CSCO</t>
        </is>
      </c>
      <c r="F2458" s="6" t="inlineStr">
        <is>
          <t>-</t>
        </is>
      </c>
      <c r="G2458" s="7" t="n">
        <v>45.34885787963867</v>
      </c>
      <c r="H2458" s="6">
        <f>P2427</f>
        <v/>
      </c>
      <c r="I2458" s="9">
        <f>Q2427</f>
        <v/>
      </c>
      <c r="J2458" s="7">
        <f>I2458*G2458</f>
        <v/>
      </c>
      <c r="K2458" s="8">
        <f>IF($J$2481=0,0,J2458/$J$2481)</f>
        <v/>
      </c>
      <c r="L2458" s="6" t="inlineStr">
        <is>
          <t>REJECTED</t>
        </is>
      </c>
      <c r="M2458" s="8" t="n">
        <v>0</v>
      </c>
      <c r="N2458" s="7">
        <f>M2458*$J$2481-J2458</f>
        <v/>
      </c>
      <c r="O2458" s="9">
        <f>IF(G2458=0,0,N2458/G2458)</f>
        <v/>
      </c>
      <c r="P2458" s="6">
        <f>IF(M2458&gt;0,D2458,"")</f>
        <v/>
      </c>
      <c r="Q2458" s="9">
        <f>I2458+O2458</f>
        <v/>
      </c>
      <c r="R2458" s="7">
        <f>Q2458*G2458</f>
        <v/>
      </c>
      <c r="S2458" s="8">
        <f>IF($R$2481=0,0,R2458/$R$2481)</f>
        <v/>
      </c>
      <c r="T2458" s="8" t="n">
        <v>0.01860724974217431</v>
      </c>
      <c r="U2458" s="8" t="n">
        <v>0.01681460769793364</v>
      </c>
      <c r="V2458" s="6" t="inlineStr">
        <is>
          <t>not selected</t>
        </is>
      </c>
    </row>
    <row r="2459">
      <c r="A2459" s="6" t="inlineStr">
        <is>
          <t>DJ30</t>
        </is>
      </c>
      <c r="B2459" s="6" t="inlineStr">
        <is>
          <t>2024-07-12</t>
        </is>
      </c>
      <c r="C2459" s="6" t="inlineStr">
        <is>
          <t>DIA</t>
        </is>
      </c>
      <c r="D2459" s="6" t="inlineStr">
        <is>
          <t>CVX</t>
        </is>
      </c>
      <c r="E2459" s="6" t="inlineStr">
        <is>
          <t>CVX</t>
        </is>
      </c>
      <c r="F2459" s="6" t="inlineStr">
        <is>
          <t>-</t>
        </is>
      </c>
      <c r="G2459" s="7" t="n">
        <v>142.8476257324219</v>
      </c>
      <c r="H2459" s="6">
        <f>P2428</f>
        <v/>
      </c>
      <c r="I2459" s="9">
        <f>Q2428</f>
        <v/>
      </c>
      <c r="J2459" s="7">
        <f>I2459*G2459</f>
        <v/>
      </c>
      <c r="K2459" s="8">
        <f>IF($J$2481=0,0,J2459/$J$2481)</f>
        <v/>
      </c>
      <c r="L2459" s="6" t="inlineStr">
        <is>
          <t>REJECTED</t>
        </is>
      </c>
      <c r="M2459" s="8" t="n">
        <v>0</v>
      </c>
      <c r="N2459" s="7">
        <f>M2459*$J$2481-J2459</f>
        <v/>
      </c>
      <c r="O2459" s="9">
        <f>IF(G2459=0,0,N2459/G2459)</f>
        <v/>
      </c>
      <c r="P2459" s="6">
        <f>IF(M2459&gt;0,D2459,"")</f>
        <v/>
      </c>
      <c r="Q2459" s="9">
        <f>I2459+O2459</f>
        <v/>
      </c>
      <c r="R2459" s="7">
        <f>Q2459*G2459</f>
        <v/>
      </c>
      <c r="S2459" s="8">
        <f>IF($R$2481=0,0,R2459/$R$2481)</f>
        <v/>
      </c>
      <c r="T2459" s="8" t="n">
        <v>0.01860724974217431</v>
      </c>
      <c r="U2459" s="8" t="n">
        <v>0.01681460769793364</v>
      </c>
      <c r="V2459" s="6" t="inlineStr">
        <is>
          <t>not selected</t>
        </is>
      </c>
    </row>
    <row r="2460">
      <c r="A2460" s="6" t="inlineStr">
        <is>
          <t>DJ30</t>
        </is>
      </c>
      <c r="B2460" s="6" t="inlineStr">
        <is>
          <t>2024-07-12</t>
        </is>
      </c>
      <c r="C2460" s="6" t="inlineStr">
        <is>
          <t>DIA</t>
        </is>
      </c>
      <c r="D2460" s="6" t="inlineStr">
        <is>
          <t>DIS</t>
        </is>
      </c>
      <c r="E2460" s="6" t="inlineStr">
        <is>
          <t>DIS</t>
        </is>
      </c>
      <c r="F2460" s="6" t="inlineStr">
        <is>
          <t>-</t>
        </is>
      </c>
      <c r="G2460" s="7" t="n">
        <v>95.64376068115234</v>
      </c>
      <c r="H2460" s="6">
        <f>P2429</f>
        <v/>
      </c>
      <c r="I2460" s="9">
        <f>Q2429</f>
        <v/>
      </c>
      <c r="J2460" s="7">
        <f>I2460*G2460</f>
        <v/>
      </c>
      <c r="K2460" s="8">
        <f>IF($J$2481=0,0,J2460/$J$2481)</f>
        <v/>
      </c>
      <c r="L2460" s="6" t="inlineStr">
        <is>
          <t>WATCHLIST</t>
        </is>
      </c>
      <c r="M2460" s="8" t="n">
        <v>0</v>
      </c>
      <c r="N2460" s="7">
        <f>M2460*$J$2481-J2460</f>
        <v/>
      </c>
      <c r="O2460" s="9">
        <f>IF(G2460=0,0,N2460/G2460)</f>
        <v/>
      </c>
      <c r="P2460" s="6">
        <f>IF(M2460&gt;0,D2460,"")</f>
        <v/>
      </c>
      <c r="Q2460" s="9">
        <f>I2460+O2460</f>
        <v/>
      </c>
      <c r="R2460" s="7">
        <f>Q2460*G2460</f>
        <v/>
      </c>
      <c r="S2460" s="8">
        <f>IF($R$2481=0,0,R2460/$R$2481)</f>
        <v/>
      </c>
      <c r="T2460" s="8" t="n">
        <v>0.01860724974217431</v>
      </c>
      <c r="U2460" s="8" t="n">
        <v>0.01681460769793364</v>
      </c>
      <c r="V2460" s="6" t="inlineStr">
        <is>
          <t>not selected</t>
        </is>
      </c>
    </row>
    <row r="2461">
      <c r="A2461" s="6" t="inlineStr">
        <is>
          <t>DJ30</t>
        </is>
      </c>
      <c r="B2461" s="6" t="inlineStr">
        <is>
          <t>2024-07-12</t>
        </is>
      </c>
      <c r="C2461" s="6" t="inlineStr">
        <is>
          <t>DIA</t>
        </is>
      </c>
      <c r="D2461" s="6" t="inlineStr">
        <is>
          <t>GS</t>
        </is>
      </c>
      <c r="E2461" s="6" t="inlineStr">
        <is>
          <t>GS</t>
        </is>
      </c>
      <c r="F2461" s="6" t="inlineStr">
        <is>
          <t>-</t>
        </is>
      </c>
      <c r="G2461" s="7" t="n">
        <v>460.745849609375</v>
      </c>
      <c r="H2461" s="6">
        <f>P2430</f>
        <v/>
      </c>
      <c r="I2461" s="9">
        <f>Q2430</f>
        <v/>
      </c>
      <c r="J2461" s="7">
        <f>I2461*G2461</f>
        <v/>
      </c>
      <c r="K2461" s="8">
        <f>IF($J$2481=0,0,J2461/$J$2481)</f>
        <v/>
      </c>
      <c r="L2461" s="6" t="inlineStr">
        <is>
          <t>SELECTED</t>
        </is>
      </c>
      <c r="M2461" s="8" t="n">
        <v>0.2</v>
      </c>
      <c r="N2461" s="7">
        <f>M2461*$J$2481-J2461</f>
        <v/>
      </c>
      <c r="O2461" s="9">
        <f>IF(G2461=0,0,N2461/G2461)</f>
        <v/>
      </c>
      <c r="P2461" s="6">
        <f>IF(M2461&gt;0,D2461,"")</f>
        <v/>
      </c>
      <c r="Q2461" s="9">
        <f>I2461+O2461</f>
        <v/>
      </c>
      <c r="R2461" s="7">
        <f>Q2461*G2461</f>
        <v/>
      </c>
      <c r="S2461" s="8">
        <f>IF($R$2481=0,0,R2461/$R$2481)</f>
        <v/>
      </c>
      <c r="T2461" s="8" t="n">
        <v>0.01860724974217431</v>
      </c>
      <c r="U2461" s="8" t="n">
        <v>0.01681460769793364</v>
      </c>
      <c r="V2461" s="6" t="inlineStr">
        <is>
          <t>remained in weekly selection</t>
        </is>
      </c>
    </row>
    <row r="2462">
      <c r="A2462" s="6" t="inlineStr">
        <is>
          <t>DJ30</t>
        </is>
      </c>
      <c r="B2462" s="6" t="inlineStr">
        <is>
          <t>2024-07-12</t>
        </is>
      </c>
      <c r="C2462" s="6" t="inlineStr">
        <is>
          <t>DIA</t>
        </is>
      </c>
      <c r="D2462" s="6" t="inlineStr">
        <is>
          <t>HD</t>
        </is>
      </c>
      <c r="E2462" s="6" t="inlineStr">
        <is>
          <t>HD</t>
        </is>
      </c>
      <c r="F2462" s="6" t="inlineStr">
        <is>
          <t>-</t>
        </is>
      </c>
      <c r="G2462" s="7" t="n">
        <v>342.2000732421875</v>
      </c>
      <c r="H2462" s="6">
        <f>P2431</f>
        <v/>
      </c>
      <c r="I2462" s="9">
        <f>Q2431</f>
        <v/>
      </c>
      <c r="J2462" s="7">
        <f>I2462*G2462</f>
        <v/>
      </c>
      <c r="K2462" s="8">
        <f>IF($J$2481=0,0,J2462/$J$2481)</f>
        <v/>
      </c>
      <c r="L2462" s="6" t="inlineStr">
        <is>
          <t>WATCHLIST</t>
        </is>
      </c>
      <c r="M2462" s="8" t="n">
        <v>0</v>
      </c>
      <c r="N2462" s="7">
        <f>M2462*$J$2481-J2462</f>
        <v/>
      </c>
      <c r="O2462" s="9">
        <f>IF(G2462=0,0,N2462/G2462)</f>
        <v/>
      </c>
      <c r="P2462" s="6">
        <f>IF(M2462&gt;0,D2462,"")</f>
        <v/>
      </c>
      <c r="Q2462" s="9">
        <f>I2462+O2462</f>
        <v/>
      </c>
      <c r="R2462" s="7">
        <f>Q2462*G2462</f>
        <v/>
      </c>
      <c r="S2462" s="8">
        <f>IF($R$2481=0,0,R2462/$R$2481)</f>
        <v/>
      </c>
      <c r="T2462" s="8" t="n">
        <v>0.01860724974217431</v>
      </c>
      <c r="U2462" s="8" t="n">
        <v>0.01681460769793364</v>
      </c>
      <c r="V2462" s="6" t="inlineStr">
        <is>
          <t>not selected</t>
        </is>
      </c>
    </row>
    <row r="2463">
      <c r="A2463" s="6" t="inlineStr">
        <is>
          <t>DJ30</t>
        </is>
      </c>
      <c r="B2463" s="6" t="inlineStr">
        <is>
          <t>2024-07-12</t>
        </is>
      </c>
      <c r="C2463" s="6" t="inlineStr">
        <is>
          <t>DIA</t>
        </is>
      </c>
      <c r="D2463" s="6" t="inlineStr">
        <is>
          <t>HON</t>
        </is>
      </c>
      <c r="E2463" s="6" t="inlineStr">
        <is>
          <t>HON</t>
        </is>
      </c>
      <c r="F2463" s="6" t="inlineStr">
        <is>
          <t>-</t>
        </is>
      </c>
      <c r="G2463" s="7" t="n">
        <v>194.3263702392578</v>
      </c>
      <c r="H2463" s="6">
        <f>P2432</f>
        <v/>
      </c>
      <c r="I2463" s="9">
        <f>Q2432</f>
        <v/>
      </c>
      <c r="J2463" s="7">
        <f>I2463*G2463</f>
        <v/>
      </c>
      <c r="K2463" s="8">
        <f>IF($J$2481=0,0,J2463/$J$2481)</f>
        <v/>
      </c>
      <c r="L2463" s="6" t="inlineStr">
        <is>
          <t>WATCHLIST</t>
        </is>
      </c>
      <c r="M2463" s="8" t="n">
        <v>0</v>
      </c>
      <c r="N2463" s="7">
        <f>M2463*$J$2481-J2463</f>
        <v/>
      </c>
      <c r="O2463" s="9">
        <f>IF(G2463=0,0,N2463/G2463)</f>
        <v/>
      </c>
      <c r="P2463" s="6">
        <f>IF(M2463&gt;0,D2463,"")</f>
        <v/>
      </c>
      <c r="Q2463" s="9">
        <f>I2463+O2463</f>
        <v/>
      </c>
      <c r="R2463" s="7">
        <f>Q2463*G2463</f>
        <v/>
      </c>
      <c r="S2463" s="8">
        <f>IF($R$2481=0,0,R2463/$R$2481)</f>
        <v/>
      </c>
      <c r="T2463" s="8" t="n">
        <v>0.01860724974217431</v>
      </c>
      <c r="U2463" s="8" t="n">
        <v>0.01681460769793364</v>
      </c>
      <c r="V2463" s="6" t="inlineStr">
        <is>
          <t>not selected</t>
        </is>
      </c>
    </row>
    <row r="2464">
      <c r="A2464" s="6" t="inlineStr">
        <is>
          <t>DJ30</t>
        </is>
      </c>
      <c r="B2464" s="6" t="inlineStr">
        <is>
          <t>2024-07-12</t>
        </is>
      </c>
      <c r="C2464" s="6" t="inlineStr">
        <is>
          <t>DIA</t>
        </is>
      </c>
      <c r="D2464" s="6" t="inlineStr">
        <is>
          <t>IBM</t>
        </is>
      </c>
      <c r="E2464" s="6" t="inlineStr">
        <is>
          <t>IBM</t>
        </is>
      </c>
      <c r="F2464" s="6" t="inlineStr">
        <is>
          <t>-</t>
        </is>
      </c>
      <c r="G2464" s="7" t="n">
        <v>173.0309753417969</v>
      </c>
      <c r="H2464" s="6">
        <f>P2433</f>
        <v/>
      </c>
      <c r="I2464" s="9">
        <f>Q2433</f>
        <v/>
      </c>
      <c r="J2464" s="7">
        <f>I2464*G2464</f>
        <v/>
      </c>
      <c r="K2464" s="8">
        <f>IF($J$2481=0,0,J2464/$J$2481)</f>
        <v/>
      </c>
      <c r="L2464" s="6" t="inlineStr">
        <is>
          <t>WATCHLIST</t>
        </is>
      </c>
      <c r="M2464" s="8" t="n">
        <v>0</v>
      </c>
      <c r="N2464" s="7">
        <f>M2464*$J$2481-J2464</f>
        <v/>
      </c>
      <c r="O2464" s="9">
        <f>IF(G2464=0,0,N2464/G2464)</f>
        <v/>
      </c>
      <c r="P2464" s="6">
        <f>IF(M2464&gt;0,D2464,"")</f>
        <v/>
      </c>
      <c r="Q2464" s="9">
        <f>I2464+O2464</f>
        <v/>
      </c>
      <c r="R2464" s="7">
        <f>Q2464*G2464</f>
        <v/>
      </c>
      <c r="S2464" s="8">
        <f>IF($R$2481=0,0,R2464/$R$2481)</f>
        <v/>
      </c>
      <c r="T2464" s="8" t="n">
        <v>0.01860724974217431</v>
      </c>
      <c r="U2464" s="8" t="n">
        <v>0.01681460769793364</v>
      </c>
      <c r="V2464" s="6" t="inlineStr">
        <is>
          <t>not selected</t>
        </is>
      </c>
    </row>
    <row r="2465">
      <c r="A2465" s="6" t="inlineStr">
        <is>
          <t>DJ30</t>
        </is>
      </c>
      <c r="B2465" s="6" t="inlineStr">
        <is>
          <t>2024-07-12</t>
        </is>
      </c>
      <c r="C2465" s="6" t="inlineStr">
        <is>
          <t>DIA</t>
        </is>
      </c>
      <c r="D2465" s="6" t="inlineStr">
        <is>
          <t>JNJ</t>
        </is>
      </c>
      <c r="E2465" s="6" t="inlineStr">
        <is>
          <t>JNJ</t>
        </is>
      </c>
      <c r="F2465" s="6" t="inlineStr">
        <is>
          <t>-</t>
        </is>
      </c>
      <c r="G2465" s="7" t="n">
        <v>141.6123657226562</v>
      </c>
      <c r="H2465" s="6">
        <f>P2434</f>
        <v/>
      </c>
      <c r="I2465" s="9">
        <f>Q2434</f>
        <v/>
      </c>
      <c r="J2465" s="7">
        <f>I2465*G2465</f>
        <v/>
      </c>
      <c r="K2465" s="8">
        <f>IF($J$2481=0,0,J2465/$J$2481)</f>
        <v/>
      </c>
      <c r="L2465" s="6" t="inlineStr">
        <is>
          <t>REJECTED</t>
        </is>
      </c>
      <c r="M2465" s="8" t="n">
        <v>0</v>
      </c>
      <c r="N2465" s="7">
        <f>M2465*$J$2481-J2465</f>
        <v/>
      </c>
      <c r="O2465" s="9">
        <f>IF(G2465=0,0,N2465/G2465)</f>
        <v/>
      </c>
      <c r="P2465" s="6">
        <f>IF(M2465&gt;0,D2465,"")</f>
        <v/>
      </c>
      <c r="Q2465" s="9">
        <f>I2465+O2465</f>
        <v/>
      </c>
      <c r="R2465" s="7">
        <f>Q2465*G2465</f>
        <v/>
      </c>
      <c r="S2465" s="8">
        <f>IF($R$2481=0,0,R2465/$R$2481)</f>
        <v/>
      </c>
      <c r="T2465" s="8" t="n">
        <v>0.01860724974217431</v>
      </c>
      <c r="U2465" s="8" t="n">
        <v>0.01681460769793364</v>
      </c>
      <c r="V2465" s="6" t="inlineStr">
        <is>
          <t>not selected</t>
        </is>
      </c>
    </row>
    <row r="2466">
      <c r="A2466" s="6" t="inlineStr">
        <is>
          <t>DJ30</t>
        </is>
      </c>
      <c r="B2466" s="6" t="inlineStr">
        <is>
          <t>2024-07-12</t>
        </is>
      </c>
      <c r="C2466" s="6" t="inlineStr">
        <is>
          <t>DIA</t>
        </is>
      </c>
      <c r="D2466" s="6" t="inlineStr">
        <is>
          <t>JPM</t>
        </is>
      </c>
      <c r="E2466" s="6" t="inlineStr">
        <is>
          <t>JPM</t>
        </is>
      </c>
      <c r="F2466" s="6" t="inlineStr">
        <is>
          <t>-</t>
        </is>
      </c>
      <c r="G2466" s="7" t="n">
        <v>197.5624237060547</v>
      </c>
      <c r="H2466" s="6">
        <f>P2435</f>
        <v/>
      </c>
      <c r="I2466" s="9">
        <f>Q2435</f>
        <v/>
      </c>
      <c r="J2466" s="7">
        <f>I2466*G2466</f>
        <v/>
      </c>
      <c r="K2466" s="8">
        <f>IF($J$2481=0,0,J2466/$J$2481)</f>
        <v/>
      </c>
      <c r="L2466" s="6" t="inlineStr">
        <is>
          <t>WATCHLIST</t>
        </is>
      </c>
      <c r="M2466" s="8" t="n">
        <v>0</v>
      </c>
      <c r="N2466" s="7">
        <f>M2466*$J$2481-J2466</f>
        <v/>
      </c>
      <c r="O2466" s="9">
        <f>IF(G2466=0,0,N2466/G2466)</f>
        <v/>
      </c>
      <c r="P2466" s="6">
        <f>IF(M2466&gt;0,D2466,"")</f>
        <v/>
      </c>
      <c r="Q2466" s="9">
        <f>I2466+O2466</f>
        <v/>
      </c>
      <c r="R2466" s="7">
        <f>Q2466*G2466</f>
        <v/>
      </c>
      <c r="S2466" s="8">
        <f>IF($R$2481=0,0,R2466/$R$2481)</f>
        <v/>
      </c>
      <c r="T2466" s="8" t="n">
        <v>0.01860724974217431</v>
      </c>
      <c r="U2466" s="8" t="n">
        <v>0.01681460769793364</v>
      </c>
      <c r="V2466" s="6" t="inlineStr">
        <is>
          <t>not selected</t>
        </is>
      </c>
    </row>
    <row r="2467">
      <c r="A2467" s="6" t="inlineStr">
        <is>
          <t>DJ30</t>
        </is>
      </c>
      <c r="B2467" s="6" t="inlineStr">
        <is>
          <t>2024-07-12</t>
        </is>
      </c>
      <c r="C2467" s="6" t="inlineStr">
        <is>
          <t>DIA</t>
        </is>
      </c>
      <c r="D2467" s="6" t="inlineStr">
        <is>
          <t>KO</t>
        </is>
      </c>
      <c r="E2467" s="6" t="inlineStr">
        <is>
          <t>KO</t>
        </is>
      </c>
      <c r="F2467" s="6" t="inlineStr">
        <is>
          <t>-</t>
        </is>
      </c>
      <c r="G2467" s="7" t="n">
        <v>60.18552780151367</v>
      </c>
      <c r="H2467" s="6">
        <f>P2436</f>
        <v/>
      </c>
      <c r="I2467" s="9">
        <f>Q2436</f>
        <v/>
      </c>
      <c r="J2467" s="7">
        <f>I2467*G2467</f>
        <v/>
      </c>
      <c r="K2467" s="8">
        <f>IF($J$2481=0,0,J2467/$J$2481)</f>
        <v/>
      </c>
      <c r="L2467" s="6" t="inlineStr">
        <is>
          <t>WATCHLIST</t>
        </is>
      </c>
      <c r="M2467" s="8" t="n">
        <v>0</v>
      </c>
      <c r="N2467" s="7">
        <f>M2467*$J$2481-J2467</f>
        <v/>
      </c>
      <c r="O2467" s="9">
        <f>IF(G2467=0,0,N2467/G2467)</f>
        <v/>
      </c>
      <c r="P2467" s="6">
        <f>IF(M2467&gt;0,D2467,"")</f>
        <v/>
      </c>
      <c r="Q2467" s="9">
        <f>I2467+O2467</f>
        <v/>
      </c>
      <c r="R2467" s="7">
        <f>Q2467*G2467</f>
        <v/>
      </c>
      <c r="S2467" s="8">
        <f>IF($R$2481=0,0,R2467/$R$2481)</f>
        <v/>
      </c>
      <c r="T2467" s="8" t="n">
        <v>0.01860724974217431</v>
      </c>
      <c r="U2467" s="8" t="n">
        <v>0.01681460769793364</v>
      </c>
      <c r="V2467" s="6" t="inlineStr">
        <is>
          <t>not selected</t>
        </is>
      </c>
    </row>
    <row r="2468">
      <c r="A2468" s="6" t="inlineStr">
        <is>
          <t>DJ30</t>
        </is>
      </c>
      <c r="B2468" s="6" t="inlineStr">
        <is>
          <t>2024-07-12</t>
        </is>
      </c>
      <c r="C2468" s="6" t="inlineStr">
        <is>
          <t>DIA</t>
        </is>
      </c>
      <c r="D2468" s="6" t="inlineStr">
        <is>
          <t>MCD</t>
        </is>
      </c>
      <c r="E2468" s="6" t="inlineStr">
        <is>
          <t>MCD</t>
        </is>
      </c>
      <c r="F2468" s="6" t="inlineStr">
        <is>
          <t>-</t>
        </is>
      </c>
      <c r="G2468" s="7" t="n">
        <v>242.1976623535156</v>
      </c>
      <c r="H2468" s="6">
        <f>P2437</f>
        <v/>
      </c>
      <c r="I2468" s="9">
        <f>Q2437</f>
        <v/>
      </c>
      <c r="J2468" s="7">
        <f>I2468*G2468</f>
        <v/>
      </c>
      <c r="K2468" s="8">
        <f>IF($J$2481=0,0,J2468/$J$2481)</f>
        <v/>
      </c>
      <c r="L2468" s="6" t="inlineStr">
        <is>
          <t>REJECTED</t>
        </is>
      </c>
      <c r="M2468" s="8" t="n">
        <v>0</v>
      </c>
      <c r="N2468" s="7">
        <f>M2468*$J$2481-J2468</f>
        <v/>
      </c>
      <c r="O2468" s="9">
        <f>IF(G2468=0,0,N2468/G2468)</f>
        <v/>
      </c>
      <c r="P2468" s="6">
        <f>IF(M2468&gt;0,D2468,"")</f>
        <v/>
      </c>
      <c r="Q2468" s="9">
        <f>I2468+O2468</f>
        <v/>
      </c>
      <c r="R2468" s="7">
        <f>Q2468*G2468</f>
        <v/>
      </c>
      <c r="S2468" s="8">
        <f>IF($R$2481=0,0,R2468/$R$2481)</f>
        <v/>
      </c>
      <c r="T2468" s="8" t="n">
        <v>0.01860724974217431</v>
      </c>
      <c r="U2468" s="8" t="n">
        <v>0.01681460769793364</v>
      </c>
      <c r="V2468" s="6" t="inlineStr">
        <is>
          <t>not selected</t>
        </is>
      </c>
    </row>
    <row r="2469">
      <c r="A2469" s="6" t="inlineStr">
        <is>
          <t>DJ30</t>
        </is>
      </c>
      <c r="B2469" s="6" t="inlineStr">
        <is>
          <t>2024-07-12</t>
        </is>
      </c>
      <c r="C2469" s="6" t="inlineStr">
        <is>
          <t>DIA</t>
        </is>
      </c>
      <c r="D2469" s="6" t="inlineStr">
        <is>
          <t>MMM</t>
        </is>
      </c>
      <c r="E2469" s="6" t="inlineStr">
        <is>
          <t>MMM</t>
        </is>
      </c>
      <c r="F2469" s="6" t="inlineStr">
        <is>
          <t>-</t>
        </is>
      </c>
      <c r="G2469" s="7" t="n">
        <v>100.0585403442383</v>
      </c>
      <c r="H2469" s="6">
        <f>P2438</f>
        <v/>
      </c>
      <c r="I2469" s="9">
        <f>Q2438</f>
        <v/>
      </c>
      <c r="J2469" s="7">
        <f>I2469*G2469</f>
        <v/>
      </c>
      <c r="K2469" s="8">
        <f>IF($J$2481=0,0,J2469/$J$2481)</f>
        <v/>
      </c>
      <c r="L2469" s="6" t="inlineStr">
        <is>
          <t>WATCHLIST</t>
        </is>
      </c>
      <c r="M2469" s="8" t="n">
        <v>0</v>
      </c>
      <c r="N2469" s="7">
        <f>M2469*$J$2481-J2469</f>
        <v/>
      </c>
      <c r="O2469" s="9">
        <f>IF(G2469=0,0,N2469/G2469)</f>
        <v/>
      </c>
      <c r="P2469" s="6">
        <f>IF(M2469&gt;0,D2469,"")</f>
        <v/>
      </c>
      <c r="Q2469" s="9">
        <f>I2469+O2469</f>
        <v/>
      </c>
      <c r="R2469" s="7">
        <f>Q2469*G2469</f>
        <v/>
      </c>
      <c r="S2469" s="8">
        <f>IF($R$2481=0,0,R2469/$R$2481)</f>
        <v/>
      </c>
      <c r="T2469" s="8" t="n">
        <v>0.01860724974217431</v>
      </c>
      <c r="U2469" s="8" t="n">
        <v>0.01681460769793364</v>
      </c>
      <c r="V2469" s="6" t="inlineStr">
        <is>
          <t>not selected</t>
        </is>
      </c>
    </row>
    <row r="2470">
      <c r="A2470" s="6" t="inlineStr">
        <is>
          <t>DJ30</t>
        </is>
      </c>
      <c r="B2470" s="6" t="inlineStr">
        <is>
          <t>2024-07-12</t>
        </is>
      </c>
      <c r="C2470" s="6" t="inlineStr">
        <is>
          <t>DIA</t>
        </is>
      </c>
      <c r="D2470" s="6" t="inlineStr">
        <is>
          <t>MRK</t>
        </is>
      </c>
      <c r="E2470" s="6" t="inlineStr">
        <is>
          <t>MRK</t>
        </is>
      </c>
      <c r="F2470" s="6" t="inlineStr">
        <is>
          <t>-</t>
        </is>
      </c>
      <c r="G2470" s="7" t="n">
        <v>119.5892333984375</v>
      </c>
      <c r="H2470" s="6">
        <f>P2439</f>
        <v/>
      </c>
      <c r="I2470" s="9">
        <f>Q2439</f>
        <v/>
      </c>
      <c r="J2470" s="7">
        <f>I2470*G2470</f>
        <v/>
      </c>
      <c r="K2470" s="8">
        <f>IF($J$2481=0,0,J2470/$J$2481)</f>
        <v/>
      </c>
      <c r="L2470" s="6" t="inlineStr">
        <is>
          <t>WATCHLIST</t>
        </is>
      </c>
      <c r="M2470" s="8" t="n">
        <v>0</v>
      </c>
      <c r="N2470" s="7">
        <f>M2470*$J$2481-J2470</f>
        <v/>
      </c>
      <c r="O2470" s="9">
        <f>IF(G2470=0,0,N2470/G2470)</f>
        <v/>
      </c>
      <c r="P2470" s="6">
        <f>IF(M2470&gt;0,D2470,"")</f>
        <v/>
      </c>
      <c r="Q2470" s="9">
        <f>I2470+O2470</f>
        <v/>
      </c>
      <c r="R2470" s="7">
        <f>Q2470*G2470</f>
        <v/>
      </c>
      <c r="S2470" s="8">
        <f>IF($R$2481=0,0,R2470/$R$2481)</f>
        <v/>
      </c>
      <c r="T2470" s="8" t="n">
        <v>0.01860724974217431</v>
      </c>
      <c r="U2470" s="8" t="n">
        <v>0.01681460769793364</v>
      </c>
      <c r="V2470" s="6" t="inlineStr">
        <is>
          <t>not selected</t>
        </is>
      </c>
    </row>
    <row r="2471">
      <c r="A2471" s="6" t="inlineStr">
        <is>
          <t>DJ30</t>
        </is>
      </c>
      <c r="B2471" s="6" t="inlineStr">
        <is>
          <t>2024-07-12</t>
        </is>
      </c>
      <c r="C2471" s="6" t="inlineStr">
        <is>
          <t>DIA</t>
        </is>
      </c>
      <c r="D2471" s="6" t="inlineStr">
        <is>
          <t>MSFT</t>
        </is>
      </c>
      <c r="E2471" s="6" t="inlineStr">
        <is>
          <t>MSFT</t>
        </is>
      </c>
      <c r="F2471" s="6" t="inlineStr">
        <is>
          <t>-</t>
        </is>
      </c>
      <c r="G2471" s="7" t="n">
        <v>446.5324096679688</v>
      </c>
      <c r="H2471" s="6">
        <f>P2440</f>
        <v/>
      </c>
      <c r="I2471" s="9">
        <f>Q2440</f>
        <v/>
      </c>
      <c r="J2471" s="7">
        <f>I2471*G2471</f>
        <v/>
      </c>
      <c r="K2471" s="8">
        <f>IF($J$2481=0,0,J2471/$J$2481)</f>
        <v/>
      </c>
      <c r="L2471" s="6" t="inlineStr">
        <is>
          <t>WATCHLIST</t>
        </is>
      </c>
      <c r="M2471" s="8" t="n">
        <v>0</v>
      </c>
      <c r="N2471" s="7">
        <f>M2471*$J$2481-J2471</f>
        <v/>
      </c>
      <c r="O2471" s="9">
        <f>IF(G2471=0,0,N2471/G2471)</f>
        <v/>
      </c>
      <c r="P2471" s="6">
        <f>IF(M2471&gt;0,D2471,"")</f>
        <v/>
      </c>
      <c r="Q2471" s="9">
        <f>I2471+O2471</f>
        <v/>
      </c>
      <c r="R2471" s="7">
        <f>Q2471*G2471</f>
        <v/>
      </c>
      <c r="S2471" s="8">
        <f>IF($R$2481=0,0,R2471/$R$2481)</f>
        <v/>
      </c>
      <c r="T2471" s="8" t="n">
        <v>0.01860724974217431</v>
      </c>
      <c r="U2471" s="8" t="n">
        <v>0.01681460769793364</v>
      </c>
      <c r="V2471" s="6" t="inlineStr">
        <is>
          <t>not selected</t>
        </is>
      </c>
    </row>
    <row r="2472">
      <c r="A2472" s="6" t="inlineStr">
        <is>
          <t>DJ30</t>
        </is>
      </c>
      <c r="B2472" s="6" t="inlineStr">
        <is>
          <t>2024-07-12</t>
        </is>
      </c>
      <c r="C2472" s="6" t="inlineStr">
        <is>
          <t>DIA</t>
        </is>
      </c>
      <c r="D2472" s="6" t="inlineStr">
        <is>
          <t>NKE</t>
        </is>
      </c>
      <c r="E2472" s="6" t="inlineStr">
        <is>
          <t>NKE</t>
        </is>
      </c>
      <c r="F2472" s="6" t="inlineStr">
        <is>
          <t>-</t>
        </is>
      </c>
      <c r="G2472" s="7" t="n">
        <v>69.95912933349609</v>
      </c>
      <c r="H2472" s="6">
        <f>P2441</f>
        <v/>
      </c>
      <c r="I2472" s="9">
        <f>Q2441</f>
        <v/>
      </c>
      <c r="J2472" s="7">
        <f>I2472*G2472</f>
        <v/>
      </c>
      <c r="K2472" s="8">
        <f>IF($J$2481=0,0,J2472/$J$2481)</f>
        <v/>
      </c>
      <c r="L2472" s="6" t="inlineStr">
        <is>
          <t>REJECTED</t>
        </is>
      </c>
      <c r="M2472" s="8" t="n">
        <v>0</v>
      </c>
      <c r="N2472" s="7">
        <f>M2472*$J$2481-J2472</f>
        <v/>
      </c>
      <c r="O2472" s="9">
        <f>IF(G2472=0,0,N2472/G2472)</f>
        <v/>
      </c>
      <c r="P2472" s="6">
        <f>IF(M2472&gt;0,D2472,"")</f>
        <v/>
      </c>
      <c r="Q2472" s="9">
        <f>I2472+O2472</f>
        <v/>
      </c>
      <c r="R2472" s="7">
        <f>Q2472*G2472</f>
        <v/>
      </c>
      <c r="S2472" s="8">
        <f>IF($R$2481=0,0,R2472/$R$2481)</f>
        <v/>
      </c>
      <c r="T2472" s="8" t="n">
        <v>0.01860724974217431</v>
      </c>
      <c r="U2472" s="8" t="n">
        <v>0.01681460769793364</v>
      </c>
      <c r="V2472" s="6" t="inlineStr">
        <is>
          <t>not selected</t>
        </is>
      </c>
    </row>
    <row r="2473">
      <c r="A2473" s="6" t="inlineStr">
        <is>
          <t>DJ30</t>
        </is>
      </c>
      <c r="B2473" s="6" t="inlineStr">
        <is>
          <t>2024-07-12</t>
        </is>
      </c>
      <c r="C2473" s="6" t="inlineStr">
        <is>
          <t>DIA</t>
        </is>
      </c>
      <c r="D2473" s="6" t="inlineStr">
        <is>
          <t>NVDA</t>
        </is>
      </c>
      <c r="E2473" s="6" t="inlineStr">
        <is>
          <t>NVDA</t>
        </is>
      </c>
      <c r="F2473" s="6" t="inlineStr">
        <is>
          <t>-</t>
        </is>
      </c>
      <c r="G2473" s="7" t="n">
        <v>129.0273284912109</v>
      </c>
      <c r="H2473" s="6">
        <f>P2442</f>
        <v/>
      </c>
      <c r="I2473" s="9">
        <f>Q2442</f>
        <v/>
      </c>
      <c r="J2473" s="7">
        <f>I2473*G2473</f>
        <v/>
      </c>
      <c r="K2473" s="8">
        <f>IF($J$2481=0,0,J2473/$J$2481)</f>
        <v/>
      </c>
      <c r="L2473" s="6" t="inlineStr">
        <is>
          <t>SELECTED</t>
        </is>
      </c>
      <c r="M2473" s="8" t="n">
        <v>0.2</v>
      </c>
      <c r="N2473" s="7">
        <f>M2473*$J$2481-J2473</f>
        <v/>
      </c>
      <c r="O2473" s="9">
        <f>IF(G2473=0,0,N2473/G2473)</f>
        <v/>
      </c>
      <c r="P2473" s="6">
        <f>IF(M2473&gt;0,D2473,"")</f>
        <v/>
      </c>
      <c r="Q2473" s="9">
        <f>I2473+O2473</f>
        <v/>
      </c>
      <c r="R2473" s="7">
        <f>Q2473*G2473</f>
        <v/>
      </c>
      <c r="S2473" s="8">
        <f>IF($R$2481=0,0,R2473/$R$2481)</f>
        <v/>
      </c>
      <c r="T2473" s="8" t="n">
        <v>0.01860724974217431</v>
      </c>
      <c r="U2473" s="8" t="n">
        <v>0.01681460769793364</v>
      </c>
      <c r="V2473" s="6" t="inlineStr">
        <is>
          <t>remained in weekly selection</t>
        </is>
      </c>
    </row>
    <row r="2474">
      <c r="A2474" s="6" t="inlineStr">
        <is>
          <t>DJ30</t>
        </is>
      </c>
      <c r="B2474" s="6" t="inlineStr">
        <is>
          <t>2024-07-12</t>
        </is>
      </c>
      <c r="C2474" s="6" t="inlineStr">
        <is>
          <t>DIA</t>
        </is>
      </c>
      <c r="D2474" s="6" t="inlineStr">
        <is>
          <t>PG</t>
        </is>
      </c>
      <c r="E2474" s="6" t="inlineStr">
        <is>
          <t>PG</t>
        </is>
      </c>
      <c r="F2474" s="6" t="inlineStr">
        <is>
          <t>-</t>
        </is>
      </c>
      <c r="G2474" s="7" t="n">
        <v>158.0866241455078</v>
      </c>
      <c r="H2474" s="6">
        <f>P2443</f>
        <v/>
      </c>
      <c r="I2474" s="9">
        <f>Q2443</f>
        <v/>
      </c>
      <c r="J2474" s="7">
        <f>I2474*G2474</f>
        <v/>
      </c>
      <c r="K2474" s="8">
        <f>IF($J$2481=0,0,J2474/$J$2481)</f>
        <v/>
      </c>
      <c r="L2474" s="6" t="inlineStr">
        <is>
          <t>WATCHLIST</t>
        </is>
      </c>
      <c r="M2474" s="8" t="n">
        <v>0</v>
      </c>
      <c r="N2474" s="7">
        <f>M2474*$J$2481-J2474</f>
        <v/>
      </c>
      <c r="O2474" s="9">
        <f>IF(G2474=0,0,N2474/G2474)</f>
        <v/>
      </c>
      <c r="P2474" s="6">
        <f>IF(M2474&gt;0,D2474,"")</f>
        <v/>
      </c>
      <c r="Q2474" s="9">
        <f>I2474+O2474</f>
        <v/>
      </c>
      <c r="R2474" s="7">
        <f>Q2474*G2474</f>
        <v/>
      </c>
      <c r="S2474" s="8">
        <f>IF($R$2481=0,0,R2474/$R$2481)</f>
        <v/>
      </c>
      <c r="T2474" s="8" t="n">
        <v>0.01860724974217431</v>
      </c>
      <c r="U2474" s="8" t="n">
        <v>0.01681460769793364</v>
      </c>
      <c r="V2474" s="6" t="inlineStr">
        <is>
          <t>not selected</t>
        </is>
      </c>
    </row>
    <row r="2475">
      <c r="A2475" s="6" t="inlineStr">
        <is>
          <t>DJ30</t>
        </is>
      </c>
      <c r="B2475" s="6" t="inlineStr">
        <is>
          <t>2024-07-12</t>
        </is>
      </c>
      <c r="C2475" s="6" t="inlineStr">
        <is>
          <t>DIA</t>
        </is>
      </c>
      <c r="D2475" s="6" t="inlineStr">
        <is>
          <t>SHW</t>
        </is>
      </c>
      <c r="E2475" s="6" t="inlineStr">
        <is>
          <t>SHW</t>
        </is>
      </c>
      <c r="F2475" s="6" t="inlineStr">
        <is>
          <t>-</t>
        </is>
      </c>
      <c r="G2475" s="7" t="n">
        <v>312.8416748046875</v>
      </c>
      <c r="H2475" s="6">
        <f>P2444</f>
        <v/>
      </c>
      <c r="I2475" s="9">
        <f>Q2444</f>
        <v/>
      </c>
      <c r="J2475" s="7">
        <f>I2475*G2475</f>
        <v/>
      </c>
      <c r="K2475" s="8">
        <f>IF($J$2481=0,0,J2475/$J$2481)</f>
        <v/>
      </c>
      <c r="L2475" s="6" t="inlineStr">
        <is>
          <t>WATCHLIST</t>
        </is>
      </c>
      <c r="M2475" s="8" t="n">
        <v>0</v>
      </c>
      <c r="N2475" s="7">
        <f>M2475*$J$2481-J2475</f>
        <v/>
      </c>
      <c r="O2475" s="9">
        <f>IF(G2475=0,0,N2475/G2475)</f>
        <v/>
      </c>
      <c r="P2475" s="6">
        <f>IF(M2475&gt;0,D2475,"")</f>
        <v/>
      </c>
      <c r="Q2475" s="9">
        <f>I2475+O2475</f>
        <v/>
      </c>
      <c r="R2475" s="7">
        <f>Q2475*G2475</f>
        <v/>
      </c>
      <c r="S2475" s="8">
        <f>IF($R$2481=0,0,R2475/$R$2481)</f>
        <v/>
      </c>
      <c r="T2475" s="8" t="n">
        <v>0.01860724974217431</v>
      </c>
      <c r="U2475" s="8" t="n">
        <v>0.01681460769793364</v>
      </c>
      <c r="V2475" s="6" t="inlineStr">
        <is>
          <t>not selected</t>
        </is>
      </c>
    </row>
    <row r="2476">
      <c r="A2476" s="6" t="inlineStr">
        <is>
          <t>DJ30</t>
        </is>
      </c>
      <c r="B2476" s="6" t="inlineStr">
        <is>
          <t>2024-07-12</t>
        </is>
      </c>
      <c r="C2476" s="6" t="inlineStr">
        <is>
          <t>DIA</t>
        </is>
      </c>
      <c r="D2476" s="6" t="inlineStr">
        <is>
          <t>TRV</t>
        </is>
      </c>
      <c r="E2476" s="6" t="inlineStr">
        <is>
          <t>TRV</t>
        </is>
      </c>
      <c r="F2476" s="6" t="inlineStr">
        <is>
          <t>-</t>
        </is>
      </c>
      <c r="G2476" s="7" t="n">
        <v>204.8285369873047</v>
      </c>
      <c r="H2476" s="6">
        <f>P2445</f>
        <v/>
      </c>
      <c r="I2476" s="9">
        <f>Q2445</f>
        <v/>
      </c>
      <c r="J2476" s="7">
        <f>I2476*G2476</f>
        <v/>
      </c>
      <c r="K2476" s="8">
        <f>IF($J$2481=0,0,J2476/$J$2481)</f>
        <v/>
      </c>
      <c r="L2476" s="6" t="inlineStr">
        <is>
          <t>SELECTED</t>
        </is>
      </c>
      <c r="M2476" s="8" t="n">
        <v>0.2</v>
      </c>
      <c r="N2476" s="7">
        <f>M2476*$J$2481-J2476</f>
        <v/>
      </c>
      <c r="O2476" s="9">
        <f>IF(G2476=0,0,N2476/G2476)</f>
        <v/>
      </c>
      <c r="P2476" s="6">
        <f>IF(M2476&gt;0,D2476,"")</f>
        <v/>
      </c>
      <c r="Q2476" s="9">
        <f>I2476+O2476</f>
        <v/>
      </c>
      <c r="R2476" s="7">
        <f>Q2476*G2476</f>
        <v/>
      </c>
      <c r="S2476" s="8">
        <f>IF($R$2481=0,0,R2476/$R$2481)</f>
        <v/>
      </c>
      <c r="T2476" s="8" t="n">
        <v>0.01860724974217431</v>
      </c>
      <c r="U2476" s="8" t="n">
        <v>0.01681460769793364</v>
      </c>
      <c r="V2476" s="6" t="inlineStr">
        <is>
          <t>remained in weekly selection</t>
        </is>
      </c>
    </row>
    <row r="2477">
      <c r="A2477" s="6" t="inlineStr">
        <is>
          <t>DJ30</t>
        </is>
      </c>
      <c r="B2477" s="6" t="inlineStr">
        <is>
          <t>2024-07-12</t>
        </is>
      </c>
      <c r="C2477" s="6" t="inlineStr">
        <is>
          <t>DIA</t>
        </is>
      </c>
      <c r="D2477" s="6" t="inlineStr">
        <is>
          <t>UNH</t>
        </is>
      </c>
      <c r="E2477" s="6" t="inlineStr">
        <is>
          <t>UNH</t>
        </is>
      </c>
      <c r="F2477" s="6" t="inlineStr">
        <is>
          <t>-</t>
        </is>
      </c>
      <c r="G2477" s="7" t="n">
        <v>488.9550476074219</v>
      </c>
      <c r="H2477" s="6">
        <f>P2446</f>
        <v/>
      </c>
      <c r="I2477" s="9">
        <f>Q2446</f>
        <v/>
      </c>
      <c r="J2477" s="7">
        <f>I2477*G2477</f>
        <v/>
      </c>
      <c r="K2477" s="8">
        <f>IF($J$2481=0,0,J2477/$J$2481)</f>
        <v/>
      </c>
      <c r="L2477" s="6" t="inlineStr">
        <is>
          <t>REJECTED</t>
        </is>
      </c>
      <c r="M2477" s="8" t="n">
        <v>0</v>
      </c>
      <c r="N2477" s="7">
        <f>M2477*$J$2481-J2477</f>
        <v/>
      </c>
      <c r="O2477" s="9">
        <f>IF(G2477=0,0,N2477/G2477)</f>
        <v/>
      </c>
      <c r="P2477" s="6">
        <f>IF(M2477&gt;0,D2477,"")</f>
        <v/>
      </c>
      <c r="Q2477" s="9">
        <f>I2477+O2477</f>
        <v/>
      </c>
      <c r="R2477" s="7">
        <f>Q2477*G2477</f>
        <v/>
      </c>
      <c r="S2477" s="8">
        <f>IF($R$2481=0,0,R2477/$R$2481)</f>
        <v/>
      </c>
      <c r="T2477" s="8" t="n">
        <v>0.01860724974217431</v>
      </c>
      <c r="U2477" s="8" t="n">
        <v>0.01681460769793364</v>
      </c>
      <c r="V2477" s="6" t="inlineStr">
        <is>
          <t>not selected</t>
        </is>
      </c>
    </row>
    <row r="2478">
      <c r="A2478" s="6" t="inlineStr">
        <is>
          <t>DJ30</t>
        </is>
      </c>
      <c r="B2478" s="6" t="inlineStr">
        <is>
          <t>2024-07-12</t>
        </is>
      </c>
      <c r="C2478" s="6" t="inlineStr">
        <is>
          <t>DIA</t>
        </is>
      </c>
      <c r="D2478" s="6" t="inlineStr">
        <is>
          <t>V</t>
        </is>
      </c>
      <c r="E2478" s="6" t="inlineStr">
        <is>
          <t>V</t>
        </is>
      </c>
      <c r="F2478" s="6" t="inlineStr">
        <is>
          <t>-</t>
        </is>
      </c>
      <c r="G2478" s="7" t="n">
        <v>261.7545471191406</v>
      </c>
      <c r="H2478" s="6">
        <f>P2447</f>
        <v/>
      </c>
      <c r="I2478" s="9">
        <f>Q2447</f>
        <v/>
      </c>
      <c r="J2478" s="7">
        <f>I2478*G2478</f>
        <v/>
      </c>
      <c r="K2478" s="8">
        <f>IF($J$2481=0,0,J2478/$J$2481)</f>
        <v/>
      </c>
      <c r="L2478" s="6" t="inlineStr">
        <is>
          <t>WATCHLIST</t>
        </is>
      </c>
      <c r="M2478" s="8" t="n">
        <v>0</v>
      </c>
      <c r="N2478" s="7">
        <f>M2478*$J$2481-J2478</f>
        <v/>
      </c>
      <c r="O2478" s="9">
        <f>IF(G2478=0,0,N2478/G2478)</f>
        <v/>
      </c>
      <c r="P2478" s="6">
        <f>IF(M2478&gt;0,D2478,"")</f>
        <v/>
      </c>
      <c r="Q2478" s="9">
        <f>I2478+O2478</f>
        <v/>
      </c>
      <c r="R2478" s="7">
        <f>Q2478*G2478</f>
        <v/>
      </c>
      <c r="S2478" s="8">
        <f>IF($R$2481=0,0,R2478/$R$2481)</f>
        <v/>
      </c>
      <c r="T2478" s="8" t="n">
        <v>0.01860724974217431</v>
      </c>
      <c r="U2478" s="8" t="n">
        <v>0.01681460769793364</v>
      </c>
      <c r="V2478" s="6" t="inlineStr">
        <is>
          <t>not selected</t>
        </is>
      </c>
    </row>
    <row r="2479">
      <c r="A2479" s="6" t="inlineStr">
        <is>
          <t>DJ30</t>
        </is>
      </c>
      <c r="B2479" s="6" t="inlineStr">
        <is>
          <t>2024-07-12</t>
        </is>
      </c>
      <c r="C2479" s="6" t="inlineStr">
        <is>
          <t>DIA</t>
        </is>
      </c>
      <c r="D2479" s="6" t="inlineStr">
        <is>
          <t>VZ</t>
        </is>
      </c>
      <c r="E2479" s="6" t="inlineStr">
        <is>
          <t>VZ</t>
        </is>
      </c>
      <c r="F2479" s="6" t="inlineStr">
        <is>
          <t>-</t>
        </is>
      </c>
      <c r="G2479" s="7" t="n">
        <v>36.95877456665039</v>
      </c>
      <c r="H2479" s="6">
        <f>P2448</f>
        <v/>
      </c>
      <c r="I2479" s="9">
        <f>Q2448</f>
        <v/>
      </c>
      <c r="J2479" s="7">
        <f>I2479*G2479</f>
        <v/>
      </c>
      <c r="K2479" s="8">
        <f>IF($J$2481=0,0,J2479/$J$2481)</f>
        <v/>
      </c>
      <c r="L2479" s="6" t="inlineStr">
        <is>
          <t>WATCHLIST</t>
        </is>
      </c>
      <c r="M2479" s="8" t="n">
        <v>0</v>
      </c>
      <c r="N2479" s="7">
        <f>M2479*$J$2481-J2479</f>
        <v/>
      </c>
      <c r="O2479" s="9">
        <f>IF(G2479=0,0,N2479/G2479)</f>
        <v/>
      </c>
      <c r="P2479" s="6">
        <f>IF(M2479&gt;0,D2479,"")</f>
        <v/>
      </c>
      <c r="Q2479" s="9">
        <f>I2479+O2479</f>
        <v/>
      </c>
      <c r="R2479" s="7">
        <f>Q2479*G2479</f>
        <v/>
      </c>
      <c r="S2479" s="8">
        <f>IF($R$2481=0,0,R2479/$R$2481)</f>
        <v/>
      </c>
      <c r="T2479" s="8" t="n">
        <v>0.01860724974217431</v>
      </c>
      <c r="U2479" s="8" t="n">
        <v>0.01681460769793364</v>
      </c>
      <c r="V2479" s="6" t="inlineStr">
        <is>
          <t>not selected</t>
        </is>
      </c>
    </row>
    <row r="2480">
      <c r="A2480" s="6" t="inlineStr">
        <is>
          <t>DJ30</t>
        </is>
      </c>
      <c r="B2480" s="6" t="inlineStr">
        <is>
          <t>2024-07-12</t>
        </is>
      </c>
      <c r="C2480" s="6" t="inlineStr">
        <is>
          <t>DIA</t>
        </is>
      </c>
      <c r="D2480" s="6" t="inlineStr">
        <is>
          <t>WMT</t>
        </is>
      </c>
      <c r="E2480" s="6" t="inlineStr">
        <is>
          <t>WMT</t>
        </is>
      </c>
      <c r="F2480" s="6" t="inlineStr">
        <is>
          <t>-</t>
        </is>
      </c>
      <c r="G2480" s="7" t="n">
        <v>67.96793365478516</v>
      </c>
      <c r="H2480" s="6">
        <f>P2449</f>
        <v/>
      </c>
      <c r="I2480" s="9">
        <f>Q2449</f>
        <v/>
      </c>
      <c r="J2480" s="7">
        <f>I2480*G2480</f>
        <v/>
      </c>
      <c r="K2480" s="8">
        <f>IF($J$2481=0,0,J2480/$J$2481)</f>
        <v/>
      </c>
      <c r="L2480" s="6" t="inlineStr">
        <is>
          <t>WATCHLIST</t>
        </is>
      </c>
      <c r="M2480" s="8" t="n">
        <v>0</v>
      </c>
      <c r="N2480" s="7">
        <f>M2480*$J$2481-J2480</f>
        <v/>
      </c>
      <c r="O2480" s="9">
        <f>IF(G2480=0,0,N2480/G2480)</f>
        <v/>
      </c>
      <c r="P2480" s="6">
        <f>IF(M2480&gt;0,D2480,"")</f>
        <v/>
      </c>
      <c r="Q2480" s="9">
        <f>I2480+O2480</f>
        <v/>
      </c>
      <c r="R2480" s="7">
        <f>Q2480*G2480</f>
        <v/>
      </c>
      <c r="S2480" s="8">
        <f>IF($R$2481=0,0,R2480/$R$2481)</f>
        <v/>
      </c>
      <c r="T2480" s="8" t="n">
        <v>0.01860724974217431</v>
      </c>
      <c r="U2480" s="8" t="n">
        <v>0.01681460769793364</v>
      </c>
      <c r="V2480" s="6" t="inlineStr">
        <is>
          <t>not selected</t>
        </is>
      </c>
    </row>
    <row r="2481">
      <c r="A2481" s="10" t="inlineStr">
        <is>
          <t>DJ30</t>
        </is>
      </c>
      <c r="B2481" s="10" t="inlineStr">
        <is>
          <t>2024-07-12</t>
        </is>
      </c>
      <c r="C2481" s="10" t="inlineStr">
        <is>
          <t>DIA</t>
        </is>
      </c>
      <c r="D2481" s="10" t="inlineStr">
        <is>
          <t>Tot Portfolio</t>
        </is>
      </c>
      <c r="E2481" s="10" t="inlineStr"/>
      <c r="F2481" s="10" t="inlineStr"/>
      <c r="G2481" s="11" t="inlineStr"/>
      <c r="H2481" s="10" t="inlineStr"/>
      <c r="I2481" s="12" t="inlineStr"/>
      <c r="J2481" s="11">
        <f>SUM(J2451:J2480)</f>
        <v/>
      </c>
      <c r="K2481" s="13">
        <f>SUM(K2451:K2480)</f>
        <v/>
      </c>
      <c r="L2481" s="10" t="inlineStr">
        <is>
          <t>TOTAL</t>
        </is>
      </c>
      <c r="M2481" s="13">
        <f>SUM(M2451:M2480)</f>
        <v/>
      </c>
      <c r="N2481" s="11">
        <f>SUM(N2451:N2480)</f>
        <v/>
      </c>
      <c r="O2481" s="12">
        <f>SUM(O2451:O2480)</f>
        <v/>
      </c>
      <c r="P2481" s="10" t="inlineStr"/>
      <c r="Q2481" s="12" t="inlineStr"/>
      <c r="R2481" s="11">
        <f>SUM(R2451:R2480)</f>
        <v/>
      </c>
      <c r="S2481" s="13">
        <f>SUM(S2451:S2480)</f>
        <v/>
      </c>
      <c r="T2481" s="13" t="n">
        <v>0.01860724974217431</v>
      </c>
      <c r="U2481" s="13" t="n">
        <v>0.01681460769793364</v>
      </c>
      <c r="V2481" s="10" t="inlineStr"/>
    </row>
    <row r="2482">
      <c r="A2482" s="6" t="inlineStr">
        <is>
          <t>DJ30</t>
        </is>
      </c>
      <c r="B2482" s="6" t="inlineStr">
        <is>
          <t>2024-07-19</t>
        </is>
      </c>
      <c r="C2482" s="6" t="inlineStr">
        <is>
          <t>DIA</t>
        </is>
      </c>
      <c r="D2482" s="6" t="inlineStr">
        <is>
          <t>AAPL</t>
        </is>
      </c>
      <c r="E2482" s="6" t="inlineStr">
        <is>
          <t>AAPL</t>
        </is>
      </c>
      <c r="F2482" s="6" t="inlineStr">
        <is>
          <t>-</t>
        </is>
      </c>
      <c r="G2482" s="7" t="n">
        <v>222.3836212158203</v>
      </c>
      <c r="H2482" s="6">
        <f>P2451</f>
        <v/>
      </c>
      <c r="I2482" s="9">
        <f>Q2451</f>
        <v/>
      </c>
      <c r="J2482" s="7">
        <f>I2482*G2482</f>
        <v/>
      </c>
      <c r="K2482" s="8">
        <f>IF($J$2512=0,0,J2482/$J$2512)</f>
        <v/>
      </c>
      <c r="L2482" s="6" t="inlineStr">
        <is>
          <t>REJECTED</t>
        </is>
      </c>
      <c r="M2482" s="8" t="n">
        <v>0</v>
      </c>
      <c r="N2482" s="7">
        <f>M2482*$J$2512-J2482</f>
        <v/>
      </c>
      <c r="O2482" s="9">
        <f>IF(G2482=0,0,N2482/G2482)</f>
        <v/>
      </c>
      <c r="P2482" s="6">
        <f>IF(M2482&gt;0,D2482,"")</f>
        <v/>
      </c>
      <c r="Q2482" s="9">
        <f>I2482+O2482</f>
        <v/>
      </c>
      <c r="R2482" s="7">
        <f>Q2482*G2482</f>
        <v/>
      </c>
      <c r="S2482" s="8">
        <f>IF($R$2512=0,0,R2482/$R$2512)</f>
        <v/>
      </c>
      <c r="T2482" s="8" t="n">
        <v>-0.03201136454446685</v>
      </c>
      <c r="U2482" s="8" t="n">
        <v>0.007050235681508976</v>
      </c>
      <c r="V2482" s="6" t="inlineStr">
        <is>
          <t>not selected</t>
        </is>
      </c>
    </row>
    <row r="2483">
      <c r="A2483" s="6" t="inlineStr">
        <is>
          <t>DJ30</t>
        </is>
      </c>
      <c r="B2483" s="6" t="inlineStr">
        <is>
          <t>2024-07-19</t>
        </is>
      </c>
      <c r="C2483" s="6" t="inlineStr">
        <is>
          <t>DIA</t>
        </is>
      </c>
      <c r="D2483" s="6" t="inlineStr">
        <is>
          <t>AMGN</t>
        </is>
      </c>
      <c r="E2483" s="6" t="inlineStr">
        <is>
          <t>AMGN</t>
        </is>
      </c>
      <c r="F2483" s="6" t="inlineStr">
        <is>
          <t>-</t>
        </is>
      </c>
      <c r="G2483" s="7" t="n">
        <v>311.5718383789062</v>
      </c>
      <c r="H2483" s="6">
        <f>P2452</f>
        <v/>
      </c>
      <c r="I2483" s="9">
        <f>Q2452</f>
        <v/>
      </c>
      <c r="J2483" s="7">
        <f>I2483*G2483</f>
        <v/>
      </c>
      <c r="K2483" s="8">
        <f>IF($J$2512=0,0,J2483/$J$2512)</f>
        <v/>
      </c>
      <c r="L2483" s="6" t="inlineStr">
        <is>
          <t>WATCHLIST</t>
        </is>
      </c>
      <c r="M2483" s="8" t="n">
        <v>0</v>
      </c>
      <c r="N2483" s="7">
        <f>M2483*$J$2512-J2483</f>
        <v/>
      </c>
      <c r="O2483" s="9">
        <f>IF(G2483=0,0,N2483/G2483)</f>
        <v/>
      </c>
      <c r="P2483" s="6">
        <f>IF(M2483&gt;0,D2483,"")</f>
        <v/>
      </c>
      <c r="Q2483" s="9">
        <f>I2483+O2483</f>
        <v/>
      </c>
      <c r="R2483" s="7">
        <f>Q2483*G2483</f>
        <v/>
      </c>
      <c r="S2483" s="8">
        <f>IF($R$2512=0,0,R2483/$R$2512)</f>
        <v/>
      </c>
      <c r="T2483" s="8" t="n">
        <v>-0.03201136454446685</v>
      </c>
      <c r="U2483" s="8" t="n">
        <v>0.007050235681508976</v>
      </c>
      <c r="V2483" s="6" t="inlineStr">
        <is>
          <t>not selected</t>
        </is>
      </c>
    </row>
    <row r="2484">
      <c r="A2484" s="6" t="inlineStr">
        <is>
          <t>DJ30</t>
        </is>
      </c>
      <c r="B2484" s="6" t="inlineStr">
        <is>
          <t>2024-07-19</t>
        </is>
      </c>
      <c r="C2484" s="6" t="inlineStr">
        <is>
          <t>DIA</t>
        </is>
      </c>
      <c r="D2484" s="6" t="inlineStr">
        <is>
          <t>AMZN</t>
        </is>
      </c>
      <c r="E2484" s="6" t="inlineStr">
        <is>
          <t>AMZN</t>
        </is>
      </c>
      <c r="F2484" s="6" t="inlineStr">
        <is>
          <t>-</t>
        </is>
      </c>
      <c r="G2484" s="7" t="n">
        <v>183.1300048828125</v>
      </c>
      <c r="H2484" s="6">
        <f>P2453</f>
        <v/>
      </c>
      <c r="I2484" s="9">
        <f>Q2453</f>
        <v/>
      </c>
      <c r="J2484" s="7">
        <f>I2484*G2484</f>
        <v/>
      </c>
      <c r="K2484" s="8">
        <f>IF($J$2512=0,0,J2484/$J$2512)</f>
        <v/>
      </c>
      <c r="L2484" s="6" t="inlineStr">
        <is>
          <t>SELECTED</t>
        </is>
      </c>
      <c r="M2484" s="8" t="n">
        <v>0.2</v>
      </c>
      <c r="N2484" s="7">
        <f>M2484*$J$2512-J2484</f>
        <v/>
      </c>
      <c r="O2484" s="9">
        <f>IF(G2484=0,0,N2484/G2484)</f>
        <v/>
      </c>
      <c r="P2484" s="6">
        <f>IF(M2484&gt;0,D2484,"")</f>
        <v/>
      </c>
      <c r="Q2484" s="9">
        <f>I2484+O2484</f>
        <v/>
      </c>
      <c r="R2484" s="7">
        <f>Q2484*G2484</f>
        <v/>
      </c>
      <c r="S2484" s="8">
        <f>IF($R$2512=0,0,R2484/$R$2512)</f>
        <v/>
      </c>
      <c r="T2484" s="8" t="n">
        <v>-0.03201136454446685</v>
      </c>
      <c r="U2484" s="8" t="n">
        <v>0.007050235681508976</v>
      </c>
      <c r="V2484" s="6" t="inlineStr">
        <is>
          <t>remained in weekly selection</t>
        </is>
      </c>
    </row>
    <row r="2485">
      <c r="A2485" s="6" t="inlineStr">
        <is>
          <t>DJ30</t>
        </is>
      </c>
      <c r="B2485" s="6" t="inlineStr">
        <is>
          <t>2024-07-19</t>
        </is>
      </c>
      <c r="C2485" s="6" t="inlineStr">
        <is>
          <t>DIA</t>
        </is>
      </c>
      <c r="D2485" s="6" t="inlineStr">
        <is>
          <t>AXP</t>
        </is>
      </c>
      <c r="E2485" s="6" t="inlineStr">
        <is>
          <t>AXP</t>
        </is>
      </c>
      <c r="F2485" s="6" t="inlineStr">
        <is>
          <t>-</t>
        </is>
      </c>
      <c r="G2485" s="7" t="n">
        <v>237.889663696289</v>
      </c>
      <c r="H2485" s="6">
        <f>P2454</f>
        <v/>
      </c>
      <c r="I2485" s="9">
        <f>Q2454</f>
        <v/>
      </c>
      <c r="J2485" s="7">
        <f>I2485*G2485</f>
        <v/>
      </c>
      <c r="K2485" s="8">
        <f>IF($J$2512=0,0,J2485/$J$2512)</f>
        <v/>
      </c>
      <c r="L2485" s="6" t="inlineStr">
        <is>
          <t>SELECTED</t>
        </is>
      </c>
      <c r="M2485" s="8" t="n">
        <v>0.2</v>
      </c>
      <c r="N2485" s="7">
        <f>M2485*$J$2512-J2485</f>
        <v/>
      </c>
      <c r="O2485" s="9">
        <f>IF(G2485=0,0,N2485/G2485)</f>
        <v/>
      </c>
      <c r="P2485" s="6">
        <f>IF(M2485&gt;0,D2485,"")</f>
        <v/>
      </c>
      <c r="Q2485" s="9">
        <f>I2485+O2485</f>
        <v/>
      </c>
      <c r="R2485" s="7">
        <f>Q2485*G2485</f>
        <v/>
      </c>
      <c r="S2485" s="8">
        <f>IF($R$2512=0,0,R2485/$R$2512)</f>
        <v/>
      </c>
      <c r="T2485" s="8" t="n">
        <v>-0.03201136454446685</v>
      </c>
      <c r="U2485" s="8" t="n">
        <v>0.007050235681508976</v>
      </c>
      <c r="V2485" s="6" t="inlineStr">
        <is>
          <t>remained in weekly selection</t>
        </is>
      </c>
    </row>
    <row r="2486">
      <c r="A2486" s="6" t="inlineStr">
        <is>
          <t>DJ30</t>
        </is>
      </c>
      <c r="B2486" s="6" t="inlineStr">
        <is>
          <t>2024-07-19</t>
        </is>
      </c>
      <c r="C2486" s="6" t="inlineStr">
        <is>
          <t>DIA</t>
        </is>
      </c>
      <c r="D2486" s="6" t="inlineStr">
        <is>
          <t>BA</t>
        </is>
      </c>
      <c r="E2486" s="6" t="inlineStr">
        <is>
          <t>BA</t>
        </is>
      </c>
      <c r="F2486" s="6" t="inlineStr">
        <is>
          <t>-</t>
        </is>
      </c>
      <c r="G2486" s="7" t="n">
        <v>179.6699981689453</v>
      </c>
      <c r="H2486" s="6">
        <f>P2455</f>
        <v/>
      </c>
      <c r="I2486" s="9">
        <f>Q2455</f>
        <v/>
      </c>
      <c r="J2486" s="7">
        <f>I2486*G2486</f>
        <v/>
      </c>
      <c r="K2486" s="8">
        <f>IF($J$2512=0,0,J2486/$J$2512)</f>
        <v/>
      </c>
      <c r="L2486" s="6" t="inlineStr">
        <is>
          <t>REJECTED</t>
        </is>
      </c>
      <c r="M2486" s="8" t="n">
        <v>0</v>
      </c>
      <c r="N2486" s="7">
        <f>M2486*$J$2512-J2486</f>
        <v/>
      </c>
      <c r="O2486" s="9">
        <f>IF(G2486=0,0,N2486/G2486)</f>
        <v/>
      </c>
      <c r="P2486" s="6">
        <f>IF(M2486&gt;0,D2486,"")</f>
        <v/>
      </c>
      <c r="Q2486" s="9">
        <f>I2486+O2486</f>
        <v/>
      </c>
      <c r="R2486" s="7">
        <f>Q2486*G2486</f>
        <v/>
      </c>
      <c r="S2486" s="8">
        <f>IF($R$2512=0,0,R2486/$R$2512)</f>
        <v/>
      </c>
      <c r="T2486" s="8" t="n">
        <v>-0.03201136454446685</v>
      </c>
      <c r="U2486" s="8" t="n">
        <v>0.007050235681508976</v>
      </c>
      <c r="V2486" s="6" t="inlineStr">
        <is>
          <t>not selected</t>
        </is>
      </c>
    </row>
    <row r="2487">
      <c r="A2487" s="6" t="inlineStr">
        <is>
          <t>DJ30</t>
        </is>
      </c>
      <c r="B2487" s="6" t="inlineStr">
        <is>
          <t>2024-07-19</t>
        </is>
      </c>
      <c r="C2487" s="6" t="inlineStr">
        <is>
          <t>DIA</t>
        </is>
      </c>
      <c r="D2487" s="6" t="inlineStr">
        <is>
          <t>CAT</t>
        </is>
      </c>
      <c r="E2487" s="6" t="inlineStr">
        <is>
          <t>CAT</t>
        </is>
      </c>
      <c r="F2487" s="6" t="inlineStr">
        <is>
          <t>-</t>
        </is>
      </c>
      <c r="G2487" s="7" t="n">
        <v>338.4109497070312</v>
      </c>
      <c r="H2487" s="6">
        <f>P2456</f>
        <v/>
      </c>
      <c r="I2487" s="9">
        <f>Q2456</f>
        <v/>
      </c>
      <c r="J2487" s="7">
        <f>I2487*G2487</f>
        <v/>
      </c>
      <c r="K2487" s="8">
        <f>IF($J$2512=0,0,J2487/$J$2512)</f>
        <v/>
      </c>
      <c r="L2487" s="6" t="inlineStr">
        <is>
          <t>WATCHLIST</t>
        </is>
      </c>
      <c r="M2487" s="8" t="n">
        <v>0</v>
      </c>
      <c r="N2487" s="7">
        <f>M2487*$J$2512-J2487</f>
        <v/>
      </c>
      <c r="O2487" s="9">
        <f>IF(G2487=0,0,N2487/G2487)</f>
        <v/>
      </c>
      <c r="P2487" s="6">
        <f>IF(M2487&gt;0,D2487,"")</f>
        <v/>
      </c>
      <c r="Q2487" s="9">
        <f>I2487+O2487</f>
        <v/>
      </c>
      <c r="R2487" s="7">
        <f>Q2487*G2487</f>
        <v/>
      </c>
      <c r="S2487" s="8">
        <f>IF($R$2512=0,0,R2487/$R$2512)</f>
        <v/>
      </c>
      <c r="T2487" s="8" t="n">
        <v>-0.03201136454446685</v>
      </c>
      <c r="U2487" s="8" t="n">
        <v>0.007050235681508976</v>
      </c>
      <c r="V2487" s="6" t="inlineStr">
        <is>
          <t>not selected</t>
        </is>
      </c>
    </row>
    <row r="2488">
      <c r="A2488" s="6" t="inlineStr">
        <is>
          <t>DJ30</t>
        </is>
      </c>
      <c r="B2488" s="6" t="inlineStr">
        <is>
          <t>2024-07-19</t>
        </is>
      </c>
      <c r="C2488" s="6" t="inlineStr">
        <is>
          <t>DIA</t>
        </is>
      </c>
      <c r="D2488" s="6" t="inlineStr">
        <is>
          <t>CRM</t>
        </is>
      </c>
      <c r="E2488" s="6" t="inlineStr">
        <is>
          <t>CRM</t>
        </is>
      </c>
      <c r="F2488" s="6" t="inlineStr">
        <is>
          <t>-</t>
        </is>
      </c>
      <c r="G2488" s="7" t="n">
        <v>244.1161041259766</v>
      </c>
      <c r="H2488" s="6">
        <f>P2457</f>
        <v/>
      </c>
      <c r="I2488" s="9">
        <f>Q2457</f>
        <v/>
      </c>
      <c r="J2488" s="7">
        <f>I2488*G2488</f>
        <v/>
      </c>
      <c r="K2488" s="8">
        <f>IF($J$2512=0,0,J2488/$J$2512)</f>
        <v/>
      </c>
      <c r="L2488" s="6" t="inlineStr">
        <is>
          <t>WATCHLIST</t>
        </is>
      </c>
      <c r="M2488" s="8" t="n">
        <v>0</v>
      </c>
      <c r="N2488" s="7">
        <f>M2488*$J$2512-J2488</f>
        <v/>
      </c>
      <c r="O2488" s="9">
        <f>IF(G2488=0,0,N2488/G2488)</f>
        <v/>
      </c>
      <c r="P2488" s="6">
        <f>IF(M2488&gt;0,D2488,"")</f>
        <v/>
      </c>
      <c r="Q2488" s="9">
        <f>I2488+O2488</f>
        <v/>
      </c>
      <c r="R2488" s="7">
        <f>Q2488*G2488</f>
        <v/>
      </c>
      <c r="S2488" s="8">
        <f>IF($R$2512=0,0,R2488/$R$2512)</f>
        <v/>
      </c>
      <c r="T2488" s="8" t="n">
        <v>-0.03201136454446685</v>
      </c>
      <c r="U2488" s="8" t="n">
        <v>0.007050235681508976</v>
      </c>
      <c r="V2488" s="6" t="inlineStr">
        <is>
          <t>not selected</t>
        </is>
      </c>
    </row>
    <row r="2489">
      <c r="A2489" s="6" t="inlineStr">
        <is>
          <t>DJ30</t>
        </is>
      </c>
      <c r="B2489" s="6" t="inlineStr">
        <is>
          <t>2024-07-19</t>
        </is>
      </c>
      <c r="C2489" s="6" t="inlineStr">
        <is>
          <t>DIA</t>
        </is>
      </c>
      <c r="D2489" s="6" t="inlineStr">
        <is>
          <t>CSCO</t>
        </is>
      </c>
      <c r="E2489" s="6" t="inlineStr">
        <is>
          <t>CSCO</t>
        </is>
      </c>
      <c r="F2489" s="6" t="inlineStr">
        <is>
          <t>-</t>
        </is>
      </c>
      <c r="G2489" s="7" t="n">
        <v>45.29142379760742</v>
      </c>
      <c r="H2489" s="6">
        <f>P2458</f>
        <v/>
      </c>
      <c r="I2489" s="9">
        <f>Q2458</f>
        <v/>
      </c>
      <c r="J2489" s="7">
        <f>I2489*G2489</f>
        <v/>
      </c>
      <c r="K2489" s="8">
        <f>IF($J$2512=0,0,J2489/$J$2512)</f>
        <v/>
      </c>
      <c r="L2489" s="6" t="inlineStr">
        <is>
          <t>REJECTED</t>
        </is>
      </c>
      <c r="M2489" s="8" t="n">
        <v>0</v>
      </c>
      <c r="N2489" s="7">
        <f>M2489*$J$2512-J2489</f>
        <v/>
      </c>
      <c r="O2489" s="9">
        <f>IF(G2489=0,0,N2489/G2489)</f>
        <v/>
      </c>
      <c r="P2489" s="6">
        <f>IF(M2489&gt;0,D2489,"")</f>
        <v/>
      </c>
      <c r="Q2489" s="9">
        <f>I2489+O2489</f>
        <v/>
      </c>
      <c r="R2489" s="7">
        <f>Q2489*G2489</f>
        <v/>
      </c>
      <c r="S2489" s="8">
        <f>IF($R$2512=0,0,R2489/$R$2512)</f>
        <v/>
      </c>
      <c r="T2489" s="8" t="n">
        <v>-0.03201136454446685</v>
      </c>
      <c r="U2489" s="8" t="n">
        <v>0.007050235681508976</v>
      </c>
      <c r="V2489" s="6" t="inlineStr">
        <is>
          <t>not selected</t>
        </is>
      </c>
    </row>
    <row r="2490">
      <c r="A2490" s="6" t="inlineStr">
        <is>
          <t>DJ30</t>
        </is>
      </c>
      <c r="B2490" s="6" t="inlineStr">
        <is>
          <t>2024-07-19</t>
        </is>
      </c>
      <c r="C2490" s="6" t="inlineStr">
        <is>
          <t>DIA</t>
        </is>
      </c>
      <c r="D2490" s="6" t="inlineStr">
        <is>
          <t>CVX</t>
        </is>
      </c>
      <c r="E2490" s="6" t="inlineStr">
        <is>
          <t>CVX</t>
        </is>
      </c>
      <c r="F2490" s="6" t="inlineStr">
        <is>
          <t>-</t>
        </is>
      </c>
      <c r="G2490" s="7" t="n">
        <v>146.1160736083984</v>
      </c>
      <c r="H2490" s="6">
        <f>P2459</f>
        <v/>
      </c>
      <c r="I2490" s="9">
        <f>Q2459</f>
        <v/>
      </c>
      <c r="J2490" s="7">
        <f>I2490*G2490</f>
        <v/>
      </c>
      <c r="K2490" s="8">
        <f>IF($J$2512=0,0,J2490/$J$2512)</f>
        <v/>
      </c>
      <c r="L2490" s="6" t="inlineStr">
        <is>
          <t>REJECTED</t>
        </is>
      </c>
      <c r="M2490" s="8" t="n">
        <v>0</v>
      </c>
      <c r="N2490" s="7">
        <f>M2490*$J$2512-J2490</f>
        <v/>
      </c>
      <c r="O2490" s="9">
        <f>IF(G2490=0,0,N2490/G2490)</f>
        <v/>
      </c>
      <c r="P2490" s="6">
        <f>IF(M2490&gt;0,D2490,"")</f>
        <v/>
      </c>
      <c r="Q2490" s="9">
        <f>I2490+O2490</f>
        <v/>
      </c>
      <c r="R2490" s="7">
        <f>Q2490*G2490</f>
        <v/>
      </c>
      <c r="S2490" s="8">
        <f>IF($R$2512=0,0,R2490/$R$2512)</f>
        <v/>
      </c>
      <c r="T2490" s="8" t="n">
        <v>-0.03201136454446685</v>
      </c>
      <c r="U2490" s="8" t="n">
        <v>0.007050235681508976</v>
      </c>
      <c r="V2490" s="6" t="inlineStr">
        <is>
          <t>not selected</t>
        </is>
      </c>
    </row>
    <row r="2491">
      <c r="A2491" s="6" t="inlineStr">
        <is>
          <t>DJ30</t>
        </is>
      </c>
      <c r="B2491" s="6" t="inlineStr">
        <is>
          <t>2024-07-19</t>
        </is>
      </c>
      <c r="C2491" s="6" t="inlineStr">
        <is>
          <t>DIA</t>
        </is>
      </c>
      <c r="D2491" s="6" t="inlineStr">
        <is>
          <t>DIS</t>
        </is>
      </c>
      <c r="E2491" s="6" t="inlineStr">
        <is>
          <t>DIS</t>
        </is>
      </c>
      <c r="F2491" s="6" t="inlineStr">
        <is>
          <t>-</t>
        </is>
      </c>
      <c r="G2491" s="7" t="n">
        <v>94.27503967285156</v>
      </c>
      <c r="H2491" s="6">
        <f>P2460</f>
        <v/>
      </c>
      <c r="I2491" s="9">
        <f>Q2460</f>
        <v/>
      </c>
      <c r="J2491" s="7">
        <f>I2491*G2491</f>
        <v/>
      </c>
      <c r="K2491" s="8">
        <f>IF($J$2512=0,0,J2491/$J$2512)</f>
        <v/>
      </c>
      <c r="L2491" s="6" t="inlineStr">
        <is>
          <t>WATCHLIST</t>
        </is>
      </c>
      <c r="M2491" s="8" t="n">
        <v>0</v>
      </c>
      <c r="N2491" s="7">
        <f>M2491*$J$2512-J2491</f>
        <v/>
      </c>
      <c r="O2491" s="9">
        <f>IF(G2491=0,0,N2491/G2491)</f>
        <v/>
      </c>
      <c r="P2491" s="6">
        <f>IF(M2491&gt;0,D2491,"")</f>
        <v/>
      </c>
      <c r="Q2491" s="9">
        <f>I2491+O2491</f>
        <v/>
      </c>
      <c r="R2491" s="7">
        <f>Q2491*G2491</f>
        <v/>
      </c>
      <c r="S2491" s="8">
        <f>IF($R$2512=0,0,R2491/$R$2512)</f>
        <v/>
      </c>
      <c r="T2491" s="8" t="n">
        <v>-0.03201136454446685</v>
      </c>
      <c r="U2491" s="8" t="n">
        <v>0.007050235681508976</v>
      </c>
      <c r="V2491" s="6" t="inlineStr">
        <is>
          <t>not selected</t>
        </is>
      </c>
    </row>
    <row r="2492">
      <c r="A2492" s="6" t="inlineStr">
        <is>
          <t>DJ30</t>
        </is>
      </c>
      <c r="B2492" s="6" t="inlineStr">
        <is>
          <t>2024-07-19</t>
        </is>
      </c>
      <c r="C2492" s="6" t="inlineStr">
        <is>
          <t>DIA</t>
        </is>
      </c>
      <c r="D2492" s="6" t="inlineStr">
        <is>
          <t>GS</t>
        </is>
      </c>
      <c r="E2492" s="6" t="inlineStr">
        <is>
          <t>GS</t>
        </is>
      </c>
      <c r="F2492" s="6" t="inlineStr">
        <is>
          <t>-</t>
        </is>
      </c>
      <c r="G2492" s="7" t="n">
        <v>465.594482421875</v>
      </c>
      <c r="H2492" s="6">
        <f>P2461</f>
        <v/>
      </c>
      <c r="I2492" s="9">
        <f>Q2461</f>
        <v/>
      </c>
      <c r="J2492" s="7">
        <f>I2492*G2492</f>
        <v/>
      </c>
      <c r="K2492" s="8">
        <f>IF($J$2512=0,0,J2492/$J$2512)</f>
        <v/>
      </c>
      <c r="L2492" s="6" t="inlineStr">
        <is>
          <t>WATCHLIST</t>
        </is>
      </c>
      <c r="M2492" s="8" t="n">
        <v>0</v>
      </c>
      <c r="N2492" s="7">
        <f>M2492*$J$2512-J2492</f>
        <v/>
      </c>
      <c r="O2492" s="9">
        <f>IF(G2492=0,0,N2492/G2492)</f>
        <v/>
      </c>
      <c r="P2492" s="6">
        <f>IF(M2492&gt;0,D2492,"")</f>
        <v/>
      </c>
      <c r="Q2492" s="9">
        <f>I2492+O2492</f>
        <v/>
      </c>
      <c r="R2492" s="7">
        <f>Q2492*G2492</f>
        <v/>
      </c>
      <c r="S2492" s="8">
        <f>IF($R$2512=0,0,R2492/$R$2512)</f>
        <v/>
      </c>
      <c r="T2492" s="8" t="n">
        <v>-0.03201136454446685</v>
      </c>
      <c r="U2492" s="8" t="n">
        <v>0.007050235681508976</v>
      </c>
      <c r="V2492" s="6" t="inlineStr">
        <is>
          <t>removed from weekly selection</t>
        </is>
      </c>
    </row>
    <row r="2493">
      <c r="A2493" s="6" t="inlineStr">
        <is>
          <t>DJ30</t>
        </is>
      </c>
      <c r="B2493" s="6" t="inlineStr">
        <is>
          <t>2024-07-19</t>
        </is>
      </c>
      <c r="C2493" s="6" t="inlineStr">
        <is>
          <t>DIA</t>
        </is>
      </c>
      <c r="D2493" s="6" t="inlineStr">
        <is>
          <t>HD</t>
        </is>
      </c>
      <c r="E2493" s="6" t="inlineStr">
        <is>
          <t>HD</t>
        </is>
      </c>
      <c r="F2493" s="6" t="inlineStr">
        <is>
          <t>-</t>
        </is>
      </c>
      <c r="G2493" s="7" t="n">
        <v>345.6148071289062</v>
      </c>
      <c r="H2493" s="6">
        <f>P2462</f>
        <v/>
      </c>
      <c r="I2493" s="9">
        <f>Q2462</f>
        <v/>
      </c>
      <c r="J2493" s="7">
        <f>I2493*G2493</f>
        <v/>
      </c>
      <c r="K2493" s="8">
        <f>IF($J$2512=0,0,J2493/$J$2512)</f>
        <v/>
      </c>
      <c r="L2493" s="6" t="inlineStr">
        <is>
          <t>WATCHLIST</t>
        </is>
      </c>
      <c r="M2493" s="8" t="n">
        <v>0</v>
      </c>
      <c r="N2493" s="7">
        <f>M2493*$J$2512-J2493</f>
        <v/>
      </c>
      <c r="O2493" s="9">
        <f>IF(G2493=0,0,N2493/G2493)</f>
        <v/>
      </c>
      <c r="P2493" s="6">
        <f>IF(M2493&gt;0,D2493,"")</f>
        <v/>
      </c>
      <c r="Q2493" s="9">
        <f>I2493+O2493</f>
        <v/>
      </c>
      <c r="R2493" s="7">
        <f>Q2493*G2493</f>
        <v/>
      </c>
      <c r="S2493" s="8">
        <f>IF($R$2512=0,0,R2493/$R$2512)</f>
        <v/>
      </c>
      <c r="T2493" s="8" t="n">
        <v>-0.03201136454446685</v>
      </c>
      <c r="U2493" s="8" t="n">
        <v>0.007050235681508976</v>
      </c>
      <c r="V2493" s="6" t="inlineStr">
        <is>
          <t>not selected</t>
        </is>
      </c>
    </row>
    <row r="2494">
      <c r="A2494" s="6" t="inlineStr">
        <is>
          <t>DJ30</t>
        </is>
      </c>
      <c r="B2494" s="6" t="inlineStr">
        <is>
          <t>2024-07-19</t>
        </is>
      </c>
      <c r="C2494" s="6" t="inlineStr">
        <is>
          <t>DIA</t>
        </is>
      </c>
      <c r="D2494" s="6" t="inlineStr">
        <is>
          <t>HON</t>
        </is>
      </c>
      <c r="E2494" s="6" t="inlineStr">
        <is>
          <t>HON</t>
        </is>
      </c>
      <c r="F2494" s="6" t="inlineStr">
        <is>
          <t>-</t>
        </is>
      </c>
      <c r="G2494" s="7" t="n">
        <v>193.8746643066407</v>
      </c>
      <c r="H2494" s="6">
        <f>P2463</f>
        <v/>
      </c>
      <c r="I2494" s="9">
        <f>Q2463</f>
        <v/>
      </c>
      <c r="J2494" s="7">
        <f>I2494*G2494</f>
        <v/>
      </c>
      <c r="K2494" s="8">
        <f>IF($J$2512=0,0,J2494/$J$2512)</f>
        <v/>
      </c>
      <c r="L2494" s="6" t="inlineStr">
        <is>
          <t>WATCHLIST</t>
        </is>
      </c>
      <c r="M2494" s="8" t="n">
        <v>0</v>
      </c>
      <c r="N2494" s="7">
        <f>M2494*$J$2512-J2494</f>
        <v/>
      </c>
      <c r="O2494" s="9">
        <f>IF(G2494=0,0,N2494/G2494)</f>
        <v/>
      </c>
      <c r="P2494" s="6">
        <f>IF(M2494&gt;0,D2494,"")</f>
        <v/>
      </c>
      <c r="Q2494" s="9">
        <f>I2494+O2494</f>
        <v/>
      </c>
      <c r="R2494" s="7">
        <f>Q2494*G2494</f>
        <v/>
      </c>
      <c r="S2494" s="8">
        <f>IF($R$2512=0,0,R2494/$R$2512)</f>
        <v/>
      </c>
      <c r="T2494" s="8" t="n">
        <v>-0.03201136454446685</v>
      </c>
      <c r="U2494" s="8" t="n">
        <v>0.007050235681508976</v>
      </c>
      <c r="V2494" s="6" t="inlineStr">
        <is>
          <t>not selected</t>
        </is>
      </c>
    </row>
    <row r="2495">
      <c r="A2495" s="6" t="inlineStr">
        <is>
          <t>DJ30</t>
        </is>
      </c>
      <c r="B2495" s="6" t="inlineStr">
        <is>
          <t>2024-07-19</t>
        </is>
      </c>
      <c r="C2495" s="6" t="inlineStr">
        <is>
          <t>DIA</t>
        </is>
      </c>
      <c r="D2495" s="6" t="inlineStr">
        <is>
          <t>IBM</t>
        </is>
      </c>
      <c r="E2495" s="6" t="inlineStr">
        <is>
          <t>IBM</t>
        </is>
      </c>
      <c r="F2495" s="6" t="inlineStr">
        <is>
          <t>-</t>
        </is>
      </c>
      <c r="G2495" s="7" t="n">
        <v>173.4284820556641</v>
      </c>
      <c r="H2495" s="6">
        <f>P2464</f>
        <v/>
      </c>
      <c r="I2495" s="9">
        <f>Q2464</f>
        <v/>
      </c>
      <c r="J2495" s="7">
        <f>I2495*G2495</f>
        <v/>
      </c>
      <c r="K2495" s="8">
        <f>IF($J$2512=0,0,J2495/$J$2512)</f>
        <v/>
      </c>
      <c r="L2495" s="6" t="inlineStr">
        <is>
          <t>WATCHLIST</t>
        </is>
      </c>
      <c r="M2495" s="8" t="n">
        <v>0</v>
      </c>
      <c r="N2495" s="7">
        <f>M2495*$J$2512-J2495</f>
        <v/>
      </c>
      <c r="O2495" s="9">
        <f>IF(G2495=0,0,N2495/G2495)</f>
        <v/>
      </c>
      <c r="P2495" s="6">
        <f>IF(M2495&gt;0,D2495,"")</f>
        <v/>
      </c>
      <c r="Q2495" s="9">
        <f>I2495+O2495</f>
        <v/>
      </c>
      <c r="R2495" s="7">
        <f>Q2495*G2495</f>
        <v/>
      </c>
      <c r="S2495" s="8">
        <f>IF($R$2512=0,0,R2495/$R$2512)</f>
        <v/>
      </c>
      <c r="T2495" s="8" t="n">
        <v>-0.03201136454446685</v>
      </c>
      <c r="U2495" s="8" t="n">
        <v>0.007050235681508976</v>
      </c>
      <c r="V2495" s="6" t="inlineStr">
        <is>
          <t>not selected</t>
        </is>
      </c>
    </row>
    <row r="2496">
      <c r="A2496" s="6" t="inlineStr">
        <is>
          <t>DJ30</t>
        </is>
      </c>
      <c r="B2496" s="6" t="inlineStr">
        <is>
          <t>2024-07-19</t>
        </is>
      </c>
      <c r="C2496" s="6" t="inlineStr">
        <is>
          <t>DIA</t>
        </is>
      </c>
      <c r="D2496" s="6" t="inlineStr">
        <is>
          <t>JNJ</t>
        </is>
      </c>
      <c r="E2496" s="6" t="inlineStr">
        <is>
          <t>JNJ</t>
        </is>
      </c>
      <c r="F2496" s="6" t="inlineStr">
        <is>
          <t>-</t>
        </is>
      </c>
      <c r="G2496" s="7" t="n">
        <v>146.1570434570312</v>
      </c>
      <c r="H2496" s="6">
        <f>P2465</f>
        <v/>
      </c>
      <c r="I2496" s="9">
        <f>Q2465</f>
        <v/>
      </c>
      <c r="J2496" s="7">
        <f>I2496*G2496</f>
        <v/>
      </c>
      <c r="K2496" s="8">
        <f>IF($J$2512=0,0,J2496/$J$2512)</f>
        <v/>
      </c>
      <c r="L2496" s="6" t="inlineStr">
        <is>
          <t>REJECTED</t>
        </is>
      </c>
      <c r="M2496" s="8" t="n">
        <v>0</v>
      </c>
      <c r="N2496" s="7">
        <f>M2496*$J$2512-J2496</f>
        <v/>
      </c>
      <c r="O2496" s="9">
        <f>IF(G2496=0,0,N2496/G2496)</f>
        <v/>
      </c>
      <c r="P2496" s="6">
        <f>IF(M2496&gt;0,D2496,"")</f>
        <v/>
      </c>
      <c r="Q2496" s="9">
        <f>I2496+O2496</f>
        <v/>
      </c>
      <c r="R2496" s="7">
        <f>Q2496*G2496</f>
        <v/>
      </c>
      <c r="S2496" s="8">
        <f>IF($R$2512=0,0,R2496/$R$2512)</f>
        <v/>
      </c>
      <c r="T2496" s="8" t="n">
        <v>-0.03201136454446685</v>
      </c>
      <c r="U2496" s="8" t="n">
        <v>0.007050235681508976</v>
      </c>
      <c r="V2496" s="6" t="inlineStr">
        <is>
          <t>not selected</t>
        </is>
      </c>
    </row>
    <row r="2497">
      <c r="A2497" s="6" t="inlineStr">
        <is>
          <t>DJ30</t>
        </is>
      </c>
      <c r="B2497" s="6" t="inlineStr">
        <is>
          <t>2024-07-19</t>
        </is>
      </c>
      <c r="C2497" s="6" t="inlineStr">
        <is>
          <t>DIA</t>
        </is>
      </c>
      <c r="D2497" s="6" t="inlineStr">
        <is>
          <t>JPM</t>
        </is>
      </c>
      <c r="E2497" s="6" t="inlineStr">
        <is>
          <t>JPM</t>
        </is>
      </c>
      <c r="F2497" s="6" t="inlineStr">
        <is>
          <t>-</t>
        </is>
      </c>
      <c r="G2497" s="7" t="n">
        <v>202.2281951904297</v>
      </c>
      <c r="H2497" s="6">
        <f>P2466</f>
        <v/>
      </c>
      <c r="I2497" s="9">
        <f>Q2466</f>
        <v/>
      </c>
      <c r="J2497" s="7">
        <f>I2497*G2497</f>
        <v/>
      </c>
      <c r="K2497" s="8">
        <f>IF($J$2512=0,0,J2497/$J$2512)</f>
        <v/>
      </c>
      <c r="L2497" s="6" t="inlineStr">
        <is>
          <t>WATCHLIST</t>
        </is>
      </c>
      <c r="M2497" s="8" t="n">
        <v>0</v>
      </c>
      <c r="N2497" s="7">
        <f>M2497*$J$2512-J2497</f>
        <v/>
      </c>
      <c r="O2497" s="9">
        <f>IF(G2497=0,0,N2497/G2497)</f>
        <v/>
      </c>
      <c r="P2497" s="6">
        <f>IF(M2497&gt;0,D2497,"")</f>
        <v/>
      </c>
      <c r="Q2497" s="9">
        <f>I2497+O2497</f>
        <v/>
      </c>
      <c r="R2497" s="7">
        <f>Q2497*G2497</f>
        <v/>
      </c>
      <c r="S2497" s="8">
        <f>IF($R$2512=0,0,R2497/$R$2512)</f>
        <v/>
      </c>
      <c r="T2497" s="8" t="n">
        <v>-0.03201136454446685</v>
      </c>
      <c r="U2497" s="8" t="n">
        <v>0.007050235681508976</v>
      </c>
      <c r="V2497" s="6" t="inlineStr">
        <is>
          <t>not selected</t>
        </is>
      </c>
    </row>
    <row r="2498">
      <c r="A2498" s="6" t="inlineStr">
        <is>
          <t>DJ30</t>
        </is>
      </c>
      <c r="B2498" s="6" t="inlineStr">
        <is>
          <t>2024-07-19</t>
        </is>
      </c>
      <c r="C2498" s="6" t="inlineStr">
        <is>
          <t>DIA</t>
        </is>
      </c>
      <c r="D2498" s="6" t="inlineStr">
        <is>
          <t>KO</t>
        </is>
      </c>
      <c r="E2498" s="6" t="inlineStr">
        <is>
          <t>KO</t>
        </is>
      </c>
      <c r="F2498" s="6" t="inlineStr">
        <is>
          <t>-</t>
        </is>
      </c>
      <c r="G2498" s="7" t="n">
        <v>61.68779754638672</v>
      </c>
      <c r="H2498" s="6">
        <f>P2467</f>
        <v/>
      </c>
      <c r="I2498" s="9">
        <f>Q2467</f>
        <v/>
      </c>
      <c r="J2498" s="7">
        <f>I2498*G2498</f>
        <v/>
      </c>
      <c r="K2498" s="8">
        <f>IF($J$2512=0,0,J2498/$J$2512)</f>
        <v/>
      </c>
      <c r="L2498" s="6" t="inlineStr">
        <is>
          <t>WATCHLIST</t>
        </is>
      </c>
      <c r="M2498" s="8" t="n">
        <v>0</v>
      </c>
      <c r="N2498" s="7">
        <f>M2498*$J$2512-J2498</f>
        <v/>
      </c>
      <c r="O2498" s="9">
        <f>IF(G2498=0,0,N2498/G2498)</f>
        <v/>
      </c>
      <c r="P2498" s="6">
        <f>IF(M2498&gt;0,D2498,"")</f>
        <v/>
      </c>
      <c r="Q2498" s="9">
        <f>I2498+O2498</f>
        <v/>
      </c>
      <c r="R2498" s="7">
        <f>Q2498*G2498</f>
        <v/>
      </c>
      <c r="S2498" s="8">
        <f>IF($R$2512=0,0,R2498/$R$2512)</f>
        <v/>
      </c>
      <c r="T2498" s="8" t="n">
        <v>-0.03201136454446685</v>
      </c>
      <c r="U2498" s="8" t="n">
        <v>0.007050235681508976</v>
      </c>
      <c r="V2498" s="6" t="inlineStr">
        <is>
          <t>not selected</t>
        </is>
      </c>
    </row>
    <row r="2499">
      <c r="A2499" s="6" t="inlineStr">
        <is>
          <t>DJ30</t>
        </is>
      </c>
      <c r="B2499" s="6" t="inlineStr">
        <is>
          <t>2024-07-19</t>
        </is>
      </c>
      <c r="C2499" s="6" t="inlineStr">
        <is>
          <t>DIA</t>
        </is>
      </c>
      <c r="D2499" s="6" t="inlineStr">
        <is>
          <t>MCD</t>
        </is>
      </c>
      <c r="E2499" s="6" t="inlineStr">
        <is>
          <t>MCD</t>
        </is>
      </c>
      <c r="F2499" s="6" t="inlineStr">
        <is>
          <t>-</t>
        </is>
      </c>
      <c r="G2499" s="7" t="n">
        <v>245.4218597412109</v>
      </c>
      <c r="H2499" s="6">
        <f>P2468</f>
        <v/>
      </c>
      <c r="I2499" s="9">
        <f>Q2468</f>
        <v/>
      </c>
      <c r="J2499" s="7">
        <f>I2499*G2499</f>
        <v/>
      </c>
      <c r="K2499" s="8">
        <f>IF($J$2512=0,0,J2499/$J$2512)</f>
        <v/>
      </c>
      <c r="L2499" s="6" t="inlineStr">
        <is>
          <t>REJECTED</t>
        </is>
      </c>
      <c r="M2499" s="8" t="n">
        <v>0</v>
      </c>
      <c r="N2499" s="7">
        <f>M2499*$J$2512-J2499</f>
        <v/>
      </c>
      <c r="O2499" s="9">
        <f>IF(G2499=0,0,N2499/G2499)</f>
        <v/>
      </c>
      <c r="P2499" s="6">
        <f>IF(M2499&gt;0,D2499,"")</f>
        <v/>
      </c>
      <c r="Q2499" s="9">
        <f>I2499+O2499</f>
        <v/>
      </c>
      <c r="R2499" s="7">
        <f>Q2499*G2499</f>
        <v/>
      </c>
      <c r="S2499" s="8">
        <f>IF($R$2512=0,0,R2499/$R$2512)</f>
        <v/>
      </c>
      <c r="T2499" s="8" t="n">
        <v>-0.03201136454446685</v>
      </c>
      <c r="U2499" s="8" t="n">
        <v>0.007050235681508976</v>
      </c>
      <c r="V2499" s="6" t="inlineStr">
        <is>
          <t>not selected</t>
        </is>
      </c>
    </row>
    <row r="2500">
      <c r="A2500" s="6" t="inlineStr">
        <is>
          <t>DJ30</t>
        </is>
      </c>
      <c r="B2500" s="6" t="inlineStr">
        <is>
          <t>2024-07-19</t>
        </is>
      </c>
      <c r="C2500" s="6" t="inlineStr">
        <is>
          <t>DIA</t>
        </is>
      </c>
      <c r="D2500" s="6" t="inlineStr">
        <is>
          <t>MMM</t>
        </is>
      </c>
      <c r="E2500" s="6" t="inlineStr">
        <is>
          <t>MMM</t>
        </is>
      </c>
      <c r="F2500" s="6" t="inlineStr">
        <is>
          <t>-</t>
        </is>
      </c>
      <c r="G2500" s="7" t="n">
        <v>99.94312286376952</v>
      </c>
      <c r="H2500" s="6">
        <f>P2469</f>
        <v/>
      </c>
      <c r="I2500" s="9">
        <f>Q2469</f>
        <v/>
      </c>
      <c r="J2500" s="7">
        <f>I2500*G2500</f>
        <v/>
      </c>
      <c r="K2500" s="8">
        <f>IF($J$2512=0,0,J2500/$J$2512)</f>
        <v/>
      </c>
      <c r="L2500" s="6" t="inlineStr">
        <is>
          <t>WATCHLIST</t>
        </is>
      </c>
      <c r="M2500" s="8" t="n">
        <v>0</v>
      </c>
      <c r="N2500" s="7">
        <f>M2500*$J$2512-J2500</f>
        <v/>
      </c>
      <c r="O2500" s="9">
        <f>IF(G2500=0,0,N2500/G2500)</f>
        <v/>
      </c>
      <c r="P2500" s="6">
        <f>IF(M2500&gt;0,D2500,"")</f>
        <v/>
      </c>
      <c r="Q2500" s="9">
        <f>I2500+O2500</f>
        <v/>
      </c>
      <c r="R2500" s="7">
        <f>Q2500*G2500</f>
        <v/>
      </c>
      <c r="S2500" s="8">
        <f>IF($R$2512=0,0,R2500/$R$2512)</f>
        <v/>
      </c>
      <c r="T2500" s="8" t="n">
        <v>-0.03201136454446685</v>
      </c>
      <c r="U2500" s="8" t="n">
        <v>0.007050235681508976</v>
      </c>
      <c r="V2500" s="6" t="inlineStr">
        <is>
          <t>not selected</t>
        </is>
      </c>
    </row>
    <row r="2501">
      <c r="A2501" s="6" t="inlineStr">
        <is>
          <t>DJ30</t>
        </is>
      </c>
      <c r="B2501" s="6" t="inlineStr">
        <is>
          <t>2024-07-19</t>
        </is>
      </c>
      <c r="C2501" s="6" t="inlineStr">
        <is>
          <t>DIA</t>
        </is>
      </c>
      <c r="D2501" s="6" t="inlineStr">
        <is>
          <t>MRK</t>
        </is>
      </c>
      <c r="E2501" s="6" t="inlineStr">
        <is>
          <t>MRK</t>
        </is>
      </c>
      <c r="F2501" s="6" t="inlineStr">
        <is>
          <t>-</t>
        </is>
      </c>
      <c r="G2501" s="7" t="n">
        <v>117.7264938354492</v>
      </c>
      <c r="H2501" s="6">
        <f>P2470</f>
        <v/>
      </c>
      <c r="I2501" s="9">
        <f>Q2470</f>
        <v/>
      </c>
      <c r="J2501" s="7">
        <f>I2501*G2501</f>
        <v/>
      </c>
      <c r="K2501" s="8">
        <f>IF($J$2512=0,0,J2501/$J$2512)</f>
        <v/>
      </c>
      <c r="L2501" s="6" t="inlineStr">
        <is>
          <t>WATCHLIST</t>
        </is>
      </c>
      <c r="M2501" s="8" t="n">
        <v>0</v>
      </c>
      <c r="N2501" s="7">
        <f>M2501*$J$2512-J2501</f>
        <v/>
      </c>
      <c r="O2501" s="9">
        <f>IF(G2501=0,0,N2501/G2501)</f>
        <v/>
      </c>
      <c r="P2501" s="6">
        <f>IF(M2501&gt;0,D2501,"")</f>
        <v/>
      </c>
      <c r="Q2501" s="9">
        <f>I2501+O2501</f>
        <v/>
      </c>
      <c r="R2501" s="7">
        <f>Q2501*G2501</f>
        <v/>
      </c>
      <c r="S2501" s="8">
        <f>IF($R$2512=0,0,R2501/$R$2512)</f>
        <v/>
      </c>
      <c r="T2501" s="8" t="n">
        <v>-0.03201136454446685</v>
      </c>
      <c r="U2501" s="8" t="n">
        <v>0.007050235681508976</v>
      </c>
      <c r="V2501" s="6" t="inlineStr">
        <is>
          <t>not selected</t>
        </is>
      </c>
    </row>
    <row r="2502">
      <c r="A2502" s="6" t="inlineStr">
        <is>
          <t>DJ30</t>
        </is>
      </c>
      <c r="B2502" s="6" t="inlineStr">
        <is>
          <t>2024-07-19</t>
        </is>
      </c>
      <c r="C2502" s="6" t="inlineStr">
        <is>
          <t>DIA</t>
        </is>
      </c>
      <c r="D2502" s="6" t="inlineStr">
        <is>
          <t>MSFT</t>
        </is>
      </c>
      <c r="E2502" s="6" t="inlineStr">
        <is>
          <t>MSFT</t>
        </is>
      </c>
      <c r="F2502" s="6" t="inlineStr">
        <is>
          <t>-</t>
        </is>
      </c>
      <c r="G2502" s="7" t="n">
        <v>430.3467712402344</v>
      </c>
      <c r="H2502" s="6">
        <f>P2471</f>
        <v/>
      </c>
      <c r="I2502" s="9">
        <f>Q2471</f>
        <v/>
      </c>
      <c r="J2502" s="7">
        <f>I2502*G2502</f>
        <v/>
      </c>
      <c r="K2502" s="8">
        <f>IF($J$2512=0,0,J2502/$J$2512)</f>
        <v/>
      </c>
      <c r="L2502" s="6" t="inlineStr">
        <is>
          <t>WATCHLIST</t>
        </is>
      </c>
      <c r="M2502" s="8" t="n">
        <v>0</v>
      </c>
      <c r="N2502" s="7">
        <f>M2502*$J$2512-J2502</f>
        <v/>
      </c>
      <c r="O2502" s="9">
        <f>IF(G2502=0,0,N2502/G2502)</f>
        <v/>
      </c>
      <c r="P2502" s="6">
        <f>IF(M2502&gt;0,D2502,"")</f>
        <v/>
      </c>
      <c r="Q2502" s="9">
        <f>I2502+O2502</f>
        <v/>
      </c>
      <c r="R2502" s="7">
        <f>Q2502*G2502</f>
        <v/>
      </c>
      <c r="S2502" s="8">
        <f>IF($R$2512=0,0,R2502/$R$2512)</f>
        <v/>
      </c>
      <c r="T2502" s="8" t="n">
        <v>-0.03201136454446685</v>
      </c>
      <c r="U2502" s="8" t="n">
        <v>0.007050235681508976</v>
      </c>
      <c r="V2502" s="6" t="inlineStr">
        <is>
          <t>not selected</t>
        </is>
      </c>
    </row>
    <row r="2503">
      <c r="A2503" s="6" t="inlineStr">
        <is>
          <t>DJ30</t>
        </is>
      </c>
      <c r="B2503" s="6" t="inlineStr">
        <is>
          <t>2024-07-19</t>
        </is>
      </c>
      <c r="C2503" s="6" t="inlineStr">
        <is>
          <t>DIA</t>
        </is>
      </c>
      <c r="D2503" s="6" t="inlineStr">
        <is>
          <t>NKE</t>
        </is>
      </c>
      <c r="E2503" s="6" t="inlineStr">
        <is>
          <t>NKE</t>
        </is>
      </c>
      <c r="F2503" s="6" t="inlineStr">
        <is>
          <t>-</t>
        </is>
      </c>
      <c r="G2503" s="7" t="n">
        <v>69.2730712890625</v>
      </c>
      <c r="H2503" s="6">
        <f>P2472</f>
        <v/>
      </c>
      <c r="I2503" s="9">
        <f>Q2472</f>
        <v/>
      </c>
      <c r="J2503" s="7">
        <f>I2503*G2503</f>
        <v/>
      </c>
      <c r="K2503" s="8">
        <f>IF($J$2512=0,0,J2503/$J$2512)</f>
        <v/>
      </c>
      <c r="L2503" s="6" t="inlineStr">
        <is>
          <t>REJECTED</t>
        </is>
      </c>
      <c r="M2503" s="8" t="n">
        <v>0</v>
      </c>
      <c r="N2503" s="7">
        <f>M2503*$J$2512-J2503</f>
        <v/>
      </c>
      <c r="O2503" s="9">
        <f>IF(G2503=0,0,N2503/G2503)</f>
        <v/>
      </c>
      <c r="P2503" s="6">
        <f>IF(M2503&gt;0,D2503,"")</f>
        <v/>
      </c>
      <c r="Q2503" s="9">
        <f>I2503+O2503</f>
        <v/>
      </c>
      <c r="R2503" s="7">
        <f>Q2503*G2503</f>
        <v/>
      </c>
      <c r="S2503" s="8">
        <f>IF($R$2512=0,0,R2503/$R$2512)</f>
        <v/>
      </c>
      <c r="T2503" s="8" t="n">
        <v>-0.03201136454446685</v>
      </c>
      <c r="U2503" s="8" t="n">
        <v>0.007050235681508976</v>
      </c>
      <c r="V2503" s="6" t="inlineStr">
        <is>
          <t>not selected</t>
        </is>
      </c>
    </row>
    <row r="2504">
      <c r="A2504" s="6" t="inlineStr">
        <is>
          <t>DJ30</t>
        </is>
      </c>
      <c r="B2504" s="6" t="inlineStr">
        <is>
          <t>2024-07-19</t>
        </is>
      </c>
      <c r="C2504" s="6" t="inlineStr">
        <is>
          <t>DIA</t>
        </is>
      </c>
      <c r="D2504" s="6" t="inlineStr">
        <is>
          <t>NVDA</t>
        </is>
      </c>
      <c r="E2504" s="6" t="inlineStr">
        <is>
          <t>NVDA</t>
        </is>
      </c>
      <c r="F2504" s="6" t="inlineStr">
        <is>
          <t>-</t>
        </is>
      </c>
      <c r="G2504" s="7" t="n">
        <v>117.7359466552734</v>
      </c>
      <c r="H2504" s="6">
        <f>P2473</f>
        <v/>
      </c>
      <c r="I2504" s="9">
        <f>Q2473</f>
        <v/>
      </c>
      <c r="J2504" s="7">
        <f>I2504*G2504</f>
        <v/>
      </c>
      <c r="K2504" s="8">
        <f>IF($J$2512=0,0,J2504/$J$2512)</f>
        <v/>
      </c>
      <c r="L2504" s="6" t="inlineStr">
        <is>
          <t>SELECTED</t>
        </is>
      </c>
      <c r="M2504" s="8" t="n">
        <v>0.2</v>
      </c>
      <c r="N2504" s="7">
        <f>M2504*$J$2512-J2504</f>
        <v/>
      </c>
      <c r="O2504" s="9">
        <f>IF(G2504=0,0,N2504/G2504)</f>
        <v/>
      </c>
      <c r="P2504" s="6">
        <f>IF(M2504&gt;0,D2504,"")</f>
        <v/>
      </c>
      <c r="Q2504" s="9">
        <f>I2504+O2504</f>
        <v/>
      </c>
      <c r="R2504" s="7">
        <f>Q2504*G2504</f>
        <v/>
      </c>
      <c r="S2504" s="8">
        <f>IF($R$2512=0,0,R2504/$R$2512)</f>
        <v/>
      </c>
      <c r="T2504" s="8" t="n">
        <v>-0.03201136454446685</v>
      </c>
      <c r="U2504" s="8" t="n">
        <v>0.007050235681508976</v>
      </c>
      <c r="V2504" s="6" t="inlineStr">
        <is>
          <t>remained in weekly selection</t>
        </is>
      </c>
    </row>
    <row r="2505">
      <c r="A2505" s="6" t="inlineStr">
        <is>
          <t>DJ30</t>
        </is>
      </c>
      <c r="B2505" s="6" t="inlineStr">
        <is>
          <t>2024-07-19</t>
        </is>
      </c>
      <c r="C2505" s="6" t="inlineStr">
        <is>
          <t>DIA</t>
        </is>
      </c>
      <c r="D2505" s="6" t="inlineStr">
        <is>
          <t>PG</t>
        </is>
      </c>
      <c r="E2505" s="6" t="inlineStr">
        <is>
          <t>PG</t>
        </is>
      </c>
      <c r="F2505" s="6" t="inlineStr">
        <is>
          <t>-</t>
        </is>
      </c>
      <c r="G2505" s="7" t="n">
        <v>160.3260650634766</v>
      </c>
      <c r="H2505" s="6">
        <f>P2474</f>
        <v/>
      </c>
      <c r="I2505" s="9">
        <f>Q2474</f>
        <v/>
      </c>
      <c r="J2505" s="7">
        <f>I2505*G2505</f>
        <v/>
      </c>
      <c r="K2505" s="8">
        <f>IF($J$2512=0,0,J2505/$J$2512)</f>
        <v/>
      </c>
      <c r="L2505" s="6" t="inlineStr">
        <is>
          <t>WATCHLIST</t>
        </is>
      </c>
      <c r="M2505" s="8" t="n">
        <v>0</v>
      </c>
      <c r="N2505" s="7">
        <f>M2505*$J$2512-J2505</f>
        <v/>
      </c>
      <c r="O2505" s="9">
        <f>IF(G2505=0,0,N2505/G2505)</f>
        <v/>
      </c>
      <c r="P2505" s="6">
        <f>IF(M2505&gt;0,D2505,"")</f>
        <v/>
      </c>
      <c r="Q2505" s="9">
        <f>I2505+O2505</f>
        <v/>
      </c>
      <c r="R2505" s="7">
        <f>Q2505*G2505</f>
        <v/>
      </c>
      <c r="S2505" s="8">
        <f>IF($R$2512=0,0,R2505/$R$2512)</f>
        <v/>
      </c>
      <c r="T2505" s="8" t="n">
        <v>-0.03201136454446685</v>
      </c>
      <c r="U2505" s="8" t="n">
        <v>0.007050235681508976</v>
      </c>
      <c r="V2505" s="6" t="inlineStr">
        <is>
          <t>not selected</t>
        </is>
      </c>
    </row>
    <row r="2506">
      <c r="A2506" s="6" t="inlineStr">
        <is>
          <t>DJ30</t>
        </is>
      </c>
      <c r="B2506" s="6" t="inlineStr">
        <is>
          <t>2024-07-19</t>
        </is>
      </c>
      <c r="C2506" s="6" t="inlineStr">
        <is>
          <t>DIA</t>
        </is>
      </c>
      <c r="D2506" s="6" t="inlineStr">
        <is>
          <t>SHW</t>
        </is>
      </c>
      <c r="E2506" s="6" t="inlineStr">
        <is>
          <t>SHW</t>
        </is>
      </c>
      <c r="F2506" s="6" t="inlineStr">
        <is>
          <t>-</t>
        </is>
      </c>
      <c r="G2506" s="7" t="n">
        <v>316.2612609863281</v>
      </c>
      <c r="H2506" s="6">
        <f>P2475</f>
        <v/>
      </c>
      <c r="I2506" s="9">
        <f>Q2475</f>
        <v/>
      </c>
      <c r="J2506" s="7">
        <f>I2506*G2506</f>
        <v/>
      </c>
      <c r="K2506" s="8">
        <f>IF($J$2512=0,0,J2506/$J$2512)</f>
        <v/>
      </c>
      <c r="L2506" s="6" t="inlineStr">
        <is>
          <t>WATCHLIST</t>
        </is>
      </c>
      <c r="M2506" s="8" t="n">
        <v>0</v>
      </c>
      <c r="N2506" s="7">
        <f>M2506*$J$2512-J2506</f>
        <v/>
      </c>
      <c r="O2506" s="9">
        <f>IF(G2506=0,0,N2506/G2506)</f>
        <v/>
      </c>
      <c r="P2506" s="6">
        <f>IF(M2506&gt;0,D2506,"")</f>
        <v/>
      </c>
      <c r="Q2506" s="9">
        <f>I2506+O2506</f>
        <v/>
      </c>
      <c r="R2506" s="7">
        <f>Q2506*G2506</f>
        <v/>
      </c>
      <c r="S2506" s="8">
        <f>IF($R$2512=0,0,R2506/$R$2512)</f>
        <v/>
      </c>
      <c r="T2506" s="8" t="n">
        <v>-0.03201136454446685</v>
      </c>
      <c r="U2506" s="8" t="n">
        <v>0.007050235681508976</v>
      </c>
      <c r="V2506" s="6" t="inlineStr">
        <is>
          <t>not selected</t>
        </is>
      </c>
    </row>
    <row r="2507">
      <c r="A2507" s="6" t="inlineStr">
        <is>
          <t>DJ30</t>
        </is>
      </c>
      <c r="B2507" s="6" t="inlineStr">
        <is>
          <t>2024-07-19</t>
        </is>
      </c>
      <c r="C2507" s="6" t="inlineStr">
        <is>
          <t>DIA</t>
        </is>
      </c>
      <c r="D2507" s="6" t="inlineStr">
        <is>
          <t>TRV</t>
        </is>
      </c>
      <c r="E2507" s="6" t="inlineStr">
        <is>
          <t>TRV</t>
        </is>
      </c>
      <c r="F2507" s="6" t="inlineStr">
        <is>
          <t>-</t>
        </is>
      </c>
      <c r="G2507" s="7" t="n">
        <v>196.9683837890625</v>
      </c>
      <c r="H2507" s="6">
        <f>P2476</f>
        <v/>
      </c>
      <c r="I2507" s="9">
        <f>Q2476</f>
        <v/>
      </c>
      <c r="J2507" s="7">
        <f>I2507*G2507</f>
        <v/>
      </c>
      <c r="K2507" s="8">
        <f>IF($J$2512=0,0,J2507/$J$2512)</f>
        <v/>
      </c>
      <c r="L2507" s="6" t="inlineStr">
        <is>
          <t>SELECTED</t>
        </is>
      </c>
      <c r="M2507" s="8" t="n">
        <v>0.2</v>
      </c>
      <c r="N2507" s="7">
        <f>M2507*$J$2512-J2507</f>
        <v/>
      </c>
      <c r="O2507" s="9">
        <f>IF(G2507=0,0,N2507/G2507)</f>
        <v/>
      </c>
      <c r="P2507" s="6">
        <f>IF(M2507&gt;0,D2507,"")</f>
        <v/>
      </c>
      <c r="Q2507" s="9">
        <f>I2507+O2507</f>
        <v/>
      </c>
      <c r="R2507" s="7">
        <f>Q2507*G2507</f>
        <v/>
      </c>
      <c r="S2507" s="8">
        <f>IF($R$2512=0,0,R2507/$R$2512)</f>
        <v/>
      </c>
      <c r="T2507" s="8" t="n">
        <v>-0.03201136454446685</v>
      </c>
      <c r="U2507" s="8" t="n">
        <v>0.007050235681508976</v>
      </c>
      <c r="V2507" s="6" t="inlineStr">
        <is>
          <t>remained in weekly selection</t>
        </is>
      </c>
    </row>
    <row r="2508">
      <c r="A2508" s="6" t="inlineStr">
        <is>
          <t>DJ30</t>
        </is>
      </c>
      <c r="B2508" s="6" t="inlineStr">
        <is>
          <t>2024-07-19</t>
        </is>
      </c>
      <c r="C2508" s="6" t="inlineStr">
        <is>
          <t>DIA</t>
        </is>
      </c>
      <c r="D2508" s="6" t="inlineStr">
        <is>
          <t>UNH</t>
        </is>
      </c>
      <c r="E2508" s="6" t="inlineStr">
        <is>
          <t>UNH</t>
        </is>
      </c>
      <c r="F2508" s="6" t="inlineStr">
        <is>
          <t>-</t>
        </is>
      </c>
      <c r="G2508" s="7" t="n">
        <v>540.3807983398438</v>
      </c>
      <c r="H2508" s="6">
        <f>P2477</f>
        <v/>
      </c>
      <c r="I2508" s="9">
        <f>Q2477</f>
        <v/>
      </c>
      <c r="J2508" s="7">
        <f>I2508*G2508</f>
        <v/>
      </c>
      <c r="K2508" s="8">
        <f>IF($J$2512=0,0,J2508/$J$2512)</f>
        <v/>
      </c>
      <c r="L2508" s="6" t="inlineStr">
        <is>
          <t>REJECTED</t>
        </is>
      </c>
      <c r="M2508" s="8" t="n">
        <v>0</v>
      </c>
      <c r="N2508" s="7">
        <f>M2508*$J$2512-J2508</f>
        <v/>
      </c>
      <c r="O2508" s="9">
        <f>IF(G2508=0,0,N2508/G2508)</f>
        <v/>
      </c>
      <c r="P2508" s="6">
        <f>IF(M2508&gt;0,D2508,"")</f>
        <v/>
      </c>
      <c r="Q2508" s="9">
        <f>I2508+O2508</f>
        <v/>
      </c>
      <c r="R2508" s="7">
        <f>Q2508*G2508</f>
        <v/>
      </c>
      <c r="S2508" s="8">
        <f>IF($R$2512=0,0,R2508/$R$2512)</f>
        <v/>
      </c>
      <c r="T2508" s="8" t="n">
        <v>-0.03201136454446685</v>
      </c>
      <c r="U2508" s="8" t="n">
        <v>0.007050235681508976</v>
      </c>
      <c r="V2508" s="6" t="inlineStr">
        <is>
          <t>not selected</t>
        </is>
      </c>
    </row>
    <row r="2509">
      <c r="A2509" s="6" t="inlineStr">
        <is>
          <t>DJ30</t>
        </is>
      </c>
      <c r="B2509" s="6" t="inlineStr">
        <is>
          <t>2024-07-19</t>
        </is>
      </c>
      <c r="C2509" s="6" t="inlineStr">
        <is>
          <t>DIA</t>
        </is>
      </c>
      <c r="D2509" s="6" t="inlineStr">
        <is>
          <t>V</t>
        </is>
      </c>
      <c r="E2509" s="6" t="inlineStr">
        <is>
          <t>V</t>
        </is>
      </c>
      <c r="F2509" s="6" t="inlineStr">
        <is>
          <t>-</t>
        </is>
      </c>
      <c r="G2509" s="7" t="n">
        <v>261.4786987304688</v>
      </c>
      <c r="H2509" s="6">
        <f>P2478</f>
        <v/>
      </c>
      <c r="I2509" s="9">
        <f>Q2478</f>
        <v/>
      </c>
      <c r="J2509" s="7">
        <f>I2509*G2509</f>
        <v/>
      </c>
      <c r="K2509" s="8">
        <f>IF($J$2512=0,0,J2509/$J$2512)</f>
        <v/>
      </c>
      <c r="L2509" s="6" t="inlineStr">
        <is>
          <t>WATCHLIST</t>
        </is>
      </c>
      <c r="M2509" s="8" t="n">
        <v>0</v>
      </c>
      <c r="N2509" s="7">
        <f>M2509*$J$2512-J2509</f>
        <v/>
      </c>
      <c r="O2509" s="9">
        <f>IF(G2509=0,0,N2509/G2509)</f>
        <v/>
      </c>
      <c r="P2509" s="6">
        <f>IF(M2509&gt;0,D2509,"")</f>
        <v/>
      </c>
      <c r="Q2509" s="9">
        <f>I2509+O2509</f>
        <v/>
      </c>
      <c r="R2509" s="7">
        <f>Q2509*G2509</f>
        <v/>
      </c>
      <c r="S2509" s="8">
        <f>IF($R$2512=0,0,R2509/$R$2512)</f>
        <v/>
      </c>
      <c r="T2509" s="8" t="n">
        <v>-0.03201136454446685</v>
      </c>
      <c r="U2509" s="8" t="n">
        <v>0.007050235681508976</v>
      </c>
      <c r="V2509" s="6" t="inlineStr">
        <is>
          <t>not selected</t>
        </is>
      </c>
    </row>
    <row r="2510">
      <c r="A2510" s="6" t="inlineStr">
        <is>
          <t>DJ30</t>
        </is>
      </c>
      <c r="B2510" s="6" t="inlineStr">
        <is>
          <t>2024-07-19</t>
        </is>
      </c>
      <c r="C2510" s="6" t="inlineStr">
        <is>
          <t>DIA</t>
        </is>
      </c>
      <c r="D2510" s="6" t="inlineStr">
        <is>
          <t>VZ</t>
        </is>
      </c>
      <c r="E2510" s="6" t="inlineStr">
        <is>
          <t>VZ</t>
        </is>
      </c>
      <c r="F2510" s="6" t="inlineStr">
        <is>
          <t>-</t>
        </is>
      </c>
      <c r="G2510" s="7" t="n">
        <v>37.12826919555664</v>
      </c>
      <c r="H2510" s="6">
        <f>P2479</f>
        <v/>
      </c>
      <c r="I2510" s="9">
        <f>Q2479</f>
        <v/>
      </c>
      <c r="J2510" s="7">
        <f>I2510*G2510</f>
        <v/>
      </c>
      <c r="K2510" s="8">
        <f>IF($J$2512=0,0,J2510/$J$2512)</f>
        <v/>
      </c>
      <c r="L2510" s="6" t="inlineStr">
        <is>
          <t>SELECTED</t>
        </is>
      </c>
      <c r="M2510" s="8" t="n">
        <v>0.2</v>
      </c>
      <c r="N2510" s="7">
        <f>M2510*$J$2512-J2510</f>
        <v/>
      </c>
      <c r="O2510" s="9">
        <f>IF(G2510=0,0,N2510/G2510)</f>
        <v/>
      </c>
      <c r="P2510" s="6">
        <f>IF(M2510&gt;0,D2510,"")</f>
        <v/>
      </c>
      <c r="Q2510" s="9">
        <f>I2510+O2510</f>
        <v/>
      </c>
      <c r="R2510" s="7">
        <f>Q2510*G2510</f>
        <v/>
      </c>
      <c r="S2510" s="8">
        <f>IF($R$2512=0,0,R2510/$R$2512)</f>
        <v/>
      </c>
      <c r="T2510" s="8" t="n">
        <v>-0.03201136454446685</v>
      </c>
      <c r="U2510" s="8" t="n">
        <v>0.007050235681508976</v>
      </c>
      <c r="V2510" s="6" t="inlineStr">
        <is>
          <t>entered weekly selection</t>
        </is>
      </c>
    </row>
    <row r="2511">
      <c r="A2511" s="6" t="inlineStr">
        <is>
          <t>DJ30</t>
        </is>
      </c>
      <c r="B2511" s="6" t="inlineStr">
        <is>
          <t>2024-07-19</t>
        </is>
      </c>
      <c r="C2511" s="6" t="inlineStr">
        <is>
          <t>DIA</t>
        </is>
      </c>
      <c r="D2511" s="6" t="inlineStr">
        <is>
          <t>WMT</t>
        </is>
      </c>
      <c r="E2511" s="6" t="inlineStr">
        <is>
          <t>WMT</t>
        </is>
      </c>
      <c r="F2511" s="6" t="inlineStr">
        <is>
          <t>-</t>
        </is>
      </c>
      <c r="G2511" s="7" t="n">
        <v>69.45018005371094</v>
      </c>
      <c r="H2511" s="6">
        <f>P2480</f>
        <v/>
      </c>
      <c r="I2511" s="9">
        <f>Q2480</f>
        <v/>
      </c>
      <c r="J2511" s="7">
        <f>I2511*G2511</f>
        <v/>
      </c>
      <c r="K2511" s="8">
        <f>IF($J$2512=0,0,J2511/$J$2512)</f>
        <v/>
      </c>
      <c r="L2511" s="6" t="inlineStr">
        <is>
          <t>WATCHLIST</t>
        </is>
      </c>
      <c r="M2511" s="8" t="n">
        <v>0</v>
      </c>
      <c r="N2511" s="7">
        <f>M2511*$J$2512-J2511</f>
        <v/>
      </c>
      <c r="O2511" s="9">
        <f>IF(G2511=0,0,N2511/G2511)</f>
        <v/>
      </c>
      <c r="P2511" s="6">
        <f>IF(M2511&gt;0,D2511,"")</f>
        <v/>
      </c>
      <c r="Q2511" s="9">
        <f>I2511+O2511</f>
        <v/>
      </c>
      <c r="R2511" s="7">
        <f>Q2511*G2511</f>
        <v/>
      </c>
      <c r="S2511" s="8">
        <f>IF($R$2512=0,0,R2511/$R$2512)</f>
        <v/>
      </c>
      <c r="T2511" s="8" t="n">
        <v>-0.03201136454446685</v>
      </c>
      <c r="U2511" s="8" t="n">
        <v>0.007050235681508976</v>
      </c>
      <c r="V2511" s="6" t="inlineStr">
        <is>
          <t>not selected</t>
        </is>
      </c>
    </row>
    <row r="2512">
      <c r="A2512" s="10" t="inlineStr">
        <is>
          <t>DJ30</t>
        </is>
      </c>
      <c r="B2512" s="10" t="inlineStr">
        <is>
          <t>2024-07-19</t>
        </is>
      </c>
      <c r="C2512" s="10" t="inlineStr">
        <is>
          <t>DIA</t>
        </is>
      </c>
      <c r="D2512" s="10" t="inlineStr">
        <is>
          <t>Tot Portfolio</t>
        </is>
      </c>
      <c r="E2512" s="10" t="inlineStr"/>
      <c r="F2512" s="10" t="inlineStr"/>
      <c r="G2512" s="11" t="inlineStr"/>
      <c r="H2512" s="10" t="inlineStr"/>
      <c r="I2512" s="12" t="inlineStr"/>
      <c r="J2512" s="11">
        <f>SUM(J2482:J2511)</f>
        <v/>
      </c>
      <c r="K2512" s="13">
        <f>SUM(K2482:K2511)</f>
        <v/>
      </c>
      <c r="L2512" s="10" t="inlineStr">
        <is>
          <t>TOTAL</t>
        </is>
      </c>
      <c r="M2512" s="13">
        <f>SUM(M2482:M2511)</f>
        <v/>
      </c>
      <c r="N2512" s="11">
        <f>SUM(N2482:N2511)</f>
        <v/>
      </c>
      <c r="O2512" s="12">
        <f>SUM(O2482:O2511)</f>
        <v/>
      </c>
      <c r="P2512" s="10" t="inlineStr"/>
      <c r="Q2512" s="12" t="inlineStr"/>
      <c r="R2512" s="11">
        <f>SUM(R2482:R2511)</f>
        <v/>
      </c>
      <c r="S2512" s="13">
        <f>SUM(S2482:S2511)</f>
        <v/>
      </c>
      <c r="T2512" s="13" t="n">
        <v>-0.03201136454446685</v>
      </c>
      <c r="U2512" s="13" t="n">
        <v>0.007050235681508976</v>
      </c>
      <c r="V2512" s="10" t="inlineStr"/>
    </row>
    <row r="2513">
      <c r="A2513" s="6" t="inlineStr">
        <is>
          <t>DJ30</t>
        </is>
      </c>
      <c r="B2513" s="6" t="inlineStr">
        <is>
          <t>2024-07-26</t>
        </is>
      </c>
      <c r="C2513" s="6" t="inlineStr">
        <is>
          <t>DIA</t>
        </is>
      </c>
      <c r="D2513" s="6" t="inlineStr">
        <is>
          <t>AAPL</t>
        </is>
      </c>
      <c r="E2513" s="6" t="inlineStr">
        <is>
          <t>AAPL</t>
        </is>
      </c>
      <c r="F2513" s="6" t="inlineStr">
        <is>
          <t>-</t>
        </is>
      </c>
      <c r="G2513" s="7" t="n">
        <v>216.088134765625</v>
      </c>
      <c r="H2513" s="6">
        <f>P2482</f>
        <v/>
      </c>
      <c r="I2513" s="9">
        <f>Q2482</f>
        <v/>
      </c>
      <c r="J2513" s="7">
        <f>I2513*G2513</f>
        <v/>
      </c>
      <c r="K2513" s="8">
        <f>IF($J$2543=0,0,J2513/$J$2543)</f>
        <v/>
      </c>
      <c r="L2513" s="6" t="inlineStr">
        <is>
          <t>REJECTED</t>
        </is>
      </c>
      <c r="M2513" s="8" t="n">
        <v>0</v>
      </c>
      <c r="N2513" s="7">
        <f>M2513*$J$2543-J2513</f>
        <v/>
      </c>
      <c r="O2513" s="9">
        <f>IF(G2513=0,0,N2513/G2513)</f>
        <v/>
      </c>
      <c r="P2513" s="6">
        <f>IF(M2513&gt;0,D2513,"")</f>
        <v/>
      </c>
      <c r="Q2513" s="9">
        <f>I2513+O2513</f>
        <v/>
      </c>
      <c r="R2513" s="7">
        <f>Q2513*G2513</f>
        <v/>
      </c>
      <c r="S2513" s="8">
        <f>IF($R$2543=0,0,R2513/$R$2543)</f>
        <v/>
      </c>
      <c r="T2513" s="8" t="n">
        <v>-0.003210492022571287</v>
      </c>
      <c r="U2513" s="8" t="n">
        <v>0.007494693666304508</v>
      </c>
      <c r="V2513" s="6" t="inlineStr">
        <is>
          <t>not selected</t>
        </is>
      </c>
    </row>
    <row r="2514">
      <c r="A2514" s="6" t="inlineStr">
        <is>
          <t>DJ30</t>
        </is>
      </c>
      <c r="B2514" s="6" t="inlineStr">
        <is>
          <t>2024-07-26</t>
        </is>
      </c>
      <c r="C2514" s="6" t="inlineStr">
        <is>
          <t>DIA</t>
        </is>
      </c>
      <c r="D2514" s="6" t="inlineStr">
        <is>
          <t>AMGN</t>
        </is>
      </c>
      <c r="E2514" s="6" t="inlineStr">
        <is>
          <t>AMGN</t>
        </is>
      </c>
      <c r="F2514" s="6" t="inlineStr">
        <is>
          <t>-</t>
        </is>
      </c>
      <c r="G2514" s="7" t="n">
        <v>314.9200439453125</v>
      </c>
      <c r="H2514" s="6">
        <f>P2483</f>
        <v/>
      </c>
      <c r="I2514" s="9">
        <f>Q2483</f>
        <v/>
      </c>
      <c r="J2514" s="7">
        <f>I2514*G2514</f>
        <v/>
      </c>
      <c r="K2514" s="8">
        <f>IF($J$2543=0,0,J2514/$J$2543)</f>
        <v/>
      </c>
      <c r="L2514" s="6" t="inlineStr">
        <is>
          <t>WATCHLIST</t>
        </is>
      </c>
      <c r="M2514" s="8" t="n">
        <v>0</v>
      </c>
      <c r="N2514" s="7">
        <f>M2514*$J$2543-J2514</f>
        <v/>
      </c>
      <c r="O2514" s="9">
        <f>IF(G2514=0,0,N2514/G2514)</f>
        <v/>
      </c>
      <c r="P2514" s="6">
        <f>IF(M2514&gt;0,D2514,"")</f>
        <v/>
      </c>
      <c r="Q2514" s="9">
        <f>I2514+O2514</f>
        <v/>
      </c>
      <c r="R2514" s="7">
        <f>Q2514*G2514</f>
        <v/>
      </c>
      <c r="S2514" s="8">
        <f>IF($R$2543=0,0,R2514/$R$2543)</f>
        <v/>
      </c>
      <c r="T2514" s="8" t="n">
        <v>-0.003210492022571287</v>
      </c>
      <c r="U2514" s="8" t="n">
        <v>0.007494693666304508</v>
      </c>
      <c r="V2514" s="6" t="inlineStr">
        <is>
          <t>not selected</t>
        </is>
      </c>
    </row>
    <row r="2515">
      <c r="A2515" s="6" t="inlineStr">
        <is>
          <t>DJ30</t>
        </is>
      </c>
      <c r="B2515" s="6" t="inlineStr">
        <is>
          <t>2024-07-26</t>
        </is>
      </c>
      <c r="C2515" s="6" t="inlineStr">
        <is>
          <t>DIA</t>
        </is>
      </c>
      <c r="D2515" s="6" t="inlineStr">
        <is>
          <t>AMZN</t>
        </is>
      </c>
      <c r="E2515" s="6" t="inlineStr">
        <is>
          <t>AMZN</t>
        </is>
      </c>
      <c r="F2515" s="6" t="inlineStr">
        <is>
          <t>-</t>
        </is>
      </c>
      <c r="G2515" s="7" t="n">
        <v>182.5</v>
      </c>
      <c r="H2515" s="6">
        <f>P2484</f>
        <v/>
      </c>
      <c r="I2515" s="9">
        <f>Q2484</f>
        <v/>
      </c>
      <c r="J2515" s="7">
        <f>I2515*G2515</f>
        <v/>
      </c>
      <c r="K2515" s="8">
        <f>IF($J$2543=0,0,J2515/$J$2543)</f>
        <v/>
      </c>
      <c r="L2515" s="6" t="inlineStr">
        <is>
          <t>SELECTED</t>
        </is>
      </c>
      <c r="M2515" s="8" t="n">
        <v>0.2</v>
      </c>
      <c r="N2515" s="7">
        <f>M2515*$J$2543-J2515</f>
        <v/>
      </c>
      <c r="O2515" s="9">
        <f>IF(G2515=0,0,N2515/G2515)</f>
        <v/>
      </c>
      <c r="P2515" s="6">
        <f>IF(M2515&gt;0,D2515,"")</f>
        <v/>
      </c>
      <c r="Q2515" s="9">
        <f>I2515+O2515</f>
        <v/>
      </c>
      <c r="R2515" s="7">
        <f>Q2515*G2515</f>
        <v/>
      </c>
      <c r="S2515" s="8">
        <f>IF($R$2543=0,0,R2515/$R$2543)</f>
        <v/>
      </c>
      <c r="T2515" s="8" t="n">
        <v>-0.003210492022571287</v>
      </c>
      <c r="U2515" s="8" t="n">
        <v>0.007494693666304508</v>
      </c>
      <c r="V2515" s="6" t="inlineStr">
        <is>
          <t>remained in weekly selection</t>
        </is>
      </c>
    </row>
    <row r="2516">
      <c r="A2516" s="6" t="inlineStr">
        <is>
          <t>DJ30</t>
        </is>
      </c>
      <c r="B2516" s="6" t="inlineStr">
        <is>
          <t>2024-07-26</t>
        </is>
      </c>
      <c r="C2516" s="6" t="inlineStr">
        <is>
          <t>DIA</t>
        </is>
      </c>
      <c r="D2516" s="6" t="inlineStr">
        <is>
          <t>AXP</t>
        </is>
      </c>
      <c r="E2516" s="6" t="inlineStr">
        <is>
          <t>AXP</t>
        </is>
      </c>
      <c r="F2516" s="6" t="inlineStr">
        <is>
          <t>-</t>
        </is>
      </c>
      <c r="G2516" s="7" t="n">
        <v>241.3346099853516</v>
      </c>
      <c r="H2516" s="6">
        <f>P2485</f>
        <v/>
      </c>
      <c r="I2516" s="9">
        <f>Q2485</f>
        <v/>
      </c>
      <c r="J2516" s="7">
        <f>I2516*G2516</f>
        <v/>
      </c>
      <c r="K2516" s="8">
        <f>IF($J$2543=0,0,J2516/$J$2543)</f>
        <v/>
      </c>
      <c r="L2516" s="6" t="inlineStr">
        <is>
          <t>SELECTED</t>
        </is>
      </c>
      <c r="M2516" s="8" t="n">
        <v>0.2</v>
      </c>
      <c r="N2516" s="7">
        <f>M2516*$J$2543-J2516</f>
        <v/>
      </c>
      <c r="O2516" s="9">
        <f>IF(G2516=0,0,N2516/G2516)</f>
        <v/>
      </c>
      <c r="P2516" s="6">
        <f>IF(M2516&gt;0,D2516,"")</f>
        <v/>
      </c>
      <c r="Q2516" s="9">
        <f>I2516+O2516</f>
        <v/>
      </c>
      <c r="R2516" s="7">
        <f>Q2516*G2516</f>
        <v/>
      </c>
      <c r="S2516" s="8">
        <f>IF($R$2543=0,0,R2516/$R$2543)</f>
        <v/>
      </c>
      <c r="T2516" s="8" t="n">
        <v>-0.003210492022571287</v>
      </c>
      <c r="U2516" s="8" t="n">
        <v>0.007494693666304508</v>
      </c>
      <c r="V2516" s="6" t="inlineStr">
        <is>
          <t>remained in weekly selection</t>
        </is>
      </c>
    </row>
    <row r="2517">
      <c r="A2517" s="6" t="inlineStr">
        <is>
          <t>DJ30</t>
        </is>
      </c>
      <c r="B2517" s="6" t="inlineStr">
        <is>
          <t>2024-07-26</t>
        </is>
      </c>
      <c r="C2517" s="6" t="inlineStr">
        <is>
          <t>DIA</t>
        </is>
      </c>
      <c r="D2517" s="6" t="inlineStr">
        <is>
          <t>BA</t>
        </is>
      </c>
      <c r="E2517" s="6" t="inlineStr">
        <is>
          <t>BA</t>
        </is>
      </c>
      <c r="F2517" s="6" t="inlineStr">
        <is>
          <t>-</t>
        </is>
      </c>
      <c r="G2517" s="7" t="n">
        <v>186.8899993896484</v>
      </c>
      <c r="H2517" s="6">
        <f>P2486</f>
        <v/>
      </c>
      <c r="I2517" s="9">
        <f>Q2486</f>
        <v/>
      </c>
      <c r="J2517" s="7">
        <f>I2517*G2517</f>
        <v/>
      </c>
      <c r="K2517" s="8">
        <f>IF($J$2543=0,0,J2517/$J$2543)</f>
        <v/>
      </c>
      <c r="L2517" s="6" t="inlineStr">
        <is>
          <t>REJECTED</t>
        </is>
      </c>
      <c r="M2517" s="8" t="n">
        <v>0</v>
      </c>
      <c r="N2517" s="7">
        <f>M2517*$J$2543-J2517</f>
        <v/>
      </c>
      <c r="O2517" s="9">
        <f>IF(G2517=0,0,N2517/G2517)</f>
        <v/>
      </c>
      <c r="P2517" s="6">
        <f>IF(M2517&gt;0,D2517,"")</f>
        <v/>
      </c>
      <c r="Q2517" s="9">
        <f>I2517+O2517</f>
        <v/>
      </c>
      <c r="R2517" s="7">
        <f>Q2517*G2517</f>
        <v/>
      </c>
      <c r="S2517" s="8">
        <f>IF($R$2543=0,0,R2517/$R$2543)</f>
        <v/>
      </c>
      <c r="T2517" s="8" t="n">
        <v>-0.003210492022571287</v>
      </c>
      <c r="U2517" s="8" t="n">
        <v>0.007494693666304508</v>
      </c>
      <c r="V2517" s="6" t="inlineStr">
        <is>
          <t>not selected</t>
        </is>
      </c>
    </row>
    <row r="2518">
      <c r="A2518" s="6" t="inlineStr">
        <is>
          <t>DJ30</t>
        </is>
      </c>
      <c r="B2518" s="6" t="inlineStr">
        <is>
          <t>2024-07-26</t>
        </is>
      </c>
      <c r="C2518" s="6" t="inlineStr">
        <is>
          <t>DIA</t>
        </is>
      </c>
      <c r="D2518" s="6" t="inlineStr">
        <is>
          <t>CAT</t>
        </is>
      </c>
      <c r="E2518" s="6" t="inlineStr">
        <is>
          <t>CAT</t>
        </is>
      </c>
      <c r="F2518" s="6" t="inlineStr">
        <is>
          <t>-</t>
        </is>
      </c>
      <c r="G2518" s="7" t="n">
        <v>342.5748291015625</v>
      </c>
      <c r="H2518" s="6">
        <f>P2487</f>
        <v/>
      </c>
      <c r="I2518" s="9">
        <f>Q2487</f>
        <v/>
      </c>
      <c r="J2518" s="7">
        <f>I2518*G2518</f>
        <v/>
      </c>
      <c r="K2518" s="8">
        <f>IF($J$2543=0,0,J2518/$J$2543)</f>
        <v/>
      </c>
      <c r="L2518" s="6" t="inlineStr">
        <is>
          <t>WATCHLIST</t>
        </is>
      </c>
      <c r="M2518" s="8" t="n">
        <v>0</v>
      </c>
      <c r="N2518" s="7">
        <f>M2518*$J$2543-J2518</f>
        <v/>
      </c>
      <c r="O2518" s="9">
        <f>IF(G2518=0,0,N2518/G2518)</f>
        <v/>
      </c>
      <c r="P2518" s="6">
        <f>IF(M2518&gt;0,D2518,"")</f>
        <v/>
      </c>
      <c r="Q2518" s="9">
        <f>I2518+O2518</f>
        <v/>
      </c>
      <c r="R2518" s="7">
        <f>Q2518*G2518</f>
        <v/>
      </c>
      <c r="S2518" s="8">
        <f>IF($R$2543=0,0,R2518/$R$2543)</f>
        <v/>
      </c>
      <c r="T2518" s="8" t="n">
        <v>-0.003210492022571287</v>
      </c>
      <c r="U2518" s="8" t="n">
        <v>0.007494693666304508</v>
      </c>
      <c r="V2518" s="6" t="inlineStr">
        <is>
          <t>not selected</t>
        </is>
      </c>
    </row>
    <row r="2519">
      <c r="A2519" s="6" t="inlineStr">
        <is>
          <t>DJ30</t>
        </is>
      </c>
      <c r="B2519" s="6" t="inlineStr">
        <is>
          <t>2024-07-26</t>
        </is>
      </c>
      <c r="C2519" s="6" t="inlineStr">
        <is>
          <t>DIA</t>
        </is>
      </c>
      <c r="D2519" s="6" t="inlineStr">
        <is>
          <t>CRM</t>
        </is>
      </c>
      <c r="E2519" s="6" t="inlineStr">
        <is>
          <t>CRM</t>
        </is>
      </c>
      <c r="F2519" s="6" t="inlineStr">
        <is>
          <t>-</t>
        </is>
      </c>
      <c r="G2519" s="7" t="n">
        <v>258.9820861816406</v>
      </c>
      <c r="H2519" s="6">
        <f>P2488</f>
        <v/>
      </c>
      <c r="I2519" s="9">
        <f>Q2488</f>
        <v/>
      </c>
      <c r="J2519" s="7">
        <f>I2519*G2519</f>
        <v/>
      </c>
      <c r="K2519" s="8">
        <f>IF($J$2543=0,0,J2519/$J$2543)</f>
        <v/>
      </c>
      <c r="L2519" s="6" t="inlineStr">
        <is>
          <t>WATCHLIST</t>
        </is>
      </c>
      <c r="M2519" s="8" t="n">
        <v>0</v>
      </c>
      <c r="N2519" s="7">
        <f>M2519*$J$2543-J2519</f>
        <v/>
      </c>
      <c r="O2519" s="9">
        <f>IF(G2519=0,0,N2519/G2519)</f>
        <v/>
      </c>
      <c r="P2519" s="6">
        <f>IF(M2519&gt;0,D2519,"")</f>
        <v/>
      </c>
      <c r="Q2519" s="9">
        <f>I2519+O2519</f>
        <v/>
      </c>
      <c r="R2519" s="7">
        <f>Q2519*G2519</f>
        <v/>
      </c>
      <c r="S2519" s="8">
        <f>IF($R$2543=0,0,R2519/$R$2543)</f>
        <v/>
      </c>
      <c r="T2519" s="8" t="n">
        <v>-0.003210492022571287</v>
      </c>
      <c r="U2519" s="8" t="n">
        <v>0.007494693666304508</v>
      </c>
      <c r="V2519" s="6" t="inlineStr">
        <is>
          <t>not selected</t>
        </is>
      </c>
    </row>
    <row r="2520">
      <c r="A2520" s="6" t="inlineStr">
        <is>
          <t>DJ30</t>
        </is>
      </c>
      <c r="B2520" s="6" t="inlineStr">
        <is>
          <t>2024-07-26</t>
        </is>
      </c>
      <c r="C2520" s="6" t="inlineStr">
        <is>
          <t>DIA</t>
        </is>
      </c>
      <c r="D2520" s="6" t="inlineStr">
        <is>
          <t>CSCO</t>
        </is>
      </c>
      <c r="E2520" s="6" t="inlineStr">
        <is>
          <t>CSCO</t>
        </is>
      </c>
      <c r="F2520" s="6" t="inlineStr">
        <is>
          <t>-</t>
        </is>
      </c>
      <c r="G2520" s="7" t="n">
        <v>45.82742309570312</v>
      </c>
      <c r="H2520" s="6">
        <f>P2489</f>
        <v/>
      </c>
      <c r="I2520" s="9">
        <f>Q2489</f>
        <v/>
      </c>
      <c r="J2520" s="7">
        <f>I2520*G2520</f>
        <v/>
      </c>
      <c r="K2520" s="8">
        <f>IF($J$2543=0,0,J2520/$J$2543)</f>
        <v/>
      </c>
      <c r="L2520" s="6" t="inlineStr">
        <is>
          <t>REJECTED</t>
        </is>
      </c>
      <c r="M2520" s="8" t="n">
        <v>0</v>
      </c>
      <c r="N2520" s="7">
        <f>M2520*$J$2543-J2520</f>
        <v/>
      </c>
      <c r="O2520" s="9">
        <f>IF(G2520=0,0,N2520/G2520)</f>
        <v/>
      </c>
      <c r="P2520" s="6">
        <f>IF(M2520&gt;0,D2520,"")</f>
        <v/>
      </c>
      <c r="Q2520" s="9">
        <f>I2520+O2520</f>
        <v/>
      </c>
      <c r="R2520" s="7">
        <f>Q2520*G2520</f>
        <v/>
      </c>
      <c r="S2520" s="8">
        <f>IF($R$2543=0,0,R2520/$R$2543)</f>
        <v/>
      </c>
      <c r="T2520" s="8" t="n">
        <v>-0.003210492022571287</v>
      </c>
      <c r="U2520" s="8" t="n">
        <v>0.007494693666304508</v>
      </c>
      <c r="V2520" s="6" t="inlineStr">
        <is>
          <t>not selected</t>
        </is>
      </c>
    </row>
    <row r="2521">
      <c r="A2521" s="6" t="inlineStr">
        <is>
          <t>DJ30</t>
        </is>
      </c>
      <c r="B2521" s="6" t="inlineStr">
        <is>
          <t>2024-07-26</t>
        </is>
      </c>
      <c r="C2521" s="6" t="inlineStr">
        <is>
          <t>DIA</t>
        </is>
      </c>
      <c r="D2521" s="6" t="inlineStr">
        <is>
          <t>CVX</t>
        </is>
      </c>
      <c r="E2521" s="6" t="inlineStr">
        <is>
          <t>CVX</t>
        </is>
      </c>
      <c r="F2521" s="6" t="inlineStr">
        <is>
          <t>-</t>
        </is>
      </c>
      <c r="G2521" s="7" t="n">
        <v>144.9133605957031</v>
      </c>
      <c r="H2521" s="6">
        <f>P2490</f>
        <v/>
      </c>
      <c r="I2521" s="9">
        <f>Q2490</f>
        <v/>
      </c>
      <c r="J2521" s="7">
        <f>I2521*G2521</f>
        <v/>
      </c>
      <c r="K2521" s="8">
        <f>IF($J$2543=0,0,J2521/$J$2543)</f>
        <v/>
      </c>
      <c r="L2521" s="6" t="inlineStr">
        <is>
          <t>REJECTED</t>
        </is>
      </c>
      <c r="M2521" s="8" t="n">
        <v>0</v>
      </c>
      <c r="N2521" s="7">
        <f>M2521*$J$2543-J2521</f>
        <v/>
      </c>
      <c r="O2521" s="9">
        <f>IF(G2521=0,0,N2521/G2521)</f>
        <v/>
      </c>
      <c r="P2521" s="6">
        <f>IF(M2521&gt;0,D2521,"")</f>
        <v/>
      </c>
      <c r="Q2521" s="9">
        <f>I2521+O2521</f>
        <v/>
      </c>
      <c r="R2521" s="7">
        <f>Q2521*G2521</f>
        <v/>
      </c>
      <c r="S2521" s="8">
        <f>IF($R$2543=0,0,R2521/$R$2543)</f>
        <v/>
      </c>
      <c r="T2521" s="8" t="n">
        <v>-0.003210492022571287</v>
      </c>
      <c r="U2521" s="8" t="n">
        <v>0.007494693666304508</v>
      </c>
      <c r="V2521" s="6" t="inlineStr">
        <is>
          <t>not selected</t>
        </is>
      </c>
    </row>
    <row r="2522">
      <c r="A2522" s="6" t="inlineStr">
        <is>
          <t>DJ30</t>
        </is>
      </c>
      <c r="B2522" s="6" t="inlineStr">
        <is>
          <t>2024-07-26</t>
        </is>
      </c>
      <c r="C2522" s="6" t="inlineStr">
        <is>
          <t>DIA</t>
        </is>
      </c>
      <c r="D2522" s="6" t="inlineStr">
        <is>
          <t>DIS</t>
        </is>
      </c>
      <c r="E2522" s="6" t="inlineStr">
        <is>
          <t>DIS</t>
        </is>
      </c>
      <c r="F2522" s="6" t="inlineStr">
        <is>
          <t>-</t>
        </is>
      </c>
      <c r="G2522" s="7" t="n">
        <v>88.55394744873047</v>
      </c>
      <c r="H2522" s="6">
        <f>P2491</f>
        <v/>
      </c>
      <c r="I2522" s="9">
        <f>Q2491</f>
        <v/>
      </c>
      <c r="J2522" s="7">
        <f>I2522*G2522</f>
        <v/>
      </c>
      <c r="K2522" s="8">
        <f>IF($J$2543=0,0,J2522/$J$2543)</f>
        <v/>
      </c>
      <c r="L2522" s="6" t="inlineStr">
        <is>
          <t>WATCHLIST</t>
        </is>
      </c>
      <c r="M2522" s="8" t="n">
        <v>0</v>
      </c>
      <c r="N2522" s="7">
        <f>M2522*$J$2543-J2522</f>
        <v/>
      </c>
      <c r="O2522" s="9">
        <f>IF(G2522=0,0,N2522/G2522)</f>
        <v/>
      </c>
      <c r="P2522" s="6">
        <f>IF(M2522&gt;0,D2522,"")</f>
        <v/>
      </c>
      <c r="Q2522" s="9">
        <f>I2522+O2522</f>
        <v/>
      </c>
      <c r="R2522" s="7">
        <f>Q2522*G2522</f>
        <v/>
      </c>
      <c r="S2522" s="8">
        <f>IF($R$2543=0,0,R2522/$R$2543)</f>
        <v/>
      </c>
      <c r="T2522" s="8" t="n">
        <v>-0.003210492022571287</v>
      </c>
      <c r="U2522" s="8" t="n">
        <v>0.007494693666304508</v>
      </c>
      <c r="V2522" s="6" t="inlineStr">
        <is>
          <t>not selected</t>
        </is>
      </c>
    </row>
    <row r="2523">
      <c r="A2523" s="6" t="inlineStr">
        <is>
          <t>DJ30</t>
        </is>
      </c>
      <c r="B2523" s="6" t="inlineStr">
        <is>
          <t>2024-07-26</t>
        </is>
      </c>
      <c r="C2523" s="6" t="inlineStr">
        <is>
          <t>DIA</t>
        </is>
      </c>
      <c r="D2523" s="6" t="inlineStr">
        <is>
          <t>GS</t>
        </is>
      </c>
      <c r="E2523" s="6" t="inlineStr">
        <is>
          <t>GS</t>
        </is>
      </c>
      <c r="F2523" s="6" t="inlineStr">
        <is>
          <t>-</t>
        </is>
      </c>
      <c r="G2523" s="7" t="n">
        <v>479.1322631835938</v>
      </c>
      <c r="H2523" s="6">
        <f>P2492</f>
        <v/>
      </c>
      <c r="I2523" s="9">
        <f>Q2492</f>
        <v/>
      </c>
      <c r="J2523" s="7">
        <f>I2523*G2523</f>
        <v/>
      </c>
      <c r="K2523" s="8">
        <f>IF($J$2543=0,0,J2523/$J$2543)</f>
        <v/>
      </c>
      <c r="L2523" s="6" t="inlineStr">
        <is>
          <t>WATCHLIST</t>
        </is>
      </c>
      <c r="M2523" s="8" t="n">
        <v>0</v>
      </c>
      <c r="N2523" s="7">
        <f>M2523*$J$2543-J2523</f>
        <v/>
      </c>
      <c r="O2523" s="9">
        <f>IF(G2523=0,0,N2523/G2523)</f>
        <v/>
      </c>
      <c r="P2523" s="6">
        <f>IF(M2523&gt;0,D2523,"")</f>
        <v/>
      </c>
      <c r="Q2523" s="9">
        <f>I2523+O2523</f>
        <v/>
      </c>
      <c r="R2523" s="7">
        <f>Q2523*G2523</f>
        <v/>
      </c>
      <c r="S2523" s="8">
        <f>IF($R$2543=0,0,R2523/$R$2543)</f>
        <v/>
      </c>
      <c r="T2523" s="8" t="n">
        <v>-0.003210492022571287</v>
      </c>
      <c r="U2523" s="8" t="n">
        <v>0.007494693666304508</v>
      </c>
      <c r="V2523" s="6" t="inlineStr">
        <is>
          <t>not selected</t>
        </is>
      </c>
    </row>
    <row r="2524">
      <c r="A2524" s="6" t="inlineStr">
        <is>
          <t>DJ30</t>
        </is>
      </c>
      <c r="B2524" s="6" t="inlineStr">
        <is>
          <t>2024-07-26</t>
        </is>
      </c>
      <c r="C2524" s="6" t="inlineStr">
        <is>
          <t>DIA</t>
        </is>
      </c>
      <c r="D2524" s="6" t="inlineStr">
        <is>
          <t>HD</t>
        </is>
      </c>
      <c r="E2524" s="6" t="inlineStr">
        <is>
          <t>HD</t>
        </is>
      </c>
      <c r="F2524" s="6" t="inlineStr">
        <is>
          <t>-</t>
        </is>
      </c>
      <c r="G2524" s="7" t="n">
        <v>341.9528198242188</v>
      </c>
      <c r="H2524" s="6">
        <f>P2493</f>
        <v/>
      </c>
      <c r="I2524" s="9">
        <f>Q2493</f>
        <v/>
      </c>
      <c r="J2524" s="7">
        <f>I2524*G2524</f>
        <v/>
      </c>
      <c r="K2524" s="8">
        <f>IF($J$2543=0,0,J2524/$J$2543)</f>
        <v/>
      </c>
      <c r="L2524" s="6" t="inlineStr">
        <is>
          <t>WATCHLIST</t>
        </is>
      </c>
      <c r="M2524" s="8" t="n">
        <v>0</v>
      </c>
      <c r="N2524" s="7">
        <f>M2524*$J$2543-J2524</f>
        <v/>
      </c>
      <c r="O2524" s="9">
        <f>IF(G2524=0,0,N2524/G2524)</f>
        <v/>
      </c>
      <c r="P2524" s="6">
        <f>IF(M2524&gt;0,D2524,"")</f>
        <v/>
      </c>
      <c r="Q2524" s="9">
        <f>I2524+O2524</f>
        <v/>
      </c>
      <c r="R2524" s="7">
        <f>Q2524*G2524</f>
        <v/>
      </c>
      <c r="S2524" s="8">
        <f>IF($R$2543=0,0,R2524/$R$2543)</f>
        <v/>
      </c>
      <c r="T2524" s="8" t="n">
        <v>-0.003210492022571287</v>
      </c>
      <c r="U2524" s="8" t="n">
        <v>0.007494693666304508</v>
      </c>
      <c r="V2524" s="6" t="inlineStr">
        <is>
          <t>not selected</t>
        </is>
      </c>
    </row>
    <row r="2525">
      <c r="A2525" s="6" t="inlineStr">
        <is>
          <t>DJ30</t>
        </is>
      </c>
      <c r="B2525" s="6" t="inlineStr">
        <is>
          <t>2024-07-26</t>
        </is>
      </c>
      <c r="C2525" s="6" t="inlineStr">
        <is>
          <t>DIA</t>
        </is>
      </c>
      <c r="D2525" s="6" t="inlineStr">
        <is>
          <t>HON</t>
        </is>
      </c>
      <c r="E2525" s="6" t="inlineStr">
        <is>
          <t>HON</t>
        </is>
      </c>
      <c r="F2525" s="6" t="inlineStr">
        <is>
          <t>-</t>
        </is>
      </c>
      <c r="G2525" s="7" t="n">
        <v>183.1515197753907</v>
      </c>
      <c r="H2525" s="6">
        <f>P2494</f>
        <v/>
      </c>
      <c r="I2525" s="9">
        <f>Q2494</f>
        <v/>
      </c>
      <c r="J2525" s="7">
        <f>I2525*G2525</f>
        <v/>
      </c>
      <c r="K2525" s="8">
        <f>IF($J$2543=0,0,J2525/$J$2543)</f>
        <v/>
      </c>
      <c r="L2525" s="6" t="inlineStr">
        <is>
          <t>WATCHLIST</t>
        </is>
      </c>
      <c r="M2525" s="8" t="n">
        <v>0</v>
      </c>
      <c r="N2525" s="7">
        <f>M2525*$J$2543-J2525</f>
        <v/>
      </c>
      <c r="O2525" s="9">
        <f>IF(G2525=0,0,N2525/G2525)</f>
        <v/>
      </c>
      <c r="P2525" s="6">
        <f>IF(M2525&gt;0,D2525,"")</f>
        <v/>
      </c>
      <c r="Q2525" s="9">
        <f>I2525+O2525</f>
        <v/>
      </c>
      <c r="R2525" s="7">
        <f>Q2525*G2525</f>
        <v/>
      </c>
      <c r="S2525" s="8">
        <f>IF($R$2543=0,0,R2525/$R$2543)</f>
        <v/>
      </c>
      <c r="T2525" s="8" t="n">
        <v>-0.003210492022571287</v>
      </c>
      <c r="U2525" s="8" t="n">
        <v>0.007494693666304508</v>
      </c>
      <c r="V2525" s="6" t="inlineStr">
        <is>
          <t>not selected</t>
        </is>
      </c>
    </row>
    <row r="2526">
      <c r="A2526" s="6" t="inlineStr">
        <is>
          <t>DJ30</t>
        </is>
      </c>
      <c r="B2526" s="6" t="inlineStr">
        <is>
          <t>2024-07-26</t>
        </is>
      </c>
      <c r="C2526" s="6" t="inlineStr">
        <is>
          <t>DIA</t>
        </is>
      </c>
      <c r="D2526" s="6" t="inlineStr">
        <is>
          <t>IBM</t>
        </is>
      </c>
      <c r="E2526" s="6" t="inlineStr">
        <is>
          <t>IBM</t>
        </is>
      </c>
      <c r="F2526" s="6" t="inlineStr">
        <is>
          <t>-</t>
        </is>
      </c>
      <c r="G2526" s="7" t="n">
        <v>181.472900390625</v>
      </c>
      <c r="H2526" s="6">
        <f>P2495</f>
        <v/>
      </c>
      <c r="I2526" s="9">
        <f>Q2495</f>
        <v/>
      </c>
      <c r="J2526" s="7">
        <f>I2526*G2526</f>
        <v/>
      </c>
      <c r="K2526" s="8">
        <f>IF($J$2543=0,0,J2526/$J$2543)</f>
        <v/>
      </c>
      <c r="L2526" s="6" t="inlineStr">
        <is>
          <t>WATCHLIST</t>
        </is>
      </c>
      <c r="M2526" s="8" t="n">
        <v>0</v>
      </c>
      <c r="N2526" s="7">
        <f>M2526*$J$2543-J2526</f>
        <v/>
      </c>
      <c r="O2526" s="9">
        <f>IF(G2526=0,0,N2526/G2526)</f>
        <v/>
      </c>
      <c r="P2526" s="6">
        <f>IF(M2526&gt;0,D2526,"")</f>
        <v/>
      </c>
      <c r="Q2526" s="9">
        <f>I2526+O2526</f>
        <v/>
      </c>
      <c r="R2526" s="7">
        <f>Q2526*G2526</f>
        <v/>
      </c>
      <c r="S2526" s="8">
        <f>IF($R$2543=0,0,R2526/$R$2543)</f>
        <v/>
      </c>
      <c r="T2526" s="8" t="n">
        <v>-0.003210492022571287</v>
      </c>
      <c r="U2526" s="8" t="n">
        <v>0.007494693666304508</v>
      </c>
      <c r="V2526" s="6" t="inlineStr">
        <is>
          <t>not selected</t>
        </is>
      </c>
    </row>
    <row r="2527">
      <c r="A2527" s="6" t="inlineStr">
        <is>
          <t>DJ30</t>
        </is>
      </c>
      <c r="B2527" s="6" t="inlineStr">
        <is>
          <t>2024-07-26</t>
        </is>
      </c>
      <c r="C2527" s="6" t="inlineStr">
        <is>
          <t>DIA</t>
        </is>
      </c>
      <c r="D2527" s="6" t="inlineStr">
        <is>
          <t>JNJ</t>
        </is>
      </c>
      <c r="E2527" s="6" t="inlineStr">
        <is>
          <t>JNJ</t>
        </is>
      </c>
      <c r="F2527" s="6" t="inlineStr">
        <is>
          <t>-</t>
        </is>
      </c>
      <c r="G2527" s="7" t="n">
        <v>151.7788238525391</v>
      </c>
      <c r="H2527" s="6">
        <f>P2496</f>
        <v/>
      </c>
      <c r="I2527" s="9">
        <f>Q2496</f>
        <v/>
      </c>
      <c r="J2527" s="7">
        <f>I2527*G2527</f>
        <v/>
      </c>
      <c r="K2527" s="8">
        <f>IF($J$2543=0,0,J2527/$J$2543)</f>
        <v/>
      </c>
      <c r="L2527" s="6" t="inlineStr">
        <is>
          <t>REJECTED</t>
        </is>
      </c>
      <c r="M2527" s="8" t="n">
        <v>0</v>
      </c>
      <c r="N2527" s="7">
        <f>M2527*$J$2543-J2527</f>
        <v/>
      </c>
      <c r="O2527" s="9">
        <f>IF(G2527=0,0,N2527/G2527)</f>
        <v/>
      </c>
      <c r="P2527" s="6">
        <f>IF(M2527&gt;0,D2527,"")</f>
        <v/>
      </c>
      <c r="Q2527" s="9">
        <f>I2527+O2527</f>
        <v/>
      </c>
      <c r="R2527" s="7">
        <f>Q2527*G2527</f>
        <v/>
      </c>
      <c r="S2527" s="8">
        <f>IF($R$2543=0,0,R2527/$R$2543)</f>
        <v/>
      </c>
      <c r="T2527" s="8" t="n">
        <v>-0.003210492022571287</v>
      </c>
      <c r="U2527" s="8" t="n">
        <v>0.007494693666304508</v>
      </c>
      <c r="V2527" s="6" t="inlineStr">
        <is>
          <t>not selected</t>
        </is>
      </c>
    </row>
    <row r="2528">
      <c r="A2528" s="6" t="inlineStr">
        <is>
          <t>DJ30</t>
        </is>
      </c>
      <c r="B2528" s="6" t="inlineStr">
        <is>
          <t>2024-07-26</t>
        </is>
      </c>
      <c r="C2528" s="6" t="inlineStr">
        <is>
          <t>DIA</t>
        </is>
      </c>
      <c r="D2528" s="6" t="inlineStr">
        <is>
          <t>JPM</t>
        </is>
      </c>
      <c r="E2528" s="6" t="inlineStr">
        <is>
          <t>JPM</t>
        </is>
      </c>
      <c r="F2528" s="6" t="inlineStr">
        <is>
          <t>-</t>
        </is>
      </c>
      <c r="G2528" s="7" t="n">
        <v>204.5996551513672</v>
      </c>
      <c r="H2528" s="6">
        <f>P2497</f>
        <v/>
      </c>
      <c r="I2528" s="9">
        <f>Q2497</f>
        <v/>
      </c>
      <c r="J2528" s="7">
        <f>I2528*G2528</f>
        <v/>
      </c>
      <c r="K2528" s="8">
        <f>IF($J$2543=0,0,J2528/$J$2543)</f>
        <v/>
      </c>
      <c r="L2528" s="6" t="inlineStr">
        <is>
          <t>WATCHLIST</t>
        </is>
      </c>
      <c r="M2528" s="8" t="n">
        <v>0</v>
      </c>
      <c r="N2528" s="7">
        <f>M2528*$J$2543-J2528</f>
        <v/>
      </c>
      <c r="O2528" s="9">
        <f>IF(G2528=0,0,N2528/G2528)</f>
        <v/>
      </c>
      <c r="P2528" s="6">
        <f>IF(M2528&gt;0,D2528,"")</f>
        <v/>
      </c>
      <c r="Q2528" s="9">
        <f>I2528+O2528</f>
        <v/>
      </c>
      <c r="R2528" s="7">
        <f>Q2528*G2528</f>
        <v/>
      </c>
      <c r="S2528" s="8">
        <f>IF($R$2543=0,0,R2528/$R$2543)</f>
        <v/>
      </c>
      <c r="T2528" s="8" t="n">
        <v>-0.003210492022571287</v>
      </c>
      <c r="U2528" s="8" t="n">
        <v>0.007494693666304508</v>
      </c>
      <c r="V2528" s="6" t="inlineStr">
        <is>
          <t>not selected</t>
        </is>
      </c>
    </row>
    <row r="2529">
      <c r="A2529" s="6" t="inlineStr">
        <is>
          <t>DJ30</t>
        </is>
      </c>
      <c r="B2529" s="6" t="inlineStr">
        <is>
          <t>2024-07-26</t>
        </is>
      </c>
      <c r="C2529" s="6" t="inlineStr">
        <is>
          <t>DIA</t>
        </is>
      </c>
      <c r="D2529" s="6" t="inlineStr">
        <is>
          <t>KO</t>
        </is>
      </c>
      <c r="E2529" s="6" t="inlineStr">
        <is>
          <t>KO</t>
        </is>
      </c>
      <c r="F2529" s="6" t="inlineStr">
        <is>
          <t>-</t>
        </is>
      </c>
      <c r="G2529" s="7" t="n">
        <v>63.3507080078125</v>
      </c>
      <c r="H2529" s="6">
        <f>P2498</f>
        <v/>
      </c>
      <c r="I2529" s="9">
        <f>Q2498</f>
        <v/>
      </c>
      <c r="J2529" s="7">
        <f>I2529*G2529</f>
        <v/>
      </c>
      <c r="K2529" s="8">
        <f>IF($J$2543=0,0,J2529/$J$2543)</f>
        <v/>
      </c>
      <c r="L2529" s="6" t="inlineStr">
        <is>
          <t>WATCHLIST</t>
        </is>
      </c>
      <c r="M2529" s="8" t="n">
        <v>0</v>
      </c>
      <c r="N2529" s="7">
        <f>M2529*$J$2543-J2529</f>
        <v/>
      </c>
      <c r="O2529" s="9">
        <f>IF(G2529=0,0,N2529/G2529)</f>
        <v/>
      </c>
      <c r="P2529" s="6">
        <f>IF(M2529&gt;0,D2529,"")</f>
        <v/>
      </c>
      <c r="Q2529" s="9">
        <f>I2529+O2529</f>
        <v/>
      </c>
      <c r="R2529" s="7">
        <f>Q2529*G2529</f>
        <v/>
      </c>
      <c r="S2529" s="8">
        <f>IF($R$2543=0,0,R2529/$R$2543)</f>
        <v/>
      </c>
      <c r="T2529" s="8" t="n">
        <v>-0.003210492022571287</v>
      </c>
      <c r="U2529" s="8" t="n">
        <v>0.007494693666304508</v>
      </c>
      <c r="V2529" s="6" t="inlineStr">
        <is>
          <t>not selected</t>
        </is>
      </c>
    </row>
    <row r="2530">
      <c r="A2530" s="6" t="inlineStr">
        <is>
          <t>DJ30</t>
        </is>
      </c>
      <c r="B2530" s="6" t="inlineStr">
        <is>
          <t>2024-07-26</t>
        </is>
      </c>
      <c r="C2530" s="6" t="inlineStr">
        <is>
          <t>DIA</t>
        </is>
      </c>
      <c r="D2530" s="6" t="inlineStr">
        <is>
          <t>MCD</t>
        </is>
      </c>
      <c r="E2530" s="6" t="inlineStr">
        <is>
          <t>MCD</t>
        </is>
      </c>
      <c r="F2530" s="6" t="inlineStr">
        <is>
          <t>-</t>
        </is>
      </c>
      <c r="G2530" s="7" t="n">
        <v>240.3852233886719</v>
      </c>
      <c r="H2530" s="6">
        <f>P2499</f>
        <v/>
      </c>
      <c r="I2530" s="9">
        <f>Q2499</f>
        <v/>
      </c>
      <c r="J2530" s="7">
        <f>I2530*G2530</f>
        <v/>
      </c>
      <c r="K2530" s="8">
        <f>IF($J$2543=0,0,J2530/$J$2543)</f>
        <v/>
      </c>
      <c r="L2530" s="6" t="inlineStr">
        <is>
          <t>REJECTED</t>
        </is>
      </c>
      <c r="M2530" s="8" t="n">
        <v>0</v>
      </c>
      <c r="N2530" s="7">
        <f>M2530*$J$2543-J2530</f>
        <v/>
      </c>
      <c r="O2530" s="9">
        <f>IF(G2530=0,0,N2530/G2530)</f>
        <v/>
      </c>
      <c r="P2530" s="6">
        <f>IF(M2530&gt;0,D2530,"")</f>
        <v/>
      </c>
      <c r="Q2530" s="9">
        <f>I2530+O2530</f>
        <v/>
      </c>
      <c r="R2530" s="7">
        <f>Q2530*G2530</f>
        <v/>
      </c>
      <c r="S2530" s="8">
        <f>IF($R$2543=0,0,R2530/$R$2543)</f>
        <v/>
      </c>
      <c r="T2530" s="8" t="n">
        <v>-0.003210492022571287</v>
      </c>
      <c r="U2530" s="8" t="n">
        <v>0.007494693666304508</v>
      </c>
      <c r="V2530" s="6" t="inlineStr">
        <is>
          <t>not selected</t>
        </is>
      </c>
    </row>
    <row r="2531">
      <c r="A2531" s="6" t="inlineStr">
        <is>
          <t>DJ30</t>
        </is>
      </c>
      <c r="B2531" s="6" t="inlineStr">
        <is>
          <t>2024-07-26</t>
        </is>
      </c>
      <c r="C2531" s="6" t="inlineStr">
        <is>
          <t>DIA</t>
        </is>
      </c>
      <c r="D2531" s="6" t="inlineStr">
        <is>
          <t>MMM</t>
        </is>
      </c>
      <c r="E2531" s="6" t="inlineStr">
        <is>
          <t>MMM</t>
        </is>
      </c>
      <c r="F2531" s="6" t="inlineStr">
        <is>
          <t>-</t>
        </is>
      </c>
      <c r="G2531" s="7" t="n">
        <v>122.2937545776367</v>
      </c>
      <c r="H2531" s="6">
        <f>P2500</f>
        <v/>
      </c>
      <c r="I2531" s="9">
        <f>Q2500</f>
        <v/>
      </c>
      <c r="J2531" s="7">
        <f>I2531*G2531</f>
        <v/>
      </c>
      <c r="K2531" s="8">
        <f>IF($J$2543=0,0,J2531/$J$2543)</f>
        <v/>
      </c>
      <c r="L2531" s="6" t="inlineStr">
        <is>
          <t>WATCHLIST</t>
        </is>
      </c>
      <c r="M2531" s="8" t="n">
        <v>0</v>
      </c>
      <c r="N2531" s="7">
        <f>M2531*$J$2543-J2531</f>
        <v/>
      </c>
      <c r="O2531" s="9">
        <f>IF(G2531=0,0,N2531/G2531)</f>
        <v/>
      </c>
      <c r="P2531" s="6">
        <f>IF(M2531&gt;0,D2531,"")</f>
        <v/>
      </c>
      <c r="Q2531" s="9">
        <f>I2531+O2531</f>
        <v/>
      </c>
      <c r="R2531" s="7">
        <f>Q2531*G2531</f>
        <v/>
      </c>
      <c r="S2531" s="8">
        <f>IF($R$2543=0,0,R2531/$R$2543)</f>
        <v/>
      </c>
      <c r="T2531" s="8" t="n">
        <v>-0.003210492022571287</v>
      </c>
      <c r="U2531" s="8" t="n">
        <v>0.007494693666304508</v>
      </c>
      <c r="V2531" s="6" t="inlineStr">
        <is>
          <t>not selected</t>
        </is>
      </c>
    </row>
    <row r="2532">
      <c r="A2532" s="6" t="inlineStr">
        <is>
          <t>DJ30</t>
        </is>
      </c>
      <c r="B2532" s="6" t="inlineStr">
        <is>
          <t>2024-07-26</t>
        </is>
      </c>
      <c r="C2532" s="6" t="inlineStr">
        <is>
          <t>DIA</t>
        </is>
      </c>
      <c r="D2532" s="6" t="inlineStr">
        <is>
          <t>MRK</t>
        </is>
      </c>
      <c r="E2532" s="6" t="inlineStr">
        <is>
          <t>MRK</t>
        </is>
      </c>
      <c r="F2532" s="6" t="inlineStr">
        <is>
          <t>-</t>
        </is>
      </c>
      <c r="G2532" s="7" t="n">
        <v>117.2491149902344</v>
      </c>
      <c r="H2532" s="6">
        <f>P2501</f>
        <v/>
      </c>
      <c r="I2532" s="9">
        <f>Q2501</f>
        <v/>
      </c>
      <c r="J2532" s="7">
        <f>I2532*G2532</f>
        <v/>
      </c>
      <c r="K2532" s="8">
        <f>IF($J$2543=0,0,J2532/$J$2543)</f>
        <v/>
      </c>
      <c r="L2532" s="6" t="inlineStr">
        <is>
          <t>WATCHLIST</t>
        </is>
      </c>
      <c r="M2532" s="8" t="n">
        <v>0</v>
      </c>
      <c r="N2532" s="7">
        <f>M2532*$J$2543-J2532</f>
        <v/>
      </c>
      <c r="O2532" s="9">
        <f>IF(G2532=0,0,N2532/G2532)</f>
        <v/>
      </c>
      <c r="P2532" s="6">
        <f>IF(M2532&gt;0,D2532,"")</f>
        <v/>
      </c>
      <c r="Q2532" s="9">
        <f>I2532+O2532</f>
        <v/>
      </c>
      <c r="R2532" s="7">
        <f>Q2532*G2532</f>
        <v/>
      </c>
      <c r="S2532" s="8">
        <f>IF($R$2543=0,0,R2532/$R$2543)</f>
        <v/>
      </c>
      <c r="T2532" s="8" t="n">
        <v>-0.003210492022571287</v>
      </c>
      <c r="U2532" s="8" t="n">
        <v>0.007494693666304508</v>
      </c>
      <c r="V2532" s="6" t="inlineStr">
        <is>
          <t>not selected</t>
        </is>
      </c>
    </row>
    <row r="2533">
      <c r="A2533" s="6" t="inlineStr">
        <is>
          <t>DJ30</t>
        </is>
      </c>
      <c r="B2533" s="6" t="inlineStr">
        <is>
          <t>2024-07-26</t>
        </is>
      </c>
      <c r="C2533" s="6" t="inlineStr">
        <is>
          <t>DIA</t>
        </is>
      </c>
      <c r="D2533" s="6" t="inlineStr">
        <is>
          <t>MSFT</t>
        </is>
      </c>
      <c r="E2533" s="6" t="inlineStr">
        <is>
          <t>MSFT</t>
        </is>
      </c>
      <c r="F2533" s="6" t="inlineStr">
        <is>
          <t>-</t>
        </is>
      </c>
      <c r="G2533" s="7" t="n">
        <v>418.6899108886719</v>
      </c>
      <c r="H2533" s="6">
        <f>P2502</f>
        <v/>
      </c>
      <c r="I2533" s="9">
        <f>Q2502</f>
        <v/>
      </c>
      <c r="J2533" s="7">
        <f>I2533*G2533</f>
        <v/>
      </c>
      <c r="K2533" s="8">
        <f>IF($J$2543=0,0,J2533/$J$2543)</f>
        <v/>
      </c>
      <c r="L2533" s="6" t="inlineStr">
        <is>
          <t>WATCHLIST</t>
        </is>
      </c>
      <c r="M2533" s="8" t="n">
        <v>0</v>
      </c>
      <c r="N2533" s="7">
        <f>M2533*$J$2543-J2533</f>
        <v/>
      </c>
      <c r="O2533" s="9">
        <f>IF(G2533=0,0,N2533/G2533)</f>
        <v/>
      </c>
      <c r="P2533" s="6">
        <f>IF(M2533&gt;0,D2533,"")</f>
        <v/>
      </c>
      <c r="Q2533" s="9">
        <f>I2533+O2533</f>
        <v/>
      </c>
      <c r="R2533" s="7">
        <f>Q2533*G2533</f>
        <v/>
      </c>
      <c r="S2533" s="8">
        <f>IF($R$2543=0,0,R2533/$R$2543)</f>
        <v/>
      </c>
      <c r="T2533" s="8" t="n">
        <v>-0.003210492022571287</v>
      </c>
      <c r="U2533" s="8" t="n">
        <v>0.007494693666304508</v>
      </c>
      <c r="V2533" s="6" t="inlineStr">
        <is>
          <t>not selected</t>
        </is>
      </c>
    </row>
    <row r="2534">
      <c r="A2534" s="6" t="inlineStr">
        <is>
          <t>DJ30</t>
        </is>
      </c>
      <c r="B2534" s="6" t="inlineStr">
        <is>
          <t>2024-07-26</t>
        </is>
      </c>
      <c r="C2534" s="6" t="inlineStr">
        <is>
          <t>DIA</t>
        </is>
      </c>
      <c r="D2534" s="6" t="inlineStr">
        <is>
          <t>NKE</t>
        </is>
      </c>
      <c r="E2534" s="6" t="inlineStr">
        <is>
          <t>NKE</t>
        </is>
      </c>
      <c r="F2534" s="6" t="inlineStr">
        <is>
          <t>-</t>
        </is>
      </c>
      <c r="G2534" s="7" t="n">
        <v>69.13967895507812</v>
      </c>
      <c r="H2534" s="6">
        <f>P2503</f>
        <v/>
      </c>
      <c r="I2534" s="9">
        <f>Q2503</f>
        <v/>
      </c>
      <c r="J2534" s="7">
        <f>I2534*G2534</f>
        <v/>
      </c>
      <c r="K2534" s="8">
        <f>IF($J$2543=0,0,J2534/$J$2543)</f>
        <v/>
      </c>
      <c r="L2534" s="6" t="inlineStr">
        <is>
          <t>REJECTED</t>
        </is>
      </c>
      <c r="M2534" s="8" t="n">
        <v>0</v>
      </c>
      <c r="N2534" s="7">
        <f>M2534*$J$2543-J2534</f>
        <v/>
      </c>
      <c r="O2534" s="9">
        <f>IF(G2534=0,0,N2534/G2534)</f>
        <v/>
      </c>
      <c r="P2534" s="6">
        <f>IF(M2534&gt;0,D2534,"")</f>
        <v/>
      </c>
      <c r="Q2534" s="9">
        <f>I2534+O2534</f>
        <v/>
      </c>
      <c r="R2534" s="7">
        <f>Q2534*G2534</f>
        <v/>
      </c>
      <c r="S2534" s="8">
        <f>IF($R$2543=0,0,R2534/$R$2543)</f>
        <v/>
      </c>
      <c r="T2534" s="8" t="n">
        <v>-0.003210492022571287</v>
      </c>
      <c r="U2534" s="8" t="n">
        <v>0.007494693666304508</v>
      </c>
      <c r="V2534" s="6" t="inlineStr">
        <is>
          <t>not selected</t>
        </is>
      </c>
    </row>
    <row r="2535">
      <c r="A2535" s="6" t="inlineStr">
        <is>
          <t>DJ30</t>
        </is>
      </c>
      <c r="B2535" s="6" t="inlineStr">
        <is>
          <t>2024-07-26</t>
        </is>
      </c>
      <c r="C2535" s="6" t="inlineStr">
        <is>
          <t>DIA</t>
        </is>
      </c>
      <c r="D2535" s="6" t="inlineStr">
        <is>
          <t>NVDA</t>
        </is>
      </c>
      <c r="E2535" s="6" t="inlineStr">
        <is>
          <t>NVDA</t>
        </is>
      </c>
      <c r="F2535" s="6" t="inlineStr">
        <is>
          <t>-</t>
        </is>
      </c>
      <c r="G2535" s="7" t="n">
        <v>112.8739547729492</v>
      </c>
      <c r="H2535" s="6">
        <f>P2504</f>
        <v/>
      </c>
      <c r="I2535" s="9">
        <f>Q2504</f>
        <v/>
      </c>
      <c r="J2535" s="7">
        <f>I2535*G2535</f>
        <v/>
      </c>
      <c r="K2535" s="8">
        <f>IF($J$2543=0,0,J2535/$J$2543)</f>
        <v/>
      </c>
      <c r="L2535" s="6" t="inlineStr">
        <is>
          <t>SELECTED</t>
        </is>
      </c>
      <c r="M2535" s="8" t="n">
        <v>0.2</v>
      </c>
      <c r="N2535" s="7">
        <f>M2535*$J$2543-J2535</f>
        <v/>
      </c>
      <c r="O2535" s="9">
        <f>IF(G2535=0,0,N2535/G2535)</f>
        <v/>
      </c>
      <c r="P2535" s="6">
        <f>IF(M2535&gt;0,D2535,"")</f>
        <v/>
      </c>
      <c r="Q2535" s="9">
        <f>I2535+O2535</f>
        <v/>
      </c>
      <c r="R2535" s="7">
        <f>Q2535*G2535</f>
        <v/>
      </c>
      <c r="S2535" s="8">
        <f>IF($R$2543=0,0,R2535/$R$2543)</f>
        <v/>
      </c>
      <c r="T2535" s="8" t="n">
        <v>-0.003210492022571287</v>
      </c>
      <c r="U2535" s="8" t="n">
        <v>0.007494693666304508</v>
      </c>
      <c r="V2535" s="6" t="inlineStr">
        <is>
          <t>remained in weekly selection</t>
        </is>
      </c>
    </row>
    <row r="2536">
      <c r="A2536" s="6" t="inlineStr">
        <is>
          <t>DJ30</t>
        </is>
      </c>
      <c r="B2536" s="6" t="inlineStr">
        <is>
          <t>2024-07-26</t>
        </is>
      </c>
      <c r="C2536" s="6" t="inlineStr">
        <is>
          <t>DIA</t>
        </is>
      </c>
      <c r="D2536" s="6" t="inlineStr">
        <is>
          <t>PG</t>
        </is>
      </c>
      <c r="E2536" s="6" t="inlineStr">
        <is>
          <t>PG</t>
        </is>
      </c>
      <c r="F2536" s="6" t="inlineStr">
        <is>
          <t>-</t>
        </is>
      </c>
      <c r="G2536" s="7" t="n">
        <v>161.4238128662109</v>
      </c>
      <c r="H2536" s="6">
        <f>P2505</f>
        <v/>
      </c>
      <c r="I2536" s="9">
        <f>Q2505</f>
        <v/>
      </c>
      <c r="J2536" s="7">
        <f>I2536*G2536</f>
        <v/>
      </c>
      <c r="K2536" s="8">
        <f>IF($J$2543=0,0,J2536/$J$2543)</f>
        <v/>
      </c>
      <c r="L2536" s="6" t="inlineStr">
        <is>
          <t>WATCHLIST</t>
        </is>
      </c>
      <c r="M2536" s="8" t="n">
        <v>0</v>
      </c>
      <c r="N2536" s="7">
        <f>M2536*$J$2543-J2536</f>
        <v/>
      </c>
      <c r="O2536" s="9">
        <f>IF(G2536=0,0,N2536/G2536)</f>
        <v/>
      </c>
      <c r="P2536" s="6">
        <f>IF(M2536&gt;0,D2536,"")</f>
        <v/>
      </c>
      <c r="Q2536" s="9">
        <f>I2536+O2536</f>
        <v/>
      </c>
      <c r="R2536" s="7">
        <f>Q2536*G2536</f>
        <v/>
      </c>
      <c r="S2536" s="8">
        <f>IF($R$2543=0,0,R2536/$R$2543)</f>
        <v/>
      </c>
      <c r="T2536" s="8" t="n">
        <v>-0.003210492022571287</v>
      </c>
      <c r="U2536" s="8" t="n">
        <v>0.007494693666304508</v>
      </c>
      <c r="V2536" s="6" t="inlineStr">
        <is>
          <t>not selected</t>
        </is>
      </c>
    </row>
    <row r="2537">
      <c r="A2537" s="6" t="inlineStr">
        <is>
          <t>DJ30</t>
        </is>
      </c>
      <c r="B2537" s="6" t="inlineStr">
        <is>
          <t>2024-07-26</t>
        </is>
      </c>
      <c r="C2537" s="6" t="inlineStr">
        <is>
          <t>DIA</t>
        </is>
      </c>
      <c r="D2537" s="6" t="inlineStr">
        <is>
          <t>SHW</t>
        </is>
      </c>
      <c r="E2537" s="6" t="inlineStr">
        <is>
          <t>SHW</t>
        </is>
      </c>
      <c r="F2537" s="6" t="inlineStr">
        <is>
          <t>-</t>
        </is>
      </c>
      <c r="G2537" s="7" t="n">
        <v>343.1559753417969</v>
      </c>
      <c r="H2537" s="6">
        <f>P2506</f>
        <v/>
      </c>
      <c r="I2537" s="9">
        <f>Q2506</f>
        <v/>
      </c>
      <c r="J2537" s="7">
        <f>I2537*G2537</f>
        <v/>
      </c>
      <c r="K2537" s="8">
        <f>IF($J$2543=0,0,J2537/$J$2543)</f>
        <v/>
      </c>
      <c r="L2537" s="6" t="inlineStr">
        <is>
          <t>WATCHLIST</t>
        </is>
      </c>
      <c r="M2537" s="8" t="n">
        <v>0</v>
      </c>
      <c r="N2537" s="7">
        <f>M2537*$J$2543-J2537</f>
        <v/>
      </c>
      <c r="O2537" s="9">
        <f>IF(G2537=0,0,N2537/G2537)</f>
        <v/>
      </c>
      <c r="P2537" s="6">
        <f>IF(M2537&gt;0,D2537,"")</f>
        <v/>
      </c>
      <c r="Q2537" s="9">
        <f>I2537+O2537</f>
        <v/>
      </c>
      <c r="R2537" s="7">
        <f>Q2537*G2537</f>
        <v/>
      </c>
      <c r="S2537" s="8">
        <f>IF($R$2543=0,0,R2537/$R$2543)</f>
        <v/>
      </c>
      <c r="T2537" s="8" t="n">
        <v>-0.003210492022571287</v>
      </c>
      <c r="U2537" s="8" t="n">
        <v>0.007494693666304508</v>
      </c>
      <c r="V2537" s="6" t="inlineStr">
        <is>
          <t>not selected</t>
        </is>
      </c>
    </row>
    <row r="2538">
      <c r="A2538" s="6" t="inlineStr">
        <is>
          <t>DJ30</t>
        </is>
      </c>
      <c r="B2538" s="6" t="inlineStr">
        <is>
          <t>2024-07-26</t>
        </is>
      </c>
      <c r="C2538" s="6" t="inlineStr">
        <is>
          <t>DIA</t>
        </is>
      </c>
      <c r="D2538" s="6" t="inlineStr">
        <is>
          <t>TRV</t>
        </is>
      </c>
      <c r="E2538" s="6" t="inlineStr">
        <is>
          <t>TRV</t>
        </is>
      </c>
      <c r="F2538" s="6" t="inlineStr">
        <is>
          <t>-</t>
        </is>
      </c>
      <c r="G2538" s="7" t="n">
        <v>207.0065612792969</v>
      </c>
      <c r="H2538" s="6">
        <f>P2507</f>
        <v/>
      </c>
      <c r="I2538" s="9">
        <f>Q2507</f>
        <v/>
      </c>
      <c r="J2538" s="7">
        <f>I2538*G2538</f>
        <v/>
      </c>
      <c r="K2538" s="8">
        <f>IF($J$2543=0,0,J2538/$J$2543)</f>
        <v/>
      </c>
      <c r="L2538" s="6" t="inlineStr">
        <is>
          <t>SELECTED</t>
        </is>
      </c>
      <c r="M2538" s="8" t="n">
        <v>0.2</v>
      </c>
      <c r="N2538" s="7">
        <f>M2538*$J$2543-J2538</f>
        <v/>
      </c>
      <c r="O2538" s="9">
        <f>IF(G2538=0,0,N2538/G2538)</f>
        <v/>
      </c>
      <c r="P2538" s="6">
        <f>IF(M2538&gt;0,D2538,"")</f>
        <v/>
      </c>
      <c r="Q2538" s="9">
        <f>I2538+O2538</f>
        <v/>
      </c>
      <c r="R2538" s="7">
        <f>Q2538*G2538</f>
        <v/>
      </c>
      <c r="S2538" s="8">
        <f>IF($R$2543=0,0,R2538/$R$2543)</f>
        <v/>
      </c>
      <c r="T2538" s="8" t="n">
        <v>-0.003210492022571287</v>
      </c>
      <c r="U2538" s="8" t="n">
        <v>0.007494693666304508</v>
      </c>
      <c r="V2538" s="6" t="inlineStr">
        <is>
          <t>remained in weekly selection</t>
        </is>
      </c>
    </row>
    <row r="2539">
      <c r="A2539" s="6" t="inlineStr">
        <is>
          <t>DJ30</t>
        </is>
      </c>
      <c r="B2539" s="6" t="inlineStr">
        <is>
          <t>2024-07-26</t>
        </is>
      </c>
      <c r="C2539" s="6" t="inlineStr">
        <is>
          <t>DIA</t>
        </is>
      </c>
      <c r="D2539" s="6" t="inlineStr">
        <is>
          <t>UNH</t>
        </is>
      </c>
      <c r="E2539" s="6" t="inlineStr">
        <is>
          <t>UNH</t>
        </is>
      </c>
      <c r="F2539" s="6" t="inlineStr">
        <is>
          <t>-</t>
        </is>
      </c>
      <c r="G2539" s="7" t="n">
        <v>544.5769653320312</v>
      </c>
      <c r="H2539" s="6">
        <f>P2508</f>
        <v/>
      </c>
      <c r="I2539" s="9">
        <f>Q2508</f>
        <v/>
      </c>
      <c r="J2539" s="7">
        <f>I2539*G2539</f>
        <v/>
      </c>
      <c r="K2539" s="8">
        <f>IF($J$2543=0,0,J2539/$J$2543)</f>
        <v/>
      </c>
      <c r="L2539" s="6" t="inlineStr">
        <is>
          <t>REJECTED</t>
        </is>
      </c>
      <c r="M2539" s="8" t="n">
        <v>0</v>
      </c>
      <c r="N2539" s="7">
        <f>M2539*$J$2543-J2539</f>
        <v/>
      </c>
      <c r="O2539" s="9">
        <f>IF(G2539=0,0,N2539/G2539)</f>
        <v/>
      </c>
      <c r="P2539" s="6">
        <f>IF(M2539&gt;0,D2539,"")</f>
        <v/>
      </c>
      <c r="Q2539" s="9">
        <f>I2539+O2539</f>
        <v/>
      </c>
      <c r="R2539" s="7">
        <f>Q2539*G2539</f>
        <v/>
      </c>
      <c r="S2539" s="8">
        <f>IF($R$2543=0,0,R2539/$R$2543)</f>
        <v/>
      </c>
      <c r="T2539" s="8" t="n">
        <v>-0.003210492022571287</v>
      </c>
      <c r="U2539" s="8" t="n">
        <v>0.007494693666304508</v>
      </c>
      <c r="V2539" s="6" t="inlineStr">
        <is>
          <t>not selected</t>
        </is>
      </c>
    </row>
    <row r="2540">
      <c r="A2540" s="6" t="inlineStr">
        <is>
          <t>DJ30</t>
        </is>
      </c>
      <c r="B2540" s="6" t="inlineStr">
        <is>
          <t>2024-07-26</t>
        </is>
      </c>
      <c r="C2540" s="6" t="inlineStr">
        <is>
          <t>DIA</t>
        </is>
      </c>
      <c r="D2540" s="6" t="inlineStr">
        <is>
          <t>V</t>
        </is>
      </c>
      <c r="E2540" s="6" t="inlineStr">
        <is>
          <t>V</t>
        </is>
      </c>
      <c r="F2540" s="6" t="inlineStr">
        <is>
          <t>-</t>
        </is>
      </c>
      <c r="G2540" s="7" t="n">
        <v>255.5687408447266</v>
      </c>
      <c r="H2540" s="6">
        <f>P2509</f>
        <v/>
      </c>
      <c r="I2540" s="9">
        <f>Q2509</f>
        <v/>
      </c>
      <c r="J2540" s="7">
        <f>I2540*G2540</f>
        <v/>
      </c>
      <c r="K2540" s="8">
        <f>IF($J$2543=0,0,J2540/$J$2543)</f>
        <v/>
      </c>
      <c r="L2540" s="6" t="inlineStr">
        <is>
          <t>WATCHLIST</t>
        </is>
      </c>
      <c r="M2540" s="8" t="n">
        <v>0</v>
      </c>
      <c r="N2540" s="7">
        <f>M2540*$J$2543-J2540</f>
        <v/>
      </c>
      <c r="O2540" s="9">
        <f>IF(G2540=0,0,N2540/G2540)</f>
        <v/>
      </c>
      <c r="P2540" s="6">
        <f>IF(M2540&gt;0,D2540,"")</f>
        <v/>
      </c>
      <c r="Q2540" s="9">
        <f>I2540+O2540</f>
        <v/>
      </c>
      <c r="R2540" s="7">
        <f>Q2540*G2540</f>
        <v/>
      </c>
      <c r="S2540" s="8">
        <f>IF($R$2543=0,0,R2540/$R$2543)</f>
        <v/>
      </c>
      <c r="T2540" s="8" t="n">
        <v>-0.003210492022571287</v>
      </c>
      <c r="U2540" s="8" t="n">
        <v>0.007494693666304508</v>
      </c>
      <c r="V2540" s="6" t="inlineStr">
        <is>
          <t>not selected</t>
        </is>
      </c>
    </row>
    <row r="2541">
      <c r="A2541" s="6" t="inlineStr">
        <is>
          <t>DJ30</t>
        </is>
      </c>
      <c r="B2541" s="6" t="inlineStr">
        <is>
          <t>2024-07-26</t>
        </is>
      </c>
      <c r="C2541" s="6" t="inlineStr">
        <is>
          <t>DIA</t>
        </is>
      </c>
      <c r="D2541" s="6" t="inlineStr">
        <is>
          <t>VZ</t>
        </is>
      </c>
      <c r="E2541" s="6" t="inlineStr">
        <is>
          <t>VZ</t>
        </is>
      </c>
      <c r="F2541" s="6" t="inlineStr">
        <is>
          <t>-</t>
        </is>
      </c>
      <c r="G2541" s="7" t="n">
        <v>35.76338958740234</v>
      </c>
      <c r="H2541" s="6">
        <f>P2510</f>
        <v/>
      </c>
      <c r="I2541" s="9">
        <f>Q2510</f>
        <v/>
      </c>
      <c r="J2541" s="7">
        <f>I2541*G2541</f>
        <v/>
      </c>
      <c r="K2541" s="8">
        <f>IF($J$2543=0,0,J2541/$J$2543)</f>
        <v/>
      </c>
      <c r="L2541" s="6" t="inlineStr">
        <is>
          <t>SELECTED</t>
        </is>
      </c>
      <c r="M2541" s="8" t="n">
        <v>0.2</v>
      </c>
      <c r="N2541" s="7">
        <f>M2541*$J$2543-J2541</f>
        <v/>
      </c>
      <c r="O2541" s="9">
        <f>IF(G2541=0,0,N2541/G2541)</f>
        <v/>
      </c>
      <c r="P2541" s="6">
        <f>IF(M2541&gt;0,D2541,"")</f>
        <v/>
      </c>
      <c r="Q2541" s="9">
        <f>I2541+O2541</f>
        <v/>
      </c>
      <c r="R2541" s="7">
        <f>Q2541*G2541</f>
        <v/>
      </c>
      <c r="S2541" s="8">
        <f>IF($R$2543=0,0,R2541/$R$2543)</f>
        <v/>
      </c>
      <c r="T2541" s="8" t="n">
        <v>-0.003210492022571287</v>
      </c>
      <c r="U2541" s="8" t="n">
        <v>0.007494693666304508</v>
      </c>
      <c r="V2541" s="6" t="inlineStr">
        <is>
          <t>remained in weekly selection</t>
        </is>
      </c>
    </row>
    <row r="2542">
      <c r="A2542" s="6" t="inlineStr">
        <is>
          <t>DJ30</t>
        </is>
      </c>
      <c r="B2542" s="6" t="inlineStr">
        <is>
          <t>2024-07-26</t>
        </is>
      </c>
      <c r="C2542" s="6" t="inlineStr">
        <is>
          <t>DIA</t>
        </is>
      </c>
      <c r="D2542" s="6" t="inlineStr">
        <is>
          <t>WMT</t>
        </is>
      </c>
      <c r="E2542" s="6" t="inlineStr">
        <is>
          <t>WMT</t>
        </is>
      </c>
      <c r="F2542" s="6" t="inlineStr">
        <is>
          <t>-</t>
        </is>
      </c>
      <c r="G2542" s="7" t="n">
        <v>68.49801635742188</v>
      </c>
      <c r="H2542" s="6">
        <f>P2511</f>
        <v/>
      </c>
      <c r="I2542" s="9">
        <f>Q2511</f>
        <v/>
      </c>
      <c r="J2542" s="7">
        <f>I2542*G2542</f>
        <v/>
      </c>
      <c r="K2542" s="8">
        <f>IF($J$2543=0,0,J2542/$J$2543)</f>
        <v/>
      </c>
      <c r="L2542" s="6" t="inlineStr">
        <is>
          <t>WATCHLIST</t>
        </is>
      </c>
      <c r="M2542" s="8" t="n">
        <v>0</v>
      </c>
      <c r="N2542" s="7">
        <f>M2542*$J$2543-J2542</f>
        <v/>
      </c>
      <c r="O2542" s="9">
        <f>IF(G2542=0,0,N2542/G2542)</f>
        <v/>
      </c>
      <c r="P2542" s="6">
        <f>IF(M2542&gt;0,D2542,"")</f>
        <v/>
      </c>
      <c r="Q2542" s="9">
        <f>I2542+O2542</f>
        <v/>
      </c>
      <c r="R2542" s="7">
        <f>Q2542*G2542</f>
        <v/>
      </c>
      <c r="S2542" s="8">
        <f>IF($R$2543=0,0,R2542/$R$2543)</f>
        <v/>
      </c>
      <c r="T2542" s="8" t="n">
        <v>-0.003210492022571287</v>
      </c>
      <c r="U2542" s="8" t="n">
        <v>0.007494693666304508</v>
      </c>
      <c r="V2542" s="6" t="inlineStr">
        <is>
          <t>not selected</t>
        </is>
      </c>
    </row>
    <row r="2543">
      <c r="A2543" s="10" t="inlineStr">
        <is>
          <t>DJ30</t>
        </is>
      </c>
      <c r="B2543" s="10" t="inlineStr">
        <is>
          <t>2024-07-26</t>
        </is>
      </c>
      <c r="C2543" s="10" t="inlineStr">
        <is>
          <t>DIA</t>
        </is>
      </c>
      <c r="D2543" s="10" t="inlineStr">
        <is>
          <t>Tot Portfolio</t>
        </is>
      </c>
      <c r="E2543" s="10" t="inlineStr"/>
      <c r="F2543" s="10" t="inlineStr"/>
      <c r="G2543" s="11" t="inlineStr"/>
      <c r="H2543" s="10" t="inlineStr"/>
      <c r="I2543" s="12" t="inlineStr"/>
      <c r="J2543" s="11">
        <f>SUM(J2513:J2542)</f>
        <v/>
      </c>
      <c r="K2543" s="13">
        <f>SUM(K2513:K2542)</f>
        <v/>
      </c>
      <c r="L2543" s="10" t="inlineStr">
        <is>
          <t>TOTAL</t>
        </is>
      </c>
      <c r="M2543" s="13">
        <f>SUM(M2513:M2542)</f>
        <v/>
      </c>
      <c r="N2543" s="11">
        <f>SUM(N2513:N2542)</f>
        <v/>
      </c>
      <c r="O2543" s="12">
        <f>SUM(O2513:O2542)</f>
        <v/>
      </c>
      <c r="P2543" s="10" t="inlineStr"/>
      <c r="Q2543" s="12" t="inlineStr"/>
      <c r="R2543" s="11">
        <f>SUM(R2513:R2542)</f>
        <v/>
      </c>
      <c r="S2543" s="13">
        <f>SUM(S2513:S2542)</f>
        <v/>
      </c>
      <c r="T2543" s="13" t="n">
        <v>-0.003210492022571287</v>
      </c>
      <c r="U2543" s="13" t="n">
        <v>0.007494693666304508</v>
      </c>
      <c r="V2543" s="10" t="inlineStr"/>
    </row>
    <row r="2544">
      <c r="A2544" s="6" t="inlineStr">
        <is>
          <t>DJ30</t>
        </is>
      </c>
      <c r="B2544" s="6" t="inlineStr">
        <is>
          <t>2024-08-02</t>
        </is>
      </c>
      <c r="C2544" s="6" t="inlineStr">
        <is>
          <t>DIA</t>
        </is>
      </c>
      <c r="D2544" s="6" t="inlineStr">
        <is>
          <t>AAPL</t>
        </is>
      </c>
      <c r="E2544" s="6" t="inlineStr">
        <is>
          <t>AAPL</t>
        </is>
      </c>
      <c r="F2544" s="6" t="inlineStr">
        <is>
          <t>-</t>
        </is>
      </c>
      <c r="G2544" s="7" t="n">
        <v>217.9718322753907</v>
      </c>
      <c r="H2544" s="6">
        <f>P2513</f>
        <v/>
      </c>
      <c r="I2544" s="9">
        <f>Q2513</f>
        <v/>
      </c>
      <c r="J2544" s="7">
        <f>I2544*G2544</f>
        <v/>
      </c>
      <c r="K2544" s="8">
        <f>IF($J$2574=0,0,J2544/$J$2574)</f>
        <v/>
      </c>
      <c r="L2544" s="6" t="inlineStr">
        <is>
          <t>WATCHLIST</t>
        </is>
      </c>
      <c r="M2544" s="8" t="n">
        <v>0</v>
      </c>
      <c r="N2544" s="7">
        <f>M2544*$J$2574-J2544</f>
        <v/>
      </c>
      <c r="O2544" s="9">
        <f>IF(G2544=0,0,N2544/G2544)</f>
        <v/>
      </c>
      <c r="P2544" s="6">
        <f>IF(M2544&gt;0,D2544,"")</f>
        <v/>
      </c>
      <c r="Q2544" s="9">
        <f>I2544+O2544</f>
        <v/>
      </c>
      <c r="R2544" s="7">
        <f>Q2544*G2544</f>
        <v/>
      </c>
      <c r="S2544" s="8">
        <f>IF($R$2574=0,0,R2544/$R$2574)</f>
        <v/>
      </c>
      <c r="T2544" s="8" t="n">
        <v>-0.03268626140830955</v>
      </c>
      <c r="U2544" s="8" t="n">
        <v>-0.02177513998586622</v>
      </c>
      <c r="V2544" s="6" t="inlineStr">
        <is>
          <t>not selected</t>
        </is>
      </c>
    </row>
    <row r="2545">
      <c r="A2545" s="6" t="inlineStr">
        <is>
          <t>DJ30</t>
        </is>
      </c>
      <c r="B2545" s="6" t="inlineStr">
        <is>
          <t>2024-08-02</t>
        </is>
      </c>
      <c r="C2545" s="6" t="inlineStr">
        <is>
          <t>DIA</t>
        </is>
      </c>
      <c r="D2545" s="6" t="inlineStr">
        <is>
          <t>AMGN</t>
        </is>
      </c>
      <c r="E2545" s="6" t="inlineStr">
        <is>
          <t>AMGN</t>
        </is>
      </c>
      <c r="F2545" s="6" t="inlineStr">
        <is>
          <t>-</t>
        </is>
      </c>
      <c r="G2545" s="7" t="n">
        <v>314.1111450195312</v>
      </c>
      <c r="H2545" s="6">
        <f>P2514</f>
        <v/>
      </c>
      <c r="I2545" s="9">
        <f>Q2514</f>
        <v/>
      </c>
      <c r="J2545" s="7">
        <f>I2545*G2545</f>
        <v/>
      </c>
      <c r="K2545" s="8">
        <f>IF($J$2574=0,0,J2545/$J$2574)</f>
        <v/>
      </c>
      <c r="L2545" s="6" t="inlineStr">
        <is>
          <t>WATCHLIST</t>
        </is>
      </c>
      <c r="M2545" s="8" t="n">
        <v>0</v>
      </c>
      <c r="N2545" s="7">
        <f>M2545*$J$2574-J2545</f>
        <v/>
      </c>
      <c r="O2545" s="9">
        <f>IF(G2545=0,0,N2545/G2545)</f>
        <v/>
      </c>
      <c r="P2545" s="6">
        <f>IF(M2545&gt;0,D2545,"")</f>
        <v/>
      </c>
      <c r="Q2545" s="9">
        <f>I2545+O2545</f>
        <v/>
      </c>
      <c r="R2545" s="7">
        <f>Q2545*G2545</f>
        <v/>
      </c>
      <c r="S2545" s="8">
        <f>IF($R$2574=0,0,R2545/$R$2574)</f>
        <v/>
      </c>
      <c r="T2545" s="8" t="n">
        <v>-0.03268626140830955</v>
      </c>
      <c r="U2545" s="8" t="n">
        <v>-0.02177513998586622</v>
      </c>
      <c r="V2545" s="6" t="inlineStr">
        <is>
          <t>not selected</t>
        </is>
      </c>
    </row>
    <row r="2546">
      <c r="A2546" s="6" t="inlineStr">
        <is>
          <t>DJ30</t>
        </is>
      </c>
      <c r="B2546" s="6" t="inlineStr">
        <is>
          <t>2024-08-02</t>
        </is>
      </c>
      <c r="C2546" s="6" t="inlineStr">
        <is>
          <t>DIA</t>
        </is>
      </c>
      <c r="D2546" s="6" t="inlineStr">
        <is>
          <t>AMZN</t>
        </is>
      </c>
      <c r="E2546" s="6" t="inlineStr">
        <is>
          <t>AMZN</t>
        </is>
      </c>
      <c r="F2546" s="6" t="inlineStr">
        <is>
          <t>-</t>
        </is>
      </c>
      <c r="G2546" s="7" t="n">
        <v>167.8999938964844</v>
      </c>
      <c r="H2546" s="6">
        <f>P2515</f>
        <v/>
      </c>
      <c r="I2546" s="9">
        <f>Q2515</f>
        <v/>
      </c>
      <c r="J2546" s="7">
        <f>I2546*G2546</f>
        <v/>
      </c>
      <c r="K2546" s="8">
        <f>IF($J$2574=0,0,J2546/$J$2574)</f>
        <v/>
      </c>
      <c r="L2546" s="6" t="inlineStr">
        <is>
          <t>SELECTED</t>
        </is>
      </c>
      <c r="M2546" s="8" t="n">
        <v>0.2</v>
      </c>
      <c r="N2546" s="7">
        <f>M2546*$J$2574-J2546</f>
        <v/>
      </c>
      <c r="O2546" s="9">
        <f>IF(G2546=0,0,N2546/G2546)</f>
        <v/>
      </c>
      <c r="P2546" s="6">
        <f>IF(M2546&gt;0,D2546,"")</f>
        <v/>
      </c>
      <c r="Q2546" s="9">
        <f>I2546+O2546</f>
        <v/>
      </c>
      <c r="R2546" s="7">
        <f>Q2546*G2546</f>
        <v/>
      </c>
      <c r="S2546" s="8">
        <f>IF($R$2574=0,0,R2546/$R$2574)</f>
        <v/>
      </c>
      <c r="T2546" s="8" t="n">
        <v>-0.03268626140830955</v>
      </c>
      <c r="U2546" s="8" t="n">
        <v>-0.02177513998586622</v>
      </c>
      <c r="V2546" s="6" t="inlineStr">
        <is>
          <t>remained in weekly selection</t>
        </is>
      </c>
    </row>
    <row r="2547">
      <c r="A2547" s="6" t="inlineStr">
        <is>
          <t>DJ30</t>
        </is>
      </c>
      <c r="B2547" s="6" t="inlineStr">
        <is>
          <t>2024-08-02</t>
        </is>
      </c>
      <c r="C2547" s="6" t="inlineStr">
        <is>
          <t>DIA</t>
        </is>
      </c>
      <c r="D2547" s="6" t="inlineStr">
        <is>
          <t>AXP</t>
        </is>
      </c>
      <c r="E2547" s="6" t="inlineStr">
        <is>
          <t>AXP</t>
        </is>
      </c>
      <c r="F2547" s="6" t="inlineStr">
        <is>
          <t>-</t>
        </is>
      </c>
      <c r="G2547" s="7" t="n">
        <v>227.9767456054688</v>
      </c>
      <c r="H2547" s="6">
        <f>P2516</f>
        <v/>
      </c>
      <c r="I2547" s="9">
        <f>Q2516</f>
        <v/>
      </c>
      <c r="J2547" s="7">
        <f>I2547*G2547</f>
        <v/>
      </c>
      <c r="K2547" s="8">
        <f>IF($J$2574=0,0,J2547/$J$2574)</f>
        <v/>
      </c>
      <c r="L2547" s="6" t="inlineStr">
        <is>
          <t>SELECTED</t>
        </is>
      </c>
      <c r="M2547" s="8" t="n">
        <v>0.2</v>
      </c>
      <c r="N2547" s="7">
        <f>M2547*$J$2574-J2547</f>
        <v/>
      </c>
      <c r="O2547" s="9">
        <f>IF(G2547=0,0,N2547/G2547)</f>
        <v/>
      </c>
      <c r="P2547" s="6">
        <f>IF(M2547&gt;0,D2547,"")</f>
        <v/>
      </c>
      <c r="Q2547" s="9">
        <f>I2547+O2547</f>
        <v/>
      </c>
      <c r="R2547" s="7">
        <f>Q2547*G2547</f>
        <v/>
      </c>
      <c r="S2547" s="8">
        <f>IF($R$2574=0,0,R2547/$R$2574)</f>
        <v/>
      </c>
      <c r="T2547" s="8" t="n">
        <v>-0.03268626140830955</v>
      </c>
      <c r="U2547" s="8" t="n">
        <v>-0.02177513998586622</v>
      </c>
      <c r="V2547" s="6" t="inlineStr">
        <is>
          <t>remained in weekly selection</t>
        </is>
      </c>
    </row>
    <row r="2548">
      <c r="A2548" s="6" t="inlineStr">
        <is>
          <t>DJ30</t>
        </is>
      </c>
      <c r="B2548" s="6" t="inlineStr">
        <is>
          <t>2024-08-02</t>
        </is>
      </c>
      <c r="C2548" s="6" t="inlineStr">
        <is>
          <t>DIA</t>
        </is>
      </c>
      <c r="D2548" s="6" t="inlineStr">
        <is>
          <t>BA</t>
        </is>
      </c>
      <c r="E2548" s="6" t="inlineStr">
        <is>
          <t>BA</t>
        </is>
      </c>
      <c r="F2548" s="6" t="inlineStr">
        <is>
          <t>-</t>
        </is>
      </c>
      <c r="G2548" s="7" t="n">
        <v>169.9499969482422</v>
      </c>
      <c r="H2548" s="6">
        <f>P2517</f>
        <v/>
      </c>
      <c r="I2548" s="9">
        <f>Q2517</f>
        <v/>
      </c>
      <c r="J2548" s="7">
        <f>I2548*G2548</f>
        <v/>
      </c>
      <c r="K2548" s="8">
        <f>IF($J$2574=0,0,J2548/$J$2574)</f>
        <v/>
      </c>
      <c r="L2548" s="6" t="inlineStr">
        <is>
          <t>REJECTED</t>
        </is>
      </c>
      <c r="M2548" s="8" t="n">
        <v>0</v>
      </c>
      <c r="N2548" s="7">
        <f>M2548*$J$2574-J2548</f>
        <v/>
      </c>
      <c r="O2548" s="9">
        <f>IF(G2548=0,0,N2548/G2548)</f>
        <v/>
      </c>
      <c r="P2548" s="6">
        <f>IF(M2548&gt;0,D2548,"")</f>
        <v/>
      </c>
      <c r="Q2548" s="9">
        <f>I2548+O2548</f>
        <v/>
      </c>
      <c r="R2548" s="7">
        <f>Q2548*G2548</f>
        <v/>
      </c>
      <c r="S2548" s="8">
        <f>IF($R$2574=0,0,R2548/$R$2574)</f>
        <v/>
      </c>
      <c r="T2548" s="8" t="n">
        <v>-0.03268626140830955</v>
      </c>
      <c r="U2548" s="8" t="n">
        <v>-0.02177513998586622</v>
      </c>
      <c r="V2548" s="6" t="inlineStr">
        <is>
          <t>not selected</t>
        </is>
      </c>
    </row>
    <row r="2549">
      <c r="A2549" s="6" t="inlineStr">
        <is>
          <t>DJ30</t>
        </is>
      </c>
      <c r="B2549" s="6" t="inlineStr">
        <is>
          <t>2024-08-02</t>
        </is>
      </c>
      <c r="C2549" s="6" t="inlineStr">
        <is>
          <t>DIA</t>
        </is>
      </c>
      <c r="D2549" s="6" t="inlineStr">
        <is>
          <t>CAT</t>
        </is>
      </c>
      <c r="E2549" s="6" t="inlineStr">
        <is>
          <t>CAT</t>
        </is>
      </c>
      <c r="F2549" s="6" t="inlineStr">
        <is>
          <t>-</t>
        </is>
      </c>
      <c r="G2549" s="7" t="n">
        <v>313.6326599121094</v>
      </c>
      <c r="H2549" s="6">
        <f>P2518</f>
        <v/>
      </c>
      <c r="I2549" s="9">
        <f>Q2518</f>
        <v/>
      </c>
      <c r="J2549" s="7">
        <f>I2549*G2549</f>
        <v/>
      </c>
      <c r="K2549" s="8">
        <f>IF($J$2574=0,0,J2549/$J$2574)</f>
        <v/>
      </c>
      <c r="L2549" s="6" t="inlineStr">
        <is>
          <t>WATCHLIST</t>
        </is>
      </c>
      <c r="M2549" s="8" t="n">
        <v>0</v>
      </c>
      <c r="N2549" s="7">
        <f>M2549*$J$2574-J2549</f>
        <v/>
      </c>
      <c r="O2549" s="9">
        <f>IF(G2549=0,0,N2549/G2549)</f>
        <v/>
      </c>
      <c r="P2549" s="6">
        <f>IF(M2549&gt;0,D2549,"")</f>
        <v/>
      </c>
      <c r="Q2549" s="9">
        <f>I2549+O2549</f>
        <v/>
      </c>
      <c r="R2549" s="7">
        <f>Q2549*G2549</f>
        <v/>
      </c>
      <c r="S2549" s="8">
        <f>IF($R$2574=0,0,R2549/$R$2574)</f>
        <v/>
      </c>
      <c r="T2549" s="8" t="n">
        <v>-0.03268626140830955</v>
      </c>
      <c r="U2549" s="8" t="n">
        <v>-0.02177513998586622</v>
      </c>
      <c r="V2549" s="6" t="inlineStr">
        <is>
          <t>not selected</t>
        </is>
      </c>
    </row>
    <row r="2550">
      <c r="A2550" s="6" t="inlineStr">
        <is>
          <t>DJ30</t>
        </is>
      </c>
      <c r="B2550" s="6" t="inlineStr">
        <is>
          <t>2024-08-02</t>
        </is>
      </c>
      <c r="C2550" s="6" t="inlineStr">
        <is>
          <t>DIA</t>
        </is>
      </c>
      <c r="D2550" s="6" t="inlineStr">
        <is>
          <t>CRM</t>
        </is>
      </c>
      <c r="E2550" s="6" t="inlineStr">
        <is>
          <t>CRM</t>
        </is>
      </c>
      <c r="F2550" s="6" t="inlineStr">
        <is>
          <t>-</t>
        </is>
      </c>
      <c r="G2550" s="7" t="n">
        <v>240.508056640625</v>
      </c>
      <c r="H2550" s="6">
        <f>P2519</f>
        <v/>
      </c>
      <c r="I2550" s="9">
        <f>Q2519</f>
        <v/>
      </c>
      <c r="J2550" s="7">
        <f>I2550*G2550</f>
        <v/>
      </c>
      <c r="K2550" s="8">
        <f>IF($J$2574=0,0,J2550/$J$2574)</f>
        <v/>
      </c>
      <c r="L2550" s="6" t="inlineStr">
        <is>
          <t>WATCHLIST</t>
        </is>
      </c>
      <c r="M2550" s="8" t="n">
        <v>0</v>
      </c>
      <c r="N2550" s="7">
        <f>M2550*$J$2574-J2550</f>
        <v/>
      </c>
      <c r="O2550" s="9">
        <f>IF(G2550=0,0,N2550/G2550)</f>
        <v/>
      </c>
      <c r="P2550" s="6">
        <f>IF(M2550&gt;0,D2550,"")</f>
        <v/>
      </c>
      <c r="Q2550" s="9">
        <f>I2550+O2550</f>
        <v/>
      </c>
      <c r="R2550" s="7">
        <f>Q2550*G2550</f>
        <v/>
      </c>
      <c r="S2550" s="8">
        <f>IF($R$2574=0,0,R2550/$R$2574)</f>
        <v/>
      </c>
      <c r="T2550" s="8" t="n">
        <v>-0.03268626140830955</v>
      </c>
      <c r="U2550" s="8" t="n">
        <v>-0.02177513998586622</v>
      </c>
      <c r="V2550" s="6" t="inlineStr">
        <is>
          <t>not selected</t>
        </is>
      </c>
    </row>
    <row r="2551">
      <c r="A2551" s="6" t="inlineStr">
        <is>
          <t>DJ30</t>
        </is>
      </c>
      <c r="B2551" s="6" t="inlineStr">
        <is>
          <t>2024-08-02</t>
        </is>
      </c>
      <c r="C2551" s="6" t="inlineStr">
        <is>
          <t>DIA</t>
        </is>
      </c>
      <c r="D2551" s="6" t="inlineStr">
        <is>
          <t>CSCO</t>
        </is>
      </c>
      <c r="E2551" s="6" t="inlineStr">
        <is>
          <t>CSCO</t>
        </is>
      </c>
      <c r="F2551" s="6" t="inlineStr">
        <is>
          <t>-</t>
        </is>
      </c>
      <c r="G2551" s="7" t="n">
        <v>44.65972518920898</v>
      </c>
      <c r="H2551" s="6">
        <f>P2520</f>
        <v/>
      </c>
      <c r="I2551" s="9">
        <f>Q2520</f>
        <v/>
      </c>
      <c r="J2551" s="7">
        <f>I2551*G2551</f>
        <v/>
      </c>
      <c r="K2551" s="8">
        <f>IF($J$2574=0,0,J2551/$J$2574)</f>
        <v/>
      </c>
      <c r="L2551" s="6" t="inlineStr">
        <is>
          <t>REJECTED</t>
        </is>
      </c>
      <c r="M2551" s="8" t="n">
        <v>0</v>
      </c>
      <c r="N2551" s="7">
        <f>M2551*$J$2574-J2551</f>
        <v/>
      </c>
      <c r="O2551" s="9">
        <f>IF(G2551=0,0,N2551/G2551)</f>
        <v/>
      </c>
      <c r="P2551" s="6">
        <f>IF(M2551&gt;0,D2551,"")</f>
        <v/>
      </c>
      <c r="Q2551" s="9">
        <f>I2551+O2551</f>
        <v/>
      </c>
      <c r="R2551" s="7">
        <f>Q2551*G2551</f>
        <v/>
      </c>
      <c r="S2551" s="8">
        <f>IF($R$2574=0,0,R2551/$R$2574)</f>
        <v/>
      </c>
      <c r="T2551" s="8" t="n">
        <v>-0.03268626140830955</v>
      </c>
      <c r="U2551" s="8" t="n">
        <v>-0.02177513998586622</v>
      </c>
      <c r="V2551" s="6" t="inlineStr">
        <is>
          <t>not selected</t>
        </is>
      </c>
    </row>
    <row r="2552">
      <c r="A2552" s="6" t="inlineStr">
        <is>
          <t>DJ30</t>
        </is>
      </c>
      <c r="B2552" s="6" t="inlineStr">
        <is>
          <t>2024-08-02</t>
        </is>
      </c>
      <c r="C2552" s="6" t="inlineStr">
        <is>
          <t>DIA</t>
        </is>
      </c>
      <c r="D2552" s="6" t="inlineStr">
        <is>
          <t>CVX</t>
        </is>
      </c>
      <c r="E2552" s="6" t="inlineStr">
        <is>
          <t>CVX</t>
        </is>
      </c>
      <c r="F2552" s="6" t="inlineStr">
        <is>
          <t>-</t>
        </is>
      </c>
      <c r="G2552" s="7" t="n">
        <v>136.3841857910156</v>
      </c>
      <c r="H2552" s="6">
        <f>P2521</f>
        <v/>
      </c>
      <c r="I2552" s="9">
        <f>Q2521</f>
        <v/>
      </c>
      <c r="J2552" s="7">
        <f>I2552*G2552</f>
        <v/>
      </c>
      <c r="K2552" s="8">
        <f>IF($J$2574=0,0,J2552/$J$2574)</f>
        <v/>
      </c>
      <c r="L2552" s="6" t="inlineStr">
        <is>
          <t>REJECTED</t>
        </is>
      </c>
      <c r="M2552" s="8" t="n">
        <v>0</v>
      </c>
      <c r="N2552" s="7">
        <f>M2552*$J$2574-J2552</f>
        <v/>
      </c>
      <c r="O2552" s="9">
        <f>IF(G2552=0,0,N2552/G2552)</f>
        <v/>
      </c>
      <c r="P2552" s="6">
        <f>IF(M2552&gt;0,D2552,"")</f>
        <v/>
      </c>
      <c r="Q2552" s="9">
        <f>I2552+O2552</f>
        <v/>
      </c>
      <c r="R2552" s="7">
        <f>Q2552*G2552</f>
        <v/>
      </c>
      <c r="S2552" s="8">
        <f>IF($R$2574=0,0,R2552/$R$2574)</f>
        <v/>
      </c>
      <c r="T2552" s="8" t="n">
        <v>-0.03268626140830955</v>
      </c>
      <c r="U2552" s="8" t="n">
        <v>-0.02177513998586622</v>
      </c>
      <c r="V2552" s="6" t="inlineStr">
        <is>
          <t>not selected</t>
        </is>
      </c>
    </row>
    <row r="2553">
      <c r="A2553" s="6" t="inlineStr">
        <is>
          <t>DJ30</t>
        </is>
      </c>
      <c r="B2553" s="6" t="inlineStr">
        <is>
          <t>2024-08-02</t>
        </is>
      </c>
      <c r="C2553" s="6" t="inlineStr">
        <is>
          <t>DIA</t>
        </is>
      </c>
      <c r="D2553" s="6" t="inlineStr">
        <is>
          <t>DIS</t>
        </is>
      </c>
      <c r="E2553" s="6" t="inlineStr">
        <is>
          <t>DIS</t>
        </is>
      </c>
      <c r="F2553" s="6" t="inlineStr">
        <is>
          <t>-</t>
        </is>
      </c>
      <c r="G2553" s="7" t="n">
        <v>88.19944763183594</v>
      </c>
      <c r="H2553" s="6">
        <f>P2522</f>
        <v/>
      </c>
      <c r="I2553" s="9">
        <f>Q2522</f>
        <v/>
      </c>
      <c r="J2553" s="7">
        <f>I2553*G2553</f>
        <v/>
      </c>
      <c r="K2553" s="8">
        <f>IF($J$2574=0,0,J2553/$J$2574)</f>
        <v/>
      </c>
      <c r="L2553" s="6" t="inlineStr">
        <is>
          <t>WATCHLIST</t>
        </is>
      </c>
      <c r="M2553" s="8" t="n">
        <v>0</v>
      </c>
      <c r="N2553" s="7">
        <f>M2553*$J$2574-J2553</f>
        <v/>
      </c>
      <c r="O2553" s="9">
        <f>IF(G2553=0,0,N2553/G2553)</f>
        <v/>
      </c>
      <c r="P2553" s="6">
        <f>IF(M2553&gt;0,D2553,"")</f>
        <v/>
      </c>
      <c r="Q2553" s="9">
        <f>I2553+O2553</f>
        <v/>
      </c>
      <c r="R2553" s="7">
        <f>Q2553*G2553</f>
        <v/>
      </c>
      <c r="S2553" s="8">
        <f>IF($R$2574=0,0,R2553/$R$2574)</f>
        <v/>
      </c>
      <c r="T2553" s="8" t="n">
        <v>-0.03268626140830955</v>
      </c>
      <c r="U2553" s="8" t="n">
        <v>-0.02177513998586622</v>
      </c>
      <c r="V2553" s="6" t="inlineStr">
        <is>
          <t>not selected</t>
        </is>
      </c>
    </row>
    <row r="2554">
      <c r="A2554" s="6" t="inlineStr">
        <is>
          <t>DJ30</t>
        </is>
      </c>
      <c r="B2554" s="6" t="inlineStr">
        <is>
          <t>2024-08-02</t>
        </is>
      </c>
      <c r="C2554" s="6" t="inlineStr">
        <is>
          <t>DIA</t>
        </is>
      </c>
      <c r="D2554" s="6" t="inlineStr">
        <is>
          <t>GS</t>
        </is>
      </c>
      <c r="E2554" s="6" t="inlineStr">
        <is>
          <t>GS</t>
        </is>
      </c>
      <c r="F2554" s="6" t="inlineStr">
        <is>
          <t>-</t>
        </is>
      </c>
      <c r="G2554" s="7" t="n">
        <v>451.874267578125</v>
      </c>
      <c r="H2554" s="6">
        <f>P2523</f>
        <v/>
      </c>
      <c r="I2554" s="9">
        <f>Q2523</f>
        <v/>
      </c>
      <c r="J2554" s="7">
        <f>I2554*G2554</f>
        <v/>
      </c>
      <c r="K2554" s="8">
        <f>IF($J$2574=0,0,J2554/$J$2574)</f>
        <v/>
      </c>
      <c r="L2554" s="6" t="inlineStr">
        <is>
          <t>WATCHLIST</t>
        </is>
      </c>
      <c r="M2554" s="8" t="n">
        <v>0</v>
      </c>
      <c r="N2554" s="7">
        <f>M2554*$J$2574-J2554</f>
        <v/>
      </c>
      <c r="O2554" s="9">
        <f>IF(G2554=0,0,N2554/G2554)</f>
        <v/>
      </c>
      <c r="P2554" s="6">
        <f>IF(M2554&gt;0,D2554,"")</f>
        <v/>
      </c>
      <c r="Q2554" s="9">
        <f>I2554+O2554</f>
        <v/>
      </c>
      <c r="R2554" s="7">
        <f>Q2554*G2554</f>
        <v/>
      </c>
      <c r="S2554" s="8">
        <f>IF($R$2574=0,0,R2554/$R$2574)</f>
        <v/>
      </c>
      <c r="T2554" s="8" t="n">
        <v>-0.03268626140830955</v>
      </c>
      <c r="U2554" s="8" t="n">
        <v>-0.02177513998586622</v>
      </c>
      <c r="V2554" s="6" t="inlineStr">
        <is>
          <t>not selected</t>
        </is>
      </c>
    </row>
    <row r="2555">
      <c r="A2555" s="6" t="inlineStr">
        <is>
          <t>DJ30</t>
        </is>
      </c>
      <c r="B2555" s="6" t="inlineStr">
        <is>
          <t>2024-08-02</t>
        </is>
      </c>
      <c r="C2555" s="6" t="inlineStr">
        <is>
          <t>DIA</t>
        </is>
      </c>
      <c r="D2555" s="6" t="inlineStr">
        <is>
          <t>HD</t>
        </is>
      </c>
      <c r="E2555" s="6" t="inlineStr">
        <is>
          <t>HD</t>
        </is>
      </c>
      <c r="F2555" s="6" t="inlineStr">
        <is>
          <t>-</t>
        </is>
      </c>
      <c r="G2555" s="7" t="n">
        <v>338.0720520019531</v>
      </c>
      <c r="H2555" s="6">
        <f>P2524</f>
        <v/>
      </c>
      <c r="I2555" s="9">
        <f>Q2524</f>
        <v/>
      </c>
      <c r="J2555" s="7">
        <f>I2555*G2555</f>
        <v/>
      </c>
      <c r="K2555" s="8">
        <f>IF($J$2574=0,0,J2555/$J$2574)</f>
        <v/>
      </c>
      <c r="L2555" s="6" t="inlineStr">
        <is>
          <t>WATCHLIST</t>
        </is>
      </c>
      <c r="M2555" s="8" t="n">
        <v>0</v>
      </c>
      <c r="N2555" s="7">
        <f>M2555*$J$2574-J2555</f>
        <v/>
      </c>
      <c r="O2555" s="9">
        <f>IF(G2555=0,0,N2555/G2555)</f>
        <v/>
      </c>
      <c r="P2555" s="6">
        <f>IF(M2555&gt;0,D2555,"")</f>
        <v/>
      </c>
      <c r="Q2555" s="9">
        <f>I2555+O2555</f>
        <v/>
      </c>
      <c r="R2555" s="7">
        <f>Q2555*G2555</f>
        <v/>
      </c>
      <c r="S2555" s="8">
        <f>IF($R$2574=0,0,R2555/$R$2574)</f>
        <v/>
      </c>
      <c r="T2555" s="8" t="n">
        <v>-0.03268626140830955</v>
      </c>
      <c r="U2555" s="8" t="n">
        <v>-0.02177513998586622</v>
      </c>
      <c r="V2555" s="6" t="inlineStr">
        <is>
          <t>not selected</t>
        </is>
      </c>
    </row>
    <row r="2556">
      <c r="A2556" s="6" t="inlineStr">
        <is>
          <t>DJ30</t>
        </is>
      </c>
      <c r="B2556" s="6" t="inlineStr">
        <is>
          <t>2024-08-02</t>
        </is>
      </c>
      <c r="C2556" s="6" t="inlineStr">
        <is>
          <t>DIA</t>
        </is>
      </c>
      <c r="D2556" s="6" t="inlineStr">
        <is>
          <t>HON</t>
        </is>
      </c>
      <c r="E2556" s="6" t="inlineStr">
        <is>
          <t>HON</t>
        </is>
      </c>
      <c r="F2556" s="6" t="inlineStr">
        <is>
          <t>-</t>
        </is>
      </c>
      <c r="G2556" s="7" t="n">
        <v>184.0097351074219</v>
      </c>
      <c r="H2556" s="6">
        <f>P2525</f>
        <v/>
      </c>
      <c r="I2556" s="9">
        <f>Q2525</f>
        <v/>
      </c>
      <c r="J2556" s="7">
        <f>I2556*G2556</f>
        <v/>
      </c>
      <c r="K2556" s="8">
        <f>IF($J$2574=0,0,J2556/$J$2574)</f>
        <v/>
      </c>
      <c r="L2556" s="6" t="inlineStr">
        <is>
          <t>WATCHLIST</t>
        </is>
      </c>
      <c r="M2556" s="8" t="n">
        <v>0</v>
      </c>
      <c r="N2556" s="7">
        <f>M2556*$J$2574-J2556</f>
        <v/>
      </c>
      <c r="O2556" s="9">
        <f>IF(G2556=0,0,N2556/G2556)</f>
        <v/>
      </c>
      <c r="P2556" s="6">
        <f>IF(M2556&gt;0,D2556,"")</f>
        <v/>
      </c>
      <c r="Q2556" s="9">
        <f>I2556+O2556</f>
        <v/>
      </c>
      <c r="R2556" s="7">
        <f>Q2556*G2556</f>
        <v/>
      </c>
      <c r="S2556" s="8">
        <f>IF($R$2574=0,0,R2556/$R$2574)</f>
        <v/>
      </c>
      <c r="T2556" s="8" t="n">
        <v>-0.03268626140830955</v>
      </c>
      <c r="U2556" s="8" t="n">
        <v>-0.02177513998586622</v>
      </c>
      <c r="V2556" s="6" t="inlineStr">
        <is>
          <t>not selected</t>
        </is>
      </c>
    </row>
    <row r="2557">
      <c r="A2557" s="6" t="inlineStr">
        <is>
          <t>DJ30</t>
        </is>
      </c>
      <c r="B2557" s="6" t="inlineStr">
        <is>
          <t>2024-08-02</t>
        </is>
      </c>
      <c r="C2557" s="6" t="inlineStr">
        <is>
          <t>DIA</t>
        </is>
      </c>
      <c r="D2557" s="6" t="inlineStr">
        <is>
          <t>IBM</t>
        </is>
      </c>
      <c r="E2557" s="6" t="inlineStr">
        <is>
          <t>IBM</t>
        </is>
      </c>
      <c r="F2557" s="6" t="inlineStr">
        <is>
          <t>-</t>
        </is>
      </c>
      <c r="G2557" s="7" t="n">
        <v>178.9838562011719</v>
      </c>
      <c r="H2557" s="6">
        <f>P2526</f>
        <v/>
      </c>
      <c r="I2557" s="9">
        <f>Q2526</f>
        <v/>
      </c>
      <c r="J2557" s="7">
        <f>I2557*G2557</f>
        <v/>
      </c>
      <c r="K2557" s="8">
        <f>IF($J$2574=0,0,J2557/$J$2574)</f>
        <v/>
      </c>
      <c r="L2557" s="6" t="inlineStr">
        <is>
          <t>WATCHLIST</t>
        </is>
      </c>
      <c r="M2557" s="8" t="n">
        <v>0</v>
      </c>
      <c r="N2557" s="7">
        <f>M2557*$J$2574-J2557</f>
        <v/>
      </c>
      <c r="O2557" s="9">
        <f>IF(G2557=0,0,N2557/G2557)</f>
        <v/>
      </c>
      <c r="P2557" s="6">
        <f>IF(M2557&gt;0,D2557,"")</f>
        <v/>
      </c>
      <c r="Q2557" s="9">
        <f>I2557+O2557</f>
        <v/>
      </c>
      <c r="R2557" s="7">
        <f>Q2557*G2557</f>
        <v/>
      </c>
      <c r="S2557" s="8">
        <f>IF($R$2574=0,0,R2557/$R$2574)</f>
        <v/>
      </c>
      <c r="T2557" s="8" t="n">
        <v>-0.03268626140830955</v>
      </c>
      <c r="U2557" s="8" t="n">
        <v>-0.02177513998586622</v>
      </c>
      <c r="V2557" s="6" t="inlineStr">
        <is>
          <t>not selected</t>
        </is>
      </c>
    </row>
    <row r="2558">
      <c r="A2558" s="6" t="inlineStr">
        <is>
          <t>DJ30</t>
        </is>
      </c>
      <c r="B2558" s="6" t="inlineStr">
        <is>
          <t>2024-08-02</t>
        </is>
      </c>
      <c r="C2558" s="6" t="inlineStr">
        <is>
          <t>DIA</t>
        </is>
      </c>
      <c r="D2558" s="6" t="inlineStr">
        <is>
          <t>JNJ</t>
        </is>
      </c>
      <c r="E2558" s="6" t="inlineStr">
        <is>
          <t>JNJ</t>
        </is>
      </c>
      <c r="F2558" s="6" t="inlineStr">
        <is>
          <t>-</t>
        </is>
      </c>
      <c r="G2558" s="7" t="n">
        <v>155.0857696533203</v>
      </c>
      <c r="H2558" s="6">
        <f>P2527</f>
        <v/>
      </c>
      <c r="I2558" s="9">
        <f>Q2527</f>
        <v/>
      </c>
      <c r="J2558" s="7">
        <f>I2558*G2558</f>
        <v/>
      </c>
      <c r="K2558" s="8">
        <f>IF($J$2574=0,0,J2558/$J$2574)</f>
        <v/>
      </c>
      <c r="L2558" s="6" t="inlineStr">
        <is>
          <t>REJECTED</t>
        </is>
      </c>
      <c r="M2558" s="8" t="n">
        <v>0</v>
      </c>
      <c r="N2558" s="7">
        <f>M2558*$J$2574-J2558</f>
        <v/>
      </c>
      <c r="O2558" s="9">
        <f>IF(G2558=0,0,N2558/G2558)</f>
        <v/>
      </c>
      <c r="P2558" s="6">
        <f>IF(M2558&gt;0,D2558,"")</f>
        <v/>
      </c>
      <c r="Q2558" s="9">
        <f>I2558+O2558</f>
        <v/>
      </c>
      <c r="R2558" s="7">
        <f>Q2558*G2558</f>
        <v/>
      </c>
      <c r="S2558" s="8">
        <f>IF($R$2574=0,0,R2558/$R$2574)</f>
        <v/>
      </c>
      <c r="T2558" s="8" t="n">
        <v>-0.03268626140830955</v>
      </c>
      <c r="U2558" s="8" t="n">
        <v>-0.02177513998586622</v>
      </c>
      <c r="V2558" s="6" t="inlineStr">
        <is>
          <t>not selected</t>
        </is>
      </c>
    </row>
    <row r="2559">
      <c r="A2559" s="6" t="inlineStr">
        <is>
          <t>DJ30</t>
        </is>
      </c>
      <c r="B2559" s="6" t="inlineStr">
        <is>
          <t>2024-08-02</t>
        </is>
      </c>
      <c r="C2559" s="6" t="inlineStr">
        <is>
          <t>DIA</t>
        </is>
      </c>
      <c r="D2559" s="6" t="inlineStr">
        <is>
          <t>JPM</t>
        </is>
      </c>
      <c r="E2559" s="6" t="inlineStr">
        <is>
          <t>JPM</t>
        </is>
      </c>
      <c r="F2559" s="6" t="inlineStr">
        <is>
          <t>-</t>
        </is>
      </c>
      <c r="G2559" s="7" t="n">
        <v>191.971206665039</v>
      </c>
      <c r="H2559" s="6">
        <f>P2528</f>
        <v/>
      </c>
      <c r="I2559" s="9">
        <f>Q2528</f>
        <v/>
      </c>
      <c r="J2559" s="7">
        <f>I2559*G2559</f>
        <v/>
      </c>
      <c r="K2559" s="8">
        <f>IF($J$2574=0,0,J2559/$J$2574)</f>
        <v/>
      </c>
      <c r="L2559" s="6" t="inlineStr">
        <is>
          <t>WATCHLIST</t>
        </is>
      </c>
      <c r="M2559" s="8" t="n">
        <v>0</v>
      </c>
      <c r="N2559" s="7">
        <f>M2559*$J$2574-J2559</f>
        <v/>
      </c>
      <c r="O2559" s="9">
        <f>IF(G2559=0,0,N2559/G2559)</f>
        <v/>
      </c>
      <c r="P2559" s="6">
        <f>IF(M2559&gt;0,D2559,"")</f>
        <v/>
      </c>
      <c r="Q2559" s="9">
        <f>I2559+O2559</f>
        <v/>
      </c>
      <c r="R2559" s="7">
        <f>Q2559*G2559</f>
        <v/>
      </c>
      <c r="S2559" s="8">
        <f>IF($R$2574=0,0,R2559/$R$2574)</f>
        <v/>
      </c>
      <c r="T2559" s="8" t="n">
        <v>-0.03268626140830955</v>
      </c>
      <c r="U2559" s="8" t="n">
        <v>-0.02177513998586622</v>
      </c>
      <c r="V2559" s="6" t="inlineStr">
        <is>
          <t>not selected</t>
        </is>
      </c>
    </row>
    <row r="2560">
      <c r="A2560" s="6" t="inlineStr">
        <is>
          <t>DJ30</t>
        </is>
      </c>
      <c r="B2560" s="6" t="inlineStr">
        <is>
          <t>2024-08-02</t>
        </is>
      </c>
      <c r="C2560" s="6" t="inlineStr">
        <is>
          <t>DIA</t>
        </is>
      </c>
      <c r="D2560" s="6" t="inlineStr">
        <is>
          <t>KO</t>
        </is>
      </c>
      <c r="E2560" s="6" t="inlineStr">
        <is>
          <t>KO</t>
        </is>
      </c>
      <c r="F2560" s="6" t="inlineStr">
        <is>
          <t>-</t>
        </is>
      </c>
      <c r="G2560" s="7" t="n">
        <v>65.50492095947266</v>
      </c>
      <c r="H2560" s="6">
        <f>P2529</f>
        <v/>
      </c>
      <c r="I2560" s="9">
        <f>Q2529</f>
        <v/>
      </c>
      <c r="J2560" s="7">
        <f>I2560*G2560</f>
        <v/>
      </c>
      <c r="K2560" s="8">
        <f>IF($J$2574=0,0,J2560/$J$2574)</f>
        <v/>
      </c>
      <c r="L2560" s="6" t="inlineStr">
        <is>
          <t>WATCHLIST</t>
        </is>
      </c>
      <c r="M2560" s="8" t="n">
        <v>0</v>
      </c>
      <c r="N2560" s="7">
        <f>M2560*$J$2574-J2560</f>
        <v/>
      </c>
      <c r="O2560" s="9">
        <f>IF(G2560=0,0,N2560/G2560)</f>
        <v/>
      </c>
      <c r="P2560" s="6">
        <f>IF(M2560&gt;0,D2560,"")</f>
        <v/>
      </c>
      <c r="Q2560" s="9">
        <f>I2560+O2560</f>
        <v/>
      </c>
      <c r="R2560" s="7">
        <f>Q2560*G2560</f>
        <v/>
      </c>
      <c r="S2560" s="8">
        <f>IF($R$2574=0,0,R2560/$R$2574)</f>
        <v/>
      </c>
      <c r="T2560" s="8" t="n">
        <v>-0.03268626140830955</v>
      </c>
      <c r="U2560" s="8" t="n">
        <v>-0.02177513998586622</v>
      </c>
      <c r="V2560" s="6" t="inlineStr">
        <is>
          <t>not selected</t>
        </is>
      </c>
    </row>
    <row r="2561">
      <c r="A2561" s="6" t="inlineStr">
        <is>
          <t>DJ30</t>
        </is>
      </c>
      <c r="B2561" s="6" t="inlineStr">
        <is>
          <t>2024-08-02</t>
        </is>
      </c>
      <c r="C2561" s="6" t="inlineStr">
        <is>
          <t>DIA</t>
        </is>
      </c>
      <c r="D2561" s="6" t="inlineStr">
        <is>
          <t>MCD</t>
        </is>
      </c>
      <c r="E2561" s="6" t="inlineStr">
        <is>
          <t>MCD</t>
        </is>
      </c>
      <c r="F2561" s="6" t="inlineStr">
        <is>
          <t>-</t>
        </is>
      </c>
      <c r="G2561" s="7" t="n">
        <v>263.9372253417969</v>
      </c>
      <c r="H2561" s="6">
        <f>P2530</f>
        <v/>
      </c>
      <c r="I2561" s="9">
        <f>Q2530</f>
        <v/>
      </c>
      <c r="J2561" s="7">
        <f>I2561*G2561</f>
        <v/>
      </c>
      <c r="K2561" s="8">
        <f>IF($J$2574=0,0,J2561/$J$2574)</f>
        <v/>
      </c>
      <c r="L2561" s="6" t="inlineStr">
        <is>
          <t>REJECTED</t>
        </is>
      </c>
      <c r="M2561" s="8" t="n">
        <v>0</v>
      </c>
      <c r="N2561" s="7">
        <f>M2561*$J$2574-J2561</f>
        <v/>
      </c>
      <c r="O2561" s="9">
        <f>IF(G2561=0,0,N2561/G2561)</f>
        <v/>
      </c>
      <c r="P2561" s="6">
        <f>IF(M2561&gt;0,D2561,"")</f>
        <v/>
      </c>
      <c r="Q2561" s="9">
        <f>I2561+O2561</f>
        <v/>
      </c>
      <c r="R2561" s="7">
        <f>Q2561*G2561</f>
        <v/>
      </c>
      <c r="S2561" s="8">
        <f>IF($R$2574=0,0,R2561/$R$2574)</f>
        <v/>
      </c>
      <c r="T2561" s="8" t="n">
        <v>-0.03268626140830955</v>
      </c>
      <c r="U2561" s="8" t="n">
        <v>-0.02177513998586622</v>
      </c>
      <c r="V2561" s="6" t="inlineStr">
        <is>
          <t>not selected</t>
        </is>
      </c>
    </row>
    <row r="2562">
      <c r="A2562" s="6" t="inlineStr">
        <is>
          <t>DJ30</t>
        </is>
      </c>
      <c r="B2562" s="6" t="inlineStr">
        <is>
          <t>2024-08-02</t>
        </is>
      </c>
      <c r="C2562" s="6" t="inlineStr">
        <is>
          <t>DIA</t>
        </is>
      </c>
      <c r="D2562" s="6" t="inlineStr">
        <is>
          <t>MMM</t>
        </is>
      </c>
      <c r="E2562" s="6" t="inlineStr">
        <is>
          <t>MMM</t>
        </is>
      </c>
      <c r="F2562" s="6" t="inlineStr">
        <is>
          <t>-</t>
        </is>
      </c>
      <c r="G2562" s="7" t="n">
        <v>120.4472427368164</v>
      </c>
      <c r="H2562" s="6">
        <f>P2531</f>
        <v/>
      </c>
      <c r="I2562" s="9">
        <f>Q2531</f>
        <v/>
      </c>
      <c r="J2562" s="7">
        <f>I2562*G2562</f>
        <v/>
      </c>
      <c r="K2562" s="8">
        <f>IF($J$2574=0,0,J2562/$J$2574)</f>
        <v/>
      </c>
      <c r="L2562" s="6" t="inlineStr">
        <is>
          <t>WATCHLIST</t>
        </is>
      </c>
      <c r="M2562" s="8" t="n">
        <v>0</v>
      </c>
      <c r="N2562" s="7">
        <f>M2562*$J$2574-J2562</f>
        <v/>
      </c>
      <c r="O2562" s="9">
        <f>IF(G2562=0,0,N2562/G2562)</f>
        <v/>
      </c>
      <c r="P2562" s="6">
        <f>IF(M2562&gt;0,D2562,"")</f>
        <v/>
      </c>
      <c r="Q2562" s="9">
        <f>I2562+O2562</f>
        <v/>
      </c>
      <c r="R2562" s="7">
        <f>Q2562*G2562</f>
        <v/>
      </c>
      <c r="S2562" s="8">
        <f>IF($R$2574=0,0,R2562/$R$2574)</f>
        <v/>
      </c>
      <c r="T2562" s="8" t="n">
        <v>-0.03268626140830955</v>
      </c>
      <c r="U2562" s="8" t="n">
        <v>-0.02177513998586622</v>
      </c>
      <c r="V2562" s="6" t="inlineStr">
        <is>
          <t>not selected</t>
        </is>
      </c>
    </row>
    <row r="2563">
      <c r="A2563" s="6" t="inlineStr">
        <is>
          <t>DJ30</t>
        </is>
      </c>
      <c r="B2563" s="6" t="inlineStr">
        <is>
          <t>2024-08-02</t>
        </is>
      </c>
      <c r="C2563" s="6" t="inlineStr">
        <is>
          <t>DIA</t>
        </is>
      </c>
      <c r="D2563" s="6" t="inlineStr">
        <is>
          <t>MRK</t>
        </is>
      </c>
      <c r="E2563" s="6" t="inlineStr">
        <is>
          <t>MRK</t>
        </is>
      </c>
      <c r="F2563" s="6" t="inlineStr">
        <is>
          <t>-</t>
        </is>
      </c>
      <c r="G2563" s="7" t="n">
        <v>107.8324890136719</v>
      </c>
      <c r="H2563" s="6">
        <f>P2532</f>
        <v/>
      </c>
      <c r="I2563" s="9">
        <f>Q2532</f>
        <v/>
      </c>
      <c r="J2563" s="7">
        <f>I2563*G2563</f>
        <v/>
      </c>
      <c r="K2563" s="8">
        <f>IF($J$2574=0,0,J2563/$J$2574)</f>
        <v/>
      </c>
      <c r="L2563" s="6" t="inlineStr">
        <is>
          <t>WATCHLIST</t>
        </is>
      </c>
      <c r="M2563" s="8" t="n">
        <v>0</v>
      </c>
      <c r="N2563" s="7">
        <f>M2563*$J$2574-J2563</f>
        <v/>
      </c>
      <c r="O2563" s="9">
        <f>IF(G2563=0,0,N2563/G2563)</f>
        <v/>
      </c>
      <c r="P2563" s="6">
        <f>IF(M2563&gt;0,D2563,"")</f>
        <v/>
      </c>
      <c r="Q2563" s="9">
        <f>I2563+O2563</f>
        <v/>
      </c>
      <c r="R2563" s="7">
        <f>Q2563*G2563</f>
        <v/>
      </c>
      <c r="S2563" s="8">
        <f>IF($R$2574=0,0,R2563/$R$2574)</f>
        <v/>
      </c>
      <c r="T2563" s="8" t="n">
        <v>-0.03268626140830955</v>
      </c>
      <c r="U2563" s="8" t="n">
        <v>-0.02177513998586622</v>
      </c>
      <c r="V2563" s="6" t="inlineStr">
        <is>
          <t>not selected</t>
        </is>
      </c>
    </row>
    <row r="2564">
      <c r="A2564" s="6" t="inlineStr">
        <is>
          <t>DJ30</t>
        </is>
      </c>
      <c r="B2564" s="6" t="inlineStr">
        <is>
          <t>2024-08-02</t>
        </is>
      </c>
      <c r="C2564" s="6" t="inlineStr">
        <is>
          <t>DIA</t>
        </is>
      </c>
      <c r="D2564" s="6" t="inlineStr">
        <is>
          <t>MSFT</t>
        </is>
      </c>
      <c r="E2564" s="6" t="inlineStr">
        <is>
          <t>MSFT</t>
        </is>
      </c>
      <c r="F2564" s="6" t="inlineStr">
        <is>
          <t>-</t>
        </is>
      </c>
      <c r="G2564" s="7" t="n">
        <v>402.1695556640625</v>
      </c>
      <c r="H2564" s="6">
        <f>P2533</f>
        <v/>
      </c>
      <c r="I2564" s="9">
        <f>Q2533</f>
        <v/>
      </c>
      <c r="J2564" s="7">
        <f>I2564*G2564</f>
        <v/>
      </c>
      <c r="K2564" s="8">
        <f>IF($J$2574=0,0,J2564/$J$2574)</f>
        <v/>
      </c>
      <c r="L2564" s="6" t="inlineStr">
        <is>
          <t>WATCHLIST</t>
        </is>
      </c>
      <c r="M2564" s="8" t="n">
        <v>0</v>
      </c>
      <c r="N2564" s="7">
        <f>M2564*$J$2574-J2564</f>
        <v/>
      </c>
      <c r="O2564" s="9">
        <f>IF(G2564=0,0,N2564/G2564)</f>
        <v/>
      </c>
      <c r="P2564" s="6">
        <f>IF(M2564&gt;0,D2564,"")</f>
        <v/>
      </c>
      <c r="Q2564" s="9">
        <f>I2564+O2564</f>
        <v/>
      </c>
      <c r="R2564" s="7">
        <f>Q2564*G2564</f>
        <v/>
      </c>
      <c r="S2564" s="8">
        <f>IF($R$2574=0,0,R2564/$R$2574)</f>
        <v/>
      </c>
      <c r="T2564" s="8" t="n">
        <v>-0.03268626140830955</v>
      </c>
      <c r="U2564" s="8" t="n">
        <v>-0.02177513998586622</v>
      </c>
      <c r="V2564" s="6" t="inlineStr">
        <is>
          <t>not selected</t>
        </is>
      </c>
    </row>
    <row r="2565">
      <c r="A2565" s="6" t="inlineStr">
        <is>
          <t>DJ30</t>
        </is>
      </c>
      <c r="B2565" s="6" t="inlineStr">
        <is>
          <t>2024-08-02</t>
        </is>
      </c>
      <c r="C2565" s="6" t="inlineStr">
        <is>
          <t>DIA</t>
        </is>
      </c>
      <c r="D2565" s="6" t="inlineStr">
        <is>
          <t>NKE</t>
        </is>
      </c>
      <c r="E2565" s="6" t="inlineStr">
        <is>
          <t>NKE</t>
        </is>
      </c>
      <c r="F2565" s="6" t="inlineStr">
        <is>
          <t>-</t>
        </is>
      </c>
      <c r="G2565" s="7" t="n">
        <v>70.52133178710938</v>
      </c>
      <c r="H2565" s="6">
        <f>P2534</f>
        <v/>
      </c>
      <c r="I2565" s="9">
        <f>Q2534</f>
        <v/>
      </c>
      <c r="J2565" s="7">
        <f>I2565*G2565</f>
        <v/>
      </c>
      <c r="K2565" s="8">
        <f>IF($J$2574=0,0,J2565/$J$2574)</f>
        <v/>
      </c>
      <c r="L2565" s="6" t="inlineStr">
        <is>
          <t>REJECTED</t>
        </is>
      </c>
      <c r="M2565" s="8" t="n">
        <v>0</v>
      </c>
      <c r="N2565" s="7">
        <f>M2565*$J$2574-J2565</f>
        <v/>
      </c>
      <c r="O2565" s="9">
        <f>IF(G2565=0,0,N2565/G2565)</f>
        <v/>
      </c>
      <c r="P2565" s="6">
        <f>IF(M2565&gt;0,D2565,"")</f>
        <v/>
      </c>
      <c r="Q2565" s="9">
        <f>I2565+O2565</f>
        <v/>
      </c>
      <c r="R2565" s="7">
        <f>Q2565*G2565</f>
        <v/>
      </c>
      <c r="S2565" s="8">
        <f>IF($R$2574=0,0,R2565/$R$2574)</f>
        <v/>
      </c>
      <c r="T2565" s="8" t="n">
        <v>-0.03268626140830955</v>
      </c>
      <c r="U2565" s="8" t="n">
        <v>-0.02177513998586622</v>
      </c>
      <c r="V2565" s="6" t="inlineStr">
        <is>
          <t>not selected</t>
        </is>
      </c>
    </row>
    <row r="2566">
      <c r="A2566" s="6" t="inlineStr">
        <is>
          <t>DJ30</t>
        </is>
      </c>
      <c r="B2566" s="6" t="inlineStr">
        <is>
          <t>2024-08-02</t>
        </is>
      </c>
      <c r="C2566" s="6" t="inlineStr">
        <is>
          <t>DIA</t>
        </is>
      </c>
      <c r="D2566" s="6" t="inlineStr">
        <is>
          <t>NVDA</t>
        </is>
      </c>
      <c r="E2566" s="6" t="inlineStr">
        <is>
          <t>NVDA</t>
        </is>
      </c>
      <c r="F2566" s="6" t="inlineStr">
        <is>
          <t>-</t>
        </is>
      </c>
      <c r="G2566" s="7" t="n">
        <v>107.0934829711914</v>
      </c>
      <c r="H2566" s="6">
        <f>P2535</f>
        <v/>
      </c>
      <c r="I2566" s="9">
        <f>Q2535</f>
        <v/>
      </c>
      <c r="J2566" s="7">
        <f>I2566*G2566</f>
        <v/>
      </c>
      <c r="K2566" s="8">
        <f>IF($J$2574=0,0,J2566/$J$2574)</f>
        <v/>
      </c>
      <c r="L2566" s="6" t="inlineStr">
        <is>
          <t>SELECTED</t>
        </is>
      </c>
      <c r="M2566" s="8" t="n">
        <v>0.2</v>
      </c>
      <c r="N2566" s="7">
        <f>M2566*$J$2574-J2566</f>
        <v/>
      </c>
      <c r="O2566" s="9">
        <f>IF(G2566=0,0,N2566/G2566)</f>
        <v/>
      </c>
      <c r="P2566" s="6">
        <f>IF(M2566&gt;0,D2566,"")</f>
        <v/>
      </c>
      <c r="Q2566" s="9">
        <f>I2566+O2566</f>
        <v/>
      </c>
      <c r="R2566" s="7">
        <f>Q2566*G2566</f>
        <v/>
      </c>
      <c r="S2566" s="8">
        <f>IF($R$2574=0,0,R2566/$R$2574)</f>
        <v/>
      </c>
      <c r="T2566" s="8" t="n">
        <v>-0.03268626140830955</v>
      </c>
      <c r="U2566" s="8" t="n">
        <v>-0.02177513998586622</v>
      </c>
      <c r="V2566" s="6" t="inlineStr">
        <is>
          <t>remained in weekly selection</t>
        </is>
      </c>
    </row>
    <row r="2567">
      <c r="A2567" s="6" t="inlineStr">
        <is>
          <t>DJ30</t>
        </is>
      </c>
      <c r="B2567" s="6" t="inlineStr">
        <is>
          <t>2024-08-02</t>
        </is>
      </c>
      <c r="C2567" s="6" t="inlineStr">
        <is>
          <t>DIA</t>
        </is>
      </c>
      <c r="D2567" s="6" t="inlineStr">
        <is>
          <t>PG</t>
        </is>
      </c>
      <c r="E2567" s="6" t="inlineStr">
        <is>
          <t>PG</t>
        </is>
      </c>
      <c r="F2567" s="6" t="inlineStr">
        <is>
          <t>-</t>
        </is>
      </c>
      <c r="G2567" s="7" t="n">
        <v>162.3497161865234</v>
      </c>
      <c r="H2567" s="6">
        <f>P2536</f>
        <v/>
      </c>
      <c r="I2567" s="9">
        <f>Q2536</f>
        <v/>
      </c>
      <c r="J2567" s="7">
        <f>I2567*G2567</f>
        <v/>
      </c>
      <c r="K2567" s="8">
        <f>IF($J$2574=0,0,J2567/$J$2574)</f>
        <v/>
      </c>
      <c r="L2567" s="6" t="inlineStr">
        <is>
          <t>WATCHLIST</t>
        </is>
      </c>
      <c r="M2567" s="8" t="n">
        <v>0</v>
      </c>
      <c r="N2567" s="7">
        <f>M2567*$J$2574-J2567</f>
        <v/>
      </c>
      <c r="O2567" s="9">
        <f>IF(G2567=0,0,N2567/G2567)</f>
        <v/>
      </c>
      <c r="P2567" s="6">
        <f>IF(M2567&gt;0,D2567,"")</f>
        <v/>
      </c>
      <c r="Q2567" s="9">
        <f>I2567+O2567</f>
        <v/>
      </c>
      <c r="R2567" s="7">
        <f>Q2567*G2567</f>
        <v/>
      </c>
      <c r="S2567" s="8">
        <f>IF($R$2574=0,0,R2567/$R$2574)</f>
        <v/>
      </c>
      <c r="T2567" s="8" t="n">
        <v>-0.03268626140830955</v>
      </c>
      <c r="U2567" s="8" t="n">
        <v>-0.02177513998586622</v>
      </c>
      <c r="V2567" s="6" t="inlineStr">
        <is>
          <t>not selected</t>
        </is>
      </c>
    </row>
    <row r="2568">
      <c r="A2568" s="6" t="inlineStr">
        <is>
          <t>DJ30</t>
        </is>
      </c>
      <c r="B2568" s="6" t="inlineStr">
        <is>
          <t>2024-08-02</t>
        </is>
      </c>
      <c r="C2568" s="6" t="inlineStr">
        <is>
          <t>DIA</t>
        </is>
      </c>
      <c r="D2568" s="6" t="inlineStr">
        <is>
          <t>SHW</t>
        </is>
      </c>
      <c r="E2568" s="6" t="inlineStr">
        <is>
          <t>SHW</t>
        </is>
      </c>
      <c r="F2568" s="6" t="inlineStr">
        <is>
          <t>-</t>
        </is>
      </c>
      <c r="G2568" s="7" t="n">
        <v>341.2201538085937</v>
      </c>
      <c r="H2568" s="6">
        <f>P2537</f>
        <v/>
      </c>
      <c r="I2568" s="9">
        <f>Q2537</f>
        <v/>
      </c>
      <c r="J2568" s="7">
        <f>I2568*G2568</f>
        <v/>
      </c>
      <c r="K2568" s="8">
        <f>IF($J$2574=0,0,J2568/$J$2574)</f>
        <v/>
      </c>
      <c r="L2568" s="6" t="inlineStr">
        <is>
          <t>WATCHLIST</t>
        </is>
      </c>
      <c r="M2568" s="8" t="n">
        <v>0</v>
      </c>
      <c r="N2568" s="7">
        <f>M2568*$J$2574-J2568</f>
        <v/>
      </c>
      <c r="O2568" s="9">
        <f>IF(G2568=0,0,N2568/G2568)</f>
        <v/>
      </c>
      <c r="P2568" s="6">
        <f>IF(M2568&gt;0,D2568,"")</f>
        <v/>
      </c>
      <c r="Q2568" s="9">
        <f>I2568+O2568</f>
        <v/>
      </c>
      <c r="R2568" s="7">
        <f>Q2568*G2568</f>
        <v/>
      </c>
      <c r="S2568" s="8">
        <f>IF($R$2574=0,0,R2568/$R$2574)</f>
        <v/>
      </c>
      <c r="T2568" s="8" t="n">
        <v>-0.03268626140830955</v>
      </c>
      <c r="U2568" s="8" t="n">
        <v>-0.02177513998586622</v>
      </c>
      <c r="V2568" s="6" t="inlineStr">
        <is>
          <t>not selected</t>
        </is>
      </c>
    </row>
    <row r="2569">
      <c r="A2569" s="6" t="inlineStr">
        <is>
          <t>DJ30</t>
        </is>
      </c>
      <c r="B2569" s="6" t="inlineStr">
        <is>
          <t>2024-08-02</t>
        </is>
      </c>
      <c r="C2569" s="6" t="inlineStr">
        <is>
          <t>DIA</t>
        </is>
      </c>
      <c r="D2569" s="6" t="inlineStr">
        <is>
          <t>TRV</t>
        </is>
      </c>
      <c r="E2569" s="6" t="inlineStr">
        <is>
          <t>TRV</t>
        </is>
      </c>
      <c r="F2569" s="6" t="inlineStr">
        <is>
          <t>-</t>
        </is>
      </c>
      <c r="G2569" s="7" t="n">
        <v>207.664794921875</v>
      </c>
      <c r="H2569" s="6">
        <f>P2538</f>
        <v/>
      </c>
      <c r="I2569" s="9">
        <f>Q2538</f>
        <v/>
      </c>
      <c r="J2569" s="7">
        <f>I2569*G2569</f>
        <v/>
      </c>
      <c r="K2569" s="8">
        <f>IF($J$2574=0,0,J2569/$J$2574)</f>
        <v/>
      </c>
      <c r="L2569" s="6" t="inlineStr">
        <is>
          <t>SELECTED</t>
        </is>
      </c>
      <c r="M2569" s="8" t="n">
        <v>0.2</v>
      </c>
      <c r="N2569" s="7">
        <f>M2569*$J$2574-J2569</f>
        <v/>
      </c>
      <c r="O2569" s="9">
        <f>IF(G2569=0,0,N2569/G2569)</f>
        <v/>
      </c>
      <c r="P2569" s="6">
        <f>IF(M2569&gt;0,D2569,"")</f>
        <v/>
      </c>
      <c r="Q2569" s="9">
        <f>I2569+O2569</f>
        <v/>
      </c>
      <c r="R2569" s="7">
        <f>Q2569*G2569</f>
        <v/>
      </c>
      <c r="S2569" s="8">
        <f>IF($R$2574=0,0,R2569/$R$2574)</f>
        <v/>
      </c>
      <c r="T2569" s="8" t="n">
        <v>-0.03268626140830955</v>
      </c>
      <c r="U2569" s="8" t="n">
        <v>-0.02177513998586622</v>
      </c>
      <c r="V2569" s="6" t="inlineStr">
        <is>
          <t>remained in weekly selection</t>
        </is>
      </c>
    </row>
    <row r="2570">
      <c r="A2570" s="6" t="inlineStr">
        <is>
          <t>DJ30</t>
        </is>
      </c>
      <c r="B2570" s="6" t="inlineStr">
        <is>
          <t>2024-08-02</t>
        </is>
      </c>
      <c r="C2570" s="6" t="inlineStr">
        <is>
          <t>DIA</t>
        </is>
      </c>
      <c r="D2570" s="6" t="inlineStr">
        <is>
          <t>UNH</t>
        </is>
      </c>
      <c r="E2570" s="6" t="inlineStr">
        <is>
          <t>UNH</t>
        </is>
      </c>
      <c r="F2570" s="6" t="inlineStr">
        <is>
          <t>-</t>
        </is>
      </c>
      <c r="G2570" s="7" t="n">
        <v>563.7994995117188</v>
      </c>
      <c r="H2570" s="6">
        <f>P2539</f>
        <v/>
      </c>
      <c r="I2570" s="9">
        <f>Q2539</f>
        <v/>
      </c>
      <c r="J2570" s="7">
        <f>I2570*G2570</f>
        <v/>
      </c>
      <c r="K2570" s="8">
        <f>IF($J$2574=0,0,J2570/$J$2574)</f>
        <v/>
      </c>
      <c r="L2570" s="6" t="inlineStr">
        <is>
          <t>REJECTED</t>
        </is>
      </c>
      <c r="M2570" s="8" t="n">
        <v>0</v>
      </c>
      <c r="N2570" s="7">
        <f>M2570*$J$2574-J2570</f>
        <v/>
      </c>
      <c r="O2570" s="9">
        <f>IF(G2570=0,0,N2570/G2570)</f>
        <v/>
      </c>
      <c r="P2570" s="6">
        <f>IF(M2570&gt;0,D2570,"")</f>
        <v/>
      </c>
      <c r="Q2570" s="9">
        <f>I2570+O2570</f>
        <v/>
      </c>
      <c r="R2570" s="7">
        <f>Q2570*G2570</f>
        <v/>
      </c>
      <c r="S2570" s="8">
        <f>IF($R$2574=0,0,R2570/$R$2574)</f>
        <v/>
      </c>
      <c r="T2570" s="8" t="n">
        <v>-0.03268626140830955</v>
      </c>
      <c r="U2570" s="8" t="n">
        <v>-0.02177513998586622</v>
      </c>
      <c r="V2570" s="6" t="inlineStr">
        <is>
          <t>not selected</t>
        </is>
      </c>
    </row>
    <row r="2571">
      <c r="A2571" s="6" t="inlineStr">
        <is>
          <t>DJ30</t>
        </is>
      </c>
      <c r="B2571" s="6" t="inlineStr">
        <is>
          <t>2024-08-02</t>
        </is>
      </c>
      <c r="C2571" s="6" t="inlineStr">
        <is>
          <t>DIA</t>
        </is>
      </c>
      <c r="D2571" s="6" t="inlineStr">
        <is>
          <t>V</t>
        </is>
      </c>
      <c r="E2571" s="6" t="inlineStr">
        <is>
          <t>V</t>
        </is>
      </c>
      <c r="F2571" s="6" t="inlineStr">
        <is>
          <t>-</t>
        </is>
      </c>
      <c r="G2571" s="7" t="n">
        <v>262.5820007324219</v>
      </c>
      <c r="H2571" s="6">
        <f>P2540</f>
        <v/>
      </c>
      <c r="I2571" s="9">
        <f>Q2540</f>
        <v/>
      </c>
      <c r="J2571" s="7">
        <f>I2571*G2571</f>
        <v/>
      </c>
      <c r="K2571" s="8">
        <f>IF($J$2574=0,0,J2571/$J$2574)</f>
        <v/>
      </c>
      <c r="L2571" s="6" t="inlineStr">
        <is>
          <t>WATCHLIST</t>
        </is>
      </c>
      <c r="M2571" s="8" t="n">
        <v>0</v>
      </c>
      <c r="N2571" s="7">
        <f>M2571*$J$2574-J2571</f>
        <v/>
      </c>
      <c r="O2571" s="9">
        <f>IF(G2571=0,0,N2571/G2571)</f>
        <v/>
      </c>
      <c r="P2571" s="6">
        <f>IF(M2571&gt;0,D2571,"")</f>
        <v/>
      </c>
      <c r="Q2571" s="9">
        <f>I2571+O2571</f>
        <v/>
      </c>
      <c r="R2571" s="7">
        <f>Q2571*G2571</f>
        <v/>
      </c>
      <c r="S2571" s="8">
        <f>IF($R$2574=0,0,R2571/$R$2574)</f>
        <v/>
      </c>
      <c r="T2571" s="8" t="n">
        <v>-0.03268626140830955</v>
      </c>
      <c r="U2571" s="8" t="n">
        <v>-0.02177513998586622</v>
      </c>
      <c r="V2571" s="6" t="inlineStr">
        <is>
          <t>not selected</t>
        </is>
      </c>
    </row>
    <row r="2572">
      <c r="A2572" s="6" t="inlineStr">
        <is>
          <t>DJ30</t>
        </is>
      </c>
      <c r="B2572" s="6" t="inlineStr">
        <is>
          <t>2024-08-02</t>
        </is>
      </c>
      <c r="C2572" s="6" t="inlineStr">
        <is>
          <t>DIA</t>
        </is>
      </c>
      <c r="D2572" s="6" t="inlineStr">
        <is>
          <t>VZ</t>
        </is>
      </c>
      <c r="E2572" s="6" t="inlineStr">
        <is>
          <t>VZ</t>
        </is>
      </c>
      <c r="F2572" s="6" t="inlineStr">
        <is>
          <t>-</t>
        </is>
      </c>
      <c r="G2572" s="7" t="n">
        <v>36.54841995239258</v>
      </c>
      <c r="H2572" s="6">
        <f>P2541</f>
        <v/>
      </c>
      <c r="I2572" s="9">
        <f>Q2541</f>
        <v/>
      </c>
      <c r="J2572" s="7">
        <f>I2572*G2572</f>
        <v/>
      </c>
      <c r="K2572" s="8">
        <f>IF($J$2574=0,0,J2572/$J$2574)</f>
        <v/>
      </c>
      <c r="L2572" s="6" t="inlineStr">
        <is>
          <t>WATCHLIST</t>
        </is>
      </c>
      <c r="M2572" s="8" t="n">
        <v>0</v>
      </c>
      <c r="N2572" s="7">
        <f>M2572*$J$2574-J2572</f>
        <v/>
      </c>
      <c r="O2572" s="9">
        <f>IF(G2572=0,0,N2572/G2572)</f>
        <v/>
      </c>
      <c r="P2572" s="6">
        <f>IF(M2572&gt;0,D2572,"")</f>
        <v/>
      </c>
      <c r="Q2572" s="9">
        <f>I2572+O2572</f>
        <v/>
      </c>
      <c r="R2572" s="7">
        <f>Q2572*G2572</f>
        <v/>
      </c>
      <c r="S2572" s="8">
        <f>IF($R$2574=0,0,R2572/$R$2574)</f>
        <v/>
      </c>
      <c r="T2572" s="8" t="n">
        <v>-0.03268626140830955</v>
      </c>
      <c r="U2572" s="8" t="n">
        <v>-0.02177513998586622</v>
      </c>
      <c r="V2572" s="6" t="inlineStr">
        <is>
          <t>removed from weekly selection</t>
        </is>
      </c>
    </row>
    <row r="2573">
      <c r="A2573" s="6" t="inlineStr">
        <is>
          <t>DJ30</t>
        </is>
      </c>
      <c r="B2573" s="6" t="inlineStr">
        <is>
          <t>2024-08-02</t>
        </is>
      </c>
      <c r="C2573" s="6" t="inlineStr">
        <is>
          <t>DIA</t>
        </is>
      </c>
      <c r="D2573" s="6" t="inlineStr">
        <is>
          <t>WMT</t>
        </is>
      </c>
      <c r="E2573" s="6" t="inlineStr">
        <is>
          <t>WMT</t>
        </is>
      </c>
      <c r="F2573" s="6" t="inlineStr">
        <is>
          <t>-</t>
        </is>
      </c>
      <c r="G2573" s="7" t="n">
        <v>67.20224761962891</v>
      </c>
      <c r="H2573" s="6">
        <f>P2542</f>
        <v/>
      </c>
      <c r="I2573" s="9">
        <f>Q2542</f>
        <v/>
      </c>
      <c r="J2573" s="7">
        <f>I2573*G2573</f>
        <v/>
      </c>
      <c r="K2573" s="8">
        <f>IF($J$2574=0,0,J2573/$J$2574)</f>
        <v/>
      </c>
      <c r="L2573" s="6" t="inlineStr">
        <is>
          <t>SELECTED</t>
        </is>
      </c>
      <c r="M2573" s="8" t="n">
        <v>0.2</v>
      </c>
      <c r="N2573" s="7">
        <f>M2573*$J$2574-J2573</f>
        <v/>
      </c>
      <c r="O2573" s="9">
        <f>IF(G2573=0,0,N2573/G2573)</f>
        <v/>
      </c>
      <c r="P2573" s="6">
        <f>IF(M2573&gt;0,D2573,"")</f>
        <v/>
      </c>
      <c r="Q2573" s="9">
        <f>I2573+O2573</f>
        <v/>
      </c>
      <c r="R2573" s="7">
        <f>Q2573*G2573</f>
        <v/>
      </c>
      <c r="S2573" s="8">
        <f>IF($R$2574=0,0,R2573/$R$2574)</f>
        <v/>
      </c>
      <c r="T2573" s="8" t="n">
        <v>-0.03268626140830955</v>
      </c>
      <c r="U2573" s="8" t="n">
        <v>-0.02177513998586622</v>
      </c>
      <c r="V2573" s="6" t="inlineStr">
        <is>
          <t>entered weekly selection</t>
        </is>
      </c>
    </row>
    <row r="2574">
      <c r="A2574" s="10" t="inlineStr">
        <is>
          <t>DJ30</t>
        </is>
      </c>
      <c r="B2574" s="10" t="inlineStr">
        <is>
          <t>2024-08-02</t>
        </is>
      </c>
      <c r="C2574" s="10" t="inlineStr">
        <is>
          <t>DIA</t>
        </is>
      </c>
      <c r="D2574" s="10" t="inlineStr">
        <is>
          <t>Tot Portfolio</t>
        </is>
      </c>
      <c r="E2574" s="10" t="inlineStr"/>
      <c r="F2574" s="10" t="inlineStr"/>
      <c r="G2574" s="11" t="inlineStr"/>
      <c r="H2574" s="10" t="inlineStr"/>
      <c r="I2574" s="12" t="inlineStr"/>
      <c r="J2574" s="11">
        <f>SUM(J2544:J2573)</f>
        <v/>
      </c>
      <c r="K2574" s="13">
        <f>SUM(K2544:K2573)</f>
        <v/>
      </c>
      <c r="L2574" s="10" t="inlineStr">
        <is>
          <t>TOTAL</t>
        </is>
      </c>
      <c r="M2574" s="13">
        <f>SUM(M2544:M2573)</f>
        <v/>
      </c>
      <c r="N2574" s="11">
        <f>SUM(N2544:N2573)</f>
        <v/>
      </c>
      <c r="O2574" s="12">
        <f>SUM(O2544:O2573)</f>
        <v/>
      </c>
      <c r="P2574" s="10" t="inlineStr"/>
      <c r="Q2574" s="12" t="inlineStr"/>
      <c r="R2574" s="11">
        <f>SUM(R2544:R2573)</f>
        <v/>
      </c>
      <c r="S2574" s="13">
        <f>SUM(S2544:S2573)</f>
        <v/>
      </c>
      <c r="T2574" s="13" t="n">
        <v>-0.03268626140830955</v>
      </c>
      <c r="U2574" s="13" t="n">
        <v>-0.02177513998586622</v>
      </c>
      <c r="V2574" s="10" t="inlineStr"/>
    </row>
    <row r="2575">
      <c r="A2575" s="6" t="inlineStr">
        <is>
          <t>DJ30</t>
        </is>
      </c>
      <c r="B2575" s="6" t="inlineStr">
        <is>
          <t>2024-08-09</t>
        </is>
      </c>
      <c r="C2575" s="6" t="inlineStr">
        <is>
          <t>DIA</t>
        </is>
      </c>
      <c r="D2575" s="6" t="inlineStr">
        <is>
          <t>AAPL</t>
        </is>
      </c>
      <c r="E2575" s="6" t="inlineStr">
        <is>
          <t>AAPL</t>
        </is>
      </c>
      <c r="F2575" s="6" t="inlineStr">
        <is>
          <t>-</t>
        </is>
      </c>
      <c r="G2575" s="7" t="n">
        <v>214.3829040527344</v>
      </c>
      <c r="H2575" s="6">
        <f>P2544</f>
        <v/>
      </c>
      <c r="I2575" s="9">
        <f>Q2544</f>
        <v/>
      </c>
      <c r="J2575" s="7">
        <f>I2575*G2575</f>
        <v/>
      </c>
      <c r="K2575" s="8">
        <f>IF($J$2605=0,0,J2575/$J$2605)</f>
        <v/>
      </c>
      <c r="L2575" s="6" t="inlineStr">
        <is>
          <t>WATCHLIST</t>
        </is>
      </c>
      <c r="M2575" s="8" t="n">
        <v>0</v>
      </c>
      <c r="N2575" s="7">
        <f>M2575*$J$2605-J2575</f>
        <v/>
      </c>
      <c r="O2575" s="9">
        <f>IF(G2575=0,0,N2575/G2575)</f>
        <v/>
      </c>
      <c r="P2575" s="6">
        <f>IF(M2575&gt;0,D2575,"")</f>
        <v/>
      </c>
      <c r="Q2575" s="9">
        <f>I2575+O2575</f>
        <v/>
      </c>
      <c r="R2575" s="7">
        <f>Q2575*G2575</f>
        <v/>
      </c>
      <c r="S2575" s="8">
        <f>IF($R$2605=0,0,R2575/$R$2605)</f>
        <v/>
      </c>
      <c r="T2575" s="8" t="n">
        <v>-0.004847086309741178</v>
      </c>
      <c r="U2575" s="8" t="n">
        <v>-0.004985650191741464</v>
      </c>
      <c r="V2575" s="6" t="inlineStr">
        <is>
          <t>not selected</t>
        </is>
      </c>
    </row>
    <row r="2576">
      <c r="A2576" s="6" t="inlineStr">
        <is>
          <t>DJ30</t>
        </is>
      </c>
      <c r="B2576" s="6" t="inlineStr">
        <is>
          <t>2024-08-09</t>
        </is>
      </c>
      <c r="C2576" s="6" t="inlineStr">
        <is>
          <t>DIA</t>
        </is>
      </c>
      <c r="D2576" s="6" t="inlineStr">
        <is>
          <t>AMGN</t>
        </is>
      </c>
      <c r="E2576" s="6" t="inlineStr">
        <is>
          <t>AMGN</t>
        </is>
      </c>
      <c r="F2576" s="6" t="inlineStr">
        <is>
          <t>-</t>
        </is>
      </c>
      <c r="G2576" s="7" t="n">
        <v>303.295654296875</v>
      </c>
      <c r="H2576" s="6">
        <f>P2545</f>
        <v/>
      </c>
      <c r="I2576" s="9">
        <f>Q2545</f>
        <v/>
      </c>
      <c r="J2576" s="7">
        <f>I2576*G2576</f>
        <v/>
      </c>
      <c r="K2576" s="8">
        <f>IF($J$2605=0,0,J2576/$J$2605)</f>
        <v/>
      </c>
      <c r="L2576" s="6" t="inlineStr">
        <is>
          <t>WATCHLIST</t>
        </is>
      </c>
      <c r="M2576" s="8" t="n">
        <v>0</v>
      </c>
      <c r="N2576" s="7">
        <f>M2576*$J$2605-J2576</f>
        <v/>
      </c>
      <c r="O2576" s="9">
        <f>IF(G2576=0,0,N2576/G2576)</f>
        <v/>
      </c>
      <c r="P2576" s="6">
        <f>IF(M2576&gt;0,D2576,"")</f>
        <v/>
      </c>
      <c r="Q2576" s="9">
        <f>I2576+O2576</f>
        <v/>
      </c>
      <c r="R2576" s="7">
        <f>Q2576*G2576</f>
        <v/>
      </c>
      <c r="S2576" s="8">
        <f>IF($R$2605=0,0,R2576/$R$2605)</f>
        <v/>
      </c>
      <c r="T2576" s="8" t="n">
        <v>-0.004847086309741178</v>
      </c>
      <c r="U2576" s="8" t="n">
        <v>-0.004985650191741464</v>
      </c>
      <c r="V2576" s="6" t="inlineStr">
        <is>
          <t>not selected</t>
        </is>
      </c>
    </row>
    <row r="2577">
      <c r="A2577" s="6" t="inlineStr">
        <is>
          <t>DJ30</t>
        </is>
      </c>
      <c r="B2577" s="6" t="inlineStr">
        <is>
          <t>2024-08-09</t>
        </is>
      </c>
      <c r="C2577" s="6" t="inlineStr">
        <is>
          <t>DIA</t>
        </is>
      </c>
      <c r="D2577" s="6" t="inlineStr">
        <is>
          <t>AMZN</t>
        </is>
      </c>
      <c r="E2577" s="6" t="inlineStr">
        <is>
          <t>AMZN</t>
        </is>
      </c>
      <c r="F2577" s="6" t="inlineStr">
        <is>
          <t>-</t>
        </is>
      </c>
      <c r="G2577" s="7" t="n">
        <v>166.9400024414062</v>
      </c>
      <c r="H2577" s="6">
        <f>P2546</f>
        <v/>
      </c>
      <c r="I2577" s="9">
        <f>Q2546</f>
        <v/>
      </c>
      <c r="J2577" s="7">
        <f>I2577*G2577</f>
        <v/>
      </c>
      <c r="K2577" s="8">
        <f>IF($J$2605=0,0,J2577/$J$2605)</f>
        <v/>
      </c>
      <c r="L2577" s="6" t="inlineStr">
        <is>
          <t>SELECTED</t>
        </is>
      </c>
      <c r="M2577" s="8" t="n">
        <v>0.2</v>
      </c>
      <c r="N2577" s="7">
        <f>M2577*$J$2605-J2577</f>
        <v/>
      </c>
      <c r="O2577" s="9">
        <f>IF(G2577=0,0,N2577/G2577)</f>
        <v/>
      </c>
      <c r="P2577" s="6">
        <f>IF(M2577&gt;0,D2577,"")</f>
        <v/>
      </c>
      <c r="Q2577" s="9">
        <f>I2577+O2577</f>
        <v/>
      </c>
      <c r="R2577" s="7">
        <f>Q2577*G2577</f>
        <v/>
      </c>
      <c r="S2577" s="8">
        <f>IF($R$2605=0,0,R2577/$R$2605)</f>
        <v/>
      </c>
      <c r="T2577" s="8" t="n">
        <v>-0.004847086309741178</v>
      </c>
      <c r="U2577" s="8" t="n">
        <v>-0.004985650191741464</v>
      </c>
      <c r="V2577" s="6" t="inlineStr">
        <is>
          <t>remained in weekly selection</t>
        </is>
      </c>
    </row>
    <row r="2578">
      <c r="A2578" s="6" t="inlineStr">
        <is>
          <t>DJ30</t>
        </is>
      </c>
      <c r="B2578" s="6" t="inlineStr">
        <is>
          <t>2024-08-09</t>
        </is>
      </c>
      <c r="C2578" s="6" t="inlineStr">
        <is>
          <t>DIA</t>
        </is>
      </c>
      <c r="D2578" s="6" t="inlineStr">
        <is>
          <t>AXP</t>
        </is>
      </c>
      <c r="E2578" s="6" t="inlineStr">
        <is>
          <t>AXP</t>
        </is>
      </c>
      <c r="F2578" s="6" t="inlineStr">
        <is>
          <t>-</t>
        </is>
      </c>
      <c r="G2578" s="7" t="n">
        <v>233.4435729980469</v>
      </c>
      <c r="H2578" s="6">
        <f>P2547</f>
        <v/>
      </c>
      <c r="I2578" s="9">
        <f>Q2547</f>
        <v/>
      </c>
      <c r="J2578" s="7">
        <f>I2578*G2578</f>
        <v/>
      </c>
      <c r="K2578" s="8">
        <f>IF($J$2605=0,0,J2578/$J$2605)</f>
        <v/>
      </c>
      <c r="L2578" s="6" t="inlineStr">
        <is>
          <t>SELECTED</t>
        </is>
      </c>
      <c r="M2578" s="8" t="n">
        <v>0.2</v>
      </c>
      <c r="N2578" s="7">
        <f>M2578*$J$2605-J2578</f>
        <v/>
      </c>
      <c r="O2578" s="9">
        <f>IF(G2578=0,0,N2578/G2578)</f>
        <v/>
      </c>
      <c r="P2578" s="6">
        <f>IF(M2578&gt;0,D2578,"")</f>
        <v/>
      </c>
      <c r="Q2578" s="9">
        <f>I2578+O2578</f>
        <v/>
      </c>
      <c r="R2578" s="7">
        <f>Q2578*G2578</f>
        <v/>
      </c>
      <c r="S2578" s="8">
        <f>IF($R$2605=0,0,R2578/$R$2605)</f>
        <v/>
      </c>
      <c r="T2578" s="8" t="n">
        <v>-0.004847086309741178</v>
      </c>
      <c r="U2578" s="8" t="n">
        <v>-0.004985650191741464</v>
      </c>
      <c r="V2578" s="6" t="inlineStr">
        <is>
          <t>remained in weekly selection</t>
        </is>
      </c>
    </row>
    <row r="2579">
      <c r="A2579" s="6" t="inlineStr">
        <is>
          <t>DJ30</t>
        </is>
      </c>
      <c r="B2579" s="6" t="inlineStr">
        <is>
          <t>2024-08-09</t>
        </is>
      </c>
      <c r="C2579" s="6" t="inlineStr">
        <is>
          <t>DIA</t>
        </is>
      </c>
      <c r="D2579" s="6" t="inlineStr">
        <is>
          <t>BA</t>
        </is>
      </c>
      <c r="E2579" s="6" t="inlineStr">
        <is>
          <t>BA</t>
        </is>
      </c>
      <c r="F2579" s="6" t="inlineStr">
        <is>
          <t>-</t>
        </is>
      </c>
      <c r="G2579" s="7" t="n">
        <v>167.9100036621094</v>
      </c>
      <c r="H2579" s="6">
        <f>P2548</f>
        <v/>
      </c>
      <c r="I2579" s="9">
        <f>Q2548</f>
        <v/>
      </c>
      <c r="J2579" s="7">
        <f>I2579*G2579</f>
        <v/>
      </c>
      <c r="K2579" s="8">
        <f>IF($J$2605=0,0,J2579/$J$2605)</f>
        <v/>
      </c>
      <c r="L2579" s="6" t="inlineStr">
        <is>
          <t>REJECTED</t>
        </is>
      </c>
      <c r="M2579" s="8" t="n">
        <v>0</v>
      </c>
      <c r="N2579" s="7">
        <f>M2579*$J$2605-J2579</f>
        <v/>
      </c>
      <c r="O2579" s="9">
        <f>IF(G2579=0,0,N2579/G2579)</f>
        <v/>
      </c>
      <c r="P2579" s="6">
        <f>IF(M2579&gt;0,D2579,"")</f>
        <v/>
      </c>
      <c r="Q2579" s="9">
        <f>I2579+O2579</f>
        <v/>
      </c>
      <c r="R2579" s="7">
        <f>Q2579*G2579</f>
        <v/>
      </c>
      <c r="S2579" s="8">
        <f>IF($R$2605=0,0,R2579/$R$2605)</f>
        <v/>
      </c>
      <c r="T2579" s="8" t="n">
        <v>-0.004847086309741178</v>
      </c>
      <c r="U2579" s="8" t="n">
        <v>-0.004985650191741464</v>
      </c>
      <c r="V2579" s="6" t="inlineStr">
        <is>
          <t>not selected</t>
        </is>
      </c>
    </row>
    <row r="2580">
      <c r="A2580" s="6" t="inlineStr">
        <is>
          <t>DJ30</t>
        </is>
      </c>
      <c r="B2580" s="6" t="inlineStr">
        <is>
          <t>2024-08-09</t>
        </is>
      </c>
      <c r="C2580" s="6" t="inlineStr">
        <is>
          <t>DIA</t>
        </is>
      </c>
      <c r="D2580" s="6" t="inlineStr">
        <is>
          <t>CAT</t>
        </is>
      </c>
      <c r="E2580" s="6" t="inlineStr">
        <is>
          <t>CAT</t>
        </is>
      </c>
      <c r="F2580" s="6" t="inlineStr">
        <is>
          <t>-</t>
        </is>
      </c>
      <c r="G2580" s="7" t="n">
        <v>330.6304321289062</v>
      </c>
      <c r="H2580" s="6">
        <f>P2549</f>
        <v/>
      </c>
      <c r="I2580" s="9">
        <f>Q2549</f>
        <v/>
      </c>
      <c r="J2580" s="7">
        <f>I2580*G2580</f>
        <v/>
      </c>
      <c r="K2580" s="8">
        <f>IF($J$2605=0,0,J2580/$J$2605)</f>
        <v/>
      </c>
      <c r="L2580" s="6" t="inlineStr">
        <is>
          <t>WATCHLIST</t>
        </is>
      </c>
      <c r="M2580" s="8" t="n">
        <v>0</v>
      </c>
      <c r="N2580" s="7">
        <f>M2580*$J$2605-J2580</f>
        <v/>
      </c>
      <c r="O2580" s="9">
        <f>IF(G2580=0,0,N2580/G2580)</f>
        <v/>
      </c>
      <c r="P2580" s="6">
        <f>IF(M2580&gt;0,D2580,"")</f>
        <v/>
      </c>
      <c r="Q2580" s="9">
        <f>I2580+O2580</f>
        <v/>
      </c>
      <c r="R2580" s="7">
        <f>Q2580*G2580</f>
        <v/>
      </c>
      <c r="S2580" s="8">
        <f>IF($R$2605=0,0,R2580/$R$2605)</f>
        <v/>
      </c>
      <c r="T2580" s="8" t="n">
        <v>-0.004847086309741178</v>
      </c>
      <c r="U2580" s="8" t="n">
        <v>-0.004985650191741464</v>
      </c>
      <c r="V2580" s="6" t="inlineStr">
        <is>
          <t>not selected</t>
        </is>
      </c>
    </row>
    <row r="2581">
      <c r="A2581" s="6" t="inlineStr">
        <is>
          <t>DJ30</t>
        </is>
      </c>
      <c r="B2581" s="6" t="inlineStr">
        <is>
          <t>2024-08-09</t>
        </is>
      </c>
      <c r="C2581" s="6" t="inlineStr">
        <is>
          <t>DIA</t>
        </is>
      </c>
      <c r="D2581" s="6" t="inlineStr">
        <is>
          <t>CRM</t>
        </is>
      </c>
      <c r="E2581" s="6" t="inlineStr">
        <is>
          <t>CRM</t>
        </is>
      </c>
      <c r="F2581" s="6" t="inlineStr">
        <is>
          <t>-</t>
        </is>
      </c>
      <c r="G2581" s="7" t="n">
        <v>248.9465789794922</v>
      </c>
      <c r="H2581" s="6">
        <f>P2550</f>
        <v/>
      </c>
      <c r="I2581" s="9">
        <f>Q2550</f>
        <v/>
      </c>
      <c r="J2581" s="7">
        <f>I2581*G2581</f>
        <v/>
      </c>
      <c r="K2581" s="8">
        <f>IF($J$2605=0,0,J2581/$J$2605)</f>
        <v/>
      </c>
      <c r="L2581" s="6" t="inlineStr">
        <is>
          <t>WATCHLIST</t>
        </is>
      </c>
      <c r="M2581" s="8" t="n">
        <v>0</v>
      </c>
      <c r="N2581" s="7">
        <f>M2581*$J$2605-J2581</f>
        <v/>
      </c>
      <c r="O2581" s="9">
        <f>IF(G2581=0,0,N2581/G2581)</f>
        <v/>
      </c>
      <c r="P2581" s="6">
        <f>IF(M2581&gt;0,D2581,"")</f>
        <v/>
      </c>
      <c r="Q2581" s="9">
        <f>I2581+O2581</f>
        <v/>
      </c>
      <c r="R2581" s="7">
        <f>Q2581*G2581</f>
        <v/>
      </c>
      <c r="S2581" s="8">
        <f>IF($R$2605=0,0,R2581/$R$2605)</f>
        <v/>
      </c>
      <c r="T2581" s="8" t="n">
        <v>-0.004847086309741178</v>
      </c>
      <c r="U2581" s="8" t="n">
        <v>-0.004985650191741464</v>
      </c>
      <c r="V2581" s="6" t="inlineStr">
        <is>
          <t>not selected</t>
        </is>
      </c>
    </row>
    <row r="2582">
      <c r="A2582" s="6" t="inlineStr">
        <is>
          <t>DJ30</t>
        </is>
      </c>
      <c r="B2582" s="6" t="inlineStr">
        <is>
          <t>2024-08-09</t>
        </is>
      </c>
      <c r="C2582" s="6" t="inlineStr">
        <is>
          <t>DIA</t>
        </is>
      </c>
      <c r="D2582" s="6" t="inlineStr">
        <is>
          <t>CSCO</t>
        </is>
      </c>
      <c r="E2582" s="6" t="inlineStr">
        <is>
          <t>CSCO</t>
        </is>
      </c>
      <c r="F2582" s="6" t="inlineStr">
        <is>
          <t>-</t>
        </is>
      </c>
      <c r="G2582" s="7" t="n">
        <v>43.52074432373047</v>
      </c>
      <c r="H2582" s="6">
        <f>P2551</f>
        <v/>
      </c>
      <c r="I2582" s="9">
        <f>Q2551</f>
        <v/>
      </c>
      <c r="J2582" s="7">
        <f>I2582*G2582</f>
        <v/>
      </c>
      <c r="K2582" s="8">
        <f>IF($J$2605=0,0,J2582/$J$2605)</f>
        <v/>
      </c>
      <c r="L2582" s="6" t="inlineStr">
        <is>
          <t>REJECTED</t>
        </is>
      </c>
      <c r="M2582" s="8" t="n">
        <v>0</v>
      </c>
      <c r="N2582" s="7">
        <f>M2582*$J$2605-J2582</f>
        <v/>
      </c>
      <c r="O2582" s="9">
        <f>IF(G2582=0,0,N2582/G2582)</f>
        <v/>
      </c>
      <c r="P2582" s="6">
        <f>IF(M2582&gt;0,D2582,"")</f>
        <v/>
      </c>
      <c r="Q2582" s="9">
        <f>I2582+O2582</f>
        <v/>
      </c>
      <c r="R2582" s="7">
        <f>Q2582*G2582</f>
        <v/>
      </c>
      <c r="S2582" s="8">
        <f>IF($R$2605=0,0,R2582/$R$2605)</f>
        <v/>
      </c>
      <c r="T2582" s="8" t="n">
        <v>-0.004847086309741178</v>
      </c>
      <c r="U2582" s="8" t="n">
        <v>-0.004985650191741464</v>
      </c>
      <c r="V2582" s="6" t="inlineStr">
        <is>
          <t>not selected</t>
        </is>
      </c>
    </row>
    <row r="2583">
      <c r="A2583" s="6" t="inlineStr">
        <is>
          <t>DJ30</t>
        </is>
      </c>
      <c r="B2583" s="6" t="inlineStr">
        <is>
          <t>2024-08-09</t>
        </is>
      </c>
      <c r="C2583" s="6" t="inlineStr">
        <is>
          <t>DIA</t>
        </is>
      </c>
      <c r="D2583" s="6" t="inlineStr">
        <is>
          <t>CVX</t>
        </is>
      </c>
      <c r="E2583" s="6" t="inlineStr">
        <is>
          <t>CVX</t>
        </is>
      </c>
      <c r="F2583" s="6" t="inlineStr">
        <is>
          <t>-</t>
        </is>
      </c>
      <c r="G2583" s="7" t="n">
        <v>133.1157379150391</v>
      </c>
      <c r="H2583" s="6">
        <f>P2552</f>
        <v/>
      </c>
      <c r="I2583" s="9">
        <f>Q2552</f>
        <v/>
      </c>
      <c r="J2583" s="7">
        <f>I2583*G2583</f>
        <v/>
      </c>
      <c r="K2583" s="8">
        <f>IF($J$2605=0,0,J2583/$J$2605)</f>
        <v/>
      </c>
      <c r="L2583" s="6" t="inlineStr">
        <is>
          <t>REJECTED</t>
        </is>
      </c>
      <c r="M2583" s="8" t="n">
        <v>0</v>
      </c>
      <c r="N2583" s="7">
        <f>M2583*$J$2605-J2583</f>
        <v/>
      </c>
      <c r="O2583" s="9">
        <f>IF(G2583=0,0,N2583/G2583)</f>
        <v/>
      </c>
      <c r="P2583" s="6">
        <f>IF(M2583&gt;0,D2583,"")</f>
        <v/>
      </c>
      <c r="Q2583" s="9">
        <f>I2583+O2583</f>
        <v/>
      </c>
      <c r="R2583" s="7">
        <f>Q2583*G2583</f>
        <v/>
      </c>
      <c r="S2583" s="8">
        <f>IF($R$2605=0,0,R2583/$R$2605)</f>
        <v/>
      </c>
      <c r="T2583" s="8" t="n">
        <v>-0.004847086309741178</v>
      </c>
      <c r="U2583" s="8" t="n">
        <v>-0.004985650191741464</v>
      </c>
      <c r="V2583" s="6" t="inlineStr">
        <is>
          <t>not selected</t>
        </is>
      </c>
    </row>
    <row r="2584">
      <c r="A2584" s="6" t="inlineStr">
        <is>
          <t>DJ30</t>
        </is>
      </c>
      <c r="B2584" s="6" t="inlineStr">
        <is>
          <t>2024-08-09</t>
        </is>
      </c>
      <c r="C2584" s="6" t="inlineStr">
        <is>
          <t>DIA</t>
        </is>
      </c>
      <c r="D2584" s="6" t="inlineStr">
        <is>
          <t>DIS</t>
        </is>
      </c>
      <c r="E2584" s="6" t="inlineStr">
        <is>
          <t>DIS</t>
        </is>
      </c>
      <c r="F2584" s="6" t="inlineStr">
        <is>
          <t>-</t>
        </is>
      </c>
      <c r="G2584" s="7" t="n">
        <v>84.89086151123047</v>
      </c>
      <c r="H2584" s="6">
        <f>P2553</f>
        <v/>
      </c>
      <c r="I2584" s="9">
        <f>Q2553</f>
        <v/>
      </c>
      <c r="J2584" s="7">
        <f>I2584*G2584</f>
        <v/>
      </c>
      <c r="K2584" s="8">
        <f>IF($J$2605=0,0,J2584/$J$2605)</f>
        <v/>
      </c>
      <c r="L2584" s="6" t="inlineStr">
        <is>
          <t>WATCHLIST</t>
        </is>
      </c>
      <c r="M2584" s="8" t="n">
        <v>0</v>
      </c>
      <c r="N2584" s="7">
        <f>M2584*$J$2605-J2584</f>
        <v/>
      </c>
      <c r="O2584" s="9">
        <f>IF(G2584=0,0,N2584/G2584)</f>
        <v/>
      </c>
      <c r="P2584" s="6">
        <f>IF(M2584&gt;0,D2584,"")</f>
        <v/>
      </c>
      <c r="Q2584" s="9">
        <f>I2584+O2584</f>
        <v/>
      </c>
      <c r="R2584" s="7">
        <f>Q2584*G2584</f>
        <v/>
      </c>
      <c r="S2584" s="8">
        <f>IF($R$2605=0,0,R2584/$R$2605)</f>
        <v/>
      </c>
      <c r="T2584" s="8" t="n">
        <v>-0.004847086309741178</v>
      </c>
      <c r="U2584" s="8" t="n">
        <v>-0.004985650191741464</v>
      </c>
      <c r="V2584" s="6" t="inlineStr">
        <is>
          <t>not selected</t>
        </is>
      </c>
    </row>
    <row r="2585">
      <c r="A2585" s="6" t="inlineStr">
        <is>
          <t>DJ30</t>
        </is>
      </c>
      <c r="B2585" s="6" t="inlineStr">
        <is>
          <t>2024-08-09</t>
        </is>
      </c>
      <c r="C2585" s="6" t="inlineStr">
        <is>
          <t>DIA</t>
        </is>
      </c>
      <c r="D2585" s="6" t="inlineStr">
        <is>
          <t>GS</t>
        </is>
      </c>
      <c r="E2585" s="6" t="inlineStr">
        <is>
          <t>GS</t>
        </is>
      </c>
      <c r="F2585" s="6" t="inlineStr">
        <is>
          <t>-</t>
        </is>
      </c>
      <c r="G2585" s="7" t="n">
        <v>470.7119445800781</v>
      </c>
      <c r="H2585" s="6">
        <f>P2554</f>
        <v/>
      </c>
      <c r="I2585" s="9">
        <f>Q2554</f>
        <v/>
      </c>
      <c r="J2585" s="7">
        <f>I2585*G2585</f>
        <v/>
      </c>
      <c r="K2585" s="8">
        <f>IF($J$2605=0,0,J2585/$J$2605)</f>
        <v/>
      </c>
      <c r="L2585" s="6" t="inlineStr">
        <is>
          <t>WATCHLIST</t>
        </is>
      </c>
      <c r="M2585" s="8" t="n">
        <v>0</v>
      </c>
      <c r="N2585" s="7">
        <f>M2585*$J$2605-J2585</f>
        <v/>
      </c>
      <c r="O2585" s="9">
        <f>IF(G2585=0,0,N2585/G2585)</f>
        <v/>
      </c>
      <c r="P2585" s="6">
        <f>IF(M2585&gt;0,D2585,"")</f>
        <v/>
      </c>
      <c r="Q2585" s="9">
        <f>I2585+O2585</f>
        <v/>
      </c>
      <c r="R2585" s="7">
        <f>Q2585*G2585</f>
        <v/>
      </c>
      <c r="S2585" s="8">
        <f>IF($R$2605=0,0,R2585/$R$2605)</f>
        <v/>
      </c>
      <c r="T2585" s="8" t="n">
        <v>-0.004847086309741178</v>
      </c>
      <c r="U2585" s="8" t="n">
        <v>-0.004985650191741464</v>
      </c>
      <c r="V2585" s="6" t="inlineStr">
        <is>
          <t>not selected</t>
        </is>
      </c>
    </row>
    <row r="2586">
      <c r="A2586" s="6" t="inlineStr">
        <is>
          <t>DJ30</t>
        </is>
      </c>
      <c r="B2586" s="6" t="inlineStr">
        <is>
          <t>2024-08-09</t>
        </is>
      </c>
      <c r="C2586" s="6" t="inlineStr">
        <is>
          <t>DIA</t>
        </is>
      </c>
      <c r="D2586" s="6" t="inlineStr">
        <is>
          <t>HD</t>
        </is>
      </c>
      <c r="E2586" s="6" t="inlineStr">
        <is>
          <t>HD</t>
        </is>
      </c>
      <c r="F2586" s="6" t="inlineStr">
        <is>
          <t>-</t>
        </is>
      </c>
      <c r="G2586" s="7" t="n">
        <v>331.6136779785156</v>
      </c>
      <c r="H2586" s="6">
        <f>P2555</f>
        <v/>
      </c>
      <c r="I2586" s="9">
        <f>Q2555</f>
        <v/>
      </c>
      <c r="J2586" s="7">
        <f>I2586*G2586</f>
        <v/>
      </c>
      <c r="K2586" s="8">
        <f>IF($J$2605=0,0,J2586/$J$2605)</f>
        <v/>
      </c>
      <c r="L2586" s="6" t="inlineStr">
        <is>
          <t>WATCHLIST</t>
        </is>
      </c>
      <c r="M2586" s="8" t="n">
        <v>0</v>
      </c>
      <c r="N2586" s="7">
        <f>M2586*$J$2605-J2586</f>
        <v/>
      </c>
      <c r="O2586" s="9">
        <f>IF(G2586=0,0,N2586/G2586)</f>
        <v/>
      </c>
      <c r="P2586" s="6">
        <f>IF(M2586&gt;0,D2586,"")</f>
        <v/>
      </c>
      <c r="Q2586" s="9">
        <f>I2586+O2586</f>
        <v/>
      </c>
      <c r="R2586" s="7">
        <f>Q2586*G2586</f>
        <v/>
      </c>
      <c r="S2586" s="8">
        <f>IF($R$2605=0,0,R2586/$R$2605)</f>
        <v/>
      </c>
      <c r="T2586" s="8" t="n">
        <v>-0.004847086309741178</v>
      </c>
      <c r="U2586" s="8" t="n">
        <v>-0.004985650191741464</v>
      </c>
      <c r="V2586" s="6" t="inlineStr">
        <is>
          <t>not selected</t>
        </is>
      </c>
    </row>
    <row r="2587">
      <c r="A2587" s="6" t="inlineStr">
        <is>
          <t>DJ30</t>
        </is>
      </c>
      <c r="B2587" s="6" t="inlineStr">
        <is>
          <t>2024-08-09</t>
        </is>
      </c>
      <c r="C2587" s="6" t="inlineStr">
        <is>
          <t>DIA</t>
        </is>
      </c>
      <c r="D2587" s="6" t="inlineStr">
        <is>
          <t>HON</t>
        </is>
      </c>
      <c r="E2587" s="6" t="inlineStr">
        <is>
          <t>HON</t>
        </is>
      </c>
      <c r="F2587" s="6" t="inlineStr">
        <is>
          <t>-</t>
        </is>
      </c>
      <c r="G2587" s="7" t="n">
        <v>179.0773010253906</v>
      </c>
      <c r="H2587" s="6">
        <f>P2556</f>
        <v/>
      </c>
      <c r="I2587" s="9">
        <f>Q2556</f>
        <v/>
      </c>
      <c r="J2587" s="7">
        <f>I2587*G2587</f>
        <v/>
      </c>
      <c r="K2587" s="8">
        <f>IF($J$2605=0,0,J2587/$J$2605)</f>
        <v/>
      </c>
      <c r="L2587" s="6" t="inlineStr">
        <is>
          <t>WATCHLIST</t>
        </is>
      </c>
      <c r="M2587" s="8" t="n">
        <v>0</v>
      </c>
      <c r="N2587" s="7">
        <f>M2587*$J$2605-J2587</f>
        <v/>
      </c>
      <c r="O2587" s="9">
        <f>IF(G2587=0,0,N2587/G2587)</f>
        <v/>
      </c>
      <c r="P2587" s="6">
        <f>IF(M2587&gt;0,D2587,"")</f>
        <v/>
      </c>
      <c r="Q2587" s="9">
        <f>I2587+O2587</f>
        <v/>
      </c>
      <c r="R2587" s="7">
        <f>Q2587*G2587</f>
        <v/>
      </c>
      <c r="S2587" s="8">
        <f>IF($R$2605=0,0,R2587/$R$2605)</f>
        <v/>
      </c>
      <c r="T2587" s="8" t="n">
        <v>-0.004847086309741178</v>
      </c>
      <c r="U2587" s="8" t="n">
        <v>-0.004985650191741464</v>
      </c>
      <c r="V2587" s="6" t="inlineStr">
        <is>
          <t>not selected</t>
        </is>
      </c>
    </row>
    <row r="2588">
      <c r="A2588" s="6" t="inlineStr">
        <is>
          <t>DJ30</t>
        </is>
      </c>
      <c r="B2588" s="6" t="inlineStr">
        <is>
          <t>2024-08-09</t>
        </is>
      </c>
      <c r="C2588" s="6" t="inlineStr">
        <is>
          <t>DIA</t>
        </is>
      </c>
      <c r="D2588" s="6" t="inlineStr">
        <is>
          <t>IBM</t>
        </is>
      </c>
      <c r="E2588" s="6" t="inlineStr">
        <is>
          <t>IBM</t>
        </is>
      </c>
      <c r="F2588" s="6" t="inlineStr">
        <is>
          <t>-</t>
        </is>
      </c>
      <c r="G2588" s="7" t="n">
        <v>182.773681640625</v>
      </c>
      <c r="H2588" s="6">
        <f>P2557</f>
        <v/>
      </c>
      <c r="I2588" s="9">
        <f>Q2557</f>
        <v/>
      </c>
      <c r="J2588" s="7">
        <f>I2588*G2588</f>
        <v/>
      </c>
      <c r="K2588" s="8">
        <f>IF($J$2605=0,0,J2588/$J$2605)</f>
        <v/>
      </c>
      <c r="L2588" s="6" t="inlineStr">
        <is>
          <t>WATCHLIST</t>
        </is>
      </c>
      <c r="M2588" s="8" t="n">
        <v>0</v>
      </c>
      <c r="N2588" s="7">
        <f>M2588*$J$2605-J2588</f>
        <v/>
      </c>
      <c r="O2588" s="9">
        <f>IF(G2588=0,0,N2588/G2588)</f>
        <v/>
      </c>
      <c r="P2588" s="6">
        <f>IF(M2588&gt;0,D2588,"")</f>
        <v/>
      </c>
      <c r="Q2588" s="9">
        <f>I2588+O2588</f>
        <v/>
      </c>
      <c r="R2588" s="7">
        <f>Q2588*G2588</f>
        <v/>
      </c>
      <c r="S2588" s="8">
        <f>IF($R$2605=0,0,R2588/$R$2605)</f>
        <v/>
      </c>
      <c r="T2588" s="8" t="n">
        <v>-0.004847086309741178</v>
      </c>
      <c r="U2588" s="8" t="n">
        <v>-0.004985650191741464</v>
      </c>
      <c r="V2588" s="6" t="inlineStr">
        <is>
          <t>not selected</t>
        </is>
      </c>
    </row>
    <row r="2589">
      <c r="A2589" s="6" t="inlineStr">
        <is>
          <t>DJ30</t>
        </is>
      </c>
      <c r="B2589" s="6" t="inlineStr">
        <is>
          <t>2024-08-09</t>
        </is>
      </c>
      <c r="C2589" s="6" t="inlineStr">
        <is>
          <t>DIA</t>
        </is>
      </c>
      <c r="D2589" s="6" t="inlineStr">
        <is>
          <t>JNJ</t>
        </is>
      </c>
      <c r="E2589" s="6" t="inlineStr">
        <is>
          <t>JNJ</t>
        </is>
      </c>
      <c r="F2589" s="6" t="inlineStr">
        <is>
          <t>-</t>
        </is>
      </c>
      <c r="G2589" s="7" t="n">
        <v>151.7599334716797</v>
      </c>
      <c r="H2589" s="6">
        <f>P2558</f>
        <v/>
      </c>
      <c r="I2589" s="9">
        <f>Q2558</f>
        <v/>
      </c>
      <c r="J2589" s="7">
        <f>I2589*G2589</f>
        <v/>
      </c>
      <c r="K2589" s="8">
        <f>IF($J$2605=0,0,J2589/$J$2605)</f>
        <v/>
      </c>
      <c r="L2589" s="6" t="inlineStr">
        <is>
          <t>REJECTED</t>
        </is>
      </c>
      <c r="M2589" s="8" t="n">
        <v>0</v>
      </c>
      <c r="N2589" s="7">
        <f>M2589*$J$2605-J2589</f>
        <v/>
      </c>
      <c r="O2589" s="9">
        <f>IF(G2589=0,0,N2589/G2589)</f>
        <v/>
      </c>
      <c r="P2589" s="6">
        <f>IF(M2589&gt;0,D2589,"")</f>
        <v/>
      </c>
      <c r="Q2589" s="9">
        <f>I2589+O2589</f>
        <v/>
      </c>
      <c r="R2589" s="7">
        <f>Q2589*G2589</f>
        <v/>
      </c>
      <c r="S2589" s="8">
        <f>IF($R$2605=0,0,R2589/$R$2605)</f>
        <v/>
      </c>
      <c r="T2589" s="8" t="n">
        <v>-0.004847086309741178</v>
      </c>
      <c r="U2589" s="8" t="n">
        <v>-0.004985650191741464</v>
      </c>
      <c r="V2589" s="6" t="inlineStr">
        <is>
          <t>not selected</t>
        </is>
      </c>
    </row>
    <row r="2590">
      <c r="A2590" s="6" t="inlineStr">
        <is>
          <t>DJ30</t>
        </is>
      </c>
      <c r="B2590" s="6" t="inlineStr">
        <is>
          <t>2024-08-09</t>
        </is>
      </c>
      <c r="C2590" s="6" t="inlineStr">
        <is>
          <t>DIA</t>
        </is>
      </c>
      <c r="D2590" s="6" t="inlineStr">
        <is>
          <t>JPM</t>
        </is>
      </c>
      <c r="E2590" s="6" t="inlineStr">
        <is>
          <t>JPM</t>
        </is>
      </c>
      <c r="F2590" s="6" t="inlineStr">
        <is>
          <t>-</t>
        </is>
      </c>
      <c r="G2590" s="7" t="n">
        <v>198.3914794921875</v>
      </c>
      <c r="H2590" s="6">
        <f>P2559</f>
        <v/>
      </c>
      <c r="I2590" s="9">
        <f>Q2559</f>
        <v/>
      </c>
      <c r="J2590" s="7">
        <f>I2590*G2590</f>
        <v/>
      </c>
      <c r="K2590" s="8">
        <f>IF($J$2605=0,0,J2590/$J$2605)</f>
        <v/>
      </c>
      <c r="L2590" s="6" t="inlineStr">
        <is>
          <t>WATCHLIST</t>
        </is>
      </c>
      <c r="M2590" s="8" t="n">
        <v>0</v>
      </c>
      <c r="N2590" s="7">
        <f>M2590*$J$2605-J2590</f>
        <v/>
      </c>
      <c r="O2590" s="9">
        <f>IF(G2590=0,0,N2590/G2590)</f>
        <v/>
      </c>
      <c r="P2590" s="6">
        <f>IF(M2590&gt;0,D2590,"")</f>
        <v/>
      </c>
      <c r="Q2590" s="9">
        <f>I2590+O2590</f>
        <v/>
      </c>
      <c r="R2590" s="7">
        <f>Q2590*G2590</f>
        <v/>
      </c>
      <c r="S2590" s="8">
        <f>IF($R$2605=0,0,R2590/$R$2605)</f>
        <v/>
      </c>
      <c r="T2590" s="8" t="n">
        <v>-0.004847086309741178</v>
      </c>
      <c r="U2590" s="8" t="n">
        <v>-0.004985650191741464</v>
      </c>
      <c r="V2590" s="6" t="inlineStr">
        <is>
          <t>not selected</t>
        </is>
      </c>
    </row>
    <row r="2591">
      <c r="A2591" s="6" t="inlineStr">
        <is>
          <t>DJ30</t>
        </is>
      </c>
      <c r="B2591" s="6" t="inlineStr">
        <is>
          <t>2024-08-09</t>
        </is>
      </c>
      <c r="C2591" s="6" t="inlineStr">
        <is>
          <t>DIA</t>
        </is>
      </c>
      <c r="D2591" s="6" t="inlineStr">
        <is>
          <t>KO</t>
        </is>
      </c>
      <c r="E2591" s="6" t="inlineStr">
        <is>
          <t>KO</t>
        </is>
      </c>
      <c r="F2591" s="6" t="inlineStr">
        <is>
          <t>-</t>
        </is>
      </c>
      <c r="G2591" s="7" t="n">
        <v>64.89076995849609</v>
      </c>
      <c r="H2591" s="6">
        <f>P2560</f>
        <v/>
      </c>
      <c r="I2591" s="9">
        <f>Q2560</f>
        <v/>
      </c>
      <c r="J2591" s="7">
        <f>I2591*G2591</f>
        <v/>
      </c>
      <c r="K2591" s="8">
        <f>IF($J$2605=0,0,J2591/$J$2605)</f>
        <v/>
      </c>
      <c r="L2591" s="6" t="inlineStr">
        <is>
          <t>WATCHLIST</t>
        </is>
      </c>
      <c r="M2591" s="8" t="n">
        <v>0</v>
      </c>
      <c r="N2591" s="7">
        <f>M2591*$J$2605-J2591</f>
        <v/>
      </c>
      <c r="O2591" s="9">
        <f>IF(G2591=0,0,N2591/G2591)</f>
        <v/>
      </c>
      <c r="P2591" s="6">
        <f>IF(M2591&gt;0,D2591,"")</f>
        <v/>
      </c>
      <c r="Q2591" s="9">
        <f>I2591+O2591</f>
        <v/>
      </c>
      <c r="R2591" s="7">
        <f>Q2591*G2591</f>
        <v/>
      </c>
      <c r="S2591" s="8">
        <f>IF($R$2605=0,0,R2591/$R$2605)</f>
        <v/>
      </c>
      <c r="T2591" s="8" t="n">
        <v>-0.004847086309741178</v>
      </c>
      <c r="U2591" s="8" t="n">
        <v>-0.004985650191741464</v>
      </c>
      <c r="V2591" s="6" t="inlineStr">
        <is>
          <t>not selected</t>
        </is>
      </c>
    </row>
    <row r="2592">
      <c r="A2592" s="6" t="inlineStr">
        <is>
          <t>DJ30</t>
        </is>
      </c>
      <c r="B2592" s="6" t="inlineStr">
        <is>
          <t>2024-08-09</t>
        </is>
      </c>
      <c r="C2592" s="6" t="inlineStr">
        <is>
          <t>DIA</t>
        </is>
      </c>
      <c r="D2592" s="6" t="inlineStr">
        <is>
          <t>MCD</t>
        </is>
      </c>
      <c r="E2592" s="6" t="inlineStr">
        <is>
          <t>MCD</t>
        </is>
      </c>
      <c r="F2592" s="6" t="inlineStr">
        <is>
          <t>-</t>
        </is>
      </c>
      <c r="G2592" s="7" t="n">
        <v>255.5619354248047</v>
      </c>
      <c r="H2592" s="6">
        <f>P2561</f>
        <v/>
      </c>
      <c r="I2592" s="9">
        <f>Q2561</f>
        <v/>
      </c>
      <c r="J2592" s="7">
        <f>I2592*G2592</f>
        <v/>
      </c>
      <c r="K2592" s="8">
        <f>IF($J$2605=0,0,J2592/$J$2605)</f>
        <v/>
      </c>
      <c r="L2592" s="6" t="inlineStr">
        <is>
          <t>REJECTED</t>
        </is>
      </c>
      <c r="M2592" s="8" t="n">
        <v>0</v>
      </c>
      <c r="N2592" s="7">
        <f>M2592*$J$2605-J2592</f>
        <v/>
      </c>
      <c r="O2592" s="9">
        <f>IF(G2592=0,0,N2592/G2592)</f>
        <v/>
      </c>
      <c r="P2592" s="6">
        <f>IF(M2592&gt;0,D2592,"")</f>
        <v/>
      </c>
      <c r="Q2592" s="9">
        <f>I2592+O2592</f>
        <v/>
      </c>
      <c r="R2592" s="7">
        <f>Q2592*G2592</f>
        <v/>
      </c>
      <c r="S2592" s="8">
        <f>IF($R$2605=0,0,R2592/$R$2605)</f>
        <v/>
      </c>
      <c r="T2592" s="8" t="n">
        <v>-0.004847086309741178</v>
      </c>
      <c r="U2592" s="8" t="n">
        <v>-0.004985650191741464</v>
      </c>
      <c r="V2592" s="6" t="inlineStr">
        <is>
          <t>not selected</t>
        </is>
      </c>
    </row>
    <row r="2593">
      <c r="A2593" s="6" t="inlineStr">
        <is>
          <t>DJ30</t>
        </is>
      </c>
      <c r="B2593" s="6" t="inlineStr">
        <is>
          <t>2024-08-09</t>
        </is>
      </c>
      <c r="C2593" s="6" t="inlineStr">
        <is>
          <t>DIA</t>
        </is>
      </c>
      <c r="D2593" s="6" t="inlineStr">
        <is>
          <t>MMM</t>
        </is>
      </c>
      <c r="E2593" s="6" t="inlineStr">
        <is>
          <t>MMM</t>
        </is>
      </c>
      <c r="F2593" s="6" t="inlineStr">
        <is>
          <t>-</t>
        </is>
      </c>
      <c r="G2593" s="7" t="n">
        <v>119.4181823730469</v>
      </c>
      <c r="H2593" s="6">
        <f>P2562</f>
        <v/>
      </c>
      <c r="I2593" s="9">
        <f>Q2562</f>
        <v/>
      </c>
      <c r="J2593" s="7">
        <f>I2593*G2593</f>
        <v/>
      </c>
      <c r="K2593" s="8">
        <f>IF($J$2605=0,0,J2593/$J$2605)</f>
        <v/>
      </c>
      <c r="L2593" s="6" t="inlineStr">
        <is>
          <t>SELECTED</t>
        </is>
      </c>
      <c r="M2593" s="8" t="n">
        <v>0.2</v>
      </c>
      <c r="N2593" s="7">
        <f>M2593*$J$2605-J2593</f>
        <v/>
      </c>
      <c r="O2593" s="9">
        <f>IF(G2593=0,0,N2593/G2593)</f>
        <v/>
      </c>
      <c r="P2593" s="6">
        <f>IF(M2593&gt;0,D2593,"")</f>
        <v/>
      </c>
      <c r="Q2593" s="9">
        <f>I2593+O2593</f>
        <v/>
      </c>
      <c r="R2593" s="7">
        <f>Q2593*G2593</f>
        <v/>
      </c>
      <c r="S2593" s="8">
        <f>IF($R$2605=0,0,R2593/$R$2605)</f>
        <v/>
      </c>
      <c r="T2593" s="8" t="n">
        <v>-0.004847086309741178</v>
      </c>
      <c r="U2593" s="8" t="n">
        <v>-0.004985650191741464</v>
      </c>
      <c r="V2593" s="6" t="inlineStr">
        <is>
          <t>entered weekly selection</t>
        </is>
      </c>
    </row>
    <row r="2594">
      <c r="A2594" s="6" t="inlineStr">
        <is>
          <t>DJ30</t>
        </is>
      </c>
      <c r="B2594" s="6" t="inlineStr">
        <is>
          <t>2024-08-09</t>
        </is>
      </c>
      <c r="C2594" s="6" t="inlineStr">
        <is>
          <t>DIA</t>
        </is>
      </c>
      <c r="D2594" s="6" t="inlineStr">
        <is>
          <t>MRK</t>
        </is>
      </c>
      <c r="E2594" s="6" t="inlineStr">
        <is>
          <t>MRK</t>
        </is>
      </c>
      <c r="F2594" s="6" t="inlineStr">
        <is>
          <t>-</t>
        </is>
      </c>
      <c r="G2594" s="7" t="n">
        <v>107.2240600585938</v>
      </c>
      <c r="H2594" s="6">
        <f>P2563</f>
        <v/>
      </c>
      <c r="I2594" s="9">
        <f>Q2563</f>
        <v/>
      </c>
      <c r="J2594" s="7">
        <f>I2594*G2594</f>
        <v/>
      </c>
      <c r="K2594" s="8">
        <f>IF($J$2605=0,0,J2594/$J$2605)</f>
        <v/>
      </c>
      <c r="L2594" s="6" t="inlineStr">
        <is>
          <t>WATCHLIST</t>
        </is>
      </c>
      <c r="M2594" s="8" t="n">
        <v>0</v>
      </c>
      <c r="N2594" s="7">
        <f>M2594*$J$2605-J2594</f>
        <v/>
      </c>
      <c r="O2594" s="9">
        <f>IF(G2594=0,0,N2594/G2594)</f>
        <v/>
      </c>
      <c r="P2594" s="6">
        <f>IF(M2594&gt;0,D2594,"")</f>
        <v/>
      </c>
      <c r="Q2594" s="9">
        <f>I2594+O2594</f>
        <v/>
      </c>
      <c r="R2594" s="7">
        <f>Q2594*G2594</f>
        <v/>
      </c>
      <c r="S2594" s="8">
        <f>IF($R$2605=0,0,R2594/$R$2605)</f>
        <v/>
      </c>
      <c r="T2594" s="8" t="n">
        <v>-0.004847086309741178</v>
      </c>
      <c r="U2594" s="8" t="n">
        <v>-0.004985650191741464</v>
      </c>
      <c r="V2594" s="6" t="inlineStr">
        <is>
          <t>not selected</t>
        </is>
      </c>
    </row>
    <row r="2595">
      <c r="A2595" s="6" t="inlineStr">
        <is>
          <t>DJ30</t>
        </is>
      </c>
      <c r="B2595" s="6" t="inlineStr">
        <is>
          <t>2024-08-09</t>
        </is>
      </c>
      <c r="C2595" s="6" t="inlineStr">
        <is>
          <t>DIA</t>
        </is>
      </c>
      <c r="D2595" s="6" t="inlineStr">
        <is>
          <t>MSFT</t>
        </is>
      </c>
      <c r="E2595" s="6" t="inlineStr">
        <is>
          <t>MSFT</t>
        </is>
      </c>
      <c r="F2595" s="6" t="inlineStr">
        <is>
          <t>-</t>
        </is>
      </c>
      <c r="G2595" s="7" t="n">
        <v>399.73779296875</v>
      </c>
      <c r="H2595" s="6">
        <f>P2564</f>
        <v/>
      </c>
      <c r="I2595" s="9">
        <f>Q2564</f>
        <v/>
      </c>
      <c r="J2595" s="7">
        <f>I2595*G2595</f>
        <v/>
      </c>
      <c r="K2595" s="8">
        <f>IF($J$2605=0,0,J2595/$J$2605)</f>
        <v/>
      </c>
      <c r="L2595" s="6" t="inlineStr">
        <is>
          <t>WATCHLIST</t>
        </is>
      </c>
      <c r="M2595" s="8" t="n">
        <v>0</v>
      </c>
      <c r="N2595" s="7">
        <f>M2595*$J$2605-J2595</f>
        <v/>
      </c>
      <c r="O2595" s="9">
        <f>IF(G2595=0,0,N2595/G2595)</f>
        <v/>
      </c>
      <c r="P2595" s="6">
        <f>IF(M2595&gt;0,D2595,"")</f>
        <v/>
      </c>
      <c r="Q2595" s="9">
        <f>I2595+O2595</f>
        <v/>
      </c>
      <c r="R2595" s="7">
        <f>Q2595*G2595</f>
        <v/>
      </c>
      <c r="S2595" s="8">
        <f>IF($R$2605=0,0,R2595/$R$2605)</f>
        <v/>
      </c>
      <c r="T2595" s="8" t="n">
        <v>-0.004847086309741178</v>
      </c>
      <c r="U2595" s="8" t="n">
        <v>-0.004985650191741464</v>
      </c>
      <c r="V2595" s="6" t="inlineStr">
        <is>
          <t>not selected</t>
        </is>
      </c>
    </row>
    <row r="2596">
      <c r="A2596" s="6" t="inlineStr">
        <is>
          <t>DJ30</t>
        </is>
      </c>
      <c r="B2596" s="6" t="inlineStr">
        <is>
          <t>2024-08-09</t>
        </is>
      </c>
      <c r="C2596" s="6" t="inlineStr">
        <is>
          <t>DIA</t>
        </is>
      </c>
      <c r="D2596" s="6" t="inlineStr">
        <is>
          <t>NKE</t>
        </is>
      </c>
      <c r="E2596" s="6" t="inlineStr">
        <is>
          <t>NKE</t>
        </is>
      </c>
      <c r="F2596" s="6" t="inlineStr">
        <is>
          <t>-</t>
        </is>
      </c>
      <c r="G2596" s="7" t="n">
        <v>70.83574676513672</v>
      </c>
      <c r="H2596" s="6">
        <f>P2565</f>
        <v/>
      </c>
      <c r="I2596" s="9">
        <f>Q2565</f>
        <v/>
      </c>
      <c r="J2596" s="7">
        <f>I2596*G2596</f>
        <v/>
      </c>
      <c r="K2596" s="8">
        <f>IF($J$2605=0,0,J2596/$J$2605)</f>
        <v/>
      </c>
      <c r="L2596" s="6" t="inlineStr">
        <is>
          <t>REJECTED</t>
        </is>
      </c>
      <c r="M2596" s="8" t="n">
        <v>0</v>
      </c>
      <c r="N2596" s="7">
        <f>M2596*$J$2605-J2596</f>
        <v/>
      </c>
      <c r="O2596" s="9">
        <f>IF(G2596=0,0,N2596/G2596)</f>
        <v/>
      </c>
      <c r="P2596" s="6">
        <f>IF(M2596&gt;0,D2596,"")</f>
        <v/>
      </c>
      <c r="Q2596" s="9">
        <f>I2596+O2596</f>
        <v/>
      </c>
      <c r="R2596" s="7">
        <f>Q2596*G2596</f>
        <v/>
      </c>
      <c r="S2596" s="8">
        <f>IF($R$2605=0,0,R2596/$R$2605)</f>
        <v/>
      </c>
      <c r="T2596" s="8" t="n">
        <v>-0.004847086309741178</v>
      </c>
      <c r="U2596" s="8" t="n">
        <v>-0.004985650191741464</v>
      </c>
      <c r="V2596" s="6" t="inlineStr">
        <is>
          <t>not selected</t>
        </is>
      </c>
    </row>
    <row r="2597">
      <c r="A2597" s="6" t="inlineStr">
        <is>
          <t>DJ30</t>
        </is>
      </c>
      <c r="B2597" s="6" t="inlineStr">
        <is>
          <t>2024-08-09</t>
        </is>
      </c>
      <c r="C2597" s="6" t="inlineStr">
        <is>
          <t>DIA</t>
        </is>
      </c>
      <c r="D2597" s="6" t="inlineStr">
        <is>
          <t>NVDA</t>
        </is>
      </c>
      <c r="E2597" s="6" t="inlineStr">
        <is>
          <t>NVDA</t>
        </is>
      </c>
      <c r="F2597" s="6" t="inlineStr">
        <is>
          <t>-</t>
        </is>
      </c>
      <c r="G2597" s="7" t="n">
        <v>104.57763671875</v>
      </c>
      <c r="H2597" s="6">
        <f>P2566</f>
        <v/>
      </c>
      <c r="I2597" s="9">
        <f>Q2566</f>
        <v/>
      </c>
      <c r="J2597" s="7">
        <f>I2597*G2597</f>
        <v/>
      </c>
      <c r="K2597" s="8">
        <f>IF($J$2605=0,0,J2597/$J$2605)</f>
        <v/>
      </c>
      <c r="L2597" s="6" t="inlineStr">
        <is>
          <t>SELECTED</t>
        </is>
      </c>
      <c r="M2597" s="8" t="n">
        <v>0.2</v>
      </c>
      <c r="N2597" s="7">
        <f>M2597*$J$2605-J2597</f>
        <v/>
      </c>
      <c r="O2597" s="9">
        <f>IF(G2597=0,0,N2597/G2597)</f>
        <v/>
      </c>
      <c r="P2597" s="6">
        <f>IF(M2597&gt;0,D2597,"")</f>
        <v/>
      </c>
      <c r="Q2597" s="9">
        <f>I2597+O2597</f>
        <v/>
      </c>
      <c r="R2597" s="7">
        <f>Q2597*G2597</f>
        <v/>
      </c>
      <c r="S2597" s="8">
        <f>IF($R$2605=0,0,R2597/$R$2605)</f>
        <v/>
      </c>
      <c r="T2597" s="8" t="n">
        <v>-0.004847086309741178</v>
      </c>
      <c r="U2597" s="8" t="n">
        <v>-0.004985650191741464</v>
      </c>
      <c r="V2597" s="6" t="inlineStr">
        <is>
          <t>remained in weekly selection</t>
        </is>
      </c>
    </row>
    <row r="2598">
      <c r="A2598" s="6" t="inlineStr">
        <is>
          <t>DJ30</t>
        </is>
      </c>
      <c r="B2598" s="6" t="inlineStr">
        <is>
          <t>2024-08-09</t>
        </is>
      </c>
      <c r="C2598" s="6" t="inlineStr">
        <is>
          <t>DIA</t>
        </is>
      </c>
      <c r="D2598" s="6" t="inlineStr">
        <is>
          <t>PG</t>
        </is>
      </c>
      <c r="E2598" s="6" t="inlineStr">
        <is>
          <t>PG</t>
        </is>
      </c>
      <c r="F2598" s="6" t="inlineStr">
        <is>
          <t>-</t>
        </is>
      </c>
      <c r="G2598" s="7" t="n">
        <v>162.788818359375</v>
      </c>
      <c r="H2598" s="6">
        <f>P2567</f>
        <v/>
      </c>
      <c r="I2598" s="9">
        <f>Q2567</f>
        <v/>
      </c>
      <c r="J2598" s="7">
        <f>I2598*G2598</f>
        <v/>
      </c>
      <c r="K2598" s="8">
        <f>IF($J$2605=0,0,J2598/$J$2605)</f>
        <v/>
      </c>
      <c r="L2598" s="6" t="inlineStr">
        <is>
          <t>WATCHLIST</t>
        </is>
      </c>
      <c r="M2598" s="8" t="n">
        <v>0</v>
      </c>
      <c r="N2598" s="7">
        <f>M2598*$J$2605-J2598</f>
        <v/>
      </c>
      <c r="O2598" s="9">
        <f>IF(G2598=0,0,N2598/G2598)</f>
        <v/>
      </c>
      <c r="P2598" s="6">
        <f>IF(M2598&gt;0,D2598,"")</f>
        <v/>
      </c>
      <c r="Q2598" s="9">
        <f>I2598+O2598</f>
        <v/>
      </c>
      <c r="R2598" s="7">
        <f>Q2598*G2598</f>
        <v/>
      </c>
      <c r="S2598" s="8">
        <f>IF($R$2605=0,0,R2598/$R$2605)</f>
        <v/>
      </c>
      <c r="T2598" s="8" t="n">
        <v>-0.004847086309741178</v>
      </c>
      <c r="U2598" s="8" t="n">
        <v>-0.004985650191741464</v>
      </c>
      <c r="V2598" s="6" t="inlineStr">
        <is>
          <t>not selected</t>
        </is>
      </c>
    </row>
    <row r="2599">
      <c r="A2599" s="6" t="inlineStr">
        <is>
          <t>DJ30</t>
        </is>
      </c>
      <c r="B2599" s="6" t="inlineStr">
        <is>
          <t>2024-08-09</t>
        </is>
      </c>
      <c r="C2599" s="6" t="inlineStr">
        <is>
          <t>DIA</t>
        </is>
      </c>
      <c r="D2599" s="6" t="inlineStr">
        <is>
          <t>SHW</t>
        </is>
      </c>
      <c r="E2599" s="6" t="inlineStr">
        <is>
          <t>SHW</t>
        </is>
      </c>
      <c r="F2599" s="6" t="inlineStr">
        <is>
          <t>-</t>
        </is>
      </c>
      <c r="G2599" s="7" t="n">
        <v>339.63818359375</v>
      </c>
      <c r="H2599" s="6">
        <f>P2568</f>
        <v/>
      </c>
      <c r="I2599" s="9">
        <f>Q2568</f>
        <v/>
      </c>
      <c r="J2599" s="7">
        <f>I2599*G2599</f>
        <v/>
      </c>
      <c r="K2599" s="8">
        <f>IF($J$2605=0,0,J2599/$J$2605)</f>
        <v/>
      </c>
      <c r="L2599" s="6" t="inlineStr">
        <is>
          <t>WATCHLIST</t>
        </is>
      </c>
      <c r="M2599" s="8" t="n">
        <v>0</v>
      </c>
      <c r="N2599" s="7">
        <f>M2599*$J$2605-J2599</f>
        <v/>
      </c>
      <c r="O2599" s="9">
        <f>IF(G2599=0,0,N2599/G2599)</f>
        <v/>
      </c>
      <c r="P2599" s="6">
        <f>IF(M2599&gt;0,D2599,"")</f>
        <v/>
      </c>
      <c r="Q2599" s="9">
        <f>I2599+O2599</f>
        <v/>
      </c>
      <c r="R2599" s="7">
        <f>Q2599*G2599</f>
        <v/>
      </c>
      <c r="S2599" s="8">
        <f>IF($R$2605=0,0,R2599/$R$2605)</f>
        <v/>
      </c>
      <c r="T2599" s="8" t="n">
        <v>-0.004847086309741178</v>
      </c>
      <c r="U2599" s="8" t="n">
        <v>-0.004985650191741464</v>
      </c>
      <c r="V2599" s="6" t="inlineStr">
        <is>
          <t>not selected</t>
        </is>
      </c>
    </row>
    <row r="2600">
      <c r="A2600" s="6" t="inlineStr">
        <is>
          <t>DJ30</t>
        </is>
      </c>
      <c r="B2600" s="6" t="inlineStr">
        <is>
          <t>2024-08-09</t>
        </is>
      </c>
      <c r="C2600" s="6" t="inlineStr">
        <is>
          <t>DIA</t>
        </is>
      </c>
      <c r="D2600" s="6" t="inlineStr">
        <is>
          <t>TRV</t>
        </is>
      </c>
      <c r="E2600" s="6" t="inlineStr">
        <is>
          <t>TRV</t>
        </is>
      </c>
      <c r="F2600" s="6" t="inlineStr">
        <is>
          <t>-</t>
        </is>
      </c>
      <c r="G2600" s="7" t="n">
        <v>205.6803588867188</v>
      </c>
      <c r="H2600" s="6">
        <f>P2569</f>
        <v/>
      </c>
      <c r="I2600" s="9">
        <f>Q2569</f>
        <v/>
      </c>
      <c r="J2600" s="7">
        <f>I2600*G2600</f>
        <v/>
      </c>
      <c r="K2600" s="8">
        <f>IF($J$2605=0,0,J2600/$J$2605)</f>
        <v/>
      </c>
      <c r="L2600" s="6" t="inlineStr">
        <is>
          <t>WATCHLIST</t>
        </is>
      </c>
      <c r="M2600" s="8" t="n">
        <v>0</v>
      </c>
      <c r="N2600" s="7">
        <f>M2600*$J$2605-J2600</f>
        <v/>
      </c>
      <c r="O2600" s="9">
        <f>IF(G2600=0,0,N2600/G2600)</f>
        <v/>
      </c>
      <c r="P2600" s="6">
        <f>IF(M2600&gt;0,D2600,"")</f>
        <v/>
      </c>
      <c r="Q2600" s="9">
        <f>I2600+O2600</f>
        <v/>
      </c>
      <c r="R2600" s="7">
        <f>Q2600*G2600</f>
        <v/>
      </c>
      <c r="S2600" s="8">
        <f>IF($R$2605=0,0,R2600/$R$2605)</f>
        <v/>
      </c>
      <c r="T2600" s="8" t="n">
        <v>-0.004847086309741178</v>
      </c>
      <c r="U2600" s="8" t="n">
        <v>-0.004985650191741464</v>
      </c>
      <c r="V2600" s="6" t="inlineStr">
        <is>
          <t>removed from weekly selection</t>
        </is>
      </c>
    </row>
    <row r="2601">
      <c r="A2601" s="6" t="inlineStr">
        <is>
          <t>DJ30</t>
        </is>
      </c>
      <c r="B2601" s="6" t="inlineStr">
        <is>
          <t>2024-08-09</t>
        </is>
      </c>
      <c r="C2601" s="6" t="inlineStr">
        <is>
          <t>DIA</t>
        </is>
      </c>
      <c r="D2601" s="6" t="inlineStr">
        <is>
          <t>UNH</t>
        </is>
      </c>
      <c r="E2601" s="6" t="inlineStr">
        <is>
          <t>UNH</t>
        </is>
      </c>
      <c r="F2601" s="6" t="inlineStr">
        <is>
          <t>-</t>
        </is>
      </c>
      <c r="G2601" s="7" t="n">
        <v>534.1006469726562</v>
      </c>
      <c r="H2601" s="6">
        <f>P2570</f>
        <v/>
      </c>
      <c r="I2601" s="9">
        <f>Q2570</f>
        <v/>
      </c>
      <c r="J2601" s="7">
        <f>I2601*G2601</f>
        <v/>
      </c>
      <c r="K2601" s="8">
        <f>IF($J$2605=0,0,J2601/$J$2605)</f>
        <v/>
      </c>
      <c r="L2601" s="6" t="inlineStr">
        <is>
          <t>REJECTED</t>
        </is>
      </c>
      <c r="M2601" s="8" t="n">
        <v>0</v>
      </c>
      <c r="N2601" s="7">
        <f>M2601*$J$2605-J2601</f>
        <v/>
      </c>
      <c r="O2601" s="9">
        <f>IF(G2601=0,0,N2601/G2601)</f>
        <v/>
      </c>
      <c r="P2601" s="6">
        <f>IF(M2601&gt;0,D2601,"")</f>
        <v/>
      </c>
      <c r="Q2601" s="9">
        <f>I2601+O2601</f>
        <v/>
      </c>
      <c r="R2601" s="7">
        <f>Q2601*G2601</f>
        <v/>
      </c>
      <c r="S2601" s="8">
        <f>IF($R$2605=0,0,R2601/$R$2605)</f>
        <v/>
      </c>
      <c r="T2601" s="8" t="n">
        <v>-0.004847086309741178</v>
      </c>
      <c r="U2601" s="8" t="n">
        <v>-0.004985650191741464</v>
      </c>
      <c r="V2601" s="6" t="inlineStr">
        <is>
          <t>not selected</t>
        </is>
      </c>
    </row>
    <row r="2602">
      <c r="A2602" s="6" t="inlineStr">
        <is>
          <t>DJ30</t>
        </is>
      </c>
      <c r="B2602" s="6" t="inlineStr">
        <is>
          <t>2024-08-09</t>
        </is>
      </c>
      <c r="C2602" s="6" t="inlineStr">
        <is>
          <t>DIA</t>
        </is>
      </c>
      <c r="D2602" s="6" t="inlineStr">
        <is>
          <t>V</t>
        </is>
      </c>
      <c r="E2602" s="6" t="inlineStr">
        <is>
          <t>V</t>
        </is>
      </c>
      <c r="F2602" s="6" t="inlineStr">
        <is>
          <t>-</t>
        </is>
      </c>
      <c r="G2602" s="7" t="n">
        <v>256.3773193359375</v>
      </c>
      <c r="H2602" s="6">
        <f>P2571</f>
        <v/>
      </c>
      <c r="I2602" s="9">
        <f>Q2571</f>
        <v/>
      </c>
      <c r="J2602" s="7">
        <f>I2602*G2602</f>
        <v/>
      </c>
      <c r="K2602" s="8">
        <f>IF($J$2605=0,0,J2602/$J$2605)</f>
        <v/>
      </c>
      <c r="L2602" s="6" t="inlineStr">
        <is>
          <t>WATCHLIST</t>
        </is>
      </c>
      <c r="M2602" s="8" t="n">
        <v>0</v>
      </c>
      <c r="N2602" s="7">
        <f>M2602*$J$2605-J2602</f>
        <v/>
      </c>
      <c r="O2602" s="9">
        <f>IF(G2602=0,0,N2602/G2602)</f>
        <v/>
      </c>
      <c r="P2602" s="6">
        <f>IF(M2602&gt;0,D2602,"")</f>
        <v/>
      </c>
      <c r="Q2602" s="9">
        <f>I2602+O2602</f>
        <v/>
      </c>
      <c r="R2602" s="7">
        <f>Q2602*G2602</f>
        <v/>
      </c>
      <c r="S2602" s="8">
        <f>IF($R$2605=0,0,R2602/$R$2605)</f>
        <v/>
      </c>
      <c r="T2602" s="8" t="n">
        <v>-0.004847086309741178</v>
      </c>
      <c r="U2602" s="8" t="n">
        <v>-0.004985650191741464</v>
      </c>
      <c r="V2602" s="6" t="inlineStr">
        <is>
          <t>not selected</t>
        </is>
      </c>
    </row>
    <row r="2603">
      <c r="A2603" s="6" t="inlineStr">
        <is>
          <t>DJ30</t>
        </is>
      </c>
      <c r="B2603" s="6" t="inlineStr">
        <is>
          <t>2024-08-09</t>
        </is>
      </c>
      <c r="C2603" s="6" t="inlineStr">
        <is>
          <t>DIA</t>
        </is>
      </c>
      <c r="D2603" s="6" t="inlineStr">
        <is>
          <t>VZ</t>
        </is>
      </c>
      <c r="E2603" s="6" t="inlineStr">
        <is>
          <t>VZ</t>
        </is>
      </c>
      <c r="F2603" s="6" t="inlineStr">
        <is>
          <t>-</t>
        </is>
      </c>
      <c r="G2603" s="7" t="n">
        <v>36.3521614074707</v>
      </c>
      <c r="H2603" s="6">
        <f>P2572</f>
        <v/>
      </c>
      <c r="I2603" s="9">
        <f>Q2572</f>
        <v/>
      </c>
      <c r="J2603" s="7">
        <f>I2603*G2603</f>
        <v/>
      </c>
      <c r="K2603" s="8">
        <f>IF($J$2605=0,0,J2603/$J$2605)</f>
        <v/>
      </c>
      <c r="L2603" s="6" t="inlineStr">
        <is>
          <t>WATCHLIST</t>
        </is>
      </c>
      <c r="M2603" s="8" t="n">
        <v>0</v>
      </c>
      <c r="N2603" s="7">
        <f>M2603*$J$2605-J2603</f>
        <v/>
      </c>
      <c r="O2603" s="9">
        <f>IF(G2603=0,0,N2603/G2603)</f>
        <v/>
      </c>
      <c r="P2603" s="6">
        <f>IF(M2603&gt;0,D2603,"")</f>
        <v/>
      </c>
      <c r="Q2603" s="9">
        <f>I2603+O2603</f>
        <v/>
      </c>
      <c r="R2603" s="7">
        <f>Q2603*G2603</f>
        <v/>
      </c>
      <c r="S2603" s="8">
        <f>IF($R$2605=0,0,R2603/$R$2605)</f>
        <v/>
      </c>
      <c r="T2603" s="8" t="n">
        <v>-0.004847086309741178</v>
      </c>
      <c r="U2603" s="8" t="n">
        <v>-0.004985650191741464</v>
      </c>
      <c r="V2603" s="6" t="inlineStr">
        <is>
          <t>not selected</t>
        </is>
      </c>
    </row>
    <row r="2604">
      <c r="A2604" s="6" t="inlineStr">
        <is>
          <t>DJ30</t>
        </is>
      </c>
      <c r="B2604" s="6" t="inlineStr">
        <is>
          <t>2024-08-09</t>
        </is>
      </c>
      <c r="C2604" s="6" t="inlineStr">
        <is>
          <t>DIA</t>
        </is>
      </c>
      <c r="D2604" s="6" t="inlineStr">
        <is>
          <t>WMT</t>
        </is>
      </c>
      <c r="E2604" s="6" t="inlineStr">
        <is>
          <t>WMT</t>
        </is>
      </c>
      <c r="F2604" s="6" t="inlineStr">
        <is>
          <t>-</t>
        </is>
      </c>
      <c r="G2604" s="7" t="n">
        <v>66.70162200927734</v>
      </c>
      <c r="H2604" s="6">
        <f>P2573</f>
        <v/>
      </c>
      <c r="I2604" s="9">
        <f>Q2573</f>
        <v/>
      </c>
      <c r="J2604" s="7">
        <f>I2604*G2604</f>
        <v/>
      </c>
      <c r="K2604" s="8">
        <f>IF($J$2605=0,0,J2604/$J$2605)</f>
        <v/>
      </c>
      <c r="L2604" s="6" t="inlineStr">
        <is>
          <t>SELECTED</t>
        </is>
      </c>
      <c r="M2604" s="8" t="n">
        <v>0.2</v>
      </c>
      <c r="N2604" s="7">
        <f>M2604*$J$2605-J2604</f>
        <v/>
      </c>
      <c r="O2604" s="9">
        <f>IF(G2604=0,0,N2604/G2604)</f>
        <v/>
      </c>
      <c r="P2604" s="6">
        <f>IF(M2604&gt;0,D2604,"")</f>
        <v/>
      </c>
      <c r="Q2604" s="9">
        <f>I2604+O2604</f>
        <v/>
      </c>
      <c r="R2604" s="7">
        <f>Q2604*G2604</f>
        <v/>
      </c>
      <c r="S2604" s="8">
        <f>IF($R$2605=0,0,R2604/$R$2605)</f>
        <v/>
      </c>
      <c r="T2604" s="8" t="n">
        <v>-0.004847086309741178</v>
      </c>
      <c r="U2604" s="8" t="n">
        <v>-0.004985650191741464</v>
      </c>
      <c r="V2604" s="6" t="inlineStr">
        <is>
          <t>remained in weekly selection</t>
        </is>
      </c>
    </row>
    <row r="2605">
      <c r="A2605" s="10" t="inlineStr">
        <is>
          <t>DJ30</t>
        </is>
      </c>
      <c r="B2605" s="10" t="inlineStr">
        <is>
          <t>2024-08-09</t>
        </is>
      </c>
      <c r="C2605" s="10" t="inlineStr">
        <is>
          <t>DIA</t>
        </is>
      </c>
      <c r="D2605" s="10" t="inlineStr">
        <is>
          <t>Tot Portfolio</t>
        </is>
      </c>
      <c r="E2605" s="10" t="inlineStr"/>
      <c r="F2605" s="10" t="inlineStr"/>
      <c r="G2605" s="11" t="inlineStr"/>
      <c r="H2605" s="10" t="inlineStr"/>
      <c r="I2605" s="12" t="inlineStr"/>
      <c r="J2605" s="11">
        <f>SUM(J2575:J2604)</f>
        <v/>
      </c>
      <c r="K2605" s="13">
        <f>SUM(K2575:K2604)</f>
        <v/>
      </c>
      <c r="L2605" s="10" t="inlineStr">
        <is>
          <t>TOTAL</t>
        </is>
      </c>
      <c r="M2605" s="13">
        <f>SUM(M2575:M2604)</f>
        <v/>
      </c>
      <c r="N2605" s="11">
        <f>SUM(N2575:N2604)</f>
        <v/>
      </c>
      <c r="O2605" s="12">
        <f>SUM(O2575:O2604)</f>
        <v/>
      </c>
      <c r="P2605" s="10" t="inlineStr"/>
      <c r="Q2605" s="12" t="inlineStr"/>
      <c r="R2605" s="11">
        <f>SUM(R2575:R2604)</f>
        <v/>
      </c>
      <c r="S2605" s="13">
        <f>SUM(S2575:S2604)</f>
        <v/>
      </c>
      <c r="T2605" s="13" t="n">
        <v>-0.004847086309741178</v>
      </c>
      <c r="U2605" s="13" t="n">
        <v>-0.004985650191741464</v>
      </c>
      <c r="V2605" s="10" t="inlineStr"/>
    </row>
    <row r="2606">
      <c r="A2606" s="6" t="inlineStr">
        <is>
          <t>DJ30</t>
        </is>
      </c>
      <c r="B2606" s="6" t="inlineStr">
        <is>
          <t>2024-08-16</t>
        </is>
      </c>
      <c r="C2606" s="6" t="inlineStr">
        <is>
          <t>DIA</t>
        </is>
      </c>
      <c r="D2606" s="6" t="inlineStr">
        <is>
          <t>AAPL</t>
        </is>
      </c>
      <c r="E2606" s="6" t="inlineStr">
        <is>
          <t>AAPL</t>
        </is>
      </c>
      <c r="F2606" s="6" t="inlineStr">
        <is>
          <t>-</t>
        </is>
      </c>
      <c r="G2606" s="7" t="n">
        <v>224.3680877685547</v>
      </c>
      <c r="H2606" s="6">
        <f>P2575</f>
        <v/>
      </c>
      <c r="I2606" s="9">
        <f>Q2575</f>
        <v/>
      </c>
      <c r="J2606" s="7">
        <f>I2606*G2606</f>
        <v/>
      </c>
      <c r="K2606" s="8">
        <f>IF($J$2636=0,0,J2606/$J$2636)</f>
        <v/>
      </c>
      <c r="L2606" s="6" t="inlineStr">
        <is>
          <t>WATCHLIST</t>
        </is>
      </c>
      <c r="M2606" s="8" t="n">
        <v>0</v>
      </c>
      <c r="N2606" s="7">
        <f>M2606*$J$2636-J2606</f>
        <v/>
      </c>
      <c r="O2606" s="9">
        <f>IF(G2606=0,0,N2606/G2606)</f>
        <v/>
      </c>
      <c r="P2606" s="6">
        <f>IF(M2606&gt;0,D2606,"")</f>
        <v/>
      </c>
      <c r="Q2606" s="9">
        <f>I2606+O2606</f>
        <v/>
      </c>
      <c r="R2606" s="7">
        <f>Q2606*G2606</f>
        <v/>
      </c>
      <c r="S2606" s="8">
        <f>IF($R$2636=0,0,R2606/$R$2636)</f>
        <v/>
      </c>
      <c r="T2606" s="8" t="n">
        <v>0.08268350682230374</v>
      </c>
      <c r="U2606" s="8" t="n">
        <v>0.03016061555773741</v>
      </c>
      <c r="V2606" s="6" t="inlineStr">
        <is>
          <t>not selected</t>
        </is>
      </c>
    </row>
    <row r="2607">
      <c r="A2607" s="6" t="inlineStr">
        <is>
          <t>DJ30</t>
        </is>
      </c>
      <c r="B2607" s="6" t="inlineStr">
        <is>
          <t>2024-08-16</t>
        </is>
      </c>
      <c r="C2607" s="6" t="inlineStr">
        <is>
          <t>DIA</t>
        </is>
      </c>
      <c r="D2607" s="6" t="inlineStr">
        <is>
          <t>AMGN</t>
        </is>
      </c>
      <c r="E2607" s="6" t="inlineStr">
        <is>
          <t>AMGN</t>
        </is>
      </c>
      <c r="F2607" s="6" t="inlineStr">
        <is>
          <t>-</t>
        </is>
      </c>
      <c r="G2607" s="7" t="n">
        <v>304.4131469726562</v>
      </c>
      <c r="H2607" s="6">
        <f>P2576</f>
        <v/>
      </c>
      <c r="I2607" s="9">
        <f>Q2576</f>
        <v/>
      </c>
      <c r="J2607" s="7">
        <f>I2607*G2607</f>
        <v/>
      </c>
      <c r="K2607" s="8">
        <f>IF($J$2636=0,0,J2607/$J$2636)</f>
        <v/>
      </c>
      <c r="L2607" s="6" t="inlineStr">
        <is>
          <t>WATCHLIST</t>
        </is>
      </c>
      <c r="M2607" s="8" t="n">
        <v>0</v>
      </c>
      <c r="N2607" s="7">
        <f>M2607*$J$2636-J2607</f>
        <v/>
      </c>
      <c r="O2607" s="9">
        <f>IF(G2607=0,0,N2607/G2607)</f>
        <v/>
      </c>
      <c r="P2607" s="6">
        <f>IF(M2607&gt;0,D2607,"")</f>
        <v/>
      </c>
      <c r="Q2607" s="9">
        <f>I2607+O2607</f>
        <v/>
      </c>
      <c r="R2607" s="7">
        <f>Q2607*G2607</f>
        <v/>
      </c>
      <c r="S2607" s="8">
        <f>IF($R$2636=0,0,R2607/$R$2636)</f>
        <v/>
      </c>
      <c r="T2607" s="8" t="n">
        <v>0.08268350682230374</v>
      </c>
      <c r="U2607" s="8" t="n">
        <v>0.03016061555773741</v>
      </c>
      <c r="V2607" s="6" t="inlineStr">
        <is>
          <t>not selected</t>
        </is>
      </c>
    </row>
    <row r="2608">
      <c r="A2608" s="6" t="inlineStr">
        <is>
          <t>DJ30</t>
        </is>
      </c>
      <c r="B2608" s="6" t="inlineStr">
        <is>
          <t>2024-08-16</t>
        </is>
      </c>
      <c r="C2608" s="6" t="inlineStr">
        <is>
          <t>DIA</t>
        </is>
      </c>
      <c r="D2608" s="6" t="inlineStr">
        <is>
          <t>AMZN</t>
        </is>
      </c>
      <c r="E2608" s="6" t="inlineStr">
        <is>
          <t>AMZN</t>
        </is>
      </c>
      <c r="F2608" s="6" t="inlineStr">
        <is>
          <t>-</t>
        </is>
      </c>
      <c r="G2608" s="7" t="n">
        <v>177.0599975585938</v>
      </c>
      <c r="H2608" s="6">
        <f>P2577</f>
        <v/>
      </c>
      <c r="I2608" s="9">
        <f>Q2577</f>
        <v/>
      </c>
      <c r="J2608" s="7">
        <f>I2608*G2608</f>
        <v/>
      </c>
      <c r="K2608" s="8">
        <f>IF($J$2636=0,0,J2608/$J$2636)</f>
        <v/>
      </c>
      <c r="L2608" s="6" t="inlineStr">
        <is>
          <t>WATCHLIST</t>
        </is>
      </c>
      <c r="M2608" s="8" t="n">
        <v>0</v>
      </c>
      <c r="N2608" s="7">
        <f>M2608*$J$2636-J2608</f>
        <v/>
      </c>
      <c r="O2608" s="9">
        <f>IF(G2608=0,0,N2608/G2608)</f>
        <v/>
      </c>
      <c r="P2608" s="6">
        <f>IF(M2608&gt;0,D2608,"")</f>
        <v/>
      </c>
      <c r="Q2608" s="9">
        <f>I2608+O2608</f>
        <v/>
      </c>
      <c r="R2608" s="7">
        <f>Q2608*G2608</f>
        <v/>
      </c>
      <c r="S2608" s="8">
        <f>IF($R$2636=0,0,R2608/$R$2636)</f>
        <v/>
      </c>
      <c r="T2608" s="8" t="n">
        <v>0.08268350682230374</v>
      </c>
      <c r="U2608" s="8" t="n">
        <v>0.03016061555773741</v>
      </c>
      <c r="V2608" s="6" t="inlineStr">
        <is>
          <t>removed from weekly selection</t>
        </is>
      </c>
    </row>
    <row r="2609">
      <c r="A2609" s="6" t="inlineStr">
        <is>
          <t>DJ30</t>
        </is>
      </c>
      <c r="B2609" s="6" t="inlineStr">
        <is>
          <t>2024-08-16</t>
        </is>
      </c>
      <c r="C2609" s="6" t="inlineStr">
        <is>
          <t>DIA</t>
        </is>
      </c>
      <c r="D2609" s="6" t="inlineStr">
        <is>
          <t>AXP</t>
        </is>
      </c>
      <c r="E2609" s="6" t="inlineStr">
        <is>
          <t>AXP</t>
        </is>
      </c>
      <c r="F2609" s="6" t="inlineStr">
        <is>
          <t>-</t>
        </is>
      </c>
      <c r="G2609" s="7" t="n">
        <v>247.0467987060547</v>
      </c>
      <c r="H2609" s="6">
        <f>P2578</f>
        <v/>
      </c>
      <c r="I2609" s="9">
        <f>Q2578</f>
        <v/>
      </c>
      <c r="J2609" s="7">
        <f>I2609*G2609</f>
        <v/>
      </c>
      <c r="K2609" s="8">
        <f>IF($J$2636=0,0,J2609/$J$2636)</f>
        <v/>
      </c>
      <c r="L2609" s="6" t="inlineStr">
        <is>
          <t>SELECTED</t>
        </is>
      </c>
      <c r="M2609" s="8" t="n">
        <v>0.2</v>
      </c>
      <c r="N2609" s="7">
        <f>M2609*$J$2636-J2609</f>
        <v/>
      </c>
      <c r="O2609" s="9">
        <f>IF(G2609=0,0,N2609/G2609)</f>
        <v/>
      </c>
      <c r="P2609" s="6">
        <f>IF(M2609&gt;0,D2609,"")</f>
        <v/>
      </c>
      <c r="Q2609" s="9">
        <f>I2609+O2609</f>
        <v/>
      </c>
      <c r="R2609" s="7">
        <f>Q2609*G2609</f>
        <v/>
      </c>
      <c r="S2609" s="8">
        <f>IF($R$2636=0,0,R2609/$R$2636)</f>
        <v/>
      </c>
      <c r="T2609" s="8" t="n">
        <v>0.08268350682230374</v>
      </c>
      <c r="U2609" s="8" t="n">
        <v>0.03016061555773741</v>
      </c>
      <c r="V2609" s="6" t="inlineStr">
        <is>
          <t>remained in weekly selection</t>
        </is>
      </c>
    </row>
    <row r="2610">
      <c r="A2610" s="6" t="inlineStr">
        <is>
          <t>DJ30</t>
        </is>
      </c>
      <c r="B2610" s="6" t="inlineStr">
        <is>
          <t>2024-08-16</t>
        </is>
      </c>
      <c r="C2610" s="6" t="inlineStr">
        <is>
          <t>DIA</t>
        </is>
      </c>
      <c r="D2610" s="6" t="inlineStr">
        <is>
          <t>BA</t>
        </is>
      </c>
      <c r="E2610" s="6" t="inlineStr">
        <is>
          <t>BA</t>
        </is>
      </c>
      <c r="F2610" s="6" t="inlineStr">
        <is>
          <t>-</t>
        </is>
      </c>
      <c r="G2610" s="7" t="n">
        <v>179.9900054931641</v>
      </c>
      <c r="H2610" s="6">
        <f>P2579</f>
        <v/>
      </c>
      <c r="I2610" s="9">
        <f>Q2579</f>
        <v/>
      </c>
      <c r="J2610" s="7">
        <f>I2610*G2610</f>
        <v/>
      </c>
      <c r="K2610" s="8">
        <f>IF($J$2636=0,0,J2610/$J$2636)</f>
        <v/>
      </c>
      <c r="L2610" s="6" t="inlineStr">
        <is>
          <t>REJECTED</t>
        </is>
      </c>
      <c r="M2610" s="8" t="n">
        <v>0</v>
      </c>
      <c r="N2610" s="7">
        <f>M2610*$J$2636-J2610</f>
        <v/>
      </c>
      <c r="O2610" s="9">
        <f>IF(G2610=0,0,N2610/G2610)</f>
        <v/>
      </c>
      <c r="P2610" s="6">
        <f>IF(M2610&gt;0,D2610,"")</f>
        <v/>
      </c>
      <c r="Q2610" s="9">
        <f>I2610+O2610</f>
        <v/>
      </c>
      <c r="R2610" s="7">
        <f>Q2610*G2610</f>
        <v/>
      </c>
      <c r="S2610" s="8">
        <f>IF($R$2636=0,0,R2610/$R$2636)</f>
        <v/>
      </c>
      <c r="T2610" s="8" t="n">
        <v>0.08268350682230374</v>
      </c>
      <c r="U2610" s="8" t="n">
        <v>0.03016061555773741</v>
      </c>
      <c r="V2610" s="6" t="inlineStr">
        <is>
          <t>not selected</t>
        </is>
      </c>
    </row>
    <row r="2611">
      <c r="A2611" s="6" t="inlineStr">
        <is>
          <t>DJ30</t>
        </is>
      </c>
      <c r="B2611" s="6" t="inlineStr">
        <is>
          <t>2024-08-16</t>
        </is>
      </c>
      <c r="C2611" s="6" t="inlineStr">
        <is>
          <t>DIA</t>
        </is>
      </c>
      <c r="D2611" s="6" t="inlineStr">
        <is>
          <t>CAT</t>
        </is>
      </c>
      <c r="E2611" s="6" t="inlineStr">
        <is>
          <t>CAT</t>
        </is>
      </c>
      <c r="F2611" s="6" t="inlineStr">
        <is>
          <t>-</t>
        </is>
      </c>
      <c r="G2611" s="7" t="n">
        <v>335.7327270507812</v>
      </c>
      <c r="H2611" s="6">
        <f>P2580</f>
        <v/>
      </c>
      <c r="I2611" s="9">
        <f>Q2580</f>
        <v/>
      </c>
      <c r="J2611" s="7">
        <f>I2611*G2611</f>
        <v/>
      </c>
      <c r="K2611" s="8">
        <f>IF($J$2636=0,0,J2611/$J$2636)</f>
        <v/>
      </c>
      <c r="L2611" s="6" t="inlineStr">
        <is>
          <t>WATCHLIST</t>
        </is>
      </c>
      <c r="M2611" s="8" t="n">
        <v>0</v>
      </c>
      <c r="N2611" s="7">
        <f>M2611*$J$2636-J2611</f>
        <v/>
      </c>
      <c r="O2611" s="9">
        <f>IF(G2611=0,0,N2611/G2611)</f>
        <v/>
      </c>
      <c r="P2611" s="6">
        <f>IF(M2611&gt;0,D2611,"")</f>
        <v/>
      </c>
      <c r="Q2611" s="9">
        <f>I2611+O2611</f>
        <v/>
      </c>
      <c r="R2611" s="7">
        <f>Q2611*G2611</f>
        <v/>
      </c>
      <c r="S2611" s="8">
        <f>IF($R$2636=0,0,R2611/$R$2636)</f>
        <v/>
      </c>
      <c r="T2611" s="8" t="n">
        <v>0.08268350682230374</v>
      </c>
      <c r="U2611" s="8" t="n">
        <v>0.03016061555773741</v>
      </c>
      <c r="V2611" s="6" t="inlineStr">
        <is>
          <t>not selected</t>
        </is>
      </c>
    </row>
    <row r="2612">
      <c r="A2612" s="6" t="inlineStr">
        <is>
          <t>DJ30</t>
        </is>
      </c>
      <c r="B2612" s="6" t="inlineStr">
        <is>
          <t>2024-08-16</t>
        </is>
      </c>
      <c r="C2612" s="6" t="inlineStr">
        <is>
          <t>DIA</t>
        </is>
      </c>
      <c r="D2612" s="6" t="inlineStr">
        <is>
          <t>CRM</t>
        </is>
      </c>
      <c r="E2612" s="6" t="inlineStr">
        <is>
          <t>CRM</t>
        </is>
      </c>
      <c r="F2612" s="6" t="inlineStr">
        <is>
          <t>-</t>
        </is>
      </c>
      <c r="G2612" s="7" t="n">
        <v>259.1793212890625</v>
      </c>
      <c r="H2612" s="6">
        <f>P2581</f>
        <v/>
      </c>
      <c r="I2612" s="9">
        <f>Q2581</f>
        <v/>
      </c>
      <c r="J2612" s="7">
        <f>I2612*G2612</f>
        <v/>
      </c>
      <c r="K2612" s="8">
        <f>IF($J$2636=0,0,J2612/$J$2636)</f>
        <v/>
      </c>
      <c r="L2612" s="6" t="inlineStr">
        <is>
          <t>REJECTED</t>
        </is>
      </c>
      <c r="M2612" s="8" t="n">
        <v>0</v>
      </c>
      <c r="N2612" s="7">
        <f>M2612*$J$2636-J2612</f>
        <v/>
      </c>
      <c r="O2612" s="9">
        <f>IF(G2612=0,0,N2612/G2612)</f>
        <v/>
      </c>
      <c r="P2612" s="6">
        <f>IF(M2612&gt;0,D2612,"")</f>
        <v/>
      </c>
      <c r="Q2612" s="9">
        <f>I2612+O2612</f>
        <v/>
      </c>
      <c r="R2612" s="7">
        <f>Q2612*G2612</f>
        <v/>
      </c>
      <c r="S2612" s="8">
        <f>IF($R$2636=0,0,R2612/$R$2636)</f>
        <v/>
      </c>
      <c r="T2612" s="8" t="n">
        <v>0.08268350682230374</v>
      </c>
      <c r="U2612" s="8" t="n">
        <v>0.03016061555773741</v>
      </c>
      <c r="V2612" s="6" t="inlineStr">
        <is>
          <t>not selected</t>
        </is>
      </c>
    </row>
    <row r="2613">
      <c r="A2613" s="6" t="inlineStr">
        <is>
          <t>DJ30</t>
        </is>
      </c>
      <c r="B2613" s="6" t="inlineStr">
        <is>
          <t>2024-08-16</t>
        </is>
      </c>
      <c r="C2613" s="6" t="inlineStr">
        <is>
          <t>DIA</t>
        </is>
      </c>
      <c r="D2613" s="6" t="inlineStr">
        <is>
          <t>CSCO</t>
        </is>
      </c>
      <c r="E2613" s="6" t="inlineStr">
        <is>
          <t>CSCO</t>
        </is>
      </c>
      <c r="F2613" s="6" t="inlineStr">
        <is>
          <t>-</t>
        </is>
      </c>
      <c r="G2613" s="7" t="n">
        <v>47.33969497680664</v>
      </c>
      <c r="H2613" s="6">
        <f>P2582</f>
        <v/>
      </c>
      <c r="I2613" s="9">
        <f>Q2582</f>
        <v/>
      </c>
      <c r="J2613" s="7">
        <f>I2613*G2613</f>
        <v/>
      </c>
      <c r="K2613" s="8">
        <f>IF($J$2636=0,0,J2613/$J$2636)</f>
        <v/>
      </c>
      <c r="L2613" s="6" t="inlineStr">
        <is>
          <t>REJECTED</t>
        </is>
      </c>
      <c r="M2613" s="8" t="n">
        <v>0</v>
      </c>
      <c r="N2613" s="7">
        <f>M2613*$J$2636-J2613</f>
        <v/>
      </c>
      <c r="O2613" s="9">
        <f>IF(G2613=0,0,N2613/G2613)</f>
        <v/>
      </c>
      <c r="P2613" s="6">
        <f>IF(M2613&gt;0,D2613,"")</f>
        <v/>
      </c>
      <c r="Q2613" s="9">
        <f>I2613+O2613</f>
        <v/>
      </c>
      <c r="R2613" s="7">
        <f>Q2613*G2613</f>
        <v/>
      </c>
      <c r="S2613" s="8">
        <f>IF($R$2636=0,0,R2613/$R$2636)</f>
        <v/>
      </c>
      <c r="T2613" s="8" t="n">
        <v>0.08268350682230374</v>
      </c>
      <c r="U2613" s="8" t="n">
        <v>0.03016061555773741</v>
      </c>
      <c r="V2613" s="6" t="inlineStr">
        <is>
          <t>not selected</t>
        </is>
      </c>
    </row>
    <row r="2614">
      <c r="A2614" s="6" t="inlineStr">
        <is>
          <t>DJ30</t>
        </is>
      </c>
      <c r="B2614" s="6" t="inlineStr">
        <is>
          <t>2024-08-16</t>
        </is>
      </c>
      <c r="C2614" s="6" t="inlineStr">
        <is>
          <t>DIA</t>
        </is>
      </c>
      <c r="D2614" s="6" t="inlineStr">
        <is>
          <t>CVX</t>
        </is>
      </c>
      <c r="E2614" s="6" t="inlineStr">
        <is>
          <t>CVX</t>
        </is>
      </c>
      <c r="F2614" s="6" t="inlineStr">
        <is>
          <t>-</t>
        </is>
      </c>
      <c r="G2614" s="7" t="n">
        <v>135.2090301513672</v>
      </c>
      <c r="H2614" s="6">
        <f>P2583</f>
        <v/>
      </c>
      <c r="I2614" s="9">
        <f>Q2583</f>
        <v/>
      </c>
      <c r="J2614" s="7">
        <f>I2614*G2614</f>
        <v/>
      </c>
      <c r="K2614" s="8">
        <f>IF($J$2636=0,0,J2614/$J$2636)</f>
        <v/>
      </c>
      <c r="L2614" s="6" t="inlineStr">
        <is>
          <t>REJECTED</t>
        </is>
      </c>
      <c r="M2614" s="8" t="n">
        <v>0</v>
      </c>
      <c r="N2614" s="7">
        <f>M2614*$J$2636-J2614</f>
        <v/>
      </c>
      <c r="O2614" s="9">
        <f>IF(G2614=0,0,N2614/G2614)</f>
        <v/>
      </c>
      <c r="P2614" s="6">
        <f>IF(M2614&gt;0,D2614,"")</f>
        <v/>
      </c>
      <c r="Q2614" s="9">
        <f>I2614+O2614</f>
        <v/>
      </c>
      <c r="R2614" s="7">
        <f>Q2614*G2614</f>
        <v/>
      </c>
      <c r="S2614" s="8">
        <f>IF($R$2636=0,0,R2614/$R$2636)</f>
        <v/>
      </c>
      <c r="T2614" s="8" t="n">
        <v>0.08268350682230374</v>
      </c>
      <c r="U2614" s="8" t="n">
        <v>0.03016061555773741</v>
      </c>
      <c r="V2614" s="6" t="inlineStr">
        <is>
          <t>not selected</t>
        </is>
      </c>
    </row>
    <row r="2615">
      <c r="A2615" s="6" t="inlineStr">
        <is>
          <t>DJ30</t>
        </is>
      </c>
      <c r="B2615" s="6" t="inlineStr">
        <is>
          <t>2024-08-16</t>
        </is>
      </c>
      <c r="C2615" s="6" t="inlineStr">
        <is>
          <t>DIA</t>
        </is>
      </c>
      <c r="D2615" s="6" t="inlineStr">
        <is>
          <t>DIS</t>
        </is>
      </c>
      <c r="E2615" s="6" t="inlineStr">
        <is>
          <t>DIS</t>
        </is>
      </c>
      <c r="F2615" s="6" t="inlineStr">
        <is>
          <t>-</t>
        </is>
      </c>
      <c r="G2615" s="7" t="n">
        <v>87.93357849121094</v>
      </c>
      <c r="H2615" s="6">
        <f>P2584</f>
        <v/>
      </c>
      <c r="I2615" s="9">
        <f>Q2584</f>
        <v/>
      </c>
      <c r="J2615" s="7">
        <f>I2615*G2615</f>
        <v/>
      </c>
      <c r="K2615" s="8">
        <f>IF($J$2636=0,0,J2615/$J$2636)</f>
        <v/>
      </c>
      <c r="L2615" s="6" t="inlineStr">
        <is>
          <t>WATCHLIST</t>
        </is>
      </c>
      <c r="M2615" s="8" t="n">
        <v>0</v>
      </c>
      <c r="N2615" s="7">
        <f>M2615*$J$2636-J2615</f>
        <v/>
      </c>
      <c r="O2615" s="9">
        <f>IF(G2615=0,0,N2615/G2615)</f>
        <v/>
      </c>
      <c r="P2615" s="6">
        <f>IF(M2615&gt;0,D2615,"")</f>
        <v/>
      </c>
      <c r="Q2615" s="9">
        <f>I2615+O2615</f>
        <v/>
      </c>
      <c r="R2615" s="7">
        <f>Q2615*G2615</f>
        <v/>
      </c>
      <c r="S2615" s="8">
        <f>IF($R$2636=0,0,R2615/$R$2636)</f>
        <v/>
      </c>
      <c r="T2615" s="8" t="n">
        <v>0.08268350682230374</v>
      </c>
      <c r="U2615" s="8" t="n">
        <v>0.03016061555773741</v>
      </c>
      <c r="V2615" s="6" t="inlineStr">
        <is>
          <t>not selected</t>
        </is>
      </c>
    </row>
    <row r="2616">
      <c r="A2616" s="6" t="inlineStr">
        <is>
          <t>DJ30</t>
        </is>
      </c>
      <c r="B2616" s="6" t="inlineStr">
        <is>
          <t>2024-08-16</t>
        </is>
      </c>
      <c r="C2616" s="6" t="inlineStr">
        <is>
          <t>DIA</t>
        </is>
      </c>
      <c r="D2616" s="6" t="inlineStr">
        <is>
          <t>GS</t>
        </is>
      </c>
      <c r="E2616" s="6" t="inlineStr">
        <is>
          <t>GS</t>
        </is>
      </c>
      <c r="F2616" s="6" t="inlineStr">
        <is>
          <t>-</t>
        </is>
      </c>
      <c r="G2616" s="7" t="n">
        <v>484.1537170410156</v>
      </c>
      <c r="H2616" s="6">
        <f>P2585</f>
        <v/>
      </c>
      <c r="I2616" s="9">
        <f>Q2585</f>
        <v/>
      </c>
      <c r="J2616" s="7">
        <f>I2616*G2616</f>
        <v/>
      </c>
      <c r="K2616" s="8">
        <f>IF($J$2636=0,0,J2616/$J$2636)</f>
        <v/>
      </c>
      <c r="L2616" s="6" t="inlineStr">
        <is>
          <t>WATCHLIST</t>
        </is>
      </c>
      <c r="M2616" s="8" t="n">
        <v>0</v>
      </c>
      <c r="N2616" s="7">
        <f>M2616*$J$2636-J2616</f>
        <v/>
      </c>
      <c r="O2616" s="9">
        <f>IF(G2616=0,0,N2616/G2616)</f>
        <v/>
      </c>
      <c r="P2616" s="6">
        <f>IF(M2616&gt;0,D2616,"")</f>
        <v/>
      </c>
      <c r="Q2616" s="9">
        <f>I2616+O2616</f>
        <v/>
      </c>
      <c r="R2616" s="7">
        <f>Q2616*G2616</f>
        <v/>
      </c>
      <c r="S2616" s="8">
        <f>IF($R$2636=0,0,R2616/$R$2636)</f>
        <v/>
      </c>
      <c r="T2616" s="8" t="n">
        <v>0.08268350682230374</v>
      </c>
      <c r="U2616" s="8" t="n">
        <v>0.03016061555773741</v>
      </c>
      <c r="V2616" s="6" t="inlineStr">
        <is>
          <t>not selected</t>
        </is>
      </c>
    </row>
    <row r="2617">
      <c r="A2617" s="6" t="inlineStr">
        <is>
          <t>DJ30</t>
        </is>
      </c>
      <c r="B2617" s="6" t="inlineStr">
        <is>
          <t>2024-08-16</t>
        </is>
      </c>
      <c r="C2617" s="6" t="inlineStr">
        <is>
          <t>DIA</t>
        </is>
      </c>
      <c r="D2617" s="6" t="inlineStr">
        <is>
          <t>HD</t>
        </is>
      </c>
      <c r="E2617" s="6" t="inlineStr">
        <is>
          <t>HD</t>
        </is>
      </c>
      <c r="F2617" s="6" t="inlineStr">
        <is>
          <t>-</t>
        </is>
      </c>
      <c r="G2617" s="7" t="n">
        <v>344.3782653808594</v>
      </c>
      <c r="H2617" s="6">
        <f>P2586</f>
        <v/>
      </c>
      <c r="I2617" s="9">
        <f>Q2586</f>
        <v/>
      </c>
      <c r="J2617" s="7">
        <f>I2617*G2617</f>
        <v/>
      </c>
      <c r="K2617" s="8">
        <f>IF($J$2636=0,0,J2617/$J$2636)</f>
        <v/>
      </c>
      <c r="L2617" s="6" t="inlineStr">
        <is>
          <t>WATCHLIST</t>
        </is>
      </c>
      <c r="M2617" s="8" t="n">
        <v>0</v>
      </c>
      <c r="N2617" s="7">
        <f>M2617*$J$2636-J2617</f>
        <v/>
      </c>
      <c r="O2617" s="9">
        <f>IF(G2617=0,0,N2617/G2617)</f>
        <v/>
      </c>
      <c r="P2617" s="6">
        <f>IF(M2617&gt;0,D2617,"")</f>
        <v/>
      </c>
      <c r="Q2617" s="9">
        <f>I2617+O2617</f>
        <v/>
      </c>
      <c r="R2617" s="7">
        <f>Q2617*G2617</f>
        <v/>
      </c>
      <c r="S2617" s="8">
        <f>IF($R$2636=0,0,R2617/$R$2636)</f>
        <v/>
      </c>
      <c r="T2617" s="8" t="n">
        <v>0.08268350682230374</v>
      </c>
      <c r="U2617" s="8" t="n">
        <v>0.03016061555773741</v>
      </c>
      <c r="V2617" s="6" t="inlineStr">
        <is>
          <t>not selected</t>
        </is>
      </c>
    </row>
    <row r="2618">
      <c r="A2618" s="6" t="inlineStr">
        <is>
          <t>DJ30</t>
        </is>
      </c>
      <c r="B2618" s="6" t="inlineStr">
        <is>
          <t>2024-08-16</t>
        </is>
      </c>
      <c r="C2618" s="6" t="inlineStr">
        <is>
          <t>DIA</t>
        </is>
      </c>
      <c r="D2618" s="6" t="inlineStr">
        <is>
          <t>HON</t>
        </is>
      </c>
      <c r="E2618" s="6" t="inlineStr">
        <is>
          <t>HON</t>
        </is>
      </c>
      <c r="F2618" s="6" t="inlineStr">
        <is>
          <t>-</t>
        </is>
      </c>
      <c r="G2618" s="7" t="n">
        <v>180.3023986816407</v>
      </c>
      <c r="H2618" s="6">
        <f>P2587</f>
        <v/>
      </c>
      <c r="I2618" s="9">
        <f>Q2587</f>
        <v/>
      </c>
      <c r="J2618" s="7">
        <f>I2618*G2618</f>
        <v/>
      </c>
      <c r="K2618" s="8">
        <f>IF($J$2636=0,0,J2618/$J$2636)</f>
        <v/>
      </c>
      <c r="L2618" s="6" t="inlineStr">
        <is>
          <t>WATCHLIST</t>
        </is>
      </c>
      <c r="M2618" s="8" t="n">
        <v>0</v>
      </c>
      <c r="N2618" s="7">
        <f>M2618*$J$2636-J2618</f>
        <v/>
      </c>
      <c r="O2618" s="9">
        <f>IF(G2618=0,0,N2618/G2618)</f>
        <v/>
      </c>
      <c r="P2618" s="6">
        <f>IF(M2618&gt;0,D2618,"")</f>
        <v/>
      </c>
      <c r="Q2618" s="9">
        <f>I2618+O2618</f>
        <v/>
      </c>
      <c r="R2618" s="7">
        <f>Q2618*G2618</f>
        <v/>
      </c>
      <c r="S2618" s="8">
        <f>IF($R$2636=0,0,R2618/$R$2636)</f>
        <v/>
      </c>
      <c r="T2618" s="8" t="n">
        <v>0.08268350682230374</v>
      </c>
      <c r="U2618" s="8" t="n">
        <v>0.03016061555773741</v>
      </c>
      <c r="V2618" s="6" t="inlineStr">
        <is>
          <t>not selected</t>
        </is>
      </c>
    </row>
    <row r="2619">
      <c r="A2619" s="6" t="inlineStr">
        <is>
          <t>DJ30</t>
        </is>
      </c>
      <c r="B2619" s="6" t="inlineStr">
        <is>
          <t>2024-08-16</t>
        </is>
      </c>
      <c r="C2619" s="6" t="inlineStr">
        <is>
          <t>DIA</t>
        </is>
      </c>
      <c r="D2619" s="6" t="inlineStr">
        <is>
          <t>IBM</t>
        </is>
      </c>
      <c r="E2619" s="6" t="inlineStr">
        <is>
          <t>IBM</t>
        </is>
      </c>
      <c r="F2619" s="6" t="inlineStr">
        <is>
          <t>-</t>
        </is>
      </c>
      <c r="G2619" s="7" t="n">
        <v>184.9980926513672</v>
      </c>
      <c r="H2619" s="6">
        <f>P2588</f>
        <v/>
      </c>
      <c r="I2619" s="9">
        <f>Q2588</f>
        <v/>
      </c>
      <c r="J2619" s="7">
        <f>I2619*G2619</f>
        <v/>
      </c>
      <c r="K2619" s="8">
        <f>IF($J$2636=0,0,J2619/$J$2636)</f>
        <v/>
      </c>
      <c r="L2619" s="6" t="inlineStr">
        <is>
          <t>WATCHLIST</t>
        </is>
      </c>
      <c r="M2619" s="8" t="n">
        <v>0</v>
      </c>
      <c r="N2619" s="7">
        <f>M2619*$J$2636-J2619</f>
        <v/>
      </c>
      <c r="O2619" s="9">
        <f>IF(G2619=0,0,N2619/G2619)</f>
        <v/>
      </c>
      <c r="P2619" s="6">
        <f>IF(M2619&gt;0,D2619,"")</f>
        <v/>
      </c>
      <c r="Q2619" s="9">
        <f>I2619+O2619</f>
        <v/>
      </c>
      <c r="R2619" s="7">
        <f>Q2619*G2619</f>
        <v/>
      </c>
      <c r="S2619" s="8">
        <f>IF($R$2636=0,0,R2619/$R$2636)</f>
        <v/>
      </c>
      <c r="T2619" s="8" t="n">
        <v>0.08268350682230374</v>
      </c>
      <c r="U2619" s="8" t="n">
        <v>0.03016061555773741</v>
      </c>
      <c r="V2619" s="6" t="inlineStr">
        <is>
          <t>not selected</t>
        </is>
      </c>
    </row>
    <row r="2620">
      <c r="A2620" s="6" t="inlineStr">
        <is>
          <t>DJ30</t>
        </is>
      </c>
      <c r="B2620" s="6" t="inlineStr">
        <is>
          <t>2024-08-16</t>
        </is>
      </c>
      <c r="C2620" s="6" t="inlineStr">
        <is>
          <t>DIA</t>
        </is>
      </c>
      <c r="D2620" s="6" t="inlineStr">
        <is>
          <t>JNJ</t>
        </is>
      </c>
      <c r="E2620" s="6" t="inlineStr">
        <is>
          <t>JNJ</t>
        </is>
      </c>
      <c r="F2620" s="6" t="inlineStr">
        <is>
          <t>-</t>
        </is>
      </c>
      <c r="G2620" s="7" t="n">
        <v>150.5977935791016</v>
      </c>
      <c r="H2620" s="6">
        <f>P2589</f>
        <v/>
      </c>
      <c r="I2620" s="9">
        <f>Q2589</f>
        <v/>
      </c>
      <c r="J2620" s="7">
        <f>I2620*G2620</f>
        <v/>
      </c>
      <c r="K2620" s="8">
        <f>IF($J$2636=0,0,J2620/$J$2636)</f>
        <v/>
      </c>
      <c r="L2620" s="6" t="inlineStr">
        <is>
          <t>REJECTED</t>
        </is>
      </c>
      <c r="M2620" s="8" t="n">
        <v>0</v>
      </c>
      <c r="N2620" s="7">
        <f>M2620*$J$2636-J2620</f>
        <v/>
      </c>
      <c r="O2620" s="9">
        <f>IF(G2620=0,0,N2620/G2620)</f>
        <v/>
      </c>
      <c r="P2620" s="6">
        <f>IF(M2620&gt;0,D2620,"")</f>
        <v/>
      </c>
      <c r="Q2620" s="9">
        <f>I2620+O2620</f>
        <v/>
      </c>
      <c r="R2620" s="7">
        <f>Q2620*G2620</f>
        <v/>
      </c>
      <c r="S2620" s="8">
        <f>IF($R$2636=0,0,R2620/$R$2636)</f>
        <v/>
      </c>
      <c r="T2620" s="8" t="n">
        <v>0.08268350682230374</v>
      </c>
      <c r="U2620" s="8" t="n">
        <v>0.03016061555773741</v>
      </c>
      <c r="V2620" s="6" t="inlineStr">
        <is>
          <t>not selected</t>
        </is>
      </c>
    </row>
    <row r="2621">
      <c r="A2621" s="6" t="inlineStr">
        <is>
          <t>DJ30</t>
        </is>
      </c>
      <c r="B2621" s="6" t="inlineStr">
        <is>
          <t>2024-08-16</t>
        </is>
      </c>
      <c r="C2621" s="6" t="inlineStr">
        <is>
          <t>DIA</t>
        </is>
      </c>
      <c r="D2621" s="6" t="inlineStr">
        <is>
          <t>JPM</t>
        </is>
      </c>
      <c r="E2621" s="6" t="inlineStr">
        <is>
          <t>JPM</t>
        </is>
      </c>
      <c r="F2621" s="6" t="inlineStr">
        <is>
          <t>-</t>
        </is>
      </c>
      <c r="G2621" s="7" t="n">
        <v>206.2673492431641</v>
      </c>
      <c r="H2621" s="6">
        <f>P2590</f>
        <v/>
      </c>
      <c r="I2621" s="9">
        <f>Q2590</f>
        <v/>
      </c>
      <c r="J2621" s="7">
        <f>I2621*G2621</f>
        <v/>
      </c>
      <c r="K2621" s="8">
        <f>IF($J$2636=0,0,J2621/$J$2636)</f>
        <v/>
      </c>
      <c r="L2621" s="6" t="inlineStr">
        <is>
          <t>WATCHLIST</t>
        </is>
      </c>
      <c r="M2621" s="8" t="n">
        <v>0</v>
      </c>
      <c r="N2621" s="7">
        <f>M2621*$J$2636-J2621</f>
        <v/>
      </c>
      <c r="O2621" s="9">
        <f>IF(G2621=0,0,N2621/G2621)</f>
        <v/>
      </c>
      <c r="P2621" s="6">
        <f>IF(M2621&gt;0,D2621,"")</f>
        <v/>
      </c>
      <c r="Q2621" s="9">
        <f>I2621+O2621</f>
        <v/>
      </c>
      <c r="R2621" s="7">
        <f>Q2621*G2621</f>
        <v/>
      </c>
      <c r="S2621" s="8">
        <f>IF($R$2636=0,0,R2621/$R$2636)</f>
        <v/>
      </c>
      <c r="T2621" s="8" t="n">
        <v>0.08268350682230374</v>
      </c>
      <c r="U2621" s="8" t="n">
        <v>0.03016061555773741</v>
      </c>
      <c r="V2621" s="6" t="inlineStr">
        <is>
          <t>not selected</t>
        </is>
      </c>
    </row>
    <row r="2622">
      <c r="A2622" s="6" t="inlineStr">
        <is>
          <t>DJ30</t>
        </is>
      </c>
      <c r="B2622" s="6" t="inlineStr">
        <is>
          <t>2024-08-16</t>
        </is>
      </c>
      <c r="C2622" s="6" t="inlineStr">
        <is>
          <t>DIA</t>
        </is>
      </c>
      <c r="D2622" s="6" t="inlineStr">
        <is>
          <t>KO</t>
        </is>
      </c>
      <c r="E2622" s="6" t="inlineStr">
        <is>
          <t>KO</t>
        </is>
      </c>
      <c r="F2622" s="6" t="inlineStr">
        <is>
          <t>-</t>
        </is>
      </c>
      <c r="G2622" s="7" t="n">
        <v>65.36318206787109</v>
      </c>
      <c r="H2622" s="6">
        <f>P2591</f>
        <v/>
      </c>
      <c r="I2622" s="9">
        <f>Q2591</f>
        <v/>
      </c>
      <c r="J2622" s="7">
        <f>I2622*G2622</f>
        <v/>
      </c>
      <c r="K2622" s="8">
        <f>IF($J$2636=0,0,J2622/$J$2636)</f>
        <v/>
      </c>
      <c r="L2622" s="6" t="inlineStr">
        <is>
          <t>WATCHLIST</t>
        </is>
      </c>
      <c r="M2622" s="8" t="n">
        <v>0</v>
      </c>
      <c r="N2622" s="7">
        <f>M2622*$J$2636-J2622</f>
        <v/>
      </c>
      <c r="O2622" s="9">
        <f>IF(G2622=0,0,N2622/G2622)</f>
        <v/>
      </c>
      <c r="P2622" s="6">
        <f>IF(M2622&gt;0,D2622,"")</f>
        <v/>
      </c>
      <c r="Q2622" s="9">
        <f>I2622+O2622</f>
        <v/>
      </c>
      <c r="R2622" s="7">
        <f>Q2622*G2622</f>
        <v/>
      </c>
      <c r="S2622" s="8">
        <f>IF($R$2636=0,0,R2622/$R$2636)</f>
        <v/>
      </c>
      <c r="T2622" s="8" t="n">
        <v>0.08268350682230374</v>
      </c>
      <c r="U2622" s="8" t="n">
        <v>0.03016061555773741</v>
      </c>
      <c r="V2622" s="6" t="inlineStr">
        <is>
          <t>not selected</t>
        </is>
      </c>
    </row>
    <row r="2623">
      <c r="A2623" s="6" t="inlineStr">
        <is>
          <t>DJ30</t>
        </is>
      </c>
      <c r="B2623" s="6" t="inlineStr">
        <is>
          <t>2024-08-16</t>
        </is>
      </c>
      <c r="C2623" s="6" t="inlineStr">
        <is>
          <t>DIA</t>
        </is>
      </c>
      <c r="D2623" s="6" t="inlineStr">
        <is>
          <t>MCD</t>
        </is>
      </c>
      <c r="E2623" s="6" t="inlineStr">
        <is>
          <t>MCD</t>
        </is>
      </c>
      <c r="F2623" s="6" t="inlineStr">
        <is>
          <t>-</t>
        </is>
      </c>
      <c r="G2623" s="7" t="n">
        <v>265.6542663574219</v>
      </c>
      <c r="H2623" s="6">
        <f>P2592</f>
        <v/>
      </c>
      <c r="I2623" s="9">
        <f>Q2592</f>
        <v/>
      </c>
      <c r="J2623" s="7">
        <f>I2623*G2623</f>
        <v/>
      </c>
      <c r="K2623" s="8">
        <f>IF($J$2636=0,0,J2623/$J$2636)</f>
        <v/>
      </c>
      <c r="L2623" s="6" t="inlineStr">
        <is>
          <t>REJECTED</t>
        </is>
      </c>
      <c r="M2623" s="8" t="n">
        <v>0</v>
      </c>
      <c r="N2623" s="7">
        <f>M2623*$J$2636-J2623</f>
        <v/>
      </c>
      <c r="O2623" s="9">
        <f>IF(G2623=0,0,N2623/G2623)</f>
        <v/>
      </c>
      <c r="P2623" s="6">
        <f>IF(M2623&gt;0,D2623,"")</f>
        <v/>
      </c>
      <c r="Q2623" s="9">
        <f>I2623+O2623</f>
        <v/>
      </c>
      <c r="R2623" s="7">
        <f>Q2623*G2623</f>
        <v/>
      </c>
      <c r="S2623" s="8">
        <f>IF($R$2636=0,0,R2623/$R$2636)</f>
        <v/>
      </c>
      <c r="T2623" s="8" t="n">
        <v>0.08268350682230374</v>
      </c>
      <c r="U2623" s="8" t="n">
        <v>0.03016061555773741</v>
      </c>
      <c r="V2623" s="6" t="inlineStr">
        <is>
          <t>not selected</t>
        </is>
      </c>
    </row>
    <row r="2624">
      <c r="A2624" s="6" t="inlineStr">
        <is>
          <t>DJ30</t>
        </is>
      </c>
      <c r="B2624" s="6" t="inlineStr">
        <is>
          <t>2024-08-16</t>
        </is>
      </c>
      <c r="C2624" s="6" t="inlineStr">
        <is>
          <t>DIA</t>
        </is>
      </c>
      <c r="D2624" s="6" t="inlineStr">
        <is>
          <t>MMM</t>
        </is>
      </c>
      <c r="E2624" s="6" t="inlineStr">
        <is>
          <t>MMM</t>
        </is>
      </c>
      <c r="F2624" s="6" t="inlineStr">
        <is>
          <t>-</t>
        </is>
      </c>
      <c r="G2624" s="7" t="n">
        <v>122.1879806518555</v>
      </c>
      <c r="H2624" s="6">
        <f>P2593</f>
        <v/>
      </c>
      <c r="I2624" s="9">
        <f>Q2593</f>
        <v/>
      </c>
      <c r="J2624" s="7">
        <f>I2624*G2624</f>
        <v/>
      </c>
      <c r="K2624" s="8">
        <f>IF($J$2636=0,0,J2624/$J$2636)</f>
        <v/>
      </c>
      <c r="L2624" s="6" t="inlineStr">
        <is>
          <t>SELECTED</t>
        </is>
      </c>
      <c r="M2624" s="8" t="n">
        <v>0.2</v>
      </c>
      <c r="N2624" s="7">
        <f>M2624*$J$2636-J2624</f>
        <v/>
      </c>
      <c r="O2624" s="9">
        <f>IF(G2624=0,0,N2624/G2624)</f>
        <v/>
      </c>
      <c r="P2624" s="6">
        <f>IF(M2624&gt;0,D2624,"")</f>
        <v/>
      </c>
      <c r="Q2624" s="9">
        <f>I2624+O2624</f>
        <v/>
      </c>
      <c r="R2624" s="7">
        <f>Q2624*G2624</f>
        <v/>
      </c>
      <c r="S2624" s="8">
        <f>IF($R$2636=0,0,R2624/$R$2636)</f>
        <v/>
      </c>
      <c r="T2624" s="8" t="n">
        <v>0.08268350682230374</v>
      </c>
      <c r="U2624" s="8" t="n">
        <v>0.03016061555773741</v>
      </c>
      <c r="V2624" s="6" t="inlineStr">
        <is>
          <t>remained in weekly selection</t>
        </is>
      </c>
    </row>
    <row r="2625">
      <c r="A2625" s="6" t="inlineStr">
        <is>
          <t>DJ30</t>
        </is>
      </c>
      <c r="B2625" s="6" t="inlineStr">
        <is>
          <t>2024-08-16</t>
        </is>
      </c>
      <c r="C2625" s="6" t="inlineStr">
        <is>
          <t>DIA</t>
        </is>
      </c>
      <c r="D2625" s="6" t="inlineStr">
        <is>
          <t>MRK</t>
        </is>
      </c>
      <c r="E2625" s="6" t="inlineStr">
        <is>
          <t>MRK</t>
        </is>
      </c>
      <c r="F2625" s="6" t="inlineStr">
        <is>
          <t>-</t>
        </is>
      </c>
      <c r="G2625" s="7" t="n">
        <v>106.4003295898438</v>
      </c>
      <c r="H2625" s="6">
        <f>P2594</f>
        <v/>
      </c>
      <c r="I2625" s="9">
        <f>Q2594</f>
        <v/>
      </c>
      <c r="J2625" s="7">
        <f>I2625*G2625</f>
        <v/>
      </c>
      <c r="K2625" s="8">
        <f>IF($J$2636=0,0,J2625/$J$2636)</f>
        <v/>
      </c>
      <c r="L2625" s="6" t="inlineStr">
        <is>
          <t>WATCHLIST</t>
        </is>
      </c>
      <c r="M2625" s="8" t="n">
        <v>0</v>
      </c>
      <c r="N2625" s="7">
        <f>M2625*$J$2636-J2625</f>
        <v/>
      </c>
      <c r="O2625" s="9">
        <f>IF(G2625=0,0,N2625/G2625)</f>
        <v/>
      </c>
      <c r="P2625" s="6">
        <f>IF(M2625&gt;0,D2625,"")</f>
        <v/>
      </c>
      <c r="Q2625" s="9">
        <f>I2625+O2625</f>
        <v/>
      </c>
      <c r="R2625" s="7">
        <f>Q2625*G2625</f>
        <v/>
      </c>
      <c r="S2625" s="8">
        <f>IF($R$2636=0,0,R2625/$R$2636)</f>
        <v/>
      </c>
      <c r="T2625" s="8" t="n">
        <v>0.08268350682230374</v>
      </c>
      <c r="U2625" s="8" t="n">
        <v>0.03016061555773741</v>
      </c>
      <c r="V2625" s="6" t="inlineStr">
        <is>
          <t>not selected</t>
        </is>
      </c>
    </row>
    <row r="2626">
      <c r="A2626" s="6" t="inlineStr">
        <is>
          <t>DJ30</t>
        </is>
      </c>
      <c r="B2626" s="6" t="inlineStr">
        <is>
          <t>2024-08-16</t>
        </is>
      </c>
      <c r="C2626" s="6" t="inlineStr">
        <is>
          <t>DIA</t>
        </is>
      </c>
      <c r="D2626" s="6" t="inlineStr">
        <is>
          <t>MSFT</t>
        </is>
      </c>
      <c r="E2626" s="6" t="inlineStr">
        <is>
          <t>MSFT</t>
        </is>
      </c>
      <c r="F2626" s="6" t="inlineStr">
        <is>
          <t>-</t>
        </is>
      </c>
      <c r="G2626" s="7" t="n">
        <v>412.73779296875</v>
      </c>
      <c r="H2626" s="6">
        <f>P2595</f>
        <v/>
      </c>
      <c r="I2626" s="9">
        <f>Q2595</f>
        <v/>
      </c>
      <c r="J2626" s="7">
        <f>I2626*G2626</f>
        <v/>
      </c>
      <c r="K2626" s="8">
        <f>IF($J$2636=0,0,J2626/$J$2636)</f>
        <v/>
      </c>
      <c r="L2626" s="6" t="inlineStr">
        <is>
          <t>WATCHLIST</t>
        </is>
      </c>
      <c r="M2626" s="8" t="n">
        <v>0</v>
      </c>
      <c r="N2626" s="7">
        <f>M2626*$J$2636-J2626</f>
        <v/>
      </c>
      <c r="O2626" s="9">
        <f>IF(G2626=0,0,N2626/G2626)</f>
        <v/>
      </c>
      <c r="P2626" s="6">
        <f>IF(M2626&gt;0,D2626,"")</f>
        <v/>
      </c>
      <c r="Q2626" s="9">
        <f>I2626+O2626</f>
        <v/>
      </c>
      <c r="R2626" s="7">
        <f>Q2626*G2626</f>
        <v/>
      </c>
      <c r="S2626" s="8">
        <f>IF($R$2636=0,0,R2626/$R$2636)</f>
        <v/>
      </c>
      <c r="T2626" s="8" t="n">
        <v>0.08268350682230374</v>
      </c>
      <c r="U2626" s="8" t="n">
        <v>0.03016061555773741</v>
      </c>
      <c r="V2626" s="6" t="inlineStr">
        <is>
          <t>not selected</t>
        </is>
      </c>
    </row>
    <row r="2627">
      <c r="A2627" s="6" t="inlineStr">
        <is>
          <t>DJ30</t>
        </is>
      </c>
      <c r="B2627" s="6" t="inlineStr">
        <is>
          <t>2024-08-16</t>
        </is>
      </c>
      <c r="C2627" s="6" t="inlineStr">
        <is>
          <t>DIA</t>
        </is>
      </c>
      <c r="D2627" s="6" t="inlineStr">
        <is>
          <t>NKE</t>
        </is>
      </c>
      <c r="E2627" s="6" t="inlineStr">
        <is>
          <t>NKE</t>
        </is>
      </c>
      <c r="F2627" s="6" t="inlineStr">
        <is>
          <t>-</t>
        </is>
      </c>
      <c r="G2627" s="7" t="n">
        <v>79.30670928955078</v>
      </c>
      <c r="H2627" s="6">
        <f>P2596</f>
        <v/>
      </c>
      <c r="I2627" s="9">
        <f>Q2596</f>
        <v/>
      </c>
      <c r="J2627" s="7">
        <f>I2627*G2627</f>
        <v/>
      </c>
      <c r="K2627" s="8">
        <f>IF($J$2636=0,0,J2627/$J$2636)</f>
        <v/>
      </c>
      <c r="L2627" s="6" t="inlineStr">
        <is>
          <t>REJECTED</t>
        </is>
      </c>
      <c r="M2627" s="8" t="n">
        <v>0</v>
      </c>
      <c r="N2627" s="7">
        <f>M2627*$J$2636-J2627</f>
        <v/>
      </c>
      <c r="O2627" s="9">
        <f>IF(G2627=0,0,N2627/G2627)</f>
        <v/>
      </c>
      <c r="P2627" s="6">
        <f>IF(M2627&gt;0,D2627,"")</f>
        <v/>
      </c>
      <c r="Q2627" s="9">
        <f>I2627+O2627</f>
        <v/>
      </c>
      <c r="R2627" s="7">
        <f>Q2627*G2627</f>
        <v/>
      </c>
      <c r="S2627" s="8">
        <f>IF($R$2636=0,0,R2627/$R$2636)</f>
        <v/>
      </c>
      <c r="T2627" s="8" t="n">
        <v>0.08268350682230374</v>
      </c>
      <c r="U2627" s="8" t="n">
        <v>0.03016061555773741</v>
      </c>
      <c r="V2627" s="6" t="inlineStr">
        <is>
          <t>not selected</t>
        </is>
      </c>
    </row>
    <row r="2628">
      <c r="A2628" s="6" t="inlineStr">
        <is>
          <t>DJ30</t>
        </is>
      </c>
      <c r="B2628" s="6" t="inlineStr">
        <is>
          <t>2024-08-16</t>
        </is>
      </c>
      <c r="C2628" s="6" t="inlineStr">
        <is>
          <t>DIA</t>
        </is>
      </c>
      <c r="D2628" s="6" t="inlineStr">
        <is>
          <t>NVDA</t>
        </is>
      </c>
      <c r="E2628" s="6" t="inlineStr">
        <is>
          <t>NVDA</t>
        </is>
      </c>
      <c r="F2628" s="6" t="inlineStr">
        <is>
          <t>-</t>
        </is>
      </c>
      <c r="G2628" s="7" t="n">
        <v>124.3750076293945</v>
      </c>
      <c r="H2628" s="6">
        <f>P2597</f>
        <v/>
      </c>
      <c r="I2628" s="9">
        <f>Q2597</f>
        <v/>
      </c>
      <c r="J2628" s="7">
        <f>I2628*G2628</f>
        <v/>
      </c>
      <c r="K2628" s="8">
        <f>IF($J$2636=0,0,J2628/$J$2636)</f>
        <v/>
      </c>
      <c r="L2628" s="6" t="inlineStr">
        <is>
          <t>SELECTED</t>
        </is>
      </c>
      <c r="M2628" s="8" t="n">
        <v>0.2</v>
      </c>
      <c r="N2628" s="7">
        <f>M2628*$J$2636-J2628</f>
        <v/>
      </c>
      <c r="O2628" s="9">
        <f>IF(G2628=0,0,N2628/G2628)</f>
        <v/>
      </c>
      <c r="P2628" s="6">
        <f>IF(M2628&gt;0,D2628,"")</f>
        <v/>
      </c>
      <c r="Q2628" s="9">
        <f>I2628+O2628</f>
        <v/>
      </c>
      <c r="R2628" s="7">
        <f>Q2628*G2628</f>
        <v/>
      </c>
      <c r="S2628" s="8">
        <f>IF($R$2636=0,0,R2628/$R$2636)</f>
        <v/>
      </c>
      <c r="T2628" s="8" t="n">
        <v>0.08268350682230374</v>
      </c>
      <c r="U2628" s="8" t="n">
        <v>0.03016061555773741</v>
      </c>
      <c r="V2628" s="6" t="inlineStr">
        <is>
          <t>remained in weekly selection</t>
        </is>
      </c>
    </row>
    <row r="2629">
      <c r="A2629" s="6" t="inlineStr">
        <is>
          <t>DJ30</t>
        </is>
      </c>
      <c r="B2629" s="6" t="inlineStr">
        <is>
          <t>2024-08-16</t>
        </is>
      </c>
      <c r="C2629" s="6" t="inlineStr">
        <is>
          <t>DIA</t>
        </is>
      </c>
      <c r="D2629" s="6" t="inlineStr">
        <is>
          <t>PG</t>
        </is>
      </c>
      <c r="E2629" s="6" t="inlineStr">
        <is>
          <t>PG</t>
        </is>
      </c>
      <c r="F2629" s="6" t="inlineStr">
        <is>
          <t>-</t>
        </is>
      </c>
      <c r="G2629" s="7" t="n">
        <v>160.2592468261719</v>
      </c>
      <c r="H2629" s="6">
        <f>P2598</f>
        <v/>
      </c>
      <c r="I2629" s="9">
        <f>Q2598</f>
        <v/>
      </c>
      <c r="J2629" s="7">
        <f>I2629*G2629</f>
        <v/>
      </c>
      <c r="K2629" s="8">
        <f>IF($J$2636=0,0,J2629/$J$2636)</f>
        <v/>
      </c>
      <c r="L2629" s="6" t="inlineStr">
        <is>
          <t>WATCHLIST</t>
        </is>
      </c>
      <c r="M2629" s="8" t="n">
        <v>0</v>
      </c>
      <c r="N2629" s="7">
        <f>M2629*$J$2636-J2629</f>
        <v/>
      </c>
      <c r="O2629" s="9">
        <f>IF(G2629=0,0,N2629/G2629)</f>
        <v/>
      </c>
      <c r="P2629" s="6">
        <f>IF(M2629&gt;0,D2629,"")</f>
        <v/>
      </c>
      <c r="Q2629" s="9">
        <f>I2629+O2629</f>
        <v/>
      </c>
      <c r="R2629" s="7">
        <f>Q2629*G2629</f>
        <v/>
      </c>
      <c r="S2629" s="8">
        <f>IF($R$2636=0,0,R2629/$R$2636)</f>
        <v/>
      </c>
      <c r="T2629" s="8" t="n">
        <v>0.08268350682230374</v>
      </c>
      <c r="U2629" s="8" t="n">
        <v>0.03016061555773741</v>
      </c>
      <c r="V2629" s="6" t="inlineStr">
        <is>
          <t>not selected</t>
        </is>
      </c>
    </row>
    <row r="2630">
      <c r="A2630" s="6" t="inlineStr">
        <is>
          <t>DJ30</t>
        </is>
      </c>
      <c r="B2630" s="6" t="inlineStr">
        <is>
          <t>2024-08-16</t>
        </is>
      </c>
      <c r="C2630" s="6" t="inlineStr">
        <is>
          <t>DIA</t>
        </is>
      </c>
      <c r="D2630" s="6" t="inlineStr">
        <is>
          <t>SHW</t>
        </is>
      </c>
      <c r="E2630" s="6" t="inlineStr">
        <is>
          <t>SHW</t>
        </is>
      </c>
      <c r="F2630" s="6" t="inlineStr">
        <is>
          <t>-</t>
        </is>
      </c>
      <c r="G2630" s="7" t="n">
        <v>348.9459533691406</v>
      </c>
      <c r="H2630" s="6">
        <f>P2599</f>
        <v/>
      </c>
      <c r="I2630" s="9">
        <f>Q2599</f>
        <v/>
      </c>
      <c r="J2630" s="7">
        <f>I2630*G2630</f>
        <v/>
      </c>
      <c r="K2630" s="8">
        <f>IF($J$2636=0,0,J2630/$J$2636)</f>
        <v/>
      </c>
      <c r="L2630" s="6" t="inlineStr">
        <is>
          <t>WATCHLIST</t>
        </is>
      </c>
      <c r="M2630" s="8" t="n">
        <v>0</v>
      </c>
      <c r="N2630" s="7">
        <f>M2630*$J$2636-J2630</f>
        <v/>
      </c>
      <c r="O2630" s="9">
        <f>IF(G2630=0,0,N2630/G2630)</f>
        <v/>
      </c>
      <c r="P2630" s="6">
        <f>IF(M2630&gt;0,D2630,"")</f>
        <v/>
      </c>
      <c r="Q2630" s="9">
        <f>I2630+O2630</f>
        <v/>
      </c>
      <c r="R2630" s="7">
        <f>Q2630*G2630</f>
        <v/>
      </c>
      <c r="S2630" s="8">
        <f>IF($R$2636=0,0,R2630/$R$2636)</f>
        <v/>
      </c>
      <c r="T2630" s="8" t="n">
        <v>0.08268350682230374</v>
      </c>
      <c r="U2630" s="8" t="n">
        <v>0.03016061555773741</v>
      </c>
      <c r="V2630" s="6" t="inlineStr">
        <is>
          <t>not selected</t>
        </is>
      </c>
    </row>
    <row r="2631">
      <c r="A2631" s="6" t="inlineStr">
        <is>
          <t>DJ30</t>
        </is>
      </c>
      <c r="B2631" s="6" t="inlineStr">
        <is>
          <t>2024-08-16</t>
        </is>
      </c>
      <c r="C2631" s="6" t="inlineStr">
        <is>
          <t>DIA</t>
        </is>
      </c>
      <c r="D2631" s="6" t="inlineStr">
        <is>
          <t>TRV</t>
        </is>
      </c>
      <c r="E2631" s="6" t="inlineStr">
        <is>
          <t>TRV</t>
        </is>
      </c>
      <c r="F2631" s="6" t="inlineStr">
        <is>
          <t>-</t>
        </is>
      </c>
      <c r="G2631" s="7" t="n">
        <v>209.6395111083984</v>
      </c>
      <c r="H2631" s="6">
        <f>P2600</f>
        <v/>
      </c>
      <c r="I2631" s="9">
        <f>Q2600</f>
        <v/>
      </c>
      <c r="J2631" s="7">
        <f>I2631*G2631</f>
        <v/>
      </c>
      <c r="K2631" s="8">
        <f>IF($J$2636=0,0,J2631/$J$2636)</f>
        <v/>
      </c>
      <c r="L2631" s="6" t="inlineStr">
        <is>
          <t>WATCHLIST</t>
        </is>
      </c>
      <c r="M2631" s="8" t="n">
        <v>0</v>
      </c>
      <c r="N2631" s="7">
        <f>M2631*$J$2636-J2631</f>
        <v/>
      </c>
      <c r="O2631" s="9">
        <f>IF(G2631=0,0,N2631/G2631)</f>
        <v/>
      </c>
      <c r="P2631" s="6">
        <f>IF(M2631&gt;0,D2631,"")</f>
        <v/>
      </c>
      <c r="Q2631" s="9">
        <f>I2631+O2631</f>
        <v/>
      </c>
      <c r="R2631" s="7">
        <f>Q2631*G2631</f>
        <v/>
      </c>
      <c r="S2631" s="8">
        <f>IF($R$2636=0,0,R2631/$R$2636)</f>
        <v/>
      </c>
      <c r="T2631" s="8" t="n">
        <v>0.08268350682230374</v>
      </c>
      <c r="U2631" s="8" t="n">
        <v>0.03016061555773741</v>
      </c>
      <c r="V2631" s="6" t="inlineStr">
        <is>
          <t>not selected</t>
        </is>
      </c>
    </row>
    <row r="2632">
      <c r="A2632" s="6" t="inlineStr">
        <is>
          <t>DJ30</t>
        </is>
      </c>
      <c r="B2632" s="6" t="inlineStr">
        <is>
          <t>2024-08-16</t>
        </is>
      </c>
      <c r="C2632" s="6" t="inlineStr">
        <is>
          <t>DIA</t>
        </is>
      </c>
      <c r="D2632" s="6" t="inlineStr">
        <is>
          <t>UNH</t>
        </is>
      </c>
      <c r="E2632" s="6" t="inlineStr">
        <is>
          <t>UNH</t>
        </is>
      </c>
      <c r="F2632" s="6" t="inlineStr">
        <is>
          <t>-</t>
        </is>
      </c>
      <c r="G2632" s="7" t="n">
        <v>552.1857299804688</v>
      </c>
      <c r="H2632" s="6">
        <f>P2601</f>
        <v/>
      </c>
      <c r="I2632" s="9">
        <f>Q2601</f>
        <v/>
      </c>
      <c r="J2632" s="7">
        <f>I2632*G2632</f>
        <v/>
      </c>
      <c r="K2632" s="8">
        <f>IF($J$2636=0,0,J2632/$J$2636)</f>
        <v/>
      </c>
      <c r="L2632" s="6" t="inlineStr">
        <is>
          <t>REJECTED</t>
        </is>
      </c>
      <c r="M2632" s="8" t="n">
        <v>0</v>
      </c>
      <c r="N2632" s="7">
        <f>M2632*$J$2636-J2632</f>
        <v/>
      </c>
      <c r="O2632" s="9">
        <f>IF(G2632=0,0,N2632/G2632)</f>
        <v/>
      </c>
      <c r="P2632" s="6">
        <f>IF(M2632&gt;0,D2632,"")</f>
        <v/>
      </c>
      <c r="Q2632" s="9">
        <f>I2632+O2632</f>
        <v/>
      </c>
      <c r="R2632" s="7">
        <f>Q2632*G2632</f>
        <v/>
      </c>
      <c r="S2632" s="8">
        <f>IF($R$2636=0,0,R2632/$R$2636)</f>
        <v/>
      </c>
      <c r="T2632" s="8" t="n">
        <v>0.08268350682230374</v>
      </c>
      <c r="U2632" s="8" t="n">
        <v>0.03016061555773741</v>
      </c>
      <c r="V2632" s="6" t="inlineStr">
        <is>
          <t>not selected</t>
        </is>
      </c>
    </row>
    <row r="2633">
      <c r="A2633" s="6" t="inlineStr">
        <is>
          <t>DJ30</t>
        </is>
      </c>
      <c r="B2633" s="6" t="inlineStr">
        <is>
          <t>2024-08-16</t>
        </is>
      </c>
      <c r="C2633" s="6" t="inlineStr">
        <is>
          <t>DIA</t>
        </is>
      </c>
      <c r="D2633" s="6" t="inlineStr">
        <is>
          <t>V</t>
        </is>
      </c>
      <c r="E2633" s="6" t="inlineStr">
        <is>
          <t>V</t>
        </is>
      </c>
      <c r="F2633" s="6" t="inlineStr">
        <is>
          <t>-</t>
        </is>
      </c>
      <c r="G2633" s="7" t="n">
        <v>263.8981018066406</v>
      </c>
      <c r="H2633" s="6">
        <f>P2602</f>
        <v/>
      </c>
      <c r="I2633" s="9">
        <f>Q2602</f>
        <v/>
      </c>
      <c r="J2633" s="7">
        <f>I2633*G2633</f>
        <v/>
      </c>
      <c r="K2633" s="8">
        <f>IF($J$2636=0,0,J2633/$J$2636)</f>
        <v/>
      </c>
      <c r="L2633" s="6" t="inlineStr">
        <is>
          <t>WATCHLIST</t>
        </is>
      </c>
      <c r="M2633" s="8" t="n">
        <v>0</v>
      </c>
      <c r="N2633" s="7">
        <f>M2633*$J$2636-J2633</f>
        <v/>
      </c>
      <c r="O2633" s="9">
        <f>IF(G2633=0,0,N2633/G2633)</f>
        <v/>
      </c>
      <c r="P2633" s="6">
        <f>IF(M2633&gt;0,D2633,"")</f>
        <v/>
      </c>
      <c r="Q2633" s="9">
        <f>I2633+O2633</f>
        <v/>
      </c>
      <c r="R2633" s="7">
        <f>Q2633*G2633</f>
        <v/>
      </c>
      <c r="S2633" s="8">
        <f>IF($R$2636=0,0,R2633/$R$2636)</f>
        <v/>
      </c>
      <c r="T2633" s="8" t="n">
        <v>0.08268350682230374</v>
      </c>
      <c r="U2633" s="8" t="n">
        <v>0.03016061555773741</v>
      </c>
      <c r="V2633" s="6" t="inlineStr">
        <is>
          <t>not selected</t>
        </is>
      </c>
    </row>
    <row r="2634">
      <c r="A2634" s="6" t="inlineStr">
        <is>
          <t>DJ30</t>
        </is>
      </c>
      <c r="B2634" s="6" t="inlineStr">
        <is>
          <t>2024-08-16</t>
        </is>
      </c>
      <c r="C2634" s="6" t="inlineStr">
        <is>
          <t>DIA</t>
        </is>
      </c>
      <c r="D2634" s="6" t="inlineStr">
        <is>
          <t>VZ</t>
        </is>
      </c>
      <c r="E2634" s="6" t="inlineStr">
        <is>
          <t>VZ</t>
        </is>
      </c>
      <c r="F2634" s="6" t="inlineStr">
        <is>
          <t>-</t>
        </is>
      </c>
      <c r="G2634" s="7" t="n">
        <v>36.22727203369141</v>
      </c>
      <c r="H2634" s="6">
        <f>P2603</f>
        <v/>
      </c>
      <c r="I2634" s="9">
        <f>Q2603</f>
        <v/>
      </c>
      <c r="J2634" s="7">
        <f>I2634*G2634</f>
        <v/>
      </c>
      <c r="K2634" s="8">
        <f>IF($J$2636=0,0,J2634/$J$2636)</f>
        <v/>
      </c>
      <c r="L2634" s="6" t="inlineStr">
        <is>
          <t>SELECTED</t>
        </is>
      </c>
      <c r="M2634" s="8" t="n">
        <v>0.2</v>
      </c>
      <c r="N2634" s="7">
        <f>M2634*$J$2636-J2634</f>
        <v/>
      </c>
      <c r="O2634" s="9">
        <f>IF(G2634=0,0,N2634/G2634)</f>
        <v/>
      </c>
      <c r="P2634" s="6">
        <f>IF(M2634&gt;0,D2634,"")</f>
        <v/>
      </c>
      <c r="Q2634" s="9">
        <f>I2634+O2634</f>
        <v/>
      </c>
      <c r="R2634" s="7">
        <f>Q2634*G2634</f>
        <v/>
      </c>
      <c r="S2634" s="8">
        <f>IF($R$2636=0,0,R2634/$R$2636)</f>
        <v/>
      </c>
      <c r="T2634" s="8" t="n">
        <v>0.08268350682230374</v>
      </c>
      <c r="U2634" s="8" t="n">
        <v>0.03016061555773741</v>
      </c>
      <c r="V2634" s="6" t="inlineStr">
        <is>
          <t>entered weekly selection</t>
        </is>
      </c>
    </row>
    <row r="2635">
      <c r="A2635" s="6" t="inlineStr">
        <is>
          <t>DJ30</t>
        </is>
      </c>
      <c r="B2635" s="6" t="inlineStr">
        <is>
          <t>2024-08-16</t>
        </is>
      </c>
      <c r="C2635" s="6" t="inlineStr">
        <is>
          <t>DIA</t>
        </is>
      </c>
      <c r="D2635" s="6" t="inlineStr">
        <is>
          <t>WMT</t>
        </is>
      </c>
      <c r="E2635" s="6" t="inlineStr">
        <is>
          <t>WMT</t>
        </is>
      </c>
      <c r="F2635" s="6" t="inlineStr">
        <is>
          <t>-</t>
        </is>
      </c>
      <c r="G2635" s="7" t="n">
        <v>72.30609130859375</v>
      </c>
      <c r="H2635" s="6">
        <f>P2604</f>
        <v/>
      </c>
      <c r="I2635" s="9">
        <f>Q2604</f>
        <v/>
      </c>
      <c r="J2635" s="7">
        <f>I2635*G2635</f>
        <v/>
      </c>
      <c r="K2635" s="8">
        <f>IF($J$2636=0,0,J2635/$J$2636)</f>
        <v/>
      </c>
      <c r="L2635" s="6" t="inlineStr">
        <is>
          <t>SELECTED</t>
        </is>
      </c>
      <c r="M2635" s="8" t="n">
        <v>0.2</v>
      </c>
      <c r="N2635" s="7">
        <f>M2635*$J$2636-J2635</f>
        <v/>
      </c>
      <c r="O2635" s="9">
        <f>IF(G2635=0,0,N2635/G2635)</f>
        <v/>
      </c>
      <c r="P2635" s="6">
        <f>IF(M2635&gt;0,D2635,"")</f>
        <v/>
      </c>
      <c r="Q2635" s="9">
        <f>I2635+O2635</f>
        <v/>
      </c>
      <c r="R2635" s="7">
        <f>Q2635*G2635</f>
        <v/>
      </c>
      <c r="S2635" s="8">
        <f>IF($R$2636=0,0,R2635/$R$2636)</f>
        <v/>
      </c>
      <c r="T2635" s="8" t="n">
        <v>0.08268350682230374</v>
      </c>
      <c r="U2635" s="8" t="n">
        <v>0.03016061555773741</v>
      </c>
      <c r="V2635" s="6" t="inlineStr">
        <is>
          <t>remained in weekly selection</t>
        </is>
      </c>
    </row>
    <row r="2636">
      <c r="A2636" s="10" t="inlineStr">
        <is>
          <t>DJ30</t>
        </is>
      </c>
      <c r="B2636" s="10" t="inlineStr">
        <is>
          <t>2024-08-16</t>
        </is>
      </c>
      <c r="C2636" s="10" t="inlineStr">
        <is>
          <t>DIA</t>
        </is>
      </c>
      <c r="D2636" s="10" t="inlineStr">
        <is>
          <t>Tot Portfolio</t>
        </is>
      </c>
      <c r="E2636" s="10" t="inlineStr"/>
      <c r="F2636" s="10" t="inlineStr"/>
      <c r="G2636" s="11" t="inlineStr"/>
      <c r="H2636" s="10" t="inlineStr"/>
      <c r="I2636" s="12" t="inlineStr"/>
      <c r="J2636" s="11">
        <f>SUM(J2606:J2635)</f>
        <v/>
      </c>
      <c r="K2636" s="13">
        <f>SUM(K2606:K2635)</f>
        <v/>
      </c>
      <c r="L2636" s="10" t="inlineStr">
        <is>
          <t>TOTAL</t>
        </is>
      </c>
      <c r="M2636" s="13">
        <f>SUM(M2606:M2635)</f>
        <v/>
      </c>
      <c r="N2636" s="11">
        <f>SUM(N2606:N2635)</f>
        <v/>
      </c>
      <c r="O2636" s="12">
        <f>SUM(O2606:O2635)</f>
        <v/>
      </c>
      <c r="P2636" s="10" t="inlineStr"/>
      <c r="Q2636" s="12" t="inlineStr"/>
      <c r="R2636" s="11">
        <f>SUM(R2606:R2635)</f>
        <v/>
      </c>
      <c r="S2636" s="13">
        <f>SUM(S2606:S2635)</f>
        <v/>
      </c>
      <c r="T2636" s="13" t="n">
        <v>0.08268350682230374</v>
      </c>
      <c r="U2636" s="13" t="n">
        <v>0.03016061555773741</v>
      </c>
      <c r="V2636" s="10" t="inlineStr"/>
    </row>
    <row r="2637">
      <c r="A2637" s="6" t="inlineStr">
        <is>
          <t>DJ30</t>
        </is>
      </c>
      <c r="B2637" s="6" t="inlineStr">
        <is>
          <t>2024-08-23</t>
        </is>
      </c>
      <c r="C2637" s="6" t="inlineStr">
        <is>
          <t>DIA</t>
        </is>
      </c>
      <c r="D2637" s="6" t="inlineStr">
        <is>
          <t>AAPL</t>
        </is>
      </c>
      <c r="E2637" s="6" t="inlineStr">
        <is>
          <t>AAPL</t>
        </is>
      </c>
      <c r="F2637" s="6" t="inlineStr">
        <is>
          <t>-</t>
        </is>
      </c>
      <c r="G2637" s="7" t="n">
        <v>225.1521911621093</v>
      </c>
      <c r="H2637" s="6">
        <f>P2606</f>
        <v/>
      </c>
      <c r="I2637" s="9">
        <f>Q2606</f>
        <v/>
      </c>
      <c r="J2637" s="7">
        <f>I2637*G2637</f>
        <v/>
      </c>
      <c r="K2637" s="8">
        <f>IF($J$2667=0,0,J2637/$J$2667)</f>
        <v/>
      </c>
      <c r="L2637" s="6" t="inlineStr">
        <is>
          <t>WATCHLIST</t>
        </is>
      </c>
      <c r="M2637" s="8" t="n">
        <v>0</v>
      </c>
      <c r="N2637" s="7">
        <f>M2637*$J$2667-J2637</f>
        <v/>
      </c>
      <c r="O2637" s="9">
        <f>IF(G2637=0,0,N2637/G2637)</f>
        <v/>
      </c>
      <c r="P2637" s="6">
        <f>IF(M2637&gt;0,D2637,"")</f>
        <v/>
      </c>
      <c r="Q2637" s="9">
        <f>I2637+O2637</f>
        <v/>
      </c>
      <c r="R2637" s="7">
        <f>Q2637*G2637</f>
        <v/>
      </c>
      <c r="S2637" s="8">
        <f>IF($R$2667=0,0,R2637/$R$2667)</f>
        <v/>
      </c>
      <c r="T2637" s="8" t="n">
        <v>0.02195526686553961</v>
      </c>
      <c r="U2637" s="8" t="n">
        <v>0.01251400121617641</v>
      </c>
      <c r="V2637" s="6" t="inlineStr">
        <is>
          <t>not selected</t>
        </is>
      </c>
    </row>
    <row r="2638">
      <c r="A2638" s="6" t="inlineStr">
        <is>
          <t>DJ30</t>
        </is>
      </c>
      <c r="B2638" s="6" t="inlineStr">
        <is>
          <t>2024-08-23</t>
        </is>
      </c>
      <c r="C2638" s="6" t="inlineStr">
        <is>
          <t>DIA</t>
        </is>
      </c>
      <c r="D2638" s="6" t="inlineStr">
        <is>
          <t>AMGN</t>
        </is>
      </c>
      <c r="E2638" s="6" t="inlineStr">
        <is>
          <t>AMGN</t>
        </is>
      </c>
      <c r="F2638" s="6" t="inlineStr">
        <is>
          <t>-</t>
        </is>
      </c>
      <c r="G2638" s="7" t="n">
        <v>311.3832702636719</v>
      </c>
      <c r="H2638" s="6">
        <f>P2607</f>
        <v/>
      </c>
      <c r="I2638" s="9">
        <f>Q2607</f>
        <v/>
      </c>
      <c r="J2638" s="7">
        <f>I2638*G2638</f>
        <v/>
      </c>
      <c r="K2638" s="8">
        <f>IF($J$2667=0,0,J2638/$J$2667)</f>
        <v/>
      </c>
      <c r="L2638" s="6" t="inlineStr">
        <is>
          <t>WATCHLIST</t>
        </is>
      </c>
      <c r="M2638" s="8" t="n">
        <v>0</v>
      </c>
      <c r="N2638" s="7">
        <f>M2638*$J$2667-J2638</f>
        <v/>
      </c>
      <c r="O2638" s="9">
        <f>IF(G2638=0,0,N2638/G2638)</f>
        <v/>
      </c>
      <c r="P2638" s="6">
        <f>IF(M2638&gt;0,D2638,"")</f>
        <v/>
      </c>
      <c r="Q2638" s="9">
        <f>I2638+O2638</f>
        <v/>
      </c>
      <c r="R2638" s="7">
        <f>Q2638*G2638</f>
        <v/>
      </c>
      <c r="S2638" s="8">
        <f>IF($R$2667=0,0,R2638/$R$2667)</f>
        <v/>
      </c>
      <c r="T2638" s="8" t="n">
        <v>0.02195526686553961</v>
      </c>
      <c r="U2638" s="8" t="n">
        <v>0.01251400121617641</v>
      </c>
      <c r="V2638" s="6" t="inlineStr">
        <is>
          <t>not selected</t>
        </is>
      </c>
    </row>
    <row r="2639">
      <c r="A2639" s="6" t="inlineStr">
        <is>
          <t>DJ30</t>
        </is>
      </c>
      <c r="B2639" s="6" t="inlineStr">
        <is>
          <t>2024-08-23</t>
        </is>
      </c>
      <c r="C2639" s="6" t="inlineStr">
        <is>
          <t>DIA</t>
        </is>
      </c>
      <c r="D2639" s="6" t="inlineStr">
        <is>
          <t>AMZN</t>
        </is>
      </c>
      <c r="E2639" s="6" t="inlineStr">
        <is>
          <t>AMZN</t>
        </is>
      </c>
      <c r="F2639" s="6" t="inlineStr">
        <is>
          <t>-</t>
        </is>
      </c>
      <c r="G2639" s="7" t="n">
        <v>177.0399932861328</v>
      </c>
      <c r="H2639" s="6">
        <f>P2608</f>
        <v/>
      </c>
      <c r="I2639" s="9">
        <f>Q2608</f>
        <v/>
      </c>
      <c r="J2639" s="7">
        <f>I2639*G2639</f>
        <v/>
      </c>
      <c r="K2639" s="8">
        <f>IF($J$2667=0,0,J2639/$J$2667)</f>
        <v/>
      </c>
      <c r="L2639" s="6" t="inlineStr">
        <is>
          <t>WATCHLIST</t>
        </is>
      </c>
      <c r="M2639" s="8" t="n">
        <v>0</v>
      </c>
      <c r="N2639" s="7">
        <f>M2639*$J$2667-J2639</f>
        <v/>
      </c>
      <c r="O2639" s="9">
        <f>IF(G2639=0,0,N2639/G2639)</f>
        <v/>
      </c>
      <c r="P2639" s="6">
        <f>IF(M2639&gt;0,D2639,"")</f>
        <v/>
      </c>
      <c r="Q2639" s="9">
        <f>I2639+O2639</f>
        <v/>
      </c>
      <c r="R2639" s="7">
        <f>Q2639*G2639</f>
        <v/>
      </c>
      <c r="S2639" s="8">
        <f>IF($R$2667=0,0,R2639/$R$2667)</f>
        <v/>
      </c>
      <c r="T2639" s="8" t="n">
        <v>0.02195526686553961</v>
      </c>
      <c r="U2639" s="8" t="n">
        <v>0.01251400121617641</v>
      </c>
      <c r="V2639" s="6" t="inlineStr">
        <is>
          <t>not selected</t>
        </is>
      </c>
    </row>
    <row r="2640">
      <c r="A2640" s="6" t="inlineStr">
        <is>
          <t>DJ30</t>
        </is>
      </c>
      <c r="B2640" s="6" t="inlineStr">
        <is>
          <t>2024-08-23</t>
        </is>
      </c>
      <c r="C2640" s="6" t="inlineStr">
        <is>
          <t>DIA</t>
        </is>
      </c>
      <c r="D2640" s="6" t="inlineStr">
        <is>
          <t>AXP</t>
        </is>
      </c>
      <c r="E2640" s="6" t="inlineStr">
        <is>
          <t>AXP</t>
        </is>
      </c>
      <c r="F2640" s="6" t="inlineStr">
        <is>
          <t>-</t>
        </is>
      </c>
      <c r="G2640" s="7" t="n">
        <v>246.6443939208984</v>
      </c>
      <c r="H2640" s="6">
        <f>P2609</f>
        <v/>
      </c>
      <c r="I2640" s="9">
        <f>Q2609</f>
        <v/>
      </c>
      <c r="J2640" s="7">
        <f>I2640*G2640</f>
        <v/>
      </c>
      <c r="K2640" s="8">
        <f>IF($J$2667=0,0,J2640/$J$2667)</f>
        <v/>
      </c>
      <c r="L2640" s="6" t="inlineStr">
        <is>
          <t>SELECTED</t>
        </is>
      </c>
      <c r="M2640" s="8" t="n">
        <v>0.2</v>
      </c>
      <c r="N2640" s="7">
        <f>M2640*$J$2667-J2640</f>
        <v/>
      </c>
      <c r="O2640" s="9">
        <f>IF(G2640=0,0,N2640/G2640)</f>
        <v/>
      </c>
      <c r="P2640" s="6">
        <f>IF(M2640&gt;0,D2640,"")</f>
        <v/>
      </c>
      <c r="Q2640" s="9">
        <f>I2640+O2640</f>
        <v/>
      </c>
      <c r="R2640" s="7">
        <f>Q2640*G2640</f>
        <v/>
      </c>
      <c r="S2640" s="8">
        <f>IF($R$2667=0,0,R2640/$R$2667)</f>
        <v/>
      </c>
      <c r="T2640" s="8" t="n">
        <v>0.02195526686553961</v>
      </c>
      <c r="U2640" s="8" t="n">
        <v>0.01251400121617641</v>
      </c>
      <c r="V2640" s="6" t="inlineStr">
        <is>
          <t>remained in weekly selection</t>
        </is>
      </c>
    </row>
    <row r="2641">
      <c r="A2641" s="6" t="inlineStr">
        <is>
          <t>DJ30</t>
        </is>
      </c>
      <c r="B2641" s="6" t="inlineStr">
        <is>
          <t>2024-08-23</t>
        </is>
      </c>
      <c r="C2641" s="6" t="inlineStr">
        <is>
          <t>DIA</t>
        </is>
      </c>
      <c r="D2641" s="6" t="inlineStr">
        <is>
          <t>BA</t>
        </is>
      </c>
      <c r="E2641" s="6" t="inlineStr">
        <is>
          <t>BA</t>
        </is>
      </c>
      <c r="F2641" s="6" t="inlineStr">
        <is>
          <t>-</t>
        </is>
      </c>
      <c r="G2641" s="7" t="n">
        <v>174.9600067138672</v>
      </c>
      <c r="H2641" s="6">
        <f>P2610</f>
        <v/>
      </c>
      <c r="I2641" s="9">
        <f>Q2610</f>
        <v/>
      </c>
      <c r="J2641" s="7">
        <f>I2641*G2641</f>
        <v/>
      </c>
      <c r="K2641" s="8">
        <f>IF($J$2667=0,0,J2641/$J$2667)</f>
        <v/>
      </c>
      <c r="L2641" s="6" t="inlineStr">
        <is>
          <t>REJECTED</t>
        </is>
      </c>
      <c r="M2641" s="8" t="n">
        <v>0</v>
      </c>
      <c r="N2641" s="7">
        <f>M2641*$J$2667-J2641</f>
        <v/>
      </c>
      <c r="O2641" s="9">
        <f>IF(G2641=0,0,N2641/G2641)</f>
        <v/>
      </c>
      <c r="P2641" s="6">
        <f>IF(M2641&gt;0,D2641,"")</f>
        <v/>
      </c>
      <c r="Q2641" s="9">
        <f>I2641+O2641</f>
        <v/>
      </c>
      <c r="R2641" s="7">
        <f>Q2641*G2641</f>
        <v/>
      </c>
      <c r="S2641" s="8">
        <f>IF($R$2667=0,0,R2641/$R$2667)</f>
        <v/>
      </c>
      <c r="T2641" s="8" t="n">
        <v>0.02195526686553961</v>
      </c>
      <c r="U2641" s="8" t="n">
        <v>0.01251400121617641</v>
      </c>
      <c r="V2641" s="6" t="inlineStr">
        <is>
          <t>not selected</t>
        </is>
      </c>
    </row>
    <row r="2642">
      <c r="A2642" s="6" t="inlineStr">
        <is>
          <t>DJ30</t>
        </is>
      </c>
      <c r="B2642" s="6" t="inlineStr">
        <is>
          <t>2024-08-23</t>
        </is>
      </c>
      <c r="C2642" s="6" t="inlineStr">
        <is>
          <t>DIA</t>
        </is>
      </c>
      <c r="D2642" s="6" t="inlineStr">
        <is>
          <t>CAT</t>
        </is>
      </c>
      <c r="E2642" s="6" t="inlineStr">
        <is>
          <t>CAT</t>
        </is>
      </c>
      <c r="F2642" s="6" t="inlineStr">
        <is>
          <t>-</t>
        </is>
      </c>
      <c r="G2642" s="7" t="n">
        <v>340.551513671875</v>
      </c>
      <c r="H2642" s="6">
        <f>P2611</f>
        <v/>
      </c>
      <c r="I2642" s="9">
        <f>Q2611</f>
        <v/>
      </c>
      <c r="J2642" s="7">
        <f>I2642*G2642</f>
        <v/>
      </c>
      <c r="K2642" s="8">
        <f>IF($J$2667=0,0,J2642/$J$2667)</f>
        <v/>
      </c>
      <c r="L2642" s="6" t="inlineStr">
        <is>
          <t>WATCHLIST</t>
        </is>
      </c>
      <c r="M2642" s="8" t="n">
        <v>0</v>
      </c>
      <c r="N2642" s="7">
        <f>M2642*$J$2667-J2642</f>
        <v/>
      </c>
      <c r="O2642" s="9">
        <f>IF(G2642=0,0,N2642/G2642)</f>
        <v/>
      </c>
      <c r="P2642" s="6">
        <f>IF(M2642&gt;0,D2642,"")</f>
        <v/>
      </c>
      <c r="Q2642" s="9">
        <f>I2642+O2642</f>
        <v/>
      </c>
      <c r="R2642" s="7">
        <f>Q2642*G2642</f>
        <v/>
      </c>
      <c r="S2642" s="8">
        <f>IF($R$2667=0,0,R2642/$R$2667)</f>
        <v/>
      </c>
      <c r="T2642" s="8" t="n">
        <v>0.02195526686553961</v>
      </c>
      <c r="U2642" s="8" t="n">
        <v>0.01251400121617641</v>
      </c>
      <c r="V2642" s="6" t="inlineStr">
        <is>
          <t>not selected</t>
        </is>
      </c>
    </row>
    <row r="2643">
      <c r="A2643" s="6" t="inlineStr">
        <is>
          <t>DJ30</t>
        </is>
      </c>
      <c r="B2643" s="6" t="inlineStr">
        <is>
          <t>2024-08-23</t>
        </is>
      </c>
      <c r="C2643" s="6" t="inlineStr">
        <is>
          <t>DIA</t>
        </is>
      </c>
      <c r="D2643" s="6" t="inlineStr">
        <is>
          <t>CRM</t>
        </is>
      </c>
      <c r="E2643" s="6" t="inlineStr">
        <is>
          <t>CRM</t>
        </is>
      </c>
      <c r="F2643" s="6" t="inlineStr">
        <is>
          <t>-</t>
        </is>
      </c>
      <c r="G2643" s="7" t="n">
        <v>260.2537841796875</v>
      </c>
      <c r="H2643" s="6">
        <f>P2612</f>
        <v/>
      </c>
      <c r="I2643" s="9">
        <f>Q2612</f>
        <v/>
      </c>
      <c r="J2643" s="7">
        <f>I2643*G2643</f>
        <v/>
      </c>
      <c r="K2643" s="8">
        <f>IF($J$2667=0,0,J2643/$J$2667)</f>
        <v/>
      </c>
      <c r="L2643" s="6" t="inlineStr">
        <is>
          <t>REJECTED</t>
        </is>
      </c>
      <c r="M2643" s="8" t="n">
        <v>0</v>
      </c>
      <c r="N2643" s="7">
        <f>M2643*$J$2667-J2643</f>
        <v/>
      </c>
      <c r="O2643" s="9">
        <f>IF(G2643=0,0,N2643/G2643)</f>
        <v/>
      </c>
      <c r="P2643" s="6">
        <f>IF(M2643&gt;0,D2643,"")</f>
        <v/>
      </c>
      <c r="Q2643" s="9">
        <f>I2643+O2643</f>
        <v/>
      </c>
      <c r="R2643" s="7">
        <f>Q2643*G2643</f>
        <v/>
      </c>
      <c r="S2643" s="8">
        <f>IF($R$2667=0,0,R2643/$R$2667)</f>
        <v/>
      </c>
      <c r="T2643" s="8" t="n">
        <v>0.02195526686553961</v>
      </c>
      <c r="U2643" s="8" t="n">
        <v>0.01251400121617641</v>
      </c>
      <c r="V2643" s="6" t="inlineStr">
        <is>
          <t>not selected</t>
        </is>
      </c>
    </row>
    <row r="2644">
      <c r="A2644" s="6" t="inlineStr">
        <is>
          <t>DJ30</t>
        </is>
      </c>
      <c r="B2644" s="6" t="inlineStr">
        <is>
          <t>2024-08-23</t>
        </is>
      </c>
      <c r="C2644" s="6" t="inlineStr">
        <is>
          <t>DIA</t>
        </is>
      </c>
      <c r="D2644" s="6" t="inlineStr">
        <is>
          <t>CSCO</t>
        </is>
      </c>
      <c r="E2644" s="6" t="inlineStr">
        <is>
          <t>CSCO</t>
        </is>
      </c>
      <c r="F2644" s="6" t="inlineStr">
        <is>
          <t>-</t>
        </is>
      </c>
      <c r="G2644" s="7" t="n">
        <v>48.56482315063477</v>
      </c>
      <c r="H2644" s="6">
        <f>P2613</f>
        <v/>
      </c>
      <c r="I2644" s="9">
        <f>Q2613</f>
        <v/>
      </c>
      <c r="J2644" s="7">
        <f>I2644*G2644</f>
        <v/>
      </c>
      <c r="K2644" s="8">
        <f>IF($J$2667=0,0,J2644/$J$2667)</f>
        <v/>
      </c>
      <c r="L2644" s="6" t="inlineStr">
        <is>
          <t>REJECTED</t>
        </is>
      </c>
      <c r="M2644" s="8" t="n">
        <v>0</v>
      </c>
      <c r="N2644" s="7">
        <f>M2644*$J$2667-J2644</f>
        <v/>
      </c>
      <c r="O2644" s="9">
        <f>IF(G2644=0,0,N2644/G2644)</f>
        <v/>
      </c>
      <c r="P2644" s="6">
        <f>IF(M2644&gt;0,D2644,"")</f>
        <v/>
      </c>
      <c r="Q2644" s="9">
        <f>I2644+O2644</f>
        <v/>
      </c>
      <c r="R2644" s="7">
        <f>Q2644*G2644</f>
        <v/>
      </c>
      <c r="S2644" s="8">
        <f>IF($R$2667=0,0,R2644/$R$2667)</f>
        <v/>
      </c>
      <c r="T2644" s="8" t="n">
        <v>0.02195526686553961</v>
      </c>
      <c r="U2644" s="8" t="n">
        <v>0.01251400121617641</v>
      </c>
      <c r="V2644" s="6" t="inlineStr">
        <is>
          <t>not selected</t>
        </is>
      </c>
    </row>
    <row r="2645">
      <c r="A2645" s="6" t="inlineStr">
        <is>
          <t>DJ30</t>
        </is>
      </c>
      <c r="B2645" s="6" t="inlineStr">
        <is>
          <t>2024-08-23</t>
        </is>
      </c>
      <c r="C2645" s="6" t="inlineStr">
        <is>
          <t>DIA</t>
        </is>
      </c>
      <c r="D2645" s="6" t="inlineStr">
        <is>
          <t>CVX</t>
        </is>
      </c>
      <c r="E2645" s="6" t="inlineStr">
        <is>
          <t>CVX</t>
        </is>
      </c>
      <c r="F2645" s="6" t="inlineStr">
        <is>
          <t>-</t>
        </is>
      </c>
      <c r="G2645" s="7" t="n">
        <v>137.0471954345703</v>
      </c>
      <c r="H2645" s="6">
        <f>P2614</f>
        <v/>
      </c>
      <c r="I2645" s="9">
        <f>Q2614</f>
        <v/>
      </c>
      <c r="J2645" s="7">
        <f>I2645*G2645</f>
        <v/>
      </c>
      <c r="K2645" s="8">
        <f>IF($J$2667=0,0,J2645/$J$2667)</f>
        <v/>
      </c>
      <c r="L2645" s="6" t="inlineStr">
        <is>
          <t>REJECTED</t>
        </is>
      </c>
      <c r="M2645" s="8" t="n">
        <v>0</v>
      </c>
      <c r="N2645" s="7">
        <f>M2645*$J$2667-J2645</f>
        <v/>
      </c>
      <c r="O2645" s="9">
        <f>IF(G2645=0,0,N2645/G2645)</f>
        <v/>
      </c>
      <c r="P2645" s="6">
        <f>IF(M2645&gt;0,D2645,"")</f>
        <v/>
      </c>
      <c r="Q2645" s="9">
        <f>I2645+O2645</f>
        <v/>
      </c>
      <c r="R2645" s="7">
        <f>Q2645*G2645</f>
        <v/>
      </c>
      <c r="S2645" s="8">
        <f>IF($R$2667=0,0,R2645/$R$2667)</f>
        <v/>
      </c>
      <c r="T2645" s="8" t="n">
        <v>0.02195526686553961</v>
      </c>
      <c r="U2645" s="8" t="n">
        <v>0.01251400121617641</v>
      </c>
      <c r="V2645" s="6" t="inlineStr">
        <is>
          <t>not selected</t>
        </is>
      </c>
    </row>
    <row r="2646">
      <c r="A2646" s="6" t="inlineStr">
        <is>
          <t>DJ30</t>
        </is>
      </c>
      <c r="B2646" s="6" t="inlineStr">
        <is>
          <t>2024-08-23</t>
        </is>
      </c>
      <c r="C2646" s="6" t="inlineStr">
        <is>
          <t>DIA</t>
        </is>
      </c>
      <c r="D2646" s="6" t="inlineStr">
        <is>
          <t>DIS</t>
        </is>
      </c>
      <c r="E2646" s="6" t="inlineStr">
        <is>
          <t>DIS</t>
        </is>
      </c>
      <c r="F2646" s="6" t="inlineStr">
        <is>
          <t>-</t>
        </is>
      </c>
      <c r="G2646" s="7" t="n">
        <v>89.17430114746094</v>
      </c>
      <c r="H2646" s="6">
        <f>P2615</f>
        <v/>
      </c>
      <c r="I2646" s="9">
        <f>Q2615</f>
        <v/>
      </c>
      <c r="J2646" s="7">
        <f>I2646*G2646</f>
        <v/>
      </c>
      <c r="K2646" s="8">
        <f>IF($J$2667=0,0,J2646/$J$2667)</f>
        <v/>
      </c>
      <c r="L2646" s="6" t="inlineStr">
        <is>
          <t>REJECTED</t>
        </is>
      </c>
      <c r="M2646" s="8" t="n">
        <v>0</v>
      </c>
      <c r="N2646" s="7">
        <f>M2646*$J$2667-J2646</f>
        <v/>
      </c>
      <c r="O2646" s="9">
        <f>IF(G2646=0,0,N2646/G2646)</f>
        <v/>
      </c>
      <c r="P2646" s="6">
        <f>IF(M2646&gt;0,D2646,"")</f>
        <v/>
      </c>
      <c r="Q2646" s="9">
        <f>I2646+O2646</f>
        <v/>
      </c>
      <c r="R2646" s="7">
        <f>Q2646*G2646</f>
        <v/>
      </c>
      <c r="S2646" s="8">
        <f>IF($R$2667=0,0,R2646/$R$2667)</f>
        <v/>
      </c>
      <c r="T2646" s="8" t="n">
        <v>0.02195526686553961</v>
      </c>
      <c r="U2646" s="8" t="n">
        <v>0.01251400121617641</v>
      </c>
      <c r="V2646" s="6" t="inlineStr">
        <is>
          <t>not selected</t>
        </is>
      </c>
    </row>
    <row r="2647">
      <c r="A2647" s="6" t="inlineStr">
        <is>
          <t>DJ30</t>
        </is>
      </c>
      <c r="B2647" s="6" t="inlineStr">
        <is>
          <t>2024-08-23</t>
        </is>
      </c>
      <c r="C2647" s="6" t="inlineStr">
        <is>
          <t>DIA</t>
        </is>
      </c>
      <c r="D2647" s="6" t="inlineStr">
        <is>
          <t>GS</t>
        </is>
      </c>
      <c r="E2647" s="6" t="inlineStr">
        <is>
          <t>GS</t>
        </is>
      </c>
      <c r="F2647" s="6" t="inlineStr">
        <is>
          <t>-</t>
        </is>
      </c>
      <c r="G2647" s="7" t="n">
        <v>489.1080017089844</v>
      </c>
      <c r="H2647" s="6">
        <f>P2616</f>
        <v/>
      </c>
      <c r="I2647" s="9">
        <f>Q2616</f>
        <v/>
      </c>
      <c r="J2647" s="7">
        <f>I2647*G2647</f>
        <v/>
      </c>
      <c r="K2647" s="8">
        <f>IF($J$2667=0,0,J2647/$J$2667)</f>
        <v/>
      </c>
      <c r="L2647" s="6" t="inlineStr">
        <is>
          <t>WATCHLIST</t>
        </is>
      </c>
      <c r="M2647" s="8" t="n">
        <v>0</v>
      </c>
      <c r="N2647" s="7">
        <f>M2647*$J$2667-J2647</f>
        <v/>
      </c>
      <c r="O2647" s="9">
        <f>IF(G2647=0,0,N2647/G2647)</f>
        <v/>
      </c>
      <c r="P2647" s="6">
        <f>IF(M2647&gt;0,D2647,"")</f>
        <v/>
      </c>
      <c r="Q2647" s="9">
        <f>I2647+O2647</f>
        <v/>
      </c>
      <c r="R2647" s="7">
        <f>Q2647*G2647</f>
        <v/>
      </c>
      <c r="S2647" s="8">
        <f>IF($R$2667=0,0,R2647/$R$2667)</f>
        <v/>
      </c>
      <c r="T2647" s="8" t="n">
        <v>0.02195526686553961</v>
      </c>
      <c r="U2647" s="8" t="n">
        <v>0.01251400121617641</v>
      </c>
      <c r="V2647" s="6" t="inlineStr">
        <is>
          <t>not selected</t>
        </is>
      </c>
    </row>
    <row r="2648">
      <c r="A2648" s="6" t="inlineStr">
        <is>
          <t>DJ30</t>
        </is>
      </c>
      <c r="B2648" s="6" t="inlineStr">
        <is>
          <t>2024-08-23</t>
        </is>
      </c>
      <c r="C2648" s="6" t="inlineStr">
        <is>
          <t>DIA</t>
        </is>
      </c>
      <c r="D2648" s="6" t="inlineStr">
        <is>
          <t>HD</t>
        </is>
      </c>
      <c r="E2648" s="6" t="inlineStr">
        <is>
          <t>HD</t>
        </is>
      </c>
      <c r="F2648" s="6" t="inlineStr">
        <is>
          <t>-</t>
        </is>
      </c>
      <c r="G2648" s="7" t="n">
        <v>357.2474670410156</v>
      </c>
      <c r="H2648" s="6">
        <f>P2617</f>
        <v/>
      </c>
      <c r="I2648" s="9">
        <f>Q2617</f>
        <v/>
      </c>
      <c r="J2648" s="7">
        <f>I2648*G2648</f>
        <v/>
      </c>
      <c r="K2648" s="8">
        <f>IF($J$2667=0,0,J2648/$J$2667)</f>
        <v/>
      </c>
      <c r="L2648" s="6" t="inlineStr">
        <is>
          <t>WATCHLIST</t>
        </is>
      </c>
      <c r="M2648" s="8" t="n">
        <v>0</v>
      </c>
      <c r="N2648" s="7">
        <f>M2648*$J$2667-J2648</f>
        <v/>
      </c>
      <c r="O2648" s="9">
        <f>IF(G2648=0,0,N2648/G2648)</f>
        <v/>
      </c>
      <c r="P2648" s="6">
        <f>IF(M2648&gt;0,D2648,"")</f>
        <v/>
      </c>
      <c r="Q2648" s="9">
        <f>I2648+O2648</f>
        <v/>
      </c>
      <c r="R2648" s="7">
        <f>Q2648*G2648</f>
        <v/>
      </c>
      <c r="S2648" s="8">
        <f>IF($R$2667=0,0,R2648/$R$2667)</f>
        <v/>
      </c>
      <c r="T2648" s="8" t="n">
        <v>0.02195526686553961</v>
      </c>
      <c r="U2648" s="8" t="n">
        <v>0.01251400121617641</v>
      </c>
      <c r="V2648" s="6" t="inlineStr">
        <is>
          <t>not selected</t>
        </is>
      </c>
    </row>
    <row r="2649">
      <c r="A2649" s="6" t="inlineStr">
        <is>
          <t>DJ30</t>
        </is>
      </c>
      <c r="B2649" s="6" t="inlineStr">
        <is>
          <t>2024-08-23</t>
        </is>
      </c>
      <c r="C2649" s="6" t="inlineStr">
        <is>
          <t>DIA</t>
        </is>
      </c>
      <c r="D2649" s="6" t="inlineStr">
        <is>
          <t>HON</t>
        </is>
      </c>
      <c r="E2649" s="6" t="inlineStr">
        <is>
          <t>HON</t>
        </is>
      </c>
      <c r="F2649" s="6" t="inlineStr">
        <is>
          <t>-</t>
        </is>
      </c>
      <c r="G2649" s="7" t="n">
        <v>183.9175262451172</v>
      </c>
      <c r="H2649" s="6">
        <f>P2618</f>
        <v/>
      </c>
      <c r="I2649" s="9">
        <f>Q2618</f>
        <v/>
      </c>
      <c r="J2649" s="7">
        <f>I2649*G2649</f>
        <v/>
      </c>
      <c r="K2649" s="8">
        <f>IF($J$2667=0,0,J2649/$J$2667)</f>
        <v/>
      </c>
      <c r="L2649" s="6" t="inlineStr">
        <is>
          <t>WATCHLIST</t>
        </is>
      </c>
      <c r="M2649" s="8" t="n">
        <v>0</v>
      </c>
      <c r="N2649" s="7">
        <f>M2649*$J$2667-J2649</f>
        <v/>
      </c>
      <c r="O2649" s="9">
        <f>IF(G2649=0,0,N2649/G2649)</f>
        <v/>
      </c>
      <c r="P2649" s="6">
        <f>IF(M2649&gt;0,D2649,"")</f>
        <v/>
      </c>
      <c r="Q2649" s="9">
        <f>I2649+O2649</f>
        <v/>
      </c>
      <c r="R2649" s="7">
        <f>Q2649*G2649</f>
        <v/>
      </c>
      <c r="S2649" s="8">
        <f>IF($R$2667=0,0,R2649/$R$2667)</f>
        <v/>
      </c>
      <c r="T2649" s="8" t="n">
        <v>0.02195526686553961</v>
      </c>
      <c r="U2649" s="8" t="n">
        <v>0.01251400121617641</v>
      </c>
      <c r="V2649" s="6" t="inlineStr">
        <is>
          <t>not selected</t>
        </is>
      </c>
    </row>
    <row r="2650">
      <c r="A2650" s="6" t="inlineStr">
        <is>
          <t>DJ30</t>
        </is>
      </c>
      <c r="B2650" s="6" t="inlineStr">
        <is>
          <t>2024-08-23</t>
        </is>
      </c>
      <c r="C2650" s="6" t="inlineStr">
        <is>
          <t>DIA</t>
        </is>
      </c>
      <c r="D2650" s="6" t="inlineStr">
        <is>
          <t>IBM</t>
        </is>
      </c>
      <c r="E2650" s="6" t="inlineStr">
        <is>
          <t>IBM</t>
        </is>
      </c>
      <c r="F2650" s="6" t="inlineStr">
        <is>
          <t>-</t>
        </is>
      </c>
      <c r="G2650" s="7" t="n">
        <v>187.2129669189453</v>
      </c>
      <c r="H2650" s="6">
        <f>P2619</f>
        <v/>
      </c>
      <c r="I2650" s="9">
        <f>Q2619</f>
        <v/>
      </c>
      <c r="J2650" s="7">
        <f>I2650*G2650</f>
        <v/>
      </c>
      <c r="K2650" s="8">
        <f>IF($J$2667=0,0,J2650/$J$2667)</f>
        <v/>
      </c>
      <c r="L2650" s="6" t="inlineStr">
        <is>
          <t>WATCHLIST</t>
        </is>
      </c>
      <c r="M2650" s="8" t="n">
        <v>0</v>
      </c>
      <c r="N2650" s="7">
        <f>M2650*$J$2667-J2650</f>
        <v/>
      </c>
      <c r="O2650" s="9">
        <f>IF(G2650=0,0,N2650/G2650)</f>
        <v/>
      </c>
      <c r="P2650" s="6">
        <f>IF(M2650&gt;0,D2650,"")</f>
        <v/>
      </c>
      <c r="Q2650" s="9">
        <f>I2650+O2650</f>
        <v/>
      </c>
      <c r="R2650" s="7">
        <f>Q2650*G2650</f>
        <v/>
      </c>
      <c r="S2650" s="8">
        <f>IF($R$2667=0,0,R2650/$R$2667)</f>
        <v/>
      </c>
      <c r="T2650" s="8" t="n">
        <v>0.02195526686553961</v>
      </c>
      <c r="U2650" s="8" t="n">
        <v>0.01251400121617641</v>
      </c>
      <c r="V2650" s="6" t="inlineStr">
        <is>
          <t>not selected</t>
        </is>
      </c>
    </row>
    <row r="2651">
      <c r="A2651" s="6" t="inlineStr">
        <is>
          <t>DJ30</t>
        </is>
      </c>
      <c r="B2651" s="6" t="inlineStr">
        <is>
          <t>2024-08-23</t>
        </is>
      </c>
      <c r="C2651" s="6" t="inlineStr">
        <is>
          <t>DIA</t>
        </is>
      </c>
      <c r="D2651" s="6" t="inlineStr">
        <is>
          <t>JNJ</t>
        </is>
      </c>
      <c r="E2651" s="6" t="inlineStr">
        <is>
          <t>JNJ</t>
        </is>
      </c>
      <c r="F2651" s="6" t="inlineStr">
        <is>
          <t>-</t>
        </is>
      </c>
      <c r="G2651" s="7" t="n">
        <v>155.0762939453125</v>
      </c>
      <c r="H2651" s="6">
        <f>P2620</f>
        <v/>
      </c>
      <c r="I2651" s="9">
        <f>Q2620</f>
        <v/>
      </c>
      <c r="J2651" s="7">
        <f>I2651*G2651</f>
        <v/>
      </c>
      <c r="K2651" s="8">
        <f>IF($J$2667=0,0,J2651/$J$2667)</f>
        <v/>
      </c>
      <c r="L2651" s="6" t="inlineStr">
        <is>
          <t>REJECTED</t>
        </is>
      </c>
      <c r="M2651" s="8" t="n">
        <v>0</v>
      </c>
      <c r="N2651" s="7">
        <f>M2651*$J$2667-J2651</f>
        <v/>
      </c>
      <c r="O2651" s="9">
        <f>IF(G2651=0,0,N2651/G2651)</f>
        <v/>
      </c>
      <c r="P2651" s="6">
        <f>IF(M2651&gt;0,D2651,"")</f>
        <v/>
      </c>
      <c r="Q2651" s="9">
        <f>I2651+O2651</f>
        <v/>
      </c>
      <c r="R2651" s="7">
        <f>Q2651*G2651</f>
        <v/>
      </c>
      <c r="S2651" s="8">
        <f>IF($R$2667=0,0,R2651/$R$2667)</f>
        <v/>
      </c>
      <c r="T2651" s="8" t="n">
        <v>0.02195526686553961</v>
      </c>
      <c r="U2651" s="8" t="n">
        <v>0.01251400121617641</v>
      </c>
      <c r="V2651" s="6" t="inlineStr">
        <is>
          <t>not selected</t>
        </is>
      </c>
    </row>
    <row r="2652">
      <c r="A2652" s="6" t="inlineStr">
        <is>
          <t>DJ30</t>
        </is>
      </c>
      <c r="B2652" s="6" t="inlineStr">
        <is>
          <t>2024-08-23</t>
        </is>
      </c>
      <c r="C2652" s="6" t="inlineStr">
        <is>
          <t>DIA</t>
        </is>
      </c>
      <c r="D2652" s="6" t="inlineStr">
        <is>
          <t>JPM</t>
        </is>
      </c>
      <c r="E2652" s="6" t="inlineStr">
        <is>
          <t>JPM</t>
        </is>
      </c>
      <c r="F2652" s="6" t="inlineStr">
        <is>
          <t>-</t>
        </is>
      </c>
      <c r="G2652" s="7" t="n">
        <v>210.4511260986328</v>
      </c>
      <c r="H2652" s="6">
        <f>P2621</f>
        <v/>
      </c>
      <c r="I2652" s="9">
        <f>Q2621</f>
        <v/>
      </c>
      <c r="J2652" s="7">
        <f>I2652*G2652</f>
        <v/>
      </c>
      <c r="K2652" s="8">
        <f>IF($J$2667=0,0,J2652/$J$2667)</f>
        <v/>
      </c>
      <c r="L2652" s="6" t="inlineStr">
        <is>
          <t>WATCHLIST</t>
        </is>
      </c>
      <c r="M2652" s="8" t="n">
        <v>0</v>
      </c>
      <c r="N2652" s="7">
        <f>M2652*$J$2667-J2652</f>
        <v/>
      </c>
      <c r="O2652" s="9">
        <f>IF(G2652=0,0,N2652/G2652)</f>
        <v/>
      </c>
      <c r="P2652" s="6">
        <f>IF(M2652&gt;0,D2652,"")</f>
        <v/>
      </c>
      <c r="Q2652" s="9">
        <f>I2652+O2652</f>
        <v/>
      </c>
      <c r="R2652" s="7">
        <f>Q2652*G2652</f>
        <v/>
      </c>
      <c r="S2652" s="8">
        <f>IF($R$2667=0,0,R2652/$R$2667)</f>
        <v/>
      </c>
      <c r="T2652" s="8" t="n">
        <v>0.02195526686553961</v>
      </c>
      <c r="U2652" s="8" t="n">
        <v>0.01251400121617641</v>
      </c>
      <c r="V2652" s="6" t="inlineStr">
        <is>
          <t>not selected</t>
        </is>
      </c>
    </row>
    <row r="2653">
      <c r="A2653" s="6" t="inlineStr">
        <is>
          <t>DJ30</t>
        </is>
      </c>
      <c r="B2653" s="6" t="inlineStr">
        <is>
          <t>2024-08-23</t>
        </is>
      </c>
      <c r="C2653" s="6" t="inlineStr">
        <is>
          <t>DIA</t>
        </is>
      </c>
      <c r="D2653" s="6" t="inlineStr">
        <is>
          <t>KO</t>
        </is>
      </c>
      <c r="E2653" s="6" t="inlineStr">
        <is>
          <t>KO</t>
        </is>
      </c>
      <c r="F2653" s="6" t="inlineStr">
        <is>
          <t>-</t>
        </is>
      </c>
      <c r="G2653" s="7" t="n">
        <v>65.93952941894531</v>
      </c>
      <c r="H2653" s="6">
        <f>P2622</f>
        <v/>
      </c>
      <c r="I2653" s="9">
        <f>Q2622</f>
        <v/>
      </c>
      <c r="J2653" s="7">
        <f>I2653*G2653</f>
        <v/>
      </c>
      <c r="K2653" s="8">
        <f>IF($J$2667=0,0,J2653/$J$2667)</f>
        <v/>
      </c>
      <c r="L2653" s="6" t="inlineStr">
        <is>
          <t>WATCHLIST</t>
        </is>
      </c>
      <c r="M2653" s="8" t="n">
        <v>0</v>
      </c>
      <c r="N2653" s="7">
        <f>M2653*$J$2667-J2653</f>
        <v/>
      </c>
      <c r="O2653" s="9">
        <f>IF(G2653=0,0,N2653/G2653)</f>
        <v/>
      </c>
      <c r="P2653" s="6">
        <f>IF(M2653&gt;0,D2653,"")</f>
        <v/>
      </c>
      <c r="Q2653" s="9">
        <f>I2653+O2653</f>
        <v/>
      </c>
      <c r="R2653" s="7">
        <f>Q2653*G2653</f>
        <v/>
      </c>
      <c r="S2653" s="8">
        <f>IF($R$2667=0,0,R2653/$R$2667)</f>
        <v/>
      </c>
      <c r="T2653" s="8" t="n">
        <v>0.02195526686553961</v>
      </c>
      <c r="U2653" s="8" t="n">
        <v>0.01251400121617641</v>
      </c>
      <c r="V2653" s="6" t="inlineStr">
        <is>
          <t>not selected</t>
        </is>
      </c>
    </row>
    <row r="2654">
      <c r="A2654" s="6" t="inlineStr">
        <is>
          <t>DJ30</t>
        </is>
      </c>
      <c r="B2654" s="6" t="inlineStr">
        <is>
          <t>2024-08-23</t>
        </is>
      </c>
      <c r="C2654" s="6" t="inlineStr">
        <is>
          <t>DIA</t>
        </is>
      </c>
      <c r="D2654" s="6" t="inlineStr">
        <is>
          <t>MCD</t>
        </is>
      </c>
      <c r="E2654" s="6" t="inlineStr">
        <is>
          <t>MCD</t>
        </is>
      </c>
      <c r="F2654" s="6" t="inlineStr">
        <is>
          <t>-</t>
        </is>
      </c>
      <c r="G2654" s="7" t="n">
        <v>276.1759338378906</v>
      </c>
      <c r="H2654" s="6">
        <f>P2623</f>
        <v/>
      </c>
      <c r="I2654" s="9">
        <f>Q2623</f>
        <v/>
      </c>
      <c r="J2654" s="7">
        <f>I2654*G2654</f>
        <v/>
      </c>
      <c r="K2654" s="8">
        <f>IF($J$2667=0,0,J2654/$J$2667)</f>
        <v/>
      </c>
      <c r="L2654" s="6" t="inlineStr">
        <is>
          <t>REJECTED</t>
        </is>
      </c>
      <c r="M2654" s="8" t="n">
        <v>0</v>
      </c>
      <c r="N2654" s="7">
        <f>M2654*$J$2667-J2654</f>
        <v/>
      </c>
      <c r="O2654" s="9">
        <f>IF(G2654=0,0,N2654/G2654)</f>
        <v/>
      </c>
      <c r="P2654" s="6">
        <f>IF(M2654&gt;0,D2654,"")</f>
        <v/>
      </c>
      <c r="Q2654" s="9">
        <f>I2654+O2654</f>
        <v/>
      </c>
      <c r="R2654" s="7">
        <f>Q2654*G2654</f>
        <v/>
      </c>
      <c r="S2654" s="8">
        <f>IF($R$2667=0,0,R2654/$R$2667)</f>
        <v/>
      </c>
      <c r="T2654" s="8" t="n">
        <v>0.02195526686553961</v>
      </c>
      <c r="U2654" s="8" t="n">
        <v>0.01251400121617641</v>
      </c>
      <c r="V2654" s="6" t="inlineStr">
        <is>
          <t>not selected</t>
        </is>
      </c>
    </row>
    <row r="2655">
      <c r="A2655" s="6" t="inlineStr">
        <is>
          <t>DJ30</t>
        </is>
      </c>
      <c r="B2655" s="6" t="inlineStr">
        <is>
          <t>2024-08-23</t>
        </is>
      </c>
      <c r="C2655" s="6" t="inlineStr">
        <is>
          <t>DIA</t>
        </is>
      </c>
      <c r="D2655" s="6" t="inlineStr">
        <is>
          <t>MMM</t>
        </is>
      </c>
      <c r="E2655" s="6" t="inlineStr">
        <is>
          <t>MMM</t>
        </is>
      </c>
      <c r="F2655" s="6" t="inlineStr">
        <is>
          <t>-</t>
        </is>
      </c>
      <c r="G2655" s="7" t="n">
        <v>125.5540313720703</v>
      </c>
      <c r="H2655" s="6">
        <f>P2624</f>
        <v/>
      </c>
      <c r="I2655" s="9">
        <f>Q2624</f>
        <v/>
      </c>
      <c r="J2655" s="7">
        <f>I2655*G2655</f>
        <v/>
      </c>
      <c r="K2655" s="8">
        <f>IF($J$2667=0,0,J2655/$J$2667)</f>
        <v/>
      </c>
      <c r="L2655" s="6" t="inlineStr">
        <is>
          <t>SELECTED</t>
        </is>
      </c>
      <c r="M2655" s="8" t="n">
        <v>0.2</v>
      </c>
      <c r="N2655" s="7">
        <f>M2655*$J$2667-J2655</f>
        <v/>
      </c>
      <c r="O2655" s="9">
        <f>IF(G2655=0,0,N2655/G2655)</f>
        <v/>
      </c>
      <c r="P2655" s="6">
        <f>IF(M2655&gt;0,D2655,"")</f>
        <v/>
      </c>
      <c r="Q2655" s="9">
        <f>I2655+O2655</f>
        <v/>
      </c>
      <c r="R2655" s="7">
        <f>Q2655*G2655</f>
        <v/>
      </c>
      <c r="S2655" s="8">
        <f>IF($R$2667=0,0,R2655/$R$2667)</f>
        <v/>
      </c>
      <c r="T2655" s="8" t="n">
        <v>0.02195526686553961</v>
      </c>
      <c r="U2655" s="8" t="n">
        <v>0.01251400121617641</v>
      </c>
      <c r="V2655" s="6" t="inlineStr">
        <is>
          <t>remained in weekly selection</t>
        </is>
      </c>
    </row>
    <row r="2656">
      <c r="A2656" s="6" t="inlineStr">
        <is>
          <t>DJ30</t>
        </is>
      </c>
      <c r="B2656" s="6" t="inlineStr">
        <is>
          <t>2024-08-23</t>
        </is>
      </c>
      <c r="C2656" s="6" t="inlineStr">
        <is>
          <t>DIA</t>
        </is>
      </c>
      <c r="D2656" s="6" t="inlineStr">
        <is>
          <t>MRK</t>
        </is>
      </c>
      <c r="E2656" s="6" t="inlineStr">
        <is>
          <t>MRK</t>
        </is>
      </c>
      <c r="F2656" s="6" t="inlineStr">
        <is>
          <t>-</t>
        </is>
      </c>
      <c r="G2656" s="7" t="n">
        <v>109.142951965332</v>
      </c>
      <c r="H2656" s="6">
        <f>P2625</f>
        <v/>
      </c>
      <c r="I2656" s="9">
        <f>Q2625</f>
        <v/>
      </c>
      <c r="J2656" s="7">
        <f>I2656*G2656</f>
        <v/>
      </c>
      <c r="K2656" s="8">
        <f>IF($J$2667=0,0,J2656/$J$2667)</f>
        <v/>
      </c>
      <c r="L2656" s="6" t="inlineStr">
        <is>
          <t>WATCHLIST</t>
        </is>
      </c>
      <c r="M2656" s="8" t="n">
        <v>0</v>
      </c>
      <c r="N2656" s="7">
        <f>M2656*$J$2667-J2656</f>
        <v/>
      </c>
      <c r="O2656" s="9">
        <f>IF(G2656=0,0,N2656/G2656)</f>
        <v/>
      </c>
      <c r="P2656" s="6">
        <f>IF(M2656&gt;0,D2656,"")</f>
        <v/>
      </c>
      <c r="Q2656" s="9">
        <f>I2656+O2656</f>
        <v/>
      </c>
      <c r="R2656" s="7">
        <f>Q2656*G2656</f>
        <v/>
      </c>
      <c r="S2656" s="8">
        <f>IF($R$2667=0,0,R2656/$R$2667)</f>
        <v/>
      </c>
      <c r="T2656" s="8" t="n">
        <v>0.02195526686553961</v>
      </c>
      <c r="U2656" s="8" t="n">
        <v>0.01251400121617641</v>
      </c>
      <c r="V2656" s="6" t="inlineStr">
        <is>
          <t>not selected</t>
        </is>
      </c>
    </row>
    <row r="2657">
      <c r="A2657" s="6" t="inlineStr">
        <is>
          <t>DJ30</t>
        </is>
      </c>
      <c r="B2657" s="6" t="inlineStr">
        <is>
          <t>2024-08-23</t>
        </is>
      </c>
      <c r="C2657" s="6" t="inlineStr">
        <is>
          <t>DIA</t>
        </is>
      </c>
      <c r="D2657" s="6" t="inlineStr">
        <is>
          <t>MSFT</t>
        </is>
      </c>
      <c r="E2657" s="6" t="inlineStr">
        <is>
          <t>MSFT</t>
        </is>
      </c>
      <c r="F2657" s="6" t="inlineStr">
        <is>
          <t>-</t>
        </is>
      </c>
      <c r="G2657" s="7" t="n">
        <v>411.080810546875</v>
      </c>
      <c r="H2657" s="6">
        <f>P2626</f>
        <v/>
      </c>
      <c r="I2657" s="9">
        <f>Q2626</f>
        <v/>
      </c>
      <c r="J2657" s="7">
        <f>I2657*G2657</f>
        <v/>
      </c>
      <c r="K2657" s="8">
        <f>IF($J$2667=0,0,J2657/$J$2667)</f>
        <v/>
      </c>
      <c r="L2657" s="6" t="inlineStr">
        <is>
          <t>WATCHLIST</t>
        </is>
      </c>
      <c r="M2657" s="8" t="n">
        <v>0</v>
      </c>
      <c r="N2657" s="7">
        <f>M2657*$J$2667-J2657</f>
        <v/>
      </c>
      <c r="O2657" s="9">
        <f>IF(G2657=0,0,N2657/G2657)</f>
        <v/>
      </c>
      <c r="P2657" s="6">
        <f>IF(M2657&gt;0,D2657,"")</f>
        <v/>
      </c>
      <c r="Q2657" s="9">
        <f>I2657+O2657</f>
        <v/>
      </c>
      <c r="R2657" s="7">
        <f>Q2657*G2657</f>
        <v/>
      </c>
      <c r="S2657" s="8">
        <f>IF($R$2667=0,0,R2657/$R$2667)</f>
        <v/>
      </c>
      <c r="T2657" s="8" t="n">
        <v>0.02195526686553961</v>
      </c>
      <c r="U2657" s="8" t="n">
        <v>0.01251400121617641</v>
      </c>
      <c r="V2657" s="6" t="inlineStr">
        <is>
          <t>not selected</t>
        </is>
      </c>
    </row>
    <row r="2658">
      <c r="A2658" s="6" t="inlineStr">
        <is>
          <t>DJ30</t>
        </is>
      </c>
      <c r="B2658" s="6" t="inlineStr">
        <is>
          <t>2024-08-23</t>
        </is>
      </c>
      <c r="C2658" s="6" t="inlineStr">
        <is>
          <t>DIA</t>
        </is>
      </c>
      <c r="D2658" s="6" t="inlineStr">
        <is>
          <t>NKE</t>
        </is>
      </c>
      <c r="E2658" s="6" t="inlineStr">
        <is>
          <t>NKE</t>
        </is>
      </c>
      <c r="F2658" s="6" t="inlineStr">
        <is>
          <t>-</t>
        </is>
      </c>
      <c r="G2658" s="7" t="n">
        <v>80.08805847167969</v>
      </c>
      <c r="H2658" s="6">
        <f>P2627</f>
        <v/>
      </c>
      <c r="I2658" s="9">
        <f>Q2627</f>
        <v/>
      </c>
      <c r="J2658" s="7">
        <f>I2658*G2658</f>
        <v/>
      </c>
      <c r="K2658" s="8">
        <f>IF($J$2667=0,0,J2658/$J$2667)</f>
        <v/>
      </c>
      <c r="L2658" s="6" t="inlineStr">
        <is>
          <t>REJECTED</t>
        </is>
      </c>
      <c r="M2658" s="8" t="n">
        <v>0</v>
      </c>
      <c r="N2658" s="7">
        <f>M2658*$J$2667-J2658</f>
        <v/>
      </c>
      <c r="O2658" s="9">
        <f>IF(G2658=0,0,N2658/G2658)</f>
        <v/>
      </c>
      <c r="P2658" s="6">
        <f>IF(M2658&gt;0,D2658,"")</f>
        <v/>
      </c>
      <c r="Q2658" s="9">
        <f>I2658+O2658</f>
        <v/>
      </c>
      <c r="R2658" s="7">
        <f>Q2658*G2658</f>
        <v/>
      </c>
      <c r="S2658" s="8">
        <f>IF($R$2667=0,0,R2658/$R$2667)</f>
        <v/>
      </c>
      <c r="T2658" s="8" t="n">
        <v>0.02195526686553961</v>
      </c>
      <c r="U2658" s="8" t="n">
        <v>0.01251400121617641</v>
      </c>
      <c r="V2658" s="6" t="inlineStr">
        <is>
          <t>not selected</t>
        </is>
      </c>
    </row>
    <row r="2659">
      <c r="A2659" s="6" t="inlineStr">
        <is>
          <t>DJ30</t>
        </is>
      </c>
      <c r="B2659" s="6" t="inlineStr">
        <is>
          <t>2024-08-23</t>
        </is>
      </c>
      <c r="C2659" s="6" t="inlineStr">
        <is>
          <t>DIA</t>
        </is>
      </c>
      <c r="D2659" s="6" t="inlineStr">
        <is>
          <t>NVDA</t>
        </is>
      </c>
      <c r="E2659" s="6" t="inlineStr">
        <is>
          <t>NVDA</t>
        </is>
      </c>
      <c r="F2659" s="6" t="inlineStr">
        <is>
          <t>-</t>
        </is>
      </c>
      <c r="G2659" s="7" t="n">
        <v>129.1571350097656</v>
      </c>
      <c r="H2659" s="6">
        <f>P2628</f>
        <v/>
      </c>
      <c r="I2659" s="9">
        <f>Q2628</f>
        <v/>
      </c>
      <c r="J2659" s="7">
        <f>I2659*G2659</f>
        <v/>
      </c>
      <c r="K2659" s="8">
        <f>IF($J$2667=0,0,J2659/$J$2667)</f>
        <v/>
      </c>
      <c r="L2659" s="6" t="inlineStr">
        <is>
          <t>SELECTED</t>
        </is>
      </c>
      <c r="M2659" s="8" t="n">
        <v>0.2</v>
      </c>
      <c r="N2659" s="7">
        <f>M2659*$J$2667-J2659</f>
        <v/>
      </c>
      <c r="O2659" s="9">
        <f>IF(G2659=0,0,N2659/G2659)</f>
        <v/>
      </c>
      <c r="P2659" s="6">
        <f>IF(M2659&gt;0,D2659,"")</f>
        <v/>
      </c>
      <c r="Q2659" s="9">
        <f>I2659+O2659</f>
        <v/>
      </c>
      <c r="R2659" s="7">
        <f>Q2659*G2659</f>
        <v/>
      </c>
      <c r="S2659" s="8">
        <f>IF($R$2667=0,0,R2659/$R$2667)</f>
        <v/>
      </c>
      <c r="T2659" s="8" t="n">
        <v>0.02195526686553961</v>
      </c>
      <c r="U2659" s="8" t="n">
        <v>0.01251400121617641</v>
      </c>
      <c r="V2659" s="6" t="inlineStr">
        <is>
          <t>remained in weekly selection</t>
        </is>
      </c>
    </row>
    <row r="2660">
      <c r="A2660" s="6" t="inlineStr">
        <is>
          <t>DJ30</t>
        </is>
      </c>
      <c r="B2660" s="6" t="inlineStr">
        <is>
          <t>2024-08-23</t>
        </is>
      </c>
      <c r="C2660" s="6" t="inlineStr">
        <is>
          <t>DIA</t>
        </is>
      </c>
      <c r="D2660" s="6" t="inlineStr">
        <is>
          <t>PG</t>
        </is>
      </c>
      <c r="E2660" s="6" t="inlineStr">
        <is>
          <t>PG</t>
        </is>
      </c>
      <c r="F2660" s="6" t="inlineStr">
        <is>
          <t>-</t>
        </is>
      </c>
      <c r="G2660" s="7" t="n">
        <v>161.4810791015625</v>
      </c>
      <c r="H2660" s="6">
        <f>P2629</f>
        <v/>
      </c>
      <c r="I2660" s="9">
        <f>Q2629</f>
        <v/>
      </c>
      <c r="J2660" s="7">
        <f>I2660*G2660</f>
        <v/>
      </c>
      <c r="K2660" s="8">
        <f>IF($J$2667=0,0,J2660/$J$2667)</f>
        <v/>
      </c>
      <c r="L2660" s="6" t="inlineStr">
        <is>
          <t>WATCHLIST</t>
        </is>
      </c>
      <c r="M2660" s="8" t="n">
        <v>0</v>
      </c>
      <c r="N2660" s="7">
        <f>M2660*$J$2667-J2660</f>
        <v/>
      </c>
      <c r="O2660" s="9">
        <f>IF(G2660=0,0,N2660/G2660)</f>
        <v/>
      </c>
      <c r="P2660" s="6">
        <f>IF(M2660&gt;0,D2660,"")</f>
        <v/>
      </c>
      <c r="Q2660" s="9">
        <f>I2660+O2660</f>
        <v/>
      </c>
      <c r="R2660" s="7">
        <f>Q2660*G2660</f>
        <v/>
      </c>
      <c r="S2660" s="8">
        <f>IF($R$2667=0,0,R2660/$R$2667)</f>
        <v/>
      </c>
      <c r="T2660" s="8" t="n">
        <v>0.02195526686553961</v>
      </c>
      <c r="U2660" s="8" t="n">
        <v>0.01251400121617641</v>
      </c>
      <c r="V2660" s="6" t="inlineStr">
        <is>
          <t>not selected</t>
        </is>
      </c>
    </row>
    <row r="2661">
      <c r="A2661" s="6" t="inlineStr">
        <is>
          <t>DJ30</t>
        </is>
      </c>
      <c r="B2661" s="6" t="inlineStr">
        <is>
          <t>2024-08-23</t>
        </is>
      </c>
      <c r="C2661" s="6" t="inlineStr">
        <is>
          <t>DIA</t>
        </is>
      </c>
      <c r="D2661" s="6" t="inlineStr">
        <is>
          <t>SHW</t>
        </is>
      </c>
      <c r="E2661" s="6" t="inlineStr">
        <is>
          <t>SHW</t>
        </is>
      </c>
      <c r="F2661" s="6" t="inlineStr">
        <is>
          <t>-</t>
        </is>
      </c>
      <c r="G2661" s="7" t="n">
        <v>353.2092895507812</v>
      </c>
      <c r="H2661" s="6">
        <f>P2630</f>
        <v/>
      </c>
      <c r="I2661" s="9">
        <f>Q2630</f>
        <v/>
      </c>
      <c r="J2661" s="7">
        <f>I2661*G2661</f>
        <v/>
      </c>
      <c r="K2661" s="8">
        <f>IF($J$2667=0,0,J2661/$J$2667)</f>
        <v/>
      </c>
      <c r="L2661" s="6" t="inlineStr">
        <is>
          <t>WATCHLIST</t>
        </is>
      </c>
      <c r="M2661" s="8" t="n">
        <v>0</v>
      </c>
      <c r="N2661" s="7">
        <f>M2661*$J$2667-J2661</f>
        <v/>
      </c>
      <c r="O2661" s="9">
        <f>IF(G2661=0,0,N2661/G2661)</f>
        <v/>
      </c>
      <c r="P2661" s="6">
        <f>IF(M2661&gt;0,D2661,"")</f>
        <v/>
      </c>
      <c r="Q2661" s="9">
        <f>I2661+O2661</f>
        <v/>
      </c>
      <c r="R2661" s="7">
        <f>Q2661*G2661</f>
        <v/>
      </c>
      <c r="S2661" s="8">
        <f>IF($R$2667=0,0,R2661/$R$2667)</f>
        <v/>
      </c>
      <c r="T2661" s="8" t="n">
        <v>0.02195526686553961</v>
      </c>
      <c r="U2661" s="8" t="n">
        <v>0.01251400121617641</v>
      </c>
      <c r="V2661" s="6" t="inlineStr">
        <is>
          <t>not selected</t>
        </is>
      </c>
    </row>
    <row r="2662">
      <c r="A2662" s="6" t="inlineStr">
        <is>
          <t>DJ30</t>
        </is>
      </c>
      <c r="B2662" s="6" t="inlineStr">
        <is>
          <t>2024-08-23</t>
        </is>
      </c>
      <c r="C2662" s="6" t="inlineStr">
        <is>
          <t>DIA</t>
        </is>
      </c>
      <c r="D2662" s="6" t="inlineStr">
        <is>
          <t>TRV</t>
        </is>
      </c>
      <c r="E2662" s="6" t="inlineStr">
        <is>
          <t>TRV</t>
        </is>
      </c>
      <c r="F2662" s="6" t="inlineStr">
        <is>
          <t>-</t>
        </is>
      </c>
      <c r="G2662" s="7" t="n">
        <v>214.7215118408203</v>
      </c>
      <c r="H2662" s="6">
        <f>P2631</f>
        <v/>
      </c>
      <c r="I2662" s="9">
        <f>Q2631</f>
        <v/>
      </c>
      <c r="J2662" s="7">
        <f>I2662*G2662</f>
        <v/>
      </c>
      <c r="K2662" s="8">
        <f>IF($J$2667=0,0,J2662/$J$2667)</f>
        <v/>
      </c>
      <c r="L2662" s="6" t="inlineStr">
        <is>
          <t>WATCHLIST</t>
        </is>
      </c>
      <c r="M2662" s="8" t="n">
        <v>0</v>
      </c>
      <c r="N2662" s="7">
        <f>M2662*$J$2667-J2662</f>
        <v/>
      </c>
      <c r="O2662" s="9">
        <f>IF(G2662=0,0,N2662/G2662)</f>
        <v/>
      </c>
      <c r="P2662" s="6">
        <f>IF(M2662&gt;0,D2662,"")</f>
        <v/>
      </c>
      <c r="Q2662" s="9">
        <f>I2662+O2662</f>
        <v/>
      </c>
      <c r="R2662" s="7">
        <f>Q2662*G2662</f>
        <v/>
      </c>
      <c r="S2662" s="8">
        <f>IF($R$2667=0,0,R2662/$R$2667)</f>
        <v/>
      </c>
      <c r="T2662" s="8" t="n">
        <v>0.02195526686553961</v>
      </c>
      <c r="U2662" s="8" t="n">
        <v>0.01251400121617641</v>
      </c>
      <c r="V2662" s="6" t="inlineStr">
        <is>
          <t>not selected</t>
        </is>
      </c>
    </row>
    <row r="2663">
      <c r="A2663" s="6" t="inlineStr">
        <is>
          <t>DJ30</t>
        </is>
      </c>
      <c r="B2663" s="6" t="inlineStr">
        <is>
          <t>2024-08-23</t>
        </is>
      </c>
      <c r="C2663" s="6" t="inlineStr">
        <is>
          <t>DIA</t>
        </is>
      </c>
      <c r="D2663" s="6" t="inlineStr">
        <is>
          <t>UNH</t>
        </is>
      </c>
      <c r="E2663" s="6" t="inlineStr">
        <is>
          <t>UNH</t>
        </is>
      </c>
      <c r="F2663" s="6" t="inlineStr">
        <is>
          <t>-</t>
        </is>
      </c>
      <c r="G2663" s="7" t="n">
        <v>558.7142944335938</v>
      </c>
      <c r="H2663" s="6">
        <f>P2632</f>
        <v/>
      </c>
      <c r="I2663" s="9">
        <f>Q2632</f>
        <v/>
      </c>
      <c r="J2663" s="7">
        <f>I2663*G2663</f>
        <v/>
      </c>
      <c r="K2663" s="8">
        <f>IF($J$2667=0,0,J2663/$J$2667)</f>
        <v/>
      </c>
      <c r="L2663" s="6" t="inlineStr">
        <is>
          <t>REJECTED</t>
        </is>
      </c>
      <c r="M2663" s="8" t="n">
        <v>0</v>
      </c>
      <c r="N2663" s="7">
        <f>M2663*$J$2667-J2663</f>
        <v/>
      </c>
      <c r="O2663" s="9">
        <f>IF(G2663=0,0,N2663/G2663)</f>
        <v/>
      </c>
      <c r="P2663" s="6">
        <f>IF(M2663&gt;0,D2663,"")</f>
        <v/>
      </c>
      <c r="Q2663" s="9">
        <f>I2663+O2663</f>
        <v/>
      </c>
      <c r="R2663" s="7">
        <f>Q2663*G2663</f>
        <v/>
      </c>
      <c r="S2663" s="8">
        <f>IF($R$2667=0,0,R2663/$R$2667)</f>
        <v/>
      </c>
      <c r="T2663" s="8" t="n">
        <v>0.02195526686553961</v>
      </c>
      <c r="U2663" s="8" t="n">
        <v>0.01251400121617641</v>
      </c>
      <c r="V2663" s="6" t="inlineStr">
        <is>
          <t>not selected</t>
        </is>
      </c>
    </row>
    <row r="2664">
      <c r="A2664" s="6" t="inlineStr">
        <is>
          <t>DJ30</t>
        </is>
      </c>
      <c r="B2664" s="6" t="inlineStr">
        <is>
          <t>2024-08-23</t>
        </is>
      </c>
      <c r="C2664" s="6" t="inlineStr">
        <is>
          <t>DIA</t>
        </is>
      </c>
      <c r="D2664" s="6" t="inlineStr">
        <is>
          <t>V</t>
        </is>
      </c>
      <c r="E2664" s="6" t="inlineStr">
        <is>
          <t>V</t>
        </is>
      </c>
      <c r="F2664" s="6" t="inlineStr">
        <is>
          <t>-</t>
        </is>
      </c>
      <c r="G2664" s="7" t="n">
        <v>263.9573059082031</v>
      </c>
      <c r="H2664" s="6">
        <f>P2633</f>
        <v/>
      </c>
      <c r="I2664" s="9">
        <f>Q2633</f>
        <v/>
      </c>
      <c r="J2664" s="7">
        <f>I2664*G2664</f>
        <v/>
      </c>
      <c r="K2664" s="8">
        <f>IF($J$2667=0,0,J2664/$J$2667)</f>
        <v/>
      </c>
      <c r="L2664" s="6" t="inlineStr">
        <is>
          <t>WATCHLIST</t>
        </is>
      </c>
      <c r="M2664" s="8" t="n">
        <v>0</v>
      </c>
      <c r="N2664" s="7">
        <f>M2664*$J$2667-J2664</f>
        <v/>
      </c>
      <c r="O2664" s="9">
        <f>IF(G2664=0,0,N2664/G2664)</f>
        <v/>
      </c>
      <c r="P2664" s="6">
        <f>IF(M2664&gt;0,D2664,"")</f>
        <v/>
      </c>
      <c r="Q2664" s="9">
        <f>I2664+O2664</f>
        <v/>
      </c>
      <c r="R2664" s="7">
        <f>Q2664*G2664</f>
        <v/>
      </c>
      <c r="S2664" s="8">
        <f>IF($R$2667=0,0,R2664/$R$2667)</f>
        <v/>
      </c>
      <c r="T2664" s="8" t="n">
        <v>0.02195526686553961</v>
      </c>
      <c r="U2664" s="8" t="n">
        <v>0.01251400121617641</v>
      </c>
      <c r="V2664" s="6" t="inlineStr">
        <is>
          <t>not selected</t>
        </is>
      </c>
    </row>
    <row r="2665">
      <c r="A2665" s="6" t="inlineStr">
        <is>
          <t>DJ30</t>
        </is>
      </c>
      <c r="B2665" s="6" t="inlineStr">
        <is>
          <t>2024-08-23</t>
        </is>
      </c>
      <c r="C2665" s="6" t="inlineStr">
        <is>
          <t>DIA</t>
        </is>
      </c>
      <c r="D2665" s="6" t="inlineStr">
        <is>
          <t>VZ</t>
        </is>
      </c>
      <c r="E2665" s="6" t="inlineStr">
        <is>
          <t>VZ</t>
        </is>
      </c>
      <c r="F2665" s="6" t="inlineStr">
        <is>
          <t>-</t>
        </is>
      </c>
      <c r="G2665" s="7" t="n">
        <v>36.76251602172852</v>
      </c>
      <c r="H2665" s="6">
        <f>P2634</f>
        <v/>
      </c>
      <c r="I2665" s="9">
        <f>Q2634</f>
        <v/>
      </c>
      <c r="J2665" s="7">
        <f>I2665*G2665</f>
        <v/>
      </c>
      <c r="K2665" s="8">
        <f>IF($J$2667=0,0,J2665/$J$2667)</f>
        <v/>
      </c>
      <c r="L2665" s="6" t="inlineStr">
        <is>
          <t>SELECTED</t>
        </is>
      </c>
      <c r="M2665" s="8" t="n">
        <v>0.2</v>
      </c>
      <c r="N2665" s="7">
        <f>M2665*$J$2667-J2665</f>
        <v/>
      </c>
      <c r="O2665" s="9">
        <f>IF(G2665=0,0,N2665/G2665)</f>
        <v/>
      </c>
      <c r="P2665" s="6">
        <f>IF(M2665&gt;0,D2665,"")</f>
        <v/>
      </c>
      <c r="Q2665" s="9">
        <f>I2665+O2665</f>
        <v/>
      </c>
      <c r="R2665" s="7">
        <f>Q2665*G2665</f>
        <v/>
      </c>
      <c r="S2665" s="8">
        <f>IF($R$2667=0,0,R2665/$R$2667)</f>
        <v/>
      </c>
      <c r="T2665" s="8" t="n">
        <v>0.02195526686553961</v>
      </c>
      <c r="U2665" s="8" t="n">
        <v>0.01251400121617641</v>
      </c>
      <c r="V2665" s="6" t="inlineStr">
        <is>
          <t>remained in weekly selection</t>
        </is>
      </c>
    </row>
    <row r="2666">
      <c r="A2666" s="6" t="inlineStr">
        <is>
          <t>DJ30</t>
        </is>
      </c>
      <c r="B2666" s="6" t="inlineStr">
        <is>
          <t>2024-08-23</t>
        </is>
      </c>
      <c r="C2666" s="6" t="inlineStr">
        <is>
          <t>DIA</t>
        </is>
      </c>
      <c r="D2666" s="6" t="inlineStr">
        <is>
          <t>WMT</t>
        </is>
      </c>
      <c r="E2666" s="6" t="inlineStr">
        <is>
          <t>WMT</t>
        </is>
      </c>
      <c r="F2666" s="6" t="inlineStr">
        <is>
          <t>-</t>
        </is>
      </c>
      <c r="G2666" s="7" t="n">
        <v>74.52105712890625</v>
      </c>
      <c r="H2666" s="6">
        <f>P2635</f>
        <v/>
      </c>
      <c r="I2666" s="9">
        <f>Q2635</f>
        <v/>
      </c>
      <c r="J2666" s="7">
        <f>I2666*G2666</f>
        <v/>
      </c>
      <c r="K2666" s="8">
        <f>IF($J$2667=0,0,J2666/$J$2667)</f>
        <v/>
      </c>
      <c r="L2666" s="6" t="inlineStr">
        <is>
          <t>SELECTED</t>
        </is>
      </c>
      <c r="M2666" s="8" t="n">
        <v>0.2</v>
      </c>
      <c r="N2666" s="7">
        <f>M2666*$J$2667-J2666</f>
        <v/>
      </c>
      <c r="O2666" s="9">
        <f>IF(G2666=0,0,N2666/G2666)</f>
        <v/>
      </c>
      <c r="P2666" s="6">
        <f>IF(M2666&gt;0,D2666,"")</f>
        <v/>
      </c>
      <c r="Q2666" s="9">
        <f>I2666+O2666</f>
        <v/>
      </c>
      <c r="R2666" s="7">
        <f>Q2666*G2666</f>
        <v/>
      </c>
      <c r="S2666" s="8">
        <f>IF($R$2667=0,0,R2666/$R$2667)</f>
        <v/>
      </c>
      <c r="T2666" s="8" t="n">
        <v>0.02195526686553961</v>
      </c>
      <c r="U2666" s="8" t="n">
        <v>0.01251400121617641</v>
      </c>
      <c r="V2666" s="6" t="inlineStr">
        <is>
          <t>remained in weekly selection</t>
        </is>
      </c>
    </row>
    <row r="2667">
      <c r="A2667" s="10" t="inlineStr">
        <is>
          <t>DJ30</t>
        </is>
      </c>
      <c r="B2667" s="10" t="inlineStr">
        <is>
          <t>2024-08-23</t>
        </is>
      </c>
      <c r="C2667" s="10" t="inlineStr">
        <is>
          <t>DIA</t>
        </is>
      </c>
      <c r="D2667" s="10" t="inlineStr">
        <is>
          <t>Tot Portfolio</t>
        </is>
      </c>
      <c r="E2667" s="10" t="inlineStr"/>
      <c r="F2667" s="10" t="inlineStr"/>
      <c r="G2667" s="11" t="inlineStr"/>
      <c r="H2667" s="10" t="inlineStr"/>
      <c r="I2667" s="12" t="inlineStr"/>
      <c r="J2667" s="11">
        <f>SUM(J2637:J2666)</f>
        <v/>
      </c>
      <c r="K2667" s="13">
        <f>SUM(K2637:K2666)</f>
        <v/>
      </c>
      <c r="L2667" s="10" t="inlineStr">
        <is>
          <t>TOTAL</t>
        </is>
      </c>
      <c r="M2667" s="13">
        <f>SUM(M2637:M2666)</f>
        <v/>
      </c>
      <c r="N2667" s="11">
        <f>SUM(N2637:N2666)</f>
        <v/>
      </c>
      <c r="O2667" s="12">
        <f>SUM(O2637:O2666)</f>
        <v/>
      </c>
      <c r="P2667" s="10" t="inlineStr"/>
      <c r="Q2667" s="12" t="inlineStr"/>
      <c r="R2667" s="11">
        <f>SUM(R2637:R2666)</f>
        <v/>
      </c>
      <c r="S2667" s="13">
        <f>SUM(S2637:S2666)</f>
        <v/>
      </c>
      <c r="T2667" s="13" t="n">
        <v>0.02195526686553961</v>
      </c>
      <c r="U2667" s="13" t="n">
        <v>0.01251400121617641</v>
      </c>
      <c r="V2667" s="10" t="inlineStr"/>
    </row>
    <row r="2668">
      <c r="A2668" s="6" t="inlineStr">
        <is>
          <t>DJ30</t>
        </is>
      </c>
      <c r="B2668" s="6" t="inlineStr">
        <is>
          <t>2024-08-30</t>
        </is>
      </c>
      <c r="C2668" s="6" t="inlineStr">
        <is>
          <t>DIA</t>
        </is>
      </c>
      <c r="D2668" s="6" t="inlineStr">
        <is>
          <t>AAPL</t>
        </is>
      </c>
      <c r="E2668" s="6" t="inlineStr">
        <is>
          <t>AAPL</t>
        </is>
      </c>
      <c r="F2668" s="6" t="inlineStr">
        <is>
          <t>-</t>
        </is>
      </c>
      <c r="G2668" s="7" t="n">
        <v>227.296127319336</v>
      </c>
      <c r="H2668" s="6">
        <f>P2637</f>
        <v/>
      </c>
      <c r="I2668" s="9">
        <f>Q2637</f>
        <v/>
      </c>
      <c r="J2668" s="7">
        <f>I2668*G2668</f>
        <v/>
      </c>
      <c r="K2668" s="8">
        <f>IF($J$2698=0,0,J2668/$J$2698)</f>
        <v/>
      </c>
      <c r="L2668" s="6" t="inlineStr">
        <is>
          <t>WATCHLIST</t>
        </is>
      </c>
      <c r="M2668" s="8" t="n">
        <v>0</v>
      </c>
      <c r="N2668" s="7">
        <f>M2668*$J$2698-J2668</f>
        <v/>
      </c>
      <c r="O2668" s="9">
        <f>IF(G2668=0,0,N2668/G2668)</f>
        <v/>
      </c>
      <c r="P2668" s="6">
        <f>IF(M2668&gt;0,D2668,"")</f>
        <v/>
      </c>
      <c r="Q2668" s="9">
        <f>I2668+O2668</f>
        <v/>
      </c>
      <c r="R2668" s="7">
        <f>Q2668*G2668</f>
        <v/>
      </c>
      <c r="S2668" s="8">
        <f>IF($R$2698=0,0,R2668/$R$2698)</f>
        <v/>
      </c>
      <c r="T2668" s="8" t="n">
        <v>0.004653416150038003</v>
      </c>
      <c r="U2668" s="8" t="n">
        <v>0.01063556259993947</v>
      </c>
      <c r="V2668" s="6" t="inlineStr">
        <is>
          <t>not selected</t>
        </is>
      </c>
    </row>
    <row r="2669">
      <c r="A2669" s="6" t="inlineStr">
        <is>
          <t>DJ30</t>
        </is>
      </c>
      <c r="B2669" s="6" t="inlineStr">
        <is>
          <t>2024-08-30</t>
        </is>
      </c>
      <c r="C2669" s="6" t="inlineStr">
        <is>
          <t>DIA</t>
        </is>
      </c>
      <c r="D2669" s="6" t="inlineStr">
        <is>
          <t>AMGN</t>
        </is>
      </c>
      <c r="E2669" s="6" t="inlineStr">
        <is>
          <t>AMGN</t>
        </is>
      </c>
      <c r="F2669" s="6" t="inlineStr">
        <is>
          <t>-</t>
        </is>
      </c>
      <c r="G2669" s="7" t="n">
        <v>316.1467895507812</v>
      </c>
      <c r="H2669" s="6">
        <f>P2638</f>
        <v/>
      </c>
      <c r="I2669" s="9">
        <f>Q2638</f>
        <v/>
      </c>
      <c r="J2669" s="7">
        <f>I2669*G2669</f>
        <v/>
      </c>
      <c r="K2669" s="8">
        <f>IF($J$2698=0,0,J2669/$J$2698)</f>
        <v/>
      </c>
      <c r="L2669" s="6" t="inlineStr">
        <is>
          <t>WATCHLIST</t>
        </is>
      </c>
      <c r="M2669" s="8" t="n">
        <v>0</v>
      </c>
      <c r="N2669" s="7">
        <f>M2669*$J$2698-J2669</f>
        <v/>
      </c>
      <c r="O2669" s="9">
        <f>IF(G2669=0,0,N2669/G2669)</f>
        <v/>
      </c>
      <c r="P2669" s="6">
        <f>IF(M2669&gt;0,D2669,"")</f>
        <v/>
      </c>
      <c r="Q2669" s="9">
        <f>I2669+O2669</f>
        <v/>
      </c>
      <c r="R2669" s="7">
        <f>Q2669*G2669</f>
        <v/>
      </c>
      <c r="S2669" s="8">
        <f>IF($R$2698=0,0,R2669/$R$2698)</f>
        <v/>
      </c>
      <c r="T2669" s="8" t="n">
        <v>0.004653416150038003</v>
      </c>
      <c r="U2669" s="8" t="n">
        <v>0.01063556259993947</v>
      </c>
      <c r="V2669" s="6" t="inlineStr">
        <is>
          <t>not selected</t>
        </is>
      </c>
    </row>
    <row r="2670">
      <c r="A2670" s="6" t="inlineStr">
        <is>
          <t>DJ30</t>
        </is>
      </c>
      <c r="B2670" s="6" t="inlineStr">
        <is>
          <t>2024-08-30</t>
        </is>
      </c>
      <c r="C2670" s="6" t="inlineStr">
        <is>
          <t>DIA</t>
        </is>
      </c>
      <c r="D2670" s="6" t="inlineStr">
        <is>
          <t>AMZN</t>
        </is>
      </c>
      <c r="E2670" s="6" t="inlineStr">
        <is>
          <t>AMZN</t>
        </is>
      </c>
      <c r="F2670" s="6" t="inlineStr">
        <is>
          <t>-</t>
        </is>
      </c>
      <c r="G2670" s="7" t="n">
        <v>178.5</v>
      </c>
      <c r="H2670" s="6">
        <f>P2639</f>
        <v/>
      </c>
      <c r="I2670" s="9">
        <f>Q2639</f>
        <v/>
      </c>
      <c r="J2670" s="7">
        <f>I2670*G2670</f>
        <v/>
      </c>
      <c r="K2670" s="8">
        <f>IF($J$2698=0,0,J2670/$J$2698)</f>
        <v/>
      </c>
      <c r="L2670" s="6" t="inlineStr">
        <is>
          <t>WATCHLIST</t>
        </is>
      </c>
      <c r="M2670" s="8" t="n">
        <v>0</v>
      </c>
      <c r="N2670" s="7">
        <f>M2670*$J$2698-J2670</f>
        <v/>
      </c>
      <c r="O2670" s="9">
        <f>IF(G2670=0,0,N2670/G2670)</f>
        <v/>
      </c>
      <c r="P2670" s="6">
        <f>IF(M2670&gt;0,D2670,"")</f>
        <v/>
      </c>
      <c r="Q2670" s="9">
        <f>I2670+O2670</f>
        <v/>
      </c>
      <c r="R2670" s="7">
        <f>Q2670*G2670</f>
        <v/>
      </c>
      <c r="S2670" s="8">
        <f>IF($R$2698=0,0,R2670/$R$2698)</f>
        <v/>
      </c>
      <c r="T2670" s="8" t="n">
        <v>0.004653416150038003</v>
      </c>
      <c r="U2670" s="8" t="n">
        <v>0.01063556259993947</v>
      </c>
      <c r="V2670" s="6" t="inlineStr">
        <is>
          <t>not selected</t>
        </is>
      </c>
    </row>
    <row r="2671">
      <c r="A2671" s="6" t="inlineStr">
        <is>
          <t>DJ30</t>
        </is>
      </c>
      <c r="B2671" s="6" t="inlineStr">
        <is>
          <t>2024-08-30</t>
        </is>
      </c>
      <c r="C2671" s="6" t="inlineStr">
        <is>
          <t>DIA</t>
        </is>
      </c>
      <c r="D2671" s="6" t="inlineStr">
        <is>
          <t>AXP</t>
        </is>
      </c>
      <c r="E2671" s="6" t="inlineStr">
        <is>
          <t>AXP</t>
        </is>
      </c>
      <c r="F2671" s="6" t="inlineStr">
        <is>
          <t>-</t>
        </is>
      </c>
      <c r="G2671" s="7" t="n">
        <v>253.8582153320312</v>
      </c>
      <c r="H2671" s="6">
        <f>P2640</f>
        <v/>
      </c>
      <c r="I2671" s="9">
        <f>Q2640</f>
        <v/>
      </c>
      <c r="J2671" s="7">
        <f>I2671*G2671</f>
        <v/>
      </c>
      <c r="K2671" s="8">
        <f>IF($J$2698=0,0,J2671/$J$2698)</f>
        <v/>
      </c>
      <c r="L2671" s="6" t="inlineStr">
        <is>
          <t>SELECTED</t>
        </is>
      </c>
      <c r="M2671" s="8" t="n">
        <v>0.2</v>
      </c>
      <c r="N2671" s="7">
        <f>M2671*$J$2698-J2671</f>
        <v/>
      </c>
      <c r="O2671" s="9">
        <f>IF(G2671=0,0,N2671/G2671)</f>
        <v/>
      </c>
      <c r="P2671" s="6">
        <f>IF(M2671&gt;0,D2671,"")</f>
        <v/>
      </c>
      <c r="Q2671" s="9">
        <f>I2671+O2671</f>
        <v/>
      </c>
      <c r="R2671" s="7">
        <f>Q2671*G2671</f>
        <v/>
      </c>
      <c r="S2671" s="8">
        <f>IF($R$2698=0,0,R2671/$R$2698)</f>
        <v/>
      </c>
      <c r="T2671" s="8" t="n">
        <v>0.004653416150038003</v>
      </c>
      <c r="U2671" s="8" t="n">
        <v>0.01063556259993947</v>
      </c>
      <c r="V2671" s="6" t="inlineStr">
        <is>
          <t>remained in weekly selection</t>
        </is>
      </c>
    </row>
    <row r="2672">
      <c r="A2672" s="6" t="inlineStr">
        <is>
          <t>DJ30</t>
        </is>
      </c>
      <c r="B2672" s="6" t="inlineStr">
        <is>
          <t>2024-08-30</t>
        </is>
      </c>
      <c r="C2672" s="6" t="inlineStr">
        <is>
          <t>DIA</t>
        </is>
      </c>
      <c r="D2672" s="6" t="inlineStr">
        <is>
          <t>BA</t>
        </is>
      </c>
      <c r="E2672" s="6" t="inlineStr">
        <is>
          <t>BA</t>
        </is>
      </c>
      <c r="F2672" s="6" t="inlineStr">
        <is>
          <t>-</t>
        </is>
      </c>
      <c r="G2672" s="7" t="n">
        <v>173.7400054931641</v>
      </c>
      <c r="H2672" s="6">
        <f>P2641</f>
        <v/>
      </c>
      <c r="I2672" s="9">
        <f>Q2641</f>
        <v/>
      </c>
      <c r="J2672" s="7">
        <f>I2672*G2672</f>
        <v/>
      </c>
      <c r="K2672" s="8">
        <f>IF($J$2698=0,0,J2672/$J$2698)</f>
        <v/>
      </c>
      <c r="L2672" s="6" t="inlineStr">
        <is>
          <t>REJECTED</t>
        </is>
      </c>
      <c r="M2672" s="8" t="n">
        <v>0</v>
      </c>
      <c r="N2672" s="7">
        <f>M2672*$J$2698-J2672</f>
        <v/>
      </c>
      <c r="O2672" s="9">
        <f>IF(G2672=0,0,N2672/G2672)</f>
        <v/>
      </c>
      <c r="P2672" s="6">
        <f>IF(M2672&gt;0,D2672,"")</f>
        <v/>
      </c>
      <c r="Q2672" s="9">
        <f>I2672+O2672</f>
        <v/>
      </c>
      <c r="R2672" s="7">
        <f>Q2672*G2672</f>
        <v/>
      </c>
      <c r="S2672" s="8">
        <f>IF($R$2698=0,0,R2672/$R$2698)</f>
        <v/>
      </c>
      <c r="T2672" s="8" t="n">
        <v>0.004653416150038003</v>
      </c>
      <c r="U2672" s="8" t="n">
        <v>0.01063556259993947</v>
      </c>
      <c r="V2672" s="6" t="inlineStr">
        <is>
          <t>not selected</t>
        </is>
      </c>
    </row>
    <row r="2673">
      <c r="A2673" s="6" t="inlineStr">
        <is>
          <t>DJ30</t>
        </is>
      </c>
      <c r="B2673" s="6" t="inlineStr">
        <is>
          <t>2024-08-30</t>
        </is>
      </c>
      <c r="C2673" s="6" t="inlineStr">
        <is>
          <t>DIA</t>
        </is>
      </c>
      <c r="D2673" s="6" t="inlineStr">
        <is>
          <t>CAT</t>
        </is>
      </c>
      <c r="E2673" s="6" t="inlineStr">
        <is>
          <t>CAT</t>
        </is>
      </c>
      <c r="F2673" s="6" t="inlineStr">
        <is>
          <t>-</t>
        </is>
      </c>
      <c r="G2673" s="7" t="n">
        <v>348.0680541992188</v>
      </c>
      <c r="H2673" s="6">
        <f>P2642</f>
        <v/>
      </c>
      <c r="I2673" s="9">
        <f>Q2642</f>
        <v/>
      </c>
      <c r="J2673" s="7">
        <f>I2673*G2673</f>
        <v/>
      </c>
      <c r="K2673" s="8">
        <f>IF($J$2698=0,0,J2673/$J$2698)</f>
        <v/>
      </c>
      <c r="L2673" s="6" t="inlineStr">
        <is>
          <t>WATCHLIST</t>
        </is>
      </c>
      <c r="M2673" s="8" t="n">
        <v>0</v>
      </c>
      <c r="N2673" s="7">
        <f>M2673*$J$2698-J2673</f>
        <v/>
      </c>
      <c r="O2673" s="9">
        <f>IF(G2673=0,0,N2673/G2673)</f>
        <v/>
      </c>
      <c r="P2673" s="6">
        <f>IF(M2673&gt;0,D2673,"")</f>
        <v/>
      </c>
      <c r="Q2673" s="9">
        <f>I2673+O2673</f>
        <v/>
      </c>
      <c r="R2673" s="7">
        <f>Q2673*G2673</f>
        <v/>
      </c>
      <c r="S2673" s="8">
        <f>IF($R$2698=0,0,R2673/$R$2698)</f>
        <v/>
      </c>
      <c r="T2673" s="8" t="n">
        <v>0.004653416150038003</v>
      </c>
      <c r="U2673" s="8" t="n">
        <v>0.01063556259993947</v>
      </c>
      <c r="V2673" s="6" t="inlineStr">
        <is>
          <t>not selected</t>
        </is>
      </c>
    </row>
    <row r="2674">
      <c r="A2674" s="6" t="inlineStr">
        <is>
          <t>DJ30</t>
        </is>
      </c>
      <c r="B2674" s="6" t="inlineStr">
        <is>
          <t>2024-08-30</t>
        </is>
      </c>
      <c r="C2674" s="6" t="inlineStr">
        <is>
          <t>DIA</t>
        </is>
      </c>
      <c r="D2674" s="6" t="inlineStr">
        <is>
          <t>CRM</t>
        </is>
      </c>
      <c r="E2674" s="6" t="inlineStr">
        <is>
          <t>CRM</t>
        </is>
      </c>
      <c r="F2674" s="6" t="inlineStr">
        <is>
          <t>-</t>
        </is>
      </c>
      <c r="G2674" s="7" t="n">
        <v>249.3113403320312</v>
      </c>
      <c r="H2674" s="6">
        <f>P2643</f>
        <v/>
      </c>
      <c r="I2674" s="9">
        <f>Q2643</f>
        <v/>
      </c>
      <c r="J2674" s="7">
        <f>I2674*G2674</f>
        <v/>
      </c>
      <c r="K2674" s="8">
        <f>IF($J$2698=0,0,J2674/$J$2698)</f>
        <v/>
      </c>
      <c r="L2674" s="6" t="inlineStr">
        <is>
          <t>REJECTED</t>
        </is>
      </c>
      <c r="M2674" s="8" t="n">
        <v>0</v>
      </c>
      <c r="N2674" s="7">
        <f>M2674*$J$2698-J2674</f>
        <v/>
      </c>
      <c r="O2674" s="9">
        <f>IF(G2674=0,0,N2674/G2674)</f>
        <v/>
      </c>
      <c r="P2674" s="6">
        <f>IF(M2674&gt;0,D2674,"")</f>
        <v/>
      </c>
      <c r="Q2674" s="9">
        <f>I2674+O2674</f>
        <v/>
      </c>
      <c r="R2674" s="7">
        <f>Q2674*G2674</f>
        <v/>
      </c>
      <c r="S2674" s="8">
        <f>IF($R$2698=0,0,R2674/$R$2698)</f>
        <v/>
      </c>
      <c r="T2674" s="8" t="n">
        <v>0.004653416150038003</v>
      </c>
      <c r="U2674" s="8" t="n">
        <v>0.01063556259993947</v>
      </c>
      <c r="V2674" s="6" t="inlineStr">
        <is>
          <t>not selected</t>
        </is>
      </c>
    </row>
    <row r="2675">
      <c r="A2675" s="6" t="inlineStr">
        <is>
          <t>DJ30</t>
        </is>
      </c>
      <c r="B2675" s="6" t="inlineStr">
        <is>
          <t>2024-08-30</t>
        </is>
      </c>
      <c r="C2675" s="6" t="inlineStr">
        <is>
          <t>DIA</t>
        </is>
      </c>
      <c r="D2675" s="6" t="inlineStr">
        <is>
          <t>CSCO</t>
        </is>
      </c>
      <c r="E2675" s="6" t="inlineStr">
        <is>
          <t>CSCO</t>
        </is>
      </c>
      <c r="F2675" s="6" t="inlineStr">
        <is>
          <t>-</t>
        </is>
      </c>
      <c r="G2675" s="7" t="n">
        <v>48.37339401245117</v>
      </c>
      <c r="H2675" s="6">
        <f>P2644</f>
        <v/>
      </c>
      <c r="I2675" s="9">
        <f>Q2644</f>
        <v/>
      </c>
      <c r="J2675" s="7">
        <f>I2675*G2675</f>
        <v/>
      </c>
      <c r="K2675" s="8">
        <f>IF($J$2698=0,0,J2675/$J$2698)</f>
        <v/>
      </c>
      <c r="L2675" s="6" t="inlineStr">
        <is>
          <t>REJECTED</t>
        </is>
      </c>
      <c r="M2675" s="8" t="n">
        <v>0</v>
      </c>
      <c r="N2675" s="7">
        <f>M2675*$J$2698-J2675</f>
        <v/>
      </c>
      <c r="O2675" s="9">
        <f>IF(G2675=0,0,N2675/G2675)</f>
        <v/>
      </c>
      <c r="P2675" s="6">
        <f>IF(M2675&gt;0,D2675,"")</f>
        <v/>
      </c>
      <c r="Q2675" s="9">
        <f>I2675+O2675</f>
        <v/>
      </c>
      <c r="R2675" s="7">
        <f>Q2675*G2675</f>
        <v/>
      </c>
      <c r="S2675" s="8">
        <f>IF($R$2698=0,0,R2675/$R$2698)</f>
        <v/>
      </c>
      <c r="T2675" s="8" t="n">
        <v>0.004653416150038003</v>
      </c>
      <c r="U2675" s="8" t="n">
        <v>0.01063556259993947</v>
      </c>
      <c r="V2675" s="6" t="inlineStr">
        <is>
          <t>not selected</t>
        </is>
      </c>
    </row>
    <row r="2676">
      <c r="A2676" s="6" t="inlineStr">
        <is>
          <t>DJ30</t>
        </is>
      </c>
      <c r="B2676" s="6" t="inlineStr">
        <is>
          <t>2024-08-30</t>
        </is>
      </c>
      <c r="C2676" s="6" t="inlineStr">
        <is>
          <t>DIA</t>
        </is>
      </c>
      <c r="D2676" s="6" t="inlineStr">
        <is>
          <t>CVX</t>
        </is>
      </c>
      <c r="E2676" s="6" t="inlineStr">
        <is>
          <t>CVX</t>
        </is>
      </c>
      <c r="F2676" s="6" t="inlineStr">
        <is>
          <t>-</t>
        </is>
      </c>
      <c r="G2676" s="7" t="n">
        <v>137.3535614013672</v>
      </c>
      <c r="H2676" s="6">
        <f>P2645</f>
        <v/>
      </c>
      <c r="I2676" s="9">
        <f>Q2645</f>
        <v/>
      </c>
      <c r="J2676" s="7">
        <f>I2676*G2676</f>
        <v/>
      </c>
      <c r="K2676" s="8">
        <f>IF($J$2698=0,0,J2676/$J$2698)</f>
        <v/>
      </c>
      <c r="L2676" s="6" t="inlineStr">
        <is>
          <t>REJECTED</t>
        </is>
      </c>
      <c r="M2676" s="8" t="n">
        <v>0</v>
      </c>
      <c r="N2676" s="7">
        <f>M2676*$J$2698-J2676</f>
        <v/>
      </c>
      <c r="O2676" s="9">
        <f>IF(G2676=0,0,N2676/G2676)</f>
        <v/>
      </c>
      <c r="P2676" s="6">
        <f>IF(M2676&gt;0,D2676,"")</f>
        <v/>
      </c>
      <c r="Q2676" s="9">
        <f>I2676+O2676</f>
        <v/>
      </c>
      <c r="R2676" s="7">
        <f>Q2676*G2676</f>
        <v/>
      </c>
      <c r="S2676" s="8">
        <f>IF($R$2698=0,0,R2676/$R$2698)</f>
        <v/>
      </c>
      <c r="T2676" s="8" t="n">
        <v>0.004653416150038003</v>
      </c>
      <c r="U2676" s="8" t="n">
        <v>0.01063556259993947</v>
      </c>
      <c r="V2676" s="6" t="inlineStr">
        <is>
          <t>not selected</t>
        </is>
      </c>
    </row>
    <row r="2677">
      <c r="A2677" s="6" t="inlineStr">
        <is>
          <t>DJ30</t>
        </is>
      </c>
      <c r="B2677" s="6" t="inlineStr">
        <is>
          <t>2024-08-30</t>
        </is>
      </c>
      <c r="C2677" s="6" t="inlineStr">
        <is>
          <t>DIA</t>
        </is>
      </c>
      <c r="D2677" s="6" t="inlineStr">
        <is>
          <t>DIS</t>
        </is>
      </c>
      <c r="E2677" s="6" t="inlineStr">
        <is>
          <t>DIS</t>
        </is>
      </c>
      <c r="F2677" s="6" t="inlineStr">
        <is>
          <t>-</t>
        </is>
      </c>
      <c r="G2677" s="7" t="n">
        <v>88.99705505371094</v>
      </c>
      <c r="H2677" s="6">
        <f>P2646</f>
        <v/>
      </c>
      <c r="I2677" s="9">
        <f>Q2646</f>
        <v/>
      </c>
      <c r="J2677" s="7">
        <f>I2677*G2677</f>
        <v/>
      </c>
      <c r="K2677" s="8">
        <f>IF($J$2698=0,0,J2677/$J$2698)</f>
        <v/>
      </c>
      <c r="L2677" s="6" t="inlineStr">
        <is>
          <t>REJECTED</t>
        </is>
      </c>
      <c r="M2677" s="8" t="n">
        <v>0</v>
      </c>
      <c r="N2677" s="7">
        <f>M2677*$J$2698-J2677</f>
        <v/>
      </c>
      <c r="O2677" s="9">
        <f>IF(G2677=0,0,N2677/G2677)</f>
        <v/>
      </c>
      <c r="P2677" s="6">
        <f>IF(M2677&gt;0,D2677,"")</f>
        <v/>
      </c>
      <c r="Q2677" s="9">
        <f>I2677+O2677</f>
        <v/>
      </c>
      <c r="R2677" s="7">
        <f>Q2677*G2677</f>
        <v/>
      </c>
      <c r="S2677" s="8">
        <f>IF($R$2698=0,0,R2677/$R$2698)</f>
        <v/>
      </c>
      <c r="T2677" s="8" t="n">
        <v>0.004653416150038003</v>
      </c>
      <c r="U2677" s="8" t="n">
        <v>0.01063556259993947</v>
      </c>
      <c r="V2677" s="6" t="inlineStr">
        <is>
          <t>not selected</t>
        </is>
      </c>
    </row>
    <row r="2678">
      <c r="A2678" s="6" t="inlineStr">
        <is>
          <t>DJ30</t>
        </is>
      </c>
      <c r="B2678" s="6" t="inlineStr">
        <is>
          <t>2024-08-30</t>
        </is>
      </c>
      <c r="C2678" s="6" t="inlineStr">
        <is>
          <t>DIA</t>
        </is>
      </c>
      <c r="D2678" s="6" t="inlineStr">
        <is>
          <t>GS</t>
        </is>
      </c>
      <c r="E2678" s="6" t="inlineStr">
        <is>
          <t>GS</t>
        </is>
      </c>
      <c r="F2678" s="6" t="inlineStr">
        <is>
          <t>-</t>
        </is>
      </c>
      <c r="G2678" s="7" t="n">
        <v>492.8031616210938</v>
      </c>
      <c r="H2678" s="6">
        <f>P2647</f>
        <v/>
      </c>
      <c r="I2678" s="9">
        <f>Q2647</f>
        <v/>
      </c>
      <c r="J2678" s="7">
        <f>I2678*G2678</f>
        <v/>
      </c>
      <c r="K2678" s="8">
        <f>IF($J$2698=0,0,J2678/$J$2698)</f>
        <v/>
      </c>
      <c r="L2678" s="6" t="inlineStr">
        <is>
          <t>WATCHLIST</t>
        </is>
      </c>
      <c r="M2678" s="8" t="n">
        <v>0</v>
      </c>
      <c r="N2678" s="7">
        <f>M2678*$J$2698-J2678</f>
        <v/>
      </c>
      <c r="O2678" s="9">
        <f>IF(G2678=0,0,N2678/G2678)</f>
        <v/>
      </c>
      <c r="P2678" s="6">
        <f>IF(M2678&gt;0,D2678,"")</f>
        <v/>
      </c>
      <c r="Q2678" s="9">
        <f>I2678+O2678</f>
        <v/>
      </c>
      <c r="R2678" s="7">
        <f>Q2678*G2678</f>
        <v/>
      </c>
      <c r="S2678" s="8">
        <f>IF($R$2698=0,0,R2678/$R$2698)</f>
        <v/>
      </c>
      <c r="T2678" s="8" t="n">
        <v>0.004653416150038003</v>
      </c>
      <c r="U2678" s="8" t="n">
        <v>0.01063556259993947</v>
      </c>
      <c r="V2678" s="6" t="inlineStr">
        <is>
          <t>not selected</t>
        </is>
      </c>
    </row>
    <row r="2679">
      <c r="A2679" s="6" t="inlineStr">
        <is>
          <t>DJ30</t>
        </is>
      </c>
      <c r="B2679" s="6" t="inlineStr">
        <is>
          <t>2024-08-30</t>
        </is>
      </c>
      <c r="C2679" s="6" t="inlineStr">
        <is>
          <t>DIA</t>
        </is>
      </c>
      <c r="D2679" s="6" t="inlineStr">
        <is>
          <t>HD</t>
        </is>
      </c>
      <c r="E2679" s="6" t="inlineStr">
        <is>
          <t>HD</t>
        </is>
      </c>
      <c r="F2679" s="6" t="inlineStr">
        <is>
          <t>-</t>
        </is>
      </c>
      <c r="G2679" s="7" t="n">
        <v>352.6326599121094</v>
      </c>
      <c r="H2679" s="6">
        <f>P2648</f>
        <v/>
      </c>
      <c r="I2679" s="9">
        <f>Q2648</f>
        <v/>
      </c>
      <c r="J2679" s="7">
        <f>I2679*G2679</f>
        <v/>
      </c>
      <c r="K2679" s="8">
        <f>IF($J$2698=0,0,J2679/$J$2698)</f>
        <v/>
      </c>
      <c r="L2679" s="6" t="inlineStr">
        <is>
          <t>WATCHLIST</t>
        </is>
      </c>
      <c r="M2679" s="8" t="n">
        <v>0</v>
      </c>
      <c r="N2679" s="7">
        <f>M2679*$J$2698-J2679</f>
        <v/>
      </c>
      <c r="O2679" s="9">
        <f>IF(G2679=0,0,N2679/G2679)</f>
        <v/>
      </c>
      <c r="P2679" s="6">
        <f>IF(M2679&gt;0,D2679,"")</f>
        <v/>
      </c>
      <c r="Q2679" s="9">
        <f>I2679+O2679</f>
        <v/>
      </c>
      <c r="R2679" s="7">
        <f>Q2679*G2679</f>
        <v/>
      </c>
      <c r="S2679" s="8">
        <f>IF($R$2698=0,0,R2679/$R$2698)</f>
        <v/>
      </c>
      <c r="T2679" s="8" t="n">
        <v>0.004653416150038003</v>
      </c>
      <c r="U2679" s="8" t="n">
        <v>0.01063556259993947</v>
      </c>
      <c r="V2679" s="6" t="inlineStr">
        <is>
          <t>not selected</t>
        </is>
      </c>
    </row>
    <row r="2680">
      <c r="A2680" s="6" t="inlineStr">
        <is>
          <t>DJ30</t>
        </is>
      </c>
      <c r="B2680" s="6" t="inlineStr">
        <is>
          <t>2024-08-30</t>
        </is>
      </c>
      <c r="C2680" s="6" t="inlineStr">
        <is>
          <t>DIA</t>
        </is>
      </c>
      <c r="D2680" s="6" t="inlineStr">
        <is>
          <t>HON</t>
        </is>
      </c>
      <c r="E2680" s="6" t="inlineStr">
        <is>
          <t>HON</t>
        </is>
      </c>
      <c r="F2680" s="6" t="inlineStr">
        <is>
          <t>-</t>
        </is>
      </c>
      <c r="G2680" s="7" t="n">
        <v>188.8497161865234</v>
      </c>
      <c r="H2680" s="6">
        <f>P2649</f>
        <v/>
      </c>
      <c r="I2680" s="9">
        <f>Q2649</f>
        <v/>
      </c>
      <c r="J2680" s="7">
        <f>I2680*G2680</f>
        <v/>
      </c>
      <c r="K2680" s="8">
        <f>IF($J$2698=0,0,J2680/$J$2698)</f>
        <v/>
      </c>
      <c r="L2680" s="6" t="inlineStr">
        <is>
          <t>WATCHLIST</t>
        </is>
      </c>
      <c r="M2680" s="8" t="n">
        <v>0</v>
      </c>
      <c r="N2680" s="7">
        <f>M2680*$J$2698-J2680</f>
        <v/>
      </c>
      <c r="O2680" s="9">
        <f>IF(G2680=0,0,N2680/G2680)</f>
        <v/>
      </c>
      <c r="P2680" s="6">
        <f>IF(M2680&gt;0,D2680,"")</f>
        <v/>
      </c>
      <c r="Q2680" s="9">
        <f>I2680+O2680</f>
        <v/>
      </c>
      <c r="R2680" s="7">
        <f>Q2680*G2680</f>
        <v/>
      </c>
      <c r="S2680" s="8">
        <f>IF($R$2698=0,0,R2680/$R$2698)</f>
        <v/>
      </c>
      <c r="T2680" s="8" t="n">
        <v>0.004653416150038003</v>
      </c>
      <c r="U2680" s="8" t="n">
        <v>0.01063556259993947</v>
      </c>
      <c r="V2680" s="6" t="inlineStr">
        <is>
          <t>not selected</t>
        </is>
      </c>
    </row>
    <row r="2681">
      <c r="A2681" s="6" t="inlineStr">
        <is>
          <t>DJ30</t>
        </is>
      </c>
      <c r="B2681" s="6" t="inlineStr">
        <is>
          <t>2024-08-30</t>
        </is>
      </c>
      <c r="C2681" s="6" t="inlineStr">
        <is>
          <t>DIA</t>
        </is>
      </c>
      <c r="D2681" s="6" t="inlineStr">
        <is>
          <t>IBM</t>
        </is>
      </c>
      <c r="E2681" s="6" t="inlineStr">
        <is>
          <t>IBM</t>
        </is>
      </c>
      <c r="F2681" s="6" t="inlineStr">
        <is>
          <t>-</t>
        </is>
      </c>
      <c r="G2681" s="7" t="n">
        <v>192.9697113037109</v>
      </c>
      <c r="H2681" s="6">
        <f>P2650</f>
        <v/>
      </c>
      <c r="I2681" s="9">
        <f>Q2650</f>
        <v/>
      </c>
      <c r="J2681" s="7">
        <f>I2681*G2681</f>
        <v/>
      </c>
      <c r="K2681" s="8">
        <f>IF($J$2698=0,0,J2681/$J$2698)</f>
        <v/>
      </c>
      <c r="L2681" s="6" t="inlineStr">
        <is>
          <t>WATCHLIST</t>
        </is>
      </c>
      <c r="M2681" s="8" t="n">
        <v>0</v>
      </c>
      <c r="N2681" s="7">
        <f>M2681*$J$2698-J2681</f>
        <v/>
      </c>
      <c r="O2681" s="9">
        <f>IF(G2681=0,0,N2681/G2681)</f>
        <v/>
      </c>
      <c r="P2681" s="6">
        <f>IF(M2681&gt;0,D2681,"")</f>
        <v/>
      </c>
      <c r="Q2681" s="9">
        <f>I2681+O2681</f>
        <v/>
      </c>
      <c r="R2681" s="7">
        <f>Q2681*G2681</f>
        <v/>
      </c>
      <c r="S2681" s="8">
        <f>IF($R$2698=0,0,R2681/$R$2698)</f>
        <v/>
      </c>
      <c r="T2681" s="8" t="n">
        <v>0.004653416150038003</v>
      </c>
      <c r="U2681" s="8" t="n">
        <v>0.01063556259993947</v>
      </c>
      <c r="V2681" s="6" t="inlineStr">
        <is>
          <t>not selected</t>
        </is>
      </c>
    </row>
    <row r="2682">
      <c r="A2682" s="6" t="inlineStr">
        <is>
          <t>DJ30</t>
        </is>
      </c>
      <c r="B2682" s="6" t="inlineStr">
        <is>
          <t>2024-08-30</t>
        </is>
      </c>
      <c r="C2682" s="6" t="inlineStr">
        <is>
          <t>DIA</t>
        </is>
      </c>
      <c r="D2682" s="6" t="inlineStr">
        <is>
          <t>JNJ</t>
        </is>
      </c>
      <c r="E2682" s="6" t="inlineStr">
        <is>
          <t>JNJ</t>
        </is>
      </c>
      <c r="F2682" s="6" t="inlineStr">
        <is>
          <t>-</t>
        </is>
      </c>
      <c r="G2682" s="7" t="n">
        <v>157.9003448486328</v>
      </c>
      <c r="H2682" s="6">
        <f>P2651</f>
        <v/>
      </c>
      <c r="I2682" s="9">
        <f>Q2651</f>
        <v/>
      </c>
      <c r="J2682" s="7">
        <f>I2682*G2682</f>
        <v/>
      </c>
      <c r="K2682" s="8">
        <f>IF($J$2698=0,0,J2682/$J$2698)</f>
        <v/>
      </c>
      <c r="L2682" s="6" t="inlineStr">
        <is>
          <t>REJECTED</t>
        </is>
      </c>
      <c r="M2682" s="8" t="n">
        <v>0</v>
      </c>
      <c r="N2682" s="7">
        <f>M2682*$J$2698-J2682</f>
        <v/>
      </c>
      <c r="O2682" s="9">
        <f>IF(G2682=0,0,N2682/G2682)</f>
        <v/>
      </c>
      <c r="P2682" s="6">
        <f>IF(M2682&gt;0,D2682,"")</f>
        <v/>
      </c>
      <c r="Q2682" s="9">
        <f>I2682+O2682</f>
        <v/>
      </c>
      <c r="R2682" s="7">
        <f>Q2682*G2682</f>
        <v/>
      </c>
      <c r="S2682" s="8">
        <f>IF($R$2698=0,0,R2682/$R$2698)</f>
        <v/>
      </c>
      <c r="T2682" s="8" t="n">
        <v>0.004653416150038003</v>
      </c>
      <c r="U2682" s="8" t="n">
        <v>0.01063556259993947</v>
      </c>
      <c r="V2682" s="6" t="inlineStr">
        <is>
          <t>not selected</t>
        </is>
      </c>
    </row>
    <row r="2683">
      <c r="A2683" s="6" t="inlineStr">
        <is>
          <t>DJ30</t>
        </is>
      </c>
      <c r="B2683" s="6" t="inlineStr">
        <is>
          <t>2024-08-30</t>
        </is>
      </c>
      <c r="C2683" s="6" t="inlineStr">
        <is>
          <t>DIA</t>
        </is>
      </c>
      <c r="D2683" s="6" t="inlineStr">
        <is>
          <t>JPM</t>
        </is>
      </c>
      <c r="E2683" s="6" t="inlineStr">
        <is>
          <t>JPM</t>
        </is>
      </c>
      <c r="F2683" s="6" t="inlineStr">
        <is>
          <t>-</t>
        </is>
      </c>
      <c r="G2683" s="7" t="n">
        <v>216.70751953125</v>
      </c>
      <c r="H2683" s="6">
        <f>P2652</f>
        <v/>
      </c>
      <c r="I2683" s="9">
        <f>Q2652</f>
        <v/>
      </c>
      <c r="J2683" s="7">
        <f>I2683*G2683</f>
        <v/>
      </c>
      <c r="K2683" s="8">
        <f>IF($J$2698=0,0,J2683/$J$2698)</f>
        <v/>
      </c>
      <c r="L2683" s="6" t="inlineStr">
        <is>
          <t>WATCHLIST</t>
        </is>
      </c>
      <c r="M2683" s="8" t="n">
        <v>0</v>
      </c>
      <c r="N2683" s="7">
        <f>M2683*$J$2698-J2683</f>
        <v/>
      </c>
      <c r="O2683" s="9">
        <f>IF(G2683=0,0,N2683/G2683)</f>
        <v/>
      </c>
      <c r="P2683" s="6">
        <f>IF(M2683&gt;0,D2683,"")</f>
        <v/>
      </c>
      <c r="Q2683" s="9">
        <f>I2683+O2683</f>
        <v/>
      </c>
      <c r="R2683" s="7">
        <f>Q2683*G2683</f>
        <v/>
      </c>
      <c r="S2683" s="8">
        <f>IF($R$2698=0,0,R2683/$R$2698)</f>
        <v/>
      </c>
      <c r="T2683" s="8" t="n">
        <v>0.004653416150038003</v>
      </c>
      <c r="U2683" s="8" t="n">
        <v>0.01063556259993947</v>
      </c>
      <c r="V2683" s="6" t="inlineStr">
        <is>
          <t>not selected</t>
        </is>
      </c>
    </row>
    <row r="2684">
      <c r="A2684" s="6" t="inlineStr">
        <is>
          <t>DJ30</t>
        </is>
      </c>
      <c r="B2684" s="6" t="inlineStr">
        <is>
          <t>2024-08-30</t>
        </is>
      </c>
      <c r="C2684" s="6" t="inlineStr">
        <is>
          <t>DIA</t>
        </is>
      </c>
      <c r="D2684" s="6" t="inlineStr">
        <is>
          <t>KO</t>
        </is>
      </c>
      <c r="E2684" s="6" t="inlineStr">
        <is>
          <t>KO</t>
        </is>
      </c>
      <c r="F2684" s="6" t="inlineStr">
        <is>
          <t>-</t>
        </is>
      </c>
      <c r="G2684" s="7" t="n">
        <v>68.47166442871094</v>
      </c>
      <c r="H2684" s="6">
        <f>P2653</f>
        <v/>
      </c>
      <c r="I2684" s="9">
        <f>Q2653</f>
        <v/>
      </c>
      <c r="J2684" s="7">
        <f>I2684*G2684</f>
        <v/>
      </c>
      <c r="K2684" s="8">
        <f>IF($J$2698=0,0,J2684/$J$2698)</f>
        <v/>
      </c>
      <c r="L2684" s="6" t="inlineStr">
        <is>
          <t>WATCHLIST</t>
        </is>
      </c>
      <c r="M2684" s="8" t="n">
        <v>0</v>
      </c>
      <c r="N2684" s="7">
        <f>M2684*$J$2698-J2684</f>
        <v/>
      </c>
      <c r="O2684" s="9">
        <f>IF(G2684=0,0,N2684/G2684)</f>
        <v/>
      </c>
      <c r="P2684" s="6">
        <f>IF(M2684&gt;0,D2684,"")</f>
        <v/>
      </c>
      <c r="Q2684" s="9">
        <f>I2684+O2684</f>
        <v/>
      </c>
      <c r="R2684" s="7">
        <f>Q2684*G2684</f>
        <v/>
      </c>
      <c r="S2684" s="8">
        <f>IF($R$2698=0,0,R2684/$R$2698)</f>
        <v/>
      </c>
      <c r="T2684" s="8" t="n">
        <v>0.004653416150038003</v>
      </c>
      <c r="U2684" s="8" t="n">
        <v>0.01063556259993947</v>
      </c>
      <c r="V2684" s="6" t="inlineStr">
        <is>
          <t>not selected</t>
        </is>
      </c>
    </row>
    <row r="2685">
      <c r="A2685" s="6" t="inlineStr">
        <is>
          <t>DJ30</t>
        </is>
      </c>
      <c r="B2685" s="6" t="inlineStr">
        <is>
          <t>2024-08-30</t>
        </is>
      </c>
      <c r="C2685" s="6" t="inlineStr">
        <is>
          <t>DIA</t>
        </is>
      </c>
      <c r="D2685" s="6" t="inlineStr">
        <is>
          <t>MCD</t>
        </is>
      </c>
      <c r="E2685" s="6" t="inlineStr">
        <is>
          <t>MCD</t>
        </is>
      </c>
      <c r="F2685" s="6" t="inlineStr">
        <is>
          <t>-</t>
        </is>
      </c>
      <c r="G2685" s="7" t="n">
        <v>275.3555603027344</v>
      </c>
      <c r="H2685" s="6">
        <f>P2654</f>
        <v/>
      </c>
      <c r="I2685" s="9">
        <f>Q2654</f>
        <v/>
      </c>
      <c r="J2685" s="7">
        <f>I2685*G2685</f>
        <v/>
      </c>
      <c r="K2685" s="8">
        <f>IF($J$2698=0,0,J2685/$J$2698)</f>
        <v/>
      </c>
      <c r="L2685" s="6" t="inlineStr">
        <is>
          <t>REJECTED</t>
        </is>
      </c>
      <c r="M2685" s="8" t="n">
        <v>0</v>
      </c>
      <c r="N2685" s="7">
        <f>M2685*$J$2698-J2685</f>
        <v/>
      </c>
      <c r="O2685" s="9">
        <f>IF(G2685=0,0,N2685/G2685)</f>
        <v/>
      </c>
      <c r="P2685" s="6">
        <f>IF(M2685&gt;0,D2685,"")</f>
        <v/>
      </c>
      <c r="Q2685" s="9">
        <f>I2685+O2685</f>
        <v/>
      </c>
      <c r="R2685" s="7">
        <f>Q2685*G2685</f>
        <v/>
      </c>
      <c r="S2685" s="8">
        <f>IF($R$2698=0,0,R2685/$R$2698)</f>
        <v/>
      </c>
      <c r="T2685" s="8" t="n">
        <v>0.004653416150038003</v>
      </c>
      <c r="U2685" s="8" t="n">
        <v>0.01063556259993947</v>
      </c>
      <c r="V2685" s="6" t="inlineStr">
        <is>
          <t>not selected</t>
        </is>
      </c>
    </row>
    <row r="2686">
      <c r="A2686" s="6" t="inlineStr">
        <is>
          <t>DJ30</t>
        </is>
      </c>
      <c r="B2686" s="6" t="inlineStr">
        <is>
          <t>2024-08-30</t>
        </is>
      </c>
      <c r="C2686" s="6" t="inlineStr">
        <is>
          <t>DIA</t>
        </is>
      </c>
      <c r="D2686" s="6" t="inlineStr">
        <is>
          <t>MMM</t>
        </is>
      </c>
      <c r="E2686" s="6" t="inlineStr">
        <is>
          <t>MMM</t>
        </is>
      </c>
      <c r="F2686" s="6" t="inlineStr">
        <is>
          <t>-</t>
        </is>
      </c>
      <c r="G2686" s="7" t="n">
        <v>130.2339172363281</v>
      </c>
      <c r="H2686" s="6">
        <f>P2655</f>
        <v/>
      </c>
      <c r="I2686" s="9">
        <f>Q2655</f>
        <v/>
      </c>
      <c r="J2686" s="7">
        <f>I2686*G2686</f>
        <v/>
      </c>
      <c r="K2686" s="8">
        <f>IF($J$2698=0,0,J2686/$J$2698)</f>
        <v/>
      </c>
      <c r="L2686" s="6" t="inlineStr">
        <is>
          <t>SELECTED</t>
        </is>
      </c>
      <c r="M2686" s="8" t="n">
        <v>0.2</v>
      </c>
      <c r="N2686" s="7">
        <f>M2686*$J$2698-J2686</f>
        <v/>
      </c>
      <c r="O2686" s="9">
        <f>IF(G2686=0,0,N2686/G2686)</f>
        <v/>
      </c>
      <c r="P2686" s="6">
        <f>IF(M2686&gt;0,D2686,"")</f>
        <v/>
      </c>
      <c r="Q2686" s="9">
        <f>I2686+O2686</f>
        <v/>
      </c>
      <c r="R2686" s="7">
        <f>Q2686*G2686</f>
        <v/>
      </c>
      <c r="S2686" s="8">
        <f>IF($R$2698=0,0,R2686/$R$2698)</f>
        <v/>
      </c>
      <c r="T2686" s="8" t="n">
        <v>0.004653416150038003</v>
      </c>
      <c r="U2686" s="8" t="n">
        <v>0.01063556259993947</v>
      </c>
      <c r="V2686" s="6" t="inlineStr">
        <is>
          <t>remained in weekly selection</t>
        </is>
      </c>
    </row>
    <row r="2687">
      <c r="A2687" s="6" t="inlineStr">
        <is>
          <t>DJ30</t>
        </is>
      </c>
      <c r="B2687" s="6" t="inlineStr">
        <is>
          <t>2024-08-30</t>
        </is>
      </c>
      <c r="C2687" s="6" t="inlineStr">
        <is>
          <t>DIA</t>
        </is>
      </c>
      <c r="D2687" s="6" t="inlineStr">
        <is>
          <t>MRK</t>
        </is>
      </c>
      <c r="E2687" s="6" t="inlineStr">
        <is>
          <t>MRK</t>
        </is>
      </c>
      <c r="F2687" s="6" t="inlineStr">
        <is>
          <t>-</t>
        </is>
      </c>
      <c r="G2687" s="7" t="n">
        <v>110.8746337890625</v>
      </c>
      <c r="H2687" s="6">
        <f>P2656</f>
        <v/>
      </c>
      <c r="I2687" s="9">
        <f>Q2656</f>
        <v/>
      </c>
      <c r="J2687" s="7">
        <f>I2687*G2687</f>
        <v/>
      </c>
      <c r="K2687" s="8">
        <f>IF($J$2698=0,0,J2687/$J$2698)</f>
        <v/>
      </c>
      <c r="L2687" s="6" t="inlineStr">
        <is>
          <t>WATCHLIST</t>
        </is>
      </c>
      <c r="M2687" s="8" t="n">
        <v>0</v>
      </c>
      <c r="N2687" s="7">
        <f>M2687*$J$2698-J2687</f>
        <v/>
      </c>
      <c r="O2687" s="9">
        <f>IF(G2687=0,0,N2687/G2687)</f>
        <v/>
      </c>
      <c r="P2687" s="6">
        <f>IF(M2687&gt;0,D2687,"")</f>
        <v/>
      </c>
      <c r="Q2687" s="9">
        <f>I2687+O2687</f>
        <v/>
      </c>
      <c r="R2687" s="7">
        <f>Q2687*G2687</f>
        <v/>
      </c>
      <c r="S2687" s="8">
        <f>IF($R$2698=0,0,R2687/$R$2698)</f>
        <v/>
      </c>
      <c r="T2687" s="8" t="n">
        <v>0.004653416150038003</v>
      </c>
      <c r="U2687" s="8" t="n">
        <v>0.01063556259993947</v>
      </c>
      <c r="V2687" s="6" t="inlineStr">
        <is>
          <t>not selected</t>
        </is>
      </c>
    </row>
    <row r="2688">
      <c r="A2688" s="6" t="inlineStr">
        <is>
          <t>DJ30</t>
        </is>
      </c>
      <c r="B2688" s="6" t="inlineStr">
        <is>
          <t>2024-08-30</t>
        </is>
      </c>
      <c r="C2688" s="6" t="inlineStr">
        <is>
          <t>DIA</t>
        </is>
      </c>
      <c r="D2688" s="6" t="inlineStr">
        <is>
          <t>MSFT</t>
        </is>
      </c>
      <c r="E2688" s="6" t="inlineStr">
        <is>
          <t>MSFT</t>
        </is>
      </c>
      <c r="F2688" s="6" t="inlineStr">
        <is>
          <t>-</t>
        </is>
      </c>
      <c r="G2688" s="7" t="n">
        <v>411.4259948730469</v>
      </c>
      <c r="H2688" s="6">
        <f>P2657</f>
        <v/>
      </c>
      <c r="I2688" s="9">
        <f>Q2657</f>
        <v/>
      </c>
      <c r="J2688" s="7">
        <f>I2688*G2688</f>
        <v/>
      </c>
      <c r="K2688" s="8">
        <f>IF($J$2698=0,0,J2688/$J$2698)</f>
        <v/>
      </c>
      <c r="L2688" s="6" t="inlineStr">
        <is>
          <t>WATCHLIST</t>
        </is>
      </c>
      <c r="M2688" s="8" t="n">
        <v>0</v>
      </c>
      <c r="N2688" s="7">
        <f>M2688*$J$2698-J2688</f>
        <v/>
      </c>
      <c r="O2688" s="9">
        <f>IF(G2688=0,0,N2688/G2688)</f>
        <v/>
      </c>
      <c r="P2688" s="6">
        <f>IF(M2688&gt;0,D2688,"")</f>
        <v/>
      </c>
      <c r="Q2688" s="9">
        <f>I2688+O2688</f>
        <v/>
      </c>
      <c r="R2688" s="7">
        <f>Q2688*G2688</f>
        <v/>
      </c>
      <c r="S2688" s="8">
        <f>IF($R$2698=0,0,R2688/$R$2698)</f>
        <v/>
      </c>
      <c r="T2688" s="8" t="n">
        <v>0.004653416150038003</v>
      </c>
      <c r="U2688" s="8" t="n">
        <v>0.01063556259993947</v>
      </c>
      <c r="V2688" s="6" t="inlineStr">
        <is>
          <t>not selected</t>
        </is>
      </c>
    </row>
    <row r="2689">
      <c r="A2689" s="6" t="inlineStr">
        <is>
          <t>DJ30</t>
        </is>
      </c>
      <c r="B2689" s="6" t="inlineStr">
        <is>
          <t>2024-08-30</t>
        </is>
      </c>
      <c r="C2689" s="6" t="inlineStr">
        <is>
          <t>DIA</t>
        </is>
      </c>
      <c r="D2689" s="6" t="inlineStr">
        <is>
          <t>NKE</t>
        </is>
      </c>
      <c r="E2689" s="6" t="inlineStr">
        <is>
          <t>NKE</t>
        </is>
      </c>
      <c r="F2689" s="6" t="inlineStr">
        <is>
          <t>-</t>
        </is>
      </c>
      <c r="G2689" s="7" t="n">
        <v>79.39247131347656</v>
      </c>
      <c r="H2689" s="6">
        <f>P2658</f>
        <v/>
      </c>
      <c r="I2689" s="9">
        <f>Q2658</f>
        <v/>
      </c>
      <c r="J2689" s="7">
        <f>I2689*G2689</f>
        <v/>
      </c>
      <c r="K2689" s="8">
        <f>IF($J$2698=0,0,J2689/$J$2698)</f>
        <v/>
      </c>
      <c r="L2689" s="6" t="inlineStr">
        <is>
          <t>REJECTED</t>
        </is>
      </c>
      <c r="M2689" s="8" t="n">
        <v>0</v>
      </c>
      <c r="N2689" s="7">
        <f>M2689*$J$2698-J2689</f>
        <v/>
      </c>
      <c r="O2689" s="9">
        <f>IF(G2689=0,0,N2689/G2689)</f>
        <v/>
      </c>
      <c r="P2689" s="6">
        <f>IF(M2689&gt;0,D2689,"")</f>
        <v/>
      </c>
      <c r="Q2689" s="9">
        <f>I2689+O2689</f>
        <v/>
      </c>
      <c r="R2689" s="7">
        <f>Q2689*G2689</f>
        <v/>
      </c>
      <c r="S2689" s="8">
        <f>IF($R$2698=0,0,R2689/$R$2698)</f>
        <v/>
      </c>
      <c r="T2689" s="8" t="n">
        <v>0.004653416150038003</v>
      </c>
      <c r="U2689" s="8" t="n">
        <v>0.01063556259993947</v>
      </c>
      <c r="V2689" s="6" t="inlineStr">
        <is>
          <t>not selected</t>
        </is>
      </c>
    </row>
    <row r="2690">
      <c r="A2690" s="6" t="inlineStr">
        <is>
          <t>DJ30</t>
        </is>
      </c>
      <c r="B2690" s="6" t="inlineStr">
        <is>
          <t>2024-08-30</t>
        </is>
      </c>
      <c r="C2690" s="6" t="inlineStr">
        <is>
          <t>DIA</t>
        </is>
      </c>
      <c r="D2690" s="6" t="inlineStr">
        <is>
          <t>NVDA</t>
        </is>
      </c>
      <c r="E2690" s="6" t="inlineStr">
        <is>
          <t>NVDA</t>
        </is>
      </c>
      <c r="F2690" s="6" t="inlineStr">
        <is>
          <t>-</t>
        </is>
      </c>
      <c r="G2690" s="7" t="n">
        <v>119.173583984375</v>
      </c>
      <c r="H2690" s="6">
        <f>P2659</f>
        <v/>
      </c>
      <c r="I2690" s="9">
        <f>Q2659</f>
        <v/>
      </c>
      <c r="J2690" s="7">
        <f>I2690*G2690</f>
        <v/>
      </c>
      <c r="K2690" s="8">
        <f>IF($J$2698=0,0,J2690/$J$2698)</f>
        <v/>
      </c>
      <c r="L2690" s="6" t="inlineStr">
        <is>
          <t>SELECTED</t>
        </is>
      </c>
      <c r="M2690" s="8" t="n">
        <v>0.2</v>
      </c>
      <c r="N2690" s="7">
        <f>M2690*$J$2698-J2690</f>
        <v/>
      </c>
      <c r="O2690" s="9">
        <f>IF(G2690=0,0,N2690/G2690)</f>
        <v/>
      </c>
      <c r="P2690" s="6">
        <f>IF(M2690&gt;0,D2690,"")</f>
        <v/>
      </c>
      <c r="Q2690" s="9">
        <f>I2690+O2690</f>
        <v/>
      </c>
      <c r="R2690" s="7">
        <f>Q2690*G2690</f>
        <v/>
      </c>
      <c r="S2690" s="8">
        <f>IF($R$2698=0,0,R2690/$R$2698)</f>
        <v/>
      </c>
      <c r="T2690" s="8" t="n">
        <v>0.004653416150038003</v>
      </c>
      <c r="U2690" s="8" t="n">
        <v>0.01063556259993947</v>
      </c>
      <c r="V2690" s="6" t="inlineStr">
        <is>
          <t>remained in weekly selection</t>
        </is>
      </c>
    </row>
    <row r="2691">
      <c r="A2691" s="6" t="inlineStr">
        <is>
          <t>DJ30</t>
        </is>
      </c>
      <c r="B2691" s="6" t="inlineStr">
        <is>
          <t>2024-08-30</t>
        </is>
      </c>
      <c r="C2691" s="6" t="inlineStr">
        <is>
          <t>DIA</t>
        </is>
      </c>
      <c r="D2691" s="6" t="inlineStr">
        <is>
          <t>PG</t>
        </is>
      </c>
      <c r="E2691" s="6" t="inlineStr">
        <is>
          <t>PG</t>
        </is>
      </c>
      <c r="F2691" s="6" t="inlineStr">
        <is>
          <t>-</t>
        </is>
      </c>
      <c r="G2691" s="7" t="n">
        <v>163.7433624267578</v>
      </c>
      <c r="H2691" s="6">
        <f>P2660</f>
        <v/>
      </c>
      <c r="I2691" s="9">
        <f>Q2660</f>
        <v/>
      </c>
      <c r="J2691" s="7">
        <f>I2691*G2691</f>
        <v/>
      </c>
      <c r="K2691" s="8">
        <f>IF($J$2698=0,0,J2691/$J$2698)</f>
        <v/>
      </c>
      <c r="L2691" s="6" t="inlineStr">
        <is>
          <t>WATCHLIST</t>
        </is>
      </c>
      <c r="M2691" s="8" t="n">
        <v>0</v>
      </c>
      <c r="N2691" s="7">
        <f>M2691*$J$2698-J2691</f>
        <v/>
      </c>
      <c r="O2691" s="9">
        <f>IF(G2691=0,0,N2691/G2691)</f>
        <v/>
      </c>
      <c r="P2691" s="6">
        <f>IF(M2691&gt;0,D2691,"")</f>
        <v/>
      </c>
      <c r="Q2691" s="9">
        <f>I2691+O2691</f>
        <v/>
      </c>
      <c r="R2691" s="7">
        <f>Q2691*G2691</f>
        <v/>
      </c>
      <c r="S2691" s="8">
        <f>IF($R$2698=0,0,R2691/$R$2698)</f>
        <v/>
      </c>
      <c r="T2691" s="8" t="n">
        <v>0.004653416150038003</v>
      </c>
      <c r="U2691" s="8" t="n">
        <v>0.01063556259993947</v>
      </c>
      <c r="V2691" s="6" t="inlineStr">
        <is>
          <t>not selected</t>
        </is>
      </c>
    </row>
    <row r="2692">
      <c r="A2692" s="6" t="inlineStr">
        <is>
          <t>DJ30</t>
        </is>
      </c>
      <c r="B2692" s="6" t="inlineStr">
        <is>
          <t>2024-08-30</t>
        </is>
      </c>
      <c r="C2692" s="6" t="inlineStr">
        <is>
          <t>DIA</t>
        </is>
      </c>
      <c r="D2692" s="6" t="inlineStr">
        <is>
          <t>SHW</t>
        </is>
      </c>
      <c r="E2692" s="6" t="inlineStr">
        <is>
          <t>SHW</t>
        </is>
      </c>
      <c r="F2692" s="6" t="inlineStr">
        <is>
          <t>-</t>
        </is>
      </c>
      <c r="G2692" s="7" t="n">
        <v>363.6855773925781</v>
      </c>
      <c r="H2692" s="6">
        <f>P2661</f>
        <v/>
      </c>
      <c r="I2692" s="9">
        <f>Q2661</f>
        <v/>
      </c>
      <c r="J2692" s="7">
        <f>I2692*G2692</f>
        <v/>
      </c>
      <c r="K2692" s="8">
        <f>IF($J$2698=0,0,J2692/$J$2698)</f>
        <v/>
      </c>
      <c r="L2692" s="6" t="inlineStr">
        <is>
          <t>WATCHLIST</t>
        </is>
      </c>
      <c r="M2692" s="8" t="n">
        <v>0</v>
      </c>
      <c r="N2692" s="7">
        <f>M2692*$J$2698-J2692</f>
        <v/>
      </c>
      <c r="O2692" s="9">
        <f>IF(G2692=0,0,N2692/G2692)</f>
        <v/>
      </c>
      <c r="P2692" s="6">
        <f>IF(M2692&gt;0,D2692,"")</f>
        <v/>
      </c>
      <c r="Q2692" s="9">
        <f>I2692+O2692</f>
        <v/>
      </c>
      <c r="R2692" s="7">
        <f>Q2692*G2692</f>
        <v/>
      </c>
      <c r="S2692" s="8">
        <f>IF($R$2698=0,0,R2692/$R$2698)</f>
        <v/>
      </c>
      <c r="T2692" s="8" t="n">
        <v>0.004653416150038003</v>
      </c>
      <c r="U2692" s="8" t="n">
        <v>0.01063556259993947</v>
      </c>
      <c r="V2692" s="6" t="inlineStr">
        <is>
          <t>not selected</t>
        </is>
      </c>
    </row>
    <row r="2693">
      <c r="A2693" s="6" t="inlineStr">
        <is>
          <t>DJ30</t>
        </is>
      </c>
      <c r="B2693" s="6" t="inlineStr">
        <is>
          <t>2024-08-30</t>
        </is>
      </c>
      <c r="C2693" s="6" t="inlineStr">
        <is>
          <t>DIA</t>
        </is>
      </c>
      <c r="D2693" s="6" t="inlineStr">
        <is>
          <t>TRV</t>
        </is>
      </c>
      <c r="E2693" s="6" t="inlineStr">
        <is>
          <t>TRV</t>
        </is>
      </c>
      <c r="F2693" s="6" t="inlineStr">
        <is>
          <t>-</t>
        </is>
      </c>
      <c r="G2693" s="7" t="n">
        <v>220.771484375</v>
      </c>
      <c r="H2693" s="6">
        <f>P2662</f>
        <v/>
      </c>
      <c r="I2693" s="9">
        <f>Q2662</f>
        <v/>
      </c>
      <c r="J2693" s="7">
        <f>I2693*G2693</f>
        <v/>
      </c>
      <c r="K2693" s="8">
        <f>IF($J$2698=0,0,J2693/$J$2698)</f>
        <v/>
      </c>
      <c r="L2693" s="6" t="inlineStr">
        <is>
          <t>WATCHLIST</t>
        </is>
      </c>
      <c r="M2693" s="8" t="n">
        <v>0</v>
      </c>
      <c r="N2693" s="7">
        <f>M2693*$J$2698-J2693</f>
        <v/>
      </c>
      <c r="O2693" s="9">
        <f>IF(G2693=0,0,N2693/G2693)</f>
        <v/>
      </c>
      <c r="P2693" s="6">
        <f>IF(M2693&gt;0,D2693,"")</f>
        <v/>
      </c>
      <c r="Q2693" s="9">
        <f>I2693+O2693</f>
        <v/>
      </c>
      <c r="R2693" s="7">
        <f>Q2693*G2693</f>
        <v/>
      </c>
      <c r="S2693" s="8">
        <f>IF($R$2698=0,0,R2693/$R$2698)</f>
        <v/>
      </c>
      <c r="T2693" s="8" t="n">
        <v>0.004653416150038003</v>
      </c>
      <c r="U2693" s="8" t="n">
        <v>0.01063556259993947</v>
      </c>
      <c r="V2693" s="6" t="inlineStr">
        <is>
          <t>not selected</t>
        </is>
      </c>
    </row>
    <row r="2694">
      <c r="A2694" s="6" t="inlineStr">
        <is>
          <t>DJ30</t>
        </is>
      </c>
      <c r="B2694" s="6" t="inlineStr">
        <is>
          <t>2024-08-30</t>
        </is>
      </c>
      <c r="C2694" s="6" t="inlineStr">
        <is>
          <t>DIA</t>
        </is>
      </c>
      <c r="D2694" s="6" t="inlineStr">
        <is>
          <t>UNH</t>
        </is>
      </c>
      <c r="E2694" s="6" t="inlineStr">
        <is>
          <t>UNH</t>
        </is>
      </c>
      <c r="F2694" s="6" t="inlineStr">
        <is>
          <t>-</t>
        </is>
      </c>
      <c r="G2694" s="7" t="n">
        <v>564.1531982421875</v>
      </c>
      <c r="H2694" s="6">
        <f>P2663</f>
        <v/>
      </c>
      <c r="I2694" s="9">
        <f>Q2663</f>
        <v/>
      </c>
      <c r="J2694" s="7">
        <f>I2694*G2694</f>
        <v/>
      </c>
      <c r="K2694" s="8">
        <f>IF($J$2698=0,0,J2694/$J$2698)</f>
        <v/>
      </c>
      <c r="L2694" s="6" t="inlineStr">
        <is>
          <t>REJECTED</t>
        </is>
      </c>
      <c r="M2694" s="8" t="n">
        <v>0</v>
      </c>
      <c r="N2694" s="7">
        <f>M2694*$J$2698-J2694</f>
        <v/>
      </c>
      <c r="O2694" s="9">
        <f>IF(G2694=0,0,N2694/G2694)</f>
        <v/>
      </c>
      <c r="P2694" s="6">
        <f>IF(M2694&gt;0,D2694,"")</f>
        <v/>
      </c>
      <c r="Q2694" s="9">
        <f>I2694+O2694</f>
        <v/>
      </c>
      <c r="R2694" s="7">
        <f>Q2694*G2694</f>
        <v/>
      </c>
      <c r="S2694" s="8">
        <f>IF($R$2698=0,0,R2694/$R$2698)</f>
        <v/>
      </c>
      <c r="T2694" s="8" t="n">
        <v>0.004653416150038003</v>
      </c>
      <c r="U2694" s="8" t="n">
        <v>0.01063556259993947</v>
      </c>
      <c r="V2694" s="6" t="inlineStr">
        <is>
          <t>not selected</t>
        </is>
      </c>
    </row>
    <row r="2695">
      <c r="A2695" s="6" t="inlineStr">
        <is>
          <t>DJ30</t>
        </is>
      </c>
      <c r="B2695" s="6" t="inlineStr">
        <is>
          <t>2024-08-30</t>
        </is>
      </c>
      <c r="C2695" s="6" t="inlineStr">
        <is>
          <t>DIA</t>
        </is>
      </c>
      <c r="D2695" s="6" t="inlineStr">
        <is>
          <t>V</t>
        </is>
      </c>
      <c r="E2695" s="6" t="inlineStr">
        <is>
          <t>V</t>
        </is>
      </c>
      <c r="F2695" s="6" t="inlineStr">
        <is>
          <t>-</t>
        </is>
      </c>
      <c r="G2695" s="7" t="n">
        <v>272.7710571289062</v>
      </c>
      <c r="H2695" s="6">
        <f>P2664</f>
        <v/>
      </c>
      <c r="I2695" s="9">
        <f>Q2664</f>
        <v/>
      </c>
      <c r="J2695" s="7">
        <f>I2695*G2695</f>
        <v/>
      </c>
      <c r="K2695" s="8">
        <f>IF($J$2698=0,0,J2695/$J$2698)</f>
        <v/>
      </c>
      <c r="L2695" s="6" t="inlineStr">
        <is>
          <t>WATCHLIST</t>
        </is>
      </c>
      <c r="M2695" s="8" t="n">
        <v>0</v>
      </c>
      <c r="N2695" s="7">
        <f>M2695*$J$2698-J2695</f>
        <v/>
      </c>
      <c r="O2695" s="9">
        <f>IF(G2695=0,0,N2695/G2695)</f>
        <v/>
      </c>
      <c r="P2695" s="6">
        <f>IF(M2695&gt;0,D2695,"")</f>
        <v/>
      </c>
      <c r="Q2695" s="9">
        <f>I2695+O2695</f>
        <v/>
      </c>
      <c r="R2695" s="7">
        <f>Q2695*G2695</f>
        <v/>
      </c>
      <c r="S2695" s="8">
        <f>IF($R$2698=0,0,R2695/$R$2698)</f>
        <v/>
      </c>
      <c r="T2695" s="8" t="n">
        <v>0.004653416150038003</v>
      </c>
      <c r="U2695" s="8" t="n">
        <v>0.01063556259993947</v>
      </c>
      <c r="V2695" s="6" t="inlineStr">
        <is>
          <t>not selected</t>
        </is>
      </c>
    </row>
    <row r="2696">
      <c r="A2696" s="6" t="inlineStr">
        <is>
          <t>DJ30</t>
        </is>
      </c>
      <c r="B2696" s="6" t="inlineStr">
        <is>
          <t>2024-08-30</t>
        </is>
      </c>
      <c r="C2696" s="6" t="inlineStr">
        <is>
          <t>DIA</t>
        </is>
      </c>
      <c r="D2696" s="6" t="inlineStr">
        <is>
          <t>VZ</t>
        </is>
      </c>
      <c r="E2696" s="6" t="inlineStr">
        <is>
          <t>VZ</t>
        </is>
      </c>
      <c r="F2696" s="6" t="inlineStr">
        <is>
          <t>-</t>
        </is>
      </c>
      <c r="G2696" s="7" t="n">
        <v>37.27099609375</v>
      </c>
      <c r="H2696" s="6">
        <f>P2665</f>
        <v/>
      </c>
      <c r="I2696" s="9">
        <f>Q2665</f>
        <v/>
      </c>
      <c r="J2696" s="7">
        <f>I2696*G2696</f>
        <v/>
      </c>
      <c r="K2696" s="8">
        <f>IF($J$2698=0,0,J2696/$J$2698)</f>
        <v/>
      </c>
      <c r="L2696" s="6" t="inlineStr">
        <is>
          <t>SELECTED</t>
        </is>
      </c>
      <c r="M2696" s="8" t="n">
        <v>0.2</v>
      </c>
      <c r="N2696" s="7">
        <f>M2696*$J$2698-J2696</f>
        <v/>
      </c>
      <c r="O2696" s="9">
        <f>IF(G2696=0,0,N2696/G2696)</f>
        <v/>
      </c>
      <c r="P2696" s="6">
        <f>IF(M2696&gt;0,D2696,"")</f>
        <v/>
      </c>
      <c r="Q2696" s="9">
        <f>I2696+O2696</f>
        <v/>
      </c>
      <c r="R2696" s="7">
        <f>Q2696*G2696</f>
        <v/>
      </c>
      <c r="S2696" s="8">
        <f>IF($R$2698=0,0,R2696/$R$2698)</f>
        <v/>
      </c>
      <c r="T2696" s="8" t="n">
        <v>0.004653416150038003</v>
      </c>
      <c r="U2696" s="8" t="n">
        <v>0.01063556259993947</v>
      </c>
      <c r="V2696" s="6" t="inlineStr">
        <is>
          <t>remained in weekly selection</t>
        </is>
      </c>
    </row>
    <row r="2697">
      <c r="A2697" s="6" t="inlineStr">
        <is>
          <t>DJ30</t>
        </is>
      </c>
      <c r="B2697" s="6" t="inlineStr">
        <is>
          <t>2024-08-30</t>
        </is>
      </c>
      <c r="C2697" s="6" t="inlineStr">
        <is>
          <t>DIA</t>
        </is>
      </c>
      <c r="D2697" s="6" t="inlineStr">
        <is>
          <t>WMT</t>
        </is>
      </c>
      <c r="E2697" s="6" t="inlineStr">
        <is>
          <t>WMT</t>
        </is>
      </c>
      <c r="F2697" s="6" t="inlineStr">
        <is>
          <t>-</t>
        </is>
      </c>
      <c r="G2697" s="7" t="n">
        <v>76.02724456787109</v>
      </c>
      <c r="H2697" s="6">
        <f>P2666</f>
        <v/>
      </c>
      <c r="I2697" s="9">
        <f>Q2666</f>
        <v/>
      </c>
      <c r="J2697" s="7">
        <f>I2697*G2697</f>
        <v/>
      </c>
      <c r="K2697" s="8">
        <f>IF($J$2698=0,0,J2697/$J$2698)</f>
        <v/>
      </c>
      <c r="L2697" s="6" t="inlineStr">
        <is>
          <t>SELECTED</t>
        </is>
      </c>
      <c r="M2697" s="8" t="n">
        <v>0.2</v>
      </c>
      <c r="N2697" s="7">
        <f>M2697*$J$2698-J2697</f>
        <v/>
      </c>
      <c r="O2697" s="9">
        <f>IF(G2697=0,0,N2697/G2697)</f>
        <v/>
      </c>
      <c r="P2697" s="6">
        <f>IF(M2697&gt;0,D2697,"")</f>
        <v/>
      </c>
      <c r="Q2697" s="9">
        <f>I2697+O2697</f>
        <v/>
      </c>
      <c r="R2697" s="7">
        <f>Q2697*G2697</f>
        <v/>
      </c>
      <c r="S2697" s="8">
        <f>IF($R$2698=0,0,R2697/$R$2698)</f>
        <v/>
      </c>
      <c r="T2697" s="8" t="n">
        <v>0.004653416150038003</v>
      </c>
      <c r="U2697" s="8" t="n">
        <v>0.01063556259993947</v>
      </c>
      <c r="V2697" s="6" t="inlineStr">
        <is>
          <t>remained in weekly selection</t>
        </is>
      </c>
    </row>
    <row r="2698">
      <c r="A2698" s="10" t="inlineStr">
        <is>
          <t>DJ30</t>
        </is>
      </c>
      <c r="B2698" s="10" t="inlineStr">
        <is>
          <t>2024-08-30</t>
        </is>
      </c>
      <c r="C2698" s="10" t="inlineStr">
        <is>
          <t>DIA</t>
        </is>
      </c>
      <c r="D2698" s="10" t="inlineStr">
        <is>
          <t>Tot Portfolio</t>
        </is>
      </c>
      <c r="E2698" s="10" t="inlineStr"/>
      <c r="F2698" s="10" t="inlineStr"/>
      <c r="G2698" s="11" t="inlineStr"/>
      <c r="H2698" s="10" t="inlineStr"/>
      <c r="I2698" s="12" t="inlineStr"/>
      <c r="J2698" s="11">
        <f>SUM(J2668:J2697)</f>
        <v/>
      </c>
      <c r="K2698" s="13">
        <f>SUM(K2668:K2697)</f>
        <v/>
      </c>
      <c r="L2698" s="10" t="inlineStr">
        <is>
          <t>TOTAL</t>
        </is>
      </c>
      <c r="M2698" s="13">
        <f>SUM(M2668:M2697)</f>
        <v/>
      </c>
      <c r="N2698" s="11">
        <f>SUM(N2668:N2697)</f>
        <v/>
      </c>
      <c r="O2698" s="12">
        <f>SUM(O2668:O2697)</f>
        <v/>
      </c>
      <c r="P2698" s="10" t="inlineStr"/>
      <c r="Q2698" s="12" t="inlineStr"/>
      <c r="R2698" s="11">
        <f>SUM(R2668:R2697)</f>
        <v/>
      </c>
      <c r="S2698" s="13">
        <f>SUM(S2668:S2697)</f>
        <v/>
      </c>
      <c r="T2698" s="13" t="n">
        <v>0.004653416150038003</v>
      </c>
      <c r="U2698" s="13" t="n">
        <v>0.01063556259993947</v>
      </c>
      <c r="V2698" s="10" t="inlineStr"/>
    </row>
    <row r="2699">
      <c r="A2699" s="6" t="inlineStr">
        <is>
          <t>DJ30</t>
        </is>
      </c>
      <c r="B2699" s="6" t="inlineStr">
        <is>
          <t>2024-09-06</t>
        </is>
      </c>
      <c r="C2699" s="6" t="inlineStr">
        <is>
          <t>DIA</t>
        </is>
      </c>
      <c r="D2699" s="6" t="inlineStr">
        <is>
          <t>AAPL</t>
        </is>
      </c>
      <c r="E2699" s="6" t="inlineStr">
        <is>
          <t>AAPL</t>
        </is>
      </c>
      <c r="F2699" s="6" t="inlineStr">
        <is>
          <t>-</t>
        </is>
      </c>
      <c r="G2699" s="7" t="n">
        <v>219.176986694336</v>
      </c>
      <c r="H2699" s="6">
        <f>P2668</f>
        <v/>
      </c>
      <c r="I2699" s="9">
        <f>Q2668</f>
        <v/>
      </c>
      <c r="J2699" s="7">
        <f>I2699*G2699</f>
        <v/>
      </c>
      <c r="K2699" s="8">
        <f>IF($J$2729=0,0,J2699/$J$2729)</f>
        <v/>
      </c>
      <c r="L2699" s="6" t="inlineStr">
        <is>
          <t>WATCHLIST</t>
        </is>
      </c>
      <c r="M2699" s="8" t="n">
        <v>0</v>
      </c>
      <c r="N2699" s="7">
        <f>M2699*$J$2729-J2699</f>
        <v/>
      </c>
      <c r="O2699" s="9">
        <f>IF(G2699=0,0,N2699/G2699)</f>
        <v/>
      </c>
      <c r="P2699" s="6">
        <f>IF(M2699&gt;0,D2699,"")</f>
        <v/>
      </c>
      <c r="Q2699" s="9">
        <f>I2699+O2699</f>
        <v/>
      </c>
      <c r="R2699" s="7">
        <f>Q2699*G2699</f>
        <v/>
      </c>
      <c r="S2699" s="8">
        <f>IF($R$2729=0,0,R2699/$R$2729)</f>
        <v/>
      </c>
      <c r="T2699" s="8" t="n">
        <v>-0.05298050168009716</v>
      </c>
      <c r="U2699" s="8" t="n">
        <v>-0.02820700831054435</v>
      </c>
      <c r="V2699" s="6" t="inlineStr">
        <is>
          <t>not selected</t>
        </is>
      </c>
    </row>
    <row r="2700">
      <c r="A2700" s="6" t="inlineStr">
        <is>
          <t>DJ30</t>
        </is>
      </c>
      <c r="B2700" s="6" t="inlineStr">
        <is>
          <t>2024-09-06</t>
        </is>
      </c>
      <c r="C2700" s="6" t="inlineStr">
        <is>
          <t>DIA</t>
        </is>
      </c>
      <c r="D2700" s="6" t="inlineStr">
        <is>
          <t>AMGN</t>
        </is>
      </c>
      <c r="E2700" s="6" t="inlineStr">
        <is>
          <t>AMGN</t>
        </is>
      </c>
      <c r="F2700" s="6" t="inlineStr">
        <is>
          <t>-</t>
        </is>
      </c>
      <c r="G2700" s="7" t="n">
        <v>303.5796813964844</v>
      </c>
      <c r="H2700" s="6">
        <f>P2669</f>
        <v/>
      </c>
      <c r="I2700" s="9">
        <f>Q2669</f>
        <v/>
      </c>
      <c r="J2700" s="7">
        <f>I2700*G2700</f>
        <v/>
      </c>
      <c r="K2700" s="8">
        <f>IF($J$2729=0,0,J2700/$J$2729)</f>
        <v/>
      </c>
      <c r="L2700" s="6" t="inlineStr">
        <is>
          <t>WATCHLIST</t>
        </is>
      </c>
      <c r="M2700" s="8" t="n">
        <v>0</v>
      </c>
      <c r="N2700" s="7">
        <f>M2700*$J$2729-J2700</f>
        <v/>
      </c>
      <c r="O2700" s="9">
        <f>IF(G2700=0,0,N2700/G2700)</f>
        <v/>
      </c>
      <c r="P2700" s="6">
        <f>IF(M2700&gt;0,D2700,"")</f>
        <v/>
      </c>
      <c r="Q2700" s="9">
        <f>I2700+O2700</f>
        <v/>
      </c>
      <c r="R2700" s="7">
        <f>Q2700*G2700</f>
        <v/>
      </c>
      <c r="S2700" s="8">
        <f>IF($R$2729=0,0,R2700/$R$2729)</f>
        <v/>
      </c>
      <c r="T2700" s="8" t="n">
        <v>-0.05298050168009716</v>
      </c>
      <c r="U2700" s="8" t="n">
        <v>-0.02820700831054435</v>
      </c>
      <c r="V2700" s="6" t="inlineStr">
        <is>
          <t>not selected</t>
        </is>
      </c>
    </row>
    <row r="2701">
      <c r="A2701" s="6" t="inlineStr">
        <is>
          <t>DJ30</t>
        </is>
      </c>
      <c r="B2701" s="6" t="inlineStr">
        <is>
          <t>2024-09-06</t>
        </is>
      </c>
      <c r="C2701" s="6" t="inlineStr">
        <is>
          <t>DIA</t>
        </is>
      </c>
      <c r="D2701" s="6" t="inlineStr">
        <is>
          <t>AMZN</t>
        </is>
      </c>
      <c r="E2701" s="6" t="inlineStr">
        <is>
          <t>AMZN</t>
        </is>
      </c>
      <c r="F2701" s="6" t="inlineStr">
        <is>
          <t>-</t>
        </is>
      </c>
      <c r="G2701" s="7" t="n">
        <v>171.3899993896484</v>
      </c>
      <c r="H2701" s="6">
        <f>P2670</f>
        <v/>
      </c>
      <c r="I2701" s="9">
        <f>Q2670</f>
        <v/>
      </c>
      <c r="J2701" s="7">
        <f>I2701*G2701</f>
        <v/>
      </c>
      <c r="K2701" s="8">
        <f>IF($J$2729=0,0,J2701/$J$2729)</f>
        <v/>
      </c>
      <c r="L2701" s="6" t="inlineStr">
        <is>
          <t>WATCHLIST</t>
        </is>
      </c>
      <c r="M2701" s="8" t="n">
        <v>0</v>
      </c>
      <c r="N2701" s="7">
        <f>M2701*$J$2729-J2701</f>
        <v/>
      </c>
      <c r="O2701" s="9">
        <f>IF(G2701=0,0,N2701/G2701)</f>
        <v/>
      </c>
      <c r="P2701" s="6">
        <f>IF(M2701&gt;0,D2701,"")</f>
        <v/>
      </c>
      <c r="Q2701" s="9">
        <f>I2701+O2701</f>
        <v/>
      </c>
      <c r="R2701" s="7">
        <f>Q2701*G2701</f>
        <v/>
      </c>
      <c r="S2701" s="8">
        <f>IF($R$2729=0,0,R2701/$R$2729)</f>
        <v/>
      </c>
      <c r="T2701" s="8" t="n">
        <v>-0.05298050168009716</v>
      </c>
      <c r="U2701" s="8" t="n">
        <v>-0.02820700831054435</v>
      </c>
      <c r="V2701" s="6" t="inlineStr">
        <is>
          <t>not selected</t>
        </is>
      </c>
    </row>
    <row r="2702">
      <c r="A2702" s="6" t="inlineStr">
        <is>
          <t>DJ30</t>
        </is>
      </c>
      <c r="B2702" s="6" t="inlineStr">
        <is>
          <t>2024-09-06</t>
        </is>
      </c>
      <c r="C2702" s="6" t="inlineStr">
        <is>
          <t>DIA</t>
        </is>
      </c>
      <c r="D2702" s="6" t="inlineStr">
        <is>
          <t>AXP</t>
        </is>
      </c>
      <c r="E2702" s="6" t="inlineStr">
        <is>
          <t>AXP</t>
        </is>
      </c>
      <c r="F2702" s="6" t="inlineStr">
        <is>
          <t>-</t>
        </is>
      </c>
      <c r="G2702" s="7" t="n">
        <v>239.5385131835937</v>
      </c>
      <c r="H2702" s="6">
        <f>P2671</f>
        <v/>
      </c>
      <c r="I2702" s="9">
        <f>Q2671</f>
        <v/>
      </c>
      <c r="J2702" s="7">
        <f>I2702*G2702</f>
        <v/>
      </c>
      <c r="K2702" s="8">
        <f>IF($J$2729=0,0,J2702/$J$2729)</f>
        <v/>
      </c>
      <c r="L2702" s="6" t="inlineStr">
        <is>
          <t>SELECTED</t>
        </is>
      </c>
      <c r="M2702" s="8" t="n">
        <v>0.2</v>
      </c>
      <c r="N2702" s="7">
        <f>M2702*$J$2729-J2702</f>
        <v/>
      </c>
      <c r="O2702" s="9">
        <f>IF(G2702=0,0,N2702/G2702)</f>
        <v/>
      </c>
      <c r="P2702" s="6">
        <f>IF(M2702&gt;0,D2702,"")</f>
        <v/>
      </c>
      <c r="Q2702" s="9">
        <f>I2702+O2702</f>
        <v/>
      </c>
      <c r="R2702" s="7">
        <f>Q2702*G2702</f>
        <v/>
      </c>
      <c r="S2702" s="8">
        <f>IF($R$2729=0,0,R2702/$R$2729)</f>
        <v/>
      </c>
      <c r="T2702" s="8" t="n">
        <v>-0.05298050168009716</v>
      </c>
      <c r="U2702" s="8" t="n">
        <v>-0.02820700831054435</v>
      </c>
      <c r="V2702" s="6" t="inlineStr">
        <is>
          <t>remained in weekly selection</t>
        </is>
      </c>
    </row>
    <row r="2703">
      <c r="A2703" s="6" t="inlineStr">
        <is>
          <t>DJ30</t>
        </is>
      </c>
      <c r="B2703" s="6" t="inlineStr">
        <is>
          <t>2024-09-06</t>
        </is>
      </c>
      <c r="C2703" s="6" t="inlineStr">
        <is>
          <t>DIA</t>
        </is>
      </c>
      <c r="D2703" s="6" t="inlineStr">
        <is>
          <t>BA</t>
        </is>
      </c>
      <c r="E2703" s="6" t="inlineStr">
        <is>
          <t>BA</t>
        </is>
      </c>
      <c r="F2703" s="6" t="inlineStr">
        <is>
          <t>-</t>
        </is>
      </c>
      <c r="G2703" s="7" t="n">
        <v>157.6199951171875</v>
      </c>
      <c r="H2703" s="6">
        <f>P2672</f>
        <v/>
      </c>
      <c r="I2703" s="9">
        <f>Q2672</f>
        <v/>
      </c>
      <c r="J2703" s="7">
        <f>I2703*G2703</f>
        <v/>
      </c>
      <c r="K2703" s="8">
        <f>IF($J$2729=0,0,J2703/$J$2729)</f>
        <v/>
      </c>
      <c r="L2703" s="6" t="inlineStr">
        <is>
          <t>REJECTED</t>
        </is>
      </c>
      <c r="M2703" s="8" t="n">
        <v>0</v>
      </c>
      <c r="N2703" s="7">
        <f>M2703*$J$2729-J2703</f>
        <v/>
      </c>
      <c r="O2703" s="9">
        <f>IF(G2703=0,0,N2703/G2703)</f>
        <v/>
      </c>
      <c r="P2703" s="6">
        <f>IF(M2703&gt;0,D2703,"")</f>
        <v/>
      </c>
      <c r="Q2703" s="9">
        <f>I2703+O2703</f>
        <v/>
      </c>
      <c r="R2703" s="7">
        <f>Q2703*G2703</f>
        <v/>
      </c>
      <c r="S2703" s="8">
        <f>IF($R$2729=0,0,R2703/$R$2729)</f>
        <v/>
      </c>
      <c r="T2703" s="8" t="n">
        <v>-0.05298050168009716</v>
      </c>
      <c r="U2703" s="8" t="n">
        <v>-0.02820700831054435</v>
      </c>
      <c r="V2703" s="6" t="inlineStr">
        <is>
          <t>not selected</t>
        </is>
      </c>
    </row>
    <row r="2704">
      <c r="A2704" s="6" t="inlineStr">
        <is>
          <t>DJ30</t>
        </is>
      </c>
      <c r="B2704" s="6" t="inlineStr">
        <is>
          <t>2024-09-06</t>
        </is>
      </c>
      <c r="C2704" s="6" t="inlineStr">
        <is>
          <t>DIA</t>
        </is>
      </c>
      <c r="D2704" s="6" t="inlineStr">
        <is>
          <t>CAT</t>
        </is>
      </c>
      <c r="E2704" s="6" t="inlineStr">
        <is>
          <t>CAT</t>
        </is>
      </c>
      <c r="F2704" s="6" t="inlineStr">
        <is>
          <t>-</t>
        </is>
      </c>
      <c r="G2704" s="7" t="n">
        <v>321.9311828613281</v>
      </c>
      <c r="H2704" s="6">
        <f>P2673</f>
        <v/>
      </c>
      <c r="I2704" s="9">
        <f>Q2673</f>
        <v/>
      </c>
      <c r="J2704" s="7">
        <f>I2704*G2704</f>
        <v/>
      </c>
      <c r="K2704" s="8">
        <f>IF($J$2729=0,0,J2704/$J$2729)</f>
        <v/>
      </c>
      <c r="L2704" s="6" t="inlineStr">
        <is>
          <t>WATCHLIST</t>
        </is>
      </c>
      <c r="M2704" s="8" t="n">
        <v>0</v>
      </c>
      <c r="N2704" s="7">
        <f>M2704*$J$2729-J2704</f>
        <v/>
      </c>
      <c r="O2704" s="9">
        <f>IF(G2704=0,0,N2704/G2704)</f>
        <v/>
      </c>
      <c r="P2704" s="6">
        <f>IF(M2704&gt;0,D2704,"")</f>
        <v/>
      </c>
      <c r="Q2704" s="9">
        <f>I2704+O2704</f>
        <v/>
      </c>
      <c r="R2704" s="7">
        <f>Q2704*G2704</f>
        <v/>
      </c>
      <c r="S2704" s="8">
        <f>IF($R$2729=0,0,R2704/$R$2729)</f>
        <v/>
      </c>
      <c r="T2704" s="8" t="n">
        <v>-0.05298050168009716</v>
      </c>
      <c r="U2704" s="8" t="n">
        <v>-0.02820700831054435</v>
      </c>
      <c r="V2704" s="6" t="inlineStr">
        <is>
          <t>not selected</t>
        </is>
      </c>
    </row>
    <row r="2705">
      <c r="A2705" s="6" t="inlineStr">
        <is>
          <t>DJ30</t>
        </is>
      </c>
      <c r="B2705" s="6" t="inlineStr">
        <is>
          <t>2024-09-06</t>
        </is>
      </c>
      <c r="C2705" s="6" t="inlineStr">
        <is>
          <t>DIA</t>
        </is>
      </c>
      <c r="D2705" s="6" t="inlineStr">
        <is>
          <t>CRM</t>
        </is>
      </c>
      <c r="E2705" s="6" t="inlineStr">
        <is>
          <t>CRM</t>
        </is>
      </c>
      <c r="F2705" s="6" t="inlineStr">
        <is>
          <t>-</t>
        </is>
      </c>
      <c r="G2705" s="7" t="n">
        <v>240.508056640625</v>
      </c>
      <c r="H2705" s="6">
        <f>P2674</f>
        <v/>
      </c>
      <c r="I2705" s="9">
        <f>Q2674</f>
        <v/>
      </c>
      <c r="J2705" s="7">
        <f>I2705*G2705</f>
        <v/>
      </c>
      <c r="K2705" s="8">
        <f>IF($J$2729=0,0,J2705/$J$2729)</f>
        <v/>
      </c>
      <c r="L2705" s="6" t="inlineStr">
        <is>
          <t>REJECTED</t>
        </is>
      </c>
      <c r="M2705" s="8" t="n">
        <v>0</v>
      </c>
      <c r="N2705" s="7">
        <f>M2705*$J$2729-J2705</f>
        <v/>
      </c>
      <c r="O2705" s="9">
        <f>IF(G2705=0,0,N2705/G2705)</f>
        <v/>
      </c>
      <c r="P2705" s="6">
        <f>IF(M2705&gt;0,D2705,"")</f>
        <v/>
      </c>
      <c r="Q2705" s="9">
        <f>I2705+O2705</f>
        <v/>
      </c>
      <c r="R2705" s="7">
        <f>Q2705*G2705</f>
        <v/>
      </c>
      <c r="S2705" s="8">
        <f>IF($R$2729=0,0,R2705/$R$2729)</f>
        <v/>
      </c>
      <c r="T2705" s="8" t="n">
        <v>-0.05298050168009716</v>
      </c>
      <c r="U2705" s="8" t="n">
        <v>-0.02820700831054435</v>
      </c>
      <c r="V2705" s="6" t="inlineStr">
        <is>
          <t>not selected</t>
        </is>
      </c>
    </row>
    <row r="2706">
      <c r="A2706" s="6" t="inlineStr">
        <is>
          <t>DJ30</t>
        </is>
      </c>
      <c r="B2706" s="6" t="inlineStr">
        <is>
          <t>2024-09-06</t>
        </is>
      </c>
      <c r="C2706" s="6" t="inlineStr">
        <is>
          <t>DIA</t>
        </is>
      </c>
      <c r="D2706" s="6" t="inlineStr">
        <is>
          <t>CSCO</t>
        </is>
      </c>
      <c r="E2706" s="6" t="inlineStr">
        <is>
          <t>CSCO</t>
        </is>
      </c>
      <c r="F2706" s="6" t="inlineStr">
        <is>
          <t>-</t>
        </is>
      </c>
      <c r="G2706" s="7" t="n">
        <v>46.42084503173828</v>
      </c>
      <c r="H2706" s="6">
        <f>P2675</f>
        <v/>
      </c>
      <c r="I2706" s="9">
        <f>Q2675</f>
        <v/>
      </c>
      <c r="J2706" s="7">
        <f>I2706*G2706</f>
        <v/>
      </c>
      <c r="K2706" s="8">
        <f>IF($J$2729=0,0,J2706/$J$2729)</f>
        <v/>
      </c>
      <c r="L2706" s="6" t="inlineStr">
        <is>
          <t>REJECTED</t>
        </is>
      </c>
      <c r="M2706" s="8" t="n">
        <v>0</v>
      </c>
      <c r="N2706" s="7">
        <f>M2706*$J$2729-J2706</f>
        <v/>
      </c>
      <c r="O2706" s="9">
        <f>IF(G2706=0,0,N2706/G2706)</f>
        <v/>
      </c>
      <c r="P2706" s="6">
        <f>IF(M2706&gt;0,D2706,"")</f>
        <v/>
      </c>
      <c r="Q2706" s="9">
        <f>I2706+O2706</f>
        <v/>
      </c>
      <c r="R2706" s="7">
        <f>Q2706*G2706</f>
        <v/>
      </c>
      <c r="S2706" s="8">
        <f>IF($R$2729=0,0,R2706/$R$2729)</f>
        <v/>
      </c>
      <c r="T2706" s="8" t="n">
        <v>-0.05298050168009716</v>
      </c>
      <c r="U2706" s="8" t="n">
        <v>-0.02820700831054435</v>
      </c>
      <c r="V2706" s="6" t="inlineStr">
        <is>
          <t>not selected</t>
        </is>
      </c>
    </row>
    <row r="2707">
      <c r="A2707" s="6" t="inlineStr">
        <is>
          <t>DJ30</t>
        </is>
      </c>
      <c r="B2707" s="6" t="inlineStr">
        <is>
          <t>2024-09-06</t>
        </is>
      </c>
      <c r="C2707" s="6" t="inlineStr">
        <is>
          <t>DIA</t>
        </is>
      </c>
      <c r="D2707" s="6" t="inlineStr">
        <is>
          <t>CVX</t>
        </is>
      </c>
      <c r="E2707" s="6" t="inlineStr">
        <is>
          <t>CVX</t>
        </is>
      </c>
      <c r="F2707" s="6" t="inlineStr">
        <is>
          <t>-</t>
        </is>
      </c>
      <c r="G2707" s="7" t="n">
        <v>128.6360931396484</v>
      </c>
      <c r="H2707" s="6">
        <f>P2676</f>
        <v/>
      </c>
      <c r="I2707" s="9">
        <f>Q2676</f>
        <v/>
      </c>
      <c r="J2707" s="7">
        <f>I2707*G2707</f>
        <v/>
      </c>
      <c r="K2707" s="8">
        <f>IF($J$2729=0,0,J2707/$J$2729)</f>
        <v/>
      </c>
      <c r="L2707" s="6" t="inlineStr">
        <is>
          <t>REJECTED</t>
        </is>
      </c>
      <c r="M2707" s="8" t="n">
        <v>0</v>
      </c>
      <c r="N2707" s="7">
        <f>M2707*$J$2729-J2707</f>
        <v/>
      </c>
      <c r="O2707" s="9">
        <f>IF(G2707=0,0,N2707/G2707)</f>
        <v/>
      </c>
      <c r="P2707" s="6">
        <f>IF(M2707&gt;0,D2707,"")</f>
        <v/>
      </c>
      <c r="Q2707" s="9">
        <f>I2707+O2707</f>
        <v/>
      </c>
      <c r="R2707" s="7">
        <f>Q2707*G2707</f>
        <v/>
      </c>
      <c r="S2707" s="8">
        <f>IF($R$2729=0,0,R2707/$R$2729)</f>
        <v/>
      </c>
      <c r="T2707" s="8" t="n">
        <v>-0.05298050168009716</v>
      </c>
      <c r="U2707" s="8" t="n">
        <v>-0.02820700831054435</v>
      </c>
      <c r="V2707" s="6" t="inlineStr">
        <is>
          <t>not selected</t>
        </is>
      </c>
    </row>
    <row r="2708">
      <c r="A2708" s="6" t="inlineStr">
        <is>
          <t>DJ30</t>
        </is>
      </c>
      <c r="B2708" s="6" t="inlineStr">
        <is>
          <t>2024-09-06</t>
        </is>
      </c>
      <c r="C2708" s="6" t="inlineStr">
        <is>
          <t>DIA</t>
        </is>
      </c>
      <c r="D2708" s="6" t="inlineStr">
        <is>
          <t>DIS</t>
        </is>
      </c>
      <c r="E2708" s="6" t="inlineStr">
        <is>
          <t>DIS</t>
        </is>
      </c>
      <c r="F2708" s="6" t="inlineStr">
        <is>
          <t>-</t>
        </is>
      </c>
      <c r="G2708" s="7" t="n">
        <v>86.59439086914062</v>
      </c>
      <c r="H2708" s="6">
        <f>P2677</f>
        <v/>
      </c>
      <c r="I2708" s="9">
        <f>Q2677</f>
        <v/>
      </c>
      <c r="J2708" s="7">
        <f>I2708*G2708</f>
        <v/>
      </c>
      <c r="K2708" s="8">
        <f>IF($J$2729=0,0,J2708/$J$2729)</f>
        <v/>
      </c>
      <c r="L2708" s="6" t="inlineStr">
        <is>
          <t>REJECTED</t>
        </is>
      </c>
      <c r="M2708" s="8" t="n">
        <v>0</v>
      </c>
      <c r="N2708" s="7">
        <f>M2708*$J$2729-J2708</f>
        <v/>
      </c>
      <c r="O2708" s="9">
        <f>IF(G2708=0,0,N2708/G2708)</f>
        <v/>
      </c>
      <c r="P2708" s="6">
        <f>IF(M2708&gt;0,D2708,"")</f>
        <v/>
      </c>
      <c r="Q2708" s="9">
        <f>I2708+O2708</f>
        <v/>
      </c>
      <c r="R2708" s="7">
        <f>Q2708*G2708</f>
        <v/>
      </c>
      <c r="S2708" s="8">
        <f>IF($R$2729=0,0,R2708/$R$2729)</f>
        <v/>
      </c>
      <c r="T2708" s="8" t="n">
        <v>-0.05298050168009716</v>
      </c>
      <c r="U2708" s="8" t="n">
        <v>-0.02820700831054435</v>
      </c>
      <c r="V2708" s="6" t="inlineStr">
        <is>
          <t>not selected</t>
        </is>
      </c>
    </row>
    <row r="2709">
      <c r="A2709" s="6" t="inlineStr">
        <is>
          <t>DJ30</t>
        </is>
      </c>
      <c r="B2709" s="6" t="inlineStr">
        <is>
          <t>2024-09-06</t>
        </is>
      </c>
      <c r="C2709" s="6" t="inlineStr">
        <is>
          <t>DIA</t>
        </is>
      </c>
      <c r="D2709" s="6" t="inlineStr">
        <is>
          <t>GS</t>
        </is>
      </c>
      <c r="E2709" s="6" t="inlineStr">
        <is>
          <t>GS</t>
        </is>
      </c>
      <c r="F2709" s="6" t="inlineStr">
        <is>
          <t>-</t>
        </is>
      </c>
      <c r="G2709" s="7" t="n">
        <v>463.2107849121094</v>
      </c>
      <c r="H2709" s="6">
        <f>P2678</f>
        <v/>
      </c>
      <c r="I2709" s="9">
        <f>Q2678</f>
        <v/>
      </c>
      <c r="J2709" s="7">
        <f>I2709*G2709</f>
        <v/>
      </c>
      <c r="K2709" s="8">
        <f>IF($J$2729=0,0,J2709/$J$2729)</f>
        <v/>
      </c>
      <c r="L2709" s="6" t="inlineStr">
        <is>
          <t>WATCHLIST</t>
        </is>
      </c>
      <c r="M2709" s="8" t="n">
        <v>0</v>
      </c>
      <c r="N2709" s="7">
        <f>M2709*$J$2729-J2709</f>
        <v/>
      </c>
      <c r="O2709" s="9">
        <f>IF(G2709=0,0,N2709/G2709)</f>
        <v/>
      </c>
      <c r="P2709" s="6">
        <f>IF(M2709&gt;0,D2709,"")</f>
        <v/>
      </c>
      <c r="Q2709" s="9">
        <f>I2709+O2709</f>
        <v/>
      </c>
      <c r="R2709" s="7">
        <f>Q2709*G2709</f>
        <v/>
      </c>
      <c r="S2709" s="8">
        <f>IF($R$2729=0,0,R2709/$R$2729)</f>
        <v/>
      </c>
      <c r="T2709" s="8" t="n">
        <v>-0.05298050168009716</v>
      </c>
      <c r="U2709" s="8" t="n">
        <v>-0.02820700831054435</v>
      </c>
      <c r="V2709" s="6" t="inlineStr">
        <is>
          <t>not selected</t>
        </is>
      </c>
    </row>
    <row r="2710">
      <c r="A2710" s="6" t="inlineStr">
        <is>
          <t>DJ30</t>
        </is>
      </c>
      <c r="B2710" s="6" t="inlineStr">
        <is>
          <t>2024-09-06</t>
        </is>
      </c>
      <c r="C2710" s="6" t="inlineStr">
        <is>
          <t>DIA</t>
        </is>
      </c>
      <c r="D2710" s="6" t="inlineStr">
        <is>
          <t>HD</t>
        </is>
      </c>
      <c r="E2710" s="6" t="inlineStr">
        <is>
          <t>HD</t>
        </is>
      </c>
      <c r="F2710" s="6" t="inlineStr">
        <is>
          <t>-</t>
        </is>
      </c>
      <c r="G2710" s="7" t="n">
        <v>344.5465087890625</v>
      </c>
      <c r="H2710" s="6">
        <f>P2679</f>
        <v/>
      </c>
      <c r="I2710" s="9">
        <f>Q2679</f>
        <v/>
      </c>
      <c r="J2710" s="7">
        <f>I2710*G2710</f>
        <v/>
      </c>
      <c r="K2710" s="8">
        <f>IF($J$2729=0,0,J2710/$J$2729)</f>
        <v/>
      </c>
      <c r="L2710" s="6" t="inlineStr">
        <is>
          <t>WATCHLIST</t>
        </is>
      </c>
      <c r="M2710" s="8" t="n">
        <v>0</v>
      </c>
      <c r="N2710" s="7">
        <f>M2710*$J$2729-J2710</f>
        <v/>
      </c>
      <c r="O2710" s="9">
        <f>IF(G2710=0,0,N2710/G2710)</f>
        <v/>
      </c>
      <c r="P2710" s="6">
        <f>IF(M2710&gt;0,D2710,"")</f>
        <v/>
      </c>
      <c r="Q2710" s="9">
        <f>I2710+O2710</f>
        <v/>
      </c>
      <c r="R2710" s="7">
        <f>Q2710*G2710</f>
        <v/>
      </c>
      <c r="S2710" s="8">
        <f>IF($R$2729=0,0,R2710/$R$2729)</f>
        <v/>
      </c>
      <c r="T2710" s="8" t="n">
        <v>-0.05298050168009716</v>
      </c>
      <c r="U2710" s="8" t="n">
        <v>-0.02820700831054435</v>
      </c>
      <c r="V2710" s="6" t="inlineStr">
        <is>
          <t>not selected</t>
        </is>
      </c>
    </row>
    <row r="2711">
      <c r="A2711" s="6" t="inlineStr">
        <is>
          <t>DJ30</t>
        </is>
      </c>
      <c r="B2711" s="6" t="inlineStr">
        <is>
          <t>2024-09-06</t>
        </is>
      </c>
      <c r="C2711" s="6" t="inlineStr">
        <is>
          <t>DIA</t>
        </is>
      </c>
      <c r="D2711" s="6" t="inlineStr">
        <is>
          <t>HON</t>
        </is>
      </c>
      <c r="E2711" s="6" t="inlineStr">
        <is>
          <t>HON</t>
        </is>
      </c>
      <c r="F2711" s="6" t="inlineStr">
        <is>
          <t>-</t>
        </is>
      </c>
      <c r="G2711" s="7" t="n">
        <v>179.9663238525391</v>
      </c>
      <c r="H2711" s="6">
        <f>P2680</f>
        <v/>
      </c>
      <c r="I2711" s="9">
        <f>Q2680</f>
        <v/>
      </c>
      <c r="J2711" s="7">
        <f>I2711*G2711</f>
        <v/>
      </c>
      <c r="K2711" s="8">
        <f>IF($J$2729=0,0,J2711/$J$2729)</f>
        <v/>
      </c>
      <c r="L2711" s="6" t="inlineStr">
        <is>
          <t>WATCHLIST</t>
        </is>
      </c>
      <c r="M2711" s="8" t="n">
        <v>0</v>
      </c>
      <c r="N2711" s="7">
        <f>M2711*$J$2729-J2711</f>
        <v/>
      </c>
      <c r="O2711" s="9">
        <f>IF(G2711=0,0,N2711/G2711)</f>
        <v/>
      </c>
      <c r="P2711" s="6">
        <f>IF(M2711&gt;0,D2711,"")</f>
        <v/>
      </c>
      <c r="Q2711" s="9">
        <f>I2711+O2711</f>
        <v/>
      </c>
      <c r="R2711" s="7">
        <f>Q2711*G2711</f>
        <v/>
      </c>
      <c r="S2711" s="8">
        <f>IF($R$2729=0,0,R2711/$R$2729)</f>
        <v/>
      </c>
      <c r="T2711" s="8" t="n">
        <v>-0.05298050168009716</v>
      </c>
      <c r="U2711" s="8" t="n">
        <v>-0.02820700831054435</v>
      </c>
      <c r="V2711" s="6" t="inlineStr">
        <is>
          <t>not selected</t>
        </is>
      </c>
    </row>
    <row r="2712">
      <c r="A2712" s="6" t="inlineStr">
        <is>
          <t>DJ30</t>
        </is>
      </c>
      <c r="B2712" s="6" t="inlineStr">
        <is>
          <t>2024-09-06</t>
        </is>
      </c>
      <c r="C2712" s="6" t="inlineStr">
        <is>
          <t>DIA</t>
        </is>
      </c>
      <c r="D2712" s="6" t="inlineStr">
        <is>
          <t>IBM</t>
        </is>
      </c>
      <c r="E2712" s="6" t="inlineStr">
        <is>
          <t>IBM</t>
        </is>
      </c>
      <c r="F2712" s="6" t="inlineStr">
        <is>
          <t>-</t>
        </is>
      </c>
      <c r="G2712" s="7" t="n">
        <v>191.6427001953125</v>
      </c>
      <c r="H2712" s="6">
        <f>P2681</f>
        <v/>
      </c>
      <c r="I2712" s="9">
        <f>Q2681</f>
        <v/>
      </c>
      <c r="J2712" s="7">
        <f>I2712*G2712</f>
        <v/>
      </c>
      <c r="K2712" s="8">
        <f>IF($J$2729=0,0,J2712/$J$2729)</f>
        <v/>
      </c>
      <c r="L2712" s="6" t="inlineStr">
        <is>
          <t>WATCHLIST</t>
        </is>
      </c>
      <c r="M2712" s="8" t="n">
        <v>0</v>
      </c>
      <c r="N2712" s="7">
        <f>M2712*$J$2729-J2712</f>
        <v/>
      </c>
      <c r="O2712" s="9">
        <f>IF(G2712=0,0,N2712/G2712)</f>
        <v/>
      </c>
      <c r="P2712" s="6">
        <f>IF(M2712&gt;0,D2712,"")</f>
        <v/>
      </c>
      <c r="Q2712" s="9">
        <f>I2712+O2712</f>
        <v/>
      </c>
      <c r="R2712" s="7">
        <f>Q2712*G2712</f>
        <v/>
      </c>
      <c r="S2712" s="8">
        <f>IF($R$2729=0,0,R2712/$R$2729)</f>
        <v/>
      </c>
      <c r="T2712" s="8" t="n">
        <v>-0.05298050168009716</v>
      </c>
      <c r="U2712" s="8" t="n">
        <v>-0.02820700831054435</v>
      </c>
      <c r="V2712" s="6" t="inlineStr">
        <is>
          <t>not selected</t>
        </is>
      </c>
    </row>
    <row r="2713">
      <c r="A2713" s="6" t="inlineStr">
        <is>
          <t>DJ30</t>
        </is>
      </c>
      <c r="B2713" s="6" t="inlineStr">
        <is>
          <t>2024-09-06</t>
        </is>
      </c>
      <c r="C2713" s="6" t="inlineStr">
        <is>
          <t>DIA</t>
        </is>
      </c>
      <c r="D2713" s="6" t="inlineStr">
        <is>
          <t>JNJ</t>
        </is>
      </c>
      <c r="E2713" s="6" t="inlineStr">
        <is>
          <t>JNJ</t>
        </is>
      </c>
      <c r="F2713" s="6" t="inlineStr">
        <is>
          <t>-</t>
        </is>
      </c>
      <c r="G2713" s="7" t="n">
        <v>156.4913635253906</v>
      </c>
      <c r="H2713" s="6">
        <f>P2682</f>
        <v/>
      </c>
      <c r="I2713" s="9">
        <f>Q2682</f>
        <v/>
      </c>
      <c r="J2713" s="7">
        <f>I2713*G2713</f>
        <v/>
      </c>
      <c r="K2713" s="8">
        <f>IF($J$2729=0,0,J2713/$J$2729)</f>
        <v/>
      </c>
      <c r="L2713" s="6" t="inlineStr">
        <is>
          <t>REJECTED</t>
        </is>
      </c>
      <c r="M2713" s="8" t="n">
        <v>0</v>
      </c>
      <c r="N2713" s="7">
        <f>M2713*$J$2729-J2713</f>
        <v/>
      </c>
      <c r="O2713" s="9">
        <f>IF(G2713=0,0,N2713/G2713)</f>
        <v/>
      </c>
      <c r="P2713" s="6">
        <f>IF(M2713&gt;0,D2713,"")</f>
        <v/>
      </c>
      <c r="Q2713" s="9">
        <f>I2713+O2713</f>
        <v/>
      </c>
      <c r="R2713" s="7">
        <f>Q2713*G2713</f>
        <v/>
      </c>
      <c r="S2713" s="8">
        <f>IF($R$2729=0,0,R2713/$R$2729)</f>
        <v/>
      </c>
      <c r="T2713" s="8" t="n">
        <v>-0.05298050168009716</v>
      </c>
      <c r="U2713" s="8" t="n">
        <v>-0.02820700831054435</v>
      </c>
      <c r="V2713" s="6" t="inlineStr">
        <is>
          <t>not selected</t>
        </is>
      </c>
    </row>
    <row r="2714">
      <c r="A2714" s="6" t="inlineStr">
        <is>
          <t>DJ30</t>
        </is>
      </c>
      <c r="B2714" s="6" t="inlineStr">
        <is>
          <t>2024-09-06</t>
        </is>
      </c>
      <c r="C2714" s="6" t="inlineStr">
        <is>
          <t>DIA</t>
        </is>
      </c>
      <c r="D2714" s="6" t="inlineStr">
        <is>
          <t>JPM</t>
        </is>
      </c>
      <c r="E2714" s="6" t="inlineStr">
        <is>
          <t>JPM</t>
        </is>
      </c>
      <c r="F2714" s="6" t="inlineStr">
        <is>
          <t>-</t>
        </is>
      </c>
      <c r="G2714" s="7" t="n">
        <v>204.8117370605469</v>
      </c>
      <c r="H2714" s="6">
        <f>P2683</f>
        <v/>
      </c>
      <c r="I2714" s="9">
        <f>Q2683</f>
        <v/>
      </c>
      <c r="J2714" s="7">
        <f>I2714*G2714</f>
        <v/>
      </c>
      <c r="K2714" s="8">
        <f>IF($J$2729=0,0,J2714/$J$2729)</f>
        <v/>
      </c>
      <c r="L2714" s="6" t="inlineStr">
        <is>
          <t>WATCHLIST</t>
        </is>
      </c>
      <c r="M2714" s="8" t="n">
        <v>0</v>
      </c>
      <c r="N2714" s="7">
        <f>M2714*$J$2729-J2714</f>
        <v/>
      </c>
      <c r="O2714" s="9">
        <f>IF(G2714=0,0,N2714/G2714)</f>
        <v/>
      </c>
      <c r="P2714" s="6">
        <f>IF(M2714&gt;0,D2714,"")</f>
        <v/>
      </c>
      <c r="Q2714" s="9">
        <f>I2714+O2714</f>
        <v/>
      </c>
      <c r="R2714" s="7">
        <f>Q2714*G2714</f>
        <v/>
      </c>
      <c r="S2714" s="8">
        <f>IF($R$2729=0,0,R2714/$R$2729)</f>
        <v/>
      </c>
      <c r="T2714" s="8" t="n">
        <v>-0.05298050168009716</v>
      </c>
      <c r="U2714" s="8" t="n">
        <v>-0.02820700831054435</v>
      </c>
      <c r="V2714" s="6" t="inlineStr">
        <is>
          <t>not selected</t>
        </is>
      </c>
    </row>
    <row r="2715">
      <c r="A2715" s="6" t="inlineStr">
        <is>
          <t>DJ30</t>
        </is>
      </c>
      <c r="B2715" s="6" t="inlineStr">
        <is>
          <t>2024-09-06</t>
        </is>
      </c>
      <c r="C2715" s="6" t="inlineStr">
        <is>
          <t>DIA</t>
        </is>
      </c>
      <c r="D2715" s="6" t="inlineStr">
        <is>
          <t>KO</t>
        </is>
      </c>
      <c r="E2715" s="6" t="inlineStr">
        <is>
          <t>KO</t>
        </is>
      </c>
      <c r="F2715" s="6" t="inlineStr">
        <is>
          <t>-</t>
        </is>
      </c>
      <c r="G2715" s="7" t="n">
        <v>67.21504211425781</v>
      </c>
      <c r="H2715" s="6">
        <f>P2684</f>
        <v/>
      </c>
      <c r="I2715" s="9">
        <f>Q2684</f>
        <v/>
      </c>
      <c r="J2715" s="7">
        <f>I2715*G2715</f>
        <v/>
      </c>
      <c r="K2715" s="8">
        <f>IF($J$2729=0,0,J2715/$J$2729)</f>
        <v/>
      </c>
      <c r="L2715" s="6" t="inlineStr">
        <is>
          <t>WATCHLIST</t>
        </is>
      </c>
      <c r="M2715" s="8" t="n">
        <v>0</v>
      </c>
      <c r="N2715" s="7">
        <f>M2715*$J$2729-J2715</f>
        <v/>
      </c>
      <c r="O2715" s="9">
        <f>IF(G2715=0,0,N2715/G2715)</f>
        <v/>
      </c>
      <c r="P2715" s="6">
        <f>IF(M2715&gt;0,D2715,"")</f>
        <v/>
      </c>
      <c r="Q2715" s="9">
        <f>I2715+O2715</f>
        <v/>
      </c>
      <c r="R2715" s="7">
        <f>Q2715*G2715</f>
        <v/>
      </c>
      <c r="S2715" s="8">
        <f>IF($R$2729=0,0,R2715/$R$2729)</f>
        <v/>
      </c>
      <c r="T2715" s="8" t="n">
        <v>-0.05298050168009716</v>
      </c>
      <c r="U2715" s="8" t="n">
        <v>-0.02820700831054435</v>
      </c>
      <c r="V2715" s="6" t="inlineStr">
        <is>
          <t>not selected</t>
        </is>
      </c>
    </row>
    <row r="2716">
      <c r="A2716" s="6" t="inlineStr">
        <is>
          <t>DJ30</t>
        </is>
      </c>
      <c r="B2716" s="6" t="inlineStr">
        <is>
          <t>2024-09-06</t>
        </is>
      </c>
      <c r="C2716" s="6" t="inlineStr">
        <is>
          <t>DIA</t>
        </is>
      </c>
      <c r="D2716" s="6" t="inlineStr">
        <is>
          <t>MCD</t>
        </is>
      </c>
      <c r="E2716" s="6" t="inlineStr">
        <is>
          <t>MCD</t>
        </is>
      </c>
      <c r="F2716" s="6" t="inlineStr">
        <is>
          <t>-</t>
        </is>
      </c>
      <c r="G2716" s="7" t="n">
        <v>277.7734375</v>
      </c>
      <c r="H2716" s="6">
        <f>P2685</f>
        <v/>
      </c>
      <c r="I2716" s="9">
        <f>Q2685</f>
        <v/>
      </c>
      <c r="J2716" s="7">
        <f>I2716*G2716</f>
        <v/>
      </c>
      <c r="K2716" s="8">
        <f>IF($J$2729=0,0,J2716/$J$2729)</f>
        <v/>
      </c>
      <c r="L2716" s="6" t="inlineStr">
        <is>
          <t>REJECTED</t>
        </is>
      </c>
      <c r="M2716" s="8" t="n">
        <v>0</v>
      </c>
      <c r="N2716" s="7">
        <f>M2716*$J$2729-J2716</f>
        <v/>
      </c>
      <c r="O2716" s="9">
        <f>IF(G2716=0,0,N2716/G2716)</f>
        <v/>
      </c>
      <c r="P2716" s="6">
        <f>IF(M2716&gt;0,D2716,"")</f>
        <v/>
      </c>
      <c r="Q2716" s="9">
        <f>I2716+O2716</f>
        <v/>
      </c>
      <c r="R2716" s="7">
        <f>Q2716*G2716</f>
        <v/>
      </c>
      <c r="S2716" s="8">
        <f>IF($R$2729=0,0,R2716/$R$2729)</f>
        <v/>
      </c>
      <c r="T2716" s="8" t="n">
        <v>-0.05298050168009716</v>
      </c>
      <c r="U2716" s="8" t="n">
        <v>-0.02820700831054435</v>
      </c>
      <c r="V2716" s="6" t="inlineStr">
        <is>
          <t>not selected</t>
        </is>
      </c>
    </row>
    <row r="2717">
      <c r="A2717" s="6" t="inlineStr">
        <is>
          <t>DJ30</t>
        </is>
      </c>
      <c r="B2717" s="6" t="inlineStr">
        <is>
          <t>2024-09-06</t>
        </is>
      </c>
      <c r="C2717" s="6" t="inlineStr">
        <is>
          <t>DIA</t>
        </is>
      </c>
      <c r="D2717" s="6" t="inlineStr">
        <is>
          <t>MMM</t>
        </is>
      </c>
      <c r="E2717" s="6" t="inlineStr">
        <is>
          <t>MMM</t>
        </is>
      </c>
      <c r="F2717" s="6" t="inlineStr">
        <is>
          <t>-</t>
        </is>
      </c>
      <c r="G2717" s="7" t="n">
        <v>124.3453979492188</v>
      </c>
      <c r="H2717" s="6">
        <f>P2686</f>
        <v/>
      </c>
      <c r="I2717" s="9">
        <f>Q2686</f>
        <v/>
      </c>
      <c r="J2717" s="7">
        <f>I2717*G2717</f>
        <v/>
      </c>
      <c r="K2717" s="8">
        <f>IF($J$2729=0,0,J2717/$J$2729)</f>
        <v/>
      </c>
      <c r="L2717" s="6" t="inlineStr">
        <is>
          <t>SELECTED</t>
        </is>
      </c>
      <c r="M2717" s="8" t="n">
        <v>0.2</v>
      </c>
      <c r="N2717" s="7">
        <f>M2717*$J$2729-J2717</f>
        <v/>
      </c>
      <c r="O2717" s="9">
        <f>IF(G2717=0,0,N2717/G2717)</f>
        <v/>
      </c>
      <c r="P2717" s="6">
        <f>IF(M2717&gt;0,D2717,"")</f>
        <v/>
      </c>
      <c r="Q2717" s="9">
        <f>I2717+O2717</f>
        <v/>
      </c>
      <c r="R2717" s="7">
        <f>Q2717*G2717</f>
        <v/>
      </c>
      <c r="S2717" s="8">
        <f>IF($R$2729=0,0,R2717/$R$2729)</f>
        <v/>
      </c>
      <c r="T2717" s="8" t="n">
        <v>-0.05298050168009716</v>
      </c>
      <c r="U2717" s="8" t="n">
        <v>-0.02820700831054435</v>
      </c>
      <c r="V2717" s="6" t="inlineStr">
        <is>
          <t>remained in weekly selection</t>
        </is>
      </c>
    </row>
    <row r="2718">
      <c r="A2718" s="6" t="inlineStr">
        <is>
          <t>DJ30</t>
        </is>
      </c>
      <c r="B2718" s="6" t="inlineStr">
        <is>
          <t>2024-09-06</t>
        </is>
      </c>
      <c r="C2718" s="6" t="inlineStr">
        <is>
          <t>DIA</t>
        </is>
      </c>
      <c r="D2718" s="6" t="inlineStr">
        <is>
          <t>MRK</t>
        </is>
      </c>
      <c r="E2718" s="6" t="inlineStr">
        <is>
          <t>MRK</t>
        </is>
      </c>
      <c r="F2718" s="6" t="inlineStr">
        <is>
          <t>-</t>
        </is>
      </c>
      <c r="G2718" s="7" t="n">
        <v>110.3036499023438</v>
      </c>
      <c r="H2718" s="6">
        <f>P2687</f>
        <v/>
      </c>
      <c r="I2718" s="9">
        <f>Q2687</f>
        <v/>
      </c>
      <c r="J2718" s="7">
        <f>I2718*G2718</f>
        <v/>
      </c>
      <c r="K2718" s="8">
        <f>IF($J$2729=0,0,J2718/$J$2729)</f>
        <v/>
      </c>
      <c r="L2718" s="6" t="inlineStr">
        <is>
          <t>WATCHLIST</t>
        </is>
      </c>
      <c r="M2718" s="8" t="n">
        <v>0</v>
      </c>
      <c r="N2718" s="7">
        <f>M2718*$J$2729-J2718</f>
        <v/>
      </c>
      <c r="O2718" s="9">
        <f>IF(G2718=0,0,N2718/G2718)</f>
        <v/>
      </c>
      <c r="P2718" s="6">
        <f>IF(M2718&gt;0,D2718,"")</f>
        <v/>
      </c>
      <c r="Q2718" s="9">
        <f>I2718+O2718</f>
        <v/>
      </c>
      <c r="R2718" s="7">
        <f>Q2718*G2718</f>
        <v/>
      </c>
      <c r="S2718" s="8">
        <f>IF($R$2729=0,0,R2718/$R$2729)</f>
        <v/>
      </c>
      <c r="T2718" s="8" t="n">
        <v>-0.05298050168009716</v>
      </c>
      <c r="U2718" s="8" t="n">
        <v>-0.02820700831054435</v>
      </c>
      <c r="V2718" s="6" t="inlineStr">
        <is>
          <t>not selected</t>
        </is>
      </c>
    </row>
    <row r="2719">
      <c r="A2719" s="6" t="inlineStr">
        <is>
          <t>DJ30</t>
        </is>
      </c>
      <c r="B2719" s="6" t="inlineStr">
        <is>
          <t>2024-09-06</t>
        </is>
      </c>
      <c r="C2719" s="6" t="inlineStr">
        <is>
          <t>DIA</t>
        </is>
      </c>
      <c r="D2719" s="6" t="inlineStr">
        <is>
          <t>MSFT</t>
        </is>
      </c>
      <c r="E2719" s="6" t="inlineStr">
        <is>
          <t>MSFT</t>
        </is>
      </c>
      <c r="F2719" s="6" t="inlineStr">
        <is>
          <t>-</t>
        </is>
      </c>
      <c r="G2719" s="7" t="n">
        <v>396.197509765625</v>
      </c>
      <c r="H2719" s="6">
        <f>P2688</f>
        <v/>
      </c>
      <c r="I2719" s="9">
        <f>Q2688</f>
        <v/>
      </c>
      <c r="J2719" s="7">
        <f>I2719*G2719</f>
        <v/>
      </c>
      <c r="K2719" s="8">
        <f>IF($J$2729=0,0,J2719/$J$2729)</f>
        <v/>
      </c>
      <c r="L2719" s="6" t="inlineStr">
        <is>
          <t>WATCHLIST</t>
        </is>
      </c>
      <c r="M2719" s="8" t="n">
        <v>0</v>
      </c>
      <c r="N2719" s="7">
        <f>M2719*$J$2729-J2719</f>
        <v/>
      </c>
      <c r="O2719" s="9">
        <f>IF(G2719=0,0,N2719/G2719)</f>
        <v/>
      </c>
      <c r="P2719" s="6">
        <f>IF(M2719&gt;0,D2719,"")</f>
        <v/>
      </c>
      <c r="Q2719" s="9">
        <f>I2719+O2719</f>
        <v/>
      </c>
      <c r="R2719" s="7">
        <f>Q2719*G2719</f>
        <v/>
      </c>
      <c r="S2719" s="8">
        <f>IF($R$2729=0,0,R2719/$R$2729)</f>
        <v/>
      </c>
      <c r="T2719" s="8" t="n">
        <v>-0.05298050168009716</v>
      </c>
      <c r="U2719" s="8" t="n">
        <v>-0.02820700831054435</v>
      </c>
      <c r="V2719" s="6" t="inlineStr">
        <is>
          <t>not selected</t>
        </is>
      </c>
    </row>
    <row r="2720">
      <c r="A2720" s="6" t="inlineStr">
        <is>
          <t>DJ30</t>
        </is>
      </c>
      <c r="B2720" s="6" t="inlineStr">
        <is>
          <t>2024-09-06</t>
        </is>
      </c>
      <c r="C2720" s="6" t="inlineStr">
        <is>
          <t>DIA</t>
        </is>
      </c>
      <c r="D2720" s="6" t="inlineStr">
        <is>
          <t>NKE</t>
        </is>
      </c>
      <c r="E2720" s="6" t="inlineStr">
        <is>
          <t>NKE</t>
        </is>
      </c>
      <c r="F2720" s="6" t="inlineStr">
        <is>
          <t>-</t>
        </is>
      </c>
      <c r="G2720" s="7" t="n">
        <v>77.17195892333984</v>
      </c>
      <c r="H2720" s="6">
        <f>P2689</f>
        <v/>
      </c>
      <c r="I2720" s="9">
        <f>Q2689</f>
        <v/>
      </c>
      <c r="J2720" s="7">
        <f>I2720*G2720</f>
        <v/>
      </c>
      <c r="K2720" s="8">
        <f>IF($J$2729=0,0,J2720/$J$2729)</f>
        <v/>
      </c>
      <c r="L2720" s="6" t="inlineStr">
        <is>
          <t>REJECTED</t>
        </is>
      </c>
      <c r="M2720" s="8" t="n">
        <v>0</v>
      </c>
      <c r="N2720" s="7">
        <f>M2720*$J$2729-J2720</f>
        <v/>
      </c>
      <c r="O2720" s="9">
        <f>IF(G2720=0,0,N2720/G2720)</f>
        <v/>
      </c>
      <c r="P2720" s="6">
        <f>IF(M2720&gt;0,D2720,"")</f>
        <v/>
      </c>
      <c r="Q2720" s="9">
        <f>I2720+O2720</f>
        <v/>
      </c>
      <c r="R2720" s="7">
        <f>Q2720*G2720</f>
        <v/>
      </c>
      <c r="S2720" s="8">
        <f>IF($R$2729=0,0,R2720/$R$2729)</f>
        <v/>
      </c>
      <c r="T2720" s="8" t="n">
        <v>-0.05298050168009716</v>
      </c>
      <c r="U2720" s="8" t="n">
        <v>-0.02820700831054435</v>
      </c>
      <c r="V2720" s="6" t="inlineStr">
        <is>
          <t>not selected</t>
        </is>
      </c>
    </row>
    <row r="2721">
      <c r="A2721" s="6" t="inlineStr">
        <is>
          <t>DJ30</t>
        </is>
      </c>
      <c r="B2721" s="6" t="inlineStr">
        <is>
          <t>2024-09-06</t>
        </is>
      </c>
      <c r="C2721" s="6" t="inlineStr">
        <is>
          <t>DIA</t>
        </is>
      </c>
      <c r="D2721" s="6" t="inlineStr">
        <is>
          <t>NVDA</t>
        </is>
      </c>
      <c r="E2721" s="6" t="inlineStr">
        <is>
          <t>NVDA</t>
        </is>
      </c>
      <c r="F2721" s="6" t="inlineStr">
        <is>
          <t>-</t>
        </is>
      </c>
      <c r="G2721" s="7" t="n">
        <v>102.6608047485352</v>
      </c>
      <c r="H2721" s="6">
        <f>P2690</f>
        <v/>
      </c>
      <c r="I2721" s="9">
        <f>Q2690</f>
        <v/>
      </c>
      <c r="J2721" s="7">
        <f>I2721*G2721</f>
        <v/>
      </c>
      <c r="K2721" s="8">
        <f>IF($J$2729=0,0,J2721/$J$2729)</f>
        <v/>
      </c>
      <c r="L2721" s="6" t="inlineStr">
        <is>
          <t>SELECTED</t>
        </is>
      </c>
      <c r="M2721" s="8" t="n">
        <v>0.2</v>
      </c>
      <c r="N2721" s="7">
        <f>M2721*$J$2729-J2721</f>
        <v/>
      </c>
      <c r="O2721" s="9">
        <f>IF(G2721=0,0,N2721/G2721)</f>
        <v/>
      </c>
      <c r="P2721" s="6">
        <f>IF(M2721&gt;0,D2721,"")</f>
        <v/>
      </c>
      <c r="Q2721" s="9">
        <f>I2721+O2721</f>
        <v/>
      </c>
      <c r="R2721" s="7">
        <f>Q2721*G2721</f>
        <v/>
      </c>
      <c r="S2721" s="8">
        <f>IF($R$2729=0,0,R2721/$R$2729)</f>
        <v/>
      </c>
      <c r="T2721" s="8" t="n">
        <v>-0.05298050168009716</v>
      </c>
      <c r="U2721" s="8" t="n">
        <v>-0.02820700831054435</v>
      </c>
      <c r="V2721" s="6" t="inlineStr">
        <is>
          <t>remained in weekly selection</t>
        </is>
      </c>
    </row>
    <row r="2722">
      <c r="A2722" s="6" t="inlineStr">
        <is>
          <t>DJ30</t>
        </is>
      </c>
      <c r="B2722" s="6" t="inlineStr">
        <is>
          <t>2024-09-06</t>
        </is>
      </c>
      <c r="C2722" s="6" t="inlineStr">
        <is>
          <t>DIA</t>
        </is>
      </c>
      <c r="D2722" s="6" t="inlineStr">
        <is>
          <t>PG</t>
        </is>
      </c>
      <c r="E2722" s="6" t="inlineStr">
        <is>
          <t>PG</t>
        </is>
      </c>
      <c r="F2722" s="6" t="inlineStr">
        <is>
          <t>-</t>
        </is>
      </c>
      <c r="G2722" s="7" t="n">
        <v>167.6092681884766</v>
      </c>
      <c r="H2722" s="6">
        <f>P2691</f>
        <v/>
      </c>
      <c r="I2722" s="9">
        <f>Q2691</f>
        <v/>
      </c>
      <c r="J2722" s="7">
        <f>I2722*G2722</f>
        <v/>
      </c>
      <c r="K2722" s="8">
        <f>IF($J$2729=0,0,J2722/$J$2729)</f>
        <v/>
      </c>
      <c r="L2722" s="6" t="inlineStr">
        <is>
          <t>WATCHLIST</t>
        </is>
      </c>
      <c r="M2722" s="8" t="n">
        <v>0</v>
      </c>
      <c r="N2722" s="7">
        <f>M2722*$J$2729-J2722</f>
        <v/>
      </c>
      <c r="O2722" s="9">
        <f>IF(G2722=0,0,N2722/G2722)</f>
        <v/>
      </c>
      <c r="P2722" s="6">
        <f>IF(M2722&gt;0,D2722,"")</f>
        <v/>
      </c>
      <c r="Q2722" s="9">
        <f>I2722+O2722</f>
        <v/>
      </c>
      <c r="R2722" s="7">
        <f>Q2722*G2722</f>
        <v/>
      </c>
      <c r="S2722" s="8">
        <f>IF($R$2729=0,0,R2722/$R$2729)</f>
        <v/>
      </c>
      <c r="T2722" s="8" t="n">
        <v>-0.05298050168009716</v>
      </c>
      <c r="U2722" s="8" t="n">
        <v>-0.02820700831054435</v>
      </c>
      <c r="V2722" s="6" t="inlineStr">
        <is>
          <t>not selected</t>
        </is>
      </c>
    </row>
    <row r="2723">
      <c r="A2723" s="6" t="inlineStr">
        <is>
          <t>DJ30</t>
        </is>
      </c>
      <c r="B2723" s="6" t="inlineStr">
        <is>
          <t>2024-09-06</t>
        </is>
      </c>
      <c r="C2723" s="6" t="inlineStr">
        <is>
          <t>DIA</t>
        </is>
      </c>
      <c r="D2723" s="6" t="inlineStr">
        <is>
          <t>SHW</t>
        </is>
      </c>
      <c r="E2723" s="6" t="inlineStr">
        <is>
          <t>SHW</t>
        </is>
      </c>
      <c r="F2723" s="6" t="inlineStr">
        <is>
          <t>-</t>
        </is>
      </c>
      <c r="G2723" s="7" t="n">
        <v>355.2769165039062</v>
      </c>
      <c r="H2723" s="6">
        <f>P2692</f>
        <v/>
      </c>
      <c r="I2723" s="9">
        <f>Q2692</f>
        <v/>
      </c>
      <c r="J2723" s="7">
        <f>I2723*G2723</f>
        <v/>
      </c>
      <c r="K2723" s="8">
        <f>IF($J$2729=0,0,J2723/$J$2729)</f>
        <v/>
      </c>
      <c r="L2723" s="6" t="inlineStr">
        <is>
          <t>WATCHLIST</t>
        </is>
      </c>
      <c r="M2723" s="8" t="n">
        <v>0</v>
      </c>
      <c r="N2723" s="7">
        <f>M2723*$J$2729-J2723</f>
        <v/>
      </c>
      <c r="O2723" s="9">
        <f>IF(G2723=0,0,N2723/G2723)</f>
        <v/>
      </c>
      <c r="P2723" s="6">
        <f>IF(M2723&gt;0,D2723,"")</f>
        <v/>
      </c>
      <c r="Q2723" s="9">
        <f>I2723+O2723</f>
        <v/>
      </c>
      <c r="R2723" s="7">
        <f>Q2723*G2723</f>
        <v/>
      </c>
      <c r="S2723" s="8">
        <f>IF($R$2729=0,0,R2723/$R$2729)</f>
        <v/>
      </c>
      <c r="T2723" s="8" t="n">
        <v>-0.05298050168009716</v>
      </c>
      <c r="U2723" s="8" t="n">
        <v>-0.02820700831054435</v>
      </c>
      <c r="V2723" s="6" t="inlineStr">
        <is>
          <t>not selected</t>
        </is>
      </c>
    </row>
    <row r="2724">
      <c r="A2724" s="6" t="inlineStr">
        <is>
          <t>DJ30</t>
        </is>
      </c>
      <c r="B2724" s="6" t="inlineStr">
        <is>
          <t>2024-09-06</t>
        </is>
      </c>
      <c r="C2724" s="6" t="inlineStr">
        <is>
          <t>DIA</t>
        </is>
      </c>
      <c r="D2724" s="6" t="inlineStr">
        <is>
          <t>TRV</t>
        </is>
      </c>
      <c r="E2724" s="6" t="inlineStr">
        <is>
          <t>TRV</t>
        </is>
      </c>
      <c r="F2724" s="6" t="inlineStr">
        <is>
          <t>-</t>
        </is>
      </c>
      <c r="G2724" s="7" t="n">
        <v>226.9570007324219</v>
      </c>
      <c r="H2724" s="6">
        <f>P2693</f>
        <v/>
      </c>
      <c r="I2724" s="9">
        <f>Q2693</f>
        <v/>
      </c>
      <c r="J2724" s="7">
        <f>I2724*G2724</f>
        <v/>
      </c>
      <c r="K2724" s="8">
        <f>IF($J$2729=0,0,J2724/$J$2729)</f>
        <v/>
      </c>
      <c r="L2724" s="6" t="inlineStr">
        <is>
          <t>SELECTED</t>
        </is>
      </c>
      <c r="M2724" s="8" t="n">
        <v>0.2</v>
      </c>
      <c r="N2724" s="7">
        <f>M2724*$J$2729-J2724</f>
        <v/>
      </c>
      <c r="O2724" s="9">
        <f>IF(G2724=0,0,N2724/G2724)</f>
        <v/>
      </c>
      <c r="P2724" s="6">
        <f>IF(M2724&gt;0,D2724,"")</f>
        <v/>
      </c>
      <c r="Q2724" s="9">
        <f>I2724+O2724</f>
        <v/>
      </c>
      <c r="R2724" s="7">
        <f>Q2724*G2724</f>
        <v/>
      </c>
      <c r="S2724" s="8">
        <f>IF($R$2729=0,0,R2724/$R$2729)</f>
        <v/>
      </c>
      <c r="T2724" s="8" t="n">
        <v>-0.05298050168009716</v>
      </c>
      <c r="U2724" s="8" t="n">
        <v>-0.02820700831054435</v>
      </c>
      <c r="V2724" s="6" t="inlineStr">
        <is>
          <t>entered weekly selection</t>
        </is>
      </c>
    </row>
    <row r="2725">
      <c r="A2725" s="6" t="inlineStr">
        <is>
          <t>DJ30</t>
        </is>
      </c>
      <c r="B2725" s="6" t="inlineStr">
        <is>
          <t>2024-09-06</t>
        </is>
      </c>
      <c r="C2725" s="6" t="inlineStr">
        <is>
          <t>DIA</t>
        </is>
      </c>
      <c r="D2725" s="6" t="inlineStr">
        <is>
          <t>UNH</t>
        </is>
      </c>
      <c r="E2725" s="6" t="inlineStr">
        <is>
          <t>UNH</t>
        </is>
      </c>
      <c r="F2725" s="6" t="inlineStr">
        <is>
          <t>-</t>
        </is>
      </c>
      <c r="G2725" s="7" t="n">
        <v>570.538330078125</v>
      </c>
      <c r="H2725" s="6">
        <f>P2694</f>
        <v/>
      </c>
      <c r="I2725" s="9">
        <f>Q2694</f>
        <v/>
      </c>
      <c r="J2725" s="7">
        <f>I2725*G2725</f>
        <v/>
      </c>
      <c r="K2725" s="8">
        <f>IF($J$2729=0,0,J2725/$J$2729)</f>
        <v/>
      </c>
      <c r="L2725" s="6" t="inlineStr">
        <is>
          <t>REJECTED</t>
        </is>
      </c>
      <c r="M2725" s="8" t="n">
        <v>0</v>
      </c>
      <c r="N2725" s="7">
        <f>M2725*$J$2729-J2725</f>
        <v/>
      </c>
      <c r="O2725" s="9">
        <f>IF(G2725=0,0,N2725/G2725)</f>
        <v/>
      </c>
      <c r="P2725" s="6">
        <f>IF(M2725&gt;0,D2725,"")</f>
        <v/>
      </c>
      <c r="Q2725" s="9">
        <f>I2725+O2725</f>
        <v/>
      </c>
      <c r="R2725" s="7">
        <f>Q2725*G2725</f>
        <v/>
      </c>
      <c r="S2725" s="8">
        <f>IF($R$2729=0,0,R2725/$R$2729)</f>
        <v/>
      </c>
      <c r="T2725" s="8" t="n">
        <v>-0.05298050168009716</v>
      </c>
      <c r="U2725" s="8" t="n">
        <v>-0.02820700831054435</v>
      </c>
      <c r="V2725" s="6" t="inlineStr">
        <is>
          <t>not selected</t>
        </is>
      </c>
    </row>
    <row r="2726">
      <c r="A2726" s="6" t="inlineStr">
        <is>
          <t>DJ30</t>
        </is>
      </c>
      <c r="B2726" s="6" t="inlineStr">
        <is>
          <t>2024-09-06</t>
        </is>
      </c>
      <c r="C2726" s="6" t="inlineStr">
        <is>
          <t>DIA</t>
        </is>
      </c>
      <c r="D2726" s="6" t="inlineStr">
        <is>
          <t>V</t>
        </is>
      </c>
      <c r="E2726" s="6" t="inlineStr">
        <is>
          <t>V</t>
        </is>
      </c>
      <c r="F2726" s="6" t="inlineStr">
        <is>
          <t>-</t>
        </is>
      </c>
      <c r="G2726" s="7" t="n">
        <v>275.73193359375</v>
      </c>
      <c r="H2726" s="6">
        <f>P2695</f>
        <v/>
      </c>
      <c r="I2726" s="9">
        <f>Q2695</f>
        <v/>
      </c>
      <c r="J2726" s="7">
        <f>I2726*G2726</f>
        <v/>
      </c>
      <c r="K2726" s="8">
        <f>IF($J$2729=0,0,J2726/$J$2729)</f>
        <v/>
      </c>
      <c r="L2726" s="6" t="inlineStr">
        <is>
          <t>WATCHLIST</t>
        </is>
      </c>
      <c r="M2726" s="8" t="n">
        <v>0</v>
      </c>
      <c r="N2726" s="7">
        <f>M2726*$J$2729-J2726</f>
        <v/>
      </c>
      <c r="O2726" s="9">
        <f>IF(G2726=0,0,N2726/G2726)</f>
        <v/>
      </c>
      <c r="P2726" s="6">
        <f>IF(M2726&gt;0,D2726,"")</f>
        <v/>
      </c>
      <c r="Q2726" s="9">
        <f>I2726+O2726</f>
        <v/>
      </c>
      <c r="R2726" s="7">
        <f>Q2726*G2726</f>
        <v/>
      </c>
      <c r="S2726" s="8">
        <f>IF($R$2729=0,0,R2726/$R$2729)</f>
        <v/>
      </c>
      <c r="T2726" s="8" t="n">
        <v>-0.05298050168009716</v>
      </c>
      <c r="U2726" s="8" t="n">
        <v>-0.02820700831054435</v>
      </c>
      <c r="V2726" s="6" t="inlineStr">
        <is>
          <t>not selected</t>
        </is>
      </c>
    </row>
    <row r="2727">
      <c r="A2727" s="6" t="inlineStr">
        <is>
          <t>DJ30</t>
        </is>
      </c>
      <c r="B2727" s="6" t="inlineStr">
        <is>
          <t>2024-09-06</t>
        </is>
      </c>
      <c r="C2727" s="6" t="inlineStr">
        <is>
          <t>DIA</t>
        </is>
      </c>
      <c r="D2727" s="6" t="inlineStr">
        <is>
          <t>VZ</t>
        </is>
      </c>
      <c r="E2727" s="6" t="inlineStr">
        <is>
          <t>VZ</t>
        </is>
      </c>
      <c r="F2727" s="6" t="inlineStr">
        <is>
          <t>-</t>
        </is>
      </c>
      <c r="G2727" s="7" t="n">
        <v>36.7089958190918</v>
      </c>
      <c r="H2727" s="6">
        <f>P2696</f>
        <v/>
      </c>
      <c r="I2727" s="9">
        <f>Q2696</f>
        <v/>
      </c>
      <c r="J2727" s="7">
        <f>I2727*G2727</f>
        <v/>
      </c>
      <c r="K2727" s="8">
        <f>IF($J$2729=0,0,J2727/$J$2729)</f>
        <v/>
      </c>
      <c r="L2727" s="6" t="inlineStr">
        <is>
          <t>WATCHLIST</t>
        </is>
      </c>
      <c r="M2727" s="8" t="n">
        <v>0</v>
      </c>
      <c r="N2727" s="7">
        <f>M2727*$J$2729-J2727</f>
        <v/>
      </c>
      <c r="O2727" s="9">
        <f>IF(G2727=0,0,N2727/G2727)</f>
        <v/>
      </c>
      <c r="P2727" s="6">
        <f>IF(M2727&gt;0,D2727,"")</f>
        <v/>
      </c>
      <c r="Q2727" s="9">
        <f>I2727+O2727</f>
        <v/>
      </c>
      <c r="R2727" s="7">
        <f>Q2727*G2727</f>
        <v/>
      </c>
      <c r="S2727" s="8">
        <f>IF($R$2729=0,0,R2727/$R$2729)</f>
        <v/>
      </c>
      <c r="T2727" s="8" t="n">
        <v>-0.05298050168009716</v>
      </c>
      <c r="U2727" s="8" t="n">
        <v>-0.02820700831054435</v>
      </c>
      <c r="V2727" s="6" t="inlineStr">
        <is>
          <t>removed from weekly selection</t>
        </is>
      </c>
    </row>
    <row r="2728">
      <c r="A2728" s="6" t="inlineStr">
        <is>
          <t>DJ30</t>
        </is>
      </c>
      <c r="B2728" s="6" t="inlineStr">
        <is>
          <t>2024-09-06</t>
        </is>
      </c>
      <c r="C2728" s="6" t="inlineStr">
        <is>
          <t>DIA</t>
        </is>
      </c>
      <c r="D2728" s="6" t="inlineStr">
        <is>
          <t>WMT</t>
        </is>
      </c>
      <c r="E2728" s="6" t="inlineStr">
        <is>
          <t>WMT</t>
        </is>
      </c>
      <c r="F2728" s="6" t="inlineStr">
        <is>
          <t>-</t>
        </is>
      </c>
      <c r="G2728" s="7" t="n">
        <v>75.4464111328125</v>
      </c>
      <c r="H2728" s="6">
        <f>P2697</f>
        <v/>
      </c>
      <c r="I2728" s="9">
        <f>Q2697</f>
        <v/>
      </c>
      <c r="J2728" s="7">
        <f>I2728*G2728</f>
        <v/>
      </c>
      <c r="K2728" s="8">
        <f>IF($J$2729=0,0,J2728/$J$2729)</f>
        <v/>
      </c>
      <c r="L2728" s="6" t="inlineStr">
        <is>
          <t>SELECTED</t>
        </is>
      </c>
      <c r="M2728" s="8" t="n">
        <v>0.2</v>
      </c>
      <c r="N2728" s="7">
        <f>M2728*$J$2729-J2728</f>
        <v/>
      </c>
      <c r="O2728" s="9">
        <f>IF(G2728=0,0,N2728/G2728)</f>
        <v/>
      </c>
      <c r="P2728" s="6">
        <f>IF(M2728&gt;0,D2728,"")</f>
        <v/>
      </c>
      <c r="Q2728" s="9">
        <f>I2728+O2728</f>
        <v/>
      </c>
      <c r="R2728" s="7">
        <f>Q2728*G2728</f>
        <v/>
      </c>
      <c r="S2728" s="8">
        <f>IF($R$2729=0,0,R2728/$R$2729)</f>
        <v/>
      </c>
      <c r="T2728" s="8" t="n">
        <v>-0.05298050168009716</v>
      </c>
      <c r="U2728" s="8" t="n">
        <v>-0.02820700831054435</v>
      </c>
      <c r="V2728" s="6" t="inlineStr">
        <is>
          <t>remained in weekly selection</t>
        </is>
      </c>
    </row>
    <row r="2729">
      <c r="A2729" s="10" t="inlineStr">
        <is>
          <t>DJ30</t>
        </is>
      </c>
      <c r="B2729" s="10" t="inlineStr">
        <is>
          <t>2024-09-06</t>
        </is>
      </c>
      <c r="C2729" s="10" t="inlineStr">
        <is>
          <t>DIA</t>
        </is>
      </c>
      <c r="D2729" s="10" t="inlineStr">
        <is>
          <t>Tot Portfolio</t>
        </is>
      </c>
      <c r="E2729" s="10" t="inlineStr"/>
      <c r="F2729" s="10" t="inlineStr"/>
      <c r="G2729" s="11" t="inlineStr"/>
      <c r="H2729" s="10" t="inlineStr"/>
      <c r="I2729" s="12" t="inlineStr"/>
      <c r="J2729" s="11">
        <f>SUM(J2699:J2728)</f>
        <v/>
      </c>
      <c r="K2729" s="13">
        <f>SUM(K2699:K2728)</f>
        <v/>
      </c>
      <c r="L2729" s="10" t="inlineStr">
        <is>
          <t>TOTAL</t>
        </is>
      </c>
      <c r="M2729" s="13">
        <f>SUM(M2699:M2728)</f>
        <v/>
      </c>
      <c r="N2729" s="11">
        <f>SUM(N2699:N2728)</f>
        <v/>
      </c>
      <c r="O2729" s="12">
        <f>SUM(O2699:O2728)</f>
        <v/>
      </c>
      <c r="P2729" s="10" t="inlineStr"/>
      <c r="Q2729" s="12" t="inlineStr"/>
      <c r="R2729" s="11">
        <f>SUM(R2699:R2728)</f>
        <v/>
      </c>
      <c r="S2729" s="13">
        <f>SUM(S2699:S2728)</f>
        <v/>
      </c>
      <c r="T2729" s="13" t="n">
        <v>-0.05298050168009716</v>
      </c>
      <c r="U2729" s="13" t="n">
        <v>-0.02820700831054435</v>
      </c>
      <c r="V2729" s="10" t="inlineStr"/>
    </row>
    <row r="2730">
      <c r="A2730" s="6" t="inlineStr">
        <is>
          <t>DJ30</t>
        </is>
      </c>
      <c r="B2730" s="6" t="inlineStr">
        <is>
          <t>2024-09-13</t>
        </is>
      </c>
      <c r="C2730" s="6" t="inlineStr">
        <is>
          <t>DIA</t>
        </is>
      </c>
      <c r="D2730" s="6" t="inlineStr">
        <is>
          <t>AAPL</t>
        </is>
      </c>
      <c r="E2730" s="6" t="inlineStr">
        <is>
          <t>AAPL</t>
        </is>
      </c>
      <c r="F2730" s="6" t="inlineStr">
        <is>
          <t>-</t>
        </is>
      </c>
      <c r="G2730" s="7" t="n">
        <v>220.8444976806641</v>
      </c>
      <c r="H2730" s="6">
        <f>P2699</f>
        <v/>
      </c>
      <c r="I2730" s="9">
        <f>Q2699</f>
        <v/>
      </c>
      <c r="J2730" s="7">
        <f>I2730*G2730</f>
        <v/>
      </c>
      <c r="K2730" s="8">
        <f>IF($J$2760=0,0,J2730/$J$2760)</f>
        <v/>
      </c>
      <c r="L2730" s="6" t="inlineStr">
        <is>
          <t>WATCHLIST</t>
        </is>
      </c>
      <c r="M2730" s="8" t="n">
        <v>0</v>
      </c>
      <c r="N2730" s="7">
        <f>M2730*$J$2760-J2730</f>
        <v/>
      </c>
      <c r="O2730" s="9">
        <f>IF(G2730=0,0,N2730/G2730)</f>
        <v/>
      </c>
      <c r="P2730" s="6">
        <f>IF(M2730&gt;0,D2730,"")</f>
        <v/>
      </c>
      <c r="Q2730" s="9">
        <f>I2730+O2730</f>
        <v/>
      </c>
      <c r="R2730" s="7">
        <f>Q2730*G2730</f>
        <v/>
      </c>
      <c r="S2730" s="8">
        <f>IF($R$2760=0,0,R2730/$R$2760)</f>
        <v/>
      </c>
      <c r="T2730" s="8" t="n">
        <v>0.0643261270516422</v>
      </c>
      <c r="U2730" s="8" t="n">
        <v>0.02588591662770456</v>
      </c>
      <c r="V2730" s="6" t="inlineStr">
        <is>
          <t>not selected</t>
        </is>
      </c>
    </row>
    <row r="2731">
      <c r="A2731" s="6" t="inlineStr">
        <is>
          <t>DJ30</t>
        </is>
      </c>
      <c r="B2731" s="6" t="inlineStr">
        <is>
          <t>2024-09-13</t>
        </is>
      </c>
      <c r="C2731" s="6" t="inlineStr">
        <is>
          <t>DIA</t>
        </is>
      </c>
      <c r="D2731" s="6" t="inlineStr">
        <is>
          <t>AMGN</t>
        </is>
      </c>
      <c r="E2731" s="6" t="inlineStr">
        <is>
          <t>AMGN</t>
        </is>
      </c>
      <c r="F2731" s="6" t="inlineStr">
        <is>
          <t>-</t>
        </is>
      </c>
      <c r="G2731" s="7" t="n">
        <v>314.8399047851562</v>
      </c>
      <c r="H2731" s="6">
        <f>P2700</f>
        <v/>
      </c>
      <c r="I2731" s="9">
        <f>Q2700</f>
        <v/>
      </c>
      <c r="J2731" s="7">
        <f>I2731*G2731</f>
        <v/>
      </c>
      <c r="K2731" s="8">
        <f>IF($J$2760=0,0,J2731/$J$2760)</f>
        <v/>
      </c>
      <c r="L2731" s="6" t="inlineStr">
        <is>
          <t>WATCHLIST</t>
        </is>
      </c>
      <c r="M2731" s="8" t="n">
        <v>0</v>
      </c>
      <c r="N2731" s="7">
        <f>M2731*$J$2760-J2731</f>
        <v/>
      </c>
      <c r="O2731" s="9">
        <f>IF(G2731=0,0,N2731/G2731)</f>
        <v/>
      </c>
      <c r="P2731" s="6">
        <f>IF(M2731&gt;0,D2731,"")</f>
        <v/>
      </c>
      <c r="Q2731" s="9">
        <f>I2731+O2731</f>
        <v/>
      </c>
      <c r="R2731" s="7">
        <f>Q2731*G2731</f>
        <v/>
      </c>
      <c r="S2731" s="8">
        <f>IF($R$2760=0,0,R2731/$R$2760)</f>
        <v/>
      </c>
      <c r="T2731" s="8" t="n">
        <v>0.0643261270516422</v>
      </c>
      <c r="U2731" s="8" t="n">
        <v>0.02588591662770456</v>
      </c>
      <c r="V2731" s="6" t="inlineStr">
        <is>
          <t>not selected</t>
        </is>
      </c>
    </row>
    <row r="2732">
      <c r="A2732" s="6" t="inlineStr">
        <is>
          <t>DJ30</t>
        </is>
      </c>
      <c r="B2732" s="6" t="inlineStr">
        <is>
          <t>2024-09-13</t>
        </is>
      </c>
      <c r="C2732" s="6" t="inlineStr">
        <is>
          <t>DIA</t>
        </is>
      </c>
      <c r="D2732" s="6" t="inlineStr">
        <is>
          <t>AMZN</t>
        </is>
      </c>
      <c r="E2732" s="6" t="inlineStr">
        <is>
          <t>AMZN</t>
        </is>
      </c>
      <c r="F2732" s="6" t="inlineStr">
        <is>
          <t>-</t>
        </is>
      </c>
      <c r="G2732" s="7" t="n">
        <v>186.4900054931641</v>
      </c>
      <c r="H2732" s="6">
        <f>P2701</f>
        <v/>
      </c>
      <c r="I2732" s="9">
        <f>Q2701</f>
        <v/>
      </c>
      <c r="J2732" s="7">
        <f>I2732*G2732</f>
        <v/>
      </c>
      <c r="K2732" s="8">
        <f>IF($J$2760=0,0,J2732/$J$2760)</f>
        <v/>
      </c>
      <c r="L2732" s="6" t="inlineStr">
        <is>
          <t>WATCHLIST</t>
        </is>
      </c>
      <c r="M2732" s="8" t="n">
        <v>0</v>
      </c>
      <c r="N2732" s="7">
        <f>M2732*$J$2760-J2732</f>
        <v/>
      </c>
      <c r="O2732" s="9">
        <f>IF(G2732=0,0,N2732/G2732)</f>
        <v/>
      </c>
      <c r="P2732" s="6">
        <f>IF(M2732&gt;0,D2732,"")</f>
        <v/>
      </c>
      <c r="Q2732" s="9">
        <f>I2732+O2732</f>
        <v/>
      </c>
      <c r="R2732" s="7">
        <f>Q2732*G2732</f>
        <v/>
      </c>
      <c r="S2732" s="8">
        <f>IF($R$2760=0,0,R2732/$R$2760)</f>
        <v/>
      </c>
      <c r="T2732" s="8" t="n">
        <v>0.0643261270516422</v>
      </c>
      <c r="U2732" s="8" t="n">
        <v>0.02588591662770456</v>
      </c>
      <c r="V2732" s="6" t="inlineStr">
        <is>
          <t>not selected</t>
        </is>
      </c>
    </row>
    <row r="2733">
      <c r="A2733" s="6" t="inlineStr">
        <is>
          <t>DJ30</t>
        </is>
      </c>
      <c r="B2733" s="6" t="inlineStr">
        <is>
          <t>2024-09-13</t>
        </is>
      </c>
      <c r="C2733" s="6" t="inlineStr">
        <is>
          <t>DIA</t>
        </is>
      </c>
      <c r="D2733" s="6" t="inlineStr">
        <is>
          <t>AXP</t>
        </is>
      </c>
      <c r="E2733" s="6" t="inlineStr">
        <is>
          <t>AXP</t>
        </is>
      </c>
      <c r="F2733" s="6" t="inlineStr">
        <is>
          <t>-</t>
        </is>
      </c>
      <c r="G2733" s="7" t="n">
        <v>254.2017211914062</v>
      </c>
      <c r="H2733" s="6">
        <f>P2702</f>
        <v/>
      </c>
      <c r="I2733" s="9">
        <f>Q2702</f>
        <v/>
      </c>
      <c r="J2733" s="7">
        <f>I2733*G2733</f>
        <v/>
      </c>
      <c r="K2733" s="8">
        <f>IF($J$2760=0,0,J2733/$J$2760)</f>
        <v/>
      </c>
      <c r="L2733" s="6" t="inlineStr">
        <is>
          <t>SELECTED</t>
        </is>
      </c>
      <c r="M2733" s="8" t="n">
        <v>0.2</v>
      </c>
      <c r="N2733" s="7">
        <f>M2733*$J$2760-J2733</f>
        <v/>
      </c>
      <c r="O2733" s="9">
        <f>IF(G2733=0,0,N2733/G2733)</f>
        <v/>
      </c>
      <c r="P2733" s="6">
        <f>IF(M2733&gt;0,D2733,"")</f>
        <v/>
      </c>
      <c r="Q2733" s="9">
        <f>I2733+O2733</f>
        <v/>
      </c>
      <c r="R2733" s="7">
        <f>Q2733*G2733</f>
        <v/>
      </c>
      <c r="S2733" s="8">
        <f>IF($R$2760=0,0,R2733/$R$2760)</f>
        <v/>
      </c>
      <c r="T2733" s="8" t="n">
        <v>0.0643261270516422</v>
      </c>
      <c r="U2733" s="8" t="n">
        <v>0.02588591662770456</v>
      </c>
      <c r="V2733" s="6" t="inlineStr">
        <is>
          <t>remained in weekly selection</t>
        </is>
      </c>
    </row>
    <row r="2734">
      <c r="A2734" s="6" t="inlineStr">
        <is>
          <t>DJ30</t>
        </is>
      </c>
      <c r="B2734" s="6" t="inlineStr">
        <is>
          <t>2024-09-13</t>
        </is>
      </c>
      <c r="C2734" s="6" t="inlineStr">
        <is>
          <t>DIA</t>
        </is>
      </c>
      <c r="D2734" s="6" t="inlineStr">
        <is>
          <t>BA</t>
        </is>
      </c>
      <c r="E2734" s="6" t="inlineStr">
        <is>
          <t>BA</t>
        </is>
      </c>
      <c r="F2734" s="6" t="inlineStr">
        <is>
          <t>-</t>
        </is>
      </c>
      <c r="G2734" s="7" t="n">
        <v>156.7700042724609</v>
      </c>
      <c r="H2734" s="6">
        <f>P2703</f>
        <v/>
      </c>
      <c r="I2734" s="9">
        <f>Q2703</f>
        <v/>
      </c>
      <c r="J2734" s="7">
        <f>I2734*G2734</f>
        <v/>
      </c>
      <c r="K2734" s="8">
        <f>IF($J$2760=0,0,J2734/$J$2760)</f>
        <v/>
      </c>
      <c r="L2734" s="6" t="inlineStr">
        <is>
          <t>REJECTED</t>
        </is>
      </c>
      <c r="M2734" s="8" t="n">
        <v>0</v>
      </c>
      <c r="N2734" s="7">
        <f>M2734*$J$2760-J2734</f>
        <v/>
      </c>
      <c r="O2734" s="9">
        <f>IF(G2734=0,0,N2734/G2734)</f>
        <v/>
      </c>
      <c r="P2734" s="6">
        <f>IF(M2734&gt;0,D2734,"")</f>
        <v/>
      </c>
      <c r="Q2734" s="9">
        <f>I2734+O2734</f>
        <v/>
      </c>
      <c r="R2734" s="7">
        <f>Q2734*G2734</f>
        <v/>
      </c>
      <c r="S2734" s="8">
        <f>IF($R$2760=0,0,R2734/$R$2760)</f>
        <v/>
      </c>
      <c r="T2734" s="8" t="n">
        <v>0.0643261270516422</v>
      </c>
      <c r="U2734" s="8" t="n">
        <v>0.02588591662770456</v>
      </c>
      <c r="V2734" s="6" t="inlineStr">
        <is>
          <t>not selected</t>
        </is>
      </c>
    </row>
    <row r="2735">
      <c r="A2735" s="6" t="inlineStr">
        <is>
          <t>DJ30</t>
        </is>
      </c>
      <c r="B2735" s="6" t="inlineStr">
        <is>
          <t>2024-09-13</t>
        </is>
      </c>
      <c r="C2735" s="6" t="inlineStr">
        <is>
          <t>DIA</t>
        </is>
      </c>
      <c r="D2735" s="6" t="inlineStr">
        <is>
          <t>CAT</t>
        </is>
      </c>
      <c r="E2735" s="6" t="inlineStr">
        <is>
          <t>CAT</t>
        </is>
      </c>
      <c r="F2735" s="6" t="inlineStr">
        <is>
          <t>-</t>
        </is>
      </c>
      <c r="G2735" s="7" t="n">
        <v>337.5214233398437</v>
      </c>
      <c r="H2735" s="6">
        <f>P2704</f>
        <v/>
      </c>
      <c r="I2735" s="9">
        <f>Q2704</f>
        <v/>
      </c>
      <c r="J2735" s="7">
        <f>I2735*G2735</f>
        <v/>
      </c>
      <c r="K2735" s="8">
        <f>IF($J$2760=0,0,J2735/$J$2760)</f>
        <v/>
      </c>
      <c r="L2735" s="6" t="inlineStr">
        <is>
          <t>WATCHLIST</t>
        </is>
      </c>
      <c r="M2735" s="8" t="n">
        <v>0</v>
      </c>
      <c r="N2735" s="7">
        <f>M2735*$J$2760-J2735</f>
        <v/>
      </c>
      <c r="O2735" s="9">
        <f>IF(G2735=0,0,N2735/G2735)</f>
        <v/>
      </c>
      <c r="P2735" s="6">
        <f>IF(M2735&gt;0,D2735,"")</f>
        <v/>
      </c>
      <c r="Q2735" s="9">
        <f>I2735+O2735</f>
        <v/>
      </c>
      <c r="R2735" s="7">
        <f>Q2735*G2735</f>
        <v/>
      </c>
      <c r="S2735" s="8">
        <f>IF($R$2760=0,0,R2735/$R$2760)</f>
        <v/>
      </c>
      <c r="T2735" s="8" t="n">
        <v>0.0643261270516422</v>
      </c>
      <c r="U2735" s="8" t="n">
        <v>0.02588591662770456</v>
      </c>
      <c r="V2735" s="6" t="inlineStr">
        <is>
          <t>not selected</t>
        </is>
      </c>
    </row>
    <row r="2736">
      <c r="A2736" s="6" t="inlineStr">
        <is>
          <t>DJ30</t>
        </is>
      </c>
      <c r="B2736" s="6" t="inlineStr">
        <is>
          <t>2024-09-13</t>
        </is>
      </c>
      <c r="C2736" s="6" t="inlineStr">
        <is>
          <t>DIA</t>
        </is>
      </c>
      <c r="D2736" s="6" t="inlineStr">
        <is>
          <t>CRM</t>
        </is>
      </c>
      <c r="E2736" s="6" t="inlineStr">
        <is>
          <t>CRM</t>
        </is>
      </c>
      <c r="F2736" s="6" t="inlineStr">
        <is>
          <t>-</t>
        </is>
      </c>
      <c r="G2736" s="7" t="n">
        <v>250.9576416015625</v>
      </c>
      <c r="H2736" s="6">
        <f>P2705</f>
        <v/>
      </c>
      <c r="I2736" s="9">
        <f>Q2705</f>
        <v/>
      </c>
      <c r="J2736" s="7">
        <f>I2736*G2736</f>
        <v/>
      </c>
      <c r="K2736" s="8">
        <f>IF($J$2760=0,0,J2736/$J$2760)</f>
        <v/>
      </c>
      <c r="L2736" s="6" t="inlineStr">
        <is>
          <t>REJECTED</t>
        </is>
      </c>
      <c r="M2736" s="8" t="n">
        <v>0</v>
      </c>
      <c r="N2736" s="7">
        <f>M2736*$J$2760-J2736</f>
        <v/>
      </c>
      <c r="O2736" s="9">
        <f>IF(G2736=0,0,N2736/G2736)</f>
        <v/>
      </c>
      <c r="P2736" s="6">
        <f>IF(M2736&gt;0,D2736,"")</f>
        <v/>
      </c>
      <c r="Q2736" s="9">
        <f>I2736+O2736</f>
        <v/>
      </c>
      <c r="R2736" s="7">
        <f>Q2736*G2736</f>
        <v/>
      </c>
      <c r="S2736" s="8">
        <f>IF($R$2760=0,0,R2736/$R$2760)</f>
        <v/>
      </c>
      <c r="T2736" s="8" t="n">
        <v>0.0643261270516422</v>
      </c>
      <c r="U2736" s="8" t="n">
        <v>0.02588591662770456</v>
      </c>
      <c r="V2736" s="6" t="inlineStr">
        <is>
          <t>not selected</t>
        </is>
      </c>
    </row>
    <row r="2737">
      <c r="A2737" s="6" t="inlineStr">
        <is>
          <t>DJ30</t>
        </is>
      </c>
      <c r="B2737" s="6" t="inlineStr">
        <is>
          <t>2024-09-13</t>
        </is>
      </c>
      <c r="C2737" s="6" t="inlineStr">
        <is>
          <t>DIA</t>
        </is>
      </c>
      <c r="D2737" s="6" t="inlineStr">
        <is>
          <t>CSCO</t>
        </is>
      </c>
      <c r="E2737" s="6" t="inlineStr">
        <is>
          <t>CSCO</t>
        </is>
      </c>
      <c r="F2737" s="6" t="inlineStr">
        <is>
          <t>-</t>
        </is>
      </c>
      <c r="G2737" s="7" t="n">
        <v>47.66511154174805</v>
      </c>
      <c r="H2737" s="6">
        <f>P2706</f>
        <v/>
      </c>
      <c r="I2737" s="9">
        <f>Q2706</f>
        <v/>
      </c>
      <c r="J2737" s="7">
        <f>I2737*G2737</f>
        <v/>
      </c>
      <c r="K2737" s="8">
        <f>IF($J$2760=0,0,J2737/$J$2760)</f>
        <v/>
      </c>
      <c r="L2737" s="6" t="inlineStr">
        <is>
          <t>REJECTED</t>
        </is>
      </c>
      <c r="M2737" s="8" t="n">
        <v>0</v>
      </c>
      <c r="N2737" s="7">
        <f>M2737*$J$2760-J2737</f>
        <v/>
      </c>
      <c r="O2737" s="9">
        <f>IF(G2737=0,0,N2737/G2737)</f>
        <v/>
      </c>
      <c r="P2737" s="6">
        <f>IF(M2737&gt;0,D2737,"")</f>
        <v/>
      </c>
      <c r="Q2737" s="9">
        <f>I2737+O2737</f>
        <v/>
      </c>
      <c r="R2737" s="7">
        <f>Q2737*G2737</f>
        <v/>
      </c>
      <c r="S2737" s="8">
        <f>IF($R$2760=0,0,R2737/$R$2760)</f>
        <v/>
      </c>
      <c r="T2737" s="8" t="n">
        <v>0.0643261270516422</v>
      </c>
      <c r="U2737" s="8" t="n">
        <v>0.02588591662770456</v>
      </c>
      <c r="V2737" s="6" t="inlineStr">
        <is>
          <t>not selected</t>
        </is>
      </c>
    </row>
    <row r="2738">
      <c r="A2738" s="6" t="inlineStr">
        <is>
          <t>DJ30</t>
        </is>
      </c>
      <c r="B2738" s="6" t="inlineStr">
        <is>
          <t>2024-09-13</t>
        </is>
      </c>
      <c r="C2738" s="6" t="inlineStr">
        <is>
          <t>DIA</t>
        </is>
      </c>
      <c r="D2738" s="6" t="inlineStr">
        <is>
          <t>CVX</t>
        </is>
      </c>
      <c r="E2738" s="6" t="inlineStr">
        <is>
          <t>CVX</t>
        </is>
      </c>
      <c r="F2738" s="6" t="inlineStr">
        <is>
          <t>-</t>
        </is>
      </c>
      <c r="G2738" s="7" t="n">
        <v>130.5392913818359</v>
      </c>
      <c r="H2738" s="6">
        <f>P2707</f>
        <v/>
      </c>
      <c r="I2738" s="9">
        <f>Q2707</f>
        <v/>
      </c>
      <c r="J2738" s="7">
        <f>I2738*G2738</f>
        <v/>
      </c>
      <c r="K2738" s="8">
        <f>IF($J$2760=0,0,J2738/$J$2760)</f>
        <v/>
      </c>
      <c r="L2738" s="6" t="inlineStr">
        <is>
          <t>REJECTED</t>
        </is>
      </c>
      <c r="M2738" s="8" t="n">
        <v>0</v>
      </c>
      <c r="N2738" s="7">
        <f>M2738*$J$2760-J2738</f>
        <v/>
      </c>
      <c r="O2738" s="9">
        <f>IF(G2738=0,0,N2738/G2738)</f>
        <v/>
      </c>
      <c r="P2738" s="6">
        <f>IF(M2738&gt;0,D2738,"")</f>
        <v/>
      </c>
      <c r="Q2738" s="9">
        <f>I2738+O2738</f>
        <v/>
      </c>
      <c r="R2738" s="7">
        <f>Q2738*G2738</f>
        <v/>
      </c>
      <c r="S2738" s="8">
        <f>IF($R$2760=0,0,R2738/$R$2760)</f>
        <v/>
      </c>
      <c r="T2738" s="8" t="n">
        <v>0.0643261270516422</v>
      </c>
      <c r="U2738" s="8" t="n">
        <v>0.02588591662770456</v>
      </c>
      <c r="V2738" s="6" t="inlineStr">
        <is>
          <t>not selected</t>
        </is>
      </c>
    </row>
    <row r="2739">
      <c r="A2739" s="6" t="inlineStr">
        <is>
          <t>DJ30</t>
        </is>
      </c>
      <c r="B2739" s="6" t="inlineStr">
        <is>
          <t>2024-09-13</t>
        </is>
      </c>
      <c r="C2739" s="6" t="inlineStr">
        <is>
          <t>DIA</t>
        </is>
      </c>
      <c r="D2739" s="6" t="inlineStr">
        <is>
          <t>DIS</t>
        </is>
      </c>
      <c r="E2739" s="6" t="inlineStr">
        <is>
          <t>DIS</t>
        </is>
      </c>
      <c r="F2739" s="6" t="inlineStr">
        <is>
          <t>-</t>
        </is>
      </c>
      <c r="G2739" s="7" t="n">
        <v>89.16445922851562</v>
      </c>
      <c r="H2739" s="6">
        <f>P2708</f>
        <v/>
      </c>
      <c r="I2739" s="9">
        <f>Q2708</f>
        <v/>
      </c>
      <c r="J2739" s="7">
        <f>I2739*G2739</f>
        <v/>
      </c>
      <c r="K2739" s="8">
        <f>IF($J$2760=0,0,J2739/$J$2760)</f>
        <v/>
      </c>
      <c r="L2739" s="6" t="inlineStr">
        <is>
          <t>REJECTED</t>
        </is>
      </c>
      <c r="M2739" s="8" t="n">
        <v>0</v>
      </c>
      <c r="N2739" s="7">
        <f>M2739*$J$2760-J2739</f>
        <v/>
      </c>
      <c r="O2739" s="9">
        <f>IF(G2739=0,0,N2739/G2739)</f>
        <v/>
      </c>
      <c r="P2739" s="6">
        <f>IF(M2739&gt;0,D2739,"")</f>
        <v/>
      </c>
      <c r="Q2739" s="9">
        <f>I2739+O2739</f>
        <v/>
      </c>
      <c r="R2739" s="7">
        <f>Q2739*G2739</f>
        <v/>
      </c>
      <c r="S2739" s="8">
        <f>IF($R$2760=0,0,R2739/$R$2760)</f>
        <v/>
      </c>
      <c r="T2739" s="8" t="n">
        <v>0.0643261270516422</v>
      </c>
      <c r="U2739" s="8" t="n">
        <v>0.02588591662770456</v>
      </c>
      <c r="V2739" s="6" t="inlineStr">
        <is>
          <t>not selected</t>
        </is>
      </c>
    </row>
    <row r="2740">
      <c r="A2740" s="6" t="inlineStr">
        <is>
          <t>DJ30</t>
        </is>
      </c>
      <c r="B2740" s="6" t="inlineStr">
        <is>
          <t>2024-09-13</t>
        </is>
      </c>
      <c r="C2740" s="6" t="inlineStr">
        <is>
          <t>DIA</t>
        </is>
      </c>
      <c r="D2740" s="6" t="inlineStr">
        <is>
          <t>GS</t>
        </is>
      </c>
      <c r="E2740" s="6" t="inlineStr">
        <is>
          <t>GS</t>
        </is>
      </c>
      <c r="F2740" s="6" t="inlineStr">
        <is>
          <t>-</t>
        </is>
      </c>
      <c r="G2740" s="7" t="n">
        <v>462.6120300292969</v>
      </c>
      <c r="H2740" s="6">
        <f>P2709</f>
        <v/>
      </c>
      <c r="I2740" s="9">
        <f>Q2709</f>
        <v/>
      </c>
      <c r="J2740" s="7">
        <f>I2740*G2740</f>
        <v/>
      </c>
      <c r="K2740" s="8">
        <f>IF($J$2760=0,0,J2740/$J$2760)</f>
        <v/>
      </c>
      <c r="L2740" s="6" t="inlineStr">
        <is>
          <t>WATCHLIST</t>
        </is>
      </c>
      <c r="M2740" s="8" t="n">
        <v>0</v>
      </c>
      <c r="N2740" s="7">
        <f>M2740*$J$2760-J2740</f>
        <v/>
      </c>
      <c r="O2740" s="9">
        <f>IF(G2740=0,0,N2740/G2740)</f>
        <v/>
      </c>
      <c r="P2740" s="6">
        <f>IF(M2740&gt;0,D2740,"")</f>
        <v/>
      </c>
      <c r="Q2740" s="9">
        <f>I2740+O2740</f>
        <v/>
      </c>
      <c r="R2740" s="7">
        <f>Q2740*G2740</f>
        <v/>
      </c>
      <c r="S2740" s="8">
        <f>IF($R$2760=0,0,R2740/$R$2760)</f>
        <v/>
      </c>
      <c r="T2740" s="8" t="n">
        <v>0.0643261270516422</v>
      </c>
      <c r="U2740" s="8" t="n">
        <v>0.02588591662770456</v>
      </c>
      <c r="V2740" s="6" t="inlineStr">
        <is>
          <t>not selected</t>
        </is>
      </c>
    </row>
    <row r="2741">
      <c r="A2741" s="6" t="inlineStr">
        <is>
          <t>DJ30</t>
        </is>
      </c>
      <c r="B2741" s="6" t="inlineStr">
        <is>
          <t>2024-09-13</t>
        </is>
      </c>
      <c r="C2741" s="6" t="inlineStr">
        <is>
          <t>DIA</t>
        </is>
      </c>
      <c r="D2741" s="6" t="inlineStr">
        <is>
          <t>HD</t>
        </is>
      </c>
      <c r="E2741" s="6" t="inlineStr">
        <is>
          <t>HD</t>
        </is>
      </c>
      <c r="F2741" s="6" t="inlineStr">
        <is>
          <t>-</t>
        </is>
      </c>
      <c r="G2741" s="7" t="n">
        <v>363.6279296875</v>
      </c>
      <c r="H2741" s="6">
        <f>P2710</f>
        <v/>
      </c>
      <c r="I2741" s="9">
        <f>Q2710</f>
        <v/>
      </c>
      <c r="J2741" s="7">
        <f>I2741*G2741</f>
        <v/>
      </c>
      <c r="K2741" s="8">
        <f>IF($J$2760=0,0,J2741/$J$2760)</f>
        <v/>
      </c>
      <c r="L2741" s="6" t="inlineStr">
        <is>
          <t>WATCHLIST</t>
        </is>
      </c>
      <c r="M2741" s="8" t="n">
        <v>0</v>
      </c>
      <c r="N2741" s="7">
        <f>M2741*$J$2760-J2741</f>
        <v/>
      </c>
      <c r="O2741" s="9">
        <f>IF(G2741=0,0,N2741/G2741)</f>
        <v/>
      </c>
      <c r="P2741" s="6">
        <f>IF(M2741&gt;0,D2741,"")</f>
        <v/>
      </c>
      <c r="Q2741" s="9">
        <f>I2741+O2741</f>
        <v/>
      </c>
      <c r="R2741" s="7">
        <f>Q2741*G2741</f>
        <v/>
      </c>
      <c r="S2741" s="8">
        <f>IF($R$2760=0,0,R2741/$R$2760)</f>
        <v/>
      </c>
      <c r="T2741" s="8" t="n">
        <v>0.0643261270516422</v>
      </c>
      <c r="U2741" s="8" t="n">
        <v>0.02588591662770456</v>
      </c>
      <c r="V2741" s="6" t="inlineStr">
        <is>
          <t>not selected</t>
        </is>
      </c>
    </row>
    <row r="2742">
      <c r="A2742" s="6" t="inlineStr">
        <is>
          <t>DJ30</t>
        </is>
      </c>
      <c r="B2742" s="6" t="inlineStr">
        <is>
          <t>2024-09-13</t>
        </is>
      </c>
      <c r="C2742" s="6" t="inlineStr">
        <is>
          <t>DIA</t>
        </is>
      </c>
      <c r="D2742" s="6" t="inlineStr">
        <is>
          <t>HON</t>
        </is>
      </c>
      <c r="E2742" s="6" t="inlineStr">
        <is>
          <t>HON</t>
        </is>
      </c>
      <c r="F2742" s="6" t="inlineStr">
        <is>
          <t>-</t>
        </is>
      </c>
      <c r="G2742" s="7" t="n">
        <v>185.4344024658203</v>
      </c>
      <c r="H2742" s="6">
        <f>P2711</f>
        <v/>
      </c>
      <c r="I2742" s="9">
        <f>Q2711</f>
        <v/>
      </c>
      <c r="J2742" s="7">
        <f>I2742*G2742</f>
        <v/>
      </c>
      <c r="K2742" s="8">
        <f>IF($J$2760=0,0,J2742/$J$2760)</f>
        <v/>
      </c>
      <c r="L2742" s="6" t="inlineStr">
        <is>
          <t>WATCHLIST</t>
        </is>
      </c>
      <c r="M2742" s="8" t="n">
        <v>0</v>
      </c>
      <c r="N2742" s="7">
        <f>M2742*$J$2760-J2742</f>
        <v/>
      </c>
      <c r="O2742" s="9">
        <f>IF(G2742=0,0,N2742/G2742)</f>
        <v/>
      </c>
      <c r="P2742" s="6">
        <f>IF(M2742&gt;0,D2742,"")</f>
        <v/>
      </c>
      <c r="Q2742" s="9">
        <f>I2742+O2742</f>
        <v/>
      </c>
      <c r="R2742" s="7">
        <f>Q2742*G2742</f>
        <v/>
      </c>
      <c r="S2742" s="8">
        <f>IF($R$2760=0,0,R2742/$R$2760)</f>
        <v/>
      </c>
      <c r="T2742" s="8" t="n">
        <v>0.0643261270516422</v>
      </c>
      <c r="U2742" s="8" t="n">
        <v>0.02588591662770456</v>
      </c>
      <c r="V2742" s="6" t="inlineStr">
        <is>
          <t>not selected</t>
        </is>
      </c>
    </row>
    <row r="2743">
      <c r="A2743" s="6" t="inlineStr">
        <is>
          <t>DJ30</t>
        </is>
      </c>
      <c r="B2743" s="6" t="inlineStr">
        <is>
          <t>2024-09-13</t>
        </is>
      </c>
      <c r="C2743" s="6" t="inlineStr">
        <is>
          <t>DIA</t>
        </is>
      </c>
      <c r="D2743" s="6" t="inlineStr">
        <is>
          <t>IBM</t>
        </is>
      </c>
      <c r="E2743" s="6" t="inlineStr">
        <is>
          <t>IBM</t>
        </is>
      </c>
      <c r="F2743" s="6" t="inlineStr">
        <is>
          <t>-</t>
        </is>
      </c>
      <c r="G2743" s="7" t="n">
        <v>205.0559539794922</v>
      </c>
      <c r="H2743" s="6">
        <f>P2712</f>
        <v/>
      </c>
      <c r="I2743" s="9">
        <f>Q2712</f>
        <v/>
      </c>
      <c r="J2743" s="7">
        <f>I2743*G2743</f>
        <v/>
      </c>
      <c r="K2743" s="8">
        <f>IF($J$2760=0,0,J2743/$J$2760)</f>
        <v/>
      </c>
      <c r="L2743" s="6" t="inlineStr">
        <is>
          <t>SELECTED</t>
        </is>
      </c>
      <c r="M2743" s="8" t="n">
        <v>0.2</v>
      </c>
      <c r="N2743" s="7">
        <f>M2743*$J$2760-J2743</f>
        <v/>
      </c>
      <c r="O2743" s="9">
        <f>IF(G2743=0,0,N2743/G2743)</f>
        <v/>
      </c>
      <c r="P2743" s="6">
        <f>IF(M2743&gt;0,D2743,"")</f>
        <v/>
      </c>
      <c r="Q2743" s="9">
        <f>I2743+O2743</f>
        <v/>
      </c>
      <c r="R2743" s="7">
        <f>Q2743*G2743</f>
        <v/>
      </c>
      <c r="S2743" s="8">
        <f>IF($R$2760=0,0,R2743/$R$2760)</f>
        <v/>
      </c>
      <c r="T2743" s="8" t="n">
        <v>0.0643261270516422</v>
      </c>
      <c r="U2743" s="8" t="n">
        <v>0.02588591662770456</v>
      </c>
      <c r="V2743" s="6" t="inlineStr">
        <is>
          <t>entered weekly selection</t>
        </is>
      </c>
    </row>
    <row r="2744">
      <c r="A2744" s="6" t="inlineStr">
        <is>
          <t>DJ30</t>
        </is>
      </c>
      <c r="B2744" s="6" t="inlineStr">
        <is>
          <t>2024-09-13</t>
        </is>
      </c>
      <c r="C2744" s="6" t="inlineStr">
        <is>
          <t>DIA</t>
        </is>
      </c>
      <c r="D2744" s="6" t="inlineStr">
        <is>
          <t>JNJ</t>
        </is>
      </c>
      <c r="E2744" s="6" t="inlineStr">
        <is>
          <t>JNJ</t>
        </is>
      </c>
      <c r="F2744" s="6" t="inlineStr">
        <is>
          <t>-</t>
        </is>
      </c>
      <c r="G2744" s="7" t="n">
        <v>157.57666015625</v>
      </c>
      <c r="H2744" s="6">
        <f>P2713</f>
        <v/>
      </c>
      <c r="I2744" s="9">
        <f>Q2713</f>
        <v/>
      </c>
      <c r="J2744" s="7">
        <f>I2744*G2744</f>
        <v/>
      </c>
      <c r="K2744" s="8">
        <f>IF($J$2760=0,0,J2744/$J$2760)</f>
        <v/>
      </c>
      <c r="L2744" s="6" t="inlineStr">
        <is>
          <t>REJECTED</t>
        </is>
      </c>
      <c r="M2744" s="8" t="n">
        <v>0</v>
      </c>
      <c r="N2744" s="7">
        <f>M2744*$J$2760-J2744</f>
        <v/>
      </c>
      <c r="O2744" s="9">
        <f>IF(G2744=0,0,N2744/G2744)</f>
        <v/>
      </c>
      <c r="P2744" s="6">
        <f>IF(M2744&gt;0,D2744,"")</f>
        <v/>
      </c>
      <c r="Q2744" s="9">
        <f>I2744+O2744</f>
        <v/>
      </c>
      <c r="R2744" s="7">
        <f>Q2744*G2744</f>
        <v/>
      </c>
      <c r="S2744" s="8">
        <f>IF($R$2760=0,0,R2744/$R$2760)</f>
        <v/>
      </c>
      <c r="T2744" s="8" t="n">
        <v>0.0643261270516422</v>
      </c>
      <c r="U2744" s="8" t="n">
        <v>0.02588591662770456</v>
      </c>
      <c r="V2744" s="6" t="inlineStr">
        <is>
          <t>not selected</t>
        </is>
      </c>
    </row>
    <row r="2745">
      <c r="A2745" s="6" t="inlineStr">
        <is>
          <t>DJ30</t>
        </is>
      </c>
      <c r="B2745" s="6" t="inlineStr">
        <is>
          <t>2024-09-13</t>
        </is>
      </c>
      <c r="C2745" s="6" t="inlineStr">
        <is>
          <t>DIA</t>
        </is>
      </c>
      <c r="D2745" s="6" t="inlineStr">
        <is>
          <t>JPM</t>
        </is>
      </c>
      <c r="E2745" s="6" t="inlineStr">
        <is>
          <t>JPM</t>
        </is>
      </c>
      <c r="F2745" s="6" t="inlineStr">
        <is>
          <t>-</t>
        </is>
      </c>
      <c r="G2745" s="7" t="n">
        <v>196.9647827148437</v>
      </c>
      <c r="H2745" s="6">
        <f>P2714</f>
        <v/>
      </c>
      <c r="I2745" s="9">
        <f>Q2714</f>
        <v/>
      </c>
      <c r="J2745" s="7">
        <f>I2745*G2745</f>
        <v/>
      </c>
      <c r="K2745" s="8">
        <f>IF($J$2760=0,0,J2745/$J$2760)</f>
        <v/>
      </c>
      <c r="L2745" s="6" t="inlineStr">
        <is>
          <t>WATCHLIST</t>
        </is>
      </c>
      <c r="M2745" s="8" t="n">
        <v>0</v>
      </c>
      <c r="N2745" s="7">
        <f>M2745*$J$2760-J2745</f>
        <v/>
      </c>
      <c r="O2745" s="9">
        <f>IF(G2745=0,0,N2745/G2745)</f>
        <v/>
      </c>
      <c r="P2745" s="6">
        <f>IF(M2745&gt;0,D2745,"")</f>
        <v/>
      </c>
      <c r="Q2745" s="9">
        <f>I2745+O2745</f>
        <v/>
      </c>
      <c r="R2745" s="7">
        <f>Q2745*G2745</f>
        <v/>
      </c>
      <c r="S2745" s="8">
        <f>IF($R$2760=0,0,R2745/$R$2760)</f>
        <v/>
      </c>
      <c r="T2745" s="8" t="n">
        <v>0.0643261270516422</v>
      </c>
      <c r="U2745" s="8" t="n">
        <v>0.02588591662770456</v>
      </c>
      <c r="V2745" s="6" t="inlineStr">
        <is>
          <t>not selected</t>
        </is>
      </c>
    </row>
    <row r="2746">
      <c r="A2746" s="6" t="inlineStr">
        <is>
          <t>DJ30</t>
        </is>
      </c>
      <c r="B2746" s="6" t="inlineStr">
        <is>
          <t>2024-09-13</t>
        </is>
      </c>
      <c r="C2746" s="6" t="inlineStr">
        <is>
          <t>DIA</t>
        </is>
      </c>
      <c r="D2746" s="6" t="inlineStr">
        <is>
          <t>KO</t>
        </is>
      </c>
      <c r="E2746" s="6" t="inlineStr">
        <is>
          <t>KO</t>
        </is>
      </c>
      <c r="F2746" s="6" t="inlineStr">
        <is>
          <t>-</t>
        </is>
      </c>
      <c r="G2746" s="7" t="n">
        <v>67.93270874023438</v>
      </c>
      <c r="H2746" s="6">
        <f>P2715</f>
        <v/>
      </c>
      <c r="I2746" s="9">
        <f>Q2715</f>
        <v/>
      </c>
      <c r="J2746" s="7">
        <f>I2746*G2746</f>
        <v/>
      </c>
      <c r="K2746" s="8">
        <f>IF($J$2760=0,0,J2746/$J$2760)</f>
        <v/>
      </c>
      <c r="L2746" s="6" t="inlineStr">
        <is>
          <t>SELECTED</t>
        </is>
      </c>
      <c r="M2746" s="8" t="n">
        <v>0.2</v>
      </c>
      <c r="N2746" s="7">
        <f>M2746*$J$2760-J2746</f>
        <v/>
      </c>
      <c r="O2746" s="9">
        <f>IF(G2746=0,0,N2746/G2746)</f>
        <v/>
      </c>
      <c r="P2746" s="6">
        <f>IF(M2746&gt;0,D2746,"")</f>
        <v/>
      </c>
      <c r="Q2746" s="9">
        <f>I2746+O2746</f>
        <v/>
      </c>
      <c r="R2746" s="7">
        <f>Q2746*G2746</f>
        <v/>
      </c>
      <c r="S2746" s="8">
        <f>IF($R$2760=0,0,R2746/$R$2760)</f>
        <v/>
      </c>
      <c r="T2746" s="8" t="n">
        <v>0.0643261270516422</v>
      </c>
      <c r="U2746" s="8" t="n">
        <v>0.02588591662770456</v>
      </c>
      <c r="V2746" s="6" t="inlineStr">
        <is>
          <t>entered weekly selection</t>
        </is>
      </c>
    </row>
    <row r="2747">
      <c r="A2747" s="6" t="inlineStr">
        <is>
          <t>DJ30</t>
        </is>
      </c>
      <c r="B2747" s="6" t="inlineStr">
        <is>
          <t>2024-09-13</t>
        </is>
      </c>
      <c r="C2747" s="6" t="inlineStr">
        <is>
          <t>DIA</t>
        </is>
      </c>
      <c r="D2747" s="6" t="inlineStr">
        <is>
          <t>MCD</t>
        </is>
      </c>
      <c r="E2747" s="6" t="inlineStr">
        <is>
          <t>MCD</t>
        </is>
      </c>
      <c r="F2747" s="6" t="inlineStr">
        <is>
          <t>-</t>
        </is>
      </c>
      <c r="G2747" s="7" t="n">
        <v>284.5088195800781</v>
      </c>
      <c r="H2747" s="6">
        <f>P2716</f>
        <v/>
      </c>
      <c r="I2747" s="9">
        <f>Q2716</f>
        <v/>
      </c>
      <c r="J2747" s="7">
        <f>I2747*G2747</f>
        <v/>
      </c>
      <c r="K2747" s="8">
        <f>IF($J$2760=0,0,J2747/$J$2760)</f>
        <v/>
      </c>
      <c r="L2747" s="6" t="inlineStr">
        <is>
          <t>REJECTED</t>
        </is>
      </c>
      <c r="M2747" s="8" t="n">
        <v>0</v>
      </c>
      <c r="N2747" s="7">
        <f>M2747*$J$2760-J2747</f>
        <v/>
      </c>
      <c r="O2747" s="9">
        <f>IF(G2747=0,0,N2747/G2747)</f>
        <v/>
      </c>
      <c r="P2747" s="6">
        <f>IF(M2747&gt;0,D2747,"")</f>
        <v/>
      </c>
      <c r="Q2747" s="9">
        <f>I2747+O2747</f>
        <v/>
      </c>
      <c r="R2747" s="7">
        <f>Q2747*G2747</f>
        <v/>
      </c>
      <c r="S2747" s="8">
        <f>IF($R$2760=0,0,R2747/$R$2760)</f>
        <v/>
      </c>
      <c r="T2747" s="8" t="n">
        <v>0.0643261270516422</v>
      </c>
      <c r="U2747" s="8" t="n">
        <v>0.02588591662770456</v>
      </c>
      <c r="V2747" s="6" t="inlineStr">
        <is>
          <t>not selected</t>
        </is>
      </c>
    </row>
    <row r="2748">
      <c r="A2748" s="6" t="inlineStr">
        <is>
          <t>DJ30</t>
        </is>
      </c>
      <c r="B2748" s="6" t="inlineStr">
        <is>
          <t>2024-09-13</t>
        </is>
      </c>
      <c r="C2748" s="6" t="inlineStr">
        <is>
          <t>DIA</t>
        </is>
      </c>
      <c r="D2748" s="6" t="inlineStr">
        <is>
          <t>MMM</t>
        </is>
      </c>
      <c r="E2748" s="6" t="inlineStr">
        <is>
          <t>MMM</t>
        </is>
      </c>
      <c r="F2748" s="6" t="inlineStr">
        <is>
          <t>-</t>
        </is>
      </c>
      <c r="G2748" s="7" t="n">
        <v>128.7738800048828</v>
      </c>
      <c r="H2748" s="6">
        <f>P2717</f>
        <v/>
      </c>
      <c r="I2748" s="9">
        <f>Q2717</f>
        <v/>
      </c>
      <c r="J2748" s="7">
        <f>I2748*G2748</f>
        <v/>
      </c>
      <c r="K2748" s="8">
        <f>IF($J$2760=0,0,J2748/$J$2760)</f>
        <v/>
      </c>
      <c r="L2748" s="6" t="inlineStr">
        <is>
          <t>SELECTED</t>
        </is>
      </c>
      <c r="M2748" s="8" t="n">
        <v>0.2</v>
      </c>
      <c r="N2748" s="7">
        <f>M2748*$J$2760-J2748</f>
        <v/>
      </c>
      <c r="O2748" s="9">
        <f>IF(G2748=0,0,N2748/G2748)</f>
        <v/>
      </c>
      <c r="P2748" s="6">
        <f>IF(M2748&gt;0,D2748,"")</f>
        <v/>
      </c>
      <c r="Q2748" s="9">
        <f>I2748+O2748</f>
        <v/>
      </c>
      <c r="R2748" s="7">
        <f>Q2748*G2748</f>
        <v/>
      </c>
      <c r="S2748" s="8">
        <f>IF($R$2760=0,0,R2748/$R$2760)</f>
        <v/>
      </c>
      <c r="T2748" s="8" t="n">
        <v>0.0643261270516422</v>
      </c>
      <c r="U2748" s="8" t="n">
        <v>0.02588591662770456</v>
      </c>
      <c r="V2748" s="6" t="inlineStr">
        <is>
          <t>remained in weekly selection</t>
        </is>
      </c>
    </row>
    <row r="2749">
      <c r="A2749" s="6" t="inlineStr">
        <is>
          <t>DJ30</t>
        </is>
      </c>
      <c r="B2749" s="6" t="inlineStr">
        <is>
          <t>2024-09-13</t>
        </is>
      </c>
      <c r="C2749" s="6" t="inlineStr">
        <is>
          <t>DIA</t>
        </is>
      </c>
      <c r="D2749" s="6" t="inlineStr">
        <is>
          <t>MRK</t>
        </is>
      </c>
      <c r="E2749" s="6" t="inlineStr">
        <is>
          <t>MRK</t>
        </is>
      </c>
      <c r="F2749" s="6" t="inlineStr">
        <is>
          <t>-</t>
        </is>
      </c>
      <c r="G2749" s="7" t="n">
        <v>108.4502716064453</v>
      </c>
      <c r="H2749" s="6">
        <f>P2718</f>
        <v/>
      </c>
      <c r="I2749" s="9">
        <f>Q2718</f>
        <v/>
      </c>
      <c r="J2749" s="7">
        <f>I2749*G2749</f>
        <v/>
      </c>
      <c r="K2749" s="8">
        <f>IF($J$2760=0,0,J2749/$J$2760)</f>
        <v/>
      </c>
      <c r="L2749" s="6" t="inlineStr">
        <is>
          <t>WATCHLIST</t>
        </is>
      </c>
      <c r="M2749" s="8" t="n">
        <v>0</v>
      </c>
      <c r="N2749" s="7">
        <f>M2749*$J$2760-J2749</f>
        <v/>
      </c>
      <c r="O2749" s="9">
        <f>IF(G2749=0,0,N2749/G2749)</f>
        <v/>
      </c>
      <c r="P2749" s="6">
        <f>IF(M2749&gt;0,D2749,"")</f>
        <v/>
      </c>
      <c r="Q2749" s="9">
        <f>I2749+O2749</f>
        <v/>
      </c>
      <c r="R2749" s="7">
        <f>Q2749*G2749</f>
        <v/>
      </c>
      <c r="S2749" s="8">
        <f>IF($R$2760=0,0,R2749/$R$2760)</f>
        <v/>
      </c>
      <c r="T2749" s="8" t="n">
        <v>0.0643261270516422</v>
      </c>
      <c r="U2749" s="8" t="n">
        <v>0.02588591662770456</v>
      </c>
      <c r="V2749" s="6" t="inlineStr">
        <is>
          <t>not selected</t>
        </is>
      </c>
    </row>
    <row r="2750">
      <c r="A2750" s="6" t="inlineStr">
        <is>
          <t>DJ30</t>
        </is>
      </c>
      <c r="B2750" s="6" t="inlineStr">
        <is>
          <t>2024-09-13</t>
        </is>
      </c>
      <c r="C2750" s="6" t="inlineStr">
        <is>
          <t>DIA</t>
        </is>
      </c>
      <c r="D2750" s="6" t="inlineStr">
        <is>
          <t>MSFT</t>
        </is>
      </c>
      <c r="E2750" s="6" t="inlineStr">
        <is>
          <t>MSFT</t>
        </is>
      </c>
      <c r="F2750" s="6" t="inlineStr">
        <is>
          <t>-</t>
        </is>
      </c>
      <c r="G2750" s="7" t="n">
        <v>424.6917419433594</v>
      </c>
      <c r="H2750" s="6">
        <f>P2719</f>
        <v/>
      </c>
      <c r="I2750" s="9">
        <f>Q2719</f>
        <v/>
      </c>
      <c r="J2750" s="7">
        <f>I2750*G2750</f>
        <v/>
      </c>
      <c r="K2750" s="8">
        <f>IF($J$2760=0,0,J2750/$J$2760)</f>
        <v/>
      </c>
      <c r="L2750" s="6" t="inlineStr">
        <is>
          <t>WATCHLIST</t>
        </is>
      </c>
      <c r="M2750" s="8" t="n">
        <v>0</v>
      </c>
      <c r="N2750" s="7">
        <f>M2750*$J$2760-J2750</f>
        <v/>
      </c>
      <c r="O2750" s="9">
        <f>IF(G2750=0,0,N2750/G2750)</f>
        <v/>
      </c>
      <c r="P2750" s="6">
        <f>IF(M2750&gt;0,D2750,"")</f>
        <v/>
      </c>
      <c r="Q2750" s="9">
        <f>I2750+O2750</f>
        <v/>
      </c>
      <c r="R2750" s="7">
        <f>Q2750*G2750</f>
        <v/>
      </c>
      <c r="S2750" s="8">
        <f>IF($R$2760=0,0,R2750/$R$2760)</f>
        <v/>
      </c>
      <c r="T2750" s="8" t="n">
        <v>0.0643261270516422</v>
      </c>
      <c r="U2750" s="8" t="n">
        <v>0.02588591662770456</v>
      </c>
      <c r="V2750" s="6" t="inlineStr">
        <is>
          <t>not selected</t>
        </is>
      </c>
    </row>
    <row r="2751">
      <c r="A2751" s="6" t="inlineStr">
        <is>
          <t>DJ30</t>
        </is>
      </c>
      <c r="B2751" s="6" t="inlineStr">
        <is>
          <t>2024-09-13</t>
        </is>
      </c>
      <c r="C2751" s="6" t="inlineStr">
        <is>
          <t>DIA</t>
        </is>
      </c>
      <c r="D2751" s="6" t="inlineStr">
        <is>
          <t>NKE</t>
        </is>
      </c>
      <c r="E2751" s="6" t="inlineStr">
        <is>
          <t>NKE</t>
        </is>
      </c>
      <c r="F2751" s="6" t="inlineStr">
        <is>
          <t>-</t>
        </is>
      </c>
      <c r="G2751" s="7" t="n">
        <v>75.62144470214844</v>
      </c>
      <c r="H2751" s="6">
        <f>P2720</f>
        <v/>
      </c>
      <c r="I2751" s="9">
        <f>Q2720</f>
        <v/>
      </c>
      <c r="J2751" s="7">
        <f>I2751*G2751</f>
        <v/>
      </c>
      <c r="K2751" s="8">
        <f>IF($J$2760=0,0,J2751/$J$2760)</f>
        <v/>
      </c>
      <c r="L2751" s="6" t="inlineStr">
        <is>
          <t>REJECTED</t>
        </is>
      </c>
      <c r="M2751" s="8" t="n">
        <v>0</v>
      </c>
      <c r="N2751" s="7">
        <f>M2751*$J$2760-J2751</f>
        <v/>
      </c>
      <c r="O2751" s="9">
        <f>IF(G2751=0,0,N2751/G2751)</f>
        <v/>
      </c>
      <c r="P2751" s="6">
        <f>IF(M2751&gt;0,D2751,"")</f>
        <v/>
      </c>
      <c r="Q2751" s="9">
        <f>I2751+O2751</f>
        <v/>
      </c>
      <c r="R2751" s="7">
        <f>Q2751*G2751</f>
        <v/>
      </c>
      <c r="S2751" s="8">
        <f>IF($R$2760=0,0,R2751/$R$2760)</f>
        <v/>
      </c>
      <c r="T2751" s="8" t="n">
        <v>0.0643261270516422</v>
      </c>
      <c r="U2751" s="8" t="n">
        <v>0.02588591662770456</v>
      </c>
      <c r="V2751" s="6" t="inlineStr">
        <is>
          <t>not selected</t>
        </is>
      </c>
    </row>
    <row r="2752">
      <c r="A2752" s="6" t="inlineStr">
        <is>
          <t>DJ30</t>
        </is>
      </c>
      <c r="B2752" s="6" t="inlineStr">
        <is>
          <t>2024-09-13</t>
        </is>
      </c>
      <c r="C2752" s="6" t="inlineStr">
        <is>
          <t>DIA</t>
        </is>
      </c>
      <c r="D2752" s="6" t="inlineStr">
        <is>
          <t>NVDA</t>
        </is>
      </c>
      <c r="E2752" s="6" t="inlineStr">
        <is>
          <t>NVDA</t>
        </is>
      </c>
      <c r="F2752" s="6" t="inlineStr">
        <is>
          <t>-</t>
        </is>
      </c>
      <c r="G2752" s="7" t="n">
        <v>118.9141845703125</v>
      </c>
      <c r="H2752" s="6">
        <f>P2721</f>
        <v/>
      </c>
      <c r="I2752" s="9">
        <f>Q2721</f>
        <v/>
      </c>
      <c r="J2752" s="7">
        <f>I2752*G2752</f>
        <v/>
      </c>
      <c r="K2752" s="8">
        <f>IF($J$2760=0,0,J2752/$J$2760)</f>
        <v/>
      </c>
      <c r="L2752" s="6" t="inlineStr">
        <is>
          <t>SELECTED</t>
        </is>
      </c>
      <c r="M2752" s="8" t="n">
        <v>0.2</v>
      </c>
      <c r="N2752" s="7">
        <f>M2752*$J$2760-J2752</f>
        <v/>
      </c>
      <c r="O2752" s="9">
        <f>IF(G2752=0,0,N2752/G2752)</f>
        <v/>
      </c>
      <c r="P2752" s="6">
        <f>IF(M2752&gt;0,D2752,"")</f>
        <v/>
      </c>
      <c r="Q2752" s="9">
        <f>I2752+O2752</f>
        <v/>
      </c>
      <c r="R2752" s="7">
        <f>Q2752*G2752</f>
        <v/>
      </c>
      <c r="S2752" s="8">
        <f>IF($R$2760=0,0,R2752/$R$2760)</f>
        <v/>
      </c>
      <c r="T2752" s="8" t="n">
        <v>0.0643261270516422</v>
      </c>
      <c r="U2752" s="8" t="n">
        <v>0.02588591662770456</v>
      </c>
      <c r="V2752" s="6" t="inlineStr">
        <is>
          <t>remained in weekly selection</t>
        </is>
      </c>
    </row>
    <row r="2753">
      <c r="A2753" s="6" t="inlineStr">
        <is>
          <t>DJ30</t>
        </is>
      </c>
      <c r="B2753" s="6" t="inlineStr">
        <is>
          <t>2024-09-13</t>
        </is>
      </c>
      <c r="C2753" s="6" t="inlineStr">
        <is>
          <t>DIA</t>
        </is>
      </c>
      <c r="D2753" s="6" t="inlineStr">
        <is>
          <t>PG</t>
        </is>
      </c>
      <c r="E2753" s="6" t="inlineStr">
        <is>
          <t>PG</t>
        </is>
      </c>
      <c r="F2753" s="6" t="inlineStr">
        <is>
          <t>-</t>
        </is>
      </c>
      <c r="G2753" s="7" t="n">
        <v>166.1679077148438</v>
      </c>
      <c r="H2753" s="6">
        <f>P2722</f>
        <v/>
      </c>
      <c r="I2753" s="9">
        <f>Q2722</f>
        <v/>
      </c>
      <c r="J2753" s="7">
        <f>I2753*G2753</f>
        <v/>
      </c>
      <c r="K2753" s="8">
        <f>IF($J$2760=0,0,J2753/$J$2760)</f>
        <v/>
      </c>
      <c r="L2753" s="6" t="inlineStr">
        <is>
          <t>WATCHLIST</t>
        </is>
      </c>
      <c r="M2753" s="8" t="n">
        <v>0</v>
      </c>
      <c r="N2753" s="7">
        <f>M2753*$J$2760-J2753</f>
        <v/>
      </c>
      <c r="O2753" s="9">
        <f>IF(G2753=0,0,N2753/G2753)</f>
        <v/>
      </c>
      <c r="P2753" s="6">
        <f>IF(M2753&gt;0,D2753,"")</f>
        <v/>
      </c>
      <c r="Q2753" s="9">
        <f>I2753+O2753</f>
        <v/>
      </c>
      <c r="R2753" s="7">
        <f>Q2753*G2753</f>
        <v/>
      </c>
      <c r="S2753" s="8">
        <f>IF($R$2760=0,0,R2753/$R$2760)</f>
        <v/>
      </c>
      <c r="T2753" s="8" t="n">
        <v>0.0643261270516422</v>
      </c>
      <c r="U2753" s="8" t="n">
        <v>0.02588591662770456</v>
      </c>
      <c r="V2753" s="6" t="inlineStr">
        <is>
          <t>not selected</t>
        </is>
      </c>
    </row>
    <row r="2754">
      <c r="A2754" s="6" t="inlineStr">
        <is>
          <t>DJ30</t>
        </is>
      </c>
      <c r="B2754" s="6" t="inlineStr">
        <is>
          <t>2024-09-13</t>
        </is>
      </c>
      <c r="C2754" s="6" t="inlineStr">
        <is>
          <t>DIA</t>
        </is>
      </c>
      <c r="D2754" s="6" t="inlineStr">
        <is>
          <t>SHW</t>
        </is>
      </c>
      <c r="E2754" s="6" t="inlineStr">
        <is>
          <t>SHW</t>
        </is>
      </c>
      <c r="F2754" s="6" t="inlineStr">
        <is>
          <t>-</t>
        </is>
      </c>
      <c r="G2754" s="7" t="n">
        <v>369.6227416992188</v>
      </c>
      <c r="H2754" s="6">
        <f>P2723</f>
        <v/>
      </c>
      <c r="I2754" s="9">
        <f>Q2723</f>
        <v/>
      </c>
      <c r="J2754" s="7">
        <f>I2754*G2754</f>
        <v/>
      </c>
      <c r="K2754" s="8">
        <f>IF($J$2760=0,0,J2754/$J$2760)</f>
        <v/>
      </c>
      <c r="L2754" s="6" t="inlineStr">
        <is>
          <t>WATCHLIST</t>
        </is>
      </c>
      <c r="M2754" s="8" t="n">
        <v>0</v>
      </c>
      <c r="N2754" s="7">
        <f>M2754*$J$2760-J2754</f>
        <v/>
      </c>
      <c r="O2754" s="9">
        <f>IF(G2754=0,0,N2754/G2754)</f>
        <v/>
      </c>
      <c r="P2754" s="6">
        <f>IF(M2754&gt;0,D2754,"")</f>
        <v/>
      </c>
      <c r="Q2754" s="9">
        <f>I2754+O2754</f>
        <v/>
      </c>
      <c r="R2754" s="7">
        <f>Q2754*G2754</f>
        <v/>
      </c>
      <c r="S2754" s="8">
        <f>IF($R$2760=0,0,R2754/$R$2760)</f>
        <v/>
      </c>
      <c r="T2754" s="8" t="n">
        <v>0.0643261270516422</v>
      </c>
      <c r="U2754" s="8" t="n">
        <v>0.02588591662770456</v>
      </c>
      <c r="V2754" s="6" t="inlineStr">
        <is>
          <t>not selected</t>
        </is>
      </c>
    </row>
    <row r="2755">
      <c r="A2755" s="6" t="inlineStr">
        <is>
          <t>DJ30</t>
        </is>
      </c>
      <c r="B2755" s="6" t="inlineStr">
        <is>
          <t>2024-09-13</t>
        </is>
      </c>
      <c r="C2755" s="6" t="inlineStr">
        <is>
          <t>DIA</t>
        </is>
      </c>
      <c r="D2755" s="6" t="inlineStr">
        <is>
          <t>TRV</t>
        </is>
      </c>
      <c r="E2755" s="6" t="inlineStr">
        <is>
          <t>TRV</t>
        </is>
      </c>
      <c r="F2755" s="6" t="inlineStr">
        <is>
          <t>-</t>
        </is>
      </c>
      <c r="G2755" s="7" t="n">
        <v>231.2261505126953</v>
      </c>
      <c r="H2755" s="6">
        <f>P2724</f>
        <v/>
      </c>
      <c r="I2755" s="9">
        <f>Q2724</f>
        <v/>
      </c>
      <c r="J2755" s="7">
        <f>I2755*G2755</f>
        <v/>
      </c>
      <c r="K2755" s="8">
        <f>IF($J$2760=0,0,J2755/$J$2760)</f>
        <v/>
      </c>
      <c r="L2755" s="6" t="inlineStr">
        <is>
          <t>WATCHLIST</t>
        </is>
      </c>
      <c r="M2755" s="8" t="n">
        <v>0</v>
      </c>
      <c r="N2755" s="7">
        <f>M2755*$J$2760-J2755</f>
        <v/>
      </c>
      <c r="O2755" s="9">
        <f>IF(G2755=0,0,N2755/G2755)</f>
        <v/>
      </c>
      <c r="P2755" s="6">
        <f>IF(M2755&gt;0,D2755,"")</f>
        <v/>
      </c>
      <c r="Q2755" s="9">
        <f>I2755+O2755</f>
        <v/>
      </c>
      <c r="R2755" s="7">
        <f>Q2755*G2755</f>
        <v/>
      </c>
      <c r="S2755" s="8">
        <f>IF($R$2760=0,0,R2755/$R$2760)</f>
        <v/>
      </c>
      <c r="T2755" s="8" t="n">
        <v>0.0643261270516422</v>
      </c>
      <c r="U2755" s="8" t="n">
        <v>0.02588591662770456</v>
      </c>
      <c r="V2755" s="6" t="inlineStr">
        <is>
          <t>removed from weekly selection</t>
        </is>
      </c>
    </row>
    <row r="2756">
      <c r="A2756" s="6" t="inlineStr">
        <is>
          <t>DJ30</t>
        </is>
      </c>
      <c r="B2756" s="6" t="inlineStr">
        <is>
          <t>2024-09-13</t>
        </is>
      </c>
      <c r="C2756" s="6" t="inlineStr">
        <is>
          <t>DIA</t>
        </is>
      </c>
      <c r="D2756" s="6" t="inlineStr">
        <is>
          <t>UNH</t>
        </is>
      </c>
      <c r="E2756" s="6" t="inlineStr">
        <is>
          <t>UNH</t>
        </is>
      </c>
      <c r="F2756" s="6" t="inlineStr">
        <is>
          <t>-</t>
        </is>
      </c>
      <c r="G2756" s="7" t="n">
        <v>568.0913696289062</v>
      </c>
      <c r="H2756" s="6">
        <f>P2725</f>
        <v/>
      </c>
      <c r="I2756" s="9">
        <f>Q2725</f>
        <v/>
      </c>
      <c r="J2756" s="7">
        <f>I2756*G2756</f>
        <v/>
      </c>
      <c r="K2756" s="8">
        <f>IF($J$2760=0,0,J2756/$J$2760)</f>
        <v/>
      </c>
      <c r="L2756" s="6" t="inlineStr">
        <is>
          <t>REJECTED</t>
        </is>
      </c>
      <c r="M2756" s="8" t="n">
        <v>0</v>
      </c>
      <c r="N2756" s="7">
        <f>M2756*$J$2760-J2756</f>
        <v/>
      </c>
      <c r="O2756" s="9">
        <f>IF(G2756=0,0,N2756/G2756)</f>
        <v/>
      </c>
      <c r="P2756" s="6">
        <f>IF(M2756&gt;0,D2756,"")</f>
        <v/>
      </c>
      <c r="Q2756" s="9">
        <f>I2756+O2756</f>
        <v/>
      </c>
      <c r="R2756" s="7">
        <f>Q2756*G2756</f>
        <v/>
      </c>
      <c r="S2756" s="8">
        <f>IF($R$2760=0,0,R2756/$R$2760)</f>
        <v/>
      </c>
      <c r="T2756" s="8" t="n">
        <v>0.0643261270516422</v>
      </c>
      <c r="U2756" s="8" t="n">
        <v>0.02588591662770456</v>
      </c>
      <c r="V2756" s="6" t="inlineStr">
        <is>
          <t>not selected</t>
        </is>
      </c>
    </row>
    <row r="2757">
      <c r="A2757" s="6" t="inlineStr">
        <is>
          <t>DJ30</t>
        </is>
      </c>
      <c r="B2757" s="6" t="inlineStr">
        <is>
          <t>2024-09-13</t>
        </is>
      </c>
      <c r="C2757" s="6" t="inlineStr">
        <is>
          <t>DIA</t>
        </is>
      </c>
      <c r="D2757" s="6" t="inlineStr">
        <is>
          <t>V</t>
        </is>
      </c>
      <c r="E2757" s="6" t="inlineStr">
        <is>
          <t>V</t>
        </is>
      </c>
      <c r="F2757" s="6" t="inlineStr">
        <is>
          <t>-</t>
        </is>
      </c>
      <c r="G2757" s="7" t="n">
        <v>283.6080322265625</v>
      </c>
      <c r="H2757" s="6">
        <f>P2726</f>
        <v/>
      </c>
      <c r="I2757" s="9">
        <f>Q2726</f>
        <v/>
      </c>
      <c r="J2757" s="7">
        <f>I2757*G2757</f>
        <v/>
      </c>
      <c r="K2757" s="8">
        <f>IF($J$2760=0,0,J2757/$J$2760)</f>
        <v/>
      </c>
      <c r="L2757" s="6" t="inlineStr">
        <is>
          <t>WATCHLIST</t>
        </is>
      </c>
      <c r="M2757" s="8" t="n">
        <v>0</v>
      </c>
      <c r="N2757" s="7">
        <f>M2757*$J$2760-J2757</f>
        <v/>
      </c>
      <c r="O2757" s="9">
        <f>IF(G2757=0,0,N2757/G2757)</f>
        <v/>
      </c>
      <c r="P2757" s="6">
        <f>IF(M2757&gt;0,D2757,"")</f>
        <v/>
      </c>
      <c r="Q2757" s="9">
        <f>I2757+O2757</f>
        <v/>
      </c>
      <c r="R2757" s="7">
        <f>Q2757*G2757</f>
        <v/>
      </c>
      <c r="S2757" s="8">
        <f>IF($R$2760=0,0,R2757/$R$2760)</f>
        <v/>
      </c>
      <c r="T2757" s="8" t="n">
        <v>0.0643261270516422</v>
      </c>
      <c r="U2757" s="8" t="n">
        <v>0.02588591662770456</v>
      </c>
      <c r="V2757" s="6" t="inlineStr">
        <is>
          <t>not selected</t>
        </is>
      </c>
    </row>
    <row r="2758">
      <c r="A2758" s="6" t="inlineStr">
        <is>
          <t>DJ30</t>
        </is>
      </c>
      <c r="B2758" s="6" t="inlineStr">
        <is>
          <t>2024-09-13</t>
        </is>
      </c>
      <c r="C2758" s="6" t="inlineStr">
        <is>
          <t>DIA</t>
        </is>
      </c>
      <c r="D2758" s="6" t="inlineStr">
        <is>
          <t>VZ</t>
        </is>
      </c>
      <c r="E2758" s="6" t="inlineStr">
        <is>
          <t>VZ</t>
        </is>
      </c>
      <c r="F2758" s="6" t="inlineStr">
        <is>
          <t>-</t>
        </is>
      </c>
      <c r="G2758" s="7" t="n">
        <v>39.63500595092773</v>
      </c>
      <c r="H2758" s="6">
        <f>P2727</f>
        <v/>
      </c>
      <c r="I2758" s="9">
        <f>Q2727</f>
        <v/>
      </c>
      <c r="J2758" s="7">
        <f>I2758*G2758</f>
        <v/>
      </c>
      <c r="K2758" s="8">
        <f>IF($J$2760=0,0,J2758/$J$2760)</f>
        <v/>
      </c>
      <c r="L2758" s="6" t="inlineStr">
        <is>
          <t>WATCHLIST</t>
        </is>
      </c>
      <c r="M2758" s="8" t="n">
        <v>0</v>
      </c>
      <c r="N2758" s="7">
        <f>M2758*$J$2760-J2758</f>
        <v/>
      </c>
      <c r="O2758" s="9">
        <f>IF(G2758=0,0,N2758/G2758)</f>
        <v/>
      </c>
      <c r="P2758" s="6">
        <f>IF(M2758&gt;0,D2758,"")</f>
        <v/>
      </c>
      <c r="Q2758" s="9">
        <f>I2758+O2758</f>
        <v/>
      </c>
      <c r="R2758" s="7">
        <f>Q2758*G2758</f>
        <v/>
      </c>
      <c r="S2758" s="8">
        <f>IF($R$2760=0,0,R2758/$R$2760)</f>
        <v/>
      </c>
      <c r="T2758" s="8" t="n">
        <v>0.0643261270516422</v>
      </c>
      <c r="U2758" s="8" t="n">
        <v>0.02588591662770456</v>
      </c>
      <c r="V2758" s="6" t="inlineStr">
        <is>
          <t>not selected</t>
        </is>
      </c>
    </row>
    <row r="2759">
      <c r="A2759" s="6" t="inlineStr">
        <is>
          <t>DJ30</t>
        </is>
      </c>
      <c r="B2759" s="6" t="inlineStr">
        <is>
          <t>2024-09-13</t>
        </is>
      </c>
      <c r="C2759" s="6" t="inlineStr">
        <is>
          <t>DIA</t>
        </is>
      </c>
      <c r="D2759" s="6" t="inlineStr">
        <is>
          <t>WMT</t>
        </is>
      </c>
      <c r="E2759" s="6" t="inlineStr">
        <is>
          <t>WMT</t>
        </is>
      </c>
      <c r="F2759" s="6" t="inlineStr">
        <is>
          <t>-</t>
        </is>
      </c>
      <c r="G2759" s="7" t="n">
        <v>79.34474945068359</v>
      </c>
      <c r="H2759" s="6">
        <f>P2728</f>
        <v/>
      </c>
      <c r="I2759" s="9">
        <f>Q2728</f>
        <v/>
      </c>
      <c r="J2759" s="7">
        <f>I2759*G2759</f>
        <v/>
      </c>
      <c r="K2759" s="8">
        <f>IF($J$2760=0,0,J2759/$J$2760)</f>
        <v/>
      </c>
      <c r="L2759" s="6" t="inlineStr">
        <is>
          <t>WATCHLIST</t>
        </is>
      </c>
      <c r="M2759" s="8" t="n">
        <v>0</v>
      </c>
      <c r="N2759" s="7">
        <f>M2759*$J$2760-J2759</f>
        <v/>
      </c>
      <c r="O2759" s="9">
        <f>IF(G2759=0,0,N2759/G2759)</f>
        <v/>
      </c>
      <c r="P2759" s="6">
        <f>IF(M2759&gt;0,D2759,"")</f>
        <v/>
      </c>
      <c r="Q2759" s="9">
        <f>I2759+O2759</f>
        <v/>
      </c>
      <c r="R2759" s="7">
        <f>Q2759*G2759</f>
        <v/>
      </c>
      <c r="S2759" s="8">
        <f>IF($R$2760=0,0,R2759/$R$2760)</f>
        <v/>
      </c>
      <c r="T2759" s="8" t="n">
        <v>0.0643261270516422</v>
      </c>
      <c r="U2759" s="8" t="n">
        <v>0.02588591662770456</v>
      </c>
      <c r="V2759" s="6" t="inlineStr">
        <is>
          <t>removed from weekly selection</t>
        </is>
      </c>
    </row>
    <row r="2760">
      <c r="A2760" s="10" t="inlineStr">
        <is>
          <t>DJ30</t>
        </is>
      </c>
      <c r="B2760" s="10" t="inlineStr">
        <is>
          <t>2024-09-13</t>
        </is>
      </c>
      <c r="C2760" s="10" t="inlineStr">
        <is>
          <t>DIA</t>
        </is>
      </c>
      <c r="D2760" s="10" t="inlineStr">
        <is>
          <t>Tot Portfolio</t>
        </is>
      </c>
      <c r="E2760" s="10" t="inlineStr"/>
      <c r="F2760" s="10" t="inlineStr"/>
      <c r="G2760" s="11" t="inlineStr"/>
      <c r="H2760" s="10" t="inlineStr"/>
      <c r="I2760" s="12" t="inlineStr"/>
      <c r="J2760" s="11">
        <f>SUM(J2730:J2759)</f>
        <v/>
      </c>
      <c r="K2760" s="13">
        <f>SUM(K2730:K2759)</f>
        <v/>
      </c>
      <c r="L2760" s="10" t="inlineStr">
        <is>
          <t>TOTAL</t>
        </is>
      </c>
      <c r="M2760" s="13">
        <f>SUM(M2730:M2759)</f>
        <v/>
      </c>
      <c r="N2760" s="11">
        <f>SUM(N2730:N2759)</f>
        <v/>
      </c>
      <c r="O2760" s="12">
        <f>SUM(O2730:O2759)</f>
        <v/>
      </c>
      <c r="P2760" s="10" t="inlineStr"/>
      <c r="Q2760" s="12" t="inlineStr"/>
      <c r="R2760" s="11">
        <f>SUM(R2730:R2759)</f>
        <v/>
      </c>
      <c r="S2760" s="13">
        <f>SUM(S2730:S2759)</f>
        <v/>
      </c>
      <c r="T2760" s="13" t="n">
        <v>0.0643261270516422</v>
      </c>
      <c r="U2760" s="13" t="n">
        <v>0.02588591662770456</v>
      </c>
      <c r="V2760" s="10" t="inlineStr"/>
    </row>
    <row r="2761">
      <c r="A2761" s="6" t="inlineStr">
        <is>
          <t>DJ30</t>
        </is>
      </c>
      <c r="B2761" s="6" t="inlineStr">
        <is>
          <t>2024-09-20</t>
        </is>
      </c>
      <c r="C2761" s="6" t="inlineStr">
        <is>
          <t>DIA</t>
        </is>
      </c>
      <c r="D2761" s="6" t="inlineStr">
        <is>
          <t>AAPL</t>
        </is>
      </c>
      <c r="E2761" s="6" t="inlineStr">
        <is>
          <t>AAPL</t>
        </is>
      </c>
      <c r="F2761" s="6" t="inlineStr">
        <is>
          <t>-</t>
        </is>
      </c>
      <c r="G2761" s="7" t="n">
        <v>226.5020599365234</v>
      </c>
      <c r="H2761" s="6">
        <f>P2730</f>
        <v/>
      </c>
      <c r="I2761" s="9">
        <f>Q2730</f>
        <v/>
      </c>
      <c r="J2761" s="7">
        <f>I2761*G2761</f>
        <v/>
      </c>
      <c r="K2761" s="8">
        <f>IF($J$2791=0,0,J2761/$J$2791)</f>
        <v/>
      </c>
      <c r="L2761" s="6" t="inlineStr">
        <is>
          <t>WATCHLIST</t>
        </is>
      </c>
      <c r="M2761" s="8" t="n">
        <v>0</v>
      </c>
      <c r="N2761" s="7">
        <f>M2761*$J$2791-J2761</f>
        <v/>
      </c>
      <c r="O2761" s="9">
        <f>IF(G2761=0,0,N2761/G2761)</f>
        <v/>
      </c>
      <c r="P2761" s="6">
        <f>IF(M2761&gt;0,D2761,"")</f>
        <v/>
      </c>
      <c r="Q2761" s="9">
        <f>I2761+O2761</f>
        <v/>
      </c>
      <c r="R2761" s="7">
        <f>Q2761*G2761</f>
        <v/>
      </c>
      <c r="S2761" s="8">
        <f>IF($R$2791=0,0,R2761/$R$2791)</f>
        <v/>
      </c>
      <c r="T2761" s="8" t="n">
        <v>0.008250096785843652</v>
      </c>
      <c r="U2761" s="8" t="n">
        <v>0.01657891532630207</v>
      </c>
      <c r="V2761" s="6" t="inlineStr">
        <is>
          <t>not selected</t>
        </is>
      </c>
    </row>
    <row r="2762">
      <c r="A2762" s="6" t="inlineStr">
        <is>
          <t>DJ30</t>
        </is>
      </c>
      <c r="B2762" s="6" t="inlineStr">
        <is>
          <t>2024-09-20</t>
        </is>
      </c>
      <c r="C2762" s="6" t="inlineStr">
        <is>
          <t>DIA</t>
        </is>
      </c>
      <c r="D2762" s="6" t="inlineStr">
        <is>
          <t>AMGN</t>
        </is>
      </c>
      <c r="E2762" s="6" t="inlineStr">
        <is>
          <t>AMGN</t>
        </is>
      </c>
      <c r="F2762" s="6" t="inlineStr">
        <is>
          <t>-</t>
        </is>
      </c>
      <c r="G2762" s="7" t="n">
        <v>319.5087890625</v>
      </c>
      <c r="H2762" s="6">
        <f>P2731</f>
        <v/>
      </c>
      <c r="I2762" s="9">
        <f>Q2731</f>
        <v/>
      </c>
      <c r="J2762" s="7">
        <f>I2762*G2762</f>
        <v/>
      </c>
      <c r="K2762" s="8">
        <f>IF($J$2791=0,0,J2762/$J$2791)</f>
        <v/>
      </c>
      <c r="L2762" s="6" t="inlineStr">
        <is>
          <t>WATCHLIST</t>
        </is>
      </c>
      <c r="M2762" s="8" t="n">
        <v>0</v>
      </c>
      <c r="N2762" s="7">
        <f>M2762*$J$2791-J2762</f>
        <v/>
      </c>
      <c r="O2762" s="9">
        <f>IF(G2762=0,0,N2762/G2762)</f>
        <v/>
      </c>
      <c r="P2762" s="6">
        <f>IF(M2762&gt;0,D2762,"")</f>
        <v/>
      </c>
      <c r="Q2762" s="9">
        <f>I2762+O2762</f>
        <v/>
      </c>
      <c r="R2762" s="7">
        <f>Q2762*G2762</f>
        <v/>
      </c>
      <c r="S2762" s="8">
        <f>IF($R$2791=0,0,R2762/$R$2791)</f>
        <v/>
      </c>
      <c r="T2762" s="8" t="n">
        <v>0.008250096785843652</v>
      </c>
      <c r="U2762" s="8" t="n">
        <v>0.01657891532630207</v>
      </c>
      <c r="V2762" s="6" t="inlineStr">
        <is>
          <t>not selected</t>
        </is>
      </c>
    </row>
    <row r="2763">
      <c r="A2763" s="6" t="inlineStr">
        <is>
          <t>DJ30</t>
        </is>
      </c>
      <c r="B2763" s="6" t="inlineStr">
        <is>
          <t>2024-09-20</t>
        </is>
      </c>
      <c r="C2763" s="6" t="inlineStr">
        <is>
          <t>DIA</t>
        </is>
      </c>
      <c r="D2763" s="6" t="inlineStr">
        <is>
          <t>AMZN</t>
        </is>
      </c>
      <c r="E2763" s="6" t="inlineStr">
        <is>
          <t>AMZN</t>
        </is>
      </c>
      <c r="F2763" s="6" t="inlineStr">
        <is>
          <t>-</t>
        </is>
      </c>
      <c r="G2763" s="7" t="n">
        <v>191.6000061035156</v>
      </c>
      <c r="H2763" s="6">
        <f>P2732</f>
        <v/>
      </c>
      <c r="I2763" s="9">
        <f>Q2732</f>
        <v/>
      </c>
      <c r="J2763" s="7">
        <f>I2763*G2763</f>
        <v/>
      </c>
      <c r="K2763" s="8">
        <f>IF($J$2791=0,0,J2763/$J$2791)</f>
        <v/>
      </c>
      <c r="L2763" s="6" t="inlineStr">
        <is>
          <t>WATCHLIST</t>
        </is>
      </c>
      <c r="M2763" s="8" t="n">
        <v>0</v>
      </c>
      <c r="N2763" s="7">
        <f>M2763*$J$2791-J2763</f>
        <v/>
      </c>
      <c r="O2763" s="9">
        <f>IF(G2763=0,0,N2763/G2763)</f>
        <v/>
      </c>
      <c r="P2763" s="6">
        <f>IF(M2763&gt;0,D2763,"")</f>
        <v/>
      </c>
      <c r="Q2763" s="9">
        <f>I2763+O2763</f>
        <v/>
      </c>
      <c r="R2763" s="7">
        <f>Q2763*G2763</f>
        <v/>
      </c>
      <c r="S2763" s="8">
        <f>IF($R$2791=0,0,R2763/$R$2791)</f>
        <v/>
      </c>
      <c r="T2763" s="8" t="n">
        <v>0.008250096785843652</v>
      </c>
      <c r="U2763" s="8" t="n">
        <v>0.01657891532630207</v>
      </c>
      <c r="V2763" s="6" t="inlineStr">
        <is>
          <t>not selected</t>
        </is>
      </c>
    </row>
    <row r="2764">
      <c r="A2764" s="6" t="inlineStr">
        <is>
          <t>DJ30</t>
        </is>
      </c>
      <c r="B2764" s="6" t="inlineStr">
        <is>
          <t>2024-09-20</t>
        </is>
      </c>
      <c r="C2764" s="6" t="inlineStr">
        <is>
          <t>DIA</t>
        </is>
      </c>
      <c r="D2764" s="6" t="inlineStr">
        <is>
          <t>AXP</t>
        </is>
      </c>
      <c r="E2764" s="6" t="inlineStr">
        <is>
          <t>AXP</t>
        </is>
      </c>
      <c r="F2764" s="6" t="inlineStr">
        <is>
          <t>-</t>
        </is>
      </c>
      <c r="G2764" s="7" t="n">
        <v>264.0066528320312</v>
      </c>
      <c r="H2764" s="6">
        <f>P2733</f>
        <v/>
      </c>
      <c r="I2764" s="9">
        <f>Q2733</f>
        <v/>
      </c>
      <c r="J2764" s="7">
        <f>I2764*G2764</f>
        <v/>
      </c>
      <c r="K2764" s="8">
        <f>IF($J$2791=0,0,J2764/$J$2791)</f>
        <v/>
      </c>
      <c r="L2764" s="6" t="inlineStr">
        <is>
          <t>SELECTED</t>
        </is>
      </c>
      <c r="M2764" s="8" t="n">
        <v>0.2</v>
      </c>
      <c r="N2764" s="7">
        <f>M2764*$J$2791-J2764</f>
        <v/>
      </c>
      <c r="O2764" s="9">
        <f>IF(G2764=0,0,N2764/G2764)</f>
        <v/>
      </c>
      <c r="P2764" s="6">
        <f>IF(M2764&gt;0,D2764,"")</f>
        <v/>
      </c>
      <c r="Q2764" s="9">
        <f>I2764+O2764</f>
        <v/>
      </c>
      <c r="R2764" s="7">
        <f>Q2764*G2764</f>
        <v/>
      </c>
      <c r="S2764" s="8">
        <f>IF($R$2791=0,0,R2764/$R$2791)</f>
        <v/>
      </c>
      <c r="T2764" s="8" t="n">
        <v>0.008250096785843652</v>
      </c>
      <c r="U2764" s="8" t="n">
        <v>0.01657891532630207</v>
      </c>
      <c r="V2764" s="6" t="inlineStr">
        <is>
          <t>remained in weekly selection</t>
        </is>
      </c>
    </row>
    <row r="2765">
      <c r="A2765" s="6" t="inlineStr">
        <is>
          <t>DJ30</t>
        </is>
      </c>
      <c r="B2765" s="6" t="inlineStr">
        <is>
          <t>2024-09-20</t>
        </is>
      </c>
      <c r="C2765" s="6" t="inlineStr">
        <is>
          <t>DIA</t>
        </is>
      </c>
      <c r="D2765" s="6" t="inlineStr">
        <is>
          <t>BA</t>
        </is>
      </c>
      <c r="E2765" s="6" t="inlineStr">
        <is>
          <t>BA</t>
        </is>
      </c>
      <c r="F2765" s="6" t="inlineStr">
        <is>
          <t>-</t>
        </is>
      </c>
      <c r="G2765" s="7" t="n">
        <v>153.2899932861328</v>
      </c>
      <c r="H2765" s="6">
        <f>P2734</f>
        <v/>
      </c>
      <c r="I2765" s="9">
        <f>Q2734</f>
        <v/>
      </c>
      <c r="J2765" s="7">
        <f>I2765*G2765</f>
        <v/>
      </c>
      <c r="K2765" s="8">
        <f>IF($J$2791=0,0,J2765/$J$2791)</f>
        <v/>
      </c>
      <c r="L2765" s="6" t="inlineStr">
        <is>
          <t>REJECTED</t>
        </is>
      </c>
      <c r="M2765" s="8" t="n">
        <v>0</v>
      </c>
      <c r="N2765" s="7">
        <f>M2765*$J$2791-J2765</f>
        <v/>
      </c>
      <c r="O2765" s="9">
        <f>IF(G2765=0,0,N2765/G2765)</f>
        <v/>
      </c>
      <c r="P2765" s="6">
        <f>IF(M2765&gt;0,D2765,"")</f>
        <v/>
      </c>
      <c r="Q2765" s="9">
        <f>I2765+O2765</f>
        <v/>
      </c>
      <c r="R2765" s="7">
        <f>Q2765*G2765</f>
        <v/>
      </c>
      <c r="S2765" s="8">
        <f>IF($R$2791=0,0,R2765/$R$2791)</f>
        <v/>
      </c>
      <c r="T2765" s="8" t="n">
        <v>0.008250096785843652</v>
      </c>
      <c r="U2765" s="8" t="n">
        <v>0.01657891532630207</v>
      </c>
      <c r="V2765" s="6" t="inlineStr">
        <is>
          <t>not selected</t>
        </is>
      </c>
    </row>
    <row r="2766">
      <c r="A2766" s="6" t="inlineStr">
        <is>
          <t>DJ30</t>
        </is>
      </c>
      <c r="B2766" s="6" t="inlineStr">
        <is>
          <t>2024-09-20</t>
        </is>
      </c>
      <c r="C2766" s="6" t="inlineStr">
        <is>
          <t>DIA</t>
        </is>
      </c>
      <c r="D2766" s="6" t="inlineStr">
        <is>
          <t>CAT</t>
        </is>
      </c>
      <c r="E2766" s="6" t="inlineStr">
        <is>
          <t>CAT</t>
        </is>
      </c>
      <c r="F2766" s="6" t="inlineStr">
        <is>
          <t>-</t>
        </is>
      </c>
      <c r="G2766" s="7" t="n">
        <v>360.5011291503906</v>
      </c>
      <c r="H2766" s="6">
        <f>P2735</f>
        <v/>
      </c>
      <c r="I2766" s="9">
        <f>Q2735</f>
        <v/>
      </c>
      <c r="J2766" s="7">
        <f>I2766*G2766</f>
        <v/>
      </c>
      <c r="K2766" s="8">
        <f>IF($J$2791=0,0,J2766/$J$2791)</f>
        <v/>
      </c>
      <c r="L2766" s="6" t="inlineStr">
        <is>
          <t>WATCHLIST</t>
        </is>
      </c>
      <c r="M2766" s="8" t="n">
        <v>0</v>
      </c>
      <c r="N2766" s="7">
        <f>M2766*$J$2791-J2766</f>
        <v/>
      </c>
      <c r="O2766" s="9">
        <f>IF(G2766=0,0,N2766/G2766)</f>
        <v/>
      </c>
      <c r="P2766" s="6">
        <f>IF(M2766&gt;0,D2766,"")</f>
        <v/>
      </c>
      <c r="Q2766" s="9">
        <f>I2766+O2766</f>
        <v/>
      </c>
      <c r="R2766" s="7">
        <f>Q2766*G2766</f>
        <v/>
      </c>
      <c r="S2766" s="8">
        <f>IF($R$2791=0,0,R2766/$R$2791)</f>
        <v/>
      </c>
      <c r="T2766" s="8" t="n">
        <v>0.008250096785843652</v>
      </c>
      <c r="U2766" s="8" t="n">
        <v>0.01657891532630207</v>
      </c>
      <c r="V2766" s="6" t="inlineStr">
        <is>
          <t>not selected</t>
        </is>
      </c>
    </row>
    <row r="2767">
      <c r="A2767" s="6" t="inlineStr">
        <is>
          <t>DJ30</t>
        </is>
      </c>
      <c r="B2767" s="6" t="inlineStr">
        <is>
          <t>2024-09-20</t>
        </is>
      </c>
      <c r="C2767" s="6" t="inlineStr">
        <is>
          <t>DIA</t>
        </is>
      </c>
      <c r="D2767" s="6" t="inlineStr">
        <is>
          <t>CRM</t>
        </is>
      </c>
      <c r="E2767" s="6" t="inlineStr">
        <is>
          <t>CRM</t>
        </is>
      </c>
      <c r="F2767" s="6" t="inlineStr">
        <is>
          <t>-</t>
        </is>
      </c>
      <c r="G2767" s="7" t="n">
        <v>263.427001953125</v>
      </c>
      <c r="H2767" s="6">
        <f>P2736</f>
        <v/>
      </c>
      <c r="I2767" s="9">
        <f>Q2736</f>
        <v/>
      </c>
      <c r="J2767" s="7">
        <f>I2767*G2767</f>
        <v/>
      </c>
      <c r="K2767" s="8">
        <f>IF($J$2791=0,0,J2767/$J$2791)</f>
        <v/>
      </c>
      <c r="L2767" s="6" t="inlineStr">
        <is>
          <t>REJECTED</t>
        </is>
      </c>
      <c r="M2767" s="8" t="n">
        <v>0</v>
      </c>
      <c r="N2767" s="7">
        <f>M2767*$J$2791-J2767</f>
        <v/>
      </c>
      <c r="O2767" s="9">
        <f>IF(G2767=0,0,N2767/G2767)</f>
        <v/>
      </c>
      <c r="P2767" s="6">
        <f>IF(M2767&gt;0,D2767,"")</f>
        <v/>
      </c>
      <c r="Q2767" s="9">
        <f>I2767+O2767</f>
        <v/>
      </c>
      <c r="R2767" s="7">
        <f>Q2767*G2767</f>
        <v/>
      </c>
      <c r="S2767" s="8">
        <f>IF($R$2791=0,0,R2767/$R$2791)</f>
        <v/>
      </c>
      <c r="T2767" s="8" t="n">
        <v>0.008250096785843652</v>
      </c>
      <c r="U2767" s="8" t="n">
        <v>0.01657891532630207</v>
      </c>
      <c r="V2767" s="6" t="inlineStr">
        <is>
          <t>not selected</t>
        </is>
      </c>
    </row>
    <row r="2768">
      <c r="A2768" s="6" t="inlineStr">
        <is>
          <t>DJ30</t>
        </is>
      </c>
      <c r="B2768" s="6" t="inlineStr">
        <is>
          <t>2024-09-20</t>
        </is>
      </c>
      <c r="C2768" s="6" t="inlineStr">
        <is>
          <t>DIA</t>
        </is>
      </c>
      <c r="D2768" s="6" t="inlineStr">
        <is>
          <t>CSCO</t>
        </is>
      </c>
      <c r="E2768" s="6" t="inlineStr">
        <is>
          <t>CSCO</t>
        </is>
      </c>
      <c r="F2768" s="6" t="inlineStr">
        <is>
          <t>-</t>
        </is>
      </c>
      <c r="G2768" s="7" t="n">
        <v>49.74208831787109</v>
      </c>
      <c r="H2768" s="6">
        <f>P2737</f>
        <v/>
      </c>
      <c r="I2768" s="9">
        <f>Q2737</f>
        <v/>
      </c>
      <c r="J2768" s="7">
        <f>I2768*G2768</f>
        <v/>
      </c>
      <c r="K2768" s="8">
        <f>IF($J$2791=0,0,J2768/$J$2791)</f>
        <v/>
      </c>
      <c r="L2768" s="6" t="inlineStr">
        <is>
          <t>REJECTED</t>
        </is>
      </c>
      <c r="M2768" s="8" t="n">
        <v>0</v>
      </c>
      <c r="N2768" s="7">
        <f>M2768*$J$2791-J2768</f>
        <v/>
      </c>
      <c r="O2768" s="9">
        <f>IF(G2768=0,0,N2768/G2768)</f>
        <v/>
      </c>
      <c r="P2768" s="6">
        <f>IF(M2768&gt;0,D2768,"")</f>
        <v/>
      </c>
      <c r="Q2768" s="9">
        <f>I2768+O2768</f>
        <v/>
      </c>
      <c r="R2768" s="7">
        <f>Q2768*G2768</f>
        <v/>
      </c>
      <c r="S2768" s="8">
        <f>IF($R$2791=0,0,R2768/$R$2791)</f>
        <v/>
      </c>
      <c r="T2768" s="8" t="n">
        <v>0.008250096785843652</v>
      </c>
      <c r="U2768" s="8" t="n">
        <v>0.01657891532630207</v>
      </c>
      <c r="V2768" s="6" t="inlineStr">
        <is>
          <t>not selected</t>
        </is>
      </c>
    </row>
    <row r="2769">
      <c r="A2769" s="6" t="inlineStr">
        <is>
          <t>DJ30</t>
        </is>
      </c>
      <c r="B2769" s="6" t="inlineStr">
        <is>
          <t>2024-09-20</t>
        </is>
      </c>
      <c r="C2769" s="6" t="inlineStr">
        <is>
          <t>DIA</t>
        </is>
      </c>
      <c r="D2769" s="6" t="inlineStr">
        <is>
          <t>CVX</t>
        </is>
      </c>
      <c r="E2769" s="6" t="inlineStr">
        <is>
          <t>CVX</t>
        </is>
      </c>
      <c r="F2769" s="6" t="inlineStr">
        <is>
          <t>-</t>
        </is>
      </c>
      <c r="G2769" s="7" t="n">
        <v>135.2461547851562</v>
      </c>
      <c r="H2769" s="6">
        <f>P2738</f>
        <v/>
      </c>
      <c r="I2769" s="9">
        <f>Q2738</f>
        <v/>
      </c>
      <c r="J2769" s="7">
        <f>I2769*G2769</f>
        <v/>
      </c>
      <c r="K2769" s="8">
        <f>IF($J$2791=0,0,J2769/$J$2791)</f>
        <v/>
      </c>
      <c r="L2769" s="6" t="inlineStr">
        <is>
          <t>REJECTED</t>
        </is>
      </c>
      <c r="M2769" s="8" t="n">
        <v>0</v>
      </c>
      <c r="N2769" s="7">
        <f>M2769*$J$2791-J2769</f>
        <v/>
      </c>
      <c r="O2769" s="9">
        <f>IF(G2769=0,0,N2769/G2769)</f>
        <v/>
      </c>
      <c r="P2769" s="6">
        <f>IF(M2769&gt;0,D2769,"")</f>
        <v/>
      </c>
      <c r="Q2769" s="9">
        <f>I2769+O2769</f>
        <v/>
      </c>
      <c r="R2769" s="7">
        <f>Q2769*G2769</f>
        <v/>
      </c>
      <c r="S2769" s="8">
        <f>IF($R$2791=0,0,R2769/$R$2791)</f>
        <v/>
      </c>
      <c r="T2769" s="8" t="n">
        <v>0.008250096785843652</v>
      </c>
      <c r="U2769" s="8" t="n">
        <v>0.01657891532630207</v>
      </c>
      <c r="V2769" s="6" t="inlineStr">
        <is>
          <t>not selected</t>
        </is>
      </c>
    </row>
    <row r="2770">
      <c r="A2770" s="6" t="inlineStr">
        <is>
          <t>DJ30</t>
        </is>
      </c>
      <c r="B2770" s="6" t="inlineStr">
        <is>
          <t>2024-09-20</t>
        </is>
      </c>
      <c r="C2770" s="6" t="inlineStr">
        <is>
          <t>DIA</t>
        </is>
      </c>
      <c r="D2770" s="6" t="inlineStr">
        <is>
          <t>DIS</t>
        </is>
      </c>
      <c r="E2770" s="6" t="inlineStr">
        <is>
          <t>DIS</t>
        </is>
      </c>
      <c r="F2770" s="6" t="inlineStr">
        <is>
          <t>-</t>
        </is>
      </c>
      <c r="G2770" s="7" t="n">
        <v>92.31549072265624</v>
      </c>
      <c r="H2770" s="6">
        <f>P2739</f>
        <v/>
      </c>
      <c r="I2770" s="9">
        <f>Q2739</f>
        <v/>
      </c>
      <c r="J2770" s="7">
        <f>I2770*G2770</f>
        <v/>
      </c>
      <c r="K2770" s="8">
        <f>IF($J$2791=0,0,J2770/$J$2791)</f>
        <v/>
      </c>
      <c r="L2770" s="6" t="inlineStr">
        <is>
          <t>REJECTED</t>
        </is>
      </c>
      <c r="M2770" s="8" t="n">
        <v>0</v>
      </c>
      <c r="N2770" s="7">
        <f>M2770*$J$2791-J2770</f>
        <v/>
      </c>
      <c r="O2770" s="9">
        <f>IF(G2770=0,0,N2770/G2770)</f>
        <v/>
      </c>
      <c r="P2770" s="6">
        <f>IF(M2770&gt;0,D2770,"")</f>
        <v/>
      </c>
      <c r="Q2770" s="9">
        <f>I2770+O2770</f>
        <v/>
      </c>
      <c r="R2770" s="7">
        <f>Q2770*G2770</f>
        <v/>
      </c>
      <c r="S2770" s="8">
        <f>IF($R$2791=0,0,R2770/$R$2791)</f>
        <v/>
      </c>
      <c r="T2770" s="8" t="n">
        <v>0.008250096785843652</v>
      </c>
      <c r="U2770" s="8" t="n">
        <v>0.01657891532630207</v>
      </c>
      <c r="V2770" s="6" t="inlineStr">
        <is>
          <t>not selected</t>
        </is>
      </c>
    </row>
    <row r="2771">
      <c r="A2771" s="6" t="inlineStr">
        <is>
          <t>DJ30</t>
        </is>
      </c>
      <c r="B2771" s="6" t="inlineStr">
        <is>
          <t>2024-09-20</t>
        </is>
      </c>
      <c r="C2771" s="6" t="inlineStr">
        <is>
          <t>DIA</t>
        </is>
      </c>
      <c r="D2771" s="6" t="inlineStr">
        <is>
          <t>GS</t>
        </is>
      </c>
      <c r="E2771" s="6" t="inlineStr">
        <is>
          <t>GS</t>
        </is>
      </c>
      <c r="F2771" s="6" t="inlineStr">
        <is>
          <t>-</t>
        </is>
      </c>
      <c r="G2771" s="7" t="n">
        <v>481.3872985839844</v>
      </c>
      <c r="H2771" s="6">
        <f>P2740</f>
        <v/>
      </c>
      <c r="I2771" s="9">
        <f>Q2740</f>
        <v/>
      </c>
      <c r="J2771" s="7">
        <f>I2771*G2771</f>
        <v/>
      </c>
      <c r="K2771" s="8">
        <f>IF($J$2791=0,0,J2771/$J$2791)</f>
        <v/>
      </c>
      <c r="L2771" s="6" t="inlineStr">
        <is>
          <t>WATCHLIST</t>
        </is>
      </c>
      <c r="M2771" s="8" t="n">
        <v>0</v>
      </c>
      <c r="N2771" s="7">
        <f>M2771*$J$2791-J2771</f>
        <v/>
      </c>
      <c r="O2771" s="9">
        <f>IF(G2771=0,0,N2771/G2771)</f>
        <v/>
      </c>
      <c r="P2771" s="6">
        <f>IF(M2771&gt;0,D2771,"")</f>
        <v/>
      </c>
      <c r="Q2771" s="9">
        <f>I2771+O2771</f>
        <v/>
      </c>
      <c r="R2771" s="7">
        <f>Q2771*G2771</f>
        <v/>
      </c>
      <c r="S2771" s="8">
        <f>IF($R$2791=0,0,R2771/$R$2791)</f>
        <v/>
      </c>
      <c r="T2771" s="8" t="n">
        <v>0.008250096785843652</v>
      </c>
      <c r="U2771" s="8" t="n">
        <v>0.01657891532630207</v>
      </c>
      <c r="V2771" s="6" t="inlineStr">
        <is>
          <t>not selected</t>
        </is>
      </c>
    </row>
    <row r="2772">
      <c r="A2772" s="6" t="inlineStr">
        <is>
          <t>DJ30</t>
        </is>
      </c>
      <c r="B2772" s="6" t="inlineStr">
        <is>
          <t>2024-09-20</t>
        </is>
      </c>
      <c r="C2772" s="6" t="inlineStr">
        <is>
          <t>DIA</t>
        </is>
      </c>
      <c r="D2772" s="6" t="inlineStr">
        <is>
          <t>HD</t>
        </is>
      </c>
      <c r="E2772" s="6" t="inlineStr">
        <is>
          <t>HD</t>
        </is>
      </c>
      <c r="F2772" s="6" t="inlineStr">
        <is>
          <t>-</t>
        </is>
      </c>
      <c r="G2772" s="7" t="n">
        <v>373.0729064941406</v>
      </c>
      <c r="H2772" s="6">
        <f>P2741</f>
        <v/>
      </c>
      <c r="I2772" s="9">
        <f>Q2741</f>
        <v/>
      </c>
      <c r="J2772" s="7">
        <f>I2772*G2772</f>
        <v/>
      </c>
      <c r="K2772" s="8">
        <f>IF($J$2791=0,0,J2772/$J$2791)</f>
        <v/>
      </c>
      <c r="L2772" s="6" t="inlineStr">
        <is>
          <t>WATCHLIST</t>
        </is>
      </c>
      <c r="M2772" s="8" t="n">
        <v>0</v>
      </c>
      <c r="N2772" s="7">
        <f>M2772*$J$2791-J2772</f>
        <v/>
      </c>
      <c r="O2772" s="9">
        <f>IF(G2772=0,0,N2772/G2772)</f>
        <v/>
      </c>
      <c r="P2772" s="6">
        <f>IF(M2772&gt;0,D2772,"")</f>
        <v/>
      </c>
      <c r="Q2772" s="9">
        <f>I2772+O2772</f>
        <v/>
      </c>
      <c r="R2772" s="7">
        <f>Q2772*G2772</f>
        <v/>
      </c>
      <c r="S2772" s="8">
        <f>IF($R$2791=0,0,R2772/$R$2791)</f>
        <v/>
      </c>
      <c r="T2772" s="8" t="n">
        <v>0.008250096785843652</v>
      </c>
      <c r="U2772" s="8" t="n">
        <v>0.01657891532630207</v>
      </c>
      <c r="V2772" s="6" t="inlineStr">
        <is>
          <t>not selected</t>
        </is>
      </c>
    </row>
    <row r="2773">
      <c r="A2773" s="6" t="inlineStr">
        <is>
          <t>DJ30</t>
        </is>
      </c>
      <c r="B2773" s="6" t="inlineStr">
        <is>
          <t>2024-09-20</t>
        </is>
      </c>
      <c r="C2773" s="6" t="inlineStr">
        <is>
          <t>DIA</t>
        </is>
      </c>
      <c r="D2773" s="6" t="inlineStr">
        <is>
          <t>HON</t>
        </is>
      </c>
      <c r="E2773" s="6" t="inlineStr">
        <is>
          <t>HON</t>
        </is>
      </c>
      <c r="F2773" s="6" t="inlineStr">
        <is>
          <t>-</t>
        </is>
      </c>
      <c r="G2773" s="7" t="n">
        <v>184.707748413086</v>
      </c>
      <c r="H2773" s="6">
        <f>P2742</f>
        <v/>
      </c>
      <c r="I2773" s="9">
        <f>Q2742</f>
        <v/>
      </c>
      <c r="J2773" s="7">
        <f>I2773*G2773</f>
        <v/>
      </c>
      <c r="K2773" s="8">
        <f>IF($J$2791=0,0,J2773/$J$2791)</f>
        <v/>
      </c>
      <c r="L2773" s="6" t="inlineStr">
        <is>
          <t>WATCHLIST</t>
        </is>
      </c>
      <c r="M2773" s="8" t="n">
        <v>0</v>
      </c>
      <c r="N2773" s="7">
        <f>M2773*$J$2791-J2773</f>
        <v/>
      </c>
      <c r="O2773" s="9">
        <f>IF(G2773=0,0,N2773/G2773)</f>
        <v/>
      </c>
      <c r="P2773" s="6">
        <f>IF(M2773&gt;0,D2773,"")</f>
        <v/>
      </c>
      <c r="Q2773" s="9">
        <f>I2773+O2773</f>
        <v/>
      </c>
      <c r="R2773" s="7">
        <f>Q2773*G2773</f>
        <v/>
      </c>
      <c r="S2773" s="8">
        <f>IF($R$2791=0,0,R2773/$R$2791)</f>
        <v/>
      </c>
      <c r="T2773" s="8" t="n">
        <v>0.008250096785843652</v>
      </c>
      <c r="U2773" s="8" t="n">
        <v>0.01657891532630207</v>
      </c>
      <c r="V2773" s="6" t="inlineStr">
        <is>
          <t>not selected</t>
        </is>
      </c>
    </row>
    <row r="2774">
      <c r="A2774" s="6" t="inlineStr">
        <is>
          <t>DJ30</t>
        </is>
      </c>
      <c r="B2774" s="6" t="inlineStr">
        <is>
          <t>2024-09-20</t>
        </is>
      </c>
      <c r="C2774" s="6" t="inlineStr">
        <is>
          <t>DIA</t>
        </is>
      </c>
      <c r="D2774" s="6" t="inlineStr">
        <is>
          <t>IBM</t>
        </is>
      </c>
      <c r="E2774" s="6" t="inlineStr">
        <is>
          <t>IBM</t>
        </is>
      </c>
      <c r="F2774" s="6" t="inlineStr">
        <is>
          <t>-</t>
        </is>
      </c>
      <c r="G2774" s="7" t="n">
        <v>207.8340911865234</v>
      </c>
      <c r="H2774" s="6">
        <f>P2743</f>
        <v/>
      </c>
      <c r="I2774" s="9">
        <f>Q2743</f>
        <v/>
      </c>
      <c r="J2774" s="7">
        <f>I2774*G2774</f>
        <v/>
      </c>
      <c r="K2774" s="8">
        <f>IF($J$2791=0,0,J2774/$J$2791)</f>
        <v/>
      </c>
      <c r="L2774" s="6" t="inlineStr">
        <is>
          <t>SELECTED</t>
        </is>
      </c>
      <c r="M2774" s="8" t="n">
        <v>0.2</v>
      </c>
      <c r="N2774" s="7">
        <f>M2774*$J$2791-J2774</f>
        <v/>
      </c>
      <c r="O2774" s="9">
        <f>IF(G2774=0,0,N2774/G2774)</f>
        <v/>
      </c>
      <c r="P2774" s="6">
        <f>IF(M2774&gt;0,D2774,"")</f>
        <v/>
      </c>
      <c r="Q2774" s="9">
        <f>I2774+O2774</f>
        <v/>
      </c>
      <c r="R2774" s="7">
        <f>Q2774*G2774</f>
        <v/>
      </c>
      <c r="S2774" s="8">
        <f>IF($R$2791=0,0,R2774/$R$2791)</f>
        <v/>
      </c>
      <c r="T2774" s="8" t="n">
        <v>0.008250096785843652</v>
      </c>
      <c r="U2774" s="8" t="n">
        <v>0.01657891532630207</v>
      </c>
      <c r="V2774" s="6" t="inlineStr">
        <is>
          <t>remained in weekly selection</t>
        </is>
      </c>
    </row>
    <row r="2775">
      <c r="A2775" s="6" t="inlineStr">
        <is>
          <t>DJ30</t>
        </is>
      </c>
      <c r="B2775" s="6" t="inlineStr">
        <is>
          <t>2024-09-20</t>
        </is>
      </c>
      <c r="C2775" s="6" t="inlineStr">
        <is>
          <t>DIA</t>
        </is>
      </c>
      <c r="D2775" s="6" t="inlineStr">
        <is>
          <t>JNJ</t>
        </is>
      </c>
      <c r="E2775" s="6" t="inlineStr">
        <is>
          <t>JNJ</t>
        </is>
      </c>
      <c r="F2775" s="6" t="inlineStr">
        <is>
          <t>-</t>
        </is>
      </c>
      <c r="G2775" s="7" t="n">
        <v>156.2819519042969</v>
      </c>
      <c r="H2775" s="6">
        <f>P2744</f>
        <v/>
      </c>
      <c r="I2775" s="9">
        <f>Q2744</f>
        <v/>
      </c>
      <c r="J2775" s="7">
        <f>I2775*G2775</f>
        <v/>
      </c>
      <c r="K2775" s="8">
        <f>IF($J$2791=0,0,J2775/$J$2791)</f>
        <v/>
      </c>
      <c r="L2775" s="6" t="inlineStr">
        <is>
          <t>REJECTED</t>
        </is>
      </c>
      <c r="M2775" s="8" t="n">
        <v>0</v>
      </c>
      <c r="N2775" s="7">
        <f>M2775*$J$2791-J2775</f>
        <v/>
      </c>
      <c r="O2775" s="9">
        <f>IF(G2775=0,0,N2775/G2775)</f>
        <v/>
      </c>
      <c r="P2775" s="6">
        <f>IF(M2775&gt;0,D2775,"")</f>
        <v/>
      </c>
      <c r="Q2775" s="9">
        <f>I2775+O2775</f>
        <v/>
      </c>
      <c r="R2775" s="7">
        <f>Q2775*G2775</f>
        <v/>
      </c>
      <c r="S2775" s="8">
        <f>IF($R$2791=0,0,R2775/$R$2791)</f>
        <v/>
      </c>
      <c r="T2775" s="8" t="n">
        <v>0.008250096785843652</v>
      </c>
      <c r="U2775" s="8" t="n">
        <v>0.01657891532630207</v>
      </c>
      <c r="V2775" s="6" t="inlineStr">
        <is>
          <t>not selected</t>
        </is>
      </c>
    </row>
    <row r="2776">
      <c r="A2776" s="6" t="inlineStr">
        <is>
          <t>DJ30</t>
        </is>
      </c>
      <c r="B2776" s="6" t="inlineStr">
        <is>
          <t>2024-09-20</t>
        </is>
      </c>
      <c r="C2776" s="6" t="inlineStr">
        <is>
          <t>DIA</t>
        </is>
      </c>
      <c r="D2776" s="6" t="inlineStr">
        <is>
          <t>JPM</t>
        </is>
      </c>
      <c r="E2776" s="6" t="inlineStr">
        <is>
          <t>JPM</t>
        </is>
      </c>
      <c r="F2776" s="6" t="inlineStr">
        <is>
          <t>-</t>
        </is>
      </c>
      <c r="G2776" s="7" t="n">
        <v>203.4910278320312</v>
      </c>
      <c r="H2776" s="6">
        <f>P2745</f>
        <v/>
      </c>
      <c r="I2776" s="9">
        <f>Q2745</f>
        <v/>
      </c>
      <c r="J2776" s="7">
        <f>I2776*G2776</f>
        <v/>
      </c>
      <c r="K2776" s="8">
        <f>IF($J$2791=0,0,J2776/$J$2791)</f>
        <v/>
      </c>
      <c r="L2776" s="6" t="inlineStr">
        <is>
          <t>WATCHLIST</t>
        </is>
      </c>
      <c r="M2776" s="8" t="n">
        <v>0</v>
      </c>
      <c r="N2776" s="7">
        <f>M2776*$J$2791-J2776</f>
        <v/>
      </c>
      <c r="O2776" s="9">
        <f>IF(G2776=0,0,N2776/G2776)</f>
        <v/>
      </c>
      <c r="P2776" s="6">
        <f>IF(M2776&gt;0,D2776,"")</f>
        <v/>
      </c>
      <c r="Q2776" s="9">
        <f>I2776+O2776</f>
        <v/>
      </c>
      <c r="R2776" s="7">
        <f>Q2776*G2776</f>
        <v/>
      </c>
      <c r="S2776" s="8">
        <f>IF($R$2791=0,0,R2776/$R$2791)</f>
        <v/>
      </c>
      <c r="T2776" s="8" t="n">
        <v>0.008250096785843652</v>
      </c>
      <c r="U2776" s="8" t="n">
        <v>0.01657891532630207</v>
      </c>
      <c r="V2776" s="6" t="inlineStr">
        <is>
          <t>not selected</t>
        </is>
      </c>
    </row>
    <row r="2777">
      <c r="A2777" s="6" t="inlineStr">
        <is>
          <t>DJ30</t>
        </is>
      </c>
      <c r="B2777" s="6" t="inlineStr">
        <is>
          <t>2024-09-20</t>
        </is>
      </c>
      <c r="C2777" s="6" t="inlineStr">
        <is>
          <t>DIA</t>
        </is>
      </c>
      <c r="D2777" s="6" t="inlineStr">
        <is>
          <t>KO</t>
        </is>
      </c>
      <c r="E2777" s="6" t="inlineStr">
        <is>
          <t>KO</t>
        </is>
      </c>
      <c r="F2777" s="6" t="inlineStr">
        <is>
          <t>-</t>
        </is>
      </c>
      <c r="G2777" s="7" t="n">
        <v>68.1514892578125</v>
      </c>
      <c r="H2777" s="6">
        <f>P2746</f>
        <v/>
      </c>
      <c r="I2777" s="9">
        <f>Q2746</f>
        <v/>
      </c>
      <c r="J2777" s="7">
        <f>I2777*G2777</f>
        <v/>
      </c>
      <c r="K2777" s="8">
        <f>IF($J$2791=0,0,J2777/$J$2791)</f>
        <v/>
      </c>
      <c r="L2777" s="6" t="inlineStr">
        <is>
          <t>SELECTED</t>
        </is>
      </c>
      <c r="M2777" s="8" t="n">
        <v>0.2</v>
      </c>
      <c r="N2777" s="7">
        <f>M2777*$J$2791-J2777</f>
        <v/>
      </c>
      <c r="O2777" s="9">
        <f>IF(G2777=0,0,N2777/G2777)</f>
        <v/>
      </c>
      <c r="P2777" s="6">
        <f>IF(M2777&gt;0,D2777,"")</f>
        <v/>
      </c>
      <c r="Q2777" s="9">
        <f>I2777+O2777</f>
        <v/>
      </c>
      <c r="R2777" s="7">
        <f>Q2777*G2777</f>
        <v/>
      </c>
      <c r="S2777" s="8">
        <f>IF($R$2791=0,0,R2777/$R$2791)</f>
        <v/>
      </c>
      <c r="T2777" s="8" t="n">
        <v>0.008250096785843652</v>
      </c>
      <c r="U2777" s="8" t="n">
        <v>0.01657891532630207</v>
      </c>
      <c r="V2777" s="6" t="inlineStr">
        <is>
          <t>remained in weekly selection</t>
        </is>
      </c>
    </row>
    <row r="2778">
      <c r="A2778" s="6" t="inlineStr">
        <is>
          <t>DJ30</t>
        </is>
      </c>
      <c r="B2778" s="6" t="inlineStr">
        <is>
          <t>2024-09-20</t>
        </is>
      </c>
      <c r="C2778" s="6" t="inlineStr">
        <is>
          <t>DIA</t>
        </is>
      </c>
      <c r="D2778" s="6" t="inlineStr">
        <is>
          <t>MCD</t>
        </is>
      </c>
      <c r="E2778" s="6" t="inlineStr">
        <is>
          <t>MCD</t>
        </is>
      </c>
      <c r="F2778" s="6" t="inlineStr">
        <is>
          <t>-</t>
        </is>
      </c>
      <c r="G2778" s="7" t="n">
        <v>284.7966003417969</v>
      </c>
      <c r="H2778" s="6">
        <f>P2747</f>
        <v/>
      </c>
      <c r="I2778" s="9">
        <f>Q2747</f>
        <v/>
      </c>
      <c r="J2778" s="7">
        <f>I2778*G2778</f>
        <v/>
      </c>
      <c r="K2778" s="8">
        <f>IF($J$2791=0,0,J2778/$J$2791)</f>
        <v/>
      </c>
      <c r="L2778" s="6" t="inlineStr">
        <is>
          <t>REJECTED</t>
        </is>
      </c>
      <c r="M2778" s="8" t="n">
        <v>0</v>
      </c>
      <c r="N2778" s="7">
        <f>M2778*$J$2791-J2778</f>
        <v/>
      </c>
      <c r="O2778" s="9">
        <f>IF(G2778=0,0,N2778/G2778)</f>
        <v/>
      </c>
      <c r="P2778" s="6">
        <f>IF(M2778&gt;0,D2778,"")</f>
        <v/>
      </c>
      <c r="Q2778" s="9">
        <f>I2778+O2778</f>
        <v/>
      </c>
      <c r="R2778" s="7">
        <f>Q2778*G2778</f>
        <v/>
      </c>
      <c r="S2778" s="8">
        <f>IF($R$2791=0,0,R2778/$R$2791)</f>
        <v/>
      </c>
      <c r="T2778" s="8" t="n">
        <v>0.008250096785843652</v>
      </c>
      <c r="U2778" s="8" t="n">
        <v>0.01657891532630207</v>
      </c>
      <c r="V2778" s="6" t="inlineStr">
        <is>
          <t>not selected</t>
        </is>
      </c>
    </row>
    <row r="2779">
      <c r="A2779" s="6" t="inlineStr">
        <is>
          <t>DJ30</t>
        </is>
      </c>
      <c r="B2779" s="6" t="inlineStr">
        <is>
          <t>2024-09-20</t>
        </is>
      </c>
      <c r="C2779" s="6" t="inlineStr">
        <is>
          <t>DIA</t>
        </is>
      </c>
      <c r="D2779" s="6" t="inlineStr">
        <is>
          <t>MMM</t>
        </is>
      </c>
      <c r="E2779" s="6" t="inlineStr">
        <is>
          <t>MMM</t>
        </is>
      </c>
      <c r="F2779" s="6" t="inlineStr">
        <is>
          <t>-</t>
        </is>
      </c>
      <c r="G2779" s="7" t="n">
        <v>130.311279296875</v>
      </c>
      <c r="H2779" s="6">
        <f>P2748</f>
        <v/>
      </c>
      <c r="I2779" s="9">
        <f>Q2748</f>
        <v/>
      </c>
      <c r="J2779" s="7">
        <f>I2779*G2779</f>
        <v/>
      </c>
      <c r="K2779" s="8">
        <f>IF($J$2791=0,0,J2779/$J$2791)</f>
        <v/>
      </c>
      <c r="L2779" s="6" t="inlineStr">
        <is>
          <t>SELECTED</t>
        </is>
      </c>
      <c r="M2779" s="8" t="n">
        <v>0.2</v>
      </c>
      <c r="N2779" s="7">
        <f>M2779*$J$2791-J2779</f>
        <v/>
      </c>
      <c r="O2779" s="9">
        <f>IF(G2779=0,0,N2779/G2779)</f>
        <v/>
      </c>
      <c r="P2779" s="6">
        <f>IF(M2779&gt;0,D2779,"")</f>
        <v/>
      </c>
      <c r="Q2779" s="9">
        <f>I2779+O2779</f>
        <v/>
      </c>
      <c r="R2779" s="7">
        <f>Q2779*G2779</f>
        <v/>
      </c>
      <c r="S2779" s="8">
        <f>IF($R$2791=0,0,R2779/$R$2791)</f>
        <v/>
      </c>
      <c r="T2779" s="8" t="n">
        <v>0.008250096785843652</v>
      </c>
      <c r="U2779" s="8" t="n">
        <v>0.01657891532630207</v>
      </c>
      <c r="V2779" s="6" t="inlineStr">
        <is>
          <t>remained in weekly selection</t>
        </is>
      </c>
    </row>
    <row r="2780">
      <c r="A2780" s="6" t="inlineStr">
        <is>
          <t>DJ30</t>
        </is>
      </c>
      <c r="B2780" s="6" t="inlineStr">
        <is>
          <t>2024-09-20</t>
        </is>
      </c>
      <c r="C2780" s="6" t="inlineStr">
        <is>
          <t>DIA</t>
        </is>
      </c>
      <c r="D2780" s="6" t="inlineStr">
        <is>
          <t>MRK</t>
        </is>
      </c>
      <c r="E2780" s="6" t="inlineStr">
        <is>
          <t>MRK</t>
        </is>
      </c>
      <c r="F2780" s="6" t="inlineStr">
        <is>
          <t>-</t>
        </is>
      </c>
      <c r="G2780" s="7" t="n">
        <v>110.410285949707</v>
      </c>
      <c r="H2780" s="6">
        <f>P2749</f>
        <v/>
      </c>
      <c r="I2780" s="9">
        <f>Q2749</f>
        <v/>
      </c>
      <c r="J2780" s="7">
        <f>I2780*G2780</f>
        <v/>
      </c>
      <c r="K2780" s="8">
        <f>IF($J$2791=0,0,J2780/$J$2791)</f>
        <v/>
      </c>
      <c r="L2780" s="6" t="inlineStr">
        <is>
          <t>WATCHLIST</t>
        </is>
      </c>
      <c r="M2780" s="8" t="n">
        <v>0</v>
      </c>
      <c r="N2780" s="7">
        <f>M2780*$J$2791-J2780</f>
        <v/>
      </c>
      <c r="O2780" s="9">
        <f>IF(G2780=0,0,N2780/G2780)</f>
        <v/>
      </c>
      <c r="P2780" s="6">
        <f>IF(M2780&gt;0,D2780,"")</f>
        <v/>
      </c>
      <c r="Q2780" s="9">
        <f>I2780+O2780</f>
        <v/>
      </c>
      <c r="R2780" s="7">
        <f>Q2780*G2780</f>
        <v/>
      </c>
      <c r="S2780" s="8">
        <f>IF($R$2791=0,0,R2780/$R$2791)</f>
        <v/>
      </c>
      <c r="T2780" s="8" t="n">
        <v>0.008250096785843652</v>
      </c>
      <c r="U2780" s="8" t="n">
        <v>0.01657891532630207</v>
      </c>
      <c r="V2780" s="6" t="inlineStr">
        <is>
          <t>not selected</t>
        </is>
      </c>
    </row>
    <row r="2781">
      <c r="A2781" s="6" t="inlineStr">
        <is>
          <t>DJ30</t>
        </is>
      </c>
      <c r="B2781" s="6" t="inlineStr">
        <is>
          <t>2024-09-20</t>
        </is>
      </c>
      <c r="C2781" s="6" t="inlineStr">
        <is>
          <t>DIA</t>
        </is>
      </c>
      <c r="D2781" s="6" t="inlineStr">
        <is>
          <t>MSFT</t>
        </is>
      </c>
      <c r="E2781" s="6" t="inlineStr">
        <is>
          <t>MSFT</t>
        </is>
      </c>
      <c r="F2781" s="6" t="inlineStr">
        <is>
          <t>-</t>
        </is>
      </c>
      <c r="G2781" s="7" t="n">
        <v>429.3075866699219</v>
      </c>
      <c r="H2781" s="6">
        <f>P2750</f>
        <v/>
      </c>
      <c r="I2781" s="9">
        <f>Q2750</f>
        <v/>
      </c>
      <c r="J2781" s="7">
        <f>I2781*G2781</f>
        <v/>
      </c>
      <c r="K2781" s="8">
        <f>IF($J$2791=0,0,J2781/$J$2791)</f>
        <v/>
      </c>
      <c r="L2781" s="6" t="inlineStr">
        <is>
          <t>WATCHLIST</t>
        </is>
      </c>
      <c r="M2781" s="8" t="n">
        <v>0</v>
      </c>
      <c r="N2781" s="7">
        <f>M2781*$J$2791-J2781</f>
        <v/>
      </c>
      <c r="O2781" s="9">
        <f>IF(G2781=0,0,N2781/G2781)</f>
        <v/>
      </c>
      <c r="P2781" s="6">
        <f>IF(M2781&gt;0,D2781,"")</f>
        <v/>
      </c>
      <c r="Q2781" s="9">
        <f>I2781+O2781</f>
        <v/>
      </c>
      <c r="R2781" s="7">
        <f>Q2781*G2781</f>
        <v/>
      </c>
      <c r="S2781" s="8">
        <f>IF($R$2791=0,0,R2781/$R$2791)</f>
        <v/>
      </c>
      <c r="T2781" s="8" t="n">
        <v>0.008250096785843652</v>
      </c>
      <c r="U2781" s="8" t="n">
        <v>0.01657891532630207</v>
      </c>
      <c r="V2781" s="6" t="inlineStr">
        <is>
          <t>not selected</t>
        </is>
      </c>
    </row>
    <row r="2782">
      <c r="A2782" s="6" t="inlineStr">
        <is>
          <t>DJ30</t>
        </is>
      </c>
      <c r="B2782" s="6" t="inlineStr">
        <is>
          <t>2024-09-20</t>
        </is>
      </c>
      <c r="C2782" s="6" t="inlineStr">
        <is>
          <t>DIA</t>
        </is>
      </c>
      <c r="D2782" s="6" t="inlineStr">
        <is>
          <t>NKE</t>
        </is>
      </c>
      <c r="E2782" s="6" t="inlineStr">
        <is>
          <t>NKE</t>
        </is>
      </c>
      <c r="F2782" s="6" t="inlineStr">
        <is>
          <t>-</t>
        </is>
      </c>
      <c r="G2782" s="7" t="n">
        <v>82.80935668945312</v>
      </c>
      <c r="H2782" s="6">
        <f>P2751</f>
        <v/>
      </c>
      <c r="I2782" s="9">
        <f>Q2751</f>
        <v/>
      </c>
      <c r="J2782" s="7">
        <f>I2782*G2782</f>
        <v/>
      </c>
      <c r="K2782" s="8">
        <f>IF($J$2791=0,0,J2782/$J$2791)</f>
        <v/>
      </c>
      <c r="L2782" s="6" t="inlineStr">
        <is>
          <t>REJECTED</t>
        </is>
      </c>
      <c r="M2782" s="8" t="n">
        <v>0</v>
      </c>
      <c r="N2782" s="7">
        <f>M2782*$J$2791-J2782</f>
        <v/>
      </c>
      <c r="O2782" s="9">
        <f>IF(G2782=0,0,N2782/G2782)</f>
        <v/>
      </c>
      <c r="P2782" s="6">
        <f>IF(M2782&gt;0,D2782,"")</f>
        <v/>
      </c>
      <c r="Q2782" s="9">
        <f>I2782+O2782</f>
        <v/>
      </c>
      <c r="R2782" s="7">
        <f>Q2782*G2782</f>
        <v/>
      </c>
      <c r="S2782" s="8">
        <f>IF($R$2791=0,0,R2782/$R$2791)</f>
        <v/>
      </c>
      <c r="T2782" s="8" t="n">
        <v>0.008250096785843652</v>
      </c>
      <c r="U2782" s="8" t="n">
        <v>0.01657891532630207</v>
      </c>
      <c r="V2782" s="6" t="inlineStr">
        <is>
          <t>not selected</t>
        </is>
      </c>
    </row>
    <row r="2783">
      <c r="A2783" s="6" t="inlineStr">
        <is>
          <t>DJ30</t>
        </is>
      </c>
      <c r="B2783" s="6" t="inlineStr">
        <is>
          <t>2024-09-20</t>
        </is>
      </c>
      <c r="C2783" s="6" t="inlineStr">
        <is>
          <t>DIA</t>
        </is>
      </c>
      <c r="D2783" s="6" t="inlineStr">
        <is>
          <t>NVDA</t>
        </is>
      </c>
      <c r="E2783" s="6" t="inlineStr">
        <is>
          <t>NVDA</t>
        </is>
      </c>
      <c r="F2783" s="6" t="inlineStr">
        <is>
          <t>-</t>
        </is>
      </c>
      <c r="G2783" s="7" t="n">
        <v>115.8190307617188</v>
      </c>
      <c r="H2783" s="6">
        <f>P2752</f>
        <v/>
      </c>
      <c r="I2783" s="9">
        <f>Q2752</f>
        <v/>
      </c>
      <c r="J2783" s="7">
        <f>I2783*G2783</f>
        <v/>
      </c>
      <c r="K2783" s="8">
        <f>IF($J$2791=0,0,J2783/$J$2791)</f>
        <v/>
      </c>
      <c r="L2783" s="6" t="inlineStr">
        <is>
          <t>SELECTED</t>
        </is>
      </c>
      <c r="M2783" s="8" t="n">
        <v>0.2</v>
      </c>
      <c r="N2783" s="7">
        <f>M2783*$J$2791-J2783</f>
        <v/>
      </c>
      <c r="O2783" s="9">
        <f>IF(G2783=0,0,N2783/G2783)</f>
        <v/>
      </c>
      <c r="P2783" s="6">
        <f>IF(M2783&gt;0,D2783,"")</f>
        <v/>
      </c>
      <c r="Q2783" s="9">
        <f>I2783+O2783</f>
        <v/>
      </c>
      <c r="R2783" s="7">
        <f>Q2783*G2783</f>
        <v/>
      </c>
      <c r="S2783" s="8">
        <f>IF($R$2791=0,0,R2783/$R$2791)</f>
        <v/>
      </c>
      <c r="T2783" s="8" t="n">
        <v>0.008250096785843652</v>
      </c>
      <c r="U2783" s="8" t="n">
        <v>0.01657891532630207</v>
      </c>
      <c r="V2783" s="6" t="inlineStr">
        <is>
          <t>remained in weekly selection</t>
        </is>
      </c>
    </row>
    <row r="2784">
      <c r="A2784" s="6" t="inlineStr">
        <is>
          <t>DJ30</t>
        </is>
      </c>
      <c r="B2784" s="6" t="inlineStr">
        <is>
          <t>2024-09-20</t>
        </is>
      </c>
      <c r="C2784" s="6" t="inlineStr">
        <is>
          <t>DIA</t>
        </is>
      </c>
      <c r="D2784" s="6" t="inlineStr">
        <is>
          <t>PG</t>
        </is>
      </c>
      <c r="E2784" s="6" t="inlineStr">
        <is>
          <t>PG</t>
        </is>
      </c>
      <c r="F2784" s="6" t="inlineStr">
        <is>
          <t>-</t>
        </is>
      </c>
      <c r="G2784" s="7" t="n">
        <v>166.3015594482422</v>
      </c>
      <c r="H2784" s="6">
        <f>P2753</f>
        <v/>
      </c>
      <c r="I2784" s="9">
        <f>Q2753</f>
        <v/>
      </c>
      <c r="J2784" s="7">
        <f>I2784*G2784</f>
        <v/>
      </c>
      <c r="K2784" s="8">
        <f>IF($J$2791=0,0,J2784/$J$2791)</f>
        <v/>
      </c>
      <c r="L2784" s="6" t="inlineStr">
        <is>
          <t>WATCHLIST</t>
        </is>
      </c>
      <c r="M2784" s="8" t="n">
        <v>0</v>
      </c>
      <c r="N2784" s="7">
        <f>M2784*$J$2791-J2784</f>
        <v/>
      </c>
      <c r="O2784" s="9">
        <f>IF(G2784=0,0,N2784/G2784)</f>
        <v/>
      </c>
      <c r="P2784" s="6">
        <f>IF(M2784&gt;0,D2784,"")</f>
        <v/>
      </c>
      <c r="Q2784" s="9">
        <f>I2784+O2784</f>
        <v/>
      </c>
      <c r="R2784" s="7">
        <f>Q2784*G2784</f>
        <v/>
      </c>
      <c r="S2784" s="8">
        <f>IF($R$2791=0,0,R2784/$R$2791)</f>
        <v/>
      </c>
      <c r="T2784" s="8" t="n">
        <v>0.008250096785843652</v>
      </c>
      <c r="U2784" s="8" t="n">
        <v>0.01657891532630207</v>
      </c>
      <c r="V2784" s="6" t="inlineStr">
        <is>
          <t>not selected</t>
        </is>
      </c>
    </row>
    <row r="2785">
      <c r="A2785" s="6" t="inlineStr">
        <is>
          <t>DJ30</t>
        </is>
      </c>
      <c r="B2785" s="6" t="inlineStr">
        <is>
          <t>2024-09-20</t>
        </is>
      </c>
      <c r="C2785" s="6" t="inlineStr">
        <is>
          <t>DIA</t>
        </is>
      </c>
      <c r="D2785" s="6" t="inlineStr">
        <is>
          <t>SHW</t>
        </is>
      </c>
      <c r="E2785" s="6" t="inlineStr">
        <is>
          <t>SHW</t>
        </is>
      </c>
      <c r="F2785" s="6" t="inlineStr">
        <is>
          <t>-</t>
        </is>
      </c>
      <c r="G2785" s="7" t="n">
        <v>372.6947021484375</v>
      </c>
      <c r="H2785" s="6">
        <f>P2754</f>
        <v/>
      </c>
      <c r="I2785" s="9">
        <f>Q2754</f>
        <v/>
      </c>
      <c r="J2785" s="7">
        <f>I2785*G2785</f>
        <v/>
      </c>
      <c r="K2785" s="8">
        <f>IF($J$2791=0,0,J2785/$J$2791)</f>
        <v/>
      </c>
      <c r="L2785" s="6" t="inlineStr">
        <is>
          <t>WATCHLIST</t>
        </is>
      </c>
      <c r="M2785" s="8" t="n">
        <v>0</v>
      </c>
      <c r="N2785" s="7">
        <f>M2785*$J$2791-J2785</f>
        <v/>
      </c>
      <c r="O2785" s="9">
        <f>IF(G2785=0,0,N2785/G2785)</f>
        <v/>
      </c>
      <c r="P2785" s="6">
        <f>IF(M2785&gt;0,D2785,"")</f>
        <v/>
      </c>
      <c r="Q2785" s="9">
        <f>I2785+O2785</f>
        <v/>
      </c>
      <c r="R2785" s="7">
        <f>Q2785*G2785</f>
        <v/>
      </c>
      <c r="S2785" s="8">
        <f>IF($R$2791=0,0,R2785/$R$2791)</f>
        <v/>
      </c>
      <c r="T2785" s="8" t="n">
        <v>0.008250096785843652</v>
      </c>
      <c r="U2785" s="8" t="n">
        <v>0.01657891532630207</v>
      </c>
      <c r="V2785" s="6" t="inlineStr">
        <is>
          <t>not selected</t>
        </is>
      </c>
    </row>
    <row r="2786">
      <c r="A2786" s="6" t="inlineStr">
        <is>
          <t>DJ30</t>
        </is>
      </c>
      <c r="B2786" s="6" t="inlineStr">
        <is>
          <t>2024-09-20</t>
        </is>
      </c>
      <c r="C2786" s="6" t="inlineStr">
        <is>
          <t>DIA</t>
        </is>
      </c>
      <c r="D2786" s="6" t="inlineStr">
        <is>
          <t>TRV</t>
        </is>
      </c>
      <c r="E2786" s="6" t="inlineStr">
        <is>
          <t>TRV</t>
        </is>
      </c>
      <c r="F2786" s="6" t="inlineStr">
        <is>
          <t>-</t>
        </is>
      </c>
      <c r="G2786" s="7" t="n">
        <v>231.9067077636719</v>
      </c>
      <c r="H2786" s="6">
        <f>P2755</f>
        <v/>
      </c>
      <c r="I2786" s="9">
        <f>Q2755</f>
        <v/>
      </c>
      <c r="J2786" s="7">
        <f>I2786*G2786</f>
        <v/>
      </c>
      <c r="K2786" s="8">
        <f>IF($J$2791=0,0,J2786/$J$2791)</f>
        <v/>
      </c>
      <c r="L2786" s="6" t="inlineStr">
        <is>
          <t>WATCHLIST</t>
        </is>
      </c>
      <c r="M2786" s="8" t="n">
        <v>0</v>
      </c>
      <c r="N2786" s="7">
        <f>M2786*$J$2791-J2786</f>
        <v/>
      </c>
      <c r="O2786" s="9">
        <f>IF(G2786=0,0,N2786/G2786)</f>
        <v/>
      </c>
      <c r="P2786" s="6">
        <f>IF(M2786&gt;0,D2786,"")</f>
        <v/>
      </c>
      <c r="Q2786" s="9">
        <f>I2786+O2786</f>
        <v/>
      </c>
      <c r="R2786" s="7">
        <f>Q2786*G2786</f>
        <v/>
      </c>
      <c r="S2786" s="8">
        <f>IF($R$2791=0,0,R2786/$R$2791)</f>
        <v/>
      </c>
      <c r="T2786" s="8" t="n">
        <v>0.008250096785843652</v>
      </c>
      <c r="U2786" s="8" t="n">
        <v>0.01657891532630207</v>
      </c>
      <c r="V2786" s="6" t="inlineStr">
        <is>
          <t>not selected</t>
        </is>
      </c>
    </row>
    <row r="2787">
      <c r="A2787" s="6" t="inlineStr">
        <is>
          <t>DJ30</t>
        </is>
      </c>
      <c r="B2787" s="6" t="inlineStr">
        <is>
          <t>2024-09-20</t>
        </is>
      </c>
      <c r="C2787" s="6" t="inlineStr">
        <is>
          <t>DIA</t>
        </is>
      </c>
      <c r="D2787" s="6" t="inlineStr">
        <is>
          <t>UNH</t>
        </is>
      </c>
      <c r="E2787" s="6" t="inlineStr">
        <is>
          <t>UNH</t>
        </is>
      </c>
      <c r="F2787" s="6" t="inlineStr">
        <is>
          <t>-</t>
        </is>
      </c>
      <c r="G2787" s="7" t="n">
        <v>551.5729370117188</v>
      </c>
      <c r="H2787" s="6">
        <f>P2756</f>
        <v/>
      </c>
      <c r="I2787" s="9">
        <f>Q2756</f>
        <v/>
      </c>
      <c r="J2787" s="7">
        <f>I2787*G2787</f>
        <v/>
      </c>
      <c r="K2787" s="8">
        <f>IF($J$2791=0,0,J2787/$J$2791)</f>
        <v/>
      </c>
      <c r="L2787" s="6" t="inlineStr">
        <is>
          <t>REJECTED</t>
        </is>
      </c>
      <c r="M2787" s="8" t="n">
        <v>0</v>
      </c>
      <c r="N2787" s="7">
        <f>M2787*$J$2791-J2787</f>
        <v/>
      </c>
      <c r="O2787" s="9">
        <f>IF(G2787=0,0,N2787/G2787)</f>
        <v/>
      </c>
      <c r="P2787" s="6">
        <f>IF(M2787&gt;0,D2787,"")</f>
        <v/>
      </c>
      <c r="Q2787" s="9">
        <f>I2787+O2787</f>
        <v/>
      </c>
      <c r="R2787" s="7">
        <f>Q2787*G2787</f>
        <v/>
      </c>
      <c r="S2787" s="8">
        <f>IF($R$2791=0,0,R2787/$R$2791)</f>
        <v/>
      </c>
      <c r="T2787" s="8" t="n">
        <v>0.008250096785843652</v>
      </c>
      <c r="U2787" s="8" t="n">
        <v>0.01657891532630207</v>
      </c>
      <c r="V2787" s="6" t="inlineStr">
        <is>
          <t>not selected</t>
        </is>
      </c>
    </row>
    <row r="2788">
      <c r="A2788" s="6" t="inlineStr">
        <is>
          <t>DJ30</t>
        </is>
      </c>
      <c r="B2788" s="6" t="inlineStr">
        <is>
          <t>2024-09-20</t>
        </is>
      </c>
      <c r="C2788" s="6" t="inlineStr">
        <is>
          <t>DIA</t>
        </is>
      </c>
      <c r="D2788" s="6" t="inlineStr">
        <is>
          <t>V</t>
        </is>
      </c>
      <c r="E2788" s="6" t="inlineStr">
        <is>
          <t>V</t>
        </is>
      </c>
      <c r="F2788" s="6" t="inlineStr">
        <is>
          <t>-</t>
        </is>
      </c>
      <c r="G2788" s="7" t="n">
        <v>281.0616149902344</v>
      </c>
      <c r="H2788" s="6">
        <f>P2757</f>
        <v/>
      </c>
      <c r="I2788" s="9">
        <f>Q2757</f>
        <v/>
      </c>
      <c r="J2788" s="7">
        <f>I2788*G2788</f>
        <v/>
      </c>
      <c r="K2788" s="8">
        <f>IF($J$2791=0,0,J2788/$J$2791)</f>
        <v/>
      </c>
      <c r="L2788" s="6" t="inlineStr">
        <is>
          <t>WATCHLIST</t>
        </is>
      </c>
      <c r="M2788" s="8" t="n">
        <v>0</v>
      </c>
      <c r="N2788" s="7">
        <f>M2788*$J$2791-J2788</f>
        <v/>
      </c>
      <c r="O2788" s="9">
        <f>IF(G2788=0,0,N2788/G2788)</f>
        <v/>
      </c>
      <c r="P2788" s="6">
        <f>IF(M2788&gt;0,D2788,"")</f>
        <v/>
      </c>
      <c r="Q2788" s="9">
        <f>I2788+O2788</f>
        <v/>
      </c>
      <c r="R2788" s="7">
        <f>Q2788*G2788</f>
        <v/>
      </c>
      <c r="S2788" s="8">
        <f>IF($R$2791=0,0,R2788/$R$2791)</f>
        <v/>
      </c>
      <c r="T2788" s="8" t="n">
        <v>0.008250096785843652</v>
      </c>
      <c r="U2788" s="8" t="n">
        <v>0.01657891532630207</v>
      </c>
      <c r="V2788" s="6" t="inlineStr">
        <is>
          <t>not selected</t>
        </is>
      </c>
    </row>
    <row r="2789">
      <c r="A2789" s="6" t="inlineStr">
        <is>
          <t>DJ30</t>
        </is>
      </c>
      <c r="B2789" s="6" t="inlineStr">
        <is>
          <t>2024-09-20</t>
        </is>
      </c>
      <c r="C2789" s="6" t="inlineStr">
        <is>
          <t>DIA</t>
        </is>
      </c>
      <c r="D2789" s="6" t="inlineStr">
        <is>
          <t>VZ</t>
        </is>
      </c>
      <c r="E2789" s="6" t="inlineStr">
        <is>
          <t>VZ</t>
        </is>
      </c>
      <c r="F2789" s="6" t="inlineStr">
        <is>
          <t>-</t>
        </is>
      </c>
      <c r="G2789" s="7" t="n">
        <v>39.54579925537109</v>
      </c>
      <c r="H2789" s="6">
        <f>P2758</f>
        <v/>
      </c>
      <c r="I2789" s="9">
        <f>Q2758</f>
        <v/>
      </c>
      <c r="J2789" s="7">
        <f>I2789*G2789</f>
        <v/>
      </c>
      <c r="K2789" s="8">
        <f>IF($J$2791=0,0,J2789/$J$2791)</f>
        <v/>
      </c>
      <c r="L2789" s="6" t="inlineStr">
        <is>
          <t>WATCHLIST</t>
        </is>
      </c>
      <c r="M2789" s="8" t="n">
        <v>0</v>
      </c>
      <c r="N2789" s="7">
        <f>M2789*$J$2791-J2789</f>
        <v/>
      </c>
      <c r="O2789" s="9">
        <f>IF(G2789=0,0,N2789/G2789)</f>
        <v/>
      </c>
      <c r="P2789" s="6">
        <f>IF(M2789&gt;0,D2789,"")</f>
        <v/>
      </c>
      <c r="Q2789" s="9">
        <f>I2789+O2789</f>
        <v/>
      </c>
      <c r="R2789" s="7">
        <f>Q2789*G2789</f>
        <v/>
      </c>
      <c r="S2789" s="8">
        <f>IF($R$2791=0,0,R2789/$R$2791)</f>
        <v/>
      </c>
      <c r="T2789" s="8" t="n">
        <v>0.008250096785843652</v>
      </c>
      <c r="U2789" s="8" t="n">
        <v>0.01657891532630207</v>
      </c>
      <c r="V2789" s="6" t="inlineStr">
        <is>
          <t>not selected</t>
        </is>
      </c>
    </row>
    <row r="2790">
      <c r="A2790" s="6" t="inlineStr">
        <is>
          <t>DJ30</t>
        </is>
      </c>
      <c r="B2790" s="6" t="inlineStr">
        <is>
          <t>2024-09-20</t>
        </is>
      </c>
      <c r="C2790" s="6" t="inlineStr">
        <is>
          <t>DIA</t>
        </is>
      </c>
      <c r="D2790" s="6" t="inlineStr">
        <is>
          <t>WMT</t>
        </is>
      </c>
      <c r="E2790" s="6" t="inlineStr">
        <is>
          <t>WMT</t>
        </is>
      </c>
      <c r="F2790" s="6" t="inlineStr">
        <is>
          <t>-</t>
        </is>
      </c>
      <c r="G2790" s="7" t="n">
        <v>77.82872009277344</v>
      </c>
      <c r="H2790" s="6">
        <f>P2759</f>
        <v/>
      </c>
      <c r="I2790" s="9">
        <f>Q2759</f>
        <v/>
      </c>
      <c r="J2790" s="7">
        <f>I2790*G2790</f>
        <v/>
      </c>
      <c r="K2790" s="8">
        <f>IF($J$2791=0,0,J2790/$J$2791)</f>
        <v/>
      </c>
      <c r="L2790" s="6" t="inlineStr">
        <is>
          <t>WATCHLIST</t>
        </is>
      </c>
      <c r="M2790" s="8" t="n">
        <v>0</v>
      </c>
      <c r="N2790" s="7">
        <f>M2790*$J$2791-J2790</f>
        <v/>
      </c>
      <c r="O2790" s="9">
        <f>IF(G2790=0,0,N2790/G2790)</f>
        <v/>
      </c>
      <c r="P2790" s="6">
        <f>IF(M2790&gt;0,D2790,"")</f>
        <v/>
      </c>
      <c r="Q2790" s="9">
        <f>I2790+O2790</f>
        <v/>
      </c>
      <c r="R2790" s="7">
        <f>Q2790*G2790</f>
        <v/>
      </c>
      <c r="S2790" s="8">
        <f>IF($R$2791=0,0,R2790/$R$2791)</f>
        <v/>
      </c>
      <c r="T2790" s="8" t="n">
        <v>0.008250096785843652</v>
      </c>
      <c r="U2790" s="8" t="n">
        <v>0.01657891532630207</v>
      </c>
      <c r="V2790" s="6" t="inlineStr">
        <is>
          <t>not selected</t>
        </is>
      </c>
    </row>
    <row r="2791">
      <c r="A2791" s="10" t="inlineStr">
        <is>
          <t>DJ30</t>
        </is>
      </c>
      <c r="B2791" s="10" t="inlineStr">
        <is>
          <t>2024-09-20</t>
        </is>
      </c>
      <c r="C2791" s="10" t="inlineStr">
        <is>
          <t>DIA</t>
        </is>
      </c>
      <c r="D2791" s="10" t="inlineStr">
        <is>
          <t>Tot Portfolio</t>
        </is>
      </c>
      <c r="E2791" s="10" t="inlineStr"/>
      <c r="F2791" s="10" t="inlineStr"/>
      <c r="G2791" s="11" t="inlineStr"/>
      <c r="H2791" s="10" t="inlineStr"/>
      <c r="I2791" s="12" t="inlineStr"/>
      <c r="J2791" s="11">
        <f>SUM(J2761:J2790)</f>
        <v/>
      </c>
      <c r="K2791" s="13">
        <f>SUM(K2761:K2790)</f>
        <v/>
      </c>
      <c r="L2791" s="10" t="inlineStr">
        <is>
          <t>TOTAL</t>
        </is>
      </c>
      <c r="M2791" s="13">
        <f>SUM(M2761:M2790)</f>
        <v/>
      </c>
      <c r="N2791" s="11">
        <f>SUM(N2761:N2790)</f>
        <v/>
      </c>
      <c r="O2791" s="12">
        <f>SUM(O2761:O2790)</f>
        <v/>
      </c>
      <c r="P2791" s="10" t="inlineStr"/>
      <c r="Q2791" s="12" t="inlineStr"/>
      <c r="R2791" s="11">
        <f>SUM(R2761:R2790)</f>
        <v/>
      </c>
      <c r="S2791" s="13">
        <f>SUM(S2761:S2790)</f>
        <v/>
      </c>
      <c r="T2791" s="13" t="n">
        <v>0.008250096785843652</v>
      </c>
      <c r="U2791" s="13" t="n">
        <v>0.01657891532630207</v>
      </c>
      <c r="V2791" s="10" t="inlineStr"/>
    </row>
    <row r="2792">
      <c r="A2792" s="6" t="inlineStr">
        <is>
          <t>DJ30</t>
        </is>
      </c>
      <c r="B2792" s="6" t="inlineStr">
        <is>
          <t>2024-09-27</t>
        </is>
      </c>
      <c r="C2792" s="6" t="inlineStr">
        <is>
          <t>DIA</t>
        </is>
      </c>
      <c r="D2792" s="6" t="inlineStr">
        <is>
          <t>AAPL</t>
        </is>
      </c>
      <c r="E2792" s="6" t="inlineStr">
        <is>
          <t>AAPL</t>
        </is>
      </c>
      <c r="F2792" s="6" t="inlineStr">
        <is>
          <t>-</t>
        </is>
      </c>
      <c r="G2792" s="7" t="n">
        <v>226.0951232910156</v>
      </c>
      <c r="H2792" s="6">
        <f>P2761</f>
        <v/>
      </c>
      <c r="I2792" s="9">
        <f>Q2761</f>
        <v/>
      </c>
      <c r="J2792" s="7">
        <f>I2792*G2792</f>
        <v/>
      </c>
      <c r="K2792" s="8">
        <f>IF($J$2822=0,0,J2792/$J$2822)</f>
        <v/>
      </c>
      <c r="L2792" s="6" t="inlineStr">
        <is>
          <t>WATCHLIST</t>
        </is>
      </c>
      <c r="M2792" s="8" t="n">
        <v>0</v>
      </c>
      <c r="N2792" s="7">
        <f>M2792*$J$2822-J2792</f>
        <v/>
      </c>
      <c r="O2792" s="9">
        <f>IF(G2792=0,0,N2792/G2792)</f>
        <v/>
      </c>
      <c r="P2792" s="6">
        <f>IF(M2792&gt;0,D2792,"")</f>
        <v/>
      </c>
      <c r="Q2792" s="9">
        <f>I2792+O2792</f>
        <v/>
      </c>
      <c r="R2792" s="7">
        <f>Q2792*G2792</f>
        <v/>
      </c>
      <c r="S2792" s="8">
        <f>IF($R$2822=0,0,R2792/$R$2822)</f>
        <v/>
      </c>
      <c r="T2792" s="8" t="n">
        <v>0.01790743718238552</v>
      </c>
      <c r="U2792" s="8" t="n">
        <v>0.005658908217166969</v>
      </c>
      <c r="V2792" s="6" t="inlineStr">
        <is>
          <t>not selected</t>
        </is>
      </c>
    </row>
    <row r="2793">
      <c r="A2793" s="6" t="inlineStr">
        <is>
          <t>DJ30</t>
        </is>
      </c>
      <c r="B2793" s="6" t="inlineStr">
        <is>
          <t>2024-09-27</t>
        </is>
      </c>
      <c r="C2793" s="6" t="inlineStr">
        <is>
          <t>DIA</t>
        </is>
      </c>
      <c r="D2793" s="6" t="inlineStr">
        <is>
          <t>AMGN</t>
        </is>
      </c>
      <c r="E2793" s="6" t="inlineStr">
        <is>
          <t>AMGN</t>
        </is>
      </c>
      <c r="F2793" s="6" t="inlineStr">
        <is>
          <t>-</t>
        </is>
      </c>
      <c r="G2793" s="7" t="n">
        <v>305.5779724121094</v>
      </c>
      <c r="H2793" s="6">
        <f>P2762</f>
        <v/>
      </c>
      <c r="I2793" s="9">
        <f>Q2762</f>
        <v/>
      </c>
      <c r="J2793" s="7">
        <f>I2793*G2793</f>
        <v/>
      </c>
      <c r="K2793" s="8">
        <f>IF($J$2822=0,0,J2793/$J$2822)</f>
        <v/>
      </c>
      <c r="L2793" s="6" t="inlineStr">
        <is>
          <t>WATCHLIST</t>
        </is>
      </c>
      <c r="M2793" s="8" t="n">
        <v>0</v>
      </c>
      <c r="N2793" s="7">
        <f>M2793*$J$2822-J2793</f>
        <v/>
      </c>
      <c r="O2793" s="9">
        <f>IF(G2793=0,0,N2793/G2793)</f>
        <v/>
      </c>
      <c r="P2793" s="6">
        <f>IF(M2793&gt;0,D2793,"")</f>
        <v/>
      </c>
      <c r="Q2793" s="9">
        <f>I2793+O2793</f>
        <v/>
      </c>
      <c r="R2793" s="7">
        <f>Q2793*G2793</f>
        <v/>
      </c>
      <c r="S2793" s="8">
        <f>IF($R$2822=0,0,R2793/$R$2822)</f>
        <v/>
      </c>
      <c r="T2793" s="8" t="n">
        <v>0.01790743718238552</v>
      </c>
      <c r="U2793" s="8" t="n">
        <v>0.005658908217166969</v>
      </c>
      <c r="V2793" s="6" t="inlineStr">
        <is>
          <t>not selected</t>
        </is>
      </c>
    </row>
    <row r="2794">
      <c r="A2794" s="6" t="inlineStr">
        <is>
          <t>DJ30</t>
        </is>
      </c>
      <c r="B2794" s="6" t="inlineStr">
        <is>
          <t>2024-09-27</t>
        </is>
      </c>
      <c r="C2794" s="6" t="inlineStr">
        <is>
          <t>DIA</t>
        </is>
      </c>
      <c r="D2794" s="6" t="inlineStr">
        <is>
          <t>AMZN</t>
        </is>
      </c>
      <c r="E2794" s="6" t="inlineStr">
        <is>
          <t>AMZN</t>
        </is>
      </c>
      <c r="F2794" s="6" t="inlineStr">
        <is>
          <t>-</t>
        </is>
      </c>
      <c r="G2794" s="7" t="n">
        <v>187.9700012207031</v>
      </c>
      <c r="H2794" s="6">
        <f>P2763</f>
        <v/>
      </c>
      <c r="I2794" s="9">
        <f>Q2763</f>
        <v/>
      </c>
      <c r="J2794" s="7">
        <f>I2794*G2794</f>
        <v/>
      </c>
      <c r="K2794" s="8">
        <f>IF($J$2822=0,0,J2794/$J$2822)</f>
        <v/>
      </c>
      <c r="L2794" s="6" t="inlineStr">
        <is>
          <t>WATCHLIST</t>
        </is>
      </c>
      <c r="M2794" s="8" t="n">
        <v>0</v>
      </c>
      <c r="N2794" s="7">
        <f>M2794*$J$2822-J2794</f>
        <v/>
      </c>
      <c r="O2794" s="9">
        <f>IF(G2794=0,0,N2794/G2794)</f>
        <v/>
      </c>
      <c r="P2794" s="6">
        <f>IF(M2794&gt;0,D2794,"")</f>
        <v/>
      </c>
      <c r="Q2794" s="9">
        <f>I2794+O2794</f>
        <v/>
      </c>
      <c r="R2794" s="7">
        <f>Q2794*G2794</f>
        <v/>
      </c>
      <c r="S2794" s="8">
        <f>IF($R$2822=0,0,R2794/$R$2822)</f>
        <v/>
      </c>
      <c r="T2794" s="8" t="n">
        <v>0.01790743718238552</v>
      </c>
      <c r="U2794" s="8" t="n">
        <v>0.005658908217166969</v>
      </c>
      <c r="V2794" s="6" t="inlineStr">
        <is>
          <t>not selected</t>
        </is>
      </c>
    </row>
    <row r="2795">
      <c r="A2795" s="6" t="inlineStr">
        <is>
          <t>DJ30</t>
        </is>
      </c>
      <c r="B2795" s="6" t="inlineStr">
        <is>
          <t>2024-09-27</t>
        </is>
      </c>
      <c r="C2795" s="6" t="inlineStr">
        <is>
          <t>DIA</t>
        </is>
      </c>
      <c r="D2795" s="6" t="inlineStr">
        <is>
          <t>AXP</t>
        </is>
      </c>
      <c r="E2795" s="6" t="inlineStr">
        <is>
          <t>AXP</t>
        </is>
      </c>
      <c r="F2795" s="6" t="inlineStr">
        <is>
          <t>-</t>
        </is>
      </c>
      <c r="G2795" s="7" t="n">
        <v>266.0382995605469</v>
      </c>
      <c r="H2795" s="6">
        <f>P2764</f>
        <v/>
      </c>
      <c r="I2795" s="9">
        <f>Q2764</f>
        <v/>
      </c>
      <c r="J2795" s="7">
        <f>I2795*G2795</f>
        <v/>
      </c>
      <c r="K2795" s="8">
        <f>IF($J$2822=0,0,J2795/$J$2822)</f>
        <v/>
      </c>
      <c r="L2795" s="6" t="inlineStr">
        <is>
          <t>SELECTED</t>
        </is>
      </c>
      <c r="M2795" s="8" t="n">
        <v>0.2</v>
      </c>
      <c r="N2795" s="7">
        <f>M2795*$J$2822-J2795</f>
        <v/>
      </c>
      <c r="O2795" s="9">
        <f>IF(G2795=0,0,N2795/G2795)</f>
        <v/>
      </c>
      <c r="P2795" s="6">
        <f>IF(M2795&gt;0,D2795,"")</f>
        <v/>
      </c>
      <c r="Q2795" s="9">
        <f>I2795+O2795</f>
        <v/>
      </c>
      <c r="R2795" s="7">
        <f>Q2795*G2795</f>
        <v/>
      </c>
      <c r="S2795" s="8">
        <f>IF($R$2822=0,0,R2795/$R$2822)</f>
        <v/>
      </c>
      <c r="T2795" s="8" t="n">
        <v>0.01790743718238552</v>
      </c>
      <c r="U2795" s="8" t="n">
        <v>0.005658908217166969</v>
      </c>
      <c r="V2795" s="6" t="inlineStr">
        <is>
          <t>remained in weekly selection</t>
        </is>
      </c>
    </row>
    <row r="2796">
      <c r="A2796" s="6" t="inlineStr">
        <is>
          <t>DJ30</t>
        </is>
      </c>
      <c r="B2796" s="6" t="inlineStr">
        <is>
          <t>2024-09-27</t>
        </is>
      </c>
      <c r="C2796" s="6" t="inlineStr">
        <is>
          <t>DIA</t>
        </is>
      </c>
      <c r="D2796" s="6" t="inlineStr">
        <is>
          <t>BA</t>
        </is>
      </c>
      <c r="E2796" s="6" t="inlineStr">
        <is>
          <t>BA</t>
        </is>
      </c>
      <c r="F2796" s="6" t="inlineStr">
        <is>
          <t>-</t>
        </is>
      </c>
      <c r="G2796" s="7" t="n">
        <v>156.3200073242188</v>
      </c>
      <c r="H2796" s="6">
        <f>P2765</f>
        <v/>
      </c>
      <c r="I2796" s="9">
        <f>Q2765</f>
        <v/>
      </c>
      <c r="J2796" s="7">
        <f>I2796*G2796</f>
        <v/>
      </c>
      <c r="K2796" s="8">
        <f>IF($J$2822=0,0,J2796/$J$2822)</f>
        <v/>
      </c>
      <c r="L2796" s="6" t="inlineStr">
        <is>
          <t>REJECTED</t>
        </is>
      </c>
      <c r="M2796" s="8" t="n">
        <v>0</v>
      </c>
      <c r="N2796" s="7">
        <f>M2796*$J$2822-J2796</f>
        <v/>
      </c>
      <c r="O2796" s="9">
        <f>IF(G2796=0,0,N2796/G2796)</f>
        <v/>
      </c>
      <c r="P2796" s="6">
        <f>IF(M2796&gt;0,D2796,"")</f>
        <v/>
      </c>
      <c r="Q2796" s="9">
        <f>I2796+O2796</f>
        <v/>
      </c>
      <c r="R2796" s="7">
        <f>Q2796*G2796</f>
        <v/>
      </c>
      <c r="S2796" s="8">
        <f>IF($R$2822=0,0,R2796/$R$2822)</f>
        <v/>
      </c>
      <c r="T2796" s="8" t="n">
        <v>0.01790743718238552</v>
      </c>
      <c r="U2796" s="8" t="n">
        <v>0.005658908217166969</v>
      </c>
      <c r="V2796" s="6" t="inlineStr">
        <is>
          <t>not selected</t>
        </is>
      </c>
    </row>
    <row r="2797">
      <c r="A2797" s="6" t="inlineStr">
        <is>
          <t>DJ30</t>
        </is>
      </c>
      <c r="B2797" s="6" t="inlineStr">
        <is>
          <t>2024-09-27</t>
        </is>
      </c>
      <c r="C2797" s="6" t="inlineStr">
        <is>
          <t>DIA</t>
        </is>
      </c>
      <c r="D2797" s="6" t="inlineStr">
        <is>
          <t>CAT</t>
        </is>
      </c>
      <c r="E2797" s="6" t="inlineStr">
        <is>
          <t>CAT</t>
        </is>
      </c>
      <c r="F2797" s="6" t="inlineStr">
        <is>
          <t>-</t>
        </is>
      </c>
      <c r="G2797" s="7" t="n">
        <v>382.259033203125</v>
      </c>
      <c r="H2797" s="6">
        <f>P2766</f>
        <v/>
      </c>
      <c r="I2797" s="9">
        <f>Q2766</f>
        <v/>
      </c>
      <c r="J2797" s="7">
        <f>I2797*G2797</f>
        <v/>
      </c>
      <c r="K2797" s="8">
        <f>IF($J$2822=0,0,J2797/$J$2822)</f>
        <v/>
      </c>
      <c r="L2797" s="6" t="inlineStr">
        <is>
          <t>WATCHLIST</t>
        </is>
      </c>
      <c r="M2797" s="8" t="n">
        <v>0</v>
      </c>
      <c r="N2797" s="7">
        <f>M2797*$J$2822-J2797</f>
        <v/>
      </c>
      <c r="O2797" s="9">
        <f>IF(G2797=0,0,N2797/G2797)</f>
        <v/>
      </c>
      <c r="P2797" s="6">
        <f>IF(M2797&gt;0,D2797,"")</f>
        <v/>
      </c>
      <c r="Q2797" s="9">
        <f>I2797+O2797</f>
        <v/>
      </c>
      <c r="R2797" s="7">
        <f>Q2797*G2797</f>
        <v/>
      </c>
      <c r="S2797" s="8">
        <f>IF($R$2822=0,0,R2797/$R$2822)</f>
        <v/>
      </c>
      <c r="T2797" s="8" t="n">
        <v>0.01790743718238552</v>
      </c>
      <c r="U2797" s="8" t="n">
        <v>0.005658908217166969</v>
      </c>
      <c r="V2797" s="6" t="inlineStr">
        <is>
          <t>not selected</t>
        </is>
      </c>
    </row>
    <row r="2798">
      <c r="A2798" s="6" t="inlineStr">
        <is>
          <t>DJ30</t>
        </is>
      </c>
      <c r="B2798" s="6" t="inlineStr">
        <is>
          <t>2024-09-27</t>
        </is>
      </c>
      <c r="C2798" s="6" t="inlineStr">
        <is>
          <t>DIA</t>
        </is>
      </c>
      <c r="D2798" s="6" t="inlineStr">
        <is>
          <t>CRM</t>
        </is>
      </c>
      <c r="E2798" s="6" t="inlineStr">
        <is>
          <t>CRM</t>
        </is>
      </c>
      <c r="F2798" s="6" t="inlineStr">
        <is>
          <t>-</t>
        </is>
      </c>
      <c r="G2798" s="7" t="n">
        <v>273.142578125</v>
      </c>
      <c r="H2798" s="6">
        <f>P2767</f>
        <v/>
      </c>
      <c r="I2798" s="9">
        <f>Q2767</f>
        <v/>
      </c>
      <c r="J2798" s="7">
        <f>I2798*G2798</f>
        <v/>
      </c>
      <c r="K2798" s="8">
        <f>IF($J$2822=0,0,J2798/$J$2822)</f>
        <v/>
      </c>
      <c r="L2798" s="6" t="inlineStr">
        <is>
          <t>REJECTED</t>
        </is>
      </c>
      <c r="M2798" s="8" t="n">
        <v>0</v>
      </c>
      <c r="N2798" s="7">
        <f>M2798*$J$2822-J2798</f>
        <v/>
      </c>
      <c r="O2798" s="9">
        <f>IF(G2798=0,0,N2798/G2798)</f>
        <v/>
      </c>
      <c r="P2798" s="6">
        <f>IF(M2798&gt;0,D2798,"")</f>
        <v/>
      </c>
      <c r="Q2798" s="9">
        <f>I2798+O2798</f>
        <v/>
      </c>
      <c r="R2798" s="7">
        <f>Q2798*G2798</f>
        <v/>
      </c>
      <c r="S2798" s="8">
        <f>IF($R$2822=0,0,R2798/$R$2822)</f>
        <v/>
      </c>
      <c r="T2798" s="8" t="n">
        <v>0.01790743718238552</v>
      </c>
      <c r="U2798" s="8" t="n">
        <v>0.005658908217166969</v>
      </c>
      <c r="V2798" s="6" t="inlineStr">
        <is>
          <t>not selected</t>
        </is>
      </c>
    </row>
    <row r="2799">
      <c r="A2799" s="6" t="inlineStr">
        <is>
          <t>DJ30</t>
        </is>
      </c>
      <c r="B2799" s="6" t="inlineStr">
        <is>
          <t>2024-09-27</t>
        </is>
      </c>
      <c r="C2799" s="6" t="inlineStr">
        <is>
          <t>DIA</t>
        </is>
      </c>
      <c r="D2799" s="6" t="inlineStr">
        <is>
          <t>CSCO</t>
        </is>
      </c>
      <c r="E2799" s="6" t="inlineStr">
        <is>
          <t>CSCO</t>
        </is>
      </c>
      <c r="F2799" s="6" t="inlineStr">
        <is>
          <t>-</t>
        </is>
      </c>
      <c r="G2799" s="7" t="n">
        <v>50.74707794189453</v>
      </c>
      <c r="H2799" s="6">
        <f>P2768</f>
        <v/>
      </c>
      <c r="I2799" s="9">
        <f>Q2768</f>
        <v/>
      </c>
      <c r="J2799" s="7">
        <f>I2799*G2799</f>
        <v/>
      </c>
      <c r="K2799" s="8">
        <f>IF($J$2822=0,0,J2799/$J$2822)</f>
        <v/>
      </c>
      <c r="L2799" s="6" t="inlineStr">
        <is>
          <t>REJECTED</t>
        </is>
      </c>
      <c r="M2799" s="8" t="n">
        <v>0</v>
      </c>
      <c r="N2799" s="7">
        <f>M2799*$J$2822-J2799</f>
        <v/>
      </c>
      <c r="O2799" s="9">
        <f>IF(G2799=0,0,N2799/G2799)</f>
        <v/>
      </c>
      <c r="P2799" s="6">
        <f>IF(M2799&gt;0,D2799,"")</f>
        <v/>
      </c>
      <c r="Q2799" s="9">
        <f>I2799+O2799</f>
        <v/>
      </c>
      <c r="R2799" s="7">
        <f>Q2799*G2799</f>
        <v/>
      </c>
      <c r="S2799" s="8">
        <f>IF($R$2822=0,0,R2799/$R$2822)</f>
        <v/>
      </c>
      <c r="T2799" s="8" t="n">
        <v>0.01790743718238552</v>
      </c>
      <c r="U2799" s="8" t="n">
        <v>0.005658908217166969</v>
      </c>
      <c r="V2799" s="6" t="inlineStr">
        <is>
          <t>not selected</t>
        </is>
      </c>
    </row>
    <row r="2800">
      <c r="A2800" s="6" t="inlineStr">
        <is>
          <t>DJ30</t>
        </is>
      </c>
      <c r="B2800" s="6" t="inlineStr">
        <is>
          <t>2024-09-27</t>
        </is>
      </c>
      <c r="C2800" s="6" t="inlineStr">
        <is>
          <t>DIA</t>
        </is>
      </c>
      <c r="D2800" s="6" t="inlineStr">
        <is>
          <t>CVX</t>
        </is>
      </c>
      <c r="E2800" s="6" t="inlineStr">
        <is>
          <t>CVX</t>
        </is>
      </c>
      <c r="F2800" s="6" t="inlineStr">
        <is>
          <t>-</t>
        </is>
      </c>
      <c r="G2800" s="7" t="n">
        <v>135.0697631835938</v>
      </c>
      <c r="H2800" s="6">
        <f>P2769</f>
        <v/>
      </c>
      <c r="I2800" s="9">
        <f>Q2769</f>
        <v/>
      </c>
      <c r="J2800" s="7">
        <f>I2800*G2800</f>
        <v/>
      </c>
      <c r="K2800" s="8">
        <f>IF($J$2822=0,0,J2800/$J$2822)</f>
        <v/>
      </c>
      <c r="L2800" s="6" t="inlineStr">
        <is>
          <t>REJECTED</t>
        </is>
      </c>
      <c r="M2800" s="8" t="n">
        <v>0</v>
      </c>
      <c r="N2800" s="7">
        <f>M2800*$J$2822-J2800</f>
        <v/>
      </c>
      <c r="O2800" s="9">
        <f>IF(G2800=0,0,N2800/G2800)</f>
        <v/>
      </c>
      <c r="P2800" s="6">
        <f>IF(M2800&gt;0,D2800,"")</f>
        <v/>
      </c>
      <c r="Q2800" s="9">
        <f>I2800+O2800</f>
        <v/>
      </c>
      <c r="R2800" s="7">
        <f>Q2800*G2800</f>
        <v/>
      </c>
      <c r="S2800" s="8">
        <f>IF($R$2822=0,0,R2800/$R$2822)</f>
        <v/>
      </c>
      <c r="T2800" s="8" t="n">
        <v>0.01790743718238552</v>
      </c>
      <c r="U2800" s="8" t="n">
        <v>0.005658908217166969</v>
      </c>
      <c r="V2800" s="6" t="inlineStr">
        <is>
          <t>not selected</t>
        </is>
      </c>
    </row>
    <row r="2801">
      <c r="A2801" s="6" t="inlineStr">
        <is>
          <t>DJ30</t>
        </is>
      </c>
      <c r="B2801" s="6" t="inlineStr">
        <is>
          <t>2024-09-27</t>
        </is>
      </c>
      <c r="C2801" s="6" t="inlineStr">
        <is>
          <t>DIA</t>
        </is>
      </c>
      <c r="D2801" s="6" t="inlineStr">
        <is>
          <t>DIS</t>
        </is>
      </c>
      <c r="E2801" s="6" t="inlineStr">
        <is>
          <t>DIS</t>
        </is>
      </c>
      <c r="F2801" s="6" t="inlineStr">
        <is>
          <t>-</t>
        </is>
      </c>
      <c r="G2801" s="7" t="n">
        <v>94.54091644287109</v>
      </c>
      <c r="H2801" s="6">
        <f>P2770</f>
        <v/>
      </c>
      <c r="I2801" s="9">
        <f>Q2770</f>
        <v/>
      </c>
      <c r="J2801" s="7">
        <f>I2801*G2801</f>
        <v/>
      </c>
      <c r="K2801" s="8">
        <f>IF($J$2822=0,0,J2801/$J$2822)</f>
        <v/>
      </c>
      <c r="L2801" s="6" t="inlineStr">
        <is>
          <t>REJECTED</t>
        </is>
      </c>
      <c r="M2801" s="8" t="n">
        <v>0</v>
      </c>
      <c r="N2801" s="7">
        <f>M2801*$J$2822-J2801</f>
        <v/>
      </c>
      <c r="O2801" s="9">
        <f>IF(G2801=0,0,N2801/G2801)</f>
        <v/>
      </c>
      <c r="P2801" s="6">
        <f>IF(M2801&gt;0,D2801,"")</f>
        <v/>
      </c>
      <c r="Q2801" s="9">
        <f>I2801+O2801</f>
        <v/>
      </c>
      <c r="R2801" s="7">
        <f>Q2801*G2801</f>
        <v/>
      </c>
      <c r="S2801" s="8">
        <f>IF($R$2822=0,0,R2801/$R$2822)</f>
        <v/>
      </c>
      <c r="T2801" s="8" t="n">
        <v>0.01790743718238552</v>
      </c>
      <c r="U2801" s="8" t="n">
        <v>0.005658908217166969</v>
      </c>
      <c r="V2801" s="6" t="inlineStr">
        <is>
          <t>not selected</t>
        </is>
      </c>
    </row>
    <row r="2802">
      <c r="A2802" s="6" t="inlineStr">
        <is>
          <t>DJ30</t>
        </is>
      </c>
      <c r="B2802" s="6" t="inlineStr">
        <is>
          <t>2024-09-27</t>
        </is>
      </c>
      <c r="C2802" s="6" t="inlineStr">
        <is>
          <t>DIA</t>
        </is>
      </c>
      <c r="D2802" s="6" t="inlineStr">
        <is>
          <t>GS</t>
        </is>
      </c>
      <c r="E2802" s="6" t="inlineStr">
        <is>
          <t>GS</t>
        </is>
      </c>
      <c r="F2802" s="6" t="inlineStr">
        <is>
          <t>-</t>
        </is>
      </c>
      <c r="G2802" s="7" t="n">
        <v>481.464599609375</v>
      </c>
      <c r="H2802" s="6">
        <f>P2771</f>
        <v/>
      </c>
      <c r="I2802" s="9">
        <f>Q2771</f>
        <v/>
      </c>
      <c r="J2802" s="7">
        <f>I2802*G2802</f>
        <v/>
      </c>
      <c r="K2802" s="8">
        <f>IF($J$2822=0,0,J2802/$J$2822)</f>
        <v/>
      </c>
      <c r="L2802" s="6" t="inlineStr">
        <is>
          <t>WATCHLIST</t>
        </is>
      </c>
      <c r="M2802" s="8" t="n">
        <v>0</v>
      </c>
      <c r="N2802" s="7">
        <f>M2802*$J$2822-J2802</f>
        <v/>
      </c>
      <c r="O2802" s="9">
        <f>IF(G2802=0,0,N2802/G2802)</f>
        <v/>
      </c>
      <c r="P2802" s="6">
        <f>IF(M2802&gt;0,D2802,"")</f>
        <v/>
      </c>
      <c r="Q2802" s="9">
        <f>I2802+O2802</f>
        <v/>
      </c>
      <c r="R2802" s="7">
        <f>Q2802*G2802</f>
        <v/>
      </c>
      <c r="S2802" s="8">
        <f>IF($R$2822=0,0,R2802/$R$2822)</f>
        <v/>
      </c>
      <c r="T2802" s="8" t="n">
        <v>0.01790743718238552</v>
      </c>
      <c r="U2802" s="8" t="n">
        <v>0.005658908217166969</v>
      </c>
      <c r="V2802" s="6" t="inlineStr">
        <is>
          <t>not selected</t>
        </is>
      </c>
    </row>
    <row r="2803">
      <c r="A2803" s="6" t="inlineStr">
        <is>
          <t>DJ30</t>
        </is>
      </c>
      <c r="B2803" s="6" t="inlineStr">
        <is>
          <t>2024-09-27</t>
        </is>
      </c>
      <c r="C2803" s="6" t="inlineStr">
        <is>
          <t>DIA</t>
        </is>
      </c>
      <c r="D2803" s="6" t="inlineStr">
        <is>
          <t>HD</t>
        </is>
      </c>
      <c r="E2803" s="6" t="inlineStr">
        <is>
          <t>HD</t>
        </is>
      </c>
      <c r="F2803" s="6" t="inlineStr">
        <is>
          <t>-</t>
        </is>
      </c>
      <c r="G2803" s="7" t="n">
        <v>382.3265686035156</v>
      </c>
      <c r="H2803" s="6">
        <f>P2772</f>
        <v/>
      </c>
      <c r="I2803" s="9">
        <f>Q2772</f>
        <v/>
      </c>
      <c r="J2803" s="7">
        <f>I2803*G2803</f>
        <v/>
      </c>
      <c r="K2803" s="8">
        <f>IF($J$2822=0,0,J2803/$J$2822)</f>
        <v/>
      </c>
      <c r="L2803" s="6" t="inlineStr">
        <is>
          <t>WATCHLIST</t>
        </is>
      </c>
      <c r="M2803" s="8" t="n">
        <v>0</v>
      </c>
      <c r="N2803" s="7">
        <f>M2803*$J$2822-J2803</f>
        <v/>
      </c>
      <c r="O2803" s="9">
        <f>IF(G2803=0,0,N2803/G2803)</f>
        <v/>
      </c>
      <c r="P2803" s="6">
        <f>IF(M2803&gt;0,D2803,"")</f>
        <v/>
      </c>
      <c r="Q2803" s="9">
        <f>I2803+O2803</f>
        <v/>
      </c>
      <c r="R2803" s="7">
        <f>Q2803*G2803</f>
        <v/>
      </c>
      <c r="S2803" s="8">
        <f>IF($R$2822=0,0,R2803/$R$2822)</f>
        <v/>
      </c>
      <c r="T2803" s="8" t="n">
        <v>0.01790743718238552</v>
      </c>
      <c r="U2803" s="8" t="n">
        <v>0.005658908217166969</v>
      </c>
      <c r="V2803" s="6" t="inlineStr">
        <is>
          <t>not selected</t>
        </is>
      </c>
    </row>
    <row r="2804">
      <c r="A2804" s="6" t="inlineStr">
        <is>
          <t>DJ30</t>
        </is>
      </c>
      <c r="B2804" s="6" t="inlineStr">
        <is>
          <t>2024-09-27</t>
        </is>
      </c>
      <c r="C2804" s="6" t="inlineStr">
        <is>
          <t>DIA</t>
        </is>
      </c>
      <c r="D2804" s="6" t="inlineStr">
        <is>
          <t>HON</t>
        </is>
      </c>
      <c r="E2804" s="6" t="inlineStr">
        <is>
          <t>HON</t>
        </is>
      </c>
      <c r="F2804" s="6" t="inlineStr">
        <is>
          <t>-</t>
        </is>
      </c>
      <c r="G2804" s="7" t="n">
        <v>188.5953979492188</v>
      </c>
      <c r="H2804" s="6">
        <f>P2773</f>
        <v/>
      </c>
      <c r="I2804" s="9">
        <f>Q2773</f>
        <v/>
      </c>
      <c r="J2804" s="7">
        <f>I2804*G2804</f>
        <v/>
      </c>
      <c r="K2804" s="8">
        <f>IF($J$2822=0,0,J2804/$J$2822)</f>
        <v/>
      </c>
      <c r="L2804" s="6" t="inlineStr">
        <is>
          <t>WATCHLIST</t>
        </is>
      </c>
      <c r="M2804" s="8" t="n">
        <v>0</v>
      </c>
      <c r="N2804" s="7">
        <f>M2804*$J$2822-J2804</f>
        <v/>
      </c>
      <c r="O2804" s="9">
        <f>IF(G2804=0,0,N2804/G2804)</f>
        <v/>
      </c>
      <c r="P2804" s="6">
        <f>IF(M2804&gt;0,D2804,"")</f>
        <v/>
      </c>
      <c r="Q2804" s="9">
        <f>I2804+O2804</f>
        <v/>
      </c>
      <c r="R2804" s="7">
        <f>Q2804*G2804</f>
        <v/>
      </c>
      <c r="S2804" s="8">
        <f>IF($R$2822=0,0,R2804/$R$2822)</f>
        <v/>
      </c>
      <c r="T2804" s="8" t="n">
        <v>0.01790743718238552</v>
      </c>
      <c r="U2804" s="8" t="n">
        <v>0.005658908217166969</v>
      </c>
      <c r="V2804" s="6" t="inlineStr">
        <is>
          <t>not selected</t>
        </is>
      </c>
    </row>
    <row r="2805">
      <c r="A2805" s="6" t="inlineStr">
        <is>
          <t>DJ30</t>
        </is>
      </c>
      <c r="B2805" s="6" t="inlineStr">
        <is>
          <t>2024-09-27</t>
        </is>
      </c>
      <c r="C2805" s="6" t="inlineStr">
        <is>
          <t>DIA</t>
        </is>
      </c>
      <c r="D2805" s="6" t="inlineStr">
        <is>
          <t>IBM</t>
        </is>
      </c>
      <c r="E2805" s="6" t="inlineStr">
        <is>
          <t>IBM</t>
        </is>
      </c>
      <c r="F2805" s="6" t="inlineStr">
        <is>
          <t>-</t>
        </is>
      </c>
      <c r="G2805" s="7" t="n">
        <v>210.831771850586</v>
      </c>
      <c r="H2805" s="6">
        <f>P2774</f>
        <v/>
      </c>
      <c r="I2805" s="9">
        <f>Q2774</f>
        <v/>
      </c>
      <c r="J2805" s="7">
        <f>I2805*G2805</f>
        <v/>
      </c>
      <c r="K2805" s="8">
        <f>IF($J$2822=0,0,J2805/$J$2822)</f>
        <v/>
      </c>
      <c r="L2805" s="6" t="inlineStr">
        <is>
          <t>SELECTED</t>
        </is>
      </c>
      <c r="M2805" s="8" t="n">
        <v>0.2</v>
      </c>
      <c r="N2805" s="7">
        <f>M2805*$J$2822-J2805</f>
        <v/>
      </c>
      <c r="O2805" s="9">
        <f>IF(G2805=0,0,N2805/G2805)</f>
        <v/>
      </c>
      <c r="P2805" s="6">
        <f>IF(M2805&gt;0,D2805,"")</f>
        <v/>
      </c>
      <c r="Q2805" s="9">
        <f>I2805+O2805</f>
        <v/>
      </c>
      <c r="R2805" s="7">
        <f>Q2805*G2805</f>
        <v/>
      </c>
      <c r="S2805" s="8">
        <f>IF($R$2822=0,0,R2805/$R$2822)</f>
        <v/>
      </c>
      <c r="T2805" s="8" t="n">
        <v>0.01790743718238552</v>
      </c>
      <c r="U2805" s="8" t="n">
        <v>0.005658908217166969</v>
      </c>
      <c r="V2805" s="6" t="inlineStr">
        <is>
          <t>remained in weekly selection</t>
        </is>
      </c>
    </row>
    <row r="2806">
      <c r="A2806" s="6" t="inlineStr">
        <is>
          <t>DJ30</t>
        </is>
      </c>
      <c r="B2806" s="6" t="inlineStr">
        <is>
          <t>2024-09-27</t>
        </is>
      </c>
      <c r="C2806" s="6" t="inlineStr">
        <is>
          <t>DIA</t>
        </is>
      </c>
      <c r="D2806" s="6" t="inlineStr">
        <is>
          <t>JNJ</t>
        </is>
      </c>
      <c r="E2806" s="6" t="inlineStr">
        <is>
          <t>JNJ</t>
        </is>
      </c>
      <c r="F2806" s="6" t="inlineStr">
        <is>
          <t>-</t>
        </is>
      </c>
      <c r="G2806" s="7" t="n">
        <v>153.6543731689453</v>
      </c>
      <c r="H2806" s="6">
        <f>P2775</f>
        <v/>
      </c>
      <c r="I2806" s="9">
        <f>Q2775</f>
        <v/>
      </c>
      <c r="J2806" s="7">
        <f>I2806*G2806</f>
        <v/>
      </c>
      <c r="K2806" s="8">
        <f>IF($J$2822=0,0,J2806/$J$2822)</f>
        <v/>
      </c>
      <c r="L2806" s="6" t="inlineStr">
        <is>
          <t>REJECTED</t>
        </is>
      </c>
      <c r="M2806" s="8" t="n">
        <v>0</v>
      </c>
      <c r="N2806" s="7">
        <f>M2806*$J$2822-J2806</f>
        <v/>
      </c>
      <c r="O2806" s="9">
        <f>IF(G2806=0,0,N2806/G2806)</f>
        <v/>
      </c>
      <c r="P2806" s="6">
        <f>IF(M2806&gt;0,D2806,"")</f>
        <v/>
      </c>
      <c r="Q2806" s="9">
        <f>I2806+O2806</f>
        <v/>
      </c>
      <c r="R2806" s="7">
        <f>Q2806*G2806</f>
        <v/>
      </c>
      <c r="S2806" s="8">
        <f>IF($R$2822=0,0,R2806/$R$2822)</f>
        <v/>
      </c>
      <c r="T2806" s="8" t="n">
        <v>0.01790743718238552</v>
      </c>
      <c r="U2806" s="8" t="n">
        <v>0.005658908217166969</v>
      </c>
      <c r="V2806" s="6" t="inlineStr">
        <is>
          <t>not selected</t>
        </is>
      </c>
    </row>
    <row r="2807">
      <c r="A2807" s="6" t="inlineStr">
        <is>
          <t>DJ30</t>
        </is>
      </c>
      <c r="B2807" s="6" t="inlineStr">
        <is>
          <t>2024-09-27</t>
        </is>
      </c>
      <c r="C2807" s="6" t="inlineStr">
        <is>
          <t>DIA</t>
        </is>
      </c>
      <c r="D2807" s="6" t="inlineStr">
        <is>
          <t>JPM</t>
        </is>
      </c>
      <c r="E2807" s="6" t="inlineStr">
        <is>
          <t>JPM</t>
        </is>
      </c>
      <c r="F2807" s="6" t="inlineStr">
        <is>
          <t>-</t>
        </is>
      </c>
      <c r="G2807" s="7" t="n">
        <v>202.9222869873047</v>
      </c>
      <c r="H2807" s="6">
        <f>P2776</f>
        <v/>
      </c>
      <c r="I2807" s="9">
        <f>Q2776</f>
        <v/>
      </c>
      <c r="J2807" s="7">
        <f>I2807*G2807</f>
        <v/>
      </c>
      <c r="K2807" s="8">
        <f>IF($J$2822=0,0,J2807/$J$2822)</f>
        <v/>
      </c>
      <c r="L2807" s="6" t="inlineStr">
        <is>
          <t>WATCHLIST</t>
        </is>
      </c>
      <c r="M2807" s="8" t="n">
        <v>0</v>
      </c>
      <c r="N2807" s="7">
        <f>M2807*$J$2822-J2807</f>
        <v/>
      </c>
      <c r="O2807" s="9">
        <f>IF(G2807=0,0,N2807/G2807)</f>
        <v/>
      </c>
      <c r="P2807" s="6">
        <f>IF(M2807&gt;0,D2807,"")</f>
        <v/>
      </c>
      <c r="Q2807" s="9">
        <f>I2807+O2807</f>
        <v/>
      </c>
      <c r="R2807" s="7">
        <f>Q2807*G2807</f>
        <v/>
      </c>
      <c r="S2807" s="8">
        <f>IF($R$2822=0,0,R2807/$R$2822)</f>
        <v/>
      </c>
      <c r="T2807" s="8" t="n">
        <v>0.01790743718238552</v>
      </c>
      <c r="U2807" s="8" t="n">
        <v>0.005658908217166969</v>
      </c>
      <c r="V2807" s="6" t="inlineStr">
        <is>
          <t>not selected</t>
        </is>
      </c>
    </row>
    <row r="2808">
      <c r="A2808" s="6" t="inlineStr">
        <is>
          <t>DJ30</t>
        </is>
      </c>
      <c r="B2808" s="6" t="inlineStr">
        <is>
          <t>2024-09-27</t>
        </is>
      </c>
      <c r="C2808" s="6" t="inlineStr">
        <is>
          <t>DIA</t>
        </is>
      </c>
      <c r="D2808" s="6" t="inlineStr">
        <is>
          <t>KO</t>
        </is>
      </c>
      <c r="E2808" s="6" t="inlineStr">
        <is>
          <t>KO</t>
        </is>
      </c>
      <c r="F2808" s="6" t="inlineStr">
        <is>
          <t>-</t>
        </is>
      </c>
      <c r="G2808" s="7" t="n">
        <v>68.29420471191406</v>
      </c>
      <c r="H2808" s="6">
        <f>P2777</f>
        <v/>
      </c>
      <c r="I2808" s="9">
        <f>Q2777</f>
        <v/>
      </c>
      <c r="J2808" s="7">
        <f>I2808*G2808</f>
        <v/>
      </c>
      <c r="K2808" s="8">
        <f>IF($J$2822=0,0,J2808/$J$2822)</f>
        <v/>
      </c>
      <c r="L2808" s="6" t="inlineStr">
        <is>
          <t>SELECTED</t>
        </is>
      </c>
      <c r="M2808" s="8" t="n">
        <v>0.2</v>
      </c>
      <c r="N2808" s="7">
        <f>M2808*$J$2822-J2808</f>
        <v/>
      </c>
      <c r="O2808" s="9">
        <f>IF(G2808=0,0,N2808/G2808)</f>
        <v/>
      </c>
      <c r="P2808" s="6">
        <f>IF(M2808&gt;0,D2808,"")</f>
        <v/>
      </c>
      <c r="Q2808" s="9">
        <f>I2808+O2808</f>
        <v/>
      </c>
      <c r="R2808" s="7">
        <f>Q2808*G2808</f>
        <v/>
      </c>
      <c r="S2808" s="8">
        <f>IF($R$2822=0,0,R2808/$R$2822)</f>
        <v/>
      </c>
      <c r="T2808" s="8" t="n">
        <v>0.01790743718238552</v>
      </c>
      <c r="U2808" s="8" t="n">
        <v>0.005658908217166969</v>
      </c>
      <c r="V2808" s="6" t="inlineStr">
        <is>
          <t>remained in weekly selection</t>
        </is>
      </c>
    </row>
    <row r="2809">
      <c r="A2809" s="6" t="inlineStr">
        <is>
          <t>DJ30</t>
        </is>
      </c>
      <c r="B2809" s="6" t="inlineStr">
        <is>
          <t>2024-09-27</t>
        </is>
      </c>
      <c r="C2809" s="6" t="inlineStr">
        <is>
          <t>DIA</t>
        </is>
      </c>
      <c r="D2809" s="6" t="inlineStr">
        <is>
          <t>MCD</t>
        </is>
      </c>
      <c r="E2809" s="6" t="inlineStr">
        <is>
          <t>MCD</t>
        </is>
      </c>
      <c r="F2809" s="6" t="inlineStr">
        <is>
          <t>-</t>
        </is>
      </c>
      <c r="G2809" s="7" t="n">
        <v>291.3785400390625</v>
      </c>
      <c r="H2809" s="6">
        <f>P2778</f>
        <v/>
      </c>
      <c r="I2809" s="9">
        <f>Q2778</f>
        <v/>
      </c>
      <c r="J2809" s="7">
        <f>I2809*G2809</f>
        <v/>
      </c>
      <c r="K2809" s="8">
        <f>IF($J$2822=0,0,J2809/$J$2822)</f>
        <v/>
      </c>
      <c r="L2809" s="6" t="inlineStr">
        <is>
          <t>REJECTED</t>
        </is>
      </c>
      <c r="M2809" s="8" t="n">
        <v>0</v>
      </c>
      <c r="N2809" s="7">
        <f>M2809*$J$2822-J2809</f>
        <v/>
      </c>
      <c r="O2809" s="9">
        <f>IF(G2809=0,0,N2809/G2809)</f>
        <v/>
      </c>
      <c r="P2809" s="6">
        <f>IF(M2809&gt;0,D2809,"")</f>
        <v/>
      </c>
      <c r="Q2809" s="9">
        <f>I2809+O2809</f>
        <v/>
      </c>
      <c r="R2809" s="7">
        <f>Q2809*G2809</f>
        <v/>
      </c>
      <c r="S2809" s="8">
        <f>IF($R$2822=0,0,R2809/$R$2822)</f>
        <v/>
      </c>
      <c r="T2809" s="8" t="n">
        <v>0.01790743718238552</v>
      </c>
      <c r="U2809" s="8" t="n">
        <v>0.005658908217166969</v>
      </c>
      <c r="V2809" s="6" t="inlineStr">
        <is>
          <t>not selected</t>
        </is>
      </c>
    </row>
    <row r="2810">
      <c r="A2810" s="6" t="inlineStr">
        <is>
          <t>DJ30</t>
        </is>
      </c>
      <c r="B2810" s="6" t="inlineStr">
        <is>
          <t>2024-09-27</t>
        </is>
      </c>
      <c r="C2810" s="6" t="inlineStr">
        <is>
          <t>DIA</t>
        </is>
      </c>
      <c r="D2810" s="6" t="inlineStr">
        <is>
          <t>MMM</t>
        </is>
      </c>
      <c r="E2810" s="6" t="inlineStr">
        <is>
          <t>MMM</t>
        </is>
      </c>
      <c r="F2810" s="6" t="inlineStr">
        <is>
          <t>-</t>
        </is>
      </c>
      <c r="G2810" s="7" t="n">
        <v>132.7575531005859</v>
      </c>
      <c r="H2810" s="6">
        <f>P2779</f>
        <v/>
      </c>
      <c r="I2810" s="9">
        <f>Q2779</f>
        <v/>
      </c>
      <c r="J2810" s="7">
        <f>I2810*G2810</f>
        <v/>
      </c>
      <c r="K2810" s="8">
        <f>IF($J$2822=0,0,J2810/$J$2822)</f>
        <v/>
      </c>
      <c r="L2810" s="6" t="inlineStr">
        <is>
          <t>SELECTED</t>
        </is>
      </c>
      <c r="M2810" s="8" t="n">
        <v>0.2</v>
      </c>
      <c r="N2810" s="7">
        <f>M2810*$J$2822-J2810</f>
        <v/>
      </c>
      <c r="O2810" s="9">
        <f>IF(G2810=0,0,N2810/G2810)</f>
        <v/>
      </c>
      <c r="P2810" s="6">
        <f>IF(M2810&gt;0,D2810,"")</f>
        <v/>
      </c>
      <c r="Q2810" s="9">
        <f>I2810+O2810</f>
        <v/>
      </c>
      <c r="R2810" s="7">
        <f>Q2810*G2810</f>
        <v/>
      </c>
      <c r="S2810" s="8">
        <f>IF($R$2822=0,0,R2810/$R$2822)</f>
        <v/>
      </c>
      <c r="T2810" s="8" t="n">
        <v>0.01790743718238552</v>
      </c>
      <c r="U2810" s="8" t="n">
        <v>0.005658908217166969</v>
      </c>
      <c r="V2810" s="6" t="inlineStr">
        <is>
          <t>remained in weekly selection</t>
        </is>
      </c>
    </row>
    <row r="2811">
      <c r="A2811" s="6" t="inlineStr">
        <is>
          <t>DJ30</t>
        </is>
      </c>
      <c r="B2811" s="6" t="inlineStr">
        <is>
          <t>2024-09-27</t>
        </is>
      </c>
      <c r="C2811" s="6" t="inlineStr">
        <is>
          <t>DIA</t>
        </is>
      </c>
      <c r="D2811" s="6" t="inlineStr">
        <is>
          <t>MRK</t>
        </is>
      </c>
      <c r="E2811" s="6" t="inlineStr">
        <is>
          <t>MRK</t>
        </is>
      </c>
      <c r="F2811" s="6" t="inlineStr">
        <is>
          <t>-</t>
        </is>
      </c>
      <c r="G2811" s="7" t="n">
        <v>107.1310424804688</v>
      </c>
      <c r="H2811" s="6">
        <f>P2780</f>
        <v/>
      </c>
      <c r="I2811" s="9">
        <f>Q2780</f>
        <v/>
      </c>
      <c r="J2811" s="7">
        <f>I2811*G2811</f>
        <v/>
      </c>
      <c r="K2811" s="8">
        <f>IF($J$2822=0,0,J2811/$J$2822)</f>
        <v/>
      </c>
      <c r="L2811" s="6" t="inlineStr">
        <is>
          <t>WATCHLIST</t>
        </is>
      </c>
      <c r="M2811" s="8" t="n">
        <v>0</v>
      </c>
      <c r="N2811" s="7">
        <f>M2811*$J$2822-J2811</f>
        <v/>
      </c>
      <c r="O2811" s="9">
        <f>IF(G2811=0,0,N2811/G2811)</f>
        <v/>
      </c>
      <c r="P2811" s="6">
        <f>IF(M2811&gt;0,D2811,"")</f>
        <v/>
      </c>
      <c r="Q2811" s="9">
        <f>I2811+O2811</f>
        <v/>
      </c>
      <c r="R2811" s="7">
        <f>Q2811*G2811</f>
        <v/>
      </c>
      <c r="S2811" s="8">
        <f>IF($R$2822=0,0,R2811/$R$2822)</f>
        <v/>
      </c>
      <c r="T2811" s="8" t="n">
        <v>0.01790743718238552</v>
      </c>
      <c r="U2811" s="8" t="n">
        <v>0.005658908217166969</v>
      </c>
      <c r="V2811" s="6" t="inlineStr">
        <is>
          <t>not selected</t>
        </is>
      </c>
    </row>
    <row r="2812">
      <c r="A2812" s="6" t="inlineStr">
        <is>
          <t>DJ30</t>
        </is>
      </c>
      <c r="B2812" s="6" t="inlineStr">
        <is>
          <t>2024-09-27</t>
        </is>
      </c>
      <c r="C2812" s="6" t="inlineStr">
        <is>
          <t>DIA</t>
        </is>
      </c>
      <c r="D2812" s="6" t="inlineStr">
        <is>
          <t>MSFT</t>
        </is>
      </c>
      <c r="E2812" s="6" t="inlineStr">
        <is>
          <t>MSFT</t>
        </is>
      </c>
      <c r="F2812" s="6" t="inlineStr">
        <is>
          <t>-</t>
        </is>
      </c>
      <c r="G2812" s="7" t="n">
        <v>422.1569213867188</v>
      </c>
      <c r="H2812" s="6">
        <f>P2781</f>
        <v/>
      </c>
      <c r="I2812" s="9">
        <f>Q2781</f>
        <v/>
      </c>
      <c r="J2812" s="7">
        <f>I2812*G2812</f>
        <v/>
      </c>
      <c r="K2812" s="8">
        <f>IF($J$2822=0,0,J2812/$J$2822)</f>
        <v/>
      </c>
      <c r="L2812" s="6" t="inlineStr">
        <is>
          <t>WATCHLIST</t>
        </is>
      </c>
      <c r="M2812" s="8" t="n">
        <v>0</v>
      </c>
      <c r="N2812" s="7">
        <f>M2812*$J$2822-J2812</f>
        <v/>
      </c>
      <c r="O2812" s="9">
        <f>IF(G2812=0,0,N2812/G2812)</f>
        <v/>
      </c>
      <c r="P2812" s="6">
        <f>IF(M2812&gt;0,D2812,"")</f>
        <v/>
      </c>
      <c r="Q2812" s="9">
        <f>I2812+O2812</f>
        <v/>
      </c>
      <c r="R2812" s="7">
        <f>Q2812*G2812</f>
        <v/>
      </c>
      <c r="S2812" s="8">
        <f>IF($R$2822=0,0,R2812/$R$2822)</f>
        <v/>
      </c>
      <c r="T2812" s="8" t="n">
        <v>0.01790743718238552</v>
      </c>
      <c r="U2812" s="8" t="n">
        <v>0.005658908217166969</v>
      </c>
      <c r="V2812" s="6" t="inlineStr">
        <is>
          <t>not selected</t>
        </is>
      </c>
    </row>
    <row r="2813">
      <c r="A2813" s="6" t="inlineStr">
        <is>
          <t>DJ30</t>
        </is>
      </c>
      <c r="B2813" s="6" t="inlineStr">
        <is>
          <t>2024-09-27</t>
        </is>
      </c>
      <c r="C2813" s="6" t="inlineStr">
        <is>
          <t>DIA</t>
        </is>
      </c>
      <c r="D2813" s="6" t="inlineStr">
        <is>
          <t>NKE</t>
        </is>
      </c>
      <c r="E2813" s="6" t="inlineStr">
        <is>
          <t>NKE</t>
        </is>
      </c>
      <c r="F2813" s="6" t="inlineStr">
        <is>
          <t>-</t>
        </is>
      </c>
      <c r="G2813" s="7" t="n">
        <v>85.60413360595703</v>
      </c>
      <c r="H2813" s="6">
        <f>P2782</f>
        <v/>
      </c>
      <c r="I2813" s="9">
        <f>Q2782</f>
        <v/>
      </c>
      <c r="J2813" s="7">
        <f>I2813*G2813</f>
        <v/>
      </c>
      <c r="K2813" s="8">
        <f>IF($J$2822=0,0,J2813/$J$2822)</f>
        <v/>
      </c>
      <c r="L2813" s="6" t="inlineStr">
        <is>
          <t>REJECTED</t>
        </is>
      </c>
      <c r="M2813" s="8" t="n">
        <v>0</v>
      </c>
      <c r="N2813" s="7">
        <f>M2813*$J$2822-J2813</f>
        <v/>
      </c>
      <c r="O2813" s="9">
        <f>IF(G2813=0,0,N2813/G2813)</f>
        <v/>
      </c>
      <c r="P2813" s="6">
        <f>IF(M2813&gt;0,D2813,"")</f>
        <v/>
      </c>
      <c r="Q2813" s="9">
        <f>I2813+O2813</f>
        <v/>
      </c>
      <c r="R2813" s="7">
        <f>Q2813*G2813</f>
        <v/>
      </c>
      <c r="S2813" s="8">
        <f>IF($R$2822=0,0,R2813/$R$2822)</f>
        <v/>
      </c>
      <c r="T2813" s="8" t="n">
        <v>0.01790743718238552</v>
      </c>
      <c r="U2813" s="8" t="n">
        <v>0.005658908217166969</v>
      </c>
      <c r="V2813" s="6" t="inlineStr">
        <is>
          <t>not selected</t>
        </is>
      </c>
    </row>
    <row r="2814">
      <c r="A2814" s="6" t="inlineStr">
        <is>
          <t>DJ30</t>
        </is>
      </c>
      <c r="B2814" s="6" t="inlineStr">
        <is>
          <t>2024-09-27</t>
        </is>
      </c>
      <c r="C2814" s="6" t="inlineStr">
        <is>
          <t>DIA</t>
        </is>
      </c>
      <c r="D2814" s="6" t="inlineStr">
        <is>
          <t>NVDA</t>
        </is>
      </c>
      <c r="E2814" s="6" t="inlineStr">
        <is>
          <t>NVDA</t>
        </is>
      </c>
      <c r="F2814" s="6" t="inlineStr">
        <is>
          <t>-</t>
        </is>
      </c>
      <c r="G2814" s="7" t="n">
        <v>121.2106018066406</v>
      </c>
      <c r="H2814" s="6">
        <f>P2783</f>
        <v/>
      </c>
      <c r="I2814" s="9">
        <f>Q2783</f>
        <v/>
      </c>
      <c r="J2814" s="7">
        <f>I2814*G2814</f>
        <v/>
      </c>
      <c r="K2814" s="8">
        <f>IF($J$2822=0,0,J2814/$J$2822)</f>
        <v/>
      </c>
      <c r="L2814" s="6" t="inlineStr">
        <is>
          <t>SELECTED</t>
        </is>
      </c>
      <c r="M2814" s="8" t="n">
        <v>0.2</v>
      </c>
      <c r="N2814" s="7">
        <f>M2814*$J$2822-J2814</f>
        <v/>
      </c>
      <c r="O2814" s="9">
        <f>IF(G2814=0,0,N2814/G2814)</f>
        <v/>
      </c>
      <c r="P2814" s="6">
        <f>IF(M2814&gt;0,D2814,"")</f>
        <v/>
      </c>
      <c r="Q2814" s="9">
        <f>I2814+O2814</f>
        <v/>
      </c>
      <c r="R2814" s="7">
        <f>Q2814*G2814</f>
        <v/>
      </c>
      <c r="S2814" s="8">
        <f>IF($R$2822=0,0,R2814/$R$2822)</f>
        <v/>
      </c>
      <c r="T2814" s="8" t="n">
        <v>0.01790743718238552</v>
      </c>
      <c r="U2814" s="8" t="n">
        <v>0.005658908217166969</v>
      </c>
      <c r="V2814" s="6" t="inlineStr">
        <is>
          <t>remained in weekly selection</t>
        </is>
      </c>
    </row>
    <row r="2815">
      <c r="A2815" s="6" t="inlineStr">
        <is>
          <t>DJ30</t>
        </is>
      </c>
      <c r="B2815" s="6" t="inlineStr">
        <is>
          <t>2024-09-27</t>
        </is>
      </c>
      <c r="C2815" s="6" t="inlineStr">
        <is>
          <t>DIA</t>
        </is>
      </c>
      <c r="D2815" s="6" t="inlineStr">
        <is>
          <t>PG</t>
        </is>
      </c>
      <c r="E2815" s="6" t="inlineStr">
        <is>
          <t>PG</t>
        </is>
      </c>
      <c r="F2815" s="6" t="inlineStr">
        <is>
          <t>-</t>
        </is>
      </c>
      <c r="G2815" s="7" t="n">
        <v>165.6620025634766</v>
      </c>
      <c r="H2815" s="6">
        <f>P2784</f>
        <v/>
      </c>
      <c r="I2815" s="9">
        <f>Q2784</f>
        <v/>
      </c>
      <c r="J2815" s="7">
        <f>I2815*G2815</f>
        <v/>
      </c>
      <c r="K2815" s="8">
        <f>IF($J$2822=0,0,J2815/$J$2822)</f>
        <v/>
      </c>
      <c r="L2815" s="6" t="inlineStr">
        <is>
          <t>WATCHLIST</t>
        </is>
      </c>
      <c r="M2815" s="8" t="n">
        <v>0</v>
      </c>
      <c r="N2815" s="7">
        <f>M2815*$J$2822-J2815</f>
        <v/>
      </c>
      <c r="O2815" s="9">
        <f>IF(G2815=0,0,N2815/G2815)</f>
        <v/>
      </c>
      <c r="P2815" s="6">
        <f>IF(M2815&gt;0,D2815,"")</f>
        <v/>
      </c>
      <c r="Q2815" s="9">
        <f>I2815+O2815</f>
        <v/>
      </c>
      <c r="R2815" s="7">
        <f>Q2815*G2815</f>
        <v/>
      </c>
      <c r="S2815" s="8">
        <f>IF($R$2822=0,0,R2815/$R$2822)</f>
        <v/>
      </c>
      <c r="T2815" s="8" t="n">
        <v>0.01790743718238552</v>
      </c>
      <c r="U2815" s="8" t="n">
        <v>0.005658908217166969</v>
      </c>
      <c r="V2815" s="6" t="inlineStr">
        <is>
          <t>not selected</t>
        </is>
      </c>
    </row>
    <row r="2816">
      <c r="A2816" s="6" t="inlineStr">
        <is>
          <t>DJ30</t>
        </is>
      </c>
      <c r="B2816" s="6" t="inlineStr">
        <is>
          <t>2024-09-27</t>
        </is>
      </c>
      <c r="C2816" s="6" t="inlineStr">
        <is>
          <t>DIA</t>
        </is>
      </c>
      <c r="D2816" s="6" t="inlineStr">
        <is>
          <t>SHW</t>
        </is>
      </c>
      <c r="E2816" s="6" t="inlineStr">
        <is>
          <t>SHW</t>
        </is>
      </c>
      <c r="F2816" s="6" t="inlineStr">
        <is>
          <t>-</t>
        </is>
      </c>
      <c r="G2816" s="7" t="n">
        <v>376.8399963378906</v>
      </c>
      <c r="H2816" s="6">
        <f>P2785</f>
        <v/>
      </c>
      <c r="I2816" s="9">
        <f>Q2785</f>
        <v/>
      </c>
      <c r="J2816" s="7">
        <f>I2816*G2816</f>
        <v/>
      </c>
      <c r="K2816" s="8">
        <f>IF($J$2822=0,0,J2816/$J$2822)</f>
        <v/>
      </c>
      <c r="L2816" s="6" t="inlineStr">
        <is>
          <t>WATCHLIST</t>
        </is>
      </c>
      <c r="M2816" s="8" t="n">
        <v>0</v>
      </c>
      <c r="N2816" s="7">
        <f>M2816*$J$2822-J2816</f>
        <v/>
      </c>
      <c r="O2816" s="9">
        <f>IF(G2816=0,0,N2816/G2816)</f>
        <v/>
      </c>
      <c r="P2816" s="6">
        <f>IF(M2816&gt;0,D2816,"")</f>
        <v/>
      </c>
      <c r="Q2816" s="9">
        <f>I2816+O2816</f>
        <v/>
      </c>
      <c r="R2816" s="7">
        <f>Q2816*G2816</f>
        <v/>
      </c>
      <c r="S2816" s="8">
        <f>IF($R$2822=0,0,R2816/$R$2822)</f>
        <v/>
      </c>
      <c r="T2816" s="8" t="n">
        <v>0.01790743718238552</v>
      </c>
      <c r="U2816" s="8" t="n">
        <v>0.005658908217166969</v>
      </c>
      <c r="V2816" s="6" t="inlineStr">
        <is>
          <t>not selected</t>
        </is>
      </c>
    </row>
    <row r="2817">
      <c r="A2817" s="6" t="inlineStr">
        <is>
          <t>DJ30</t>
        </is>
      </c>
      <c r="B2817" s="6" t="inlineStr">
        <is>
          <t>2024-09-27</t>
        </is>
      </c>
      <c r="C2817" s="6" t="inlineStr">
        <is>
          <t>DIA</t>
        </is>
      </c>
      <c r="D2817" s="6" t="inlineStr">
        <is>
          <t>TRV</t>
        </is>
      </c>
      <c r="E2817" s="6" t="inlineStr">
        <is>
          <t>TRV</t>
        </is>
      </c>
      <c r="F2817" s="6" t="inlineStr">
        <is>
          <t>-</t>
        </is>
      </c>
      <c r="G2817" s="7" t="n">
        <v>229.5539093017578</v>
      </c>
      <c r="H2817" s="6">
        <f>P2786</f>
        <v/>
      </c>
      <c r="I2817" s="9">
        <f>Q2786</f>
        <v/>
      </c>
      <c r="J2817" s="7">
        <f>I2817*G2817</f>
        <v/>
      </c>
      <c r="K2817" s="8">
        <f>IF($J$2822=0,0,J2817/$J$2822)</f>
        <v/>
      </c>
      <c r="L2817" s="6" t="inlineStr">
        <is>
          <t>WATCHLIST</t>
        </is>
      </c>
      <c r="M2817" s="8" t="n">
        <v>0</v>
      </c>
      <c r="N2817" s="7">
        <f>M2817*$J$2822-J2817</f>
        <v/>
      </c>
      <c r="O2817" s="9">
        <f>IF(G2817=0,0,N2817/G2817)</f>
        <v/>
      </c>
      <c r="P2817" s="6">
        <f>IF(M2817&gt;0,D2817,"")</f>
        <v/>
      </c>
      <c r="Q2817" s="9">
        <f>I2817+O2817</f>
        <v/>
      </c>
      <c r="R2817" s="7">
        <f>Q2817*G2817</f>
        <v/>
      </c>
      <c r="S2817" s="8">
        <f>IF($R$2822=0,0,R2817/$R$2822)</f>
        <v/>
      </c>
      <c r="T2817" s="8" t="n">
        <v>0.01790743718238552</v>
      </c>
      <c r="U2817" s="8" t="n">
        <v>0.005658908217166969</v>
      </c>
      <c r="V2817" s="6" t="inlineStr">
        <is>
          <t>not selected</t>
        </is>
      </c>
    </row>
    <row r="2818">
      <c r="A2818" s="6" t="inlineStr">
        <is>
          <t>DJ30</t>
        </is>
      </c>
      <c r="B2818" s="6" t="inlineStr">
        <is>
          <t>2024-09-27</t>
        </is>
      </c>
      <c r="C2818" s="6" t="inlineStr">
        <is>
          <t>DIA</t>
        </is>
      </c>
      <c r="D2818" s="6" t="inlineStr">
        <is>
          <t>UNH</t>
        </is>
      </c>
      <c r="E2818" s="6" t="inlineStr">
        <is>
          <t>UNH</t>
        </is>
      </c>
      <c r="F2818" s="6" t="inlineStr">
        <is>
          <t>-</t>
        </is>
      </c>
      <c r="G2818" s="7" t="n">
        <v>558.143798828125</v>
      </c>
      <c r="H2818" s="6">
        <f>P2787</f>
        <v/>
      </c>
      <c r="I2818" s="9">
        <f>Q2787</f>
        <v/>
      </c>
      <c r="J2818" s="7">
        <f>I2818*G2818</f>
        <v/>
      </c>
      <c r="K2818" s="8">
        <f>IF($J$2822=0,0,J2818/$J$2822)</f>
        <v/>
      </c>
      <c r="L2818" s="6" t="inlineStr">
        <is>
          <t>REJECTED</t>
        </is>
      </c>
      <c r="M2818" s="8" t="n">
        <v>0</v>
      </c>
      <c r="N2818" s="7">
        <f>M2818*$J$2822-J2818</f>
        <v/>
      </c>
      <c r="O2818" s="9">
        <f>IF(G2818=0,0,N2818/G2818)</f>
        <v/>
      </c>
      <c r="P2818" s="6">
        <f>IF(M2818&gt;0,D2818,"")</f>
        <v/>
      </c>
      <c r="Q2818" s="9">
        <f>I2818+O2818</f>
        <v/>
      </c>
      <c r="R2818" s="7">
        <f>Q2818*G2818</f>
        <v/>
      </c>
      <c r="S2818" s="8">
        <f>IF($R$2822=0,0,R2818/$R$2822)</f>
        <v/>
      </c>
      <c r="T2818" s="8" t="n">
        <v>0.01790743718238552</v>
      </c>
      <c r="U2818" s="8" t="n">
        <v>0.005658908217166969</v>
      </c>
      <c r="V2818" s="6" t="inlineStr">
        <is>
          <t>not selected</t>
        </is>
      </c>
    </row>
    <row r="2819">
      <c r="A2819" s="6" t="inlineStr">
        <is>
          <t>DJ30</t>
        </is>
      </c>
      <c r="B2819" s="6" t="inlineStr">
        <is>
          <t>2024-09-27</t>
        </is>
      </c>
      <c r="C2819" s="6" t="inlineStr">
        <is>
          <t>DIA</t>
        </is>
      </c>
      <c r="D2819" s="6" t="inlineStr">
        <is>
          <t>V</t>
        </is>
      </c>
      <c r="E2819" s="6" t="inlineStr">
        <is>
          <t>V</t>
        </is>
      </c>
      <c r="F2819" s="6" t="inlineStr">
        <is>
          <t>-</t>
        </is>
      </c>
      <c r="G2819" s="7" t="n">
        <v>271.5867004394531</v>
      </c>
      <c r="H2819" s="6">
        <f>P2788</f>
        <v/>
      </c>
      <c r="I2819" s="9">
        <f>Q2788</f>
        <v/>
      </c>
      <c r="J2819" s="7">
        <f>I2819*G2819</f>
        <v/>
      </c>
      <c r="K2819" s="8">
        <f>IF($J$2822=0,0,J2819/$J$2822)</f>
        <v/>
      </c>
      <c r="L2819" s="6" t="inlineStr">
        <is>
          <t>WATCHLIST</t>
        </is>
      </c>
      <c r="M2819" s="8" t="n">
        <v>0</v>
      </c>
      <c r="N2819" s="7">
        <f>M2819*$J$2822-J2819</f>
        <v/>
      </c>
      <c r="O2819" s="9">
        <f>IF(G2819=0,0,N2819/G2819)</f>
        <v/>
      </c>
      <c r="P2819" s="6">
        <f>IF(M2819&gt;0,D2819,"")</f>
        <v/>
      </c>
      <c r="Q2819" s="9">
        <f>I2819+O2819</f>
        <v/>
      </c>
      <c r="R2819" s="7">
        <f>Q2819*G2819</f>
        <v/>
      </c>
      <c r="S2819" s="8">
        <f>IF($R$2822=0,0,R2819/$R$2822)</f>
        <v/>
      </c>
      <c r="T2819" s="8" t="n">
        <v>0.01790743718238552</v>
      </c>
      <c r="U2819" s="8" t="n">
        <v>0.005658908217166969</v>
      </c>
      <c r="V2819" s="6" t="inlineStr">
        <is>
          <t>not selected</t>
        </is>
      </c>
    </row>
    <row r="2820">
      <c r="A2820" s="6" t="inlineStr">
        <is>
          <t>DJ30</t>
        </is>
      </c>
      <c r="B2820" s="6" t="inlineStr">
        <is>
          <t>2024-09-27</t>
        </is>
      </c>
      <c r="C2820" s="6" t="inlineStr">
        <is>
          <t>DIA</t>
        </is>
      </c>
      <c r="D2820" s="6" t="inlineStr">
        <is>
          <t>VZ</t>
        </is>
      </c>
      <c r="E2820" s="6" t="inlineStr">
        <is>
          <t>VZ</t>
        </is>
      </c>
      <c r="F2820" s="6" t="inlineStr">
        <is>
          <t>-</t>
        </is>
      </c>
      <c r="G2820" s="7" t="n">
        <v>40.04536056518555</v>
      </c>
      <c r="H2820" s="6">
        <f>P2789</f>
        <v/>
      </c>
      <c r="I2820" s="9">
        <f>Q2789</f>
        <v/>
      </c>
      <c r="J2820" s="7">
        <f>I2820*G2820</f>
        <v/>
      </c>
      <c r="K2820" s="8">
        <f>IF($J$2822=0,0,J2820/$J$2822)</f>
        <v/>
      </c>
      <c r="L2820" s="6" t="inlineStr">
        <is>
          <t>WATCHLIST</t>
        </is>
      </c>
      <c r="M2820" s="8" t="n">
        <v>0</v>
      </c>
      <c r="N2820" s="7">
        <f>M2820*$J$2822-J2820</f>
        <v/>
      </c>
      <c r="O2820" s="9">
        <f>IF(G2820=0,0,N2820/G2820)</f>
        <v/>
      </c>
      <c r="P2820" s="6">
        <f>IF(M2820&gt;0,D2820,"")</f>
        <v/>
      </c>
      <c r="Q2820" s="9">
        <f>I2820+O2820</f>
        <v/>
      </c>
      <c r="R2820" s="7">
        <f>Q2820*G2820</f>
        <v/>
      </c>
      <c r="S2820" s="8">
        <f>IF($R$2822=0,0,R2820/$R$2822)</f>
        <v/>
      </c>
      <c r="T2820" s="8" t="n">
        <v>0.01790743718238552</v>
      </c>
      <c r="U2820" s="8" t="n">
        <v>0.005658908217166969</v>
      </c>
      <c r="V2820" s="6" t="inlineStr">
        <is>
          <t>not selected</t>
        </is>
      </c>
    </row>
    <row r="2821">
      <c r="A2821" s="6" t="inlineStr">
        <is>
          <t>DJ30</t>
        </is>
      </c>
      <c r="B2821" s="6" t="inlineStr">
        <is>
          <t>2024-09-27</t>
        </is>
      </c>
      <c r="C2821" s="6" t="inlineStr">
        <is>
          <t>DIA</t>
        </is>
      </c>
      <c r="D2821" s="6" t="inlineStr">
        <is>
          <t>WMT</t>
        </is>
      </c>
      <c r="E2821" s="6" t="inlineStr">
        <is>
          <t>WMT</t>
        </is>
      </c>
      <c r="F2821" s="6" t="inlineStr">
        <is>
          <t>-</t>
        </is>
      </c>
      <c r="G2821" s="7" t="n">
        <v>78.53751373291016</v>
      </c>
      <c r="H2821" s="6">
        <f>P2790</f>
        <v/>
      </c>
      <c r="I2821" s="9">
        <f>Q2790</f>
        <v/>
      </c>
      <c r="J2821" s="7">
        <f>I2821*G2821</f>
        <v/>
      </c>
      <c r="K2821" s="8">
        <f>IF($J$2822=0,0,J2821/$J$2822)</f>
        <v/>
      </c>
      <c r="L2821" s="6" t="inlineStr">
        <is>
          <t>WATCHLIST</t>
        </is>
      </c>
      <c r="M2821" s="8" t="n">
        <v>0</v>
      </c>
      <c r="N2821" s="7">
        <f>M2821*$J$2822-J2821</f>
        <v/>
      </c>
      <c r="O2821" s="9">
        <f>IF(G2821=0,0,N2821/G2821)</f>
        <v/>
      </c>
      <c r="P2821" s="6">
        <f>IF(M2821&gt;0,D2821,"")</f>
        <v/>
      </c>
      <c r="Q2821" s="9">
        <f>I2821+O2821</f>
        <v/>
      </c>
      <c r="R2821" s="7">
        <f>Q2821*G2821</f>
        <v/>
      </c>
      <c r="S2821" s="8">
        <f>IF($R$2822=0,0,R2821/$R$2822)</f>
        <v/>
      </c>
      <c r="T2821" s="8" t="n">
        <v>0.01790743718238552</v>
      </c>
      <c r="U2821" s="8" t="n">
        <v>0.005658908217166969</v>
      </c>
      <c r="V2821" s="6" t="inlineStr">
        <is>
          <t>not selected</t>
        </is>
      </c>
    </row>
    <row r="2822">
      <c r="A2822" s="10" t="inlineStr">
        <is>
          <t>DJ30</t>
        </is>
      </c>
      <c r="B2822" s="10" t="inlineStr">
        <is>
          <t>2024-09-27</t>
        </is>
      </c>
      <c r="C2822" s="10" t="inlineStr">
        <is>
          <t>DIA</t>
        </is>
      </c>
      <c r="D2822" s="10" t="inlineStr">
        <is>
          <t>Tot Portfolio</t>
        </is>
      </c>
      <c r="E2822" s="10" t="inlineStr"/>
      <c r="F2822" s="10" t="inlineStr"/>
      <c r="G2822" s="11" t="inlineStr"/>
      <c r="H2822" s="10" t="inlineStr"/>
      <c r="I2822" s="12" t="inlineStr"/>
      <c r="J2822" s="11">
        <f>SUM(J2792:J2821)</f>
        <v/>
      </c>
      <c r="K2822" s="13">
        <f>SUM(K2792:K2821)</f>
        <v/>
      </c>
      <c r="L2822" s="10" t="inlineStr">
        <is>
          <t>TOTAL</t>
        </is>
      </c>
      <c r="M2822" s="13">
        <f>SUM(M2792:M2821)</f>
        <v/>
      </c>
      <c r="N2822" s="11">
        <f>SUM(N2792:N2821)</f>
        <v/>
      </c>
      <c r="O2822" s="12">
        <f>SUM(O2792:O2821)</f>
        <v/>
      </c>
      <c r="P2822" s="10" t="inlineStr"/>
      <c r="Q2822" s="12" t="inlineStr"/>
      <c r="R2822" s="11">
        <f>SUM(R2792:R2821)</f>
        <v/>
      </c>
      <c r="S2822" s="13">
        <f>SUM(S2792:S2821)</f>
        <v/>
      </c>
      <c r="T2822" s="13" t="n">
        <v>0.01790743718238552</v>
      </c>
      <c r="U2822" s="13" t="n">
        <v>0.005658908217166969</v>
      </c>
      <c r="V2822" s="10" t="inlineStr"/>
    </row>
    <row r="2823">
      <c r="A2823" s="6" t="inlineStr">
        <is>
          <t>DJ30</t>
        </is>
      </c>
      <c r="B2823" s="6" t="inlineStr">
        <is>
          <t>2024-10-04</t>
        </is>
      </c>
      <c r="C2823" s="6" t="inlineStr">
        <is>
          <t>DIA</t>
        </is>
      </c>
      <c r="D2823" s="6" t="inlineStr">
        <is>
          <t>AAPL</t>
        </is>
      </c>
      <c r="E2823" s="6" t="inlineStr">
        <is>
          <t>AAPL</t>
        </is>
      </c>
      <c r="F2823" s="6" t="inlineStr">
        <is>
          <t>-</t>
        </is>
      </c>
      <c r="G2823" s="7" t="n">
        <v>225.1124877929688</v>
      </c>
      <c r="H2823" s="6">
        <f>P2792</f>
        <v/>
      </c>
      <c r="I2823" s="9">
        <f>Q2792</f>
        <v/>
      </c>
      <c r="J2823" s="7">
        <f>I2823*G2823</f>
        <v/>
      </c>
      <c r="K2823" s="8">
        <f>IF($J$2853=0,0,J2823/$J$2853)</f>
        <v/>
      </c>
      <c r="L2823" s="6" t="inlineStr">
        <is>
          <t>WATCHLIST</t>
        </is>
      </c>
      <c r="M2823" s="8" t="n">
        <v>0</v>
      </c>
      <c r="N2823" s="7">
        <f>M2823*$J$2853-J2823</f>
        <v/>
      </c>
      <c r="O2823" s="9">
        <f>IF(G2823=0,0,N2823/G2823)</f>
        <v/>
      </c>
      <c r="P2823" s="6">
        <f>IF(M2823&gt;0,D2823,"")</f>
        <v/>
      </c>
      <c r="Q2823" s="9">
        <f>I2823+O2823</f>
        <v/>
      </c>
      <c r="R2823" s="7">
        <f>Q2823*G2823</f>
        <v/>
      </c>
      <c r="S2823" s="8">
        <f>IF($R$2853=0,0,R2823/$R$2853)</f>
        <v/>
      </c>
      <c r="T2823" s="8" t="n">
        <v>0.007156799830694505</v>
      </c>
      <c r="U2823" s="8" t="n">
        <v>0.00108746693798123</v>
      </c>
      <c r="V2823" s="6" t="inlineStr">
        <is>
          <t>not selected</t>
        </is>
      </c>
    </row>
    <row r="2824">
      <c r="A2824" s="6" t="inlineStr">
        <is>
          <t>DJ30</t>
        </is>
      </c>
      <c r="B2824" s="6" t="inlineStr">
        <is>
          <t>2024-10-04</t>
        </is>
      </c>
      <c r="C2824" s="6" t="inlineStr">
        <is>
          <t>DIA</t>
        </is>
      </c>
      <c r="D2824" s="6" t="inlineStr">
        <is>
          <t>AMGN</t>
        </is>
      </c>
      <c r="E2824" s="6" t="inlineStr">
        <is>
          <t>AMGN</t>
        </is>
      </c>
      <c r="F2824" s="6" t="inlineStr">
        <is>
          <t>-</t>
        </is>
      </c>
      <c r="G2824" s="7" t="n">
        <v>302.7273864746094</v>
      </c>
      <c r="H2824" s="6">
        <f>P2793</f>
        <v/>
      </c>
      <c r="I2824" s="9">
        <f>Q2793</f>
        <v/>
      </c>
      <c r="J2824" s="7">
        <f>I2824*G2824</f>
        <v/>
      </c>
      <c r="K2824" s="8">
        <f>IF($J$2853=0,0,J2824/$J$2853)</f>
        <v/>
      </c>
      <c r="L2824" s="6" t="inlineStr">
        <is>
          <t>WATCHLIST</t>
        </is>
      </c>
      <c r="M2824" s="8" t="n">
        <v>0</v>
      </c>
      <c r="N2824" s="7">
        <f>M2824*$J$2853-J2824</f>
        <v/>
      </c>
      <c r="O2824" s="9">
        <f>IF(G2824=0,0,N2824/G2824)</f>
        <v/>
      </c>
      <c r="P2824" s="6">
        <f>IF(M2824&gt;0,D2824,"")</f>
        <v/>
      </c>
      <c r="Q2824" s="9">
        <f>I2824+O2824</f>
        <v/>
      </c>
      <c r="R2824" s="7">
        <f>Q2824*G2824</f>
        <v/>
      </c>
      <c r="S2824" s="8">
        <f>IF($R$2853=0,0,R2824/$R$2853)</f>
        <v/>
      </c>
      <c r="T2824" s="8" t="n">
        <v>0.007156799830694505</v>
      </c>
      <c r="U2824" s="8" t="n">
        <v>0.00108746693798123</v>
      </c>
      <c r="V2824" s="6" t="inlineStr">
        <is>
          <t>not selected</t>
        </is>
      </c>
    </row>
    <row r="2825">
      <c r="A2825" s="6" t="inlineStr">
        <is>
          <t>DJ30</t>
        </is>
      </c>
      <c r="B2825" s="6" t="inlineStr">
        <is>
          <t>2024-10-04</t>
        </is>
      </c>
      <c r="C2825" s="6" t="inlineStr">
        <is>
          <t>DIA</t>
        </is>
      </c>
      <c r="D2825" s="6" t="inlineStr">
        <is>
          <t>AMZN</t>
        </is>
      </c>
      <c r="E2825" s="6" t="inlineStr">
        <is>
          <t>AMZN</t>
        </is>
      </c>
      <c r="F2825" s="6" t="inlineStr">
        <is>
          <t>-</t>
        </is>
      </c>
      <c r="G2825" s="7" t="n">
        <v>186.509994506836</v>
      </c>
      <c r="H2825" s="6">
        <f>P2794</f>
        <v/>
      </c>
      <c r="I2825" s="9">
        <f>Q2794</f>
        <v/>
      </c>
      <c r="J2825" s="7">
        <f>I2825*G2825</f>
        <v/>
      </c>
      <c r="K2825" s="8">
        <f>IF($J$2853=0,0,J2825/$J$2853)</f>
        <v/>
      </c>
      <c r="L2825" s="6" t="inlineStr">
        <is>
          <t>WATCHLIST</t>
        </is>
      </c>
      <c r="M2825" s="8" t="n">
        <v>0</v>
      </c>
      <c r="N2825" s="7">
        <f>M2825*$J$2853-J2825</f>
        <v/>
      </c>
      <c r="O2825" s="9">
        <f>IF(G2825=0,0,N2825/G2825)</f>
        <v/>
      </c>
      <c r="P2825" s="6">
        <f>IF(M2825&gt;0,D2825,"")</f>
        <v/>
      </c>
      <c r="Q2825" s="9">
        <f>I2825+O2825</f>
        <v/>
      </c>
      <c r="R2825" s="7">
        <f>Q2825*G2825</f>
        <v/>
      </c>
      <c r="S2825" s="8">
        <f>IF($R$2853=0,0,R2825/$R$2853)</f>
        <v/>
      </c>
      <c r="T2825" s="8" t="n">
        <v>0.007156799830694505</v>
      </c>
      <c r="U2825" s="8" t="n">
        <v>0.00108746693798123</v>
      </c>
      <c r="V2825" s="6" t="inlineStr">
        <is>
          <t>not selected</t>
        </is>
      </c>
    </row>
    <row r="2826">
      <c r="A2826" s="6" t="inlineStr">
        <is>
          <t>DJ30</t>
        </is>
      </c>
      <c r="B2826" s="6" t="inlineStr">
        <is>
          <t>2024-10-04</t>
        </is>
      </c>
      <c r="C2826" s="6" t="inlineStr">
        <is>
          <t>DIA</t>
        </is>
      </c>
      <c r="D2826" s="6" t="inlineStr">
        <is>
          <t>AXP</t>
        </is>
      </c>
      <c r="E2826" s="6" t="inlineStr">
        <is>
          <t>AXP</t>
        </is>
      </c>
      <c r="F2826" s="6" t="inlineStr">
        <is>
          <t>-</t>
        </is>
      </c>
      <c r="G2826" s="7" t="n">
        <v>271.5651550292969</v>
      </c>
      <c r="H2826" s="6">
        <f>P2795</f>
        <v/>
      </c>
      <c r="I2826" s="9">
        <f>Q2795</f>
        <v/>
      </c>
      <c r="J2826" s="7">
        <f>I2826*G2826</f>
        <v/>
      </c>
      <c r="K2826" s="8">
        <f>IF($J$2853=0,0,J2826/$J$2853)</f>
        <v/>
      </c>
      <c r="L2826" s="6" t="inlineStr">
        <is>
          <t>SELECTED</t>
        </is>
      </c>
      <c r="M2826" s="8" t="n">
        <v>0.2</v>
      </c>
      <c r="N2826" s="7">
        <f>M2826*$J$2853-J2826</f>
        <v/>
      </c>
      <c r="O2826" s="9">
        <f>IF(G2826=0,0,N2826/G2826)</f>
        <v/>
      </c>
      <c r="P2826" s="6">
        <f>IF(M2826&gt;0,D2826,"")</f>
        <v/>
      </c>
      <c r="Q2826" s="9">
        <f>I2826+O2826</f>
        <v/>
      </c>
      <c r="R2826" s="7">
        <f>Q2826*G2826</f>
        <v/>
      </c>
      <c r="S2826" s="8">
        <f>IF($R$2853=0,0,R2826/$R$2853)</f>
        <v/>
      </c>
      <c r="T2826" s="8" t="n">
        <v>0.007156799830694505</v>
      </c>
      <c r="U2826" s="8" t="n">
        <v>0.00108746693798123</v>
      </c>
      <c r="V2826" s="6" t="inlineStr">
        <is>
          <t>remained in weekly selection</t>
        </is>
      </c>
    </row>
    <row r="2827">
      <c r="A2827" s="6" t="inlineStr">
        <is>
          <t>DJ30</t>
        </is>
      </c>
      <c r="B2827" s="6" t="inlineStr">
        <is>
          <t>2024-10-04</t>
        </is>
      </c>
      <c r="C2827" s="6" t="inlineStr">
        <is>
          <t>DIA</t>
        </is>
      </c>
      <c r="D2827" s="6" t="inlineStr">
        <is>
          <t>BA</t>
        </is>
      </c>
      <c r="E2827" s="6" t="inlineStr">
        <is>
          <t>BA</t>
        </is>
      </c>
      <c r="F2827" s="6" t="inlineStr">
        <is>
          <t>-</t>
        </is>
      </c>
      <c r="G2827" s="7" t="n">
        <v>155</v>
      </c>
      <c r="H2827" s="6">
        <f>P2796</f>
        <v/>
      </c>
      <c r="I2827" s="9">
        <f>Q2796</f>
        <v/>
      </c>
      <c r="J2827" s="7">
        <f>I2827*G2827</f>
        <v/>
      </c>
      <c r="K2827" s="8">
        <f>IF($J$2853=0,0,J2827/$J$2853)</f>
        <v/>
      </c>
      <c r="L2827" s="6" t="inlineStr">
        <is>
          <t>REJECTED</t>
        </is>
      </c>
      <c r="M2827" s="8" t="n">
        <v>0</v>
      </c>
      <c r="N2827" s="7">
        <f>M2827*$J$2853-J2827</f>
        <v/>
      </c>
      <c r="O2827" s="9">
        <f>IF(G2827=0,0,N2827/G2827)</f>
        <v/>
      </c>
      <c r="P2827" s="6">
        <f>IF(M2827&gt;0,D2827,"")</f>
        <v/>
      </c>
      <c r="Q2827" s="9">
        <f>I2827+O2827</f>
        <v/>
      </c>
      <c r="R2827" s="7">
        <f>Q2827*G2827</f>
        <v/>
      </c>
      <c r="S2827" s="8">
        <f>IF($R$2853=0,0,R2827/$R$2853)</f>
        <v/>
      </c>
      <c r="T2827" s="8" t="n">
        <v>0.007156799830694505</v>
      </c>
      <c r="U2827" s="8" t="n">
        <v>0.00108746693798123</v>
      </c>
      <c r="V2827" s="6" t="inlineStr">
        <is>
          <t>not selected</t>
        </is>
      </c>
    </row>
    <row r="2828">
      <c r="A2828" s="6" t="inlineStr">
        <is>
          <t>DJ30</t>
        </is>
      </c>
      <c r="B2828" s="6" t="inlineStr">
        <is>
          <t>2024-10-04</t>
        </is>
      </c>
      <c r="C2828" s="6" t="inlineStr">
        <is>
          <t>DIA</t>
        </is>
      </c>
      <c r="D2828" s="6" t="inlineStr">
        <is>
          <t>CAT</t>
        </is>
      </c>
      <c r="E2828" s="6" t="inlineStr">
        <is>
          <t>CAT</t>
        </is>
      </c>
      <c r="F2828" s="6" t="inlineStr">
        <is>
          <t>-</t>
        </is>
      </c>
      <c r="G2828" s="7" t="n">
        <v>388.1335144042969</v>
      </c>
      <c r="H2828" s="6">
        <f>P2797</f>
        <v/>
      </c>
      <c r="I2828" s="9">
        <f>Q2797</f>
        <v/>
      </c>
      <c r="J2828" s="7">
        <f>I2828*G2828</f>
        <v/>
      </c>
      <c r="K2828" s="8">
        <f>IF($J$2853=0,0,J2828/$J$2853)</f>
        <v/>
      </c>
      <c r="L2828" s="6" t="inlineStr">
        <is>
          <t>WATCHLIST</t>
        </is>
      </c>
      <c r="M2828" s="8" t="n">
        <v>0</v>
      </c>
      <c r="N2828" s="7">
        <f>M2828*$J$2853-J2828</f>
        <v/>
      </c>
      <c r="O2828" s="9">
        <f>IF(G2828=0,0,N2828/G2828)</f>
        <v/>
      </c>
      <c r="P2828" s="6">
        <f>IF(M2828&gt;0,D2828,"")</f>
        <v/>
      </c>
      <c r="Q2828" s="9">
        <f>I2828+O2828</f>
        <v/>
      </c>
      <c r="R2828" s="7">
        <f>Q2828*G2828</f>
        <v/>
      </c>
      <c r="S2828" s="8">
        <f>IF($R$2853=0,0,R2828/$R$2853)</f>
        <v/>
      </c>
      <c r="T2828" s="8" t="n">
        <v>0.007156799830694505</v>
      </c>
      <c r="U2828" s="8" t="n">
        <v>0.00108746693798123</v>
      </c>
      <c r="V2828" s="6" t="inlineStr">
        <is>
          <t>not selected</t>
        </is>
      </c>
    </row>
    <row r="2829">
      <c r="A2829" s="6" t="inlineStr">
        <is>
          <t>DJ30</t>
        </is>
      </c>
      <c r="B2829" s="6" t="inlineStr">
        <is>
          <t>2024-10-04</t>
        </is>
      </c>
      <c r="C2829" s="6" t="inlineStr">
        <is>
          <t>DIA</t>
        </is>
      </c>
      <c r="D2829" s="6" t="inlineStr">
        <is>
          <t>CRM</t>
        </is>
      </c>
      <c r="E2829" s="6" t="inlineStr">
        <is>
          <t>CRM</t>
        </is>
      </c>
      <c r="F2829" s="6" t="inlineStr">
        <is>
          <t>-</t>
        </is>
      </c>
      <c r="G2829" s="7" t="n">
        <v>284.1121826171875</v>
      </c>
      <c r="H2829" s="6">
        <f>P2798</f>
        <v/>
      </c>
      <c r="I2829" s="9">
        <f>Q2798</f>
        <v/>
      </c>
      <c r="J2829" s="7">
        <f>I2829*G2829</f>
        <v/>
      </c>
      <c r="K2829" s="8">
        <f>IF($J$2853=0,0,J2829/$J$2853)</f>
        <v/>
      </c>
      <c r="L2829" s="6" t="inlineStr">
        <is>
          <t>REJECTED</t>
        </is>
      </c>
      <c r="M2829" s="8" t="n">
        <v>0</v>
      </c>
      <c r="N2829" s="7">
        <f>M2829*$J$2853-J2829</f>
        <v/>
      </c>
      <c r="O2829" s="9">
        <f>IF(G2829=0,0,N2829/G2829)</f>
        <v/>
      </c>
      <c r="P2829" s="6">
        <f>IF(M2829&gt;0,D2829,"")</f>
        <v/>
      </c>
      <c r="Q2829" s="9">
        <f>I2829+O2829</f>
        <v/>
      </c>
      <c r="R2829" s="7">
        <f>Q2829*G2829</f>
        <v/>
      </c>
      <c r="S2829" s="8">
        <f>IF($R$2853=0,0,R2829/$R$2853)</f>
        <v/>
      </c>
      <c r="T2829" s="8" t="n">
        <v>0.007156799830694505</v>
      </c>
      <c r="U2829" s="8" t="n">
        <v>0.00108746693798123</v>
      </c>
      <c r="V2829" s="6" t="inlineStr">
        <is>
          <t>not selected</t>
        </is>
      </c>
    </row>
    <row r="2830">
      <c r="A2830" s="6" t="inlineStr">
        <is>
          <t>DJ30</t>
        </is>
      </c>
      <c r="B2830" s="6" t="inlineStr">
        <is>
          <t>2024-10-04</t>
        </is>
      </c>
      <c r="C2830" s="6" t="inlineStr">
        <is>
          <t>DIA</t>
        </is>
      </c>
      <c r="D2830" s="6" t="inlineStr">
        <is>
          <t>CSCO</t>
        </is>
      </c>
      <c r="E2830" s="6" t="inlineStr">
        <is>
          <t>CSCO</t>
        </is>
      </c>
      <c r="F2830" s="6" t="inlineStr">
        <is>
          <t>-</t>
        </is>
      </c>
      <c r="G2830" s="7" t="n">
        <v>50.87450408935547</v>
      </c>
      <c r="H2830" s="6">
        <f>P2799</f>
        <v/>
      </c>
      <c r="I2830" s="9">
        <f>Q2799</f>
        <v/>
      </c>
      <c r="J2830" s="7">
        <f>I2830*G2830</f>
        <v/>
      </c>
      <c r="K2830" s="8">
        <f>IF($J$2853=0,0,J2830/$J$2853)</f>
        <v/>
      </c>
      <c r="L2830" s="6" t="inlineStr">
        <is>
          <t>REJECTED</t>
        </is>
      </c>
      <c r="M2830" s="8" t="n">
        <v>0</v>
      </c>
      <c r="N2830" s="7">
        <f>M2830*$J$2853-J2830</f>
        <v/>
      </c>
      <c r="O2830" s="9">
        <f>IF(G2830=0,0,N2830/G2830)</f>
        <v/>
      </c>
      <c r="P2830" s="6">
        <f>IF(M2830&gt;0,D2830,"")</f>
        <v/>
      </c>
      <c r="Q2830" s="9">
        <f>I2830+O2830</f>
        <v/>
      </c>
      <c r="R2830" s="7">
        <f>Q2830*G2830</f>
        <v/>
      </c>
      <c r="S2830" s="8">
        <f>IF($R$2853=0,0,R2830/$R$2853)</f>
        <v/>
      </c>
      <c r="T2830" s="8" t="n">
        <v>0.007156799830694505</v>
      </c>
      <c r="U2830" s="8" t="n">
        <v>0.00108746693798123</v>
      </c>
      <c r="V2830" s="6" t="inlineStr">
        <is>
          <t>not selected</t>
        </is>
      </c>
    </row>
    <row r="2831">
      <c r="A2831" s="6" t="inlineStr">
        <is>
          <t>DJ30</t>
        </is>
      </c>
      <c r="B2831" s="6" t="inlineStr">
        <is>
          <t>2024-10-04</t>
        </is>
      </c>
      <c r="C2831" s="6" t="inlineStr">
        <is>
          <t>DIA</t>
        </is>
      </c>
      <c r="D2831" s="6" t="inlineStr">
        <is>
          <t>CVX</t>
        </is>
      </c>
      <c r="E2831" s="6" t="inlineStr">
        <is>
          <t>CVX</t>
        </is>
      </c>
      <c r="F2831" s="6" t="inlineStr">
        <is>
          <t>-</t>
        </is>
      </c>
      <c r="G2831" s="7" t="n">
        <v>139.9437561035156</v>
      </c>
      <c r="H2831" s="6">
        <f>P2800</f>
        <v/>
      </c>
      <c r="I2831" s="9">
        <f>Q2800</f>
        <v/>
      </c>
      <c r="J2831" s="7">
        <f>I2831*G2831</f>
        <v/>
      </c>
      <c r="K2831" s="8">
        <f>IF($J$2853=0,0,J2831/$J$2853)</f>
        <v/>
      </c>
      <c r="L2831" s="6" t="inlineStr">
        <is>
          <t>REJECTED</t>
        </is>
      </c>
      <c r="M2831" s="8" t="n">
        <v>0</v>
      </c>
      <c r="N2831" s="7">
        <f>M2831*$J$2853-J2831</f>
        <v/>
      </c>
      <c r="O2831" s="9">
        <f>IF(G2831=0,0,N2831/G2831)</f>
        <v/>
      </c>
      <c r="P2831" s="6">
        <f>IF(M2831&gt;0,D2831,"")</f>
        <v/>
      </c>
      <c r="Q2831" s="9">
        <f>I2831+O2831</f>
        <v/>
      </c>
      <c r="R2831" s="7">
        <f>Q2831*G2831</f>
        <v/>
      </c>
      <c r="S2831" s="8">
        <f>IF($R$2853=0,0,R2831/$R$2853)</f>
        <v/>
      </c>
      <c r="T2831" s="8" t="n">
        <v>0.007156799830694505</v>
      </c>
      <c r="U2831" s="8" t="n">
        <v>0.00108746693798123</v>
      </c>
      <c r="V2831" s="6" t="inlineStr">
        <is>
          <t>not selected</t>
        </is>
      </c>
    </row>
    <row r="2832">
      <c r="A2832" s="6" t="inlineStr">
        <is>
          <t>DJ30</t>
        </is>
      </c>
      <c r="B2832" s="6" t="inlineStr">
        <is>
          <t>2024-10-04</t>
        </is>
      </c>
      <c r="C2832" s="6" t="inlineStr">
        <is>
          <t>DIA</t>
        </is>
      </c>
      <c r="D2832" s="6" t="inlineStr">
        <is>
          <t>DIS</t>
        </is>
      </c>
      <c r="E2832" s="6" t="inlineStr">
        <is>
          <t>DIS</t>
        </is>
      </c>
      <c r="F2832" s="6" t="inlineStr">
        <is>
          <t>-</t>
        </is>
      </c>
      <c r="G2832" s="7" t="n">
        <v>93.69406890869141</v>
      </c>
      <c r="H2832" s="6">
        <f>P2801</f>
        <v/>
      </c>
      <c r="I2832" s="9">
        <f>Q2801</f>
        <v/>
      </c>
      <c r="J2832" s="7">
        <f>I2832*G2832</f>
        <v/>
      </c>
      <c r="K2832" s="8">
        <f>IF($J$2853=0,0,J2832/$J$2853)</f>
        <v/>
      </c>
      <c r="L2832" s="6" t="inlineStr">
        <is>
          <t>REJECTED</t>
        </is>
      </c>
      <c r="M2832" s="8" t="n">
        <v>0</v>
      </c>
      <c r="N2832" s="7">
        <f>M2832*$J$2853-J2832</f>
        <v/>
      </c>
      <c r="O2832" s="9">
        <f>IF(G2832=0,0,N2832/G2832)</f>
        <v/>
      </c>
      <c r="P2832" s="6">
        <f>IF(M2832&gt;0,D2832,"")</f>
        <v/>
      </c>
      <c r="Q2832" s="9">
        <f>I2832+O2832</f>
        <v/>
      </c>
      <c r="R2832" s="7">
        <f>Q2832*G2832</f>
        <v/>
      </c>
      <c r="S2832" s="8">
        <f>IF($R$2853=0,0,R2832/$R$2853)</f>
        <v/>
      </c>
      <c r="T2832" s="8" t="n">
        <v>0.007156799830694505</v>
      </c>
      <c r="U2832" s="8" t="n">
        <v>0.00108746693798123</v>
      </c>
      <c r="V2832" s="6" t="inlineStr">
        <is>
          <t>not selected</t>
        </is>
      </c>
    </row>
    <row r="2833">
      <c r="A2833" s="6" t="inlineStr">
        <is>
          <t>DJ30</t>
        </is>
      </c>
      <c r="B2833" s="6" t="inlineStr">
        <is>
          <t>2024-10-04</t>
        </is>
      </c>
      <c r="C2833" s="6" t="inlineStr">
        <is>
          <t>DIA</t>
        </is>
      </c>
      <c r="D2833" s="6" t="inlineStr">
        <is>
          <t>GS</t>
        </is>
      </c>
      <c r="E2833" s="6" t="inlineStr">
        <is>
          <t>GS</t>
        </is>
      </c>
      <c r="F2833" s="6" t="inlineStr">
        <is>
          <t>-</t>
        </is>
      </c>
      <c r="G2833" s="7" t="n">
        <v>478.2291259765625</v>
      </c>
      <c r="H2833" s="6">
        <f>P2802</f>
        <v/>
      </c>
      <c r="I2833" s="9">
        <f>Q2802</f>
        <v/>
      </c>
      <c r="J2833" s="7">
        <f>I2833*G2833</f>
        <v/>
      </c>
      <c r="K2833" s="8">
        <f>IF($J$2853=0,0,J2833/$J$2853)</f>
        <v/>
      </c>
      <c r="L2833" s="6" t="inlineStr">
        <is>
          <t>WATCHLIST</t>
        </is>
      </c>
      <c r="M2833" s="8" t="n">
        <v>0</v>
      </c>
      <c r="N2833" s="7">
        <f>M2833*$J$2853-J2833</f>
        <v/>
      </c>
      <c r="O2833" s="9">
        <f>IF(G2833=0,0,N2833/G2833)</f>
        <v/>
      </c>
      <c r="P2833" s="6">
        <f>IF(M2833&gt;0,D2833,"")</f>
        <v/>
      </c>
      <c r="Q2833" s="9">
        <f>I2833+O2833</f>
        <v/>
      </c>
      <c r="R2833" s="7">
        <f>Q2833*G2833</f>
        <v/>
      </c>
      <c r="S2833" s="8">
        <f>IF($R$2853=0,0,R2833/$R$2853)</f>
        <v/>
      </c>
      <c r="T2833" s="8" t="n">
        <v>0.007156799830694505</v>
      </c>
      <c r="U2833" s="8" t="n">
        <v>0.00108746693798123</v>
      </c>
      <c r="V2833" s="6" t="inlineStr">
        <is>
          <t>not selected</t>
        </is>
      </c>
    </row>
    <row r="2834">
      <c r="A2834" s="6" t="inlineStr">
        <is>
          <t>DJ30</t>
        </is>
      </c>
      <c r="B2834" s="6" t="inlineStr">
        <is>
          <t>2024-10-04</t>
        </is>
      </c>
      <c r="C2834" s="6" t="inlineStr">
        <is>
          <t>DIA</t>
        </is>
      </c>
      <c r="D2834" s="6" t="inlineStr">
        <is>
          <t>HD</t>
        </is>
      </c>
      <c r="E2834" s="6" t="inlineStr">
        <is>
          <t>HD</t>
        </is>
      </c>
      <c r="F2834" s="6" t="inlineStr">
        <is>
          <t>-</t>
        </is>
      </c>
      <c r="G2834" s="7" t="n">
        <v>390.7763366699219</v>
      </c>
      <c r="H2834" s="6">
        <f>P2803</f>
        <v/>
      </c>
      <c r="I2834" s="9">
        <f>Q2803</f>
        <v/>
      </c>
      <c r="J2834" s="7">
        <f>I2834*G2834</f>
        <v/>
      </c>
      <c r="K2834" s="8">
        <f>IF($J$2853=0,0,J2834/$J$2853)</f>
        <v/>
      </c>
      <c r="L2834" s="6" t="inlineStr">
        <is>
          <t>WATCHLIST</t>
        </is>
      </c>
      <c r="M2834" s="8" t="n">
        <v>0</v>
      </c>
      <c r="N2834" s="7">
        <f>M2834*$J$2853-J2834</f>
        <v/>
      </c>
      <c r="O2834" s="9">
        <f>IF(G2834=0,0,N2834/G2834)</f>
        <v/>
      </c>
      <c r="P2834" s="6">
        <f>IF(M2834&gt;0,D2834,"")</f>
        <v/>
      </c>
      <c r="Q2834" s="9">
        <f>I2834+O2834</f>
        <v/>
      </c>
      <c r="R2834" s="7">
        <f>Q2834*G2834</f>
        <v/>
      </c>
      <c r="S2834" s="8">
        <f>IF($R$2853=0,0,R2834/$R$2853)</f>
        <v/>
      </c>
      <c r="T2834" s="8" t="n">
        <v>0.007156799830694505</v>
      </c>
      <c r="U2834" s="8" t="n">
        <v>0.00108746693798123</v>
      </c>
      <c r="V2834" s="6" t="inlineStr">
        <is>
          <t>not selected</t>
        </is>
      </c>
    </row>
    <row r="2835">
      <c r="A2835" s="6" t="inlineStr">
        <is>
          <t>DJ30</t>
        </is>
      </c>
      <c r="B2835" s="6" t="inlineStr">
        <is>
          <t>2024-10-04</t>
        </is>
      </c>
      <c r="C2835" s="6" t="inlineStr">
        <is>
          <t>DIA</t>
        </is>
      </c>
      <c r="D2835" s="6" t="inlineStr">
        <is>
          <t>HON</t>
        </is>
      </c>
      <c r="E2835" s="6" t="inlineStr">
        <is>
          <t>HON</t>
        </is>
      </c>
      <c r="F2835" s="6" t="inlineStr">
        <is>
          <t>-</t>
        </is>
      </c>
      <c r="G2835" s="7" t="n">
        <v>185.0983276367188</v>
      </c>
      <c r="H2835" s="6">
        <f>P2804</f>
        <v/>
      </c>
      <c r="I2835" s="9">
        <f>Q2804</f>
        <v/>
      </c>
      <c r="J2835" s="7">
        <f>I2835*G2835</f>
        <v/>
      </c>
      <c r="K2835" s="8">
        <f>IF($J$2853=0,0,J2835/$J$2853)</f>
        <v/>
      </c>
      <c r="L2835" s="6" t="inlineStr">
        <is>
          <t>WATCHLIST</t>
        </is>
      </c>
      <c r="M2835" s="8" t="n">
        <v>0</v>
      </c>
      <c r="N2835" s="7">
        <f>M2835*$J$2853-J2835</f>
        <v/>
      </c>
      <c r="O2835" s="9">
        <f>IF(G2835=0,0,N2835/G2835)</f>
        <v/>
      </c>
      <c r="P2835" s="6">
        <f>IF(M2835&gt;0,D2835,"")</f>
        <v/>
      </c>
      <c r="Q2835" s="9">
        <f>I2835+O2835</f>
        <v/>
      </c>
      <c r="R2835" s="7">
        <f>Q2835*G2835</f>
        <v/>
      </c>
      <c r="S2835" s="8">
        <f>IF($R$2853=0,0,R2835/$R$2853)</f>
        <v/>
      </c>
      <c r="T2835" s="8" t="n">
        <v>0.007156799830694505</v>
      </c>
      <c r="U2835" s="8" t="n">
        <v>0.00108746693798123</v>
      </c>
      <c r="V2835" s="6" t="inlineStr">
        <is>
          <t>not selected</t>
        </is>
      </c>
    </row>
    <row r="2836">
      <c r="A2836" s="6" t="inlineStr">
        <is>
          <t>DJ30</t>
        </is>
      </c>
      <c r="B2836" s="6" t="inlineStr">
        <is>
          <t>2024-10-04</t>
        </is>
      </c>
      <c r="C2836" s="6" t="inlineStr">
        <is>
          <t>DIA</t>
        </is>
      </c>
      <c r="D2836" s="6" t="inlineStr">
        <is>
          <t>IBM</t>
        </is>
      </c>
      <c r="E2836" s="6" t="inlineStr">
        <is>
          <t>IBM</t>
        </is>
      </c>
      <c r="F2836" s="6" t="inlineStr">
        <is>
          <t>-</t>
        </is>
      </c>
      <c r="G2836" s="7" t="n">
        <v>215.7579345703125</v>
      </c>
      <c r="H2836" s="6">
        <f>P2805</f>
        <v/>
      </c>
      <c r="I2836" s="9">
        <f>Q2805</f>
        <v/>
      </c>
      <c r="J2836" s="7">
        <f>I2836*G2836</f>
        <v/>
      </c>
      <c r="K2836" s="8">
        <f>IF($J$2853=0,0,J2836/$J$2853)</f>
        <v/>
      </c>
      <c r="L2836" s="6" t="inlineStr">
        <is>
          <t>SELECTED</t>
        </is>
      </c>
      <c r="M2836" s="8" t="n">
        <v>0.2</v>
      </c>
      <c r="N2836" s="7">
        <f>M2836*$J$2853-J2836</f>
        <v/>
      </c>
      <c r="O2836" s="9">
        <f>IF(G2836=0,0,N2836/G2836)</f>
        <v/>
      </c>
      <c r="P2836" s="6">
        <f>IF(M2836&gt;0,D2836,"")</f>
        <v/>
      </c>
      <c r="Q2836" s="9">
        <f>I2836+O2836</f>
        <v/>
      </c>
      <c r="R2836" s="7">
        <f>Q2836*G2836</f>
        <v/>
      </c>
      <c r="S2836" s="8">
        <f>IF($R$2853=0,0,R2836/$R$2853)</f>
        <v/>
      </c>
      <c r="T2836" s="8" t="n">
        <v>0.007156799830694505</v>
      </c>
      <c r="U2836" s="8" t="n">
        <v>0.00108746693798123</v>
      </c>
      <c r="V2836" s="6" t="inlineStr">
        <is>
          <t>remained in weekly selection</t>
        </is>
      </c>
    </row>
    <row r="2837">
      <c r="A2837" s="6" t="inlineStr">
        <is>
          <t>DJ30</t>
        </is>
      </c>
      <c r="B2837" s="6" t="inlineStr">
        <is>
          <t>2024-10-04</t>
        </is>
      </c>
      <c r="C2837" s="6" t="inlineStr">
        <is>
          <t>DIA</t>
        </is>
      </c>
      <c r="D2837" s="6" t="inlineStr">
        <is>
          <t>JNJ</t>
        </is>
      </c>
      <c r="E2837" s="6" t="inlineStr">
        <is>
          <t>JNJ</t>
        </is>
      </c>
      <c r="F2837" s="6" t="inlineStr">
        <is>
          <t>-</t>
        </is>
      </c>
      <c r="G2837" s="7" t="n">
        <v>152.5976257324219</v>
      </c>
      <c r="H2837" s="6">
        <f>P2806</f>
        <v/>
      </c>
      <c r="I2837" s="9">
        <f>Q2806</f>
        <v/>
      </c>
      <c r="J2837" s="7">
        <f>I2837*G2837</f>
        <v/>
      </c>
      <c r="K2837" s="8">
        <f>IF($J$2853=0,0,J2837/$J$2853)</f>
        <v/>
      </c>
      <c r="L2837" s="6" t="inlineStr">
        <is>
          <t>REJECTED</t>
        </is>
      </c>
      <c r="M2837" s="8" t="n">
        <v>0</v>
      </c>
      <c r="N2837" s="7">
        <f>M2837*$J$2853-J2837</f>
        <v/>
      </c>
      <c r="O2837" s="9">
        <f>IF(G2837=0,0,N2837/G2837)</f>
        <v/>
      </c>
      <c r="P2837" s="6">
        <f>IF(M2837&gt;0,D2837,"")</f>
        <v/>
      </c>
      <c r="Q2837" s="9">
        <f>I2837+O2837</f>
        <v/>
      </c>
      <c r="R2837" s="7">
        <f>Q2837*G2837</f>
        <v/>
      </c>
      <c r="S2837" s="8">
        <f>IF($R$2853=0,0,R2837/$R$2853)</f>
        <v/>
      </c>
      <c r="T2837" s="8" t="n">
        <v>0.007156799830694505</v>
      </c>
      <c r="U2837" s="8" t="n">
        <v>0.00108746693798123</v>
      </c>
      <c r="V2837" s="6" t="inlineStr">
        <is>
          <t>not selected</t>
        </is>
      </c>
    </row>
    <row r="2838">
      <c r="A2838" s="6" t="inlineStr">
        <is>
          <t>DJ30</t>
        </is>
      </c>
      <c r="B2838" s="6" t="inlineStr">
        <is>
          <t>2024-10-04</t>
        </is>
      </c>
      <c r="C2838" s="6" t="inlineStr">
        <is>
          <t>DIA</t>
        </is>
      </c>
      <c r="D2838" s="6" t="inlineStr">
        <is>
          <t>JPM</t>
        </is>
      </c>
      <c r="E2838" s="6" t="inlineStr">
        <is>
          <t>JPM</t>
        </is>
      </c>
      <c r="F2838" s="6" t="inlineStr">
        <is>
          <t>-</t>
        </is>
      </c>
      <c r="G2838" s="7" t="n">
        <v>204.8641357421875</v>
      </c>
      <c r="H2838" s="6">
        <f>P2807</f>
        <v/>
      </c>
      <c r="I2838" s="9">
        <f>Q2807</f>
        <v/>
      </c>
      <c r="J2838" s="7">
        <f>I2838*G2838</f>
        <v/>
      </c>
      <c r="K2838" s="8">
        <f>IF($J$2853=0,0,J2838/$J$2853)</f>
        <v/>
      </c>
      <c r="L2838" s="6" t="inlineStr">
        <is>
          <t>WATCHLIST</t>
        </is>
      </c>
      <c r="M2838" s="8" t="n">
        <v>0</v>
      </c>
      <c r="N2838" s="7">
        <f>M2838*$J$2853-J2838</f>
        <v/>
      </c>
      <c r="O2838" s="9">
        <f>IF(G2838=0,0,N2838/G2838)</f>
        <v/>
      </c>
      <c r="P2838" s="6">
        <f>IF(M2838&gt;0,D2838,"")</f>
        <v/>
      </c>
      <c r="Q2838" s="9">
        <f>I2838+O2838</f>
        <v/>
      </c>
      <c r="R2838" s="7">
        <f>Q2838*G2838</f>
        <v/>
      </c>
      <c r="S2838" s="8">
        <f>IF($R$2853=0,0,R2838/$R$2853)</f>
        <v/>
      </c>
      <c r="T2838" s="8" t="n">
        <v>0.007156799830694505</v>
      </c>
      <c r="U2838" s="8" t="n">
        <v>0.00108746693798123</v>
      </c>
      <c r="V2838" s="6" t="inlineStr">
        <is>
          <t>not selected</t>
        </is>
      </c>
    </row>
    <row r="2839">
      <c r="A2839" s="6" t="inlineStr">
        <is>
          <t>DJ30</t>
        </is>
      </c>
      <c r="B2839" s="6" t="inlineStr">
        <is>
          <t>2024-10-04</t>
        </is>
      </c>
      <c r="C2839" s="6" t="inlineStr">
        <is>
          <t>DIA</t>
        </is>
      </c>
      <c r="D2839" s="6" t="inlineStr">
        <is>
          <t>KO</t>
        </is>
      </c>
      <c r="E2839" s="6" t="inlineStr">
        <is>
          <t>KO</t>
        </is>
      </c>
      <c r="F2839" s="6" t="inlineStr">
        <is>
          <t>-</t>
        </is>
      </c>
      <c r="G2839" s="7" t="n">
        <v>66.75307464599609</v>
      </c>
      <c r="H2839" s="6">
        <f>P2808</f>
        <v/>
      </c>
      <c r="I2839" s="9">
        <f>Q2808</f>
        <v/>
      </c>
      <c r="J2839" s="7">
        <f>I2839*G2839</f>
        <v/>
      </c>
      <c r="K2839" s="8">
        <f>IF($J$2853=0,0,J2839/$J$2853)</f>
        <v/>
      </c>
      <c r="L2839" s="6" t="inlineStr">
        <is>
          <t>SELECTED</t>
        </is>
      </c>
      <c r="M2839" s="8" t="n">
        <v>0.2</v>
      </c>
      <c r="N2839" s="7">
        <f>M2839*$J$2853-J2839</f>
        <v/>
      </c>
      <c r="O2839" s="9">
        <f>IF(G2839=0,0,N2839/G2839)</f>
        <v/>
      </c>
      <c r="P2839" s="6">
        <f>IF(M2839&gt;0,D2839,"")</f>
        <v/>
      </c>
      <c r="Q2839" s="9">
        <f>I2839+O2839</f>
        <v/>
      </c>
      <c r="R2839" s="7">
        <f>Q2839*G2839</f>
        <v/>
      </c>
      <c r="S2839" s="8">
        <f>IF($R$2853=0,0,R2839/$R$2853)</f>
        <v/>
      </c>
      <c r="T2839" s="8" t="n">
        <v>0.007156799830694505</v>
      </c>
      <c r="U2839" s="8" t="n">
        <v>0.00108746693798123</v>
      </c>
      <c r="V2839" s="6" t="inlineStr">
        <is>
          <t>remained in weekly selection</t>
        </is>
      </c>
    </row>
    <row r="2840">
      <c r="A2840" s="6" t="inlineStr">
        <is>
          <t>DJ30</t>
        </is>
      </c>
      <c r="B2840" s="6" t="inlineStr">
        <is>
          <t>2024-10-04</t>
        </is>
      </c>
      <c r="C2840" s="6" t="inlineStr">
        <is>
          <t>DIA</t>
        </is>
      </c>
      <c r="D2840" s="6" t="inlineStr">
        <is>
          <t>MCD</t>
        </is>
      </c>
      <c r="E2840" s="6" t="inlineStr">
        <is>
          <t>MCD</t>
        </is>
      </c>
      <c r="F2840" s="6" t="inlineStr">
        <is>
          <t>-</t>
        </is>
      </c>
      <c r="G2840" s="7" t="n">
        <v>291.4457092285156</v>
      </c>
      <c r="H2840" s="6">
        <f>P2809</f>
        <v/>
      </c>
      <c r="I2840" s="9">
        <f>Q2809</f>
        <v/>
      </c>
      <c r="J2840" s="7">
        <f>I2840*G2840</f>
        <v/>
      </c>
      <c r="K2840" s="8">
        <f>IF($J$2853=0,0,J2840/$J$2853)</f>
        <v/>
      </c>
      <c r="L2840" s="6" t="inlineStr">
        <is>
          <t>REJECTED</t>
        </is>
      </c>
      <c r="M2840" s="8" t="n">
        <v>0</v>
      </c>
      <c r="N2840" s="7">
        <f>M2840*$J$2853-J2840</f>
        <v/>
      </c>
      <c r="O2840" s="9">
        <f>IF(G2840=0,0,N2840/G2840)</f>
        <v/>
      </c>
      <c r="P2840" s="6">
        <f>IF(M2840&gt;0,D2840,"")</f>
        <v/>
      </c>
      <c r="Q2840" s="9">
        <f>I2840+O2840</f>
        <v/>
      </c>
      <c r="R2840" s="7">
        <f>Q2840*G2840</f>
        <v/>
      </c>
      <c r="S2840" s="8">
        <f>IF($R$2853=0,0,R2840/$R$2853)</f>
        <v/>
      </c>
      <c r="T2840" s="8" t="n">
        <v>0.007156799830694505</v>
      </c>
      <c r="U2840" s="8" t="n">
        <v>0.00108746693798123</v>
      </c>
      <c r="V2840" s="6" t="inlineStr">
        <is>
          <t>not selected</t>
        </is>
      </c>
    </row>
    <row r="2841">
      <c r="A2841" s="6" t="inlineStr">
        <is>
          <t>DJ30</t>
        </is>
      </c>
      <c r="B2841" s="6" t="inlineStr">
        <is>
          <t>2024-10-04</t>
        </is>
      </c>
      <c r="C2841" s="6" t="inlineStr">
        <is>
          <t>DIA</t>
        </is>
      </c>
      <c r="D2841" s="6" t="inlineStr">
        <is>
          <t>MMM</t>
        </is>
      </c>
      <c r="E2841" s="6" t="inlineStr">
        <is>
          <t>MMM</t>
        </is>
      </c>
      <c r="F2841" s="6" t="inlineStr">
        <is>
          <t>-</t>
        </is>
      </c>
      <c r="G2841" s="7" t="n">
        <v>130.7947235107422</v>
      </c>
      <c r="H2841" s="6">
        <f>P2810</f>
        <v/>
      </c>
      <c r="I2841" s="9">
        <f>Q2810</f>
        <v/>
      </c>
      <c r="J2841" s="7">
        <f>I2841*G2841</f>
        <v/>
      </c>
      <c r="K2841" s="8">
        <f>IF($J$2853=0,0,J2841/$J$2853)</f>
        <v/>
      </c>
      <c r="L2841" s="6" t="inlineStr">
        <is>
          <t>SELECTED</t>
        </is>
      </c>
      <c r="M2841" s="8" t="n">
        <v>0.2</v>
      </c>
      <c r="N2841" s="7">
        <f>M2841*$J$2853-J2841</f>
        <v/>
      </c>
      <c r="O2841" s="9">
        <f>IF(G2841=0,0,N2841/G2841)</f>
        <v/>
      </c>
      <c r="P2841" s="6">
        <f>IF(M2841&gt;0,D2841,"")</f>
        <v/>
      </c>
      <c r="Q2841" s="9">
        <f>I2841+O2841</f>
        <v/>
      </c>
      <c r="R2841" s="7">
        <f>Q2841*G2841</f>
        <v/>
      </c>
      <c r="S2841" s="8">
        <f>IF($R$2853=0,0,R2841/$R$2853)</f>
        <v/>
      </c>
      <c r="T2841" s="8" t="n">
        <v>0.007156799830694505</v>
      </c>
      <c r="U2841" s="8" t="n">
        <v>0.00108746693798123</v>
      </c>
      <c r="V2841" s="6" t="inlineStr">
        <is>
          <t>remained in weekly selection</t>
        </is>
      </c>
    </row>
    <row r="2842">
      <c r="A2842" s="6" t="inlineStr">
        <is>
          <t>DJ30</t>
        </is>
      </c>
      <c r="B2842" s="6" t="inlineStr">
        <is>
          <t>2024-10-04</t>
        </is>
      </c>
      <c r="C2842" s="6" t="inlineStr">
        <is>
          <t>DIA</t>
        </is>
      </c>
      <c r="D2842" s="6" t="inlineStr">
        <is>
          <t>MRK</t>
        </is>
      </c>
      <c r="E2842" s="6" t="inlineStr">
        <is>
          <t>MRK</t>
        </is>
      </c>
      <c r="F2842" s="6" t="inlineStr">
        <is>
          <t>-</t>
        </is>
      </c>
      <c r="G2842" s="7" t="n">
        <v>103.4371948242188</v>
      </c>
      <c r="H2842" s="6">
        <f>P2811</f>
        <v/>
      </c>
      <c r="I2842" s="9">
        <f>Q2811</f>
        <v/>
      </c>
      <c r="J2842" s="7">
        <f>I2842*G2842</f>
        <v/>
      </c>
      <c r="K2842" s="8">
        <f>IF($J$2853=0,0,J2842/$J$2853)</f>
        <v/>
      </c>
      <c r="L2842" s="6" t="inlineStr">
        <is>
          <t>WATCHLIST</t>
        </is>
      </c>
      <c r="M2842" s="8" t="n">
        <v>0</v>
      </c>
      <c r="N2842" s="7">
        <f>M2842*$J$2853-J2842</f>
        <v/>
      </c>
      <c r="O2842" s="9">
        <f>IF(G2842=0,0,N2842/G2842)</f>
        <v/>
      </c>
      <c r="P2842" s="6">
        <f>IF(M2842&gt;0,D2842,"")</f>
        <v/>
      </c>
      <c r="Q2842" s="9">
        <f>I2842+O2842</f>
        <v/>
      </c>
      <c r="R2842" s="7">
        <f>Q2842*G2842</f>
        <v/>
      </c>
      <c r="S2842" s="8">
        <f>IF($R$2853=0,0,R2842/$R$2853)</f>
        <v/>
      </c>
      <c r="T2842" s="8" t="n">
        <v>0.007156799830694505</v>
      </c>
      <c r="U2842" s="8" t="n">
        <v>0.00108746693798123</v>
      </c>
      <c r="V2842" s="6" t="inlineStr">
        <is>
          <t>not selected</t>
        </is>
      </c>
    </row>
    <row r="2843">
      <c r="A2843" s="6" t="inlineStr">
        <is>
          <t>DJ30</t>
        </is>
      </c>
      <c r="B2843" s="6" t="inlineStr">
        <is>
          <t>2024-10-04</t>
        </is>
      </c>
      <c r="C2843" s="6" t="inlineStr">
        <is>
          <t>DIA</t>
        </is>
      </c>
      <c r="D2843" s="6" t="inlineStr">
        <is>
          <t>MSFT</t>
        </is>
      </c>
      <c r="E2843" s="6" t="inlineStr">
        <is>
          <t>MSFT</t>
        </is>
      </c>
      <c r="F2843" s="6" t="inlineStr">
        <is>
          <t>-</t>
        </is>
      </c>
      <c r="G2843" s="7" t="n">
        <v>410.3607788085938</v>
      </c>
      <c r="H2843" s="6">
        <f>P2812</f>
        <v/>
      </c>
      <c r="I2843" s="9">
        <f>Q2812</f>
        <v/>
      </c>
      <c r="J2843" s="7">
        <f>I2843*G2843</f>
        <v/>
      </c>
      <c r="K2843" s="8">
        <f>IF($J$2853=0,0,J2843/$J$2853)</f>
        <v/>
      </c>
      <c r="L2843" s="6" t="inlineStr">
        <is>
          <t>WATCHLIST</t>
        </is>
      </c>
      <c r="M2843" s="8" t="n">
        <v>0</v>
      </c>
      <c r="N2843" s="7">
        <f>M2843*$J$2853-J2843</f>
        <v/>
      </c>
      <c r="O2843" s="9">
        <f>IF(G2843=0,0,N2843/G2843)</f>
        <v/>
      </c>
      <c r="P2843" s="6">
        <f>IF(M2843&gt;0,D2843,"")</f>
        <v/>
      </c>
      <c r="Q2843" s="9">
        <f>I2843+O2843</f>
        <v/>
      </c>
      <c r="R2843" s="7">
        <f>Q2843*G2843</f>
        <v/>
      </c>
      <c r="S2843" s="8">
        <f>IF($R$2853=0,0,R2843/$R$2853)</f>
        <v/>
      </c>
      <c r="T2843" s="8" t="n">
        <v>0.007156799830694505</v>
      </c>
      <c r="U2843" s="8" t="n">
        <v>0.00108746693798123</v>
      </c>
      <c r="V2843" s="6" t="inlineStr">
        <is>
          <t>not selected</t>
        </is>
      </c>
    </row>
    <row r="2844">
      <c r="A2844" s="6" t="inlineStr">
        <is>
          <t>DJ30</t>
        </is>
      </c>
      <c r="B2844" s="6" t="inlineStr">
        <is>
          <t>2024-10-04</t>
        </is>
      </c>
      <c r="C2844" s="6" t="inlineStr">
        <is>
          <t>DIA</t>
        </is>
      </c>
      <c r="D2844" s="6" t="inlineStr">
        <is>
          <t>NKE</t>
        </is>
      </c>
      <c r="E2844" s="6" t="inlineStr">
        <is>
          <t>NKE</t>
        </is>
      </c>
      <c r="F2844" s="6" t="inlineStr">
        <is>
          <t>-</t>
        </is>
      </c>
      <c r="G2844" s="7" t="n">
        <v>78.72248077392578</v>
      </c>
      <c r="H2844" s="6">
        <f>P2813</f>
        <v/>
      </c>
      <c r="I2844" s="9">
        <f>Q2813</f>
        <v/>
      </c>
      <c r="J2844" s="7">
        <f>I2844*G2844</f>
        <v/>
      </c>
      <c r="K2844" s="8">
        <f>IF($J$2853=0,0,J2844/$J$2853)</f>
        <v/>
      </c>
      <c r="L2844" s="6" t="inlineStr">
        <is>
          <t>REJECTED</t>
        </is>
      </c>
      <c r="M2844" s="8" t="n">
        <v>0</v>
      </c>
      <c r="N2844" s="7">
        <f>M2844*$J$2853-J2844</f>
        <v/>
      </c>
      <c r="O2844" s="9">
        <f>IF(G2844=0,0,N2844/G2844)</f>
        <v/>
      </c>
      <c r="P2844" s="6">
        <f>IF(M2844&gt;0,D2844,"")</f>
        <v/>
      </c>
      <c r="Q2844" s="9">
        <f>I2844+O2844</f>
        <v/>
      </c>
      <c r="R2844" s="7">
        <f>Q2844*G2844</f>
        <v/>
      </c>
      <c r="S2844" s="8">
        <f>IF($R$2853=0,0,R2844/$R$2853)</f>
        <v/>
      </c>
      <c r="T2844" s="8" t="n">
        <v>0.007156799830694505</v>
      </c>
      <c r="U2844" s="8" t="n">
        <v>0.00108746693798123</v>
      </c>
      <c r="V2844" s="6" t="inlineStr">
        <is>
          <t>not selected</t>
        </is>
      </c>
    </row>
    <row r="2845">
      <c r="A2845" s="6" t="inlineStr">
        <is>
          <t>DJ30</t>
        </is>
      </c>
      <c r="B2845" s="6" t="inlineStr">
        <is>
          <t>2024-10-04</t>
        </is>
      </c>
      <c r="C2845" s="6" t="inlineStr">
        <is>
          <t>DIA</t>
        </is>
      </c>
      <c r="D2845" s="6" t="inlineStr">
        <is>
          <t>NVDA</t>
        </is>
      </c>
      <c r="E2845" s="6" t="inlineStr">
        <is>
          <t>NVDA</t>
        </is>
      </c>
      <c r="F2845" s="6" t="inlineStr">
        <is>
          <t>-</t>
        </is>
      </c>
      <c r="G2845" s="7" t="n">
        <v>124.7251129150391</v>
      </c>
      <c r="H2845" s="6">
        <f>P2814</f>
        <v/>
      </c>
      <c r="I2845" s="9">
        <f>Q2814</f>
        <v/>
      </c>
      <c r="J2845" s="7">
        <f>I2845*G2845</f>
        <v/>
      </c>
      <c r="K2845" s="8">
        <f>IF($J$2853=0,0,J2845/$J$2853)</f>
        <v/>
      </c>
      <c r="L2845" s="6" t="inlineStr">
        <is>
          <t>SELECTED</t>
        </is>
      </c>
      <c r="M2845" s="8" t="n">
        <v>0.2</v>
      </c>
      <c r="N2845" s="7">
        <f>M2845*$J$2853-J2845</f>
        <v/>
      </c>
      <c r="O2845" s="9">
        <f>IF(G2845=0,0,N2845/G2845)</f>
        <v/>
      </c>
      <c r="P2845" s="6">
        <f>IF(M2845&gt;0,D2845,"")</f>
        <v/>
      </c>
      <c r="Q2845" s="9">
        <f>I2845+O2845</f>
        <v/>
      </c>
      <c r="R2845" s="7">
        <f>Q2845*G2845</f>
        <v/>
      </c>
      <c r="S2845" s="8">
        <f>IF($R$2853=0,0,R2845/$R$2853)</f>
        <v/>
      </c>
      <c r="T2845" s="8" t="n">
        <v>0.007156799830694505</v>
      </c>
      <c r="U2845" s="8" t="n">
        <v>0.00108746693798123</v>
      </c>
      <c r="V2845" s="6" t="inlineStr">
        <is>
          <t>remained in weekly selection</t>
        </is>
      </c>
    </row>
    <row r="2846">
      <c r="A2846" s="6" t="inlineStr">
        <is>
          <t>DJ30</t>
        </is>
      </c>
      <c r="B2846" s="6" t="inlineStr">
        <is>
          <t>2024-10-04</t>
        </is>
      </c>
      <c r="C2846" s="6" t="inlineStr">
        <is>
          <t>DIA</t>
        </is>
      </c>
      <c r="D2846" s="6" t="inlineStr">
        <is>
          <t>PG</t>
        </is>
      </c>
      <c r="E2846" s="6" t="inlineStr">
        <is>
          <t>PG</t>
        </is>
      </c>
      <c r="F2846" s="6" t="inlineStr">
        <is>
          <t>-</t>
        </is>
      </c>
      <c r="G2846" s="7" t="n">
        <v>161.2042694091797</v>
      </c>
      <c r="H2846" s="6">
        <f>P2815</f>
        <v/>
      </c>
      <c r="I2846" s="9">
        <f>Q2815</f>
        <v/>
      </c>
      <c r="J2846" s="7">
        <f>I2846*G2846</f>
        <v/>
      </c>
      <c r="K2846" s="8">
        <f>IF($J$2853=0,0,J2846/$J$2853)</f>
        <v/>
      </c>
      <c r="L2846" s="6" t="inlineStr">
        <is>
          <t>WATCHLIST</t>
        </is>
      </c>
      <c r="M2846" s="8" t="n">
        <v>0</v>
      </c>
      <c r="N2846" s="7">
        <f>M2846*$J$2853-J2846</f>
        <v/>
      </c>
      <c r="O2846" s="9">
        <f>IF(G2846=0,0,N2846/G2846)</f>
        <v/>
      </c>
      <c r="P2846" s="6">
        <f>IF(M2846&gt;0,D2846,"")</f>
        <v/>
      </c>
      <c r="Q2846" s="9">
        <f>I2846+O2846</f>
        <v/>
      </c>
      <c r="R2846" s="7">
        <f>Q2846*G2846</f>
        <v/>
      </c>
      <c r="S2846" s="8">
        <f>IF($R$2853=0,0,R2846/$R$2853)</f>
        <v/>
      </c>
      <c r="T2846" s="8" t="n">
        <v>0.007156799830694505</v>
      </c>
      <c r="U2846" s="8" t="n">
        <v>0.00108746693798123</v>
      </c>
      <c r="V2846" s="6" t="inlineStr">
        <is>
          <t>not selected</t>
        </is>
      </c>
    </row>
    <row r="2847">
      <c r="A2847" s="6" t="inlineStr">
        <is>
          <t>DJ30</t>
        </is>
      </c>
      <c r="B2847" s="6" t="inlineStr">
        <is>
          <t>2024-10-04</t>
        </is>
      </c>
      <c r="C2847" s="6" t="inlineStr">
        <is>
          <t>DIA</t>
        </is>
      </c>
      <c r="D2847" s="6" t="inlineStr">
        <is>
          <t>SHW</t>
        </is>
      </c>
      <c r="E2847" s="6" t="inlineStr">
        <is>
          <t>SHW</t>
        </is>
      </c>
      <c r="F2847" s="6" t="inlineStr">
        <is>
          <t>-</t>
        </is>
      </c>
      <c r="G2847" s="7" t="n">
        <v>365.5858154296875</v>
      </c>
      <c r="H2847" s="6">
        <f>P2816</f>
        <v/>
      </c>
      <c r="I2847" s="9">
        <f>Q2816</f>
        <v/>
      </c>
      <c r="J2847" s="7">
        <f>I2847*G2847</f>
        <v/>
      </c>
      <c r="K2847" s="8">
        <f>IF($J$2853=0,0,J2847/$J$2853)</f>
        <v/>
      </c>
      <c r="L2847" s="6" t="inlineStr">
        <is>
          <t>WATCHLIST</t>
        </is>
      </c>
      <c r="M2847" s="8" t="n">
        <v>0</v>
      </c>
      <c r="N2847" s="7">
        <f>M2847*$J$2853-J2847</f>
        <v/>
      </c>
      <c r="O2847" s="9">
        <f>IF(G2847=0,0,N2847/G2847)</f>
        <v/>
      </c>
      <c r="P2847" s="6">
        <f>IF(M2847&gt;0,D2847,"")</f>
        <v/>
      </c>
      <c r="Q2847" s="9">
        <f>I2847+O2847</f>
        <v/>
      </c>
      <c r="R2847" s="7">
        <f>Q2847*G2847</f>
        <v/>
      </c>
      <c r="S2847" s="8">
        <f>IF($R$2853=0,0,R2847/$R$2853)</f>
        <v/>
      </c>
      <c r="T2847" s="8" t="n">
        <v>0.007156799830694505</v>
      </c>
      <c r="U2847" s="8" t="n">
        <v>0.00108746693798123</v>
      </c>
      <c r="V2847" s="6" t="inlineStr">
        <is>
          <t>not selected</t>
        </is>
      </c>
    </row>
    <row r="2848">
      <c r="A2848" s="6" t="inlineStr">
        <is>
          <t>DJ30</t>
        </is>
      </c>
      <c r="B2848" s="6" t="inlineStr">
        <is>
          <t>2024-10-04</t>
        </is>
      </c>
      <c r="C2848" s="6" t="inlineStr">
        <is>
          <t>DIA</t>
        </is>
      </c>
      <c r="D2848" s="6" t="inlineStr">
        <is>
          <t>TRV</t>
        </is>
      </c>
      <c r="E2848" s="6" t="inlineStr">
        <is>
          <t>TRV</t>
        </is>
      </c>
      <c r="F2848" s="6" t="inlineStr">
        <is>
          <t>-</t>
        </is>
      </c>
      <c r="G2848" s="7" t="n">
        <v>229.6511383056641</v>
      </c>
      <c r="H2848" s="6">
        <f>P2817</f>
        <v/>
      </c>
      <c r="I2848" s="9">
        <f>Q2817</f>
        <v/>
      </c>
      <c r="J2848" s="7">
        <f>I2848*G2848</f>
        <v/>
      </c>
      <c r="K2848" s="8">
        <f>IF($J$2853=0,0,J2848/$J$2853)</f>
        <v/>
      </c>
      <c r="L2848" s="6" t="inlineStr">
        <is>
          <t>WATCHLIST</t>
        </is>
      </c>
      <c r="M2848" s="8" t="n">
        <v>0</v>
      </c>
      <c r="N2848" s="7">
        <f>M2848*$J$2853-J2848</f>
        <v/>
      </c>
      <c r="O2848" s="9">
        <f>IF(G2848=0,0,N2848/G2848)</f>
        <v/>
      </c>
      <c r="P2848" s="6">
        <f>IF(M2848&gt;0,D2848,"")</f>
        <v/>
      </c>
      <c r="Q2848" s="9">
        <f>I2848+O2848</f>
        <v/>
      </c>
      <c r="R2848" s="7">
        <f>Q2848*G2848</f>
        <v/>
      </c>
      <c r="S2848" s="8">
        <f>IF($R$2853=0,0,R2848/$R$2853)</f>
        <v/>
      </c>
      <c r="T2848" s="8" t="n">
        <v>0.007156799830694505</v>
      </c>
      <c r="U2848" s="8" t="n">
        <v>0.00108746693798123</v>
      </c>
      <c r="V2848" s="6" t="inlineStr">
        <is>
          <t>not selected</t>
        </is>
      </c>
    </row>
    <row r="2849">
      <c r="A2849" s="6" t="inlineStr">
        <is>
          <t>DJ30</t>
        </is>
      </c>
      <c r="B2849" s="6" t="inlineStr">
        <is>
          <t>2024-10-04</t>
        </is>
      </c>
      <c r="C2849" s="6" t="inlineStr">
        <is>
          <t>DIA</t>
        </is>
      </c>
      <c r="D2849" s="6" t="inlineStr">
        <is>
          <t>UNH</t>
        </is>
      </c>
      <c r="E2849" s="6" t="inlineStr">
        <is>
          <t>UNH</t>
        </is>
      </c>
      <c r="F2849" s="6" t="inlineStr">
        <is>
          <t>-</t>
        </is>
      </c>
      <c r="G2849" s="7" t="n">
        <v>567.1129150390625</v>
      </c>
      <c r="H2849" s="6">
        <f>P2818</f>
        <v/>
      </c>
      <c r="I2849" s="9">
        <f>Q2818</f>
        <v/>
      </c>
      <c r="J2849" s="7">
        <f>I2849*G2849</f>
        <v/>
      </c>
      <c r="K2849" s="8">
        <f>IF($J$2853=0,0,J2849/$J$2853)</f>
        <v/>
      </c>
      <c r="L2849" s="6" t="inlineStr">
        <is>
          <t>REJECTED</t>
        </is>
      </c>
      <c r="M2849" s="8" t="n">
        <v>0</v>
      </c>
      <c r="N2849" s="7">
        <f>M2849*$J$2853-J2849</f>
        <v/>
      </c>
      <c r="O2849" s="9">
        <f>IF(G2849=0,0,N2849/G2849)</f>
        <v/>
      </c>
      <c r="P2849" s="6">
        <f>IF(M2849&gt;0,D2849,"")</f>
        <v/>
      </c>
      <c r="Q2849" s="9">
        <f>I2849+O2849</f>
        <v/>
      </c>
      <c r="R2849" s="7">
        <f>Q2849*G2849</f>
        <v/>
      </c>
      <c r="S2849" s="8">
        <f>IF($R$2853=0,0,R2849/$R$2853)</f>
        <v/>
      </c>
      <c r="T2849" s="8" t="n">
        <v>0.007156799830694505</v>
      </c>
      <c r="U2849" s="8" t="n">
        <v>0.00108746693798123</v>
      </c>
      <c r="V2849" s="6" t="inlineStr">
        <is>
          <t>not selected</t>
        </is>
      </c>
    </row>
    <row r="2850">
      <c r="A2850" s="6" t="inlineStr">
        <is>
          <t>DJ30</t>
        </is>
      </c>
      <c r="B2850" s="6" t="inlineStr">
        <is>
          <t>2024-10-04</t>
        </is>
      </c>
      <c r="C2850" s="6" t="inlineStr">
        <is>
          <t>DIA</t>
        </is>
      </c>
      <c r="D2850" s="6" t="inlineStr">
        <is>
          <t>V</t>
        </is>
      </c>
      <c r="E2850" s="6" t="inlineStr">
        <is>
          <t>V</t>
        </is>
      </c>
      <c r="F2850" s="6" t="inlineStr">
        <is>
          <t>-</t>
        </is>
      </c>
      <c r="G2850" s="7" t="n">
        <v>274.3106994628906</v>
      </c>
      <c r="H2850" s="6">
        <f>P2819</f>
        <v/>
      </c>
      <c r="I2850" s="9">
        <f>Q2819</f>
        <v/>
      </c>
      <c r="J2850" s="7">
        <f>I2850*G2850</f>
        <v/>
      </c>
      <c r="K2850" s="8">
        <f>IF($J$2853=0,0,J2850/$J$2853)</f>
        <v/>
      </c>
      <c r="L2850" s="6" t="inlineStr">
        <is>
          <t>WATCHLIST</t>
        </is>
      </c>
      <c r="M2850" s="8" t="n">
        <v>0</v>
      </c>
      <c r="N2850" s="7">
        <f>M2850*$J$2853-J2850</f>
        <v/>
      </c>
      <c r="O2850" s="9">
        <f>IF(G2850=0,0,N2850/G2850)</f>
        <v/>
      </c>
      <c r="P2850" s="6">
        <f>IF(M2850&gt;0,D2850,"")</f>
        <v/>
      </c>
      <c r="Q2850" s="9">
        <f>I2850+O2850</f>
        <v/>
      </c>
      <c r="R2850" s="7">
        <f>Q2850*G2850</f>
        <v/>
      </c>
      <c r="S2850" s="8">
        <f>IF($R$2853=0,0,R2850/$R$2853)</f>
        <v/>
      </c>
      <c r="T2850" s="8" t="n">
        <v>0.007156799830694505</v>
      </c>
      <c r="U2850" s="8" t="n">
        <v>0.00108746693798123</v>
      </c>
      <c r="V2850" s="6" t="inlineStr">
        <is>
          <t>not selected</t>
        </is>
      </c>
    </row>
    <row r="2851">
      <c r="A2851" s="6" t="inlineStr">
        <is>
          <t>DJ30</t>
        </is>
      </c>
      <c r="B2851" s="6" t="inlineStr">
        <is>
          <t>2024-10-04</t>
        </is>
      </c>
      <c r="C2851" s="6" t="inlineStr">
        <is>
          <t>DIA</t>
        </is>
      </c>
      <c r="D2851" s="6" t="inlineStr">
        <is>
          <t>VZ</t>
        </is>
      </c>
      <c r="E2851" s="6" t="inlineStr">
        <is>
          <t>VZ</t>
        </is>
      </c>
      <c r="F2851" s="6" t="inlineStr">
        <is>
          <t>-</t>
        </is>
      </c>
      <c r="G2851" s="7" t="n">
        <v>39.4119873046875</v>
      </c>
      <c r="H2851" s="6">
        <f>P2820</f>
        <v/>
      </c>
      <c r="I2851" s="9">
        <f>Q2820</f>
        <v/>
      </c>
      <c r="J2851" s="7">
        <f>I2851*G2851</f>
        <v/>
      </c>
      <c r="K2851" s="8">
        <f>IF($J$2853=0,0,J2851/$J$2853)</f>
        <v/>
      </c>
      <c r="L2851" s="6" t="inlineStr">
        <is>
          <t>WATCHLIST</t>
        </is>
      </c>
      <c r="M2851" s="8" t="n">
        <v>0</v>
      </c>
      <c r="N2851" s="7">
        <f>M2851*$J$2853-J2851</f>
        <v/>
      </c>
      <c r="O2851" s="9">
        <f>IF(G2851=0,0,N2851/G2851)</f>
        <v/>
      </c>
      <c r="P2851" s="6">
        <f>IF(M2851&gt;0,D2851,"")</f>
        <v/>
      </c>
      <c r="Q2851" s="9">
        <f>I2851+O2851</f>
        <v/>
      </c>
      <c r="R2851" s="7">
        <f>Q2851*G2851</f>
        <v/>
      </c>
      <c r="S2851" s="8">
        <f>IF($R$2853=0,0,R2851/$R$2853)</f>
        <v/>
      </c>
      <c r="T2851" s="8" t="n">
        <v>0.007156799830694505</v>
      </c>
      <c r="U2851" s="8" t="n">
        <v>0.00108746693798123</v>
      </c>
      <c r="V2851" s="6" t="inlineStr">
        <is>
          <t>not selected</t>
        </is>
      </c>
    </row>
    <row r="2852">
      <c r="A2852" s="6" t="inlineStr">
        <is>
          <t>DJ30</t>
        </is>
      </c>
      <c r="B2852" s="6" t="inlineStr">
        <is>
          <t>2024-10-04</t>
        </is>
      </c>
      <c r="C2852" s="6" t="inlineStr">
        <is>
          <t>DIA</t>
        </is>
      </c>
      <c r="D2852" s="6" t="inlineStr">
        <is>
          <t>WMT</t>
        </is>
      </c>
      <c r="E2852" s="6" t="inlineStr">
        <is>
          <t>WMT</t>
        </is>
      </c>
      <c r="F2852" s="6" t="inlineStr">
        <is>
          <t>-</t>
        </is>
      </c>
      <c r="G2852" s="7" t="n">
        <v>79.67945098876953</v>
      </c>
      <c r="H2852" s="6">
        <f>P2821</f>
        <v/>
      </c>
      <c r="I2852" s="9">
        <f>Q2821</f>
        <v/>
      </c>
      <c r="J2852" s="7">
        <f>I2852*G2852</f>
        <v/>
      </c>
      <c r="K2852" s="8">
        <f>IF($J$2853=0,0,J2852/$J$2853)</f>
        <v/>
      </c>
      <c r="L2852" s="6" t="inlineStr">
        <is>
          <t>WATCHLIST</t>
        </is>
      </c>
      <c r="M2852" s="8" t="n">
        <v>0</v>
      </c>
      <c r="N2852" s="7">
        <f>M2852*$J$2853-J2852</f>
        <v/>
      </c>
      <c r="O2852" s="9">
        <f>IF(G2852=0,0,N2852/G2852)</f>
        <v/>
      </c>
      <c r="P2852" s="6">
        <f>IF(M2852&gt;0,D2852,"")</f>
        <v/>
      </c>
      <c r="Q2852" s="9">
        <f>I2852+O2852</f>
        <v/>
      </c>
      <c r="R2852" s="7">
        <f>Q2852*G2852</f>
        <v/>
      </c>
      <c r="S2852" s="8">
        <f>IF($R$2853=0,0,R2852/$R$2853)</f>
        <v/>
      </c>
      <c r="T2852" s="8" t="n">
        <v>0.007156799830694505</v>
      </c>
      <c r="U2852" s="8" t="n">
        <v>0.00108746693798123</v>
      </c>
      <c r="V2852" s="6" t="inlineStr">
        <is>
          <t>not selected</t>
        </is>
      </c>
    </row>
    <row r="2853">
      <c r="A2853" s="10" t="inlineStr">
        <is>
          <t>DJ30</t>
        </is>
      </c>
      <c r="B2853" s="10" t="inlineStr">
        <is>
          <t>2024-10-04</t>
        </is>
      </c>
      <c r="C2853" s="10" t="inlineStr">
        <is>
          <t>DIA</t>
        </is>
      </c>
      <c r="D2853" s="10" t="inlineStr">
        <is>
          <t>Tot Portfolio</t>
        </is>
      </c>
      <c r="E2853" s="10" t="inlineStr"/>
      <c r="F2853" s="10" t="inlineStr"/>
      <c r="G2853" s="11" t="inlineStr"/>
      <c r="H2853" s="10" t="inlineStr"/>
      <c r="I2853" s="12" t="inlineStr"/>
      <c r="J2853" s="11">
        <f>SUM(J2823:J2852)</f>
        <v/>
      </c>
      <c r="K2853" s="13">
        <f>SUM(K2823:K2852)</f>
        <v/>
      </c>
      <c r="L2853" s="10" t="inlineStr">
        <is>
          <t>TOTAL</t>
        </is>
      </c>
      <c r="M2853" s="13">
        <f>SUM(M2823:M2852)</f>
        <v/>
      </c>
      <c r="N2853" s="11">
        <f>SUM(N2823:N2852)</f>
        <v/>
      </c>
      <c r="O2853" s="12">
        <f>SUM(O2823:O2852)</f>
        <v/>
      </c>
      <c r="P2853" s="10" t="inlineStr"/>
      <c r="Q2853" s="12" t="inlineStr"/>
      <c r="R2853" s="11">
        <f>SUM(R2823:R2852)</f>
        <v/>
      </c>
      <c r="S2853" s="13">
        <f>SUM(S2823:S2852)</f>
        <v/>
      </c>
      <c r="T2853" s="13" t="n">
        <v>0.007156799830694505</v>
      </c>
      <c r="U2853" s="13" t="n">
        <v>0.00108746693798123</v>
      </c>
      <c r="V2853" s="10" t="inlineStr"/>
    </row>
    <row r="2854">
      <c r="A2854" s="6" t="inlineStr">
        <is>
          <t>DJ30</t>
        </is>
      </c>
      <c r="B2854" s="6" t="inlineStr">
        <is>
          <t>2024-10-11</t>
        </is>
      </c>
      <c r="C2854" s="6" t="inlineStr">
        <is>
          <t>DIA</t>
        </is>
      </c>
      <c r="D2854" s="6" t="inlineStr">
        <is>
          <t>AAPL</t>
        </is>
      </c>
      <c r="E2854" s="6" t="inlineStr">
        <is>
          <t>AAPL</t>
        </is>
      </c>
      <c r="F2854" s="6" t="inlineStr">
        <is>
          <t>-</t>
        </is>
      </c>
      <c r="G2854" s="7" t="n">
        <v>225.8569183349609</v>
      </c>
      <c r="H2854" s="6">
        <f>P2823</f>
        <v/>
      </c>
      <c r="I2854" s="9">
        <f>Q2823</f>
        <v/>
      </c>
      <c r="J2854" s="7">
        <f>I2854*G2854</f>
        <v/>
      </c>
      <c r="K2854" s="8">
        <f>IF($J$2884=0,0,J2854/$J$2884)</f>
        <v/>
      </c>
      <c r="L2854" s="6" t="inlineStr">
        <is>
          <t>WATCHLIST</t>
        </is>
      </c>
      <c r="M2854" s="8" t="n">
        <v>0</v>
      </c>
      <c r="N2854" s="7">
        <f>M2854*$J$2884-J2854</f>
        <v/>
      </c>
      <c r="O2854" s="9">
        <f>IF(G2854=0,0,N2854/G2854)</f>
        <v/>
      </c>
      <c r="P2854" s="6">
        <f>IF(M2854&gt;0,D2854,"")</f>
        <v/>
      </c>
      <c r="Q2854" s="9">
        <f>I2854+O2854</f>
        <v/>
      </c>
      <c r="R2854" s="7">
        <f>Q2854*G2854</f>
        <v/>
      </c>
      <c r="S2854" s="8">
        <f>IF($R$2884=0,0,R2854/$R$2884)</f>
        <v/>
      </c>
      <c r="T2854" s="8" t="n">
        <v>0.01950157074290071</v>
      </c>
      <c r="U2854" s="8" t="n">
        <v>0.01256472609248038</v>
      </c>
      <c r="V2854" s="6" t="inlineStr">
        <is>
          <t>not selected</t>
        </is>
      </c>
    </row>
    <row r="2855">
      <c r="A2855" s="6" t="inlineStr">
        <is>
          <t>DJ30</t>
        </is>
      </c>
      <c r="B2855" s="6" t="inlineStr">
        <is>
          <t>2024-10-11</t>
        </is>
      </c>
      <c r="C2855" s="6" t="inlineStr">
        <is>
          <t>DIA</t>
        </is>
      </c>
      <c r="D2855" s="6" t="inlineStr">
        <is>
          <t>AMGN</t>
        </is>
      </c>
      <c r="E2855" s="6" t="inlineStr">
        <is>
          <t>AMGN</t>
        </is>
      </c>
      <c r="F2855" s="6" t="inlineStr">
        <is>
          <t>-</t>
        </is>
      </c>
      <c r="G2855" s="7" t="n">
        <v>310.9570617675781</v>
      </c>
      <c r="H2855" s="6">
        <f>P2824</f>
        <v/>
      </c>
      <c r="I2855" s="9">
        <f>Q2824</f>
        <v/>
      </c>
      <c r="J2855" s="7">
        <f>I2855*G2855</f>
        <v/>
      </c>
      <c r="K2855" s="8">
        <f>IF($J$2884=0,0,J2855/$J$2884)</f>
        <v/>
      </c>
      <c r="L2855" s="6" t="inlineStr">
        <is>
          <t>WATCHLIST</t>
        </is>
      </c>
      <c r="M2855" s="8" t="n">
        <v>0</v>
      </c>
      <c r="N2855" s="7">
        <f>M2855*$J$2884-J2855</f>
        <v/>
      </c>
      <c r="O2855" s="9">
        <f>IF(G2855=0,0,N2855/G2855)</f>
        <v/>
      </c>
      <c r="P2855" s="6">
        <f>IF(M2855&gt;0,D2855,"")</f>
        <v/>
      </c>
      <c r="Q2855" s="9">
        <f>I2855+O2855</f>
        <v/>
      </c>
      <c r="R2855" s="7">
        <f>Q2855*G2855</f>
        <v/>
      </c>
      <c r="S2855" s="8">
        <f>IF($R$2884=0,0,R2855/$R$2884)</f>
        <v/>
      </c>
      <c r="T2855" s="8" t="n">
        <v>0.01950157074290071</v>
      </c>
      <c r="U2855" s="8" t="n">
        <v>0.01256472609248038</v>
      </c>
      <c r="V2855" s="6" t="inlineStr">
        <is>
          <t>not selected</t>
        </is>
      </c>
    </row>
    <row r="2856">
      <c r="A2856" s="6" t="inlineStr">
        <is>
          <t>DJ30</t>
        </is>
      </c>
      <c r="B2856" s="6" t="inlineStr">
        <is>
          <t>2024-10-11</t>
        </is>
      </c>
      <c r="C2856" s="6" t="inlineStr">
        <is>
          <t>DIA</t>
        </is>
      </c>
      <c r="D2856" s="6" t="inlineStr">
        <is>
          <t>AMZN</t>
        </is>
      </c>
      <c r="E2856" s="6" t="inlineStr">
        <is>
          <t>AMZN</t>
        </is>
      </c>
      <c r="F2856" s="6" t="inlineStr">
        <is>
          <t>-</t>
        </is>
      </c>
      <c r="G2856" s="7" t="n">
        <v>188.8200073242188</v>
      </c>
      <c r="H2856" s="6">
        <f>P2825</f>
        <v/>
      </c>
      <c r="I2856" s="9">
        <f>Q2825</f>
        <v/>
      </c>
      <c r="J2856" s="7">
        <f>I2856*G2856</f>
        <v/>
      </c>
      <c r="K2856" s="8">
        <f>IF($J$2884=0,0,J2856/$J$2884)</f>
        <v/>
      </c>
      <c r="L2856" s="6" t="inlineStr">
        <is>
          <t>WATCHLIST</t>
        </is>
      </c>
      <c r="M2856" s="8" t="n">
        <v>0</v>
      </c>
      <c r="N2856" s="7">
        <f>M2856*$J$2884-J2856</f>
        <v/>
      </c>
      <c r="O2856" s="9">
        <f>IF(G2856=0,0,N2856/G2856)</f>
        <v/>
      </c>
      <c r="P2856" s="6">
        <f>IF(M2856&gt;0,D2856,"")</f>
        <v/>
      </c>
      <c r="Q2856" s="9">
        <f>I2856+O2856</f>
        <v/>
      </c>
      <c r="R2856" s="7">
        <f>Q2856*G2856</f>
        <v/>
      </c>
      <c r="S2856" s="8">
        <f>IF($R$2884=0,0,R2856/$R$2884)</f>
        <v/>
      </c>
      <c r="T2856" s="8" t="n">
        <v>0.01950157074290071</v>
      </c>
      <c r="U2856" s="8" t="n">
        <v>0.01256472609248038</v>
      </c>
      <c r="V2856" s="6" t="inlineStr">
        <is>
          <t>not selected</t>
        </is>
      </c>
    </row>
    <row r="2857">
      <c r="A2857" s="6" t="inlineStr">
        <is>
          <t>DJ30</t>
        </is>
      </c>
      <c r="B2857" s="6" t="inlineStr">
        <is>
          <t>2024-10-11</t>
        </is>
      </c>
      <c r="C2857" s="6" t="inlineStr">
        <is>
          <t>DIA</t>
        </is>
      </c>
      <c r="D2857" s="6" t="inlineStr">
        <is>
          <t>AXP</t>
        </is>
      </c>
      <c r="E2857" s="6" t="inlineStr">
        <is>
          <t>AXP</t>
        </is>
      </c>
      <c r="F2857" s="6" t="inlineStr">
        <is>
          <t>-</t>
        </is>
      </c>
      <c r="G2857" s="7" t="n">
        <v>271.7520751953125</v>
      </c>
      <c r="H2857" s="6">
        <f>P2826</f>
        <v/>
      </c>
      <c r="I2857" s="9">
        <f>Q2826</f>
        <v/>
      </c>
      <c r="J2857" s="7">
        <f>I2857*G2857</f>
        <v/>
      </c>
      <c r="K2857" s="8">
        <f>IF($J$2884=0,0,J2857/$J$2884)</f>
        <v/>
      </c>
      <c r="L2857" s="6" t="inlineStr">
        <is>
          <t>SELECTED</t>
        </is>
      </c>
      <c r="M2857" s="8" t="n">
        <v>0.2</v>
      </c>
      <c r="N2857" s="7">
        <f>M2857*$J$2884-J2857</f>
        <v/>
      </c>
      <c r="O2857" s="9">
        <f>IF(G2857=0,0,N2857/G2857)</f>
        <v/>
      </c>
      <c r="P2857" s="6">
        <f>IF(M2857&gt;0,D2857,"")</f>
        <v/>
      </c>
      <c r="Q2857" s="9">
        <f>I2857+O2857</f>
        <v/>
      </c>
      <c r="R2857" s="7">
        <f>Q2857*G2857</f>
        <v/>
      </c>
      <c r="S2857" s="8">
        <f>IF($R$2884=0,0,R2857/$R$2884)</f>
        <v/>
      </c>
      <c r="T2857" s="8" t="n">
        <v>0.01950157074290071</v>
      </c>
      <c r="U2857" s="8" t="n">
        <v>0.01256472609248038</v>
      </c>
      <c r="V2857" s="6" t="inlineStr">
        <is>
          <t>remained in weekly selection</t>
        </is>
      </c>
    </row>
    <row r="2858">
      <c r="A2858" s="6" t="inlineStr">
        <is>
          <t>DJ30</t>
        </is>
      </c>
      <c r="B2858" s="6" t="inlineStr">
        <is>
          <t>2024-10-11</t>
        </is>
      </c>
      <c r="C2858" s="6" t="inlineStr">
        <is>
          <t>DIA</t>
        </is>
      </c>
      <c r="D2858" s="6" t="inlineStr">
        <is>
          <t>BA</t>
        </is>
      </c>
      <c r="E2858" s="6" t="inlineStr">
        <is>
          <t>BA</t>
        </is>
      </c>
      <c r="F2858" s="6" t="inlineStr">
        <is>
          <t>-</t>
        </is>
      </c>
      <c r="G2858" s="7" t="n">
        <v>151.0200042724609</v>
      </c>
      <c r="H2858" s="6">
        <f>P2827</f>
        <v/>
      </c>
      <c r="I2858" s="9">
        <f>Q2827</f>
        <v/>
      </c>
      <c r="J2858" s="7">
        <f>I2858*G2858</f>
        <v/>
      </c>
      <c r="K2858" s="8">
        <f>IF($J$2884=0,0,J2858/$J$2884)</f>
        <v/>
      </c>
      <c r="L2858" s="6" t="inlineStr">
        <is>
          <t>REJECTED</t>
        </is>
      </c>
      <c r="M2858" s="8" t="n">
        <v>0</v>
      </c>
      <c r="N2858" s="7">
        <f>M2858*$J$2884-J2858</f>
        <v/>
      </c>
      <c r="O2858" s="9">
        <f>IF(G2858=0,0,N2858/G2858)</f>
        <v/>
      </c>
      <c r="P2858" s="6">
        <f>IF(M2858&gt;0,D2858,"")</f>
        <v/>
      </c>
      <c r="Q2858" s="9">
        <f>I2858+O2858</f>
        <v/>
      </c>
      <c r="R2858" s="7">
        <f>Q2858*G2858</f>
        <v/>
      </c>
      <c r="S2858" s="8">
        <f>IF($R$2884=0,0,R2858/$R$2884)</f>
        <v/>
      </c>
      <c r="T2858" s="8" t="n">
        <v>0.01950157074290071</v>
      </c>
      <c r="U2858" s="8" t="n">
        <v>0.01256472609248038</v>
      </c>
      <c r="V2858" s="6" t="inlineStr">
        <is>
          <t>not selected</t>
        </is>
      </c>
    </row>
    <row r="2859">
      <c r="A2859" s="6" t="inlineStr">
        <is>
          <t>DJ30</t>
        </is>
      </c>
      <c r="B2859" s="6" t="inlineStr">
        <is>
          <t>2024-10-11</t>
        </is>
      </c>
      <c r="C2859" s="6" t="inlineStr">
        <is>
          <t>DIA</t>
        </is>
      </c>
      <c r="D2859" s="6" t="inlineStr">
        <is>
          <t>CAT</t>
        </is>
      </c>
      <c r="E2859" s="6" t="inlineStr">
        <is>
          <t>CAT</t>
        </is>
      </c>
      <c r="F2859" s="6" t="inlineStr">
        <is>
          <t>-</t>
        </is>
      </c>
      <c r="G2859" s="7" t="n">
        <v>392.9523010253906</v>
      </c>
      <c r="H2859" s="6">
        <f>P2828</f>
        <v/>
      </c>
      <c r="I2859" s="9">
        <f>Q2828</f>
        <v/>
      </c>
      <c r="J2859" s="7">
        <f>I2859*G2859</f>
        <v/>
      </c>
      <c r="K2859" s="8">
        <f>IF($J$2884=0,0,J2859/$J$2884)</f>
        <v/>
      </c>
      <c r="L2859" s="6" t="inlineStr">
        <is>
          <t>WATCHLIST</t>
        </is>
      </c>
      <c r="M2859" s="8" t="n">
        <v>0</v>
      </c>
      <c r="N2859" s="7">
        <f>M2859*$J$2884-J2859</f>
        <v/>
      </c>
      <c r="O2859" s="9">
        <f>IF(G2859=0,0,N2859/G2859)</f>
        <v/>
      </c>
      <c r="P2859" s="6">
        <f>IF(M2859&gt;0,D2859,"")</f>
        <v/>
      </c>
      <c r="Q2859" s="9">
        <f>I2859+O2859</f>
        <v/>
      </c>
      <c r="R2859" s="7">
        <f>Q2859*G2859</f>
        <v/>
      </c>
      <c r="S2859" s="8">
        <f>IF($R$2884=0,0,R2859/$R$2884)</f>
        <v/>
      </c>
      <c r="T2859" s="8" t="n">
        <v>0.01950157074290071</v>
      </c>
      <c r="U2859" s="8" t="n">
        <v>0.01256472609248038</v>
      </c>
      <c r="V2859" s="6" t="inlineStr">
        <is>
          <t>not selected</t>
        </is>
      </c>
    </row>
    <row r="2860">
      <c r="A2860" s="6" t="inlineStr">
        <is>
          <t>DJ30</t>
        </is>
      </c>
      <c r="B2860" s="6" t="inlineStr">
        <is>
          <t>2024-10-11</t>
        </is>
      </c>
      <c r="C2860" s="6" t="inlineStr">
        <is>
          <t>DIA</t>
        </is>
      </c>
      <c r="D2860" s="6" t="inlineStr">
        <is>
          <t>CRM</t>
        </is>
      </c>
      <c r="E2860" s="6" t="inlineStr">
        <is>
          <t>CRM</t>
        </is>
      </c>
      <c r="F2860" s="6" t="inlineStr">
        <is>
          <t>-</t>
        </is>
      </c>
      <c r="G2860" s="7" t="n">
        <v>284.4577331542969</v>
      </c>
      <c r="H2860" s="6">
        <f>P2829</f>
        <v/>
      </c>
      <c r="I2860" s="9">
        <f>Q2829</f>
        <v/>
      </c>
      <c r="J2860" s="7">
        <f>I2860*G2860</f>
        <v/>
      </c>
      <c r="K2860" s="8">
        <f>IF($J$2884=0,0,J2860/$J$2884)</f>
        <v/>
      </c>
      <c r="L2860" s="6" t="inlineStr">
        <is>
          <t>REJECTED</t>
        </is>
      </c>
      <c r="M2860" s="8" t="n">
        <v>0</v>
      </c>
      <c r="N2860" s="7">
        <f>M2860*$J$2884-J2860</f>
        <v/>
      </c>
      <c r="O2860" s="9">
        <f>IF(G2860=0,0,N2860/G2860)</f>
        <v/>
      </c>
      <c r="P2860" s="6">
        <f>IF(M2860&gt;0,D2860,"")</f>
        <v/>
      </c>
      <c r="Q2860" s="9">
        <f>I2860+O2860</f>
        <v/>
      </c>
      <c r="R2860" s="7">
        <f>Q2860*G2860</f>
        <v/>
      </c>
      <c r="S2860" s="8">
        <f>IF($R$2884=0,0,R2860/$R$2884)</f>
        <v/>
      </c>
      <c r="T2860" s="8" t="n">
        <v>0.01950157074290071</v>
      </c>
      <c r="U2860" s="8" t="n">
        <v>0.01256472609248038</v>
      </c>
      <c r="V2860" s="6" t="inlineStr">
        <is>
          <t>not selected</t>
        </is>
      </c>
    </row>
    <row r="2861">
      <c r="A2861" s="6" t="inlineStr">
        <is>
          <t>DJ30</t>
        </is>
      </c>
      <c r="B2861" s="6" t="inlineStr">
        <is>
          <t>2024-10-11</t>
        </is>
      </c>
      <c r="C2861" s="6" t="inlineStr">
        <is>
          <t>DIA</t>
        </is>
      </c>
      <c r="D2861" s="6" t="inlineStr">
        <is>
          <t>CSCO</t>
        </is>
      </c>
      <c r="E2861" s="6" t="inlineStr">
        <is>
          <t>CSCO</t>
        </is>
      </c>
      <c r="F2861" s="6" t="inlineStr">
        <is>
          <t>-</t>
        </is>
      </c>
      <c r="G2861" s="7" t="n">
        <v>52.3211669921875</v>
      </c>
      <c r="H2861" s="6">
        <f>P2830</f>
        <v/>
      </c>
      <c r="I2861" s="9">
        <f>Q2830</f>
        <v/>
      </c>
      <c r="J2861" s="7">
        <f>I2861*G2861</f>
        <v/>
      </c>
      <c r="K2861" s="8">
        <f>IF($J$2884=0,0,J2861/$J$2884)</f>
        <v/>
      </c>
      <c r="L2861" s="6" t="inlineStr">
        <is>
          <t>REJECTED</t>
        </is>
      </c>
      <c r="M2861" s="8" t="n">
        <v>0</v>
      </c>
      <c r="N2861" s="7">
        <f>M2861*$J$2884-J2861</f>
        <v/>
      </c>
      <c r="O2861" s="9">
        <f>IF(G2861=0,0,N2861/G2861)</f>
        <v/>
      </c>
      <c r="P2861" s="6">
        <f>IF(M2861&gt;0,D2861,"")</f>
        <v/>
      </c>
      <c r="Q2861" s="9">
        <f>I2861+O2861</f>
        <v/>
      </c>
      <c r="R2861" s="7">
        <f>Q2861*G2861</f>
        <v/>
      </c>
      <c r="S2861" s="8">
        <f>IF($R$2884=0,0,R2861/$R$2884)</f>
        <v/>
      </c>
      <c r="T2861" s="8" t="n">
        <v>0.01950157074290071</v>
      </c>
      <c r="U2861" s="8" t="n">
        <v>0.01256472609248038</v>
      </c>
      <c r="V2861" s="6" t="inlineStr">
        <is>
          <t>not selected</t>
        </is>
      </c>
    </row>
    <row r="2862">
      <c r="A2862" s="6" t="inlineStr">
        <is>
          <t>DJ30</t>
        </is>
      </c>
      <c r="B2862" s="6" t="inlineStr">
        <is>
          <t>2024-10-11</t>
        </is>
      </c>
      <c r="C2862" s="6" t="inlineStr">
        <is>
          <t>DIA</t>
        </is>
      </c>
      <c r="D2862" s="6" t="inlineStr">
        <is>
          <t>CVX</t>
        </is>
      </c>
      <c r="E2862" s="6" t="inlineStr">
        <is>
          <t>CVX</t>
        </is>
      </c>
      <c r="F2862" s="6" t="inlineStr">
        <is>
          <t>-</t>
        </is>
      </c>
      <c r="G2862" s="7" t="n">
        <v>140.5750427246094</v>
      </c>
      <c r="H2862" s="6">
        <f>P2831</f>
        <v/>
      </c>
      <c r="I2862" s="9">
        <f>Q2831</f>
        <v/>
      </c>
      <c r="J2862" s="7">
        <f>I2862*G2862</f>
        <v/>
      </c>
      <c r="K2862" s="8">
        <f>IF($J$2884=0,0,J2862/$J$2884)</f>
        <v/>
      </c>
      <c r="L2862" s="6" t="inlineStr">
        <is>
          <t>REJECTED</t>
        </is>
      </c>
      <c r="M2862" s="8" t="n">
        <v>0</v>
      </c>
      <c r="N2862" s="7">
        <f>M2862*$J$2884-J2862</f>
        <v/>
      </c>
      <c r="O2862" s="9">
        <f>IF(G2862=0,0,N2862/G2862)</f>
        <v/>
      </c>
      <c r="P2862" s="6">
        <f>IF(M2862&gt;0,D2862,"")</f>
        <v/>
      </c>
      <c r="Q2862" s="9">
        <f>I2862+O2862</f>
        <v/>
      </c>
      <c r="R2862" s="7">
        <f>Q2862*G2862</f>
        <v/>
      </c>
      <c r="S2862" s="8">
        <f>IF($R$2884=0,0,R2862/$R$2884)</f>
        <v/>
      </c>
      <c r="T2862" s="8" t="n">
        <v>0.01950157074290071</v>
      </c>
      <c r="U2862" s="8" t="n">
        <v>0.01256472609248038</v>
      </c>
      <c r="V2862" s="6" t="inlineStr">
        <is>
          <t>not selected</t>
        </is>
      </c>
    </row>
    <row r="2863">
      <c r="A2863" s="6" t="inlineStr">
        <is>
          <t>DJ30</t>
        </is>
      </c>
      <c r="B2863" s="6" t="inlineStr">
        <is>
          <t>2024-10-11</t>
        </is>
      </c>
      <c r="C2863" s="6" t="inlineStr">
        <is>
          <t>DIA</t>
        </is>
      </c>
      <c r="D2863" s="6" t="inlineStr">
        <is>
          <t>DIS</t>
        </is>
      </c>
      <c r="E2863" s="6" t="inlineStr">
        <is>
          <t>DIS</t>
        </is>
      </c>
      <c r="F2863" s="6" t="inlineStr">
        <is>
          <t>-</t>
        </is>
      </c>
      <c r="G2863" s="7" t="n">
        <v>92.68967437744141</v>
      </c>
      <c r="H2863" s="6">
        <f>P2832</f>
        <v/>
      </c>
      <c r="I2863" s="9">
        <f>Q2832</f>
        <v/>
      </c>
      <c r="J2863" s="7">
        <f>I2863*G2863</f>
        <v/>
      </c>
      <c r="K2863" s="8">
        <f>IF($J$2884=0,0,J2863/$J$2884)</f>
        <v/>
      </c>
      <c r="L2863" s="6" t="inlineStr">
        <is>
          <t>REJECTED</t>
        </is>
      </c>
      <c r="M2863" s="8" t="n">
        <v>0</v>
      </c>
      <c r="N2863" s="7">
        <f>M2863*$J$2884-J2863</f>
        <v/>
      </c>
      <c r="O2863" s="9">
        <f>IF(G2863=0,0,N2863/G2863)</f>
        <v/>
      </c>
      <c r="P2863" s="6">
        <f>IF(M2863&gt;0,D2863,"")</f>
        <v/>
      </c>
      <c r="Q2863" s="9">
        <f>I2863+O2863</f>
        <v/>
      </c>
      <c r="R2863" s="7">
        <f>Q2863*G2863</f>
        <v/>
      </c>
      <c r="S2863" s="8">
        <f>IF($R$2884=0,0,R2863/$R$2884)</f>
        <v/>
      </c>
      <c r="T2863" s="8" t="n">
        <v>0.01950157074290071</v>
      </c>
      <c r="U2863" s="8" t="n">
        <v>0.01256472609248038</v>
      </c>
      <c r="V2863" s="6" t="inlineStr">
        <is>
          <t>not selected</t>
        </is>
      </c>
    </row>
    <row r="2864">
      <c r="A2864" s="6" t="inlineStr">
        <is>
          <t>DJ30</t>
        </is>
      </c>
      <c r="B2864" s="6" t="inlineStr">
        <is>
          <t>2024-10-11</t>
        </is>
      </c>
      <c r="C2864" s="6" t="inlineStr">
        <is>
          <t>DIA</t>
        </is>
      </c>
      <c r="D2864" s="6" t="inlineStr">
        <is>
          <t>GS</t>
        </is>
      </c>
      <c r="E2864" s="6" t="inlineStr">
        <is>
          <t>GS</t>
        </is>
      </c>
      <c r="F2864" s="6" t="inlineStr">
        <is>
          <t>-</t>
        </is>
      </c>
      <c r="G2864" s="7" t="n">
        <v>498.6462707519531</v>
      </c>
      <c r="H2864" s="6">
        <f>P2833</f>
        <v/>
      </c>
      <c r="I2864" s="9">
        <f>Q2833</f>
        <v/>
      </c>
      <c r="J2864" s="7">
        <f>I2864*G2864</f>
        <v/>
      </c>
      <c r="K2864" s="8">
        <f>IF($J$2884=0,0,J2864/$J$2884)</f>
        <v/>
      </c>
      <c r="L2864" s="6" t="inlineStr">
        <is>
          <t>WATCHLIST</t>
        </is>
      </c>
      <c r="M2864" s="8" t="n">
        <v>0</v>
      </c>
      <c r="N2864" s="7">
        <f>M2864*$J$2884-J2864</f>
        <v/>
      </c>
      <c r="O2864" s="9">
        <f>IF(G2864=0,0,N2864/G2864)</f>
        <v/>
      </c>
      <c r="P2864" s="6">
        <f>IF(M2864&gt;0,D2864,"")</f>
        <v/>
      </c>
      <c r="Q2864" s="9">
        <f>I2864+O2864</f>
        <v/>
      </c>
      <c r="R2864" s="7">
        <f>Q2864*G2864</f>
        <v/>
      </c>
      <c r="S2864" s="8">
        <f>IF($R$2884=0,0,R2864/$R$2884)</f>
        <v/>
      </c>
      <c r="T2864" s="8" t="n">
        <v>0.01950157074290071</v>
      </c>
      <c r="U2864" s="8" t="n">
        <v>0.01256472609248038</v>
      </c>
      <c r="V2864" s="6" t="inlineStr">
        <is>
          <t>not selected</t>
        </is>
      </c>
    </row>
    <row r="2865">
      <c r="A2865" s="6" t="inlineStr">
        <is>
          <t>DJ30</t>
        </is>
      </c>
      <c r="B2865" s="6" t="inlineStr">
        <is>
          <t>2024-10-11</t>
        </is>
      </c>
      <c r="C2865" s="6" t="inlineStr">
        <is>
          <t>DIA</t>
        </is>
      </c>
      <c r="D2865" s="6" t="inlineStr">
        <is>
          <t>HD</t>
        </is>
      </c>
      <c r="E2865" s="6" t="inlineStr">
        <is>
          <t>HD</t>
        </is>
      </c>
      <c r="F2865" s="6" t="inlineStr">
        <is>
          <t>-</t>
        </is>
      </c>
      <c r="G2865" s="7" t="n">
        <v>394.1638793945313</v>
      </c>
      <c r="H2865" s="6">
        <f>P2834</f>
        <v/>
      </c>
      <c r="I2865" s="9">
        <f>Q2834</f>
        <v/>
      </c>
      <c r="J2865" s="7">
        <f>I2865*G2865</f>
        <v/>
      </c>
      <c r="K2865" s="8">
        <f>IF($J$2884=0,0,J2865/$J$2884)</f>
        <v/>
      </c>
      <c r="L2865" s="6" t="inlineStr">
        <is>
          <t>WATCHLIST</t>
        </is>
      </c>
      <c r="M2865" s="8" t="n">
        <v>0</v>
      </c>
      <c r="N2865" s="7">
        <f>M2865*$J$2884-J2865</f>
        <v/>
      </c>
      <c r="O2865" s="9">
        <f>IF(G2865=0,0,N2865/G2865)</f>
        <v/>
      </c>
      <c r="P2865" s="6">
        <f>IF(M2865&gt;0,D2865,"")</f>
        <v/>
      </c>
      <c r="Q2865" s="9">
        <f>I2865+O2865</f>
        <v/>
      </c>
      <c r="R2865" s="7">
        <f>Q2865*G2865</f>
        <v/>
      </c>
      <c r="S2865" s="8">
        <f>IF($R$2884=0,0,R2865/$R$2884)</f>
        <v/>
      </c>
      <c r="T2865" s="8" t="n">
        <v>0.01950157074290071</v>
      </c>
      <c r="U2865" s="8" t="n">
        <v>0.01256472609248038</v>
      </c>
      <c r="V2865" s="6" t="inlineStr">
        <is>
          <t>not selected</t>
        </is>
      </c>
    </row>
    <row r="2866">
      <c r="A2866" s="6" t="inlineStr">
        <is>
          <t>DJ30</t>
        </is>
      </c>
      <c r="B2866" s="6" t="inlineStr">
        <is>
          <t>2024-10-11</t>
        </is>
      </c>
      <c r="C2866" s="6" t="inlineStr">
        <is>
          <t>DIA</t>
        </is>
      </c>
      <c r="D2866" s="6" t="inlineStr">
        <is>
          <t>HON</t>
        </is>
      </c>
      <c r="E2866" s="6" t="inlineStr">
        <is>
          <t>HON</t>
        </is>
      </c>
      <c r="F2866" s="6" t="inlineStr">
        <is>
          <t>-</t>
        </is>
      </c>
      <c r="G2866" s="7" t="n">
        <v>196.188980102539</v>
      </c>
      <c r="H2866" s="6">
        <f>P2835</f>
        <v/>
      </c>
      <c r="I2866" s="9">
        <f>Q2835</f>
        <v/>
      </c>
      <c r="J2866" s="7">
        <f>I2866*G2866</f>
        <v/>
      </c>
      <c r="K2866" s="8">
        <f>IF($J$2884=0,0,J2866/$J$2884)</f>
        <v/>
      </c>
      <c r="L2866" s="6" t="inlineStr">
        <is>
          <t>WATCHLIST</t>
        </is>
      </c>
      <c r="M2866" s="8" t="n">
        <v>0</v>
      </c>
      <c r="N2866" s="7">
        <f>M2866*$J$2884-J2866</f>
        <v/>
      </c>
      <c r="O2866" s="9">
        <f>IF(G2866=0,0,N2866/G2866)</f>
        <v/>
      </c>
      <c r="P2866" s="6">
        <f>IF(M2866&gt;0,D2866,"")</f>
        <v/>
      </c>
      <c r="Q2866" s="9">
        <f>I2866+O2866</f>
        <v/>
      </c>
      <c r="R2866" s="7">
        <f>Q2866*G2866</f>
        <v/>
      </c>
      <c r="S2866" s="8">
        <f>IF($R$2884=0,0,R2866/$R$2884)</f>
        <v/>
      </c>
      <c r="T2866" s="8" t="n">
        <v>0.01950157074290071</v>
      </c>
      <c r="U2866" s="8" t="n">
        <v>0.01256472609248038</v>
      </c>
      <c r="V2866" s="6" t="inlineStr">
        <is>
          <t>not selected</t>
        </is>
      </c>
    </row>
    <row r="2867">
      <c r="A2867" s="6" t="inlineStr">
        <is>
          <t>DJ30</t>
        </is>
      </c>
      <c r="B2867" s="6" t="inlineStr">
        <is>
          <t>2024-10-11</t>
        </is>
      </c>
      <c r="C2867" s="6" t="inlineStr">
        <is>
          <t>DIA</t>
        </is>
      </c>
      <c r="D2867" s="6" t="inlineStr">
        <is>
          <t>IBM</t>
        </is>
      </c>
      <c r="E2867" s="6" t="inlineStr">
        <is>
          <t>IBM</t>
        </is>
      </c>
      <c r="F2867" s="6" t="inlineStr">
        <is>
          <t>-</t>
        </is>
      </c>
      <c r="G2867" s="7" t="n">
        <v>222.6889038085937</v>
      </c>
      <c r="H2867" s="6">
        <f>P2836</f>
        <v/>
      </c>
      <c r="I2867" s="9">
        <f>Q2836</f>
        <v/>
      </c>
      <c r="J2867" s="7">
        <f>I2867*G2867</f>
        <v/>
      </c>
      <c r="K2867" s="8">
        <f>IF($J$2884=0,0,J2867/$J$2884)</f>
        <v/>
      </c>
      <c r="L2867" s="6" t="inlineStr">
        <is>
          <t>WATCHLIST</t>
        </is>
      </c>
      <c r="M2867" s="8" t="n">
        <v>0</v>
      </c>
      <c r="N2867" s="7">
        <f>M2867*$J$2884-J2867</f>
        <v/>
      </c>
      <c r="O2867" s="9">
        <f>IF(G2867=0,0,N2867/G2867)</f>
        <v/>
      </c>
      <c r="P2867" s="6">
        <f>IF(M2867&gt;0,D2867,"")</f>
        <v/>
      </c>
      <c r="Q2867" s="9">
        <f>I2867+O2867</f>
        <v/>
      </c>
      <c r="R2867" s="7">
        <f>Q2867*G2867</f>
        <v/>
      </c>
      <c r="S2867" s="8">
        <f>IF($R$2884=0,0,R2867/$R$2884)</f>
        <v/>
      </c>
      <c r="T2867" s="8" t="n">
        <v>0.01950157074290071</v>
      </c>
      <c r="U2867" s="8" t="n">
        <v>0.01256472609248038</v>
      </c>
      <c r="V2867" s="6" t="inlineStr">
        <is>
          <t>removed from weekly selection</t>
        </is>
      </c>
    </row>
    <row r="2868">
      <c r="A2868" s="6" t="inlineStr">
        <is>
          <t>DJ30</t>
        </is>
      </c>
      <c r="B2868" s="6" t="inlineStr">
        <is>
          <t>2024-10-11</t>
        </is>
      </c>
      <c r="C2868" s="6" t="inlineStr">
        <is>
          <t>DIA</t>
        </is>
      </c>
      <c r="D2868" s="6" t="inlineStr">
        <is>
          <t>JNJ</t>
        </is>
      </c>
      <c r="E2868" s="6" t="inlineStr">
        <is>
          <t>JNJ</t>
        </is>
      </c>
      <c r="F2868" s="6" t="inlineStr">
        <is>
          <t>-</t>
        </is>
      </c>
      <c r="G2868" s="7" t="n">
        <v>153.7115020751953</v>
      </c>
      <c r="H2868" s="6">
        <f>P2837</f>
        <v/>
      </c>
      <c r="I2868" s="9">
        <f>Q2837</f>
        <v/>
      </c>
      <c r="J2868" s="7">
        <f>I2868*G2868</f>
        <v/>
      </c>
      <c r="K2868" s="8">
        <f>IF($J$2884=0,0,J2868/$J$2884)</f>
        <v/>
      </c>
      <c r="L2868" s="6" t="inlineStr">
        <is>
          <t>REJECTED</t>
        </is>
      </c>
      <c r="M2868" s="8" t="n">
        <v>0</v>
      </c>
      <c r="N2868" s="7">
        <f>M2868*$J$2884-J2868</f>
        <v/>
      </c>
      <c r="O2868" s="9">
        <f>IF(G2868=0,0,N2868/G2868)</f>
        <v/>
      </c>
      <c r="P2868" s="6">
        <f>IF(M2868&gt;0,D2868,"")</f>
        <v/>
      </c>
      <c r="Q2868" s="9">
        <f>I2868+O2868</f>
        <v/>
      </c>
      <c r="R2868" s="7">
        <f>Q2868*G2868</f>
        <v/>
      </c>
      <c r="S2868" s="8">
        <f>IF($R$2884=0,0,R2868/$R$2884)</f>
        <v/>
      </c>
      <c r="T2868" s="8" t="n">
        <v>0.01950157074290071</v>
      </c>
      <c r="U2868" s="8" t="n">
        <v>0.01256472609248038</v>
      </c>
      <c r="V2868" s="6" t="inlineStr">
        <is>
          <t>not selected</t>
        </is>
      </c>
    </row>
    <row r="2869">
      <c r="A2869" s="6" t="inlineStr">
        <is>
          <t>DJ30</t>
        </is>
      </c>
      <c r="B2869" s="6" t="inlineStr">
        <is>
          <t>2024-10-11</t>
        </is>
      </c>
      <c r="C2869" s="6" t="inlineStr">
        <is>
          <t>DIA</t>
        </is>
      </c>
      <c r="D2869" s="6" t="inlineStr">
        <is>
          <t>JPM</t>
        </is>
      </c>
      <c r="E2869" s="6" t="inlineStr">
        <is>
          <t>JPM</t>
        </is>
      </c>
      <c r="F2869" s="6" t="inlineStr">
        <is>
          <t>-</t>
        </is>
      </c>
      <c r="G2869" s="7" t="n">
        <v>215.6010131835937</v>
      </c>
      <c r="H2869" s="6">
        <f>P2838</f>
        <v/>
      </c>
      <c r="I2869" s="9">
        <f>Q2838</f>
        <v/>
      </c>
      <c r="J2869" s="7">
        <f>I2869*G2869</f>
        <v/>
      </c>
      <c r="K2869" s="8">
        <f>IF($J$2884=0,0,J2869/$J$2884)</f>
        <v/>
      </c>
      <c r="L2869" s="6" t="inlineStr">
        <is>
          <t>WATCHLIST</t>
        </is>
      </c>
      <c r="M2869" s="8" t="n">
        <v>0</v>
      </c>
      <c r="N2869" s="7">
        <f>M2869*$J$2884-J2869</f>
        <v/>
      </c>
      <c r="O2869" s="9">
        <f>IF(G2869=0,0,N2869/G2869)</f>
        <v/>
      </c>
      <c r="P2869" s="6">
        <f>IF(M2869&gt;0,D2869,"")</f>
        <v/>
      </c>
      <c r="Q2869" s="9">
        <f>I2869+O2869</f>
        <v/>
      </c>
      <c r="R2869" s="7">
        <f>Q2869*G2869</f>
        <v/>
      </c>
      <c r="S2869" s="8">
        <f>IF($R$2884=0,0,R2869/$R$2884)</f>
        <v/>
      </c>
      <c r="T2869" s="8" t="n">
        <v>0.01950157074290071</v>
      </c>
      <c r="U2869" s="8" t="n">
        <v>0.01256472609248038</v>
      </c>
      <c r="V2869" s="6" t="inlineStr">
        <is>
          <t>not selected</t>
        </is>
      </c>
    </row>
    <row r="2870">
      <c r="A2870" s="6" t="inlineStr">
        <is>
          <t>DJ30</t>
        </is>
      </c>
      <c r="B2870" s="6" t="inlineStr">
        <is>
          <t>2024-10-11</t>
        </is>
      </c>
      <c r="C2870" s="6" t="inlineStr">
        <is>
          <t>DIA</t>
        </is>
      </c>
      <c r="D2870" s="6" t="inlineStr">
        <is>
          <t>KO</t>
        </is>
      </c>
      <c r="E2870" s="6" t="inlineStr">
        <is>
          <t>KO</t>
        </is>
      </c>
      <c r="F2870" s="6" t="inlineStr">
        <is>
          <t>-</t>
        </is>
      </c>
      <c r="G2870" s="7" t="n">
        <v>66.18228912353516</v>
      </c>
      <c r="H2870" s="6">
        <f>P2839</f>
        <v/>
      </c>
      <c r="I2870" s="9">
        <f>Q2839</f>
        <v/>
      </c>
      <c r="J2870" s="7">
        <f>I2870*G2870</f>
        <v/>
      </c>
      <c r="K2870" s="8">
        <f>IF($J$2884=0,0,J2870/$J$2884)</f>
        <v/>
      </c>
      <c r="L2870" s="6" t="inlineStr">
        <is>
          <t>SELECTED</t>
        </is>
      </c>
      <c r="M2870" s="8" t="n">
        <v>0.2</v>
      </c>
      <c r="N2870" s="7">
        <f>M2870*$J$2884-J2870</f>
        <v/>
      </c>
      <c r="O2870" s="9">
        <f>IF(G2870=0,0,N2870/G2870)</f>
        <v/>
      </c>
      <c r="P2870" s="6">
        <f>IF(M2870&gt;0,D2870,"")</f>
        <v/>
      </c>
      <c r="Q2870" s="9">
        <f>I2870+O2870</f>
        <v/>
      </c>
      <c r="R2870" s="7">
        <f>Q2870*G2870</f>
        <v/>
      </c>
      <c r="S2870" s="8">
        <f>IF($R$2884=0,0,R2870/$R$2884)</f>
        <v/>
      </c>
      <c r="T2870" s="8" t="n">
        <v>0.01950157074290071</v>
      </c>
      <c r="U2870" s="8" t="n">
        <v>0.01256472609248038</v>
      </c>
      <c r="V2870" s="6" t="inlineStr">
        <is>
          <t>remained in weekly selection</t>
        </is>
      </c>
    </row>
    <row r="2871">
      <c r="A2871" s="6" t="inlineStr">
        <is>
          <t>DJ30</t>
        </is>
      </c>
      <c r="B2871" s="6" t="inlineStr">
        <is>
          <t>2024-10-11</t>
        </is>
      </c>
      <c r="C2871" s="6" t="inlineStr">
        <is>
          <t>DIA</t>
        </is>
      </c>
      <c r="D2871" s="6" t="inlineStr">
        <is>
          <t>MCD</t>
        </is>
      </c>
      <c r="E2871" s="6" t="inlineStr">
        <is>
          <t>MCD</t>
        </is>
      </c>
      <c r="F2871" s="6" t="inlineStr">
        <is>
          <t>-</t>
        </is>
      </c>
      <c r="G2871" s="7" t="n">
        <v>292.6737976074219</v>
      </c>
      <c r="H2871" s="6">
        <f>P2840</f>
        <v/>
      </c>
      <c r="I2871" s="9">
        <f>Q2840</f>
        <v/>
      </c>
      <c r="J2871" s="7">
        <f>I2871*G2871</f>
        <v/>
      </c>
      <c r="K2871" s="8">
        <f>IF($J$2884=0,0,J2871/$J$2884)</f>
        <v/>
      </c>
      <c r="L2871" s="6" t="inlineStr">
        <is>
          <t>REJECTED</t>
        </is>
      </c>
      <c r="M2871" s="8" t="n">
        <v>0</v>
      </c>
      <c r="N2871" s="7">
        <f>M2871*$J$2884-J2871</f>
        <v/>
      </c>
      <c r="O2871" s="9">
        <f>IF(G2871=0,0,N2871/G2871)</f>
        <v/>
      </c>
      <c r="P2871" s="6">
        <f>IF(M2871&gt;0,D2871,"")</f>
        <v/>
      </c>
      <c r="Q2871" s="9">
        <f>I2871+O2871</f>
        <v/>
      </c>
      <c r="R2871" s="7">
        <f>Q2871*G2871</f>
        <v/>
      </c>
      <c r="S2871" s="8">
        <f>IF($R$2884=0,0,R2871/$R$2884)</f>
        <v/>
      </c>
      <c r="T2871" s="8" t="n">
        <v>0.01950157074290071</v>
      </c>
      <c r="U2871" s="8" t="n">
        <v>0.01256472609248038</v>
      </c>
      <c r="V2871" s="6" t="inlineStr">
        <is>
          <t>not selected</t>
        </is>
      </c>
    </row>
    <row r="2872">
      <c r="A2872" s="6" t="inlineStr">
        <is>
          <t>DJ30</t>
        </is>
      </c>
      <c r="B2872" s="6" t="inlineStr">
        <is>
          <t>2024-10-11</t>
        </is>
      </c>
      <c r="C2872" s="6" t="inlineStr">
        <is>
          <t>DIA</t>
        </is>
      </c>
      <c r="D2872" s="6" t="inlineStr">
        <is>
          <t>MMM</t>
        </is>
      </c>
      <c r="E2872" s="6" t="inlineStr">
        <is>
          <t>MMM</t>
        </is>
      </c>
      <c r="F2872" s="6" t="inlineStr">
        <is>
          <t>-</t>
        </is>
      </c>
      <c r="G2872" s="7" t="n">
        <v>130.2919158935547</v>
      </c>
      <c r="H2872" s="6">
        <f>P2841</f>
        <v/>
      </c>
      <c r="I2872" s="9">
        <f>Q2841</f>
        <v/>
      </c>
      <c r="J2872" s="7">
        <f>I2872*G2872</f>
        <v/>
      </c>
      <c r="K2872" s="8">
        <f>IF($J$2884=0,0,J2872/$J$2884)</f>
        <v/>
      </c>
      <c r="L2872" s="6" t="inlineStr">
        <is>
          <t>SELECTED</t>
        </is>
      </c>
      <c r="M2872" s="8" t="n">
        <v>0.2</v>
      </c>
      <c r="N2872" s="7">
        <f>M2872*$J$2884-J2872</f>
        <v/>
      </c>
      <c r="O2872" s="9">
        <f>IF(G2872=0,0,N2872/G2872)</f>
        <v/>
      </c>
      <c r="P2872" s="6">
        <f>IF(M2872&gt;0,D2872,"")</f>
        <v/>
      </c>
      <c r="Q2872" s="9">
        <f>I2872+O2872</f>
        <v/>
      </c>
      <c r="R2872" s="7">
        <f>Q2872*G2872</f>
        <v/>
      </c>
      <c r="S2872" s="8">
        <f>IF($R$2884=0,0,R2872/$R$2884)</f>
        <v/>
      </c>
      <c r="T2872" s="8" t="n">
        <v>0.01950157074290071</v>
      </c>
      <c r="U2872" s="8" t="n">
        <v>0.01256472609248038</v>
      </c>
      <c r="V2872" s="6" t="inlineStr">
        <is>
          <t>remained in weekly selection</t>
        </is>
      </c>
    </row>
    <row r="2873">
      <c r="A2873" s="6" t="inlineStr">
        <is>
          <t>DJ30</t>
        </is>
      </c>
      <c r="B2873" s="6" t="inlineStr">
        <is>
          <t>2024-10-11</t>
        </is>
      </c>
      <c r="C2873" s="6" t="inlineStr">
        <is>
          <t>DIA</t>
        </is>
      </c>
      <c r="D2873" s="6" t="inlineStr">
        <is>
          <t>MRK</t>
        </is>
      </c>
      <c r="E2873" s="6" t="inlineStr">
        <is>
          <t>MRK</t>
        </is>
      </c>
      <c r="F2873" s="6" t="inlineStr">
        <is>
          <t>-</t>
        </is>
      </c>
      <c r="G2873" s="7" t="n">
        <v>103.3995132446289</v>
      </c>
      <c r="H2873" s="6">
        <f>P2842</f>
        <v/>
      </c>
      <c r="I2873" s="9">
        <f>Q2842</f>
        <v/>
      </c>
      <c r="J2873" s="7">
        <f>I2873*G2873</f>
        <v/>
      </c>
      <c r="K2873" s="8">
        <f>IF($J$2884=0,0,J2873/$J$2884)</f>
        <v/>
      </c>
      <c r="L2873" s="6" t="inlineStr">
        <is>
          <t>REJECTED</t>
        </is>
      </c>
      <c r="M2873" s="8" t="n">
        <v>0</v>
      </c>
      <c r="N2873" s="7">
        <f>M2873*$J$2884-J2873</f>
        <v/>
      </c>
      <c r="O2873" s="9">
        <f>IF(G2873=0,0,N2873/G2873)</f>
        <v/>
      </c>
      <c r="P2873" s="6">
        <f>IF(M2873&gt;0,D2873,"")</f>
        <v/>
      </c>
      <c r="Q2873" s="9">
        <f>I2873+O2873</f>
        <v/>
      </c>
      <c r="R2873" s="7">
        <f>Q2873*G2873</f>
        <v/>
      </c>
      <c r="S2873" s="8">
        <f>IF($R$2884=0,0,R2873/$R$2884)</f>
        <v/>
      </c>
      <c r="T2873" s="8" t="n">
        <v>0.01950157074290071</v>
      </c>
      <c r="U2873" s="8" t="n">
        <v>0.01256472609248038</v>
      </c>
      <c r="V2873" s="6" t="inlineStr">
        <is>
          <t>not selected</t>
        </is>
      </c>
    </row>
    <row r="2874">
      <c r="A2874" s="6" t="inlineStr">
        <is>
          <t>DJ30</t>
        </is>
      </c>
      <c r="B2874" s="6" t="inlineStr">
        <is>
          <t>2024-10-11</t>
        </is>
      </c>
      <c r="C2874" s="6" t="inlineStr">
        <is>
          <t>DIA</t>
        </is>
      </c>
      <c r="D2874" s="6" t="inlineStr">
        <is>
          <t>MSFT</t>
        </is>
      </c>
      <c r="E2874" s="6" t="inlineStr">
        <is>
          <t>MSFT</t>
        </is>
      </c>
      <c r="F2874" s="6" t="inlineStr">
        <is>
          <t>-</t>
        </is>
      </c>
      <c r="G2874" s="7" t="n">
        <v>410.6172180175781</v>
      </c>
      <c r="H2874" s="6">
        <f>P2843</f>
        <v/>
      </c>
      <c r="I2874" s="9">
        <f>Q2843</f>
        <v/>
      </c>
      <c r="J2874" s="7">
        <f>I2874*G2874</f>
        <v/>
      </c>
      <c r="K2874" s="8">
        <f>IF($J$2884=0,0,J2874/$J$2884)</f>
        <v/>
      </c>
      <c r="L2874" s="6" t="inlineStr">
        <is>
          <t>WATCHLIST</t>
        </is>
      </c>
      <c r="M2874" s="8" t="n">
        <v>0</v>
      </c>
      <c r="N2874" s="7">
        <f>M2874*$J$2884-J2874</f>
        <v/>
      </c>
      <c r="O2874" s="9">
        <f>IF(G2874=0,0,N2874/G2874)</f>
        <v/>
      </c>
      <c r="P2874" s="6">
        <f>IF(M2874&gt;0,D2874,"")</f>
        <v/>
      </c>
      <c r="Q2874" s="9">
        <f>I2874+O2874</f>
        <v/>
      </c>
      <c r="R2874" s="7">
        <f>Q2874*G2874</f>
        <v/>
      </c>
      <c r="S2874" s="8">
        <f>IF($R$2884=0,0,R2874/$R$2884)</f>
        <v/>
      </c>
      <c r="T2874" s="8" t="n">
        <v>0.01950157074290071</v>
      </c>
      <c r="U2874" s="8" t="n">
        <v>0.01256472609248038</v>
      </c>
      <c r="V2874" s="6" t="inlineStr">
        <is>
          <t>not selected</t>
        </is>
      </c>
    </row>
    <row r="2875">
      <c r="A2875" s="6" t="inlineStr">
        <is>
          <t>DJ30</t>
        </is>
      </c>
      <c r="B2875" s="6" t="inlineStr">
        <is>
          <t>2024-10-11</t>
        </is>
      </c>
      <c r="C2875" s="6" t="inlineStr">
        <is>
          <t>DIA</t>
        </is>
      </c>
      <c r="D2875" s="6" t="inlineStr">
        <is>
          <t>NKE</t>
        </is>
      </c>
      <c r="E2875" s="6" t="inlineStr">
        <is>
          <t>NKE</t>
        </is>
      </c>
      <c r="F2875" s="6" t="inlineStr">
        <is>
          <t>-</t>
        </is>
      </c>
      <c r="G2875" s="7" t="n">
        <v>78.62678527832031</v>
      </c>
      <c r="H2875" s="6">
        <f>P2844</f>
        <v/>
      </c>
      <c r="I2875" s="9">
        <f>Q2844</f>
        <v/>
      </c>
      <c r="J2875" s="7">
        <f>I2875*G2875</f>
        <v/>
      </c>
      <c r="K2875" s="8">
        <f>IF($J$2884=0,0,J2875/$J$2884)</f>
        <v/>
      </c>
      <c r="L2875" s="6" t="inlineStr">
        <is>
          <t>REJECTED</t>
        </is>
      </c>
      <c r="M2875" s="8" t="n">
        <v>0</v>
      </c>
      <c r="N2875" s="7">
        <f>M2875*$J$2884-J2875</f>
        <v/>
      </c>
      <c r="O2875" s="9">
        <f>IF(G2875=0,0,N2875/G2875)</f>
        <v/>
      </c>
      <c r="P2875" s="6">
        <f>IF(M2875&gt;0,D2875,"")</f>
        <v/>
      </c>
      <c r="Q2875" s="9">
        <f>I2875+O2875</f>
        <v/>
      </c>
      <c r="R2875" s="7">
        <f>Q2875*G2875</f>
        <v/>
      </c>
      <c r="S2875" s="8">
        <f>IF($R$2884=0,0,R2875/$R$2884)</f>
        <v/>
      </c>
      <c r="T2875" s="8" t="n">
        <v>0.01950157074290071</v>
      </c>
      <c r="U2875" s="8" t="n">
        <v>0.01256472609248038</v>
      </c>
      <c r="V2875" s="6" t="inlineStr">
        <is>
          <t>not selected</t>
        </is>
      </c>
    </row>
    <row r="2876">
      <c r="A2876" s="6" t="inlineStr">
        <is>
          <t>DJ30</t>
        </is>
      </c>
      <c r="B2876" s="6" t="inlineStr">
        <is>
          <t>2024-10-11</t>
        </is>
      </c>
      <c r="C2876" s="6" t="inlineStr">
        <is>
          <t>DIA</t>
        </is>
      </c>
      <c r="D2876" s="6" t="inlineStr">
        <is>
          <t>NVDA</t>
        </is>
      </c>
      <c r="E2876" s="6" t="inlineStr">
        <is>
          <t>NVDA</t>
        </is>
      </c>
      <c r="F2876" s="6" t="inlineStr">
        <is>
          <t>-</t>
        </is>
      </c>
      <c r="G2876" s="7" t="n">
        <v>134.5897064208984</v>
      </c>
      <c r="H2876" s="6">
        <f>P2845</f>
        <v/>
      </c>
      <c r="I2876" s="9">
        <f>Q2845</f>
        <v/>
      </c>
      <c r="J2876" s="7">
        <f>I2876*G2876</f>
        <v/>
      </c>
      <c r="K2876" s="8">
        <f>IF($J$2884=0,0,J2876/$J$2884)</f>
        <v/>
      </c>
      <c r="L2876" s="6" t="inlineStr">
        <is>
          <t>SELECTED</t>
        </is>
      </c>
      <c r="M2876" s="8" t="n">
        <v>0.2</v>
      </c>
      <c r="N2876" s="7">
        <f>M2876*$J$2884-J2876</f>
        <v/>
      </c>
      <c r="O2876" s="9">
        <f>IF(G2876=0,0,N2876/G2876)</f>
        <v/>
      </c>
      <c r="P2876" s="6">
        <f>IF(M2876&gt;0,D2876,"")</f>
        <v/>
      </c>
      <c r="Q2876" s="9">
        <f>I2876+O2876</f>
        <v/>
      </c>
      <c r="R2876" s="7">
        <f>Q2876*G2876</f>
        <v/>
      </c>
      <c r="S2876" s="8">
        <f>IF($R$2884=0,0,R2876/$R$2884)</f>
        <v/>
      </c>
      <c r="T2876" s="8" t="n">
        <v>0.01950157074290071</v>
      </c>
      <c r="U2876" s="8" t="n">
        <v>0.01256472609248038</v>
      </c>
      <c r="V2876" s="6" t="inlineStr">
        <is>
          <t>remained in weekly selection</t>
        </is>
      </c>
    </row>
    <row r="2877">
      <c r="A2877" s="6" t="inlineStr">
        <is>
          <t>DJ30</t>
        </is>
      </c>
      <c r="B2877" s="6" t="inlineStr">
        <is>
          <t>2024-10-11</t>
        </is>
      </c>
      <c r="C2877" s="6" t="inlineStr">
        <is>
          <t>DIA</t>
        </is>
      </c>
      <c r="D2877" s="6" t="inlineStr">
        <is>
          <t>PG</t>
        </is>
      </c>
      <c r="E2877" s="6" t="inlineStr">
        <is>
          <t>PG</t>
        </is>
      </c>
      <c r="F2877" s="6" t="inlineStr">
        <is>
          <t>-</t>
        </is>
      </c>
      <c r="G2877" s="7" t="n">
        <v>163.3137969970703</v>
      </c>
      <c r="H2877" s="6">
        <f>P2846</f>
        <v/>
      </c>
      <c r="I2877" s="9">
        <f>Q2846</f>
        <v/>
      </c>
      <c r="J2877" s="7">
        <f>I2877*G2877</f>
        <v/>
      </c>
      <c r="K2877" s="8">
        <f>IF($J$2884=0,0,J2877/$J$2884)</f>
        <v/>
      </c>
      <c r="L2877" s="6" t="inlineStr">
        <is>
          <t>WATCHLIST</t>
        </is>
      </c>
      <c r="M2877" s="8" t="n">
        <v>0</v>
      </c>
      <c r="N2877" s="7">
        <f>M2877*$J$2884-J2877</f>
        <v/>
      </c>
      <c r="O2877" s="9">
        <f>IF(G2877=0,0,N2877/G2877)</f>
        <v/>
      </c>
      <c r="P2877" s="6">
        <f>IF(M2877&gt;0,D2877,"")</f>
        <v/>
      </c>
      <c r="Q2877" s="9">
        <f>I2877+O2877</f>
        <v/>
      </c>
      <c r="R2877" s="7">
        <f>Q2877*G2877</f>
        <v/>
      </c>
      <c r="S2877" s="8">
        <f>IF($R$2884=0,0,R2877/$R$2884)</f>
        <v/>
      </c>
      <c r="T2877" s="8" t="n">
        <v>0.01950157074290071</v>
      </c>
      <c r="U2877" s="8" t="n">
        <v>0.01256472609248038</v>
      </c>
      <c r="V2877" s="6" t="inlineStr">
        <is>
          <t>not selected</t>
        </is>
      </c>
    </row>
    <row r="2878">
      <c r="A2878" s="6" t="inlineStr">
        <is>
          <t>DJ30</t>
        </is>
      </c>
      <c r="B2878" s="6" t="inlineStr">
        <is>
          <t>2024-10-11</t>
        </is>
      </c>
      <c r="C2878" s="6" t="inlineStr">
        <is>
          <t>DIA</t>
        </is>
      </c>
      <c r="D2878" s="6" t="inlineStr">
        <is>
          <t>SHW</t>
        </is>
      </c>
      <c r="E2878" s="6" t="inlineStr">
        <is>
          <t>SHW</t>
        </is>
      </c>
      <c r="F2878" s="6" t="inlineStr">
        <is>
          <t>-</t>
        </is>
      </c>
      <c r="G2878" s="7" t="n">
        <v>373.1575317382813</v>
      </c>
      <c r="H2878" s="6">
        <f>P2847</f>
        <v/>
      </c>
      <c r="I2878" s="9">
        <f>Q2847</f>
        <v/>
      </c>
      <c r="J2878" s="7">
        <f>I2878*G2878</f>
        <v/>
      </c>
      <c r="K2878" s="8">
        <f>IF($J$2884=0,0,J2878/$J$2884)</f>
        <v/>
      </c>
      <c r="L2878" s="6" t="inlineStr">
        <is>
          <t>WATCHLIST</t>
        </is>
      </c>
      <c r="M2878" s="8" t="n">
        <v>0</v>
      </c>
      <c r="N2878" s="7">
        <f>M2878*$J$2884-J2878</f>
        <v/>
      </c>
      <c r="O2878" s="9">
        <f>IF(G2878=0,0,N2878/G2878)</f>
        <v/>
      </c>
      <c r="P2878" s="6">
        <f>IF(M2878&gt;0,D2878,"")</f>
        <v/>
      </c>
      <c r="Q2878" s="9">
        <f>I2878+O2878</f>
        <v/>
      </c>
      <c r="R2878" s="7">
        <f>Q2878*G2878</f>
        <v/>
      </c>
      <c r="S2878" s="8">
        <f>IF($R$2884=0,0,R2878/$R$2884)</f>
        <v/>
      </c>
      <c r="T2878" s="8" t="n">
        <v>0.01950157074290071</v>
      </c>
      <c r="U2878" s="8" t="n">
        <v>0.01256472609248038</v>
      </c>
      <c r="V2878" s="6" t="inlineStr">
        <is>
          <t>not selected</t>
        </is>
      </c>
    </row>
    <row r="2879">
      <c r="A2879" s="6" t="inlineStr">
        <is>
          <t>DJ30</t>
        </is>
      </c>
      <c r="B2879" s="6" t="inlineStr">
        <is>
          <t>2024-10-11</t>
        </is>
      </c>
      <c r="C2879" s="6" t="inlineStr">
        <is>
          <t>DIA</t>
        </is>
      </c>
      <c r="D2879" s="6" t="inlineStr">
        <is>
          <t>TRV</t>
        </is>
      </c>
      <c r="E2879" s="6" t="inlineStr">
        <is>
          <t>TRV</t>
        </is>
      </c>
      <c r="F2879" s="6" t="inlineStr">
        <is>
          <t>-</t>
        </is>
      </c>
      <c r="G2879" s="7" t="n">
        <v>230.0108642578125</v>
      </c>
      <c r="H2879" s="6">
        <f>P2848</f>
        <v/>
      </c>
      <c r="I2879" s="9">
        <f>Q2848</f>
        <v/>
      </c>
      <c r="J2879" s="7">
        <f>I2879*G2879</f>
        <v/>
      </c>
      <c r="K2879" s="8">
        <f>IF($J$2884=0,0,J2879/$J$2884)</f>
        <v/>
      </c>
      <c r="L2879" s="6" t="inlineStr">
        <is>
          <t>WATCHLIST</t>
        </is>
      </c>
      <c r="M2879" s="8" t="n">
        <v>0</v>
      </c>
      <c r="N2879" s="7">
        <f>M2879*$J$2884-J2879</f>
        <v/>
      </c>
      <c r="O2879" s="9">
        <f>IF(G2879=0,0,N2879/G2879)</f>
        <v/>
      </c>
      <c r="P2879" s="6">
        <f>IF(M2879&gt;0,D2879,"")</f>
        <v/>
      </c>
      <c r="Q2879" s="9">
        <f>I2879+O2879</f>
        <v/>
      </c>
      <c r="R2879" s="7">
        <f>Q2879*G2879</f>
        <v/>
      </c>
      <c r="S2879" s="8">
        <f>IF($R$2884=0,0,R2879/$R$2884)</f>
        <v/>
      </c>
      <c r="T2879" s="8" t="n">
        <v>0.01950157074290071</v>
      </c>
      <c r="U2879" s="8" t="n">
        <v>0.01256472609248038</v>
      </c>
      <c r="V2879" s="6" t="inlineStr">
        <is>
          <t>not selected</t>
        </is>
      </c>
    </row>
    <row r="2880">
      <c r="A2880" s="6" t="inlineStr">
        <is>
          <t>DJ30</t>
        </is>
      </c>
      <c r="B2880" s="6" t="inlineStr">
        <is>
          <t>2024-10-11</t>
        </is>
      </c>
      <c r="C2880" s="6" t="inlineStr">
        <is>
          <t>DIA</t>
        </is>
      </c>
      <c r="D2880" s="6" t="inlineStr">
        <is>
          <t>UNH</t>
        </is>
      </c>
      <c r="E2880" s="6" t="inlineStr">
        <is>
          <t>UNH</t>
        </is>
      </c>
      <c r="F2880" s="6" t="inlineStr">
        <is>
          <t>-</t>
        </is>
      </c>
      <c r="G2880" s="7" t="n">
        <v>573.6837768554688</v>
      </c>
      <c r="H2880" s="6">
        <f>P2849</f>
        <v/>
      </c>
      <c r="I2880" s="9">
        <f>Q2849</f>
        <v/>
      </c>
      <c r="J2880" s="7">
        <f>I2880*G2880</f>
        <v/>
      </c>
      <c r="K2880" s="8">
        <f>IF($J$2884=0,0,J2880/$J$2884)</f>
        <v/>
      </c>
      <c r="L2880" s="6" t="inlineStr">
        <is>
          <t>REJECTED</t>
        </is>
      </c>
      <c r="M2880" s="8" t="n">
        <v>0</v>
      </c>
      <c r="N2880" s="7">
        <f>M2880*$J$2884-J2880</f>
        <v/>
      </c>
      <c r="O2880" s="9">
        <f>IF(G2880=0,0,N2880/G2880)</f>
        <v/>
      </c>
      <c r="P2880" s="6">
        <f>IF(M2880&gt;0,D2880,"")</f>
        <v/>
      </c>
      <c r="Q2880" s="9">
        <f>I2880+O2880</f>
        <v/>
      </c>
      <c r="R2880" s="7">
        <f>Q2880*G2880</f>
        <v/>
      </c>
      <c r="S2880" s="8">
        <f>IF($R$2884=0,0,R2880/$R$2884)</f>
        <v/>
      </c>
      <c r="T2880" s="8" t="n">
        <v>0.01950157074290071</v>
      </c>
      <c r="U2880" s="8" t="n">
        <v>0.01256472609248038</v>
      </c>
      <c r="V2880" s="6" t="inlineStr">
        <is>
          <t>not selected</t>
        </is>
      </c>
    </row>
    <row r="2881">
      <c r="A2881" s="6" t="inlineStr">
        <is>
          <t>DJ30</t>
        </is>
      </c>
      <c r="B2881" s="6" t="inlineStr">
        <is>
          <t>2024-10-11</t>
        </is>
      </c>
      <c r="C2881" s="6" t="inlineStr">
        <is>
          <t>DIA</t>
        </is>
      </c>
      <c r="D2881" s="6" t="inlineStr">
        <is>
          <t>V</t>
        </is>
      </c>
      <c r="E2881" s="6" t="inlineStr">
        <is>
          <t>V</t>
        </is>
      </c>
      <c r="F2881" s="6" t="inlineStr">
        <is>
          <t>-</t>
        </is>
      </c>
      <c r="G2881" s="7" t="n">
        <v>274.2218933105469</v>
      </c>
      <c r="H2881" s="6">
        <f>P2850</f>
        <v/>
      </c>
      <c r="I2881" s="9">
        <f>Q2850</f>
        <v/>
      </c>
      <c r="J2881" s="7">
        <f>I2881*G2881</f>
        <v/>
      </c>
      <c r="K2881" s="8">
        <f>IF($J$2884=0,0,J2881/$J$2884)</f>
        <v/>
      </c>
      <c r="L2881" s="6" t="inlineStr">
        <is>
          <t>WATCHLIST</t>
        </is>
      </c>
      <c r="M2881" s="8" t="n">
        <v>0</v>
      </c>
      <c r="N2881" s="7">
        <f>M2881*$J$2884-J2881</f>
        <v/>
      </c>
      <c r="O2881" s="9">
        <f>IF(G2881=0,0,N2881/G2881)</f>
        <v/>
      </c>
      <c r="P2881" s="6">
        <f>IF(M2881&gt;0,D2881,"")</f>
        <v/>
      </c>
      <c r="Q2881" s="9">
        <f>I2881+O2881</f>
        <v/>
      </c>
      <c r="R2881" s="7">
        <f>Q2881*G2881</f>
        <v/>
      </c>
      <c r="S2881" s="8">
        <f>IF($R$2884=0,0,R2881/$R$2884)</f>
        <v/>
      </c>
      <c r="T2881" s="8" t="n">
        <v>0.01950157074290071</v>
      </c>
      <c r="U2881" s="8" t="n">
        <v>0.01256472609248038</v>
      </c>
      <c r="V2881" s="6" t="inlineStr">
        <is>
          <t>not selected</t>
        </is>
      </c>
    </row>
    <row r="2882">
      <c r="A2882" s="6" t="inlineStr">
        <is>
          <t>DJ30</t>
        </is>
      </c>
      <c r="B2882" s="6" t="inlineStr">
        <is>
          <t>2024-10-11</t>
        </is>
      </c>
      <c r="C2882" s="6" t="inlineStr">
        <is>
          <t>DIA</t>
        </is>
      </c>
      <c r="D2882" s="6" t="inlineStr">
        <is>
          <t>VZ</t>
        </is>
      </c>
      <c r="E2882" s="6" t="inlineStr">
        <is>
          <t>VZ</t>
        </is>
      </c>
      <c r="F2882" s="6" t="inlineStr">
        <is>
          <t>-</t>
        </is>
      </c>
      <c r="G2882" s="7" t="n">
        <v>38.95814895629883</v>
      </c>
      <c r="H2882" s="6">
        <f>P2851</f>
        <v/>
      </c>
      <c r="I2882" s="9">
        <f>Q2851</f>
        <v/>
      </c>
      <c r="J2882" s="7">
        <f>I2882*G2882</f>
        <v/>
      </c>
      <c r="K2882" s="8">
        <f>IF($J$2884=0,0,J2882/$J$2884)</f>
        <v/>
      </c>
      <c r="L2882" s="6" t="inlineStr">
        <is>
          <t>WATCHLIST</t>
        </is>
      </c>
      <c r="M2882" s="8" t="n">
        <v>0</v>
      </c>
      <c r="N2882" s="7">
        <f>M2882*$J$2884-J2882</f>
        <v/>
      </c>
      <c r="O2882" s="9">
        <f>IF(G2882=0,0,N2882/G2882)</f>
        <v/>
      </c>
      <c r="P2882" s="6">
        <f>IF(M2882&gt;0,D2882,"")</f>
        <v/>
      </c>
      <c r="Q2882" s="9">
        <f>I2882+O2882</f>
        <v/>
      </c>
      <c r="R2882" s="7">
        <f>Q2882*G2882</f>
        <v/>
      </c>
      <c r="S2882" s="8">
        <f>IF($R$2884=0,0,R2882/$R$2884)</f>
        <v/>
      </c>
      <c r="T2882" s="8" t="n">
        <v>0.01950157074290071</v>
      </c>
      <c r="U2882" s="8" t="n">
        <v>0.01256472609248038</v>
      </c>
      <c r="V2882" s="6" t="inlineStr">
        <is>
          <t>not selected</t>
        </is>
      </c>
    </row>
    <row r="2883">
      <c r="A2883" s="6" t="inlineStr">
        <is>
          <t>DJ30</t>
        </is>
      </c>
      <c r="B2883" s="6" t="inlineStr">
        <is>
          <t>2024-10-11</t>
        </is>
      </c>
      <c r="C2883" s="6" t="inlineStr">
        <is>
          <t>DIA</t>
        </is>
      </c>
      <c r="D2883" s="6" t="inlineStr">
        <is>
          <t>WMT</t>
        </is>
      </c>
      <c r="E2883" s="6" t="inlineStr">
        <is>
          <t>WMT</t>
        </is>
      </c>
      <c r="F2883" s="6" t="inlineStr">
        <is>
          <t>-</t>
        </is>
      </c>
      <c r="G2883" s="7" t="n">
        <v>78.8525390625</v>
      </c>
      <c r="H2883" s="6">
        <f>P2852</f>
        <v/>
      </c>
      <c r="I2883" s="9">
        <f>Q2852</f>
        <v/>
      </c>
      <c r="J2883" s="7">
        <f>I2883*G2883</f>
        <v/>
      </c>
      <c r="K2883" s="8">
        <f>IF($J$2884=0,0,J2883/$J$2884)</f>
        <v/>
      </c>
      <c r="L2883" s="6" t="inlineStr">
        <is>
          <t>SELECTED</t>
        </is>
      </c>
      <c r="M2883" s="8" t="n">
        <v>0.2</v>
      </c>
      <c r="N2883" s="7">
        <f>M2883*$J$2884-J2883</f>
        <v/>
      </c>
      <c r="O2883" s="9">
        <f>IF(G2883=0,0,N2883/G2883)</f>
        <v/>
      </c>
      <c r="P2883" s="6">
        <f>IF(M2883&gt;0,D2883,"")</f>
        <v/>
      </c>
      <c r="Q2883" s="9">
        <f>I2883+O2883</f>
        <v/>
      </c>
      <c r="R2883" s="7">
        <f>Q2883*G2883</f>
        <v/>
      </c>
      <c r="S2883" s="8">
        <f>IF($R$2884=0,0,R2883/$R$2884)</f>
        <v/>
      </c>
      <c r="T2883" s="8" t="n">
        <v>0.01950157074290071</v>
      </c>
      <c r="U2883" s="8" t="n">
        <v>0.01256472609248038</v>
      </c>
      <c r="V2883" s="6" t="inlineStr">
        <is>
          <t>entered weekly selection</t>
        </is>
      </c>
    </row>
    <row r="2884">
      <c r="A2884" s="10" t="inlineStr">
        <is>
          <t>DJ30</t>
        </is>
      </c>
      <c r="B2884" s="10" t="inlineStr">
        <is>
          <t>2024-10-11</t>
        </is>
      </c>
      <c r="C2884" s="10" t="inlineStr">
        <is>
          <t>DIA</t>
        </is>
      </c>
      <c r="D2884" s="10" t="inlineStr">
        <is>
          <t>Tot Portfolio</t>
        </is>
      </c>
      <c r="E2884" s="10" t="inlineStr"/>
      <c r="F2884" s="10" t="inlineStr"/>
      <c r="G2884" s="11" t="inlineStr"/>
      <c r="H2884" s="10" t="inlineStr"/>
      <c r="I2884" s="12" t="inlineStr"/>
      <c r="J2884" s="11">
        <f>SUM(J2854:J2883)</f>
        <v/>
      </c>
      <c r="K2884" s="13">
        <f>SUM(K2854:K2883)</f>
        <v/>
      </c>
      <c r="L2884" s="10" t="inlineStr">
        <is>
          <t>TOTAL</t>
        </is>
      </c>
      <c r="M2884" s="13">
        <f>SUM(M2854:M2883)</f>
        <v/>
      </c>
      <c r="N2884" s="11">
        <f>SUM(N2854:N2883)</f>
        <v/>
      </c>
      <c r="O2884" s="12">
        <f>SUM(O2854:O2883)</f>
        <v/>
      </c>
      <c r="P2884" s="10" t="inlineStr"/>
      <c r="Q2884" s="12" t="inlineStr"/>
      <c r="R2884" s="11">
        <f>SUM(R2854:R2883)</f>
        <v/>
      </c>
      <c r="S2884" s="13">
        <f>SUM(S2854:S2883)</f>
        <v/>
      </c>
      <c r="T2884" s="13" t="n">
        <v>0.01950157074290071</v>
      </c>
      <c r="U2884" s="13" t="n">
        <v>0.01256472609248038</v>
      </c>
      <c r="V2884" s="10" t="inlineStr"/>
    </row>
    <row r="2885">
      <c r="A2885" s="6" t="inlineStr">
        <is>
          <t>DJ30</t>
        </is>
      </c>
      <c r="B2885" s="6" t="inlineStr">
        <is>
          <t>2024-10-18</t>
        </is>
      </c>
      <c r="C2885" s="6" t="inlineStr">
        <is>
          <t>DIA</t>
        </is>
      </c>
      <c r="D2885" s="6" t="inlineStr">
        <is>
          <t>AAPL</t>
        </is>
      </c>
      <c r="E2885" s="6" t="inlineStr">
        <is>
          <t>AAPL</t>
        </is>
      </c>
      <c r="F2885" s="6" t="inlineStr">
        <is>
          <t>-</t>
        </is>
      </c>
      <c r="G2885" s="7" t="n">
        <v>233.251480102539</v>
      </c>
      <c r="H2885" s="6">
        <f>P2854</f>
        <v/>
      </c>
      <c r="I2885" s="9">
        <f>Q2854</f>
        <v/>
      </c>
      <c r="J2885" s="7">
        <f>I2885*G2885</f>
        <v/>
      </c>
      <c r="K2885" s="8">
        <f>IF($J$2915=0,0,J2885/$J$2915)</f>
        <v/>
      </c>
      <c r="L2885" s="6" t="inlineStr">
        <is>
          <t>WATCHLIST</t>
        </is>
      </c>
      <c r="M2885" s="8" t="n">
        <v>0</v>
      </c>
      <c r="N2885" s="7">
        <f>M2885*$J$2915-J2885</f>
        <v/>
      </c>
      <c r="O2885" s="9">
        <f>IF(G2885=0,0,N2885/G2885)</f>
        <v/>
      </c>
      <c r="P2885" s="6">
        <f>IF(M2885&gt;0,D2885,"")</f>
        <v/>
      </c>
      <c r="Q2885" s="9">
        <f>I2885+O2885</f>
        <v/>
      </c>
      <c r="R2885" s="7">
        <f>Q2885*G2885</f>
        <v/>
      </c>
      <c r="S2885" s="8">
        <f>IF($R$2915=0,0,R2885/$R$2915)</f>
        <v/>
      </c>
      <c r="T2885" s="8" t="n">
        <v>0.01090519185815197</v>
      </c>
      <c r="U2885" s="8" t="n">
        <v>0.009467863157814005</v>
      </c>
      <c r="V2885" s="6" t="inlineStr">
        <is>
          <t>not selected</t>
        </is>
      </c>
    </row>
    <row r="2886">
      <c r="A2886" s="6" t="inlineStr">
        <is>
          <t>DJ30</t>
        </is>
      </c>
      <c r="B2886" s="6" t="inlineStr">
        <is>
          <t>2024-10-18</t>
        </is>
      </c>
      <c r="C2886" s="6" t="inlineStr">
        <is>
          <t>DIA</t>
        </is>
      </c>
      <c r="D2886" s="6" t="inlineStr">
        <is>
          <t>AMGN</t>
        </is>
      </c>
      <c r="E2886" s="6" t="inlineStr">
        <is>
          <t>AMGN</t>
        </is>
      </c>
      <c r="F2886" s="6" t="inlineStr">
        <is>
          <t>-</t>
        </is>
      </c>
      <c r="G2886" s="7" t="n">
        <v>304.6214904785156</v>
      </c>
      <c r="H2886" s="6">
        <f>P2855</f>
        <v/>
      </c>
      <c r="I2886" s="9">
        <f>Q2855</f>
        <v/>
      </c>
      <c r="J2886" s="7">
        <f>I2886*G2886</f>
        <v/>
      </c>
      <c r="K2886" s="8">
        <f>IF($J$2915=0,0,J2886/$J$2915)</f>
        <v/>
      </c>
      <c r="L2886" s="6" t="inlineStr">
        <is>
          <t>WATCHLIST</t>
        </is>
      </c>
      <c r="M2886" s="8" t="n">
        <v>0</v>
      </c>
      <c r="N2886" s="7">
        <f>M2886*$J$2915-J2886</f>
        <v/>
      </c>
      <c r="O2886" s="9">
        <f>IF(G2886=0,0,N2886/G2886)</f>
        <v/>
      </c>
      <c r="P2886" s="6">
        <f>IF(M2886&gt;0,D2886,"")</f>
        <v/>
      </c>
      <c r="Q2886" s="9">
        <f>I2886+O2886</f>
        <v/>
      </c>
      <c r="R2886" s="7">
        <f>Q2886*G2886</f>
        <v/>
      </c>
      <c r="S2886" s="8">
        <f>IF($R$2915=0,0,R2886/$R$2915)</f>
        <v/>
      </c>
      <c r="T2886" s="8" t="n">
        <v>0.01090519185815197</v>
      </c>
      <c r="U2886" s="8" t="n">
        <v>0.009467863157814005</v>
      </c>
      <c r="V2886" s="6" t="inlineStr">
        <is>
          <t>not selected</t>
        </is>
      </c>
    </row>
    <row r="2887">
      <c r="A2887" s="6" t="inlineStr">
        <is>
          <t>DJ30</t>
        </is>
      </c>
      <c r="B2887" s="6" t="inlineStr">
        <is>
          <t>2024-10-18</t>
        </is>
      </c>
      <c r="C2887" s="6" t="inlineStr">
        <is>
          <t>DIA</t>
        </is>
      </c>
      <c r="D2887" s="6" t="inlineStr">
        <is>
          <t>AMZN</t>
        </is>
      </c>
      <c r="E2887" s="6" t="inlineStr">
        <is>
          <t>AMZN</t>
        </is>
      </c>
      <c r="F2887" s="6" t="inlineStr">
        <is>
          <t>-</t>
        </is>
      </c>
      <c r="G2887" s="7" t="n">
        <v>188.9900054931641</v>
      </c>
      <c r="H2887" s="6">
        <f>P2856</f>
        <v/>
      </c>
      <c r="I2887" s="9">
        <f>Q2856</f>
        <v/>
      </c>
      <c r="J2887" s="7">
        <f>I2887*G2887</f>
        <v/>
      </c>
      <c r="K2887" s="8">
        <f>IF($J$2915=0,0,J2887/$J$2915)</f>
        <v/>
      </c>
      <c r="L2887" s="6" t="inlineStr">
        <is>
          <t>WATCHLIST</t>
        </is>
      </c>
      <c r="M2887" s="8" t="n">
        <v>0</v>
      </c>
      <c r="N2887" s="7">
        <f>M2887*$J$2915-J2887</f>
        <v/>
      </c>
      <c r="O2887" s="9">
        <f>IF(G2887=0,0,N2887/G2887)</f>
        <v/>
      </c>
      <c r="P2887" s="6">
        <f>IF(M2887&gt;0,D2887,"")</f>
        <v/>
      </c>
      <c r="Q2887" s="9">
        <f>I2887+O2887</f>
        <v/>
      </c>
      <c r="R2887" s="7">
        <f>Q2887*G2887</f>
        <v/>
      </c>
      <c r="S2887" s="8">
        <f>IF($R$2915=0,0,R2887/$R$2915)</f>
        <v/>
      </c>
      <c r="T2887" s="8" t="n">
        <v>0.01090519185815197</v>
      </c>
      <c r="U2887" s="8" t="n">
        <v>0.009467863157814005</v>
      </c>
      <c r="V2887" s="6" t="inlineStr">
        <is>
          <t>not selected</t>
        </is>
      </c>
    </row>
    <row r="2888">
      <c r="A2888" s="6" t="inlineStr">
        <is>
          <t>DJ30</t>
        </is>
      </c>
      <c r="B2888" s="6" t="inlineStr">
        <is>
          <t>2024-10-18</t>
        </is>
      </c>
      <c r="C2888" s="6" t="inlineStr">
        <is>
          <t>DIA</t>
        </is>
      </c>
      <c r="D2888" s="6" t="inlineStr">
        <is>
          <t>AXP</t>
        </is>
      </c>
      <c r="E2888" s="6" t="inlineStr">
        <is>
          <t>AXP</t>
        </is>
      </c>
      <c r="F2888" s="6" t="inlineStr">
        <is>
          <t>-</t>
        </is>
      </c>
      <c r="G2888" s="7" t="n">
        <v>272.3720397949219</v>
      </c>
      <c r="H2888" s="6">
        <f>P2857</f>
        <v/>
      </c>
      <c r="I2888" s="9">
        <f>Q2857</f>
        <v/>
      </c>
      <c r="J2888" s="7">
        <f>I2888*G2888</f>
        <v/>
      </c>
      <c r="K2888" s="8">
        <f>IF($J$2915=0,0,J2888/$J$2915)</f>
        <v/>
      </c>
      <c r="L2888" s="6" t="inlineStr">
        <is>
          <t>SELECTED</t>
        </is>
      </c>
      <c r="M2888" s="8" t="n">
        <v>0.2</v>
      </c>
      <c r="N2888" s="7">
        <f>M2888*$J$2915-J2888</f>
        <v/>
      </c>
      <c r="O2888" s="9">
        <f>IF(G2888=0,0,N2888/G2888)</f>
        <v/>
      </c>
      <c r="P2888" s="6">
        <f>IF(M2888&gt;0,D2888,"")</f>
        <v/>
      </c>
      <c r="Q2888" s="9">
        <f>I2888+O2888</f>
        <v/>
      </c>
      <c r="R2888" s="7">
        <f>Q2888*G2888</f>
        <v/>
      </c>
      <c r="S2888" s="8">
        <f>IF($R$2915=0,0,R2888/$R$2915)</f>
        <v/>
      </c>
      <c r="T2888" s="8" t="n">
        <v>0.01090519185815197</v>
      </c>
      <c r="U2888" s="8" t="n">
        <v>0.009467863157814005</v>
      </c>
      <c r="V2888" s="6" t="inlineStr">
        <is>
          <t>remained in weekly selection</t>
        </is>
      </c>
    </row>
    <row r="2889">
      <c r="A2889" s="6" t="inlineStr">
        <is>
          <t>DJ30</t>
        </is>
      </c>
      <c r="B2889" s="6" t="inlineStr">
        <is>
          <t>2024-10-18</t>
        </is>
      </c>
      <c r="C2889" s="6" t="inlineStr">
        <is>
          <t>DIA</t>
        </is>
      </c>
      <c r="D2889" s="6" t="inlineStr">
        <is>
          <t>BA</t>
        </is>
      </c>
      <c r="E2889" s="6" t="inlineStr">
        <is>
          <t>BA</t>
        </is>
      </c>
      <c r="F2889" s="6" t="inlineStr">
        <is>
          <t>-</t>
        </is>
      </c>
      <c r="G2889" s="7" t="n">
        <v>155</v>
      </c>
      <c r="H2889" s="6">
        <f>P2858</f>
        <v/>
      </c>
      <c r="I2889" s="9">
        <f>Q2858</f>
        <v/>
      </c>
      <c r="J2889" s="7">
        <f>I2889*G2889</f>
        <v/>
      </c>
      <c r="K2889" s="8">
        <f>IF($J$2915=0,0,J2889/$J$2915)</f>
        <v/>
      </c>
      <c r="L2889" s="6" t="inlineStr">
        <is>
          <t>REJECTED</t>
        </is>
      </c>
      <c r="M2889" s="8" t="n">
        <v>0</v>
      </c>
      <c r="N2889" s="7">
        <f>M2889*$J$2915-J2889</f>
        <v/>
      </c>
      <c r="O2889" s="9">
        <f>IF(G2889=0,0,N2889/G2889)</f>
        <v/>
      </c>
      <c r="P2889" s="6">
        <f>IF(M2889&gt;0,D2889,"")</f>
        <v/>
      </c>
      <c r="Q2889" s="9">
        <f>I2889+O2889</f>
        <v/>
      </c>
      <c r="R2889" s="7">
        <f>Q2889*G2889</f>
        <v/>
      </c>
      <c r="S2889" s="8">
        <f>IF($R$2915=0,0,R2889/$R$2915)</f>
        <v/>
      </c>
      <c r="T2889" s="8" t="n">
        <v>0.01090519185815197</v>
      </c>
      <c r="U2889" s="8" t="n">
        <v>0.009467863157814005</v>
      </c>
      <c r="V2889" s="6" t="inlineStr">
        <is>
          <t>not selected</t>
        </is>
      </c>
    </row>
    <row r="2890">
      <c r="A2890" s="6" t="inlineStr">
        <is>
          <t>DJ30</t>
        </is>
      </c>
      <c r="B2890" s="6" t="inlineStr">
        <is>
          <t>2024-10-18</t>
        </is>
      </c>
      <c r="C2890" s="6" t="inlineStr">
        <is>
          <t>DIA</t>
        </is>
      </c>
      <c r="D2890" s="6" t="inlineStr">
        <is>
          <t>CAT</t>
        </is>
      </c>
      <c r="E2890" s="6" t="inlineStr">
        <is>
          <t>CAT</t>
        </is>
      </c>
      <c r="F2890" s="6" t="inlineStr">
        <is>
          <t>-</t>
        </is>
      </c>
      <c r="G2890" s="7" t="n">
        <v>384.976318359375</v>
      </c>
      <c r="H2890" s="6">
        <f>P2859</f>
        <v/>
      </c>
      <c r="I2890" s="9">
        <f>Q2859</f>
        <v/>
      </c>
      <c r="J2890" s="7">
        <f>I2890*G2890</f>
        <v/>
      </c>
      <c r="K2890" s="8">
        <f>IF($J$2915=0,0,J2890/$J$2915)</f>
        <v/>
      </c>
      <c r="L2890" s="6" t="inlineStr">
        <is>
          <t>WATCHLIST</t>
        </is>
      </c>
      <c r="M2890" s="8" t="n">
        <v>0</v>
      </c>
      <c r="N2890" s="7">
        <f>M2890*$J$2915-J2890</f>
        <v/>
      </c>
      <c r="O2890" s="9">
        <f>IF(G2890=0,0,N2890/G2890)</f>
        <v/>
      </c>
      <c r="P2890" s="6">
        <f>IF(M2890&gt;0,D2890,"")</f>
        <v/>
      </c>
      <c r="Q2890" s="9">
        <f>I2890+O2890</f>
        <v/>
      </c>
      <c r="R2890" s="7">
        <f>Q2890*G2890</f>
        <v/>
      </c>
      <c r="S2890" s="8">
        <f>IF($R$2915=0,0,R2890/$R$2915)</f>
        <v/>
      </c>
      <c r="T2890" s="8" t="n">
        <v>0.01090519185815197</v>
      </c>
      <c r="U2890" s="8" t="n">
        <v>0.009467863157814005</v>
      </c>
      <c r="V2890" s="6" t="inlineStr">
        <is>
          <t>not selected</t>
        </is>
      </c>
    </row>
    <row r="2891">
      <c r="A2891" s="6" t="inlineStr">
        <is>
          <t>DJ30</t>
        </is>
      </c>
      <c r="B2891" s="6" t="inlineStr">
        <is>
          <t>2024-10-18</t>
        </is>
      </c>
      <c r="C2891" s="6" t="inlineStr">
        <is>
          <t>DIA</t>
        </is>
      </c>
      <c r="D2891" s="6" t="inlineStr">
        <is>
          <t>CRM</t>
        </is>
      </c>
      <c r="E2891" s="6" t="inlineStr">
        <is>
          <t>CRM</t>
        </is>
      </c>
      <c r="F2891" s="6" t="inlineStr">
        <is>
          <t>-</t>
        </is>
      </c>
      <c r="G2891" s="7" t="n">
        <v>289.2365417480469</v>
      </c>
      <c r="H2891" s="6">
        <f>P2860</f>
        <v/>
      </c>
      <c r="I2891" s="9">
        <f>Q2860</f>
        <v/>
      </c>
      <c r="J2891" s="7">
        <f>I2891*G2891</f>
        <v/>
      </c>
      <c r="K2891" s="8">
        <f>IF($J$2915=0,0,J2891/$J$2915)</f>
        <v/>
      </c>
      <c r="L2891" s="6" t="inlineStr">
        <is>
          <t>REJECTED</t>
        </is>
      </c>
      <c r="M2891" s="8" t="n">
        <v>0</v>
      </c>
      <c r="N2891" s="7">
        <f>M2891*$J$2915-J2891</f>
        <v/>
      </c>
      <c r="O2891" s="9">
        <f>IF(G2891=0,0,N2891/G2891)</f>
        <v/>
      </c>
      <c r="P2891" s="6">
        <f>IF(M2891&gt;0,D2891,"")</f>
        <v/>
      </c>
      <c r="Q2891" s="9">
        <f>I2891+O2891</f>
        <v/>
      </c>
      <c r="R2891" s="7">
        <f>Q2891*G2891</f>
        <v/>
      </c>
      <c r="S2891" s="8">
        <f>IF($R$2915=0,0,R2891/$R$2915)</f>
        <v/>
      </c>
      <c r="T2891" s="8" t="n">
        <v>0.01090519185815197</v>
      </c>
      <c r="U2891" s="8" t="n">
        <v>0.009467863157814005</v>
      </c>
      <c r="V2891" s="6" t="inlineStr">
        <is>
          <t>not selected</t>
        </is>
      </c>
    </row>
    <row r="2892">
      <c r="A2892" s="6" t="inlineStr">
        <is>
          <t>DJ30</t>
        </is>
      </c>
      <c r="B2892" s="6" t="inlineStr">
        <is>
          <t>2024-10-18</t>
        </is>
      </c>
      <c r="C2892" s="6" t="inlineStr">
        <is>
          <t>DIA</t>
        </is>
      </c>
      <c r="D2892" s="6" t="inlineStr">
        <is>
          <t>CSCO</t>
        </is>
      </c>
      <c r="E2892" s="6" t="inlineStr">
        <is>
          <t>CSCO</t>
        </is>
      </c>
      <c r="F2892" s="6" t="inlineStr">
        <is>
          <t>-</t>
        </is>
      </c>
      <c r="G2892" s="7" t="n">
        <v>54.74192428588867</v>
      </c>
      <c r="H2892" s="6">
        <f>P2861</f>
        <v/>
      </c>
      <c r="I2892" s="9">
        <f>Q2861</f>
        <v/>
      </c>
      <c r="J2892" s="7">
        <f>I2892*G2892</f>
        <v/>
      </c>
      <c r="K2892" s="8">
        <f>IF($J$2915=0,0,J2892/$J$2915)</f>
        <v/>
      </c>
      <c r="L2892" s="6" t="inlineStr">
        <is>
          <t>REJECTED</t>
        </is>
      </c>
      <c r="M2892" s="8" t="n">
        <v>0</v>
      </c>
      <c r="N2892" s="7">
        <f>M2892*$J$2915-J2892</f>
        <v/>
      </c>
      <c r="O2892" s="9">
        <f>IF(G2892=0,0,N2892/G2892)</f>
        <v/>
      </c>
      <c r="P2892" s="6">
        <f>IF(M2892&gt;0,D2892,"")</f>
        <v/>
      </c>
      <c r="Q2892" s="9">
        <f>I2892+O2892</f>
        <v/>
      </c>
      <c r="R2892" s="7">
        <f>Q2892*G2892</f>
        <v/>
      </c>
      <c r="S2892" s="8">
        <f>IF($R$2915=0,0,R2892/$R$2915)</f>
        <v/>
      </c>
      <c r="T2892" s="8" t="n">
        <v>0.01090519185815197</v>
      </c>
      <c r="U2892" s="8" t="n">
        <v>0.009467863157814005</v>
      </c>
      <c r="V2892" s="6" t="inlineStr">
        <is>
          <t>not selected</t>
        </is>
      </c>
    </row>
    <row r="2893">
      <c r="A2893" s="6" t="inlineStr">
        <is>
          <t>DJ30</t>
        </is>
      </c>
      <c r="B2893" s="6" t="inlineStr">
        <is>
          <t>2024-10-18</t>
        </is>
      </c>
      <c r="C2893" s="6" t="inlineStr">
        <is>
          <t>DIA</t>
        </is>
      </c>
      <c r="D2893" s="6" t="inlineStr">
        <is>
          <t>CVX</t>
        </is>
      </c>
      <c r="E2893" s="6" t="inlineStr">
        <is>
          <t>CVX</t>
        </is>
      </c>
      <c r="F2893" s="6" t="inlineStr">
        <is>
          <t>-</t>
        </is>
      </c>
      <c r="G2893" s="7" t="n">
        <v>139.9530181884766</v>
      </c>
      <c r="H2893" s="6">
        <f>P2862</f>
        <v/>
      </c>
      <c r="I2893" s="9">
        <f>Q2862</f>
        <v/>
      </c>
      <c r="J2893" s="7">
        <f>I2893*G2893</f>
        <v/>
      </c>
      <c r="K2893" s="8">
        <f>IF($J$2915=0,0,J2893/$J$2915)</f>
        <v/>
      </c>
      <c r="L2893" s="6" t="inlineStr">
        <is>
          <t>REJECTED</t>
        </is>
      </c>
      <c r="M2893" s="8" t="n">
        <v>0</v>
      </c>
      <c r="N2893" s="7">
        <f>M2893*$J$2915-J2893</f>
        <v/>
      </c>
      <c r="O2893" s="9">
        <f>IF(G2893=0,0,N2893/G2893)</f>
        <v/>
      </c>
      <c r="P2893" s="6">
        <f>IF(M2893&gt;0,D2893,"")</f>
        <v/>
      </c>
      <c r="Q2893" s="9">
        <f>I2893+O2893</f>
        <v/>
      </c>
      <c r="R2893" s="7">
        <f>Q2893*G2893</f>
        <v/>
      </c>
      <c r="S2893" s="8">
        <f>IF($R$2915=0,0,R2893/$R$2915)</f>
        <v/>
      </c>
      <c r="T2893" s="8" t="n">
        <v>0.01090519185815197</v>
      </c>
      <c r="U2893" s="8" t="n">
        <v>0.009467863157814005</v>
      </c>
      <c r="V2893" s="6" t="inlineStr">
        <is>
          <t>not selected</t>
        </is>
      </c>
    </row>
    <row r="2894">
      <c r="A2894" s="6" t="inlineStr">
        <is>
          <t>DJ30</t>
        </is>
      </c>
      <c r="B2894" s="6" t="inlineStr">
        <is>
          <t>2024-10-18</t>
        </is>
      </c>
      <c r="C2894" s="6" t="inlineStr">
        <is>
          <t>DIA</t>
        </is>
      </c>
      <c r="D2894" s="6" t="inlineStr">
        <is>
          <t>DIS</t>
        </is>
      </c>
      <c r="E2894" s="6" t="inlineStr">
        <is>
          <t>DIS</t>
        </is>
      </c>
      <c r="F2894" s="6" t="inlineStr">
        <is>
          <t>-</t>
        </is>
      </c>
      <c r="G2894" s="7" t="n">
        <v>95.79147338867188</v>
      </c>
      <c r="H2894" s="6">
        <f>P2863</f>
        <v/>
      </c>
      <c r="I2894" s="9">
        <f>Q2863</f>
        <v/>
      </c>
      <c r="J2894" s="7">
        <f>I2894*G2894</f>
        <v/>
      </c>
      <c r="K2894" s="8">
        <f>IF($J$2915=0,0,J2894/$J$2915)</f>
        <v/>
      </c>
      <c r="L2894" s="6" t="inlineStr">
        <is>
          <t>REJECTED</t>
        </is>
      </c>
      <c r="M2894" s="8" t="n">
        <v>0</v>
      </c>
      <c r="N2894" s="7">
        <f>M2894*$J$2915-J2894</f>
        <v/>
      </c>
      <c r="O2894" s="9">
        <f>IF(G2894=0,0,N2894/G2894)</f>
        <v/>
      </c>
      <c r="P2894" s="6">
        <f>IF(M2894&gt;0,D2894,"")</f>
        <v/>
      </c>
      <c r="Q2894" s="9">
        <f>I2894+O2894</f>
        <v/>
      </c>
      <c r="R2894" s="7">
        <f>Q2894*G2894</f>
        <v/>
      </c>
      <c r="S2894" s="8">
        <f>IF($R$2915=0,0,R2894/$R$2915)</f>
        <v/>
      </c>
      <c r="T2894" s="8" t="n">
        <v>0.01090519185815197</v>
      </c>
      <c r="U2894" s="8" t="n">
        <v>0.009467863157814005</v>
      </c>
      <c r="V2894" s="6" t="inlineStr">
        <is>
          <t>not selected</t>
        </is>
      </c>
    </row>
    <row r="2895">
      <c r="A2895" s="6" t="inlineStr">
        <is>
          <t>DJ30</t>
        </is>
      </c>
      <c r="B2895" s="6" t="inlineStr">
        <is>
          <t>2024-10-18</t>
        </is>
      </c>
      <c r="C2895" s="6" t="inlineStr">
        <is>
          <t>DIA</t>
        </is>
      </c>
      <c r="D2895" s="6" t="inlineStr">
        <is>
          <t>GS</t>
        </is>
      </c>
      <c r="E2895" s="6" t="inlineStr">
        <is>
          <t>GS</t>
        </is>
      </c>
      <c r="F2895" s="6" t="inlineStr">
        <is>
          <t>-</t>
        </is>
      </c>
      <c r="G2895" s="7" t="n">
        <v>510.4291381835938</v>
      </c>
      <c r="H2895" s="6">
        <f>P2864</f>
        <v/>
      </c>
      <c r="I2895" s="9">
        <f>Q2864</f>
        <v/>
      </c>
      <c r="J2895" s="7">
        <f>I2895*G2895</f>
        <v/>
      </c>
      <c r="K2895" s="8">
        <f>IF($J$2915=0,0,J2895/$J$2915)</f>
        <v/>
      </c>
      <c r="L2895" s="6" t="inlineStr">
        <is>
          <t>WATCHLIST</t>
        </is>
      </c>
      <c r="M2895" s="8" t="n">
        <v>0</v>
      </c>
      <c r="N2895" s="7">
        <f>M2895*$J$2915-J2895</f>
        <v/>
      </c>
      <c r="O2895" s="9">
        <f>IF(G2895=0,0,N2895/G2895)</f>
        <v/>
      </c>
      <c r="P2895" s="6">
        <f>IF(M2895&gt;0,D2895,"")</f>
        <v/>
      </c>
      <c r="Q2895" s="9">
        <f>I2895+O2895</f>
        <v/>
      </c>
      <c r="R2895" s="7">
        <f>Q2895*G2895</f>
        <v/>
      </c>
      <c r="S2895" s="8">
        <f>IF($R$2915=0,0,R2895/$R$2915)</f>
        <v/>
      </c>
      <c r="T2895" s="8" t="n">
        <v>0.01090519185815197</v>
      </c>
      <c r="U2895" s="8" t="n">
        <v>0.009467863157814005</v>
      </c>
      <c r="V2895" s="6" t="inlineStr">
        <is>
          <t>not selected</t>
        </is>
      </c>
    </row>
    <row r="2896">
      <c r="A2896" s="6" t="inlineStr">
        <is>
          <t>DJ30</t>
        </is>
      </c>
      <c r="B2896" s="6" t="inlineStr">
        <is>
          <t>2024-10-18</t>
        </is>
      </c>
      <c r="C2896" s="6" t="inlineStr">
        <is>
          <t>DIA</t>
        </is>
      </c>
      <c r="D2896" s="6" t="inlineStr">
        <is>
          <t>HD</t>
        </is>
      </c>
      <c r="E2896" s="6" t="inlineStr">
        <is>
          <t>HD</t>
        </is>
      </c>
      <c r="F2896" s="6" t="inlineStr">
        <is>
          <t>-</t>
        </is>
      </c>
      <c r="G2896" s="7" t="n">
        <v>397.1304626464844</v>
      </c>
      <c r="H2896" s="6">
        <f>P2865</f>
        <v/>
      </c>
      <c r="I2896" s="9">
        <f>Q2865</f>
        <v/>
      </c>
      <c r="J2896" s="7">
        <f>I2896*G2896</f>
        <v/>
      </c>
      <c r="K2896" s="8">
        <f>IF($J$2915=0,0,J2896/$J$2915)</f>
        <v/>
      </c>
      <c r="L2896" s="6" t="inlineStr">
        <is>
          <t>WATCHLIST</t>
        </is>
      </c>
      <c r="M2896" s="8" t="n">
        <v>0</v>
      </c>
      <c r="N2896" s="7">
        <f>M2896*$J$2915-J2896</f>
        <v/>
      </c>
      <c r="O2896" s="9">
        <f>IF(G2896=0,0,N2896/G2896)</f>
        <v/>
      </c>
      <c r="P2896" s="6">
        <f>IF(M2896&gt;0,D2896,"")</f>
        <v/>
      </c>
      <c r="Q2896" s="9">
        <f>I2896+O2896</f>
        <v/>
      </c>
      <c r="R2896" s="7">
        <f>Q2896*G2896</f>
        <v/>
      </c>
      <c r="S2896" s="8">
        <f>IF($R$2915=0,0,R2896/$R$2915)</f>
        <v/>
      </c>
      <c r="T2896" s="8" t="n">
        <v>0.01090519185815197</v>
      </c>
      <c r="U2896" s="8" t="n">
        <v>0.009467863157814005</v>
      </c>
      <c r="V2896" s="6" t="inlineStr">
        <is>
          <t>not selected</t>
        </is>
      </c>
    </row>
    <row r="2897">
      <c r="A2897" s="6" t="inlineStr">
        <is>
          <t>DJ30</t>
        </is>
      </c>
      <c r="B2897" s="6" t="inlineStr">
        <is>
          <t>2024-10-18</t>
        </is>
      </c>
      <c r="C2897" s="6" t="inlineStr">
        <is>
          <t>DIA</t>
        </is>
      </c>
      <c r="D2897" s="6" t="inlineStr">
        <is>
          <t>HON</t>
        </is>
      </c>
      <c r="E2897" s="6" t="inlineStr">
        <is>
          <t>HON</t>
        </is>
      </c>
      <c r="F2897" s="6" t="inlineStr">
        <is>
          <t>-</t>
        </is>
      </c>
      <c r="G2897" s="7" t="n">
        <v>201.6661682128907</v>
      </c>
      <c r="H2897" s="6">
        <f>P2866</f>
        <v/>
      </c>
      <c r="I2897" s="9">
        <f>Q2866</f>
        <v/>
      </c>
      <c r="J2897" s="7">
        <f>I2897*G2897</f>
        <v/>
      </c>
      <c r="K2897" s="8">
        <f>IF($J$2915=0,0,J2897/$J$2915)</f>
        <v/>
      </c>
      <c r="L2897" s="6" t="inlineStr">
        <is>
          <t>WATCHLIST</t>
        </is>
      </c>
      <c r="M2897" s="8" t="n">
        <v>0</v>
      </c>
      <c r="N2897" s="7">
        <f>M2897*$J$2915-J2897</f>
        <v/>
      </c>
      <c r="O2897" s="9">
        <f>IF(G2897=0,0,N2897/G2897)</f>
        <v/>
      </c>
      <c r="P2897" s="6">
        <f>IF(M2897&gt;0,D2897,"")</f>
        <v/>
      </c>
      <c r="Q2897" s="9">
        <f>I2897+O2897</f>
        <v/>
      </c>
      <c r="R2897" s="7">
        <f>Q2897*G2897</f>
        <v/>
      </c>
      <c r="S2897" s="8">
        <f>IF($R$2915=0,0,R2897/$R$2915)</f>
        <v/>
      </c>
      <c r="T2897" s="8" t="n">
        <v>0.01090519185815197</v>
      </c>
      <c r="U2897" s="8" t="n">
        <v>0.009467863157814005</v>
      </c>
      <c r="V2897" s="6" t="inlineStr">
        <is>
          <t>not selected</t>
        </is>
      </c>
    </row>
    <row r="2898">
      <c r="A2898" s="6" t="inlineStr">
        <is>
          <t>DJ30</t>
        </is>
      </c>
      <c r="B2898" s="6" t="inlineStr">
        <is>
          <t>2024-10-18</t>
        </is>
      </c>
      <c r="C2898" s="6" t="inlineStr">
        <is>
          <t>DIA</t>
        </is>
      </c>
      <c r="D2898" s="6" t="inlineStr">
        <is>
          <t>IBM</t>
        </is>
      </c>
      <c r="E2898" s="6" t="inlineStr">
        <is>
          <t>IBM</t>
        </is>
      </c>
      <c r="F2898" s="6" t="inlineStr">
        <is>
          <t>-</t>
        </is>
      </c>
      <c r="G2898" s="7" t="n">
        <v>221.6769561767578</v>
      </c>
      <c r="H2898" s="6">
        <f>P2867</f>
        <v/>
      </c>
      <c r="I2898" s="9">
        <f>Q2867</f>
        <v/>
      </c>
      <c r="J2898" s="7">
        <f>I2898*G2898</f>
        <v/>
      </c>
      <c r="K2898" s="8">
        <f>IF($J$2915=0,0,J2898/$J$2915)</f>
        <v/>
      </c>
      <c r="L2898" s="6" t="inlineStr">
        <is>
          <t>WATCHLIST</t>
        </is>
      </c>
      <c r="M2898" s="8" t="n">
        <v>0</v>
      </c>
      <c r="N2898" s="7">
        <f>M2898*$J$2915-J2898</f>
        <v/>
      </c>
      <c r="O2898" s="9">
        <f>IF(G2898=0,0,N2898/G2898)</f>
        <v/>
      </c>
      <c r="P2898" s="6">
        <f>IF(M2898&gt;0,D2898,"")</f>
        <v/>
      </c>
      <c r="Q2898" s="9">
        <f>I2898+O2898</f>
        <v/>
      </c>
      <c r="R2898" s="7">
        <f>Q2898*G2898</f>
        <v/>
      </c>
      <c r="S2898" s="8">
        <f>IF($R$2915=0,0,R2898/$R$2915)</f>
        <v/>
      </c>
      <c r="T2898" s="8" t="n">
        <v>0.01090519185815197</v>
      </c>
      <c r="U2898" s="8" t="n">
        <v>0.009467863157814005</v>
      </c>
      <c r="V2898" s="6" t="inlineStr">
        <is>
          <t>not selected</t>
        </is>
      </c>
    </row>
    <row r="2899">
      <c r="A2899" s="6" t="inlineStr">
        <is>
          <t>DJ30</t>
        </is>
      </c>
      <c r="B2899" s="6" t="inlineStr">
        <is>
          <t>2024-10-18</t>
        </is>
      </c>
      <c r="C2899" s="6" t="inlineStr">
        <is>
          <t>DIA</t>
        </is>
      </c>
      <c r="D2899" s="6" t="inlineStr">
        <is>
          <t>JNJ</t>
        </is>
      </c>
      <c r="E2899" s="6" t="inlineStr">
        <is>
          <t>JNJ</t>
        </is>
      </c>
      <c r="F2899" s="6" t="inlineStr">
        <is>
          <t>-</t>
        </is>
      </c>
      <c r="G2899" s="7" t="n">
        <v>157.1958465576172</v>
      </c>
      <c r="H2899" s="6">
        <f>P2868</f>
        <v/>
      </c>
      <c r="I2899" s="9">
        <f>Q2868</f>
        <v/>
      </c>
      <c r="J2899" s="7">
        <f>I2899*G2899</f>
        <v/>
      </c>
      <c r="K2899" s="8">
        <f>IF($J$2915=0,0,J2899/$J$2915)</f>
        <v/>
      </c>
      <c r="L2899" s="6" t="inlineStr">
        <is>
          <t>REJECTED</t>
        </is>
      </c>
      <c r="M2899" s="8" t="n">
        <v>0</v>
      </c>
      <c r="N2899" s="7">
        <f>M2899*$J$2915-J2899</f>
        <v/>
      </c>
      <c r="O2899" s="9">
        <f>IF(G2899=0,0,N2899/G2899)</f>
        <v/>
      </c>
      <c r="P2899" s="6">
        <f>IF(M2899&gt;0,D2899,"")</f>
        <v/>
      </c>
      <c r="Q2899" s="9">
        <f>I2899+O2899</f>
        <v/>
      </c>
      <c r="R2899" s="7">
        <f>Q2899*G2899</f>
        <v/>
      </c>
      <c r="S2899" s="8">
        <f>IF($R$2915=0,0,R2899/$R$2915)</f>
        <v/>
      </c>
      <c r="T2899" s="8" t="n">
        <v>0.01090519185815197</v>
      </c>
      <c r="U2899" s="8" t="n">
        <v>0.009467863157814005</v>
      </c>
      <c r="V2899" s="6" t="inlineStr">
        <is>
          <t>not selected</t>
        </is>
      </c>
    </row>
    <row r="2900">
      <c r="A2900" s="6" t="inlineStr">
        <is>
          <t>DJ30</t>
        </is>
      </c>
      <c r="B2900" s="6" t="inlineStr">
        <is>
          <t>2024-10-18</t>
        </is>
      </c>
      <c r="C2900" s="6" t="inlineStr">
        <is>
          <t>DIA</t>
        </is>
      </c>
      <c r="D2900" s="6" t="inlineStr">
        <is>
          <t>JPM</t>
        </is>
      </c>
      <c r="E2900" s="6" t="inlineStr">
        <is>
          <t>JPM</t>
        </is>
      </c>
      <c r="F2900" s="6" t="inlineStr">
        <is>
          <t>-</t>
        </is>
      </c>
      <c r="G2900" s="7" t="n">
        <v>218.5883178710937</v>
      </c>
      <c r="H2900" s="6">
        <f>P2869</f>
        <v/>
      </c>
      <c r="I2900" s="9">
        <f>Q2869</f>
        <v/>
      </c>
      <c r="J2900" s="7">
        <f>I2900*G2900</f>
        <v/>
      </c>
      <c r="K2900" s="8">
        <f>IF($J$2915=0,0,J2900/$J$2915)</f>
        <v/>
      </c>
      <c r="L2900" s="6" t="inlineStr">
        <is>
          <t>WATCHLIST</t>
        </is>
      </c>
      <c r="M2900" s="8" t="n">
        <v>0</v>
      </c>
      <c r="N2900" s="7">
        <f>M2900*$J$2915-J2900</f>
        <v/>
      </c>
      <c r="O2900" s="9">
        <f>IF(G2900=0,0,N2900/G2900)</f>
        <v/>
      </c>
      <c r="P2900" s="6">
        <f>IF(M2900&gt;0,D2900,"")</f>
        <v/>
      </c>
      <c r="Q2900" s="9">
        <f>I2900+O2900</f>
        <v/>
      </c>
      <c r="R2900" s="7">
        <f>Q2900*G2900</f>
        <v/>
      </c>
      <c r="S2900" s="8">
        <f>IF($R$2915=0,0,R2900/$R$2915)</f>
        <v/>
      </c>
      <c r="T2900" s="8" t="n">
        <v>0.01090519185815197</v>
      </c>
      <c r="U2900" s="8" t="n">
        <v>0.009467863157814005</v>
      </c>
      <c r="V2900" s="6" t="inlineStr">
        <is>
          <t>not selected</t>
        </is>
      </c>
    </row>
    <row r="2901">
      <c r="A2901" s="6" t="inlineStr">
        <is>
          <t>DJ30</t>
        </is>
      </c>
      <c r="B2901" s="6" t="inlineStr">
        <is>
          <t>2024-10-18</t>
        </is>
      </c>
      <c r="C2901" s="6" t="inlineStr">
        <is>
          <t>DIA</t>
        </is>
      </c>
      <c r="D2901" s="6" t="inlineStr">
        <is>
          <t>KO</t>
        </is>
      </c>
      <c r="E2901" s="6" t="inlineStr">
        <is>
          <t>KO</t>
        </is>
      </c>
      <c r="F2901" s="6" t="inlineStr">
        <is>
          <t>-</t>
        </is>
      </c>
      <c r="G2901" s="7" t="n">
        <v>67.00992584228516</v>
      </c>
      <c r="H2901" s="6">
        <f>P2870</f>
        <v/>
      </c>
      <c r="I2901" s="9">
        <f>Q2870</f>
        <v/>
      </c>
      <c r="J2901" s="7">
        <f>I2901*G2901</f>
        <v/>
      </c>
      <c r="K2901" s="8">
        <f>IF($J$2915=0,0,J2901/$J$2915)</f>
        <v/>
      </c>
      <c r="L2901" s="6" t="inlineStr">
        <is>
          <t>SELECTED</t>
        </is>
      </c>
      <c r="M2901" s="8" t="n">
        <v>0.2</v>
      </c>
      <c r="N2901" s="7">
        <f>M2901*$J$2915-J2901</f>
        <v/>
      </c>
      <c r="O2901" s="9">
        <f>IF(G2901=0,0,N2901/G2901)</f>
        <v/>
      </c>
      <c r="P2901" s="6">
        <f>IF(M2901&gt;0,D2901,"")</f>
        <v/>
      </c>
      <c r="Q2901" s="9">
        <f>I2901+O2901</f>
        <v/>
      </c>
      <c r="R2901" s="7">
        <f>Q2901*G2901</f>
        <v/>
      </c>
      <c r="S2901" s="8">
        <f>IF($R$2915=0,0,R2901/$R$2915)</f>
        <v/>
      </c>
      <c r="T2901" s="8" t="n">
        <v>0.01090519185815197</v>
      </c>
      <c r="U2901" s="8" t="n">
        <v>0.009467863157814005</v>
      </c>
      <c r="V2901" s="6" t="inlineStr">
        <is>
          <t>remained in weekly selection</t>
        </is>
      </c>
    </row>
    <row r="2902">
      <c r="A2902" s="6" t="inlineStr">
        <is>
          <t>DJ30</t>
        </is>
      </c>
      <c r="B2902" s="6" t="inlineStr">
        <is>
          <t>2024-10-18</t>
        </is>
      </c>
      <c r="C2902" s="6" t="inlineStr">
        <is>
          <t>DIA</t>
        </is>
      </c>
      <c r="D2902" s="6" t="inlineStr">
        <is>
          <t>MCD</t>
        </is>
      </c>
      <c r="E2902" s="6" t="inlineStr">
        <is>
          <t>MCD</t>
        </is>
      </c>
      <c r="F2902" s="6" t="inlineStr">
        <is>
          <t>-</t>
        </is>
      </c>
      <c r="G2902" s="7" t="n">
        <v>303.7267761230469</v>
      </c>
      <c r="H2902" s="6">
        <f>P2871</f>
        <v/>
      </c>
      <c r="I2902" s="9">
        <f>Q2871</f>
        <v/>
      </c>
      <c r="J2902" s="7">
        <f>I2902*G2902</f>
        <v/>
      </c>
      <c r="K2902" s="8">
        <f>IF($J$2915=0,0,J2902/$J$2915)</f>
        <v/>
      </c>
      <c r="L2902" s="6" t="inlineStr">
        <is>
          <t>REJECTED</t>
        </is>
      </c>
      <c r="M2902" s="8" t="n">
        <v>0</v>
      </c>
      <c r="N2902" s="7">
        <f>M2902*$J$2915-J2902</f>
        <v/>
      </c>
      <c r="O2902" s="9">
        <f>IF(G2902=0,0,N2902/G2902)</f>
        <v/>
      </c>
      <c r="P2902" s="6">
        <f>IF(M2902&gt;0,D2902,"")</f>
        <v/>
      </c>
      <c r="Q2902" s="9">
        <f>I2902+O2902</f>
        <v/>
      </c>
      <c r="R2902" s="7">
        <f>Q2902*G2902</f>
        <v/>
      </c>
      <c r="S2902" s="8">
        <f>IF($R$2915=0,0,R2902/$R$2915)</f>
        <v/>
      </c>
      <c r="T2902" s="8" t="n">
        <v>0.01090519185815197</v>
      </c>
      <c r="U2902" s="8" t="n">
        <v>0.009467863157814005</v>
      </c>
      <c r="V2902" s="6" t="inlineStr">
        <is>
          <t>not selected</t>
        </is>
      </c>
    </row>
    <row r="2903">
      <c r="A2903" s="6" t="inlineStr">
        <is>
          <t>DJ30</t>
        </is>
      </c>
      <c r="B2903" s="6" t="inlineStr">
        <is>
          <t>2024-10-18</t>
        </is>
      </c>
      <c r="C2903" s="6" t="inlineStr">
        <is>
          <t>DIA</t>
        </is>
      </c>
      <c r="D2903" s="6" t="inlineStr">
        <is>
          <t>MMM</t>
        </is>
      </c>
      <c r="E2903" s="6" t="inlineStr">
        <is>
          <t>MMM</t>
        </is>
      </c>
      <c r="F2903" s="6" t="inlineStr">
        <is>
          <t>-</t>
        </is>
      </c>
      <c r="G2903" s="7" t="n">
        <v>130.6690216064453</v>
      </c>
      <c r="H2903" s="6">
        <f>P2872</f>
        <v/>
      </c>
      <c r="I2903" s="9">
        <f>Q2872</f>
        <v/>
      </c>
      <c r="J2903" s="7">
        <f>I2903*G2903</f>
        <v/>
      </c>
      <c r="K2903" s="8">
        <f>IF($J$2915=0,0,J2903/$J$2915)</f>
        <v/>
      </c>
      <c r="L2903" s="6" t="inlineStr">
        <is>
          <t>SELECTED</t>
        </is>
      </c>
      <c r="M2903" s="8" t="n">
        <v>0.2</v>
      </c>
      <c r="N2903" s="7">
        <f>M2903*$J$2915-J2903</f>
        <v/>
      </c>
      <c r="O2903" s="9">
        <f>IF(G2903=0,0,N2903/G2903)</f>
        <v/>
      </c>
      <c r="P2903" s="6">
        <f>IF(M2903&gt;0,D2903,"")</f>
        <v/>
      </c>
      <c r="Q2903" s="9">
        <f>I2903+O2903</f>
        <v/>
      </c>
      <c r="R2903" s="7">
        <f>Q2903*G2903</f>
        <v/>
      </c>
      <c r="S2903" s="8">
        <f>IF($R$2915=0,0,R2903/$R$2915)</f>
        <v/>
      </c>
      <c r="T2903" s="8" t="n">
        <v>0.01090519185815197</v>
      </c>
      <c r="U2903" s="8" t="n">
        <v>0.009467863157814005</v>
      </c>
      <c r="V2903" s="6" t="inlineStr">
        <is>
          <t>remained in weekly selection</t>
        </is>
      </c>
    </row>
    <row r="2904">
      <c r="A2904" s="6" t="inlineStr">
        <is>
          <t>DJ30</t>
        </is>
      </c>
      <c r="B2904" s="6" t="inlineStr">
        <is>
          <t>2024-10-18</t>
        </is>
      </c>
      <c r="C2904" s="6" t="inlineStr">
        <is>
          <t>DIA</t>
        </is>
      </c>
      <c r="D2904" s="6" t="inlineStr">
        <is>
          <t>MRK</t>
        </is>
      </c>
      <c r="E2904" s="6" t="inlineStr">
        <is>
          <t>MRK</t>
        </is>
      </c>
      <c r="F2904" s="6" t="inlineStr">
        <is>
          <t>-</t>
        </is>
      </c>
      <c r="G2904" s="7" t="n">
        <v>102.4289321899414</v>
      </c>
      <c r="H2904" s="6">
        <f>P2873</f>
        <v/>
      </c>
      <c r="I2904" s="9">
        <f>Q2873</f>
        <v/>
      </c>
      <c r="J2904" s="7">
        <f>I2904*G2904</f>
        <v/>
      </c>
      <c r="K2904" s="8">
        <f>IF($J$2915=0,0,J2904/$J$2915)</f>
        <v/>
      </c>
      <c r="L2904" s="6" t="inlineStr">
        <is>
          <t>REJECTED</t>
        </is>
      </c>
      <c r="M2904" s="8" t="n">
        <v>0</v>
      </c>
      <c r="N2904" s="7">
        <f>M2904*$J$2915-J2904</f>
        <v/>
      </c>
      <c r="O2904" s="9">
        <f>IF(G2904=0,0,N2904/G2904)</f>
        <v/>
      </c>
      <c r="P2904" s="6">
        <f>IF(M2904&gt;0,D2904,"")</f>
        <v/>
      </c>
      <c r="Q2904" s="9">
        <f>I2904+O2904</f>
        <v/>
      </c>
      <c r="R2904" s="7">
        <f>Q2904*G2904</f>
        <v/>
      </c>
      <c r="S2904" s="8">
        <f>IF($R$2915=0,0,R2904/$R$2915)</f>
        <v/>
      </c>
      <c r="T2904" s="8" t="n">
        <v>0.01090519185815197</v>
      </c>
      <c r="U2904" s="8" t="n">
        <v>0.009467863157814005</v>
      </c>
      <c r="V2904" s="6" t="inlineStr">
        <is>
          <t>not selected</t>
        </is>
      </c>
    </row>
    <row r="2905">
      <c r="A2905" s="6" t="inlineStr">
        <is>
          <t>DJ30</t>
        </is>
      </c>
      <c r="B2905" s="6" t="inlineStr">
        <is>
          <t>2024-10-18</t>
        </is>
      </c>
      <c r="C2905" s="6" t="inlineStr">
        <is>
          <t>DIA</t>
        </is>
      </c>
      <c r="D2905" s="6" t="inlineStr">
        <is>
          <t>MSFT</t>
        </is>
      </c>
      <c r="E2905" s="6" t="inlineStr">
        <is>
          <t>MSFT</t>
        </is>
      </c>
      <c r="F2905" s="6" t="inlineStr">
        <is>
          <t>-</t>
        </is>
      </c>
      <c r="G2905" s="7" t="n">
        <v>412.4320373535156</v>
      </c>
      <c r="H2905" s="6">
        <f>P2874</f>
        <v/>
      </c>
      <c r="I2905" s="9">
        <f>Q2874</f>
        <v/>
      </c>
      <c r="J2905" s="7">
        <f>I2905*G2905</f>
        <v/>
      </c>
      <c r="K2905" s="8">
        <f>IF($J$2915=0,0,J2905/$J$2915)</f>
        <v/>
      </c>
      <c r="L2905" s="6" t="inlineStr">
        <is>
          <t>WATCHLIST</t>
        </is>
      </c>
      <c r="M2905" s="8" t="n">
        <v>0</v>
      </c>
      <c r="N2905" s="7">
        <f>M2905*$J$2915-J2905</f>
        <v/>
      </c>
      <c r="O2905" s="9">
        <f>IF(G2905=0,0,N2905/G2905)</f>
        <v/>
      </c>
      <c r="P2905" s="6">
        <f>IF(M2905&gt;0,D2905,"")</f>
        <v/>
      </c>
      <c r="Q2905" s="9">
        <f>I2905+O2905</f>
        <v/>
      </c>
      <c r="R2905" s="7">
        <f>Q2905*G2905</f>
        <v/>
      </c>
      <c r="S2905" s="8">
        <f>IF($R$2915=0,0,R2905/$R$2915)</f>
        <v/>
      </c>
      <c r="T2905" s="8" t="n">
        <v>0.01090519185815197</v>
      </c>
      <c r="U2905" s="8" t="n">
        <v>0.009467863157814005</v>
      </c>
      <c r="V2905" s="6" t="inlineStr">
        <is>
          <t>not selected</t>
        </is>
      </c>
    </row>
    <row r="2906">
      <c r="A2906" s="6" t="inlineStr">
        <is>
          <t>DJ30</t>
        </is>
      </c>
      <c r="B2906" s="6" t="inlineStr">
        <is>
          <t>2024-10-18</t>
        </is>
      </c>
      <c r="C2906" s="6" t="inlineStr">
        <is>
          <t>DIA</t>
        </is>
      </c>
      <c r="D2906" s="6" t="inlineStr">
        <is>
          <t>NKE</t>
        </is>
      </c>
      <c r="E2906" s="6" t="inlineStr">
        <is>
          <t>NKE</t>
        </is>
      </c>
      <c r="F2906" s="6" t="inlineStr">
        <is>
          <t>-</t>
        </is>
      </c>
      <c r="G2906" s="7" t="n">
        <v>79.36375427246094</v>
      </c>
      <c r="H2906" s="6">
        <f>P2875</f>
        <v/>
      </c>
      <c r="I2906" s="9">
        <f>Q2875</f>
        <v/>
      </c>
      <c r="J2906" s="7">
        <f>I2906*G2906</f>
        <v/>
      </c>
      <c r="K2906" s="8">
        <f>IF($J$2915=0,0,J2906/$J$2915)</f>
        <v/>
      </c>
      <c r="L2906" s="6" t="inlineStr">
        <is>
          <t>REJECTED</t>
        </is>
      </c>
      <c r="M2906" s="8" t="n">
        <v>0</v>
      </c>
      <c r="N2906" s="7">
        <f>M2906*$J$2915-J2906</f>
        <v/>
      </c>
      <c r="O2906" s="9">
        <f>IF(G2906=0,0,N2906/G2906)</f>
        <v/>
      </c>
      <c r="P2906" s="6">
        <f>IF(M2906&gt;0,D2906,"")</f>
        <v/>
      </c>
      <c r="Q2906" s="9">
        <f>I2906+O2906</f>
        <v/>
      </c>
      <c r="R2906" s="7">
        <f>Q2906*G2906</f>
        <v/>
      </c>
      <c r="S2906" s="8">
        <f>IF($R$2915=0,0,R2906/$R$2915)</f>
        <v/>
      </c>
      <c r="T2906" s="8" t="n">
        <v>0.01090519185815197</v>
      </c>
      <c r="U2906" s="8" t="n">
        <v>0.009467863157814005</v>
      </c>
      <c r="V2906" s="6" t="inlineStr">
        <is>
          <t>not selected</t>
        </is>
      </c>
    </row>
    <row r="2907">
      <c r="A2907" s="6" t="inlineStr">
        <is>
          <t>DJ30</t>
        </is>
      </c>
      <c r="B2907" s="6" t="inlineStr">
        <is>
          <t>2024-10-18</t>
        </is>
      </c>
      <c r="C2907" s="6" t="inlineStr">
        <is>
          <t>DIA</t>
        </is>
      </c>
      <c r="D2907" s="6" t="inlineStr">
        <is>
          <t>NVDA</t>
        </is>
      </c>
      <c r="E2907" s="6" t="inlineStr">
        <is>
          <t>NVDA</t>
        </is>
      </c>
      <c r="F2907" s="6" t="inlineStr">
        <is>
          <t>-</t>
        </is>
      </c>
      <c r="G2907" s="7" t="n">
        <v>137.7847137451172</v>
      </c>
      <c r="H2907" s="6">
        <f>P2876</f>
        <v/>
      </c>
      <c r="I2907" s="9">
        <f>Q2876</f>
        <v/>
      </c>
      <c r="J2907" s="7">
        <f>I2907*G2907</f>
        <v/>
      </c>
      <c r="K2907" s="8">
        <f>IF($J$2915=0,0,J2907/$J$2915)</f>
        <v/>
      </c>
      <c r="L2907" s="6" t="inlineStr">
        <is>
          <t>SELECTED</t>
        </is>
      </c>
      <c r="M2907" s="8" t="n">
        <v>0.2</v>
      </c>
      <c r="N2907" s="7">
        <f>M2907*$J$2915-J2907</f>
        <v/>
      </c>
      <c r="O2907" s="9">
        <f>IF(G2907=0,0,N2907/G2907)</f>
        <v/>
      </c>
      <c r="P2907" s="6">
        <f>IF(M2907&gt;0,D2907,"")</f>
        <v/>
      </c>
      <c r="Q2907" s="9">
        <f>I2907+O2907</f>
        <v/>
      </c>
      <c r="R2907" s="7">
        <f>Q2907*G2907</f>
        <v/>
      </c>
      <c r="S2907" s="8">
        <f>IF($R$2915=0,0,R2907/$R$2915)</f>
        <v/>
      </c>
      <c r="T2907" s="8" t="n">
        <v>0.01090519185815197</v>
      </c>
      <c r="U2907" s="8" t="n">
        <v>0.009467863157814005</v>
      </c>
      <c r="V2907" s="6" t="inlineStr">
        <is>
          <t>remained in weekly selection</t>
        </is>
      </c>
    </row>
    <row r="2908">
      <c r="A2908" s="6" t="inlineStr">
        <is>
          <t>DJ30</t>
        </is>
      </c>
      <c r="B2908" s="6" t="inlineStr">
        <is>
          <t>2024-10-18</t>
        </is>
      </c>
      <c r="C2908" s="6" t="inlineStr">
        <is>
          <t>DIA</t>
        </is>
      </c>
      <c r="D2908" s="6" t="inlineStr">
        <is>
          <t>PG</t>
        </is>
      </c>
      <c r="E2908" s="6" t="inlineStr">
        <is>
          <t>PG</t>
        </is>
      </c>
      <c r="F2908" s="6" t="inlineStr">
        <is>
          <t>-</t>
        </is>
      </c>
      <c r="G2908" s="7" t="n">
        <v>164.4564514160156</v>
      </c>
      <c r="H2908" s="6">
        <f>P2877</f>
        <v/>
      </c>
      <c r="I2908" s="9">
        <f>Q2877</f>
        <v/>
      </c>
      <c r="J2908" s="7">
        <f>I2908*G2908</f>
        <v/>
      </c>
      <c r="K2908" s="8">
        <f>IF($J$2915=0,0,J2908/$J$2915)</f>
        <v/>
      </c>
      <c r="L2908" s="6" t="inlineStr">
        <is>
          <t>WATCHLIST</t>
        </is>
      </c>
      <c r="M2908" s="8" t="n">
        <v>0</v>
      </c>
      <c r="N2908" s="7">
        <f>M2908*$J$2915-J2908</f>
        <v/>
      </c>
      <c r="O2908" s="9">
        <f>IF(G2908=0,0,N2908/G2908)</f>
        <v/>
      </c>
      <c r="P2908" s="6">
        <f>IF(M2908&gt;0,D2908,"")</f>
        <v/>
      </c>
      <c r="Q2908" s="9">
        <f>I2908+O2908</f>
        <v/>
      </c>
      <c r="R2908" s="7">
        <f>Q2908*G2908</f>
        <v/>
      </c>
      <c r="S2908" s="8">
        <f>IF($R$2915=0,0,R2908/$R$2915)</f>
        <v/>
      </c>
      <c r="T2908" s="8" t="n">
        <v>0.01090519185815197</v>
      </c>
      <c r="U2908" s="8" t="n">
        <v>0.009467863157814005</v>
      </c>
      <c r="V2908" s="6" t="inlineStr">
        <is>
          <t>not selected</t>
        </is>
      </c>
    </row>
    <row r="2909">
      <c r="A2909" s="6" t="inlineStr">
        <is>
          <t>DJ30</t>
        </is>
      </c>
      <c r="B2909" s="6" t="inlineStr">
        <is>
          <t>2024-10-18</t>
        </is>
      </c>
      <c r="C2909" s="6" t="inlineStr">
        <is>
          <t>DIA</t>
        </is>
      </c>
      <c r="D2909" s="6" t="inlineStr">
        <is>
          <t>SHW</t>
        </is>
      </c>
      <c r="E2909" s="6" t="inlineStr">
        <is>
          <t>SHW</t>
        </is>
      </c>
      <c r="F2909" s="6" t="inlineStr">
        <is>
          <t>-</t>
        </is>
      </c>
      <c r="G2909" s="7" t="n">
        <v>382.3833312988281</v>
      </c>
      <c r="H2909" s="6">
        <f>P2878</f>
        <v/>
      </c>
      <c r="I2909" s="9">
        <f>Q2878</f>
        <v/>
      </c>
      <c r="J2909" s="7">
        <f>I2909*G2909</f>
        <v/>
      </c>
      <c r="K2909" s="8">
        <f>IF($J$2915=0,0,J2909/$J$2915)</f>
        <v/>
      </c>
      <c r="L2909" s="6" t="inlineStr">
        <is>
          <t>WATCHLIST</t>
        </is>
      </c>
      <c r="M2909" s="8" t="n">
        <v>0</v>
      </c>
      <c r="N2909" s="7">
        <f>M2909*$J$2915-J2909</f>
        <v/>
      </c>
      <c r="O2909" s="9">
        <f>IF(G2909=0,0,N2909/G2909)</f>
        <v/>
      </c>
      <c r="P2909" s="6">
        <f>IF(M2909&gt;0,D2909,"")</f>
        <v/>
      </c>
      <c r="Q2909" s="9">
        <f>I2909+O2909</f>
        <v/>
      </c>
      <c r="R2909" s="7">
        <f>Q2909*G2909</f>
        <v/>
      </c>
      <c r="S2909" s="8">
        <f>IF($R$2915=0,0,R2909/$R$2915)</f>
        <v/>
      </c>
      <c r="T2909" s="8" t="n">
        <v>0.01090519185815197</v>
      </c>
      <c r="U2909" s="8" t="n">
        <v>0.009467863157814005</v>
      </c>
      <c r="V2909" s="6" t="inlineStr">
        <is>
          <t>not selected</t>
        </is>
      </c>
    </row>
    <row r="2910">
      <c r="A2910" s="6" t="inlineStr">
        <is>
          <t>DJ30</t>
        </is>
      </c>
      <c r="B2910" s="6" t="inlineStr">
        <is>
          <t>2024-10-18</t>
        </is>
      </c>
      <c r="C2910" s="6" t="inlineStr">
        <is>
          <t>DIA</t>
        </is>
      </c>
      <c r="D2910" s="6" t="inlineStr">
        <is>
          <t>TRV</t>
        </is>
      </c>
      <c r="E2910" s="6" t="inlineStr">
        <is>
          <t>TRV</t>
        </is>
      </c>
      <c r="F2910" s="6" t="inlineStr">
        <is>
          <t>-</t>
        </is>
      </c>
      <c r="G2910" s="7" t="n">
        <v>258.0791931152344</v>
      </c>
      <c r="H2910" s="6">
        <f>P2879</f>
        <v/>
      </c>
      <c r="I2910" s="9">
        <f>Q2879</f>
        <v/>
      </c>
      <c r="J2910" s="7">
        <f>I2910*G2910</f>
        <v/>
      </c>
      <c r="K2910" s="8">
        <f>IF($J$2915=0,0,J2910/$J$2915)</f>
        <v/>
      </c>
      <c r="L2910" s="6" t="inlineStr">
        <is>
          <t>SELECTED</t>
        </is>
      </c>
      <c r="M2910" s="8" t="n">
        <v>0.2</v>
      </c>
      <c r="N2910" s="7">
        <f>M2910*$J$2915-J2910</f>
        <v/>
      </c>
      <c r="O2910" s="9">
        <f>IF(G2910=0,0,N2910/G2910)</f>
        <v/>
      </c>
      <c r="P2910" s="6">
        <f>IF(M2910&gt;0,D2910,"")</f>
        <v/>
      </c>
      <c r="Q2910" s="9">
        <f>I2910+O2910</f>
        <v/>
      </c>
      <c r="R2910" s="7">
        <f>Q2910*G2910</f>
        <v/>
      </c>
      <c r="S2910" s="8">
        <f>IF($R$2915=0,0,R2910/$R$2915)</f>
        <v/>
      </c>
      <c r="T2910" s="8" t="n">
        <v>0.01090519185815197</v>
      </c>
      <c r="U2910" s="8" t="n">
        <v>0.009467863157814005</v>
      </c>
      <c r="V2910" s="6" t="inlineStr">
        <is>
          <t>entered weekly selection</t>
        </is>
      </c>
    </row>
    <row r="2911">
      <c r="A2911" s="6" t="inlineStr">
        <is>
          <t>DJ30</t>
        </is>
      </c>
      <c r="B2911" s="6" t="inlineStr">
        <is>
          <t>2024-10-18</t>
        </is>
      </c>
      <c r="C2911" s="6" t="inlineStr">
        <is>
          <t>DIA</t>
        </is>
      </c>
      <c r="D2911" s="6" t="inlineStr">
        <is>
          <t>UNH</t>
        </is>
      </c>
      <c r="E2911" s="6" t="inlineStr">
        <is>
          <t>UNH</t>
        </is>
      </c>
      <c r="F2911" s="6" t="inlineStr">
        <is>
          <t>-</t>
        </is>
      </c>
      <c r="G2911" s="7" t="n">
        <v>546.402587890625</v>
      </c>
      <c r="H2911" s="6">
        <f>P2880</f>
        <v/>
      </c>
      <c r="I2911" s="9">
        <f>Q2880</f>
        <v/>
      </c>
      <c r="J2911" s="7">
        <f>I2911*G2911</f>
        <v/>
      </c>
      <c r="K2911" s="8">
        <f>IF($J$2915=0,0,J2911/$J$2915)</f>
        <v/>
      </c>
      <c r="L2911" s="6" t="inlineStr">
        <is>
          <t>REJECTED</t>
        </is>
      </c>
      <c r="M2911" s="8" t="n">
        <v>0</v>
      </c>
      <c r="N2911" s="7">
        <f>M2911*$J$2915-J2911</f>
        <v/>
      </c>
      <c r="O2911" s="9">
        <f>IF(G2911=0,0,N2911/G2911)</f>
        <v/>
      </c>
      <c r="P2911" s="6">
        <f>IF(M2911&gt;0,D2911,"")</f>
        <v/>
      </c>
      <c r="Q2911" s="9">
        <f>I2911+O2911</f>
        <v/>
      </c>
      <c r="R2911" s="7">
        <f>Q2911*G2911</f>
        <v/>
      </c>
      <c r="S2911" s="8">
        <f>IF($R$2915=0,0,R2911/$R$2915)</f>
        <v/>
      </c>
      <c r="T2911" s="8" t="n">
        <v>0.01090519185815197</v>
      </c>
      <c r="U2911" s="8" t="n">
        <v>0.009467863157814005</v>
      </c>
      <c r="V2911" s="6" t="inlineStr">
        <is>
          <t>not selected</t>
        </is>
      </c>
    </row>
    <row r="2912">
      <c r="A2912" s="6" t="inlineStr">
        <is>
          <t>DJ30</t>
        </is>
      </c>
      <c r="B2912" s="6" t="inlineStr">
        <is>
          <t>2024-10-18</t>
        </is>
      </c>
      <c r="C2912" s="6" t="inlineStr">
        <is>
          <t>DIA</t>
        </is>
      </c>
      <c r="D2912" s="6" t="inlineStr">
        <is>
          <t>V</t>
        </is>
      </c>
      <c r="E2912" s="6" t="inlineStr">
        <is>
          <t>V</t>
        </is>
      </c>
      <c r="F2912" s="6" t="inlineStr">
        <is>
          <t>-</t>
        </is>
      </c>
      <c r="G2912" s="7" t="n">
        <v>286.83544921875</v>
      </c>
      <c r="H2912" s="6">
        <f>P2881</f>
        <v/>
      </c>
      <c r="I2912" s="9">
        <f>Q2881</f>
        <v/>
      </c>
      <c r="J2912" s="7">
        <f>I2912*G2912</f>
        <v/>
      </c>
      <c r="K2912" s="8">
        <f>IF($J$2915=0,0,J2912/$J$2915)</f>
        <v/>
      </c>
      <c r="L2912" s="6" t="inlineStr">
        <is>
          <t>WATCHLIST</t>
        </is>
      </c>
      <c r="M2912" s="8" t="n">
        <v>0</v>
      </c>
      <c r="N2912" s="7">
        <f>M2912*$J$2915-J2912</f>
        <v/>
      </c>
      <c r="O2912" s="9">
        <f>IF(G2912=0,0,N2912/G2912)</f>
        <v/>
      </c>
      <c r="P2912" s="6">
        <f>IF(M2912&gt;0,D2912,"")</f>
        <v/>
      </c>
      <c r="Q2912" s="9">
        <f>I2912+O2912</f>
        <v/>
      </c>
      <c r="R2912" s="7">
        <f>Q2912*G2912</f>
        <v/>
      </c>
      <c r="S2912" s="8">
        <f>IF($R$2915=0,0,R2912/$R$2915)</f>
        <v/>
      </c>
      <c r="T2912" s="8" t="n">
        <v>0.01090519185815197</v>
      </c>
      <c r="U2912" s="8" t="n">
        <v>0.009467863157814005</v>
      </c>
      <c r="V2912" s="6" t="inlineStr">
        <is>
          <t>not selected</t>
        </is>
      </c>
    </row>
    <row r="2913">
      <c r="A2913" s="6" t="inlineStr">
        <is>
          <t>DJ30</t>
        </is>
      </c>
      <c r="B2913" s="6" t="inlineStr">
        <is>
          <t>2024-10-18</t>
        </is>
      </c>
      <c r="C2913" s="6" t="inlineStr">
        <is>
          <t>DIA</t>
        </is>
      </c>
      <c r="D2913" s="6" t="inlineStr">
        <is>
          <t>VZ</t>
        </is>
      </c>
      <c r="E2913" s="6" t="inlineStr">
        <is>
          <t>VZ</t>
        </is>
      </c>
      <c r="F2913" s="6" t="inlineStr">
        <is>
          <t>-</t>
        </is>
      </c>
      <c r="G2913" s="7" t="n">
        <v>39.8550910949707</v>
      </c>
      <c r="H2913" s="6">
        <f>P2882</f>
        <v/>
      </c>
      <c r="I2913" s="9">
        <f>Q2882</f>
        <v/>
      </c>
      <c r="J2913" s="7">
        <f>I2913*G2913</f>
        <v/>
      </c>
      <c r="K2913" s="8">
        <f>IF($J$2915=0,0,J2913/$J$2915)</f>
        <v/>
      </c>
      <c r="L2913" s="6" t="inlineStr">
        <is>
          <t>WATCHLIST</t>
        </is>
      </c>
      <c r="M2913" s="8" t="n">
        <v>0</v>
      </c>
      <c r="N2913" s="7">
        <f>M2913*$J$2915-J2913</f>
        <v/>
      </c>
      <c r="O2913" s="9">
        <f>IF(G2913=0,0,N2913/G2913)</f>
        <v/>
      </c>
      <c r="P2913" s="6">
        <f>IF(M2913&gt;0,D2913,"")</f>
        <v/>
      </c>
      <c r="Q2913" s="9">
        <f>I2913+O2913</f>
        <v/>
      </c>
      <c r="R2913" s="7">
        <f>Q2913*G2913</f>
        <v/>
      </c>
      <c r="S2913" s="8">
        <f>IF($R$2915=0,0,R2913/$R$2915)</f>
        <v/>
      </c>
      <c r="T2913" s="8" t="n">
        <v>0.01090519185815197</v>
      </c>
      <c r="U2913" s="8" t="n">
        <v>0.009467863157814005</v>
      </c>
      <c r="V2913" s="6" t="inlineStr">
        <is>
          <t>not selected</t>
        </is>
      </c>
    </row>
    <row r="2914">
      <c r="A2914" s="6" t="inlineStr">
        <is>
          <t>DJ30</t>
        </is>
      </c>
      <c r="B2914" s="6" t="inlineStr">
        <is>
          <t>2024-10-18</t>
        </is>
      </c>
      <c r="C2914" s="6" t="inlineStr">
        <is>
          <t>DIA</t>
        </is>
      </c>
      <c r="D2914" s="6" t="inlineStr">
        <is>
          <t>WMT</t>
        </is>
      </c>
      <c r="E2914" s="6" t="inlineStr">
        <is>
          <t>WMT</t>
        </is>
      </c>
      <c r="F2914" s="6" t="inlineStr">
        <is>
          <t>-</t>
        </is>
      </c>
      <c r="G2914" s="7" t="n">
        <v>80.04368591308594</v>
      </c>
      <c r="H2914" s="6">
        <f>P2883</f>
        <v/>
      </c>
      <c r="I2914" s="9">
        <f>Q2883</f>
        <v/>
      </c>
      <c r="J2914" s="7">
        <f>I2914*G2914</f>
        <v/>
      </c>
      <c r="K2914" s="8">
        <f>IF($J$2915=0,0,J2914/$J$2915)</f>
        <v/>
      </c>
      <c r="L2914" s="6" t="inlineStr">
        <is>
          <t>WATCHLIST</t>
        </is>
      </c>
      <c r="M2914" s="8" t="n">
        <v>0</v>
      </c>
      <c r="N2914" s="7">
        <f>M2914*$J$2915-J2914</f>
        <v/>
      </c>
      <c r="O2914" s="9">
        <f>IF(G2914=0,0,N2914/G2914)</f>
        <v/>
      </c>
      <c r="P2914" s="6">
        <f>IF(M2914&gt;0,D2914,"")</f>
        <v/>
      </c>
      <c r="Q2914" s="9">
        <f>I2914+O2914</f>
        <v/>
      </c>
      <c r="R2914" s="7">
        <f>Q2914*G2914</f>
        <v/>
      </c>
      <c r="S2914" s="8">
        <f>IF($R$2915=0,0,R2914/$R$2915)</f>
        <v/>
      </c>
      <c r="T2914" s="8" t="n">
        <v>0.01090519185815197</v>
      </c>
      <c r="U2914" s="8" t="n">
        <v>0.009467863157814005</v>
      </c>
      <c r="V2914" s="6" t="inlineStr">
        <is>
          <t>removed from weekly selection</t>
        </is>
      </c>
    </row>
    <row r="2915">
      <c r="A2915" s="10" t="inlineStr">
        <is>
          <t>DJ30</t>
        </is>
      </c>
      <c r="B2915" s="10" t="inlineStr">
        <is>
          <t>2024-10-18</t>
        </is>
      </c>
      <c r="C2915" s="10" t="inlineStr">
        <is>
          <t>DIA</t>
        </is>
      </c>
      <c r="D2915" s="10" t="inlineStr">
        <is>
          <t>Tot Portfolio</t>
        </is>
      </c>
      <c r="E2915" s="10" t="inlineStr"/>
      <c r="F2915" s="10" t="inlineStr"/>
      <c r="G2915" s="11" t="inlineStr"/>
      <c r="H2915" s="10" t="inlineStr"/>
      <c r="I2915" s="12" t="inlineStr"/>
      <c r="J2915" s="11">
        <f>SUM(J2885:J2914)</f>
        <v/>
      </c>
      <c r="K2915" s="13">
        <f>SUM(K2885:K2914)</f>
        <v/>
      </c>
      <c r="L2915" s="10" t="inlineStr">
        <is>
          <t>TOTAL</t>
        </is>
      </c>
      <c r="M2915" s="13">
        <f>SUM(M2885:M2914)</f>
        <v/>
      </c>
      <c r="N2915" s="11">
        <f>SUM(N2885:N2914)</f>
        <v/>
      </c>
      <c r="O2915" s="12">
        <f>SUM(O2885:O2914)</f>
        <v/>
      </c>
      <c r="P2915" s="10" t="inlineStr"/>
      <c r="Q2915" s="12" t="inlineStr"/>
      <c r="R2915" s="11">
        <f>SUM(R2885:R2914)</f>
        <v/>
      </c>
      <c r="S2915" s="13">
        <f>SUM(S2885:S2914)</f>
        <v/>
      </c>
      <c r="T2915" s="13" t="n">
        <v>0.01090519185815197</v>
      </c>
      <c r="U2915" s="13" t="n">
        <v>0.009467863157814005</v>
      </c>
      <c r="V2915" s="10" t="inlineStr"/>
    </row>
    <row r="2916">
      <c r="A2916" s="6" t="inlineStr">
        <is>
          <t>DJ30</t>
        </is>
      </c>
      <c r="B2916" s="6" t="inlineStr">
        <is>
          <t>2024-10-25</t>
        </is>
      </c>
      <c r="C2916" s="6" t="inlineStr">
        <is>
          <t>DIA</t>
        </is>
      </c>
      <c r="D2916" s="6" t="inlineStr">
        <is>
          <t>AAPL</t>
        </is>
      </c>
      <c r="E2916" s="6" t="inlineStr">
        <is>
          <t>AAPL</t>
        </is>
      </c>
      <c r="F2916" s="6" t="inlineStr">
        <is>
          <t>-</t>
        </is>
      </c>
      <c r="G2916" s="7" t="n">
        <v>229.6881866455078</v>
      </c>
      <c r="H2916" s="6">
        <f>P2885</f>
        <v/>
      </c>
      <c r="I2916" s="9">
        <f>Q2885</f>
        <v/>
      </c>
      <c r="J2916" s="7">
        <f>I2916*G2916</f>
        <v/>
      </c>
      <c r="K2916" s="8">
        <f>IF($J$2946=0,0,J2916/$J$2946)</f>
        <v/>
      </c>
      <c r="L2916" s="6" t="inlineStr">
        <is>
          <t>WATCHLIST</t>
        </is>
      </c>
      <c r="M2916" s="8" t="n">
        <v>0</v>
      </c>
      <c r="N2916" s="7">
        <f>M2916*$J$2946-J2916</f>
        <v/>
      </c>
      <c r="O2916" s="9">
        <f>IF(G2916=0,0,N2916/G2916)</f>
        <v/>
      </c>
      <c r="P2916" s="6">
        <f>IF(M2916&gt;0,D2916,"")</f>
        <v/>
      </c>
      <c r="Q2916" s="9">
        <f>I2916+O2916</f>
        <v/>
      </c>
      <c r="R2916" s="7">
        <f>Q2916*G2916</f>
        <v/>
      </c>
      <c r="S2916" s="8">
        <f>IF($R$2946=0,0,R2916/$R$2946)</f>
        <v/>
      </c>
      <c r="T2916" s="8" t="n">
        <v>-0.03872545968618446</v>
      </c>
      <c r="U2916" s="8" t="n">
        <v>-0.02658106287312934</v>
      </c>
      <c r="V2916" s="6" t="inlineStr">
        <is>
          <t>not selected</t>
        </is>
      </c>
    </row>
    <row r="2917">
      <c r="A2917" s="6" t="inlineStr">
        <is>
          <t>DJ30</t>
        </is>
      </c>
      <c r="B2917" s="6" t="inlineStr">
        <is>
          <t>2024-10-25</t>
        </is>
      </c>
      <c r="C2917" s="6" t="inlineStr">
        <is>
          <t>DIA</t>
        </is>
      </c>
      <c r="D2917" s="6" t="inlineStr">
        <is>
          <t>AMGN</t>
        </is>
      </c>
      <c r="E2917" s="6" t="inlineStr">
        <is>
          <t>AMGN</t>
        </is>
      </c>
      <c r="F2917" s="6" t="inlineStr">
        <is>
          <t>-</t>
        </is>
      </c>
      <c r="G2917" s="7" t="n">
        <v>300.1893920898437</v>
      </c>
      <c r="H2917" s="6">
        <f>P2886</f>
        <v/>
      </c>
      <c r="I2917" s="9">
        <f>Q2886</f>
        <v/>
      </c>
      <c r="J2917" s="7">
        <f>I2917*G2917</f>
        <v/>
      </c>
      <c r="K2917" s="8">
        <f>IF($J$2946=0,0,J2917/$J$2946)</f>
        <v/>
      </c>
      <c r="L2917" s="6" t="inlineStr">
        <is>
          <t>WATCHLIST</t>
        </is>
      </c>
      <c r="M2917" s="8" t="n">
        <v>0</v>
      </c>
      <c r="N2917" s="7">
        <f>M2917*$J$2946-J2917</f>
        <v/>
      </c>
      <c r="O2917" s="9">
        <f>IF(G2917=0,0,N2917/G2917)</f>
        <v/>
      </c>
      <c r="P2917" s="6">
        <f>IF(M2917&gt;0,D2917,"")</f>
        <v/>
      </c>
      <c r="Q2917" s="9">
        <f>I2917+O2917</f>
        <v/>
      </c>
      <c r="R2917" s="7">
        <f>Q2917*G2917</f>
        <v/>
      </c>
      <c r="S2917" s="8">
        <f>IF($R$2946=0,0,R2917/$R$2946)</f>
        <v/>
      </c>
      <c r="T2917" s="8" t="n">
        <v>-0.03872545968618446</v>
      </c>
      <c r="U2917" s="8" t="n">
        <v>-0.02658106287312934</v>
      </c>
      <c r="V2917" s="6" t="inlineStr">
        <is>
          <t>not selected</t>
        </is>
      </c>
    </row>
    <row r="2918">
      <c r="A2918" s="6" t="inlineStr">
        <is>
          <t>DJ30</t>
        </is>
      </c>
      <c r="B2918" s="6" t="inlineStr">
        <is>
          <t>2024-10-25</t>
        </is>
      </c>
      <c r="C2918" s="6" t="inlineStr">
        <is>
          <t>DIA</t>
        </is>
      </c>
      <c r="D2918" s="6" t="inlineStr">
        <is>
          <t>AMZN</t>
        </is>
      </c>
      <c r="E2918" s="6" t="inlineStr">
        <is>
          <t>AMZN</t>
        </is>
      </c>
      <c r="F2918" s="6" t="inlineStr">
        <is>
          <t>-</t>
        </is>
      </c>
      <c r="G2918" s="7" t="n">
        <v>187.8300018310547</v>
      </c>
      <c r="H2918" s="6">
        <f>P2887</f>
        <v/>
      </c>
      <c r="I2918" s="9">
        <f>Q2887</f>
        <v/>
      </c>
      <c r="J2918" s="7">
        <f>I2918*G2918</f>
        <v/>
      </c>
      <c r="K2918" s="8">
        <f>IF($J$2946=0,0,J2918/$J$2946)</f>
        <v/>
      </c>
      <c r="L2918" s="6" t="inlineStr">
        <is>
          <t>WATCHLIST</t>
        </is>
      </c>
      <c r="M2918" s="8" t="n">
        <v>0</v>
      </c>
      <c r="N2918" s="7">
        <f>M2918*$J$2946-J2918</f>
        <v/>
      </c>
      <c r="O2918" s="9">
        <f>IF(G2918=0,0,N2918/G2918)</f>
        <v/>
      </c>
      <c r="P2918" s="6">
        <f>IF(M2918&gt;0,D2918,"")</f>
        <v/>
      </c>
      <c r="Q2918" s="9">
        <f>I2918+O2918</f>
        <v/>
      </c>
      <c r="R2918" s="7">
        <f>Q2918*G2918</f>
        <v/>
      </c>
      <c r="S2918" s="8">
        <f>IF($R$2946=0,0,R2918/$R$2946)</f>
        <v/>
      </c>
      <c r="T2918" s="8" t="n">
        <v>-0.03872545968618446</v>
      </c>
      <c r="U2918" s="8" t="n">
        <v>-0.02658106287312934</v>
      </c>
      <c r="V2918" s="6" t="inlineStr">
        <is>
          <t>not selected</t>
        </is>
      </c>
    </row>
    <row r="2919">
      <c r="A2919" s="6" t="inlineStr">
        <is>
          <t>DJ30</t>
        </is>
      </c>
      <c r="B2919" s="6" t="inlineStr">
        <is>
          <t>2024-10-25</t>
        </is>
      </c>
      <c r="C2919" s="6" t="inlineStr">
        <is>
          <t>DIA</t>
        </is>
      </c>
      <c r="D2919" s="6" t="inlineStr">
        <is>
          <t>AXP</t>
        </is>
      </c>
      <c r="E2919" s="6" t="inlineStr">
        <is>
          <t>AXP</t>
        </is>
      </c>
      <c r="F2919" s="6" t="inlineStr">
        <is>
          <t>-</t>
        </is>
      </c>
      <c r="G2919" s="7" t="n">
        <v>263.0827331542969</v>
      </c>
      <c r="H2919" s="6">
        <f>P2888</f>
        <v/>
      </c>
      <c r="I2919" s="9">
        <f>Q2888</f>
        <v/>
      </c>
      <c r="J2919" s="7">
        <f>I2919*G2919</f>
        <v/>
      </c>
      <c r="K2919" s="8">
        <f>IF($J$2946=0,0,J2919/$J$2946)</f>
        <v/>
      </c>
      <c r="L2919" s="6" t="inlineStr">
        <is>
          <t>SELECTED</t>
        </is>
      </c>
      <c r="M2919" s="8" t="n">
        <v>0.2</v>
      </c>
      <c r="N2919" s="7">
        <f>M2919*$J$2946-J2919</f>
        <v/>
      </c>
      <c r="O2919" s="9">
        <f>IF(G2919=0,0,N2919/G2919)</f>
        <v/>
      </c>
      <c r="P2919" s="6">
        <f>IF(M2919&gt;0,D2919,"")</f>
        <v/>
      </c>
      <c r="Q2919" s="9">
        <f>I2919+O2919</f>
        <v/>
      </c>
      <c r="R2919" s="7">
        <f>Q2919*G2919</f>
        <v/>
      </c>
      <c r="S2919" s="8">
        <f>IF($R$2946=0,0,R2919/$R$2946)</f>
        <v/>
      </c>
      <c r="T2919" s="8" t="n">
        <v>-0.03872545968618446</v>
      </c>
      <c r="U2919" s="8" t="n">
        <v>-0.02658106287312934</v>
      </c>
      <c r="V2919" s="6" t="inlineStr">
        <is>
          <t>remained in weekly selection</t>
        </is>
      </c>
    </row>
    <row r="2920">
      <c r="A2920" s="6" t="inlineStr">
        <is>
          <t>DJ30</t>
        </is>
      </c>
      <c r="B2920" s="6" t="inlineStr">
        <is>
          <t>2024-10-25</t>
        </is>
      </c>
      <c r="C2920" s="6" t="inlineStr">
        <is>
          <t>DIA</t>
        </is>
      </c>
      <c r="D2920" s="6" t="inlineStr">
        <is>
          <t>BA</t>
        </is>
      </c>
      <c r="E2920" s="6" t="inlineStr">
        <is>
          <t>BA</t>
        </is>
      </c>
      <c r="F2920" s="6" t="inlineStr">
        <is>
          <t>-</t>
        </is>
      </c>
      <c r="G2920" s="7" t="n">
        <v>155.0099945068359</v>
      </c>
      <c r="H2920" s="6">
        <f>P2889</f>
        <v/>
      </c>
      <c r="I2920" s="9">
        <f>Q2889</f>
        <v/>
      </c>
      <c r="J2920" s="7">
        <f>I2920*G2920</f>
        <v/>
      </c>
      <c r="K2920" s="8">
        <f>IF($J$2946=0,0,J2920/$J$2946)</f>
        <v/>
      </c>
      <c r="L2920" s="6" t="inlineStr">
        <is>
          <t>REJECTED</t>
        </is>
      </c>
      <c r="M2920" s="8" t="n">
        <v>0</v>
      </c>
      <c r="N2920" s="7">
        <f>M2920*$J$2946-J2920</f>
        <v/>
      </c>
      <c r="O2920" s="9">
        <f>IF(G2920=0,0,N2920/G2920)</f>
        <v/>
      </c>
      <c r="P2920" s="6">
        <f>IF(M2920&gt;0,D2920,"")</f>
        <v/>
      </c>
      <c r="Q2920" s="9">
        <f>I2920+O2920</f>
        <v/>
      </c>
      <c r="R2920" s="7">
        <f>Q2920*G2920</f>
        <v/>
      </c>
      <c r="S2920" s="8">
        <f>IF($R$2946=0,0,R2920/$R$2946)</f>
        <v/>
      </c>
      <c r="T2920" s="8" t="n">
        <v>-0.03872545968618446</v>
      </c>
      <c r="U2920" s="8" t="n">
        <v>-0.02658106287312934</v>
      </c>
      <c r="V2920" s="6" t="inlineStr">
        <is>
          <t>not selected</t>
        </is>
      </c>
    </row>
    <row r="2921">
      <c r="A2921" s="6" t="inlineStr">
        <is>
          <t>DJ30</t>
        </is>
      </c>
      <c r="B2921" s="6" t="inlineStr">
        <is>
          <t>2024-10-25</t>
        </is>
      </c>
      <c r="C2921" s="6" t="inlineStr">
        <is>
          <t>DIA</t>
        </is>
      </c>
      <c r="D2921" s="6" t="inlineStr">
        <is>
          <t>CAT</t>
        </is>
      </c>
      <c r="E2921" s="6" t="inlineStr">
        <is>
          <t>CAT</t>
        </is>
      </c>
      <c r="F2921" s="6" t="inlineStr">
        <is>
          <t>-</t>
        </is>
      </c>
      <c r="G2921" s="7" t="n">
        <v>378.6197814941406</v>
      </c>
      <c r="H2921" s="6">
        <f>P2890</f>
        <v/>
      </c>
      <c r="I2921" s="9">
        <f>Q2890</f>
        <v/>
      </c>
      <c r="J2921" s="7">
        <f>I2921*G2921</f>
        <v/>
      </c>
      <c r="K2921" s="8">
        <f>IF($J$2946=0,0,J2921/$J$2946)</f>
        <v/>
      </c>
      <c r="L2921" s="6" t="inlineStr">
        <is>
          <t>WATCHLIST</t>
        </is>
      </c>
      <c r="M2921" s="8" t="n">
        <v>0</v>
      </c>
      <c r="N2921" s="7">
        <f>M2921*$J$2946-J2921</f>
        <v/>
      </c>
      <c r="O2921" s="9">
        <f>IF(G2921=0,0,N2921/G2921)</f>
        <v/>
      </c>
      <c r="P2921" s="6">
        <f>IF(M2921&gt;0,D2921,"")</f>
        <v/>
      </c>
      <c r="Q2921" s="9">
        <f>I2921+O2921</f>
        <v/>
      </c>
      <c r="R2921" s="7">
        <f>Q2921*G2921</f>
        <v/>
      </c>
      <c r="S2921" s="8">
        <f>IF($R$2946=0,0,R2921/$R$2946)</f>
        <v/>
      </c>
      <c r="T2921" s="8" t="n">
        <v>-0.03872545968618446</v>
      </c>
      <c r="U2921" s="8" t="n">
        <v>-0.02658106287312934</v>
      </c>
      <c r="V2921" s="6" t="inlineStr">
        <is>
          <t>not selected</t>
        </is>
      </c>
    </row>
    <row r="2922">
      <c r="A2922" s="6" t="inlineStr">
        <is>
          <t>DJ30</t>
        </is>
      </c>
      <c r="B2922" s="6" t="inlineStr">
        <is>
          <t>2024-10-25</t>
        </is>
      </c>
      <c r="C2922" s="6" t="inlineStr">
        <is>
          <t>DIA</t>
        </is>
      </c>
      <c r="D2922" s="6" t="inlineStr">
        <is>
          <t>CRM</t>
        </is>
      </c>
      <c r="E2922" s="6" t="inlineStr">
        <is>
          <t>CRM</t>
        </is>
      </c>
      <c r="F2922" s="6" t="inlineStr">
        <is>
          <t>-</t>
        </is>
      </c>
      <c r="G2922" s="7" t="n">
        <v>286.7879028320312</v>
      </c>
      <c r="H2922" s="6">
        <f>P2891</f>
        <v/>
      </c>
      <c r="I2922" s="9">
        <f>Q2891</f>
        <v/>
      </c>
      <c r="J2922" s="7">
        <f>I2922*G2922</f>
        <v/>
      </c>
      <c r="K2922" s="8">
        <f>IF($J$2946=0,0,J2922/$J$2946)</f>
        <v/>
      </c>
      <c r="L2922" s="6" t="inlineStr">
        <is>
          <t>REJECTED</t>
        </is>
      </c>
      <c r="M2922" s="8" t="n">
        <v>0</v>
      </c>
      <c r="N2922" s="7">
        <f>M2922*$J$2946-J2922</f>
        <v/>
      </c>
      <c r="O2922" s="9">
        <f>IF(G2922=0,0,N2922/G2922)</f>
        <v/>
      </c>
      <c r="P2922" s="6">
        <f>IF(M2922&gt;0,D2922,"")</f>
        <v/>
      </c>
      <c r="Q2922" s="9">
        <f>I2922+O2922</f>
        <v/>
      </c>
      <c r="R2922" s="7">
        <f>Q2922*G2922</f>
        <v/>
      </c>
      <c r="S2922" s="8">
        <f>IF($R$2946=0,0,R2922/$R$2946)</f>
        <v/>
      </c>
      <c r="T2922" s="8" t="n">
        <v>-0.03872545968618446</v>
      </c>
      <c r="U2922" s="8" t="n">
        <v>-0.02658106287312934</v>
      </c>
      <c r="V2922" s="6" t="inlineStr">
        <is>
          <t>not selected</t>
        </is>
      </c>
    </row>
    <row r="2923">
      <c r="A2923" s="6" t="inlineStr">
        <is>
          <t>DJ30</t>
        </is>
      </c>
      <c r="B2923" s="6" t="inlineStr">
        <is>
          <t>2024-10-25</t>
        </is>
      </c>
      <c r="C2923" s="6" t="inlineStr">
        <is>
          <t>DIA</t>
        </is>
      </c>
      <c r="D2923" s="6" t="inlineStr">
        <is>
          <t>CSCO</t>
        </is>
      </c>
      <c r="E2923" s="6" t="inlineStr">
        <is>
          <t>CSCO</t>
        </is>
      </c>
      <c r="F2923" s="6" t="inlineStr">
        <is>
          <t>-</t>
        </is>
      </c>
      <c r="G2923" s="7" t="n">
        <v>53.75819396972656</v>
      </c>
      <c r="H2923" s="6">
        <f>P2892</f>
        <v/>
      </c>
      <c r="I2923" s="9">
        <f>Q2892</f>
        <v/>
      </c>
      <c r="J2923" s="7">
        <f>I2923*G2923</f>
        <v/>
      </c>
      <c r="K2923" s="8">
        <f>IF($J$2946=0,0,J2923/$J$2946)</f>
        <v/>
      </c>
      <c r="L2923" s="6" t="inlineStr">
        <is>
          <t>REJECTED</t>
        </is>
      </c>
      <c r="M2923" s="8" t="n">
        <v>0</v>
      </c>
      <c r="N2923" s="7">
        <f>M2923*$J$2946-J2923</f>
        <v/>
      </c>
      <c r="O2923" s="9">
        <f>IF(G2923=0,0,N2923/G2923)</f>
        <v/>
      </c>
      <c r="P2923" s="6">
        <f>IF(M2923&gt;0,D2923,"")</f>
        <v/>
      </c>
      <c r="Q2923" s="9">
        <f>I2923+O2923</f>
        <v/>
      </c>
      <c r="R2923" s="7">
        <f>Q2923*G2923</f>
        <v/>
      </c>
      <c r="S2923" s="8">
        <f>IF($R$2946=0,0,R2923/$R$2946)</f>
        <v/>
      </c>
      <c r="T2923" s="8" t="n">
        <v>-0.03872545968618446</v>
      </c>
      <c r="U2923" s="8" t="n">
        <v>-0.02658106287312934</v>
      </c>
      <c r="V2923" s="6" t="inlineStr">
        <is>
          <t>not selected</t>
        </is>
      </c>
    </row>
    <row r="2924">
      <c r="A2924" s="6" t="inlineStr">
        <is>
          <t>DJ30</t>
        </is>
      </c>
      <c r="B2924" s="6" t="inlineStr">
        <is>
          <t>2024-10-25</t>
        </is>
      </c>
      <c r="C2924" s="6" t="inlineStr">
        <is>
          <t>DIA</t>
        </is>
      </c>
      <c r="D2924" s="6" t="inlineStr">
        <is>
          <t>CVX</t>
        </is>
      </c>
      <c r="E2924" s="6" t="inlineStr">
        <is>
          <t>CVX</t>
        </is>
      </c>
      <c r="F2924" s="6" t="inlineStr">
        <is>
          <t>-</t>
        </is>
      </c>
      <c r="G2924" s="7" t="n">
        <v>140.0087127685547</v>
      </c>
      <c r="H2924" s="6">
        <f>P2893</f>
        <v/>
      </c>
      <c r="I2924" s="9">
        <f>Q2893</f>
        <v/>
      </c>
      <c r="J2924" s="7">
        <f>I2924*G2924</f>
        <v/>
      </c>
      <c r="K2924" s="8">
        <f>IF($J$2946=0,0,J2924/$J$2946)</f>
        <v/>
      </c>
      <c r="L2924" s="6" t="inlineStr">
        <is>
          <t>REJECTED</t>
        </is>
      </c>
      <c r="M2924" s="8" t="n">
        <v>0</v>
      </c>
      <c r="N2924" s="7">
        <f>M2924*$J$2946-J2924</f>
        <v/>
      </c>
      <c r="O2924" s="9">
        <f>IF(G2924=0,0,N2924/G2924)</f>
        <v/>
      </c>
      <c r="P2924" s="6">
        <f>IF(M2924&gt;0,D2924,"")</f>
        <v/>
      </c>
      <c r="Q2924" s="9">
        <f>I2924+O2924</f>
        <v/>
      </c>
      <c r="R2924" s="7">
        <f>Q2924*G2924</f>
        <v/>
      </c>
      <c r="S2924" s="8">
        <f>IF($R$2946=0,0,R2924/$R$2946)</f>
        <v/>
      </c>
      <c r="T2924" s="8" t="n">
        <v>-0.03872545968618446</v>
      </c>
      <c r="U2924" s="8" t="n">
        <v>-0.02658106287312934</v>
      </c>
      <c r="V2924" s="6" t="inlineStr">
        <is>
          <t>not selected</t>
        </is>
      </c>
    </row>
    <row r="2925">
      <c r="A2925" s="6" t="inlineStr">
        <is>
          <t>DJ30</t>
        </is>
      </c>
      <c r="B2925" s="6" t="inlineStr">
        <is>
          <t>2024-10-25</t>
        </is>
      </c>
      <c r="C2925" s="6" t="inlineStr">
        <is>
          <t>DIA</t>
        </is>
      </c>
      <c r="D2925" s="6" t="inlineStr">
        <is>
          <t>DIS</t>
        </is>
      </c>
      <c r="E2925" s="6" t="inlineStr">
        <is>
          <t>DIS</t>
        </is>
      </c>
      <c r="F2925" s="6" t="inlineStr">
        <is>
          <t>-</t>
        </is>
      </c>
      <c r="G2925" s="7" t="n">
        <v>93.57589721679688</v>
      </c>
      <c r="H2925" s="6">
        <f>P2894</f>
        <v/>
      </c>
      <c r="I2925" s="9">
        <f>Q2894</f>
        <v/>
      </c>
      <c r="J2925" s="7">
        <f>I2925*G2925</f>
        <v/>
      </c>
      <c r="K2925" s="8">
        <f>IF($J$2946=0,0,J2925/$J$2946)</f>
        <v/>
      </c>
      <c r="L2925" s="6" t="inlineStr">
        <is>
          <t>REJECTED</t>
        </is>
      </c>
      <c r="M2925" s="8" t="n">
        <v>0</v>
      </c>
      <c r="N2925" s="7">
        <f>M2925*$J$2946-J2925</f>
        <v/>
      </c>
      <c r="O2925" s="9">
        <f>IF(G2925=0,0,N2925/G2925)</f>
        <v/>
      </c>
      <c r="P2925" s="6">
        <f>IF(M2925&gt;0,D2925,"")</f>
        <v/>
      </c>
      <c r="Q2925" s="9">
        <f>I2925+O2925</f>
        <v/>
      </c>
      <c r="R2925" s="7">
        <f>Q2925*G2925</f>
        <v/>
      </c>
      <c r="S2925" s="8">
        <f>IF($R$2946=0,0,R2925/$R$2946)</f>
        <v/>
      </c>
      <c r="T2925" s="8" t="n">
        <v>-0.03872545968618446</v>
      </c>
      <c r="U2925" s="8" t="n">
        <v>-0.02658106287312934</v>
      </c>
      <c r="V2925" s="6" t="inlineStr">
        <is>
          <t>not selected</t>
        </is>
      </c>
    </row>
    <row r="2926">
      <c r="A2926" s="6" t="inlineStr">
        <is>
          <t>DJ30</t>
        </is>
      </c>
      <c r="B2926" s="6" t="inlineStr">
        <is>
          <t>2024-10-25</t>
        </is>
      </c>
      <c r="C2926" s="6" t="inlineStr">
        <is>
          <t>DIA</t>
        </is>
      </c>
      <c r="D2926" s="6" t="inlineStr">
        <is>
          <t>GS</t>
        </is>
      </c>
      <c r="E2926" s="6" t="inlineStr">
        <is>
          <t>GS</t>
        </is>
      </c>
      <c r="F2926" s="6" t="inlineStr">
        <is>
          <t>-</t>
        </is>
      </c>
      <c r="G2926" s="7" t="n">
        <v>495.0727844238281</v>
      </c>
      <c r="H2926" s="6">
        <f>P2895</f>
        <v/>
      </c>
      <c r="I2926" s="9">
        <f>Q2895</f>
        <v/>
      </c>
      <c r="J2926" s="7">
        <f>I2926*G2926</f>
        <v/>
      </c>
      <c r="K2926" s="8">
        <f>IF($J$2946=0,0,J2926/$J$2946)</f>
        <v/>
      </c>
      <c r="L2926" s="6" t="inlineStr">
        <is>
          <t>WATCHLIST</t>
        </is>
      </c>
      <c r="M2926" s="8" t="n">
        <v>0</v>
      </c>
      <c r="N2926" s="7">
        <f>M2926*$J$2946-J2926</f>
        <v/>
      </c>
      <c r="O2926" s="9">
        <f>IF(G2926=0,0,N2926/G2926)</f>
        <v/>
      </c>
      <c r="P2926" s="6">
        <f>IF(M2926&gt;0,D2926,"")</f>
        <v/>
      </c>
      <c r="Q2926" s="9">
        <f>I2926+O2926</f>
        <v/>
      </c>
      <c r="R2926" s="7">
        <f>Q2926*G2926</f>
        <v/>
      </c>
      <c r="S2926" s="8">
        <f>IF($R$2946=0,0,R2926/$R$2946)</f>
        <v/>
      </c>
      <c r="T2926" s="8" t="n">
        <v>-0.03872545968618446</v>
      </c>
      <c r="U2926" s="8" t="n">
        <v>-0.02658106287312934</v>
      </c>
      <c r="V2926" s="6" t="inlineStr">
        <is>
          <t>not selected</t>
        </is>
      </c>
    </row>
    <row r="2927">
      <c r="A2927" s="6" t="inlineStr">
        <is>
          <t>DJ30</t>
        </is>
      </c>
      <c r="B2927" s="6" t="inlineStr">
        <is>
          <t>2024-10-25</t>
        </is>
      </c>
      <c r="C2927" s="6" t="inlineStr">
        <is>
          <t>DIA</t>
        </is>
      </c>
      <c r="D2927" s="6" t="inlineStr">
        <is>
          <t>HD</t>
        </is>
      </c>
      <c r="E2927" s="6" t="inlineStr">
        <is>
          <t>HD</t>
        </is>
      </c>
      <c r="F2927" s="6" t="inlineStr">
        <is>
          <t>-</t>
        </is>
      </c>
      <c r="G2927" s="7" t="n">
        <v>381.7332763671875</v>
      </c>
      <c r="H2927" s="6">
        <f>P2896</f>
        <v/>
      </c>
      <c r="I2927" s="9">
        <f>Q2896</f>
        <v/>
      </c>
      <c r="J2927" s="7">
        <f>I2927*G2927</f>
        <v/>
      </c>
      <c r="K2927" s="8">
        <f>IF($J$2946=0,0,J2927/$J$2946)</f>
        <v/>
      </c>
      <c r="L2927" s="6" t="inlineStr">
        <is>
          <t>WATCHLIST</t>
        </is>
      </c>
      <c r="M2927" s="8" t="n">
        <v>0</v>
      </c>
      <c r="N2927" s="7">
        <f>M2927*$J$2946-J2927</f>
        <v/>
      </c>
      <c r="O2927" s="9">
        <f>IF(G2927=0,0,N2927/G2927)</f>
        <v/>
      </c>
      <c r="P2927" s="6">
        <f>IF(M2927&gt;0,D2927,"")</f>
        <v/>
      </c>
      <c r="Q2927" s="9">
        <f>I2927+O2927</f>
        <v/>
      </c>
      <c r="R2927" s="7">
        <f>Q2927*G2927</f>
        <v/>
      </c>
      <c r="S2927" s="8">
        <f>IF($R$2946=0,0,R2927/$R$2946)</f>
        <v/>
      </c>
      <c r="T2927" s="8" t="n">
        <v>-0.03872545968618446</v>
      </c>
      <c r="U2927" s="8" t="n">
        <v>-0.02658106287312934</v>
      </c>
      <c r="V2927" s="6" t="inlineStr">
        <is>
          <t>not selected</t>
        </is>
      </c>
    </row>
    <row r="2928">
      <c r="A2928" s="6" t="inlineStr">
        <is>
          <t>DJ30</t>
        </is>
      </c>
      <c r="B2928" s="6" t="inlineStr">
        <is>
          <t>2024-10-25</t>
        </is>
      </c>
      <c r="C2928" s="6" t="inlineStr">
        <is>
          <t>DIA</t>
        </is>
      </c>
      <c r="D2928" s="6" t="inlineStr">
        <is>
          <t>HON</t>
        </is>
      </c>
      <c r="E2928" s="6" t="inlineStr">
        <is>
          <t>HON</t>
        </is>
      </c>
      <c r="F2928" s="6" t="inlineStr">
        <is>
          <t>-</t>
        </is>
      </c>
      <c r="G2928" s="7" t="n">
        <v>188.9314575195312</v>
      </c>
      <c r="H2928" s="6">
        <f>P2897</f>
        <v/>
      </c>
      <c r="I2928" s="9">
        <f>Q2897</f>
        <v/>
      </c>
      <c r="J2928" s="7">
        <f>I2928*G2928</f>
        <v/>
      </c>
      <c r="K2928" s="8">
        <f>IF($J$2946=0,0,J2928/$J$2946)</f>
        <v/>
      </c>
      <c r="L2928" s="6" t="inlineStr">
        <is>
          <t>WATCHLIST</t>
        </is>
      </c>
      <c r="M2928" s="8" t="n">
        <v>0</v>
      </c>
      <c r="N2928" s="7">
        <f>M2928*$J$2946-J2928</f>
        <v/>
      </c>
      <c r="O2928" s="9">
        <f>IF(G2928=0,0,N2928/G2928)</f>
        <v/>
      </c>
      <c r="P2928" s="6">
        <f>IF(M2928&gt;0,D2928,"")</f>
        <v/>
      </c>
      <c r="Q2928" s="9">
        <f>I2928+O2928</f>
        <v/>
      </c>
      <c r="R2928" s="7">
        <f>Q2928*G2928</f>
        <v/>
      </c>
      <c r="S2928" s="8">
        <f>IF($R$2946=0,0,R2928/$R$2946)</f>
        <v/>
      </c>
      <c r="T2928" s="8" t="n">
        <v>-0.03872545968618446</v>
      </c>
      <c r="U2928" s="8" t="n">
        <v>-0.02658106287312934</v>
      </c>
      <c r="V2928" s="6" t="inlineStr">
        <is>
          <t>not selected</t>
        </is>
      </c>
    </row>
    <row r="2929">
      <c r="A2929" s="6" t="inlineStr">
        <is>
          <t>DJ30</t>
        </is>
      </c>
      <c r="B2929" s="6" t="inlineStr">
        <is>
          <t>2024-10-25</t>
        </is>
      </c>
      <c r="C2929" s="6" t="inlineStr">
        <is>
          <t>DIA</t>
        </is>
      </c>
      <c r="D2929" s="6" t="inlineStr">
        <is>
          <t>IBM</t>
        </is>
      </c>
      <c r="E2929" s="6" t="inlineStr">
        <is>
          <t>IBM</t>
        </is>
      </c>
      <c r="F2929" s="6" t="inlineStr">
        <is>
          <t>-</t>
        </is>
      </c>
      <c r="G2929" s="7" t="n">
        <v>204.9413909912109</v>
      </c>
      <c r="H2929" s="6">
        <f>P2898</f>
        <v/>
      </c>
      <c r="I2929" s="9">
        <f>Q2898</f>
        <v/>
      </c>
      <c r="J2929" s="7">
        <f>I2929*G2929</f>
        <v/>
      </c>
      <c r="K2929" s="8">
        <f>IF($J$2946=0,0,J2929/$J$2946)</f>
        <v/>
      </c>
      <c r="L2929" s="6" t="inlineStr">
        <is>
          <t>WATCHLIST</t>
        </is>
      </c>
      <c r="M2929" s="8" t="n">
        <v>0</v>
      </c>
      <c r="N2929" s="7">
        <f>M2929*$J$2946-J2929</f>
        <v/>
      </c>
      <c r="O2929" s="9">
        <f>IF(G2929=0,0,N2929/G2929)</f>
        <v/>
      </c>
      <c r="P2929" s="6">
        <f>IF(M2929&gt;0,D2929,"")</f>
        <v/>
      </c>
      <c r="Q2929" s="9">
        <f>I2929+O2929</f>
        <v/>
      </c>
      <c r="R2929" s="7">
        <f>Q2929*G2929</f>
        <v/>
      </c>
      <c r="S2929" s="8">
        <f>IF($R$2946=0,0,R2929/$R$2946)</f>
        <v/>
      </c>
      <c r="T2929" s="8" t="n">
        <v>-0.03872545968618446</v>
      </c>
      <c r="U2929" s="8" t="n">
        <v>-0.02658106287312934</v>
      </c>
      <c r="V2929" s="6" t="inlineStr">
        <is>
          <t>not selected</t>
        </is>
      </c>
    </row>
    <row r="2930">
      <c r="A2930" s="6" t="inlineStr">
        <is>
          <t>DJ30</t>
        </is>
      </c>
      <c r="B2930" s="6" t="inlineStr">
        <is>
          <t>2024-10-25</t>
        </is>
      </c>
      <c r="C2930" s="6" t="inlineStr">
        <is>
          <t>DIA</t>
        </is>
      </c>
      <c r="D2930" s="6" t="inlineStr">
        <is>
          <t>JNJ</t>
        </is>
      </c>
      <c r="E2930" s="6" t="inlineStr">
        <is>
          <t>JNJ</t>
        </is>
      </c>
      <c r="F2930" s="6" t="inlineStr">
        <is>
          <t>-</t>
        </is>
      </c>
      <c r="G2930" s="7" t="n">
        <v>153.1593322753906</v>
      </c>
      <c r="H2930" s="6">
        <f>P2899</f>
        <v/>
      </c>
      <c r="I2930" s="9">
        <f>Q2899</f>
        <v/>
      </c>
      <c r="J2930" s="7">
        <f>I2930*G2930</f>
        <v/>
      </c>
      <c r="K2930" s="8">
        <f>IF($J$2946=0,0,J2930/$J$2946)</f>
        <v/>
      </c>
      <c r="L2930" s="6" t="inlineStr">
        <is>
          <t>REJECTED</t>
        </is>
      </c>
      <c r="M2930" s="8" t="n">
        <v>0</v>
      </c>
      <c r="N2930" s="7">
        <f>M2930*$J$2946-J2930</f>
        <v/>
      </c>
      <c r="O2930" s="9">
        <f>IF(G2930=0,0,N2930/G2930)</f>
        <v/>
      </c>
      <c r="P2930" s="6">
        <f>IF(M2930&gt;0,D2930,"")</f>
        <v/>
      </c>
      <c r="Q2930" s="9">
        <f>I2930+O2930</f>
        <v/>
      </c>
      <c r="R2930" s="7">
        <f>Q2930*G2930</f>
        <v/>
      </c>
      <c r="S2930" s="8">
        <f>IF($R$2946=0,0,R2930/$R$2946)</f>
        <v/>
      </c>
      <c r="T2930" s="8" t="n">
        <v>-0.03872545968618446</v>
      </c>
      <c r="U2930" s="8" t="n">
        <v>-0.02658106287312934</v>
      </c>
      <c r="V2930" s="6" t="inlineStr">
        <is>
          <t>not selected</t>
        </is>
      </c>
    </row>
    <row r="2931">
      <c r="A2931" s="6" t="inlineStr">
        <is>
          <t>DJ30</t>
        </is>
      </c>
      <c r="B2931" s="6" t="inlineStr">
        <is>
          <t>2024-10-25</t>
        </is>
      </c>
      <c r="C2931" s="6" t="inlineStr">
        <is>
          <t>DIA</t>
        </is>
      </c>
      <c r="D2931" s="6" t="inlineStr">
        <is>
          <t>JPM</t>
        </is>
      </c>
      <c r="E2931" s="6" t="inlineStr">
        <is>
          <t>JPM</t>
        </is>
      </c>
      <c r="F2931" s="6" t="inlineStr">
        <is>
          <t>-</t>
        </is>
      </c>
      <c r="G2931" s="7" t="n">
        <v>215.6204223632812</v>
      </c>
      <c r="H2931" s="6">
        <f>P2900</f>
        <v/>
      </c>
      <c r="I2931" s="9">
        <f>Q2900</f>
        <v/>
      </c>
      <c r="J2931" s="7">
        <f>I2931*G2931</f>
        <v/>
      </c>
      <c r="K2931" s="8">
        <f>IF($J$2946=0,0,J2931/$J$2946)</f>
        <v/>
      </c>
      <c r="L2931" s="6" t="inlineStr">
        <is>
          <t>WATCHLIST</t>
        </is>
      </c>
      <c r="M2931" s="8" t="n">
        <v>0</v>
      </c>
      <c r="N2931" s="7">
        <f>M2931*$J$2946-J2931</f>
        <v/>
      </c>
      <c r="O2931" s="9">
        <f>IF(G2931=0,0,N2931/G2931)</f>
        <v/>
      </c>
      <c r="P2931" s="6">
        <f>IF(M2931&gt;0,D2931,"")</f>
        <v/>
      </c>
      <c r="Q2931" s="9">
        <f>I2931+O2931</f>
        <v/>
      </c>
      <c r="R2931" s="7">
        <f>Q2931*G2931</f>
        <v/>
      </c>
      <c r="S2931" s="8">
        <f>IF($R$2946=0,0,R2931/$R$2946)</f>
        <v/>
      </c>
      <c r="T2931" s="8" t="n">
        <v>-0.03872545968618446</v>
      </c>
      <c r="U2931" s="8" t="n">
        <v>-0.02658106287312934</v>
      </c>
      <c r="V2931" s="6" t="inlineStr">
        <is>
          <t>not selected</t>
        </is>
      </c>
    </row>
    <row r="2932">
      <c r="A2932" s="6" t="inlineStr">
        <is>
          <t>DJ30</t>
        </is>
      </c>
      <c r="B2932" s="6" t="inlineStr">
        <is>
          <t>2024-10-25</t>
        </is>
      </c>
      <c r="C2932" s="6" t="inlineStr">
        <is>
          <t>DIA</t>
        </is>
      </c>
      <c r="D2932" s="6" t="inlineStr">
        <is>
          <t>KO</t>
        </is>
      </c>
      <c r="E2932" s="6" t="inlineStr">
        <is>
          <t>KO</t>
        </is>
      </c>
      <c r="F2932" s="6" t="inlineStr">
        <is>
          <t>-</t>
        </is>
      </c>
      <c r="G2932" s="7" t="n">
        <v>63.66133117675781</v>
      </c>
      <c r="H2932" s="6">
        <f>P2901</f>
        <v/>
      </c>
      <c r="I2932" s="9">
        <f>Q2901</f>
        <v/>
      </c>
      <c r="J2932" s="7">
        <f>I2932*G2932</f>
        <v/>
      </c>
      <c r="K2932" s="8">
        <f>IF($J$2946=0,0,J2932/$J$2946)</f>
        <v/>
      </c>
      <c r="L2932" s="6" t="inlineStr">
        <is>
          <t>WATCHLIST</t>
        </is>
      </c>
      <c r="M2932" s="8" t="n">
        <v>0</v>
      </c>
      <c r="N2932" s="7">
        <f>M2932*$J$2946-J2932</f>
        <v/>
      </c>
      <c r="O2932" s="9">
        <f>IF(G2932=0,0,N2932/G2932)</f>
        <v/>
      </c>
      <c r="P2932" s="6">
        <f>IF(M2932&gt;0,D2932,"")</f>
        <v/>
      </c>
      <c r="Q2932" s="9">
        <f>I2932+O2932</f>
        <v/>
      </c>
      <c r="R2932" s="7">
        <f>Q2932*G2932</f>
        <v/>
      </c>
      <c r="S2932" s="8">
        <f>IF($R$2946=0,0,R2932/$R$2946)</f>
        <v/>
      </c>
      <c r="T2932" s="8" t="n">
        <v>-0.03872545968618446</v>
      </c>
      <c r="U2932" s="8" t="n">
        <v>-0.02658106287312934</v>
      </c>
      <c r="V2932" s="6" t="inlineStr">
        <is>
          <t>removed from weekly selection</t>
        </is>
      </c>
    </row>
    <row r="2933">
      <c r="A2933" s="6" t="inlineStr">
        <is>
          <t>DJ30</t>
        </is>
      </c>
      <c r="B2933" s="6" t="inlineStr">
        <is>
          <t>2024-10-25</t>
        </is>
      </c>
      <c r="C2933" s="6" t="inlineStr">
        <is>
          <t>DIA</t>
        </is>
      </c>
      <c r="D2933" s="6" t="inlineStr">
        <is>
          <t>MCD</t>
        </is>
      </c>
      <c r="E2933" s="6" t="inlineStr">
        <is>
          <t>MCD</t>
        </is>
      </c>
      <c r="F2933" s="6" t="inlineStr">
        <is>
          <t>-</t>
        </is>
      </c>
      <c r="G2933" s="7" t="n">
        <v>280.7477416992188</v>
      </c>
      <c r="H2933" s="6">
        <f>P2902</f>
        <v/>
      </c>
      <c r="I2933" s="9">
        <f>Q2902</f>
        <v/>
      </c>
      <c r="J2933" s="7">
        <f>I2933*G2933</f>
        <v/>
      </c>
      <c r="K2933" s="8">
        <f>IF($J$2946=0,0,J2933/$J$2946)</f>
        <v/>
      </c>
      <c r="L2933" s="6" t="inlineStr">
        <is>
          <t>REJECTED</t>
        </is>
      </c>
      <c r="M2933" s="8" t="n">
        <v>0</v>
      </c>
      <c r="N2933" s="7">
        <f>M2933*$J$2946-J2933</f>
        <v/>
      </c>
      <c r="O2933" s="9">
        <f>IF(G2933=0,0,N2933/G2933)</f>
        <v/>
      </c>
      <c r="P2933" s="6">
        <f>IF(M2933&gt;0,D2933,"")</f>
        <v/>
      </c>
      <c r="Q2933" s="9">
        <f>I2933+O2933</f>
        <v/>
      </c>
      <c r="R2933" s="7">
        <f>Q2933*G2933</f>
        <v/>
      </c>
      <c r="S2933" s="8">
        <f>IF($R$2946=0,0,R2933/$R$2946)</f>
        <v/>
      </c>
      <c r="T2933" s="8" t="n">
        <v>-0.03872545968618446</v>
      </c>
      <c r="U2933" s="8" t="n">
        <v>-0.02658106287312934</v>
      </c>
      <c r="V2933" s="6" t="inlineStr">
        <is>
          <t>not selected</t>
        </is>
      </c>
    </row>
    <row r="2934">
      <c r="A2934" s="6" t="inlineStr">
        <is>
          <t>DJ30</t>
        </is>
      </c>
      <c r="B2934" s="6" t="inlineStr">
        <is>
          <t>2024-10-25</t>
        </is>
      </c>
      <c r="C2934" s="6" t="inlineStr">
        <is>
          <t>DIA</t>
        </is>
      </c>
      <c r="D2934" s="6" t="inlineStr">
        <is>
          <t>MMM</t>
        </is>
      </c>
      <c r="E2934" s="6" t="inlineStr">
        <is>
          <t>MMM</t>
        </is>
      </c>
      <c r="F2934" s="6" t="inlineStr">
        <is>
          <t>-</t>
        </is>
      </c>
      <c r="G2934" s="7" t="n">
        <v>120.6227722167969</v>
      </c>
      <c r="H2934" s="6">
        <f>P2903</f>
        <v/>
      </c>
      <c r="I2934" s="9">
        <f>Q2903</f>
        <v/>
      </c>
      <c r="J2934" s="7">
        <f>I2934*G2934</f>
        <v/>
      </c>
      <c r="K2934" s="8">
        <f>IF($J$2946=0,0,J2934/$J$2946)</f>
        <v/>
      </c>
      <c r="L2934" s="6" t="inlineStr">
        <is>
          <t>SELECTED</t>
        </is>
      </c>
      <c r="M2934" s="8" t="n">
        <v>0.2</v>
      </c>
      <c r="N2934" s="7">
        <f>M2934*$J$2946-J2934</f>
        <v/>
      </c>
      <c r="O2934" s="9">
        <f>IF(G2934=0,0,N2934/G2934)</f>
        <v/>
      </c>
      <c r="P2934" s="6">
        <f>IF(M2934&gt;0,D2934,"")</f>
        <v/>
      </c>
      <c r="Q2934" s="9">
        <f>I2934+O2934</f>
        <v/>
      </c>
      <c r="R2934" s="7">
        <f>Q2934*G2934</f>
        <v/>
      </c>
      <c r="S2934" s="8">
        <f>IF($R$2946=0,0,R2934/$R$2946)</f>
        <v/>
      </c>
      <c r="T2934" s="8" t="n">
        <v>-0.03872545968618446</v>
      </c>
      <c r="U2934" s="8" t="n">
        <v>-0.02658106287312934</v>
      </c>
      <c r="V2934" s="6" t="inlineStr">
        <is>
          <t>remained in weekly selection</t>
        </is>
      </c>
    </row>
    <row r="2935">
      <c r="A2935" s="6" t="inlineStr">
        <is>
          <t>DJ30</t>
        </is>
      </c>
      <c r="B2935" s="6" t="inlineStr">
        <is>
          <t>2024-10-25</t>
        </is>
      </c>
      <c r="C2935" s="6" t="inlineStr">
        <is>
          <t>DIA</t>
        </is>
      </c>
      <c r="D2935" s="6" t="inlineStr">
        <is>
          <t>MRK</t>
        </is>
      </c>
      <c r="E2935" s="6" t="inlineStr">
        <is>
          <t>MRK</t>
        </is>
      </c>
      <c r="F2935" s="6" t="inlineStr">
        <is>
          <t>-</t>
        </is>
      </c>
      <c r="G2935" s="7" t="n">
        <v>97.98123931884766</v>
      </c>
      <c r="H2935" s="6">
        <f>P2904</f>
        <v/>
      </c>
      <c r="I2935" s="9">
        <f>Q2904</f>
        <v/>
      </c>
      <c r="J2935" s="7">
        <f>I2935*G2935</f>
        <v/>
      </c>
      <c r="K2935" s="8">
        <f>IF($J$2946=0,0,J2935/$J$2946)</f>
        <v/>
      </c>
      <c r="L2935" s="6" t="inlineStr">
        <is>
          <t>REJECTED</t>
        </is>
      </c>
      <c r="M2935" s="8" t="n">
        <v>0</v>
      </c>
      <c r="N2935" s="7">
        <f>M2935*$J$2946-J2935</f>
        <v/>
      </c>
      <c r="O2935" s="9">
        <f>IF(G2935=0,0,N2935/G2935)</f>
        <v/>
      </c>
      <c r="P2935" s="6">
        <f>IF(M2935&gt;0,D2935,"")</f>
        <v/>
      </c>
      <c r="Q2935" s="9">
        <f>I2935+O2935</f>
        <v/>
      </c>
      <c r="R2935" s="7">
        <f>Q2935*G2935</f>
        <v/>
      </c>
      <c r="S2935" s="8">
        <f>IF($R$2946=0,0,R2935/$R$2946)</f>
        <v/>
      </c>
      <c r="T2935" s="8" t="n">
        <v>-0.03872545968618446</v>
      </c>
      <c r="U2935" s="8" t="n">
        <v>-0.02658106287312934</v>
      </c>
      <c r="V2935" s="6" t="inlineStr">
        <is>
          <t>not selected</t>
        </is>
      </c>
    </row>
    <row r="2936">
      <c r="A2936" s="6" t="inlineStr">
        <is>
          <t>DJ30</t>
        </is>
      </c>
      <c r="B2936" s="6" t="inlineStr">
        <is>
          <t>2024-10-25</t>
        </is>
      </c>
      <c r="C2936" s="6" t="inlineStr">
        <is>
          <t>DIA</t>
        </is>
      </c>
      <c r="D2936" s="6" t="inlineStr">
        <is>
          <t>MSFT</t>
        </is>
      </c>
      <c r="E2936" s="6" t="inlineStr">
        <is>
          <t>MSFT</t>
        </is>
      </c>
      <c r="F2936" s="6" t="inlineStr">
        <is>
          <t>-</t>
        </is>
      </c>
      <c r="G2936" s="7" t="n">
        <v>422.2851257324219</v>
      </c>
      <c r="H2936" s="6">
        <f>P2905</f>
        <v/>
      </c>
      <c r="I2936" s="9">
        <f>Q2905</f>
        <v/>
      </c>
      <c r="J2936" s="7">
        <f>I2936*G2936</f>
        <v/>
      </c>
      <c r="K2936" s="8">
        <f>IF($J$2946=0,0,J2936/$J$2946)</f>
        <v/>
      </c>
      <c r="L2936" s="6" t="inlineStr">
        <is>
          <t>WATCHLIST</t>
        </is>
      </c>
      <c r="M2936" s="8" t="n">
        <v>0</v>
      </c>
      <c r="N2936" s="7">
        <f>M2936*$J$2946-J2936</f>
        <v/>
      </c>
      <c r="O2936" s="9">
        <f>IF(G2936=0,0,N2936/G2936)</f>
        <v/>
      </c>
      <c r="P2936" s="6">
        <f>IF(M2936&gt;0,D2936,"")</f>
        <v/>
      </c>
      <c r="Q2936" s="9">
        <f>I2936+O2936</f>
        <v/>
      </c>
      <c r="R2936" s="7">
        <f>Q2936*G2936</f>
        <v/>
      </c>
      <c r="S2936" s="8">
        <f>IF($R$2946=0,0,R2936/$R$2946)</f>
        <v/>
      </c>
      <c r="T2936" s="8" t="n">
        <v>-0.03872545968618446</v>
      </c>
      <c r="U2936" s="8" t="n">
        <v>-0.02658106287312934</v>
      </c>
      <c r="V2936" s="6" t="inlineStr">
        <is>
          <t>not selected</t>
        </is>
      </c>
    </row>
    <row r="2937">
      <c r="A2937" s="6" t="inlineStr">
        <is>
          <t>DJ30</t>
        </is>
      </c>
      <c r="B2937" s="6" t="inlineStr">
        <is>
          <t>2024-10-25</t>
        </is>
      </c>
      <c r="C2937" s="6" t="inlineStr">
        <is>
          <t>DIA</t>
        </is>
      </c>
      <c r="D2937" s="6" t="inlineStr">
        <is>
          <t>NKE</t>
        </is>
      </c>
      <c r="E2937" s="6" t="inlineStr">
        <is>
          <t>NKE</t>
        </is>
      </c>
      <c r="F2937" s="6" t="inlineStr">
        <is>
          <t>-</t>
        </is>
      </c>
      <c r="G2937" s="7" t="n">
        <v>75.46829986572266</v>
      </c>
      <c r="H2937" s="6">
        <f>P2906</f>
        <v/>
      </c>
      <c r="I2937" s="9">
        <f>Q2906</f>
        <v/>
      </c>
      <c r="J2937" s="7">
        <f>I2937*G2937</f>
        <v/>
      </c>
      <c r="K2937" s="8">
        <f>IF($J$2946=0,0,J2937/$J$2946)</f>
        <v/>
      </c>
      <c r="L2937" s="6" t="inlineStr">
        <is>
          <t>REJECTED</t>
        </is>
      </c>
      <c r="M2937" s="8" t="n">
        <v>0</v>
      </c>
      <c r="N2937" s="7">
        <f>M2937*$J$2946-J2937</f>
        <v/>
      </c>
      <c r="O2937" s="9">
        <f>IF(G2937=0,0,N2937/G2937)</f>
        <v/>
      </c>
      <c r="P2937" s="6">
        <f>IF(M2937&gt;0,D2937,"")</f>
        <v/>
      </c>
      <c r="Q2937" s="9">
        <f>I2937+O2937</f>
        <v/>
      </c>
      <c r="R2937" s="7">
        <f>Q2937*G2937</f>
        <v/>
      </c>
      <c r="S2937" s="8">
        <f>IF($R$2946=0,0,R2937/$R$2946)</f>
        <v/>
      </c>
      <c r="T2937" s="8" t="n">
        <v>-0.03872545968618446</v>
      </c>
      <c r="U2937" s="8" t="n">
        <v>-0.02658106287312934</v>
      </c>
      <c r="V2937" s="6" t="inlineStr">
        <is>
          <t>not selected</t>
        </is>
      </c>
    </row>
    <row r="2938">
      <c r="A2938" s="6" t="inlineStr">
        <is>
          <t>DJ30</t>
        </is>
      </c>
      <c r="B2938" s="6" t="inlineStr">
        <is>
          <t>2024-10-25</t>
        </is>
      </c>
      <c r="C2938" s="6" t="inlineStr">
        <is>
          <t>DIA</t>
        </is>
      </c>
      <c r="D2938" s="6" t="inlineStr">
        <is>
          <t>NVDA</t>
        </is>
      </c>
      <c r="E2938" s="6" t="inlineStr">
        <is>
          <t>NVDA</t>
        </is>
      </c>
      <c r="F2938" s="6" t="inlineStr">
        <is>
          <t>-</t>
        </is>
      </c>
      <c r="G2938" s="7" t="n">
        <v>141.3191833496094</v>
      </c>
      <c r="H2938" s="6">
        <f>P2907</f>
        <v/>
      </c>
      <c r="I2938" s="9">
        <f>Q2907</f>
        <v/>
      </c>
      <c r="J2938" s="7">
        <f>I2938*G2938</f>
        <v/>
      </c>
      <c r="K2938" s="8">
        <f>IF($J$2946=0,0,J2938/$J$2946)</f>
        <v/>
      </c>
      <c r="L2938" s="6" t="inlineStr">
        <is>
          <t>SELECTED</t>
        </is>
      </c>
      <c r="M2938" s="8" t="n">
        <v>0.2</v>
      </c>
      <c r="N2938" s="7">
        <f>M2938*$J$2946-J2938</f>
        <v/>
      </c>
      <c r="O2938" s="9">
        <f>IF(G2938=0,0,N2938/G2938)</f>
        <v/>
      </c>
      <c r="P2938" s="6">
        <f>IF(M2938&gt;0,D2938,"")</f>
        <v/>
      </c>
      <c r="Q2938" s="9">
        <f>I2938+O2938</f>
        <v/>
      </c>
      <c r="R2938" s="7">
        <f>Q2938*G2938</f>
        <v/>
      </c>
      <c r="S2938" s="8">
        <f>IF($R$2946=0,0,R2938/$R$2946)</f>
        <v/>
      </c>
      <c r="T2938" s="8" t="n">
        <v>-0.03872545968618446</v>
      </c>
      <c r="U2938" s="8" t="n">
        <v>-0.02658106287312934</v>
      </c>
      <c r="V2938" s="6" t="inlineStr">
        <is>
          <t>remained in weekly selection</t>
        </is>
      </c>
    </row>
    <row r="2939">
      <c r="A2939" s="6" t="inlineStr">
        <is>
          <t>DJ30</t>
        </is>
      </c>
      <c r="B2939" s="6" t="inlineStr">
        <is>
          <t>2024-10-25</t>
        </is>
      </c>
      <c r="C2939" s="6" t="inlineStr">
        <is>
          <t>DIA</t>
        </is>
      </c>
      <c r="D2939" s="6" t="inlineStr">
        <is>
          <t>PG</t>
        </is>
      </c>
      <c r="E2939" s="6" t="inlineStr">
        <is>
          <t>PG</t>
        </is>
      </c>
      <c r="F2939" s="6" t="inlineStr">
        <is>
          <t>-</t>
        </is>
      </c>
      <c r="G2939" s="7" t="n">
        <v>161.5183563232422</v>
      </c>
      <c r="H2939" s="6">
        <f>P2908</f>
        <v/>
      </c>
      <c r="I2939" s="9">
        <f>Q2908</f>
        <v/>
      </c>
      <c r="J2939" s="7">
        <f>I2939*G2939</f>
        <v/>
      </c>
      <c r="K2939" s="8">
        <f>IF($J$2946=0,0,J2939/$J$2946)</f>
        <v/>
      </c>
      <c r="L2939" s="6" t="inlineStr">
        <is>
          <t>SELECTED</t>
        </is>
      </c>
      <c r="M2939" s="8" t="n">
        <v>0.2</v>
      </c>
      <c r="N2939" s="7">
        <f>M2939*$J$2946-J2939</f>
        <v/>
      </c>
      <c r="O2939" s="9">
        <f>IF(G2939=0,0,N2939/G2939)</f>
        <v/>
      </c>
      <c r="P2939" s="6">
        <f>IF(M2939&gt;0,D2939,"")</f>
        <v/>
      </c>
      <c r="Q2939" s="9">
        <f>I2939+O2939</f>
        <v/>
      </c>
      <c r="R2939" s="7">
        <f>Q2939*G2939</f>
        <v/>
      </c>
      <c r="S2939" s="8">
        <f>IF($R$2946=0,0,R2939/$R$2946)</f>
        <v/>
      </c>
      <c r="T2939" s="8" t="n">
        <v>-0.03872545968618446</v>
      </c>
      <c r="U2939" s="8" t="n">
        <v>-0.02658106287312934</v>
      </c>
      <c r="V2939" s="6" t="inlineStr">
        <is>
          <t>entered weekly selection</t>
        </is>
      </c>
    </row>
    <row r="2940">
      <c r="A2940" s="6" t="inlineStr">
        <is>
          <t>DJ30</t>
        </is>
      </c>
      <c r="B2940" s="6" t="inlineStr">
        <is>
          <t>2024-10-25</t>
        </is>
      </c>
      <c r="C2940" s="6" t="inlineStr">
        <is>
          <t>DIA</t>
        </is>
      </c>
      <c r="D2940" s="6" t="inlineStr">
        <is>
          <t>SHW</t>
        </is>
      </c>
      <c r="E2940" s="6" t="inlineStr">
        <is>
          <t>SHW</t>
        </is>
      </c>
      <c r="F2940" s="6" t="inlineStr">
        <is>
          <t>-</t>
        </is>
      </c>
      <c r="G2940" s="7" t="n">
        <v>353.5145263671875</v>
      </c>
      <c r="H2940" s="6">
        <f>P2909</f>
        <v/>
      </c>
      <c r="I2940" s="9">
        <f>Q2909</f>
        <v/>
      </c>
      <c r="J2940" s="7">
        <f>I2940*G2940</f>
        <v/>
      </c>
      <c r="K2940" s="8">
        <f>IF($J$2946=0,0,J2940/$J$2946)</f>
        <v/>
      </c>
      <c r="L2940" s="6" t="inlineStr">
        <is>
          <t>WATCHLIST</t>
        </is>
      </c>
      <c r="M2940" s="8" t="n">
        <v>0</v>
      </c>
      <c r="N2940" s="7">
        <f>M2940*$J$2946-J2940</f>
        <v/>
      </c>
      <c r="O2940" s="9">
        <f>IF(G2940=0,0,N2940/G2940)</f>
        <v/>
      </c>
      <c r="P2940" s="6">
        <f>IF(M2940&gt;0,D2940,"")</f>
        <v/>
      </c>
      <c r="Q2940" s="9">
        <f>I2940+O2940</f>
        <v/>
      </c>
      <c r="R2940" s="7">
        <f>Q2940*G2940</f>
        <v/>
      </c>
      <c r="S2940" s="8">
        <f>IF($R$2946=0,0,R2940/$R$2946)</f>
        <v/>
      </c>
      <c r="T2940" s="8" t="n">
        <v>-0.03872545968618446</v>
      </c>
      <c r="U2940" s="8" t="n">
        <v>-0.02658106287312934</v>
      </c>
      <c r="V2940" s="6" t="inlineStr">
        <is>
          <t>not selected</t>
        </is>
      </c>
    </row>
    <row r="2941">
      <c r="A2941" s="6" t="inlineStr">
        <is>
          <t>DJ30</t>
        </is>
      </c>
      <c r="B2941" s="6" t="inlineStr">
        <is>
          <t>2024-10-25</t>
        </is>
      </c>
      <c r="C2941" s="6" t="inlineStr">
        <is>
          <t>DIA</t>
        </is>
      </c>
      <c r="D2941" s="6" t="inlineStr">
        <is>
          <t>TRV</t>
        </is>
      </c>
      <c r="E2941" s="6" t="inlineStr">
        <is>
          <t>TRV</t>
        </is>
      </c>
      <c r="F2941" s="6" t="inlineStr">
        <is>
          <t>-</t>
        </is>
      </c>
      <c r="G2941" s="7" t="n">
        <v>243.5443267822266</v>
      </c>
      <c r="H2941" s="6">
        <f>P2910</f>
        <v/>
      </c>
      <c r="I2941" s="9">
        <f>Q2910</f>
        <v/>
      </c>
      <c r="J2941" s="7">
        <f>I2941*G2941</f>
        <v/>
      </c>
      <c r="K2941" s="8">
        <f>IF($J$2946=0,0,J2941/$J$2946)</f>
        <v/>
      </c>
      <c r="L2941" s="6" t="inlineStr">
        <is>
          <t>SELECTED</t>
        </is>
      </c>
      <c r="M2941" s="8" t="n">
        <v>0.2</v>
      </c>
      <c r="N2941" s="7">
        <f>M2941*$J$2946-J2941</f>
        <v/>
      </c>
      <c r="O2941" s="9">
        <f>IF(G2941=0,0,N2941/G2941)</f>
        <v/>
      </c>
      <c r="P2941" s="6">
        <f>IF(M2941&gt;0,D2941,"")</f>
        <v/>
      </c>
      <c r="Q2941" s="9">
        <f>I2941+O2941</f>
        <v/>
      </c>
      <c r="R2941" s="7">
        <f>Q2941*G2941</f>
        <v/>
      </c>
      <c r="S2941" s="8">
        <f>IF($R$2946=0,0,R2941/$R$2946)</f>
        <v/>
      </c>
      <c r="T2941" s="8" t="n">
        <v>-0.03872545968618446</v>
      </c>
      <c r="U2941" s="8" t="n">
        <v>-0.02658106287312934</v>
      </c>
      <c r="V2941" s="6" t="inlineStr">
        <is>
          <t>remained in weekly selection</t>
        </is>
      </c>
    </row>
    <row r="2942">
      <c r="A2942" s="6" t="inlineStr">
        <is>
          <t>DJ30</t>
        </is>
      </c>
      <c r="B2942" s="6" t="inlineStr">
        <is>
          <t>2024-10-25</t>
        </is>
      </c>
      <c r="C2942" s="6" t="inlineStr">
        <is>
          <t>DIA</t>
        </is>
      </c>
      <c r="D2942" s="6" t="inlineStr">
        <is>
          <t>UNH</t>
        </is>
      </c>
      <c r="E2942" s="6" t="inlineStr">
        <is>
          <t>UNH</t>
        </is>
      </c>
      <c r="F2942" s="6" t="inlineStr">
        <is>
          <t>-</t>
        </is>
      </c>
      <c r="G2942" s="7" t="n">
        <v>541.5582275390625</v>
      </c>
      <c r="H2942" s="6">
        <f>P2911</f>
        <v/>
      </c>
      <c r="I2942" s="9">
        <f>Q2911</f>
        <v/>
      </c>
      <c r="J2942" s="7">
        <f>I2942*G2942</f>
        <v/>
      </c>
      <c r="K2942" s="8">
        <f>IF($J$2946=0,0,J2942/$J$2946)</f>
        <v/>
      </c>
      <c r="L2942" s="6" t="inlineStr">
        <is>
          <t>REJECTED</t>
        </is>
      </c>
      <c r="M2942" s="8" t="n">
        <v>0</v>
      </c>
      <c r="N2942" s="7">
        <f>M2942*$J$2946-J2942</f>
        <v/>
      </c>
      <c r="O2942" s="9">
        <f>IF(G2942=0,0,N2942/G2942)</f>
        <v/>
      </c>
      <c r="P2942" s="6">
        <f>IF(M2942&gt;0,D2942,"")</f>
        <v/>
      </c>
      <c r="Q2942" s="9">
        <f>I2942+O2942</f>
        <v/>
      </c>
      <c r="R2942" s="7">
        <f>Q2942*G2942</f>
        <v/>
      </c>
      <c r="S2942" s="8">
        <f>IF($R$2946=0,0,R2942/$R$2946)</f>
        <v/>
      </c>
      <c r="T2942" s="8" t="n">
        <v>-0.03872545968618446</v>
      </c>
      <c r="U2942" s="8" t="n">
        <v>-0.02658106287312934</v>
      </c>
      <c r="V2942" s="6" t="inlineStr">
        <is>
          <t>not selected</t>
        </is>
      </c>
    </row>
    <row r="2943">
      <c r="A2943" s="6" t="inlineStr">
        <is>
          <t>DJ30</t>
        </is>
      </c>
      <c r="B2943" s="6" t="inlineStr">
        <is>
          <t>2024-10-25</t>
        </is>
      </c>
      <c r="C2943" s="6" t="inlineStr">
        <is>
          <t>DIA</t>
        </is>
      </c>
      <c r="D2943" s="6" t="inlineStr">
        <is>
          <t>V</t>
        </is>
      </c>
      <c r="E2943" s="6" t="inlineStr">
        <is>
          <t>V</t>
        </is>
      </c>
      <c r="F2943" s="6" t="inlineStr">
        <is>
          <t>-</t>
        </is>
      </c>
      <c r="G2943" s="7" t="n">
        <v>278.061279296875</v>
      </c>
      <c r="H2943" s="6">
        <f>P2912</f>
        <v/>
      </c>
      <c r="I2943" s="9">
        <f>Q2912</f>
        <v/>
      </c>
      <c r="J2943" s="7">
        <f>I2943*G2943</f>
        <v/>
      </c>
      <c r="K2943" s="8">
        <f>IF($J$2946=0,0,J2943/$J$2946)</f>
        <v/>
      </c>
      <c r="L2943" s="6" t="inlineStr">
        <is>
          <t>WATCHLIST</t>
        </is>
      </c>
      <c r="M2943" s="8" t="n">
        <v>0</v>
      </c>
      <c r="N2943" s="7">
        <f>M2943*$J$2946-J2943</f>
        <v/>
      </c>
      <c r="O2943" s="9">
        <f>IF(G2943=0,0,N2943/G2943)</f>
        <v/>
      </c>
      <c r="P2943" s="6">
        <f>IF(M2943&gt;0,D2943,"")</f>
        <v/>
      </c>
      <c r="Q2943" s="9">
        <f>I2943+O2943</f>
        <v/>
      </c>
      <c r="R2943" s="7">
        <f>Q2943*G2943</f>
        <v/>
      </c>
      <c r="S2943" s="8">
        <f>IF($R$2946=0,0,R2943/$R$2946)</f>
        <v/>
      </c>
      <c r="T2943" s="8" t="n">
        <v>-0.03872545968618446</v>
      </c>
      <c r="U2943" s="8" t="n">
        <v>-0.02658106287312934</v>
      </c>
      <c r="V2943" s="6" t="inlineStr">
        <is>
          <t>not selected</t>
        </is>
      </c>
    </row>
    <row r="2944">
      <c r="A2944" s="6" t="inlineStr">
        <is>
          <t>DJ30</t>
        </is>
      </c>
      <c r="B2944" s="6" t="inlineStr">
        <is>
          <t>2024-10-25</t>
        </is>
      </c>
      <c r="C2944" s="6" t="inlineStr">
        <is>
          <t>DIA</t>
        </is>
      </c>
      <c r="D2944" s="6" t="inlineStr">
        <is>
          <t>VZ</t>
        </is>
      </c>
      <c r="E2944" s="6" t="inlineStr">
        <is>
          <t>VZ</t>
        </is>
      </c>
      <c r="F2944" s="6" t="inlineStr">
        <is>
          <t>-</t>
        </is>
      </c>
      <c r="G2944" s="7" t="n">
        <v>37.49042129516602</v>
      </c>
      <c r="H2944" s="6">
        <f>P2913</f>
        <v/>
      </c>
      <c r="I2944" s="9">
        <f>Q2913</f>
        <v/>
      </c>
      <c r="J2944" s="7">
        <f>I2944*G2944</f>
        <v/>
      </c>
      <c r="K2944" s="8">
        <f>IF($J$2946=0,0,J2944/$J$2946)</f>
        <v/>
      </c>
      <c r="L2944" s="6" t="inlineStr">
        <is>
          <t>WATCHLIST</t>
        </is>
      </c>
      <c r="M2944" s="8" t="n">
        <v>0</v>
      </c>
      <c r="N2944" s="7">
        <f>M2944*$J$2946-J2944</f>
        <v/>
      </c>
      <c r="O2944" s="9">
        <f>IF(G2944=0,0,N2944/G2944)</f>
        <v/>
      </c>
      <c r="P2944" s="6">
        <f>IF(M2944&gt;0,D2944,"")</f>
        <v/>
      </c>
      <c r="Q2944" s="9">
        <f>I2944+O2944</f>
        <v/>
      </c>
      <c r="R2944" s="7">
        <f>Q2944*G2944</f>
        <v/>
      </c>
      <c r="S2944" s="8">
        <f>IF($R$2946=0,0,R2944/$R$2946)</f>
        <v/>
      </c>
      <c r="T2944" s="8" t="n">
        <v>-0.03872545968618446</v>
      </c>
      <c r="U2944" s="8" t="n">
        <v>-0.02658106287312934</v>
      </c>
      <c r="V2944" s="6" t="inlineStr">
        <is>
          <t>not selected</t>
        </is>
      </c>
    </row>
    <row r="2945">
      <c r="A2945" s="6" t="inlineStr">
        <is>
          <t>DJ30</t>
        </is>
      </c>
      <c r="B2945" s="6" t="inlineStr">
        <is>
          <t>2024-10-25</t>
        </is>
      </c>
      <c r="C2945" s="6" t="inlineStr">
        <is>
          <t>DIA</t>
        </is>
      </c>
      <c r="D2945" s="6" t="inlineStr">
        <is>
          <t>WMT</t>
        </is>
      </c>
      <c r="E2945" s="6" t="inlineStr">
        <is>
          <t>WMT</t>
        </is>
      </c>
      <c r="F2945" s="6" t="inlineStr">
        <is>
          <t>-</t>
        </is>
      </c>
      <c r="G2945" s="7" t="n">
        <v>81.22500610351562</v>
      </c>
      <c r="H2945" s="6">
        <f>P2914</f>
        <v/>
      </c>
      <c r="I2945" s="9">
        <f>Q2914</f>
        <v/>
      </c>
      <c r="J2945" s="7">
        <f>I2945*G2945</f>
        <v/>
      </c>
      <c r="K2945" s="8">
        <f>IF($J$2946=0,0,J2945/$J$2946)</f>
        <v/>
      </c>
      <c r="L2945" s="6" t="inlineStr">
        <is>
          <t>WATCHLIST</t>
        </is>
      </c>
      <c r="M2945" s="8" t="n">
        <v>0</v>
      </c>
      <c r="N2945" s="7">
        <f>M2945*$J$2946-J2945</f>
        <v/>
      </c>
      <c r="O2945" s="9">
        <f>IF(G2945=0,0,N2945/G2945)</f>
        <v/>
      </c>
      <c r="P2945" s="6">
        <f>IF(M2945&gt;0,D2945,"")</f>
        <v/>
      </c>
      <c r="Q2945" s="9">
        <f>I2945+O2945</f>
        <v/>
      </c>
      <c r="R2945" s="7">
        <f>Q2945*G2945</f>
        <v/>
      </c>
      <c r="S2945" s="8">
        <f>IF($R$2946=0,0,R2945/$R$2946)</f>
        <v/>
      </c>
      <c r="T2945" s="8" t="n">
        <v>-0.03872545968618446</v>
      </c>
      <c r="U2945" s="8" t="n">
        <v>-0.02658106287312934</v>
      </c>
      <c r="V2945" s="6" t="inlineStr">
        <is>
          <t>not selected</t>
        </is>
      </c>
    </row>
    <row r="2946">
      <c r="A2946" s="10" t="inlineStr">
        <is>
          <t>DJ30</t>
        </is>
      </c>
      <c r="B2946" s="10" t="inlineStr">
        <is>
          <t>2024-10-25</t>
        </is>
      </c>
      <c r="C2946" s="10" t="inlineStr">
        <is>
          <t>DIA</t>
        </is>
      </c>
      <c r="D2946" s="10" t="inlineStr">
        <is>
          <t>Tot Portfolio</t>
        </is>
      </c>
      <c r="E2946" s="10" t="inlineStr"/>
      <c r="F2946" s="10" t="inlineStr"/>
      <c r="G2946" s="11" t="inlineStr"/>
      <c r="H2946" s="10" t="inlineStr"/>
      <c r="I2946" s="12" t="inlineStr"/>
      <c r="J2946" s="11">
        <f>SUM(J2916:J2945)</f>
        <v/>
      </c>
      <c r="K2946" s="13">
        <f>SUM(K2916:K2945)</f>
        <v/>
      </c>
      <c r="L2946" s="10" t="inlineStr">
        <is>
          <t>TOTAL</t>
        </is>
      </c>
      <c r="M2946" s="13">
        <f>SUM(M2916:M2945)</f>
        <v/>
      </c>
      <c r="N2946" s="11">
        <f>SUM(N2916:N2945)</f>
        <v/>
      </c>
      <c r="O2946" s="12">
        <f>SUM(O2916:O2945)</f>
        <v/>
      </c>
      <c r="P2946" s="10" t="inlineStr"/>
      <c r="Q2946" s="12" t="inlineStr"/>
      <c r="R2946" s="11">
        <f>SUM(R2916:R2945)</f>
        <v/>
      </c>
      <c r="S2946" s="13">
        <f>SUM(S2916:S2945)</f>
        <v/>
      </c>
      <c r="T2946" s="13" t="n">
        <v>-0.03872545968618446</v>
      </c>
      <c r="U2946" s="13" t="n">
        <v>-0.02658106287312934</v>
      </c>
      <c r="V2946" s="10" t="inlineStr"/>
    </row>
    <row r="2947">
      <c r="A2947" s="6" t="inlineStr">
        <is>
          <t>DJ30</t>
        </is>
      </c>
      <c r="B2947" s="6" t="inlineStr">
        <is>
          <t>2024-11-01</t>
        </is>
      </c>
      <c r="C2947" s="6" t="inlineStr">
        <is>
          <t>DIA</t>
        </is>
      </c>
      <c r="D2947" s="6" t="inlineStr">
        <is>
          <t>AAPL</t>
        </is>
      </c>
      <c r="E2947" s="6" t="inlineStr">
        <is>
          <t>AAPL</t>
        </is>
      </c>
      <c r="F2947" s="6" t="inlineStr">
        <is>
          <t>-</t>
        </is>
      </c>
      <c r="G2947" s="7" t="n">
        <v>221.25146484375</v>
      </c>
      <c r="H2947" s="6">
        <f>P2916</f>
        <v/>
      </c>
      <c r="I2947" s="9">
        <f>Q2916</f>
        <v/>
      </c>
      <c r="J2947" s="7">
        <f>I2947*G2947</f>
        <v/>
      </c>
      <c r="K2947" s="8">
        <f>IF($J$2977=0,0,J2947/$J$2977)</f>
        <v/>
      </c>
      <c r="L2947" s="6" t="inlineStr">
        <is>
          <t>WATCHLIST</t>
        </is>
      </c>
      <c r="M2947" s="8" t="n">
        <v>0</v>
      </c>
      <c r="N2947" s="7">
        <f>M2947*$J$2977-J2947</f>
        <v/>
      </c>
      <c r="O2947" s="9">
        <f>IF(G2947=0,0,N2947/G2947)</f>
        <v/>
      </c>
      <c r="P2947" s="6">
        <f>IF(M2947&gt;0,D2947,"")</f>
        <v/>
      </c>
      <c r="Q2947" s="9">
        <f>I2947+O2947</f>
        <v/>
      </c>
      <c r="R2947" s="7">
        <f>Q2947*G2947</f>
        <v/>
      </c>
      <c r="S2947" s="8">
        <f>IF($R$2977=0,0,R2947/$R$2977)</f>
        <v/>
      </c>
      <c r="T2947" s="8" t="n">
        <v>-0.009111056112662719</v>
      </c>
      <c r="U2947" s="8" t="n">
        <v>-0.001709560442961999</v>
      </c>
      <c r="V2947" s="6" t="inlineStr">
        <is>
          <t>not selected</t>
        </is>
      </c>
    </row>
    <row r="2948">
      <c r="A2948" s="6" t="inlineStr">
        <is>
          <t>DJ30</t>
        </is>
      </c>
      <c r="B2948" s="6" t="inlineStr">
        <is>
          <t>2024-11-01</t>
        </is>
      </c>
      <c r="C2948" s="6" t="inlineStr">
        <is>
          <t>DIA</t>
        </is>
      </c>
      <c r="D2948" s="6" t="inlineStr">
        <is>
          <t>AMGN</t>
        </is>
      </c>
      <c r="E2948" s="6" t="inlineStr">
        <is>
          <t>AMGN</t>
        </is>
      </c>
      <c r="F2948" s="6" t="inlineStr">
        <is>
          <t>-</t>
        </is>
      </c>
      <c r="G2948" s="7" t="n">
        <v>302.3106994628906</v>
      </c>
      <c r="H2948" s="6">
        <f>P2917</f>
        <v/>
      </c>
      <c r="I2948" s="9">
        <f>Q2917</f>
        <v/>
      </c>
      <c r="J2948" s="7">
        <f>I2948*G2948</f>
        <v/>
      </c>
      <c r="K2948" s="8">
        <f>IF($J$2977=0,0,J2948/$J$2977)</f>
        <v/>
      </c>
      <c r="L2948" s="6" t="inlineStr">
        <is>
          <t>WATCHLIST</t>
        </is>
      </c>
      <c r="M2948" s="8" t="n">
        <v>0</v>
      </c>
      <c r="N2948" s="7">
        <f>M2948*$J$2977-J2948</f>
        <v/>
      </c>
      <c r="O2948" s="9">
        <f>IF(G2948=0,0,N2948/G2948)</f>
        <v/>
      </c>
      <c r="P2948" s="6">
        <f>IF(M2948&gt;0,D2948,"")</f>
        <v/>
      </c>
      <c r="Q2948" s="9">
        <f>I2948+O2948</f>
        <v/>
      </c>
      <c r="R2948" s="7">
        <f>Q2948*G2948</f>
        <v/>
      </c>
      <c r="S2948" s="8">
        <f>IF($R$2977=0,0,R2948/$R$2977)</f>
        <v/>
      </c>
      <c r="T2948" s="8" t="n">
        <v>-0.009111056112662719</v>
      </c>
      <c r="U2948" s="8" t="n">
        <v>-0.001709560442961999</v>
      </c>
      <c r="V2948" s="6" t="inlineStr">
        <is>
          <t>not selected</t>
        </is>
      </c>
    </row>
    <row r="2949">
      <c r="A2949" s="6" t="inlineStr">
        <is>
          <t>DJ30</t>
        </is>
      </c>
      <c r="B2949" s="6" t="inlineStr">
        <is>
          <t>2024-11-01</t>
        </is>
      </c>
      <c r="C2949" s="6" t="inlineStr">
        <is>
          <t>DIA</t>
        </is>
      </c>
      <c r="D2949" s="6" t="inlineStr">
        <is>
          <t>AMZN</t>
        </is>
      </c>
      <c r="E2949" s="6" t="inlineStr">
        <is>
          <t>AMZN</t>
        </is>
      </c>
      <c r="F2949" s="6" t="inlineStr">
        <is>
          <t>-</t>
        </is>
      </c>
      <c r="G2949" s="7" t="n">
        <v>197.9299926757812</v>
      </c>
      <c r="H2949" s="6">
        <f>P2918</f>
        <v/>
      </c>
      <c r="I2949" s="9">
        <f>Q2918</f>
        <v/>
      </c>
      <c r="J2949" s="7">
        <f>I2949*G2949</f>
        <v/>
      </c>
      <c r="K2949" s="8">
        <f>IF($J$2977=0,0,J2949/$J$2977)</f>
        <v/>
      </c>
      <c r="L2949" s="6" t="inlineStr">
        <is>
          <t>WATCHLIST</t>
        </is>
      </c>
      <c r="M2949" s="8" t="n">
        <v>0</v>
      </c>
      <c r="N2949" s="7">
        <f>M2949*$J$2977-J2949</f>
        <v/>
      </c>
      <c r="O2949" s="9">
        <f>IF(G2949=0,0,N2949/G2949)</f>
        <v/>
      </c>
      <c r="P2949" s="6">
        <f>IF(M2949&gt;0,D2949,"")</f>
        <v/>
      </c>
      <c r="Q2949" s="9">
        <f>I2949+O2949</f>
        <v/>
      </c>
      <c r="R2949" s="7">
        <f>Q2949*G2949</f>
        <v/>
      </c>
      <c r="S2949" s="8">
        <f>IF($R$2977=0,0,R2949/$R$2977)</f>
        <v/>
      </c>
      <c r="T2949" s="8" t="n">
        <v>-0.009111056112662719</v>
      </c>
      <c r="U2949" s="8" t="n">
        <v>-0.001709560442961999</v>
      </c>
      <c r="V2949" s="6" t="inlineStr">
        <is>
          <t>not selected</t>
        </is>
      </c>
    </row>
    <row r="2950">
      <c r="A2950" s="6" t="inlineStr">
        <is>
          <t>DJ30</t>
        </is>
      </c>
      <c r="B2950" s="6" t="inlineStr">
        <is>
          <t>2024-11-01</t>
        </is>
      </c>
      <c r="C2950" s="6" t="inlineStr">
        <is>
          <t>DIA</t>
        </is>
      </c>
      <c r="D2950" s="6" t="inlineStr">
        <is>
          <t>AXP</t>
        </is>
      </c>
      <c r="E2950" s="6" t="inlineStr">
        <is>
          <t>AXP</t>
        </is>
      </c>
      <c r="F2950" s="6" t="inlineStr">
        <is>
          <t>-</t>
        </is>
      </c>
      <c r="G2950" s="7" t="n">
        <v>268.3374633789062</v>
      </c>
      <c r="H2950" s="6">
        <f>P2919</f>
        <v/>
      </c>
      <c r="I2950" s="9">
        <f>Q2919</f>
        <v/>
      </c>
      <c r="J2950" s="7">
        <f>I2950*G2950</f>
        <v/>
      </c>
      <c r="K2950" s="8">
        <f>IF($J$2977=0,0,J2950/$J$2977)</f>
        <v/>
      </c>
      <c r="L2950" s="6" t="inlineStr">
        <is>
          <t>WATCHLIST</t>
        </is>
      </c>
      <c r="M2950" s="8" t="n">
        <v>0</v>
      </c>
      <c r="N2950" s="7">
        <f>M2950*$J$2977-J2950</f>
        <v/>
      </c>
      <c r="O2950" s="9">
        <f>IF(G2950=0,0,N2950/G2950)</f>
        <v/>
      </c>
      <c r="P2950" s="6">
        <f>IF(M2950&gt;0,D2950,"")</f>
        <v/>
      </c>
      <c r="Q2950" s="9">
        <f>I2950+O2950</f>
        <v/>
      </c>
      <c r="R2950" s="7">
        <f>Q2950*G2950</f>
        <v/>
      </c>
      <c r="S2950" s="8">
        <f>IF($R$2977=0,0,R2950/$R$2977)</f>
        <v/>
      </c>
      <c r="T2950" s="8" t="n">
        <v>-0.009111056112662719</v>
      </c>
      <c r="U2950" s="8" t="n">
        <v>-0.001709560442961999</v>
      </c>
      <c r="V2950" s="6" t="inlineStr">
        <is>
          <t>removed from weekly selection</t>
        </is>
      </c>
    </row>
    <row r="2951">
      <c r="A2951" s="6" t="inlineStr">
        <is>
          <t>DJ30</t>
        </is>
      </c>
      <c r="B2951" s="6" t="inlineStr">
        <is>
          <t>2024-11-01</t>
        </is>
      </c>
      <c r="C2951" s="6" t="inlineStr">
        <is>
          <t>DIA</t>
        </is>
      </c>
      <c r="D2951" s="6" t="inlineStr">
        <is>
          <t>BA</t>
        </is>
      </c>
      <c r="E2951" s="6" t="inlineStr">
        <is>
          <t>BA</t>
        </is>
      </c>
      <c r="F2951" s="6" t="inlineStr">
        <is>
          <t>-</t>
        </is>
      </c>
      <c r="G2951" s="7" t="n">
        <v>154.5899963378906</v>
      </c>
      <c r="H2951" s="6">
        <f>P2920</f>
        <v/>
      </c>
      <c r="I2951" s="9">
        <f>Q2920</f>
        <v/>
      </c>
      <c r="J2951" s="7">
        <f>I2951*G2951</f>
        <v/>
      </c>
      <c r="K2951" s="8">
        <f>IF($J$2977=0,0,J2951/$J$2977)</f>
        <v/>
      </c>
      <c r="L2951" s="6" t="inlineStr">
        <is>
          <t>REJECTED</t>
        </is>
      </c>
      <c r="M2951" s="8" t="n">
        <v>0</v>
      </c>
      <c r="N2951" s="7">
        <f>M2951*$J$2977-J2951</f>
        <v/>
      </c>
      <c r="O2951" s="9">
        <f>IF(G2951=0,0,N2951/G2951)</f>
        <v/>
      </c>
      <c r="P2951" s="6">
        <f>IF(M2951&gt;0,D2951,"")</f>
        <v/>
      </c>
      <c r="Q2951" s="9">
        <f>I2951+O2951</f>
        <v/>
      </c>
      <c r="R2951" s="7">
        <f>Q2951*G2951</f>
        <v/>
      </c>
      <c r="S2951" s="8">
        <f>IF($R$2977=0,0,R2951/$R$2977)</f>
        <v/>
      </c>
      <c r="T2951" s="8" t="n">
        <v>-0.009111056112662719</v>
      </c>
      <c r="U2951" s="8" t="n">
        <v>-0.001709560442961999</v>
      </c>
      <c r="V2951" s="6" t="inlineStr">
        <is>
          <t>not selected</t>
        </is>
      </c>
    </row>
    <row r="2952">
      <c r="A2952" s="6" t="inlineStr">
        <is>
          <t>DJ30</t>
        </is>
      </c>
      <c r="B2952" s="6" t="inlineStr">
        <is>
          <t>2024-11-01</t>
        </is>
      </c>
      <c r="C2952" s="6" t="inlineStr">
        <is>
          <t>DIA</t>
        </is>
      </c>
      <c r="D2952" s="6" t="inlineStr">
        <is>
          <t>CAT</t>
        </is>
      </c>
      <c r="E2952" s="6" t="inlineStr">
        <is>
          <t>CAT</t>
        </is>
      </c>
      <c r="F2952" s="6" t="inlineStr">
        <is>
          <t>-</t>
        </is>
      </c>
      <c r="G2952" s="7" t="n">
        <v>372.4005126953125</v>
      </c>
      <c r="H2952" s="6">
        <f>P2921</f>
        <v/>
      </c>
      <c r="I2952" s="9">
        <f>Q2921</f>
        <v/>
      </c>
      <c r="J2952" s="7">
        <f>I2952*G2952</f>
        <v/>
      </c>
      <c r="K2952" s="8">
        <f>IF($J$2977=0,0,J2952/$J$2977)</f>
        <v/>
      </c>
      <c r="L2952" s="6" t="inlineStr">
        <is>
          <t>WATCHLIST</t>
        </is>
      </c>
      <c r="M2952" s="8" t="n">
        <v>0</v>
      </c>
      <c r="N2952" s="7">
        <f>M2952*$J$2977-J2952</f>
        <v/>
      </c>
      <c r="O2952" s="9">
        <f>IF(G2952=0,0,N2952/G2952)</f>
        <v/>
      </c>
      <c r="P2952" s="6">
        <f>IF(M2952&gt;0,D2952,"")</f>
        <v/>
      </c>
      <c r="Q2952" s="9">
        <f>I2952+O2952</f>
        <v/>
      </c>
      <c r="R2952" s="7">
        <f>Q2952*G2952</f>
        <v/>
      </c>
      <c r="S2952" s="8">
        <f>IF($R$2977=0,0,R2952/$R$2977)</f>
        <v/>
      </c>
      <c r="T2952" s="8" t="n">
        <v>-0.009111056112662719</v>
      </c>
      <c r="U2952" s="8" t="n">
        <v>-0.001709560442961999</v>
      </c>
      <c r="V2952" s="6" t="inlineStr">
        <is>
          <t>not selected</t>
        </is>
      </c>
    </row>
    <row r="2953">
      <c r="A2953" s="6" t="inlineStr">
        <is>
          <t>DJ30</t>
        </is>
      </c>
      <c r="B2953" s="6" t="inlineStr">
        <is>
          <t>2024-11-01</t>
        </is>
      </c>
      <c r="C2953" s="6" t="inlineStr">
        <is>
          <t>DIA</t>
        </is>
      </c>
      <c r="D2953" s="6" t="inlineStr">
        <is>
          <t>CRM</t>
        </is>
      </c>
      <c r="E2953" s="6" t="inlineStr">
        <is>
          <t>CRM</t>
        </is>
      </c>
      <c r="F2953" s="6" t="inlineStr">
        <is>
          <t>-</t>
        </is>
      </c>
      <c r="G2953" s="7" t="n">
        <v>290.9940185546875</v>
      </c>
      <c r="H2953" s="6">
        <f>P2922</f>
        <v/>
      </c>
      <c r="I2953" s="9">
        <f>Q2922</f>
        <v/>
      </c>
      <c r="J2953" s="7">
        <f>I2953*G2953</f>
        <v/>
      </c>
      <c r="K2953" s="8">
        <f>IF($J$2977=0,0,J2953/$J$2977)</f>
        <v/>
      </c>
      <c r="L2953" s="6" t="inlineStr">
        <is>
          <t>REJECTED</t>
        </is>
      </c>
      <c r="M2953" s="8" t="n">
        <v>0</v>
      </c>
      <c r="N2953" s="7">
        <f>M2953*$J$2977-J2953</f>
        <v/>
      </c>
      <c r="O2953" s="9">
        <f>IF(G2953=0,0,N2953/G2953)</f>
        <v/>
      </c>
      <c r="P2953" s="6">
        <f>IF(M2953&gt;0,D2953,"")</f>
        <v/>
      </c>
      <c r="Q2953" s="9">
        <f>I2953+O2953</f>
        <v/>
      </c>
      <c r="R2953" s="7">
        <f>Q2953*G2953</f>
        <v/>
      </c>
      <c r="S2953" s="8">
        <f>IF($R$2977=0,0,R2953/$R$2977)</f>
        <v/>
      </c>
      <c r="T2953" s="8" t="n">
        <v>-0.009111056112662719</v>
      </c>
      <c r="U2953" s="8" t="n">
        <v>-0.001709560442961999</v>
      </c>
      <c r="V2953" s="6" t="inlineStr">
        <is>
          <t>not selected</t>
        </is>
      </c>
    </row>
    <row r="2954">
      <c r="A2954" s="6" t="inlineStr">
        <is>
          <t>DJ30</t>
        </is>
      </c>
      <c r="B2954" s="6" t="inlineStr">
        <is>
          <t>2024-11-01</t>
        </is>
      </c>
      <c r="C2954" s="6" t="inlineStr">
        <is>
          <t>DIA</t>
        </is>
      </c>
      <c r="D2954" s="6" t="inlineStr">
        <is>
          <t>CSCO</t>
        </is>
      </c>
      <c r="E2954" s="6" t="inlineStr">
        <is>
          <t>CSCO</t>
        </is>
      </c>
      <c r="F2954" s="6" t="inlineStr">
        <is>
          <t>-</t>
        </is>
      </c>
      <c r="G2954" s="7" t="n">
        <v>53.52672576904297</v>
      </c>
      <c r="H2954" s="6">
        <f>P2923</f>
        <v/>
      </c>
      <c r="I2954" s="9">
        <f>Q2923</f>
        <v/>
      </c>
      <c r="J2954" s="7">
        <f>I2954*G2954</f>
        <v/>
      </c>
      <c r="K2954" s="8">
        <f>IF($J$2977=0,0,J2954/$J$2977)</f>
        <v/>
      </c>
      <c r="L2954" s="6" t="inlineStr">
        <is>
          <t>REJECTED</t>
        </is>
      </c>
      <c r="M2954" s="8" t="n">
        <v>0</v>
      </c>
      <c r="N2954" s="7">
        <f>M2954*$J$2977-J2954</f>
        <v/>
      </c>
      <c r="O2954" s="9">
        <f>IF(G2954=0,0,N2954/G2954)</f>
        <v/>
      </c>
      <c r="P2954" s="6">
        <f>IF(M2954&gt;0,D2954,"")</f>
        <v/>
      </c>
      <c r="Q2954" s="9">
        <f>I2954+O2954</f>
        <v/>
      </c>
      <c r="R2954" s="7">
        <f>Q2954*G2954</f>
        <v/>
      </c>
      <c r="S2954" s="8">
        <f>IF($R$2977=0,0,R2954/$R$2977)</f>
        <v/>
      </c>
      <c r="T2954" s="8" t="n">
        <v>-0.009111056112662719</v>
      </c>
      <c r="U2954" s="8" t="n">
        <v>-0.001709560442961999</v>
      </c>
      <c r="V2954" s="6" t="inlineStr">
        <is>
          <t>not selected</t>
        </is>
      </c>
    </row>
    <row r="2955">
      <c r="A2955" s="6" t="inlineStr">
        <is>
          <t>DJ30</t>
        </is>
      </c>
      <c r="B2955" s="6" t="inlineStr">
        <is>
          <t>2024-11-01</t>
        </is>
      </c>
      <c r="C2955" s="6" t="inlineStr">
        <is>
          <t>DIA</t>
        </is>
      </c>
      <c r="D2955" s="6" t="inlineStr">
        <is>
          <t>CVX</t>
        </is>
      </c>
      <c r="E2955" s="6" t="inlineStr">
        <is>
          <t>CVX</t>
        </is>
      </c>
      <c r="F2955" s="6" t="inlineStr">
        <is>
          <t>-</t>
        </is>
      </c>
      <c r="G2955" s="7" t="n">
        <v>142.1068572998047</v>
      </c>
      <c r="H2955" s="6">
        <f>P2924</f>
        <v/>
      </c>
      <c r="I2955" s="9">
        <f>Q2924</f>
        <v/>
      </c>
      <c r="J2955" s="7">
        <f>I2955*G2955</f>
        <v/>
      </c>
      <c r="K2955" s="8">
        <f>IF($J$2977=0,0,J2955/$J$2977)</f>
        <v/>
      </c>
      <c r="L2955" s="6" t="inlineStr">
        <is>
          <t>REJECTED</t>
        </is>
      </c>
      <c r="M2955" s="8" t="n">
        <v>0</v>
      </c>
      <c r="N2955" s="7">
        <f>M2955*$J$2977-J2955</f>
        <v/>
      </c>
      <c r="O2955" s="9">
        <f>IF(G2955=0,0,N2955/G2955)</f>
        <v/>
      </c>
      <c r="P2955" s="6">
        <f>IF(M2955&gt;0,D2955,"")</f>
        <v/>
      </c>
      <c r="Q2955" s="9">
        <f>I2955+O2955</f>
        <v/>
      </c>
      <c r="R2955" s="7">
        <f>Q2955*G2955</f>
        <v/>
      </c>
      <c r="S2955" s="8">
        <f>IF($R$2977=0,0,R2955/$R$2977)</f>
        <v/>
      </c>
      <c r="T2955" s="8" t="n">
        <v>-0.009111056112662719</v>
      </c>
      <c r="U2955" s="8" t="n">
        <v>-0.001709560442961999</v>
      </c>
      <c r="V2955" s="6" t="inlineStr">
        <is>
          <t>not selected</t>
        </is>
      </c>
    </row>
    <row r="2956">
      <c r="A2956" s="6" t="inlineStr">
        <is>
          <t>DJ30</t>
        </is>
      </c>
      <c r="B2956" s="6" t="inlineStr">
        <is>
          <t>2024-11-01</t>
        </is>
      </c>
      <c r="C2956" s="6" t="inlineStr">
        <is>
          <t>DIA</t>
        </is>
      </c>
      <c r="D2956" s="6" t="inlineStr">
        <is>
          <t>DIS</t>
        </is>
      </c>
      <c r="E2956" s="6" t="inlineStr">
        <is>
          <t>DIS</t>
        </is>
      </c>
      <c r="F2956" s="6" t="inlineStr">
        <is>
          <t>-</t>
        </is>
      </c>
      <c r="G2956" s="7" t="n">
        <v>94.34396362304688</v>
      </c>
      <c r="H2956" s="6">
        <f>P2925</f>
        <v/>
      </c>
      <c r="I2956" s="9">
        <f>Q2925</f>
        <v/>
      </c>
      <c r="J2956" s="7">
        <f>I2956*G2956</f>
        <v/>
      </c>
      <c r="K2956" s="8">
        <f>IF($J$2977=0,0,J2956/$J$2977)</f>
        <v/>
      </c>
      <c r="L2956" s="6" t="inlineStr">
        <is>
          <t>REJECTED</t>
        </is>
      </c>
      <c r="M2956" s="8" t="n">
        <v>0</v>
      </c>
      <c r="N2956" s="7">
        <f>M2956*$J$2977-J2956</f>
        <v/>
      </c>
      <c r="O2956" s="9">
        <f>IF(G2956=0,0,N2956/G2956)</f>
        <v/>
      </c>
      <c r="P2956" s="6">
        <f>IF(M2956&gt;0,D2956,"")</f>
        <v/>
      </c>
      <c r="Q2956" s="9">
        <f>I2956+O2956</f>
        <v/>
      </c>
      <c r="R2956" s="7">
        <f>Q2956*G2956</f>
        <v/>
      </c>
      <c r="S2956" s="8">
        <f>IF($R$2977=0,0,R2956/$R$2977)</f>
        <v/>
      </c>
      <c r="T2956" s="8" t="n">
        <v>-0.009111056112662719</v>
      </c>
      <c r="U2956" s="8" t="n">
        <v>-0.001709560442961999</v>
      </c>
      <c r="V2956" s="6" t="inlineStr">
        <is>
          <t>not selected</t>
        </is>
      </c>
    </row>
    <row r="2957">
      <c r="A2957" s="6" t="inlineStr">
        <is>
          <t>DJ30</t>
        </is>
      </c>
      <c r="B2957" s="6" t="inlineStr">
        <is>
          <t>2024-11-01</t>
        </is>
      </c>
      <c r="C2957" s="6" t="inlineStr">
        <is>
          <t>DIA</t>
        </is>
      </c>
      <c r="D2957" s="6" t="inlineStr">
        <is>
          <t>GS</t>
        </is>
      </c>
      <c r="E2957" s="6" t="inlineStr">
        <is>
          <t>GS</t>
        </is>
      </c>
      <c r="F2957" s="6" t="inlineStr">
        <is>
          <t>-</t>
        </is>
      </c>
      <c r="G2957" s="7" t="n">
        <v>501.5919799804688</v>
      </c>
      <c r="H2957" s="6">
        <f>P2926</f>
        <v/>
      </c>
      <c r="I2957" s="9">
        <f>Q2926</f>
        <v/>
      </c>
      <c r="J2957" s="7">
        <f>I2957*G2957</f>
        <v/>
      </c>
      <c r="K2957" s="8">
        <f>IF($J$2977=0,0,J2957/$J$2977)</f>
        <v/>
      </c>
      <c r="L2957" s="6" t="inlineStr">
        <is>
          <t>SELECTED</t>
        </is>
      </c>
      <c r="M2957" s="8" t="n">
        <v>0.2</v>
      </c>
      <c r="N2957" s="7">
        <f>M2957*$J$2977-J2957</f>
        <v/>
      </c>
      <c r="O2957" s="9">
        <f>IF(G2957=0,0,N2957/G2957)</f>
        <v/>
      </c>
      <c r="P2957" s="6">
        <f>IF(M2957&gt;0,D2957,"")</f>
        <v/>
      </c>
      <c r="Q2957" s="9">
        <f>I2957+O2957</f>
        <v/>
      </c>
      <c r="R2957" s="7">
        <f>Q2957*G2957</f>
        <v/>
      </c>
      <c r="S2957" s="8">
        <f>IF($R$2977=0,0,R2957/$R$2977)</f>
        <v/>
      </c>
      <c r="T2957" s="8" t="n">
        <v>-0.009111056112662719</v>
      </c>
      <c r="U2957" s="8" t="n">
        <v>-0.001709560442961999</v>
      </c>
      <c r="V2957" s="6" t="inlineStr">
        <is>
          <t>entered weekly selection</t>
        </is>
      </c>
    </row>
    <row r="2958">
      <c r="A2958" s="6" t="inlineStr">
        <is>
          <t>DJ30</t>
        </is>
      </c>
      <c r="B2958" s="6" t="inlineStr">
        <is>
          <t>2024-11-01</t>
        </is>
      </c>
      <c r="C2958" s="6" t="inlineStr">
        <is>
          <t>DIA</t>
        </is>
      </c>
      <c r="D2958" s="6" t="inlineStr">
        <is>
          <t>HD</t>
        </is>
      </c>
      <c r="E2958" s="6" t="inlineStr">
        <is>
          <t>HD</t>
        </is>
      </c>
      <c r="F2958" s="6" t="inlineStr">
        <is>
          <t>-</t>
        </is>
      </c>
      <c r="G2958" s="7" t="n">
        <v>375.6853942871094</v>
      </c>
      <c r="H2958" s="6">
        <f>P2927</f>
        <v/>
      </c>
      <c r="I2958" s="9">
        <f>Q2927</f>
        <v/>
      </c>
      <c r="J2958" s="7">
        <f>I2958*G2958</f>
        <v/>
      </c>
      <c r="K2958" s="8">
        <f>IF($J$2977=0,0,J2958/$J$2977)</f>
        <v/>
      </c>
      <c r="L2958" s="6" t="inlineStr">
        <is>
          <t>WATCHLIST</t>
        </is>
      </c>
      <c r="M2958" s="8" t="n">
        <v>0</v>
      </c>
      <c r="N2958" s="7">
        <f>M2958*$J$2977-J2958</f>
        <v/>
      </c>
      <c r="O2958" s="9">
        <f>IF(G2958=0,0,N2958/G2958)</f>
        <v/>
      </c>
      <c r="P2958" s="6">
        <f>IF(M2958&gt;0,D2958,"")</f>
        <v/>
      </c>
      <c r="Q2958" s="9">
        <f>I2958+O2958</f>
        <v/>
      </c>
      <c r="R2958" s="7">
        <f>Q2958*G2958</f>
        <v/>
      </c>
      <c r="S2958" s="8">
        <f>IF($R$2977=0,0,R2958/$R$2977)</f>
        <v/>
      </c>
      <c r="T2958" s="8" t="n">
        <v>-0.009111056112662719</v>
      </c>
      <c r="U2958" s="8" t="n">
        <v>-0.001709560442961999</v>
      </c>
      <c r="V2958" s="6" t="inlineStr">
        <is>
          <t>not selected</t>
        </is>
      </c>
    </row>
    <row r="2959">
      <c r="A2959" s="6" t="inlineStr">
        <is>
          <t>DJ30</t>
        </is>
      </c>
      <c r="B2959" s="6" t="inlineStr">
        <is>
          <t>2024-11-01</t>
        </is>
      </c>
      <c r="C2959" s="6" t="inlineStr">
        <is>
          <t>DIA</t>
        </is>
      </c>
      <c r="D2959" s="6" t="inlineStr">
        <is>
          <t>HON</t>
        </is>
      </c>
      <c r="E2959" s="6" t="inlineStr">
        <is>
          <t>HON</t>
        </is>
      </c>
      <c r="F2959" s="6" t="inlineStr">
        <is>
          <t>-</t>
        </is>
      </c>
      <c r="G2959" s="7" t="n">
        <v>190.0123901367188</v>
      </c>
      <c r="H2959" s="6">
        <f>P2928</f>
        <v/>
      </c>
      <c r="I2959" s="9">
        <f>Q2928</f>
        <v/>
      </c>
      <c r="J2959" s="7">
        <f>I2959*G2959</f>
        <v/>
      </c>
      <c r="K2959" s="8">
        <f>IF($J$2977=0,0,J2959/$J$2977)</f>
        <v/>
      </c>
      <c r="L2959" s="6" t="inlineStr">
        <is>
          <t>WATCHLIST</t>
        </is>
      </c>
      <c r="M2959" s="8" t="n">
        <v>0</v>
      </c>
      <c r="N2959" s="7">
        <f>M2959*$J$2977-J2959</f>
        <v/>
      </c>
      <c r="O2959" s="9">
        <f>IF(G2959=0,0,N2959/G2959)</f>
        <v/>
      </c>
      <c r="P2959" s="6">
        <f>IF(M2959&gt;0,D2959,"")</f>
        <v/>
      </c>
      <c r="Q2959" s="9">
        <f>I2959+O2959</f>
        <v/>
      </c>
      <c r="R2959" s="7">
        <f>Q2959*G2959</f>
        <v/>
      </c>
      <c r="S2959" s="8">
        <f>IF($R$2977=0,0,R2959/$R$2977)</f>
        <v/>
      </c>
      <c r="T2959" s="8" t="n">
        <v>-0.009111056112662719</v>
      </c>
      <c r="U2959" s="8" t="n">
        <v>-0.001709560442961999</v>
      </c>
      <c r="V2959" s="6" t="inlineStr">
        <is>
          <t>not selected</t>
        </is>
      </c>
    </row>
    <row r="2960">
      <c r="A2960" s="6" t="inlineStr">
        <is>
          <t>DJ30</t>
        </is>
      </c>
      <c r="B2960" s="6" t="inlineStr">
        <is>
          <t>2024-11-01</t>
        </is>
      </c>
      <c r="C2960" s="6" t="inlineStr">
        <is>
          <t>DIA</t>
        </is>
      </c>
      <c r="D2960" s="6" t="inlineStr">
        <is>
          <t>IBM</t>
        </is>
      </c>
      <c r="E2960" s="6" t="inlineStr">
        <is>
          <t>IBM</t>
        </is>
      </c>
      <c r="F2960" s="6" t="inlineStr">
        <is>
          <t>-</t>
        </is>
      </c>
      <c r="G2960" s="7" t="n">
        <v>198.8123321533203</v>
      </c>
      <c r="H2960" s="6">
        <f>P2929</f>
        <v/>
      </c>
      <c r="I2960" s="9">
        <f>Q2929</f>
        <v/>
      </c>
      <c r="J2960" s="7">
        <f>I2960*G2960</f>
        <v/>
      </c>
      <c r="K2960" s="8">
        <f>IF($J$2977=0,0,J2960/$J$2977)</f>
        <v/>
      </c>
      <c r="L2960" s="6" t="inlineStr">
        <is>
          <t>WATCHLIST</t>
        </is>
      </c>
      <c r="M2960" s="8" t="n">
        <v>0</v>
      </c>
      <c r="N2960" s="7">
        <f>M2960*$J$2977-J2960</f>
        <v/>
      </c>
      <c r="O2960" s="9">
        <f>IF(G2960=0,0,N2960/G2960)</f>
        <v/>
      </c>
      <c r="P2960" s="6">
        <f>IF(M2960&gt;0,D2960,"")</f>
        <v/>
      </c>
      <c r="Q2960" s="9">
        <f>I2960+O2960</f>
        <v/>
      </c>
      <c r="R2960" s="7">
        <f>Q2960*G2960</f>
        <v/>
      </c>
      <c r="S2960" s="8">
        <f>IF($R$2977=0,0,R2960/$R$2977)</f>
        <v/>
      </c>
      <c r="T2960" s="8" t="n">
        <v>-0.009111056112662719</v>
      </c>
      <c r="U2960" s="8" t="n">
        <v>-0.001709560442961999</v>
      </c>
      <c r="V2960" s="6" t="inlineStr">
        <is>
          <t>not selected</t>
        </is>
      </c>
    </row>
    <row r="2961">
      <c r="A2961" s="6" t="inlineStr">
        <is>
          <t>DJ30</t>
        </is>
      </c>
      <c r="B2961" s="6" t="inlineStr">
        <is>
          <t>2024-11-01</t>
        </is>
      </c>
      <c r="C2961" s="6" t="inlineStr">
        <is>
          <t>DIA</t>
        </is>
      </c>
      <c r="D2961" s="6" t="inlineStr">
        <is>
          <t>JNJ</t>
        </is>
      </c>
      <c r="E2961" s="6" t="inlineStr">
        <is>
          <t>JNJ</t>
        </is>
      </c>
      <c r="F2961" s="6" t="inlineStr">
        <is>
          <t>-</t>
        </is>
      </c>
      <c r="G2961" s="7" t="n">
        <v>152.4453277587891</v>
      </c>
      <c r="H2961" s="6">
        <f>P2930</f>
        <v/>
      </c>
      <c r="I2961" s="9">
        <f>Q2930</f>
        <v/>
      </c>
      <c r="J2961" s="7">
        <f>I2961*G2961</f>
        <v/>
      </c>
      <c r="K2961" s="8">
        <f>IF($J$2977=0,0,J2961/$J$2977)</f>
        <v/>
      </c>
      <c r="L2961" s="6" t="inlineStr">
        <is>
          <t>REJECTED</t>
        </is>
      </c>
      <c r="M2961" s="8" t="n">
        <v>0</v>
      </c>
      <c r="N2961" s="7">
        <f>M2961*$J$2977-J2961</f>
        <v/>
      </c>
      <c r="O2961" s="9">
        <f>IF(G2961=0,0,N2961/G2961)</f>
        <v/>
      </c>
      <c r="P2961" s="6">
        <f>IF(M2961&gt;0,D2961,"")</f>
        <v/>
      </c>
      <c r="Q2961" s="9">
        <f>I2961+O2961</f>
        <v/>
      </c>
      <c r="R2961" s="7">
        <f>Q2961*G2961</f>
        <v/>
      </c>
      <c r="S2961" s="8">
        <f>IF($R$2977=0,0,R2961/$R$2977)</f>
        <v/>
      </c>
      <c r="T2961" s="8" t="n">
        <v>-0.009111056112662719</v>
      </c>
      <c r="U2961" s="8" t="n">
        <v>-0.001709560442961999</v>
      </c>
      <c r="V2961" s="6" t="inlineStr">
        <is>
          <t>not selected</t>
        </is>
      </c>
    </row>
    <row r="2962">
      <c r="A2962" s="6" t="inlineStr">
        <is>
          <t>DJ30</t>
        </is>
      </c>
      <c r="B2962" s="6" t="inlineStr">
        <is>
          <t>2024-11-01</t>
        </is>
      </c>
      <c r="C2962" s="6" t="inlineStr">
        <is>
          <t>DIA</t>
        </is>
      </c>
      <c r="D2962" s="6" t="inlineStr">
        <is>
          <t>JPM</t>
        </is>
      </c>
      <c r="E2962" s="6" t="inlineStr">
        <is>
          <t>JPM</t>
        </is>
      </c>
      <c r="F2962" s="6" t="inlineStr">
        <is>
          <t>-</t>
        </is>
      </c>
      <c r="G2962" s="7" t="n">
        <v>216.2314453125</v>
      </c>
      <c r="H2962" s="6">
        <f>P2931</f>
        <v/>
      </c>
      <c r="I2962" s="9">
        <f>Q2931</f>
        <v/>
      </c>
      <c r="J2962" s="7">
        <f>I2962*G2962</f>
        <v/>
      </c>
      <c r="K2962" s="8">
        <f>IF($J$2977=0,0,J2962/$J$2977)</f>
        <v/>
      </c>
      <c r="L2962" s="6" t="inlineStr">
        <is>
          <t>WATCHLIST</t>
        </is>
      </c>
      <c r="M2962" s="8" t="n">
        <v>0</v>
      </c>
      <c r="N2962" s="7">
        <f>M2962*$J$2977-J2962</f>
        <v/>
      </c>
      <c r="O2962" s="9">
        <f>IF(G2962=0,0,N2962/G2962)</f>
        <v/>
      </c>
      <c r="P2962" s="6">
        <f>IF(M2962&gt;0,D2962,"")</f>
        <v/>
      </c>
      <c r="Q2962" s="9">
        <f>I2962+O2962</f>
        <v/>
      </c>
      <c r="R2962" s="7">
        <f>Q2962*G2962</f>
        <v/>
      </c>
      <c r="S2962" s="8">
        <f>IF($R$2977=0,0,R2962/$R$2977)</f>
        <v/>
      </c>
      <c r="T2962" s="8" t="n">
        <v>-0.009111056112662719</v>
      </c>
      <c r="U2962" s="8" t="n">
        <v>-0.001709560442961999</v>
      </c>
      <c r="V2962" s="6" t="inlineStr">
        <is>
          <t>not selected</t>
        </is>
      </c>
    </row>
    <row r="2963">
      <c r="A2963" s="6" t="inlineStr">
        <is>
          <t>DJ30</t>
        </is>
      </c>
      <c r="B2963" s="6" t="inlineStr">
        <is>
          <t>2024-11-01</t>
        </is>
      </c>
      <c r="C2963" s="6" t="inlineStr">
        <is>
          <t>DIA</t>
        </is>
      </c>
      <c r="D2963" s="6" t="inlineStr">
        <is>
          <t>KO</t>
        </is>
      </c>
      <c r="E2963" s="6" t="inlineStr">
        <is>
          <t>KO</t>
        </is>
      </c>
      <c r="F2963" s="6" t="inlineStr">
        <is>
          <t>-</t>
        </is>
      </c>
      <c r="G2963" s="7" t="n">
        <v>61.8443489074707</v>
      </c>
      <c r="H2963" s="6">
        <f>P2932</f>
        <v/>
      </c>
      <c r="I2963" s="9">
        <f>Q2932</f>
        <v/>
      </c>
      <c r="J2963" s="7">
        <f>I2963*G2963</f>
        <v/>
      </c>
      <c r="K2963" s="8">
        <f>IF($J$2977=0,0,J2963/$J$2977)</f>
        <v/>
      </c>
      <c r="L2963" s="6" t="inlineStr">
        <is>
          <t>SELECTED</t>
        </is>
      </c>
      <c r="M2963" s="8" t="n">
        <v>0.2</v>
      </c>
      <c r="N2963" s="7">
        <f>M2963*$J$2977-J2963</f>
        <v/>
      </c>
      <c r="O2963" s="9">
        <f>IF(G2963=0,0,N2963/G2963)</f>
        <v/>
      </c>
      <c r="P2963" s="6">
        <f>IF(M2963&gt;0,D2963,"")</f>
        <v/>
      </c>
      <c r="Q2963" s="9">
        <f>I2963+O2963</f>
        <v/>
      </c>
      <c r="R2963" s="7">
        <f>Q2963*G2963</f>
        <v/>
      </c>
      <c r="S2963" s="8">
        <f>IF($R$2977=0,0,R2963/$R$2977)</f>
        <v/>
      </c>
      <c r="T2963" s="8" t="n">
        <v>-0.009111056112662719</v>
      </c>
      <c r="U2963" s="8" t="n">
        <v>-0.001709560442961999</v>
      </c>
      <c r="V2963" s="6" t="inlineStr">
        <is>
          <t>entered weekly selection</t>
        </is>
      </c>
    </row>
    <row r="2964">
      <c r="A2964" s="6" t="inlineStr">
        <is>
          <t>DJ30</t>
        </is>
      </c>
      <c r="B2964" s="6" t="inlineStr">
        <is>
          <t>2024-11-01</t>
        </is>
      </c>
      <c r="C2964" s="6" t="inlineStr">
        <is>
          <t>DIA</t>
        </is>
      </c>
      <c r="D2964" s="6" t="inlineStr">
        <is>
          <t>MCD</t>
        </is>
      </c>
      <c r="E2964" s="6" t="inlineStr">
        <is>
          <t>MCD</t>
        </is>
      </c>
      <c r="F2964" s="6" t="inlineStr">
        <is>
          <t>-</t>
        </is>
      </c>
      <c r="G2964" s="7" t="n">
        <v>283.2423095703125</v>
      </c>
      <c r="H2964" s="6">
        <f>P2933</f>
        <v/>
      </c>
      <c r="I2964" s="9">
        <f>Q2933</f>
        <v/>
      </c>
      <c r="J2964" s="7">
        <f>I2964*G2964</f>
        <v/>
      </c>
      <c r="K2964" s="8">
        <f>IF($J$2977=0,0,J2964/$J$2977)</f>
        <v/>
      </c>
      <c r="L2964" s="6" t="inlineStr">
        <is>
          <t>REJECTED</t>
        </is>
      </c>
      <c r="M2964" s="8" t="n">
        <v>0</v>
      </c>
      <c r="N2964" s="7">
        <f>M2964*$J$2977-J2964</f>
        <v/>
      </c>
      <c r="O2964" s="9">
        <f>IF(G2964=0,0,N2964/G2964)</f>
        <v/>
      </c>
      <c r="P2964" s="6">
        <f>IF(M2964&gt;0,D2964,"")</f>
        <v/>
      </c>
      <c r="Q2964" s="9">
        <f>I2964+O2964</f>
        <v/>
      </c>
      <c r="R2964" s="7">
        <f>Q2964*G2964</f>
        <v/>
      </c>
      <c r="S2964" s="8">
        <f>IF($R$2977=0,0,R2964/$R$2977)</f>
        <v/>
      </c>
      <c r="T2964" s="8" t="n">
        <v>-0.009111056112662719</v>
      </c>
      <c r="U2964" s="8" t="n">
        <v>-0.001709560442961999</v>
      </c>
      <c r="V2964" s="6" t="inlineStr">
        <is>
          <t>not selected</t>
        </is>
      </c>
    </row>
    <row r="2965">
      <c r="A2965" s="6" t="inlineStr">
        <is>
          <t>DJ30</t>
        </is>
      </c>
      <c r="B2965" s="6" t="inlineStr">
        <is>
          <t>2024-11-01</t>
        </is>
      </c>
      <c r="C2965" s="6" t="inlineStr">
        <is>
          <t>DIA</t>
        </is>
      </c>
      <c r="D2965" s="6" t="inlineStr">
        <is>
          <t>MMM</t>
        </is>
      </c>
      <c r="E2965" s="6" t="inlineStr">
        <is>
          <t>MMM</t>
        </is>
      </c>
      <c r="F2965" s="6" t="inlineStr">
        <is>
          <t>-</t>
        </is>
      </c>
      <c r="G2965" s="7" t="n">
        <v>123.0110397338867</v>
      </c>
      <c r="H2965" s="6">
        <f>P2934</f>
        <v/>
      </c>
      <c r="I2965" s="9">
        <f>Q2934</f>
        <v/>
      </c>
      <c r="J2965" s="7">
        <f>I2965*G2965</f>
        <v/>
      </c>
      <c r="K2965" s="8">
        <f>IF($J$2977=0,0,J2965/$J$2977)</f>
        <v/>
      </c>
      <c r="L2965" s="6" t="inlineStr">
        <is>
          <t>SELECTED</t>
        </is>
      </c>
      <c r="M2965" s="8" t="n">
        <v>0.2</v>
      </c>
      <c r="N2965" s="7">
        <f>M2965*$J$2977-J2965</f>
        <v/>
      </c>
      <c r="O2965" s="9">
        <f>IF(G2965=0,0,N2965/G2965)</f>
        <v/>
      </c>
      <c r="P2965" s="6">
        <f>IF(M2965&gt;0,D2965,"")</f>
        <v/>
      </c>
      <c r="Q2965" s="9">
        <f>I2965+O2965</f>
        <v/>
      </c>
      <c r="R2965" s="7">
        <f>Q2965*G2965</f>
        <v/>
      </c>
      <c r="S2965" s="8">
        <f>IF($R$2977=0,0,R2965/$R$2977)</f>
        <v/>
      </c>
      <c r="T2965" s="8" t="n">
        <v>-0.009111056112662719</v>
      </c>
      <c r="U2965" s="8" t="n">
        <v>-0.001709560442961999</v>
      </c>
      <c r="V2965" s="6" t="inlineStr">
        <is>
          <t>remained in weekly selection</t>
        </is>
      </c>
    </row>
    <row r="2966">
      <c r="A2966" s="6" t="inlineStr">
        <is>
          <t>DJ30</t>
        </is>
      </c>
      <c r="B2966" s="6" t="inlineStr">
        <is>
          <t>2024-11-01</t>
        </is>
      </c>
      <c r="C2966" s="6" t="inlineStr">
        <is>
          <t>DIA</t>
        </is>
      </c>
      <c r="D2966" s="6" t="inlineStr">
        <is>
          <t>MRK</t>
        </is>
      </c>
      <c r="E2966" s="6" t="inlineStr">
        <is>
          <t>MRK</t>
        </is>
      </c>
      <c r="F2966" s="6" t="inlineStr">
        <is>
          <t>-</t>
        </is>
      </c>
      <c r="G2966" s="7" t="n">
        <v>96.00238800048828</v>
      </c>
      <c r="H2966" s="6">
        <f>P2935</f>
        <v/>
      </c>
      <c r="I2966" s="9">
        <f>Q2935</f>
        <v/>
      </c>
      <c r="J2966" s="7">
        <f>I2966*G2966</f>
        <v/>
      </c>
      <c r="K2966" s="8">
        <f>IF($J$2977=0,0,J2966/$J$2977)</f>
        <v/>
      </c>
      <c r="L2966" s="6" t="inlineStr">
        <is>
          <t>REJECTED</t>
        </is>
      </c>
      <c r="M2966" s="8" t="n">
        <v>0</v>
      </c>
      <c r="N2966" s="7">
        <f>M2966*$J$2977-J2966</f>
        <v/>
      </c>
      <c r="O2966" s="9">
        <f>IF(G2966=0,0,N2966/G2966)</f>
        <v/>
      </c>
      <c r="P2966" s="6">
        <f>IF(M2966&gt;0,D2966,"")</f>
        <v/>
      </c>
      <c r="Q2966" s="9">
        <f>I2966+O2966</f>
        <v/>
      </c>
      <c r="R2966" s="7">
        <f>Q2966*G2966</f>
        <v/>
      </c>
      <c r="S2966" s="8">
        <f>IF($R$2977=0,0,R2966/$R$2977)</f>
        <v/>
      </c>
      <c r="T2966" s="8" t="n">
        <v>-0.009111056112662719</v>
      </c>
      <c r="U2966" s="8" t="n">
        <v>-0.001709560442961999</v>
      </c>
      <c r="V2966" s="6" t="inlineStr">
        <is>
          <t>not selected</t>
        </is>
      </c>
    </row>
    <row r="2967">
      <c r="A2967" s="6" t="inlineStr">
        <is>
          <t>DJ30</t>
        </is>
      </c>
      <c r="B2967" s="6" t="inlineStr">
        <is>
          <t>2024-11-01</t>
        </is>
      </c>
      <c r="C2967" s="6" t="inlineStr">
        <is>
          <t>DIA</t>
        </is>
      </c>
      <c r="D2967" s="6" t="inlineStr">
        <is>
          <t>MSFT</t>
        </is>
      </c>
      <c r="E2967" s="6" t="inlineStr">
        <is>
          <t>MSFT</t>
        </is>
      </c>
      <c r="F2967" s="6" t="inlineStr">
        <is>
          <t>-</t>
        </is>
      </c>
      <c r="G2967" s="7" t="n">
        <v>404.7487182617188</v>
      </c>
      <c r="H2967" s="6">
        <f>P2936</f>
        <v/>
      </c>
      <c r="I2967" s="9">
        <f>Q2936</f>
        <v/>
      </c>
      <c r="J2967" s="7">
        <f>I2967*G2967</f>
        <v/>
      </c>
      <c r="K2967" s="8">
        <f>IF($J$2977=0,0,J2967/$J$2977)</f>
        <v/>
      </c>
      <c r="L2967" s="6" t="inlineStr">
        <is>
          <t>WATCHLIST</t>
        </is>
      </c>
      <c r="M2967" s="8" t="n">
        <v>0</v>
      </c>
      <c r="N2967" s="7">
        <f>M2967*$J$2977-J2967</f>
        <v/>
      </c>
      <c r="O2967" s="9">
        <f>IF(G2967=0,0,N2967/G2967)</f>
        <v/>
      </c>
      <c r="P2967" s="6">
        <f>IF(M2967&gt;0,D2967,"")</f>
        <v/>
      </c>
      <c r="Q2967" s="9">
        <f>I2967+O2967</f>
        <v/>
      </c>
      <c r="R2967" s="7">
        <f>Q2967*G2967</f>
        <v/>
      </c>
      <c r="S2967" s="8">
        <f>IF($R$2977=0,0,R2967/$R$2977)</f>
        <v/>
      </c>
      <c r="T2967" s="8" t="n">
        <v>-0.009111056112662719</v>
      </c>
      <c r="U2967" s="8" t="n">
        <v>-0.001709560442961999</v>
      </c>
      <c r="V2967" s="6" t="inlineStr">
        <is>
          <t>not selected</t>
        </is>
      </c>
    </row>
    <row r="2968">
      <c r="A2968" s="6" t="inlineStr">
        <is>
          <t>DJ30</t>
        </is>
      </c>
      <c r="B2968" s="6" t="inlineStr">
        <is>
          <t>2024-11-01</t>
        </is>
      </c>
      <c r="C2968" s="6" t="inlineStr">
        <is>
          <t>DIA</t>
        </is>
      </c>
      <c r="D2968" s="6" t="inlineStr">
        <is>
          <t>NKE</t>
        </is>
      </c>
      <c r="E2968" s="6" t="inlineStr">
        <is>
          <t>NKE</t>
        </is>
      </c>
      <c r="F2968" s="6" t="inlineStr">
        <is>
          <t>-</t>
        </is>
      </c>
      <c r="G2968" s="7" t="n">
        <v>74.71218872070312</v>
      </c>
      <c r="H2968" s="6">
        <f>P2937</f>
        <v/>
      </c>
      <c r="I2968" s="9">
        <f>Q2937</f>
        <v/>
      </c>
      <c r="J2968" s="7">
        <f>I2968*G2968</f>
        <v/>
      </c>
      <c r="K2968" s="8">
        <f>IF($J$2977=0,0,J2968/$J$2977)</f>
        <v/>
      </c>
      <c r="L2968" s="6" t="inlineStr">
        <is>
          <t>REJECTED</t>
        </is>
      </c>
      <c r="M2968" s="8" t="n">
        <v>0</v>
      </c>
      <c r="N2968" s="7">
        <f>M2968*$J$2977-J2968</f>
        <v/>
      </c>
      <c r="O2968" s="9">
        <f>IF(G2968=0,0,N2968/G2968)</f>
        <v/>
      </c>
      <c r="P2968" s="6">
        <f>IF(M2968&gt;0,D2968,"")</f>
        <v/>
      </c>
      <c r="Q2968" s="9">
        <f>I2968+O2968</f>
        <v/>
      </c>
      <c r="R2968" s="7">
        <f>Q2968*G2968</f>
        <v/>
      </c>
      <c r="S2968" s="8">
        <f>IF($R$2977=0,0,R2968/$R$2977)</f>
        <v/>
      </c>
      <c r="T2968" s="8" t="n">
        <v>-0.009111056112662719</v>
      </c>
      <c r="U2968" s="8" t="n">
        <v>-0.001709560442961999</v>
      </c>
      <c r="V2968" s="6" t="inlineStr">
        <is>
          <t>not selected</t>
        </is>
      </c>
    </row>
    <row r="2969">
      <c r="A2969" s="6" t="inlineStr">
        <is>
          <t>DJ30</t>
        </is>
      </c>
      <c r="B2969" s="6" t="inlineStr">
        <is>
          <t>2024-11-01</t>
        </is>
      </c>
      <c r="C2969" s="6" t="inlineStr">
        <is>
          <t>DIA</t>
        </is>
      </c>
      <c r="D2969" s="6" t="inlineStr">
        <is>
          <t>NVDA</t>
        </is>
      </c>
      <c r="E2969" s="6" t="inlineStr">
        <is>
          <t>NVDA</t>
        </is>
      </c>
      <c r="F2969" s="6" t="inlineStr">
        <is>
          <t>-</t>
        </is>
      </c>
      <c r="G2969" s="7" t="n">
        <v>135.1887512207031</v>
      </c>
      <c r="H2969" s="6">
        <f>P2938</f>
        <v/>
      </c>
      <c r="I2969" s="9">
        <f>Q2938</f>
        <v/>
      </c>
      <c r="J2969" s="7">
        <f>I2969*G2969</f>
        <v/>
      </c>
      <c r="K2969" s="8">
        <f>IF($J$2977=0,0,J2969/$J$2977)</f>
        <v/>
      </c>
      <c r="L2969" s="6" t="inlineStr">
        <is>
          <t>SELECTED</t>
        </is>
      </c>
      <c r="M2969" s="8" t="n">
        <v>0.2</v>
      </c>
      <c r="N2969" s="7">
        <f>M2969*$J$2977-J2969</f>
        <v/>
      </c>
      <c r="O2969" s="9">
        <f>IF(G2969=0,0,N2969/G2969)</f>
        <v/>
      </c>
      <c r="P2969" s="6">
        <f>IF(M2969&gt;0,D2969,"")</f>
        <v/>
      </c>
      <c r="Q2969" s="9">
        <f>I2969+O2969</f>
        <v/>
      </c>
      <c r="R2969" s="7">
        <f>Q2969*G2969</f>
        <v/>
      </c>
      <c r="S2969" s="8">
        <f>IF($R$2977=0,0,R2969/$R$2977)</f>
        <v/>
      </c>
      <c r="T2969" s="8" t="n">
        <v>-0.009111056112662719</v>
      </c>
      <c r="U2969" s="8" t="n">
        <v>-0.001709560442961999</v>
      </c>
      <c r="V2969" s="6" t="inlineStr">
        <is>
          <t>remained in weekly selection</t>
        </is>
      </c>
    </row>
    <row r="2970">
      <c r="A2970" s="6" t="inlineStr">
        <is>
          <t>DJ30</t>
        </is>
      </c>
      <c r="B2970" s="6" t="inlineStr">
        <is>
          <t>2024-11-01</t>
        </is>
      </c>
      <c r="C2970" s="6" t="inlineStr">
        <is>
          <t>DIA</t>
        </is>
      </c>
      <c r="D2970" s="6" t="inlineStr">
        <is>
          <t>PG</t>
        </is>
      </c>
      <c r="E2970" s="6" t="inlineStr">
        <is>
          <t>PG</t>
        </is>
      </c>
      <c r="F2970" s="6" t="inlineStr">
        <is>
          <t>-</t>
        </is>
      </c>
      <c r="G2970" s="7" t="n">
        <v>158.5226440429688</v>
      </c>
      <c r="H2970" s="6">
        <f>P2939</f>
        <v/>
      </c>
      <c r="I2970" s="9">
        <f>Q2939</f>
        <v/>
      </c>
      <c r="J2970" s="7">
        <f>I2970*G2970</f>
        <v/>
      </c>
      <c r="K2970" s="8">
        <f>IF($J$2977=0,0,J2970/$J$2977)</f>
        <v/>
      </c>
      <c r="L2970" s="6" t="inlineStr">
        <is>
          <t>WATCHLIST</t>
        </is>
      </c>
      <c r="M2970" s="8" t="n">
        <v>0</v>
      </c>
      <c r="N2970" s="7">
        <f>M2970*$J$2977-J2970</f>
        <v/>
      </c>
      <c r="O2970" s="9">
        <f>IF(G2970=0,0,N2970/G2970)</f>
        <v/>
      </c>
      <c r="P2970" s="6">
        <f>IF(M2970&gt;0,D2970,"")</f>
        <v/>
      </c>
      <c r="Q2970" s="9">
        <f>I2970+O2970</f>
        <v/>
      </c>
      <c r="R2970" s="7">
        <f>Q2970*G2970</f>
        <v/>
      </c>
      <c r="S2970" s="8">
        <f>IF($R$2977=0,0,R2970/$R$2977)</f>
        <v/>
      </c>
      <c r="T2970" s="8" t="n">
        <v>-0.009111056112662719</v>
      </c>
      <c r="U2970" s="8" t="n">
        <v>-0.001709560442961999</v>
      </c>
      <c r="V2970" s="6" t="inlineStr">
        <is>
          <t>removed from weekly selection</t>
        </is>
      </c>
    </row>
    <row r="2971">
      <c r="A2971" s="6" t="inlineStr">
        <is>
          <t>DJ30</t>
        </is>
      </c>
      <c r="B2971" s="6" t="inlineStr">
        <is>
          <t>2024-11-01</t>
        </is>
      </c>
      <c r="C2971" s="6" t="inlineStr">
        <is>
          <t>DIA</t>
        </is>
      </c>
      <c r="D2971" s="6" t="inlineStr">
        <is>
          <t>SHW</t>
        </is>
      </c>
      <c r="E2971" s="6" t="inlineStr">
        <is>
          <t>SHW</t>
        </is>
      </c>
      <c r="F2971" s="6" t="inlineStr">
        <is>
          <t>-</t>
        </is>
      </c>
      <c r="G2971" s="7" t="n">
        <v>352.4609680175781</v>
      </c>
      <c r="H2971" s="6">
        <f>P2940</f>
        <v/>
      </c>
      <c r="I2971" s="9">
        <f>Q2940</f>
        <v/>
      </c>
      <c r="J2971" s="7">
        <f>I2971*G2971</f>
        <v/>
      </c>
      <c r="K2971" s="8">
        <f>IF($J$2977=0,0,J2971/$J$2977)</f>
        <v/>
      </c>
      <c r="L2971" s="6" t="inlineStr">
        <is>
          <t>WATCHLIST</t>
        </is>
      </c>
      <c r="M2971" s="8" t="n">
        <v>0</v>
      </c>
      <c r="N2971" s="7">
        <f>M2971*$J$2977-J2971</f>
        <v/>
      </c>
      <c r="O2971" s="9">
        <f>IF(G2971=0,0,N2971/G2971)</f>
        <v/>
      </c>
      <c r="P2971" s="6">
        <f>IF(M2971&gt;0,D2971,"")</f>
        <v/>
      </c>
      <c r="Q2971" s="9">
        <f>I2971+O2971</f>
        <v/>
      </c>
      <c r="R2971" s="7">
        <f>Q2971*G2971</f>
        <v/>
      </c>
      <c r="S2971" s="8">
        <f>IF($R$2977=0,0,R2971/$R$2977)</f>
        <v/>
      </c>
      <c r="T2971" s="8" t="n">
        <v>-0.009111056112662719</v>
      </c>
      <c r="U2971" s="8" t="n">
        <v>-0.001709560442961999</v>
      </c>
      <c r="V2971" s="6" t="inlineStr">
        <is>
          <t>not selected</t>
        </is>
      </c>
    </row>
    <row r="2972">
      <c r="A2972" s="6" t="inlineStr">
        <is>
          <t>DJ30</t>
        </is>
      </c>
      <c r="B2972" s="6" t="inlineStr">
        <is>
          <t>2024-11-01</t>
        </is>
      </c>
      <c r="C2972" s="6" t="inlineStr">
        <is>
          <t>DIA</t>
        </is>
      </c>
      <c r="D2972" s="6" t="inlineStr">
        <is>
          <t>TRV</t>
        </is>
      </c>
      <c r="E2972" s="6" t="inlineStr">
        <is>
          <t>TRV</t>
        </is>
      </c>
      <c r="F2972" s="6" t="inlineStr">
        <is>
          <t>-</t>
        </is>
      </c>
      <c r="G2972" s="7" t="n">
        <v>238.8192749023437</v>
      </c>
      <c r="H2972" s="6">
        <f>P2941</f>
        <v/>
      </c>
      <c r="I2972" s="9">
        <f>Q2941</f>
        <v/>
      </c>
      <c r="J2972" s="7">
        <f>I2972*G2972</f>
        <v/>
      </c>
      <c r="K2972" s="8">
        <f>IF($J$2977=0,0,J2972/$J$2977)</f>
        <v/>
      </c>
      <c r="L2972" s="6" t="inlineStr">
        <is>
          <t>SELECTED</t>
        </is>
      </c>
      <c r="M2972" s="8" t="n">
        <v>0.2</v>
      </c>
      <c r="N2972" s="7">
        <f>M2972*$J$2977-J2972</f>
        <v/>
      </c>
      <c r="O2972" s="9">
        <f>IF(G2972=0,0,N2972/G2972)</f>
        <v/>
      </c>
      <c r="P2972" s="6">
        <f>IF(M2972&gt;0,D2972,"")</f>
        <v/>
      </c>
      <c r="Q2972" s="9">
        <f>I2972+O2972</f>
        <v/>
      </c>
      <c r="R2972" s="7">
        <f>Q2972*G2972</f>
        <v/>
      </c>
      <c r="S2972" s="8">
        <f>IF($R$2977=0,0,R2972/$R$2977)</f>
        <v/>
      </c>
      <c r="T2972" s="8" t="n">
        <v>-0.009111056112662719</v>
      </c>
      <c r="U2972" s="8" t="n">
        <v>-0.001709560442961999</v>
      </c>
      <c r="V2972" s="6" t="inlineStr">
        <is>
          <t>remained in weekly selection</t>
        </is>
      </c>
    </row>
    <row r="2973">
      <c r="A2973" s="6" t="inlineStr">
        <is>
          <t>DJ30</t>
        </is>
      </c>
      <c r="B2973" s="6" t="inlineStr">
        <is>
          <t>2024-11-01</t>
        </is>
      </c>
      <c r="C2973" s="6" t="inlineStr">
        <is>
          <t>DIA</t>
        </is>
      </c>
      <c r="D2973" s="6" t="inlineStr">
        <is>
          <t>UNH</t>
        </is>
      </c>
      <c r="E2973" s="6" t="inlineStr">
        <is>
          <t>UNH</t>
        </is>
      </c>
      <c r="F2973" s="6" t="inlineStr">
        <is>
          <t>-</t>
        </is>
      </c>
      <c r="G2973" s="7" t="n">
        <v>544.43603515625</v>
      </c>
      <c r="H2973" s="6">
        <f>P2942</f>
        <v/>
      </c>
      <c r="I2973" s="9">
        <f>Q2942</f>
        <v/>
      </c>
      <c r="J2973" s="7">
        <f>I2973*G2973</f>
        <v/>
      </c>
      <c r="K2973" s="8">
        <f>IF($J$2977=0,0,J2973/$J$2977)</f>
        <v/>
      </c>
      <c r="L2973" s="6" t="inlineStr">
        <is>
          <t>REJECTED</t>
        </is>
      </c>
      <c r="M2973" s="8" t="n">
        <v>0</v>
      </c>
      <c r="N2973" s="7">
        <f>M2973*$J$2977-J2973</f>
        <v/>
      </c>
      <c r="O2973" s="9">
        <f>IF(G2973=0,0,N2973/G2973)</f>
        <v/>
      </c>
      <c r="P2973" s="6">
        <f>IF(M2973&gt;0,D2973,"")</f>
        <v/>
      </c>
      <c r="Q2973" s="9">
        <f>I2973+O2973</f>
        <v/>
      </c>
      <c r="R2973" s="7">
        <f>Q2973*G2973</f>
        <v/>
      </c>
      <c r="S2973" s="8">
        <f>IF($R$2977=0,0,R2973/$R$2977)</f>
        <v/>
      </c>
      <c r="T2973" s="8" t="n">
        <v>-0.009111056112662719</v>
      </c>
      <c r="U2973" s="8" t="n">
        <v>-0.001709560442961999</v>
      </c>
      <c r="V2973" s="6" t="inlineStr">
        <is>
          <t>not selected</t>
        </is>
      </c>
    </row>
    <row r="2974">
      <c r="A2974" s="6" t="inlineStr">
        <is>
          <t>DJ30</t>
        </is>
      </c>
      <c r="B2974" s="6" t="inlineStr">
        <is>
          <t>2024-11-01</t>
        </is>
      </c>
      <c r="C2974" s="6" t="inlineStr">
        <is>
          <t>DIA</t>
        </is>
      </c>
      <c r="D2974" s="6" t="inlineStr">
        <is>
          <t>V</t>
        </is>
      </c>
      <c r="E2974" s="6" t="inlineStr">
        <is>
          <t>V</t>
        </is>
      </c>
      <c r="F2974" s="6" t="inlineStr">
        <is>
          <t>-</t>
        </is>
      </c>
      <c r="G2974" s="7" t="n">
        <v>286.9538879394531</v>
      </c>
      <c r="H2974" s="6">
        <f>P2943</f>
        <v/>
      </c>
      <c r="I2974" s="9">
        <f>Q2943</f>
        <v/>
      </c>
      <c r="J2974" s="7">
        <f>I2974*G2974</f>
        <v/>
      </c>
      <c r="K2974" s="8">
        <f>IF($J$2977=0,0,J2974/$J$2977)</f>
        <v/>
      </c>
      <c r="L2974" s="6" t="inlineStr">
        <is>
          <t>WATCHLIST</t>
        </is>
      </c>
      <c r="M2974" s="8" t="n">
        <v>0</v>
      </c>
      <c r="N2974" s="7">
        <f>M2974*$J$2977-J2974</f>
        <v/>
      </c>
      <c r="O2974" s="9">
        <f>IF(G2974=0,0,N2974/G2974)</f>
        <v/>
      </c>
      <c r="P2974" s="6">
        <f>IF(M2974&gt;0,D2974,"")</f>
        <v/>
      </c>
      <c r="Q2974" s="9">
        <f>I2974+O2974</f>
        <v/>
      </c>
      <c r="R2974" s="7">
        <f>Q2974*G2974</f>
        <v/>
      </c>
      <c r="S2974" s="8">
        <f>IF($R$2977=0,0,R2974/$R$2977)</f>
        <v/>
      </c>
      <c r="T2974" s="8" t="n">
        <v>-0.009111056112662719</v>
      </c>
      <c r="U2974" s="8" t="n">
        <v>-0.001709560442961999</v>
      </c>
      <c r="V2974" s="6" t="inlineStr">
        <is>
          <t>not selected</t>
        </is>
      </c>
    </row>
    <row r="2975">
      <c r="A2975" s="6" t="inlineStr">
        <is>
          <t>DJ30</t>
        </is>
      </c>
      <c r="B2975" s="6" t="inlineStr">
        <is>
          <t>2024-11-01</t>
        </is>
      </c>
      <c r="C2975" s="6" t="inlineStr">
        <is>
          <t>DIA</t>
        </is>
      </c>
      <c r="D2975" s="6" t="inlineStr">
        <is>
          <t>VZ</t>
        </is>
      </c>
      <c r="E2975" s="6" t="inlineStr">
        <is>
          <t>VZ</t>
        </is>
      </c>
      <c r="F2975" s="6" t="inlineStr">
        <is>
          <t>-</t>
        </is>
      </c>
      <c r="G2975" s="7" t="n">
        <v>37.47230529785156</v>
      </c>
      <c r="H2975" s="6">
        <f>P2944</f>
        <v/>
      </c>
      <c r="I2975" s="9">
        <f>Q2944</f>
        <v/>
      </c>
      <c r="J2975" s="7">
        <f>I2975*G2975</f>
        <v/>
      </c>
      <c r="K2975" s="8">
        <f>IF($J$2977=0,0,J2975/$J$2977)</f>
        <v/>
      </c>
      <c r="L2975" s="6" t="inlineStr">
        <is>
          <t>WATCHLIST</t>
        </is>
      </c>
      <c r="M2975" s="8" t="n">
        <v>0</v>
      </c>
      <c r="N2975" s="7">
        <f>M2975*$J$2977-J2975</f>
        <v/>
      </c>
      <c r="O2975" s="9">
        <f>IF(G2975=0,0,N2975/G2975)</f>
        <v/>
      </c>
      <c r="P2975" s="6">
        <f>IF(M2975&gt;0,D2975,"")</f>
        <v/>
      </c>
      <c r="Q2975" s="9">
        <f>I2975+O2975</f>
        <v/>
      </c>
      <c r="R2975" s="7">
        <f>Q2975*G2975</f>
        <v/>
      </c>
      <c r="S2975" s="8">
        <f>IF($R$2977=0,0,R2975/$R$2977)</f>
        <v/>
      </c>
      <c r="T2975" s="8" t="n">
        <v>-0.009111056112662719</v>
      </c>
      <c r="U2975" s="8" t="n">
        <v>-0.001709560442961999</v>
      </c>
      <c r="V2975" s="6" t="inlineStr">
        <is>
          <t>not selected</t>
        </is>
      </c>
    </row>
    <row r="2976">
      <c r="A2976" s="6" t="inlineStr">
        <is>
          <t>DJ30</t>
        </is>
      </c>
      <c r="B2976" s="6" t="inlineStr">
        <is>
          <t>2024-11-01</t>
        </is>
      </c>
      <c r="C2976" s="6" t="inlineStr">
        <is>
          <t>DIA</t>
        </is>
      </c>
      <c r="D2976" s="6" t="inlineStr">
        <is>
          <t>WMT</t>
        </is>
      </c>
      <c r="E2976" s="6" t="inlineStr">
        <is>
          <t>WMT</t>
        </is>
      </c>
      <c r="F2976" s="6" t="inlineStr">
        <is>
          <t>-</t>
        </is>
      </c>
      <c r="G2976" s="7" t="n">
        <v>80.90998840332031</v>
      </c>
      <c r="H2976" s="6">
        <f>P2945</f>
        <v/>
      </c>
      <c r="I2976" s="9">
        <f>Q2945</f>
        <v/>
      </c>
      <c r="J2976" s="7">
        <f>I2976*G2976</f>
        <v/>
      </c>
      <c r="K2976" s="8">
        <f>IF($J$2977=0,0,J2976/$J$2977)</f>
        <v/>
      </c>
      <c r="L2976" s="6" t="inlineStr">
        <is>
          <t>WATCHLIST</t>
        </is>
      </c>
      <c r="M2976" s="8" t="n">
        <v>0</v>
      </c>
      <c r="N2976" s="7">
        <f>M2976*$J$2977-J2976</f>
        <v/>
      </c>
      <c r="O2976" s="9">
        <f>IF(G2976=0,0,N2976/G2976)</f>
        <v/>
      </c>
      <c r="P2976" s="6">
        <f>IF(M2976&gt;0,D2976,"")</f>
        <v/>
      </c>
      <c r="Q2976" s="9">
        <f>I2976+O2976</f>
        <v/>
      </c>
      <c r="R2976" s="7">
        <f>Q2976*G2976</f>
        <v/>
      </c>
      <c r="S2976" s="8">
        <f>IF($R$2977=0,0,R2976/$R$2977)</f>
        <v/>
      </c>
      <c r="T2976" s="8" t="n">
        <v>-0.009111056112662719</v>
      </c>
      <c r="U2976" s="8" t="n">
        <v>-0.001709560442961999</v>
      </c>
      <c r="V2976" s="6" t="inlineStr">
        <is>
          <t>not selected</t>
        </is>
      </c>
    </row>
    <row r="2977">
      <c r="A2977" s="10" t="inlineStr">
        <is>
          <t>DJ30</t>
        </is>
      </c>
      <c r="B2977" s="10" t="inlineStr">
        <is>
          <t>2024-11-01</t>
        </is>
      </c>
      <c r="C2977" s="10" t="inlineStr">
        <is>
          <t>DIA</t>
        </is>
      </c>
      <c r="D2977" s="10" t="inlineStr">
        <is>
          <t>Tot Portfolio</t>
        </is>
      </c>
      <c r="E2977" s="10" t="inlineStr"/>
      <c r="F2977" s="10" t="inlineStr"/>
      <c r="G2977" s="11" t="inlineStr"/>
      <c r="H2977" s="10" t="inlineStr"/>
      <c r="I2977" s="12" t="inlineStr"/>
      <c r="J2977" s="11">
        <f>SUM(J2947:J2976)</f>
        <v/>
      </c>
      <c r="K2977" s="13">
        <f>SUM(K2947:K2976)</f>
        <v/>
      </c>
      <c r="L2977" s="10" t="inlineStr">
        <is>
          <t>TOTAL</t>
        </is>
      </c>
      <c r="M2977" s="13">
        <f>SUM(M2947:M2976)</f>
        <v/>
      </c>
      <c r="N2977" s="11">
        <f>SUM(N2947:N2976)</f>
        <v/>
      </c>
      <c r="O2977" s="12">
        <f>SUM(O2947:O2976)</f>
        <v/>
      </c>
      <c r="P2977" s="10" t="inlineStr"/>
      <c r="Q2977" s="12" t="inlineStr"/>
      <c r="R2977" s="11">
        <f>SUM(R2947:R2976)</f>
        <v/>
      </c>
      <c r="S2977" s="13">
        <f>SUM(S2947:S2976)</f>
        <v/>
      </c>
      <c r="T2977" s="13" t="n">
        <v>-0.009111056112662719</v>
      </c>
      <c r="U2977" s="13" t="n">
        <v>-0.001709560442961999</v>
      </c>
      <c r="V2977" s="10" t="inlineStr"/>
    </row>
    <row r="2978">
      <c r="A2978" s="6" t="inlineStr">
        <is>
          <t>DJ30</t>
        </is>
      </c>
      <c r="B2978" s="6" t="inlineStr">
        <is>
          <t>2024-11-08</t>
        </is>
      </c>
      <c r="C2978" s="6" t="inlineStr">
        <is>
          <t>DIA</t>
        </is>
      </c>
      <c r="D2978" s="6" t="inlineStr">
        <is>
          <t>AAPL</t>
        </is>
      </c>
      <c r="E2978" s="6" t="inlineStr">
        <is>
          <t>AAPL</t>
        </is>
      </c>
      <c r="F2978" s="6" t="inlineStr">
        <is>
          <t>-</t>
        </is>
      </c>
      <c r="G2978" s="7" t="n">
        <v>225.5191345214844</v>
      </c>
      <c r="H2978" s="6">
        <f>P2947</f>
        <v/>
      </c>
      <c r="I2978" s="9">
        <f>Q2947</f>
        <v/>
      </c>
      <c r="J2978" s="7">
        <f>I2978*G2978</f>
        <v/>
      </c>
      <c r="K2978" s="8">
        <f>IF($J$3008=0,0,J2978/$J$3008)</f>
        <v/>
      </c>
      <c r="L2978" s="6" t="inlineStr">
        <is>
          <t>WATCHLIST</t>
        </is>
      </c>
      <c r="M2978" s="8" t="n">
        <v>0</v>
      </c>
      <c r="N2978" s="7">
        <f>M2978*$J$3008-J2978</f>
        <v/>
      </c>
      <c r="O2978" s="9">
        <f>IF(G2978=0,0,N2978/G2978)</f>
        <v/>
      </c>
      <c r="P2978" s="6">
        <f>IF(M2978&gt;0,D2978,"")</f>
        <v/>
      </c>
      <c r="Q2978" s="9">
        <f>I2978+O2978</f>
        <v/>
      </c>
      <c r="R2978" s="7">
        <f>Q2978*G2978</f>
        <v/>
      </c>
      <c r="S2978" s="8">
        <f>IF($R$3008=0,0,R2978/$R$3008)</f>
        <v/>
      </c>
      <c r="T2978" s="8" t="n">
        <v>0.06198672435738706</v>
      </c>
      <c r="U2978" s="8" t="n">
        <v>0.04683419275746359</v>
      </c>
      <c r="V2978" s="6" t="inlineStr">
        <is>
          <t>not selected</t>
        </is>
      </c>
    </row>
    <row r="2979">
      <c r="A2979" s="6" t="inlineStr">
        <is>
          <t>DJ30</t>
        </is>
      </c>
      <c r="B2979" s="6" t="inlineStr">
        <is>
          <t>2024-11-08</t>
        </is>
      </c>
      <c r="C2979" s="6" t="inlineStr">
        <is>
          <t>DIA</t>
        </is>
      </c>
      <c r="D2979" s="6" t="inlineStr">
        <is>
          <t>AMGN</t>
        </is>
      </c>
      <c r="E2979" s="6" t="inlineStr">
        <is>
          <t>AMGN</t>
        </is>
      </c>
      <c r="F2979" s="6" t="inlineStr">
        <is>
          <t>-</t>
        </is>
      </c>
      <c r="G2979" s="7" t="n">
        <v>308.0496826171875</v>
      </c>
      <c r="H2979" s="6">
        <f>P2948</f>
        <v/>
      </c>
      <c r="I2979" s="9">
        <f>Q2948</f>
        <v/>
      </c>
      <c r="J2979" s="7">
        <f>I2979*G2979</f>
        <v/>
      </c>
      <c r="K2979" s="8">
        <f>IF($J$3008=0,0,J2979/$J$3008)</f>
        <v/>
      </c>
      <c r="L2979" s="6" t="inlineStr">
        <is>
          <t>WATCHLIST</t>
        </is>
      </c>
      <c r="M2979" s="8" t="n">
        <v>0</v>
      </c>
      <c r="N2979" s="7">
        <f>M2979*$J$3008-J2979</f>
        <v/>
      </c>
      <c r="O2979" s="9">
        <f>IF(G2979=0,0,N2979/G2979)</f>
        <v/>
      </c>
      <c r="P2979" s="6">
        <f>IF(M2979&gt;0,D2979,"")</f>
        <v/>
      </c>
      <c r="Q2979" s="9">
        <f>I2979+O2979</f>
        <v/>
      </c>
      <c r="R2979" s="7">
        <f>Q2979*G2979</f>
        <v/>
      </c>
      <c r="S2979" s="8">
        <f>IF($R$3008=0,0,R2979/$R$3008)</f>
        <v/>
      </c>
      <c r="T2979" s="8" t="n">
        <v>0.06198672435738706</v>
      </c>
      <c r="U2979" s="8" t="n">
        <v>0.04683419275746359</v>
      </c>
      <c r="V2979" s="6" t="inlineStr">
        <is>
          <t>not selected</t>
        </is>
      </c>
    </row>
    <row r="2980">
      <c r="A2980" s="6" t="inlineStr">
        <is>
          <t>DJ30</t>
        </is>
      </c>
      <c r="B2980" s="6" t="inlineStr">
        <is>
          <t>2024-11-08</t>
        </is>
      </c>
      <c r="C2980" s="6" t="inlineStr">
        <is>
          <t>DIA</t>
        </is>
      </c>
      <c r="D2980" s="6" t="inlineStr">
        <is>
          <t>AMZN</t>
        </is>
      </c>
      <c r="E2980" s="6" t="inlineStr">
        <is>
          <t>AMZN</t>
        </is>
      </c>
      <c r="F2980" s="6" t="inlineStr">
        <is>
          <t>-</t>
        </is>
      </c>
      <c r="G2980" s="7" t="n">
        <v>208.1799926757812</v>
      </c>
      <c r="H2980" s="6">
        <f>P2949</f>
        <v/>
      </c>
      <c r="I2980" s="9">
        <f>Q2949</f>
        <v/>
      </c>
      <c r="J2980" s="7">
        <f>I2980*G2980</f>
        <v/>
      </c>
      <c r="K2980" s="8">
        <f>IF($J$3008=0,0,J2980/$J$3008)</f>
        <v/>
      </c>
      <c r="L2980" s="6" t="inlineStr">
        <is>
          <t>WATCHLIST</t>
        </is>
      </c>
      <c r="M2980" s="8" t="n">
        <v>0</v>
      </c>
      <c r="N2980" s="7">
        <f>M2980*$J$3008-J2980</f>
        <v/>
      </c>
      <c r="O2980" s="9">
        <f>IF(G2980=0,0,N2980/G2980)</f>
        <v/>
      </c>
      <c r="P2980" s="6">
        <f>IF(M2980&gt;0,D2980,"")</f>
        <v/>
      </c>
      <c r="Q2980" s="9">
        <f>I2980+O2980</f>
        <v/>
      </c>
      <c r="R2980" s="7">
        <f>Q2980*G2980</f>
        <v/>
      </c>
      <c r="S2980" s="8">
        <f>IF($R$3008=0,0,R2980/$R$3008)</f>
        <v/>
      </c>
      <c r="T2980" s="8" t="n">
        <v>0.06198672435738706</v>
      </c>
      <c r="U2980" s="8" t="n">
        <v>0.04683419275746359</v>
      </c>
      <c r="V2980" s="6" t="inlineStr">
        <is>
          <t>not selected</t>
        </is>
      </c>
    </row>
    <row r="2981">
      <c r="A2981" s="6" t="inlineStr">
        <is>
          <t>DJ30</t>
        </is>
      </c>
      <c r="B2981" s="6" t="inlineStr">
        <is>
          <t>2024-11-08</t>
        </is>
      </c>
      <c r="C2981" s="6" t="inlineStr">
        <is>
          <t>DIA</t>
        </is>
      </c>
      <c r="D2981" s="6" t="inlineStr">
        <is>
          <t>AXP</t>
        </is>
      </c>
      <c r="E2981" s="6" t="inlineStr">
        <is>
          <t>AXP</t>
        </is>
      </c>
      <c r="F2981" s="6" t="inlineStr">
        <is>
          <t>-</t>
        </is>
      </c>
      <c r="G2981" s="7" t="n">
        <v>283.0094604492188</v>
      </c>
      <c r="H2981" s="6">
        <f>P2950</f>
        <v/>
      </c>
      <c r="I2981" s="9">
        <f>Q2950</f>
        <v/>
      </c>
      <c r="J2981" s="7">
        <f>I2981*G2981</f>
        <v/>
      </c>
      <c r="K2981" s="8">
        <f>IF($J$3008=0,0,J2981/$J$3008)</f>
        <v/>
      </c>
      <c r="L2981" s="6" t="inlineStr">
        <is>
          <t>WATCHLIST</t>
        </is>
      </c>
      <c r="M2981" s="8" t="n">
        <v>0</v>
      </c>
      <c r="N2981" s="7">
        <f>M2981*$J$3008-J2981</f>
        <v/>
      </c>
      <c r="O2981" s="9">
        <f>IF(G2981=0,0,N2981/G2981)</f>
        <v/>
      </c>
      <c r="P2981" s="6">
        <f>IF(M2981&gt;0,D2981,"")</f>
        <v/>
      </c>
      <c r="Q2981" s="9">
        <f>I2981+O2981</f>
        <v/>
      </c>
      <c r="R2981" s="7">
        <f>Q2981*G2981</f>
        <v/>
      </c>
      <c r="S2981" s="8">
        <f>IF($R$3008=0,0,R2981/$R$3008)</f>
        <v/>
      </c>
      <c r="T2981" s="8" t="n">
        <v>0.06198672435738706</v>
      </c>
      <c r="U2981" s="8" t="n">
        <v>0.04683419275746359</v>
      </c>
      <c r="V2981" s="6" t="inlineStr">
        <is>
          <t>not selected</t>
        </is>
      </c>
    </row>
    <row r="2982">
      <c r="A2982" s="6" t="inlineStr">
        <is>
          <t>DJ30</t>
        </is>
      </c>
      <c r="B2982" s="6" t="inlineStr">
        <is>
          <t>2024-11-08</t>
        </is>
      </c>
      <c r="C2982" s="6" t="inlineStr">
        <is>
          <t>DIA</t>
        </is>
      </c>
      <c r="D2982" s="6" t="inlineStr">
        <is>
          <t>BA</t>
        </is>
      </c>
      <c r="E2982" s="6" t="inlineStr">
        <is>
          <t>BA</t>
        </is>
      </c>
      <c r="F2982" s="6" t="inlineStr">
        <is>
          <t>-</t>
        </is>
      </c>
      <c r="G2982" s="7" t="n">
        <v>151.6799926757812</v>
      </c>
      <c r="H2982" s="6">
        <f>P2951</f>
        <v/>
      </c>
      <c r="I2982" s="9">
        <f>Q2951</f>
        <v/>
      </c>
      <c r="J2982" s="7">
        <f>I2982*G2982</f>
        <v/>
      </c>
      <c r="K2982" s="8">
        <f>IF($J$3008=0,0,J2982/$J$3008)</f>
        <v/>
      </c>
      <c r="L2982" s="6" t="inlineStr">
        <is>
          <t>REJECTED</t>
        </is>
      </c>
      <c r="M2982" s="8" t="n">
        <v>0</v>
      </c>
      <c r="N2982" s="7">
        <f>M2982*$J$3008-J2982</f>
        <v/>
      </c>
      <c r="O2982" s="9">
        <f>IF(G2982=0,0,N2982/G2982)</f>
        <v/>
      </c>
      <c r="P2982" s="6">
        <f>IF(M2982&gt;0,D2982,"")</f>
        <v/>
      </c>
      <c r="Q2982" s="9">
        <f>I2982+O2982</f>
        <v/>
      </c>
      <c r="R2982" s="7">
        <f>Q2982*G2982</f>
        <v/>
      </c>
      <c r="S2982" s="8">
        <f>IF($R$3008=0,0,R2982/$R$3008)</f>
        <v/>
      </c>
      <c r="T2982" s="8" t="n">
        <v>0.06198672435738706</v>
      </c>
      <c r="U2982" s="8" t="n">
        <v>0.04683419275746359</v>
      </c>
      <c r="V2982" s="6" t="inlineStr">
        <is>
          <t>not selected</t>
        </is>
      </c>
    </row>
    <row r="2983">
      <c r="A2983" s="6" t="inlineStr">
        <is>
          <t>DJ30</t>
        </is>
      </c>
      <c r="B2983" s="6" t="inlineStr">
        <is>
          <t>2024-11-08</t>
        </is>
      </c>
      <c r="C2983" s="6" t="inlineStr">
        <is>
          <t>DIA</t>
        </is>
      </c>
      <c r="D2983" s="6" t="inlineStr">
        <is>
          <t>CAT</t>
        </is>
      </c>
      <c r="E2983" s="6" t="inlineStr">
        <is>
          <t>CAT</t>
        </is>
      </c>
      <c r="F2983" s="6" t="inlineStr">
        <is>
          <t>-</t>
        </is>
      </c>
      <c r="G2983" s="7" t="n">
        <v>385.8788452148438</v>
      </c>
      <c r="H2983" s="6">
        <f>P2952</f>
        <v/>
      </c>
      <c r="I2983" s="9">
        <f>Q2952</f>
        <v/>
      </c>
      <c r="J2983" s="7">
        <f>I2983*G2983</f>
        <v/>
      </c>
      <c r="K2983" s="8">
        <f>IF($J$3008=0,0,J2983/$J$3008)</f>
        <v/>
      </c>
      <c r="L2983" s="6" t="inlineStr">
        <is>
          <t>WATCHLIST</t>
        </is>
      </c>
      <c r="M2983" s="8" t="n">
        <v>0</v>
      </c>
      <c r="N2983" s="7">
        <f>M2983*$J$3008-J2983</f>
        <v/>
      </c>
      <c r="O2983" s="9">
        <f>IF(G2983=0,0,N2983/G2983)</f>
        <v/>
      </c>
      <c r="P2983" s="6">
        <f>IF(M2983&gt;0,D2983,"")</f>
        <v/>
      </c>
      <c r="Q2983" s="9">
        <f>I2983+O2983</f>
        <v/>
      </c>
      <c r="R2983" s="7">
        <f>Q2983*G2983</f>
        <v/>
      </c>
      <c r="S2983" s="8">
        <f>IF($R$3008=0,0,R2983/$R$3008)</f>
        <v/>
      </c>
      <c r="T2983" s="8" t="n">
        <v>0.06198672435738706</v>
      </c>
      <c r="U2983" s="8" t="n">
        <v>0.04683419275746359</v>
      </c>
      <c r="V2983" s="6" t="inlineStr">
        <is>
          <t>not selected</t>
        </is>
      </c>
    </row>
    <row r="2984">
      <c r="A2984" s="6" t="inlineStr">
        <is>
          <t>DJ30</t>
        </is>
      </c>
      <c r="B2984" s="6" t="inlineStr">
        <is>
          <t>2024-11-08</t>
        </is>
      </c>
      <c r="C2984" s="6" t="inlineStr">
        <is>
          <t>DIA</t>
        </is>
      </c>
      <c r="D2984" s="6" t="inlineStr">
        <is>
          <t>CRM</t>
        </is>
      </c>
      <c r="E2984" s="6" t="inlineStr">
        <is>
          <t>CRM</t>
        </is>
      </c>
      <c r="F2984" s="6" t="inlineStr">
        <is>
          <t>-</t>
        </is>
      </c>
      <c r="G2984" s="7" t="n">
        <v>317.8797912597656</v>
      </c>
      <c r="H2984" s="6">
        <f>P2953</f>
        <v/>
      </c>
      <c r="I2984" s="9">
        <f>Q2953</f>
        <v/>
      </c>
      <c r="J2984" s="7">
        <f>I2984*G2984</f>
        <v/>
      </c>
      <c r="K2984" s="8">
        <f>IF($J$3008=0,0,J2984/$J$3008)</f>
        <v/>
      </c>
      <c r="L2984" s="6" t="inlineStr">
        <is>
          <t>REJECTED</t>
        </is>
      </c>
      <c r="M2984" s="8" t="n">
        <v>0</v>
      </c>
      <c r="N2984" s="7">
        <f>M2984*$J$3008-J2984</f>
        <v/>
      </c>
      <c r="O2984" s="9">
        <f>IF(G2984=0,0,N2984/G2984)</f>
        <v/>
      </c>
      <c r="P2984" s="6">
        <f>IF(M2984&gt;0,D2984,"")</f>
        <v/>
      </c>
      <c r="Q2984" s="9">
        <f>I2984+O2984</f>
        <v/>
      </c>
      <c r="R2984" s="7">
        <f>Q2984*G2984</f>
        <v/>
      </c>
      <c r="S2984" s="8">
        <f>IF($R$3008=0,0,R2984/$R$3008)</f>
        <v/>
      </c>
      <c r="T2984" s="8" t="n">
        <v>0.06198672435738706</v>
      </c>
      <c r="U2984" s="8" t="n">
        <v>0.04683419275746359</v>
      </c>
      <c r="V2984" s="6" t="inlineStr">
        <is>
          <t>not selected</t>
        </is>
      </c>
    </row>
    <row r="2985">
      <c r="A2985" s="6" t="inlineStr">
        <is>
          <t>DJ30</t>
        </is>
      </c>
      <c r="B2985" s="6" t="inlineStr">
        <is>
          <t>2024-11-08</t>
        </is>
      </c>
      <c r="C2985" s="6" t="inlineStr">
        <is>
          <t>DIA</t>
        </is>
      </c>
      <c r="D2985" s="6" t="inlineStr">
        <is>
          <t>CSCO</t>
        </is>
      </c>
      <c r="E2985" s="6" t="inlineStr">
        <is>
          <t>CSCO</t>
        </is>
      </c>
      <c r="F2985" s="6" t="inlineStr">
        <is>
          <t>-</t>
        </is>
      </c>
      <c r="G2985" s="7" t="n">
        <v>55.99571228027344</v>
      </c>
      <c r="H2985" s="6">
        <f>P2954</f>
        <v/>
      </c>
      <c r="I2985" s="9">
        <f>Q2954</f>
        <v/>
      </c>
      <c r="J2985" s="7">
        <f>I2985*G2985</f>
        <v/>
      </c>
      <c r="K2985" s="8">
        <f>IF($J$3008=0,0,J2985/$J$3008)</f>
        <v/>
      </c>
      <c r="L2985" s="6" t="inlineStr">
        <is>
          <t>REJECTED</t>
        </is>
      </c>
      <c r="M2985" s="8" t="n">
        <v>0</v>
      </c>
      <c r="N2985" s="7">
        <f>M2985*$J$3008-J2985</f>
        <v/>
      </c>
      <c r="O2985" s="9">
        <f>IF(G2985=0,0,N2985/G2985)</f>
        <v/>
      </c>
      <c r="P2985" s="6">
        <f>IF(M2985&gt;0,D2985,"")</f>
        <v/>
      </c>
      <c r="Q2985" s="9">
        <f>I2985+O2985</f>
        <v/>
      </c>
      <c r="R2985" s="7">
        <f>Q2985*G2985</f>
        <v/>
      </c>
      <c r="S2985" s="8">
        <f>IF($R$3008=0,0,R2985/$R$3008)</f>
        <v/>
      </c>
      <c r="T2985" s="8" t="n">
        <v>0.06198672435738706</v>
      </c>
      <c r="U2985" s="8" t="n">
        <v>0.04683419275746359</v>
      </c>
      <c r="V2985" s="6" t="inlineStr">
        <is>
          <t>not selected</t>
        </is>
      </c>
    </row>
    <row r="2986">
      <c r="A2986" s="6" t="inlineStr">
        <is>
          <t>DJ30</t>
        </is>
      </c>
      <c r="B2986" s="6" t="inlineStr">
        <is>
          <t>2024-11-08</t>
        </is>
      </c>
      <c r="C2986" s="6" t="inlineStr">
        <is>
          <t>DIA</t>
        </is>
      </c>
      <c r="D2986" s="6" t="inlineStr">
        <is>
          <t>CVX</t>
        </is>
      </c>
      <c r="E2986" s="6" t="inlineStr">
        <is>
          <t>CVX</t>
        </is>
      </c>
      <c r="F2986" s="6" t="inlineStr">
        <is>
          <t>-</t>
        </is>
      </c>
      <c r="G2986" s="7" t="n">
        <v>145.6903839111328</v>
      </c>
      <c r="H2986" s="6">
        <f>P2955</f>
        <v/>
      </c>
      <c r="I2986" s="9">
        <f>Q2955</f>
        <v/>
      </c>
      <c r="J2986" s="7">
        <f>I2986*G2986</f>
        <v/>
      </c>
      <c r="K2986" s="8">
        <f>IF($J$3008=0,0,J2986/$J$3008)</f>
        <v/>
      </c>
      <c r="L2986" s="6" t="inlineStr">
        <is>
          <t>REJECTED</t>
        </is>
      </c>
      <c r="M2986" s="8" t="n">
        <v>0</v>
      </c>
      <c r="N2986" s="7">
        <f>M2986*$J$3008-J2986</f>
        <v/>
      </c>
      <c r="O2986" s="9">
        <f>IF(G2986=0,0,N2986/G2986)</f>
        <v/>
      </c>
      <c r="P2986" s="6">
        <f>IF(M2986&gt;0,D2986,"")</f>
        <v/>
      </c>
      <c r="Q2986" s="9">
        <f>I2986+O2986</f>
        <v/>
      </c>
      <c r="R2986" s="7">
        <f>Q2986*G2986</f>
        <v/>
      </c>
      <c r="S2986" s="8">
        <f>IF($R$3008=0,0,R2986/$R$3008)</f>
        <v/>
      </c>
      <c r="T2986" s="8" t="n">
        <v>0.06198672435738706</v>
      </c>
      <c r="U2986" s="8" t="n">
        <v>0.04683419275746359</v>
      </c>
      <c r="V2986" s="6" t="inlineStr">
        <is>
          <t>not selected</t>
        </is>
      </c>
    </row>
    <row r="2987">
      <c r="A2987" s="6" t="inlineStr">
        <is>
          <t>DJ30</t>
        </is>
      </c>
      <c r="B2987" s="6" t="inlineStr">
        <is>
          <t>2024-11-08</t>
        </is>
      </c>
      <c r="C2987" s="6" t="inlineStr">
        <is>
          <t>DIA</t>
        </is>
      </c>
      <c r="D2987" s="6" t="inlineStr">
        <is>
          <t>DIS</t>
        </is>
      </c>
      <c r="E2987" s="6" t="inlineStr">
        <is>
          <t>DIS</t>
        </is>
      </c>
      <c r="F2987" s="6" t="inlineStr">
        <is>
          <t>-</t>
        </is>
      </c>
      <c r="G2987" s="7" t="n">
        <v>97.50484466552734</v>
      </c>
      <c r="H2987" s="6">
        <f>P2956</f>
        <v/>
      </c>
      <c r="I2987" s="9">
        <f>Q2956</f>
        <v/>
      </c>
      <c r="J2987" s="7">
        <f>I2987*G2987</f>
        <v/>
      </c>
      <c r="K2987" s="8">
        <f>IF($J$3008=0,0,J2987/$J$3008)</f>
        <v/>
      </c>
      <c r="L2987" s="6" t="inlineStr">
        <is>
          <t>REJECTED</t>
        </is>
      </c>
      <c r="M2987" s="8" t="n">
        <v>0</v>
      </c>
      <c r="N2987" s="7">
        <f>M2987*$J$3008-J2987</f>
        <v/>
      </c>
      <c r="O2987" s="9">
        <f>IF(G2987=0,0,N2987/G2987)</f>
        <v/>
      </c>
      <c r="P2987" s="6">
        <f>IF(M2987&gt;0,D2987,"")</f>
        <v/>
      </c>
      <c r="Q2987" s="9">
        <f>I2987+O2987</f>
        <v/>
      </c>
      <c r="R2987" s="7">
        <f>Q2987*G2987</f>
        <v/>
      </c>
      <c r="S2987" s="8">
        <f>IF($R$3008=0,0,R2987/$R$3008)</f>
        <v/>
      </c>
      <c r="T2987" s="8" t="n">
        <v>0.06198672435738706</v>
      </c>
      <c r="U2987" s="8" t="n">
        <v>0.04683419275746359</v>
      </c>
      <c r="V2987" s="6" t="inlineStr">
        <is>
          <t>not selected</t>
        </is>
      </c>
    </row>
    <row r="2988">
      <c r="A2988" s="6" t="inlineStr">
        <is>
          <t>DJ30</t>
        </is>
      </c>
      <c r="B2988" s="6" t="inlineStr">
        <is>
          <t>2024-11-08</t>
        </is>
      </c>
      <c r="C2988" s="6" t="inlineStr">
        <is>
          <t>DIA</t>
        </is>
      </c>
      <c r="D2988" s="6" t="inlineStr">
        <is>
          <t>GS</t>
        </is>
      </c>
      <c r="E2988" s="6" t="inlineStr">
        <is>
          <t>GS</t>
        </is>
      </c>
      <c r="F2988" s="6" t="inlineStr">
        <is>
          <t>-</t>
        </is>
      </c>
      <c r="G2988" s="7" t="n">
        <v>569.111572265625</v>
      </c>
      <c r="H2988" s="6">
        <f>P2957</f>
        <v/>
      </c>
      <c r="I2988" s="9">
        <f>Q2957</f>
        <v/>
      </c>
      <c r="J2988" s="7">
        <f>I2988*G2988</f>
        <v/>
      </c>
      <c r="K2988" s="8">
        <f>IF($J$3008=0,0,J2988/$J$3008)</f>
        <v/>
      </c>
      <c r="L2988" s="6" t="inlineStr">
        <is>
          <t>SELECTED</t>
        </is>
      </c>
      <c r="M2988" s="8" t="n">
        <v>0.2</v>
      </c>
      <c r="N2988" s="7">
        <f>M2988*$J$3008-J2988</f>
        <v/>
      </c>
      <c r="O2988" s="9">
        <f>IF(G2988=0,0,N2988/G2988)</f>
        <v/>
      </c>
      <c r="P2988" s="6">
        <f>IF(M2988&gt;0,D2988,"")</f>
        <v/>
      </c>
      <c r="Q2988" s="9">
        <f>I2988+O2988</f>
        <v/>
      </c>
      <c r="R2988" s="7">
        <f>Q2988*G2988</f>
        <v/>
      </c>
      <c r="S2988" s="8">
        <f>IF($R$3008=0,0,R2988/$R$3008)</f>
        <v/>
      </c>
      <c r="T2988" s="8" t="n">
        <v>0.06198672435738706</v>
      </c>
      <c r="U2988" s="8" t="n">
        <v>0.04683419275746359</v>
      </c>
      <c r="V2988" s="6" t="inlineStr">
        <is>
          <t>remained in weekly selection</t>
        </is>
      </c>
    </row>
    <row r="2989">
      <c r="A2989" s="6" t="inlineStr">
        <is>
          <t>DJ30</t>
        </is>
      </c>
      <c r="B2989" s="6" t="inlineStr">
        <is>
          <t>2024-11-08</t>
        </is>
      </c>
      <c r="C2989" s="6" t="inlineStr">
        <is>
          <t>DIA</t>
        </is>
      </c>
      <c r="D2989" s="6" t="inlineStr">
        <is>
          <t>HD</t>
        </is>
      </c>
      <c r="E2989" s="6" t="inlineStr">
        <is>
          <t>HD</t>
        </is>
      </c>
      <c r="F2989" s="6" t="inlineStr">
        <is>
          <t>-</t>
        </is>
      </c>
      <c r="G2989" s="7" t="n">
        <v>388.4222717285156</v>
      </c>
      <c r="H2989" s="6">
        <f>P2958</f>
        <v/>
      </c>
      <c r="I2989" s="9">
        <f>Q2958</f>
        <v/>
      </c>
      <c r="J2989" s="7">
        <f>I2989*G2989</f>
        <v/>
      </c>
      <c r="K2989" s="8">
        <f>IF($J$3008=0,0,J2989/$J$3008)</f>
        <v/>
      </c>
      <c r="L2989" s="6" t="inlineStr">
        <is>
          <t>WATCHLIST</t>
        </is>
      </c>
      <c r="M2989" s="8" t="n">
        <v>0</v>
      </c>
      <c r="N2989" s="7">
        <f>M2989*$J$3008-J2989</f>
        <v/>
      </c>
      <c r="O2989" s="9">
        <f>IF(G2989=0,0,N2989/G2989)</f>
        <v/>
      </c>
      <c r="P2989" s="6">
        <f>IF(M2989&gt;0,D2989,"")</f>
        <v/>
      </c>
      <c r="Q2989" s="9">
        <f>I2989+O2989</f>
        <v/>
      </c>
      <c r="R2989" s="7">
        <f>Q2989*G2989</f>
        <v/>
      </c>
      <c r="S2989" s="8">
        <f>IF($R$3008=0,0,R2989/$R$3008)</f>
        <v/>
      </c>
      <c r="T2989" s="8" t="n">
        <v>0.06198672435738706</v>
      </c>
      <c r="U2989" s="8" t="n">
        <v>0.04683419275746359</v>
      </c>
      <c r="V2989" s="6" t="inlineStr">
        <is>
          <t>not selected</t>
        </is>
      </c>
    </row>
    <row r="2990">
      <c r="A2990" s="6" t="inlineStr">
        <is>
          <t>DJ30</t>
        </is>
      </c>
      <c r="B2990" s="6" t="inlineStr">
        <is>
          <t>2024-11-08</t>
        </is>
      </c>
      <c r="C2990" s="6" t="inlineStr">
        <is>
          <t>DIA</t>
        </is>
      </c>
      <c r="D2990" s="6" t="inlineStr">
        <is>
          <t>HON</t>
        </is>
      </c>
      <c r="E2990" s="6" t="inlineStr">
        <is>
          <t>HON</t>
        </is>
      </c>
      <c r="F2990" s="6" t="inlineStr">
        <is>
          <t>-</t>
        </is>
      </c>
      <c r="G2990" s="7" t="n">
        <v>199.3681030273437</v>
      </c>
      <c r="H2990" s="6">
        <f>P2959</f>
        <v/>
      </c>
      <c r="I2990" s="9">
        <f>Q2959</f>
        <v/>
      </c>
      <c r="J2990" s="7">
        <f>I2990*G2990</f>
        <v/>
      </c>
      <c r="K2990" s="8">
        <f>IF($J$3008=0,0,J2990/$J$3008)</f>
        <v/>
      </c>
      <c r="L2990" s="6" t="inlineStr">
        <is>
          <t>WATCHLIST</t>
        </is>
      </c>
      <c r="M2990" s="8" t="n">
        <v>0</v>
      </c>
      <c r="N2990" s="7">
        <f>M2990*$J$3008-J2990</f>
        <v/>
      </c>
      <c r="O2990" s="9">
        <f>IF(G2990=0,0,N2990/G2990)</f>
        <v/>
      </c>
      <c r="P2990" s="6">
        <f>IF(M2990&gt;0,D2990,"")</f>
        <v/>
      </c>
      <c r="Q2990" s="9">
        <f>I2990+O2990</f>
        <v/>
      </c>
      <c r="R2990" s="7">
        <f>Q2990*G2990</f>
        <v/>
      </c>
      <c r="S2990" s="8">
        <f>IF($R$3008=0,0,R2990/$R$3008)</f>
        <v/>
      </c>
      <c r="T2990" s="8" t="n">
        <v>0.06198672435738706</v>
      </c>
      <c r="U2990" s="8" t="n">
        <v>0.04683419275746359</v>
      </c>
      <c r="V2990" s="6" t="inlineStr">
        <is>
          <t>not selected</t>
        </is>
      </c>
    </row>
    <row r="2991">
      <c r="A2991" s="6" t="inlineStr">
        <is>
          <t>DJ30</t>
        </is>
      </c>
      <c r="B2991" s="6" t="inlineStr">
        <is>
          <t>2024-11-08</t>
        </is>
      </c>
      <c r="C2991" s="6" t="inlineStr">
        <is>
          <t>DIA</t>
        </is>
      </c>
      <c r="D2991" s="6" t="inlineStr">
        <is>
          <t>IBM</t>
        </is>
      </c>
      <c r="E2991" s="6" t="inlineStr">
        <is>
          <t>IBM</t>
        </is>
      </c>
      <c r="F2991" s="6" t="inlineStr">
        <is>
          <t>-</t>
        </is>
      </c>
      <c r="G2991" s="7" t="n">
        <v>204.0344543457031</v>
      </c>
      <c r="H2991" s="6">
        <f>P2960</f>
        <v/>
      </c>
      <c r="I2991" s="9">
        <f>Q2960</f>
        <v/>
      </c>
      <c r="J2991" s="7">
        <f>I2991*G2991</f>
        <v/>
      </c>
      <c r="K2991" s="8">
        <f>IF($J$3008=0,0,J2991/$J$3008)</f>
        <v/>
      </c>
      <c r="L2991" s="6" t="inlineStr">
        <is>
          <t>WATCHLIST</t>
        </is>
      </c>
      <c r="M2991" s="8" t="n">
        <v>0</v>
      </c>
      <c r="N2991" s="7">
        <f>M2991*$J$3008-J2991</f>
        <v/>
      </c>
      <c r="O2991" s="9">
        <f>IF(G2991=0,0,N2991/G2991)</f>
        <v/>
      </c>
      <c r="P2991" s="6">
        <f>IF(M2991&gt;0,D2991,"")</f>
        <v/>
      </c>
      <c r="Q2991" s="9">
        <f>I2991+O2991</f>
        <v/>
      </c>
      <c r="R2991" s="7">
        <f>Q2991*G2991</f>
        <v/>
      </c>
      <c r="S2991" s="8">
        <f>IF($R$3008=0,0,R2991/$R$3008)</f>
        <v/>
      </c>
      <c r="T2991" s="8" t="n">
        <v>0.06198672435738706</v>
      </c>
      <c r="U2991" s="8" t="n">
        <v>0.04683419275746359</v>
      </c>
      <c r="V2991" s="6" t="inlineStr">
        <is>
          <t>not selected</t>
        </is>
      </c>
    </row>
    <row r="2992">
      <c r="A2992" s="6" t="inlineStr">
        <is>
          <t>DJ30</t>
        </is>
      </c>
      <c r="B2992" s="6" t="inlineStr">
        <is>
          <t>2024-11-08</t>
        </is>
      </c>
      <c r="C2992" s="6" t="inlineStr">
        <is>
          <t>DIA</t>
        </is>
      </c>
      <c r="D2992" s="6" t="inlineStr">
        <is>
          <t>JNJ</t>
        </is>
      </c>
      <c r="E2992" s="6" t="inlineStr">
        <is>
          <t>JNJ</t>
        </is>
      </c>
      <c r="F2992" s="6" t="inlineStr">
        <is>
          <t>-</t>
        </is>
      </c>
      <c r="G2992" s="7" t="n">
        <v>148.0089569091797</v>
      </c>
      <c r="H2992" s="6">
        <f>P2961</f>
        <v/>
      </c>
      <c r="I2992" s="9">
        <f>Q2961</f>
        <v/>
      </c>
      <c r="J2992" s="7">
        <f>I2992*G2992</f>
        <v/>
      </c>
      <c r="K2992" s="8">
        <f>IF($J$3008=0,0,J2992/$J$3008)</f>
        <v/>
      </c>
      <c r="L2992" s="6" t="inlineStr">
        <is>
          <t>REJECTED</t>
        </is>
      </c>
      <c r="M2992" s="8" t="n">
        <v>0</v>
      </c>
      <c r="N2992" s="7">
        <f>M2992*$J$3008-J2992</f>
        <v/>
      </c>
      <c r="O2992" s="9">
        <f>IF(G2992=0,0,N2992/G2992)</f>
        <v/>
      </c>
      <c r="P2992" s="6">
        <f>IF(M2992&gt;0,D2992,"")</f>
        <v/>
      </c>
      <c r="Q2992" s="9">
        <f>I2992+O2992</f>
        <v/>
      </c>
      <c r="R2992" s="7">
        <f>Q2992*G2992</f>
        <v/>
      </c>
      <c r="S2992" s="8">
        <f>IF($R$3008=0,0,R2992/$R$3008)</f>
        <v/>
      </c>
      <c r="T2992" s="8" t="n">
        <v>0.06198672435738706</v>
      </c>
      <c r="U2992" s="8" t="n">
        <v>0.04683419275746359</v>
      </c>
      <c r="V2992" s="6" t="inlineStr">
        <is>
          <t>not selected</t>
        </is>
      </c>
    </row>
    <row r="2993">
      <c r="A2993" s="6" t="inlineStr">
        <is>
          <t>DJ30</t>
        </is>
      </c>
      <c r="B2993" s="6" t="inlineStr">
        <is>
          <t>2024-11-08</t>
        </is>
      </c>
      <c r="C2993" s="6" t="inlineStr">
        <is>
          <t>DIA</t>
        </is>
      </c>
      <c r="D2993" s="6" t="inlineStr">
        <is>
          <t>JPM</t>
        </is>
      </c>
      <c r="E2993" s="6" t="inlineStr">
        <is>
          <t>JPM</t>
        </is>
      </c>
      <c r="F2993" s="6" t="inlineStr">
        <is>
          <t>-</t>
        </is>
      </c>
      <c r="G2993" s="7" t="n">
        <v>229.8489685058593</v>
      </c>
      <c r="H2993" s="6">
        <f>P2962</f>
        <v/>
      </c>
      <c r="I2993" s="9">
        <f>Q2962</f>
        <v/>
      </c>
      <c r="J2993" s="7">
        <f>I2993*G2993</f>
        <v/>
      </c>
      <c r="K2993" s="8">
        <f>IF($J$3008=0,0,J2993/$J$3008)</f>
        <v/>
      </c>
      <c r="L2993" s="6" t="inlineStr">
        <is>
          <t>WATCHLIST</t>
        </is>
      </c>
      <c r="M2993" s="8" t="n">
        <v>0</v>
      </c>
      <c r="N2993" s="7">
        <f>M2993*$J$3008-J2993</f>
        <v/>
      </c>
      <c r="O2993" s="9">
        <f>IF(G2993=0,0,N2993/G2993)</f>
        <v/>
      </c>
      <c r="P2993" s="6">
        <f>IF(M2993&gt;0,D2993,"")</f>
        <v/>
      </c>
      <c r="Q2993" s="9">
        <f>I2993+O2993</f>
        <v/>
      </c>
      <c r="R2993" s="7">
        <f>Q2993*G2993</f>
        <v/>
      </c>
      <c r="S2993" s="8">
        <f>IF($R$3008=0,0,R2993/$R$3008)</f>
        <v/>
      </c>
      <c r="T2993" s="8" t="n">
        <v>0.06198672435738706</v>
      </c>
      <c r="U2993" s="8" t="n">
        <v>0.04683419275746359</v>
      </c>
      <c r="V2993" s="6" t="inlineStr">
        <is>
          <t>not selected</t>
        </is>
      </c>
    </row>
    <row r="2994">
      <c r="A2994" s="6" t="inlineStr">
        <is>
          <t>DJ30</t>
        </is>
      </c>
      <c r="B2994" s="6" t="inlineStr">
        <is>
          <t>2024-11-08</t>
        </is>
      </c>
      <c r="C2994" s="6" t="inlineStr">
        <is>
          <t>DIA</t>
        </is>
      </c>
      <c r="D2994" s="6" t="inlineStr">
        <is>
          <t>KO</t>
        </is>
      </c>
      <c r="E2994" s="6" t="inlineStr">
        <is>
          <t>KO</t>
        </is>
      </c>
      <c r="F2994" s="6" t="inlineStr">
        <is>
          <t>-</t>
        </is>
      </c>
      <c r="G2994" s="7" t="n">
        <v>60.80742263793945</v>
      </c>
      <c r="H2994" s="6">
        <f>P2963</f>
        <v/>
      </c>
      <c r="I2994" s="9">
        <f>Q2963</f>
        <v/>
      </c>
      <c r="J2994" s="7">
        <f>I2994*G2994</f>
        <v/>
      </c>
      <c r="K2994" s="8">
        <f>IF($J$3008=0,0,J2994/$J$3008)</f>
        <v/>
      </c>
      <c r="L2994" s="6" t="inlineStr">
        <is>
          <t>SELECTED</t>
        </is>
      </c>
      <c r="M2994" s="8" t="n">
        <v>0.2</v>
      </c>
      <c r="N2994" s="7">
        <f>M2994*$J$3008-J2994</f>
        <v/>
      </c>
      <c r="O2994" s="9">
        <f>IF(G2994=0,0,N2994/G2994)</f>
        <v/>
      </c>
      <c r="P2994" s="6">
        <f>IF(M2994&gt;0,D2994,"")</f>
        <v/>
      </c>
      <c r="Q2994" s="9">
        <f>I2994+O2994</f>
        <v/>
      </c>
      <c r="R2994" s="7">
        <f>Q2994*G2994</f>
        <v/>
      </c>
      <c r="S2994" s="8">
        <f>IF($R$3008=0,0,R2994/$R$3008)</f>
        <v/>
      </c>
      <c r="T2994" s="8" t="n">
        <v>0.06198672435738706</v>
      </c>
      <c r="U2994" s="8" t="n">
        <v>0.04683419275746359</v>
      </c>
      <c r="V2994" s="6" t="inlineStr">
        <is>
          <t>remained in weekly selection</t>
        </is>
      </c>
    </row>
    <row r="2995">
      <c r="A2995" s="6" t="inlineStr">
        <is>
          <t>DJ30</t>
        </is>
      </c>
      <c r="B2995" s="6" t="inlineStr">
        <is>
          <t>2024-11-08</t>
        </is>
      </c>
      <c r="C2995" s="6" t="inlineStr">
        <is>
          <t>DIA</t>
        </is>
      </c>
      <c r="D2995" s="6" t="inlineStr">
        <is>
          <t>MCD</t>
        </is>
      </c>
      <c r="E2995" s="6" t="inlineStr">
        <is>
          <t>MCD</t>
        </is>
      </c>
      <c r="F2995" s="6" t="inlineStr">
        <is>
          <t>-</t>
        </is>
      </c>
      <c r="G2995" s="7" t="n">
        <v>286.8498840332031</v>
      </c>
      <c r="H2995" s="6">
        <f>P2964</f>
        <v/>
      </c>
      <c r="I2995" s="9">
        <f>Q2964</f>
        <v/>
      </c>
      <c r="J2995" s="7">
        <f>I2995*G2995</f>
        <v/>
      </c>
      <c r="K2995" s="8">
        <f>IF($J$3008=0,0,J2995/$J$3008)</f>
        <v/>
      </c>
      <c r="L2995" s="6" t="inlineStr">
        <is>
          <t>REJECTED</t>
        </is>
      </c>
      <c r="M2995" s="8" t="n">
        <v>0</v>
      </c>
      <c r="N2995" s="7">
        <f>M2995*$J$3008-J2995</f>
        <v/>
      </c>
      <c r="O2995" s="9">
        <f>IF(G2995=0,0,N2995/G2995)</f>
        <v/>
      </c>
      <c r="P2995" s="6">
        <f>IF(M2995&gt;0,D2995,"")</f>
        <v/>
      </c>
      <c r="Q2995" s="9">
        <f>I2995+O2995</f>
        <v/>
      </c>
      <c r="R2995" s="7">
        <f>Q2995*G2995</f>
        <v/>
      </c>
      <c r="S2995" s="8">
        <f>IF($R$3008=0,0,R2995/$R$3008)</f>
        <v/>
      </c>
      <c r="T2995" s="8" t="n">
        <v>0.06198672435738706</v>
      </c>
      <c r="U2995" s="8" t="n">
        <v>0.04683419275746359</v>
      </c>
      <c r="V2995" s="6" t="inlineStr">
        <is>
          <t>not selected</t>
        </is>
      </c>
    </row>
    <row r="2996">
      <c r="A2996" s="6" t="inlineStr">
        <is>
          <t>DJ30</t>
        </is>
      </c>
      <c r="B2996" s="6" t="inlineStr">
        <is>
          <t>2024-11-08</t>
        </is>
      </c>
      <c r="C2996" s="6" t="inlineStr">
        <is>
          <t>DIA</t>
        </is>
      </c>
      <c r="D2996" s="6" t="inlineStr">
        <is>
          <t>MMM</t>
        </is>
      </c>
      <c r="E2996" s="6" t="inlineStr">
        <is>
          <t>MMM</t>
        </is>
      </c>
      <c r="F2996" s="6" t="inlineStr">
        <is>
          <t>-</t>
        </is>
      </c>
      <c r="G2996" s="7" t="n">
        <v>129.8954772949219</v>
      </c>
      <c r="H2996" s="6">
        <f>P2965</f>
        <v/>
      </c>
      <c r="I2996" s="9">
        <f>Q2965</f>
        <v/>
      </c>
      <c r="J2996" s="7">
        <f>I2996*G2996</f>
        <v/>
      </c>
      <c r="K2996" s="8">
        <f>IF($J$3008=0,0,J2996/$J$3008)</f>
        <v/>
      </c>
      <c r="L2996" s="6" t="inlineStr">
        <is>
          <t>SELECTED</t>
        </is>
      </c>
      <c r="M2996" s="8" t="n">
        <v>0.2</v>
      </c>
      <c r="N2996" s="7">
        <f>M2996*$J$3008-J2996</f>
        <v/>
      </c>
      <c r="O2996" s="9">
        <f>IF(G2996=0,0,N2996/G2996)</f>
        <v/>
      </c>
      <c r="P2996" s="6">
        <f>IF(M2996&gt;0,D2996,"")</f>
        <v/>
      </c>
      <c r="Q2996" s="9">
        <f>I2996+O2996</f>
        <v/>
      </c>
      <c r="R2996" s="7">
        <f>Q2996*G2996</f>
        <v/>
      </c>
      <c r="S2996" s="8">
        <f>IF($R$3008=0,0,R2996/$R$3008)</f>
        <v/>
      </c>
      <c r="T2996" s="8" t="n">
        <v>0.06198672435738706</v>
      </c>
      <c r="U2996" s="8" t="n">
        <v>0.04683419275746359</v>
      </c>
      <c r="V2996" s="6" t="inlineStr">
        <is>
          <t>remained in weekly selection</t>
        </is>
      </c>
    </row>
    <row r="2997">
      <c r="A2997" s="6" t="inlineStr">
        <is>
          <t>DJ30</t>
        </is>
      </c>
      <c r="B2997" s="6" t="inlineStr">
        <is>
          <t>2024-11-08</t>
        </is>
      </c>
      <c r="C2997" s="6" t="inlineStr">
        <is>
          <t>DIA</t>
        </is>
      </c>
      <c r="D2997" s="6" t="inlineStr">
        <is>
          <t>MRK</t>
        </is>
      </c>
      <c r="E2997" s="6" t="inlineStr">
        <is>
          <t>MRK</t>
        </is>
      </c>
      <c r="F2997" s="6" t="inlineStr">
        <is>
          <t>-</t>
        </is>
      </c>
      <c r="G2997" s="7" t="n">
        <v>96.9823760986328</v>
      </c>
      <c r="H2997" s="6">
        <f>P2966</f>
        <v/>
      </c>
      <c r="I2997" s="9">
        <f>Q2966</f>
        <v/>
      </c>
      <c r="J2997" s="7">
        <f>I2997*G2997</f>
        <v/>
      </c>
      <c r="K2997" s="8">
        <f>IF($J$3008=0,0,J2997/$J$3008)</f>
        <v/>
      </c>
      <c r="L2997" s="6" t="inlineStr">
        <is>
          <t>REJECTED</t>
        </is>
      </c>
      <c r="M2997" s="8" t="n">
        <v>0</v>
      </c>
      <c r="N2997" s="7">
        <f>M2997*$J$3008-J2997</f>
        <v/>
      </c>
      <c r="O2997" s="9">
        <f>IF(G2997=0,0,N2997/G2997)</f>
        <v/>
      </c>
      <c r="P2997" s="6">
        <f>IF(M2997&gt;0,D2997,"")</f>
        <v/>
      </c>
      <c r="Q2997" s="9">
        <f>I2997+O2997</f>
        <v/>
      </c>
      <c r="R2997" s="7">
        <f>Q2997*G2997</f>
        <v/>
      </c>
      <c r="S2997" s="8">
        <f>IF($R$3008=0,0,R2997/$R$3008)</f>
        <v/>
      </c>
      <c r="T2997" s="8" t="n">
        <v>0.06198672435738706</v>
      </c>
      <c r="U2997" s="8" t="n">
        <v>0.04683419275746359</v>
      </c>
      <c r="V2997" s="6" t="inlineStr">
        <is>
          <t>not selected</t>
        </is>
      </c>
    </row>
    <row r="2998">
      <c r="A2998" s="6" t="inlineStr">
        <is>
          <t>DJ30</t>
        </is>
      </c>
      <c r="B2998" s="6" t="inlineStr">
        <is>
          <t>2024-11-08</t>
        </is>
      </c>
      <c r="C2998" s="6" t="inlineStr">
        <is>
          <t>DIA</t>
        </is>
      </c>
      <c r="D2998" s="6" t="inlineStr">
        <is>
          <t>MSFT</t>
        </is>
      </c>
      <c r="E2998" s="6" t="inlineStr">
        <is>
          <t>MSFT</t>
        </is>
      </c>
      <c r="F2998" s="6" t="inlineStr">
        <is>
          <t>-</t>
        </is>
      </c>
      <c r="G2998" s="7" t="n">
        <v>416.7520446777344</v>
      </c>
      <c r="H2998" s="6">
        <f>P2967</f>
        <v/>
      </c>
      <c r="I2998" s="9">
        <f>Q2967</f>
        <v/>
      </c>
      <c r="J2998" s="7">
        <f>I2998*G2998</f>
        <v/>
      </c>
      <c r="K2998" s="8">
        <f>IF($J$3008=0,0,J2998/$J$3008)</f>
        <v/>
      </c>
      <c r="L2998" s="6" t="inlineStr">
        <is>
          <t>WATCHLIST</t>
        </is>
      </c>
      <c r="M2998" s="8" t="n">
        <v>0</v>
      </c>
      <c r="N2998" s="7">
        <f>M2998*$J$3008-J2998</f>
        <v/>
      </c>
      <c r="O2998" s="9">
        <f>IF(G2998=0,0,N2998/G2998)</f>
        <v/>
      </c>
      <c r="P2998" s="6">
        <f>IF(M2998&gt;0,D2998,"")</f>
        <v/>
      </c>
      <c r="Q2998" s="9">
        <f>I2998+O2998</f>
        <v/>
      </c>
      <c r="R2998" s="7">
        <f>Q2998*G2998</f>
        <v/>
      </c>
      <c r="S2998" s="8">
        <f>IF($R$3008=0,0,R2998/$R$3008)</f>
        <v/>
      </c>
      <c r="T2998" s="8" t="n">
        <v>0.06198672435738706</v>
      </c>
      <c r="U2998" s="8" t="n">
        <v>0.04683419275746359</v>
      </c>
      <c r="V2998" s="6" t="inlineStr">
        <is>
          <t>not selected</t>
        </is>
      </c>
    </row>
    <row r="2999">
      <c r="A2999" s="6" t="inlineStr">
        <is>
          <t>DJ30</t>
        </is>
      </c>
      <c r="B2999" s="6" t="inlineStr">
        <is>
          <t>2024-11-08</t>
        </is>
      </c>
      <c r="C2999" s="6" t="inlineStr">
        <is>
          <t>DIA</t>
        </is>
      </c>
      <c r="D2999" s="6" t="inlineStr">
        <is>
          <t>NKE</t>
        </is>
      </c>
      <c r="E2999" s="6" t="inlineStr">
        <is>
          <t>NKE</t>
        </is>
      </c>
      <c r="F2999" s="6" t="inlineStr">
        <is>
          <t>-</t>
        </is>
      </c>
      <c r="G2999" s="7" t="n">
        <v>72.62567901611328</v>
      </c>
      <c r="H2999" s="6">
        <f>P2968</f>
        <v/>
      </c>
      <c r="I2999" s="9">
        <f>Q2968</f>
        <v/>
      </c>
      <c r="J2999" s="7">
        <f>I2999*G2999</f>
        <v/>
      </c>
      <c r="K2999" s="8">
        <f>IF($J$3008=0,0,J2999/$J$3008)</f>
        <v/>
      </c>
      <c r="L2999" s="6" t="inlineStr">
        <is>
          <t>REJECTED</t>
        </is>
      </c>
      <c r="M2999" s="8" t="n">
        <v>0</v>
      </c>
      <c r="N2999" s="7">
        <f>M2999*$J$3008-J2999</f>
        <v/>
      </c>
      <c r="O2999" s="9">
        <f>IF(G2999=0,0,N2999/G2999)</f>
        <v/>
      </c>
      <c r="P2999" s="6">
        <f>IF(M2999&gt;0,D2999,"")</f>
        <v/>
      </c>
      <c r="Q2999" s="9">
        <f>I2999+O2999</f>
        <v/>
      </c>
      <c r="R2999" s="7">
        <f>Q2999*G2999</f>
        <v/>
      </c>
      <c r="S2999" s="8">
        <f>IF($R$3008=0,0,R2999/$R$3008)</f>
        <v/>
      </c>
      <c r="T2999" s="8" t="n">
        <v>0.06198672435738706</v>
      </c>
      <c r="U2999" s="8" t="n">
        <v>0.04683419275746359</v>
      </c>
      <c r="V2999" s="6" t="inlineStr">
        <is>
          <t>not selected</t>
        </is>
      </c>
    </row>
    <row r="3000">
      <c r="A3000" s="6" t="inlineStr">
        <is>
          <t>DJ30</t>
        </is>
      </c>
      <c r="B3000" s="6" t="inlineStr">
        <is>
          <t>2024-11-08</t>
        </is>
      </c>
      <c r="C3000" s="6" t="inlineStr">
        <is>
          <t>DIA</t>
        </is>
      </c>
      <c r="D3000" s="6" t="inlineStr">
        <is>
          <t>NVDA</t>
        </is>
      </c>
      <c r="E3000" s="6" t="inlineStr">
        <is>
          <t>NVDA</t>
        </is>
      </c>
      <c r="F3000" s="6" t="inlineStr">
        <is>
          <t>-</t>
        </is>
      </c>
      <c r="G3000" s="7" t="n">
        <v>147.3996734619141</v>
      </c>
      <c r="H3000" s="6">
        <f>P2969</f>
        <v/>
      </c>
      <c r="I3000" s="9">
        <f>Q2969</f>
        <v/>
      </c>
      <c r="J3000" s="7">
        <f>I3000*G3000</f>
        <v/>
      </c>
      <c r="K3000" s="8">
        <f>IF($J$3008=0,0,J3000/$J$3008)</f>
        <v/>
      </c>
      <c r="L3000" s="6" t="inlineStr">
        <is>
          <t>SELECTED</t>
        </is>
      </c>
      <c r="M3000" s="8" t="n">
        <v>0.2</v>
      </c>
      <c r="N3000" s="7">
        <f>M3000*$J$3008-J3000</f>
        <v/>
      </c>
      <c r="O3000" s="9">
        <f>IF(G3000=0,0,N3000/G3000)</f>
        <v/>
      </c>
      <c r="P3000" s="6">
        <f>IF(M3000&gt;0,D3000,"")</f>
        <v/>
      </c>
      <c r="Q3000" s="9">
        <f>I3000+O3000</f>
        <v/>
      </c>
      <c r="R3000" s="7">
        <f>Q3000*G3000</f>
        <v/>
      </c>
      <c r="S3000" s="8">
        <f>IF($R$3008=0,0,R3000/$R$3008)</f>
        <v/>
      </c>
      <c r="T3000" s="8" t="n">
        <v>0.06198672435738706</v>
      </c>
      <c r="U3000" s="8" t="n">
        <v>0.04683419275746359</v>
      </c>
      <c r="V3000" s="6" t="inlineStr">
        <is>
          <t>remained in weekly selection</t>
        </is>
      </c>
    </row>
    <row r="3001">
      <c r="A3001" s="6" t="inlineStr">
        <is>
          <t>DJ30</t>
        </is>
      </c>
      <c r="B3001" s="6" t="inlineStr">
        <is>
          <t>2024-11-08</t>
        </is>
      </c>
      <c r="C3001" s="6" t="inlineStr">
        <is>
          <t>DIA</t>
        </is>
      </c>
      <c r="D3001" s="6" t="inlineStr">
        <is>
          <t>PG</t>
        </is>
      </c>
      <c r="E3001" s="6" t="inlineStr">
        <is>
          <t>PG</t>
        </is>
      </c>
      <c r="F3001" s="6" t="inlineStr">
        <is>
          <t>-</t>
        </is>
      </c>
      <c r="G3001" s="7" t="n">
        <v>161.0286712646484</v>
      </c>
      <c r="H3001" s="6">
        <f>P2970</f>
        <v/>
      </c>
      <c r="I3001" s="9">
        <f>Q2970</f>
        <v/>
      </c>
      <c r="J3001" s="7">
        <f>I3001*G3001</f>
        <v/>
      </c>
      <c r="K3001" s="8">
        <f>IF($J$3008=0,0,J3001/$J$3008)</f>
        <v/>
      </c>
      <c r="L3001" s="6" t="inlineStr">
        <is>
          <t>WATCHLIST</t>
        </is>
      </c>
      <c r="M3001" s="8" t="n">
        <v>0</v>
      </c>
      <c r="N3001" s="7">
        <f>M3001*$J$3008-J3001</f>
        <v/>
      </c>
      <c r="O3001" s="9">
        <f>IF(G3001=0,0,N3001/G3001)</f>
        <v/>
      </c>
      <c r="P3001" s="6">
        <f>IF(M3001&gt;0,D3001,"")</f>
        <v/>
      </c>
      <c r="Q3001" s="9">
        <f>I3001+O3001</f>
        <v/>
      </c>
      <c r="R3001" s="7">
        <f>Q3001*G3001</f>
        <v/>
      </c>
      <c r="S3001" s="8">
        <f>IF($R$3008=0,0,R3001/$R$3008)</f>
        <v/>
      </c>
      <c r="T3001" s="8" t="n">
        <v>0.06198672435738706</v>
      </c>
      <c r="U3001" s="8" t="n">
        <v>0.04683419275746359</v>
      </c>
      <c r="V3001" s="6" t="inlineStr">
        <is>
          <t>not selected</t>
        </is>
      </c>
    </row>
    <row r="3002">
      <c r="A3002" s="6" t="inlineStr">
        <is>
          <t>DJ30</t>
        </is>
      </c>
      <c r="B3002" s="6" t="inlineStr">
        <is>
          <t>2024-11-08</t>
        </is>
      </c>
      <c r="C3002" s="6" t="inlineStr">
        <is>
          <t>DIA</t>
        </is>
      </c>
      <c r="D3002" s="6" t="inlineStr">
        <is>
          <t>SHW</t>
        </is>
      </c>
      <c r="E3002" s="6" t="inlineStr">
        <is>
          <t>SHW</t>
        </is>
      </c>
      <c r="F3002" s="6" t="inlineStr">
        <is>
          <t>-</t>
        </is>
      </c>
      <c r="G3002" s="7" t="n">
        <v>380.7193298339844</v>
      </c>
      <c r="H3002" s="6">
        <f>P2971</f>
        <v/>
      </c>
      <c r="I3002" s="9">
        <f>Q2971</f>
        <v/>
      </c>
      <c r="J3002" s="7">
        <f>I3002*G3002</f>
        <v/>
      </c>
      <c r="K3002" s="8">
        <f>IF($J$3008=0,0,J3002/$J$3008)</f>
        <v/>
      </c>
      <c r="L3002" s="6" t="inlineStr">
        <is>
          <t>WATCHLIST</t>
        </is>
      </c>
      <c r="M3002" s="8" t="n">
        <v>0</v>
      </c>
      <c r="N3002" s="7">
        <f>M3002*$J$3008-J3002</f>
        <v/>
      </c>
      <c r="O3002" s="9">
        <f>IF(G3002=0,0,N3002/G3002)</f>
        <v/>
      </c>
      <c r="P3002" s="6">
        <f>IF(M3002&gt;0,D3002,"")</f>
        <v/>
      </c>
      <c r="Q3002" s="9">
        <f>I3002+O3002</f>
        <v/>
      </c>
      <c r="R3002" s="7">
        <f>Q3002*G3002</f>
        <v/>
      </c>
      <c r="S3002" s="8">
        <f>IF($R$3008=0,0,R3002/$R$3008)</f>
        <v/>
      </c>
      <c r="T3002" s="8" t="n">
        <v>0.06198672435738706</v>
      </c>
      <c r="U3002" s="8" t="n">
        <v>0.04683419275746359</v>
      </c>
      <c r="V3002" s="6" t="inlineStr">
        <is>
          <t>not selected</t>
        </is>
      </c>
    </row>
    <row r="3003">
      <c r="A3003" s="6" t="inlineStr">
        <is>
          <t>DJ30</t>
        </is>
      </c>
      <c r="B3003" s="6" t="inlineStr">
        <is>
          <t>2024-11-08</t>
        </is>
      </c>
      <c r="C3003" s="6" t="inlineStr">
        <is>
          <t>DIA</t>
        </is>
      </c>
      <c r="D3003" s="6" t="inlineStr">
        <is>
          <t>TRV</t>
        </is>
      </c>
      <c r="E3003" s="6" t="inlineStr">
        <is>
          <t>TRV</t>
        </is>
      </c>
      <c r="F3003" s="6" t="inlineStr">
        <is>
          <t>-</t>
        </is>
      </c>
      <c r="G3003" s="7" t="n">
        <v>249.7568969726562</v>
      </c>
      <c r="H3003" s="6">
        <f>P2972</f>
        <v/>
      </c>
      <c r="I3003" s="9">
        <f>Q2972</f>
        <v/>
      </c>
      <c r="J3003" s="7">
        <f>I3003*G3003</f>
        <v/>
      </c>
      <c r="K3003" s="8">
        <f>IF($J$3008=0,0,J3003/$J$3008)</f>
        <v/>
      </c>
      <c r="L3003" s="6" t="inlineStr">
        <is>
          <t>SELECTED</t>
        </is>
      </c>
      <c r="M3003" s="8" t="n">
        <v>0.2</v>
      </c>
      <c r="N3003" s="7">
        <f>M3003*$J$3008-J3003</f>
        <v/>
      </c>
      <c r="O3003" s="9">
        <f>IF(G3003=0,0,N3003/G3003)</f>
        <v/>
      </c>
      <c r="P3003" s="6">
        <f>IF(M3003&gt;0,D3003,"")</f>
        <v/>
      </c>
      <c r="Q3003" s="9">
        <f>I3003+O3003</f>
        <v/>
      </c>
      <c r="R3003" s="7">
        <f>Q3003*G3003</f>
        <v/>
      </c>
      <c r="S3003" s="8">
        <f>IF($R$3008=0,0,R3003/$R$3008)</f>
        <v/>
      </c>
      <c r="T3003" s="8" t="n">
        <v>0.06198672435738706</v>
      </c>
      <c r="U3003" s="8" t="n">
        <v>0.04683419275746359</v>
      </c>
      <c r="V3003" s="6" t="inlineStr">
        <is>
          <t>remained in weekly selection</t>
        </is>
      </c>
    </row>
    <row r="3004">
      <c r="A3004" s="6" t="inlineStr">
        <is>
          <t>DJ30</t>
        </is>
      </c>
      <c r="B3004" s="6" t="inlineStr">
        <is>
          <t>2024-11-08</t>
        </is>
      </c>
      <c r="C3004" s="6" t="inlineStr">
        <is>
          <t>DIA</t>
        </is>
      </c>
      <c r="D3004" s="6" t="inlineStr">
        <is>
          <t>UNH</t>
        </is>
      </c>
      <c r="E3004" s="6" t="inlineStr">
        <is>
          <t>UNH</t>
        </is>
      </c>
      <c r="F3004" s="6" t="inlineStr">
        <is>
          <t>-</t>
        </is>
      </c>
      <c r="G3004" s="7" t="n">
        <v>590.7202758789062</v>
      </c>
      <c r="H3004" s="6">
        <f>P2973</f>
        <v/>
      </c>
      <c r="I3004" s="9">
        <f>Q2973</f>
        <v/>
      </c>
      <c r="J3004" s="7">
        <f>I3004*G3004</f>
        <v/>
      </c>
      <c r="K3004" s="8">
        <f>IF($J$3008=0,0,J3004/$J$3008)</f>
        <v/>
      </c>
      <c r="L3004" s="6" t="inlineStr">
        <is>
          <t>WATCHLIST</t>
        </is>
      </c>
      <c r="M3004" s="8" t="n">
        <v>0</v>
      </c>
      <c r="N3004" s="7">
        <f>M3004*$J$3008-J3004</f>
        <v/>
      </c>
      <c r="O3004" s="9">
        <f>IF(G3004=0,0,N3004/G3004)</f>
        <v/>
      </c>
      <c r="P3004" s="6">
        <f>IF(M3004&gt;0,D3004,"")</f>
        <v/>
      </c>
      <c r="Q3004" s="9">
        <f>I3004+O3004</f>
        <v/>
      </c>
      <c r="R3004" s="7">
        <f>Q3004*G3004</f>
        <v/>
      </c>
      <c r="S3004" s="8">
        <f>IF($R$3008=0,0,R3004/$R$3008)</f>
        <v/>
      </c>
      <c r="T3004" s="8" t="n">
        <v>0.06198672435738706</v>
      </c>
      <c r="U3004" s="8" t="n">
        <v>0.04683419275746359</v>
      </c>
      <c r="V3004" s="6" t="inlineStr">
        <is>
          <t>not selected</t>
        </is>
      </c>
    </row>
    <row r="3005">
      <c r="A3005" s="6" t="inlineStr">
        <is>
          <t>DJ30</t>
        </is>
      </c>
      <c r="B3005" s="6" t="inlineStr">
        <is>
          <t>2024-11-08</t>
        </is>
      </c>
      <c r="C3005" s="6" t="inlineStr">
        <is>
          <t>DIA</t>
        </is>
      </c>
      <c r="D3005" s="6" t="inlineStr">
        <is>
          <t>V</t>
        </is>
      </c>
      <c r="E3005" s="6" t="inlineStr">
        <is>
          <t>V</t>
        </is>
      </c>
      <c r="F3005" s="6" t="inlineStr">
        <is>
          <t>-</t>
        </is>
      </c>
      <c r="G3005" s="7" t="n">
        <v>303.8608703613281</v>
      </c>
      <c r="H3005" s="6">
        <f>P2974</f>
        <v/>
      </c>
      <c r="I3005" s="9">
        <f>Q2974</f>
        <v/>
      </c>
      <c r="J3005" s="7">
        <f>I3005*G3005</f>
        <v/>
      </c>
      <c r="K3005" s="8">
        <f>IF($J$3008=0,0,J3005/$J$3008)</f>
        <v/>
      </c>
      <c r="L3005" s="6" t="inlineStr">
        <is>
          <t>WATCHLIST</t>
        </is>
      </c>
      <c r="M3005" s="8" t="n">
        <v>0</v>
      </c>
      <c r="N3005" s="7">
        <f>M3005*$J$3008-J3005</f>
        <v/>
      </c>
      <c r="O3005" s="9">
        <f>IF(G3005=0,0,N3005/G3005)</f>
        <v/>
      </c>
      <c r="P3005" s="6">
        <f>IF(M3005&gt;0,D3005,"")</f>
        <v/>
      </c>
      <c r="Q3005" s="9">
        <f>I3005+O3005</f>
        <v/>
      </c>
      <c r="R3005" s="7">
        <f>Q3005*G3005</f>
        <v/>
      </c>
      <c r="S3005" s="8">
        <f>IF($R$3008=0,0,R3005/$R$3008)</f>
        <v/>
      </c>
      <c r="T3005" s="8" t="n">
        <v>0.06198672435738706</v>
      </c>
      <c r="U3005" s="8" t="n">
        <v>0.04683419275746359</v>
      </c>
      <c r="V3005" s="6" t="inlineStr">
        <is>
          <t>not selected</t>
        </is>
      </c>
    </row>
    <row r="3006">
      <c r="A3006" s="6" t="inlineStr">
        <is>
          <t>DJ30</t>
        </is>
      </c>
      <c r="B3006" s="6" t="inlineStr">
        <is>
          <t>2024-11-08</t>
        </is>
      </c>
      <c r="C3006" s="6" t="inlineStr">
        <is>
          <t>DIA</t>
        </is>
      </c>
      <c r="D3006" s="6" t="inlineStr">
        <is>
          <t>VZ</t>
        </is>
      </c>
      <c r="E3006" s="6" t="inlineStr">
        <is>
          <t>VZ</t>
        </is>
      </c>
      <c r="F3006" s="6" t="inlineStr">
        <is>
          <t>-</t>
        </is>
      </c>
      <c r="G3006" s="7" t="n">
        <v>36.67502212524414</v>
      </c>
      <c r="H3006" s="6">
        <f>P2975</f>
        <v/>
      </c>
      <c r="I3006" s="9">
        <f>Q2975</f>
        <v/>
      </c>
      <c r="J3006" s="7">
        <f>I3006*G3006</f>
        <v/>
      </c>
      <c r="K3006" s="8">
        <f>IF($J$3008=0,0,J3006/$J$3008)</f>
        <v/>
      </c>
      <c r="L3006" s="6" t="inlineStr">
        <is>
          <t>WATCHLIST</t>
        </is>
      </c>
      <c r="M3006" s="8" t="n">
        <v>0</v>
      </c>
      <c r="N3006" s="7">
        <f>M3006*$J$3008-J3006</f>
        <v/>
      </c>
      <c r="O3006" s="9">
        <f>IF(G3006=0,0,N3006/G3006)</f>
        <v/>
      </c>
      <c r="P3006" s="6">
        <f>IF(M3006&gt;0,D3006,"")</f>
        <v/>
      </c>
      <c r="Q3006" s="9">
        <f>I3006+O3006</f>
        <v/>
      </c>
      <c r="R3006" s="7">
        <f>Q3006*G3006</f>
        <v/>
      </c>
      <c r="S3006" s="8">
        <f>IF($R$3008=0,0,R3006/$R$3008)</f>
        <v/>
      </c>
      <c r="T3006" s="8" t="n">
        <v>0.06198672435738706</v>
      </c>
      <c r="U3006" s="8" t="n">
        <v>0.04683419275746359</v>
      </c>
      <c r="V3006" s="6" t="inlineStr">
        <is>
          <t>not selected</t>
        </is>
      </c>
    </row>
    <row r="3007">
      <c r="A3007" s="6" t="inlineStr">
        <is>
          <t>DJ30</t>
        </is>
      </c>
      <c r="B3007" s="6" t="inlineStr">
        <is>
          <t>2024-11-08</t>
        </is>
      </c>
      <c r="C3007" s="6" t="inlineStr">
        <is>
          <t>DIA</t>
        </is>
      </c>
      <c r="D3007" s="6" t="inlineStr">
        <is>
          <t>WMT</t>
        </is>
      </c>
      <c r="E3007" s="6" t="inlineStr">
        <is>
          <t>WMT</t>
        </is>
      </c>
      <c r="F3007" s="6" t="inlineStr">
        <is>
          <t>-</t>
        </is>
      </c>
      <c r="G3007" s="7" t="n">
        <v>83.50887298583984</v>
      </c>
      <c r="H3007" s="6">
        <f>P2976</f>
        <v/>
      </c>
      <c r="I3007" s="9">
        <f>Q2976</f>
        <v/>
      </c>
      <c r="J3007" s="7">
        <f>I3007*G3007</f>
        <v/>
      </c>
      <c r="K3007" s="8">
        <f>IF($J$3008=0,0,J3007/$J$3008)</f>
        <v/>
      </c>
      <c r="L3007" s="6" t="inlineStr">
        <is>
          <t>WATCHLIST</t>
        </is>
      </c>
      <c r="M3007" s="8" t="n">
        <v>0</v>
      </c>
      <c r="N3007" s="7">
        <f>M3007*$J$3008-J3007</f>
        <v/>
      </c>
      <c r="O3007" s="9">
        <f>IF(G3007=0,0,N3007/G3007)</f>
        <v/>
      </c>
      <c r="P3007" s="6">
        <f>IF(M3007&gt;0,D3007,"")</f>
        <v/>
      </c>
      <c r="Q3007" s="9">
        <f>I3007+O3007</f>
        <v/>
      </c>
      <c r="R3007" s="7">
        <f>Q3007*G3007</f>
        <v/>
      </c>
      <c r="S3007" s="8">
        <f>IF($R$3008=0,0,R3007/$R$3008)</f>
        <v/>
      </c>
      <c r="T3007" s="8" t="n">
        <v>0.06198672435738706</v>
      </c>
      <c r="U3007" s="8" t="n">
        <v>0.04683419275746359</v>
      </c>
      <c r="V3007" s="6" t="inlineStr">
        <is>
          <t>not selected</t>
        </is>
      </c>
    </row>
    <row r="3008">
      <c r="A3008" s="10" t="inlineStr">
        <is>
          <t>DJ30</t>
        </is>
      </c>
      <c r="B3008" s="10" t="inlineStr">
        <is>
          <t>2024-11-08</t>
        </is>
      </c>
      <c r="C3008" s="10" t="inlineStr">
        <is>
          <t>DIA</t>
        </is>
      </c>
      <c r="D3008" s="10" t="inlineStr">
        <is>
          <t>Tot Portfolio</t>
        </is>
      </c>
      <c r="E3008" s="10" t="inlineStr"/>
      <c r="F3008" s="10" t="inlineStr"/>
      <c r="G3008" s="11" t="inlineStr"/>
      <c r="H3008" s="10" t="inlineStr"/>
      <c r="I3008" s="12" t="inlineStr"/>
      <c r="J3008" s="11">
        <f>SUM(J2978:J3007)</f>
        <v/>
      </c>
      <c r="K3008" s="13">
        <f>SUM(K2978:K3007)</f>
        <v/>
      </c>
      <c r="L3008" s="10" t="inlineStr">
        <is>
          <t>TOTAL</t>
        </is>
      </c>
      <c r="M3008" s="13">
        <f>SUM(M2978:M3007)</f>
        <v/>
      </c>
      <c r="N3008" s="11">
        <f>SUM(N2978:N3007)</f>
        <v/>
      </c>
      <c r="O3008" s="12">
        <f>SUM(O2978:O3007)</f>
        <v/>
      </c>
      <c r="P3008" s="10" t="inlineStr"/>
      <c r="Q3008" s="12" t="inlineStr"/>
      <c r="R3008" s="11">
        <f>SUM(R2978:R3007)</f>
        <v/>
      </c>
      <c r="S3008" s="13">
        <f>SUM(S2978:S3007)</f>
        <v/>
      </c>
      <c r="T3008" s="13" t="n">
        <v>0.06198672435738706</v>
      </c>
      <c r="U3008" s="13" t="n">
        <v>0.04683419275746359</v>
      </c>
      <c r="V3008" s="10" t="inlineStr"/>
    </row>
    <row r="3009">
      <c r="A3009" s="6" t="inlineStr">
        <is>
          <t>DJ30</t>
        </is>
      </c>
      <c r="B3009" s="6" t="inlineStr">
        <is>
          <t>2024-11-15</t>
        </is>
      </c>
      <c r="C3009" s="6" t="inlineStr">
        <is>
          <t>DIA</t>
        </is>
      </c>
      <c r="D3009" s="6" t="inlineStr">
        <is>
          <t>AAPL</t>
        </is>
      </c>
      <c r="E3009" s="6" t="inlineStr">
        <is>
          <t>AAPL</t>
        </is>
      </c>
      <c r="F3009" s="6" t="inlineStr">
        <is>
          <t>-</t>
        </is>
      </c>
      <c r="G3009" s="7" t="n">
        <v>223.5715942382812</v>
      </c>
      <c r="H3009" s="6">
        <f>P2978</f>
        <v/>
      </c>
      <c r="I3009" s="9">
        <f>Q2978</f>
        <v/>
      </c>
      <c r="J3009" s="7">
        <f>I3009*G3009</f>
        <v/>
      </c>
      <c r="K3009" s="8">
        <f>IF($J$3039=0,0,J3009/$J$3039)</f>
        <v/>
      </c>
      <c r="L3009" s="6" t="inlineStr">
        <is>
          <t>WATCHLIST</t>
        </is>
      </c>
      <c r="M3009" s="8" t="n">
        <v>0</v>
      </c>
      <c r="N3009" s="7">
        <f>M3009*$J$3039-J3009</f>
        <v/>
      </c>
      <c r="O3009" s="9">
        <f>IF(G3009=0,0,N3009/G3009)</f>
        <v/>
      </c>
      <c r="P3009" s="6">
        <f>IF(M3009&gt;0,D3009,"")</f>
        <v/>
      </c>
      <c r="Q3009" s="9">
        <f>I3009+O3009</f>
        <v/>
      </c>
      <c r="R3009" s="7">
        <f>Q3009*G3009</f>
        <v/>
      </c>
      <c r="S3009" s="8">
        <f>IF($R$3039=0,0,R3009/$R$3039)</f>
        <v/>
      </c>
      <c r="T3009" s="8" t="n">
        <v>-0.01570914883228192</v>
      </c>
      <c r="U3009" s="8" t="n">
        <v>-0.01212387410895976</v>
      </c>
      <c r="V3009" s="6" t="inlineStr">
        <is>
          <t>not selected</t>
        </is>
      </c>
    </row>
    <row r="3010">
      <c r="A3010" s="6" t="inlineStr">
        <is>
          <t>DJ30</t>
        </is>
      </c>
      <c r="B3010" s="6" t="inlineStr">
        <is>
          <t>2024-11-15</t>
        </is>
      </c>
      <c r="C3010" s="6" t="inlineStr">
        <is>
          <t>DIA</t>
        </is>
      </c>
      <c r="D3010" s="6" t="inlineStr">
        <is>
          <t>AMGN</t>
        </is>
      </c>
      <c r="E3010" s="6" t="inlineStr">
        <is>
          <t>AMGN</t>
        </is>
      </c>
      <c r="F3010" s="6" t="inlineStr">
        <is>
          <t>-</t>
        </is>
      </c>
      <c r="G3010" s="7" t="n">
        <v>268.5870056152344</v>
      </c>
      <c r="H3010" s="6">
        <f>P2979</f>
        <v/>
      </c>
      <c r="I3010" s="9">
        <f>Q2979</f>
        <v/>
      </c>
      <c r="J3010" s="7">
        <f>I3010*G3010</f>
        <v/>
      </c>
      <c r="K3010" s="8">
        <f>IF($J$3039=0,0,J3010/$J$3039)</f>
        <v/>
      </c>
      <c r="L3010" s="6" t="inlineStr">
        <is>
          <t>WATCHLIST</t>
        </is>
      </c>
      <c r="M3010" s="8" t="n">
        <v>0</v>
      </c>
      <c r="N3010" s="7">
        <f>M3010*$J$3039-J3010</f>
        <v/>
      </c>
      <c r="O3010" s="9">
        <f>IF(G3010=0,0,N3010/G3010)</f>
        <v/>
      </c>
      <c r="P3010" s="6">
        <f>IF(M3010&gt;0,D3010,"")</f>
        <v/>
      </c>
      <c r="Q3010" s="9">
        <f>I3010+O3010</f>
        <v/>
      </c>
      <c r="R3010" s="7">
        <f>Q3010*G3010</f>
        <v/>
      </c>
      <c r="S3010" s="8">
        <f>IF($R$3039=0,0,R3010/$R$3039)</f>
        <v/>
      </c>
      <c r="T3010" s="8" t="n">
        <v>-0.01570914883228192</v>
      </c>
      <c r="U3010" s="8" t="n">
        <v>-0.01212387410895976</v>
      </c>
      <c r="V3010" s="6" t="inlineStr">
        <is>
          <t>not selected</t>
        </is>
      </c>
    </row>
    <row r="3011">
      <c r="A3011" s="6" t="inlineStr">
        <is>
          <t>DJ30</t>
        </is>
      </c>
      <c r="B3011" s="6" t="inlineStr">
        <is>
          <t>2024-11-15</t>
        </is>
      </c>
      <c r="C3011" s="6" t="inlineStr">
        <is>
          <t>DIA</t>
        </is>
      </c>
      <c r="D3011" s="6" t="inlineStr">
        <is>
          <t>AMZN</t>
        </is>
      </c>
      <c r="E3011" s="6" t="inlineStr">
        <is>
          <t>AMZN</t>
        </is>
      </c>
      <c r="F3011" s="6" t="inlineStr">
        <is>
          <t>-</t>
        </is>
      </c>
      <c r="G3011" s="7" t="n">
        <v>202.6100006103516</v>
      </c>
      <c r="H3011" s="6">
        <f>P2980</f>
        <v/>
      </c>
      <c r="I3011" s="9">
        <f>Q2980</f>
        <v/>
      </c>
      <c r="J3011" s="7">
        <f>I3011*G3011</f>
        <v/>
      </c>
      <c r="K3011" s="8">
        <f>IF($J$3039=0,0,J3011/$J$3039)</f>
        <v/>
      </c>
      <c r="L3011" s="6" t="inlineStr">
        <is>
          <t>WATCHLIST</t>
        </is>
      </c>
      <c r="M3011" s="8" t="n">
        <v>0</v>
      </c>
      <c r="N3011" s="7">
        <f>M3011*$J$3039-J3011</f>
        <v/>
      </c>
      <c r="O3011" s="9">
        <f>IF(G3011=0,0,N3011/G3011)</f>
        <v/>
      </c>
      <c r="P3011" s="6">
        <f>IF(M3011&gt;0,D3011,"")</f>
        <v/>
      </c>
      <c r="Q3011" s="9">
        <f>I3011+O3011</f>
        <v/>
      </c>
      <c r="R3011" s="7">
        <f>Q3011*G3011</f>
        <v/>
      </c>
      <c r="S3011" s="8">
        <f>IF($R$3039=0,0,R3011/$R$3039)</f>
        <v/>
      </c>
      <c r="T3011" s="8" t="n">
        <v>-0.01570914883228192</v>
      </c>
      <c r="U3011" s="8" t="n">
        <v>-0.01212387410895976</v>
      </c>
      <c r="V3011" s="6" t="inlineStr">
        <is>
          <t>not selected</t>
        </is>
      </c>
    </row>
    <row r="3012">
      <c r="A3012" s="6" t="inlineStr">
        <is>
          <t>DJ30</t>
        </is>
      </c>
      <c r="B3012" s="6" t="inlineStr">
        <is>
          <t>2024-11-15</t>
        </is>
      </c>
      <c r="C3012" s="6" t="inlineStr">
        <is>
          <t>DIA</t>
        </is>
      </c>
      <c r="D3012" s="6" t="inlineStr">
        <is>
          <t>AXP</t>
        </is>
      </c>
      <c r="E3012" s="6" t="inlineStr">
        <is>
          <t>AXP</t>
        </is>
      </c>
      <c r="F3012" s="6" t="inlineStr">
        <is>
          <t>-</t>
        </is>
      </c>
      <c r="G3012" s="7" t="n">
        <v>282.2911376953125</v>
      </c>
      <c r="H3012" s="6">
        <f>P2981</f>
        <v/>
      </c>
      <c r="I3012" s="9">
        <f>Q2981</f>
        <v/>
      </c>
      <c r="J3012" s="7">
        <f>I3012*G3012</f>
        <v/>
      </c>
      <c r="K3012" s="8">
        <f>IF($J$3039=0,0,J3012/$J$3039)</f>
        <v/>
      </c>
      <c r="L3012" s="6" t="inlineStr">
        <is>
          <t>WATCHLIST</t>
        </is>
      </c>
      <c r="M3012" s="8" t="n">
        <v>0</v>
      </c>
      <c r="N3012" s="7">
        <f>M3012*$J$3039-J3012</f>
        <v/>
      </c>
      <c r="O3012" s="9">
        <f>IF(G3012=0,0,N3012/G3012)</f>
        <v/>
      </c>
      <c r="P3012" s="6">
        <f>IF(M3012&gt;0,D3012,"")</f>
        <v/>
      </c>
      <c r="Q3012" s="9">
        <f>I3012+O3012</f>
        <v/>
      </c>
      <c r="R3012" s="7">
        <f>Q3012*G3012</f>
        <v/>
      </c>
      <c r="S3012" s="8">
        <f>IF($R$3039=0,0,R3012/$R$3039)</f>
        <v/>
      </c>
      <c r="T3012" s="8" t="n">
        <v>-0.01570914883228192</v>
      </c>
      <c r="U3012" s="8" t="n">
        <v>-0.01212387410895976</v>
      </c>
      <c r="V3012" s="6" t="inlineStr">
        <is>
          <t>not selected</t>
        </is>
      </c>
    </row>
    <row r="3013">
      <c r="A3013" s="6" t="inlineStr">
        <is>
          <t>DJ30</t>
        </is>
      </c>
      <c r="B3013" s="6" t="inlineStr">
        <is>
          <t>2024-11-15</t>
        </is>
      </c>
      <c r="C3013" s="6" t="inlineStr">
        <is>
          <t>DIA</t>
        </is>
      </c>
      <c r="D3013" s="6" t="inlineStr">
        <is>
          <t>BA</t>
        </is>
      </c>
      <c r="E3013" s="6" t="inlineStr">
        <is>
          <t>BA</t>
        </is>
      </c>
      <c r="F3013" s="6" t="inlineStr">
        <is>
          <t>-</t>
        </is>
      </c>
      <c r="G3013" s="7" t="n">
        <v>140.1900024414062</v>
      </c>
      <c r="H3013" s="6">
        <f>P2982</f>
        <v/>
      </c>
      <c r="I3013" s="9">
        <f>Q2982</f>
        <v/>
      </c>
      <c r="J3013" s="7">
        <f>I3013*G3013</f>
        <v/>
      </c>
      <c r="K3013" s="8">
        <f>IF($J$3039=0,0,J3013/$J$3039)</f>
        <v/>
      </c>
      <c r="L3013" s="6" t="inlineStr">
        <is>
          <t>REJECTED</t>
        </is>
      </c>
      <c r="M3013" s="8" t="n">
        <v>0</v>
      </c>
      <c r="N3013" s="7">
        <f>M3013*$J$3039-J3013</f>
        <v/>
      </c>
      <c r="O3013" s="9">
        <f>IF(G3013=0,0,N3013/G3013)</f>
        <v/>
      </c>
      <c r="P3013" s="6">
        <f>IF(M3013&gt;0,D3013,"")</f>
        <v/>
      </c>
      <c r="Q3013" s="9">
        <f>I3013+O3013</f>
        <v/>
      </c>
      <c r="R3013" s="7">
        <f>Q3013*G3013</f>
        <v/>
      </c>
      <c r="S3013" s="8">
        <f>IF($R$3039=0,0,R3013/$R$3039)</f>
        <v/>
      </c>
      <c r="T3013" s="8" t="n">
        <v>-0.01570914883228192</v>
      </c>
      <c r="U3013" s="8" t="n">
        <v>-0.01212387410895976</v>
      </c>
      <c r="V3013" s="6" t="inlineStr">
        <is>
          <t>not selected</t>
        </is>
      </c>
    </row>
    <row r="3014">
      <c r="A3014" s="6" t="inlineStr">
        <is>
          <t>DJ30</t>
        </is>
      </c>
      <c r="B3014" s="6" t="inlineStr">
        <is>
          <t>2024-11-15</t>
        </is>
      </c>
      <c r="C3014" s="6" t="inlineStr">
        <is>
          <t>DIA</t>
        </is>
      </c>
      <c r="D3014" s="6" t="inlineStr">
        <is>
          <t>CAT</t>
        </is>
      </c>
      <c r="E3014" s="6" t="inlineStr">
        <is>
          <t>CAT</t>
        </is>
      </c>
      <c r="F3014" s="6" t="inlineStr">
        <is>
          <t>-</t>
        </is>
      </c>
      <c r="G3014" s="7" t="n">
        <v>376.7559204101562</v>
      </c>
      <c r="H3014" s="6">
        <f>P2983</f>
        <v/>
      </c>
      <c r="I3014" s="9">
        <f>Q2983</f>
        <v/>
      </c>
      <c r="J3014" s="7">
        <f>I3014*G3014</f>
        <v/>
      </c>
      <c r="K3014" s="8">
        <f>IF($J$3039=0,0,J3014/$J$3039)</f>
        <v/>
      </c>
      <c r="L3014" s="6" t="inlineStr">
        <is>
          <t>WATCHLIST</t>
        </is>
      </c>
      <c r="M3014" s="8" t="n">
        <v>0</v>
      </c>
      <c r="N3014" s="7">
        <f>M3014*$J$3039-J3014</f>
        <v/>
      </c>
      <c r="O3014" s="9">
        <f>IF(G3014=0,0,N3014/G3014)</f>
        <v/>
      </c>
      <c r="P3014" s="6">
        <f>IF(M3014&gt;0,D3014,"")</f>
        <v/>
      </c>
      <c r="Q3014" s="9">
        <f>I3014+O3014</f>
        <v/>
      </c>
      <c r="R3014" s="7">
        <f>Q3014*G3014</f>
        <v/>
      </c>
      <c r="S3014" s="8">
        <f>IF($R$3039=0,0,R3014/$R$3039)</f>
        <v/>
      </c>
      <c r="T3014" s="8" t="n">
        <v>-0.01570914883228192</v>
      </c>
      <c r="U3014" s="8" t="n">
        <v>-0.01212387410895976</v>
      </c>
      <c r="V3014" s="6" t="inlineStr">
        <is>
          <t>not selected</t>
        </is>
      </c>
    </row>
    <row r="3015">
      <c r="A3015" s="6" t="inlineStr">
        <is>
          <t>DJ30</t>
        </is>
      </c>
      <c r="B3015" s="6" t="inlineStr">
        <is>
          <t>2024-11-15</t>
        </is>
      </c>
      <c r="C3015" s="6" t="inlineStr">
        <is>
          <t>DIA</t>
        </is>
      </c>
      <c r="D3015" s="6" t="inlineStr">
        <is>
          <t>CRM</t>
        </is>
      </c>
      <c r="E3015" s="6" t="inlineStr">
        <is>
          <t>CRM</t>
        </is>
      </c>
      <c r="F3015" s="6" t="inlineStr">
        <is>
          <t>-</t>
        </is>
      </c>
      <c r="G3015" s="7" t="n">
        <v>321.14794921875</v>
      </c>
      <c r="H3015" s="6">
        <f>P2984</f>
        <v/>
      </c>
      <c r="I3015" s="9">
        <f>Q2984</f>
        <v/>
      </c>
      <c r="J3015" s="7">
        <f>I3015*G3015</f>
        <v/>
      </c>
      <c r="K3015" s="8">
        <f>IF($J$3039=0,0,J3015/$J$3039)</f>
        <v/>
      </c>
      <c r="L3015" s="6" t="inlineStr">
        <is>
          <t>REJECTED</t>
        </is>
      </c>
      <c r="M3015" s="8" t="n">
        <v>0</v>
      </c>
      <c r="N3015" s="7">
        <f>M3015*$J$3039-J3015</f>
        <v/>
      </c>
      <c r="O3015" s="9">
        <f>IF(G3015=0,0,N3015/G3015)</f>
        <v/>
      </c>
      <c r="P3015" s="6">
        <f>IF(M3015&gt;0,D3015,"")</f>
        <v/>
      </c>
      <c r="Q3015" s="9">
        <f>I3015+O3015</f>
        <v/>
      </c>
      <c r="R3015" s="7">
        <f>Q3015*G3015</f>
        <v/>
      </c>
      <c r="S3015" s="8">
        <f>IF($R$3039=0,0,R3015/$R$3039)</f>
        <v/>
      </c>
      <c r="T3015" s="8" t="n">
        <v>-0.01570914883228192</v>
      </c>
      <c r="U3015" s="8" t="n">
        <v>-0.01212387410895976</v>
      </c>
      <c r="V3015" s="6" t="inlineStr">
        <is>
          <t>not selected</t>
        </is>
      </c>
    </row>
    <row r="3016">
      <c r="A3016" s="6" t="inlineStr">
        <is>
          <t>DJ30</t>
        </is>
      </c>
      <c r="B3016" s="6" t="inlineStr">
        <is>
          <t>2024-11-15</t>
        </is>
      </c>
      <c r="C3016" s="6" t="inlineStr">
        <is>
          <t>DIA</t>
        </is>
      </c>
      <c r="D3016" s="6" t="inlineStr">
        <is>
          <t>CSCO</t>
        </is>
      </c>
      <c r="E3016" s="6" t="inlineStr">
        <is>
          <t>CSCO</t>
        </is>
      </c>
      <c r="F3016" s="6" t="inlineStr">
        <is>
          <t>-</t>
        </is>
      </c>
      <c r="G3016" s="7" t="n">
        <v>55.41703796386719</v>
      </c>
      <c r="H3016" s="6">
        <f>P2985</f>
        <v/>
      </c>
      <c r="I3016" s="9">
        <f>Q2985</f>
        <v/>
      </c>
      <c r="J3016" s="7">
        <f>I3016*G3016</f>
        <v/>
      </c>
      <c r="K3016" s="8">
        <f>IF($J$3039=0,0,J3016/$J$3039)</f>
        <v/>
      </c>
      <c r="L3016" s="6" t="inlineStr">
        <is>
          <t>REJECTED</t>
        </is>
      </c>
      <c r="M3016" s="8" t="n">
        <v>0</v>
      </c>
      <c r="N3016" s="7">
        <f>M3016*$J$3039-J3016</f>
        <v/>
      </c>
      <c r="O3016" s="9">
        <f>IF(G3016=0,0,N3016/G3016)</f>
        <v/>
      </c>
      <c r="P3016" s="6">
        <f>IF(M3016&gt;0,D3016,"")</f>
        <v/>
      </c>
      <c r="Q3016" s="9">
        <f>I3016+O3016</f>
        <v/>
      </c>
      <c r="R3016" s="7">
        <f>Q3016*G3016</f>
        <v/>
      </c>
      <c r="S3016" s="8">
        <f>IF($R$3039=0,0,R3016/$R$3039)</f>
        <v/>
      </c>
      <c r="T3016" s="8" t="n">
        <v>-0.01570914883228192</v>
      </c>
      <c r="U3016" s="8" t="n">
        <v>-0.01212387410895976</v>
      </c>
      <c r="V3016" s="6" t="inlineStr">
        <is>
          <t>not selected</t>
        </is>
      </c>
    </row>
    <row r="3017">
      <c r="A3017" s="6" t="inlineStr">
        <is>
          <t>DJ30</t>
        </is>
      </c>
      <c r="B3017" s="6" t="inlineStr">
        <is>
          <t>2024-11-15</t>
        </is>
      </c>
      <c r="C3017" s="6" t="inlineStr">
        <is>
          <t>DIA</t>
        </is>
      </c>
      <c r="D3017" s="6" t="inlineStr">
        <is>
          <t>CVX</t>
        </is>
      </c>
      <c r="E3017" s="6" t="inlineStr">
        <is>
          <t>CVX</t>
        </is>
      </c>
      <c r="F3017" s="6" t="inlineStr">
        <is>
          <t>-</t>
        </is>
      </c>
      <c r="G3017" s="7" t="n">
        <v>149.8588104248047</v>
      </c>
      <c r="H3017" s="6">
        <f>P2986</f>
        <v/>
      </c>
      <c r="I3017" s="9">
        <f>Q2986</f>
        <v/>
      </c>
      <c r="J3017" s="7">
        <f>I3017*G3017</f>
        <v/>
      </c>
      <c r="K3017" s="8">
        <f>IF($J$3039=0,0,J3017/$J$3039)</f>
        <v/>
      </c>
      <c r="L3017" s="6" t="inlineStr">
        <is>
          <t>REJECTED</t>
        </is>
      </c>
      <c r="M3017" s="8" t="n">
        <v>0</v>
      </c>
      <c r="N3017" s="7">
        <f>M3017*$J$3039-J3017</f>
        <v/>
      </c>
      <c r="O3017" s="9">
        <f>IF(G3017=0,0,N3017/G3017)</f>
        <v/>
      </c>
      <c r="P3017" s="6">
        <f>IF(M3017&gt;0,D3017,"")</f>
        <v/>
      </c>
      <c r="Q3017" s="9">
        <f>I3017+O3017</f>
        <v/>
      </c>
      <c r="R3017" s="7">
        <f>Q3017*G3017</f>
        <v/>
      </c>
      <c r="S3017" s="8">
        <f>IF($R$3039=0,0,R3017/$R$3039)</f>
        <v/>
      </c>
      <c r="T3017" s="8" t="n">
        <v>-0.01570914883228192</v>
      </c>
      <c r="U3017" s="8" t="n">
        <v>-0.01212387410895976</v>
      </c>
      <c r="V3017" s="6" t="inlineStr">
        <is>
          <t>not selected</t>
        </is>
      </c>
    </row>
    <row r="3018">
      <c r="A3018" s="6" t="inlineStr">
        <is>
          <t>DJ30</t>
        </is>
      </c>
      <c r="B3018" s="6" t="inlineStr">
        <is>
          <t>2024-11-15</t>
        </is>
      </c>
      <c r="C3018" s="6" t="inlineStr">
        <is>
          <t>DIA</t>
        </is>
      </c>
      <c r="D3018" s="6" t="inlineStr">
        <is>
          <t>DIS</t>
        </is>
      </c>
      <c r="E3018" s="6" t="inlineStr">
        <is>
          <t>DIS</t>
        </is>
      </c>
      <c r="F3018" s="6" t="inlineStr">
        <is>
          <t>-</t>
        </is>
      </c>
      <c r="G3018" s="7" t="n">
        <v>113.3191146850586</v>
      </c>
      <c r="H3018" s="6">
        <f>P2987</f>
        <v/>
      </c>
      <c r="I3018" s="9">
        <f>Q2987</f>
        <v/>
      </c>
      <c r="J3018" s="7">
        <f>I3018*G3018</f>
        <v/>
      </c>
      <c r="K3018" s="8">
        <f>IF($J$3039=0,0,J3018/$J$3039)</f>
        <v/>
      </c>
      <c r="L3018" s="6" t="inlineStr">
        <is>
          <t>REJECTED</t>
        </is>
      </c>
      <c r="M3018" s="8" t="n">
        <v>0</v>
      </c>
      <c r="N3018" s="7">
        <f>M3018*$J$3039-J3018</f>
        <v/>
      </c>
      <c r="O3018" s="9">
        <f>IF(G3018=0,0,N3018/G3018)</f>
        <v/>
      </c>
      <c r="P3018" s="6">
        <f>IF(M3018&gt;0,D3018,"")</f>
        <v/>
      </c>
      <c r="Q3018" s="9">
        <f>I3018+O3018</f>
        <v/>
      </c>
      <c r="R3018" s="7">
        <f>Q3018*G3018</f>
        <v/>
      </c>
      <c r="S3018" s="8">
        <f>IF($R$3039=0,0,R3018/$R$3039)</f>
        <v/>
      </c>
      <c r="T3018" s="8" t="n">
        <v>-0.01570914883228192</v>
      </c>
      <c r="U3018" s="8" t="n">
        <v>-0.01212387410895976</v>
      </c>
      <c r="V3018" s="6" t="inlineStr">
        <is>
          <t>not selected</t>
        </is>
      </c>
    </row>
    <row r="3019">
      <c r="A3019" s="6" t="inlineStr">
        <is>
          <t>DJ30</t>
        </is>
      </c>
      <c r="B3019" s="6" t="inlineStr">
        <is>
          <t>2024-11-15</t>
        </is>
      </c>
      <c r="C3019" s="6" t="inlineStr">
        <is>
          <t>DIA</t>
        </is>
      </c>
      <c r="D3019" s="6" t="inlineStr">
        <is>
          <t>GS</t>
        </is>
      </c>
      <c r="E3019" s="6" t="inlineStr">
        <is>
          <t>GS</t>
        </is>
      </c>
      <c r="F3019" s="6" t="inlineStr">
        <is>
          <t>-</t>
        </is>
      </c>
      <c r="G3019" s="7" t="n">
        <v>573.2451782226562</v>
      </c>
      <c r="H3019" s="6">
        <f>P2988</f>
        <v/>
      </c>
      <c r="I3019" s="9">
        <f>Q2988</f>
        <v/>
      </c>
      <c r="J3019" s="7">
        <f>I3019*G3019</f>
        <v/>
      </c>
      <c r="K3019" s="8">
        <f>IF($J$3039=0,0,J3019/$J$3039)</f>
        <v/>
      </c>
      <c r="L3019" s="6" t="inlineStr">
        <is>
          <t>SELECTED</t>
        </is>
      </c>
      <c r="M3019" s="8" t="n">
        <v>0.2</v>
      </c>
      <c r="N3019" s="7">
        <f>M3019*$J$3039-J3019</f>
        <v/>
      </c>
      <c r="O3019" s="9">
        <f>IF(G3019=0,0,N3019/G3019)</f>
        <v/>
      </c>
      <c r="P3019" s="6">
        <f>IF(M3019&gt;0,D3019,"")</f>
        <v/>
      </c>
      <c r="Q3019" s="9">
        <f>I3019+O3019</f>
        <v/>
      </c>
      <c r="R3019" s="7">
        <f>Q3019*G3019</f>
        <v/>
      </c>
      <c r="S3019" s="8">
        <f>IF($R$3039=0,0,R3019/$R$3039)</f>
        <v/>
      </c>
      <c r="T3019" s="8" t="n">
        <v>-0.01570914883228192</v>
      </c>
      <c r="U3019" s="8" t="n">
        <v>-0.01212387410895976</v>
      </c>
      <c r="V3019" s="6" t="inlineStr">
        <is>
          <t>remained in weekly selection</t>
        </is>
      </c>
    </row>
    <row r="3020">
      <c r="A3020" s="6" t="inlineStr">
        <is>
          <t>DJ30</t>
        </is>
      </c>
      <c r="B3020" s="6" t="inlineStr">
        <is>
          <t>2024-11-15</t>
        </is>
      </c>
      <c r="C3020" s="6" t="inlineStr">
        <is>
          <t>DIA</t>
        </is>
      </c>
      <c r="D3020" s="6" t="inlineStr">
        <is>
          <t>HD</t>
        </is>
      </c>
      <c r="E3020" s="6" t="inlineStr">
        <is>
          <t>HD</t>
        </is>
      </c>
      <c r="F3020" s="6" t="inlineStr">
        <is>
          <t>-</t>
        </is>
      </c>
      <c r="G3020" s="7" t="n">
        <v>390.6040954589844</v>
      </c>
      <c r="H3020" s="6">
        <f>P2989</f>
        <v/>
      </c>
      <c r="I3020" s="9">
        <f>Q2989</f>
        <v/>
      </c>
      <c r="J3020" s="7">
        <f>I3020*G3020</f>
        <v/>
      </c>
      <c r="K3020" s="8">
        <f>IF($J$3039=0,0,J3020/$J$3039)</f>
        <v/>
      </c>
      <c r="L3020" s="6" t="inlineStr">
        <is>
          <t>WATCHLIST</t>
        </is>
      </c>
      <c r="M3020" s="8" t="n">
        <v>0</v>
      </c>
      <c r="N3020" s="7">
        <f>M3020*$J$3039-J3020</f>
        <v/>
      </c>
      <c r="O3020" s="9">
        <f>IF(G3020=0,0,N3020/G3020)</f>
        <v/>
      </c>
      <c r="P3020" s="6">
        <f>IF(M3020&gt;0,D3020,"")</f>
        <v/>
      </c>
      <c r="Q3020" s="9">
        <f>I3020+O3020</f>
        <v/>
      </c>
      <c r="R3020" s="7">
        <f>Q3020*G3020</f>
        <v/>
      </c>
      <c r="S3020" s="8">
        <f>IF($R$3039=0,0,R3020/$R$3039)</f>
        <v/>
      </c>
      <c r="T3020" s="8" t="n">
        <v>-0.01570914883228192</v>
      </c>
      <c r="U3020" s="8" t="n">
        <v>-0.01212387410895976</v>
      </c>
      <c r="V3020" s="6" t="inlineStr">
        <is>
          <t>not selected</t>
        </is>
      </c>
    </row>
    <row r="3021">
      <c r="A3021" s="6" t="inlineStr">
        <is>
          <t>DJ30</t>
        </is>
      </c>
      <c r="B3021" s="6" t="inlineStr">
        <is>
          <t>2024-11-15</t>
        </is>
      </c>
      <c r="C3021" s="6" t="inlineStr">
        <is>
          <t>DIA</t>
        </is>
      </c>
      <c r="D3021" s="6" t="inlineStr">
        <is>
          <t>HON</t>
        </is>
      </c>
      <c r="E3021" s="6" t="inlineStr">
        <is>
          <t>HON</t>
        </is>
      </c>
      <c r="F3021" s="6" t="inlineStr">
        <is>
          <t>-</t>
        </is>
      </c>
      <c r="G3021" s="7" t="n">
        <v>209.0211334228516</v>
      </c>
      <c r="H3021" s="6">
        <f>P2990</f>
        <v/>
      </c>
      <c r="I3021" s="9">
        <f>Q2990</f>
        <v/>
      </c>
      <c r="J3021" s="7">
        <f>I3021*G3021</f>
        <v/>
      </c>
      <c r="K3021" s="8">
        <f>IF($J$3039=0,0,J3021/$J$3039)</f>
        <v/>
      </c>
      <c r="L3021" s="6" t="inlineStr">
        <is>
          <t>WATCHLIST</t>
        </is>
      </c>
      <c r="M3021" s="8" t="n">
        <v>0</v>
      </c>
      <c r="N3021" s="7">
        <f>M3021*$J$3039-J3021</f>
        <v/>
      </c>
      <c r="O3021" s="9">
        <f>IF(G3021=0,0,N3021/G3021)</f>
        <v/>
      </c>
      <c r="P3021" s="6">
        <f>IF(M3021&gt;0,D3021,"")</f>
        <v/>
      </c>
      <c r="Q3021" s="9">
        <f>I3021+O3021</f>
        <v/>
      </c>
      <c r="R3021" s="7">
        <f>Q3021*G3021</f>
        <v/>
      </c>
      <c r="S3021" s="8">
        <f>IF($R$3039=0,0,R3021/$R$3039)</f>
        <v/>
      </c>
      <c r="T3021" s="8" t="n">
        <v>-0.01570914883228192</v>
      </c>
      <c r="U3021" s="8" t="n">
        <v>-0.01212387410895976</v>
      </c>
      <c r="V3021" s="6" t="inlineStr">
        <is>
          <t>not selected</t>
        </is>
      </c>
    </row>
    <row r="3022">
      <c r="A3022" s="6" t="inlineStr">
        <is>
          <t>DJ30</t>
        </is>
      </c>
      <c r="B3022" s="6" t="inlineStr">
        <is>
          <t>2024-11-15</t>
        </is>
      </c>
      <c r="C3022" s="6" t="inlineStr">
        <is>
          <t>DIA</t>
        </is>
      </c>
      <c r="D3022" s="6" t="inlineStr">
        <is>
          <t>IBM</t>
        </is>
      </c>
      <c r="E3022" s="6" t="inlineStr">
        <is>
          <t>IBM</t>
        </is>
      </c>
      <c r="F3022" s="6" t="inlineStr">
        <is>
          <t>-</t>
        </is>
      </c>
      <c r="G3022" s="7" t="n">
        <v>197.242416381836</v>
      </c>
      <c r="H3022" s="6">
        <f>P2991</f>
        <v/>
      </c>
      <c r="I3022" s="9">
        <f>Q2991</f>
        <v/>
      </c>
      <c r="J3022" s="7">
        <f>I3022*G3022</f>
        <v/>
      </c>
      <c r="K3022" s="8">
        <f>IF($J$3039=0,0,J3022/$J$3039)</f>
        <v/>
      </c>
      <c r="L3022" s="6" t="inlineStr">
        <is>
          <t>WATCHLIST</t>
        </is>
      </c>
      <c r="M3022" s="8" t="n">
        <v>0</v>
      </c>
      <c r="N3022" s="7">
        <f>M3022*$J$3039-J3022</f>
        <v/>
      </c>
      <c r="O3022" s="9">
        <f>IF(G3022=0,0,N3022/G3022)</f>
        <v/>
      </c>
      <c r="P3022" s="6">
        <f>IF(M3022&gt;0,D3022,"")</f>
        <v/>
      </c>
      <c r="Q3022" s="9">
        <f>I3022+O3022</f>
        <v/>
      </c>
      <c r="R3022" s="7">
        <f>Q3022*G3022</f>
        <v/>
      </c>
      <c r="S3022" s="8">
        <f>IF($R$3039=0,0,R3022/$R$3039)</f>
        <v/>
      </c>
      <c r="T3022" s="8" t="n">
        <v>-0.01570914883228192</v>
      </c>
      <c r="U3022" s="8" t="n">
        <v>-0.01212387410895976</v>
      </c>
      <c r="V3022" s="6" t="inlineStr">
        <is>
          <t>not selected</t>
        </is>
      </c>
    </row>
    <row r="3023">
      <c r="A3023" s="6" t="inlineStr">
        <is>
          <t>DJ30</t>
        </is>
      </c>
      <c r="B3023" s="6" t="inlineStr">
        <is>
          <t>2024-11-15</t>
        </is>
      </c>
      <c r="C3023" s="6" t="inlineStr">
        <is>
          <t>DIA</t>
        </is>
      </c>
      <c r="D3023" s="6" t="inlineStr">
        <is>
          <t>JNJ</t>
        </is>
      </c>
      <c r="E3023" s="6" t="inlineStr">
        <is>
          <t>JNJ</t>
        </is>
      </c>
      <c r="F3023" s="6" t="inlineStr">
        <is>
          <t>-</t>
        </is>
      </c>
      <c r="G3023" s="7" t="n">
        <v>146.6095123291016</v>
      </c>
      <c r="H3023" s="6">
        <f>P2992</f>
        <v/>
      </c>
      <c r="I3023" s="9">
        <f>Q2992</f>
        <v/>
      </c>
      <c r="J3023" s="7">
        <f>I3023*G3023</f>
        <v/>
      </c>
      <c r="K3023" s="8">
        <f>IF($J$3039=0,0,J3023/$J$3039)</f>
        <v/>
      </c>
      <c r="L3023" s="6" t="inlineStr">
        <is>
          <t>REJECTED</t>
        </is>
      </c>
      <c r="M3023" s="8" t="n">
        <v>0</v>
      </c>
      <c r="N3023" s="7">
        <f>M3023*$J$3039-J3023</f>
        <v/>
      </c>
      <c r="O3023" s="9">
        <f>IF(G3023=0,0,N3023/G3023)</f>
        <v/>
      </c>
      <c r="P3023" s="6">
        <f>IF(M3023&gt;0,D3023,"")</f>
        <v/>
      </c>
      <c r="Q3023" s="9">
        <f>I3023+O3023</f>
        <v/>
      </c>
      <c r="R3023" s="7">
        <f>Q3023*G3023</f>
        <v/>
      </c>
      <c r="S3023" s="8">
        <f>IF($R$3039=0,0,R3023/$R$3039)</f>
        <v/>
      </c>
      <c r="T3023" s="8" t="n">
        <v>-0.01570914883228192</v>
      </c>
      <c r="U3023" s="8" t="n">
        <v>-0.01212387410895976</v>
      </c>
      <c r="V3023" s="6" t="inlineStr">
        <is>
          <t>not selected</t>
        </is>
      </c>
    </row>
    <row r="3024">
      <c r="A3024" s="6" t="inlineStr">
        <is>
          <t>DJ30</t>
        </is>
      </c>
      <c r="B3024" s="6" t="inlineStr">
        <is>
          <t>2024-11-15</t>
        </is>
      </c>
      <c r="C3024" s="6" t="inlineStr">
        <is>
          <t>DIA</t>
        </is>
      </c>
      <c r="D3024" s="6" t="inlineStr">
        <is>
          <t>JPM</t>
        </is>
      </c>
      <c r="E3024" s="6" t="inlineStr">
        <is>
          <t>JPM</t>
        </is>
      </c>
      <c r="F3024" s="6" t="inlineStr">
        <is>
          <t>-</t>
        </is>
      </c>
      <c r="G3024" s="7" t="n">
        <v>237.9283142089844</v>
      </c>
      <c r="H3024" s="6">
        <f>P2993</f>
        <v/>
      </c>
      <c r="I3024" s="9">
        <f>Q2993</f>
        <v/>
      </c>
      <c r="J3024" s="7">
        <f>I3024*G3024</f>
        <v/>
      </c>
      <c r="K3024" s="8">
        <f>IF($J$3039=0,0,J3024/$J$3039)</f>
        <v/>
      </c>
      <c r="L3024" s="6" t="inlineStr">
        <is>
          <t>WATCHLIST</t>
        </is>
      </c>
      <c r="M3024" s="8" t="n">
        <v>0</v>
      </c>
      <c r="N3024" s="7">
        <f>M3024*$J$3039-J3024</f>
        <v/>
      </c>
      <c r="O3024" s="9">
        <f>IF(G3024=0,0,N3024/G3024)</f>
        <v/>
      </c>
      <c r="P3024" s="6">
        <f>IF(M3024&gt;0,D3024,"")</f>
        <v/>
      </c>
      <c r="Q3024" s="9">
        <f>I3024+O3024</f>
        <v/>
      </c>
      <c r="R3024" s="7">
        <f>Q3024*G3024</f>
        <v/>
      </c>
      <c r="S3024" s="8">
        <f>IF($R$3039=0,0,R3024/$R$3039)</f>
        <v/>
      </c>
      <c r="T3024" s="8" t="n">
        <v>-0.01570914883228192</v>
      </c>
      <c r="U3024" s="8" t="n">
        <v>-0.01212387410895976</v>
      </c>
      <c r="V3024" s="6" t="inlineStr">
        <is>
          <t>not selected</t>
        </is>
      </c>
    </row>
    <row r="3025">
      <c r="A3025" s="6" t="inlineStr">
        <is>
          <t>DJ30</t>
        </is>
      </c>
      <c r="B3025" s="6" t="inlineStr">
        <is>
          <t>2024-11-15</t>
        </is>
      </c>
      <c r="C3025" s="6" t="inlineStr">
        <is>
          <t>DIA</t>
        </is>
      </c>
      <c r="D3025" s="6" t="inlineStr">
        <is>
          <t>KO</t>
        </is>
      </c>
      <c r="E3025" s="6" t="inlineStr">
        <is>
          <t>KO</t>
        </is>
      </c>
      <c r="F3025" s="6" t="inlineStr">
        <is>
          <t>-</t>
        </is>
      </c>
      <c r="G3025" s="7" t="n">
        <v>58.73357772827149</v>
      </c>
      <c r="H3025" s="6">
        <f>P2994</f>
        <v/>
      </c>
      <c r="I3025" s="9">
        <f>Q2994</f>
        <v/>
      </c>
      <c r="J3025" s="7">
        <f>I3025*G3025</f>
        <v/>
      </c>
      <c r="K3025" s="8">
        <f>IF($J$3039=0,0,J3025/$J$3039)</f>
        <v/>
      </c>
      <c r="L3025" s="6" t="inlineStr">
        <is>
          <t>SELECTED</t>
        </is>
      </c>
      <c r="M3025" s="8" t="n">
        <v>0.2</v>
      </c>
      <c r="N3025" s="7">
        <f>M3025*$J$3039-J3025</f>
        <v/>
      </c>
      <c r="O3025" s="9">
        <f>IF(G3025=0,0,N3025/G3025)</f>
        <v/>
      </c>
      <c r="P3025" s="6">
        <f>IF(M3025&gt;0,D3025,"")</f>
        <v/>
      </c>
      <c r="Q3025" s="9">
        <f>I3025+O3025</f>
        <v/>
      </c>
      <c r="R3025" s="7">
        <f>Q3025*G3025</f>
        <v/>
      </c>
      <c r="S3025" s="8">
        <f>IF($R$3039=0,0,R3025/$R$3039)</f>
        <v/>
      </c>
      <c r="T3025" s="8" t="n">
        <v>-0.01570914883228192</v>
      </c>
      <c r="U3025" s="8" t="n">
        <v>-0.01212387410895976</v>
      </c>
      <c r="V3025" s="6" t="inlineStr">
        <is>
          <t>remained in weekly selection</t>
        </is>
      </c>
    </row>
    <row r="3026">
      <c r="A3026" s="6" t="inlineStr">
        <is>
          <t>DJ30</t>
        </is>
      </c>
      <c r="B3026" s="6" t="inlineStr">
        <is>
          <t>2024-11-15</t>
        </is>
      </c>
      <c r="C3026" s="6" t="inlineStr">
        <is>
          <t>DIA</t>
        </is>
      </c>
      <c r="D3026" s="6" t="inlineStr">
        <is>
          <t>MCD</t>
        </is>
      </c>
      <c r="E3026" s="6" t="inlineStr">
        <is>
          <t>MCD</t>
        </is>
      </c>
      <c r="F3026" s="6" t="inlineStr">
        <is>
          <t>-</t>
        </is>
      </c>
      <c r="G3026" s="7" t="n">
        <v>280.7669067382812</v>
      </c>
      <c r="H3026" s="6">
        <f>P2995</f>
        <v/>
      </c>
      <c r="I3026" s="9">
        <f>Q2995</f>
        <v/>
      </c>
      <c r="J3026" s="7">
        <f>I3026*G3026</f>
        <v/>
      </c>
      <c r="K3026" s="8">
        <f>IF($J$3039=0,0,J3026/$J$3039)</f>
        <v/>
      </c>
      <c r="L3026" s="6" t="inlineStr">
        <is>
          <t>REJECTED</t>
        </is>
      </c>
      <c r="M3026" s="8" t="n">
        <v>0</v>
      </c>
      <c r="N3026" s="7">
        <f>M3026*$J$3039-J3026</f>
        <v/>
      </c>
      <c r="O3026" s="9">
        <f>IF(G3026=0,0,N3026/G3026)</f>
        <v/>
      </c>
      <c r="P3026" s="6">
        <f>IF(M3026&gt;0,D3026,"")</f>
        <v/>
      </c>
      <c r="Q3026" s="9">
        <f>I3026+O3026</f>
        <v/>
      </c>
      <c r="R3026" s="7">
        <f>Q3026*G3026</f>
        <v/>
      </c>
      <c r="S3026" s="8">
        <f>IF($R$3039=0,0,R3026/$R$3039)</f>
        <v/>
      </c>
      <c r="T3026" s="8" t="n">
        <v>-0.01570914883228192</v>
      </c>
      <c r="U3026" s="8" t="n">
        <v>-0.01212387410895976</v>
      </c>
      <c r="V3026" s="6" t="inlineStr">
        <is>
          <t>not selected</t>
        </is>
      </c>
    </row>
    <row r="3027">
      <c r="A3027" s="6" t="inlineStr">
        <is>
          <t>DJ30</t>
        </is>
      </c>
      <c r="B3027" s="6" t="inlineStr">
        <is>
          <t>2024-11-15</t>
        </is>
      </c>
      <c r="C3027" s="6" t="inlineStr">
        <is>
          <t>DIA</t>
        </is>
      </c>
      <c r="D3027" s="6" t="inlineStr">
        <is>
          <t>MMM</t>
        </is>
      </c>
      <c r="E3027" s="6" t="inlineStr">
        <is>
          <t>MMM</t>
        </is>
      </c>
      <c r="F3027" s="6" t="inlineStr">
        <is>
          <t>-</t>
        </is>
      </c>
      <c r="G3027" s="7" t="n">
        <v>126.1634368896484</v>
      </c>
      <c r="H3027" s="6">
        <f>P2996</f>
        <v/>
      </c>
      <c r="I3027" s="9">
        <f>Q2996</f>
        <v/>
      </c>
      <c r="J3027" s="7">
        <f>I3027*G3027</f>
        <v/>
      </c>
      <c r="K3027" s="8">
        <f>IF($J$3039=0,0,J3027/$J$3039)</f>
        <v/>
      </c>
      <c r="L3027" s="6" t="inlineStr">
        <is>
          <t>SELECTED</t>
        </is>
      </c>
      <c r="M3027" s="8" t="n">
        <v>0.2</v>
      </c>
      <c r="N3027" s="7">
        <f>M3027*$J$3039-J3027</f>
        <v/>
      </c>
      <c r="O3027" s="9">
        <f>IF(G3027=0,0,N3027/G3027)</f>
        <v/>
      </c>
      <c r="P3027" s="6">
        <f>IF(M3027&gt;0,D3027,"")</f>
        <v/>
      </c>
      <c r="Q3027" s="9">
        <f>I3027+O3027</f>
        <v/>
      </c>
      <c r="R3027" s="7">
        <f>Q3027*G3027</f>
        <v/>
      </c>
      <c r="S3027" s="8">
        <f>IF($R$3039=0,0,R3027/$R$3039)</f>
        <v/>
      </c>
      <c r="T3027" s="8" t="n">
        <v>-0.01570914883228192</v>
      </c>
      <c r="U3027" s="8" t="n">
        <v>-0.01212387410895976</v>
      </c>
      <c r="V3027" s="6" t="inlineStr">
        <is>
          <t>remained in weekly selection</t>
        </is>
      </c>
    </row>
    <row r="3028">
      <c r="A3028" s="6" t="inlineStr">
        <is>
          <t>DJ30</t>
        </is>
      </c>
      <c r="B3028" s="6" t="inlineStr">
        <is>
          <t>2024-11-15</t>
        </is>
      </c>
      <c r="C3028" s="6" t="inlineStr">
        <is>
          <t>DIA</t>
        </is>
      </c>
      <c r="D3028" s="6" t="inlineStr">
        <is>
          <t>MRK</t>
        </is>
      </c>
      <c r="E3028" s="6" t="inlineStr">
        <is>
          <t>MRK</t>
        </is>
      </c>
      <c r="F3028" s="6" t="inlineStr">
        <is>
          <t>-</t>
        </is>
      </c>
      <c r="G3028" s="7" t="n">
        <v>90.75373077392578</v>
      </c>
      <c r="H3028" s="6">
        <f>P2997</f>
        <v/>
      </c>
      <c r="I3028" s="9">
        <f>Q2997</f>
        <v/>
      </c>
      <c r="J3028" s="7">
        <f>I3028*G3028</f>
        <v/>
      </c>
      <c r="K3028" s="8">
        <f>IF($J$3039=0,0,J3028/$J$3039)</f>
        <v/>
      </c>
      <c r="L3028" s="6" t="inlineStr">
        <is>
          <t>REJECTED</t>
        </is>
      </c>
      <c r="M3028" s="8" t="n">
        <v>0</v>
      </c>
      <c r="N3028" s="7">
        <f>M3028*$J$3039-J3028</f>
        <v/>
      </c>
      <c r="O3028" s="9">
        <f>IF(G3028=0,0,N3028/G3028)</f>
        <v/>
      </c>
      <c r="P3028" s="6">
        <f>IF(M3028&gt;0,D3028,"")</f>
        <v/>
      </c>
      <c r="Q3028" s="9">
        <f>I3028+O3028</f>
        <v/>
      </c>
      <c r="R3028" s="7">
        <f>Q3028*G3028</f>
        <v/>
      </c>
      <c r="S3028" s="8">
        <f>IF($R$3039=0,0,R3028/$R$3039)</f>
        <v/>
      </c>
      <c r="T3028" s="8" t="n">
        <v>-0.01570914883228192</v>
      </c>
      <c r="U3028" s="8" t="n">
        <v>-0.01212387410895976</v>
      </c>
      <c r="V3028" s="6" t="inlineStr">
        <is>
          <t>not selected</t>
        </is>
      </c>
    </row>
    <row r="3029">
      <c r="A3029" s="6" t="inlineStr">
        <is>
          <t>DJ30</t>
        </is>
      </c>
      <c r="B3029" s="6" t="inlineStr">
        <is>
          <t>2024-11-15</t>
        </is>
      </c>
      <c r="C3029" s="6" t="inlineStr">
        <is>
          <t>DIA</t>
        </is>
      </c>
      <c r="D3029" s="6" t="inlineStr">
        <is>
          <t>MSFT</t>
        </is>
      </c>
      <c r="E3029" s="6" t="inlineStr">
        <is>
          <t>MSFT</t>
        </is>
      </c>
      <c r="F3029" s="6" t="inlineStr">
        <is>
          <t>-</t>
        </is>
      </c>
      <c r="G3029" s="7" t="n">
        <v>409.3153686523438</v>
      </c>
      <c r="H3029" s="6">
        <f>P2998</f>
        <v/>
      </c>
      <c r="I3029" s="9">
        <f>Q2998</f>
        <v/>
      </c>
      <c r="J3029" s="7">
        <f>I3029*G3029</f>
        <v/>
      </c>
      <c r="K3029" s="8">
        <f>IF($J$3039=0,0,J3029/$J$3039)</f>
        <v/>
      </c>
      <c r="L3029" s="6" t="inlineStr">
        <is>
          <t>WATCHLIST</t>
        </is>
      </c>
      <c r="M3029" s="8" t="n">
        <v>0</v>
      </c>
      <c r="N3029" s="7">
        <f>M3029*$J$3039-J3029</f>
        <v/>
      </c>
      <c r="O3029" s="9">
        <f>IF(G3029=0,0,N3029/G3029)</f>
        <v/>
      </c>
      <c r="P3029" s="6">
        <f>IF(M3029&gt;0,D3029,"")</f>
        <v/>
      </c>
      <c r="Q3029" s="9">
        <f>I3029+O3029</f>
        <v/>
      </c>
      <c r="R3029" s="7">
        <f>Q3029*G3029</f>
        <v/>
      </c>
      <c r="S3029" s="8">
        <f>IF($R$3039=0,0,R3029/$R$3039)</f>
        <v/>
      </c>
      <c r="T3029" s="8" t="n">
        <v>-0.01570914883228192</v>
      </c>
      <c r="U3029" s="8" t="n">
        <v>-0.01212387410895976</v>
      </c>
      <c r="V3029" s="6" t="inlineStr">
        <is>
          <t>not selected</t>
        </is>
      </c>
    </row>
    <row r="3030">
      <c r="A3030" s="6" t="inlineStr">
        <is>
          <t>DJ30</t>
        </is>
      </c>
      <c r="B3030" s="6" t="inlineStr">
        <is>
          <t>2024-11-15</t>
        </is>
      </c>
      <c r="C3030" s="6" t="inlineStr">
        <is>
          <t>DIA</t>
        </is>
      </c>
      <c r="D3030" s="6" t="inlineStr">
        <is>
          <t>NKE</t>
        </is>
      </c>
      <c r="E3030" s="6" t="inlineStr">
        <is>
          <t>NKE</t>
        </is>
      </c>
      <c r="F3030" s="6" t="inlineStr">
        <is>
          <t>-</t>
        </is>
      </c>
      <c r="G3030" s="7" t="n">
        <v>73.37224578857422</v>
      </c>
      <c r="H3030" s="6">
        <f>P2999</f>
        <v/>
      </c>
      <c r="I3030" s="9">
        <f>Q2999</f>
        <v/>
      </c>
      <c r="J3030" s="7">
        <f>I3030*G3030</f>
        <v/>
      </c>
      <c r="K3030" s="8">
        <f>IF($J$3039=0,0,J3030/$J$3039)</f>
        <v/>
      </c>
      <c r="L3030" s="6" t="inlineStr">
        <is>
          <t>REJECTED</t>
        </is>
      </c>
      <c r="M3030" s="8" t="n">
        <v>0</v>
      </c>
      <c r="N3030" s="7">
        <f>M3030*$J$3039-J3030</f>
        <v/>
      </c>
      <c r="O3030" s="9">
        <f>IF(G3030=0,0,N3030/G3030)</f>
        <v/>
      </c>
      <c r="P3030" s="6">
        <f>IF(M3030&gt;0,D3030,"")</f>
        <v/>
      </c>
      <c r="Q3030" s="9">
        <f>I3030+O3030</f>
        <v/>
      </c>
      <c r="R3030" s="7">
        <f>Q3030*G3030</f>
        <v/>
      </c>
      <c r="S3030" s="8">
        <f>IF($R$3039=0,0,R3030/$R$3039)</f>
        <v/>
      </c>
      <c r="T3030" s="8" t="n">
        <v>-0.01570914883228192</v>
      </c>
      <c r="U3030" s="8" t="n">
        <v>-0.01212387410895976</v>
      </c>
      <c r="V3030" s="6" t="inlineStr">
        <is>
          <t>not selected</t>
        </is>
      </c>
    </row>
    <row r="3031">
      <c r="A3031" s="6" t="inlineStr">
        <is>
          <t>DJ30</t>
        </is>
      </c>
      <c r="B3031" s="6" t="inlineStr">
        <is>
          <t>2024-11-15</t>
        </is>
      </c>
      <c r="C3031" s="6" t="inlineStr">
        <is>
          <t>DIA</t>
        </is>
      </c>
      <c r="D3031" s="6" t="inlineStr">
        <is>
          <t>NVDA</t>
        </is>
      </c>
      <c r="E3031" s="6" t="inlineStr">
        <is>
          <t>NVDA</t>
        </is>
      </c>
      <c r="F3031" s="6" t="inlineStr">
        <is>
          <t>-</t>
        </is>
      </c>
      <c r="G3031" s="7" t="n">
        <v>141.7584991455078</v>
      </c>
      <c r="H3031" s="6">
        <f>P3000</f>
        <v/>
      </c>
      <c r="I3031" s="9">
        <f>Q3000</f>
        <v/>
      </c>
      <c r="J3031" s="7">
        <f>I3031*G3031</f>
        <v/>
      </c>
      <c r="K3031" s="8">
        <f>IF($J$3039=0,0,J3031/$J$3039)</f>
        <v/>
      </c>
      <c r="L3031" s="6" t="inlineStr">
        <is>
          <t>SELECTED</t>
        </is>
      </c>
      <c r="M3031" s="8" t="n">
        <v>0.2</v>
      </c>
      <c r="N3031" s="7">
        <f>M3031*$J$3039-J3031</f>
        <v/>
      </c>
      <c r="O3031" s="9">
        <f>IF(G3031=0,0,N3031/G3031)</f>
        <v/>
      </c>
      <c r="P3031" s="6">
        <f>IF(M3031&gt;0,D3031,"")</f>
        <v/>
      </c>
      <c r="Q3031" s="9">
        <f>I3031+O3031</f>
        <v/>
      </c>
      <c r="R3031" s="7">
        <f>Q3031*G3031</f>
        <v/>
      </c>
      <c r="S3031" s="8">
        <f>IF($R$3039=0,0,R3031/$R$3039)</f>
        <v/>
      </c>
      <c r="T3031" s="8" t="n">
        <v>-0.01570914883228192</v>
      </c>
      <c r="U3031" s="8" t="n">
        <v>-0.01212387410895976</v>
      </c>
      <c r="V3031" s="6" t="inlineStr">
        <is>
          <t>remained in weekly selection</t>
        </is>
      </c>
    </row>
    <row r="3032">
      <c r="A3032" s="6" t="inlineStr">
        <is>
          <t>DJ30</t>
        </is>
      </c>
      <c r="B3032" s="6" t="inlineStr">
        <is>
          <t>2024-11-15</t>
        </is>
      </c>
      <c r="C3032" s="6" t="inlineStr">
        <is>
          <t>DIA</t>
        </is>
      </c>
      <c r="D3032" s="6" t="inlineStr">
        <is>
          <t>PG</t>
        </is>
      </c>
      <c r="E3032" s="6" t="inlineStr">
        <is>
          <t>PG</t>
        </is>
      </c>
      <c r="F3032" s="6" t="inlineStr">
        <is>
          <t>-</t>
        </is>
      </c>
      <c r="G3032" s="7" t="n">
        <v>162.7857360839844</v>
      </c>
      <c r="H3032" s="6">
        <f>P3001</f>
        <v/>
      </c>
      <c r="I3032" s="9">
        <f>Q3001</f>
        <v/>
      </c>
      <c r="J3032" s="7">
        <f>I3032*G3032</f>
        <v/>
      </c>
      <c r="K3032" s="8">
        <f>IF($J$3039=0,0,J3032/$J$3039)</f>
        <v/>
      </c>
      <c r="L3032" s="6" t="inlineStr">
        <is>
          <t>WATCHLIST</t>
        </is>
      </c>
      <c r="M3032" s="8" t="n">
        <v>0</v>
      </c>
      <c r="N3032" s="7">
        <f>M3032*$J$3039-J3032</f>
        <v/>
      </c>
      <c r="O3032" s="9">
        <f>IF(G3032=0,0,N3032/G3032)</f>
        <v/>
      </c>
      <c r="P3032" s="6">
        <f>IF(M3032&gt;0,D3032,"")</f>
        <v/>
      </c>
      <c r="Q3032" s="9">
        <f>I3032+O3032</f>
        <v/>
      </c>
      <c r="R3032" s="7">
        <f>Q3032*G3032</f>
        <v/>
      </c>
      <c r="S3032" s="8">
        <f>IF($R$3039=0,0,R3032/$R$3039)</f>
        <v/>
      </c>
      <c r="T3032" s="8" t="n">
        <v>-0.01570914883228192</v>
      </c>
      <c r="U3032" s="8" t="n">
        <v>-0.01212387410895976</v>
      </c>
      <c r="V3032" s="6" t="inlineStr">
        <is>
          <t>not selected</t>
        </is>
      </c>
    </row>
    <row r="3033">
      <c r="A3033" s="6" t="inlineStr">
        <is>
          <t>DJ30</t>
        </is>
      </c>
      <c r="B3033" s="6" t="inlineStr">
        <is>
          <t>2024-11-15</t>
        </is>
      </c>
      <c r="C3033" s="6" t="inlineStr">
        <is>
          <t>DIA</t>
        </is>
      </c>
      <c r="D3033" s="6" t="inlineStr">
        <is>
          <t>SHW</t>
        </is>
      </c>
      <c r="E3033" s="6" t="inlineStr">
        <is>
          <t>SHW</t>
        </is>
      </c>
      <c r="F3033" s="6" t="inlineStr">
        <is>
          <t>-</t>
        </is>
      </c>
      <c r="G3033" s="7" t="n">
        <v>373.8456115722656</v>
      </c>
      <c r="H3033" s="6">
        <f>P3002</f>
        <v/>
      </c>
      <c r="I3033" s="9">
        <f>Q3002</f>
        <v/>
      </c>
      <c r="J3033" s="7">
        <f>I3033*G3033</f>
        <v/>
      </c>
      <c r="K3033" s="8">
        <f>IF($J$3039=0,0,J3033/$J$3039)</f>
        <v/>
      </c>
      <c r="L3033" s="6" t="inlineStr">
        <is>
          <t>WATCHLIST</t>
        </is>
      </c>
      <c r="M3033" s="8" t="n">
        <v>0</v>
      </c>
      <c r="N3033" s="7">
        <f>M3033*$J$3039-J3033</f>
        <v/>
      </c>
      <c r="O3033" s="9">
        <f>IF(G3033=0,0,N3033/G3033)</f>
        <v/>
      </c>
      <c r="P3033" s="6">
        <f>IF(M3033&gt;0,D3033,"")</f>
        <v/>
      </c>
      <c r="Q3033" s="9">
        <f>I3033+O3033</f>
        <v/>
      </c>
      <c r="R3033" s="7">
        <f>Q3033*G3033</f>
        <v/>
      </c>
      <c r="S3033" s="8">
        <f>IF($R$3039=0,0,R3033/$R$3039)</f>
        <v/>
      </c>
      <c r="T3033" s="8" t="n">
        <v>-0.01570914883228192</v>
      </c>
      <c r="U3033" s="8" t="n">
        <v>-0.01212387410895976</v>
      </c>
      <c r="V3033" s="6" t="inlineStr">
        <is>
          <t>not selected</t>
        </is>
      </c>
    </row>
    <row r="3034">
      <c r="A3034" s="6" t="inlineStr">
        <is>
          <t>DJ30</t>
        </is>
      </c>
      <c r="B3034" s="6" t="inlineStr">
        <is>
          <t>2024-11-15</t>
        </is>
      </c>
      <c r="C3034" s="6" t="inlineStr">
        <is>
          <t>DIA</t>
        </is>
      </c>
      <c r="D3034" s="6" t="inlineStr">
        <is>
          <t>TRV</t>
        </is>
      </c>
      <c r="E3034" s="6" t="inlineStr">
        <is>
          <t>TRV</t>
        </is>
      </c>
      <c r="F3034" s="6" t="inlineStr">
        <is>
          <t>-</t>
        </is>
      </c>
      <c r="G3034" s="7" t="n">
        <v>253.5778045654297</v>
      </c>
      <c r="H3034" s="6">
        <f>P3003</f>
        <v/>
      </c>
      <c r="I3034" s="9">
        <f>Q3003</f>
        <v/>
      </c>
      <c r="J3034" s="7">
        <f>I3034*G3034</f>
        <v/>
      </c>
      <c r="K3034" s="8">
        <f>IF($J$3039=0,0,J3034/$J$3039)</f>
        <v/>
      </c>
      <c r="L3034" s="6" t="inlineStr">
        <is>
          <t>SELECTED</t>
        </is>
      </c>
      <c r="M3034" s="8" t="n">
        <v>0.2</v>
      </c>
      <c r="N3034" s="7">
        <f>M3034*$J$3039-J3034</f>
        <v/>
      </c>
      <c r="O3034" s="9">
        <f>IF(G3034=0,0,N3034/G3034)</f>
        <v/>
      </c>
      <c r="P3034" s="6">
        <f>IF(M3034&gt;0,D3034,"")</f>
        <v/>
      </c>
      <c r="Q3034" s="9">
        <f>I3034+O3034</f>
        <v/>
      </c>
      <c r="R3034" s="7">
        <f>Q3034*G3034</f>
        <v/>
      </c>
      <c r="S3034" s="8">
        <f>IF($R$3039=0,0,R3034/$R$3039)</f>
        <v/>
      </c>
      <c r="T3034" s="8" t="n">
        <v>-0.01570914883228192</v>
      </c>
      <c r="U3034" s="8" t="n">
        <v>-0.01212387410895976</v>
      </c>
      <c r="V3034" s="6" t="inlineStr">
        <is>
          <t>remained in weekly selection</t>
        </is>
      </c>
    </row>
    <row r="3035">
      <c r="A3035" s="6" t="inlineStr">
        <is>
          <t>DJ30</t>
        </is>
      </c>
      <c r="B3035" s="6" t="inlineStr">
        <is>
          <t>2024-11-15</t>
        </is>
      </c>
      <c r="C3035" s="6" t="inlineStr">
        <is>
          <t>DIA</t>
        </is>
      </c>
      <c r="D3035" s="6" t="inlineStr">
        <is>
          <t>UNH</t>
        </is>
      </c>
      <c r="E3035" s="6" t="inlineStr">
        <is>
          <t>UNH</t>
        </is>
      </c>
      <c r="F3035" s="6" t="inlineStr">
        <is>
          <t>-</t>
        </is>
      </c>
      <c r="G3035" s="7" t="n">
        <v>568.1008911132812</v>
      </c>
      <c r="H3035" s="6">
        <f>P3004</f>
        <v/>
      </c>
      <c r="I3035" s="9">
        <f>Q3004</f>
        <v/>
      </c>
      <c r="J3035" s="7">
        <f>I3035*G3035</f>
        <v/>
      </c>
      <c r="K3035" s="8">
        <f>IF($J$3039=0,0,J3035/$J$3039)</f>
        <v/>
      </c>
      <c r="L3035" s="6" t="inlineStr">
        <is>
          <t>WATCHLIST</t>
        </is>
      </c>
      <c r="M3035" s="8" t="n">
        <v>0</v>
      </c>
      <c r="N3035" s="7">
        <f>M3035*$J$3039-J3035</f>
        <v/>
      </c>
      <c r="O3035" s="9">
        <f>IF(G3035=0,0,N3035/G3035)</f>
        <v/>
      </c>
      <c r="P3035" s="6">
        <f>IF(M3035&gt;0,D3035,"")</f>
        <v/>
      </c>
      <c r="Q3035" s="9">
        <f>I3035+O3035</f>
        <v/>
      </c>
      <c r="R3035" s="7">
        <f>Q3035*G3035</f>
        <v/>
      </c>
      <c r="S3035" s="8">
        <f>IF($R$3039=0,0,R3035/$R$3039)</f>
        <v/>
      </c>
      <c r="T3035" s="8" t="n">
        <v>-0.01570914883228192</v>
      </c>
      <c r="U3035" s="8" t="n">
        <v>-0.01212387410895976</v>
      </c>
      <c r="V3035" s="6" t="inlineStr">
        <is>
          <t>not selected</t>
        </is>
      </c>
    </row>
    <row r="3036">
      <c r="A3036" s="6" t="inlineStr">
        <is>
          <t>DJ30</t>
        </is>
      </c>
      <c r="B3036" s="6" t="inlineStr">
        <is>
          <t>2024-11-15</t>
        </is>
      </c>
      <c r="C3036" s="6" t="inlineStr">
        <is>
          <t>DIA</t>
        </is>
      </c>
      <c r="D3036" s="6" t="inlineStr">
        <is>
          <t>V</t>
        </is>
      </c>
      <c r="E3036" s="6" t="inlineStr">
        <is>
          <t>V</t>
        </is>
      </c>
      <c r="F3036" s="6" t="inlineStr">
        <is>
          <t>-</t>
        </is>
      </c>
      <c r="G3036" s="7" t="n">
        <v>306.1888122558594</v>
      </c>
      <c r="H3036" s="6">
        <f>P3005</f>
        <v/>
      </c>
      <c r="I3036" s="9">
        <f>Q3005</f>
        <v/>
      </c>
      <c r="J3036" s="7">
        <f>I3036*G3036</f>
        <v/>
      </c>
      <c r="K3036" s="8">
        <f>IF($J$3039=0,0,J3036/$J$3039)</f>
        <v/>
      </c>
      <c r="L3036" s="6" t="inlineStr">
        <is>
          <t>WATCHLIST</t>
        </is>
      </c>
      <c r="M3036" s="8" t="n">
        <v>0</v>
      </c>
      <c r="N3036" s="7">
        <f>M3036*$J$3039-J3036</f>
        <v/>
      </c>
      <c r="O3036" s="9">
        <f>IF(G3036=0,0,N3036/G3036)</f>
        <v/>
      </c>
      <c r="P3036" s="6">
        <f>IF(M3036&gt;0,D3036,"")</f>
        <v/>
      </c>
      <c r="Q3036" s="9">
        <f>I3036+O3036</f>
        <v/>
      </c>
      <c r="R3036" s="7">
        <f>Q3036*G3036</f>
        <v/>
      </c>
      <c r="S3036" s="8">
        <f>IF($R$3039=0,0,R3036/$R$3039)</f>
        <v/>
      </c>
      <c r="T3036" s="8" t="n">
        <v>-0.01570914883228192</v>
      </c>
      <c r="U3036" s="8" t="n">
        <v>-0.01212387410895976</v>
      </c>
      <c r="V3036" s="6" t="inlineStr">
        <is>
          <t>not selected</t>
        </is>
      </c>
    </row>
    <row r="3037">
      <c r="A3037" s="6" t="inlineStr">
        <is>
          <t>DJ30</t>
        </is>
      </c>
      <c r="B3037" s="6" t="inlineStr">
        <is>
          <t>2024-11-15</t>
        </is>
      </c>
      <c r="C3037" s="6" t="inlineStr">
        <is>
          <t>DIA</t>
        </is>
      </c>
      <c r="D3037" s="6" t="inlineStr">
        <is>
          <t>VZ</t>
        </is>
      </c>
      <c r="E3037" s="6" t="inlineStr">
        <is>
          <t>VZ</t>
        </is>
      </c>
      <c r="F3037" s="6" t="inlineStr">
        <is>
          <t>-</t>
        </is>
      </c>
      <c r="G3037" s="7" t="n">
        <v>37.73504257202149</v>
      </c>
      <c r="H3037" s="6">
        <f>P3006</f>
        <v/>
      </c>
      <c r="I3037" s="9">
        <f>Q3006</f>
        <v/>
      </c>
      <c r="J3037" s="7">
        <f>I3037*G3037</f>
        <v/>
      </c>
      <c r="K3037" s="8">
        <f>IF($J$3039=0,0,J3037/$J$3039)</f>
        <v/>
      </c>
      <c r="L3037" s="6" t="inlineStr">
        <is>
          <t>WATCHLIST</t>
        </is>
      </c>
      <c r="M3037" s="8" t="n">
        <v>0</v>
      </c>
      <c r="N3037" s="7">
        <f>M3037*$J$3039-J3037</f>
        <v/>
      </c>
      <c r="O3037" s="9">
        <f>IF(G3037=0,0,N3037/G3037)</f>
        <v/>
      </c>
      <c r="P3037" s="6">
        <f>IF(M3037&gt;0,D3037,"")</f>
        <v/>
      </c>
      <c r="Q3037" s="9">
        <f>I3037+O3037</f>
        <v/>
      </c>
      <c r="R3037" s="7">
        <f>Q3037*G3037</f>
        <v/>
      </c>
      <c r="S3037" s="8">
        <f>IF($R$3039=0,0,R3037/$R$3039)</f>
        <v/>
      </c>
      <c r="T3037" s="8" t="n">
        <v>-0.01570914883228192</v>
      </c>
      <c r="U3037" s="8" t="n">
        <v>-0.01212387410895976</v>
      </c>
      <c r="V3037" s="6" t="inlineStr">
        <is>
          <t>not selected</t>
        </is>
      </c>
    </row>
    <row r="3038">
      <c r="A3038" s="6" t="inlineStr">
        <is>
          <t>DJ30</t>
        </is>
      </c>
      <c r="B3038" s="6" t="inlineStr">
        <is>
          <t>2024-11-15</t>
        </is>
      </c>
      <c r="C3038" s="6" t="inlineStr">
        <is>
          <t>DIA</t>
        </is>
      </c>
      <c r="D3038" s="6" t="inlineStr">
        <is>
          <t>WMT</t>
        </is>
      </c>
      <c r="E3038" s="6" t="inlineStr">
        <is>
          <t>WMT</t>
        </is>
      </c>
      <c r="F3038" s="6" t="inlineStr">
        <is>
          <t>-</t>
        </is>
      </c>
      <c r="G3038" s="7" t="n">
        <v>82.93790435791016</v>
      </c>
      <c r="H3038" s="6">
        <f>P3007</f>
        <v/>
      </c>
      <c r="I3038" s="9">
        <f>Q3007</f>
        <v/>
      </c>
      <c r="J3038" s="7">
        <f>I3038*G3038</f>
        <v/>
      </c>
      <c r="K3038" s="8">
        <f>IF($J$3039=0,0,J3038/$J$3039)</f>
        <v/>
      </c>
      <c r="L3038" s="6" t="inlineStr">
        <is>
          <t>WATCHLIST</t>
        </is>
      </c>
      <c r="M3038" s="8" t="n">
        <v>0</v>
      </c>
      <c r="N3038" s="7">
        <f>M3038*$J$3039-J3038</f>
        <v/>
      </c>
      <c r="O3038" s="9">
        <f>IF(G3038=0,0,N3038/G3038)</f>
        <v/>
      </c>
      <c r="P3038" s="6">
        <f>IF(M3038&gt;0,D3038,"")</f>
        <v/>
      </c>
      <c r="Q3038" s="9">
        <f>I3038+O3038</f>
        <v/>
      </c>
      <c r="R3038" s="7">
        <f>Q3038*G3038</f>
        <v/>
      </c>
      <c r="S3038" s="8">
        <f>IF($R$3039=0,0,R3038/$R$3039)</f>
        <v/>
      </c>
      <c r="T3038" s="8" t="n">
        <v>-0.01570914883228192</v>
      </c>
      <c r="U3038" s="8" t="n">
        <v>-0.01212387410895976</v>
      </c>
      <c r="V3038" s="6" t="inlineStr">
        <is>
          <t>not selected</t>
        </is>
      </c>
    </row>
    <row r="3039">
      <c r="A3039" s="10" t="inlineStr">
        <is>
          <t>DJ30</t>
        </is>
      </c>
      <c r="B3039" s="10" t="inlineStr">
        <is>
          <t>2024-11-15</t>
        </is>
      </c>
      <c r="C3039" s="10" t="inlineStr">
        <is>
          <t>DIA</t>
        </is>
      </c>
      <c r="D3039" s="10" t="inlineStr">
        <is>
          <t>Tot Portfolio</t>
        </is>
      </c>
      <c r="E3039" s="10" t="inlineStr"/>
      <c r="F3039" s="10" t="inlineStr"/>
      <c r="G3039" s="11" t="inlineStr"/>
      <c r="H3039" s="10" t="inlineStr"/>
      <c r="I3039" s="12" t="inlineStr"/>
      <c r="J3039" s="11">
        <f>SUM(J3009:J3038)</f>
        <v/>
      </c>
      <c r="K3039" s="13">
        <f>SUM(K3009:K3038)</f>
        <v/>
      </c>
      <c r="L3039" s="10" t="inlineStr">
        <is>
          <t>TOTAL</t>
        </is>
      </c>
      <c r="M3039" s="13">
        <f>SUM(M3009:M3038)</f>
        <v/>
      </c>
      <c r="N3039" s="11">
        <f>SUM(N3009:N3038)</f>
        <v/>
      </c>
      <c r="O3039" s="12">
        <f>SUM(O3009:O3038)</f>
        <v/>
      </c>
      <c r="P3039" s="10" t="inlineStr"/>
      <c r="Q3039" s="12" t="inlineStr"/>
      <c r="R3039" s="11">
        <f>SUM(R3009:R3038)</f>
        <v/>
      </c>
      <c r="S3039" s="13">
        <f>SUM(S3009:S3038)</f>
        <v/>
      </c>
      <c r="T3039" s="13" t="n">
        <v>-0.01570914883228192</v>
      </c>
      <c r="U3039" s="13" t="n">
        <v>-0.01212387410895976</v>
      </c>
      <c r="V3039" s="10" t="inlineStr"/>
    </row>
    <row r="3040">
      <c r="A3040" s="6" t="inlineStr">
        <is>
          <t>DJ30</t>
        </is>
      </c>
      <c r="B3040" s="6" t="inlineStr">
        <is>
          <t>2024-11-22</t>
        </is>
      </c>
      <c r="C3040" s="6" t="inlineStr">
        <is>
          <t>DIA</t>
        </is>
      </c>
      <c r="D3040" s="6" t="inlineStr">
        <is>
          <t>AAPL</t>
        </is>
      </c>
      <c r="E3040" s="6" t="inlineStr">
        <is>
          <t>AAPL</t>
        </is>
      </c>
      <c r="F3040" s="6" t="inlineStr">
        <is>
          <t>-</t>
        </is>
      </c>
      <c r="G3040" s="7" t="n">
        <v>228.4106750488281</v>
      </c>
      <c r="H3040" s="6">
        <f>P3009</f>
        <v/>
      </c>
      <c r="I3040" s="9">
        <f>Q3009</f>
        <v/>
      </c>
      <c r="J3040" s="7">
        <f>I3040*G3040</f>
        <v/>
      </c>
      <c r="K3040" s="8">
        <f>IF($J$3070=0,0,J3040/$J$3070)</f>
        <v/>
      </c>
      <c r="L3040" s="6" t="inlineStr">
        <is>
          <t>WATCHLIST</t>
        </is>
      </c>
      <c r="M3040" s="8" t="n">
        <v>0</v>
      </c>
      <c r="N3040" s="7">
        <f>M3040*$J$3070-J3040</f>
        <v/>
      </c>
      <c r="O3040" s="9">
        <f>IF(G3040=0,0,N3040/G3040)</f>
        <v/>
      </c>
      <c r="P3040" s="6">
        <f>IF(M3040&gt;0,D3040,"")</f>
        <v/>
      </c>
      <c r="Q3040" s="9">
        <f>I3040+O3040</f>
        <v/>
      </c>
      <c r="R3040" s="7">
        <f>Q3040*G3040</f>
        <v/>
      </c>
      <c r="S3040" s="8">
        <f>IF($R$3070=0,0,R3040/$R$3070)</f>
        <v/>
      </c>
      <c r="T3040" s="8" t="n">
        <v>0.008887257478854993</v>
      </c>
      <c r="U3040" s="8" t="n">
        <v>0.01990750580710365</v>
      </c>
      <c r="V3040" s="6" t="inlineStr">
        <is>
          <t>not selected</t>
        </is>
      </c>
    </row>
    <row r="3041">
      <c r="A3041" s="6" t="inlineStr">
        <is>
          <t>DJ30</t>
        </is>
      </c>
      <c r="B3041" s="6" t="inlineStr">
        <is>
          <t>2024-11-22</t>
        </is>
      </c>
      <c r="C3041" s="6" t="inlineStr">
        <is>
          <t>DIA</t>
        </is>
      </c>
      <c r="D3041" s="6" t="inlineStr">
        <is>
          <t>AMGN</t>
        </is>
      </c>
      <c r="E3041" s="6" t="inlineStr">
        <is>
          <t>AMGN</t>
        </is>
      </c>
      <c r="F3041" s="6" t="inlineStr">
        <is>
          <t>-</t>
        </is>
      </c>
      <c r="G3041" s="7" t="n">
        <v>281.1590881347656</v>
      </c>
      <c r="H3041" s="6">
        <f>P3010</f>
        <v/>
      </c>
      <c r="I3041" s="9">
        <f>Q3010</f>
        <v/>
      </c>
      <c r="J3041" s="7">
        <f>I3041*G3041</f>
        <v/>
      </c>
      <c r="K3041" s="8">
        <f>IF($J$3070=0,0,J3041/$J$3070)</f>
        <v/>
      </c>
      <c r="L3041" s="6" t="inlineStr">
        <is>
          <t>WATCHLIST</t>
        </is>
      </c>
      <c r="M3041" s="8" t="n">
        <v>0</v>
      </c>
      <c r="N3041" s="7">
        <f>M3041*$J$3070-J3041</f>
        <v/>
      </c>
      <c r="O3041" s="9">
        <f>IF(G3041=0,0,N3041/G3041)</f>
        <v/>
      </c>
      <c r="P3041" s="6">
        <f>IF(M3041&gt;0,D3041,"")</f>
        <v/>
      </c>
      <c r="Q3041" s="9">
        <f>I3041+O3041</f>
        <v/>
      </c>
      <c r="R3041" s="7">
        <f>Q3041*G3041</f>
        <v/>
      </c>
      <c r="S3041" s="8">
        <f>IF($R$3070=0,0,R3041/$R$3070)</f>
        <v/>
      </c>
      <c r="T3041" s="8" t="n">
        <v>0.008887257478854993</v>
      </c>
      <c r="U3041" s="8" t="n">
        <v>0.01990750580710365</v>
      </c>
      <c r="V3041" s="6" t="inlineStr">
        <is>
          <t>not selected</t>
        </is>
      </c>
    </row>
    <row r="3042">
      <c r="A3042" s="6" t="inlineStr">
        <is>
          <t>DJ30</t>
        </is>
      </c>
      <c r="B3042" s="6" t="inlineStr">
        <is>
          <t>2024-11-22</t>
        </is>
      </c>
      <c r="C3042" s="6" t="inlineStr">
        <is>
          <t>DIA</t>
        </is>
      </c>
      <c r="D3042" s="6" t="inlineStr">
        <is>
          <t>AMZN</t>
        </is>
      </c>
      <c r="E3042" s="6" t="inlineStr">
        <is>
          <t>AMZN</t>
        </is>
      </c>
      <c r="F3042" s="6" t="inlineStr">
        <is>
          <t>-</t>
        </is>
      </c>
      <c r="G3042" s="7" t="n">
        <v>197.1199951171875</v>
      </c>
      <c r="H3042" s="6">
        <f>P3011</f>
        <v/>
      </c>
      <c r="I3042" s="9">
        <f>Q3011</f>
        <v/>
      </c>
      <c r="J3042" s="7">
        <f>I3042*G3042</f>
        <v/>
      </c>
      <c r="K3042" s="8">
        <f>IF($J$3070=0,0,J3042/$J$3070)</f>
        <v/>
      </c>
      <c r="L3042" s="6" t="inlineStr">
        <is>
          <t>WATCHLIST</t>
        </is>
      </c>
      <c r="M3042" s="8" t="n">
        <v>0</v>
      </c>
      <c r="N3042" s="7">
        <f>M3042*$J$3070-J3042</f>
        <v/>
      </c>
      <c r="O3042" s="9">
        <f>IF(G3042=0,0,N3042/G3042)</f>
        <v/>
      </c>
      <c r="P3042" s="6">
        <f>IF(M3042&gt;0,D3042,"")</f>
        <v/>
      </c>
      <c r="Q3042" s="9">
        <f>I3042+O3042</f>
        <v/>
      </c>
      <c r="R3042" s="7">
        <f>Q3042*G3042</f>
        <v/>
      </c>
      <c r="S3042" s="8">
        <f>IF($R$3070=0,0,R3042/$R$3070)</f>
        <v/>
      </c>
      <c r="T3042" s="8" t="n">
        <v>0.008887257478854993</v>
      </c>
      <c r="U3042" s="8" t="n">
        <v>0.01990750580710365</v>
      </c>
      <c r="V3042" s="6" t="inlineStr">
        <is>
          <t>not selected</t>
        </is>
      </c>
    </row>
    <row r="3043">
      <c r="A3043" s="6" t="inlineStr">
        <is>
          <t>DJ30</t>
        </is>
      </c>
      <c r="B3043" s="6" t="inlineStr">
        <is>
          <t>2024-11-22</t>
        </is>
      </c>
      <c r="C3043" s="6" t="inlineStr">
        <is>
          <t>DIA</t>
        </is>
      </c>
      <c r="D3043" s="6" t="inlineStr">
        <is>
          <t>AXP</t>
        </is>
      </c>
      <c r="E3043" s="6" t="inlineStr">
        <is>
          <t>AXP</t>
        </is>
      </c>
      <c r="F3043" s="6" t="inlineStr">
        <is>
          <t>-</t>
        </is>
      </c>
      <c r="G3043" s="7" t="n">
        <v>296.4907836914062</v>
      </c>
      <c r="H3043" s="6">
        <f>P3012</f>
        <v/>
      </c>
      <c r="I3043" s="9">
        <f>Q3012</f>
        <v/>
      </c>
      <c r="J3043" s="7">
        <f>I3043*G3043</f>
        <v/>
      </c>
      <c r="K3043" s="8">
        <f>IF($J$3070=0,0,J3043/$J$3070)</f>
        <v/>
      </c>
      <c r="L3043" s="6" t="inlineStr">
        <is>
          <t>WATCHLIST</t>
        </is>
      </c>
      <c r="M3043" s="8" t="n">
        <v>0</v>
      </c>
      <c r="N3043" s="7">
        <f>M3043*$J$3070-J3043</f>
        <v/>
      </c>
      <c r="O3043" s="9">
        <f>IF(G3043=0,0,N3043/G3043)</f>
        <v/>
      </c>
      <c r="P3043" s="6">
        <f>IF(M3043&gt;0,D3043,"")</f>
        <v/>
      </c>
      <c r="Q3043" s="9">
        <f>I3043+O3043</f>
        <v/>
      </c>
      <c r="R3043" s="7">
        <f>Q3043*G3043</f>
        <v/>
      </c>
      <c r="S3043" s="8">
        <f>IF($R$3070=0,0,R3043/$R$3070)</f>
        <v/>
      </c>
      <c r="T3043" s="8" t="n">
        <v>0.008887257478854993</v>
      </c>
      <c r="U3043" s="8" t="n">
        <v>0.01990750580710365</v>
      </c>
      <c r="V3043" s="6" t="inlineStr">
        <is>
          <t>not selected</t>
        </is>
      </c>
    </row>
    <row r="3044">
      <c r="A3044" s="6" t="inlineStr">
        <is>
          <t>DJ30</t>
        </is>
      </c>
      <c r="B3044" s="6" t="inlineStr">
        <is>
          <t>2024-11-22</t>
        </is>
      </c>
      <c r="C3044" s="6" t="inlineStr">
        <is>
          <t>DIA</t>
        </is>
      </c>
      <c r="D3044" s="6" t="inlineStr">
        <is>
          <t>BA</t>
        </is>
      </c>
      <c r="E3044" s="6" t="inlineStr">
        <is>
          <t>BA</t>
        </is>
      </c>
      <c r="F3044" s="6" t="inlineStr">
        <is>
          <t>-</t>
        </is>
      </c>
      <c r="G3044" s="7" t="n">
        <v>149.2899932861328</v>
      </c>
      <c r="H3044" s="6">
        <f>P3013</f>
        <v/>
      </c>
      <c r="I3044" s="9">
        <f>Q3013</f>
        <v/>
      </c>
      <c r="J3044" s="7">
        <f>I3044*G3044</f>
        <v/>
      </c>
      <c r="K3044" s="8">
        <f>IF($J$3070=0,0,J3044/$J$3070)</f>
        <v/>
      </c>
      <c r="L3044" s="6" t="inlineStr">
        <is>
          <t>REJECTED</t>
        </is>
      </c>
      <c r="M3044" s="8" t="n">
        <v>0</v>
      </c>
      <c r="N3044" s="7">
        <f>M3044*$J$3070-J3044</f>
        <v/>
      </c>
      <c r="O3044" s="9">
        <f>IF(G3044=0,0,N3044/G3044)</f>
        <v/>
      </c>
      <c r="P3044" s="6">
        <f>IF(M3044&gt;0,D3044,"")</f>
        <v/>
      </c>
      <c r="Q3044" s="9">
        <f>I3044+O3044</f>
        <v/>
      </c>
      <c r="R3044" s="7">
        <f>Q3044*G3044</f>
        <v/>
      </c>
      <c r="S3044" s="8">
        <f>IF($R$3070=0,0,R3044/$R$3070)</f>
        <v/>
      </c>
      <c r="T3044" s="8" t="n">
        <v>0.008887257478854993</v>
      </c>
      <c r="U3044" s="8" t="n">
        <v>0.01990750580710365</v>
      </c>
      <c r="V3044" s="6" t="inlineStr">
        <is>
          <t>not selected</t>
        </is>
      </c>
    </row>
    <row r="3045">
      <c r="A3045" s="6" t="inlineStr">
        <is>
          <t>DJ30</t>
        </is>
      </c>
      <c r="B3045" s="6" t="inlineStr">
        <is>
          <t>2024-11-22</t>
        </is>
      </c>
      <c r="C3045" s="6" t="inlineStr">
        <is>
          <t>DIA</t>
        </is>
      </c>
      <c r="D3045" s="6" t="inlineStr">
        <is>
          <t>CAT</t>
        </is>
      </c>
      <c r="E3045" s="6" t="inlineStr">
        <is>
          <t>CAT</t>
        </is>
      </c>
      <c r="F3045" s="6" t="inlineStr">
        <is>
          <t>-</t>
        </is>
      </c>
      <c r="G3045" s="7" t="n">
        <v>389.9203796386719</v>
      </c>
      <c r="H3045" s="6">
        <f>P3014</f>
        <v/>
      </c>
      <c r="I3045" s="9">
        <f>Q3014</f>
        <v/>
      </c>
      <c r="J3045" s="7">
        <f>I3045*G3045</f>
        <v/>
      </c>
      <c r="K3045" s="8">
        <f>IF($J$3070=0,0,J3045/$J$3070)</f>
        <v/>
      </c>
      <c r="L3045" s="6" t="inlineStr">
        <is>
          <t>WATCHLIST</t>
        </is>
      </c>
      <c r="M3045" s="8" t="n">
        <v>0</v>
      </c>
      <c r="N3045" s="7">
        <f>M3045*$J$3070-J3045</f>
        <v/>
      </c>
      <c r="O3045" s="9">
        <f>IF(G3045=0,0,N3045/G3045)</f>
        <v/>
      </c>
      <c r="P3045" s="6">
        <f>IF(M3045&gt;0,D3045,"")</f>
        <v/>
      </c>
      <c r="Q3045" s="9">
        <f>I3045+O3045</f>
        <v/>
      </c>
      <c r="R3045" s="7">
        <f>Q3045*G3045</f>
        <v/>
      </c>
      <c r="S3045" s="8">
        <f>IF($R$3070=0,0,R3045/$R$3070)</f>
        <v/>
      </c>
      <c r="T3045" s="8" t="n">
        <v>0.008887257478854993</v>
      </c>
      <c r="U3045" s="8" t="n">
        <v>0.01990750580710365</v>
      </c>
      <c r="V3045" s="6" t="inlineStr">
        <is>
          <t>not selected</t>
        </is>
      </c>
    </row>
    <row r="3046">
      <c r="A3046" s="6" t="inlineStr">
        <is>
          <t>DJ30</t>
        </is>
      </c>
      <c r="B3046" s="6" t="inlineStr">
        <is>
          <t>2024-11-22</t>
        </is>
      </c>
      <c r="C3046" s="6" t="inlineStr">
        <is>
          <t>DIA</t>
        </is>
      </c>
      <c r="D3046" s="6" t="inlineStr">
        <is>
          <t>CRM</t>
        </is>
      </c>
      <c r="E3046" s="6" t="inlineStr">
        <is>
          <t>CRM</t>
        </is>
      </c>
      <c r="F3046" s="6" t="inlineStr">
        <is>
          <t>-</t>
        </is>
      </c>
      <c r="G3046" s="7" t="n">
        <v>337.696044921875</v>
      </c>
      <c r="H3046" s="6">
        <f>P3015</f>
        <v/>
      </c>
      <c r="I3046" s="9">
        <f>Q3015</f>
        <v/>
      </c>
      <c r="J3046" s="7">
        <f>I3046*G3046</f>
        <v/>
      </c>
      <c r="K3046" s="8">
        <f>IF($J$3070=0,0,J3046/$J$3070)</f>
        <v/>
      </c>
      <c r="L3046" s="6" t="inlineStr">
        <is>
          <t>REJECTED</t>
        </is>
      </c>
      <c r="M3046" s="8" t="n">
        <v>0</v>
      </c>
      <c r="N3046" s="7">
        <f>M3046*$J$3070-J3046</f>
        <v/>
      </c>
      <c r="O3046" s="9">
        <f>IF(G3046=0,0,N3046/G3046)</f>
        <v/>
      </c>
      <c r="P3046" s="6">
        <f>IF(M3046&gt;0,D3046,"")</f>
        <v/>
      </c>
      <c r="Q3046" s="9">
        <f>I3046+O3046</f>
        <v/>
      </c>
      <c r="R3046" s="7">
        <f>Q3046*G3046</f>
        <v/>
      </c>
      <c r="S3046" s="8">
        <f>IF($R$3070=0,0,R3046/$R$3070)</f>
        <v/>
      </c>
      <c r="T3046" s="8" t="n">
        <v>0.008887257478854993</v>
      </c>
      <c r="U3046" s="8" t="n">
        <v>0.01990750580710365</v>
      </c>
      <c r="V3046" s="6" t="inlineStr">
        <is>
          <t>not selected</t>
        </is>
      </c>
    </row>
    <row r="3047">
      <c r="A3047" s="6" t="inlineStr">
        <is>
          <t>DJ30</t>
        </is>
      </c>
      <c r="B3047" s="6" t="inlineStr">
        <is>
          <t>2024-11-22</t>
        </is>
      </c>
      <c r="C3047" s="6" t="inlineStr">
        <is>
          <t>DIA</t>
        </is>
      </c>
      <c r="D3047" s="6" t="inlineStr">
        <is>
          <t>CSCO</t>
        </is>
      </c>
      <c r="E3047" s="6" t="inlineStr">
        <is>
          <t>CSCO</t>
        </is>
      </c>
      <c r="F3047" s="6" t="inlineStr">
        <is>
          <t>-</t>
        </is>
      </c>
      <c r="G3047" s="7" t="n">
        <v>56.46828842163086</v>
      </c>
      <c r="H3047" s="6">
        <f>P3016</f>
        <v/>
      </c>
      <c r="I3047" s="9">
        <f>Q3016</f>
        <v/>
      </c>
      <c r="J3047" s="7">
        <f>I3047*G3047</f>
        <v/>
      </c>
      <c r="K3047" s="8">
        <f>IF($J$3070=0,0,J3047/$J$3070)</f>
        <v/>
      </c>
      <c r="L3047" s="6" t="inlineStr">
        <is>
          <t>REJECTED</t>
        </is>
      </c>
      <c r="M3047" s="8" t="n">
        <v>0</v>
      </c>
      <c r="N3047" s="7">
        <f>M3047*$J$3070-J3047</f>
        <v/>
      </c>
      <c r="O3047" s="9">
        <f>IF(G3047=0,0,N3047/G3047)</f>
        <v/>
      </c>
      <c r="P3047" s="6">
        <f>IF(M3047&gt;0,D3047,"")</f>
        <v/>
      </c>
      <c r="Q3047" s="9">
        <f>I3047+O3047</f>
        <v/>
      </c>
      <c r="R3047" s="7">
        <f>Q3047*G3047</f>
        <v/>
      </c>
      <c r="S3047" s="8">
        <f>IF($R$3070=0,0,R3047/$R$3070)</f>
        <v/>
      </c>
      <c r="T3047" s="8" t="n">
        <v>0.008887257478854993</v>
      </c>
      <c r="U3047" s="8" t="n">
        <v>0.01990750580710365</v>
      </c>
      <c r="V3047" s="6" t="inlineStr">
        <is>
          <t>not selected</t>
        </is>
      </c>
    </row>
    <row r="3048">
      <c r="A3048" s="6" t="inlineStr">
        <is>
          <t>DJ30</t>
        </is>
      </c>
      <c r="B3048" s="6" t="inlineStr">
        <is>
          <t>2024-11-22</t>
        </is>
      </c>
      <c r="C3048" s="6" t="inlineStr">
        <is>
          <t>DIA</t>
        </is>
      </c>
      <c r="D3048" s="6" t="inlineStr">
        <is>
          <t>CVX</t>
        </is>
      </c>
      <c r="E3048" s="6" t="inlineStr">
        <is>
          <t>CVX</t>
        </is>
      </c>
      <c r="F3048" s="6" t="inlineStr">
        <is>
          <t>-</t>
        </is>
      </c>
      <c r="G3048" s="7" t="n">
        <v>152.2690887451172</v>
      </c>
      <c r="H3048" s="6">
        <f>P3017</f>
        <v/>
      </c>
      <c r="I3048" s="9">
        <f>Q3017</f>
        <v/>
      </c>
      <c r="J3048" s="7">
        <f>I3048*G3048</f>
        <v/>
      </c>
      <c r="K3048" s="8">
        <f>IF($J$3070=0,0,J3048/$J$3070)</f>
        <v/>
      </c>
      <c r="L3048" s="6" t="inlineStr">
        <is>
          <t>REJECTED</t>
        </is>
      </c>
      <c r="M3048" s="8" t="n">
        <v>0</v>
      </c>
      <c r="N3048" s="7">
        <f>M3048*$J$3070-J3048</f>
        <v/>
      </c>
      <c r="O3048" s="9">
        <f>IF(G3048=0,0,N3048/G3048)</f>
        <v/>
      </c>
      <c r="P3048" s="6">
        <f>IF(M3048&gt;0,D3048,"")</f>
        <v/>
      </c>
      <c r="Q3048" s="9">
        <f>I3048+O3048</f>
        <v/>
      </c>
      <c r="R3048" s="7">
        <f>Q3048*G3048</f>
        <v/>
      </c>
      <c r="S3048" s="8">
        <f>IF($R$3070=0,0,R3048/$R$3070)</f>
        <v/>
      </c>
      <c r="T3048" s="8" t="n">
        <v>0.008887257478854993</v>
      </c>
      <c r="U3048" s="8" t="n">
        <v>0.01990750580710365</v>
      </c>
      <c r="V3048" s="6" t="inlineStr">
        <is>
          <t>not selected</t>
        </is>
      </c>
    </row>
    <row r="3049">
      <c r="A3049" s="6" t="inlineStr">
        <is>
          <t>DJ30</t>
        </is>
      </c>
      <c r="B3049" s="6" t="inlineStr">
        <is>
          <t>2024-11-22</t>
        </is>
      </c>
      <c r="C3049" s="6" t="inlineStr">
        <is>
          <t>DIA</t>
        </is>
      </c>
      <c r="D3049" s="6" t="inlineStr">
        <is>
          <t>DIS</t>
        </is>
      </c>
      <c r="E3049" s="6" t="inlineStr">
        <is>
          <t>DIS</t>
        </is>
      </c>
      <c r="F3049" s="6" t="inlineStr">
        <is>
          <t>-</t>
        </is>
      </c>
      <c r="G3049" s="7" t="n">
        <v>113.8803939819336</v>
      </c>
      <c r="H3049" s="6">
        <f>P3018</f>
        <v/>
      </c>
      <c r="I3049" s="9">
        <f>Q3018</f>
        <v/>
      </c>
      <c r="J3049" s="7">
        <f>I3049*G3049</f>
        <v/>
      </c>
      <c r="K3049" s="8">
        <f>IF($J$3070=0,0,J3049/$J$3070)</f>
        <v/>
      </c>
      <c r="L3049" s="6" t="inlineStr">
        <is>
          <t>REJECTED</t>
        </is>
      </c>
      <c r="M3049" s="8" t="n">
        <v>0</v>
      </c>
      <c r="N3049" s="7">
        <f>M3049*$J$3070-J3049</f>
        <v/>
      </c>
      <c r="O3049" s="9">
        <f>IF(G3049=0,0,N3049/G3049)</f>
        <v/>
      </c>
      <c r="P3049" s="6">
        <f>IF(M3049&gt;0,D3049,"")</f>
        <v/>
      </c>
      <c r="Q3049" s="9">
        <f>I3049+O3049</f>
        <v/>
      </c>
      <c r="R3049" s="7">
        <f>Q3049*G3049</f>
        <v/>
      </c>
      <c r="S3049" s="8">
        <f>IF($R$3070=0,0,R3049/$R$3070)</f>
        <v/>
      </c>
      <c r="T3049" s="8" t="n">
        <v>0.008887257478854993</v>
      </c>
      <c r="U3049" s="8" t="n">
        <v>0.01990750580710365</v>
      </c>
      <c r="V3049" s="6" t="inlineStr">
        <is>
          <t>not selected</t>
        </is>
      </c>
    </row>
    <row r="3050">
      <c r="A3050" s="6" t="inlineStr">
        <is>
          <t>DJ30</t>
        </is>
      </c>
      <c r="B3050" s="6" t="inlineStr">
        <is>
          <t>2024-11-22</t>
        </is>
      </c>
      <c r="C3050" s="6" t="inlineStr">
        <is>
          <t>DIA</t>
        </is>
      </c>
      <c r="D3050" s="6" t="inlineStr">
        <is>
          <t>GS</t>
        </is>
      </c>
      <c r="E3050" s="6" t="inlineStr">
        <is>
          <t>GS</t>
        </is>
      </c>
      <c r="F3050" s="6" t="inlineStr">
        <is>
          <t>-</t>
        </is>
      </c>
      <c r="G3050" s="7" t="n">
        <v>582.1692504882812</v>
      </c>
      <c r="H3050" s="6">
        <f>P3019</f>
        <v/>
      </c>
      <c r="I3050" s="9">
        <f>Q3019</f>
        <v/>
      </c>
      <c r="J3050" s="7">
        <f>I3050*G3050</f>
        <v/>
      </c>
      <c r="K3050" s="8">
        <f>IF($J$3070=0,0,J3050/$J$3070)</f>
        <v/>
      </c>
      <c r="L3050" s="6" t="inlineStr">
        <is>
          <t>SELECTED</t>
        </is>
      </c>
      <c r="M3050" s="8" t="n">
        <v>0.2</v>
      </c>
      <c r="N3050" s="7">
        <f>M3050*$J$3070-J3050</f>
        <v/>
      </c>
      <c r="O3050" s="9">
        <f>IF(G3050=0,0,N3050/G3050)</f>
        <v/>
      </c>
      <c r="P3050" s="6">
        <f>IF(M3050&gt;0,D3050,"")</f>
        <v/>
      </c>
      <c r="Q3050" s="9">
        <f>I3050+O3050</f>
        <v/>
      </c>
      <c r="R3050" s="7">
        <f>Q3050*G3050</f>
        <v/>
      </c>
      <c r="S3050" s="8">
        <f>IF($R$3070=0,0,R3050/$R$3070)</f>
        <v/>
      </c>
      <c r="T3050" s="8" t="n">
        <v>0.008887257478854993</v>
      </c>
      <c r="U3050" s="8" t="n">
        <v>0.01990750580710365</v>
      </c>
      <c r="V3050" s="6" t="inlineStr">
        <is>
          <t>remained in weekly selection</t>
        </is>
      </c>
    </row>
    <row r="3051">
      <c r="A3051" s="6" t="inlineStr">
        <is>
          <t>DJ30</t>
        </is>
      </c>
      <c r="B3051" s="6" t="inlineStr">
        <is>
          <t>2024-11-22</t>
        </is>
      </c>
      <c r="C3051" s="6" t="inlineStr">
        <is>
          <t>DIA</t>
        </is>
      </c>
      <c r="D3051" s="6" t="inlineStr">
        <is>
          <t>HD</t>
        </is>
      </c>
      <c r="E3051" s="6" t="inlineStr">
        <is>
          <t>HD</t>
        </is>
      </c>
      <c r="F3051" s="6" t="inlineStr">
        <is>
          <t>-</t>
        </is>
      </c>
      <c r="G3051" s="7" t="n">
        <v>401.9151611328125</v>
      </c>
      <c r="H3051" s="6">
        <f>P3020</f>
        <v/>
      </c>
      <c r="I3051" s="9">
        <f>Q3020</f>
        <v/>
      </c>
      <c r="J3051" s="7">
        <f>I3051*G3051</f>
        <v/>
      </c>
      <c r="K3051" s="8">
        <f>IF($J$3070=0,0,J3051/$J$3070)</f>
        <v/>
      </c>
      <c r="L3051" s="6" t="inlineStr">
        <is>
          <t>WATCHLIST</t>
        </is>
      </c>
      <c r="M3051" s="8" t="n">
        <v>0</v>
      </c>
      <c r="N3051" s="7">
        <f>M3051*$J$3070-J3051</f>
        <v/>
      </c>
      <c r="O3051" s="9">
        <f>IF(G3051=0,0,N3051/G3051)</f>
        <v/>
      </c>
      <c r="P3051" s="6">
        <f>IF(M3051&gt;0,D3051,"")</f>
        <v/>
      </c>
      <c r="Q3051" s="9">
        <f>I3051+O3051</f>
        <v/>
      </c>
      <c r="R3051" s="7">
        <f>Q3051*G3051</f>
        <v/>
      </c>
      <c r="S3051" s="8">
        <f>IF($R$3070=0,0,R3051/$R$3070)</f>
        <v/>
      </c>
      <c r="T3051" s="8" t="n">
        <v>0.008887257478854993</v>
      </c>
      <c r="U3051" s="8" t="n">
        <v>0.01990750580710365</v>
      </c>
      <c r="V3051" s="6" t="inlineStr">
        <is>
          <t>not selected</t>
        </is>
      </c>
    </row>
    <row r="3052">
      <c r="A3052" s="6" t="inlineStr">
        <is>
          <t>DJ30</t>
        </is>
      </c>
      <c r="B3052" s="6" t="inlineStr">
        <is>
          <t>2024-11-22</t>
        </is>
      </c>
      <c r="C3052" s="6" t="inlineStr">
        <is>
          <t>DIA</t>
        </is>
      </c>
      <c r="D3052" s="6" t="inlineStr">
        <is>
          <t>HON</t>
        </is>
      </c>
      <c r="E3052" s="6" t="inlineStr">
        <is>
          <t>HON</t>
        </is>
      </c>
      <c r="F3052" s="6" t="inlineStr">
        <is>
          <t>-</t>
        </is>
      </c>
      <c r="G3052" s="7" t="n">
        <v>209.1306610107422</v>
      </c>
      <c r="H3052" s="6">
        <f>P3021</f>
        <v/>
      </c>
      <c r="I3052" s="9">
        <f>Q3021</f>
        <v/>
      </c>
      <c r="J3052" s="7">
        <f>I3052*G3052</f>
        <v/>
      </c>
      <c r="K3052" s="8">
        <f>IF($J$3070=0,0,J3052/$J$3070)</f>
        <v/>
      </c>
      <c r="L3052" s="6" t="inlineStr">
        <is>
          <t>WATCHLIST</t>
        </is>
      </c>
      <c r="M3052" s="8" t="n">
        <v>0</v>
      </c>
      <c r="N3052" s="7">
        <f>M3052*$J$3070-J3052</f>
        <v/>
      </c>
      <c r="O3052" s="9">
        <f>IF(G3052=0,0,N3052/G3052)</f>
        <v/>
      </c>
      <c r="P3052" s="6">
        <f>IF(M3052&gt;0,D3052,"")</f>
        <v/>
      </c>
      <c r="Q3052" s="9">
        <f>I3052+O3052</f>
        <v/>
      </c>
      <c r="R3052" s="7">
        <f>Q3052*G3052</f>
        <v/>
      </c>
      <c r="S3052" s="8">
        <f>IF($R$3070=0,0,R3052/$R$3070)</f>
        <v/>
      </c>
      <c r="T3052" s="8" t="n">
        <v>0.008887257478854993</v>
      </c>
      <c r="U3052" s="8" t="n">
        <v>0.01990750580710365</v>
      </c>
      <c r="V3052" s="6" t="inlineStr">
        <is>
          <t>not selected</t>
        </is>
      </c>
    </row>
    <row r="3053">
      <c r="A3053" s="6" t="inlineStr">
        <is>
          <t>DJ30</t>
        </is>
      </c>
      <c r="B3053" s="6" t="inlineStr">
        <is>
          <t>2024-11-22</t>
        </is>
      </c>
      <c r="C3053" s="6" t="inlineStr">
        <is>
          <t>DIA</t>
        </is>
      </c>
      <c r="D3053" s="6" t="inlineStr">
        <is>
          <t>IBM</t>
        </is>
      </c>
      <c r="E3053" s="6" t="inlineStr">
        <is>
          <t>IBM</t>
        </is>
      </c>
      <c r="F3053" s="6" t="inlineStr">
        <is>
          <t>-</t>
        </is>
      </c>
      <c r="G3053" s="7" t="n">
        <v>214.5428466796875</v>
      </c>
      <c r="H3053" s="6">
        <f>P3022</f>
        <v/>
      </c>
      <c r="I3053" s="9">
        <f>Q3022</f>
        <v/>
      </c>
      <c r="J3053" s="7">
        <f>I3053*G3053</f>
        <v/>
      </c>
      <c r="K3053" s="8">
        <f>IF($J$3070=0,0,J3053/$J$3070)</f>
        <v/>
      </c>
      <c r="L3053" s="6" t="inlineStr">
        <is>
          <t>SELECTED</t>
        </is>
      </c>
      <c r="M3053" s="8" t="n">
        <v>0.2</v>
      </c>
      <c r="N3053" s="7">
        <f>M3053*$J$3070-J3053</f>
        <v/>
      </c>
      <c r="O3053" s="9">
        <f>IF(G3053=0,0,N3053/G3053)</f>
        <v/>
      </c>
      <c r="P3053" s="6">
        <f>IF(M3053&gt;0,D3053,"")</f>
        <v/>
      </c>
      <c r="Q3053" s="9">
        <f>I3053+O3053</f>
        <v/>
      </c>
      <c r="R3053" s="7">
        <f>Q3053*G3053</f>
        <v/>
      </c>
      <c r="S3053" s="8">
        <f>IF($R$3070=0,0,R3053/$R$3070)</f>
        <v/>
      </c>
      <c r="T3053" s="8" t="n">
        <v>0.008887257478854993</v>
      </c>
      <c r="U3053" s="8" t="n">
        <v>0.01990750580710365</v>
      </c>
      <c r="V3053" s="6" t="inlineStr">
        <is>
          <t>entered weekly selection</t>
        </is>
      </c>
    </row>
    <row r="3054">
      <c r="A3054" s="6" t="inlineStr">
        <is>
          <t>DJ30</t>
        </is>
      </c>
      <c r="B3054" s="6" t="inlineStr">
        <is>
          <t>2024-11-22</t>
        </is>
      </c>
      <c r="C3054" s="6" t="inlineStr">
        <is>
          <t>DIA</t>
        </is>
      </c>
      <c r="D3054" s="6" t="inlineStr">
        <is>
          <t>JNJ</t>
        </is>
      </c>
      <c r="E3054" s="6" t="inlineStr">
        <is>
          <t>JNJ</t>
        </is>
      </c>
      <c r="F3054" s="6" t="inlineStr">
        <is>
          <t>-</t>
        </is>
      </c>
      <c r="G3054" s="7" t="n">
        <v>147.7233428955078</v>
      </c>
      <c r="H3054" s="6">
        <f>P3023</f>
        <v/>
      </c>
      <c r="I3054" s="9">
        <f>Q3023</f>
        <v/>
      </c>
      <c r="J3054" s="7">
        <f>I3054*G3054</f>
        <v/>
      </c>
      <c r="K3054" s="8">
        <f>IF($J$3070=0,0,J3054/$J$3070)</f>
        <v/>
      </c>
      <c r="L3054" s="6" t="inlineStr">
        <is>
          <t>REJECTED</t>
        </is>
      </c>
      <c r="M3054" s="8" t="n">
        <v>0</v>
      </c>
      <c r="N3054" s="7">
        <f>M3054*$J$3070-J3054</f>
        <v/>
      </c>
      <c r="O3054" s="9">
        <f>IF(G3054=0,0,N3054/G3054)</f>
        <v/>
      </c>
      <c r="P3054" s="6">
        <f>IF(M3054&gt;0,D3054,"")</f>
        <v/>
      </c>
      <c r="Q3054" s="9">
        <f>I3054+O3054</f>
        <v/>
      </c>
      <c r="R3054" s="7">
        <f>Q3054*G3054</f>
        <v/>
      </c>
      <c r="S3054" s="8">
        <f>IF($R$3070=0,0,R3054/$R$3070)</f>
        <v/>
      </c>
      <c r="T3054" s="8" t="n">
        <v>0.008887257478854993</v>
      </c>
      <c r="U3054" s="8" t="n">
        <v>0.01990750580710365</v>
      </c>
      <c r="V3054" s="6" t="inlineStr">
        <is>
          <t>not selected</t>
        </is>
      </c>
    </row>
    <row r="3055">
      <c r="A3055" s="6" t="inlineStr">
        <is>
          <t>DJ30</t>
        </is>
      </c>
      <c r="B3055" s="6" t="inlineStr">
        <is>
          <t>2024-11-22</t>
        </is>
      </c>
      <c r="C3055" s="6" t="inlineStr">
        <is>
          <t>DIA</t>
        </is>
      </c>
      <c r="D3055" s="6" t="inlineStr">
        <is>
          <t>JPM</t>
        </is>
      </c>
      <c r="E3055" s="6" t="inlineStr">
        <is>
          <t>JPM</t>
        </is>
      </c>
      <c r="F3055" s="6" t="inlineStr">
        <is>
          <t>-</t>
        </is>
      </c>
      <c r="G3055" s="7" t="n">
        <v>241.070816040039</v>
      </c>
      <c r="H3055" s="6">
        <f>P3024</f>
        <v/>
      </c>
      <c r="I3055" s="9">
        <f>Q3024</f>
        <v/>
      </c>
      <c r="J3055" s="7">
        <f>I3055*G3055</f>
        <v/>
      </c>
      <c r="K3055" s="8">
        <f>IF($J$3070=0,0,J3055/$J$3070)</f>
        <v/>
      </c>
      <c r="L3055" s="6" t="inlineStr">
        <is>
          <t>WATCHLIST</t>
        </is>
      </c>
      <c r="M3055" s="8" t="n">
        <v>0</v>
      </c>
      <c r="N3055" s="7">
        <f>M3055*$J$3070-J3055</f>
        <v/>
      </c>
      <c r="O3055" s="9">
        <f>IF(G3055=0,0,N3055/G3055)</f>
        <v/>
      </c>
      <c r="P3055" s="6">
        <f>IF(M3055&gt;0,D3055,"")</f>
        <v/>
      </c>
      <c r="Q3055" s="9">
        <f>I3055+O3055</f>
        <v/>
      </c>
      <c r="R3055" s="7">
        <f>Q3055*G3055</f>
        <v/>
      </c>
      <c r="S3055" s="8">
        <f>IF($R$3070=0,0,R3055/$R$3070)</f>
        <v/>
      </c>
      <c r="T3055" s="8" t="n">
        <v>0.008887257478854993</v>
      </c>
      <c r="U3055" s="8" t="n">
        <v>0.01990750580710365</v>
      </c>
      <c r="V3055" s="6" t="inlineStr">
        <is>
          <t>not selected</t>
        </is>
      </c>
    </row>
    <row r="3056">
      <c r="A3056" s="6" t="inlineStr">
        <is>
          <t>DJ30</t>
        </is>
      </c>
      <c r="B3056" s="6" t="inlineStr">
        <is>
          <t>2024-11-22</t>
        </is>
      </c>
      <c r="C3056" s="6" t="inlineStr">
        <is>
          <t>DIA</t>
        </is>
      </c>
      <c r="D3056" s="6" t="inlineStr">
        <is>
          <t>KO</t>
        </is>
      </c>
      <c r="E3056" s="6" t="inlineStr">
        <is>
          <t>KO</t>
        </is>
      </c>
      <c r="F3056" s="6" t="inlineStr">
        <is>
          <t>-</t>
        </is>
      </c>
      <c r="G3056" s="7" t="n">
        <v>60.80742263793945</v>
      </c>
      <c r="H3056" s="6">
        <f>P3025</f>
        <v/>
      </c>
      <c r="I3056" s="9">
        <f>Q3025</f>
        <v/>
      </c>
      <c r="J3056" s="7">
        <f>I3056*G3056</f>
        <v/>
      </c>
      <c r="K3056" s="8">
        <f>IF($J$3070=0,0,J3056/$J$3070)</f>
        <v/>
      </c>
      <c r="L3056" s="6" t="inlineStr">
        <is>
          <t>WATCHLIST</t>
        </is>
      </c>
      <c r="M3056" s="8" t="n">
        <v>0</v>
      </c>
      <c r="N3056" s="7">
        <f>M3056*$J$3070-J3056</f>
        <v/>
      </c>
      <c r="O3056" s="9">
        <f>IF(G3056=0,0,N3056/G3056)</f>
        <v/>
      </c>
      <c r="P3056" s="6">
        <f>IF(M3056&gt;0,D3056,"")</f>
        <v/>
      </c>
      <c r="Q3056" s="9">
        <f>I3056+O3056</f>
        <v/>
      </c>
      <c r="R3056" s="7">
        <f>Q3056*G3056</f>
        <v/>
      </c>
      <c r="S3056" s="8">
        <f>IF($R$3070=0,0,R3056/$R$3070)</f>
        <v/>
      </c>
      <c r="T3056" s="8" t="n">
        <v>0.008887257478854993</v>
      </c>
      <c r="U3056" s="8" t="n">
        <v>0.01990750580710365</v>
      </c>
      <c r="V3056" s="6" t="inlineStr">
        <is>
          <t>removed from weekly selection</t>
        </is>
      </c>
    </row>
    <row r="3057">
      <c r="A3057" s="6" t="inlineStr">
        <is>
          <t>DJ30</t>
        </is>
      </c>
      <c r="B3057" s="6" t="inlineStr">
        <is>
          <t>2024-11-22</t>
        </is>
      </c>
      <c r="C3057" s="6" t="inlineStr">
        <is>
          <t>DIA</t>
        </is>
      </c>
      <c r="D3057" s="6" t="inlineStr">
        <is>
          <t>MCD</t>
        </is>
      </c>
      <c r="E3057" s="6" t="inlineStr">
        <is>
          <t>MCD</t>
        </is>
      </c>
      <c r="F3057" s="6" t="inlineStr">
        <is>
          <t>-</t>
        </is>
      </c>
      <c r="G3057" s="7" t="n">
        <v>278.5121765136719</v>
      </c>
      <c r="H3057" s="6">
        <f>P3026</f>
        <v/>
      </c>
      <c r="I3057" s="9">
        <f>Q3026</f>
        <v/>
      </c>
      <c r="J3057" s="7">
        <f>I3057*G3057</f>
        <v/>
      </c>
      <c r="K3057" s="8">
        <f>IF($J$3070=0,0,J3057/$J$3070)</f>
        <v/>
      </c>
      <c r="L3057" s="6" t="inlineStr">
        <is>
          <t>REJECTED</t>
        </is>
      </c>
      <c r="M3057" s="8" t="n">
        <v>0</v>
      </c>
      <c r="N3057" s="7">
        <f>M3057*$J$3070-J3057</f>
        <v/>
      </c>
      <c r="O3057" s="9">
        <f>IF(G3057=0,0,N3057/G3057)</f>
        <v/>
      </c>
      <c r="P3057" s="6">
        <f>IF(M3057&gt;0,D3057,"")</f>
        <v/>
      </c>
      <c r="Q3057" s="9">
        <f>I3057+O3057</f>
        <v/>
      </c>
      <c r="R3057" s="7">
        <f>Q3057*G3057</f>
        <v/>
      </c>
      <c r="S3057" s="8">
        <f>IF($R$3070=0,0,R3057/$R$3070)</f>
        <v/>
      </c>
      <c r="T3057" s="8" t="n">
        <v>0.008887257478854993</v>
      </c>
      <c r="U3057" s="8" t="n">
        <v>0.01990750580710365</v>
      </c>
      <c r="V3057" s="6" t="inlineStr">
        <is>
          <t>not selected</t>
        </is>
      </c>
    </row>
    <row r="3058">
      <c r="A3058" s="6" t="inlineStr">
        <is>
          <t>DJ30</t>
        </is>
      </c>
      <c r="B3058" s="6" t="inlineStr">
        <is>
          <t>2024-11-22</t>
        </is>
      </c>
      <c r="C3058" s="6" t="inlineStr">
        <is>
          <t>DIA</t>
        </is>
      </c>
      <c r="D3058" s="6" t="inlineStr">
        <is>
          <t>MMM</t>
        </is>
      </c>
      <c r="E3058" s="6" t="inlineStr">
        <is>
          <t>MMM</t>
        </is>
      </c>
      <c r="F3058" s="6" t="inlineStr">
        <is>
          <t>-</t>
        </is>
      </c>
      <c r="G3058" s="7" t="n">
        <v>124.8317184448242</v>
      </c>
      <c r="H3058" s="6">
        <f>P3027</f>
        <v/>
      </c>
      <c r="I3058" s="9">
        <f>Q3027</f>
        <v/>
      </c>
      <c r="J3058" s="7">
        <f>I3058*G3058</f>
        <v/>
      </c>
      <c r="K3058" s="8">
        <f>IF($J$3070=0,0,J3058/$J$3070)</f>
        <v/>
      </c>
      <c r="L3058" s="6" t="inlineStr">
        <is>
          <t>SELECTED</t>
        </is>
      </c>
      <c r="M3058" s="8" t="n">
        <v>0.2</v>
      </c>
      <c r="N3058" s="7">
        <f>M3058*$J$3070-J3058</f>
        <v/>
      </c>
      <c r="O3058" s="9">
        <f>IF(G3058=0,0,N3058/G3058)</f>
        <v/>
      </c>
      <c r="P3058" s="6">
        <f>IF(M3058&gt;0,D3058,"")</f>
        <v/>
      </c>
      <c r="Q3058" s="9">
        <f>I3058+O3058</f>
        <v/>
      </c>
      <c r="R3058" s="7">
        <f>Q3058*G3058</f>
        <v/>
      </c>
      <c r="S3058" s="8">
        <f>IF($R$3070=0,0,R3058/$R$3070)</f>
        <v/>
      </c>
      <c r="T3058" s="8" t="n">
        <v>0.008887257478854993</v>
      </c>
      <c r="U3058" s="8" t="n">
        <v>0.01990750580710365</v>
      </c>
      <c r="V3058" s="6" t="inlineStr">
        <is>
          <t>remained in weekly selection</t>
        </is>
      </c>
    </row>
    <row r="3059">
      <c r="A3059" s="6" t="inlineStr">
        <is>
          <t>DJ30</t>
        </is>
      </c>
      <c r="B3059" s="6" t="inlineStr">
        <is>
          <t>2024-11-22</t>
        </is>
      </c>
      <c r="C3059" s="6" t="inlineStr">
        <is>
          <t>DIA</t>
        </is>
      </c>
      <c r="D3059" s="6" t="inlineStr">
        <is>
          <t>MRK</t>
        </is>
      </c>
      <c r="E3059" s="6" t="inlineStr">
        <is>
          <t>MRK</t>
        </is>
      </c>
      <c r="F3059" s="6" t="inlineStr">
        <is>
          <t>-</t>
        </is>
      </c>
      <c r="G3059" s="7" t="n">
        <v>93.45815277099609</v>
      </c>
      <c r="H3059" s="6">
        <f>P3028</f>
        <v/>
      </c>
      <c r="I3059" s="9">
        <f>Q3028</f>
        <v/>
      </c>
      <c r="J3059" s="7">
        <f>I3059*G3059</f>
        <v/>
      </c>
      <c r="K3059" s="8">
        <f>IF($J$3070=0,0,J3059/$J$3070)</f>
        <v/>
      </c>
      <c r="L3059" s="6" t="inlineStr">
        <is>
          <t>REJECTED</t>
        </is>
      </c>
      <c r="M3059" s="8" t="n">
        <v>0</v>
      </c>
      <c r="N3059" s="7">
        <f>M3059*$J$3070-J3059</f>
        <v/>
      </c>
      <c r="O3059" s="9">
        <f>IF(G3059=0,0,N3059/G3059)</f>
        <v/>
      </c>
      <c r="P3059" s="6">
        <f>IF(M3059&gt;0,D3059,"")</f>
        <v/>
      </c>
      <c r="Q3059" s="9">
        <f>I3059+O3059</f>
        <v/>
      </c>
      <c r="R3059" s="7">
        <f>Q3059*G3059</f>
        <v/>
      </c>
      <c r="S3059" s="8">
        <f>IF($R$3070=0,0,R3059/$R$3070)</f>
        <v/>
      </c>
      <c r="T3059" s="8" t="n">
        <v>0.008887257478854993</v>
      </c>
      <c r="U3059" s="8" t="n">
        <v>0.01990750580710365</v>
      </c>
      <c r="V3059" s="6" t="inlineStr">
        <is>
          <t>not selected</t>
        </is>
      </c>
    </row>
    <row r="3060">
      <c r="A3060" s="6" t="inlineStr">
        <is>
          <t>DJ30</t>
        </is>
      </c>
      <c r="B3060" s="6" t="inlineStr">
        <is>
          <t>2024-11-22</t>
        </is>
      </c>
      <c r="C3060" s="6" t="inlineStr">
        <is>
          <t>DIA</t>
        </is>
      </c>
      <c r="D3060" s="6" t="inlineStr">
        <is>
          <t>MSFT</t>
        </is>
      </c>
      <c r="E3060" s="6" t="inlineStr">
        <is>
          <t>MSFT</t>
        </is>
      </c>
      <c r="F3060" s="6" t="inlineStr">
        <is>
          <t>-</t>
        </is>
      </c>
      <c r="G3060" s="7" t="n">
        <v>412.1111450195313</v>
      </c>
      <c r="H3060" s="6">
        <f>P3029</f>
        <v/>
      </c>
      <c r="I3060" s="9">
        <f>Q3029</f>
        <v/>
      </c>
      <c r="J3060" s="7">
        <f>I3060*G3060</f>
        <v/>
      </c>
      <c r="K3060" s="8">
        <f>IF($J$3070=0,0,J3060/$J$3070)</f>
        <v/>
      </c>
      <c r="L3060" s="6" t="inlineStr">
        <is>
          <t>WATCHLIST</t>
        </is>
      </c>
      <c r="M3060" s="8" t="n">
        <v>0</v>
      </c>
      <c r="N3060" s="7">
        <f>M3060*$J$3070-J3060</f>
        <v/>
      </c>
      <c r="O3060" s="9">
        <f>IF(G3060=0,0,N3060/G3060)</f>
        <v/>
      </c>
      <c r="P3060" s="6">
        <f>IF(M3060&gt;0,D3060,"")</f>
        <v/>
      </c>
      <c r="Q3060" s="9">
        <f>I3060+O3060</f>
        <v/>
      </c>
      <c r="R3060" s="7">
        <f>Q3060*G3060</f>
        <v/>
      </c>
      <c r="S3060" s="8">
        <f>IF($R$3070=0,0,R3060/$R$3070)</f>
        <v/>
      </c>
      <c r="T3060" s="8" t="n">
        <v>0.008887257478854993</v>
      </c>
      <c r="U3060" s="8" t="n">
        <v>0.01990750580710365</v>
      </c>
      <c r="V3060" s="6" t="inlineStr">
        <is>
          <t>not selected</t>
        </is>
      </c>
    </row>
    <row r="3061">
      <c r="A3061" s="6" t="inlineStr">
        <is>
          <t>DJ30</t>
        </is>
      </c>
      <c r="B3061" s="6" t="inlineStr">
        <is>
          <t>2024-11-22</t>
        </is>
      </c>
      <c r="C3061" s="6" t="inlineStr">
        <is>
          <t>DIA</t>
        </is>
      </c>
      <c r="D3061" s="6" t="inlineStr">
        <is>
          <t>NKE</t>
        </is>
      </c>
      <c r="E3061" s="6" t="inlineStr">
        <is>
          <t>NKE</t>
        </is>
      </c>
      <c r="F3061" s="6" t="inlineStr">
        <is>
          <t>-</t>
        </is>
      </c>
      <c r="G3061" s="7" t="n">
        <v>74.08049774169922</v>
      </c>
      <c r="H3061" s="6">
        <f>P3030</f>
        <v/>
      </c>
      <c r="I3061" s="9">
        <f>Q3030</f>
        <v/>
      </c>
      <c r="J3061" s="7">
        <f>I3061*G3061</f>
        <v/>
      </c>
      <c r="K3061" s="8">
        <f>IF($J$3070=0,0,J3061/$J$3070)</f>
        <v/>
      </c>
      <c r="L3061" s="6" t="inlineStr">
        <is>
          <t>REJECTED</t>
        </is>
      </c>
      <c r="M3061" s="8" t="n">
        <v>0</v>
      </c>
      <c r="N3061" s="7">
        <f>M3061*$J$3070-J3061</f>
        <v/>
      </c>
      <c r="O3061" s="9">
        <f>IF(G3061=0,0,N3061/G3061)</f>
        <v/>
      </c>
      <c r="P3061" s="6">
        <f>IF(M3061&gt;0,D3061,"")</f>
        <v/>
      </c>
      <c r="Q3061" s="9">
        <f>I3061+O3061</f>
        <v/>
      </c>
      <c r="R3061" s="7">
        <f>Q3061*G3061</f>
        <v/>
      </c>
      <c r="S3061" s="8">
        <f>IF($R$3070=0,0,R3061/$R$3070)</f>
        <v/>
      </c>
      <c r="T3061" s="8" t="n">
        <v>0.008887257478854993</v>
      </c>
      <c r="U3061" s="8" t="n">
        <v>0.01990750580710365</v>
      </c>
      <c r="V3061" s="6" t="inlineStr">
        <is>
          <t>not selected</t>
        </is>
      </c>
    </row>
    <row r="3062">
      <c r="A3062" s="6" t="inlineStr">
        <is>
          <t>DJ30</t>
        </is>
      </c>
      <c r="B3062" s="6" t="inlineStr">
        <is>
          <t>2024-11-22</t>
        </is>
      </c>
      <c r="C3062" s="6" t="inlineStr">
        <is>
          <t>DIA</t>
        </is>
      </c>
      <c r="D3062" s="6" t="inlineStr">
        <is>
          <t>NVDA</t>
        </is>
      </c>
      <c r="E3062" s="6" t="inlineStr">
        <is>
          <t>NVDA</t>
        </is>
      </c>
      <c r="F3062" s="6" t="inlineStr">
        <is>
          <t>-</t>
        </is>
      </c>
      <c r="G3062" s="7" t="n">
        <v>141.7285461425781</v>
      </c>
      <c r="H3062" s="6">
        <f>P3031</f>
        <v/>
      </c>
      <c r="I3062" s="9">
        <f>Q3031</f>
        <v/>
      </c>
      <c r="J3062" s="7">
        <f>I3062*G3062</f>
        <v/>
      </c>
      <c r="K3062" s="8">
        <f>IF($J$3070=0,0,J3062/$J$3070)</f>
        <v/>
      </c>
      <c r="L3062" s="6" t="inlineStr">
        <is>
          <t>SELECTED</t>
        </is>
      </c>
      <c r="M3062" s="8" t="n">
        <v>0.2</v>
      </c>
      <c r="N3062" s="7">
        <f>M3062*$J$3070-J3062</f>
        <v/>
      </c>
      <c r="O3062" s="9">
        <f>IF(G3062=0,0,N3062/G3062)</f>
        <v/>
      </c>
      <c r="P3062" s="6">
        <f>IF(M3062&gt;0,D3062,"")</f>
        <v/>
      </c>
      <c r="Q3062" s="9">
        <f>I3062+O3062</f>
        <v/>
      </c>
      <c r="R3062" s="7">
        <f>Q3062*G3062</f>
        <v/>
      </c>
      <c r="S3062" s="8">
        <f>IF($R$3070=0,0,R3062/$R$3070)</f>
        <v/>
      </c>
      <c r="T3062" s="8" t="n">
        <v>0.008887257478854993</v>
      </c>
      <c r="U3062" s="8" t="n">
        <v>0.01990750580710365</v>
      </c>
      <c r="V3062" s="6" t="inlineStr">
        <is>
          <t>remained in weekly selection</t>
        </is>
      </c>
    </row>
    <row r="3063">
      <c r="A3063" s="6" t="inlineStr">
        <is>
          <t>DJ30</t>
        </is>
      </c>
      <c r="B3063" s="6" t="inlineStr">
        <is>
          <t>2024-11-22</t>
        </is>
      </c>
      <c r="C3063" s="6" t="inlineStr">
        <is>
          <t>DIA</t>
        </is>
      </c>
      <c r="D3063" s="6" t="inlineStr">
        <is>
          <t>PG</t>
        </is>
      </c>
      <c r="E3063" s="6" t="inlineStr">
        <is>
          <t>PG</t>
        </is>
      </c>
      <c r="F3063" s="6" t="inlineStr">
        <is>
          <t>-</t>
        </is>
      </c>
      <c r="G3063" s="7" t="n">
        <v>169.2572326660156</v>
      </c>
      <c r="H3063" s="6">
        <f>P3032</f>
        <v/>
      </c>
      <c r="I3063" s="9">
        <f>Q3032</f>
        <v/>
      </c>
      <c r="J3063" s="7">
        <f>I3063*G3063</f>
        <v/>
      </c>
      <c r="K3063" s="8">
        <f>IF($J$3070=0,0,J3063/$J$3070)</f>
        <v/>
      </c>
      <c r="L3063" s="6" t="inlineStr">
        <is>
          <t>WATCHLIST</t>
        </is>
      </c>
      <c r="M3063" s="8" t="n">
        <v>0</v>
      </c>
      <c r="N3063" s="7">
        <f>M3063*$J$3070-J3063</f>
        <v/>
      </c>
      <c r="O3063" s="9">
        <f>IF(G3063=0,0,N3063/G3063)</f>
        <v/>
      </c>
      <c r="P3063" s="6">
        <f>IF(M3063&gt;0,D3063,"")</f>
        <v/>
      </c>
      <c r="Q3063" s="9">
        <f>I3063+O3063</f>
        <v/>
      </c>
      <c r="R3063" s="7">
        <f>Q3063*G3063</f>
        <v/>
      </c>
      <c r="S3063" s="8">
        <f>IF($R$3070=0,0,R3063/$R$3070)</f>
        <v/>
      </c>
      <c r="T3063" s="8" t="n">
        <v>0.008887257478854993</v>
      </c>
      <c r="U3063" s="8" t="n">
        <v>0.01990750580710365</v>
      </c>
      <c r="V3063" s="6" t="inlineStr">
        <is>
          <t>not selected</t>
        </is>
      </c>
    </row>
    <row r="3064">
      <c r="A3064" s="6" t="inlineStr">
        <is>
          <t>DJ30</t>
        </is>
      </c>
      <c r="B3064" s="6" t="inlineStr">
        <is>
          <t>2024-11-22</t>
        </is>
      </c>
      <c r="C3064" s="6" t="inlineStr">
        <is>
          <t>DIA</t>
        </is>
      </c>
      <c r="D3064" s="6" t="inlineStr">
        <is>
          <t>SHW</t>
        </is>
      </c>
      <c r="E3064" s="6" t="inlineStr">
        <is>
          <t>SHW</t>
        </is>
      </c>
      <c r="F3064" s="6" t="inlineStr">
        <is>
          <t>-</t>
        </is>
      </c>
      <c r="G3064" s="7" t="n">
        <v>383.0292358398438</v>
      </c>
      <c r="H3064" s="6">
        <f>P3033</f>
        <v/>
      </c>
      <c r="I3064" s="9">
        <f>Q3033</f>
        <v/>
      </c>
      <c r="J3064" s="7">
        <f>I3064*G3064</f>
        <v/>
      </c>
      <c r="K3064" s="8">
        <f>IF($J$3070=0,0,J3064/$J$3070)</f>
        <v/>
      </c>
      <c r="L3064" s="6" t="inlineStr">
        <is>
          <t>WATCHLIST</t>
        </is>
      </c>
      <c r="M3064" s="8" t="n">
        <v>0</v>
      </c>
      <c r="N3064" s="7">
        <f>M3064*$J$3070-J3064</f>
        <v/>
      </c>
      <c r="O3064" s="9">
        <f>IF(G3064=0,0,N3064/G3064)</f>
        <v/>
      </c>
      <c r="P3064" s="6">
        <f>IF(M3064&gt;0,D3064,"")</f>
        <v/>
      </c>
      <c r="Q3064" s="9">
        <f>I3064+O3064</f>
        <v/>
      </c>
      <c r="R3064" s="7">
        <f>Q3064*G3064</f>
        <v/>
      </c>
      <c r="S3064" s="8">
        <f>IF($R$3070=0,0,R3064/$R$3070)</f>
        <v/>
      </c>
      <c r="T3064" s="8" t="n">
        <v>0.008887257478854993</v>
      </c>
      <c r="U3064" s="8" t="n">
        <v>0.01990750580710365</v>
      </c>
      <c r="V3064" s="6" t="inlineStr">
        <is>
          <t>not selected</t>
        </is>
      </c>
    </row>
    <row r="3065">
      <c r="A3065" s="6" t="inlineStr">
        <is>
          <t>DJ30</t>
        </is>
      </c>
      <c r="B3065" s="6" t="inlineStr">
        <is>
          <t>2024-11-22</t>
        </is>
      </c>
      <c r="C3065" s="6" t="inlineStr">
        <is>
          <t>DIA</t>
        </is>
      </c>
      <c r="D3065" s="6" t="inlineStr">
        <is>
          <t>TRV</t>
        </is>
      </c>
      <c r="E3065" s="6" t="inlineStr">
        <is>
          <t>TRV</t>
        </is>
      </c>
      <c r="F3065" s="6" t="inlineStr">
        <is>
          <t>-</t>
        </is>
      </c>
      <c r="G3065" s="7" t="n">
        <v>255.1819610595703</v>
      </c>
      <c r="H3065" s="6">
        <f>P3034</f>
        <v/>
      </c>
      <c r="I3065" s="9">
        <f>Q3034</f>
        <v/>
      </c>
      <c r="J3065" s="7">
        <f>I3065*G3065</f>
        <v/>
      </c>
      <c r="K3065" s="8">
        <f>IF($J$3070=0,0,J3065/$J$3070)</f>
        <v/>
      </c>
      <c r="L3065" s="6" t="inlineStr">
        <is>
          <t>SELECTED</t>
        </is>
      </c>
      <c r="M3065" s="8" t="n">
        <v>0.2</v>
      </c>
      <c r="N3065" s="7">
        <f>M3065*$J$3070-J3065</f>
        <v/>
      </c>
      <c r="O3065" s="9">
        <f>IF(G3065=0,0,N3065/G3065)</f>
        <v/>
      </c>
      <c r="P3065" s="6">
        <f>IF(M3065&gt;0,D3065,"")</f>
        <v/>
      </c>
      <c r="Q3065" s="9">
        <f>I3065+O3065</f>
        <v/>
      </c>
      <c r="R3065" s="7">
        <f>Q3065*G3065</f>
        <v/>
      </c>
      <c r="S3065" s="8">
        <f>IF($R$3070=0,0,R3065/$R$3070)</f>
        <v/>
      </c>
      <c r="T3065" s="8" t="n">
        <v>0.008887257478854993</v>
      </c>
      <c r="U3065" s="8" t="n">
        <v>0.01990750580710365</v>
      </c>
      <c r="V3065" s="6" t="inlineStr">
        <is>
          <t>remained in weekly selection</t>
        </is>
      </c>
    </row>
    <row r="3066">
      <c r="A3066" s="6" t="inlineStr">
        <is>
          <t>DJ30</t>
        </is>
      </c>
      <c r="B3066" s="6" t="inlineStr">
        <is>
          <t>2024-11-22</t>
        </is>
      </c>
      <c r="C3066" s="6" t="inlineStr">
        <is>
          <t>DIA</t>
        </is>
      </c>
      <c r="D3066" s="6" t="inlineStr">
        <is>
          <t>UNH</t>
        </is>
      </c>
      <c r="E3066" s="6" t="inlineStr">
        <is>
          <t>UNH</t>
        </is>
      </c>
      <c r="F3066" s="6" t="inlineStr">
        <is>
          <t>-</t>
        </is>
      </c>
      <c r="G3066" s="7" t="n">
        <v>566.7963256835938</v>
      </c>
      <c r="H3066" s="6">
        <f>P3035</f>
        <v/>
      </c>
      <c r="I3066" s="9">
        <f>Q3035</f>
        <v/>
      </c>
      <c r="J3066" s="7">
        <f>I3066*G3066</f>
        <v/>
      </c>
      <c r="K3066" s="8">
        <f>IF($J$3070=0,0,J3066/$J$3070)</f>
        <v/>
      </c>
      <c r="L3066" s="6" t="inlineStr">
        <is>
          <t>WATCHLIST</t>
        </is>
      </c>
      <c r="M3066" s="8" t="n">
        <v>0</v>
      </c>
      <c r="N3066" s="7">
        <f>M3066*$J$3070-J3066</f>
        <v/>
      </c>
      <c r="O3066" s="9">
        <f>IF(G3066=0,0,N3066/G3066)</f>
        <v/>
      </c>
      <c r="P3066" s="6">
        <f>IF(M3066&gt;0,D3066,"")</f>
        <v/>
      </c>
      <c r="Q3066" s="9">
        <f>I3066+O3066</f>
        <v/>
      </c>
      <c r="R3066" s="7">
        <f>Q3066*G3066</f>
        <v/>
      </c>
      <c r="S3066" s="8">
        <f>IF($R$3070=0,0,R3066/$R$3070)</f>
        <v/>
      </c>
      <c r="T3066" s="8" t="n">
        <v>0.008887257478854993</v>
      </c>
      <c r="U3066" s="8" t="n">
        <v>0.01990750580710365</v>
      </c>
      <c r="V3066" s="6" t="inlineStr">
        <is>
          <t>not selected</t>
        </is>
      </c>
    </row>
    <row r="3067">
      <c r="A3067" s="6" t="inlineStr">
        <is>
          <t>DJ30</t>
        </is>
      </c>
      <c r="B3067" s="6" t="inlineStr">
        <is>
          <t>2024-11-22</t>
        </is>
      </c>
      <c r="C3067" s="6" t="inlineStr">
        <is>
          <t>DIA</t>
        </is>
      </c>
      <c r="D3067" s="6" t="inlineStr">
        <is>
          <t>V</t>
        </is>
      </c>
      <c r="E3067" s="6" t="inlineStr">
        <is>
          <t>V</t>
        </is>
      </c>
      <c r="F3067" s="6" t="inlineStr">
        <is>
          <t>-</t>
        </is>
      </c>
      <c r="G3067" s="7" t="n">
        <v>306.4656677246094</v>
      </c>
      <c r="H3067" s="6">
        <f>P3036</f>
        <v/>
      </c>
      <c r="I3067" s="9">
        <f>Q3036</f>
        <v/>
      </c>
      <c r="J3067" s="7">
        <f>I3067*G3067</f>
        <v/>
      </c>
      <c r="K3067" s="8">
        <f>IF($J$3070=0,0,J3067/$J$3070)</f>
        <v/>
      </c>
      <c r="L3067" s="6" t="inlineStr">
        <is>
          <t>WATCHLIST</t>
        </is>
      </c>
      <c r="M3067" s="8" t="n">
        <v>0</v>
      </c>
      <c r="N3067" s="7">
        <f>M3067*$J$3070-J3067</f>
        <v/>
      </c>
      <c r="O3067" s="9">
        <f>IF(G3067=0,0,N3067/G3067)</f>
        <v/>
      </c>
      <c r="P3067" s="6">
        <f>IF(M3067&gt;0,D3067,"")</f>
        <v/>
      </c>
      <c r="Q3067" s="9">
        <f>I3067+O3067</f>
        <v/>
      </c>
      <c r="R3067" s="7">
        <f>Q3067*G3067</f>
        <v/>
      </c>
      <c r="S3067" s="8">
        <f>IF($R$3070=0,0,R3067/$R$3070)</f>
        <v/>
      </c>
      <c r="T3067" s="8" t="n">
        <v>0.008887257478854993</v>
      </c>
      <c r="U3067" s="8" t="n">
        <v>0.01990750580710365</v>
      </c>
      <c r="V3067" s="6" t="inlineStr">
        <is>
          <t>not selected</t>
        </is>
      </c>
    </row>
    <row r="3068">
      <c r="A3068" s="6" t="inlineStr">
        <is>
          <t>DJ30</t>
        </is>
      </c>
      <c r="B3068" s="6" t="inlineStr">
        <is>
          <t>2024-11-22</t>
        </is>
      </c>
      <c r="C3068" s="6" t="inlineStr">
        <is>
          <t>DIA</t>
        </is>
      </c>
      <c r="D3068" s="6" t="inlineStr">
        <is>
          <t>VZ</t>
        </is>
      </c>
      <c r="E3068" s="6" t="inlineStr">
        <is>
          <t>VZ</t>
        </is>
      </c>
      <c r="F3068" s="6" t="inlineStr">
        <is>
          <t>-</t>
        </is>
      </c>
      <c r="G3068" s="7" t="n">
        <v>39.09405517578125</v>
      </c>
      <c r="H3068" s="6">
        <f>P3037</f>
        <v/>
      </c>
      <c r="I3068" s="9">
        <f>Q3037</f>
        <v/>
      </c>
      <c r="J3068" s="7">
        <f>I3068*G3068</f>
        <v/>
      </c>
      <c r="K3068" s="8">
        <f>IF($J$3070=0,0,J3068/$J$3070)</f>
        <v/>
      </c>
      <c r="L3068" s="6" t="inlineStr">
        <is>
          <t>WATCHLIST</t>
        </is>
      </c>
      <c r="M3068" s="8" t="n">
        <v>0</v>
      </c>
      <c r="N3068" s="7">
        <f>M3068*$J$3070-J3068</f>
        <v/>
      </c>
      <c r="O3068" s="9">
        <f>IF(G3068=0,0,N3068/G3068)</f>
        <v/>
      </c>
      <c r="P3068" s="6">
        <f>IF(M3068&gt;0,D3068,"")</f>
        <v/>
      </c>
      <c r="Q3068" s="9">
        <f>I3068+O3068</f>
        <v/>
      </c>
      <c r="R3068" s="7">
        <f>Q3068*G3068</f>
        <v/>
      </c>
      <c r="S3068" s="8">
        <f>IF($R$3070=0,0,R3068/$R$3070)</f>
        <v/>
      </c>
      <c r="T3068" s="8" t="n">
        <v>0.008887257478854993</v>
      </c>
      <c r="U3068" s="8" t="n">
        <v>0.01990750580710365</v>
      </c>
      <c r="V3068" s="6" t="inlineStr">
        <is>
          <t>not selected</t>
        </is>
      </c>
    </row>
    <row r="3069">
      <c r="A3069" s="6" t="inlineStr">
        <is>
          <t>DJ30</t>
        </is>
      </c>
      <c r="B3069" s="6" t="inlineStr">
        <is>
          <t>2024-11-22</t>
        </is>
      </c>
      <c r="C3069" s="6" t="inlineStr">
        <is>
          <t>DIA</t>
        </is>
      </c>
      <c r="D3069" s="6" t="inlineStr">
        <is>
          <t>WMT</t>
        </is>
      </c>
      <c r="E3069" s="6" t="inlineStr">
        <is>
          <t>WMT</t>
        </is>
      </c>
      <c r="F3069" s="6" t="inlineStr">
        <is>
          <t>-</t>
        </is>
      </c>
      <c r="G3069" s="7" t="n">
        <v>89.03150177001953</v>
      </c>
      <c r="H3069" s="6">
        <f>P3038</f>
        <v/>
      </c>
      <c r="I3069" s="9">
        <f>Q3038</f>
        <v/>
      </c>
      <c r="J3069" s="7">
        <f>I3069*G3069</f>
        <v/>
      </c>
      <c r="K3069" s="8">
        <f>IF($J$3070=0,0,J3069/$J$3070)</f>
        <v/>
      </c>
      <c r="L3069" s="6" t="inlineStr">
        <is>
          <t>WATCHLIST</t>
        </is>
      </c>
      <c r="M3069" s="8" t="n">
        <v>0</v>
      </c>
      <c r="N3069" s="7">
        <f>M3069*$J$3070-J3069</f>
        <v/>
      </c>
      <c r="O3069" s="9">
        <f>IF(G3069=0,0,N3069/G3069)</f>
        <v/>
      </c>
      <c r="P3069" s="6">
        <f>IF(M3069&gt;0,D3069,"")</f>
        <v/>
      </c>
      <c r="Q3069" s="9">
        <f>I3069+O3069</f>
        <v/>
      </c>
      <c r="R3069" s="7">
        <f>Q3069*G3069</f>
        <v/>
      </c>
      <c r="S3069" s="8">
        <f>IF($R$3070=0,0,R3069/$R$3070)</f>
        <v/>
      </c>
      <c r="T3069" s="8" t="n">
        <v>0.008887257478854993</v>
      </c>
      <c r="U3069" s="8" t="n">
        <v>0.01990750580710365</v>
      </c>
      <c r="V3069" s="6" t="inlineStr">
        <is>
          <t>not selected</t>
        </is>
      </c>
    </row>
    <row r="3070">
      <c r="A3070" s="10" t="inlineStr">
        <is>
          <t>DJ30</t>
        </is>
      </c>
      <c r="B3070" s="10" t="inlineStr">
        <is>
          <t>2024-11-22</t>
        </is>
      </c>
      <c r="C3070" s="10" t="inlineStr">
        <is>
          <t>DIA</t>
        </is>
      </c>
      <c r="D3070" s="10" t="inlineStr">
        <is>
          <t>Tot Portfolio</t>
        </is>
      </c>
      <c r="E3070" s="10" t="inlineStr"/>
      <c r="F3070" s="10" t="inlineStr"/>
      <c r="G3070" s="11" t="inlineStr"/>
      <c r="H3070" s="10" t="inlineStr"/>
      <c r="I3070" s="12" t="inlineStr"/>
      <c r="J3070" s="11">
        <f>SUM(J3040:J3069)</f>
        <v/>
      </c>
      <c r="K3070" s="13">
        <f>SUM(K3040:K3069)</f>
        <v/>
      </c>
      <c r="L3070" s="10" t="inlineStr">
        <is>
          <t>TOTAL</t>
        </is>
      </c>
      <c r="M3070" s="13">
        <f>SUM(M3040:M3069)</f>
        <v/>
      </c>
      <c r="N3070" s="11">
        <f>SUM(N3040:N3069)</f>
        <v/>
      </c>
      <c r="O3070" s="12">
        <f>SUM(O3040:O3069)</f>
        <v/>
      </c>
      <c r="P3070" s="10" t="inlineStr"/>
      <c r="Q3070" s="12" t="inlineStr"/>
      <c r="R3070" s="11">
        <f>SUM(R3040:R3069)</f>
        <v/>
      </c>
      <c r="S3070" s="13">
        <f>SUM(S3040:S3069)</f>
        <v/>
      </c>
      <c r="T3070" s="13" t="n">
        <v>0.008887257478854993</v>
      </c>
      <c r="U3070" s="13" t="n">
        <v>0.01990750580710365</v>
      </c>
      <c r="V3070" s="10" t="inlineStr"/>
    </row>
    <row r="3071">
      <c r="A3071" s="6" t="inlineStr">
        <is>
          <t>DJ30</t>
        </is>
      </c>
      <c r="B3071" s="6" t="inlineStr">
        <is>
          <t>2024-11-29</t>
        </is>
      </c>
      <c r="C3071" s="6" t="inlineStr">
        <is>
          <t>DIA</t>
        </is>
      </c>
      <c r="D3071" s="6" t="inlineStr">
        <is>
          <t>AAPL</t>
        </is>
      </c>
      <c r="E3071" s="6" t="inlineStr">
        <is>
          <t>AAPL</t>
        </is>
      </c>
      <c r="F3071" s="6" t="inlineStr">
        <is>
          <t>-</t>
        </is>
      </c>
      <c r="G3071" s="7" t="n">
        <v>235.8233184814453</v>
      </c>
      <c r="H3071" s="6">
        <f>P3040</f>
        <v/>
      </c>
      <c r="I3071" s="9">
        <f>Q3040</f>
        <v/>
      </c>
      <c r="J3071" s="7">
        <f>I3071*G3071</f>
        <v/>
      </c>
      <c r="K3071" s="8">
        <f>IF($J$3101=0,0,J3071/$J$3101)</f>
        <v/>
      </c>
      <c r="L3071" s="6" t="inlineStr">
        <is>
          <t>WATCHLIST</t>
        </is>
      </c>
      <c r="M3071" s="8" t="n">
        <v>0</v>
      </c>
      <c r="N3071" s="7">
        <f>M3071*$J$3101-J3071</f>
        <v/>
      </c>
      <c r="O3071" s="9">
        <f>IF(G3071=0,0,N3071/G3071)</f>
        <v/>
      </c>
      <c r="P3071" s="6">
        <f>IF(M3071&gt;0,D3071,"")</f>
        <v/>
      </c>
      <c r="Q3071" s="9">
        <f>I3071+O3071</f>
        <v/>
      </c>
      <c r="R3071" s="7">
        <f>Q3071*G3071</f>
        <v/>
      </c>
      <c r="S3071" s="8">
        <f>IF($R$3101=0,0,R3071/$R$3101)</f>
        <v/>
      </c>
      <c r="T3071" s="8" t="n">
        <v>0.01136919388238744</v>
      </c>
      <c r="U3071" s="8" t="n">
        <v>0.01563773096375298</v>
      </c>
      <c r="V3071" s="6" t="inlineStr">
        <is>
          <t>not selected</t>
        </is>
      </c>
    </row>
    <row r="3072">
      <c r="A3072" s="6" t="inlineStr">
        <is>
          <t>DJ30</t>
        </is>
      </c>
      <c r="B3072" s="6" t="inlineStr">
        <is>
          <t>2024-11-29</t>
        </is>
      </c>
      <c r="C3072" s="6" t="inlineStr">
        <is>
          <t>DIA</t>
        </is>
      </c>
      <c r="D3072" s="6" t="inlineStr">
        <is>
          <t>AMGN</t>
        </is>
      </c>
      <c r="E3072" s="6" t="inlineStr">
        <is>
          <t>AMGN</t>
        </is>
      </c>
      <c r="F3072" s="6" t="inlineStr">
        <is>
          <t>-</t>
        </is>
      </c>
      <c r="G3072" s="7" t="n">
        <v>270.0284423828125</v>
      </c>
      <c r="H3072" s="6">
        <f>P3041</f>
        <v/>
      </c>
      <c r="I3072" s="9">
        <f>Q3041</f>
        <v/>
      </c>
      <c r="J3072" s="7">
        <f>I3072*G3072</f>
        <v/>
      </c>
      <c r="K3072" s="8">
        <f>IF($J$3101=0,0,J3072/$J$3101)</f>
        <v/>
      </c>
      <c r="L3072" s="6" t="inlineStr">
        <is>
          <t>WATCHLIST</t>
        </is>
      </c>
      <c r="M3072" s="8" t="n">
        <v>0</v>
      </c>
      <c r="N3072" s="7">
        <f>M3072*$J$3101-J3072</f>
        <v/>
      </c>
      <c r="O3072" s="9">
        <f>IF(G3072=0,0,N3072/G3072)</f>
        <v/>
      </c>
      <c r="P3072" s="6">
        <f>IF(M3072&gt;0,D3072,"")</f>
        <v/>
      </c>
      <c r="Q3072" s="9">
        <f>I3072+O3072</f>
        <v/>
      </c>
      <c r="R3072" s="7">
        <f>Q3072*G3072</f>
        <v/>
      </c>
      <c r="S3072" s="8">
        <f>IF($R$3101=0,0,R3072/$R$3101)</f>
        <v/>
      </c>
      <c r="T3072" s="8" t="n">
        <v>0.01136919388238744</v>
      </c>
      <c r="U3072" s="8" t="n">
        <v>0.01563773096375298</v>
      </c>
      <c r="V3072" s="6" t="inlineStr">
        <is>
          <t>not selected</t>
        </is>
      </c>
    </row>
    <row r="3073">
      <c r="A3073" s="6" t="inlineStr">
        <is>
          <t>DJ30</t>
        </is>
      </c>
      <c r="B3073" s="6" t="inlineStr">
        <is>
          <t>2024-11-29</t>
        </is>
      </c>
      <c r="C3073" s="6" t="inlineStr">
        <is>
          <t>DIA</t>
        </is>
      </c>
      <c r="D3073" s="6" t="inlineStr">
        <is>
          <t>AMZN</t>
        </is>
      </c>
      <c r="E3073" s="6" t="inlineStr">
        <is>
          <t>AMZN</t>
        </is>
      </c>
      <c r="F3073" s="6" t="inlineStr">
        <is>
          <t>-</t>
        </is>
      </c>
      <c r="G3073" s="7" t="n">
        <v>207.8899993896484</v>
      </c>
      <c r="H3073" s="6">
        <f>P3042</f>
        <v/>
      </c>
      <c r="I3073" s="9">
        <f>Q3042</f>
        <v/>
      </c>
      <c r="J3073" s="7">
        <f>I3073*G3073</f>
        <v/>
      </c>
      <c r="K3073" s="8">
        <f>IF($J$3101=0,0,J3073/$J$3101)</f>
        <v/>
      </c>
      <c r="L3073" s="6" t="inlineStr">
        <is>
          <t>WATCHLIST</t>
        </is>
      </c>
      <c r="M3073" s="8" t="n">
        <v>0</v>
      </c>
      <c r="N3073" s="7">
        <f>M3073*$J$3101-J3073</f>
        <v/>
      </c>
      <c r="O3073" s="9">
        <f>IF(G3073=0,0,N3073/G3073)</f>
        <v/>
      </c>
      <c r="P3073" s="6">
        <f>IF(M3073&gt;0,D3073,"")</f>
        <v/>
      </c>
      <c r="Q3073" s="9">
        <f>I3073+O3073</f>
        <v/>
      </c>
      <c r="R3073" s="7">
        <f>Q3073*G3073</f>
        <v/>
      </c>
      <c r="S3073" s="8">
        <f>IF($R$3101=0,0,R3073/$R$3101)</f>
        <v/>
      </c>
      <c r="T3073" s="8" t="n">
        <v>0.01136919388238744</v>
      </c>
      <c r="U3073" s="8" t="n">
        <v>0.01563773096375298</v>
      </c>
      <c r="V3073" s="6" t="inlineStr">
        <is>
          <t>not selected</t>
        </is>
      </c>
    </row>
    <row r="3074">
      <c r="A3074" s="6" t="inlineStr">
        <is>
          <t>DJ30</t>
        </is>
      </c>
      <c r="B3074" s="6" t="inlineStr">
        <is>
          <t>2024-11-29</t>
        </is>
      </c>
      <c r="C3074" s="6" t="inlineStr">
        <is>
          <t>DIA</t>
        </is>
      </c>
      <c r="D3074" s="6" t="inlineStr">
        <is>
          <t>AXP</t>
        </is>
      </c>
      <c r="E3074" s="6" t="inlineStr">
        <is>
          <t>AXP</t>
        </is>
      </c>
      <c r="F3074" s="6" t="inlineStr">
        <is>
          <t>-</t>
        </is>
      </c>
      <c r="G3074" s="7" t="n">
        <v>299.8168640136719</v>
      </c>
      <c r="H3074" s="6">
        <f>P3043</f>
        <v/>
      </c>
      <c r="I3074" s="9">
        <f>Q3043</f>
        <v/>
      </c>
      <c r="J3074" s="7">
        <f>I3074*G3074</f>
        <v/>
      </c>
      <c r="K3074" s="8">
        <f>IF($J$3101=0,0,J3074/$J$3101)</f>
        <v/>
      </c>
      <c r="L3074" s="6" t="inlineStr">
        <is>
          <t>WATCHLIST</t>
        </is>
      </c>
      <c r="M3074" s="8" t="n">
        <v>0</v>
      </c>
      <c r="N3074" s="7">
        <f>M3074*$J$3101-J3074</f>
        <v/>
      </c>
      <c r="O3074" s="9">
        <f>IF(G3074=0,0,N3074/G3074)</f>
        <v/>
      </c>
      <c r="P3074" s="6">
        <f>IF(M3074&gt;0,D3074,"")</f>
        <v/>
      </c>
      <c r="Q3074" s="9">
        <f>I3074+O3074</f>
        <v/>
      </c>
      <c r="R3074" s="7">
        <f>Q3074*G3074</f>
        <v/>
      </c>
      <c r="S3074" s="8">
        <f>IF($R$3101=0,0,R3074/$R$3101)</f>
        <v/>
      </c>
      <c r="T3074" s="8" t="n">
        <v>0.01136919388238744</v>
      </c>
      <c r="U3074" s="8" t="n">
        <v>0.01563773096375298</v>
      </c>
      <c r="V3074" s="6" t="inlineStr">
        <is>
          <t>not selected</t>
        </is>
      </c>
    </row>
    <row r="3075">
      <c r="A3075" s="6" t="inlineStr">
        <is>
          <t>DJ30</t>
        </is>
      </c>
      <c r="B3075" s="6" t="inlineStr">
        <is>
          <t>2024-11-29</t>
        </is>
      </c>
      <c r="C3075" s="6" t="inlineStr">
        <is>
          <t>DIA</t>
        </is>
      </c>
      <c r="D3075" s="6" t="inlineStr">
        <is>
          <t>BA</t>
        </is>
      </c>
      <c r="E3075" s="6" t="inlineStr">
        <is>
          <t>BA</t>
        </is>
      </c>
      <c r="F3075" s="6" t="inlineStr">
        <is>
          <t>-</t>
        </is>
      </c>
      <c r="G3075" s="7" t="n">
        <v>155.4400024414062</v>
      </c>
      <c r="H3075" s="6">
        <f>P3044</f>
        <v/>
      </c>
      <c r="I3075" s="9">
        <f>Q3044</f>
        <v/>
      </c>
      <c r="J3075" s="7">
        <f>I3075*G3075</f>
        <v/>
      </c>
      <c r="K3075" s="8">
        <f>IF($J$3101=0,0,J3075/$J$3101)</f>
        <v/>
      </c>
      <c r="L3075" s="6" t="inlineStr">
        <is>
          <t>REJECTED</t>
        </is>
      </c>
      <c r="M3075" s="8" t="n">
        <v>0</v>
      </c>
      <c r="N3075" s="7">
        <f>M3075*$J$3101-J3075</f>
        <v/>
      </c>
      <c r="O3075" s="9">
        <f>IF(G3075=0,0,N3075/G3075)</f>
        <v/>
      </c>
      <c r="P3075" s="6">
        <f>IF(M3075&gt;0,D3075,"")</f>
        <v/>
      </c>
      <c r="Q3075" s="9">
        <f>I3075+O3075</f>
        <v/>
      </c>
      <c r="R3075" s="7">
        <f>Q3075*G3075</f>
        <v/>
      </c>
      <c r="S3075" s="8">
        <f>IF($R$3101=0,0,R3075/$R$3101)</f>
        <v/>
      </c>
      <c r="T3075" s="8" t="n">
        <v>0.01136919388238744</v>
      </c>
      <c r="U3075" s="8" t="n">
        <v>0.01563773096375298</v>
      </c>
      <c r="V3075" s="6" t="inlineStr">
        <is>
          <t>not selected</t>
        </is>
      </c>
    </row>
    <row r="3076">
      <c r="A3076" s="6" t="inlineStr">
        <is>
          <t>DJ30</t>
        </is>
      </c>
      <c r="B3076" s="6" t="inlineStr">
        <is>
          <t>2024-11-29</t>
        </is>
      </c>
      <c r="C3076" s="6" t="inlineStr">
        <is>
          <t>DIA</t>
        </is>
      </c>
      <c r="D3076" s="6" t="inlineStr">
        <is>
          <t>CAT</t>
        </is>
      </c>
      <c r="E3076" s="6" t="inlineStr">
        <is>
          <t>CAT</t>
        </is>
      </c>
      <c r="F3076" s="6" t="inlineStr">
        <is>
          <t>-</t>
        </is>
      </c>
      <c r="G3076" s="7" t="n">
        <v>398.3761901855469</v>
      </c>
      <c r="H3076" s="6">
        <f>P3045</f>
        <v/>
      </c>
      <c r="I3076" s="9">
        <f>Q3045</f>
        <v/>
      </c>
      <c r="J3076" s="7">
        <f>I3076*G3076</f>
        <v/>
      </c>
      <c r="K3076" s="8">
        <f>IF($J$3101=0,0,J3076/$J$3101)</f>
        <v/>
      </c>
      <c r="L3076" s="6" t="inlineStr">
        <is>
          <t>WATCHLIST</t>
        </is>
      </c>
      <c r="M3076" s="8" t="n">
        <v>0</v>
      </c>
      <c r="N3076" s="7">
        <f>M3076*$J$3101-J3076</f>
        <v/>
      </c>
      <c r="O3076" s="9">
        <f>IF(G3076=0,0,N3076/G3076)</f>
        <v/>
      </c>
      <c r="P3076" s="6">
        <f>IF(M3076&gt;0,D3076,"")</f>
        <v/>
      </c>
      <c r="Q3076" s="9">
        <f>I3076+O3076</f>
        <v/>
      </c>
      <c r="R3076" s="7">
        <f>Q3076*G3076</f>
        <v/>
      </c>
      <c r="S3076" s="8">
        <f>IF($R$3101=0,0,R3076/$R$3101)</f>
        <v/>
      </c>
      <c r="T3076" s="8" t="n">
        <v>0.01136919388238744</v>
      </c>
      <c r="U3076" s="8" t="n">
        <v>0.01563773096375298</v>
      </c>
      <c r="V3076" s="6" t="inlineStr">
        <is>
          <t>not selected</t>
        </is>
      </c>
    </row>
    <row r="3077">
      <c r="A3077" s="6" t="inlineStr">
        <is>
          <t>DJ30</t>
        </is>
      </c>
      <c r="B3077" s="6" t="inlineStr">
        <is>
          <t>2024-11-29</t>
        </is>
      </c>
      <c r="C3077" s="6" t="inlineStr">
        <is>
          <t>DIA</t>
        </is>
      </c>
      <c r="D3077" s="6" t="inlineStr">
        <is>
          <t>CRM</t>
        </is>
      </c>
      <c r="E3077" s="6" t="inlineStr">
        <is>
          <t>CRM</t>
        </is>
      </c>
      <c r="F3077" s="6" t="inlineStr">
        <is>
          <t>-</t>
        </is>
      </c>
      <c r="G3077" s="7" t="n">
        <v>325.818115234375</v>
      </c>
      <c r="H3077" s="6">
        <f>P3046</f>
        <v/>
      </c>
      <c r="I3077" s="9">
        <f>Q3046</f>
        <v/>
      </c>
      <c r="J3077" s="7">
        <f>I3077*G3077</f>
        <v/>
      </c>
      <c r="K3077" s="8">
        <f>IF($J$3101=0,0,J3077/$J$3101)</f>
        <v/>
      </c>
      <c r="L3077" s="6" t="inlineStr">
        <is>
          <t>REJECTED</t>
        </is>
      </c>
      <c r="M3077" s="8" t="n">
        <v>0</v>
      </c>
      <c r="N3077" s="7">
        <f>M3077*$J$3101-J3077</f>
        <v/>
      </c>
      <c r="O3077" s="9">
        <f>IF(G3077=0,0,N3077/G3077)</f>
        <v/>
      </c>
      <c r="P3077" s="6">
        <f>IF(M3077&gt;0,D3077,"")</f>
        <v/>
      </c>
      <c r="Q3077" s="9">
        <f>I3077+O3077</f>
        <v/>
      </c>
      <c r="R3077" s="7">
        <f>Q3077*G3077</f>
        <v/>
      </c>
      <c r="S3077" s="8">
        <f>IF($R$3101=0,0,R3077/$R$3101)</f>
        <v/>
      </c>
      <c r="T3077" s="8" t="n">
        <v>0.01136919388238744</v>
      </c>
      <c r="U3077" s="8" t="n">
        <v>0.01563773096375298</v>
      </c>
      <c r="V3077" s="6" t="inlineStr">
        <is>
          <t>not selected</t>
        </is>
      </c>
    </row>
    <row r="3078">
      <c r="A3078" s="6" t="inlineStr">
        <is>
          <t>DJ30</t>
        </is>
      </c>
      <c r="B3078" s="6" t="inlineStr">
        <is>
          <t>2024-11-29</t>
        </is>
      </c>
      <c r="C3078" s="6" t="inlineStr">
        <is>
          <t>DIA</t>
        </is>
      </c>
      <c r="D3078" s="6" t="inlineStr">
        <is>
          <t>CSCO</t>
        </is>
      </c>
      <c r="E3078" s="6" t="inlineStr">
        <is>
          <t>CSCO</t>
        </is>
      </c>
      <c r="F3078" s="6" t="inlineStr">
        <is>
          <t>-</t>
        </is>
      </c>
      <c r="G3078" s="7" t="n">
        <v>57.10482025146485</v>
      </c>
      <c r="H3078" s="6">
        <f>P3047</f>
        <v/>
      </c>
      <c r="I3078" s="9">
        <f>Q3047</f>
        <v/>
      </c>
      <c r="J3078" s="7">
        <f>I3078*G3078</f>
        <v/>
      </c>
      <c r="K3078" s="8">
        <f>IF($J$3101=0,0,J3078/$J$3101)</f>
        <v/>
      </c>
      <c r="L3078" s="6" t="inlineStr">
        <is>
          <t>WATCHLIST</t>
        </is>
      </c>
      <c r="M3078" s="8" t="n">
        <v>0</v>
      </c>
      <c r="N3078" s="7">
        <f>M3078*$J$3101-J3078</f>
        <v/>
      </c>
      <c r="O3078" s="9">
        <f>IF(G3078=0,0,N3078/G3078)</f>
        <v/>
      </c>
      <c r="P3078" s="6">
        <f>IF(M3078&gt;0,D3078,"")</f>
        <v/>
      </c>
      <c r="Q3078" s="9">
        <f>I3078+O3078</f>
        <v/>
      </c>
      <c r="R3078" s="7">
        <f>Q3078*G3078</f>
        <v/>
      </c>
      <c r="S3078" s="8">
        <f>IF($R$3101=0,0,R3078/$R$3101)</f>
        <v/>
      </c>
      <c r="T3078" s="8" t="n">
        <v>0.01136919388238744</v>
      </c>
      <c r="U3078" s="8" t="n">
        <v>0.01563773096375298</v>
      </c>
      <c r="V3078" s="6" t="inlineStr">
        <is>
          <t>not selected</t>
        </is>
      </c>
    </row>
    <row r="3079">
      <c r="A3079" s="6" t="inlineStr">
        <is>
          <t>DJ30</t>
        </is>
      </c>
      <c r="B3079" s="6" t="inlineStr">
        <is>
          <t>2024-11-29</t>
        </is>
      </c>
      <c r="C3079" s="6" t="inlineStr">
        <is>
          <t>DIA</t>
        </is>
      </c>
      <c r="D3079" s="6" t="inlineStr">
        <is>
          <t>CVX</t>
        </is>
      </c>
      <c r="E3079" s="6" t="inlineStr">
        <is>
          <t>CVX</t>
        </is>
      </c>
      <c r="F3079" s="6" t="inlineStr">
        <is>
          <t>-</t>
        </is>
      </c>
      <c r="G3079" s="7" t="n">
        <v>151.8658294677734</v>
      </c>
      <c r="H3079" s="6">
        <f>P3048</f>
        <v/>
      </c>
      <c r="I3079" s="9">
        <f>Q3048</f>
        <v/>
      </c>
      <c r="J3079" s="7">
        <f>I3079*G3079</f>
        <v/>
      </c>
      <c r="K3079" s="8">
        <f>IF($J$3101=0,0,J3079/$J$3101)</f>
        <v/>
      </c>
      <c r="L3079" s="6" t="inlineStr">
        <is>
          <t>REJECTED</t>
        </is>
      </c>
      <c r="M3079" s="8" t="n">
        <v>0</v>
      </c>
      <c r="N3079" s="7">
        <f>M3079*$J$3101-J3079</f>
        <v/>
      </c>
      <c r="O3079" s="9">
        <f>IF(G3079=0,0,N3079/G3079)</f>
        <v/>
      </c>
      <c r="P3079" s="6">
        <f>IF(M3079&gt;0,D3079,"")</f>
        <v/>
      </c>
      <c r="Q3079" s="9">
        <f>I3079+O3079</f>
        <v/>
      </c>
      <c r="R3079" s="7">
        <f>Q3079*G3079</f>
        <v/>
      </c>
      <c r="S3079" s="8">
        <f>IF($R$3101=0,0,R3079/$R$3101)</f>
        <v/>
      </c>
      <c r="T3079" s="8" t="n">
        <v>0.01136919388238744</v>
      </c>
      <c r="U3079" s="8" t="n">
        <v>0.01563773096375298</v>
      </c>
      <c r="V3079" s="6" t="inlineStr">
        <is>
          <t>not selected</t>
        </is>
      </c>
    </row>
    <row r="3080">
      <c r="A3080" s="6" t="inlineStr">
        <is>
          <t>DJ30</t>
        </is>
      </c>
      <c r="B3080" s="6" t="inlineStr">
        <is>
          <t>2024-11-29</t>
        </is>
      </c>
      <c r="C3080" s="6" t="inlineStr">
        <is>
          <t>DIA</t>
        </is>
      </c>
      <c r="D3080" s="6" t="inlineStr">
        <is>
          <t>DIS</t>
        </is>
      </c>
      <c r="E3080" s="6" t="inlineStr">
        <is>
          <t>DIS</t>
        </is>
      </c>
      <c r="F3080" s="6" t="inlineStr">
        <is>
          <t>-</t>
        </is>
      </c>
      <c r="G3080" s="7" t="n">
        <v>115.6725463867188</v>
      </c>
      <c r="H3080" s="6">
        <f>P3049</f>
        <v/>
      </c>
      <c r="I3080" s="9">
        <f>Q3049</f>
        <v/>
      </c>
      <c r="J3080" s="7">
        <f>I3080*G3080</f>
        <v/>
      </c>
      <c r="K3080" s="8">
        <f>IF($J$3101=0,0,J3080/$J$3101)</f>
        <v/>
      </c>
      <c r="L3080" s="6" t="inlineStr">
        <is>
          <t>REJECTED</t>
        </is>
      </c>
      <c r="M3080" s="8" t="n">
        <v>0</v>
      </c>
      <c r="N3080" s="7">
        <f>M3080*$J$3101-J3080</f>
        <v/>
      </c>
      <c r="O3080" s="9">
        <f>IF(G3080=0,0,N3080/G3080)</f>
        <v/>
      </c>
      <c r="P3080" s="6">
        <f>IF(M3080&gt;0,D3080,"")</f>
        <v/>
      </c>
      <c r="Q3080" s="9">
        <f>I3080+O3080</f>
        <v/>
      </c>
      <c r="R3080" s="7">
        <f>Q3080*G3080</f>
        <v/>
      </c>
      <c r="S3080" s="8">
        <f>IF($R$3101=0,0,R3080/$R$3101)</f>
        <v/>
      </c>
      <c r="T3080" s="8" t="n">
        <v>0.01136919388238744</v>
      </c>
      <c r="U3080" s="8" t="n">
        <v>0.01563773096375298</v>
      </c>
      <c r="V3080" s="6" t="inlineStr">
        <is>
          <t>not selected</t>
        </is>
      </c>
    </row>
    <row r="3081">
      <c r="A3081" s="6" t="inlineStr">
        <is>
          <t>DJ30</t>
        </is>
      </c>
      <c r="B3081" s="6" t="inlineStr">
        <is>
          <t>2024-11-29</t>
        </is>
      </c>
      <c r="C3081" s="6" t="inlineStr">
        <is>
          <t>DIA</t>
        </is>
      </c>
      <c r="D3081" s="6" t="inlineStr">
        <is>
          <t>GS</t>
        </is>
      </c>
      <c r="E3081" s="6" t="inlineStr">
        <is>
          <t>GS</t>
        </is>
      </c>
      <c r="F3081" s="6" t="inlineStr">
        <is>
          <t>-</t>
        </is>
      </c>
      <c r="G3081" s="7" t="n">
        <v>587.7612915039062</v>
      </c>
      <c r="H3081" s="6">
        <f>P3050</f>
        <v/>
      </c>
      <c r="I3081" s="9">
        <f>Q3050</f>
        <v/>
      </c>
      <c r="J3081" s="7">
        <f>I3081*G3081</f>
        <v/>
      </c>
      <c r="K3081" s="8">
        <f>IF($J$3101=0,0,J3081/$J$3101)</f>
        <v/>
      </c>
      <c r="L3081" s="6" t="inlineStr">
        <is>
          <t>SELECTED</t>
        </is>
      </c>
      <c r="M3081" s="8" t="n">
        <v>0.2</v>
      </c>
      <c r="N3081" s="7">
        <f>M3081*$J$3101-J3081</f>
        <v/>
      </c>
      <c r="O3081" s="9">
        <f>IF(G3081=0,0,N3081/G3081)</f>
        <v/>
      </c>
      <c r="P3081" s="6">
        <f>IF(M3081&gt;0,D3081,"")</f>
        <v/>
      </c>
      <c r="Q3081" s="9">
        <f>I3081+O3081</f>
        <v/>
      </c>
      <c r="R3081" s="7">
        <f>Q3081*G3081</f>
        <v/>
      </c>
      <c r="S3081" s="8">
        <f>IF($R$3101=0,0,R3081/$R$3101)</f>
        <v/>
      </c>
      <c r="T3081" s="8" t="n">
        <v>0.01136919388238744</v>
      </c>
      <c r="U3081" s="8" t="n">
        <v>0.01563773096375298</v>
      </c>
      <c r="V3081" s="6" t="inlineStr">
        <is>
          <t>remained in weekly selection</t>
        </is>
      </c>
    </row>
    <row r="3082">
      <c r="A3082" s="6" t="inlineStr">
        <is>
          <t>DJ30</t>
        </is>
      </c>
      <c r="B3082" s="6" t="inlineStr">
        <is>
          <t>2024-11-29</t>
        </is>
      </c>
      <c r="C3082" s="6" t="inlineStr">
        <is>
          <t>DIA</t>
        </is>
      </c>
      <c r="D3082" s="6" t="inlineStr">
        <is>
          <t>HD</t>
        </is>
      </c>
      <c r="E3082" s="6" t="inlineStr">
        <is>
          <t>HD</t>
        </is>
      </c>
      <c r="F3082" s="6" t="inlineStr">
        <is>
          <t>-</t>
        </is>
      </c>
      <c r="G3082" s="7" t="n">
        <v>412.8145141601562</v>
      </c>
      <c r="H3082" s="6">
        <f>P3051</f>
        <v/>
      </c>
      <c r="I3082" s="9">
        <f>Q3051</f>
        <v/>
      </c>
      <c r="J3082" s="7">
        <f>I3082*G3082</f>
        <v/>
      </c>
      <c r="K3082" s="8">
        <f>IF($J$3101=0,0,J3082/$J$3101)</f>
        <v/>
      </c>
      <c r="L3082" s="6" t="inlineStr">
        <is>
          <t>WATCHLIST</t>
        </is>
      </c>
      <c r="M3082" s="8" t="n">
        <v>0</v>
      </c>
      <c r="N3082" s="7">
        <f>M3082*$J$3101-J3082</f>
        <v/>
      </c>
      <c r="O3082" s="9">
        <f>IF(G3082=0,0,N3082/G3082)</f>
        <v/>
      </c>
      <c r="P3082" s="6">
        <f>IF(M3082&gt;0,D3082,"")</f>
        <v/>
      </c>
      <c r="Q3082" s="9">
        <f>I3082+O3082</f>
        <v/>
      </c>
      <c r="R3082" s="7">
        <f>Q3082*G3082</f>
        <v/>
      </c>
      <c r="S3082" s="8">
        <f>IF($R$3101=0,0,R3082/$R$3101)</f>
        <v/>
      </c>
      <c r="T3082" s="8" t="n">
        <v>0.01136919388238744</v>
      </c>
      <c r="U3082" s="8" t="n">
        <v>0.01563773096375298</v>
      </c>
      <c r="V3082" s="6" t="inlineStr">
        <is>
          <t>not selected</t>
        </is>
      </c>
    </row>
    <row r="3083">
      <c r="A3083" s="6" t="inlineStr">
        <is>
          <t>DJ30</t>
        </is>
      </c>
      <c r="B3083" s="6" t="inlineStr">
        <is>
          <t>2024-11-29</t>
        </is>
      </c>
      <c r="C3083" s="6" t="inlineStr">
        <is>
          <t>DIA</t>
        </is>
      </c>
      <c r="D3083" s="6" t="inlineStr">
        <is>
          <t>HON</t>
        </is>
      </c>
      <c r="E3083" s="6" t="inlineStr">
        <is>
          <t>HON</t>
        </is>
      </c>
      <c r="F3083" s="6" t="inlineStr">
        <is>
          <t>-</t>
        </is>
      </c>
      <c r="G3083" s="7" t="n">
        <v>212.6175689697266</v>
      </c>
      <c r="H3083" s="6">
        <f>P3052</f>
        <v/>
      </c>
      <c r="I3083" s="9">
        <f>Q3052</f>
        <v/>
      </c>
      <c r="J3083" s="7">
        <f>I3083*G3083</f>
        <v/>
      </c>
      <c r="K3083" s="8">
        <f>IF($J$3101=0,0,J3083/$J$3101)</f>
        <v/>
      </c>
      <c r="L3083" s="6" t="inlineStr">
        <is>
          <t>WATCHLIST</t>
        </is>
      </c>
      <c r="M3083" s="8" t="n">
        <v>0</v>
      </c>
      <c r="N3083" s="7">
        <f>M3083*$J$3101-J3083</f>
        <v/>
      </c>
      <c r="O3083" s="9">
        <f>IF(G3083=0,0,N3083/G3083)</f>
        <v/>
      </c>
      <c r="P3083" s="6">
        <f>IF(M3083&gt;0,D3083,"")</f>
        <v/>
      </c>
      <c r="Q3083" s="9">
        <f>I3083+O3083</f>
        <v/>
      </c>
      <c r="R3083" s="7">
        <f>Q3083*G3083</f>
        <v/>
      </c>
      <c r="S3083" s="8">
        <f>IF($R$3101=0,0,R3083/$R$3101)</f>
        <v/>
      </c>
      <c r="T3083" s="8" t="n">
        <v>0.01136919388238744</v>
      </c>
      <c r="U3083" s="8" t="n">
        <v>0.01563773096375298</v>
      </c>
      <c r="V3083" s="6" t="inlineStr">
        <is>
          <t>not selected</t>
        </is>
      </c>
    </row>
    <row r="3084">
      <c r="A3084" s="6" t="inlineStr">
        <is>
          <t>DJ30</t>
        </is>
      </c>
      <c r="B3084" s="6" t="inlineStr">
        <is>
          <t>2024-11-29</t>
        </is>
      </c>
      <c r="C3084" s="6" t="inlineStr">
        <is>
          <t>DIA</t>
        </is>
      </c>
      <c r="D3084" s="6" t="inlineStr">
        <is>
          <t>IBM</t>
        </is>
      </c>
      <c r="E3084" s="6" t="inlineStr">
        <is>
          <t>IBM</t>
        </is>
      </c>
      <c r="F3084" s="6" t="inlineStr">
        <is>
          <t>-</t>
        </is>
      </c>
      <c r="G3084" s="7" t="n">
        <v>218.8150634765625</v>
      </c>
      <c r="H3084" s="6">
        <f>P3053</f>
        <v/>
      </c>
      <c r="I3084" s="9">
        <f>Q3053</f>
        <v/>
      </c>
      <c r="J3084" s="7">
        <f>I3084*G3084</f>
        <v/>
      </c>
      <c r="K3084" s="8">
        <f>IF($J$3101=0,0,J3084/$J$3101)</f>
        <v/>
      </c>
      <c r="L3084" s="6" t="inlineStr">
        <is>
          <t>SELECTED</t>
        </is>
      </c>
      <c r="M3084" s="8" t="n">
        <v>0.2</v>
      </c>
      <c r="N3084" s="7">
        <f>M3084*$J$3101-J3084</f>
        <v/>
      </c>
      <c r="O3084" s="9">
        <f>IF(G3084=0,0,N3084/G3084)</f>
        <v/>
      </c>
      <c r="P3084" s="6">
        <f>IF(M3084&gt;0,D3084,"")</f>
        <v/>
      </c>
      <c r="Q3084" s="9">
        <f>I3084+O3084</f>
        <v/>
      </c>
      <c r="R3084" s="7">
        <f>Q3084*G3084</f>
        <v/>
      </c>
      <c r="S3084" s="8">
        <f>IF($R$3101=0,0,R3084/$R$3101)</f>
        <v/>
      </c>
      <c r="T3084" s="8" t="n">
        <v>0.01136919388238744</v>
      </c>
      <c r="U3084" s="8" t="n">
        <v>0.01563773096375298</v>
      </c>
      <c r="V3084" s="6" t="inlineStr">
        <is>
          <t>remained in weekly selection</t>
        </is>
      </c>
    </row>
    <row r="3085">
      <c r="A3085" s="6" t="inlineStr">
        <is>
          <t>DJ30</t>
        </is>
      </c>
      <c r="B3085" s="6" t="inlineStr">
        <is>
          <t>2024-11-29</t>
        </is>
      </c>
      <c r="C3085" s="6" t="inlineStr">
        <is>
          <t>DIA</t>
        </is>
      </c>
      <c r="D3085" s="6" t="inlineStr">
        <is>
          <t>JNJ</t>
        </is>
      </c>
      <c r="E3085" s="6" t="inlineStr">
        <is>
          <t>JNJ</t>
        </is>
      </c>
      <c r="F3085" s="6" t="inlineStr">
        <is>
          <t>-</t>
        </is>
      </c>
      <c r="G3085" s="7" t="n">
        <v>148.7551116943359</v>
      </c>
      <c r="H3085" s="6">
        <f>P3054</f>
        <v/>
      </c>
      <c r="I3085" s="9">
        <f>Q3054</f>
        <v/>
      </c>
      <c r="J3085" s="7">
        <f>I3085*G3085</f>
        <v/>
      </c>
      <c r="K3085" s="8">
        <f>IF($J$3101=0,0,J3085/$J$3101)</f>
        <v/>
      </c>
      <c r="L3085" s="6" t="inlineStr">
        <is>
          <t>REJECTED</t>
        </is>
      </c>
      <c r="M3085" s="8" t="n">
        <v>0</v>
      </c>
      <c r="N3085" s="7">
        <f>M3085*$J$3101-J3085</f>
        <v/>
      </c>
      <c r="O3085" s="9">
        <f>IF(G3085=0,0,N3085/G3085)</f>
        <v/>
      </c>
      <c r="P3085" s="6">
        <f>IF(M3085&gt;0,D3085,"")</f>
        <v/>
      </c>
      <c r="Q3085" s="9">
        <f>I3085+O3085</f>
        <v/>
      </c>
      <c r="R3085" s="7">
        <f>Q3085*G3085</f>
        <v/>
      </c>
      <c r="S3085" s="8">
        <f>IF($R$3101=0,0,R3085/$R$3101)</f>
        <v/>
      </c>
      <c r="T3085" s="8" t="n">
        <v>0.01136919388238744</v>
      </c>
      <c r="U3085" s="8" t="n">
        <v>0.01563773096375298</v>
      </c>
      <c r="V3085" s="6" t="inlineStr">
        <is>
          <t>not selected</t>
        </is>
      </c>
    </row>
    <row r="3086">
      <c r="A3086" s="6" t="inlineStr">
        <is>
          <t>DJ30</t>
        </is>
      </c>
      <c r="B3086" s="6" t="inlineStr">
        <is>
          <t>2024-11-29</t>
        </is>
      </c>
      <c r="C3086" s="6" t="inlineStr">
        <is>
          <t>DIA</t>
        </is>
      </c>
      <c r="D3086" s="6" t="inlineStr">
        <is>
          <t>JPM</t>
        </is>
      </c>
      <c r="E3086" s="6" t="inlineStr">
        <is>
          <t>JPM</t>
        </is>
      </c>
      <c r="F3086" s="6" t="inlineStr">
        <is>
          <t>-</t>
        </is>
      </c>
      <c r="G3086" s="7" t="n">
        <v>242.2056121826172</v>
      </c>
      <c r="H3086" s="6">
        <f>P3055</f>
        <v/>
      </c>
      <c r="I3086" s="9">
        <f>Q3055</f>
        <v/>
      </c>
      <c r="J3086" s="7">
        <f>I3086*G3086</f>
        <v/>
      </c>
      <c r="K3086" s="8">
        <f>IF($J$3101=0,0,J3086/$J$3101)</f>
        <v/>
      </c>
      <c r="L3086" s="6" t="inlineStr">
        <is>
          <t>WATCHLIST</t>
        </is>
      </c>
      <c r="M3086" s="8" t="n">
        <v>0</v>
      </c>
      <c r="N3086" s="7">
        <f>M3086*$J$3101-J3086</f>
        <v/>
      </c>
      <c r="O3086" s="9">
        <f>IF(G3086=0,0,N3086/G3086)</f>
        <v/>
      </c>
      <c r="P3086" s="6">
        <f>IF(M3086&gt;0,D3086,"")</f>
        <v/>
      </c>
      <c r="Q3086" s="9">
        <f>I3086+O3086</f>
        <v/>
      </c>
      <c r="R3086" s="7">
        <f>Q3086*G3086</f>
        <v/>
      </c>
      <c r="S3086" s="8">
        <f>IF($R$3101=0,0,R3086/$R$3101)</f>
        <v/>
      </c>
      <c r="T3086" s="8" t="n">
        <v>0.01136919388238744</v>
      </c>
      <c r="U3086" s="8" t="n">
        <v>0.01563773096375298</v>
      </c>
      <c r="V3086" s="6" t="inlineStr">
        <is>
          <t>not selected</t>
        </is>
      </c>
    </row>
    <row r="3087">
      <c r="A3087" s="6" t="inlineStr">
        <is>
          <t>DJ30</t>
        </is>
      </c>
      <c r="B3087" s="6" t="inlineStr">
        <is>
          <t>2024-11-29</t>
        </is>
      </c>
      <c r="C3087" s="6" t="inlineStr">
        <is>
          <t>DIA</t>
        </is>
      </c>
      <c r="D3087" s="6" t="inlineStr">
        <is>
          <t>KO</t>
        </is>
      </c>
      <c r="E3087" s="6" t="inlineStr">
        <is>
          <t>KO</t>
        </is>
      </c>
      <c r="F3087" s="6" t="inlineStr">
        <is>
          <t>-</t>
        </is>
      </c>
      <c r="G3087" s="7" t="n">
        <v>61.4219856262207</v>
      </c>
      <c r="H3087" s="6">
        <f>P3056</f>
        <v/>
      </c>
      <c r="I3087" s="9">
        <f>Q3056</f>
        <v/>
      </c>
      <c r="J3087" s="7">
        <f>I3087*G3087</f>
        <v/>
      </c>
      <c r="K3087" s="8">
        <f>IF($J$3101=0,0,J3087/$J$3101)</f>
        <v/>
      </c>
      <c r="L3087" s="6" t="inlineStr">
        <is>
          <t>WATCHLIST</t>
        </is>
      </c>
      <c r="M3087" s="8" t="n">
        <v>0</v>
      </c>
      <c r="N3087" s="7">
        <f>M3087*$J$3101-J3087</f>
        <v/>
      </c>
      <c r="O3087" s="9">
        <f>IF(G3087=0,0,N3087/G3087)</f>
        <v/>
      </c>
      <c r="P3087" s="6">
        <f>IF(M3087&gt;0,D3087,"")</f>
        <v/>
      </c>
      <c r="Q3087" s="9">
        <f>I3087+O3087</f>
        <v/>
      </c>
      <c r="R3087" s="7">
        <f>Q3087*G3087</f>
        <v/>
      </c>
      <c r="S3087" s="8">
        <f>IF($R$3101=0,0,R3087/$R$3101)</f>
        <v/>
      </c>
      <c r="T3087" s="8" t="n">
        <v>0.01136919388238744</v>
      </c>
      <c r="U3087" s="8" t="n">
        <v>0.01563773096375298</v>
      </c>
      <c r="V3087" s="6" t="inlineStr">
        <is>
          <t>not selected</t>
        </is>
      </c>
    </row>
    <row r="3088">
      <c r="A3088" s="6" t="inlineStr">
        <is>
          <t>DJ30</t>
        </is>
      </c>
      <c r="B3088" s="6" t="inlineStr">
        <is>
          <t>2024-11-29</t>
        </is>
      </c>
      <c r="C3088" s="6" t="inlineStr">
        <is>
          <t>DIA</t>
        </is>
      </c>
      <c r="D3088" s="6" t="inlineStr">
        <is>
          <t>MCD</t>
        </is>
      </c>
      <c r="E3088" s="6" t="inlineStr">
        <is>
          <t>MCD</t>
        </is>
      </c>
      <c r="F3088" s="6" t="inlineStr">
        <is>
          <t>-</t>
        </is>
      </c>
      <c r="G3088" s="7" t="n">
        <v>284.0099182128906</v>
      </c>
      <c r="H3088" s="6">
        <f>P3057</f>
        <v/>
      </c>
      <c r="I3088" s="9">
        <f>Q3057</f>
        <v/>
      </c>
      <c r="J3088" s="7">
        <f>I3088*G3088</f>
        <v/>
      </c>
      <c r="K3088" s="8">
        <f>IF($J$3101=0,0,J3088/$J$3101)</f>
        <v/>
      </c>
      <c r="L3088" s="6" t="inlineStr">
        <is>
          <t>REJECTED</t>
        </is>
      </c>
      <c r="M3088" s="8" t="n">
        <v>0</v>
      </c>
      <c r="N3088" s="7">
        <f>M3088*$J$3101-J3088</f>
        <v/>
      </c>
      <c r="O3088" s="9">
        <f>IF(G3088=0,0,N3088/G3088)</f>
        <v/>
      </c>
      <c r="P3088" s="6">
        <f>IF(M3088&gt;0,D3088,"")</f>
        <v/>
      </c>
      <c r="Q3088" s="9">
        <f>I3088+O3088</f>
        <v/>
      </c>
      <c r="R3088" s="7">
        <f>Q3088*G3088</f>
        <v/>
      </c>
      <c r="S3088" s="8">
        <f>IF($R$3101=0,0,R3088/$R$3101)</f>
        <v/>
      </c>
      <c r="T3088" s="8" t="n">
        <v>0.01136919388238744</v>
      </c>
      <c r="U3088" s="8" t="n">
        <v>0.01563773096375298</v>
      </c>
      <c r="V3088" s="6" t="inlineStr">
        <is>
          <t>not selected</t>
        </is>
      </c>
    </row>
    <row r="3089">
      <c r="A3089" s="6" t="inlineStr">
        <is>
          <t>DJ30</t>
        </is>
      </c>
      <c r="B3089" s="6" t="inlineStr">
        <is>
          <t>2024-11-29</t>
        </is>
      </c>
      <c r="C3089" s="6" t="inlineStr">
        <is>
          <t>DIA</t>
        </is>
      </c>
      <c r="D3089" s="6" t="inlineStr">
        <is>
          <t>MMM</t>
        </is>
      </c>
      <c r="E3089" s="6" t="inlineStr">
        <is>
          <t>MMM</t>
        </is>
      </c>
      <c r="F3089" s="6" t="inlineStr">
        <is>
          <t>-</t>
        </is>
      </c>
      <c r="G3089" s="7" t="n">
        <v>129.7989349365234</v>
      </c>
      <c r="H3089" s="6">
        <f>P3058</f>
        <v/>
      </c>
      <c r="I3089" s="9">
        <f>Q3058</f>
        <v/>
      </c>
      <c r="J3089" s="7">
        <f>I3089*G3089</f>
        <v/>
      </c>
      <c r="K3089" s="8">
        <f>IF($J$3101=0,0,J3089/$J$3101)</f>
        <v/>
      </c>
      <c r="L3089" s="6" t="inlineStr">
        <is>
          <t>SELECTED</t>
        </is>
      </c>
      <c r="M3089" s="8" t="n">
        <v>0.2</v>
      </c>
      <c r="N3089" s="7">
        <f>M3089*$J$3101-J3089</f>
        <v/>
      </c>
      <c r="O3089" s="9">
        <f>IF(G3089=0,0,N3089/G3089)</f>
        <v/>
      </c>
      <c r="P3089" s="6">
        <f>IF(M3089&gt;0,D3089,"")</f>
        <v/>
      </c>
      <c r="Q3089" s="9">
        <f>I3089+O3089</f>
        <v/>
      </c>
      <c r="R3089" s="7">
        <f>Q3089*G3089</f>
        <v/>
      </c>
      <c r="S3089" s="8">
        <f>IF($R$3101=0,0,R3089/$R$3101)</f>
        <v/>
      </c>
      <c r="T3089" s="8" t="n">
        <v>0.01136919388238744</v>
      </c>
      <c r="U3089" s="8" t="n">
        <v>0.01563773096375298</v>
      </c>
      <c r="V3089" s="6" t="inlineStr">
        <is>
          <t>remained in weekly selection</t>
        </is>
      </c>
    </row>
    <row r="3090">
      <c r="A3090" s="6" t="inlineStr">
        <is>
          <t>DJ30</t>
        </is>
      </c>
      <c r="B3090" s="6" t="inlineStr">
        <is>
          <t>2024-11-29</t>
        </is>
      </c>
      <c r="C3090" s="6" t="inlineStr">
        <is>
          <t>DIA</t>
        </is>
      </c>
      <c r="D3090" s="6" t="inlineStr">
        <is>
          <t>MRK</t>
        </is>
      </c>
      <c r="E3090" s="6" t="inlineStr">
        <is>
          <t>MRK</t>
        </is>
      </c>
      <c r="F3090" s="6" t="inlineStr">
        <is>
          <t>-</t>
        </is>
      </c>
      <c r="G3090" s="7" t="n">
        <v>95.77623748779295</v>
      </c>
      <c r="H3090" s="6">
        <f>P3059</f>
        <v/>
      </c>
      <c r="I3090" s="9">
        <f>Q3059</f>
        <v/>
      </c>
      <c r="J3090" s="7">
        <f>I3090*G3090</f>
        <v/>
      </c>
      <c r="K3090" s="8">
        <f>IF($J$3101=0,0,J3090/$J$3101)</f>
        <v/>
      </c>
      <c r="L3090" s="6" t="inlineStr">
        <is>
          <t>REJECTED</t>
        </is>
      </c>
      <c r="M3090" s="8" t="n">
        <v>0</v>
      </c>
      <c r="N3090" s="7">
        <f>M3090*$J$3101-J3090</f>
        <v/>
      </c>
      <c r="O3090" s="9">
        <f>IF(G3090=0,0,N3090/G3090)</f>
        <v/>
      </c>
      <c r="P3090" s="6">
        <f>IF(M3090&gt;0,D3090,"")</f>
        <v/>
      </c>
      <c r="Q3090" s="9">
        <f>I3090+O3090</f>
        <v/>
      </c>
      <c r="R3090" s="7">
        <f>Q3090*G3090</f>
        <v/>
      </c>
      <c r="S3090" s="8">
        <f>IF($R$3101=0,0,R3090/$R$3101)</f>
        <v/>
      </c>
      <c r="T3090" s="8" t="n">
        <v>0.01136919388238744</v>
      </c>
      <c r="U3090" s="8" t="n">
        <v>0.01563773096375298</v>
      </c>
      <c r="V3090" s="6" t="inlineStr">
        <is>
          <t>not selected</t>
        </is>
      </c>
    </row>
    <row r="3091">
      <c r="A3091" s="6" t="inlineStr">
        <is>
          <t>DJ30</t>
        </is>
      </c>
      <c r="B3091" s="6" t="inlineStr">
        <is>
          <t>2024-11-29</t>
        </is>
      </c>
      <c r="C3091" s="6" t="inlineStr">
        <is>
          <t>DIA</t>
        </is>
      </c>
      <c r="D3091" s="6" t="inlineStr">
        <is>
          <t>MSFT</t>
        </is>
      </c>
      <c r="E3091" s="6" t="inlineStr">
        <is>
          <t>MSFT</t>
        </is>
      </c>
      <c r="F3091" s="6" t="inlineStr">
        <is>
          <t>-</t>
        </is>
      </c>
      <c r="G3091" s="7" t="n">
        <v>418.4954223632813</v>
      </c>
      <c r="H3091" s="6">
        <f>P3060</f>
        <v/>
      </c>
      <c r="I3091" s="9">
        <f>Q3060</f>
        <v/>
      </c>
      <c r="J3091" s="7">
        <f>I3091*G3091</f>
        <v/>
      </c>
      <c r="K3091" s="8">
        <f>IF($J$3101=0,0,J3091/$J$3101)</f>
        <v/>
      </c>
      <c r="L3091" s="6" t="inlineStr">
        <is>
          <t>WATCHLIST</t>
        </is>
      </c>
      <c r="M3091" s="8" t="n">
        <v>0</v>
      </c>
      <c r="N3091" s="7">
        <f>M3091*$J$3101-J3091</f>
        <v/>
      </c>
      <c r="O3091" s="9">
        <f>IF(G3091=0,0,N3091/G3091)</f>
        <v/>
      </c>
      <c r="P3091" s="6">
        <f>IF(M3091&gt;0,D3091,"")</f>
        <v/>
      </c>
      <c r="Q3091" s="9">
        <f>I3091+O3091</f>
        <v/>
      </c>
      <c r="R3091" s="7">
        <f>Q3091*G3091</f>
        <v/>
      </c>
      <c r="S3091" s="8">
        <f>IF($R$3101=0,0,R3091/$R$3101)</f>
        <v/>
      </c>
      <c r="T3091" s="8" t="n">
        <v>0.01136919388238744</v>
      </c>
      <c r="U3091" s="8" t="n">
        <v>0.01563773096375298</v>
      </c>
      <c r="V3091" s="6" t="inlineStr">
        <is>
          <t>not selected</t>
        </is>
      </c>
    </row>
    <row r="3092">
      <c r="A3092" s="6" t="inlineStr">
        <is>
          <t>DJ30</t>
        </is>
      </c>
      <c r="B3092" s="6" t="inlineStr">
        <is>
          <t>2024-11-29</t>
        </is>
      </c>
      <c r="C3092" s="6" t="inlineStr">
        <is>
          <t>DIA</t>
        </is>
      </c>
      <c r="D3092" s="6" t="inlineStr">
        <is>
          <t>NKE</t>
        </is>
      </c>
      <c r="E3092" s="6" t="inlineStr">
        <is>
          <t>NKE</t>
        </is>
      </c>
      <c r="F3092" s="6" t="inlineStr">
        <is>
          <t>-</t>
        </is>
      </c>
      <c r="G3092" s="7" t="n">
        <v>75.39173889160156</v>
      </c>
      <c r="H3092" s="6">
        <f>P3061</f>
        <v/>
      </c>
      <c r="I3092" s="9">
        <f>Q3061</f>
        <v/>
      </c>
      <c r="J3092" s="7">
        <f>I3092*G3092</f>
        <v/>
      </c>
      <c r="K3092" s="8">
        <f>IF($J$3101=0,0,J3092/$J$3101)</f>
        <v/>
      </c>
      <c r="L3092" s="6" t="inlineStr">
        <is>
          <t>REJECTED</t>
        </is>
      </c>
      <c r="M3092" s="8" t="n">
        <v>0</v>
      </c>
      <c r="N3092" s="7">
        <f>M3092*$J$3101-J3092</f>
        <v/>
      </c>
      <c r="O3092" s="9">
        <f>IF(G3092=0,0,N3092/G3092)</f>
        <v/>
      </c>
      <c r="P3092" s="6">
        <f>IF(M3092&gt;0,D3092,"")</f>
        <v/>
      </c>
      <c r="Q3092" s="9">
        <f>I3092+O3092</f>
        <v/>
      </c>
      <c r="R3092" s="7">
        <f>Q3092*G3092</f>
        <v/>
      </c>
      <c r="S3092" s="8">
        <f>IF($R$3101=0,0,R3092/$R$3101)</f>
        <v/>
      </c>
      <c r="T3092" s="8" t="n">
        <v>0.01136919388238744</v>
      </c>
      <c r="U3092" s="8" t="n">
        <v>0.01563773096375298</v>
      </c>
      <c r="V3092" s="6" t="inlineStr">
        <is>
          <t>not selected</t>
        </is>
      </c>
    </row>
    <row r="3093">
      <c r="A3093" s="6" t="inlineStr">
        <is>
          <t>DJ30</t>
        </is>
      </c>
      <c r="B3093" s="6" t="inlineStr">
        <is>
          <t>2024-11-29</t>
        </is>
      </c>
      <c r="C3093" s="6" t="inlineStr">
        <is>
          <t>DIA</t>
        </is>
      </c>
      <c r="D3093" s="6" t="inlineStr">
        <is>
          <t>NVDA</t>
        </is>
      </c>
      <c r="E3093" s="6" t="inlineStr">
        <is>
          <t>NVDA</t>
        </is>
      </c>
      <c r="F3093" s="6" t="inlineStr">
        <is>
          <t>-</t>
        </is>
      </c>
      <c r="G3093" s="7" t="n">
        <v>138.0343170166016</v>
      </c>
      <c r="H3093" s="6">
        <f>P3062</f>
        <v/>
      </c>
      <c r="I3093" s="9">
        <f>Q3062</f>
        <v/>
      </c>
      <c r="J3093" s="7">
        <f>I3093*G3093</f>
        <v/>
      </c>
      <c r="K3093" s="8">
        <f>IF($J$3101=0,0,J3093/$J$3101)</f>
        <v/>
      </c>
      <c r="L3093" s="6" t="inlineStr">
        <is>
          <t>SELECTED</t>
        </is>
      </c>
      <c r="M3093" s="8" t="n">
        <v>0.2</v>
      </c>
      <c r="N3093" s="7">
        <f>M3093*$J$3101-J3093</f>
        <v/>
      </c>
      <c r="O3093" s="9">
        <f>IF(G3093=0,0,N3093/G3093)</f>
        <v/>
      </c>
      <c r="P3093" s="6">
        <f>IF(M3093&gt;0,D3093,"")</f>
        <v/>
      </c>
      <c r="Q3093" s="9">
        <f>I3093+O3093</f>
        <v/>
      </c>
      <c r="R3093" s="7">
        <f>Q3093*G3093</f>
        <v/>
      </c>
      <c r="S3093" s="8">
        <f>IF($R$3101=0,0,R3093/$R$3101)</f>
        <v/>
      </c>
      <c r="T3093" s="8" t="n">
        <v>0.01136919388238744</v>
      </c>
      <c r="U3093" s="8" t="n">
        <v>0.01563773096375298</v>
      </c>
      <c r="V3093" s="6" t="inlineStr">
        <is>
          <t>remained in weekly selection</t>
        </is>
      </c>
    </row>
    <row r="3094">
      <c r="A3094" s="6" t="inlineStr">
        <is>
          <t>DJ30</t>
        </is>
      </c>
      <c r="B3094" s="6" t="inlineStr">
        <is>
          <t>2024-11-29</t>
        </is>
      </c>
      <c r="C3094" s="6" t="inlineStr">
        <is>
          <t>DIA</t>
        </is>
      </c>
      <c r="D3094" s="6" t="inlineStr">
        <is>
          <t>PG</t>
        </is>
      </c>
      <c r="E3094" s="6" t="inlineStr">
        <is>
          <t>PG</t>
        </is>
      </c>
      <c r="F3094" s="6" t="inlineStr">
        <is>
          <t>-</t>
        </is>
      </c>
      <c r="G3094" s="7" t="n">
        <v>172.1184997558594</v>
      </c>
      <c r="H3094" s="6">
        <f>P3063</f>
        <v/>
      </c>
      <c r="I3094" s="9">
        <f>Q3063</f>
        <v/>
      </c>
      <c r="J3094" s="7">
        <f>I3094*G3094</f>
        <v/>
      </c>
      <c r="K3094" s="8">
        <f>IF($J$3101=0,0,J3094/$J$3101)</f>
        <v/>
      </c>
      <c r="L3094" s="6" t="inlineStr">
        <is>
          <t>WATCHLIST</t>
        </is>
      </c>
      <c r="M3094" s="8" t="n">
        <v>0</v>
      </c>
      <c r="N3094" s="7">
        <f>M3094*$J$3101-J3094</f>
        <v/>
      </c>
      <c r="O3094" s="9">
        <f>IF(G3094=0,0,N3094/G3094)</f>
        <v/>
      </c>
      <c r="P3094" s="6">
        <f>IF(M3094&gt;0,D3094,"")</f>
        <v/>
      </c>
      <c r="Q3094" s="9">
        <f>I3094+O3094</f>
        <v/>
      </c>
      <c r="R3094" s="7">
        <f>Q3094*G3094</f>
        <v/>
      </c>
      <c r="S3094" s="8">
        <f>IF($R$3101=0,0,R3094/$R$3101)</f>
        <v/>
      </c>
      <c r="T3094" s="8" t="n">
        <v>0.01136919388238744</v>
      </c>
      <c r="U3094" s="8" t="n">
        <v>0.01563773096375298</v>
      </c>
      <c r="V3094" s="6" t="inlineStr">
        <is>
          <t>not selected</t>
        </is>
      </c>
    </row>
    <row r="3095">
      <c r="A3095" s="6" t="inlineStr">
        <is>
          <t>DJ30</t>
        </is>
      </c>
      <c r="B3095" s="6" t="inlineStr">
        <is>
          <t>2024-11-29</t>
        </is>
      </c>
      <c r="C3095" s="6" t="inlineStr">
        <is>
          <t>DIA</t>
        </is>
      </c>
      <c r="D3095" s="6" t="inlineStr">
        <is>
          <t>SHW</t>
        </is>
      </c>
      <c r="E3095" s="6" t="inlineStr">
        <is>
          <t>SHW</t>
        </is>
      </c>
      <c r="F3095" s="6" t="inlineStr">
        <is>
          <t>-</t>
        </is>
      </c>
      <c r="G3095" s="7" t="n">
        <v>392.0056762695313</v>
      </c>
      <c r="H3095" s="6">
        <f>P3064</f>
        <v/>
      </c>
      <c r="I3095" s="9">
        <f>Q3064</f>
        <v/>
      </c>
      <c r="J3095" s="7">
        <f>I3095*G3095</f>
        <v/>
      </c>
      <c r="K3095" s="8">
        <f>IF($J$3101=0,0,J3095/$J$3101)</f>
        <v/>
      </c>
      <c r="L3095" s="6" t="inlineStr">
        <is>
          <t>WATCHLIST</t>
        </is>
      </c>
      <c r="M3095" s="8" t="n">
        <v>0</v>
      </c>
      <c r="N3095" s="7">
        <f>M3095*$J$3101-J3095</f>
        <v/>
      </c>
      <c r="O3095" s="9">
        <f>IF(G3095=0,0,N3095/G3095)</f>
        <v/>
      </c>
      <c r="P3095" s="6">
        <f>IF(M3095&gt;0,D3095,"")</f>
        <v/>
      </c>
      <c r="Q3095" s="9">
        <f>I3095+O3095</f>
        <v/>
      </c>
      <c r="R3095" s="7">
        <f>Q3095*G3095</f>
        <v/>
      </c>
      <c r="S3095" s="8">
        <f>IF($R$3101=0,0,R3095/$R$3101)</f>
        <v/>
      </c>
      <c r="T3095" s="8" t="n">
        <v>0.01136919388238744</v>
      </c>
      <c r="U3095" s="8" t="n">
        <v>0.01563773096375298</v>
      </c>
      <c r="V3095" s="6" t="inlineStr">
        <is>
          <t>not selected</t>
        </is>
      </c>
    </row>
    <row r="3096">
      <c r="A3096" s="6" t="inlineStr">
        <is>
          <t>DJ30</t>
        </is>
      </c>
      <c r="B3096" s="6" t="inlineStr">
        <is>
          <t>2024-11-29</t>
        </is>
      </c>
      <c r="C3096" s="6" t="inlineStr">
        <is>
          <t>DIA</t>
        </is>
      </c>
      <c r="D3096" s="6" t="inlineStr">
        <is>
          <t>TRV</t>
        </is>
      </c>
      <c r="E3096" s="6" t="inlineStr">
        <is>
          <t>TRV</t>
        </is>
      </c>
      <c r="F3096" s="6" t="inlineStr">
        <is>
          <t>-</t>
        </is>
      </c>
      <c r="G3096" s="7" t="n">
        <v>258.65283203125</v>
      </c>
      <c r="H3096" s="6">
        <f>P3065</f>
        <v/>
      </c>
      <c r="I3096" s="9">
        <f>Q3065</f>
        <v/>
      </c>
      <c r="J3096" s="7">
        <f>I3096*G3096</f>
        <v/>
      </c>
      <c r="K3096" s="8">
        <f>IF($J$3101=0,0,J3096/$J$3101)</f>
        <v/>
      </c>
      <c r="L3096" s="6" t="inlineStr">
        <is>
          <t>SELECTED</t>
        </is>
      </c>
      <c r="M3096" s="8" t="n">
        <v>0.2</v>
      </c>
      <c r="N3096" s="7">
        <f>M3096*$J$3101-J3096</f>
        <v/>
      </c>
      <c r="O3096" s="9">
        <f>IF(G3096=0,0,N3096/G3096)</f>
        <v/>
      </c>
      <c r="P3096" s="6">
        <f>IF(M3096&gt;0,D3096,"")</f>
        <v/>
      </c>
      <c r="Q3096" s="9">
        <f>I3096+O3096</f>
        <v/>
      </c>
      <c r="R3096" s="7">
        <f>Q3096*G3096</f>
        <v/>
      </c>
      <c r="S3096" s="8">
        <f>IF($R$3101=0,0,R3096/$R$3101)</f>
        <v/>
      </c>
      <c r="T3096" s="8" t="n">
        <v>0.01136919388238744</v>
      </c>
      <c r="U3096" s="8" t="n">
        <v>0.01563773096375298</v>
      </c>
      <c r="V3096" s="6" t="inlineStr">
        <is>
          <t>remained in weekly selection</t>
        </is>
      </c>
    </row>
    <row r="3097">
      <c r="A3097" s="6" t="inlineStr">
        <is>
          <t>DJ30</t>
        </is>
      </c>
      <c r="B3097" s="6" t="inlineStr">
        <is>
          <t>2024-11-29</t>
        </is>
      </c>
      <c r="C3097" s="6" t="inlineStr">
        <is>
          <t>DIA</t>
        </is>
      </c>
      <c r="D3097" s="6" t="inlineStr">
        <is>
          <t>UNH</t>
        </is>
      </c>
      <c r="E3097" s="6" t="inlineStr">
        <is>
          <t>UNH</t>
        </is>
      </c>
      <c r="F3097" s="6" t="inlineStr">
        <is>
          <t>-</t>
        </is>
      </c>
      <c r="G3097" s="7" t="n">
        <v>585.3388061523438</v>
      </c>
      <c r="H3097" s="6">
        <f>P3066</f>
        <v/>
      </c>
      <c r="I3097" s="9">
        <f>Q3066</f>
        <v/>
      </c>
      <c r="J3097" s="7">
        <f>I3097*G3097</f>
        <v/>
      </c>
      <c r="K3097" s="8">
        <f>IF($J$3101=0,0,J3097/$J$3101)</f>
        <v/>
      </c>
      <c r="L3097" s="6" t="inlineStr">
        <is>
          <t>WATCHLIST</t>
        </is>
      </c>
      <c r="M3097" s="8" t="n">
        <v>0</v>
      </c>
      <c r="N3097" s="7">
        <f>M3097*$J$3101-J3097</f>
        <v/>
      </c>
      <c r="O3097" s="9">
        <f>IF(G3097=0,0,N3097/G3097)</f>
        <v/>
      </c>
      <c r="P3097" s="6">
        <f>IF(M3097&gt;0,D3097,"")</f>
        <v/>
      </c>
      <c r="Q3097" s="9">
        <f>I3097+O3097</f>
        <v/>
      </c>
      <c r="R3097" s="7">
        <f>Q3097*G3097</f>
        <v/>
      </c>
      <c r="S3097" s="8">
        <f>IF($R$3101=0,0,R3097/$R$3101)</f>
        <v/>
      </c>
      <c r="T3097" s="8" t="n">
        <v>0.01136919388238744</v>
      </c>
      <c r="U3097" s="8" t="n">
        <v>0.01563773096375298</v>
      </c>
      <c r="V3097" s="6" t="inlineStr">
        <is>
          <t>not selected</t>
        </is>
      </c>
    </row>
    <row r="3098">
      <c r="A3098" s="6" t="inlineStr">
        <is>
          <t>DJ30</t>
        </is>
      </c>
      <c r="B3098" s="6" t="inlineStr">
        <is>
          <t>2024-11-29</t>
        </is>
      </c>
      <c r="C3098" s="6" t="inlineStr">
        <is>
          <t>DIA</t>
        </is>
      </c>
      <c r="D3098" s="6" t="inlineStr">
        <is>
          <t>V</t>
        </is>
      </c>
      <c r="E3098" s="6" t="inlineStr">
        <is>
          <t>V</t>
        </is>
      </c>
      <c r="F3098" s="6" t="inlineStr">
        <is>
          <t>-</t>
        </is>
      </c>
      <c r="G3098" s="7" t="n">
        <v>311.5681762695312</v>
      </c>
      <c r="H3098" s="6">
        <f>P3067</f>
        <v/>
      </c>
      <c r="I3098" s="9">
        <f>Q3067</f>
        <v/>
      </c>
      <c r="J3098" s="7">
        <f>I3098*G3098</f>
        <v/>
      </c>
      <c r="K3098" s="8">
        <f>IF($J$3101=0,0,J3098/$J$3101)</f>
        <v/>
      </c>
      <c r="L3098" s="6" t="inlineStr">
        <is>
          <t>WATCHLIST</t>
        </is>
      </c>
      <c r="M3098" s="8" t="n">
        <v>0</v>
      </c>
      <c r="N3098" s="7">
        <f>M3098*$J$3101-J3098</f>
        <v/>
      </c>
      <c r="O3098" s="9">
        <f>IF(G3098=0,0,N3098/G3098)</f>
        <v/>
      </c>
      <c r="P3098" s="6">
        <f>IF(M3098&gt;0,D3098,"")</f>
        <v/>
      </c>
      <c r="Q3098" s="9">
        <f>I3098+O3098</f>
        <v/>
      </c>
      <c r="R3098" s="7">
        <f>Q3098*G3098</f>
        <v/>
      </c>
      <c r="S3098" s="8">
        <f>IF($R$3101=0,0,R3098/$R$3101)</f>
        <v/>
      </c>
      <c r="T3098" s="8" t="n">
        <v>0.01136919388238744</v>
      </c>
      <c r="U3098" s="8" t="n">
        <v>0.01563773096375298</v>
      </c>
      <c r="V3098" s="6" t="inlineStr">
        <is>
          <t>not selected</t>
        </is>
      </c>
    </row>
    <row r="3099">
      <c r="A3099" s="6" t="inlineStr">
        <is>
          <t>DJ30</t>
        </is>
      </c>
      <c r="B3099" s="6" t="inlineStr">
        <is>
          <t>2024-11-29</t>
        </is>
      </c>
      <c r="C3099" s="6" t="inlineStr">
        <is>
          <t>DIA</t>
        </is>
      </c>
      <c r="D3099" s="6" t="inlineStr">
        <is>
          <t>VZ</t>
        </is>
      </c>
      <c r="E3099" s="6" t="inlineStr">
        <is>
          <t>VZ</t>
        </is>
      </c>
      <c r="F3099" s="6" t="inlineStr">
        <is>
          <t>-</t>
        </is>
      </c>
      <c r="G3099" s="7" t="n">
        <v>40.17219161987305</v>
      </c>
      <c r="H3099" s="6">
        <f>P3068</f>
        <v/>
      </c>
      <c r="I3099" s="9">
        <f>Q3068</f>
        <v/>
      </c>
      <c r="J3099" s="7">
        <f>I3099*G3099</f>
        <v/>
      </c>
      <c r="K3099" s="8">
        <f>IF($J$3101=0,0,J3099/$J$3101)</f>
        <v/>
      </c>
      <c r="L3099" s="6" t="inlineStr">
        <is>
          <t>WATCHLIST</t>
        </is>
      </c>
      <c r="M3099" s="8" t="n">
        <v>0</v>
      </c>
      <c r="N3099" s="7">
        <f>M3099*$J$3101-J3099</f>
        <v/>
      </c>
      <c r="O3099" s="9">
        <f>IF(G3099=0,0,N3099/G3099)</f>
        <v/>
      </c>
      <c r="P3099" s="6">
        <f>IF(M3099&gt;0,D3099,"")</f>
        <v/>
      </c>
      <c r="Q3099" s="9">
        <f>I3099+O3099</f>
        <v/>
      </c>
      <c r="R3099" s="7">
        <f>Q3099*G3099</f>
        <v/>
      </c>
      <c r="S3099" s="8">
        <f>IF($R$3101=0,0,R3099/$R$3101)</f>
        <v/>
      </c>
      <c r="T3099" s="8" t="n">
        <v>0.01136919388238744</v>
      </c>
      <c r="U3099" s="8" t="n">
        <v>0.01563773096375298</v>
      </c>
      <c r="V3099" s="6" t="inlineStr">
        <is>
          <t>not selected</t>
        </is>
      </c>
    </row>
    <row r="3100">
      <c r="A3100" s="6" t="inlineStr">
        <is>
          <t>DJ30</t>
        </is>
      </c>
      <c r="B3100" s="6" t="inlineStr">
        <is>
          <t>2024-11-29</t>
        </is>
      </c>
      <c r="C3100" s="6" t="inlineStr">
        <is>
          <t>DIA</t>
        </is>
      </c>
      <c r="D3100" s="6" t="inlineStr">
        <is>
          <t>WMT</t>
        </is>
      </c>
      <c r="E3100" s="6" t="inlineStr">
        <is>
          <t>WMT</t>
        </is>
      </c>
      <c r="F3100" s="6" t="inlineStr">
        <is>
          <t>-</t>
        </is>
      </c>
      <c r="G3100" s="7" t="n">
        <v>91.05941772460938</v>
      </c>
      <c r="H3100" s="6">
        <f>P3069</f>
        <v/>
      </c>
      <c r="I3100" s="9">
        <f>Q3069</f>
        <v/>
      </c>
      <c r="J3100" s="7">
        <f>I3100*G3100</f>
        <v/>
      </c>
      <c r="K3100" s="8">
        <f>IF($J$3101=0,0,J3100/$J$3101)</f>
        <v/>
      </c>
      <c r="L3100" s="6" t="inlineStr">
        <is>
          <t>WATCHLIST</t>
        </is>
      </c>
      <c r="M3100" s="8" t="n">
        <v>0</v>
      </c>
      <c r="N3100" s="7">
        <f>M3100*$J$3101-J3100</f>
        <v/>
      </c>
      <c r="O3100" s="9">
        <f>IF(G3100=0,0,N3100/G3100)</f>
        <v/>
      </c>
      <c r="P3100" s="6">
        <f>IF(M3100&gt;0,D3100,"")</f>
        <v/>
      </c>
      <c r="Q3100" s="9">
        <f>I3100+O3100</f>
        <v/>
      </c>
      <c r="R3100" s="7">
        <f>Q3100*G3100</f>
        <v/>
      </c>
      <c r="S3100" s="8">
        <f>IF($R$3101=0,0,R3100/$R$3101)</f>
        <v/>
      </c>
      <c r="T3100" s="8" t="n">
        <v>0.01136919388238744</v>
      </c>
      <c r="U3100" s="8" t="n">
        <v>0.01563773096375298</v>
      </c>
      <c r="V3100" s="6" t="inlineStr">
        <is>
          <t>not selected</t>
        </is>
      </c>
    </row>
    <row r="3101">
      <c r="A3101" s="10" t="inlineStr">
        <is>
          <t>DJ30</t>
        </is>
      </c>
      <c r="B3101" s="10" t="inlineStr">
        <is>
          <t>2024-11-29</t>
        </is>
      </c>
      <c r="C3101" s="10" t="inlineStr">
        <is>
          <t>DIA</t>
        </is>
      </c>
      <c r="D3101" s="10" t="inlineStr">
        <is>
          <t>Tot Portfolio</t>
        </is>
      </c>
      <c r="E3101" s="10" t="inlineStr"/>
      <c r="F3101" s="10" t="inlineStr"/>
      <c r="G3101" s="11" t="inlineStr"/>
      <c r="H3101" s="10" t="inlineStr"/>
      <c r="I3101" s="12" t="inlineStr"/>
      <c r="J3101" s="11">
        <f>SUM(J3071:J3100)</f>
        <v/>
      </c>
      <c r="K3101" s="13">
        <f>SUM(K3071:K3100)</f>
        <v/>
      </c>
      <c r="L3101" s="10" t="inlineStr">
        <is>
          <t>TOTAL</t>
        </is>
      </c>
      <c r="M3101" s="13">
        <f>SUM(M3071:M3100)</f>
        <v/>
      </c>
      <c r="N3101" s="11">
        <f>SUM(N3071:N3100)</f>
        <v/>
      </c>
      <c r="O3101" s="12">
        <f>SUM(O3071:O3100)</f>
        <v/>
      </c>
      <c r="P3101" s="10" t="inlineStr"/>
      <c r="Q3101" s="12" t="inlineStr"/>
      <c r="R3101" s="11">
        <f>SUM(R3071:R3100)</f>
        <v/>
      </c>
      <c r="S3101" s="13">
        <f>SUM(S3071:S3100)</f>
        <v/>
      </c>
      <c r="T3101" s="13" t="n">
        <v>0.01136919388238744</v>
      </c>
      <c r="U3101" s="13" t="n">
        <v>0.01563773096375298</v>
      </c>
      <c r="V3101" s="10" t="inlineStr"/>
    </row>
    <row r="3102">
      <c r="A3102" s="6" t="inlineStr">
        <is>
          <t>DJ30</t>
        </is>
      </c>
      <c r="B3102" s="6" t="inlineStr">
        <is>
          <t>2024-12-06</t>
        </is>
      </c>
      <c r="C3102" s="6" t="inlineStr">
        <is>
          <t>DIA</t>
        </is>
      </c>
      <c r="D3102" s="6" t="inlineStr">
        <is>
          <t>AAPL</t>
        </is>
      </c>
      <c r="E3102" s="6" t="inlineStr">
        <is>
          <t>AAPL</t>
        </is>
      </c>
      <c r="F3102" s="6" t="inlineStr">
        <is>
          <t>-</t>
        </is>
      </c>
      <c r="G3102" s="7" t="n">
        <v>241.2983245849609</v>
      </c>
      <c r="H3102" s="6">
        <f>P3071</f>
        <v/>
      </c>
      <c r="I3102" s="9">
        <f>Q3071</f>
        <v/>
      </c>
      <c r="J3102" s="7">
        <f>I3102*G3102</f>
        <v/>
      </c>
      <c r="K3102" s="8">
        <f>IF($J$3132=0,0,J3102/$J$3132)</f>
        <v/>
      </c>
      <c r="L3102" s="6" t="inlineStr">
        <is>
          <t>SELECTED</t>
        </is>
      </c>
      <c r="M3102" s="8" t="n">
        <v>0.2</v>
      </c>
      <c r="N3102" s="7">
        <f>M3102*$J$3132-J3102</f>
        <v/>
      </c>
      <c r="O3102" s="9">
        <f>IF(G3102=0,0,N3102/G3102)</f>
        <v/>
      </c>
      <c r="P3102" s="6">
        <f>IF(M3102&gt;0,D3102,"")</f>
        <v/>
      </c>
      <c r="Q3102" s="9">
        <f>I3102+O3102</f>
        <v/>
      </c>
      <c r="R3102" s="7">
        <f>Q3102*G3102</f>
        <v/>
      </c>
      <c r="S3102" s="8">
        <f>IF($R$3132=0,0,R3102/$R$3132)</f>
        <v/>
      </c>
      <c r="T3102" s="8" t="n">
        <v>0.008773977171794067</v>
      </c>
      <c r="U3102" s="8" t="n">
        <v>-0.006532278713527018</v>
      </c>
      <c r="V3102" s="6" t="inlineStr">
        <is>
          <t>entered weekly selection</t>
        </is>
      </c>
    </row>
    <row r="3103">
      <c r="A3103" s="6" t="inlineStr">
        <is>
          <t>DJ30</t>
        </is>
      </c>
      <c r="B3103" s="6" t="inlineStr">
        <is>
          <t>2024-12-06</t>
        </is>
      </c>
      <c r="C3103" s="6" t="inlineStr">
        <is>
          <t>DIA</t>
        </is>
      </c>
      <c r="D3103" s="6" t="inlineStr">
        <is>
          <t>AMGN</t>
        </is>
      </c>
      <c r="E3103" s="6" t="inlineStr">
        <is>
          <t>AMGN</t>
        </is>
      </c>
      <c r="F3103" s="6" t="inlineStr">
        <is>
          <t>-</t>
        </is>
      </c>
      <c r="G3103" s="7" t="n">
        <v>260.2055969238281</v>
      </c>
      <c r="H3103" s="6">
        <f>P3072</f>
        <v/>
      </c>
      <c r="I3103" s="9">
        <f>Q3072</f>
        <v/>
      </c>
      <c r="J3103" s="7">
        <f>I3103*G3103</f>
        <v/>
      </c>
      <c r="K3103" s="8">
        <f>IF($J$3132=0,0,J3103/$J$3132)</f>
        <v/>
      </c>
      <c r="L3103" s="6" t="inlineStr">
        <is>
          <t>REJECTED</t>
        </is>
      </c>
      <c r="M3103" s="8" t="n">
        <v>0</v>
      </c>
      <c r="N3103" s="7">
        <f>M3103*$J$3132-J3103</f>
        <v/>
      </c>
      <c r="O3103" s="9">
        <f>IF(G3103=0,0,N3103/G3103)</f>
        <v/>
      </c>
      <c r="P3103" s="6">
        <f>IF(M3103&gt;0,D3103,"")</f>
        <v/>
      </c>
      <c r="Q3103" s="9">
        <f>I3103+O3103</f>
        <v/>
      </c>
      <c r="R3103" s="7">
        <f>Q3103*G3103</f>
        <v/>
      </c>
      <c r="S3103" s="8">
        <f>IF($R$3132=0,0,R3103/$R$3132)</f>
        <v/>
      </c>
      <c r="T3103" s="8" t="n">
        <v>0.008773977171794067</v>
      </c>
      <c r="U3103" s="8" t="n">
        <v>-0.006532278713527018</v>
      </c>
      <c r="V3103" s="6" t="inlineStr">
        <is>
          <t>not selected</t>
        </is>
      </c>
    </row>
    <row r="3104">
      <c r="A3104" s="6" t="inlineStr">
        <is>
          <t>DJ30</t>
        </is>
      </c>
      <c r="B3104" s="6" t="inlineStr">
        <is>
          <t>2024-12-06</t>
        </is>
      </c>
      <c r="C3104" s="6" t="inlineStr">
        <is>
          <t>DIA</t>
        </is>
      </c>
      <c r="D3104" s="6" t="inlineStr">
        <is>
          <t>AMZN</t>
        </is>
      </c>
      <c r="E3104" s="6" t="inlineStr">
        <is>
          <t>AMZN</t>
        </is>
      </c>
      <c r="F3104" s="6" t="inlineStr">
        <is>
          <t>-</t>
        </is>
      </c>
      <c r="G3104" s="7" t="n">
        <v>227.0299987792969</v>
      </c>
      <c r="H3104" s="6">
        <f>P3073</f>
        <v/>
      </c>
      <c r="I3104" s="9">
        <f>Q3073</f>
        <v/>
      </c>
      <c r="J3104" s="7">
        <f>I3104*G3104</f>
        <v/>
      </c>
      <c r="K3104" s="8">
        <f>IF($J$3132=0,0,J3104/$J$3132)</f>
        <v/>
      </c>
      <c r="L3104" s="6" t="inlineStr">
        <is>
          <t>WATCHLIST</t>
        </is>
      </c>
      <c r="M3104" s="8" t="n">
        <v>0</v>
      </c>
      <c r="N3104" s="7">
        <f>M3104*$J$3132-J3104</f>
        <v/>
      </c>
      <c r="O3104" s="9">
        <f>IF(G3104=0,0,N3104/G3104)</f>
        <v/>
      </c>
      <c r="P3104" s="6">
        <f>IF(M3104&gt;0,D3104,"")</f>
        <v/>
      </c>
      <c r="Q3104" s="9">
        <f>I3104+O3104</f>
        <v/>
      </c>
      <c r="R3104" s="7">
        <f>Q3104*G3104</f>
        <v/>
      </c>
      <c r="S3104" s="8">
        <f>IF($R$3132=0,0,R3104/$R$3132)</f>
        <v/>
      </c>
      <c r="T3104" s="8" t="n">
        <v>0.008773977171794067</v>
      </c>
      <c r="U3104" s="8" t="n">
        <v>-0.006532278713527018</v>
      </c>
      <c r="V3104" s="6" t="inlineStr">
        <is>
          <t>not selected</t>
        </is>
      </c>
    </row>
    <row r="3105">
      <c r="A3105" s="6" t="inlineStr">
        <is>
          <t>DJ30</t>
        </is>
      </c>
      <c r="B3105" s="6" t="inlineStr">
        <is>
          <t>2024-12-06</t>
        </is>
      </c>
      <c r="C3105" s="6" t="inlineStr">
        <is>
          <t>DIA</t>
        </is>
      </c>
      <c r="D3105" s="6" t="inlineStr">
        <is>
          <t>AXP</t>
        </is>
      </c>
      <c r="E3105" s="6" t="inlineStr">
        <is>
          <t>AXP</t>
        </is>
      </c>
      <c r="F3105" s="6" t="inlineStr">
        <is>
          <t>-</t>
        </is>
      </c>
      <c r="G3105" s="7" t="n">
        <v>299.1378784179688</v>
      </c>
      <c r="H3105" s="6">
        <f>P3074</f>
        <v/>
      </c>
      <c r="I3105" s="9">
        <f>Q3074</f>
        <v/>
      </c>
      <c r="J3105" s="7">
        <f>I3105*G3105</f>
        <v/>
      </c>
      <c r="K3105" s="8">
        <f>IF($J$3132=0,0,J3105/$J$3132)</f>
        <v/>
      </c>
      <c r="L3105" s="6" t="inlineStr">
        <is>
          <t>WATCHLIST</t>
        </is>
      </c>
      <c r="M3105" s="8" t="n">
        <v>0</v>
      </c>
      <c r="N3105" s="7">
        <f>M3105*$J$3132-J3105</f>
        <v/>
      </c>
      <c r="O3105" s="9">
        <f>IF(G3105=0,0,N3105/G3105)</f>
        <v/>
      </c>
      <c r="P3105" s="6">
        <f>IF(M3105&gt;0,D3105,"")</f>
        <v/>
      </c>
      <c r="Q3105" s="9">
        <f>I3105+O3105</f>
        <v/>
      </c>
      <c r="R3105" s="7">
        <f>Q3105*G3105</f>
        <v/>
      </c>
      <c r="S3105" s="8">
        <f>IF($R$3132=0,0,R3105/$R$3132)</f>
        <v/>
      </c>
      <c r="T3105" s="8" t="n">
        <v>0.008773977171794067</v>
      </c>
      <c r="U3105" s="8" t="n">
        <v>-0.006532278713527018</v>
      </c>
      <c r="V3105" s="6" t="inlineStr">
        <is>
          <t>not selected</t>
        </is>
      </c>
    </row>
    <row r="3106">
      <c r="A3106" s="6" t="inlineStr">
        <is>
          <t>DJ30</t>
        </is>
      </c>
      <c r="B3106" s="6" t="inlineStr">
        <is>
          <t>2024-12-06</t>
        </is>
      </c>
      <c r="C3106" s="6" t="inlineStr">
        <is>
          <t>DIA</t>
        </is>
      </c>
      <c r="D3106" s="6" t="inlineStr">
        <is>
          <t>BA</t>
        </is>
      </c>
      <c r="E3106" s="6" t="inlineStr">
        <is>
          <t>BA</t>
        </is>
      </c>
      <c r="F3106" s="6" t="inlineStr">
        <is>
          <t>-</t>
        </is>
      </c>
      <c r="G3106" s="7" t="n">
        <v>153.9299926757812</v>
      </c>
      <c r="H3106" s="6">
        <f>P3075</f>
        <v/>
      </c>
      <c r="I3106" s="9">
        <f>Q3075</f>
        <v/>
      </c>
      <c r="J3106" s="7">
        <f>I3106*G3106</f>
        <v/>
      </c>
      <c r="K3106" s="8">
        <f>IF($J$3132=0,0,J3106/$J$3132)</f>
        <v/>
      </c>
      <c r="L3106" s="6" t="inlineStr">
        <is>
          <t>REJECTED</t>
        </is>
      </c>
      <c r="M3106" s="8" t="n">
        <v>0</v>
      </c>
      <c r="N3106" s="7">
        <f>M3106*$J$3132-J3106</f>
        <v/>
      </c>
      <c r="O3106" s="9">
        <f>IF(G3106=0,0,N3106/G3106)</f>
        <v/>
      </c>
      <c r="P3106" s="6">
        <f>IF(M3106&gt;0,D3106,"")</f>
        <v/>
      </c>
      <c r="Q3106" s="9">
        <f>I3106+O3106</f>
        <v/>
      </c>
      <c r="R3106" s="7">
        <f>Q3106*G3106</f>
        <v/>
      </c>
      <c r="S3106" s="8">
        <f>IF($R$3132=0,0,R3106/$R$3132)</f>
        <v/>
      </c>
      <c r="T3106" s="8" t="n">
        <v>0.008773977171794067</v>
      </c>
      <c r="U3106" s="8" t="n">
        <v>-0.006532278713527018</v>
      </c>
      <c r="V3106" s="6" t="inlineStr">
        <is>
          <t>not selected</t>
        </is>
      </c>
    </row>
    <row r="3107">
      <c r="A3107" s="6" t="inlineStr">
        <is>
          <t>DJ30</t>
        </is>
      </c>
      <c r="B3107" s="6" t="inlineStr">
        <is>
          <t>2024-12-06</t>
        </is>
      </c>
      <c r="C3107" s="6" t="inlineStr">
        <is>
          <t>DIA</t>
        </is>
      </c>
      <c r="D3107" s="6" t="inlineStr">
        <is>
          <t>CAT</t>
        </is>
      </c>
      <c r="E3107" s="6" t="inlineStr">
        <is>
          <t>CAT</t>
        </is>
      </c>
      <c r="F3107" s="6" t="inlineStr">
        <is>
          <t>-</t>
        </is>
      </c>
      <c r="G3107" s="7" t="n">
        <v>387.5072326660156</v>
      </c>
      <c r="H3107" s="6">
        <f>P3076</f>
        <v/>
      </c>
      <c r="I3107" s="9">
        <f>Q3076</f>
        <v/>
      </c>
      <c r="J3107" s="7">
        <f>I3107*G3107</f>
        <v/>
      </c>
      <c r="K3107" s="8">
        <f>IF($J$3132=0,0,J3107/$J$3132)</f>
        <v/>
      </c>
      <c r="L3107" s="6" t="inlineStr">
        <is>
          <t>WATCHLIST</t>
        </is>
      </c>
      <c r="M3107" s="8" t="n">
        <v>0</v>
      </c>
      <c r="N3107" s="7">
        <f>M3107*$J$3132-J3107</f>
        <v/>
      </c>
      <c r="O3107" s="9">
        <f>IF(G3107=0,0,N3107/G3107)</f>
        <v/>
      </c>
      <c r="P3107" s="6">
        <f>IF(M3107&gt;0,D3107,"")</f>
        <v/>
      </c>
      <c r="Q3107" s="9">
        <f>I3107+O3107</f>
        <v/>
      </c>
      <c r="R3107" s="7">
        <f>Q3107*G3107</f>
        <v/>
      </c>
      <c r="S3107" s="8">
        <f>IF($R$3132=0,0,R3107/$R$3132)</f>
        <v/>
      </c>
      <c r="T3107" s="8" t="n">
        <v>0.008773977171794067</v>
      </c>
      <c r="U3107" s="8" t="n">
        <v>-0.006532278713527018</v>
      </c>
      <c r="V3107" s="6" t="inlineStr">
        <is>
          <t>not selected</t>
        </is>
      </c>
    </row>
    <row r="3108">
      <c r="A3108" s="6" t="inlineStr">
        <is>
          <t>DJ30</t>
        </is>
      </c>
      <c r="B3108" s="6" t="inlineStr">
        <is>
          <t>2024-12-06</t>
        </is>
      </c>
      <c r="C3108" s="6" t="inlineStr">
        <is>
          <t>DIA</t>
        </is>
      </c>
      <c r="D3108" s="6" t="inlineStr">
        <is>
          <t>CRM</t>
        </is>
      </c>
      <c r="E3108" s="6" t="inlineStr">
        <is>
          <t>CRM</t>
        </is>
      </c>
      <c r="F3108" s="6" t="inlineStr">
        <is>
          <t>-</t>
        </is>
      </c>
      <c r="G3108" s="7" t="n">
        <v>357.41357421875</v>
      </c>
      <c r="H3108" s="6">
        <f>P3077</f>
        <v/>
      </c>
      <c r="I3108" s="9">
        <f>Q3077</f>
        <v/>
      </c>
      <c r="J3108" s="7">
        <f>I3108*G3108</f>
        <v/>
      </c>
      <c r="K3108" s="8">
        <f>IF($J$3132=0,0,J3108/$J$3132)</f>
        <v/>
      </c>
      <c r="L3108" s="6" t="inlineStr">
        <is>
          <t>REJECTED</t>
        </is>
      </c>
      <c r="M3108" s="8" t="n">
        <v>0</v>
      </c>
      <c r="N3108" s="7">
        <f>M3108*$J$3132-J3108</f>
        <v/>
      </c>
      <c r="O3108" s="9">
        <f>IF(G3108=0,0,N3108/G3108)</f>
        <v/>
      </c>
      <c r="P3108" s="6">
        <f>IF(M3108&gt;0,D3108,"")</f>
        <v/>
      </c>
      <c r="Q3108" s="9">
        <f>I3108+O3108</f>
        <v/>
      </c>
      <c r="R3108" s="7">
        <f>Q3108*G3108</f>
        <v/>
      </c>
      <c r="S3108" s="8">
        <f>IF($R$3132=0,0,R3108/$R$3132)</f>
        <v/>
      </c>
      <c r="T3108" s="8" t="n">
        <v>0.008773977171794067</v>
      </c>
      <c r="U3108" s="8" t="n">
        <v>-0.006532278713527018</v>
      </c>
      <c r="V3108" s="6" t="inlineStr">
        <is>
          <t>not selected</t>
        </is>
      </c>
    </row>
    <row r="3109">
      <c r="A3109" s="6" t="inlineStr">
        <is>
          <t>DJ30</t>
        </is>
      </c>
      <c r="B3109" s="6" t="inlineStr">
        <is>
          <t>2024-12-06</t>
        </is>
      </c>
      <c r="C3109" s="6" t="inlineStr">
        <is>
          <t>DIA</t>
        </is>
      </c>
      <c r="D3109" s="6" t="inlineStr">
        <is>
          <t>CSCO</t>
        </is>
      </c>
      <c r="E3109" s="6" t="inlineStr">
        <is>
          <t>CSCO</t>
        </is>
      </c>
      <c r="F3109" s="6" t="inlineStr">
        <is>
          <t>-</t>
        </is>
      </c>
      <c r="G3109" s="7" t="n">
        <v>57.76064300537109</v>
      </c>
      <c r="H3109" s="6">
        <f>P3078</f>
        <v/>
      </c>
      <c r="I3109" s="9">
        <f>Q3078</f>
        <v/>
      </c>
      <c r="J3109" s="7">
        <f>I3109*G3109</f>
        <v/>
      </c>
      <c r="K3109" s="8">
        <f>IF($J$3132=0,0,J3109/$J$3132)</f>
        <v/>
      </c>
      <c r="L3109" s="6" t="inlineStr">
        <is>
          <t>WATCHLIST</t>
        </is>
      </c>
      <c r="M3109" s="8" t="n">
        <v>0</v>
      </c>
      <c r="N3109" s="7">
        <f>M3109*$J$3132-J3109</f>
        <v/>
      </c>
      <c r="O3109" s="9">
        <f>IF(G3109=0,0,N3109/G3109)</f>
        <v/>
      </c>
      <c r="P3109" s="6">
        <f>IF(M3109&gt;0,D3109,"")</f>
        <v/>
      </c>
      <c r="Q3109" s="9">
        <f>I3109+O3109</f>
        <v/>
      </c>
      <c r="R3109" s="7">
        <f>Q3109*G3109</f>
        <v/>
      </c>
      <c r="S3109" s="8">
        <f>IF($R$3132=0,0,R3109/$R$3132)</f>
        <v/>
      </c>
      <c r="T3109" s="8" t="n">
        <v>0.008773977171794067</v>
      </c>
      <c r="U3109" s="8" t="n">
        <v>-0.006532278713527018</v>
      </c>
      <c r="V3109" s="6" t="inlineStr">
        <is>
          <t>not selected</t>
        </is>
      </c>
    </row>
    <row r="3110">
      <c r="A3110" s="6" t="inlineStr">
        <is>
          <t>DJ30</t>
        </is>
      </c>
      <c r="B3110" s="6" t="inlineStr">
        <is>
          <t>2024-12-06</t>
        </is>
      </c>
      <c r="C3110" s="6" t="inlineStr">
        <is>
          <t>DIA</t>
        </is>
      </c>
      <c r="D3110" s="6" t="inlineStr">
        <is>
          <t>CVX</t>
        </is>
      </c>
      <c r="E3110" s="6" t="inlineStr">
        <is>
          <t>CVX</t>
        </is>
      </c>
      <c r="F3110" s="6" t="inlineStr">
        <is>
          <t>-</t>
        </is>
      </c>
      <c r="G3110" s="7" t="n">
        <v>145.5915985107422</v>
      </c>
      <c r="H3110" s="6">
        <f>P3079</f>
        <v/>
      </c>
      <c r="I3110" s="9">
        <f>Q3079</f>
        <v/>
      </c>
      <c r="J3110" s="7">
        <f>I3110*G3110</f>
        <v/>
      </c>
      <c r="K3110" s="8">
        <f>IF($J$3132=0,0,J3110/$J$3132)</f>
        <v/>
      </c>
      <c r="L3110" s="6" t="inlineStr">
        <is>
          <t>REJECTED</t>
        </is>
      </c>
      <c r="M3110" s="8" t="n">
        <v>0</v>
      </c>
      <c r="N3110" s="7">
        <f>M3110*$J$3132-J3110</f>
        <v/>
      </c>
      <c r="O3110" s="9">
        <f>IF(G3110=0,0,N3110/G3110)</f>
        <v/>
      </c>
      <c r="P3110" s="6">
        <f>IF(M3110&gt;0,D3110,"")</f>
        <v/>
      </c>
      <c r="Q3110" s="9">
        <f>I3110+O3110</f>
        <v/>
      </c>
      <c r="R3110" s="7">
        <f>Q3110*G3110</f>
        <v/>
      </c>
      <c r="S3110" s="8">
        <f>IF($R$3132=0,0,R3110/$R$3132)</f>
        <v/>
      </c>
      <c r="T3110" s="8" t="n">
        <v>0.008773977171794067</v>
      </c>
      <c r="U3110" s="8" t="n">
        <v>-0.006532278713527018</v>
      </c>
      <c r="V3110" s="6" t="inlineStr">
        <is>
          <t>not selected</t>
        </is>
      </c>
    </row>
    <row r="3111">
      <c r="A3111" s="6" t="inlineStr">
        <is>
          <t>DJ30</t>
        </is>
      </c>
      <c r="B3111" s="6" t="inlineStr">
        <is>
          <t>2024-12-06</t>
        </is>
      </c>
      <c r="C3111" s="6" t="inlineStr">
        <is>
          <t>DIA</t>
        </is>
      </c>
      <c r="D3111" s="6" t="inlineStr">
        <is>
          <t>DIS</t>
        </is>
      </c>
      <c r="E3111" s="6" t="inlineStr">
        <is>
          <t>DIS</t>
        </is>
      </c>
      <c r="F3111" s="6" t="inlineStr">
        <is>
          <t>-</t>
        </is>
      </c>
      <c r="G3111" s="7" t="n">
        <v>114.9438705444336</v>
      </c>
      <c r="H3111" s="6">
        <f>P3080</f>
        <v/>
      </c>
      <c r="I3111" s="9">
        <f>Q3080</f>
        <v/>
      </c>
      <c r="J3111" s="7">
        <f>I3111*G3111</f>
        <v/>
      </c>
      <c r="K3111" s="8">
        <f>IF($J$3132=0,0,J3111/$J$3132)</f>
        <v/>
      </c>
      <c r="L3111" s="6" t="inlineStr">
        <is>
          <t>REJECTED</t>
        </is>
      </c>
      <c r="M3111" s="8" t="n">
        <v>0</v>
      </c>
      <c r="N3111" s="7">
        <f>M3111*$J$3132-J3111</f>
        <v/>
      </c>
      <c r="O3111" s="9">
        <f>IF(G3111=0,0,N3111/G3111)</f>
        <v/>
      </c>
      <c r="P3111" s="6">
        <f>IF(M3111&gt;0,D3111,"")</f>
        <v/>
      </c>
      <c r="Q3111" s="9">
        <f>I3111+O3111</f>
        <v/>
      </c>
      <c r="R3111" s="7">
        <f>Q3111*G3111</f>
        <v/>
      </c>
      <c r="S3111" s="8">
        <f>IF($R$3132=0,0,R3111/$R$3132)</f>
        <v/>
      </c>
      <c r="T3111" s="8" t="n">
        <v>0.008773977171794067</v>
      </c>
      <c r="U3111" s="8" t="n">
        <v>-0.006532278713527018</v>
      </c>
      <c r="V3111" s="6" t="inlineStr">
        <is>
          <t>not selected</t>
        </is>
      </c>
    </row>
    <row r="3112">
      <c r="A3112" s="6" t="inlineStr">
        <is>
          <t>DJ30</t>
        </is>
      </c>
      <c r="B3112" s="6" t="inlineStr">
        <is>
          <t>2024-12-06</t>
        </is>
      </c>
      <c r="C3112" s="6" t="inlineStr">
        <is>
          <t>DIA</t>
        </is>
      </c>
      <c r="D3112" s="6" t="inlineStr">
        <is>
          <t>GS</t>
        </is>
      </c>
      <c r="E3112" s="6" t="inlineStr">
        <is>
          <t>GS</t>
        </is>
      </c>
      <c r="F3112" s="6" t="inlineStr">
        <is>
          <t>-</t>
        </is>
      </c>
      <c r="G3112" s="7" t="n">
        <v>582.0444946289062</v>
      </c>
      <c r="H3112" s="6">
        <f>P3081</f>
        <v/>
      </c>
      <c r="I3112" s="9">
        <f>Q3081</f>
        <v/>
      </c>
      <c r="J3112" s="7">
        <f>I3112*G3112</f>
        <v/>
      </c>
      <c r="K3112" s="8">
        <f>IF($J$3132=0,0,J3112/$J$3132)</f>
        <v/>
      </c>
      <c r="L3112" s="6" t="inlineStr">
        <is>
          <t>SELECTED</t>
        </is>
      </c>
      <c r="M3112" s="8" t="n">
        <v>0.2</v>
      </c>
      <c r="N3112" s="7">
        <f>M3112*$J$3132-J3112</f>
        <v/>
      </c>
      <c r="O3112" s="9">
        <f>IF(G3112=0,0,N3112/G3112)</f>
        <v/>
      </c>
      <c r="P3112" s="6">
        <f>IF(M3112&gt;0,D3112,"")</f>
        <v/>
      </c>
      <c r="Q3112" s="9">
        <f>I3112+O3112</f>
        <v/>
      </c>
      <c r="R3112" s="7">
        <f>Q3112*G3112</f>
        <v/>
      </c>
      <c r="S3112" s="8">
        <f>IF($R$3132=0,0,R3112/$R$3132)</f>
        <v/>
      </c>
      <c r="T3112" s="8" t="n">
        <v>0.008773977171794067</v>
      </c>
      <c r="U3112" s="8" t="n">
        <v>-0.006532278713527018</v>
      </c>
      <c r="V3112" s="6" t="inlineStr">
        <is>
          <t>remained in weekly selection</t>
        </is>
      </c>
    </row>
    <row r="3113">
      <c r="A3113" s="6" t="inlineStr">
        <is>
          <t>DJ30</t>
        </is>
      </c>
      <c r="B3113" s="6" t="inlineStr">
        <is>
          <t>2024-12-06</t>
        </is>
      </c>
      <c r="C3113" s="6" t="inlineStr">
        <is>
          <t>DIA</t>
        </is>
      </c>
      <c r="D3113" s="6" t="inlineStr">
        <is>
          <t>HD</t>
        </is>
      </c>
      <c r="E3113" s="6" t="inlineStr">
        <is>
          <t>HD</t>
        </is>
      </c>
      <c r="F3113" s="6" t="inlineStr">
        <is>
          <t>-</t>
        </is>
      </c>
      <c r="G3113" s="7" t="n">
        <v>414.9692993164063</v>
      </c>
      <c r="H3113" s="6">
        <f>P3082</f>
        <v/>
      </c>
      <c r="I3113" s="9">
        <f>Q3082</f>
        <v/>
      </c>
      <c r="J3113" s="7">
        <f>I3113*G3113</f>
        <v/>
      </c>
      <c r="K3113" s="8">
        <f>IF($J$3132=0,0,J3113/$J$3132)</f>
        <v/>
      </c>
      <c r="L3113" s="6" t="inlineStr">
        <is>
          <t>WATCHLIST</t>
        </is>
      </c>
      <c r="M3113" s="8" t="n">
        <v>0</v>
      </c>
      <c r="N3113" s="7">
        <f>M3113*$J$3132-J3113</f>
        <v/>
      </c>
      <c r="O3113" s="9">
        <f>IF(G3113=0,0,N3113/G3113)</f>
        <v/>
      </c>
      <c r="P3113" s="6">
        <f>IF(M3113&gt;0,D3113,"")</f>
        <v/>
      </c>
      <c r="Q3113" s="9">
        <f>I3113+O3113</f>
        <v/>
      </c>
      <c r="R3113" s="7">
        <f>Q3113*G3113</f>
        <v/>
      </c>
      <c r="S3113" s="8">
        <f>IF($R$3132=0,0,R3113/$R$3132)</f>
        <v/>
      </c>
      <c r="T3113" s="8" t="n">
        <v>0.008773977171794067</v>
      </c>
      <c r="U3113" s="8" t="n">
        <v>-0.006532278713527018</v>
      </c>
      <c r="V3113" s="6" t="inlineStr">
        <is>
          <t>not selected</t>
        </is>
      </c>
    </row>
    <row r="3114">
      <c r="A3114" s="6" t="inlineStr">
        <is>
          <t>DJ30</t>
        </is>
      </c>
      <c r="B3114" s="6" t="inlineStr">
        <is>
          <t>2024-12-06</t>
        </is>
      </c>
      <c r="C3114" s="6" t="inlineStr">
        <is>
          <t>DIA</t>
        </is>
      </c>
      <c r="D3114" s="6" t="inlineStr">
        <is>
          <t>HON</t>
        </is>
      </c>
      <c r="E3114" s="6" t="inlineStr">
        <is>
          <t>HON</t>
        </is>
      </c>
      <c r="F3114" s="6" t="inlineStr">
        <is>
          <t>-</t>
        </is>
      </c>
      <c r="G3114" s="7" t="n">
        <v>206.6387329101562</v>
      </c>
      <c r="H3114" s="6">
        <f>P3083</f>
        <v/>
      </c>
      <c r="I3114" s="9">
        <f>Q3083</f>
        <v/>
      </c>
      <c r="J3114" s="7">
        <f>I3114*G3114</f>
        <v/>
      </c>
      <c r="K3114" s="8">
        <f>IF($J$3132=0,0,J3114/$J$3132)</f>
        <v/>
      </c>
      <c r="L3114" s="6" t="inlineStr">
        <is>
          <t>WATCHLIST</t>
        </is>
      </c>
      <c r="M3114" s="8" t="n">
        <v>0</v>
      </c>
      <c r="N3114" s="7">
        <f>M3114*$J$3132-J3114</f>
        <v/>
      </c>
      <c r="O3114" s="9">
        <f>IF(G3114=0,0,N3114/G3114)</f>
        <v/>
      </c>
      <c r="P3114" s="6">
        <f>IF(M3114&gt;0,D3114,"")</f>
        <v/>
      </c>
      <c r="Q3114" s="9">
        <f>I3114+O3114</f>
        <v/>
      </c>
      <c r="R3114" s="7">
        <f>Q3114*G3114</f>
        <v/>
      </c>
      <c r="S3114" s="8">
        <f>IF($R$3132=0,0,R3114/$R$3132)</f>
        <v/>
      </c>
      <c r="T3114" s="8" t="n">
        <v>0.008773977171794067</v>
      </c>
      <c r="U3114" s="8" t="n">
        <v>-0.006532278713527018</v>
      </c>
      <c r="V3114" s="6" t="inlineStr">
        <is>
          <t>not selected</t>
        </is>
      </c>
    </row>
    <row r="3115">
      <c r="A3115" s="6" t="inlineStr">
        <is>
          <t>DJ30</t>
        </is>
      </c>
      <c r="B3115" s="6" t="inlineStr">
        <is>
          <t>2024-12-06</t>
        </is>
      </c>
      <c r="C3115" s="6" t="inlineStr">
        <is>
          <t>DIA</t>
        </is>
      </c>
      <c r="D3115" s="6" t="inlineStr">
        <is>
          <t>IBM</t>
        </is>
      </c>
      <c r="E3115" s="6" t="inlineStr">
        <is>
          <t>IBM</t>
        </is>
      </c>
      <c r="F3115" s="6" t="inlineStr">
        <is>
          <t>-</t>
        </is>
      </c>
      <c r="G3115" s="7" t="n">
        <v>229.0432739257812</v>
      </c>
      <c r="H3115" s="6">
        <f>P3084</f>
        <v/>
      </c>
      <c r="I3115" s="9">
        <f>Q3084</f>
        <v/>
      </c>
      <c r="J3115" s="7">
        <f>I3115*G3115</f>
        <v/>
      </c>
      <c r="K3115" s="8">
        <f>IF($J$3132=0,0,J3115/$J$3132)</f>
        <v/>
      </c>
      <c r="L3115" s="6" t="inlineStr">
        <is>
          <t>SELECTED</t>
        </is>
      </c>
      <c r="M3115" s="8" t="n">
        <v>0.2</v>
      </c>
      <c r="N3115" s="7">
        <f>M3115*$J$3132-J3115</f>
        <v/>
      </c>
      <c r="O3115" s="9">
        <f>IF(G3115=0,0,N3115/G3115)</f>
        <v/>
      </c>
      <c r="P3115" s="6">
        <f>IF(M3115&gt;0,D3115,"")</f>
        <v/>
      </c>
      <c r="Q3115" s="9">
        <f>I3115+O3115</f>
        <v/>
      </c>
      <c r="R3115" s="7">
        <f>Q3115*G3115</f>
        <v/>
      </c>
      <c r="S3115" s="8">
        <f>IF($R$3132=0,0,R3115/$R$3132)</f>
        <v/>
      </c>
      <c r="T3115" s="8" t="n">
        <v>0.008773977171794067</v>
      </c>
      <c r="U3115" s="8" t="n">
        <v>-0.006532278713527018</v>
      </c>
      <c r="V3115" s="6" t="inlineStr">
        <is>
          <t>remained in weekly selection</t>
        </is>
      </c>
    </row>
    <row r="3116">
      <c r="A3116" s="6" t="inlineStr">
        <is>
          <t>DJ30</t>
        </is>
      </c>
      <c r="B3116" s="6" t="inlineStr">
        <is>
          <t>2024-12-06</t>
        </is>
      </c>
      <c r="C3116" s="6" t="inlineStr">
        <is>
          <t>DIA</t>
        </is>
      </c>
      <c r="D3116" s="6" t="inlineStr">
        <is>
          <t>JNJ</t>
        </is>
      </c>
      <c r="E3116" s="6" t="inlineStr">
        <is>
          <t>JNJ</t>
        </is>
      </c>
      <c r="F3116" s="6" t="inlineStr">
        <is>
          <t>-</t>
        </is>
      </c>
      <c r="G3116" s="7" t="n">
        <v>143.2851104736328</v>
      </c>
      <c r="H3116" s="6">
        <f>P3085</f>
        <v/>
      </c>
      <c r="I3116" s="9">
        <f>Q3085</f>
        <v/>
      </c>
      <c r="J3116" s="7">
        <f>I3116*G3116</f>
        <v/>
      </c>
      <c r="K3116" s="8">
        <f>IF($J$3132=0,0,J3116/$J$3132)</f>
        <v/>
      </c>
      <c r="L3116" s="6" t="inlineStr">
        <is>
          <t>REJECTED</t>
        </is>
      </c>
      <c r="M3116" s="8" t="n">
        <v>0</v>
      </c>
      <c r="N3116" s="7">
        <f>M3116*$J$3132-J3116</f>
        <v/>
      </c>
      <c r="O3116" s="9">
        <f>IF(G3116=0,0,N3116/G3116)</f>
        <v/>
      </c>
      <c r="P3116" s="6">
        <f>IF(M3116&gt;0,D3116,"")</f>
        <v/>
      </c>
      <c r="Q3116" s="9">
        <f>I3116+O3116</f>
        <v/>
      </c>
      <c r="R3116" s="7">
        <f>Q3116*G3116</f>
        <v/>
      </c>
      <c r="S3116" s="8">
        <f>IF($R$3132=0,0,R3116/$R$3132)</f>
        <v/>
      </c>
      <c r="T3116" s="8" t="n">
        <v>0.008773977171794067</v>
      </c>
      <c r="U3116" s="8" t="n">
        <v>-0.006532278713527018</v>
      </c>
      <c r="V3116" s="6" t="inlineStr">
        <is>
          <t>not selected</t>
        </is>
      </c>
    </row>
    <row r="3117">
      <c r="A3117" s="6" t="inlineStr">
        <is>
          <t>DJ30</t>
        </is>
      </c>
      <c r="B3117" s="6" t="inlineStr">
        <is>
          <t>2024-12-06</t>
        </is>
      </c>
      <c r="C3117" s="6" t="inlineStr">
        <is>
          <t>DIA</t>
        </is>
      </c>
      <c r="D3117" s="6" t="inlineStr">
        <is>
          <t>JPM</t>
        </is>
      </c>
      <c r="E3117" s="6" t="inlineStr">
        <is>
          <t>JPM</t>
        </is>
      </c>
      <c r="F3117" s="6" t="inlineStr">
        <is>
          <t>-</t>
        </is>
      </c>
      <c r="G3117" s="7" t="n">
        <v>239.9166259765625</v>
      </c>
      <c r="H3117" s="6">
        <f>P3086</f>
        <v/>
      </c>
      <c r="I3117" s="9">
        <f>Q3086</f>
        <v/>
      </c>
      <c r="J3117" s="7">
        <f>I3117*G3117</f>
        <v/>
      </c>
      <c r="K3117" s="8">
        <f>IF($J$3132=0,0,J3117/$J$3132)</f>
        <v/>
      </c>
      <c r="L3117" s="6" t="inlineStr">
        <is>
          <t>WATCHLIST</t>
        </is>
      </c>
      <c r="M3117" s="8" t="n">
        <v>0</v>
      </c>
      <c r="N3117" s="7">
        <f>M3117*$J$3132-J3117</f>
        <v/>
      </c>
      <c r="O3117" s="9">
        <f>IF(G3117=0,0,N3117/G3117)</f>
        <v/>
      </c>
      <c r="P3117" s="6">
        <f>IF(M3117&gt;0,D3117,"")</f>
        <v/>
      </c>
      <c r="Q3117" s="9">
        <f>I3117+O3117</f>
        <v/>
      </c>
      <c r="R3117" s="7">
        <f>Q3117*G3117</f>
        <v/>
      </c>
      <c r="S3117" s="8">
        <f>IF($R$3132=0,0,R3117/$R$3132)</f>
        <v/>
      </c>
      <c r="T3117" s="8" t="n">
        <v>0.008773977171794067</v>
      </c>
      <c r="U3117" s="8" t="n">
        <v>-0.006532278713527018</v>
      </c>
      <c r="V3117" s="6" t="inlineStr">
        <is>
          <t>not selected</t>
        </is>
      </c>
    </row>
    <row r="3118">
      <c r="A3118" s="6" t="inlineStr">
        <is>
          <t>DJ30</t>
        </is>
      </c>
      <c r="B3118" s="6" t="inlineStr">
        <is>
          <t>2024-12-06</t>
        </is>
      </c>
      <c r="C3118" s="6" t="inlineStr">
        <is>
          <t>DIA</t>
        </is>
      </c>
      <c r="D3118" s="6" t="inlineStr">
        <is>
          <t>KO</t>
        </is>
      </c>
      <c r="E3118" s="6" t="inlineStr">
        <is>
          <t>KO</t>
        </is>
      </c>
      <c r="F3118" s="6" t="inlineStr">
        <is>
          <t>-</t>
        </is>
      </c>
      <c r="G3118" s="7" t="n">
        <v>59.93628311157227</v>
      </c>
      <c r="H3118" s="6">
        <f>P3087</f>
        <v/>
      </c>
      <c r="I3118" s="9">
        <f>Q3087</f>
        <v/>
      </c>
      <c r="J3118" s="7">
        <f>I3118*G3118</f>
        <v/>
      </c>
      <c r="K3118" s="8">
        <f>IF($J$3132=0,0,J3118/$J$3132)</f>
        <v/>
      </c>
      <c r="L3118" s="6" t="inlineStr">
        <is>
          <t>WATCHLIST</t>
        </is>
      </c>
      <c r="M3118" s="8" t="n">
        <v>0</v>
      </c>
      <c r="N3118" s="7">
        <f>M3118*$J$3132-J3118</f>
        <v/>
      </c>
      <c r="O3118" s="9">
        <f>IF(G3118=0,0,N3118/G3118)</f>
        <v/>
      </c>
      <c r="P3118" s="6">
        <f>IF(M3118&gt;0,D3118,"")</f>
        <v/>
      </c>
      <c r="Q3118" s="9">
        <f>I3118+O3118</f>
        <v/>
      </c>
      <c r="R3118" s="7">
        <f>Q3118*G3118</f>
        <v/>
      </c>
      <c r="S3118" s="8">
        <f>IF($R$3132=0,0,R3118/$R$3132)</f>
        <v/>
      </c>
      <c r="T3118" s="8" t="n">
        <v>0.008773977171794067</v>
      </c>
      <c r="U3118" s="8" t="n">
        <v>-0.006532278713527018</v>
      </c>
      <c r="V3118" s="6" t="inlineStr">
        <is>
          <t>not selected</t>
        </is>
      </c>
    </row>
    <row r="3119">
      <c r="A3119" s="6" t="inlineStr">
        <is>
          <t>DJ30</t>
        </is>
      </c>
      <c r="B3119" s="6" t="inlineStr">
        <is>
          <t>2024-12-06</t>
        </is>
      </c>
      <c r="C3119" s="6" t="inlineStr">
        <is>
          <t>DIA</t>
        </is>
      </c>
      <c r="D3119" s="6" t="inlineStr">
        <is>
          <t>MCD</t>
        </is>
      </c>
      <c r="E3119" s="6" t="inlineStr">
        <is>
          <t>MCD</t>
        </is>
      </c>
      <c r="F3119" s="6" t="inlineStr">
        <is>
          <t>-</t>
        </is>
      </c>
      <c r="G3119" s="7" t="n">
        <v>288.5850830078125</v>
      </c>
      <c r="H3119" s="6">
        <f>P3088</f>
        <v/>
      </c>
      <c r="I3119" s="9">
        <f>Q3088</f>
        <v/>
      </c>
      <c r="J3119" s="7">
        <f>I3119*G3119</f>
        <v/>
      </c>
      <c r="K3119" s="8">
        <f>IF($J$3132=0,0,J3119/$J$3132)</f>
        <v/>
      </c>
      <c r="L3119" s="6" t="inlineStr">
        <is>
          <t>REJECTED</t>
        </is>
      </c>
      <c r="M3119" s="8" t="n">
        <v>0</v>
      </c>
      <c r="N3119" s="7">
        <f>M3119*$J$3132-J3119</f>
        <v/>
      </c>
      <c r="O3119" s="9">
        <f>IF(G3119=0,0,N3119/G3119)</f>
        <v/>
      </c>
      <c r="P3119" s="6">
        <f>IF(M3119&gt;0,D3119,"")</f>
        <v/>
      </c>
      <c r="Q3119" s="9">
        <f>I3119+O3119</f>
        <v/>
      </c>
      <c r="R3119" s="7">
        <f>Q3119*G3119</f>
        <v/>
      </c>
      <c r="S3119" s="8">
        <f>IF($R$3132=0,0,R3119/$R$3132)</f>
        <v/>
      </c>
      <c r="T3119" s="8" t="n">
        <v>0.008773977171794067</v>
      </c>
      <c r="U3119" s="8" t="n">
        <v>-0.006532278713527018</v>
      </c>
      <c r="V3119" s="6" t="inlineStr">
        <is>
          <t>not selected</t>
        </is>
      </c>
    </row>
    <row r="3120">
      <c r="A3120" s="6" t="inlineStr">
        <is>
          <t>DJ30</t>
        </is>
      </c>
      <c r="B3120" s="6" t="inlineStr">
        <is>
          <t>2024-12-06</t>
        </is>
      </c>
      <c r="C3120" s="6" t="inlineStr">
        <is>
          <t>DIA</t>
        </is>
      </c>
      <c r="D3120" s="6" t="inlineStr">
        <is>
          <t>MMM</t>
        </is>
      </c>
      <c r="E3120" s="6" t="inlineStr">
        <is>
          <t>MMM</t>
        </is>
      </c>
      <c r="F3120" s="6" t="inlineStr">
        <is>
          <t>-</t>
        </is>
      </c>
      <c r="G3120" s="7" t="n">
        <v>129.3906860351562</v>
      </c>
      <c r="H3120" s="6">
        <f>P3089</f>
        <v/>
      </c>
      <c r="I3120" s="9">
        <f>Q3089</f>
        <v/>
      </c>
      <c r="J3120" s="7">
        <f>I3120*G3120</f>
        <v/>
      </c>
      <c r="K3120" s="8">
        <f>IF($J$3132=0,0,J3120/$J$3132)</f>
        <v/>
      </c>
      <c r="L3120" s="6" t="inlineStr">
        <is>
          <t>SELECTED</t>
        </is>
      </c>
      <c r="M3120" s="8" t="n">
        <v>0.2</v>
      </c>
      <c r="N3120" s="7">
        <f>M3120*$J$3132-J3120</f>
        <v/>
      </c>
      <c r="O3120" s="9">
        <f>IF(G3120=0,0,N3120/G3120)</f>
        <v/>
      </c>
      <c r="P3120" s="6">
        <f>IF(M3120&gt;0,D3120,"")</f>
        <v/>
      </c>
      <c r="Q3120" s="9">
        <f>I3120+O3120</f>
        <v/>
      </c>
      <c r="R3120" s="7">
        <f>Q3120*G3120</f>
        <v/>
      </c>
      <c r="S3120" s="8">
        <f>IF($R$3132=0,0,R3120/$R$3132)</f>
        <v/>
      </c>
      <c r="T3120" s="8" t="n">
        <v>0.008773977171794067</v>
      </c>
      <c r="U3120" s="8" t="n">
        <v>-0.006532278713527018</v>
      </c>
      <c r="V3120" s="6" t="inlineStr">
        <is>
          <t>remained in weekly selection</t>
        </is>
      </c>
    </row>
    <row r="3121">
      <c r="A3121" s="6" t="inlineStr">
        <is>
          <t>DJ30</t>
        </is>
      </c>
      <c r="B3121" s="6" t="inlineStr">
        <is>
          <t>2024-12-06</t>
        </is>
      </c>
      <c r="C3121" s="6" t="inlineStr">
        <is>
          <t>DIA</t>
        </is>
      </c>
      <c r="D3121" s="6" t="inlineStr">
        <is>
          <t>MRK</t>
        </is>
      </c>
      <c r="E3121" s="6" t="inlineStr">
        <is>
          <t>MRK</t>
        </is>
      </c>
      <c r="F3121" s="6" t="inlineStr">
        <is>
          <t>-</t>
        </is>
      </c>
      <c r="G3121" s="7" t="n">
        <v>97.14258575439452</v>
      </c>
      <c r="H3121" s="6">
        <f>P3090</f>
        <v/>
      </c>
      <c r="I3121" s="9">
        <f>Q3090</f>
        <v/>
      </c>
      <c r="J3121" s="7">
        <f>I3121*G3121</f>
        <v/>
      </c>
      <c r="K3121" s="8">
        <f>IF($J$3132=0,0,J3121/$J$3132)</f>
        <v/>
      </c>
      <c r="L3121" s="6" t="inlineStr">
        <is>
          <t>REJECTED</t>
        </is>
      </c>
      <c r="M3121" s="8" t="n">
        <v>0</v>
      </c>
      <c r="N3121" s="7">
        <f>M3121*$J$3132-J3121</f>
        <v/>
      </c>
      <c r="O3121" s="9">
        <f>IF(G3121=0,0,N3121/G3121)</f>
        <v/>
      </c>
      <c r="P3121" s="6">
        <f>IF(M3121&gt;0,D3121,"")</f>
        <v/>
      </c>
      <c r="Q3121" s="9">
        <f>I3121+O3121</f>
        <v/>
      </c>
      <c r="R3121" s="7">
        <f>Q3121*G3121</f>
        <v/>
      </c>
      <c r="S3121" s="8">
        <f>IF($R$3132=0,0,R3121/$R$3132)</f>
        <v/>
      </c>
      <c r="T3121" s="8" t="n">
        <v>0.008773977171794067</v>
      </c>
      <c r="U3121" s="8" t="n">
        <v>-0.006532278713527018</v>
      </c>
      <c r="V3121" s="6" t="inlineStr">
        <is>
          <t>not selected</t>
        </is>
      </c>
    </row>
    <row r="3122">
      <c r="A3122" s="6" t="inlineStr">
        <is>
          <t>DJ30</t>
        </is>
      </c>
      <c r="B3122" s="6" t="inlineStr">
        <is>
          <t>2024-12-06</t>
        </is>
      </c>
      <c r="C3122" s="6" t="inlineStr">
        <is>
          <t>DIA</t>
        </is>
      </c>
      <c r="D3122" s="6" t="inlineStr">
        <is>
          <t>MSFT</t>
        </is>
      </c>
      <c r="E3122" s="6" t="inlineStr">
        <is>
          <t>MSFT</t>
        </is>
      </c>
      <c r="F3122" s="6" t="inlineStr">
        <is>
          <t>-</t>
        </is>
      </c>
      <c r="G3122" s="7" t="n">
        <v>438.3696594238281</v>
      </c>
      <c r="H3122" s="6">
        <f>P3091</f>
        <v/>
      </c>
      <c r="I3122" s="9">
        <f>Q3091</f>
        <v/>
      </c>
      <c r="J3122" s="7">
        <f>I3122*G3122</f>
        <v/>
      </c>
      <c r="K3122" s="8">
        <f>IF($J$3132=0,0,J3122/$J$3132)</f>
        <v/>
      </c>
      <c r="L3122" s="6" t="inlineStr">
        <is>
          <t>WATCHLIST</t>
        </is>
      </c>
      <c r="M3122" s="8" t="n">
        <v>0</v>
      </c>
      <c r="N3122" s="7">
        <f>M3122*$J$3132-J3122</f>
        <v/>
      </c>
      <c r="O3122" s="9">
        <f>IF(G3122=0,0,N3122/G3122)</f>
        <v/>
      </c>
      <c r="P3122" s="6">
        <f>IF(M3122&gt;0,D3122,"")</f>
        <v/>
      </c>
      <c r="Q3122" s="9">
        <f>I3122+O3122</f>
        <v/>
      </c>
      <c r="R3122" s="7">
        <f>Q3122*G3122</f>
        <v/>
      </c>
      <c r="S3122" s="8">
        <f>IF($R$3132=0,0,R3122/$R$3132)</f>
        <v/>
      </c>
      <c r="T3122" s="8" t="n">
        <v>0.008773977171794067</v>
      </c>
      <c r="U3122" s="8" t="n">
        <v>-0.006532278713527018</v>
      </c>
      <c r="V3122" s="6" t="inlineStr">
        <is>
          <t>not selected</t>
        </is>
      </c>
    </row>
    <row r="3123">
      <c r="A3123" s="6" t="inlineStr">
        <is>
          <t>DJ30</t>
        </is>
      </c>
      <c r="B3123" s="6" t="inlineStr">
        <is>
          <t>2024-12-06</t>
        </is>
      </c>
      <c r="C3123" s="6" t="inlineStr">
        <is>
          <t>DIA</t>
        </is>
      </c>
      <c r="D3123" s="6" t="inlineStr">
        <is>
          <t>NKE</t>
        </is>
      </c>
      <c r="E3123" s="6" t="inlineStr">
        <is>
          <t>NKE</t>
        </is>
      </c>
      <c r="F3123" s="6" t="inlineStr">
        <is>
          <t>-</t>
        </is>
      </c>
      <c r="G3123" s="7" t="n">
        <v>75.89197540283203</v>
      </c>
      <c r="H3123" s="6">
        <f>P3092</f>
        <v/>
      </c>
      <c r="I3123" s="9">
        <f>Q3092</f>
        <v/>
      </c>
      <c r="J3123" s="7">
        <f>I3123*G3123</f>
        <v/>
      </c>
      <c r="K3123" s="8">
        <f>IF($J$3132=0,0,J3123/$J$3132)</f>
        <v/>
      </c>
      <c r="L3123" s="6" t="inlineStr">
        <is>
          <t>REJECTED</t>
        </is>
      </c>
      <c r="M3123" s="8" t="n">
        <v>0</v>
      </c>
      <c r="N3123" s="7">
        <f>M3123*$J$3132-J3123</f>
        <v/>
      </c>
      <c r="O3123" s="9">
        <f>IF(G3123=0,0,N3123/G3123)</f>
        <v/>
      </c>
      <c r="P3123" s="6">
        <f>IF(M3123&gt;0,D3123,"")</f>
        <v/>
      </c>
      <c r="Q3123" s="9">
        <f>I3123+O3123</f>
        <v/>
      </c>
      <c r="R3123" s="7">
        <f>Q3123*G3123</f>
        <v/>
      </c>
      <c r="S3123" s="8">
        <f>IF($R$3132=0,0,R3123/$R$3132)</f>
        <v/>
      </c>
      <c r="T3123" s="8" t="n">
        <v>0.008773977171794067</v>
      </c>
      <c r="U3123" s="8" t="n">
        <v>-0.006532278713527018</v>
      </c>
      <c r="V3123" s="6" t="inlineStr">
        <is>
          <t>not selected</t>
        </is>
      </c>
    </row>
    <row r="3124">
      <c r="A3124" s="6" t="inlineStr">
        <is>
          <t>DJ30</t>
        </is>
      </c>
      <c r="B3124" s="6" t="inlineStr">
        <is>
          <t>2024-12-06</t>
        </is>
      </c>
      <c r="C3124" s="6" t="inlineStr">
        <is>
          <t>DIA</t>
        </is>
      </c>
      <c r="D3124" s="6" t="inlineStr">
        <is>
          <t>NVDA</t>
        </is>
      </c>
      <c r="E3124" s="6" t="inlineStr">
        <is>
          <t>NVDA</t>
        </is>
      </c>
      <c r="F3124" s="6" t="inlineStr">
        <is>
          <t>-</t>
        </is>
      </c>
      <c r="G3124" s="7" t="n">
        <v>142.2276000976562</v>
      </c>
      <c r="H3124" s="6">
        <f>P3093</f>
        <v/>
      </c>
      <c r="I3124" s="9">
        <f>Q3093</f>
        <v/>
      </c>
      <c r="J3124" s="7">
        <f>I3124*G3124</f>
        <v/>
      </c>
      <c r="K3124" s="8">
        <f>IF($J$3132=0,0,J3124/$J$3132)</f>
        <v/>
      </c>
      <c r="L3124" s="6" t="inlineStr">
        <is>
          <t>SELECTED</t>
        </is>
      </c>
      <c r="M3124" s="8" t="n">
        <v>0.2</v>
      </c>
      <c r="N3124" s="7">
        <f>M3124*$J$3132-J3124</f>
        <v/>
      </c>
      <c r="O3124" s="9">
        <f>IF(G3124=0,0,N3124/G3124)</f>
        <v/>
      </c>
      <c r="P3124" s="6">
        <f>IF(M3124&gt;0,D3124,"")</f>
        <v/>
      </c>
      <c r="Q3124" s="9">
        <f>I3124+O3124</f>
        <v/>
      </c>
      <c r="R3124" s="7">
        <f>Q3124*G3124</f>
        <v/>
      </c>
      <c r="S3124" s="8">
        <f>IF($R$3132=0,0,R3124/$R$3132)</f>
        <v/>
      </c>
      <c r="T3124" s="8" t="n">
        <v>0.008773977171794067</v>
      </c>
      <c r="U3124" s="8" t="n">
        <v>-0.006532278713527018</v>
      </c>
      <c r="V3124" s="6" t="inlineStr">
        <is>
          <t>remained in weekly selection</t>
        </is>
      </c>
    </row>
    <row r="3125">
      <c r="A3125" s="6" t="inlineStr">
        <is>
          <t>DJ30</t>
        </is>
      </c>
      <c r="B3125" s="6" t="inlineStr">
        <is>
          <t>2024-12-06</t>
        </is>
      </c>
      <c r="C3125" s="6" t="inlineStr">
        <is>
          <t>DIA</t>
        </is>
      </c>
      <c r="D3125" s="6" t="inlineStr">
        <is>
          <t>PG</t>
        </is>
      </c>
      <c r="E3125" s="6" t="inlineStr">
        <is>
          <t>PG</t>
        </is>
      </c>
      <c r="F3125" s="6" t="inlineStr">
        <is>
          <t>-</t>
        </is>
      </c>
      <c r="G3125" s="7" t="n">
        <v>166.895263671875</v>
      </c>
      <c r="H3125" s="6">
        <f>P3094</f>
        <v/>
      </c>
      <c r="I3125" s="9">
        <f>Q3094</f>
        <v/>
      </c>
      <c r="J3125" s="7">
        <f>I3125*G3125</f>
        <v/>
      </c>
      <c r="K3125" s="8">
        <f>IF($J$3132=0,0,J3125/$J$3132)</f>
        <v/>
      </c>
      <c r="L3125" s="6" t="inlineStr">
        <is>
          <t>WATCHLIST</t>
        </is>
      </c>
      <c r="M3125" s="8" t="n">
        <v>0</v>
      </c>
      <c r="N3125" s="7">
        <f>M3125*$J$3132-J3125</f>
        <v/>
      </c>
      <c r="O3125" s="9">
        <f>IF(G3125=0,0,N3125/G3125)</f>
        <v/>
      </c>
      <c r="P3125" s="6">
        <f>IF(M3125&gt;0,D3125,"")</f>
        <v/>
      </c>
      <c r="Q3125" s="9">
        <f>I3125+O3125</f>
        <v/>
      </c>
      <c r="R3125" s="7">
        <f>Q3125*G3125</f>
        <v/>
      </c>
      <c r="S3125" s="8">
        <f>IF($R$3132=0,0,R3125/$R$3132)</f>
        <v/>
      </c>
      <c r="T3125" s="8" t="n">
        <v>0.008773977171794067</v>
      </c>
      <c r="U3125" s="8" t="n">
        <v>-0.006532278713527018</v>
      </c>
      <c r="V3125" s="6" t="inlineStr">
        <is>
          <t>not selected</t>
        </is>
      </c>
    </row>
    <row r="3126">
      <c r="A3126" s="6" t="inlineStr">
        <is>
          <t>DJ30</t>
        </is>
      </c>
      <c r="B3126" s="6" t="inlineStr">
        <is>
          <t>2024-12-06</t>
        </is>
      </c>
      <c r="C3126" s="6" t="inlineStr">
        <is>
          <t>DIA</t>
        </is>
      </c>
      <c r="D3126" s="6" t="inlineStr">
        <is>
          <t>SHW</t>
        </is>
      </c>
      <c r="E3126" s="6" t="inlineStr">
        <is>
          <t>SHW</t>
        </is>
      </c>
      <c r="F3126" s="6" t="inlineStr">
        <is>
          <t>-</t>
        </is>
      </c>
      <c r="G3126" s="7" t="n">
        <v>379.7345886230469</v>
      </c>
      <c r="H3126" s="6">
        <f>P3095</f>
        <v/>
      </c>
      <c r="I3126" s="9">
        <f>Q3095</f>
        <v/>
      </c>
      <c r="J3126" s="7">
        <f>I3126*G3126</f>
        <v/>
      </c>
      <c r="K3126" s="8">
        <f>IF($J$3132=0,0,J3126/$J$3132)</f>
        <v/>
      </c>
      <c r="L3126" s="6" t="inlineStr">
        <is>
          <t>WATCHLIST</t>
        </is>
      </c>
      <c r="M3126" s="8" t="n">
        <v>0</v>
      </c>
      <c r="N3126" s="7">
        <f>M3126*$J$3132-J3126</f>
        <v/>
      </c>
      <c r="O3126" s="9">
        <f>IF(G3126=0,0,N3126/G3126)</f>
        <v/>
      </c>
      <c r="P3126" s="6">
        <f>IF(M3126&gt;0,D3126,"")</f>
        <v/>
      </c>
      <c r="Q3126" s="9">
        <f>I3126+O3126</f>
        <v/>
      </c>
      <c r="R3126" s="7">
        <f>Q3126*G3126</f>
        <v/>
      </c>
      <c r="S3126" s="8">
        <f>IF($R$3132=0,0,R3126/$R$3132)</f>
        <v/>
      </c>
      <c r="T3126" s="8" t="n">
        <v>0.008773977171794067</v>
      </c>
      <c r="U3126" s="8" t="n">
        <v>-0.006532278713527018</v>
      </c>
      <c r="V3126" s="6" t="inlineStr">
        <is>
          <t>not selected</t>
        </is>
      </c>
    </row>
    <row r="3127">
      <c r="A3127" s="6" t="inlineStr">
        <is>
          <t>DJ30</t>
        </is>
      </c>
      <c r="B3127" s="6" t="inlineStr">
        <is>
          <t>2024-12-06</t>
        </is>
      </c>
      <c r="C3127" s="6" t="inlineStr">
        <is>
          <t>DIA</t>
        </is>
      </c>
      <c r="D3127" s="6" t="inlineStr">
        <is>
          <t>TRV</t>
        </is>
      </c>
      <c r="E3127" s="6" t="inlineStr">
        <is>
          <t>TRV</t>
        </is>
      </c>
      <c r="F3127" s="6" t="inlineStr">
        <is>
          <t>-</t>
        </is>
      </c>
      <c r="G3127" s="7" t="n">
        <v>253.8986206054688</v>
      </c>
      <c r="H3127" s="6">
        <f>P3096</f>
        <v/>
      </c>
      <c r="I3127" s="9">
        <f>Q3096</f>
        <v/>
      </c>
      <c r="J3127" s="7">
        <f>I3127*G3127</f>
        <v/>
      </c>
      <c r="K3127" s="8">
        <f>IF($J$3132=0,0,J3127/$J$3132)</f>
        <v/>
      </c>
      <c r="L3127" s="6" t="inlineStr">
        <is>
          <t>WATCHLIST</t>
        </is>
      </c>
      <c r="M3127" s="8" t="n">
        <v>0</v>
      </c>
      <c r="N3127" s="7">
        <f>M3127*$J$3132-J3127</f>
        <v/>
      </c>
      <c r="O3127" s="9">
        <f>IF(G3127=0,0,N3127/G3127)</f>
        <v/>
      </c>
      <c r="P3127" s="6">
        <f>IF(M3127&gt;0,D3127,"")</f>
        <v/>
      </c>
      <c r="Q3127" s="9">
        <f>I3127+O3127</f>
        <v/>
      </c>
      <c r="R3127" s="7">
        <f>Q3127*G3127</f>
        <v/>
      </c>
      <c r="S3127" s="8">
        <f>IF($R$3132=0,0,R3127/$R$3132)</f>
        <v/>
      </c>
      <c r="T3127" s="8" t="n">
        <v>0.008773977171794067</v>
      </c>
      <c r="U3127" s="8" t="n">
        <v>-0.006532278713527018</v>
      </c>
      <c r="V3127" s="6" t="inlineStr">
        <is>
          <t>removed from weekly selection</t>
        </is>
      </c>
    </row>
    <row r="3128">
      <c r="A3128" s="6" t="inlineStr">
        <is>
          <t>DJ30</t>
        </is>
      </c>
      <c r="B3128" s="6" t="inlineStr">
        <is>
          <t>2024-12-06</t>
        </is>
      </c>
      <c r="C3128" s="6" t="inlineStr">
        <is>
          <t>DIA</t>
        </is>
      </c>
      <c r="D3128" s="6" t="inlineStr">
        <is>
          <t>UNH</t>
        </is>
      </c>
      <c r="E3128" s="6" t="inlineStr">
        <is>
          <t>UNH</t>
        </is>
      </c>
      <c r="F3128" s="6" t="inlineStr">
        <is>
          <t>-</t>
        </is>
      </c>
      <c r="G3128" s="7" t="n">
        <v>527.2269897460938</v>
      </c>
      <c r="H3128" s="6">
        <f>P3097</f>
        <v/>
      </c>
      <c r="I3128" s="9">
        <f>Q3097</f>
        <v/>
      </c>
      <c r="J3128" s="7">
        <f>I3128*G3128</f>
        <v/>
      </c>
      <c r="K3128" s="8">
        <f>IF($J$3132=0,0,J3128/$J$3132)</f>
        <v/>
      </c>
      <c r="L3128" s="6" t="inlineStr">
        <is>
          <t>WATCHLIST</t>
        </is>
      </c>
      <c r="M3128" s="8" t="n">
        <v>0</v>
      </c>
      <c r="N3128" s="7">
        <f>M3128*$J$3132-J3128</f>
        <v/>
      </c>
      <c r="O3128" s="9">
        <f>IF(G3128=0,0,N3128/G3128)</f>
        <v/>
      </c>
      <c r="P3128" s="6">
        <f>IF(M3128&gt;0,D3128,"")</f>
        <v/>
      </c>
      <c r="Q3128" s="9">
        <f>I3128+O3128</f>
        <v/>
      </c>
      <c r="R3128" s="7">
        <f>Q3128*G3128</f>
        <v/>
      </c>
      <c r="S3128" s="8">
        <f>IF($R$3132=0,0,R3128/$R$3132)</f>
        <v/>
      </c>
      <c r="T3128" s="8" t="n">
        <v>0.008773977171794067</v>
      </c>
      <c r="U3128" s="8" t="n">
        <v>-0.006532278713527018</v>
      </c>
      <c r="V3128" s="6" t="inlineStr">
        <is>
          <t>not selected</t>
        </is>
      </c>
    </row>
    <row r="3129">
      <c r="A3129" s="6" t="inlineStr">
        <is>
          <t>DJ30</t>
        </is>
      </c>
      <c r="B3129" s="6" t="inlineStr">
        <is>
          <t>2024-12-06</t>
        </is>
      </c>
      <c r="C3129" s="6" t="inlineStr">
        <is>
          <t>DIA</t>
        </is>
      </c>
      <c r="D3129" s="6" t="inlineStr">
        <is>
          <t>V</t>
        </is>
      </c>
      <c r="E3129" s="6" t="inlineStr">
        <is>
          <t>V</t>
        </is>
      </c>
      <c r="F3129" s="6" t="inlineStr">
        <is>
          <t>-</t>
        </is>
      </c>
      <c r="G3129" s="7" t="n">
        <v>307.5435791015625</v>
      </c>
      <c r="H3129" s="6">
        <f>P3098</f>
        <v/>
      </c>
      <c r="I3129" s="9">
        <f>Q3098</f>
        <v/>
      </c>
      <c r="J3129" s="7">
        <f>I3129*G3129</f>
        <v/>
      </c>
      <c r="K3129" s="8">
        <f>IF($J$3132=0,0,J3129/$J$3132)</f>
        <v/>
      </c>
      <c r="L3129" s="6" t="inlineStr">
        <is>
          <t>WATCHLIST</t>
        </is>
      </c>
      <c r="M3129" s="8" t="n">
        <v>0</v>
      </c>
      <c r="N3129" s="7">
        <f>M3129*$J$3132-J3129</f>
        <v/>
      </c>
      <c r="O3129" s="9">
        <f>IF(G3129=0,0,N3129/G3129)</f>
        <v/>
      </c>
      <c r="P3129" s="6">
        <f>IF(M3129&gt;0,D3129,"")</f>
        <v/>
      </c>
      <c r="Q3129" s="9">
        <f>I3129+O3129</f>
        <v/>
      </c>
      <c r="R3129" s="7">
        <f>Q3129*G3129</f>
        <v/>
      </c>
      <c r="S3129" s="8">
        <f>IF($R$3132=0,0,R3129/$R$3132)</f>
        <v/>
      </c>
      <c r="T3129" s="8" t="n">
        <v>0.008773977171794067</v>
      </c>
      <c r="U3129" s="8" t="n">
        <v>-0.006532278713527018</v>
      </c>
      <c r="V3129" s="6" t="inlineStr">
        <is>
          <t>not selected</t>
        </is>
      </c>
    </row>
    <row r="3130">
      <c r="A3130" s="6" t="inlineStr">
        <is>
          <t>DJ30</t>
        </is>
      </c>
      <c r="B3130" s="6" t="inlineStr">
        <is>
          <t>2024-12-06</t>
        </is>
      </c>
      <c r="C3130" s="6" t="inlineStr">
        <is>
          <t>DIA</t>
        </is>
      </c>
      <c r="D3130" s="6" t="inlineStr">
        <is>
          <t>VZ</t>
        </is>
      </c>
      <c r="E3130" s="6" t="inlineStr">
        <is>
          <t>VZ</t>
        </is>
      </c>
      <c r="F3130" s="6" t="inlineStr">
        <is>
          <t>-</t>
        </is>
      </c>
      <c r="G3130" s="7" t="n">
        <v>38.38736343383789</v>
      </c>
      <c r="H3130" s="6">
        <f>P3099</f>
        <v/>
      </c>
      <c r="I3130" s="9">
        <f>Q3099</f>
        <v/>
      </c>
      <c r="J3130" s="7">
        <f>I3130*G3130</f>
        <v/>
      </c>
      <c r="K3130" s="8">
        <f>IF($J$3132=0,0,J3130/$J$3132)</f>
        <v/>
      </c>
      <c r="L3130" s="6" t="inlineStr">
        <is>
          <t>WATCHLIST</t>
        </is>
      </c>
      <c r="M3130" s="8" t="n">
        <v>0</v>
      </c>
      <c r="N3130" s="7">
        <f>M3130*$J$3132-J3130</f>
        <v/>
      </c>
      <c r="O3130" s="9">
        <f>IF(G3130=0,0,N3130/G3130)</f>
        <v/>
      </c>
      <c r="P3130" s="6">
        <f>IF(M3130&gt;0,D3130,"")</f>
        <v/>
      </c>
      <c r="Q3130" s="9">
        <f>I3130+O3130</f>
        <v/>
      </c>
      <c r="R3130" s="7">
        <f>Q3130*G3130</f>
        <v/>
      </c>
      <c r="S3130" s="8">
        <f>IF($R$3132=0,0,R3130/$R$3132)</f>
        <v/>
      </c>
      <c r="T3130" s="8" t="n">
        <v>0.008773977171794067</v>
      </c>
      <c r="U3130" s="8" t="n">
        <v>-0.006532278713527018</v>
      </c>
      <c r="V3130" s="6" t="inlineStr">
        <is>
          <t>not selected</t>
        </is>
      </c>
    </row>
    <row r="3131">
      <c r="A3131" s="6" t="inlineStr">
        <is>
          <t>DJ30</t>
        </is>
      </c>
      <c r="B3131" s="6" t="inlineStr">
        <is>
          <t>2024-12-06</t>
        </is>
      </c>
      <c r="C3131" s="6" t="inlineStr">
        <is>
          <t>DIA</t>
        </is>
      </c>
      <c r="D3131" s="6" t="inlineStr">
        <is>
          <t>WMT</t>
        </is>
      </c>
      <c r="E3131" s="6" t="inlineStr">
        <is>
          <t>WMT</t>
        </is>
      </c>
      <c r="F3131" s="6" t="inlineStr">
        <is>
          <t>-</t>
        </is>
      </c>
      <c r="G3131" s="7" t="n">
        <v>94.20957946777344</v>
      </c>
      <c r="H3131" s="6">
        <f>P3100</f>
        <v/>
      </c>
      <c r="I3131" s="9">
        <f>Q3100</f>
        <v/>
      </c>
      <c r="J3131" s="7">
        <f>I3131*G3131</f>
        <v/>
      </c>
      <c r="K3131" s="8">
        <f>IF($J$3132=0,0,J3131/$J$3132)</f>
        <v/>
      </c>
      <c r="L3131" s="6" t="inlineStr">
        <is>
          <t>WATCHLIST</t>
        </is>
      </c>
      <c r="M3131" s="8" t="n">
        <v>0</v>
      </c>
      <c r="N3131" s="7">
        <f>M3131*$J$3132-J3131</f>
        <v/>
      </c>
      <c r="O3131" s="9">
        <f>IF(G3131=0,0,N3131/G3131)</f>
        <v/>
      </c>
      <c r="P3131" s="6">
        <f>IF(M3131&gt;0,D3131,"")</f>
        <v/>
      </c>
      <c r="Q3131" s="9">
        <f>I3131+O3131</f>
        <v/>
      </c>
      <c r="R3131" s="7">
        <f>Q3131*G3131</f>
        <v/>
      </c>
      <c r="S3131" s="8">
        <f>IF($R$3132=0,0,R3131/$R$3132)</f>
        <v/>
      </c>
      <c r="T3131" s="8" t="n">
        <v>0.008773977171794067</v>
      </c>
      <c r="U3131" s="8" t="n">
        <v>-0.006532278713527018</v>
      </c>
      <c r="V3131" s="6" t="inlineStr">
        <is>
          <t>not selected</t>
        </is>
      </c>
    </row>
    <row r="3132">
      <c r="A3132" s="10" t="inlineStr">
        <is>
          <t>DJ30</t>
        </is>
      </c>
      <c r="B3132" s="10" t="inlineStr">
        <is>
          <t>2024-12-06</t>
        </is>
      </c>
      <c r="C3132" s="10" t="inlineStr">
        <is>
          <t>DIA</t>
        </is>
      </c>
      <c r="D3132" s="10" t="inlineStr">
        <is>
          <t>Tot Portfolio</t>
        </is>
      </c>
      <c r="E3132" s="10" t="inlineStr"/>
      <c r="F3132" s="10" t="inlineStr"/>
      <c r="G3132" s="11" t="inlineStr"/>
      <c r="H3132" s="10" t="inlineStr"/>
      <c r="I3132" s="12" t="inlineStr"/>
      <c r="J3132" s="11">
        <f>SUM(J3102:J3131)</f>
        <v/>
      </c>
      <c r="K3132" s="13">
        <f>SUM(K3102:K3131)</f>
        <v/>
      </c>
      <c r="L3132" s="10" t="inlineStr">
        <is>
          <t>TOTAL</t>
        </is>
      </c>
      <c r="M3132" s="13">
        <f>SUM(M3102:M3131)</f>
        <v/>
      </c>
      <c r="N3132" s="11">
        <f>SUM(N3102:N3131)</f>
        <v/>
      </c>
      <c r="O3132" s="12">
        <f>SUM(O3102:O3131)</f>
        <v/>
      </c>
      <c r="P3132" s="10" t="inlineStr"/>
      <c r="Q3132" s="12" t="inlineStr"/>
      <c r="R3132" s="11">
        <f>SUM(R3102:R3131)</f>
        <v/>
      </c>
      <c r="S3132" s="13">
        <f>SUM(S3102:S3131)</f>
        <v/>
      </c>
      <c r="T3132" s="13" t="n">
        <v>0.008773977171794067</v>
      </c>
      <c r="U3132" s="13" t="n">
        <v>-0.006532278713527018</v>
      </c>
      <c r="V3132" s="10" t="inlineStr"/>
    </row>
    <row r="3133">
      <c r="A3133" s="6" t="inlineStr">
        <is>
          <t>DJ30</t>
        </is>
      </c>
      <c r="B3133" s="6" t="inlineStr">
        <is>
          <t>2024-12-13</t>
        </is>
      </c>
      <c r="C3133" s="6" t="inlineStr">
        <is>
          <t>DIA</t>
        </is>
      </c>
      <c r="D3133" s="6" t="inlineStr">
        <is>
          <t>AAPL</t>
        </is>
      </c>
      <c r="E3133" s="6" t="inlineStr">
        <is>
          <t>AAPL</t>
        </is>
      </c>
      <c r="F3133" s="6" t="inlineStr">
        <is>
          <t>-</t>
        </is>
      </c>
      <c r="G3133" s="7" t="n">
        <v>246.5547485351562</v>
      </c>
      <c r="H3133" s="6">
        <f>P3102</f>
        <v/>
      </c>
      <c r="I3133" s="9">
        <f>Q3102</f>
        <v/>
      </c>
      <c r="J3133" s="7">
        <f>I3133*G3133</f>
        <v/>
      </c>
      <c r="K3133" s="8">
        <f>IF($J$3163=0,0,J3133/$J$3163)</f>
        <v/>
      </c>
      <c r="L3133" s="6" t="inlineStr">
        <is>
          <t>SELECTED</t>
        </is>
      </c>
      <c r="M3133" s="8" t="n">
        <v>0.2</v>
      </c>
      <c r="N3133" s="7">
        <f>M3133*$J$3163-J3133</f>
        <v/>
      </c>
      <c r="O3133" s="9">
        <f>IF(G3133=0,0,N3133/G3133)</f>
        <v/>
      </c>
      <c r="P3133" s="6">
        <f>IF(M3133&gt;0,D3133,"")</f>
        <v/>
      </c>
      <c r="Q3133" s="9">
        <f>I3133+O3133</f>
        <v/>
      </c>
      <c r="R3133" s="7">
        <f>Q3133*G3133</f>
        <v/>
      </c>
      <c r="S3133" s="8">
        <f>IF($R$3163=0,0,R3133/$R$3163)</f>
        <v/>
      </c>
      <c r="T3133" s="8" t="n">
        <v>-0.02273788838971713</v>
      </c>
      <c r="U3133" s="8" t="n">
        <v>-0.0173989644243947</v>
      </c>
      <c r="V3133" s="6" t="inlineStr">
        <is>
          <t>remained in weekly selection</t>
        </is>
      </c>
    </row>
    <row r="3134">
      <c r="A3134" s="6" t="inlineStr">
        <is>
          <t>DJ30</t>
        </is>
      </c>
      <c r="B3134" s="6" t="inlineStr">
        <is>
          <t>2024-12-13</t>
        </is>
      </c>
      <c r="C3134" s="6" t="inlineStr">
        <is>
          <t>DIA</t>
        </is>
      </c>
      <c r="D3134" s="6" t="inlineStr">
        <is>
          <t>AMGN</t>
        </is>
      </c>
      <c r="E3134" s="6" t="inlineStr">
        <is>
          <t>AMGN</t>
        </is>
      </c>
      <c r="F3134" s="6" t="inlineStr">
        <is>
          <t>-</t>
        </is>
      </c>
      <c r="G3134" s="7" t="n">
        <v>258.3345336914062</v>
      </c>
      <c r="H3134" s="6">
        <f>P3103</f>
        <v/>
      </c>
      <c r="I3134" s="9">
        <f>Q3103</f>
        <v/>
      </c>
      <c r="J3134" s="7">
        <f>I3134*G3134</f>
        <v/>
      </c>
      <c r="K3134" s="8">
        <f>IF($J$3163=0,0,J3134/$J$3163)</f>
        <v/>
      </c>
      <c r="L3134" s="6" t="inlineStr">
        <is>
          <t>REJECTED</t>
        </is>
      </c>
      <c r="M3134" s="8" t="n">
        <v>0</v>
      </c>
      <c r="N3134" s="7">
        <f>M3134*$J$3163-J3134</f>
        <v/>
      </c>
      <c r="O3134" s="9">
        <f>IF(G3134=0,0,N3134/G3134)</f>
        <v/>
      </c>
      <c r="P3134" s="6">
        <f>IF(M3134&gt;0,D3134,"")</f>
        <v/>
      </c>
      <c r="Q3134" s="9">
        <f>I3134+O3134</f>
        <v/>
      </c>
      <c r="R3134" s="7">
        <f>Q3134*G3134</f>
        <v/>
      </c>
      <c r="S3134" s="8">
        <f>IF($R$3163=0,0,R3134/$R$3163)</f>
        <v/>
      </c>
      <c r="T3134" s="8" t="n">
        <v>-0.02273788838971713</v>
      </c>
      <c r="U3134" s="8" t="n">
        <v>-0.0173989644243947</v>
      </c>
      <c r="V3134" s="6" t="inlineStr">
        <is>
          <t>not selected</t>
        </is>
      </c>
    </row>
    <row r="3135">
      <c r="A3135" s="6" t="inlineStr">
        <is>
          <t>DJ30</t>
        </is>
      </c>
      <c r="B3135" s="6" t="inlineStr">
        <is>
          <t>2024-12-13</t>
        </is>
      </c>
      <c r="C3135" s="6" t="inlineStr">
        <is>
          <t>DIA</t>
        </is>
      </c>
      <c r="D3135" s="6" t="inlineStr">
        <is>
          <t>AMZN</t>
        </is>
      </c>
      <c r="E3135" s="6" t="inlineStr">
        <is>
          <t>AMZN</t>
        </is>
      </c>
      <c r="F3135" s="6" t="inlineStr">
        <is>
          <t>-</t>
        </is>
      </c>
      <c r="G3135" s="7" t="n">
        <v>227.4600067138672</v>
      </c>
      <c r="H3135" s="6">
        <f>P3104</f>
        <v/>
      </c>
      <c r="I3135" s="9">
        <f>Q3104</f>
        <v/>
      </c>
      <c r="J3135" s="7">
        <f>I3135*G3135</f>
        <v/>
      </c>
      <c r="K3135" s="8">
        <f>IF($J$3163=0,0,J3135/$J$3163)</f>
        <v/>
      </c>
      <c r="L3135" s="6" t="inlineStr">
        <is>
          <t>WATCHLIST</t>
        </is>
      </c>
      <c r="M3135" s="8" t="n">
        <v>0</v>
      </c>
      <c r="N3135" s="7">
        <f>M3135*$J$3163-J3135</f>
        <v/>
      </c>
      <c r="O3135" s="9">
        <f>IF(G3135=0,0,N3135/G3135)</f>
        <v/>
      </c>
      <c r="P3135" s="6">
        <f>IF(M3135&gt;0,D3135,"")</f>
        <v/>
      </c>
      <c r="Q3135" s="9">
        <f>I3135+O3135</f>
        <v/>
      </c>
      <c r="R3135" s="7">
        <f>Q3135*G3135</f>
        <v/>
      </c>
      <c r="S3135" s="8">
        <f>IF($R$3163=0,0,R3135/$R$3163)</f>
        <v/>
      </c>
      <c r="T3135" s="8" t="n">
        <v>-0.02273788838971713</v>
      </c>
      <c r="U3135" s="8" t="n">
        <v>-0.0173989644243947</v>
      </c>
      <c r="V3135" s="6" t="inlineStr">
        <is>
          <t>not selected</t>
        </is>
      </c>
    </row>
    <row r="3136">
      <c r="A3136" s="6" t="inlineStr">
        <is>
          <t>DJ30</t>
        </is>
      </c>
      <c r="B3136" s="6" t="inlineStr">
        <is>
          <t>2024-12-13</t>
        </is>
      </c>
      <c r="C3136" s="6" t="inlineStr">
        <is>
          <t>DIA</t>
        </is>
      </c>
      <c r="D3136" s="6" t="inlineStr">
        <is>
          <t>AXP</t>
        </is>
      </c>
      <c r="E3136" s="6" t="inlineStr">
        <is>
          <t>AXP</t>
        </is>
      </c>
      <c r="F3136" s="6" t="inlineStr">
        <is>
          <t>-</t>
        </is>
      </c>
      <c r="G3136" s="7" t="n">
        <v>297.3174438476562</v>
      </c>
      <c r="H3136" s="6">
        <f>P3105</f>
        <v/>
      </c>
      <c r="I3136" s="9">
        <f>Q3105</f>
        <v/>
      </c>
      <c r="J3136" s="7">
        <f>I3136*G3136</f>
        <v/>
      </c>
      <c r="K3136" s="8">
        <f>IF($J$3163=0,0,J3136/$J$3163)</f>
        <v/>
      </c>
      <c r="L3136" s="6" t="inlineStr">
        <is>
          <t>WATCHLIST</t>
        </is>
      </c>
      <c r="M3136" s="8" t="n">
        <v>0</v>
      </c>
      <c r="N3136" s="7">
        <f>M3136*$J$3163-J3136</f>
        <v/>
      </c>
      <c r="O3136" s="9">
        <f>IF(G3136=0,0,N3136/G3136)</f>
        <v/>
      </c>
      <c r="P3136" s="6">
        <f>IF(M3136&gt;0,D3136,"")</f>
        <v/>
      </c>
      <c r="Q3136" s="9">
        <f>I3136+O3136</f>
        <v/>
      </c>
      <c r="R3136" s="7">
        <f>Q3136*G3136</f>
        <v/>
      </c>
      <c r="S3136" s="8">
        <f>IF($R$3163=0,0,R3136/$R$3163)</f>
        <v/>
      </c>
      <c r="T3136" s="8" t="n">
        <v>-0.02273788838971713</v>
      </c>
      <c r="U3136" s="8" t="n">
        <v>-0.0173989644243947</v>
      </c>
      <c r="V3136" s="6" t="inlineStr">
        <is>
          <t>not selected</t>
        </is>
      </c>
    </row>
    <row r="3137">
      <c r="A3137" s="6" t="inlineStr">
        <is>
          <t>DJ30</t>
        </is>
      </c>
      <c r="B3137" s="6" t="inlineStr">
        <is>
          <t>2024-12-13</t>
        </is>
      </c>
      <c r="C3137" s="6" t="inlineStr">
        <is>
          <t>DIA</t>
        </is>
      </c>
      <c r="D3137" s="6" t="inlineStr">
        <is>
          <t>BA</t>
        </is>
      </c>
      <c r="E3137" s="6" t="inlineStr">
        <is>
          <t>BA</t>
        </is>
      </c>
      <c r="F3137" s="6" t="inlineStr">
        <is>
          <t>-</t>
        </is>
      </c>
      <c r="G3137" s="7" t="n">
        <v>169.6499938964844</v>
      </c>
      <c r="H3137" s="6">
        <f>P3106</f>
        <v/>
      </c>
      <c r="I3137" s="9">
        <f>Q3106</f>
        <v/>
      </c>
      <c r="J3137" s="7">
        <f>I3137*G3137</f>
        <v/>
      </c>
      <c r="K3137" s="8">
        <f>IF($J$3163=0,0,J3137/$J$3163)</f>
        <v/>
      </c>
      <c r="L3137" s="6" t="inlineStr">
        <is>
          <t>REJECTED</t>
        </is>
      </c>
      <c r="M3137" s="8" t="n">
        <v>0</v>
      </c>
      <c r="N3137" s="7">
        <f>M3137*$J$3163-J3137</f>
        <v/>
      </c>
      <c r="O3137" s="9">
        <f>IF(G3137=0,0,N3137/G3137)</f>
        <v/>
      </c>
      <c r="P3137" s="6">
        <f>IF(M3137&gt;0,D3137,"")</f>
        <v/>
      </c>
      <c r="Q3137" s="9">
        <f>I3137+O3137</f>
        <v/>
      </c>
      <c r="R3137" s="7">
        <f>Q3137*G3137</f>
        <v/>
      </c>
      <c r="S3137" s="8">
        <f>IF($R$3163=0,0,R3137/$R$3163)</f>
        <v/>
      </c>
      <c r="T3137" s="8" t="n">
        <v>-0.02273788838971713</v>
      </c>
      <c r="U3137" s="8" t="n">
        <v>-0.0173989644243947</v>
      </c>
      <c r="V3137" s="6" t="inlineStr">
        <is>
          <t>not selected</t>
        </is>
      </c>
    </row>
    <row r="3138">
      <c r="A3138" s="6" t="inlineStr">
        <is>
          <t>DJ30</t>
        </is>
      </c>
      <c r="B3138" s="6" t="inlineStr">
        <is>
          <t>2024-12-13</t>
        </is>
      </c>
      <c r="C3138" s="6" t="inlineStr">
        <is>
          <t>DIA</t>
        </is>
      </c>
      <c r="D3138" s="6" t="inlineStr">
        <is>
          <t>CAT</t>
        </is>
      </c>
      <c r="E3138" s="6" t="inlineStr">
        <is>
          <t>CAT</t>
        </is>
      </c>
      <c r="F3138" s="6" t="inlineStr">
        <is>
          <t>-</t>
        </is>
      </c>
      <c r="G3138" s="7" t="n">
        <v>373.2637634277344</v>
      </c>
      <c r="H3138" s="6">
        <f>P3107</f>
        <v/>
      </c>
      <c r="I3138" s="9">
        <f>Q3107</f>
        <v/>
      </c>
      <c r="J3138" s="7">
        <f>I3138*G3138</f>
        <v/>
      </c>
      <c r="K3138" s="8">
        <f>IF($J$3163=0,0,J3138/$J$3163)</f>
        <v/>
      </c>
      <c r="L3138" s="6" t="inlineStr">
        <is>
          <t>WATCHLIST</t>
        </is>
      </c>
      <c r="M3138" s="8" t="n">
        <v>0</v>
      </c>
      <c r="N3138" s="7">
        <f>M3138*$J$3163-J3138</f>
        <v/>
      </c>
      <c r="O3138" s="9">
        <f>IF(G3138=0,0,N3138/G3138)</f>
        <v/>
      </c>
      <c r="P3138" s="6">
        <f>IF(M3138&gt;0,D3138,"")</f>
        <v/>
      </c>
      <c r="Q3138" s="9">
        <f>I3138+O3138</f>
        <v/>
      </c>
      <c r="R3138" s="7">
        <f>Q3138*G3138</f>
        <v/>
      </c>
      <c r="S3138" s="8">
        <f>IF($R$3163=0,0,R3138/$R$3163)</f>
        <v/>
      </c>
      <c r="T3138" s="8" t="n">
        <v>-0.02273788838971713</v>
      </c>
      <c r="U3138" s="8" t="n">
        <v>-0.0173989644243947</v>
      </c>
      <c r="V3138" s="6" t="inlineStr">
        <is>
          <t>not selected</t>
        </is>
      </c>
    </row>
    <row r="3139">
      <c r="A3139" s="6" t="inlineStr">
        <is>
          <t>DJ30</t>
        </is>
      </c>
      <c r="B3139" s="6" t="inlineStr">
        <is>
          <t>2024-12-13</t>
        </is>
      </c>
      <c r="C3139" s="6" t="inlineStr">
        <is>
          <t>DIA</t>
        </is>
      </c>
      <c r="D3139" s="6" t="inlineStr">
        <is>
          <t>CRM</t>
        </is>
      </c>
      <c r="E3139" s="6" t="inlineStr">
        <is>
          <t>CRM</t>
        </is>
      </c>
      <c r="F3139" s="6" t="inlineStr">
        <is>
          <t>-</t>
        </is>
      </c>
      <c r="G3139" s="7" t="n">
        <v>349.8306884765625</v>
      </c>
      <c r="H3139" s="6">
        <f>P3108</f>
        <v/>
      </c>
      <c r="I3139" s="9">
        <f>Q3108</f>
        <v/>
      </c>
      <c r="J3139" s="7">
        <f>I3139*G3139</f>
        <v/>
      </c>
      <c r="K3139" s="8">
        <f>IF($J$3163=0,0,J3139/$J$3163)</f>
        <v/>
      </c>
      <c r="L3139" s="6" t="inlineStr">
        <is>
          <t>REJECTED</t>
        </is>
      </c>
      <c r="M3139" s="8" t="n">
        <v>0</v>
      </c>
      <c r="N3139" s="7">
        <f>M3139*$J$3163-J3139</f>
        <v/>
      </c>
      <c r="O3139" s="9">
        <f>IF(G3139=0,0,N3139/G3139)</f>
        <v/>
      </c>
      <c r="P3139" s="6">
        <f>IF(M3139&gt;0,D3139,"")</f>
        <v/>
      </c>
      <c r="Q3139" s="9">
        <f>I3139+O3139</f>
        <v/>
      </c>
      <c r="R3139" s="7">
        <f>Q3139*G3139</f>
        <v/>
      </c>
      <c r="S3139" s="8">
        <f>IF($R$3163=0,0,R3139/$R$3163)</f>
        <v/>
      </c>
      <c r="T3139" s="8" t="n">
        <v>-0.02273788838971713</v>
      </c>
      <c r="U3139" s="8" t="n">
        <v>-0.0173989644243947</v>
      </c>
      <c r="V3139" s="6" t="inlineStr">
        <is>
          <t>not selected</t>
        </is>
      </c>
    </row>
    <row r="3140">
      <c r="A3140" s="6" t="inlineStr">
        <is>
          <t>DJ30</t>
        </is>
      </c>
      <c r="B3140" s="6" t="inlineStr">
        <is>
          <t>2024-12-13</t>
        </is>
      </c>
      <c r="C3140" s="6" t="inlineStr">
        <is>
          <t>DIA</t>
        </is>
      </c>
      <c r="D3140" s="6" t="inlineStr">
        <is>
          <t>CSCO</t>
        </is>
      </c>
      <c r="E3140" s="6" t="inlineStr">
        <is>
          <t>CSCO</t>
        </is>
      </c>
      <c r="F3140" s="6" t="inlineStr">
        <is>
          <t>-</t>
        </is>
      </c>
      <c r="G3140" s="7" t="n">
        <v>56.53579330444336</v>
      </c>
      <c r="H3140" s="6">
        <f>P3109</f>
        <v/>
      </c>
      <c r="I3140" s="9">
        <f>Q3109</f>
        <v/>
      </c>
      <c r="J3140" s="7">
        <f>I3140*G3140</f>
        <v/>
      </c>
      <c r="K3140" s="8">
        <f>IF($J$3163=0,0,J3140/$J$3163)</f>
        <v/>
      </c>
      <c r="L3140" s="6" t="inlineStr">
        <is>
          <t>WATCHLIST</t>
        </is>
      </c>
      <c r="M3140" s="8" t="n">
        <v>0</v>
      </c>
      <c r="N3140" s="7">
        <f>M3140*$J$3163-J3140</f>
        <v/>
      </c>
      <c r="O3140" s="9">
        <f>IF(G3140=0,0,N3140/G3140)</f>
        <v/>
      </c>
      <c r="P3140" s="6">
        <f>IF(M3140&gt;0,D3140,"")</f>
        <v/>
      </c>
      <c r="Q3140" s="9">
        <f>I3140+O3140</f>
        <v/>
      </c>
      <c r="R3140" s="7">
        <f>Q3140*G3140</f>
        <v/>
      </c>
      <c r="S3140" s="8">
        <f>IF($R$3163=0,0,R3140/$R$3163)</f>
        <v/>
      </c>
      <c r="T3140" s="8" t="n">
        <v>-0.02273788838971713</v>
      </c>
      <c r="U3140" s="8" t="n">
        <v>-0.0173989644243947</v>
      </c>
      <c r="V3140" s="6" t="inlineStr">
        <is>
          <t>not selected</t>
        </is>
      </c>
    </row>
    <row r="3141">
      <c r="A3141" s="6" t="inlineStr">
        <is>
          <t>DJ30</t>
        </is>
      </c>
      <c r="B3141" s="6" t="inlineStr">
        <is>
          <t>2024-12-13</t>
        </is>
      </c>
      <c r="C3141" s="6" t="inlineStr">
        <is>
          <t>DIA</t>
        </is>
      </c>
      <c r="D3141" s="6" t="inlineStr">
        <is>
          <t>CVX</t>
        </is>
      </c>
      <c r="E3141" s="6" t="inlineStr">
        <is>
          <t>CVX</t>
        </is>
      </c>
      <c r="F3141" s="6" t="inlineStr">
        <is>
          <t>-</t>
        </is>
      </c>
      <c r="G3141" s="7" t="n">
        <v>144.3067626953125</v>
      </c>
      <c r="H3141" s="6">
        <f>P3110</f>
        <v/>
      </c>
      <c r="I3141" s="9">
        <f>Q3110</f>
        <v/>
      </c>
      <c r="J3141" s="7">
        <f>I3141*G3141</f>
        <v/>
      </c>
      <c r="K3141" s="8">
        <f>IF($J$3163=0,0,J3141/$J$3163)</f>
        <v/>
      </c>
      <c r="L3141" s="6" t="inlineStr">
        <is>
          <t>REJECTED</t>
        </is>
      </c>
      <c r="M3141" s="8" t="n">
        <v>0</v>
      </c>
      <c r="N3141" s="7">
        <f>M3141*$J$3163-J3141</f>
        <v/>
      </c>
      <c r="O3141" s="9">
        <f>IF(G3141=0,0,N3141/G3141)</f>
        <v/>
      </c>
      <c r="P3141" s="6">
        <f>IF(M3141&gt;0,D3141,"")</f>
        <v/>
      </c>
      <c r="Q3141" s="9">
        <f>I3141+O3141</f>
        <v/>
      </c>
      <c r="R3141" s="7">
        <f>Q3141*G3141</f>
        <v/>
      </c>
      <c r="S3141" s="8">
        <f>IF($R$3163=0,0,R3141/$R$3163)</f>
        <v/>
      </c>
      <c r="T3141" s="8" t="n">
        <v>-0.02273788838971713</v>
      </c>
      <c r="U3141" s="8" t="n">
        <v>-0.0173989644243947</v>
      </c>
      <c r="V3141" s="6" t="inlineStr">
        <is>
          <t>not selected</t>
        </is>
      </c>
    </row>
    <row r="3142">
      <c r="A3142" s="6" t="inlineStr">
        <is>
          <t>DJ30</t>
        </is>
      </c>
      <c r="B3142" s="6" t="inlineStr">
        <is>
          <t>2024-12-13</t>
        </is>
      </c>
      <c r="C3142" s="6" t="inlineStr">
        <is>
          <t>DIA</t>
        </is>
      </c>
      <c r="D3142" s="6" t="inlineStr">
        <is>
          <t>DIS</t>
        </is>
      </c>
      <c r="E3142" s="6" t="inlineStr">
        <is>
          <t>DIS</t>
        </is>
      </c>
      <c r="F3142" s="6" t="inlineStr">
        <is>
          <t>-</t>
        </is>
      </c>
      <c r="G3142" s="7" t="n">
        <v>111.6057281494141</v>
      </c>
      <c r="H3142" s="6">
        <f>P3111</f>
        <v/>
      </c>
      <c r="I3142" s="9">
        <f>Q3111</f>
        <v/>
      </c>
      <c r="J3142" s="7">
        <f>I3142*G3142</f>
        <v/>
      </c>
      <c r="K3142" s="8">
        <f>IF($J$3163=0,0,J3142/$J$3163)</f>
        <v/>
      </c>
      <c r="L3142" s="6" t="inlineStr">
        <is>
          <t>REJECTED</t>
        </is>
      </c>
      <c r="M3142" s="8" t="n">
        <v>0</v>
      </c>
      <c r="N3142" s="7">
        <f>M3142*$J$3163-J3142</f>
        <v/>
      </c>
      <c r="O3142" s="9">
        <f>IF(G3142=0,0,N3142/G3142)</f>
        <v/>
      </c>
      <c r="P3142" s="6">
        <f>IF(M3142&gt;0,D3142,"")</f>
        <v/>
      </c>
      <c r="Q3142" s="9">
        <f>I3142+O3142</f>
        <v/>
      </c>
      <c r="R3142" s="7">
        <f>Q3142*G3142</f>
        <v/>
      </c>
      <c r="S3142" s="8">
        <f>IF($R$3163=0,0,R3142/$R$3163)</f>
        <v/>
      </c>
      <c r="T3142" s="8" t="n">
        <v>-0.02273788838971713</v>
      </c>
      <c r="U3142" s="8" t="n">
        <v>-0.0173989644243947</v>
      </c>
      <c r="V3142" s="6" t="inlineStr">
        <is>
          <t>not selected</t>
        </is>
      </c>
    </row>
    <row r="3143">
      <c r="A3143" s="6" t="inlineStr">
        <is>
          <t>DJ30</t>
        </is>
      </c>
      <c r="B3143" s="6" t="inlineStr">
        <is>
          <t>2024-12-13</t>
        </is>
      </c>
      <c r="C3143" s="6" t="inlineStr">
        <is>
          <t>DIA</t>
        </is>
      </c>
      <c r="D3143" s="6" t="inlineStr">
        <is>
          <t>GS</t>
        </is>
      </c>
      <c r="E3143" s="6" t="inlineStr">
        <is>
          <t>GS</t>
        </is>
      </c>
      <c r="F3143" s="6" t="inlineStr">
        <is>
          <t>-</t>
        </is>
      </c>
      <c r="G3143" s="7" t="n">
        <v>568.2620849609375</v>
      </c>
      <c r="H3143" s="6">
        <f>P3112</f>
        <v/>
      </c>
      <c r="I3143" s="9">
        <f>Q3112</f>
        <v/>
      </c>
      <c r="J3143" s="7">
        <f>I3143*G3143</f>
        <v/>
      </c>
      <c r="K3143" s="8">
        <f>IF($J$3163=0,0,J3143/$J$3163)</f>
        <v/>
      </c>
      <c r="L3143" s="6" t="inlineStr">
        <is>
          <t>SELECTED</t>
        </is>
      </c>
      <c r="M3143" s="8" t="n">
        <v>0.2</v>
      </c>
      <c r="N3143" s="7">
        <f>M3143*$J$3163-J3143</f>
        <v/>
      </c>
      <c r="O3143" s="9">
        <f>IF(G3143=0,0,N3143/G3143)</f>
        <v/>
      </c>
      <c r="P3143" s="6">
        <f>IF(M3143&gt;0,D3143,"")</f>
        <v/>
      </c>
      <c r="Q3143" s="9">
        <f>I3143+O3143</f>
        <v/>
      </c>
      <c r="R3143" s="7">
        <f>Q3143*G3143</f>
        <v/>
      </c>
      <c r="S3143" s="8">
        <f>IF($R$3163=0,0,R3143/$R$3163)</f>
        <v/>
      </c>
      <c r="T3143" s="8" t="n">
        <v>-0.02273788838971713</v>
      </c>
      <c r="U3143" s="8" t="n">
        <v>-0.0173989644243947</v>
      </c>
      <c r="V3143" s="6" t="inlineStr">
        <is>
          <t>remained in weekly selection</t>
        </is>
      </c>
    </row>
    <row r="3144">
      <c r="A3144" s="6" t="inlineStr">
        <is>
          <t>DJ30</t>
        </is>
      </c>
      <c r="B3144" s="6" t="inlineStr">
        <is>
          <t>2024-12-13</t>
        </is>
      </c>
      <c r="C3144" s="6" t="inlineStr">
        <is>
          <t>DIA</t>
        </is>
      </c>
      <c r="D3144" s="6" t="inlineStr">
        <is>
          <t>HD</t>
        </is>
      </c>
      <c r="E3144" s="6" t="inlineStr">
        <is>
          <t>HD</t>
        </is>
      </c>
      <c r="F3144" s="6" t="inlineStr">
        <is>
          <t>-</t>
        </is>
      </c>
      <c r="G3144" s="7" t="n">
        <v>401.1264343261719</v>
      </c>
      <c r="H3144" s="6">
        <f>P3113</f>
        <v/>
      </c>
      <c r="I3144" s="9">
        <f>Q3113</f>
        <v/>
      </c>
      <c r="J3144" s="7">
        <f>I3144*G3144</f>
        <v/>
      </c>
      <c r="K3144" s="8">
        <f>IF($J$3163=0,0,J3144/$J$3163)</f>
        <v/>
      </c>
      <c r="L3144" s="6" t="inlineStr">
        <is>
          <t>WATCHLIST</t>
        </is>
      </c>
      <c r="M3144" s="8" t="n">
        <v>0</v>
      </c>
      <c r="N3144" s="7">
        <f>M3144*$J$3163-J3144</f>
        <v/>
      </c>
      <c r="O3144" s="9">
        <f>IF(G3144=0,0,N3144/G3144)</f>
        <v/>
      </c>
      <c r="P3144" s="6">
        <f>IF(M3144&gt;0,D3144,"")</f>
        <v/>
      </c>
      <c r="Q3144" s="9">
        <f>I3144+O3144</f>
        <v/>
      </c>
      <c r="R3144" s="7">
        <f>Q3144*G3144</f>
        <v/>
      </c>
      <c r="S3144" s="8">
        <f>IF($R$3163=0,0,R3144/$R$3163)</f>
        <v/>
      </c>
      <c r="T3144" s="8" t="n">
        <v>-0.02273788838971713</v>
      </c>
      <c r="U3144" s="8" t="n">
        <v>-0.0173989644243947</v>
      </c>
      <c r="V3144" s="6" t="inlineStr">
        <is>
          <t>not selected</t>
        </is>
      </c>
    </row>
    <row r="3145">
      <c r="A3145" s="6" t="inlineStr">
        <is>
          <t>DJ30</t>
        </is>
      </c>
      <c r="B3145" s="6" t="inlineStr">
        <is>
          <t>2024-12-13</t>
        </is>
      </c>
      <c r="C3145" s="6" t="inlineStr">
        <is>
          <t>DIA</t>
        </is>
      </c>
      <c r="D3145" s="6" t="inlineStr">
        <is>
          <t>HON</t>
        </is>
      </c>
      <c r="E3145" s="6" t="inlineStr">
        <is>
          <t>HON</t>
        </is>
      </c>
      <c r="F3145" s="6" t="inlineStr">
        <is>
          <t>-</t>
        </is>
      </c>
      <c r="G3145" s="7" t="n">
        <v>207.7706146240234</v>
      </c>
      <c r="H3145" s="6">
        <f>P3114</f>
        <v/>
      </c>
      <c r="I3145" s="9">
        <f>Q3114</f>
        <v/>
      </c>
      <c r="J3145" s="7">
        <f>I3145*G3145</f>
        <v/>
      </c>
      <c r="K3145" s="8">
        <f>IF($J$3163=0,0,J3145/$J$3163)</f>
        <v/>
      </c>
      <c r="L3145" s="6" t="inlineStr">
        <is>
          <t>WATCHLIST</t>
        </is>
      </c>
      <c r="M3145" s="8" t="n">
        <v>0</v>
      </c>
      <c r="N3145" s="7">
        <f>M3145*$J$3163-J3145</f>
        <v/>
      </c>
      <c r="O3145" s="9">
        <f>IF(G3145=0,0,N3145/G3145)</f>
        <v/>
      </c>
      <c r="P3145" s="6">
        <f>IF(M3145&gt;0,D3145,"")</f>
        <v/>
      </c>
      <c r="Q3145" s="9">
        <f>I3145+O3145</f>
        <v/>
      </c>
      <c r="R3145" s="7">
        <f>Q3145*G3145</f>
        <v/>
      </c>
      <c r="S3145" s="8">
        <f>IF($R$3163=0,0,R3145/$R$3163)</f>
        <v/>
      </c>
      <c r="T3145" s="8" t="n">
        <v>-0.02273788838971713</v>
      </c>
      <c r="U3145" s="8" t="n">
        <v>-0.0173989644243947</v>
      </c>
      <c r="V3145" s="6" t="inlineStr">
        <is>
          <t>not selected</t>
        </is>
      </c>
    </row>
    <row r="3146">
      <c r="A3146" s="6" t="inlineStr">
        <is>
          <t>DJ30</t>
        </is>
      </c>
      <c r="B3146" s="6" t="inlineStr">
        <is>
          <t>2024-12-13</t>
        </is>
      </c>
      <c r="C3146" s="6" t="inlineStr">
        <is>
          <t>DIA</t>
        </is>
      </c>
      <c r="D3146" s="6" t="inlineStr">
        <is>
          <t>IBM</t>
        </is>
      </c>
      <c r="E3146" s="6" t="inlineStr">
        <is>
          <t>IBM</t>
        </is>
      </c>
      <c r="F3146" s="6" t="inlineStr">
        <is>
          <t>-</t>
        </is>
      </c>
      <c r="G3146" s="7" t="n">
        <v>222.0961761474609</v>
      </c>
      <c r="H3146" s="6">
        <f>P3115</f>
        <v/>
      </c>
      <c r="I3146" s="9">
        <f>Q3115</f>
        <v/>
      </c>
      <c r="J3146" s="7">
        <f>I3146*G3146</f>
        <v/>
      </c>
      <c r="K3146" s="8">
        <f>IF($J$3163=0,0,J3146/$J$3163)</f>
        <v/>
      </c>
      <c r="L3146" s="6" t="inlineStr">
        <is>
          <t>SELECTED</t>
        </is>
      </c>
      <c r="M3146" s="8" t="n">
        <v>0.2</v>
      </c>
      <c r="N3146" s="7">
        <f>M3146*$J$3163-J3146</f>
        <v/>
      </c>
      <c r="O3146" s="9">
        <f>IF(G3146=0,0,N3146/G3146)</f>
        <v/>
      </c>
      <c r="P3146" s="6">
        <f>IF(M3146&gt;0,D3146,"")</f>
        <v/>
      </c>
      <c r="Q3146" s="9">
        <f>I3146+O3146</f>
        <v/>
      </c>
      <c r="R3146" s="7">
        <f>Q3146*G3146</f>
        <v/>
      </c>
      <c r="S3146" s="8">
        <f>IF($R$3163=0,0,R3146/$R$3163)</f>
        <v/>
      </c>
      <c r="T3146" s="8" t="n">
        <v>-0.02273788838971713</v>
      </c>
      <c r="U3146" s="8" t="n">
        <v>-0.0173989644243947</v>
      </c>
      <c r="V3146" s="6" t="inlineStr">
        <is>
          <t>remained in weekly selection</t>
        </is>
      </c>
    </row>
    <row r="3147">
      <c r="A3147" s="6" t="inlineStr">
        <is>
          <t>DJ30</t>
        </is>
      </c>
      <c r="B3147" s="6" t="inlineStr">
        <is>
          <t>2024-12-13</t>
        </is>
      </c>
      <c r="C3147" s="6" t="inlineStr">
        <is>
          <t>DIA</t>
        </is>
      </c>
      <c r="D3147" s="6" t="inlineStr">
        <is>
          <t>JNJ</t>
        </is>
      </c>
      <c r="E3147" s="6" t="inlineStr">
        <is>
          <t>JNJ</t>
        </is>
      </c>
      <c r="F3147" s="6" t="inlineStr">
        <is>
          <t>-</t>
        </is>
      </c>
      <c r="G3147" s="7" t="n">
        <v>140.7036590576172</v>
      </c>
      <c r="H3147" s="6">
        <f>P3116</f>
        <v/>
      </c>
      <c r="I3147" s="9">
        <f>Q3116</f>
        <v/>
      </c>
      <c r="J3147" s="7">
        <f>I3147*G3147</f>
        <v/>
      </c>
      <c r="K3147" s="8">
        <f>IF($J$3163=0,0,J3147/$J$3163)</f>
        <v/>
      </c>
      <c r="L3147" s="6" t="inlineStr">
        <is>
          <t>REJECTED</t>
        </is>
      </c>
      <c r="M3147" s="8" t="n">
        <v>0</v>
      </c>
      <c r="N3147" s="7">
        <f>M3147*$J$3163-J3147</f>
        <v/>
      </c>
      <c r="O3147" s="9">
        <f>IF(G3147=0,0,N3147/G3147)</f>
        <v/>
      </c>
      <c r="P3147" s="6">
        <f>IF(M3147&gt;0,D3147,"")</f>
        <v/>
      </c>
      <c r="Q3147" s="9">
        <f>I3147+O3147</f>
        <v/>
      </c>
      <c r="R3147" s="7">
        <f>Q3147*G3147</f>
        <v/>
      </c>
      <c r="S3147" s="8">
        <f>IF($R$3163=0,0,R3147/$R$3163)</f>
        <v/>
      </c>
      <c r="T3147" s="8" t="n">
        <v>-0.02273788838971713</v>
      </c>
      <c r="U3147" s="8" t="n">
        <v>-0.0173989644243947</v>
      </c>
      <c r="V3147" s="6" t="inlineStr">
        <is>
          <t>not selected</t>
        </is>
      </c>
    </row>
    <row r="3148">
      <c r="A3148" s="6" t="inlineStr">
        <is>
          <t>DJ30</t>
        </is>
      </c>
      <c r="B3148" s="6" t="inlineStr">
        <is>
          <t>2024-12-13</t>
        </is>
      </c>
      <c r="C3148" s="6" t="inlineStr">
        <is>
          <t>DIA</t>
        </is>
      </c>
      <c r="D3148" s="6" t="inlineStr">
        <is>
          <t>JPM</t>
        </is>
      </c>
      <c r="E3148" s="6" t="inlineStr">
        <is>
          <t>JPM</t>
        </is>
      </c>
      <c r="F3148" s="6" t="inlineStr">
        <is>
          <t>-</t>
        </is>
      </c>
      <c r="G3148" s="7" t="n">
        <v>232.7199096679688</v>
      </c>
      <c r="H3148" s="6">
        <f>P3117</f>
        <v/>
      </c>
      <c r="I3148" s="9">
        <f>Q3117</f>
        <v/>
      </c>
      <c r="J3148" s="7">
        <f>I3148*G3148</f>
        <v/>
      </c>
      <c r="K3148" s="8">
        <f>IF($J$3163=0,0,J3148/$J$3163)</f>
        <v/>
      </c>
      <c r="L3148" s="6" t="inlineStr">
        <is>
          <t>WATCHLIST</t>
        </is>
      </c>
      <c r="M3148" s="8" t="n">
        <v>0</v>
      </c>
      <c r="N3148" s="7">
        <f>M3148*$J$3163-J3148</f>
        <v/>
      </c>
      <c r="O3148" s="9">
        <f>IF(G3148=0,0,N3148/G3148)</f>
        <v/>
      </c>
      <c r="P3148" s="6">
        <f>IF(M3148&gt;0,D3148,"")</f>
        <v/>
      </c>
      <c r="Q3148" s="9">
        <f>I3148+O3148</f>
        <v/>
      </c>
      <c r="R3148" s="7">
        <f>Q3148*G3148</f>
        <v/>
      </c>
      <c r="S3148" s="8">
        <f>IF($R$3163=0,0,R3148/$R$3163)</f>
        <v/>
      </c>
      <c r="T3148" s="8" t="n">
        <v>-0.02273788838971713</v>
      </c>
      <c r="U3148" s="8" t="n">
        <v>-0.0173989644243947</v>
      </c>
      <c r="V3148" s="6" t="inlineStr">
        <is>
          <t>not selected</t>
        </is>
      </c>
    </row>
    <row r="3149">
      <c r="A3149" s="6" t="inlineStr">
        <is>
          <t>DJ30</t>
        </is>
      </c>
      <c r="B3149" s="6" t="inlineStr">
        <is>
          <t>2024-12-13</t>
        </is>
      </c>
      <c r="C3149" s="6" t="inlineStr">
        <is>
          <t>DIA</t>
        </is>
      </c>
      <c r="D3149" s="6" t="inlineStr">
        <is>
          <t>KO</t>
        </is>
      </c>
      <c r="E3149" s="6" t="inlineStr">
        <is>
          <t>KO</t>
        </is>
      </c>
      <c r="F3149" s="6" t="inlineStr">
        <is>
          <t>-</t>
        </is>
      </c>
      <c r="G3149" s="7" t="n">
        <v>60.50180435180664</v>
      </c>
      <c r="H3149" s="6">
        <f>P3118</f>
        <v/>
      </c>
      <c r="I3149" s="9">
        <f>Q3118</f>
        <v/>
      </c>
      <c r="J3149" s="7">
        <f>I3149*G3149</f>
        <v/>
      </c>
      <c r="K3149" s="8">
        <f>IF($J$3163=0,0,J3149/$J$3163)</f>
        <v/>
      </c>
      <c r="L3149" s="6" t="inlineStr">
        <is>
          <t>WATCHLIST</t>
        </is>
      </c>
      <c r="M3149" s="8" t="n">
        <v>0</v>
      </c>
      <c r="N3149" s="7">
        <f>M3149*$J$3163-J3149</f>
        <v/>
      </c>
      <c r="O3149" s="9">
        <f>IF(G3149=0,0,N3149/G3149)</f>
        <v/>
      </c>
      <c r="P3149" s="6">
        <f>IF(M3149&gt;0,D3149,"")</f>
        <v/>
      </c>
      <c r="Q3149" s="9">
        <f>I3149+O3149</f>
        <v/>
      </c>
      <c r="R3149" s="7">
        <f>Q3149*G3149</f>
        <v/>
      </c>
      <c r="S3149" s="8">
        <f>IF($R$3163=0,0,R3149/$R$3163)</f>
        <v/>
      </c>
      <c r="T3149" s="8" t="n">
        <v>-0.02273788838971713</v>
      </c>
      <c r="U3149" s="8" t="n">
        <v>-0.0173989644243947</v>
      </c>
      <c r="V3149" s="6" t="inlineStr">
        <is>
          <t>not selected</t>
        </is>
      </c>
    </row>
    <row r="3150">
      <c r="A3150" s="6" t="inlineStr">
        <is>
          <t>DJ30</t>
        </is>
      </c>
      <c r="B3150" s="6" t="inlineStr">
        <is>
          <t>2024-12-13</t>
        </is>
      </c>
      <c r="C3150" s="6" t="inlineStr">
        <is>
          <t>DIA</t>
        </is>
      </c>
      <c r="D3150" s="6" t="inlineStr">
        <is>
          <t>MCD</t>
        </is>
      </c>
      <c r="E3150" s="6" t="inlineStr">
        <is>
          <t>MCD</t>
        </is>
      </c>
      <c r="F3150" s="6" t="inlineStr">
        <is>
          <t>-</t>
        </is>
      </c>
      <c r="G3150" s="7" t="n">
        <v>286.287841796875</v>
      </c>
      <c r="H3150" s="6">
        <f>P3119</f>
        <v/>
      </c>
      <c r="I3150" s="9">
        <f>Q3119</f>
        <v/>
      </c>
      <c r="J3150" s="7">
        <f>I3150*G3150</f>
        <v/>
      </c>
      <c r="K3150" s="8">
        <f>IF($J$3163=0,0,J3150/$J$3163)</f>
        <v/>
      </c>
      <c r="L3150" s="6" t="inlineStr">
        <is>
          <t>REJECTED</t>
        </is>
      </c>
      <c r="M3150" s="8" t="n">
        <v>0</v>
      </c>
      <c r="N3150" s="7">
        <f>M3150*$J$3163-J3150</f>
        <v/>
      </c>
      <c r="O3150" s="9">
        <f>IF(G3150=0,0,N3150/G3150)</f>
        <v/>
      </c>
      <c r="P3150" s="6">
        <f>IF(M3150&gt;0,D3150,"")</f>
        <v/>
      </c>
      <c r="Q3150" s="9">
        <f>I3150+O3150</f>
        <v/>
      </c>
      <c r="R3150" s="7">
        <f>Q3150*G3150</f>
        <v/>
      </c>
      <c r="S3150" s="8">
        <f>IF($R$3163=0,0,R3150/$R$3163)</f>
        <v/>
      </c>
      <c r="T3150" s="8" t="n">
        <v>-0.02273788838971713</v>
      </c>
      <c r="U3150" s="8" t="n">
        <v>-0.0173989644243947</v>
      </c>
      <c r="V3150" s="6" t="inlineStr">
        <is>
          <t>not selected</t>
        </is>
      </c>
    </row>
    <row r="3151">
      <c r="A3151" s="6" t="inlineStr">
        <is>
          <t>DJ30</t>
        </is>
      </c>
      <c r="B3151" s="6" t="inlineStr">
        <is>
          <t>2024-12-13</t>
        </is>
      </c>
      <c r="C3151" s="6" t="inlineStr">
        <is>
          <t>DIA</t>
        </is>
      </c>
      <c r="D3151" s="6" t="inlineStr">
        <is>
          <t>MMM</t>
        </is>
      </c>
      <c r="E3151" s="6" t="inlineStr">
        <is>
          <t>MMM</t>
        </is>
      </c>
      <c r="F3151" s="6" t="inlineStr">
        <is>
          <t>-</t>
        </is>
      </c>
      <c r="G3151" s="7" t="n">
        <v>126.2898025512695</v>
      </c>
      <c r="H3151" s="6">
        <f>P3120</f>
        <v/>
      </c>
      <c r="I3151" s="9">
        <f>Q3120</f>
        <v/>
      </c>
      <c r="J3151" s="7">
        <f>I3151*G3151</f>
        <v/>
      </c>
      <c r="K3151" s="8">
        <f>IF($J$3163=0,0,J3151/$J$3163)</f>
        <v/>
      </c>
      <c r="L3151" s="6" t="inlineStr">
        <is>
          <t>SELECTED</t>
        </is>
      </c>
      <c r="M3151" s="8" t="n">
        <v>0.2</v>
      </c>
      <c r="N3151" s="7">
        <f>M3151*$J$3163-J3151</f>
        <v/>
      </c>
      <c r="O3151" s="9">
        <f>IF(G3151=0,0,N3151/G3151)</f>
        <v/>
      </c>
      <c r="P3151" s="6">
        <f>IF(M3151&gt;0,D3151,"")</f>
        <v/>
      </c>
      <c r="Q3151" s="9">
        <f>I3151+O3151</f>
        <v/>
      </c>
      <c r="R3151" s="7">
        <f>Q3151*G3151</f>
        <v/>
      </c>
      <c r="S3151" s="8">
        <f>IF($R$3163=0,0,R3151/$R$3163)</f>
        <v/>
      </c>
      <c r="T3151" s="8" t="n">
        <v>-0.02273788838971713</v>
      </c>
      <c r="U3151" s="8" t="n">
        <v>-0.0173989644243947</v>
      </c>
      <c r="V3151" s="6" t="inlineStr">
        <is>
          <t>remained in weekly selection</t>
        </is>
      </c>
    </row>
    <row r="3152">
      <c r="A3152" s="6" t="inlineStr">
        <is>
          <t>DJ30</t>
        </is>
      </c>
      <c r="B3152" s="6" t="inlineStr">
        <is>
          <t>2024-12-13</t>
        </is>
      </c>
      <c r="C3152" s="6" t="inlineStr">
        <is>
          <t>DIA</t>
        </is>
      </c>
      <c r="D3152" s="6" t="inlineStr">
        <is>
          <t>MRK</t>
        </is>
      </c>
      <c r="E3152" s="6" t="inlineStr">
        <is>
          <t>MRK</t>
        </is>
      </c>
      <c r="F3152" s="6" t="inlineStr">
        <is>
          <t>-</t>
        </is>
      </c>
      <c r="G3152" s="7" t="n">
        <v>96.11547088623048</v>
      </c>
      <c r="H3152" s="6">
        <f>P3121</f>
        <v/>
      </c>
      <c r="I3152" s="9">
        <f>Q3121</f>
        <v/>
      </c>
      <c r="J3152" s="7">
        <f>I3152*G3152</f>
        <v/>
      </c>
      <c r="K3152" s="8">
        <f>IF($J$3163=0,0,J3152/$J$3163)</f>
        <v/>
      </c>
      <c r="L3152" s="6" t="inlineStr">
        <is>
          <t>REJECTED</t>
        </is>
      </c>
      <c r="M3152" s="8" t="n">
        <v>0</v>
      </c>
      <c r="N3152" s="7">
        <f>M3152*$J$3163-J3152</f>
        <v/>
      </c>
      <c r="O3152" s="9">
        <f>IF(G3152=0,0,N3152/G3152)</f>
        <v/>
      </c>
      <c r="P3152" s="6">
        <f>IF(M3152&gt;0,D3152,"")</f>
        <v/>
      </c>
      <c r="Q3152" s="9">
        <f>I3152+O3152</f>
        <v/>
      </c>
      <c r="R3152" s="7">
        <f>Q3152*G3152</f>
        <v/>
      </c>
      <c r="S3152" s="8">
        <f>IF($R$3163=0,0,R3152/$R$3163)</f>
        <v/>
      </c>
      <c r="T3152" s="8" t="n">
        <v>-0.02273788838971713</v>
      </c>
      <c r="U3152" s="8" t="n">
        <v>-0.0173989644243947</v>
      </c>
      <c r="V3152" s="6" t="inlineStr">
        <is>
          <t>not selected</t>
        </is>
      </c>
    </row>
    <row r="3153">
      <c r="A3153" s="6" t="inlineStr">
        <is>
          <t>DJ30</t>
        </is>
      </c>
      <c r="B3153" s="6" t="inlineStr">
        <is>
          <t>2024-12-13</t>
        </is>
      </c>
      <c r="C3153" s="6" t="inlineStr">
        <is>
          <t>DIA</t>
        </is>
      </c>
      <c r="D3153" s="6" t="inlineStr">
        <is>
          <t>MSFT</t>
        </is>
      </c>
      <c r="E3153" s="6" t="inlineStr">
        <is>
          <t>MSFT</t>
        </is>
      </c>
      <c r="F3153" s="6" t="inlineStr">
        <is>
          <t>-</t>
        </is>
      </c>
      <c r="G3153" s="7" t="n">
        <v>442.0262451171875</v>
      </c>
      <c r="H3153" s="6">
        <f>P3122</f>
        <v/>
      </c>
      <c r="I3153" s="9">
        <f>Q3122</f>
        <v/>
      </c>
      <c r="J3153" s="7">
        <f>I3153*G3153</f>
        <v/>
      </c>
      <c r="K3153" s="8">
        <f>IF($J$3163=0,0,J3153/$J$3163)</f>
        <v/>
      </c>
      <c r="L3153" s="6" t="inlineStr">
        <is>
          <t>WATCHLIST</t>
        </is>
      </c>
      <c r="M3153" s="8" t="n">
        <v>0</v>
      </c>
      <c r="N3153" s="7">
        <f>M3153*$J$3163-J3153</f>
        <v/>
      </c>
      <c r="O3153" s="9">
        <f>IF(G3153=0,0,N3153/G3153)</f>
        <v/>
      </c>
      <c r="P3153" s="6">
        <f>IF(M3153&gt;0,D3153,"")</f>
        <v/>
      </c>
      <c r="Q3153" s="9">
        <f>I3153+O3153</f>
        <v/>
      </c>
      <c r="R3153" s="7">
        <f>Q3153*G3153</f>
        <v/>
      </c>
      <c r="S3153" s="8">
        <f>IF($R$3163=0,0,R3153/$R$3163)</f>
        <v/>
      </c>
      <c r="T3153" s="8" t="n">
        <v>-0.02273788838971713</v>
      </c>
      <c r="U3153" s="8" t="n">
        <v>-0.0173989644243947</v>
      </c>
      <c r="V3153" s="6" t="inlineStr">
        <is>
          <t>not selected</t>
        </is>
      </c>
    </row>
    <row r="3154">
      <c r="A3154" s="6" t="inlineStr">
        <is>
          <t>DJ30</t>
        </is>
      </c>
      <c r="B3154" s="6" t="inlineStr">
        <is>
          <t>2024-12-13</t>
        </is>
      </c>
      <c r="C3154" s="6" t="inlineStr">
        <is>
          <t>DIA</t>
        </is>
      </c>
      <c r="D3154" s="6" t="inlineStr">
        <is>
          <t>NKE</t>
        </is>
      </c>
      <c r="E3154" s="6" t="inlineStr">
        <is>
          <t>NKE</t>
        </is>
      </c>
      <c r="F3154" s="6" t="inlineStr">
        <is>
          <t>-</t>
        </is>
      </c>
      <c r="G3154" s="7" t="n">
        <v>74.31430816650391</v>
      </c>
      <c r="H3154" s="6">
        <f>P3123</f>
        <v/>
      </c>
      <c r="I3154" s="9">
        <f>Q3123</f>
        <v/>
      </c>
      <c r="J3154" s="7">
        <f>I3154*G3154</f>
        <v/>
      </c>
      <c r="K3154" s="8">
        <f>IF($J$3163=0,0,J3154/$J$3163)</f>
        <v/>
      </c>
      <c r="L3154" s="6" t="inlineStr">
        <is>
          <t>REJECTED</t>
        </is>
      </c>
      <c r="M3154" s="8" t="n">
        <v>0</v>
      </c>
      <c r="N3154" s="7">
        <f>M3154*$J$3163-J3154</f>
        <v/>
      </c>
      <c r="O3154" s="9">
        <f>IF(G3154=0,0,N3154/G3154)</f>
        <v/>
      </c>
      <c r="P3154" s="6">
        <f>IF(M3154&gt;0,D3154,"")</f>
        <v/>
      </c>
      <c r="Q3154" s="9">
        <f>I3154+O3154</f>
        <v/>
      </c>
      <c r="R3154" s="7">
        <f>Q3154*G3154</f>
        <v/>
      </c>
      <c r="S3154" s="8">
        <f>IF($R$3163=0,0,R3154/$R$3163)</f>
        <v/>
      </c>
      <c r="T3154" s="8" t="n">
        <v>-0.02273788838971713</v>
      </c>
      <c r="U3154" s="8" t="n">
        <v>-0.0173989644243947</v>
      </c>
      <c r="V3154" s="6" t="inlineStr">
        <is>
          <t>not selected</t>
        </is>
      </c>
    </row>
    <row r="3155">
      <c r="A3155" s="6" t="inlineStr">
        <is>
          <t>DJ30</t>
        </is>
      </c>
      <c r="B3155" s="6" t="inlineStr">
        <is>
          <t>2024-12-13</t>
        </is>
      </c>
      <c r="C3155" s="6" t="inlineStr">
        <is>
          <t>DIA</t>
        </is>
      </c>
      <c r="D3155" s="6" t="inlineStr">
        <is>
          <t>NVDA</t>
        </is>
      </c>
      <c r="E3155" s="6" t="inlineStr">
        <is>
          <t>NVDA</t>
        </is>
      </c>
      <c r="F3155" s="6" t="inlineStr">
        <is>
          <t>-</t>
        </is>
      </c>
      <c r="G3155" s="7" t="n">
        <v>134.0498199462891</v>
      </c>
      <c r="H3155" s="6">
        <f>P3124</f>
        <v/>
      </c>
      <c r="I3155" s="9">
        <f>Q3124</f>
        <v/>
      </c>
      <c r="J3155" s="7">
        <f>I3155*G3155</f>
        <v/>
      </c>
      <c r="K3155" s="8">
        <f>IF($J$3163=0,0,J3155/$J$3163)</f>
        <v/>
      </c>
      <c r="L3155" s="6" t="inlineStr">
        <is>
          <t>SELECTED</t>
        </is>
      </c>
      <c r="M3155" s="8" t="n">
        <v>0.2</v>
      </c>
      <c r="N3155" s="7">
        <f>M3155*$J$3163-J3155</f>
        <v/>
      </c>
      <c r="O3155" s="9">
        <f>IF(G3155=0,0,N3155/G3155)</f>
        <v/>
      </c>
      <c r="P3155" s="6">
        <f>IF(M3155&gt;0,D3155,"")</f>
        <v/>
      </c>
      <c r="Q3155" s="9">
        <f>I3155+O3155</f>
        <v/>
      </c>
      <c r="R3155" s="7">
        <f>Q3155*G3155</f>
        <v/>
      </c>
      <c r="S3155" s="8">
        <f>IF($R$3163=0,0,R3155/$R$3163)</f>
        <v/>
      </c>
      <c r="T3155" s="8" t="n">
        <v>-0.02273788838971713</v>
      </c>
      <c r="U3155" s="8" t="n">
        <v>-0.0173989644243947</v>
      </c>
      <c r="V3155" s="6" t="inlineStr">
        <is>
          <t>remained in weekly selection</t>
        </is>
      </c>
    </row>
    <row r="3156">
      <c r="A3156" s="6" t="inlineStr">
        <is>
          <t>DJ30</t>
        </is>
      </c>
      <c r="B3156" s="6" t="inlineStr">
        <is>
          <t>2024-12-13</t>
        </is>
      </c>
      <c r="C3156" s="6" t="inlineStr">
        <is>
          <t>DIA</t>
        </is>
      </c>
      <c r="D3156" s="6" t="inlineStr">
        <is>
          <t>PG</t>
        </is>
      </c>
      <c r="E3156" s="6" t="inlineStr">
        <is>
          <t>PG</t>
        </is>
      </c>
      <c r="F3156" s="6" t="inlineStr">
        <is>
          <t>-</t>
        </is>
      </c>
      <c r="G3156" s="7" t="n">
        <v>164.2452087402344</v>
      </c>
      <c r="H3156" s="6">
        <f>P3125</f>
        <v/>
      </c>
      <c r="I3156" s="9">
        <f>Q3125</f>
        <v/>
      </c>
      <c r="J3156" s="7">
        <f>I3156*G3156</f>
        <v/>
      </c>
      <c r="K3156" s="8">
        <f>IF($J$3163=0,0,J3156/$J$3163)</f>
        <v/>
      </c>
      <c r="L3156" s="6" t="inlineStr">
        <is>
          <t>WATCHLIST</t>
        </is>
      </c>
      <c r="M3156" s="8" t="n">
        <v>0</v>
      </c>
      <c r="N3156" s="7">
        <f>M3156*$J$3163-J3156</f>
        <v/>
      </c>
      <c r="O3156" s="9">
        <f>IF(G3156=0,0,N3156/G3156)</f>
        <v/>
      </c>
      <c r="P3156" s="6">
        <f>IF(M3156&gt;0,D3156,"")</f>
        <v/>
      </c>
      <c r="Q3156" s="9">
        <f>I3156+O3156</f>
        <v/>
      </c>
      <c r="R3156" s="7">
        <f>Q3156*G3156</f>
        <v/>
      </c>
      <c r="S3156" s="8">
        <f>IF($R$3163=0,0,R3156/$R$3163)</f>
        <v/>
      </c>
      <c r="T3156" s="8" t="n">
        <v>-0.02273788838971713</v>
      </c>
      <c r="U3156" s="8" t="n">
        <v>-0.0173989644243947</v>
      </c>
      <c r="V3156" s="6" t="inlineStr">
        <is>
          <t>not selected</t>
        </is>
      </c>
    </row>
    <row r="3157">
      <c r="A3157" s="6" t="inlineStr">
        <is>
          <t>DJ30</t>
        </is>
      </c>
      <c r="B3157" s="6" t="inlineStr">
        <is>
          <t>2024-12-13</t>
        </is>
      </c>
      <c r="C3157" s="6" t="inlineStr">
        <is>
          <t>DIA</t>
        </is>
      </c>
      <c r="D3157" s="6" t="inlineStr">
        <is>
          <t>SHW</t>
        </is>
      </c>
      <c r="E3157" s="6" t="inlineStr">
        <is>
          <t>SHW</t>
        </is>
      </c>
      <c r="F3157" s="6" t="inlineStr">
        <is>
          <t>-</t>
        </is>
      </c>
      <c r="G3157" s="7" t="n">
        <v>359.5523071289062</v>
      </c>
      <c r="H3157" s="6">
        <f>P3126</f>
        <v/>
      </c>
      <c r="I3157" s="9">
        <f>Q3126</f>
        <v/>
      </c>
      <c r="J3157" s="7">
        <f>I3157*G3157</f>
        <v/>
      </c>
      <c r="K3157" s="8">
        <f>IF($J$3163=0,0,J3157/$J$3163)</f>
        <v/>
      </c>
      <c r="L3157" s="6" t="inlineStr">
        <is>
          <t>WATCHLIST</t>
        </is>
      </c>
      <c r="M3157" s="8" t="n">
        <v>0</v>
      </c>
      <c r="N3157" s="7">
        <f>M3157*$J$3163-J3157</f>
        <v/>
      </c>
      <c r="O3157" s="9">
        <f>IF(G3157=0,0,N3157/G3157)</f>
        <v/>
      </c>
      <c r="P3157" s="6">
        <f>IF(M3157&gt;0,D3157,"")</f>
        <v/>
      </c>
      <c r="Q3157" s="9">
        <f>I3157+O3157</f>
        <v/>
      </c>
      <c r="R3157" s="7">
        <f>Q3157*G3157</f>
        <v/>
      </c>
      <c r="S3157" s="8">
        <f>IF($R$3163=0,0,R3157/$R$3163)</f>
        <v/>
      </c>
      <c r="T3157" s="8" t="n">
        <v>-0.02273788838971713</v>
      </c>
      <c r="U3157" s="8" t="n">
        <v>-0.0173989644243947</v>
      </c>
      <c r="V3157" s="6" t="inlineStr">
        <is>
          <t>not selected</t>
        </is>
      </c>
    </row>
    <row r="3158">
      <c r="A3158" s="6" t="inlineStr">
        <is>
          <t>DJ30</t>
        </is>
      </c>
      <c r="B3158" s="6" t="inlineStr">
        <is>
          <t>2024-12-13</t>
        </is>
      </c>
      <c r="C3158" s="6" t="inlineStr">
        <is>
          <t>DIA</t>
        </is>
      </c>
      <c r="D3158" s="6" t="inlineStr">
        <is>
          <t>TRV</t>
        </is>
      </c>
      <c r="E3158" s="6" t="inlineStr">
        <is>
          <t>TRV</t>
        </is>
      </c>
      <c r="F3158" s="6" t="inlineStr">
        <is>
          <t>-</t>
        </is>
      </c>
      <c r="G3158" s="7" t="n">
        <v>240.4632110595703</v>
      </c>
      <c r="H3158" s="6">
        <f>P3127</f>
        <v/>
      </c>
      <c r="I3158" s="9">
        <f>Q3127</f>
        <v/>
      </c>
      <c r="J3158" s="7">
        <f>I3158*G3158</f>
        <v/>
      </c>
      <c r="K3158" s="8">
        <f>IF($J$3163=0,0,J3158/$J$3163)</f>
        <v/>
      </c>
      <c r="L3158" s="6" t="inlineStr">
        <is>
          <t>WATCHLIST</t>
        </is>
      </c>
      <c r="M3158" s="8" t="n">
        <v>0</v>
      </c>
      <c r="N3158" s="7">
        <f>M3158*$J$3163-J3158</f>
        <v/>
      </c>
      <c r="O3158" s="9">
        <f>IF(G3158=0,0,N3158/G3158)</f>
        <v/>
      </c>
      <c r="P3158" s="6">
        <f>IF(M3158&gt;0,D3158,"")</f>
        <v/>
      </c>
      <c r="Q3158" s="9">
        <f>I3158+O3158</f>
        <v/>
      </c>
      <c r="R3158" s="7">
        <f>Q3158*G3158</f>
        <v/>
      </c>
      <c r="S3158" s="8">
        <f>IF($R$3163=0,0,R3158/$R$3163)</f>
        <v/>
      </c>
      <c r="T3158" s="8" t="n">
        <v>-0.02273788838971713</v>
      </c>
      <c r="U3158" s="8" t="n">
        <v>-0.0173989644243947</v>
      </c>
      <c r="V3158" s="6" t="inlineStr">
        <is>
          <t>not selected</t>
        </is>
      </c>
    </row>
    <row r="3159">
      <c r="A3159" s="6" t="inlineStr">
        <is>
          <t>DJ30</t>
        </is>
      </c>
      <c r="B3159" s="6" t="inlineStr">
        <is>
          <t>2024-12-13</t>
        </is>
      </c>
      <c r="C3159" s="6" t="inlineStr">
        <is>
          <t>DIA</t>
        </is>
      </c>
      <c r="D3159" s="6" t="inlineStr">
        <is>
          <t>UNH</t>
        </is>
      </c>
      <c r="E3159" s="6" t="inlineStr">
        <is>
          <t>UNH</t>
        </is>
      </c>
      <c r="F3159" s="6" t="inlineStr">
        <is>
          <t>-</t>
        </is>
      </c>
      <c r="G3159" s="7" t="n">
        <v>501.1891479492188</v>
      </c>
      <c r="H3159" s="6">
        <f>P3128</f>
        <v/>
      </c>
      <c r="I3159" s="9">
        <f>Q3128</f>
        <v/>
      </c>
      <c r="J3159" s="7">
        <f>I3159*G3159</f>
        <v/>
      </c>
      <c r="K3159" s="8">
        <f>IF($J$3163=0,0,J3159/$J$3163)</f>
        <v/>
      </c>
      <c r="L3159" s="6" t="inlineStr">
        <is>
          <t>WATCHLIST</t>
        </is>
      </c>
      <c r="M3159" s="8" t="n">
        <v>0</v>
      </c>
      <c r="N3159" s="7">
        <f>M3159*$J$3163-J3159</f>
        <v/>
      </c>
      <c r="O3159" s="9">
        <f>IF(G3159=0,0,N3159/G3159)</f>
        <v/>
      </c>
      <c r="P3159" s="6">
        <f>IF(M3159&gt;0,D3159,"")</f>
        <v/>
      </c>
      <c r="Q3159" s="9">
        <f>I3159+O3159</f>
        <v/>
      </c>
      <c r="R3159" s="7">
        <f>Q3159*G3159</f>
        <v/>
      </c>
      <c r="S3159" s="8">
        <f>IF($R$3163=0,0,R3159/$R$3163)</f>
        <v/>
      </c>
      <c r="T3159" s="8" t="n">
        <v>-0.02273788838971713</v>
      </c>
      <c r="U3159" s="8" t="n">
        <v>-0.0173989644243947</v>
      </c>
      <c r="V3159" s="6" t="inlineStr">
        <is>
          <t>not selected</t>
        </is>
      </c>
    </row>
    <row r="3160">
      <c r="A3160" s="6" t="inlineStr">
        <is>
          <t>DJ30</t>
        </is>
      </c>
      <c r="B3160" s="6" t="inlineStr">
        <is>
          <t>2024-12-13</t>
        </is>
      </c>
      <c r="C3160" s="6" t="inlineStr">
        <is>
          <t>DIA</t>
        </is>
      </c>
      <c r="D3160" s="6" t="inlineStr">
        <is>
          <t>V</t>
        </is>
      </c>
      <c r="E3160" s="6" t="inlineStr">
        <is>
          <t>V</t>
        </is>
      </c>
      <c r="F3160" s="6" t="inlineStr">
        <is>
          <t>-</t>
        </is>
      </c>
      <c r="G3160" s="7" t="n">
        <v>311.23193359375</v>
      </c>
      <c r="H3160" s="6">
        <f>P3129</f>
        <v/>
      </c>
      <c r="I3160" s="9">
        <f>Q3129</f>
        <v/>
      </c>
      <c r="J3160" s="7">
        <f>I3160*G3160</f>
        <v/>
      </c>
      <c r="K3160" s="8">
        <f>IF($J$3163=0,0,J3160/$J$3163)</f>
        <v/>
      </c>
      <c r="L3160" s="6" t="inlineStr">
        <is>
          <t>WATCHLIST</t>
        </is>
      </c>
      <c r="M3160" s="8" t="n">
        <v>0</v>
      </c>
      <c r="N3160" s="7">
        <f>M3160*$J$3163-J3160</f>
        <v/>
      </c>
      <c r="O3160" s="9">
        <f>IF(G3160=0,0,N3160/G3160)</f>
        <v/>
      </c>
      <c r="P3160" s="6">
        <f>IF(M3160&gt;0,D3160,"")</f>
        <v/>
      </c>
      <c r="Q3160" s="9">
        <f>I3160+O3160</f>
        <v/>
      </c>
      <c r="R3160" s="7">
        <f>Q3160*G3160</f>
        <v/>
      </c>
      <c r="S3160" s="8">
        <f>IF($R$3163=0,0,R3160/$R$3163)</f>
        <v/>
      </c>
      <c r="T3160" s="8" t="n">
        <v>-0.02273788838971713</v>
      </c>
      <c r="U3160" s="8" t="n">
        <v>-0.0173989644243947</v>
      </c>
      <c r="V3160" s="6" t="inlineStr">
        <is>
          <t>not selected</t>
        </is>
      </c>
    </row>
    <row r="3161">
      <c r="A3161" s="6" t="inlineStr">
        <is>
          <t>DJ30</t>
        </is>
      </c>
      <c r="B3161" s="6" t="inlineStr">
        <is>
          <t>2024-12-13</t>
        </is>
      </c>
      <c r="C3161" s="6" t="inlineStr">
        <is>
          <t>DIA</t>
        </is>
      </c>
      <c r="D3161" s="6" t="inlineStr">
        <is>
          <t>VZ</t>
        </is>
      </c>
      <c r="E3161" s="6" t="inlineStr">
        <is>
          <t>VZ</t>
        </is>
      </c>
      <c r="F3161" s="6" t="inlineStr">
        <is>
          <t>-</t>
        </is>
      </c>
      <c r="G3161" s="7" t="n">
        <v>38.30582809448242</v>
      </c>
      <c r="H3161" s="6">
        <f>P3130</f>
        <v/>
      </c>
      <c r="I3161" s="9">
        <f>Q3130</f>
        <v/>
      </c>
      <c r="J3161" s="7">
        <f>I3161*G3161</f>
        <v/>
      </c>
      <c r="K3161" s="8">
        <f>IF($J$3163=0,0,J3161/$J$3163)</f>
        <v/>
      </c>
      <c r="L3161" s="6" t="inlineStr">
        <is>
          <t>WATCHLIST</t>
        </is>
      </c>
      <c r="M3161" s="8" t="n">
        <v>0</v>
      </c>
      <c r="N3161" s="7">
        <f>M3161*$J$3163-J3161</f>
        <v/>
      </c>
      <c r="O3161" s="9">
        <f>IF(G3161=0,0,N3161/G3161)</f>
        <v/>
      </c>
      <c r="P3161" s="6">
        <f>IF(M3161&gt;0,D3161,"")</f>
        <v/>
      </c>
      <c r="Q3161" s="9">
        <f>I3161+O3161</f>
        <v/>
      </c>
      <c r="R3161" s="7">
        <f>Q3161*G3161</f>
        <v/>
      </c>
      <c r="S3161" s="8">
        <f>IF($R$3163=0,0,R3161/$R$3163)</f>
        <v/>
      </c>
      <c r="T3161" s="8" t="n">
        <v>-0.02273788838971713</v>
      </c>
      <c r="U3161" s="8" t="n">
        <v>-0.0173989644243947</v>
      </c>
      <c r="V3161" s="6" t="inlineStr">
        <is>
          <t>not selected</t>
        </is>
      </c>
    </row>
    <row r="3162">
      <c r="A3162" s="6" t="inlineStr">
        <is>
          <t>DJ30</t>
        </is>
      </c>
      <c r="B3162" s="6" t="inlineStr">
        <is>
          <t>2024-12-13</t>
        </is>
      </c>
      <c r="C3162" s="6" t="inlineStr">
        <is>
          <t>DIA</t>
        </is>
      </c>
      <c r="D3162" s="6" t="inlineStr">
        <is>
          <t>WMT</t>
        </is>
      </c>
      <c r="E3162" s="6" t="inlineStr">
        <is>
          <t>WMT</t>
        </is>
      </c>
      <c r="F3162" s="6" t="inlineStr">
        <is>
          <t>-</t>
        </is>
      </c>
      <c r="G3162" s="7" t="n">
        <v>92.98773193359376</v>
      </c>
      <c r="H3162" s="6">
        <f>P3131</f>
        <v/>
      </c>
      <c r="I3162" s="9">
        <f>Q3131</f>
        <v/>
      </c>
      <c r="J3162" s="7">
        <f>I3162*G3162</f>
        <v/>
      </c>
      <c r="K3162" s="8">
        <f>IF($J$3163=0,0,J3162/$J$3163)</f>
        <v/>
      </c>
      <c r="L3162" s="6" t="inlineStr">
        <is>
          <t>WATCHLIST</t>
        </is>
      </c>
      <c r="M3162" s="8" t="n">
        <v>0</v>
      </c>
      <c r="N3162" s="7">
        <f>M3162*$J$3163-J3162</f>
        <v/>
      </c>
      <c r="O3162" s="9">
        <f>IF(G3162=0,0,N3162/G3162)</f>
        <v/>
      </c>
      <c r="P3162" s="6">
        <f>IF(M3162&gt;0,D3162,"")</f>
        <v/>
      </c>
      <c r="Q3162" s="9">
        <f>I3162+O3162</f>
        <v/>
      </c>
      <c r="R3162" s="7">
        <f>Q3162*G3162</f>
        <v/>
      </c>
      <c r="S3162" s="8">
        <f>IF($R$3163=0,0,R3162/$R$3163)</f>
        <v/>
      </c>
      <c r="T3162" s="8" t="n">
        <v>-0.02273788838971713</v>
      </c>
      <c r="U3162" s="8" t="n">
        <v>-0.0173989644243947</v>
      </c>
      <c r="V3162" s="6" t="inlineStr">
        <is>
          <t>not selected</t>
        </is>
      </c>
    </row>
    <row r="3163">
      <c r="A3163" s="10" t="inlineStr">
        <is>
          <t>DJ30</t>
        </is>
      </c>
      <c r="B3163" s="10" t="inlineStr">
        <is>
          <t>2024-12-13</t>
        </is>
      </c>
      <c r="C3163" s="10" t="inlineStr">
        <is>
          <t>DIA</t>
        </is>
      </c>
      <c r="D3163" s="10" t="inlineStr">
        <is>
          <t>Tot Portfolio</t>
        </is>
      </c>
      <c r="E3163" s="10" t="inlineStr"/>
      <c r="F3163" s="10" t="inlineStr"/>
      <c r="G3163" s="11" t="inlineStr"/>
      <c r="H3163" s="10" t="inlineStr"/>
      <c r="I3163" s="12" t="inlineStr"/>
      <c r="J3163" s="11">
        <f>SUM(J3133:J3162)</f>
        <v/>
      </c>
      <c r="K3163" s="13">
        <f>SUM(K3133:K3162)</f>
        <v/>
      </c>
      <c r="L3163" s="10" t="inlineStr">
        <is>
          <t>TOTAL</t>
        </is>
      </c>
      <c r="M3163" s="13">
        <f>SUM(M3133:M3162)</f>
        <v/>
      </c>
      <c r="N3163" s="11">
        <f>SUM(N3133:N3162)</f>
        <v/>
      </c>
      <c r="O3163" s="12">
        <f>SUM(O3133:O3162)</f>
        <v/>
      </c>
      <c r="P3163" s="10" t="inlineStr"/>
      <c r="Q3163" s="12" t="inlineStr"/>
      <c r="R3163" s="11">
        <f>SUM(R3133:R3162)</f>
        <v/>
      </c>
      <c r="S3163" s="13">
        <f>SUM(S3133:S3162)</f>
        <v/>
      </c>
      <c r="T3163" s="13" t="n">
        <v>-0.02273788838971713</v>
      </c>
      <c r="U3163" s="13" t="n">
        <v>-0.0173989644243947</v>
      </c>
      <c r="V3163" s="10" t="inlineStr"/>
    </row>
    <row r="3164">
      <c r="A3164" s="6" t="inlineStr">
        <is>
          <t>DJ30</t>
        </is>
      </c>
      <c r="B3164" s="6" t="inlineStr">
        <is>
          <t>2024-12-20</t>
        </is>
      </c>
      <c r="C3164" s="6" t="inlineStr">
        <is>
          <t>DIA</t>
        </is>
      </c>
      <c r="D3164" s="6" t="inlineStr">
        <is>
          <t>AAPL</t>
        </is>
      </c>
      <c r="E3164" s="6" t="inlineStr">
        <is>
          <t>AAPL</t>
        </is>
      </c>
      <c r="F3164" s="6" t="inlineStr">
        <is>
          <t>-</t>
        </is>
      </c>
      <c r="G3164" s="7" t="n">
        <v>252.8743896484375</v>
      </c>
      <c r="H3164" s="6">
        <f>P3133</f>
        <v/>
      </c>
      <c r="I3164" s="9">
        <f>Q3133</f>
        <v/>
      </c>
      <c r="J3164" s="7">
        <f>I3164*G3164</f>
        <v/>
      </c>
      <c r="K3164" s="8">
        <f>IF($J$3194=0,0,J3164/$J$3194)</f>
        <v/>
      </c>
      <c r="L3164" s="6" t="inlineStr">
        <is>
          <t>SELECTED</t>
        </is>
      </c>
      <c r="M3164" s="8" t="n">
        <v>0.2</v>
      </c>
      <c r="N3164" s="7">
        <f>M3164*$J$3194-J3164</f>
        <v/>
      </c>
      <c r="O3164" s="9">
        <f>IF(G3164=0,0,N3164/G3164)</f>
        <v/>
      </c>
      <c r="P3164" s="6">
        <f>IF(M3164&gt;0,D3164,"")</f>
        <v/>
      </c>
      <c r="Q3164" s="9">
        <f>I3164+O3164</f>
        <v/>
      </c>
      <c r="R3164" s="7">
        <f>Q3164*G3164</f>
        <v/>
      </c>
      <c r="S3164" s="8">
        <f>IF($R$3194=0,0,R3164/$R$3194)</f>
        <v/>
      </c>
      <c r="T3164" s="8" t="n">
        <v>-0.008272629178726398</v>
      </c>
      <c r="U3164" s="8" t="n">
        <v>-0.02183085310155974</v>
      </c>
      <c r="V3164" s="6" t="inlineStr">
        <is>
          <t>remained in weekly selection</t>
        </is>
      </c>
    </row>
    <row r="3165">
      <c r="A3165" s="6" t="inlineStr">
        <is>
          <t>DJ30</t>
        </is>
      </c>
      <c r="B3165" s="6" t="inlineStr">
        <is>
          <t>2024-12-20</t>
        </is>
      </c>
      <c r="C3165" s="6" t="inlineStr">
        <is>
          <t>DIA</t>
        </is>
      </c>
      <c r="D3165" s="6" t="inlineStr">
        <is>
          <t>AMGN</t>
        </is>
      </c>
      <c r="E3165" s="6" t="inlineStr">
        <is>
          <t>AMGN</t>
        </is>
      </c>
      <c r="F3165" s="6" t="inlineStr">
        <is>
          <t>-</t>
        </is>
      </c>
      <c r="G3165" s="7" t="n">
        <v>251.4232635498047</v>
      </c>
      <c r="H3165" s="6">
        <f>P3134</f>
        <v/>
      </c>
      <c r="I3165" s="9">
        <f>Q3134</f>
        <v/>
      </c>
      <c r="J3165" s="7">
        <f>I3165*G3165</f>
        <v/>
      </c>
      <c r="K3165" s="8">
        <f>IF($J$3194=0,0,J3165/$J$3194)</f>
        <v/>
      </c>
      <c r="L3165" s="6" t="inlineStr">
        <is>
          <t>REJECTED</t>
        </is>
      </c>
      <c r="M3165" s="8" t="n">
        <v>0</v>
      </c>
      <c r="N3165" s="7">
        <f>M3165*$J$3194-J3165</f>
        <v/>
      </c>
      <c r="O3165" s="9">
        <f>IF(G3165=0,0,N3165/G3165)</f>
        <v/>
      </c>
      <c r="P3165" s="6">
        <f>IF(M3165&gt;0,D3165,"")</f>
        <v/>
      </c>
      <c r="Q3165" s="9">
        <f>I3165+O3165</f>
        <v/>
      </c>
      <c r="R3165" s="7">
        <f>Q3165*G3165</f>
        <v/>
      </c>
      <c r="S3165" s="8">
        <f>IF($R$3194=0,0,R3165/$R$3194)</f>
        <v/>
      </c>
      <c r="T3165" s="8" t="n">
        <v>-0.008272629178726398</v>
      </c>
      <c r="U3165" s="8" t="n">
        <v>-0.02183085310155974</v>
      </c>
      <c r="V3165" s="6" t="inlineStr">
        <is>
          <t>not selected</t>
        </is>
      </c>
    </row>
    <row r="3166">
      <c r="A3166" s="6" t="inlineStr">
        <is>
          <t>DJ30</t>
        </is>
      </c>
      <c r="B3166" s="6" t="inlineStr">
        <is>
          <t>2024-12-20</t>
        </is>
      </c>
      <c r="C3166" s="6" t="inlineStr">
        <is>
          <t>DIA</t>
        </is>
      </c>
      <c r="D3166" s="6" t="inlineStr">
        <is>
          <t>AMZN</t>
        </is>
      </c>
      <c r="E3166" s="6" t="inlineStr">
        <is>
          <t>AMZN</t>
        </is>
      </c>
      <c r="F3166" s="6" t="inlineStr">
        <is>
          <t>-</t>
        </is>
      </c>
      <c r="G3166" s="7" t="n">
        <v>224.9199981689453</v>
      </c>
      <c r="H3166" s="6">
        <f>P3135</f>
        <v/>
      </c>
      <c r="I3166" s="9">
        <f>Q3135</f>
        <v/>
      </c>
      <c r="J3166" s="7">
        <f>I3166*G3166</f>
        <v/>
      </c>
      <c r="K3166" s="8">
        <f>IF($J$3194=0,0,J3166/$J$3194)</f>
        <v/>
      </c>
      <c r="L3166" s="6" t="inlineStr">
        <is>
          <t>WATCHLIST</t>
        </is>
      </c>
      <c r="M3166" s="8" t="n">
        <v>0</v>
      </c>
      <c r="N3166" s="7">
        <f>M3166*$J$3194-J3166</f>
        <v/>
      </c>
      <c r="O3166" s="9">
        <f>IF(G3166=0,0,N3166/G3166)</f>
        <v/>
      </c>
      <c r="P3166" s="6">
        <f>IF(M3166&gt;0,D3166,"")</f>
        <v/>
      </c>
      <c r="Q3166" s="9">
        <f>I3166+O3166</f>
        <v/>
      </c>
      <c r="R3166" s="7">
        <f>Q3166*G3166</f>
        <v/>
      </c>
      <c r="S3166" s="8">
        <f>IF($R$3194=0,0,R3166/$R$3194)</f>
        <v/>
      </c>
      <c r="T3166" s="8" t="n">
        <v>-0.008272629178726398</v>
      </c>
      <c r="U3166" s="8" t="n">
        <v>-0.02183085310155974</v>
      </c>
      <c r="V3166" s="6" t="inlineStr">
        <is>
          <t>not selected</t>
        </is>
      </c>
    </row>
    <row r="3167">
      <c r="A3167" s="6" t="inlineStr">
        <is>
          <t>DJ30</t>
        </is>
      </c>
      <c r="B3167" s="6" t="inlineStr">
        <is>
          <t>2024-12-20</t>
        </is>
      </c>
      <c r="C3167" s="6" t="inlineStr">
        <is>
          <t>DIA</t>
        </is>
      </c>
      <c r="D3167" s="6" t="inlineStr">
        <is>
          <t>AXP</t>
        </is>
      </c>
      <c r="E3167" s="6" t="inlineStr">
        <is>
          <t>AXP</t>
        </is>
      </c>
      <c r="F3167" s="6" t="inlineStr">
        <is>
          <t>-</t>
        </is>
      </c>
      <c r="G3167" s="7" t="n">
        <v>293.883056640625</v>
      </c>
      <c r="H3167" s="6">
        <f>P3136</f>
        <v/>
      </c>
      <c r="I3167" s="9">
        <f>Q3136</f>
        <v/>
      </c>
      <c r="J3167" s="7">
        <f>I3167*G3167</f>
        <v/>
      </c>
      <c r="K3167" s="8">
        <f>IF($J$3194=0,0,J3167/$J$3194)</f>
        <v/>
      </c>
      <c r="L3167" s="6" t="inlineStr">
        <is>
          <t>WATCHLIST</t>
        </is>
      </c>
      <c r="M3167" s="8" t="n">
        <v>0</v>
      </c>
      <c r="N3167" s="7">
        <f>M3167*$J$3194-J3167</f>
        <v/>
      </c>
      <c r="O3167" s="9">
        <f>IF(G3167=0,0,N3167/G3167)</f>
        <v/>
      </c>
      <c r="P3167" s="6">
        <f>IF(M3167&gt;0,D3167,"")</f>
        <v/>
      </c>
      <c r="Q3167" s="9">
        <f>I3167+O3167</f>
        <v/>
      </c>
      <c r="R3167" s="7">
        <f>Q3167*G3167</f>
        <v/>
      </c>
      <c r="S3167" s="8">
        <f>IF($R$3194=0,0,R3167/$R$3194)</f>
        <v/>
      </c>
      <c r="T3167" s="8" t="n">
        <v>-0.008272629178726398</v>
      </c>
      <c r="U3167" s="8" t="n">
        <v>-0.02183085310155974</v>
      </c>
      <c r="V3167" s="6" t="inlineStr">
        <is>
          <t>not selected</t>
        </is>
      </c>
    </row>
    <row r="3168">
      <c r="A3168" s="6" t="inlineStr">
        <is>
          <t>DJ30</t>
        </is>
      </c>
      <c r="B3168" s="6" t="inlineStr">
        <is>
          <t>2024-12-20</t>
        </is>
      </c>
      <c r="C3168" s="6" t="inlineStr">
        <is>
          <t>DIA</t>
        </is>
      </c>
      <c r="D3168" s="6" t="inlineStr">
        <is>
          <t>BA</t>
        </is>
      </c>
      <c r="E3168" s="6" t="inlineStr">
        <is>
          <t>BA</t>
        </is>
      </c>
      <c r="F3168" s="6" t="inlineStr">
        <is>
          <t>-</t>
        </is>
      </c>
      <c r="G3168" s="7" t="n">
        <v>177.3500061035156</v>
      </c>
      <c r="H3168" s="6">
        <f>P3137</f>
        <v/>
      </c>
      <c r="I3168" s="9">
        <f>Q3137</f>
        <v/>
      </c>
      <c r="J3168" s="7">
        <f>I3168*G3168</f>
        <v/>
      </c>
      <c r="K3168" s="8">
        <f>IF($J$3194=0,0,J3168/$J$3194)</f>
        <v/>
      </c>
      <c r="L3168" s="6" t="inlineStr">
        <is>
          <t>REJECTED</t>
        </is>
      </c>
      <c r="M3168" s="8" t="n">
        <v>0</v>
      </c>
      <c r="N3168" s="7">
        <f>M3168*$J$3194-J3168</f>
        <v/>
      </c>
      <c r="O3168" s="9">
        <f>IF(G3168=0,0,N3168/G3168)</f>
        <v/>
      </c>
      <c r="P3168" s="6">
        <f>IF(M3168&gt;0,D3168,"")</f>
        <v/>
      </c>
      <c r="Q3168" s="9">
        <f>I3168+O3168</f>
        <v/>
      </c>
      <c r="R3168" s="7">
        <f>Q3168*G3168</f>
        <v/>
      </c>
      <c r="S3168" s="8">
        <f>IF($R$3194=0,0,R3168/$R$3194)</f>
        <v/>
      </c>
      <c r="T3168" s="8" t="n">
        <v>-0.008272629178726398</v>
      </c>
      <c r="U3168" s="8" t="n">
        <v>-0.02183085310155974</v>
      </c>
      <c r="V3168" s="6" t="inlineStr">
        <is>
          <t>not selected</t>
        </is>
      </c>
    </row>
    <row r="3169">
      <c r="A3169" s="6" t="inlineStr">
        <is>
          <t>DJ30</t>
        </is>
      </c>
      <c r="B3169" s="6" t="inlineStr">
        <is>
          <t>2024-12-20</t>
        </is>
      </c>
      <c r="C3169" s="6" t="inlineStr">
        <is>
          <t>DIA</t>
        </is>
      </c>
      <c r="D3169" s="6" t="inlineStr">
        <is>
          <t>CAT</t>
        </is>
      </c>
      <c r="E3169" s="6" t="inlineStr">
        <is>
          <t>CAT</t>
        </is>
      </c>
      <c r="F3169" s="6" t="inlineStr">
        <is>
          <t>-</t>
        </is>
      </c>
      <c r="G3169" s="7" t="n">
        <v>359.0693359375</v>
      </c>
      <c r="H3169" s="6">
        <f>P3138</f>
        <v/>
      </c>
      <c r="I3169" s="9">
        <f>Q3138</f>
        <v/>
      </c>
      <c r="J3169" s="7">
        <f>I3169*G3169</f>
        <v/>
      </c>
      <c r="K3169" s="8">
        <f>IF($J$3194=0,0,J3169/$J$3194)</f>
        <v/>
      </c>
      <c r="L3169" s="6" t="inlineStr">
        <is>
          <t>WATCHLIST</t>
        </is>
      </c>
      <c r="M3169" s="8" t="n">
        <v>0</v>
      </c>
      <c r="N3169" s="7">
        <f>M3169*$J$3194-J3169</f>
        <v/>
      </c>
      <c r="O3169" s="9">
        <f>IF(G3169=0,0,N3169/G3169)</f>
        <v/>
      </c>
      <c r="P3169" s="6">
        <f>IF(M3169&gt;0,D3169,"")</f>
        <v/>
      </c>
      <c r="Q3169" s="9">
        <f>I3169+O3169</f>
        <v/>
      </c>
      <c r="R3169" s="7">
        <f>Q3169*G3169</f>
        <v/>
      </c>
      <c r="S3169" s="8">
        <f>IF($R$3194=0,0,R3169/$R$3194)</f>
        <v/>
      </c>
      <c r="T3169" s="8" t="n">
        <v>-0.008272629178726398</v>
      </c>
      <c r="U3169" s="8" t="n">
        <v>-0.02183085310155974</v>
      </c>
      <c r="V3169" s="6" t="inlineStr">
        <is>
          <t>not selected</t>
        </is>
      </c>
    </row>
    <row r="3170">
      <c r="A3170" s="6" t="inlineStr">
        <is>
          <t>DJ30</t>
        </is>
      </c>
      <c r="B3170" s="6" t="inlineStr">
        <is>
          <t>2024-12-20</t>
        </is>
      </c>
      <c r="C3170" s="6" t="inlineStr">
        <is>
          <t>DIA</t>
        </is>
      </c>
      <c r="D3170" s="6" t="inlineStr">
        <is>
          <t>CRM</t>
        </is>
      </c>
      <c r="E3170" s="6" t="inlineStr">
        <is>
          <t>CRM</t>
        </is>
      </c>
      <c r="F3170" s="6" t="inlineStr">
        <is>
          <t>-</t>
        </is>
      </c>
      <c r="G3170" s="7" t="n">
        <v>339.6925964355469</v>
      </c>
      <c r="H3170" s="6">
        <f>P3139</f>
        <v/>
      </c>
      <c r="I3170" s="9">
        <f>Q3139</f>
        <v/>
      </c>
      <c r="J3170" s="7">
        <f>I3170*G3170</f>
        <v/>
      </c>
      <c r="K3170" s="8">
        <f>IF($J$3194=0,0,J3170/$J$3194)</f>
        <v/>
      </c>
      <c r="L3170" s="6" t="inlineStr">
        <is>
          <t>REJECTED</t>
        </is>
      </c>
      <c r="M3170" s="8" t="n">
        <v>0</v>
      </c>
      <c r="N3170" s="7">
        <f>M3170*$J$3194-J3170</f>
        <v/>
      </c>
      <c r="O3170" s="9">
        <f>IF(G3170=0,0,N3170/G3170)</f>
        <v/>
      </c>
      <c r="P3170" s="6">
        <f>IF(M3170&gt;0,D3170,"")</f>
        <v/>
      </c>
      <c r="Q3170" s="9">
        <f>I3170+O3170</f>
        <v/>
      </c>
      <c r="R3170" s="7">
        <f>Q3170*G3170</f>
        <v/>
      </c>
      <c r="S3170" s="8">
        <f>IF($R$3194=0,0,R3170/$R$3194)</f>
        <v/>
      </c>
      <c r="T3170" s="8" t="n">
        <v>-0.008272629178726398</v>
      </c>
      <c r="U3170" s="8" t="n">
        <v>-0.02183085310155974</v>
      </c>
      <c r="V3170" s="6" t="inlineStr">
        <is>
          <t>not selected</t>
        </is>
      </c>
    </row>
    <row r="3171">
      <c r="A3171" s="6" t="inlineStr">
        <is>
          <t>DJ30</t>
        </is>
      </c>
      <c r="B3171" s="6" t="inlineStr">
        <is>
          <t>2024-12-20</t>
        </is>
      </c>
      <c r="C3171" s="6" t="inlineStr">
        <is>
          <t>DIA</t>
        </is>
      </c>
      <c r="D3171" s="6" t="inlineStr">
        <is>
          <t>CSCO</t>
        </is>
      </c>
      <c r="E3171" s="6" t="inlineStr">
        <is>
          <t>CSCO</t>
        </is>
      </c>
      <c r="F3171" s="6" t="inlineStr">
        <is>
          <t>-</t>
        </is>
      </c>
      <c r="G3171" s="7" t="n">
        <v>56.43935775756836</v>
      </c>
      <c r="H3171" s="6">
        <f>P3140</f>
        <v/>
      </c>
      <c r="I3171" s="9">
        <f>Q3140</f>
        <v/>
      </c>
      <c r="J3171" s="7">
        <f>I3171*G3171</f>
        <v/>
      </c>
      <c r="K3171" s="8">
        <f>IF($J$3194=0,0,J3171/$J$3194)</f>
        <v/>
      </c>
      <c r="L3171" s="6" t="inlineStr">
        <is>
          <t>WATCHLIST</t>
        </is>
      </c>
      <c r="M3171" s="8" t="n">
        <v>0</v>
      </c>
      <c r="N3171" s="7">
        <f>M3171*$J$3194-J3171</f>
        <v/>
      </c>
      <c r="O3171" s="9">
        <f>IF(G3171=0,0,N3171/G3171)</f>
        <v/>
      </c>
      <c r="P3171" s="6">
        <f>IF(M3171&gt;0,D3171,"")</f>
        <v/>
      </c>
      <c r="Q3171" s="9">
        <f>I3171+O3171</f>
        <v/>
      </c>
      <c r="R3171" s="7">
        <f>Q3171*G3171</f>
        <v/>
      </c>
      <c r="S3171" s="8">
        <f>IF($R$3194=0,0,R3171/$R$3194)</f>
        <v/>
      </c>
      <c r="T3171" s="8" t="n">
        <v>-0.008272629178726398</v>
      </c>
      <c r="U3171" s="8" t="n">
        <v>-0.02183085310155974</v>
      </c>
      <c r="V3171" s="6" t="inlineStr">
        <is>
          <t>not selected</t>
        </is>
      </c>
    </row>
    <row r="3172">
      <c r="A3172" s="6" t="inlineStr">
        <is>
          <t>DJ30</t>
        </is>
      </c>
      <c r="B3172" s="6" t="inlineStr">
        <is>
          <t>2024-12-20</t>
        </is>
      </c>
      <c r="C3172" s="6" t="inlineStr">
        <is>
          <t>DIA</t>
        </is>
      </c>
      <c r="D3172" s="6" t="inlineStr">
        <is>
          <t>CVX</t>
        </is>
      </c>
      <c r="E3172" s="6" t="inlineStr">
        <is>
          <t>CVX</t>
        </is>
      </c>
      <c r="F3172" s="6" t="inlineStr">
        <is>
          <t>-</t>
        </is>
      </c>
      <c r="G3172" s="7" t="n">
        <v>133.9716949462891</v>
      </c>
      <c r="H3172" s="6">
        <f>P3141</f>
        <v/>
      </c>
      <c r="I3172" s="9">
        <f>Q3141</f>
        <v/>
      </c>
      <c r="J3172" s="7">
        <f>I3172*G3172</f>
        <v/>
      </c>
      <c r="K3172" s="8">
        <f>IF($J$3194=0,0,J3172/$J$3194)</f>
        <v/>
      </c>
      <c r="L3172" s="6" t="inlineStr">
        <is>
          <t>REJECTED</t>
        </is>
      </c>
      <c r="M3172" s="8" t="n">
        <v>0</v>
      </c>
      <c r="N3172" s="7">
        <f>M3172*$J$3194-J3172</f>
        <v/>
      </c>
      <c r="O3172" s="9">
        <f>IF(G3172=0,0,N3172/G3172)</f>
        <v/>
      </c>
      <c r="P3172" s="6">
        <f>IF(M3172&gt;0,D3172,"")</f>
        <v/>
      </c>
      <c r="Q3172" s="9">
        <f>I3172+O3172</f>
        <v/>
      </c>
      <c r="R3172" s="7">
        <f>Q3172*G3172</f>
        <v/>
      </c>
      <c r="S3172" s="8">
        <f>IF($R$3194=0,0,R3172/$R$3194)</f>
        <v/>
      </c>
      <c r="T3172" s="8" t="n">
        <v>-0.008272629178726398</v>
      </c>
      <c r="U3172" s="8" t="n">
        <v>-0.02183085310155974</v>
      </c>
      <c r="V3172" s="6" t="inlineStr">
        <is>
          <t>not selected</t>
        </is>
      </c>
    </row>
    <row r="3173">
      <c r="A3173" s="6" t="inlineStr">
        <is>
          <t>DJ30</t>
        </is>
      </c>
      <c r="B3173" s="6" t="inlineStr">
        <is>
          <t>2024-12-20</t>
        </is>
      </c>
      <c r="C3173" s="6" t="inlineStr">
        <is>
          <t>DIA</t>
        </is>
      </c>
      <c r="D3173" s="6" t="inlineStr">
        <is>
          <t>DIS</t>
        </is>
      </c>
      <c r="E3173" s="6" t="inlineStr">
        <is>
          <t>DIS</t>
        </is>
      </c>
      <c r="F3173" s="6" t="inlineStr">
        <is>
          <t>-</t>
        </is>
      </c>
      <c r="G3173" s="7" t="n">
        <v>110.8045883178711</v>
      </c>
      <c r="H3173" s="6">
        <f>P3142</f>
        <v/>
      </c>
      <c r="I3173" s="9">
        <f>Q3142</f>
        <v/>
      </c>
      <c r="J3173" s="7">
        <f>I3173*G3173</f>
        <v/>
      </c>
      <c r="K3173" s="8">
        <f>IF($J$3194=0,0,J3173/$J$3194)</f>
        <v/>
      </c>
      <c r="L3173" s="6" t="inlineStr">
        <is>
          <t>REJECTED</t>
        </is>
      </c>
      <c r="M3173" s="8" t="n">
        <v>0</v>
      </c>
      <c r="N3173" s="7">
        <f>M3173*$J$3194-J3173</f>
        <v/>
      </c>
      <c r="O3173" s="9">
        <f>IF(G3173=0,0,N3173/G3173)</f>
        <v/>
      </c>
      <c r="P3173" s="6">
        <f>IF(M3173&gt;0,D3173,"")</f>
        <v/>
      </c>
      <c r="Q3173" s="9">
        <f>I3173+O3173</f>
        <v/>
      </c>
      <c r="R3173" s="7">
        <f>Q3173*G3173</f>
        <v/>
      </c>
      <c r="S3173" s="8">
        <f>IF($R$3194=0,0,R3173/$R$3194)</f>
        <v/>
      </c>
      <c r="T3173" s="8" t="n">
        <v>-0.008272629178726398</v>
      </c>
      <c r="U3173" s="8" t="n">
        <v>-0.02183085310155974</v>
      </c>
      <c r="V3173" s="6" t="inlineStr">
        <is>
          <t>not selected</t>
        </is>
      </c>
    </row>
    <row r="3174">
      <c r="A3174" s="6" t="inlineStr">
        <is>
          <t>DJ30</t>
        </is>
      </c>
      <c r="B3174" s="6" t="inlineStr">
        <is>
          <t>2024-12-20</t>
        </is>
      </c>
      <c r="C3174" s="6" t="inlineStr">
        <is>
          <t>DIA</t>
        </is>
      </c>
      <c r="D3174" s="6" t="inlineStr">
        <is>
          <t>GS</t>
        </is>
      </c>
      <c r="E3174" s="6" t="inlineStr">
        <is>
          <t>GS</t>
        </is>
      </c>
      <c r="F3174" s="6" t="inlineStr">
        <is>
          <t>-</t>
        </is>
      </c>
      <c r="G3174" s="7" t="n">
        <v>549.4520263671875</v>
      </c>
      <c r="H3174" s="6">
        <f>P3143</f>
        <v/>
      </c>
      <c r="I3174" s="9">
        <f>Q3143</f>
        <v/>
      </c>
      <c r="J3174" s="7">
        <f>I3174*G3174</f>
        <v/>
      </c>
      <c r="K3174" s="8">
        <f>IF($J$3194=0,0,J3174/$J$3194)</f>
        <v/>
      </c>
      <c r="L3174" s="6" t="inlineStr">
        <is>
          <t>SELECTED</t>
        </is>
      </c>
      <c r="M3174" s="8" t="n">
        <v>0.2</v>
      </c>
      <c r="N3174" s="7">
        <f>M3174*$J$3194-J3174</f>
        <v/>
      </c>
      <c r="O3174" s="9">
        <f>IF(G3174=0,0,N3174/G3174)</f>
        <v/>
      </c>
      <c r="P3174" s="6">
        <f>IF(M3174&gt;0,D3174,"")</f>
        <v/>
      </c>
      <c r="Q3174" s="9">
        <f>I3174+O3174</f>
        <v/>
      </c>
      <c r="R3174" s="7">
        <f>Q3174*G3174</f>
        <v/>
      </c>
      <c r="S3174" s="8">
        <f>IF($R$3194=0,0,R3174/$R$3194)</f>
        <v/>
      </c>
      <c r="T3174" s="8" t="n">
        <v>-0.008272629178726398</v>
      </c>
      <c r="U3174" s="8" t="n">
        <v>-0.02183085310155974</v>
      </c>
      <c r="V3174" s="6" t="inlineStr">
        <is>
          <t>remained in weekly selection</t>
        </is>
      </c>
    </row>
    <row r="3175">
      <c r="A3175" s="6" t="inlineStr">
        <is>
          <t>DJ30</t>
        </is>
      </c>
      <c r="B3175" s="6" t="inlineStr">
        <is>
          <t>2024-12-20</t>
        </is>
      </c>
      <c r="C3175" s="6" t="inlineStr">
        <is>
          <t>DIA</t>
        </is>
      </c>
      <c r="D3175" s="6" t="inlineStr">
        <is>
          <t>HD</t>
        </is>
      </c>
      <c r="E3175" s="6" t="inlineStr">
        <is>
          <t>HD</t>
        </is>
      </c>
      <c r="F3175" s="6" t="inlineStr">
        <is>
          <t>-</t>
        </is>
      </c>
      <c r="G3175" s="7" t="n">
        <v>377.6733703613281</v>
      </c>
      <c r="H3175" s="6">
        <f>P3144</f>
        <v/>
      </c>
      <c r="I3175" s="9">
        <f>Q3144</f>
        <v/>
      </c>
      <c r="J3175" s="7">
        <f>I3175*G3175</f>
        <v/>
      </c>
      <c r="K3175" s="8">
        <f>IF($J$3194=0,0,J3175/$J$3194)</f>
        <v/>
      </c>
      <c r="L3175" s="6" t="inlineStr">
        <is>
          <t>WATCHLIST</t>
        </is>
      </c>
      <c r="M3175" s="8" t="n">
        <v>0</v>
      </c>
      <c r="N3175" s="7">
        <f>M3175*$J$3194-J3175</f>
        <v/>
      </c>
      <c r="O3175" s="9">
        <f>IF(G3175=0,0,N3175/G3175)</f>
        <v/>
      </c>
      <c r="P3175" s="6">
        <f>IF(M3175&gt;0,D3175,"")</f>
        <v/>
      </c>
      <c r="Q3175" s="9">
        <f>I3175+O3175</f>
        <v/>
      </c>
      <c r="R3175" s="7">
        <f>Q3175*G3175</f>
        <v/>
      </c>
      <c r="S3175" s="8">
        <f>IF($R$3194=0,0,R3175/$R$3194)</f>
        <v/>
      </c>
      <c r="T3175" s="8" t="n">
        <v>-0.008272629178726398</v>
      </c>
      <c r="U3175" s="8" t="n">
        <v>-0.02183085310155974</v>
      </c>
      <c r="V3175" s="6" t="inlineStr">
        <is>
          <t>not selected</t>
        </is>
      </c>
    </row>
    <row r="3176">
      <c r="A3176" s="6" t="inlineStr">
        <is>
          <t>DJ30</t>
        </is>
      </c>
      <c r="B3176" s="6" t="inlineStr">
        <is>
          <t>2024-12-20</t>
        </is>
      </c>
      <c r="C3176" s="6" t="inlineStr">
        <is>
          <t>DIA</t>
        </is>
      </c>
      <c r="D3176" s="6" t="inlineStr">
        <is>
          <t>HON</t>
        </is>
      </c>
      <c r="E3176" s="6" t="inlineStr">
        <is>
          <t>HON</t>
        </is>
      </c>
      <c r="F3176" s="6" t="inlineStr">
        <is>
          <t>-</t>
        </is>
      </c>
      <c r="G3176" s="7" t="n">
        <v>208.4095458984375</v>
      </c>
      <c r="H3176" s="6">
        <f>P3145</f>
        <v/>
      </c>
      <c r="I3176" s="9">
        <f>Q3145</f>
        <v/>
      </c>
      <c r="J3176" s="7">
        <f>I3176*G3176</f>
        <v/>
      </c>
      <c r="K3176" s="8">
        <f>IF($J$3194=0,0,J3176/$J$3194)</f>
        <v/>
      </c>
      <c r="L3176" s="6" t="inlineStr">
        <is>
          <t>WATCHLIST</t>
        </is>
      </c>
      <c r="M3176" s="8" t="n">
        <v>0</v>
      </c>
      <c r="N3176" s="7">
        <f>M3176*$J$3194-J3176</f>
        <v/>
      </c>
      <c r="O3176" s="9">
        <f>IF(G3176=0,0,N3176/G3176)</f>
        <v/>
      </c>
      <c r="P3176" s="6">
        <f>IF(M3176&gt;0,D3176,"")</f>
        <v/>
      </c>
      <c r="Q3176" s="9">
        <f>I3176+O3176</f>
        <v/>
      </c>
      <c r="R3176" s="7">
        <f>Q3176*G3176</f>
        <v/>
      </c>
      <c r="S3176" s="8">
        <f>IF($R$3194=0,0,R3176/$R$3194)</f>
        <v/>
      </c>
      <c r="T3176" s="8" t="n">
        <v>-0.008272629178726398</v>
      </c>
      <c r="U3176" s="8" t="n">
        <v>-0.02183085310155974</v>
      </c>
      <c r="V3176" s="6" t="inlineStr">
        <is>
          <t>not selected</t>
        </is>
      </c>
    </row>
    <row r="3177">
      <c r="A3177" s="6" t="inlineStr">
        <is>
          <t>DJ30</t>
        </is>
      </c>
      <c r="B3177" s="6" t="inlineStr">
        <is>
          <t>2024-12-20</t>
        </is>
      </c>
      <c r="C3177" s="6" t="inlineStr">
        <is>
          <t>DIA</t>
        </is>
      </c>
      <c r="D3177" s="6" t="inlineStr">
        <is>
          <t>IBM</t>
        </is>
      </c>
      <c r="E3177" s="6" t="inlineStr">
        <is>
          <t>IBM</t>
        </is>
      </c>
      <c r="F3177" s="6" t="inlineStr">
        <is>
          <t>-</t>
        </is>
      </c>
      <c r="G3177" s="7" t="n">
        <v>214.9181213378907</v>
      </c>
      <c r="H3177" s="6">
        <f>P3146</f>
        <v/>
      </c>
      <c r="I3177" s="9">
        <f>Q3146</f>
        <v/>
      </c>
      <c r="J3177" s="7">
        <f>I3177*G3177</f>
        <v/>
      </c>
      <c r="K3177" s="8">
        <f>IF($J$3194=0,0,J3177/$J$3194)</f>
        <v/>
      </c>
      <c r="L3177" s="6" t="inlineStr">
        <is>
          <t>SELECTED</t>
        </is>
      </c>
      <c r="M3177" s="8" t="n">
        <v>0.2</v>
      </c>
      <c r="N3177" s="7">
        <f>M3177*$J$3194-J3177</f>
        <v/>
      </c>
      <c r="O3177" s="9">
        <f>IF(G3177=0,0,N3177/G3177)</f>
        <v/>
      </c>
      <c r="P3177" s="6">
        <f>IF(M3177&gt;0,D3177,"")</f>
        <v/>
      </c>
      <c r="Q3177" s="9">
        <f>I3177+O3177</f>
        <v/>
      </c>
      <c r="R3177" s="7">
        <f>Q3177*G3177</f>
        <v/>
      </c>
      <c r="S3177" s="8">
        <f>IF($R$3194=0,0,R3177/$R$3194)</f>
        <v/>
      </c>
      <c r="T3177" s="8" t="n">
        <v>-0.008272629178726398</v>
      </c>
      <c r="U3177" s="8" t="n">
        <v>-0.02183085310155974</v>
      </c>
      <c r="V3177" s="6" t="inlineStr">
        <is>
          <t>remained in weekly selection</t>
        </is>
      </c>
    </row>
    <row r="3178">
      <c r="A3178" s="6" t="inlineStr">
        <is>
          <t>DJ30</t>
        </is>
      </c>
      <c r="B3178" s="6" t="inlineStr">
        <is>
          <t>2024-12-20</t>
        </is>
      </c>
      <c r="C3178" s="6" t="inlineStr">
        <is>
          <t>DIA</t>
        </is>
      </c>
      <c r="D3178" s="6" t="inlineStr">
        <is>
          <t>JNJ</t>
        </is>
      </c>
      <c r="E3178" s="6" t="inlineStr">
        <is>
          <t>JNJ</t>
        </is>
      </c>
      <c r="F3178" s="6" t="inlineStr">
        <is>
          <t>-</t>
        </is>
      </c>
      <c r="G3178" s="7" t="n">
        <v>138.6404113769531</v>
      </c>
      <c r="H3178" s="6">
        <f>P3147</f>
        <v/>
      </c>
      <c r="I3178" s="9">
        <f>Q3147</f>
        <v/>
      </c>
      <c r="J3178" s="7">
        <f>I3178*G3178</f>
        <v/>
      </c>
      <c r="K3178" s="8">
        <f>IF($J$3194=0,0,J3178/$J$3194)</f>
        <v/>
      </c>
      <c r="L3178" s="6" t="inlineStr">
        <is>
          <t>REJECTED</t>
        </is>
      </c>
      <c r="M3178" s="8" t="n">
        <v>0</v>
      </c>
      <c r="N3178" s="7">
        <f>M3178*$J$3194-J3178</f>
        <v/>
      </c>
      <c r="O3178" s="9">
        <f>IF(G3178=0,0,N3178/G3178)</f>
        <v/>
      </c>
      <c r="P3178" s="6">
        <f>IF(M3178&gt;0,D3178,"")</f>
        <v/>
      </c>
      <c r="Q3178" s="9">
        <f>I3178+O3178</f>
        <v/>
      </c>
      <c r="R3178" s="7">
        <f>Q3178*G3178</f>
        <v/>
      </c>
      <c r="S3178" s="8">
        <f>IF($R$3194=0,0,R3178/$R$3194)</f>
        <v/>
      </c>
      <c r="T3178" s="8" t="n">
        <v>-0.008272629178726398</v>
      </c>
      <c r="U3178" s="8" t="n">
        <v>-0.02183085310155974</v>
      </c>
      <c r="V3178" s="6" t="inlineStr">
        <is>
          <t>not selected</t>
        </is>
      </c>
    </row>
    <row r="3179">
      <c r="A3179" s="6" t="inlineStr">
        <is>
          <t>DJ30</t>
        </is>
      </c>
      <c r="B3179" s="6" t="inlineStr">
        <is>
          <t>2024-12-20</t>
        </is>
      </c>
      <c r="C3179" s="6" t="inlineStr">
        <is>
          <t>DIA</t>
        </is>
      </c>
      <c r="D3179" s="6" t="inlineStr">
        <is>
          <t>JPM</t>
        </is>
      </c>
      <c r="E3179" s="6" t="inlineStr">
        <is>
          <t>JPM</t>
        </is>
      </c>
      <c r="F3179" s="6" t="inlineStr">
        <is>
          <t>-</t>
        </is>
      </c>
      <c r="G3179" s="7" t="n">
        <v>230.4503173828125</v>
      </c>
      <c r="H3179" s="6">
        <f>P3148</f>
        <v/>
      </c>
      <c r="I3179" s="9">
        <f>Q3148</f>
        <v/>
      </c>
      <c r="J3179" s="7">
        <f>I3179*G3179</f>
        <v/>
      </c>
      <c r="K3179" s="8">
        <f>IF($J$3194=0,0,J3179/$J$3194)</f>
        <v/>
      </c>
      <c r="L3179" s="6" t="inlineStr">
        <is>
          <t>WATCHLIST</t>
        </is>
      </c>
      <c r="M3179" s="8" t="n">
        <v>0</v>
      </c>
      <c r="N3179" s="7">
        <f>M3179*$J$3194-J3179</f>
        <v/>
      </c>
      <c r="O3179" s="9">
        <f>IF(G3179=0,0,N3179/G3179)</f>
        <v/>
      </c>
      <c r="P3179" s="6">
        <f>IF(M3179&gt;0,D3179,"")</f>
        <v/>
      </c>
      <c r="Q3179" s="9">
        <f>I3179+O3179</f>
        <v/>
      </c>
      <c r="R3179" s="7">
        <f>Q3179*G3179</f>
        <v/>
      </c>
      <c r="S3179" s="8">
        <f>IF($R$3194=0,0,R3179/$R$3194)</f>
        <v/>
      </c>
      <c r="T3179" s="8" t="n">
        <v>-0.008272629178726398</v>
      </c>
      <c r="U3179" s="8" t="n">
        <v>-0.02183085310155974</v>
      </c>
      <c r="V3179" s="6" t="inlineStr">
        <is>
          <t>not selected</t>
        </is>
      </c>
    </row>
    <row r="3180">
      <c r="A3180" s="6" t="inlineStr">
        <is>
          <t>DJ30</t>
        </is>
      </c>
      <c r="B3180" s="6" t="inlineStr">
        <is>
          <t>2024-12-20</t>
        </is>
      </c>
      <c r="C3180" s="6" t="inlineStr">
        <is>
          <t>DIA</t>
        </is>
      </c>
      <c r="D3180" s="6" t="inlineStr">
        <is>
          <t>KO</t>
        </is>
      </c>
      <c r="E3180" s="6" t="inlineStr">
        <is>
          <t>KO</t>
        </is>
      </c>
      <c r="F3180" s="6" t="inlineStr">
        <is>
          <t>-</t>
        </is>
      </c>
      <c r="G3180" s="7" t="n">
        <v>59.9554443359375</v>
      </c>
      <c r="H3180" s="6">
        <f>P3149</f>
        <v/>
      </c>
      <c r="I3180" s="9">
        <f>Q3149</f>
        <v/>
      </c>
      <c r="J3180" s="7">
        <f>I3180*G3180</f>
        <v/>
      </c>
      <c r="K3180" s="8">
        <f>IF($J$3194=0,0,J3180/$J$3194)</f>
        <v/>
      </c>
      <c r="L3180" s="6" t="inlineStr">
        <is>
          <t>WATCHLIST</t>
        </is>
      </c>
      <c r="M3180" s="8" t="n">
        <v>0</v>
      </c>
      <c r="N3180" s="7">
        <f>M3180*$J$3194-J3180</f>
        <v/>
      </c>
      <c r="O3180" s="9">
        <f>IF(G3180=0,0,N3180/G3180)</f>
        <v/>
      </c>
      <c r="P3180" s="6">
        <f>IF(M3180&gt;0,D3180,"")</f>
        <v/>
      </c>
      <c r="Q3180" s="9">
        <f>I3180+O3180</f>
        <v/>
      </c>
      <c r="R3180" s="7">
        <f>Q3180*G3180</f>
        <v/>
      </c>
      <c r="S3180" s="8">
        <f>IF($R$3194=0,0,R3180/$R$3194)</f>
        <v/>
      </c>
      <c r="T3180" s="8" t="n">
        <v>-0.008272629178726398</v>
      </c>
      <c r="U3180" s="8" t="n">
        <v>-0.02183085310155974</v>
      </c>
      <c r="V3180" s="6" t="inlineStr">
        <is>
          <t>not selected</t>
        </is>
      </c>
    </row>
    <row r="3181">
      <c r="A3181" s="6" t="inlineStr">
        <is>
          <t>DJ30</t>
        </is>
      </c>
      <c r="B3181" s="6" t="inlineStr">
        <is>
          <t>2024-12-20</t>
        </is>
      </c>
      <c r="C3181" s="6" t="inlineStr">
        <is>
          <t>DIA</t>
        </is>
      </c>
      <c r="D3181" s="6" t="inlineStr">
        <is>
          <t>MCD</t>
        </is>
      </c>
      <c r="E3181" s="6" t="inlineStr">
        <is>
          <t>MCD</t>
        </is>
      </c>
      <c r="F3181" s="6" t="inlineStr">
        <is>
          <t>-</t>
        </is>
      </c>
      <c r="G3181" s="7" t="n">
        <v>282.504150390625</v>
      </c>
      <c r="H3181" s="6">
        <f>P3150</f>
        <v/>
      </c>
      <c r="I3181" s="9">
        <f>Q3150</f>
        <v/>
      </c>
      <c r="J3181" s="7">
        <f>I3181*G3181</f>
        <v/>
      </c>
      <c r="K3181" s="8">
        <f>IF($J$3194=0,0,J3181/$J$3194)</f>
        <v/>
      </c>
      <c r="L3181" s="6" t="inlineStr">
        <is>
          <t>REJECTED</t>
        </is>
      </c>
      <c r="M3181" s="8" t="n">
        <v>0</v>
      </c>
      <c r="N3181" s="7">
        <f>M3181*$J$3194-J3181</f>
        <v/>
      </c>
      <c r="O3181" s="9">
        <f>IF(G3181=0,0,N3181/G3181)</f>
        <v/>
      </c>
      <c r="P3181" s="6">
        <f>IF(M3181&gt;0,D3181,"")</f>
        <v/>
      </c>
      <c r="Q3181" s="9">
        <f>I3181+O3181</f>
        <v/>
      </c>
      <c r="R3181" s="7">
        <f>Q3181*G3181</f>
        <v/>
      </c>
      <c r="S3181" s="8">
        <f>IF($R$3194=0,0,R3181/$R$3194)</f>
        <v/>
      </c>
      <c r="T3181" s="8" t="n">
        <v>-0.008272629178726398</v>
      </c>
      <c r="U3181" s="8" t="n">
        <v>-0.02183085310155974</v>
      </c>
      <c r="V3181" s="6" t="inlineStr">
        <is>
          <t>not selected</t>
        </is>
      </c>
    </row>
    <row r="3182">
      <c r="A3182" s="6" t="inlineStr">
        <is>
          <t>DJ30</t>
        </is>
      </c>
      <c r="B3182" s="6" t="inlineStr">
        <is>
          <t>2024-12-20</t>
        </is>
      </c>
      <c r="C3182" s="6" t="inlineStr">
        <is>
          <t>DIA</t>
        </is>
      </c>
      <c r="D3182" s="6" t="inlineStr">
        <is>
          <t>MMM</t>
        </is>
      </c>
      <c r="E3182" s="6" t="inlineStr">
        <is>
          <t>MMM</t>
        </is>
      </c>
      <c r="F3182" s="6" t="inlineStr">
        <is>
          <t>-</t>
        </is>
      </c>
      <c r="G3182" s="7" t="n">
        <v>125.6676940917969</v>
      </c>
      <c r="H3182" s="6">
        <f>P3151</f>
        <v/>
      </c>
      <c r="I3182" s="9">
        <f>Q3151</f>
        <v/>
      </c>
      <c r="J3182" s="7">
        <f>I3182*G3182</f>
        <v/>
      </c>
      <c r="K3182" s="8">
        <f>IF($J$3194=0,0,J3182/$J$3194)</f>
        <v/>
      </c>
      <c r="L3182" s="6" t="inlineStr">
        <is>
          <t>SELECTED</t>
        </is>
      </c>
      <c r="M3182" s="8" t="n">
        <v>0.2</v>
      </c>
      <c r="N3182" s="7">
        <f>M3182*$J$3194-J3182</f>
        <v/>
      </c>
      <c r="O3182" s="9">
        <f>IF(G3182=0,0,N3182/G3182)</f>
        <v/>
      </c>
      <c r="P3182" s="6">
        <f>IF(M3182&gt;0,D3182,"")</f>
        <v/>
      </c>
      <c r="Q3182" s="9">
        <f>I3182+O3182</f>
        <v/>
      </c>
      <c r="R3182" s="7">
        <f>Q3182*G3182</f>
        <v/>
      </c>
      <c r="S3182" s="8">
        <f>IF($R$3194=0,0,R3182/$R$3194)</f>
        <v/>
      </c>
      <c r="T3182" s="8" t="n">
        <v>-0.008272629178726398</v>
      </c>
      <c r="U3182" s="8" t="n">
        <v>-0.02183085310155974</v>
      </c>
      <c r="V3182" s="6" t="inlineStr">
        <is>
          <t>remained in weekly selection</t>
        </is>
      </c>
    </row>
    <row r="3183">
      <c r="A3183" s="6" t="inlineStr">
        <is>
          <t>DJ30</t>
        </is>
      </c>
      <c r="B3183" s="6" t="inlineStr">
        <is>
          <t>2024-12-20</t>
        </is>
      </c>
      <c r="C3183" s="6" t="inlineStr">
        <is>
          <t>DIA</t>
        </is>
      </c>
      <c r="D3183" s="6" t="inlineStr">
        <is>
          <t>MRK</t>
        </is>
      </c>
      <c r="E3183" s="6" t="inlineStr">
        <is>
          <t>MRK</t>
        </is>
      </c>
      <c r="F3183" s="6" t="inlineStr">
        <is>
          <t>-</t>
        </is>
      </c>
      <c r="G3183" s="7" t="n">
        <v>93.1329345703125</v>
      </c>
      <c r="H3183" s="6">
        <f>P3152</f>
        <v/>
      </c>
      <c r="I3183" s="9">
        <f>Q3152</f>
        <v/>
      </c>
      <c r="J3183" s="7">
        <f>I3183*G3183</f>
        <v/>
      </c>
      <c r="K3183" s="8">
        <f>IF($J$3194=0,0,J3183/$J$3194)</f>
        <v/>
      </c>
      <c r="L3183" s="6" t="inlineStr">
        <is>
          <t>REJECTED</t>
        </is>
      </c>
      <c r="M3183" s="8" t="n">
        <v>0</v>
      </c>
      <c r="N3183" s="7">
        <f>M3183*$J$3194-J3183</f>
        <v/>
      </c>
      <c r="O3183" s="9">
        <f>IF(G3183=0,0,N3183/G3183)</f>
        <v/>
      </c>
      <c r="P3183" s="6">
        <f>IF(M3183&gt;0,D3183,"")</f>
        <v/>
      </c>
      <c r="Q3183" s="9">
        <f>I3183+O3183</f>
        <v/>
      </c>
      <c r="R3183" s="7">
        <f>Q3183*G3183</f>
        <v/>
      </c>
      <c r="S3183" s="8">
        <f>IF($R$3194=0,0,R3183/$R$3194)</f>
        <v/>
      </c>
      <c r="T3183" s="8" t="n">
        <v>-0.008272629178726398</v>
      </c>
      <c r="U3183" s="8" t="n">
        <v>-0.02183085310155974</v>
      </c>
      <c r="V3183" s="6" t="inlineStr">
        <is>
          <t>not selected</t>
        </is>
      </c>
    </row>
    <row r="3184">
      <c r="A3184" s="6" t="inlineStr">
        <is>
          <t>DJ30</t>
        </is>
      </c>
      <c r="B3184" s="6" t="inlineStr">
        <is>
          <t>2024-12-20</t>
        </is>
      </c>
      <c r="C3184" s="6" t="inlineStr">
        <is>
          <t>DIA</t>
        </is>
      </c>
      <c r="D3184" s="6" t="inlineStr">
        <is>
          <t>MSFT</t>
        </is>
      </c>
      <c r="E3184" s="6" t="inlineStr">
        <is>
          <t>MSFT</t>
        </is>
      </c>
      <c r="F3184" s="6" t="inlineStr">
        <is>
          <t>-</t>
        </is>
      </c>
      <c r="G3184" s="7" t="n">
        <v>431.4813842773438</v>
      </c>
      <c r="H3184" s="6">
        <f>P3153</f>
        <v/>
      </c>
      <c r="I3184" s="9">
        <f>Q3153</f>
        <v/>
      </c>
      <c r="J3184" s="7">
        <f>I3184*G3184</f>
        <v/>
      </c>
      <c r="K3184" s="8">
        <f>IF($J$3194=0,0,J3184/$J$3194)</f>
        <v/>
      </c>
      <c r="L3184" s="6" t="inlineStr">
        <is>
          <t>REJECTED</t>
        </is>
      </c>
      <c r="M3184" s="8" t="n">
        <v>0</v>
      </c>
      <c r="N3184" s="7">
        <f>M3184*$J$3194-J3184</f>
        <v/>
      </c>
      <c r="O3184" s="9">
        <f>IF(G3184=0,0,N3184/G3184)</f>
        <v/>
      </c>
      <c r="P3184" s="6">
        <f>IF(M3184&gt;0,D3184,"")</f>
        <v/>
      </c>
      <c r="Q3184" s="9">
        <f>I3184+O3184</f>
        <v/>
      </c>
      <c r="R3184" s="7">
        <f>Q3184*G3184</f>
        <v/>
      </c>
      <c r="S3184" s="8">
        <f>IF($R$3194=0,0,R3184/$R$3194)</f>
        <v/>
      </c>
      <c r="T3184" s="8" t="n">
        <v>-0.008272629178726398</v>
      </c>
      <c r="U3184" s="8" t="n">
        <v>-0.02183085310155974</v>
      </c>
      <c r="V3184" s="6" t="inlineStr">
        <is>
          <t>not selected</t>
        </is>
      </c>
    </row>
    <row r="3185">
      <c r="A3185" s="6" t="inlineStr">
        <is>
          <t>DJ30</t>
        </is>
      </c>
      <c r="B3185" s="6" t="inlineStr">
        <is>
          <t>2024-12-20</t>
        </is>
      </c>
      <c r="C3185" s="6" t="inlineStr">
        <is>
          <t>DIA</t>
        </is>
      </c>
      <c r="D3185" s="6" t="inlineStr">
        <is>
          <t>NKE</t>
        </is>
      </c>
      <c r="E3185" s="6" t="inlineStr">
        <is>
          <t>NKE</t>
        </is>
      </c>
      <c r="F3185" s="6" t="inlineStr">
        <is>
          <t>-</t>
        </is>
      </c>
      <c r="G3185" s="7" t="n">
        <v>74.01609039306641</v>
      </c>
      <c r="H3185" s="6">
        <f>P3154</f>
        <v/>
      </c>
      <c r="I3185" s="9">
        <f>Q3154</f>
        <v/>
      </c>
      <c r="J3185" s="7">
        <f>I3185*G3185</f>
        <v/>
      </c>
      <c r="K3185" s="8">
        <f>IF($J$3194=0,0,J3185/$J$3194)</f>
        <v/>
      </c>
      <c r="L3185" s="6" t="inlineStr">
        <is>
          <t>REJECTED</t>
        </is>
      </c>
      <c r="M3185" s="8" t="n">
        <v>0</v>
      </c>
      <c r="N3185" s="7">
        <f>M3185*$J$3194-J3185</f>
        <v/>
      </c>
      <c r="O3185" s="9">
        <f>IF(G3185=0,0,N3185/G3185)</f>
        <v/>
      </c>
      <c r="P3185" s="6">
        <f>IF(M3185&gt;0,D3185,"")</f>
        <v/>
      </c>
      <c r="Q3185" s="9">
        <f>I3185+O3185</f>
        <v/>
      </c>
      <c r="R3185" s="7">
        <f>Q3185*G3185</f>
        <v/>
      </c>
      <c r="S3185" s="8">
        <f>IF($R$3194=0,0,R3185/$R$3194)</f>
        <v/>
      </c>
      <c r="T3185" s="8" t="n">
        <v>-0.008272629178726398</v>
      </c>
      <c r="U3185" s="8" t="n">
        <v>-0.02183085310155974</v>
      </c>
      <c r="V3185" s="6" t="inlineStr">
        <is>
          <t>not selected</t>
        </is>
      </c>
    </row>
    <row r="3186">
      <c r="A3186" s="6" t="inlineStr">
        <is>
          <t>DJ30</t>
        </is>
      </c>
      <c r="B3186" s="6" t="inlineStr">
        <is>
          <t>2024-12-20</t>
        </is>
      </c>
      <c r="C3186" s="6" t="inlineStr">
        <is>
          <t>DIA</t>
        </is>
      </c>
      <c r="D3186" s="6" t="inlineStr">
        <is>
          <t>NVDA</t>
        </is>
      </c>
      <c r="E3186" s="6" t="inlineStr">
        <is>
          <t>NVDA</t>
        </is>
      </c>
      <c r="F3186" s="6" t="inlineStr">
        <is>
          <t>-</t>
        </is>
      </c>
      <c r="G3186" s="7" t="n">
        <v>134.4991149902344</v>
      </c>
      <c r="H3186" s="6">
        <f>P3155</f>
        <v/>
      </c>
      <c r="I3186" s="9">
        <f>Q3155</f>
        <v/>
      </c>
      <c r="J3186" s="7">
        <f>I3186*G3186</f>
        <v/>
      </c>
      <c r="K3186" s="8">
        <f>IF($J$3194=0,0,J3186/$J$3194)</f>
        <v/>
      </c>
      <c r="L3186" s="6" t="inlineStr">
        <is>
          <t>SELECTED</t>
        </is>
      </c>
      <c r="M3186" s="8" t="n">
        <v>0.2</v>
      </c>
      <c r="N3186" s="7">
        <f>M3186*$J$3194-J3186</f>
        <v/>
      </c>
      <c r="O3186" s="9">
        <f>IF(G3186=0,0,N3186/G3186)</f>
        <v/>
      </c>
      <c r="P3186" s="6">
        <f>IF(M3186&gt;0,D3186,"")</f>
        <v/>
      </c>
      <c r="Q3186" s="9">
        <f>I3186+O3186</f>
        <v/>
      </c>
      <c r="R3186" s="7">
        <f>Q3186*G3186</f>
        <v/>
      </c>
      <c r="S3186" s="8">
        <f>IF($R$3194=0,0,R3186/$R$3194)</f>
        <v/>
      </c>
      <c r="T3186" s="8" t="n">
        <v>-0.008272629178726398</v>
      </c>
      <c r="U3186" s="8" t="n">
        <v>-0.02183085310155974</v>
      </c>
      <c r="V3186" s="6" t="inlineStr">
        <is>
          <t>remained in weekly selection</t>
        </is>
      </c>
    </row>
    <row r="3187">
      <c r="A3187" s="6" t="inlineStr">
        <is>
          <t>DJ30</t>
        </is>
      </c>
      <c r="B3187" s="6" t="inlineStr">
        <is>
          <t>2024-12-20</t>
        </is>
      </c>
      <c r="C3187" s="6" t="inlineStr">
        <is>
          <t>DIA</t>
        </is>
      </c>
      <c r="D3187" s="6" t="inlineStr">
        <is>
          <t>PG</t>
        </is>
      </c>
      <c r="E3187" s="6" t="inlineStr">
        <is>
          <t>PG</t>
        </is>
      </c>
      <c r="F3187" s="6" t="inlineStr">
        <is>
          <t>-</t>
        </is>
      </c>
      <c r="G3187" s="7" t="n">
        <v>161.3647155761719</v>
      </c>
      <c r="H3187" s="6">
        <f>P3156</f>
        <v/>
      </c>
      <c r="I3187" s="9">
        <f>Q3156</f>
        <v/>
      </c>
      <c r="J3187" s="7">
        <f>I3187*G3187</f>
        <v/>
      </c>
      <c r="K3187" s="8">
        <f>IF($J$3194=0,0,J3187/$J$3194)</f>
        <v/>
      </c>
      <c r="L3187" s="6" t="inlineStr">
        <is>
          <t>WATCHLIST</t>
        </is>
      </c>
      <c r="M3187" s="8" t="n">
        <v>0</v>
      </c>
      <c r="N3187" s="7">
        <f>M3187*$J$3194-J3187</f>
        <v/>
      </c>
      <c r="O3187" s="9">
        <f>IF(G3187=0,0,N3187/G3187)</f>
        <v/>
      </c>
      <c r="P3187" s="6">
        <f>IF(M3187&gt;0,D3187,"")</f>
        <v/>
      </c>
      <c r="Q3187" s="9">
        <f>I3187+O3187</f>
        <v/>
      </c>
      <c r="R3187" s="7">
        <f>Q3187*G3187</f>
        <v/>
      </c>
      <c r="S3187" s="8">
        <f>IF($R$3194=0,0,R3187/$R$3194)</f>
        <v/>
      </c>
      <c r="T3187" s="8" t="n">
        <v>-0.008272629178726398</v>
      </c>
      <c r="U3187" s="8" t="n">
        <v>-0.02183085310155974</v>
      </c>
      <c r="V3187" s="6" t="inlineStr">
        <is>
          <t>not selected</t>
        </is>
      </c>
    </row>
    <row r="3188">
      <c r="A3188" s="6" t="inlineStr">
        <is>
          <t>DJ30</t>
        </is>
      </c>
      <c r="B3188" s="6" t="inlineStr">
        <is>
          <t>2024-12-20</t>
        </is>
      </c>
      <c r="C3188" s="6" t="inlineStr">
        <is>
          <t>DIA</t>
        </is>
      </c>
      <c r="D3188" s="6" t="inlineStr">
        <is>
          <t>SHW</t>
        </is>
      </c>
      <c r="E3188" s="6" t="inlineStr">
        <is>
          <t>SHW</t>
        </is>
      </c>
      <c r="F3188" s="6" t="inlineStr">
        <is>
          <t>-</t>
        </is>
      </c>
      <c r="G3188" s="7" t="n">
        <v>340.7806091308594</v>
      </c>
      <c r="H3188" s="6">
        <f>P3157</f>
        <v/>
      </c>
      <c r="I3188" s="9">
        <f>Q3157</f>
        <v/>
      </c>
      <c r="J3188" s="7">
        <f>I3188*G3188</f>
        <v/>
      </c>
      <c r="K3188" s="8">
        <f>IF($J$3194=0,0,J3188/$J$3194)</f>
        <v/>
      </c>
      <c r="L3188" s="6" t="inlineStr">
        <is>
          <t>WATCHLIST</t>
        </is>
      </c>
      <c r="M3188" s="8" t="n">
        <v>0</v>
      </c>
      <c r="N3188" s="7">
        <f>M3188*$J$3194-J3188</f>
        <v/>
      </c>
      <c r="O3188" s="9">
        <f>IF(G3188=0,0,N3188/G3188)</f>
        <v/>
      </c>
      <c r="P3188" s="6">
        <f>IF(M3188&gt;0,D3188,"")</f>
        <v/>
      </c>
      <c r="Q3188" s="9">
        <f>I3188+O3188</f>
        <v/>
      </c>
      <c r="R3188" s="7">
        <f>Q3188*G3188</f>
        <v/>
      </c>
      <c r="S3188" s="8">
        <f>IF($R$3194=0,0,R3188/$R$3194)</f>
        <v/>
      </c>
      <c r="T3188" s="8" t="n">
        <v>-0.008272629178726398</v>
      </c>
      <c r="U3188" s="8" t="n">
        <v>-0.02183085310155974</v>
      </c>
      <c r="V3188" s="6" t="inlineStr">
        <is>
          <t>not selected</t>
        </is>
      </c>
    </row>
    <row r="3189">
      <c r="A3189" s="6" t="inlineStr">
        <is>
          <t>DJ30</t>
        </is>
      </c>
      <c r="B3189" s="6" t="inlineStr">
        <is>
          <t>2024-12-20</t>
        </is>
      </c>
      <c r="C3189" s="6" t="inlineStr">
        <is>
          <t>DIA</t>
        </is>
      </c>
      <c r="D3189" s="6" t="inlineStr">
        <is>
          <t>TRV</t>
        </is>
      </c>
      <c r="E3189" s="6" t="inlineStr">
        <is>
          <t>TRV</t>
        </is>
      </c>
      <c r="F3189" s="6" t="inlineStr">
        <is>
          <t>-</t>
        </is>
      </c>
      <c r="G3189" s="7" t="n">
        <v>235.0544891357422</v>
      </c>
      <c r="H3189" s="6">
        <f>P3158</f>
        <v/>
      </c>
      <c r="I3189" s="9">
        <f>Q3158</f>
        <v/>
      </c>
      <c r="J3189" s="7">
        <f>I3189*G3189</f>
        <v/>
      </c>
      <c r="K3189" s="8">
        <f>IF($J$3194=0,0,J3189/$J$3194)</f>
        <v/>
      </c>
      <c r="L3189" s="6" t="inlineStr">
        <is>
          <t>WATCHLIST</t>
        </is>
      </c>
      <c r="M3189" s="8" t="n">
        <v>0</v>
      </c>
      <c r="N3189" s="7">
        <f>M3189*$J$3194-J3189</f>
        <v/>
      </c>
      <c r="O3189" s="9">
        <f>IF(G3189=0,0,N3189/G3189)</f>
        <v/>
      </c>
      <c r="P3189" s="6">
        <f>IF(M3189&gt;0,D3189,"")</f>
        <v/>
      </c>
      <c r="Q3189" s="9">
        <f>I3189+O3189</f>
        <v/>
      </c>
      <c r="R3189" s="7">
        <f>Q3189*G3189</f>
        <v/>
      </c>
      <c r="S3189" s="8">
        <f>IF($R$3194=0,0,R3189/$R$3194)</f>
        <v/>
      </c>
      <c r="T3189" s="8" t="n">
        <v>-0.008272629178726398</v>
      </c>
      <c r="U3189" s="8" t="n">
        <v>-0.02183085310155974</v>
      </c>
      <c r="V3189" s="6" t="inlineStr">
        <is>
          <t>not selected</t>
        </is>
      </c>
    </row>
    <row r="3190">
      <c r="A3190" s="6" t="inlineStr">
        <is>
          <t>DJ30</t>
        </is>
      </c>
      <c r="B3190" s="6" t="inlineStr">
        <is>
          <t>2024-12-20</t>
        </is>
      </c>
      <c r="C3190" s="6" t="inlineStr">
        <is>
          <t>DIA</t>
        </is>
      </c>
      <c r="D3190" s="6" t="inlineStr">
        <is>
          <t>UNH</t>
        </is>
      </c>
      <c r="E3190" s="6" t="inlineStr">
        <is>
          <t>UNH</t>
        </is>
      </c>
      <c r="F3190" s="6" t="inlineStr">
        <is>
          <t>-</t>
        </is>
      </c>
      <c r="G3190" s="7" t="n">
        <v>481.5934143066406</v>
      </c>
      <c r="H3190" s="6">
        <f>P3159</f>
        <v/>
      </c>
      <c r="I3190" s="9">
        <f>Q3159</f>
        <v/>
      </c>
      <c r="J3190" s="7">
        <f>I3190*G3190</f>
        <v/>
      </c>
      <c r="K3190" s="8">
        <f>IF($J$3194=0,0,J3190/$J$3194)</f>
        <v/>
      </c>
      <c r="L3190" s="6" t="inlineStr">
        <is>
          <t>WATCHLIST</t>
        </is>
      </c>
      <c r="M3190" s="8" t="n">
        <v>0</v>
      </c>
      <c r="N3190" s="7">
        <f>M3190*$J$3194-J3190</f>
        <v/>
      </c>
      <c r="O3190" s="9">
        <f>IF(G3190=0,0,N3190/G3190)</f>
        <v/>
      </c>
      <c r="P3190" s="6">
        <f>IF(M3190&gt;0,D3190,"")</f>
        <v/>
      </c>
      <c r="Q3190" s="9">
        <f>I3190+O3190</f>
        <v/>
      </c>
      <c r="R3190" s="7">
        <f>Q3190*G3190</f>
        <v/>
      </c>
      <c r="S3190" s="8">
        <f>IF($R$3194=0,0,R3190/$R$3194)</f>
        <v/>
      </c>
      <c r="T3190" s="8" t="n">
        <v>-0.008272629178726398</v>
      </c>
      <c r="U3190" s="8" t="n">
        <v>-0.02183085310155974</v>
      </c>
      <c r="V3190" s="6" t="inlineStr">
        <is>
          <t>not selected</t>
        </is>
      </c>
    </row>
    <row r="3191">
      <c r="A3191" s="6" t="inlineStr">
        <is>
          <t>DJ30</t>
        </is>
      </c>
      <c r="B3191" s="6" t="inlineStr">
        <is>
          <t>2024-12-20</t>
        </is>
      </c>
      <c r="C3191" s="6" t="inlineStr">
        <is>
          <t>DIA</t>
        </is>
      </c>
      <c r="D3191" s="6" t="inlineStr">
        <is>
          <t>V</t>
        </is>
      </c>
      <c r="E3191" s="6" t="inlineStr">
        <is>
          <t>V</t>
        </is>
      </c>
      <c r="F3191" s="6" t="inlineStr">
        <is>
          <t>-</t>
        </is>
      </c>
      <c r="G3191" s="7" t="n">
        <v>314.1688537597656</v>
      </c>
      <c r="H3191" s="6">
        <f>P3160</f>
        <v/>
      </c>
      <c r="I3191" s="9">
        <f>Q3160</f>
        <v/>
      </c>
      <c r="J3191" s="7">
        <f>I3191*G3191</f>
        <v/>
      </c>
      <c r="K3191" s="8">
        <f>IF($J$3194=0,0,J3191/$J$3194)</f>
        <v/>
      </c>
      <c r="L3191" s="6" t="inlineStr">
        <is>
          <t>WATCHLIST</t>
        </is>
      </c>
      <c r="M3191" s="8" t="n">
        <v>0</v>
      </c>
      <c r="N3191" s="7">
        <f>M3191*$J$3194-J3191</f>
        <v/>
      </c>
      <c r="O3191" s="9">
        <f>IF(G3191=0,0,N3191/G3191)</f>
        <v/>
      </c>
      <c r="P3191" s="6">
        <f>IF(M3191&gt;0,D3191,"")</f>
        <v/>
      </c>
      <c r="Q3191" s="9">
        <f>I3191+O3191</f>
        <v/>
      </c>
      <c r="R3191" s="7">
        <f>Q3191*G3191</f>
        <v/>
      </c>
      <c r="S3191" s="8">
        <f>IF($R$3194=0,0,R3191/$R$3194)</f>
        <v/>
      </c>
      <c r="T3191" s="8" t="n">
        <v>-0.008272629178726398</v>
      </c>
      <c r="U3191" s="8" t="n">
        <v>-0.02183085310155974</v>
      </c>
      <c r="V3191" s="6" t="inlineStr">
        <is>
          <t>not selected</t>
        </is>
      </c>
    </row>
    <row r="3192">
      <c r="A3192" s="6" t="inlineStr">
        <is>
          <t>DJ30</t>
        </is>
      </c>
      <c r="B3192" s="6" t="inlineStr">
        <is>
          <t>2024-12-20</t>
        </is>
      </c>
      <c r="C3192" s="6" t="inlineStr">
        <is>
          <t>DIA</t>
        </is>
      </c>
      <c r="D3192" s="6" t="inlineStr">
        <is>
          <t>VZ</t>
        </is>
      </c>
      <c r="E3192" s="6" t="inlineStr">
        <is>
          <t>VZ</t>
        </is>
      </c>
      <c r="F3192" s="6" t="inlineStr">
        <is>
          <t>-</t>
        </is>
      </c>
      <c r="G3192" s="7" t="n">
        <v>36.17671585083008</v>
      </c>
      <c r="H3192" s="6">
        <f>P3161</f>
        <v/>
      </c>
      <c r="I3192" s="9">
        <f>Q3161</f>
        <v/>
      </c>
      <c r="J3192" s="7">
        <f>I3192*G3192</f>
        <v/>
      </c>
      <c r="K3192" s="8">
        <f>IF($J$3194=0,0,J3192/$J$3194)</f>
        <v/>
      </c>
      <c r="L3192" s="6" t="inlineStr">
        <is>
          <t>WATCHLIST</t>
        </is>
      </c>
      <c r="M3192" s="8" t="n">
        <v>0</v>
      </c>
      <c r="N3192" s="7">
        <f>M3192*$J$3194-J3192</f>
        <v/>
      </c>
      <c r="O3192" s="9">
        <f>IF(G3192=0,0,N3192/G3192)</f>
        <v/>
      </c>
      <c r="P3192" s="6">
        <f>IF(M3192&gt;0,D3192,"")</f>
        <v/>
      </c>
      <c r="Q3192" s="9">
        <f>I3192+O3192</f>
        <v/>
      </c>
      <c r="R3192" s="7">
        <f>Q3192*G3192</f>
        <v/>
      </c>
      <c r="S3192" s="8">
        <f>IF($R$3194=0,0,R3192/$R$3194)</f>
        <v/>
      </c>
      <c r="T3192" s="8" t="n">
        <v>-0.008272629178726398</v>
      </c>
      <c r="U3192" s="8" t="n">
        <v>-0.02183085310155974</v>
      </c>
      <c r="V3192" s="6" t="inlineStr">
        <is>
          <t>not selected</t>
        </is>
      </c>
    </row>
    <row r="3193">
      <c r="A3193" s="6" t="inlineStr">
        <is>
          <t>DJ30</t>
        </is>
      </c>
      <c r="B3193" s="6" t="inlineStr">
        <is>
          <t>2024-12-20</t>
        </is>
      </c>
      <c r="C3193" s="6" t="inlineStr">
        <is>
          <t>DIA</t>
        </is>
      </c>
      <c r="D3193" s="6" t="inlineStr">
        <is>
          <t>WMT</t>
        </is>
      </c>
      <c r="E3193" s="6" t="inlineStr">
        <is>
          <t>WMT</t>
        </is>
      </c>
      <c r="F3193" s="6" t="inlineStr">
        <is>
          <t>-</t>
        </is>
      </c>
      <c r="G3193" s="7" t="n">
        <v>91.00464630126952</v>
      </c>
      <c r="H3193" s="6">
        <f>P3162</f>
        <v/>
      </c>
      <c r="I3193" s="9">
        <f>Q3162</f>
        <v/>
      </c>
      <c r="J3193" s="7">
        <f>I3193*G3193</f>
        <v/>
      </c>
      <c r="K3193" s="8">
        <f>IF($J$3194=0,0,J3193/$J$3194)</f>
        <v/>
      </c>
      <c r="L3193" s="6" t="inlineStr">
        <is>
          <t>WATCHLIST</t>
        </is>
      </c>
      <c r="M3193" s="8" t="n">
        <v>0</v>
      </c>
      <c r="N3193" s="7">
        <f>M3193*$J$3194-J3193</f>
        <v/>
      </c>
      <c r="O3193" s="9">
        <f>IF(G3193=0,0,N3193/G3193)</f>
        <v/>
      </c>
      <c r="P3193" s="6">
        <f>IF(M3193&gt;0,D3193,"")</f>
        <v/>
      </c>
      <c r="Q3193" s="9">
        <f>I3193+O3193</f>
        <v/>
      </c>
      <c r="R3193" s="7">
        <f>Q3193*G3193</f>
        <v/>
      </c>
      <c r="S3193" s="8">
        <f>IF($R$3194=0,0,R3193/$R$3194)</f>
        <v/>
      </c>
      <c r="T3193" s="8" t="n">
        <v>-0.008272629178726398</v>
      </c>
      <c r="U3193" s="8" t="n">
        <v>-0.02183085310155974</v>
      </c>
      <c r="V3193" s="6" t="inlineStr">
        <is>
          <t>not selected</t>
        </is>
      </c>
    </row>
    <row r="3194">
      <c r="A3194" s="10" t="inlineStr">
        <is>
          <t>DJ30</t>
        </is>
      </c>
      <c r="B3194" s="10" t="inlineStr">
        <is>
          <t>2024-12-20</t>
        </is>
      </c>
      <c r="C3194" s="10" t="inlineStr">
        <is>
          <t>DIA</t>
        </is>
      </c>
      <c r="D3194" s="10" t="inlineStr">
        <is>
          <t>Tot Portfolio</t>
        </is>
      </c>
      <c r="E3194" s="10" t="inlineStr"/>
      <c r="F3194" s="10" t="inlineStr"/>
      <c r="G3194" s="11" t="inlineStr"/>
      <c r="H3194" s="10" t="inlineStr"/>
      <c r="I3194" s="12" t="inlineStr"/>
      <c r="J3194" s="11">
        <f>SUM(J3164:J3193)</f>
        <v/>
      </c>
      <c r="K3194" s="13">
        <f>SUM(K3164:K3193)</f>
        <v/>
      </c>
      <c r="L3194" s="10" t="inlineStr">
        <is>
          <t>TOTAL</t>
        </is>
      </c>
      <c r="M3194" s="13">
        <f>SUM(M3164:M3193)</f>
        <v/>
      </c>
      <c r="N3194" s="11">
        <f>SUM(N3164:N3193)</f>
        <v/>
      </c>
      <c r="O3194" s="12">
        <f>SUM(O3164:O3193)</f>
        <v/>
      </c>
      <c r="P3194" s="10" t="inlineStr"/>
      <c r="Q3194" s="12" t="inlineStr"/>
      <c r="R3194" s="11">
        <f>SUM(R3164:R3193)</f>
        <v/>
      </c>
      <c r="S3194" s="13">
        <f>SUM(S3164:S3193)</f>
        <v/>
      </c>
      <c r="T3194" s="13" t="n">
        <v>-0.008272629178726398</v>
      </c>
      <c r="U3194" s="13" t="n">
        <v>-0.02183085310155974</v>
      </c>
      <c r="V3194" s="10" t="inlineStr"/>
    </row>
    <row r="3195">
      <c r="A3195" s="6" t="inlineStr">
        <is>
          <t>DJ30</t>
        </is>
      </c>
      <c r="B3195" s="6" t="inlineStr">
        <is>
          <t>2024-12-27</t>
        </is>
      </c>
      <c r="C3195" s="6" t="inlineStr">
        <is>
          <t>DIA</t>
        </is>
      </c>
      <c r="D3195" s="6" t="inlineStr">
        <is>
          <t>AAPL</t>
        </is>
      </c>
      <c r="E3195" s="6" t="inlineStr">
        <is>
          <t>AAPL</t>
        </is>
      </c>
      <c r="F3195" s="6" t="inlineStr">
        <is>
          <t>-</t>
        </is>
      </c>
      <c r="G3195" s="7" t="n">
        <v>253.9673767089844</v>
      </c>
      <c r="H3195" s="6">
        <f>P3164</f>
        <v/>
      </c>
      <c r="I3195" s="9">
        <f>Q3164</f>
        <v/>
      </c>
      <c r="J3195" s="7">
        <f>I3195*G3195</f>
        <v/>
      </c>
      <c r="K3195" s="8">
        <f>IF($J$3225=0,0,J3195/$J$3225)</f>
        <v/>
      </c>
      <c r="L3195" s="6" t="inlineStr">
        <is>
          <t>WATCHLIST</t>
        </is>
      </c>
      <c r="M3195" s="8" t="n">
        <v>0</v>
      </c>
      <c r="N3195" s="7">
        <f>M3195*$J$3225-J3195</f>
        <v/>
      </c>
      <c r="O3195" s="9">
        <f>IF(G3195=0,0,N3195/G3195)</f>
        <v/>
      </c>
      <c r="P3195" s="6">
        <f>IF(M3195&gt;0,D3195,"")</f>
        <v/>
      </c>
      <c r="Q3195" s="9">
        <f>I3195+O3195</f>
        <v/>
      </c>
      <c r="R3195" s="7">
        <f>Q3195*G3195</f>
        <v/>
      </c>
      <c r="S3195" s="8">
        <f>IF($R$3225=0,0,R3195/$R$3225)</f>
        <v/>
      </c>
      <c r="T3195" s="8" t="n">
        <v>0.008328477004585277</v>
      </c>
      <c r="U3195" s="8" t="n">
        <v>0.003406875352082173</v>
      </c>
      <c r="V3195" s="6" t="inlineStr">
        <is>
          <t>removed from weekly selection</t>
        </is>
      </c>
    </row>
    <row r="3196">
      <c r="A3196" s="6" t="inlineStr">
        <is>
          <t>DJ30</t>
        </is>
      </c>
      <c r="B3196" s="6" t="inlineStr">
        <is>
          <t>2024-12-27</t>
        </is>
      </c>
      <c r="C3196" s="6" t="inlineStr">
        <is>
          <t>DIA</t>
        </is>
      </c>
      <c r="D3196" s="6" t="inlineStr">
        <is>
          <t>AMGN</t>
        </is>
      </c>
      <c r="E3196" s="6" t="inlineStr">
        <is>
          <t>AMGN</t>
        </is>
      </c>
      <c r="F3196" s="6" t="inlineStr">
        <is>
          <t>-</t>
        </is>
      </c>
      <c r="G3196" s="7" t="n">
        <v>250.7263793945312</v>
      </c>
      <c r="H3196" s="6">
        <f>P3165</f>
        <v/>
      </c>
      <c r="I3196" s="9">
        <f>Q3165</f>
        <v/>
      </c>
      <c r="J3196" s="7">
        <f>I3196*G3196</f>
        <v/>
      </c>
      <c r="K3196" s="8">
        <f>IF($J$3225=0,0,J3196/$J$3225)</f>
        <v/>
      </c>
      <c r="L3196" s="6" t="inlineStr">
        <is>
          <t>REJECTED</t>
        </is>
      </c>
      <c r="M3196" s="8" t="n">
        <v>0</v>
      </c>
      <c r="N3196" s="7">
        <f>M3196*$J$3225-J3196</f>
        <v/>
      </c>
      <c r="O3196" s="9">
        <f>IF(G3196=0,0,N3196/G3196)</f>
        <v/>
      </c>
      <c r="P3196" s="6">
        <f>IF(M3196&gt;0,D3196,"")</f>
        <v/>
      </c>
      <c r="Q3196" s="9">
        <f>I3196+O3196</f>
        <v/>
      </c>
      <c r="R3196" s="7">
        <f>Q3196*G3196</f>
        <v/>
      </c>
      <c r="S3196" s="8">
        <f>IF($R$3225=0,0,R3196/$R$3225)</f>
        <v/>
      </c>
      <c r="T3196" s="8" t="n">
        <v>0.008328477004585277</v>
      </c>
      <c r="U3196" s="8" t="n">
        <v>0.003406875352082173</v>
      </c>
      <c r="V3196" s="6" t="inlineStr">
        <is>
          <t>not selected</t>
        </is>
      </c>
    </row>
    <row r="3197">
      <c r="A3197" s="6" t="inlineStr">
        <is>
          <t>DJ30</t>
        </is>
      </c>
      <c r="B3197" s="6" t="inlineStr">
        <is>
          <t>2024-12-27</t>
        </is>
      </c>
      <c r="C3197" s="6" t="inlineStr">
        <is>
          <t>DIA</t>
        </is>
      </c>
      <c r="D3197" s="6" t="inlineStr">
        <is>
          <t>AMZN</t>
        </is>
      </c>
      <c r="E3197" s="6" t="inlineStr">
        <is>
          <t>AMZN</t>
        </is>
      </c>
      <c r="F3197" s="6" t="inlineStr">
        <is>
          <t>-</t>
        </is>
      </c>
      <c r="G3197" s="7" t="n">
        <v>223.75</v>
      </c>
      <c r="H3197" s="6">
        <f>P3166</f>
        <v/>
      </c>
      <c r="I3197" s="9">
        <f>Q3166</f>
        <v/>
      </c>
      <c r="J3197" s="7">
        <f>I3197*G3197</f>
        <v/>
      </c>
      <c r="K3197" s="8">
        <f>IF($J$3225=0,0,J3197/$J$3225)</f>
        <v/>
      </c>
      <c r="L3197" s="6" t="inlineStr">
        <is>
          <t>WATCHLIST</t>
        </is>
      </c>
      <c r="M3197" s="8" t="n">
        <v>0</v>
      </c>
      <c r="N3197" s="7">
        <f>M3197*$J$3225-J3197</f>
        <v/>
      </c>
      <c r="O3197" s="9">
        <f>IF(G3197=0,0,N3197/G3197)</f>
        <v/>
      </c>
      <c r="P3197" s="6">
        <f>IF(M3197&gt;0,D3197,"")</f>
        <v/>
      </c>
      <c r="Q3197" s="9">
        <f>I3197+O3197</f>
        <v/>
      </c>
      <c r="R3197" s="7">
        <f>Q3197*G3197</f>
        <v/>
      </c>
      <c r="S3197" s="8">
        <f>IF($R$3225=0,0,R3197/$R$3225)</f>
        <v/>
      </c>
      <c r="T3197" s="8" t="n">
        <v>0.008328477004585277</v>
      </c>
      <c r="U3197" s="8" t="n">
        <v>0.003406875352082173</v>
      </c>
      <c r="V3197" s="6" t="inlineStr">
        <is>
          <t>not selected</t>
        </is>
      </c>
    </row>
    <row r="3198">
      <c r="A3198" s="6" t="inlineStr">
        <is>
          <t>DJ30</t>
        </is>
      </c>
      <c r="B3198" s="6" t="inlineStr">
        <is>
          <t>2024-12-27</t>
        </is>
      </c>
      <c r="C3198" s="6" t="inlineStr">
        <is>
          <t>DIA</t>
        </is>
      </c>
      <c r="D3198" s="6" t="inlineStr">
        <is>
          <t>AXP</t>
        </is>
      </c>
      <c r="E3198" s="6" t="inlineStr">
        <is>
          <t>AXP</t>
        </is>
      </c>
      <c r="F3198" s="6" t="inlineStr">
        <is>
          <t>-</t>
        </is>
      </c>
      <c r="G3198" s="7" t="n">
        <v>296.2447814941406</v>
      </c>
      <c r="H3198" s="6">
        <f>P3167</f>
        <v/>
      </c>
      <c r="I3198" s="9">
        <f>Q3167</f>
        <v/>
      </c>
      <c r="J3198" s="7">
        <f>I3198*G3198</f>
        <v/>
      </c>
      <c r="K3198" s="8">
        <f>IF($J$3225=0,0,J3198/$J$3225)</f>
        <v/>
      </c>
      <c r="L3198" s="6" t="inlineStr">
        <is>
          <t>WATCHLIST</t>
        </is>
      </c>
      <c r="M3198" s="8" t="n">
        <v>0</v>
      </c>
      <c r="N3198" s="7">
        <f>M3198*$J$3225-J3198</f>
        <v/>
      </c>
      <c r="O3198" s="9">
        <f>IF(G3198=0,0,N3198/G3198)</f>
        <v/>
      </c>
      <c r="P3198" s="6">
        <f>IF(M3198&gt;0,D3198,"")</f>
        <v/>
      </c>
      <c r="Q3198" s="9">
        <f>I3198+O3198</f>
        <v/>
      </c>
      <c r="R3198" s="7">
        <f>Q3198*G3198</f>
        <v/>
      </c>
      <c r="S3198" s="8">
        <f>IF($R$3225=0,0,R3198/$R$3225)</f>
        <v/>
      </c>
      <c r="T3198" s="8" t="n">
        <v>0.008328477004585277</v>
      </c>
      <c r="U3198" s="8" t="n">
        <v>0.003406875352082173</v>
      </c>
      <c r="V3198" s="6" t="inlineStr">
        <is>
          <t>not selected</t>
        </is>
      </c>
    </row>
    <row r="3199">
      <c r="A3199" s="6" t="inlineStr">
        <is>
          <t>DJ30</t>
        </is>
      </c>
      <c r="B3199" s="6" t="inlineStr">
        <is>
          <t>2024-12-27</t>
        </is>
      </c>
      <c r="C3199" s="6" t="inlineStr">
        <is>
          <t>DIA</t>
        </is>
      </c>
      <c r="D3199" s="6" t="inlineStr">
        <is>
          <t>BA</t>
        </is>
      </c>
      <c r="E3199" s="6" t="inlineStr">
        <is>
          <t>BA</t>
        </is>
      </c>
      <c r="F3199" s="6" t="inlineStr">
        <is>
          <t>-</t>
        </is>
      </c>
      <c r="G3199" s="7" t="n">
        <v>180.7200012207031</v>
      </c>
      <c r="H3199" s="6">
        <f>P3168</f>
        <v/>
      </c>
      <c r="I3199" s="9">
        <f>Q3168</f>
        <v/>
      </c>
      <c r="J3199" s="7">
        <f>I3199*G3199</f>
        <v/>
      </c>
      <c r="K3199" s="8">
        <f>IF($J$3225=0,0,J3199/$J$3225)</f>
        <v/>
      </c>
      <c r="L3199" s="6" t="inlineStr">
        <is>
          <t>REJECTED</t>
        </is>
      </c>
      <c r="M3199" s="8" t="n">
        <v>0</v>
      </c>
      <c r="N3199" s="7">
        <f>M3199*$J$3225-J3199</f>
        <v/>
      </c>
      <c r="O3199" s="9">
        <f>IF(G3199=0,0,N3199/G3199)</f>
        <v/>
      </c>
      <c r="P3199" s="6">
        <f>IF(M3199&gt;0,D3199,"")</f>
        <v/>
      </c>
      <c r="Q3199" s="9">
        <f>I3199+O3199</f>
        <v/>
      </c>
      <c r="R3199" s="7">
        <f>Q3199*G3199</f>
        <v/>
      </c>
      <c r="S3199" s="8">
        <f>IF($R$3225=0,0,R3199/$R$3225)</f>
        <v/>
      </c>
      <c r="T3199" s="8" t="n">
        <v>0.008328477004585277</v>
      </c>
      <c r="U3199" s="8" t="n">
        <v>0.003406875352082173</v>
      </c>
      <c r="V3199" s="6" t="inlineStr">
        <is>
          <t>not selected</t>
        </is>
      </c>
    </row>
    <row r="3200">
      <c r="A3200" s="6" t="inlineStr">
        <is>
          <t>DJ30</t>
        </is>
      </c>
      <c r="B3200" s="6" t="inlineStr">
        <is>
          <t>2024-12-27</t>
        </is>
      </c>
      <c r="C3200" s="6" t="inlineStr">
        <is>
          <t>DIA</t>
        </is>
      </c>
      <c r="D3200" s="6" t="inlineStr">
        <is>
          <t>CAT</t>
        </is>
      </c>
      <c r="E3200" s="6" t="inlineStr">
        <is>
          <t>CAT</t>
        </is>
      </c>
      <c r="F3200" s="6" t="inlineStr">
        <is>
          <t>-</t>
        </is>
      </c>
      <c r="G3200" s="7" t="n">
        <v>357.9117736816406</v>
      </c>
      <c r="H3200" s="6">
        <f>P3169</f>
        <v/>
      </c>
      <c r="I3200" s="9">
        <f>Q3169</f>
        <v/>
      </c>
      <c r="J3200" s="7">
        <f>I3200*G3200</f>
        <v/>
      </c>
      <c r="K3200" s="8">
        <f>IF($J$3225=0,0,J3200/$J$3225)</f>
        <v/>
      </c>
      <c r="L3200" s="6" t="inlineStr">
        <is>
          <t>WATCHLIST</t>
        </is>
      </c>
      <c r="M3200" s="8" t="n">
        <v>0</v>
      </c>
      <c r="N3200" s="7">
        <f>M3200*$J$3225-J3200</f>
        <v/>
      </c>
      <c r="O3200" s="9">
        <f>IF(G3200=0,0,N3200/G3200)</f>
        <v/>
      </c>
      <c r="P3200" s="6">
        <f>IF(M3200&gt;0,D3200,"")</f>
        <v/>
      </c>
      <c r="Q3200" s="9">
        <f>I3200+O3200</f>
        <v/>
      </c>
      <c r="R3200" s="7">
        <f>Q3200*G3200</f>
        <v/>
      </c>
      <c r="S3200" s="8">
        <f>IF($R$3225=0,0,R3200/$R$3225)</f>
        <v/>
      </c>
      <c r="T3200" s="8" t="n">
        <v>0.008328477004585277</v>
      </c>
      <c r="U3200" s="8" t="n">
        <v>0.003406875352082173</v>
      </c>
      <c r="V3200" s="6" t="inlineStr">
        <is>
          <t>not selected</t>
        </is>
      </c>
    </row>
    <row r="3201">
      <c r="A3201" s="6" t="inlineStr">
        <is>
          <t>DJ30</t>
        </is>
      </c>
      <c r="B3201" s="6" t="inlineStr">
        <is>
          <t>2024-12-27</t>
        </is>
      </c>
      <c r="C3201" s="6" t="inlineStr">
        <is>
          <t>DIA</t>
        </is>
      </c>
      <c r="D3201" s="6" t="inlineStr">
        <is>
          <t>CRM</t>
        </is>
      </c>
      <c r="E3201" s="6" t="inlineStr">
        <is>
          <t>CRM</t>
        </is>
      </c>
      <c r="F3201" s="6" t="inlineStr">
        <is>
          <t>-</t>
        </is>
      </c>
      <c r="G3201" s="7" t="n">
        <v>334.5524597167969</v>
      </c>
      <c r="H3201" s="6">
        <f>P3170</f>
        <v/>
      </c>
      <c r="I3201" s="9">
        <f>Q3170</f>
        <v/>
      </c>
      <c r="J3201" s="7">
        <f>I3201*G3201</f>
        <v/>
      </c>
      <c r="K3201" s="8">
        <f>IF($J$3225=0,0,J3201/$J$3225)</f>
        <v/>
      </c>
      <c r="L3201" s="6" t="inlineStr">
        <is>
          <t>REJECTED</t>
        </is>
      </c>
      <c r="M3201" s="8" t="n">
        <v>0</v>
      </c>
      <c r="N3201" s="7">
        <f>M3201*$J$3225-J3201</f>
        <v/>
      </c>
      <c r="O3201" s="9">
        <f>IF(G3201=0,0,N3201/G3201)</f>
        <v/>
      </c>
      <c r="P3201" s="6">
        <f>IF(M3201&gt;0,D3201,"")</f>
        <v/>
      </c>
      <c r="Q3201" s="9">
        <f>I3201+O3201</f>
        <v/>
      </c>
      <c r="R3201" s="7">
        <f>Q3201*G3201</f>
        <v/>
      </c>
      <c r="S3201" s="8">
        <f>IF($R$3225=0,0,R3201/$R$3225)</f>
        <v/>
      </c>
      <c r="T3201" s="8" t="n">
        <v>0.008328477004585277</v>
      </c>
      <c r="U3201" s="8" t="n">
        <v>0.003406875352082173</v>
      </c>
      <c r="V3201" s="6" t="inlineStr">
        <is>
          <t>not selected</t>
        </is>
      </c>
    </row>
    <row r="3202">
      <c r="A3202" s="6" t="inlineStr">
        <is>
          <t>DJ30</t>
        </is>
      </c>
      <c r="B3202" s="6" t="inlineStr">
        <is>
          <t>2024-12-27</t>
        </is>
      </c>
      <c r="C3202" s="6" t="inlineStr">
        <is>
          <t>DIA</t>
        </is>
      </c>
      <c r="D3202" s="6" t="inlineStr">
        <is>
          <t>CSCO</t>
        </is>
      </c>
      <c r="E3202" s="6" t="inlineStr">
        <is>
          <t>CSCO</t>
        </is>
      </c>
      <c r="F3202" s="6" t="inlineStr">
        <is>
          <t>-</t>
        </is>
      </c>
      <c r="G3202" s="7" t="n">
        <v>57.4906005859375</v>
      </c>
      <c r="H3202" s="6">
        <f>P3171</f>
        <v/>
      </c>
      <c r="I3202" s="9">
        <f>Q3171</f>
        <v/>
      </c>
      <c r="J3202" s="7">
        <f>I3202*G3202</f>
        <v/>
      </c>
      <c r="K3202" s="8">
        <f>IF($J$3225=0,0,J3202/$J$3225)</f>
        <v/>
      </c>
      <c r="L3202" s="6" t="inlineStr">
        <is>
          <t>WATCHLIST</t>
        </is>
      </c>
      <c r="M3202" s="8" t="n">
        <v>0</v>
      </c>
      <c r="N3202" s="7">
        <f>M3202*$J$3225-J3202</f>
        <v/>
      </c>
      <c r="O3202" s="9">
        <f>IF(G3202=0,0,N3202/G3202)</f>
        <v/>
      </c>
      <c r="P3202" s="6">
        <f>IF(M3202&gt;0,D3202,"")</f>
        <v/>
      </c>
      <c r="Q3202" s="9">
        <f>I3202+O3202</f>
        <v/>
      </c>
      <c r="R3202" s="7">
        <f>Q3202*G3202</f>
        <v/>
      </c>
      <c r="S3202" s="8">
        <f>IF($R$3225=0,0,R3202/$R$3225)</f>
        <v/>
      </c>
      <c r="T3202" s="8" t="n">
        <v>0.008328477004585277</v>
      </c>
      <c r="U3202" s="8" t="n">
        <v>0.003406875352082173</v>
      </c>
      <c r="V3202" s="6" t="inlineStr">
        <is>
          <t>not selected</t>
        </is>
      </c>
    </row>
    <row r="3203">
      <c r="A3203" s="6" t="inlineStr">
        <is>
          <t>DJ30</t>
        </is>
      </c>
      <c r="B3203" s="6" t="inlineStr">
        <is>
          <t>2024-12-27</t>
        </is>
      </c>
      <c r="C3203" s="6" t="inlineStr">
        <is>
          <t>DIA</t>
        </is>
      </c>
      <c r="D3203" s="6" t="inlineStr">
        <is>
          <t>CVX</t>
        </is>
      </c>
      <c r="E3203" s="6" t="inlineStr">
        <is>
          <t>CVX</t>
        </is>
      </c>
      <c r="F3203" s="6" t="inlineStr">
        <is>
          <t>-</t>
        </is>
      </c>
      <c r="G3203" s="7" t="n">
        <v>135.0502014160156</v>
      </c>
      <c r="H3203" s="6">
        <f>P3172</f>
        <v/>
      </c>
      <c r="I3203" s="9">
        <f>Q3172</f>
        <v/>
      </c>
      <c r="J3203" s="7">
        <f>I3203*G3203</f>
        <v/>
      </c>
      <c r="K3203" s="8">
        <f>IF($J$3225=0,0,J3203/$J$3225)</f>
        <v/>
      </c>
      <c r="L3203" s="6" t="inlineStr">
        <is>
          <t>REJECTED</t>
        </is>
      </c>
      <c r="M3203" s="8" t="n">
        <v>0</v>
      </c>
      <c r="N3203" s="7">
        <f>M3203*$J$3225-J3203</f>
        <v/>
      </c>
      <c r="O3203" s="9">
        <f>IF(G3203=0,0,N3203/G3203)</f>
        <v/>
      </c>
      <c r="P3203" s="6">
        <f>IF(M3203&gt;0,D3203,"")</f>
        <v/>
      </c>
      <c r="Q3203" s="9">
        <f>I3203+O3203</f>
        <v/>
      </c>
      <c r="R3203" s="7">
        <f>Q3203*G3203</f>
        <v/>
      </c>
      <c r="S3203" s="8">
        <f>IF($R$3225=0,0,R3203/$R$3225)</f>
        <v/>
      </c>
      <c r="T3203" s="8" t="n">
        <v>0.008328477004585277</v>
      </c>
      <c r="U3203" s="8" t="n">
        <v>0.003406875352082173</v>
      </c>
      <c r="V3203" s="6" t="inlineStr">
        <is>
          <t>not selected</t>
        </is>
      </c>
    </row>
    <row r="3204">
      <c r="A3204" s="6" t="inlineStr">
        <is>
          <t>DJ30</t>
        </is>
      </c>
      <c r="B3204" s="6" t="inlineStr">
        <is>
          <t>2024-12-27</t>
        </is>
      </c>
      <c r="C3204" s="6" t="inlineStr">
        <is>
          <t>DIA</t>
        </is>
      </c>
      <c r="D3204" s="6" t="inlineStr">
        <is>
          <t>DIS</t>
        </is>
      </c>
      <c r="E3204" s="6" t="inlineStr">
        <is>
          <t>DIS</t>
        </is>
      </c>
      <c r="F3204" s="6" t="inlineStr">
        <is>
          <t>-</t>
        </is>
      </c>
      <c r="G3204" s="7" t="n">
        <v>110.3298492431641</v>
      </c>
      <c r="H3204" s="6">
        <f>P3173</f>
        <v/>
      </c>
      <c r="I3204" s="9">
        <f>Q3173</f>
        <v/>
      </c>
      <c r="J3204" s="7">
        <f>I3204*G3204</f>
        <v/>
      </c>
      <c r="K3204" s="8">
        <f>IF($J$3225=0,0,J3204/$J$3225)</f>
        <v/>
      </c>
      <c r="L3204" s="6" t="inlineStr">
        <is>
          <t>REJECTED</t>
        </is>
      </c>
      <c r="M3204" s="8" t="n">
        <v>0</v>
      </c>
      <c r="N3204" s="7">
        <f>M3204*$J$3225-J3204</f>
        <v/>
      </c>
      <c r="O3204" s="9">
        <f>IF(G3204=0,0,N3204/G3204)</f>
        <v/>
      </c>
      <c r="P3204" s="6">
        <f>IF(M3204&gt;0,D3204,"")</f>
        <v/>
      </c>
      <c r="Q3204" s="9">
        <f>I3204+O3204</f>
        <v/>
      </c>
      <c r="R3204" s="7">
        <f>Q3204*G3204</f>
        <v/>
      </c>
      <c r="S3204" s="8">
        <f>IF($R$3225=0,0,R3204/$R$3225)</f>
        <v/>
      </c>
      <c r="T3204" s="8" t="n">
        <v>0.008328477004585277</v>
      </c>
      <c r="U3204" s="8" t="n">
        <v>0.003406875352082173</v>
      </c>
      <c r="V3204" s="6" t="inlineStr">
        <is>
          <t>not selected</t>
        </is>
      </c>
    </row>
    <row r="3205">
      <c r="A3205" s="6" t="inlineStr">
        <is>
          <t>DJ30</t>
        </is>
      </c>
      <c r="B3205" s="6" t="inlineStr">
        <is>
          <t>2024-12-27</t>
        </is>
      </c>
      <c r="C3205" s="6" t="inlineStr">
        <is>
          <t>DIA</t>
        </is>
      </c>
      <c r="D3205" s="6" t="inlineStr">
        <is>
          <t>GS</t>
        </is>
      </c>
      <c r="E3205" s="6" t="inlineStr">
        <is>
          <t>GS</t>
        </is>
      </c>
      <c r="F3205" s="6" t="inlineStr">
        <is>
          <t>-</t>
        </is>
      </c>
      <c r="G3205" s="7" t="n">
        <v>559.235595703125</v>
      </c>
      <c r="H3205" s="6">
        <f>P3174</f>
        <v/>
      </c>
      <c r="I3205" s="9">
        <f>Q3174</f>
        <v/>
      </c>
      <c r="J3205" s="7">
        <f>I3205*G3205</f>
        <v/>
      </c>
      <c r="K3205" s="8">
        <f>IF($J$3225=0,0,J3205/$J$3225)</f>
        <v/>
      </c>
      <c r="L3205" s="6" t="inlineStr">
        <is>
          <t>SELECTED</t>
        </is>
      </c>
      <c r="M3205" s="8" t="n">
        <v>0.2</v>
      </c>
      <c r="N3205" s="7">
        <f>M3205*$J$3225-J3205</f>
        <v/>
      </c>
      <c r="O3205" s="9">
        <f>IF(G3205=0,0,N3205/G3205)</f>
        <v/>
      </c>
      <c r="P3205" s="6">
        <f>IF(M3205&gt;0,D3205,"")</f>
        <v/>
      </c>
      <c r="Q3205" s="9">
        <f>I3205+O3205</f>
        <v/>
      </c>
      <c r="R3205" s="7">
        <f>Q3205*G3205</f>
        <v/>
      </c>
      <c r="S3205" s="8">
        <f>IF($R$3225=0,0,R3205/$R$3225)</f>
        <v/>
      </c>
      <c r="T3205" s="8" t="n">
        <v>0.008328477004585277</v>
      </c>
      <c r="U3205" s="8" t="n">
        <v>0.003406875352082173</v>
      </c>
      <c r="V3205" s="6" t="inlineStr">
        <is>
          <t>remained in weekly selection</t>
        </is>
      </c>
    </row>
    <row r="3206">
      <c r="A3206" s="6" t="inlineStr">
        <is>
          <t>DJ30</t>
        </is>
      </c>
      <c r="B3206" s="6" t="inlineStr">
        <is>
          <t>2024-12-27</t>
        </is>
      </c>
      <c r="C3206" s="6" t="inlineStr">
        <is>
          <t>DIA</t>
        </is>
      </c>
      <c r="D3206" s="6" t="inlineStr">
        <is>
          <t>HD</t>
        </is>
      </c>
      <c r="E3206" s="6" t="inlineStr">
        <is>
          <t>HD</t>
        </is>
      </c>
      <c r="F3206" s="6" t="inlineStr">
        <is>
          <t>-</t>
        </is>
      </c>
      <c r="G3206" s="7" t="n">
        <v>377.9234619140625</v>
      </c>
      <c r="H3206" s="6">
        <f>P3175</f>
        <v/>
      </c>
      <c r="I3206" s="9">
        <f>Q3175</f>
        <v/>
      </c>
      <c r="J3206" s="7">
        <f>I3206*G3206</f>
        <v/>
      </c>
      <c r="K3206" s="8">
        <f>IF($J$3225=0,0,J3206/$J$3225)</f>
        <v/>
      </c>
      <c r="L3206" s="6" t="inlineStr">
        <is>
          <t>WATCHLIST</t>
        </is>
      </c>
      <c r="M3206" s="8" t="n">
        <v>0</v>
      </c>
      <c r="N3206" s="7">
        <f>M3206*$J$3225-J3206</f>
        <v/>
      </c>
      <c r="O3206" s="9">
        <f>IF(G3206=0,0,N3206/G3206)</f>
        <v/>
      </c>
      <c r="P3206" s="6">
        <f>IF(M3206&gt;0,D3206,"")</f>
        <v/>
      </c>
      <c r="Q3206" s="9">
        <f>I3206+O3206</f>
        <v/>
      </c>
      <c r="R3206" s="7">
        <f>Q3206*G3206</f>
        <v/>
      </c>
      <c r="S3206" s="8">
        <f>IF($R$3225=0,0,R3206/$R$3225)</f>
        <v/>
      </c>
      <c r="T3206" s="8" t="n">
        <v>0.008328477004585277</v>
      </c>
      <c r="U3206" s="8" t="n">
        <v>0.003406875352082173</v>
      </c>
      <c r="V3206" s="6" t="inlineStr">
        <is>
          <t>not selected</t>
        </is>
      </c>
    </row>
    <row r="3207">
      <c r="A3207" s="6" t="inlineStr">
        <is>
          <t>DJ30</t>
        </is>
      </c>
      <c r="B3207" s="6" t="inlineStr">
        <is>
          <t>2024-12-27</t>
        </is>
      </c>
      <c r="C3207" s="6" t="inlineStr">
        <is>
          <t>DIA</t>
        </is>
      </c>
      <c r="D3207" s="6" t="inlineStr">
        <is>
          <t>HON</t>
        </is>
      </c>
      <c r="E3207" s="6" t="inlineStr">
        <is>
          <t>HON</t>
        </is>
      </c>
      <c r="F3207" s="6" t="inlineStr">
        <is>
          <t>-</t>
        </is>
      </c>
      <c r="G3207" s="7" t="n">
        <v>209.4958038330078</v>
      </c>
      <c r="H3207" s="6">
        <f>P3176</f>
        <v/>
      </c>
      <c r="I3207" s="9">
        <f>Q3176</f>
        <v/>
      </c>
      <c r="J3207" s="7">
        <f>I3207*G3207</f>
        <v/>
      </c>
      <c r="K3207" s="8">
        <f>IF($J$3225=0,0,J3207/$J$3225)</f>
        <v/>
      </c>
      <c r="L3207" s="6" t="inlineStr">
        <is>
          <t>WATCHLIST</t>
        </is>
      </c>
      <c r="M3207" s="8" t="n">
        <v>0</v>
      </c>
      <c r="N3207" s="7">
        <f>M3207*$J$3225-J3207</f>
        <v/>
      </c>
      <c r="O3207" s="9">
        <f>IF(G3207=0,0,N3207/G3207)</f>
        <v/>
      </c>
      <c r="P3207" s="6">
        <f>IF(M3207&gt;0,D3207,"")</f>
        <v/>
      </c>
      <c r="Q3207" s="9">
        <f>I3207+O3207</f>
        <v/>
      </c>
      <c r="R3207" s="7">
        <f>Q3207*G3207</f>
        <v/>
      </c>
      <c r="S3207" s="8">
        <f>IF($R$3225=0,0,R3207/$R$3225)</f>
        <v/>
      </c>
      <c r="T3207" s="8" t="n">
        <v>0.008328477004585277</v>
      </c>
      <c r="U3207" s="8" t="n">
        <v>0.003406875352082173</v>
      </c>
      <c r="V3207" s="6" t="inlineStr">
        <is>
          <t>not selected</t>
        </is>
      </c>
    </row>
    <row r="3208">
      <c r="A3208" s="6" t="inlineStr">
        <is>
          <t>DJ30</t>
        </is>
      </c>
      <c r="B3208" s="6" t="inlineStr">
        <is>
          <t>2024-12-27</t>
        </is>
      </c>
      <c r="C3208" s="6" t="inlineStr">
        <is>
          <t>DIA</t>
        </is>
      </c>
      <c r="D3208" s="6" t="inlineStr">
        <is>
          <t>IBM</t>
        </is>
      </c>
      <c r="E3208" s="6" t="inlineStr">
        <is>
          <t>IBM</t>
        </is>
      </c>
      <c r="F3208" s="6" t="inlineStr">
        <is>
          <t>-</t>
        </is>
      </c>
      <c r="G3208" s="7" t="n">
        <v>214.3600463867188</v>
      </c>
      <c r="H3208" s="6">
        <f>P3177</f>
        <v/>
      </c>
      <c r="I3208" s="9">
        <f>Q3177</f>
        <v/>
      </c>
      <c r="J3208" s="7">
        <f>I3208*G3208</f>
        <v/>
      </c>
      <c r="K3208" s="8">
        <f>IF($J$3225=0,0,J3208/$J$3225)</f>
        <v/>
      </c>
      <c r="L3208" s="6" t="inlineStr">
        <is>
          <t>SELECTED</t>
        </is>
      </c>
      <c r="M3208" s="8" t="n">
        <v>0.2</v>
      </c>
      <c r="N3208" s="7">
        <f>M3208*$J$3225-J3208</f>
        <v/>
      </c>
      <c r="O3208" s="9">
        <f>IF(G3208=0,0,N3208/G3208)</f>
        <v/>
      </c>
      <c r="P3208" s="6">
        <f>IF(M3208&gt;0,D3208,"")</f>
        <v/>
      </c>
      <c r="Q3208" s="9">
        <f>I3208+O3208</f>
        <v/>
      </c>
      <c r="R3208" s="7">
        <f>Q3208*G3208</f>
        <v/>
      </c>
      <c r="S3208" s="8">
        <f>IF($R$3225=0,0,R3208/$R$3225)</f>
        <v/>
      </c>
      <c r="T3208" s="8" t="n">
        <v>0.008328477004585277</v>
      </c>
      <c r="U3208" s="8" t="n">
        <v>0.003406875352082173</v>
      </c>
      <c r="V3208" s="6" t="inlineStr">
        <is>
          <t>remained in weekly selection</t>
        </is>
      </c>
    </row>
    <row r="3209">
      <c r="A3209" s="6" t="inlineStr">
        <is>
          <t>DJ30</t>
        </is>
      </c>
      <c r="B3209" s="6" t="inlineStr">
        <is>
          <t>2024-12-27</t>
        </is>
      </c>
      <c r="C3209" s="6" t="inlineStr">
        <is>
          <t>DIA</t>
        </is>
      </c>
      <c r="D3209" s="6" t="inlineStr">
        <is>
          <t>JNJ</t>
        </is>
      </c>
      <c r="E3209" s="6" t="inlineStr">
        <is>
          <t>JNJ</t>
        </is>
      </c>
      <c r="F3209" s="6" t="inlineStr">
        <is>
          <t>-</t>
        </is>
      </c>
      <c r="G3209" s="7" t="n">
        <v>139.1970062255859</v>
      </c>
      <c r="H3209" s="6">
        <f>P3178</f>
        <v/>
      </c>
      <c r="I3209" s="9">
        <f>Q3178</f>
        <v/>
      </c>
      <c r="J3209" s="7">
        <f>I3209*G3209</f>
        <v/>
      </c>
      <c r="K3209" s="8">
        <f>IF($J$3225=0,0,J3209/$J$3225)</f>
        <v/>
      </c>
      <c r="L3209" s="6" t="inlineStr">
        <is>
          <t>REJECTED</t>
        </is>
      </c>
      <c r="M3209" s="8" t="n">
        <v>0</v>
      </c>
      <c r="N3209" s="7">
        <f>M3209*$J$3225-J3209</f>
        <v/>
      </c>
      <c r="O3209" s="9">
        <f>IF(G3209=0,0,N3209/G3209)</f>
        <v/>
      </c>
      <c r="P3209" s="6">
        <f>IF(M3209&gt;0,D3209,"")</f>
        <v/>
      </c>
      <c r="Q3209" s="9">
        <f>I3209+O3209</f>
        <v/>
      </c>
      <c r="R3209" s="7">
        <f>Q3209*G3209</f>
        <v/>
      </c>
      <c r="S3209" s="8">
        <f>IF($R$3225=0,0,R3209/$R$3225)</f>
        <v/>
      </c>
      <c r="T3209" s="8" t="n">
        <v>0.008328477004585277</v>
      </c>
      <c r="U3209" s="8" t="n">
        <v>0.003406875352082173</v>
      </c>
      <c r="V3209" s="6" t="inlineStr">
        <is>
          <t>not selected</t>
        </is>
      </c>
    </row>
    <row r="3210">
      <c r="A3210" s="6" t="inlineStr">
        <is>
          <t>DJ30</t>
        </is>
      </c>
      <c r="B3210" s="6" t="inlineStr">
        <is>
          <t>2024-12-27</t>
        </is>
      </c>
      <c r="C3210" s="6" t="inlineStr">
        <is>
          <t>DIA</t>
        </is>
      </c>
      <c r="D3210" s="6" t="inlineStr">
        <is>
          <t>JPM</t>
        </is>
      </c>
      <c r="E3210" s="6" t="inlineStr">
        <is>
          <t>JPM</t>
        </is>
      </c>
      <c r="F3210" s="6" t="inlineStr">
        <is>
          <t>-</t>
        </is>
      </c>
      <c r="G3210" s="7" t="n">
        <v>233.9129028320312</v>
      </c>
      <c r="H3210" s="6">
        <f>P3179</f>
        <v/>
      </c>
      <c r="I3210" s="9">
        <f>Q3179</f>
        <v/>
      </c>
      <c r="J3210" s="7">
        <f>I3210*G3210</f>
        <v/>
      </c>
      <c r="K3210" s="8">
        <f>IF($J$3225=0,0,J3210/$J$3225)</f>
        <v/>
      </c>
      <c r="L3210" s="6" t="inlineStr">
        <is>
          <t>WATCHLIST</t>
        </is>
      </c>
      <c r="M3210" s="8" t="n">
        <v>0</v>
      </c>
      <c r="N3210" s="7">
        <f>M3210*$J$3225-J3210</f>
        <v/>
      </c>
      <c r="O3210" s="9">
        <f>IF(G3210=0,0,N3210/G3210)</f>
        <v/>
      </c>
      <c r="P3210" s="6">
        <f>IF(M3210&gt;0,D3210,"")</f>
        <v/>
      </c>
      <c r="Q3210" s="9">
        <f>I3210+O3210</f>
        <v/>
      </c>
      <c r="R3210" s="7">
        <f>Q3210*G3210</f>
        <v/>
      </c>
      <c r="S3210" s="8">
        <f>IF($R$3225=0,0,R3210/$R$3225)</f>
        <v/>
      </c>
      <c r="T3210" s="8" t="n">
        <v>0.008328477004585277</v>
      </c>
      <c r="U3210" s="8" t="n">
        <v>0.003406875352082173</v>
      </c>
      <c r="V3210" s="6" t="inlineStr">
        <is>
          <t>not selected</t>
        </is>
      </c>
    </row>
    <row r="3211">
      <c r="A3211" s="6" t="inlineStr">
        <is>
          <t>DJ30</t>
        </is>
      </c>
      <c r="B3211" s="6" t="inlineStr">
        <is>
          <t>2024-12-27</t>
        </is>
      </c>
      <c r="C3211" s="6" t="inlineStr">
        <is>
          <t>DIA</t>
        </is>
      </c>
      <c r="D3211" s="6" t="inlineStr">
        <is>
          <t>KO</t>
        </is>
      </c>
      <c r="E3211" s="6" t="inlineStr">
        <is>
          <t>KO</t>
        </is>
      </c>
      <c r="F3211" s="6" t="inlineStr">
        <is>
          <t>-</t>
        </is>
      </c>
      <c r="G3211" s="7" t="n">
        <v>59.85960388183594</v>
      </c>
      <c r="H3211" s="6">
        <f>P3180</f>
        <v/>
      </c>
      <c r="I3211" s="9">
        <f>Q3180</f>
        <v/>
      </c>
      <c r="J3211" s="7">
        <f>I3211*G3211</f>
        <v/>
      </c>
      <c r="K3211" s="8">
        <f>IF($J$3225=0,0,J3211/$J$3225)</f>
        <v/>
      </c>
      <c r="L3211" s="6" t="inlineStr">
        <is>
          <t>WATCHLIST</t>
        </is>
      </c>
      <c r="M3211" s="8" t="n">
        <v>0</v>
      </c>
      <c r="N3211" s="7">
        <f>M3211*$J$3225-J3211</f>
        <v/>
      </c>
      <c r="O3211" s="9">
        <f>IF(G3211=0,0,N3211/G3211)</f>
        <v/>
      </c>
      <c r="P3211" s="6">
        <f>IF(M3211&gt;0,D3211,"")</f>
        <v/>
      </c>
      <c r="Q3211" s="9">
        <f>I3211+O3211</f>
        <v/>
      </c>
      <c r="R3211" s="7">
        <f>Q3211*G3211</f>
        <v/>
      </c>
      <c r="S3211" s="8">
        <f>IF($R$3225=0,0,R3211/$R$3225)</f>
        <v/>
      </c>
      <c r="T3211" s="8" t="n">
        <v>0.008328477004585277</v>
      </c>
      <c r="U3211" s="8" t="n">
        <v>0.003406875352082173</v>
      </c>
      <c r="V3211" s="6" t="inlineStr">
        <is>
          <t>not selected</t>
        </is>
      </c>
    </row>
    <row r="3212">
      <c r="A3212" s="6" t="inlineStr">
        <is>
          <t>DJ30</t>
        </is>
      </c>
      <c r="B3212" s="6" t="inlineStr">
        <is>
          <t>2024-12-27</t>
        </is>
      </c>
      <c r="C3212" s="6" t="inlineStr">
        <is>
          <t>DIA</t>
        </is>
      </c>
      <c r="D3212" s="6" t="inlineStr">
        <is>
          <t>MCD</t>
        </is>
      </c>
      <c r="E3212" s="6" t="inlineStr">
        <is>
          <t>MCD</t>
        </is>
      </c>
      <c r="F3212" s="6" t="inlineStr">
        <is>
          <t>-</t>
        </is>
      </c>
      <c r="G3212" s="7" t="n">
        <v>283.4114074707031</v>
      </c>
      <c r="H3212" s="6">
        <f>P3181</f>
        <v/>
      </c>
      <c r="I3212" s="9">
        <f>Q3181</f>
        <v/>
      </c>
      <c r="J3212" s="7">
        <f>I3212*G3212</f>
        <v/>
      </c>
      <c r="K3212" s="8">
        <f>IF($J$3225=0,0,J3212/$J$3225)</f>
        <v/>
      </c>
      <c r="L3212" s="6" t="inlineStr">
        <is>
          <t>REJECTED</t>
        </is>
      </c>
      <c r="M3212" s="8" t="n">
        <v>0</v>
      </c>
      <c r="N3212" s="7">
        <f>M3212*$J$3225-J3212</f>
        <v/>
      </c>
      <c r="O3212" s="9">
        <f>IF(G3212=0,0,N3212/G3212)</f>
        <v/>
      </c>
      <c r="P3212" s="6">
        <f>IF(M3212&gt;0,D3212,"")</f>
        <v/>
      </c>
      <c r="Q3212" s="9">
        <f>I3212+O3212</f>
        <v/>
      </c>
      <c r="R3212" s="7">
        <f>Q3212*G3212</f>
        <v/>
      </c>
      <c r="S3212" s="8">
        <f>IF($R$3225=0,0,R3212/$R$3225)</f>
        <v/>
      </c>
      <c r="T3212" s="8" t="n">
        <v>0.008328477004585277</v>
      </c>
      <c r="U3212" s="8" t="n">
        <v>0.003406875352082173</v>
      </c>
      <c r="V3212" s="6" t="inlineStr">
        <is>
          <t>not selected</t>
        </is>
      </c>
    </row>
    <row r="3213">
      <c r="A3213" s="6" t="inlineStr">
        <is>
          <t>DJ30</t>
        </is>
      </c>
      <c r="B3213" s="6" t="inlineStr">
        <is>
          <t>2024-12-27</t>
        </is>
      </c>
      <c r="C3213" s="6" t="inlineStr">
        <is>
          <t>DIA</t>
        </is>
      </c>
      <c r="D3213" s="6" t="inlineStr">
        <is>
          <t>MMM</t>
        </is>
      </c>
      <c r="E3213" s="6" t="inlineStr">
        <is>
          <t>MMM</t>
        </is>
      </c>
      <c r="F3213" s="6" t="inlineStr">
        <is>
          <t>-</t>
        </is>
      </c>
      <c r="G3213" s="7" t="n">
        <v>126.5425415039062</v>
      </c>
      <c r="H3213" s="6">
        <f>P3182</f>
        <v/>
      </c>
      <c r="I3213" s="9">
        <f>Q3182</f>
        <v/>
      </c>
      <c r="J3213" s="7">
        <f>I3213*G3213</f>
        <v/>
      </c>
      <c r="K3213" s="8">
        <f>IF($J$3225=0,0,J3213/$J$3225)</f>
        <v/>
      </c>
      <c r="L3213" s="6" t="inlineStr">
        <is>
          <t>SELECTED</t>
        </is>
      </c>
      <c r="M3213" s="8" t="n">
        <v>0.2</v>
      </c>
      <c r="N3213" s="7">
        <f>M3213*$J$3225-J3213</f>
        <v/>
      </c>
      <c r="O3213" s="9">
        <f>IF(G3213=0,0,N3213/G3213)</f>
        <v/>
      </c>
      <c r="P3213" s="6">
        <f>IF(M3213&gt;0,D3213,"")</f>
        <v/>
      </c>
      <c r="Q3213" s="9">
        <f>I3213+O3213</f>
        <v/>
      </c>
      <c r="R3213" s="7">
        <f>Q3213*G3213</f>
        <v/>
      </c>
      <c r="S3213" s="8">
        <f>IF($R$3225=0,0,R3213/$R$3225)</f>
        <v/>
      </c>
      <c r="T3213" s="8" t="n">
        <v>0.008328477004585277</v>
      </c>
      <c r="U3213" s="8" t="n">
        <v>0.003406875352082173</v>
      </c>
      <c r="V3213" s="6" t="inlineStr">
        <is>
          <t>remained in weekly selection</t>
        </is>
      </c>
    </row>
    <row r="3214">
      <c r="A3214" s="6" t="inlineStr">
        <is>
          <t>DJ30</t>
        </is>
      </c>
      <c r="B3214" s="6" t="inlineStr">
        <is>
          <t>2024-12-27</t>
        </is>
      </c>
      <c r="C3214" s="6" t="inlineStr">
        <is>
          <t>DIA</t>
        </is>
      </c>
      <c r="D3214" s="6" t="inlineStr">
        <is>
          <t>MRK</t>
        </is>
      </c>
      <c r="E3214" s="6" t="inlineStr">
        <is>
          <t>MRK</t>
        </is>
      </c>
      <c r="F3214" s="6" t="inlineStr">
        <is>
          <t>-</t>
        </is>
      </c>
      <c r="G3214" s="7" t="n">
        <v>94.70018005371094</v>
      </c>
      <c r="H3214" s="6">
        <f>P3183</f>
        <v/>
      </c>
      <c r="I3214" s="9">
        <f>Q3183</f>
        <v/>
      </c>
      <c r="J3214" s="7">
        <f>I3214*G3214</f>
        <v/>
      </c>
      <c r="K3214" s="8">
        <f>IF($J$3225=0,0,J3214/$J$3225)</f>
        <v/>
      </c>
      <c r="L3214" s="6" t="inlineStr">
        <is>
          <t>REJECTED</t>
        </is>
      </c>
      <c r="M3214" s="8" t="n">
        <v>0</v>
      </c>
      <c r="N3214" s="7">
        <f>M3214*$J$3225-J3214</f>
        <v/>
      </c>
      <c r="O3214" s="9">
        <f>IF(G3214=0,0,N3214/G3214)</f>
        <v/>
      </c>
      <c r="P3214" s="6">
        <f>IF(M3214&gt;0,D3214,"")</f>
        <v/>
      </c>
      <c r="Q3214" s="9">
        <f>I3214+O3214</f>
        <v/>
      </c>
      <c r="R3214" s="7">
        <f>Q3214*G3214</f>
        <v/>
      </c>
      <c r="S3214" s="8">
        <f>IF($R$3225=0,0,R3214/$R$3225)</f>
        <v/>
      </c>
      <c r="T3214" s="8" t="n">
        <v>0.008328477004585277</v>
      </c>
      <c r="U3214" s="8" t="n">
        <v>0.003406875352082173</v>
      </c>
      <c r="V3214" s="6" t="inlineStr">
        <is>
          <t>not selected</t>
        </is>
      </c>
    </row>
    <row r="3215">
      <c r="A3215" s="6" t="inlineStr">
        <is>
          <t>DJ30</t>
        </is>
      </c>
      <c r="B3215" s="6" t="inlineStr">
        <is>
          <t>2024-12-27</t>
        </is>
      </c>
      <c r="C3215" s="6" t="inlineStr">
        <is>
          <t>DIA</t>
        </is>
      </c>
      <c r="D3215" s="6" t="inlineStr">
        <is>
          <t>MSFT</t>
        </is>
      </c>
      <c r="E3215" s="6" t="inlineStr">
        <is>
          <t>MSFT</t>
        </is>
      </c>
      <c r="F3215" s="6" t="inlineStr">
        <is>
          <t>-</t>
        </is>
      </c>
      <c r="G3215" s="7" t="n">
        <v>425.4825439453125</v>
      </c>
      <c r="H3215" s="6">
        <f>P3184</f>
        <v/>
      </c>
      <c r="I3215" s="9">
        <f>Q3184</f>
        <v/>
      </c>
      <c r="J3215" s="7">
        <f>I3215*G3215</f>
        <v/>
      </c>
      <c r="K3215" s="8">
        <f>IF($J$3225=0,0,J3215/$J$3225)</f>
        <v/>
      </c>
      <c r="L3215" s="6" t="inlineStr">
        <is>
          <t>REJECTED</t>
        </is>
      </c>
      <c r="M3215" s="8" t="n">
        <v>0</v>
      </c>
      <c r="N3215" s="7">
        <f>M3215*$J$3225-J3215</f>
        <v/>
      </c>
      <c r="O3215" s="9">
        <f>IF(G3215=0,0,N3215/G3215)</f>
        <v/>
      </c>
      <c r="P3215" s="6">
        <f>IF(M3215&gt;0,D3215,"")</f>
        <v/>
      </c>
      <c r="Q3215" s="9">
        <f>I3215+O3215</f>
        <v/>
      </c>
      <c r="R3215" s="7">
        <f>Q3215*G3215</f>
        <v/>
      </c>
      <c r="S3215" s="8">
        <f>IF($R$3225=0,0,R3215/$R$3225)</f>
        <v/>
      </c>
      <c r="T3215" s="8" t="n">
        <v>0.008328477004585277</v>
      </c>
      <c r="U3215" s="8" t="n">
        <v>0.003406875352082173</v>
      </c>
      <c r="V3215" s="6" t="inlineStr">
        <is>
          <t>not selected</t>
        </is>
      </c>
    </row>
    <row r="3216">
      <c r="A3216" s="6" t="inlineStr">
        <is>
          <t>DJ30</t>
        </is>
      </c>
      <c r="B3216" s="6" t="inlineStr">
        <is>
          <t>2024-12-27</t>
        </is>
      </c>
      <c r="C3216" s="6" t="inlineStr">
        <is>
          <t>DIA</t>
        </is>
      </c>
      <c r="D3216" s="6" t="inlineStr">
        <is>
          <t>NKE</t>
        </is>
      </c>
      <c r="E3216" s="6" t="inlineStr">
        <is>
          <t>NKE</t>
        </is>
      </c>
      <c r="F3216" s="6" t="inlineStr">
        <is>
          <t>-</t>
        </is>
      </c>
      <c r="G3216" s="7" t="n">
        <v>73.51584625244141</v>
      </c>
      <c r="H3216" s="6">
        <f>P3185</f>
        <v/>
      </c>
      <c r="I3216" s="9">
        <f>Q3185</f>
        <v/>
      </c>
      <c r="J3216" s="7">
        <f>I3216*G3216</f>
        <v/>
      </c>
      <c r="K3216" s="8">
        <f>IF($J$3225=0,0,J3216/$J$3225)</f>
        <v/>
      </c>
      <c r="L3216" s="6" t="inlineStr">
        <is>
          <t>REJECTED</t>
        </is>
      </c>
      <c r="M3216" s="8" t="n">
        <v>0</v>
      </c>
      <c r="N3216" s="7">
        <f>M3216*$J$3225-J3216</f>
        <v/>
      </c>
      <c r="O3216" s="9">
        <f>IF(G3216=0,0,N3216/G3216)</f>
        <v/>
      </c>
      <c r="P3216" s="6">
        <f>IF(M3216&gt;0,D3216,"")</f>
        <v/>
      </c>
      <c r="Q3216" s="9">
        <f>I3216+O3216</f>
        <v/>
      </c>
      <c r="R3216" s="7">
        <f>Q3216*G3216</f>
        <v/>
      </c>
      <c r="S3216" s="8">
        <f>IF($R$3225=0,0,R3216/$R$3225)</f>
        <v/>
      </c>
      <c r="T3216" s="8" t="n">
        <v>0.008328477004585277</v>
      </c>
      <c r="U3216" s="8" t="n">
        <v>0.003406875352082173</v>
      </c>
      <c r="V3216" s="6" t="inlineStr">
        <is>
          <t>not selected</t>
        </is>
      </c>
    </row>
    <row r="3217">
      <c r="A3217" s="6" t="inlineStr">
        <is>
          <t>DJ30</t>
        </is>
      </c>
      <c r="B3217" s="6" t="inlineStr">
        <is>
          <t>2024-12-27</t>
        </is>
      </c>
      <c r="C3217" s="6" t="inlineStr">
        <is>
          <t>DIA</t>
        </is>
      </c>
      <c r="D3217" s="6" t="inlineStr">
        <is>
          <t>NVDA</t>
        </is>
      </c>
      <c r="E3217" s="6" t="inlineStr">
        <is>
          <t>NVDA</t>
        </is>
      </c>
      <c r="F3217" s="6" t="inlineStr">
        <is>
          <t>-</t>
        </is>
      </c>
      <c r="G3217" s="7" t="n">
        <v>136.8056640625</v>
      </c>
      <c r="H3217" s="6">
        <f>P3186</f>
        <v/>
      </c>
      <c r="I3217" s="9">
        <f>Q3186</f>
        <v/>
      </c>
      <c r="J3217" s="7">
        <f>I3217*G3217</f>
        <v/>
      </c>
      <c r="K3217" s="8">
        <f>IF($J$3225=0,0,J3217/$J$3225)</f>
        <v/>
      </c>
      <c r="L3217" s="6" t="inlineStr">
        <is>
          <t>SELECTED</t>
        </is>
      </c>
      <c r="M3217" s="8" t="n">
        <v>0.2</v>
      </c>
      <c r="N3217" s="7">
        <f>M3217*$J$3225-J3217</f>
        <v/>
      </c>
      <c r="O3217" s="9">
        <f>IF(G3217=0,0,N3217/G3217)</f>
        <v/>
      </c>
      <c r="P3217" s="6">
        <f>IF(M3217&gt;0,D3217,"")</f>
        <v/>
      </c>
      <c r="Q3217" s="9">
        <f>I3217+O3217</f>
        <v/>
      </c>
      <c r="R3217" s="7">
        <f>Q3217*G3217</f>
        <v/>
      </c>
      <c r="S3217" s="8">
        <f>IF($R$3225=0,0,R3217/$R$3225)</f>
        <v/>
      </c>
      <c r="T3217" s="8" t="n">
        <v>0.008328477004585277</v>
      </c>
      <c r="U3217" s="8" t="n">
        <v>0.003406875352082173</v>
      </c>
      <c r="V3217" s="6" t="inlineStr">
        <is>
          <t>remained in weekly selection</t>
        </is>
      </c>
    </row>
    <row r="3218">
      <c r="A3218" s="6" t="inlineStr">
        <is>
          <t>DJ30</t>
        </is>
      </c>
      <c r="B3218" s="6" t="inlineStr">
        <is>
          <t>2024-12-27</t>
        </is>
      </c>
      <c r="C3218" s="6" t="inlineStr">
        <is>
          <t>DIA</t>
        </is>
      </c>
      <c r="D3218" s="6" t="inlineStr">
        <is>
          <t>PG</t>
        </is>
      </c>
      <c r="E3218" s="6" t="inlineStr">
        <is>
          <t>PG</t>
        </is>
      </c>
      <c r="F3218" s="6" t="inlineStr">
        <is>
          <t>-</t>
        </is>
      </c>
      <c r="G3218" s="7" t="n">
        <v>162.7761688232422</v>
      </c>
      <c r="H3218" s="6">
        <f>P3187</f>
        <v/>
      </c>
      <c r="I3218" s="9">
        <f>Q3187</f>
        <v/>
      </c>
      <c r="J3218" s="7">
        <f>I3218*G3218</f>
        <v/>
      </c>
      <c r="K3218" s="8">
        <f>IF($J$3225=0,0,J3218/$J$3225)</f>
        <v/>
      </c>
      <c r="L3218" s="6" t="inlineStr">
        <is>
          <t>WATCHLIST</t>
        </is>
      </c>
      <c r="M3218" s="8" t="n">
        <v>0</v>
      </c>
      <c r="N3218" s="7">
        <f>M3218*$J$3225-J3218</f>
        <v/>
      </c>
      <c r="O3218" s="9">
        <f>IF(G3218=0,0,N3218/G3218)</f>
        <v/>
      </c>
      <c r="P3218" s="6">
        <f>IF(M3218&gt;0,D3218,"")</f>
        <v/>
      </c>
      <c r="Q3218" s="9">
        <f>I3218+O3218</f>
        <v/>
      </c>
      <c r="R3218" s="7">
        <f>Q3218*G3218</f>
        <v/>
      </c>
      <c r="S3218" s="8">
        <f>IF($R$3225=0,0,R3218/$R$3225)</f>
        <v/>
      </c>
      <c r="T3218" s="8" t="n">
        <v>0.008328477004585277</v>
      </c>
      <c r="U3218" s="8" t="n">
        <v>0.003406875352082173</v>
      </c>
      <c r="V3218" s="6" t="inlineStr">
        <is>
          <t>not selected</t>
        </is>
      </c>
    </row>
    <row r="3219">
      <c r="A3219" s="6" t="inlineStr">
        <is>
          <t>DJ30</t>
        </is>
      </c>
      <c r="B3219" s="6" t="inlineStr">
        <is>
          <t>2024-12-27</t>
        </is>
      </c>
      <c r="C3219" s="6" t="inlineStr">
        <is>
          <t>DIA</t>
        </is>
      </c>
      <c r="D3219" s="6" t="inlineStr">
        <is>
          <t>SHW</t>
        </is>
      </c>
      <c r="E3219" s="6" t="inlineStr">
        <is>
          <t>SHW</t>
        </is>
      </c>
      <c r="F3219" s="6" t="inlineStr">
        <is>
          <t>-</t>
        </is>
      </c>
      <c r="G3219" s="7" t="n">
        <v>338.6302185058594</v>
      </c>
      <c r="H3219" s="6">
        <f>P3188</f>
        <v/>
      </c>
      <c r="I3219" s="9">
        <f>Q3188</f>
        <v/>
      </c>
      <c r="J3219" s="7">
        <f>I3219*G3219</f>
        <v/>
      </c>
      <c r="K3219" s="8">
        <f>IF($J$3225=0,0,J3219/$J$3225)</f>
        <v/>
      </c>
      <c r="L3219" s="6" t="inlineStr">
        <is>
          <t>WATCHLIST</t>
        </is>
      </c>
      <c r="M3219" s="8" t="n">
        <v>0</v>
      </c>
      <c r="N3219" s="7">
        <f>M3219*$J$3225-J3219</f>
        <v/>
      </c>
      <c r="O3219" s="9">
        <f>IF(G3219=0,0,N3219/G3219)</f>
        <v/>
      </c>
      <c r="P3219" s="6">
        <f>IF(M3219&gt;0,D3219,"")</f>
        <v/>
      </c>
      <c r="Q3219" s="9">
        <f>I3219+O3219</f>
        <v/>
      </c>
      <c r="R3219" s="7">
        <f>Q3219*G3219</f>
        <v/>
      </c>
      <c r="S3219" s="8">
        <f>IF($R$3225=0,0,R3219/$R$3225)</f>
        <v/>
      </c>
      <c r="T3219" s="8" t="n">
        <v>0.008328477004585277</v>
      </c>
      <c r="U3219" s="8" t="n">
        <v>0.003406875352082173</v>
      </c>
      <c r="V3219" s="6" t="inlineStr">
        <is>
          <t>not selected</t>
        </is>
      </c>
    </row>
    <row r="3220">
      <c r="A3220" s="6" t="inlineStr">
        <is>
          <t>DJ30</t>
        </is>
      </c>
      <c r="B3220" s="6" t="inlineStr">
        <is>
          <t>2024-12-27</t>
        </is>
      </c>
      <c r="C3220" s="6" t="inlineStr">
        <is>
          <t>DIA</t>
        </is>
      </c>
      <c r="D3220" s="6" t="inlineStr">
        <is>
          <t>TRV</t>
        </is>
      </c>
      <c r="E3220" s="6" t="inlineStr">
        <is>
          <t>TRV</t>
        </is>
      </c>
      <c r="F3220" s="6" t="inlineStr">
        <is>
          <t>-</t>
        </is>
      </c>
      <c r="G3220" s="7" t="n">
        <v>235.6890716552734</v>
      </c>
      <c r="H3220" s="6">
        <f>P3189</f>
        <v/>
      </c>
      <c r="I3220" s="9">
        <f>Q3189</f>
        <v/>
      </c>
      <c r="J3220" s="7">
        <f>I3220*G3220</f>
        <v/>
      </c>
      <c r="K3220" s="8">
        <f>IF($J$3225=0,0,J3220/$J$3225)</f>
        <v/>
      </c>
      <c r="L3220" s="6" t="inlineStr">
        <is>
          <t>SELECTED</t>
        </is>
      </c>
      <c r="M3220" s="8" t="n">
        <v>0.2</v>
      </c>
      <c r="N3220" s="7">
        <f>M3220*$J$3225-J3220</f>
        <v/>
      </c>
      <c r="O3220" s="9">
        <f>IF(G3220=0,0,N3220/G3220)</f>
        <v/>
      </c>
      <c r="P3220" s="6">
        <f>IF(M3220&gt;0,D3220,"")</f>
        <v/>
      </c>
      <c r="Q3220" s="9">
        <f>I3220+O3220</f>
        <v/>
      </c>
      <c r="R3220" s="7">
        <f>Q3220*G3220</f>
        <v/>
      </c>
      <c r="S3220" s="8">
        <f>IF($R$3225=0,0,R3220/$R$3225)</f>
        <v/>
      </c>
      <c r="T3220" s="8" t="n">
        <v>0.008328477004585277</v>
      </c>
      <c r="U3220" s="8" t="n">
        <v>0.003406875352082173</v>
      </c>
      <c r="V3220" s="6" t="inlineStr">
        <is>
          <t>entered weekly selection</t>
        </is>
      </c>
    </row>
    <row r="3221">
      <c r="A3221" s="6" t="inlineStr">
        <is>
          <t>DJ30</t>
        </is>
      </c>
      <c r="B3221" s="6" t="inlineStr">
        <is>
          <t>2024-12-27</t>
        </is>
      </c>
      <c r="C3221" s="6" t="inlineStr">
        <is>
          <t>DIA</t>
        </is>
      </c>
      <c r="D3221" s="6" t="inlineStr">
        <is>
          <t>UNH</t>
        </is>
      </c>
      <c r="E3221" s="6" t="inlineStr">
        <is>
          <t>UNH</t>
        </is>
      </c>
      <c r="F3221" s="6" t="inlineStr">
        <is>
          <t>-</t>
        </is>
      </c>
      <c r="G3221" s="7" t="n">
        <v>491.0879821777344</v>
      </c>
      <c r="H3221" s="6">
        <f>P3190</f>
        <v/>
      </c>
      <c r="I3221" s="9">
        <f>Q3190</f>
        <v/>
      </c>
      <c r="J3221" s="7">
        <f>I3221*G3221</f>
        <v/>
      </c>
      <c r="K3221" s="8">
        <f>IF($J$3225=0,0,J3221/$J$3225)</f>
        <v/>
      </c>
      <c r="L3221" s="6" t="inlineStr">
        <is>
          <t>WATCHLIST</t>
        </is>
      </c>
      <c r="M3221" s="8" t="n">
        <v>0</v>
      </c>
      <c r="N3221" s="7">
        <f>M3221*$J$3225-J3221</f>
        <v/>
      </c>
      <c r="O3221" s="9">
        <f>IF(G3221=0,0,N3221/G3221)</f>
        <v/>
      </c>
      <c r="P3221" s="6">
        <f>IF(M3221&gt;0,D3221,"")</f>
        <v/>
      </c>
      <c r="Q3221" s="9">
        <f>I3221+O3221</f>
        <v/>
      </c>
      <c r="R3221" s="7">
        <f>Q3221*G3221</f>
        <v/>
      </c>
      <c r="S3221" s="8">
        <f>IF($R$3225=0,0,R3221/$R$3225)</f>
        <v/>
      </c>
      <c r="T3221" s="8" t="n">
        <v>0.008328477004585277</v>
      </c>
      <c r="U3221" s="8" t="n">
        <v>0.003406875352082173</v>
      </c>
      <c r="V3221" s="6" t="inlineStr">
        <is>
          <t>not selected</t>
        </is>
      </c>
    </row>
    <row r="3222">
      <c r="A3222" s="6" t="inlineStr">
        <is>
          <t>DJ30</t>
        </is>
      </c>
      <c r="B3222" s="6" t="inlineStr">
        <is>
          <t>2024-12-27</t>
        </is>
      </c>
      <c r="C3222" s="6" t="inlineStr">
        <is>
          <t>DIA</t>
        </is>
      </c>
      <c r="D3222" s="6" t="inlineStr">
        <is>
          <t>V</t>
        </is>
      </c>
      <c r="E3222" s="6" t="inlineStr">
        <is>
          <t>V</t>
        </is>
      </c>
      <c r="F3222" s="6" t="inlineStr">
        <is>
          <t>-</t>
        </is>
      </c>
      <c r="G3222" s="7" t="n">
        <v>315.1082763671875</v>
      </c>
      <c r="H3222" s="6">
        <f>P3191</f>
        <v/>
      </c>
      <c r="I3222" s="9">
        <f>Q3191</f>
        <v/>
      </c>
      <c r="J3222" s="7">
        <f>I3222*G3222</f>
        <v/>
      </c>
      <c r="K3222" s="8">
        <f>IF($J$3225=0,0,J3222/$J$3225)</f>
        <v/>
      </c>
      <c r="L3222" s="6" t="inlineStr">
        <is>
          <t>WATCHLIST</t>
        </is>
      </c>
      <c r="M3222" s="8" t="n">
        <v>0</v>
      </c>
      <c r="N3222" s="7">
        <f>M3222*$J$3225-J3222</f>
        <v/>
      </c>
      <c r="O3222" s="9">
        <f>IF(G3222=0,0,N3222/G3222)</f>
        <v/>
      </c>
      <c r="P3222" s="6">
        <f>IF(M3222&gt;0,D3222,"")</f>
        <v/>
      </c>
      <c r="Q3222" s="9">
        <f>I3222+O3222</f>
        <v/>
      </c>
      <c r="R3222" s="7">
        <f>Q3222*G3222</f>
        <v/>
      </c>
      <c r="S3222" s="8">
        <f>IF($R$3225=0,0,R3222/$R$3225)</f>
        <v/>
      </c>
      <c r="T3222" s="8" t="n">
        <v>0.008328477004585277</v>
      </c>
      <c r="U3222" s="8" t="n">
        <v>0.003406875352082173</v>
      </c>
      <c r="V3222" s="6" t="inlineStr">
        <is>
          <t>not selected</t>
        </is>
      </c>
    </row>
    <row r="3223">
      <c r="A3223" s="6" t="inlineStr">
        <is>
          <t>DJ30</t>
        </is>
      </c>
      <c r="B3223" s="6" t="inlineStr">
        <is>
          <t>2024-12-27</t>
        </is>
      </c>
      <c r="C3223" s="6" t="inlineStr">
        <is>
          <t>DIA</t>
        </is>
      </c>
      <c r="D3223" s="6" t="inlineStr">
        <is>
          <t>VZ</t>
        </is>
      </c>
      <c r="E3223" s="6" t="inlineStr">
        <is>
          <t>VZ</t>
        </is>
      </c>
      <c r="F3223" s="6" t="inlineStr">
        <is>
          <t>-</t>
        </is>
      </c>
      <c r="G3223" s="7" t="n">
        <v>36.16765975952149</v>
      </c>
      <c r="H3223" s="6">
        <f>P3192</f>
        <v/>
      </c>
      <c r="I3223" s="9">
        <f>Q3192</f>
        <v/>
      </c>
      <c r="J3223" s="7">
        <f>I3223*G3223</f>
        <v/>
      </c>
      <c r="K3223" s="8">
        <f>IF($J$3225=0,0,J3223/$J$3225)</f>
        <v/>
      </c>
      <c r="L3223" s="6" t="inlineStr">
        <is>
          <t>WATCHLIST</t>
        </is>
      </c>
      <c r="M3223" s="8" t="n">
        <v>0</v>
      </c>
      <c r="N3223" s="7">
        <f>M3223*$J$3225-J3223</f>
        <v/>
      </c>
      <c r="O3223" s="9">
        <f>IF(G3223=0,0,N3223/G3223)</f>
        <v/>
      </c>
      <c r="P3223" s="6">
        <f>IF(M3223&gt;0,D3223,"")</f>
        <v/>
      </c>
      <c r="Q3223" s="9">
        <f>I3223+O3223</f>
        <v/>
      </c>
      <c r="R3223" s="7">
        <f>Q3223*G3223</f>
        <v/>
      </c>
      <c r="S3223" s="8">
        <f>IF($R$3225=0,0,R3223/$R$3225)</f>
        <v/>
      </c>
      <c r="T3223" s="8" t="n">
        <v>0.008328477004585277</v>
      </c>
      <c r="U3223" s="8" t="n">
        <v>0.003406875352082173</v>
      </c>
      <c r="V3223" s="6" t="inlineStr">
        <is>
          <t>not selected</t>
        </is>
      </c>
    </row>
    <row r="3224">
      <c r="A3224" s="6" t="inlineStr">
        <is>
          <t>DJ30</t>
        </is>
      </c>
      <c r="B3224" s="6" t="inlineStr">
        <is>
          <t>2024-12-27</t>
        </is>
      </c>
      <c r="C3224" s="6" t="inlineStr">
        <is>
          <t>DIA</t>
        </is>
      </c>
      <c r="D3224" s="6" t="inlineStr">
        <is>
          <t>WMT</t>
        </is>
      </c>
      <c r="E3224" s="6" t="inlineStr">
        <is>
          <t>WMT</t>
        </is>
      </c>
      <c r="F3224" s="6" t="inlineStr">
        <is>
          <t>-</t>
        </is>
      </c>
      <c r="G3224" s="7" t="n">
        <v>90.4324188232422</v>
      </c>
      <c r="H3224" s="6">
        <f>P3193</f>
        <v/>
      </c>
      <c r="I3224" s="9">
        <f>Q3193</f>
        <v/>
      </c>
      <c r="J3224" s="7">
        <f>I3224*G3224</f>
        <v/>
      </c>
      <c r="K3224" s="8">
        <f>IF($J$3225=0,0,J3224/$J$3225)</f>
        <v/>
      </c>
      <c r="L3224" s="6" t="inlineStr">
        <is>
          <t>WATCHLIST</t>
        </is>
      </c>
      <c r="M3224" s="8" t="n">
        <v>0</v>
      </c>
      <c r="N3224" s="7">
        <f>M3224*$J$3225-J3224</f>
        <v/>
      </c>
      <c r="O3224" s="9">
        <f>IF(G3224=0,0,N3224/G3224)</f>
        <v/>
      </c>
      <c r="P3224" s="6">
        <f>IF(M3224&gt;0,D3224,"")</f>
        <v/>
      </c>
      <c r="Q3224" s="9">
        <f>I3224+O3224</f>
        <v/>
      </c>
      <c r="R3224" s="7">
        <f>Q3224*G3224</f>
        <v/>
      </c>
      <c r="S3224" s="8">
        <f>IF($R$3225=0,0,R3224/$R$3225)</f>
        <v/>
      </c>
      <c r="T3224" s="8" t="n">
        <v>0.008328477004585277</v>
      </c>
      <c r="U3224" s="8" t="n">
        <v>0.003406875352082173</v>
      </c>
      <c r="V3224" s="6" t="inlineStr">
        <is>
          <t>not selected</t>
        </is>
      </c>
    </row>
    <row r="3225">
      <c r="A3225" s="10" t="inlineStr">
        <is>
          <t>DJ30</t>
        </is>
      </c>
      <c r="B3225" s="10" t="inlineStr">
        <is>
          <t>2024-12-27</t>
        </is>
      </c>
      <c r="C3225" s="10" t="inlineStr">
        <is>
          <t>DIA</t>
        </is>
      </c>
      <c r="D3225" s="10" t="inlineStr">
        <is>
          <t>Tot Portfolio</t>
        </is>
      </c>
      <c r="E3225" s="10" t="inlineStr"/>
      <c r="F3225" s="10" t="inlineStr"/>
      <c r="G3225" s="11" t="inlineStr"/>
      <c r="H3225" s="10" t="inlineStr"/>
      <c r="I3225" s="12" t="inlineStr"/>
      <c r="J3225" s="11">
        <f>SUM(J3195:J3224)</f>
        <v/>
      </c>
      <c r="K3225" s="13">
        <f>SUM(K3195:K3224)</f>
        <v/>
      </c>
      <c r="L3225" s="10" t="inlineStr">
        <is>
          <t>TOTAL</t>
        </is>
      </c>
      <c r="M3225" s="13">
        <f>SUM(M3195:M3224)</f>
        <v/>
      </c>
      <c r="N3225" s="11">
        <f>SUM(N3195:N3224)</f>
        <v/>
      </c>
      <c r="O3225" s="12">
        <f>SUM(O3195:O3224)</f>
        <v/>
      </c>
      <c r="P3225" s="10" t="inlineStr"/>
      <c r="Q3225" s="12" t="inlineStr"/>
      <c r="R3225" s="11">
        <f>SUM(R3195:R3224)</f>
        <v/>
      </c>
      <c r="S3225" s="13">
        <f>SUM(S3195:S3224)</f>
        <v/>
      </c>
      <c r="T3225" s="13" t="n">
        <v>0.008328477004585277</v>
      </c>
      <c r="U3225" s="13" t="n">
        <v>0.003406875352082173</v>
      </c>
      <c r="V3225" s="10" t="inlineStr"/>
    </row>
    <row r="3226">
      <c r="A3226" s="6" t="inlineStr">
        <is>
          <t>DJ30</t>
        </is>
      </c>
      <c r="B3226" s="6" t="inlineStr">
        <is>
          <t>2025-01-03</t>
        </is>
      </c>
      <c r="C3226" s="6" t="inlineStr">
        <is>
          <t>DIA</t>
        </is>
      </c>
      <c r="D3226" s="6" t="inlineStr">
        <is>
          <t>AAPL</t>
        </is>
      </c>
      <c r="E3226" s="6" t="inlineStr">
        <is>
          <t>AAPL</t>
        </is>
      </c>
      <c r="F3226" s="6" t="inlineStr">
        <is>
          <t>-</t>
        </is>
      </c>
      <c r="G3226" s="7" t="n">
        <v>241.8150024414062</v>
      </c>
      <c r="H3226" s="6">
        <f>P3195</f>
        <v/>
      </c>
      <c r="I3226" s="9">
        <f>Q3195</f>
        <v/>
      </c>
      <c r="J3226" s="7">
        <f>I3226*G3226</f>
        <v/>
      </c>
      <c r="K3226" s="8">
        <f>IF($J$3256=0,0,J3226/$J$3256)</f>
        <v/>
      </c>
      <c r="L3226" s="6" t="inlineStr">
        <is>
          <t>SELECTED</t>
        </is>
      </c>
      <c r="M3226" s="8" t="n">
        <v>0.2</v>
      </c>
      <c r="N3226" s="7">
        <f>M3226*$J$3256-J3226</f>
        <v/>
      </c>
      <c r="O3226" s="9">
        <f>IF(G3226=0,0,N3226/G3226)</f>
        <v/>
      </c>
      <c r="P3226" s="6">
        <f>IF(M3226&gt;0,D3226,"")</f>
        <v/>
      </c>
      <c r="Q3226" s="9">
        <f>I3226+O3226</f>
        <v/>
      </c>
      <c r="R3226" s="7">
        <f>Q3226*G3226</f>
        <v/>
      </c>
      <c r="S3226" s="8">
        <f>IF($R$3256=0,0,R3226/$R$3256)</f>
        <v/>
      </c>
      <c r="T3226" s="8" t="n">
        <v>0.01199690992130042</v>
      </c>
      <c r="U3226" s="8" t="n">
        <v>-0.006604565681616936</v>
      </c>
      <c r="V3226" s="6" t="inlineStr">
        <is>
          <t>entered weekly selection</t>
        </is>
      </c>
    </row>
    <row r="3227">
      <c r="A3227" s="6" t="inlineStr">
        <is>
          <t>DJ30</t>
        </is>
      </c>
      <c r="B3227" s="6" t="inlineStr">
        <is>
          <t>2025-01-03</t>
        </is>
      </c>
      <c r="C3227" s="6" t="inlineStr">
        <is>
          <t>DIA</t>
        </is>
      </c>
      <c r="D3227" s="6" t="inlineStr">
        <is>
          <t>AMGN</t>
        </is>
      </c>
      <c r="E3227" s="6" t="inlineStr">
        <is>
          <t>AMGN</t>
        </is>
      </c>
      <c r="F3227" s="6" t="inlineStr">
        <is>
          <t>-</t>
        </is>
      </c>
      <c r="G3227" s="7" t="n">
        <v>249.3612976074219</v>
      </c>
      <c r="H3227" s="6">
        <f>P3196</f>
        <v/>
      </c>
      <c r="I3227" s="9">
        <f>Q3196</f>
        <v/>
      </c>
      <c r="J3227" s="7">
        <f>I3227*G3227</f>
        <v/>
      </c>
      <c r="K3227" s="8">
        <f>IF($J$3256=0,0,J3227/$J$3256)</f>
        <v/>
      </c>
      <c r="L3227" s="6" t="inlineStr">
        <is>
          <t>REJECTED</t>
        </is>
      </c>
      <c r="M3227" s="8" t="n">
        <v>0</v>
      </c>
      <c r="N3227" s="7">
        <f>M3227*$J$3256-J3227</f>
        <v/>
      </c>
      <c r="O3227" s="9">
        <f>IF(G3227=0,0,N3227/G3227)</f>
        <v/>
      </c>
      <c r="P3227" s="6">
        <f>IF(M3227&gt;0,D3227,"")</f>
        <v/>
      </c>
      <c r="Q3227" s="9">
        <f>I3227+O3227</f>
        <v/>
      </c>
      <c r="R3227" s="7">
        <f>Q3227*G3227</f>
        <v/>
      </c>
      <c r="S3227" s="8">
        <f>IF($R$3256=0,0,R3227/$R$3256)</f>
        <v/>
      </c>
      <c r="T3227" s="8" t="n">
        <v>0.01199690992130042</v>
      </c>
      <c r="U3227" s="8" t="n">
        <v>-0.006604565681616936</v>
      </c>
      <c r="V3227" s="6" t="inlineStr">
        <is>
          <t>not selected</t>
        </is>
      </c>
    </row>
    <row r="3228">
      <c r="A3228" s="6" t="inlineStr">
        <is>
          <t>DJ30</t>
        </is>
      </c>
      <c r="B3228" s="6" t="inlineStr">
        <is>
          <t>2025-01-03</t>
        </is>
      </c>
      <c r="C3228" s="6" t="inlineStr">
        <is>
          <t>DIA</t>
        </is>
      </c>
      <c r="D3228" s="6" t="inlineStr">
        <is>
          <t>AMZN</t>
        </is>
      </c>
      <c r="E3228" s="6" t="inlineStr">
        <is>
          <t>AMZN</t>
        </is>
      </c>
      <c r="F3228" s="6" t="inlineStr">
        <is>
          <t>-</t>
        </is>
      </c>
      <c r="G3228" s="7" t="n">
        <v>224.1900024414062</v>
      </c>
      <c r="H3228" s="6">
        <f>P3197</f>
        <v/>
      </c>
      <c r="I3228" s="9">
        <f>Q3197</f>
        <v/>
      </c>
      <c r="J3228" s="7">
        <f>I3228*G3228</f>
        <v/>
      </c>
      <c r="K3228" s="8">
        <f>IF($J$3256=0,0,J3228/$J$3256)</f>
        <v/>
      </c>
      <c r="L3228" s="6" t="inlineStr">
        <is>
          <t>WATCHLIST</t>
        </is>
      </c>
      <c r="M3228" s="8" t="n">
        <v>0</v>
      </c>
      <c r="N3228" s="7">
        <f>M3228*$J$3256-J3228</f>
        <v/>
      </c>
      <c r="O3228" s="9">
        <f>IF(G3228=0,0,N3228/G3228)</f>
        <v/>
      </c>
      <c r="P3228" s="6">
        <f>IF(M3228&gt;0,D3228,"")</f>
        <v/>
      </c>
      <c r="Q3228" s="9">
        <f>I3228+O3228</f>
        <v/>
      </c>
      <c r="R3228" s="7">
        <f>Q3228*G3228</f>
        <v/>
      </c>
      <c r="S3228" s="8">
        <f>IF($R$3256=0,0,R3228/$R$3256)</f>
        <v/>
      </c>
      <c r="T3228" s="8" t="n">
        <v>0.01199690992130042</v>
      </c>
      <c r="U3228" s="8" t="n">
        <v>-0.006604565681616936</v>
      </c>
      <c r="V3228" s="6" t="inlineStr">
        <is>
          <t>not selected</t>
        </is>
      </c>
    </row>
    <row r="3229">
      <c r="A3229" s="6" t="inlineStr">
        <is>
          <t>DJ30</t>
        </is>
      </c>
      <c r="B3229" s="6" t="inlineStr">
        <is>
          <t>2025-01-03</t>
        </is>
      </c>
      <c r="C3229" s="6" t="inlineStr">
        <is>
          <t>DIA</t>
        </is>
      </c>
      <c r="D3229" s="6" t="inlineStr">
        <is>
          <t>AXP</t>
        </is>
      </c>
      <c r="E3229" s="6" t="inlineStr">
        <is>
          <t>AXP</t>
        </is>
      </c>
      <c r="F3229" s="6" t="inlineStr">
        <is>
          <t>-</t>
        </is>
      </c>
      <c r="G3229" s="7" t="n">
        <v>298.9435729980469</v>
      </c>
      <c r="H3229" s="6">
        <f>P3198</f>
        <v/>
      </c>
      <c r="I3229" s="9">
        <f>Q3198</f>
        <v/>
      </c>
      <c r="J3229" s="7">
        <f>I3229*G3229</f>
        <v/>
      </c>
      <c r="K3229" s="8">
        <f>IF($J$3256=0,0,J3229/$J$3256)</f>
        <v/>
      </c>
      <c r="L3229" s="6" t="inlineStr">
        <is>
          <t>WATCHLIST</t>
        </is>
      </c>
      <c r="M3229" s="8" t="n">
        <v>0</v>
      </c>
      <c r="N3229" s="7">
        <f>M3229*$J$3256-J3229</f>
        <v/>
      </c>
      <c r="O3229" s="9">
        <f>IF(G3229=0,0,N3229/G3229)</f>
        <v/>
      </c>
      <c r="P3229" s="6">
        <f>IF(M3229&gt;0,D3229,"")</f>
        <v/>
      </c>
      <c r="Q3229" s="9">
        <f>I3229+O3229</f>
        <v/>
      </c>
      <c r="R3229" s="7">
        <f>Q3229*G3229</f>
        <v/>
      </c>
      <c r="S3229" s="8">
        <f>IF($R$3256=0,0,R3229/$R$3256)</f>
        <v/>
      </c>
      <c r="T3229" s="8" t="n">
        <v>0.01199690992130042</v>
      </c>
      <c r="U3229" s="8" t="n">
        <v>-0.006604565681616936</v>
      </c>
      <c r="V3229" s="6" t="inlineStr">
        <is>
          <t>not selected</t>
        </is>
      </c>
    </row>
    <row r="3230">
      <c r="A3230" s="6" t="inlineStr">
        <is>
          <t>DJ30</t>
        </is>
      </c>
      <c r="B3230" s="6" t="inlineStr">
        <is>
          <t>2025-01-03</t>
        </is>
      </c>
      <c r="C3230" s="6" t="inlineStr">
        <is>
          <t>DIA</t>
        </is>
      </c>
      <c r="D3230" s="6" t="inlineStr">
        <is>
          <t>BA</t>
        </is>
      </c>
      <c r="E3230" s="6" t="inlineStr">
        <is>
          <t>BA</t>
        </is>
      </c>
      <c r="F3230" s="6" t="inlineStr">
        <is>
          <t>-</t>
        </is>
      </c>
      <c r="G3230" s="7" t="n">
        <v>169.8999938964844</v>
      </c>
      <c r="H3230" s="6">
        <f>P3199</f>
        <v/>
      </c>
      <c r="I3230" s="9">
        <f>Q3199</f>
        <v/>
      </c>
      <c r="J3230" s="7">
        <f>I3230*G3230</f>
        <v/>
      </c>
      <c r="K3230" s="8">
        <f>IF($J$3256=0,0,J3230/$J$3256)</f>
        <v/>
      </c>
      <c r="L3230" s="6" t="inlineStr">
        <is>
          <t>REJECTED</t>
        </is>
      </c>
      <c r="M3230" s="8" t="n">
        <v>0</v>
      </c>
      <c r="N3230" s="7">
        <f>M3230*$J$3256-J3230</f>
        <v/>
      </c>
      <c r="O3230" s="9">
        <f>IF(G3230=0,0,N3230/G3230)</f>
        <v/>
      </c>
      <c r="P3230" s="6">
        <f>IF(M3230&gt;0,D3230,"")</f>
        <v/>
      </c>
      <c r="Q3230" s="9">
        <f>I3230+O3230</f>
        <v/>
      </c>
      <c r="R3230" s="7">
        <f>Q3230*G3230</f>
        <v/>
      </c>
      <c r="S3230" s="8">
        <f>IF($R$3256=0,0,R3230/$R$3256)</f>
        <v/>
      </c>
      <c r="T3230" s="8" t="n">
        <v>0.01199690992130042</v>
      </c>
      <c r="U3230" s="8" t="n">
        <v>-0.006604565681616936</v>
      </c>
      <c r="V3230" s="6" t="inlineStr">
        <is>
          <t>not selected</t>
        </is>
      </c>
    </row>
    <row r="3231">
      <c r="A3231" s="6" t="inlineStr">
        <is>
          <t>DJ30</t>
        </is>
      </c>
      <c r="B3231" s="6" t="inlineStr">
        <is>
          <t>2025-01-03</t>
        </is>
      </c>
      <c r="C3231" s="6" t="inlineStr">
        <is>
          <t>DIA</t>
        </is>
      </c>
      <c r="D3231" s="6" t="inlineStr">
        <is>
          <t>CAT</t>
        </is>
      </c>
      <c r="E3231" s="6" t="inlineStr">
        <is>
          <t>CAT</t>
        </is>
      </c>
      <c r="F3231" s="6" t="inlineStr">
        <is>
          <t>-</t>
        </is>
      </c>
      <c r="G3231" s="7" t="n">
        <v>356.8621826171875</v>
      </c>
      <c r="H3231" s="6">
        <f>P3200</f>
        <v/>
      </c>
      <c r="I3231" s="9">
        <f>Q3200</f>
        <v/>
      </c>
      <c r="J3231" s="7">
        <f>I3231*G3231</f>
        <v/>
      </c>
      <c r="K3231" s="8">
        <f>IF($J$3256=0,0,J3231/$J$3256)</f>
        <v/>
      </c>
      <c r="L3231" s="6" t="inlineStr">
        <is>
          <t>WATCHLIST</t>
        </is>
      </c>
      <c r="M3231" s="8" t="n">
        <v>0</v>
      </c>
      <c r="N3231" s="7">
        <f>M3231*$J$3256-J3231</f>
        <v/>
      </c>
      <c r="O3231" s="9">
        <f>IF(G3231=0,0,N3231/G3231)</f>
        <v/>
      </c>
      <c r="P3231" s="6">
        <f>IF(M3231&gt;0,D3231,"")</f>
        <v/>
      </c>
      <c r="Q3231" s="9">
        <f>I3231+O3231</f>
        <v/>
      </c>
      <c r="R3231" s="7">
        <f>Q3231*G3231</f>
        <v/>
      </c>
      <c r="S3231" s="8">
        <f>IF($R$3256=0,0,R3231/$R$3256)</f>
        <v/>
      </c>
      <c r="T3231" s="8" t="n">
        <v>0.01199690992130042</v>
      </c>
      <c r="U3231" s="8" t="n">
        <v>-0.006604565681616936</v>
      </c>
      <c r="V3231" s="6" t="inlineStr">
        <is>
          <t>not selected</t>
        </is>
      </c>
    </row>
    <row r="3232">
      <c r="A3232" s="6" t="inlineStr">
        <is>
          <t>DJ30</t>
        </is>
      </c>
      <c r="B3232" s="6" t="inlineStr">
        <is>
          <t>2025-01-03</t>
        </is>
      </c>
      <c r="C3232" s="6" t="inlineStr">
        <is>
          <t>DIA</t>
        </is>
      </c>
      <c r="D3232" s="6" t="inlineStr">
        <is>
          <t>CRM</t>
        </is>
      </c>
      <c r="E3232" s="6" t="inlineStr">
        <is>
          <t>CRM</t>
        </is>
      </c>
      <c r="F3232" s="6" t="inlineStr">
        <is>
          <t>-</t>
        </is>
      </c>
      <c r="G3232" s="7" t="n">
        <v>329.0663757324219</v>
      </c>
      <c r="H3232" s="6">
        <f>P3201</f>
        <v/>
      </c>
      <c r="I3232" s="9">
        <f>Q3201</f>
        <v/>
      </c>
      <c r="J3232" s="7">
        <f>I3232*G3232</f>
        <v/>
      </c>
      <c r="K3232" s="8">
        <f>IF($J$3256=0,0,J3232/$J$3256)</f>
        <v/>
      </c>
      <c r="L3232" s="6" t="inlineStr">
        <is>
          <t>REJECTED</t>
        </is>
      </c>
      <c r="M3232" s="8" t="n">
        <v>0</v>
      </c>
      <c r="N3232" s="7">
        <f>M3232*$J$3256-J3232</f>
        <v/>
      </c>
      <c r="O3232" s="9">
        <f>IF(G3232=0,0,N3232/G3232)</f>
        <v/>
      </c>
      <c r="P3232" s="6">
        <f>IF(M3232&gt;0,D3232,"")</f>
        <v/>
      </c>
      <c r="Q3232" s="9">
        <f>I3232+O3232</f>
        <v/>
      </c>
      <c r="R3232" s="7">
        <f>Q3232*G3232</f>
        <v/>
      </c>
      <c r="S3232" s="8">
        <f>IF($R$3256=0,0,R3232/$R$3256)</f>
        <v/>
      </c>
      <c r="T3232" s="8" t="n">
        <v>0.01199690992130042</v>
      </c>
      <c r="U3232" s="8" t="n">
        <v>-0.006604565681616936</v>
      </c>
      <c r="V3232" s="6" t="inlineStr">
        <is>
          <t>not selected</t>
        </is>
      </c>
    </row>
    <row r="3233">
      <c r="A3233" s="6" t="inlineStr">
        <is>
          <t>DJ30</t>
        </is>
      </c>
      <c r="B3233" s="6" t="inlineStr">
        <is>
          <t>2025-01-03</t>
        </is>
      </c>
      <c r="C3233" s="6" t="inlineStr">
        <is>
          <t>DIA</t>
        </is>
      </c>
      <c r="D3233" s="6" t="inlineStr">
        <is>
          <t>CSCO</t>
        </is>
      </c>
      <c r="E3233" s="6" t="inlineStr">
        <is>
          <t>CSCO</t>
        </is>
      </c>
      <c r="F3233" s="6" t="inlineStr">
        <is>
          <t>-</t>
        </is>
      </c>
      <c r="G3233" s="7" t="n">
        <v>57.15409469604492</v>
      </c>
      <c r="H3233" s="6">
        <f>P3202</f>
        <v/>
      </c>
      <c r="I3233" s="9">
        <f>Q3202</f>
        <v/>
      </c>
      <c r="J3233" s="7">
        <f>I3233*G3233</f>
        <v/>
      </c>
      <c r="K3233" s="8">
        <f>IF($J$3256=0,0,J3233/$J$3256)</f>
        <v/>
      </c>
      <c r="L3233" s="6" t="inlineStr">
        <is>
          <t>WATCHLIST</t>
        </is>
      </c>
      <c r="M3233" s="8" t="n">
        <v>0</v>
      </c>
      <c r="N3233" s="7">
        <f>M3233*$J$3256-J3233</f>
        <v/>
      </c>
      <c r="O3233" s="9">
        <f>IF(G3233=0,0,N3233/G3233)</f>
        <v/>
      </c>
      <c r="P3233" s="6">
        <f>IF(M3233&gt;0,D3233,"")</f>
        <v/>
      </c>
      <c r="Q3233" s="9">
        <f>I3233+O3233</f>
        <v/>
      </c>
      <c r="R3233" s="7">
        <f>Q3233*G3233</f>
        <v/>
      </c>
      <c r="S3233" s="8">
        <f>IF($R$3256=0,0,R3233/$R$3256)</f>
        <v/>
      </c>
      <c r="T3233" s="8" t="n">
        <v>0.01199690992130042</v>
      </c>
      <c r="U3233" s="8" t="n">
        <v>-0.006604565681616936</v>
      </c>
      <c r="V3233" s="6" t="inlineStr">
        <is>
          <t>not selected</t>
        </is>
      </c>
    </row>
    <row r="3234">
      <c r="A3234" s="6" t="inlineStr">
        <is>
          <t>DJ30</t>
        </is>
      </c>
      <c r="B3234" s="6" t="inlineStr">
        <is>
          <t>2025-01-03</t>
        </is>
      </c>
      <c r="C3234" s="6" t="inlineStr">
        <is>
          <t>DIA</t>
        </is>
      </c>
      <c r="D3234" s="6" t="inlineStr">
        <is>
          <t>CVX</t>
        </is>
      </c>
      <c r="E3234" s="6" t="inlineStr">
        <is>
          <t>CVX</t>
        </is>
      </c>
      <c r="F3234" s="6" t="inlineStr">
        <is>
          <t>-</t>
        </is>
      </c>
      <c r="G3234" s="7" t="n">
        <v>138.6609039306641</v>
      </c>
      <c r="H3234" s="6">
        <f>P3203</f>
        <v/>
      </c>
      <c r="I3234" s="9">
        <f>Q3203</f>
        <v/>
      </c>
      <c r="J3234" s="7">
        <f>I3234*G3234</f>
        <v/>
      </c>
      <c r="K3234" s="8">
        <f>IF($J$3256=0,0,J3234/$J$3256)</f>
        <v/>
      </c>
      <c r="L3234" s="6" t="inlineStr">
        <is>
          <t>REJECTED</t>
        </is>
      </c>
      <c r="M3234" s="8" t="n">
        <v>0</v>
      </c>
      <c r="N3234" s="7">
        <f>M3234*$J$3256-J3234</f>
        <v/>
      </c>
      <c r="O3234" s="9">
        <f>IF(G3234=0,0,N3234/G3234)</f>
        <v/>
      </c>
      <c r="P3234" s="6">
        <f>IF(M3234&gt;0,D3234,"")</f>
        <v/>
      </c>
      <c r="Q3234" s="9">
        <f>I3234+O3234</f>
        <v/>
      </c>
      <c r="R3234" s="7">
        <f>Q3234*G3234</f>
        <v/>
      </c>
      <c r="S3234" s="8">
        <f>IF($R$3256=0,0,R3234/$R$3256)</f>
        <v/>
      </c>
      <c r="T3234" s="8" t="n">
        <v>0.01199690992130042</v>
      </c>
      <c r="U3234" s="8" t="n">
        <v>-0.006604565681616936</v>
      </c>
      <c r="V3234" s="6" t="inlineStr">
        <is>
          <t>not selected</t>
        </is>
      </c>
    </row>
    <row r="3235">
      <c r="A3235" s="6" t="inlineStr">
        <is>
          <t>DJ30</t>
        </is>
      </c>
      <c r="B3235" s="6" t="inlineStr">
        <is>
          <t>2025-01-03</t>
        </is>
      </c>
      <c r="C3235" s="6" t="inlineStr">
        <is>
          <t>DIA</t>
        </is>
      </c>
      <c r="D3235" s="6" t="inlineStr">
        <is>
          <t>DIS</t>
        </is>
      </c>
      <c r="E3235" s="6" t="inlineStr">
        <is>
          <t>DIS</t>
        </is>
      </c>
      <c r="F3235" s="6" t="inlineStr">
        <is>
          <t>-</t>
        </is>
      </c>
      <c r="G3235" s="7" t="n">
        <v>109.9441146850586</v>
      </c>
      <c r="H3235" s="6">
        <f>P3204</f>
        <v/>
      </c>
      <c r="I3235" s="9">
        <f>Q3204</f>
        <v/>
      </c>
      <c r="J3235" s="7">
        <f>I3235*G3235</f>
        <v/>
      </c>
      <c r="K3235" s="8">
        <f>IF($J$3256=0,0,J3235/$J$3256)</f>
        <v/>
      </c>
      <c r="L3235" s="6" t="inlineStr">
        <is>
          <t>REJECTED</t>
        </is>
      </c>
      <c r="M3235" s="8" t="n">
        <v>0</v>
      </c>
      <c r="N3235" s="7">
        <f>M3235*$J$3256-J3235</f>
        <v/>
      </c>
      <c r="O3235" s="9">
        <f>IF(G3235=0,0,N3235/G3235)</f>
        <v/>
      </c>
      <c r="P3235" s="6">
        <f>IF(M3235&gt;0,D3235,"")</f>
        <v/>
      </c>
      <c r="Q3235" s="9">
        <f>I3235+O3235</f>
        <v/>
      </c>
      <c r="R3235" s="7">
        <f>Q3235*G3235</f>
        <v/>
      </c>
      <c r="S3235" s="8">
        <f>IF($R$3256=0,0,R3235/$R$3256)</f>
        <v/>
      </c>
      <c r="T3235" s="8" t="n">
        <v>0.01199690992130042</v>
      </c>
      <c r="U3235" s="8" t="n">
        <v>-0.006604565681616936</v>
      </c>
      <c r="V3235" s="6" t="inlineStr">
        <is>
          <t>not selected</t>
        </is>
      </c>
    </row>
    <row r="3236">
      <c r="A3236" s="6" t="inlineStr">
        <is>
          <t>DJ30</t>
        </is>
      </c>
      <c r="B3236" s="6" t="inlineStr">
        <is>
          <t>2025-01-03</t>
        </is>
      </c>
      <c r="C3236" s="6" t="inlineStr">
        <is>
          <t>DIA</t>
        </is>
      </c>
      <c r="D3236" s="6" t="inlineStr">
        <is>
          <t>GS</t>
        </is>
      </c>
      <c r="E3236" s="6" t="inlineStr">
        <is>
          <t>GS</t>
        </is>
      </c>
      <c r="F3236" s="6" t="inlineStr">
        <is>
          <t>-</t>
        </is>
      </c>
      <c r="G3236" s="7" t="n">
        <v>563.0694580078125</v>
      </c>
      <c r="H3236" s="6">
        <f>P3205</f>
        <v/>
      </c>
      <c r="I3236" s="9">
        <f>Q3205</f>
        <v/>
      </c>
      <c r="J3236" s="7">
        <f>I3236*G3236</f>
        <v/>
      </c>
      <c r="K3236" s="8">
        <f>IF($J$3256=0,0,J3236/$J$3256)</f>
        <v/>
      </c>
      <c r="L3236" s="6" t="inlineStr">
        <is>
          <t>SELECTED</t>
        </is>
      </c>
      <c r="M3236" s="8" t="n">
        <v>0.2</v>
      </c>
      <c r="N3236" s="7">
        <f>M3236*$J$3256-J3236</f>
        <v/>
      </c>
      <c r="O3236" s="9">
        <f>IF(G3236=0,0,N3236/G3236)</f>
        <v/>
      </c>
      <c r="P3236" s="6">
        <f>IF(M3236&gt;0,D3236,"")</f>
        <v/>
      </c>
      <c r="Q3236" s="9">
        <f>I3236+O3236</f>
        <v/>
      </c>
      <c r="R3236" s="7">
        <f>Q3236*G3236</f>
        <v/>
      </c>
      <c r="S3236" s="8">
        <f>IF($R$3256=0,0,R3236/$R$3256)</f>
        <v/>
      </c>
      <c r="T3236" s="8" t="n">
        <v>0.01199690992130042</v>
      </c>
      <c r="U3236" s="8" t="n">
        <v>-0.006604565681616936</v>
      </c>
      <c r="V3236" s="6" t="inlineStr">
        <is>
          <t>remained in weekly selection</t>
        </is>
      </c>
    </row>
    <row r="3237">
      <c r="A3237" s="6" t="inlineStr">
        <is>
          <t>DJ30</t>
        </is>
      </c>
      <c r="B3237" s="6" t="inlineStr">
        <is>
          <t>2025-01-03</t>
        </is>
      </c>
      <c r="C3237" s="6" t="inlineStr">
        <is>
          <t>DIA</t>
        </is>
      </c>
      <c r="D3237" s="6" t="inlineStr">
        <is>
          <t>HD</t>
        </is>
      </c>
      <c r="E3237" s="6" t="inlineStr">
        <is>
          <t>HD</t>
        </is>
      </c>
      <c r="F3237" s="6" t="inlineStr">
        <is>
          <t>-</t>
        </is>
      </c>
      <c r="G3237" s="7" t="n">
        <v>374.3833923339844</v>
      </c>
      <c r="H3237" s="6">
        <f>P3206</f>
        <v/>
      </c>
      <c r="I3237" s="9">
        <f>Q3206</f>
        <v/>
      </c>
      <c r="J3237" s="7">
        <f>I3237*G3237</f>
        <v/>
      </c>
      <c r="K3237" s="8">
        <f>IF($J$3256=0,0,J3237/$J$3256)</f>
        <v/>
      </c>
      <c r="L3237" s="6" t="inlineStr">
        <is>
          <t>WATCHLIST</t>
        </is>
      </c>
      <c r="M3237" s="8" t="n">
        <v>0</v>
      </c>
      <c r="N3237" s="7">
        <f>M3237*$J$3256-J3237</f>
        <v/>
      </c>
      <c r="O3237" s="9">
        <f>IF(G3237=0,0,N3237/G3237)</f>
        <v/>
      </c>
      <c r="P3237" s="6">
        <f>IF(M3237&gt;0,D3237,"")</f>
        <v/>
      </c>
      <c r="Q3237" s="9">
        <f>I3237+O3237</f>
        <v/>
      </c>
      <c r="R3237" s="7">
        <f>Q3237*G3237</f>
        <v/>
      </c>
      <c r="S3237" s="8">
        <f>IF($R$3256=0,0,R3237/$R$3256)</f>
        <v/>
      </c>
      <c r="T3237" s="8" t="n">
        <v>0.01199690992130042</v>
      </c>
      <c r="U3237" s="8" t="n">
        <v>-0.006604565681616936</v>
      </c>
      <c r="V3237" s="6" t="inlineStr">
        <is>
          <t>not selected</t>
        </is>
      </c>
    </row>
    <row r="3238">
      <c r="A3238" s="6" t="inlineStr">
        <is>
          <t>DJ30</t>
        </is>
      </c>
      <c r="B3238" s="6" t="inlineStr">
        <is>
          <t>2025-01-03</t>
        </is>
      </c>
      <c r="C3238" s="6" t="inlineStr">
        <is>
          <t>DIA</t>
        </is>
      </c>
      <c r="D3238" s="6" t="inlineStr">
        <is>
          <t>HON</t>
        </is>
      </c>
      <c r="E3238" s="6" t="inlineStr">
        <is>
          <t>HON</t>
        </is>
      </c>
      <c r="F3238" s="6" t="inlineStr">
        <is>
          <t>-</t>
        </is>
      </c>
      <c r="G3238" s="7" t="n">
        <v>206.7665405273437</v>
      </c>
      <c r="H3238" s="6">
        <f>P3207</f>
        <v/>
      </c>
      <c r="I3238" s="9">
        <f>Q3207</f>
        <v/>
      </c>
      <c r="J3238" s="7">
        <f>I3238*G3238</f>
        <v/>
      </c>
      <c r="K3238" s="8">
        <f>IF($J$3256=0,0,J3238/$J$3256)</f>
        <v/>
      </c>
      <c r="L3238" s="6" t="inlineStr">
        <is>
          <t>WATCHLIST</t>
        </is>
      </c>
      <c r="M3238" s="8" t="n">
        <v>0</v>
      </c>
      <c r="N3238" s="7">
        <f>M3238*$J$3256-J3238</f>
        <v/>
      </c>
      <c r="O3238" s="9">
        <f>IF(G3238=0,0,N3238/G3238)</f>
        <v/>
      </c>
      <c r="P3238" s="6">
        <f>IF(M3238&gt;0,D3238,"")</f>
        <v/>
      </c>
      <c r="Q3238" s="9">
        <f>I3238+O3238</f>
        <v/>
      </c>
      <c r="R3238" s="7">
        <f>Q3238*G3238</f>
        <v/>
      </c>
      <c r="S3238" s="8">
        <f>IF($R$3256=0,0,R3238/$R$3256)</f>
        <v/>
      </c>
      <c r="T3238" s="8" t="n">
        <v>0.01199690992130042</v>
      </c>
      <c r="U3238" s="8" t="n">
        <v>-0.006604565681616936</v>
      </c>
      <c r="V3238" s="6" t="inlineStr">
        <is>
          <t>not selected</t>
        </is>
      </c>
    </row>
    <row r="3239">
      <c r="A3239" s="6" t="inlineStr">
        <is>
          <t>DJ30</t>
        </is>
      </c>
      <c r="B3239" s="6" t="inlineStr">
        <is>
          <t>2025-01-03</t>
        </is>
      </c>
      <c r="C3239" s="6" t="inlineStr">
        <is>
          <t>DIA</t>
        </is>
      </c>
      <c r="D3239" s="6" t="inlineStr">
        <is>
          <t>IBM</t>
        </is>
      </c>
      <c r="E3239" s="6" t="inlineStr">
        <is>
          <t>IBM</t>
        </is>
      </c>
      <c r="F3239" s="6" t="inlineStr">
        <is>
          <t>-</t>
        </is>
      </c>
      <c r="G3239" s="7" t="n">
        <v>214.2349395751953</v>
      </c>
      <c r="H3239" s="6">
        <f>P3208</f>
        <v/>
      </c>
      <c r="I3239" s="9">
        <f>Q3208</f>
        <v/>
      </c>
      <c r="J3239" s="7">
        <f>I3239*G3239</f>
        <v/>
      </c>
      <c r="K3239" s="8">
        <f>IF($J$3256=0,0,J3239/$J$3256)</f>
        <v/>
      </c>
      <c r="L3239" s="6" t="inlineStr">
        <is>
          <t>SELECTED</t>
        </is>
      </c>
      <c r="M3239" s="8" t="n">
        <v>0.2</v>
      </c>
      <c r="N3239" s="7">
        <f>M3239*$J$3256-J3239</f>
        <v/>
      </c>
      <c r="O3239" s="9">
        <f>IF(G3239=0,0,N3239/G3239)</f>
        <v/>
      </c>
      <c r="P3239" s="6">
        <f>IF(M3239&gt;0,D3239,"")</f>
        <v/>
      </c>
      <c r="Q3239" s="9">
        <f>I3239+O3239</f>
        <v/>
      </c>
      <c r="R3239" s="7">
        <f>Q3239*G3239</f>
        <v/>
      </c>
      <c r="S3239" s="8">
        <f>IF($R$3256=0,0,R3239/$R$3256)</f>
        <v/>
      </c>
      <c r="T3239" s="8" t="n">
        <v>0.01199690992130042</v>
      </c>
      <c r="U3239" s="8" t="n">
        <v>-0.006604565681616936</v>
      </c>
      <c r="V3239" s="6" t="inlineStr">
        <is>
          <t>remained in weekly selection</t>
        </is>
      </c>
    </row>
    <row r="3240">
      <c r="A3240" s="6" t="inlineStr">
        <is>
          <t>DJ30</t>
        </is>
      </c>
      <c r="B3240" s="6" t="inlineStr">
        <is>
          <t>2025-01-03</t>
        </is>
      </c>
      <c r="C3240" s="6" t="inlineStr">
        <is>
          <t>DIA</t>
        </is>
      </c>
      <c r="D3240" s="6" t="inlineStr">
        <is>
          <t>JNJ</t>
        </is>
      </c>
      <c r="E3240" s="6" t="inlineStr">
        <is>
          <t>JNJ</t>
        </is>
      </c>
      <c r="F3240" s="6" t="inlineStr">
        <is>
          <t>-</t>
        </is>
      </c>
      <c r="G3240" s="7" t="n">
        <v>138.3717193603516</v>
      </c>
      <c r="H3240" s="6">
        <f>P3209</f>
        <v/>
      </c>
      <c r="I3240" s="9">
        <f>Q3209</f>
        <v/>
      </c>
      <c r="J3240" s="7">
        <f>I3240*G3240</f>
        <v/>
      </c>
      <c r="K3240" s="8">
        <f>IF($J$3256=0,0,J3240/$J$3256)</f>
        <v/>
      </c>
      <c r="L3240" s="6" t="inlineStr">
        <is>
          <t>REJECTED</t>
        </is>
      </c>
      <c r="M3240" s="8" t="n">
        <v>0</v>
      </c>
      <c r="N3240" s="7">
        <f>M3240*$J$3256-J3240</f>
        <v/>
      </c>
      <c r="O3240" s="9">
        <f>IF(G3240=0,0,N3240/G3240)</f>
        <v/>
      </c>
      <c r="P3240" s="6">
        <f>IF(M3240&gt;0,D3240,"")</f>
        <v/>
      </c>
      <c r="Q3240" s="9">
        <f>I3240+O3240</f>
        <v/>
      </c>
      <c r="R3240" s="7">
        <f>Q3240*G3240</f>
        <v/>
      </c>
      <c r="S3240" s="8">
        <f>IF($R$3256=0,0,R3240/$R$3256)</f>
        <v/>
      </c>
      <c r="T3240" s="8" t="n">
        <v>0.01199690992130042</v>
      </c>
      <c r="U3240" s="8" t="n">
        <v>-0.006604565681616936</v>
      </c>
      <c r="V3240" s="6" t="inlineStr">
        <is>
          <t>not selected</t>
        </is>
      </c>
    </row>
    <row r="3241">
      <c r="A3241" s="6" t="inlineStr">
        <is>
          <t>DJ30</t>
        </is>
      </c>
      <c r="B3241" s="6" t="inlineStr">
        <is>
          <t>2025-01-03</t>
        </is>
      </c>
      <c r="C3241" s="6" t="inlineStr">
        <is>
          <t>DIA</t>
        </is>
      </c>
      <c r="D3241" s="6" t="inlineStr">
        <is>
          <t>JPM</t>
        </is>
      </c>
      <c r="E3241" s="6" t="inlineStr">
        <is>
          <t>JPM</t>
        </is>
      </c>
      <c r="F3241" s="6" t="inlineStr">
        <is>
          <t>-</t>
        </is>
      </c>
      <c r="G3241" s="7" t="n">
        <v>235.9593963623047</v>
      </c>
      <c r="H3241" s="6">
        <f>P3210</f>
        <v/>
      </c>
      <c r="I3241" s="9">
        <f>Q3210</f>
        <v/>
      </c>
      <c r="J3241" s="7">
        <f>I3241*G3241</f>
        <v/>
      </c>
      <c r="K3241" s="8">
        <f>IF($J$3256=0,0,J3241/$J$3256)</f>
        <v/>
      </c>
      <c r="L3241" s="6" t="inlineStr">
        <is>
          <t>WATCHLIST</t>
        </is>
      </c>
      <c r="M3241" s="8" t="n">
        <v>0</v>
      </c>
      <c r="N3241" s="7">
        <f>M3241*$J$3256-J3241</f>
        <v/>
      </c>
      <c r="O3241" s="9">
        <f>IF(G3241=0,0,N3241/G3241)</f>
        <v/>
      </c>
      <c r="P3241" s="6">
        <f>IF(M3241&gt;0,D3241,"")</f>
        <v/>
      </c>
      <c r="Q3241" s="9">
        <f>I3241+O3241</f>
        <v/>
      </c>
      <c r="R3241" s="7">
        <f>Q3241*G3241</f>
        <v/>
      </c>
      <c r="S3241" s="8">
        <f>IF($R$3256=0,0,R3241/$R$3256)</f>
        <v/>
      </c>
      <c r="T3241" s="8" t="n">
        <v>0.01199690992130042</v>
      </c>
      <c r="U3241" s="8" t="n">
        <v>-0.006604565681616936</v>
      </c>
      <c r="V3241" s="6" t="inlineStr">
        <is>
          <t>not selected</t>
        </is>
      </c>
    </row>
    <row r="3242">
      <c r="A3242" s="6" t="inlineStr">
        <is>
          <t>DJ30</t>
        </is>
      </c>
      <c r="B3242" s="6" t="inlineStr">
        <is>
          <t>2025-01-03</t>
        </is>
      </c>
      <c r="C3242" s="6" t="inlineStr">
        <is>
          <t>DIA</t>
        </is>
      </c>
      <c r="D3242" s="6" t="inlineStr">
        <is>
          <t>KO</t>
        </is>
      </c>
      <c r="E3242" s="6" t="inlineStr">
        <is>
          <t>KO</t>
        </is>
      </c>
      <c r="F3242" s="6" t="inlineStr">
        <is>
          <t>-</t>
        </is>
      </c>
      <c r="G3242" s="7" t="n">
        <v>59.18863296508789</v>
      </c>
      <c r="H3242" s="6">
        <f>P3211</f>
        <v/>
      </c>
      <c r="I3242" s="9">
        <f>Q3211</f>
        <v/>
      </c>
      <c r="J3242" s="7">
        <f>I3242*G3242</f>
        <v/>
      </c>
      <c r="K3242" s="8">
        <f>IF($J$3256=0,0,J3242/$J$3256)</f>
        <v/>
      </c>
      <c r="L3242" s="6" t="inlineStr">
        <is>
          <t>WATCHLIST</t>
        </is>
      </c>
      <c r="M3242" s="8" t="n">
        <v>0</v>
      </c>
      <c r="N3242" s="7">
        <f>M3242*$J$3256-J3242</f>
        <v/>
      </c>
      <c r="O3242" s="9">
        <f>IF(G3242=0,0,N3242/G3242)</f>
        <v/>
      </c>
      <c r="P3242" s="6">
        <f>IF(M3242&gt;0,D3242,"")</f>
        <v/>
      </c>
      <c r="Q3242" s="9">
        <f>I3242+O3242</f>
        <v/>
      </c>
      <c r="R3242" s="7">
        <f>Q3242*G3242</f>
        <v/>
      </c>
      <c r="S3242" s="8">
        <f>IF($R$3256=0,0,R3242/$R$3256)</f>
        <v/>
      </c>
      <c r="T3242" s="8" t="n">
        <v>0.01199690992130042</v>
      </c>
      <c r="U3242" s="8" t="n">
        <v>-0.006604565681616936</v>
      </c>
      <c r="V3242" s="6" t="inlineStr">
        <is>
          <t>not selected</t>
        </is>
      </c>
    </row>
    <row r="3243">
      <c r="A3243" s="6" t="inlineStr">
        <is>
          <t>DJ30</t>
        </is>
      </c>
      <c r="B3243" s="6" t="inlineStr">
        <is>
          <t>2025-01-03</t>
        </is>
      </c>
      <c r="C3243" s="6" t="inlineStr">
        <is>
          <t>DIA</t>
        </is>
      </c>
      <c r="D3243" s="6" t="inlineStr">
        <is>
          <t>MCD</t>
        </is>
      </c>
      <c r="E3243" s="6" t="inlineStr">
        <is>
          <t>MCD</t>
        </is>
      </c>
      <c r="F3243" s="6" t="inlineStr">
        <is>
          <t>-</t>
        </is>
      </c>
      <c r="G3243" s="7" t="n">
        <v>284.5311279296875</v>
      </c>
      <c r="H3243" s="6">
        <f>P3212</f>
        <v/>
      </c>
      <c r="I3243" s="9">
        <f>Q3212</f>
        <v/>
      </c>
      <c r="J3243" s="7">
        <f>I3243*G3243</f>
        <v/>
      </c>
      <c r="K3243" s="8">
        <f>IF($J$3256=0,0,J3243/$J$3256)</f>
        <v/>
      </c>
      <c r="L3243" s="6" t="inlineStr">
        <is>
          <t>REJECTED</t>
        </is>
      </c>
      <c r="M3243" s="8" t="n">
        <v>0</v>
      </c>
      <c r="N3243" s="7">
        <f>M3243*$J$3256-J3243</f>
        <v/>
      </c>
      <c r="O3243" s="9">
        <f>IF(G3243=0,0,N3243/G3243)</f>
        <v/>
      </c>
      <c r="P3243" s="6">
        <f>IF(M3243&gt;0,D3243,"")</f>
        <v/>
      </c>
      <c r="Q3243" s="9">
        <f>I3243+O3243</f>
        <v/>
      </c>
      <c r="R3243" s="7">
        <f>Q3243*G3243</f>
        <v/>
      </c>
      <c r="S3243" s="8">
        <f>IF($R$3256=0,0,R3243/$R$3256)</f>
        <v/>
      </c>
      <c r="T3243" s="8" t="n">
        <v>0.01199690992130042</v>
      </c>
      <c r="U3243" s="8" t="n">
        <v>-0.006604565681616936</v>
      </c>
      <c r="V3243" s="6" t="inlineStr">
        <is>
          <t>not selected</t>
        </is>
      </c>
    </row>
    <row r="3244">
      <c r="A3244" s="6" t="inlineStr">
        <is>
          <t>DJ30</t>
        </is>
      </c>
      <c r="B3244" s="6" t="inlineStr">
        <is>
          <t>2025-01-03</t>
        </is>
      </c>
      <c r="C3244" s="6" t="inlineStr">
        <is>
          <t>DIA</t>
        </is>
      </c>
      <c r="D3244" s="6" t="inlineStr">
        <is>
          <t>MMM</t>
        </is>
      </c>
      <c r="E3244" s="6" t="inlineStr">
        <is>
          <t>MMM</t>
        </is>
      </c>
      <c r="F3244" s="6" t="inlineStr">
        <is>
          <t>-</t>
        </is>
      </c>
      <c r="G3244" s="7" t="n">
        <v>126.2412109375</v>
      </c>
      <c r="H3244" s="6">
        <f>P3213</f>
        <v/>
      </c>
      <c r="I3244" s="9">
        <f>Q3213</f>
        <v/>
      </c>
      <c r="J3244" s="7">
        <f>I3244*G3244</f>
        <v/>
      </c>
      <c r="K3244" s="8">
        <f>IF($J$3256=0,0,J3244/$J$3256)</f>
        <v/>
      </c>
      <c r="L3244" s="6" t="inlineStr">
        <is>
          <t>SELECTED</t>
        </is>
      </c>
      <c r="M3244" s="8" t="n">
        <v>0.2</v>
      </c>
      <c r="N3244" s="7">
        <f>M3244*$J$3256-J3244</f>
        <v/>
      </c>
      <c r="O3244" s="9">
        <f>IF(G3244=0,0,N3244/G3244)</f>
        <v/>
      </c>
      <c r="P3244" s="6">
        <f>IF(M3244&gt;0,D3244,"")</f>
        <v/>
      </c>
      <c r="Q3244" s="9">
        <f>I3244+O3244</f>
        <v/>
      </c>
      <c r="R3244" s="7">
        <f>Q3244*G3244</f>
        <v/>
      </c>
      <c r="S3244" s="8">
        <f>IF($R$3256=0,0,R3244/$R$3256)</f>
        <v/>
      </c>
      <c r="T3244" s="8" t="n">
        <v>0.01199690992130042</v>
      </c>
      <c r="U3244" s="8" t="n">
        <v>-0.006604565681616936</v>
      </c>
      <c r="V3244" s="6" t="inlineStr">
        <is>
          <t>remained in weekly selection</t>
        </is>
      </c>
    </row>
    <row r="3245">
      <c r="A3245" s="6" t="inlineStr">
        <is>
          <t>DJ30</t>
        </is>
      </c>
      <c r="B3245" s="6" t="inlineStr">
        <is>
          <t>2025-01-03</t>
        </is>
      </c>
      <c r="C3245" s="6" t="inlineStr">
        <is>
          <t>DIA</t>
        </is>
      </c>
      <c r="D3245" s="6" t="inlineStr">
        <is>
          <t>MRK</t>
        </is>
      </c>
      <c r="E3245" s="6" t="inlineStr">
        <is>
          <t>MRK</t>
        </is>
      </c>
      <c r="F3245" s="6" t="inlineStr">
        <is>
          <t>-</t>
        </is>
      </c>
      <c r="G3245" s="7" t="n">
        <v>94.16826629638672</v>
      </c>
      <c r="H3245" s="6">
        <f>P3214</f>
        <v/>
      </c>
      <c r="I3245" s="9">
        <f>Q3214</f>
        <v/>
      </c>
      <c r="J3245" s="7">
        <f>I3245*G3245</f>
        <v/>
      </c>
      <c r="K3245" s="8">
        <f>IF($J$3256=0,0,J3245/$J$3256)</f>
        <v/>
      </c>
      <c r="L3245" s="6" t="inlineStr">
        <is>
          <t>REJECTED</t>
        </is>
      </c>
      <c r="M3245" s="8" t="n">
        <v>0</v>
      </c>
      <c r="N3245" s="7">
        <f>M3245*$J$3256-J3245</f>
        <v/>
      </c>
      <c r="O3245" s="9">
        <f>IF(G3245=0,0,N3245/G3245)</f>
        <v/>
      </c>
      <c r="P3245" s="6">
        <f>IF(M3245&gt;0,D3245,"")</f>
        <v/>
      </c>
      <c r="Q3245" s="9">
        <f>I3245+O3245</f>
        <v/>
      </c>
      <c r="R3245" s="7">
        <f>Q3245*G3245</f>
        <v/>
      </c>
      <c r="S3245" s="8">
        <f>IF($R$3256=0,0,R3245/$R$3256)</f>
        <v/>
      </c>
      <c r="T3245" s="8" t="n">
        <v>0.01199690992130042</v>
      </c>
      <c r="U3245" s="8" t="n">
        <v>-0.006604565681616936</v>
      </c>
      <c r="V3245" s="6" t="inlineStr">
        <is>
          <t>not selected</t>
        </is>
      </c>
    </row>
    <row r="3246">
      <c r="A3246" s="6" t="inlineStr">
        <is>
          <t>DJ30</t>
        </is>
      </c>
      <c r="B3246" s="6" t="inlineStr">
        <is>
          <t>2025-01-03</t>
        </is>
      </c>
      <c r="C3246" s="6" t="inlineStr">
        <is>
          <t>DIA</t>
        </is>
      </c>
      <c r="D3246" s="6" t="inlineStr">
        <is>
          <t>MSFT</t>
        </is>
      </c>
      <c r="E3246" s="6" t="inlineStr">
        <is>
          <t>MSFT</t>
        </is>
      </c>
      <c r="F3246" s="6" t="inlineStr">
        <is>
          <t>-</t>
        </is>
      </c>
      <c r="G3246" s="7" t="n">
        <v>418.38671875</v>
      </c>
      <c r="H3246" s="6">
        <f>P3215</f>
        <v/>
      </c>
      <c r="I3246" s="9">
        <f>Q3215</f>
        <v/>
      </c>
      <c r="J3246" s="7">
        <f>I3246*G3246</f>
        <v/>
      </c>
      <c r="K3246" s="8">
        <f>IF($J$3256=0,0,J3246/$J$3256)</f>
        <v/>
      </c>
      <c r="L3246" s="6" t="inlineStr">
        <is>
          <t>REJECTED</t>
        </is>
      </c>
      <c r="M3246" s="8" t="n">
        <v>0</v>
      </c>
      <c r="N3246" s="7">
        <f>M3246*$J$3256-J3246</f>
        <v/>
      </c>
      <c r="O3246" s="9">
        <f>IF(G3246=0,0,N3246/G3246)</f>
        <v/>
      </c>
      <c r="P3246" s="6">
        <f>IF(M3246&gt;0,D3246,"")</f>
        <v/>
      </c>
      <c r="Q3246" s="9">
        <f>I3246+O3246</f>
        <v/>
      </c>
      <c r="R3246" s="7">
        <f>Q3246*G3246</f>
        <v/>
      </c>
      <c r="S3246" s="8">
        <f>IF($R$3256=0,0,R3246/$R$3256)</f>
        <v/>
      </c>
      <c r="T3246" s="8" t="n">
        <v>0.01199690992130042</v>
      </c>
      <c r="U3246" s="8" t="n">
        <v>-0.006604565681616936</v>
      </c>
      <c r="V3246" s="6" t="inlineStr">
        <is>
          <t>not selected</t>
        </is>
      </c>
    </row>
    <row r="3247">
      <c r="A3247" s="6" t="inlineStr">
        <is>
          <t>DJ30</t>
        </is>
      </c>
      <c r="B3247" s="6" t="inlineStr">
        <is>
          <t>2025-01-03</t>
        </is>
      </c>
      <c r="C3247" s="6" t="inlineStr">
        <is>
          <t>DIA</t>
        </is>
      </c>
      <c r="D3247" s="6" t="inlineStr">
        <is>
          <t>NKE</t>
        </is>
      </c>
      <c r="E3247" s="6" t="inlineStr">
        <is>
          <t>NKE</t>
        </is>
      </c>
      <c r="F3247" s="6" t="inlineStr">
        <is>
          <t>-</t>
        </is>
      </c>
      <c r="G3247" s="7" t="n">
        <v>70.52403259277344</v>
      </c>
      <c r="H3247" s="6">
        <f>P3216</f>
        <v/>
      </c>
      <c r="I3247" s="9">
        <f>Q3216</f>
        <v/>
      </c>
      <c r="J3247" s="7">
        <f>I3247*G3247</f>
        <v/>
      </c>
      <c r="K3247" s="8">
        <f>IF($J$3256=0,0,J3247/$J$3256)</f>
        <v/>
      </c>
      <c r="L3247" s="6" t="inlineStr">
        <is>
          <t>REJECTED</t>
        </is>
      </c>
      <c r="M3247" s="8" t="n">
        <v>0</v>
      </c>
      <c r="N3247" s="7">
        <f>M3247*$J$3256-J3247</f>
        <v/>
      </c>
      <c r="O3247" s="9">
        <f>IF(G3247=0,0,N3247/G3247)</f>
        <v/>
      </c>
      <c r="P3247" s="6">
        <f>IF(M3247&gt;0,D3247,"")</f>
        <v/>
      </c>
      <c r="Q3247" s="9">
        <f>I3247+O3247</f>
        <v/>
      </c>
      <c r="R3247" s="7">
        <f>Q3247*G3247</f>
        <v/>
      </c>
      <c r="S3247" s="8">
        <f>IF($R$3256=0,0,R3247/$R$3256)</f>
        <v/>
      </c>
      <c r="T3247" s="8" t="n">
        <v>0.01199690992130042</v>
      </c>
      <c r="U3247" s="8" t="n">
        <v>-0.006604565681616936</v>
      </c>
      <c r="V3247" s="6" t="inlineStr">
        <is>
          <t>not selected</t>
        </is>
      </c>
    </row>
    <row r="3248">
      <c r="A3248" s="6" t="inlineStr">
        <is>
          <t>DJ30</t>
        </is>
      </c>
      <c r="B3248" s="6" t="inlineStr">
        <is>
          <t>2025-01-03</t>
        </is>
      </c>
      <c r="C3248" s="6" t="inlineStr">
        <is>
          <t>DIA</t>
        </is>
      </c>
      <c r="D3248" s="6" t="inlineStr">
        <is>
          <t>NVDA</t>
        </is>
      </c>
      <c r="E3248" s="6" t="inlineStr">
        <is>
          <t>NVDA</t>
        </is>
      </c>
      <c r="F3248" s="6" t="inlineStr">
        <is>
          <t>-</t>
        </is>
      </c>
      <c r="G3248" s="7" t="n">
        <v>144.2545471191406</v>
      </c>
      <c r="H3248" s="6">
        <f>P3217</f>
        <v/>
      </c>
      <c r="I3248" s="9">
        <f>Q3217</f>
        <v/>
      </c>
      <c r="J3248" s="7">
        <f>I3248*G3248</f>
        <v/>
      </c>
      <c r="K3248" s="8">
        <f>IF($J$3256=0,0,J3248/$J$3256)</f>
        <v/>
      </c>
      <c r="L3248" s="6" t="inlineStr">
        <is>
          <t>SELECTED</t>
        </is>
      </c>
      <c r="M3248" s="8" t="n">
        <v>0.2</v>
      </c>
      <c r="N3248" s="7">
        <f>M3248*$J$3256-J3248</f>
        <v/>
      </c>
      <c r="O3248" s="9">
        <f>IF(G3248=0,0,N3248/G3248)</f>
        <v/>
      </c>
      <c r="P3248" s="6">
        <f>IF(M3248&gt;0,D3248,"")</f>
        <v/>
      </c>
      <c r="Q3248" s="9">
        <f>I3248+O3248</f>
        <v/>
      </c>
      <c r="R3248" s="7">
        <f>Q3248*G3248</f>
        <v/>
      </c>
      <c r="S3248" s="8">
        <f>IF($R$3256=0,0,R3248/$R$3256)</f>
        <v/>
      </c>
      <c r="T3248" s="8" t="n">
        <v>0.01199690992130042</v>
      </c>
      <c r="U3248" s="8" t="n">
        <v>-0.006604565681616936</v>
      </c>
      <c r="V3248" s="6" t="inlineStr">
        <is>
          <t>remained in weekly selection</t>
        </is>
      </c>
    </row>
    <row r="3249">
      <c r="A3249" s="6" t="inlineStr">
        <is>
          <t>DJ30</t>
        </is>
      </c>
      <c r="B3249" s="6" t="inlineStr">
        <is>
          <t>2025-01-03</t>
        </is>
      </c>
      <c r="C3249" s="6" t="inlineStr">
        <is>
          <t>DIA</t>
        </is>
      </c>
      <c r="D3249" s="6" t="inlineStr">
        <is>
          <t>PG</t>
        </is>
      </c>
      <c r="E3249" s="6" t="inlineStr">
        <is>
          <t>PG</t>
        </is>
      </c>
      <c r="F3249" s="6" t="inlineStr">
        <is>
          <t>-</t>
        </is>
      </c>
      <c r="G3249" s="7" t="n">
        <v>158.5514526367188</v>
      </c>
      <c r="H3249" s="6">
        <f>P3218</f>
        <v/>
      </c>
      <c r="I3249" s="9">
        <f>Q3218</f>
        <v/>
      </c>
      <c r="J3249" s="7">
        <f>I3249*G3249</f>
        <v/>
      </c>
      <c r="K3249" s="8">
        <f>IF($J$3256=0,0,J3249/$J$3256)</f>
        <v/>
      </c>
      <c r="L3249" s="6" t="inlineStr">
        <is>
          <t>WATCHLIST</t>
        </is>
      </c>
      <c r="M3249" s="8" t="n">
        <v>0</v>
      </c>
      <c r="N3249" s="7">
        <f>M3249*$J$3256-J3249</f>
        <v/>
      </c>
      <c r="O3249" s="9">
        <f>IF(G3249=0,0,N3249/G3249)</f>
        <v/>
      </c>
      <c r="P3249" s="6">
        <f>IF(M3249&gt;0,D3249,"")</f>
        <v/>
      </c>
      <c r="Q3249" s="9">
        <f>I3249+O3249</f>
        <v/>
      </c>
      <c r="R3249" s="7">
        <f>Q3249*G3249</f>
        <v/>
      </c>
      <c r="S3249" s="8">
        <f>IF($R$3256=0,0,R3249/$R$3256)</f>
        <v/>
      </c>
      <c r="T3249" s="8" t="n">
        <v>0.01199690992130042</v>
      </c>
      <c r="U3249" s="8" t="n">
        <v>-0.006604565681616936</v>
      </c>
      <c r="V3249" s="6" t="inlineStr">
        <is>
          <t>not selected</t>
        </is>
      </c>
    </row>
    <row r="3250">
      <c r="A3250" s="6" t="inlineStr">
        <is>
          <t>DJ30</t>
        </is>
      </c>
      <c r="B3250" s="6" t="inlineStr">
        <is>
          <t>2025-01-03</t>
        </is>
      </c>
      <c r="C3250" s="6" t="inlineStr">
        <is>
          <t>DIA</t>
        </is>
      </c>
      <c r="D3250" s="6" t="inlineStr">
        <is>
          <t>SHW</t>
        </is>
      </c>
      <c r="E3250" s="6" t="inlineStr">
        <is>
          <t>SHW</t>
        </is>
      </c>
      <c r="F3250" s="6" t="inlineStr">
        <is>
          <t>-</t>
        </is>
      </c>
      <c r="G3250" s="7" t="n">
        <v>331.9718322753906</v>
      </c>
      <c r="H3250" s="6">
        <f>P3219</f>
        <v/>
      </c>
      <c r="I3250" s="9">
        <f>Q3219</f>
        <v/>
      </c>
      <c r="J3250" s="7">
        <f>I3250*G3250</f>
        <v/>
      </c>
      <c r="K3250" s="8">
        <f>IF($J$3256=0,0,J3250/$J$3256)</f>
        <v/>
      </c>
      <c r="L3250" s="6" t="inlineStr">
        <is>
          <t>WATCHLIST</t>
        </is>
      </c>
      <c r="M3250" s="8" t="n">
        <v>0</v>
      </c>
      <c r="N3250" s="7">
        <f>M3250*$J$3256-J3250</f>
        <v/>
      </c>
      <c r="O3250" s="9">
        <f>IF(G3250=0,0,N3250/G3250)</f>
        <v/>
      </c>
      <c r="P3250" s="6">
        <f>IF(M3250&gt;0,D3250,"")</f>
        <v/>
      </c>
      <c r="Q3250" s="9">
        <f>I3250+O3250</f>
        <v/>
      </c>
      <c r="R3250" s="7">
        <f>Q3250*G3250</f>
        <v/>
      </c>
      <c r="S3250" s="8">
        <f>IF($R$3256=0,0,R3250/$R$3256)</f>
        <v/>
      </c>
      <c r="T3250" s="8" t="n">
        <v>0.01199690992130042</v>
      </c>
      <c r="U3250" s="8" t="n">
        <v>-0.006604565681616936</v>
      </c>
      <c r="V3250" s="6" t="inlineStr">
        <is>
          <t>not selected</t>
        </is>
      </c>
    </row>
    <row r="3251">
      <c r="A3251" s="6" t="inlineStr">
        <is>
          <t>DJ30</t>
        </is>
      </c>
      <c r="B3251" s="6" t="inlineStr">
        <is>
          <t>2025-01-03</t>
        </is>
      </c>
      <c r="C3251" s="6" t="inlineStr">
        <is>
          <t>DIA</t>
        </is>
      </c>
      <c r="D3251" s="6" t="inlineStr">
        <is>
          <t>TRV</t>
        </is>
      </c>
      <c r="E3251" s="6" t="inlineStr">
        <is>
          <t>TRV</t>
        </is>
      </c>
      <c r="F3251" s="6" t="inlineStr">
        <is>
          <t>-</t>
        </is>
      </c>
      <c r="G3251" s="7" t="n">
        <v>236.5482177734375</v>
      </c>
      <c r="H3251" s="6">
        <f>P3220</f>
        <v/>
      </c>
      <c r="I3251" s="9">
        <f>Q3220</f>
        <v/>
      </c>
      <c r="J3251" s="7">
        <f>I3251*G3251</f>
        <v/>
      </c>
      <c r="K3251" s="8">
        <f>IF($J$3256=0,0,J3251/$J$3256)</f>
        <v/>
      </c>
      <c r="L3251" s="6" t="inlineStr">
        <is>
          <t>WATCHLIST</t>
        </is>
      </c>
      <c r="M3251" s="8" t="n">
        <v>0</v>
      </c>
      <c r="N3251" s="7">
        <f>M3251*$J$3256-J3251</f>
        <v/>
      </c>
      <c r="O3251" s="9">
        <f>IF(G3251=0,0,N3251/G3251)</f>
        <v/>
      </c>
      <c r="P3251" s="6">
        <f>IF(M3251&gt;0,D3251,"")</f>
        <v/>
      </c>
      <c r="Q3251" s="9">
        <f>I3251+O3251</f>
        <v/>
      </c>
      <c r="R3251" s="7">
        <f>Q3251*G3251</f>
        <v/>
      </c>
      <c r="S3251" s="8">
        <f>IF($R$3256=0,0,R3251/$R$3256)</f>
        <v/>
      </c>
      <c r="T3251" s="8" t="n">
        <v>0.01199690992130042</v>
      </c>
      <c r="U3251" s="8" t="n">
        <v>-0.006604565681616936</v>
      </c>
      <c r="V3251" s="6" t="inlineStr">
        <is>
          <t>removed from weekly selection</t>
        </is>
      </c>
    </row>
    <row r="3252">
      <c r="A3252" s="6" t="inlineStr">
        <is>
          <t>DJ30</t>
        </is>
      </c>
      <c r="B3252" s="6" t="inlineStr">
        <is>
          <t>2025-01-03</t>
        </is>
      </c>
      <c r="C3252" s="6" t="inlineStr">
        <is>
          <t>DIA</t>
        </is>
      </c>
      <c r="D3252" s="6" t="inlineStr">
        <is>
          <t>UNH</t>
        </is>
      </c>
      <c r="E3252" s="6" t="inlineStr">
        <is>
          <t>UNH</t>
        </is>
      </c>
      <c r="F3252" s="6" t="inlineStr">
        <is>
          <t>-</t>
        </is>
      </c>
      <c r="G3252" s="7" t="n">
        <v>493.9864196777344</v>
      </c>
      <c r="H3252" s="6">
        <f>P3221</f>
        <v/>
      </c>
      <c r="I3252" s="9">
        <f>Q3221</f>
        <v/>
      </c>
      <c r="J3252" s="7">
        <f>I3252*G3252</f>
        <v/>
      </c>
      <c r="K3252" s="8">
        <f>IF($J$3256=0,0,J3252/$J$3256)</f>
        <v/>
      </c>
      <c r="L3252" s="6" t="inlineStr">
        <is>
          <t>WATCHLIST</t>
        </is>
      </c>
      <c r="M3252" s="8" t="n">
        <v>0</v>
      </c>
      <c r="N3252" s="7">
        <f>M3252*$J$3256-J3252</f>
        <v/>
      </c>
      <c r="O3252" s="9">
        <f>IF(G3252=0,0,N3252/G3252)</f>
        <v/>
      </c>
      <c r="P3252" s="6">
        <f>IF(M3252&gt;0,D3252,"")</f>
        <v/>
      </c>
      <c r="Q3252" s="9">
        <f>I3252+O3252</f>
        <v/>
      </c>
      <c r="R3252" s="7">
        <f>Q3252*G3252</f>
        <v/>
      </c>
      <c r="S3252" s="8">
        <f>IF($R$3256=0,0,R3252/$R$3256)</f>
        <v/>
      </c>
      <c r="T3252" s="8" t="n">
        <v>0.01199690992130042</v>
      </c>
      <c r="U3252" s="8" t="n">
        <v>-0.006604565681616936</v>
      </c>
      <c r="V3252" s="6" t="inlineStr">
        <is>
          <t>not selected</t>
        </is>
      </c>
    </row>
    <row r="3253">
      <c r="A3253" s="6" t="inlineStr">
        <is>
          <t>DJ30</t>
        </is>
      </c>
      <c r="B3253" s="6" t="inlineStr">
        <is>
          <t>2025-01-03</t>
        </is>
      </c>
      <c r="C3253" s="6" t="inlineStr">
        <is>
          <t>DIA</t>
        </is>
      </c>
      <c r="D3253" s="6" t="inlineStr">
        <is>
          <t>V</t>
        </is>
      </c>
      <c r="E3253" s="6" t="inlineStr">
        <is>
          <t>V</t>
        </is>
      </c>
      <c r="F3253" s="6" t="inlineStr">
        <is>
          <t>-</t>
        </is>
      </c>
      <c r="G3253" s="7" t="n">
        <v>311.4000549316406</v>
      </c>
      <c r="H3253" s="6">
        <f>P3222</f>
        <v/>
      </c>
      <c r="I3253" s="9">
        <f>Q3222</f>
        <v/>
      </c>
      <c r="J3253" s="7">
        <f>I3253*G3253</f>
        <v/>
      </c>
      <c r="K3253" s="8">
        <f>IF($J$3256=0,0,J3253/$J$3256)</f>
        <v/>
      </c>
      <c r="L3253" s="6" t="inlineStr">
        <is>
          <t>WATCHLIST</t>
        </is>
      </c>
      <c r="M3253" s="8" t="n">
        <v>0</v>
      </c>
      <c r="N3253" s="7">
        <f>M3253*$J$3256-J3253</f>
        <v/>
      </c>
      <c r="O3253" s="9">
        <f>IF(G3253=0,0,N3253/G3253)</f>
        <v/>
      </c>
      <c r="P3253" s="6">
        <f>IF(M3253&gt;0,D3253,"")</f>
        <v/>
      </c>
      <c r="Q3253" s="9">
        <f>I3253+O3253</f>
        <v/>
      </c>
      <c r="R3253" s="7">
        <f>Q3253*G3253</f>
        <v/>
      </c>
      <c r="S3253" s="8">
        <f>IF($R$3256=0,0,R3253/$R$3256)</f>
        <v/>
      </c>
      <c r="T3253" s="8" t="n">
        <v>0.01199690992130042</v>
      </c>
      <c r="U3253" s="8" t="n">
        <v>-0.006604565681616936</v>
      </c>
      <c r="V3253" s="6" t="inlineStr">
        <is>
          <t>not selected</t>
        </is>
      </c>
    </row>
    <row r="3254">
      <c r="A3254" s="6" t="inlineStr">
        <is>
          <t>DJ30</t>
        </is>
      </c>
      <c r="B3254" s="6" t="inlineStr">
        <is>
          <t>2025-01-03</t>
        </is>
      </c>
      <c r="C3254" s="6" t="inlineStr">
        <is>
          <t>DIA</t>
        </is>
      </c>
      <c r="D3254" s="6" t="inlineStr">
        <is>
          <t>VZ</t>
        </is>
      </c>
      <c r="E3254" s="6" t="inlineStr">
        <is>
          <t>VZ</t>
        </is>
      </c>
      <c r="F3254" s="6" t="inlineStr">
        <is>
          <t>-</t>
        </is>
      </c>
      <c r="G3254" s="7" t="n">
        <v>36.4756965637207</v>
      </c>
      <c r="H3254" s="6">
        <f>P3223</f>
        <v/>
      </c>
      <c r="I3254" s="9">
        <f>Q3223</f>
        <v/>
      </c>
      <c r="J3254" s="7">
        <f>I3254*G3254</f>
        <v/>
      </c>
      <c r="K3254" s="8">
        <f>IF($J$3256=0,0,J3254/$J$3256)</f>
        <v/>
      </c>
      <c r="L3254" s="6" t="inlineStr">
        <is>
          <t>WATCHLIST</t>
        </is>
      </c>
      <c r="M3254" s="8" t="n">
        <v>0</v>
      </c>
      <c r="N3254" s="7">
        <f>M3254*$J$3256-J3254</f>
        <v/>
      </c>
      <c r="O3254" s="9">
        <f>IF(G3254=0,0,N3254/G3254)</f>
        <v/>
      </c>
      <c r="P3254" s="6">
        <f>IF(M3254&gt;0,D3254,"")</f>
        <v/>
      </c>
      <c r="Q3254" s="9">
        <f>I3254+O3254</f>
        <v/>
      </c>
      <c r="R3254" s="7">
        <f>Q3254*G3254</f>
        <v/>
      </c>
      <c r="S3254" s="8">
        <f>IF($R$3256=0,0,R3254/$R$3256)</f>
        <v/>
      </c>
      <c r="T3254" s="8" t="n">
        <v>0.01199690992130042</v>
      </c>
      <c r="U3254" s="8" t="n">
        <v>-0.006604565681616936</v>
      </c>
      <c r="V3254" s="6" t="inlineStr">
        <is>
          <t>not selected</t>
        </is>
      </c>
    </row>
    <row r="3255">
      <c r="A3255" s="6" t="inlineStr">
        <is>
          <t>DJ30</t>
        </is>
      </c>
      <c r="B3255" s="6" t="inlineStr">
        <is>
          <t>2025-01-03</t>
        </is>
      </c>
      <c r="C3255" s="6" t="inlineStr">
        <is>
          <t>DIA</t>
        </is>
      </c>
      <c r="D3255" s="6" t="inlineStr">
        <is>
          <t>WMT</t>
        </is>
      </c>
      <c r="E3255" s="6" t="inlineStr">
        <is>
          <t>WMT</t>
        </is>
      </c>
      <c r="F3255" s="6" t="inlineStr">
        <is>
          <t>-</t>
        </is>
      </c>
      <c r="G3255" s="7" t="n">
        <v>89.56420135498047</v>
      </c>
      <c r="H3255" s="6">
        <f>P3224</f>
        <v/>
      </c>
      <c r="I3255" s="9">
        <f>Q3224</f>
        <v/>
      </c>
      <c r="J3255" s="7">
        <f>I3255*G3255</f>
        <v/>
      </c>
      <c r="K3255" s="8">
        <f>IF($J$3256=0,0,J3255/$J$3256)</f>
        <v/>
      </c>
      <c r="L3255" s="6" t="inlineStr">
        <is>
          <t>WATCHLIST</t>
        </is>
      </c>
      <c r="M3255" s="8" t="n">
        <v>0</v>
      </c>
      <c r="N3255" s="7">
        <f>M3255*$J$3256-J3255</f>
        <v/>
      </c>
      <c r="O3255" s="9">
        <f>IF(G3255=0,0,N3255/G3255)</f>
        <v/>
      </c>
      <c r="P3255" s="6">
        <f>IF(M3255&gt;0,D3255,"")</f>
        <v/>
      </c>
      <c r="Q3255" s="9">
        <f>I3255+O3255</f>
        <v/>
      </c>
      <c r="R3255" s="7">
        <f>Q3255*G3255</f>
        <v/>
      </c>
      <c r="S3255" s="8">
        <f>IF($R$3256=0,0,R3255/$R$3256)</f>
        <v/>
      </c>
      <c r="T3255" s="8" t="n">
        <v>0.01199690992130042</v>
      </c>
      <c r="U3255" s="8" t="n">
        <v>-0.006604565681616936</v>
      </c>
      <c r="V3255" s="6" t="inlineStr">
        <is>
          <t>not selected</t>
        </is>
      </c>
    </row>
    <row r="3256">
      <c r="A3256" s="10" t="inlineStr">
        <is>
          <t>DJ30</t>
        </is>
      </c>
      <c r="B3256" s="10" t="inlineStr">
        <is>
          <t>2025-01-03</t>
        </is>
      </c>
      <c r="C3256" s="10" t="inlineStr">
        <is>
          <t>DIA</t>
        </is>
      </c>
      <c r="D3256" s="10" t="inlineStr">
        <is>
          <t>Tot Portfolio</t>
        </is>
      </c>
      <c r="E3256" s="10" t="inlineStr"/>
      <c r="F3256" s="10" t="inlineStr"/>
      <c r="G3256" s="11" t="inlineStr"/>
      <c r="H3256" s="10" t="inlineStr"/>
      <c r="I3256" s="12" t="inlineStr"/>
      <c r="J3256" s="11">
        <f>SUM(J3226:J3255)</f>
        <v/>
      </c>
      <c r="K3256" s="13">
        <f>SUM(K3226:K3255)</f>
        <v/>
      </c>
      <c r="L3256" s="10" t="inlineStr">
        <is>
          <t>TOTAL</t>
        </is>
      </c>
      <c r="M3256" s="13">
        <f>SUM(M3226:M3255)</f>
        <v/>
      </c>
      <c r="N3256" s="11">
        <f>SUM(N3226:N3255)</f>
        <v/>
      </c>
      <c r="O3256" s="12">
        <f>SUM(O3226:O3255)</f>
        <v/>
      </c>
      <c r="P3256" s="10" t="inlineStr"/>
      <c r="Q3256" s="12" t="inlineStr"/>
      <c r="R3256" s="11">
        <f>SUM(R3226:R3255)</f>
        <v/>
      </c>
      <c r="S3256" s="13">
        <f>SUM(S3226:S3255)</f>
        <v/>
      </c>
      <c r="T3256" s="13" t="n">
        <v>0.01199690992130042</v>
      </c>
      <c r="U3256" s="13" t="n">
        <v>-0.006604565681616936</v>
      </c>
      <c r="V3256" s="10" t="inlineStr"/>
    </row>
    <row r="3257">
      <c r="A3257" s="6" t="inlineStr">
        <is>
          <t>DJ30</t>
        </is>
      </c>
      <c r="B3257" s="6" t="inlineStr">
        <is>
          <t>2025-01-10</t>
        </is>
      </c>
      <c r="C3257" s="6" t="inlineStr">
        <is>
          <t>DIA</t>
        </is>
      </c>
      <c r="D3257" s="6" t="inlineStr">
        <is>
          <t>AAPL</t>
        </is>
      </c>
      <c r="E3257" s="6" t="inlineStr">
        <is>
          <t>AAPL</t>
        </is>
      </c>
      <c r="F3257" s="6" t="inlineStr">
        <is>
          <t>-</t>
        </is>
      </c>
      <c r="G3257" s="7" t="n">
        <v>235.3463592529297</v>
      </c>
      <c r="H3257" s="6">
        <f>P3226</f>
        <v/>
      </c>
      <c r="I3257" s="9">
        <f>Q3226</f>
        <v/>
      </c>
      <c r="J3257" s="7">
        <f>I3257*G3257</f>
        <v/>
      </c>
      <c r="K3257" s="8">
        <f>IF($J$3287=0,0,J3257/$J$3287)</f>
        <v/>
      </c>
      <c r="L3257" s="6" t="inlineStr">
        <is>
          <t>SELECTED</t>
        </is>
      </c>
      <c r="M3257" s="8" t="n">
        <v>0.2</v>
      </c>
      <c r="N3257" s="7">
        <f>M3257*$J$3287-J3257</f>
        <v/>
      </c>
      <c r="O3257" s="9">
        <f>IF(G3257=0,0,N3257/G3257)</f>
        <v/>
      </c>
      <c r="P3257" s="6">
        <f>IF(M3257&gt;0,D3257,"")</f>
        <v/>
      </c>
      <c r="Q3257" s="9">
        <f>I3257+O3257</f>
        <v/>
      </c>
      <c r="R3257" s="7">
        <f>Q3257*G3257</f>
        <v/>
      </c>
      <c r="S3257" s="8">
        <f>IF($R$3287=0,0,R3257/$R$3287)</f>
        <v/>
      </c>
      <c r="T3257" s="8" t="n">
        <v>-0.02468144965871744</v>
      </c>
      <c r="U3257" s="8" t="n">
        <v>-0.01833060589964897</v>
      </c>
      <c r="V3257" s="6" t="inlineStr">
        <is>
          <t>remained in weekly selection</t>
        </is>
      </c>
    </row>
    <row r="3258">
      <c r="A3258" s="6" t="inlineStr">
        <is>
          <t>DJ30</t>
        </is>
      </c>
      <c r="B3258" s="6" t="inlineStr">
        <is>
          <t>2025-01-10</t>
        </is>
      </c>
      <c r="C3258" s="6" t="inlineStr">
        <is>
          <t>DIA</t>
        </is>
      </c>
      <c r="D3258" s="6" t="inlineStr">
        <is>
          <t>AMGN</t>
        </is>
      </c>
      <c r="E3258" s="6" t="inlineStr">
        <is>
          <t>AMGN</t>
        </is>
      </c>
      <c r="F3258" s="6" t="inlineStr">
        <is>
          <t>-</t>
        </is>
      </c>
      <c r="G3258" s="7" t="n">
        <v>250.3254547119141</v>
      </c>
      <c r="H3258" s="6">
        <f>P3227</f>
        <v/>
      </c>
      <c r="I3258" s="9">
        <f>Q3227</f>
        <v/>
      </c>
      <c r="J3258" s="7">
        <f>I3258*G3258</f>
        <v/>
      </c>
      <c r="K3258" s="8">
        <f>IF($J$3287=0,0,J3258/$J$3287)</f>
        <v/>
      </c>
      <c r="L3258" s="6" t="inlineStr">
        <is>
          <t>REJECTED</t>
        </is>
      </c>
      <c r="M3258" s="8" t="n">
        <v>0</v>
      </c>
      <c r="N3258" s="7">
        <f>M3258*$J$3287-J3258</f>
        <v/>
      </c>
      <c r="O3258" s="9">
        <f>IF(G3258=0,0,N3258/G3258)</f>
        <v/>
      </c>
      <c r="P3258" s="6">
        <f>IF(M3258&gt;0,D3258,"")</f>
        <v/>
      </c>
      <c r="Q3258" s="9">
        <f>I3258+O3258</f>
        <v/>
      </c>
      <c r="R3258" s="7">
        <f>Q3258*G3258</f>
        <v/>
      </c>
      <c r="S3258" s="8">
        <f>IF($R$3287=0,0,R3258/$R$3287)</f>
        <v/>
      </c>
      <c r="T3258" s="8" t="n">
        <v>-0.02468144965871744</v>
      </c>
      <c r="U3258" s="8" t="n">
        <v>-0.01833060589964897</v>
      </c>
      <c r="V3258" s="6" t="inlineStr">
        <is>
          <t>not selected</t>
        </is>
      </c>
    </row>
    <row r="3259">
      <c r="A3259" s="6" t="inlineStr">
        <is>
          <t>DJ30</t>
        </is>
      </c>
      <c r="B3259" s="6" t="inlineStr">
        <is>
          <t>2025-01-10</t>
        </is>
      </c>
      <c r="C3259" s="6" t="inlineStr">
        <is>
          <t>DIA</t>
        </is>
      </c>
      <c r="D3259" s="6" t="inlineStr">
        <is>
          <t>AMZN</t>
        </is>
      </c>
      <c r="E3259" s="6" t="inlineStr">
        <is>
          <t>AMZN</t>
        </is>
      </c>
      <c r="F3259" s="6" t="inlineStr">
        <is>
          <t>-</t>
        </is>
      </c>
      <c r="G3259" s="7" t="n">
        <v>218.9400024414062</v>
      </c>
      <c r="H3259" s="6">
        <f>P3228</f>
        <v/>
      </c>
      <c r="I3259" s="9">
        <f>Q3228</f>
        <v/>
      </c>
      <c r="J3259" s="7">
        <f>I3259*G3259</f>
        <v/>
      </c>
      <c r="K3259" s="8">
        <f>IF($J$3287=0,0,J3259/$J$3287)</f>
        <v/>
      </c>
      <c r="L3259" s="6" t="inlineStr">
        <is>
          <t>WATCHLIST</t>
        </is>
      </c>
      <c r="M3259" s="8" t="n">
        <v>0</v>
      </c>
      <c r="N3259" s="7">
        <f>M3259*$J$3287-J3259</f>
        <v/>
      </c>
      <c r="O3259" s="9">
        <f>IF(G3259=0,0,N3259/G3259)</f>
        <v/>
      </c>
      <c r="P3259" s="6">
        <f>IF(M3259&gt;0,D3259,"")</f>
        <v/>
      </c>
      <c r="Q3259" s="9">
        <f>I3259+O3259</f>
        <v/>
      </c>
      <c r="R3259" s="7">
        <f>Q3259*G3259</f>
        <v/>
      </c>
      <c r="S3259" s="8">
        <f>IF($R$3287=0,0,R3259/$R$3287)</f>
        <v/>
      </c>
      <c r="T3259" s="8" t="n">
        <v>-0.02468144965871744</v>
      </c>
      <c r="U3259" s="8" t="n">
        <v>-0.01833060589964897</v>
      </c>
      <c r="V3259" s="6" t="inlineStr">
        <is>
          <t>not selected</t>
        </is>
      </c>
    </row>
    <row r="3260">
      <c r="A3260" s="6" t="inlineStr">
        <is>
          <t>DJ30</t>
        </is>
      </c>
      <c r="B3260" s="6" t="inlineStr">
        <is>
          <t>2025-01-10</t>
        </is>
      </c>
      <c r="C3260" s="6" t="inlineStr">
        <is>
          <t>DIA</t>
        </is>
      </c>
      <c r="D3260" s="6" t="inlineStr">
        <is>
          <t>AXP</t>
        </is>
      </c>
      <c r="E3260" s="6" t="inlineStr">
        <is>
          <t>AXP</t>
        </is>
      </c>
      <c r="F3260" s="6" t="inlineStr">
        <is>
          <t>-</t>
        </is>
      </c>
      <c r="G3260" s="7" t="n">
        <v>289.2970886230469</v>
      </c>
      <c r="H3260" s="6">
        <f>P3229</f>
        <v/>
      </c>
      <c r="I3260" s="9">
        <f>Q3229</f>
        <v/>
      </c>
      <c r="J3260" s="7">
        <f>I3260*G3260</f>
        <v/>
      </c>
      <c r="K3260" s="8">
        <f>IF($J$3287=0,0,J3260/$J$3287)</f>
        <v/>
      </c>
      <c r="L3260" s="6" t="inlineStr">
        <is>
          <t>WATCHLIST</t>
        </is>
      </c>
      <c r="M3260" s="8" t="n">
        <v>0</v>
      </c>
      <c r="N3260" s="7">
        <f>M3260*$J$3287-J3260</f>
        <v/>
      </c>
      <c r="O3260" s="9">
        <f>IF(G3260=0,0,N3260/G3260)</f>
        <v/>
      </c>
      <c r="P3260" s="6">
        <f>IF(M3260&gt;0,D3260,"")</f>
        <v/>
      </c>
      <c r="Q3260" s="9">
        <f>I3260+O3260</f>
        <v/>
      </c>
      <c r="R3260" s="7">
        <f>Q3260*G3260</f>
        <v/>
      </c>
      <c r="S3260" s="8">
        <f>IF($R$3287=0,0,R3260/$R$3287)</f>
        <v/>
      </c>
      <c r="T3260" s="8" t="n">
        <v>-0.02468144965871744</v>
      </c>
      <c r="U3260" s="8" t="n">
        <v>-0.01833060589964897</v>
      </c>
      <c r="V3260" s="6" t="inlineStr">
        <is>
          <t>not selected</t>
        </is>
      </c>
    </row>
    <row r="3261">
      <c r="A3261" s="6" t="inlineStr">
        <is>
          <t>DJ30</t>
        </is>
      </c>
      <c r="B3261" s="6" t="inlineStr">
        <is>
          <t>2025-01-10</t>
        </is>
      </c>
      <c r="C3261" s="6" t="inlineStr">
        <is>
          <t>DIA</t>
        </is>
      </c>
      <c r="D3261" s="6" t="inlineStr">
        <is>
          <t>BA</t>
        </is>
      </c>
      <c r="E3261" s="6" t="inlineStr">
        <is>
          <t>BA</t>
        </is>
      </c>
      <c r="F3261" s="6" t="inlineStr">
        <is>
          <t>-</t>
        </is>
      </c>
      <c r="G3261" s="7" t="n">
        <v>172</v>
      </c>
      <c r="H3261" s="6">
        <f>P3230</f>
        <v/>
      </c>
      <c r="I3261" s="9">
        <f>Q3230</f>
        <v/>
      </c>
      <c r="J3261" s="7">
        <f>I3261*G3261</f>
        <v/>
      </c>
      <c r="K3261" s="8">
        <f>IF($J$3287=0,0,J3261/$J$3287)</f>
        <v/>
      </c>
      <c r="L3261" s="6" t="inlineStr">
        <is>
          <t>REJECTED</t>
        </is>
      </c>
      <c r="M3261" s="8" t="n">
        <v>0</v>
      </c>
      <c r="N3261" s="7">
        <f>M3261*$J$3287-J3261</f>
        <v/>
      </c>
      <c r="O3261" s="9">
        <f>IF(G3261=0,0,N3261/G3261)</f>
        <v/>
      </c>
      <c r="P3261" s="6">
        <f>IF(M3261&gt;0,D3261,"")</f>
        <v/>
      </c>
      <c r="Q3261" s="9">
        <f>I3261+O3261</f>
        <v/>
      </c>
      <c r="R3261" s="7">
        <f>Q3261*G3261</f>
        <v/>
      </c>
      <c r="S3261" s="8">
        <f>IF($R$3287=0,0,R3261/$R$3287)</f>
        <v/>
      </c>
      <c r="T3261" s="8" t="n">
        <v>-0.02468144965871744</v>
      </c>
      <c r="U3261" s="8" t="n">
        <v>-0.01833060589964897</v>
      </c>
      <c r="V3261" s="6" t="inlineStr">
        <is>
          <t>not selected</t>
        </is>
      </c>
    </row>
    <row r="3262">
      <c r="A3262" s="6" t="inlineStr">
        <is>
          <t>DJ30</t>
        </is>
      </c>
      <c r="B3262" s="6" t="inlineStr">
        <is>
          <t>2025-01-10</t>
        </is>
      </c>
      <c r="C3262" s="6" t="inlineStr">
        <is>
          <t>DIA</t>
        </is>
      </c>
      <c r="D3262" s="6" t="inlineStr">
        <is>
          <t>CAT</t>
        </is>
      </c>
      <c r="E3262" s="6" t="inlineStr">
        <is>
          <t>CAT</t>
        </is>
      </c>
      <c r="F3262" s="6" t="inlineStr">
        <is>
          <t>-</t>
        </is>
      </c>
      <c r="G3262" s="7" t="n">
        <v>344.3157043457031</v>
      </c>
      <c r="H3262" s="6">
        <f>P3231</f>
        <v/>
      </c>
      <c r="I3262" s="9">
        <f>Q3231</f>
        <v/>
      </c>
      <c r="J3262" s="7">
        <f>I3262*G3262</f>
        <v/>
      </c>
      <c r="K3262" s="8">
        <f>IF($J$3287=0,0,J3262/$J$3287)</f>
        <v/>
      </c>
      <c r="L3262" s="6" t="inlineStr">
        <is>
          <t>WATCHLIST</t>
        </is>
      </c>
      <c r="M3262" s="8" t="n">
        <v>0</v>
      </c>
      <c r="N3262" s="7">
        <f>M3262*$J$3287-J3262</f>
        <v/>
      </c>
      <c r="O3262" s="9">
        <f>IF(G3262=0,0,N3262/G3262)</f>
        <v/>
      </c>
      <c r="P3262" s="6">
        <f>IF(M3262&gt;0,D3262,"")</f>
        <v/>
      </c>
      <c r="Q3262" s="9">
        <f>I3262+O3262</f>
        <v/>
      </c>
      <c r="R3262" s="7">
        <f>Q3262*G3262</f>
        <v/>
      </c>
      <c r="S3262" s="8">
        <f>IF($R$3287=0,0,R3262/$R$3287)</f>
        <v/>
      </c>
      <c r="T3262" s="8" t="n">
        <v>-0.02468144965871744</v>
      </c>
      <c r="U3262" s="8" t="n">
        <v>-0.01833060589964897</v>
      </c>
      <c r="V3262" s="6" t="inlineStr">
        <is>
          <t>not selected</t>
        </is>
      </c>
    </row>
    <row r="3263">
      <c r="A3263" s="6" t="inlineStr">
        <is>
          <t>DJ30</t>
        </is>
      </c>
      <c r="B3263" s="6" t="inlineStr">
        <is>
          <t>2025-01-10</t>
        </is>
      </c>
      <c r="C3263" s="6" t="inlineStr">
        <is>
          <t>DIA</t>
        </is>
      </c>
      <c r="D3263" s="6" t="inlineStr">
        <is>
          <t>CRM</t>
        </is>
      </c>
      <c r="E3263" s="6" t="inlineStr">
        <is>
          <t>CRM</t>
        </is>
      </c>
      <c r="F3263" s="6" t="inlineStr">
        <is>
          <t>-</t>
        </is>
      </c>
      <c r="G3263" s="7" t="n">
        <v>314.1896667480469</v>
      </c>
      <c r="H3263" s="6">
        <f>P3232</f>
        <v/>
      </c>
      <c r="I3263" s="9">
        <f>Q3232</f>
        <v/>
      </c>
      <c r="J3263" s="7">
        <f>I3263*G3263</f>
        <v/>
      </c>
      <c r="K3263" s="8">
        <f>IF($J$3287=0,0,J3263/$J$3287)</f>
        <v/>
      </c>
      <c r="L3263" s="6" t="inlineStr">
        <is>
          <t>REJECTED</t>
        </is>
      </c>
      <c r="M3263" s="8" t="n">
        <v>0</v>
      </c>
      <c r="N3263" s="7">
        <f>M3263*$J$3287-J3263</f>
        <v/>
      </c>
      <c r="O3263" s="9">
        <f>IF(G3263=0,0,N3263/G3263)</f>
        <v/>
      </c>
      <c r="P3263" s="6">
        <f>IF(M3263&gt;0,D3263,"")</f>
        <v/>
      </c>
      <c r="Q3263" s="9">
        <f>I3263+O3263</f>
        <v/>
      </c>
      <c r="R3263" s="7">
        <f>Q3263*G3263</f>
        <v/>
      </c>
      <c r="S3263" s="8">
        <f>IF($R$3287=0,0,R3263/$R$3287)</f>
        <v/>
      </c>
      <c r="T3263" s="8" t="n">
        <v>-0.02468144965871744</v>
      </c>
      <c r="U3263" s="8" t="n">
        <v>-0.01833060589964897</v>
      </c>
      <c r="V3263" s="6" t="inlineStr">
        <is>
          <t>not selected</t>
        </is>
      </c>
    </row>
    <row r="3264">
      <c r="A3264" s="6" t="inlineStr">
        <is>
          <t>DJ30</t>
        </is>
      </c>
      <c r="B3264" s="6" t="inlineStr">
        <is>
          <t>2025-01-10</t>
        </is>
      </c>
      <c r="C3264" s="6" t="inlineStr">
        <is>
          <t>DIA</t>
        </is>
      </c>
      <c r="D3264" s="6" t="inlineStr">
        <is>
          <t>CSCO</t>
        </is>
      </c>
      <c r="E3264" s="6" t="inlineStr">
        <is>
          <t>CSCO</t>
        </is>
      </c>
      <c r="F3264" s="6" t="inlineStr">
        <is>
          <t>-</t>
        </is>
      </c>
      <c r="G3264" s="7" t="n">
        <v>57.03757858276367</v>
      </c>
      <c r="H3264" s="6">
        <f>P3233</f>
        <v/>
      </c>
      <c r="I3264" s="9">
        <f>Q3233</f>
        <v/>
      </c>
      <c r="J3264" s="7">
        <f>I3264*G3264</f>
        <v/>
      </c>
      <c r="K3264" s="8">
        <f>IF($J$3287=0,0,J3264/$J$3287)</f>
        <v/>
      </c>
      <c r="L3264" s="6" t="inlineStr">
        <is>
          <t>WATCHLIST</t>
        </is>
      </c>
      <c r="M3264" s="8" t="n">
        <v>0</v>
      </c>
      <c r="N3264" s="7">
        <f>M3264*$J$3287-J3264</f>
        <v/>
      </c>
      <c r="O3264" s="9">
        <f>IF(G3264=0,0,N3264/G3264)</f>
        <v/>
      </c>
      <c r="P3264" s="6">
        <f>IF(M3264&gt;0,D3264,"")</f>
        <v/>
      </c>
      <c r="Q3264" s="9">
        <f>I3264+O3264</f>
        <v/>
      </c>
      <c r="R3264" s="7">
        <f>Q3264*G3264</f>
        <v/>
      </c>
      <c r="S3264" s="8">
        <f>IF($R$3287=0,0,R3264/$R$3287)</f>
        <v/>
      </c>
      <c r="T3264" s="8" t="n">
        <v>-0.02468144965871744</v>
      </c>
      <c r="U3264" s="8" t="n">
        <v>-0.01833060589964897</v>
      </c>
      <c r="V3264" s="6" t="inlineStr">
        <is>
          <t>not selected</t>
        </is>
      </c>
    </row>
    <row r="3265">
      <c r="A3265" s="6" t="inlineStr">
        <is>
          <t>DJ30</t>
        </is>
      </c>
      <c r="B3265" s="6" t="inlineStr">
        <is>
          <t>2025-01-10</t>
        </is>
      </c>
      <c r="C3265" s="6" t="inlineStr">
        <is>
          <t>DIA</t>
        </is>
      </c>
      <c r="D3265" s="6" t="inlineStr">
        <is>
          <t>CVX</t>
        </is>
      </c>
      <c r="E3265" s="6" t="inlineStr">
        <is>
          <t>CVX</t>
        </is>
      </c>
      <c r="F3265" s="6" t="inlineStr">
        <is>
          <t>-</t>
        </is>
      </c>
      <c r="G3265" s="7" t="n">
        <v>143.6221313476562</v>
      </c>
      <c r="H3265" s="6">
        <f>P3234</f>
        <v/>
      </c>
      <c r="I3265" s="9">
        <f>Q3234</f>
        <v/>
      </c>
      <c r="J3265" s="7">
        <f>I3265*G3265</f>
        <v/>
      </c>
      <c r="K3265" s="8">
        <f>IF($J$3287=0,0,J3265/$J$3287)</f>
        <v/>
      </c>
      <c r="L3265" s="6" t="inlineStr">
        <is>
          <t>REJECTED</t>
        </is>
      </c>
      <c r="M3265" s="8" t="n">
        <v>0</v>
      </c>
      <c r="N3265" s="7">
        <f>M3265*$J$3287-J3265</f>
        <v/>
      </c>
      <c r="O3265" s="9">
        <f>IF(G3265=0,0,N3265/G3265)</f>
        <v/>
      </c>
      <c r="P3265" s="6">
        <f>IF(M3265&gt;0,D3265,"")</f>
        <v/>
      </c>
      <c r="Q3265" s="9">
        <f>I3265+O3265</f>
        <v/>
      </c>
      <c r="R3265" s="7">
        <f>Q3265*G3265</f>
        <v/>
      </c>
      <c r="S3265" s="8">
        <f>IF($R$3287=0,0,R3265/$R$3287)</f>
        <v/>
      </c>
      <c r="T3265" s="8" t="n">
        <v>-0.02468144965871744</v>
      </c>
      <c r="U3265" s="8" t="n">
        <v>-0.01833060589964897</v>
      </c>
      <c r="V3265" s="6" t="inlineStr">
        <is>
          <t>not selected</t>
        </is>
      </c>
    </row>
    <row r="3266">
      <c r="A3266" s="6" t="inlineStr">
        <is>
          <t>DJ30</t>
        </is>
      </c>
      <c r="B3266" s="6" t="inlineStr">
        <is>
          <t>2025-01-10</t>
        </is>
      </c>
      <c r="C3266" s="6" t="inlineStr">
        <is>
          <t>DIA</t>
        </is>
      </c>
      <c r="D3266" s="6" t="inlineStr">
        <is>
          <t>DIS</t>
        </is>
      </c>
      <c r="E3266" s="6" t="inlineStr">
        <is>
          <t>DIS</t>
        </is>
      </c>
      <c r="F3266" s="6" t="inlineStr">
        <is>
          <t>-</t>
        </is>
      </c>
      <c r="G3266" s="7" t="n">
        <v>107.4615707397461</v>
      </c>
      <c r="H3266" s="6">
        <f>P3235</f>
        <v/>
      </c>
      <c r="I3266" s="9">
        <f>Q3235</f>
        <v/>
      </c>
      <c r="J3266" s="7">
        <f>I3266*G3266</f>
        <v/>
      </c>
      <c r="K3266" s="8">
        <f>IF($J$3287=0,0,J3266/$J$3287)</f>
        <v/>
      </c>
      <c r="L3266" s="6" t="inlineStr">
        <is>
          <t>REJECTED</t>
        </is>
      </c>
      <c r="M3266" s="8" t="n">
        <v>0</v>
      </c>
      <c r="N3266" s="7">
        <f>M3266*$J$3287-J3266</f>
        <v/>
      </c>
      <c r="O3266" s="9">
        <f>IF(G3266=0,0,N3266/G3266)</f>
        <v/>
      </c>
      <c r="P3266" s="6">
        <f>IF(M3266&gt;0,D3266,"")</f>
        <v/>
      </c>
      <c r="Q3266" s="9">
        <f>I3266+O3266</f>
        <v/>
      </c>
      <c r="R3266" s="7">
        <f>Q3266*G3266</f>
        <v/>
      </c>
      <c r="S3266" s="8">
        <f>IF($R$3287=0,0,R3266/$R$3287)</f>
        <v/>
      </c>
      <c r="T3266" s="8" t="n">
        <v>-0.02468144965871744</v>
      </c>
      <c r="U3266" s="8" t="n">
        <v>-0.01833060589964897</v>
      </c>
      <c r="V3266" s="6" t="inlineStr">
        <is>
          <t>not selected</t>
        </is>
      </c>
    </row>
    <row r="3267">
      <c r="A3267" s="6" t="inlineStr">
        <is>
          <t>DJ30</t>
        </is>
      </c>
      <c r="B3267" s="6" t="inlineStr">
        <is>
          <t>2025-01-10</t>
        </is>
      </c>
      <c r="C3267" s="6" t="inlineStr">
        <is>
          <t>DIA</t>
        </is>
      </c>
      <c r="D3267" s="6" t="inlineStr">
        <is>
          <t>GS</t>
        </is>
      </c>
      <c r="E3267" s="6" t="inlineStr">
        <is>
          <t>GS</t>
        </is>
      </c>
      <c r="F3267" s="6" t="inlineStr">
        <is>
          <t>-</t>
        </is>
      </c>
      <c r="G3267" s="7" t="n">
        <v>543.531494140625</v>
      </c>
      <c r="H3267" s="6">
        <f>P3236</f>
        <v/>
      </c>
      <c r="I3267" s="9">
        <f>Q3236</f>
        <v/>
      </c>
      <c r="J3267" s="7">
        <f>I3267*G3267</f>
        <v/>
      </c>
      <c r="K3267" s="8">
        <f>IF($J$3287=0,0,J3267/$J$3287)</f>
        <v/>
      </c>
      <c r="L3267" s="6" t="inlineStr">
        <is>
          <t>SELECTED</t>
        </is>
      </c>
      <c r="M3267" s="8" t="n">
        <v>0.2</v>
      </c>
      <c r="N3267" s="7">
        <f>M3267*$J$3287-J3267</f>
        <v/>
      </c>
      <c r="O3267" s="9">
        <f>IF(G3267=0,0,N3267/G3267)</f>
        <v/>
      </c>
      <c r="P3267" s="6">
        <f>IF(M3267&gt;0,D3267,"")</f>
        <v/>
      </c>
      <c r="Q3267" s="9">
        <f>I3267+O3267</f>
        <v/>
      </c>
      <c r="R3267" s="7">
        <f>Q3267*G3267</f>
        <v/>
      </c>
      <c r="S3267" s="8">
        <f>IF($R$3287=0,0,R3267/$R$3287)</f>
        <v/>
      </c>
      <c r="T3267" s="8" t="n">
        <v>-0.02468144965871744</v>
      </c>
      <c r="U3267" s="8" t="n">
        <v>-0.01833060589964897</v>
      </c>
      <c r="V3267" s="6" t="inlineStr">
        <is>
          <t>remained in weekly selection</t>
        </is>
      </c>
    </row>
    <row r="3268">
      <c r="A3268" s="6" t="inlineStr">
        <is>
          <t>DJ30</t>
        </is>
      </c>
      <c r="B3268" s="6" t="inlineStr">
        <is>
          <t>2025-01-10</t>
        </is>
      </c>
      <c r="C3268" s="6" t="inlineStr">
        <is>
          <t>DIA</t>
        </is>
      </c>
      <c r="D3268" s="6" t="inlineStr">
        <is>
          <t>HD</t>
        </is>
      </c>
      <c r="E3268" s="6" t="inlineStr">
        <is>
          <t>HD</t>
        </is>
      </c>
      <c r="F3268" s="6" t="inlineStr">
        <is>
          <t>-</t>
        </is>
      </c>
      <c r="G3268" s="7" t="n">
        <v>375.0663757324219</v>
      </c>
      <c r="H3268" s="6">
        <f>P3237</f>
        <v/>
      </c>
      <c r="I3268" s="9">
        <f>Q3237</f>
        <v/>
      </c>
      <c r="J3268" s="7">
        <f>I3268*G3268</f>
        <v/>
      </c>
      <c r="K3268" s="8">
        <f>IF($J$3287=0,0,J3268/$J$3287)</f>
        <v/>
      </c>
      <c r="L3268" s="6" t="inlineStr">
        <is>
          <t>WATCHLIST</t>
        </is>
      </c>
      <c r="M3268" s="8" t="n">
        <v>0</v>
      </c>
      <c r="N3268" s="7">
        <f>M3268*$J$3287-J3268</f>
        <v/>
      </c>
      <c r="O3268" s="9">
        <f>IF(G3268=0,0,N3268/G3268)</f>
        <v/>
      </c>
      <c r="P3268" s="6">
        <f>IF(M3268&gt;0,D3268,"")</f>
        <v/>
      </c>
      <c r="Q3268" s="9">
        <f>I3268+O3268</f>
        <v/>
      </c>
      <c r="R3268" s="7">
        <f>Q3268*G3268</f>
        <v/>
      </c>
      <c r="S3268" s="8">
        <f>IF($R$3287=0,0,R3268/$R$3287)</f>
        <v/>
      </c>
      <c r="T3268" s="8" t="n">
        <v>-0.02468144965871744</v>
      </c>
      <c r="U3268" s="8" t="n">
        <v>-0.01833060589964897</v>
      </c>
      <c r="V3268" s="6" t="inlineStr">
        <is>
          <t>not selected</t>
        </is>
      </c>
    </row>
    <row r="3269">
      <c r="A3269" s="6" t="inlineStr">
        <is>
          <t>DJ30</t>
        </is>
      </c>
      <c r="B3269" s="6" t="inlineStr">
        <is>
          <t>2025-01-10</t>
        </is>
      </c>
      <c r="C3269" s="6" t="inlineStr">
        <is>
          <t>DIA</t>
        </is>
      </c>
      <c r="D3269" s="6" t="inlineStr">
        <is>
          <t>HON</t>
        </is>
      </c>
      <c r="E3269" s="6" t="inlineStr">
        <is>
          <t>HON</t>
        </is>
      </c>
      <c r="F3269" s="6" t="inlineStr">
        <is>
          <t>-</t>
        </is>
      </c>
      <c r="G3269" s="7" t="n">
        <v>199.1629333496093</v>
      </c>
      <c r="H3269" s="6">
        <f>P3238</f>
        <v/>
      </c>
      <c r="I3269" s="9">
        <f>Q3238</f>
        <v/>
      </c>
      <c r="J3269" s="7">
        <f>I3269*G3269</f>
        <v/>
      </c>
      <c r="K3269" s="8">
        <f>IF($J$3287=0,0,J3269/$J$3287)</f>
        <v/>
      </c>
      <c r="L3269" s="6" t="inlineStr">
        <is>
          <t>WATCHLIST</t>
        </is>
      </c>
      <c r="M3269" s="8" t="n">
        <v>0</v>
      </c>
      <c r="N3269" s="7">
        <f>M3269*$J$3287-J3269</f>
        <v/>
      </c>
      <c r="O3269" s="9">
        <f>IF(G3269=0,0,N3269/G3269)</f>
        <v/>
      </c>
      <c r="P3269" s="6">
        <f>IF(M3269&gt;0,D3269,"")</f>
        <v/>
      </c>
      <c r="Q3269" s="9">
        <f>I3269+O3269</f>
        <v/>
      </c>
      <c r="R3269" s="7">
        <f>Q3269*G3269</f>
        <v/>
      </c>
      <c r="S3269" s="8">
        <f>IF($R$3287=0,0,R3269/$R$3287)</f>
        <v/>
      </c>
      <c r="T3269" s="8" t="n">
        <v>-0.02468144965871744</v>
      </c>
      <c r="U3269" s="8" t="n">
        <v>-0.01833060589964897</v>
      </c>
      <c r="V3269" s="6" t="inlineStr">
        <is>
          <t>not selected</t>
        </is>
      </c>
    </row>
    <row r="3270">
      <c r="A3270" s="6" t="inlineStr">
        <is>
          <t>DJ30</t>
        </is>
      </c>
      <c r="B3270" s="6" t="inlineStr">
        <is>
          <t>2025-01-10</t>
        </is>
      </c>
      <c r="C3270" s="6" t="inlineStr">
        <is>
          <t>DIA</t>
        </is>
      </c>
      <c r="D3270" s="6" t="inlineStr">
        <is>
          <t>IBM</t>
        </is>
      </c>
      <c r="E3270" s="6" t="inlineStr">
        <is>
          <t>IBM</t>
        </is>
      </c>
      <c r="F3270" s="6" t="inlineStr">
        <is>
          <t>-</t>
        </is>
      </c>
      <c r="G3270" s="7" t="n">
        <v>211.4445343017578</v>
      </c>
      <c r="H3270" s="6">
        <f>P3239</f>
        <v/>
      </c>
      <c r="I3270" s="9">
        <f>Q3239</f>
        <v/>
      </c>
      <c r="J3270" s="7">
        <f>I3270*G3270</f>
        <v/>
      </c>
      <c r="K3270" s="8">
        <f>IF($J$3287=0,0,J3270/$J$3287)</f>
        <v/>
      </c>
      <c r="L3270" s="6" t="inlineStr">
        <is>
          <t>SELECTED</t>
        </is>
      </c>
      <c r="M3270" s="8" t="n">
        <v>0.2</v>
      </c>
      <c r="N3270" s="7">
        <f>M3270*$J$3287-J3270</f>
        <v/>
      </c>
      <c r="O3270" s="9">
        <f>IF(G3270=0,0,N3270/G3270)</f>
        <v/>
      </c>
      <c r="P3270" s="6">
        <f>IF(M3270&gt;0,D3270,"")</f>
        <v/>
      </c>
      <c r="Q3270" s="9">
        <f>I3270+O3270</f>
        <v/>
      </c>
      <c r="R3270" s="7">
        <f>Q3270*G3270</f>
        <v/>
      </c>
      <c r="S3270" s="8">
        <f>IF($R$3287=0,0,R3270/$R$3287)</f>
        <v/>
      </c>
      <c r="T3270" s="8" t="n">
        <v>-0.02468144965871744</v>
      </c>
      <c r="U3270" s="8" t="n">
        <v>-0.01833060589964897</v>
      </c>
      <c r="V3270" s="6" t="inlineStr">
        <is>
          <t>remained in weekly selection</t>
        </is>
      </c>
    </row>
    <row r="3271">
      <c r="A3271" s="6" t="inlineStr">
        <is>
          <t>DJ30</t>
        </is>
      </c>
      <c r="B3271" s="6" t="inlineStr">
        <is>
          <t>2025-01-10</t>
        </is>
      </c>
      <c r="C3271" s="6" t="inlineStr">
        <is>
          <t>DIA</t>
        </is>
      </c>
      <c r="D3271" s="6" t="inlineStr">
        <is>
          <t>JNJ</t>
        </is>
      </c>
      <c r="E3271" s="6" t="inlineStr">
        <is>
          <t>JNJ</t>
        </is>
      </c>
      <c r="F3271" s="6" t="inlineStr">
        <is>
          <t>-</t>
        </is>
      </c>
      <c r="G3271" s="7" t="n">
        <v>136.3276824951172</v>
      </c>
      <c r="H3271" s="6">
        <f>P3240</f>
        <v/>
      </c>
      <c r="I3271" s="9">
        <f>Q3240</f>
        <v/>
      </c>
      <c r="J3271" s="7">
        <f>I3271*G3271</f>
        <v/>
      </c>
      <c r="K3271" s="8">
        <f>IF($J$3287=0,0,J3271/$J$3287)</f>
        <v/>
      </c>
      <c r="L3271" s="6" t="inlineStr">
        <is>
          <t>REJECTED</t>
        </is>
      </c>
      <c r="M3271" s="8" t="n">
        <v>0</v>
      </c>
      <c r="N3271" s="7">
        <f>M3271*$J$3287-J3271</f>
        <v/>
      </c>
      <c r="O3271" s="9">
        <f>IF(G3271=0,0,N3271/G3271)</f>
        <v/>
      </c>
      <c r="P3271" s="6">
        <f>IF(M3271&gt;0,D3271,"")</f>
        <v/>
      </c>
      <c r="Q3271" s="9">
        <f>I3271+O3271</f>
        <v/>
      </c>
      <c r="R3271" s="7">
        <f>Q3271*G3271</f>
        <v/>
      </c>
      <c r="S3271" s="8">
        <f>IF($R$3287=0,0,R3271/$R$3287)</f>
        <v/>
      </c>
      <c r="T3271" s="8" t="n">
        <v>-0.02468144965871744</v>
      </c>
      <c r="U3271" s="8" t="n">
        <v>-0.01833060589964897</v>
      </c>
      <c r="V3271" s="6" t="inlineStr">
        <is>
          <t>not selected</t>
        </is>
      </c>
    </row>
    <row r="3272">
      <c r="A3272" s="6" t="inlineStr">
        <is>
          <t>DJ30</t>
        </is>
      </c>
      <c r="B3272" s="6" t="inlineStr">
        <is>
          <t>2025-01-10</t>
        </is>
      </c>
      <c r="C3272" s="6" t="inlineStr">
        <is>
          <t>DIA</t>
        </is>
      </c>
      <c r="D3272" s="6" t="inlineStr">
        <is>
          <t>JPM</t>
        </is>
      </c>
      <c r="E3272" s="6" t="inlineStr">
        <is>
          <t>JPM</t>
        </is>
      </c>
      <c r="F3272" s="6" t="inlineStr">
        <is>
          <t>-</t>
        </is>
      </c>
      <c r="G3272" s="7" t="n">
        <v>233.8535766601562</v>
      </c>
      <c r="H3272" s="6">
        <f>P3241</f>
        <v/>
      </c>
      <c r="I3272" s="9">
        <f>Q3241</f>
        <v/>
      </c>
      <c r="J3272" s="7">
        <f>I3272*G3272</f>
        <v/>
      </c>
      <c r="K3272" s="8">
        <f>IF($J$3287=0,0,J3272/$J$3287)</f>
        <v/>
      </c>
      <c r="L3272" s="6" t="inlineStr">
        <is>
          <t>WATCHLIST</t>
        </is>
      </c>
      <c r="M3272" s="8" t="n">
        <v>0</v>
      </c>
      <c r="N3272" s="7">
        <f>M3272*$J$3287-J3272</f>
        <v/>
      </c>
      <c r="O3272" s="9">
        <f>IF(G3272=0,0,N3272/G3272)</f>
        <v/>
      </c>
      <c r="P3272" s="6">
        <f>IF(M3272&gt;0,D3272,"")</f>
        <v/>
      </c>
      <c r="Q3272" s="9">
        <f>I3272+O3272</f>
        <v/>
      </c>
      <c r="R3272" s="7">
        <f>Q3272*G3272</f>
        <v/>
      </c>
      <c r="S3272" s="8">
        <f>IF($R$3287=0,0,R3272/$R$3287)</f>
        <v/>
      </c>
      <c r="T3272" s="8" t="n">
        <v>-0.02468144965871744</v>
      </c>
      <c r="U3272" s="8" t="n">
        <v>-0.01833060589964897</v>
      </c>
      <c r="V3272" s="6" t="inlineStr">
        <is>
          <t>not selected</t>
        </is>
      </c>
    </row>
    <row r="3273">
      <c r="A3273" s="6" t="inlineStr">
        <is>
          <t>DJ30</t>
        </is>
      </c>
      <c r="B3273" s="6" t="inlineStr">
        <is>
          <t>2025-01-10</t>
        </is>
      </c>
      <c r="C3273" s="6" t="inlineStr">
        <is>
          <t>DIA</t>
        </is>
      </c>
      <c r="D3273" s="6" t="inlineStr">
        <is>
          <t>KO</t>
        </is>
      </c>
      <c r="E3273" s="6" t="inlineStr">
        <is>
          <t>KO</t>
        </is>
      </c>
      <c r="F3273" s="6" t="inlineStr">
        <is>
          <t>-</t>
        </is>
      </c>
      <c r="G3273" s="7" t="n">
        <v>58.53683853149414</v>
      </c>
      <c r="H3273" s="6">
        <f>P3242</f>
        <v/>
      </c>
      <c r="I3273" s="9">
        <f>Q3242</f>
        <v/>
      </c>
      <c r="J3273" s="7">
        <f>I3273*G3273</f>
        <v/>
      </c>
      <c r="K3273" s="8">
        <f>IF($J$3287=0,0,J3273/$J$3287)</f>
        <v/>
      </c>
      <c r="L3273" s="6" t="inlineStr">
        <is>
          <t>WATCHLIST</t>
        </is>
      </c>
      <c r="M3273" s="8" t="n">
        <v>0</v>
      </c>
      <c r="N3273" s="7">
        <f>M3273*$J$3287-J3273</f>
        <v/>
      </c>
      <c r="O3273" s="9">
        <f>IF(G3273=0,0,N3273/G3273)</f>
        <v/>
      </c>
      <c r="P3273" s="6">
        <f>IF(M3273&gt;0,D3273,"")</f>
        <v/>
      </c>
      <c r="Q3273" s="9">
        <f>I3273+O3273</f>
        <v/>
      </c>
      <c r="R3273" s="7">
        <f>Q3273*G3273</f>
        <v/>
      </c>
      <c r="S3273" s="8">
        <f>IF($R$3287=0,0,R3273/$R$3287)</f>
        <v/>
      </c>
      <c r="T3273" s="8" t="n">
        <v>-0.02468144965871744</v>
      </c>
      <c r="U3273" s="8" t="n">
        <v>-0.01833060589964897</v>
      </c>
      <c r="V3273" s="6" t="inlineStr">
        <is>
          <t>not selected</t>
        </is>
      </c>
    </row>
    <row r="3274">
      <c r="A3274" s="6" t="inlineStr">
        <is>
          <t>DJ30</t>
        </is>
      </c>
      <c r="B3274" s="6" t="inlineStr">
        <is>
          <t>2025-01-10</t>
        </is>
      </c>
      <c r="C3274" s="6" t="inlineStr">
        <is>
          <t>DIA</t>
        </is>
      </c>
      <c r="D3274" s="6" t="inlineStr">
        <is>
          <t>MCD</t>
        </is>
      </c>
      <c r="E3274" s="6" t="inlineStr">
        <is>
          <t>MCD</t>
        </is>
      </c>
      <c r="F3274" s="6" t="inlineStr">
        <is>
          <t>-</t>
        </is>
      </c>
      <c r="G3274" s="7" t="n">
        <v>272.4946899414062</v>
      </c>
      <c r="H3274" s="6">
        <f>P3243</f>
        <v/>
      </c>
      <c r="I3274" s="9">
        <f>Q3243</f>
        <v/>
      </c>
      <c r="J3274" s="7">
        <f>I3274*G3274</f>
        <v/>
      </c>
      <c r="K3274" s="8">
        <f>IF($J$3287=0,0,J3274/$J$3287)</f>
        <v/>
      </c>
      <c r="L3274" s="6" t="inlineStr">
        <is>
          <t>REJECTED</t>
        </is>
      </c>
      <c r="M3274" s="8" t="n">
        <v>0</v>
      </c>
      <c r="N3274" s="7">
        <f>M3274*$J$3287-J3274</f>
        <v/>
      </c>
      <c r="O3274" s="9">
        <f>IF(G3274=0,0,N3274/G3274)</f>
        <v/>
      </c>
      <c r="P3274" s="6">
        <f>IF(M3274&gt;0,D3274,"")</f>
        <v/>
      </c>
      <c r="Q3274" s="9">
        <f>I3274+O3274</f>
        <v/>
      </c>
      <c r="R3274" s="7">
        <f>Q3274*G3274</f>
        <v/>
      </c>
      <c r="S3274" s="8">
        <f>IF($R$3287=0,0,R3274/$R$3287)</f>
        <v/>
      </c>
      <c r="T3274" s="8" t="n">
        <v>-0.02468144965871744</v>
      </c>
      <c r="U3274" s="8" t="n">
        <v>-0.01833060589964897</v>
      </c>
      <c r="V3274" s="6" t="inlineStr">
        <is>
          <t>not selected</t>
        </is>
      </c>
    </row>
    <row r="3275">
      <c r="A3275" s="6" t="inlineStr">
        <is>
          <t>DJ30</t>
        </is>
      </c>
      <c r="B3275" s="6" t="inlineStr">
        <is>
          <t>2025-01-10</t>
        </is>
      </c>
      <c r="C3275" s="6" t="inlineStr">
        <is>
          <t>DIA</t>
        </is>
      </c>
      <c r="D3275" s="6" t="inlineStr">
        <is>
          <t>MMM</t>
        </is>
      </c>
      <c r="E3275" s="6" t="inlineStr">
        <is>
          <t>MMM</t>
        </is>
      </c>
      <c r="F3275" s="6" t="inlineStr">
        <is>
          <t>-</t>
        </is>
      </c>
      <c r="G3275" s="7" t="n">
        <v>127.5437850952148</v>
      </c>
      <c r="H3275" s="6">
        <f>P3244</f>
        <v/>
      </c>
      <c r="I3275" s="9">
        <f>Q3244</f>
        <v/>
      </c>
      <c r="J3275" s="7">
        <f>I3275*G3275</f>
        <v/>
      </c>
      <c r="K3275" s="8">
        <f>IF($J$3287=0,0,J3275/$J$3287)</f>
        <v/>
      </c>
      <c r="L3275" s="6" t="inlineStr">
        <is>
          <t>SELECTED</t>
        </is>
      </c>
      <c r="M3275" s="8" t="n">
        <v>0.2</v>
      </c>
      <c r="N3275" s="7">
        <f>M3275*$J$3287-J3275</f>
        <v/>
      </c>
      <c r="O3275" s="9">
        <f>IF(G3275=0,0,N3275/G3275)</f>
        <v/>
      </c>
      <c r="P3275" s="6">
        <f>IF(M3275&gt;0,D3275,"")</f>
        <v/>
      </c>
      <c r="Q3275" s="9">
        <f>I3275+O3275</f>
        <v/>
      </c>
      <c r="R3275" s="7">
        <f>Q3275*G3275</f>
        <v/>
      </c>
      <c r="S3275" s="8">
        <f>IF($R$3287=0,0,R3275/$R$3287)</f>
        <v/>
      </c>
      <c r="T3275" s="8" t="n">
        <v>-0.02468144965871744</v>
      </c>
      <c r="U3275" s="8" t="n">
        <v>-0.01833060589964897</v>
      </c>
      <c r="V3275" s="6" t="inlineStr">
        <is>
          <t>remained in weekly selection</t>
        </is>
      </c>
    </row>
    <row r="3276">
      <c r="A3276" s="6" t="inlineStr">
        <is>
          <t>DJ30</t>
        </is>
      </c>
      <c r="B3276" s="6" t="inlineStr">
        <is>
          <t>2025-01-10</t>
        </is>
      </c>
      <c r="C3276" s="6" t="inlineStr">
        <is>
          <t>DIA</t>
        </is>
      </c>
      <c r="D3276" s="6" t="inlineStr">
        <is>
          <t>MRK</t>
        </is>
      </c>
      <c r="E3276" s="6" t="inlineStr">
        <is>
          <t>MRK</t>
        </is>
      </c>
      <c r="F3276" s="6" t="inlineStr">
        <is>
          <t>-</t>
        </is>
      </c>
      <c r="G3276" s="7" t="n">
        <v>94.2727508544922</v>
      </c>
      <c r="H3276" s="6">
        <f>P3245</f>
        <v/>
      </c>
      <c r="I3276" s="9">
        <f>Q3245</f>
        <v/>
      </c>
      <c r="J3276" s="7">
        <f>I3276*G3276</f>
        <v/>
      </c>
      <c r="K3276" s="8">
        <f>IF($J$3287=0,0,J3276/$J$3287)</f>
        <v/>
      </c>
      <c r="L3276" s="6" t="inlineStr">
        <is>
          <t>REJECTED</t>
        </is>
      </c>
      <c r="M3276" s="8" t="n">
        <v>0</v>
      </c>
      <c r="N3276" s="7">
        <f>M3276*$J$3287-J3276</f>
        <v/>
      </c>
      <c r="O3276" s="9">
        <f>IF(G3276=0,0,N3276/G3276)</f>
        <v/>
      </c>
      <c r="P3276" s="6">
        <f>IF(M3276&gt;0,D3276,"")</f>
        <v/>
      </c>
      <c r="Q3276" s="9">
        <f>I3276+O3276</f>
        <v/>
      </c>
      <c r="R3276" s="7">
        <f>Q3276*G3276</f>
        <v/>
      </c>
      <c r="S3276" s="8">
        <f>IF($R$3287=0,0,R3276/$R$3287)</f>
        <v/>
      </c>
      <c r="T3276" s="8" t="n">
        <v>-0.02468144965871744</v>
      </c>
      <c r="U3276" s="8" t="n">
        <v>-0.01833060589964897</v>
      </c>
      <c r="V3276" s="6" t="inlineStr">
        <is>
          <t>not selected</t>
        </is>
      </c>
    </row>
    <row r="3277">
      <c r="A3277" s="6" t="inlineStr">
        <is>
          <t>DJ30</t>
        </is>
      </c>
      <c r="B3277" s="6" t="inlineStr">
        <is>
          <t>2025-01-10</t>
        </is>
      </c>
      <c r="C3277" s="6" t="inlineStr">
        <is>
          <t>DIA</t>
        </is>
      </c>
      <c r="D3277" s="6" t="inlineStr">
        <is>
          <t>MSFT</t>
        </is>
      </c>
      <c r="E3277" s="6" t="inlineStr">
        <is>
          <t>MSFT</t>
        </is>
      </c>
      <c r="F3277" s="6" t="inlineStr">
        <is>
          <t>-</t>
        </is>
      </c>
      <c r="G3277" s="7" t="n">
        <v>414.0382690429688</v>
      </c>
      <c r="H3277" s="6">
        <f>P3246</f>
        <v/>
      </c>
      <c r="I3277" s="9">
        <f>Q3246</f>
        <v/>
      </c>
      <c r="J3277" s="7">
        <f>I3277*G3277</f>
        <v/>
      </c>
      <c r="K3277" s="8">
        <f>IF($J$3287=0,0,J3277/$J$3287)</f>
        <v/>
      </c>
      <c r="L3277" s="6" t="inlineStr">
        <is>
          <t>REJECTED</t>
        </is>
      </c>
      <c r="M3277" s="8" t="n">
        <v>0</v>
      </c>
      <c r="N3277" s="7">
        <f>M3277*$J$3287-J3277</f>
        <v/>
      </c>
      <c r="O3277" s="9">
        <f>IF(G3277=0,0,N3277/G3277)</f>
        <v/>
      </c>
      <c r="P3277" s="6">
        <f>IF(M3277&gt;0,D3277,"")</f>
        <v/>
      </c>
      <c r="Q3277" s="9">
        <f>I3277+O3277</f>
        <v/>
      </c>
      <c r="R3277" s="7">
        <f>Q3277*G3277</f>
        <v/>
      </c>
      <c r="S3277" s="8">
        <f>IF($R$3287=0,0,R3277/$R$3287)</f>
        <v/>
      </c>
      <c r="T3277" s="8" t="n">
        <v>-0.02468144965871744</v>
      </c>
      <c r="U3277" s="8" t="n">
        <v>-0.01833060589964897</v>
      </c>
      <c r="V3277" s="6" t="inlineStr">
        <is>
          <t>not selected</t>
        </is>
      </c>
    </row>
    <row r="3278">
      <c r="A3278" s="6" t="inlineStr">
        <is>
          <t>DJ30</t>
        </is>
      </c>
      <c r="B3278" s="6" t="inlineStr">
        <is>
          <t>2025-01-10</t>
        </is>
      </c>
      <c r="C3278" s="6" t="inlineStr">
        <is>
          <t>DIA</t>
        </is>
      </c>
      <c r="D3278" s="6" t="inlineStr">
        <is>
          <t>NKE</t>
        </is>
      </c>
      <c r="E3278" s="6" t="inlineStr">
        <is>
          <t>NKE</t>
        </is>
      </c>
      <c r="F3278" s="6" t="inlineStr">
        <is>
          <t>-</t>
        </is>
      </c>
      <c r="G3278" s="7" t="n">
        <v>68.49422454833984</v>
      </c>
      <c r="H3278" s="6">
        <f>P3247</f>
        <v/>
      </c>
      <c r="I3278" s="9">
        <f>Q3247</f>
        <v/>
      </c>
      <c r="J3278" s="7">
        <f>I3278*G3278</f>
        <v/>
      </c>
      <c r="K3278" s="8">
        <f>IF($J$3287=0,0,J3278/$J$3287)</f>
        <v/>
      </c>
      <c r="L3278" s="6" t="inlineStr">
        <is>
          <t>REJECTED</t>
        </is>
      </c>
      <c r="M3278" s="8" t="n">
        <v>0</v>
      </c>
      <c r="N3278" s="7">
        <f>M3278*$J$3287-J3278</f>
        <v/>
      </c>
      <c r="O3278" s="9">
        <f>IF(G3278=0,0,N3278/G3278)</f>
        <v/>
      </c>
      <c r="P3278" s="6">
        <f>IF(M3278&gt;0,D3278,"")</f>
        <v/>
      </c>
      <c r="Q3278" s="9">
        <f>I3278+O3278</f>
        <v/>
      </c>
      <c r="R3278" s="7">
        <f>Q3278*G3278</f>
        <v/>
      </c>
      <c r="S3278" s="8">
        <f>IF($R$3287=0,0,R3278/$R$3287)</f>
        <v/>
      </c>
      <c r="T3278" s="8" t="n">
        <v>-0.02468144965871744</v>
      </c>
      <c r="U3278" s="8" t="n">
        <v>-0.01833060589964897</v>
      </c>
      <c r="V3278" s="6" t="inlineStr">
        <is>
          <t>not selected</t>
        </is>
      </c>
    </row>
    <row r="3279">
      <c r="A3279" s="6" t="inlineStr">
        <is>
          <t>DJ30</t>
        </is>
      </c>
      <c r="B3279" s="6" t="inlineStr">
        <is>
          <t>2025-01-10</t>
        </is>
      </c>
      <c r="C3279" s="6" t="inlineStr">
        <is>
          <t>DIA</t>
        </is>
      </c>
      <c r="D3279" s="6" t="inlineStr">
        <is>
          <t>NVDA</t>
        </is>
      </c>
      <c r="E3279" s="6" t="inlineStr">
        <is>
          <t>NVDA</t>
        </is>
      </c>
      <c r="F3279" s="6" t="inlineStr">
        <is>
          <t>-</t>
        </is>
      </c>
      <c r="G3279" s="7" t="n">
        <v>135.7073211669922</v>
      </c>
      <c r="H3279" s="6">
        <f>P3248</f>
        <v/>
      </c>
      <c r="I3279" s="9">
        <f>Q3248</f>
        <v/>
      </c>
      <c r="J3279" s="7">
        <f>I3279*G3279</f>
        <v/>
      </c>
      <c r="K3279" s="8">
        <f>IF($J$3287=0,0,J3279/$J$3287)</f>
        <v/>
      </c>
      <c r="L3279" s="6" t="inlineStr">
        <is>
          <t>SELECTED</t>
        </is>
      </c>
      <c r="M3279" s="8" t="n">
        <v>0.2</v>
      </c>
      <c r="N3279" s="7">
        <f>M3279*$J$3287-J3279</f>
        <v/>
      </c>
      <c r="O3279" s="9">
        <f>IF(G3279=0,0,N3279/G3279)</f>
        <v/>
      </c>
      <c r="P3279" s="6">
        <f>IF(M3279&gt;0,D3279,"")</f>
        <v/>
      </c>
      <c r="Q3279" s="9">
        <f>I3279+O3279</f>
        <v/>
      </c>
      <c r="R3279" s="7">
        <f>Q3279*G3279</f>
        <v/>
      </c>
      <c r="S3279" s="8">
        <f>IF($R$3287=0,0,R3279/$R$3287)</f>
        <v/>
      </c>
      <c r="T3279" s="8" t="n">
        <v>-0.02468144965871744</v>
      </c>
      <c r="U3279" s="8" t="n">
        <v>-0.01833060589964897</v>
      </c>
      <c r="V3279" s="6" t="inlineStr">
        <is>
          <t>remained in weekly selection</t>
        </is>
      </c>
    </row>
    <row r="3280">
      <c r="A3280" s="6" t="inlineStr">
        <is>
          <t>DJ30</t>
        </is>
      </c>
      <c r="B3280" s="6" t="inlineStr">
        <is>
          <t>2025-01-10</t>
        </is>
      </c>
      <c r="C3280" s="6" t="inlineStr">
        <is>
          <t>DIA</t>
        </is>
      </c>
      <c r="D3280" s="6" t="inlineStr">
        <is>
          <t>PG</t>
        </is>
      </c>
      <c r="E3280" s="6" t="inlineStr">
        <is>
          <t>PG</t>
        </is>
      </c>
      <c r="F3280" s="6" t="inlineStr">
        <is>
          <t>-</t>
        </is>
      </c>
      <c r="G3280" s="7" t="n">
        <v>152.2431945800781</v>
      </c>
      <c r="H3280" s="6">
        <f>P3249</f>
        <v/>
      </c>
      <c r="I3280" s="9">
        <f>Q3249</f>
        <v/>
      </c>
      <c r="J3280" s="7">
        <f>I3280*G3280</f>
        <v/>
      </c>
      <c r="K3280" s="8">
        <f>IF($J$3287=0,0,J3280/$J$3287)</f>
        <v/>
      </c>
      <c r="L3280" s="6" t="inlineStr">
        <is>
          <t>WATCHLIST</t>
        </is>
      </c>
      <c r="M3280" s="8" t="n">
        <v>0</v>
      </c>
      <c r="N3280" s="7">
        <f>M3280*$J$3287-J3280</f>
        <v/>
      </c>
      <c r="O3280" s="9">
        <f>IF(G3280=0,0,N3280/G3280)</f>
        <v/>
      </c>
      <c r="P3280" s="6">
        <f>IF(M3280&gt;0,D3280,"")</f>
        <v/>
      </c>
      <c r="Q3280" s="9">
        <f>I3280+O3280</f>
        <v/>
      </c>
      <c r="R3280" s="7">
        <f>Q3280*G3280</f>
        <v/>
      </c>
      <c r="S3280" s="8">
        <f>IF($R$3287=0,0,R3280/$R$3287)</f>
        <v/>
      </c>
      <c r="T3280" s="8" t="n">
        <v>-0.02468144965871744</v>
      </c>
      <c r="U3280" s="8" t="n">
        <v>-0.01833060589964897</v>
      </c>
      <c r="V3280" s="6" t="inlineStr">
        <is>
          <t>not selected</t>
        </is>
      </c>
    </row>
    <row r="3281">
      <c r="A3281" s="6" t="inlineStr">
        <is>
          <t>DJ30</t>
        </is>
      </c>
      <c r="B3281" s="6" t="inlineStr">
        <is>
          <t>2025-01-10</t>
        </is>
      </c>
      <c r="C3281" s="6" t="inlineStr">
        <is>
          <t>DIA</t>
        </is>
      </c>
      <c r="D3281" s="6" t="inlineStr">
        <is>
          <t>SHW</t>
        </is>
      </c>
      <c r="E3281" s="6" t="inlineStr">
        <is>
          <t>SHW</t>
        </is>
      </c>
      <c r="F3281" s="6" t="inlineStr">
        <is>
          <t>-</t>
        </is>
      </c>
      <c r="G3281" s="7" t="n">
        <v>325.678466796875</v>
      </c>
      <c r="H3281" s="6">
        <f>P3250</f>
        <v/>
      </c>
      <c r="I3281" s="9">
        <f>Q3250</f>
        <v/>
      </c>
      <c r="J3281" s="7">
        <f>I3281*G3281</f>
        <v/>
      </c>
      <c r="K3281" s="8">
        <f>IF($J$3287=0,0,J3281/$J$3287)</f>
        <v/>
      </c>
      <c r="L3281" s="6" t="inlineStr">
        <is>
          <t>WATCHLIST</t>
        </is>
      </c>
      <c r="M3281" s="8" t="n">
        <v>0</v>
      </c>
      <c r="N3281" s="7">
        <f>M3281*$J$3287-J3281</f>
        <v/>
      </c>
      <c r="O3281" s="9">
        <f>IF(G3281=0,0,N3281/G3281)</f>
        <v/>
      </c>
      <c r="P3281" s="6">
        <f>IF(M3281&gt;0,D3281,"")</f>
        <v/>
      </c>
      <c r="Q3281" s="9">
        <f>I3281+O3281</f>
        <v/>
      </c>
      <c r="R3281" s="7">
        <f>Q3281*G3281</f>
        <v/>
      </c>
      <c r="S3281" s="8">
        <f>IF($R$3287=0,0,R3281/$R$3287)</f>
        <v/>
      </c>
      <c r="T3281" s="8" t="n">
        <v>-0.02468144965871744</v>
      </c>
      <c r="U3281" s="8" t="n">
        <v>-0.01833060589964897</v>
      </c>
      <c r="V3281" s="6" t="inlineStr">
        <is>
          <t>not selected</t>
        </is>
      </c>
    </row>
    <row r="3282">
      <c r="A3282" s="6" t="inlineStr">
        <is>
          <t>DJ30</t>
        </is>
      </c>
      <c r="B3282" s="6" t="inlineStr">
        <is>
          <t>2025-01-10</t>
        </is>
      </c>
      <c r="C3282" s="6" t="inlineStr">
        <is>
          <t>DIA</t>
        </is>
      </c>
      <c r="D3282" s="6" t="inlineStr">
        <is>
          <t>TRV</t>
        </is>
      </c>
      <c r="E3282" s="6" t="inlineStr">
        <is>
          <t>TRV</t>
        </is>
      </c>
      <c r="F3282" s="6" t="inlineStr">
        <is>
          <t>-</t>
        </is>
      </c>
      <c r="G3282" s="7" t="n">
        <v>226.921890258789</v>
      </c>
      <c r="H3282" s="6">
        <f>P3251</f>
        <v/>
      </c>
      <c r="I3282" s="9">
        <f>Q3251</f>
        <v/>
      </c>
      <c r="J3282" s="7">
        <f>I3282*G3282</f>
        <v/>
      </c>
      <c r="K3282" s="8">
        <f>IF($J$3287=0,0,J3282/$J$3287)</f>
        <v/>
      </c>
      <c r="L3282" s="6" t="inlineStr">
        <is>
          <t>WATCHLIST</t>
        </is>
      </c>
      <c r="M3282" s="8" t="n">
        <v>0</v>
      </c>
      <c r="N3282" s="7">
        <f>M3282*$J$3287-J3282</f>
        <v/>
      </c>
      <c r="O3282" s="9">
        <f>IF(G3282=0,0,N3282/G3282)</f>
        <v/>
      </c>
      <c r="P3282" s="6">
        <f>IF(M3282&gt;0,D3282,"")</f>
        <v/>
      </c>
      <c r="Q3282" s="9">
        <f>I3282+O3282</f>
        <v/>
      </c>
      <c r="R3282" s="7">
        <f>Q3282*G3282</f>
        <v/>
      </c>
      <c r="S3282" s="8">
        <f>IF($R$3287=0,0,R3282/$R$3287)</f>
        <v/>
      </c>
      <c r="T3282" s="8" t="n">
        <v>-0.02468144965871744</v>
      </c>
      <c r="U3282" s="8" t="n">
        <v>-0.01833060589964897</v>
      </c>
      <c r="V3282" s="6" t="inlineStr">
        <is>
          <t>not selected</t>
        </is>
      </c>
    </row>
    <row r="3283">
      <c r="A3283" s="6" t="inlineStr">
        <is>
          <t>DJ30</t>
        </is>
      </c>
      <c r="B3283" s="6" t="inlineStr">
        <is>
          <t>2025-01-10</t>
        </is>
      </c>
      <c r="C3283" s="6" t="inlineStr">
        <is>
          <t>DIA</t>
        </is>
      </c>
      <c r="D3283" s="6" t="inlineStr">
        <is>
          <t>UNH</t>
        </is>
      </c>
      <c r="E3283" s="6" t="inlineStr">
        <is>
          <t>UNH</t>
        </is>
      </c>
      <c r="F3283" s="6" t="inlineStr">
        <is>
          <t>-</t>
        </is>
      </c>
      <c r="G3283" s="7" t="n">
        <v>501.3914184570313</v>
      </c>
      <c r="H3283" s="6">
        <f>P3252</f>
        <v/>
      </c>
      <c r="I3283" s="9">
        <f>Q3252</f>
        <v/>
      </c>
      <c r="J3283" s="7">
        <f>I3283*G3283</f>
        <v/>
      </c>
      <c r="K3283" s="8">
        <f>IF($J$3287=0,0,J3283/$J$3287)</f>
        <v/>
      </c>
      <c r="L3283" s="6" t="inlineStr">
        <is>
          <t>WATCHLIST</t>
        </is>
      </c>
      <c r="M3283" s="8" t="n">
        <v>0</v>
      </c>
      <c r="N3283" s="7">
        <f>M3283*$J$3287-J3283</f>
        <v/>
      </c>
      <c r="O3283" s="9">
        <f>IF(G3283=0,0,N3283/G3283)</f>
        <v/>
      </c>
      <c r="P3283" s="6">
        <f>IF(M3283&gt;0,D3283,"")</f>
        <v/>
      </c>
      <c r="Q3283" s="9">
        <f>I3283+O3283</f>
        <v/>
      </c>
      <c r="R3283" s="7">
        <f>Q3283*G3283</f>
        <v/>
      </c>
      <c r="S3283" s="8">
        <f>IF($R$3287=0,0,R3283/$R$3287)</f>
        <v/>
      </c>
      <c r="T3283" s="8" t="n">
        <v>-0.02468144965871744</v>
      </c>
      <c r="U3283" s="8" t="n">
        <v>-0.01833060589964897</v>
      </c>
      <c r="V3283" s="6" t="inlineStr">
        <is>
          <t>not selected</t>
        </is>
      </c>
    </row>
    <row r="3284">
      <c r="A3284" s="6" t="inlineStr">
        <is>
          <t>DJ30</t>
        </is>
      </c>
      <c r="B3284" s="6" t="inlineStr">
        <is>
          <t>2025-01-10</t>
        </is>
      </c>
      <c r="C3284" s="6" t="inlineStr">
        <is>
          <t>DIA</t>
        </is>
      </c>
      <c r="D3284" s="6" t="inlineStr">
        <is>
          <t>V</t>
        </is>
      </c>
      <c r="E3284" s="6" t="inlineStr">
        <is>
          <t>V</t>
        </is>
      </c>
      <c r="F3284" s="6" t="inlineStr">
        <is>
          <t>-</t>
        </is>
      </c>
      <c r="G3284" s="7" t="n">
        <v>304.2802734375</v>
      </c>
      <c r="H3284" s="6">
        <f>P3253</f>
        <v/>
      </c>
      <c r="I3284" s="9">
        <f>Q3253</f>
        <v/>
      </c>
      <c r="J3284" s="7">
        <f>I3284*G3284</f>
        <v/>
      </c>
      <c r="K3284" s="8">
        <f>IF($J$3287=0,0,J3284/$J$3287)</f>
        <v/>
      </c>
      <c r="L3284" s="6" t="inlineStr">
        <is>
          <t>WATCHLIST</t>
        </is>
      </c>
      <c r="M3284" s="8" t="n">
        <v>0</v>
      </c>
      <c r="N3284" s="7">
        <f>M3284*$J$3287-J3284</f>
        <v/>
      </c>
      <c r="O3284" s="9">
        <f>IF(G3284=0,0,N3284/G3284)</f>
        <v/>
      </c>
      <c r="P3284" s="6">
        <f>IF(M3284&gt;0,D3284,"")</f>
        <v/>
      </c>
      <c r="Q3284" s="9">
        <f>I3284+O3284</f>
        <v/>
      </c>
      <c r="R3284" s="7">
        <f>Q3284*G3284</f>
        <v/>
      </c>
      <c r="S3284" s="8">
        <f>IF($R$3287=0,0,R3284/$R$3287)</f>
        <v/>
      </c>
      <c r="T3284" s="8" t="n">
        <v>-0.02468144965871744</v>
      </c>
      <c r="U3284" s="8" t="n">
        <v>-0.01833060589964897</v>
      </c>
      <c r="V3284" s="6" t="inlineStr">
        <is>
          <t>not selected</t>
        </is>
      </c>
    </row>
    <row r="3285">
      <c r="A3285" s="6" t="inlineStr">
        <is>
          <t>DJ30</t>
        </is>
      </c>
      <c r="B3285" s="6" t="inlineStr">
        <is>
          <t>2025-01-10</t>
        </is>
      </c>
      <c r="C3285" s="6" t="inlineStr">
        <is>
          <t>DIA</t>
        </is>
      </c>
      <c r="D3285" s="6" t="inlineStr">
        <is>
          <t>VZ</t>
        </is>
      </c>
      <c r="E3285" s="6" t="inlineStr">
        <is>
          <t>VZ</t>
        </is>
      </c>
      <c r="F3285" s="6" t="inlineStr">
        <is>
          <t>-</t>
        </is>
      </c>
      <c r="G3285" s="7" t="n">
        <v>34.86300659179688</v>
      </c>
      <c r="H3285" s="6">
        <f>P3254</f>
        <v/>
      </c>
      <c r="I3285" s="9">
        <f>Q3254</f>
        <v/>
      </c>
      <c r="J3285" s="7">
        <f>I3285*G3285</f>
        <v/>
      </c>
      <c r="K3285" s="8">
        <f>IF($J$3287=0,0,J3285/$J$3287)</f>
        <v/>
      </c>
      <c r="L3285" s="6" t="inlineStr">
        <is>
          <t>WATCHLIST</t>
        </is>
      </c>
      <c r="M3285" s="8" t="n">
        <v>0</v>
      </c>
      <c r="N3285" s="7">
        <f>M3285*$J$3287-J3285</f>
        <v/>
      </c>
      <c r="O3285" s="9">
        <f>IF(G3285=0,0,N3285/G3285)</f>
        <v/>
      </c>
      <c r="P3285" s="6">
        <f>IF(M3285&gt;0,D3285,"")</f>
        <v/>
      </c>
      <c r="Q3285" s="9">
        <f>I3285+O3285</f>
        <v/>
      </c>
      <c r="R3285" s="7">
        <f>Q3285*G3285</f>
        <v/>
      </c>
      <c r="S3285" s="8">
        <f>IF($R$3287=0,0,R3285/$R$3287)</f>
        <v/>
      </c>
      <c r="T3285" s="8" t="n">
        <v>-0.02468144965871744</v>
      </c>
      <c r="U3285" s="8" t="n">
        <v>-0.01833060589964897</v>
      </c>
      <c r="V3285" s="6" t="inlineStr">
        <is>
          <t>not selected</t>
        </is>
      </c>
    </row>
    <row r="3286">
      <c r="A3286" s="6" t="inlineStr">
        <is>
          <t>DJ30</t>
        </is>
      </c>
      <c r="B3286" s="6" t="inlineStr">
        <is>
          <t>2025-01-10</t>
        </is>
      </c>
      <c r="C3286" s="6" t="inlineStr">
        <is>
          <t>DIA</t>
        </is>
      </c>
      <c r="D3286" s="6" t="inlineStr">
        <is>
          <t>WMT</t>
        </is>
      </c>
      <c r="E3286" s="6" t="inlineStr">
        <is>
          <t>WMT</t>
        </is>
      </c>
      <c r="F3286" s="6" t="inlineStr">
        <is>
          <t>-</t>
        </is>
      </c>
      <c r="G3286" s="7" t="n">
        <v>91.75447845458984</v>
      </c>
      <c r="H3286" s="6">
        <f>P3255</f>
        <v/>
      </c>
      <c r="I3286" s="9">
        <f>Q3255</f>
        <v/>
      </c>
      <c r="J3286" s="7">
        <f>I3286*G3286</f>
        <v/>
      </c>
      <c r="K3286" s="8">
        <f>IF($J$3287=0,0,J3286/$J$3287)</f>
        <v/>
      </c>
      <c r="L3286" s="6" t="inlineStr">
        <is>
          <t>WATCHLIST</t>
        </is>
      </c>
      <c r="M3286" s="8" t="n">
        <v>0</v>
      </c>
      <c r="N3286" s="7">
        <f>M3286*$J$3287-J3286</f>
        <v/>
      </c>
      <c r="O3286" s="9">
        <f>IF(G3286=0,0,N3286/G3286)</f>
        <v/>
      </c>
      <c r="P3286" s="6">
        <f>IF(M3286&gt;0,D3286,"")</f>
        <v/>
      </c>
      <c r="Q3286" s="9">
        <f>I3286+O3286</f>
        <v/>
      </c>
      <c r="R3286" s="7">
        <f>Q3286*G3286</f>
        <v/>
      </c>
      <c r="S3286" s="8">
        <f>IF($R$3287=0,0,R3286/$R$3287)</f>
        <v/>
      </c>
      <c r="T3286" s="8" t="n">
        <v>-0.02468144965871744</v>
      </c>
      <c r="U3286" s="8" t="n">
        <v>-0.01833060589964897</v>
      </c>
      <c r="V3286" s="6" t="inlineStr">
        <is>
          <t>not selected</t>
        </is>
      </c>
    </row>
    <row r="3287">
      <c r="A3287" s="10" t="inlineStr">
        <is>
          <t>DJ30</t>
        </is>
      </c>
      <c r="B3287" s="10" t="inlineStr">
        <is>
          <t>2025-01-10</t>
        </is>
      </c>
      <c r="C3287" s="10" t="inlineStr">
        <is>
          <t>DIA</t>
        </is>
      </c>
      <c r="D3287" s="10" t="inlineStr">
        <is>
          <t>Tot Portfolio</t>
        </is>
      </c>
      <c r="E3287" s="10" t="inlineStr"/>
      <c r="F3287" s="10" t="inlineStr"/>
      <c r="G3287" s="11" t="inlineStr"/>
      <c r="H3287" s="10" t="inlineStr"/>
      <c r="I3287" s="12" t="inlineStr"/>
      <c r="J3287" s="11">
        <f>SUM(J3257:J3286)</f>
        <v/>
      </c>
      <c r="K3287" s="13">
        <f>SUM(K3257:K3286)</f>
        <v/>
      </c>
      <c r="L3287" s="10" t="inlineStr">
        <is>
          <t>TOTAL</t>
        </is>
      </c>
      <c r="M3287" s="13">
        <f>SUM(M3257:M3286)</f>
        <v/>
      </c>
      <c r="N3287" s="11">
        <f>SUM(N3257:N3286)</f>
        <v/>
      </c>
      <c r="O3287" s="12">
        <f>SUM(O3257:O3286)</f>
        <v/>
      </c>
      <c r="P3287" s="10" t="inlineStr"/>
      <c r="Q3287" s="12" t="inlineStr"/>
      <c r="R3287" s="11">
        <f>SUM(R3257:R3286)</f>
        <v/>
      </c>
      <c r="S3287" s="13">
        <f>SUM(S3257:S3286)</f>
        <v/>
      </c>
      <c r="T3287" s="13" t="n">
        <v>-0.02468144965871744</v>
      </c>
      <c r="U3287" s="13" t="n">
        <v>-0.01833060589964897</v>
      </c>
      <c r="V3287" s="10" t="inlineStr"/>
    </row>
    <row r="3288">
      <c r="A3288" s="6" t="inlineStr">
        <is>
          <t>DJ30</t>
        </is>
      </c>
      <c r="B3288" s="6" t="inlineStr">
        <is>
          <t>2025-01-17</t>
        </is>
      </c>
      <c r="C3288" s="6" t="inlineStr">
        <is>
          <t>DIA</t>
        </is>
      </c>
      <c r="D3288" s="6" t="inlineStr">
        <is>
          <t>AAPL</t>
        </is>
      </c>
      <c r="E3288" s="6" t="inlineStr">
        <is>
          <t>AAPL</t>
        </is>
      </c>
      <c r="F3288" s="6" t="inlineStr">
        <is>
          <t>-</t>
        </is>
      </c>
      <c r="G3288" s="7" t="n">
        <v>228.5199737548828</v>
      </c>
      <c r="H3288" s="6">
        <f>P3257</f>
        <v/>
      </c>
      <c r="I3288" s="9">
        <f>Q3257</f>
        <v/>
      </c>
      <c r="J3288" s="7">
        <f>I3288*G3288</f>
        <v/>
      </c>
      <c r="K3288" s="8">
        <f>IF($J$3318=0,0,J3288/$J$3318)</f>
        <v/>
      </c>
      <c r="L3288" s="6" t="inlineStr">
        <is>
          <t>SELECTED</t>
        </is>
      </c>
      <c r="M3288" s="8" t="n">
        <v>0.2</v>
      </c>
      <c r="N3288" s="7">
        <f>M3288*$J$3318-J3288</f>
        <v/>
      </c>
      <c r="O3288" s="9">
        <f>IF(G3288=0,0,N3288/G3288)</f>
        <v/>
      </c>
      <c r="P3288" s="6">
        <f>IF(M3288&gt;0,D3288,"")</f>
        <v/>
      </c>
      <c r="Q3288" s="9">
        <f>I3288+O3288</f>
        <v/>
      </c>
      <c r="R3288" s="7">
        <f>Q3288*G3288</f>
        <v/>
      </c>
      <c r="S3288" s="8">
        <f>IF($R$3318=0,0,R3288/$R$3318)</f>
        <v/>
      </c>
      <c r="T3288" s="8" t="n">
        <v>0.03915305615544296</v>
      </c>
      <c r="U3288" s="8" t="n">
        <v>0.0370908077075105</v>
      </c>
      <c r="V3288" s="6" t="inlineStr">
        <is>
          <t>remained in weekly selection</t>
        </is>
      </c>
    </row>
    <row r="3289">
      <c r="A3289" s="6" t="inlineStr">
        <is>
          <t>DJ30</t>
        </is>
      </c>
      <c r="B3289" s="6" t="inlineStr">
        <is>
          <t>2025-01-17</t>
        </is>
      </c>
      <c r="C3289" s="6" t="inlineStr">
        <is>
          <t>DIA</t>
        </is>
      </c>
      <c r="D3289" s="6" t="inlineStr">
        <is>
          <t>AMGN</t>
        </is>
      </c>
      <c r="E3289" s="6" t="inlineStr">
        <is>
          <t>AMGN</t>
        </is>
      </c>
      <c r="F3289" s="6" t="inlineStr">
        <is>
          <t>-</t>
        </is>
      </c>
      <c r="G3289" s="7" t="n">
        <v>259.7568969726562</v>
      </c>
      <c r="H3289" s="6">
        <f>P3258</f>
        <v/>
      </c>
      <c r="I3289" s="9">
        <f>Q3258</f>
        <v/>
      </c>
      <c r="J3289" s="7">
        <f>I3289*G3289</f>
        <v/>
      </c>
      <c r="K3289" s="8">
        <f>IF($J$3318=0,0,J3289/$J$3318)</f>
        <v/>
      </c>
      <c r="L3289" s="6" t="inlineStr">
        <is>
          <t>REJECTED</t>
        </is>
      </c>
      <c r="M3289" s="8" t="n">
        <v>0</v>
      </c>
      <c r="N3289" s="7">
        <f>M3289*$J$3318-J3289</f>
        <v/>
      </c>
      <c r="O3289" s="9">
        <f>IF(G3289=0,0,N3289/G3289)</f>
        <v/>
      </c>
      <c r="P3289" s="6">
        <f>IF(M3289&gt;0,D3289,"")</f>
        <v/>
      </c>
      <c r="Q3289" s="9">
        <f>I3289+O3289</f>
        <v/>
      </c>
      <c r="R3289" s="7">
        <f>Q3289*G3289</f>
        <v/>
      </c>
      <c r="S3289" s="8">
        <f>IF($R$3318=0,0,R3289/$R$3318)</f>
        <v/>
      </c>
      <c r="T3289" s="8" t="n">
        <v>0.03915305615544296</v>
      </c>
      <c r="U3289" s="8" t="n">
        <v>0.0370908077075105</v>
      </c>
      <c r="V3289" s="6" t="inlineStr">
        <is>
          <t>not selected</t>
        </is>
      </c>
    </row>
    <row r="3290">
      <c r="A3290" s="6" t="inlineStr">
        <is>
          <t>DJ30</t>
        </is>
      </c>
      <c r="B3290" s="6" t="inlineStr">
        <is>
          <t>2025-01-17</t>
        </is>
      </c>
      <c r="C3290" s="6" t="inlineStr">
        <is>
          <t>DIA</t>
        </is>
      </c>
      <c r="D3290" s="6" t="inlineStr">
        <is>
          <t>AMZN</t>
        </is>
      </c>
      <c r="E3290" s="6" t="inlineStr">
        <is>
          <t>AMZN</t>
        </is>
      </c>
      <c r="F3290" s="6" t="inlineStr">
        <is>
          <t>-</t>
        </is>
      </c>
      <c r="G3290" s="7" t="n">
        <v>225.9400024414062</v>
      </c>
      <c r="H3290" s="6">
        <f>P3259</f>
        <v/>
      </c>
      <c r="I3290" s="9">
        <f>Q3259</f>
        <v/>
      </c>
      <c r="J3290" s="7">
        <f>I3290*G3290</f>
        <v/>
      </c>
      <c r="K3290" s="8">
        <f>IF($J$3318=0,0,J3290/$J$3318)</f>
        <v/>
      </c>
      <c r="L3290" s="6" t="inlineStr">
        <is>
          <t>WATCHLIST</t>
        </is>
      </c>
      <c r="M3290" s="8" t="n">
        <v>0</v>
      </c>
      <c r="N3290" s="7">
        <f>M3290*$J$3318-J3290</f>
        <v/>
      </c>
      <c r="O3290" s="9">
        <f>IF(G3290=0,0,N3290/G3290)</f>
        <v/>
      </c>
      <c r="P3290" s="6">
        <f>IF(M3290&gt;0,D3290,"")</f>
        <v/>
      </c>
      <c r="Q3290" s="9">
        <f>I3290+O3290</f>
        <v/>
      </c>
      <c r="R3290" s="7">
        <f>Q3290*G3290</f>
        <v/>
      </c>
      <c r="S3290" s="8">
        <f>IF($R$3318=0,0,R3290/$R$3318)</f>
        <v/>
      </c>
      <c r="T3290" s="8" t="n">
        <v>0.03915305615544296</v>
      </c>
      <c r="U3290" s="8" t="n">
        <v>0.0370908077075105</v>
      </c>
      <c r="V3290" s="6" t="inlineStr">
        <is>
          <t>not selected</t>
        </is>
      </c>
    </row>
    <row r="3291">
      <c r="A3291" s="6" t="inlineStr">
        <is>
          <t>DJ30</t>
        </is>
      </c>
      <c r="B3291" s="6" t="inlineStr">
        <is>
          <t>2025-01-17</t>
        </is>
      </c>
      <c r="C3291" s="6" t="inlineStr">
        <is>
          <t>DIA</t>
        </is>
      </c>
      <c r="D3291" s="6" t="inlineStr">
        <is>
          <t>AXP</t>
        </is>
      </c>
      <c r="E3291" s="6" t="inlineStr">
        <is>
          <t>AXP</t>
        </is>
      </c>
      <c r="F3291" s="6" t="inlineStr">
        <is>
          <t>-</t>
        </is>
      </c>
      <c r="G3291" s="7" t="n">
        <v>308.2942199707031</v>
      </c>
      <c r="H3291" s="6">
        <f>P3260</f>
        <v/>
      </c>
      <c r="I3291" s="9">
        <f>Q3260</f>
        <v/>
      </c>
      <c r="J3291" s="7">
        <f>I3291*G3291</f>
        <v/>
      </c>
      <c r="K3291" s="8">
        <f>IF($J$3318=0,0,J3291/$J$3318)</f>
        <v/>
      </c>
      <c r="L3291" s="6" t="inlineStr">
        <is>
          <t>WATCHLIST</t>
        </is>
      </c>
      <c r="M3291" s="8" t="n">
        <v>0</v>
      </c>
      <c r="N3291" s="7">
        <f>M3291*$J$3318-J3291</f>
        <v/>
      </c>
      <c r="O3291" s="9">
        <f>IF(G3291=0,0,N3291/G3291)</f>
        <v/>
      </c>
      <c r="P3291" s="6">
        <f>IF(M3291&gt;0,D3291,"")</f>
        <v/>
      </c>
      <c r="Q3291" s="9">
        <f>I3291+O3291</f>
        <v/>
      </c>
      <c r="R3291" s="7">
        <f>Q3291*G3291</f>
        <v/>
      </c>
      <c r="S3291" s="8">
        <f>IF($R$3318=0,0,R3291/$R$3318)</f>
        <v/>
      </c>
      <c r="T3291" s="8" t="n">
        <v>0.03915305615544296</v>
      </c>
      <c r="U3291" s="8" t="n">
        <v>0.0370908077075105</v>
      </c>
      <c r="V3291" s="6" t="inlineStr">
        <is>
          <t>not selected</t>
        </is>
      </c>
    </row>
    <row r="3292">
      <c r="A3292" s="6" t="inlineStr">
        <is>
          <t>DJ30</t>
        </is>
      </c>
      <c r="B3292" s="6" t="inlineStr">
        <is>
          <t>2025-01-17</t>
        </is>
      </c>
      <c r="C3292" s="6" t="inlineStr">
        <is>
          <t>DIA</t>
        </is>
      </c>
      <c r="D3292" s="6" t="inlineStr">
        <is>
          <t>BA</t>
        </is>
      </c>
      <c r="E3292" s="6" t="inlineStr">
        <is>
          <t>BA</t>
        </is>
      </c>
      <c r="F3292" s="6" t="inlineStr">
        <is>
          <t>-</t>
        </is>
      </c>
      <c r="G3292" s="7" t="n">
        <v>171.0899963378906</v>
      </c>
      <c r="H3292" s="6">
        <f>P3261</f>
        <v/>
      </c>
      <c r="I3292" s="9">
        <f>Q3261</f>
        <v/>
      </c>
      <c r="J3292" s="7">
        <f>I3292*G3292</f>
        <v/>
      </c>
      <c r="K3292" s="8">
        <f>IF($J$3318=0,0,J3292/$J$3318)</f>
        <v/>
      </c>
      <c r="L3292" s="6" t="inlineStr">
        <is>
          <t>REJECTED</t>
        </is>
      </c>
      <c r="M3292" s="8" t="n">
        <v>0</v>
      </c>
      <c r="N3292" s="7">
        <f>M3292*$J$3318-J3292</f>
        <v/>
      </c>
      <c r="O3292" s="9">
        <f>IF(G3292=0,0,N3292/G3292)</f>
        <v/>
      </c>
      <c r="P3292" s="6">
        <f>IF(M3292&gt;0,D3292,"")</f>
        <v/>
      </c>
      <c r="Q3292" s="9">
        <f>I3292+O3292</f>
        <v/>
      </c>
      <c r="R3292" s="7">
        <f>Q3292*G3292</f>
        <v/>
      </c>
      <c r="S3292" s="8">
        <f>IF($R$3318=0,0,R3292/$R$3318)</f>
        <v/>
      </c>
      <c r="T3292" s="8" t="n">
        <v>0.03915305615544296</v>
      </c>
      <c r="U3292" s="8" t="n">
        <v>0.0370908077075105</v>
      </c>
      <c r="V3292" s="6" t="inlineStr">
        <is>
          <t>not selected</t>
        </is>
      </c>
    </row>
    <row r="3293">
      <c r="A3293" s="6" t="inlineStr">
        <is>
          <t>DJ30</t>
        </is>
      </c>
      <c r="B3293" s="6" t="inlineStr">
        <is>
          <t>2025-01-17</t>
        </is>
      </c>
      <c r="C3293" s="6" t="inlineStr">
        <is>
          <t>DIA</t>
        </is>
      </c>
      <c r="D3293" s="6" t="inlineStr">
        <is>
          <t>CAT</t>
        </is>
      </c>
      <c r="E3293" s="6" t="inlineStr">
        <is>
          <t>CAT</t>
        </is>
      </c>
      <c r="F3293" s="6" t="inlineStr">
        <is>
          <t>-</t>
        </is>
      </c>
      <c r="G3293" s="7" t="n">
        <v>378.6688232421875</v>
      </c>
      <c r="H3293" s="6">
        <f>P3262</f>
        <v/>
      </c>
      <c r="I3293" s="9">
        <f>Q3262</f>
        <v/>
      </c>
      <c r="J3293" s="7">
        <f>I3293*G3293</f>
        <v/>
      </c>
      <c r="K3293" s="8">
        <f>IF($J$3318=0,0,J3293/$J$3318)</f>
        <v/>
      </c>
      <c r="L3293" s="6" t="inlineStr">
        <is>
          <t>WATCHLIST</t>
        </is>
      </c>
      <c r="M3293" s="8" t="n">
        <v>0</v>
      </c>
      <c r="N3293" s="7">
        <f>M3293*$J$3318-J3293</f>
        <v/>
      </c>
      <c r="O3293" s="9">
        <f>IF(G3293=0,0,N3293/G3293)</f>
        <v/>
      </c>
      <c r="P3293" s="6">
        <f>IF(M3293&gt;0,D3293,"")</f>
        <v/>
      </c>
      <c r="Q3293" s="9">
        <f>I3293+O3293</f>
        <v/>
      </c>
      <c r="R3293" s="7">
        <f>Q3293*G3293</f>
        <v/>
      </c>
      <c r="S3293" s="8">
        <f>IF($R$3318=0,0,R3293/$R$3318)</f>
        <v/>
      </c>
      <c r="T3293" s="8" t="n">
        <v>0.03915305615544296</v>
      </c>
      <c r="U3293" s="8" t="n">
        <v>0.0370908077075105</v>
      </c>
      <c r="V3293" s="6" t="inlineStr">
        <is>
          <t>not selected</t>
        </is>
      </c>
    </row>
    <row r="3294">
      <c r="A3294" s="6" t="inlineStr">
        <is>
          <t>DJ30</t>
        </is>
      </c>
      <c r="B3294" s="6" t="inlineStr">
        <is>
          <t>2025-01-17</t>
        </is>
      </c>
      <c r="C3294" s="6" t="inlineStr">
        <is>
          <t>DIA</t>
        </is>
      </c>
      <c r="D3294" s="6" t="inlineStr">
        <is>
          <t>CRM</t>
        </is>
      </c>
      <c r="E3294" s="6" t="inlineStr">
        <is>
          <t>CRM</t>
        </is>
      </c>
      <c r="F3294" s="6" t="inlineStr">
        <is>
          <t>-</t>
        </is>
      </c>
      <c r="G3294" s="7" t="n">
        <v>320.8224182128906</v>
      </c>
      <c r="H3294" s="6">
        <f>P3263</f>
        <v/>
      </c>
      <c r="I3294" s="9">
        <f>Q3263</f>
        <v/>
      </c>
      <c r="J3294" s="7">
        <f>I3294*G3294</f>
        <v/>
      </c>
      <c r="K3294" s="8">
        <f>IF($J$3318=0,0,J3294/$J$3318)</f>
        <v/>
      </c>
      <c r="L3294" s="6" t="inlineStr">
        <is>
          <t>REJECTED</t>
        </is>
      </c>
      <c r="M3294" s="8" t="n">
        <v>0</v>
      </c>
      <c r="N3294" s="7">
        <f>M3294*$J$3318-J3294</f>
        <v/>
      </c>
      <c r="O3294" s="9">
        <f>IF(G3294=0,0,N3294/G3294)</f>
        <v/>
      </c>
      <c r="P3294" s="6">
        <f>IF(M3294&gt;0,D3294,"")</f>
        <v/>
      </c>
      <c r="Q3294" s="9">
        <f>I3294+O3294</f>
        <v/>
      </c>
      <c r="R3294" s="7">
        <f>Q3294*G3294</f>
        <v/>
      </c>
      <c r="S3294" s="8">
        <f>IF($R$3318=0,0,R3294/$R$3318)</f>
        <v/>
      </c>
      <c r="T3294" s="8" t="n">
        <v>0.03915305615544296</v>
      </c>
      <c r="U3294" s="8" t="n">
        <v>0.0370908077075105</v>
      </c>
      <c r="V3294" s="6" t="inlineStr">
        <is>
          <t>not selected</t>
        </is>
      </c>
    </row>
    <row r="3295">
      <c r="A3295" s="6" t="inlineStr">
        <is>
          <t>DJ30</t>
        </is>
      </c>
      <c r="B3295" s="6" t="inlineStr">
        <is>
          <t>2025-01-17</t>
        </is>
      </c>
      <c r="C3295" s="6" t="inlineStr">
        <is>
          <t>DIA</t>
        </is>
      </c>
      <c r="D3295" s="6" t="inlineStr">
        <is>
          <t>CSCO</t>
        </is>
      </c>
      <c r="E3295" s="6" t="inlineStr">
        <is>
          <t>CSCO</t>
        </is>
      </c>
      <c r="F3295" s="6" t="inlineStr">
        <is>
          <t>-</t>
        </is>
      </c>
      <c r="G3295" s="7" t="n">
        <v>58.4843864440918</v>
      </c>
      <c r="H3295" s="6">
        <f>P3264</f>
        <v/>
      </c>
      <c r="I3295" s="9">
        <f>Q3264</f>
        <v/>
      </c>
      <c r="J3295" s="7">
        <f>I3295*G3295</f>
        <v/>
      </c>
      <c r="K3295" s="8">
        <f>IF($J$3318=0,0,J3295/$J$3318)</f>
        <v/>
      </c>
      <c r="L3295" s="6" t="inlineStr">
        <is>
          <t>WATCHLIST</t>
        </is>
      </c>
      <c r="M3295" s="8" t="n">
        <v>0</v>
      </c>
      <c r="N3295" s="7">
        <f>M3295*$J$3318-J3295</f>
        <v/>
      </c>
      <c r="O3295" s="9">
        <f>IF(G3295=0,0,N3295/G3295)</f>
        <v/>
      </c>
      <c r="P3295" s="6">
        <f>IF(M3295&gt;0,D3295,"")</f>
        <v/>
      </c>
      <c r="Q3295" s="9">
        <f>I3295+O3295</f>
        <v/>
      </c>
      <c r="R3295" s="7">
        <f>Q3295*G3295</f>
        <v/>
      </c>
      <c r="S3295" s="8">
        <f>IF($R$3318=0,0,R3295/$R$3318)</f>
        <v/>
      </c>
      <c r="T3295" s="8" t="n">
        <v>0.03915305615544296</v>
      </c>
      <c r="U3295" s="8" t="n">
        <v>0.0370908077075105</v>
      </c>
      <c r="V3295" s="6" t="inlineStr">
        <is>
          <t>not selected</t>
        </is>
      </c>
    </row>
    <row r="3296">
      <c r="A3296" s="6" t="inlineStr">
        <is>
          <t>DJ30</t>
        </is>
      </c>
      <c r="B3296" s="6" t="inlineStr">
        <is>
          <t>2025-01-17</t>
        </is>
      </c>
      <c r="C3296" s="6" t="inlineStr">
        <is>
          <t>DIA</t>
        </is>
      </c>
      <c r="D3296" s="6" t="inlineStr">
        <is>
          <t>CVX</t>
        </is>
      </c>
      <c r="E3296" s="6" t="inlineStr">
        <is>
          <t>CVX</t>
        </is>
      </c>
      <c r="F3296" s="6" t="inlineStr">
        <is>
          <t>-</t>
        </is>
      </c>
      <c r="G3296" s="7" t="n">
        <v>151.4344024658203</v>
      </c>
      <c r="H3296" s="6">
        <f>P3265</f>
        <v/>
      </c>
      <c r="I3296" s="9">
        <f>Q3265</f>
        <v/>
      </c>
      <c r="J3296" s="7">
        <f>I3296*G3296</f>
        <v/>
      </c>
      <c r="K3296" s="8">
        <f>IF($J$3318=0,0,J3296/$J$3318)</f>
        <v/>
      </c>
      <c r="L3296" s="6" t="inlineStr">
        <is>
          <t>REJECTED</t>
        </is>
      </c>
      <c r="M3296" s="8" t="n">
        <v>0</v>
      </c>
      <c r="N3296" s="7">
        <f>M3296*$J$3318-J3296</f>
        <v/>
      </c>
      <c r="O3296" s="9">
        <f>IF(G3296=0,0,N3296/G3296)</f>
        <v/>
      </c>
      <c r="P3296" s="6">
        <f>IF(M3296&gt;0,D3296,"")</f>
        <v/>
      </c>
      <c r="Q3296" s="9">
        <f>I3296+O3296</f>
        <v/>
      </c>
      <c r="R3296" s="7">
        <f>Q3296*G3296</f>
        <v/>
      </c>
      <c r="S3296" s="8">
        <f>IF($R$3318=0,0,R3296/$R$3318)</f>
        <v/>
      </c>
      <c r="T3296" s="8" t="n">
        <v>0.03915305615544296</v>
      </c>
      <c r="U3296" s="8" t="n">
        <v>0.0370908077075105</v>
      </c>
      <c r="V3296" s="6" t="inlineStr">
        <is>
          <t>not selected</t>
        </is>
      </c>
    </row>
    <row r="3297">
      <c r="A3297" s="6" t="inlineStr">
        <is>
          <t>DJ30</t>
        </is>
      </c>
      <c r="B3297" s="6" t="inlineStr">
        <is>
          <t>2025-01-17</t>
        </is>
      </c>
      <c r="C3297" s="6" t="inlineStr">
        <is>
          <t>DIA</t>
        </is>
      </c>
      <c r="D3297" s="6" t="inlineStr">
        <is>
          <t>DIS</t>
        </is>
      </c>
      <c r="E3297" s="6" t="inlineStr">
        <is>
          <t>DIS</t>
        </is>
      </c>
      <c r="F3297" s="6" t="inlineStr">
        <is>
          <t>-</t>
        </is>
      </c>
      <c r="G3297" s="7" t="n">
        <v>105.8493957519531</v>
      </c>
      <c r="H3297" s="6">
        <f>P3266</f>
        <v/>
      </c>
      <c r="I3297" s="9">
        <f>Q3266</f>
        <v/>
      </c>
      <c r="J3297" s="7">
        <f>I3297*G3297</f>
        <v/>
      </c>
      <c r="K3297" s="8">
        <f>IF($J$3318=0,0,J3297/$J$3318)</f>
        <v/>
      </c>
      <c r="L3297" s="6" t="inlineStr">
        <is>
          <t>REJECTED</t>
        </is>
      </c>
      <c r="M3297" s="8" t="n">
        <v>0</v>
      </c>
      <c r="N3297" s="7">
        <f>M3297*$J$3318-J3297</f>
        <v/>
      </c>
      <c r="O3297" s="9">
        <f>IF(G3297=0,0,N3297/G3297)</f>
        <v/>
      </c>
      <c r="P3297" s="6">
        <f>IF(M3297&gt;0,D3297,"")</f>
        <v/>
      </c>
      <c r="Q3297" s="9">
        <f>I3297+O3297</f>
        <v/>
      </c>
      <c r="R3297" s="7">
        <f>Q3297*G3297</f>
        <v/>
      </c>
      <c r="S3297" s="8">
        <f>IF($R$3318=0,0,R3297/$R$3318)</f>
        <v/>
      </c>
      <c r="T3297" s="8" t="n">
        <v>0.03915305615544296</v>
      </c>
      <c r="U3297" s="8" t="n">
        <v>0.0370908077075105</v>
      </c>
      <c r="V3297" s="6" t="inlineStr">
        <is>
          <t>not selected</t>
        </is>
      </c>
    </row>
    <row r="3298">
      <c r="A3298" s="6" t="inlineStr">
        <is>
          <t>DJ30</t>
        </is>
      </c>
      <c r="B3298" s="6" t="inlineStr">
        <is>
          <t>2025-01-17</t>
        </is>
      </c>
      <c r="C3298" s="6" t="inlineStr">
        <is>
          <t>DIA</t>
        </is>
      </c>
      <c r="D3298" s="6" t="inlineStr">
        <is>
          <t>GS</t>
        </is>
      </c>
      <c r="E3298" s="6" t="inlineStr">
        <is>
          <t>GS</t>
        </is>
      </c>
      <c r="F3298" s="6" t="inlineStr">
        <is>
          <t>-</t>
        </is>
      </c>
      <c r="G3298" s="7" t="n">
        <v>607.5322875976562</v>
      </c>
      <c r="H3298" s="6">
        <f>P3267</f>
        <v/>
      </c>
      <c r="I3298" s="9">
        <f>Q3267</f>
        <v/>
      </c>
      <c r="J3298" s="7">
        <f>I3298*G3298</f>
        <v/>
      </c>
      <c r="K3298" s="8">
        <f>IF($J$3318=0,0,J3298/$J$3318)</f>
        <v/>
      </c>
      <c r="L3298" s="6" t="inlineStr">
        <is>
          <t>WATCHLIST</t>
        </is>
      </c>
      <c r="M3298" s="8" t="n">
        <v>0</v>
      </c>
      <c r="N3298" s="7">
        <f>M3298*$J$3318-J3298</f>
        <v/>
      </c>
      <c r="O3298" s="9">
        <f>IF(G3298=0,0,N3298/G3298)</f>
        <v/>
      </c>
      <c r="P3298" s="6">
        <f>IF(M3298&gt;0,D3298,"")</f>
        <v/>
      </c>
      <c r="Q3298" s="9">
        <f>I3298+O3298</f>
        <v/>
      </c>
      <c r="R3298" s="7">
        <f>Q3298*G3298</f>
        <v/>
      </c>
      <c r="S3298" s="8">
        <f>IF($R$3318=0,0,R3298/$R$3318)</f>
        <v/>
      </c>
      <c r="T3298" s="8" t="n">
        <v>0.03915305615544296</v>
      </c>
      <c r="U3298" s="8" t="n">
        <v>0.0370908077075105</v>
      </c>
      <c r="V3298" s="6" t="inlineStr">
        <is>
          <t>removed from weekly selection</t>
        </is>
      </c>
    </row>
    <row r="3299">
      <c r="A3299" s="6" t="inlineStr">
        <is>
          <t>DJ30</t>
        </is>
      </c>
      <c r="B3299" s="6" t="inlineStr">
        <is>
          <t>2025-01-17</t>
        </is>
      </c>
      <c r="C3299" s="6" t="inlineStr">
        <is>
          <t>DIA</t>
        </is>
      </c>
      <c r="D3299" s="6" t="inlineStr">
        <is>
          <t>HD</t>
        </is>
      </c>
      <c r="E3299" s="6" t="inlineStr">
        <is>
          <t>HD</t>
        </is>
      </c>
      <c r="F3299" s="6" t="inlineStr">
        <is>
          <t>-</t>
        </is>
      </c>
      <c r="G3299" s="7" t="n">
        <v>393.8153991699219</v>
      </c>
      <c r="H3299" s="6">
        <f>P3268</f>
        <v/>
      </c>
      <c r="I3299" s="9">
        <f>Q3268</f>
        <v/>
      </c>
      <c r="J3299" s="7">
        <f>I3299*G3299</f>
        <v/>
      </c>
      <c r="K3299" s="8">
        <f>IF($J$3318=0,0,J3299/$J$3318)</f>
        <v/>
      </c>
      <c r="L3299" s="6" t="inlineStr">
        <is>
          <t>WATCHLIST</t>
        </is>
      </c>
      <c r="M3299" s="8" t="n">
        <v>0</v>
      </c>
      <c r="N3299" s="7">
        <f>M3299*$J$3318-J3299</f>
        <v/>
      </c>
      <c r="O3299" s="9">
        <f>IF(G3299=0,0,N3299/G3299)</f>
        <v/>
      </c>
      <c r="P3299" s="6">
        <f>IF(M3299&gt;0,D3299,"")</f>
        <v/>
      </c>
      <c r="Q3299" s="9">
        <f>I3299+O3299</f>
        <v/>
      </c>
      <c r="R3299" s="7">
        <f>Q3299*G3299</f>
        <v/>
      </c>
      <c r="S3299" s="8">
        <f>IF($R$3318=0,0,R3299/$R$3318)</f>
        <v/>
      </c>
      <c r="T3299" s="8" t="n">
        <v>0.03915305615544296</v>
      </c>
      <c r="U3299" s="8" t="n">
        <v>0.0370908077075105</v>
      </c>
      <c r="V3299" s="6" t="inlineStr">
        <is>
          <t>not selected</t>
        </is>
      </c>
    </row>
    <row r="3300">
      <c r="A3300" s="6" t="inlineStr">
        <is>
          <t>DJ30</t>
        </is>
      </c>
      <c r="B3300" s="6" t="inlineStr">
        <is>
          <t>2025-01-17</t>
        </is>
      </c>
      <c r="C3300" s="6" t="inlineStr">
        <is>
          <t>DIA</t>
        </is>
      </c>
      <c r="D3300" s="6" t="inlineStr">
        <is>
          <t>HON</t>
        </is>
      </c>
      <c r="E3300" s="6" t="inlineStr">
        <is>
          <t>HON</t>
        </is>
      </c>
      <c r="F3300" s="6" t="inlineStr">
        <is>
          <t>-</t>
        </is>
      </c>
      <c r="G3300" s="7" t="n">
        <v>203.1701049804688</v>
      </c>
      <c r="H3300" s="6">
        <f>P3269</f>
        <v/>
      </c>
      <c r="I3300" s="9">
        <f>Q3269</f>
        <v/>
      </c>
      <c r="J3300" s="7">
        <f>I3300*G3300</f>
        <v/>
      </c>
      <c r="K3300" s="8">
        <f>IF($J$3318=0,0,J3300/$J$3318)</f>
        <v/>
      </c>
      <c r="L3300" s="6" t="inlineStr">
        <is>
          <t>WATCHLIST</t>
        </is>
      </c>
      <c r="M3300" s="8" t="n">
        <v>0</v>
      </c>
      <c r="N3300" s="7">
        <f>M3300*$J$3318-J3300</f>
        <v/>
      </c>
      <c r="O3300" s="9">
        <f>IF(G3300=0,0,N3300/G3300)</f>
        <v/>
      </c>
      <c r="P3300" s="6">
        <f>IF(M3300&gt;0,D3300,"")</f>
        <v/>
      </c>
      <c r="Q3300" s="9">
        <f>I3300+O3300</f>
        <v/>
      </c>
      <c r="R3300" s="7">
        <f>Q3300*G3300</f>
        <v/>
      </c>
      <c r="S3300" s="8">
        <f>IF($R$3318=0,0,R3300/$R$3318)</f>
        <v/>
      </c>
      <c r="T3300" s="8" t="n">
        <v>0.03915305615544296</v>
      </c>
      <c r="U3300" s="8" t="n">
        <v>0.0370908077075105</v>
      </c>
      <c r="V3300" s="6" t="inlineStr">
        <is>
          <t>not selected</t>
        </is>
      </c>
    </row>
    <row r="3301">
      <c r="A3301" s="6" t="inlineStr">
        <is>
          <t>DJ30</t>
        </is>
      </c>
      <c r="B3301" s="6" t="inlineStr">
        <is>
          <t>2025-01-17</t>
        </is>
      </c>
      <c r="C3301" s="6" t="inlineStr">
        <is>
          <t>DIA</t>
        </is>
      </c>
      <c r="D3301" s="6" t="inlineStr">
        <is>
          <t>IBM</t>
        </is>
      </c>
      <c r="E3301" s="6" t="inlineStr">
        <is>
          <t>IBM</t>
        </is>
      </c>
      <c r="F3301" s="6" t="inlineStr">
        <is>
          <t>-</t>
        </is>
      </c>
      <c r="G3301" s="7" t="n">
        <v>216.2940368652344</v>
      </c>
      <c r="H3301" s="6">
        <f>P3270</f>
        <v/>
      </c>
      <c r="I3301" s="9">
        <f>Q3270</f>
        <v/>
      </c>
      <c r="J3301" s="7">
        <f>I3301*G3301</f>
        <v/>
      </c>
      <c r="K3301" s="8">
        <f>IF($J$3318=0,0,J3301/$J$3318)</f>
        <v/>
      </c>
      <c r="L3301" s="6" t="inlineStr">
        <is>
          <t>WATCHLIST</t>
        </is>
      </c>
      <c r="M3301" s="8" t="n">
        <v>0</v>
      </c>
      <c r="N3301" s="7">
        <f>M3301*$J$3318-J3301</f>
        <v/>
      </c>
      <c r="O3301" s="9">
        <f>IF(G3301=0,0,N3301/G3301)</f>
        <v/>
      </c>
      <c r="P3301" s="6">
        <f>IF(M3301&gt;0,D3301,"")</f>
        <v/>
      </c>
      <c r="Q3301" s="9">
        <f>I3301+O3301</f>
        <v/>
      </c>
      <c r="R3301" s="7">
        <f>Q3301*G3301</f>
        <v/>
      </c>
      <c r="S3301" s="8">
        <f>IF($R$3318=0,0,R3301/$R$3318)</f>
        <v/>
      </c>
      <c r="T3301" s="8" t="n">
        <v>0.03915305615544296</v>
      </c>
      <c r="U3301" s="8" t="n">
        <v>0.0370908077075105</v>
      </c>
      <c r="V3301" s="6" t="inlineStr">
        <is>
          <t>removed from weekly selection</t>
        </is>
      </c>
    </row>
    <row r="3302">
      <c r="A3302" s="6" t="inlineStr">
        <is>
          <t>DJ30</t>
        </is>
      </c>
      <c r="B3302" s="6" t="inlineStr">
        <is>
          <t>2025-01-17</t>
        </is>
      </c>
      <c r="C3302" s="6" t="inlineStr">
        <is>
          <t>DIA</t>
        </is>
      </c>
      <c r="D3302" s="6" t="inlineStr">
        <is>
          <t>JNJ</t>
        </is>
      </c>
      <c r="E3302" s="6" t="inlineStr">
        <is>
          <t>JNJ</t>
        </is>
      </c>
      <c r="F3302" s="6" t="inlineStr">
        <is>
          <t>-</t>
        </is>
      </c>
      <c r="G3302" s="7" t="n">
        <v>141.0971221923828</v>
      </c>
      <c r="H3302" s="6">
        <f>P3271</f>
        <v/>
      </c>
      <c r="I3302" s="9">
        <f>Q3271</f>
        <v/>
      </c>
      <c r="J3302" s="7">
        <f>I3302*G3302</f>
        <v/>
      </c>
      <c r="K3302" s="8">
        <f>IF($J$3318=0,0,J3302/$J$3318)</f>
        <v/>
      </c>
      <c r="L3302" s="6" t="inlineStr">
        <is>
          <t>REJECTED</t>
        </is>
      </c>
      <c r="M3302" s="8" t="n">
        <v>0</v>
      </c>
      <c r="N3302" s="7">
        <f>M3302*$J$3318-J3302</f>
        <v/>
      </c>
      <c r="O3302" s="9">
        <f>IF(G3302=0,0,N3302/G3302)</f>
        <v/>
      </c>
      <c r="P3302" s="6">
        <f>IF(M3302&gt;0,D3302,"")</f>
        <v/>
      </c>
      <c r="Q3302" s="9">
        <f>I3302+O3302</f>
        <v/>
      </c>
      <c r="R3302" s="7">
        <f>Q3302*G3302</f>
        <v/>
      </c>
      <c r="S3302" s="8">
        <f>IF($R$3318=0,0,R3302/$R$3318)</f>
        <v/>
      </c>
      <c r="T3302" s="8" t="n">
        <v>0.03915305615544296</v>
      </c>
      <c r="U3302" s="8" t="n">
        <v>0.0370908077075105</v>
      </c>
      <c r="V3302" s="6" t="inlineStr">
        <is>
          <t>not selected</t>
        </is>
      </c>
    </row>
    <row r="3303">
      <c r="A3303" s="6" t="inlineStr">
        <is>
          <t>DJ30</t>
        </is>
      </c>
      <c r="B3303" s="6" t="inlineStr">
        <is>
          <t>2025-01-17</t>
        </is>
      </c>
      <c r="C3303" s="6" t="inlineStr">
        <is>
          <t>DIA</t>
        </is>
      </c>
      <c r="D3303" s="6" t="inlineStr">
        <is>
          <t>JPM</t>
        </is>
      </c>
      <c r="E3303" s="6" t="inlineStr">
        <is>
          <t>JPM</t>
        </is>
      </c>
      <c r="F3303" s="6" t="inlineStr">
        <is>
          <t>-</t>
        </is>
      </c>
      <c r="G3303" s="7" t="n">
        <v>252.6597595214844</v>
      </c>
      <c r="H3303" s="6">
        <f>P3272</f>
        <v/>
      </c>
      <c r="I3303" s="9">
        <f>Q3272</f>
        <v/>
      </c>
      <c r="J3303" s="7">
        <f>I3303*G3303</f>
        <v/>
      </c>
      <c r="K3303" s="8">
        <f>IF($J$3318=0,0,J3303/$J$3318)</f>
        <v/>
      </c>
      <c r="L3303" s="6" t="inlineStr">
        <is>
          <t>WATCHLIST</t>
        </is>
      </c>
      <c r="M3303" s="8" t="n">
        <v>0</v>
      </c>
      <c r="N3303" s="7">
        <f>M3303*$J$3318-J3303</f>
        <v/>
      </c>
      <c r="O3303" s="9">
        <f>IF(G3303=0,0,N3303/G3303)</f>
        <v/>
      </c>
      <c r="P3303" s="6">
        <f>IF(M3303&gt;0,D3303,"")</f>
        <v/>
      </c>
      <c r="Q3303" s="9">
        <f>I3303+O3303</f>
        <v/>
      </c>
      <c r="R3303" s="7">
        <f>Q3303*G3303</f>
        <v/>
      </c>
      <c r="S3303" s="8">
        <f>IF($R$3318=0,0,R3303/$R$3318)</f>
        <v/>
      </c>
      <c r="T3303" s="8" t="n">
        <v>0.03915305615544296</v>
      </c>
      <c r="U3303" s="8" t="n">
        <v>0.0370908077075105</v>
      </c>
      <c r="V3303" s="6" t="inlineStr">
        <is>
          <t>not selected</t>
        </is>
      </c>
    </row>
    <row r="3304">
      <c r="A3304" s="6" t="inlineStr">
        <is>
          <t>DJ30</t>
        </is>
      </c>
      <c r="B3304" s="6" t="inlineStr">
        <is>
          <t>2025-01-17</t>
        </is>
      </c>
      <c r="C3304" s="6" t="inlineStr">
        <is>
          <t>DIA</t>
        </is>
      </c>
      <c r="D3304" s="6" t="inlineStr">
        <is>
          <t>KO</t>
        </is>
      </c>
      <c r="E3304" s="6" t="inlineStr">
        <is>
          <t>KO</t>
        </is>
      </c>
      <c r="F3304" s="6" t="inlineStr">
        <is>
          <t>-</t>
        </is>
      </c>
      <c r="G3304" s="7" t="n">
        <v>60.10881042480469</v>
      </c>
      <c r="H3304" s="6">
        <f>P3273</f>
        <v/>
      </c>
      <c r="I3304" s="9">
        <f>Q3273</f>
        <v/>
      </c>
      <c r="J3304" s="7">
        <f>I3304*G3304</f>
        <v/>
      </c>
      <c r="K3304" s="8">
        <f>IF($J$3318=0,0,J3304/$J$3318)</f>
        <v/>
      </c>
      <c r="L3304" s="6" t="inlineStr">
        <is>
          <t>WATCHLIST</t>
        </is>
      </c>
      <c r="M3304" s="8" t="n">
        <v>0</v>
      </c>
      <c r="N3304" s="7">
        <f>M3304*$J$3318-J3304</f>
        <v/>
      </c>
      <c r="O3304" s="9">
        <f>IF(G3304=0,0,N3304/G3304)</f>
        <v/>
      </c>
      <c r="P3304" s="6">
        <f>IF(M3304&gt;0,D3304,"")</f>
        <v/>
      </c>
      <c r="Q3304" s="9">
        <f>I3304+O3304</f>
        <v/>
      </c>
      <c r="R3304" s="7">
        <f>Q3304*G3304</f>
        <v/>
      </c>
      <c r="S3304" s="8">
        <f>IF($R$3318=0,0,R3304/$R$3318)</f>
        <v/>
      </c>
      <c r="T3304" s="8" t="n">
        <v>0.03915305615544296</v>
      </c>
      <c r="U3304" s="8" t="n">
        <v>0.0370908077075105</v>
      </c>
      <c r="V3304" s="6" t="inlineStr">
        <is>
          <t>not selected</t>
        </is>
      </c>
    </row>
    <row r="3305">
      <c r="A3305" s="6" t="inlineStr">
        <is>
          <t>DJ30</t>
        </is>
      </c>
      <c r="B3305" s="6" t="inlineStr">
        <is>
          <t>2025-01-17</t>
        </is>
      </c>
      <c r="C3305" s="6" t="inlineStr">
        <is>
          <t>DIA</t>
        </is>
      </c>
      <c r="D3305" s="6" t="inlineStr">
        <is>
          <t>MCD</t>
        </is>
      </c>
      <c r="E3305" s="6" t="inlineStr">
        <is>
          <t>MCD</t>
        </is>
      </c>
      <c r="F3305" s="6" t="inlineStr">
        <is>
          <t>-</t>
        </is>
      </c>
      <c r="G3305" s="7" t="n">
        <v>271.1819763183594</v>
      </c>
      <c r="H3305" s="6">
        <f>P3274</f>
        <v/>
      </c>
      <c r="I3305" s="9">
        <f>Q3274</f>
        <v/>
      </c>
      <c r="J3305" s="7">
        <f>I3305*G3305</f>
        <v/>
      </c>
      <c r="K3305" s="8">
        <f>IF($J$3318=0,0,J3305/$J$3318)</f>
        <v/>
      </c>
      <c r="L3305" s="6" t="inlineStr">
        <is>
          <t>REJECTED</t>
        </is>
      </c>
      <c r="M3305" s="8" t="n">
        <v>0</v>
      </c>
      <c r="N3305" s="7">
        <f>M3305*$J$3318-J3305</f>
        <v/>
      </c>
      <c r="O3305" s="9">
        <f>IF(G3305=0,0,N3305/G3305)</f>
        <v/>
      </c>
      <c r="P3305" s="6">
        <f>IF(M3305&gt;0,D3305,"")</f>
        <v/>
      </c>
      <c r="Q3305" s="9">
        <f>I3305+O3305</f>
        <v/>
      </c>
      <c r="R3305" s="7">
        <f>Q3305*G3305</f>
        <v/>
      </c>
      <c r="S3305" s="8">
        <f>IF($R$3318=0,0,R3305/$R$3318)</f>
        <v/>
      </c>
      <c r="T3305" s="8" t="n">
        <v>0.03915305615544296</v>
      </c>
      <c r="U3305" s="8" t="n">
        <v>0.0370908077075105</v>
      </c>
      <c r="V3305" s="6" t="inlineStr">
        <is>
          <t>not selected</t>
        </is>
      </c>
    </row>
    <row r="3306">
      <c r="A3306" s="6" t="inlineStr">
        <is>
          <t>DJ30</t>
        </is>
      </c>
      <c r="B3306" s="6" t="inlineStr">
        <is>
          <t>2025-01-17</t>
        </is>
      </c>
      <c r="C3306" s="6" t="inlineStr">
        <is>
          <t>DIA</t>
        </is>
      </c>
      <c r="D3306" s="6" t="inlineStr">
        <is>
          <t>MMM</t>
        </is>
      </c>
      <c r="E3306" s="6" t="inlineStr">
        <is>
          <t>MMM</t>
        </is>
      </c>
      <c r="F3306" s="6" t="inlineStr">
        <is>
          <t>-</t>
        </is>
      </c>
      <c r="G3306" s="7" t="n">
        <v>137.0894012451172</v>
      </c>
      <c r="H3306" s="6">
        <f>P3275</f>
        <v/>
      </c>
      <c r="I3306" s="9">
        <f>Q3275</f>
        <v/>
      </c>
      <c r="J3306" s="7">
        <f>I3306*G3306</f>
        <v/>
      </c>
      <c r="K3306" s="8">
        <f>IF($J$3318=0,0,J3306/$J$3318)</f>
        <v/>
      </c>
      <c r="L3306" s="6" t="inlineStr">
        <is>
          <t>SELECTED</t>
        </is>
      </c>
      <c r="M3306" s="8" t="n">
        <v>0.2</v>
      </c>
      <c r="N3306" s="7">
        <f>M3306*$J$3318-J3306</f>
        <v/>
      </c>
      <c r="O3306" s="9">
        <f>IF(G3306=0,0,N3306/G3306)</f>
        <v/>
      </c>
      <c r="P3306" s="6">
        <f>IF(M3306&gt;0,D3306,"")</f>
        <v/>
      </c>
      <c r="Q3306" s="9">
        <f>I3306+O3306</f>
        <v/>
      </c>
      <c r="R3306" s="7">
        <f>Q3306*G3306</f>
        <v/>
      </c>
      <c r="S3306" s="8">
        <f>IF($R$3318=0,0,R3306/$R$3318)</f>
        <v/>
      </c>
      <c r="T3306" s="8" t="n">
        <v>0.03915305615544296</v>
      </c>
      <c r="U3306" s="8" t="n">
        <v>0.0370908077075105</v>
      </c>
      <c r="V3306" s="6" t="inlineStr">
        <is>
          <t>remained in weekly selection</t>
        </is>
      </c>
    </row>
    <row r="3307">
      <c r="A3307" s="6" t="inlineStr">
        <is>
          <t>DJ30</t>
        </is>
      </c>
      <c r="B3307" s="6" t="inlineStr">
        <is>
          <t>2025-01-17</t>
        </is>
      </c>
      <c r="C3307" s="6" t="inlineStr">
        <is>
          <t>DIA</t>
        </is>
      </c>
      <c r="D3307" s="6" t="inlineStr">
        <is>
          <t>MRK</t>
        </is>
      </c>
      <c r="E3307" s="6" t="inlineStr">
        <is>
          <t>MRK</t>
        </is>
      </c>
      <c r="F3307" s="6" t="inlineStr">
        <is>
          <t>-</t>
        </is>
      </c>
      <c r="G3307" s="7" t="n">
        <v>93.00944519042967</v>
      </c>
      <c r="H3307" s="6">
        <f>P3276</f>
        <v/>
      </c>
      <c r="I3307" s="9">
        <f>Q3276</f>
        <v/>
      </c>
      <c r="J3307" s="7">
        <f>I3307*G3307</f>
        <v/>
      </c>
      <c r="K3307" s="8">
        <f>IF($J$3318=0,0,J3307/$J$3318)</f>
        <v/>
      </c>
      <c r="L3307" s="6" t="inlineStr">
        <is>
          <t>REJECTED</t>
        </is>
      </c>
      <c r="M3307" s="8" t="n">
        <v>0</v>
      </c>
      <c r="N3307" s="7">
        <f>M3307*$J$3318-J3307</f>
        <v/>
      </c>
      <c r="O3307" s="9">
        <f>IF(G3307=0,0,N3307/G3307)</f>
        <v/>
      </c>
      <c r="P3307" s="6">
        <f>IF(M3307&gt;0,D3307,"")</f>
        <v/>
      </c>
      <c r="Q3307" s="9">
        <f>I3307+O3307</f>
        <v/>
      </c>
      <c r="R3307" s="7">
        <f>Q3307*G3307</f>
        <v/>
      </c>
      <c r="S3307" s="8">
        <f>IF($R$3318=0,0,R3307/$R$3318)</f>
        <v/>
      </c>
      <c r="T3307" s="8" t="n">
        <v>0.03915305615544296</v>
      </c>
      <c r="U3307" s="8" t="n">
        <v>0.0370908077075105</v>
      </c>
      <c r="V3307" s="6" t="inlineStr">
        <is>
          <t>not selected</t>
        </is>
      </c>
    </row>
    <row r="3308">
      <c r="A3308" s="6" t="inlineStr">
        <is>
          <t>DJ30</t>
        </is>
      </c>
      <c r="B3308" s="6" t="inlineStr">
        <is>
          <t>2025-01-17</t>
        </is>
      </c>
      <c r="C3308" s="6" t="inlineStr">
        <is>
          <t>DIA</t>
        </is>
      </c>
      <c r="D3308" s="6" t="inlineStr">
        <is>
          <t>MSFT</t>
        </is>
      </c>
      <c r="E3308" s="6" t="inlineStr">
        <is>
          <t>MSFT</t>
        </is>
      </c>
      <c r="F3308" s="6" t="inlineStr">
        <is>
          <t>-</t>
        </is>
      </c>
      <c r="G3308" s="7" t="n">
        <v>424.0001220703125</v>
      </c>
      <c r="H3308" s="6">
        <f>P3277</f>
        <v/>
      </c>
      <c r="I3308" s="9">
        <f>Q3277</f>
        <v/>
      </c>
      <c r="J3308" s="7">
        <f>I3308*G3308</f>
        <v/>
      </c>
      <c r="K3308" s="8">
        <f>IF($J$3318=0,0,J3308/$J$3318)</f>
        <v/>
      </c>
      <c r="L3308" s="6" t="inlineStr">
        <is>
          <t>REJECTED</t>
        </is>
      </c>
      <c r="M3308" s="8" t="n">
        <v>0</v>
      </c>
      <c r="N3308" s="7">
        <f>M3308*$J$3318-J3308</f>
        <v/>
      </c>
      <c r="O3308" s="9">
        <f>IF(G3308=0,0,N3308/G3308)</f>
        <v/>
      </c>
      <c r="P3308" s="6">
        <f>IF(M3308&gt;0,D3308,"")</f>
        <v/>
      </c>
      <c r="Q3308" s="9">
        <f>I3308+O3308</f>
        <v/>
      </c>
      <c r="R3308" s="7">
        <f>Q3308*G3308</f>
        <v/>
      </c>
      <c r="S3308" s="8">
        <f>IF($R$3318=0,0,R3308/$R$3318)</f>
        <v/>
      </c>
      <c r="T3308" s="8" t="n">
        <v>0.03915305615544296</v>
      </c>
      <c r="U3308" s="8" t="n">
        <v>0.0370908077075105</v>
      </c>
      <c r="V3308" s="6" t="inlineStr">
        <is>
          <t>not selected</t>
        </is>
      </c>
    </row>
    <row r="3309">
      <c r="A3309" s="6" t="inlineStr">
        <is>
          <t>DJ30</t>
        </is>
      </c>
      <c r="B3309" s="6" t="inlineStr">
        <is>
          <t>2025-01-17</t>
        </is>
      </c>
      <c r="C3309" s="6" t="inlineStr">
        <is>
          <t>DIA</t>
        </is>
      </c>
      <c r="D3309" s="6" t="inlineStr">
        <is>
          <t>NKE</t>
        </is>
      </c>
      <c r="E3309" s="6" t="inlineStr">
        <is>
          <t>NKE</t>
        </is>
      </c>
      <c r="F3309" s="6" t="inlineStr">
        <is>
          <t>-</t>
        </is>
      </c>
      <c r="G3309" s="7" t="n">
        <v>68.14789581298828</v>
      </c>
      <c r="H3309" s="6">
        <f>P3278</f>
        <v/>
      </c>
      <c r="I3309" s="9">
        <f>Q3278</f>
        <v/>
      </c>
      <c r="J3309" s="7">
        <f>I3309*G3309</f>
        <v/>
      </c>
      <c r="K3309" s="8">
        <f>IF($J$3318=0,0,J3309/$J$3318)</f>
        <v/>
      </c>
      <c r="L3309" s="6" t="inlineStr">
        <is>
          <t>REJECTED</t>
        </is>
      </c>
      <c r="M3309" s="8" t="n">
        <v>0</v>
      </c>
      <c r="N3309" s="7">
        <f>M3309*$J$3318-J3309</f>
        <v/>
      </c>
      <c r="O3309" s="9">
        <f>IF(G3309=0,0,N3309/G3309)</f>
        <v/>
      </c>
      <c r="P3309" s="6">
        <f>IF(M3309&gt;0,D3309,"")</f>
        <v/>
      </c>
      <c r="Q3309" s="9">
        <f>I3309+O3309</f>
        <v/>
      </c>
      <c r="R3309" s="7">
        <f>Q3309*G3309</f>
        <v/>
      </c>
      <c r="S3309" s="8">
        <f>IF($R$3318=0,0,R3309/$R$3318)</f>
        <v/>
      </c>
      <c r="T3309" s="8" t="n">
        <v>0.03915305615544296</v>
      </c>
      <c r="U3309" s="8" t="n">
        <v>0.0370908077075105</v>
      </c>
      <c r="V3309" s="6" t="inlineStr">
        <is>
          <t>not selected</t>
        </is>
      </c>
    </row>
    <row r="3310">
      <c r="A3310" s="6" t="inlineStr">
        <is>
          <t>DJ30</t>
        </is>
      </c>
      <c r="B3310" s="6" t="inlineStr">
        <is>
          <t>2025-01-17</t>
        </is>
      </c>
      <c r="C3310" s="6" t="inlineStr">
        <is>
          <t>DIA</t>
        </is>
      </c>
      <c r="D3310" s="6" t="inlineStr">
        <is>
          <t>NVDA</t>
        </is>
      </c>
      <c r="E3310" s="6" t="inlineStr">
        <is>
          <t>NVDA</t>
        </is>
      </c>
      <c r="F3310" s="6" t="inlineStr">
        <is>
          <t>-</t>
        </is>
      </c>
      <c r="G3310" s="7" t="n">
        <v>137.504638671875</v>
      </c>
      <c r="H3310" s="6">
        <f>P3279</f>
        <v/>
      </c>
      <c r="I3310" s="9">
        <f>Q3279</f>
        <v/>
      </c>
      <c r="J3310" s="7">
        <f>I3310*G3310</f>
        <v/>
      </c>
      <c r="K3310" s="8">
        <f>IF($J$3318=0,0,J3310/$J$3318)</f>
        <v/>
      </c>
      <c r="L3310" s="6" t="inlineStr">
        <is>
          <t>SELECTED</t>
        </is>
      </c>
      <c r="M3310" s="8" t="n">
        <v>0.2</v>
      </c>
      <c r="N3310" s="7">
        <f>M3310*$J$3318-J3310</f>
        <v/>
      </c>
      <c r="O3310" s="9">
        <f>IF(G3310=0,0,N3310/G3310)</f>
        <v/>
      </c>
      <c r="P3310" s="6">
        <f>IF(M3310&gt;0,D3310,"")</f>
        <v/>
      </c>
      <c r="Q3310" s="9">
        <f>I3310+O3310</f>
        <v/>
      </c>
      <c r="R3310" s="7">
        <f>Q3310*G3310</f>
        <v/>
      </c>
      <c r="S3310" s="8">
        <f>IF($R$3318=0,0,R3310/$R$3318)</f>
        <v/>
      </c>
      <c r="T3310" s="8" t="n">
        <v>0.03915305615544296</v>
      </c>
      <c r="U3310" s="8" t="n">
        <v>0.0370908077075105</v>
      </c>
      <c r="V3310" s="6" t="inlineStr">
        <is>
          <t>remained in weekly selection</t>
        </is>
      </c>
    </row>
    <row r="3311">
      <c r="A3311" s="6" t="inlineStr">
        <is>
          <t>DJ30</t>
        </is>
      </c>
      <c r="B3311" s="6" t="inlineStr">
        <is>
          <t>2025-01-17</t>
        </is>
      </c>
      <c r="C3311" s="6" t="inlineStr">
        <is>
          <t>DIA</t>
        </is>
      </c>
      <c r="D3311" s="6" t="inlineStr">
        <is>
          <t>PG</t>
        </is>
      </c>
      <c r="E3311" s="6" t="inlineStr">
        <is>
          <t>PG</t>
        </is>
      </c>
      <c r="F3311" s="6" t="inlineStr">
        <is>
          <t>-</t>
        </is>
      </c>
      <c r="G3311" s="7" t="n">
        <v>154.7108306884766</v>
      </c>
      <c r="H3311" s="6">
        <f>P3280</f>
        <v/>
      </c>
      <c r="I3311" s="9">
        <f>Q3280</f>
        <v/>
      </c>
      <c r="J3311" s="7">
        <f>I3311*G3311</f>
        <v/>
      </c>
      <c r="K3311" s="8">
        <f>IF($J$3318=0,0,J3311/$J$3318)</f>
        <v/>
      </c>
      <c r="L3311" s="6" t="inlineStr">
        <is>
          <t>WATCHLIST</t>
        </is>
      </c>
      <c r="M3311" s="8" t="n">
        <v>0</v>
      </c>
      <c r="N3311" s="7">
        <f>M3311*$J$3318-J3311</f>
        <v/>
      </c>
      <c r="O3311" s="9">
        <f>IF(G3311=0,0,N3311/G3311)</f>
        <v/>
      </c>
      <c r="P3311" s="6">
        <f>IF(M3311&gt;0,D3311,"")</f>
        <v/>
      </c>
      <c r="Q3311" s="9">
        <f>I3311+O3311</f>
        <v/>
      </c>
      <c r="R3311" s="7">
        <f>Q3311*G3311</f>
        <v/>
      </c>
      <c r="S3311" s="8">
        <f>IF($R$3318=0,0,R3311/$R$3318)</f>
        <v/>
      </c>
      <c r="T3311" s="8" t="n">
        <v>0.03915305615544296</v>
      </c>
      <c r="U3311" s="8" t="n">
        <v>0.0370908077075105</v>
      </c>
      <c r="V3311" s="6" t="inlineStr">
        <is>
          <t>not selected</t>
        </is>
      </c>
    </row>
    <row r="3312">
      <c r="A3312" s="6" t="inlineStr">
        <is>
          <t>DJ30</t>
        </is>
      </c>
      <c r="B3312" s="6" t="inlineStr">
        <is>
          <t>2025-01-17</t>
        </is>
      </c>
      <c r="C3312" s="6" t="inlineStr">
        <is>
          <t>DIA</t>
        </is>
      </c>
      <c r="D3312" s="6" t="inlineStr">
        <is>
          <t>SHW</t>
        </is>
      </c>
      <c r="E3312" s="6" t="inlineStr">
        <is>
          <t>SHW</t>
        </is>
      </c>
      <c r="F3312" s="6" t="inlineStr">
        <is>
          <t>-</t>
        </is>
      </c>
      <c r="G3312" s="7" t="n">
        <v>349.1750793457031</v>
      </c>
      <c r="H3312" s="6">
        <f>P3281</f>
        <v/>
      </c>
      <c r="I3312" s="9">
        <f>Q3281</f>
        <v/>
      </c>
      <c r="J3312" s="7">
        <f>I3312*G3312</f>
        <v/>
      </c>
      <c r="K3312" s="8">
        <f>IF($J$3318=0,0,J3312/$J$3318)</f>
        <v/>
      </c>
      <c r="L3312" s="6" t="inlineStr">
        <is>
          <t>WATCHLIST</t>
        </is>
      </c>
      <c r="M3312" s="8" t="n">
        <v>0</v>
      </c>
      <c r="N3312" s="7">
        <f>M3312*$J$3318-J3312</f>
        <v/>
      </c>
      <c r="O3312" s="9">
        <f>IF(G3312=0,0,N3312/G3312)</f>
        <v/>
      </c>
      <c r="P3312" s="6">
        <f>IF(M3312&gt;0,D3312,"")</f>
        <v/>
      </c>
      <c r="Q3312" s="9">
        <f>I3312+O3312</f>
        <v/>
      </c>
      <c r="R3312" s="7">
        <f>Q3312*G3312</f>
        <v/>
      </c>
      <c r="S3312" s="8">
        <f>IF($R$3318=0,0,R3312/$R$3318)</f>
        <v/>
      </c>
      <c r="T3312" s="8" t="n">
        <v>0.03915305615544296</v>
      </c>
      <c r="U3312" s="8" t="n">
        <v>0.0370908077075105</v>
      </c>
      <c r="V3312" s="6" t="inlineStr">
        <is>
          <t>not selected</t>
        </is>
      </c>
    </row>
    <row r="3313">
      <c r="A3313" s="6" t="inlineStr">
        <is>
          <t>DJ30</t>
        </is>
      </c>
      <c r="B3313" s="6" t="inlineStr">
        <is>
          <t>2025-01-17</t>
        </is>
      </c>
      <c r="C3313" s="6" t="inlineStr">
        <is>
          <t>DIA</t>
        </is>
      </c>
      <c r="D3313" s="6" t="inlineStr">
        <is>
          <t>TRV</t>
        </is>
      </c>
      <c r="E3313" s="6" t="inlineStr">
        <is>
          <t>TRV</t>
        </is>
      </c>
      <c r="F3313" s="6" t="inlineStr">
        <is>
          <t>-</t>
        </is>
      </c>
      <c r="G3313" s="7" t="n">
        <v>233.8438720703125</v>
      </c>
      <c r="H3313" s="6">
        <f>P3282</f>
        <v/>
      </c>
      <c r="I3313" s="9">
        <f>Q3282</f>
        <v/>
      </c>
      <c r="J3313" s="7">
        <f>I3313*G3313</f>
        <v/>
      </c>
      <c r="K3313" s="8">
        <f>IF($J$3318=0,0,J3313/$J$3318)</f>
        <v/>
      </c>
      <c r="L3313" s="6" t="inlineStr">
        <is>
          <t>SELECTED</t>
        </is>
      </c>
      <c r="M3313" s="8" t="n">
        <v>0.2</v>
      </c>
      <c r="N3313" s="7">
        <f>M3313*$J$3318-J3313</f>
        <v/>
      </c>
      <c r="O3313" s="9">
        <f>IF(G3313=0,0,N3313/G3313)</f>
        <v/>
      </c>
      <c r="P3313" s="6">
        <f>IF(M3313&gt;0,D3313,"")</f>
        <v/>
      </c>
      <c r="Q3313" s="9">
        <f>I3313+O3313</f>
        <v/>
      </c>
      <c r="R3313" s="7">
        <f>Q3313*G3313</f>
        <v/>
      </c>
      <c r="S3313" s="8">
        <f>IF($R$3318=0,0,R3313/$R$3318)</f>
        <v/>
      </c>
      <c r="T3313" s="8" t="n">
        <v>0.03915305615544296</v>
      </c>
      <c r="U3313" s="8" t="n">
        <v>0.0370908077075105</v>
      </c>
      <c r="V3313" s="6" t="inlineStr">
        <is>
          <t>entered weekly selection</t>
        </is>
      </c>
    </row>
    <row r="3314">
      <c r="A3314" s="6" t="inlineStr">
        <is>
          <t>DJ30</t>
        </is>
      </c>
      <c r="B3314" s="6" t="inlineStr">
        <is>
          <t>2025-01-17</t>
        </is>
      </c>
      <c r="C3314" s="6" t="inlineStr">
        <is>
          <t>DIA</t>
        </is>
      </c>
      <c r="D3314" s="6" t="inlineStr">
        <is>
          <t>UNH</t>
        </is>
      </c>
      <c r="E3314" s="6" t="inlineStr">
        <is>
          <t>UNH</t>
        </is>
      </c>
      <c r="F3314" s="6" t="inlineStr">
        <is>
          <t>-</t>
        </is>
      </c>
      <c r="G3314" s="7" t="n">
        <v>490.8664855957031</v>
      </c>
      <c r="H3314" s="6">
        <f>P3283</f>
        <v/>
      </c>
      <c r="I3314" s="9">
        <f>Q3283</f>
        <v/>
      </c>
      <c r="J3314" s="7">
        <f>I3314*G3314</f>
        <v/>
      </c>
      <c r="K3314" s="8">
        <f>IF($J$3318=0,0,J3314/$J$3318)</f>
        <v/>
      </c>
      <c r="L3314" s="6" t="inlineStr">
        <is>
          <t>SELECTED</t>
        </is>
      </c>
      <c r="M3314" s="8" t="n">
        <v>0.2</v>
      </c>
      <c r="N3314" s="7">
        <f>M3314*$J$3318-J3314</f>
        <v/>
      </c>
      <c r="O3314" s="9">
        <f>IF(G3314=0,0,N3314/G3314)</f>
        <v/>
      </c>
      <c r="P3314" s="6">
        <f>IF(M3314&gt;0,D3314,"")</f>
        <v/>
      </c>
      <c r="Q3314" s="9">
        <f>I3314+O3314</f>
        <v/>
      </c>
      <c r="R3314" s="7">
        <f>Q3314*G3314</f>
        <v/>
      </c>
      <c r="S3314" s="8">
        <f>IF($R$3318=0,0,R3314/$R$3318)</f>
        <v/>
      </c>
      <c r="T3314" s="8" t="n">
        <v>0.03915305615544296</v>
      </c>
      <c r="U3314" s="8" t="n">
        <v>0.0370908077075105</v>
      </c>
      <c r="V3314" s="6" t="inlineStr">
        <is>
          <t>entered weekly selection</t>
        </is>
      </c>
    </row>
    <row r="3315">
      <c r="A3315" s="6" t="inlineStr">
        <is>
          <t>DJ30</t>
        </is>
      </c>
      <c r="B3315" s="6" t="inlineStr">
        <is>
          <t>2025-01-17</t>
        </is>
      </c>
      <c r="C3315" s="6" t="inlineStr">
        <is>
          <t>DIA</t>
        </is>
      </c>
      <c r="D3315" s="6" t="inlineStr">
        <is>
          <t>V</t>
        </is>
      </c>
      <c r="E3315" s="6" t="inlineStr">
        <is>
          <t>V</t>
        </is>
      </c>
      <c r="F3315" s="6" t="inlineStr">
        <is>
          <t>-</t>
        </is>
      </c>
      <c r="G3315" s="7" t="n">
        <v>316.0575561523437</v>
      </c>
      <c r="H3315" s="6">
        <f>P3284</f>
        <v/>
      </c>
      <c r="I3315" s="9">
        <f>Q3284</f>
        <v/>
      </c>
      <c r="J3315" s="7">
        <f>I3315*G3315</f>
        <v/>
      </c>
      <c r="K3315" s="8">
        <f>IF($J$3318=0,0,J3315/$J$3318)</f>
        <v/>
      </c>
      <c r="L3315" s="6" t="inlineStr">
        <is>
          <t>WATCHLIST</t>
        </is>
      </c>
      <c r="M3315" s="8" t="n">
        <v>0</v>
      </c>
      <c r="N3315" s="7">
        <f>M3315*$J$3318-J3315</f>
        <v/>
      </c>
      <c r="O3315" s="9">
        <f>IF(G3315=0,0,N3315/G3315)</f>
        <v/>
      </c>
      <c r="P3315" s="6">
        <f>IF(M3315&gt;0,D3315,"")</f>
        <v/>
      </c>
      <c r="Q3315" s="9">
        <f>I3315+O3315</f>
        <v/>
      </c>
      <c r="R3315" s="7">
        <f>Q3315*G3315</f>
        <v/>
      </c>
      <c r="S3315" s="8">
        <f>IF($R$3318=0,0,R3315/$R$3318)</f>
        <v/>
      </c>
      <c r="T3315" s="8" t="n">
        <v>0.03915305615544296</v>
      </c>
      <c r="U3315" s="8" t="n">
        <v>0.0370908077075105</v>
      </c>
      <c r="V3315" s="6" t="inlineStr">
        <is>
          <t>not selected</t>
        </is>
      </c>
    </row>
    <row r="3316">
      <c r="A3316" s="6" t="inlineStr">
        <is>
          <t>DJ30</t>
        </is>
      </c>
      <c r="B3316" s="6" t="inlineStr">
        <is>
          <t>2025-01-17</t>
        </is>
      </c>
      <c r="C3316" s="6" t="inlineStr">
        <is>
          <t>DIA</t>
        </is>
      </c>
      <c r="D3316" s="6" t="inlineStr">
        <is>
          <t>VZ</t>
        </is>
      </c>
      <c r="E3316" s="6" t="inlineStr">
        <is>
          <t>VZ</t>
        </is>
      </c>
      <c r="F3316" s="6" t="inlineStr">
        <is>
          <t>-</t>
        </is>
      </c>
      <c r="G3316" s="7" t="n">
        <v>35.75740051269531</v>
      </c>
      <c r="H3316" s="6">
        <f>P3285</f>
        <v/>
      </c>
      <c r="I3316" s="9">
        <f>Q3285</f>
        <v/>
      </c>
      <c r="J3316" s="7">
        <f>I3316*G3316</f>
        <v/>
      </c>
      <c r="K3316" s="8">
        <f>IF($J$3318=0,0,J3316/$J$3318)</f>
        <v/>
      </c>
      <c r="L3316" s="6" t="inlineStr">
        <is>
          <t>WATCHLIST</t>
        </is>
      </c>
      <c r="M3316" s="8" t="n">
        <v>0</v>
      </c>
      <c r="N3316" s="7">
        <f>M3316*$J$3318-J3316</f>
        <v/>
      </c>
      <c r="O3316" s="9">
        <f>IF(G3316=0,0,N3316/G3316)</f>
        <v/>
      </c>
      <c r="P3316" s="6">
        <f>IF(M3316&gt;0,D3316,"")</f>
        <v/>
      </c>
      <c r="Q3316" s="9">
        <f>I3316+O3316</f>
        <v/>
      </c>
      <c r="R3316" s="7">
        <f>Q3316*G3316</f>
        <v/>
      </c>
      <c r="S3316" s="8">
        <f>IF($R$3318=0,0,R3316/$R$3318)</f>
        <v/>
      </c>
      <c r="T3316" s="8" t="n">
        <v>0.03915305615544296</v>
      </c>
      <c r="U3316" s="8" t="n">
        <v>0.0370908077075105</v>
      </c>
      <c r="V3316" s="6" t="inlineStr">
        <is>
          <t>not selected</t>
        </is>
      </c>
    </row>
    <row r="3317">
      <c r="A3317" s="6" t="inlineStr">
        <is>
          <t>DJ30</t>
        </is>
      </c>
      <c r="B3317" s="6" t="inlineStr">
        <is>
          <t>2025-01-17</t>
        </is>
      </c>
      <c r="C3317" s="6" t="inlineStr">
        <is>
          <t>DIA</t>
        </is>
      </c>
      <c r="D3317" s="6" t="inlineStr">
        <is>
          <t>WMT</t>
        </is>
      </c>
      <c r="E3317" s="6" t="inlineStr">
        <is>
          <t>WMT</t>
        </is>
      </c>
      <c r="F3317" s="6" t="inlineStr">
        <is>
          <t>-</t>
        </is>
      </c>
      <c r="G3317" s="7" t="n">
        <v>90.70867919921876</v>
      </c>
      <c r="H3317" s="6">
        <f>P3286</f>
        <v/>
      </c>
      <c r="I3317" s="9">
        <f>Q3286</f>
        <v/>
      </c>
      <c r="J3317" s="7">
        <f>I3317*G3317</f>
        <v/>
      </c>
      <c r="K3317" s="8">
        <f>IF($J$3318=0,0,J3317/$J$3318)</f>
        <v/>
      </c>
      <c r="L3317" s="6" t="inlineStr">
        <is>
          <t>WATCHLIST</t>
        </is>
      </c>
      <c r="M3317" s="8" t="n">
        <v>0</v>
      </c>
      <c r="N3317" s="7">
        <f>M3317*$J$3318-J3317</f>
        <v/>
      </c>
      <c r="O3317" s="9">
        <f>IF(G3317=0,0,N3317/G3317)</f>
        <v/>
      </c>
      <c r="P3317" s="6">
        <f>IF(M3317&gt;0,D3317,"")</f>
        <v/>
      </c>
      <c r="Q3317" s="9">
        <f>I3317+O3317</f>
        <v/>
      </c>
      <c r="R3317" s="7">
        <f>Q3317*G3317</f>
        <v/>
      </c>
      <c r="S3317" s="8">
        <f>IF($R$3318=0,0,R3317/$R$3318)</f>
        <v/>
      </c>
      <c r="T3317" s="8" t="n">
        <v>0.03915305615544296</v>
      </c>
      <c r="U3317" s="8" t="n">
        <v>0.0370908077075105</v>
      </c>
      <c r="V3317" s="6" t="inlineStr">
        <is>
          <t>not selected</t>
        </is>
      </c>
    </row>
    <row r="3318">
      <c r="A3318" s="10" t="inlineStr">
        <is>
          <t>DJ30</t>
        </is>
      </c>
      <c r="B3318" s="10" t="inlineStr">
        <is>
          <t>2025-01-17</t>
        </is>
      </c>
      <c r="C3318" s="10" t="inlineStr">
        <is>
          <t>DIA</t>
        </is>
      </c>
      <c r="D3318" s="10" t="inlineStr">
        <is>
          <t>Tot Portfolio</t>
        </is>
      </c>
      <c r="E3318" s="10" t="inlineStr"/>
      <c r="F3318" s="10" t="inlineStr"/>
      <c r="G3318" s="11" t="inlineStr"/>
      <c r="H3318" s="10" t="inlineStr"/>
      <c r="I3318" s="12" t="inlineStr"/>
      <c r="J3318" s="11">
        <f>SUM(J3288:J3317)</f>
        <v/>
      </c>
      <c r="K3318" s="13">
        <f>SUM(K3288:K3317)</f>
        <v/>
      </c>
      <c r="L3318" s="10" t="inlineStr">
        <is>
          <t>TOTAL</t>
        </is>
      </c>
      <c r="M3318" s="13">
        <f>SUM(M3288:M3317)</f>
        <v/>
      </c>
      <c r="N3318" s="11">
        <f>SUM(N3288:N3317)</f>
        <v/>
      </c>
      <c r="O3318" s="12">
        <f>SUM(O3288:O3317)</f>
        <v/>
      </c>
      <c r="P3318" s="10" t="inlineStr"/>
      <c r="Q3318" s="12" t="inlineStr"/>
      <c r="R3318" s="11">
        <f>SUM(R3288:R3317)</f>
        <v/>
      </c>
      <c r="S3318" s="13">
        <f>SUM(S3288:S3317)</f>
        <v/>
      </c>
      <c r="T3318" s="13" t="n">
        <v>0.03915305615544296</v>
      </c>
      <c r="U3318" s="13" t="n">
        <v>0.0370908077075105</v>
      </c>
      <c r="V3318" s="10" t="inlineStr"/>
    </row>
    <row r="3319">
      <c r="A3319" s="6" t="inlineStr">
        <is>
          <t>DJ30</t>
        </is>
      </c>
      <c r="B3319" s="6" t="inlineStr">
        <is>
          <t>2025-01-24</t>
        </is>
      </c>
      <c r="C3319" s="6" t="inlineStr">
        <is>
          <t>DIA</t>
        </is>
      </c>
      <c r="D3319" s="6" t="inlineStr">
        <is>
          <t>AAPL</t>
        </is>
      </c>
      <c r="E3319" s="6" t="inlineStr">
        <is>
          <t>AAPL</t>
        </is>
      </c>
      <c r="F3319" s="6" t="inlineStr">
        <is>
          <t>-</t>
        </is>
      </c>
      <c r="G3319" s="7" t="n">
        <v>221.3656616210937</v>
      </c>
      <c r="H3319" s="6">
        <f>P3288</f>
        <v/>
      </c>
      <c r="I3319" s="9">
        <f>Q3288</f>
        <v/>
      </c>
      <c r="J3319" s="7">
        <f>I3319*G3319</f>
        <v/>
      </c>
      <c r="K3319" s="8">
        <f>IF($J$3349=0,0,J3319/$J$3349)</f>
        <v/>
      </c>
      <c r="L3319" s="6" t="inlineStr">
        <is>
          <t>SELECTED</t>
        </is>
      </c>
      <c r="M3319" s="8" t="n">
        <v>0.2</v>
      </c>
      <c r="N3319" s="7">
        <f>M3319*$J$3349-J3319</f>
        <v/>
      </c>
      <c r="O3319" s="9">
        <f>IF(G3319=0,0,N3319/G3319)</f>
        <v/>
      </c>
      <c r="P3319" s="6">
        <f>IF(M3319&gt;0,D3319,"")</f>
        <v/>
      </c>
      <c r="Q3319" s="9">
        <f>I3319+O3319</f>
        <v/>
      </c>
      <c r="R3319" s="7">
        <f>Q3319*G3319</f>
        <v/>
      </c>
      <c r="S3319" s="8">
        <f>IF($R$3349=0,0,R3319/$R$3349)</f>
        <v/>
      </c>
      <c r="T3319" s="8" t="n">
        <v>0.02326151159187373</v>
      </c>
      <c r="U3319" s="8" t="n">
        <v>0.02162311436263864</v>
      </c>
      <c r="V3319" s="6" t="inlineStr">
        <is>
          <t>remained in weekly selection</t>
        </is>
      </c>
    </row>
    <row r="3320">
      <c r="A3320" s="6" t="inlineStr">
        <is>
          <t>DJ30</t>
        </is>
      </c>
      <c r="B3320" s="6" t="inlineStr">
        <is>
          <t>2025-01-24</t>
        </is>
      </c>
      <c r="C3320" s="6" t="inlineStr">
        <is>
          <t>DIA</t>
        </is>
      </c>
      <c r="D3320" s="6" t="inlineStr">
        <is>
          <t>AMGN</t>
        </is>
      </c>
      <c r="E3320" s="6" t="inlineStr">
        <is>
          <t>AMGN</t>
        </is>
      </c>
      <c r="F3320" s="6" t="inlineStr">
        <is>
          <t>-</t>
        </is>
      </c>
      <c r="G3320" s="7" t="n">
        <v>262.9166870117188</v>
      </c>
      <c r="H3320" s="6">
        <f>P3289</f>
        <v/>
      </c>
      <c r="I3320" s="9">
        <f>Q3289</f>
        <v/>
      </c>
      <c r="J3320" s="7">
        <f>I3320*G3320</f>
        <v/>
      </c>
      <c r="K3320" s="8">
        <f>IF($J$3349=0,0,J3320/$J$3349)</f>
        <v/>
      </c>
      <c r="L3320" s="6" t="inlineStr">
        <is>
          <t>REJECTED</t>
        </is>
      </c>
      <c r="M3320" s="8" t="n">
        <v>0</v>
      </c>
      <c r="N3320" s="7">
        <f>M3320*$J$3349-J3320</f>
        <v/>
      </c>
      <c r="O3320" s="9">
        <f>IF(G3320=0,0,N3320/G3320)</f>
        <v/>
      </c>
      <c r="P3320" s="6">
        <f>IF(M3320&gt;0,D3320,"")</f>
        <v/>
      </c>
      <c r="Q3320" s="9">
        <f>I3320+O3320</f>
        <v/>
      </c>
      <c r="R3320" s="7">
        <f>Q3320*G3320</f>
        <v/>
      </c>
      <c r="S3320" s="8">
        <f>IF($R$3349=0,0,R3320/$R$3349)</f>
        <v/>
      </c>
      <c r="T3320" s="8" t="n">
        <v>0.02326151159187373</v>
      </c>
      <c r="U3320" s="8" t="n">
        <v>0.02162311436263864</v>
      </c>
      <c r="V3320" s="6" t="inlineStr">
        <is>
          <t>not selected</t>
        </is>
      </c>
    </row>
    <row r="3321">
      <c r="A3321" s="6" t="inlineStr">
        <is>
          <t>DJ30</t>
        </is>
      </c>
      <c r="B3321" s="6" t="inlineStr">
        <is>
          <t>2025-01-24</t>
        </is>
      </c>
      <c r="C3321" s="6" t="inlineStr">
        <is>
          <t>DIA</t>
        </is>
      </c>
      <c r="D3321" s="6" t="inlineStr">
        <is>
          <t>AMZN</t>
        </is>
      </c>
      <c r="E3321" s="6" t="inlineStr">
        <is>
          <t>AMZN</t>
        </is>
      </c>
      <c r="F3321" s="6" t="inlineStr">
        <is>
          <t>-</t>
        </is>
      </c>
      <c r="G3321" s="7" t="n">
        <v>234.8500061035156</v>
      </c>
      <c r="H3321" s="6">
        <f>P3290</f>
        <v/>
      </c>
      <c r="I3321" s="9">
        <f>Q3290</f>
        <v/>
      </c>
      <c r="J3321" s="7">
        <f>I3321*G3321</f>
        <v/>
      </c>
      <c r="K3321" s="8">
        <f>IF($J$3349=0,0,J3321/$J$3349)</f>
        <v/>
      </c>
      <c r="L3321" s="6" t="inlineStr">
        <is>
          <t>WATCHLIST</t>
        </is>
      </c>
      <c r="M3321" s="8" t="n">
        <v>0</v>
      </c>
      <c r="N3321" s="7">
        <f>M3321*$J$3349-J3321</f>
        <v/>
      </c>
      <c r="O3321" s="9">
        <f>IF(G3321=0,0,N3321/G3321)</f>
        <v/>
      </c>
      <c r="P3321" s="6">
        <f>IF(M3321&gt;0,D3321,"")</f>
        <v/>
      </c>
      <c r="Q3321" s="9">
        <f>I3321+O3321</f>
        <v/>
      </c>
      <c r="R3321" s="7">
        <f>Q3321*G3321</f>
        <v/>
      </c>
      <c r="S3321" s="8">
        <f>IF($R$3349=0,0,R3321/$R$3349)</f>
        <v/>
      </c>
      <c r="T3321" s="8" t="n">
        <v>0.02326151159187373</v>
      </c>
      <c r="U3321" s="8" t="n">
        <v>0.02162311436263864</v>
      </c>
      <c r="V3321" s="6" t="inlineStr">
        <is>
          <t>not selected</t>
        </is>
      </c>
    </row>
    <row r="3322">
      <c r="A3322" s="6" t="inlineStr">
        <is>
          <t>DJ30</t>
        </is>
      </c>
      <c r="B3322" s="6" t="inlineStr">
        <is>
          <t>2025-01-24</t>
        </is>
      </c>
      <c r="C3322" s="6" t="inlineStr">
        <is>
          <t>DIA</t>
        </is>
      </c>
      <c r="D3322" s="6" t="inlineStr">
        <is>
          <t>AXP</t>
        </is>
      </c>
      <c r="E3322" s="6" t="inlineStr">
        <is>
          <t>AXP</t>
        </is>
      </c>
      <c r="F3322" s="6" t="inlineStr">
        <is>
          <t>-</t>
        </is>
      </c>
      <c r="G3322" s="7" t="n">
        <v>316.9544067382812</v>
      </c>
      <c r="H3322" s="6">
        <f>P3291</f>
        <v/>
      </c>
      <c r="I3322" s="9">
        <f>Q3291</f>
        <v/>
      </c>
      <c r="J3322" s="7">
        <f>I3322*G3322</f>
        <v/>
      </c>
      <c r="K3322" s="8">
        <f>IF($J$3349=0,0,J3322/$J$3349)</f>
        <v/>
      </c>
      <c r="L3322" s="6" t="inlineStr">
        <is>
          <t>WATCHLIST</t>
        </is>
      </c>
      <c r="M3322" s="8" t="n">
        <v>0</v>
      </c>
      <c r="N3322" s="7">
        <f>M3322*$J$3349-J3322</f>
        <v/>
      </c>
      <c r="O3322" s="9">
        <f>IF(G3322=0,0,N3322/G3322)</f>
        <v/>
      </c>
      <c r="P3322" s="6">
        <f>IF(M3322&gt;0,D3322,"")</f>
        <v/>
      </c>
      <c r="Q3322" s="9">
        <f>I3322+O3322</f>
        <v/>
      </c>
      <c r="R3322" s="7">
        <f>Q3322*G3322</f>
        <v/>
      </c>
      <c r="S3322" s="8">
        <f>IF($R$3349=0,0,R3322/$R$3349)</f>
        <v/>
      </c>
      <c r="T3322" s="8" t="n">
        <v>0.02326151159187373</v>
      </c>
      <c r="U3322" s="8" t="n">
        <v>0.02162311436263864</v>
      </c>
      <c r="V3322" s="6" t="inlineStr">
        <is>
          <t>not selected</t>
        </is>
      </c>
    </row>
    <row r="3323">
      <c r="A3323" s="6" t="inlineStr">
        <is>
          <t>DJ30</t>
        </is>
      </c>
      <c r="B3323" s="6" t="inlineStr">
        <is>
          <t>2025-01-24</t>
        </is>
      </c>
      <c r="C3323" s="6" t="inlineStr">
        <is>
          <t>DIA</t>
        </is>
      </c>
      <c r="D3323" s="6" t="inlineStr">
        <is>
          <t>BA</t>
        </is>
      </c>
      <c r="E3323" s="6" t="inlineStr">
        <is>
          <t>BA</t>
        </is>
      </c>
      <c r="F3323" s="6" t="inlineStr">
        <is>
          <t>-</t>
        </is>
      </c>
      <c r="G3323" s="7" t="n">
        <v>176.0599975585938</v>
      </c>
      <c r="H3323" s="6">
        <f>P3292</f>
        <v/>
      </c>
      <c r="I3323" s="9">
        <f>Q3292</f>
        <v/>
      </c>
      <c r="J3323" s="7">
        <f>I3323*G3323</f>
        <v/>
      </c>
      <c r="K3323" s="8">
        <f>IF($J$3349=0,0,J3323/$J$3349)</f>
        <v/>
      </c>
      <c r="L3323" s="6" t="inlineStr">
        <is>
          <t>REJECTED</t>
        </is>
      </c>
      <c r="M3323" s="8" t="n">
        <v>0</v>
      </c>
      <c r="N3323" s="7">
        <f>M3323*$J$3349-J3323</f>
        <v/>
      </c>
      <c r="O3323" s="9">
        <f>IF(G3323=0,0,N3323/G3323)</f>
        <v/>
      </c>
      <c r="P3323" s="6">
        <f>IF(M3323&gt;0,D3323,"")</f>
        <v/>
      </c>
      <c r="Q3323" s="9">
        <f>I3323+O3323</f>
        <v/>
      </c>
      <c r="R3323" s="7">
        <f>Q3323*G3323</f>
        <v/>
      </c>
      <c r="S3323" s="8">
        <f>IF($R$3349=0,0,R3323/$R$3349)</f>
        <v/>
      </c>
      <c r="T3323" s="8" t="n">
        <v>0.02326151159187373</v>
      </c>
      <c r="U3323" s="8" t="n">
        <v>0.02162311436263864</v>
      </c>
      <c r="V3323" s="6" t="inlineStr">
        <is>
          <t>not selected</t>
        </is>
      </c>
    </row>
    <row r="3324">
      <c r="A3324" s="6" t="inlineStr">
        <is>
          <t>DJ30</t>
        </is>
      </c>
      <c r="B3324" s="6" t="inlineStr">
        <is>
          <t>2025-01-24</t>
        </is>
      </c>
      <c r="C3324" s="6" t="inlineStr">
        <is>
          <t>DIA</t>
        </is>
      </c>
      <c r="D3324" s="6" t="inlineStr">
        <is>
          <t>CAT</t>
        </is>
      </c>
      <c r="E3324" s="6" t="inlineStr">
        <is>
          <t>CAT</t>
        </is>
      </c>
      <c r="F3324" s="6" t="inlineStr">
        <is>
          <t>-</t>
        </is>
      </c>
      <c r="G3324" s="7" t="n">
        <v>401.3331909179688</v>
      </c>
      <c r="H3324" s="6">
        <f>P3293</f>
        <v/>
      </c>
      <c r="I3324" s="9">
        <f>Q3293</f>
        <v/>
      </c>
      <c r="J3324" s="7">
        <f>I3324*G3324</f>
        <v/>
      </c>
      <c r="K3324" s="8">
        <f>IF($J$3349=0,0,J3324/$J$3349)</f>
        <v/>
      </c>
      <c r="L3324" s="6" t="inlineStr">
        <is>
          <t>WATCHLIST</t>
        </is>
      </c>
      <c r="M3324" s="8" t="n">
        <v>0</v>
      </c>
      <c r="N3324" s="7">
        <f>M3324*$J$3349-J3324</f>
        <v/>
      </c>
      <c r="O3324" s="9">
        <f>IF(G3324=0,0,N3324/G3324)</f>
        <v/>
      </c>
      <c r="P3324" s="6">
        <f>IF(M3324&gt;0,D3324,"")</f>
        <v/>
      </c>
      <c r="Q3324" s="9">
        <f>I3324+O3324</f>
        <v/>
      </c>
      <c r="R3324" s="7">
        <f>Q3324*G3324</f>
        <v/>
      </c>
      <c r="S3324" s="8">
        <f>IF($R$3349=0,0,R3324/$R$3349)</f>
        <v/>
      </c>
      <c r="T3324" s="8" t="n">
        <v>0.02326151159187373</v>
      </c>
      <c r="U3324" s="8" t="n">
        <v>0.02162311436263864</v>
      </c>
      <c r="V3324" s="6" t="inlineStr">
        <is>
          <t>not selected</t>
        </is>
      </c>
    </row>
    <row r="3325">
      <c r="A3325" s="6" t="inlineStr">
        <is>
          <t>DJ30</t>
        </is>
      </c>
      <c r="B3325" s="6" t="inlineStr">
        <is>
          <t>2025-01-24</t>
        </is>
      </c>
      <c r="C3325" s="6" t="inlineStr">
        <is>
          <t>DIA</t>
        </is>
      </c>
      <c r="D3325" s="6" t="inlineStr">
        <is>
          <t>CRM</t>
        </is>
      </c>
      <c r="E3325" s="6" t="inlineStr">
        <is>
          <t>CRM</t>
        </is>
      </c>
      <c r="F3325" s="6" t="inlineStr">
        <is>
          <t>-</t>
        </is>
      </c>
      <c r="G3325" s="7" t="n">
        <v>330.0350646972656</v>
      </c>
      <c r="H3325" s="6">
        <f>P3294</f>
        <v/>
      </c>
      <c r="I3325" s="9">
        <f>Q3294</f>
        <v/>
      </c>
      <c r="J3325" s="7">
        <f>I3325*G3325</f>
        <v/>
      </c>
      <c r="K3325" s="8">
        <f>IF($J$3349=0,0,J3325/$J$3349)</f>
        <v/>
      </c>
      <c r="L3325" s="6" t="inlineStr">
        <is>
          <t>REJECTED</t>
        </is>
      </c>
      <c r="M3325" s="8" t="n">
        <v>0</v>
      </c>
      <c r="N3325" s="7">
        <f>M3325*$J$3349-J3325</f>
        <v/>
      </c>
      <c r="O3325" s="9">
        <f>IF(G3325=0,0,N3325/G3325)</f>
        <v/>
      </c>
      <c r="P3325" s="6">
        <f>IF(M3325&gt;0,D3325,"")</f>
        <v/>
      </c>
      <c r="Q3325" s="9">
        <f>I3325+O3325</f>
        <v/>
      </c>
      <c r="R3325" s="7">
        <f>Q3325*G3325</f>
        <v/>
      </c>
      <c r="S3325" s="8">
        <f>IF($R$3349=0,0,R3325/$R$3349)</f>
        <v/>
      </c>
      <c r="T3325" s="8" t="n">
        <v>0.02326151159187373</v>
      </c>
      <c r="U3325" s="8" t="n">
        <v>0.02162311436263864</v>
      </c>
      <c r="V3325" s="6" t="inlineStr">
        <is>
          <t>not selected</t>
        </is>
      </c>
    </row>
    <row r="3326">
      <c r="A3326" s="6" t="inlineStr">
        <is>
          <t>DJ30</t>
        </is>
      </c>
      <c r="B3326" s="6" t="inlineStr">
        <is>
          <t>2025-01-24</t>
        </is>
      </c>
      <c r="C3326" s="6" t="inlineStr">
        <is>
          <t>DIA</t>
        </is>
      </c>
      <c r="D3326" s="6" t="inlineStr">
        <is>
          <t>CSCO</t>
        </is>
      </c>
      <c r="E3326" s="6" t="inlineStr">
        <is>
          <t>CSCO</t>
        </is>
      </c>
      <c r="F3326" s="6" t="inlineStr">
        <is>
          <t>-</t>
        </is>
      </c>
      <c r="G3326" s="7" t="n">
        <v>60.42642593383789</v>
      </c>
      <c r="H3326" s="6">
        <f>P3295</f>
        <v/>
      </c>
      <c r="I3326" s="9">
        <f>Q3295</f>
        <v/>
      </c>
      <c r="J3326" s="7">
        <f>I3326*G3326</f>
        <v/>
      </c>
      <c r="K3326" s="8">
        <f>IF($J$3349=0,0,J3326/$J$3349)</f>
        <v/>
      </c>
      <c r="L3326" s="6" t="inlineStr">
        <is>
          <t>WATCHLIST</t>
        </is>
      </c>
      <c r="M3326" s="8" t="n">
        <v>0</v>
      </c>
      <c r="N3326" s="7">
        <f>M3326*$J$3349-J3326</f>
        <v/>
      </c>
      <c r="O3326" s="9">
        <f>IF(G3326=0,0,N3326/G3326)</f>
        <v/>
      </c>
      <c r="P3326" s="6">
        <f>IF(M3326&gt;0,D3326,"")</f>
        <v/>
      </c>
      <c r="Q3326" s="9">
        <f>I3326+O3326</f>
        <v/>
      </c>
      <c r="R3326" s="7">
        <f>Q3326*G3326</f>
        <v/>
      </c>
      <c r="S3326" s="8">
        <f>IF($R$3349=0,0,R3326/$R$3349)</f>
        <v/>
      </c>
      <c r="T3326" s="8" t="n">
        <v>0.02326151159187373</v>
      </c>
      <c r="U3326" s="8" t="n">
        <v>0.02162311436263864</v>
      </c>
      <c r="V3326" s="6" t="inlineStr">
        <is>
          <t>not selected</t>
        </is>
      </c>
    </row>
    <row r="3327">
      <c r="A3327" s="6" t="inlineStr">
        <is>
          <t>DJ30</t>
        </is>
      </c>
      <c r="B3327" s="6" t="inlineStr">
        <is>
          <t>2025-01-24</t>
        </is>
      </c>
      <c r="C3327" s="6" t="inlineStr">
        <is>
          <t>DIA</t>
        </is>
      </c>
      <c r="D3327" s="6" t="inlineStr">
        <is>
          <t>CVX</t>
        </is>
      </c>
      <c r="E3327" s="6" t="inlineStr">
        <is>
          <t>CVX</t>
        </is>
      </c>
      <c r="F3327" s="6" t="inlineStr">
        <is>
          <t>-</t>
        </is>
      </c>
      <c r="G3327" s="7" t="n">
        <v>145.9761199951172</v>
      </c>
      <c r="H3327" s="6">
        <f>P3296</f>
        <v/>
      </c>
      <c r="I3327" s="9">
        <f>Q3296</f>
        <v/>
      </c>
      <c r="J3327" s="7">
        <f>I3327*G3327</f>
        <v/>
      </c>
      <c r="K3327" s="8">
        <f>IF($J$3349=0,0,J3327/$J$3349)</f>
        <v/>
      </c>
      <c r="L3327" s="6" t="inlineStr">
        <is>
          <t>REJECTED</t>
        </is>
      </c>
      <c r="M3327" s="8" t="n">
        <v>0</v>
      </c>
      <c r="N3327" s="7">
        <f>M3327*$J$3349-J3327</f>
        <v/>
      </c>
      <c r="O3327" s="9">
        <f>IF(G3327=0,0,N3327/G3327)</f>
        <v/>
      </c>
      <c r="P3327" s="6">
        <f>IF(M3327&gt;0,D3327,"")</f>
        <v/>
      </c>
      <c r="Q3327" s="9">
        <f>I3327+O3327</f>
        <v/>
      </c>
      <c r="R3327" s="7">
        <f>Q3327*G3327</f>
        <v/>
      </c>
      <c r="S3327" s="8">
        <f>IF($R$3349=0,0,R3327/$R$3349)</f>
        <v/>
      </c>
      <c r="T3327" s="8" t="n">
        <v>0.02326151159187373</v>
      </c>
      <c r="U3327" s="8" t="n">
        <v>0.02162311436263864</v>
      </c>
      <c r="V3327" s="6" t="inlineStr">
        <is>
          <t>not selected</t>
        </is>
      </c>
    </row>
    <row r="3328">
      <c r="A3328" s="6" t="inlineStr">
        <is>
          <t>DJ30</t>
        </is>
      </c>
      <c r="B3328" s="6" t="inlineStr">
        <is>
          <t>2025-01-24</t>
        </is>
      </c>
      <c r="C3328" s="6" t="inlineStr">
        <is>
          <t>DIA</t>
        </is>
      </c>
      <c r="D3328" s="6" t="inlineStr">
        <is>
          <t>DIS</t>
        </is>
      </c>
      <c r="E3328" s="6" t="inlineStr">
        <is>
          <t>DIS</t>
        </is>
      </c>
      <c r="F3328" s="6" t="inlineStr">
        <is>
          <t>-</t>
        </is>
      </c>
      <c r="G3328" s="7" t="n">
        <v>110.9331741333008</v>
      </c>
      <c r="H3328" s="6">
        <f>P3297</f>
        <v/>
      </c>
      <c r="I3328" s="9">
        <f>Q3297</f>
        <v/>
      </c>
      <c r="J3328" s="7">
        <f>I3328*G3328</f>
        <v/>
      </c>
      <c r="K3328" s="8">
        <f>IF($J$3349=0,0,J3328/$J$3349)</f>
        <v/>
      </c>
      <c r="L3328" s="6" t="inlineStr">
        <is>
          <t>REJECTED</t>
        </is>
      </c>
      <c r="M3328" s="8" t="n">
        <v>0</v>
      </c>
      <c r="N3328" s="7">
        <f>M3328*$J$3349-J3328</f>
        <v/>
      </c>
      <c r="O3328" s="9">
        <f>IF(G3328=0,0,N3328/G3328)</f>
        <v/>
      </c>
      <c r="P3328" s="6">
        <f>IF(M3328&gt;0,D3328,"")</f>
        <v/>
      </c>
      <c r="Q3328" s="9">
        <f>I3328+O3328</f>
        <v/>
      </c>
      <c r="R3328" s="7">
        <f>Q3328*G3328</f>
        <v/>
      </c>
      <c r="S3328" s="8">
        <f>IF($R$3349=0,0,R3328/$R$3349)</f>
        <v/>
      </c>
      <c r="T3328" s="8" t="n">
        <v>0.02326151159187373</v>
      </c>
      <c r="U3328" s="8" t="n">
        <v>0.02162311436263864</v>
      </c>
      <c r="V3328" s="6" t="inlineStr">
        <is>
          <t>not selected</t>
        </is>
      </c>
    </row>
    <row r="3329">
      <c r="A3329" s="6" t="inlineStr">
        <is>
          <t>DJ30</t>
        </is>
      </c>
      <c r="B3329" s="6" t="inlineStr">
        <is>
          <t>2025-01-24</t>
        </is>
      </c>
      <c r="C3329" s="6" t="inlineStr">
        <is>
          <t>DIA</t>
        </is>
      </c>
      <c r="D3329" s="6" t="inlineStr">
        <is>
          <t>GS</t>
        </is>
      </c>
      <c r="E3329" s="6" t="inlineStr">
        <is>
          <t>GS</t>
        </is>
      </c>
      <c r="F3329" s="6" t="inlineStr">
        <is>
          <t>-</t>
        </is>
      </c>
      <c r="G3329" s="7" t="n">
        <v>618.1699829101562</v>
      </c>
      <c r="H3329" s="6">
        <f>P3298</f>
        <v/>
      </c>
      <c r="I3329" s="9">
        <f>Q3298</f>
        <v/>
      </c>
      <c r="J3329" s="7">
        <f>I3329*G3329</f>
        <v/>
      </c>
      <c r="K3329" s="8">
        <f>IF($J$3349=0,0,J3329/$J$3349)</f>
        <v/>
      </c>
      <c r="L3329" s="6" t="inlineStr">
        <is>
          <t>WATCHLIST</t>
        </is>
      </c>
      <c r="M3329" s="8" t="n">
        <v>0</v>
      </c>
      <c r="N3329" s="7">
        <f>M3329*$J$3349-J3329</f>
        <v/>
      </c>
      <c r="O3329" s="9">
        <f>IF(G3329=0,0,N3329/G3329)</f>
        <v/>
      </c>
      <c r="P3329" s="6">
        <f>IF(M3329&gt;0,D3329,"")</f>
        <v/>
      </c>
      <c r="Q3329" s="9">
        <f>I3329+O3329</f>
        <v/>
      </c>
      <c r="R3329" s="7">
        <f>Q3329*G3329</f>
        <v/>
      </c>
      <c r="S3329" s="8">
        <f>IF($R$3349=0,0,R3329/$R$3349)</f>
        <v/>
      </c>
      <c r="T3329" s="8" t="n">
        <v>0.02326151159187373</v>
      </c>
      <c r="U3329" s="8" t="n">
        <v>0.02162311436263864</v>
      </c>
      <c r="V3329" s="6" t="inlineStr">
        <is>
          <t>not selected</t>
        </is>
      </c>
    </row>
    <row r="3330">
      <c r="A3330" s="6" t="inlineStr">
        <is>
          <t>DJ30</t>
        </is>
      </c>
      <c r="B3330" s="6" t="inlineStr">
        <is>
          <t>2025-01-24</t>
        </is>
      </c>
      <c r="C3330" s="6" t="inlineStr">
        <is>
          <t>DIA</t>
        </is>
      </c>
      <c r="D3330" s="6" t="inlineStr">
        <is>
          <t>HD</t>
        </is>
      </c>
      <c r="E3330" s="6" t="inlineStr">
        <is>
          <t>HD</t>
        </is>
      </c>
      <c r="F3330" s="6" t="inlineStr">
        <is>
          <t>-</t>
        </is>
      </c>
      <c r="G3330" s="7" t="n">
        <v>398.74072265625</v>
      </c>
      <c r="H3330" s="6">
        <f>P3299</f>
        <v/>
      </c>
      <c r="I3330" s="9">
        <f>Q3299</f>
        <v/>
      </c>
      <c r="J3330" s="7">
        <f>I3330*G3330</f>
        <v/>
      </c>
      <c r="K3330" s="8">
        <f>IF($J$3349=0,0,J3330/$J$3349)</f>
        <v/>
      </c>
      <c r="L3330" s="6" t="inlineStr">
        <is>
          <t>WATCHLIST</t>
        </is>
      </c>
      <c r="M3330" s="8" t="n">
        <v>0</v>
      </c>
      <c r="N3330" s="7">
        <f>M3330*$J$3349-J3330</f>
        <v/>
      </c>
      <c r="O3330" s="9">
        <f>IF(G3330=0,0,N3330/G3330)</f>
        <v/>
      </c>
      <c r="P3330" s="6">
        <f>IF(M3330&gt;0,D3330,"")</f>
        <v/>
      </c>
      <c r="Q3330" s="9">
        <f>I3330+O3330</f>
        <v/>
      </c>
      <c r="R3330" s="7">
        <f>Q3330*G3330</f>
        <v/>
      </c>
      <c r="S3330" s="8">
        <f>IF($R$3349=0,0,R3330/$R$3349)</f>
        <v/>
      </c>
      <c r="T3330" s="8" t="n">
        <v>0.02326151159187373</v>
      </c>
      <c r="U3330" s="8" t="n">
        <v>0.02162311436263864</v>
      </c>
      <c r="V3330" s="6" t="inlineStr">
        <is>
          <t>not selected</t>
        </is>
      </c>
    </row>
    <row r="3331">
      <c r="A3331" s="6" t="inlineStr">
        <is>
          <t>DJ30</t>
        </is>
      </c>
      <c r="B3331" s="6" t="inlineStr">
        <is>
          <t>2025-01-24</t>
        </is>
      </c>
      <c r="C3331" s="6" t="inlineStr">
        <is>
          <t>DIA</t>
        </is>
      </c>
      <c r="D3331" s="6" t="inlineStr">
        <is>
          <t>HON</t>
        </is>
      </c>
      <c r="E3331" s="6" t="inlineStr">
        <is>
          <t>HON</t>
        </is>
      </c>
      <c r="F3331" s="6" t="inlineStr">
        <is>
          <t>-</t>
        </is>
      </c>
      <c r="G3331" s="7" t="n">
        <v>202.1934204101562</v>
      </c>
      <c r="H3331" s="6">
        <f>P3300</f>
        <v/>
      </c>
      <c r="I3331" s="9">
        <f>Q3300</f>
        <v/>
      </c>
      <c r="J3331" s="7">
        <f>I3331*G3331</f>
        <v/>
      </c>
      <c r="K3331" s="8">
        <f>IF($J$3349=0,0,J3331/$J$3349)</f>
        <v/>
      </c>
      <c r="L3331" s="6" t="inlineStr">
        <is>
          <t>WATCHLIST</t>
        </is>
      </c>
      <c r="M3331" s="8" t="n">
        <v>0</v>
      </c>
      <c r="N3331" s="7">
        <f>M3331*$J$3349-J3331</f>
        <v/>
      </c>
      <c r="O3331" s="9">
        <f>IF(G3331=0,0,N3331/G3331)</f>
        <v/>
      </c>
      <c r="P3331" s="6">
        <f>IF(M3331&gt;0,D3331,"")</f>
        <v/>
      </c>
      <c r="Q3331" s="9">
        <f>I3331+O3331</f>
        <v/>
      </c>
      <c r="R3331" s="7">
        <f>Q3331*G3331</f>
        <v/>
      </c>
      <c r="S3331" s="8">
        <f>IF($R$3349=0,0,R3331/$R$3349)</f>
        <v/>
      </c>
      <c r="T3331" s="8" t="n">
        <v>0.02326151159187373</v>
      </c>
      <c r="U3331" s="8" t="n">
        <v>0.02162311436263864</v>
      </c>
      <c r="V3331" s="6" t="inlineStr">
        <is>
          <t>not selected</t>
        </is>
      </c>
    </row>
    <row r="3332">
      <c r="A3332" s="6" t="inlineStr">
        <is>
          <t>DJ30</t>
        </is>
      </c>
      <c r="B3332" s="6" t="inlineStr">
        <is>
          <t>2025-01-24</t>
        </is>
      </c>
      <c r="C3332" s="6" t="inlineStr">
        <is>
          <t>DIA</t>
        </is>
      </c>
      <c r="D3332" s="6" t="inlineStr">
        <is>
          <t>IBM</t>
        </is>
      </c>
      <c r="E3332" s="6" t="inlineStr">
        <is>
          <t>IBM</t>
        </is>
      </c>
      <c r="F3332" s="6" t="inlineStr">
        <is>
          <t>-</t>
        </is>
      </c>
      <c r="G3332" s="7" t="n">
        <v>216.3037109375</v>
      </c>
      <c r="H3332" s="6">
        <f>P3301</f>
        <v/>
      </c>
      <c r="I3332" s="9">
        <f>Q3301</f>
        <v/>
      </c>
      <c r="J3332" s="7">
        <f>I3332*G3332</f>
        <v/>
      </c>
      <c r="K3332" s="8">
        <f>IF($J$3349=0,0,J3332/$J$3349)</f>
        <v/>
      </c>
      <c r="L3332" s="6" t="inlineStr">
        <is>
          <t>WATCHLIST</t>
        </is>
      </c>
      <c r="M3332" s="8" t="n">
        <v>0</v>
      </c>
      <c r="N3332" s="7">
        <f>M3332*$J$3349-J3332</f>
        <v/>
      </c>
      <c r="O3332" s="9">
        <f>IF(G3332=0,0,N3332/G3332)</f>
        <v/>
      </c>
      <c r="P3332" s="6">
        <f>IF(M3332&gt;0,D3332,"")</f>
        <v/>
      </c>
      <c r="Q3332" s="9">
        <f>I3332+O3332</f>
        <v/>
      </c>
      <c r="R3332" s="7">
        <f>Q3332*G3332</f>
        <v/>
      </c>
      <c r="S3332" s="8">
        <f>IF($R$3349=0,0,R3332/$R$3349)</f>
        <v/>
      </c>
      <c r="T3332" s="8" t="n">
        <v>0.02326151159187373</v>
      </c>
      <c r="U3332" s="8" t="n">
        <v>0.02162311436263864</v>
      </c>
      <c r="V3332" s="6" t="inlineStr">
        <is>
          <t>not selected</t>
        </is>
      </c>
    </row>
    <row r="3333">
      <c r="A3333" s="6" t="inlineStr">
        <is>
          <t>DJ30</t>
        </is>
      </c>
      <c r="B3333" s="6" t="inlineStr">
        <is>
          <t>2025-01-24</t>
        </is>
      </c>
      <c r="C3333" s="6" t="inlineStr">
        <is>
          <t>DIA</t>
        </is>
      </c>
      <c r="D3333" s="6" t="inlineStr">
        <is>
          <t>JNJ</t>
        </is>
      </c>
      <c r="E3333" s="6" t="inlineStr">
        <is>
          <t>JNJ</t>
        </is>
      </c>
      <c r="F3333" s="6" t="inlineStr">
        <is>
          <t>-</t>
        </is>
      </c>
      <c r="G3333" s="7" t="n">
        <v>140.8955993652344</v>
      </c>
      <c r="H3333" s="6">
        <f>P3302</f>
        <v/>
      </c>
      <c r="I3333" s="9">
        <f>Q3302</f>
        <v/>
      </c>
      <c r="J3333" s="7">
        <f>I3333*G3333</f>
        <v/>
      </c>
      <c r="K3333" s="8">
        <f>IF($J$3349=0,0,J3333/$J$3349)</f>
        <v/>
      </c>
      <c r="L3333" s="6" t="inlineStr">
        <is>
          <t>REJECTED</t>
        </is>
      </c>
      <c r="M3333" s="8" t="n">
        <v>0</v>
      </c>
      <c r="N3333" s="7">
        <f>M3333*$J$3349-J3333</f>
        <v/>
      </c>
      <c r="O3333" s="9">
        <f>IF(G3333=0,0,N3333/G3333)</f>
        <v/>
      </c>
      <c r="P3333" s="6">
        <f>IF(M3333&gt;0,D3333,"")</f>
        <v/>
      </c>
      <c r="Q3333" s="9">
        <f>I3333+O3333</f>
        <v/>
      </c>
      <c r="R3333" s="7">
        <f>Q3333*G3333</f>
        <v/>
      </c>
      <c r="S3333" s="8">
        <f>IF($R$3349=0,0,R3333/$R$3349)</f>
        <v/>
      </c>
      <c r="T3333" s="8" t="n">
        <v>0.02326151159187373</v>
      </c>
      <c r="U3333" s="8" t="n">
        <v>0.02162311436263864</v>
      </c>
      <c r="V3333" s="6" t="inlineStr">
        <is>
          <t>not selected</t>
        </is>
      </c>
    </row>
    <row r="3334">
      <c r="A3334" s="6" t="inlineStr">
        <is>
          <t>DJ30</t>
        </is>
      </c>
      <c r="B3334" s="6" t="inlineStr">
        <is>
          <t>2025-01-24</t>
        </is>
      </c>
      <c r="C3334" s="6" t="inlineStr">
        <is>
          <t>DIA</t>
        </is>
      </c>
      <c r="D3334" s="6" t="inlineStr">
        <is>
          <t>JPM</t>
        </is>
      </c>
      <c r="E3334" s="6" t="inlineStr">
        <is>
          <t>JPM</t>
        </is>
      </c>
      <c r="F3334" s="6" t="inlineStr">
        <is>
          <t>-</t>
        </is>
      </c>
      <c r="G3334" s="7" t="n">
        <v>258.1972961425781</v>
      </c>
      <c r="H3334" s="6">
        <f>P3303</f>
        <v/>
      </c>
      <c r="I3334" s="9">
        <f>Q3303</f>
        <v/>
      </c>
      <c r="J3334" s="7">
        <f>I3334*G3334</f>
        <v/>
      </c>
      <c r="K3334" s="8">
        <f>IF($J$3349=0,0,J3334/$J$3349)</f>
        <v/>
      </c>
      <c r="L3334" s="6" t="inlineStr">
        <is>
          <t>WATCHLIST</t>
        </is>
      </c>
      <c r="M3334" s="8" t="n">
        <v>0</v>
      </c>
      <c r="N3334" s="7">
        <f>M3334*$J$3349-J3334</f>
        <v/>
      </c>
      <c r="O3334" s="9">
        <f>IF(G3334=0,0,N3334/G3334)</f>
        <v/>
      </c>
      <c r="P3334" s="6">
        <f>IF(M3334&gt;0,D3334,"")</f>
        <v/>
      </c>
      <c r="Q3334" s="9">
        <f>I3334+O3334</f>
        <v/>
      </c>
      <c r="R3334" s="7">
        <f>Q3334*G3334</f>
        <v/>
      </c>
      <c r="S3334" s="8">
        <f>IF($R$3349=0,0,R3334/$R$3349)</f>
        <v/>
      </c>
      <c r="T3334" s="8" t="n">
        <v>0.02326151159187373</v>
      </c>
      <c r="U3334" s="8" t="n">
        <v>0.02162311436263864</v>
      </c>
      <c r="V3334" s="6" t="inlineStr">
        <is>
          <t>not selected</t>
        </is>
      </c>
    </row>
    <row r="3335">
      <c r="A3335" s="6" t="inlineStr">
        <is>
          <t>DJ30</t>
        </is>
      </c>
      <c r="B3335" s="6" t="inlineStr">
        <is>
          <t>2025-01-24</t>
        </is>
      </c>
      <c r="C3335" s="6" t="inlineStr">
        <is>
          <t>DIA</t>
        </is>
      </c>
      <c r="D3335" s="6" t="inlineStr">
        <is>
          <t>KO</t>
        </is>
      </c>
      <c r="E3335" s="6" t="inlineStr">
        <is>
          <t>KO</t>
        </is>
      </c>
      <c r="F3335" s="6" t="inlineStr">
        <is>
          <t>-</t>
        </is>
      </c>
      <c r="G3335" s="7" t="n">
        <v>59.35158157348633</v>
      </c>
      <c r="H3335" s="6">
        <f>P3304</f>
        <v/>
      </c>
      <c r="I3335" s="9">
        <f>Q3304</f>
        <v/>
      </c>
      <c r="J3335" s="7">
        <f>I3335*G3335</f>
        <v/>
      </c>
      <c r="K3335" s="8">
        <f>IF($J$3349=0,0,J3335/$J$3349)</f>
        <v/>
      </c>
      <c r="L3335" s="6" t="inlineStr">
        <is>
          <t>REJECTED</t>
        </is>
      </c>
      <c r="M3335" s="8" t="n">
        <v>0</v>
      </c>
      <c r="N3335" s="7">
        <f>M3335*$J$3349-J3335</f>
        <v/>
      </c>
      <c r="O3335" s="9">
        <f>IF(G3335=0,0,N3335/G3335)</f>
        <v/>
      </c>
      <c r="P3335" s="6">
        <f>IF(M3335&gt;0,D3335,"")</f>
        <v/>
      </c>
      <c r="Q3335" s="9">
        <f>I3335+O3335</f>
        <v/>
      </c>
      <c r="R3335" s="7">
        <f>Q3335*G3335</f>
        <v/>
      </c>
      <c r="S3335" s="8">
        <f>IF($R$3349=0,0,R3335/$R$3349)</f>
        <v/>
      </c>
      <c r="T3335" s="8" t="n">
        <v>0.02326151159187373</v>
      </c>
      <c r="U3335" s="8" t="n">
        <v>0.02162311436263864</v>
      </c>
      <c r="V3335" s="6" t="inlineStr">
        <is>
          <t>not selected</t>
        </is>
      </c>
    </row>
    <row r="3336">
      <c r="A3336" s="6" t="inlineStr">
        <is>
          <t>DJ30</t>
        </is>
      </c>
      <c r="B3336" s="6" t="inlineStr">
        <is>
          <t>2025-01-24</t>
        </is>
      </c>
      <c r="C3336" s="6" t="inlineStr">
        <is>
          <t>DIA</t>
        </is>
      </c>
      <c r="D3336" s="6" t="inlineStr">
        <is>
          <t>MCD</t>
        </is>
      </c>
      <c r="E3336" s="6" t="inlineStr">
        <is>
          <t>MCD</t>
        </is>
      </c>
      <c r="F3336" s="6" t="inlineStr">
        <is>
          <t>-</t>
        </is>
      </c>
      <c r="G3336" s="7" t="n">
        <v>275.53515625</v>
      </c>
      <c r="H3336" s="6">
        <f>P3305</f>
        <v/>
      </c>
      <c r="I3336" s="9">
        <f>Q3305</f>
        <v/>
      </c>
      <c r="J3336" s="7">
        <f>I3336*G3336</f>
        <v/>
      </c>
      <c r="K3336" s="8">
        <f>IF($J$3349=0,0,J3336/$J$3349)</f>
        <v/>
      </c>
      <c r="L3336" s="6" t="inlineStr">
        <is>
          <t>REJECTED</t>
        </is>
      </c>
      <c r="M3336" s="8" t="n">
        <v>0</v>
      </c>
      <c r="N3336" s="7">
        <f>M3336*$J$3349-J3336</f>
        <v/>
      </c>
      <c r="O3336" s="9">
        <f>IF(G3336=0,0,N3336/G3336)</f>
        <v/>
      </c>
      <c r="P3336" s="6">
        <f>IF(M3336&gt;0,D3336,"")</f>
        <v/>
      </c>
      <c r="Q3336" s="9">
        <f>I3336+O3336</f>
        <v/>
      </c>
      <c r="R3336" s="7">
        <f>Q3336*G3336</f>
        <v/>
      </c>
      <c r="S3336" s="8">
        <f>IF($R$3349=0,0,R3336/$R$3349)</f>
        <v/>
      </c>
      <c r="T3336" s="8" t="n">
        <v>0.02326151159187373</v>
      </c>
      <c r="U3336" s="8" t="n">
        <v>0.02162311436263864</v>
      </c>
      <c r="V3336" s="6" t="inlineStr">
        <is>
          <t>not selected</t>
        </is>
      </c>
    </row>
    <row r="3337">
      <c r="A3337" s="6" t="inlineStr">
        <is>
          <t>DJ30</t>
        </is>
      </c>
      <c r="B3337" s="6" t="inlineStr">
        <is>
          <t>2025-01-24</t>
        </is>
      </c>
      <c r="C3337" s="6" t="inlineStr">
        <is>
          <t>DIA</t>
        </is>
      </c>
      <c r="D3337" s="6" t="inlineStr">
        <is>
          <t>MMM</t>
        </is>
      </c>
      <c r="E3337" s="6" t="inlineStr">
        <is>
          <t>MMM</t>
        </is>
      </c>
      <c r="F3337" s="6" t="inlineStr">
        <is>
          <t>-</t>
        </is>
      </c>
      <c r="G3337" s="7" t="n">
        <v>145.2546691894531</v>
      </c>
      <c r="H3337" s="6">
        <f>P3306</f>
        <v/>
      </c>
      <c r="I3337" s="9">
        <f>Q3306</f>
        <v/>
      </c>
      <c r="J3337" s="7">
        <f>I3337*G3337</f>
        <v/>
      </c>
      <c r="K3337" s="8">
        <f>IF($J$3349=0,0,J3337/$J$3349)</f>
        <v/>
      </c>
      <c r="L3337" s="6" t="inlineStr">
        <is>
          <t>SELECTED</t>
        </is>
      </c>
      <c r="M3337" s="8" t="n">
        <v>0.2</v>
      </c>
      <c r="N3337" s="7">
        <f>M3337*$J$3349-J3337</f>
        <v/>
      </c>
      <c r="O3337" s="9">
        <f>IF(G3337=0,0,N3337/G3337)</f>
        <v/>
      </c>
      <c r="P3337" s="6">
        <f>IF(M3337&gt;0,D3337,"")</f>
        <v/>
      </c>
      <c r="Q3337" s="9">
        <f>I3337+O3337</f>
        <v/>
      </c>
      <c r="R3337" s="7">
        <f>Q3337*G3337</f>
        <v/>
      </c>
      <c r="S3337" s="8">
        <f>IF($R$3349=0,0,R3337/$R$3349)</f>
        <v/>
      </c>
      <c r="T3337" s="8" t="n">
        <v>0.02326151159187373</v>
      </c>
      <c r="U3337" s="8" t="n">
        <v>0.02162311436263864</v>
      </c>
      <c r="V3337" s="6" t="inlineStr">
        <is>
          <t>remained in weekly selection</t>
        </is>
      </c>
    </row>
    <row r="3338">
      <c r="A3338" s="6" t="inlineStr">
        <is>
          <t>DJ30</t>
        </is>
      </c>
      <c r="B3338" s="6" t="inlineStr">
        <is>
          <t>2025-01-24</t>
        </is>
      </c>
      <c r="C3338" s="6" t="inlineStr">
        <is>
          <t>DIA</t>
        </is>
      </c>
      <c r="D3338" s="6" t="inlineStr">
        <is>
          <t>MRK</t>
        </is>
      </c>
      <c r="E3338" s="6" t="inlineStr">
        <is>
          <t>MRK</t>
        </is>
      </c>
      <c r="F3338" s="6" t="inlineStr">
        <is>
          <t>-</t>
        </is>
      </c>
      <c r="G3338" s="7" t="n">
        <v>90.75830841064452</v>
      </c>
      <c r="H3338" s="6">
        <f>P3307</f>
        <v/>
      </c>
      <c r="I3338" s="9">
        <f>Q3307</f>
        <v/>
      </c>
      <c r="J3338" s="7">
        <f>I3338*G3338</f>
        <v/>
      </c>
      <c r="K3338" s="8">
        <f>IF($J$3349=0,0,J3338/$J$3349)</f>
        <v/>
      </c>
      <c r="L3338" s="6" t="inlineStr">
        <is>
          <t>REJECTED</t>
        </is>
      </c>
      <c r="M3338" s="8" t="n">
        <v>0</v>
      </c>
      <c r="N3338" s="7">
        <f>M3338*$J$3349-J3338</f>
        <v/>
      </c>
      <c r="O3338" s="9">
        <f>IF(G3338=0,0,N3338/G3338)</f>
        <v/>
      </c>
      <c r="P3338" s="6">
        <f>IF(M3338&gt;0,D3338,"")</f>
        <v/>
      </c>
      <c r="Q3338" s="9">
        <f>I3338+O3338</f>
        <v/>
      </c>
      <c r="R3338" s="7">
        <f>Q3338*G3338</f>
        <v/>
      </c>
      <c r="S3338" s="8">
        <f>IF($R$3349=0,0,R3338/$R$3349)</f>
        <v/>
      </c>
      <c r="T3338" s="8" t="n">
        <v>0.02326151159187373</v>
      </c>
      <c r="U3338" s="8" t="n">
        <v>0.02162311436263864</v>
      </c>
      <c r="V3338" s="6" t="inlineStr">
        <is>
          <t>not selected</t>
        </is>
      </c>
    </row>
    <row r="3339">
      <c r="A3339" s="6" t="inlineStr">
        <is>
          <t>DJ30</t>
        </is>
      </c>
      <c r="B3339" s="6" t="inlineStr">
        <is>
          <t>2025-01-24</t>
        </is>
      </c>
      <c r="C3339" s="6" t="inlineStr">
        <is>
          <t>DIA</t>
        </is>
      </c>
      <c r="D3339" s="6" t="inlineStr">
        <is>
          <t>MSFT</t>
        </is>
      </c>
      <c r="E3339" s="6" t="inlineStr">
        <is>
          <t>MSFT</t>
        </is>
      </c>
      <c r="F3339" s="6" t="inlineStr">
        <is>
          <t>-</t>
        </is>
      </c>
      <c r="G3339" s="7" t="n">
        <v>438.8539123535156</v>
      </c>
      <c r="H3339" s="6">
        <f>P3308</f>
        <v/>
      </c>
      <c r="I3339" s="9">
        <f>Q3308</f>
        <v/>
      </c>
      <c r="J3339" s="7">
        <f>I3339*G3339</f>
        <v/>
      </c>
      <c r="K3339" s="8">
        <f>IF($J$3349=0,0,J3339/$J$3349)</f>
        <v/>
      </c>
      <c r="L3339" s="6" t="inlineStr">
        <is>
          <t>REJECTED</t>
        </is>
      </c>
      <c r="M3339" s="8" t="n">
        <v>0</v>
      </c>
      <c r="N3339" s="7">
        <f>M3339*$J$3349-J3339</f>
        <v/>
      </c>
      <c r="O3339" s="9">
        <f>IF(G3339=0,0,N3339/G3339)</f>
        <v/>
      </c>
      <c r="P3339" s="6">
        <f>IF(M3339&gt;0,D3339,"")</f>
        <v/>
      </c>
      <c r="Q3339" s="9">
        <f>I3339+O3339</f>
        <v/>
      </c>
      <c r="R3339" s="7">
        <f>Q3339*G3339</f>
        <v/>
      </c>
      <c r="S3339" s="8">
        <f>IF($R$3349=0,0,R3339/$R$3349)</f>
        <v/>
      </c>
      <c r="T3339" s="8" t="n">
        <v>0.02326151159187373</v>
      </c>
      <c r="U3339" s="8" t="n">
        <v>0.02162311436263864</v>
      </c>
      <c r="V3339" s="6" t="inlineStr">
        <is>
          <t>not selected</t>
        </is>
      </c>
    </row>
    <row r="3340">
      <c r="A3340" s="6" t="inlineStr">
        <is>
          <t>DJ30</t>
        </is>
      </c>
      <c r="B3340" s="6" t="inlineStr">
        <is>
          <t>2025-01-24</t>
        </is>
      </c>
      <c r="C3340" s="6" t="inlineStr">
        <is>
          <t>DIA</t>
        </is>
      </c>
      <c r="D3340" s="6" t="inlineStr">
        <is>
          <t>NKE</t>
        </is>
      </c>
      <c r="E3340" s="6" t="inlineStr">
        <is>
          <t>NKE</t>
        </is>
      </c>
      <c r="F3340" s="6" t="inlineStr">
        <is>
          <t>-</t>
        </is>
      </c>
      <c r="G3340" s="7" t="n">
        <v>70.77414703369141</v>
      </c>
      <c r="H3340" s="6">
        <f>P3309</f>
        <v/>
      </c>
      <c r="I3340" s="9">
        <f>Q3309</f>
        <v/>
      </c>
      <c r="J3340" s="7">
        <f>I3340*G3340</f>
        <v/>
      </c>
      <c r="K3340" s="8">
        <f>IF($J$3349=0,0,J3340/$J$3349)</f>
        <v/>
      </c>
      <c r="L3340" s="6" t="inlineStr">
        <is>
          <t>REJECTED</t>
        </is>
      </c>
      <c r="M3340" s="8" t="n">
        <v>0</v>
      </c>
      <c r="N3340" s="7">
        <f>M3340*$J$3349-J3340</f>
        <v/>
      </c>
      <c r="O3340" s="9">
        <f>IF(G3340=0,0,N3340/G3340)</f>
        <v/>
      </c>
      <c r="P3340" s="6">
        <f>IF(M3340&gt;0,D3340,"")</f>
        <v/>
      </c>
      <c r="Q3340" s="9">
        <f>I3340+O3340</f>
        <v/>
      </c>
      <c r="R3340" s="7">
        <f>Q3340*G3340</f>
        <v/>
      </c>
      <c r="S3340" s="8">
        <f>IF($R$3349=0,0,R3340/$R$3349)</f>
        <v/>
      </c>
      <c r="T3340" s="8" t="n">
        <v>0.02326151159187373</v>
      </c>
      <c r="U3340" s="8" t="n">
        <v>0.02162311436263864</v>
      </c>
      <c r="V3340" s="6" t="inlineStr">
        <is>
          <t>not selected</t>
        </is>
      </c>
    </row>
    <row r="3341">
      <c r="A3341" s="6" t="inlineStr">
        <is>
          <t>DJ30</t>
        </is>
      </c>
      <c r="B3341" s="6" t="inlineStr">
        <is>
          <t>2025-01-24</t>
        </is>
      </c>
      <c r="C3341" s="6" t="inlineStr">
        <is>
          <t>DIA</t>
        </is>
      </c>
      <c r="D3341" s="6" t="inlineStr">
        <is>
          <t>NVDA</t>
        </is>
      </c>
      <c r="E3341" s="6" t="inlineStr">
        <is>
          <t>NVDA</t>
        </is>
      </c>
      <c r="F3341" s="6" t="inlineStr">
        <is>
          <t>-</t>
        </is>
      </c>
      <c r="G3341" s="7" t="n">
        <v>142.4073028564453</v>
      </c>
      <c r="H3341" s="6">
        <f>P3310</f>
        <v/>
      </c>
      <c r="I3341" s="9">
        <f>Q3310</f>
        <v/>
      </c>
      <c r="J3341" s="7">
        <f>I3341*G3341</f>
        <v/>
      </c>
      <c r="K3341" s="8">
        <f>IF($J$3349=0,0,J3341/$J$3349)</f>
        <v/>
      </c>
      <c r="L3341" s="6" t="inlineStr">
        <is>
          <t>WATCHLIST</t>
        </is>
      </c>
      <c r="M3341" s="8" t="n">
        <v>0</v>
      </c>
      <c r="N3341" s="7">
        <f>M3341*$J$3349-J3341</f>
        <v/>
      </c>
      <c r="O3341" s="9">
        <f>IF(G3341=0,0,N3341/G3341)</f>
        <v/>
      </c>
      <c r="P3341" s="6">
        <f>IF(M3341&gt;0,D3341,"")</f>
        <v/>
      </c>
      <c r="Q3341" s="9">
        <f>I3341+O3341</f>
        <v/>
      </c>
      <c r="R3341" s="7">
        <f>Q3341*G3341</f>
        <v/>
      </c>
      <c r="S3341" s="8">
        <f>IF($R$3349=0,0,R3341/$R$3349)</f>
        <v/>
      </c>
      <c r="T3341" s="8" t="n">
        <v>0.02326151159187373</v>
      </c>
      <c r="U3341" s="8" t="n">
        <v>0.02162311436263864</v>
      </c>
      <c r="V3341" s="6" t="inlineStr">
        <is>
          <t>removed from weekly selection</t>
        </is>
      </c>
    </row>
    <row r="3342">
      <c r="A3342" s="6" t="inlineStr">
        <is>
          <t>DJ30</t>
        </is>
      </c>
      <c r="B3342" s="6" t="inlineStr">
        <is>
          <t>2025-01-24</t>
        </is>
      </c>
      <c r="C3342" s="6" t="inlineStr">
        <is>
          <t>DIA</t>
        </is>
      </c>
      <c r="D3342" s="6" t="inlineStr">
        <is>
          <t>PG</t>
        </is>
      </c>
      <c r="E3342" s="6" t="inlineStr">
        <is>
          <t>PG</t>
        </is>
      </c>
      <c r="F3342" s="6" t="inlineStr">
        <is>
          <t>-</t>
        </is>
      </c>
      <c r="G3342" s="7" t="n">
        <v>158.5425720214844</v>
      </c>
      <c r="H3342" s="6">
        <f>P3311</f>
        <v/>
      </c>
      <c r="I3342" s="9">
        <f>Q3311</f>
        <v/>
      </c>
      <c r="J3342" s="7">
        <f>I3342*G3342</f>
        <v/>
      </c>
      <c r="K3342" s="8">
        <f>IF($J$3349=0,0,J3342/$J$3349)</f>
        <v/>
      </c>
      <c r="L3342" s="6" t="inlineStr">
        <is>
          <t>WATCHLIST</t>
        </is>
      </c>
      <c r="M3342" s="8" t="n">
        <v>0</v>
      </c>
      <c r="N3342" s="7">
        <f>M3342*$J$3349-J3342</f>
        <v/>
      </c>
      <c r="O3342" s="9">
        <f>IF(G3342=0,0,N3342/G3342)</f>
        <v/>
      </c>
      <c r="P3342" s="6">
        <f>IF(M3342&gt;0,D3342,"")</f>
        <v/>
      </c>
      <c r="Q3342" s="9">
        <f>I3342+O3342</f>
        <v/>
      </c>
      <c r="R3342" s="7">
        <f>Q3342*G3342</f>
        <v/>
      </c>
      <c r="S3342" s="8">
        <f>IF($R$3349=0,0,R3342/$R$3349)</f>
        <v/>
      </c>
      <c r="T3342" s="8" t="n">
        <v>0.02326151159187373</v>
      </c>
      <c r="U3342" s="8" t="n">
        <v>0.02162311436263864</v>
      </c>
      <c r="V3342" s="6" t="inlineStr">
        <is>
          <t>not selected</t>
        </is>
      </c>
    </row>
    <row r="3343">
      <c r="A3343" s="6" t="inlineStr">
        <is>
          <t>DJ30</t>
        </is>
      </c>
      <c r="B3343" s="6" t="inlineStr">
        <is>
          <t>2025-01-24</t>
        </is>
      </c>
      <c r="C3343" s="6" t="inlineStr">
        <is>
          <t>DIA</t>
        </is>
      </c>
      <c r="D3343" s="6" t="inlineStr">
        <is>
          <t>SHW</t>
        </is>
      </c>
      <c r="E3343" s="6" t="inlineStr">
        <is>
          <t>SHW</t>
        </is>
      </c>
      <c r="F3343" s="6" t="inlineStr">
        <is>
          <t>-</t>
        </is>
      </c>
      <c r="G3343" s="7" t="n">
        <v>355.2613525390625</v>
      </c>
      <c r="H3343" s="6">
        <f>P3312</f>
        <v/>
      </c>
      <c r="I3343" s="9">
        <f>Q3312</f>
        <v/>
      </c>
      <c r="J3343" s="7">
        <f>I3343*G3343</f>
        <v/>
      </c>
      <c r="K3343" s="8">
        <f>IF($J$3349=0,0,J3343/$J$3349)</f>
        <v/>
      </c>
      <c r="L3343" s="6" t="inlineStr">
        <is>
          <t>WATCHLIST</t>
        </is>
      </c>
      <c r="M3343" s="8" t="n">
        <v>0</v>
      </c>
      <c r="N3343" s="7">
        <f>M3343*$J$3349-J3343</f>
        <v/>
      </c>
      <c r="O3343" s="9">
        <f>IF(G3343=0,0,N3343/G3343)</f>
        <v/>
      </c>
      <c r="P3343" s="6">
        <f>IF(M3343&gt;0,D3343,"")</f>
        <v/>
      </c>
      <c r="Q3343" s="9">
        <f>I3343+O3343</f>
        <v/>
      </c>
      <c r="R3343" s="7">
        <f>Q3343*G3343</f>
        <v/>
      </c>
      <c r="S3343" s="8">
        <f>IF($R$3349=0,0,R3343/$R$3349)</f>
        <v/>
      </c>
      <c r="T3343" s="8" t="n">
        <v>0.02326151159187373</v>
      </c>
      <c r="U3343" s="8" t="n">
        <v>0.02162311436263864</v>
      </c>
      <c r="V3343" s="6" t="inlineStr">
        <is>
          <t>not selected</t>
        </is>
      </c>
    </row>
    <row r="3344">
      <c r="A3344" s="6" t="inlineStr">
        <is>
          <t>DJ30</t>
        </is>
      </c>
      <c r="B3344" s="6" t="inlineStr">
        <is>
          <t>2025-01-24</t>
        </is>
      </c>
      <c r="C3344" s="6" t="inlineStr">
        <is>
          <t>DIA</t>
        </is>
      </c>
      <c r="D3344" s="6" t="inlineStr">
        <is>
          <t>TRV</t>
        </is>
      </c>
      <c r="E3344" s="6" t="inlineStr">
        <is>
          <t>TRV</t>
        </is>
      </c>
      <c r="F3344" s="6" t="inlineStr">
        <is>
          <t>-</t>
        </is>
      </c>
      <c r="G3344" s="7" t="n">
        <v>236.12841796875</v>
      </c>
      <c r="H3344" s="6">
        <f>P3313</f>
        <v/>
      </c>
      <c r="I3344" s="9">
        <f>Q3313</f>
        <v/>
      </c>
      <c r="J3344" s="7">
        <f>I3344*G3344</f>
        <v/>
      </c>
      <c r="K3344" s="8">
        <f>IF($J$3349=0,0,J3344/$J$3349)</f>
        <v/>
      </c>
      <c r="L3344" s="6" t="inlineStr">
        <is>
          <t>SELECTED</t>
        </is>
      </c>
      <c r="M3344" s="8" t="n">
        <v>0.2</v>
      </c>
      <c r="N3344" s="7">
        <f>M3344*$J$3349-J3344</f>
        <v/>
      </c>
      <c r="O3344" s="9">
        <f>IF(G3344=0,0,N3344/G3344)</f>
        <v/>
      </c>
      <c r="P3344" s="6">
        <f>IF(M3344&gt;0,D3344,"")</f>
        <v/>
      </c>
      <c r="Q3344" s="9">
        <f>I3344+O3344</f>
        <v/>
      </c>
      <c r="R3344" s="7">
        <f>Q3344*G3344</f>
        <v/>
      </c>
      <c r="S3344" s="8">
        <f>IF($R$3349=0,0,R3344/$R$3349)</f>
        <v/>
      </c>
      <c r="T3344" s="8" t="n">
        <v>0.02326151159187373</v>
      </c>
      <c r="U3344" s="8" t="n">
        <v>0.02162311436263864</v>
      </c>
      <c r="V3344" s="6" t="inlineStr">
        <is>
          <t>remained in weekly selection</t>
        </is>
      </c>
    </row>
    <row r="3345">
      <c r="A3345" s="6" t="inlineStr">
        <is>
          <t>DJ30</t>
        </is>
      </c>
      <c r="B3345" s="6" t="inlineStr">
        <is>
          <t>2025-01-24</t>
        </is>
      </c>
      <c r="C3345" s="6" t="inlineStr">
        <is>
          <t>DIA</t>
        </is>
      </c>
      <c r="D3345" s="6" t="inlineStr">
        <is>
          <t>UNH</t>
        </is>
      </c>
      <c r="E3345" s="6" t="inlineStr">
        <is>
          <t>UNH</t>
        </is>
      </c>
      <c r="F3345" s="6" t="inlineStr">
        <is>
          <t>-</t>
        </is>
      </c>
      <c r="G3345" s="7" t="n">
        <v>512.7733764648438</v>
      </c>
      <c r="H3345" s="6">
        <f>P3314</f>
        <v/>
      </c>
      <c r="I3345" s="9">
        <f>Q3314</f>
        <v/>
      </c>
      <c r="J3345" s="7">
        <f>I3345*G3345</f>
        <v/>
      </c>
      <c r="K3345" s="8">
        <f>IF($J$3349=0,0,J3345/$J$3349)</f>
        <v/>
      </c>
      <c r="L3345" s="6" t="inlineStr">
        <is>
          <t>SELECTED</t>
        </is>
      </c>
      <c r="M3345" s="8" t="n">
        <v>0.2</v>
      </c>
      <c r="N3345" s="7">
        <f>M3345*$J$3349-J3345</f>
        <v/>
      </c>
      <c r="O3345" s="9">
        <f>IF(G3345=0,0,N3345/G3345)</f>
        <v/>
      </c>
      <c r="P3345" s="6">
        <f>IF(M3345&gt;0,D3345,"")</f>
        <v/>
      </c>
      <c r="Q3345" s="9">
        <f>I3345+O3345</f>
        <v/>
      </c>
      <c r="R3345" s="7">
        <f>Q3345*G3345</f>
        <v/>
      </c>
      <c r="S3345" s="8">
        <f>IF($R$3349=0,0,R3345/$R$3349)</f>
        <v/>
      </c>
      <c r="T3345" s="8" t="n">
        <v>0.02326151159187373</v>
      </c>
      <c r="U3345" s="8" t="n">
        <v>0.02162311436263864</v>
      </c>
      <c r="V3345" s="6" t="inlineStr">
        <is>
          <t>remained in weekly selection</t>
        </is>
      </c>
    </row>
    <row r="3346">
      <c r="A3346" s="6" t="inlineStr">
        <is>
          <t>DJ30</t>
        </is>
      </c>
      <c r="B3346" s="6" t="inlineStr">
        <is>
          <t>2025-01-24</t>
        </is>
      </c>
      <c r="C3346" s="6" t="inlineStr">
        <is>
          <t>DIA</t>
        </is>
      </c>
      <c r="D3346" s="6" t="inlineStr">
        <is>
          <t>V</t>
        </is>
      </c>
      <c r="E3346" s="6" t="inlineStr">
        <is>
          <t>V</t>
        </is>
      </c>
      <c r="F3346" s="6" t="inlineStr">
        <is>
          <t>-</t>
        </is>
      </c>
      <c r="G3346" s="7" t="n">
        <v>326.5196533203125</v>
      </c>
      <c r="H3346" s="6">
        <f>P3315</f>
        <v/>
      </c>
      <c r="I3346" s="9">
        <f>Q3315</f>
        <v/>
      </c>
      <c r="J3346" s="7">
        <f>I3346*G3346</f>
        <v/>
      </c>
      <c r="K3346" s="8">
        <f>IF($J$3349=0,0,J3346/$J$3349)</f>
        <v/>
      </c>
      <c r="L3346" s="6" t="inlineStr">
        <is>
          <t>WATCHLIST</t>
        </is>
      </c>
      <c r="M3346" s="8" t="n">
        <v>0</v>
      </c>
      <c r="N3346" s="7">
        <f>M3346*$J$3349-J3346</f>
        <v/>
      </c>
      <c r="O3346" s="9">
        <f>IF(G3346=0,0,N3346/G3346)</f>
        <v/>
      </c>
      <c r="P3346" s="6">
        <f>IF(M3346&gt;0,D3346,"")</f>
        <v/>
      </c>
      <c r="Q3346" s="9">
        <f>I3346+O3346</f>
        <v/>
      </c>
      <c r="R3346" s="7">
        <f>Q3346*G3346</f>
        <v/>
      </c>
      <c r="S3346" s="8">
        <f>IF($R$3349=0,0,R3346/$R$3349)</f>
        <v/>
      </c>
      <c r="T3346" s="8" t="n">
        <v>0.02326151159187373</v>
      </c>
      <c r="U3346" s="8" t="n">
        <v>0.02162311436263864</v>
      </c>
      <c r="V3346" s="6" t="inlineStr">
        <is>
          <t>not selected</t>
        </is>
      </c>
    </row>
    <row r="3347">
      <c r="A3347" s="6" t="inlineStr">
        <is>
          <t>DJ30</t>
        </is>
      </c>
      <c r="B3347" s="6" t="inlineStr">
        <is>
          <t>2025-01-24</t>
        </is>
      </c>
      <c r="C3347" s="6" t="inlineStr">
        <is>
          <t>DIA</t>
        </is>
      </c>
      <c r="D3347" s="6" t="inlineStr">
        <is>
          <t>VZ</t>
        </is>
      </c>
      <c r="E3347" s="6" t="inlineStr">
        <is>
          <t>VZ</t>
        </is>
      </c>
      <c r="F3347" s="6" t="inlineStr">
        <is>
          <t>-</t>
        </is>
      </c>
      <c r="G3347" s="7" t="n">
        <v>36.45816802978516</v>
      </c>
      <c r="H3347" s="6">
        <f>P3316</f>
        <v/>
      </c>
      <c r="I3347" s="9">
        <f>Q3316</f>
        <v/>
      </c>
      <c r="J3347" s="7">
        <f>I3347*G3347</f>
        <v/>
      </c>
      <c r="K3347" s="8">
        <f>IF($J$3349=0,0,J3347/$J$3349)</f>
        <v/>
      </c>
      <c r="L3347" s="6" t="inlineStr">
        <is>
          <t>WATCHLIST</t>
        </is>
      </c>
      <c r="M3347" s="8" t="n">
        <v>0</v>
      </c>
      <c r="N3347" s="7">
        <f>M3347*$J$3349-J3347</f>
        <v/>
      </c>
      <c r="O3347" s="9">
        <f>IF(G3347=0,0,N3347/G3347)</f>
        <v/>
      </c>
      <c r="P3347" s="6">
        <f>IF(M3347&gt;0,D3347,"")</f>
        <v/>
      </c>
      <c r="Q3347" s="9">
        <f>I3347+O3347</f>
        <v/>
      </c>
      <c r="R3347" s="7">
        <f>Q3347*G3347</f>
        <v/>
      </c>
      <c r="S3347" s="8">
        <f>IF($R$3349=0,0,R3347/$R$3349)</f>
        <v/>
      </c>
      <c r="T3347" s="8" t="n">
        <v>0.02326151159187373</v>
      </c>
      <c r="U3347" s="8" t="n">
        <v>0.02162311436263864</v>
      </c>
      <c r="V3347" s="6" t="inlineStr">
        <is>
          <t>not selected</t>
        </is>
      </c>
    </row>
    <row r="3348">
      <c r="A3348" s="6" t="inlineStr">
        <is>
          <t>DJ30</t>
        </is>
      </c>
      <c r="B3348" s="6" t="inlineStr">
        <is>
          <t>2025-01-24</t>
        </is>
      </c>
      <c r="C3348" s="6" t="inlineStr">
        <is>
          <t>DIA</t>
        </is>
      </c>
      <c r="D3348" s="6" t="inlineStr">
        <is>
          <t>WMT</t>
        </is>
      </c>
      <c r="E3348" s="6" t="inlineStr">
        <is>
          <t>WMT</t>
        </is>
      </c>
      <c r="F3348" s="6" t="inlineStr">
        <is>
          <t>-</t>
        </is>
      </c>
      <c r="G3348" s="7" t="n">
        <v>93.49089050292967</v>
      </c>
      <c r="H3348" s="6">
        <f>P3317</f>
        <v/>
      </c>
      <c r="I3348" s="9">
        <f>Q3317</f>
        <v/>
      </c>
      <c r="J3348" s="7">
        <f>I3348*G3348</f>
        <v/>
      </c>
      <c r="K3348" s="8">
        <f>IF($J$3349=0,0,J3348/$J$3349)</f>
        <v/>
      </c>
      <c r="L3348" s="6" t="inlineStr">
        <is>
          <t>SELECTED</t>
        </is>
      </c>
      <c r="M3348" s="8" t="n">
        <v>0.2</v>
      </c>
      <c r="N3348" s="7">
        <f>M3348*$J$3349-J3348</f>
        <v/>
      </c>
      <c r="O3348" s="9">
        <f>IF(G3348=0,0,N3348/G3348)</f>
        <v/>
      </c>
      <c r="P3348" s="6">
        <f>IF(M3348&gt;0,D3348,"")</f>
        <v/>
      </c>
      <c r="Q3348" s="9">
        <f>I3348+O3348</f>
        <v/>
      </c>
      <c r="R3348" s="7">
        <f>Q3348*G3348</f>
        <v/>
      </c>
      <c r="S3348" s="8">
        <f>IF($R$3349=0,0,R3348/$R$3349)</f>
        <v/>
      </c>
      <c r="T3348" s="8" t="n">
        <v>0.02326151159187373</v>
      </c>
      <c r="U3348" s="8" t="n">
        <v>0.02162311436263864</v>
      </c>
      <c r="V3348" s="6" t="inlineStr">
        <is>
          <t>entered weekly selection</t>
        </is>
      </c>
    </row>
    <row r="3349">
      <c r="A3349" s="10" t="inlineStr">
        <is>
          <t>DJ30</t>
        </is>
      </c>
      <c r="B3349" s="10" t="inlineStr">
        <is>
          <t>2025-01-24</t>
        </is>
      </c>
      <c r="C3349" s="10" t="inlineStr">
        <is>
          <t>DIA</t>
        </is>
      </c>
      <c r="D3349" s="10" t="inlineStr">
        <is>
          <t>Tot Portfolio</t>
        </is>
      </c>
      <c r="E3349" s="10" t="inlineStr"/>
      <c r="F3349" s="10" t="inlineStr"/>
      <c r="G3349" s="11" t="inlineStr"/>
      <c r="H3349" s="10" t="inlineStr"/>
      <c r="I3349" s="12" t="inlineStr"/>
      <c r="J3349" s="11">
        <f>SUM(J3319:J3348)</f>
        <v/>
      </c>
      <c r="K3349" s="13">
        <f>SUM(K3319:K3348)</f>
        <v/>
      </c>
      <c r="L3349" s="10" t="inlineStr">
        <is>
          <t>TOTAL</t>
        </is>
      </c>
      <c r="M3349" s="13">
        <f>SUM(M3319:M3348)</f>
        <v/>
      </c>
      <c r="N3349" s="11">
        <f>SUM(N3319:N3348)</f>
        <v/>
      </c>
      <c r="O3349" s="12">
        <f>SUM(O3319:O3348)</f>
        <v/>
      </c>
      <c r="P3349" s="10" t="inlineStr"/>
      <c r="Q3349" s="12" t="inlineStr"/>
      <c r="R3349" s="11">
        <f>SUM(R3319:R3348)</f>
        <v/>
      </c>
      <c r="S3349" s="13">
        <f>SUM(S3319:S3348)</f>
        <v/>
      </c>
      <c r="T3349" s="13" t="n">
        <v>0.02326151159187373</v>
      </c>
      <c r="U3349" s="13" t="n">
        <v>0.02162311436263864</v>
      </c>
      <c r="V3349" s="10" t="inlineStr"/>
    </row>
    <row r="3350">
      <c r="A3350" s="6" t="inlineStr">
        <is>
          <t>DJ30</t>
        </is>
      </c>
      <c r="B3350" s="6" t="inlineStr">
        <is>
          <t>2025-01-31</t>
        </is>
      </c>
      <c r="C3350" s="6" t="inlineStr">
        <is>
          <t>DIA</t>
        </is>
      </c>
      <c r="D3350" s="6" t="inlineStr">
        <is>
          <t>AAPL</t>
        </is>
      </c>
      <c r="E3350" s="6" t="inlineStr">
        <is>
          <t>AAPL</t>
        </is>
      </c>
      <c r="F3350" s="6" t="inlineStr">
        <is>
          <t>-</t>
        </is>
      </c>
      <c r="G3350" s="7" t="n">
        <v>234.5017547607422</v>
      </c>
      <c r="H3350" s="6">
        <f>P3319</f>
        <v/>
      </c>
      <c r="I3350" s="9">
        <f>Q3319</f>
        <v/>
      </c>
      <c r="J3350" s="7">
        <f>I3350*G3350</f>
        <v/>
      </c>
      <c r="K3350" s="8">
        <f>IF($J$3380=0,0,J3350/$J$3380)</f>
        <v/>
      </c>
      <c r="L3350" s="6" t="inlineStr">
        <is>
          <t>SELECTED</t>
        </is>
      </c>
      <c r="M3350" s="8" t="n">
        <v>0.2</v>
      </c>
      <c r="N3350" s="7">
        <f>M3350*$J$3380-J3350</f>
        <v/>
      </c>
      <c r="O3350" s="9">
        <f>IF(G3350=0,0,N3350/G3350)</f>
        <v/>
      </c>
      <c r="P3350" s="6">
        <f>IF(M3350&gt;0,D3350,"")</f>
        <v/>
      </c>
      <c r="Q3350" s="9">
        <f>I3350+O3350</f>
        <v/>
      </c>
      <c r="R3350" s="7">
        <f>Q3350*G3350</f>
        <v/>
      </c>
      <c r="S3350" s="8">
        <f>IF($R$3380=0,0,R3350/$R$3380)</f>
        <v/>
      </c>
      <c r="T3350" s="8" t="n">
        <v>0.02884534666979421</v>
      </c>
      <c r="U3350" s="8" t="n">
        <v>0.002859783927436688</v>
      </c>
      <c r="V3350" s="6" t="inlineStr">
        <is>
          <t>remained in weekly selection</t>
        </is>
      </c>
    </row>
    <row r="3351">
      <c r="A3351" s="6" t="inlineStr">
        <is>
          <t>DJ30</t>
        </is>
      </c>
      <c r="B3351" s="6" t="inlineStr">
        <is>
          <t>2025-01-31</t>
        </is>
      </c>
      <c r="C3351" s="6" t="inlineStr">
        <is>
          <t>DIA</t>
        </is>
      </c>
      <c r="D3351" s="6" t="inlineStr">
        <is>
          <t>AMGN</t>
        </is>
      </c>
      <c r="E3351" s="6" t="inlineStr">
        <is>
          <t>AMGN</t>
        </is>
      </c>
      <c r="F3351" s="6" t="inlineStr">
        <is>
          <t>-</t>
        </is>
      </c>
      <c r="G3351" s="7" t="n">
        <v>272.4626770019531</v>
      </c>
      <c r="H3351" s="6">
        <f>P3320</f>
        <v/>
      </c>
      <c r="I3351" s="9">
        <f>Q3320</f>
        <v/>
      </c>
      <c r="J3351" s="7">
        <f>I3351*G3351</f>
        <v/>
      </c>
      <c r="K3351" s="8">
        <f>IF($J$3380=0,0,J3351/$J$3380)</f>
        <v/>
      </c>
      <c r="L3351" s="6" t="inlineStr">
        <is>
          <t>REJECTED</t>
        </is>
      </c>
      <c r="M3351" s="8" t="n">
        <v>0</v>
      </c>
      <c r="N3351" s="7">
        <f>M3351*$J$3380-J3351</f>
        <v/>
      </c>
      <c r="O3351" s="9">
        <f>IF(G3351=0,0,N3351/G3351)</f>
        <v/>
      </c>
      <c r="P3351" s="6">
        <f>IF(M3351&gt;0,D3351,"")</f>
        <v/>
      </c>
      <c r="Q3351" s="9">
        <f>I3351+O3351</f>
        <v/>
      </c>
      <c r="R3351" s="7">
        <f>Q3351*G3351</f>
        <v/>
      </c>
      <c r="S3351" s="8">
        <f>IF($R$3380=0,0,R3351/$R$3380)</f>
        <v/>
      </c>
      <c r="T3351" s="8" t="n">
        <v>0.02884534666979421</v>
      </c>
      <c r="U3351" s="8" t="n">
        <v>0.002859783927436688</v>
      </c>
      <c r="V3351" s="6" t="inlineStr">
        <is>
          <t>not selected</t>
        </is>
      </c>
    </row>
    <row r="3352">
      <c r="A3352" s="6" t="inlineStr">
        <is>
          <t>DJ30</t>
        </is>
      </c>
      <c r="B3352" s="6" t="inlineStr">
        <is>
          <t>2025-01-31</t>
        </is>
      </c>
      <c r="C3352" s="6" t="inlineStr">
        <is>
          <t>DIA</t>
        </is>
      </c>
      <c r="D3352" s="6" t="inlineStr">
        <is>
          <t>AMZN</t>
        </is>
      </c>
      <c r="E3352" s="6" t="inlineStr">
        <is>
          <t>AMZN</t>
        </is>
      </c>
      <c r="F3352" s="6" t="inlineStr">
        <is>
          <t>-</t>
        </is>
      </c>
      <c r="G3352" s="7" t="n">
        <v>237.6799926757812</v>
      </c>
      <c r="H3352" s="6">
        <f>P3321</f>
        <v/>
      </c>
      <c r="I3352" s="9">
        <f>Q3321</f>
        <v/>
      </c>
      <c r="J3352" s="7">
        <f>I3352*G3352</f>
        <v/>
      </c>
      <c r="K3352" s="8">
        <f>IF($J$3380=0,0,J3352/$J$3380)</f>
        <v/>
      </c>
      <c r="L3352" s="6" t="inlineStr">
        <is>
          <t>WATCHLIST</t>
        </is>
      </c>
      <c r="M3352" s="8" t="n">
        <v>0</v>
      </c>
      <c r="N3352" s="7">
        <f>M3352*$J$3380-J3352</f>
        <v/>
      </c>
      <c r="O3352" s="9">
        <f>IF(G3352=0,0,N3352/G3352)</f>
        <v/>
      </c>
      <c r="P3352" s="6">
        <f>IF(M3352&gt;0,D3352,"")</f>
        <v/>
      </c>
      <c r="Q3352" s="9">
        <f>I3352+O3352</f>
        <v/>
      </c>
      <c r="R3352" s="7">
        <f>Q3352*G3352</f>
        <v/>
      </c>
      <c r="S3352" s="8">
        <f>IF($R$3380=0,0,R3352/$R$3380)</f>
        <v/>
      </c>
      <c r="T3352" s="8" t="n">
        <v>0.02884534666979421</v>
      </c>
      <c r="U3352" s="8" t="n">
        <v>0.002859783927436688</v>
      </c>
      <c r="V3352" s="6" t="inlineStr">
        <is>
          <t>not selected</t>
        </is>
      </c>
    </row>
    <row r="3353">
      <c r="A3353" s="6" t="inlineStr">
        <is>
          <t>DJ30</t>
        </is>
      </c>
      <c r="B3353" s="6" t="inlineStr">
        <is>
          <t>2025-01-31</t>
        </is>
      </c>
      <c r="C3353" s="6" t="inlineStr">
        <is>
          <t>DIA</t>
        </is>
      </c>
      <c r="D3353" s="6" t="inlineStr">
        <is>
          <t>AXP</t>
        </is>
      </c>
      <c r="E3353" s="6" t="inlineStr">
        <is>
          <t>AXP</t>
        </is>
      </c>
      <c r="F3353" s="6" t="inlineStr">
        <is>
          <t>-</t>
        </is>
      </c>
      <c r="G3353" s="7" t="n">
        <v>313.1174621582031</v>
      </c>
      <c r="H3353" s="6">
        <f>P3322</f>
        <v/>
      </c>
      <c r="I3353" s="9">
        <f>Q3322</f>
        <v/>
      </c>
      <c r="J3353" s="7">
        <f>I3353*G3353</f>
        <v/>
      </c>
      <c r="K3353" s="8">
        <f>IF($J$3380=0,0,J3353/$J$3380)</f>
        <v/>
      </c>
      <c r="L3353" s="6" t="inlineStr">
        <is>
          <t>WATCHLIST</t>
        </is>
      </c>
      <c r="M3353" s="8" t="n">
        <v>0</v>
      </c>
      <c r="N3353" s="7">
        <f>M3353*$J$3380-J3353</f>
        <v/>
      </c>
      <c r="O3353" s="9">
        <f>IF(G3353=0,0,N3353/G3353)</f>
        <v/>
      </c>
      <c r="P3353" s="6">
        <f>IF(M3353&gt;0,D3353,"")</f>
        <v/>
      </c>
      <c r="Q3353" s="9">
        <f>I3353+O3353</f>
        <v/>
      </c>
      <c r="R3353" s="7">
        <f>Q3353*G3353</f>
        <v/>
      </c>
      <c r="S3353" s="8">
        <f>IF($R$3380=0,0,R3353/$R$3380)</f>
        <v/>
      </c>
      <c r="T3353" s="8" t="n">
        <v>0.02884534666979421</v>
      </c>
      <c r="U3353" s="8" t="n">
        <v>0.002859783927436688</v>
      </c>
      <c r="V3353" s="6" t="inlineStr">
        <is>
          <t>not selected</t>
        </is>
      </c>
    </row>
    <row r="3354">
      <c r="A3354" s="6" t="inlineStr">
        <is>
          <t>DJ30</t>
        </is>
      </c>
      <c r="B3354" s="6" t="inlineStr">
        <is>
          <t>2025-01-31</t>
        </is>
      </c>
      <c r="C3354" s="6" t="inlineStr">
        <is>
          <t>DIA</t>
        </is>
      </c>
      <c r="D3354" s="6" t="inlineStr">
        <is>
          <t>BA</t>
        </is>
      </c>
      <c r="E3354" s="6" t="inlineStr">
        <is>
          <t>BA</t>
        </is>
      </c>
      <c r="F3354" s="6" t="inlineStr">
        <is>
          <t>-</t>
        </is>
      </c>
      <c r="G3354" s="7" t="n">
        <v>176.5200042724609</v>
      </c>
      <c r="H3354" s="6">
        <f>P3323</f>
        <v/>
      </c>
      <c r="I3354" s="9">
        <f>Q3323</f>
        <v/>
      </c>
      <c r="J3354" s="7">
        <f>I3354*G3354</f>
        <v/>
      </c>
      <c r="K3354" s="8">
        <f>IF($J$3380=0,0,J3354/$J$3380)</f>
        <v/>
      </c>
      <c r="L3354" s="6" t="inlineStr">
        <is>
          <t>REJECTED</t>
        </is>
      </c>
      <c r="M3354" s="8" t="n">
        <v>0</v>
      </c>
      <c r="N3354" s="7">
        <f>M3354*$J$3380-J3354</f>
        <v/>
      </c>
      <c r="O3354" s="9">
        <f>IF(G3354=0,0,N3354/G3354)</f>
        <v/>
      </c>
      <c r="P3354" s="6">
        <f>IF(M3354&gt;0,D3354,"")</f>
        <v/>
      </c>
      <c r="Q3354" s="9">
        <f>I3354+O3354</f>
        <v/>
      </c>
      <c r="R3354" s="7">
        <f>Q3354*G3354</f>
        <v/>
      </c>
      <c r="S3354" s="8">
        <f>IF($R$3380=0,0,R3354/$R$3380)</f>
        <v/>
      </c>
      <c r="T3354" s="8" t="n">
        <v>0.02884534666979421</v>
      </c>
      <c r="U3354" s="8" t="n">
        <v>0.002859783927436688</v>
      </c>
      <c r="V3354" s="6" t="inlineStr">
        <is>
          <t>not selected</t>
        </is>
      </c>
    </row>
    <row r="3355">
      <c r="A3355" s="6" t="inlineStr">
        <is>
          <t>DJ30</t>
        </is>
      </c>
      <c r="B3355" s="6" t="inlineStr">
        <is>
          <t>2025-01-31</t>
        </is>
      </c>
      <c r="C3355" s="6" t="inlineStr">
        <is>
          <t>DIA</t>
        </is>
      </c>
      <c r="D3355" s="6" t="inlineStr">
        <is>
          <t>CAT</t>
        </is>
      </c>
      <c r="E3355" s="6" t="inlineStr">
        <is>
          <t>CAT</t>
        </is>
      </c>
      <c r="F3355" s="6" t="inlineStr">
        <is>
          <t>-</t>
        </is>
      </c>
      <c r="G3355" s="7" t="n">
        <v>365.7022399902344</v>
      </c>
      <c r="H3355" s="6">
        <f>P3324</f>
        <v/>
      </c>
      <c r="I3355" s="9">
        <f>Q3324</f>
        <v/>
      </c>
      <c r="J3355" s="7">
        <f>I3355*G3355</f>
        <v/>
      </c>
      <c r="K3355" s="8">
        <f>IF($J$3380=0,0,J3355/$J$3380)</f>
        <v/>
      </c>
      <c r="L3355" s="6" t="inlineStr">
        <is>
          <t>WATCHLIST</t>
        </is>
      </c>
      <c r="M3355" s="8" t="n">
        <v>0</v>
      </c>
      <c r="N3355" s="7">
        <f>M3355*$J$3380-J3355</f>
        <v/>
      </c>
      <c r="O3355" s="9">
        <f>IF(G3355=0,0,N3355/G3355)</f>
        <v/>
      </c>
      <c r="P3355" s="6">
        <f>IF(M3355&gt;0,D3355,"")</f>
        <v/>
      </c>
      <c r="Q3355" s="9">
        <f>I3355+O3355</f>
        <v/>
      </c>
      <c r="R3355" s="7">
        <f>Q3355*G3355</f>
        <v/>
      </c>
      <c r="S3355" s="8">
        <f>IF($R$3380=0,0,R3355/$R$3380)</f>
        <v/>
      </c>
      <c r="T3355" s="8" t="n">
        <v>0.02884534666979421</v>
      </c>
      <c r="U3355" s="8" t="n">
        <v>0.002859783927436688</v>
      </c>
      <c r="V3355" s="6" t="inlineStr">
        <is>
          <t>not selected</t>
        </is>
      </c>
    </row>
    <row r="3356">
      <c r="A3356" s="6" t="inlineStr">
        <is>
          <t>DJ30</t>
        </is>
      </c>
      <c r="B3356" s="6" t="inlineStr">
        <is>
          <t>2025-01-31</t>
        </is>
      </c>
      <c r="C3356" s="6" t="inlineStr">
        <is>
          <t>DIA</t>
        </is>
      </c>
      <c r="D3356" s="6" t="inlineStr">
        <is>
          <t>CRM</t>
        </is>
      </c>
      <c r="E3356" s="6" t="inlineStr">
        <is>
          <t>CRM</t>
        </is>
      </c>
      <c r="F3356" s="6" t="inlineStr">
        <is>
          <t>-</t>
        </is>
      </c>
      <c r="G3356" s="7" t="n">
        <v>337.7650451660156</v>
      </c>
      <c r="H3356" s="6">
        <f>P3325</f>
        <v/>
      </c>
      <c r="I3356" s="9">
        <f>Q3325</f>
        <v/>
      </c>
      <c r="J3356" s="7">
        <f>I3356*G3356</f>
        <v/>
      </c>
      <c r="K3356" s="8">
        <f>IF($J$3380=0,0,J3356/$J$3380)</f>
        <v/>
      </c>
      <c r="L3356" s="6" t="inlineStr">
        <is>
          <t>REJECTED</t>
        </is>
      </c>
      <c r="M3356" s="8" t="n">
        <v>0</v>
      </c>
      <c r="N3356" s="7">
        <f>M3356*$J$3380-J3356</f>
        <v/>
      </c>
      <c r="O3356" s="9">
        <f>IF(G3356=0,0,N3356/G3356)</f>
        <v/>
      </c>
      <c r="P3356" s="6">
        <f>IF(M3356&gt;0,D3356,"")</f>
        <v/>
      </c>
      <c r="Q3356" s="9">
        <f>I3356+O3356</f>
        <v/>
      </c>
      <c r="R3356" s="7">
        <f>Q3356*G3356</f>
        <v/>
      </c>
      <c r="S3356" s="8">
        <f>IF($R$3380=0,0,R3356/$R$3380)</f>
        <v/>
      </c>
      <c r="T3356" s="8" t="n">
        <v>0.02884534666979421</v>
      </c>
      <c r="U3356" s="8" t="n">
        <v>0.002859783927436688</v>
      </c>
      <c r="V3356" s="6" t="inlineStr">
        <is>
          <t>not selected</t>
        </is>
      </c>
    </row>
    <row r="3357">
      <c r="A3357" s="6" t="inlineStr">
        <is>
          <t>DJ30</t>
        </is>
      </c>
      <c r="B3357" s="6" t="inlineStr">
        <is>
          <t>2025-01-31</t>
        </is>
      </c>
      <c r="C3357" s="6" t="inlineStr">
        <is>
          <t>DIA</t>
        </is>
      </c>
      <c r="D3357" s="6" t="inlineStr">
        <is>
          <t>CSCO</t>
        </is>
      </c>
      <c r="E3357" s="6" t="inlineStr">
        <is>
          <t>CSCO</t>
        </is>
      </c>
      <c r="F3357" s="6" t="inlineStr">
        <is>
          <t>-</t>
        </is>
      </c>
      <c r="G3357" s="7" t="n">
        <v>58.84366607666016</v>
      </c>
      <c r="H3357" s="6">
        <f>P3326</f>
        <v/>
      </c>
      <c r="I3357" s="9">
        <f>Q3326</f>
        <v/>
      </c>
      <c r="J3357" s="7">
        <f>I3357*G3357</f>
        <v/>
      </c>
      <c r="K3357" s="8">
        <f>IF($J$3380=0,0,J3357/$J$3380)</f>
        <v/>
      </c>
      <c r="L3357" s="6" t="inlineStr">
        <is>
          <t>WATCHLIST</t>
        </is>
      </c>
      <c r="M3357" s="8" t="n">
        <v>0</v>
      </c>
      <c r="N3357" s="7">
        <f>M3357*$J$3380-J3357</f>
        <v/>
      </c>
      <c r="O3357" s="9">
        <f>IF(G3357=0,0,N3357/G3357)</f>
        <v/>
      </c>
      <c r="P3357" s="6">
        <f>IF(M3357&gt;0,D3357,"")</f>
        <v/>
      </c>
      <c r="Q3357" s="9">
        <f>I3357+O3357</f>
        <v/>
      </c>
      <c r="R3357" s="7">
        <f>Q3357*G3357</f>
        <v/>
      </c>
      <c r="S3357" s="8">
        <f>IF($R$3380=0,0,R3357/$R$3380)</f>
        <v/>
      </c>
      <c r="T3357" s="8" t="n">
        <v>0.02884534666979421</v>
      </c>
      <c r="U3357" s="8" t="n">
        <v>0.002859783927436688</v>
      </c>
      <c r="V3357" s="6" t="inlineStr">
        <is>
          <t>not selected</t>
        </is>
      </c>
    </row>
    <row r="3358">
      <c r="A3358" s="6" t="inlineStr">
        <is>
          <t>DJ30</t>
        </is>
      </c>
      <c r="B3358" s="6" t="inlineStr">
        <is>
          <t>2025-01-31</t>
        </is>
      </c>
      <c r="C3358" s="6" t="inlineStr">
        <is>
          <t>DIA</t>
        </is>
      </c>
      <c r="D3358" s="6" t="inlineStr">
        <is>
          <t>CVX</t>
        </is>
      </c>
      <c r="E3358" s="6" t="inlineStr">
        <is>
          <t>CVX</t>
        </is>
      </c>
      <c r="F3358" s="6" t="inlineStr">
        <is>
          <t>-</t>
        </is>
      </c>
      <c r="G3358" s="7" t="n">
        <v>139.9176177978516</v>
      </c>
      <c r="H3358" s="6">
        <f>P3327</f>
        <v/>
      </c>
      <c r="I3358" s="9">
        <f>Q3327</f>
        <v/>
      </c>
      <c r="J3358" s="7">
        <f>I3358*G3358</f>
        <v/>
      </c>
      <c r="K3358" s="8">
        <f>IF($J$3380=0,0,J3358/$J$3380)</f>
        <v/>
      </c>
      <c r="L3358" s="6" t="inlineStr">
        <is>
          <t>REJECTED</t>
        </is>
      </c>
      <c r="M3358" s="8" t="n">
        <v>0</v>
      </c>
      <c r="N3358" s="7">
        <f>M3358*$J$3380-J3358</f>
        <v/>
      </c>
      <c r="O3358" s="9">
        <f>IF(G3358=0,0,N3358/G3358)</f>
        <v/>
      </c>
      <c r="P3358" s="6">
        <f>IF(M3358&gt;0,D3358,"")</f>
        <v/>
      </c>
      <c r="Q3358" s="9">
        <f>I3358+O3358</f>
        <v/>
      </c>
      <c r="R3358" s="7">
        <f>Q3358*G3358</f>
        <v/>
      </c>
      <c r="S3358" s="8">
        <f>IF($R$3380=0,0,R3358/$R$3380)</f>
        <v/>
      </c>
      <c r="T3358" s="8" t="n">
        <v>0.02884534666979421</v>
      </c>
      <c r="U3358" s="8" t="n">
        <v>0.002859783927436688</v>
      </c>
      <c r="V3358" s="6" t="inlineStr">
        <is>
          <t>not selected</t>
        </is>
      </c>
    </row>
    <row r="3359">
      <c r="A3359" s="6" t="inlineStr">
        <is>
          <t>DJ30</t>
        </is>
      </c>
      <c r="B3359" s="6" t="inlineStr">
        <is>
          <t>2025-01-31</t>
        </is>
      </c>
      <c r="C3359" s="6" t="inlineStr">
        <is>
          <t>DIA</t>
        </is>
      </c>
      <c r="D3359" s="6" t="inlineStr">
        <is>
          <t>DIS</t>
        </is>
      </c>
      <c r="E3359" s="6" t="inlineStr">
        <is>
          <t>DIS</t>
        </is>
      </c>
      <c r="F3359" s="6" t="inlineStr">
        <is>
          <t>-</t>
        </is>
      </c>
      <c r="G3359" s="7" t="n">
        <v>111.8233261108398</v>
      </c>
      <c r="H3359" s="6">
        <f>P3328</f>
        <v/>
      </c>
      <c r="I3359" s="9">
        <f>Q3328</f>
        <v/>
      </c>
      <c r="J3359" s="7">
        <f>I3359*G3359</f>
        <v/>
      </c>
      <c r="K3359" s="8">
        <f>IF($J$3380=0,0,J3359/$J$3380)</f>
        <v/>
      </c>
      <c r="L3359" s="6" t="inlineStr">
        <is>
          <t>REJECTED</t>
        </is>
      </c>
      <c r="M3359" s="8" t="n">
        <v>0</v>
      </c>
      <c r="N3359" s="7">
        <f>M3359*$J$3380-J3359</f>
        <v/>
      </c>
      <c r="O3359" s="9">
        <f>IF(G3359=0,0,N3359/G3359)</f>
        <v/>
      </c>
      <c r="P3359" s="6">
        <f>IF(M3359&gt;0,D3359,"")</f>
        <v/>
      </c>
      <c r="Q3359" s="9">
        <f>I3359+O3359</f>
        <v/>
      </c>
      <c r="R3359" s="7">
        <f>Q3359*G3359</f>
        <v/>
      </c>
      <c r="S3359" s="8">
        <f>IF($R$3380=0,0,R3359/$R$3380)</f>
        <v/>
      </c>
      <c r="T3359" s="8" t="n">
        <v>0.02884534666979421</v>
      </c>
      <c r="U3359" s="8" t="n">
        <v>0.002859783927436688</v>
      </c>
      <c r="V3359" s="6" t="inlineStr">
        <is>
          <t>not selected</t>
        </is>
      </c>
    </row>
    <row r="3360">
      <c r="A3360" s="6" t="inlineStr">
        <is>
          <t>DJ30</t>
        </is>
      </c>
      <c r="B3360" s="6" t="inlineStr">
        <is>
          <t>2025-01-31</t>
        </is>
      </c>
      <c r="C3360" s="6" t="inlineStr">
        <is>
          <t>DIA</t>
        </is>
      </c>
      <c r="D3360" s="6" t="inlineStr">
        <is>
          <t>GS</t>
        </is>
      </c>
      <c r="E3360" s="6" t="inlineStr">
        <is>
          <t>GS</t>
        </is>
      </c>
      <c r="F3360" s="6" t="inlineStr">
        <is>
          <t>-</t>
        </is>
      </c>
      <c r="G3360" s="7" t="n">
        <v>621.567138671875</v>
      </c>
      <c r="H3360" s="6">
        <f>P3329</f>
        <v/>
      </c>
      <c r="I3360" s="9">
        <f>Q3329</f>
        <v/>
      </c>
      <c r="J3360" s="7">
        <f>I3360*G3360</f>
        <v/>
      </c>
      <c r="K3360" s="8">
        <f>IF($J$3380=0,0,J3360/$J$3380)</f>
        <v/>
      </c>
      <c r="L3360" s="6" t="inlineStr">
        <is>
          <t>WATCHLIST</t>
        </is>
      </c>
      <c r="M3360" s="8" t="n">
        <v>0</v>
      </c>
      <c r="N3360" s="7">
        <f>M3360*$J$3380-J3360</f>
        <v/>
      </c>
      <c r="O3360" s="9">
        <f>IF(G3360=0,0,N3360/G3360)</f>
        <v/>
      </c>
      <c r="P3360" s="6">
        <f>IF(M3360&gt;0,D3360,"")</f>
        <v/>
      </c>
      <c r="Q3360" s="9">
        <f>I3360+O3360</f>
        <v/>
      </c>
      <c r="R3360" s="7">
        <f>Q3360*G3360</f>
        <v/>
      </c>
      <c r="S3360" s="8">
        <f>IF($R$3380=0,0,R3360/$R$3380)</f>
        <v/>
      </c>
      <c r="T3360" s="8" t="n">
        <v>0.02884534666979421</v>
      </c>
      <c r="U3360" s="8" t="n">
        <v>0.002859783927436688</v>
      </c>
      <c r="V3360" s="6" t="inlineStr">
        <is>
          <t>not selected</t>
        </is>
      </c>
    </row>
    <row r="3361">
      <c r="A3361" s="6" t="inlineStr">
        <is>
          <t>DJ30</t>
        </is>
      </c>
      <c r="B3361" s="6" t="inlineStr">
        <is>
          <t>2025-01-31</t>
        </is>
      </c>
      <c r="C3361" s="6" t="inlineStr">
        <is>
          <t>DIA</t>
        </is>
      </c>
      <c r="D3361" s="6" t="inlineStr">
        <is>
          <t>HD</t>
        </is>
      </c>
      <c r="E3361" s="6" t="inlineStr">
        <is>
          <t>HD</t>
        </is>
      </c>
      <c r="F3361" s="6" t="inlineStr">
        <is>
          <t>-</t>
        </is>
      </c>
      <c r="G3361" s="7" t="n">
        <v>396.3165588378906</v>
      </c>
      <c r="H3361" s="6">
        <f>P3330</f>
        <v/>
      </c>
      <c r="I3361" s="9">
        <f>Q3330</f>
        <v/>
      </c>
      <c r="J3361" s="7">
        <f>I3361*G3361</f>
        <v/>
      </c>
      <c r="K3361" s="8">
        <f>IF($J$3380=0,0,J3361/$J$3380)</f>
        <v/>
      </c>
      <c r="L3361" s="6" t="inlineStr">
        <is>
          <t>WATCHLIST</t>
        </is>
      </c>
      <c r="M3361" s="8" t="n">
        <v>0</v>
      </c>
      <c r="N3361" s="7">
        <f>M3361*$J$3380-J3361</f>
        <v/>
      </c>
      <c r="O3361" s="9">
        <f>IF(G3361=0,0,N3361/G3361)</f>
        <v/>
      </c>
      <c r="P3361" s="6">
        <f>IF(M3361&gt;0,D3361,"")</f>
        <v/>
      </c>
      <c r="Q3361" s="9">
        <f>I3361+O3361</f>
        <v/>
      </c>
      <c r="R3361" s="7">
        <f>Q3361*G3361</f>
        <v/>
      </c>
      <c r="S3361" s="8">
        <f>IF($R$3380=0,0,R3361/$R$3380)</f>
        <v/>
      </c>
      <c r="T3361" s="8" t="n">
        <v>0.02884534666979421</v>
      </c>
      <c r="U3361" s="8" t="n">
        <v>0.002859783927436688</v>
      </c>
      <c r="V3361" s="6" t="inlineStr">
        <is>
          <t>not selected</t>
        </is>
      </c>
    </row>
    <row r="3362">
      <c r="A3362" s="6" t="inlineStr">
        <is>
          <t>DJ30</t>
        </is>
      </c>
      <c r="B3362" s="6" t="inlineStr">
        <is>
          <t>2025-01-31</t>
        </is>
      </c>
      <c r="C3362" s="6" t="inlineStr">
        <is>
          <t>DIA</t>
        </is>
      </c>
      <c r="D3362" s="6" t="inlineStr">
        <is>
          <t>HON</t>
        </is>
      </c>
      <c r="E3362" s="6" t="inlineStr">
        <is>
          <t>HON</t>
        </is>
      </c>
      <c r="F3362" s="6" t="inlineStr">
        <is>
          <t>-</t>
        </is>
      </c>
      <c r="G3362" s="7" t="n">
        <v>204.2107086181641</v>
      </c>
      <c r="H3362" s="6">
        <f>P3331</f>
        <v/>
      </c>
      <c r="I3362" s="9">
        <f>Q3331</f>
        <v/>
      </c>
      <c r="J3362" s="7">
        <f>I3362*G3362</f>
        <v/>
      </c>
      <c r="K3362" s="8">
        <f>IF($J$3380=0,0,J3362/$J$3380)</f>
        <v/>
      </c>
      <c r="L3362" s="6" t="inlineStr">
        <is>
          <t>WATCHLIST</t>
        </is>
      </c>
      <c r="M3362" s="8" t="n">
        <v>0</v>
      </c>
      <c r="N3362" s="7">
        <f>M3362*$J$3380-J3362</f>
        <v/>
      </c>
      <c r="O3362" s="9">
        <f>IF(G3362=0,0,N3362/G3362)</f>
        <v/>
      </c>
      <c r="P3362" s="6">
        <f>IF(M3362&gt;0,D3362,"")</f>
        <v/>
      </c>
      <c r="Q3362" s="9">
        <f>I3362+O3362</f>
        <v/>
      </c>
      <c r="R3362" s="7">
        <f>Q3362*G3362</f>
        <v/>
      </c>
      <c r="S3362" s="8">
        <f>IF($R$3380=0,0,R3362/$R$3380)</f>
        <v/>
      </c>
      <c r="T3362" s="8" t="n">
        <v>0.02884534666979421</v>
      </c>
      <c r="U3362" s="8" t="n">
        <v>0.002859783927436688</v>
      </c>
      <c r="V3362" s="6" t="inlineStr">
        <is>
          <t>not selected</t>
        </is>
      </c>
    </row>
    <row r="3363">
      <c r="A3363" s="6" t="inlineStr">
        <is>
          <t>DJ30</t>
        </is>
      </c>
      <c r="B3363" s="6" t="inlineStr">
        <is>
          <t>2025-01-31</t>
        </is>
      </c>
      <c r="C3363" s="6" t="inlineStr">
        <is>
          <t>DIA</t>
        </is>
      </c>
      <c r="D3363" s="6" t="inlineStr">
        <is>
          <t>IBM</t>
        </is>
      </c>
      <c r="E3363" s="6" t="inlineStr">
        <is>
          <t>IBM</t>
        </is>
      </c>
      <c r="F3363" s="6" t="inlineStr">
        <is>
          <t>-</t>
        </is>
      </c>
      <c r="G3363" s="7" t="n">
        <v>246.0358276367188</v>
      </c>
      <c r="H3363" s="6">
        <f>P3332</f>
        <v/>
      </c>
      <c r="I3363" s="9">
        <f>Q3332</f>
        <v/>
      </c>
      <c r="J3363" s="7">
        <f>I3363*G3363</f>
        <v/>
      </c>
      <c r="K3363" s="8">
        <f>IF($J$3380=0,0,J3363/$J$3380)</f>
        <v/>
      </c>
      <c r="L3363" s="6" t="inlineStr">
        <is>
          <t>WATCHLIST</t>
        </is>
      </c>
      <c r="M3363" s="8" t="n">
        <v>0</v>
      </c>
      <c r="N3363" s="7">
        <f>M3363*$J$3380-J3363</f>
        <v/>
      </c>
      <c r="O3363" s="9">
        <f>IF(G3363=0,0,N3363/G3363)</f>
        <v/>
      </c>
      <c r="P3363" s="6">
        <f>IF(M3363&gt;0,D3363,"")</f>
        <v/>
      </c>
      <c r="Q3363" s="9">
        <f>I3363+O3363</f>
        <v/>
      </c>
      <c r="R3363" s="7">
        <f>Q3363*G3363</f>
        <v/>
      </c>
      <c r="S3363" s="8">
        <f>IF($R$3380=0,0,R3363/$R$3380)</f>
        <v/>
      </c>
      <c r="T3363" s="8" t="n">
        <v>0.02884534666979421</v>
      </c>
      <c r="U3363" s="8" t="n">
        <v>0.002859783927436688</v>
      </c>
      <c r="V3363" s="6" t="inlineStr">
        <is>
          <t>not selected</t>
        </is>
      </c>
    </row>
    <row r="3364">
      <c r="A3364" s="6" t="inlineStr">
        <is>
          <t>DJ30</t>
        </is>
      </c>
      <c r="B3364" s="6" t="inlineStr">
        <is>
          <t>2025-01-31</t>
        </is>
      </c>
      <c r="C3364" s="6" t="inlineStr">
        <is>
          <t>DIA</t>
        </is>
      </c>
      <c r="D3364" s="6" t="inlineStr">
        <is>
          <t>JNJ</t>
        </is>
      </c>
      <c r="E3364" s="6" t="inlineStr">
        <is>
          <t>JNJ</t>
        </is>
      </c>
      <c r="F3364" s="6" t="inlineStr">
        <is>
          <t>-</t>
        </is>
      </c>
      <c r="G3364" s="7" t="n">
        <v>146.0105285644531</v>
      </c>
      <c r="H3364" s="6">
        <f>P3333</f>
        <v/>
      </c>
      <c r="I3364" s="9">
        <f>Q3333</f>
        <v/>
      </c>
      <c r="J3364" s="7">
        <f>I3364*G3364</f>
        <v/>
      </c>
      <c r="K3364" s="8">
        <f>IF($J$3380=0,0,J3364/$J$3380)</f>
        <v/>
      </c>
      <c r="L3364" s="6" t="inlineStr">
        <is>
          <t>REJECTED</t>
        </is>
      </c>
      <c r="M3364" s="8" t="n">
        <v>0</v>
      </c>
      <c r="N3364" s="7">
        <f>M3364*$J$3380-J3364</f>
        <v/>
      </c>
      <c r="O3364" s="9">
        <f>IF(G3364=0,0,N3364/G3364)</f>
        <v/>
      </c>
      <c r="P3364" s="6">
        <f>IF(M3364&gt;0,D3364,"")</f>
        <v/>
      </c>
      <c r="Q3364" s="9">
        <f>I3364+O3364</f>
        <v/>
      </c>
      <c r="R3364" s="7">
        <f>Q3364*G3364</f>
        <v/>
      </c>
      <c r="S3364" s="8">
        <f>IF($R$3380=0,0,R3364/$R$3380)</f>
        <v/>
      </c>
      <c r="T3364" s="8" t="n">
        <v>0.02884534666979421</v>
      </c>
      <c r="U3364" s="8" t="n">
        <v>0.002859783927436688</v>
      </c>
      <c r="V3364" s="6" t="inlineStr">
        <is>
          <t>not selected</t>
        </is>
      </c>
    </row>
    <row r="3365">
      <c r="A3365" s="6" t="inlineStr">
        <is>
          <t>DJ30</t>
        </is>
      </c>
      <c r="B3365" s="6" t="inlineStr">
        <is>
          <t>2025-01-31</t>
        </is>
      </c>
      <c r="C3365" s="6" t="inlineStr">
        <is>
          <t>DIA</t>
        </is>
      </c>
      <c r="D3365" s="6" t="inlineStr">
        <is>
          <t>JPM</t>
        </is>
      </c>
      <c r="E3365" s="6" t="inlineStr">
        <is>
          <t>JPM</t>
        </is>
      </c>
      <c r="F3365" s="6" t="inlineStr">
        <is>
          <t>-</t>
        </is>
      </c>
      <c r="G3365" s="7" t="n">
        <v>260.5955810546875</v>
      </c>
      <c r="H3365" s="6">
        <f>P3334</f>
        <v/>
      </c>
      <c r="I3365" s="9">
        <f>Q3334</f>
        <v/>
      </c>
      <c r="J3365" s="7">
        <f>I3365*G3365</f>
        <v/>
      </c>
      <c r="K3365" s="8">
        <f>IF($J$3380=0,0,J3365/$J$3380)</f>
        <v/>
      </c>
      <c r="L3365" s="6" t="inlineStr">
        <is>
          <t>WATCHLIST</t>
        </is>
      </c>
      <c r="M3365" s="8" t="n">
        <v>0</v>
      </c>
      <c r="N3365" s="7">
        <f>M3365*$J$3380-J3365</f>
        <v/>
      </c>
      <c r="O3365" s="9">
        <f>IF(G3365=0,0,N3365/G3365)</f>
        <v/>
      </c>
      <c r="P3365" s="6">
        <f>IF(M3365&gt;0,D3365,"")</f>
        <v/>
      </c>
      <c r="Q3365" s="9">
        <f>I3365+O3365</f>
        <v/>
      </c>
      <c r="R3365" s="7">
        <f>Q3365*G3365</f>
        <v/>
      </c>
      <c r="S3365" s="8">
        <f>IF($R$3380=0,0,R3365/$R$3380)</f>
        <v/>
      </c>
      <c r="T3365" s="8" t="n">
        <v>0.02884534666979421</v>
      </c>
      <c r="U3365" s="8" t="n">
        <v>0.002859783927436688</v>
      </c>
      <c r="V3365" s="6" t="inlineStr">
        <is>
          <t>not selected</t>
        </is>
      </c>
    </row>
    <row r="3366">
      <c r="A3366" s="6" t="inlineStr">
        <is>
          <t>DJ30</t>
        </is>
      </c>
      <c r="B3366" s="6" t="inlineStr">
        <is>
          <t>2025-01-31</t>
        </is>
      </c>
      <c r="C3366" s="6" t="inlineStr">
        <is>
          <t>DIA</t>
        </is>
      </c>
      <c r="D3366" s="6" t="inlineStr">
        <is>
          <t>KO</t>
        </is>
      </c>
      <c r="E3366" s="6" t="inlineStr">
        <is>
          <t>KO</t>
        </is>
      </c>
      <c r="F3366" s="6" t="inlineStr">
        <is>
          <t>-</t>
        </is>
      </c>
      <c r="G3366" s="7" t="n">
        <v>60.84687042236328</v>
      </c>
      <c r="H3366" s="6">
        <f>P3335</f>
        <v/>
      </c>
      <c r="I3366" s="9">
        <f>Q3335</f>
        <v/>
      </c>
      <c r="J3366" s="7">
        <f>I3366*G3366</f>
        <v/>
      </c>
      <c r="K3366" s="8">
        <f>IF($J$3380=0,0,J3366/$J$3380)</f>
        <v/>
      </c>
      <c r="L3366" s="6" t="inlineStr">
        <is>
          <t>REJECTED</t>
        </is>
      </c>
      <c r="M3366" s="8" t="n">
        <v>0</v>
      </c>
      <c r="N3366" s="7">
        <f>M3366*$J$3380-J3366</f>
        <v/>
      </c>
      <c r="O3366" s="9">
        <f>IF(G3366=0,0,N3366/G3366)</f>
        <v/>
      </c>
      <c r="P3366" s="6">
        <f>IF(M3366&gt;0,D3366,"")</f>
        <v/>
      </c>
      <c r="Q3366" s="9">
        <f>I3366+O3366</f>
        <v/>
      </c>
      <c r="R3366" s="7">
        <f>Q3366*G3366</f>
        <v/>
      </c>
      <c r="S3366" s="8">
        <f>IF($R$3380=0,0,R3366/$R$3380)</f>
        <v/>
      </c>
      <c r="T3366" s="8" t="n">
        <v>0.02884534666979421</v>
      </c>
      <c r="U3366" s="8" t="n">
        <v>0.002859783927436688</v>
      </c>
      <c r="V3366" s="6" t="inlineStr">
        <is>
          <t>not selected</t>
        </is>
      </c>
    </row>
    <row r="3367">
      <c r="A3367" s="6" t="inlineStr">
        <is>
          <t>DJ30</t>
        </is>
      </c>
      <c r="B3367" s="6" t="inlineStr">
        <is>
          <t>2025-01-31</t>
        </is>
      </c>
      <c r="C3367" s="6" t="inlineStr">
        <is>
          <t>DIA</t>
        </is>
      </c>
      <c r="D3367" s="6" t="inlineStr">
        <is>
          <t>MCD</t>
        </is>
      </c>
      <c r="E3367" s="6" t="inlineStr">
        <is>
          <t>MCD</t>
        </is>
      </c>
      <c r="F3367" s="6" t="inlineStr">
        <is>
          <t>-</t>
        </is>
      </c>
      <c r="G3367" s="7" t="n">
        <v>278.6625061035156</v>
      </c>
      <c r="H3367" s="6">
        <f>P3336</f>
        <v/>
      </c>
      <c r="I3367" s="9">
        <f>Q3336</f>
        <v/>
      </c>
      <c r="J3367" s="7">
        <f>I3367*G3367</f>
        <v/>
      </c>
      <c r="K3367" s="8">
        <f>IF($J$3380=0,0,J3367/$J$3380)</f>
        <v/>
      </c>
      <c r="L3367" s="6" t="inlineStr">
        <is>
          <t>REJECTED</t>
        </is>
      </c>
      <c r="M3367" s="8" t="n">
        <v>0</v>
      </c>
      <c r="N3367" s="7">
        <f>M3367*$J$3380-J3367</f>
        <v/>
      </c>
      <c r="O3367" s="9">
        <f>IF(G3367=0,0,N3367/G3367)</f>
        <v/>
      </c>
      <c r="P3367" s="6">
        <f>IF(M3367&gt;0,D3367,"")</f>
        <v/>
      </c>
      <c r="Q3367" s="9">
        <f>I3367+O3367</f>
        <v/>
      </c>
      <c r="R3367" s="7">
        <f>Q3367*G3367</f>
        <v/>
      </c>
      <c r="S3367" s="8">
        <f>IF($R$3380=0,0,R3367/$R$3380)</f>
        <v/>
      </c>
      <c r="T3367" s="8" t="n">
        <v>0.02884534666979421</v>
      </c>
      <c r="U3367" s="8" t="n">
        <v>0.002859783927436688</v>
      </c>
      <c r="V3367" s="6" t="inlineStr">
        <is>
          <t>not selected</t>
        </is>
      </c>
    </row>
    <row r="3368">
      <c r="A3368" s="6" t="inlineStr">
        <is>
          <t>DJ30</t>
        </is>
      </c>
      <c r="B3368" s="6" t="inlineStr">
        <is>
          <t>2025-01-31</t>
        </is>
      </c>
      <c r="C3368" s="6" t="inlineStr">
        <is>
          <t>DIA</t>
        </is>
      </c>
      <c r="D3368" s="6" t="inlineStr">
        <is>
          <t>MMM</t>
        </is>
      </c>
      <c r="E3368" s="6" t="inlineStr">
        <is>
          <t>MMM</t>
        </is>
      </c>
      <c r="F3368" s="6" t="inlineStr">
        <is>
          <t>-</t>
        </is>
      </c>
      <c r="G3368" s="7" t="n">
        <v>147.9472503662109</v>
      </c>
      <c r="H3368" s="6">
        <f>P3337</f>
        <v/>
      </c>
      <c r="I3368" s="9">
        <f>Q3337</f>
        <v/>
      </c>
      <c r="J3368" s="7">
        <f>I3368*G3368</f>
        <v/>
      </c>
      <c r="K3368" s="8">
        <f>IF($J$3380=0,0,J3368/$J$3380)</f>
        <v/>
      </c>
      <c r="L3368" s="6" t="inlineStr">
        <is>
          <t>SELECTED</t>
        </is>
      </c>
      <c r="M3368" s="8" t="n">
        <v>0.2</v>
      </c>
      <c r="N3368" s="7">
        <f>M3368*$J$3380-J3368</f>
        <v/>
      </c>
      <c r="O3368" s="9">
        <f>IF(G3368=0,0,N3368/G3368)</f>
        <v/>
      </c>
      <c r="P3368" s="6">
        <f>IF(M3368&gt;0,D3368,"")</f>
        <v/>
      </c>
      <c r="Q3368" s="9">
        <f>I3368+O3368</f>
        <v/>
      </c>
      <c r="R3368" s="7">
        <f>Q3368*G3368</f>
        <v/>
      </c>
      <c r="S3368" s="8">
        <f>IF($R$3380=0,0,R3368/$R$3380)</f>
        <v/>
      </c>
      <c r="T3368" s="8" t="n">
        <v>0.02884534666979421</v>
      </c>
      <c r="U3368" s="8" t="n">
        <v>0.002859783927436688</v>
      </c>
      <c r="V3368" s="6" t="inlineStr">
        <is>
          <t>remained in weekly selection</t>
        </is>
      </c>
    </row>
    <row r="3369">
      <c r="A3369" s="6" t="inlineStr">
        <is>
          <t>DJ30</t>
        </is>
      </c>
      <c r="B3369" s="6" t="inlineStr">
        <is>
          <t>2025-01-31</t>
        </is>
      </c>
      <c r="C3369" s="6" t="inlineStr">
        <is>
          <t>DIA</t>
        </is>
      </c>
      <c r="D3369" s="6" t="inlineStr">
        <is>
          <t>MRK</t>
        </is>
      </c>
      <c r="E3369" s="6" t="inlineStr">
        <is>
          <t>MRK</t>
        </is>
      </c>
      <c r="F3369" s="6" t="inlineStr">
        <is>
          <t>-</t>
        </is>
      </c>
      <c r="G3369" s="7" t="n">
        <v>93.86432647705078</v>
      </c>
      <c r="H3369" s="6">
        <f>P3338</f>
        <v/>
      </c>
      <c r="I3369" s="9">
        <f>Q3338</f>
        <v/>
      </c>
      <c r="J3369" s="7">
        <f>I3369*G3369</f>
        <v/>
      </c>
      <c r="K3369" s="8">
        <f>IF($J$3380=0,0,J3369/$J$3380)</f>
        <v/>
      </c>
      <c r="L3369" s="6" t="inlineStr">
        <is>
          <t>REJECTED</t>
        </is>
      </c>
      <c r="M3369" s="8" t="n">
        <v>0</v>
      </c>
      <c r="N3369" s="7">
        <f>M3369*$J$3380-J3369</f>
        <v/>
      </c>
      <c r="O3369" s="9">
        <f>IF(G3369=0,0,N3369/G3369)</f>
        <v/>
      </c>
      <c r="P3369" s="6">
        <f>IF(M3369&gt;0,D3369,"")</f>
        <v/>
      </c>
      <c r="Q3369" s="9">
        <f>I3369+O3369</f>
        <v/>
      </c>
      <c r="R3369" s="7">
        <f>Q3369*G3369</f>
        <v/>
      </c>
      <c r="S3369" s="8">
        <f>IF($R$3380=0,0,R3369/$R$3380)</f>
        <v/>
      </c>
      <c r="T3369" s="8" t="n">
        <v>0.02884534666979421</v>
      </c>
      <c r="U3369" s="8" t="n">
        <v>0.002859783927436688</v>
      </c>
      <c r="V3369" s="6" t="inlineStr">
        <is>
          <t>not selected</t>
        </is>
      </c>
    </row>
    <row r="3370">
      <c r="A3370" s="6" t="inlineStr">
        <is>
          <t>DJ30</t>
        </is>
      </c>
      <c r="B3370" s="6" t="inlineStr">
        <is>
          <t>2025-01-31</t>
        </is>
      </c>
      <c r="C3370" s="6" t="inlineStr">
        <is>
          <t>DIA</t>
        </is>
      </c>
      <c r="D3370" s="6" t="inlineStr">
        <is>
          <t>MSFT</t>
        </is>
      </c>
      <c r="E3370" s="6" t="inlineStr">
        <is>
          <t>MSFT</t>
        </is>
      </c>
      <c r="F3370" s="6" t="inlineStr">
        <is>
          <t>-</t>
        </is>
      </c>
      <c r="G3370" s="7" t="n">
        <v>410.1938781738281</v>
      </c>
      <c r="H3370" s="6">
        <f>P3339</f>
        <v/>
      </c>
      <c r="I3370" s="9">
        <f>Q3339</f>
        <v/>
      </c>
      <c r="J3370" s="7">
        <f>I3370*G3370</f>
        <v/>
      </c>
      <c r="K3370" s="8">
        <f>IF($J$3380=0,0,J3370/$J$3380)</f>
        <v/>
      </c>
      <c r="L3370" s="6" t="inlineStr">
        <is>
          <t>REJECTED</t>
        </is>
      </c>
      <c r="M3370" s="8" t="n">
        <v>0</v>
      </c>
      <c r="N3370" s="7">
        <f>M3370*$J$3380-J3370</f>
        <v/>
      </c>
      <c r="O3370" s="9">
        <f>IF(G3370=0,0,N3370/G3370)</f>
        <v/>
      </c>
      <c r="P3370" s="6">
        <f>IF(M3370&gt;0,D3370,"")</f>
        <v/>
      </c>
      <c r="Q3370" s="9">
        <f>I3370+O3370</f>
        <v/>
      </c>
      <c r="R3370" s="7">
        <f>Q3370*G3370</f>
        <v/>
      </c>
      <c r="S3370" s="8">
        <f>IF($R$3380=0,0,R3370/$R$3380)</f>
        <v/>
      </c>
      <c r="T3370" s="8" t="n">
        <v>0.02884534666979421</v>
      </c>
      <c r="U3370" s="8" t="n">
        <v>0.002859783927436688</v>
      </c>
      <c r="V3370" s="6" t="inlineStr">
        <is>
          <t>not selected</t>
        </is>
      </c>
    </row>
    <row r="3371">
      <c r="A3371" s="6" t="inlineStr">
        <is>
          <t>DJ30</t>
        </is>
      </c>
      <c r="B3371" s="6" t="inlineStr">
        <is>
          <t>2025-01-31</t>
        </is>
      </c>
      <c r="C3371" s="6" t="inlineStr">
        <is>
          <t>DIA</t>
        </is>
      </c>
      <c r="D3371" s="6" t="inlineStr">
        <is>
          <t>NKE</t>
        </is>
      </c>
      <c r="E3371" s="6" t="inlineStr">
        <is>
          <t>NKE</t>
        </is>
      </c>
      <c r="F3371" s="6" t="inlineStr">
        <is>
          <t>-</t>
        </is>
      </c>
      <c r="G3371" s="7" t="n">
        <v>73.97760009765625</v>
      </c>
      <c r="H3371" s="6">
        <f>P3340</f>
        <v/>
      </c>
      <c r="I3371" s="9">
        <f>Q3340</f>
        <v/>
      </c>
      <c r="J3371" s="7">
        <f>I3371*G3371</f>
        <v/>
      </c>
      <c r="K3371" s="8">
        <f>IF($J$3380=0,0,J3371/$J$3380)</f>
        <v/>
      </c>
      <c r="L3371" s="6" t="inlineStr">
        <is>
          <t>REJECTED</t>
        </is>
      </c>
      <c r="M3371" s="8" t="n">
        <v>0</v>
      </c>
      <c r="N3371" s="7">
        <f>M3371*$J$3380-J3371</f>
        <v/>
      </c>
      <c r="O3371" s="9">
        <f>IF(G3371=0,0,N3371/G3371)</f>
        <v/>
      </c>
      <c r="P3371" s="6">
        <f>IF(M3371&gt;0,D3371,"")</f>
        <v/>
      </c>
      <c r="Q3371" s="9">
        <f>I3371+O3371</f>
        <v/>
      </c>
      <c r="R3371" s="7">
        <f>Q3371*G3371</f>
        <v/>
      </c>
      <c r="S3371" s="8">
        <f>IF($R$3380=0,0,R3371/$R$3380)</f>
        <v/>
      </c>
      <c r="T3371" s="8" t="n">
        <v>0.02884534666979421</v>
      </c>
      <c r="U3371" s="8" t="n">
        <v>0.002859783927436688</v>
      </c>
      <c r="V3371" s="6" t="inlineStr">
        <is>
          <t>not selected</t>
        </is>
      </c>
    </row>
    <row r="3372">
      <c r="A3372" s="6" t="inlineStr">
        <is>
          <t>DJ30</t>
        </is>
      </c>
      <c r="B3372" s="6" t="inlineStr">
        <is>
          <t>2025-01-31</t>
        </is>
      </c>
      <c r="C3372" s="6" t="inlineStr">
        <is>
          <t>DIA</t>
        </is>
      </c>
      <c r="D3372" s="6" t="inlineStr">
        <is>
          <t>NVDA</t>
        </is>
      </c>
      <c r="E3372" s="6" t="inlineStr">
        <is>
          <t>NVDA</t>
        </is>
      </c>
      <c r="F3372" s="6" t="inlineStr">
        <is>
          <t>-</t>
        </is>
      </c>
      <c r="G3372" s="7" t="n">
        <v>119.8909378051758</v>
      </c>
      <c r="H3372" s="6">
        <f>P3341</f>
        <v/>
      </c>
      <c r="I3372" s="9">
        <f>Q3341</f>
        <v/>
      </c>
      <c r="J3372" s="7">
        <f>I3372*G3372</f>
        <v/>
      </c>
      <c r="K3372" s="8">
        <f>IF($J$3380=0,0,J3372/$J$3380)</f>
        <v/>
      </c>
      <c r="L3372" s="6" t="inlineStr">
        <is>
          <t>SELECTED</t>
        </is>
      </c>
      <c r="M3372" s="8" t="n">
        <v>0.2</v>
      </c>
      <c r="N3372" s="7">
        <f>M3372*$J$3380-J3372</f>
        <v/>
      </c>
      <c r="O3372" s="9">
        <f>IF(G3372=0,0,N3372/G3372)</f>
        <v/>
      </c>
      <c r="P3372" s="6">
        <f>IF(M3372&gt;0,D3372,"")</f>
        <v/>
      </c>
      <c r="Q3372" s="9">
        <f>I3372+O3372</f>
        <v/>
      </c>
      <c r="R3372" s="7">
        <f>Q3372*G3372</f>
        <v/>
      </c>
      <c r="S3372" s="8">
        <f>IF($R$3380=0,0,R3372/$R$3380)</f>
        <v/>
      </c>
      <c r="T3372" s="8" t="n">
        <v>0.02884534666979421</v>
      </c>
      <c r="U3372" s="8" t="n">
        <v>0.002859783927436688</v>
      </c>
      <c r="V3372" s="6" t="inlineStr">
        <is>
          <t>entered weekly selection</t>
        </is>
      </c>
    </row>
    <row r="3373">
      <c r="A3373" s="6" t="inlineStr">
        <is>
          <t>DJ30</t>
        </is>
      </c>
      <c r="B3373" s="6" t="inlineStr">
        <is>
          <t>2025-01-31</t>
        </is>
      </c>
      <c r="C3373" s="6" t="inlineStr">
        <is>
          <t>DIA</t>
        </is>
      </c>
      <c r="D3373" s="6" t="inlineStr">
        <is>
          <t>PG</t>
        </is>
      </c>
      <c r="E3373" s="6" t="inlineStr">
        <is>
          <t>PG</t>
        </is>
      </c>
      <c r="F3373" s="6" t="inlineStr">
        <is>
          <t>-</t>
        </is>
      </c>
      <c r="G3373" s="7" t="n">
        <v>160.3490142822266</v>
      </c>
      <c r="H3373" s="6">
        <f>P3342</f>
        <v/>
      </c>
      <c r="I3373" s="9">
        <f>Q3342</f>
        <v/>
      </c>
      <c r="J3373" s="7">
        <f>I3373*G3373</f>
        <v/>
      </c>
      <c r="K3373" s="8">
        <f>IF($J$3380=0,0,J3373/$J$3380)</f>
        <v/>
      </c>
      <c r="L3373" s="6" t="inlineStr">
        <is>
          <t>WATCHLIST</t>
        </is>
      </c>
      <c r="M3373" s="8" t="n">
        <v>0</v>
      </c>
      <c r="N3373" s="7">
        <f>M3373*$J$3380-J3373</f>
        <v/>
      </c>
      <c r="O3373" s="9">
        <f>IF(G3373=0,0,N3373/G3373)</f>
        <v/>
      </c>
      <c r="P3373" s="6">
        <f>IF(M3373&gt;0,D3373,"")</f>
        <v/>
      </c>
      <c r="Q3373" s="9">
        <f>I3373+O3373</f>
        <v/>
      </c>
      <c r="R3373" s="7">
        <f>Q3373*G3373</f>
        <v/>
      </c>
      <c r="S3373" s="8">
        <f>IF($R$3380=0,0,R3373/$R$3380)</f>
        <v/>
      </c>
      <c r="T3373" s="8" t="n">
        <v>0.02884534666979421</v>
      </c>
      <c r="U3373" s="8" t="n">
        <v>0.002859783927436688</v>
      </c>
      <c r="V3373" s="6" t="inlineStr">
        <is>
          <t>not selected</t>
        </is>
      </c>
    </row>
    <row r="3374">
      <c r="A3374" s="6" t="inlineStr">
        <is>
          <t>DJ30</t>
        </is>
      </c>
      <c r="B3374" s="6" t="inlineStr">
        <is>
          <t>2025-01-31</t>
        </is>
      </c>
      <c r="C3374" s="6" t="inlineStr">
        <is>
          <t>DIA</t>
        </is>
      </c>
      <c r="D3374" s="6" t="inlineStr">
        <is>
          <t>SHW</t>
        </is>
      </c>
      <c r="E3374" s="6" t="inlineStr">
        <is>
          <t>SHW</t>
        </is>
      </c>
      <c r="F3374" s="6" t="inlineStr">
        <is>
          <t>-</t>
        </is>
      </c>
      <c r="G3374" s="7" t="n">
        <v>353.2983703613281</v>
      </c>
      <c r="H3374" s="6">
        <f>P3343</f>
        <v/>
      </c>
      <c r="I3374" s="9">
        <f>Q3343</f>
        <v/>
      </c>
      <c r="J3374" s="7">
        <f>I3374*G3374</f>
        <v/>
      </c>
      <c r="K3374" s="8">
        <f>IF($J$3380=0,0,J3374/$J$3380)</f>
        <v/>
      </c>
      <c r="L3374" s="6" t="inlineStr">
        <is>
          <t>WATCHLIST</t>
        </is>
      </c>
      <c r="M3374" s="8" t="n">
        <v>0</v>
      </c>
      <c r="N3374" s="7">
        <f>M3374*$J$3380-J3374</f>
        <v/>
      </c>
      <c r="O3374" s="9">
        <f>IF(G3374=0,0,N3374/G3374)</f>
        <v/>
      </c>
      <c r="P3374" s="6">
        <f>IF(M3374&gt;0,D3374,"")</f>
        <v/>
      </c>
      <c r="Q3374" s="9">
        <f>I3374+O3374</f>
        <v/>
      </c>
      <c r="R3374" s="7">
        <f>Q3374*G3374</f>
        <v/>
      </c>
      <c r="S3374" s="8">
        <f>IF($R$3380=0,0,R3374/$R$3380)</f>
        <v/>
      </c>
      <c r="T3374" s="8" t="n">
        <v>0.02884534666979421</v>
      </c>
      <c r="U3374" s="8" t="n">
        <v>0.002859783927436688</v>
      </c>
      <c r="V3374" s="6" t="inlineStr">
        <is>
          <t>not selected</t>
        </is>
      </c>
    </row>
    <row r="3375">
      <c r="A3375" s="6" t="inlineStr">
        <is>
          <t>DJ30</t>
        </is>
      </c>
      <c r="B3375" s="6" t="inlineStr">
        <is>
          <t>2025-01-31</t>
        </is>
      </c>
      <c r="C3375" s="6" t="inlineStr">
        <is>
          <t>DIA</t>
        </is>
      </c>
      <c r="D3375" s="6" t="inlineStr">
        <is>
          <t>TRV</t>
        </is>
      </c>
      <c r="E3375" s="6" t="inlineStr">
        <is>
          <t>TRV</t>
        </is>
      </c>
      <c r="F3375" s="6" t="inlineStr">
        <is>
          <t>-</t>
        </is>
      </c>
      <c r="G3375" s="7" t="n">
        <v>239.3697357177734</v>
      </c>
      <c r="H3375" s="6">
        <f>P3344</f>
        <v/>
      </c>
      <c r="I3375" s="9">
        <f>Q3344</f>
        <v/>
      </c>
      <c r="J3375" s="7">
        <f>I3375*G3375</f>
        <v/>
      </c>
      <c r="K3375" s="8">
        <f>IF($J$3380=0,0,J3375/$J$3380)</f>
        <v/>
      </c>
      <c r="L3375" s="6" t="inlineStr">
        <is>
          <t>SELECTED</t>
        </is>
      </c>
      <c r="M3375" s="8" t="n">
        <v>0.2</v>
      </c>
      <c r="N3375" s="7">
        <f>M3375*$J$3380-J3375</f>
        <v/>
      </c>
      <c r="O3375" s="9">
        <f>IF(G3375=0,0,N3375/G3375)</f>
        <v/>
      </c>
      <c r="P3375" s="6">
        <f>IF(M3375&gt;0,D3375,"")</f>
        <v/>
      </c>
      <c r="Q3375" s="9">
        <f>I3375+O3375</f>
        <v/>
      </c>
      <c r="R3375" s="7">
        <f>Q3375*G3375</f>
        <v/>
      </c>
      <c r="S3375" s="8">
        <f>IF($R$3380=0,0,R3375/$R$3380)</f>
        <v/>
      </c>
      <c r="T3375" s="8" t="n">
        <v>0.02884534666979421</v>
      </c>
      <c r="U3375" s="8" t="n">
        <v>0.002859783927436688</v>
      </c>
      <c r="V3375" s="6" t="inlineStr">
        <is>
          <t>remained in weekly selection</t>
        </is>
      </c>
    </row>
    <row r="3376">
      <c r="A3376" s="6" t="inlineStr">
        <is>
          <t>DJ30</t>
        </is>
      </c>
      <c r="B3376" s="6" t="inlineStr">
        <is>
          <t>2025-01-31</t>
        </is>
      </c>
      <c r="C3376" s="6" t="inlineStr">
        <is>
          <t>DIA</t>
        </is>
      </c>
      <c r="D3376" s="6" t="inlineStr">
        <is>
          <t>UNH</t>
        </is>
      </c>
      <c r="E3376" s="6" t="inlineStr">
        <is>
          <t>UNH</t>
        </is>
      </c>
      <c r="F3376" s="6" t="inlineStr">
        <is>
          <t>-</t>
        </is>
      </c>
      <c r="G3376" s="7" t="n">
        <v>522.3834838867188</v>
      </c>
      <c r="H3376" s="6">
        <f>P3345</f>
        <v/>
      </c>
      <c r="I3376" s="9">
        <f>Q3345</f>
        <v/>
      </c>
      <c r="J3376" s="7">
        <f>I3376*G3376</f>
        <v/>
      </c>
      <c r="K3376" s="8">
        <f>IF($J$3380=0,0,J3376/$J$3380)</f>
        <v/>
      </c>
      <c r="L3376" s="6" t="inlineStr">
        <is>
          <t>WATCHLIST</t>
        </is>
      </c>
      <c r="M3376" s="8" t="n">
        <v>0</v>
      </c>
      <c r="N3376" s="7">
        <f>M3376*$J$3380-J3376</f>
        <v/>
      </c>
      <c r="O3376" s="9">
        <f>IF(G3376=0,0,N3376/G3376)</f>
        <v/>
      </c>
      <c r="P3376" s="6">
        <f>IF(M3376&gt;0,D3376,"")</f>
        <v/>
      </c>
      <c r="Q3376" s="9">
        <f>I3376+O3376</f>
        <v/>
      </c>
      <c r="R3376" s="7">
        <f>Q3376*G3376</f>
        <v/>
      </c>
      <c r="S3376" s="8">
        <f>IF($R$3380=0,0,R3376/$R$3380)</f>
        <v/>
      </c>
      <c r="T3376" s="8" t="n">
        <v>0.02884534666979421</v>
      </c>
      <c r="U3376" s="8" t="n">
        <v>0.002859783927436688</v>
      </c>
      <c r="V3376" s="6" t="inlineStr">
        <is>
          <t>removed from weekly selection</t>
        </is>
      </c>
    </row>
    <row r="3377">
      <c r="A3377" s="6" t="inlineStr">
        <is>
          <t>DJ30</t>
        </is>
      </c>
      <c r="B3377" s="6" t="inlineStr">
        <is>
          <t>2025-01-31</t>
        </is>
      </c>
      <c r="C3377" s="6" t="inlineStr">
        <is>
          <t>DIA</t>
        </is>
      </c>
      <c r="D3377" s="6" t="inlineStr">
        <is>
          <t>V</t>
        </is>
      </c>
      <c r="E3377" s="6" t="inlineStr">
        <is>
          <t>V</t>
        </is>
      </c>
      <c r="F3377" s="6" t="inlineStr">
        <is>
          <t>-</t>
        </is>
      </c>
      <c r="G3377" s="7" t="n">
        <v>337.9903259277344</v>
      </c>
      <c r="H3377" s="6">
        <f>P3346</f>
        <v/>
      </c>
      <c r="I3377" s="9">
        <f>Q3346</f>
        <v/>
      </c>
      <c r="J3377" s="7">
        <f>I3377*G3377</f>
        <v/>
      </c>
      <c r="K3377" s="8">
        <f>IF($J$3380=0,0,J3377/$J$3380)</f>
        <v/>
      </c>
      <c r="L3377" s="6" t="inlineStr">
        <is>
          <t>WATCHLIST</t>
        </is>
      </c>
      <c r="M3377" s="8" t="n">
        <v>0</v>
      </c>
      <c r="N3377" s="7">
        <f>M3377*$J$3380-J3377</f>
        <v/>
      </c>
      <c r="O3377" s="9">
        <f>IF(G3377=0,0,N3377/G3377)</f>
        <v/>
      </c>
      <c r="P3377" s="6">
        <f>IF(M3377&gt;0,D3377,"")</f>
        <v/>
      </c>
      <c r="Q3377" s="9">
        <f>I3377+O3377</f>
        <v/>
      </c>
      <c r="R3377" s="7">
        <f>Q3377*G3377</f>
        <v/>
      </c>
      <c r="S3377" s="8">
        <f>IF($R$3380=0,0,R3377/$R$3380)</f>
        <v/>
      </c>
      <c r="T3377" s="8" t="n">
        <v>0.02884534666979421</v>
      </c>
      <c r="U3377" s="8" t="n">
        <v>0.002859783927436688</v>
      </c>
      <c r="V3377" s="6" t="inlineStr">
        <is>
          <t>not selected</t>
        </is>
      </c>
    </row>
    <row r="3378">
      <c r="A3378" s="6" t="inlineStr">
        <is>
          <t>DJ30</t>
        </is>
      </c>
      <c r="B3378" s="6" t="inlineStr">
        <is>
          <t>2025-01-31</t>
        </is>
      </c>
      <c r="C3378" s="6" t="inlineStr">
        <is>
          <t>DIA</t>
        </is>
      </c>
      <c r="D3378" s="6" t="inlineStr">
        <is>
          <t>VZ</t>
        </is>
      </c>
      <c r="E3378" s="6" t="inlineStr">
        <is>
          <t>VZ</t>
        </is>
      </c>
      <c r="F3378" s="6" t="inlineStr">
        <is>
          <t>-</t>
        </is>
      </c>
      <c r="G3378" s="7" t="n">
        <v>36.31985473632812</v>
      </c>
      <c r="H3378" s="6">
        <f>P3347</f>
        <v/>
      </c>
      <c r="I3378" s="9">
        <f>Q3347</f>
        <v/>
      </c>
      <c r="J3378" s="7">
        <f>I3378*G3378</f>
        <v/>
      </c>
      <c r="K3378" s="8">
        <f>IF($J$3380=0,0,J3378/$J$3380)</f>
        <v/>
      </c>
      <c r="L3378" s="6" t="inlineStr">
        <is>
          <t>WATCHLIST</t>
        </is>
      </c>
      <c r="M3378" s="8" t="n">
        <v>0</v>
      </c>
      <c r="N3378" s="7">
        <f>M3378*$J$3380-J3378</f>
        <v/>
      </c>
      <c r="O3378" s="9">
        <f>IF(G3378=0,0,N3378/G3378)</f>
        <v/>
      </c>
      <c r="P3378" s="6">
        <f>IF(M3378&gt;0,D3378,"")</f>
        <v/>
      </c>
      <c r="Q3378" s="9">
        <f>I3378+O3378</f>
        <v/>
      </c>
      <c r="R3378" s="7">
        <f>Q3378*G3378</f>
        <v/>
      </c>
      <c r="S3378" s="8">
        <f>IF($R$3380=0,0,R3378/$R$3380)</f>
        <v/>
      </c>
      <c r="T3378" s="8" t="n">
        <v>0.02884534666979421</v>
      </c>
      <c r="U3378" s="8" t="n">
        <v>0.002859783927436688</v>
      </c>
      <c r="V3378" s="6" t="inlineStr">
        <is>
          <t>not selected</t>
        </is>
      </c>
    </row>
    <row r="3379">
      <c r="A3379" s="6" t="inlineStr">
        <is>
          <t>DJ30</t>
        </is>
      </c>
      <c r="B3379" s="6" t="inlineStr">
        <is>
          <t>2025-01-31</t>
        </is>
      </c>
      <c r="C3379" s="6" t="inlineStr">
        <is>
          <t>DIA</t>
        </is>
      </c>
      <c r="D3379" s="6" t="inlineStr">
        <is>
          <t>WMT</t>
        </is>
      </c>
      <c r="E3379" s="6" t="inlineStr">
        <is>
          <t>WMT</t>
        </is>
      </c>
      <c r="F3379" s="6" t="inlineStr">
        <is>
          <t>-</t>
        </is>
      </c>
      <c r="G3379" s="7" t="n">
        <v>96.84536743164062</v>
      </c>
      <c r="H3379" s="6">
        <f>P3348</f>
        <v/>
      </c>
      <c r="I3379" s="9">
        <f>Q3348</f>
        <v/>
      </c>
      <c r="J3379" s="7">
        <f>I3379*G3379</f>
        <v/>
      </c>
      <c r="K3379" s="8">
        <f>IF($J$3380=0,0,J3379/$J$3380)</f>
        <v/>
      </c>
      <c r="L3379" s="6" t="inlineStr">
        <is>
          <t>SELECTED</t>
        </is>
      </c>
      <c r="M3379" s="8" t="n">
        <v>0.2</v>
      </c>
      <c r="N3379" s="7">
        <f>M3379*$J$3380-J3379</f>
        <v/>
      </c>
      <c r="O3379" s="9">
        <f>IF(G3379=0,0,N3379/G3379)</f>
        <v/>
      </c>
      <c r="P3379" s="6">
        <f>IF(M3379&gt;0,D3379,"")</f>
        <v/>
      </c>
      <c r="Q3379" s="9">
        <f>I3379+O3379</f>
        <v/>
      </c>
      <c r="R3379" s="7">
        <f>Q3379*G3379</f>
        <v/>
      </c>
      <c r="S3379" s="8">
        <f>IF($R$3380=0,0,R3379/$R$3380)</f>
        <v/>
      </c>
      <c r="T3379" s="8" t="n">
        <v>0.02884534666979421</v>
      </c>
      <c r="U3379" s="8" t="n">
        <v>0.002859783927436688</v>
      </c>
      <c r="V3379" s="6" t="inlineStr">
        <is>
          <t>remained in weekly selection</t>
        </is>
      </c>
    </row>
    <row r="3380">
      <c r="A3380" s="10" t="inlineStr">
        <is>
          <t>DJ30</t>
        </is>
      </c>
      <c r="B3380" s="10" t="inlineStr">
        <is>
          <t>2025-01-31</t>
        </is>
      </c>
      <c r="C3380" s="10" t="inlineStr">
        <is>
          <t>DIA</t>
        </is>
      </c>
      <c r="D3380" s="10" t="inlineStr">
        <is>
          <t>Tot Portfolio</t>
        </is>
      </c>
      <c r="E3380" s="10" t="inlineStr"/>
      <c r="F3380" s="10" t="inlineStr"/>
      <c r="G3380" s="11" t="inlineStr"/>
      <c r="H3380" s="10" t="inlineStr"/>
      <c r="I3380" s="12" t="inlineStr"/>
      <c r="J3380" s="11">
        <f>SUM(J3350:J3379)</f>
        <v/>
      </c>
      <c r="K3380" s="13">
        <f>SUM(K3350:K3379)</f>
        <v/>
      </c>
      <c r="L3380" s="10" t="inlineStr">
        <is>
          <t>TOTAL</t>
        </is>
      </c>
      <c r="M3380" s="13">
        <f>SUM(M3350:M3379)</f>
        <v/>
      </c>
      <c r="N3380" s="11">
        <f>SUM(N3350:N3379)</f>
        <v/>
      </c>
      <c r="O3380" s="12">
        <f>SUM(O3350:O3379)</f>
        <v/>
      </c>
      <c r="P3380" s="10" t="inlineStr"/>
      <c r="Q3380" s="12" t="inlineStr"/>
      <c r="R3380" s="11">
        <f>SUM(R3350:R3379)</f>
        <v/>
      </c>
      <c r="S3380" s="13">
        <f>SUM(S3350:S3379)</f>
        <v/>
      </c>
      <c r="T3380" s="13" t="n">
        <v>0.02884534666979421</v>
      </c>
      <c r="U3380" s="13" t="n">
        <v>0.002859783927436688</v>
      </c>
      <c r="V3380" s="10" t="inlineStr"/>
    </row>
    <row r="3381">
      <c r="A3381" s="6" t="inlineStr">
        <is>
          <t>DJ30</t>
        </is>
      </c>
      <c r="B3381" s="6" t="inlineStr">
        <is>
          <t>2025-02-07</t>
        </is>
      </c>
      <c r="C3381" s="6" t="inlineStr">
        <is>
          <t>DIA</t>
        </is>
      </c>
      <c r="D3381" s="6" t="inlineStr">
        <is>
          <t>AAPL</t>
        </is>
      </c>
      <c r="E3381" s="6" t="inlineStr">
        <is>
          <t>AAPL</t>
        </is>
      </c>
      <c r="F3381" s="6" t="inlineStr">
        <is>
          <t>-</t>
        </is>
      </c>
      <c r="G3381" s="7" t="n">
        <v>226.1848907470703</v>
      </c>
      <c r="H3381" s="6">
        <f>P3350</f>
        <v/>
      </c>
      <c r="I3381" s="9">
        <f>Q3350</f>
        <v/>
      </c>
      <c r="J3381" s="7">
        <f>I3381*G3381</f>
        <v/>
      </c>
      <c r="K3381" s="8">
        <f>IF($J$3411=0,0,J3381/$J$3411)</f>
        <v/>
      </c>
      <c r="L3381" s="6" t="inlineStr">
        <is>
          <t>SELECTED</t>
        </is>
      </c>
      <c r="M3381" s="8" t="n">
        <v>0.2</v>
      </c>
      <c r="N3381" s="7">
        <f>M3381*$J$3411-J3381</f>
        <v/>
      </c>
      <c r="O3381" s="9">
        <f>IF(G3381=0,0,N3381/G3381)</f>
        <v/>
      </c>
      <c r="P3381" s="6">
        <f>IF(M3381&gt;0,D3381,"")</f>
        <v/>
      </c>
      <c r="Q3381" s="9">
        <f>I3381+O3381</f>
        <v/>
      </c>
      <c r="R3381" s="7">
        <f>Q3381*G3381</f>
        <v/>
      </c>
      <c r="S3381" s="8">
        <f>IF($R$3411=0,0,R3381/$R$3411)</f>
        <v/>
      </c>
      <c r="T3381" s="8" t="n">
        <v>0.01181917261895382</v>
      </c>
      <c r="U3381" s="8" t="n">
        <v>-0.005096965123700614</v>
      </c>
      <c r="V3381" s="6" t="inlineStr">
        <is>
          <t>remained in weekly selection</t>
        </is>
      </c>
    </row>
    <row r="3382">
      <c r="A3382" s="6" t="inlineStr">
        <is>
          <t>DJ30</t>
        </is>
      </c>
      <c r="B3382" s="6" t="inlineStr">
        <is>
          <t>2025-02-07</t>
        </is>
      </c>
      <c r="C3382" s="6" t="inlineStr">
        <is>
          <t>DIA</t>
        </is>
      </c>
      <c r="D3382" s="6" t="inlineStr">
        <is>
          <t>AMGN</t>
        </is>
      </c>
      <c r="E3382" s="6" t="inlineStr">
        <is>
          <t>AMGN</t>
        </is>
      </c>
      <c r="F3382" s="6" t="inlineStr">
        <is>
          <t>-</t>
        </is>
      </c>
      <c r="G3382" s="7" t="n">
        <v>280.2140197753906</v>
      </c>
      <c r="H3382" s="6">
        <f>P3351</f>
        <v/>
      </c>
      <c r="I3382" s="9">
        <f>Q3351</f>
        <v/>
      </c>
      <c r="J3382" s="7">
        <f>I3382*G3382</f>
        <v/>
      </c>
      <c r="K3382" s="8">
        <f>IF($J$3411=0,0,J3382/$J$3411)</f>
        <v/>
      </c>
      <c r="L3382" s="6" t="inlineStr">
        <is>
          <t>REJECTED</t>
        </is>
      </c>
      <c r="M3382" s="8" t="n">
        <v>0</v>
      </c>
      <c r="N3382" s="7">
        <f>M3382*$J$3411-J3382</f>
        <v/>
      </c>
      <c r="O3382" s="9">
        <f>IF(G3382=0,0,N3382/G3382)</f>
        <v/>
      </c>
      <c r="P3382" s="6">
        <f>IF(M3382&gt;0,D3382,"")</f>
        <v/>
      </c>
      <c r="Q3382" s="9">
        <f>I3382+O3382</f>
        <v/>
      </c>
      <c r="R3382" s="7">
        <f>Q3382*G3382</f>
        <v/>
      </c>
      <c r="S3382" s="8">
        <f>IF($R$3411=0,0,R3382/$R$3411)</f>
        <v/>
      </c>
      <c r="T3382" s="8" t="n">
        <v>0.01181917261895382</v>
      </c>
      <c r="U3382" s="8" t="n">
        <v>-0.005096965123700614</v>
      </c>
      <c r="V3382" s="6" t="inlineStr">
        <is>
          <t>not selected</t>
        </is>
      </c>
    </row>
    <row r="3383">
      <c r="A3383" s="6" t="inlineStr">
        <is>
          <t>DJ30</t>
        </is>
      </c>
      <c r="B3383" s="6" t="inlineStr">
        <is>
          <t>2025-02-07</t>
        </is>
      </c>
      <c r="C3383" s="6" t="inlineStr">
        <is>
          <t>DIA</t>
        </is>
      </c>
      <c r="D3383" s="6" t="inlineStr">
        <is>
          <t>AMZN</t>
        </is>
      </c>
      <c r="E3383" s="6" t="inlineStr">
        <is>
          <t>AMZN</t>
        </is>
      </c>
      <c r="F3383" s="6" t="inlineStr">
        <is>
          <t>-</t>
        </is>
      </c>
      <c r="G3383" s="7" t="n">
        <v>229.1499938964844</v>
      </c>
      <c r="H3383" s="6">
        <f>P3352</f>
        <v/>
      </c>
      <c r="I3383" s="9">
        <f>Q3352</f>
        <v/>
      </c>
      <c r="J3383" s="7">
        <f>I3383*G3383</f>
        <v/>
      </c>
      <c r="K3383" s="8">
        <f>IF($J$3411=0,0,J3383/$J$3411)</f>
        <v/>
      </c>
      <c r="L3383" s="6" t="inlineStr">
        <is>
          <t>WATCHLIST</t>
        </is>
      </c>
      <c r="M3383" s="8" t="n">
        <v>0</v>
      </c>
      <c r="N3383" s="7">
        <f>M3383*$J$3411-J3383</f>
        <v/>
      </c>
      <c r="O3383" s="9">
        <f>IF(G3383=0,0,N3383/G3383)</f>
        <v/>
      </c>
      <c r="P3383" s="6">
        <f>IF(M3383&gt;0,D3383,"")</f>
        <v/>
      </c>
      <c r="Q3383" s="9">
        <f>I3383+O3383</f>
        <v/>
      </c>
      <c r="R3383" s="7">
        <f>Q3383*G3383</f>
        <v/>
      </c>
      <c r="S3383" s="8">
        <f>IF($R$3411=0,0,R3383/$R$3411)</f>
        <v/>
      </c>
      <c r="T3383" s="8" t="n">
        <v>0.01181917261895382</v>
      </c>
      <c r="U3383" s="8" t="n">
        <v>-0.005096965123700614</v>
      </c>
      <c r="V3383" s="6" t="inlineStr">
        <is>
          <t>not selected</t>
        </is>
      </c>
    </row>
    <row r="3384">
      <c r="A3384" s="6" t="inlineStr">
        <is>
          <t>DJ30</t>
        </is>
      </c>
      <c r="B3384" s="6" t="inlineStr">
        <is>
          <t>2025-02-07</t>
        </is>
      </c>
      <c r="C3384" s="6" t="inlineStr">
        <is>
          <t>DIA</t>
        </is>
      </c>
      <c r="D3384" s="6" t="inlineStr">
        <is>
          <t>AXP</t>
        </is>
      </c>
      <c r="E3384" s="6" t="inlineStr">
        <is>
          <t>AXP</t>
        </is>
      </c>
      <c r="F3384" s="6" t="inlineStr">
        <is>
          <t>-</t>
        </is>
      </c>
      <c r="G3384" s="7" t="n">
        <v>312.44677734375</v>
      </c>
      <c r="H3384" s="6">
        <f>P3353</f>
        <v/>
      </c>
      <c r="I3384" s="9">
        <f>Q3353</f>
        <v/>
      </c>
      <c r="J3384" s="7">
        <f>I3384*G3384</f>
        <v/>
      </c>
      <c r="K3384" s="8">
        <f>IF($J$3411=0,0,J3384/$J$3411)</f>
        <v/>
      </c>
      <c r="L3384" s="6" t="inlineStr">
        <is>
          <t>WATCHLIST</t>
        </is>
      </c>
      <c r="M3384" s="8" t="n">
        <v>0</v>
      </c>
      <c r="N3384" s="7">
        <f>M3384*$J$3411-J3384</f>
        <v/>
      </c>
      <c r="O3384" s="9">
        <f>IF(G3384=0,0,N3384/G3384)</f>
        <v/>
      </c>
      <c r="P3384" s="6">
        <f>IF(M3384&gt;0,D3384,"")</f>
        <v/>
      </c>
      <c r="Q3384" s="9">
        <f>I3384+O3384</f>
        <v/>
      </c>
      <c r="R3384" s="7">
        <f>Q3384*G3384</f>
        <v/>
      </c>
      <c r="S3384" s="8">
        <f>IF($R$3411=0,0,R3384/$R$3411)</f>
        <v/>
      </c>
      <c r="T3384" s="8" t="n">
        <v>0.01181917261895382</v>
      </c>
      <c r="U3384" s="8" t="n">
        <v>-0.005096965123700614</v>
      </c>
      <c r="V3384" s="6" t="inlineStr">
        <is>
          <t>not selected</t>
        </is>
      </c>
    </row>
    <row r="3385">
      <c r="A3385" s="6" t="inlineStr">
        <is>
          <t>DJ30</t>
        </is>
      </c>
      <c r="B3385" s="6" t="inlineStr">
        <is>
          <t>2025-02-07</t>
        </is>
      </c>
      <c r="C3385" s="6" t="inlineStr">
        <is>
          <t>DIA</t>
        </is>
      </c>
      <c r="D3385" s="6" t="inlineStr">
        <is>
          <t>BA</t>
        </is>
      </c>
      <c r="E3385" s="6" t="inlineStr">
        <is>
          <t>BA</t>
        </is>
      </c>
      <c r="F3385" s="6" t="inlineStr">
        <is>
          <t>-</t>
        </is>
      </c>
      <c r="G3385" s="7" t="n">
        <v>181.4900054931641</v>
      </c>
      <c r="H3385" s="6">
        <f>P3354</f>
        <v/>
      </c>
      <c r="I3385" s="9">
        <f>Q3354</f>
        <v/>
      </c>
      <c r="J3385" s="7">
        <f>I3385*G3385</f>
        <v/>
      </c>
      <c r="K3385" s="8">
        <f>IF($J$3411=0,0,J3385/$J$3411)</f>
        <v/>
      </c>
      <c r="L3385" s="6" t="inlineStr">
        <is>
          <t>REJECTED</t>
        </is>
      </c>
      <c r="M3385" s="8" t="n">
        <v>0</v>
      </c>
      <c r="N3385" s="7">
        <f>M3385*$J$3411-J3385</f>
        <v/>
      </c>
      <c r="O3385" s="9">
        <f>IF(G3385=0,0,N3385/G3385)</f>
        <v/>
      </c>
      <c r="P3385" s="6">
        <f>IF(M3385&gt;0,D3385,"")</f>
        <v/>
      </c>
      <c r="Q3385" s="9">
        <f>I3385+O3385</f>
        <v/>
      </c>
      <c r="R3385" s="7">
        <f>Q3385*G3385</f>
        <v/>
      </c>
      <c r="S3385" s="8">
        <f>IF($R$3411=0,0,R3385/$R$3411)</f>
        <v/>
      </c>
      <c r="T3385" s="8" t="n">
        <v>0.01181917261895382</v>
      </c>
      <c r="U3385" s="8" t="n">
        <v>-0.005096965123700614</v>
      </c>
      <c r="V3385" s="6" t="inlineStr">
        <is>
          <t>not selected</t>
        </is>
      </c>
    </row>
    <row r="3386">
      <c r="A3386" s="6" t="inlineStr">
        <is>
          <t>DJ30</t>
        </is>
      </c>
      <c r="B3386" s="6" t="inlineStr">
        <is>
          <t>2025-02-07</t>
        </is>
      </c>
      <c r="C3386" s="6" t="inlineStr">
        <is>
          <t>DIA</t>
        </is>
      </c>
      <c r="D3386" s="6" t="inlineStr">
        <is>
          <t>CAT</t>
        </is>
      </c>
      <c r="E3386" s="6" t="inlineStr">
        <is>
          <t>CAT</t>
        </is>
      </c>
      <c r="F3386" s="6" t="inlineStr">
        <is>
          <t>-</t>
        </is>
      </c>
      <c r="G3386" s="7" t="n">
        <v>358.259033203125</v>
      </c>
      <c r="H3386" s="6">
        <f>P3355</f>
        <v/>
      </c>
      <c r="I3386" s="9">
        <f>Q3355</f>
        <v/>
      </c>
      <c r="J3386" s="7">
        <f>I3386*G3386</f>
        <v/>
      </c>
      <c r="K3386" s="8">
        <f>IF($J$3411=0,0,J3386/$J$3411)</f>
        <v/>
      </c>
      <c r="L3386" s="6" t="inlineStr">
        <is>
          <t>WATCHLIST</t>
        </is>
      </c>
      <c r="M3386" s="8" t="n">
        <v>0</v>
      </c>
      <c r="N3386" s="7">
        <f>M3386*$J$3411-J3386</f>
        <v/>
      </c>
      <c r="O3386" s="9">
        <f>IF(G3386=0,0,N3386/G3386)</f>
        <v/>
      </c>
      <c r="P3386" s="6">
        <f>IF(M3386&gt;0,D3386,"")</f>
        <v/>
      </c>
      <c r="Q3386" s="9">
        <f>I3386+O3386</f>
        <v/>
      </c>
      <c r="R3386" s="7">
        <f>Q3386*G3386</f>
        <v/>
      </c>
      <c r="S3386" s="8">
        <f>IF($R$3411=0,0,R3386/$R$3411)</f>
        <v/>
      </c>
      <c r="T3386" s="8" t="n">
        <v>0.01181917261895382</v>
      </c>
      <c r="U3386" s="8" t="n">
        <v>-0.005096965123700614</v>
      </c>
      <c r="V3386" s="6" t="inlineStr">
        <is>
          <t>not selected</t>
        </is>
      </c>
    </row>
    <row r="3387">
      <c r="A3387" s="6" t="inlineStr">
        <is>
          <t>DJ30</t>
        </is>
      </c>
      <c r="B3387" s="6" t="inlineStr">
        <is>
          <t>2025-02-07</t>
        </is>
      </c>
      <c r="C3387" s="6" t="inlineStr">
        <is>
          <t>DIA</t>
        </is>
      </c>
      <c r="D3387" s="6" t="inlineStr">
        <is>
          <t>CRM</t>
        </is>
      </c>
      <c r="E3387" s="6" t="inlineStr">
        <is>
          <t>CRM</t>
        </is>
      </c>
      <c r="F3387" s="6" t="inlineStr">
        <is>
          <t>-</t>
        </is>
      </c>
      <c r="G3387" s="7" t="n">
        <v>322.0777587890625</v>
      </c>
      <c r="H3387" s="6">
        <f>P3356</f>
        <v/>
      </c>
      <c r="I3387" s="9">
        <f>Q3356</f>
        <v/>
      </c>
      <c r="J3387" s="7">
        <f>I3387*G3387</f>
        <v/>
      </c>
      <c r="K3387" s="8">
        <f>IF($J$3411=0,0,J3387/$J$3411)</f>
        <v/>
      </c>
      <c r="L3387" s="6" t="inlineStr">
        <is>
          <t>REJECTED</t>
        </is>
      </c>
      <c r="M3387" s="8" t="n">
        <v>0</v>
      </c>
      <c r="N3387" s="7">
        <f>M3387*$J$3411-J3387</f>
        <v/>
      </c>
      <c r="O3387" s="9">
        <f>IF(G3387=0,0,N3387/G3387)</f>
        <v/>
      </c>
      <c r="P3387" s="6">
        <f>IF(M3387&gt;0,D3387,"")</f>
        <v/>
      </c>
      <c r="Q3387" s="9">
        <f>I3387+O3387</f>
        <v/>
      </c>
      <c r="R3387" s="7">
        <f>Q3387*G3387</f>
        <v/>
      </c>
      <c r="S3387" s="8">
        <f>IF($R$3411=0,0,R3387/$R$3411)</f>
        <v/>
      </c>
      <c r="T3387" s="8" t="n">
        <v>0.01181917261895382</v>
      </c>
      <c r="U3387" s="8" t="n">
        <v>-0.005096965123700614</v>
      </c>
      <c r="V3387" s="6" t="inlineStr">
        <is>
          <t>not selected</t>
        </is>
      </c>
    </row>
    <row r="3388">
      <c r="A3388" s="6" t="inlineStr">
        <is>
          <t>DJ30</t>
        </is>
      </c>
      <c r="B3388" s="6" t="inlineStr">
        <is>
          <t>2025-02-07</t>
        </is>
      </c>
      <c r="C3388" s="6" t="inlineStr">
        <is>
          <t>DIA</t>
        </is>
      </c>
      <c r="D3388" s="6" t="inlineStr">
        <is>
          <t>CSCO</t>
        </is>
      </c>
      <c r="E3388" s="6" t="inlineStr">
        <is>
          <t>CSCO</t>
        </is>
      </c>
      <c r="F3388" s="6" t="inlineStr">
        <is>
          <t>-</t>
        </is>
      </c>
      <c r="G3388" s="7" t="n">
        <v>60.46526718139648</v>
      </c>
      <c r="H3388" s="6">
        <f>P3357</f>
        <v/>
      </c>
      <c r="I3388" s="9">
        <f>Q3357</f>
        <v/>
      </c>
      <c r="J3388" s="7">
        <f>I3388*G3388</f>
        <v/>
      </c>
      <c r="K3388" s="8">
        <f>IF($J$3411=0,0,J3388/$J$3411)</f>
        <v/>
      </c>
      <c r="L3388" s="6" t="inlineStr">
        <is>
          <t>WATCHLIST</t>
        </is>
      </c>
      <c r="M3388" s="8" t="n">
        <v>0</v>
      </c>
      <c r="N3388" s="7">
        <f>M3388*$J$3411-J3388</f>
        <v/>
      </c>
      <c r="O3388" s="9">
        <f>IF(G3388=0,0,N3388/G3388)</f>
        <v/>
      </c>
      <c r="P3388" s="6">
        <f>IF(M3388&gt;0,D3388,"")</f>
        <v/>
      </c>
      <c r="Q3388" s="9">
        <f>I3388+O3388</f>
        <v/>
      </c>
      <c r="R3388" s="7">
        <f>Q3388*G3388</f>
        <v/>
      </c>
      <c r="S3388" s="8">
        <f>IF($R$3411=0,0,R3388/$R$3411)</f>
        <v/>
      </c>
      <c r="T3388" s="8" t="n">
        <v>0.01181917261895382</v>
      </c>
      <c r="U3388" s="8" t="n">
        <v>-0.005096965123700614</v>
      </c>
      <c r="V3388" s="6" t="inlineStr">
        <is>
          <t>not selected</t>
        </is>
      </c>
    </row>
    <row r="3389">
      <c r="A3389" s="6" t="inlineStr">
        <is>
          <t>DJ30</t>
        </is>
      </c>
      <c r="B3389" s="6" t="inlineStr">
        <is>
          <t>2025-02-07</t>
        </is>
      </c>
      <c r="C3389" s="6" t="inlineStr">
        <is>
          <t>DIA</t>
        </is>
      </c>
      <c r="D3389" s="6" t="inlineStr">
        <is>
          <t>CVX</t>
        </is>
      </c>
      <c r="E3389" s="6" t="inlineStr">
        <is>
          <t>CVX</t>
        </is>
      </c>
      <c r="F3389" s="6" t="inlineStr">
        <is>
          <t>-</t>
        </is>
      </c>
      <c r="G3389" s="7" t="n">
        <v>143.1344299316406</v>
      </c>
      <c r="H3389" s="6">
        <f>P3358</f>
        <v/>
      </c>
      <c r="I3389" s="9">
        <f>Q3358</f>
        <v/>
      </c>
      <c r="J3389" s="7">
        <f>I3389*G3389</f>
        <v/>
      </c>
      <c r="K3389" s="8">
        <f>IF($J$3411=0,0,J3389/$J$3411)</f>
        <v/>
      </c>
      <c r="L3389" s="6" t="inlineStr">
        <is>
          <t>REJECTED</t>
        </is>
      </c>
      <c r="M3389" s="8" t="n">
        <v>0</v>
      </c>
      <c r="N3389" s="7">
        <f>M3389*$J$3411-J3389</f>
        <v/>
      </c>
      <c r="O3389" s="9">
        <f>IF(G3389=0,0,N3389/G3389)</f>
        <v/>
      </c>
      <c r="P3389" s="6">
        <f>IF(M3389&gt;0,D3389,"")</f>
        <v/>
      </c>
      <c r="Q3389" s="9">
        <f>I3389+O3389</f>
        <v/>
      </c>
      <c r="R3389" s="7">
        <f>Q3389*G3389</f>
        <v/>
      </c>
      <c r="S3389" s="8">
        <f>IF($R$3411=0,0,R3389/$R$3411)</f>
        <v/>
      </c>
      <c r="T3389" s="8" t="n">
        <v>0.01181917261895382</v>
      </c>
      <c r="U3389" s="8" t="n">
        <v>-0.005096965123700614</v>
      </c>
      <c r="V3389" s="6" t="inlineStr">
        <is>
          <t>not selected</t>
        </is>
      </c>
    </row>
    <row r="3390">
      <c r="A3390" s="6" t="inlineStr">
        <is>
          <t>DJ30</t>
        </is>
      </c>
      <c r="B3390" s="6" t="inlineStr">
        <is>
          <t>2025-02-07</t>
        </is>
      </c>
      <c r="C3390" s="6" t="inlineStr">
        <is>
          <t>DIA</t>
        </is>
      </c>
      <c r="D3390" s="6" t="inlineStr">
        <is>
          <t>DIS</t>
        </is>
      </c>
      <c r="E3390" s="6" t="inlineStr">
        <is>
          <t>DIS</t>
        </is>
      </c>
      <c r="F3390" s="6" t="inlineStr">
        <is>
          <t>-</t>
        </is>
      </c>
      <c r="G3390" s="7" t="n">
        <v>109.6473999023438</v>
      </c>
      <c r="H3390" s="6">
        <f>P3359</f>
        <v/>
      </c>
      <c r="I3390" s="9">
        <f>Q3359</f>
        <v/>
      </c>
      <c r="J3390" s="7">
        <f>I3390*G3390</f>
        <v/>
      </c>
      <c r="K3390" s="8">
        <f>IF($J$3411=0,0,J3390/$J$3411)</f>
        <v/>
      </c>
      <c r="L3390" s="6" t="inlineStr">
        <is>
          <t>REJECTED</t>
        </is>
      </c>
      <c r="M3390" s="8" t="n">
        <v>0</v>
      </c>
      <c r="N3390" s="7">
        <f>M3390*$J$3411-J3390</f>
        <v/>
      </c>
      <c r="O3390" s="9">
        <f>IF(G3390=0,0,N3390/G3390)</f>
        <v/>
      </c>
      <c r="P3390" s="6">
        <f>IF(M3390&gt;0,D3390,"")</f>
        <v/>
      </c>
      <c r="Q3390" s="9">
        <f>I3390+O3390</f>
        <v/>
      </c>
      <c r="R3390" s="7">
        <f>Q3390*G3390</f>
        <v/>
      </c>
      <c r="S3390" s="8">
        <f>IF($R$3411=0,0,R3390/$R$3411)</f>
        <v/>
      </c>
      <c r="T3390" s="8" t="n">
        <v>0.01181917261895382</v>
      </c>
      <c r="U3390" s="8" t="n">
        <v>-0.005096965123700614</v>
      </c>
      <c r="V3390" s="6" t="inlineStr">
        <is>
          <t>not selected</t>
        </is>
      </c>
    </row>
    <row r="3391">
      <c r="A3391" s="6" t="inlineStr">
        <is>
          <t>DJ30</t>
        </is>
      </c>
      <c r="B3391" s="6" t="inlineStr">
        <is>
          <t>2025-02-07</t>
        </is>
      </c>
      <c r="C3391" s="6" t="inlineStr">
        <is>
          <t>DIA</t>
        </is>
      </c>
      <c r="D3391" s="6" t="inlineStr">
        <is>
          <t>GS</t>
        </is>
      </c>
      <c r="E3391" s="6" t="inlineStr">
        <is>
          <t>GS</t>
        </is>
      </c>
      <c r="F3391" s="6" t="inlineStr">
        <is>
          <t>-</t>
        </is>
      </c>
      <c r="G3391" s="7" t="n">
        <v>636.6112670898438</v>
      </c>
      <c r="H3391" s="6">
        <f>P3360</f>
        <v/>
      </c>
      <c r="I3391" s="9">
        <f>Q3360</f>
        <v/>
      </c>
      <c r="J3391" s="7">
        <f>I3391*G3391</f>
        <v/>
      </c>
      <c r="K3391" s="8">
        <f>IF($J$3411=0,0,J3391/$J$3411)</f>
        <v/>
      </c>
      <c r="L3391" s="6" t="inlineStr">
        <is>
          <t>WATCHLIST</t>
        </is>
      </c>
      <c r="M3391" s="8" t="n">
        <v>0</v>
      </c>
      <c r="N3391" s="7">
        <f>M3391*$J$3411-J3391</f>
        <v/>
      </c>
      <c r="O3391" s="9">
        <f>IF(G3391=0,0,N3391/G3391)</f>
        <v/>
      </c>
      <c r="P3391" s="6">
        <f>IF(M3391&gt;0,D3391,"")</f>
        <v/>
      </c>
      <c r="Q3391" s="9">
        <f>I3391+O3391</f>
        <v/>
      </c>
      <c r="R3391" s="7">
        <f>Q3391*G3391</f>
        <v/>
      </c>
      <c r="S3391" s="8">
        <f>IF($R$3411=0,0,R3391/$R$3411)</f>
        <v/>
      </c>
      <c r="T3391" s="8" t="n">
        <v>0.01181917261895382</v>
      </c>
      <c r="U3391" s="8" t="n">
        <v>-0.005096965123700614</v>
      </c>
      <c r="V3391" s="6" t="inlineStr">
        <is>
          <t>not selected</t>
        </is>
      </c>
    </row>
    <row r="3392">
      <c r="A3392" s="6" t="inlineStr">
        <is>
          <t>DJ30</t>
        </is>
      </c>
      <c r="B3392" s="6" t="inlineStr">
        <is>
          <t>2025-02-07</t>
        </is>
      </c>
      <c r="C3392" s="6" t="inlineStr">
        <is>
          <t>DIA</t>
        </is>
      </c>
      <c r="D3392" s="6" t="inlineStr">
        <is>
          <t>HD</t>
        </is>
      </c>
      <c r="E3392" s="6" t="inlineStr">
        <is>
          <t>HD</t>
        </is>
      </c>
      <c r="F3392" s="6" t="inlineStr">
        <is>
          <t>-</t>
        </is>
      </c>
      <c r="G3392" s="7" t="n">
        <v>391.8818054199219</v>
      </c>
      <c r="H3392" s="6">
        <f>P3361</f>
        <v/>
      </c>
      <c r="I3392" s="9">
        <f>Q3361</f>
        <v/>
      </c>
      <c r="J3392" s="7">
        <f>I3392*G3392</f>
        <v/>
      </c>
      <c r="K3392" s="8">
        <f>IF($J$3411=0,0,J3392/$J$3411)</f>
        <v/>
      </c>
      <c r="L3392" s="6" t="inlineStr">
        <is>
          <t>WATCHLIST</t>
        </is>
      </c>
      <c r="M3392" s="8" t="n">
        <v>0</v>
      </c>
      <c r="N3392" s="7">
        <f>M3392*$J$3411-J3392</f>
        <v/>
      </c>
      <c r="O3392" s="9">
        <f>IF(G3392=0,0,N3392/G3392)</f>
        <v/>
      </c>
      <c r="P3392" s="6">
        <f>IF(M3392&gt;0,D3392,"")</f>
        <v/>
      </c>
      <c r="Q3392" s="9">
        <f>I3392+O3392</f>
        <v/>
      </c>
      <c r="R3392" s="7">
        <f>Q3392*G3392</f>
        <v/>
      </c>
      <c r="S3392" s="8">
        <f>IF($R$3411=0,0,R3392/$R$3411)</f>
        <v/>
      </c>
      <c r="T3392" s="8" t="n">
        <v>0.01181917261895382</v>
      </c>
      <c r="U3392" s="8" t="n">
        <v>-0.005096965123700614</v>
      </c>
      <c r="V3392" s="6" t="inlineStr">
        <is>
          <t>not selected</t>
        </is>
      </c>
    </row>
    <row r="3393">
      <c r="A3393" s="6" t="inlineStr">
        <is>
          <t>DJ30</t>
        </is>
      </c>
      <c r="B3393" s="6" t="inlineStr">
        <is>
          <t>2025-02-07</t>
        </is>
      </c>
      <c r="C3393" s="6" t="inlineStr">
        <is>
          <t>DIA</t>
        </is>
      </c>
      <c r="D3393" s="6" t="inlineStr">
        <is>
          <t>HON</t>
        </is>
      </c>
      <c r="E3393" s="6" t="inlineStr">
        <is>
          <t>HON</t>
        </is>
      </c>
      <c r="F3393" s="6" t="inlineStr">
        <is>
          <t>-</t>
        </is>
      </c>
      <c r="G3393" s="7" t="n">
        <v>187.5978393554688</v>
      </c>
      <c r="H3393" s="6">
        <f>P3362</f>
        <v/>
      </c>
      <c r="I3393" s="9">
        <f>Q3362</f>
        <v/>
      </c>
      <c r="J3393" s="7">
        <f>I3393*G3393</f>
        <v/>
      </c>
      <c r="K3393" s="8">
        <f>IF($J$3411=0,0,J3393/$J$3411)</f>
        <v/>
      </c>
      <c r="L3393" s="6" t="inlineStr">
        <is>
          <t>WATCHLIST</t>
        </is>
      </c>
      <c r="M3393" s="8" t="n">
        <v>0</v>
      </c>
      <c r="N3393" s="7">
        <f>M3393*$J$3411-J3393</f>
        <v/>
      </c>
      <c r="O3393" s="9">
        <f>IF(G3393=0,0,N3393/G3393)</f>
        <v/>
      </c>
      <c r="P3393" s="6">
        <f>IF(M3393&gt;0,D3393,"")</f>
        <v/>
      </c>
      <c r="Q3393" s="9">
        <f>I3393+O3393</f>
        <v/>
      </c>
      <c r="R3393" s="7">
        <f>Q3393*G3393</f>
        <v/>
      </c>
      <c r="S3393" s="8">
        <f>IF($R$3411=0,0,R3393/$R$3411)</f>
        <v/>
      </c>
      <c r="T3393" s="8" t="n">
        <v>0.01181917261895382</v>
      </c>
      <c r="U3393" s="8" t="n">
        <v>-0.005096965123700614</v>
      </c>
      <c r="V3393" s="6" t="inlineStr">
        <is>
          <t>not selected</t>
        </is>
      </c>
    </row>
    <row r="3394">
      <c r="A3394" s="6" t="inlineStr">
        <is>
          <t>DJ30</t>
        </is>
      </c>
      <c r="B3394" s="6" t="inlineStr">
        <is>
          <t>2025-02-07</t>
        </is>
      </c>
      <c r="C3394" s="6" t="inlineStr">
        <is>
          <t>DIA</t>
        </is>
      </c>
      <c r="D3394" s="6" t="inlineStr">
        <is>
          <t>IBM</t>
        </is>
      </c>
      <c r="E3394" s="6" t="inlineStr">
        <is>
          <t>IBM</t>
        </is>
      </c>
      <c r="F3394" s="6" t="inlineStr">
        <is>
          <t>-</t>
        </is>
      </c>
      <c r="G3394" s="7" t="n">
        <v>242.8027954101562</v>
      </c>
      <c r="H3394" s="6">
        <f>P3363</f>
        <v/>
      </c>
      <c r="I3394" s="9">
        <f>Q3363</f>
        <v/>
      </c>
      <c r="J3394" s="7">
        <f>I3394*G3394</f>
        <v/>
      </c>
      <c r="K3394" s="8">
        <f>IF($J$3411=0,0,J3394/$J$3411)</f>
        <v/>
      </c>
      <c r="L3394" s="6" t="inlineStr">
        <is>
          <t>WATCHLIST</t>
        </is>
      </c>
      <c r="M3394" s="8" t="n">
        <v>0</v>
      </c>
      <c r="N3394" s="7">
        <f>M3394*$J$3411-J3394</f>
        <v/>
      </c>
      <c r="O3394" s="9">
        <f>IF(G3394=0,0,N3394/G3394)</f>
        <v/>
      </c>
      <c r="P3394" s="6">
        <f>IF(M3394&gt;0,D3394,"")</f>
        <v/>
      </c>
      <c r="Q3394" s="9">
        <f>I3394+O3394</f>
        <v/>
      </c>
      <c r="R3394" s="7">
        <f>Q3394*G3394</f>
        <v/>
      </c>
      <c r="S3394" s="8">
        <f>IF($R$3411=0,0,R3394/$R$3411)</f>
        <v/>
      </c>
      <c r="T3394" s="8" t="n">
        <v>0.01181917261895382</v>
      </c>
      <c r="U3394" s="8" t="n">
        <v>-0.005096965123700614</v>
      </c>
      <c r="V3394" s="6" t="inlineStr">
        <is>
          <t>not selected</t>
        </is>
      </c>
    </row>
    <row r="3395">
      <c r="A3395" s="6" t="inlineStr">
        <is>
          <t>DJ30</t>
        </is>
      </c>
      <c r="B3395" s="6" t="inlineStr">
        <is>
          <t>2025-02-07</t>
        </is>
      </c>
      <c r="C3395" s="6" t="inlineStr">
        <is>
          <t>DIA</t>
        </is>
      </c>
      <c r="D3395" s="6" t="inlineStr">
        <is>
          <t>JNJ</t>
        </is>
      </c>
      <c r="E3395" s="6" t="inlineStr">
        <is>
          <t>JNJ</t>
        </is>
      </c>
      <c r="F3395" s="6" t="inlineStr">
        <is>
          <t>-</t>
        </is>
      </c>
      <c r="G3395" s="7" t="n">
        <v>146.9413604736328</v>
      </c>
      <c r="H3395" s="6">
        <f>P3364</f>
        <v/>
      </c>
      <c r="I3395" s="9">
        <f>Q3364</f>
        <v/>
      </c>
      <c r="J3395" s="7">
        <f>I3395*G3395</f>
        <v/>
      </c>
      <c r="K3395" s="8">
        <f>IF($J$3411=0,0,J3395/$J$3411)</f>
        <v/>
      </c>
      <c r="L3395" s="6" t="inlineStr">
        <is>
          <t>REJECTED</t>
        </is>
      </c>
      <c r="M3395" s="8" t="n">
        <v>0</v>
      </c>
      <c r="N3395" s="7">
        <f>M3395*$J$3411-J3395</f>
        <v/>
      </c>
      <c r="O3395" s="9">
        <f>IF(G3395=0,0,N3395/G3395)</f>
        <v/>
      </c>
      <c r="P3395" s="6">
        <f>IF(M3395&gt;0,D3395,"")</f>
        <v/>
      </c>
      <c r="Q3395" s="9">
        <f>I3395+O3395</f>
        <v/>
      </c>
      <c r="R3395" s="7">
        <f>Q3395*G3395</f>
        <v/>
      </c>
      <c r="S3395" s="8">
        <f>IF($R$3411=0,0,R3395/$R$3411)</f>
        <v/>
      </c>
      <c r="T3395" s="8" t="n">
        <v>0.01181917261895382</v>
      </c>
      <c r="U3395" s="8" t="n">
        <v>-0.005096965123700614</v>
      </c>
      <c r="V3395" s="6" t="inlineStr">
        <is>
          <t>not selected</t>
        </is>
      </c>
    </row>
    <row r="3396">
      <c r="A3396" s="6" t="inlineStr">
        <is>
          <t>DJ30</t>
        </is>
      </c>
      <c r="B3396" s="6" t="inlineStr">
        <is>
          <t>2025-02-07</t>
        </is>
      </c>
      <c r="C3396" s="6" t="inlineStr">
        <is>
          <t>DIA</t>
        </is>
      </c>
      <c r="D3396" s="6" t="inlineStr">
        <is>
          <t>JPM</t>
        </is>
      </c>
      <c r="E3396" s="6" t="inlineStr">
        <is>
          <t>JPM</t>
        </is>
      </c>
      <c r="F3396" s="6" t="inlineStr">
        <is>
          <t>-</t>
        </is>
      </c>
      <c r="G3396" s="7" t="n">
        <v>268.8823852539062</v>
      </c>
      <c r="H3396" s="6">
        <f>P3365</f>
        <v/>
      </c>
      <c r="I3396" s="9">
        <f>Q3365</f>
        <v/>
      </c>
      <c r="J3396" s="7">
        <f>I3396*G3396</f>
        <v/>
      </c>
      <c r="K3396" s="8">
        <f>IF($J$3411=0,0,J3396/$J$3411)</f>
        <v/>
      </c>
      <c r="L3396" s="6" t="inlineStr">
        <is>
          <t>SELECTED</t>
        </is>
      </c>
      <c r="M3396" s="8" t="n">
        <v>0.2</v>
      </c>
      <c r="N3396" s="7">
        <f>M3396*$J$3411-J3396</f>
        <v/>
      </c>
      <c r="O3396" s="9">
        <f>IF(G3396=0,0,N3396/G3396)</f>
        <v/>
      </c>
      <c r="P3396" s="6">
        <f>IF(M3396&gt;0,D3396,"")</f>
        <v/>
      </c>
      <c r="Q3396" s="9">
        <f>I3396+O3396</f>
        <v/>
      </c>
      <c r="R3396" s="7">
        <f>Q3396*G3396</f>
        <v/>
      </c>
      <c r="S3396" s="8">
        <f>IF($R$3411=0,0,R3396/$R$3411)</f>
        <v/>
      </c>
      <c r="T3396" s="8" t="n">
        <v>0.01181917261895382</v>
      </c>
      <c r="U3396" s="8" t="n">
        <v>-0.005096965123700614</v>
      </c>
      <c r="V3396" s="6" t="inlineStr">
        <is>
          <t>entered weekly selection</t>
        </is>
      </c>
    </row>
    <row r="3397">
      <c r="A3397" s="6" t="inlineStr">
        <is>
          <t>DJ30</t>
        </is>
      </c>
      <c r="B3397" s="6" t="inlineStr">
        <is>
          <t>2025-02-07</t>
        </is>
      </c>
      <c r="C3397" s="6" t="inlineStr">
        <is>
          <t>DIA</t>
        </is>
      </c>
      <c r="D3397" s="6" t="inlineStr">
        <is>
          <t>KO</t>
        </is>
      </c>
      <c r="E3397" s="6" t="inlineStr">
        <is>
          <t>KO</t>
        </is>
      </c>
      <c r="F3397" s="6" t="inlineStr">
        <is>
          <t>-</t>
        </is>
      </c>
      <c r="G3397" s="7" t="n">
        <v>61.19194412231445</v>
      </c>
      <c r="H3397" s="6">
        <f>P3366</f>
        <v/>
      </c>
      <c r="I3397" s="9">
        <f>Q3366</f>
        <v/>
      </c>
      <c r="J3397" s="7">
        <f>I3397*G3397</f>
        <v/>
      </c>
      <c r="K3397" s="8">
        <f>IF($J$3411=0,0,J3397/$J$3411)</f>
        <v/>
      </c>
      <c r="L3397" s="6" t="inlineStr">
        <is>
          <t>REJECTED</t>
        </is>
      </c>
      <c r="M3397" s="8" t="n">
        <v>0</v>
      </c>
      <c r="N3397" s="7">
        <f>M3397*$J$3411-J3397</f>
        <v/>
      </c>
      <c r="O3397" s="9">
        <f>IF(G3397=0,0,N3397/G3397)</f>
        <v/>
      </c>
      <c r="P3397" s="6">
        <f>IF(M3397&gt;0,D3397,"")</f>
        <v/>
      </c>
      <c r="Q3397" s="9">
        <f>I3397+O3397</f>
        <v/>
      </c>
      <c r="R3397" s="7">
        <f>Q3397*G3397</f>
        <v/>
      </c>
      <c r="S3397" s="8">
        <f>IF($R$3411=0,0,R3397/$R$3411)</f>
        <v/>
      </c>
      <c r="T3397" s="8" t="n">
        <v>0.01181917261895382</v>
      </c>
      <c r="U3397" s="8" t="n">
        <v>-0.005096965123700614</v>
      </c>
      <c r="V3397" s="6" t="inlineStr">
        <is>
          <t>not selected</t>
        </is>
      </c>
    </row>
    <row r="3398">
      <c r="A3398" s="6" t="inlineStr">
        <is>
          <t>DJ30</t>
        </is>
      </c>
      <c r="B3398" s="6" t="inlineStr">
        <is>
          <t>2025-02-07</t>
        </is>
      </c>
      <c r="C3398" s="6" t="inlineStr">
        <is>
          <t>DIA</t>
        </is>
      </c>
      <c r="D3398" s="6" t="inlineStr">
        <is>
          <t>MCD</t>
        </is>
      </c>
      <c r="E3398" s="6" t="inlineStr">
        <is>
          <t>MCD</t>
        </is>
      </c>
      <c r="F3398" s="6" t="inlineStr">
        <is>
          <t>-</t>
        </is>
      </c>
      <c r="G3398" s="7" t="n">
        <v>284.0678100585937</v>
      </c>
      <c r="H3398" s="6">
        <f>P3367</f>
        <v/>
      </c>
      <c r="I3398" s="9">
        <f>Q3367</f>
        <v/>
      </c>
      <c r="J3398" s="7">
        <f>I3398*G3398</f>
        <v/>
      </c>
      <c r="K3398" s="8">
        <f>IF($J$3411=0,0,J3398/$J$3411)</f>
        <v/>
      </c>
      <c r="L3398" s="6" t="inlineStr">
        <is>
          <t>REJECTED</t>
        </is>
      </c>
      <c r="M3398" s="8" t="n">
        <v>0</v>
      </c>
      <c r="N3398" s="7">
        <f>M3398*$J$3411-J3398</f>
        <v/>
      </c>
      <c r="O3398" s="9">
        <f>IF(G3398=0,0,N3398/G3398)</f>
        <v/>
      </c>
      <c r="P3398" s="6">
        <f>IF(M3398&gt;0,D3398,"")</f>
        <v/>
      </c>
      <c r="Q3398" s="9">
        <f>I3398+O3398</f>
        <v/>
      </c>
      <c r="R3398" s="7">
        <f>Q3398*G3398</f>
        <v/>
      </c>
      <c r="S3398" s="8">
        <f>IF($R$3411=0,0,R3398/$R$3411)</f>
        <v/>
      </c>
      <c r="T3398" s="8" t="n">
        <v>0.01181917261895382</v>
      </c>
      <c r="U3398" s="8" t="n">
        <v>-0.005096965123700614</v>
      </c>
      <c r="V3398" s="6" t="inlineStr">
        <is>
          <t>not selected</t>
        </is>
      </c>
    </row>
    <row r="3399">
      <c r="A3399" s="6" t="inlineStr">
        <is>
          <t>DJ30</t>
        </is>
      </c>
      <c r="B3399" s="6" t="inlineStr">
        <is>
          <t>2025-02-07</t>
        </is>
      </c>
      <c r="C3399" s="6" t="inlineStr">
        <is>
          <t>DIA</t>
        </is>
      </c>
      <c r="D3399" s="6" t="inlineStr">
        <is>
          <t>MMM</t>
        </is>
      </c>
      <c r="E3399" s="6" t="inlineStr">
        <is>
          <t>MMM</t>
        </is>
      </c>
      <c r="F3399" s="6" t="inlineStr">
        <is>
          <t>-</t>
        </is>
      </c>
      <c r="G3399" s="7" t="n">
        <v>145.6824035644531</v>
      </c>
      <c r="H3399" s="6">
        <f>P3368</f>
        <v/>
      </c>
      <c r="I3399" s="9">
        <f>Q3368</f>
        <v/>
      </c>
      <c r="J3399" s="7">
        <f>I3399*G3399</f>
        <v/>
      </c>
      <c r="K3399" s="8">
        <f>IF($J$3411=0,0,J3399/$J$3411)</f>
        <v/>
      </c>
      <c r="L3399" s="6" t="inlineStr">
        <is>
          <t>SELECTED</t>
        </is>
      </c>
      <c r="M3399" s="8" t="n">
        <v>0.2</v>
      </c>
      <c r="N3399" s="7">
        <f>M3399*$J$3411-J3399</f>
        <v/>
      </c>
      <c r="O3399" s="9">
        <f>IF(G3399=0,0,N3399/G3399)</f>
        <v/>
      </c>
      <c r="P3399" s="6">
        <f>IF(M3399&gt;0,D3399,"")</f>
        <v/>
      </c>
      <c r="Q3399" s="9">
        <f>I3399+O3399</f>
        <v/>
      </c>
      <c r="R3399" s="7">
        <f>Q3399*G3399</f>
        <v/>
      </c>
      <c r="S3399" s="8">
        <f>IF($R$3411=0,0,R3399/$R$3411)</f>
        <v/>
      </c>
      <c r="T3399" s="8" t="n">
        <v>0.01181917261895382</v>
      </c>
      <c r="U3399" s="8" t="n">
        <v>-0.005096965123700614</v>
      </c>
      <c r="V3399" s="6" t="inlineStr">
        <is>
          <t>remained in weekly selection</t>
        </is>
      </c>
    </row>
    <row r="3400">
      <c r="A3400" s="6" t="inlineStr">
        <is>
          <t>DJ30</t>
        </is>
      </c>
      <c r="B3400" s="6" t="inlineStr">
        <is>
          <t>2025-02-07</t>
        </is>
      </c>
      <c r="C3400" s="6" t="inlineStr">
        <is>
          <t>DIA</t>
        </is>
      </c>
      <c r="D3400" s="6" t="inlineStr">
        <is>
          <t>MRK</t>
        </is>
      </c>
      <c r="E3400" s="6" t="inlineStr">
        <is>
          <t>MRK</t>
        </is>
      </c>
      <c r="F3400" s="6" t="inlineStr">
        <is>
          <t>-</t>
        </is>
      </c>
      <c r="G3400" s="7" t="n">
        <v>82.90303039550781</v>
      </c>
      <c r="H3400" s="6">
        <f>P3369</f>
        <v/>
      </c>
      <c r="I3400" s="9">
        <f>Q3369</f>
        <v/>
      </c>
      <c r="J3400" s="7">
        <f>I3400*G3400</f>
        <v/>
      </c>
      <c r="K3400" s="8">
        <f>IF($J$3411=0,0,J3400/$J$3411)</f>
        <v/>
      </c>
      <c r="L3400" s="6" t="inlineStr">
        <is>
          <t>REJECTED</t>
        </is>
      </c>
      <c r="M3400" s="8" t="n">
        <v>0</v>
      </c>
      <c r="N3400" s="7">
        <f>M3400*$J$3411-J3400</f>
        <v/>
      </c>
      <c r="O3400" s="9">
        <f>IF(G3400=0,0,N3400/G3400)</f>
        <v/>
      </c>
      <c r="P3400" s="6">
        <f>IF(M3400&gt;0,D3400,"")</f>
        <v/>
      </c>
      <c r="Q3400" s="9">
        <f>I3400+O3400</f>
        <v/>
      </c>
      <c r="R3400" s="7">
        <f>Q3400*G3400</f>
        <v/>
      </c>
      <c r="S3400" s="8">
        <f>IF($R$3411=0,0,R3400/$R$3411)</f>
        <v/>
      </c>
      <c r="T3400" s="8" t="n">
        <v>0.01181917261895382</v>
      </c>
      <c r="U3400" s="8" t="n">
        <v>-0.005096965123700614</v>
      </c>
      <c r="V3400" s="6" t="inlineStr">
        <is>
          <t>not selected</t>
        </is>
      </c>
    </row>
    <row r="3401">
      <c r="A3401" s="6" t="inlineStr">
        <is>
          <t>DJ30</t>
        </is>
      </c>
      <c r="B3401" s="6" t="inlineStr">
        <is>
          <t>2025-02-07</t>
        </is>
      </c>
      <c r="C3401" s="6" t="inlineStr">
        <is>
          <t>DIA</t>
        </is>
      </c>
      <c r="D3401" s="6" t="inlineStr">
        <is>
          <t>MSFT</t>
        </is>
      </c>
      <c r="E3401" s="6" t="inlineStr">
        <is>
          <t>MSFT</t>
        </is>
      </c>
      <c r="F3401" s="6" t="inlineStr">
        <is>
          <t>-</t>
        </is>
      </c>
      <c r="G3401" s="7" t="n">
        <v>404.9461669921875</v>
      </c>
      <c r="H3401" s="6">
        <f>P3370</f>
        <v/>
      </c>
      <c r="I3401" s="9">
        <f>Q3370</f>
        <v/>
      </c>
      <c r="J3401" s="7">
        <f>I3401*G3401</f>
        <v/>
      </c>
      <c r="K3401" s="8">
        <f>IF($J$3411=0,0,J3401/$J$3411)</f>
        <v/>
      </c>
      <c r="L3401" s="6" t="inlineStr">
        <is>
          <t>REJECTED</t>
        </is>
      </c>
      <c r="M3401" s="8" t="n">
        <v>0</v>
      </c>
      <c r="N3401" s="7">
        <f>M3401*$J$3411-J3401</f>
        <v/>
      </c>
      <c r="O3401" s="9">
        <f>IF(G3401=0,0,N3401/G3401)</f>
        <v/>
      </c>
      <c r="P3401" s="6">
        <f>IF(M3401&gt;0,D3401,"")</f>
        <v/>
      </c>
      <c r="Q3401" s="9">
        <f>I3401+O3401</f>
        <v/>
      </c>
      <c r="R3401" s="7">
        <f>Q3401*G3401</f>
        <v/>
      </c>
      <c r="S3401" s="8">
        <f>IF($R$3411=0,0,R3401/$R$3411)</f>
        <v/>
      </c>
      <c r="T3401" s="8" t="n">
        <v>0.01181917261895382</v>
      </c>
      <c r="U3401" s="8" t="n">
        <v>-0.005096965123700614</v>
      </c>
      <c r="V3401" s="6" t="inlineStr">
        <is>
          <t>not selected</t>
        </is>
      </c>
    </row>
    <row r="3402">
      <c r="A3402" s="6" t="inlineStr">
        <is>
          <t>DJ30</t>
        </is>
      </c>
      <c r="B3402" s="6" t="inlineStr">
        <is>
          <t>2025-02-07</t>
        </is>
      </c>
      <c r="C3402" s="6" t="inlineStr">
        <is>
          <t>DIA</t>
        </is>
      </c>
      <c r="D3402" s="6" t="inlineStr">
        <is>
          <t>NKE</t>
        </is>
      </c>
      <c r="E3402" s="6" t="inlineStr">
        <is>
          <t>NKE</t>
        </is>
      </c>
      <c r="F3402" s="6" t="inlineStr">
        <is>
          <t>-</t>
        </is>
      </c>
      <c r="G3402" s="7" t="n">
        <v>66.06999206542969</v>
      </c>
      <c r="H3402" s="6">
        <f>P3371</f>
        <v/>
      </c>
      <c r="I3402" s="9">
        <f>Q3371</f>
        <v/>
      </c>
      <c r="J3402" s="7">
        <f>I3402*G3402</f>
        <v/>
      </c>
      <c r="K3402" s="8">
        <f>IF($J$3411=0,0,J3402/$J$3411)</f>
        <v/>
      </c>
      <c r="L3402" s="6" t="inlineStr">
        <is>
          <t>REJECTED</t>
        </is>
      </c>
      <c r="M3402" s="8" t="n">
        <v>0</v>
      </c>
      <c r="N3402" s="7">
        <f>M3402*$J$3411-J3402</f>
        <v/>
      </c>
      <c r="O3402" s="9">
        <f>IF(G3402=0,0,N3402/G3402)</f>
        <v/>
      </c>
      <c r="P3402" s="6">
        <f>IF(M3402&gt;0,D3402,"")</f>
        <v/>
      </c>
      <c r="Q3402" s="9">
        <f>I3402+O3402</f>
        <v/>
      </c>
      <c r="R3402" s="7">
        <f>Q3402*G3402</f>
        <v/>
      </c>
      <c r="S3402" s="8">
        <f>IF($R$3411=0,0,R3402/$R$3411)</f>
        <v/>
      </c>
      <c r="T3402" s="8" t="n">
        <v>0.01181917261895382</v>
      </c>
      <c r="U3402" s="8" t="n">
        <v>-0.005096965123700614</v>
      </c>
      <c r="V3402" s="6" t="inlineStr">
        <is>
          <t>not selected</t>
        </is>
      </c>
    </row>
    <row r="3403">
      <c r="A3403" s="6" t="inlineStr">
        <is>
          <t>DJ30</t>
        </is>
      </c>
      <c r="B3403" s="6" t="inlineStr">
        <is>
          <t>2025-02-07</t>
        </is>
      </c>
      <c r="C3403" s="6" t="inlineStr">
        <is>
          <t>DIA</t>
        </is>
      </c>
      <c r="D3403" s="6" t="inlineStr">
        <is>
          <t>NVDA</t>
        </is>
      </c>
      <c r="E3403" s="6" t="inlineStr">
        <is>
          <t>NVDA</t>
        </is>
      </c>
      <c r="F3403" s="6" t="inlineStr">
        <is>
          <t>-</t>
        </is>
      </c>
      <c r="G3403" s="7" t="n">
        <v>129.6463623046875</v>
      </c>
      <c r="H3403" s="6">
        <f>P3372</f>
        <v/>
      </c>
      <c r="I3403" s="9">
        <f>Q3372</f>
        <v/>
      </c>
      <c r="J3403" s="7">
        <f>I3403*G3403</f>
        <v/>
      </c>
      <c r="K3403" s="8">
        <f>IF($J$3411=0,0,J3403/$J$3411)</f>
        <v/>
      </c>
      <c r="L3403" s="6" t="inlineStr">
        <is>
          <t>SELECTED</t>
        </is>
      </c>
      <c r="M3403" s="8" t="n">
        <v>0.2</v>
      </c>
      <c r="N3403" s="7">
        <f>M3403*$J$3411-J3403</f>
        <v/>
      </c>
      <c r="O3403" s="9">
        <f>IF(G3403=0,0,N3403/G3403)</f>
        <v/>
      </c>
      <c r="P3403" s="6">
        <f>IF(M3403&gt;0,D3403,"")</f>
        <v/>
      </c>
      <c r="Q3403" s="9">
        <f>I3403+O3403</f>
        <v/>
      </c>
      <c r="R3403" s="7">
        <f>Q3403*G3403</f>
        <v/>
      </c>
      <c r="S3403" s="8">
        <f>IF($R$3411=0,0,R3403/$R$3411)</f>
        <v/>
      </c>
      <c r="T3403" s="8" t="n">
        <v>0.01181917261895382</v>
      </c>
      <c r="U3403" s="8" t="n">
        <v>-0.005096965123700614</v>
      </c>
      <c r="V3403" s="6" t="inlineStr">
        <is>
          <t>remained in weekly selection</t>
        </is>
      </c>
    </row>
    <row r="3404">
      <c r="A3404" s="6" t="inlineStr">
        <is>
          <t>DJ30</t>
        </is>
      </c>
      <c r="B3404" s="6" t="inlineStr">
        <is>
          <t>2025-02-07</t>
        </is>
      </c>
      <c r="C3404" s="6" t="inlineStr">
        <is>
          <t>DIA</t>
        </is>
      </c>
      <c r="D3404" s="6" t="inlineStr">
        <is>
          <t>PG</t>
        </is>
      </c>
      <c r="E3404" s="6" t="inlineStr">
        <is>
          <t>PG</t>
        </is>
      </c>
      <c r="F3404" s="6" t="inlineStr">
        <is>
          <t>-</t>
        </is>
      </c>
      <c r="G3404" s="7" t="n">
        <v>162.2617340087891</v>
      </c>
      <c r="H3404" s="6">
        <f>P3373</f>
        <v/>
      </c>
      <c r="I3404" s="9">
        <f>Q3373</f>
        <v/>
      </c>
      <c r="J3404" s="7">
        <f>I3404*G3404</f>
        <v/>
      </c>
      <c r="K3404" s="8">
        <f>IF($J$3411=0,0,J3404/$J$3411)</f>
        <v/>
      </c>
      <c r="L3404" s="6" t="inlineStr">
        <is>
          <t>WATCHLIST</t>
        </is>
      </c>
      <c r="M3404" s="8" t="n">
        <v>0</v>
      </c>
      <c r="N3404" s="7">
        <f>M3404*$J$3411-J3404</f>
        <v/>
      </c>
      <c r="O3404" s="9">
        <f>IF(G3404=0,0,N3404/G3404)</f>
        <v/>
      </c>
      <c r="P3404" s="6">
        <f>IF(M3404&gt;0,D3404,"")</f>
        <v/>
      </c>
      <c r="Q3404" s="9">
        <f>I3404+O3404</f>
        <v/>
      </c>
      <c r="R3404" s="7">
        <f>Q3404*G3404</f>
        <v/>
      </c>
      <c r="S3404" s="8">
        <f>IF($R$3411=0,0,R3404/$R$3411)</f>
        <v/>
      </c>
      <c r="T3404" s="8" t="n">
        <v>0.01181917261895382</v>
      </c>
      <c r="U3404" s="8" t="n">
        <v>-0.005096965123700614</v>
      </c>
      <c r="V3404" s="6" t="inlineStr">
        <is>
          <t>not selected</t>
        </is>
      </c>
    </row>
    <row r="3405">
      <c r="A3405" s="6" t="inlineStr">
        <is>
          <t>DJ30</t>
        </is>
      </c>
      <c r="B3405" s="6" t="inlineStr">
        <is>
          <t>2025-02-07</t>
        </is>
      </c>
      <c r="C3405" s="6" t="inlineStr">
        <is>
          <t>DIA</t>
        </is>
      </c>
      <c r="D3405" s="6" t="inlineStr">
        <is>
          <t>SHW</t>
        </is>
      </c>
      <c r="E3405" s="6" t="inlineStr">
        <is>
          <t>SHW</t>
        </is>
      </c>
      <c r="F3405" s="6" t="inlineStr">
        <is>
          <t>-</t>
        </is>
      </c>
      <c r="G3405" s="7" t="n">
        <v>355.6756591796875</v>
      </c>
      <c r="H3405" s="6">
        <f>P3374</f>
        <v/>
      </c>
      <c r="I3405" s="9">
        <f>Q3374</f>
        <v/>
      </c>
      <c r="J3405" s="7">
        <f>I3405*G3405</f>
        <v/>
      </c>
      <c r="K3405" s="8">
        <f>IF($J$3411=0,0,J3405/$J$3411)</f>
        <v/>
      </c>
      <c r="L3405" s="6" t="inlineStr">
        <is>
          <t>WATCHLIST</t>
        </is>
      </c>
      <c r="M3405" s="8" t="n">
        <v>0</v>
      </c>
      <c r="N3405" s="7">
        <f>M3405*$J$3411-J3405</f>
        <v/>
      </c>
      <c r="O3405" s="9">
        <f>IF(G3405=0,0,N3405/G3405)</f>
        <v/>
      </c>
      <c r="P3405" s="6">
        <f>IF(M3405&gt;0,D3405,"")</f>
        <v/>
      </c>
      <c r="Q3405" s="9">
        <f>I3405+O3405</f>
        <v/>
      </c>
      <c r="R3405" s="7">
        <f>Q3405*G3405</f>
        <v/>
      </c>
      <c r="S3405" s="8">
        <f>IF($R$3411=0,0,R3405/$R$3411)</f>
        <v/>
      </c>
      <c r="T3405" s="8" t="n">
        <v>0.01181917261895382</v>
      </c>
      <c r="U3405" s="8" t="n">
        <v>-0.005096965123700614</v>
      </c>
      <c r="V3405" s="6" t="inlineStr">
        <is>
          <t>not selected</t>
        </is>
      </c>
    </row>
    <row r="3406">
      <c r="A3406" s="6" t="inlineStr">
        <is>
          <t>DJ30</t>
        </is>
      </c>
      <c r="B3406" s="6" t="inlineStr">
        <is>
          <t>2025-02-07</t>
        </is>
      </c>
      <c r="C3406" s="6" t="inlineStr">
        <is>
          <t>DIA</t>
        </is>
      </c>
      <c r="D3406" s="6" t="inlineStr">
        <is>
          <t>TRV</t>
        </is>
      </c>
      <c r="E3406" s="6" t="inlineStr">
        <is>
          <t>TRV</t>
        </is>
      </c>
      <c r="F3406" s="6" t="inlineStr">
        <is>
          <t>-</t>
        </is>
      </c>
      <c r="G3406" s="7" t="n">
        <v>239.3795166015625</v>
      </c>
      <c r="H3406" s="6">
        <f>P3375</f>
        <v/>
      </c>
      <c r="I3406" s="9">
        <f>Q3375</f>
        <v/>
      </c>
      <c r="J3406" s="7">
        <f>I3406*G3406</f>
        <v/>
      </c>
      <c r="K3406" s="8">
        <f>IF($J$3411=0,0,J3406/$J$3411)</f>
        <v/>
      </c>
      <c r="L3406" s="6" t="inlineStr">
        <is>
          <t>WATCHLIST</t>
        </is>
      </c>
      <c r="M3406" s="8" t="n">
        <v>0</v>
      </c>
      <c r="N3406" s="7">
        <f>M3406*$J$3411-J3406</f>
        <v/>
      </c>
      <c r="O3406" s="9">
        <f>IF(G3406=0,0,N3406/G3406)</f>
        <v/>
      </c>
      <c r="P3406" s="6">
        <f>IF(M3406&gt;0,D3406,"")</f>
        <v/>
      </c>
      <c r="Q3406" s="9">
        <f>I3406+O3406</f>
        <v/>
      </c>
      <c r="R3406" s="7">
        <f>Q3406*G3406</f>
        <v/>
      </c>
      <c r="S3406" s="8">
        <f>IF($R$3411=0,0,R3406/$R$3411)</f>
        <v/>
      </c>
      <c r="T3406" s="8" t="n">
        <v>0.01181917261895382</v>
      </c>
      <c r="U3406" s="8" t="n">
        <v>-0.005096965123700614</v>
      </c>
      <c r="V3406" s="6" t="inlineStr">
        <is>
          <t>removed from weekly selection</t>
        </is>
      </c>
    </row>
    <row r="3407">
      <c r="A3407" s="6" t="inlineStr">
        <is>
          <t>DJ30</t>
        </is>
      </c>
      <c r="B3407" s="6" t="inlineStr">
        <is>
          <t>2025-02-07</t>
        </is>
      </c>
      <c r="C3407" s="6" t="inlineStr">
        <is>
          <t>DIA</t>
        </is>
      </c>
      <c r="D3407" s="6" t="inlineStr">
        <is>
          <t>UNH</t>
        </is>
      </c>
      <c r="E3407" s="6" t="inlineStr">
        <is>
          <t>UNH</t>
        </is>
      </c>
      <c r="F3407" s="6" t="inlineStr">
        <is>
          <t>-</t>
        </is>
      </c>
      <c r="G3407" s="7" t="n">
        <v>507.4963684082031</v>
      </c>
      <c r="H3407" s="6">
        <f>P3376</f>
        <v/>
      </c>
      <c r="I3407" s="9">
        <f>Q3376</f>
        <v/>
      </c>
      <c r="J3407" s="7">
        <f>I3407*G3407</f>
        <v/>
      </c>
      <c r="K3407" s="8">
        <f>IF($J$3411=0,0,J3407/$J$3411)</f>
        <v/>
      </c>
      <c r="L3407" s="6" t="inlineStr">
        <is>
          <t>WATCHLIST</t>
        </is>
      </c>
      <c r="M3407" s="8" t="n">
        <v>0</v>
      </c>
      <c r="N3407" s="7">
        <f>M3407*$J$3411-J3407</f>
        <v/>
      </c>
      <c r="O3407" s="9">
        <f>IF(G3407=0,0,N3407/G3407)</f>
        <v/>
      </c>
      <c r="P3407" s="6">
        <f>IF(M3407&gt;0,D3407,"")</f>
        <v/>
      </c>
      <c r="Q3407" s="9">
        <f>I3407+O3407</f>
        <v/>
      </c>
      <c r="R3407" s="7">
        <f>Q3407*G3407</f>
        <v/>
      </c>
      <c r="S3407" s="8">
        <f>IF($R$3411=0,0,R3407/$R$3411)</f>
        <v/>
      </c>
      <c r="T3407" s="8" t="n">
        <v>0.01181917261895382</v>
      </c>
      <c r="U3407" s="8" t="n">
        <v>-0.005096965123700614</v>
      </c>
      <c r="V3407" s="6" t="inlineStr">
        <is>
          <t>not selected</t>
        </is>
      </c>
    </row>
    <row r="3408">
      <c r="A3408" s="6" t="inlineStr">
        <is>
          <t>DJ30</t>
        </is>
      </c>
      <c r="B3408" s="6" t="inlineStr">
        <is>
          <t>2025-02-07</t>
        </is>
      </c>
      <c r="C3408" s="6" t="inlineStr">
        <is>
          <t>DIA</t>
        </is>
      </c>
      <c r="D3408" s="6" t="inlineStr">
        <is>
          <t>V</t>
        </is>
      </c>
      <c r="E3408" s="6" t="inlineStr">
        <is>
          <t>V</t>
        </is>
      </c>
      <c r="F3408" s="6" t="inlineStr">
        <is>
          <t>-</t>
        </is>
      </c>
      <c r="G3408" s="7" t="n">
        <v>344.1410217285156</v>
      </c>
      <c r="H3408" s="6">
        <f>P3377</f>
        <v/>
      </c>
      <c r="I3408" s="9">
        <f>Q3377</f>
        <v/>
      </c>
      <c r="J3408" s="7">
        <f>I3408*G3408</f>
        <v/>
      </c>
      <c r="K3408" s="8">
        <f>IF($J$3411=0,0,J3408/$J$3411)</f>
        <v/>
      </c>
      <c r="L3408" s="6" t="inlineStr">
        <is>
          <t>WATCHLIST</t>
        </is>
      </c>
      <c r="M3408" s="8" t="n">
        <v>0</v>
      </c>
      <c r="N3408" s="7">
        <f>M3408*$J$3411-J3408</f>
        <v/>
      </c>
      <c r="O3408" s="9">
        <f>IF(G3408=0,0,N3408/G3408)</f>
        <v/>
      </c>
      <c r="P3408" s="6">
        <f>IF(M3408&gt;0,D3408,"")</f>
        <v/>
      </c>
      <c r="Q3408" s="9">
        <f>I3408+O3408</f>
        <v/>
      </c>
      <c r="R3408" s="7">
        <f>Q3408*G3408</f>
        <v/>
      </c>
      <c r="S3408" s="8">
        <f>IF($R$3411=0,0,R3408/$R$3411)</f>
        <v/>
      </c>
      <c r="T3408" s="8" t="n">
        <v>0.01181917261895382</v>
      </c>
      <c r="U3408" s="8" t="n">
        <v>-0.005096965123700614</v>
      </c>
      <c r="V3408" s="6" t="inlineStr">
        <is>
          <t>not selected</t>
        </is>
      </c>
    </row>
    <row r="3409">
      <c r="A3409" s="6" t="inlineStr">
        <is>
          <t>DJ30</t>
        </is>
      </c>
      <c r="B3409" s="6" t="inlineStr">
        <is>
          <t>2025-02-07</t>
        </is>
      </c>
      <c r="C3409" s="6" t="inlineStr">
        <is>
          <t>DIA</t>
        </is>
      </c>
      <c r="D3409" s="6" t="inlineStr">
        <is>
          <t>VZ</t>
        </is>
      </c>
      <c r="E3409" s="6" t="inlineStr">
        <is>
          <t>VZ</t>
        </is>
      </c>
      <c r="F3409" s="6" t="inlineStr">
        <is>
          <t>-</t>
        </is>
      </c>
      <c r="G3409" s="7" t="n">
        <v>36.77166366577149</v>
      </c>
      <c r="H3409" s="6">
        <f>P3378</f>
        <v/>
      </c>
      <c r="I3409" s="9">
        <f>Q3378</f>
        <v/>
      </c>
      <c r="J3409" s="7">
        <f>I3409*G3409</f>
        <v/>
      </c>
      <c r="K3409" s="8">
        <f>IF($J$3411=0,0,J3409/$J$3411)</f>
        <v/>
      </c>
      <c r="L3409" s="6" t="inlineStr">
        <is>
          <t>WATCHLIST</t>
        </is>
      </c>
      <c r="M3409" s="8" t="n">
        <v>0</v>
      </c>
      <c r="N3409" s="7">
        <f>M3409*$J$3411-J3409</f>
        <v/>
      </c>
      <c r="O3409" s="9">
        <f>IF(G3409=0,0,N3409/G3409)</f>
        <v/>
      </c>
      <c r="P3409" s="6">
        <f>IF(M3409&gt;0,D3409,"")</f>
        <v/>
      </c>
      <c r="Q3409" s="9">
        <f>I3409+O3409</f>
        <v/>
      </c>
      <c r="R3409" s="7">
        <f>Q3409*G3409</f>
        <v/>
      </c>
      <c r="S3409" s="8">
        <f>IF($R$3411=0,0,R3409/$R$3411)</f>
        <v/>
      </c>
      <c r="T3409" s="8" t="n">
        <v>0.01181917261895382</v>
      </c>
      <c r="U3409" s="8" t="n">
        <v>-0.005096965123700614</v>
      </c>
      <c r="V3409" s="6" t="inlineStr">
        <is>
          <t>not selected</t>
        </is>
      </c>
    </row>
    <row r="3410">
      <c r="A3410" s="6" t="inlineStr">
        <is>
          <t>DJ30</t>
        </is>
      </c>
      <c r="B3410" s="6" t="inlineStr">
        <is>
          <t>2025-02-07</t>
        </is>
      </c>
      <c r="C3410" s="6" t="inlineStr">
        <is>
          <t>DIA</t>
        </is>
      </c>
      <c r="D3410" s="6" t="inlineStr">
        <is>
          <t>WMT</t>
        </is>
      </c>
      <c r="E3410" s="6" t="inlineStr">
        <is>
          <t>WMT</t>
        </is>
      </c>
      <c r="F3410" s="6" t="inlineStr">
        <is>
          <t>-</t>
        </is>
      </c>
      <c r="G3410" s="7" t="n">
        <v>99.79531860351562</v>
      </c>
      <c r="H3410" s="6">
        <f>P3379</f>
        <v/>
      </c>
      <c r="I3410" s="9">
        <f>Q3379</f>
        <v/>
      </c>
      <c r="J3410" s="7">
        <f>I3410*G3410</f>
        <v/>
      </c>
      <c r="K3410" s="8">
        <f>IF($J$3411=0,0,J3410/$J$3411)</f>
        <v/>
      </c>
      <c r="L3410" s="6" t="inlineStr">
        <is>
          <t>SELECTED</t>
        </is>
      </c>
      <c r="M3410" s="8" t="n">
        <v>0.2</v>
      </c>
      <c r="N3410" s="7">
        <f>M3410*$J$3411-J3410</f>
        <v/>
      </c>
      <c r="O3410" s="9">
        <f>IF(G3410=0,0,N3410/G3410)</f>
        <v/>
      </c>
      <c r="P3410" s="6">
        <f>IF(M3410&gt;0,D3410,"")</f>
        <v/>
      </c>
      <c r="Q3410" s="9">
        <f>I3410+O3410</f>
        <v/>
      </c>
      <c r="R3410" s="7">
        <f>Q3410*G3410</f>
        <v/>
      </c>
      <c r="S3410" s="8">
        <f>IF($R$3411=0,0,R3410/$R$3411)</f>
        <v/>
      </c>
      <c r="T3410" s="8" t="n">
        <v>0.01181917261895382</v>
      </c>
      <c r="U3410" s="8" t="n">
        <v>-0.005096965123700614</v>
      </c>
      <c r="V3410" s="6" t="inlineStr">
        <is>
          <t>remained in weekly selection</t>
        </is>
      </c>
    </row>
    <row r="3411">
      <c r="A3411" s="10" t="inlineStr">
        <is>
          <t>DJ30</t>
        </is>
      </c>
      <c r="B3411" s="10" t="inlineStr">
        <is>
          <t>2025-02-07</t>
        </is>
      </c>
      <c r="C3411" s="10" t="inlineStr">
        <is>
          <t>DIA</t>
        </is>
      </c>
      <c r="D3411" s="10" t="inlineStr">
        <is>
          <t>Tot Portfolio</t>
        </is>
      </c>
      <c r="E3411" s="10" t="inlineStr"/>
      <c r="F3411" s="10" t="inlineStr"/>
      <c r="G3411" s="11" t="inlineStr"/>
      <c r="H3411" s="10" t="inlineStr"/>
      <c r="I3411" s="12" t="inlineStr"/>
      <c r="J3411" s="11">
        <f>SUM(J3381:J3410)</f>
        <v/>
      </c>
      <c r="K3411" s="13">
        <f>SUM(K3381:K3410)</f>
        <v/>
      </c>
      <c r="L3411" s="10" t="inlineStr">
        <is>
          <t>TOTAL</t>
        </is>
      </c>
      <c r="M3411" s="13">
        <f>SUM(M3381:M3410)</f>
        <v/>
      </c>
      <c r="N3411" s="11">
        <f>SUM(N3381:N3410)</f>
        <v/>
      </c>
      <c r="O3411" s="12">
        <f>SUM(O3381:O3410)</f>
        <v/>
      </c>
      <c r="P3411" s="10" t="inlineStr"/>
      <c r="Q3411" s="12" t="inlineStr"/>
      <c r="R3411" s="11">
        <f>SUM(R3381:R3410)</f>
        <v/>
      </c>
      <c r="S3411" s="13">
        <f>SUM(S3381:S3410)</f>
        <v/>
      </c>
      <c r="T3411" s="13" t="n">
        <v>0.01181917261895382</v>
      </c>
      <c r="U3411" s="13" t="n">
        <v>-0.005096965123700614</v>
      </c>
      <c r="V3411" s="10" t="inlineStr"/>
    </row>
    <row r="3412">
      <c r="A3412" s="6" t="inlineStr">
        <is>
          <t>DJ30</t>
        </is>
      </c>
      <c r="B3412" s="6" t="inlineStr">
        <is>
          <t>2025-02-14</t>
        </is>
      </c>
      <c r="C3412" s="6" t="inlineStr">
        <is>
          <t>DIA</t>
        </is>
      </c>
      <c r="D3412" s="6" t="inlineStr">
        <is>
          <t>AAPL</t>
        </is>
      </c>
      <c r="E3412" s="6" t="inlineStr">
        <is>
          <t>AAPL</t>
        </is>
      </c>
      <c r="F3412" s="6" t="inlineStr">
        <is>
          <t>-</t>
        </is>
      </c>
      <c r="G3412" s="7" t="n">
        <v>243.3143920898437</v>
      </c>
      <c r="H3412" s="6">
        <f>P3381</f>
        <v/>
      </c>
      <c r="I3412" s="9">
        <f>Q3381</f>
        <v/>
      </c>
      <c r="J3412" s="7">
        <f>I3412*G3412</f>
        <v/>
      </c>
      <c r="K3412" s="8">
        <f>IF($J$3442=0,0,J3412/$J$3442)</f>
        <v/>
      </c>
      <c r="L3412" s="6" t="inlineStr">
        <is>
          <t>SELECTED</t>
        </is>
      </c>
      <c r="M3412" s="8" t="n">
        <v>0.2</v>
      </c>
      <c r="N3412" s="7">
        <f>M3412*$J$3442-J3412</f>
        <v/>
      </c>
      <c r="O3412" s="9">
        <f>IF(G3412=0,0,N3412/G3412)</f>
        <v/>
      </c>
      <c r="P3412" s="6">
        <f>IF(M3412&gt;0,D3412,"")</f>
        <v/>
      </c>
      <c r="Q3412" s="9">
        <f>I3412+O3412</f>
        <v/>
      </c>
      <c r="R3412" s="7">
        <f>Q3412*G3412</f>
        <v/>
      </c>
      <c r="S3412" s="8">
        <f>IF($R$3442=0,0,R3412/$R$3442)</f>
        <v/>
      </c>
      <c r="T3412" s="8" t="n">
        <v>0.03462244104099343</v>
      </c>
      <c r="U3412" s="8" t="n">
        <v>0.006025587561531598</v>
      </c>
      <c r="V3412" s="6" t="inlineStr">
        <is>
          <t>remained in weekly selection</t>
        </is>
      </c>
    </row>
    <row r="3413">
      <c r="A3413" s="6" t="inlineStr">
        <is>
          <t>DJ30</t>
        </is>
      </c>
      <c r="B3413" s="6" t="inlineStr">
        <is>
          <t>2025-02-14</t>
        </is>
      </c>
      <c r="C3413" s="6" t="inlineStr">
        <is>
          <t>DIA</t>
        </is>
      </c>
      <c r="D3413" s="6" t="inlineStr">
        <is>
          <t>AMGN</t>
        </is>
      </c>
      <c r="E3413" s="6" t="inlineStr">
        <is>
          <t>AMGN</t>
        </is>
      </c>
      <c r="F3413" s="6" t="inlineStr">
        <is>
          <t>-</t>
        </is>
      </c>
      <c r="G3413" s="7" t="n">
        <v>280.1875915527344</v>
      </c>
      <c r="H3413" s="6">
        <f>P3382</f>
        <v/>
      </c>
      <c r="I3413" s="9">
        <f>Q3382</f>
        <v/>
      </c>
      <c r="J3413" s="7">
        <f>I3413*G3413</f>
        <v/>
      </c>
      <c r="K3413" s="8">
        <f>IF($J$3442=0,0,J3413/$J$3442)</f>
        <v/>
      </c>
      <c r="L3413" s="6" t="inlineStr">
        <is>
          <t>REJECTED</t>
        </is>
      </c>
      <c r="M3413" s="8" t="n">
        <v>0</v>
      </c>
      <c r="N3413" s="7">
        <f>M3413*$J$3442-J3413</f>
        <v/>
      </c>
      <c r="O3413" s="9">
        <f>IF(G3413=0,0,N3413/G3413)</f>
        <v/>
      </c>
      <c r="P3413" s="6">
        <f>IF(M3413&gt;0,D3413,"")</f>
        <v/>
      </c>
      <c r="Q3413" s="9">
        <f>I3413+O3413</f>
        <v/>
      </c>
      <c r="R3413" s="7">
        <f>Q3413*G3413</f>
        <v/>
      </c>
      <c r="S3413" s="8">
        <f>IF($R$3442=0,0,R3413/$R$3442)</f>
        <v/>
      </c>
      <c r="T3413" s="8" t="n">
        <v>0.03462244104099343</v>
      </c>
      <c r="U3413" s="8" t="n">
        <v>0.006025587561531598</v>
      </c>
      <c r="V3413" s="6" t="inlineStr">
        <is>
          <t>not selected</t>
        </is>
      </c>
    </row>
    <row r="3414">
      <c r="A3414" s="6" t="inlineStr">
        <is>
          <t>DJ30</t>
        </is>
      </c>
      <c r="B3414" s="6" t="inlineStr">
        <is>
          <t>2025-02-14</t>
        </is>
      </c>
      <c r="C3414" s="6" t="inlineStr">
        <is>
          <t>DIA</t>
        </is>
      </c>
      <c r="D3414" s="6" t="inlineStr">
        <is>
          <t>AMZN</t>
        </is>
      </c>
      <c r="E3414" s="6" t="inlineStr">
        <is>
          <t>AMZN</t>
        </is>
      </c>
      <c r="F3414" s="6" t="inlineStr">
        <is>
          <t>-</t>
        </is>
      </c>
      <c r="G3414" s="7" t="n">
        <v>228.6799926757812</v>
      </c>
      <c r="H3414" s="6">
        <f>P3383</f>
        <v/>
      </c>
      <c r="I3414" s="9">
        <f>Q3383</f>
        <v/>
      </c>
      <c r="J3414" s="7">
        <f>I3414*G3414</f>
        <v/>
      </c>
      <c r="K3414" s="8">
        <f>IF($J$3442=0,0,J3414/$J$3442)</f>
        <v/>
      </c>
      <c r="L3414" s="6" t="inlineStr">
        <is>
          <t>WATCHLIST</t>
        </is>
      </c>
      <c r="M3414" s="8" t="n">
        <v>0</v>
      </c>
      <c r="N3414" s="7">
        <f>M3414*$J$3442-J3414</f>
        <v/>
      </c>
      <c r="O3414" s="9">
        <f>IF(G3414=0,0,N3414/G3414)</f>
        <v/>
      </c>
      <c r="P3414" s="6">
        <f>IF(M3414&gt;0,D3414,"")</f>
        <v/>
      </c>
      <c r="Q3414" s="9">
        <f>I3414+O3414</f>
        <v/>
      </c>
      <c r="R3414" s="7">
        <f>Q3414*G3414</f>
        <v/>
      </c>
      <c r="S3414" s="8">
        <f>IF($R$3442=0,0,R3414/$R$3442)</f>
        <v/>
      </c>
      <c r="T3414" s="8" t="n">
        <v>0.03462244104099343</v>
      </c>
      <c r="U3414" s="8" t="n">
        <v>0.006025587561531598</v>
      </c>
      <c r="V3414" s="6" t="inlineStr">
        <is>
          <t>not selected</t>
        </is>
      </c>
    </row>
    <row r="3415">
      <c r="A3415" s="6" t="inlineStr">
        <is>
          <t>DJ30</t>
        </is>
      </c>
      <c r="B3415" s="6" t="inlineStr">
        <is>
          <t>2025-02-14</t>
        </is>
      </c>
      <c r="C3415" s="6" t="inlineStr">
        <is>
          <t>DIA</t>
        </is>
      </c>
      <c r="D3415" s="6" t="inlineStr">
        <is>
          <t>AXP</t>
        </is>
      </c>
      <c r="E3415" s="6" t="inlineStr">
        <is>
          <t>AXP</t>
        </is>
      </c>
      <c r="F3415" s="6" t="inlineStr">
        <is>
          <t>-</t>
        </is>
      </c>
      <c r="G3415" s="7" t="n">
        <v>306.7949829101562</v>
      </c>
      <c r="H3415" s="6">
        <f>P3384</f>
        <v/>
      </c>
      <c r="I3415" s="9">
        <f>Q3384</f>
        <v/>
      </c>
      <c r="J3415" s="7">
        <f>I3415*G3415</f>
        <v/>
      </c>
      <c r="K3415" s="8">
        <f>IF($J$3442=0,0,J3415/$J$3442)</f>
        <v/>
      </c>
      <c r="L3415" s="6" t="inlineStr">
        <is>
          <t>WATCHLIST</t>
        </is>
      </c>
      <c r="M3415" s="8" t="n">
        <v>0</v>
      </c>
      <c r="N3415" s="7">
        <f>M3415*$J$3442-J3415</f>
        <v/>
      </c>
      <c r="O3415" s="9">
        <f>IF(G3415=0,0,N3415/G3415)</f>
        <v/>
      </c>
      <c r="P3415" s="6">
        <f>IF(M3415&gt;0,D3415,"")</f>
        <v/>
      </c>
      <c r="Q3415" s="9">
        <f>I3415+O3415</f>
        <v/>
      </c>
      <c r="R3415" s="7">
        <f>Q3415*G3415</f>
        <v/>
      </c>
      <c r="S3415" s="8">
        <f>IF($R$3442=0,0,R3415/$R$3442)</f>
        <v/>
      </c>
      <c r="T3415" s="8" t="n">
        <v>0.03462244104099343</v>
      </c>
      <c r="U3415" s="8" t="n">
        <v>0.006025587561531598</v>
      </c>
      <c r="V3415" s="6" t="inlineStr">
        <is>
          <t>not selected</t>
        </is>
      </c>
    </row>
    <row r="3416">
      <c r="A3416" s="6" t="inlineStr">
        <is>
          <t>DJ30</t>
        </is>
      </c>
      <c r="B3416" s="6" t="inlineStr">
        <is>
          <t>2025-02-14</t>
        </is>
      </c>
      <c r="C3416" s="6" t="inlineStr">
        <is>
          <t>DIA</t>
        </is>
      </c>
      <c r="D3416" s="6" t="inlineStr">
        <is>
          <t>BA</t>
        </is>
      </c>
      <c r="E3416" s="6" t="inlineStr">
        <is>
          <t>BA</t>
        </is>
      </c>
      <c r="F3416" s="6" t="inlineStr">
        <is>
          <t>-</t>
        </is>
      </c>
      <c r="G3416" s="7" t="n">
        <v>184.4199981689453</v>
      </c>
      <c r="H3416" s="6">
        <f>P3385</f>
        <v/>
      </c>
      <c r="I3416" s="9">
        <f>Q3385</f>
        <v/>
      </c>
      <c r="J3416" s="7">
        <f>I3416*G3416</f>
        <v/>
      </c>
      <c r="K3416" s="8">
        <f>IF($J$3442=0,0,J3416/$J$3442)</f>
        <v/>
      </c>
      <c r="L3416" s="6" t="inlineStr">
        <is>
          <t>REJECTED</t>
        </is>
      </c>
      <c r="M3416" s="8" t="n">
        <v>0</v>
      </c>
      <c r="N3416" s="7">
        <f>M3416*$J$3442-J3416</f>
        <v/>
      </c>
      <c r="O3416" s="9">
        <f>IF(G3416=0,0,N3416/G3416)</f>
        <v/>
      </c>
      <c r="P3416" s="6">
        <f>IF(M3416&gt;0,D3416,"")</f>
        <v/>
      </c>
      <c r="Q3416" s="9">
        <f>I3416+O3416</f>
        <v/>
      </c>
      <c r="R3416" s="7">
        <f>Q3416*G3416</f>
        <v/>
      </c>
      <c r="S3416" s="8">
        <f>IF($R$3442=0,0,R3416/$R$3442)</f>
        <v/>
      </c>
      <c r="T3416" s="8" t="n">
        <v>0.03462244104099343</v>
      </c>
      <c r="U3416" s="8" t="n">
        <v>0.006025587561531598</v>
      </c>
      <c r="V3416" s="6" t="inlineStr">
        <is>
          <t>not selected</t>
        </is>
      </c>
    </row>
    <row r="3417">
      <c r="A3417" s="6" t="inlineStr">
        <is>
          <t>DJ30</t>
        </is>
      </c>
      <c r="B3417" s="6" t="inlineStr">
        <is>
          <t>2025-02-14</t>
        </is>
      </c>
      <c r="C3417" s="6" t="inlineStr">
        <is>
          <t>DIA</t>
        </is>
      </c>
      <c r="D3417" s="6" t="inlineStr">
        <is>
          <t>CAT</t>
        </is>
      </c>
      <c r="E3417" s="6" t="inlineStr">
        <is>
          <t>CAT</t>
        </is>
      </c>
      <c r="F3417" s="6" t="inlineStr">
        <is>
          <t>-</t>
        </is>
      </c>
      <c r="G3417" s="7" t="n">
        <v>347.8621826171875</v>
      </c>
      <c r="H3417" s="6">
        <f>P3386</f>
        <v/>
      </c>
      <c r="I3417" s="9">
        <f>Q3386</f>
        <v/>
      </c>
      <c r="J3417" s="7">
        <f>I3417*G3417</f>
        <v/>
      </c>
      <c r="K3417" s="8">
        <f>IF($J$3442=0,0,J3417/$J$3442)</f>
        <v/>
      </c>
      <c r="L3417" s="6" t="inlineStr">
        <is>
          <t>WATCHLIST</t>
        </is>
      </c>
      <c r="M3417" s="8" t="n">
        <v>0</v>
      </c>
      <c r="N3417" s="7">
        <f>M3417*$J$3442-J3417</f>
        <v/>
      </c>
      <c r="O3417" s="9">
        <f>IF(G3417=0,0,N3417/G3417)</f>
        <v/>
      </c>
      <c r="P3417" s="6">
        <f>IF(M3417&gt;0,D3417,"")</f>
        <v/>
      </c>
      <c r="Q3417" s="9">
        <f>I3417+O3417</f>
        <v/>
      </c>
      <c r="R3417" s="7">
        <f>Q3417*G3417</f>
        <v/>
      </c>
      <c r="S3417" s="8">
        <f>IF($R$3442=0,0,R3417/$R$3442)</f>
        <v/>
      </c>
      <c r="T3417" s="8" t="n">
        <v>0.03462244104099343</v>
      </c>
      <c r="U3417" s="8" t="n">
        <v>0.006025587561531598</v>
      </c>
      <c r="V3417" s="6" t="inlineStr">
        <is>
          <t>not selected</t>
        </is>
      </c>
    </row>
    <row r="3418">
      <c r="A3418" s="6" t="inlineStr">
        <is>
          <t>DJ30</t>
        </is>
      </c>
      <c r="B3418" s="6" t="inlineStr">
        <is>
          <t>2025-02-14</t>
        </is>
      </c>
      <c r="C3418" s="6" t="inlineStr">
        <is>
          <t>DIA</t>
        </is>
      </c>
      <c r="D3418" s="6" t="inlineStr">
        <is>
          <t>CRM</t>
        </is>
      </c>
      <c r="E3418" s="6" t="inlineStr">
        <is>
          <t>CRM</t>
        </is>
      </c>
      <c r="F3418" s="6" t="inlineStr">
        <is>
          <t>-</t>
        </is>
      </c>
      <c r="G3418" s="7" t="n">
        <v>322.7796020507812</v>
      </c>
      <c r="H3418" s="6">
        <f>P3387</f>
        <v/>
      </c>
      <c r="I3418" s="9">
        <f>Q3387</f>
        <v/>
      </c>
      <c r="J3418" s="7">
        <f>I3418*G3418</f>
        <v/>
      </c>
      <c r="K3418" s="8">
        <f>IF($J$3442=0,0,J3418/$J$3442)</f>
        <v/>
      </c>
      <c r="L3418" s="6" t="inlineStr">
        <is>
          <t>REJECTED</t>
        </is>
      </c>
      <c r="M3418" s="8" t="n">
        <v>0</v>
      </c>
      <c r="N3418" s="7">
        <f>M3418*$J$3442-J3418</f>
        <v/>
      </c>
      <c r="O3418" s="9">
        <f>IF(G3418=0,0,N3418/G3418)</f>
        <v/>
      </c>
      <c r="P3418" s="6">
        <f>IF(M3418&gt;0,D3418,"")</f>
        <v/>
      </c>
      <c r="Q3418" s="9">
        <f>I3418+O3418</f>
        <v/>
      </c>
      <c r="R3418" s="7">
        <f>Q3418*G3418</f>
        <v/>
      </c>
      <c r="S3418" s="8">
        <f>IF($R$3442=0,0,R3418/$R$3442)</f>
        <v/>
      </c>
      <c r="T3418" s="8" t="n">
        <v>0.03462244104099343</v>
      </c>
      <c r="U3418" s="8" t="n">
        <v>0.006025587561531598</v>
      </c>
      <c r="V3418" s="6" t="inlineStr">
        <is>
          <t>not selected</t>
        </is>
      </c>
    </row>
    <row r="3419">
      <c r="A3419" s="6" t="inlineStr">
        <is>
          <t>DJ30</t>
        </is>
      </c>
      <c r="B3419" s="6" t="inlineStr">
        <is>
          <t>2025-02-14</t>
        </is>
      </c>
      <c r="C3419" s="6" t="inlineStr">
        <is>
          <t>DIA</t>
        </is>
      </c>
      <c r="D3419" s="6" t="inlineStr">
        <is>
          <t>CSCO</t>
        </is>
      </c>
      <c r="E3419" s="6" t="inlineStr">
        <is>
          <t>CSCO</t>
        </is>
      </c>
      <c r="F3419" s="6" t="inlineStr">
        <is>
          <t>-</t>
        </is>
      </c>
      <c r="G3419" s="7" t="n">
        <v>62.98991394042969</v>
      </c>
      <c r="H3419" s="6">
        <f>P3388</f>
        <v/>
      </c>
      <c r="I3419" s="9">
        <f>Q3388</f>
        <v/>
      </c>
      <c r="J3419" s="7">
        <f>I3419*G3419</f>
        <v/>
      </c>
      <c r="K3419" s="8">
        <f>IF($J$3442=0,0,J3419/$J$3442)</f>
        <v/>
      </c>
      <c r="L3419" s="6" t="inlineStr">
        <is>
          <t>WATCHLIST</t>
        </is>
      </c>
      <c r="M3419" s="8" t="n">
        <v>0</v>
      </c>
      <c r="N3419" s="7">
        <f>M3419*$J$3442-J3419</f>
        <v/>
      </c>
      <c r="O3419" s="9">
        <f>IF(G3419=0,0,N3419/G3419)</f>
        <v/>
      </c>
      <c r="P3419" s="6">
        <f>IF(M3419&gt;0,D3419,"")</f>
        <v/>
      </c>
      <c r="Q3419" s="9">
        <f>I3419+O3419</f>
        <v/>
      </c>
      <c r="R3419" s="7">
        <f>Q3419*G3419</f>
        <v/>
      </c>
      <c r="S3419" s="8">
        <f>IF($R$3442=0,0,R3419/$R$3442)</f>
        <v/>
      </c>
      <c r="T3419" s="8" t="n">
        <v>0.03462244104099343</v>
      </c>
      <c r="U3419" s="8" t="n">
        <v>0.006025587561531598</v>
      </c>
      <c r="V3419" s="6" t="inlineStr">
        <is>
          <t>not selected</t>
        </is>
      </c>
    </row>
    <row r="3420">
      <c r="A3420" s="6" t="inlineStr">
        <is>
          <t>DJ30</t>
        </is>
      </c>
      <c r="B3420" s="6" t="inlineStr">
        <is>
          <t>2025-02-14</t>
        </is>
      </c>
      <c r="C3420" s="6" t="inlineStr">
        <is>
          <t>DIA</t>
        </is>
      </c>
      <c r="D3420" s="6" t="inlineStr">
        <is>
          <t>CVX</t>
        </is>
      </c>
      <c r="E3420" s="6" t="inlineStr">
        <is>
          <t>CVX</t>
        </is>
      </c>
      <c r="F3420" s="6" t="inlineStr">
        <is>
          <t>-</t>
        </is>
      </c>
      <c r="G3420" s="7" t="n">
        <v>147.30126953125</v>
      </c>
      <c r="H3420" s="6">
        <f>P3389</f>
        <v/>
      </c>
      <c r="I3420" s="9">
        <f>Q3389</f>
        <v/>
      </c>
      <c r="J3420" s="7">
        <f>I3420*G3420</f>
        <v/>
      </c>
      <c r="K3420" s="8">
        <f>IF($J$3442=0,0,J3420/$J$3442)</f>
        <v/>
      </c>
      <c r="L3420" s="6" t="inlineStr">
        <is>
          <t>REJECTED</t>
        </is>
      </c>
      <c r="M3420" s="8" t="n">
        <v>0</v>
      </c>
      <c r="N3420" s="7">
        <f>M3420*$J$3442-J3420</f>
        <v/>
      </c>
      <c r="O3420" s="9">
        <f>IF(G3420=0,0,N3420/G3420)</f>
        <v/>
      </c>
      <c r="P3420" s="6">
        <f>IF(M3420&gt;0,D3420,"")</f>
        <v/>
      </c>
      <c r="Q3420" s="9">
        <f>I3420+O3420</f>
        <v/>
      </c>
      <c r="R3420" s="7">
        <f>Q3420*G3420</f>
        <v/>
      </c>
      <c r="S3420" s="8">
        <f>IF($R$3442=0,0,R3420/$R$3442)</f>
        <v/>
      </c>
      <c r="T3420" s="8" t="n">
        <v>0.03462244104099343</v>
      </c>
      <c r="U3420" s="8" t="n">
        <v>0.006025587561531598</v>
      </c>
      <c r="V3420" s="6" t="inlineStr">
        <is>
          <t>not selected</t>
        </is>
      </c>
    </row>
    <row r="3421">
      <c r="A3421" s="6" t="inlineStr">
        <is>
          <t>DJ30</t>
        </is>
      </c>
      <c r="B3421" s="6" t="inlineStr">
        <is>
          <t>2025-02-14</t>
        </is>
      </c>
      <c r="C3421" s="6" t="inlineStr">
        <is>
          <t>DIA</t>
        </is>
      </c>
      <c r="D3421" s="6" t="inlineStr">
        <is>
          <t>DIS</t>
        </is>
      </c>
      <c r="E3421" s="6" t="inlineStr">
        <is>
          <t>DIS</t>
        </is>
      </c>
      <c r="F3421" s="6" t="inlineStr">
        <is>
          <t>-</t>
        </is>
      </c>
      <c r="G3421" s="7" t="n">
        <v>109.1726455688477</v>
      </c>
      <c r="H3421" s="6">
        <f>P3390</f>
        <v/>
      </c>
      <c r="I3421" s="9">
        <f>Q3390</f>
        <v/>
      </c>
      <c r="J3421" s="7">
        <f>I3421*G3421</f>
        <v/>
      </c>
      <c r="K3421" s="8">
        <f>IF($J$3442=0,0,J3421/$J$3442)</f>
        <v/>
      </c>
      <c r="L3421" s="6" t="inlineStr">
        <is>
          <t>REJECTED</t>
        </is>
      </c>
      <c r="M3421" s="8" t="n">
        <v>0</v>
      </c>
      <c r="N3421" s="7">
        <f>M3421*$J$3442-J3421</f>
        <v/>
      </c>
      <c r="O3421" s="9">
        <f>IF(G3421=0,0,N3421/G3421)</f>
        <v/>
      </c>
      <c r="P3421" s="6">
        <f>IF(M3421&gt;0,D3421,"")</f>
        <v/>
      </c>
      <c r="Q3421" s="9">
        <f>I3421+O3421</f>
        <v/>
      </c>
      <c r="R3421" s="7">
        <f>Q3421*G3421</f>
        <v/>
      </c>
      <c r="S3421" s="8">
        <f>IF($R$3442=0,0,R3421/$R$3442)</f>
        <v/>
      </c>
      <c r="T3421" s="8" t="n">
        <v>0.03462244104099343</v>
      </c>
      <c r="U3421" s="8" t="n">
        <v>0.006025587561531598</v>
      </c>
      <c r="V3421" s="6" t="inlineStr">
        <is>
          <t>not selected</t>
        </is>
      </c>
    </row>
    <row r="3422">
      <c r="A3422" s="6" t="inlineStr">
        <is>
          <t>DJ30</t>
        </is>
      </c>
      <c r="B3422" s="6" t="inlineStr">
        <is>
          <t>2025-02-14</t>
        </is>
      </c>
      <c r="C3422" s="6" t="inlineStr">
        <is>
          <t>DIA</t>
        </is>
      </c>
      <c r="D3422" s="6" t="inlineStr">
        <is>
          <t>GS</t>
        </is>
      </c>
      <c r="E3422" s="6" t="inlineStr">
        <is>
          <t>GS</t>
        </is>
      </c>
      <c r="F3422" s="6" t="inlineStr">
        <is>
          <t>-</t>
        </is>
      </c>
      <c r="G3422" s="7" t="n">
        <v>641.1244506835938</v>
      </c>
      <c r="H3422" s="6">
        <f>P3391</f>
        <v/>
      </c>
      <c r="I3422" s="9">
        <f>Q3391</f>
        <v/>
      </c>
      <c r="J3422" s="7">
        <f>I3422*G3422</f>
        <v/>
      </c>
      <c r="K3422" s="8">
        <f>IF($J$3442=0,0,J3422/$J$3442)</f>
        <v/>
      </c>
      <c r="L3422" s="6" t="inlineStr">
        <is>
          <t>WATCHLIST</t>
        </is>
      </c>
      <c r="M3422" s="8" t="n">
        <v>0</v>
      </c>
      <c r="N3422" s="7">
        <f>M3422*$J$3442-J3422</f>
        <v/>
      </c>
      <c r="O3422" s="9">
        <f>IF(G3422=0,0,N3422/G3422)</f>
        <v/>
      </c>
      <c r="P3422" s="6">
        <f>IF(M3422&gt;0,D3422,"")</f>
        <v/>
      </c>
      <c r="Q3422" s="9">
        <f>I3422+O3422</f>
        <v/>
      </c>
      <c r="R3422" s="7">
        <f>Q3422*G3422</f>
        <v/>
      </c>
      <c r="S3422" s="8">
        <f>IF($R$3442=0,0,R3422/$R$3442)</f>
        <v/>
      </c>
      <c r="T3422" s="8" t="n">
        <v>0.03462244104099343</v>
      </c>
      <c r="U3422" s="8" t="n">
        <v>0.006025587561531598</v>
      </c>
      <c r="V3422" s="6" t="inlineStr">
        <is>
          <t>not selected</t>
        </is>
      </c>
    </row>
    <row r="3423">
      <c r="A3423" s="6" t="inlineStr">
        <is>
          <t>DJ30</t>
        </is>
      </c>
      <c r="B3423" s="6" t="inlineStr">
        <is>
          <t>2025-02-14</t>
        </is>
      </c>
      <c r="C3423" s="6" t="inlineStr">
        <is>
          <t>DIA</t>
        </is>
      </c>
      <c r="D3423" s="6" t="inlineStr">
        <is>
          <t>HD</t>
        </is>
      </c>
      <c r="E3423" s="6" t="inlineStr">
        <is>
          <t>HD</t>
        </is>
      </c>
      <c r="F3423" s="6" t="inlineStr">
        <is>
          <t>-</t>
        </is>
      </c>
      <c r="G3423" s="7" t="n">
        <v>393.9308471679688</v>
      </c>
      <c r="H3423" s="6">
        <f>P3392</f>
        <v/>
      </c>
      <c r="I3423" s="9">
        <f>Q3392</f>
        <v/>
      </c>
      <c r="J3423" s="7">
        <f>I3423*G3423</f>
        <v/>
      </c>
      <c r="K3423" s="8">
        <f>IF($J$3442=0,0,J3423/$J$3442)</f>
        <v/>
      </c>
      <c r="L3423" s="6" t="inlineStr">
        <is>
          <t>WATCHLIST</t>
        </is>
      </c>
      <c r="M3423" s="8" t="n">
        <v>0</v>
      </c>
      <c r="N3423" s="7">
        <f>M3423*$J$3442-J3423</f>
        <v/>
      </c>
      <c r="O3423" s="9">
        <f>IF(G3423=0,0,N3423/G3423)</f>
        <v/>
      </c>
      <c r="P3423" s="6">
        <f>IF(M3423&gt;0,D3423,"")</f>
        <v/>
      </c>
      <c r="Q3423" s="9">
        <f>I3423+O3423</f>
        <v/>
      </c>
      <c r="R3423" s="7">
        <f>Q3423*G3423</f>
        <v/>
      </c>
      <c r="S3423" s="8">
        <f>IF($R$3442=0,0,R3423/$R$3442)</f>
        <v/>
      </c>
      <c r="T3423" s="8" t="n">
        <v>0.03462244104099343</v>
      </c>
      <c r="U3423" s="8" t="n">
        <v>0.006025587561531598</v>
      </c>
      <c r="V3423" s="6" t="inlineStr">
        <is>
          <t>not selected</t>
        </is>
      </c>
    </row>
    <row r="3424">
      <c r="A3424" s="6" t="inlineStr">
        <is>
          <t>DJ30</t>
        </is>
      </c>
      <c r="B3424" s="6" t="inlineStr">
        <is>
          <t>2025-02-14</t>
        </is>
      </c>
      <c r="C3424" s="6" t="inlineStr">
        <is>
          <t>DIA</t>
        </is>
      </c>
      <c r="D3424" s="6" t="inlineStr">
        <is>
          <t>HON</t>
        </is>
      </c>
      <c r="E3424" s="6" t="inlineStr">
        <is>
          <t>HON</t>
        </is>
      </c>
      <c r="F3424" s="6" t="inlineStr">
        <is>
          <t>-</t>
        </is>
      </c>
      <c r="G3424" s="7" t="n">
        <v>185.0693817138672</v>
      </c>
      <c r="H3424" s="6">
        <f>P3393</f>
        <v/>
      </c>
      <c r="I3424" s="9">
        <f>Q3393</f>
        <v/>
      </c>
      <c r="J3424" s="7">
        <f>I3424*G3424</f>
        <v/>
      </c>
      <c r="K3424" s="8">
        <f>IF($J$3442=0,0,J3424/$J$3442)</f>
        <v/>
      </c>
      <c r="L3424" s="6" t="inlineStr">
        <is>
          <t>WATCHLIST</t>
        </is>
      </c>
      <c r="M3424" s="8" t="n">
        <v>0</v>
      </c>
      <c r="N3424" s="7">
        <f>M3424*$J$3442-J3424</f>
        <v/>
      </c>
      <c r="O3424" s="9">
        <f>IF(G3424=0,0,N3424/G3424)</f>
        <v/>
      </c>
      <c r="P3424" s="6">
        <f>IF(M3424&gt;0,D3424,"")</f>
        <v/>
      </c>
      <c r="Q3424" s="9">
        <f>I3424+O3424</f>
        <v/>
      </c>
      <c r="R3424" s="7">
        <f>Q3424*G3424</f>
        <v/>
      </c>
      <c r="S3424" s="8">
        <f>IF($R$3442=0,0,R3424/$R$3442)</f>
        <v/>
      </c>
      <c r="T3424" s="8" t="n">
        <v>0.03462244104099343</v>
      </c>
      <c r="U3424" s="8" t="n">
        <v>0.006025587561531598</v>
      </c>
      <c r="V3424" s="6" t="inlineStr">
        <is>
          <t>not selected</t>
        </is>
      </c>
    </row>
    <row r="3425">
      <c r="A3425" s="6" t="inlineStr">
        <is>
          <t>DJ30</t>
        </is>
      </c>
      <c r="B3425" s="6" t="inlineStr">
        <is>
          <t>2025-02-14</t>
        </is>
      </c>
      <c r="C3425" s="6" t="inlineStr">
        <is>
          <t>DIA</t>
        </is>
      </c>
      <c r="D3425" s="6" t="inlineStr">
        <is>
          <t>IBM</t>
        </is>
      </c>
      <c r="E3425" s="6" t="inlineStr">
        <is>
          <t>IBM</t>
        </is>
      </c>
      <c r="F3425" s="6" t="inlineStr">
        <is>
          <t>-</t>
        </is>
      </c>
      <c r="G3425" s="7" t="n">
        <v>253.079833984375</v>
      </c>
      <c r="H3425" s="6">
        <f>P3394</f>
        <v/>
      </c>
      <c r="I3425" s="9">
        <f>Q3394</f>
        <v/>
      </c>
      <c r="J3425" s="7">
        <f>I3425*G3425</f>
        <v/>
      </c>
      <c r="K3425" s="8">
        <f>IF($J$3442=0,0,J3425/$J$3442)</f>
        <v/>
      </c>
      <c r="L3425" s="6" t="inlineStr">
        <is>
          <t>WATCHLIST</t>
        </is>
      </c>
      <c r="M3425" s="8" t="n">
        <v>0</v>
      </c>
      <c r="N3425" s="7">
        <f>M3425*$J$3442-J3425</f>
        <v/>
      </c>
      <c r="O3425" s="9">
        <f>IF(G3425=0,0,N3425/G3425)</f>
        <v/>
      </c>
      <c r="P3425" s="6">
        <f>IF(M3425&gt;0,D3425,"")</f>
        <v/>
      </c>
      <c r="Q3425" s="9">
        <f>I3425+O3425</f>
        <v/>
      </c>
      <c r="R3425" s="7">
        <f>Q3425*G3425</f>
        <v/>
      </c>
      <c r="S3425" s="8">
        <f>IF($R$3442=0,0,R3425/$R$3442)</f>
        <v/>
      </c>
      <c r="T3425" s="8" t="n">
        <v>0.03462244104099343</v>
      </c>
      <c r="U3425" s="8" t="n">
        <v>0.006025587561531598</v>
      </c>
      <c r="V3425" s="6" t="inlineStr">
        <is>
          <t>not selected</t>
        </is>
      </c>
    </row>
    <row r="3426">
      <c r="A3426" s="6" t="inlineStr">
        <is>
          <t>DJ30</t>
        </is>
      </c>
      <c r="B3426" s="6" t="inlineStr">
        <is>
          <t>2025-02-14</t>
        </is>
      </c>
      <c r="C3426" s="6" t="inlineStr">
        <is>
          <t>DIA</t>
        </is>
      </c>
      <c r="D3426" s="6" t="inlineStr">
        <is>
          <t>JNJ</t>
        </is>
      </c>
      <c r="E3426" s="6" t="inlineStr">
        <is>
          <t>JNJ</t>
        </is>
      </c>
      <c r="F3426" s="6" t="inlineStr">
        <is>
          <t>-</t>
        </is>
      </c>
      <c r="G3426" s="7" t="n">
        <v>149.8491363525391</v>
      </c>
      <c r="H3426" s="6">
        <f>P3395</f>
        <v/>
      </c>
      <c r="I3426" s="9">
        <f>Q3395</f>
        <v/>
      </c>
      <c r="J3426" s="7">
        <f>I3426*G3426</f>
        <v/>
      </c>
      <c r="K3426" s="8">
        <f>IF($J$3442=0,0,J3426/$J$3442)</f>
        <v/>
      </c>
      <c r="L3426" s="6" t="inlineStr">
        <is>
          <t>REJECTED</t>
        </is>
      </c>
      <c r="M3426" s="8" t="n">
        <v>0</v>
      </c>
      <c r="N3426" s="7">
        <f>M3426*$J$3442-J3426</f>
        <v/>
      </c>
      <c r="O3426" s="9">
        <f>IF(G3426=0,0,N3426/G3426)</f>
        <v/>
      </c>
      <c r="P3426" s="6">
        <f>IF(M3426&gt;0,D3426,"")</f>
        <v/>
      </c>
      <c r="Q3426" s="9">
        <f>I3426+O3426</f>
        <v/>
      </c>
      <c r="R3426" s="7">
        <f>Q3426*G3426</f>
        <v/>
      </c>
      <c r="S3426" s="8">
        <f>IF($R$3442=0,0,R3426/$R$3442)</f>
        <v/>
      </c>
      <c r="T3426" s="8" t="n">
        <v>0.03462244104099343</v>
      </c>
      <c r="U3426" s="8" t="n">
        <v>0.006025587561531598</v>
      </c>
      <c r="V3426" s="6" t="inlineStr">
        <is>
          <t>not selected</t>
        </is>
      </c>
    </row>
    <row r="3427">
      <c r="A3427" s="6" t="inlineStr">
        <is>
          <t>DJ30</t>
        </is>
      </c>
      <c r="B3427" s="6" t="inlineStr">
        <is>
          <t>2025-02-14</t>
        </is>
      </c>
      <c r="C3427" s="6" t="inlineStr">
        <is>
          <t>DIA</t>
        </is>
      </c>
      <c r="D3427" s="6" t="inlineStr">
        <is>
          <t>JPM</t>
        </is>
      </c>
      <c r="E3427" s="6" t="inlineStr">
        <is>
          <t>JPM</t>
        </is>
      </c>
      <c r="F3427" s="6" t="inlineStr">
        <is>
          <t>-</t>
        </is>
      </c>
      <c r="G3427" s="7" t="n">
        <v>269.6525573730469</v>
      </c>
      <c r="H3427" s="6">
        <f>P3396</f>
        <v/>
      </c>
      <c r="I3427" s="9">
        <f>Q3396</f>
        <v/>
      </c>
      <c r="J3427" s="7">
        <f>I3427*G3427</f>
        <v/>
      </c>
      <c r="K3427" s="8">
        <f>IF($J$3442=0,0,J3427/$J$3442)</f>
        <v/>
      </c>
      <c r="L3427" s="6" t="inlineStr">
        <is>
          <t>SELECTED</t>
        </is>
      </c>
      <c r="M3427" s="8" t="n">
        <v>0.2</v>
      </c>
      <c r="N3427" s="7">
        <f>M3427*$J$3442-J3427</f>
        <v/>
      </c>
      <c r="O3427" s="9">
        <f>IF(G3427=0,0,N3427/G3427)</f>
        <v/>
      </c>
      <c r="P3427" s="6">
        <f>IF(M3427&gt;0,D3427,"")</f>
        <v/>
      </c>
      <c r="Q3427" s="9">
        <f>I3427+O3427</f>
        <v/>
      </c>
      <c r="R3427" s="7">
        <f>Q3427*G3427</f>
        <v/>
      </c>
      <c r="S3427" s="8">
        <f>IF($R$3442=0,0,R3427/$R$3442)</f>
        <v/>
      </c>
      <c r="T3427" s="8" t="n">
        <v>0.03462244104099343</v>
      </c>
      <c r="U3427" s="8" t="n">
        <v>0.006025587561531598</v>
      </c>
      <c r="V3427" s="6" t="inlineStr">
        <is>
          <t>remained in weekly selection</t>
        </is>
      </c>
    </row>
    <row r="3428">
      <c r="A3428" s="6" t="inlineStr">
        <is>
          <t>DJ30</t>
        </is>
      </c>
      <c r="B3428" s="6" t="inlineStr">
        <is>
          <t>2025-02-14</t>
        </is>
      </c>
      <c r="C3428" s="6" t="inlineStr">
        <is>
          <t>DIA</t>
        </is>
      </c>
      <c r="D3428" s="6" t="inlineStr">
        <is>
          <t>KO</t>
        </is>
      </c>
      <c r="E3428" s="6" t="inlineStr">
        <is>
          <t>KO</t>
        </is>
      </c>
      <c r="F3428" s="6" t="inlineStr">
        <is>
          <t>-</t>
        </is>
      </c>
      <c r="G3428" s="7" t="n">
        <v>66.01329040527344</v>
      </c>
      <c r="H3428" s="6">
        <f>P3397</f>
        <v/>
      </c>
      <c r="I3428" s="9">
        <f>Q3397</f>
        <v/>
      </c>
      <c r="J3428" s="7">
        <f>I3428*G3428</f>
        <v/>
      </c>
      <c r="K3428" s="8">
        <f>IF($J$3442=0,0,J3428/$J$3442)</f>
        <v/>
      </c>
      <c r="L3428" s="6" t="inlineStr">
        <is>
          <t>REJECTED</t>
        </is>
      </c>
      <c r="M3428" s="8" t="n">
        <v>0</v>
      </c>
      <c r="N3428" s="7">
        <f>M3428*$J$3442-J3428</f>
        <v/>
      </c>
      <c r="O3428" s="9">
        <f>IF(G3428=0,0,N3428/G3428)</f>
        <v/>
      </c>
      <c r="P3428" s="6">
        <f>IF(M3428&gt;0,D3428,"")</f>
        <v/>
      </c>
      <c r="Q3428" s="9">
        <f>I3428+O3428</f>
        <v/>
      </c>
      <c r="R3428" s="7">
        <f>Q3428*G3428</f>
        <v/>
      </c>
      <c r="S3428" s="8">
        <f>IF($R$3442=0,0,R3428/$R$3442)</f>
        <v/>
      </c>
      <c r="T3428" s="8" t="n">
        <v>0.03462244104099343</v>
      </c>
      <c r="U3428" s="8" t="n">
        <v>0.006025587561531598</v>
      </c>
      <c r="V3428" s="6" t="inlineStr">
        <is>
          <t>not selected</t>
        </is>
      </c>
    </row>
    <row r="3429">
      <c r="A3429" s="6" t="inlineStr">
        <is>
          <t>DJ30</t>
        </is>
      </c>
      <c r="B3429" s="6" t="inlineStr">
        <is>
          <t>2025-02-14</t>
        </is>
      </c>
      <c r="C3429" s="6" t="inlineStr">
        <is>
          <t>DIA</t>
        </is>
      </c>
      <c r="D3429" s="6" t="inlineStr">
        <is>
          <t>MCD</t>
        </is>
      </c>
      <c r="E3429" s="6" t="inlineStr">
        <is>
          <t>MCD</t>
        </is>
      </c>
      <c r="F3429" s="6" t="inlineStr">
        <is>
          <t>-</t>
        </is>
      </c>
      <c r="G3429" s="7" t="n">
        <v>297.8223876953125</v>
      </c>
      <c r="H3429" s="6">
        <f>P3398</f>
        <v/>
      </c>
      <c r="I3429" s="9">
        <f>Q3398</f>
        <v/>
      </c>
      <c r="J3429" s="7">
        <f>I3429*G3429</f>
        <v/>
      </c>
      <c r="K3429" s="8">
        <f>IF($J$3442=0,0,J3429/$J$3442)</f>
        <v/>
      </c>
      <c r="L3429" s="6" t="inlineStr">
        <is>
          <t>WATCHLIST</t>
        </is>
      </c>
      <c r="M3429" s="8" t="n">
        <v>0</v>
      </c>
      <c r="N3429" s="7">
        <f>M3429*$J$3442-J3429</f>
        <v/>
      </c>
      <c r="O3429" s="9">
        <f>IF(G3429=0,0,N3429/G3429)</f>
        <v/>
      </c>
      <c r="P3429" s="6">
        <f>IF(M3429&gt;0,D3429,"")</f>
        <v/>
      </c>
      <c r="Q3429" s="9">
        <f>I3429+O3429</f>
        <v/>
      </c>
      <c r="R3429" s="7">
        <f>Q3429*G3429</f>
        <v/>
      </c>
      <c r="S3429" s="8">
        <f>IF($R$3442=0,0,R3429/$R$3442)</f>
        <v/>
      </c>
      <c r="T3429" s="8" t="n">
        <v>0.03462244104099343</v>
      </c>
      <c r="U3429" s="8" t="n">
        <v>0.006025587561531598</v>
      </c>
      <c r="V3429" s="6" t="inlineStr">
        <is>
          <t>not selected</t>
        </is>
      </c>
    </row>
    <row r="3430">
      <c r="A3430" s="6" t="inlineStr">
        <is>
          <t>DJ30</t>
        </is>
      </c>
      <c r="B3430" s="6" t="inlineStr">
        <is>
          <t>2025-02-14</t>
        </is>
      </c>
      <c r="C3430" s="6" t="inlineStr">
        <is>
          <t>DIA</t>
        </is>
      </c>
      <c r="D3430" s="6" t="inlineStr">
        <is>
          <t>MMM</t>
        </is>
      </c>
      <c r="E3430" s="6" t="inlineStr">
        <is>
          <t>MMM</t>
        </is>
      </c>
      <c r="F3430" s="6" t="inlineStr">
        <is>
          <t>-</t>
        </is>
      </c>
      <c r="G3430" s="7" t="n">
        <v>145.1799163818359</v>
      </c>
      <c r="H3430" s="6">
        <f>P3399</f>
        <v/>
      </c>
      <c r="I3430" s="9">
        <f>Q3399</f>
        <v/>
      </c>
      <c r="J3430" s="7">
        <f>I3430*G3430</f>
        <v/>
      </c>
      <c r="K3430" s="8">
        <f>IF($J$3442=0,0,J3430/$J$3442)</f>
        <v/>
      </c>
      <c r="L3430" s="6" t="inlineStr">
        <is>
          <t>SELECTED</t>
        </is>
      </c>
      <c r="M3430" s="8" t="n">
        <v>0.2</v>
      </c>
      <c r="N3430" s="7">
        <f>M3430*$J$3442-J3430</f>
        <v/>
      </c>
      <c r="O3430" s="9">
        <f>IF(G3430=0,0,N3430/G3430)</f>
        <v/>
      </c>
      <c r="P3430" s="6">
        <f>IF(M3430&gt;0,D3430,"")</f>
        <v/>
      </c>
      <c r="Q3430" s="9">
        <f>I3430+O3430</f>
        <v/>
      </c>
      <c r="R3430" s="7">
        <f>Q3430*G3430</f>
        <v/>
      </c>
      <c r="S3430" s="8">
        <f>IF($R$3442=0,0,R3430/$R$3442)</f>
        <v/>
      </c>
      <c r="T3430" s="8" t="n">
        <v>0.03462244104099343</v>
      </c>
      <c r="U3430" s="8" t="n">
        <v>0.006025587561531598</v>
      </c>
      <c r="V3430" s="6" t="inlineStr">
        <is>
          <t>remained in weekly selection</t>
        </is>
      </c>
    </row>
    <row r="3431">
      <c r="A3431" s="6" t="inlineStr">
        <is>
          <t>DJ30</t>
        </is>
      </c>
      <c r="B3431" s="6" t="inlineStr">
        <is>
          <t>2025-02-14</t>
        </is>
      </c>
      <c r="C3431" s="6" t="inlineStr">
        <is>
          <t>DIA</t>
        </is>
      </c>
      <c r="D3431" s="6" t="inlineStr">
        <is>
          <t>MRK</t>
        </is>
      </c>
      <c r="E3431" s="6" t="inlineStr">
        <is>
          <t>MRK</t>
        </is>
      </c>
      <c r="F3431" s="6" t="inlineStr">
        <is>
          <t>-</t>
        </is>
      </c>
      <c r="G3431" s="7" t="n">
        <v>78.84716033935547</v>
      </c>
      <c r="H3431" s="6">
        <f>P3400</f>
        <v/>
      </c>
      <c r="I3431" s="9">
        <f>Q3400</f>
        <v/>
      </c>
      <c r="J3431" s="7">
        <f>I3431*G3431</f>
        <v/>
      </c>
      <c r="K3431" s="8">
        <f>IF($J$3442=0,0,J3431/$J$3442)</f>
        <v/>
      </c>
      <c r="L3431" s="6" t="inlineStr">
        <is>
          <t>REJECTED</t>
        </is>
      </c>
      <c r="M3431" s="8" t="n">
        <v>0</v>
      </c>
      <c r="N3431" s="7">
        <f>M3431*$J$3442-J3431</f>
        <v/>
      </c>
      <c r="O3431" s="9">
        <f>IF(G3431=0,0,N3431/G3431)</f>
        <v/>
      </c>
      <c r="P3431" s="6">
        <f>IF(M3431&gt;0,D3431,"")</f>
        <v/>
      </c>
      <c r="Q3431" s="9">
        <f>I3431+O3431</f>
        <v/>
      </c>
      <c r="R3431" s="7">
        <f>Q3431*G3431</f>
        <v/>
      </c>
      <c r="S3431" s="8">
        <f>IF($R$3442=0,0,R3431/$R$3442)</f>
        <v/>
      </c>
      <c r="T3431" s="8" t="n">
        <v>0.03462244104099343</v>
      </c>
      <c r="U3431" s="8" t="n">
        <v>0.006025587561531598</v>
      </c>
      <c r="V3431" s="6" t="inlineStr">
        <is>
          <t>not selected</t>
        </is>
      </c>
    </row>
    <row r="3432">
      <c r="A3432" s="6" t="inlineStr">
        <is>
          <t>DJ30</t>
        </is>
      </c>
      <c r="B3432" s="6" t="inlineStr">
        <is>
          <t>2025-02-14</t>
        </is>
      </c>
      <c r="C3432" s="6" t="inlineStr">
        <is>
          <t>DIA</t>
        </is>
      </c>
      <c r="D3432" s="6" t="inlineStr">
        <is>
          <t>MSFT</t>
        </is>
      </c>
      <c r="E3432" s="6" t="inlineStr">
        <is>
          <t>MSFT</t>
        </is>
      </c>
      <c r="F3432" s="6" t="inlineStr">
        <is>
          <t>-</t>
        </is>
      </c>
      <c r="G3432" s="7" t="n">
        <v>403.6416015625</v>
      </c>
      <c r="H3432" s="6">
        <f>P3401</f>
        <v/>
      </c>
      <c r="I3432" s="9">
        <f>Q3401</f>
        <v/>
      </c>
      <c r="J3432" s="7">
        <f>I3432*G3432</f>
        <v/>
      </c>
      <c r="K3432" s="8">
        <f>IF($J$3442=0,0,J3432/$J$3442)</f>
        <v/>
      </c>
      <c r="L3432" s="6" t="inlineStr">
        <is>
          <t>REJECTED</t>
        </is>
      </c>
      <c r="M3432" s="8" t="n">
        <v>0</v>
      </c>
      <c r="N3432" s="7">
        <f>M3432*$J$3442-J3432</f>
        <v/>
      </c>
      <c r="O3432" s="9">
        <f>IF(G3432=0,0,N3432/G3432)</f>
        <v/>
      </c>
      <c r="P3432" s="6">
        <f>IF(M3432&gt;0,D3432,"")</f>
        <v/>
      </c>
      <c r="Q3432" s="9">
        <f>I3432+O3432</f>
        <v/>
      </c>
      <c r="R3432" s="7">
        <f>Q3432*G3432</f>
        <v/>
      </c>
      <c r="S3432" s="8">
        <f>IF($R$3442=0,0,R3432/$R$3442)</f>
        <v/>
      </c>
      <c r="T3432" s="8" t="n">
        <v>0.03462244104099343</v>
      </c>
      <c r="U3432" s="8" t="n">
        <v>0.006025587561531598</v>
      </c>
      <c r="V3432" s="6" t="inlineStr">
        <is>
          <t>not selected</t>
        </is>
      </c>
    </row>
    <row r="3433">
      <c r="A3433" s="6" t="inlineStr">
        <is>
          <t>DJ30</t>
        </is>
      </c>
      <c r="B3433" s="6" t="inlineStr">
        <is>
          <t>2025-02-14</t>
        </is>
      </c>
      <c r="C3433" s="6" t="inlineStr">
        <is>
          <t>DIA</t>
        </is>
      </c>
      <c r="D3433" s="6" t="inlineStr">
        <is>
          <t>NKE</t>
        </is>
      </c>
      <c r="E3433" s="6" t="inlineStr">
        <is>
          <t>NKE</t>
        </is>
      </c>
      <c r="F3433" s="6" t="inlineStr">
        <is>
          <t>-</t>
        </is>
      </c>
      <c r="G3433" s="7" t="n">
        <v>70.26429748535156</v>
      </c>
      <c r="H3433" s="6">
        <f>P3402</f>
        <v/>
      </c>
      <c r="I3433" s="9">
        <f>Q3402</f>
        <v/>
      </c>
      <c r="J3433" s="7">
        <f>I3433*G3433</f>
        <v/>
      </c>
      <c r="K3433" s="8">
        <f>IF($J$3442=0,0,J3433/$J$3442)</f>
        <v/>
      </c>
      <c r="L3433" s="6" t="inlineStr">
        <is>
          <t>REJECTED</t>
        </is>
      </c>
      <c r="M3433" s="8" t="n">
        <v>0</v>
      </c>
      <c r="N3433" s="7">
        <f>M3433*$J$3442-J3433</f>
        <v/>
      </c>
      <c r="O3433" s="9">
        <f>IF(G3433=0,0,N3433/G3433)</f>
        <v/>
      </c>
      <c r="P3433" s="6">
        <f>IF(M3433&gt;0,D3433,"")</f>
        <v/>
      </c>
      <c r="Q3433" s="9">
        <f>I3433+O3433</f>
        <v/>
      </c>
      <c r="R3433" s="7">
        <f>Q3433*G3433</f>
        <v/>
      </c>
      <c r="S3433" s="8">
        <f>IF($R$3442=0,0,R3433/$R$3442)</f>
        <v/>
      </c>
      <c r="T3433" s="8" t="n">
        <v>0.03462244104099343</v>
      </c>
      <c r="U3433" s="8" t="n">
        <v>0.006025587561531598</v>
      </c>
      <c r="V3433" s="6" t="inlineStr">
        <is>
          <t>not selected</t>
        </is>
      </c>
    </row>
    <row r="3434">
      <c r="A3434" s="6" t="inlineStr">
        <is>
          <t>DJ30</t>
        </is>
      </c>
      <c r="B3434" s="6" t="inlineStr">
        <is>
          <t>2025-02-14</t>
        </is>
      </c>
      <c r="C3434" s="6" t="inlineStr">
        <is>
          <t>DIA</t>
        </is>
      </c>
      <c r="D3434" s="6" t="inlineStr">
        <is>
          <t>NVDA</t>
        </is>
      </c>
      <c r="E3434" s="6" t="inlineStr">
        <is>
          <t>NVDA</t>
        </is>
      </c>
      <c r="F3434" s="6" t="inlineStr">
        <is>
          <t>-</t>
        </is>
      </c>
      <c r="G3434" s="7" t="n">
        <v>138.6429443359375</v>
      </c>
      <c r="H3434" s="6">
        <f>P3403</f>
        <v/>
      </c>
      <c r="I3434" s="9">
        <f>Q3403</f>
        <v/>
      </c>
      <c r="J3434" s="7">
        <f>I3434*G3434</f>
        <v/>
      </c>
      <c r="K3434" s="8">
        <f>IF($J$3442=0,0,J3434/$J$3442)</f>
        <v/>
      </c>
      <c r="L3434" s="6" t="inlineStr">
        <is>
          <t>SELECTED</t>
        </is>
      </c>
      <c r="M3434" s="8" t="n">
        <v>0.2</v>
      </c>
      <c r="N3434" s="7">
        <f>M3434*$J$3442-J3434</f>
        <v/>
      </c>
      <c r="O3434" s="9">
        <f>IF(G3434=0,0,N3434/G3434)</f>
        <v/>
      </c>
      <c r="P3434" s="6">
        <f>IF(M3434&gt;0,D3434,"")</f>
        <v/>
      </c>
      <c r="Q3434" s="9">
        <f>I3434+O3434</f>
        <v/>
      </c>
      <c r="R3434" s="7">
        <f>Q3434*G3434</f>
        <v/>
      </c>
      <c r="S3434" s="8">
        <f>IF($R$3442=0,0,R3434/$R$3442)</f>
        <v/>
      </c>
      <c r="T3434" s="8" t="n">
        <v>0.03462244104099343</v>
      </c>
      <c r="U3434" s="8" t="n">
        <v>0.006025587561531598</v>
      </c>
      <c r="V3434" s="6" t="inlineStr">
        <is>
          <t>remained in weekly selection</t>
        </is>
      </c>
    </row>
    <row r="3435">
      <c r="A3435" s="6" t="inlineStr">
        <is>
          <t>DJ30</t>
        </is>
      </c>
      <c r="B3435" s="6" t="inlineStr">
        <is>
          <t>2025-02-14</t>
        </is>
      </c>
      <c r="C3435" s="6" t="inlineStr">
        <is>
          <t>DIA</t>
        </is>
      </c>
      <c r="D3435" s="6" t="inlineStr">
        <is>
          <t>PG</t>
        </is>
      </c>
      <c r="E3435" s="6" t="inlineStr">
        <is>
          <t>PG</t>
        </is>
      </c>
      <c r="F3435" s="6" t="inlineStr">
        <is>
          <t>-</t>
        </is>
      </c>
      <c r="G3435" s="7" t="n">
        <v>157.3543701171875</v>
      </c>
      <c r="H3435" s="6">
        <f>P3404</f>
        <v/>
      </c>
      <c r="I3435" s="9">
        <f>Q3404</f>
        <v/>
      </c>
      <c r="J3435" s="7">
        <f>I3435*G3435</f>
        <v/>
      </c>
      <c r="K3435" s="8">
        <f>IF($J$3442=0,0,J3435/$J$3442)</f>
        <v/>
      </c>
      <c r="L3435" s="6" t="inlineStr">
        <is>
          <t>WATCHLIST</t>
        </is>
      </c>
      <c r="M3435" s="8" t="n">
        <v>0</v>
      </c>
      <c r="N3435" s="7">
        <f>M3435*$J$3442-J3435</f>
        <v/>
      </c>
      <c r="O3435" s="9">
        <f>IF(G3435=0,0,N3435/G3435)</f>
        <v/>
      </c>
      <c r="P3435" s="6">
        <f>IF(M3435&gt;0,D3435,"")</f>
        <v/>
      </c>
      <c r="Q3435" s="9">
        <f>I3435+O3435</f>
        <v/>
      </c>
      <c r="R3435" s="7">
        <f>Q3435*G3435</f>
        <v/>
      </c>
      <c r="S3435" s="8">
        <f>IF($R$3442=0,0,R3435/$R$3442)</f>
        <v/>
      </c>
      <c r="T3435" s="8" t="n">
        <v>0.03462244104099343</v>
      </c>
      <c r="U3435" s="8" t="n">
        <v>0.006025587561531598</v>
      </c>
      <c r="V3435" s="6" t="inlineStr">
        <is>
          <t>not selected</t>
        </is>
      </c>
    </row>
    <row r="3436">
      <c r="A3436" s="6" t="inlineStr">
        <is>
          <t>DJ30</t>
        </is>
      </c>
      <c r="B3436" s="6" t="inlineStr">
        <is>
          <t>2025-02-14</t>
        </is>
      </c>
      <c r="C3436" s="6" t="inlineStr">
        <is>
          <t>DIA</t>
        </is>
      </c>
      <c r="D3436" s="6" t="inlineStr">
        <is>
          <t>SHW</t>
        </is>
      </c>
      <c r="E3436" s="6" t="inlineStr">
        <is>
          <t>SHW</t>
        </is>
      </c>
      <c r="F3436" s="6" t="inlineStr">
        <is>
          <t>-</t>
        </is>
      </c>
      <c r="G3436" s="7" t="n">
        <v>352.0159912109375</v>
      </c>
      <c r="H3436" s="6">
        <f>P3405</f>
        <v/>
      </c>
      <c r="I3436" s="9">
        <f>Q3405</f>
        <v/>
      </c>
      <c r="J3436" s="7">
        <f>I3436*G3436</f>
        <v/>
      </c>
      <c r="K3436" s="8">
        <f>IF($J$3442=0,0,J3436/$J$3442)</f>
        <v/>
      </c>
      <c r="L3436" s="6" t="inlineStr">
        <is>
          <t>WATCHLIST</t>
        </is>
      </c>
      <c r="M3436" s="8" t="n">
        <v>0</v>
      </c>
      <c r="N3436" s="7">
        <f>M3436*$J$3442-J3436</f>
        <v/>
      </c>
      <c r="O3436" s="9">
        <f>IF(G3436=0,0,N3436/G3436)</f>
        <v/>
      </c>
      <c r="P3436" s="6">
        <f>IF(M3436&gt;0,D3436,"")</f>
        <v/>
      </c>
      <c r="Q3436" s="9">
        <f>I3436+O3436</f>
        <v/>
      </c>
      <c r="R3436" s="7">
        <f>Q3436*G3436</f>
        <v/>
      </c>
      <c r="S3436" s="8">
        <f>IF($R$3442=0,0,R3436/$R$3442)</f>
        <v/>
      </c>
      <c r="T3436" s="8" t="n">
        <v>0.03462244104099343</v>
      </c>
      <c r="U3436" s="8" t="n">
        <v>0.006025587561531598</v>
      </c>
      <c r="V3436" s="6" t="inlineStr">
        <is>
          <t>not selected</t>
        </is>
      </c>
    </row>
    <row r="3437">
      <c r="A3437" s="6" t="inlineStr">
        <is>
          <t>DJ30</t>
        </is>
      </c>
      <c r="B3437" s="6" t="inlineStr">
        <is>
          <t>2025-02-14</t>
        </is>
      </c>
      <c r="C3437" s="6" t="inlineStr">
        <is>
          <t>DIA</t>
        </is>
      </c>
      <c r="D3437" s="6" t="inlineStr">
        <is>
          <t>TRV</t>
        </is>
      </c>
      <c r="E3437" s="6" t="inlineStr">
        <is>
          <t>TRV</t>
        </is>
      </c>
      <c r="F3437" s="6" t="inlineStr">
        <is>
          <t>-</t>
        </is>
      </c>
      <c r="G3437" s="7" t="n">
        <v>232.6528015136719</v>
      </c>
      <c r="H3437" s="6">
        <f>P3406</f>
        <v/>
      </c>
      <c r="I3437" s="9">
        <f>Q3406</f>
        <v/>
      </c>
      <c r="J3437" s="7">
        <f>I3437*G3437</f>
        <v/>
      </c>
      <c r="K3437" s="8">
        <f>IF($J$3442=0,0,J3437/$J$3442)</f>
        <v/>
      </c>
      <c r="L3437" s="6" t="inlineStr">
        <is>
          <t>WATCHLIST</t>
        </is>
      </c>
      <c r="M3437" s="8" t="n">
        <v>0</v>
      </c>
      <c r="N3437" s="7">
        <f>M3437*$J$3442-J3437</f>
        <v/>
      </c>
      <c r="O3437" s="9">
        <f>IF(G3437=0,0,N3437/G3437)</f>
        <v/>
      </c>
      <c r="P3437" s="6">
        <f>IF(M3437&gt;0,D3437,"")</f>
        <v/>
      </c>
      <c r="Q3437" s="9">
        <f>I3437+O3437</f>
        <v/>
      </c>
      <c r="R3437" s="7">
        <f>Q3437*G3437</f>
        <v/>
      </c>
      <c r="S3437" s="8">
        <f>IF($R$3442=0,0,R3437/$R$3442)</f>
        <v/>
      </c>
      <c r="T3437" s="8" t="n">
        <v>0.03462244104099343</v>
      </c>
      <c r="U3437" s="8" t="n">
        <v>0.006025587561531598</v>
      </c>
      <c r="V3437" s="6" t="inlineStr">
        <is>
          <t>not selected</t>
        </is>
      </c>
    </row>
    <row r="3438">
      <c r="A3438" s="6" t="inlineStr">
        <is>
          <t>DJ30</t>
        </is>
      </c>
      <c r="B3438" s="6" t="inlineStr">
        <is>
          <t>2025-02-14</t>
        </is>
      </c>
      <c r="C3438" s="6" t="inlineStr">
        <is>
          <t>DIA</t>
        </is>
      </c>
      <c r="D3438" s="6" t="inlineStr">
        <is>
          <t>UNH</t>
        </is>
      </c>
      <c r="E3438" s="6" t="inlineStr">
        <is>
          <t>UNH</t>
        </is>
      </c>
      <c r="F3438" s="6" t="inlineStr">
        <is>
          <t>-</t>
        </is>
      </c>
      <c r="G3438" s="7" t="n">
        <v>504.10693359375</v>
      </c>
      <c r="H3438" s="6">
        <f>P3407</f>
        <v/>
      </c>
      <c r="I3438" s="9">
        <f>Q3407</f>
        <v/>
      </c>
      <c r="J3438" s="7">
        <f>I3438*G3438</f>
        <v/>
      </c>
      <c r="K3438" s="8">
        <f>IF($J$3442=0,0,J3438/$J$3442)</f>
        <v/>
      </c>
      <c r="L3438" s="6" t="inlineStr">
        <is>
          <t>REJECTED</t>
        </is>
      </c>
      <c r="M3438" s="8" t="n">
        <v>0</v>
      </c>
      <c r="N3438" s="7">
        <f>M3438*$J$3442-J3438</f>
        <v/>
      </c>
      <c r="O3438" s="9">
        <f>IF(G3438=0,0,N3438/G3438)</f>
        <v/>
      </c>
      <c r="P3438" s="6">
        <f>IF(M3438&gt;0,D3438,"")</f>
        <v/>
      </c>
      <c r="Q3438" s="9">
        <f>I3438+O3438</f>
        <v/>
      </c>
      <c r="R3438" s="7">
        <f>Q3438*G3438</f>
        <v/>
      </c>
      <c r="S3438" s="8">
        <f>IF($R$3442=0,0,R3438/$R$3442)</f>
        <v/>
      </c>
      <c r="T3438" s="8" t="n">
        <v>0.03462244104099343</v>
      </c>
      <c r="U3438" s="8" t="n">
        <v>0.006025587561531598</v>
      </c>
      <c r="V3438" s="6" t="inlineStr">
        <is>
          <t>not selected</t>
        </is>
      </c>
    </row>
    <row r="3439">
      <c r="A3439" s="6" t="inlineStr">
        <is>
          <t>DJ30</t>
        </is>
      </c>
      <c r="B3439" s="6" t="inlineStr">
        <is>
          <t>2025-02-14</t>
        </is>
      </c>
      <c r="C3439" s="6" t="inlineStr">
        <is>
          <t>DIA</t>
        </is>
      </c>
      <c r="D3439" s="6" t="inlineStr">
        <is>
          <t>V</t>
        </is>
      </c>
      <c r="E3439" s="6" t="inlineStr">
        <is>
          <t>V</t>
        </is>
      </c>
      <c r="F3439" s="6" t="inlineStr">
        <is>
          <t>-</t>
        </is>
      </c>
      <c r="G3439" s="7" t="n">
        <v>350.4552001953125</v>
      </c>
      <c r="H3439" s="6">
        <f>P3408</f>
        <v/>
      </c>
      <c r="I3439" s="9">
        <f>Q3408</f>
        <v/>
      </c>
      <c r="J3439" s="7">
        <f>I3439*G3439</f>
        <v/>
      </c>
      <c r="K3439" s="8">
        <f>IF($J$3442=0,0,J3439/$J$3442)</f>
        <v/>
      </c>
      <c r="L3439" s="6" t="inlineStr">
        <is>
          <t>WATCHLIST</t>
        </is>
      </c>
      <c r="M3439" s="8" t="n">
        <v>0</v>
      </c>
      <c r="N3439" s="7">
        <f>M3439*$J$3442-J3439</f>
        <v/>
      </c>
      <c r="O3439" s="9">
        <f>IF(G3439=0,0,N3439/G3439)</f>
        <v/>
      </c>
      <c r="P3439" s="6">
        <f>IF(M3439&gt;0,D3439,"")</f>
        <v/>
      </c>
      <c r="Q3439" s="9">
        <f>I3439+O3439</f>
        <v/>
      </c>
      <c r="R3439" s="7">
        <f>Q3439*G3439</f>
        <v/>
      </c>
      <c r="S3439" s="8">
        <f>IF($R$3442=0,0,R3439/$R$3442)</f>
        <v/>
      </c>
      <c r="T3439" s="8" t="n">
        <v>0.03462244104099343</v>
      </c>
      <c r="U3439" s="8" t="n">
        <v>0.006025587561531598</v>
      </c>
      <c r="V3439" s="6" t="inlineStr">
        <is>
          <t>not selected</t>
        </is>
      </c>
    </row>
    <row r="3440">
      <c r="A3440" s="6" t="inlineStr">
        <is>
          <t>DJ30</t>
        </is>
      </c>
      <c r="B3440" s="6" t="inlineStr">
        <is>
          <t>2025-02-14</t>
        </is>
      </c>
      <c r="C3440" s="6" t="inlineStr">
        <is>
          <t>DIA</t>
        </is>
      </c>
      <c r="D3440" s="6" t="inlineStr">
        <is>
          <t>VZ</t>
        </is>
      </c>
      <c r="E3440" s="6" t="inlineStr">
        <is>
          <t>VZ</t>
        </is>
      </c>
      <c r="F3440" s="6" t="inlineStr">
        <is>
          <t>-</t>
        </is>
      </c>
      <c r="G3440" s="7" t="n">
        <v>37.79515075683594</v>
      </c>
      <c r="H3440" s="6">
        <f>P3409</f>
        <v/>
      </c>
      <c r="I3440" s="9">
        <f>Q3409</f>
        <v/>
      </c>
      <c r="J3440" s="7">
        <f>I3440*G3440</f>
        <v/>
      </c>
      <c r="K3440" s="8">
        <f>IF($J$3442=0,0,J3440/$J$3442)</f>
        <v/>
      </c>
      <c r="L3440" s="6" t="inlineStr">
        <is>
          <t>WATCHLIST</t>
        </is>
      </c>
      <c r="M3440" s="8" t="n">
        <v>0</v>
      </c>
      <c r="N3440" s="7">
        <f>M3440*$J$3442-J3440</f>
        <v/>
      </c>
      <c r="O3440" s="9">
        <f>IF(G3440=0,0,N3440/G3440)</f>
        <v/>
      </c>
      <c r="P3440" s="6">
        <f>IF(M3440&gt;0,D3440,"")</f>
        <v/>
      </c>
      <c r="Q3440" s="9">
        <f>I3440+O3440</f>
        <v/>
      </c>
      <c r="R3440" s="7">
        <f>Q3440*G3440</f>
        <v/>
      </c>
      <c r="S3440" s="8">
        <f>IF($R$3442=0,0,R3440/$R$3442)</f>
        <v/>
      </c>
      <c r="T3440" s="8" t="n">
        <v>0.03462244104099343</v>
      </c>
      <c r="U3440" s="8" t="n">
        <v>0.006025587561531598</v>
      </c>
      <c r="V3440" s="6" t="inlineStr">
        <is>
          <t>not selected</t>
        </is>
      </c>
    </row>
    <row r="3441">
      <c r="A3441" s="6" t="inlineStr">
        <is>
          <t>DJ30</t>
        </is>
      </c>
      <c r="B3441" s="6" t="inlineStr">
        <is>
          <t>2025-02-14</t>
        </is>
      </c>
      <c r="C3441" s="6" t="inlineStr">
        <is>
          <t>DIA</t>
        </is>
      </c>
      <c r="D3441" s="6" t="inlineStr">
        <is>
          <t>WMT</t>
        </is>
      </c>
      <c r="E3441" s="6" t="inlineStr">
        <is>
          <t>WMT</t>
        </is>
      </c>
      <c r="F3441" s="6" t="inlineStr">
        <is>
          <t>-</t>
        </is>
      </c>
      <c r="G3441" s="7" t="n">
        <v>102.6466217041016</v>
      </c>
      <c r="H3441" s="6">
        <f>P3410</f>
        <v/>
      </c>
      <c r="I3441" s="9">
        <f>Q3410</f>
        <v/>
      </c>
      <c r="J3441" s="7">
        <f>I3441*G3441</f>
        <v/>
      </c>
      <c r="K3441" s="8">
        <f>IF($J$3442=0,0,J3441/$J$3442)</f>
        <v/>
      </c>
      <c r="L3441" s="6" t="inlineStr">
        <is>
          <t>SELECTED</t>
        </is>
      </c>
      <c r="M3441" s="8" t="n">
        <v>0.2</v>
      </c>
      <c r="N3441" s="7">
        <f>M3441*$J$3442-J3441</f>
        <v/>
      </c>
      <c r="O3441" s="9">
        <f>IF(G3441=0,0,N3441/G3441)</f>
        <v/>
      </c>
      <c r="P3441" s="6">
        <f>IF(M3441&gt;0,D3441,"")</f>
        <v/>
      </c>
      <c r="Q3441" s="9">
        <f>I3441+O3441</f>
        <v/>
      </c>
      <c r="R3441" s="7">
        <f>Q3441*G3441</f>
        <v/>
      </c>
      <c r="S3441" s="8">
        <f>IF($R$3442=0,0,R3441/$R$3442)</f>
        <v/>
      </c>
      <c r="T3441" s="8" t="n">
        <v>0.03462244104099343</v>
      </c>
      <c r="U3441" s="8" t="n">
        <v>0.006025587561531598</v>
      </c>
      <c r="V3441" s="6" t="inlineStr">
        <is>
          <t>remained in weekly selection</t>
        </is>
      </c>
    </row>
    <row r="3442">
      <c r="A3442" s="10" t="inlineStr">
        <is>
          <t>DJ30</t>
        </is>
      </c>
      <c r="B3442" s="10" t="inlineStr">
        <is>
          <t>2025-02-14</t>
        </is>
      </c>
      <c r="C3442" s="10" t="inlineStr">
        <is>
          <t>DIA</t>
        </is>
      </c>
      <c r="D3442" s="10" t="inlineStr">
        <is>
          <t>Tot Portfolio</t>
        </is>
      </c>
      <c r="E3442" s="10" t="inlineStr"/>
      <c r="F3442" s="10" t="inlineStr"/>
      <c r="G3442" s="11" t="inlineStr"/>
      <c r="H3442" s="10" t="inlineStr"/>
      <c r="I3442" s="12" t="inlineStr"/>
      <c r="J3442" s="11">
        <f>SUM(J3412:J3441)</f>
        <v/>
      </c>
      <c r="K3442" s="13">
        <f>SUM(K3412:K3441)</f>
        <v/>
      </c>
      <c r="L3442" s="10" t="inlineStr">
        <is>
          <t>TOTAL</t>
        </is>
      </c>
      <c r="M3442" s="13">
        <f>SUM(M3412:M3441)</f>
        <v/>
      </c>
      <c r="N3442" s="11">
        <f>SUM(N3412:N3441)</f>
        <v/>
      </c>
      <c r="O3442" s="12">
        <f>SUM(O3412:O3441)</f>
        <v/>
      </c>
      <c r="P3442" s="10" t="inlineStr"/>
      <c r="Q3442" s="12" t="inlineStr"/>
      <c r="R3442" s="11">
        <f>SUM(R3412:R3441)</f>
        <v/>
      </c>
      <c r="S3442" s="13">
        <f>SUM(S3412:S3441)</f>
        <v/>
      </c>
      <c r="T3442" s="13" t="n">
        <v>0.03462244104099343</v>
      </c>
      <c r="U3442" s="13" t="n">
        <v>0.006025587561531598</v>
      </c>
      <c r="V3442" s="10" t="inlineStr"/>
    </row>
    <row r="3443">
      <c r="A3443" s="6" t="inlineStr">
        <is>
          <t>DJ30</t>
        </is>
      </c>
      <c r="B3443" s="6" t="inlineStr">
        <is>
          <t>2025-02-21</t>
        </is>
      </c>
      <c r="C3443" s="6" t="inlineStr">
        <is>
          <t>DIA</t>
        </is>
      </c>
      <c r="D3443" s="6" t="inlineStr">
        <is>
          <t>AAPL</t>
        </is>
      </c>
      <c r="E3443" s="6" t="inlineStr">
        <is>
          <t>AAPL</t>
        </is>
      </c>
      <c r="F3443" s="6" t="inlineStr">
        <is>
          <t>-</t>
        </is>
      </c>
      <c r="G3443" s="7" t="n">
        <v>244.2593994140625</v>
      </c>
      <c r="H3443" s="6">
        <f>P3412</f>
        <v/>
      </c>
      <c r="I3443" s="9">
        <f>Q3412</f>
        <v/>
      </c>
      <c r="J3443" s="7">
        <f>I3443*G3443</f>
        <v/>
      </c>
      <c r="K3443" s="8">
        <f>IF($J$3473=0,0,J3443/$J$3473)</f>
        <v/>
      </c>
      <c r="L3443" s="6" t="inlineStr">
        <is>
          <t>WATCHLIST</t>
        </is>
      </c>
      <c r="M3443" s="8" t="n">
        <v>0</v>
      </c>
      <c r="N3443" s="7">
        <f>M3443*$J$3473-J3443</f>
        <v/>
      </c>
      <c r="O3443" s="9">
        <f>IF(G3443=0,0,N3443/G3443)</f>
        <v/>
      </c>
      <c r="P3443" s="6">
        <f>IF(M3443&gt;0,D3443,"")</f>
        <v/>
      </c>
      <c r="Q3443" s="9">
        <f>I3443+O3443</f>
        <v/>
      </c>
      <c r="R3443" s="7">
        <f>Q3443*G3443</f>
        <v/>
      </c>
      <c r="S3443" s="8">
        <f>IF($R$3473=0,0,R3443/$R$3473)</f>
        <v/>
      </c>
      <c r="T3443" s="8" t="n">
        <v>-0.03801923995042378</v>
      </c>
      <c r="U3443" s="8" t="n">
        <v>-0.02465791581121834</v>
      </c>
      <c r="V3443" s="6" t="inlineStr">
        <is>
          <t>removed from weekly selection</t>
        </is>
      </c>
    </row>
    <row r="3444">
      <c r="A3444" s="6" t="inlineStr">
        <is>
          <t>DJ30</t>
        </is>
      </c>
      <c r="B3444" s="6" t="inlineStr">
        <is>
          <t>2025-02-21</t>
        </is>
      </c>
      <c r="C3444" s="6" t="inlineStr">
        <is>
          <t>DIA</t>
        </is>
      </c>
      <c r="D3444" s="6" t="inlineStr">
        <is>
          <t>AMGN</t>
        </is>
      </c>
      <c r="E3444" s="6" t="inlineStr">
        <is>
          <t>AMGN</t>
        </is>
      </c>
      <c r="F3444" s="6" t="inlineStr">
        <is>
          <t>-</t>
        </is>
      </c>
      <c r="G3444" s="7" t="n">
        <v>291.5910339355469</v>
      </c>
      <c r="H3444" s="6">
        <f>P3413</f>
        <v/>
      </c>
      <c r="I3444" s="9">
        <f>Q3413</f>
        <v/>
      </c>
      <c r="J3444" s="7">
        <f>I3444*G3444</f>
        <v/>
      </c>
      <c r="K3444" s="8">
        <f>IF($J$3473=0,0,J3444/$J$3473)</f>
        <v/>
      </c>
      <c r="L3444" s="6" t="inlineStr">
        <is>
          <t>REJECTED</t>
        </is>
      </c>
      <c r="M3444" s="8" t="n">
        <v>0</v>
      </c>
      <c r="N3444" s="7">
        <f>M3444*$J$3473-J3444</f>
        <v/>
      </c>
      <c r="O3444" s="9">
        <f>IF(G3444=0,0,N3444/G3444)</f>
        <v/>
      </c>
      <c r="P3444" s="6">
        <f>IF(M3444&gt;0,D3444,"")</f>
        <v/>
      </c>
      <c r="Q3444" s="9">
        <f>I3444+O3444</f>
        <v/>
      </c>
      <c r="R3444" s="7">
        <f>Q3444*G3444</f>
        <v/>
      </c>
      <c r="S3444" s="8">
        <f>IF($R$3473=0,0,R3444/$R$3473)</f>
        <v/>
      </c>
      <c r="T3444" s="8" t="n">
        <v>-0.03801923995042378</v>
      </c>
      <c r="U3444" s="8" t="n">
        <v>-0.02465791581121834</v>
      </c>
      <c r="V3444" s="6" t="inlineStr">
        <is>
          <t>not selected</t>
        </is>
      </c>
    </row>
    <row r="3445">
      <c r="A3445" s="6" t="inlineStr">
        <is>
          <t>DJ30</t>
        </is>
      </c>
      <c r="B3445" s="6" t="inlineStr">
        <is>
          <t>2025-02-21</t>
        </is>
      </c>
      <c r="C3445" s="6" t="inlineStr">
        <is>
          <t>DIA</t>
        </is>
      </c>
      <c r="D3445" s="6" t="inlineStr">
        <is>
          <t>AMZN</t>
        </is>
      </c>
      <c r="E3445" s="6" t="inlineStr">
        <is>
          <t>AMZN</t>
        </is>
      </c>
      <c r="F3445" s="6" t="inlineStr">
        <is>
          <t>-</t>
        </is>
      </c>
      <c r="G3445" s="7" t="n">
        <v>216.5800018310547</v>
      </c>
      <c r="H3445" s="6">
        <f>P3414</f>
        <v/>
      </c>
      <c r="I3445" s="9">
        <f>Q3414</f>
        <v/>
      </c>
      <c r="J3445" s="7">
        <f>I3445*G3445</f>
        <v/>
      </c>
      <c r="K3445" s="8">
        <f>IF($J$3473=0,0,J3445/$J$3473)</f>
        <v/>
      </c>
      <c r="L3445" s="6" t="inlineStr">
        <is>
          <t>WATCHLIST</t>
        </is>
      </c>
      <c r="M3445" s="8" t="n">
        <v>0</v>
      </c>
      <c r="N3445" s="7">
        <f>M3445*$J$3473-J3445</f>
        <v/>
      </c>
      <c r="O3445" s="9">
        <f>IF(G3445=0,0,N3445/G3445)</f>
        <v/>
      </c>
      <c r="P3445" s="6">
        <f>IF(M3445&gt;0,D3445,"")</f>
        <v/>
      </c>
      <c r="Q3445" s="9">
        <f>I3445+O3445</f>
        <v/>
      </c>
      <c r="R3445" s="7">
        <f>Q3445*G3445</f>
        <v/>
      </c>
      <c r="S3445" s="8">
        <f>IF($R$3473=0,0,R3445/$R$3473)</f>
        <v/>
      </c>
      <c r="T3445" s="8" t="n">
        <v>-0.03801923995042378</v>
      </c>
      <c r="U3445" s="8" t="n">
        <v>-0.02465791581121834</v>
      </c>
      <c r="V3445" s="6" t="inlineStr">
        <is>
          <t>not selected</t>
        </is>
      </c>
    </row>
    <row r="3446">
      <c r="A3446" s="6" t="inlineStr">
        <is>
          <t>DJ30</t>
        </is>
      </c>
      <c r="B3446" s="6" t="inlineStr">
        <is>
          <t>2025-02-21</t>
        </is>
      </c>
      <c r="C3446" s="6" t="inlineStr">
        <is>
          <t>DIA</t>
        </is>
      </c>
      <c r="D3446" s="6" t="inlineStr">
        <is>
          <t>AXP</t>
        </is>
      </c>
      <c r="E3446" s="6" t="inlineStr">
        <is>
          <t>AXP</t>
        </is>
      </c>
      <c r="F3446" s="6" t="inlineStr">
        <is>
          <t>-</t>
        </is>
      </c>
      <c r="G3446" s="7" t="n">
        <v>291.368408203125</v>
      </c>
      <c r="H3446" s="6">
        <f>P3415</f>
        <v/>
      </c>
      <c r="I3446" s="9">
        <f>Q3415</f>
        <v/>
      </c>
      <c r="J3446" s="7">
        <f>I3446*G3446</f>
        <v/>
      </c>
      <c r="K3446" s="8">
        <f>IF($J$3473=0,0,J3446/$J$3473)</f>
        <v/>
      </c>
      <c r="L3446" s="6" t="inlineStr">
        <is>
          <t>WATCHLIST</t>
        </is>
      </c>
      <c r="M3446" s="8" t="n">
        <v>0</v>
      </c>
      <c r="N3446" s="7">
        <f>M3446*$J$3473-J3446</f>
        <v/>
      </c>
      <c r="O3446" s="9">
        <f>IF(G3446=0,0,N3446/G3446)</f>
        <v/>
      </c>
      <c r="P3446" s="6">
        <f>IF(M3446&gt;0,D3446,"")</f>
        <v/>
      </c>
      <c r="Q3446" s="9">
        <f>I3446+O3446</f>
        <v/>
      </c>
      <c r="R3446" s="7">
        <f>Q3446*G3446</f>
        <v/>
      </c>
      <c r="S3446" s="8">
        <f>IF($R$3473=0,0,R3446/$R$3473)</f>
        <v/>
      </c>
      <c r="T3446" s="8" t="n">
        <v>-0.03801923995042378</v>
      </c>
      <c r="U3446" s="8" t="n">
        <v>-0.02465791581121834</v>
      </c>
      <c r="V3446" s="6" t="inlineStr">
        <is>
          <t>not selected</t>
        </is>
      </c>
    </row>
    <row r="3447">
      <c r="A3447" s="6" t="inlineStr">
        <is>
          <t>DJ30</t>
        </is>
      </c>
      <c r="B3447" s="6" t="inlineStr">
        <is>
          <t>2025-02-21</t>
        </is>
      </c>
      <c r="C3447" s="6" t="inlineStr">
        <is>
          <t>DIA</t>
        </is>
      </c>
      <c r="D3447" s="6" t="inlineStr">
        <is>
          <t>BA</t>
        </is>
      </c>
      <c r="E3447" s="6" t="inlineStr">
        <is>
          <t>BA</t>
        </is>
      </c>
      <c r="F3447" s="6" t="inlineStr">
        <is>
          <t>-</t>
        </is>
      </c>
      <c r="G3447" s="7" t="n">
        <v>177.1499938964844</v>
      </c>
      <c r="H3447" s="6">
        <f>P3416</f>
        <v/>
      </c>
      <c r="I3447" s="9">
        <f>Q3416</f>
        <v/>
      </c>
      <c r="J3447" s="7">
        <f>I3447*G3447</f>
        <v/>
      </c>
      <c r="K3447" s="8">
        <f>IF($J$3473=0,0,J3447/$J$3473)</f>
        <v/>
      </c>
      <c r="L3447" s="6" t="inlineStr">
        <is>
          <t>REJECTED</t>
        </is>
      </c>
      <c r="M3447" s="8" t="n">
        <v>0</v>
      </c>
      <c r="N3447" s="7">
        <f>M3447*$J$3473-J3447</f>
        <v/>
      </c>
      <c r="O3447" s="9">
        <f>IF(G3447=0,0,N3447/G3447)</f>
        <v/>
      </c>
      <c r="P3447" s="6">
        <f>IF(M3447&gt;0,D3447,"")</f>
        <v/>
      </c>
      <c r="Q3447" s="9">
        <f>I3447+O3447</f>
        <v/>
      </c>
      <c r="R3447" s="7">
        <f>Q3447*G3447</f>
        <v/>
      </c>
      <c r="S3447" s="8">
        <f>IF($R$3473=0,0,R3447/$R$3473)</f>
        <v/>
      </c>
      <c r="T3447" s="8" t="n">
        <v>-0.03801923995042378</v>
      </c>
      <c r="U3447" s="8" t="n">
        <v>-0.02465791581121834</v>
      </c>
      <c r="V3447" s="6" t="inlineStr">
        <is>
          <t>not selected</t>
        </is>
      </c>
    </row>
    <row r="3448">
      <c r="A3448" s="6" t="inlineStr">
        <is>
          <t>DJ30</t>
        </is>
      </c>
      <c r="B3448" s="6" t="inlineStr">
        <is>
          <t>2025-02-21</t>
        </is>
      </c>
      <c r="C3448" s="6" t="inlineStr">
        <is>
          <t>DIA</t>
        </is>
      </c>
      <c r="D3448" s="6" t="inlineStr">
        <is>
          <t>CAT</t>
        </is>
      </c>
      <c r="E3448" s="6" t="inlineStr">
        <is>
          <t>CAT</t>
        </is>
      </c>
      <c r="F3448" s="6" t="inlineStr">
        <is>
          <t>-</t>
        </is>
      </c>
      <c r="G3448" s="7" t="n">
        <v>334.7873229980469</v>
      </c>
      <c r="H3448" s="6">
        <f>P3417</f>
        <v/>
      </c>
      <c r="I3448" s="9">
        <f>Q3417</f>
        <v/>
      </c>
      <c r="J3448" s="7">
        <f>I3448*G3448</f>
        <v/>
      </c>
      <c r="K3448" s="8">
        <f>IF($J$3473=0,0,J3448/$J$3473)</f>
        <v/>
      </c>
      <c r="L3448" s="6" t="inlineStr">
        <is>
          <t>REJECTED</t>
        </is>
      </c>
      <c r="M3448" s="8" t="n">
        <v>0</v>
      </c>
      <c r="N3448" s="7">
        <f>M3448*$J$3473-J3448</f>
        <v/>
      </c>
      <c r="O3448" s="9">
        <f>IF(G3448=0,0,N3448/G3448)</f>
        <v/>
      </c>
      <c r="P3448" s="6">
        <f>IF(M3448&gt;0,D3448,"")</f>
        <v/>
      </c>
      <c r="Q3448" s="9">
        <f>I3448+O3448</f>
        <v/>
      </c>
      <c r="R3448" s="7">
        <f>Q3448*G3448</f>
        <v/>
      </c>
      <c r="S3448" s="8">
        <f>IF($R$3473=0,0,R3448/$R$3473)</f>
        <v/>
      </c>
      <c r="T3448" s="8" t="n">
        <v>-0.03801923995042378</v>
      </c>
      <c r="U3448" s="8" t="n">
        <v>-0.02465791581121834</v>
      </c>
      <c r="V3448" s="6" t="inlineStr">
        <is>
          <t>not selected</t>
        </is>
      </c>
    </row>
    <row r="3449">
      <c r="A3449" s="6" t="inlineStr">
        <is>
          <t>DJ30</t>
        </is>
      </c>
      <c r="B3449" s="6" t="inlineStr">
        <is>
          <t>2025-02-21</t>
        </is>
      </c>
      <c r="C3449" s="6" t="inlineStr">
        <is>
          <t>DIA</t>
        </is>
      </c>
      <c r="D3449" s="6" t="inlineStr">
        <is>
          <t>CRM</t>
        </is>
      </c>
      <c r="E3449" s="6" t="inlineStr">
        <is>
          <t>CRM</t>
        </is>
      </c>
      <c r="F3449" s="6" t="inlineStr">
        <is>
          <t>-</t>
        </is>
      </c>
      <c r="G3449" s="7" t="n">
        <v>306.2323913574219</v>
      </c>
      <c r="H3449" s="6">
        <f>P3418</f>
        <v/>
      </c>
      <c r="I3449" s="9">
        <f>Q3418</f>
        <v/>
      </c>
      <c r="J3449" s="7">
        <f>I3449*G3449</f>
        <v/>
      </c>
      <c r="K3449" s="8">
        <f>IF($J$3473=0,0,J3449/$J$3473)</f>
        <v/>
      </c>
      <c r="L3449" s="6" t="inlineStr">
        <is>
          <t>REJECTED</t>
        </is>
      </c>
      <c r="M3449" s="8" t="n">
        <v>0</v>
      </c>
      <c r="N3449" s="7">
        <f>M3449*$J$3473-J3449</f>
        <v/>
      </c>
      <c r="O3449" s="9">
        <f>IF(G3449=0,0,N3449/G3449)</f>
        <v/>
      </c>
      <c r="P3449" s="6">
        <f>IF(M3449&gt;0,D3449,"")</f>
        <v/>
      </c>
      <c r="Q3449" s="9">
        <f>I3449+O3449</f>
        <v/>
      </c>
      <c r="R3449" s="7">
        <f>Q3449*G3449</f>
        <v/>
      </c>
      <c r="S3449" s="8">
        <f>IF($R$3473=0,0,R3449/$R$3473)</f>
        <v/>
      </c>
      <c r="T3449" s="8" t="n">
        <v>-0.03801923995042378</v>
      </c>
      <c r="U3449" s="8" t="n">
        <v>-0.02465791581121834</v>
      </c>
      <c r="V3449" s="6" t="inlineStr">
        <is>
          <t>not selected</t>
        </is>
      </c>
    </row>
    <row r="3450">
      <c r="A3450" s="6" t="inlineStr">
        <is>
          <t>DJ30</t>
        </is>
      </c>
      <c r="B3450" s="6" t="inlineStr">
        <is>
          <t>2025-02-21</t>
        </is>
      </c>
      <c r="C3450" s="6" t="inlineStr">
        <is>
          <t>DIA</t>
        </is>
      </c>
      <c r="D3450" s="6" t="inlineStr">
        <is>
          <t>CSCO</t>
        </is>
      </c>
      <c r="E3450" s="6" t="inlineStr">
        <is>
          <t>CSCO</t>
        </is>
      </c>
      <c r="F3450" s="6" t="inlineStr">
        <is>
          <t>-</t>
        </is>
      </c>
      <c r="G3450" s="7" t="n">
        <v>62.12569808959961</v>
      </c>
      <c r="H3450" s="6">
        <f>P3419</f>
        <v/>
      </c>
      <c r="I3450" s="9">
        <f>Q3419</f>
        <v/>
      </c>
      <c r="J3450" s="7">
        <f>I3450*G3450</f>
        <v/>
      </c>
      <c r="K3450" s="8">
        <f>IF($J$3473=0,0,J3450/$J$3473)</f>
        <v/>
      </c>
      <c r="L3450" s="6" t="inlineStr">
        <is>
          <t>WATCHLIST</t>
        </is>
      </c>
      <c r="M3450" s="8" t="n">
        <v>0</v>
      </c>
      <c r="N3450" s="7">
        <f>M3450*$J$3473-J3450</f>
        <v/>
      </c>
      <c r="O3450" s="9">
        <f>IF(G3450=0,0,N3450/G3450)</f>
        <v/>
      </c>
      <c r="P3450" s="6">
        <f>IF(M3450&gt;0,D3450,"")</f>
        <v/>
      </c>
      <c r="Q3450" s="9">
        <f>I3450+O3450</f>
        <v/>
      </c>
      <c r="R3450" s="7">
        <f>Q3450*G3450</f>
        <v/>
      </c>
      <c r="S3450" s="8">
        <f>IF($R$3473=0,0,R3450/$R$3473)</f>
        <v/>
      </c>
      <c r="T3450" s="8" t="n">
        <v>-0.03801923995042378</v>
      </c>
      <c r="U3450" s="8" t="n">
        <v>-0.02465791581121834</v>
      </c>
      <c r="V3450" s="6" t="inlineStr">
        <is>
          <t>not selected</t>
        </is>
      </c>
    </row>
    <row r="3451">
      <c r="A3451" s="6" t="inlineStr">
        <is>
          <t>DJ30</t>
        </is>
      </c>
      <c r="B3451" s="6" t="inlineStr">
        <is>
          <t>2025-02-21</t>
        </is>
      </c>
      <c r="C3451" s="6" t="inlineStr">
        <is>
          <t>DIA</t>
        </is>
      </c>
      <c r="D3451" s="6" t="inlineStr">
        <is>
          <t>CVX</t>
        </is>
      </c>
      <c r="E3451" s="6" t="inlineStr">
        <is>
          <t>CVX</t>
        </is>
      </c>
      <c r="F3451" s="6" t="inlineStr">
        <is>
          <t>-</t>
        </is>
      </c>
      <c r="G3451" s="7" t="n">
        <v>148.7995147705078</v>
      </c>
      <c r="H3451" s="6">
        <f>P3420</f>
        <v/>
      </c>
      <c r="I3451" s="9">
        <f>Q3420</f>
        <v/>
      </c>
      <c r="J3451" s="7">
        <f>I3451*G3451</f>
        <v/>
      </c>
      <c r="K3451" s="8">
        <f>IF($J$3473=0,0,J3451/$J$3473)</f>
        <v/>
      </c>
      <c r="L3451" s="6" t="inlineStr">
        <is>
          <t>REJECTED</t>
        </is>
      </c>
      <c r="M3451" s="8" t="n">
        <v>0</v>
      </c>
      <c r="N3451" s="7">
        <f>M3451*$J$3473-J3451</f>
        <v/>
      </c>
      <c r="O3451" s="9">
        <f>IF(G3451=0,0,N3451/G3451)</f>
        <v/>
      </c>
      <c r="P3451" s="6">
        <f>IF(M3451&gt;0,D3451,"")</f>
        <v/>
      </c>
      <c r="Q3451" s="9">
        <f>I3451+O3451</f>
        <v/>
      </c>
      <c r="R3451" s="7">
        <f>Q3451*G3451</f>
        <v/>
      </c>
      <c r="S3451" s="8">
        <f>IF($R$3473=0,0,R3451/$R$3473)</f>
        <v/>
      </c>
      <c r="T3451" s="8" t="n">
        <v>-0.03801923995042378</v>
      </c>
      <c r="U3451" s="8" t="n">
        <v>-0.02465791581121834</v>
      </c>
      <c r="V3451" s="6" t="inlineStr">
        <is>
          <t>not selected</t>
        </is>
      </c>
    </row>
    <row r="3452">
      <c r="A3452" s="6" t="inlineStr">
        <is>
          <t>DJ30</t>
        </is>
      </c>
      <c r="B3452" s="6" t="inlineStr">
        <is>
          <t>2025-02-21</t>
        </is>
      </c>
      <c r="C3452" s="6" t="inlineStr">
        <is>
          <t>DIA</t>
        </is>
      </c>
      <c r="D3452" s="6" t="inlineStr">
        <is>
          <t>DIS</t>
        </is>
      </c>
      <c r="E3452" s="6" t="inlineStr">
        <is>
          <t>DIS</t>
        </is>
      </c>
      <c r="F3452" s="6" t="inlineStr">
        <is>
          <t>-</t>
        </is>
      </c>
      <c r="G3452" s="7" t="n">
        <v>107.4714584350586</v>
      </c>
      <c r="H3452" s="6">
        <f>P3421</f>
        <v/>
      </c>
      <c r="I3452" s="9">
        <f>Q3421</f>
        <v/>
      </c>
      <c r="J3452" s="7">
        <f>I3452*G3452</f>
        <v/>
      </c>
      <c r="K3452" s="8">
        <f>IF($J$3473=0,0,J3452/$J$3473)</f>
        <v/>
      </c>
      <c r="L3452" s="6" t="inlineStr">
        <is>
          <t>REJECTED</t>
        </is>
      </c>
      <c r="M3452" s="8" t="n">
        <v>0</v>
      </c>
      <c r="N3452" s="7">
        <f>M3452*$J$3473-J3452</f>
        <v/>
      </c>
      <c r="O3452" s="9">
        <f>IF(G3452=0,0,N3452/G3452)</f>
        <v/>
      </c>
      <c r="P3452" s="6">
        <f>IF(M3452&gt;0,D3452,"")</f>
        <v/>
      </c>
      <c r="Q3452" s="9">
        <f>I3452+O3452</f>
        <v/>
      </c>
      <c r="R3452" s="7">
        <f>Q3452*G3452</f>
        <v/>
      </c>
      <c r="S3452" s="8">
        <f>IF($R$3473=0,0,R3452/$R$3473)</f>
        <v/>
      </c>
      <c r="T3452" s="8" t="n">
        <v>-0.03801923995042378</v>
      </c>
      <c r="U3452" s="8" t="n">
        <v>-0.02465791581121834</v>
      </c>
      <c r="V3452" s="6" t="inlineStr">
        <is>
          <t>not selected</t>
        </is>
      </c>
    </row>
    <row r="3453">
      <c r="A3453" s="6" t="inlineStr">
        <is>
          <t>DJ30</t>
        </is>
      </c>
      <c r="B3453" s="6" t="inlineStr">
        <is>
          <t>2025-02-21</t>
        </is>
      </c>
      <c r="C3453" s="6" t="inlineStr">
        <is>
          <t>DIA</t>
        </is>
      </c>
      <c r="D3453" s="6" t="inlineStr">
        <is>
          <t>GS</t>
        </is>
      </c>
      <c r="E3453" s="6" t="inlineStr">
        <is>
          <t>GS</t>
        </is>
      </c>
      <c r="F3453" s="6" t="inlineStr">
        <is>
          <t>-</t>
        </is>
      </c>
      <c r="G3453" s="7" t="n">
        <v>607.2022705078125</v>
      </c>
      <c r="H3453" s="6">
        <f>P3422</f>
        <v/>
      </c>
      <c r="I3453" s="9">
        <f>Q3422</f>
        <v/>
      </c>
      <c r="J3453" s="7">
        <f>I3453*G3453</f>
        <v/>
      </c>
      <c r="K3453" s="8">
        <f>IF($J$3473=0,0,J3453/$J$3473)</f>
        <v/>
      </c>
      <c r="L3453" s="6" t="inlineStr">
        <is>
          <t>WATCHLIST</t>
        </is>
      </c>
      <c r="M3453" s="8" t="n">
        <v>0</v>
      </c>
      <c r="N3453" s="7">
        <f>M3453*$J$3473-J3453</f>
        <v/>
      </c>
      <c r="O3453" s="9">
        <f>IF(G3453=0,0,N3453/G3453)</f>
        <v/>
      </c>
      <c r="P3453" s="6">
        <f>IF(M3453&gt;0,D3453,"")</f>
        <v/>
      </c>
      <c r="Q3453" s="9">
        <f>I3453+O3453</f>
        <v/>
      </c>
      <c r="R3453" s="7">
        <f>Q3453*G3453</f>
        <v/>
      </c>
      <c r="S3453" s="8">
        <f>IF($R$3473=0,0,R3453/$R$3473)</f>
        <v/>
      </c>
      <c r="T3453" s="8" t="n">
        <v>-0.03801923995042378</v>
      </c>
      <c r="U3453" s="8" t="n">
        <v>-0.02465791581121834</v>
      </c>
      <c r="V3453" s="6" t="inlineStr">
        <is>
          <t>not selected</t>
        </is>
      </c>
    </row>
    <row r="3454">
      <c r="A3454" s="6" t="inlineStr">
        <is>
          <t>DJ30</t>
        </is>
      </c>
      <c r="B3454" s="6" t="inlineStr">
        <is>
          <t>2025-02-21</t>
        </is>
      </c>
      <c r="C3454" s="6" t="inlineStr">
        <is>
          <t>DIA</t>
        </is>
      </c>
      <c r="D3454" s="6" t="inlineStr">
        <is>
          <t>HD</t>
        </is>
      </c>
      <c r="E3454" s="6" t="inlineStr">
        <is>
          <t>HD</t>
        </is>
      </c>
      <c r="F3454" s="6" t="inlineStr">
        <is>
          <t>-</t>
        </is>
      </c>
      <c r="G3454" s="7" t="n">
        <v>370.6509399414063</v>
      </c>
      <c r="H3454" s="6">
        <f>P3423</f>
        <v/>
      </c>
      <c r="I3454" s="9">
        <f>Q3423</f>
        <v/>
      </c>
      <c r="J3454" s="7">
        <f>I3454*G3454</f>
        <v/>
      </c>
      <c r="K3454" s="8">
        <f>IF($J$3473=0,0,J3454/$J$3473)</f>
        <v/>
      </c>
      <c r="L3454" s="6" t="inlineStr">
        <is>
          <t>WATCHLIST</t>
        </is>
      </c>
      <c r="M3454" s="8" t="n">
        <v>0</v>
      </c>
      <c r="N3454" s="7">
        <f>M3454*$J$3473-J3454</f>
        <v/>
      </c>
      <c r="O3454" s="9">
        <f>IF(G3454=0,0,N3454/G3454)</f>
        <v/>
      </c>
      <c r="P3454" s="6">
        <f>IF(M3454&gt;0,D3454,"")</f>
        <v/>
      </c>
      <c r="Q3454" s="9">
        <f>I3454+O3454</f>
        <v/>
      </c>
      <c r="R3454" s="7">
        <f>Q3454*G3454</f>
        <v/>
      </c>
      <c r="S3454" s="8">
        <f>IF($R$3473=0,0,R3454/$R$3473)</f>
        <v/>
      </c>
      <c r="T3454" s="8" t="n">
        <v>-0.03801923995042378</v>
      </c>
      <c r="U3454" s="8" t="n">
        <v>-0.02465791581121834</v>
      </c>
      <c r="V3454" s="6" t="inlineStr">
        <is>
          <t>not selected</t>
        </is>
      </c>
    </row>
    <row r="3455">
      <c r="A3455" s="6" t="inlineStr">
        <is>
          <t>DJ30</t>
        </is>
      </c>
      <c r="B3455" s="6" t="inlineStr">
        <is>
          <t>2025-02-21</t>
        </is>
      </c>
      <c r="C3455" s="6" t="inlineStr">
        <is>
          <t>DIA</t>
        </is>
      </c>
      <c r="D3455" s="6" t="inlineStr">
        <is>
          <t>HON</t>
        </is>
      </c>
      <c r="E3455" s="6" t="inlineStr">
        <is>
          <t>HON</t>
        </is>
      </c>
      <c r="F3455" s="6" t="inlineStr">
        <is>
          <t>-</t>
        </is>
      </c>
      <c r="G3455" s="7" t="n">
        <v>193.4579467773437</v>
      </c>
      <c r="H3455" s="6">
        <f>P3424</f>
        <v/>
      </c>
      <c r="I3455" s="9">
        <f>Q3424</f>
        <v/>
      </c>
      <c r="J3455" s="7">
        <f>I3455*G3455</f>
        <v/>
      </c>
      <c r="K3455" s="8">
        <f>IF($J$3473=0,0,J3455/$J$3473)</f>
        <v/>
      </c>
      <c r="L3455" s="6" t="inlineStr">
        <is>
          <t>WATCHLIST</t>
        </is>
      </c>
      <c r="M3455" s="8" t="n">
        <v>0</v>
      </c>
      <c r="N3455" s="7">
        <f>M3455*$J$3473-J3455</f>
        <v/>
      </c>
      <c r="O3455" s="9">
        <f>IF(G3455=0,0,N3455/G3455)</f>
        <v/>
      </c>
      <c r="P3455" s="6">
        <f>IF(M3455&gt;0,D3455,"")</f>
        <v/>
      </c>
      <c r="Q3455" s="9">
        <f>I3455+O3455</f>
        <v/>
      </c>
      <c r="R3455" s="7">
        <f>Q3455*G3455</f>
        <v/>
      </c>
      <c r="S3455" s="8">
        <f>IF($R$3473=0,0,R3455/$R$3473)</f>
        <v/>
      </c>
      <c r="T3455" s="8" t="n">
        <v>-0.03801923995042378</v>
      </c>
      <c r="U3455" s="8" t="n">
        <v>-0.02465791581121834</v>
      </c>
      <c r="V3455" s="6" t="inlineStr">
        <is>
          <t>not selected</t>
        </is>
      </c>
    </row>
    <row r="3456">
      <c r="A3456" s="6" t="inlineStr">
        <is>
          <t>DJ30</t>
        </is>
      </c>
      <c r="B3456" s="6" t="inlineStr">
        <is>
          <t>2025-02-21</t>
        </is>
      </c>
      <c r="C3456" s="6" t="inlineStr">
        <is>
          <t>DIA</t>
        </is>
      </c>
      <c r="D3456" s="6" t="inlineStr">
        <is>
          <t>IBM</t>
        </is>
      </c>
      <c r="E3456" s="6" t="inlineStr">
        <is>
          <t>IBM</t>
        </is>
      </c>
      <c r="F3456" s="6" t="inlineStr">
        <is>
          <t>-</t>
        </is>
      </c>
      <c r="G3456" s="7" t="n">
        <v>253.2735443115234</v>
      </c>
      <c r="H3456" s="6">
        <f>P3425</f>
        <v/>
      </c>
      <c r="I3456" s="9">
        <f>Q3425</f>
        <v/>
      </c>
      <c r="J3456" s="7">
        <f>I3456*G3456</f>
        <v/>
      </c>
      <c r="K3456" s="8">
        <f>IF($J$3473=0,0,J3456/$J$3473)</f>
        <v/>
      </c>
      <c r="L3456" s="6" t="inlineStr">
        <is>
          <t>SELECTED</t>
        </is>
      </c>
      <c r="M3456" s="8" t="n">
        <v>0.2</v>
      </c>
      <c r="N3456" s="7">
        <f>M3456*$J$3473-J3456</f>
        <v/>
      </c>
      <c r="O3456" s="9">
        <f>IF(G3456=0,0,N3456/G3456)</f>
        <v/>
      </c>
      <c r="P3456" s="6">
        <f>IF(M3456&gt;0,D3456,"")</f>
        <v/>
      </c>
      <c r="Q3456" s="9">
        <f>I3456+O3456</f>
        <v/>
      </c>
      <c r="R3456" s="7">
        <f>Q3456*G3456</f>
        <v/>
      </c>
      <c r="S3456" s="8">
        <f>IF($R$3473=0,0,R3456/$R$3473)</f>
        <v/>
      </c>
      <c r="T3456" s="8" t="n">
        <v>-0.03801923995042378</v>
      </c>
      <c r="U3456" s="8" t="n">
        <v>-0.02465791581121834</v>
      </c>
      <c r="V3456" s="6" t="inlineStr">
        <is>
          <t>entered weekly selection</t>
        </is>
      </c>
    </row>
    <row r="3457">
      <c r="A3457" s="6" t="inlineStr">
        <is>
          <t>DJ30</t>
        </is>
      </c>
      <c r="B3457" s="6" t="inlineStr">
        <is>
          <t>2025-02-21</t>
        </is>
      </c>
      <c r="C3457" s="6" t="inlineStr">
        <is>
          <t>DIA</t>
        </is>
      </c>
      <c r="D3457" s="6" t="inlineStr">
        <is>
          <t>JNJ</t>
        </is>
      </c>
      <c r="E3457" s="6" t="inlineStr">
        <is>
          <t>JNJ</t>
        </is>
      </c>
      <c r="F3457" s="6" t="inlineStr">
        <is>
          <t>-</t>
        </is>
      </c>
      <c r="G3457" s="7" t="n">
        <v>156.9976806640625</v>
      </c>
      <c r="H3457" s="6">
        <f>P3426</f>
        <v/>
      </c>
      <c r="I3457" s="9">
        <f>Q3426</f>
        <v/>
      </c>
      <c r="J3457" s="7">
        <f>I3457*G3457</f>
        <v/>
      </c>
      <c r="K3457" s="8">
        <f>IF($J$3473=0,0,J3457/$J$3473)</f>
        <v/>
      </c>
      <c r="L3457" s="6" t="inlineStr">
        <is>
          <t>REJECTED</t>
        </is>
      </c>
      <c r="M3457" s="8" t="n">
        <v>0</v>
      </c>
      <c r="N3457" s="7">
        <f>M3457*$J$3473-J3457</f>
        <v/>
      </c>
      <c r="O3457" s="9">
        <f>IF(G3457=0,0,N3457/G3457)</f>
        <v/>
      </c>
      <c r="P3457" s="6">
        <f>IF(M3457&gt;0,D3457,"")</f>
        <v/>
      </c>
      <c r="Q3457" s="9">
        <f>I3457+O3457</f>
        <v/>
      </c>
      <c r="R3457" s="7">
        <f>Q3457*G3457</f>
        <v/>
      </c>
      <c r="S3457" s="8">
        <f>IF($R$3473=0,0,R3457/$R$3473)</f>
        <v/>
      </c>
      <c r="T3457" s="8" t="n">
        <v>-0.03801923995042378</v>
      </c>
      <c r="U3457" s="8" t="n">
        <v>-0.02465791581121834</v>
      </c>
      <c r="V3457" s="6" t="inlineStr">
        <is>
          <t>not selected</t>
        </is>
      </c>
    </row>
    <row r="3458">
      <c r="A3458" s="6" t="inlineStr">
        <is>
          <t>DJ30</t>
        </is>
      </c>
      <c r="B3458" s="6" t="inlineStr">
        <is>
          <t>2025-02-21</t>
        </is>
      </c>
      <c r="C3458" s="6" t="inlineStr">
        <is>
          <t>DIA</t>
        </is>
      </c>
      <c r="D3458" s="6" t="inlineStr">
        <is>
          <t>JPM</t>
        </is>
      </c>
      <c r="E3458" s="6" t="inlineStr">
        <is>
          <t>JPM</t>
        </is>
      </c>
      <c r="F3458" s="6" t="inlineStr">
        <is>
          <t>-</t>
        </is>
      </c>
      <c r="G3458" s="7" t="n">
        <v>257.6123352050781</v>
      </c>
      <c r="H3458" s="6">
        <f>P3427</f>
        <v/>
      </c>
      <c r="I3458" s="9">
        <f>Q3427</f>
        <v/>
      </c>
      <c r="J3458" s="7">
        <f>I3458*G3458</f>
        <v/>
      </c>
      <c r="K3458" s="8">
        <f>IF($J$3473=0,0,J3458/$J$3473)</f>
        <v/>
      </c>
      <c r="L3458" s="6" t="inlineStr">
        <is>
          <t>WATCHLIST</t>
        </is>
      </c>
      <c r="M3458" s="8" t="n">
        <v>0</v>
      </c>
      <c r="N3458" s="7">
        <f>M3458*$J$3473-J3458</f>
        <v/>
      </c>
      <c r="O3458" s="9">
        <f>IF(G3458=0,0,N3458/G3458)</f>
        <v/>
      </c>
      <c r="P3458" s="6">
        <f>IF(M3458&gt;0,D3458,"")</f>
        <v/>
      </c>
      <c r="Q3458" s="9">
        <f>I3458+O3458</f>
        <v/>
      </c>
      <c r="R3458" s="7">
        <f>Q3458*G3458</f>
        <v/>
      </c>
      <c r="S3458" s="8">
        <f>IF($R$3473=0,0,R3458/$R$3473)</f>
        <v/>
      </c>
      <c r="T3458" s="8" t="n">
        <v>-0.03801923995042378</v>
      </c>
      <c r="U3458" s="8" t="n">
        <v>-0.02465791581121834</v>
      </c>
      <c r="V3458" s="6" t="inlineStr">
        <is>
          <t>removed from weekly selection</t>
        </is>
      </c>
    </row>
    <row r="3459">
      <c r="A3459" s="6" t="inlineStr">
        <is>
          <t>DJ30</t>
        </is>
      </c>
      <c r="B3459" s="6" t="inlineStr">
        <is>
          <t>2025-02-21</t>
        </is>
      </c>
      <c r="C3459" s="6" t="inlineStr">
        <is>
          <t>DIA</t>
        </is>
      </c>
      <c r="D3459" s="6" t="inlineStr">
        <is>
          <t>KO</t>
        </is>
      </c>
      <c r="E3459" s="6" t="inlineStr">
        <is>
          <t>KO</t>
        </is>
      </c>
      <c r="F3459" s="6" t="inlineStr">
        <is>
          <t>-</t>
        </is>
      </c>
      <c r="G3459" s="7" t="n">
        <v>68.39042663574219</v>
      </c>
      <c r="H3459" s="6">
        <f>P3428</f>
        <v/>
      </c>
      <c r="I3459" s="9">
        <f>Q3428</f>
        <v/>
      </c>
      <c r="J3459" s="7">
        <f>I3459*G3459</f>
        <v/>
      </c>
      <c r="K3459" s="8">
        <f>IF($J$3473=0,0,J3459/$J$3473)</f>
        <v/>
      </c>
      <c r="L3459" s="6" t="inlineStr">
        <is>
          <t>REJECTED</t>
        </is>
      </c>
      <c r="M3459" s="8" t="n">
        <v>0</v>
      </c>
      <c r="N3459" s="7">
        <f>M3459*$J$3473-J3459</f>
        <v/>
      </c>
      <c r="O3459" s="9">
        <f>IF(G3459=0,0,N3459/G3459)</f>
        <v/>
      </c>
      <c r="P3459" s="6">
        <f>IF(M3459&gt;0,D3459,"")</f>
        <v/>
      </c>
      <c r="Q3459" s="9">
        <f>I3459+O3459</f>
        <v/>
      </c>
      <c r="R3459" s="7">
        <f>Q3459*G3459</f>
        <v/>
      </c>
      <c r="S3459" s="8">
        <f>IF($R$3473=0,0,R3459/$R$3473)</f>
        <v/>
      </c>
      <c r="T3459" s="8" t="n">
        <v>-0.03801923995042378</v>
      </c>
      <c r="U3459" s="8" t="n">
        <v>-0.02465791581121834</v>
      </c>
      <c r="V3459" s="6" t="inlineStr">
        <is>
          <t>not selected</t>
        </is>
      </c>
    </row>
    <row r="3460">
      <c r="A3460" s="6" t="inlineStr">
        <is>
          <t>DJ30</t>
        </is>
      </c>
      <c r="B3460" s="6" t="inlineStr">
        <is>
          <t>2025-02-21</t>
        </is>
      </c>
      <c r="C3460" s="6" t="inlineStr">
        <is>
          <t>DIA</t>
        </is>
      </c>
      <c r="D3460" s="6" t="inlineStr">
        <is>
          <t>MCD</t>
        </is>
      </c>
      <c r="E3460" s="6" t="inlineStr">
        <is>
          <t>MCD</t>
        </is>
      </c>
      <c r="F3460" s="6" t="inlineStr">
        <is>
          <t>-</t>
        </is>
      </c>
      <c r="G3460" s="7" t="n">
        <v>294.2123718261719</v>
      </c>
      <c r="H3460" s="6">
        <f>P3429</f>
        <v/>
      </c>
      <c r="I3460" s="9">
        <f>Q3429</f>
        <v/>
      </c>
      <c r="J3460" s="7">
        <f>I3460*G3460</f>
        <v/>
      </c>
      <c r="K3460" s="8">
        <f>IF($J$3473=0,0,J3460/$J$3473)</f>
        <v/>
      </c>
      <c r="L3460" s="6" t="inlineStr">
        <is>
          <t>WATCHLIST</t>
        </is>
      </c>
      <c r="M3460" s="8" t="n">
        <v>0</v>
      </c>
      <c r="N3460" s="7">
        <f>M3460*$J$3473-J3460</f>
        <v/>
      </c>
      <c r="O3460" s="9">
        <f>IF(G3460=0,0,N3460/G3460)</f>
        <v/>
      </c>
      <c r="P3460" s="6">
        <f>IF(M3460&gt;0,D3460,"")</f>
        <v/>
      </c>
      <c r="Q3460" s="9">
        <f>I3460+O3460</f>
        <v/>
      </c>
      <c r="R3460" s="7">
        <f>Q3460*G3460</f>
        <v/>
      </c>
      <c r="S3460" s="8">
        <f>IF($R$3473=0,0,R3460/$R$3473)</f>
        <v/>
      </c>
      <c r="T3460" s="8" t="n">
        <v>-0.03801923995042378</v>
      </c>
      <c r="U3460" s="8" t="n">
        <v>-0.02465791581121834</v>
      </c>
      <c r="V3460" s="6" t="inlineStr">
        <is>
          <t>not selected</t>
        </is>
      </c>
    </row>
    <row r="3461">
      <c r="A3461" s="6" t="inlineStr">
        <is>
          <t>DJ30</t>
        </is>
      </c>
      <c r="B3461" s="6" t="inlineStr">
        <is>
          <t>2025-02-21</t>
        </is>
      </c>
      <c r="C3461" s="6" t="inlineStr">
        <is>
          <t>DIA</t>
        </is>
      </c>
      <c r="D3461" s="6" t="inlineStr">
        <is>
          <t>MMM</t>
        </is>
      </c>
      <c r="E3461" s="6" t="inlineStr">
        <is>
          <t>MMM</t>
        </is>
      </c>
      <c r="F3461" s="6" t="inlineStr">
        <is>
          <t>-</t>
        </is>
      </c>
      <c r="G3461" s="7" t="n">
        <v>141.6241760253906</v>
      </c>
      <c r="H3461" s="6">
        <f>P3430</f>
        <v/>
      </c>
      <c r="I3461" s="9">
        <f>Q3430</f>
        <v/>
      </c>
      <c r="J3461" s="7">
        <f>I3461*G3461</f>
        <v/>
      </c>
      <c r="K3461" s="8">
        <f>IF($J$3473=0,0,J3461/$J$3473)</f>
        <v/>
      </c>
      <c r="L3461" s="6" t="inlineStr">
        <is>
          <t>SELECTED</t>
        </is>
      </c>
      <c r="M3461" s="8" t="n">
        <v>0.2</v>
      </c>
      <c r="N3461" s="7">
        <f>M3461*$J$3473-J3461</f>
        <v/>
      </c>
      <c r="O3461" s="9">
        <f>IF(G3461=0,0,N3461/G3461)</f>
        <v/>
      </c>
      <c r="P3461" s="6">
        <f>IF(M3461&gt;0,D3461,"")</f>
        <v/>
      </c>
      <c r="Q3461" s="9">
        <f>I3461+O3461</f>
        <v/>
      </c>
      <c r="R3461" s="7">
        <f>Q3461*G3461</f>
        <v/>
      </c>
      <c r="S3461" s="8">
        <f>IF($R$3473=0,0,R3461/$R$3473)</f>
        <v/>
      </c>
      <c r="T3461" s="8" t="n">
        <v>-0.03801923995042378</v>
      </c>
      <c r="U3461" s="8" t="n">
        <v>-0.02465791581121834</v>
      </c>
      <c r="V3461" s="6" t="inlineStr">
        <is>
          <t>remained in weekly selection</t>
        </is>
      </c>
    </row>
    <row r="3462">
      <c r="A3462" s="6" t="inlineStr">
        <is>
          <t>DJ30</t>
        </is>
      </c>
      <c r="B3462" s="6" t="inlineStr">
        <is>
          <t>2025-02-21</t>
        </is>
      </c>
      <c r="C3462" s="6" t="inlineStr">
        <is>
          <t>DIA</t>
        </is>
      </c>
      <c r="D3462" s="6" t="inlineStr">
        <is>
          <t>MRK</t>
        </is>
      </c>
      <c r="E3462" s="6" t="inlineStr">
        <is>
          <t>MRK</t>
        </is>
      </c>
      <c r="F3462" s="6" t="inlineStr">
        <is>
          <t>-</t>
        </is>
      </c>
      <c r="G3462" s="7" t="n">
        <v>85.01170349121094</v>
      </c>
      <c r="H3462" s="6">
        <f>P3431</f>
        <v/>
      </c>
      <c r="I3462" s="9">
        <f>Q3431</f>
        <v/>
      </c>
      <c r="J3462" s="7">
        <f>I3462*G3462</f>
        <v/>
      </c>
      <c r="K3462" s="8">
        <f>IF($J$3473=0,0,J3462/$J$3473)</f>
        <v/>
      </c>
      <c r="L3462" s="6" t="inlineStr">
        <is>
          <t>REJECTED</t>
        </is>
      </c>
      <c r="M3462" s="8" t="n">
        <v>0</v>
      </c>
      <c r="N3462" s="7">
        <f>M3462*$J$3473-J3462</f>
        <v/>
      </c>
      <c r="O3462" s="9">
        <f>IF(G3462=0,0,N3462/G3462)</f>
        <v/>
      </c>
      <c r="P3462" s="6">
        <f>IF(M3462&gt;0,D3462,"")</f>
        <v/>
      </c>
      <c r="Q3462" s="9">
        <f>I3462+O3462</f>
        <v/>
      </c>
      <c r="R3462" s="7">
        <f>Q3462*G3462</f>
        <v/>
      </c>
      <c r="S3462" s="8">
        <f>IF($R$3473=0,0,R3462/$R$3473)</f>
        <v/>
      </c>
      <c r="T3462" s="8" t="n">
        <v>-0.03801923995042378</v>
      </c>
      <c r="U3462" s="8" t="n">
        <v>-0.02465791581121834</v>
      </c>
      <c r="V3462" s="6" t="inlineStr">
        <is>
          <t>not selected</t>
        </is>
      </c>
    </row>
    <row r="3463">
      <c r="A3463" s="6" t="inlineStr">
        <is>
          <t>DJ30</t>
        </is>
      </c>
      <c r="B3463" s="6" t="inlineStr">
        <is>
          <t>2025-02-21</t>
        </is>
      </c>
      <c r="C3463" s="6" t="inlineStr">
        <is>
          <t>DIA</t>
        </is>
      </c>
      <c r="D3463" s="6" t="inlineStr">
        <is>
          <t>MSFT</t>
        </is>
      </c>
      <c r="E3463" s="6" t="inlineStr">
        <is>
          <t>MSFT</t>
        </is>
      </c>
      <c r="F3463" s="6" t="inlineStr">
        <is>
          <t>-</t>
        </is>
      </c>
      <c r="G3463" s="7" t="n">
        <v>404.2330932617188</v>
      </c>
      <c r="H3463" s="6">
        <f>P3432</f>
        <v/>
      </c>
      <c r="I3463" s="9">
        <f>Q3432</f>
        <v/>
      </c>
      <c r="J3463" s="7">
        <f>I3463*G3463</f>
        <v/>
      </c>
      <c r="K3463" s="8">
        <f>IF($J$3473=0,0,J3463/$J$3473)</f>
        <v/>
      </c>
      <c r="L3463" s="6" t="inlineStr">
        <is>
          <t>REJECTED</t>
        </is>
      </c>
      <c r="M3463" s="8" t="n">
        <v>0</v>
      </c>
      <c r="N3463" s="7">
        <f>M3463*$J$3473-J3463</f>
        <v/>
      </c>
      <c r="O3463" s="9">
        <f>IF(G3463=0,0,N3463/G3463)</f>
        <v/>
      </c>
      <c r="P3463" s="6">
        <f>IF(M3463&gt;0,D3463,"")</f>
        <v/>
      </c>
      <c r="Q3463" s="9">
        <f>I3463+O3463</f>
        <v/>
      </c>
      <c r="R3463" s="7">
        <f>Q3463*G3463</f>
        <v/>
      </c>
      <c r="S3463" s="8">
        <f>IF($R$3473=0,0,R3463/$R$3473)</f>
        <v/>
      </c>
      <c r="T3463" s="8" t="n">
        <v>-0.03801923995042378</v>
      </c>
      <c r="U3463" s="8" t="n">
        <v>-0.02465791581121834</v>
      </c>
      <c r="V3463" s="6" t="inlineStr">
        <is>
          <t>not selected</t>
        </is>
      </c>
    </row>
    <row r="3464">
      <c r="A3464" s="6" t="inlineStr">
        <is>
          <t>DJ30</t>
        </is>
      </c>
      <c r="B3464" s="6" t="inlineStr">
        <is>
          <t>2025-02-21</t>
        </is>
      </c>
      <c r="C3464" s="6" t="inlineStr">
        <is>
          <t>DIA</t>
        </is>
      </c>
      <c r="D3464" s="6" t="inlineStr">
        <is>
          <t>NKE</t>
        </is>
      </c>
      <c r="E3464" s="6" t="inlineStr">
        <is>
          <t>NKE</t>
        </is>
      </c>
      <c r="F3464" s="6" t="inlineStr">
        <is>
          <t>-</t>
        </is>
      </c>
      <c r="G3464" s="7" t="n">
        <v>73.59279632568359</v>
      </c>
      <c r="H3464" s="6">
        <f>P3433</f>
        <v/>
      </c>
      <c r="I3464" s="9">
        <f>Q3433</f>
        <v/>
      </c>
      <c r="J3464" s="7">
        <f>I3464*G3464</f>
        <v/>
      </c>
      <c r="K3464" s="8">
        <f>IF($J$3473=0,0,J3464/$J$3473)</f>
        <v/>
      </c>
      <c r="L3464" s="6" t="inlineStr">
        <is>
          <t>REJECTED</t>
        </is>
      </c>
      <c r="M3464" s="8" t="n">
        <v>0</v>
      </c>
      <c r="N3464" s="7">
        <f>M3464*$J$3473-J3464</f>
        <v/>
      </c>
      <c r="O3464" s="9">
        <f>IF(G3464=0,0,N3464/G3464)</f>
        <v/>
      </c>
      <c r="P3464" s="6">
        <f>IF(M3464&gt;0,D3464,"")</f>
        <v/>
      </c>
      <c r="Q3464" s="9">
        <f>I3464+O3464</f>
        <v/>
      </c>
      <c r="R3464" s="7">
        <f>Q3464*G3464</f>
        <v/>
      </c>
      <c r="S3464" s="8">
        <f>IF($R$3473=0,0,R3464/$R$3473)</f>
        <v/>
      </c>
      <c r="T3464" s="8" t="n">
        <v>-0.03801923995042378</v>
      </c>
      <c r="U3464" s="8" t="n">
        <v>-0.02465791581121834</v>
      </c>
      <c r="V3464" s="6" t="inlineStr">
        <is>
          <t>not selected</t>
        </is>
      </c>
    </row>
    <row r="3465">
      <c r="A3465" s="6" t="inlineStr">
        <is>
          <t>DJ30</t>
        </is>
      </c>
      <c r="B3465" s="6" t="inlineStr">
        <is>
          <t>2025-02-21</t>
        </is>
      </c>
      <c r="C3465" s="6" t="inlineStr">
        <is>
          <t>DIA</t>
        </is>
      </c>
      <c r="D3465" s="6" t="inlineStr">
        <is>
          <t>NVDA</t>
        </is>
      </c>
      <c r="E3465" s="6" t="inlineStr">
        <is>
          <t>NVDA</t>
        </is>
      </c>
      <c r="F3465" s="6" t="inlineStr">
        <is>
          <t>-</t>
        </is>
      </c>
      <c r="G3465" s="7" t="n">
        <v>134.2295227050781</v>
      </c>
      <c r="H3465" s="6">
        <f>P3434</f>
        <v/>
      </c>
      <c r="I3465" s="9">
        <f>Q3434</f>
        <v/>
      </c>
      <c r="J3465" s="7">
        <f>I3465*G3465</f>
        <v/>
      </c>
      <c r="K3465" s="8">
        <f>IF($J$3473=0,0,J3465/$J$3473)</f>
        <v/>
      </c>
      <c r="L3465" s="6" t="inlineStr">
        <is>
          <t>SELECTED</t>
        </is>
      </c>
      <c r="M3465" s="8" t="n">
        <v>0.2</v>
      </c>
      <c r="N3465" s="7">
        <f>M3465*$J$3473-J3465</f>
        <v/>
      </c>
      <c r="O3465" s="9">
        <f>IF(G3465=0,0,N3465/G3465)</f>
        <v/>
      </c>
      <c r="P3465" s="6">
        <f>IF(M3465&gt;0,D3465,"")</f>
        <v/>
      </c>
      <c r="Q3465" s="9">
        <f>I3465+O3465</f>
        <v/>
      </c>
      <c r="R3465" s="7">
        <f>Q3465*G3465</f>
        <v/>
      </c>
      <c r="S3465" s="8">
        <f>IF($R$3473=0,0,R3465/$R$3473)</f>
        <v/>
      </c>
      <c r="T3465" s="8" t="n">
        <v>-0.03801923995042378</v>
      </c>
      <c r="U3465" s="8" t="n">
        <v>-0.02465791581121834</v>
      </c>
      <c r="V3465" s="6" t="inlineStr">
        <is>
          <t>remained in weekly selection</t>
        </is>
      </c>
    </row>
    <row r="3466">
      <c r="A3466" s="6" t="inlineStr">
        <is>
          <t>DJ30</t>
        </is>
      </c>
      <c r="B3466" s="6" t="inlineStr">
        <is>
          <t>2025-02-21</t>
        </is>
      </c>
      <c r="C3466" s="6" t="inlineStr">
        <is>
          <t>DIA</t>
        </is>
      </c>
      <c r="D3466" s="6" t="inlineStr">
        <is>
          <t>PG</t>
        </is>
      </c>
      <c r="E3466" s="6" t="inlineStr">
        <is>
          <t>PG</t>
        </is>
      </c>
      <c r="F3466" s="6" t="inlineStr">
        <is>
          <t>-</t>
        </is>
      </c>
      <c r="G3466" s="7" t="n">
        <v>164.4449310302734</v>
      </c>
      <c r="H3466" s="6">
        <f>P3435</f>
        <v/>
      </c>
      <c r="I3466" s="9">
        <f>Q3435</f>
        <v/>
      </c>
      <c r="J3466" s="7">
        <f>I3466*G3466</f>
        <v/>
      </c>
      <c r="K3466" s="8">
        <f>IF($J$3473=0,0,J3466/$J$3473)</f>
        <v/>
      </c>
      <c r="L3466" s="6" t="inlineStr">
        <is>
          <t>WATCHLIST</t>
        </is>
      </c>
      <c r="M3466" s="8" t="n">
        <v>0</v>
      </c>
      <c r="N3466" s="7">
        <f>M3466*$J$3473-J3466</f>
        <v/>
      </c>
      <c r="O3466" s="9">
        <f>IF(G3466=0,0,N3466/G3466)</f>
        <v/>
      </c>
      <c r="P3466" s="6">
        <f>IF(M3466&gt;0,D3466,"")</f>
        <v/>
      </c>
      <c r="Q3466" s="9">
        <f>I3466+O3466</f>
        <v/>
      </c>
      <c r="R3466" s="7">
        <f>Q3466*G3466</f>
        <v/>
      </c>
      <c r="S3466" s="8">
        <f>IF($R$3473=0,0,R3466/$R$3473)</f>
        <v/>
      </c>
      <c r="T3466" s="8" t="n">
        <v>-0.03801923995042378</v>
      </c>
      <c r="U3466" s="8" t="n">
        <v>-0.02465791581121834</v>
      </c>
      <c r="V3466" s="6" t="inlineStr">
        <is>
          <t>not selected</t>
        </is>
      </c>
    </row>
    <row r="3467">
      <c r="A3467" s="6" t="inlineStr">
        <is>
          <t>DJ30</t>
        </is>
      </c>
      <c r="B3467" s="6" t="inlineStr">
        <is>
          <t>2025-02-21</t>
        </is>
      </c>
      <c r="C3467" s="6" t="inlineStr">
        <is>
          <t>DIA</t>
        </is>
      </c>
      <c r="D3467" s="6" t="inlineStr">
        <is>
          <t>SHW</t>
        </is>
      </c>
      <c r="E3467" s="6" t="inlineStr">
        <is>
          <t>SHW</t>
        </is>
      </c>
      <c r="F3467" s="6" t="inlineStr">
        <is>
          <t>-</t>
        </is>
      </c>
      <c r="G3467" s="7" t="n">
        <v>339.8927612304688</v>
      </c>
      <c r="H3467" s="6">
        <f>P3436</f>
        <v/>
      </c>
      <c r="I3467" s="9">
        <f>Q3436</f>
        <v/>
      </c>
      <c r="J3467" s="7">
        <f>I3467*G3467</f>
        <v/>
      </c>
      <c r="K3467" s="8">
        <f>IF($J$3473=0,0,J3467/$J$3473)</f>
        <v/>
      </c>
      <c r="L3467" s="6" t="inlineStr">
        <is>
          <t>WATCHLIST</t>
        </is>
      </c>
      <c r="M3467" s="8" t="n">
        <v>0</v>
      </c>
      <c r="N3467" s="7">
        <f>M3467*$J$3473-J3467</f>
        <v/>
      </c>
      <c r="O3467" s="9">
        <f>IF(G3467=0,0,N3467/G3467)</f>
        <v/>
      </c>
      <c r="P3467" s="6">
        <f>IF(M3467&gt;0,D3467,"")</f>
        <v/>
      </c>
      <c r="Q3467" s="9">
        <f>I3467+O3467</f>
        <v/>
      </c>
      <c r="R3467" s="7">
        <f>Q3467*G3467</f>
        <v/>
      </c>
      <c r="S3467" s="8">
        <f>IF($R$3473=0,0,R3467/$R$3473)</f>
        <v/>
      </c>
      <c r="T3467" s="8" t="n">
        <v>-0.03801923995042378</v>
      </c>
      <c r="U3467" s="8" t="n">
        <v>-0.02465791581121834</v>
      </c>
      <c r="V3467" s="6" t="inlineStr">
        <is>
          <t>not selected</t>
        </is>
      </c>
    </row>
    <row r="3468">
      <c r="A3468" s="6" t="inlineStr">
        <is>
          <t>DJ30</t>
        </is>
      </c>
      <c r="B3468" s="6" t="inlineStr">
        <is>
          <t>2025-02-21</t>
        </is>
      </c>
      <c r="C3468" s="6" t="inlineStr">
        <is>
          <t>DIA</t>
        </is>
      </c>
      <c r="D3468" s="6" t="inlineStr">
        <is>
          <t>TRV</t>
        </is>
      </c>
      <c r="E3468" s="6" t="inlineStr">
        <is>
          <t>TRV</t>
        </is>
      </c>
      <c r="F3468" s="6" t="inlineStr">
        <is>
          <t>-</t>
        </is>
      </c>
      <c r="G3468" s="7" t="n">
        <v>234.3417816162109</v>
      </c>
      <c r="H3468" s="6">
        <f>P3437</f>
        <v/>
      </c>
      <c r="I3468" s="9">
        <f>Q3437</f>
        <v/>
      </c>
      <c r="J3468" s="7">
        <f>I3468*G3468</f>
        <v/>
      </c>
      <c r="K3468" s="8">
        <f>IF($J$3473=0,0,J3468/$J$3473)</f>
        <v/>
      </c>
      <c r="L3468" s="6" t="inlineStr">
        <is>
          <t>SELECTED</t>
        </is>
      </c>
      <c r="M3468" s="8" t="n">
        <v>0.2</v>
      </c>
      <c r="N3468" s="7">
        <f>M3468*$J$3473-J3468</f>
        <v/>
      </c>
      <c r="O3468" s="9">
        <f>IF(G3468=0,0,N3468/G3468)</f>
        <v/>
      </c>
      <c r="P3468" s="6">
        <f>IF(M3468&gt;0,D3468,"")</f>
        <v/>
      </c>
      <c r="Q3468" s="9">
        <f>I3468+O3468</f>
        <v/>
      </c>
      <c r="R3468" s="7">
        <f>Q3468*G3468</f>
        <v/>
      </c>
      <c r="S3468" s="8">
        <f>IF($R$3473=0,0,R3468/$R$3473)</f>
        <v/>
      </c>
      <c r="T3468" s="8" t="n">
        <v>-0.03801923995042378</v>
      </c>
      <c r="U3468" s="8" t="n">
        <v>-0.02465791581121834</v>
      </c>
      <c r="V3468" s="6" t="inlineStr">
        <is>
          <t>entered weekly selection</t>
        </is>
      </c>
    </row>
    <row r="3469">
      <c r="A3469" s="6" t="inlineStr">
        <is>
          <t>DJ30</t>
        </is>
      </c>
      <c r="B3469" s="6" t="inlineStr">
        <is>
          <t>2025-02-21</t>
        </is>
      </c>
      <c r="C3469" s="6" t="inlineStr">
        <is>
          <t>DIA</t>
        </is>
      </c>
      <c r="D3469" s="6" t="inlineStr">
        <is>
          <t>UNH</t>
        </is>
      </c>
      <c r="E3469" s="6" t="inlineStr">
        <is>
          <t>UNH</t>
        </is>
      </c>
      <c r="F3469" s="6" t="inlineStr">
        <is>
          <t>-</t>
        </is>
      </c>
      <c r="G3469" s="7" t="n">
        <v>449.1328735351562</v>
      </c>
      <c r="H3469" s="6">
        <f>P3438</f>
        <v/>
      </c>
      <c r="I3469" s="9">
        <f>Q3438</f>
        <v/>
      </c>
      <c r="J3469" s="7">
        <f>I3469*G3469</f>
        <v/>
      </c>
      <c r="K3469" s="8">
        <f>IF($J$3473=0,0,J3469/$J$3473)</f>
        <v/>
      </c>
      <c r="L3469" s="6" t="inlineStr">
        <is>
          <t>REJECTED</t>
        </is>
      </c>
      <c r="M3469" s="8" t="n">
        <v>0</v>
      </c>
      <c r="N3469" s="7">
        <f>M3469*$J$3473-J3469</f>
        <v/>
      </c>
      <c r="O3469" s="9">
        <f>IF(G3469=0,0,N3469/G3469)</f>
        <v/>
      </c>
      <c r="P3469" s="6">
        <f>IF(M3469&gt;0,D3469,"")</f>
        <v/>
      </c>
      <c r="Q3469" s="9">
        <f>I3469+O3469</f>
        <v/>
      </c>
      <c r="R3469" s="7">
        <f>Q3469*G3469</f>
        <v/>
      </c>
      <c r="S3469" s="8">
        <f>IF($R$3473=0,0,R3469/$R$3473)</f>
        <v/>
      </c>
      <c r="T3469" s="8" t="n">
        <v>-0.03801923995042378</v>
      </c>
      <c r="U3469" s="8" t="n">
        <v>-0.02465791581121834</v>
      </c>
      <c r="V3469" s="6" t="inlineStr">
        <is>
          <t>not selected</t>
        </is>
      </c>
    </row>
    <row r="3470">
      <c r="A3470" s="6" t="inlineStr">
        <is>
          <t>DJ30</t>
        </is>
      </c>
      <c r="B3470" s="6" t="inlineStr">
        <is>
          <t>2025-02-21</t>
        </is>
      </c>
      <c r="C3470" s="6" t="inlineStr">
        <is>
          <t>DIA</t>
        </is>
      </c>
      <c r="D3470" s="6" t="inlineStr">
        <is>
          <t>V</t>
        </is>
      </c>
      <c r="E3470" s="6" t="inlineStr">
        <is>
          <t>V</t>
        </is>
      </c>
      <c r="F3470" s="6" t="inlineStr">
        <is>
          <t>-</t>
        </is>
      </c>
      <c r="G3470" s="7" t="n">
        <v>345.2252502441406</v>
      </c>
      <c r="H3470" s="6">
        <f>P3439</f>
        <v/>
      </c>
      <c r="I3470" s="9">
        <f>Q3439</f>
        <v/>
      </c>
      <c r="J3470" s="7">
        <f>I3470*G3470</f>
        <v/>
      </c>
      <c r="K3470" s="8">
        <f>IF($J$3473=0,0,J3470/$J$3473)</f>
        <v/>
      </c>
      <c r="L3470" s="6" t="inlineStr">
        <is>
          <t>WATCHLIST</t>
        </is>
      </c>
      <c r="M3470" s="8" t="n">
        <v>0</v>
      </c>
      <c r="N3470" s="7">
        <f>M3470*$J$3473-J3470</f>
        <v/>
      </c>
      <c r="O3470" s="9">
        <f>IF(G3470=0,0,N3470/G3470)</f>
        <v/>
      </c>
      <c r="P3470" s="6">
        <f>IF(M3470&gt;0,D3470,"")</f>
        <v/>
      </c>
      <c r="Q3470" s="9">
        <f>I3470+O3470</f>
        <v/>
      </c>
      <c r="R3470" s="7">
        <f>Q3470*G3470</f>
        <v/>
      </c>
      <c r="S3470" s="8">
        <f>IF($R$3473=0,0,R3470/$R$3473)</f>
        <v/>
      </c>
      <c r="T3470" s="8" t="n">
        <v>-0.03801923995042378</v>
      </c>
      <c r="U3470" s="8" t="n">
        <v>-0.02465791581121834</v>
      </c>
      <c r="V3470" s="6" t="inlineStr">
        <is>
          <t>not selected</t>
        </is>
      </c>
    </row>
    <row r="3471">
      <c r="A3471" s="6" t="inlineStr">
        <is>
          <t>DJ30</t>
        </is>
      </c>
      <c r="B3471" s="6" t="inlineStr">
        <is>
          <t>2025-02-21</t>
        </is>
      </c>
      <c r="C3471" s="6" t="inlineStr">
        <is>
          <t>DIA</t>
        </is>
      </c>
      <c r="D3471" s="6" t="inlineStr">
        <is>
          <t>VZ</t>
        </is>
      </c>
      <c r="E3471" s="6" t="inlineStr">
        <is>
          <t>VZ</t>
        </is>
      </c>
      <c r="F3471" s="6" t="inlineStr">
        <is>
          <t>-</t>
        </is>
      </c>
      <c r="G3471" s="7" t="n">
        <v>39.42719268798828</v>
      </c>
      <c r="H3471" s="6">
        <f>P3440</f>
        <v/>
      </c>
      <c r="I3471" s="9">
        <f>Q3440</f>
        <v/>
      </c>
      <c r="J3471" s="7">
        <f>I3471*G3471</f>
        <v/>
      </c>
      <c r="K3471" s="8">
        <f>IF($J$3473=0,0,J3471/$J$3473)</f>
        <v/>
      </c>
      <c r="L3471" s="6" t="inlineStr">
        <is>
          <t>WATCHLIST</t>
        </is>
      </c>
      <c r="M3471" s="8" t="n">
        <v>0</v>
      </c>
      <c r="N3471" s="7">
        <f>M3471*$J$3473-J3471</f>
        <v/>
      </c>
      <c r="O3471" s="9">
        <f>IF(G3471=0,0,N3471/G3471)</f>
        <v/>
      </c>
      <c r="P3471" s="6">
        <f>IF(M3471&gt;0,D3471,"")</f>
        <v/>
      </c>
      <c r="Q3471" s="9">
        <f>I3471+O3471</f>
        <v/>
      </c>
      <c r="R3471" s="7">
        <f>Q3471*G3471</f>
        <v/>
      </c>
      <c r="S3471" s="8">
        <f>IF($R$3473=0,0,R3471/$R$3473)</f>
        <v/>
      </c>
      <c r="T3471" s="8" t="n">
        <v>-0.03801923995042378</v>
      </c>
      <c r="U3471" s="8" t="n">
        <v>-0.02465791581121834</v>
      </c>
      <c r="V3471" s="6" t="inlineStr">
        <is>
          <t>not selected</t>
        </is>
      </c>
    </row>
    <row r="3472">
      <c r="A3472" s="6" t="inlineStr">
        <is>
          <t>DJ30</t>
        </is>
      </c>
      <c r="B3472" s="6" t="inlineStr">
        <is>
          <t>2025-02-21</t>
        </is>
      </c>
      <c r="C3472" s="6" t="inlineStr">
        <is>
          <t>DIA</t>
        </is>
      </c>
      <c r="D3472" s="6" t="inlineStr">
        <is>
          <t>WMT</t>
        </is>
      </c>
      <c r="E3472" s="6" t="inlineStr">
        <is>
          <t>WMT</t>
        </is>
      </c>
      <c r="F3472" s="6" t="inlineStr">
        <is>
          <t>-</t>
        </is>
      </c>
      <c r="G3472" s="7" t="n">
        <v>93.51063537597656</v>
      </c>
      <c r="H3472" s="6">
        <f>P3441</f>
        <v/>
      </c>
      <c r="I3472" s="9">
        <f>Q3441</f>
        <v/>
      </c>
      <c r="J3472" s="7">
        <f>I3472*G3472</f>
        <v/>
      </c>
      <c r="K3472" s="8">
        <f>IF($J$3473=0,0,J3472/$J$3473)</f>
        <v/>
      </c>
      <c r="L3472" s="6" t="inlineStr">
        <is>
          <t>SELECTED</t>
        </is>
      </c>
      <c r="M3472" s="8" t="n">
        <v>0.2</v>
      </c>
      <c r="N3472" s="7">
        <f>M3472*$J$3473-J3472</f>
        <v/>
      </c>
      <c r="O3472" s="9">
        <f>IF(G3472=0,0,N3472/G3472)</f>
        <v/>
      </c>
      <c r="P3472" s="6">
        <f>IF(M3472&gt;0,D3472,"")</f>
        <v/>
      </c>
      <c r="Q3472" s="9">
        <f>I3472+O3472</f>
        <v/>
      </c>
      <c r="R3472" s="7">
        <f>Q3472*G3472</f>
        <v/>
      </c>
      <c r="S3472" s="8">
        <f>IF($R$3473=0,0,R3472/$R$3473)</f>
        <v/>
      </c>
      <c r="T3472" s="8" t="n">
        <v>-0.03801923995042378</v>
      </c>
      <c r="U3472" s="8" t="n">
        <v>-0.02465791581121834</v>
      </c>
      <c r="V3472" s="6" t="inlineStr">
        <is>
          <t>remained in weekly selection</t>
        </is>
      </c>
    </row>
    <row r="3473">
      <c r="A3473" s="10" t="inlineStr">
        <is>
          <t>DJ30</t>
        </is>
      </c>
      <c r="B3473" s="10" t="inlineStr">
        <is>
          <t>2025-02-21</t>
        </is>
      </c>
      <c r="C3473" s="10" t="inlineStr">
        <is>
          <t>DIA</t>
        </is>
      </c>
      <c r="D3473" s="10" t="inlineStr">
        <is>
          <t>Tot Portfolio</t>
        </is>
      </c>
      <c r="E3473" s="10" t="inlineStr"/>
      <c r="F3473" s="10" t="inlineStr"/>
      <c r="G3473" s="11" t="inlineStr"/>
      <c r="H3473" s="10" t="inlineStr"/>
      <c r="I3473" s="12" t="inlineStr"/>
      <c r="J3473" s="11">
        <f>SUM(J3443:J3472)</f>
        <v/>
      </c>
      <c r="K3473" s="13">
        <f>SUM(K3443:K3472)</f>
        <v/>
      </c>
      <c r="L3473" s="10" t="inlineStr">
        <is>
          <t>TOTAL</t>
        </is>
      </c>
      <c r="M3473" s="13">
        <f>SUM(M3443:M3472)</f>
        <v/>
      </c>
      <c r="N3473" s="11">
        <f>SUM(N3443:N3472)</f>
        <v/>
      </c>
      <c r="O3473" s="12">
        <f>SUM(O3443:O3472)</f>
        <v/>
      </c>
      <c r="P3473" s="10" t="inlineStr"/>
      <c r="Q3473" s="12" t="inlineStr"/>
      <c r="R3473" s="11">
        <f>SUM(R3443:R3472)</f>
        <v/>
      </c>
      <c r="S3473" s="13">
        <f>SUM(S3443:S3472)</f>
        <v/>
      </c>
      <c r="T3473" s="13" t="n">
        <v>-0.03801923995042378</v>
      </c>
      <c r="U3473" s="13" t="n">
        <v>-0.02465791581121834</v>
      </c>
      <c r="V3473" s="10" t="inlineStr"/>
    </row>
    <row r="3474">
      <c r="A3474" s="6" t="inlineStr">
        <is>
          <t>DJ30</t>
        </is>
      </c>
      <c r="B3474" s="6" t="inlineStr">
        <is>
          <t>2025-02-28</t>
        </is>
      </c>
      <c r="C3474" s="6" t="inlineStr">
        <is>
          <t>DIA</t>
        </is>
      </c>
      <c r="D3474" s="6" t="inlineStr">
        <is>
          <t>AAPL</t>
        </is>
      </c>
      <c r="E3474" s="6" t="inlineStr">
        <is>
          <t>AAPL</t>
        </is>
      </c>
      <c r="F3474" s="6" t="inlineStr">
        <is>
          <t>-</t>
        </is>
      </c>
      <c r="G3474" s="7" t="n">
        <v>240.5688781738281</v>
      </c>
      <c r="H3474" s="6">
        <f>P3443</f>
        <v/>
      </c>
      <c r="I3474" s="9">
        <f>Q3443</f>
        <v/>
      </c>
      <c r="J3474" s="7">
        <f>I3474*G3474</f>
        <v/>
      </c>
      <c r="K3474" s="8">
        <f>IF($J$3504=0,0,J3474/$J$3504)</f>
        <v/>
      </c>
      <c r="L3474" s="6" t="inlineStr">
        <is>
          <t>WATCHLIST</t>
        </is>
      </c>
      <c r="M3474" s="8" t="n">
        <v>0</v>
      </c>
      <c r="N3474" s="7">
        <f>M3474*$J$3504-J3474</f>
        <v/>
      </c>
      <c r="O3474" s="9">
        <f>IF(G3474=0,0,N3474/G3474)</f>
        <v/>
      </c>
      <c r="P3474" s="6">
        <f>IF(M3474&gt;0,D3474,"")</f>
        <v/>
      </c>
      <c r="Q3474" s="9">
        <f>I3474+O3474</f>
        <v/>
      </c>
      <c r="R3474" s="7">
        <f>Q3474*G3474</f>
        <v/>
      </c>
      <c r="S3474" s="8">
        <f>IF($R$3504=0,0,R3474/$R$3504)</f>
        <v/>
      </c>
      <c r="T3474" s="8" t="n">
        <v>0.01598833504646135</v>
      </c>
      <c r="U3474" s="8" t="n">
        <v>0.009719981848395287</v>
      </c>
      <c r="V3474" s="6" t="inlineStr">
        <is>
          <t>not selected</t>
        </is>
      </c>
    </row>
    <row r="3475">
      <c r="A3475" s="6" t="inlineStr">
        <is>
          <t>DJ30</t>
        </is>
      </c>
      <c r="B3475" s="6" t="inlineStr">
        <is>
          <t>2025-02-28</t>
        </is>
      </c>
      <c r="C3475" s="6" t="inlineStr">
        <is>
          <t>DIA</t>
        </is>
      </c>
      <c r="D3475" s="6" t="inlineStr">
        <is>
          <t>AMGN</t>
        </is>
      </c>
      <c r="E3475" s="6" t="inlineStr">
        <is>
          <t>AMGN</t>
        </is>
      </c>
      <c r="F3475" s="6" t="inlineStr">
        <is>
          <t>-</t>
        </is>
      </c>
      <c r="G3475" s="7" t="n">
        <v>296.45068359375</v>
      </c>
      <c r="H3475" s="6">
        <f>P3444</f>
        <v/>
      </c>
      <c r="I3475" s="9">
        <f>Q3444</f>
        <v/>
      </c>
      <c r="J3475" s="7">
        <f>I3475*G3475</f>
        <v/>
      </c>
      <c r="K3475" s="8">
        <f>IF($J$3504=0,0,J3475/$J$3504)</f>
        <v/>
      </c>
      <c r="L3475" s="6" t="inlineStr">
        <is>
          <t>REJECTED</t>
        </is>
      </c>
      <c r="M3475" s="8" t="n">
        <v>0</v>
      </c>
      <c r="N3475" s="7">
        <f>M3475*$J$3504-J3475</f>
        <v/>
      </c>
      <c r="O3475" s="9">
        <f>IF(G3475=0,0,N3475/G3475)</f>
        <v/>
      </c>
      <c r="P3475" s="6">
        <f>IF(M3475&gt;0,D3475,"")</f>
        <v/>
      </c>
      <c r="Q3475" s="9">
        <f>I3475+O3475</f>
        <v/>
      </c>
      <c r="R3475" s="7">
        <f>Q3475*G3475</f>
        <v/>
      </c>
      <c r="S3475" s="8">
        <f>IF($R$3504=0,0,R3475/$R$3504)</f>
        <v/>
      </c>
      <c r="T3475" s="8" t="n">
        <v>0.01598833504646135</v>
      </c>
      <c r="U3475" s="8" t="n">
        <v>0.009719981848395287</v>
      </c>
      <c r="V3475" s="6" t="inlineStr">
        <is>
          <t>not selected</t>
        </is>
      </c>
    </row>
    <row r="3476">
      <c r="A3476" s="6" t="inlineStr">
        <is>
          <t>DJ30</t>
        </is>
      </c>
      <c r="B3476" s="6" t="inlineStr">
        <is>
          <t>2025-02-28</t>
        </is>
      </c>
      <c r="C3476" s="6" t="inlineStr">
        <is>
          <t>DIA</t>
        </is>
      </c>
      <c r="D3476" s="6" t="inlineStr">
        <is>
          <t>AMZN</t>
        </is>
      </c>
      <c r="E3476" s="6" t="inlineStr">
        <is>
          <t>AMZN</t>
        </is>
      </c>
      <c r="F3476" s="6" t="inlineStr">
        <is>
          <t>-</t>
        </is>
      </c>
      <c r="G3476" s="7" t="n">
        <v>212.2799987792969</v>
      </c>
      <c r="H3476" s="6">
        <f>P3445</f>
        <v/>
      </c>
      <c r="I3476" s="9">
        <f>Q3445</f>
        <v/>
      </c>
      <c r="J3476" s="7">
        <f>I3476*G3476</f>
        <v/>
      </c>
      <c r="K3476" s="8">
        <f>IF($J$3504=0,0,J3476/$J$3504)</f>
        <v/>
      </c>
      <c r="L3476" s="6" t="inlineStr">
        <is>
          <t>WATCHLIST</t>
        </is>
      </c>
      <c r="M3476" s="8" t="n">
        <v>0</v>
      </c>
      <c r="N3476" s="7">
        <f>M3476*$J$3504-J3476</f>
        <v/>
      </c>
      <c r="O3476" s="9">
        <f>IF(G3476=0,0,N3476/G3476)</f>
        <v/>
      </c>
      <c r="P3476" s="6">
        <f>IF(M3476&gt;0,D3476,"")</f>
        <v/>
      </c>
      <c r="Q3476" s="9">
        <f>I3476+O3476</f>
        <v/>
      </c>
      <c r="R3476" s="7">
        <f>Q3476*G3476</f>
        <v/>
      </c>
      <c r="S3476" s="8">
        <f>IF($R$3504=0,0,R3476/$R$3504)</f>
        <v/>
      </c>
      <c r="T3476" s="8" t="n">
        <v>0.01598833504646135</v>
      </c>
      <c r="U3476" s="8" t="n">
        <v>0.009719981848395287</v>
      </c>
      <c r="V3476" s="6" t="inlineStr">
        <is>
          <t>not selected</t>
        </is>
      </c>
    </row>
    <row r="3477">
      <c r="A3477" s="6" t="inlineStr">
        <is>
          <t>DJ30</t>
        </is>
      </c>
      <c r="B3477" s="6" t="inlineStr">
        <is>
          <t>2025-02-28</t>
        </is>
      </c>
      <c r="C3477" s="6" t="inlineStr">
        <is>
          <t>DIA</t>
        </is>
      </c>
      <c r="D3477" s="6" t="inlineStr">
        <is>
          <t>AXP</t>
        </is>
      </c>
      <c r="E3477" s="6" t="inlineStr">
        <is>
          <t>AXP</t>
        </is>
      </c>
      <c r="F3477" s="6" t="inlineStr">
        <is>
          <t>-</t>
        </is>
      </c>
      <c r="G3477" s="7" t="n">
        <v>296.8525390625</v>
      </c>
      <c r="H3477" s="6">
        <f>P3446</f>
        <v/>
      </c>
      <c r="I3477" s="9">
        <f>Q3446</f>
        <v/>
      </c>
      <c r="J3477" s="7">
        <f>I3477*G3477</f>
        <v/>
      </c>
      <c r="K3477" s="8">
        <f>IF($J$3504=0,0,J3477/$J$3504)</f>
        <v/>
      </c>
      <c r="L3477" s="6" t="inlineStr">
        <is>
          <t>WATCHLIST</t>
        </is>
      </c>
      <c r="M3477" s="8" t="n">
        <v>0</v>
      </c>
      <c r="N3477" s="7">
        <f>M3477*$J$3504-J3477</f>
        <v/>
      </c>
      <c r="O3477" s="9">
        <f>IF(G3477=0,0,N3477/G3477)</f>
        <v/>
      </c>
      <c r="P3477" s="6">
        <f>IF(M3477&gt;0,D3477,"")</f>
        <v/>
      </c>
      <c r="Q3477" s="9">
        <f>I3477+O3477</f>
        <v/>
      </c>
      <c r="R3477" s="7">
        <f>Q3477*G3477</f>
        <v/>
      </c>
      <c r="S3477" s="8">
        <f>IF($R$3504=0,0,R3477/$R$3504)</f>
        <v/>
      </c>
      <c r="T3477" s="8" t="n">
        <v>0.01598833504646135</v>
      </c>
      <c r="U3477" s="8" t="n">
        <v>0.009719981848395287</v>
      </c>
      <c r="V3477" s="6" t="inlineStr">
        <is>
          <t>not selected</t>
        </is>
      </c>
    </row>
    <row r="3478">
      <c r="A3478" s="6" t="inlineStr">
        <is>
          <t>DJ30</t>
        </is>
      </c>
      <c r="B3478" s="6" t="inlineStr">
        <is>
          <t>2025-02-28</t>
        </is>
      </c>
      <c r="C3478" s="6" t="inlineStr">
        <is>
          <t>DIA</t>
        </is>
      </c>
      <c r="D3478" s="6" t="inlineStr">
        <is>
          <t>BA</t>
        </is>
      </c>
      <c r="E3478" s="6" t="inlineStr">
        <is>
          <t>BA</t>
        </is>
      </c>
      <c r="F3478" s="6" t="inlineStr">
        <is>
          <t>-</t>
        </is>
      </c>
      <c r="G3478" s="7" t="n">
        <v>174.6300048828125</v>
      </c>
      <c r="H3478" s="6">
        <f>P3447</f>
        <v/>
      </c>
      <c r="I3478" s="9">
        <f>Q3447</f>
        <v/>
      </c>
      <c r="J3478" s="7">
        <f>I3478*G3478</f>
        <v/>
      </c>
      <c r="K3478" s="8">
        <f>IF($J$3504=0,0,J3478/$J$3504)</f>
        <v/>
      </c>
      <c r="L3478" s="6" t="inlineStr">
        <is>
          <t>REJECTED</t>
        </is>
      </c>
      <c r="M3478" s="8" t="n">
        <v>0</v>
      </c>
      <c r="N3478" s="7">
        <f>M3478*$J$3504-J3478</f>
        <v/>
      </c>
      <c r="O3478" s="9">
        <f>IF(G3478=0,0,N3478/G3478)</f>
        <v/>
      </c>
      <c r="P3478" s="6">
        <f>IF(M3478&gt;0,D3478,"")</f>
        <v/>
      </c>
      <c r="Q3478" s="9">
        <f>I3478+O3478</f>
        <v/>
      </c>
      <c r="R3478" s="7">
        <f>Q3478*G3478</f>
        <v/>
      </c>
      <c r="S3478" s="8">
        <f>IF($R$3504=0,0,R3478/$R$3504)</f>
        <v/>
      </c>
      <c r="T3478" s="8" t="n">
        <v>0.01598833504646135</v>
      </c>
      <c r="U3478" s="8" t="n">
        <v>0.009719981848395287</v>
      </c>
      <c r="V3478" s="6" t="inlineStr">
        <is>
          <t>not selected</t>
        </is>
      </c>
    </row>
    <row r="3479">
      <c r="A3479" s="6" t="inlineStr">
        <is>
          <t>DJ30</t>
        </is>
      </c>
      <c r="B3479" s="6" t="inlineStr">
        <is>
          <t>2025-02-28</t>
        </is>
      </c>
      <c r="C3479" s="6" t="inlineStr">
        <is>
          <t>DIA</t>
        </is>
      </c>
      <c r="D3479" s="6" t="inlineStr">
        <is>
          <t>CAT</t>
        </is>
      </c>
      <c r="E3479" s="6" t="inlineStr">
        <is>
          <t>CAT</t>
        </is>
      </c>
      <c r="F3479" s="6" t="inlineStr">
        <is>
          <t>-</t>
        </is>
      </c>
      <c r="G3479" s="7" t="n">
        <v>338.6369018554688</v>
      </c>
      <c r="H3479" s="6">
        <f>P3448</f>
        <v/>
      </c>
      <c r="I3479" s="9">
        <f>Q3448</f>
        <v/>
      </c>
      <c r="J3479" s="7">
        <f>I3479*G3479</f>
        <v/>
      </c>
      <c r="K3479" s="8">
        <f>IF($J$3504=0,0,J3479/$J$3504)</f>
        <v/>
      </c>
      <c r="L3479" s="6" t="inlineStr">
        <is>
          <t>REJECTED</t>
        </is>
      </c>
      <c r="M3479" s="8" t="n">
        <v>0</v>
      </c>
      <c r="N3479" s="7">
        <f>M3479*$J$3504-J3479</f>
        <v/>
      </c>
      <c r="O3479" s="9">
        <f>IF(G3479=0,0,N3479/G3479)</f>
        <v/>
      </c>
      <c r="P3479" s="6">
        <f>IF(M3479&gt;0,D3479,"")</f>
        <v/>
      </c>
      <c r="Q3479" s="9">
        <f>I3479+O3479</f>
        <v/>
      </c>
      <c r="R3479" s="7">
        <f>Q3479*G3479</f>
        <v/>
      </c>
      <c r="S3479" s="8">
        <f>IF($R$3504=0,0,R3479/$R$3504)</f>
        <v/>
      </c>
      <c r="T3479" s="8" t="n">
        <v>0.01598833504646135</v>
      </c>
      <c r="U3479" s="8" t="n">
        <v>0.009719981848395287</v>
      </c>
      <c r="V3479" s="6" t="inlineStr">
        <is>
          <t>not selected</t>
        </is>
      </c>
    </row>
    <row r="3480">
      <c r="A3480" s="6" t="inlineStr">
        <is>
          <t>DJ30</t>
        </is>
      </c>
      <c r="B3480" s="6" t="inlineStr">
        <is>
          <t>2025-02-28</t>
        </is>
      </c>
      <c r="C3480" s="6" t="inlineStr">
        <is>
          <t>DIA</t>
        </is>
      </c>
      <c r="D3480" s="6" t="inlineStr">
        <is>
          <t>CRM</t>
        </is>
      </c>
      <c r="E3480" s="6" t="inlineStr">
        <is>
          <t>CRM</t>
        </is>
      </c>
      <c r="F3480" s="6" t="inlineStr">
        <is>
          <t>-</t>
        </is>
      </c>
      <c r="G3480" s="7" t="n">
        <v>294.4199829101562</v>
      </c>
      <c r="H3480" s="6">
        <f>P3449</f>
        <v/>
      </c>
      <c r="I3480" s="9">
        <f>Q3449</f>
        <v/>
      </c>
      <c r="J3480" s="7">
        <f>I3480*G3480</f>
        <v/>
      </c>
      <c r="K3480" s="8">
        <f>IF($J$3504=0,0,J3480/$J$3504)</f>
        <v/>
      </c>
      <c r="L3480" s="6" t="inlineStr">
        <is>
          <t>WATCHLIST</t>
        </is>
      </c>
      <c r="M3480" s="8" t="n">
        <v>0</v>
      </c>
      <c r="N3480" s="7">
        <f>M3480*$J$3504-J3480</f>
        <v/>
      </c>
      <c r="O3480" s="9">
        <f>IF(G3480=0,0,N3480/G3480)</f>
        <v/>
      </c>
      <c r="P3480" s="6">
        <f>IF(M3480&gt;0,D3480,"")</f>
        <v/>
      </c>
      <c r="Q3480" s="9">
        <f>I3480+O3480</f>
        <v/>
      </c>
      <c r="R3480" s="7">
        <f>Q3480*G3480</f>
        <v/>
      </c>
      <c r="S3480" s="8">
        <f>IF($R$3504=0,0,R3480/$R$3504)</f>
        <v/>
      </c>
      <c r="T3480" s="8" t="n">
        <v>0.01598833504646135</v>
      </c>
      <c r="U3480" s="8" t="n">
        <v>0.009719981848395287</v>
      </c>
      <c r="V3480" s="6" t="inlineStr">
        <is>
          <t>not selected</t>
        </is>
      </c>
    </row>
    <row r="3481">
      <c r="A3481" s="6" t="inlineStr">
        <is>
          <t>DJ30</t>
        </is>
      </c>
      <c r="B3481" s="6" t="inlineStr">
        <is>
          <t>2025-02-28</t>
        </is>
      </c>
      <c r="C3481" s="6" t="inlineStr">
        <is>
          <t>DIA</t>
        </is>
      </c>
      <c r="D3481" s="6" t="inlineStr">
        <is>
          <t>CSCO</t>
        </is>
      </c>
      <c r="E3481" s="6" t="inlineStr">
        <is>
          <t>CSCO</t>
        </is>
      </c>
      <c r="F3481" s="6" t="inlineStr">
        <is>
          <t>-</t>
        </is>
      </c>
      <c r="G3481" s="7" t="n">
        <v>62.25193786621094</v>
      </c>
      <c r="H3481" s="6">
        <f>P3450</f>
        <v/>
      </c>
      <c r="I3481" s="9">
        <f>Q3450</f>
        <v/>
      </c>
      <c r="J3481" s="7">
        <f>I3481*G3481</f>
        <v/>
      </c>
      <c r="K3481" s="8">
        <f>IF($J$3504=0,0,J3481/$J$3504)</f>
        <v/>
      </c>
      <c r="L3481" s="6" t="inlineStr">
        <is>
          <t>WATCHLIST</t>
        </is>
      </c>
      <c r="M3481" s="8" t="n">
        <v>0</v>
      </c>
      <c r="N3481" s="7">
        <f>M3481*$J$3504-J3481</f>
        <v/>
      </c>
      <c r="O3481" s="9">
        <f>IF(G3481=0,0,N3481/G3481)</f>
        <v/>
      </c>
      <c r="P3481" s="6">
        <f>IF(M3481&gt;0,D3481,"")</f>
        <v/>
      </c>
      <c r="Q3481" s="9">
        <f>I3481+O3481</f>
        <v/>
      </c>
      <c r="R3481" s="7">
        <f>Q3481*G3481</f>
        <v/>
      </c>
      <c r="S3481" s="8">
        <f>IF($R$3504=0,0,R3481/$R$3504)</f>
        <v/>
      </c>
      <c r="T3481" s="8" t="n">
        <v>0.01598833504646135</v>
      </c>
      <c r="U3481" s="8" t="n">
        <v>0.009719981848395287</v>
      </c>
      <c r="V3481" s="6" t="inlineStr">
        <is>
          <t>not selected</t>
        </is>
      </c>
    </row>
    <row r="3482">
      <c r="A3482" s="6" t="inlineStr">
        <is>
          <t>DJ30</t>
        </is>
      </c>
      <c r="B3482" s="6" t="inlineStr">
        <is>
          <t>2025-02-28</t>
        </is>
      </c>
      <c r="C3482" s="6" t="inlineStr">
        <is>
          <t>DIA</t>
        </is>
      </c>
      <c r="D3482" s="6" t="inlineStr">
        <is>
          <t>CVX</t>
        </is>
      </c>
      <c r="E3482" s="6" t="inlineStr">
        <is>
          <t>CVX</t>
        </is>
      </c>
      <c r="F3482" s="6" t="inlineStr">
        <is>
          <t>-</t>
        </is>
      </c>
      <c r="G3482" s="7" t="n">
        <v>150.4115447998047</v>
      </c>
      <c r="H3482" s="6">
        <f>P3451</f>
        <v/>
      </c>
      <c r="I3482" s="9">
        <f>Q3451</f>
        <v/>
      </c>
      <c r="J3482" s="7">
        <f>I3482*G3482</f>
        <v/>
      </c>
      <c r="K3482" s="8">
        <f>IF($J$3504=0,0,J3482/$J$3504)</f>
        <v/>
      </c>
      <c r="L3482" s="6" t="inlineStr">
        <is>
          <t>REJECTED</t>
        </is>
      </c>
      <c r="M3482" s="8" t="n">
        <v>0</v>
      </c>
      <c r="N3482" s="7">
        <f>M3482*$J$3504-J3482</f>
        <v/>
      </c>
      <c r="O3482" s="9">
        <f>IF(G3482=0,0,N3482/G3482)</f>
        <v/>
      </c>
      <c r="P3482" s="6">
        <f>IF(M3482&gt;0,D3482,"")</f>
        <v/>
      </c>
      <c r="Q3482" s="9">
        <f>I3482+O3482</f>
        <v/>
      </c>
      <c r="R3482" s="7">
        <f>Q3482*G3482</f>
        <v/>
      </c>
      <c r="S3482" s="8">
        <f>IF($R$3504=0,0,R3482/$R$3504)</f>
        <v/>
      </c>
      <c r="T3482" s="8" t="n">
        <v>0.01598833504646135</v>
      </c>
      <c r="U3482" s="8" t="n">
        <v>0.009719981848395287</v>
      </c>
      <c r="V3482" s="6" t="inlineStr">
        <is>
          <t>not selected</t>
        </is>
      </c>
    </row>
    <row r="3483">
      <c r="A3483" s="6" t="inlineStr">
        <is>
          <t>DJ30</t>
        </is>
      </c>
      <c r="B3483" s="6" t="inlineStr">
        <is>
          <t>2025-02-28</t>
        </is>
      </c>
      <c r="C3483" s="6" t="inlineStr">
        <is>
          <t>DIA</t>
        </is>
      </c>
      <c r="D3483" s="6" t="inlineStr">
        <is>
          <t>DIS</t>
        </is>
      </c>
      <c r="E3483" s="6" t="inlineStr">
        <is>
          <t>DIS</t>
        </is>
      </c>
      <c r="F3483" s="6" t="inlineStr">
        <is>
          <t>-</t>
        </is>
      </c>
      <c r="G3483" s="7" t="n">
        <v>112.5552368164062</v>
      </c>
      <c r="H3483" s="6">
        <f>P3452</f>
        <v/>
      </c>
      <c r="I3483" s="9">
        <f>Q3452</f>
        <v/>
      </c>
      <c r="J3483" s="7">
        <f>I3483*G3483</f>
        <v/>
      </c>
      <c r="K3483" s="8">
        <f>IF($J$3504=0,0,J3483/$J$3504)</f>
        <v/>
      </c>
      <c r="L3483" s="6" t="inlineStr">
        <is>
          <t>REJECTED</t>
        </is>
      </c>
      <c r="M3483" s="8" t="n">
        <v>0</v>
      </c>
      <c r="N3483" s="7">
        <f>M3483*$J$3504-J3483</f>
        <v/>
      </c>
      <c r="O3483" s="9">
        <f>IF(G3483=0,0,N3483/G3483)</f>
        <v/>
      </c>
      <c r="P3483" s="6">
        <f>IF(M3483&gt;0,D3483,"")</f>
        <v/>
      </c>
      <c r="Q3483" s="9">
        <f>I3483+O3483</f>
        <v/>
      </c>
      <c r="R3483" s="7">
        <f>Q3483*G3483</f>
        <v/>
      </c>
      <c r="S3483" s="8">
        <f>IF($R$3504=0,0,R3483/$R$3504)</f>
        <v/>
      </c>
      <c r="T3483" s="8" t="n">
        <v>0.01598833504646135</v>
      </c>
      <c r="U3483" s="8" t="n">
        <v>0.009719981848395287</v>
      </c>
      <c r="V3483" s="6" t="inlineStr">
        <is>
          <t>not selected</t>
        </is>
      </c>
    </row>
    <row r="3484">
      <c r="A3484" s="6" t="inlineStr">
        <is>
          <t>DJ30</t>
        </is>
      </c>
      <c r="B3484" s="6" t="inlineStr">
        <is>
          <t>2025-02-28</t>
        </is>
      </c>
      <c r="C3484" s="6" t="inlineStr">
        <is>
          <t>DIA</t>
        </is>
      </c>
      <c r="D3484" s="6" t="inlineStr">
        <is>
          <t>GS</t>
        </is>
      </c>
      <c r="E3484" s="6" t="inlineStr">
        <is>
          <t>GS</t>
        </is>
      </c>
      <c r="F3484" s="6" t="inlineStr">
        <is>
          <t>-</t>
        </is>
      </c>
      <c r="G3484" s="7" t="n">
        <v>606.984619140625</v>
      </c>
      <c r="H3484" s="6">
        <f>P3453</f>
        <v/>
      </c>
      <c r="I3484" s="9">
        <f>Q3453</f>
        <v/>
      </c>
      <c r="J3484" s="7">
        <f>I3484*G3484</f>
        <v/>
      </c>
      <c r="K3484" s="8">
        <f>IF($J$3504=0,0,J3484/$J$3504)</f>
        <v/>
      </c>
      <c r="L3484" s="6" t="inlineStr">
        <is>
          <t>WATCHLIST</t>
        </is>
      </c>
      <c r="M3484" s="8" t="n">
        <v>0</v>
      </c>
      <c r="N3484" s="7">
        <f>M3484*$J$3504-J3484</f>
        <v/>
      </c>
      <c r="O3484" s="9">
        <f>IF(G3484=0,0,N3484/G3484)</f>
        <v/>
      </c>
      <c r="P3484" s="6">
        <f>IF(M3484&gt;0,D3484,"")</f>
        <v/>
      </c>
      <c r="Q3484" s="9">
        <f>I3484+O3484</f>
        <v/>
      </c>
      <c r="R3484" s="7">
        <f>Q3484*G3484</f>
        <v/>
      </c>
      <c r="S3484" s="8">
        <f>IF($R$3504=0,0,R3484/$R$3504)</f>
        <v/>
      </c>
      <c r="T3484" s="8" t="n">
        <v>0.01598833504646135</v>
      </c>
      <c r="U3484" s="8" t="n">
        <v>0.009719981848395287</v>
      </c>
      <c r="V3484" s="6" t="inlineStr">
        <is>
          <t>not selected</t>
        </is>
      </c>
    </row>
    <row r="3485">
      <c r="A3485" s="6" t="inlineStr">
        <is>
          <t>DJ30</t>
        </is>
      </c>
      <c r="B3485" s="6" t="inlineStr">
        <is>
          <t>2025-02-28</t>
        </is>
      </c>
      <c r="C3485" s="6" t="inlineStr">
        <is>
          <t>DIA</t>
        </is>
      </c>
      <c r="D3485" s="6" t="inlineStr">
        <is>
          <t>HD</t>
        </is>
      </c>
      <c r="E3485" s="6" t="inlineStr">
        <is>
          <t>HD</t>
        </is>
      </c>
      <c r="F3485" s="6" t="inlineStr">
        <is>
          <t>-</t>
        </is>
      </c>
      <c r="G3485" s="7" t="n">
        <v>381.5213012695313</v>
      </c>
      <c r="H3485" s="6">
        <f>P3454</f>
        <v/>
      </c>
      <c r="I3485" s="9">
        <f>Q3454</f>
        <v/>
      </c>
      <c r="J3485" s="7">
        <f>I3485*G3485</f>
        <v/>
      </c>
      <c r="K3485" s="8">
        <f>IF($J$3504=0,0,J3485/$J$3504)</f>
        <v/>
      </c>
      <c r="L3485" s="6" t="inlineStr">
        <is>
          <t>WATCHLIST</t>
        </is>
      </c>
      <c r="M3485" s="8" t="n">
        <v>0</v>
      </c>
      <c r="N3485" s="7">
        <f>M3485*$J$3504-J3485</f>
        <v/>
      </c>
      <c r="O3485" s="9">
        <f>IF(G3485=0,0,N3485/G3485)</f>
        <v/>
      </c>
      <c r="P3485" s="6">
        <f>IF(M3485&gt;0,D3485,"")</f>
        <v/>
      </c>
      <c r="Q3485" s="9">
        <f>I3485+O3485</f>
        <v/>
      </c>
      <c r="R3485" s="7">
        <f>Q3485*G3485</f>
        <v/>
      </c>
      <c r="S3485" s="8">
        <f>IF($R$3504=0,0,R3485/$R$3504)</f>
        <v/>
      </c>
      <c r="T3485" s="8" t="n">
        <v>0.01598833504646135</v>
      </c>
      <c r="U3485" s="8" t="n">
        <v>0.009719981848395287</v>
      </c>
      <c r="V3485" s="6" t="inlineStr">
        <is>
          <t>not selected</t>
        </is>
      </c>
    </row>
    <row r="3486">
      <c r="A3486" s="6" t="inlineStr">
        <is>
          <t>DJ30</t>
        </is>
      </c>
      <c r="B3486" s="6" t="inlineStr">
        <is>
          <t>2025-02-28</t>
        </is>
      </c>
      <c r="C3486" s="6" t="inlineStr">
        <is>
          <t>DIA</t>
        </is>
      </c>
      <c r="D3486" s="6" t="inlineStr">
        <is>
          <t>HON</t>
        </is>
      </c>
      <c r="E3486" s="6" t="inlineStr">
        <is>
          <t>HON</t>
        </is>
      </c>
      <c r="F3486" s="6" t="inlineStr">
        <is>
          <t>-</t>
        </is>
      </c>
      <c r="G3486" s="7" t="n">
        <v>195.3651275634766</v>
      </c>
      <c r="H3486" s="6">
        <f>P3455</f>
        <v/>
      </c>
      <c r="I3486" s="9">
        <f>Q3455</f>
        <v/>
      </c>
      <c r="J3486" s="7">
        <f>I3486*G3486</f>
        <v/>
      </c>
      <c r="K3486" s="8">
        <f>IF($J$3504=0,0,J3486/$J$3504)</f>
        <v/>
      </c>
      <c r="L3486" s="6" t="inlineStr">
        <is>
          <t>WATCHLIST</t>
        </is>
      </c>
      <c r="M3486" s="8" t="n">
        <v>0</v>
      </c>
      <c r="N3486" s="7">
        <f>M3486*$J$3504-J3486</f>
        <v/>
      </c>
      <c r="O3486" s="9">
        <f>IF(G3486=0,0,N3486/G3486)</f>
        <v/>
      </c>
      <c r="P3486" s="6">
        <f>IF(M3486&gt;0,D3486,"")</f>
        <v/>
      </c>
      <c r="Q3486" s="9">
        <f>I3486+O3486</f>
        <v/>
      </c>
      <c r="R3486" s="7">
        <f>Q3486*G3486</f>
        <v/>
      </c>
      <c r="S3486" s="8">
        <f>IF($R$3504=0,0,R3486/$R$3504)</f>
        <v/>
      </c>
      <c r="T3486" s="8" t="n">
        <v>0.01598833504646135</v>
      </c>
      <c r="U3486" s="8" t="n">
        <v>0.009719981848395287</v>
      </c>
      <c r="V3486" s="6" t="inlineStr">
        <is>
          <t>not selected</t>
        </is>
      </c>
    </row>
    <row r="3487">
      <c r="A3487" s="6" t="inlineStr">
        <is>
          <t>DJ30</t>
        </is>
      </c>
      <c r="B3487" s="6" t="inlineStr">
        <is>
          <t>2025-02-28</t>
        </is>
      </c>
      <c r="C3487" s="6" t="inlineStr">
        <is>
          <t>DIA</t>
        </is>
      </c>
      <c r="D3487" s="6" t="inlineStr">
        <is>
          <t>IBM</t>
        </is>
      </c>
      <c r="E3487" s="6" t="inlineStr">
        <is>
          <t>IBM</t>
        </is>
      </c>
      <c r="F3487" s="6" t="inlineStr">
        <is>
          <t>-</t>
        </is>
      </c>
      <c r="G3487" s="7" t="n">
        <v>244.5172729492188</v>
      </c>
      <c r="H3487" s="6">
        <f>P3456</f>
        <v/>
      </c>
      <c r="I3487" s="9">
        <f>Q3456</f>
        <v/>
      </c>
      <c r="J3487" s="7">
        <f>I3487*G3487</f>
        <v/>
      </c>
      <c r="K3487" s="8">
        <f>IF($J$3504=0,0,J3487/$J$3504)</f>
        <v/>
      </c>
      <c r="L3487" s="6" t="inlineStr">
        <is>
          <t>SELECTED</t>
        </is>
      </c>
      <c r="M3487" s="8" t="n">
        <v>0.2</v>
      </c>
      <c r="N3487" s="7">
        <f>M3487*$J$3504-J3487</f>
        <v/>
      </c>
      <c r="O3487" s="9">
        <f>IF(G3487=0,0,N3487/G3487)</f>
        <v/>
      </c>
      <c r="P3487" s="6">
        <f>IF(M3487&gt;0,D3487,"")</f>
        <v/>
      </c>
      <c r="Q3487" s="9">
        <f>I3487+O3487</f>
        <v/>
      </c>
      <c r="R3487" s="7">
        <f>Q3487*G3487</f>
        <v/>
      </c>
      <c r="S3487" s="8">
        <f>IF($R$3504=0,0,R3487/$R$3504)</f>
        <v/>
      </c>
      <c r="T3487" s="8" t="n">
        <v>0.01598833504646135</v>
      </c>
      <c r="U3487" s="8" t="n">
        <v>0.009719981848395287</v>
      </c>
      <c r="V3487" s="6" t="inlineStr">
        <is>
          <t>remained in weekly selection</t>
        </is>
      </c>
    </row>
    <row r="3488">
      <c r="A3488" s="6" t="inlineStr">
        <is>
          <t>DJ30</t>
        </is>
      </c>
      <c r="B3488" s="6" t="inlineStr">
        <is>
          <t>2025-02-28</t>
        </is>
      </c>
      <c r="C3488" s="6" t="inlineStr">
        <is>
          <t>DIA</t>
        </is>
      </c>
      <c r="D3488" s="6" t="inlineStr">
        <is>
          <t>JNJ</t>
        </is>
      </c>
      <c r="E3488" s="6" t="inlineStr">
        <is>
          <t>JNJ</t>
        </is>
      </c>
      <c r="F3488" s="6" t="inlineStr">
        <is>
          <t>-</t>
        </is>
      </c>
      <c r="G3488" s="7" t="n">
        <v>159.6288299560547</v>
      </c>
      <c r="H3488" s="6">
        <f>P3457</f>
        <v/>
      </c>
      <c r="I3488" s="9">
        <f>Q3457</f>
        <v/>
      </c>
      <c r="J3488" s="7">
        <f>I3488*G3488</f>
        <v/>
      </c>
      <c r="K3488" s="8">
        <f>IF($J$3504=0,0,J3488/$J$3504)</f>
        <v/>
      </c>
      <c r="L3488" s="6" t="inlineStr">
        <is>
          <t>REJECTED</t>
        </is>
      </c>
      <c r="M3488" s="8" t="n">
        <v>0</v>
      </c>
      <c r="N3488" s="7">
        <f>M3488*$J$3504-J3488</f>
        <v/>
      </c>
      <c r="O3488" s="9">
        <f>IF(G3488=0,0,N3488/G3488)</f>
        <v/>
      </c>
      <c r="P3488" s="6">
        <f>IF(M3488&gt;0,D3488,"")</f>
        <v/>
      </c>
      <c r="Q3488" s="9">
        <f>I3488+O3488</f>
        <v/>
      </c>
      <c r="R3488" s="7">
        <f>Q3488*G3488</f>
        <v/>
      </c>
      <c r="S3488" s="8">
        <f>IF($R$3504=0,0,R3488/$R$3504)</f>
        <v/>
      </c>
      <c r="T3488" s="8" t="n">
        <v>0.01598833504646135</v>
      </c>
      <c r="U3488" s="8" t="n">
        <v>0.009719981848395287</v>
      </c>
      <c r="V3488" s="6" t="inlineStr">
        <is>
          <t>not selected</t>
        </is>
      </c>
    </row>
    <row r="3489">
      <c r="A3489" s="6" t="inlineStr">
        <is>
          <t>DJ30</t>
        </is>
      </c>
      <c r="B3489" s="6" t="inlineStr">
        <is>
          <t>2025-02-28</t>
        </is>
      </c>
      <c r="C3489" s="6" t="inlineStr">
        <is>
          <t>DIA</t>
        </is>
      </c>
      <c r="D3489" s="6" t="inlineStr">
        <is>
          <t>JPM</t>
        </is>
      </c>
      <c r="E3489" s="6" t="inlineStr">
        <is>
          <t>JPM</t>
        </is>
      </c>
      <c r="F3489" s="6" t="inlineStr">
        <is>
          <t>-</t>
        </is>
      </c>
      <c r="G3489" s="7" t="n">
        <v>258.0120544433594</v>
      </c>
      <c r="H3489" s="6">
        <f>P3458</f>
        <v/>
      </c>
      <c r="I3489" s="9">
        <f>Q3458</f>
        <v/>
      </c>
      <c r="J3489" s="7">
        <f>I3489*G3489</f>
        <v/>
      </c>
      <c r="K3489" s="8">
        <f>IF($J$3504=0,0,J3489/$J$3504)</f>
        <v/>
      </c>
      <c r="L3489" s="6" t="inlineStr">
        <is>
          <t>SELECTED</t>
        </is>
      </c>
      <c r="M3489" s="8" t="n">
        <v>0.2</v>
      </c>
      <c r="N3489" s="7">
        <f>M3489*$J$3504-J3489</f>
        <v/>
      </c>
      <c r="O3489" s="9">
        <f>IF(G3489=0,0,N3489/G3489)</f>
        <v/>
      </c>
      <c r="P3489" s="6">
        <f>IF(M3489&gt;0,D3489,"")</f>
        <v/>
      </c>
      <c r="Q3489" s="9">
        <f>I3489+O3489</f>
        <v/>
      </c>
      <c r="R3489" s="7">
        <f>Q3489*G3489</f>
        <v/>
      </c>
      <c r="S3489" s="8">
        <f>IF($R$3504=0,0,R3489/$R$3504)</f>
        <v/>
      </c>
      <c r="T3489" s="8" t="n">
        <v>0.01598833504646135</v>
      </c>
      <c r="U3489" s="8" t="n">
        <v>0.009719981848395287</v>
      </c>
      <c r="V3489" s="6" t="inlineStr">
        <is>
          <t>entered weekly selection</t>
        </is>
      </c>
    </row>
    <row r="3490">
      <c r="A3490" s="6" t="inlineStr">
        <is>
          <t>DJ30</t>
        </is>
      </c>
      <c r="B3490" s="6" t="inlineStr">
        <is>
          <t>2025-02-28</t>
        </is>
      </c>
      <c r="C3490" s="6" t="inlineStr">
        <is>
          <t>DIA</t>
        </is>
      </c>
      <c r="D3490" s="6" t="inlineStr">
        <is>
          <t>KO</t>
        </is>
      </c>
      <c r="E3490" s="6" t="inlineStr">
        <is>
          <t>KO</t>
        </is>
      </c>
      <c r="F3490" s="6" t="inlineStr">
        <is>
          <t>-</t>
        </is>
      </c>
      <c r="G3490" s="7" t="n">
        <v>68.25624084472656</v>
      </c>
      <c r="H3490" s="6">
        <f>P3459</f>
        <v/>
      </c>
      <c r="I3490" s="9">
        <f>Q3459</f>
        <v/>
      </c>
      <c r="J3490" s="7">
        <f>I3490*G3490</f>
        <v/>
      </c>
      <c r="K3490" s="8">
        <f>IF($J$3504=0,0,J3490/$J$3504)</f>
        <v/>
      </c>
      <c r="L3490" s="6" t="inlineStr">
        <is>
          <t>REJECTED</t>
        </is>
      </c>
      <c r="M3490" s="8" t="n">
        <v>0</v>
      </c>
      <c r="N3490" s="7">
        <f>M3490*$J$3504-J3490</f>
        <v/>
      </c>
      <c r="O3490" s="9">
        <f>IF(G3490=0,0,N3490/G3490)</f>
        <v/>
      </c>
      <c r="P3490" s="6">
        <f>IF(M3490&gt;0,D3490,"")</f>
        <v/>
      </c>
      <c r="Q3490" s="9">
        <f>I3490+O3490</f>
        <v/>
      </c>
      <c r="R3490" s="7">
        <f>Q3490*G3490</f>
        <v/>
      </c>
      <c r="S3490" s="8">
        <f>IF($R$3504=0,0,R3490/$R$3504)</f>
        <v/>
      </c>
      <c r="T3490" s="8" t="n">
        <v>0.01598833504646135</v>
      </c>
      <c r="U3490" s="8" t="n">
        <v>0.009719981848395287</v>
      </c>
      <c r="V3490" s="6" t="inlineStr">
        <is>
          <t>not selected</t>
        </is>
      </c>
    </row>
    <row r="3491">
      <c r="A3491" s="6" t="inlineStr">
        <is>
          <t>DJ30</t>
        </is>
      </c>
      <c r="B3491" s="6" t="inlineStr">
        <is>
          <t>2025-02-28</t>
        </is>
      </c>
      <c r="C3491" s="6" t="inlineStr">
        <is>
          <t>DIA</t>
        </is>
      </c>
      <c r="D3491" s="6" t="inlineStr">
        <is>
          <t>MCD</t>
        </is>
      </c>
      <c r="E3491" s="6" t="inlineStr">
        <is>
          <t>MCD</t>
        </is>
      </c>
      <c r="F3491" s="6" t="inlineStr">
        <is>
          <t>-</t>
        </is>
      </c>
      <c r="G3491" s="7" t="n">
        <v>297.6099853515625</v>
      </c>
      <c r="H3491" s="6">
        <f>P3460</f>
        <v/>
      </c>
      <c r="I3491" s="9">
        <f>Q3460</f>
        <v/>
      </c>
      <c r="J3491" s="7">
        <f>I3491*G3491</f>
        <v/>
      </c>
      <c r="K3491" s="8">
        <f>IF($J$3504=0,0,J3491/$J$3504)</f>
        <v/>
      </c>
      <c r="L3491" s="6" t="inlineStr">
        <is>
          <t>WATCHLIST</t>
        </is>
      </c>
      <c r="M3491" s="8" t="n">
        <v>0</v>
      </c>
      <c r="N3491" s="7">
        <f>M3491*$J$3504-J3491</f>
        <v/>
      </c>
      <c r="O3491" s="9">
        <f>IF(G3491=0,0,N3491/G3491)</f>
        <v/>
      </c>
      <c r="P3491" s="6">
        <f>IF(M3491&gt;0,D3491,"")</f>
        <v/>
      </c>
      <c r="Q3491" s="9">
        <f>I3491+O3491</f>
        <v/>
      </c>
      <c r="R3491" s="7">
        <f>Q3491*G3491</f>
        <v/>
      </c>
      <c r="S3491" s="8">
        <f>IF($R$3504=0,0,R3491/$R$3504)</f>
        <v/>
      </c>
      <c r="T3491" s="8" t="n">
        <v>0.01598833504646135</v>
      </c>
      <c r="U3491" s="8" t="n">
        <v>0.009719981848395287</v>
      </c>
      <c r="V3491" s="6" t="inlineStr">
        <is>
          <t>not selected</t>
        </is>
      </c>
    </row>
    <row r="3492">
      <c r="A3492" s="6" t="inlineStr">
        <is>
          <t>DJ30</t>
        </is>
      </c>
      <c r="B3492" s="6" t="inlineStr">
        <is>
          <t>2025-02-28</t>
        </is>
      </c>
      <c r="C3492" s="6" t="inlineStr">
        <is>
          <t>DIA</t>
        </is>
      </c>
      <c r="D3492" s="6" t="inlineStr">
        <is>
          <t>MMM</t>
        </is>
      </c>
      <c r="E3492" s="6" t="inlineStr">
        <is>
          <t>MMM</t>
        </is>
      </c>
      <c r="F3492" s="6" t="inlineStr">
        <is>
          <t>-</t>
        </is>
      </c>
      <c r="G3492" s="7" t="n">
        <v>151.5294799804688</v>
      </c>
      <c r="H3492" s="6">
        <f>P3461</f>
        <v/>
      </c>
      <c r="I3492" s="9">
        <f>Q3461</f>
        <v/>
      </c>
      <c r="J3492" s="7">
        <f>I3492*G3492</f>
        <v/>
      </c>
      <c r="K3492" s="8">
        <f>IF($J$3504=0,0,J3492/$J$3504)</f>
        <v/>
      </c>
      <c r="L3492" s="6" t="inlineStr">
        <is>
          <t>SELECTED</t>
        </is>
      </c>
      <c r="M3492" s="8" t="n">
        <v>0.2</v>
      </c>
      <c r="N3492" s="7">
        <f>M3492*$J$3504-J3492</f>
        <v/>
      </c>
      <c r="O3492" s="9">
        <f>IF(G3492=0,0,N3492/G3492)</f>
        <v/>
      </c>
      <c r="P3492" s="6">
        <f>IF(M3492&gt;0,D3492,"")</f>
        <v/>
      </c>
      <c r="Q3492" s="9">
        <f>I3492+O3492</f>
        <v/>
      </c>
      <c r="R3492" s="7">
        <f>Q3492*G3492</f>
        <v/>
      </c>
      <c r="S3492" s="8">
        <f>IF($R$3504=0,0,R3492/$R$3504)</f>
        <v/>
      </c>
      <c r="T3492" s="8" t="n">
        <v>0.01598833504646135</v>
      </c>
      <c r="U3492" s="8" t="n">
        <v>0.009719981848395287</v>
      </c>
      <c r="V3492" s="6" t="inlineStr">
        <is>
          <t>remained in weekly selection</t>
        </is>
      </c>
    </row>
    <row r="3493">
      <c r="A3493" s="6" t="inlineStr">
        <is>
          <t>DJ30</t>
        </is>
      </c>
      <c r="B3493" s="6" t="inlineStr">
        <is>
          <t>2025-02-28</t>
        </is>
      </c>
      <c r="C3493" s="6" t="inlineStr">
        <is>
          <t>DIA</t>
        </is>
      </c>
      <c r="D3493" s="6" t="inlineStr">
        <is>
          <t>MRK</t>
        </is>
      </c>
      <c r="E3493" s="6" t="inlineStr">
        <is>
          <t>MRK</t>
        </is>
      </c>
      <c r="F3493" s="6" t="inlineStr">
        <is>
          <t>-</t>
        </is>
      </c>
      <c r="G3493" s="7" t="n">
        <v>87.62378692626953</v>
      </c>
      <c r="H3493" s="6">
        <f>P3462</f>
        <v/>
      </c>
      <c r="I3493" s="9">
        <f>Q3462</f>
        <v/>
      </c>
      <c r="J3493" s="7">
        <f>I3493*G3493</f>
        <v/>
      </c>
      <c r="K3493" s="8">
        <f>IF($J$3504=0,0,J3493/$J$3504)</f>
        <v/>
      </c>
      <c r="L3493" s="6" t="inlineStr">
        <is>
          <t>REJECTED</t>
        </is>
      </c>
      <c r="M3493" s="8" t="n">
        <v>0</v>
      </c>
      <c r="N3493" s="7">
        <f>M3493*$J$3504-J3493</f>
        <v/>
      </c>
      <c r="O3493" s="9">
        <f>IF(G3493=0,0,N3493/G3493)</f>
        <v/>
      </c>
      <c r="P3493" s="6">
        <f>IF(M3493&gt;0,D3493,"")</f>
        <v/>
      </c>
      <c r="Q3493" s="9">
        <f>I3493+O3493</f>
        <v/>
      </c>
      <c r="R3493" s="7">
        <f>Q3493*G3493</f>
        <v/>
      </c>
      <c r="S3493" s="8">
        <f>IF($R$3504=0,0,R3493/$R$3504)</f>
        <v/>
      </c>
      <c r="T3493" s="8" t="n">
        <v>0.01598833504646135</v>
      </c>
      <c r="U3493" s="8" t="n">
        <v>0.009719981848395287</v>
      </c>
      <c r="V3493" s="6" t="inlineStr">
        <is>
          <t>not selected</t>
        </is>
      </c>
    </row>
    <row r="3494">
      <c r="A3494" s="6" t="inlineStr">
        <is>
          <t>DJ30</t>
        </is>
      </c>
      <c r="B3494" s="6" t="inlineStr">
        <is>
          <t>2025-02-28</t>
        </is>
      </c>
      <c r="C3494" s="6" t="inlineStr">
        <is>
          <t>DIA</t>
        </is>
      </c>
      <c r="D3494" s="6" t="inlineStr">
        <is>
          <t>MSFT</t>
        </is>
      </c>
      <c r="E3494" s="6" t="inlineStr">
        <is>
          <t>MSFT</t>
        </is>
      </c>
      <c r="F3494" s="6" t="inlineStr">
        <is>
          <t>-</t>
        </is>
      </c>
      <c r="G3494" s="7" t="n">
        <v>393.1224365234375</v>
      </c>
      <c r="H3494" s="6">
        <f>P3463</f>
        <v/>
      </c>
      <c r="I3494" s="9">
        <f>Q3463</f>
        <v/>
      </c>
      <c r="J3494" s="7">
        <f>I3494*G3494</f>
        <v/>
      </c>
      <c r="K3494" s="8">
        <f>IF($J$3504=0,0,J3494/$J$3504)</f>
        <v/>
      </c>
      <c r="L3494" s="6" t="inlineStr">
        <is>
          <t>REJECTED</t>
        </is>
      </c>
      <c r="M3494" s="8" t="n">
        <v>0</v>
      </c>
      <c r="N3494" s="7">
        <f>M3494*$J$3504-J3494</f>
        <v/>
      </c>
      <c r="O3494" s="9">
        <f>IF(G3494=0,0,N3494/G3494)</f>
        <v/>
      </c>
      <c r="P3494" s="6">
        <f>IF(M3494&gt;0,D3494,"")</f>
        <v/>
      </c>
      <c r="Q3494" s="9">
        <f>I3494+O3494</f>
        <v/>
      </c>
      <c r="R3494" s="7">
        <f>Q3494*G3494</f>
        <v/>
      </c>
      <c r="S3494" s="8">
        <f>IF($R$3504=0,0,R3494/$R$3504)</f>
        <v/>
      </c>
      <c r="T3494" s="8" t="n">
        <v>0.01598833504646135</v>
      </c>
      <c r="U3494" s="8" t="n">
        <v>0.009719981848395287</v>
      </c>
      <c r="V3494" s="6" t="inlineStr">
        <is>
          <t>not selected</t>
        </is>
      </c>
    </row>
    <row r="3495">
      <c r="A3495" s="6" t="inlineStr">
        <is>
          <t>DJ30</t>
        </is>
      </c>
      <c r="B3495" s="6" t="inlineStr">
        <is>
          <t>2025-02-28</t>
        </is>
      </c>
      <c r="C3495" s="6" t="inlineStr">
        <is>
          <t>DIA</t>
        </is>
      </c>
      <c r="D3495" s="6" t="inlineStr">
        <is>
          <t>NKE</t>
        </is>
      </c>
      <c r="E3495" s="6" t="inlineStr">
        <is>
          <t>NKE</t>
        </is>
      </c>
      <c r="F3495" s="6" t="inlineStr">
        <is>
          <t>-</t>
        </is>
      </c>
      <c r="G3495" s="7" t="n">
        <v>76.41145324707031</v>
      </c>
      <c r="H3495" s="6">
        <f>P3464</f>
        <v/>
      </c>
      <c r="I3495" s="9">
        <f>Q3464</f>
        <v/>
      </c>
      <c r="J3495" s="7">
        <f>I3495*G3495</f>
        <v/>
      </c>
      <c r="K3495" s="8">
        <f>IF($J$3504=0,0,J3495/$J$3504)</f>
        <v/>
      </c>
      <c r="L3495" s="6" t="inlineStr">
        <is>
          <t>REJECTED</t>
        </is>
      </c>
      <c r="M3495" s="8" t="n">
        <v>0</v>
      </c>
      <c r="N3495" s="7">
        <f>M3495*$J$3504-J3495</f>
        <v/>
      </c>
      <c r="O3495" s="9">
        <f>IF(G3495=0,0,N3495/G3495)</f>
        <v/>
      </c>
      <c r="P3495" s="6">
        <f>IF(M3495&gt;0,D3495,"")</f>
        <v/>
      </c>
      <c r="Q3495" s="9">
        <f>I3495+O3495</f>
        <v/>
      </c>
      <c r="R3495" s="7">
        <f>Q3495*G3495</f>
        <v/>
      </c>
      <c r="S3495" s="8">
        <f>IF($R$3504=0,0,R3495/$R$3504)</f>
        <v/>
      </c>
      <c r="T3495" s="8" t="n">
        <v>0.01598833504646135</v>
      </c>
      <c r="U3495" s="8" t="n">
        <v>0.009719981848395287</v>
      </c>
      <c r="V3495" s="6" t="inlineStr">
        <is>
          <t>not selected</t>
        </is>
      </c>
    </row>
    <row r="3496">
      <c r="A3496" s="6" t="inlineStr">
        <is>
          <t>DJ30</t>
        </is>
      </c>
      <c r="B3496" s="6" t="inlineStr">
        <is>
          <t>2025-02-28</t>
        </is>
      </c>
      <c r="C3496" s="6" t="inlineStr">
        <is>
          <t>DIA</t>
        </is>
      </c>
      <c r="D3496" s="6" t="inlineStr">
        <is>
          <t>NVDA</t>
        </is>
      </c>
      <c r="E3496" s="6" t="inlineStr">
        <is>
          <t>NVDA</t>
        </is>
      </c>
      <c r="F3496" s="6" t="inlineStr">
        <is>
          <t>-</t>
        </is>
      </c>
      <c r="G3496" s="7" t="n">
        <v>124.7337112426758</v>
      </c>
      <c r="H3496" s="6">
        <f>P3465</f>
        <v/>
      </c>
      <c r="I3496" s="9">
        <f>Q3465</f>
        <v/>
      </c>
      <c r="J3496" s="7">
        <f>I3496*G3496</f>
        <v/>
      </c>
      <c r="K3496" s="8">
        <f>IF($J$3504=0,0,J3496/$J$3504)</f>
        <v/>
      </c>
      <c r="L3496" s="6" t="inlineStr">
        <is>
          <t>SELECTED</t>
        </is>
      </c>
      <c r="M3496" s="8" t="n">
        <v>0.2</v>
      </c>
      <c r="N3496" s="7">
        <f>M3496*$J$3504-J3496</f>
        <v/>
      </c>
      <c r="O3496" s="9">
        <f>IF(G3496=0,0,N3496/G3496)</f>
        <v/>
      </c>
      <c r="P3496" s="6">
        <f>IF(M3496&gt;0,D3496,"")</f>
        <v/>
      </c>
      <c r="Q3496" s="9">
        <f>I3496+O3496</f>
        <v/>
      </c>
      <c r="R3496" s="7">
        <f>Q3496*G3496</f>
        <v/>
      </c>
      <c r="S3496" s="8">
        <f>IF($R$3504=0,0,R3496/$R$3504)</f>
        <v/>
      </c>
      <c r="T3496" s="8" t="n">
        <v>0.01598833504646135</v>
      </c>
      <c r="U3496" s="8" t="n">
        <v>0.009719981848395287</v>
      </c>
      <c r="V3496" s="6" t="inlineStr">
        <is>
          <t>remained in weekly selection</t>
        </is>
      </c>
    </row>
    <row r="3497">
      <c r="A3497" s="6" t="inlineStr">
        <is>
          <t>DJ30</t>
        </is>
      </c>
      <c r="B3497" s="6" t="inlineStr">
        <is>
          <t>2025-02-28</t>
        </is>
      </c>
      <c r="C3497" s="6" t="inlineStr">
        <is>
          <t>DIA</t>
        </is>
      </c>
      <c r="D3497" s="6" t="inlineStr">
        <is>
          <t>PG</t>
        </is>
      </c>
      <c r="E3497" s="6" t="inlineStr">
        <is>
          <t>PG</t>
        </is>
      </c>
      <c r="F3497" s="6" t="inlineStr">
        <is>
          <t>-</t>
        </is>
      </c>
      <c r="G3497" s="7" t="n">
        <v>167.9322357177734</v>
      </c>
      <c r="H3497" s="6">
        <f>P3466</f>
        <v/>
      </c>
      <c r="I3497" s="9">
        <f>Q3466</f>
        <v/>
      </c>
      <c r="J3497" s="7">
        <f>I3497*G3497</f>
        <v/>
      </c>
      <c r="K3497" s="8">
        <f>IF($J$3504=0,0,J3497/$J$3504)</f>
        <v/>
      </c>
      <c r="L3497" s="6" t="inlineStr">
        <is>
          <t>WATCHLIST</t>
        </is>
      </c>
      <c r="M3497" s="8" t="n">
        <v>0</v>
      </c>
      <c r="N3497" s="7">
        <f>M3497*$J$3504-J3497</f>
        <v/>
      </c>
      <c r="O3497" s="9">
        <f>IF(G3497=0,0,N3497/G3497)</f>
        <v/>
      </c>
      <c r="P3497" s="6">
        <f>IF(M3497&gt;0,D3497,"")</f>
        <v/>
      </c>
      <c r="Q3497" s="9">
        <f>I3497+O3497</f>
        <v/>
      </c>
      <c r="R3497" s="7">
        <f>Q3497*G3497</f>
        <v/>
      </c>
      <c r="S3497" s="8">
        <f>IF($R$3504=0,0,R3497/$R$3504)</f>
        <v/>
      </c>
      <c r="T3497" s="8" t="n">
        <v>0.01598833504646135</v>
      </c>
      <c r="U3497" s="8" t="n">
        <v>0.009719981848395287</v>
      </c>
      <c r="V3497" s="6" t="inlineStr">
        <is>
          <t>not selected</t>
        </is>
      </c>
    </row>
    <row r="3498">
      <c r="A3498" s="6" t="inlineStr">
        <is>
          <t>DJ30</t>
        </is>
      </c>
      <c r="B3498" s="6" t="inlineStr">
        <is>
          <t>2025-02-28</t>
        </is>
      </c>
      <c r="C3498" s="6" t="inlineStr">
        <is>
          <t>DIA</t>
        </is>
      </c>
      <c r="D3498" s="6" t="inlineStr">
        <is>
          <t>SHW</t>
        </is>
      </c>
      <c r="E3498" s="6" t="inlineStr">
        <is>
          <t>SHW</t>
        </is>
      </c>
      <c r="F3498" s="6" t="inlineStr">
        <is>
          <t>-</t>
        </is>
      </c>
      <c r="G3498" s="7" t="n">
        <v>357.3525390625</v>
      </c>
      <c r="H3498" s="6">
        <f>P3467</f>
        <v/>
      </c>
      <c r="I3498" s="9">
        <f>Q3467</f>
        <v/>
      </c>
      <c r="J3498" s="7">
        <f>I3498*G3498</f>
        <v/>
      </c>
      <c r="K3498" s="8">
        <f>IF($J$3504=0,0,J3498/$J$3504)</f>
        <v/>
      </c>
      <c r="L3498" s="6" t="inlineStr">
        <is>
          <t>WATCHLIST</t>
        </is>
      </c>
      <c r="M3498" s="8" t="n">
        <v>0</v>
      </c>
      <c r="N3498" s="7">
        <f>M3498*$J$3504-J3498</f>
        <v/>
      </c>
      <c r="O3498" s="9">
        <f>IF(G3498=0,0,N3498/G3498)</f>
        <v/>
      </c>
      <c r="P3498" s="6">
        <f>IF(M3498&gt;0,D3498,"")</f>
        <v/>
      </c>
      <c r="Q3498" s="9">
        <f>I3498+O3498</f>
        <v/>
      </c>
      <c r="R3498" s="7">
        <f>Q3498*G3498</f>
        <v/>
      </c>
      <c r="S3498" s="8">
        <f>IF($R$3504=0,0,R3498/$R$3504)</f>
        <v/>
      </c>
      <c r="T3498" s="8" t="n">
        <v>0.01598833504646135</v>
      </c>
      <c r="U3498" s="8" t="n">
        <v>0.009719981848395287</v>
      </c>
      <c r="V3498" s="6" t="inlineStr">
        <is>
          <t>not selected</t>
        </is>
      </c>
    </row>
    <row r="3499">
      <c r="A3499" s="6" t="inlineStr">
        <is>
          <t>DJ30</t>
        </is>
      </c>
      <c r="B3499" s="6" t="inlineStr">
        <is>
          <t>2025-02-28</t>
        </is>
      </c>
      <c r="C3499" s="6" t="inlineStr">
        <is>
          <t>DIA</t>
        </is>
      </c>
      <c r="D3499" s="6" t="inlineStr">
        <is>
          <t>TRV</t>
        </is>
      </c>
      <c r="E3499" s="6" t="inlineStr">
        <is>
          <t>TRV</t>
        </is>
      </c>
      <c r="F3499" s="6" t="inlineStr">
        <is>
          <t>-</t>
        </is>
      </c>
      <c r="G3499" s="7" t="n">
        <v>252.3643188476562</v>
      </c>
      <c r="H3499" s="6">
        <f>P3468</f>
        <v/>
      </c>
      <c r="I3499" s="9">
        <f>Q3468</f>
        <v/>
      </c>
      <c r="J3499" s="7">
        <f>I3499*G3499</f>
        <v/>
      </c>
      <c r="K3499" s="8">
        <f>IF($J$3504=0,0,J3499/$J$3504)</f>
        <v/>
      </c>
      <c r="L3499" s="6" t="inlineStr">
        <is>
          <t>WATCHLIST</t>
        </is>
      </c>
      <c r="M3499" s="8" t="n">
        <v>0</v>
      </c>
      <c r="N3499" s="7">
        <f>M3499*$J$3504-J3499</f>
        <v/>
      </c>
      <c r="O3499" s="9">
        <f>IF(G3499=0,0,N3499/G3499)</f>
        <v/>
      </c>
      <c r="P3499" s="6">
        <f>IF(M3499&gt;0,D3499,"")</f>
        <v/>
      </c>
      <c r="Q3499" s="9">
        <f>I3499+O3499</f>
        <v/>
      </c>
      <c r="R3499" s="7">
        <f>Q3499*G3499</f>
        <v/>
      </c>
      <c r="S3499" s="8">
        <f>IF($R$3504=0,0,R3499/$R$3504)</f>
        <v/>
      </c>
      <c r="T3499" s="8" t="n">
        <v>0.01598833504646135</v>
      </c>
      <c r="U3499" s="8" t="n">
        <v>0.009719981848395287</v>
      </c>
      <c r="V3499" s="6" t="inlineStr">
        <is>
          <t>removed from weekly selection</t>
        </is>
      </c>
    </row>
    <row r="3500">
      <c r="A3500" s="6" t="inlineStr">
        <is>
          <t>DJ30</t>
        </is>
      </c>
      <c r="B3500" s="6" t="inlineStr">
        <is>
          <t>2025-02-28</t>
        </is>
      </c>
      <c r="C3500" s="6" t="inlineStr">
        <is>
          <t>DIA</t>
        </is>
      </c>
      <c r="D3500" s="6" t="inlineStr">
        <is>
          <t>UNH</t>
        </is>
      </c>
      <c r="E3500" s="6" t="inlineStr">
        <is>
          <t>UNH</t>
        </is>
      </c>
      <c r="F3500" s="6" t="inlineStr">
        <is>
          <t>-</t>
        </is>
      </c>
      <c r="G3500" s="7" t="n">
        <v>457.3563232421875</v>
      </c>
      <c r="H3500" s="6">
        <f>P3469</f>
        <v/>
      </c>
      <c r="I3500" s="9">
        <f>Q3469</f>
        <v/>
      </c>
      <c r="J3500" s="7">
        <f>I3500*G3500</f>
        <v/>
      </c>
      <c r="K3500" s="8">
        <f>IF($J$3504=0,0,J3500/$J$3504)</f>
        <v/>
      </c>
      <c r="L3500" s="6" t="inlineStr">
        <is>
          <t>REJECTED</t>
        </is>
      </c>
      <c r="M3500" s="8" t="n">
        <v>0</v>
      </c>
      <c r="N3500" s="7">
        <f>M3500*$J$3504-J3500</f>
        <v/>
      </c>
      <c r="O3500" s="9">
        <f>IF(G3500=0,0,N3500/G3500)</f>
        <v/>
      </c>
      <c r="P3500" s="6">
        <f>IF(M3500&gt;0,D3500,"")</f>
        <v/>
      </c>
      <c r="Q3500" s="9">
        <f>I3500+O3500</f>
        <v/>
      </c>
      <c r="R3500" s="7">
        <f>Q3500*G3500</f>
        <v/>
      </c>
      <c r="S3500" s="8">
        <f>IF($R$3504=0,0,R3500/$R$3504)</f>
        <v/>
      </c>
      <c r="T3500" s="8" t="n">
        <v>0.01598833504646135</v>
      </c>
      <c r="U3500" s="8" t="n">
        <v>0.009719981848395287</v>
      </c>
      <c r="V3500" s="6" t="inlineStr">
        <is>
          <t>not selected</t>
        </is>
      </c>
    </row>
    <row r="3501">
      <c r="A3501" s="6" t="inlineStr">
        <is>
          <t>DJ30</t>
        </is>
      </c>
      <c r="B3501" s="6" t="inlineStr">
        <is>
          <t>2025-02-28</t>
        </is>
      </c>
      <c r="C3501" s="6" t="inlineStr">
        <is>
          <t>DIA</t>
        </is>
      </c>
      <c r="D3501" s="6" t="inlineStr">
        <is>
          <t>V</t>
        </is>
      </c>
      <c r="E3501" s="6" t="inlineStr">
        <is>
          <t>V</t>
        </is>
      </c>
      <c r="F3501" s="6" t="inlineStr">
        <is>
          <t>-</t>
        </is>
      </c>
      <c r="G3501" s="7" t="n">
        <v>359.2708129882812</v>
      </c>
      <c r="H3501" s="6">
        <f>P3470</f>
        <v/>
      </c>
      <c r="I3501" s="9">
        <f>Q3470</f>
        <v/>
      </c>
      <c r="J3501" s="7">
        <f>I3501*G3501</f>
        <v/>
      </c>
      <c r="K3501" s="8">
        <f>IF($J$3504=0,0,J3501/$J$3504)</f>
        <v/>
      </c>
      <c r="L3501" s="6" t="inlineStr">
        <is>
          <t>WATCHLIST</t>
        </is>
      </c>
      <c r="M3501" s="8" t="n">
        <v>0</v>
      </c>
      <c r="N3501" s="7">
        <f>M3501*$J$3504-J3501</f>
        <v/>
      </c>
      <c r="O3501" s="9">
        <f>IF(G3501=0,0,N3501/G3501)</f>
        <v/>
      </c>
      <c r="P3501" s="6">
        <f>IF(M3501&gt;0,D3501,"")</f>
        <v/>
      </c>
      <c r="Q3501" s="9">
        <f>I3501+O3501</f>
        <v/>
      </c>
      <c r="R3501" s="7">
        <f>Q3501*G3501</f>
        <v/>
      </c>
      <c r="S3501" s="8">
        <f>IF($R$3504=0,0,R3501/$R$3504)</f>
        <v/>
      </c>
      <c r="T3501" s="8" t="n">
        <v>0.01598833504646135</v>
      </c>
      <c r="U3501" s="8" t="n">
        <v>0.009719981848395287</v>
      </c>
      <c r="V3501" s="6" t="inlineStr">
        <is>
          <t>not selected</t>
        </is>
      </c>
    </row>
    <row r="3502">
      <c r="A3502" s="6" t="inlineStr">
        <is>
          <t>DJ30</t>
        </is>
      </c>
      <c r="B3502" s="6" t="inlineStr">
        <is>
          <t>2025-02-28</t>
        </is>
      </c>
      <c r="C3502" s="6" t="inlineStr">
        <is>
          <t>DIA</t>
        </is>
      </c>
      <c r="D3502" s="6" t="inlineStr">
        <is>
          <t>VZ</t>
        </is>
      </c>
      <c r="E3502" s="6" t="inlineStr">
        <is>
          <t>VZ</t>
        </is>
      </c>
      <c r="F3502" s="6" t="inlineStr">
        <is>
          <t>-</t>
        </is>
      </c>
      <c r="G3502" s="7" t="n">
        <v>39.74069213867188</v>
      </c>
      <c r="H3502" s="6">
        <f>P3471</f>
        <v/>
      </c>
      <c r="I3502" s="9">
        <f>Q3471</f>
        <v/>
      </c>
      <c r="J3502" s="7">
        <f>I3502*G3502</f>
        <v/>
      </c>
      <c r="K3502" s="8">
        <f>IF($J$3504=0,0,J3502/$J$3504)</f>
        <v/>
      </c>
      <c r="L3502" s="6" t="inlineStr">
        <is>
          <t>WATCHLIST</t>
        </is>
      </c>
      <c r="M3502" s="8" t="n">
        <v>0</v>
      </c>
      <c r="N3502" s="7">
        <f>M3502*$J$3504-J3502</f>
        <v/>
      </c>
      <c r="O3502" s="9">
        <f>IF(G3502=0,0,N3502/G3502)</f>
        <v/>
      </c>
      <c r="P3502" s="6">
        <f>IF(M3502&gt;0,D3502,"")</f>
        <v/>
      </c>
      <c r="Q3502" s="9">
        <f>I3502+O3502</f>
        <v/>
      </c>
      <c r="R3502" s="7">
        <f>Q3502*G3502</f>
        <v/>
      </c>
      <c r="S3502" s="8">
        <f>IF($R$3504=0,0,R3502/$R$3504)</f>
        <v/>
      </c>
      <c r="T3502" s="8" t="n">
        <v>0.01598833504646135</v>
      </c>
      <c r="U3502" s="8" t="n">
        <v>0.009719981848395287</v>
      </c>
      <c r="V3502" s="6" t="inlineStr">
        <is>
          <t>not selected</t>
        </is>
      </c>
    </row>
    <row r="3503">
      <c r="A3503" s="6" t="inlineStr">
        <is>
          <t>DJ30</t>
        </is>
      </c>
      <c r="B3503" s="6" t="inlineStr">
        <is>
          <t>2025-02-28</t>
        </is>
      </c>
      <c r="C3503" s="6" t="inlineStr">
        <is>
          <t>DIA</t>
        </is>
      </c>
      <c r="D3503" s="6" t="inlineStr">
        <is>
          <t>WMT</t>
        </is>
      </c>
      <c r="E3503" s="6" t="inlineStr">
        <is>
          <t>WMT</t>
        </is>
      </c>
      <c r="F3503" s="6" t="inlineStr">
        <is>
          <t>-</t>
        </is>
      </c>
      <c r="G3503" s="7" t="n">
        <v>97.28933715820312</v>
      </c>
      <c r="H3503" s="6">
        <f>P3472</f>
        <v/>
      </c>
      <c r="I3503" s="9">
        <f>Q3472</f>
        <v/>
      </c>
      <c r="J3503" s="7">
        <f>I3503*G3503</f>
        <v/>
      </c>
      <c r="K3503" s="8">
        <f>IF($J$3504=0,0,J3503/$J$3504)</f>
        <v/>
      </c>
      <c r="L3503" s="6" t="inlineStr">
        <is>
          <t>SELECTED</t>
        </is>
      </c>
      <c r="M3503" s="8" t="n">
        <v>0.2</v>
      </c>
      <c r="N3503" s="7">
        <f>M3503*$J$3504-J3503</f>
        <v/>
      </c>
      <c r="O3503" s="9">
        <f>IF(G3503=0,0,N3503/G3503)</f>
        <v/>
      </c>
      <c r="P3503" s="6">
        <f>IF(M3503&gt;0,D3503,"")</f>
        <v/>
      </c>
      <c r="Q3503" s="9">
        <f>I3503+O3503</f>
        <v/>
      </c>
      <c r="R3503" s="7">
        <f>Q3503*G3503</f>
        <v/>
      </c>
      <c r="S3503" s="8">
        <f>IF($R$3504=0,0,R3503/$R$3504)</f>
        <v/>
      </c>
      <c r="T3503" s="8" t="n">
        <v>0.01598833504646135</v>
      </c>
      <c r="U3503" s="8" t="n">
        <v>0.009719981848395287</v>
      </c>
      <c r="V3503" s="6" t="inlineStr">
        <is>
          <t>remained in weekly selection</t>
        </is>
      </c>
    </row>
    <row r="3504">
      <c r="A3504" s="10" t="inlineStr">
        <is>
          <t>DJ30</t>
        </is>
      </c>
      <c r="B3504" s="10" t="inlineStr">
        <is>
          <t>2025-02-28</t>
        </is>
      </c>
      <c r="C3504" s="10" t="inlineStr">
        <is>
          <t>DIA</t>
        </is>
      </c>
      <c r="D3504" s="10" t="inlineStr">
        <is>
          <t>Tot Portfolio</t>
        </is>
      </c>
      <c r="E3504" s="10" t="inlineStr"/>
      <c r="F3504" s="10" t="inlineStr"/>
      <c r="G3504" s="11" t="inlineStr"/>
      <c r="H3504" s="10" t="inlineStr"/>
      <c r="I3504" s="12" t="inlineStr"/>
      <c r="J3504" s="11">
        <f>SUM(J3474:J3503)</f>
        <v/>
      </c>
      <c r="K3504" s="13">
        <f>SUM(K3474:K3503)</f>
        <v/>
      </c>
      <c r="L3504" s="10" t="inlineStr">
        <is>
          <t>TOTAL</t>
        </is>
      </c>
      <c r="M3504" s="13">
        <f>SUM(M3474:M3503)</f>
        <v/>
      </c>
      <c r="N3504" s="11">
        <f>SUM(N3474:N3503)</f>
        <v/>
      </c>
      <c r="O3504" s="12">
        <f>SUM(O3474:O3503)</f>
        <v/>
      </c>
      <c r="P3504" s="10" t="inlineStr"/>
      <c r="Q3504" s="12" t="inlineStr"/>
      <c r="R3504" s="11">
        <f>SUM(R3474:R3503)</f>
        <v/>
      </c>
      <c r="S3504" s="13">
        <f>SUM(S3474:S3503)</f>
        <v/>
      </c>
      <c r="T3504" s="13" t="n">
        <v>0.01598833504646135</v>
      </c>
      <c r="U3504" s="13" t="n">
        <v>0.009719981848395287</v>
      </c>
      <c r="V3504" s="10" t="inlineStr"/>
    </row>
    <row r="3505">
      <c r="A3505" s="6" t="inlineStr">
        <is>
          <t>DJ30</t>
        </is>
      </c>
      <c r="B3505" s="6" t="inlineStr">
        <is>
          <t>2025-03-07</t>
        </is>
      </c>
      <c r="C3505" s="6" t="inlineStr">
        <is>
          <t>DIA</t>
        </is>
      </c>
      <c r="D3505" s="6" t="inlineStr">
        <is>
          <t>AAPL</t>
        </is>
      </c>
      <c r="E3505" s="6" t="inlineStr">
        <is>
          <t>AAPL</t>
        </is>
      </c>
      <c r="F3505" s="6" t="inlineStr">
        <is>
          <t>-</t>
        </is>
      </c>
      <c r="G3505" s="7" t="n">
        <v>237.8134307861328</v>
      </c>
      <c r="H3505" s="6">
        <f>P3474</f>
        <v/>
      </c>
      <c r="I3505" s="9">
        <f>Q3474</f>
        <v/>
      </c>
      <c r="J3505" s="7">
        <f>I3505*G3505</f>
        <v/>
      </c>
      <c r="K3505" s="8">
        <f>IF($J$3535=0,0,J3505/$J$3535)</f>
        <v/>
      </c>
      <c r="L3505" s="6" t="inlineStr">
        <is>
          <t>WATCHLIST</t>
        </is>
      </c>
      <c r="M3505" s="8" t="n">
        <v>0</v>
      </c>
      <c r="N3505" s="7">
        <f>M3505*$J$3535-J3505</f>
        <v/>
      </c>
      <c r="O3505" s="9">
        <f>IF(G3505=0,0,N3505/G3505)</f>
        <v/>
      </c>
      <c r="P3505" s="6">
        <f>IF(M3505&gt;0,D3505,"")</f>
        <v/>
      </c>
      <c r="Q3505" s="9">
        <f>I3505+O3505</f>
        <v/>
      </c>
      <c r="R3505" s="7">
        <f>Q3505*G3505</f>
        <v/>
      </c>
      <c r="S3505" s="8">
        <f>IF($R$3535=0,0,R3505/$R$3535)</f>
        <v/>
      </c>
      <c r="T3505" s="8" t="n">
        <v>-0.05542231728430236</v>
      </c>
      <c r="U3505" s="8" t="n">
        <v>-0.02306256638942494</v>
      </c>
      <c r="V3505" s="6" t="inlineStr">
        <is>
          <t>not selected</t>
        </is>
      </c>
    </row>
    <row r="3506">
      <c r="A3506" s="6" t="inlineStr">
        <is>
          <t>DJ30</t>
        </is>
      </c>
      <c r="B3506" s="6" t="inlineStr">
        <is>
          <t>2025-03-07</t>
        </is>
      </c>
      <c r="C3506" s="6" t="inlineStr">
        <is>
          <t>DIA</t>
        </is>
      </c>
      <c r="D3506" s="6" t="inlineStr">
        <is>
          <t>AMGN</t>
        </is>
      </c>
      <c r="E3506" s="6" t="inlineStr">
        <is>
          <t>AMGN</t>
        </is>
      </c>
      <c r="F3506" s="6" t="inlineStr">
        <is>
          <t>-</t>
        </is>
      </c>
      <c r="G3506" s="7" t="n">
        <v>312.6176147460937</v>
      </c>
      <c r="H3506" s="6">
        <f>P3475</f>
        <v/>
      </c>
      <c r="I3506" s="9">
        <f>Q3475</f>
        <v/>
      </c>
      <c r="J3506" s="7">
        <f>I3506*G3506</f>
        <v/>
      </c>
      <c r="K3506" s="8">
        <f>IF($J$3535=0,0,J3506/$J$3535)</f>
        <v/>
      </c>
      <c r="L3506" s="6" t="inlineStr">
        <is>
          <t>REJECTED</t>
        </is>
      </c>
      <c r="M3506" s="8" t="n">
        <v>0</v>
      </c>
      <c r="N3506" s="7">
        <f>M3506*$J$3535-J3506</f>
        <v/>
      </c>
      <c r="O3506" s="9">
        <f>IF(G3506=0,0,N3506/G3506)</f>
        <v/>
      </c>
      <c r="P3506" s="6">
        <f>IF(M3506&gt;0,D3506,"")</f>
        <v/>
      </c>
      <c r="Q3506" s="9">
        <f>I3506+O3506</f>
        <v/>
      </c>
      <c r="R3506" s="7">
        <f>Q3506*G3506</f>
        <v/>
      </c>
      <c r="S3506" s="8">
        <f>IF($R$3535=0,0,R3506/$R$3535)</f>
        <v/>
      </c>
      <c r="T3506" s="8" t="n">
        <v>-0.05542231728430236</v>
      </c>
      <c r="U3506" s="8" t="n">
        <v>-0.02306256638942494</v>
      </c>
      <c r="V3506" s="6" t="inlineStr">
        <is>
          <t>not selected</t>
        </is>
      </c>
    </row>
    <row r="3507">
      <c r="A3507" s="6" t="inlineStr">
        <is>
          <t>DJ30</t>
        </is>
      </c>
      <c r="B3507" s="6" t="inlineStr">
        <is>
          <t>2025-03-07</t>
        </is>
      </c>
      <c r="C3507" s="6" t="inlineStr">
        <is>
          <t>DIA</t>
        </is>
      </c>
      <c r="D3507" s="6" t="inlineStr">
        <is>
          <t>AMZN</t>
        </is>
      </c>
      <c r="E3507" s="6" t="inlineStr">
        <is>
          <t>AMZN</t>
        </is>
      </c>
      <c r="F3507" s="6" t="inlineStr">
        <is>
          <t>-</t>
        </is>
      </c>
      <c r="G3507" s="7" t="n">
        <v>199.25</v>
      </c>
      <c r="H3507" s="6">
        <f>P3476</f>
        <v/>
      </c>
      <c r="I3507" s="9">
        <f>Q3476</f>
        <v/>
      </c>
      <c r="J3507" s="7">
        <f>I3507*G3507</f>
        <v/>
      </c>
      <c r="K3507" s="8">
        <f>IF($J$3535=0,0,J3507/$J$3535)</f>
        <v/>
      </c>
      <c r="L3507" s="6" t="inlineStr">
        <is>
          <t>WATCHLIST</t>
        </is>
      </c>
      <c r="M3507" s="8" t="n">
        <v>0</v>
      </c>
      <c r="N3507" s="7">
        <f>M3507*$J$3535-J3507</f>
        <v/>
      </c>
      <c r="O3507" s="9">
        <f>IF(G3507=0,0,N3507/G3507)</f>
        <v/>
      </c>
      <c r="P3507" s="6">
        <f>IF(M3507&gt;0,D3507,"")</f>
        <v/>
      </c>
      <c r="Q3507" s="9">
        <f>I3507+O3507</f>
        <v/>
      </c>
      <c r="R3507" s="7">
        <f>Q3507*G3507</f>
        <v/>
      </c>
      <c r="S3507" s="8">
        <f>IF($R$3535=0,0,R3507/$R$3535)</f>
        <v/>
      </c>
      <c r="T3507" s="8" t="n">
        <v>-0.05542231728430236</v>
      </c>
      <c r="U3507" s="8" t="n">
        <v>-0.02306256638942494</v>
      </c>
      <c r="V3507" s="6" t="inlineStr">
        <is>
          <t>not selected</t>
        </is>
      </c>
    </row>
    <row r="3508">
      <c r="A3508" s="6" t="inlineStr">
        <is>
          <t>DJ30</t>
        </is>
      </c>
      <c r="B3508" s="6" t="inlineStr">
        <is>
          <t>2025-03-07</t>
        </is>
      </c>
      <c r="C3508" s="6" t="inlineStr">
        <is>
          <t>DIA</t>
        </is>
      </c>
      <c r="D3508" s="6" t="inlineStr">
        <is>
          <t>AXP</t>
        </is>
      </c>
      <c r="E3508" s="6" t="inlineStr">
        <is>
          <t>AXP</t>
        </is>
      </c>
      <c r="F3508" s="6" t="inlineStr">
        <is>
          <t>-</t>
        </is>
      </c>
      <c r="G3508" s="7" t="n">
        <v>269.4812622070312</v>
      </c>
      <c r="H3508" s="6">
        <f>P3477</f>
        <v/>
      </c>
      <c r="I3508" s="9">
        <f>Q3477</f>
        <v/>
      </c>
      <c r="J3508" s="7">
        <f>I3508*G3508</f>
        <v/>
      </c>
      <c r="K3508" s="8">
        <f>IF($J$3535=0,0,J3508/$J$3535)</f>
        <v/>
      </c>
      <c r="L3508" s="6" t="inlineStr">
        <is>
          <t>WATCHLIST</t>
        </is>
      </c>
      <c r="M3508" s="8" t="n">
        <v>0</v>
      </c>
      <c r="N3508" s="7">
        <f>M3508*$J$3535-J3508</f>
        <v/>
      </c>
      <c r="O3508" s="9">
        <f>IF(G3508=0,0,N3508/G3508)</f>
        <v/>
      </c>
      <c r="P3508" s="6">
        <f>IF(M3508&gt;0,D3508,"")</f>
        <v/>
      </c>
      <c r="Q3508" s="9">
        <f>I3508+O3508</f>
        <v/>
      </c>
      <c r="R3508" s="7">
        <f>Q3508*G3508</f>
        <v/>
      </c>
      <c r="S3508" s="8">
        <f>IF($R$3535=0,0,R3508/$R$3535)</f>
        <v/>
      </c>
      <c r="T3508" s="8" t="n">
        <v>-0.05542231728430236</v>
      </c>
      <c r="U3508" s="8" t="n">
        <v>-0.02306256638942494</v>
      </c>
      <c r="V3508" s="6" t="inlineStr">
        <is>
          <t>not selected</t>
        </is>
      </c>
    </row>
    <row r="3509">
      <c r="A3509" s="6" t="inlineStr">
        <is>
          <t>DJ30</t>
        </is>
      </c>
      <c r="B3509" s="6" t="inlineStr">
        <is>
          <t>2025-03-07</t>
        </is>
      </c>
      <c r="C3509" s="6" t="inlineStr">
        <is>
          <t>DIA</t>
        </is>
      </c>
      <c r="D3509" s="6" t="inlineStr">
        <is>
          <t>BA</t>
        </is>
      </c>
      <c r="E3509" s="6" t="inlineStr">
        <is>
          <t>BA</t>
        </is>
      </c>
      <c r="F3509" s="6" t="inlineStr">
        <is>
          <t>-</t>
        </is>
      </c>
      <c r="G3509" s="7" t="n">
        <v>154.1799926757812</v>
      </c>
      <c r="H3509" s="6">
        <f>P3478</f>
        <v/>
      </c>
      <c r="I3509" s="9">
        <f>Q3478</f>
        <v/>
      </c>
      <c r="J3509" s="7">
        <f>I3509*G3509</f>
        <v/>
      </c>
      <c r="K3509" s="8">
        <f>IF($J$3535=0,0,J3509/$J$3535)</f>
        <v/>
      </c>
      <c r="L3509" s="6" t="inlineStr">
        <is>
          <t>REJECTED</t>
        </is>
      </c>
      <c r="M3509" s="8" t="n">
        <v>0</v>
      </c>
      <c r="N3509" s="7">
        <f>M3509*$J$3535-J3509</f>
        <v/>
      </c>
      <c r="O3509" s="9">
        <f>IF(G3509=0,0,N3509/G3509)</f>
        <v/>
      </c>
      <c r="P3509" s="6">
        <f>IF(M3509&gt;0,D3509,"")</f>
        <v/>
      </c>
      <c r="Q3509" s="9">
        <f>I3509+O3509</f>
        <v/>
      </c>
      <c r="R3509" s="7">
        <f>Q3509*G3509</f>
        <v/>
      </c>
      <c r="S3509" s="8">
        <f>IF($R$3535=0,0,R3509/$R$3535)</f>
        <v/>
      </c>
      <c r="T3509" s="8" t="n">
        <v>-0.05542231728430236</v>
      </c>
      <c r="U3509" s="8" t="n">
        <v>-0.02306256638942494</v>
      </c>
      <c r="V3509" s="6" t="inlineStr">
        <is>
          <t>not selected</t>
        </is>
      </c>
    </row>
    <row r="3510">
      <c r="A3510" s="6" t="inlineStr">
        <is>
          <t>DJ30</t>
        </is>
      </c>
      <c r="B3510" s="6" t="inlineStr">
        <is>
          <t>2025-03-07</t>
        </is>
      </c>
      <c r="C3510" s="6" t="inlineStr">
        <is>
          <t>DIA</t>
        </is>
      </c>
      <c r="D3510" s="6" t="inlineStr">
        <is>
          <t>CAT</t>
        </is>
      </c>
      <c r="E3510" s="6" t="inlineStr">
        <is>
          <t>CAT</t>
        </is>
      </c>
      <c r="F3510" s="6" t="inlineStr">
        <is>
          <t>-</t>
        </is>
      </c>
      <c r="G3510" s="7" t="n">
        <v>344.8888244628906</v>
      </c>
      <c r="H3510" s="6">
        <f>P3479</f>
        <v/>
      </c>
      <c r="I3510" s="9">
        <f>Q3479</f>
        <v/>
      </c>
      <c r="J3510" s="7">
        <f>I3510*G3510</f>
        <v/>
      </c>
      <c r="K3510" s="8">
        <f>IF($J$3535=0,0,J3510/$J$3535)</f>
        <v/>
      </c>
      <c r="L3510" s="6" t="inlineStr">
        <is>
          <t>REJECTED</t>
        </is>
      </c>
      <c r="M3510" s="8" t="n">
        <v>0</v>
      </c>
      <c r="N3510" s="7">
        <f>M3510*$J$3535-J3510</f>
        <v/>
      </c>
      <c r="O3510" s="9">
        <f>IF(G3510=0,0,N3510/G3510)</f>
        <v/>
      </c>
      <c r="P3510" s="6">
        <f>IF(M3510&gt;0,D3510,"")</f>
        <v/>
      </c>
      <c r="Q3510" s="9">
        <f>I3510+O3510</f>
        <v/>
      </c>
      <c r="R3510" s="7">
        <f>Q3510*G3510</f>
        <v/>
      </c>
      <c r="S3510" s="8">
        <f>IF($R$3535=0,0,R3510/$R$3535)</f>
        <v/>
      </c>
      <c r="T3510" s="8" t="n">
        <v>-0.05542231728430236</v>
      </c>
      <c r="U3510" s="8" t="n">
        <v>-0.02306256638942494</v>
      </c>
      <c r="V3510" s="6" t="inlineStr">
        <is>
          <t>not selected</t>
        </is>
      </c>
    </row>
    <row r="3511">
      <c r="A3511" s="6" t="inlineStr">
        <is>
          <t>DJ30</t>
        </is>
      </c>
      <c r="B3511" s="6" t="inlineStr">
        <is>
          <t>2025-03-07</t>
        </is>
      </c>
      <c r="C3511" s="6" t="inlineStr">
        <is>
          <t>DIA</t>
        </is>
      </c>
      <c r="D3511" s="6" t="inlineStr">
        <is>
          <t>CRM</t>
        </is>
      </c>
      <c r="E3511" s="6" t="inlineStr">
        <is>
          <t>CRM</t>
        </is>
      </c>
      <c r="F3511" s="6" t="inlineStr">
        <is>
          <t>-</t>
        </is>
      </c>
      <c r="G3511" s="7" t="n">
        <v>279.6322631835937</v>
      </c>
      <c r="H3511" s="6">
        <f>P3480</f>
        <v/>
      </c>
      <c r="I3511" s="9">
        <f>Q3480</f>
        <v/>
      </c>
      <c r="J3511" s="7">
        <f>I3511*G3511</f>
        <v/>
      </c>
      <c r="K3511" s="8">
        <f>IF($J$3535=0,0,J3511/$J$3535)</f>
        <v/>
      </c>
      <c r="L3511" s="6" t="inlineStr">
        <is>
          <t>WATCHLIST</t>
        </is>
      </c>
      <c r="M3511" s="8" t="n">
        <v>0</v>
      </c>
      <c r="N3511" s="7">
        <f>M3511*$J$3535-J3511</f>
        <v/>
      </c>
      <c r="O3511" s="9">
        <f>IF(G3511=0,0,N3511/G3511)</f>
        <v/>
      </c>
      <c r="P3511" s="6">
        <f>IF(M3511&gt;0,D3511,"")</f>
        <v/>
      </c>
      <c r="Q3511" s="9">
        <f>I3511+O3511</f>
        <v/>
      </c>
      <c r="R3511" s="7">
        <f>Q3511*G3511</f>
        <v/>
      </c>
      <c r="S3511" s="8">
        <f>IF($R$3535=0,0,R3511/$R$3535)</f>
        <v/>
      </c>
      <c r="T3511" s="8" t="n">
        <v>-0.05542231728430236</v>
      </c>
      <c r="U3511" s="8" t="n">
        <v>-0.02306256638942494</v>
      </c>
      <c r="V3511" s="6" t="inlineStr">
        <is>
          <t>not selected</t>
        </is>
      </c>
    </row>
    <row r="3512">
      <c r="A3512" s="6" t="inlineStr">
        <is>
          <t>DJ30</t>
        </is>
      </c>
      <c r="B3512" s="6" t="inlineStr">
        <is>
          <t>2025-03-07</t>
        </is>
      </c>
      <c r="C3512" s="6" t="inlineStr">
        <is>
          <t>DIA</t>
        </is>
      </c>
      <c r="D3512" s="6" t="inlineStr">
        <is>
          <t>CSCO</t>
        </is>
      </c>
      <c r="E3512" s="6" t="inlineStr">
        <is>
          <t>CSCO</t>
        </is>
      </c>
      <c r="F3512" s="6" t="inlineStr">
        <is>
          <t>-</t>
        </is>
      </c>
      <c r="G3512" s="7" t="n">
        <v>62.08686065673828</v>
      </c>
      <c r="H3512" s="6">
        <f>P3481</f>
        <v/>
      </c>
      <c r="I3512" s="9">
        <f>Q3481</f>
        <v/>
      </c>
      <c r="J3512" s="7">
        <f>I3512*G3512</f>
        <v/>
      </c>
      <c r="K3512" s="8">
        <f>IF($J$3535=0,0,J3512/$J$3535)</f>
        <v/>
      </c>
      <c r="L3512" s="6" t="inlineStr">
        <is>
          <t>SELECTED</t>
        </is>
      </c>
      <c r="M3512" s="8" t="n">
        <v>0.2</v>
      </c>
      <c r="N3512" s="7">
        <f>M3512*$J$3535-J3512</f>
        <v/>
      </c>
      <c r="O3512" s="9">
        <f>IF(G3512=0,0,N3512/G3512)</f>
        <v/>
      </c>
      <c r="P3512" s="6">
        <f>IF(M3512&gt;0,D3512,"")</f>
        <v/>
      </c>
      <c r="Q3512" s="9">
        <f>I3512+O3512</f>
        <v/>
      </c>
      <c r="R3512" s="7">
        <f>Q3512*G3512</f>
        <v/>
      </c>
      <c r="S3512" s="8">
        <f>IF($R$3535=0,0,R3512/$R$3535)</f>
        <v/>
      </c>
      <c r="T3512" s="8" t="n">
        <v>-0.05542231728430236</v>
      </c>
      <c r="U3512" s="8" t="n">
        <v>-0.02306256638942494</v>
      </c>
      <c r="V3512" s="6" t="inlineStr">
        <is>
          <t>entered weekly selection</t>
        </is>
      </c>
    </row>
    <row r="3513">
      <c r="A3513" s="6" t="inlineStr">
        <is>
          <t>DJ30</t>
        </is>
      </c>
      <c r="B3513" s="6" t="inlineStr">
        <is>
          <t>2025-03-07</t>
        </is>
      </c>
      <c r="C3513" s="6" t="inlineStr">
        <is>
          <t>DIA</t>
        </is>
      </c>
      <c r="D3513" s="6" t="inlineStr">
        <is>
          <t>CVX</t>
        </is>
      </c>
      <c r="E3513" s="6" t="inlineStr">
        <is>
          <t>CVX</t>
        </is>
      </c>
      <c r="F3513" s="6" t="inlineStr">
        <is>
          <t>-</t>
        </is>
      </c>
      <c r="G3513" s="7" t="n">
        <v>148.2495422363281</v>
      </c>
      <c r="H3513" s="6">
        <f>P3482</f>
        <v/>
      </c>
      <c r="I3513" s="9">
        <f>Q3482</f>
        <v/>
      </c>
      <c r="J3513" s="7">
        <f>I3513*G3513</f>
        <v/>
      </c>
      <c r="K3513" s="8">
        <f>IF($J$3535=0,0,J3513/$J$3535)</f>
        <v/>
      </c>
      <c r="L3513" s="6" t="inlineStr">
        <is>
          <t>REJECTED</t>
        </is>
      </c>
      <c r="M3513" s="8" t="n">
        <v>0</v>
      </c>
      <c r="N3513" s="7">
        <f>M3513*$J$3535-J3513</f>
        <v/>
      </c>
      <c r="O3513" s="9">
        <f>IF(G3513=0,0,N3513/G3513)</f>
        <v/>
      </c>
      <c r="P3513" s="6">
        <f>IF(M3513&gt;0,D3513,"")</f>
        <v/>
      </c>
      <c r="Q3513" s="9">
        <f>I3513+O3513</f>
        <v/>
      </c>
      <c r="R3513" s="7">
        <f>Q3513*G3513</f>
        <v/>
      </c>
      <c r="S3513" s="8">
        <f>IF($R$3535=0,0,R3513/$R$3535)</f>
        <v/>
      </c>
      <c r="T3513" s="8" t="n">
        <v>-0.05542231728430236</v>
      </c>
      <c r="U3513" s="8" t="n">
        <v>-0.02306256638942494</v>
      </c>
      <c r="V3513" s="6" t="inlineStr">
        <is>
          <t>not selected</t>
        </is>
      </c>
    </row>
    <row r="3514">
      <c r="A3514" s="6" t="inlineStr">
        <is>
          <t>DJ30</t>
        </is>
      </c>
      <c r="B3514" s="6" t="inlineStr">
        <is>
          <t>2025-03-07</t>
        </is>
      </c>
      <c r="C3514" s="6" t="inlineStr">
        <is>
          <t>DIA</t>
        </is>
      </c>
      <c r="D3514" s="6" t="inlineStr">
        <is>
          <t>DIS</t>
        </is>
      </c>
      <c r="E3514" s="6" t="inlineStr">
        <is>
          <t>DIS</t>
        </is>
      </c>
      <c r="F3514" s="6" t="inlineStr">
        <is>
          <t>-</t>
        </is>
      </c>
      <c r="G3514" s="7" t="n">
        <v>104.3559112548828</v>
      </c>
      <c r="H3514" s="6">
        <f>P3483</f>
        <v/>
      </c>
      <c r="I3514" s="9">
        <f>Q3483</f>
        <v/>
      </c>
      <c r="J3514" s="7">
        <f>I3514*G3514</f>
        <v/>
      </c>
      <c r="K3514" s="8">
        <f>IF($J$3535=0,0,J3514/$J$3535)</f>
        <v/>
      </c>
      <c r="L3514" s="6" t="inlineStr">
        <is>
          <t>REJECTED</t>
        </is>
      </c>
      <c r="M3514" s="8" t="n">
        <v>0</v>
      </c>
      <c r="N3514" s="7">
        <f>M3514*$J$3535-J3514</f>
        <v/>
      </c>
      <c r="O3514" s="9">
        <f>IF(G3514=0,0,N3514/G3514)</f>
        <v/>
      </c>
      <c r="P3514" s="6">
        <f>IF(M3514&gt;0,D3514,"")</f>
        <v/>
      </c>
      <c r="Q3514" s="9">
        <f>I3514+O3514</f>
        <v/>
      </c>
      <c r="R3514" s="7">
        <f>Q3514*G3514</f>
        <v/>
      </c>
      <c r="S3514" s="8">
        <f>IF($R$3535=0,0,R3514/$R$3535)</f>
        <v/>
      </c>
      <c r="T3514" s="8" t="n">
        <v>-0.05542231728430236</v>
      </c>
      <c r="U3514" s="8" t="n">
        <v>-0.02306256638942494</v>
      </c>
      <c r="V3514" s="6" t="inlineStr">
        <is>
          <t>not selected</t>
        </is>
      </c>
    </row>
    <row r="3515">
      <c r="A3515" s="6" t="inlineStr">
        <is>
          <t>DJ30</t>
        </is>
      </c>
      <c r="B3515" s="6" t="inlineStr">
        <is>
          <t>2025-03-07</t>
        </is>
      </c>
      <c r="C3515" s="6" t="inlineStr">
        <is>
          <t>DIA</t>
        </is>
      </c>
      <c r="D3515" s="6" t="inlineStr">
        <is>
          <t>GS</t>
        </is>
      </c>
      <c r="E3515" s="6" t="inlineStr">
        <is>
          <t>GS</t>
        </is>
      </c>
      <c r="F3515" s="6" t="inlineStr">
        <is>
          <t>-</t>
        </is>
      </c>
      <c r="G3515" s="7" t="n">
        <v>545.9047241210938</v>
      </c>
      <c r="H3515" s="6">
        <f>P3484</f>
        <v/>
      </c>
      <c r="I3515" s="9">
        <f>Q3484</f>
        <v/>
      </c>
      <c r="J3515" s="7">
        <f>I3515*G3515</f>
        <v/>
      </c>
      <c r="K3515" s="8">
        <f>IF($J$3535=0,0,J3515/$J$3535)</f>
        <v/>
      </c>
      <c r="L3515" s="6" t="inlineStr">
        <is>
          <t>WATCHLIST</t>
        </is>
      </c>
      <c r="M3515" s="8" t="n">
        <v>0</v>
      </c>
      <c r="N3515" s="7">
        <f>M3515*$J$3535-J3515</f>
        <v/>
      </c>
      <c r="O3515" s="9">
        <f>IF(G3515=0,0,N3515/G3515)</f>
        <v/>
      </c>
      <c r="P3515" s="6">
        <f>IF(M3515&gt;0,D3515,"")</f>
        <v/>
      </c>
      <c r="Q3515" s="9">
        <f>I3515+O3515</f>
        <v/>
      </c>
      <c r="R3515" s="7">
        <f>Q3515*G3515</f>
        <v/>
      </c>
      <c r="S3515" s="8">
        <f>IF($R$3535=0,0,R3515/$R$3535)</f>
        <v/>
      </c>
      <c r="T3515" s="8" t="n">
        <v>-0.05542231728430236</v>
      </c>
      <c r="U3515" s="8" t="n">
        <v>-0.02306256638942494</v>
      </c>
      <c r="V3515" s="6" t="inlineStr">
        <is>
          <t>not selected</t>
        </is>
      </c>
    </row>
    <row r="3516">
      <c r="A3516" s="6" t="inlineStr">
        <is>
          <t>DJ30</t>
        </is>
      </c>
      <c r="B3516" s="6" t="inlineStr">
        <is>
          <t>2025-03-07</t>
        </is>
      </c>
      <c r="C3516" s="6" t="inlineStr">
        <is>
          <t>DIA</t>
        </is>
      </c>
      <c r="D3516" s="6" t="inlineStr">
        <is>
          <t>HD</t>
        </is>
      </c>
      <c r="E3516" s="6" t="inlineStr">
        <is>
          <t>HD</t>
        </is>
      </c>
      <c r="F3516" s="6" t="inlineStr">
        <is>
          <t>-</t>
        </is>
      </c>
      <c r="G3516" s="7" t="n">
        <v>362.4740600585938</v>
      </c>
      <c r="H3516" s="6">
        <f>P3485</f>
        <v/>
      </c>
      <c r="I3516" s="9">
        <f>Q3485</f>
        <v/>
      </c>
      <c r="J3516" s="7">
        <f>I3516*G3516</f>
        <v/>
      </c>
      <c r="K3516" s="8">
        <f>IF($J$3535=0,0,J3516/$J$3535)</f>
        <v/>
      </c>
      <c r="L3516" s="6" t="inlineStr">
        <is>
          <t>WATCHLIST</t>
        </is>
      </c>
      <c r="M3516" s="8" t="n">
        <v>0</v>
      </c>
      <c r="N3516" s="7">
        <f>M3516*$J$3535-J3516</f>
        <v/>
      </c>
      <c r="O3516" s="9">
        <f>IF(G3516=0,0,N3516/G3516)</f>
        <v/>
      </c>
      <c r="P3516" s="6">
        <f>IF(M3516&gt;0,D3516,"")</f>
        <v/>
      </c>
      <c r="Q3516" s="9">
        <f>I3516+O3516</f>
        <v/>
      </c>
      <c r="R3516" s="7">
        <f>Q3516*G3516</f>
        <v/>
      </c>
      <c r="S3516" s="8">
        <f>IF($R$3535=0,0,R3516/$R$3535)</f>
        <v/>
      </c>
      <c r="T3516" s="8" t="n">
        <v>-0.05542231728430236</v>
      </c>
      <c r="U3516" s="8" t="n">
        <v>-0.02306256638942494</v>
      </c>
      <c r="V3516" s="6" t="inlineStr">
        <is>
          <t>not selected</t>
        </is>
      </c>
    </row>
    <row r="3517">
      <c r="A3517" s="6" t="inlineStr">
        <is>
          <t>DJ30</t>
        </is>
      </c>
      <c r="B3517" s="6" t="inlineStr">
        <is>
          <t>2025-03-07</t>
        </is>
      </c>
      <c r="C3517" s="6" t="inlineStr">
        <is>
          <t>DIA</t>
        </is>
      </c>
      <c r="D3517" s="6" t="inlineStr">
        <is>
          <t>HON</t>
        </is>
      </c>
      <c r="E3517" s="6" t="inlineStr">
        <is>
          <t>HON</t>
        </is>
      </c>
      <c r="F3517" s="6" t="inlineStr">
        <is>
          <t>-</t>
        </is>
      </c>
      <c r="G3517" s="7" t="n">
        <v>196.8609619140625</v>
      </c>
      <c r="H3517" s="6">
        <f>P3486</f>
        <v/>
      </c>
      <c r="I3517" s="9">
        <f>Q3486</f>
        <v/>
      </c>
      <c r="J3517" s="7">
        <f>I3517*G3517</f>
        <v/>
      </c>
      <c r="K3517" s="8">
        <f>IF($J$3535=0,0,J3517/$J$3535)</f>
        <v/>
      </c>
      <c r="L3517" s="6" t="inlineStr">
        <is>
          <t>WATCHLIST</t>
        </is>
      </c>
      <c r="M3517" s="8" t="n">
        <v>0</v>
      </c>
      <c r="N3517" s="7">
        <f>M3517*$J$3535-J3517</f>
        <v/>
      </c>
      <c r="O3517" s="9">
        <f>IF(G3517=0,0,N3517/G3517)</f>
        <v/>
      </c>
      <c r="P3517" s="6">
        <f>IF(M3517&gt;0,D3517,"")</f>
        <v/>
      </c>
      <c r="Q3517" s="9">
        <f>I3517+O3517</f>
        <v/>
      </c>
      <c r="R3517" s="7">
        <f>Q3517*G3517</f>
        <v/>
      </c>
      <c r="S3517" s="8">
        <f>IF($R$3535=0,0,R3517/$R$3535)</f>
        <v/>
      </c>
      <c r="T3517" s="8" t="n">
        <v>-0.05542231728430236</v>
      </c>
      <c r="U3517" s="8" t="n">
        <v>-0.02306256638942494</v>
      </c>
      <c r="V3517" s="6" t="inlineStr">
        <is>
          <t>not selected</t>
        </is>
      </c>
    </row>
    <row r="3518">
      <c r="A3518" s="6" t="inlineStr">
        <is>
          <t>DJ30</t>
        </is>
      </c>
      <c r="B3518" s="6" t="inlineStr">
        <is>
          <t>2025-03-07</t>
        </is>
      </c>
      <c r="C3518" s="6" t="inlineStr">
        <is>
          <t>DIA</t>
        </is>
      </c>
      <c r="D3518" s="6" t="inlineStr">
        <is>
          <t>IBM</t>
        </is>
      </c>
      <c r="E3518" s="6" t="inlineStr">
        <is>
          <t>IBM</t>
        </is>
      </c>
      <c r="F3518" s="6" t="inlineStr">
        <is>
          <t>-</t>
        </is>
      </c>
      <c r="G3518" s="7" t="n">
        <v>253.3317108154297</v>
      </c>
      <c r="H3518" s="6">
        <f>P3487</f>
        <v/>
      </c>
      <c r="I3518" s="9">
        <f>Q3487</f>
        <v/>
      </c>
      <c r="J3518" s="7">
        <f>I3518*G3518</f>
        <v/>
      </c>
      <c r="K3518" s="8">
        <f>IF($J$3535=0,0,J3518/$J$3535)</f>
        <v/>
      </c>
      <c r="L3518" s="6" t="inlineStr">
        <is>
          <t>SELECTED</t>
        </is>
      </c>
      <c r="M3518" s="8" t="n">
        <v>0.2</v>
      </c>
      <c r="N3518" s="7">
        <f>M3518*$J$3535-J3518</f>
        <v/>
      </c>
      <c r="O3518" s="9">
        <f>IF(G3518=0,0,N3518/G3518)</f>
        <v/>
      </c>
      <c r="P3518" s="6">
        <f>IF(M3518&gt;0,D3518,"")</f>
        <v/>
      </c>
      <c r="Q3518" s="9">
        <f>I3518+O3518</f>
        <v/>
      </c>
      <c r="R3518" s="7">
        <f>Q3518*G3518</f>
        <v/>
      </c>
      <c r="S3518" s="8">
        <f>IF($R$3535=0,0,R3518/$R$3535)</f>
        <v/>
      </c>
      <c r="T3518" s="8" t="n">
        <v>-0.05542231728430236</v>
      </c>
      <c r="U3518" s="8" t="n">
        <v>-0.02306256638942494</v>
      </c>
      <c r="V3518" s="6" t="inlineStr">
        <is>
          <t>remained in weekly selection</t>
        </is>
      </c>
    </row>
    <row r="3519">
      <c r="A3519" s="6" t="inlineStr">
        <is>
          <t>DJ30</t>
        </is>
      </c>
      <c r="B3519" s="6" t="inlineStr">
        <is>
          <t>2025-03-07</t>
        </is>
      </c>
      <c r="C3519" s="6" t="inlineStr">
        <is>
          <t>DIA</t>
        </is>
      </c>
      <c r="D3519" s="6" t="inlineStr">
        <is>
          <t>JNJ</t>
        </is>
      </c>
      <c r="E3519" s="6" t="inlineStr">
        <is>
          <t>JNJ</t>
        </is>
      </c>
      <c r="F3519" s="6" t="inlineStr">
        <is>
          <t>-</t>
        </is>
      </c>
      <c r="G3519" s="7" t="n">
        <v>161.2442779541016</v>
      </c>
      <c r="H3519" s="6">
        <f>P3488</f>
        <v/>
      </c>
      <c r="I3519" s="9">
        <f>Q3488</f>
        <v/>
      </c>
      <c r="J3519" s="7">
        <f>I3519*G3519</f>
        <v/>
      </c>
      <c r="K3519" s="8">
        <f>IF($J$3535=0,0,J3519/$J$3535)</f>
        <v/>
      </c>
      <c r="L3519" s="6" t="inlineStr">
        <is>
          <t>REJECTED</t>
        </is>
      </c>
      <c r="M3519" s="8" t="n">
        <v>0</v>
      </c>
      <c r="N3519" s="7">
        <f>M3519*$J$3535-J3519</f>
        <v/>
      </c>
      <c r="O3519" s="9">
        <f>IF(G3519=0,0,N3519/G3519)</f>
        <v/>
      </c>
      <c r="P3519" s="6">
        <f>IF(M3519&gt;0,D3519,"")</f>
        <v/>
      </c>
      <c r="Q3519" s="9">
        <f>I3519+O3519</f>
        <v/>
      </c>
      <c r="R3519" s="7">
        <f>Q3519*G3519</f>
        <v/>
      </c>
      <c r="S3519" s="8">
        <f>IF($R$3535=0,0,R3519/$R$3535)</f>
        <v/>
      </c>
      <c r="T3519" s="8" t="n">
        <v>-0.05542231728430236</v>
      </c>
      <c r="U3519" s="8" t="n">
        <v>-0.02306256638942494</v>
      </c>
      <c r="V3519" s="6" t="inlineStr">
        <is>
          <t>not selected</t>
        </is>
      </c>
    </row>
    <row r="3520">
      <c r="A3520" s="6" t="inlineStr">
        <is>
          <t>DJ30</t>
        </is>
      </c>
      <c r="B3520" s="6" t="inlineStr">
        <is>
          <t>2025-03-07</t>
        </is>
      </c>
      <c r="C3520" s="6" t="inlineStr">
        <is>
          <t>DIA</t>
        </is>
      </c>
      <c r="D3520" s="6" t="inlineStr">
        <is>
          <t>JPM</t>
        </is>
      </c>
      <c r="E3520" s="6" t="inlineStr">
        <is>
          <t>JPM</t>
        </is>
      </c>
      <c r="F3520" s="6" t="inlineStr">
        <is>
          <t>-</t>
        </is>
      </c>
      <c r="G3520" s="7" t="n">
        <v>236.2031097412109</v>
      </c>
      <c r="H3520" s="6">
        <f>P3489</f>
        <v/>
      </c>
      <c r="I3520" s="9">
        <f>Q3489</f>
        <v/>
      </c>
      <c r="J3520" s="7">
        <f>I3520*G3520</f>
        <v/>
      </c>
      <c r="K3520" s="8">
        <f>IF($J$3535=0,0,J3520/$J$3535)</f>
        <v/>
      </c>
      <c r="L3520" s="6" t="inlineStr">
        <is>
          <t>WATCHLIST</t>
        </is>
      </c>
      <c r="M3520" s="8" t="n">
        <v>0</v>
      </c>
      <c r="N3520" s="7">
        <f>M3520*$J$3535-J3520</f>
        <v/>
      </c>
      <c r="O3520" s="9">
        <f>IF(G3520=0,0,N3520/G3520)</f>
        <v/>
      </c>
      <c r="P3520" s="6">
        <f>IF(M3520&gt;0,D3520,"")</f>
        <v/>
      </c>
      <c r="Q3520" s="9">
        <f>I3520+O3520</f>
        <v/>
      </c>
      <c r="R3520" s="7">
        <f>Q3520*G3520</f>
        <v/>
      </c>
      <c r="S3520" s="8">
        <f>IF($R$3535=0,0,R3520/$R$3535)</f>
        <v/>
      </c>
      <c r="T3520" s="8" t="n">
        <v>-0.05542231728430236</v>
      </c>
      <c r="U3520" s="8" t="n">
        <v>-0.02306256638942494</v>
      </c>
      <c r="V3520" s="6" t="inlineStr">
        <is>
          <t>removed from weekly selection</t>
        </is>
      </c>
    </row>
    <row r="3521">
      <c r="A3521" s="6" t="inlineStr">
        <is>
          <t>DJ30</t>
        </is>
      </c>
      <c r="B3521" s="6" t="inlineStr">
        <is>
          <t>2025-03-07</t>
        </is>
      </c>
      <c r="C3521" s="6" t="inlineStr">
        <is>
          <t>DIA</t>
        </is>
      </c>
      <c r="D3521" s="6" t="inlineStr">
        <is>
          <t>KO</t>
        </is>
      </c>
      <c r="E3521" s="6" t="inlineStr">
        <is>
          <t>KO</t>
        </is>
      </c>
      <c r="F3521" s="6" t="inlineStr">
        <is>
          <t>-</t>
        </is>
      </c>
      <c r="G3521" s="7" t="n">
        <v>68.46710968017578</v>
      </c>
      <c r="H3521" s="6">
        <f>P3490</f>
        <v/>
      </c>
      <c r="I3521" s="9">
        <f>Q3490</f>
        <v/>
      </c>
      <c r="J3521" s="7">
        <f>I3521*G3521</f>
        <v/>
      </c>
      <c r="K3521" s="8">
        <f>IF($J$3535=0,0,J3521/$J$3535)</f>
        <v/>
      </c>
      <c r="L3521" s="6" t="inlineStr">
        <is>
          <t>REJECTED</t>
        </is>
      </c>
      <c r="M3521" s="8" t="n">
        <v>0</v>
      </c>
      <c r="N3521" s="7">
        <f>M3521*$J$3535-J3521</f>
        <v/>
      </c>
      <c r="O3521" s="9">
        <f>IF(G3521=0,0,N3521/G3521)</f>
        <v/>
      </c>
      <c r="P3521" s="6">
        <f>IF(M3521&gt;0,D3521,"")</f>
        <v/>
      </c>
      <c r="Q3521" s="9">
        <f>I3521+O3521</f>
        <v/>
      </c>
      <c r="R3521" s="7">
        <f>Q3521*G3521</f>
        <v/>
      </c>
      <c r="S3521" s="8">
        <f>IF($R$3535=0,0,R3521/$R$3535)</f>
        <v/>
      </c>
      <c r="T3521" s="8" t="n">
        <v>-0.05542231728430236</v>
      </c>
      <c r="U3521" s="8" t="n">
        <v>-0.02306256638942494</v>
      </c>
      <c r="V3521" s="6" t="inlineStr">
        <is>
          <t>not selected</t>
        </is>
      </c>
    </row>
    <row r="3522">
      <c r="A3522" s="6" t="inlineStr">
        <is>
          <t>DJ30</t>
        </is>
      </c>
      <c r="B3522" s="6" t="inlineStr">
        <is>
          <t>2025-03-07</t>
        </is>
      </c>
      <c r="C3522" s="6" t="inlineStr">
        <is>
          <t>DIA</t>
        </is>
      </c>
      <c r="D3522" s="6" t="inlineStr">
        <is>
          <t>MCD</t>
        </is>
      </c>
      <c r="E3522" s="6" t="inlineStr">
        <is>
          <t>MCD</t>
        </is>
      </c>
      <c r="F3522" s="6" t="inlineStr">
        <is>
          <t>-</t>
        </is>
      </c>
      <c r="G3522" s="7" t="n">
        <v>311.9099426269531</v>
      </c>
      <c r="H3522" s="6">
        <f>P3491</f>
        <v/>
      </c>
      <c r="I3522" s="9">
        <f>Q3491</f>
        <v/>
      </c>
      <c r="J3522" s="7">
        <f>I3522*G3522</f>
        <v/>
      </c>
      <c r="K3522" s="8">
        <f>IF($J$3535=0,0,J3522/$J$3535)</f>
        <v/>
      </c>
      <c r="L3522" s="6" t="inlineStr">
        <is>
          <t>WATCHLIST</t>
        </is>
      </c>
      <c r="M3522" s="8" t="n">
        <v>0</v>
      </c>
      <c r="N3522" s="7">
        <f>M3522*$J$3535-J3522</f>
        <v/>
      </c>
      <c r="O3522" s="9">
        <f>IF(G3522=0,0,N3522/G3522)</f>
        <v/>
      </c>
      <c r="P3522" s="6">
        <f>IF(M3522&gt;0,D3522,"")</f>
        <v/>
      </c>
      <c r="Q3522" s="9">
        <f>I3522+O3522</f>
        <v/>
      </c>
      <c r="R3522" s="7">
        <f>Q3522*G3522</f>
        <v/>
      </c>
      <c r="S3522" s="8">
        <f>IF($R$3535=0,0,R3522/$R$3535)</f>
        <v/>
      </c>
      <c r="T3522" s="8" t="n">
        <v>-0.05542231728430236</v>
      </c>
      <c r="U3522" s="8" t="n">
        <v>-0.02306256638942494</v>
      </c>
      <c r="V3522" s="6" t="inlineStr">
        <is>
          <t>not selected</t>
        </is>
      </c>
    </row>
    <row r="3523">
      <c r="A3523" s="6" t="inlineStr">
        <is>
          <t>DJ30</t>
        </is>
      </c>
      <c r="B3523" s="6" t="inlineStr">
        <is>
          <t>2025-03-07</t>
        </is>
      </c>
      <c r="C3523" s="6" t="inlineStr">
        <is>
          <t>DIA</t>
        </is>
      </c>
      <c r="D3523" s="6" t="inlineStr">
        <is>
          <t>MMM</t>
        </is>
      </c>
      <c r="E3523" s="6" t="inlineStr">
        <is>
          <t>MMM</t>
        </is>
      </c>
      <c r="F3523" s="6" t="inlineStr">
        <is>
          <t>-</t>
        </is>
      </c>
      <c r="G3523" s="7" t="n">
        <v>142.9136199951172</v>
      </c>
      <c r="H3523" s="6">
        <f>P3492</f>
        <v/>
      </c>
      <c r="I3523" s="9">
        <f>Q3492</f>
        <v/>
      </c>
      <c r="J3523" s="7">
        <f>I3523*G3523</f>
        <v/>
      </c>
      <c r="K3523" s="8">
        <f>IF($J$3535=0,0,J3523/$J$3535)</f>
        <v/>
      </c>
      <c r="L3523" s="6" t="inlineStr">
        <is>
          <t>SELECTED</t>
        </is>
      </c>
      <c r="M3523" s="8" t="n">
        <v>0.2</v>
      </c>
      <c r="N3523" s="7">
        <f>M3523*$J$3535-J3523</f>
        <v/>
      </c>
      <c r="O3523" s="9">
        <f>IF(G3523=0,0,N3523/G3523)</f>
        <v/>
      </c>
      <c r="P3523" s="6">
        <f>IF(M3523&gt;0,D3523,"")</f>
        <v/>
      </c>
      <c r="Q3523" s="9">
        <f>I3523+O3523</f>
        <v/>
      </c>
      <c r="R3523" s="7">
        <f>Q3523*G3523</f>
        <v/>
      </c>
      <c r="S3523" s="8">
        <f>IF($R$3535=0,0,R3523/$R$3535)</f>
        <v/>
      </c>
      <c r="T3523" s="8" t="n">
        <v>-0.05542231728430236</v>
      </c>
      <c r="U3523" s="8" t="n">
        <v>-0.02306256638942494</v>
      </c>
      <c r="V3523" s="6" t="inlineStr">
        <is>
          <t>remained in weekly selection</t>
        </is>
      </c>
    </row>
    <row r="3524">
      <c r="A3524" s="6" t="inlineStr">
        <is>
          <t>DJ30</t>
        </is>
      </c>
      <c r="B3524" s="6" t="inlineStr">
        <is>
          <t>2025-03-07</t>
        </is>
      </c>
      <c r="C3524" s="6" t="inlineStr">
        <is>
          <t>DIA</t>
        </is>
      </c>
      <c r="D3524" s="6" t="inlineStr">
        <is>
          <t>MRK</t>
        </is>
      </c>
      <c r="E3524" s="6" t="inlineStr">
        <is>
          <t>MRK</t>
        </is>
      </c>
      <c r="F3524" s="6" t="inlineStr">
        <is>
          <t>-</t>
        </is>
      </c>
      <c r="G3524" s="7" t="n">
        <v>89.90343475341797</v>
      </c>
      <c r="H3524" s="6">
        <f>P3493</f>
        <v/>
      </c>
      <c r="I3524" s="9">
        <f>Q3493</f>
        <v/>
      </c>
      <c r="J3524" s="7">
        <f>I3524*G3524</f>
        <v/>
      </c>
      <c r="K3524" s="8">
        <f>IF($J$3535=0,0,J3524/$J$3535)</f>
        <v/>
      </c>
      <c r="L3524" s="6" t="inlineStr">
        <is>
          <t>REJECTED</t>
        </is>
      </c>
      <c r="M3524" s="8" t="n">
        <v>0</v>
      </c>
      <c r="N3524" s="7">
        <f>M3524*$J$3535-J3524</f>
        <v/>
      </c>
      <c r="O3524" s="9">
        <f>IF(G3524=0,0,N3524/G3524)</f>
        <v/>
      </c>
      <c r="P3524" s="6">
        <f>IF(M3524&gt;0,D3524,"")</f>
        <v/>
      </c>
      <c r="Q3524" s="9">
        <f>I3524+O3524</f>
        <v/>
      </c>
      <c r="R3524" s="7">
        <f>Q3524*G3524</f>
        <v/>
      </c>
      <c r="S3524" s="8">
        <f>IF($R$3535=0,0,R3524/$R$3535)</f>
        <v/>
      </c>
      <c r="T3524" s="8" t="n">
        <v>-0.05542231728430236</v>
      </c>
      <c r="U3524" s="8" t="n">
        <v>-0.02306256638942494</v>
      </c>
      <c r="V3524" s="6" t="inlineStr">
        <is>
          <t>not selected</t>
        </is>
      </c>
    </row>
    <row r="3525">
      <c r="A3525" s="6" t="inlineStr">
        <is>
          <t>DJ30</t>
        </is>
      </c>
      <c r="B3525" s="6" t="inlineStr">
        <is>
          <t>2025-03-07</t>
        </is>
      </c>
      <c r="C3525" s="6" t="inlineStr">
        <is>
          <t>DIA</t>
        </is>
      </c>
      <c r="D3525" s="6" t="inlineStr">
        <is>
          <t>MSFT</t>
        </is>
      </c>
      <c r="E3525" s="6" t="inlineStr">
        <is>
          <t>MSFT</t>
        </is>
      </c>
      <c r="F3525" s="6" t="inlineStr">
        <is>
          <t>-</t>
        </is>
      </c>
      <c r="G3525" s="7" t="n">
        <v>389.478271484375</v>
      </c>
      <c r="H3525" s="6">
        <f>P3494</f>
        <v/>
      </c>
      <c r="I3525" s="9">
        <f>Q3494</f>
        <v/>
      </c>
      <c r="J3525" s="7">
        <f>I3525*G3525</f>
        <v/>
      </c>
      <c r="K3525" s="8">
        <f>IF($J$3535=0,0,J3525/$J$3535)</f>
        <v/>
      </c>
      <c r="L3525" s="6" t="inlineStr">
        <is>
          <t>REJECTED</t>
        </is>
      </c>
      <c r="M3525" s="8" t="n">
        <v>0</v>
      </c>
      <c r="N3525" s="7">
        <f>M3525*$J$3535-J3525</f>
        <v/>
      </c>
      <c r="O3525" s="9">
        <f>IF(G3525=0,0,N3525/G3525)</f>
        <v/>
      </c>
      <c r="P3525" s="6">
        <f>IF(M3525&gt;0,D3525,"")</f>
        <v/>
      </c>
      <c r="Q3525" s="9">
        <f>I3525+O3525</f>
        <v/>
      </c>
      <c r="R3525" s="7">
        <f>Q3525*G3525</f>
        <v/>
      </c>
      <c r="S3525" s="8">
        <f>IF($R$3535=0,0,R3525/$R$3535)</f>
        <v/>
      </c>
      <c r="T3525" s="8" t="n">
        <v>-0.05542231728430236</v>
      </c>
      <c r="U3525" s="8" t="n">
        <v>-0.02306256638942494</v>
      </c>
      <c r="V3525" s="6" t="inlineStr">
        <is>
          <t>not selected</t>
        </is>
      </c>
    </row>
    <row r="3526">
      <c r="A3526" s="6" t="inlineStr">
        <is>
          <t>DJ30</t>
        </is>
      </c>
      <c r="B3526" s="6" t="inlineStr">
        <is>
          <t>2025-03-07</t>
        </is>
      </c>
      <c r="C3526" s="6" t="inlineStr">
        <is>
          <t>DIA</t>
        </is>
      </c>
      <c r="D3526" s="6" t="inlineStr">
        <is>
          <t>NKE</t>
        </is>
      </c>
      <c r="E3526" s="6" t="inlineStr">
        <is>
          <t>NKE</t>
        </is>
      </c>
      <c r="F3526" s="6" t="inlineStr">
        <is>
          <t>-</t>
        </is>
      </c>
      <c r="G3526" s="7" t="n">
        <v>75.98603057861328</v>
      </c>
      <c r="H3526" s="6">
        <f>P3495</f>
        <v/>
      </c>
      <c r="I3526" s="9">
        <f>Q3495</f>
        <v/>
      </c>
      <c r="J3526" s="7">
        <f>I3526*G3526</f>
        <v/>
      </c>
      <c r="K3526" s="8">
        <f>IF($J$3535=0,0,J3526/$J$3535)</f>
        <v/>
      </c>
      <c r="L3526" s="6" t="inlineStr">
        <is>
          <t>REJECTED</t>
        </is>
      </c>
      <c r="M3526" s="8" t="n">
        <v>0</v>
      </c>
      <c r="N3526" s="7">
        <f>M3526*$J$3535-J3526</f>
        <v/>
      </c>
      <c r="O3526" s="9">
        <f>IF(G3526=0,0,N3526/G3526)</f>
        <v/>
      </c>
      <c r="P3526" s="6">
        <f>IF(M3526&gt;0,D3526,"")</f>
        <v/>
      </c>
      <c r="Q3526" s="9">
        <f>I3526+O3526</f>
        <v/>
      </c>
      <c r="R3526" s="7">
        <f>Q3526*G3526</f>
        <v/>
      </c>
      <c r="S3526" s="8">
        <f>IF($R$3535=0,0,R3526/$R$3535)</f>
        <v/>
      </c>
      <c r="T3526" s="8" t="n">
        <v>-0.05542231728430236</v>
      </c>
      <c r="U3526" s="8" t="n">
        <v>-0.02306256638942494</v>
      </c>
      <c r="V3526" s="6" t="inlineStr">
        <is>
          <t>not selected</t>
        </is>
      </c>
    </row>
    <row r="3527">
      <c r="A3527" s="6" t="inlineStr">
        <is>
          <t>DJ30</t>
        </is>
      </c>
      <c r="B3527" s="6" t="inlineStr">
        <is>
          <t>2025-03-07</t>
        </is>
      </c>
      <c r="C3527" s="6" t="inlineStr">
        <is>
          <t>DIA</t>
        </is>
      </c>
      <c r="D3527" s="6" t="inlineStr">
        <is>
          <t>NVDA</t>
        </is>
      </c>
      <c r="E3527" s="6" t="inlineStr">
        <is>
          <t>NVDA</t>
        </is>
      </c>
      <c r="F3527" s="6" t="inlineStr">
        <is>
          <t>-</t>
        </is>
      </c>
      <c r="G3527" s="7" t="n">
        <v>112.5219497680664</v>
      </c>
      <c r="H3527" s="6">
        <f>P3496</f>
        <v/>
      </c>
      <c r="I3527" s="9">
        <f>Q3496</f>
        <v/>
      </c>
      <c r="J3527" s="7">
        <f>I3527*G3527</f>
        <v/>
      </c>
      <c r="K3527" s="8">
        <f>IF($J$3535=0,0,J3527/$J$3535)</f>
        <v/>
      </c>
      <c r="L3527" s="6" t="inlineStr">
        <is>
          <t>WATCHLIST</t>
        </is>
      </c>
      <c r="M3527" s="8" t="n">
        <v>0</v>
      </c>
      <c r="N3527" s="7">
        <f>M3527*$J$3535-J3527</f>
        <v/>
      </c>
      <c r="O3527" s="9">
        <f>IF(G3527=0,0,N3527/G3527)</f>
        <v/>
      </c>
      <c r="P3527" s="6">
        <f>IF(M3527&gt;0,D3527,"")</f>
        <v/>
      </c>
      <c r="Q3527" s="9">
        <f>I3527+O3527</f>
        <v/>
      </c>
      <c r="R3527" s="7">
        <f>Q3527*G3527</f>
        <v/>
      </c>
      <c r="S3527" s="8">
        <f>IF($R$3535=0,0,R3527/$R$3535)</f>
        <v/>
      </c>
      <c r="T3527" s="8" t="n">
        <v>-0.05542231728430236</v>
      </c>
      <c r="U3527" s="8" t="n">
        <v>-0.02306256638942494</v>
      </c>
      <c r="V3527" s="6" t="inlineStr">
        <is>
          <t>removed from weekly selection</t>
        </is>
      </c>
    </row>
    <row r="3528">
      <c r="A3528" s="6" t="inlineStr">
        <is>
          <t>DJ30</t>
        </is>
      </c>
      <c r="B3528" s="6" t="inlineStr">
        <is>
          <t>2025-03-07</t>
        </is>
      </c>
      <c r="C3528" s="6" t="inlineStr">
        <is>
          <t>DIA</t>
        </is>
      </c>
      <c r="D3528" s="6" t="inlineStr">
        <is>
          <t>PG</t>
        </is>
      </c>
      <c r="E3528" s="6" t="inlineStr">
        <is>
          <t>PG</t>
        </is>
      </c>
      <c r="F3528" s="6" t="inlineStr">
        <is>
          <t>-</t>
        </is>
      </c>
      <c r="G3528" s="7" t="n">
        <v>169.9705505371094</v>
      </c>
      <c r="H3528" s="6">
        <f>P3497</f>
        <v/>
      </c>
      <c r="I3528" s="9">
        <f>Q3497</f>
        <v/>
      </c>
      <c r="J3528" s="7">
        <f>I3528*G3528</f>
        <v/>
      </c>
      <c r="K3528" s="8">
        <f>IF($J$3535=0,0,J3528/$J$3535)</f>
        <v/>
      </c>
      <c r="L3528" s="6" t="inlineStr">
        <is>
          <t>WATCHLIST</t>
        </is>
      </c>
      <c r="M3528" s="8" t="n">
        <v>0</v>
      </c>
      <c r="N3528" s="7">
        <f>M3528*$J$3535-J3528</f>
        <v/>
      </c>
      <c r="O3528" s="9">
        <f>IF(G3528=0,0,N3528/G3528)</f>
        <v/>
      </c>
      <c r="P3528" s="6">
        <f>IF(M3528&gt;0,D3528,"")</f>
        <v/>
      </c>
      <c r="Q3528" s="9">
        <f>I3528+O3528</f>
        <v/>
      </c>
      <c r="R3528" s="7">
        <f>Q3528*G3528</f>
        <v/>
      </c>
      <c r="S3528" s="8">
        <f>IF($R$3535=0,0,R3528/$R$3535)</f>
        <v/>
      </c>
      <c r="T3528" s="8" t="n">
        <v>-0.05542231728430236</v>
      </c>
      <c r="U3528" s="8" t="n">
        <v>-0.02306256638942494</v>
      </c>
      <c r="V3528" s="6" t="inlineStr">
        <is>
          <t>not selected</t>
        </is>
      </c>
    </row>
    <row r="3529">
      <c r="A3529" s="6" t="inlineStr">
        <is>
          <t>DJ30</t>
        </is>
      </c>
      <c r="B3529" s="6" t="inlineStr">
        <is>
          <t>2025-03-07</t>
        </is>
      </c>
      <c r="C3529" s="6" t="inlineStr">
        <is>
          <t>DIA</t>
        </is>
      </c>
      <c r="D3529" s="6" t="inlineStr">
        <is>
          <t>SHW</t>
        </is>
      </c>
      <c r="E3529" s="6" t="inlineStr">
        <is>
          <t>SHW</t>
        </is>
      </c>
      <c r="F3529" s="6" t="inlineStr">
        <is>
          <t>-</t>
        </is>
      </c>
      <c r="G3529" s="7" t="n">
        <v>359.4681396484375</v>
      </c>
      <c r="H3529" s="6">
        <f>P3498</f>
        <v/>
      </c>
      <c r="I3529" s="9">
        <f>Q3498</f>
        <v/>
      </c>
      <c r="J3529" s="7">
        <f>I3529*G3529</f>
        <v/>
      </c>
      <c r="K3529" s="8">
        <f>IF($J$3535=0,0,J3529/$J$3535)</f>
        <v/>
      </c>
      <c r="L3529" s="6" t="inlineStr">
        <is>
          <t>WATCHLIST</t>
        </is>
      </c>
      <c r="M3529" s="8" t="n">
        <v>0</v>
      </c>
      <c r="N3529" s="7">
        <f>M3529*$J$3535-J3529</f>
        <v/>
      </c>
      <c r="O3529" s="9">
        <f>IF(G3529=0,0,N3529/G3529)</f>
        <v/>
      </c>
      <c r="P3529" s="6">
        <f>IF(M3529&gt;0,D3529,"")</f>
        <v/>
      </c>
      <c r="Q3529" s="9">
        <f>I3529+O3529</f>
        <v/>
      </c>
      <c r="R3529" s="7">
        <f>Q3529*G3529</f>
        <v/>
      </c>
      <c r="S3529" s="8">
        <f>IF($R$3535=0,0,R3529/$R$3535)</f>
        <v/>
      </c>
      <c r="T3529" s="8" t="n">
        <v>-0.05542231728430236</v>
      </c>
      <c r="U3529" s="8" t="n">
        <v>-0.02306256638942494</v>
      </c>
      <c r="V3529" s="6" t="inlineStr">
        <is>
          <t>not selected</t>
        </is>
      </c>
    </row>
    <row r="3530">
      <c r="A3530" s="6" t="inlineStr">
        <is>
          <t>DJ30</t>
        </is>
      </c>
      <c r="B3530" s="6" t="inlineStr">
        <is>
          <t>2025-03-07</t>
        </is>
      </c>
      <c r="C3530" s="6" t="inlineStr">
        <is>
          <t>DIA</t>
        </is>
      </c>
      <c r="D3530" s="6" t="inlineStr">
        <is>
          <t>TRV</t>
        </is>
      </c>
      <c r="E3530" s="6" t="inlineStr">
        <is>
          <t>TRV</t>
        </is>
      </c>
      <c r="F3530" s="6" t="inlineStr">
        <is>
          <t>-</t>
        </is>
      </c>
      <c r="G3530" s="7" t="n">
        <v>251.5930480957031</v>
      </c>
      <c r="H3530" s="6">
        <f>P3499</f>
        <v/>
      </c>
      <c r="I3530" s="9">
        <f>Q3499</f>
        <v/>
      </c>
      <c r="J3530" s="7">
        <f>I3530*G3530</f>
        <v/>
      </c>
      <c r="K3530" s="8">
        <f>IF($J$3535=0,0,J3530/$J$3535)</f>
        <v/>
      </c>
      <c r="L3530" s="6" t="inlineStr">
        <is>
          <t>SELECTED</t>
        </is>
      </c>
      <c r="M3530" s="8" t="n">
        <v>0.2</v>
      </c>
      <c r="N3530" s="7">
        <f>M3530*$J$3535-J3530</f>
        <v/>
      </c>
      <c r="O3530" s="9">
        <f>IF(G3530=0,0,N3530/G3530)</f>
        <v/>
      </c>
      <c r="P3530" s="6">
        <f>IF(M3530&gt;0,D3530,"")</f>
        <v/>
      </c>
      <c r="Q3530" s="9">
        <f>I3530+O3530</f>
        <v/>
      </c>
      <c r="R3530" s="7">
        <f>Q3530*G3530</f>
        <v/>
      </c>
      <c r="S3530" s="8">
        <f>IF($R$3535=0,0,R3530/$R$3535)</f>
        <v/>
      </c>
      <c r="T3530" s="8" t="n">
        <v>-0.05542231728430236</v>
      </c>
      <c r="U3530" s="8" t="n">
        <v>-0.02306256638942494</v>
      </c>
      <c r="V3530" s="6" t="inlineStr">
        <is>
          <t>entered weekly selection</t>
        </is>
      </c>
    </row>
    <row r="3531">
      <c r="A3531" s="6" t="inlineStr">
        <is>
          <t>DJ30</t>
        </is>
      </c>
      <c r="B3531" s="6" t="inlineStr">
        <is>
          <t>2025-03-07</t>
        </is>
      </c>
      <c r="C3531" s="6" t="inlineStr">
        <is>
          <t>DIA</t>
        </is>
      </c>
      <c r="D3531" s="6" t="inlineStr">
        <is>
          <t>UNH</t>
        </is>
      </c>
      <c r="E3531" s="6" t="inlineStr">
        <is>
          <t>UNH</t>
        </is>
      </c>
      <c r="F3531" s="6" t="inlineStr">
        <is>
          <t>-</t>
        </is>
      </c>
      <c r="G3531" s="7" t="n">
        <v>475.18994140625</v>
      </c>
      <c r="H3531" s="6">
        <f>P3500</f>
        <v/>
      </c>
      <c r="I3531" s="9">
        <f>Q3500</f>
        <v/>
      </c>
      <c r="J3531" s="7">
        <f>I3531*G3531</f>
        <v/>
      </c>
      <c r="K3531" s="8">
        <f>IF($J$3535=0,0,J3531/$J$3535)</f>
        <v/>
      </c>
      <c r="L3531" s="6" t="inlineStr">
        <is>
          <t>REJECTED</t>
        </is>
      </c>
      <c r="M3531" s="8" t="n">
        <v>0</v>
      </c>
      <c r="N3531" s="7">
        <f>M3531*$J$3535-J3531</f>
        <v/>
      </c>
      <c r="O3531" s="9">
        <f>IF(G3531=0,0,N3531/G3531)</f>
        <v/>
      </c>
      <c r="P3531" s="6">
        <f>IF(M3531&gt;0,D3531,"")</f>
        <v/>
      </c>
      <c r="Q3531" s="9">
        <f>I3531+O3531</f>
        <v/>
      </c>
      <c r="R3531" s="7">
        <f>Q3531*G3531</f>
        <v/>
      </c>
      <c r="S3531" s="8">
        <f>IF($R$3535=0,0,R3531/$R$3535)</f>
        <v/>
      </c>
      <c r="T3531" s="8" t="n">
        <v>-0.05542231728430236</v>
      </c>
      <c r="U3531" s="8" t="n">
        <v>-0.02306256638942494</v>
      </c>
      <c r="V3531" s="6" t="inlineStr">
        <is>
          <t>not selected</t>
        </is>
      </c>
    </row>
    <row r="3532">
      <c r="A3532" s="6" t="inlineStr">
        <is>
          <t>DJ30</t>
        </is>
      </c>
      <c r="B3532" s="6" t="inlineStr">
        <is>
          <t>2025-03-07</t>
        </is>
      </c>
      <c r="C3532" s="6" t="inlineStr">
        <is>
          <t>DIA</t>
        </is>
      </c>
      <c r="D3532" s="6" t="inlineStr">
        <is>
          <t>V</t>
        </is>
      </c>
      <c r="E3532" s="6" t="inlineStr">
        <is>
          <t>V</t>
        </is>
      </c>
      <c r="F3532" s="6" t="inlineStr">
        <is>
          <t>-</t>
        </is>
      </c>
      <c r="G3532" s="7" t="n">
        <v>342.0457153320312</v>
      </c>
      <c r="H3532" s="6">
        <f>P3501</f>
        <v/>
      </c>
      <c r="I3532" s="9">
        <f>Q3501</f>
        <v/>
      </c>
      <c r="J3532" s="7">
        <f>I3532*G3532</f>
        <v/>
      </c>
      <c r="K3532" s="8">
        <f>IF($J$3535=0,0,J3532/$J$3535)</f>
        <v/>
      </c>
      <c r="L3532" s="6" t="inlineStr">
        <is>
          <t>WATCHLIST</t>
        </is>
      </c>
      <c r="M3532" s="8" t="n">
        <v>0</v>
      </c>
      <c r="N3532" s="7">
        <f>M3532*$J$3535-J3532</f>
        <v/>
      </c>
      <c r="O3532" s="9">
        <f>IF(G3532=0,0,N3532/G3532)</f>
        <v/>
      </c>
      <c r="P3532" s="6">
        <f>IF(M3532&gt;0,D3532,"")</f>
        <v/>
      </c>
      <c r="Q3532" s="9">
        <f>I3532+O3532</f>
        <v/>
      </c>
      <c r="R3532" s="7">
        <f>Q3532*G3532</f>
        <v/>
      </c>
      <c r="S3532" s="8">
        <f>IF($R$3535=0,0,R3532/$R$3535)</f>
        <v/>
      </c>
      <c r="T3532" s="8" t="n">
        <v>-0.05542231728430236</v>
      </c>
      <c r="U3532" s="8" t="n">
        <v>-0.02306256638942494</v>
      </c>
      <c r="V3532" s="6" t="inlineStr">
        <is>
          <t>not selected</t>
        </is>
      </c>
    </row>
    <row r="3533">
      <c r="A3533" s="6" t="inlineStr">
        <is>
          <t>DJ30</t>
        </is>
      </c>
      <c r="B3533" s="6" t="inlineStr">
        <is>
          <t>2025-03-07</t>
        </is>
      </c>
      <c r="C3533" s="6" t="inlineStr">
        <is>
          <t>DIA</t>
        </is>
      </c>
      <c r="D3533" s="6" t="inlineStr">
        <is>
          <t>VZ</t>
        </is>
      </c>
      <c r="E3533" s="6" t="inlineStr">
        <is>
          <t>VZ</t>
        </is>
      </c>
      <c r="F3533" s="6" t="inlineStr">
        <is>
          <t>-</t>
        </is>
      </c>
      <c r="G3533" s="7" t="n">
        <v>42.4699821472168</v>
      </c>
      <c r="H3533" s="6">
        <f>P3502</f>
        <v/>
      </c>
      <c r="I3533" s="9">
        <f>Q3502</f>
        <v/>
      </c>
      <c r="J3533" s="7">
        <f>I3533*G3533</f>
        <v/>
      </c>
      <c r="K3533" s="8">
        <f>IF($J$3535=0,0,J3533/$J$3535)</f>
        <v/>
      </c>
      <c r="L3533" s="6" t="inlineStr">
        <is>
          <t>WATCHLIST</t>
        </is>
      </c>
      <c r="M3533" s="8" t="n">
        <v>0</v>
      </c>
      <c r="N3533" s="7">
        <f>M3533*$J$3535-J3533</f>
        <v/>
      </c>
      <c r="O3533" s="9">
        <f>IF(G3533=0,0,N3533/G3533)</f>
        <v/>
      </c>
      <c r="P3533" s="6">
        <f>IF(M3533&gt;0,D3533,"")</f>
        <v/>
      </c>
      <c r="Q3533" s="9">
        <f>I3533+O3533</f>
        <v/>
      </c>
      <c r="R3533" s="7">
        <f>Q3533*G3533</f>
        <v/>
      </c>
      <c r="S3533" s="8">
        <f>IF($R$3535=0,0,R3533/$R$3535)</f>
        <v/>
      </c>
      <c r="T3533" s="8" t="n">
        <v>-0.05542231728430236</v>
      </c>
      <c r="U3533" s="8" t="n">
        <v>-0.02306256638942494</v>
      </c>
      <c r="V3533" s="6" t="inlineStr">
        <is>
          <t>not selected</t>
        </is>
      </c>
    </row>
    <row r="3534">
      <c r="A3534" s="6" t="inlineStr">
        <is>
          <t>DJ30</t>
        </is>
      </c>
      <c r="B3534" s="6" t="inlineStr">
        <is>
          <t>2025-03-07</t>
        </is>
      </c>
      <c r="C3534" s="6" t="inlineStr">
        <is>
          <t>DIA</t>
        </is>
      </c>
      <c r="D3534" s="6" t="inlineStr">
        <is>
          <t>WMT</t>
        </is>
      </c>
      <c r="E3534" s="6" t="inlineStr">
        <is>
          <t>WMT</t>
        </is>
      </c>
      <c r="F3534" s="6" t="inlineStr">
        <is>
          <t>-</t>
        </is>
      </c>
      <c r="G3534" s="7" t="n">
        <v>90.49162292480467</v>
      </c>
      <c r="H3534" s="6">
        <f>P3503</f>
        <v/>
      </c>
      <c r="I3534" s="9">
        <f>Q3503</f>
        <v/>
      </c>
      <c r="J3534" s="7">
        <f>I3534*G3534</f>
        <v/>
      </c>
      <c r="K3534" s="8">
        <f>IF($J$3535=0,0,J3534/$J$3535)</f>
        <v/>
      </c>
      <c r="L3534" s="6" t="inlineStr">
        <is>
          <t>SELECTED</t>
        </is>
      </c>
      <c r="M3534" s="8" t="n">
        <v>0.2</v>
      </c>
      <c r="N3534" s="7">
        <f>M3534*$J$3535-J3534</f>
        <v/>
      </c>
      <c r="O3534" s="9">
        <f>IF(G3534=0,0,N3534/G3534)</f>
        <v/>
      </c>
      <c r="P3534" s="6">
        <f>IF(M3534&gt;0,D3534,"")</f>
        <v/>
      </c>
      <c r="Q3534" s="9">
        <f>I3534+O3534</f>
        <v/>
      </c>
      <c r="R3534" s="7">
        <f>Q3534*G3534</f>
        <v/>
      </c>
      <c r="S3534" s="8">
        <f>IF($R$3535=0,0,R3534/$R$3535)</f>
        <v/>
      </c>
      <c r="T3534" s="8" t="n">
        <v>-0.05542231728430236</v>
      </c>
      <c r="U3534" s="8" t="n">
        <v>-0.02306256638942494</v>
      </c>
      <c r="V3534" s="6" t="inlineStr">
        <is>
          <t>remained in weekly selection</t>
        </is>
      </c>
    </row>
    <row r="3535">
      <c r="A3535" s="10" t="inlineStr">
        <is>
          <t>DJ30</t>
        </is>
      </c>
      <c r="B3535" s="10" t="inlineStr">
        <is>
          <t>2025-03-07</t>
        </is>
      </c>
      <c r="C3535" s="10" t="inlineStr">
        <is>
          <t>DIA</t>
        </is>
      </c>
      <c r="D3535" s="10" t="inlineStr">
        <is>
          <t>Tot Portfolio</t>
        </is>
      </c>
      <c r="E3535" s="10" t="inlineStr"/>
      <c r="F3535" s="10" t="inlineStr"/>
      <c r="G3535" s="11" t="inlineStr"/>
      <c r="H3535" s="10" t="inlineStr"/>
      <c r="I3535" s="12" t="inlineStr"/>
      <c r="J3535" s="11">
        <f>SUM(J3505:J3534)</f>
        <v/>
      </c>
      <c r="K3535" s="13">
        <f>SUM(K3505:K3534)</f>
        <v/>
      </c>
      <c r="L3535" s="10" t="inlineStr">
        <is>
          <t>TOTAL</t>
        </is>
      </c>
      <c r="M3535" s="13">
        <f>SUM(M3505:M3534)</f>
        <v/>
      </c>
      <c r="N3535" s="11">
        <f>SUM(N3505:N3534)</f>
        <v/>
      </c>
      <c r="O3535" s="12">
        <f>SUM(O3505:O3534)</f>
        <v/>
      </c>
      <c r="P3535" s="10" t="inlineStr"/>
      <c r="Q3535" s="12" t="inlineStr"/>
      <c r="R3535" s="11">
        <f>SUM(R3505:R3534)</f>
        <v/>
      </c>
      <c r="S3535" s="13">
        <f>SUM(S3505:S3534)</f>
        <v/>
      </c>
      <c r="T3535" s="13" t="n">
        <v>-0.05542231728430236</v>
      </c>
      <c r="U3535" s="13" t="n">
        <v>-0.02306256638942494</v>
      </c>
      <c r="V3535" s="10" t="inlineStr"/>
    </row>
    <row r="3536">
      <c r="A3536" s="6" t="inlineStr">
        <is>
          <t>DJ30</t>
        </is>
      </c>
      <c r="B3536" s="6" t="inlineStr">
        <is>
          <t>2025-03-14</t>
        </is>
      </c>
      <c r="C3536" s="6" t="inlineStr">
        <is>
          <t>DIA</t>
        </is>
      </c>
      <c r="D3536" s="6" t="inlineStr">
        <is>
          <t>AAPL</t>
        </is>
      </c>
      <c r="E3536" s="6" t="inlineStr">
        <is>
          <t>AAPL</t>
        </is>
      </c>
      <c r="F3536" s="6" t="inlineStr">
        <is>
          <t>-</t>
        </is>
      </c>
      <c r="G3536" s="7" t="n">
        <v>212.367904663086</v>
      </c>
      <c r="H3536" s="6">
        <f>P3505</f>
        <v/>
      </c>
      <c r="I3536" s="9">
        <f>Q3505</f>
        <v/>
      </c>
      <c r="J3536" s="7">
        <f>I3536*G3536</f>
        <v/>
      </c>
      <c r="K3536" s="8">
        <f>IF($J$3566=0,0,J3536/$J$3566)</f>
        <v/>
      </c>
      <c r="L3536" s="6" t="inlineStr">
        <is>
          <t>WATCHLIST</t>
        </is>
      </c>
      <c r="M3536" s="8" t="n">
        <v>0</v>
      </c>
      <c r="N3536" s="7">
        <f>M3536*$J$3566-J3536</f>
        <v/>
      </c>
      <c r="O3536" s="9">
        <f>IF(G3536=0,0,N3536/G3536)</f>
        <v/>
      </c>
      <c r="P3536" s="6">
        <f>IF(M3536&gt;0,D3536,"")</f>
        <v/>
      </c>
      <c r="Q3536" s="9">
        <f>I3536+O3536</f>
        <v/>
      </c>
      <c r="R3536" s="7">
        <f>Q3536*G3536</f>
        <v/>
      </c>
      <c r="S3536" s="8">
        <f>IF($R$3566=0,0,R3536/$R$3566)</f>
        <v/>
      </c>
      <c r="T3536" s="8" t="n">
        <v>-0.02619832807823697</v>
      </c>
      <c r="U3536" s="8" t="n">
        <v>-0.03012203964507221</v>
      </c>
      <c r="V3536" s="6" t="inlineStr">
        <is>
          <t>not selected</t>
        </is>
      </c>
    </row>
    <row r="3537">
      <c r="A3537" s="6" t="inlineStr">
        <is>
          <t>DJ30</t>
        </is>
      </c>
      <c r="B3537" s="6" t="inlineStr">
        <is>
          <t>2025-03-14</t>
        </is>
      </c>
      <c r="C3537" s="6" t="inlineStr">
        <is>
          <t>DIA</t>
        </is>
      </c>
      <c r="D3537" s="6" t="inlineStr">
        <is>
          <t>AMGN</t>
        </is>
      </c>
      <c r="E3537" s="6" t="inlineStr">
        <is>
          <t>AMGN</t>
        </is>
      </c>
      <c r="F3537" s="6" t="inlineStr">
        <is>
          <t>-</t>
        </is>
      </c>
      <c r="G3537" s="7" t="n">
        <v>301.8877868652344</v>
      </c>
      <c r="H3537" s="6">
        <f>P3506</f>
        <v/>
      </c>
      <c r="I3537" s="9">
        <f>Q3506</f>
        <v/>
      </c>
      <c r="J3537" s="7">
        <f>I3537*G3537</f>
        <v/>
      </c>
      <c r="K3537" s="8">
        <f>IF($J$3566=0,0,J3537/$J$3566)</f>
        <v/>
      </c>
      <c r="L3537" s="6" t="inlineStr">
        <is>
          <t>REJECTED</t>
        </is>
      </c>
      <c r="M3537" s="8" t="n">
        <v>0</v>
      </c>
      <c r="N3537" s="7">
        <f>M3537*$J$3566-J3537</f>
        <v/>
      </c>
      <c r="O3537" s="9">
        <f>IF(G3537=0,0,N3537/G3537)</f>
        <v/>
      </c>
      <c r="P3537" s="6">
        <f>IF(M3537&gt;0,D3537,"")</f>
        <v/>
      </c>
      <c r="Q3537" s="9">
        <f>I3537+O3537</f>
        <v/>
      </c>
      <c r="R3537" s="7">
        <f>Q3537*G3537</f>
        <v/>
      </c>
      <c r="S3537" s="8">
        <f>IF($R$3566=0,0,R3537/$R$3566)</f>
        <v/>
      </c>
      <c r="T3537" s="8" t="n">
        <v>-0.02619832807823697</v>
      </c>
      <c r="U3537" s="8" t="n">
        <v>-0.03012203964507221</v>
      </c>
      <c r="V3537" s="6" t="inlineStr">
        <is>
          <t>not selected</t>
        </is>
      </c>
    </row>
    <row r="3538">
      <c r="A3538" s="6" t="inlineStr">
        <is>
          <t>DJ30</t>
        </is>
      </c>
      <c r="B3538" s="6" t="inlineStr">
        <is>
          <t>2025-03-14</t>
        </is>
      </c>
      <c r="C3538" s="6" t="inlineStr">
        <is>
          <t>DIA</t>
        </is>
      </c>
      <c r="D3538" s="6" t="inlineStr">
        <is>
          <t>AMZN</t>
        </is>
      </c>
      <c r="E3538" s="6" t="inlineStr">
        <is>
          <t>AMZN</t>
        </is>
      </c>
      <c r="F3538" s="6" t="inlineStr">
        <is>
          <t>-</t>
        </is>
      </c>
      <c r="G3538" s="7" t="n">
        <v>197.9499969482422</v>
      </c>
      <c r="H3538" s="6">
        <f>P3507</f>
        <v/>
      </c>
      <c r="I3538" s="9">
        <f>Q3507</f>
        <v/>
      </c>
      <c r="J3538" s="7">
        <f>I3538*G3538</f>
        <v/>
      </c>
      <c r="K3538" s="8">
        <f>IF($J$3566=0,0,J3538/$J$3566)</f>
        <v/>
      </c>
      <c r="L3538" s="6" t="inlineStr">
        <is>
          <t>WATCHLIST</t>
        </is>
      </c>
      <c r="M3538" s="8" t="n">
        <v>0</v>
      </c>
      <c r="N3538" s="7">
        <f>M3538*$J$3566-J3538</f>
        <v/>
      </c>
      <c r="O3538" s="9">
        <f>IF(G3538=0,0,N3538/G3538)</f>
        <v/>
      </c>
      <c r="P3538" s="6">
        <f>IF(M3538&gt;0,D3538,"")</f>
        <v/>
      </c>
      <c r="Q3538" s="9">
        <f>I3538+O3538</f>
        <v/>
      </c>
      <c r="R3538" s="7">
        <f>Q3538*G3538</f>
        <v/>
      </c>
      <c r="S3538" s="8">
        <f>IF($R$3566=0,0,R3538/$R$3566)</f>
        <v/>
      </c>
      <c r="T3538" s="8" t="n">
        <v>-0.02619832807823697</v>
      </c>
      <c r="U3538" s="8" t="n">
        <v>-0.03012203964507221</v>
      </c>
      <c r="V3538" s="6" t="inlineStr">
        <is>
          <t>not selected</t>
        </is>
      </c>
    </row>
    <row r="3539">
      <c r="A3539" s="6" t="inlineStr">
        <is>
          <t>DJ30</t>
        </is>
      </c>
      <c r="B3539" s="6" t="inlineStr">
        <is>
          <t>2025-03-14</t>
        </is>
      </c>
      <c r="C3539" s="6" t="inlineStr">
        <is>
          <t>DIA</t>
        </is>
      </c>
      <c r="D3539" s="6" t="inlineStr">
        <is>
          <t>AXP</t>
        </is>
      </c>
      <c r="E3539" s="6" t="inlineStr">
        <is>
          <t>AXP</t>
        </is>
      </c>
      <c r="F3539" s="6" t="inlineStr">
        <is>
          <t>-</t>
        </is>
      </c>
      <c r="G3539" s="7" t="n">
        <v>262.0046997070312</v>
      </c>
      <c r="H3539" s="6">
        <f>P3508</f>
        <v/>
      </c>
      <c r="I3539" s="9">
        <f>Q3508</f>
        <v/>
      </c>
      <c r="J3539" s="7">
        <f>I3539*G3539</f>
        <v/>
      </c>
      <c r="K3539" s="8">
        <f>IF($J$3566=0,0,J3539/$J$3566)</f>
        <v/>
      </c>
      <c r="L3539" s="6" t="inlineStr">
        <is>
          <t>WATCHLIST</t>
        </is>
      </c>
      <c r="M3539" s="8" t="n">
        <v>0</v>
      </c>
      <c r="N3539" s="7">
        <f>M3539*$J$3566-J3539</f>
        <v/>
      </c>
      <c r="O3539" s="9">
        <f>IF(G3539=0,0,N3539/G3539)</f>
        <v/>
      </c>
      <c r="P3539" s="6">
        <f>IF(M3539&gt;0,D3539,"")</f>
        <v/>
      </c>
      <c r="Q3539" s="9">
        <f>I3539+O3539</f>
        <v/>
      </c>
      <c r="R3539" s="7">
        <f>Q3539*G3539</f>
        <v/>
      </c>
      <c r="S3539" s="8">
        <f>IF($R$3566=0,0,R3539/$R$3566)</f>
        <v/>
      </c>
      <c r="T3539" s="8" t="n">
        <v>-0.02619832807823697</v>
      </c>
      <c r="U3539" s="8" t="n">
        <v>-0.03012203964507221</v>
      </c>
      <c r="V3539" s="6" t="inlineStr">
        <is>
          <t>not selected</t>
        </is>
      </c>
    </row>
    <row r="3540">
      <c r="A3540" s="6" t="inlineStr">
        <is>
          <t>DJ30</t>
        </is>
      </c>
      <c r="B3540" s="6" t="inlineStr">
        <is>
          <t>2025-03-14</t>
        </is>
      </c>
      <c r="C3540" s="6" t="inlineStr">
        <is>
          <t>DIA</t>
        </is>
      </c>
      <c r="D3540" s="6" t="inlineStr">
        <is>
          <t>BA</t>
        </is>
      </c>
      <c r="E3540" s="6" t="inlineStr">
        <is>
          <t>BA</t>
        </is>
      </c>
      <c r="F3540" s="6" t="inlineStr">
        <is>
          <t>-</t>
        </is>
      </c>
      <c r="G3540" s="7" t="n">
        <v>161.8099975585938</v>
      </c>
      <c r="H3540" s="6">
        <f>P3509</f>
        <v/>
      </c>
      <c r="I3540" s="9">
        <f>Q3509</f>
        <v/>
      </c>
      <c r="J3540" s="7">
        <f>I3540*G3540</f>
        <v/>
      </c>
      <c r="K3540" s="8">
        <f>IF($J$3566=0,0,J3540/$J$3566)</f>
        <v/>
      </c>
      <c r="L3540" s="6" t="inlineStr">
        <is>
          <t>REJECTED</t>
        </is>
      </c>
      <c r="M3540" s="8" t="n">
        <v>0</v>
      </c>
      <c r="N3540" s="7">
        <f>M3540*$J$3566-J3540</f>
        <v/>
      </c>
      <c r="O3540" s="9">
        <f>IF(G3540=0,0,N3540/G3540)</f>
        <v/>
      </c>
      <c r="P3540" s="6">
        <f>IF(M3540&gt;0,D3540,"")</f>
        <v/>
      </c>
      <c r="Q3540" s="9">
        <f>I3540+O3540</f>
        <v/>
      </c>
      <c r="R3540" s="7">
        <f>Q3540*G3540</f>
        <v/>
      </c>
      <c r="S3540" s="8">
        <f>IF($R$3566=0,0,R3540/$R$3566)</f>
        <v/>
      </c>
      <c r="T3540" s="8" t="n">
        <v>-0.02619832807823697</v>
      </c>
      <c r="U3540" s="8" t="n">
        <v>-0.03012203964507221</v>
      </c>
      <c r="V3540" s="6" t="inlineStr">
        <is>
          <t>not selected</t>
        </is>
      </c>
    </row>
    <row r="3541">
      <c r="A3541" s="6" t="inlineStr">
        <is>
          <t>DJ30</t>
        </is>
      </c>
      <c r="B3541" s="6" t="inlineStr">
        <is>
          <t>2025-03-14</t>
        </is>
      </c>
      <c r="C3541" s="6" t="inlineStr">
        <is>
          <t>DIA</t>
        </is>
      </c>
      <c r="D3541" s="6" t="inlineStr">
        <is>
          <t>CAT</t>
        </is>
      </c>
      <c r="E3541" s="6" t="inlineStr">
        <is>
          <t>CAT</t>
        </is>
      </c>
      <c r="F3541" s="6" t="inlineStr">
        <is>
          <t>-</t>
        </is>
      </c>
      <c r="G3541" s="7" t="n">
        <v>334.3934936523437</v>
      </c>
      <c r="H3541" s="6">
        <f>P3510</f>
        <v/>
      </c>
      <c r="I3541" s="9">
        <f>Q3510</f>
        <v/>
      </c>
      <c r="J3541" s="7">
        <f>I3541*G3541</f>
        <v/>
      </c>
      <c r="K3541" s="8">
        <f>IF($J$3566=0,0,J3541/$J$3566)</f>
        <v/>
      </c>
      <c r="L3541" s="6" t="inlineStr">
        <is>
          <t>REJECTED</t>
        </is>
      </c>
      <c r="M3541" s="8" t="n">
        <v>0</v>
      </c>
      <c r="N3541" s="7">
        <f>M3541*$J$3566-J3541</f>
        <v/>
      </c>
      <c r="O3541" s="9">
        <f>IF(G3541=0,0,N3541/G3541)</f>
        <v/>
      </c>
      <c r="P3541" s="6">
        <f>IF(M3541&gt;0,D3541,"")</f>
        <v/>
      </c>
      <c r="Q3541" s="9">
        <f>I3541+O3541</f>
        <v/>
      </c>
      <c r="R3541" s="7">
        <f>Q3541*G3541</f>
        <v/>
      </c>
      <c r="S3541" s="8">
        <f>IF($R$3566=0,0,R3541/$R$3566)</f>
        <v/>
      </c>
      <c r="T3541" s="8" t="n">
        <v>-0.02619832807823697</v>
      </c>
      <c r="U3541" s="8" t="n">
        <v>-0.03012203964507221</v>
      </c>
      <c r="V3541" s="6" t="inlineStr">
        <is>
          <t>not selected</t>
        </is>
      </c>
    </row>
    <row r="3542">
      <c r="A3542" s="6" t="inlineStr">
        <is>
          <t>DJ30</t>
        </is>
      </c>
      <c r="B3542" s="6" t="inlineStr">
        <is>
          <t>2025-03-14</t>
        </is>
      </c>
      <c r="C3542" s="6" t="inlineStr">
        <is>
          <t>DIA</t>
        </is>
      </c>
      <c r="D3542" s="6" t="inlineStr">
        <is>
          <t>CRM</t>
        </is>
      </c>
      <c r="E3542" s="6" t="inlineStr">
        <is>
          <t>CRM</t>
        </is>
      </c>
      <c r="F3542" s="6" t="inlineStr">
        <is>
          <t>-</t>
        </is>
      </c>
      <c r="G3542" s="7" t="n">
        <v>276.1824340820312</v>
      </c>
      <c r="H3542" s="6">
        <f>P3511</f>
        <v/>
      </c>
      <c r="I3542" s="9">
        <f>Q3511</f>
        <v/>
      </c>
      <c r="J3542" s="7">
        <f>I3542*G3542</f>
        <v/>
      </c>
      <c r="K3542" s="8">
        <f>IF($J$3566=0,0,J3542/$J$3566)</f>
        <v/>
      </c>
      <c r="L3542" s="6" t="inlineStr">
        <is>
          <t>WATCHLIST</t>
        </is>
      </c>
      <c r="M3542" s="8" t="n">
        <v>0</v>
      </c>
      <c r="N3542" s="7">
        <f>M3542*$J$3566-J3542</f>
        <v/>
      </c>
      <c r="O3542" s="9">
        <f>IF(G3542=0,0,N3542/G3542)</f>
        <v/>
      </c>
      <c r="P3542" s="6">
        <f>IF(M3542&gt;0,D3542,"")</f>
        <v/>
      </c>
      <c r="Q3542" s="9">
        <f>I3542+O3542</f>
        <v/>
      </c>
      <c r="R3542" s="7">
        <f>Q3542*G3542</f>
        <v/>
      </c>
      <c r="S3542" s="8">
        <f>IF($R$3566=0,0,R3542/$R$3566)</f>
        <v/>
      </c>
      <c r="T3542" s="8" t="n">
        <v>-0.02619832807823697</v>
      </c>
      <c r="U3542" s="8" t="n">
        <v>-0.03012203964507221</v>
      </c>
      <c r="V3542" s="6" t="inlineStr">
        <is>
          <t>not selected</t>
        </is>
      </c>
    </row>
    <row r="3543">
      <c r="A3543" s="6" t="inlineStr">
        <is>
          <t>DJ30</t>
        </is>
      </c>
      <c r="B3543" s="6" t="inlineStr">
        <is>
          <t>2025-03-14</t>
        </is>
      </c>
      <c r="C3543" s="6" t="inlineStr">
        <is>
          <t>DIA</t>
        </is>
      </c>
      <c r="D3543" s="6" t="inlineStr">
        <is>
          <t>CSCO</t>
        </is>
      </c>
      <c r="E3543" s="6" t="inlineStr">
        <is>
          <t>CSCO</t>
        </is>
      </c>
      <c r="F3543" s="6" t="inlineStr">
        <is>
          <t>-</t>
        </is>
      </c>
      <c r="G3543" s="7" t="n">
        <v>58.74656295776367</v>
      </c>
      <c r="H3543" s="6">
        <f>P3512</f>
        <v/>
      </c>
      <c r="I3543" s="9">
        <f>Q3512</f>
        <v/>
      </c>
      <c r="J3543" s="7">
        <f>I3543*G3543</f>
        <v/>
      </c>
      <c r="K3543" s="8">
        <f>IF($J$3566=0,0,J3543/$J$3566)</f>
        <v/>
      </c>
      <c r="L3543" s="6" t="inlineStr">
        <is>
          <t>SELECTED</t>
        </is>
      </c>
      <c r="M3543" s="8" t="n">
        <v>0.2</v>
      </c>
      <c r="N3543" s="7">
        <f>M3543*$J$3566-J3543</f>
        <v/>
      </c>
      <c r="O3543" s="9">
        <f>IF(G3543=0,0,N3543/G3543)</f>
        <v/>
      </c>
      <c r="P3543" s="6">
        <f>IF(M3543&gt;0,D3543,"")</f>
        <v/>
      </c>
      <c r="Q3543" s="9">
        <f>I3543+O3543</f>
        <v/>
      </c>
      <c r="R3543" s="7">
        <f>Q3543*G3543</f>
        <v/>
      </c>
      <c r="S3543" s="8">
        <f>IF($R$3566=0,0,R3543/$R$3566)</f>
        <v/>
      </c>
      <c r="T3543" s="8" t="n">
        <v>-0.02619832807823697</v>
      </c>
      <c r="U3543" s="8" t="n">
        <v>-0.03012203964507221</v>
      </c>
      <c r="V3543" s="6" t="inlineStr">
        <is>
          <t>remained in weekly selection</t>
        </is>
      </c>
    </row>
    <row r="3544">
      <c r="A3544" s="6" t="inlineStr">
        <is>
          <t>DJ30</t>
        </is>
      </c>
      <c r="B3544" s="6" t="inlineStr">
        <is>
          <t>2025-03-14</t>
        </is>
      </c>
      <c r="C3544" s="6" t="inlineStr">
        <is>
          <t>DIA</t>
        </is>
      </c>
      <c r="D3544" s="6" t="inlineStr">
        <is>
          <t>CVX</t>
        </is>
      </c>
      <c r="E3544" s="6" t="inlineStr">
        <is>
          <t>CVX</t>
        </is>
      </c>
      <c r="F3544" s="6" t="inlineStr">
        <is>
          <t>-</t>
        </is>
      </c>
      <c r="G3544" s="7" t="n">
        <v>148.8943481445312</v>
      </c>
      <c r="H3544" s="6">
        <f>P3513</f>
        <v/>
      </c>
      <c r="I3544" s="9">
        <f>Q3513</f>
        <v/>
      </c>
      <c r="J3544" s="7">
        <f>I3544*G3544</f>
        <v/>
      </c>
      <c r="K3544" s="8">
        <f>IF($J$3566=0,0,J3544/$J$3566)</f>
        <v/>
      </c>
      <c r="L3544" s="6" t="inlineStr">
        <is>
          <t>REJECTED</t>
        </is>
      </c>
      <c r="M3544" s="8" t="n">
        <v>0</v>
      </c>
      <c r="N3544" s="7">
        <f>M3544*$J$3566-J3544</f>
        <v/>
      </c>
      <c r="O3544" s="9">
        <f>IF(G3544=0,0,N3544/G3544)</f>
        <v/>
      </c>
      <c r="P3544" s="6">
        <f>IF(M3544&gt;0,D3544,"")</f>
        <v/>
      </c>
      <c r="Q3544" s="9">
        <f>I3544+O3544</f>
        <v/>
      </c>
      <c r="R3544" s="7">
        <f>Q3544*G3544</f>
        <v/>
      </c>
      <c r="S3544" s="8">
        <f>IF($R$3566=0,0,R3544/$R$3566)</f>
        <v/>
      </c>
      <c r="T3544" s="8" t="n">
        <v>-0.02619832807823697</v>
      </c>
      <c r="U3544" s="8" t="n">
        <v>-0.03012203964507221</v>
      </c>
      <c r="V3544" s="6" t="inlineStr">
        <is>
          <t>not selected</t>
        </is>
      </c>
    </row>
    <row r="3545">
      <c r="A3545" s="6" t="inlineStr">
        <is>
          <t>DJ30</t>
        </is>
      </c>
      <c r="B3545" s="6" t="inlineStr">
        <is>
          <t>2025-03-14</t>
        </is>
      </c>
      <c r="C3545" s="6" t="inlineStr">
        <is>
          <t>DIA</t>
        </is>
      </c>
      <c r="D3545" s="6" t="inlineStr">
        <is>
          <t>DIS</t>
        </is>
      </c>
      <c r="E3545" s="6" t="inlineStr">
        <is>
          <t>DIS</t>
        </is>
      </c>
      <c r="F3545" s="6" t="inlineStr">
        <is>
          <t>-</t>
        </is>
      </c>
      <c r="G3545" s="7" t="n">
        <v>97.56105804443359</v>
      </c>
      <c r="H3545" s="6">
        <f>P3514</f>
        <v/>
      </c>
      <c r="I3545" s="9">
        <f>Q3514</f>
        <v/>
      </c>
      <c r="J3545" s="7">
        <f>I3545*G3545</f>
        <v/>
      </c>
      <c r="K3545" s="8">
        <f>IF($J$3566=0,0,J3545/$J$3566)</f>
        <v/>
      </c>
      <c r="L3545" s="6" t="inlineStr">
        <is>
          <t>REJECTED</t>
        </is>
      </c>
      <c r="M3545" s="8" t="n">
        <v>0</v>
      </c>
      <c r="N3545" s="7">
        <f>M3545*$J$3566-J3545</f>
        <v/>
      </c>
      <c r="O3545" s="9">
        <f>IF(G3545=0,0,N3545/G3545)</f>
        <v/>
      </c>
      <c r="P3545" s="6">
        <f>IF(M3545&gt;0,D3545,"")</f>
        <v/>
      </c>
      <c r="Q3545" s="9">
        <f>I3545+O3545</f>
        <v/>
      </c>
      <c r="R3545" s="7">
        <f>Q3545*G3545</f>
        <v/>
      </c>
      <c r="S3545" s="8">
        <f>IF($R$3566=0,0,R3545/$R$3566)</f>
        <v/>
      </c>
      <c r="T3545" s="8" t="n">
        <v>-0.02619832807823697</v>
      </c>
      <c r="U3545" s="8" t="n">
        <v>-0.03012203964507221</v>
      </c>
      <c r="V3545" s="6" t="inlineStr">
        <is>
          <t>not selected</t>
        </is>
      </c>
    </row>
    <row r="3546">
      <c r="A3546" s="6" t="inlineStr">
        <is>
          <t>DJ30</t>
        </is>
      </c>
      <c r="B3546" s="6" t="inlineStr">
        <is>
          <t>2025-03-14</t>
        </is>
      </c>
      <c r="C3546" s="6" t="inlineStr">
        <is>
          <t>DIA</t>
        </is>
      </c>
      <c r="D3546" s="6" t="inlineStr">
        <is>
          <t>GS</t>
        </is>
      </c>
      <c r="E3546" s="6" t="inlineStr">
        <is>
          <t>GS</t>
        </is>
      </c>
      <c r="F3546" s="6" t="inlineStr">
        <is>
          <t>-</t>
        </is>
      </c>
      <c r="G3546" s="7" t="n">
        <v>528.0938110351562</v>
      </c>
      <c r="H3546" s="6">
        <f>P3515</f>
        <v/>
      </c>
      <c r="I3546" s="9">
        <f>Q3515</f>
        <v/>
      </c>
      <c r="J3546" s="7">
        <f>I3546*G3546</f>
        <v/>
      </c>
      <c r="K3546" s="8">
        <f>IF($J$3566=0,0,J3546/$J$3566)</f>
        <v/>
      </c>
      <c r="L3546" s="6" t="inlineStr">
        <is>
          <t>WATCHLIST</t>
        </is>
      </c>
      <c r="M3546" s="8" t="n">
        <v>0</v>
      </c>
      <c r="N3546" s="7">
        <f>M3546*$J$3566-J3546</f>
        <v/>
      </c>
      <c r="O3546" s="9">
        <f>IF(G3546=0,0,N3546/G3546)</f>
        <v/>
      </c>
      <c r="P3546" s="6">
        <f>IF(M3546&gt;0,D3546,"")</f>
        <v/>
      </c>
      <c r="Q3546" s="9">
        <f>I3546+O3546</f>
        <v/>
      </c>
      <c r="R3546" s="7">
        <f>Q3546*G3546</f>
        <v/>
      </c>
      <c r="S3546" s="8">
        <f>IF($R$3566=0,0,R3546/$R$3566)</f>
        <v/>
      </c>
      <c r="T3546" s="8" t="n">
        <v>-0.02619832807823697</v>
      </c>
      <c r="U3546" s="8" t="n">
        <v>-0.03012203964507221</v>
      </c>
      <c r="V3546" s="6" t="inlineStr">
        <is>
          <t>not selected</t>
        </is>
      </c>
    </row>
    <row r="3547">
      <c r="A3547" s="6" t="inlineStr">
        <is>
          <t>DJ30</t>
        </is>
      </c>
      <c r="B3547" s="6" t="inlineStr">
        <is>
          <t>2025-03-14</t>
        </is>
      </c>
      <c r="C3547" s="6" t="inlineStr">
        <is>
          <t>DIA</t>
        </is>
      </c>
      <c r="D3547" s="6" t="inlineStr">
        <is>
          <t>HD</t>
        </is>
      </c>
      <c r="E3547" s="6" t="inlineStr">
        <is>
          <t>HD</t>
        </is>
      </c>
      <c r="F3547" s="6" t="inlineStr">
        <is>
          <t>-</t>
        </is>
      </c>
      <c r="G3547" s="7" t="n">
        <v>340.0978698730469</v>
      </c>
      <c r="H3547" s="6">
        <f>P3516</f>
        <v/>
      </c>
      <c r="I3547" s="9">
        <f>Q3516</f>
        <v/>
      </c>
      <c r="J3547" s="7">
        <f>I3547*G3547</f>
        <v/>
      </c>
      <c r="K3547" s="8">
        <f>IF($J$3566=0,0,J3547/$J$3566)</f>
        <v/>
      </c>
      <c r="L3547" s="6" t="inlineStr">
        <is>
          <t>WATCHLIST</t>
        </is>
      </c>
      <c r="M3547" s="8" t="n">
        <v>0</v>
      </c>
      <c r="N3547" s="7">
        <f>M3547*$J$3566-J3547</f>
        <v/>
      </c>
      <c r="O3547" s="9">
        <f>IF(G3547=0,0,N3547/G3547)</f>
        <v/>
      </c>
      <c r="P3547" s="6">
        <f>IF(M3547&gt;0,D3547,"")</f>
        <v/>
      </c>
      <c r="Q3547" s="9">
        <f>I3547+O3547</f>
        <v/>
      </c>
      <c r="R3547" s="7">
        <f>Q3547*G3547</f>
        <v/>
      </c>
      <c r="S3547" s="8">
        <f>IF($R$3566=0,0,R3547/$R$3566)</f>
        <v/>
      </c>
      <c r="T3547" s="8" t="n">
        <v>-0.02619832807823697</v>
      </c>
      <c r="U3547" s="8" t="n">
        <v>-0.03012203964507221</v>
      </c>
      <c r="V3547" s="6" t="inlineStr">
        <is>
          <t>not selected</t>
        </is>
      </c>
    </row>
    <row r="3548">
      <c r="A3548" s="6" t="inlineStr">
        <is>
          <t>DJ30</t>
        </is>
      </c>
      <c r="B3548" s="6" t="inlineStr">
        <is>
          <t>2025-03-14</t>
        </is>
      </c>
      <c r="C3548" s="6" t="inlineStr">
        <is>
          <t>DIA</t>
        </is>
      </c>
      <c r="D3548" s="6" t="inlineStr">
        <is>
          <t>HON</t>
        </is>
      </c>
      <c r="E3548" s="6" t="inlineStr">
        <is>
          <t>HON</t>
        </is>
      </c>
      <c r="F3548" s="6" t="inlineStr">
        <is>
          <t>-</t>
        </is>
      </c>
      <c r="G3548" s="7" t="n">
        <v>192.2266693115234</v>
      </c>
      <c r="H3548" s="6">
        <f>P3517</f>
        <v/>
      </c>
      <c r="I3548" s="9">
        <f>Q3517</f>
        <v/>
      </c>
      <c r="J3548" s="7">
        <f>I3548*G3548</f>
        <v/>
      </c>
      <c r="K3548" s="8">
        <f>IF($J$3566=0,0,J3548/$J$3566)</f>
        <v/>
      </c>
      <c r="L3548" s="6" t="inlineStr">
        <is>
          <t>WATCHLIST</t>
        </is>
      </c>
      <c r="M3548" s="8" t="n">
        <v>0</v>
      </c>
      <c r="N3548" s="7">
        <f>M3548*$J$3566-J3548</f>
        <v/>
      </c>
      <c r="O3548" s="9">
        <f>IF(G3548=0,0,N3548/G3548)</f>
        <v/>
      </c>
      <c r="P3548" s="6">
        <f>IF(M3548&gt;0,D3548,"")</f>
        <v/>
      </c>
      <c r="Q3548" s="9">
        <f>I3548+O3548</f>
        <v/>
      </c>
      <c r="R3548" s="7">
        <f>Q3548*G3548</f>
        <v/>
      </c>
      <c r="S3548" s="8">
        <f>IF($R$3566=0,0,R3548/$R$3566)</f>
        <v/>
      </c>
      <c r="T3548" s="8" t="n">
        <v>-0.02619832807823697</v>
      </c>
      <c r="U3548" s="8" t="n">
        <v>-0.03012203964507221</v>
      </c>
      <c r="V3548" s="6" t="inlineStr">
        <is>
          <t>not selected</t>
        </is>
      </c>
    </row>
    <row r="3549">
      <c r="A3549" s="6" t="inlineStr">
        <is>
          <t>DJ30</t>
        </is>
      </c>
      <c r="B3549" s="6" t="inlineStr">
        <is>
          <t>2025-03-14</t>
        </is>
      </c>
      <c r="C3549" s="6" t="inlineStr">
        <is>
          <t>DIA</t>
        </is>
      </c>
      <c r="D3549" s="6" t="inlineStr">
        <is>
          <t>IBM</t>
        </is>
      </c>
      <c r="E3549" s="6" t="inlineStr">
        <is>
          <t>IBM</t>
        </is>
      </c>
      <c r="F3549" s="6" t="inlineStr">
        <is>
          <t>-</t>
        </is>
      </c>
      <c r="G3549" s="7" t="n">
        <v>240.5556182861328</v>
      </c>
      <c r="H3549" s="6">
        <f>P3518</f>
        <v/>
      </c>
      <c r="I3549" s="9">
        <f>Q3518</f>
        <v/>
      </c>
      <c r="J3549" s="7">
        <f>I3549*G3549</f>
        <v/>
      </c>
      <c r="K3549" s="8">
        <f>IF($J$3566=0,0,J3549/$J$3566)</f>
        <v/>
      </c>
      <c r="L3549" s="6" t="inlineStr">
        <is>
          <t>SELECTED</t>
        </is>
      </c>
      <c r="M3549" s="8" t="n">
        <v>0.2</v>
      </c>
      <c r="N3549" s="7">
        <f>M3549*$J$3566-J3549</f>
        <v/>
      </c>
      <c r="O3549" s="9">
        <f>IF(G3549=0,0,N3549/G3549)</f>
        <v/>
      </c>
      <c r="P3549" s="6">
        <f>IF(M3549&gt;0,D3549,"")</f>
        <v/>
      </c>
      <c r="Q3549" s="9">
        <f>I3549+O3549</f>
        <v/>
      </c>
      <c r="R3549" s="7">
        <f>Q3549*G3549</f>
        <v/>
      </c>
      <c r="S3549" s="8">
        <f>IF($R$3566=0,0,R3549/$R$3566)</f>
        <v/>
      </c>
      <c r="T3549" s="8" t="n">
        <v>-0.02619832807823697</v>
      </c>
      <c r="U3549" s="8" t="n">
        <v>-0.03012203964507221</v>
      </c>
      <c r="V3549" s="6" t="inlineStr">
        <is>
          <t>remained in weekly selection</t>
        </is>
      </c>
    </row>
    <row r="3550">
      <c r="A3550" s="6" t="inlineStr">
        <is>
          <t>DJ30</t>
        </is>
      </c>
      <c r="B3550" s="6" t="inlineStr">
        <is>
          <t>2025-03-14</t>
        </is>
      </c>
      <c r="C3550" s="6" t="inlineStr">
        <is>
          <t>DIA</t>
        </is>
      </c>
      <c r="D3550" s="6" t="inlineStr">
        <is>
          <t>JNJ</t>
        </is>
      </c>
      <c r="E3550" s="6" t="inlineStr">
        <is>
          <t>JNJ</t>
        </is>
      </c>
      <c r="F3550" s="6" t="inlineStr">
        <is>
          <t>-</t>
        </is>
      </c>
      <c r="G3550" s="7" t="n">
        <v>157.4910125732422</v>
      </c>
      <c r="H3550" s="6">
        <f>P3519</f>
        <v/>
      </c>
      <c r="I3550" s="9">
        <f>Q3519</f>
        <v/>
      </c>
      <c r="J3550" s="7">
        <f>I3550*G3550</f>
        <v/>
      </c>
      <c r="K3550" s="8">
        <f>IF($J$3566=0,0,J3550/$J$3566)</f>
        <v/>
      </c>
      <c r="L3550" s="6" t="inlineStr">
        <is>
          <t>REJECTED</t>
        </is>
      </c>
      <c r="M3550" s="8" t="n">
        <v>0</v>
      </c>
      <c r="N3550" s="7">
        <f>M3550*$J$3566-J3550</f>
        <v/>
      </c>
      <c r="O3550" s="9">
        <f>IF(G3550=0,0,N3550/G3550)</f>
        <v/>
      </c>
      <c r="P3550" s="6">
        <f>IF(M3550&gt;0,D3550,"")</f>
        <v/>
      </c>
      <c r="Q3550" s="9">
        <f>I3550+O3550</f>
        <v/>
      </c>
      <c r="R3550" s="7">
        <f>Q3550*G3550</f>
        <v/>
      </c>
      <c r="S3550" s="8">
        <f>IF($R$3566=0,0,R3550/$R$3566)</f>
        <v/>
      </c>
      <c r="T3550" s="8" t="n">
        <v>-0.02619832807823697</v>
      </c>
      <c r="U3550" s="8" t="n">
        <v>-0.03012203964507221</v>
      </c>
      <c r="V3550" s="6" t="inlineStr">
        <is>
          <t>not selected</t>
        </is>
      </c>
    </row>
    <row r="3551">
      <c r="A3551" s="6" t="inlineStr">
        <is>
          <t>DJ30</t>
        </is>
      </c>
      <c r="B3551" s="6" t="inlineStr">
        <is>
          <t>2025-03-14</t>
        </is>
      </c>
      <c r="C3551" s="6" t="inlineStr">
        <is>
          <t>DIA</t>
        </is>
      </c>
      <c r="D3551" s="6" t="inlineStr">
        <is>
          <t>JPM</t>
        </is>
      </c>
      <c r="E3551" s="6" t="inlineStr">
        <is>
          <t>JPM</t>
        </is>
      </c>
      <c r="F3551" s="6" t="inlineStr">
        <is>
          <t>-</t>
        </is>
      </c>
      <c r="G3551" s="7" t="n">
        <v>226.6099243164062</v>
      </c>
      <c r="H3551" s="6">
        <f>P3520</f>
        <v/>
      </c>
      <c r="I3551" s="9">
        <f>Q3520</f>
        <v/>
      </c>
      <c r="J3551" s="7">
        <f>I3551*G3551</f>
        <v/>
      </c>
      <c r="K3551" s="8">
        <f>IF($J$3566=0,0,J3551/$J$3566)</f>
        <v/>
      </c>
      <c r="L3551" s="6" t="inlineStr">
        <is>
          <t>WATCHLIST</t>
        </is>
      </c>
      <c r="M3551" s="8" t="n">
        <v>0</v>
      </c>
      <c r="N3551" s="7">
        <f>M3551*$J$3566-J3551</f>
        <v/>
      </c>
      <c r="O3551" s="9">
        <f>IF(G3551=0,0,N3551/G3551)</f>
        <v/>
      </c>
      <c r="P3551" s="6">
        <f>IF(M3551&gt;0,D3551,"")</f>
        <v/>
      </c>
      <c r="Q3551" s="9">
        <f>I3551+O3551</f>
        <v/>
      </c>
      <c r="R3551" s="7">
        <f>Q3551*G3551</f>
        <v/>
      </c>
      <c r="S3551" s="8">
        <f>IF($R$3566=0,0,R3551/$R$3566)</f>
        <v/>
      </c>
      <c r="T3551" s="8" t="n">
        <v>-0.02619832807823697</v>
      </c>
      <c r="U3551" s="8" t="n">
        <v>-0.03012203964507221</v>
      </c>
      <c r="V3551" s="6" t="inlineStr">
        <is>
          <t>not selected</t>
        </is>
      </c>
    </row>
    <row r="3552">
      <c r="A3552" s="6" t="inlineStr">
        <is>
          <t>DJ30</t>
        </is>
      </c>
      <c r="B3552" s="6" t="inlineStr">
        <is>
          <t>2025-03-14</t>
        </is>
      </c>
      <c r="C3552" s="6" t="inlineStr">
        <is>
          <t>DIA</t>
        </is>
      </c>
      <c r="D3552" s="6" t="inlineStr">
        <is>
          <t>KO</t>
        </is>
      </c>
      <c r="E3552" s="6" t="inlineStr">
        <is>
          <t>KO</t>
        </is>
      </c>
      <c r="F3552" s="6" t="inlineStr">
        <is>
          <t>-</t>
        </is>
      </c>
      <c r="G3552" s="7" t="n">
        <v>66.78046417236328</v>
      </c>
      <c r="H3552" s="6">
        <f>P3521</f>
        <v/>
      </c>
      <c r="I3552" s="9">
        <f>Q3521</f>
        <v/>
      </c>
      <c r="J3552" s="7">
        <f>I3552*G3552</f>
        <v/>
      </c>
      <c r="K3552" s="8">
        <f>IF($J$3566=0,0,J3552/$J$3566)</f>
        <v/>
      </c>
      <c r="L3552" s="6" t="inlineStr">
        <is>
          <t>REJECTED</t>
        </is>
      </c>
      <c r="M3552" s="8" t="n">
        <v>0</v>
      </c>
      <c r="N3552" s="7">
        <f>M3552*$J$3566-J3552</f>
        <v/>
      </c>
      <c r="O3552" s="9">
        <f>IF(G3552=0,0,N3552/G3552)</f>
        <v/>
      </c>
      <c r="P3552" s="6">
        <f>IF(M3552&gt;0,D3552,"")</f>
        <v/>
      </c>
      <c r="Q3552" s="9">
        <f>I3552+O3552</f>
        <v/>
      </c>
      <c r="R3552" s="7">
        <f>Q3552*G3552</f>
        <v/>
      </c>
      <c r="S3552" s="8">
        <f>IF($R$3566=0,0,R3552/$R$3566)</f>
        <v/>
      </c>
      <c r="T3552" s="8" t="n">
        <v>-0.02619832807823697</v>
      </c>
      <c r="U3552" s="8" t="n">
        <v>-0.03012203964507221</v>
      </c>
      <c r="V3552" s="6" t="inlineStr">
        <is>
          <t>not selected</t>
        </is>
      </c>
    </row>
    <row r="3553">
      <c r="A3553" s="6" t="inlineStr">
        <is>
          <t>DJ30</t>
        </is>
      </c>
      <c r="B3553" s="6" t="inlineStr">
        <is>
          <t>2025-03-14</t>
        </is>
      </c>
      <c r="C3553" s="6" t="inlineStr">
        <is>
          <t>DIA</t>
        </is>
      </c>
      <c r="D3553" s="6" t="inlineStr">
        <is>
          <t>MCD</t>
        </is>
      </c>
      <c r="E3553" s="6" t="inlineStr">
        <is>
          <t>MCD</t>
        </is>
      </c>
      <c r="F3553" s="6" t="inlineStr">
        <is>
          <t>-</t>
        </is>
      </c>
      <c r="G3553" s="7" t="n">
        <v>291.0764465332031</v>
      </c>
      <c r="H3553" s="6">
        <f>P3522</f>
        <v/>
      </c>
      <c r="I3553" s="9">
        <f>Q3522</f>
        <v/>
      </c>
      <c r="J3553" s="7">
        <f>I3553*G3553</f>
        <v/>
      </c>
      <c r="K3553" s="8">
        <f>IF($J$3566=0,0,J3553/$J$3566)</f>
        <v/>
      </c>
      <c r="L3553" s="6" t="inlineStr">
        <is>
          <t>WATCHLIST</t>
        </is>
      </c>
      <c r="M3553" s="8" t="n">
        <v>0</v>
      </c>
      <c r="N3553" s="7">
        <f>M3553*$J$3566-J3553</f>
        <v/>
      </c>
      <c r="O3553" s="9">
        <f>IF(G3553=0,0,N3553/G3553)</f>
        <v/>
      </c>
      <c r="P3553" s="6">
        <f>IF(M3553&gt;0,D3553,"")</f>
        <v/>
      </c>
      <c r="Q3553" s="9">
        <f>I3553+O3553</f>
        <v/>
      </c>
      <c r="R3553" s="7">
        <f>Q3553*G3553</f>
        <v/>
      </c>
      <c r="S3553" s="8">
        <f>IF($R$3566=0,0,R3553/$R$3566)</f>
        <v/>
      </c>
      <c r="T3553" s="8" t="n">
        <v>-0.02619832807823697</v>
      </c>
      <c r="U3553" s="8" t="n">
        <v>-0.03012203964507221</v>
      </c>
      <c r="V3553" s="6" t="inlineStr">
        <is>
          <t>not selected</t>
        </is>
      </c>
    </row>
    <row r="3554">
      <c r="A3554" s="6" t="inlineStr">
        <is>
          <t>DJ30</t>
        </is>
      </c>
      <c r="B3554" s="6" t="inlineStr">
        <is>
          <t>2025-03-14</t>
        </is>
      </c>
      <c r="C3554" s="6" t="inlineStr">
        <is>
          <t>DIA</t>
        </is>
      </c>
      <c r="D3554" s="6" t="inlineStr">
        <is>
          <t>MMM</t>
        </is>
      </c>
      <c r="E3554" s="6" t="inlineStr">
        <is>
          <t>MMM</t>
        </is>
      </c>
      <c r="F3554" s="6" t="inlineStr">
        <is>
          <t>-</t>
        </is>
      </c>
      <c r="G3554" s="7" t="n">
        <v>146.9285125732422</v>
      </c>
      <c r="H3554" s="6">
        <f>P3523</f>
        <v/>
      </c>
      <c r="I3554" s="9">
        <f>Q3523</f>
        <v/>
      </c>
      <c r="J3554" s="7">
        <f>I3554*G3554</f>
        <v/>
      </c>
      <c r="K3554" s="8">
        <f>IF($J$3566=0,0,J3554/$J$3566)</f>
        <v/>
      </c>
      <c r="L3554" s="6" t="inlineStr">
        <is>
          <t>SELECTED</t>
        </is>
      </c>
      <c r="M3554" s="8" t="n">
        <v>0.2</v>
      </c>
      <c r="N3554" s="7">
        <f>M3554*$J$3566-J3554</f>
        <v/>
      </c>
      <c r="O3554" s="9">
        <f>IF(G3554=0,0,N3554/G3554)</f>
        <v/>
      </c>
      <c r="P3554" s="6">
        <f>IF(M3554&gt;0,D3554,"")</f>
        <v/>
      </c>
      <c r="Q3554" s="9">
        <f>I3554+O3554</f>
        <v/>
      </c>
      <c r="R3554" s="7">
        <f>Q3554*G3554</f>
        <v/>
      </c>
      <c r="S3554" s="8">
        <f>IF($R$3566=0,0,R3554/$R$3566)</f>
        <v/>
      </c>
      <c r="T3554" s="8" t="n">
        <v>-0.02619832807823697</v>
      </c>
      <c r="U3554" s="8" t="n">
        <v>-0.03012203964507221</v>
      </c>
      <c r="V3554" s="6" t="inlineStr">
        <is>
          <t>remained in weekly selection</t>
        </is>
      </c>
    </row>
    <row r="3555">
      <c r="A3555" s="6" t="inlineStr">
        <is>
          <t>DJ30</t>
        </is>
      </c>
      <c r="B3555" s="6" t="inlineStr">
        <is>
          <t>2025-03-14</t>
        </is>
      </c>
      <c r="C3555" s="6" t="inlineStr">
        <is>
          <t>DIA</t>
        </is>
      </c>
      <c r="D3555" s="6" t="inlineStr">
        <is>
          <t>MRK</t>
        </is>
      </c>
      <c r="E3555" s="6" t="inlineStr">
        <is>
          <t>MRK</t>
        </is>
      </c>
      <c r="F3555" s="6" t="inlineStr">
        <is>
          <t>-</t>
        </is>
      </c>
      <c r="G3555" s="7" t="n">
        <v>89.82744598388672</v>
      </c>
      <c r="H3555" s="6">
        <f>P3524</f>
        <v/>
      </c>
      <c r="I3555" s="9">
        <f>Q3524</f>
        <v/>
      </c>
      <c r="J3555" s="7">
        <f>I3555*G3555</f>
        <v/>
      </c>
      <c r="K3555" s="8">
        <f>IF($J$3566=0,0,J3555/$J$3566)</f>
        <v/>
      </c>
      <c r="L3555" s="6" t="inlineStr">
        <is>
          <t>REJECTED</t>
        </is>
      </c>
      <c r="M3555" s="8" t="n">
        <v>0</v>
      </c>
      <c r="N3555" s="7">
        <f>M3555*$J$3566-J3555</f>
        <v/>
      </c>
      <c r="O3555" s="9">
        <f>IF(G3555=0,0,N3555/G3555)</f>
        <v/>
      </c>
      <c r="P3555" s="6">
        <f>IF(M3555&gt;0,D3555,"")</f>
        <v/>
      </c>
      <c r="Q3555" s="9">
        <f>I3555+O3555</f>
        <v/>
      </c>
      <c r="R3555" s="7">
        <f>Q3555*G3555</f>
        <v/>
      </c>
      <c r="S3555" s="8">
        <f>IF($R$3566=0,0,R3555/$R$3566)</f>
        <v/>
      </c>
      <c r="T3555" s="8" t="n">
        <v>-0.02619832807823697</v>
      </c>
      <c r="U3555" s="8" t="n">
        <v>-0.03012203964507221</v>
      </c>
      <c r="V3555" s="6" t="inlineStr">
        <is>
          <t>not selected</t>
        </is>
      </c>
    </row>
    <row r="3556">
      <c r="A3556" s="6" t="inlineStr">
        <is>
          <t>DJ30</t>
        </is>
      </c>
      <c r="B3556" s="6" t="inlineStr">
        <is>
          <t>2025-03-14</t>
        </is>
      </c>
      <c r="C3556" s="6" t="inlineStr">
        <is>
          <t>DIA</t>
        </is>
      </c>
      <c r="D3556" s="6" t="inlineStr">
        <is>
          <t>MSFT</t>
        </is>
      </c>
      <c r="E3556" s="6" t="inlineStr">
        <is>
          <t>MSFT</t>
        </is>
      </c>
      <c r="F3556" s="6" t="inlineStr">
        <is>
          <t>-</t>
        </is>
      </c>
      <c r="G3556" s="7" t="n">
        <v>384.7745666503906</v>
      </c>
      <c r="H3556" s="6">
        <f>P3525</f>
        <v/>
      </c>
      <c r="I3556" s="9">
        <f>Q3525</f>
        <v/>
      </c>
      <c r="J3556" s="7">
        <f>I3556*G3556</f>
        <v/>
      </c>
      <c r="K3556" s="8">
        <f>IF($J$3566=0,0,J3556/$J$3566)</f>
        <v/>
      </c>
      <c r="L3556" s="6" t="inlineStr">
        <is>
          <t>REJECTED</t>
        </is>
      </c>
      <c r="M3556" s="8" t="n">
        <v>0</v>
      </c>
      <c r="N3556" s="7">
        <f>M3556*$J$3566-J3556</f>
        <v/>
      </c>
      <c r="O3556" s="9">
        <f>IF(G3556=0,0,N3556/G3556)</f>
        <v/>
      </c>
      <c r="P3556" s="6">
        <f>IF(M3556&gt;0,D3556,"")</f>
        <v/>
      </c>
      <c r="Q3556" s="9">
        <f>I3556+O3556</f>
        <v/>
      </c>
      <c r="R3556" s="7">
        <f>Q3556*G3556</f>
        <v/>
      </c>
      <c r="S3556" s="8">
        <f>IF($R$3566=0,0,R3556/$R$3566)</f>
        <v/>
      </c>
      <c r="T3556" s="8" t="n">
        <v>-0.02619832807823697</v>
      </c>
      <c r="U3556" s="8" t="n">
        <v>-0.03012203964507221</v>
      </c>
      <c r="V3556" s="6" t="inlineStr">
        <is>
          <t>not selected</t>
        </is>
      </c>
    </row>
    <row r="3557">
      <c r="A3557" s="6" t="inlineStr">
        <is>
          <t>DJ30</t>
        </is>
      </c>
      <c r="B3557" s="6" t="inlineStr">
        <is>
          <t>2025-03-14</t>
        </is>
      </c>
      <c r="C3557" s="6" t="inlineStr">
        <is>
          <t>DIA</t>
        </is>
      </c>
      <c r="D3557" s="6" t="inlineStr">
        <is>
          <t>NKE</t>
        </is>
      </c>
      <c r="E3557" s="6" t="inlineStr">
        <is>
          <t>NKE</t>
        </is>
      </c>
      <c r="F3557" s="6" t="inlineStr">
        <is>
          <t>-</t>
        </is>
      </c>
      <c r="G3557" s="7" t="n">
        <v>69.28565216064453</v>
      </c>
      <c r="H3557" s="6">
        <f>P3526</f>
        <v/>
      </c>
      <c r="I3557" s="9">
        <f>Q3526</f>
        <v/>
      </c>
      <c r="J3557" s="7">
        <f>I3557*G3557</f>
        <v/>
      </c>
      <c r="K3557" s="8">
        <f>IF($J$3566=0,0,J3557/$J$3566)</f>
        <v/>
      </c>
      <c r="L3557" s="6" t="inlineStr">
        <is>
          <t>REJECTED</t>
        </is>
      </c>
      <c r="M3557" s="8" t="n">
        <v>0</v>
      </c>
      <c r="N3557" s="7">
        <f>M3557*$J$3566-J3557</f>
        <v/>
      </c>
      <c r="O3557" s="9">
        <f>IF(G3557=0,0,N3557/G3557)</f>
        <v/>
      </c>
      <c r="P3557" s="6">
        <f>IF(M3557&gt;0,D3557,"")</f>
        <v/>
      </c>
      <c r="Q3557" s="9">
        <f>I3557+O3557</f>
        <v/>
      </c>
      <c r="R3557" s="7">
        <f>Q3557*G3557</f>
        <v/>
      </c>
      <c r="S3557" s="8">
        <f>IF($R$3566=0,0,R3557/$R$3566)</f>
        <v/>
      </c>
      <c r="T3557" s="8" t="n">
        <v>-0.02619832807823697</v>
      </c>
      <c r="U3557" s="8" t="n">
        <v>-0.03012203964507221</v>
      </c>
      <c r="V3557" s="6" t="inlineStr">
        <is>
          <t>not selected</t>
        </is>
      </c>
    </row>
    <row r="3558">
      <c r="A3558" s="6" t="inlineStr">
        <is>
          <t>DJ30</t>
        </is>
      </c>
      <c r="B3558" s="6" t="inlineStr">
        <is>
          <t>2025-03-14</t>
        </is>
      </c>
      <c r="C3558" s="6" t="inlineStr">
        <is>
          <t>DIA</t>
        </is>
      </c>
      <c r="D3558" s="6" t="inlineStr">
        <is>
          <t>NVDA</t>
        </is>
      </c>
      <c r="E3558" s="6" t="inlineStr">
        <is>
          <t>NVDA</t>
        </is>
      </c>
      <c r="F3558" s="6" t="inlineStr">
        <is>
          <t>-</t>
        </is>
      </c>
      <c r="G3558" s="7" t="n">
        <v>121.4997253417969</v>
      </c>
      <c r="H3558" s="6">
        <f>P3527</f>
        <v/>
      </c>
      <c r="I3558" s="9">
        <f>Q3527</f>
        <v/>
      </c>
      <c r="J3558" s="7">
        <f>I3558*G3558</f>
        <v/>
      </c>
      <c r="K3558" s="8">
        <f>IF($J$3566=0,0,J3558/$J$3566)</f>
        <v/>
      </c>
      <c r="L3558" s="6" t="inlineStr">
        <is>
          <t>SELECTED</t>
        </is>
      </c>
      <c r="M3558" s="8" t="n">
        <v>0.2</v>
      </c>
      <c r="N3558" s="7">
        <f>M3558*$J$3566-J3558</f>
        <v/>
      </c>
      <c r="O3558" s="9">
        <f>IF(G3558=0,0,N3558/G3558)</f>
        <v/>
      </c>
      <c r="P3558" s="6">
        <f>IF(M3558&gt;0,D3558,"")</f>
        <v/>
      </c>
      <c r="Q3558" s="9">
        <f>I3558+O3558</f>
        <v/>
      </c>
      <c r="R3558" s="7">
        <f>Q3558*G3558</f>
        <v/>
      </c>
      <c r="S3558" s="8">
        <f>IF($R$3566=0,0,R3558/$R$3566)</f>
        <v/>
      </c>
      <c r="T3558" s="8" t="n">
        <v>-0.02619832807823697</v>
      </c>
      <c r="U3558" s="8" t="n">
        <v>-0.03012203964507221</v>
      </c>
      <c r="V3558" s="6" t="inlineStr">
        <is>
          <t>entered weekly selection</t>
        </is>
      </c>
    </row>
    <row r="3559">
      <c r="A3559" s="6" t="inlineStr">
        <is>
          <t>DJ30</t>
        </is>
      </c>
      <c r="B3559" s="6" t="inlineStr">
        <is>
          <t>2025-03-14</t>
        </is>
      </c>
      <c r="C3559" s="6" t="inlineStr">
        <is>
          <t>DIA</t>
        </is>
      </c>
      <c r="D3559" s="6" t="inlineStr">
        <is>
          <t>PG</t>
        </is>
      </c>
      <c r="E3559" s="6" t="inlineStr">
        <is>
          <t>PG</t>
        </is>
      </c>
      <c r="F3559" s="6" t="inlineStr">
        <is>
          <t>-</t>
        </is>
      </c>
      <c r="G3559" s="7" t="n">
        <v>162.2617340087891</v>
      </c>
      <c r="H3559" s="6">
        <f>P3528</f>
        <v/>
      </c>
      <c r="I3559" s="9">
        <f>Q3528</f>
        <v/>
      </c>
      <c r="J3559" s="7">
        <f>I3559*G3559</f>
        <v/>
      </c>
      <c r="K3559" s="8">
        <f>IF($J$3566=0,0,J3559/$J$3566)</f>
        <v/>
      </c>
      <c r="L3559" s="6" t="inlineStr">
        <is>
          <t>WATCHLIST</t>
        </is>
      </c>
      <c r="M3559" s="8" t="n">
        <v>0</v>
      </c>
      <c r="N3559" s="7">
        <f>M3559*$J$3566-J3559</f>
        <v/>
      </c>
      <c r="O3559" s="9">
        <f>IF(G3559=0,0,N3559/G3559)</f>
        <v/>
      </c>
      <c r="P3559" s="6">
        <f>IF(M3559&gt;0,D3559,"")</f>
        <v/>
      </c>
      <c r="Q3559" s="9">
        <f>I3559+O3559</f>
        <v/>
      </c>
      <c r="R3559" s="7">
        <f>Q3559*G3559</f>
        <v/>
      </c>
      <c r="S3559" s="8">
        <f>IF($R$3566=0,0,R3559/$R$3566)</f>
        <v/>
      </c>
      <c r="T3559" s="8" t="n">
        <v>-0.02619832807823697</v>
      </c>
      <c r="U3559" s="8" t="n">
        <v>-0.03012203964507221</v>
      </c>
      <c r="V3559" s="6" t="inlineStr">
        <is>
          <t>not selected</t>
        </is>
      </c>
    </row>
    <row r="3560">
      <c r="A3560" s="6" t="inlineStr">
        <is>
          <t>DJ30</t>
        </is>
      </c>
      <c r="B3560" s="6" t="inlineStr">
        <is>
          <t>2025-03-14</t>
        </is>
      </c>
      <c r="C3560" s="6" t="inlineStr">
        <is>
          <t>DIA</t>
        </is>
      </c>
      <c r="D3560" s="6" t="inlineStr">
        <is>
          <t>SHW</t>
        </is>
      </c>
      <c r="E3560" s="6" t="inlineStr">
        <is>
          <t>SHW</t>
        </is>
      </c>
      <c r="F3560" s="6" t="inlineStr">
        <is>
          <t>-</t>
        </is>
      </c>
      <c r="G3560" s="7" t="n">
        <v>337.8774719238281</v>
      </c>
      <c r="H3560" s="6">
        <f>P3529</f>
        <v/>
      </c>
      <c r="I3560" s="9">
        <f>Q3529</f>
        <v/>
      </c>
      <c r="J3560" s="7">
        <f>I3560*G3560</f>
        <v/>
      </c>
      <c r="K3560" s="8">
        <f>IF($J$3566=0,0,J3560/$J$3566)</f>
        <v/>
      </c>
      <c r="L3560" s="6" t="inlineStr">
        <is>
          <t>WATCHLIST</t>
        </is>
      </c>
      <c r="M3560" s="8" t="n">
        <v>0</v>
      </c>
      <c r="N3560" s="7">
        <f>M3560*$J$3566-J3560</f>
        <v/>
      </c>
      <c r="O3560" s="9">
        <f>IF(G3560=0,0,N3560/G3560)</f>
        <v/>
      </c>
      <c r="P3560" s="6">
        <f>IF(M3560&gt;0,D3560,"")</f>
        <v/>
      </c>
      <c r="Q3560" s="9">
        <f>I3560+O3560</f>
        <v/>
      </c>
      <c r="R3560" s="7">
        <f>Q3560*G3560</f>
        <v/>
      </c>
      <c r="S3560" s="8">
        <f>IF($R$3566=0,0,R3560/$R$3566)</f>
        <v/>
      </c>
      <c r="T3560" s="8" t="n">
        <v>-0.02619832807823697</v>
      </c>
      <c r="U3560" s="8" t="n">
        <v>-0.03012203964507221</v>
      </c>
      <c r="V3560" s="6" t="inlineStr">
        <is>
          <t>not selected</t>
        </is>
      </c>
    </row>
    <row r="3561">
      <c r="A3561" s="6" t="inlineStr">
        <is>
          <t>DJ30</t>
        </is>
      </c>
      <c r="B3561" s="6" t="inlineStr">
        <is>
          <t>2025-03-14</t>
        </is>
      </c>
      <c r="C3561" s="6" t="inlineStr">
        <is>
          <t>DIA</t>
        </is>
      </c>
      <c r="D3561" s="6" t="inlineStr">
        <is>
          <t>TRV</t>
        </is>
      </c>
      <c r="E3561" s="6" t="inlineStr">
        <is>
          <t>TRV</t>
        </is>
      </c>
      <c r="F3561" s="6" t="inlineStr">
        <is>
          <t>-</t>
        </is>
      </c>
      <c r="G3561" s="7" t="n">
        <v>255.7691345214844</v>
      </c>
      <c r="H3561" s="6">
        <f>P3530</f>
        <v/>
      </c>
      <c r="I3561" s="9">
        <f>Q3530</f>
        <v/>
      </c>
      <c r="J3561" s="7">
        <f>I3561*G3561</f>
        <v/>
      </c>
      <c r="K3561" s="8">
        <f>IF($J$3566=0,0,J3561/$J$3566)</f>
        <v/>
      </c>
      <c r="L3561" s="6" t="inlineStr">
        <is>
          <t>WATCHLIST</t>
        </is>
      </c>
      <c r="M3561" s="8" t="n">
        <v>0</v>
      </c>
      <c r="N3561" s="7">
        <f>M3561*$J$3566-J3561</f>
        <v/>
      </c>
      <c r="O3561" s="9">
        <f>IF(G3561=0,0,N3561/G3561)</f>
        <v/>
      </c>
      <c r="P3561" s="6">
        <f>IF(M3561&gt;0,D3561,"")</f>
        <v/>
      </c>
      <c r="Q3561" s="9">
        <f>I3561+O3561</f>
        <v/>
      </c>
      <c r="R3561" s="7">
        <f>Q3561*G3561</f>
        <v/>
      </c>
      <c r="S3561" s="8">
        <f>IF($R$3566=0,0,R3561/$R$3566)</f>
        <v/>
      </c>
      <c r="T3561" s="8" t="n">
        <v>-0.02619832807823697</v>
      </c>
      <c r="U3561" s="8" t="n">
        <v>-0.03012203964507221</v>
      </c>
      <c r="V3561" s="6" t="inlineStr">
        <is>
          <t>removed from weekly selection</t>
        </is>
      </c>
    </row>
    <row r="3562">
      <c r="A3562" s="6" t="inlineStr">
        <is>
          <t>DJ30</t>
        </is>
      </c>
      <c r="B3562" s="6" t="inlineStr">
        <is>
          <t>2025-03-14</t>
        </is>
      </c>
      <c r="C3562" s="6" t="inlineStr">
        <is>
          <t>DIA</t>
        </is>
      </c>
      <c r="D3562" s="6" t="inlineStr">
        <is>
          <t>UNH</t>
        </is>
      </c>
      <c r="E3562" s="6" t="inlineStr">
        <is>
          <t>UNH</t>
        </is>
      </c>
      <c r="F3562" s="6" t="inlineStr">
        <is>
          <t>-</t>
        </is>
      </c>
      <c r="G3562" s="7" t="n">
        <v>472.5498657226562</v>
      </c>
      <c r="H3562" s="6">
        <f>P3531</f>
        <v/>
      </c>
      <c r="I3562" s="9">
        <f>Q3531</f>
        <v/>
      </c>
      <c r="J3562" s="7">
        <f>I3562*G3562</f>
        <v/>
      </c>
      <c r="K3562" s="8">
        <f>IF($J$3566=0,0,J3562/$J$3566)</f>
        <v/>
      </c>
      <c r="L3562" s="6" t="inlineStr">
        <is>
          <t>REJECTED</t>
        </is>
      </c>
      <c r="M3562" s="8" t="n">
        <v>0</v>
      </c>
      <c r="N3562" s="7">
        <f>M3562*$J$3566-J3562</f>
        <v/>
      </c>
      <c r="O3562" s="9">
        <f>IF(G3562=0,0,N3562/G3562)</f>
        <v/>
      </c>
      <c r="P3562" s="6">
        <f>IF(M3562&gt;0,D3562,"")</f>
        <v/>
      </c>
      <c r="Q3562" s="9">
        <f>I3562+O3562</f>
        <v/>
      </c>
      <c r="R3562" s="7">
        <f>Q3562*G3562</f>
        <v/>
      </c>
      <c r="S3562" s="8">
        <f>IF($R$3566=0,0,R3562/$R$3566)</f>
        <v/>
      </c>
      <c r="T3562" s="8" t="n">
        <v>-0.02619832807823697</v>
      </c>
      <c r="U3562" s="8" t="n">
        <v>-0.03012203964507221</v>
      </c>
      <c r="V3562" s="6" t="inlineStr">
        <is>
          <t>not selected</t>
        </is>
      </c>
    </row>
    <row r="3563">
      <c r="A3563" s="6" t="inlineStr">
        <is>
          <t>DJ30</t>
        </is>
      </c>
      <c r="B3563" s="6" t="inlineStr">
        <is>
          <t>2025-03-14</t>
        </is>
      </c>
      <c r="C3563" s="6" t="inlineStr">
        <is>
          <t>DIA</t>
        </is>
      </c>
      <c r="D3563" s="6" t="inlineStr">
        <is>
          <t>V</t>
        </is>
      </c>
      <c r="E3563" s="6" t="inlineStr">
        <is>
          <t>V</t>
        </is>
      </c>
      <c r="F3563" s="6" t="inlineStr">
        <is>
          <t>-</t>
        </is>
      </c>
      <c r="G3563" s="7" t="n">
        <v>328.6539001464844</v>
      </c>
      <c r="H3563" s="6">
        <f>P3532</f>
        <v/>
      </c>
      <c r="I3563" s="9">
        <f>Q3532</f>
        <v/>
      </c>
      <c r="J3563" s="7">
        <f>I3563*G3563</f>
        <v/>
      </c>
      <c r="K3563" s="8">
        <f>IF($J$3566=0,0,J3563/$J$3566)</f>
        <v/>
      </c>
      <c r="L3563" s="6" t="inlineStr">
        <is>
          <t>WATCHLIST</t>
        </is>
      </c>
      <c r="M3563" s="8" t="n">
        <v>0</v>
      </c>
      <c r="N3563" s="7">
        <f>M3563*$J$3566-J3563</f>
        <v/>
      </c>
      <c r="O3563" s="9">
        <f>IF(G3563=0,0,N3563/G3563)</f>
        <v/>
      </c>
      <c r="P3563" s="6">
        <f>IF(M3563&gt;0,D3563,"")</f>
        <v/>
      </c>
      <c r="Q3563" s="9">
        <f>I3563+O3563</f>
        <v/>
      </c>
      <c r="R3563" s="7">
        <f>Q3563*G3563</f>
        <v/>
      </c>
      <c r="S3563" s="8">
        <f>IF($R$3566=0,0,R3563/$R$3566)</f>
        <v/>
      </c>
      <c r="T3563" s="8" t="n">
        <v>-0.02619832807823697</v>
      </c>
      <c r="U3563" s="8" t="n">
        <v>-0.03012203964507221</v>
      </c>
      <c r="V3563" s="6" t="inlineStr">
        <is>
          <t>not selected</t>
        </is>
      </c>
    </row>
    <row r="3564">
      <c r="A3564" s="6" t="inlineStr">
        <is>
          <t>DJ30</t>
        </is>
      </c>
      <c r="B3564" s="6" t="inlineStr">
        <is>
          <t>2025-03-14</t>
        </is>
      </c>
      <c r="C3564" s="6" t="inlineStr">
        <is>
          <t>DIA</t>
        </is>
      </c>
      <c r="D3564" s="6" t="inlineStr">
        <is>
          <t>VZ</t>
        </is>
      </c>
      <c r="E3564" s="6" t="inlineStr">
        <is>
          <t>VZ</t>
        </is>
      </c>
      <c r="F3564" s="6" t="inlineStr">
        <is>
          <t>-</t>
        </is>
      </c>
      <c r="G3564" s="7" t="n">
        <v>40.17405700683594</v>
      </c>
      <c r="H3564" s="6">
        <f>P3533</f>
        <v/>
      </c>
      <c r="I3564" s="9">
        <f>Q3533</f>
        <v/>
      </c>
      <c r="J3564" s="7">
        <f>I3564*G3564</f>
        <v/>
      </c>
      <c r="K3564" s="8">
        <f>IF($J$3566=0,0,J3564/$J$3566)</f>
        <v/>
      </c>
      <c r="L3564" s="6" t="inlineStr">
        <is>
          <t>WATCHLIST</t>
        </is>
      </c>
      <c r="M3564" s="8" t="n">
        <v>0</v>
      </c>
      <c r="N3564" s="7">
        <f>M3564*$J$3566-J3564</f>
        <v/>
      </c>
      <c r="O3564" s="9">
        <f>IF(G3564=0,0,N3564/G3564)</f>
        <v/>
      </c>
      <c r="P3564" s="6">
        <f>IF(M3564&gt;0,D3564,"")</f>
        <v/>
      </c>
      <c r="Q3564" s="9">
        <f>I3564+O3564</f>
        <v/>
      </c>
      <c r="R3564" s="7">
        <f>Q3564*G3564</f>
        <v/>
      </c>
      <c r="S3564" s="8">
        <f>IF($R$3566=0,0,R3564/$R$3566)</f>
        <v/>
      </c>
      <c r="T3564" s="8" t="n">
        <v>-0.02619832807823697</v>
      </c>
      <c r="U3564" s="8" t="n">
        <v>-0.03012203964507221</v>
      </c>
      <c r="V3564" s="6" t="inlineStr">
        <is>
          <t>not selected</t>
        </is>
      </c>
    </row>
    <row r="3565">
      <c r="A3565" s="6" t="inlineStr">
        <is>
          <t>DJ30</t>
        </is>
      </c>
      <c r="B3565" s="6" t="inlineStr">
        <is>
          <t>2025-03-14</t>
        </is>
      </c>
      <c r="C3565" s="6" t="inlineStr">
        <is>
          <t>DIA</t>
        </is>
      </c>
      <c r="D3565" s="6" t="inlineStr">
        <is>
          <t>WMT</t>
        </is>
      </c>
      <c r="E3565" s="6" t="inlineStr">
        <is>
          <t>WMT</t>
        </is>
      </c>
      <c r="F3565" s="6" t="inlineStr">
        <is>
          <t>-</t>
        </is>
      </c>
      <c r="G3565" s="7" t="n">
        <v>84.20691680908203</v>
      </c>
      <c r="H3565" s="6">
        <f>P3534</f>
        <v/>
      </c>
      <c r="I3565" s="9">
        <f>Q3534</f>
        <v/>
      </c>
      <c r="J3565" s="7">
        <f>I3565*G3565</f>
        <v/>
      </c>
      <c r="K3565" s="8">
        <f>IF($J$3566=0,0,J3565/$J$3566)</f>
        <v/>
      </c>
      <c r="L3565" s="6" t="inlineStr">
        <is>
          <t>SELECTED</t>
        </is>
      </c>
      <c r="M3565" s="8" t="n">
        <v>0.2</v>
      </c>
      <c r="N3565" s="7">
        <f>M3565*$J$3566-J3565</f>
        <v/>
      </c>
      <c r="O3565" s="9">
        <f>IF(G3565=0,0,N3565/G3565)</f>
        <v/>
      </c>
      <c r="P3565" s="6">
        <f>IF(M3565&gt;0,D3565,"")</f>
        <v/>
      </c>
      <c r="Q3565" s="9">
        <f>I3565+O3565</f>
        <v/>
      </c>
      <c r="R3565" s="7">
        <f>Q3565*G3565</f>
        <v/>
      </c>
      <c r="S3565" s="8">
        <f>IF($R$3566=0,0,R3565/$R$3566)</f>
        <v/>
      </c>
      <c r="T3565" s="8" t="n">
        <v>-0.02619832807823697</v>
      </c>
      <c r="U3565" s="8" t="n">
        <v>-0.03012203964507221</v>
      </c>
      <c r="V3565" s="6" t="inlineStr">
        <is>
          <t>remained in weekly selection</t>
        </is>
      </c>
    </row>
    <row r="3566">
      <c r="A3566" s="10" t="inlineStr">
        <is>
          <t>DJ30</t>
        </is>
      </c>
      <c r="B3566" s="10" t="inlineStr">
        <is>
          <t>2025-03-14</t>
        </is>
      </c>
      <c r="C3566" s="10" t="inlineStr">
        <is>
          <t>DIA</t>
        </is>
      </c>
      <c r="D3566" s="10" t="inlineStr">
        <is>
          <t>Tot Portfolio</t>
        </is>
      </c>
      <c r="E3566" s="10" t="inlineStr"/>
      <c r="F3566" s="10" t="inlineStr"/>
      <c r="G3566" s="11" t="inlineStr"/>
      <c r="H3566" s="10" t="inlineStr"/>
      <c r="I3566" s="12" t="inlineStr"/>
      <c r="J3566" s="11">
        <f>SUM(J3536:J3565)</f>
        <v/>
      </c>
      <c r="K3566" s="13">
        <f>SUM(K3536:K3565)</f>
        <v/>
      </c>
      <c r="L3566" s="10" t="inlineStr">
        <is>
          <t>TOTAL</t>
        </is>
      </c>
      <c r="M3566" s="13">
        <f>SUM(M3536:M3565)</f>
        <v/>
      </c>
      <c r="N3566" s="11">
        <f>SUM(N3536:N3565)</f>
        <v/>
      </c>
      <c r="O3566" s="12">
        <f>SUM(O3536:O3565)</f>
        <v/>
      </c>
      <c r="P3566" s="10" t="inlineStr"/>
      <c r="Q3566" s="12" t="inlineStr"/>
      <c r="R3566" s="11">
        <f>SUM(R3536:R3565)</f>
        <v/>
      </c>
      <c r="S3566" s="13">
        <f>SUM(S3536:S3565)</f>
        <v/>
      </c>
      <c r="T3566" s="13" t="n">
        <v>-0.02619832807823697</v>
      </c>
      <c r="U3566" s="13" t="n">
        <v>-0.03012203964507221</v>
      </c>
      <c r="V3566" s="10" t="inlineStr"/>
    </row>
    <row r="3567">
      <c r="A3567" s="6" t="inlineStr">
        <is>
          <t>DJ30</t>
        </is>
      </c>
      <c r="B3567" s="6" t="inlineStr">
        <is>
          <t>2025-03-21</t>
        </is>
      </c>
      <c r="C3567" s="6" t="inlineStr">
        <is>
          <t>DIA</t>
        </is>
      </c>
      <c r="D3567" s="6" t="inlineStr">
        <is>
          <t>AAPL</t>
        </is>
      </c>
      <c r="E3567" s="6" t="inlineStr">
        <is>
          <t>AAPL</t>
        </is>
      </c>
      <c r="F3567" s="6" t="inlineStr">
        <is>
          <t>-</t>
        </is>
      </c>
      <c r="G3567" s="7" t="n">
        <v>217.1227722167969</v>
      </c>
      <c r="H3567" s="6">
        <f>P3536</f>
        <v/>
      </c>
      <c r="I3567" s="9">
        <f>Q3536</f>
        <v/>
      </c>
      <c r="J3567" s="7">
        <f>I3567*G3567</f>
        <v/>
      </c>
      <c r="K3567" s="8">
        <f>IF($J$3597=0,0,J3567/$J$3597)</f>
        <v/>
      </c>
      <c r="L3567" s="6" t="inlineStr">
        <is>
          <t>WATCHLIST</t>
        </is>
      </c>
      <c r="M3567" s="8" t="n">
        <v>0</v>
      </c>
      <c r="N3567" s="7">
        <f>M3567*$J$3597-J3567</f>
        <v/>
      </c>
      <c r="O3567" s="9">
        <f>IF(G3567=0,0,N3567/G3567)</f>
        <v/>
      </c>
      <c r="P3567" s="6">
        <f>IF(M3567&gt;0,D3567,"")</f>
        <v/>
      </c>
      <c r="Q3567" s="9">
        <f>I3567+O3567</f>
        <v/>
      </c>
      <c r="R3567" s="7">
        <f>Q3567*G3567</f>
        <v/>
      </c>
      <c r="S3567" s="8">
        <f>IF($R$3597=0,0,R3567/$R$3597)</f>
        <v/>
      </c>
      <c r="T3567" s="8" t="n">
        <v>-0.008831745784689371</v>
      </c>
      <c r="U3567" s="8" t="n">
        <v>0.01218596084203161</v>
      </c>
      <c r="V3567" s="6" t="inlineStr">
        <is>
          <t>not selected</t>
        </is>
      </c>
    </row>
    <row r="3568">
      <c r="A3568" s="6" t="inlineStr">
        <is>
          <t>DJ30</t>
        </is>
      </c>
      <c r="B3568" s="6" t="inlineStr">
        <is>
          <t>2025-03-21</t>
        </is>
      </c>
      <c r="C3568" s="6" t="inlineStr">
        <is>
          <t>DIA</t>
        </is>
      </c>
      <c r="D3568" s="6" t="inlineStr">
        <is>
          <t>AMGN</t>
        </is>
      </c>
      <c r="E3568" s="6" t="inlineStr">
        <is>
          <t>AMGN</t>
        </is>
      </c>
      <c r="F3568" s="6" t="inlineStr">
        <is>
          <t>-</t>
        </is>
      </c>
      <c r="G3568" s="7" t="n">
        <v>304.1300354003906</v>
      </c>
      <c r="H3568" s="6">
        <f>P3537</f>
        <v/>
      </c>
      <c r="I3568" s="9">
        <f>Q3537</f>
        <v/>
      </c>
      <c r="J3568" s="7">
        <f>I3568*G3568</f>
        <v/>
      </c>
      <c r="K3568" s="8">
        <f>IF($J$3597=0,0,J3568/$J$3597)</f>
        <v/>
      </c>
      <c r="L3568" s="6" t="inlineStr">
        <is>
          <t>REJECTED</t>
        </is>
      </c>
      <c r="M3568" s="8" t="n">
        <v>0</v>
      </c>
      <c r="N3568" s="7">
        <f>M3568*$J$3597-J3568</f>
        <v/>
      </c>
      <c r="O3568" s="9">
        <f>IF(G3568=0,0,N3568/G3568)</f>
        <v/>
      </c>
      <c r="P3568" s="6">
        <f>IF(M3568&gt;0,D3568,"")</f>
        <v/>
      </c>
      <c r="Q3568" s="9">
        <f>I3568+O3568</f>
        <v/>
      </c>
      <c r="R3568" s="7">
        <f>Q3568*G3568</f>
        <v/>
      </c>
      <c r="S3568" s="8">
        <f>IF($R$3597=0,0,R3568/$R$3597)</f>
        <v/>
      </c>
      <c r="T3568" s="8" t="n">
        <v>-0.008831745784689371</v>
      </c>
      <c r="U3568" s="8" t="n">
        <v>0.01218596084203161</v>
      </c>
      <c r="V3568" s="6" t="inlineStr">
        <is>
          <t>not selected</t>
        </is>
      </c>
    </row>
    <row r="3569">
      <c r="A3569" s="6" t="inlineStr">
        <is>
          <t>DJ30</t>
        </is>
      </c>
      <c r="B3569" s="6" t="inlineStr">
        <is>
          <t>2025-03-21</t>
        </is>
      </c>
      <c r="C3569" s="6" t="inlineStr">
        <is>
          <t>DIA</t>
        </is>
      </c>
      <c r="D3569" s="6" t="inlineStr">
        <is>
          <t>AMZN</t>
        </is>
      </c>
      <c r="E3569" s="6" t="inlineStr">
        <is>
          <t>AMZN</t>
        </is>
      </c>
      <c r="F3569" s="6" t="inlineStr">
        <is>
          <t>-</t>
        </is>
      </c>
      <c r="G3569" s="7" t="n">
        <v>196.2100067138672</v>
      </c>
      <c r="H3569" s="6">
        <f>P3538</f>
        <v/>
      </c>
      <c r="I3569" s="9">
        <f>Q3538</f>
        <v/>
      </c>
      <c r="J3569" s="7">
        <f>I3569*G3569</f>
        <v/>
      </c>
      <c r="K3569" s="8">
        <f>IF($J$3597=0,0,J3569/$J$3597)</f>
        <v/>
      </c>
      <c r="L3569" s="6" t="inlineStr">
        <is>
          <t>WATCHLIST</t>
        </is>
      </c>
      <c r="M3569" s="8" t="n">
        <v>0</v>
      </c>
      <c r="N3569" s="7">
        <f>M3569*$J$3597-J3569</f>
        <v/>
      </c>
      <c r="O3569" s="9">
        <f>IF(G3569=0,0,N3569/G3569)</f>
        <v/>
      </c>
      <c r="P3569" s="6">
        <f>IF(M3569&gt;0,D3569,"")</f>
        <v/>
      </c>
      <c r="Q3569" s="9">
        <f>I3569+O3569</f>
        <v/>
      </c>
      <c r="R3569" s="7">
        <f>Q3569*G3569</f>
        <v/>
      </c>
      <c r="S3569" s="8">
        <f>IF($R$3597=0,0,R3569/$R$3597)</f>
        <v/>
      </c>
      <c r="T3569" s="8" t="n">
        <v>-0.008831745784689371</v>
      </c>
      <c r="U3569" s="8" t="n">
        <v>0.01218596084203161</v>
      </c>
      <c r="V3569" s="6" t="inlineStr">
        <is>
          <t>not selected</t>
        </is>
      </c>
    </row>
    <row r="3570">
      <c r="A3570" s="6" t="inlineStr">
        <is>
          <t>DJ30</t>
        </is>
      </c>
      <c r="B3570" s="6" t="inlineStr">
        <is>
          <t>2025-03-21</t>
        </is>
      </c>
      <c r="C3570" s="6" t="inlineStr">
        <is>
          <t>DIA</t>
        </is>
      </c>
      <c r="D3570" s="6" t="inlineStr">
        <is>
          <t>AXP</t>
        </is>
      </c>
      <c r="E3570" s="6" t="inlineStr">
        <is>
          <t>AXP</t>
        </is>
      </c>
      <c r="F3570" s="6" t="inlineStr">
        <is>
          <t>-</t>
        </is>
      </c>
      <c r="G3570" s="7" t="n">
        <v>266.8181457519531</v>
      </c>
      <c r="H3570" s="6">
        <f>P3539</f>
        <v/>
      </c>
      <c r="I3570" s="9">
        <f>Q3539</f>
        <v/>
      </c>
      <c r="J3570" s="7">
        <f>I3570*G3570</f>
        <v/>
      </c>
      <c r="K3570" s="8">
        <f>IF($J$3597=0,0,J3570/$J$3597)</f>
        <v/>
      </c>
      <c r="L3570" s="6" t="inlineStr">
        <is>
          <t>WATCHLIST</t>
        </is>
      </c>
      <c r="M3570" s="8" t="n">
        <v>0</v>
      </c>
      <c r="N3570" s="7">
        <f>M3570*$J$3597-J3570</f>
        <v/>
      </c>
      <c r="O3570" s="9">
        <f>IF(G3570=0,0,N3570/G3570)</f>
        <v/>
      </c>
      <c r="P3570" s="6">
        <f>IF(M3570&gt;0,D3570,"")</f>
        <v/>
      </c>
      <c r="Q3570" s="9">
        <f>I3570+O3570</f>
        <v/>
      </c>
      <c r="R3570" s="7">
        <f>Q3570*G3570</f>
        <v/>
      </c>
      <c r="S3570" s="8">
        <f>IF($R$3597=0,0,R3570/$R$3597)</f>
        <v/>
      </c>
      <c r="T3570" s="8" t="n">
        <v>-0.008831745784689371</v>
      </c>
      <c r="U3570" s="8" t="n">
        <v>0.01218596084203161</v>
      </c>
      <c r="V3570" s="6" t="inlineStr">
        <is>
          <t>not selected</t>
        </is>
      </c>
    </row>
    <row r="3571">
      <c r="A3571" s="6" t="inlineStr">
        <is>
          <t>DJ30</t>
        </is>
      </c>
      <c r="B3571" s="6" t="inlineStr">
        <is>
          <t>2025-03-21</t>
        </is>
      </c>
      <c r="C3571" s="6" t="inlineStr">
        <is>
          <t>DIA</t>
        </is>
      </c>
      <c r="D3571" s="6" t="inlineStr">
        <is>
          <t>BA</t>
        </is>
      </c>
      <c r="E3571" s="6" t="inlineStr">
        <is>
          <t>BA</t>
        </is>
      </c>
      <c r="F3571" s="6" t="inlineStr">
        <is>
          <t>-</t>
        </is>
      </c>
      <c r="G3571" s="7" t="n">
        <v>178.1100006103516</v>
      </c>
      <c r="H3571" s="6">
        <f>P3540</f>
        <v/>
      </c>
      <c r="I3571" s="9">
        <f>Q3540</f>
        <v/>
      </c>
      <c r="J3571" s="7">
        <f>I3571*G3571</f>
        <v/>
      </c>
      <c r="K3571" s="8">
        <f>IF($J$3597=0,0,J3571/$J$3597)</f>
        <v/>
      </c>
      <c r="L3571" s="6" t="inlineStr">
        <is>
          <t>REJECTED</t>
        </is>
      </c>
      <c r="M3571" s="8" t="n">
        <v>0</v>
      </c>
      <c r="N3571" s="7">
        <f>M3571*$J$3597-J3571</f>
        <v/>
      </c>
      <c r="O3571" s="9">
        <f>IF(G3571=0,0,N3571/G3571)</f>
        <v/>
      </c>
      <c r="P3571" s="6">
        <f>IF(M3571&gt;0,D3571,"")</f>
        <v/>
      </c>
      <c r="Q3571" s="9">
        <f>I3571+O3571</f>
        <v/>
      </c>
      <c r="R3571" s="7">
        <f>Q3571*G3571</f>
        <v/>
      </c>
      <c r="S3571" s="8">
        <f>IF($R$3597=0,0,R3571/$R$3597)</f>
        <v/>
      </c>
      <c r="T3571" s="8" t="n">
        <v>-0.008831745784689371</v>
      </c>
      <c r="U3571" s="8" t="n">
        <v>0.01218596084203161</v>
      </c>
      <c r="V3571" s="6" t="inlineStr">
        <is>
          <t>not selected</t>
        </is>
      </c>
    </row>
    <row r="3572">
      <c r="A3572" s="6" t="inlineStr">
        <is>
          <t>DJ30</t>
        </is>
      </c>
      <c r="B3572" s="6" t="inlineStr">
        <is>
          <t>2025-03-21</t>
        </is>
      </c>
      <c r="C3572" s="6" t="inlineStr">
        <is>
          <t>DIA</t>
        </is>
      </c>
      <c r="D3572" s="6" t="inlineStr">
        <is>
          <t>CAT</t>
        </is>
      </c>
      <c r="E3572" s="6" t="inlineStr">
        <is>
          <t>CAT</t>
        </is>
      </c>
      <c r="F3572" s="6" t="inlineStr">
        <is>
          <t>-</t>
        </is>
      </c>
      <c r="G3572" s="7" t="n">
        <v>330.5931091308594</v>
      </c>
      <c r="H3572" s="6">
        <f>P3541</f>
        <v/>
      </c>
      <c r="I3572" s="9">
        <f>Q3541</f>
        <v/>
      </c>
      <c r="J3572" s="7">
        <f>I3572*G3572</f>
        <v/>
      </c>
      <c r="K3572" s="8">
        <f>IF($J$3597=0,0,J3572/$J$3597)</f>
        <v/>
      </c>
      <c r="L3572" s="6" t="inlineStr">
        <is>
          <t>REJECTED</t>
        </is>
      </c>
      <c r="M3572" s="8" t="n">
        <v>0</v>
      </c>
      <c r="N3572" s="7">
        <f>M3572*$J$3597-J3572</f>
        <v/>
      </c>
      <c r="O3572" s="9">
        <f>IF(G3572=0,0,N3572/G3572)</f>
        <v/>
      </c>
      <c r="P3572" s="6">
        <f>IF(M3572&gt;0,D3572,"")</f>
        <v/>
      </c>
      <c r="Q3572" s="9">
        <f>I3572+O3572</f>
        <v/>
      </c>
      <c r="R3572" s="7">
        <f>Q3572*G3572</f>
        <v/>
      </c>
      <c r="S3572" s="8">
        <f>IF($R$3597=0,0,R3572/$R$3597)</f>
        <v/>
      </c>
      <c r="T3572" s="8" t="n">
        <v>-0.008831745784689371</v>
      </c>
      <c r="U3572" s="8" t="n">
        <v>0.01218596084203161</v>
      </c>
      <c r="V3572" s="6" t="inlineStr">
        <is>
          <t>not selected</t>
        </is>
      </c>
    </row>
    <row r="3573">
      <c r="A3573" s="6" t="inlineStr">
        <is>
          <t>DJ30</t>
        </is>
      </c>
      <c r="B3573" s="6" t="inlineStr">
        <is>
          <t>2025-03-21</t>
        </is>
      </c>
      <c r="C3573" s="6" t="inlineStr">
        <is>
          <t>DIA</t>
        </is>
      </c>
      <c r="D3573" s="6" t="inlineStr">
        <is>
          <t>CRM</t>
        </is>
      </c>
      <c r="E3573" s="6" t="inlineStr">
        <is>
          <t>CRM</t>
        </is>
      </c>
      <c r="F3573" s="6" t="inlineStr">
        <is>
          <t>-</t>
        </is>
      </c>
      <c r="G3573" s="7" t="n">
        <v>277.388427734375</v>
      </c>
      <c r="H3573" s="6">
        <f>P3542</f>
        <v/>
      </c>
      <c r="I3573" s="9">
        <f>Q3542</f>
        <v/>
      </c>
      <c r="J3573" s="7">
        <f>I3573*G3573</f>
        <v/>
      </c>
      <c r="K3573" s="8">
        <f>IF($J$3597=0,0,J3573/$J$3597)</f>
        <v/>
      </c>
      <c r="L3573" s="6" t="inlineStr">
        <is>
          <t>WATCHLIST</t>
        </is>
      </c>
      <c r="M3573" s="8" t="n">
        <v>0</v>
      </c>
      <c r="N3573" s="7">
        <f>M3573*$J$3597-J3573</f>
        <v/>
      </c>
      <c r="O3573" s="9">
        <f>IF(G3573=0,0,N3573/G3573)</f>
        <v/>
      </c>
      <c r="P3573" s="6">
        <f>IF(M3573&gt;0,D3573,"")</f>
        <v/>
      </c>
      <c r="Q3573" s="9">
        <f>I3573+O3573</f>
        <v/>
      </c>
      <c r="R3573" s="7">
        <f>Q3573*G3573</f>
        <v/>
      </c>
      <c r="S3573" s="8">
        <f>IF($R$3597=0,0,R3573/$R$3597)</f>
        <v/>
      </c>
      <c r="T3573" s="8" t="n">
        <v>-0.008831745784689371</v>
      </c>
      <c r="U3573" s="8" t="n">
        <v>0.01218596084203161</v>
      </c>
      <c r="V3573" s="6" t="inlineStr">
        <is>
          <t>not selected</t>
        </is>
      </c>
    </row>
    <row r="3574">
      <c r="A3574" s="6" t="inlineStr">
        <is>
          <t>DJ30</t>
        </is>
      </c>
      <c r="B3574" s="6" t="inlineStr">
        <is>
          <t>2025-03-21</t>
        </is>
      </c>
      <c r="C3574" s="6" t="inlineStr">
        <is>
          <t>DIA</t>
        </is>
      </c>
      <c r="D3574" s="6" t="inlineStr">
        <is>
          <t>CSCO</t>
        </is>
      </c>
      <c r="E3574" s="6" t="inlineStr">
        <is>
          <t>CSCO</t>
        </is>
      </c>
      <c r="F3574" s="6" t="inlineStr">
        <is>
          <t>-</t>
        </is>
      </c>
      <c r="G3574" s="7" t="n">
        <v>58.55236053466797</v>
      </c>
      <c r="H3574" s="6">
        <f>P3543</f>
        <v/>
      </c>
      <c r="I3574" s="9">
        <f>Q3543</f>
        <v/>
      </c>
      <c r="J3574" s="7">
        <f>I3574*G3574</f>
        <v/>
      </c>
      <c r="K3574" s="8">
        <f>IF($J$3597=0,0,J3574/$J$3597)</f>
        <v/>
      </c>
      <c r="L3574" s="6" t="inlineStr">
        <is>
          <t>SELECTED</t>
        </is>
      </c>
      <c r="M3574" s="8" t="n">
        <v>0.2</v>
      </c>
      <c r="N3574" s="7">
        <f>M3574*$J$3597-J3574</f>
        <v/>
      </c>
      <c r="O3574" s="9">
        <f>IF(G3574=0,0,N3574/G3574)</f>
        <v/>
      </c>
      <c r="P3574" s="6">
        <f>IF(M3574&gt;0,D3574,"")</f>
        <v/>
      </c>
      <c r="Q3574" s="9">
        <f>I3574+O3574</f>
        <v/>
      </c>
      <c r="R3574" s="7">
        <f>Q3574*G3574</f>
        <v/>
      </c>
      <c r="S3574" s="8">
        <f>IF($R$3597=0,0,R3574/$R$3597)</f>
        <v/>
      </c>
      <c r="T3574" s="8" t="n">
        <v>-0.008831745784689371</v>
      </c>
      <c r="U3574" s="8" t="n">
        <v>0.01218596084203161</v>
      </c>
      <c r="V3574" s="6" t="inlineStr">
        <is>
          <t>remained in weekly selection</t>
        </is>
      </c>
    </row>
    <row r="3575">
      <c r="A3575" s="6" t="inlineStr">
        <is>
          <t>DJ30</t>
        </is>
      </c>
      <c r="B3575" s="6" t="inlineStr">
        <is>
          <t>2025-03-21</t>
        </is>
      </c>
      <c r="C3575" s="6" t="inlineStr">
        <is>
          <t>DIA</t>
        </is>
      </c>
      <c r="D3575" s="6" t="inlineStr">
        <is>
          <t>CVX</t>
        </is>
      </c>
      <c r="E3575" s="6" t="inlineStr">
        <is>
          <t>CVX</t>
        </is>
      </c>
      <c r="F3575" s="6" t="inlineStr">
        <is>
          <t>-</t>
        </is>
      </c>
      <c r="G3575" s="7" t="n">
        <v>156.2243347167969</v>
      </c>
      <c r="H3575" s="6">
        <f>P3544</f>
        <v/>
      </c>
      <c r="I3575" s="9">
        <f>Q3544</f>
        <v/>
      </c>
      <c r="J3575" s="7">
        <f>I3575*G3575</f>
        <v/>
      </c>
      <c r="K3575" s="8">
        <f>IF($J$3597=0,0,J3575/$J$3597)</f>
        <v/>
      </c>
      <c r="L3575" s="6" t="inlineStr">
        <is>
          <t>REJECTED</t>
        </is>
      </c>
      <c r="M3575" s="8" t="n">
        <v>0</v>
      </c>
      <c r="N3575" s="7">
        <f>M3575*$J$3597-J3575</f>
        <v/>
      </c>
      <c r="O3575" s="9">
        <f>IF(G3575=0,0,N3575/G3575)</f>
        <v/>
      </c>
      <c r="P3575" s="6">
        <f>IF(M3575&gt;0,D3575,"")</f>
        <v/>
      </c>
      <c r="Q3575" s="9">
        <f>I3575+O3575</f>
        <v/>
      </c>
      <c r="R3575" s="7">
        <f>Q3575*G3575</f>
        <v/>
      </c>
      <c r="S3575" s="8">
        <f>IF($R$3597=0,0,R3575/$R$3597)</f>
        <v/>
      </c>
      <c r="T3575" s="8" t="n">
        <v>-0.008831745784689371</v>
      </c>
      <c r="U3575" s="8" t="n">
        <v>0.01218596084203161</v>
      </c>
      <c r="V3575" s="6" t="inlineStr">
        <is>
          <t>not selected</t>
        </is>
      </c>
    </row>
    <row r="3576">
      <c r="A3576" s="6" t="inlineStr">
        <is>
          <t>DJ30</t>
        </is>
      </c>
      <c r="B3576" s="6" t="inlineStr">
        <is>
          <t>2025-03-21</t>
        </is>
      </c>
      <c r="C3576" s="6" t="inlineStr">
        <is>
          <t>DIA</t>
        </is>
      </c>
      <c r="D3576" s="6" t="inlineStr">
        <is>
          <t>DIS</t>
        </is>
      </c>
      <c r="E3576" s="6" t="inlineStr">
        <is>
          <t>DIS</t>
        </is>
      </c>
      <c r="F3576" s="6" t="inlineStr">
        <is>
          <t>-</t>
        </is>
      </c>
      <c r="G3576" s="7" t="n">
        <v>98.37209320068359</v>
      </c>
      <c r="H3576" s="6">
        <f>P3545</f>
        <v/>
      </c>
      <c r="I3576" s="9">
        <f>Q3545</f>
        <v/>
      </c>
      <c r="J3576" s="7">
        <f>I3576*G3576</f>
        <v/>
      </c>
      <c r="K3576" s="8">
        <f>IF($J$3597=0,0,J3576/$J$3597)</f>
        <v/>
      </c>
      <c r="L3576" s="6" t="inlineStr">
        <is>
          <t>REJECTED</t>
        </is>
      </c>
      <c r="M3576" s="8" t="n">
        <v>0</v>
      </c>
      <c r="N3576" s="7">
        <f>M3576*$J$3597-J3576</f>
        <v/>
      </c>
      <c r="O3576" s="9">
        <f>IF(G3576=0,0,N3576/G3576)</f>
        <v/>
      </c>
      <c r="P3576" s="6">
        <f>IF(M3576&gt;0,D3576,"")</f>
        <v/>
      </c>
      <c r="Q3576" s="9">
        <f>I3576+O3576</f>
        <v/>
      </c>
      <c r="R3576" s="7">
        <f>Q3576*G3576</f>
        <v/>
      </c>
      <c r="S3576" s="8">
        <f>IF($R$3597=0,0,R3576/$R$3597)</f>
        <v/>
      </c>
      <c r="T3576" s="8" t="n">
        <v>-0.008831745784689371</v>
      </c>
      <c r="U3576" s="8" t="n">
        <v>0.01218596084203161</v>
      </c>
      <c r="V3576" s="6" t="inlineStr">
        <is>
          <t>not selected</t>
        </is>
      </c>
    </row>
    <row r="3577">
      <c r="A3577" s="6" t="inlineStr">
        <is>
          <t>DJ30</t>
        </is>
      </c>
      <c r="B3577" s="6" t="inlineStr">
        <is>
          <t>2025-03-21</t>
        </is>
      </c>
      <c r="C3577" s="6" t="inlineStr">
        <is>
          <t>DIA</t>
        </is>
      </c>
      <c r="D3577" s="6" t="inlineStr">
        <is>
          <t>GS</t>
        </is>
      </c>
      <c r="E3577" s="6" t="inlineStr">
        <is>
          <t>GS</t>
        </is>
      </c>
      <c r="F3577" s="6" t="inlineStr">
        <is>
          <t>-</t>
        </is>
      </c>
      <c r="G3577" s="7" t="n">
        <v>551.2402954101562</v>
      </c>
      <c r="H3577" s="6">
        <f>P3546</f>
        <v/>
      </c>
      <c r="I3577" s="9">
        <f>Q3546</f>
        <v/>
      </c>
      <c r="J3577" s="7">
        <f>I3577*G3577</f>
        <v/>
      </c>
      <c r="K3577" s="8">
        <f>IF($J$3597=0,0,J3577/$J$3597)</f>
        <v/>
      </c>
      <c r="L3577" s="6" t="inlineStr">
        <is>
          <t>WATCHLIST</t>
        </is>
      </c>
      <c r="M3577" s="8" t="n">
        <v>0</v>
      </c>
      <c r="N3577" s="7">
        <f>M3577*$J$3597-J3577</f>
        <v/>
      </c>
      <c r="O3577" s="9">
        <f>IF(G3577=0,0,N3577/G3577)</f>
        <v/>
      </c>
      <c r="P3577" s="6">
        <f>IF(M3577&gt;0,D3577,"")</f>
        <v/>
      </c>
      <c r="Q3577" s="9">
        <f>I3577+O3577</f>
        <v/>
      </c>
      <c r="R3577" s="7">
        <f>Q3577*G3577</f>
        <v/>
      </c>
      <c r="S3577" s="8">
        <f>IF($R$3597=0,0,R3577/$R$3597)</f>
        <v/>
      </c>
      <c r="T3577" s="8" t="n">
        <v>-0.008831745784689371</v>
      </c>
      <c r="U3577" s="8" t="n">
        <v>0.01218596084203161</v>
      </c>
      <c r="V3577" s="6" t="inlineStr">
        <is>
          <t>not selected</t>
        </is>
      </c>
    </row>
    <row r="3578">
      <c r="A3578" s="6" t="inlineStr">
        <is>
          <t>DJ30</t>
        </is>
      </c>
      <c r="B3578" s="6" t="inlineStr">
        <is>
          <t>2025-03-21</t>
        </is>
      </c>
      <c r="C3578" s="6" t="inlineStr">
        <is>
          <t>DIA</t>
        </is>
      </c>
      <c r="D3578" s="6" t="inlineStr">
        <is>
          <t>HD</t>
        </is>
      </c>
      <c r="E3578" s="6" t="inlineStr">
        <is>
          <t>HD</t>
        </is>
      </c>
      <c r="F3578" s="6" t="inlineStr">
        <is>
          <t>-</t>
        </is>
      </c>
      <c r="G3578" s="7" t="n">
        <v>339.9429931640625</v>
      </c>
      <c r="H3578" s="6">
        <f>P3547</f>
        <v/>
      </c>
      <c r="I3578" s="9">
        <f>Q3547</f>
        <v/>
      </c>
      <c r="J3578" s="7">
        <f>I3578*G3578</f>
        <v/>
      </c>
      <c r="K3578" s="8">
        <f>IF($J$3597=0,0,J3578/$J$3597)</f>
        <v/>
      </c>
      <c r="L3578" s="6" t="inlineStr">
        <is>
          <t>WATCHLIST</t>
        </is>
      </c>
      <c r="M3578" s="8" t="n">
        <v>0</v>
      </c>
      <c r="N3578" s="7">
        <f>M3578*$J$3597-J3578</f>
        <v/>
      </c>
      <c r="O3578" s="9">
        <f>IF(G3578=0,0,N3578/G3578)</f>
        <v/>
      </c>
      <c r="P3578" s="6">
        <f>IF(M3578&gt;0,D3578,"")</f>
        <v/>
      </c>
      <c r="Q3578" s="9">
        <f>I3578+O3578</f>
        <v/>
      </c>
      <c r="R3578" s="7">
        <f>Q3578*G3578</f>
        <v/>
      </c>
      <c r="S3578" s="8">
        <f>IF($R$3597=0,0,R3578/$R$3597)</f>
        <v/>
      </c>
      <c r="T3578" s="8" t="n">
        <v>-0.008831745784689371</v>
      </c>
      <c r="U3578" s="8" t="n">
        <v>0.01218596084203161</v>
      </c>
      <c r="V3578" s="6" t="inlineStr">
        <is>
          <t>not selected</t>
        </is>
      </c>
    </row>
    <row r="3579">
      <c r="A3579" s="6" t="inlineStr">
        <is>
          <t>DJ30</t>
        </is>
      </c>
      <c r="B3579" s="6" t="inlineStr">
        <is>
          <t>2025-03-21</t>
        </is>
      </c>
      <c r="C3579" s="6" t="inlineStr">
        <is>
          <t>DIA</t>
        </is>
      </c>
      <c r="D3579" s="6" t="inlineStr">
        <is>
          <t>HON</t>
        </is>
      </c>
      <c r="E3579" s="6" t="inlineStr">
        <is>
          <t>HON</t>
        </is>
      </c>
      <c r="F3579" s="6" t="inlineStr">
        <is>
          <t>-</t>
        </is>
      </c>
      <c r="G3579" s="7" t="n">
        <v>192.8231658935547</v>
      </c>
      <c r="H3579" s="6">
        <f>P3548</f>
        <v/>
      </c>
      <c r="I3579" s="9">
        <f>Q3548</f>
        <v/>
      </c>
      <c r="J3579" s="7">
        <f>I3579*G3579</f>
        <v/>
      </c>
      <c r="K3579" s="8">
        <f>IF($J$3597=0,0,J3579/$J$3597)</f>
        <v/>
      </c>
      <c r="L3579" s="6" t="inlineStr">
        <is>
          <t>WATCHLIST</t>
        </is>
      </c>
      <c r="M3579" s="8" t="n">
        <v>0</v>
      </c>
      <c r="N3579" s="7">
        <f>M3579*$J$3597-J3579</f>
        <v/>
      </c>
      <c r="O3579" s="9">
        <f>IF(G3579=0,0,N3579/G3579)</f>
        <v/>
      </c>
      <c r="P3579" s="6">
        <f>IF(M3579&gt;0,D3579,"")</f>
        <v/>
      </c>
      <c r="Q3579" s="9">
        <f>I3579+O3579</f>
        <v/>
      </c>
      <c r="R3579" s="7">
        <f>Q3579*G3579</f>
        <v/>
      </c>
      <c r="S3579" s="8">
        <f>IF($R$3597=0,0,R3579/$R$3597)</f>
        <v/>
      </c>
      <c r="T3579" s="8" t="n">
        <v>-0.008831745784689371</v>
      </c>
      <c r="U3579" s="8" t="n">
        <v>0.01218596084203161</v>
      </c>
      <c r="V3579" s="6" t="inlineStr">
        <is>
          <t>not selected</t>
        </is>
      </c>
    </row>
    <row r="3580">
      <c r="A3580" s="6" t="inlineStr">
        <is>
          <t>DJ30</t>
        </is>
      </c>
      <c r="B3580" s="6" t="inlineStr">
        <is>
          <t>2025-03-21</t>
        </is>
      </c>
      <c r="C3580" s="6" t="inlineStr">
        <is>
          <t>DIA</t>
        </is>
      </c>
      <c r="D3580" s="6" t="inlineStr">
        <is>
          <t>IBM</t>
        </is>
      </c>
      <c r="E3580" s="6" t="inlineStr">
        <is>
          <t>IBM</t>
        </is>
      </c>
      <c r="F3580" s="6" t="inlineStr">
        <is>
          <t>-</t>
        </is>
      </c>
      <c r="G3580" s="7" t="n">
        <v>236.2162475585937</v>
      </c>
      <c r="H3580" s="6">
        <f>P3549</f>
        <v/>
      </c>
      <c r="I3580" s="9">
        <f>Q3549</f>
        <v/>
      </c>
      <c r="J3580" s="7">
        <f>I3580*G3580</f>
        <v/>
      </c>
      <c r="K3580" s="8">
        <f>IF($J$3597=0,0,J3580/$J$3597)</f>
        <v/>
      </c>
      <c r="L3580" s="6" t="inlineStr">
        <is>
          <t>SELECTED</t>
        </is>
      </c>
      <c r="M3580" s="8" t="n">
        <v>0.2</v>
      </c>
      <c r="N3580" s="7">
        <f>M3580*$J$3597-J3580</f>
        <v/>
      </c>
      <c r="O3580" s="9">
        <f>IF(G3580=0,0,N3580/G3580)</f>
        <v/>
      </c>
      <c r="P3580" s="6">
        <f>IF(M3580&gt;0,D3580,"")</f>
        <v/>
      </c>
      <c r="Q3580" s="9">
        <f>I3580+O3580</f>
        <v/>
      </c>
      <c r="R3580" s="7">
        <f>Q3580*G3580</f>
        <v/>
      </c>
      <c r="S3580" s="8">
        <f>IF($R$3597=0,0,R3580/$R$3597)</f>
        <v/>
      </c>
      <c r="T3580" s="8" t="n">
        <v>-0.008831745784689371</v>
      </c>
      <c r="U3580" s="8" t="n">
        <v>0.01218596084203161</v>
      </c>
      <c r="V3580" s="6" t="inlineStr">
        <is>
          <t>remained in weekly selection</t>
        </is>
      </c>
    </row>
    <row r="3581">
      <c r="A3581" s="6" t="inlineStr">
        <is>
          <t>DJ30</t>
        </is>
      </c>
      <c r="B3581" s="6" t="inlineStr">
        <is>
          <t>2025-03-21</t>
        </is>
      </c>
      <c r="C3581" s="6" t="inlineStr">
        <is>
          <t>DIA</t>
        </is>
      </c>
      <c r="D3581" s="6" t="inlineStr">
        <is>
          <t>JNJ</t>
        </is>
      </c>
      <c r="E3581" s="6" t="inlineStr">
        <is>
          <t>JNJ</t>
        </is>
      </c>
      <c r="F3581" s="6" t="inlineStr">
        <is>
          <t>-</t>
        </is>
      </c>
      <c r="G3581" s="7" t="n">
        <v>158.2842254638672</v>
      </c>
      <c r="H3581" s="6">
        <f>P3550</f>
        <v/>
      </c>
      <c r="I3581" s="9">
        <f>Q3550</f>
        <v/>
      </c>
      <c r="J3581" s="7">
        <f>I3581*G3581</f>
        <v/>
      </c>
      <c r="K3581" s="8">
        <f>IF($J$3597=0,0,J3581/$J$3597)</f>
        <v/>
      </c>
      <c r="L3581" s="6" t="inlineStr">
        <is>
          <t>REJECTED</t>
        </is>
      </c>
      <c r="M3581" s="8" t="n">
        <v>0</v>
      </c>
      <c r="N3581" s="7">
        <f>M3581*$J$3597-J3581</f>
        <v/>
      </c>
      <c r="O3581" s="9">
        <f>IF(G3581=0,0,N3581/G3581)</f>
        <v/>
      </c>
      <c r="P3581" s="6">
        <f>IF(M3581&gt;0,D3581,"")</f>
        <v/>
      </c>
      <c r="Q3581" s="9">
        <f>I3581+O3581</f>
        <v/>
      </c>
      <c r="R3581" s="7">
        <f>Q3581*G3581</f>
        <v/>
      </c>
      <c r="S3581" s="8">
        <f>IF($R$3597=0,0,R3581/$R$3597)</f>
        <v/>
      </c>
      <c r="T3581" s="8" t="n">
        <v>-0.008831745784689371</v>
      </c>
      <c r="U3581" s="8" t="n">
        <v>0.01218596084203161</v>
      </c>
      <c r="V3581" s="6" t="inlineStr">
        <is>
          <t>not selected</t>
        </is>
      </c>
    </row>
    <row r="3582">
      <c r="A3582" s="6" t="inlineStr">
        <is>
          <t>DJ30</t>
        </is>
      </c>
      <c r="B3582" s="6" t="inlineStr">
        <is>
          <t>2025-03-21</t>
        </is>
      </c>
      <c r="C3582" s="6" t="inlineStr">
        <is>
          <t>DIA</t>
        </is>
      </c>
      <c r="D3582" s="6" t="inlineStr">
        <is>
          <t>JPM</t>
        </is>
      </c>
      <c r="E3582" s="6" t="inlineStr">
        <is>
          <t>JPM</t>
        </is>
      </c>
      <c r="F3582" s="6" t="inlineStr">
        <is>
          <t>-</t>
        </is>
      </c>
      <c r="G3582" s="7" t="n">
        <v>235.5694427490234</v>
      </c>
      <c r="H3582" s="6">
        <f>P3551</f>
        <v/>
      </c>
      <c r="I3582" s="9">
        <f>Q3551</f>
        <v/>
      </c>
      <c r="J3582" s="7">
        <f>I3582*G3582</f>
        <v/>
      </c>
      <c r="K3582" s="8">
        <f>IF($J$3597=0,0,J3582/$J$3597)</f>
        <v/>
      </c>
      <c r="L3582" s="6" t="inlineStr">
        <is>
          <t>WATCHLIST</t>
        </is>
      </c>
      <c r="M3582" s="8" t="n">
        <v>0</v>
      </c>
      <c r="N3582" s="7">
        <f>M3582*$J$3597-J3582</f>
        <v/>
      </c>
      <c r="O3582" s="9">
        <f>IF(G3582=0,0,N3582/G3582)</f>
        <v/>
      </c>
      <c r="P3582" s="6">
        <f>IF(M3582&gt;0,D3582,"")</f>
        <v/>
      </c>
      <c r="Q3582" s="9">
        <f>I3582+O3582</f>
        <v/>
      </c>
      <c r="R3582" s="7">
        <f>Q3582*G3582</f>
        <v/>
      </c>
      <c r="S3582" s="8">
        <f>IF($R$3597=0,0,R3582/$R$3597)</f>
        <v/>
      </c>
      <c r="T3582" s="8" t="n">
        <v>-0.008831745784689371</v>
      </c>
      <c r="U3582" s="8" t="n">
        <v>0.01218596084203161</v>
      </c>
      <c r="V3582" s="6" t="inlineStr">
        <is>
          <t>not selected</t>
        </is>
      </c>
    </row>
    <row r="3583">
      <c r="A3583" s="6" t="inlineStr">
        <is>
          <t>DJ30</t>
        </is>
      </c>
      <c r="B3583" s="6" t="inlineStr">
        <is>
          <t>2025-03-21</t>
        </is>
      </c>
      <c r="C3583" s="6" t="inlineStr">
        <is>
          <t>DIA</t>
        </is>
      </c>
      <c r="D3583" s="6" t="inlineStr">
        <is>
          <t>KO</t>
        </is>
      </c>
      <c r="E3583" s="6" t="inlineStr">
        <is>
          <t>KO</t>
        </is>
      </c>
      <c r="F3583" s="6" t="inlineStr">
        <is>
          <t>-</t>
        </is>
      </c>
      <c r="G3583" s="7" t="n">
        <v>66.30733489990234</v>
      </c>
      <c r="H3583" s="6">
        <f>P3552</f>
        <v/>
      </c>
      <c r="I3583" s="9">
        <f>Q3552</f>
        <v/>
      </c>
      <c r="J3583" s="7">
        <f>I3583*G3583</f>
        <v/>
      </c>
      <c r="K3583" s="8">
        <f>IF($J$3597=0,0,J3583/$J$3597)</f>
        <v/>
      </c>
      <c r="L3583" s="6" t="inlineStr">
        <is>
          <t>REJECTED</t>
        </is>
      </c>
      <c r="M3583" s="8" t="n">
        <v>0</v>
      </c>
      <c r="N3583" s="7">
        <f>M3583*$J$3597-J3583</f>
        <v/>
      </c>
      <c r="O3583" s="9">
        <f>IF(G3583=0,0,N3583/G3583)</f>
        <v/>
      </c>
      <c r="P3583" s="6">
        <f>IF(M3583&gt;0,D3583,"")</f>
        <v/>
      </c>
      <c r="Q3583" s="9">
        <f>I3583+O3583</f>
        <v/>
      </c>
      <c r="R3583" s="7">
        <f>Q3583*G3583</f>
        <v/>
      </c>
      <c r="S3583" s="8">
        <f>IF($R$3597=0,0,R3583/$R$3597)</f>
        <v/>
      </c>
      <c r="T3583" s="8" t="n">
        <v>-0.008831745784689371</v>
      </c>
      <c r="U3583" s="8" t="n">
        <v>0.01218596084203161</v>
      </c>
      <c r="V3583" s="6" t="inlineStr">
        <is>
          <t>not selected</t>
        </is>
      </c>
    </row>
    <row r="3584">
      <c r="A3584" s="6" t="inlineStr">
        <is>
          <t>DJ30</t>
        </is>
      </c>
      <c r="B3584" s="6" t="inlineStr">
        <is>
          <t>2025-03-21</t>
        </is>
      </c>
      <c r="C3584" s="6" t="inlineStr">
        <is>
          <t>DIA</t>
        </is>
      </c>
      <c r="D3584" s="6" t="inlineStr">
        <is>
          <t>MCD</t>
        </is>
      </c>
      <c r="E3584" s="6" t="inlineStr">
        <is>
          <t>MCD</t>
        </is>
      </c>
      <c r="F3584" s="6" t="inlineStr">
        <is>
          <t>-</t>
        </is>
      </c>
      <c r="G3584" s="7" t="n">
        <v>296.522705078125</v>
      </c>
      <c r="H3584" s="6">
        <f>P3553</f>
        <v/>
      </c>
      <c r="I3584" s="9">
        <f>Q3553</f>
        <v/>
      </c>
      <c r="J3584" s="7">
        <f>I3584*G3584</f>
        <v/>
      </c>
      <c r="K3584" s="8">
        <f>IF($J$3597=0,0,J3584/$J$3597)</f>
        <v/>
      </c>
      <c r="L3584" s="6" t="inlineStr">
        <is>
          <t>WATCHLIST</t>
        </is>
      </c>
      <c r="M3584" s="8" t="n">
        <v>0</v>
      </c>
      <c r="N3584" s="7">
        <f>M3584*$J$3597-J3584</f>
        <v/>
      </c>
      <c r="O3584" s="9">
        <f>IF(G3584=0,0,N3584/G3584)</f>
        <v/>
      </c>
      <c r="P3584" s="6">
        <f>IF(M3584&gt;0,D3584,"")</f>
        <v/>
      </c>
      <c r="Q3584" s="9">
        <f>I3584+O3584</f>
        <v/>
      </c>
      <c r="R3584" s="7">
        <f>Q3584*G3584</f>
        <v/>
      </c>
      <c r="S3584" s="8">
        <f>IF($R$3597=0,0,R3584/$R$3597)</f>
        <v/>
      </c>
      <c r="T3584" s="8" t="n">
        <v>-0.008831745784689371</v>
      </c>
      <c r="U3584" s="8" t="n">
        <v>0.01218596084203161</v>
      </c>
      <c r="V3584" s="6" t="inlineStr">
        <is>
          <t>not selected</t>
        </is>
      </c>
    </row>
    <row r="3585">
      <c r="A3585" s="6" t="inlineStr">
        <is>
          <t>DJ30</t>
        </is>
      </c>
      <c r="B3585" s="6" t="inlineStr">
        <is>
          <t>2025-03-21</t>
        </is>
      </c>
      <c r="C3585" s="6" t="inlineStr">
        <is>
          <t>DIA</t>
        </is>
      </c>
      <c r="D3585" s="6" t="inlineStr">
        <is>
          <t>MMM</t>
        </is>
      </c>
      <c r="E3585" s="6" t="inlineStr">
        <is>
          <t>MMM</t>
        </is>
      </c>
      <c r="F3585" s="6" t="inlineStr">
        <is>
          <t>-</t>
        </is>
      </c>
      <c r="G3585" s="7" t="n">
        <v>146.879638671875</v>
      </c>
      <c r="H3585" s="6">
        <f>P3554</f>
        <v/>
      </c>
      <c r="I3585" s="9">
        <f>Q3554</f>
        <v/>
      </c>
      <c r="J3585" s="7">
        <f>I3585*G3585</f>
        <v/>
      </c>
      <c r="K3585" s="8">
        <f>IF($J$3597=0,0,J3585/$J$3597)</f>
        <v/>
      </c>
      <c r="L3585" s="6" t="inlineStr">
        <is>
          <t>SELECTED</t>
        </is>
      </c>
      <c r="M3585" s="8" t="n">
        <v>0.2</v>
      </c>
      <c r="N3585" s="7">
        <f>M3585*$J$3597-J3585</f>
        <v/>
      </c>
      <c r="O3585" s="9">
        <f>IF(G3585=0,0,N3585/G3585)</f>
        <v/>
      </c>
      <c r="P3585" s="6">
        <f>IF(M3585&gt;0,D3585,"")</f>
        <v/>
      </c>
      <c r="Q3585" s="9">
        <f>I3585+O3585</f>
        <v/>
      </c>
      <c r="R3585" s="7">
        <f>Q3585*G3585</f>
        <v/>
      </c>
      <c r="S3585" s="8">
        <f>IF($R$3597=0,0,R3585/$R$3597)</f>
        <v/>
      </c>
      <c r="T3585" s="8" t="n">
        <v>-0.008831745784689371</v>
      </c>
      <c r="U3585" s="8" t="n">
        <v>0.01218596084203161</v>
      </c>
      <c r="V3585" s="6" t="inlineStr">
        <is>
          <t>remained in weekly selection</t>
        </is>
      </c>
    </row>
    <row r="3586">
      <c r="A3586" s="6" t="inlineStr">
        <is>
          <t>DJ30</t>
        </is>
      </c>
      <c r="B3586" s="6" t="inlineStr">
        <is>
          <t>2025-03-21</t>
        </is>
      </c>
      <c r="C3586" s="6" t="inlineStr">
        <is>
          <t>DIA</t>
        </is>
      </c>
      <c r="D3586" s="6" t="inlineStr">
        <is>
          <t>MRK</t>
        </is>
      </c>
      <c r="E3586" s="6" t="inlineStr">
        <is>
          <t>MRK</t>
        </is>
      </c>
      <c r="F3586" s="6" t="inlineStr">
        <is>
          <t>-</t>
        </is>
      </c>
      <c r="G3586" s="7" t="n">
        <v>89.20470428466797</v>
      </c>
      <c r="H3586" s="6">
        <f>P3555</f>
        <v/>
      </c>
      <c r="I3586" s="9">
        <f>Q3555</f>
        <v/>
      </c>
      <c r="J3586" s="7">
        <f>I3586*G3586</f>
        <v/>
      </c>
      <c r="K3586" s="8">
        <f>IF($J$3597=0,0,J3586/$J$3597)</f>
        <v/>
      </c>
      <c r="L3586" s="6" t="inlineStr">
        <is>
          <t>REJECTED</t>
        </is>
      </c>
      <c r="M3586" s="8" t="n">
        <v>0</v>
      </c>
      <c r="N3586" s="7">
        <f>M3586*$J$3597-J3586</f>
        <v/>
      </c>
      <c r="O3586" s="9">
        <f>IF(G3586=0,0,N3586/G3586)</f>
        <v/>
      </c>
      <c r="P3586" s="6">
        <f>IF(M3586&gt;0,D3586,"")</f>
        <v/>
      </c>
      <c r="Q3586" s="9">
        <f>I3586+O3586</f>
        <v/>
      </c>
      <c r="R3586" s="7">
        <f>Q3586*G3586</f>
        <v/>
      </c>
      <c r="S3586" s="8">
        <f>IF($R$3597=0,0,R3586/$R$3597)</f>
        <v/>
      </c>
      <c r="T3586" s="8" t="n">
        <v>-0.008831745784689371</v>
      </c>
      <c r="U3586" s="8" t="n">
        <v>0.01218596084203161</v>
      </c>
      <c r="V3586" s="6" t="inlineStr">
        <is>
          <t>not selected</t>
        </is>
      </c>
    </row>
    <row r="3587">
      <c r="A3587" s="6" t="inlineStr">
        <is>
          <t>DJ30</t>
        </is>
      </c>
      <c r="B3587" s="6" t="inlineStr">
        <is>
          <t>2025-03-21</t>
        </is>
      </c>
      <c r="C3587" s="6" t="inlineStr">
        <is>
          <t>DIA</t>
        </is>
      </c>
      <c r="D3587" s="6" t="inlineStr">
        <is>
          <t>MSFT</t>
        </is>
      </c>
      <c r="E3587" s="6" t="inlineStr">
        <is>
          <t>MSFT</t>
        </is>
      </c>
      <c r="F3587" s="6" t="inlineStr">
        <is>
          <t>-</t>
        </is>
      </c>
      <c r="G3587" s="7" t="n">
        <v>387.4482421875</v>
      </c>
      <c r="H3587" s="6">
        <f>P3556</f>
        <v/>
      </c>
      <c r="I3587" s="9">
        <f>Q3556</f>
        <v/>
      </c>
      <c r="J3587" s="7">
        <f>I3587*G3587</f>
        <v/>
      </c>
      <c r="K3587" s="8">
        <f>IF($J$3597=0,0,J3587/$J$3597)</f>
        <v/>
      </c>
      <c r="L3587" s="6" t="inlineStr">
        <is>
          <t>REJECTED</t>
        </is>
      </c>
      <c r="M3587" s="8" t="n">
        <v>0</v>
      </c>
      <c r="N3587" s="7">
        <f>M3587*$J$3597-J3587</f>
        <v/>
      </c>
      <c r="O3587" s="9">
        <f>IF(G3587=0,0,N3587/G3587)</f>
        <v/>
      </c>
      <c r="P3587" s="6">
        <f>IF(M3587&gt;0,D3587,"")</f>
        <v/>
      </c>
      <c r="Q3587" s="9">
        <f>I3587+O3587</f>
        <v/>
      </c>
      <c r="R3587" s="7">
        <f>Q3587*G3587</f>
        <v/>
      </c>
      <c r="S3587" s="8">
        <f>IF($R$3597=0,0,R3587/$R$3597)</f>
        <v/>
      </c>
      <c r="T3587" s="8" t="n">
        <v>-0.008831745784689371</v>
      </c>
      <c r="U3587" s="8" t="n">
        <v>0.01218596084203161</v>
      </c>
      <c r="V3587" s="6" t="inlineStr">
        <is>
          <t>not selected</t>
        </is>
      </c>
    </row>
    <row r="3588">
      <c r="A3588" s="6" t="inlineStr">
        <is>
          <t>DJ30</t>
        </is>
      </c>
      <c r="B3588" s="6" t="inlineStr">
        <is>
          <t>2025-03-21</t>
        </is>
      </c>
      <c r="C3588" s="6" t="inlineStr">
        <is>
          <t>DIA</t>
        </is>
      </c>
      <c r="D3588" s="6" t="inlineStr">
        <is>
          <t>NKE</t>
        </is>
      </c>
      <c r="E3588" s="6" t="inlineStr">
        <is>
          <t>NKE</t>
        </is>
      </c>
      <c r="F3588" s="6" t="inlineStr">
        <is>
          <t>-</t>
        </is>
      </c>
      <c r="G3588" s="7" t="n">
        <v>65.68890380859375</v>
      </c>
      <c r="H3588" s="6">
        <f>P3557</f>
        <v/>
      </c>
      <c r="I3588" s="9">
        <f>Q3557</f>
        <v/>
      </c>
      <c r="J3588" s="7">
        <f>I3588*G3588</f>
        <v/>
      </c>
      <c r="K3588" s="8">
        <f>IF($J$3597=0,0,J3588/$J$3597)</f>
        <v/>
      </c>
      <c r="L3588" s="6" t="inlineStr">
        <is>
          <t>REJECTED</t>
        </is>
      </c>
      <c r="M3588" s="8" t="n">
        <v>0</v>
      </c>
      <c r="N3588" s="7">
        <f>M3588*$J$3597-J3588</f>
        <v/>
      </c>
      <c r="O3588" s="9">
        <f>IF(G3588=0,0,N3588/G3588)</f>
        <v/>
      </c>
      <c r="P3588" s="6">
        <f>IF(M3588&gt;0,D3588,"")</f>
        <v/>
      </c>
      <c r="Q3588" s="9">
        <f>I3588+O3588</f>
        <v/>
      </c>
      <c r="R3588" s="7">
        <f>Q3588*G3588</f>
        <v/>
      </c>
      <c r="S3588" s="8">
        <f>IF($R$3597=0,0,R3588/$R$3597)</f>
        <v/>
      </c>
      <c r="T3588" s="8" t="n">
        <v>-0.008831745784689371</v>
      </c>
      <c r="U3588" s="8" t="n">
        <v>0.01218596084203161</v>
      </c>
      <c r="V3588" s="6" t="inlineStr">
        <is>
          <t>not selected</t>
        </is>
      </c>
    </row>
    <row r="3589">
      <c r="A3589" s="6" t="inlineStr">
        <is>
          <t>DJ30</t>
        </is>
      </c>
      <c r="B3589" s="6" t="inlineStr">
        <is>
          <t>2025-03-21</t>
        </is>
      </c>
      <c r="C3589" s="6" t="inlineStr">
        <is>
          <t>DIA</t>
        </is>
      </c>
      <c r="D3589" s="6" t="inlineStr">
        <is>
          <t>NVDA</t>
        </is>
      </c>
      <c r="E3589" s="6" t="inlineStr">
        <is>
          <t>NVDA</t>
        </is>
      </c>
      <c r="F3589" s="6" t="inlineStr">
        <is>
          <t>-</t>
        </is>
      </c>
      <c r="G3589" s="7" t="n">
        <v>117.5352783203125</v>
      </c>
      <c r="H3589" s="6">
        <f>P3558</f>
        <v/>
      </c>
      <c r="I3589" s="9">
        <f>Q3558</f>
        <v/>
      </c>
      <c r="J3589" s="7">
        <f>I3589*G3589</f>
        <v/>
      </c>
      <c r="K3589" s="8">
        <f>IF($J$3597=0,0,J3589/$J$3597)</f>
        <v/>
      </c>
      <c r="L3589" s="6" t="inlineStr">
        <is>
          <t>SELECTED</t>
        </is>
      </c>
      <c r="M3589" s="8" t="n">
        <v>0.2</v>
      </c>
      <c r="N3589" s="7">
        <f>M3589*$J$3597-J3589</f>
        <v/>
      </c>
      <c r="O3589" s="9">
        <f>IF(G3589=0,0,N3589/G3589)</f>
        <v/>
      </c>
      <c r="P3589" s="6">
        <f>IF(M3589&gt;0,D3589,"")</f>
        <v/>
      </c>
      <c r="Q3589" s="9">
        <f>I3589+O3589</f>
        <v/>
      </c>
      <c r="R3589" s="7">
        <f>Q3589*G3589</f>
        <v/>
      </c>
      <c r="S3589" s="8">
        <f>IF($R$3597=0,0,R3589/$R$3597)</f>
        <v/>
      </c>
      <c r="T3589" s="8" t="n">
        <v>-0.008831745784689371</v>
      </c>
      <c r="U3589" s="8" t="n">
        <v>0.01218596084203161</v>
      </c>
      <c r="V3589" s="6" t="inlineStr">
        <is>
          <t>remained in weekly selection</t>
        </is>
      </c>
    </row>
    <row r="3590">
      <c r="A3590" s="6" t="inlineStr">
        <is>
          <t>DJ30</t>
        </is>
      </c>
      <c r="B3590" s="6" t="inlineStr">
        <is>
          <t>2025-03-21</t>
        </is>
      </c>
      <c r="C3590" s="6" t="inlineStr">
        <is>
          <t>DIA</t>
        </is>
      </c>
      <c r="D3590" s="6" t="inlineStr">
        <is>
          <t>PG</t>
        </is>
      </c>
      <c r="E3590" s="6" t="inlineStr">
        <is>
          <t>PG</t>
        </is>
      </c>
      <c r="F3590" s="6" t="inlineStr">
        <is>
          <t>-</t>
        </is>
      </c>
      <c r="G3590" s="7" t="n">
        <v>161.0252380371094</v>
      </c>
      <c r="H3590" s="6">
        <f>P3559</f>
        <v/>
      </c>
      <c r="I3590" s="9">
        <f>Q3559</f>
        <v/>
      </c>
      <c r="J3590" s="7">
        <f>I3590*G3590</f>
        <v/>
      </c>
      <c r="K3590" s="8">
        <f>IF($J$3597=0,0,J3590/$J$3597)</f>
        <v/>
      </c>
      <c r="L3590" s="6" t="inlineStr">
        <is>
          <t>REJECTED</t>
        </is>
      </c>
      <c r="M3590" s="8" t="n">
        <v>0</v>
      </c>
      <c r="N3590" s="7">
        <f>M3590*$J$3597-J3590</f>
        <v/>
      </c>
      <c r="O3590" s="9">
        <f>IF(G3590=0,0,N3590/G3590)</f>
        <v/>
      </c>
      <c r="P3590" s="6">
        <f>IF(M3590&gt;0,D3590,"")</f>
        <v/>
      </c>
      <c r="Q3590" s="9">
        <f>I3590+O3590</f>
        <v/>
      </c>
      <c r="R3590" s="7">
        <f>Q3590*G3590</f>
        <v/>
      </c>
      <c r="S3590" s="8">
        <f>IF($R$3597=0,0,R3590/$R$3597)</f>
        <v/>
      </c>
      <c r="T3590" s="8" t="n">
        <v>-0.008831745784689371</v>
      </c>
      <c r="U3590" s="8" t="n">
        <v>0.01218596084203161</v>
      </c>
      <c r="V3590" s="6" t="inlineStr">
        <is>
          <t>not selected</t>
        </is>
      </c>
    </row>
    <row r="3591">
      <c r="A3591" s="6" t="inlineStr">
        <is>
          <t>DJ30</t>
        </is>
      </c>
      <c r="B3591" s="6" t="inlineStr">
        <is>
          <t>2025-03-21</t>
        </is>
      </c>
      <c r="C3591" s="6" t="inlineStr">
        <is>
          <t>DIA</t>
        </is>
      </c>
      <c r="D3591" s="6" t="inlineStr">
        <is>
          <t>SHW</t>
        </is>
      </c>
      <c r="E3591" s="6" t="inlineStr">
        <is>
          <t>SHW</t>
        </is>
      </c>
      <c r="F3591" s="6" t="inlineStr">
        <is>
          <t>-</t>
        </is>
      </c>
      <c r="G3591" s="7" t="n">
        <v>330.5916442871094</v>
      </c>
      <c r="H3591" s="6">
        <f>P3560</f>
        <v/>
      </c>
      <c r="I3591" s="9">
        <f>Q3560</f>
        <v/>
      </c>
      <c r="J3591" s="7">
        <f>I3591*G3591</f>
        <v/>
      </c>
      <c r="K3591" s="8">
        <f>IF($J$3597=0,0,J3591/$J$3597)</f>
        <v/>
      </c>
      <c r="L3591" s="6" t="inlineStr">
        <is>
          <t>WATCHLIST</t>
        </is>
      </c>
      <c r="M3591" s="8" t="n">
        <v>0</v>
      </c>
      <c r="N3591" s="7">
        <f>M3591*$J$3597-J3591</f>
        <v/>
      </c>
      <c r="O3591" s="9">
        <f>IF(G3591=0,0,N3591/G3591)</f>
        <v/>
      </c>
      <c r="P3591" s="6">
        <f>IF(M3591&gt;0,D3591,"")</f>
        <v/>
      </c>
      <c r="Q3591" s="9">
        <f>I3591+O3591</f>
        <v/>
      </c>
      <c r="R3591" s="7">
        <f>Q3591*G3591</f>
        <v/>
      </c>
      <c r="S3591" s="8">
        <f>IF($R$3597=0,0,R3591/$R$3597)</f>
        <v/>
      </c>
      <c r="T3591" s="8" t="n">
        <v>-0.008831745784689371</v>
      </c>
      <c r="U3591" s="8" t="n">
        <v>0.01218596084203161</v>
      </c>
      <c r="V3591" s="6" t="inlineStr">
        <is>
          <t>not selected</t>
        </is>
      </c>
    </row>
    <row r="3592">
      <c r="A3592" s="6" t="inlineStr">
        <is>
          <t>DJ30</t>
        </is>
      </c>
      <c r="B3592" s="6" t="inlineStr">
        <is>
          <t>2025-03-21</t>
        </is>
      </c>
      <c r="C3592" s="6" t="inlineStr">
        <is>
          <t>DIA</t>
        </is>
      </c>
      <c r="D3592" s="6" t="inlineStr">
        <is>
          <t>TRV</t>
        </is>
      </c>
      <c r="E3592" s="6" t="inlineStr">
        <is>
          <t>TRV</t>
        </is>
      </c>
      <c r="F3592" s="6" t="inlineStr">
        <is>
          <t>-</t>
        </is>
      </c>
      <c r="G3592" s="7" t="n">
        <v>251.642105102539</v>
      </c>
      <c r="H3592" s="6">
        <f>P3561</f>
        <v/>
      </c>
      <c r="I3592" s="9">
        <f>Q3561</f>
        <v/>
      </c>
      <c r="J3592" s="7">
        <f>I3592*G3592</f>
        <v/>
      </c>
      <c r="K3592" s="8">
        <f>IF($J$3597=0,0,J3592/$J$3597)</f>
        <v/>
      </c>
      <c r="L3592" s="6" t="inlineStr">
        <is>
          <t>WATCHLIST</t>
        </is>
      </c>
      <c r="M3592" s="8" t="n">
        <v>0</v>
      </c>
      <c r="N3592" s="7">
        <f>M3592*$J$3597-J3592</f>
        <v/>
      </c>
      <c r="O3592" s="9">
        <f>IF(G3592=0,0,N3592/G3592)</f>
        <v/>
      </c>
      <c r="P3592" s="6">
        <f>IF(M3592&gt;0,D3592,"")</f>
        <v/>
      </c>
      <c r="Q3592" s="9">
        <f>I3592+O3592</f>
        <v/>
      </c>
      <c r="R3592" s="7">
        <f>Q3592*G3592</f>
        <v/>
      </c>
      <c r="S3592" s="8">
        <f>IF($R$3597=0,0,R3592/$R$3597)</f>
        <v/>
      </c>
      <c r="T3592" s="8" t="n">
        <v>-0.008831745784689371</v>
      </c>
      <c r="U3592" s="8" t="n">
        <v>0.01218596084203161</v>
      </c>
      <c r="V3592" s="6" t="inlineStr">
        <is>
          <t>not selected</t>
        </is>
      </c>
    </row>
    <row r="3593">
      <c r="A3593" s="6" t="inlineStr">
        <is>
          <t>DJ30</t>
        </is>
      </c>
      <c r="B3593" s="6" t="inlineStr">
        <is>
          <t>2025-03-21</t>
        </is>
      </c>
      <c r="C3593" s="6" t="inlineStr">
        <is>
          <t>DIA</t>
        </is>
      </c>
      <c r="D3593" s="6" t="inlineStr">
        <is>
          <t>UNH</t>
        </is>
      </c>
      <c r="E3593" s="6" t="inlineStr">
        <is>
          <t>UNH</t>
        </is>
      </c>
      <c r="F3593" s="6" t="inlineStr">
        <is>
          <t>-</t>
        </is>
      </c>
      <c r="G3593" s="7" t="n">
        <v>499.8206787109375</v>
      </c>
      <c r="H3593" s="6">
        <f>P3562</f>
        <v/>
      </c>
      <c r="I3593" s="9">
        <f>Q3562</f>
        <v/>
      </c>
      <c r="J3593" s="7">
        <f>I3593*G3593</f>
        <v/>
      </c>
      <c r="K3593" s="8">
        <f>IF($J$3597=0,0,J3593/$J$3597)</f>
        <v/>
      </c>
      <c r="L3593" s="6" t="inlineStr">
        <is>
          <t>REJECTED</t>
        </is>
      </c>
      <c r="M3593" s="8" t="n">
        <v>0</v>
      </c>
      <c r="N3593" s="7">
        <f>M3593*$J$3597-J3593</f>
        <v/>
      </c>
      <c r="O3593" s="9">
        <f>IF(G3593=0,0,N3593/G3593)</f>
        <v/>
      </c>
      <c r="P3593" s="6">
        <f>IF(M3593&gt;0,D3593,"")</f>
        <v/>
      </c>
      <c r="Q3593" s="9">
        <f>I3593+O3593</f>
        <v/>
      </c>
      <c r="R3593" s="7">
        <f>Q3593*G3593</f>
        <v/>
      </c>
      <c r="S3593" s="8">
        <f>IF($R$3597=0,0,R3593/$R$3597)</f>
        <v/>
      </c>
      <c r="T3593" s="8" t="n">
        <v>-0.008831745784689371</v>
      </c>
      <c r="U3593" s="8" t="n">
        <v>0.01218596084203161</v>
      </c>
      <c r="V3593" s="6" t="inlineStr">
        <is>
          <t>not selected</t>
        </is>
      </c>
    </row>
    <row r="3594">
      <c r="A3594" s="6" t="inlineStr">
        <is>
          <t>DJ30</t>
        </is>
      </c>
      <c r="B3594" s="6" t="inlineStr">
        <is>
          <t>2025-03-21</t>
        </is>
      </c>
      <c r="C3594" s="6" t="inlineStr">
        <is>
          <t>DIA</t>
        </is>
      </c>
      <c r="D3594" s="6" t="inlineStr">
        <is>
          <t>V</t>
        </is>
      </c>
      <c r="E3594" s="6" t="inlineStr">
        <is>
          <t>V</t>
        </is>
      </c>
      <c r="F3594" s="6" t="inlineStr">
        <is>
          <t>-</t>
        </is>
      </c>
      <c r="G3594" s="7" t="n">
        <v>332.4773254394531</v>
      </c>
      <c r="H3594" s="6">
        <f>P3563</f>
        <v/>
      </c>
      <c r="I3594" s="9">
        <f>Q3563</f>
        <v/>
      </c>
      <c r="J3594" s="7">
        <f>I3594*G3594</f>
        <v/>
      </c>
      <c r="K3594" s="8">
        <f>IF($J$3597=0,0,J3594/$J$3597)</f>
        <v/>
      </c>
      <c r="L3594" s="6" t="inlineStr">
        <is>
          <t>WATCHLIST</t>
        </is>
      </c>
      <c r="M3594" s="8" t="n">
        <v>0</v>
      </c>
      <c r="N3594" s="7">
        <f>M3594*$J$3597-J3594</f>
        <v/>
      </c>
      <c r="O3594" s="9">
        <f>IF(G3594=0,0,N3594/G3594)</f>
        <v/>
      </c>
      <c r="P3594" s="6">
        <f>IF(M3594&gt;0,D3594,"")</f>
        <v/>
      </c>
      <c r="Q3594" s="9">
        <f>I3594+O3594</f>
        <v/>
      </c>
      <c r="R3594" s="7">
        <f>Q3594*G3594</f>
        <v/>
      </c>
      <c r="S3594" s="8">
        <f>IF($R$3597=0,0,R3594/$R$3597)</f>
        <v/>
      </c>
      <c r="T3594" s="8" t="n">
        <v>-0.008831745784689371</v>
      </c>
      <c r="U3594" s="8" t="n">
        <v>0.01218596084203161</v>
      </c>
      <c r="V3594" s="6" t="inlineStr">
        <is>
          <t>not selected</t>
        </is>
      </c>
    </row>
    <row r="3595">
      <c r="A3595" s="6" t="inlineStr">
        <is>
          <t>DJ30</t>
        </is>
      </c>
      <c r="B3595" s="6" t="inlineStr">
        <is>
          <t>2025-03-21</t>
        </is>
      </c>
      <c r="C3595" s="6" t="inlineStr">
        <is>
          <t>DIA</t>
        </is>
      </c>
      <c r="D3595" s="6" t="inlineStr">
        <is>
          <t>VZ</t>
        </is>
      </c>
      <c r="E3595" s="6" t="inlineStr">
        <is>
          <t>VZ</t>
        </is>
      </c>
      <c r="F3595" s="6" t="inlineStr">
        <is>
          <t>-</t>
        </is>
      </c>
      <c r="G3595" s="7" t="n">
        <v>40.56132125854492</v>
      </c>
      <c r="H3595" s="6">
        <f>P3564</f>
        <v/>
      </c>
      <c r="I3595" s="9">
        <f>Q3564</f>
        <v/>
      </c>
      <c r="J3595" s="7">
        <f>I3595*G3595</f>
        <v/>
      </c>
      <c r="K3595" s="8">
        <f>IF($J$3597=0,0,J3595/$J$3597)</f>
        <v/>
      </c>
      <c r="L3595" s="6" t="inlineStr">
        <is>
          <t>WATCHLIST</t>
        </is>
      </c>
      <c r="M3595" s="8" t="n">
        <v>0</v>
      </c>
      <c r="N3595" s="7">
        <f>M3595*$J$3597-J3595</f>
        <v/>
      </c>
      <c r="O3595" s="9">
        <f>IF(G3595=0,0,N3595/G3595)</f>
        <v/>
      </c>
      <c r="P3595" s="6">
        <f>IF(M3595&gt;0,D3595,"")</f>
        <v/>
      </c>
      <c r="Q3595" s="9">
        <f>I3595+O3595</f>
        <v/>
      </c>
      <c r="R3595" s="7">
        <f>Q3595*G3595</f>
        <v/>
      </c>
      <c r="S3595" s="8">
        <f>IF($R$3597=0,0,R3595/$R$3597)</f>
        <v/>
      </c>
      <c r="T3595" s="8" t="n">
        <v>-0.008831745784689371</v>
      </c>
      <c r="U3595" s="8" t="n">
        <v>0.01218596084203161</v>
      </c>
      <c r="V3595" s="6" t="inlineStr">
        <is>
          <t>not selected</t>
        </is>
      </c>
    </row>
    <row r="3596">
      <c r="A3596" s="6" t="inlineStr">
        <is>
          <t>DJ30</t>
        </is>
      </c>
      <c r="B3596" s="6" t="inlineStr">
        <is>
          <t>2025-03-21</t>
        </is>
      </c>
      <c r="C3596" s="6" t="inlineStr">
        <is>
          <t>DIA</t>
        </is>
      </c>
      <c r="D3596" s="6" t="inlineStr">
        <is>
          <t>WMT</t>
        </is>
      </c>
      <c r="E3596" s="6" t="inlineStr">
        <is>
          <t>WMT</t>
        </is>
      </c>
      <c r="F3596" s="6" t="inlineStr">
        <is>
          <t>-</t>
        </is>
      </c>
      <c r="G3596" s="7" t="n">
        <v>85.06143951416016</v>
      </c>
      <c r="H3596" s="6">
        <f>P3565</f>
        <v/>
      </c>
      <c r="I3596" s="9">
        <f>Q3565</f>
        <v/>
      </c>
      <c r="J3596" s="7">
        <f>I3596*G3596</f>
        <v/>
      </c>
      <c r="K3596" s="8">
        <f>IF($J$3597=0,0,J3596/$J$3597)</f>
        <v/>
      </c>
      <c r="L3596" s="6" t="inlineStr">
        <is>
          <t>SELECTED</t>
        </is>
      </c>
      <c r="M3596" s="8" t="n">
        <v>0.2</v>
      </c>
      <c r="N3596" s="7">
        <f>M3596*$J$3597-J3596</f>
        <v/>
      </c>
      <c r="O3596" s="9">
        <f>IF(G3596=0,0,N3596/G3596)</f>
        <v/>
      </c>
      <c r="P3596" s="6">
        <f>IF(M3596&gt;0,D3596,"")</f>
        <v/>
      </c>
      <c r="Q3596" s="9">
        <f>I3596+O3596</f>
        <v/>
      </c>
      <c r="R3596" s="7">
        <f>Q3596*G3596</f>
        <v/>
      </c>
      <c r="S3596" s="8">
        <f>IF($R$3597=0,0,R3596/$R$3597)</f>
        <v/>
      </c>
      <c r="T3596" s="8" t="n">
        <v>-0.008831745784689371</v>
      </c>
      <c r="U3596" s="8" t="n">
        <v>0.01218596084203161</v>
      </c>
      <c r="V3596" s="6" t="inlineStr">
        <is>
          <t>remained in weekly selection</t>
        </is>
      </c>
    </row>
    <row r="3597">
      <c r="A3597" s="10" t="inlineStr">
        <is>
          <t>DJ30</t>
        </is>
      </c>
      <c r="B3597" s="10" t="inlineStr">
        <is>
          <t>2025-03-21</t>
        </is>
      </c>
      <c r="C3597" s="10" t="inlineStr">
        <is>
          <t>DIA</t>
        </is>
      </c>
      <c r="D3597" s="10" t="inlineStr">
        <is>
          <t>Tot Portfolio</t>
        </is>
      </c>
      <c r="E3597" s="10" t="inlineStr"/>
      <c r="F3597" s="10" t="inlineStr"/>
      <c r="G3597" s="11" t="inlineStr"/>
      <c r="H3597" s="10" t="inlineStr"/>
      <c r="I3597" s="12" t="inlineStr"/>
      <c r="J3597" s="11">
        <f>SUM(J3567:J3596)</f>
        <v/>
      </c>
      <c r="K3597" s="13">
        <f>SUM(K3567:K3596)</f>
        <v/>
      </c>
      <c r="L3597" s="10" t="inlineStr">
        <is>
          <t>TOTAL</t>
        </is>
      </c>
      <c r="M3597" s="13">
        <f>SUM(M3567:M3596)</f>
        <v/>
      </c>
      <c r="N3597" s="11">
        <f>SUM(N3567:N3596)</f>
        <v/>
      </c>
      <c r="O3597" s="12">
        <f>SUM(O3567:O3596)</f>
        <v/>
      </c>
      <c r="P3597" s="10" t="inlineStr"/>
      <c r="Q3597" s="12" t="inlineStr"/>
      <c r="R3597" s="11">
        <f>SUM(R3567:R3596)</f>
        <v/>
      </c>
      <c r="S3597" s="13">
        <f>SUM(S3567:S3596)</f>
        <v/>
      </c>
      <c r="T3597" s="13" t="n">
        <v>-0.008831745784689371</v>
      </c>
      <c r="U3597" s="13" t="n">
        <v>0.01218596084203161</v>
      </c>
      <c r="V3597" s="10" t="inlineStr"/>
    </row>
    <row r="3598">
      <c r="A3598" s="6" t="inlineStr">
        <is>
          <t>DJ30</t>
        </is>
      </c>
      <c r="B3598" s="6" t="inlineStr">
        <is>
          <t>2025-03-28</t>
        </is>
      </c>
      <c r="C3598" s="6" t="inlineStr">
        <is>
          <t>DIA</t>
        </is>
      </c>
      <c r="D3598" s="6" t="inlineStr">
        <is>
          <t>AAPL</t>
        </is>
      </c>
      <c r="E3598" s="6" t="inlineStr">
        <is>
          <t>AAPL</t>
        </is>
      </c>
      <c r="F3598" s="6" t="inlineStr">
        <is>
          <t>-</t>
        </is>
      </c>
      <c r="G3598" s="7" t="n">
        <v>216.7547149658203</v>
      </c>
      <c r="H3598" s="6">
        <f>P3567</f>
        <v/>
      </c>
      <c r="I3598" s="9">
        <f>Q3567</f>
        <v/>
      </c>
      <c r="J3598" s="7">
        <f>I3598*G3598</f>
        <v/>
      </c>
      <c r="K3598" s="8">
        <f>IF($J$3628=0,0,J3598/$J$3628)</f>
        <v/>
      </c>
      <c r="L3598" s="6" t="inlineStr">
        <is>
          <t>WATCHLIST</t>
        </is>
      </c>
      <c r="M3598" s="8" t="n">
        <v>0</v>
      </c>
      <c r="N3598" s="7">
        <f>M3598*$J$3628-J3598</f>
        <v/>
      </c>
      <c r="O3598" s="9">
        <f>IF(G3598=0,0,N3598/G3598)</f>
        <v/>
      </c>
      <c r="P3598" s="6">
        <f>IF(M3598&gt;0,D3598,"")</f>
        <v/>
      </c>
      <c r="Q3598" s="9">
        <f>I3598+O3598</f>
        <v/>
      </c>
      <c r="R3598" s="7">
        <f>Q3598*G3598</f>
        <v/>
      </c>
      <c r="S3598" s="8">
        <f>IF($R$3628=0,0,R3598/$R$3628)</f>
        <v/>
      </c>
      <c r="T3598" s="8" t="n">
        <v>-0.02135393310288547</v>
      </c>
      <c r="U3598" s="8" t="n">
        <v>-0.009532519344268686</v>
      </c>
      <c r="V3598" s="6" t="inlineStr">
        <is>
          <t>not selected</t>
        </is>
      </c>
    </row>
    <row r="3599">
      <c r="A3599" s="6" t="inlineStr">
        <is>
          <t>DJ30</t>
        </is>
      </c>
      <c r="B3599" s="6" t="inlineStr">
        <is>
          <t>2025-03-28</t>
        </is>
      </c>
      <c r="C3599" s="6" t="inlineStr">
        <is>
          <t>DIA</t>
        </is>
      </c>
      <c r="D3599" s="6" t="inlineStr">
        <is>
          <t>AMGN</t>
        </is>
      </c>
      <c r="E3599" s="6" t="inlineStr">
        <is>
          <t>AMGN</t>
        </is>
      </c>
      <c r="F3599" s="6" t="inlineStr">
        <is>
          <t>-</t>
        </is>
      </c>
      <c r="G3599" s="7" t="n">
        <v>295.382568359375</v>
      </c>
      <c r="H3599" s="6">
        <f>P3568</f>
        <v/>
      </c>
      <c r="I3599" s="9">
        <f>Q3568</f>
        <v/>
      </c>
      <c r="J3599" s="7">
        <f>I3599*G3599</f>
        <v/>
      </c>
      <c r="K3599" s="8">
        <f>IF($J$3628=0,0,J3599/$J$3628)</f>
        <v/>
      </c>
      <c r="L3599" s="6" t="inlineStr">
        <is>
          <t>REJECTED</t>
        </is>
      </c>
      <c r="M3599" s="8" t="n">
        <v>0</v>
      </c>
      <c r="N3599" s="7">
        <f>M3599*$J$3628-J3599</f>
        <v/>
      </c>
      <c r="O3599" s="9">
        <f>IF(G3599=0,0,N3599/G3599)</f>
        <v/>
      </c>
      <c r="P3599" s="6">
        <f>IF(M3599&gt;0,D3599,"")</f>
        <v/>
      </c>
      <c r="Q3599" s="9">
        <f>I3599+O3599</f>
        <v/>
      </c>
      <c r="R3599" s="7">
        <f>Q3599*G3599</f>
        <v/>
      </c>
      <c r="S3599" s="8">
        <f>IF($R$3628=0,0,R3599/$R$3628)</f>
        <v/>
      </c>
      <c r="T3599" s="8" t="n">
        <v>-0.02135393310288547</v>
      </c>
      <c r="U3599" s="8" t="n">
        <v>-0.009532519344268686</v>
      </c>
      <c r="V3599" s="6" t="inlineStr">
        <is>
          <t>not selected</t>
        </is>
      </c>
    </row>
    <row r="3600">
      <c r="A3600" s="6" t="inlineStr">
        <is>
          <t>DJ30</t>
        </is>
      </c>
      <c r="B3600" s="6" t="inlineStr">
        <is>
          <t>2025-03-28</t>
        </is>
      </c>
      <c r="C3600" s="6" t="inlineStr">
        <is>
          <t>DIA</t>
        </is>
      </c>
      <c r="D3600" s="6" t="inlineStr">
        <is>
          <t>AMZN</t>
        </is>
      </c>
      <c r="E3600" s="6" t="inlineStr">
        <is>
          <t>AMZN</t>
        </is>
      </c>
      <c r="F3600" s="6" t="inlineStr">
        <is>
          <t>-</t>
        </is>
      </c>
      <c r="G3600" s="7" t="n">
        <v>192.7200012207031</v>
      </c>
      <c r="H3600" s="6">
        <f>P3569</f>
        <v/>
      </c>
      <c r="I3600" s="9">
        <f>Q3569</f>
        <v/>
      </c>
      <c r="J3600" s="7">
        <f>I3600*G3600</f>
        <v/>
      </c>
      <c r="K3600" s="8">
        <f>IF($J$3628=0,0,J3600/$J$3628)</f>
        <v/>
      </c>
      <c r="L3600" s="6" t="inlineStr">
        <is>
          <t>WATCHLIST</t>
        </is>
      </c>
      <c r="M3600" s="8" t="n">
        <v>0</v>
      </c>
      <c r="N3600" s="7">
        <f>M3600*$J$3628-J3600</f>
        <v/>
      </c>
      <c r="O3600" s="9">
        <f>IF(G3600=0,0,N3600/G3600)</f>
        <v/>
      </c>
      <c r="P3600" s="6">
        <f>IF(M3600&gt;0,D3600,"")</f>
        <v/>
      </c>
      <c r="Q3600" s="9">
        <f>I3600+O3600</f>
        <v/>
      </c>
      <c r="R3600" s="7">
        <f>Q3600*G3600</f>
        <v/>
      </c>
      <c r="S3600" s="8">
        <f>IF($R$3628=0,0,R3600/$R$3628)</f>
        <v/>
      </c>
      <c r="T3600" s="8" t="n">
        <v>-0.02135393310288547</v>
      </c>
      <c r="U3600" s="8" t="n">
        <v>-0.009532519344268686</v>
      </c>
      <c r="V3600" s="6" t="inlineStr">
        <is>
          <t>not selected</t>
        </is>
      </c>
    </row>
    <row r="3601">
      <c r="A3601" s="6" t="inlineStr">
        <is>
          <t>DJ30</t>
        </is>
      </c>
      <c r="B3601" s="6" t="inlineStr">
        <is>
          <t>2025-03-28</t>
        </is>
      </c>
      <c r="C3601" s="6" t="inlineStr">
        <is>
          <t>DIA</t>
        </is>
      </c>
      <c r="D3601" s="6" t="inlineStr">
        <is>
          <t>AXP</t>
        </is>
      </c>
      <c r="E3601" s="6" t="inlineStr">
        <is>
          <t>AXP</t>
        </is>
      </c>
      <c r="F3601" s="6" t="inlineStr">
        <is>
          <t>-</t>
        </is>
      </c>
      <c r="G3601" s="7" t="n">
        <v>261.8567810058594</v>
      </c>
      <c r="H3601" s="6">
        <f>P3570</f>
        <v/>
      </c>
      <c r="I3601" s="9">
        <f>Q3570</f>
        <v/>
      </c>
      <c r="J3601" s="7">
        <f>I3601*G3601</f>
        <v/>
      </c>
      <c r="K3601" s="8">
        <f>IF($J$3628=0,0,J3601/$J$3628)</f>
        <v/>
      </c>
      <c r="L3601" s="6" t="inlineStr">
        <is>
          <t>WATCHLIST</t>
        </is>
      </c>
      <c r="M3601" s="8" t="n">
        <v>0</v>
      </c>
      <c r="N3601" s="7">
        <f>M3601*$J$3628-J3601</f>
        <v/>
      </c>
      <c r="O3601" s="9">
        <f>IF(G3601=0,0,N3601/G3601)</f>
        <v/>
      </c>
      <c r="P3601" s="6">
        <f>IF(M3601&gt;0,D3601,"")</f>
        <v/>
      </c>
      <c r="Q3601" s="9">
        <f>I3601+O3601</f>
        <v/>
      </c>
      <c r="R3601" s="7">
        <f>Q3601*G3601</f>
        <v/>
      </c>
      <c r="S3601" s="8">
        <f>IF($R$3628=0,0,R3601/$R$3628)</f>
        <v/>
      </c>
      <c r="T3601" s="8" t="n">
        <v>-0.02135393310288547</v>
      </c>
      <c r="U3601" s="8" t="n">
        <v>-0.009532519344268686</v>
      </c>
      <c r="V3601" s="6" t="inlineStr">
        <is>
          <t>not selected</t>
        </is>
      </c>
    </row>
    <row r="3602">
      <c r="A3602" s="6" t="inlineStr">
        <is>
          <t>DJ30</t>
        </is>
      </c>
      <c r="B3602" s="6" t="inlineStr">
        <is>
          <t>2025-03-28</t>
        </is>
      </c>
      <c r="C3602" s="6" t="inlineStr">
        <is>
          <t>DIA</t>
        </is>
      </c>
      <c r="D3602" s="6" t="inlineStr">
        <is>
          <t>BA</t>
        </is>
      </c>
      <c r="E3602" s="6" t="inlineStr">
        <is>
          <t>BA</t>
        </is>
      </c>
      <c r="F3602" s="6" t="inlineStr">
        <is>
          <t>-</t>
        </is>
      </c>
      <c r="G3602" s="7" t="n">
        <v>173.3099975585938</v>
      </c>
      <c r="H3602" s="6">
        <f>P3571</f>
        <v/>
      </c>
      <c r="I3602" s="9">
        <f>Q3571</f>
        <v/>
      </c>
      <c r="J3602" s="7">
        <f>I3602*G3602</f>
        <v/>
      </c>
      <c r="K3602" s="8">
        <f>IF($J$3628=0,0,J3602/$J$3628)</f>
        <v/>
      </c>
      <c r="L3602" s="6" t="inlineStr">
        <is>
          <t>REJECTED</t>
        </is>
      </c>
      <c r="M3602" s="8" t="n">
        <v>0</v>
      </c>
      <c r="N3602" s="7">
        <f>M3602*$J$3628-J3602</f>
        <v/>
      </c>
      <c r="O3602" s="9">
        <f>IF(G3602=0,0,N3602/G3602)</f>
        <v/>
      </c>
      <c r="P3602" s="6">
        <f>IF(M3602&gt;0,D3602,"")</f>
        <v/>
      </c>
      <c r="Q3602" s="9">
        <f>I3602+O3602</f>
        <v/>
      </c>
      <c r="R3602" s="7">
        <f>Q3602*G3602</f>
        <v/>
      </c>
      <c r="S3602" s="8">
        <f>IF($R$3628=0,0,R3602/$R$3628)</f>
        <v/>
      </c>
      <c r="T3602" s="8" t="n">
        <v>-0.02135393310288547</v>
      </c>
      <c r="U3602" s="8" t="n">
        <v>-0.009532519344268686</v>
      </c>
      <c r="V3602" s="6" t="inlineStr">
        <is>
          <t>not selected</t>
        </is>
      </c>
    </row>
    <row r="3603">
      <c r="A3603" s="6" t="inlineStr">
        <is>
          <t>DJ30</t>
        </is>
      </c>
      <c r="B3603" s="6" t="inlineStr">
        <is>
          <t>2025-03-28</t>
        </is>
      </c>
      <c r="C3603" s="6" t="inlineStr">
        <is>
          <t>DIA</t>
        </is>
      </c>
      <c r="D3603" s="6" t="inlineStr">
        <is>
          <t>CAT</t>
        </is>
      </c>
      <c r="E3603" s="6" t="inlineStr">
        <is>
          <t>CAT</t>
        </is>
      </c>
      <c r="F3603" s="6" t="inlineStr">
        <is>
          <t>-</t>
        </is>
      </c>
      <c r="G3603" s="7" t="n">
        <v>324.59716796875</v>
      </c>
      <c r="H3603" s="6">
        <f>P3572</f>
        <v/>
      </c>
      <c r="I3603" s="9">
        <f>Q3572</f>
        <v/>
      </c>
      <c r="J3603" s="7">
        <f>I3603*G3603</f>
        <v/>
      </c>
      <c r="K3603" s="8">
        <f>IF($J$3628=0,0,J3603/$J$3628)</f>
        <v/>
      </c>
      <c r="L3603" s="6" t="inlineStr">
        <is>
          <t>REJECTED</t>
        </is>
      </c>
      <c r="M3603" s="8" t="n">
        <v>0</v>
      </c>
      <c r="N3603" s="7">
        <f>M3603*$J$3628-J3603</f>
        <v/>
      </c>
      <c r="O3603" s="9">
        <f>IF(G3603=0,0,N3603/G3603)</f>
        <v/>
      </c>
      <c r="P3603" s="6">
        <f>IF(M3603&gt;0,D3603,"")</f>
        <v/>
      </c>
      <c r="Q3603" s="9">
        <f>I3603+O3603</f>
        <v/>
      </c>
      <c r="R3603" s="7">
        <f>Q3603*G3603</f>
        <v/>
      </c>
      <c r="S3603" s="8">
        <f>IF($R$3628=0,0,R3603/$R$3628)</f>
        <v/>
      </c>
      <c r="T3603" s="8" t="n">
        <v>-0.02135393310288547</v>
      </c>
      <c r="U3603" s="8" t="n">
        <v>-0.009532519344268686</v>
      </c>
      <c r="V3603" s="6" t="inlineStr">
        <is>
          <t>not selected</t>
        </is>
      </c>
    </row>
    <row r="3604">
      <c r="A3604" s="6" t="inlineStr">
        <is>
          <t>DJ30</t>
        </is>
      </c>
      <c r="B3604" s="6" t="inlineStr">
        <is>
          <t>2025-03-28</t>
        </is>
      </c>
      <c r="C3604" s="6" t="inlineStr">
        <is>
          <t>DIA</t>
        </is>
      </c>
      <c r="D3604" s="6" t="inlineStr">
        <is>
          <t>CRM</t>
        </is>
      </c>
      <c r="E3604" s="6" t="inlineStr">
        <is>
          <t>CRM</t>
        </is>
      </c>
      <c r="F3604" s="6" t="inlineStr">
        <is>
          <t>-</t>
        </is>
      </c>
      <c r="G3604" s="7" t="n">
        <v>266.861083984375</v>
      </c>
      <c r="H3604" s="6">
        <f>P3573</f>
        <v/>
      </c>
      <c r="I3604" s="9">
        <f>Q3573</f>
        <v/>
      </c>
      <c r="J3604" s="7">
        <f>I3604*G3604</f>
        <v/>
      </c>
      <c r="K3604" s="8">
        <f>IF($J$3628=0,0,J3604/$J$3628)</f>
        <v/>
      </c>
      <c r="L3604" s="6" t="inlineStr">
        <is>
          <t>WATCHLIST</t>
        </is>
      </c>
      <c r="M3604" s="8" t="n">
        <v>0</v>
      </c>
      <c r="N3604" s="7">
        <f>M3604*$J$3628-J3604</f>
        <v/>
      </c>
      <c r="O3604" s="9">
        <f>IF(G3604=0,0,N3604/G3604)</f>
        <v/>
      </c>
      <c r="P3604" s="6">
        <f>IF(M3604&gt;0,D3604,"")</f>
        <v/>
      </c>
      <c r="Q3604" s="9">
        <f>I3604+O3604</f>
        <v/>
      </c>
      <c r="R3604" s="7">
        <f>Q3604*G3604</f>
        <v/>
      </c>
      <c r="S3604" s="8">
        <f>IF($R$3628=0,0,R3604/$R$3628)</f>
        <v/>
      </c>
      <c r="T3604" s="8" t="n">
        <v>-0.02135393310288547</v>
      </c>
      <c r="U3604" s="8" t="n">
        <v>-0.009532519344268686</v>
      </c>
      <c r="V3604" s="6" t="inlineStr">
        <is>
          <t>not selected</t>
        </is>
      </c>
    </row>
    <row r="3605">
      <c r="A3605" s="6" t="inlineStr">
        <is>
          <t>DJ30</t>
        </is>
      </c>
      <c r="B3605" s="6" t="inlineStr">
        <is>
          <t>2025-03-28</t>
        </is>
      </c>
      <c r="C3605" s="6" t="inlineStr">
        <is>
          <t>DIA</t>
        </is>
      </c>
      <c r="D3605" s="6" t="inlineStr">
        <is>
          <t>CSCO</t>
        </is>
      </c>
      <c r="E3605" s="6" t="inlineStr">
        <is>
          <t>CSCO</t>
        </is>
      </c>
      <c r="F3605" s="6" t="inlineStr">
        <is>
          <t>-</t>
        </is>
      </c>
      <c r="G3605" s="7" t="n">
        <v>59.09613037109375</v>
      </c>
      <c r="H3605" s="6">
        <f>P3574</f>
        <v/>
      </c>
      <c r="I3605" s="9">
        <f>Q3574</f>
        <v/>
      </c>
      <c r="J3605" s="7">
        <f>I3605*G3605</f>
        <v/>
      </c>
      <c r="K3605" s="8">
        <f>IF($J$3628=0,0,J3605/$J$3628)</f>
        <v/>
      </c>
      <c r="L3605" s="6" t="inlineStr">
        <is>
          <t>SELECTED</t>
        </is>
      </c>
      <c r="M3605" s="8" t="n">
        <v>0.2</v>
      </c>
      <c r="N3605" s="7">
        <f>M3605*$J$3628-J3605</f>
        <v/>
      </c>
      <c r="O3605" s="9">
        <f>IF(G3605=0,0,N3605/G3605)</f>
        <v/>
      </c>
      <c r="P3605" s="6">
        <f>IF(M3605&gt;0,D3605,"")</f>
        <v/>
      </c>
      <c r="Q3605" s="9">
        <f>I3605+O3605</f>
        <v/>
      </c>
      <c r="R3605" s="7">
        <f>Q3605*G3605</f>
        <v/>
      </c>
      <c r="S3605" s="8">
        <f>IF($R$3628=0,0,R3605/$R$3628)</f>
        <v/>
      </c>
      <c r="T3605" s="8" t="n">
        <v>-0.02135393310288547</v>
      </c>
      <c r="U3605" s="8" t="n">
        <v>-0.009532519344268686</v>
      </c>
      <c r="V3605" s="6" t="inlineStr">
        <is>
          <t>remained in weekly selection</t>
        </is>
      </c>
    </row>
    <row r="3606">
      <c r="A3606" s="6" t="inlineStr">
        <is>
          <t>DJ30</t>
        </is>
      </c>
      <c r="B3606" s="6" t="inlineStr">
        <is>
          <t>2025-03-28</t>
        </is>
      </c>
      <c r="C3606" s="6" t="inlineStr">
        <is>
          <t>DIA</t>
        </is>
      </c>
      <c r="D3606" s="6" t="inlineStr">
        <is>
          <t>CVX</t>
        </is>
      </c>
      <c r="E3606" s="6" t="inlineStr">
        <is>
          <t>CVX</t>
        </is>
      </c>
      <c r="F3606" s="6" t="inlineStr">
        <is>
          <t>-</t>
        </is>
      </c>
      <c r="G3606" s="7" t="n">
        <v>157.4949951171875</v>
      </c>
      <c r="H3606" s="6">
        <f>P3575</f>
        <v/>
      </c>
      <c r="I3606" s="9">
        <f>Q3575</f>
        <v/>
      </c>
      <c r="J3606" s="7">
        <f>I3606*G3606</f>
        <v/>
      </c>
      <c r="K3606" s="8">
        <f>IF($J$3628=0,0,J3606/$J$3628)</f>
        <v/>
      </c>
      <c r="L3606" s="6" t="inlineStr">
        <is>
          <t>REJECTED</t>
        </is>
      </c>
      <c r="M3606" s="8" t="n">
        <v>0</v>
      </c>
      <c r="N3606" s="7">
        <f>M3606*$J$3628-J3606</f>
        <v/>
      </c>
      <c r="O3606" s="9">
        <f>IF(G3606=0,0,N3606/G3606)</f>
        <v/>
      </c>
      <c r="P3606" s="6">
        <f>IF(M3606&gt;0,D3606,"")</f>
        <v/>
      </c>
      <c r="Q3606" s="9">
        <f>I3606+O3606</f>
        <v/>
      </c>
      <c r="R3606" s="7">
        <f>Q3606*G3606</f>
        <v/>
      </c>
      <c r="S3606" s="8">
        <f>IF($R$3628=0,0,R3606/$R$3628)</f>
        <v/>
      </c>
      <c r="T3606" s="8" t="n">
        <v>-0.02135393310288547</v>
      </c>
      <c r="U3606" s="8" t="n">
        <v>-0.009532519344268686</v>
      </c>
      <c r="V3606" s="6" t="inlineStr">
        <is>
          <t>not selected</t>
        </is>
      </c>
    </row>
    <row r="3607">
      <c r="A3607" s="6" t="inlineStr">
        <is>
          <t>DJ30</t>
        </is>
      </c>
      <c r="B3607" s="6" t="inlineStr">
        <is>
          <t>2025-03-28</t>
        </is>
      </c>
      <c r="C3607" s="6" t="inlineStr">
        <is>
          <t>DIA</t>
        </is>
      </c>
      <c r="D3607" s="6" t="inlineStr">
        <is>
          <t>DIS</t>
        </is>
      </c>
      <c r="E3607" s="6" t="inlineStr">
        <is>
          <t>DIS</t>
        </is>
      </c>
      <c r="F3607" s="6" t="inlineStr">
        <is>
          <t>-</t>
        </is>
      </c>
      <c r="G3607" s="7" t="n">
        <v>96.99729156494141</v>
      </c>
      <c r="H3607" s="6">
        <f>P3576</f>
        <v/>
      </c>
      <c r="I3607" s="9">
        <f>Q3576</f>
        <v/>
      </c>
      <c r="J3607" s="7">
        <f>I3607*G3607</f>
        <v/>
      </c>
      <c r="K3607" s="8">
        <f>IF($J$3628=0,0,J3607/$J$3628)</f>
        <v/>
      </c>
      <c r="L3607" s="6" t="inlineStr">
        <is>
          <t>REJECTED</t>
        </is>
      </c>
      <c r="M3607" s="8" t="n">
        <v>0</v>
      </c>
      <c r="N3607" s="7">
        <f>M3607*$J$3628-J3607</f>
        <v/>
      </c>
      <c r="O3607" s="9">
        <f>IF(G3607=0,0,N3607/G3607)</f>
        <v/>
      </c>
      <c r="P3607" s="6">
        <f>IF(M3607&gt;0,D3607,"")</f>
        <v/>
      </c>
      <c r="Q3607" s="9">
        <f>I3607+O3607</f>
        <v/>
      </c>
      <c r="R3607" s="7">
        <f>Q3607*G3607</f>
        <v/>
      </c>
      <c r="S3607" s="8">
        <f>IF($R$3628=0,0,R3607/$R$3628)</f>
        <v/>
      </c>
      <c r="T3607" s="8" t="n">
        <v>-0.02135393310288547</v>
      </c>
      <c r="U3607" s="8" t="n">
        <v>-0.009532519344268686</v>
      </c>
      <c r="V3607" s="6" t="inlineStr">
        <is>
          <t>not selected</t>
        </is>
      </c>
    </row>
    <row r="3608">
      <c r="A3608" s="6" t="inlineStr">
        <is>
          <t>DJ30</t>
        </is>
      </c>
      <c r="B3608" s="6" t="inlineStr">
        <is>
          <t>2025-03-28</t>
        </is>
      </c>
      <c r="C3608" s="6" t="inlineStr">
        <is>
          <t>DIA</t>
        </is>
      </c>
      <c r="D3608" s="6" t="inlineStr">
        <is>
          <t>GS</t>
        </is>
      </c>
      <c r="E3608" s="6" t="inlineStr">
        <is>
          <t>GS</t>
        </is>
      </c>
      <c r="F3608" s="6" t="inlineStr">
        <is>
          <t>-</t>
        </is>
      </c>
      <c r="G3608" s="7" t="n">
        <v>529.7618408203125</v>
      </c>
      <c r="H3608" s="6">
        <f>P3577</f>
        <v/>
      </c>
      <c r="I3608" s="9">
        <f>Q3577</f>
        <v/>
      </c>
      <c r="J3608" s="7">
        <f>I3608*G3608</f>
        <v/>
      </c>
      <c r="K3608" s="8">
        <f>IF($J$3628=0,0,J3608/$J$3628)</f>
        <v/>
      </c>
      <c r="L3608" s="6" t="inlineStr">
        <is>
          <t>WATCHLIST</t>
        </is>
      </c>
      <c r="M3608" s="8" t="n">
        <v>0</v>
      </c>
      <c r="N3608" s="7">
        <f>M3608*$J$3628-J3608</f>
        <v/>
      </c>
      <c r="O3608" s="9">
        <f>IF(G3608=0,0,N3608/G3608)</f>
        <v/>
      </c>
      <c r="P3608" s="6">
        <f>IF(M3608&gt;0,D3608,"")</f>
        <v/>
      </c>
      <c r="Q3608" s="9">
        <f>I3608+O3608</f>
        <v/>
      </c>
      <c r="R3608" s="7">
        <f>Q3608*G3608</f>
        <v/>
      </c>
      <c r="S3608" s="8">
        <f>IF($R$3628=0,0,R3608/$R$3628)</f>
        <v/>
      </c>
      <c r="T3608" s="8" t="n">
        <v>-0.02135393310288547</v>
      </c>
      <c r="U3608" s="8" t="n">
        <v>-0.009532519344268686</v>
      </c>
      <c r="V3608" s="6" t="inlineStr">
        <is>
          <t>not selected</t>
        </is>
      </c>
    </row>
    <row r="3609">
      <c r="A3609" s="6" t="inlineStr">
        <is>
          <t>DJ30</t>
        </is>
      </c>
      <c r="B3609" s="6" t="inlineStr">
        <is>
          <t>2025-03-28</t>
        </is>
      </c>
      <c r="C3609" s="6" t="inlineStr">
        <is>
          <t>DIA</t>
        </is>
      </c>
      <c r="D3609" s="6" t="inlineStr">
        <is>
          <t>HD</t>
        </is>
      </c>
      <c r="E3609" s="6" t="inlineStr">
        <is>
          <t>HD</t>
        </is>
      </c>
      <c r="F3609" s="6" t="inlineStr">
        <is>
          <t>-</t>
        </is>
      </c>
      <c r="G3609" s="7" t="n">
        <v>346.7195739746094</v>
      </c>
      <c r="H3609" s="6">
        <f>P3578</f>
        <v/>
      </c>
      <c r="I3609" s="9">
        <f>Q3578</f>
        <v/>
      </c>
      <c r="J3609" s="7">
        <f>I3609*G3609</f>
        <v/>
      </c>
      <c r="K3609" s="8">
        <f>IF($J$3628=0,0,J3609/$J$3628)</f>
        <v/>
      </c>
      <c r="L3609" s="6" t="inlineStr">
        <is>
          <t>WATCHLIST</t>
        </is>
      </c>
      <c r="M3609" s="8" t="n">
        <v>0</v>
      </c>
      <c r="N3609" s="7">
        <f>M3609*$J$3628-J3609</f>
        <v/>
      </c>
      <c r="O3609" s="9">
        <f>IF(G3609=0,0,N3609/G3609)</f>
        <v/>
      </c>
      <c r="P3609" s="6">
        <f>IF(M3609&gt;0,D3609,"")</f>
        <v/>
      </c>
      <c r="Q3609" s="9">
        <f>I3609+O3609</f>
        <v/>
      </c>
      <c r="R3609" s="7">
        <f>Q3609*G3609</f>
        <v/>
      </c>
      <c r="S3609" s="8">
        <f>IF($R$3628=0,0,R3609/$R$3628)</f>
        <v/>
      </c>
      <c r="T3609" s="8" t="n">
        <v>-0.02135393310288547</v>
      </c>
      <c r="U3609" s="8" t="n">
        <v>-0.009532519344268686</v>
      </c>
      <c r="V3609" s="6" t="inlineStr">
        <is>
          <t>not selected</t>
        </is>
      </c>
    </row>
    <row r="3610">
      <c r="A3610" s="6" t="inlineStr">
        <is>
          <t>DJ30</t>
        </is>
      </c>
      <c r="B3610" s="6" t="inlineStr">
        <is>
          <t>2025-03-28</t>
        </is>
      </c>
      <c r="C3610" s="6" t="inlineStr">
        <is>
          <t>DIA</t>
        </is>
      </c>
      <c r="D3610" s="6" t="inlineStr">
        <is>
          <t>HON</t>
        </is>
      </c>
      <c r="E3610" s="6" t="inlineStr">
        <is>
          <t>HON</t>
        </is>
      </c>
      <c r="F3610" s="6" t="inlineStr">
        <is>
          <t>-</t>
        </is>
      </c>
      <c r="G3610" s="7" t="n">
        <v>193.0250244140625</v>
      </c>
      <c r="H3610" s="6">
        <f>P3579</f>
        <v/>
      </c>
      <c r="I3610" s="9">
        <f>Q3579</f>
        <v/>
      </c>
      <c r="J3610" s="7">
        <f>I3610*G3610</f>
        <v/>
      </c>
      <c r="K3610" s="8">
        <f>IF($J$3628=0,0,J3610/$J$3628)</f>
        <v/>
      </c>
      <c r="L3610" s="6" t="inlineStr">
        <is>
          <t>WATCHLIST</t>
        </is>
      </c>
      <c r="M3610" s="8" t="n">
        <v>0</v>
      </c>
      <c r="N3610" s="7">
        <f>M3610*$J$3628-J3610</f>
        <v/>
      </c>
      <c r="O3610" s="9">
        <f>IF(G3610=0,0,N3610/G3610)</f>
        <v/>
      </c>
      <c r="P3610" s="6">
        <f>IF(M3610&gt;0,D3610,"")</f>
        <v/>
      </c>
      <c r="Q3610" s="9">
        <f>I3610+O3610</f>
        <v/>
      </c>
      <c r="R3610" s="7">
        <f>Q3610*G3610</f>
        <v/>
      </c>
      <c r="S3610" s="8">
        <f>IF($R$3628=0,0,R3610/$R$3628)</f>
        <v/>
      </c>
      <c r="T3610" s="8" t="n">
        <v>-0.02135393310288547</v>
      </c>
      <c r="U3610" s="8" t="n">
        <v>-0.009532519344268686</v>
      </c>
      <c r="V3610" s="6" t="inlineStr">
        <is>
          <t>not selected</t>
        </is>
      </c>
    </row>
    <row r="3611">
      <c r="A3611" s="6" t="inlineStr">
        <is>
          <t>DJ30</t>
        </is>
      </c>
      <c r="B3611" s="6" t="inlineStr">
        <is>
          <t>2025-03-28</t>
        </is>
      </c>
      <c r="C3611" s="6" t="inlineStr">
        <is>
          <t>DIA</t>
        </is>
      </c>
      <c r="D3611" s="6" t="inlineStr">
        <is>
          <t>IBM</t>
        </is>
      </c>
      <c r="E3611" s="6" t="inlineStr">
        <is>
          <t>IBM</t>
        </is>
      </c>
      <c r="F3611" s="6" t="inlineStr">
        <is>
          <t>-</t>
        </is>
      </c>
      <c r="G3611" s="7" t="n">
        <v>236.3421630859375</v>
      </c>
      <c r="H3611" s="6">
        <f>P3580</f>
        <v/>
      </c>
      <c r="I3611" s="9">
        <f>Q3580</f>
        <v/>
      </c>
      <c r="J3611" s="7">
        <f>I3611*G3611</f>
        <v/>
      </c>
      <c r="K3611" s="8">
        <f>IF($J$3628=0,0,J3611/$J$3628)</f>
        <v/>
      </c>
      <c r="L3611" s="6" t="inlineStr">
        <is>
          <t>SELECTED</t>
        </is>
      </c>
      <c r="M3611" s="8" t="n">
        <v>0.2</v>
      </c>
      <c r="N3611" s="7">
        <f>M3611*$J$3628-J3611</f>
        <v/>
      </c>
      <c r="O3611" s="9">
        <f>IF(G3611=0,0,N3611/G3611)</f>
        <v/>
      </c>
      <c r="P3611" s="6">
        <f>IF(M3611&gt;0,D3611,"")</f>
        <v/>
      </c>
      <c r="Q3611" s="9">
        <f>I3611+O3611</f>
        <v/>
      </c>
      <c r="R3611" s="7">
        <f>Q3611*G3611</f>
        <v/>
      </c>
      <c r="S3611" s="8">
        <f>IF($R$3628=0,0,R3611/$R$3628)</f>
        <v/>
      </c>
      <c r="T3611" s="8" t="n">
        <v>-0.02135393310288547</v>
      </c>
      <c r="U3611" s="8" t="n">
        <v>-0.009532519344268686</v>
      </c>
      <c r="V3611" s="6" t="inlineStr">
        <is>
          <t>remained in weekly selection</t>
        </is>
      </c>
    </row>
    <row r="3612">
      <c r="A3612" s="6" t="inlineStr">
        <is>
          <t>DJ30</t>
        </is>
      </c>
      <c r="B3612" s="6" t="inlineStr">
        <is>
          <t>2025-03-28</t>
        </is>
      </c>
      <c r="C3612" s="6" t="inlineStr">
        <is>
          <t>DIA</t>
        </is>
      </c>
      <c r="D3612" s="6" t="inlineStr">
        <is>
          <t>JNJ</t>
        </is>
      </c>
      <c r="E3612" s="6" t="inlineStr">
        <is>
          <t>JNJ</t>
        </is>
      </c>
      <c r="F3612" s="6" t="inlineStr">
        <is>
          <t>-</t>
        </is>
      </c>
      <c r="G3612" s="7" t="n">
        <v>158.3616180419922</v>
      </c>
      <c r="H3612" s="6">
        <f>P3581</f>
        <v/>
      </c>
      <c r="I3612" s="9">
        <f>Q3581</f>
        <v/>
      </c>
      <c r="J3612" s="7">
        <f>I3612*G3612</f>
        <v/>
      </c>
      <c r="K3612" s="8">
        <f>IF($J$3628=0,0,J3612/$J$3628)</f>
        <v/>
      </c>
      <c r="L3612" s="6" t="inlineStr">
        <is>
          <t>REJECTED</t>
        </is>
      </c>
      <c r="M3612" s="8" t="n">
        <v>0</v>
      </c>
      <c r="N3612" s="7">
        <f>M3612*$J$3628-J3612</f>
        <v/>
      </c>
      <c r="O3612" s="9">
        <f>IF(G3612=0,0,N3612/G3612)</f>
        <v/>
      </c>
      <c r="P3612" s="6">
        <f>IF(M3612&gt;0,D3612,"")</f>
        <v/>
      </c>
      <c r="Q3612" s="9">
        <f>I3612+O3612</f>
        <v/>
      </c>
      <c r="R3612" s="7">
        <f>Q3612*G3612</f>
        <v/>
      </c>
      <c r="S3612" s="8">
        <f>IF($R$3628=0,0,R3612/$R$3628)</f>
        <v/>
      </c>
      <c r="T3612" s="8" t="n">
        <v>-0.02135393310288547</v>
      </c>
      <c r="U3612" s="8" t="n">
        <v>-0.009532519344268686</v>
      </c>
      <c r="V3612" s="6" t="inlineStr">
        <is>
          <t>not selected</t>
        </is>
      </c>
    </row>
    <row r="3613">
      <c r="A3613" s="6" t="inlineStr">
        <is>
          <t>DJ30</t>
        </is>
      </c>
      <c r="B3613" s="6" t="inlineStr">
        <is>
          <t>2025-03-28</t>
        </is>
      </c>
      <c r="C3613" s="6" t="inlineStr">
        <is>
          <t>DIA</t>
        </is>
      </c>
      <c r="D3613" s="6" t="inlineStr">
        <is>
          <t>JPM</t>
        </is>
      </c>
      <c r="E3613" s="6" t="inlineStr">
        <is>
          <t>JPM</t>
        </is>
      </c>
      <c r="F3613" s="6" t="inlineStr">
        <is>
          <t>-</t>
        </is>
      </c>
      <c r="G3613" s="7" t="n">
        <v>236.7588348388672</v>
      </c>
      <c r="H3613" s="6">
        <f>P3582</f>
        <v/>
      </c>
      <c r="I3613" s="9">
        <f>Q3582</f>
        <v/>
      </c>
      <c r="J3613" s="7">
        <f>I3613*G3613</f>
        <v/>
      </c>
      <c r="K3613" s="8">
        <f>IF($J$3628=0,0,J3613/$J$3628)</f>
        <v/>
      </c>
      <c r="L3613" s="6" t="inlineStr">
        <is>
          <t>WATCHLIST</t>
        </is>
      </c>
      <c r="M3613" s="8" t="n">
        <v>0</v>
      </c>
      <c r="N3613" s="7">
        <f>M3613*$J$3628-J3613</f>
        <v/>
      </c>
      <c r="O3613" s="9">
        <f>IF(G3613=0,0,N3613/G3613)</f>
        <v/>
      </c>
      <c r="P3613" s="6">
        <f>IF(M3613&gt;0,D3613,"")</f>
        <v/>
      </c>
      <c r="Q3613" s="9">
        <f>I3613+O3613</f>
        <v/>
      </c>
      <c r="R3613" s="7">
        <f>Q3613*G3613</f>
        <v/>
      </c>
      <c r="S3613" s="8">
        <f>IF($R$3628=0,0,R3613/$R$3628)</f>
        <v/>
      </c>
      <c r="T3613" s="8" t="n">
        <v>-0.02135393310288547</v>
      </c>
      <c r="U3613" s="8" t="n">
        <v>-0.009532519344268686</v>
      </c>
      <c r="V3613" s="6" t="inlineStr">
        <is>
          <t>not selected</t>
        </is>
      </c>
    </row>
    <row r="3614">
      <c r="A3614" s="6" t="inlineStr">
        <is>
          <t>DJ30</t>
        </is>
      </c>
      <c r="B3614" s="6" t="inlineStr">
        <is>
          <t>2025-03-28</t>
        </is>
      </c>
      <c r="C3614" s="6" t="inlineStr">
        <is>
          <t>DIA</t>
        </is>
      </c>
      <c r="D3614" s="6" t="inlineStr">
        <is>
          <t>KO</t>
        </is>
      </c>
      <c r="E3614" s="6" t="inlineStr">
        <is>
          <t>KO</t>
        </is>
      </c>
      <c r="F3614" s="6" t="inlineStr">
        <is>
          <t>-</t>
        </is>
      </c>
      <c r="G3614" s="7" t="n">
        <v>67.94883728027344</v>
      </c>
      <c r="H3614" s="6">
        <f>P3583</f>
        <v/>
      </c>
      <c r="I3614" s="9">
        <f>Q3583</f>
        <v/>
      </c>
      <c r="J3614" s="7">
        <f>I3614*G3614</f>
        <v/>
      </c>
      <c r="K3614" s="8">
        <f>IF($J$3628=0,0,J3614/$J$3628)</f>
        <v/>
      </c>
      <c r="L3614" s="6" t="inlineStr">
        <is>
          <t>REJECTED</t>
        </is>
      </c>
      <c r="M3614" s="8" t="n">
        <v>0</v>
      </c>
      <c r="N3614" s="7">
        <f>M3614*$J$3628-J3614</f>
        <v/>
      </c>
      <c r="O3614" s="9">
        <f>IF(G3614=0,0,N3614/G3614)</f>
        <v/>
      </c>
      <c r="P3614" s="6">
        <f>IF(M3614&gt;0,D3614,"")</f>
        <v/>
      </c>
      <c r="Q3614" s="9">
        <f>I3614+O3614</f>
        <v/>
      </c>
      <c r="R3614" s="7">
        <f>Q3614*G3614</f>
        <v/>
      </c>
      <c r="S3614" s="8">
        <f>IF($R$3628=0,0,R3614/$R$3628)</f>
        <v/>
      </c>
      <c r="T3614" s="8" t="n">
        <v>-0.02135393310288547</v>
      </c>
      <c r="U3614" s="8" t="n">
        <v>-0.009532519344268686</v>
      </c>
      <c r="V3614" s="6" t="inlineStr">
        <is>
          <t>not selected</t>
        </is>
      </c>
    </row>
    <row r="3615">
      <c r="A3615" s="6" t="inlineStr">
        <is>
          <t>DJ30</t>
        </is>
      </c>
      <c r="B3615" s="6" t="inlineStr">
        <is>
          <t>2025-03-28</t>
        </is>
      </c>
      <c r="C3615" s="6" t="inlineStr">
        <is>
          <t>DIA</t>
        </is>
      </c>
      <c r="D3615" s="6" t="inlineStr">
        <is>
          <t>MCD</t>
        </is>
      </c>
      <c r="E3615" s="6" t="inlineStr">
        <is>
          <t>MCD</t>
        </is>
      </c>
      <c r="F3615" s="6" t="inlineStr">
        <is>
          <t>-</t>
        </is>
      </c>
      <c r="G3615" s="7" t="n">
        <v>298.1244812011719</v>
      </c>
      <c r="H3615" s="6">
        <f>P3584</f>
        <v/>
      </c>
      <c r="I3615" s="9">
        <f>Q3584</f>
        <v/>
      </c>
      <c r="J3615" s="7">
        <f>I3615*G3615</f>
        <v/>
      </c>
      <c r="K3615" s="8">
        <f>IF($J$3628=0,0,J3615/$J$3628)</f>
        <v/>
      </c>
      <c r="L3615" s="6" t="inlineStr">
        <is>
          <t>WATCHLIST</t>
        </is>
      </c>
      <c r="M3615" s="8" t="n">
        <v>0</v>
      </c>
      <c r="N3615" s="7">
        <f>M3615*$J$3628-J3615</f>
        <v/>
      </c>
      <c r="O3615" s="9">
        <f>IF(G3615=0,0,N3615/G3615)</f>
        <v/>
      </c>
      <c r="P3615" s="6">
        <f>IF(M3615&gt;0,D3615,"")</f>
        <v/>
      </c>
      <c r="Q3615" s="9">
        <f>I3615+O3615</f>
        <v/>
      </c>
      <c r="R3615" s="7">
        <f>Q3615*G3615</f>
        <v/>
      </c>
      <c r="S3615" s="8">
        <f>IF($R$3628=0,0,R3615/$R$3628)</f>
        <v/>
      </c>
      <c r="T3615" s="8" t="n">
        <v>-0.02135393310288547</v>
      </c>
      <c r="U3615" s="8" t="n">
        <v>-0.009532519344268686</v>
      </c>
      <c r="V3615" s="6" t="inlineStr">
        <is>
          <t>not selected</t>
        </is>
      </c>
    </row>
    <row r="3616">
      <c r="A3616" s="6" t="inlineStr">
        <is>
          <t>DJ30</t>
        </is>
      </c>
      <c r="B3616" s="6" t="inlineStr">
        <is>
          <t>2025-03-28</t>
        </is>
      </c>
      <c r="C3616" s="6" t="inlineStr">
        <is>
          <t>DIA</t>
        </is>
      </c>
      <c r="D3616" s="6" t="inlineStr">
        <is>
          <t>MMM</t>
        </is>
      </c>
      <c r="E3616" s="6" t="inlineStr">
        <is>
          <t>MMM</t>
        </is>
      </c>
      <c r="F3616" s="6" t="inlineStr">
        <is>
          <t>-</t>
        </is>
      </c>
      <c r="G3616" s="7" t="n">
        <v>141.4874114990234</v>
      </c>
      <c r="H3616" s="6">
        <f>P3585</f>
        <v/>
      </c>
      <c r="I3616" s="9">
        <f>Q3585</f>
        <v/>
      </c>
      <c r="J3616" s="7">
        <f>I3616*G3616</f>
        <v/>
      </c>
      <c r="K3616" s="8">
        <f>IF($J$3628=0,0,J3616/$J$3628)</f>
        <v/>
      </c>
      <c r="L3616" s="6" t="inlineStr">
        <is>
          <t>SELECTED</t>
        </is>
      </c>
      <c r="M3616" s="8" t="n">
        <v>0.2</v>
      </c>
      <c r="N3616" s="7">
        <f>M3616*$J$3628-J3616</f>
        <v/>
      </c>
      <c r="O3616" s="9">
        <f>IF(G3616=0,0,N3616/G3616)</f>
        <v/>
      </c>
      <c r="P3616" s="6">
        <f>IF(M3616&gt;0,D3616,"")</f>
        <v/>
      </c>
      <c r="Q3616" s="9">
        <f>I3616+O3616</f>
        <v/>
      </c>
      <c r="R3616" s="7">
        <f>Q3616*G3616</f>
        <v/>
      </c>
      <c r="S3616" s="8">
        <f>IF($R$3628=0,0,R3616/$R$3628)</f>
        <v/>
      </c>
      <c r="T3616" s="8" t="n">
        <v>-0.02135393310288547</v>
      </c>
      <c r="U3616" s="8" t="n">
        <v>-0.009532519344268686</v>
      </c>
      <c r="V3616" s="6" t="inlineStr">
        <is>
          <t>remained in weekly selection</t>
        </is>
      </c>
    </row>
    <row r="3617">
      <c r="A3617" s="6" t="inlineStr">
        <is>
          <t>DJ30</t>
        </is>
      </c>
      <c r="B3617" s="6" t="inlineStr">
        <is>
          <t>2025-03-28</t>
        </is>
      </c>
      <c r="C3617" s="6" t="inlineStr">
        <is>
          <t>DIA</t>
        </is>
      </c>
      <c r="D3617" s="6" t="inlineStr">
        <is>
          <t>MRK</t>
        </is>
      </c>
      <c r="E3617" s="6" t="inlineStr">
        <is>
          <t>MRK</t>
        </is>
      </c>
      <c r="F3617" s="6" t="inlineStr">
        <is>
          <t>-</t>
        </is>
      </c>
      <c r="G3617" s="7" t="n">
        <v>85.48745727539062</v>
      </c>
      <c r="H3617" s="6">
        <f>P3586</f>
        <v/>
      </c>
      <c r="I3617" s="9">
        <f>Q3586</f>
        <v/>
      </c>
      <c r="J3617" s="7">
        <f>I3617*G3617</f>
        <v/>
      </c>
      <c r="K3617" s="8">
        <f>IF($J$3628=0,0,J3617/$J$3628)</f>
        <v/>
      </c>
      <c r="L3617" s="6" t="inlineStr">
        <is>
          <t>REJECTED</t>
        </is>
      </c>
      <c r="M3617" s="8" t="n">
        <v>0</v>
      </c>
      <c r="N3617" s="7">
        <f>M3617*$J$3628-J3617</f>
        <v/>
      </c>
      <c r="O3617" s="9">
        <f>IF(G3617=0,0,N3617/G3617)</f>
        <v/>
      </c>
      <c r="P3617" s="6">
        <f>IF(M3617&gt;0,D3617,"")</f>
        <v/>
      </c>
      <c r="Q3617" s="9">
        <f>I3617+O3617</f>
        <v/>
      </c>
      <c r="R3617" s="7">
        <f>Q3617*G3617</f>
        <v/>
      </c>
      <c r="S3617" s="8">
        <f>IF($R$3628=0,0,R3617/$R$3628)</f>
        <v/>
      </c>
      <c r="T3617" s="8" t="n">
        <v>-0.02135393310288547</v>
      </c>
      <c r="U3617" s="8" t="n">
        <v>-0.009532519344268686</v>
      </c>
      <c r="V3617" s="6" t="inlineStr">
        <is>
          <t>not selected</t>
        </is>
      </c>
    </row>
    <row r="3618">
      <c r="A3618" s="6" t="inlineStr">
        <is>
          <t>DJ30</t>
        </is>
      </c>
      <c r="B3618" s="6" t="inlineStr">
        <is>
          <t>2025-03-28</t>
        </is>
      </c>
      <c r="C3618" s="6" t="inlineStr">
        <is>
          <t>DIA</t>
        </is>
      </c>
      <c r="D3618" s="6" t="inlineStr">
        <is>
          <t>MSFT</t>
        </is>
      </c>
      <c r="E3618" s="6" t="inlineStr">
        <is>
          <t>MSFT</t>
        </is>
      </c>
      <c r="F3618" s="6" t="inlineStr">
        <is>
          <t>-</t>
        </is>
      </c>
      <c r="G3618" s="7" t="n">
        <v>375.1096496582031</v>
      </c>
      <c r="H3618" s="6">
        <f>P3587</f>
        <v/>
      </c>
      <c r="I3618" s="9">
        <f>Q3587</f>
        <v/>
      </c>
      <c r="J3618" s="7">
        <f>I3618*G3618</f>
        <v/>
      </c>
      <c r="K3618" s="8">
        <f>IF($J$3628=0,0,J3618/$J$3628)</f>
        <v/>
      </c>
      <c r="L3618" s="6" t="inlineStr">
        <is>
          <t>REJECTED</t>
        </is>
      </c>
      <c r="M3618" s="8" t="n">
        <v>0</v>
      </c>
      <c r="N3618" s="7">
        <f>M3618*$J$3628-J3618</f>
        <v/>
      </c>
      <c r="O3618" s="9">
        <f>IF(G3618=0,0,N3618/G3618)</f>
        <v/>
      </c>
      <c r="P3618" s="6">
        <f>IF(M3618&gt;0,D3618,"")</f>
        <v/>
      </c>
      <c r="Q3618" s="9">
        <f>I3618+O3618</f>
        <v/>
      </c>
      <c r="R3618" s="7">
        <f>Q3618*G3618</f>
        <v/>
      </c>
      <c r="S3618" s="8">
        <f>IF($R$3628=0,0,R3618/$R$3628)</f>
        <v/>
      </c>
      <c r="T3618" s="8" t="n">
        <v>-0.02135393310288547</v>
      </c>
      <c r="U3618" s="8" t="n">
        <v>-0.009532519344268686</v>
      </c>
      <c r="V3618" s="6" t="inlineStr">
        <is>
          <t>not selected</t>
        </is>
      </c>
    </row>
    <row r="3619">
      <c r="A3619" s="6" t="inlineStr">
        <is>
          <t>DJ30</t>
        </is>
      </c>
      <c r="B3619" s="6" t="inlineStr">
        <is>
          <t>2025-03-28</t>
        </is>
      </c>
      <c r="C3619" s="6" t="inlineStr">
        <is>
          <t>DIA</t>
        </is>
      </c>
      <c r="D3619" s="6" t="inlineStr">
        <is>
          <t>NKE</t>
        </is>
      </c>
      <c r="E3619" s="6" t="inlineStr">
        <is>
          <t>NKE</t>
        </is>
      </c>
      <c r="F3619" s="6" t="inlineStr">
        <is>
          <t>-</t>
        </is>
      </c>
      <c r="G3619" s="7" t="n">
        <v>61.19297790527344</v>
      </c>
      <c r="H3619" s="6">
        <f>P3588</f>
        <v/>
      </c>
      <c r="I3619" s="9">
        <f>Q3588</f>
        <v/>
      </c>
      <c r="J3619" s="7">
        <f>I3619*G3619</f>
        <v/>
      </c>
      <c r="K3619" s="8">
        <f>IF($J$3628=0,0,J3619/$J$3628)</f>
        <v/>
      </c>
      <c r="L3619" s="6" t="inlineStr">
        <is>
          <t>REJECTED</t>
        </is>
      </c>
      <c r="M3619" s="8" t="n">
        <v>0</v>
      </c>
      <c r="N3619" s="7">
        <f>M3619*$J$3628-J3619</f>
        <v/>
      </c>
      <c r="O3619" s="9">
        <f>IF(G3619=0,0,N3619/G3619)</f>
        <v/>
      </c>
      <c r="P3619" s="6">
        <f>IF(M3619&gt;0,D3619,"")</f>
        <v/>
      </c>
      <c r="Q3619" s="9">
        <f>I3619+O3619</f>
        <v/>
      </c>
      <c r="R3619" s="7">
        <f>Q3619*G3619</f>
        <v/>
      </c>
      <c r="S3619" s="8">
        <f>IF($R$3628=0,0,R3619/$R$3628)</f>
        <v/>
      </c>
      <c r="T3619" s="8" t="n">
        <v>-0.02135393310288547</v>
      </c>
      <c r="U3619" s="8" t="n">
        <v>-0.009532519344268686</v>
      </c>
      <c r="V3619" s="6" t="inlineStr">
        <is>
          <t>not selected</t>
        </is>
      </c>
    </row>
    <row r="3620">
      <c r="A3620" s="6" t="inlineStr">
        <is>
          <t>DJ30</t>
        </is>
      </c>
      <c r="B3620" s="6" t="inlineStr">
        <is>
          <t>2025-03-28</t>
        </is>
      </c>
      <c r="C3620" s="6" t="inlineStr">
        <is>
          <t>DIA</t>
        </is>
      </c>
      <c r="D3620" s="6" t="inlineStr">
        <is>
          <t>NVDA</t>
        </is>
      </c>
      <c r="E3620" s="6" t="inlineStr">
        <is>
          <t>NVDA</t>
        </is>
      </c>
      <c r="F3620" s="6" t="inlineStr">
        <is>
          <t>-</t>
        </is>
      </c>
      <c r="G3620" s="7" t="n">
        <v>109.5165176391602</v>
      </c>
      <c r="H3620" s="6">
        <f>P3589</f>
        <v/>
      </c>
      <c r="I3620" s="9">
        <f>Q3589</f>
        <v/>
      </c>
      <c r="J3620" s="7">
        <f>I3620*G3620</f>
        <v/>
      </c>
      <c r="K3620" s="8">
        <f>IF($J$3628=0,0,J3620/$J$3628)</f>
        <v/>
      </c>
      <c r="L3620" s="6" t="inlineStr">
        <is>
          <t>WATCHLIST</t>
        </is>
      </c>
      <c r="M3620" s="8" t="n">
        <v>0</v>
      </c>
      <c r="N3620" s="7">
        <f>M3620*$J$3628-J3620</f>
        <v/>
      </c>
      <c r="O3620" s="9">
        <f>IF(G3620=0,0,N3620/G3620)</f>
        <v/>
      </c>
      <c r="P3620" s="6">
        <f>IF(M3620&gt;0,D3620,"")</f>
        <v/>
      </c>
      <c r="Q3620" s="9">
        <f>I3620+O3620</f>
        <v/>
      </c>
      <c r="R3620" s="7">
        <f>Q3620*G3620</f>
        <v/>
      </c>
      <c r="S3620" s="8">
        <f>IF($R$3628=0,0,R3620/$R$3628)</f>
        <v/>
      </c>
      <c r="T3620" s="8" t="n">
        <v>-0.02135393310288547</v>
      </c>
      <c r="U3620" s="8" t="n">
        <v>-0.009532519344268686</v>
      </c>
      <c r="V3620" s="6" t="inlineStr">
        <is>
          <t>removed from weekly selection</t>
        </is>
      </c>
    </row>
    <row r="3621">
      <c r="A3621" s="6" t="inlineStr">
        <is>
          <t>DJ30</t>
        </is>
      </c>
      <c r="B3621" s="6" t="inlineStr">
        <is>
          <t>2025-03-28</t>
        </is>
      </c>
      <c r="C3621" s="6" t="inlineStr">
        <is>
          <t>DIA</t>
        </is>
      </c>
      <c r="D3621" s="6" t="inlineStr">
        <is>
          <t>PG</t>
        </is>
      </c>
      <c r="E3621" s="6" t="inlineStr">
        <is>
          <t>PG</t>
        </is>
      </c>
      <c r="F3621" s="6" t="inlineStr">
        <is>
          <t>-</t>
        </is>
      </c>
      <c r="G3621" s="7" t="n">
        <v>162.3196868896484</v>
      </c>
      <c r="H3621" s="6">
        <f>P3590</f>
        <v/>
      </c>
      <c r="I3621" s="9">
        <f>Q3590</f>
        <v/>
      </c>
      <c r="J3621" s="7">
        <f>I3621*G3621</f>
        <v/>
      </c>
      <c r="K3621" s="8">
        <f>IF($J$3628=0,0,J3621/$J$3628)</f>
        <v/>
      </c>
      <c r="L3621" s="6" t="inlineStr">
        <is>
          <t>REJECTED</t>
        </is>
      </c>
      <c r="M3621" s="8" t="n">
        <v>0</v>
      </c>
      <c r="N3621" s="7">
        <f>M3621*$J$3628-J3621</f>
        <v/>
      </c>
      <c r="O3621" s="9">
        <f>IF(G3621=0,0,N3621/G3621)</f>
        <v/>
      </c>
      <c r="P3621" s="6">
        <f>IF(M3621&gt;0,D3621,"")</f>
        <v/>
      </c>
      <c r="Q3621" s="9">
        <f>I3621+O3621</f>
        <v/>
      </c>
      <c r="R3621" s="7">
        <f>Q3621*G3621</f>
        <v/>
      </c>
      <c r="S3621" s="8">
        <f>IF($R$3628=0,0,R3621/$R$3628)</f>
        <v/>
      </c>
      <c r="T3621" s="8" t="n">
        <v>-0.02135393310288547</v>
      </c>
      <c r="U3621" s="8" t="n">
        <v>-0.009532519344268686</v>
      </c>
      <c r="V3621" s="6" t="inlineStr">
        <is>
          <t>not selected</t>
        </is>
      </c>
    </row>
    <row r="3622">
      <c r="A3622" s="6" t="inlineStr">
        <is>
          <t>DJ30</t>
        </is>
      </c>
      <c r="B3622" s="6" t="inlineStr">
        <is>
          <t>2025-03-28</t>
        </is>
      </c>
      <c r="C3622" s="6" t="inlineStr">
        <is>
          <t>DIA</t>
        </is>
      </c>
      <c r="D3622" s="6" t="inlineStr">
        <is>
          <t>SHW</t>
        </is>
      </c>
      <c r="E3622" s="6" t="inlineStr">
        <is>
          <t>SHW</t>
        </is>
      </c>
      <c r="F3622" s="6" t="inlineStr">
        <is>
          <t>-</t>
        </is>
      </c>
      <c r="G3622" s="7" t="n">
        <v>335.8706970214844</v>
      </c>
      <c r="H3622" s="6">
        <f>P3591</f>
        <v/>
      </c>
      <c r="I3622" s="9">
        <f>Q3591</f>
        <v/>
      </c>
      <c r="J3622" s="7">
        <f>I3622*G3622</f>
        <v/>
      </c>
      <c r="K3622" s="8">
        <f>IF($J$3628=0,0,J3622/$J$3628)</f>
        <v/>
      </c>
      <c r="L3622" s="6" t="inlineStr">
        <is>
          <t>WATCHLIST</t>
        </is>
      </c>
      <c r="M3622" s="8" t="n">
        <v>0</v>
      </c>
      <c r="N3622" s="7">
        <f>M3622*$J$3628-J3622</f>
        <v/>
      </c>
      <c r="O3622" s="9">
        <f>IF(G3622=0,0,N3622/G3622)</f>
        <v/>
      </c>
      <c r="P3622" s="6">
        <f>IF(M3622&gt;0,D3622,"")</f>
        <v/>
      </c>
      <c r="Q3622" s="9">
        <f>I3622+O3622</f>
        <v/>
      </c>
      <c r="R3622" s="7">
        <f>Q3622*G3622</f>
        <v/>
      </c>
      <c r="S3622" s="8">
        <f>IF($R$3628=0,0,R3622/$R$3628)</f>
        <v/>
      </c>
      <c r="T3622" s="8" t="n">
        <v>-0.02135393310288547</v>
      </c>
      <c r="U3622" s="8" t="n">
        <v>-0.009532519344268686</v>
      </c>
      <c r="V3622" s="6" t="inlineStr">
        <is>
          <t>not selected</t>
        </is>
      </c>
    </row>
    <row r="3623">
      <c r="A3623" s="6" t="inlineStr">
        <is>
          <t>DJ30</t>
        </is>
      </c>
      <c r="B3623" s="6" t="inlineStr">
        <is>
          <t>2025-03-28</t>
        </is>
      </c>
      <c r="C3623" s="6" t="inlineStr">
        <is>
          <t>DIA</t>
        </is>
      </c>
      <c r="D3623" s="6" t="inlineStr">
        <is>
          <t>TRV</t>
        </is>
      </c>
      <c r="E3623" s="6" t="inlineStr">
        <is>
          <t>TRV</t>
        </is>
      </c>
      <c r="F3623" s="6" t="inlineStr">
        <is>
          <t>-</t>
        </is>
      </c>
      <c r="G3623" s="7" t="n">
        <v>256.6317749023437</v>
      </c>
      <c r="H3623" s="6">
        <f>P3592</f>
        <v/>
      </c>
      <c r="I3623" s="9">
        <f>Q3592</f>
        <v/>
      </c>
      <c r="J3623" s="7">
        <f>I3623*G3623</f>
        <v/>
      </c>
      <c r="K3623" s="8">
        <f>IF($J$3628=0,0,J3623/$J$3628)</f>
        <v/>
      </c>
      <c r="L3623" s="6" t="inlineStr">
        <is>
          <t>SELECTED</t>
        </is>
      </c>
      <c r="M3623" s="8" t="n">
        <v>0.2</v>
      </c>
      <c r="N3623" s="7">
        <f>M3623*$J$3628-J3623</f>
        <v/>
      </c>
      <c r="O3623" s="9">
        <f>IF(G3623=0,0,N3623/G3623)</f>
        <v/>
      </c>
      <c r="P3623" s="6">
        <f>IF(M3623&gt;0,D3623,"")</f>
        <v/>
      </c>
      <c r="Q3623" s="9">
        <f>I3623+O3623</f>
        <v/>
      </c>
      <c r="R3623" s="7">
        <f>Q3623*G3623</f>
        <v/>
      </c>
      <c r="S3623" s="8">
        <f>IF($R$3628=0,0,R3623/$R$3628)</f>
        <v/>
      </c>
      <c r="T3623" s="8" t="n">
        <v>-0.02135393310288547</v>
      </c>
      <c r="U3623" s="8" t="n">
        <v>-0.009532519344268686</v>
      </c>
      <c r="V3623" s="6" t="inlineStr">
        <is>
          <t>entered weekly selection</t>
        </is>
      </c>
    </row>
    <row r="3624">
      <c r="A3624" s="6" t="inlineStr">
        <is>
          <t>DJ30</t>
        </is>
      </c>
      <c r="B3624" s="6" t="inlineStr">
        <is>
          <t>2025-03-28</t>
        </is>
      </c>
      <c r="C3624" s="6" t="inlineStr">
        <is>
          <t>DIA</t>
        </is>
      </c>
      <c r="D3624" s="6" t="inlineStr">
        <is>
          <t>UNH</t>
        </is>
      </c>
      <c r="E3624" s="6" t="inlineStr">
        <is>
          <t>UNH</t>
        </is>
      </c>
      <c r="F3624" s="6" t="inlineStr">
        <is>
          <t>-</t>
        </is>
      </c>
      <c r="G3624" s="7" t="n">
        <v>499.0373840332031</v>
      </c>
      <c r="H3624" s="6">
        <f>P3593</f>
        <v/>
      </c>
      <c r="I3624" s="9">
        <f>Q3593</f>
        <v/>
      </c>
      <c r="J3624" s="7">
        <f>I3624*G3624</f>
        <v/>
      </c>
      <c r="K3624" s="8">
        <f>IF($J$3628=0,0,J3624/$J$3628)</f>
        <v/>
      </c>
      <c r="L3624" s="6" t="inlineStr">
        <is>
          <t>REJECTED</t>
        </is>
      </c>
      <c r="M3624" s="8" t="n">
        <v>0</v>
      </c>
      <c r="N3624" s="7">
        <f>M3624*$J$3628-J3624</f>
        <v/>
      </c>
      <c r="O3624" s="9">
        <f>IF(G3624=0,0,N3624/G3624)</f>
        <v/>
      </c>
      <c r="P3624" s="6">
        <f>IF(M3624&gt;0,D3624,"")</f>
        <v/>
      </c>
      <c r="Q3624" s="9">
        <f>I3624+O3624</f>
        <v/>
      </c>
      <c r="R3624" s="7">
        <f>Q3624*G3624</f>
        <v/>
      </c>
      <c r="S3624" s="8">
        <f>IF($R$3628=0,0,R3624/$R$3628)</f>
        <v/>
      </c>
      <c r="T3624" s="8" t="n">
        <v>-0.02135393310288547</v>
      </c>
      <c r="U3624" s="8" t="n">
        <v>-0.009532519344268686</v>
      </c>
      <c r="V3624" s="6" t="inlineStr">
        <is>
          <t>not selected</t>
        </is>
      </c>
    </row>
    <row r="3625">
      <c r="A3625" s="6" t="inlineStr">
        <is>
          <t>DJ30</t>
        </is>
      </c>
      <c r="B3625" s="6" t="inlineStr">
        <is>
          <t>2025-03-28</t>
        </is>
      </c>
      <c r="C3625" s="6" t="inlineStr">
        <is>
          <t>DIA</t>
        </is>
      </c>
      <c r="D3625" s="6" t="inlineStr">
        <is>
          <t>V</t>
        </is>
      </c>
      <c r="E3625" s="6" t="inlineStr">
        <is>
          <t>V</t>
        </is>
      </c>
      <c r="F3625" s="6" t="inlineStr">
        <is>
          <t>-</t>
        </is>
      </c>
      <c r="G3625" s="7" t="n">
        <v>339.59912109375</v>
      </c>
      <c r="H3625" s="6">
        <f>P3594</f>
        <v/>
      </c>
      <c r="I3625" s="9">
        <f>Q3594</f>
        <v/>
      </c>
      <c r="J3625" s="7">
        <f>I3625*G3625</f>
        <v/>
      </c>
      <c r="K3625" s="8">
        <f>IF($J$3628=0,0,J3625/$J$3628)</f>
        <v/>
      </c>
      <c r="L3625" s="6" t="inlineStr">
        <is>
          <t>WATCHLIST</t>
        </is>
      </c>
      <c r="M3625" s="8" t="n">
        <v>0</v>
      </c>
      <c r="N3625" s="7">
        <f>M3625*$J$3628-J3625</f>
        <v/>
      </c>
      <c r="O3625" s="9">
        <f>IF(G3625=0,0,N3625/G3625)</f>
        <v/>
      </c>
      <c r="P3625" s="6">
        <f>IF(M3625&gt;0,D3625,"")</f>
        <v/>
      </c>
      <c r="Q3625" s="9">
        <f>I3625+O3625</f>
        <v/>
      </c>
      <c r="R3625" s="7">
        <f>Q3625*G3625</f>
        <v/>
      </c>
      <c r="S3625" s="8">
        <f>IF($R$3628=0,0,R3625/$R$3628)</f>
        <v/>
      </c>
      <c r="T3625" s="8" t="n">
        <v>-0.02135393310288547</v>
      </c>
      <c r="U3625" s="8" t="n">
        <v>-0.009532519344268686</v>
      </c>
      <c r="V3625" s="6" t="inlineStr">
        <is>
          <t>not selected</t>
        </is>
      </c>
    </row>
    <row r="3626">
      <c r="A3626" s="6" t="inlineStr">
        <is>
          <t>DJ30</t>
        </is>
      </c>
      <c r="B3626" s="6" t="inlineStr">
        <is>
          <t>2025-03-28</t>
        </is>
      </c>
      <c r="C3626" s="6" t="inlineStr">
        <is>
          <t>DIA</t>
        </is>
      </c>
      <c r="D3626" s="6" t="inlineStr">
        <is>
          <t>VZ</t>
        </is>
      </c>
      <c r="E3626" s="6" t="inlineStr">
        <is>
          <t>VZ</t>
        </is>
      </c>
      <c r="F3626" s="6" t="inlineStr">
        <is>
          <t>-</t>
        </is>
      </c>
      <c r="G3626" s="7" t="n">
        <v>41.42805862426758</v>
      </c>
      <c r="H3626" s="6">
        <f>P3595</f>
        <v/>
      </c>
      <c r="I3626" s="9">
        <f>Q3595</f>
        <v/>
      </c>
      <c r="J3626" s="7">
        <f>I3626*G3626</f>
        <v/>
      </c>
      <c r="K3626" s="8">
        <f>IF($J$3628=0,0,J3626/$J$3628)</f>
        <v/>
      </c>
      <c r="L3626" s="6" t="inlineStr">
        <is>
          <t>WATCHLIST</t>
        </is>
      </c>
      <c r="M3626" s="8" t="n">
        <v>0</v>
      </c>
      <c r="N3626" s="7">
        <f>M3626*$J$3628-J3626</f>
        <v/>
      </c>
      <c r="O3626" s="9">
        <f>IF(G3626=0,0,N3626/G3626)</f>
        <v/>
      </c>
      <c r="P3626" s="6">
        <f>IF(M3626&gt;0,D3626,"")</f>
        <v/>
      </c>
      <c r="Q3626" s="9">
        <f>I3626+O3626</f>
        <v/>
      </c>
      <c r="R3626" s="7">
        <f>Q3626*G3626</f>
        <v/>
      </c>
      <c r="S3626" s="8">
        <f>IF($R$3628=0,0,R3626/$R$3628)</f>
        <v/>
      </c>
      <c r="T3626" s="8" t="n">
        <v>-0.02135393310288547</v>
      </c>
      <c r="U3626" s="8" t="n">
        <v>-0.009532519344268686</v>
      </c>
      <c r="V3626" s="6" t="inlineStr">
        <is>
          <t>not selected</t>
        </is>
      </c>
    </row>
    <row r="3627">
      <c r="A3627" s="6" t="inlineStr">
        <is>
          <t>DJ30</t>
        </is>
      </c>
      <c r="B3627" s="6" t="inlineStr">
        <is>
          <t>2025-03-28</t>
        </is>
      </c>
      <c r="C3627" s="6" t="inlineStr">
        <is>
          <t>DIA</t>
        </is>
      </c>
      <c r="D3627" s="6" t="inlineStr">
        <is>
          <t>WMT</t>
        </is>
      </c>
      <c r="E3627" s="6" t="inlineStr">
        <is>
          <t>WMT</t>
        </is>
      </c>
      <c r="F3627" s="6" t="inlineStr">
        <is>
          <t>-</t>
        </is>
      </c>
      <c r="G3627" s="7" t="n">
        <v>84.24030303955078</v>
      </c>
      <c r="H3627" s="6">
        <f>P3596</f>
        <v/>
      </c>
      <c r="I3627" s="9">
        <f>Q3596</f>
        <v/>
      </c>
      <c r="J3627" s="7">
        <f>I3627*G3627</f>
        <v/>
      </c>
      <c r="K3627" s="8">
        <f>IF($J$3628=0,0,J3627/$J$3628)</f>
        <v/>
      </c>
      <c r="L3627" s="6" t="inlineStr">
        <is>
          <t>SELECTED</t>
        </is>
      </c>
      <c r="M3627" s="8" t="n">
        <v>0.2</v>
      </c>
      <c r="N3627" s="7">
        <f>M3627*$J$3628-J3627</f>
        <v/>
      </c>
      <c r="O3627" s="9">
        <f>IF(G3627=0,0,N3627/G3627)</f>
        <v/>
      </c>
      <c r="P3627" s="6">
        <f>IF(M3627&gt;0,D3627,"")</f>
        <v/>
      </c>
      <c r="Q3627" s="9">
        <f>I3627+O3627</f>
        <v/>
      </c>
      <c r="R3627" s="7">
        <f>Q3627*G3627</f>
        <v/>
      </c>
      <c r="S3627" s="8">
        <f>IF($R$3628=0,0,R3627/$R$3628)</f>
        <v/>
      </c>
      <c r="T3627" s="8" t="n">
        <v>-0.02135393310288547</v>
      </c>
      <c r="U3627" s="8" t="n">
        <v>-0.009532519344268686</v>
      </c>
      <c r="V3627" s="6" t="inlineStr">
        <is>
          <t>remained in weekly selection</t>
        </is>
      </c>
    </row>
    <row r="3628">
      <c r="A3628" s="10" t="inlineStr">
        <is>
          <t>DJ30</t>
        </is>
      </c>
      <c r="B3628" s="10" t="inlineStr">
        <is>
          <t>2025-03-28</t>
        </is>
      </c>
      <c r="C3628" s="10" t="inlineStr">
        <is>
          <t>DIA</t>
        </is>
      </c>
      <c r="D3628" s="10" t="inlineStr">
        <is>
          <t>Tot Portfolio</t>
        </is>
      </c>
      <c r="E3628" s="10" t="inlineStr"/>
      <c r="F3628" s="10" t="inlineStr"/>
      <c r="G3628" s="11" t="inlineStr"/>
      <c r="H3628" s="10" t="inlineStr"/>
      <c r="I3628" s="12" t="inlineStr"/>
      <c r="J3628" s="11">
        <f>SUM(J3598:J3627)</f>
        <v/>
      </c>
      <c r="K3628" s="13">
        <f>SUM(K3598:K3627)</f>
        <v/>
      </c>
      <c r="L3628" s="10" t="inlineStr">
        <is>
          <t>TOTAL</t>
        </is>
      </c>
      <c r="M3628" s="13">
        <f>SUM(M3598:M3627)</f>
        <v/>
      </c>
      <c r="N3628" s="11">
        <f>SUM(N3598:N3627)</f>
        <v/>
      </c>
      <c r="O3628" s="12">
        <f>SUM(O3598:O3627)</f>
        <v/>
      </c>
      <c r="P3628" s="10" t="inlineStr"/>
      <c r="Q3628" s="12" t="inlineStr"/>
      <c r="R3628" s="11">
        <f>SUM(R3598:R3627)</f>
        <v/>
      </c>
      <c r="S3628" s="13">
        <f>SUM(S3598:S3627)</f>
        <v/>
      </c>
      <c r="T3628" s="13" t="n">
        <v>-0.02135393310288547</v>
      </c>
      <c r="U3628" s="13" t="n">
        <v>-0.009532519344268686</v>
      </c>
      <c r="V3628" s="10" t="inlineStr"/>
    </row>
    <row r="3629">
      <c r="A3629" s="6" t="inlineStr">
        <is>
          <t>DJ30</t>
        </is>
      </c>
      <c r="B3629" s="6" t="inlineStr">
        <is>
          <t>2025-04-04</t>
        </is>
      </c>
      <c r="C3629" s="6" t="inlineStr">
        <is>
          <t>DIA</t>
        </is>
      </c>
      <c r="D3629" s="6" t="inlineStr">
        <is>
          <t>AAPL</t>
        </is>
      </c>
      <c r="E3629" s="6" t="inlineStr">
        <is>
          <t>AAPL</t>
        </is>
      </c>
      <c r="F3629" s="6" t="inlineStr">
        <is>
          <t>-</t>
        </is>
      </c>
      <c r="G3629" s="7" t="n">
        <v>187.389892578125</v>
      </c>
      <c r="H3629" s="6">
        <f>P3598</f>
        <v/>
      </c>
      <c r="I3629" s="9">
        <f>Q3598</f>
        <v/>
      </c>
      <c r="J3629" s="7">
        <f>I3629*G3629</f>
        <v/>
      </c>
      <c r="K3629" s="8">
        <f>IF($J$3659=0,0,J3629/$J$3659)</f>
        <v/>
      </c>
      <c r="L3629" s="6" t="inlineStr">
        <is>
          <t>WATCHLIST</t>
        </is>
      </c>
      <c r="M3629" s="8" t="n">
        <v>0</v>
      </c>
      <c r="N3629" s="7">
        <f>M3629*$J$3659-J3629</f>
        <v/>
      </c>
      <c r="O3629" s="9">
        <f>IF(G3629=0,0,N3629/G3629)</f>
        <v/>
      </c>
      <c r="P3629" s="6">
        <f>IF(M3629&gt;0,D3629,"")</f>
        <v/>
      </c>
      <c r="Q3629" s="9">
        <f>I3629+O3629</f>
        <v/>
      </c>
      <c r="R3629" s="7">
        <f>Q3629*G3629</f>
        <v/>
      </c>
      <c r="S3629" s="8">
        <f>IF($R$3659=0,0,R3629/$R$3659)</f>
        <v/>
      </c>
      <c r="T3629" s="8" t="n">
        <v>-0.07819568205652827</v>
      </c>
      <c r="U3629" s="8" t="n">
        <v>-0.07795568301780142</v>
      </c>
      <c r="V3629" s="6" t="inlineStr">
        <is>
          <t>not selected</t>
        </is>
      </c>
    </row>
    <row r="3630">
      <c r="A3630" s="6" t="inlineStr">
        <is>
          <t>DJ30</t>
        </is>
      </c>
      <c r="B3630" s="6" t="inlineStr">
        <is>
          <t>2025-04-04</t>
        </is>
      </c>
      <c r="C3630" s="6" t="inlineStr">
        <is>
          <t>DIA</t>
        </is>
      </c>
      <c r="D3630" s="6" t="inlineStr">
        <is>
          <t>AMGN</t>
        </is>
      </c>
      <c r="E3630" s="6" t="inlineStr">
        <is>
          <t>AMGN</t>
        </is>
      </c>
      <c r="F3630" s="6" t="inlineStr">
        <is>
          <t>-</t>
        </is>
      </c>
      <c r="G3630" s="7" t="n">
        <v>283.2958984375</v>
      </c>
      <c r="H3630" s="6">
        <f>P3599</f>
        <v/>
      </c>
      <c r="I3630" s="9">
        <f>Q3599</f>
        <v/>
      </c>
      <c r="J3630" s="7">
        <f>I3630*G3630</f>
        <v/>
      </c>
      <c r="K3630" s="8">
        <f>IF($J$3659=0,0,J3630/$J$3659)</f>
        <v/>
      </c>
      <c r="L3630" s="6" t="inlineStr">
        <is>
          <t>REJECTED</t>
        </is>
      </c>
      <c r="M3630" s="8" t="n">
        <v>0</v>
      </c>
      <c r="N3630" s="7">
        <f>M3630*$J$3659-J3630</f>
        <v/>
      </c>
      <c r="O3630" s="9">
        <f>IF(G3630=0,0,N3630/G3630)</f>
        <v/>
      </c>
      <c r="P3630" s="6">
        <f>IF(M3630&gt;0,D3630,"")</f>
        <v/>
      </c>
      <c r="Q3630" s="9">
        <f>I3630+O3630</f>
        <v/>
      </c>
      <c r="R3630" s="7">
        <f>Q3630*G3630</f>
        <v/>
      </c>
      <c r="S3630" s="8">
        <f>IF($R$3659=0,0,R3630/$R$3659)</f>
        <v/>
      </c>
      <c r="T3630" s="8" t="n">
        <v>-0.07819568205652827</v>
      </c>
      <c r="U3630" s="8" t="n">
        <v>-0.07795568301780142</v>
      </c>
      <c r="V3630" s="6" t="inlineStr">
        <is>
          <t>not selected</t>
        </is>
      </c>
    </row>
    <row r="3631">
      <c r="A3631" s="6" t="inlineStr">
        <is>
          <t>DJ30</t>
        </is>
      </c>
      <c r="B3631" s="6" t="inlineStr">
        <is>
          <t>2025-04-04</t>
        </is>
      </c>
      <c r="C3631" s="6" t="inlineStr">
        <is>
          <t>DIA</t>
        </is>
      </c>
      <c r="D3631" s="6" t="inlineStr">
        <is>
          <t>AMZN</t>
        </is>
      </c>
      <c r="E3631" s="6" t="inlineStr">
        <is>
          <t>AMZN</t>
        </is>
      </c>
      <c r="F3631" s="6" t="inlineStr">
        <is>
          <t>-</t>
        </is>
      </c>
      <c r="G3631" s="7" t="n">
        <v>171</v>
      </c>
      <c r="H3631" s="6">
        <f>P3600</f>
        <v/>
      </c>
      <c r="I3631" s="9">
        <f>Q3600</f>
        <v/>
      </c>
      <c r="J3631" s="7">
        <f>I3631*G3631</f>
        <v/>
      </c>
      <c r="K3631" s="8">
        <f>IF($J$3659=0,0,J3631/$J$3659)</f>
        <v/>
      </c>
      <c r="L3631" s="6" t="inlineStr">
        <is>
          <t>WATCHLIST</t>
        </is>
      </c>
      <c r="M3631" s="8" t="n">
        <v>0</v>
      </c>
      <c r="N3631" s="7">
        <f>M3631*$J$3659-J3631</f>
        <v/>
      </c>
      <c r="O3631" s="9">
        <f>IF(G3631=0,0,N3631/G3631)</f>
        <v/>
      </c>
      <c r="P3631" s="6">
        <f>IF(M3631&gt;0,D3631,"")</f>
        <v/>
      </c>
      <c r="Q3631" s="9">
        <f>I3631+O3631</f>
        <v/>
      </c>
      <c r="R3631" s="7">
        <f>Q3631*G3631</f>
        <v/>
      </c>
      <c r="S3631" s="8">
        <f>IF($R$3659=0,0,R3631/$R$3659)</f>
        <v/>
      </c>
      <c r="T3631" s="8" t="n">
        <v>-0.07819568205652827</v>
      </c>
      <c r="U3631" s="8" t="n">
        <v>-0.07795568301780142</v>
      </c>
      <c r="V3631" s="6" t="inlineStr">
        <is>
          <t>not selected</t>
        </is>
      </c>
    </row>
    <row r="3632">
      <c r="A3632" s="6" t="inlineStr">
        <is>
          <t>DJ30</t>
        </is>
      </c>
      <c r="B3632" s="6" t="inlineStr">
        <is>
          <t>2025-04-04</t>
        </is>
      </c>
      <c r="C3632" s="6" t="inlineStr">
        <is>
          <t>DIA</t>
        </is>
      </c>
      <c r="D3632" s="6" t="inlineStr">
        <is>
          <t>AXP</t>
        </is>
      </c>
      <c r="E3632" s="6" t="inlineStr">
        <is>
          <t>AXP</t>
        </is>
      </c>
      <c r="F3632" s="6" t="inlineStr">
        <is>
          <t>-</t>
        </is>
      </c>
      <c r="G3632" s="7" t="n">
        <v>231.2559509277344</v>
      </c>
      <c r="H3632" s="6">
        <f>P3601</f>
        <v/>
      </c>
      <c r="I3632" s="9">
        <f>Q3601</f>
        <v/>
      </c>
      <c r="J3632" s="7">
        <f>I3632*G3632</f>
        <v/>
      </c>
      <c r="K3632" s="8">
        <f>IF($J$3659=0,0,J3632/$J$3659)</f>
        <v/>
      </c>
      <c r="L3632" s="6" t="inlineStr">
        <is>
          <t>WATCHLIST</t>
        </is>
      </c>
      <c r="M3632" s="8" t="n">
        <v>0</v>
      </c>
      <c r="N3632" s="7">
        <f>M3632*$J$3659-J3632</f>
        <v/>
      </c>
      <c r="O3632" s="9">
        <f>IF(G3632=0,0,N3632/G3632)</f>
        <v/>
      </c>
      <c r="P3632" s="6">
        <f>IF(M3632&gt;0,D3632,"")</f>
        <v/>
      </c>
      <c r="Q3632" s="9">
        <f>I3632+O3632</f>
        <v/>
      </c>
      <c r="R3632" s="7">
        <f>Q3632*G3632</f>
        <v/>
      </c>
      <c r="S3632" s="8">
        <f>IF($R$3659=0,0,R3632/$R$3659)</f>
        <v/>
      </c>
      <c r="T3632" s="8" t="n">
        <v>-0.07819568205652827</v>
      </c>
      <c r="U3632" s="8" t="n">
        <v>-0.07795568301780142</v>
      </c>
      <c r="V3632" s="6" t="inlineStr">
        <is>
          <t>not selected</t>
        </is>
      </c>
    </row>
    <row r="3633">
      <c r="A3633" s="6" t="inlineStr">
        <is>
          <t>DJ30</t>
        </is>
      </c>
      <c r="B3633" s="6" t="inlineStr">
        <is>
          <t>2025-04-04</t>
        </is>
      </c>
      <c r="C3633" s="6" t="inlineStr">
        <is>
          <t>DIA</t>
        </is>
      </c>
      <c r="D3633" s="6" t="inlineStr">
        <is>
          <t>BA</t>
        </is>
      </c>
      <c r="E3633" s="6" t="inlineStr">
        <is>
          <t>BA</t>
        </is>
      </c>
      <c r="F3633" s="6" t="inlineStr">
        <is>
          <t>-</t>
        </is>
      </c>
      <c r="G3633" s="7" t="n">
        <v>136.5899963378906</v>
      </c>
      <c r="H3633" s="6">
        <f>P3602</f>
        <v/>
      </c>
      <c r="I3633" s="9">
        <f>Q3602</f>
        <v/>
      </c>
      <c r="J3633" s="7">
        <f>I3633*G3633</f>
        <v/>
      </c>
      <c r="K3633" s="8">
        <f>IF($J$3659=0,0,J3633/$J$3659)</f>
        <v/>
      </c>
      <c r="L3633" s="6" t="inlineStr">
        <is>
          <t>REJECTED</t>
        </is>
      </c>
      <c r="M3633" s="8" t="n">
        <v>0</v>
      </c>
      <c r="N3633" s="7">
        <f>M3633*$J$3659-J3633</f>
        <v/>
      </c>
      <c r="O3633" s="9">
        <f>IF(G3633=0,0,N3633/G3633)</f>
        <v/>
      </c>
      <c r="P3633" s="6">
        <f>IF(M3633&gt;0,D3633,"")</f>
        <v/>
      </c>
      <c r="Q3633" s="9">
        <f>I3633+O3633</f>
        <v/>
      </c>
      <c r="R3633" s="7">
        <f>Q3633*G3633</f>
        <v/>
      </c>
      <c r="S3633" s="8">
        <f>IF($R$3659=0,0,R3633/$R$3659)</f>
        <v/>
      </c>
      <c r="T3633" s="8" t="n">
        <v>-0.07819568205652827</v>
      </c>
      <c r="U3633" s="8" t="n">
        <v>-0.07795568301780142</v>
      </c>
      <c r="V3633" s="6" t="inlineStr">
        <is>
          <t>not selected</t>
        </is>
      </c>
    </row>
    <row r="3634">
      <c r="A3634" s="6" t="inlineStr">
        <is>
          <t>DJ30</t>
        </is>
      </c>
      <c r="B3634" s="6" t="inlineStr">
        <is>
          <t>2025-04-04</t>
        </is>
      </c>
      <c r="C3634" s="6" t="inlineStr">
        <is>
          <t>DIA</t>
        </is>
      </c>
      <c r="D3634" s="6" t="inlineStr">
        <is>
          <t>CAT</t>
        </is>
      </c>
      <c r="E3634" s="6" t="inlineStr">
        <is>
          <t>CAT</t>
        </is>
      </c>
      <c r="F3634" s="6" t="inlineStr">
        <is>
          <t>-</t>
        </is>
      </c>
      <c r="G3634" s="7" t="n">
        <v>283.6299133300781</v>
      </c>
      <c r="H3634" s="6">
        <f>P3603</f>
        <v/>
      </c>
      <c r="I3634" s="9">
        <f>Q3603</f>
        <v/>
      </c>
      <c r="J3634" s="7">
        <f>I3634*G3634</f>
        <v/>
      </c>
      <c r="K3634" s="8">
        <f>IF($J$3659=0,0,J3634/$J$3659)</f>
        <v/>
      </c>
      <c r="L3634" s="6" t="inlineStr">
        <is>
          <t>REJECTED</t>
        </is>
      </c>
      <c r="M3634" s="8" t="n">
        <v>0</v>
      </c>
      <c r="N3634" s="7">
        <f>M3634*$J$3659-J3634</f>
        <v/>
      </c>
      <c r="O3634" s="9">
        <f>IF(G3634=0,0,N3634/G3634)</f>
        <v/>
      </c>
      <c r="P3634" s="6">
        <f>IF(M3634&gt;0,D3634,"")</f>
        <v/>
      </c>
      <c r="Q3634" s="9">
        <f>I3634+O3634</f>
        <v/>
      </c>
      <c r="R3634" s="7">
        <f>Q3634*G3634</f>
        <v/>
      </c>
      <c r="S3634" s="8">
        <f>IF($R$3659=0,0,R3634/$R$3659)</f>
        <v/>
      </c>
      <c r="T3634" s="8" t="n">
        <v>-0.07819568205652827</v>
      </c>
      <c r="U3634" s="8" t="n">
        <v>-0.07795568301780142</v>
      </c>
      <c r="V3634" s="6" t="inlineStr">
        <is>
          <t>not selected</t>
        </is>
      </c>
    </row>
    <row r="3635">
      <c r="A3635" s="6" t="inlineStr">
        <is>
          <t>DJ30</t>
        </is>
      </c>
      <c r="B3635" s="6" t="inlineStr">
        <is>
          <t>2025-04-04</t>
        </is>
      </c>
      <c r="C3635" s="6" t="inlineStr">
        <is>
          <t>DIA</t>
        </is>
      </c>
      <c r="D3635" s="6" t="inlineStr">
        <is>
          <t>CRM</t>
        </is>
      </c>
      <c r="E3635" s="6" t="inlineStr">
        <is>
          <t>CRM</t>
        </is>
      </c>
      <c r="F3635" s="6" t="inlineStr">
        <is>
          <t>-</t>
        </is>
      </c>
      <c r="G3635" s="7" t="n">
        <v>237.9874267578125</v>
      </c>
      <c r="H3635" s="6">
        <f>P3604</f>
        <v/>
      </c>
      <c r="I3635" s="9">
        <f>Q3604</f>
        <v/>
      </c>
      <c r="J3635" s="7">
        <f>I3635*G3635</f>
        <v/>
      </c>
      <c r="K3635" s="8">
        <f>IF($J$3659=0,0,J3635/$J$3659)</f>
        <v/>
      </c>
      <c r="L3635" s="6" t="inlineStr">
        <is>
          <t>SELECTED</t>
        </is>
      </c>
      <c r="M3635" s="8" t="n">
        <v>0.2</v>
      </c>
      <c r="N3635" s="7">
        <f>M3635*$J$3659-J3635</f>
        <v/>
      </c>
      <c r="O3635" s="9">
        <f>IF(G3635=0,0,N3635/G3635)</f>
        <v/>
      </c>
      <c r="P3635" s="6">
        <f>IF(M3635&gt;0,D3635,"")</f>
        <v/>
      </c>
      <c r="Q3635" s="9">
        <f>I3635+O3635</f>
        <v/>
      </c>
      <c r="R3635" s="7">
        <f>Q3635*G3635</f>
        <v/>
      </c>
      <c r="S3635" s="8">
        <f>IF($R$3659=0,0,R3635/$R$3659)</f>
        <v/>
      </c>
      <c r="T3635" s="8" t="n">
        <v>-0.07819568205652827</v>
      </c>
      <c r="U3635" s="8" t="n">
        <v>-0.07795568301780142</v>
      </c>
      <c r="V3635" s="6" t="inlineStr">
        <is>
          <t>entered weekly selection</t>
        </is>
      </c>
    </row>
    <row r="3636">
      <c r="A3636" s="6" t="inlineStr">
        <is>
          <t>DJ30</t>
        </is>
      </c>
      <c r="B3636" s="6" t="inlineStr">
        <is>
          <t>2025-04-04</t>
        </is>
      </c>
      <c r="C3636" s="6" t="inlineStr">
        <is>
          <t>DIA</t>
        </is>
      </c>
      <c r="D3636" s="6" t="inlineStr">
        <is>
          <t>CSCO</t>
        </is>
      </c>
      <c r="E3636" s="6" t="inlineStr">
        <is>
          <t>CSCO</t>
        </is>
      </c>
      <c r="F3636" s="6" t="inlineStr">
        <is>
          <t>-</t>
        </is>
      </c>
      <c r="G3636" s="7" t="n">
        <v>53.3128776550293</v>
      </c>
      <c r="H3636" s="6">
        <f>P3605</f>
        <v/>
      </c>
      <c r="I3636" s="9">
        <f>Q3605</f>
        <v/>
      </c>
      <c r="J3636" s="7">
        <f>I3636*G3636</f>
        <v/>
      </c>
      <c r="K3636" s="8">
        <f>IF($J$3659=0,0,J3636/$J$3659)</f>
        <v/>
      </c>
      <c r="L3636" s="6" t="inlineStr">
        <is>
          <t>WATCHLIST</t>
        </is>
      </c>
      <c r="M3636" s="8" t="n">
        <v>0</v>
      </c>
      <c r="N3636" s="7">
        <f>M3636*$J$3659-J3636</f>
        <v/>
      </c>
      <c r="O3636" s="9">
        <f>IF(G3636=0,0,N3636/G3636)</f>
        <v/>
      </c>
      <c r="P3636" s="6">
        <f>IF(M3636&gt;0,D3636,"")</f>
        <v/>
      </c>
      <c r="Q3636" s="9">
        <f>I3636+O3636</f>
        <v/>
      </c>
      <c r="R3636" s="7">
        <f>Q3636*G3636</f>
        <v/>
      </c>
      <c r="S3636" s="8">
        <f>IF($R$3659=0,0,R3636/$R$3659)</f>
        <v/>
      </c>
      <c r="T3636" s="8" t="n">
        <v>-0.07819568205652827</v>
      </c>
      <c r="U3636" s="8" t="n">
        <v>-0.07795568301780142</v>
      </c>
      <c r="V3636" s="6" t="inlineStr">
        <is>
          <t>removed from weekly selection</t>
        </is>
      </c>
    </row>
    <row r="3637">
      <c r="A3637" s="6" t="inlineStr">
        <is>
          <t>DJ30</t>
        </is>
      </c>
      <c r="B3637" s="6" t="inlineStr">
        <is>
          <t>2025-04-04</t>
        </is>
      </c>
      <c r="C3637" s="6" t="inlineStr">
        <is>
          <t>DIA</t>
        </is>
      </c>
      <c r="D3637" s="6" t="inlineStr">
        <is>
          <t>CVX</t>
        </is>
      </c>
      <c r="E3637" s="6" t="inlineStr">
        <is>
          <t>CVX</t>
        </is>
      </c>
      <c r="F3637" s="6" t="inlineStr">
        <is>
          <t>-</t>
        </is>
      </c>
      <c r="G3637" s="7" t="n">
        <v>135.8653869628906</v>
      </c>
      <c r="H3637" s="6">
        <f>P3606</f>
        <v/>
      </c>
      <c r="I3637" s="9">
        <f>Q3606</f>
        <v/>
      </c>
      <c r="J3637" s="7">
        <f>I3637*G3637</f>
        <v/>
      </c>
      <c r="K3637" s="8">
        <f>IF($J$3659=0,0,J3637/$J$3659)</f>
        <v/>
      </c>
      <c r="L3637" s="6" t="inlineStr">
        <is>
          <t>REJECTED</t>
        </is>
      </c>
      <c r="M3637" s="8" t="n">
        <v>0</v>
      </c>
      <c r="N3637" s="7">
        <f>M3637*$J$3659-J3637</f>
        <v/>
      </c>
      <c r="O3637" s="9">
        <f>IF(G3637=0,0,N3637/G3637)</f>
        <v/>
      </c>
      <c r="P3637" s="6">
        <f>IF(M3637&gt;0,D3637,"")</f>
        <v/>
      </c>
      <c r="Q3637" s="9">
        <f>I3637+O3637</f>
        <v/>
      </c>
      <c r="R3637" s="7">
        <f>Q3637*G3637</f>
        <v/>
      </c>
      <c r="S3637" s="8">
        <f>IF($R$3659=0,0,R3637/$R$3659)</f>
        <v/>
      </c>
      <c r="T3637" s="8" t="n">
        <v>-0.07819568205652827</v>
      </c>
      <c r="U3637" s="8" t="n">
        <v>-0.07795568301780142</v>
      </c>
      <c r="V3637" s="6" t="inlineStr">
        <is>
          <t>not selected</t>
        </is>
      </c>
    </row>
    <row r="3638">
      <c r="A3638" s="6" t="inlineStr">
        <is>
          <t>DJ30</t>
        </is>
      </c>
      <c r="B3638" s="6" t="inlineStr">
        <is>
          <t>2025-04-04</t>
        </is>
      </c>
      <c r="C3638" s="6" t="inlineStr">
        <is>
          <t>DIA</t>
        </is>
      </c>
      <c r="D3638" s="6" t="inlineStr">
        <is>
          <t>DIS</t>
        </is>
      </c>
      <c r="E3638" s="6" t="inlineStr">
        <is>
          <t>DIS</t>
        </is>
      </c>
      <c r="F3638" s="6" t="inlineStr">
        <is>
          <t>-</t>
        </is>
      </c>
      <c r="G3638" s="7" t="n">
        <v>82.6163330078125</v>
      </c>
      <c r="H3638" s="6">
        <f>P3607</f>
        <v/>
      </c>
      <c r="I3638" s="9">
        <f>Q3607</f>
        <v/>
      </c>
      <c r="J3638" s="7">
        <f>I3638*G3638</f>
        <v/>
      </c>
      <c r="K3638" s="8">
        <f>IF($J$3659=0,0,J3638/$J$3659)</f>
        <v/>
      </c>
      <c r="L3638" s="6" t="inlineStr">
        <is>
          <t>REJECTED</t>
        </is>
      </c>
      <c r="M3638" s="8" t="n">
        <v>0</v>
      </c>
      <c r="N3638" s="7">
        <f>M3638*$J$3659-J3638</f>
        <v/>
      </c>
      <c r="O3638" s="9">
        <f>IF(G3638=0,0,N3638/G3638)</f>
        <v/>
      </c>
      <c r="P3638" s="6">
        <f>IF(M3638&gt;0,D3638,"")</f>
        <v/>
      </c>
      <c r="Q3638" s="9">
        <f>I3638+O3638</f>
        <v/>
      </c>
      <c r="R3638" s="7">
        <f>Q3638*G3638</f>
        <v/>
      </c>
      <c r="S3638" s="8">
        <f>IF($R$3659=0,0,R3638/$R$3659)</f>
        <v/>
      </c>
      <c r="T3638" s="8" t="n">
        <v>-0.07819568205652827</v>
      </c>
      <c r="U3638" s="8" t="n">
        <v>-0.07795568301780142</v>
      </c>
      <c r="V3638" s="6" t="inlineStr">
        <is>
          <t>not selected</t>
        </is>
      </c>
    </row>
    <row r="3639">
      <c r="A3639" s="6" t="inlineStr">
        <is>
          <t>DJ30</t>
        </is>
      </c>
      <c r="B3639" s="6" t="inlineStr">
        <is>
          <t>2025-04-04</t>
        </is>
      </c>
      <c r="C3639" s="6" t="inlineStr">
        <is>
          <t>DIA</t>
        </is>
      </c>
      <c r="D3639" s="6" t="inlineStr">
        <is>
          <t>GS</t>
        </is>
      </c>
      <c r="E3639" s="6" t="inlineStr">
        <is>
          <t>GS</t>
        </is>
      </c>
      <c r="F3639" s="6" t="inlineStr">
        <is>
          <t>-</t>
        </is>
      </c>
      <c r="G3639" s="7" t="n">
        <v>459.2303161621094</v>
      </c>
      <c r="H3639" s="6">
        <f>P3608</f>
        <v/>
      </c>
      <c r="I3639" s="9">
        <f>Q3608</f>
        <v/>
      </c>
      <c r="J3639" s="7">
        <f>I3639*G3639</f>
        <v/>
      </c>
      <c r="K3639" s="8">
        <f>IF($J$3659=0,0,J3639/$J$3659)</f>
        <v/>
      </c>
      <c r="L3639" s="6" t="inlineStr">
        <is>
          <t>WATCHLIST</t>
        </is>
      </c>
      <c r="M3639" s="8" t="n">
        <v>0</v>
      </c>
      <c r="N3639" s="7">
        <f>M3639*$J$3659-J3639</f>
        <v/>
      </c>
      <c r="O3639" s="9">
        <f>IF(G3639=0,0,N3639/G3639)</f>
        <v/>
      </c>
      <c r="P3639" s="6">
        <f>IF(M3639&gt;0,D3639,"")</f>
        <v/>
      </c>
      <c r="Q3639" s="9">
        <f>I3639+O3639</f>
        <v/>
      </c>
      <c r="R3639" s="7">
        <f>Q3639*G3639</f>
        <v/>
      </c>
      <c r="S3639" s="8">
        <f>IF($R$3659=0,0,R3639/$R$3659)</f>
        <v/>
      </c>
      <c r="T3639" s="8" t="n">
        <v>-0.07819568205652827</v>
      </c>
      <c r="U3639" s="8" t="n">
        <v>-0.07795568301780142</v>
      </c>
      <c r="V3639" s="6" t="inlineStr">
        <is>
          <t>not selected</t>
        </is>
      </c>
    </row>
    <row r="3640">
      <c r="A3640" s="6" t="inlineStr">
        <is>
          <t>DJ30</t>
        </is>
      </c>
      <c r="B3640" s="6" t="inlineStr">
        <is>
          <t>2025-04-04</t>
        </is>
      </c>
      <c r="C3640" s="6" t="inlineStr">
        <is>
          <t>DIA</t>
        </is>
      </c>
      <c r="D3640" s="6" t="inlineStr">
        <is>
          <t>HD</t>
        </is>
      </c>
      <c r="E3640" s="6" t="inlineStr">
        <is>
          <t>HD</t>
        </is>
      </c>
      <c r="F3640" s="6" t="inlineStr">
        <is>
          <t>-</t>
        </is>
      </c>
      <c r="G3640" s="7" t="n">
        <v>342.605224609375</v>
      </c>
      <c r="H3640" s="6">
        <f>P3609</f>
        <v/>
      </c>
      <c r="I3640" s="9">
        <f>Q3609</f>
        <v/>
      </c>
      <c r="J3640" s="7">
        <f>I3640*G3640</f>
        <v/>
      </c>
      <c r="K3640" s="8">
        <f>IF($J$3659=0,0,J3640/$J$3659)</f>
        <v/>
      </c>
      <c r="L3640" s="6" t="inlineStr">
        <is>
          <t>WATCHLIST</t>
        </is>
      </c>
      <c r="M3640" s="8" t="n">
        <v>0</v>
      </c>
      <c r="N3640" s="7">
        <f>M3640*$J$3659-J3640</f>
        <v/>
      </c>
      <c r="O3640" s="9">
        <f>IF(G3640=0,0,N3640/G3640)</f>
        <v/>
      </c>
      <c r="P3640" s="6">
        <f>IF(M3640&gt;0,D3640,"")</f>
        <v/>
      </c>
      <c r="Q3640" s="9">
        <f>I3640+O3640</f>
        <v/>
      </c>
      <c r="R3640" s="7">
        <f>Q3640*G3640</f>
        <v/>
      </c>
      <c r="S3640" s="8">
        <f>IF($R$3659=0,0,R3640/$R$3659)</f>
        <v/>
      </c>
      <c r="T3640" s="8" t="n">
        <v>-0.07819568205652827</v>
      </c>
      <c r="U3640" s="8" t="n">
        <v>-0.07795568301780142</v>
      </c>
      <c r="V3640" s="6" t="inlineStr">
        <is>
          <t>not selected</t>
        </is>
      </c>
    </row>
    <row r="3641">
      <c r="A3641" s="6" t="inlineStr">
        <is>
          <t>DJ30</t>
        </is>
      </c>
      <c r="B3641" s="6" t="inlineStr">
        <is>
          <t>2025-04-04</t>
        </is>
      </c>
      <c r="C3641" s="6" t="inlineStr">
        <is>
          <t>DIA</t>
        </is>
      </c>
      <c r="D3641" s="6" t="inlineStr">
        <is>
          <t>HON</t>
        </is>
      </c>
      <c r="E3641" s="6" t="inlineStr">
        <is>
          <t>HON</t>
        </is>
      </c>
      <c r="F3641" s="6" t="inlineStr">
        <is>
          <t>-</t>
        </is>
      </c>
      <c r="G3641" s="7" t="n">
        <v>175.2679138183594</v>
      </c>
      <c r="H3641" s="6">
        <f>P3610</f>
        <v/>
      </c>
      <c r="I3641" s="9">
        <f>Q3610</f>
        <v/>
      </c>
      <c r="J3641" s="7">
        <f>I3641*G3641</f>
        <v/>
      </c>
      <c r="K3641" s="8">
        <f>IF($J$3659=0,0,J3641/$J$3659)</f>
        <v/>
      </c>
      <c r="L3641" s="6" t="inlineStr">
        <is>
          <t>REJECTED</t>
        </is>
      </c>
      <c r="M3641" s="8" t="n">
        <v>0</v>
      </c>
      <c r="N3641" s="7">
        <f>M3641*$J$3659-J3641</f>
        <v/>
      </c>
      <c r="O3641" s="9">
        <f>IF(G3641=0,0,N3641/G3641)</f>
        <v/>
      </c>
      <c r="P3641" s="6">
        <f>IF(M3641&gt;0,D3641,"")</f>
        <v/>
      </c>
      <c r="Q3641" s="9">
        <f>I3641+O3641</f>
        <v/>
      </c>
      <c r="R3641" s="7">
        <f>Q3641*G3641</f>
        <v/>
      </c>
      <c r="S3641" s="8">
        <f>IF($R$3659=0,0,R3641/$R$3659)</f>
        <v/>
      </c>
      <c r="T3641" s="8" t="n">
        <v>-0.07819568205652827</v>
      </c>
      <c r="U3641" s="8" t="n">
        <v>-0.07795568301780142</v>
      </c>
      <c r="V3641" s="6" t="inlineStr">
        <is>
          <t>not selected</t>
        </is>
      </c>
    </row>
    <row r="3642">
      <c r="A3642" s="6" t="inlineStr">
        <is>
          <t>DJ30</t>
        </is>
      </c>
      <c r="B3642" s="6" t="inlineStr">
        <is>
          <t>2025-04-04</t>
        </is>
      </c>
      <c r="C3642" s="6" t="inlineStr">
        <is>
          <t>DIA</t>
        </is>
      </c>
      <c r="D3642" s="6" t="inlineStr">
        <is>
          <t>IBM</t>
        </is>
      </c>
      <c r="E3642" s="6" t="inlineStr">
        <is>
          <t>IBM</t>
        </is>
      </c>
      <c r="F3642" s="6" t="inlineStr">
        <is>
          <t>-</t>
        </is>
      </c>
      <c r="G3642" s="7" t="n">
        <v>220.3406219482422</v>
      </c>
      <c r="H3642" s="6">
        <f>P3611</f>
        <v/>
      </c>
      <c r="I3642" s="9">
        <f>Q3611</f>
        <v/>
      </c>
      <c r="J3642" s="7">
        <f>I3642*G3642</f>
        <v/>
      </c>
      <c r="K3642" s="8">
        <f>IF($J$3659=0,0,J3642/$J$3659)</f>
        <v/>
      </c>
      <c r="L3642" s="6" t="inlineStr">
        <is>
          <t>SELECTED</t>
        </is>
      </c>
      <c r="M3642" s="8" t="n">
        <v>0.2</v>
      </c>
      <c r="N3642" s="7">
        <f>M3642*$J$3659-J3642</f>
        <v/>
      </c>
      <c r="O3642" s="9">
        <f>IF(G3642=0,0,N3642/G3642)</f>
        <v/>
      </c>
      <c r="P3642" s="6">
        <f>IF(M3642&gt;0,D3642,"")</f>
        <v/>
      </c>
      <c r="Q3642" s="9">
        <f>I3642+O3642</f>
        <v/>
      </c>
      <c r="R3642" s="7">
        <f>Q3642*G3642</f>
        <v/>
      </c>
      <c r="S3642" s="8">
        <f>IF($R$3659=0,0,R3642/$R$3659)</f>
        <v/>
      </c>
      <c r="T3642" s="8" t="n">
        <v>-0.07819568205652827</v>
      </c>
      <c r="U3642" s="8" t="n">
        <v>-0.07795568301780142</v>
      </c>
      <c r="V3642" s="6" t="inlineStr">
        <is>
          <t>remained in weekly selection</t>
        </is>
      </c>
    </row>
    <row r="3643">
      <c r="A3643" s="6" t="inlineStr">
        <is>
          <t>DJ30</t>
        </is>
      </c>
      <c r="B3643" s="6" t="inlineStr">
        <is>
          <t>2025-04-04</t>
        </is>
      </c>
      <c r="C3643" s="6" t="inlineStr">
        <is>
          <t>DIA</t>
        </is>
      </c>
      <c r="D3643" s="6" t="inlineStr">
        <is>
          <t>JNJ</t>
        </is>
      </c>
      <c r="E3643" s="6" t="inlineStr">
        <is>
          <t>JNJ</t>
        </is>
      </c>
      <c r="F3643" s="6" t="inlineStr">
        <is>
          <t>-</t>
        </is>
      </c>
      <c r="G3643" s="7" t="n">
        <v>148.2336730957031</v>
      </c>
      <c r="H3643" s="6">
        <f>P3612</f>
        <v/>
      </c>
      <c r="I3643" s="9">
        <f>Q3612</f>
        <v/>
      </c>
      <c r="J3643" s="7">
        <f>I3643*G3643</f>
        <v/>
      </c>
      <c r="K3643" s="8">
        <f>IF($J$3659=0,0,J3643/$J$3659)</f>
        <v/>
      </c>
      <c r="L3643" s="6" t="inlineStr">
        <is>
          <t>REJECTED</t>
        </is>
      </c>
      <c r="M3643" s="8" t="n">
        <v>0</v>
      </c>
      <c r="N3643" s="7">
        <f>M3643*$J$3659-J3643</f>
        <v/>
      </c>
      <c r="O3643" s="9">
        <f>IF(G3643=0,0,N3643/G3643)</f>
        <v/>
      </c>
      <c r="P3643" s="6">
        <f>IF(M3643&gt;0,D3643,"")</f>
        <v/>
      </c>
      <c r="Q3643" s="9">
        <f>I3643+O3643</f>
        <v/>
      </c>
      <c r="R3643" s="7">
        <f>Q3643*G3643</f>
        <v/>
      </c>
      <c r="S3643" s="8">
        <f>IF($R$3659=0,0,R3643/$R$3659)</f>
        <v/>
      </c>
      <c r="T3643" s="8" t="n">
        <v>-0.07819568205652827</v>
      </c>
      <c r="U3643" s="8" t="n">
        <v>-0.07795568301780142</v>
      </c>
      <c r="V3643" s="6" t="inlineStr">
        <is>
          <t>not selected</t>
        </is>
      </c>
    </row>
    <row r="3644">
      <c r="A3644" s="6" t="inlineStr">
        <is>
          <t>DJ30</t>
        </is>
      </c>
      <c r="B3644" s="6" t="inlineStr">
        <is>
          <t>2025-04-04</t>
        </is>
      </c>
      <c r="C3644" s="6" t="inlineStr">
        <is>
          <t>DIA</t>
        </is>
      </c>
      <c r="D3644" s="6" t="inlineStr">
        <is>
          <t>JPM</t>
        </is>
      </c>
      <c r="E3644" s="6" t="inlineStr">
        <is>
          <t>JPM</t>
        </is>
      </c>
      <c r="F3644" s="6" t="inlineStr">
        <is>
          <t>-</t>
        </is>
      </c>
      <c r="G3644" s="7" t="n">
        <v>206.2684783935547</v>
      </c>
      <c r="H3644" s="6">
        <f>P3613</f>
        <v/>
      </c>
      <c r="I3644" s="9">
        <f>Q3613</f>
        <v/>
      </c>
      <c r="J3644" s="7">
        <f>I3644*G3644</f>
        <v/>
      </c>
      <c r="K3644" s="8">
        <f>IF($J$3659=0,0,J3644/$J$3659)</f>
        <v/>
      </c>
      <c r="L3644" s="6" t="inlineStr">
        <is>
          <t>WATCHLIST</t>
        </is>
      </c>
      <c r="M3644" s="8" t="n">
        <v>0</v>
      </c>
      <c r="N3644" s="7">
        <f>M3644*$J$3659-J3644</f>
        <v/>
      </c>
      <c r="O3644" s="9">
        <f>IF(G3644=0,0,N3644/G3644)</f>
        <v/>
      </c>
      <c r="P3644" s="6">
        <f>IF(M3644&gt;0,D3644,"")</f>
        <v/>
      </c>
      <c r="Q3644" s="9">
        <f>I3644+O3644</f>
        <v/>
      </c>
      <c r="R3644" s="7">
        <f>Q3644*G3644</f>
        <v/>
      </c>
      <c r="S3644" s="8">
        <f>IF($R$3659=0,0,R3644/$R$3659)</f>
        <v/>
      </c>
      <c r="T3644" s="8" t="n">
        <v>-0.07819568205652827</v>
      </c>
      <c r="U3644" s="8" t="n">
        <v>-0.07795568301780142</v>
      </c>
      <c r="V3644" s="6" t="inlineStr">
        <is>
          <t>not selected</t>
        </is>
      </c>
    </row>
    <row r="3645">
      <c r="A3645" s="6" t="inlineStr">
        <is>
          <t>DJ30</t>
        </is>
      </c>
      <c r="B3645" s="6" t="inlineStr">
        <is>
          <t>2025-04-04</t>
        </is>
      </c>
      <c r="C3645" s="6" t="inlineStr">
        <is>
          <t>DIA</t>
        </is>
      </c>
      <c r="D3645" s="6" t="inlineStr">
        <is>
          <t>KO</t>
        </is>
      </c>
      <c r="E3645" s="6" t="inlineStr">
        <is>
          <t>KO</t>
        </is>
      </c>
      <c r="F3645" s="6" t="inlineStr">
        <is>
          <t>-</t>
        </is>
      </c>
      <c r="G3645" s="7" t="n">
        <v>67.52397155761719</v>
      </c>
      <c r="H3645" s="6">
        <f>P3614</f>
        <v/>
      </c>
      <c r="I3645" s="9">
        <f>Q3614</f>
        <v/>
      </c>
      <c r="J3645" s="7">
        <f>I3645*G3645</f>
        <v/>
      </c>
      <c r="K3645" s="8">
        <f>IF($J$3659=0,0,J3645/$J$3659)</f>
        <v/>
      </c>
      <c r="L3645" s="6" t="inlineStr">
        <is>
          <t>REJECTED</t>
        </is>
      </c>
      <c r="M3645" s="8" t="n">
        <v>0</v>
      </c>
      <c r="N3645" s="7">
        <f>M3645*$J$3659-J3645</f>
        <v/>
      </c>
      <c r="O3645" s="9">
        <f>IF(G3645=0,0,N3645/G3645)</f>
        <v/>
      </c>
      <c r="P3645" s="6">
        <f>IF(M3645&gt;0,D3645,"")</f>
        <v/>
      </c>
      <c r="Q3645" s="9">
        <f>I3645+O3645</f>
        <v/>
      </c>
      <c r="R3645" s="7">
        <f>Q3645*G3645</f>
        <v/>
      </c>
      <c r="S3645" s="8">
        <f>IF($R$3659=0,0,R3645/$R$3659)</f>
        <v/>
      </c>
      <c r="T3645" s="8" t="n">
        <v>-0.07819568205652827</v>
      </c>
      <c r="U3645" s="8" t="n">
        <v>-0.07795568301780142</v>
      </c>
      <c r="V3645" s="6" t="inlineStr">
        <is>
          <t>not selected</t>
        </is>
      </c>
    </row>
    <row r="3646">
      <c r="A3646" s="6" t="inlineStr">
        <is>
          <t>DJ30</t>
        </is>
      </c>
      <c r="B3646" s="6" t="inlineStr">
        <is>
          <t>2025-04-04</t>
        </is>
      </c>
      <c r="C3646" s="6" t="inlineStr">
        <is>
          <t>DIA</t>
        </is>
      </c>
      <c r="D3646" s="6" t="inlineStr">
        <is>
          <t>MCD</t>
        </is>
      </c>
      <c r="E3646" s="6" t="inlineStr">
        <is>
          <t>MCD</t>
        </is>
      </c>
      <c r="F3646" s="6" t="inlineStr">
        <is>
          <t>-</t>
        </is>
      </c>
      <c r="G3646" s="7" t="n">
        <v>291.3482971191406</v>
      </c>
      <c r="H3646" s="6">
        <f>P3615</f>
        <v/>
      </c>
      <c r="I3646" s="9">
        <f>Q3615</f>
        <v/>
      </c>
      <c r="J3646" s="7">
        <f>I3646*G3646</f>
        <v/>
      </c>
      <c r="K3646" s="8">
        <f>IF($J$3659=0,0,J3646/$J$3659)</f>
        <v/>
      </c>
      <c r="L3646" s="6" t="inlineStr">
        <is>
          <t>WATCHLIST</t>
        </is>
      </c>
      <c r="M3646" s="8" t="n">
        <v>0</v>
      </c>
      <c r="N3646" s="7">
        <f>M3646*$J$3659-J3646</f>
        <v/>
      </c>
      <c r="O3646" s="9">
        <f>IF(G3646=0,0,N3646/G3646)</f>
        <v/>
      </c>
      <c r="P3646" s="6">
        <f>IF(M3646&gt;0,D3646,"")</f>
        <v/>
      </c>
      <c r="Q3646" s="9">
        <f>I3646+O3646</f>
        <v/>
      </c>
      <c r="R3646" s="7">
        <f>Q3646*G3646</f>
        <v/>
      </c>
      <c r="S3646" s="8">
        <f>IF($R$3659=0,0,R3646/$R$3659)</f>
        <v/>
      </c>
      <c r="T3646" s="8" t="n">
        <v>-0.07819568205652827</v>
      </c>
      <c r="U3646" s="8" t="n">
        <v>-0.07795568301780142</v>
      </c>
      <c r="V3646" s="6" t="inlineStr">
        <is>
          <t>not selected</t>
        </is>
      </c>
    </row>
    <row r="3647">
      <c r="A3647" s="6" t="inlineStr">
        <is>
          <t>DJ30</t>
        </is>
      </c>
      <c r="B3647" s="6" t="inlineStr">
        <is>
          <t>2025-04-04</t>
        </is>
      </c>
      <c r="C3647" s="6" t="inlineStr">
        <is>
          <t>DIA</t>
        </is>
      </c>
      <c r="D3647" s="6" t="inlineStr">
        <is>
          <t>MMM</t>
        </is>
      </c>
      <c r="E3647" s="6" t="inlineStr">
        <is>
          <t>MMM</t>
        </is>
      </c>
      <c r="F3647" s="6" t="inlineStr">
        <is>
          <t>-</t>
        </is>
      </c>
      <c r="G3647" s="7" t="n">
        <v>123.9724426269531</v>
      </c>
      <c r="H3647" s="6">
        <f>P3616</f>
        <v/>
      </c>
      <c r="I3647" s="9">
        <f>Q3616</f>
        <v/>
      </c>
      <c r="J3647" s="7">
        <f>I3647*G3647</f>
        <v/>
      </c>
      <c r="K3647" s="8">
        <f>IF($J$3659=0,0,J3647/$J$3659)</f>
        <v/>
      </c>
      <c r="L3647" s="6" t="inlineStr">
        <is>
          <t>SELECTED</t>
        </is>
      </c>
      <c r="M3647" s="8" t="n">
        <v>0.2</v>
      </c>
      <c r="N3647" s="7">
        <f>M3647*$J$3659-J3647</f>
        <v/>
      </c>
      <c r="O3647" s="9">
        <f>IF(G3647=0,0,N3647/G3647)</f>
        <v/>
      </c>
      <c r="P3647" s="6">
        <f>IF(M3647&gt;0,D3647,"")</f>
        <v/>
      </c>
      <c r="Q3647" s="9">
        <f>I3647+O3647</f>
        <v/>
      </c>
      <c r="R3647" s="7">
        <f>Q3647*G3647</f>
        <v/>
      </c>
      <c r="S3647" s="8">
        <f>IF($R$3659=0,0,R3647/$R$3659)</f>
        <v/>
      </c>
      <c r="T3647" s="8" t="n">
        <v>-0.07819568205652827</v>
      </c>
      <c r="U3647" s="8" t="n">
        <v>-0.07795568301780142</v>
      </c>
      <c r="V3647" s="6" t="inlineStr">
        <is>
          <t>remained in weekly selection</t>
        </is>
      </c>
    </row>
    <row r="3648">
      <c r="A3648" s="6" t="inlineStr">
        <is>
          <t>DJ30</t>
        </is>
      </c>
      <c r="B3648" s="6" t="inlineStr">
        <is>
          <t>2025-04-04</t>
        </is>
      </c>
      <c r="C3648" s="6" t="inlineStr">
        <is>
          <t>DIA</t>
        </is>
      </c>
      <c r="D3648" s="6" t="inlineStr">
        <is>
          <t>MRK</t>
        </is>
      </c>
      <c r="E3648" s="6" t="inlineStr">
        <is>
          <t>MRK</t>
        </is>
      </c>
      <c r="F3648" s="6" t="inlineStr">
        <is>
          <t>-</t>
        </is>
      </c>
      <c r="G3648" s="7" t="n">
        <v>78.05292510986328</v>
      </c>
      <c r="H3648" s="6">
        <f>P3617</f>
        <v/>
      </c>
      <c r="I3648" s="9">
        <f>Q3617</f>
        <v/>
      </c>
      <c r="J3648" s="7">
        <f>I3648*G3648</f>
        <v/>
      </c>
      <c r="K3648" s="8">
        <f>IF($J$3659=0,0,J3648/$J$3659)</f>
        <v/>
      </c>
      <c r="L3648" s="6" t="inlineStr">
        <is>
          <t>REJECTED</t>
        </is>
      </c>
      <c r="M3648" s="8" t="n">
        <v>0</v>
      </c>
      <c r="N3648" s="7">
        <f>M3648*$J$3659-J3648</f>
        <v/>
      </c>
      <c r="O3648" s="9">
        <f>IF(G3648=0,0,N3648/G3648)</f>
        <v/>
      </c>
      <c r="P3648" s="6">
        <f>IF(M3648&gt;0,D3648,"")</f>
        <v/>
      </c>
      <c r="Q3648" s="9">
        <f>I3648+O3648</f>
        <v/>
      </c>
      <c r="R3648" s="7">
        <f>Q3648*G3648</f>
        <v/>
      </c>
      <c r="S3648" s="8">
        <f>IF($R$3659=0,0,R3648/$R$3659)</f>
        <v/>
      </c>
      <c r="T3648" s="8" t="n">
        <v>-0.07819568205652827</v>
      </c>
      <c r="U3648" s="8" t="n">
        <v>-0.07795568301780142</v>
      </c>
      <c r="V3648" s="6" t="inlineStr">
        <is>
          <t>not selected</t>
        </is>
      </c>
    </row>
    <row r="3649">
      <c r="A3649" s="6" t="inlineStr">
        <is>
          <t>DJ30</t>
        </is>
      </c>
      <c r="B3649" s="6" t="inlineStr">
        <is>
          <t>2025-04-04</t>
        </is>
      </c>
      <c r="C3649" s="6" t="inlineStr">
        <is>
          <t>DIA</t>
        </is>
      </c>
      <c r="D3649" s="6" t="inlineStr">
        <is>
          <t>MSFT</t>
        </is>
      </c>
      <c r="E3649" s="6" t="inlineStr">
        <is>
          <t>MSFT</t>
        </is>
      </c>
      <c r="F3649" s="6" t="inlineStr">
        <is>
          <t>-</t>
        </is>
      </c>
      <c r="G3649" s="7" t="n">
        <v>356.3343505859375</v>
      </c>
      <c r="H3649" s="6">
        <f>P3618</f>
        <v/>
      </c>
      <c r="I3649" s="9">
        <f>Q3618</f>
        <v/>
      </c>
      <c r="J3649" s="7">
        <f>I3649*G3649</f>
        <v/>
      </c>
      <c r="K3649" s="8">
        <f>IF($J$3659=0,0,J3649/$J$3659)</f>
        <v/>
      </c>
      <c r="L3649" s="6" t="inlineStr">
        <is>
          <t>REJECTED</t>
        </is>
      </c>
      <c r="M3649" s="8" t="n">
        <v>0</v>
      </c>
      <c r="N3649" s="7">
        <f>M3649*$J$3659-J3649</f>
        <v/>
      </c>
      <c r="O3649" s="9">
        <f>IF(G3649=0,0,N3649/G3649)</f>
        <v/>
      </c>
      <c r="P3649" s="6">
        <f>IF(M3649&gt;0,D3649,"")</f>
        <v/>
      </c>
      <c r="Q3649" s="9">
        <f>I3649+O3649</f>
        <v/>
      </c>
      <c r="R3649" s="7">
        <f>Q3649*G3649</f>
        <v/>
      </c>
      <c r="S3649" s="8">
        <f>IF($R$3659=0,0,R3649/$R$3659)</f>
        <v/>
      </c>
      <c r="T3649" s="8" t="n">
        <v>-0.07819568205652827</v>
      </c>
      <c r="U3649" s="8" t="n">
        <v>-0.07795568301780142</v>
      </c>
      <c r="V3649" s="6" t="inlineStr">
        <is>
          <t>not selected</t>
        </is>
      </c>
    </row>
    <row r="3650">
      <c r="A3650" s="6" t="inlineStr">
        <is>
          <t>DJ30</t>
        </is>
      </c>
      <c r="B3650" s="6" t="inlineStr">
        <is>
          <t>2025-04-04</t>
        </is>
      </c>
      <c r="C3650" s="6" t="inlineStr">
        <is>
          <t>DIA</t>
        </is>
      </c>
      <c r="D3650" s="6" t="inlineStr">
        <is>
          <t>NKE</t>
        </is>
      </c>
      <c r="E3650" s="6" t="inlineStr">
        <is>
          <t>NKE</t>
        </is>
      </c>
      <c r="F3650" s="6" t="inlineStr">
        <is>
          <t>-</t>
        </is>
      </c>
      <c r="G3650" s="7" t="n">
        <v>55.35310363769531</v>
      </c>
      <c r="H3650" s="6">
        <f>P3619</f>
        <v/>
      </c>
      <c r="I3650" s="9">
        <f>Q3619</f>
        <v/>
      </c>
      <c r="J3650" s="7">
        <f>I3650*G3650</f>
        <v/>
      </c>
      <c r="K3650" s="8">
        <f>IF($J$3659=0,0,J3650/$J$3659)</f>
        <v/>
      </c>
      <c r="L3650" s="6" t="inlineStr">
        <is>
          <t>REJECTED</t>
        </is>
      </c>
      <c r="M3650" s="8" t="n">
        <v>0</v>
      </c>
      <c r="N3650" s="7">
        <f>M3650*$J$3659-J3650</f>
        <v/>
      </c>
      <c r="O3650" s="9">
        <f>IF(G3650=0,0,N3650/G3650)</f>
        <v/>
      </c>
      <c r="P3650" s="6">
        <f>IF(M3650&gt;0,D3650,"")</f>
        <v/>
      </c>
      <c r="Q3650" s="9">
        <f>I3650+O3650</f>
        <v/>
      </c>
      <c r="R3650" s="7">
        <f>Q3650*G3650</f>
        <v/>
      </c>
      <c r="S3650" s="8">
        <f>IF($R$3659=0,0,R3650/$R$3659)</f>
        <v/>
      </c>
      <c r="T3650" s="8" t="n">
        <v>-0.07819568205652827</v>
      </c>
      <c r="U3650" s="8" t="n">
        <v>-0.07795568301780142</v>
      </c>
      <c r="V3650" s="6" t="inlineStr">
        <is>
          <t>not selected</t>
        </is>
      </c>
    </row>
    <row r="3651">
      <c r="A3651" s="6" t="inlineStr">
        <is>
          <t>DJ30</t>
        </is>
      </c>
      <c r="B3651" s="6" t="inlineStr">
        <is>
          <t>2025-04-04</t>
        </is>
      </c>
      <c r="C3651" s="6" t="inlineStr">
        <is>
          <t>DIA</t>
        </is>
      </c>
      <c r="D3651" s="6" t="inlineStr">
        <is>
          <t>NVDA</t>
        </is>
      </c>
      <c r="E3651" s="6" t="inlineStr">
        <is>
          <t>NVDA</t>
        </is>
      </c>
      <c r="F3651" s="6" t="inlineStr">
        <is>
          <t>-</t>
        </is>
      </c>
      <c r="G3651" s="7" t="n">
        <v>94.1780242919922</v>
      </c>
      <c r="H3651" s="6">
        <f>P3620</f>
        <v/>
      </c>
      <c r="I3651" s="9">
        <f>Q3620</f>
        <v/>
      </c>
      <c r="J3651" s="7">
        <f>I3651*G3651</f>
        <v/>
      </c>
      <c r="K3651" s="8">
        <f>IF($J$3659=0,0,J3651/$J$3659)</f>
        <v/>
      </c>
      <c r="L3651" s="6" t="inlineStr">
        <is>
          <t>REJECTED</t>
        </is>
      </c>
      <c r="M3651" s="8" t="n">
        <v>0</v>
      </c>
      <c r="N3651" s="7">
        <f>M3651*$J$3659-J3651</f>
        <v/>
      </c>
      <c r="O3651" s="9">
        <f>IF(G3651=0,0,N3651/G3651)</f>
        <v/>
      </c>
      <c r="P3651" s="6">
        <f>IF(M3651&gt;0,D3651,"")</f>
        <v/>
      </c>
      <c r="Q3651" s="9">
        <f>I3651+O3651</f>
        <v/>
      </c>
      <c r="R3651" s="7">
        <f>Q3651*G3651</f>
        <v/>
      </c>
      <c r="S3651" s="8">
        <f>IF($R$3659=0,0,R3651/$R$3659)</f>
        <v/>
      </c>
      <c r="T3651" s="8" t="n">
        <v>-0.07819568205652827</v>
      </c>
      <c r="U3651" s="8" t="n">
        <v>-0.07795568301780142</v>
      </c>
      <c r="V3651" s="6" t="inlineStr">
        <is>
          <t>not selected</t>
        </is>
      </c>
    </row>
    <row r="3652">
      <c r="A3652" s="6" t="inlineStr">
        <is>
          <t>DJ30</t>
        </is>
      </c>
      <c r="B3652" s="6" t="inlineStr">
        <is>
          <t>2025-04-04</t>
        </is>
      </c>
      <c r="C3652" s="6" t="inlineStr">
        <is>
          <t>DIA</t>
        </is>
      </c>
      <c r="D3652" s="6" t="inlineStr">
        <is>
          <t>PG</t>
        </is>
      </c>
      <c r="E3652" s="6" t="inlineStr">
        <is>
          <t>PG</t>
        </is>
      </c>
      <c r="F3652" s="6" t="inlineStr">
        <is>
          <t>-</t>
        </is>
      </c>
      <c r="G3652" s="7" t="n">
        <v>158.1851501464844</v>
      </c>
      <c r="H3652" s="6">
        <f>P3621</f>
        <v/>
      </c>
      <c r="I3652" s="9">
        <f>Q3621</f>
        <v/>
      </c>
      <c r="J3652" s="7">
        <f>I3652*G3652</f>
        <v/>
      </c>
      <c r="K3652" s="8">
        <f>IF($J$3659=0,0,J3652/$J$3659)</f>
        <v/>
      </c>
      <c r="L3652" s="6" t="inlineStr">
        <is>
          <t>REJECTED</t>
        </is>
      </c>
      <c r="M3652" s="8" t="n">
        <v>0</v>
      </c>
      <c r="N3652" s="7">
        <f>M3652*$J$3659-J3652</f>
        <v/>
      </c>
      <c r="O3652" s="9">
        <f>IF(G3652=0,0,N3652/G3652)</f>
        <v/>
      </c>
      <c r="P3652" s="6">
        <f>IF(M3652&gt;0,D3652,"")</f>
        <v/>
      </c>
      <c r="Q3652" s="9">
        <f>I3652+O3652</f>
        <v/>
      </c>
      <c r="R3652" s="7">
        <f>Q3652*G3652</f>
        <v/>
      </c>
      <c r="S3652" s="8">
        <f>IF($R$3659=0,0,R3652/$R$3659)</f>
        <v/>
      </c>
      <c r="T3652" s="8" t="n">
        <v>-0.07819568205652827</v>
      </c>
      <c r="U3652" s="8" t="n">
        <v>-0.07795568301780142</v>
      </c>
      <c r="V3652" s="6" t="inlineStr">
        <is>
          <t>not selected</t>
        </is>
      </c>
    </row>
    <row r="3653">
      <c r="A3653" s="6" t="inlineStr">
        <is>
          <t>DJ30</t>
        </is>
      </c>
      <c r="B3653" s="6" t="inlineStr">
        <is>
          <t>2025-04-04</t>
        </is>
      </c>
      <c r="C3653" s="6" t="inlineStr">
        <is>
          <t>DIA</t>
        </is>
      </c>
      <c r="D3653" s="6" t="inlineStr">
        <is>
          <t>SHW</t>
        </is>
      </c>
      <c r="E3653" s="6" t="inlineStr">
        <is>
          <t>SHW</t>
        </is>
      </c>
      <c r="F3653" s="6" t="inlineStr">
        <is>
          <t>-</t>
        </is>
      </c>
      <c r="G3653" s="7" t="n">
        <v>328.2684936523437</v>
      </c>
      <c r="H3653" s="6">
        <f>P3622</f>
        <v/>
      </c>
      <c r="I3653" s="9">
        <f>Q3622</f>
        <v/>
      </c>
      <c r="J3653" s="7">
        <f>I3653*G3653</f>
        <v/>
      </c>
      <c r="K3653" s="8">
        <f>IF($J$3659=0,0,J3653/$J$3659)</f>
        <v/>
      </c>
      <c r="L3653" s="6" t="inlineStr">
        <is>
          <t>WATCHLIST</t>
        </is>
      </c>
      <c r="M3653" s="8" t="n">
        <v>0</v>
      </c>
      <c r="N3653" s="7">
        <f>M3653*$J$3659-J3653</f>
        <v/>
      </c>
      <c r="O3653" s="9">
        <f>IF(G3653=0,0,N3653/G3653)</f>
        <v/>
      </c>
      <c r="P3653" s="6">
        <f>IF(M3653&gt;0,D3653,"")</f>
        <v/>
      </c>
      <c r="Q3653" s="9">
        <f>I3653+O3653</f>
        <v/>
      </c>
      <c r="R3653" s="7">
        <f>Q3653*G3653</f>
        <v/>
      </c>
      <c r="S3653" s="8">
        <f>IF($R$3659=0,0,R3653/$R$3659)</f>
        <v/>
      </c>
      <c r="T3653" s="8" t="n">
        <v>-0.07819568205652827</v>
      </c>
      <c r="U3653" s="8" t="n">
        <v>-0.07795568301780142</v>
      </c>
      <c r="V3653" s="6" t="inlineStr">
        <is>
          <t>not selected</t>
        </is>
      </c>
    </row>
    <row r="3654">
      <c r="A3654" s="6" t="inlineStr">
        <is>
          <t>DJ30</t>
        </is>
      </c>
      <c r="B3654" s="6" t="inlineStr">
        <is>
          <t>2025-04-04</t>
        </is>
      </c>
      <c r="C3654" s="6" t="inlineStr">
        <is>
          <t>DIA</t>
        </is>
      </c>
      <c r="D3654" s="6" t="inlineStr">
        <is>
          <t>TRV</t>
        </is>
      </c>
      <c r="E3654" s="6" t="inlineStr">
        <is>
          <t>TRV</t>
        </is>
      </c>
      <c r="F3654" s="6" t="inlineStr">
        <is>
          <t>-</t>
        </is>
      </c>
      <c r="G3654" s="7" t="n">
        <v>237.4865875244141</v>
      </c>
      <c r="H3654" s="6">
        <f>P3623</f>
        <v/>
      </c>
      <c r="I3654" s="9">
        <f>Q3623</f>
        <v/>
      </c>
      <c r="J3654" s="7">
        <f>I3654*G3654</f>
        <v/>
      </c>
      <c r="K3654" s="8">
        <f>IF($J$3659=0,0,J3654/$J$3659)</f>
        <v/>
      </c>
      <c r="L3654" s="6" t="inlineStr">
        <is>
          <t>WATCHLIST</t>
        </is>
      </c>
      <c r="M3654" s="8" t="n">
        <v>0</v>
      </c>
      <c r="N3654" s="7">
        <f>M3654*$J$3659-J3654</f>
        <v/>
      </c>
      <c r="O3654" s="9">
        <f>IF(G3654=0,0,N3654/G3654)</f>
        <v/>
      </c>
      <c r="P3654" s="6">
        <f>IF(M3654&gt;0,D3654,"")</f>
        <v/>
      </c>
      <c r="Q3654" s="9">
        <f>I3654+O3654</f>
        <v/>
      </c>
      <c r="R3654" s="7">
        <f>Q3654*G3654</f>
        <v/>
      </c>
      <c r="S3654" s="8">
        <f>IF($R$3659=0,0,R3654/$R$3659)</f>
        <v/>
      </c>
      <c r="T3654" s="8" t="n">
        <v>-0.07819568205652827</v>
      </c>
      <c r="U3654" s="8" t="n">
        <v>-0.07795568301780142</v>
      </c>
      <c r="V3654" s="6" t="inlineStr">
        <is>
          <t>removed from weekly selection</t>
        </is>
      </c>
    </row>
    <row r="3655">
      <c r="A3655" s="6" t="inlineStr">
        <is>
          <t>DJ30</t>
        </is>
      </c>
      <c r="B3655" s="6" t="inlineStr">
        <is>
          <t>2025-04-04</t>
        </is>
      </c>
      <c r="C3655" s="6" t="inlineStr">
        <is>
          <t>DIA</t>
        </is>
      </c>
      <c r="D3655" s="6" t="inlineStr">
        <is>
          <t>UNH</t>
        </is>
      </c>
      <c r="E3655" s="6" t="inlineStr">
        <is>
          <t>UNH</t>
        </is>
      </c>
      <c r="F3655" s="6" t="inlineStr">
        <is>
          <t>-</t>
        </is>
      </c>
      <c r="G3655" s="7" t="n">
        <v>507.7505493164063</v>
      </c>
      <c r="H3655" s="6">
        <f>P3624</f>
        <v/>
      </c>
      <c r="I3655" s="9">
        <f>Q3624</f>
        <v/>
      </c>
      <c r="J3655" s="7">
        <f>I3655*G3655</f>
        <v/>
      </c>
      <c r="K3655" s="8">
        <f>IF($J$3659=0,0,J3655/$J$3659)</f>
        <v/>
      </c>
      <c r="L3655" s="6" t="inlineStr">
        <is>
          <t>REJECTED</t>
        </is>
      </c>
      <c r="M3655" s="8" t="n">
        <v>0</v>
      </c>
      <c r="N3655" s="7">
        <f>M3655*$J$3659-J3655</f>
        <v/>
      </c>
      <c r="O3655" s="9">
        <f>IF(G3655=0,0,N3655/G3655)</f>
        <v/>
      </c>
      <c r="P3655" s="6">
        <f>IF(M3655&gt;0,D3655,"")</f>
        <v/>
      </c>
      <c r="Q3655" s="9">
        <f>I3655+O3655</f>
        <v/>
      </c>
      <c r="R3655" s="7">
        <f>Q3655*G3655</f>
        <v/>
      </c>
      <c r="S3655" s="8">
        <f>IF($R$3659=0,0,R3655/$R$3659)</f>
        <v/>
      </c>
      <c r="T3655" s="8" t="n">
        <v>-0.07819568205652827</v>
      </c>
      <c r="U3655" s="8" t="n">
        <v>-0.07795568301780142</v>
      </c>
      <c r="V3655" s="6" t="inlineStr">
        <is>
          <t>not selected</t>
        </is>
      </c>
    </row>
    <row r="3656">
      <c r="A3656" s="6" t="inlineStr">
        <is>
          <t>DJ30</t>
        </is>
      </c>
      <c r="B3656" s="6" t="inlineStr">
        <is>
          <t>2025-04-04</t>
        </is>
      </c>
      <c r="C3656" s="6" t="inlineStr">
        <is>
          <t>DIA</t>
        </is>
      </c>
      <c r="D3656" s="6" t="inlineStr">
        <is>
          <t>V</t>
        </is>
      </c>
      <c r="E3656" s="6" t="inlineStr">
        <is>
          <t>V</t>
        </is>
      </c>
      <c r="F3656" s="6" t="inlineStr">
        <is>
          <t>-</t>
        </is>
      </c>
      <c r="G3656" s="7" t="n">
        <v>310.1609191894531</v>
      </c>
      <c r="H3656" s="6">
        <f>P3625</f>
        <v/>
      </c>
      <c r="I3656" s="9">
        <f>Q3625</f>
        <v/>
      </c>
      <c r="J3656" s="7">
        <f>I3656*G3656</f>
        <v/>
      </c>
      <c r="K3656" s="8">
        <f>IF($J$3659=0,0,J3656/$J$3659)</f>
        <v/>
      </c>
      <c r="L3656" s="6" t="inlineStr">
        <is>
          <t>WATCHLIST</t>
        </is>
      </c>
      <c r="M3656" s="8" t="n">
        <v>0</v>
      </c>
      <c r="N3656" s="7">
        <f>M3656*$J$3659-J3656</f>
        <v/>
      </c>
      <c r="O3656" s="9">
        <f>IF(G3656=0,0,N3656/G3656)</f>
        <v/>
      </c>
      <c r="P3656" s="6">
        <f>IF(M3656&gt;0,D3656,"")</f>
        <v/>
      </c>
      <c r="Q3656" s="9">
        <f>I3656+O3656</f>
        <v/>
      </c>
      <c r="R3656" s="7">
        <f>Q3656*G3656</f>
        <v/>
      </c>
      <c r="S3656" s="8">
        <f>IF($R$3659=0,0,R3656/$R$3659)</f>
        <v/>
      </c>
      <c r="T3656" s="8" t="n">
        <v>-0.07819568205652827</v>
      </c>
      <c r="U3656" s="8" t="n">
        <v>-0.07795568301780142</v>
      </c>
      <c r="V3656" s="6" t="inlineStr">
        <is>
          <t>not selected</t>
        </is>
      </c>
    </row>
    <row r="3657">
      <c r="A3657" s="6" t="inlineStr">
        <is>
          <t>DJ30</t>
        </is>
      </c>
      <c r="B3657" s="6" t="inlineStr">
        <is>
          <t>2025-04-04</t>
        </is>
      </c>
      <c r="C3657" s="6" t="inlineStr">
        <is>
          <t>DIA</t>
        </is>
      </c>
      <c r="D3657" s="6" t="inlineStr">
        <is>
          <t>VZ</t>
        </is>
      </c>
      <c r="E3657" s="6" t="inlineStr">
        <is>
          <t>VZ</t>
        </is>
      </c>
      <c r="F3657" s="6" t="inlineStr">
        <is>
          <t>-</t>
        </is>
      </c>
      <c r="G3657" s="7" t="n">
        <v>39.67614364624024</v>
      </c>
      <c r="H3657" s="6">
        <f>P3626</f>
        <v/>
      </c>
      <c r="I3657" s="9">
        <f>Q3626</f>
        <v/>
      </c>
      <c r="J3657" s="7">
        <f>I3657*G3657</f>
        <v/>
      </c>
      <c r="K3657" s="8">
        <f>IF($J$3659=0,0,J3657/$J$3659)</f>
        <v/>
      </c>
      <c r="L3657" s="6" t="inlineStr">
        <is>
          <t>SELECTED</t>
        </is>
      </c>
      <c r="M3657" s="8" t="n">
        <v>0.2</v>
      </c>
      <c r="N3657" s="7">
        <f>M3657*$J$3659-J3657</f>
        <v/>
      </c>
      <c r="O3657" s="9">
        <f>IF(G3657=0,0,N3657/G3657)</f>
        <v/>
      </c>
      <c r="P3657" s="6">
        <f>IF(M3657&gt;0,D3657,"")</f>
        <v/>
      </c>
      <c r="Q3657" s="9">
        <f>I3657+O3657</f>
        <v/>
      </c>
      <c r="R3657" s="7">
        <f>Q3657*G3657</f>
        <v/>
      </c>
      <c r="S3657" s="8">
        <f>IF($R$3659=0,0,R3657/$R$3659)</f>
        <v/>
      </c>
      <c r="T3657" s="8" t="n">
        <v>-0.07819568205652827</v>
      </c>
      <c r="U3657" s="8" t="n">
        <v>-0.07795568301780142</v>
      </c>
      <c r="V3657" s="6" t="inlineStr">
        <is>
          <t>entered weekly selection</t>
        </is>
      </c>
    </row>
    <row r="3658">
      <c r="A3658" s="6" t="inlineStr">
        <is>
          <t>DJ30</t>
        </is>
      </c>
      <c r="B3658" s="6" t="inlineStr">
        <is>
          <t>2025-04-04</t>
        </is>
      </c>
      <c r="C3658" s="6" t="inlineStr">
        <is>
          <t>DIA</t>
        </is>
      </c>
      <c r="D3658" s="6" t="inlineStr">
        <is>
          <t>WMT</t>
        </is>
      </c>
      <c r="E3658" s="6" t="inlineStr">
        <is>
          <t>WMT</t>
        </is>
      </c>
      <c r="F3658" s="6" t="inlineStr">
        <is>
          <t>-</t>
        </is>
      </c>
      <c r="G3658" s="7" t="n">
        <v>82.30124664306641</v>
      </c>
      <c r="H3658" s="6">
        <f>P3627</f>
        <v/>
      </c>
      <c r="I3658" s="9">
        <f>Q3627</f>
        <v/>
      </c>
      <c r="J3658" s="7">
        <f>I3658*G3658</f>
        <v/>
      </c>
      <c r="K3658" s="8">
        <f>IF($J$3659=0,0,J3658/$J$3659)</f>
        <v/>
      </c>
      <c r="L3658" s="6" t="inlineStr">
        <is>
          <t>SELECTED</t>
        </is>
      </c>
      <c r="M3658" s="8" t="n">
        <v>0.2</v>
      </c>
      <c r="N3658" s="7">
        <f>M3658*$J$3659-J3658</f>
        <v/>
      </c>
      <c r="O3658" s="9">
        <f>IF(G3658=0,0,N3658/G3658)</f>
        <v/>
      </c>
      <c r="P3658" s="6">
        <f>IF(M3658&gt;0,D3658,"")</f>
        <v/>
      </c>
      <c r="Q3658" s="9">
        <f>I3658+O3658</f>
        <v/>
      </c>
      <c r="R3658" s="7">
        <f>Q3658*G3658</f>
        <v/>
      </c>
      <c r="S3658" s="8">
        <f>IF($R$3659=0,0,R3658/$R$3659)</f>
        <v/>
      </c>
      <c r="T3658" s="8" t="n">
        <v>-0.07819568205652827</v>
      </c>
      <c r="U3658" s="8" t="n">
        <v>-0.07795568301780142</v>
      </c>
      <c r="V3658" s="6" t="inlineStr">
        <is>
          <t>remained in weekly selection</t>
        </is>
      </c>
    </row>
    <row r="3659">
      <c r="A3659" s="10" t="inlineStr">
        <is>
          <t>DJ30</t>
        </is>
      </c>
      <c r="B3659" s="10" t="inlineStr">
        <is>
          <t>2025-04-04</t>
        </is>
      </c>
      <c r="C3659" s="10" t="inlineStr">
        <is>
          <t>DIA</t>
        </is>
      </c>
      <c r="D3659" s="10" t="inlineStr">
        <is>
          <t>Tot Portfolio</t>
        </is>
      </c>
      <c r="E3659" s="10" t="inlineStr"/>
      <c r="F3659" s="10" t="inlineStr"/>
      <c r="G3659" s="11" t="inlineStr"/>
      <c r="H3659" s="10" t="inlineStr"/>
      <c r="I3659" s="12" t="inlineStr"/>
      <c r="J3659" s="11">
        <f>SUM(J3629:J3658)</f>
        <v/>
      </c>
      <c r="K3659" s="13">
        <f>SUM(K3629:K3658)</f>
        <v/>
      </c>
      <c r="L3659" s="10" t="inlineStr">
        <is>
          <t>TOTAL</t>
        </is>
      </c>
      <c r="M3659" s="13">
        <f>SUM(M3629:M3658)</f>
        <v/>
      </c>
      <c r="N3659" s="11">
        <f>SUM(N3629:N3658)</f>
        <v/>
      </c>
      <c r="O3659" s="12">
        <f>SUM(O3629:O3658)</f>
        <v/>
      </c>
      <c r="P3659" s="10" t="inlineStr"/>
      <c r="Q3659" s="12" t="inlineStr"/>
      <c r="R3659" s="11">
        <f>SUM(R3629:R3658)</f>
        <v/>
      </c>
      <c r="S3659" s="13">
        <f>SUM(S3629:S3658)</f>
        <v/>
      </c>
      <c r="T3659" s="13" t="n">
        <v>-0.07819568205652827</v>
      </c>
      <c r="U3659" s="13" t="n">
        <v>-0.07795568301780142</v>
      </c>
      <c r="V3659" s="10" t="inlineStr"/>
    </row>
    <row r="3660">
      <c r="A3660" s="6" t="inlineStr">
        <is>
          <t>DJ30</t>
        </is>
      </c>
      <c r="B3660" s="6" t="inlineStr">
        <is>
          <t>2025-04-11</t>
        </is>
      </c>
      <c r="C3660" s="6" t="inlineStr">
        <is>
          <t>DIA</t>
        </is>
      </c>
      <c r="D3660" s="6" t="inlineStr">
        <is>
          <t>AAPL</t>
        </is>
      </c>
      <c r="E3660" s="6" t="inlineStr">
        <is>
          <t>AAPL</t>
        </is>
      </c>
      <c r="F3660" s="6" t="inlineStr">
        <is>
          <t>-</t>
        </is>
      </c>
      <c r="G3660" s="7" t="n">
        <v>197.1085205078125</v>
      </c>
      <c r="H3660" s="6">
        <f>P3629</f>
        <v/>
      </c>
      <c r="I3660" s="9">
        <f>Q3629</f>
        <v/>
      </c>
      <c r="J3660" s="7">
        <f>I3660*G3660</f>
        <v/>
      </c>
      <c r="K3660" s="8">
        <f>IF($J$3690=0,0,J3660/$J$3690)</f>
        <v/>
      </c>
      <c r="L3660" s="6" t="inlineStr">
        <is>
          <t>WATCHLIST</t>
        </is>
      </c>
      <c r="M3660" s="8" t="n">
        <v>0</v>
      </c>
      <c r="N3660" s="7">
        <f>M3660*$J$3690-J3660</f>
        <v/>
      </c>
      <c r="O3660" s="9">
        <f>IF(G3660=0,0,N3660/G3660)</f>
        <v/>
      </c>
      <c r="P3660" s="6">
        <f>IF(M3660&gt;0,D3660,"")</f>
        <v/>
      </c>
      <c r="Q3660" s="9">
        <f>I3660+O3660</f>
        <v/>
      </c>
      <c r="R3660" s="7">
        <f>Q3660*G3660</f>
        <v/>
      </c>
      <c r="S3660" s="8">
        <f>IF($R$3690=0,0,R3660/$R$3690)</f>
        <v/>
      </c>
      <c r="T3660" s="8" t="n">
        <v>0.06286390655883167</v>
      </c>
      <c r="U3660" s="8" t="n">
        <v>0.04877080004237433</v>
      </c>
      <c r="V3660" s="6" t="inlineStr">
        <is>
          <t>not selected</t>
        </is>
      </c>
    </row>
    <row r="3661">
      <c r="A3661" s="6" t="inlineStr">
        <is>
          <t>DJ30</t>
        </is>
      </c>
      <c r="B3661" s="6" t="inlineStr">
        <is>
          <t>2025-04-11</t>
        </is>
      </c>
      <c r="C3661" s="6" t="inlineStr">
        <is>
          <t>DIA</t>
        </is>
      </c>
      <c r="D3661" s="6" t="inlineStr">
        <is>
          <t>AMGN</t>
        </is>
      </c>
      <c r="E3661" s="6" t="inlineStr">
        <is>
          <t>AMGN</t>
        </is>
      </c>
      <c r="F3661" s="6" t="inlineStr">
        <is>
          <t>-</t>
        </is>
      </c>
      <c r="G3661" s="7" t="n">
        <v>275.2027893066406</v>
      </c>
      <c r="H3661" s="6">
        <f>P3630</f>
        <v/>
      </c>
      <c r="I3661" s="9">
        <f>Q3630</f>
        <v/>
      </c>
      <c r="J3661" s="7">
        <f>I3661*G3661</f>
        <v/>
      </c>
      <c r="K3661" s="8">
        <f>IF($J$3690=0,0,J3661/$J$3690)</f>
        <v/>
      </c>
      <c r="L3661" s="6" t="inlineStr">
        <is>
          <t>REJECTED</t>
        </is>
      </c>
      <c r="M3661" s="8" t="n">
        <v>0</v>
      </c>
      <c r="N3661" s="7">
        <f>M3661*$J$3690-J3661</f>
        <v/>
      </c>
      <c r="O3661" s="9">
        <f>IF(G3661=0,0,N3661/G3661)</f>
        <v/>
      </c>
      <c r="P3661" s="6">
        <f>IF(M3661&gt;0,D3661,"")</f>
        <v/>
      </c>
      <c r="Q3661" s="9">
        <f>I3661+O3661</f>
        <v/>
      </c>
      <c r="R3661" s="7">
        <f>Q3661*G3661</f>
        <v/>
      </c>
      <c r="S3661" s="8">
        <f>IF($R$3690=0,0,R3661/$R$3690)</f>
        <v/>
      </c>
      <c r="T3661" s="8" t="n">
        <v>0.06286390655883167</v>
      </c>
      <c r="U3661" s="8" t="n">
        <v>0.04877080004237433</v>
      </c>
      <c r="V3661" s="6" t="inlineStr">
        <is>
          <t>not selected</t>
        </is>
      </c>
    </row>
    <row r="3662">
      <c r="A3662" s="6" t="inlineStr">
        <is>
          <t>DJ30</t>
        </is>
      </c>
      <c r="B3662" s="6" t="inlineStr">
        <is>
          <t>2025-04-11</t>
        </is>
      </c>
      <c r="C3662" s="6" t="inlineStr">
        <is>
          <t>DIA</t>
        </is>
      </c>
      <c r="D3662" s="6" t="inlineStr">
        <is>
          <t>AMZN</t>
        </is>
      </c>
      <c r="E3662" s="6" t="inlineStr">
        <is>
          <t>AMZN</t>
        </is>
      </c>
      <c r="F3662" s="6" t="inlineStr">
        <is>
          <t>-</t>
        </is>
      </c>
      <c r="G3662" s="7" t="n">
        <v>184.8699951171875</v>
      </c>
      <c r="H3662" s="6">
        <f>P3631</f>
        <v/>
      </c>
      <c r="I3662" s="9">
        <f>Q3631</f>
        <v/>
      </c>
      <c r="J3662" s="7">
        <f>I3662*G3662</f>
        <v/>
      </c>
      <c r="K3662" s="8">
        <f>IF($J$3690=0,0,J3662/$J$3690)</f>
        <v/>
      </c>
      <c r="L3662" s="6" t="inlineStr">
        <is>
          <t>WATCHLIST</t>
        </is>
      </c>
      <c r="M3662" s="8" t="n">
        <v>0</v>
      </c>
      <c r="N3662" s="7">
        <f>M3662*$J$3690-J3662</f>
        <v/>
      </c>
      <c r="O3662" s="9">
        <f>IF(G3662=0,0,N3662/G3662)</f>
        <v/>
      </c>
      <c r="P3662" s="6">
        <f>IF(M3662&gt;0,D3662,"")</f>
        <v/>
      </c>
      <c r="Q3662" s="9">
        <f>I3662+O3662</f>
        <v/>
      </c>
      <c r="R3662" s="7">
        <f>Q3662*G3662</f>
        <v/>
      </c>
      <c r="S3662" s="8">
        <f>IF($R$3690=0,0,R3662/$R$3690)</f>
        <v/>
      </c>
      <c r="T3662" s="8" t="n">
        <v>0.06286390655883167</v>
      </c>
      <c r="U3662" s="8" t="n">
        <v>0.04877080004237433</v>
      </c>
      <c r="V3662" s="6" t="inlineStr">
        <is>
          <t>not selected</t>
        </is>
      </c>
    </row>
    <row r="3663">
      <c r="A3663" s="6" t="inlineStr">
        <is>
          <t>DJ30</t>
        </is>
      </c>
      <c r="B3663" s="6" t="inlineStr">
        <is>
          <t>2025-04-11</t>
        </is>
      </c>
      <c r="C3663" s="6" t="inlineStr">
        <is>
          <t>DIA</t>
        </is>
      </c>
      <c r="D3663" s="6" t="inlineStr">
        <is>
          <t>AXP</t>
        </is>
      </c>
      <c r="E3663" s="6" t="inlineStr">
        <is>
          <t>AXP</t>
        </is>
      </c>
      <c r="F3663" s="6" t="inlineStr">
        <is>
          <t>-</t>
        </is>
      </c>
      <c r="G3663" s="7" t="n">
        <v>248.5249481201172</v>
      </c>
      <c r="H3663" s="6">
        <f>P3632</f>
        <v/>
      </c>
      <c r="I3663" s="9">
        <f>Q3632</f>
        <v/>
      </c>
      <c r="J3663" s="7">
        <f>I3663*G3663</f>
        <v/>
      </c>
      <c r="K3663" s="8">
        <f>IF($J$3690=0,0,J3663/$J$3690)</f>
        <v/>
      </c>
      <c r="L3663" s="6" t="inlineStr">
        <is>
          <t>WATCHLIST</t>
        </is>
      </c>
      <c r="M3663" s="8" t="n">
        <v>0</v>
      </c>
      <c r="N3663" s="7">
        <f>M3663*$J$3690-J3663</f>
        <v/>
      </c>
      <c r="O3663" s="9">
        <f>IF(G3663=0,0,N3663/G3663)</f>
        <v/>
      </c>
      <c r="P3663" s="6">
        <f>IF(M3663&gt;0,D3663,"")</f>
        <v/>
      </c>
      <c r="Q3663" s="9">
        <f>I3663+O3663</f>
        <v/>
      </c>
      <c r="R3663" s="7">
        <f>Q3663*G3663</f>
        <v/>
      </c>
      <c r="S3663" s="8">
        <f>IF($R$3690=0,0,R3663/$R$3690)</f>
        <v/>
      </c>
      <c r="T3663" s="8" t="n">
        <v>0.06286390655883167</v>
      </c>
      <c r="U3663" s="8" t="n">
        <v>0.04877080004237433</v>
      </c>
      <c r="V3663" s="6" t="inlineStr">
        <is>
          <t>not selected</t>
        </is>
      </c>
    </row>
    <row r="3664">
      <c r="A3664" s="6" t="inlineStr">
        <is>
          <t>DJ30</t>
        </is>
      </c>
      <c r="B3664" s="6" t="inlineStr">
        <is>
          <t>2025-04-11</t>
        </is>
      </c>
      <c r="C3664" s="6" t="inlineStr">
        <is>
          <t>DIA</t>
        </is>
      </c>
      <c r="D3664" s="6" t="inlineStr">
        <is>
          <t>BA</t>
        </is>
      </c>
      <c r="E3664" s="6" t="inlineStr">
        <is>
          <t>BA</t>
        </is>
      </c>
      <c r="F3664" s="6" t="inlineStr">
        <is>
          <t>-</t>
        </is>
      </c>
      <c r="G3664" s="7" t="n">
        <v>156.8399963378906</v>
      </c>
      <c r="H3664" s="6">
        <f>P3633</f>
        <v/>
      </c>
      <c r="I3664" s="9">
        <f>Q3633</f>
        <v/>
      </c>
      <c r="J3664" s="7">
        <f>I3664*G3664</f>
        <v/>
      </c>
      <c r="K3664" s="8">
        <f>IF($J$3690=0,0,J3664/$J$3690)</f>
        <v/>
      </c>
      <c r="L3664" s="6" t="inlineStr">
        <is>
          <t>REJECTED</t>
        </is>
      </c>
      <c r="M3664" s="8" t="n">
        <v>0</v>
      </c>
      <c r="N3664" s="7">
        <f>M3664*$J$3690-J3664</f>
        <v/>
      </c>
      <c r="O3664" s="9">
        <f>IF(G3664=0,0,N3664/G3664)</f>
        <v/>
      </c>
      <c r="P3664" s="6">
        <f>IF(M3664&gt;0,D3664,"")</f>
        <v/>
      </c>
      <c r="Q3664" s="9">
        <f>I3664+O3664</f>
        <v/>
      </c>
      <c r="R3664" s="7">
        <f>Q3664*G3664</f>
        <v/>
      </c>
      <c r="S3664" s="8">
        <f>IF($R$3690=0,0,R3664/$R$3690)</f>
        <v/>
      </c>
      <c r="T3664" s="8" t="n">
        <v>0.06286390655883167</v>
      </c>
      <c r="U3664" s="8" t="n">
        <v>0.04877080004237433</v>
      </c>
      <c r="V3664" s="6" t="inlineStr">
        <is>
          <t>not selected</t>
        </is>
      </c>
    </row>
    <row r="3665">
      <c r="A3665" s="6" t="inlineStr">
        <is>
          <t>DJ30</t>
        </is>
      </c>
      <c r="B3665" s="6" t="inlineStr">
        <is>
          <t>2025-04-11</t>
        </is>
      </c>
      <c r="C3665" s="6" t="inlineStr">
        <is>
          <t>DIA</t>
        </is>
      </c>
      <c r="D3665" s="6" t="inlineStr">
        <is>
          <t>CAT</t>
        </is>
      </c>
      <c r="E3665" s="6" t="inlineStr">
        <is>
          <t>CAT</t>
        </is>
      </c>
      <c r="F3665" s="6" t="inlineStr">
        <is>
          <t>-</t>
        </is>
      </c>
      <c r="G3665" s="7" t="n">
        <v>288.9169921875</v>
      </c>
      <c r="H3665" s="6">
        <f>P3634</f>
        <v/>
      </c>
      <c r="I3665" s="9">
        <f>Q3634</f>
        <v/>
      </c>
      <c r="J3665" s="7">
        <f>I3665*G3665</f>
        <v/>
      </c>
      <c r="K3665" s="8">
        <f>IF($J$3690=0,0,J3665/$J$3690)</f>
        <v/>
      </c>
      <c r="L3665" s="6" t="inlineStr">
        <is>
          <t>REJECTED</t>
        </is>
      </c>
      <c r="M3665" s="8" t="n">
        <v>0</v>
      </c>
      <c r="N3665" s="7">
        <f>M3665*$J$3690-J3665</f>
        <v/>
      </c>
      <c r="O3665" s="9">
        <f>IF(G3665=0,0,N3665/G3665)</f>
        <v/>
      </c>
      <c r="P3665" s="6">
        <f>IF(M3665&gt;0,D3665,"")</f>
        <v/>
      </c>
      <c r="Q3665" s="9">
        <f>I3665+O3665</f>
        <v/>
      </c>
      <c r="R3665" s="7">
        <f>Q3665*G3665</f>
        <v/>
      </c>
      <c r="S3665" s="8">
        <f>IF($R$3690=0,0,R3665/$R$3690)</f>
        <v/>
      </c>
      <c r="T3665" s="8" t="n">
        <v>0.06286390655883167</v>
      </c>
      <c r="U3665" s="8" t="n">
        <v>0.04877080004237433</v>
      </c>
      <c r="V3665" s="6" t="inlineStr">
        <is>
          <t>not selected</t>
        </is>
      </c>
    </row>
    <row r="3666">
      <c r="A3666" s="6" t="inlineStr">
        <is>
          <t>DJ30</t>
        </is>
      </c>
      <c r="B3666" s="6" t="inlineStr">
        <is>
          <t>2025-04-11</t>
        </is>
      </c>
      <c r="C3666" s="6" t="inlineStr">
        <is>
          <t>DIA</t>
        </is>
      </c>
      <c r="D3666" s="6" t="inlineStr">
        <is>
          <t>CRM</t>
        </is>
      </c>
      <c r="E3666" s="6" t="inlineStr">
        <is>
          <t>CRM</t>
        </is>
      </c>
      <c r="F3666" s="6" t="inlineStr">
        <is>
          <t>-</t>
        </is>
      </c>
      <c r="G3666" s="7" t="n">
        <v>252.4595184326172</v>
      </c>
      <c r="H3666" s="6">
        <f>P3635</f>
        <v/>
      </c>
      <c r="I3666" s="9">
        <f>Q3635</f>
        <v/>
      </c>
      <c r="J3666" s="7">
        <f>I3666*G3666</f>
        <v/>
      </c>
      <c r="K3666" s="8">
        <f>IF($J$3690=0,0,J3666/$J$3690)</f>
        <v/>
      </c>
      <c r="L3666" s="6" t="inlineStr">
        <is>
          <t>REJECTED</t>
        </is>
      </c>
      <c r="M3666" s="8" t="n">
        <v>0</v>
      </c>
      <c r="N3666" s="7">
        <f>M3666*$J$3690-J3666</f>
        <v/>
      </c>
      <c r="O3666" s="9">
        <f>IF(G3666=0,0,N3666/G3666)</f>
        <v/>
      </c>
      <c r="P3666" s="6">
        <f>IF(M3666&gt;0,D3666,"")</f>
        <v/>
      </c>
      <c r="Q3666" s="9">
        <f>I3666+O3666</f>
        <v/>
      </c>
      <c r="R3666" s="7">
        <f>Q3666*G3666</f>
        <v/>
      </c>
      <c r="S3666" s="8">
        <f>IF($R$3690=0,0,R3666/$R$3690)</f>
        <v/>
      </c>
      <c r="T3666" s="8" t="n">
        <v>0.06286390655883167</v>
      </c>
      <c r="U3666" s="8" t="n">
        <v>0.04877080004237433</v>
      </c>
      <c r="V3666" s="6" t="inlineStr">
        <is>
          <t>removed from weekly selection</t>
        </is>
      </c>
    </row>
    <row r="3667">
      <c r="A3667" s="6" t="inlineStr">
        <is>
          <t>DJ30</t>
        </is>
      </c>
      <c r="B3667" s="6" t="inlineStr">
        <is>
          <t>2025-04-11</t>
        </is>
      </c>
      <c r="C3667" s="6" t="inlineStr">
        <is>
          <t>DIA</t>
        </is>
      </c>
      <c r="D3667" s="6" t="inlineStr">
        <is>
          <t>CSCO</t>
        </is>
      </c>
      <c r="E3667" s="6" t="inlineStr">
        <is>
          <t>CSCO</t>
        </is>
      </c>
      <c r="F3667" s="6" t="inlineStr">
        <is>
          <t>-</t>
        </is>
      </c>
      <c r="G3667" s="7" t="n">
        <v>56.04010772705078</v>
      </c>
      <c r="H3667" s="6">
        <f>P3636</f>
        <v/>
      </c>
      <c r="I3667" s="9">
        <f>Q3636</f>
        <v/>
      </c>
      <c r="J3667" s="7">
        <f>I3667*G3667</f>
        <v/>
      </c>
      <c r="K3667" s="8">
        <f>IF($J$3690=0,0,J3667/$J$3690)</f>
        <v/>
      </c>
      <c r="L3667" s="6" t="inlineStr">
        <is>
          <t>WATCHLIST</t>
        </is>
      </c>
      <c r="M3667" s="8" t="n">
        <v>0</v>
      </c>
      <c r="N3667" s="7">
        <f>M3667*$J$3690-J3667</f>
        <v/>
      </c>
      <c r="O3667" s="9">
        <f>IF(G3667=0,0,N3667/G3667)</f>
        <v/>
      </c>
      <c r="P3667" s="6">
        <f>IF(M3667&gt;0,D3667,"")</f>
        <v/>
      </c>
      <c r="Q3667" s="9">
        <f>I3667+O3667</f>
        <v/>
      </c>
      <c r="R3667" s="7">
        <f>Q3667*G3667</f>
        <v/>
      </c>
      <c r="S3667" s="8">
        <f>IF($R$3690=0,0,R3667/$R$3690)</f>
        <v/>
      </c>
      <c r="T3667" s="8" t="n">
        <v>0.06286390655883167</v>
      </c>
      <c r="U3667" s="8" t="n">
        <v>0.04877080004237433</v>
      </c>
      <c r="V3667" s="6" t="inlineStr">
        <is>
          <t>not selected</t>
        </is>
      </c>
    </row>
    <row r="3668">
      <c r="A3668" s="6" t="inlineStr">
        <is>
          <t>DJ30</t>
        </is>
      </c>
      <c r="B3668" s="6" t="inlineStr">
        <is>
          <t>2025-04-11</t>
        </is>
      </c>
      <c r="C3668" s="6" t="inlineStr">
        <is>
          <t>DIA</t>
        </is>
      </c>
      <c r="D3668" s="6" t="inlineStr">
        <is>
          <t>CVX</t>
        </is>
      </c>
      <c r="E3668" s="6" t="inlineStr">
        <is>
          <t>CVX</t>
        </is>
      </c>
      <c r="F3668" s="6" t="inlineStr">
        <is>
          <t>-</t>
        </is>
      </c>
      <c r="G3668" s="7" t="n">
        <v>128.6112670898438</v>
      </c>
      <c r="H3668" s="6">
        <f>P3637</f>
        <v/>
      </c>
      <c r="I3668" s="9">
        <f>Q3637</f>
        <v/>
      </c>
      <c r="J3668" s="7">
        <f>I3668*G3668</f>
        <v/>
      </c>
      <c r="K3668" s="8">
        <f>IF($J$3690=0,0,J3668/$J$3690)</f>
        <v/>
      </c>
      <c r="L3668" s="6" t="inlineStr">
        <is>
          <t>REJECTED</t>
        </is>
      </c>
      <c r="M3668" s="8" t="n">
        <v>0</v>
      </c>
      <c r="N3668" s="7">
        <f>M3668*$J$3690-J3668</f>
        <v/>
      </c>
      <c r="O3668" s="9">
        <f>IF(G3668=0,0,N3668/G3668)</f>
        <v/>
      </c>
      <c r="P3668" s="6">
        <f>IF(M3668&gt;0,D3668,"")</f>
        <v/>
      </c>
      <c r="Q3668" s="9">
        <f>I3668+O3668</f>
        <v/>
      </c>
      <c r="R3668" s="7">
        <f>Q3668*G3668</f>
        <v/>
      </c>
      <c r="S3668" s="8">
        <f>IF($R$3690=0,0,R3668/$R$3690)</f>
        <v/>
      </c>
      <c r="T3668" s="8" t="n">
        <v>0.06286390655883167</v>
      </c>
      <c r="U3668" s="8" t="n">
        <v>0.04877080004237433</v>
      </c>
      <c r="V3668" s="6" t="inlineStr">
        <is>
          <t>not selected</t>
        </is>
      </c>
    </row>
    <row r="3669">
      <c r="A3669" s="6" t="inlineStr">
        <is>
          <t>DJ30</t>
        </is>
      </c>
      <c r="B3669" s="6" t="inlineStr">
        <is>
          <t>2025-04-11</t>
        </is>
      </c>
      <c r="C3669" s="6" t="inlineStr">
        <is>
          <t>DIA</t>
        </is>
      </c>
      <c r="D3669" s="6" t="inlineStr">
        <is>
          <t>DIS</t>
        </is>
      </c>
      <c r="E3669" s="6" t="inlineStr">
        <is>
          <t>DIS</t>
        </is>
      </c>
      <c r="F3669" s="6" t="inlineStr">
        <is>
          <t>-</t>
        </is>
      </c>
      <c r="G3669" s="7" t="n">
        <v>83.96145629882812</v>
      </c>
      <c r="H3669" s="6">
        <f>P3638</f>
        <v/>
      </c>
      <c r="I3669" s="9">
        <f>Q3638</f>
        <v/>
      </c>
      <c r="J3669" s="7">
        <f>I3669*G3669</f>
        <v/>
      </c>
      <c r="K3669" s="8">
        <f>IF($J$3690=0,0,J3669/$J$3690)</f>
        <v/>
      </c>
      <c r="L3669" s="6" t="inlineStr">
        <is>
          <t>REJECTED</t>
        </is>
      </c>
      <c r="M3669" s="8" t="n">
        <v>0</v>
      </c>
      <c r="N3669" s="7">
        <f>M3669*$J$3690-J3669</f>
        <v/>
      </c>
      <c r="O3669" s="9">
        <f>IF(G3669=0,0,N3669/G3669)</f>
        <v/>
      </c>
      <c r="P3669" s="6">
        <f>IF(M3669&gt;0,D3669,"")</f>
        <v/>
      </c>
      <c r="Q3669" s="9">
        <f>I3669+O3669</f>
        <v/>
      </c>
      <c r="R3669" s="7">
        <f>Q3669*G3669</f>
        <v/>
      </c>
      <c r="S3669" s="8">
        <f>IF($R$3690=0,0,R3669/$R$3690)</f>
        <v/>
      </c>
      <c r="T3669" s="8" t="n">
        <v>0.06286390655883167</v>
      </c>
      <c r="U3669" s="8" t="n">
        <v>0.04877080004237433</v>
      </c>
      <c r="V3669" s="6" t="inlineStr">
        <is>
          <t>not selected</t>
        </is>
      </c>
    </row>
    <row r="3670">
      <c r="A3670" s="6" t="inlineStr">
        <is>
          <t>DJ30</t>
        </is>
      </c>
      <c r="B3670" s="6" t="inlineStr">
        <is>
          <t>2025-04-11</t>
        </is>
      </c>
      <c r="C3670" s="6" t="inlineStr">
        <is>
          <t>DIA</t>
        </is>
      </c>
      <c r="D3670" s="6" t="inlineStr">
        <is>
          <t>GS</t>
        </is>
      </c>
      <c r="E3670" s="6" t="inlineStr">
        <is>
          <t>GS</t>
        </is>
      </c>
      <c r="F3670" s="6" t="inlineStr">
        <is>
          <t>-</t>
        </is>
      </c>
      <c r="G3670" s="7" t="n">
        <v>482.2791442871094</v>
      </c>
      <c r="H3670" s="6">
        <f>P3639</f>
        <v/>
      </c>
      <c r="I3670" s="9">
        <f>Q3639</f>
        <v/>
      </c>
      <c r="J3670" s="7">
        <f>I3670*G3670</f>
        <v/>
      </c>
      <c r="K3670" s="8">
        <f>IF($J$3690=0,0,J3670/$J$3690)</f>
        <v/>
      </c>
      <c r="L3670" s="6" t="inlineStr">
        <is>
          <t>WATCHLIST</t>
        </is>
      </c>
      <c r="M3670" s="8" t="n">
        <v>0</v>
      </c>
      <c r="N3670" s="7">
        <f>M3670*$J$3690-J3670</f>
        <v/>
      </c>
      <c r="O3670" s="9">
        <f>IF(G3670=0,0,N3670/G3670)</f>
        <v/>
      </c>
      <c r="P3670" s="6">
        <f>IF(M3670&gt;0,D3670,"")</f>
        <v/>
      </c>
      <c r="Q3670" s="9">
        <f>I3670+O3670</f>
        <v/>
      </c>
      <c r="R3670" s="7">
        <f>Q3670*G3670</f>
        <v/>
      </c>
      <c r="S3670" s="8">
        <f>IF($R$3690=0,0,R3670/$R$3690)</f>
        <v/>
      </c>
      <c r="T3670" s="8" t="n">
        <v>0.06286390655883167</v>
      </c>
      <c r="U3670" s="8" t="n">
        <v>0.04877080004237433</v>
      </c>
      <c r="V3670" s="6" t="inlineStr">
        <is>
          <t>not selected</t>
        </is>
      </c>
    </row>
    <row r="3671">
      <c r="A3671" s="6" t="inlineStr">
        <is>
          <t>DJ30</t>
        </is>
      </c>
      <c r="B3671" s="6" t="inlineStr">
        <is>
          <t>2025-04-11</t>
        </is>
      </c>
      <c r="C3671" s="6" t="inlineStr">
        <is>
          <t>DIA</t>
        </is>
      </c>
      <c r="D3671" s="6" t="inlineStr">
        <is>
          <t>HD</t>
        </is>
      </c>
      <c r="E3671" s="6" t="inlineStr">
        <is>
          <t>HD</t>
        </is>
      </c>
      <c r="F3671" s="6" t="inlineStr">
        <is>
          <t>-</t>
        </is>
      </c>
      <c r="G3671" s="7" t="n">
        <v>342.5664978027344</v>
      </c>
      <c r="H3671" s="6">
        <f>P3640</f>
        <v/>
      </c>
      <c r="I3671" s="9">
        <f>Q3640</f>
        <v/>
      </c>
      <c r="J3671" s="7">
        <f>I3671*G3671</f>
        <v/>
      </c>
      <c r="K3671" s="8">
        <f>IF($J$3690=0,0,J3671/$J$3690)</f>
        <v/>
      </c>
      <c r="L3671" s="6" t="inlineStr">
        <is>
          <t>WATCHLIST</t>
        </is>
      </c>
      <c r="M3671" s="8" t="n">
        <v>0</v>
      </c>
      <c r="N3671" s="7">
        <f>M3671*$J$3690-J3671</f>
        <v/>
      </c>
      <c r="O3671" s="9">
        <f>IF(G3671=0,0,N3671/G3671)</f>
        <v/>
      </c>
      <c r="P3671" s="6">
        <f>IF(M3671&gt;0,D3671,"")</f>
        <v/>
      </c>
      <c r="Q3671" s="9">
        <f>I3671+O3671</f>
        <v/>
      </c>
      <c r="R3671" s="7">
        <f>Q3671*G3671</f>
        <v/>
      </c>
      <c r="S3671" s="8">
        <f>IF($R$3690=0,0,R3671/$R$3690)</f>
        <v/>
      </c>
      <c r="T3671" s="8" t="n">
        <v>0.06286390655883167</v>
      </c>
      <c r="U3671" s="8" t="n">
        <v>0.04877080004237433</v>
      </c>
      <c r="V3671" s="6" t="inlineStr">
        <is>
          <t>not selected</t>
        </is>
      </c>
    </row>
    <row r="3672">
      <c r="A3672" s="6" t="inlineStr">
        <is>
          <t>DJ30</t>
        </is>
      </c>
      <c r="B3672" s="6" t="inlineStr">
        <is>
          <t>2025-04-11</t>
        </is>
      </c>
      <c r="C3672" s="6" t="inlineStr">
        <is>
          <t>DIA</t>
        </is>
      </c>
      <c r="D3672" s="6" t="inlineStr">
        <is>
          <t>HON</t>
        </is>
      </c>
      <c r="E3672" s="6" t="inlineStr">
        <is>
          <t>HON</t>
        </is>
      </c>
      <c r="F3672" s="6" t="inlineStr">
        <is>
          <t>-</t>
        </is>
      </c>
      <c r="G3672" s="7" t="n">
        <v>182.2055969238281</v>
      </c>
      <c r="H3672" s="6">
        <f>P3641</f>
        <v/>
      </c>
      <c r="I3672" s="9">
        <f>Q3641</f>
        <v/>
      </c>
      <c r="J3672" s="7">
        <f>I3672*G3672</f>
        <v/>
      </c>
      <c r="K3672" s="8">
        <f>IF($J$3690=0,0,J3672/$J$3690)</f>
        <v/>
      </c>
      <c r="L3672" s="6" t="inlineStr">
        <is>
          <t>REJECTED</t>
        </is>
      </c>
      <c r="M3672" s="8" t="n">
        <v>0</v>
      </c>
      <c r="N3672" s="7">
        <f>M3672*$J$3690-J3672</f>
        <v/>
      </c>
      <c r="O3672" s="9">
        <f>IF(G3672=0,0,N3672/G3672)</f>
        <v/>
      </c>
      <c r="P3672" s="6">
        <f>IF(M3672&gt;0,D3672,"")</f>
        <v/>
      </c>
      <c r="Q3672" s="9">
        <f>I3672+O3672</f>
        <v/>
      </c>
      <c r="R3672" s="7">
        <f>Q3672*G3672</f>
        <v/>
      </c>
      <c r="S3672" s="8">
        <f>IF($R$3690=0,0,R3672/$R$3690)</f>
        <v/>
      </c>
      <c r="T3672" s="8" t="n">
        <v>0.06286390655883167</v>
      </c>
      <c r="U3672" s="8" t="n">
        <v>0.04877080004237433</v>
      </c>
      <c r="V3672" s="6" t="inlineStr">
        <is>
          <t>not selected</t>
        </is>
      </c>
    </row>
    <row r="3673">
      <c r="A3673" s="6" t="inlineStr">
        <is>
          <t>DJ30</t>
        </is>
      </c>
      <c r="B3673" s="6" t="inlineStr">
        <is>
          <t>2025-04-11</t>
        </is>
      </c>
      <c r="C3673" s="6" t="inlineStr">
        <is>
          <t>DIA</t>
        </is>
      </c>
      <c r="D3673" s="6" t="inlineStr">
        <is>
          <t>IBM</t>
        </is>
      </c>
      <c r="E3673" s="6" t="inlineStr">
        <is>
          <t>IBM</t>
        </is>
      </c>
      <c r="F3673" s="6" t="inlineStr">
        <is>
          <t>-</t>
        </is>
      </c>
      <c r="G3673" s="7" t="n">
        <v>228.0895538330078</v>
      </c>
      <c r="H3673" s="6">
        <f>P3642</f>
        <v/>
      </c>
      <c r="I3673" s="9">
        <f>Q3642</f>
        <v/>
      </c>
      <c r="J3673" s="7">
        <f>I3673*G3673</f>
        <v/>
      </c>
      <c r="K3673" s="8">
        <f>IF($J$3690=0,0,J3673/$J$3690)</f>
        <v/>
      </c>
      <c r="L3673" s="6" t="inlineStr">
        <is>
          <t>SELECTED</t>
        </is>
      </c>
      <c r="M3673" s="8" t="n">
        <v>0.2</v>
      </c>
      <c r="N3673" s="7">
        <f>M3673*$J$3690-J3673</f>
        <v/>
      </c>
      <c r="O3673" s="9">
        <f>IF(G3673=0,0,N3673/G3673)</f>
        <v/>
      </c>
      <c r="P3673" s="6">
        <f>IF(M3673&gt;0,D3673,"")</f>
        <v/>
      </c>
      <c r="Q3673" s="9">
        <f>I3673+O3673</f>
        <v/>
      </c>
      <c r="R3673" s="7">
        <f>Q3673*G3673</f>
        <v/>
      </c>
      <c r="S3673" s="8">
        <f>IF($R$3690=0,0,R3673/$R$3690)</f>
        <v/>
      </c>
      <c r="T3673" s="8" t="n">
        <v>0.06286390655883167</v>
      </c>
      <c r="U3673" s="8" t="n">
        <v>0.04877080004237433</v>
      </c>
      <c r="V3673" s="6" t="inlineStr">
        <is>
          <t>remained in weekly selection</t>
        </is>
      </c>
    </row>
    <row r="3674">
      <c r="A3674" s="6" t="inlineStr">
        <is>
          <t>DJ30</t>
        </is>
      </c>
      <c r="B3674" s="6" t="inlineStr">
        <is>
          <t>2025-04-11</t>
        </is>
      </c>
      <c r="C3674" s="6" t="inlineStr">
        <is>
          <t>DIA</t>
        </is>
      </c>
      <c r="D3674" s="6" t="inlineStr">
        <is>
          <t>JNJ</t>
        </is>
      </c>
      <c r="E3674" s="6" t="inlineStr">
        <is>
          <t>JNJ</t>
        </is>
      </c>
      <c r="F3674" s="6" t="inlineStr">
        <is>
          <t>-</t>
        </is>
      </c>
      <c r="G3674" s="7" t="n">
        <v>146.7729949951172</v>
      </c>
      <c r="H3674" s="6">
        <f>P3643</f>
        <v/>
      </c>
      <c r="I3674" s="9">
        <f>Q3643</f>
        <v/>
      </c>
      <c r="J3674" s="7">
        <f>I3674*G3674</f>
        <v/>
      </c>
      <c r="K3674" s="8">
        <f>IF($J$3690=0,0,J3674/$J$3690)</f>
        <v/>
      </c>
      <c r="L3674" s="6" t="inlineStr">
        <is>
          <t>REJECTED</t>
        </is>
      </c>
      <c r="M3674" s="8" t="n">
        <v>0</v>
      </c>
      <c r="N3674" s="7">
        <f>M3674*$J$3690-J3674</f>
        <v/>
      </c>
      <c r="O3674" s="9">
        <f>IF(G3674=0,0,N3674/G3674)</f>
        <v/>
      </c>
      <c r="P3674" s="6">
        <f>IF(M3674&gt;0,D3674,"")</f>
        <v/>
      </c>
      <c r="Q3674" s="9">
        <f>I3674+O3674</f>
        <v/>
      </c>
      <c r="R3674" s="7">
        <f>Q3674*G3674</f>
        <v/>
      </c>
      <c r="S3674" s="8">
        <f>IF($R$3690=0,0,R3674/$R$3690)</f>
        <v/>
      </c>
      <c r="T3674" s="8" t="n">
        <v>0.06286390655883167</v>
      </c>
      <c r="U3674" s="8" t="n">
        <v>0.04877080004237433</v>
      </c>
      <c r="V3674" s="6" t="inlineStr">
        <is>
          <t>not selected</t>
        </is>
      </c>
    </row>
    <row r="3675">
      <c r="A3675" s="6" t="inlineStr">
        <is>
          <t>DJ30</t>
        </is>
      </c>
      <c r="B3675" s="6" t="inlineStr">
        <is>
          <t>2025-04-11</t>
        </is>
      </c>
      <c r="C3675" s="6" t="inlineStr">
        <is>
          <t>DIA</t>
        </is>
      </c>
      <c r="D3675" s="6" t="inlineStr">
        <is>
          <t>JPM</t>
        </is>
      </c>
      <c r="E3675" s="6" t="inlineStr">
        <is>
          <t>JPM</t>
        </is>
      </c>
      <c r="F3675" s="6" t="inlineStr">
        <is>
          <t>-</t>
        </is>
      </c>
      <c r="G3675" s="7" t="n">
        <v>231.6939849853516</v>
      </c>
      <c r="H3675" s="6">
        <f>P3644</f>
        <v/>
      </c>
      <c r="I3675" s="9">
        <f>Q3644</f>
        <v/>
      </c>
      <c r="J3675" s="7">
        <f>I3675*G3675</f>
        <v/>
      </c>
      <c r="K3675" s="8">
        <f>IF($J$3690=0,0,J3675/$J$3690)</f>
        <v/>
      </c>
      <c r="L3675" s="6" t="inlineStr">
        <is>
          <t>WATCHLIST</t>
        </is>
      </c>
      <c r="M3675" s="8" t="n">
        <v>0</v>
      </c>
      <c r="N3675" s="7">
        <f>M3675*$J$3690-J3675</f>
        <v/>
      </c>
      <c r="O3675" s="9">
        <f>IF(G3675=0,0,N3675/G3675)</f>
        <v/>
      </c>
      <c r="P3675" s="6">
        <f>IF(M3675&gt;0,D3675,"")</f>
        <v/>
      </c>
      <c r="Q3675" s="9">
        <f>I3675+O3675</f>
        <v/>
      </c>
      <c r="R3675" s="7">
        <f>Q3675*G3675</f>
        <v/>
      </c>
      <c r="S3675" s="8">
        <f>IF($R$3690=0,0,R3675/$R$3690)</f>
        <v/>
      </c>
      <c r="T3675" s="8" t="n">
        <v>0.06286390655883167</v>
      </c>
      <c r="U3675" s="8" t="n">
        <v>0.04877080004237433</v>
      </c>
      <c r="V3675" s="6" t="inlineStr">
        <is>
          <t>not selected</t>
        </is>
      </c>
    </row>
    <row r="3676">
      <c r="A3676" s="6" t="inlineStr">
        <is>
          <t>DJ30</t>
        </is>
      </c>
      <c r="B3676" s="6" t="inlineStr">
        <is>
          <t>2025-04-11</t>
        </is>
      </c>
      <c r="C3676" s="6" t="inlineStr">
        <is>
          <t>DIA</t>
        </is>
      </c>
      <c r="D3676" s="6" t="inlineStr">
        <is>
          <t>KO</t>
        </is>
      </c>
      <c r="E3676" s="6" t="inlineStr">
        <is>
          <t>KO</t>
        </is>
      </c>
      <c r="F3676" s="6" t="inlineStr">
        <is>
          <t>-</t>
        </is>
      </c>
      <c r="G3676" s="7" t="n">
        <v>68.97235870361328</v>
      </c>
      <c r="H3676" s="6">
        <f>P3645</f>
        <v/>
      </c>
      <c r="I3676" s="9">
        <f>Q3645</f>
        <v/>
      </c>
      <c r="J3676" s="7">
        <f>I3676*G3676</f>
        <v/>
      </c>
      <c r="K3676" s="8">
        <f>IF($J$3690=0,0,J3676/$J$3690)</f>
        <v/>
      </c>
      <c r="L3676" s="6" t="inlineStr">
        <is>
          <t>REJECTED</t>
        </is>
      </c>
      <c r="M3676" s="8" t="n">
        <v>0</v>
      </c>
      <c r="N3676" s="7">
        <f>M3676*$J$3690-J3676</f>
        <v/>
      </c>
      <c r="O3676" s="9">
        <f>IF(G3676=0,0,N3676/G3676)</f>
        <v/>
      </c>
      <c r="P3676" s="6">
        <f>IF(M3676&gt;0,D3676,"")</f>
        <v/>
      </c>
      <c r="Q3676" s="9">
        <f>I3676+O3676</f>
        <v/>
      </c>
      <c r="R3676" s="7">
        <f>Q3676*G3676</f>
        <v/>
      </c>
      <c r="S3676" s="8">
        <f>IF($R$3690=0,0,R3676/$R$3690)</f>
        <v/>
      </c>
      <c r="T3676" s="8" t="n">
        <v>0.06286390655883167</v>
      </c>
      <c r="U3676" s="8" t="n">
        <v>0.04877080004237433</v>
      </c>
      <c r="V3676" s="6" t="inlineStr">
        <is>
          <t>not selected</t>
        </is>
      </c>
    </row>
    <row r="3677">
      <c r="A3677" s="6" t="inlineStr">
        <is>
          <t>DJ30</t>
        </is>
      </c>
      <c r="B3677" s="6" t="inlineStr">
        <is>
          <t>2025-04-11</t>
        </is>
      </c>
      <c r="C3677" s="6" t="inlineStr">
        <is>
          <t>DIA</t>
        </is>
      </c>
      <c r="D3677" s="6" t="inlineStr">
        <is>
          <t>MCD</t>
        </is>
      </c>
      <c r="E3677" s="6" t="inlineStr">
        <is>
          <t>MCD</t>
        </is>
      </c>
      <c r="F3677" s="6" t="inlineStr">
        <is>
          <t>-</t>
        </is>
      </c>
      <c r="G3677" s="7" t="n">
        <v>300.8524780273437</v>
      </c>
      <c r="H3677" s="6">
        <f>P3646</f>
        <v/>
      </c>
      <c r="I3677" s="9">
        <f>Q3646</f>
        <v/>
      </c>
      <c r="J3677" s="7">
        <f>I3677*G3677</f>
        <v/>
      </c>
      <c r="K3677" s="8">
        <f>IF($J$3690=0,0,J3677/$J$3690)</f>
        <v/>
      </c>
      <c r="L3677" s="6" t="inlineStr">
        <is>
          <t>WATCHLIST</t>
        </is>
      </c>
      <c r="M3677" s="8" t="n">
        <v>0</v>
      </c>
      <c r="N3677" s="7">
        <f>M3677*$J$3690-J3677</f>
        <v/>
      </c>
      <c r="O3677" s="9">
        <f>IF(G3677=0,0,N3677/G3677)</f>
        <v/>
      </c>
      <c r="P3677" s="6">
        <f>IF(M3677&gt;0,D3677,"")</f>
        <v/>
      </c>
      <c r="Q3677" s="9">
        <f>I3677+O3677</f>
        <v/>
      </c>
      <c r="R3677" s="7">
        <f>Q3677*G3677</f>
        <v/>
      </c>
      <c r="S3677" s="8">
        <f>IF($R$3690=0,0,R3677/$R$3690)</f>
        <v/>
      </c>
      <c r="T3677" s="8" t="n">
        <v>0.06286390655883167</v>
      </c>
      <c r="U3677" s="8" t="n">
        <v>0.04877080004237433</v>
      </c>
      <c r="V3677" s="6" t="inlineStr">
        <is>
          <t>not selected</t>
        </is>
      </c>
    </row>
    <row r="3678">
      <c r="A3678" s="6" t="inlineStr">
        <is>
          <t>DJ30</t>
        </is>
      </c>
      <c r="B3678" s="6" t="inlineStr">
        <is>
          <t>2025-04-11</t>
        </is>
      </c>
      <c r="C3678" s="6" t="inlineStr">
        <is>
          <t>DIA</t>
        </is>
      </c>
      <c r="D3678" s="6" t="inlineStr">
        <is>
          <t>MMM</t>
        </is>
      </c>
      <c r="E3678" s="6" t="inlineStr">
        <is>
          <t>MMM</t>
        </is>
      </c>
      <c r="F3678" s="6" t="inlineStr">
        <is>
          <t>-</t>
        </is>
      </c>
      <c r="G3678" s="7" t="n">
        <v>132.80322265625</v>
      </c>
      <c r="H3678" s="6">
        <f>P3647</f>
        <v/>
      </c>
      <c r="I3678" s="9">
        <f>Q3647</f>
        <v/>
      </c>
      <c r="J3678" s="7">
        <f>I3678*G3678</f>
        <v/>
      </c>
      <c r="K3678" s="8">
        <f>IF($J$3690=0,0,J3678/$J$3690)</f>
        <v/>
      </c>
      <c r="L3678" s="6" t="inlineStr">
        <is>
          <t>SELECTED</t>
        </is>
      </c>
      <c r="M3678" s="8" t="n">
        <v>0.2</v>
      </c>
      <c r="N3678" s="7">
        <f>M3678*$J$3690-J3678</f>
        <v/>
      </c>
      <c r="O3678" s="9">
        <f>IF(G3678=0,0,N3678/G3678)</f>
        <v/>
      </c>
      <c r="P3678" s="6">
        <f>IF(M3678&gt;0,D3678,"")</f>
        <v/>
      </c>
      <c r="Q3678" s="9">
        <f>I3678+O3678</f>
        <v/>
      </c>
      <c r="R3678" s="7">
        <f>Q3678*G3678</f>
        <v/>
      </c>
      <c r="S3678" s="8">
        <f>IF($R$3690=0,0,R3678/$R$3690)</f>
        <v/>
      </c>
      <c r="T3678" s="8" t="n">
        <v>0.06286390655883167</v>
      </c>
      <c r="U3678" s="8" t="n">
        <v>0.04877080004237433</v>
      </c>
      <c r="V3678" s="6" t="inlineStr">
        <is>
          <t>remained in weekly selection</t>
        </is>
      </c>
    </row>
    <row r="3679">
      <c r="A3679" s="6" t="inlineStr">
        <is>
          <t>DJ30</t>
        </is>
      </c>
      <c r="B3679" s="6" t="inlineStr">
        <is>
          <t>2025-04-11</t>
        </is>
      </c>
      <c r="C3679" s="6" t="inlineStr">
        <is>
          <t>DIA</t>
        </is>
      </c>
      <c r="D3679" s="6" t="inlineStr">
        <is>
          <t>MRK</t>
        </is>
      </c>
      <c r="E3679" s="6" t="inlineStr">
        <is>
          <t>MRK</t>
        </is>
      </c>
      <c r="F3679" s="6" t="inlineStr">
        <is>
          <t>-</t>
        </is>
      </c>
      <c r="G3679" s="7" t="n">
        <v>75.85897827148438</v>
      </c>
      <c r="H3679" s="6">
        <f>P3648</f>
        <v/>
      </c>
      <c r="I3679" s="9">
        <f>Q3648</f>
        <v/>
      </c>
      <c r="J3679" s="7">
        <f>I3679*G3679</f>
        <v/>
      </c>
      <c r="K3679" s="8">
        <f>IF($J$3690=0,0,J3679/$J$3690)</f>
        <v/>
      </c>
      <c r="L3679" s="6" t="inlineStr">
        <is>
          <t>REJECTED</t>
        </is>
      </c>
      <c r="M3679" s="8" t="n">
        <v>0</v>
      </c>
      <c r="N3679" s="7">
        <f>M3679*$J$3690-J3679</f>
        <v/>
      </c>
      <c r="O3679" s="9">
        <f>IF(G3679=0,0,N3679/G3679)</f>
        <v/>
      </c>
      <c r="P3679" s="6">
        <f>IF(M3679&gt;0,D3679,"")</f>
        <v/>
      </c>
      <c r="Q3679" s="9">
        <f>I3679+O3679</f>
        <v/>
      </c>
      <c r="R3679" s="7">
        <f>Q3679*G3679</f>
        <v/>
      </c>
      <c r="S3679" s="8">
        <f>IF($R$3690=0,0,R3679/$R$3690)</f>
        <v/>
      </c>
      <c r="T3679" s="8" t="n">
        <v>0.06286390655883167</v>
      </c>
      <c r="U3679" s="8" t="n">
        <v>0.04877080004237433</v>
      </c>
      <c r="V3679" s="6" t="inlineStr">
        <is>
          <t>not selected</t>
        </is>
      </c>
    </row>
    <row r="3680">
      <c r="A3680" s="6" t="inlineStr">
        <is>
          <t>DJ30</t>
        </is>
      </c>
      <c r="B3680" s="6" t="inlineStr">
        <is>
          <t>2025-04-11</t>
        </is>
      </c>
      <c r="C3680" s="6" t="inlineStr">
        <is>
          <t>DIA</t>
        </is>
      </c>
      <c r="D3680" s="6" t="inlineStr">
        <is>
          <t>MSFT</t>
        </is>
      </c>
      <c r="E3680" s="6" t="inlineStr">
        <is>
          <t>MSFT</t>
        </is>
      </c>
      <c r="F3680" s="6" t="inlineStr">
        <is>
          <t>-</t>
        </is>
      </c>
      <c r="G3680" s="7" t="n">
        <v>384.6656188964844</v>
      </c>
      <c r="H3680" s="6">
        <f>P3649</f>
        <v/>
      </c>
      <c r="I3680" s="9">
        <f>Q3649</f>
        <v/>
      </c>
      <c r="J3680" s="7">
        <f>I3680*G3680</f>
        <v/>
      </c>
      <c r="K3680" s="8">
        <f>IF($J$3690=0,0,J3680/$J$3690)</f>
        <v/>
      </c>
      <c r="L3680" s="6" t="inlineStr">
        <is>
          <t>REJECTED</t>
        </is>
      </c>
      <c r="M3680" s="8" t="n">
        <v>0</v>
      </c>
      <c r="N3680" s="7">
        <f>M3680*$J$3690-J3680</f>
        <v/>
      </c>
      <c r="O3680" s="9">
        <f>IF(G3680=0,0,N3680/G3680)</f>
        <v/>
      </c>
      <c r="P3680" s="6">
        <f>IF(M3680&gt;0,D3680,"")</f>
        <v/>
      </c>
      <c r="Q3680" s="9">
        <f>I3680+O3680</f>
        <v/>
      </c>
      <c r="R3680" s="7">
        <f>Q3680*G3680</f>
        <v/>
      </c>
      <c r="S3680" s="8">
        <f>IF($R$3690=0,0,R3680/$R$3690)</f>
        <v/>
      </c>
      <c r="T3680" s="8" t="n">
        <v>0.06286390655883167</v>
      </c>
      <c r="U3680" s="8" t="n">
        <v>0.04877080004237433</v>
      </c>
      <c r="V3680" s="6" t="inlineStr">
        <is>
          <t>not selected</t>
        </is>
      </c>
    </row>
    <row r="3681">
      <c r="A3681" s="6" t="inlineStr">
        <is>
          <t>DJ30</t>
        </is>
      </c>
      <c r="B3681" s="6" t="inlineStr">
        <is>
          <t>2025-04-11</t>
        </is>
      </c>
      <c r="C3681" s="6" t="inlineStr">
        <is>
          <t>DIA</t>
        </is>
      </c>
      <c r="D3681" s="6" t="inlineStr">
        <is>
          <t>NKE</t>
        </is>
      </c>
      <c r="E3681" s="6" t="inlineStr">
        <is>
          <t>NKE</t>
        </is>
      </c>
      <c r="F3681" s="6" t="inlineStr">
        <is>
          <t>-</t>
        </is>
      </c>
      <c r="G3681" s="7" t="n">
        <v>52.58786392211914</v>
      </c>
      <c r="H3681" s="6">
        <f>P3650</f>
        <v/>
      </c>
      <c r="I3681" s="9">
        <f>Q3650</f>
        <v/>
      </c>
      <c r="J3681" s="7">
        <f>I3681*G3681</f>
        <v/>
      </c>
      <c r="K3681" s="8">
        <f>IF($J$3690=0,0,J3681/$J$3690)</f>
        <v/>
      </c>
      <c r="L3681" s="6" t="inlineStr">
        <is>
          <t>REJECTED</t>
        </is>
      </c>
      <c r="M3681" s="8" t="n">
        <v>0</v>
      </c>
      <c r="N3681" s="7">
        <f>M3681*$J$3690-J3681</f>
        <v/>
      </c>
      <c r="O3681" s="9">
        <f>IF(G3681=0,0,N3681/G3681)</f>
        <v/>
      </c>
      <c r="P3681" s="6">
        <f>IF(M3681&gt;0,D3681,"")</f>
        <v/>
      </c>
      <c r="Q3681" s="9">
        <f>I3681+O3681</f>
        <v/>
      </c>
      <c r="R3681" s="7">
        <f>Q3681*G3681</f>
        <v/>
      </c>
      <c r="S3681" s="8">
        <f>IF($R$3690=0,0,R3681/$R$3690)</f>
        <v/>
      </c>
      <c r="T3681" s="8" t="n">
        <v>0.06286390655883167</v>
      </c>
      <c r="U3681" s="8" t="n">
        <v>0.04877080004237433</v>
      </c>
      <c r="V3681" s="6" t="inlineStr">
        <is>
          <t>not selected</t>
        </is>
      </c>
    </row>
    <row r="3682">
      <c r="A3682" s="6" t="inlineStr">
        <is>
          <t>DJ30</t>
        </is>
      </c>
      <c r="B3682" s="6" t="inlineStr">
        <is>
          <t>2025-04-11</t>
        </is>
      </c>
      <c r="C3682" s="6" t="inlineStr">
        <is>
          <t>DIA</t>
        </is>
      </c>
      <c r="D3682" s="6" t="inlineStr">
        <is>
          <t>NVDA</t>
        </is>
      </c>
      <c r="E3682" s="6" t="inlineStr">
        <is>
          <t>NVDA</t>
        </is>
      </c>
      <c r="F3682" s="6" t="inlineStr">
        <is>
          <t>-</t>
        </is>
      </c>
      <c r="G3682" s="7" t="n">
        <v>110.7747573852539</v>
      </c>
      <c r="H3682" s="6">
        <f>P3651</f>
        <v/>
      </c>
      <c r="I3682" s="9">
        <f>Q3651</f>
        <v/>
      </c>
      <c r="J3682" s="7">
        <f>I3682*G3682</f>
        <v/>
      </c>
      <c r="K3682" s="8">
        <f>IF($J$3690=0,0,J3682/$J$3690)</f>
        <v/>
      </c>
      <c r="L3682" s="6" t="inlineStr">
        <is>
          <t>REJECTED</t>
        </is>
      </c>
      <c r="M3682" s="8" t="n">
        <v>0</v>
      </c>
      <c r="N3682" s="7">
        <f>M3682*$J$3690-J3682</f>
        <v/>
      </c>
      <c r="O3682" s="9">
        <f>IF(G3682=0,0,N3682/G3682)</f>
        <v/>
      </c>
      <c r="P3682" s="6">
        <f>IF(M3682&gt;0,D3682,"")</f>
        <v/>
      </c>
      <c r="Q3682" s="9">
        <f>I3682+O3682</f>
        <v/>
      </c>
      <c r="R3682" s="7">
        <f>Q3682*G3682</f>
        <v/>
      </c>
      <c r="S3682" s="8">
        <f>IF($R$3690=0,0,R3682/$R$3690)</f>
        <v/>
      </c>
      <c r="T3682" s="8" t="n">
        <v>0.06286390655883167</v>
      </c>
      <c r="U3682" s="8" t="n">
        <v>0.04877080004237433</v>
      </c>
      <c r="V3682" s="6" t="inlineStr">
        <is>
          <t>not selected</t>
        </is>
      </c>
    </row>
    <row r="3683">
      <c r="A3683" s="6" t="inlineStr">
        <is>
          <t>DJ30</t>
        </is>
      </c>
      <c r="B3683" s="6" t="inlineStr">
        <is>
          <t>2025-04-11</t>
        </is>
      </c>
      <c r="C3683" s="6" t="inlineStr">
        <is>
          <t>DIA</t>
        </is>
      </c>
      <c r="D3683" s="6" t="inlineStr">
        <is>
          <t>PG</t>
        </is>
      </c>
      <c r="E3683" s="6" t="inlineStr">
        <is>
          <t>PG</t>
        </is>
      </c>
      <c r="F3683" s="6" t="inlineStr">
        <is>
          <t>-</t>
        </is>
      </c>
      <c r="G3683" s="7" t="n">
        <v>161.2377624511719</v>
      </c>
      <c r="H3683" s="6">
        <f>P3652</f>
        <v/>
      </c>
      <c r="I3683" s="9">
        <f>Q3652</f>
        <v/>
      </c>
      <c r="J3683" s="7">
        <f>I3683*G3683</f>
        <v/>
      </c>
      <c r="K3683" s="8">
        <f>IF($J$3690=0,0,J3683/$J$3690)</f>
        <v/>
      </c>
      <c r="L3683" s="6" t="inlineStr">
        <is>
          <t>REJECTED</t>
        </is>
      </c>
      <c r="M3683" s="8" t="n">
        <v>0</v>
      </c>
      <c r="N3683" s="7">
        <f>M3683*$J$3690-J3683</f>
        <v/>
      </c>
      <c r="O3683" s="9">
        <f>IF(G3683=0,0,N3683/G3683)</f>
        <v/>
      </c>
      <c r="P3683" s="6">
        <f>IF(M3683&gt;0,D3683,"")</f>
        <v/>
      </c>
      <c r="Q3683" s="9">
        <f>I3683+O3683</f>
        <v/>
      </c>
      <c r="R3683" s="7">
        <f>Q3683*G3683</f>
        <v/>
      </c>
      <c r="S3683" s="8">
        <f>IF($R$3690=0,0,R3683/$R$3690)</f>
        <v/>
      </c>
      <c r="T3683" s="8" t="n">
        <v>0.06286390655883167</v>
      </c>
      <c r="U3683" s="8" t="n">
        <v>0.04877080004237433</v>
      </c>
      <c r="V3683" s="6" t="inlineStr">
        <is>
          <t>not selected</t>
        </is>
      </c>
    </row>
    <row r="3684">
      <c r="A3684" s="6" t="inlineStr">
        <is>
          <t>DJ30</t>
        </is>
      </c>
      <c r="B3684" s="6" t="inlineStr">
        <is>
          <t>2025-04-11</t>
        </is>
      </c>
      <c r="C3684" s="6" t="inlineStr">
        <is>
          <t>DIA</t>
        </is>
      </c>
      <c r="D3684" s="6" t="inlineStr">
        <is>
          <t>SHW</t>
        </is>
      </c>
      <c r="E3684" s="6" t="inlineStr">
        <is>
          <t>SHW</t>
        </is>
      </c>
      <c r="F3684" s="6" t="inlineStr">
        <is>
          <t>-</t>
        </is>
      </c>
      <c r="G3684" s="7" t="n">
        <v>332.9246826171875</v>
      </c>
      <c r="H3684" s="6">
        <f>P3653</f>
        <v/>
      </c>
      <c r="I3684" s="9">
        <f>Q3653</f>
        <v/>
      </c>
      <c r="J3684" s="7">
        <f>I3684*G3684</f>
        <v/>
      </c>
      <c r="K3684" s="8">
        <f>IF($J$3690=0,0,J3684/$J$3690)</f>
        <v/>
      </c>
      <c r="L3684" s="6" t="inlineStr">
        <is>
          <t>REJECTED</t>
        </is>
      </c>
      <c r="M3684" s="8" t="n">
        <v>0</v>
      </c>
      <c r="N3684" s="7">
        <f>M3684*$J$3690-J3684</f>
        <v/>
      </c>
      <c r="O3684" s="9">
        <f>IF(G3684=0,0,N3684/G3684)</f>
        <v/>
      </c>
      <c r="P3684" s="6">
        <f>IF(M3684&gt;0,D3684,"")</f>
        <v/>
      </c>
      <c r="Q3684" s="9">
        <f>I3684+O3684</f>
        <v/>
      </c>
      <c r="R3684" s="7">
        <f>Q3684*G3684</f>
        <v/>
      </c>
      <c r="S3684" s="8">
        <f>IF($R$3690=0,0,R3684/$R$3690)</f>
        <v/>
      </c>
      <c r="T3684" s="8" t="n">
        <v>0.06286390655883167</v>
      </c>
      <c r="U3684" s="8" t="n">
        <v>0.04877080004237433</v>
      </c>
      <c r="V3684" s="6" t="inlineStr">
        <is>
          <t>not selected</t>
        </is>
      </c>
    </row>
    <row r="3685">
      <c r="A3685" s="6" t="inlineStr">
        <is>
          <t>DJ30</t>
        </is>
      </c>
      <c r="B3685" s="6" t="inlineStr">
        <is>
          <t>2025-04-11</t>
        </is>
      </c>
      <c r="C3685" s="6" t="inlineStr">
        <is>
          <t>DIA</t>
        </is>
      </c>
      <c r="D3685" s="6" t="inlineStr">
        <is>
          <t>TRV</t>
        </is>
      </c>
      <c r="E3685" s="6" t="inlineStr">
        <is>
          <t>TRV</t>
        </is>
      </c>
      <c r="F3685" s="6" t="inlineStr">
        <is>
          <t>-</t>
        </is>
      </c>
      <c r="G3685" s="7" t="n">
        <v>240.3000640869141</v>
      </c>
      <c r="H3685" s="6">
        <f>P3654</f>
        <v/>
      </c>
      <c r="I3685" s="9">
        <f>Q3654</f>
        <v/>
      </c>
      <c r="J3685" s="7">
        <f>I3685*G3685</f>
        <v/>
      </c>
      <c r="K3685" s="8">
        <f>IF($J$3690=0,0,J3685/$J$3690)</f>
        <v/>
      </c>
      <c r="L3685" s="6" t="inlineStr">
        <is>
          <t>WATCHLIST</t>
        </is>
      </c>
      <c r="M3685" s="8" t="n">
        <v>0</v>
      </c>
      <c r="N3685" s="7">
        <f>M3685*$J$3690-J3685</f>
        <v/>
      </c>
      <c r="O3685" s="9">
        <f>IF(G3685=0,0,N3685/G3685)</f>
        <v/>
      </c>
      <c r="P3685" s="6">
        <f>IF(M3685&gt;0,D3685,"")</f>
        <v/>
      </c>
      <c r="Q3685" s="9">
        <f>I3685+O3685</f>
        <v/>
      </c>
      <c r="R3685" s="7">
        <f>Q3685*G3685</f>
        <v/>
      </c>
      <c r="S3685" s="8">
        <f>IF($R$3690=0,0,R3685/$R$3690)</f>
        <v/>
      </c>
      <c r="T3685" s="8" t="n">
        <v>0.06286390655883167</v>
      </c>
      <c r="U3685" s="8" t="n">
        <v>0.04877080004237433</v>
      </c>
      <c r="V3685" s="6" t="inlineStr">
        <is>
          <t>not selected</t>
        </is>
      </c>
    </row>
    <row r="3686">
      <c r="A3686" s="6" t="inlineStr">
        <is>
          <t>DJ30</t>
        </is>
      </c>
      <c r="B3686" s="6" t="inlineStr">
        <is>
          <t>2025-04-11</t>
        </is>
      </c>
      <c r="C3686" s="6" t="inlineStr">
        <is>
          <t>DIA</t>
        </is>
      </c>
      <c r="D3686" s="6" t="inlineStr">
        <is>
          <t>UNH</t>
        </is>
      </c>
      <c r="E3686" s="6" t="inlineStr">
        <is>
          <t>UNH</t>
        </is>
      </c>
      <c r="F3686" s="6" t="inlineStr">
        <is>
          <t>-</t>
        </is>
      </c>
      <c r="G3686" s="7" t="n">
        <v>579.718505859375</v>
      </c>
      <c r="H3686" s="6">
        <f>P3655</f>
        <v/>
      </c>
      <c r="I3686" s="9">
        <f>Q3655</f>
        <v/>
      </c>
      <c r="J3686" s="7">
        <f>I3686*G3686</f>
        <v/>
      </c>
      <c r="K3686" s="8">
        <f>IF($J$3690=0,0,J3686/$J$3690)</f>
        <v/>
      </c>
      <c r="L3686" s="6" t="inlineStr">
        <is>
          <t>REJECTED</t>
        </is>
      </c>
      <c r="M3686" s="8" t="n">
        <v>0</v>
      </c>
      <c r="N3686" s="7">
        <f>M3686*$J$3690-J3686</f>
        <v/>
      </c>
      <c r="O3686" s="9">
        <f>IF(G3686=0,0,N3686/G3686)</f>
        <v/>
      </c>
      <c r="P3686" s="6">
        <f>IF(M3686&gt;0,D3686,"")</f>
        <v/>
      </c>
      <c r="Q3686" s="9">
        <f>I3686+O3686</f>
        <v/>
      </c>
      <c r="R3686" s="7">
        <f>Q3686*G3686</f>
        <v/>
      </c>
      <c r="S3686" s="8">
        <f>IF($R$3690=0,0,R3686/$R$3690)</f>
        <v/>
      </c>
      <c r="T3686" s="8" t="n">
        <v>0.06286390655883167</v>
      </c>
      <c r="U3686" s="8" t="n">
        <v>0.04877080004237433</v>
      </c>
      <c r="V3686" s="6" t="inlineStr">
        <is>
          <t>not selected</t>
        </is>
      </c>
    </row>
    <row r="3687">
      <c r="A3687" s="6" t="inlineStr">
        <is>
          <t>DJ30</t>
        </is>
      </c>
      <c r="B3687" s="6" t="inlineStr">
        <is>
          <t>2025-04-11</t>
        </is>
      </c>
      <c r="C3687" s="6" t="inlineStr">
        <is>
          <t>DIA</t>
        </is>
      </c>
      <c r="D3687" s="6" t="inlineStr">
        <is>
          <t>V</t>
        </is>
      </c>
      <c r="E3687" s="6" t="inlineStr">
        <is>
          <t>V</t>
        </is>
      </c>
      <c r="F3687" s="6" t="inlineStr">
        <is>
          <t>-</t>
        </is>
      </c>
      <c r="G3687" s="7" t="n">
        <v>330.2387390136719</v>
      </c>
      <c r="H3687" s="6">
        <f>P3656</f>
        <v/>
      </c>
      <c r="I3687" s="9">
        <f>Q3656</f>
        <v/>
      </c>
      <c r="J3687" s="7">
        <f>I3687*G3687</f>
        <v/>
      </c>
      <c r="K3687" s="8">
        <f>IF($J$3690=0,0,J3687/$J$3690)</f>
        <v/>
      </c>
      <c r="L3687" s="6" t="inlineStr">
        <is>
          <t>WATCHLIST</t>
        </is>
      </c>
      <c r="M3687" s="8" t="n">
        <v>0</v>
      </c>
      <c r="N3687" s="7">
        <f>M3687*$J$3690-J3687</f>
        <v/>
      </c>
      <c r="O3687" s="9">
        <f>IF(G3687=0,0,N3687/G3687)</f>
        <v/>
      </c>
      <c r="P3687" s="6">
        <f>IF(M3687&gt;0,D3687,"")</f>
        <v/>
      </c>
      <c r="Q3687" s="9">
        <f>I3687+O3687</f>
        <v/>
      </c>
      <c r="R3687" s="7">
        <f>Q3687*G3687</f>
        <v/>
      </c>
      <c r="S3687" s="8">
        <f>IF($R$3690=0,0,R3687/$R$3690)</f>
        <v/>
      </c>
      <c r="T3687" s="8" t="n">
        <v>0.06286390655883167</v>
      </c>
      <c r="U3687" s="8" t="n">
        <v>0.04877080004237433</v>
      </c>
      <c r="V3687" s="6" t="inlineStr">
        <is>
          <t>not selected</t>
        </is>
      </c>
    </row>
    <row r="3688">
      <c r="A3688" s="6" t="inlineStr">
        <is>
          <t>DJ30</t>
        </is>
      </c>
      <c r="B3688" s="6" t="inlineStr">
        <is>
          <t>2025-04-11</t>
        </is>
      </c>
      <c r="C3688" s="6" t="inlineStr">
        <is>
          <t>DIA</t>
        </is>
      </c>
      <c r="D3688" s="6" t="inlineStr">
        <is>
          <t>VZ</t>
        </is>
      </c>
      <c r="E3688" s="6" t="inlineStr">
        <is>
          <t>VZ</t>
        </is>
      </c>
      <c r="F3688" s="6" t="inlineStr">
        <is>
          <t>-</t>
        </is>
      </c>
      <c r="G3688" s="7" t="n">
        <v>40.96922302246094</v>
      </c>
      <c r="H3688" s="6">
        <f>P3657</f>
        <v/>
      </c>
      <c r="I3688" s="9">
        <f>Q3657</f>
        <v/>
      </c>
      <c r="J3688" s="7">
        <f>I3688*G3688</f>
        <v/>
      </c>
      <c r="K3688" s="8">
        <f>IF($J$3690=0,0,J3688/$J$3690)</f>
        <v/>
      </c>
      <c r="L3688" s="6" t="inlineStr">
        <is>
          <t>SELECTED</t>
        </is>
      </c>
      <c r="M3688" s="8" t="n">
        <v>0.2</v>
      </c>
      <c r="N3688" s="7">
        <f>M3688*$J$3690-J3688</f>
        <v/>
      </c>
      <c r="O3688" s="9">
        <f>IF(G3688=0,0,N3688/G3688)</f>
        <v/>
      </c>
      <c r="P3688" s="6">
        <f>IF(M3688&gt;0,D3688,"")</f>
        <v/>
      </c>
      <c r="Q3688" s="9">
        <f>I3688+O3688</f>
        <v/>
      </c>
      <c r="R3688" s="7">
        <f>Q3688*G3688</f>
        <v/>
      </c>
      <c r="S3688" s="8">
        <f>IF($R$3690=0,0,R3688/$R$3690)</f>
        <v/>
      </c>
      <c r="T3688" s="8" t="n">
        <v>0.06286390655883167</v>
      </c>
      <c r="U3688" s="8" t="n">
        <v>0.04877080004237433</v>
      </c>
      <c r="V3688" s="6" t="inlineStr">
        <is>
          <t>remained in weekly selection</t>
        </is>
      </c>
    </row>
    <row r="3689">
      <c r="A3689" s="6" t="inlineStr">
        <is>
          <t>DJ30</t>
        </is>
      </c>
      <c r="B3689" s="6" t="inlineStr">
        <is>
          <t>2025-04-11</t>
        </is>
      </c>
      <c r="C3689" s="6" t="inlineStr">
        <is>
          <t>DIA</t>
        </is>
      </c>
      <c r="D3689" s="6" t="inlineStr">
        <is>
          <t>WMT</t>
        </is>
      </c>
      <c r="E3689" s="6" t="inlineStr">
        <is>
          <t>WMT</t>
        </is>
      </c>
      <c r="F3689" s="6" t="inlineStr">
        <is>
          <t>-</t>
        </is>
      </c>
      <c r="G3689" s="7" t="n">
        <v>91.80857086181641</v>
      </c>
      <c r="H3689" s="6">
        <f>P3658</f>
        <v/>
      </c>
      <c r="I3689" s="9">
        <f>Q3658</f>
        <v/>
      </c>
      <c r="J3689" s="7">
        <f>I3689*G3689</f>
        <v/>
      </c>
      <c r="K3689" s="8">
        <f>IF($J$3690=0,0,J3689/$J$3690)</f>
        <v/>
      </c>
      <c r="L3689" s="6" t="inlineStr">
        <is>
          <t>SELECTED</t>
        </is>
      </c>
      <c r="M3689" s="8" t="n">
        <v>0.2</v>
      </c>
      <c r="N3689" s="7">
        <f>M3689*$J$3690-J3689</f>
        <v/>
      </c>
      <c r="O3689" s="9">
        <f>IF(G3689=0,0,N3689/G3689)</f>
        <v/>
      </c>
      <c r="P3689" s="6">
        <f>IF(M3689&gt;0,D3689,"")</f>
        <v/>
      </c>
      <c r="Q3689" s="9">
        <f>I3689+O3689</f>
        <v/>
      </c>
      <c r="R3689" s="7">
        <f>Q3689*G3689</f>
        <v/>
      </c>
      <c r="S3689" s="8">
        <f>IF($R$3690=0,0,R3689/$R$3690)</f>
        <v/>
      </c>
      <c r="T3689" s="8" t="n">
        <v>0.06286390655883167</v>
      </c>
      <c r="U3689" s="8" t="n">
        <v>0.04877080004237433</v>
      </c>
      <c r="V3689" s="6" t="inlineStr">
        <is>
          <t>remained in weekly selection</t>
        </is>
      </c>
    </row>
    <row r="3690">
      <c r="A3690" s="10" t="inlineStr">
        <is>
          <t>DJ30</t>
        </is>
      </c>
      <c r="B3690" s="10" t="inlineStr">
        <is>
          <t>2025-04-11</t>
        </is>
      </c>
      <c r="C3690" s="10" t="inlineStr">
        <is>
          <t>DIA</t>
        </is>
      </c>
      <c r="D3690" s="10" t="inlineStr">
        <is>
          <t>Tot Portfolio</t>
        </is>
      </c>
      <c r="E3690" s="10" t="inlineStr"/>
      <c r="F3690" s="10" t="inlineStr"/>
      <c r="G3690" s="11" t="inlineStr"/>
      <c r="H3690" s="10" t="inlineStr"/>
      <c r="I3690" s="12" t="inlineStr"/>
      <c r="J3690" s="11">
        <f>SUM(J3660:J3689)</f>
        <v/>
      </c>
      <c r="K3690" s="13">
        <f>SUM(K3660:K3689)</f>
        <v/>
      </c>
      <c r="L3690" s="10" t="inlineStr">
        <is>
          <t>TOTAL</t>
        </is>
      </c>
      <c r="M3690" s="13">
        <f>SUM(M3660:M3689)</f>
        <v/>
      </c>
      <c r="N3690" s="11">
        <f>SUM(N3660:N3689)</f>
        <v/>
      </c>
      <c r="O3690" s="12">
        <f>SUM(O3660:O3689)</f>
        <v/>
      </c>
      <c r="P3690" s="10" t="inlineStr"/>
      <c r="Q3690" s="12" t="inlineStr"/>
      <c r="R3690" s="11">
        <f>SUM(R3660:R3689)</f>
        <v/>
      </c>
      <c r="S3690" s="13">
        <f>SUM(S3660:S3689)</f>
        <v/>
      </c>
      <c r="T3690" s="13" t="n">
        <v>0.06286390655883167</v>
      </c>
      <c r="U3690" s="13" t="n">
        <v>0.04877080004237433</v>
      </c>
      <c r="V3690" s="10" t="inlineStr"/>
    </row>
    <row r="3691">
      <c r="A3691" s="6" t="inlineStr">
        <is>
          <t>DJ30</t>
        </is>
      </c>
      <c r="B3691" s="6" t="inlineStr">
        <is>
          <t>2025-04-18</t>
        </is>
      </c>
      <c r="C3691" s="6" t="inlineStr">
        <is>
          <t>DIA</t>
        </is>
      </c>
      <c r="D3691" s="6" t="inlineStr">
        <is>
          <t>AAPL</t>
        </is>
      </c>
      <c r="E3691" s="6" t="inlineStr">
        <is>
          <t>AAPL</t>
        </is>
      </c>
      <c r="F3691" s="6" t="inlineStr">
        <is>
          <t>-</t>
        </is>
      </c>
      <c r="G3691" s="7" t="n">
        <v>195.9446411132812</v>
      </c>
      <c r="H3691" s="6">
        <f>P3660</f>
        <v/>
      </c>
      <c r="I3691" s="9">
        <f>Q3660</f>
        <v/>
      </c>
      <c r="J3691" s="7">
        <f>I3691*G3691</f>
        <v/>
      </c>
      <c r="K3691" s="8">
        <f>IF($J$3721=0,0,J3691/$J$3721)</f>
        <v/>
      </c>
      <c r="L3691" s="6" t="inlineStr">
        <is>
          <t>REJECTED</t>
        </is>
      </c>
      <c r="M3691" s="8" t="n">
        <v>0</v>
      </c>
      <c r="N3691" s="7">
        <f>M3691*$J$3721-J3691</f>
        <v/>
      </c>
      <c r="O3691" s="9">
        <f>IF(G3691=0,0,N3691/G3691)</f>
        <v/>
      </c>
      <c r="P3691" s="6">
        <f>IF(M3691&gt;0,D3691,"")</f>
        <v/>
      </c>
      <c r="Q3691" s="9">
        <f>I3691+O3691</f>
        <v/>
      </c>
      <c r="R3691" s="7">
        <f>Q3691*G3691</f>
        <v/>
      </c>
      <c r="S3691" s="8">
        <f>IF($R$3721=0,0,R3691/$R$3721)</f>
        <v/>
      </c>
      <c r="T3691" s="8" t="n">
        <v>-0.003693050658949759</v>
      </c>
      <c r="U3691" s="8" t="n">
        <v>-0.02576569427710584</v>
      </c>
      <c r="V3691" s="6" t="inlineStr">
        <is>
          <t>not selected</t>
        </is>
      </c>
    </row>
    <row r="3692">
      <c r="A3692" s="6" t="inlineStr">
        <is>
          <t>DJ30</t>
        </is>
      </c>
      <c r="B3692" s="6" t="inlineStr">
        <is>
          <t>2025-04-18</t>
        </is>
      </c>
      <c r="C3692" s="6" t="inlineStr">
        <is>
          <t>DIA</t>
        </is>
      </c>
      <c r="D3692" s="6" t="inlineStr">
        <is>
          <t>AMGN</t>
        </is>
      </c>
      <c r="E3692" s="6" t="inlineStr">
        <is>
          <t>AMGN</t>
        </is>
      </c>
      <c r="F3692" s="6" t="inlineStr">
        <is>
          <t>-</t>
        </is>
      </c>
      <c r="G3692" s="7" t="n">
        <v>266.8402709960937</v>
      </c>
      <c r="H3692" s="6">
        <f>P3661</f>
        <v/>
      </c>
      <c r="I3692" s="9">
        <f>Q3661</f>
        <v/>
      </c>
      <c r="J3692" s="7">
        <f>I3692*G3692</f>
        <v/>
      </c>
      <c r="K3692" s="8">
        <f>IF($J$3721=0,0,J3692/$J$3721)</f>
        <v/>
      </c>
      <c r="L3692" s="6" t="inlineStr">
        <is>
          <t>REJECTED</t>
        </is>
      </c>
      <c r="M3692" s="8" t="n">
        <v>0</v>
      </c>
      <c r="N3692" s="7">
        <f>M3692*$J$3721-J3692</f>
        <v/>
      </c>
      <c r="O3692" s="9">
        <f>IF(G3692=0,0,N3692/G3692)</f>
        <v/>
      </c>
      <c r="P3692" s="6">
        <f>IF(M3692&gt;0,D3692,"")</f>
        <v/>
      </c>
      <c r="Q3692" s="9">
        <f>I3692+O3692</f>
        <v/>
      </c>
      <c r="R3692" s="7">
        <f>Q3692*G3692</f>
        <v/>
      </c>
      <c r="S3692" s="8">
        <f>IF($R$3721=0,0,R3692/$R$3721)</f>
        <v/>
      </c>
      <c r="T3692" s="8" t="n">
        <v>-0.003693050658949759</v>
      </c>
      <c r="U3692" s="8" t="n">
        <v>-0.02576569427710584</v>
      </c>
      <c r="V3692" s="6" t="inlineStr">
        <is>
          <t>not selected</t>
        </is>
      </c>
    </row>
    <row r="3693">
      <c r="A3693" s="6" t="inlineStr">
        <is>
          <t>DJ30</t>
        </is>
      </c>
      <c r="B3693" s="6" t="inlineStr">
        <is>
          <t>2025-04-18</t>
        </is>
      </c>
      <c r="C3693" s="6" t="inlineStr">
        <is>
          <t>DIA</t>
        </is>
      </c>
      <c r="D3693" s="6" t="inlineStr">
        <is>
          <t>AMZN</t>
        </is>
      </c>
      <c r="E3693" s="6" t="inlineStr">
        <is>
          <t>AMZN</t>
        </is>
      </c>
      <c r="F3693" s="6" t="inlineStr">
        <is>
          <t>-</t>
        </is>
      </c>
      <c r="G3693" s="7" t="n">
        <v>172.6100006103516</v>
      </c>
      <c r="H3693" s="6">
        <f>P3662</f>
        <v/>
      </c>
      <c r="I3693" s="9">
        <f>Q3662</f>
        <v/>
      </c>
      <c r="J3693" s="7">
        <f>I3693*G3693</f>
        <v/>
      </c>
      <c r="K3693" s="8">
        <f>IF($J$3721=0,0,J3693/$J$3721)</f>
        <v/>
      </c>
      <c r="L3693" s="6" t="inlineStr">
        <is>
          <t>REJECTED</t>
        </is>
      </c>
      <c r="M3693" s="8" t="n">
        <v>0</v>
      </c>
      <c r="N3693" s="7">
        <f>M3693*$J$3721-J3693</f>
        <v/>
      </c>
      <c r="O3693" s="9">
        <f>IF(G3693=0,0,N3693/G3693)</f>
        <v/>
      </c>
      <c r="P3693" s="6">
        <f>IF(M3693&gt;0,D3693,"")</f>
        <v/>
      </c>
      <c r="Q3693" s="9">
        <f>I3693+O3693</f>
        <v/>
      </c>
      <c r="R3693" s="7">
        <f>Q3693*G3693</f>
        <v/>
      </c>
      <c r="S3693" s="8">
        <f>IF($R$3721=0,0,R3693/$R$3721)</f>
        <v/>
      </c>
      <c r="T3693" s="8" t="n">
        <v>-0.003693050658949759</v>
      </c>
      <c r="U3693" s="8" t="n">
        <v>-0.02576569427710584</v>
      </c>
      <c r="V3693" s="6" t="inlineStr">
        <is>
          <t>not selected</t>
        </is>
      </c>
    </row>
    <row r="3694">
      <c r="A3694" s="6" t="inlineStr">
        <is>
          <t>DJ30</t>
        </is>
      </c>
      <c r="B3694" s="6" t="inlineStr">
        <is>
          <t>2025-04-18</t>
        </is>
      </c>
      <c r="C3694" s="6" t="inlineStr">
        <is>
          <t>DIA</t>
        </is>
      </c>
      <c r="D3694" s="6" t="inlineStr">
        <is>
          <t>AXP</t>
        </is>
      </c>
      <c r="E3694" s="6" t="inlineStr">
        <is>
          <t>AXP</t>
        </is>
      </c>
      <c r="F3694" s="6" t="inlineStr">
        <is>
          <t>-</t>
        </is>
      </c>
      <c r="G3694" s="7" t="n">
        <v>248.7030639648437</v>
      </c>
      <c r="H3694" s="6">
        <f>P3663</f>
        <v/>
      </c>
      <c r="I3694" s="9">
        <f>Q3663</f>
        <v/>
      </c>
      <c r="J3694" s="7">
        <f>I3694*G3694</f>
        <v/>
      </c>
      <c r="K3694" s="8">
        <f>IF($J$3721=0,0,J3694/$J$3721)</f>
        <v/>
      </c>
      <c r="L3694" s="6" t="inlineStr">
        <is>
          <t>WATCHLIST</t>
        </is>
      </c>
      <c r="M3694" s="8" t="n">
        <v>0</v>
      </c>
      <c r="N3694" s="7">
        <f>M3694*$J$3721-J3694</f>
        <v/>
      </c>
      <c r="O3694" s="9">
        <f>IF(G3694=0,0,N3694/G3694)</f>
        <v/>
      </c>
      <c r="P3694" s="6">
        <f>IF(M3694&gt;0,D3694,"")</f>
        <v/>
      </c>
      <c r="Q3694" s="9">
        <f>I3694+O3694</f>
        <v/>
      </c>
      <c r="R3694" s="7">
        <f>Q3694*G3694</f>
        <v/>
      </c>
      <c r="S3694" s="8">
        <f>IF($R$3721=0,0,R3694/$R$3721)</f>
        <v/>
      </c>
      <c r="T3694" s="8" t="n">
        <v>-0.003693050658949759</v>
      </c>
      <c r="U3694" s="8" t="n">
        <v>-0.02576569427710584</v>
      </c>
      <c r="V3694" s="6" t="inlineStr">
        <is>
          <t>not selected</t>
        </is>
      </c>
    </row>
    <row r="3695">
      <c r="A3695" s="6" t="inlineStr">
        <is>
          <t>DJ30</t>
        </is>
      </c>
      <c r="B3695" s="6" t="inlineStr">
        <is>
          <t>2025-04-18</t>
        </is>
      </c>
      <c r="C3695" s="6" t="inlineStr">
        <is>
          <t>DIA</t>
        </is>
      </c>
      <c r="D3695" s="6" t="inlineStr">
        <is>
          <t>BA</t>
        </is>
      </c>
      <c r="E3695" s="6" t="inlineStr">
        <is>
          <t>BA</t>
        </is>
      </c>
      <c r="F3695" s="6" t="inlineStr">
        <is>
          <t>-</t>
        </is>
      </c>
      <c r="G3695" s="7" t="n">
        <v>161.8999938964844</v>
      </c>
      <c r="H3695" s="6">
        <f>P3664</f>
        <v/>
      </c>
      <c r="I3695" s="9">
        <f>Q3664</f>
        <v/>
      </c>
      <c r="J3695" s="7">
        <f>I3695*G3695</f>
        <v/>
      </c>
      <c r="K3695" s="8">
        <f>IF($J$3721=0,0,J3695/$J$3721)</f>
        <v/>
      </c>
      <c r="L3695" s="6" t="inlineStr">
        <is>
          <t>REJECTED</t>
        </is>
      </c>
      <c r="M3695" s="8" t="n">
        <v>0</v>
      </c>
      <c r="N3695" s="7">
        <f>M3695*$J$3721-J3695</f>
        <v/>
      </c>
      <c r="O3695" s="9">
        <f>IF(G3695=0,0,N3695/G3695)</f>
        <v/>
      </c>
      <c r="P3695" s="6">
        <f>IF(M3695&gt;0,D3695,"")</f>
        <v/>
      </c>
      <c r="Q3695" s="9">
        <f>I3695+O3695</f>
        <v/>
      </c>
      <c r="R3695" s="7">
        <f>Q3695*G3695</f>
        <v/>
      </c>
      <c r="S3695" s="8">
        <f>IF($R$3721=0,0,R3695/$R$3721)</f>
        <v/>
      </c>
      <c r="T3695" s="8" t="n">
        <v>-0.003693050658949759</v>
      </c>
      <c r="U3695" s="8" t="n">
        <v>-0.02576569427710584</v>
      </c>
      <c r="V3695" s="6" t="inlineStr">
        <is>
          <t>not selected</t>
        </is>
      </c>
    </row>
    <row r="3696">
      <c r="A3696" s="6" t="inlineStr">
        <is>
          <t>DJ30</t>
        </is>
      </c>
      <c r="B3696" s="6" t="inlineStr">
        <is>
          <t>2025-04-18</t>
        </is>
      </c>
      <c r="C3696" s="6" t="inlineStr">
        <is>
          <t>DIA</t>
        </is>
      </c>
      <c r="D3696" s="6" t="inlineStr">
        <is>
          <t>CAT</t>
        </is>
      </c>
      <c r="E3696" s="6" t="inlineStr">
        <is>
          <t>CAT</t>
        </is>
      </c>
      <c r="F3696" s="6" t="inlineStr">
        <is>
          <t>-</t>
        </is>
      </c>
      <c r="G3696" s="7" t="n">
        <v>289.70458984375</v>
      </c>
      <c r="H3696" s="6">
        <f>P3665</f>
        <v/>
      </c>
      <c r="I3696" s="9">
        <f>Q3665</f>
        <v/>
      </c>
      <c r="J3696" s="7">
        <f>I3696*G3696</f>
        <v/>
      </c>
      <c r="K3696" s="8">
        <f>IF($J$3721=0,0,J3696/$J$3721)</f>
        <v/>
      </c>
      <c r="L3696" s="6" t="inlineStr">
        <is>
          <t>REJECTED</t>
        </is>
      </c>
      <c r="M3696" s="8" t="n">
        <v>0</v>
      </c>
      <c r="N3696" s="7">
        <f>M3696*$J$3721-J3696</f>
        <v/>
      </c>
      <c r="O3696" s="9">
        <f>IF(G3696=0,0,N3696/G3696)</f>
        <v/>
      </c>
      <c r="P3696" s="6">
        <f>IF(M3696&gt;0,D3696,"")</f>
        <v/>
      </c>
      <c r="Q3696" s="9">
        <f>I3696+O3696</f>
        <v/>
      </c>
      <c r="R3696" s="7">
        <f>Q3696*G3696</f>
        <v/>
      </c>
      <c r="S3696" s="8">
        <f>IF($R$3721=0,0,R3696/$R$3721)</f>
        <v/>
      </c>
      <c r="T3696" s="8" t="n">
        <v>-0.003693050658949759</v>
      </c>
      <c r="U3696" s="8" t="n">
        <v>-0.02576569427710584</v>
      </c>
      <c r="V3696" s="6" t="inlineStr">
        <is>
          <t>not selected</t>
        </is>
      </c>
    </row>
    <row r="3697">
      <c r="A3697" s="6" t="inlineStr">
        <is>
          <t>DJ30</t>
        </is>
      </c>
      <c r="B3697" s="6" t="inlineStr">
        <is>
          <t>2025-04-18</t>
        </is>
      </c>
      <c r="C3697" s="6" t="inlineStr">
        <is>
          <t>DIA</t>
        </is>
      </c>
      <c r="D3697" s="6" t="inlineStr">
        <is>
          <t>CRM</t>
        </is>
      </c>
      <c r="E3697" s="6" t="inlineStr">
        <is>
          <t>CRM</t>
        </is>
      </c>
      <c r="F3697" s="6" t="inlineStr">
        <is>
          <t>-</t>
        </is>
      </c>
      <c r="G3697" s="7" t="n">
        <v>244.796630859375</v>
      </c>
      <c r="H3697" s="6">
        <f>P3666</f>
        <v/>
      </c>
      <c r="I3697" s="9">
        <f>Q3666</f>
        <v/>
      </c>
      <c r="J3697" s="7">
        <f>I3697*G3697</f>
        <v/>
      </c>
      <c r="K3697" s="8">
        <f>IF($J$3721=0,0,J3697/$J$3721)</f>
        <v/>
      </c>
      <c r="L3697" s="6" t="inlineStr">
        <is>
          <t>REJECTED</t>
        </is>
      </c>
      <c r="M3697" s="8" t="n">
        <v>0</v>
      </c>
      <c r="N3697" s="7">
        <f>M3697*$J$3721-J3697</f>
        <v/>
      </c>
      <c r="O3697" s="9">
        <f>IF(G3697=0,0,N3697/G3697)</f>
        <v/>
      </c>
      <c r="P3697" s="6">
        <f>IF(M3697&gt;0,D3697,"")</f>
        <v/>
      </c>
      <c r="Q3697" s="9">
        <f>I3697+O3697</f>
        <v/>
      </c>
      <c r="R3697" s="7">
        <f>Q3697*G3697</f>
        <v/>
      </c>
      <c r="S3697" s="8">
        <f>IF($R$3721=0,0,R3697/$R$3721)</f>
        <v/>
      </c>
      <c r="T3697" s="8" t="n">
        <v>-0.003693050658949759</v>
      </c>
      <c r="U3697" s="8" t="n">
        <v>-0.02576569427710584</v>
      </c>
      <c r="V3697" s="6" t="inlineStr">
        <is>
          <t>not selected</t>
        </is>
      </c>
    </row>
    <row r="3698">
      <c r="A3698" s="6" t="inlineStr">
        <is>
          <t>DJ30</t>
        </is>
      </c>
      <c r="B3698" s="6" t="inlineStr">
        <is>
          <t>2025-04-18</t>
        </is>
      </c>
      <c r="C3698" s="6" t="inlineStr">
        <is>
          <t>DIA</t>
        </is>
      </c>
      <c r="D3698" s="6" t="inlineStr">
        <is>
          <t>CSCO</t>
        </is>
      </c>
      <c r="E3698" s="6" t="inlineStr">
        <is>
          <t>CSCO</t>
        </is>
      </c>
      <c r="F3698" s="6" t="inlineStr">
        <is>
          <t>-</t>
        </is>
      </c>
      <c r="G3698" s="7" t="n">
        <v>54.50542449951172</v>
      </c>
      <c r="H3698" s="6">
        <f>P3667</f>
        <v/>
      </c>
      <c r="I3698" s="9">
        <f>Q3667</f>
        <v/>
      </c>
      <c r="J3698" s="7">
        <f>I3698*G3698</f>
        <v/>
      </c>
      <c r="K3698" s="8">
        <f>IF($J$3721=0,0,J3698/$J$3721)</f>
        <v/>
      </c>
      <c r="L3698" s="6" t="inlineStr">
        <is>
          <t>WATCHLIST</t>
        </is>
      </c>
      <c r="M3698" s="8" t="n">
        <v>0</v>
      </c>
      <c r="N3698" s="7">
        <f>M3698*$J$3721-J3698</f>
        <v/>
      </c>
      <c r="O3698" s="9">
        <f>IF(G3698=0,0,N3698/G3698)</f>
        <v/>
      </c>
      <c r="P3698" s="6">
        <f>IF(M3698&gt;0,D3698,"")</f>
        <v/>
      </c>
      <c r="Q3698" s="9">
        <f>I3698+O3698</f>
        <v/>
      </c>
      <c r="R3698" s="7">
        <f>Q3698*G3698</f>
        <v/>
      </c>
      <c r="S3698" s="8">
        <f>IF($R$3721=0,0,R3698/$R$3721)</f>
        <v/>
      </c>
      <c r="T3698" s="8" t="n">
        <v>-0.003693050658949759</v>
      </c>
      <c r="U3698" s="8" t="n">
        <v>-0.02576569427710584</v>
      </c>
      <c r="V3698" s="6" t="inlineStr">
        <is>
          <t>not selected</t>
        </is>
      </c>
    </row>
    <row r="3699">
      <c r="A3699" s="6" t="inlineStr">
        <is>
          <t>DJ30</t>
        </is>
      </c>
      <c r="B3699" s="6" t="inlineStr">
        <is>
          <t>2025-04-18</t>
        </is>
      </c>
      <c r="C3699" s="6" t="inlineStr">
        <is>
          <t>DIA</t>
        </is>
      </c>
      <c r="D3699" s="6" t="inlineStr">
        <is>
          <t>CVX</t>
        </is>
      </c>
      <c r="E3699" s="6" t="inlineStr">
        <is>
          <t>CVX</t>
        </is>
      </c>
      <c r="F3699" s="6" t="inlineStr">
        <is>
          <t>-</t>
        </is>
      </c>
      <c r="G3699" s="7" t="n">
        <v>130.7353363037109</v>
      </c>
      <c r="H3699" s="6">
        <f>P3668</f>
        <v/>
      </c>
      <c r="I3699" s="9">
        <f>Q3668</f>
        <v/>
      </c>
      <c r="J3699" s="7">
        <f>I3699*G3699</f>
        <v/>
      </c>
      <c r="K3699" s="8">
        <f>IF($J$3721=0,0,J3699/$J$3721)</f>
        <v/>
      </c>
      <c r="L3699" s="6" t="inlineStr">
        <is>
          <t>REJECTED</t>
        </is>
      </c>
      <c r="M3699" s="8" t="n">
        <v>0</v>
      </c>
      <c r="N3699" s="7">
        <f>M3699*$J$3721-J3699</f>
        <v/>
      </c>
      <c r="O3699" s="9">
        <f>IF(G3699=0,0,N3699/G3699)</f>
        <v/>
      </c>
      <c r="P3699" s="6">
        <f>IF(M3699&gt;0,D3699,"")</f>
        <v/>
      </c>
      <c r="Q3699" s="9">
        <f>I3699+O3699</f>
        <v/>
      </c>
      <c r="R3699" s="7">
        <f>Q3699*G3699</f>
        <v/>
      </c>
      <c r="S3699" s="8">
        <f>IF($R$3721=0,0,R3699/$R$3721)</f>
        <v/>
      </c>
      <c r="T3699" s="8" t="n">
        <v>-0.003693050658949759</v>
      </c>
      <c r="U3699" s="8" t="n">
        <v>-0.02576569427710584</v>
      </c>
      <c r="V3699" s="6" t="inlineStr">
        <is>
          <t>not selected</t>
        </is>
      </c>
    </row>
    <row r="3700">
      <c r="A3700" s="6" t="inlineStr">
        <is>
          <t>DJ30</t>
        </is>
      </c>
      <c r="B3700" s="6" t="inlineStr">
        <is>
          <t>2025-04-18</t>
        </is>
      </c>
      <c r="C3700" s="6" t="inlineStr">
        <is>
          <t>DIA</t>
        </is>
      </c>
      <c r="D3700" s="6" t="inlineStr">
        <is>
          <t>DIS</t>
        </is>
      </c>
      <c r="E3700" s="6" t="inlineStr">
        <is>
          <t>DIS</t>
        </is>
      </c>
      <c r="F3700" s="6" t="inlineStr">
        <is>
          <t>-</t>
        </is>
      </c>
      <c r="G3700" s="7" t="n">
        <v>83.88233184814453</v>
      </c>
      <c r="H3700" s="6">
        <f>P3669</f>
        <v/>
      </c>
      <c r="I3700" s="9">
        <f>Q3669</f>
        <v/>
      </c>
      <c r="J3700" s="7">
        <f>I3700*G3700</f>
        <v/>
      </c>
      <c r="K3700" s="8">
        <f>IF($J$3721=0,0,J3700/$J$3721)</f>
        <v/>
      </c>
      <c r="L3700" s="6" t="inlineStr">
        <is>
          <t>REJECTED</t>
        </is>
      </c>
      <c r="M3700" s="8" t="n">
        <v>0</v>
      </c>
      <c r="N3700" s="7">
        <f>M3700*$J$3721-J3700</f>
        <v/>
      </c>
      <c r="O3700" s="9">
        <f>IF(G3700=0,0,N3700/G3700)</f>
        <v/>
      </c>
      <c r="P3700" s="6">
        <f>IF(M3700&gt;0,D3700,"")</f>
        <v/>
      </c>
      <c r="Q3700" s="9">
        <f>I3700+O3700</f>
        <v/>
      </c>
      <c r="R3700" s="7">
        <f>Q3700*G3700</f>
        <v/>
      </c>
      <c r="S3700" s="8">
        <f>IF($R$3721=0,0,R3700/$R$3721)</f>
        <v/>
      </c>
      <c r="T3700" s="8" t="n">
        <v>-0.003693050658949759</v>
      </c>
      <c r="U3700" s="8" t="n">
        <v>-0.02576569427710584</v>
      </c>
      <c r="V3700" s="6" t="inlineStr">
        <is>
          <t>not selected</t>
        </is>
      </c>
    </row>
    <row r="3701">
      <c r="A3701" s="6" t="inlineStr">
        <is>
          <t>DJ30</t>
        </is>
      </c>
      <c r="B3701" s="6" t="inlineStr">
        <is>
          <t>2025-04-18</t>
        </is>
      </c>
      <c r="C3701" s="6" t="inlineStr">
        <is>
          <t>DIA</t>
        </is>
      </c>
      <c r="D3701" s="6" t="inlineStr">
        <is>
          <t>GS</t>
        </is>
      </c>
      <c r="E3701" s="6" t="inlineStr">
        <is>
          <t>GS</t>
        </is>
      </c>
      <c r="F3701" s="6" t="inlineStr">
        <is>
          <t>-</t>
        </is>
      </c>
      <c r="G3701" s="7" t="n">
        <v>496.958984375</v>
      </c>
      <c r="H3701" s="6">
        <f>P3670</f>
        <v/>
      </c>
      <c r="I3701" s="9">
        <f>Q3670</f>
        <v/>
      </c>
      <c r="J3701" s="7">
        <f>I3701*G3701</f>
        <v/>
      </c>
      <c r="K3701" s="8">
        <f>IF($J$3721=0,0,J3701/$J$3721)</f>
        <v/>
      </c>
      <c r="L3701" s="6" t="inlineStr">
        <is>
          <t>WATCHLIST</t>
        </is>
      </c>
      <c r="M3701" s="8" t="n">
        <v>0</v>
      </c>
      <c r="N3701" s="7">
        <f>M3701*$J$3721-J3701</f>
        <v/>
      </c>
      <c r="O3701" s="9">
        <f>IF(G3701=0,0,N3701/G3701)</f>
        <v/>
      </c>
      <c r="P3701" s="6">
        <f>IF(M3701&gt;0,D3701,"")</f>
        <v/>
      </c>
      <c r="Q3701" s="9">
        <f>I3701+O3701</f>
        <v/>
      </c>
      <c r="R3701" s="7">
        <f>Q3701*G3701</f>
        <v/>
      </c>
      <c r="S3701" s="8">
        <f>IF($R$3721=0,0,R3701/$R$3721)</f>
        <v/>
      </c>
      <c r="T3701" s="8" t="n">
        <v>-0.003693050658949759</v>
      </c>
      <c r="U3701" s="8" t="n">
        <v>-0.02576569427710584</v>
      </c>
      <c r="V3701" s="6" t="inlineStr">
        <is>
          <t>not selected</t>
        </is>
      </c>
    </row>
    <row r="3702">
      <c r="A3702" s="6" t="inlineStr">
        <is>
          <t>DJ30</t>
        </is>
      </c>
      <c r="B3702" s="6" t="inlineStr">
        <is>
          <t>2025-04-18</t>
        </is>
      </c>
      <c r="C3702" s="6" t="inlineStr">
        <is>
          <t>DIA</t>
        </is>
      </c>
      <c r="D3702" s="6" t="inlineStr">
        <is>
          <t>HD</t>
        </is>
      </c>
      <c r="E3702" s="6" t="inlineStr">
        <is>
          <t>HD</t>
        </is>
      </c>
      <c r="F3702" s="6" t="inlineStr">
        <is>
          <t>-</t>
        </is>
      </c>
      <c r="G3702" s="7" t="n">
        <v>343.7282104492188</v>
      </c>
      <c r="H3702" s="6">
        <f>P3671</f>
        <v/>
      </c>
      <c r="I3702" s="9">
        <f>Q3671</f>
        <v/>
      </c>
      <c r="J3702" s="7">
        <f>I3702*G3702</f>
        <v/>
      </c>
      <c r="K3702" s="8">
        <f>IF($J$3721=0,0,J3702/$J$3721)</f>
        <v/>
      </c>
      <c r="L3702" s="6" t="inlineStr">
        <is>
          <t>WATCHLIST</t>
        </is>
      </c>
      <c r="M3702" s="8" t="n">
        <v>0</v>
      </c>
      <c r="N3702" s="7">
        <f>M3702*$J$3721-J3702</f>
        <v/>
      </c>
      <c r="O3702" s="9">
        <f>IF(G3702=0,0,N3702/G3702)</f>
        <v/>
      </c>
      <c r="P3702" s="6">
        <f>IF(M3702&gt;0,D3702,"")</f>
        <v/>
      </c>
      <c r="Q3702" s="9">
        <f>I3702+O3702</f>
        <v/>
      </c>
      <c r="R3702" s="7">
        <f>Q3702*G3702</f>
        <v/>
      </c>
      <c r="S3702" s="8">
        <f>IF($R$3721=0,0,R3702/$R$3721)</f>
        <v/>
      </c>
      <c r="T3702" s="8" t="n">
        <v>-0.003693050658949759</v>
      </c>
      <c r="U3702" s="8" t="n">
        <v>-0.02576569427710584</v>
      </c>
      <c r="V3702" s="6" t="inlineStr">
        <is>
          <t>not selected</t>
        </is>
      </c>
    </row>
    <row r="3703">
      <c r="A3703" s="6" t="inlineStr">
        <is>
          <t>DJ30</t>
        </is>
      </c>
      <c r="B3703" s="6" t="inlineStr">
        <is>
          <t>2025-04-18</t>
        </is>
      </c>
      <c r="C3703" s="6" t="inlineStr">
        <is>
          <t>DIA</t>
        </is>
      </c>
      <c r="D3703" s="6" t="inlineStr">
        <is>
          <t>HON</t>
        </is>
      </c>
      <c r="E3703" s="6" t="inlineStr">
        <is>
          <t>HON</t>
        </is>
      </c>
      <c r="F3703" s="6" t="inlineStr">
        <is>
          <t>-</t>
        </is>
      </c>
      <c r="G3703" s="7" t="n">
        <v>180.4161224365234</v>
      </c>
      <c r="H3703" s="6">
        <f>P3672</f>
        <v/>
      </c>
      <c r="I3703" s="9">
        <f>Q3672</f>
        <v/>
      </c>
      <c r="J3703" s="7">
        <f>I3703*G3703</f>
        <v/>
      </c>
      <c r="K3703" s="8">
        <f>IF($J$3721=0,0,J3703/$J$3721)</f>
        <v/>
      </c>
      <c r="L3703" s="6" t="inlineStr">
        <is>
          <t>REJECTED</t>
        </is>
      </c>
      <c r="M3703" s="8" t="n">
        <v>0</v>
      </c>
      <c r="N3703" s="7">
        <f>M3703*$J$3721-J3703</f>
        <v/>
      </c>
      <c r="O3703" s="9">
        <f>IF(G3703=0,0,N3703/G3703)</f>
        <v/>
      </c>
      <c r="P3703" s="6">
        <f>IF(M3703&gt;0,D3703,"")</f>
        <v/>
      </c>
      <c r="Q3703" s="9">
        <f>I3703+O3703</f>
        <v/>
      </c>
      <c r="R3703" s="7">
        <f>Q3703*G3703</f>
        <v/>
      </c>
      <c r="S3703" s="8">
        <f>IF($R$3721=0,0,R3703/$R$3721)</f>
        <v/>
      </c>
      <c r="T3703" s="8" t="n">
        <v>-0.003693050658949759</v>
      </c>
      <c r="U3703" s="8" t="n">
        <v>-0.02576569427710584</v>
      </c>
      <c r="V3703" s="6" t="inlineStr">
        <is>
          <t>not selected</t>
        </is>
      </c>
    </row>
    <row r="3704">
      <c r="A3704" s="6" t="inlineStr">
        <is>
          <t>DJ30</t>
        </is>
      </c>
      <c r="B3704" s="6" t="inlineStr">
        <is>
          <t>2025-04-18</t>
        </is>
      </c>
      <c r="C3704" s="6" t="inlineStr">
        <is>
          <t>DIA</t>
        </is>
      </c>
      <c r="D3704" s="6" t="inlineStr">
        <is>
          <t>IBM</t>
        </is>
      </c>
      <c r="E3704" s="6" t="inlineStr">
        <is>
          <t>IBM</t>
        </is>
      </c>
      <c r="F3704" s="6" t="inlineStr">
        <is>
          <t>-</t>
        </is>
      </c>
      <c r="G3704" s="7" t="n">
        <v>231.3150329589844</v>
      </c>
      <c r="H3704" s="6">
        <f>P3673</f>
        <v/>
      </c>
      <c r="I3704" s="9">
        <f>Q3673</f>
        <v/>
      </c>
      <c r="J3704" s="7">
        <f>I3704*G3704</f>
        <v/>
      </c>
      <c r="K3704" s="8">
        <f>IF($J$3721=0,0,J3704/$J$3721)</f>
        <v/>
      </c>
      <c r="L3704" s="6" t="inlineStr">
        <is>
          <t>SELECTED</t>
        </is>
      </c>
      <c r="M3704" s="8" t="n">
        <v>0.2</v>
      </c>
      <c r="N3704" s="7">
        <f>M3704*$J$3721-J3704</f>
        <v/>
      </c>
      <c r="O3704" s="9">
        <f>IF(G3704=0,0,N3704/G3704)</f>
        <v/>
      </c>
      <c r="P3704" s="6">
        <f>IF(M3704&gt;0,D3704,"")</f>
        <v/>
      </c>
      <c r="Q3704" s="9">
        <f>I3704+O3704</f>
        <v/>
      </c>
      <c r="R3704" s="7">
        <f>Q3704*G3704</f>
        <v/>
      </c>
      <c r="S3704" s="8">
        <f>IF($R$3721=0,0,R3704/$R$3721)</f>
        <v/>
      </c>
      <c r="T3704" s="8" t="n">
        <v>-0.003693050658949759</v>
      </c>
      <c r="U3704" s="8" t="n">
        <v>-0.02576569427710584</v>
      </c>
      <c r="V3704" s="6" t="inlineStr">
        <is>
          <t>remained in weekly selection</t>
        </is>
      </c>
    </row>
    <row r="3705">
      <c r="A3705" s="6" t="inlineStr">
        <is>
          <t>DJ30</t>
        </is>
      </c>
      <c r="B3705" s="6" t="inlineStr">
        <is>
          <t>2025-04-18</t>
        </is>
      </c>
      <c r="C3705" s="6" t="inlineStr">
        <is>
          <t>DIA</t>
        </is>
      </c>
      <c r="D3705" s="6" t="inlineStr">
        <is>
          <t>JNJ</t>
        </is>
      </c>
      <c r="E3705" s="6" t="inlineStr">
        <is>
          <t>JNJ</t>
        </is>
      </c>
      <c r="F3705" s="6" t="inlineStr">
        <is>
          <t>-</t>
        </is>
      </c>
      <c r="G3705" s="7" t="n">
        <v>152.3254852294922</v>
      </c>
      <c r="H3705" s="6">
        <f>P3674</f>
        <v/>
      </c>
      <c r="I3705" s="9">
        <f>Q3674</f>
        <v/>
      </c>
      <c r="J3705" s="7">
        <f>I3705*G3705</f>
        <v/>
      </c>
      <c r="K3705" s="8">
        <f>IF($J$3721=0,0,J3705/$J$3721)</f>
        <v/>
      </c>
      <c r="L3705" s="6" t="inlineStr">
        <is>
          <t>REJECTED</t>
        </is>
      </c>
      <c r="M3705" s="8" t="n">
        <v>0</v>
      </c>
      <c r="N3705" s="7">
        <f>M3705*$J$3721-J3705</f>
        <v/>
      </c>
      <c r="O3705" s="9">
        <f>IF(G3705=0,0,N3705/G3705)</f>
        <v/>
      </c>
      <c r="P3705" s="6">
        <f>IF(M3705&gt;0,D3705,"")</f>
        <v/>
      </c>
      <c r="Q3705" s="9">
        <f>I3705+O3705</f>
        <v/>
      </c>
      <c r="R3705" s="7">
        <f>Q3705*G3705</f>
        <v/>
      </c>
      <c r="S3705" s="8">
        <f>IF($R$3721=0,0,R3705/$R$3721)</f>
        <v/>
      </c>
      <c r="T3705" s="8" t="n">
        <v>-0.003693050658949759</v>
      </c>
      <c r="U3705" s="8" t="n">
        <v>-0.02576569427710584</v>
      </c>
      <c r="V3705" s="6" t="inlineStr">
        <is>
          <t>not selected</t>
        </is>
      </c>
    </row>
    <row r="3706">
      <c r="A3706" s="6" t="inlineStr">
        <is>
          <t>DJ30</t>
        </is>
      </c>
      <c r="B3706" s="6" t="inlineStr">
        <is>
          <t>2025-04-18</t>
        </is>
      </c>
      <c r="C3706" s="6" t="inlineStr">
        <is>
          <t>DIA</t>
        </is>
      </c>
      <c r="D3706" s="6" t="inlineStr">
        <is>
          <t>JPM</t>
        </is>
      </c>
      <c r="E3706" s="6" t="inlineStr">
        <is>
          <t>JPM</t>
        </is>
      </c>
      <c r="F3706" s="6" t="inlineStr">
        <is>
          <t>-</t>
        </is>
      </c>
      <c r="G3706" s="7" t="n">
        <v>227.534912109375</v>
      </c>
      <c r="H3706" s="6">
        <f>P3675</f>
        <v/>
      </c>
      <c r="I3706" s="9">
        <f>Q3675</f>
        <v/>
      </c>
      <c r="J3706" s="7">
        <f>I3706*G3706</f>
        <v/>
      </c>
      <c r="K3706" s="8">
        <f>IF($J$3721=0,0,J3706/$J$3721)</f>
        <v/>
      </c>
      <c r="L3706" s="6" t="inlineStr">
        <is>
          <t>WATCHLIST</t>
        </is>
      </c>
      <c r="M3706" s="8" t="n">
        <v>0</v>
      </c>
      <c r="N3706" s="7">
        <f>M3706*$J$3721-J3706</f>
        <v/>
      </c>
      <c r="O3706" s="9">
        <f>IF(G3706=0,0,N3706/G3706)</f>
        <v/>
      </c>
      <c r="P3706" s="6">
        <f>IF(M3706&gt;0,D3706,"")</f>
        <v/>
      </c>
      <c r="Q3706" s="9">
        <f>I3706+O3706</f>
        <v/>
      </c>
      <c r="R3706" s="7">
        <f>Q3706*G3706</f>
        <v/>
      </c>
      <c r="S3706" s="8">
        <f>IF($R$3721=0,0,R3706/$R$3721)</f>
        <v/>
      </c>
      <c r="T3706" s="8" t="n">
        <v>-0.003693050658949759</v>
      </c>
      <c r="U3706" s="8" t="n">
        <v>-0.02576569427710584</v>
      </c>
      <c r="V3706" s="6" t="inlineStr">
        <is>
          <t>not selected</t>
        </is>
      </c>
    </row>
    <row r="3707">
      <c r="A3707" s="6" t="inlineStr">
        <is>
          <t>DJ30</t>
        </is>
      </c>
      <c r="B3707" s="6" t="inlineStr">
        <is>
          <t>2025-04-18</t>
        </is>
      </c>
      <c r="C3707" s="6" t="inlineStr">
        <is>
          <t>DIA</t>
        </is>
      </c>
      <c r="D3707" s="6" t="inlineStr">
        <is>
          <t>KO</t>
        </is>
      </c>
      <c r="E3707" s="6" t="inlineStr">
        <is>
          <t>KO</t>
        </is>
      </c>
      <c r="F3707" s="6" t="inlineStr">
        <is>
          <t>-</t>
        </is>
      </c>
      <c r="G3707" s="7" t="n">
        <v>70.48834991455078</v>
      </c>
      <c r="H3707" s="6">
        <f>P3676</f>
        <v/>
      </c>
      <c r="I3707" s="9">
        <f>Q3676</f>
        <v/>
      </c>
      <c r="J3707" s="7">
        <f>I3707*G3707</f>
        <v/>
      </c>
      <c r="K3707" s="8">
        <f>IF($J$3721=0,0,J3707/$J$3721)</f>
        <v/>
      </c>
      <c r="L3707" s="6" t="inlineStr">
        <is>
          <t>REJECTED</t>
        </is>
      </c>
      <c r="M3707" s="8" t="n">
        <v>0</v>
      </c>
      <c r="N3707" s="7">
        <f>M3707*$J$3721-J3707</f>
        <v/>
      </c>
      <c r="O3707" s="9">
        <f>IF(G3707=0,0,N3707/G3707)</f>
        <v/>
      </c>
      <c r="P3707" s="6">
        <f>IF(M3707&gt;0,D3707,"")</f>
        <v/>
      </c>
      <c r="Q3707" s="9">
        <f>I3707+O3707</f>
        <v/>
      </c>
      <c r="R3707" s="7">
        <f>Q3707*G3707</f>
        <v/>
      </c>
      <c r="S3707" s="8">
        <f>IF($R$3721=0,0,R3707/$R$3721)</f>
        <v/>
      </c>
      <c r="T3707" s="8" t="n">
        <v>-0.003693050658949759</v>
      </c>
      <c r="U3707" s="8" t="n">
        <v>-0.02576569427710584</v>
      </c>
      <c r="V3707" s="6" t="inlineStr">
        <is>
          <t>not selected</t>
        </is>
      </c>
    </row>
    <row r="3708">
      <c r="A3708" s="6" t="inlineStr">
        <is>
          <t>DJ30</t>
        </is>
      </c>
      <c r="B3708" s="6" t="inlineStr">
        <is>
          <t>2025-04-18</t>
        </is>
      </c>
      <c r="C3708" s="6" t="inlineStr">
        <is>
          <t>DIA</t>
        </is>
      </c>
      <c r="D3708" s="6" t="inlineStr">
        <is>
          <t>MCD</t>
        </is>
      </c>
      <c r="E3708" s="6" t="inlineStr">
        <is>
          <t>MCD</t>
        </is>
      </c>
      <c r="F3708" s="6" t="inlineStr">
        <is>
          <t>-</t>
        </is>
      </c>
      <c r="G3708" s="7" t="n">
        <v>302.2116088867188</v>
      </c>
      <c r="H3708" s="6">
        <f>P3677</f>
        <v/>
      </c>
      <c r="I3708" s="9">
        <f>Q3677</f>
        <v/>
      </c>
      <c r="J3708" s="7">
        <f>I3708*G3708</f>
        <v/>
      </c>
      <c r="K3708" s="8">
        <f>IF($J$3721=0,0,J3708/$J$3721)</f>
        <v/>
      </c>
      <c r="L3708" s="6" t="inlineStr">
        <is>
          <t>SELECTED</t>
        </is>
      </c>
      <c r="M3708" s="8" t="n">
        <v>0.2</v>
      </c>
      <c r="N3708" s="7">
        <f>M3708*$J$3721-J3708</f>
        <v/>
      </c>
      <c r="O3708" s="9">
        <f>IF(G3708=0,0,N3708/G3708)</f>
        <v/>
      </c>
      <c r="P3708" s="6">
        <f>IF(M3708&gt;0,D3708,"")</f>
        <v/>
      </c>
      <c r="Q3708" s="9">
        <f>I3708+O3708</f>
        <v/>
      </c>
      <c r="R3708" s="7">
        <f>Q3708*G3708</f>
        <v/>
      </c>
      <c r="S3708" s="8">
        <f>IF($R$3721=0,0,R3708/$R$3721)</f>
        <v/>
      </c>
      <c r="T3708" s="8" t="n">
        <v>-0.003693050658949759</v>
      </c>
      <c r="U3708" s="8" t="n">
        <v>-0.02576569427710584</v>
      </c>
      <c r="V3708" s="6" t="inlineStr">
        <is>
          <t>entered weekly selection</t>
        </is>
      </c>
    </row>
    <row r="3709">
      <c r="A3709" s="6" t="inlineStr">
        <is>
          <t>DJ30</t>
        </is>
      </c>
      <c r="B3709" s="6" t="inlineStr">
        <is>
          <t>2025-04-18</t>
        </is>
      </c>
      <c r="C3709" s="6" t="inlineStr">
        <is>
          <t>DIA</t>
        </is>
      </c>
      <c r="D3709" s="6" t="inlineStr">
        <is>
          <t>MMM</t>
        </is>
      </c>
      <c r="E3709" s="6" t="inlineStr">
        <is>
          <t>MMM</t>
        </is>
      </c>
      <c r="F3709" s="6" t="inlineStr">
        <is>
          <t>-</t>
        </is>
      </c>
      <c r="G3709" s="7" t="n">
        <v>127.1960601806641</v>
      </c>
      <c r="H3709" s="6">
        <f>P3678</f>
        <v/>
      </c>
      <c r="I3709" s="9">
        <f>Q3678</f>
        <v/>
      </c>
      <c r="J3709" s="7">
        <f>I3709*G3709</f>
        <v/>
      </c>
      <c r="K3709" s="8">
        <f>IF($J$3721=0,0,J3709/$J$3721)</f>
        <v/>
      </c>
      <c r="L3709" s="6" t="inlineStr">
        <is>
          <t>SELECTED</t>
        </is>
      </c>
      <c r="M3709" s="8" t="n">
        <v>0.2</v>
      </c>
      <c r="N3709" s="7">
        <f>M3709*$J$3721-J3709</f>
        <v/>
      </c>
      <c r="O3709" s="9">
        <f>IF(G3709=0,0,N3709/G3709)</f>
        <v/>
      </c>
      <c r="P3709" s="6">
        <f>IF(M3709&gt;0,D3709,"")</f>
        <v/>
      </c>
      <c r="Q3709" s="9">
        <f>I3709+O3709</f>
        <v/>
      </c>
      <c r="R3709" s="7">
        <f>Q3709*G3709</f>
        <v/>
      </c>
      <c r="S3709" s="8">
        <f>IF($R$3721=0,0,R3709/$R$3721)</f>
        <v/>
      </c>
      <c r="T3709" s="8" t="n">
        <v>-0.003693050658949759</v>
      </c>
      <c r="U3709" s="8" t="n">
        <v>-0.02576569427710584</v>
      </c>
      <c r="V3709" s="6" t="inlineStr">
        <is>
          <t>remained in weekly selection</t>
        </is>
      </c>
    </row>
    <row r="3710">
      <c r="A3710" s="6" t="inlineStr">
        <is>
          <t>DJ30</t>
        </is>
      </c>
      <c r="B3710" s="6" t="inlineStr">
        <is>
          <t>2025-04-18</t>
        </is>
      </c>
      <c r="C3710" s="6" t="inlineStr">
        <is>
          <t>DIA</t>
        </is>
      </c>
      <c r="D3710" s="6" t="inlineStr">
        <is>
          <t>MRK</t>
        </is>
      </c>
      <c r="E3710" s="6" t="inlineStr">
        <is>
          <t>MRK</t>
        </is>
      </c>
      <c r="F3710" s="6" t="inlineStr">
        <is>
          <t>-</t>
        </is>
      </c>
      <c r="G3710" s="7" t="n">
        <v>74.72846984863281</v>
      </c>
      <c r="H3710" s="6">
        <f>P3679</f>
        <v/>
      </c>
      <c r="I3710" s="9">
        <f>Q3679</f>
        <v/>
      </c>
      <c r="J3710" s="7">
        <f>I3710*G3710</f>
        <v/>
      </c>
      <c r="K3710" s="8">
        <f>IF($J$3721=0,0,J3710/$J$3721)</f>
        <v/>
      </c>
      <c r="L3710" s="6" t="inlineStr">
        <is>
          <t>REJECTED</t>
        </is>
      </c>
      <c r="M3710" s="8" t="n">
        <v>0</v>
      </c>
      <c r="N3710" s="7">
        <f>M3710*$J$3721-J3710</f>
        <v/>
      </c>
      <c r="O3710" s="9">
        <f>IF(G3710=0,0,N3710/G3710)</f>
        <v/>
      </c>
      <c r="P3710" s="6">
        <f>IF(M3710&gt;0,D3710,"")</f>
        <v/>
      </c>
      <c r="Q3710" s="9">
        <f>I3710+O3710</f>
        <v/>
      </c>
      <c r="R3710" s="7">
        <f>Q3710*G3710</f>
        <v/>
      </c>
      <c r="S3710" s="8">
        <f>IF($R$3721=0,0,R3710/$R$3721)</f>
        <v/>
      </c>
      <c r="T3710" s="8" t="n">
        <v>-0.003693050658949759</v>
      </c>
      <c r="U3710" s="8" t="n">
        <v>-0.02576569427710584</v>
      </c>
      <c r="V3710" s="6" t="inlineStr">
        <is>
          <t>not selected</t>
        </is>
      </c>
    </row>
    <row r="3711">
      <c r="A3711" s="6" t="inlineStr">
        <is>
          <t>DJ30</t>
        </is>
      </c>
      <c r="B3711" s="6" t="inlineStr">
        <is>
          <t>2025-04-18</t>
        </is>
      </c>
      <c r="C3711" s="6" t="inlineStr">
        <is>
          <t>DIA</t>
        </is>
      </c>
      <c r="D3711" s="6" t="inlineStr">
        <is>
          <t>MSFT</t>
        </is>
      </c>
      <c r="E3711" s="6" t="inlineStr">
        <is>
          <t>MSFT</t>
        </is>
      </c>
      <c r="F3711" s="6" t="inlineStr">
        <is>
          <t>-</t>
        </is>
      </c>
      <c r="G3711" s="7" t="n">
        <v>364.1969604492188</v>
      </c>
      <c r="H3711" s="6">
        <f>P3680</f>
        <v/>
      </c>
      <c r="I3711" s="9">
        <f>Q3680</f>
        <v/>
      </c>
      <c r="J3711" s="7">
        <f>I3711*G3711</f>
        <v/>
      </c>
      <c r="K3711" s="8">
        <f>IF($J$3721=0,0,J3711/$J$3721)</f>
        <v/>
      </c>
      <c r="L3711" s="6" t="inlineStr">
        <is>
          <t>REJECTED</t>
        </is>
      </c>
      <c r="M3711" s="8" t="n">
        <v>0</v>
      </c>
      <c r="N3711" s="7">
        <f>M3711*$J$3721-J3711</f>
        <v/>
      </c>
      <c r="O3711" s="9">
        <f>IF(G3711=0,0,N3711/G3711)</f>
        <v/>
      </c>
      <c r="P3711" s="6">
        <f>IF(M3711&gt;0,D3711,"")</f>
        <v/>
      </c>
      <c r="Q3711" s="9">
        <f>I3711+O3711</f>
        <v/>
      </c>
      <c r="R3711" s="7">
        <f>Q3711*G3711</f>
        <v/>
      </c>
      <c r="S3711" s="8">
        <f>IF($R$3721=0,0,R3711/$R$3721)</f>
        <v/>
      </c>
      <c r="T3711" s="8" t="n">
        <v>-0.003693050658949759</v>
      </c>
      <c r="U3711" s="8" t="n">
        <v>-0.02576569427710584</v>
      </c>
      <c r="V3711" s="6" t="inlineStr">
        <is>
          <t>not selected</t>
        </is>
      </c>
    </row>
    <row r="3712">
      <c r="A3712" s="6" t="inlineStr">
        <is>
          <t>DJ30</t>
        </is>
      </c>
      <c r="B3712" s="6" t="inlineStr">
        <is>
          <t>2025-04-18</t>
        </is>
      </c>
      <c r="C3712" s="6" t="inlineStr">
        <is>
          <t>DIA</t>
        </is>
      </c>
      <c r="D3712" s="6" t="inlineStr">
        <is>
          <t>NKE</t>
        </is>
      </c>
      <c r="E3712" s="6" t="inlineStr">
        <is>
          <t>NKE</t>
        </is>
      </c>
      <c r="F3712" s="6" t="inlineStr">
        <is>
          <t>-</t>
        </is>
      </c>
      <c r="G3712" s="7" t="n">
        <v>53.91247177124024</v>
      </c>
      <c r="H3712" s="6">
        <f>P3681</f>
        <v/>
      </c>
      <c r="I3712" s="9">
        <f>Q3681</f>
        <v/>
      </c>
      <c r="J3712" s="7">
        <f>I3712*G3712</f>
        <v/>
      </c>
      <c r="K3712" s="8">
        <f>IF($J$3721=0,0,J3712/$J$3721)</f>
        <v/>
      </c>
      <c r="L3712" s="6" t="inlineStr">
        <is>
          <t>REJECTED</t>
        </is>
      </c>
      <c r="M3712" s="8" t="n">
        <v>0</v>
      </c>
      <c r="N3712" s="7">
        <f>M3712*$J$3721-J3712</f>
        <v/>
      </c>
      <c r="O3712" s="9">
        <f>IF(G3712=0,0,N3712/G3712)</f>
        <v/>
      </c>
      <c r="P3712" s="6">
        <f>IF(M3712&gt;0,D3712,"")</f>
        <v/>
      </c>
      <c r="Q3712" s="9">
        <f>I3712+O3712</f>
        <v/>
      </c>
      <c r="R3712" s="7">
        <f>Q3712*G3712</f>
        <v/>
      </c>
      <c r="S3712" s="8">
        <f>IF($R$3721=0,0,R3712/$R$3721)</f>
        <v/>
      </c>
      <c r="T3712" s="8" t="n">
        <v>-0.003693050658949759</v>
      </c>
      <c r="U3712" s="8" t="n">
        <v>-0.02576569427710584</v>
      </c>
      <c r="V3712" s="6" t="inlineStr">
        <is>
          <t>not selected</t>
        </is>
      </c>
    </row>
    <row r="3713">
      <c r="A3713" s="6" t="inlineStr">
        <is>
          <t>DJ30</t>
        </is>
      </c>
      <c r="B3713" s="6" t="inlineStr">
        <is>
          <t>2025-04-18</t>
        </is>
      </c>
      <c r="C3713" s="6" t="inlineStr">
        <is>
          <t>DIA</t>
        </is>
      </c>
      <c r="D3713" s="6" t="inlineStr">
        <is>
          <t>NVDA</t>
        </is>
      </c>
      <c r="E3713" s="6" t="inlineStr">
        <is>
          <t>NVDA</t>
        </is>
      </c>
      <c r="F3713" s="6" t="inlineStr">
        <is>
          <t>-</t>
        </is>
      </c>
      <c r="G3713" s="7" t="n">
        <v>101.3479614257812</v>
      </c>
      <c r="H3713" s="6">
        <f>P3682</f>
        <v/>
      </c>
      <c r="I3713" s="9">
        <f>Q3682</f>
        <v/>
      </c>
      <c r="J3713" s="7">
        <f>I3713*G3713</f>
        <v/>
      </c>
      <c r="K3713" s="8">
        <f>IF($J$3721=0,0,J3713/$J$3721)</f>
        <v/>
      </c>
      <c r="L3713" s="6" t="inlineStr">
        <is>
          <t>REJECTED</t>
        </is>
      </c>
      <c r="M3713" s="8" t="n">
        <v>0</v>
      </c>
      <c r="N3713" s="7">
        <f>M3713*$J$3721-J3713</f>
        <v/>
      </c>
      <c r="O3713" s="9">
        <f>IF(G3713=0,0,N3713/G3713)</f>
        <v/>
      </c>
      <c r="P3713" s="6">
        <f>IF(M3713&gt;0,D3713,"")</f>
        <v/>
      </c>
      <c r="Q3713" s="9">
        <f>I3713+O3713</f>
        <v/>
      </c>
      <c r="R3713" s="7">
        <f>Q3713*G3713</f>
        <v/>
      </c>
      <c r="S3713" s="8">
        <f>IF($R$3721=0,0,R3713/$R$3721)</f>
        <v/>
      </c>
      <c r="T3713" s="8" t="n">
        <v>-0.003693050658949759</v>
      </c>
      <c r="U3713" s="8" t="n">
        <v>-0.02576569427710584</v>
      </c>
      <c r="V3713" s="6" t="inlineStr">
        <is>
          <t>not selected</t>
        </is>
      </c>
    </row>
    <row r="3714">
      <c r="A3714" s="6" t="inlineStr">
        <is>
          <t>DJ30</t>
        </is>
      </c>
      <c r="B3714" s="6" t="inlineStr">
        <is>
          <t>2025-04-18</t>
        </is>
      </c>
      <c r="C3714" s="6" t="inlineStr">
        <is>
          <t>DIA</t>
        </is>
      </c>
      <c r="D3714" s="6" t="inlineStr">
        <is>
          <t>PG</t>
        </is>
      </c>
      <c r="E3714" s="6" t="inlineStr">
        <is>
          <t>PG</t>
        </is>
      </c>
      <c r="F3714" s="6" t="inlineStr">
        <is>
          <t>-</t>
        </is>
      </c>
      <c r="G3714" s="7" t="n">
        <v>164.8313446044922</v>
      </c>
      <c r="H3714" s="6">
        <f>P3683</f>
        <v/>
      </c>
      <c r="I3714" s="9">
        <f>Q3683</f>
        <v/>
      </c>
      <c r="J3714" s="7">
        <f>I3714*G3714</f>
        <v/>
      </c>
      <c r="K3714" s="8">
        <f>IF($J$3721=0,0,J3714/$J$3721)</f>
        <v/>
      </c>
      <c r="L3714" s="6" t="inlineStr">
        <is>
          <t>REJECTED</t>
        </is>
      </c>
      <c r="M3714" s="8" t="n">
        <v>0</v>
      </c>
      <c r="N3714" s="7">
        <f>M3714*$J$3721-J3714</f>
        <v/>
      </c>
      <c r="O3714" s="9">
        <f>IF(G3714=0,0,N3714/G3714)</f>
        <v/>
      </c>
      <c r="P3714" s="6">
        <f>IF(M3714&gt;0,D3714,"")</f>
        <v/>
      </c>
      <c r="Q3714" s="9">
        <f>I3714+O3714</f>
        <v/>
      </c>
      <c r="R3714" s="7">
        <f>Q3714*G3714</f>
        <v/>
      </c>
      <c r="S3714" s="8">
        <f>IF($R$3721=0,0,R3714/$R$3721)</f>
        <v/>
      </c>
      <c r="T3714" s="8" t="n">
        <v>-0.003693050658949759</v>
      </c>
      <c r="U3714" s="8" t="n">
        <v>-0.02576569427710584</v>
      </c>
      <c r="V3714" s="6" t="inlineStr">
        <is>
          <t>not selected</t>
        </is>
      </c>
    </row>
    <row r="3715">
      <c r="A3715" s="6" t="inlineStr">
        <is>
          <t>DJ30</t>
        </is>
      </c>
      <c r="B3715" s="6" t="inlineStr">
        <is>
          <t>2025-04-18</t>
        </is>
      </c>
      <c r="C3715" s="6" t="inlineStr">
        <is>
          <t>DIA</t>
        </is>
      </c>
      <c r="D3715" s="6" t="inlineStr">
        <is>
          <t>SHW</t>
        </is>
      </c>
      <c r="E3715" s="6" t="inlineStr">
        <is>
          <t>SHW</t>
        </is>
      </c>
      <c r="F3715" s="6" t="inlineStr">
        <is>
          <t>-</t>
        </is>
      </c>
      <c r="G3715" s="7" t="n">
        <v>329.5734252929688</v>
      </c>
      <c r="H3715" s="6">
        <f>P3684</f>
        <v/>
      </c>
      <c r="I3715" s="9">
        <f>Q3684</f>
        <v/>
      </c>
      <c r="J3715" s="7">
        <f>I3715*G3715</f>
        <v/>
      </c>
      <c r="K3715" s="8">
        <f>IF($J$3721=0,0,J3715/$J$3721)</f>
        <v/>
      </c>
      <c r="L3715" s="6" t="inlineStr">
        <is>
          <t>REJECTED</t>
        </is>
      </c>
      <c r="M3715" s="8" t="n">
        <v>0</v>
      </c>
      <c r="N3715" s="7">
        <f>M3715*$J$3721-J3715</f>
        <v/>
      </c>
      <c r="O3715" s="9">
        <f>IF(G3715=0,0,N3715/G3715)</f>
        <v/>
      </c>
      <c r="P3715" s="6">
        <f>IF(M3715&gt;0,D3715,"")</f>
        <v/>
      </c>
      <c r="Q3715" s="9">
        <f>I3715+O3715</f>
        <v/>
      </c>
      <c r="R3715" s="7">
        <f>Q3715*G3715</f>
        <v/>
      </c>
      <c r="S3715" s="8">
        <f>IF($R$3721=0,0,R3715/$R$3721)</f>
        <v/>
      </c>
      <c r="T3715" s="8" t="n">
        <v>-0.003693050658949759</v>
      </c>
      <c r="U3715" s="8" t="n">
        <v>-0.02576569427710584</v>
      </c>
      <c r="V3715" s="6" t="inlineStr">
        <is>
          <t>not selected</t>
        </is>
      </c>
    </row>
    <row r="3716">
      <c r="A3716" s="6" t="inlineStr">
        <is>
          <t>DJ30</t>
        </is>
      </c>
      <c r="B3716" s="6" t="inlineStr">
        <is>
          <t>2025-04-18</t>
        </is>
      </c>
      <c r="C3716" s="6" t="inlineStr">
        <is>
          <t>DIA</t>
        </is>
      </c>
      <c r="D3716" s="6" t="inlineStr">
        <is>
          <t>TRV</t>
        </is>
      </c>
      <c r="E3716" s="6" t="inlineStr">
        <is>
          <t>TRV</t>
        </is>
      </c>
      <c r="F3716" s="6" t="inlineStr">
        <is>
          <t>-</t>
        </is>
      </c>
      <c r="G3716" s="7" t="n">
        <v>250.8186187744141</v>
      </c>
      <c r="H3716" s="6">
        <f>P3685</f>
        <v/>
      </c>
      <c r="I3716" s="9">
        <f>Q3685</f>
        <v/>
      </c>
      <c r="J3716" s="7">
        <f>I3716*G3716</f>
        <v/>
      </c>
      <c r="K3716" s="8">
        <f>IF($J$3721=0,0,J3716/$J$3721)</f>
        <v/>
      </c>
      <c r="L3716" s="6" t="inlineStr">
        <is>
          <t>WATCHLIST</t>
        </is>
      </c>
      <c r="M3716" s="8" t="n">
        <v>0</v>
      </c>
      <c r="N3716" s="7">
        <f>M3716*$J$3721-J3716</f>
        <v/>
      </c>
      <c r="O3716" s="9">
        <f>IF(G3716=0,0,N3716/G3716)</f>
        <v/>
      </c>
      <c r="P3716" s="6">
        <f>IF(M3716&gt;0,D3716,"")</f>
        <v/>
      </c>
      <c r="Q3716" s="9">
        <f>I3716+O3716</f>
        <v/>
      </c>
      <c r="R3716" s="7">
        <f>Q3716*G3716</f>
        <v/>
      </c>
      <c r="S3716" s="8">
        <f>IF($R$3721=0,0,R3716/$R$3721)</f>
        <v/>
      </c>
      <c r="T3716" s="8" t="n">
        <v>-0.003693050658949759</v>
      </c>
      <c r="U3716" s="8" t="n">
        <v>-0.02576569427710584</v>
      </c>
      <c r="V3716" s="6" t="inlineStr">
        <is>
          <t>not selected</t>
        </is>
      </c>
    </row>
    <row r="3717">
      <c r="A3717" s="6" t="inlineStr">
        <is>
          <t>DJ30</t>
        </is>
      </c>
      <c r="B3717" s="6" t="inlineStr">
        <is>
          <t>2025-04-18</t>
        </is>
      </c>
      <c r="C3717" s="6" t="inlineStr">
        <is>
          <t>DIA</t>
        </is>
      </c>
      <c r="D3717" s="6" t="inlineStr">
        <is>
          <t>UNH</t>
        </is>
      </c>
      <c r="E3717" s="6" t="inlineStr">
        <is>
          <t>UNH</t>
        </is>
      </c>
      <c r="F3717" s="6" t="inlineStr">
        <is>
          <t>-</t>
        </is>
      </c>
      <c r="G3717" s="7" t="n">
        <v>439.1478576660156</v>
      </c>
      <c r="H3717" s="6">
        <f>P3686</f>
        <v/>
      </c>
      <c r="I3717" s="9">
        <f>Q3686</f>
        <v/>
      </c>
      <c r="J3717" s="7">
        <f>I3717*G3717</f>
        <v/>
      </c>
      <c r="K3717" s="8">
        <f>IF($J$3721=0,0,J3717/$J$3721)</f>
        <v/>
      </c>
      <c r="L3717" s="6" t="inlineStr">
        <is>
          <t>REJECTED</t>
        </is>
      </c>
      <c r="M3717" s="8" t="n">
        <v>0</v>
      </c>
      <c r="N3717" s="7">
        <f>M3717*$J$3721-J3717</f>
        <v/>
      </c>
      <c r="O3717" s="9">
        <f>IF(G3717=0,0,N3717/G3717)</f>
        <v/>
      </c>
      <c r="P3717" s="6">
        <f>IF(M3717&gt;0,D3717,"")</f>
        <v/>
      </c>
      <c r="Q3717" s="9">
        <f>I3717+O3717</f>
        <v/>
      </c>
      <c r="R3717" s="7">
        <f>Q3717*G3717</f>
        <v/>
      </c>
      <c r="S3717" s="8">
        <f>IF($R$3721=0,0,R3717/$R$3721)</f>
        <v/>
      </c>
      <c r="T3717" s="8" t="n">
        <v>-0.003693050658949759</v>
      </c>
      <c r="U3717" s="8" t="n">
        <v>-0.02576569427710584</v>
      </c>
      <c r="V3717" s="6" t="inlineStr">
        <is>
          <t>not selected</t>
        </is>
      </c>
    </row>
    <row r="3718">
      <c r="A3718" s="6" t="inlineStr">
        <is>
          <t>DJ30</t>
        </is>
      </c>
      <c r="B3718" s="6" t="inlineStr">
        <is>
          <t>2025-04-18</t>
        </is>
      </c>
      <c r="C3718" s="6" t="inlineStr">
        <is>
          <t>DIA</t>
        </is>
      </c>
      <c r="D3718" s="6" t="inlineStr">
        <is>
          <t>V</t>
        </is>
      </c>
      <c r="E3718" s="6" t="inlineStr">
        <is>
          <t>V</t>
        </is>
      </c>
      <c r="F3718" s="6" t="inlineStr">
        <is>
          <t>-</t>
        </is>
      </c>
      <c r="G3718" s="7" t="n">
        <v>326.4846496582031</v>
      </c>
      <c r="H3718" s="6">
        <f>P3687</f>
        <v/>
      </c>
      <c r="I3718" s="9">
        <f>Q3687</f>
        <v/>
      </c>
      <c r="J3718" s="7">
        <f>I3718*G3718</f>
        <v/>
      </c>
      <c r="K3718" s="8">
        <f>IF($J$3721=0,0,J3718/$J$3721)</f>
        <v/>
      </c>
      <c r="L3718" s="6" t="inlineStr">
        <is>
          <t>WATCHLIST</t>
        </is>
      </c>
      <c r="M3718" s="8" t="n">
        <v>0</v>
      </c>
      <c r="N3718" s="7">
        <f>M3718*$J$3721-J3718</f>
        <v/>
      </c>
      <c r="O3718" s="9">
        <f>IF(G3718=0,0,N3718/G3718)</f>
        <v/>
      </c>
      <c r="P3718" s="6">
        <f>IF(M3718&gt;0,D3718,"")</f>
        <v/>
      </c>
      <c r="Q3718" s="9">
        <f>I3718+O3718</f>
        <v/>
      </c>
      <c r="R3718" s="7">
        <f>Q3718*G3718</f>
        <v/>
      </c>
      <c r="S3718" s="8">
        <f>IF($R$3721=0,0,R3718/$R$3721)</f>
        <v/>
      </c>
      <c r="T3718" s="8" t="n">
        <v>-0.003693050658949759</v>
      </c>
      <c r="U3718" s="8" t="n">
        <v>-0.02576569427710584</v>
      </c>
      <c r="V3718" s="6" t="inlineStr">
        <is>
          <t>not selected</t>
        </is>
      </c>
    </row>
    <row r="3719">
      <c r="A3719" s="6" t="inlineStr">
        <is>
          <t>DJ30</t>
        </is>
      </c>
      <c r="B3719" s="6" t="inlineStr">
        <is>
          <t>2025-04-18</t>
        </is>
      </c>
      <c r="C3719" s="6" t="inlineStr">
        <is>
          <t>DIA</t>
        </is>
      </c>
      <c r="D3719" s="6" t="inlineStr">
        <is>
          <t>VZ</t>
        </is>
      </c>
      <c r="E3719" s="6" t="inlineStr">
        <is>
          <t>VZ</t>
        </is>
      </c>
      <c r="F3719" s="6" t="inlineStr">
        <is>
          <t>-</t>
        </is>
      </c>
      <c r="G3719" s="7" t="n">
        <v>41.2596549987793</v>
      </c>
      <c r="H3719" s="6">
        <f>P3688</f>
        <v/>
      </c>
      <c r="I3719" s="9">
        <f>Q3688</f>
        <v/>
      </c>
      <c r="J3719" s="7">
        <f>I3719*G3719</f>
        <v/>
      </c>
      <c r="K3719" s="8">
        <f>IF($J$3721=0,0,J3719/$J$3721)</f>
        <v/>
      </c>
      <c r="L3719" s="6" t="inlineStr">
        <is>
          <t>WATCHLIST</t>
        </is>
      </c>
      <c r="M3719" s="8" t="n">
        <v>0</v>
      </c>
      <c r="N3719" s="7">
        <f>M3719*$J$3721-J3719</f>
        <v/>
      </c>
      <c r="O3719" s="9">
        <f>IF(G3719=0,0,N3719/G3719)</f>
        <v/>
      </c>
      <c r="P3719" s="6">
        <f>IF(M3719&gt;0,D3719,"")</f>
        <v/>
      </c>
      <c r="Q3719" s="9">
        <f>I3719+O3719</f>
        <v/>
      </c>
      <c r="R3719" s="7">
        <f>Q3719*G3719</f>
        <v/>
      </c>
      <c r="S3719" s="8">
        <f>IF($R$3721=0,0,R3719/$R$3721)</f>
        <v/>
      </c>
      <c r="T3719" s="8" t="n">
        <v>-0.003693050658949759</v>
      </c>
      <c r="U3719" s="8" t="n">
        <v>-0.02576569427710584</v>
      </c>
      <c r="V3719" s="6" t="inlineStr">
        <is>
          <t>removed from weekly selection</t>
        </is>
      </c>
    </row>
    <row r="3720">
      <c r="A3720" s="6" t="inlineStr">
        <is>
          <t>DJ30</t>
        </is>
      </c>
      <c r="B3720" s="6" t="inlineStr">
        <is>
          <t>2025-04-18</t>
        </is>
      </c>
      <c r="C3720" s="6" t="inlineStr">
        <is>
          <t>DIA</t>
        </is>
      </c>
      <c r="D3720" s="6" t="inlineStr">
        <is>
          <t>WMT</t>
        </is>
      </c>
      <c r="E3720" s="6" t="inlineStr">
        <is>
          <t>WMT</t>
        </is>
      </c>
      <c r="F3720" s="6" t="inlineStr">
        <is>
          <t>-</t>
        </is>
      </c>
      <c r="G3720" s="7" t="n">
        <v>92.22409820556641</v>
      </c>
      <c r="H3720" s="6">
        <f>P3689</f>
        <v/>
      </c>
      <c r="I3720" s="9">
        <f>Q3689</f>
        <v/>
      </c>
      <c r="J3720" s="7">
        <f>I3720*G3720</f>
        <v/>
      </c>
      <c r="K3720" s="8">
        <f>IF($J$3721=0,0,J3720/$J$3721)</f>
        <v/>
      </c>
      <c r="L3720" s="6" t="inlineStr">
        <is>
          <t>SELECTED</t>
        </is>
      </c>
      <c r="M3720" s="8" t="n">
        <v>0.2</v>
      </c>
      <c r="N3720" s="7">
        <f>M3720*$J$3721-J3720</f>
        <v/>
      </c>
      <c r="O3720" s="9">
        <f>IF(G3720=0,0,N3720/G3720)</f>
        <v/>
      </c>
      <c r="P3720" s="6">
        <f>IF(M3720&gt;0,D3720,"")</f>
        <v/>
      </c>
      <c r="Q3720" s="9">
        <f>I3720+O3720</f>
        <v/>
      </c>
      <c r="R3720" s="7">
        <f>Q3720*G3720</f>
        <v/>
      </c>
      <c r="S3720" s="8">
        <f>IF($R$3721=0,0,R3720/$R$3721)</f>
        <v/>
      </c>
      <c r="T3720" s="8" t="n">
        <v>-0.003693050658949759</v>
      </c>
      <c r="U3720" s="8" t="n">
        <v>-0.02576569427710584</v>
      </c>
      <c r="V3720" s="6" t="inlineStr">
        <is>
          <t>remained in weekly selection</t>
        </is>
      </c>
    </row>
    <row r="3721">
      <c r="A3721" s="10" t="inlineStr">
        <is>
          <t>DJ30</t>
        </is>
      </c>
      <c r="B3721" s="10" t="inlineStr">
        <is>
          <t>2025-04-18</t>
        </is>
      </c>
      <c r="C3721" s="10" t="inlineStr">
        <is>
          <t>DIA</t>
        </is>
      </c>
      <c r="D3721" s="10" t="inlineStr">
        <is>
          <t>Tot Portfolio</t>
        </is>
      </c>
      <c r="E3721" s="10" t="inlineStr"/>
      <c r="F3721" s="10" t="inlineStr"/>
      <c r="G3721" s="11" t="inlineStr"/>
      <c r="H3721" s="10" t="inlineStr"/>
      <c r="I3721" s="12" t="inlineStr"/>
      <c r="J3721" s="11">
        <f>SUM(J3691:J3720)</f>
        <v/>
      </c>
      <c r="K3721" s="13">
        <f>SUM(K3691:K3720)</f>
        <v/>
      </c>
      <c r="L3721" s="10" t="inlineStr">
        <is>
          <t>TOTAL</t>
        </is>
      </c>
      <c r="M3721" s="13">
        <f>SUM(M3691:M3720)</f>
        <v/>
      </c>
      <c r="N3721" s="11">
        <f>SUM(N3691:N3720)</f>
        <v/>
      </c>
      <c r="O3721" s="12">
        <f>SUM(O3691:O3720)</f>
        <v/>
      </c>
      <c r="P3721" s="10" t="inlineStr"/>
      <c r="Q3721" s="12" t="inlineStr"/>
      <c r="R3721" s="11">
        <f>SUM(R3691:R3720)</f>
        <v/>
      </c>
      <c r="S3721" s="13">
        <f>SUM(S3691:S3720)</f>
        <v/>
      </c>
      <c r="T3721" s="13" t="n">
        <v>-0.003693050658949759</v>
      </c>
      <c r="U3721" s="13" t="n">
        <v>-0.02576569427710584</v>
      </c>
      <c r="V3721" s="10" t="inlineStr"/>
    </row>
    <row r="3722">
      <c r="A3722" s="6" t="inlineStr">
        <is>
          <t>DJ30</t>
        </is>
      </c>
      <c r="B3722" s="6" t="inlineStr">
        <is>
          <t>2025-04-25</t>
        </is>
      </c>
      <c r="C3722" s="6" t="inlineStr">
        <is>
          <t>DIA</t>
        </is>
      </c>
      <c r="D3722" s="6" t="inlineStr">
        <is>
          <t>AAPL</t>
        </is>
      </c>
      <c r="E3722" s="6" t="inlineStr">
        <is>
          <t>AAPL</t>
        </is>
      </c>
      <c r="F3722" s="6" t="inlineStr">
        <is>
          <t>-</t>
        </is>
      </c>
      <c r="G3722" s="7" t="n">
        <v>208.1800079345703</v>
      </c>
      <c r="H3722" s="6">
        <f>P3691</f>
        <v/>
      </c>
      <c r="I3722" s="9">
        <f>Q3691</f>
        <v/>
      </c>
      <c r="J3722" s="7">
        <f>I3722*G3722</f>
        <v/>
      </c>
      <c r="K3722" s="8">
        <f>IF($J$3752=0,0,J3722/$J$3752)</f>
        <v/>
      </c>
      <c r="L3722" s="6" t="inlineStr">
        <is>
          <t>REJECTED</t>
        </is>
      </c>
      <c r="M3722" s="8" t="n">
        <v>0</v>
      </c>
      <c r="N3722" s="7">
        <f>M3722*$J$3752-J3722</f>
        <v/>
      </c>
      <c r="O3722" s="9">
        <f>IF(G3722=0,0,N3722/G3722)</f>
        <v/>
      </c>
      <c r="P3722" s="6">
        <f>IF(M3722&gt;0,D3722,"")</f>
        <v/>
      </c>
      <c r="Q3722" s="9">
        <f>I3722+O3722</f>
        <v/>
      </c>
      <c r="R3722" s="7">
        <f>Q3722*G3722</f>
        <v/>
      </c>
      <c r="S3722" s="8">
        <f>IF($R$3752=0,0,R3722/$R$3752)</f>
        <v/>
      </c>
      <c r="T3722" s="8" t="n">
        <v>0.01306790316298456</v>
      </c>
      <c r="U3722" s="8" t="n">
        <v>0.02468287954745874</v>
      </c>
      <c r="V3722" s="6" t="inlineStr">
        <is>
          <t>not selected</t>
        </is>
      </c>
    </row>
    <row r="3723">
      <c r="A3723" s="6" t="inlineStr">
        <is>
          <t>DJ30</t>
        </is>
      </c>
      <c r="B3723" s="6" t="inlineStr">
        <is>
          <t>2025-04-25</t>
        </is>
      </c>
      <c r="C3723" s="6" t="inlineStr">
        <is>
          <t>DIA</t>
        </is>
      </c>
      <c r="D3723" s="6" t="inlineStr">
        <is>
          <t>AMGN</t>
        </is>
      </c>
      <c r="E3723" s="6" t="inlineStr">
        <is>
          <t>AMGN</t>
        </is>
      </c>
      <c r="F3723" s="6" t="inlineStr">
        <is>
          <t>-</t>
        </is>
      </c>
      <c r="G3723" s="7" t="n">
        <v>270.2565002441406</v>
      </c>
      <c r="H3723" s="6">
        <f>P3692</f>
        <v/>
      </c>
      <c r="I3723" s="9">
        <f>Q3692</f>
        <v/>
      </c>
      <c r="J3723" s="7">
        <f>I3723*G3723</f>
        <v/>
      </c>
      <c r="K3723" s="8">
        <f>IF($J$3752=0,0,J3723/$J$3752)</f>
        <v/>
      </c>
      <c r="L3723" s="6" t="inlineStr">
        <is>
          <t>REJECTED</t>
        </is>
      </c>
      <c r="M3723" s="8" t="n">
        <v>0</v>
      </c>
      <c r="N3723" s="7">
        <f>M3723*$J$3752-J3723</f>
        <v/>
      </c>
      <c r="O3723" s="9">
        <f>IF(G3723=0,0,N3723/G3723)</f>
        <v/>
      </c>
      <c r="P3723" s="6">
        <f>IF(M3723&gt;0,D3723,"")</f>
        <v/>
      </c>
      <c r="Q3723" s="9">
        <f>I3723+O3723</f>
        <v/>
      </c>
      <c r="R3723" s="7">
        <f>Q3723*G3723</f>
        <v/>
      </c>
      <c r="S3723" s="8">
        <f>IF($R$3752=0,0,R3723/$R$3752)</f>
        <v/>
      </c>
      <c r="T3723" s="8" t="n">
        <v>0.01306790316298456</v>
      </c>
      <c r="U3723" s="8" t="n">
        <v>0.02468287954745874</v>
      </c>
      <c r="V3723" s="6" t="inlineStr">
        <is>
          <t>not selected</t>
        </is>
      </c>
    </row>
    <row r="3724">
      <c r="A3724" s="6" t="inlineStr">
        <is>
          <t>DJ30</t>
        </is>
      </c>
      <c r="B3724" s="6" t="inlineStr">
        <is>
          <t>2025-04-25</t>
        </is>
      </c>
      <c r="C3724" s="6" t="inlineStr">
        <is>
          <t>DIA</t>
        </is>
      </c>
      <c r="D3724" s="6" t="inlineStr">
        <is>
          <t>AMZN</t>
        </is>
      </c>
      <c r="E3724" s="6" t="inlineStr">
        <is>
          <t>AMZN</t>
        </is>
      </c>
      <c r="F3724" s="6" t="inlineStr">
        <is>
          <t>-</t>
        </is>
      </c>
      <c r="G3724" s="7" t="n">
        <v>188.9900054931641</v>
      </c>
      <c r="H3724" s="6">
        <f>P3693</f>
        <v/>
      </c>
      <c r="I3724" s="9">
        <f>Q3693</f>
        <v/>
      </c>
      <c r="J3724" s="7">
        <f>I3724*G3724</f>
        <v/>
      </c>
      <c r="K3724" s="8">
        <f>IF($J$3752=0,0,J3724/$J$3752)</f>
        <v/>
      </c>
      <c r="L3724" s="6" t="inlineStr">
        <is>
          <t>REJECTED</t>
        </is>
      </c>
      <c r="M3724" s="8" t="n">
        <v>0</v>
      </c>
      <c r="N3724" s="7">
        <f>M3724*$J$3752-J3724</f>
        <v/>
      </c>
      <c r="O3724" s="9">
        <f>IF(G3724=0,0,N3724/G3724)</f>
        <v/>
      </c>
      <c r="P3724" s="6">
        <f>IF(M3724&gt;0,D3724,"")</f>
        <v/>
      </c>
      <c r="Q3724" s="9">
        <f>I3724+O3724</f>
        <v/>
      </c>
      <c r="R3724" s="7">
        <f>Q3724*G3724</f>
        <v/>
      </c>
      <c r="S3724" s="8">
        <f>IF($R$3752=0,0,R3724/$R$3752)</f>
        <v/>
      </c>
      <c r="T3724" s="8" t="n">
        <v>0.01306790316298456</v>
      </c>
      <c r="U3724" s="8" t="n">
        <v>0.02468287954745874</v>
      </c>
      <c r="V3724" s="6" t="inlineStr">
        <is>
          <t>not selected</t>
        </is>
      </c>
    </row>
    <row r="3725">
      <c r="A3725" s="6" t="inlineStr">
        <is>
          <t>DJ30</t>
        </is>
      </c>
      <c r="B3725" s="6" t="inlineStr">
        <is>
          <t>2025-04-25</t>
        </is>
      </c>
      <c r="C3725" s="6" t="inlineStr">
        <is>
          <t>DIA</t>
        </is>
      </c>
      <c r="D3725" s="6" t="inlineStr">
        <is>
          <t>AXP</t>
        </is>
      </c>
      <c r="E3725" s="6" t="inlineStr">
        <is>
          <t>AXP</t>
        </is>
      </c>
      <c r="F3725" s="6" t="inlineStr">
        <is>
          <t>-</t>
        </is>
      </c>
      <c r="G3725" s="7" t="n">
        <v>262.0630187988281</v>
      </c>
      <c r="H3725" s="6">
        <f>P3694</f>
        <v/>
      </c>
      <c r="I3725" s="9">
        <f>Q3694</f>
        <v/>
      </c>
      <c r="J3725" s="7">
        <f>I3725*G3725</f>
        <v/>
      </c>
      <c r="K3725" s="8">
        <f>IF($J$3752=0,0,J3725/$J$3752)</f>
        <v/>
      </c>
      <c r="L3725" s="6" t="inlineStr">
        <is>
          <t>WATCHLIST</t>
        </is>
      </c>
      <c r="M3725" s="8" t="n">
        <v>0</v>
      </c>
      <c r="N3725" s="7">
        <f>M3725*$J$3752-J3725</f>
        <v/>
      </c>
      <c r="O3725" s="9">
        <f>IF(G3725=0,0,N3725/G3725)</f>
        <v/>
      </c>
      <c r="P3725" s="6">
        <f>IF(M3725&gt;0,D3725,"")</f>
        <v/>
      </c>
      <c r="Q3725" s="9">
        <f>I3725+O3725</f>
        <v/>
      </c>
      <c r="R3725" s="7">
        <f>Q3725*G3725</f>
        <v/>
      </c>
      <c r="S3725" s="8">
        <f>IF($R$3752=0,0,R3725/$R$3752)</f>
        <v/>
      </c>
      <c r="T3725" s="8" t="n">
        <v>0.01306790316298456</v>
      </c>
      <c r="U3725" s="8" t="n">
        <v>0.02468287954745874</v>
      </c>
      <c r="V3725" s="6" t="inlineStr">
        <is>
          <t>not selected</t>
        </is>
      </c>
    </row>
    <row r="3726">
      <c r="A3726" s="6" t="inlineStr">
        <is>
          <t>DJ30</t>
        </is>
      </c>
      <c r="B3726" s="6" t="inlineStr">
        <is>
          <t>2025-04-25</t>
        </is>
      </c>
      <c r="C3726" s="6" t="inlineStr">
        <is>
          <t>DIA</t>
        </is>
      </c>
      <c r="D3726" s="6" t="inlineStr">
        <is>
          <t>BA</t>
        </is>
      </c>
      <c r="E3726" s="6" t="inlineStr">
        <is>
          <t>BA</t>
        </is>
      </c>
      <c r="F3726" s="6" t="inlineStr">
        <is>
          <t>-</t>
        </is>
      </c>
      <c r="G3726" s="7" t="n">
        <v>177.9499969482422</v>
      </c>
      <c r="H3726" s="6">
        <f>P3695</f>
        <v/>
      </c>
      <c r="I3726" s="9">
        <f>Q3695</f>
        <v/>
      </c>
      <c r="J3726" s="7">
        <f>I3726*G3726</f>
        <v/>
      </c>
      <c r="K3726" s="8">
        <f>IF($J$3752=0,0,J3726/$J$3752)</f>
        <v/>
      </c>
      <c r="L3726" s="6" t="inlineStr">
        <is>
          <t>REJECTED</t>
        </is>
      </c>
      <c r="M3726" s="8" t="n">
        <v>0</v>
      </c>
      <c r="N3726" s="7">
        <f>M3726*$J$3752-J3726</f>
        <v/>
      </c>
      <c r="O3726" s="9">
        <f>IF(G3726=0,0,N3726/G3726)</f>
        <v/>
      </c>
      <c r="P3726" s="6">
        <f>IF(M3726&gt;0,D3726,"")</f>
        <v/>
      </c>
      <c r="Q3726" s="9">
        <f>I3726+O3726</f>
        <v/>
      </c>
      <c r="R3726" s="7">
        <f>Q3726*G3726</f>
        <v/>
      </c>
      <c r="S3726" s="8">
        <f>IF($R$3752=0,0,R3726/$R$3752)</f>
        <v/>
      </c>
      <c r="T3726" s="8" t="n">
        <v>0.01306790316298456</v>
      </c>
      <c r="U3726" s="8" t="n">
        <v>0.02468287954745874</v>
      </c>
      <c r="V3726" s="6" t="inlineStr">
        <is>
          <t>not selected</t>
        </is>
      </c>
    </row>
    <row r="3727">
      <c r="A3727" s="6" t="inlineStr">
        <is>
          <t>DJ30</t>
        </is>
      </c>
      <c r="B3727" s="6" t="inlineStr">
        <is>
          <t>2025-04-25</t>
        </is>
      </c>
      <c r="C3727" s="6" t="inlineStr">
        <is>
          <t>DIA</t>
        </is>
      </c>
      <c r="D3727" s="6" t="inlineStr">
        <is>
          <t>CAT</t>
        </is>
      </c>
      <c r="E3727" s="6" t="inlineStr">
        <is>
          <t>CAT</t>
        </is>
      </c>
      <c r="F3727" s="6" t="inlineStr">
        <is>
          <t>-</t>
        </is>
      </c>
      <c r="G3727" s="7" t="n">
        <v>303.1689147949219</v>
      </c>
      <c r="H3727" s="6">
        <f>P3696</f>
        <v/>
      </c>
      <c r="I3727" s="9">
        <f>Q3696</f>
        <v/>
      </c>
      <c r="J3727" s="7">
        <f>I3727*G3727</f>
        <v/>
      </c>
      <c r="K3727" s="8">
        <f>IF($J$3752=0,0,J3727/$J$3752)</f>
        <v/>
      </c>
      <c r="L3727" s="6" t="inlineStr">
        <is>
          <t>REJECTED</t>
        </is>
      </c>
      <c r="M3727" s="8" t="n">
        <v>0</v>
      </c>
      <c r="N3727" s="7">
        <f>M3727*$J$3752-J3727</f>
        <v/>
      </c>
      <c r="O3727" s="9">
        <f>IF(G3727=0,0,N3727/G3727)</f>
        <v/>
      </c>
      <c r="P3727" s="6">
        <f>IF(M3727&gt;0,D3727,"")</f>
        <v/>
      </c>
      <c r="Q3727" s="9">
        <f>I3727+O3727</f>
        <v/>
      </c>
      <c r="R3727" s="7">
        <f>Q3727*G3727</f>
        <v/>
      </c>
      <c r="S3727" s="8">
        <f>IF($R$3752=0,0,R3727/$R$3752)</f>
        <v/>
      </c>
      <c r="T3727" s="8" t="n">
        <v>0.01306790316298456</v>
      </c>
      <c r="U3727" s="8" t="n">
        <v>0.02468287954745874</v>
      </c>
      <c r="V3727" s="6" t="inlineStr">
        <is>
          <t>not selected</t>
        </is>
      </c>
    </row>
    <row r="3728">
      <c r="A3728" s="6" t="inlineStr">
        <is>
          <t>DJ30</t>
        </is>
      </c>
      <c r="B3728" s="6" t="inlineStr">
        <is>
          <t>2025-04-25</t>
        </is>
      </c>
      <c r="C3728" s="6" t="inlineStr">
        <is>
          <t>DIA</t>
        </is>
      </c>
      <c r="D3728" s="6" t="inlineStr">
        <is>
          <t>CRM</t>
        </is>
      </c>
      <c r="E3728" s="6" t="inlineStr">
        <is>
          <t>CRM</t>
        </is>
      </c>
      <c r="F3728" s="6" t="inlineStr">
        <is>
          <t>-</t>
        </is>
      </c>
      <c r="G3728" s="7" t="n">
        <v>265.1815185546875</v>
      </c>
      <c r="H3728" s="6">
        <f>P3697</f>
        <v/>
      </c>
      <c r="I3728" s="9">
        <f>Q3697</f>
        <v/>
      </c>
      <c r="J3728" s="7">
        <f>I3728*G3728</f>
        <v/>
      </c>
      <c r="K3728" s="8">
        <f>IF($J$3752=0,0,J3728/$J$3752)</f>
        <v/>
      </c>
      <c r="L3728" s="6" t="inlineStr">
        <is>
          <t>REJECTED</t>
        </is>
      </c>
      <c r="M3728" s="8" t="n">
        <v>0</v>
      </c>
      <c r="N3728" s="7">
        <f>M3728*$J$3752-J3728</f>
        <v/>
      </c>
      <c r="O3728" s="9">
        <f>IF(G3728=0,0,N3728/G3728)</f>
        <v/>
      </c>
      <c r="P3728" s="6">
        <f>IF(M3728&gt;0,D3728,"")</f>
        <v/>
      </c>
      <c r="Q3728" s="9">
        <f>I3728+O3728</f>
        <v/>
      </c>
      <c r="R3728" s="7">
        <f>Q3728*G3728</f>
        <v/>
      </c>
      <c r="S3728" s="8">
        <f>IF($R$3752=0,0,R3728/$R$3752)</f>
        <v/>
      </c>
      <c r="T3728" s="8" t="n">
        <v>0.01306790316298456</v>
      </c>
      <c r="U3728" s="8" t="n">
        <v>0.02468287954745874</v>
      </c>
      <c r="V3728" s="6" t="inlineStr">
        <is>
          <t>not selected</t>
        </is>
      </c>
    </row>
    <row r="3729">
      <c r="A3729" s="6" t="inlineStr">
        <is>
          <t>DJ30</t>
        </is>
      </c>
      <c r="B3729" s="6" t="inlineStr">
        <is>
          <t>2025-04-25</t>
        </is>
      </c>
      <c r="C3729" s="6" t="inlineStr">
        <is>
          <t>DIA</t>
        </is>
      </c>
      <c r="D3729" s="6" t="inlineStr">
        <is>
          <t>CSCO</t>
        </is>
      </c>
      <c r="E3729" s="6" t="inlineStr">
        <is>
          <t>CSCO</t>
        </is>
      </c>
      <c r="F3729" s="6" t="inlineStr">
        <is>
          <t>-</t>
        </is>
      </c>
      <c r="G3729" s="7" t="n">
        <v>55.43405151367188</v>
      </c>
      <c r="H3729" s="6">
        <f>P3698</f>
        <v/>
      </c>
      <c r="I3729" s="9">
        <f>Q3698</f>
        <v/>
      </c>
      <c r="J3729" s="7">
        <f>I3729*G3729</f>
        <v/>
      </c>
      <c r="K3729" s="8">
        <f>IF($J$3752=0,0,J3729/$J$3752)</f>
        <v/>
      </c>
      <c r="L3729" s="6" t="inlineStr">
        <is>
          <t>WATCHLIST</t>
        </is>
      </c>
      <c r="M3729" s="8" t="n">
        <v>0</v>
      </c>
      <c r="N3729" s="7">
        <f>M3729*$J$3752-J3729</f>
        <v/>
      </c>
      <c r="O3729" s="9">
        <f>IF(G3729=0,0,N3729/G3729)</f>
        <v/>
      </c>
      <c r="P3729" s="6">
        <f>IF(M3729&gt;0,D3729,"")</f>
        <v/>
      </c>
      <c r="Q3729" s="9">
        <f>I3729+O3729</f>
        <v/>
      </c>
      <c r="R3729" s="7">
        <f>Q3729*G3729</f>
        <v/>
      </c>
      <c r="S3729" s="8">
        <f>IF($R$3752=0,0,R3729/$R$3752)</f>
        <v/>
      </c>
      <c r="T3729" s="8" t="n">
        <v>0.01306790316298456</v>
      </c>
      <c r="U3729" s="8" t="n">
        <v>0.02468287954745874</v>
      </c>
      <c r="V3729" s="6" t="inlineStr">
        <is>
          <t>not selected</t>
        </is>
      </c>
    </row>
    <row r="3730">
      <c r="A3730" s="6" t="inlineStr">
        <is>
          <t>DJ30</t>
        </is>
      </c>
      <c r="B3730" s="6" t="inlineStr">
        <is>
          <t>2025-04-25</t>
        </is>
      </c>
      <c r="C3730" s="6" t="inlineStr">
        <is>
          <t>DIA</t>
        </is>
      </c>
      <c r="D3730" s="6" t="inlineStr">
        <is>
          <t>CVX</t>
        </is>
      </c>
      <c r="E3730" s="6" t="inlineStr">
        <is>
          <t>CVX</t>
        </is>
      </c>
      <c r="F3730" s="6" t="inlineStr">
        <is>
          <t>-</t>
        </is>
      </c>
      <c r="G3730" s="7" t="n">
        <v>131.5508575439453</v>
      </c>
      <c r="H3730" s="6">
        <f>P3699</f>
        <v/>
      </c>
      <c r="I3730" s="9">
        <f>Q3699</f>
        <v/>
      </c>
      <c r="J3730" s="7">
        <f>I3730*G3730</f>
        <v/>
      </c>
      <c r="K3730" s="8">
        <f>IF($J$3752=0,0,J3730/$J$3752)</f>
        <v/>
      </c>
      <c r="L3730" s="6" t="inlineStr">
        <is>
          <t>REJECTED</t>
        </is>
      </c>
      <c r="M3730" s="8" t="n">
        <v>0</v>
      </c>
      <c r="N3730" s="7">
        <f>M3730*$J$3752-J3730</f>
        <v/>
      </c>
      <c r="O3730" s="9">
        <f>IF(G3730=0,0,N3730/G3730)</f>
        <v/>
      </c>
      <c r="P3730" s="6">
        <f>IF(M3730&gt;0,D3730,"")</f>
        <v/>
      </c>
      <c r="Q3730" s="9">
        <f>I3730+O3730</f>
        <v/>
      </c>
      <c r="R3730" s="7">
        <f>Q3730*G3730</f>
        <v/>
      </c>
      <c r="S3730" s="8">
        <f>IF($R$3752=0,0,R3730/$R$3752)</f>
        <v/>
      </c>
      <c r="T3730" s="8" t="n">
        <v>0.01306790316298456</v>
      </c>
      <c r="U3730" s="8" t="n">
        <v>0.02468287954745874</v>
      </c>
      <c r="V3730" s="6" t="inlineStr">
        <is>
          <t>not selected</t>
        </is>
      </c>
    </row>
    <row r="3731">
      <c r="A3731" s="6" t="inlineStr">
        <is>
          <t>DJ30</t>
        </is>
      </c>
      <c r="B3731" s="6" t="inlineStr">
        <is>
          <t>2025-04-25</t>
        </is>
      </c>
      <c r="C3731" s="6" t="inlineStr">
        <is>
          <t>DIA</t>
        </is>
      </c>
      <c r="D3731" s="6" t="inlineStr">
        <is>
          <t>DIS</t>
        </is>
      </c>
      <c r="E3731" s="6" t="inlineStr">
        <is>
          <t>DIS</t>
        </is>
      </c>
      <c r="F3731" s="6" t="inlineStr">
        <is>
          <t>-</t>
        </is>
      </c>
      <c r="G3731" s="7" t="n">
        <v>89.29250335693359</v>
      </c>
      <c r="H3731" s="6">
        <f>P3700</f>
        <v/>
      </c>
      <c r="I3731" s="9">
        <f>Q3700</f>
        <v/>
      </c>
      <c r="J3731" s="7">
        <f>I3731*G3731</f>
        <v/>
      </c>
      <c r="K3731" s="8">
        <f>IF($J$3752=0,0,J3731/$J$3752)</f>
        <v/>
      </c>
      <c r="L3731" s="6" t="inlineStr">
        <is>
          <t>REJECTED</t>
        </is>
      </c>
      <c r="M3731" s="8" t="n">
        <v>0</v>
      </c>
      <c r="N3731" s="7">
        <f>M3731*$J$3752-J3731</f>
        <v/>
      </c>
      <c r="O3731" s="9">
        <f>IF(G3731=0,0,N3731/G3731)</f>
        <v/>
      </c>
      <c r="P3731" s="6">
        <f>IF(M3731&gt;0,D3731,"")</f>
        <v/>
      </c>
      <c r="Q3731" s="9">
        <f>I3731+O3731</f>
        <v/>
      </c>
      <c r="R3731" s="7">
        <f>Q3731*G3731</f>
        <v/>
      </c>
      <c r="S3731" s="8">
        <f>IF($R$3752=0,0,R3731/$R$3752)</f>
        <v/>
      </c>
      <c r="T3731" s="8" t="n">
        <v>0.01306790316298456</v>
      </c>
      <c r="U3731" s="8" t="n">
        <v>0.02468287954745874</v>
      </c>
      <c r="V3731" s="6" t="inlineStr">
        <is>
          <t>not selected</t>
        </is>
      </c>
    </row>
    <row r="3732">
      <c r="A3732" s="6" t="inlineStr">
        <is>
          <t>DJ30</t>
        </is>
      </c>
      <c r="B3732" s="6" t="inlineStr">
        <is>
          <t>2025-04-25</t>
        </is>
      </c>
      <c r="C3732" s="6" t="inlineStr">
        <is>
          <t>DIA</t>
        </is>
      </c>
      <c r="D3732" s="6" t="inlineStr">
        <is>
          <t>GS</t>
        </is>
      </c>
      <c r="E3732" s="6" t="inlineStr">
        <is>
          <t>GS</t>
        </is>
      </c>
      <c r="F3732" s="6" t="inlineStr">
        <is>
          <t>-</t>
        </is>
      </c>
      <c r="G3732" s="7" t="n">
        <v>531.4589233398438</v>
      </c>
      <c r="H3732" s="6">
        <f>P3701</f>
        <v/>
      </c>
      <c r="I3732" s="9">
        <f>Q3701</f>
        <v/>
      </c>
      <c r="J3732" s="7">
        <f>I3732*G3732</f>
        <v/>
      </c>
      <c r="K3732" s="8">
        <f>IF($J$3752=0,0,J3732/$J$3752)</f>
        <v/>
      </c>
      <c r="L3732" s="6" t="inlineStr">
        <is>
          <t>WATCHLIST</t>
        </is>
      </c>
      <c r="M3732" s="8" t="n">
        <v>0</v>
      </c>
      <c r="N3732" s="7">
        <f>M3732*$J$3752-J3732</f>
        <v/>
      </c>
      <c r="O3732" s="9">
        <f>IF(G3732=0,0,N3732/G3732)</f>
        <v/>
      </c>
      <c r="P3732" s="6">
        <f>IF(M3732&gt;0,D3732,"")</f>
        <v/>
      </c>
      <c r="Q3732" s="9">
        <f>I3732+O3732</f>
        <v/>
      </c>
      <c r="R3732" s="7">
        <f>Q3732*G3732</f>
        <v/>
      </c>
      <c r="S3732" s="8">
        <f>IF($R$3752=0,0,R3732/$R$3752)</f>
        <v/>
      </c>
      <c r="T3732" s="8" t="n">
        <v>0.01306790316298456</v>
      </c>
      <c r="U3732" s="8" t="n">
        <v>0.02468287954745874</v>
      </c>
      <c r="V3732" s="6" t="inlineStr">
        <is>
          <t>not selected</t>
        </is>
      </c>
    </row>
    <row r="3733">
      <c r="A3733" s="6" t="inlineStr">
        <is>
          <t>DJ30</t>
        </is>
      </c>
      <c r="B3733" s="6" t="inlineStr">
        <is>
          <t>2025-04-25</t>
        </is>
      </c>
      <c r="C3733" s="6" t="inlineStr">
        <is>
          <t>DIA</t>
        </is>
      </c>
      <c r="D3733" s="6" t="inlineStr">
        <is>
          <t>HD</t>
        </is>
      </c>
      <c r="E3733" s="6" t="inlineStr">
        <is>
          <t>HD</t>
        </is>
      </c>
      <c r="F3733" s="6" t="inlineStr">
        <is>
          <t>-</t>
        </is>
      </c>
      <c r="G3733" s="7" t="n">
        <v>346.1677551269531</v>
      </c>
      <c r="H3733" s="6">
        <f>P3702</f>
        <v/>
      </c>
      <c r="I3733" s="9">
        <f>Q3702</f>
        <v/>
      </c>
      <c r="J3733" s="7">
        <f>I3733*G3733</f>
        <v/>
      </c>
      <c r="K3733" s="8">
        <f>IF($J$3752=0,0,J3733/$J$3752)</f>
        <v/>
      </c>
      <c r="L3733" s="6" t="inlineStr">
        <is>
          <t>REJECTED</t>
        </is>
      </c>
      <c r="M3733" s="8" t="n">
        <v>0</v>
      </c>
      <c r="N3733" s="7">
        <f>M3733*$J$3752-J3733</f>
        <v/>
      </c>
      <c r="O3733" s="9">
        <f>IF(G3733=0,0,N3733/G3733)</f>
        <v/>
      </c>
      <c r="P3733" s="6">
        <f>IF(M3733&gt;0,D3733,"")</f>
        <v/>
      </c>
      <c r="Q3733" s="9">
        <f>I3733+O3733</f>
        <v/>
      </c>
      <c r="R3733" s="7">
        <f>Q3733*G3733</f>
        <v/>
      </c>
      <c r="S3733" s="8">
        <f>IF($R$3752=0,0,R3733/$R$3752)</f>
        <v/>
      </c>
      <c r="T3733" s="8" t="n">
        <v>0.01306790316298456</v>
      </c>
      <c r="U3733" s="8" t="n">
        <v>0.02468287954745874</v>
      </c>
      <c r="V3733" s="6" t="inlineStr">
        <is>
          <t>not selected</t>
        </is>
      </c>
    </row>
    <row r="3734">
      <c r="A3734" s="6" t="inlineStr">
        <is>
          <t>DJ30</t>
        </is>
      </c>
      <c r="B3734" s="6" t="inlineStr">
        <is>
          <t>2025-04-25</t>
        </is>
      </c>
      <c r="C3734" s="6" t="inlineStr">
        <is>
          <t>DIA</t>
        </is>
      </c>
      <c r="D3734" s="6" t="inlineStr">
        <is>
          <t>HON</t>
        </is>
      </c>
      <c r="E3734" s="6" t="inlineStr">
        <is>
          <t>HON</t>
        </is>
      </c>
      <c r="F3734" s="6" t="inlineStr">
        <is>
          <t>-</t>
        </is>
      </c>
      <c r="G3734" s="7" t="n">
        <v>182.765380859375</v>
      </c>
      <c r="H3734" s="6">
        <f>P3703</f>
        <v/>
      </c>
      <c r="I3734" s="9">
        <f>Q3703</f>
        <v/>
      </c>
      <c r="J3734" s="7">
        <f>I3734*G3734</f>
        <v/>
      </c>
      <c r="K3734" s="8">
        <f>IF($J$3752=0,0,J3734/$J$3752)</f>
        <v/>
      </c>
      <c r="L3734" s="6" t="inlineStr">
        <is>
          <t>REJECTED</t>
        </is>
      </c>
      <c r="M3734" s="8" t="n">
        <v>0</v>
      </c>
      <c r="N3734" s="7">
        <f>M3734*$J$3752-J3734</f>
        <v/>
      </c>
      <c r="O3734" s="9">
        <f>IF(G3734=0,0,N3734/G3734)</f>
        <v/>
      </c>
      <c r="P3734" s="6">
        <f>IF(M3734&gt;0,D3734,"")</f>
        <v/>
      </c>
      <c r="Q3734" s="9">
        <f>I3734+O3734</f>
        <v/>
      </c>
      <c r="R3734" s="7">
        <f>Q3734*G3734</f>
        <v/>
      </c>
      <c r="S3734" s="8">
        <f>IF($R$3752=0,0,R3734/$R$3752)</f>
        <v/>
      </c>
      <c r="T3734" s="8" t="n">
        <v>0.01306790316298456</v>
      </c>
      <c r="U3734" s="8" t="n">
        <v>0.02468287954745874</v>
      </c>
      <c r="V3734" s="6" t="inlineStr">
        <is>
          <t>not selected</t>
        </is>
      </c>
    </row>
    <row r="3735">
      <c r="A3735" s="6" t="inlineStr">
        <is>
          <t>DJ30</t>
        </is>
      </c>
      <c r="B3735" s="6" t="inlineStr">
        <is>
          <t>2025-04-25</t>
        </is>
      </c>
      <c r="C3735" s="6" t="inlineStr">
        <is>
          <t>DIA</t>
        </is>
      </c>
      <c r="D3735" s="6" t="inlineStr">
        <is>
          <t>IBM</t>
        </is>
      </c>
      <c r="E3735" s="6" t="inlineStr">
        <is>
          <t>IBM</t>
        </is>
      </c>
      <c r="F3735" s="6" t="inlineStr">
        <is>
          <t>-</t>
        </is>
      </c>
      <c r="G3735" s="7" t="n">
        <v>225.1159057617188</v>
      </c>
      <c r="H3735" s="6">
        <f>P3704</f>
        <v/>
      </c>
      <c r="I3735" s="9">
        <f>Q3704</f>
        <v/>
      </c>
      <c r="J3735" s="7">
        <f>I3735*G3735</f>
        <v/>
      </c>
      <c r="K3735" s="8">
        <f>IF($J$3752=0,0,J3735/$J$3752)</f>
        <v/>
      </c>
      <c r="L3735" s="6" t="inlineStr">
        <is>
          <t>SELECTED</t>
        </is>
      </c>
      <c r="M3735" s="8" t="n">
        <v>0.2</v>
      </c>
      <c r="N3735" s="7">
        <f>M3735*$J$3752-J3735</f>
        <v/>
      </c>
      <c r="O3735" s="9">
        <f>IF(G3735=0,0,N3735/G3735)</f>
        <v/>
      </c>
      <c r="P3735" s="6">
        <f>IF(M3735&gt;0,D3735,"")</f>
        <v/>
      </c>
      <c r="Q3735" s="9">
        <f>I3735+O3735</f>
        <v/>
      </c>
      <c r="R3735" s="7">
        <f>Q3735*G3735</f>
        <v/>
      </c>
      <c r="S3735" s="8">
        <f>IF($R$3752=0,0,R3735/$R$3752)</f>
        <v/>
      </c>
      <c r="T3735" s="8" t="n">
        <v>0.01306790316298456</v>
      </c>
      <c r="U3735" s="8" t="n">
        <v>0.02468287954745874</v>
      </c>
      <c r="V3735" s="6" t="inlineStr">
        <is>
          <t>remained in weekly selection</t>
        </is>
      </c>
    </row>
    <row r="3736">
      <c r="A3736" s="6" t="inlineStr">
        <is>
          <t>DJ30</t>
        </is>
      </c>
      <c r="B3736" s="6" t="inlineStr">
        <is>
          <t>2025-04-25</t>
        </is>
      </c>
      <c r="C3736" s="6" t="inlineStr">
        <is>
          <t>DIA</t>
        </is>
      </c>
      <c r="D3736" s="6" t="inlineStr">
        <is>
          <t>JNJ</t>
        </is>
      </c>
      <c r="E3736" s="6" t="inlineStr">
        <is>
          <t>JNJ</t>
        </is>
      </c>
      <c r="F3736" s="6" t="inlineStr">
        <is>
          <t>-</t>
        </is>
      </c>
      <c r="G3736" s="7" t="n">
        <v>149.5298919677734</v>
      </c>
      <c r="H3736" s="6">
        <f>P3705</f>
        <v/>
      </c>
      <c r="I3736" s="9">
        <f>Q3705</f>
        <v/>
      </c>
      <c r="J3736" s="7">
        <f>I3736*G3736</f>
        <v/>
      </c>
      <c r="K3736" s="8">
        <f>IF($J$3752=0,0,J3736/$J$3752)</f>
        <v/>
      </c>
      <c r="L3736" s="6" t="inlineStr">
        <is>
          <t>REJECTED</t>
        </is>
      </c>
      <c r="M3736" s="8" t="n">
        <v>0</v>
      </c>
      <c r="N3736" s="7">
        <f>M3736*$J$3752-J3736</f>
        <v/>
      </c>
      <c r="O3736" s="9">
        <f>IF(G3736=0,0,N3736/G3736)</f>
        <v/>
      </c>
      <c r="P3736" s="6">
        <f>IF(M3736&gt;0,D3736,"")</f>
        <v/>
      </c>
      <c r="Q3736" s="9">
        <f>I3736+O3736</f>
        <v/>
      </c>
      <c r="R3736" s="7">
        <f>Q3736*G3736</f>
        <v/>
      </c>
      <c r="S3736" s="8">
        <f>IF($R$3752=0,0,R3736/$R$3752)</f>
        <v/>
      </c>
      <c r="T3736" s="8" t="n">
        <v>0.01306790316298456</v>
      </c>
      <c r="U3736" s="8" t="n">
        <v>0.02468287954745874</v>
      </c>
      <c r="V3736" s="6" t="inlineStr">
        <is>
          <t>not selected</t>
        </is>
      </c>
    </row>
    <row r="3737">
      <c r="A3737" s="6" t="inlineStr">
        <is>
          <t>DJ30</t>
        </is>
      </c>
      <c r="B3737" s="6" t="inlineStr">
        <is>
          <t>2025-04-25</t>
        </is>
      </c>
      <c r="C3737" s="6" t="inlineStr">
        <is>
          <t>DIA</t>
        </is>
      </c>
      <c r="D3737" s="6" t="inlineStr">
        <is>
          <t>JPM</t>
        </is>
      </c>
      <c r="E3737" s="6" t="inlineStr">
        <is>
          <t>JPM</t>
        </is>
      </c>
      <c r="F3737" s="6" t="inlineStr">
        <is>
          <t>-</t>
        </is>
      </c>
      <c r="G3737" s="7" t="n">
        <v>238.9037933349609</v>
      </c>
      <c r="H3737" s="6">
        <f>P3706</f>
        <v/>
      </c>
      <c r="I3737" s="9">
        <f>Q3706</f>
        <v/>
      </c>
      <c r="J3737" s="7">
        <f>I3737*G3737</f>
        <v/>
      </c>
      <c r="K3737" s="8">
        <f>IF($J$3752=0,0,J3737/$J$3752)</f>
        <v/>
      </c>
      <c r="L3737" s="6" t="inlineStr">
        <is>
          <t>WATCHLIST</t>
        </is>
      </c>
      <c r="M3737" s="8" t="n">
        <v>0</v>
      </c>
      <c r="N3737" s="7">
        <f>M3737*$J$3752-J3737</f>
        <v/>
      </c>
      <c r="O3737" s="9">
        <f>IF(G3737=0,0,N3737/G3737)</f>
        <v/>
      </c>
      <c r="P3737" s="6">
        <f>IF(M3737&gt;0,D3737,"")</f>
        <v/>
      </c>
      <c r="Q3737" s="9">
        <f>I3737+O3737</f>
        <v/>
      </c>
      <c r="R3737" s="7">
        <f>Q3737*G3737</f>
        <v/>
      </c>
      <c r="S3737" s="8">
        <f>IF($R$3752=0,0,R3737/$R$3752)</f>
        <v/>
      </c>
      <c r="T3737" s="8" t="n">
        <v>0.01306790316298456</v>
      </c>
      <c r="U3737" s="8" t="n">
        <v>0.02468287954745874</v>
      </c>
      <c r="V3737" s="6" t="inlineStr">
        <is>
          <t>not selected</t>
        </is>
      </c>
    </row>
    <row r="3738">
      <c r="A3738" s="6" t="inlineStr">
        <is>
          <t>DJ30</t>
        </is>
      </c>
      <c r="B3738" s="6" t="inlineStr">
        <is>
          <t>2025-04-25</t>
        </is>
      </c>
      <c r="C3738" s="6" t="inlineStr">
        <is>
          <t>DIA</t>
        </is>
      </c>
      <c r="D3738" s="6" t="inlineStr">
        <is>
          <t>KO</t>
        </is>
      </c>
      <c r="E3738" s="6" t="inlineStr">
        <is>
          <t>KO</t>
        </is>
      </c>
      <c r="F3738" s="6" t="inlineStr">
        <is>
          <t>-</t>
        </is>
      </c>
      <c r="G3738" s="7" t="n">
        <v>69.43585968017578</v>
      </c>
      <c r="H3738" s="6">
        <f>P3707</f>
        <v/>
      </c>
      <c r="I3738" s="9">
        <f>Q3707</f>
        <v/>
      </c>
      <c r="J3738" s="7">
        <f>I3738*G3738</f>
        <v/>
      </c>
      <c r="K3738" s="8">
        <f>IF($J$3752=0,0,J3738/$J$3752)</f>
        <v/>
      </c>
      <c r="L3738" s="6" t="inlineStr">
        <is>
          <t>REJECTED</t>
        </is>
      </c>
      <c r="M3738" s="8" t="n">
        <v>0</v>
      </c>
      <c r="N3738" s="7">
        <f>M3738*$J$3752-J3738</f>
        <v/>
      </c>
      <c r="O3738" s="9">
        <f>IF(G3738=0,0,N3738/G3738)</f>
        <v/>
      </c>
      <c r="P3738" s="6">
        <f>IF(M3738&gt;0,D3738,"")</f>
        <v/>
      </c>
      <c r="Q3738" s="9">
        <f>I3738+O3738</f>
        <v/>
      </c>
      <c r="R3738" s="7">
        <f>Q3738*G3738</f>
        <v/>
      </c>
      <c r="S3738" s="8">
        <f>IF($R$3752=0,0,R3738/$R$3752)</f>
        <v/>
      </c>
      <c r="T3738" s="8" t="n">
        <v>0.01306790316298456</v>
      </c>
      <c r="U3738" s="8" t="n">
        <v>0.02468287954745874</v>
      </c>
      <c r="V3738" s="6" t="inlineStr">
        <is>
          <t>not selected</t>
        </is>
      </c>
    </row>
    <row r="3739">
      <c r="A3739" s="6" t="inlineStr">
        <is>
          <t>DJ30</t>
        </is>
      </c>
      <c r="B3739" s="6" t="inlineStr">
        <is>
          <t>2025-04-25</t>
        </is>
      </c>
      <c r="C3739" s="6" t="inlineStr">
        <is>
          <t>DIA</t>
        </is>
      </c>
      <c r="D3739" s="6" t="inlineStr">
        <is>
          <t>MCD</t>
        </is>
      </c>
      <c r="E3739" s="6" t="inlineStr">
        <is>
          <t>MCD</t>
        </is>
      </c>
      <c r="F3739" s="6" t="inlineStr">
        <is>
          <t>-</t>
        </is>
      </c>
      <c r="G3739" s="7" t="n">
        <v>307.4927673339844</v>
      </c>
      <c r="H3739" s="6">
        <f>P3708</f>
        <v/>
      </c>
      <c r="I3739" s="9">
        <f>Q3708</f>
        <v/>
      </c>
      <c r="J3739" s="7">
        <f>I3739*G3739</f>
        <v/>
      </c>
      <c r="K3739" s="8">
        <f>IF($J$3752=0,0,J3739/$J$3752)</f>
        <v/>
      </c>
      <c r="L3739" s="6" t="inlineStr">
        <is>
          <t>SELECTED</t>
        </is>
      </c>
      <c r="M3739" s="8" t="n">
        <v>0.2</v>
      </c>
      <c r="N3739" s="7">
        <f>M3739*$J$3752-J3739</f>
        <v/>
      </c>
      <c r="O3739" s="9">
        <f>IF(G3739=0,0,N3739/G3739)</f>
        <v/>
      </c>
      <c r="P3739" s="6">
        <f>IF(M3739&gt;0,D3739,"")</f>
        <v/>
      </c>
      <c r="Q3739" s="9">
        <f>I3739+O3739</f>
        <v/>
      </c>
      <c r="R3739" s="7">
        <f>Q3739*G3739</f>
        <v/>
      </c>
      <c r="S3739" s="8">
        <f>IF($R$3752=0,0,R3739/$R$3752)</f>
        <v/>
      </c>
      <c r="T3739" s="8" t="n">
        <v>0.01306790316298456</v>
      </c>
      <c r="U3739" s="8" t="n">
        <v>0.02468287954745874</v>
      </c>
      <c r="V3739" s="6" t="inlineStr">
        <is>
          <t>remained in weekly selection</t>
        </is>
      </c>
    </row>
    <row r="3740">
      <c r="A3740" s="6" t="inlineStr">
        <is>
          <t>DJ30</t>
        </is>
      </c>
      <c r="B3740" s="6" t="inlineStr">
        <is>
          <t>2025-04-25</t>
        </is>
      </c>
      <c r="C3740" s="6" t="inlineStr">
        <is>
          <t>DIA</t>
        </is>
      </c>
      <c r="D3740" s="6" t="inlineStr">
        <is>
          <t>MMM</t>
        </is>
      </c>
      <c r="E3740" s="6" t="inlineStr">
        <is>
          <t>MMM</t>
        </is>
      </c>
      <c r="F3740" s="6" t="inlineStr">
        <is>
          <t>-</t>
        </is>
      </c>
      <c r="G3740" s="7" t="n">
        <v>134.1414947509766</v>
      </c>
      <c r="H3740" s="6">
        <f>P3709</f>
        <v/>
      </c>
      <c r="I3740" s="9">
        <f>Q3709</f>
        <v/>
      </c>
      <c r="J3740" s="7">
        <f>I3740*G3740</f>
        <v/>
      </c>
      <c r="K3740" s="8">
        <f>IF($J$3752=0,0,J3740/$J$3752)</f>
        <v/>
      </c>
      <c r="L3740" s="6" t="inlineStr">
        <is>
          <t>SELECTED</t>
        </is>
      </c>
      <c r="M3740" s="8" t="n">
        <v>0.2</v>
      </c>
      <c r="N3740" s="7">
        <f>M3740*$J$3752-J3740</f>
        <v/>
      </c>
      <c r="O3740" s="9">
        <f>IF(G3740=0,0,N3740/G3740)</f>
        <v/>
      </c>
      <c r="P3740" s="6">
        <f>IF(M3740&gt;0,D3740,"")</f>
        <v/>
      </c>
      <c r="Q3740" s="9">
        <f>I3740+O3740</f>
        <v/>
      </c>
      <c r="R3740" s="7">
        <f>Q3740*G3740</f>
        <v/>
      </c>
      <c r="S3740" s="8">
        <f>IF($R$3752=0,0,R3740/$R$3752)</f>
        <v/>
      </c>
      <c r="T3740" s="8" t="n">
        <v>0.01306790316298456</v>
      </c>
      <c r="U3740" s="8" t="n">
        <v>0.02468287954745874</v>
      </c>
      <c r="V3740" s="6" t="inlineStr">
        <is>
          <t>remained in weekly selection</t>
        </is>
      </c>
    </row>
    <row r="3741">
      <c r="A3741" s="6" t="inlineStr">
        <is>
          <t>DJ30</t>
        </is>
      </c>
      <c r="B3741" s="6" t="inlineStr">
        <is>
          <t>2025-04-25</t>
        </is>
      </c>
      <c r="C3741" s="6" t="inlineStr">
        <is>
          <t>DIA</t>
        </is>
      </c>
      <c r="D3741" s="6" t="inlineStr">
        <is>
          <t>MRK</t>
        </is>
      </c>
      <c r="E3741" s="6" t="inlineStr">
        <is>
          <t>MRK</t>
        </is>
      </c>
      <c r="F3741" s="6" t="inlineStr">
        <is>
          <t>-</t>
        </is>
      </c>
      <c r="G3741" s="7" t="n">
        <v>79.2696533203125</v>
      </c>
      <c r="H3741" s="6">
        <f>P3710</f>
        <v/>
      </c>
      <c r="I3741" s="9">
        <f>Q3710</f>
        <v/>
      </c>
      <c r="J3741" s="7">
        <f>I3741*G3741</f>
        <v/>
      </c>
      <c r="K3741" s="8">
        <f>IF($J$3752=0,0,J3741/$J$3752)</f>
        <v/>
      </c>
      <c r="L3741" s="6" t="inlineStr">
        <is>
          <t>REJECTED</t>
        </is>
      </c>
      <c r="M3741" s="8" t="n">
        <v>0</v>
      </c>
      <c r="N3741" s="7">
        <f>M3741*$J$3752-J3741</f>
        <v/>
      </c>
      <c r="O3741" s="9">
        <f>IF(G3741=0,0,N3741/G3741)</f>
        <v/>
      </c>
      <c r="P3741" s="6">
        <f>IF(M3741&gt;0,D3741,"")</f>
        <v/>
      </c>
      <c r="Q3741" s="9">
        <f>I3741+O3741</f>
        <v/>
      </c>
      <c r="R3741" s="7">
        <f>Q3741*G3741</f>
        <v/>
      </c>
      <c r="S3741" s="8">
        <f>IF($R$3752=0,0,R3741/$R$3752)</f>
        <v/>
      </c>
      <c r="T3741" s="8" t="n">
        <v>0.01306790316298456</v>
      </c>
      <c r="U3741" s="8" t="n">
        <v>0.02468287954745874</v>
      </c>
      <c r="V3741" s="6" t="inlineStr">
        <is>
          <t>not selected</t>
        </is>
      </c>
    </row>
    <row r="3742">
      <c r="A3742" s="6" t="inlineStr">
        <is>
          <t>DJ30</t>
        </is>
      </c>
      <c r="B3742" s="6" t="inlineStr">
        <is>
          <t>2025-04-25</t>
        </is>
      </c>
      <c r="C3742" s="6" t="inlineStr">
        <is>
          <t>DIA</t>
        </is>
      </c>
      <c r="D3742" s="6" t="inlineStr">
        <is>
          <t>MSFT</t>
        </is>
      </c>
      <c r="E3742" s="6" t="inlineStr">
        <is>
          <t>MSFT</t>
        </is>
      </c>
      <c r="F3742" s="6" t="inlineStr">
        <is>
          <t>-</t>
        </is>
      </c>
      <c r="G3742" s="7" t="n">
        <v>388.0325012207031</v>
      </c>
      <c r="H3742" s="6">
        <f>P3711</f>
        <v/>
      </c>
      <c r="I3742" s="9">
        <f>Q3711</f>
        <v/>
      </c>
      <c r="J3742" s="7">
        <f>I3742*G3742</f>
        <v/>
      </c>
      <c r="K3742" s="8">
        <f>IF($J$3752=0,0,J3742/$J$3752)</f>
        <v/>
      </c>
      <c r="L3742" s="6" t="inlineStr">
        <is>
          <t>REJECTED</t>
        </is>
      </c>
      <c r="M3742" s="8" t="n">
        <v>0</v>
      </c>
      <c r="N3742" s="7">
        <f>M3742*$J$3752-J3742</f>
        <v/>
      </c>
      <c r="O3742" s="9">
        <f>IF(G3742=0,0,N3742/G3742)</f>
        <v/>
      </c>
      <c r="P3742" s="6">
        <f>IF(M3742&gt;0,D3742,"")</f>
        <v/>
      </c>
      <c r="Q3742" s="9">
        <f>I3742+O3742</f>
        <v/>
      </c>
      <c r="R3742" s="7">
        <f>Q3742*G3742</f>
        <v/>
      </c>
      <c r="S3742" s="8">
        <f>IF($R$3752=0,0,R3742/$R$3752)</f>
        <v/>
      </c>
      <c r="T3742" s="8" t="n">
        <v>0.01306790316298456</v>
      </c>
      <c r="U3742" s="8" t="n">
        <v>0.02468287954745874</v>
      </c>
      <c r="V3742" s="6" t="inlineStr">
        <is>
          <t>not selected</t>
        </is>
      </c>
    </row>
    <row r="3743">
      <c r="A3743" s="6" t="inlineStr">
        <is>
          <t>DJ30</t>
        </is>
      </c>
      <c r="B3743" s="6" t="inlineStr">
        <is>
          <t>2025-04-25</t>
        </is>
      </c>
      <c r="C3743" s="6" t="inlineStr">
        <is>
          <t>DIA</t>
        </is>
      </c>
      <c r="D3743" s="6" t="inlineStr">
        <is>
          <t>NKE</t>
        </is>
      </c>
      <c r="E3743" s="6" t="inlineStr">
        <is>
          <t>NKE</t>
        </is>
      </c>
      <c r="F3743" s="6" t="inlineStr">
        <is>
          <t>-</t>
        </is>
      </c>
      <c r="G3743" s="7" t="n">
        <v>55.71084594726562</v>
      </c>
      <c r="H3743" s="6">
        <f>P3712</f>
        <v/>
      </c>
      <c r="I3743" s="9">
        <f>Q3712</f>
        <v/>
      </c>
      <c r="J3743" s="7">
        <f>I3743*G3743</f>
        <v/>
      </c>
      <c r="K3743" s="8">
        <f>IF($J$3752=0,0,J3743/$J$3752)</f>
        <v/>
      </c>
      <c r="L3743" s="6" t="inlineStr">
        <is>
          <t>REJECTED</t>
        </is>
      </c>
      <c r="M3743" s="8" t="n">
        <v>0</v>
      </c>
      <c r="N3743" s="7">
        <f>M3743*$J$3752-J3743</f>
        <v/>
      </c>
      <c r="O3743" s="9">
        <f>IF(G3743=0,0,N3743/G3743)</f>
        <v/>
      </c>
      <c r="P3743" s="6">
        <f>IF(M3743&gt;0,D3743,"")</f>
        <v/>
      </c>
      <c r="Q3743" s="9">
        <f>I3743+O3743</f>
        <v/>
      </c>
      <c r="R3743" s="7">
        <f>Q3743*G3743</f>
        <v/>
      </c>
      <c r="S3743" s="8">
        <f>IF($R$3752=0,0,R3743/$R$3752)</f>
        <v/>
      </c>
      <c r="T3743" s="8" t="n">
        <v>0.01306790316298456</v>
      </c>
      <c r="U3743" s="8" t="n">
        <v>0.02468287954745874</v>
      </c>
      <c r="V3743" s="6" t="inlineStr">
        <is>
          <t>not selected</t>
        </is>
      </c>
    </row>
    <row r="3744">
      <c r="A3744" s="6" t="inlineStr">
        <is>
          <t>DJ30</t>
        </is>
      </c>
      <c r="B3744" s="6" t="inlineStr">
        <is>
          <t>2025-04-25</t>
        </is>
      </c>
      <c r="C3744" s="6" t="inlineStr">
        <is>
          <t>DIA</t>
        </is>
      </c>
      <c r="D3744" s="6" t="inlineStr">
        <is>
          <t>NVDA</t>
        </is>
      </c>
      <c r="E3744" s="6" t="inlineStr">
        <is>
          <t>NVDA</t>
        </is>
      </c>
      <c r="F3744" s="6" t="inlineStr">
        <is>
          <t>-</t>
        </is>
      </c>
      <c r="G3744" s="7" t="n">
        <v>110.8546524047852</v>
      </c>
      <c r="H3744" s="6">
        <f>P3713</f>
        <v/>
      </c>
      <c r="I3744" s="9">
        <f>Q3713</f>
        <v/>
      </c>
      <c r="J3744" s="7">
        <f>I3744*G3744</f>
        <v/>
      </c>
      <c r="K3744" s="8">
        <f>IF($J$3752=0,0,J3744/$J$3752)</f>
        <v/>
      </c>
      <c r="L3744" s="6" t="inlineStr">
        <is>
          <t>REJECTED</t>
        </is>
      </c>
      <c r="M3744" s="8" t="n">
        <v>0</v>
      </c>
      <c r="N3744" s="7">
        <f>M3744*$J$3752-J3744</f>
        <v/>
      </c>
      <c r="O3744" s="9">
        <f>IF(G3744=0,0,N3744/G3744)</f>
        <v/>
      </c>
      <c r="P3744" s="6">
        <f>IF(M3744&gt;0,D3744,"")</f>
        <v/>
      </c>
      <c r="Q3744" s="9">
        <f>I3744+O3744</f>
        <v/>
      </c>
      <c r="R3744" s="7">
        <f>Q3744*G3744</f>
        <v/>
      </c>
      <c r="S3744" s="8">
        <f>IF($R$3752=0,0,R3744/$R$3752)</f>
        <v/>
      </c>
      <c r="T3744" s="8" t="n">
        <v>0.01306790316298456</v>
      </c>
      <c r="U3744" s="8" t="n">
        <v>0.02468287954745874</v>
      </c>
      <c r="V3744" s="6" t="inlineStr">
        <is>
          <t>not selected</t>
        </is>
      </c>
    </row>
    <row r="3745">
      <c r="A3745" s="6" t="inlineStr">
        <is>
          <t>DJ30</t>
        </is>
      </c>
      <c r="B3745" s="6" t="inlineStr">
        <is>
          <t>2025-04-25</t>
        </is>
      </c>
      <c r="C3745" s="6" t="inlineStr">
        <is>
          <t>DIA</t>
        </is>
      </c>
      <c r="D3745" s="6" t="inlineStr">
        <is>
          <t>PG</t>
        </is>
      </c>
      <c r="E3745" s="6" t="inlineStr">
        <is>
          <t>PG</t>
        </is>
      </c>
      <c r="F3745" s="6" t="inlineStr">
        <is>
          <t>-</t>
        </is>
      </c>
      <c r="G3745" s="7" t="n">
        <v>156.5175170898438</v>
      </c>
      <c r="H3745" s="6">
        <f>P3714</f>
        <v/>
      </c>
      <c r="I3745" s="9">
        <f>Q3714</f>
        <v/>
      </c>
      <c r="J3745" s="7">
        <f>I3745*G3745</f>
        <v/>
      </c>
      <c r="K3745" s="8">
        <f>IF($J$3752=0,0,J3745/$J$3752)</f>
        <v/>
      </c>
      <c r="L3745" s="6" t="inlineStr">
        <is>
          <t>REJECTED</t>
        </is>
      </c>
      <c r="M3745" s="8" t="n">
        <v>0</v>
      </c>
      <c r="N3745" s="7">
        <f>M3745*$J$3752-J3745</f>
        <v/>
      </c>
      <c r="O3745" s="9">
        <f>IF(G3745=0,0,N3745/G3745)</f>
        <v/>
      </c>
      <c r="P3745" s="6">
        <f>IF(M3745&gt;0,D3745,"")</f>
        <v/>
      </c>
      <c r="Q3745" s="9">
        <f>I3745+O3745</f>
        <v/>
      </c>
      <c r="R3745" s="7">
        <f>Q3745*G3745</f>
        <v/>
      </c>
      <c r="S3745" s="8">
        <f>IF($R$3752=0,0,R3745/$R$3752)</f>
        <v/>
      </c>
      <c r="T3745" s="8" t="n">
        <v>0.01306790316298456</v>
      </c>
      <c r="U3745" s="8" t="n">
        <v>0.02468287954745874</v>
      </c>
      <c r="V3745" s="6" t="inlineStr">
        <is>
          <t>not selected</t>
        </is>
      </c>
    </row>
    <row r="3746">
      <c r="A3746" s="6" t="inlineStr">
        <is>
          <t>DJ30</t>
        </is>
      </c>
      <c r="B3746" s="6" t="inlineStr">
        <is>
          <t>2025-04-25</t>
        </is>
      </c>
      <c r="C3746" s="6" t="inlineStr">
        <is>
          <t>DIA</t>
        </is>
      </c>
      <c r="D3746" s="6" t="inlineStr">
        <is>
          <t>SHW</t>
        </is>
      </c>
      <c r="E3746" s="6" t="inlineStr">
        <is>
          <t>SHW</t>
        </is>
      </c>
      <c r="F3746" s="6" t="inlineStr">
        <is>
          <t>-</t>
        </is>
      </c>
      <c r="G3746" s="7" t="n">
        <v>327.83349609375</v>
      </c>
      <c r="H3746" s="6">
        <f>P3715</f>
        <v/>
      </c>
      <c r="I3746" s="9">
        <f>Q3715</f>
        <v/>
      </c>
      <c r="J3746" s="7">
        <f>I3746*G3746</f>
        <v/>
      </c>
      <c r="K3746" s="8">
        <f>IF($J$3752=0,0,J3746/$J$3752)</f>
        <v/>
      </c>
      <c r="L3746" s="6" t="inlineStr">
        <is>
          <t>REJECTED</t>
        </is>
      </c>
      <c r="M3746" s="8" t="n">
        <v>0</v>
      </c>
      <c r="N3746" s="7">
        <f>M3746*$J$3752-J3746</f>
        <v/>
      </c>
      <c r="O3746" s="9">
        <f>IF(G3746=0,0,N3746/G3746)</f>
        <v/>
      </c>
      <c r="P3746" s="6">
        <f>IF(M3746&gt;0,D3746,"")</f>
        <v/>
      </c>
      <c r="Q3746" s="9">
        <f>I3746+O3746</f>
        <v/>
      </c>
      <c r="R3746" s="7">
        <f>Q3746*G3746</f>
        <v/>
      </c>
      <c r="S3746" s="8">
        <f>IF($R$3752=0,0,R3746/$R$3752)</f>
        <v/>
      </c>
      <c r="T3746" s="8" t="n">
        <v>0.01306790316298456</v>
      </c>
      <c r="U3746" s="8" t="n">
        <v>0.02468287954745874</v>
      </c>
      <c r="V3746" s="6" t="inlineStr">
        <is>
          <t>not selected</t>
        </is>
      </c>
    </row>
    <row r="3747">
      <c r="A3747" s="6" t="inlineStr">
        <is>
          <t>DJ30</t>
        </is>
      </c>
      <c r="B3747" s="6" t="inlineStr">
        <is>
          <t>2025-04-25</t>
        </is>
      </c>
      <c r="C3747" s="6" t="inlineStr">
        <is>
          <t>DIA</t>
        </is>
      </c>
      <c r="D3747" s="6" t="inlineStr">
        <is>
          <t>TRV</t>
        </is>
      </c>
      <c r="E3747" s="6" t="inlineStr">
        <is>
          <t>TRV</t>
        </is>
      </c>
      <c r="F3747" s="6" t="inlineStr">
        <is>
          <t>-</t>
        </is>
      </c>
      <c r="G3747" s="7" t="n">
        <v>254.0536041259766</v>
      </c>
      <c r="H3747" s="6">
        <f>P3716</f>
        <v/>
      </c>
      <c r="I3747" s="9">
        <f>Q3716</f>
        <v/>
      </c>
      <c r="J3747" s="7">
        <f>I3747*G3747</f>
        <v/>
      </c>
      <c r="K3747" s="8">
        <f>IF($J$3752=0,0,J3747/$J$3752)</f>
        <v/>
      </c>
      <c r="L3747" s="6" t="inlineStr">
        <is>
          <t>WATCHLIST</t>
        </is>
      </c>
      <c r="M3747" s="8" t="n">
        <v>0</v>
      </c>
      <c r="N3747" s="7">
        <f>M3747*$J$3752-J3747</f>
        <v/>
      </c>
      <c r="O3747" s="9">
        <f>IF(G3747=0,0,N3747/G3747)</f>
        <v/>
      </c>
      <c r="P3747" s="6">
        <f>IF(M3747&gt;0,D3747,"")</f>
        <v/>
      </c>
      <c r="Q3747" s="9">
        <f>I3747+O3747</f>
        <v/>
      </c>
      <c r="R3747" s="7">
        <f>Q3747*G3747</f>
        <v/>
      </c>
      <c r="S3747" s="8">
        <f>IF($R$3752=0,0,R3747/$R$3752)</f>
        <v/>
      </c>
      <c r="T3747" s="8" t="n">
        <v>0.01306790316298456</v>
      </c>
      <c r="U3747" s="8" t="n">
        <v>0.02468287954745874</v>
      </c>
      <c r="V3747" s="6" t="inlineStr">
        <is>
          <t>not selected</t>
        </is>
      </c>
    </row>
    <row r="3748">
      <c r="A3748" s="6" t="inlineStr">
        <is>
          <t>DJ30</t>
        </is>
      </c>
      <c r="B3748" s="6" t="inlineStr">
        <is>
          <t>2025-04-25</t>
        </is>
      </c>
      <c r="C3748" s="6" t="inlineStr">
        <is>
          <t>DIA</t>
        </is>
      </c>
      <c r="D3748" s="6" t="inlineStr">
        <is>
          <t>UNH</t>
        </is>
      </c>
      <c r="E3748" s="6" t="inlineStr">
        <is>
          <t>UNH</t>
        </is>
      </c>
      <c r="F3748" s="6" t="inlineStr">
        <is>
          <t>-</t>
        </is>
      </c>
      <c r="G3748" s="7" t="n">
        <v>404.8465881347656</v>
      </c>
      <c r="H3748" s="6">
        <f>P3717</f>
        <v/>
      </c>
      <c r="I3748" s="9">
        <f>Q3717</f>
        <v/>
      </c>
      <c r="J3748" s="7">
        <f>I3748*G3748</f>
        <v/>
      </c>
      <c r="K3748" s="8">
        <f>IF($J$3752=0,0,J3748/$J$3752)</f>
        <v/>
      </c>
      <c r="L3748" s="6" t="inlineStr">
        <is>
          <t>REJECTED</t>
        </is>
      </c>
      <c r="M3748" s="8" t="n">
        <v>0</v>
      </c>
      <c r="N3748" s="7">
        <f>M3748*$J$3752-J3748</f>
        <v/>
      </c>
      <c r="O3748" s="9">
        <f>IF(G3748=0,0,N3748/G3748)</f>
        <v/>
      </c>
      <c r="P3748" s="6">
        <f>IF(M3748&gt;0,D3748,"")</f>
        <v/>
      </c>
      <c r="Q3748" s="9">
        <f>I3748+O3748</f>
        <v/>
      </c>
      <c r="R3748" s="7">
        <f>Q3748*G3748</f>
        <v/>
      </c>
      <c r="S3748" s="8">
        <f>IF($R$3752=0,0,R3748/$R$3752)</f>
        <v/>
      </c>
      <c r="T3748" s="8" t="n">
        <v>0.01306790316298456</v>
      </c>
      <c r="U3748" s="8" t="n">
        <v>0.02468287954745874</v>
      </c>
      <c r="V3748" s="6" t="inlineStr">
        <is>
          <t>not selected</t>
        </is>
      </c>
    </row>
    <row r="3749">
      <c r="A3749" s="6" t="inlineStr">
        <is>
          <t>DJ30</t>
        </is>
      </c>
      <c r="B3749" s="6" t="inlineStr">
        <is>
          <t>2025-04-25</t>
        </is>
      </c>
      <c r="C3749" s="6" t="inlineStr">
        <is>
          <t>DIA</t>
        </is>
      </c>
      <c r="D3749" s="6" t="inlineStr">
        <is>
          <t>V</t>
        </is>
      </c>
      <c r="E3749" s="6" t="inlineStr">
        <is>
          <t>V</t>
        </is>
      </c>
      <c r="F3749" s="6" t="inlineStr">
        <is>
          <t>-</t>
        </is>
      </c>
      <c r="G3749" s="7" t="n">
        <v>331.9919738769531</v>
      </c>
      <c r="H3749" s="6">
        <f>P3718</f>
        <v/>
      </c>
      <c r="I3749" s="9">
        <f>Q3718</f>
        <v/>
      </c>
      <c r="J3749" s="7">
        <f>I3749*G3749</f>
        <v/>
      </c>
      <c r="K3749" s="8">
        <f>IF($J$3752=0,0,J3749/$J$3752)</f>
        <v/>
      </c>
      <c r="L3749" s="6" t="inlineStr">
        <is>
          <t>WATCHLIST</t>
        </is>
      </c>
      <c r="M3749" s="8" t="n">
        <v>0</v>
      </c>
      <c r="N3749" s="7">
        <f>M3749*$J$3752-J3749</f>
        <v/>
      </c>
      <c r="O3749" s="9">
        <f>IF(G3749=0,0,N3749/G3749)</f>
        <v/>
      </c>
      <c r="P3749" s="6">
        <f>IF(M3749&gt;0,D3749,"")</f>
        <v/>
      </c>
      <c r="Q3749" s="9">
        <f>I3749+O3749</f>
        <v/>
      </c>
      <c r="R3749" s="7">
        <f>Q3749*G3749</f>
        <v/>
      </c>
      <c r="S3749" s="8">
        <f>IF($R$3752=0,0,R3749/$R$3752)</f>
        <v/>
      </c>
      <c r="T3749" s="8" t="n">
        <v>0.01306790316298456</v>
      </c>
      <c r="U3749" s="8" t="n">
        <v>0.02468287954745874</v>
      </c>
      <c r="V3749" s="6" t="inlineStr">
        <is>
          <t>not selected</t>
        </is>
      </c>
    </row>
    <row r="3750">
      <c r="A3750" s="6" t="inlineStr">
        <is>
          <t>DJ30</t>
        </is>
      </c>
      <c r="B3750" s="6" t="inlineStr">
        <is>
          <t>2025-04-25</t>
        </is>
      </c>
      <c r="C3750" s="6" t="inlineStr">
        <is>
          <t>DIA</t>
        </is>
      </c>
      <c r="D3750" s="6" t="inlineStr">
        <is>
          <t>VZ</t>
        </is>
      </c>
      <c r="E3750" s="6" t="inlineStr">
        <is>
          <t>VZ</t>
        </is>
      </c>
      <c r="F3750" s="6" t="inlineStr">
        <is>
          <t>-</t>
        </is>
      </c>
      <c r="G3750" s="7" t="n">
        <v>39.26412200927734</v>
      </c>
      <c r="H3750" s="6">
        <f>P3719</f>
        <v/>
      </c>
      <c r="I3750" s="9">
        <f>Q3719</f>
        <v/>
      </c>
      <c r="J3750" s="7">
        <f>I3750*G3750</f>
        <v/>
      </c>
      <c r="K3750" s="8">
        <f>IF($J$3752=0,0,J3750/$J$3752)</f>
        <v/>
      </c>
      <c r="L3750" s="6" t="inlineStr">
        <is>
          <t>WATCHLIST</t>
        </is>
      </c>
      <c r="M3750" s="8" t="n">
        <v>0</v>
      </c>
      <c r="N3750" s="7">
        <f>M3750*$J$3752-J3750</f>
        <v/>
      </c>
      <c r="O3750" s="9">
        <f>IF(G3750=0,0,N3750/G3750)</f>
        <v/>
      </c>
      <c r="P3750" s="6">
        <f>IF(M3750&gt;0,D3750,"")</f>
        <v/>
      </c>
      <c r="Q3750" s="9">
        <f>I3750+O3750</f>
        <v/>
      </c>
      <c r="R3750" s="7">
        <f>Q3750*G3750</f>
        <v/>
      </c>
      <c r="S3750" s="8">
        <f>IF($R$3752=0,0,R3750/$R$3752)</f>
        <v/>
      </c>
      <c r="T3750" s="8" t="n">
        <v>0.01306790316298456</v>
      </c>
      <c r="U3750" s="8" t="n">
        <v>0.02468287954745874</v>
      </c>
      <c r="V3750" s="6" t="inlineStr">
        <is>
          <t>not selected</t>
        </is>
      </c>
    </row>
    <row r="3751">
      <c r="A3751" s="6" t="inlineStr">
        <is>
          <t>DJ30</t>
        </is>
      </c>
      <c r="B3751" s="6" t="inlineStr">
        <is>
          <t>2025-04-25</t>
        </is>
      </c>
      <c r="C3751" s="6" t="inlineStr">
        <is>
          <t>DIA</t>
        </is>
      </c>
      <c r="D3751" s="6" t="inlineStr">
        <is>
          <t>WMT</t>
        </is>
      </c>
      <c r="E3751" s="6" t="inlineStr">
        <is>
          <t>WMT</t>
        </is>
      </c>
      <c r="F3751" s="6" t="inlineStr">
        <is>
          <t>-</t>
        </is>
      </c>
      <c r="G3751" s="7" t="n">
        <v>94.0740966796875</v>
      </c>
      <c r="H3751" s="6">
        <f>P3720</f>
        <v/>
      </c>
      <c r="I3751" s="9">
        <f>Q3720</f>
        <v/>
      </c>
      <c r="J3751" s="7">
        <f>I3751*G3751</f>
        <v/>
      </c>
      <c r="K3751" s="8">
        <f>IF($J$3752=0,0,J3751/$J$3752)</f>
        <v/>
      </c>
      <c r="L3751" s="6" t="inlineStr">
        <is>
          <t>SELECTED</t>
        </is>
      </c>
      <c r="M3751" s="8" t="n">
        <v>0.2</v>
      </c>
      <c r="N3751" s="7">
        <f>M3751*$J$3752-J3751</f>
        <v/>
      </c>
      <c r="O3751" s="9">
        <f>IF(G3751=0,0,N3751/G3751)</f>
        <v/>
      </c>
      <c r="P3751" s="6">
        <f>IF(M3751&gt;0,D3751,"")</f>
        <v/>
      </c>
      <c r="Q3751" s="9">
        <f>I3751+O3751</f>
        <v/>
      </c>
      <c r="R3751" s="7">
        <f>Q3751*G3751</f>
        <v/>
      </c>
      <c r="S3751" s="8">
        <f>IF($R$3752=0,0,R3751/$R$3752)</f>
        <v/>
      </c>
      <c r="T3751" s="8" t="n">
        <v>0.01306790316298456</v>
      </c>
      <c r="U3751" s="8" t="n">
        <v>0.02468287954745874</v>
      </c>
      <c r="V3751" s="6" t="inlineStr">
        <is>
          <t>remained in weekly selection</t>
        </is>
      </c>
    </row>
    <row r="3752">
      <c r="A3752" s="10" t="inlineStr">
        <is>
          <t>DJ30</t>
        </is>
      </c>
      <c r="B3752" s="10" t="inlineStr">
        <is>
          <t>2025-04-25</t>
        </is>
      </c>
      <c r="C3752" s="10" t="inlineStr">
        <is>
          <t>DIA</t>
        </is>
      </c>
      <c r="D3752" s="10" t="inlineStr">
        <is>
          <t>Tot Portfolio</t>
        </is>
      </c>
      <c r="E3752" s="10" t="inlineStr"/>
      <c r="F3752" s="10" t="inlineStr"/>
      <c r="G3752" s="11" t="inlineStr"/>
      <c r="H3752" s="10" t="inlineStr"/>
      <c r="I3752" s="12" t="inlineStr"/>
      <c r="J3752" s="11">
        <f>SUM(J3722:J3751)</f>
        <v/>
      </c>
      <c r="K3752" s="13">
        <f>SUM(K3722:K3751)</f>
        <v/>
      </c>
      <c r="L3752" s="10" t="inlineStr">
        <is>
          <t>TOTAL</t>
        </is>
      </c>
      <c r="M3752" s="13">
        <f>SUM(M3722:M3751)</f>
        <v/>
      </c>
      <c r="N3752" s="11">
        <f>SUM(N3722:N3751)</f>
        <v/>
      </c>
      <c r="O3752" s="12">
        <f>SUM(O3722:O3751)</f>
        <v/>
      </c>
      <c r="P3752" s="10" t="inlineStr"/>
      <c r="Q3752" s="12" t="inlineStr"/>
      <c r="R3752" s="11">
        <f>SUM(R3722:R3751)</f>
        <v/>
      </c>
      <c r="S3752" s="13">
        <f>SUM(S3722:S3751)</f>
        <v/>
      </c>
      <c r="T3752" s="13" t="n">
        <v>0.01306790316298456</v>
      </c>
      <c r="U3752" s="13" t="n">
        <v>0.02468287954745874</v>
      </c>
      <c r="V3752" s="10" t="inlineStr"/>
    </row>
    <row r="3753">
      <c r="A3753" s="6" t="inlineStr">
        <is>
          <t>DJ30</t>
        </is>
      </c>
      <c r="B3753" s="6" t="inlineStr">
        <is>
          <t>2025-05-02</t>
        </is>
      </c>
      <c r="C3753" s="6" t="inlineStr">
        <is>
          <t>DIA</t>
        </is>
      </c>
      <c r="D3753" s="6" t="inlineStr">
        <is>
          <t>AAPL</t>
        </is>
      </c>
      <c r="E3753" s="6" t="inlineStr">
        <is>
          <t>AAPL</t>
        </is>
      </c>
      <c r="F3753" s="6" t="inlineStr">
        <is>
          <t>-</t>
        </is>
      </c>
      <c r="G3753" s="7" t="n">
        <v>204.2706909179688</v>
      </c>
      <c r="H3753" s="6">
        <f>P3722</f>
        <v/>
      </c>
      <c r="I3753" s="9">
        <f>Q3722</f>
        <v/>
      </c>
      <c r="J3753" s="7">
        <f>I3753*G3753</f>
        <v/>
      </c>
      <c r="K3753" s="8">
        <f>IF($J$3783=0,0,J3753/$J$3783)</f>
        <v/>
      </c>
      <c r="L3753" s="6" t="inlineStr">
        <is>
          <t>REJECTED</t>
        </is>
      </c>
      <c r="M3753" s="8" t="n">
        <v>0</v>
      </c>
      <c r="N3753" s="7">
        <f>M3753*$J$3783-J3753</f>
        <v/>
      </c>
      <c r="O3753" s="9">
        <f>IF(G3753=0,0,N3753/G3753)</f>
        <v/>
      </c>
      <c r="P3753" s="6">
        <f>IF(M3753&gt;0,D3753,"")</f>
        <v/>
      </c>
      <c r="Q3753" s="9">
        <f>I3753+O3753</f>
        <v/>
      </c>
      <c r="R3753" s="7">
        <f>Q3753*G3753</f>
        <v/>
      </c>
      <c r="S3753" s="8">
        <f>IF($R$3783=0,0,R3753/$R$3783)</f>
        <v/>
      </c>
      <c r="T3753" s="8" t="n">
        <v>0.02272008455517982</v>
      </c>
      <c r="U3753" s="8" t="n">
        <v>0.02997377140900603</v>
      </c>
      <c r="V3753" s="6" t="inlineStr">
        <is>
          <t>not selected</t>
        </is>
      </c>
    </row>
    <row r="3754">
      <c r="A3754" s="6" t="inlineStr">
        <is>
          <t>DJ30</t>
        </is>
      </c>
      <c r="B3754" s="6" t="inlineStr">
        <is>
          <t>2025-05-02</t>
        </is>
      </c>
      <c r="C3754" s="6" t="inlineStr">
        <is>
          <t>DIA</t>
        </is>
      </c>
      <c r="D3754" s="6" t="inlineStr">
        <is>
          <t>AMGN</t>
        </is>
      </c>
      <c r="E3754" s="6" t="inlineStr">
        <is>
          <t>AMGN</t>
        </is>
      </c>
      <c r="F3754" s="6" t="inlineStr">
        <is>
          <t>-</t>
        </is>
      </c>
      <c r="G3754" s="7" t="n">
        <v>270.6221923828125</v>
      </c>
      <c r="H3754" s="6">
        <f>P3723</f>
        <v/>
      </c>
      <c r="I3754" s="9">
        <f>Q3723</f>
        <v/>
      </c>
      <c r="J3754" s="7">
        <f>I3754*G3754</f>
        <v/>
      </c>
      <c r="K3754" s="8">
        <f>IF($J$3783=0,0,J3754/$J$3783)</f>
        <v/>
      </c>
      <c r="L3754" s="6" t="inlineStr">
        <is>
          <t>REJECTED</t>
        </is>
      </c>
      <c r="M3754" s="8" t="n">
        <v>0</v>
      </c>
      <c r="N3754" s="7">
        <f>M3754*$J$3783-J3754</f>
        <v/>
      </c>
      <c r="O3754" s="9">
        <f>IF(G3754=0,0,N3754/G3754)</f>
        <v/>
      </c>
      <c r="P3754" s="6">
        <f>IF(M3754&gt;0,D3754,"")</f>
        <v/>
      </c>
      <c r="Q3754" s="9">
        <f>I3754+O3754</f>
        <v/>
      </c>
      <c r="R3754" s="7">
        <f>Q3754*G3754</f>
        <v/>
      </c>
      <c r="S3754" s="8">
        <f>IF($R$3783=0,0,R3754/$R$3783)</f>
        <v/>
      </c>
      <c r="T3754" s="8" t="n">
        <v>0.02272008455517982</v>
      </c>
      <c r="U3754" s="8" t="n">
        <v>0.02997377140900603</v>
      </c>
      <c r="V3754" s="6" t="inlineStr">
        <is>
          <t>not selected</t>
        </is>
      </c>
    </row>
    <row r="3755">
      <c r="A3755" s="6" t="inlineStr">
        <is>
          <t>DJ30</t>
        </is>
      </c>
      <c r="B3755" s="6" t="inlineStr">
        <is>
          <t>2025-05-02</t>
        </is>
      </c>
      <c r="C3755" s="6" t="inlineStr">
        <is>
          <t>DIA</t>
        </is>
      </c>
      <c r="D3755" s="6" t="inlineStr">
        <is>
          <t>AMZN</t>
        </is>
      </c>
      <c r="E3755" s="6" t="inlineStr">
        <is>
          <t>AMZN</t>
        </is>
      </c>
      <c r="F3755" s="6" t="inlineStr">
        <is>
          <t>-</t>
        </is>
      </c>
      <c r="G3755" s="7" t="n">
        <v>189.979995727539</v>
      </c>
      <c r="H3755" s="6">
        <f>P3724</f>
        <v/>
      </c>
      <c r="I3755" s="9">
        <f>Q3724</f>
        <v/>
      </c>
      <c r="J3755" s="7">
        <f>I3755*G3755</f>
        <v/>
      </c>
      <c r="K3755" s="8">
        <f>IF($J$3783=0,0,J3755/$J$3783)</f>
        <v/>
      </c>
      <c r="L3755" s="6" t="inlineStr">
        <is>
          <t>REJECTED</t>
        </is>
      </c>
      <c r="M3755" s="8" t="n">
        <v>0</v>
      </c>
      <c r="N3755" s="7">
        <f>M3755*$J$3783-J3755</f>
        <v/>
      </c>
      <c r="O3755" s="9">
        <f>IF(G3755=0,0,N3755/G3755)</f>
        <v/>
      </c>
      <c r="P3755" s="6">
        <f>IF(M3755&gt;0,D3755,"")</f>
        <v/>
      </c>
      <c r="Q3755" s="9">
        <f>I3755+O3755</f>
        <v/>
      </c>
      <c r="R3755" s="7">
        <f>Q3755*G3755</f>
        <v/>
      </c>
      <c r="S3755" s="8">
        <f>IF($R$3783=0,0,R3755/$R$3783)</f>
        <v/>
      </c>
      <c r="T3755" s="8" t="n">
        <v>0.02272008455517982</v>
      </c>
      <c r="U3755" s="8" t="n">
        <v>0.02997377140900603</v>
      </c>
      <c r="V3755" s="6" t="inlineStr">
        <is>
          <t>not selected</t>
        </is>
      </c>
    </row>
    <row r="3756">
      <c r="A3756" s="6" t="inlineStr">
        <is>
          <t>DJ30</t>
        </is>
      </c>
      <c r="B3756" s="6" t="inlineStr">
        <is>
          <t>2025-05-02</t>
        </is>
      </c>
      <c r="C3756" s="6" t="inlineStr">
        <is>
          <t>DIA</t>
        </is>
      </c>
      <c r="D3756" s="6" t="inlineStr">
        <is>
          <t>AXP</t>
        </is>
      </c>
      <c r="E3756" s="6" t="inlineStr">
        <is>
          <t>AXP</t>
        </is>
      </c>
      <c r="F3756" s="6" t="inlineStr">
        <is>
          <t>-</t>
        </is>
      </c>
      <c r="G3756" s="7" t="n">
        <v>273.9781494140625</v>
      </c>
      <c r="H3756" s="6">
        <f>P3725</f>
        <v/>
      </c>
      <c r="I3756" s="9">
        <f>Q3725</f>
        <v/>
      </c>
      <c r="J3756" s="7">
        <f>I3756*G3756</f>
        <v/>
      </c>
      <c r="K3756" s="8">
        <f>IF($J$3783=0,0,J3756/$J$3783)</f>
        <v/>
      </c>
      <c r="L3756" s="6" t="inlineStr">
        <is>
          <t>WATCHLIST</t>
        </is>
      </c>
      <c r="M3756" s="8" t="n">
        <v>0</v>
      </c>
      <c r="N3756" s="7">
        <f>M3756*$J$3783-J3756</f>
        <v/>
      </c>
      <c r="O3756" s="9">
        <f>IF(G3756=0,0,N3756/G3756)</f>
        <v/>
      </c>
      <c r="P3756" s="6">
        <f>IF(M3756&gt;0,D3756,"")</f>
        <v/>
      </c>
      <c r="Q3756" s="9">
        <f>I3756+O3756</f>
        <v/>
      </c>
      <c r="R3756" s="7">
        <f>Q3756*G3756</f>
        <v/>
      </c>
      <c r="S3756" s="8">
        <f>IF($R$3783=0,0,R3756/$R$3783)</f>
        <v/>
      </c>
      <c r="T3756" s="8" t="n">
        <v>0.02272008455517982</v>
      </c>
      <c r="U3756" s="8" t="n">
        <v>0.02997377140900603</v>
      </c>
      <c r="V3756" s="6" t="inlineStr">
        <is>
          <t>not selected</t>
        </is>
      </c>
    </row>
    <row r="3757">
      <c r="A3757" s="6" t="inlineStr">
        <is>
          <t>DJ30</t>
        </is>
      </c>
      <c r="B3757" s="6" t="inlineStr">
        <is>
          <t>2025-05-02</t>
        </is>
      </c>
      <c r="C3757" s="6" t="inlineStr">
        <is>
          <t>DIA</t>
        </is>
      </c>
      <c r="D3757" s="6" t="inlineStr">
        <is>
          <t>BA</t>
        </is>
      </c>
      <c r="E3757" s="6" t="inlineStr">
        <is>
          <t>BA</t>
        </is>
      </c>
      <c r="F3757" s="6" t="inlineStr">
        <is>
          <t>-</t>
        </is>
      </c>
      <c r="G3757" s="7" t="n">
        <v>185.4600067138672</v>
      </c>
      <c r="H3757" s="6">
        <f>P3726</f>
        <v/>
      </c>
      <c r="I3757" s="9">
        <f>Q3726</f>
        <v/>
      </c>
      <c r="J3757" s="7">
        <f>I3757*G3757</f>
        <v/>
      </c>
      <c r="K3757" s="8">
        <f>IF($J$3783=0,0,J3757/$J$3783)</f>
        <v/>
      </c>
      <c r="L3757" s="6" t="inlineStr">
        <is>
          <t>REJECTED</t>
        </is>
      </c>
      <c r="M3757" s="8" t="n">
        <v>0</v>
      </c>
      <c r="N3757" s="7">
        <f>M3757*$J$3783-J3757</f>
        <v/>
      </c>
      <c r="O3757" s="9">
        <f>IF(G3757=0,0,N3757/G3757)</f>
        <v/>
      </c>
      <c r="P3757" s="6">
        <f>IF(M3757&gt;0,D3757,"")</f>
        <v/>
      </c>
      <c r="Q3757" s="9">
        <f>I3757+O3757</f>
        <v/>
      </c>
      <c r="R3757" s="7">
        <f>Q3757*G3757</f>
        <v/>
      </c>
      <c r="S3757" s="8">
        <f>IF($R$3783=0,0,R3757/$R$3783)</f>
        <v/>
      </c>
      <c r="T3757" s="8" t="n">
        <v>0.02272008455517982</v>
      </c>
      <c r="U3757" s="8" t="n">
        <v>0.02997377140900603</v>
      </c>
      <c r="V3757" s="6" t="inlineStr">
        <is>
          <t>not selected</t>
        </is>
      </c>
    </row>
    <row r="3758">
      <c r="A3758" s="6" t="inlineStr">
        <is>
          <t>DJ30</t>
        </is>
      </c>
      <c r="B3758" s="6" t="inlineStr">
        <is>
          <t>2025-05-02</t>
        </is>
      </c>
      <c r="C3758" s="6" t="inlineStr">
        <is>
          <t>DIA</t>
        </is>
      </c>
      <c r="D3758" s="6" t="inlineStr">
        <is>
          <t>CAT</t>
        </is>
      </c>
      <c r="E3758" s="6" t="inlineStr">
        <is>
          <t>CAT</t>
        </is>
      </c>
      <c r="F3758" s="6" t="inlineStr">
        <is>
          <t>-</t>
        </is>
      </c>
      <c r="G3758" s="7" t="n">
        <v>320.2144470214844</v>
      </c>
      <c r="H3758" s="6">
        <f>P3727</f>
        <v/>
      </c>
      <c r="I3758" s="9">
        <f>Q3727</f>
        <v/>
      </c>
      <c r="J3758" s="7">
        <f>I3758*G3758</f>
        <v/>
      </c>
      <c r="K3758" s="8">
        <f>IF($J$3783=0,0,J3758/$J$3783)</f>
        <v/>
      </c>
      <c r="L3758" s="6" t="inlineStr">
        <is>
          <t>REJECTED</t>
        </is>
      </c>
      <c r="M3758" s="8" t="n">
        <v>0</v>
      </c>
      <c r="N3758" s="7">
        <f>M3758*$J$3783-J3758</f>
        <v/>
      </c>
      <c r="O3758" s="9">
        <f>IF(G3758=0,0,N3758/G3758)</f>
        <v/>
      </c>
      <c r="P3758" s="6">
        <f>IF(M3758&gt;0,D3758,"")</f>
        <v/>
      </c>
      <c r="Q3758" s="9">
        <f>I3758+O3758</f>
        <v/>
      </c>
      <c r="R3758" s="7">
        <f>Q3758*G3758</f>
        <v/>
      </c>
      <c r="S3758" s="8">
        <f>IF($R$3783=0,0,R3758/$R$3783)</f>
        <v/>
      </c>
      <c r="T3758" s="8" t="n">
        <v>0.02272008455517982</v>
      </c>
      <c r="U3758" s="8" t="n">
        <v>0.02997377140900603</v>
      </c>
      <c r="V3758" s="6" t="inlineStr">
        <is>
          <t>not selected</t>
        </is>
      </c>
    </row>
    <row r="3759">
      <c r="A3759" s="6" t="inlineStr">
        <is>
          <t>DJ30</t>
        </is>
      </c>
      <c r="B3759" s="6" t="inlineStr">
        <is>
          <t>2025-05-02</t>
        </is>
      </c>
      <c r="C3759" s="6" t="inlineStr">
        <is>
          <t>DIA</t>
        </is>
      </c>
      <c r="D3759" s="6" t="inlineStr">
        <is>
          <t>CRM</t>
        </is>
      </c>
      <c r="E3759" s="6" t="inlineStr">
        <is>
          <t>CRM</t>
        </is>
      </c>
      <c r="F3759" s="6" t="inlineStr">
        <is>
          <t>-</t>
        </is>
      </c>
      <c r="G3759" s="7" t="n">
        <v>272.3394165039062</v>
      </c>
      <c r="H3759" s="6">
        <f>P3728</f>
        <v/>
      </c>
      <c r="I3759" s="9">
        <f>Q3728</f>
        <v/>
      </c>
      <c r="J3759" s="7">
        <f>I3759*G3759</f>
        <v/>
      </c>
      <c r="K3759" s="8">
        <f>IF($J$3783=0,0,J3759/$J$3783)</f>
        <v/>
      </c>
      <c r="L3759" s="6" t="inlineStr">
        <is>
          <t>REJECTED</t>
        </is>
      </c>
      <c r="M3759" s="8" t="n">
        <v>0</v>
      </c>
      <c r="N3759" s="7">
        <f>M3759*$J$3783-J3759</f>
        <v/>
      </c>
      <c r="O3759" s="9">
        <f>IF(G3759=0,0,N3759/G3759)</f>
        <v/>
      </c>
      <c r="P3759" s="6">
        <f>IF(M3759&gt;0,D3759,"")</f>
        <v/>
      </c>
      <c r="Q3759" s="9">
        <f>I3759+O3759</f>
        <v/>
      </c>
      <c r="R3759" s="7">
        <f>Q3759*G3759</f>
        <v/>
      </c>
      <c r="S3759" s="8">
        <f>IF($R$3783=0,0,R3759/$R$3783)</f>
        <v/>
      </c>
      <c r="T3759" s="8" t="n">
        <v>0.02272008455517982</v>
      </c>
      <c r="U3759" s="8" t="n">
        <v>0.02997377140900603</v>
      </c>
      <c r="V3759" s="6" t="inlineStr">
        <is>
          <t>not selected</t>
        </is>
      </c>
    </row>
    <row r="3760">
      <c r="A3760" s="6" t="inlineStr">
        <is>
          <t>DJ30</t>
        </is>
      </c>
      <c r="B3760" s="6" t="inlineStr">
        <is>
          <t>2025-05-02</t>
        </is>
      </c>
      <c r="C3760" s="6" t="inlineStr">
        <is>
          <t>DIA</t>
        </is>
      </c>
      <c r="D3760" s="6" t="inlineStr">
        <is>
          <t>CSCO</t>
        </is>
      </c>
      <c r="E3760" s="6" t="inlineStr">
        <is>
          <t>CSCO</t>
        </is>
      </c>
      <c r="F3760" s="6" t="inlineStr">
        <is>
          <t>-</t>
        </is>
      </c>
      <c r="G3760" s="7" t="n">
        <v>57.99510955810547</v>
      </c>
      <c r="H3760" s="6">
        <f>P3729</f>
        <v/>
      </c>
      <c r="I3760" s="9">
        <f>Q3729</f>
        <v/>
      </c>
      <c r="J3760" s="7">
        <f>I3760*G3760</f>
        <v/>
      </c>
      <c r="K3760" s="8">
        <f>IF($J$3783=0,0,J3760/$J$3783)</f>
        <v/>
      </c>
      <c r="L3760" s="6" t="inlineStr">
        <is>
          <t>WATCHLIST</t>
        </is>
      </c>
      <c r="M3760" s="8" t="n">
        <v>0</v>
      </c>
      <c r="N3760" s="7">
        <f>M3760*$J$3783-J3760</f>
        <v/>
      </c>
      <c r="O3760" s="9">
        <f>IF(G3760=0,0,N3760/G3760)</f>
        <v/>
      </c>
      <c r="P3760" s="6">
        <f>IF(M3760&gt;0,D3760,"")</f>
        <v/>
      </c>
      <c r="Q3760" s="9">
        <f>I3760+O3760</f>
        <v/>
      </c>
      <c r="R3760" s="7">
        <f>Q3760*G3760</f>
        <v/>
      </c>
      <c r="S3760" s="8">
        <f>IF($R$3783=0,0,R3760/$R$3783)</f>
        <v/>
      </c>
      <c r="T3760" s="8" t="n">
        <v>0.02272008455517982</v>
      </c>
      <c r="U3760" s="8" t="n">
        <v>0.02997377140900603</v>
      </c>
      <c r="V3760" s="6" t="inlineStr">
        <is>
          <t>not selected</t>
        </is>
      </c>
    </row>
    <row r="3761">
      <c r="A3761" s="6" t="inlineStr">
        <is>
          <t>DJ30</t>
        </is>
      </c>
      <c r="B3761" s="6" t="inlineStr">
        <is>
          <t>2025-05-02</t>
        </is>
      </c>
      <c r="C3761" s="6" t="inlineStr">
        <is>
          <t>DIA</t>
        </is>
      </c>
      <c r="D3761" s="6" t="inlineStr">
        <is>
          <t>CVX</t>
        </is>
      </c>
      <c r="E3761" s="6" t="inlineStr">
        <is>
          <t>CVX</t>
        </is>
      </c>
      <c r="F3761" s="6" t="inlineStr">
        <is>
          <t>-</t>
        </is>
      </c>
      <c r="G3761" s="7" t="n">
        <v>131.3327484130859</v>
      </c>
      <c r="H3761" s="6">
        <f>P3730</f>
        <v/>
      </c>
      <c r="I3761" s="9">
        <f>Q3730</f>
        <v/>
      </c>
      <c r="J3761" s="7">
        <f>I3761*G3761</f>
        <v/>
      </c>
      <c r="K3761" s="8">
        <f>IF($J$3783=0,0,J3761/$J$3783)</f>
        <v/>
      </c>
      <c r="L3761" s="6" t="inlineStr">
        <is>
          <t>REJECTED</t>
        </is>
      </c>
      <c r="M3761" s="8" t="n">
        <v>0</v>
      </c>
      <c r="N3761" s="7">
        <f>M3761*$J$3783-J3761</f>
        <v/>
      </c>
      <c r="O3761" s="9">
        <f>IF(G3761=0,0,N3761/G3761)</f>
        <v/>
      </c>
      <c r="P3761" s="6">
        <f>IF(M3761&gt;0,D3761,"")</f>
        <v/>
      </c>
      <c r="Q3761" s="9">
        <f>I3761+O3761</f>
        <v/>
      </c>
      <c r="R3761" s="7">
        <f>Q3761*G3761</f>
        <v/>
      </c>
      <c r="S3761" s="8">
        <f>IF($R$3783=0,0,R3761/$R$3783)</f>
        <v/>
      </c>
      <c r="T3761" s="8" t="n">
        <v>0.02272008455517982</v>
      </c>
      <c r="U3761" s="8" t="n">
        <v>0.02997377140900603</v>
      </c>
      <c r="V3761" s="6" t="inlineStr">
        <is>
          <t>not selected</t>
        </is>
      </c>
    </row>
    <row r="3762">
      <c r="A3762" s="6" t="inlineStr">
        <is>
          <t>DJ30</t>
        </is>
      </c>
      <c r="B3762" s="6" t="inlineStr">
        <is>
          <t>2025-05-02</t>
        </is>
      </c>
      <c r="C3762" s="6" t="inlineStr">
        <is>
          <t>DIA</t>
        </is>
      </c>
      <c r="D3762" s="6" t="inlineStr">
        <is>
          <t>DIS</t>
        </is>
      </c>
      <c r="E3762" s="6" t="inlineStr">
        <is>
          <t>DIS</t>
        </is>
      </c>
      <c r="F3762" s="6" t="inlineStr">
        <is>
          <t>-</t>
        </is>
      </c>
      <c r="G3762" s="7" t="n">
        <v>91.47832489013672</v>
      </c>
      <c r="H3762" s="6">
        <f>P3731</f>
        <v/>
      </c>
      <c r="I3762" s="9">
        <f>Q3731</f>
        <v/>
      </c>
      <c r="J3762" s="7">
        <f>I3762*G3762</f>
        <v/>
      </c>
      <c r="K3762" s="8">
        <f>IF($J$3783=0,0,J3762/$J$3783)</f>
        <v/>
      </c>
      <c r="L3762" s="6" t="inlineStr">
        <is>
          <t>REJECTED</t>
        </is>
      </c>
      <c r="M3762" s="8" t="n">
        <v>0</v>
      </c>
      <c r="N3762" s="7">
        <f>M3762*$J$3783-J3762</f>
        <v/>
      </c>
      <c r="O3762" s="9">
        <f>IF(G3762=0,0,N3762/G3762)</f>
        <v/>
      </c>
      <c r="P3762" s="6">
        <f>IF(M3762&gt;0,D3762,"")</f>
        <v/>
      </c>
      <c r="Q3762" s="9">
        <f>I3762+O3762</f>
        <v/>
      </c>
      <c r="R3762" s="7">
        <f>Q3762*G3762</f>
        <v/>
      </c>
      <c r="S3762" s="8">
        <f>IF($R$3783=0,0,R3762/$R$3783)</f>
        <v/>
      </c>
      <c r="T3762" s="8" t="n">
        <v>0.02272008455517982</v>
      </c>
      <c r="U3762" s="8" t="n">
        <v>0.02997377140900603</v>
      </c>
      <c r="V3762" s="6" t="inlineStr">
        <is>
          <t>not selected</t>
        </is>
      </c>
    </row>
    <row r="3763">
      <c r="A3763" s="6" t="inlineStr">
        <is>
          <t>DJ30</t>
        </is>
      </c>
      <c r="B3763" s="6" t="inlineStr">
        <is>
          <t>2025-05-02</t>
        </is>
      </c>
      <c r="C3763" s="6" t="inlineStr">
        <is>
          <t>DIA</t>
        </is>
      </c>
      <c r="D3763" s="6" t="inlineStr">
        <is>
          <t>GS</t>
        </is>
      </c>
      <c r="E3763" s="6" t="inlineStr">
        <is>
          <t>GS</t>
        </is>
      </c>
      <c r="F3763" s="6" t="inlineStr">
        <is>
          <t>-</t>
        </is>
      </c>
      <c r="G3763" s="7" t="n">
        <v>552.1765747070312</v>
      </c>
      <c r="H3763" s="6">
        <f>P3732</f>
        <v/>
      </c>
      <c r="I3763" s="9">
        <f>Q3732</f>
        <v/>
      </c>
      <c r="J3763" s="7">
        <f>I3763*G3763</f>
        <v/>
      </c>
      <c r="K3763" s="8">
        <f>IF($J$3783=0,0,J3763/$J$3783)</f>
        <v/>
      </c>
      <c r="L3763" s="6" t="inlineStr">
        <is>
          <t>WATCHLIST</t>
        </is>
      </c>
      <c r="M3763" s="8" t="n">
        <v>0</v>
      </c>
      <c r="N3763" s="7">
        <f>M3763*$J$3783-J3763</f>
        <v/>
      </c>
      <c r="O3763" s="9">
        <f>IF(G3763=0,0,N3763/G3763)</f>
        <v/>
      </c>
      <c r="P3763" s="6">
        <f>IF(M3763&gt;0,D3763,"")</f>
        <v/>
      </c>
      <c r="Q3763" s="9">
        <f>I3763+O3763</f>
        <v/>
      </c>
      <c r="R3763" s="7">
        <f>Q3763*G3763</f>
        <v/>
      </c>
      <c r="S3763" s="8">
        <f>IF($R$3783=0,0,R3763/$R$3783)</f>
        <v/>
      </c>
      <c r="T3763" s="8" t="n">
        <v>0.02272008455517982</v>
      </c>
      <c r="U3763" s="8" t="n">
        <v>0.02997377140900603</v>
      </c>
      <c r="V3763" s="6" t="inlineStr">
        <is>
          <t>not selected</t>
        </is>
      </c>
    </row>
    <row r="3764">
      <c r="A3764" s="6" t="inlineStr">
        <is>
          <t>DJ30</t>
        </is>
      </c>
      <c r="B3764" s="6" t="inlineStr">
        <is>
          <t>2025-05-02</t>
        </is>
      </c>
      <c r="C3764" s="6" t="inlineStr">
        <is>
          <t>DIA</t>
        </is>
      </c>
      <c r="D3764" s="6" t="inlineStr">
        <is>
          <t>HD</t>
        </is>
      </c>
      <c r="E3764" s="6" t="inlineStr">
        <is>
          <t>HD</t>
        </is>
      </c>
      <c r="F3764" s="6" t="inlineStr">
        <is>
          <t>-</t>
        </is>
      </c>
      <c r="G3764" s="7" t="n">
        <v>352.8862609863281</v>
      </c>
      <c r="H3764" s="6">
        <f>P3733</f>
        <v/>
      </c>
      <c r="I3764" s="9">
        <f>Q3733</f>
        <v/>
      </c>
      <c r="J3764" s="7">
        <f>I3764*G3764</f>
        <v/>
      </c>
      <c r="K3764" s="8">
        <f>IF($J$3783=0,0,J3764/$J$3783)</f>
        <v/>
      </c>
      <c r="L3764" s="6" t="inlineStr">
        <is>
          <t>REJECTED</t>
        </is>
      </c>
      <c r="M3764" s="8" t="n">
        <v>0</v>
      </c>
      <c r="N3764" s="7">
        <f>M3764*$J$3783-J3764</f>
        <v/>
      </c>
      <c r="O3764" s="9">
        <f>IF(G3764=0,0,N3764/G3764)</f>
        <v/>
      </c>
      <c r="P3764" s="6">
        <f>IF(M3764&gt;0,D3764,"")</f>
        <v/>
      </c>
      <c r="Q3764" s="9">
        <f>I3764+O3764</f>
        <v/>
      </c>
      <c r="R3764" s="7">
        <f>Q3764*G3764</f>
        <v/>
      </c>
      <c r="S3764" s="8">
        <f>IF($R$3783=0,0,R3764/$R$3783)</f>
        <v/>
      </c>
      <c r="T3764" s="8" t="n">
        <v>0.02272008455517982</v>
      </c>
      <c r="U3764" s="8" t="n">
        <v>0.02997377140900603</v>
      </c>
      <c r="V3764" s="6" t="inlineStr">
        <is>
          <t>not selected</t>
        </is>
      </c>
    </row>
    <row r="3765">
      <c r="A3765" s="6" t="inlineStr">
        <is>
          <t>DJ30</t>
        </is>
      </c>
      <c r="B3765" s="6" t="inlineStr">
        <is>
          <t>2025-05-02</t>
        </is>
      </c>
      <c r="C3765" s="6" t="inlineStr">
        <is>
          <t>DIA</t>
        </is>
      </c>
      <c r="D3765" s="6" t="inlineStr">
        <is>
          <t>HON</t>
        </is>
      </c>
      <c r="E3765" s="6" t="inlineStr">
        <is>
          <t>HON</t>
        </is>
      </c>
      <c r="F3765" s="6" t="inlineStr">
        <is>
          <t>-</t>
        </is>
      </c>
      <c r="G3765" s="7" t="n">
        <v>196.5030822753907</v>
      </c>
      <c r="H3765" s="6">
        <f>P3734</f>
        <v/>
      </c>
      <c r="I3765" s="9">
        <f>Q3734</f>
        <v/>
      </c>
      <c r="J3765" s="7">
        <f>I3765*G3765</f>
        <v/>
      </c>
      <c r="K3765" s="8">
        <f>IF($J$3783=0,0,J3765/$J$3783)</f>
        <v/>
      </c>
      <c r="L3765" s="6" t="inlineStr">
        <is>
          <t>REJECTED</t>
        </is>
      </c>
      <c r="M3765" s="8" t="n">
        <v>0</v>
      </c>
      <c r="N3765" s="7">
        <f>M3765*$J$3783-J3765</f>
        <v/>
      </c>
      <c r="O3765" s="9">
        <f>IF(G3765=0,0,N3765/G3765)</f>
        <v/>
      </c>
      <c r="P3765" s="6">
        <f>IF(M3765&gt;0,D3765,"")</f>
        <v/>
      </c>
      <c r="Q3765" s="9">
        <f>I3765+O3765</f>
        <v/>
      </c>
      <c r="R3765" s="7">
        <f>Q3765*G3765</f>
        <v/>
      </c>
      <c r="S3765" s="8">
        <f>IF($R$3783=0,0,R3765/$R$3783)</f>
        <v/>
      </c>
      <c r="T3765" s="8" t="n">
        <v>0.02272008455517982</v>
      </c>
      <c r="U3765" s="8" t="n">
        <v>0.02997377140900603</v>
      </c>
      <c r="V3765" s="6" t="inlineStr">
        <is>
          <t>not selected</t>
        </is>
      </c>
    </row>
    <row r="3766">
      <c r="A3766" s="6" t="inlineStr">
        <is>
          <t>DJ30</t>
        </is>
      </c>
      <c r="B3766" s="6" t="inlineStr">
        <is>
          <t>2025-05-02</t>
        </is>
      </c>
      <c r="C3766" s="6" t="inlineStr">
        <is>
          <t>DIA</t>
        </is>
      </c>
      <c r="D3766" s="6" t="inlineStr">
        <is>
          <t>IBM</t>
        </is>
      </c>
      <c r="E3766" s="6" t="inlineStr">
        <is>
          <t>IBM</t>
        </is>
      </c>
      <c r="F3766" s="6" t="inlineStr">
        <is>
          <t>-</t>
        </is>
      </c>
      <c r="G3766" s="7" t="n">
        <v>237.843505859375</v>
      </c>
      <c r="H3766" s="6">
        <f>P3735</f>
        <v/>
      </c>
      <c r="I3766" s="9">
        <f>Q3735</f>
        <v/>
      </c>
      <c r="J3766" s="7">
        <f>I3766*G3766</f>
        <v/>
      </c>
      <c r="K3766" s="8">
        <f>IF($J$3783=0,0,J3766/$J$3783)</f>
        <v/>
      </c>
      <c r="L3766" s="6" t="inlineStr">
        <is>
          <t>SELECTED</t>
        </is>
      </c>
      <c r="M3766" s="8" t="n">
        <v>0.2</v>
      </c>
      <c r="N3766" s="7">
        <f>M3766*$J$3783-J3766</f>
        <v/>
      </c>
      <c r="O3766" s="9">
        <f>IF(G3766=0,0,N3766/G3766)</f>
        <v/>
      </c>
      <c r="P3766" s="6">
        <f>IF(M3766&gt;0,D3766,"")</f>
        <v/>
      </c>
      <c r="Q3766" s="9">
        <f>I3766+O3766</f>
        <v/>
      </c>
      <c r="R3766" s="7">
        <f>Q3766*G3766</f>
        <v/>
      </c>
      <c r="S3766" s="8">
        <f>IF($R$3783=0,0,R3766/$R$3783)</f>
        <v/>
      </c>
      <c r="T3766" s="8" t="n">
        <v>0.02272008455517982</v>
      </c>
      <c r="U3766" s="8" t="n">
        <v>0.02997377140900603</v>
      </c>
      <c r="V3766" s="6" t="inlineStr">
        <is>
          <t>remained in weekly selection</t>
        </is>
      </c>
    </row>
    <row r="3767">
      <c r="A3767" s="6" t="inlineStr">
        <is>
          <t>DJ30</t>
        </is>
      </c>
      <c r="B3767" s="6" t="inlineStr">
        <is>
          <t>2025-05-02</t>
        </is>
      </c>
      <c r="C3767" s="6" t="inlineStr">
        <is>
          <t>DIA</t>
        </is>
      </c>
      <c r="D3767" s="6" t="inlineStr">
        <is>
          <t>JNJ</t>
        </is>
      </c>
      <c r="E3767" s="6" t="inlineStr">
        <is>
          <t>JNJ</t>
        </is>
      </c>
      <c r="F3767" s="6" t="inlineStr">
        <is>
          <t>-</t>
        </is>
      </c>
      <c r="G3767" s="7" t="n">
        <v>151.0195770263672</v>
      </c>
      <c r="H3767" s="6">
        <f>P3736</f>
        <v/>
      </c>
      <c r="I3767" s="9">
        <f>Q3736</f>
        <v/>
      </c>
      <c r="J3767" s="7">
        <f>I3767*G3767</f>
        <v/>
      </c>
      <c r="K3767" s="8">
        <f>IF($J$3783=0,0,J3767/$J$3783)</f>
        <v/>
      </c>
      <c r="L3767" s="6" t="inlineStr">
        <is>
          <t>REJECTED</t>
        </is>
      </c>
      <c r="M3767" s="8" t="n">
        <v>0</v>
      </c>
      <c r="N3767" s="7">
        <f>M3767*$J$3783-J3767</f>
        <v/>
      </c>
      <c r="O3767" s="9">
        <f>IF(G3767=0,0,N3767/G3767)</f>
        <v/>
      </c>
      <c r="P3767" s="6">
        <f>IF(M3767&gt;0,D3767,"")</f>
        <v/>
      </c>
      <c r="Q3767" s="9">
        <f>I3767+O3767</f>
        <v/>
      </c>
      <c r="R3767" s="7">
        <f>Q3767*G3767</f>
        <v/>
      </c>
      <c r="S3767" s="8">
        <f>IF($R$3783=0,0,R3767/$R$3783)</f>
        <v/>
      </c>
      <c r="T3767" s="8" t="n">
        <v>0.02272008455517982</v>
      </c>
      <c r="U3767" s="8" t="n">
        <v>0.02997377140900603</v>
      </c>
      <c r="V3767" s="6" t="inlineStr">
        <is>
          <t>not selected</t>
        </is>
      </c>
    </row>
    <row r="3768">
      <c r="A3768" s="6" t="inlineStr">
        <is>
          <t>DJ30</t>
        </is>
      </c>
      <c r="B3768" s="6" t="inlineStr">
        <is>
          <t>2025-05-02</t>
        </is>
      </c>
      <c r="C3768" s="6" t="inlineStr">
        <is>
          <t>DIA</t>
        </is>
      </c>
      <c r="D3768" s="6" t="inlineStr">
        <is>
          <t>JPM</t>
        </is>
      </c>
      <c r="E3768" s="6" t="inlineStr">
        <is>
          <t>JPM</t>
        </is>
      </c>
      <c r="F3768" s="6" t="inlineStr">
        <is>
          <t>-</t>
        </is>
      </c>
      <c r="G3768" s="7" t="n">
        <v>247.6928558349609</v>
      </c>
      <c r="H3768" s="6">
        <f>P3737</f>
        <v/>
      </c>
      <c r="I3768" s="9">
        <f>Q3737</f>
        <v/>
      </c>
      <c r="J3768" s="7">
        <f>I3768*G3768</f>
        <v/>
      </c>
      <c r="K3768" s="8">
        <f>IF($J$3783=0,0,J3768/$J$3783)</f>
        <v/>
      </c>
      <c r="L3768" s="6" t="inlineStr">
        <is>
          <t>WATCHLIST</t>
        </is>
      </c>
      <c r="M3768" s="8" t="n">
        <v>0</v>
      </c>
      <c r="N3768" s="7">
        <f>M3768*$J$3783-J3768</f>
        <v/>
      </c>
      <c r="O3768" s="9">
        <f>IF(G3768=0,0,N3768/G3768)</f>
        <v/>
      </c>
      <c r="P3768" s="6">
        <f>IF(M3768&gt;0,D3768,"")</f>
        <v/>
      </c>
      <c r="Q3768" s="9">
        <f>I3768+O3768</f>
        <v/>
      </c>
      <c r="R3768" s="7">
        <f>Q3768*G3768</f>
        <v/>
      </c>
      <c r="S3768" s="8">
        <f>IF($R$3783=0,0,R3768/$R$3783)</f>
        <v/>
      </c>
      <c r="T3768" s="8" t="n">
        <v>0.02272008455517982</v>
      </c>
      <c r="U3768" s="8" t="n">
        <v>0.02997377140900603</v>
      </c>
      <c r="V3768" s="6" t="inlineStr">
        <is>
          <t>not selected</t>
        </is>
      </c>
    </row>
    <row r="3769">
      <c r="A3769" s="6" t="inlineStr">
        <is>
          <t>DJ30</t>
        </is>
      </c>
      <c r="B3769" s="6" t="inlineStr">
        <is>
          <t>2025-05-02</t>
        </is>
      </c>
      <c r="C3769" s="6" t="inlineStr">
        <is>
          <t>DIA</t>
        </is>
      </c>
      <c r="D3769" s="6" t="inlineStr">
        <is>
          <t>KO</t>
        </is>
      </c>
      <c r="E3769" s="6" t="inlineStr">
        <is>
          <t>KO</t>
        </is>
      </c>
      <c r="F3769" s="6" t="inlineStr">
        <is>
          <t>-</t>
        </is>
      </c>
      <c r="G3769" s="7" t="n">
        <v>69.18480682373047</v>
      </c>
      <c r="H3769" s="6">
        <f>P3738</f>
        <v/>
      </c>
      <c r="I3769" s="9">
        <f>Q3738</f>
        <v/>
      </c>
      <c r="J3769" s="7">
        <f>I3769*G3769</f>
        <v/>
      </c>
      <c r="K3769" s="8">
        <f>IF($J$3783=0,0,J3769/$J$3783)</f>
        <v/>
      </c>
      <c r="L3769" s="6" t="inlineStr">
        <is>
          <t>REJECTED</t>
        </is>
      </c>
      <c r="M3769" s="8" t="n">
        <v>0</v>
      </c>
      <c r="N3769" s="7">
        <f>M3769*$J$3783-J3769</f>
        <v/>
      </c>
      <c r="O3769" s="9">
        <f>IF(G3769=0,0,N3769/G3769)</f>
        <v/>
      </c>
      <c r="P3769" s="6">
        <f>IF(M3769&gt;0,D3769,"")</f>
        <v/>
      </c>
      <c r="Q3769" s="9">
        <f>I3769+O3769</f>
        <v/>
      </c>
      <c r="R3769" s="7">
        <f>Q3769*G3769</f>
        <v/>
      </c>
      <c r="S3769" s="8">
        <f>IF($R$3783=0,0,R3769/$R$3783)</f>
        <v/>
      </c>
      <c r="T3769" s="8" t="n">
        <v>0.02272008455517982</v>
      </c>
      <c r="U3769" s="8" t="n">
        <v>0.02997377140900603</v>
      </c>
      <c r="V3769" s="6" t="inlineStr">
        <is>
          <t>not selected</t>
        </is>
      </c>
    </row>
    <row r="3770">
      <c r="A3770" s="6" t="inlineStr">
        <is>
          <t>DJ30</t>
        </is>
      </c>
      <c r="B3770" s="6" t="inlineStr">
        <is>
          <t>2025-05-02</t>
        </is>
      </c>
      <c r="C3770" s="6" t="inlineStr">
        <is>
          <t>DIA</t>
        </is>
      </c>
      <c r="D3770" s="6" t="inlineStr">
        <is>
          <t>MCD</t>
        </is>
      </c>
      <c r="E3770" s="6" t="inlineStr">
        <is>
          <t>MCD</t>
        </is>
      </c>
      <c r="F3770" s="6" t="inlineStr">
        <is>
          <t>-</t>
        </is>
      </c>
      <c r="G3770" s="7" t="n">
        <v>302.8523254394531</v>
      </c>
      <c r="H3770" s="6">
        <f>P3739</f>
        <v/>
      </c>
      <c r="I3770" s="9">
        <f>Q3739</f>
        <v/>
      </c>
      <c r="J3770" s="7">
        <f>I3770*G3770</f>
        <v/>
      </c>
      <c r="K3770" s="8">
        <f>IF($J$3783=0,0,J3770/$J$3783)</f>
        <v/>
      </c>
      <c r="L3770" s="6" t="inlineStr">
        <is>
          <t>SELECTED</t>
        </is>
      </c>
      <c r="M3770" s="8" t="n">
        <v>0.2</v>
      </c>
      <c r="N3770" s="7">
        <f>M3770*$J$3783-J3770</f>
        <v/>
      </c>
      <c r="O3770" s="9">
        <f>IF(G3770=0,0,N3770/G3770)</f>
        <v/>
      </c>
      <c r="P3770" s="6">
        <f>IF(M3770&gt;0,D3770,"")</f>
        <v/>
      </c>
      <c r="Q3770" s="9">
        <f>I3770+O3770</f>
        <v/>
      </c>
      <c r="R3770" s="7">
        <f>Q3770*G3770</f>
        <v/>
      </c>
      <c r="S3770" s="8">
        <f>IF($R$3783=0,0,R3770/$R$3783)</f>
        <v/>
      </c>
      <c r="T3770" s="8" t="n">
        <v>0.02272008455517982</v>
      </c>
      <c r="U3770" s="8" t="n">
        <v>0.02997377140900603</v>
      </c>
      <c r="V3770" s="6" t="inlineStr">
        <is>
          <t>remained in weekly selection</t>
        </is>
      </c>
    </row>
    <row r="3771">
      <c r="A3771" s="6" t="inlineStr">
        <is>
          <t>DJ30</t>
        </is>
      </c>
      <c r="B3771" s="6" t="inlineStr">
        <is>
          <t>2025-05-02</t>
        </is>
      </c>
      <c r="C3771" s="6" t="inlineStr">
        <is>
          <t>DIA</t>
        </is>
      </c>
      <c r="D3771" s="6" t="inlineStr">
        <is>
          <t>MMM</t>
        </is>
      </c>
      <c r="E3771" s="6" t="inlineStr">
        <is>
          <t>MMM</t>
        </is>
      </c>
      <c r="F3771" s="6" t="inlineStr">
        <is>
          <t>-</t>
        </is>
      </c>
      <c r="G3771" s="7" t="n">
        <v>138.7913208007812</v>
      </c>
      <c r="H3771" s="6">
        <f>P3740</f>
        <v/>
      </c>
      <c r="I3771" s="9">
        <f>Q3740</f>
        <v/>
      </c>
      <c r="J3771" s="7">
        <f>I3771*G3771</f>
        <v/>
      </c>
      <c r="K3771" s="8">
        <f>IF($J$3783=0,0,J3771/$J$3783)</f>
        <v/>
      </c>
      <c r="L3771" s="6" t="inlineStr">
        <is>
          <t>SELECTED</t>
        </is>
      </c>
      <c r="M3771" s="8" t="n">
        <v>0.2</v>
      </c>
      <c r="N3771" s="7">
        <f>M3771*$J$3783-J3771</f>
        <v/>
      </c>
      <c r="O3771" s="9">
        <f>IF(G3771=0,0,N3771/G3771)</f>
        <v/>
      </c>
      <c r="P3771" s="6">
        <f>IF(M3771&gt;0,D3771,"")</f>
        <v/>
      </c>
      <c r="Q3771" s="9">
        <f>I3771+O3771</f>
        <v/>
      </c>
      <c r="R3771" s="7">
        <f>Q3771*G3771</f>
        <v/>
      </c>
      <c r="S3771" s="8">
        <f>IF($R$3783=0,0,R3771/$R$3783)</f>
        <v/>
      </c>
      <c r="T3771" s="8" t="n">
        <v>0.02272008455517982</v>
      </c>
      <c r="U3771" s="8" t="n">
        <v>0.02997377140900603</v>
      </c>
      <c r="V3771" s="6" t="inlineStr">
        <is>
          <t>remained in weekly selection</t>
        </is>
      </c>
    </row>
    <row r="3772">
      <c r="A3772" s="6" t="inlineStr">
        <is>
          <t>DJ30</t>
        </is>
      </c>
      <c r="B3772" s="6" t="inlineStr">
        <is>
          <t>2025-05-02</t>
        </is>
      </c>
      <c r="C3772" s="6" t="inlineStr">
        <is>
          <t>DIA</t>
        </is>
      </c>
      <c r="D3772" s="6" t="inlineStr">
        <is>
          <t>MRK</t>
        </is>
      </c>
      <c r="E3772" s="6" t="inlineStr">
        <is>
          <t>MRK</t>
        </is>
      </c>
      <c r="F3772" s="6" t="inlineStr">
        <is>
          <t>-</t>
        </is>
      </c>
      <c r="G3772" s="7" t="n">
        <v>79.69119262695312</v>
      </c>
      <c r="H3772" s="6">
        <f>P3741</f>
        <v/>
      </c>
      <c r="I3772" s="9">
        <f>Q3741</f>
        <v/>
      </c>
      <c r="J3772" s="7">
        <f>I3772*G3772</f>
        <v/>
      </c>
      <c r="K3772" s="8">
        <f>IF($J$3783=0,0,J3772/$J$3783)</f>
        <v/>
      </c>
      <c r="L3772" s="6" t="inlineStr">
        <is>
          <t>REJECTED</t>
        </is>
      </c>
      <c r="M3772" s="8" t="n">
        <v>0</v>
      </c>
      <c r="N3772" s="7">
        <f>M3772*$J$3783-J3772</f>
        <v/>
      </c>
      <c r="O3772" s="9">
        <f>IF(G3772=0,0,N3772/G3772)</f>
        <v/>
      </c>
      <c r="P3772" s="6">
        <f>IF(M3772&gt;0,D3772,"")</f>
        <v/>
      </c>
      <c r="Q3772" s="9">
        <f>I3772+O3772</f>
        <v/>
      </c>
      <c r="R3772" s="7">
        <f>Q3772*G3772</f>
        <v/>
      </c>
      <c r="S3772" s="8">
        <f>IF($R$3783=0,0,R3772/$R$3783)</f>
        <v/>
      </c>
      <c r="T3772" s="8" t="n">
        <v>0.02272008455517982</v>
      </c>
      <c r="U3772" s="8" t="n">
        <v>0.02997377140900603</v>
      </c>
      <c r="V3772" s="6" t="inlineStr">
        <is>
          <t>not selected</t>
        </is>
      </c>
    </row>
    <row r="3773">
      <c r="A3773" s="6" t="inlineStr">
        <is>
          <t>DJ30</t>
        </is>
      </c>
      <c r="B3773" s="6" t="inlineStr">
        <is>
          <t>2025-05-02</t>
        </is>
      </c>
      <c r="C3773" s="6" t="inlineStr">
        <is>
          <t>DIA</t>
        </is>
      </c>
      <c r="D3773" s="6" t="inlineStr">
        <is>
          <t>MSFT</t>
        </is>
      </c>
      <c r="E3773" s="6" t="inlineStr">
        <is>
          <t>MSFT</t>
        </is>
      </c>
      <c r="F3773" s="6" t="inlineStr">
        <is>
          <t>-</t>
        </is>
      </c>
      <c r="G3773" s="7" t="n">
        <v>431.0393981933594</v>
      </c>
      <c r="H3773" s="6">
        <f>P3742</f>
        <v/>
      </c>
      <c r="I3773" s="9">
        <f>Q3742</f>
        <v/>
      </c>
      <c r="J3773" s="7">
        <f>I3773*G3773</f>
        <v/>
      </c>
      <c r="K3773" s="8">
        <f>IF($J$3783=0,0,J3773/$J$3783)</f>
        <v/>
      </c>
      <c r="L3773" s="6" t="inlineStr">
        <is>
          <t>REJECTED</t>
        </is>
      </c>
      <c r="M3773" s="8" t="n">
        <v>0</v>
      </c>
      <c r="N3773" s="7">
        <f>M3773*$J$3783-J3773</f>
        <v/>
      </c>
      <c r="O3773" s="9">
        <f>IF(G3773=0,0,N3773/G3773)</f>
        <v/>
      </c>
      <c r="P3773" s="6">
        <f>IF(M3773&gt;0,D3773,"")</f>
        <v/>
      </c>
      <c r="Q3773" s="9">
        <f>I3773+O3773</f>
        <v/>
      </c>
      <c r="R3773" s="7">
        <f>Q3773*G3773</f>
        <v/>
      </c>
      <c r="S3773" s="8">
        <f>IF($R$3783=0,0,R3773/$R$3783)</f>
        <v/>
      </c>
      <c r="T3773" s="8" t="n">
        <v>0.02272008455517982</v>
      </c>
      <c r="U3773" s="8" t="n">
        <v>0.02997377140900603</v>
      </c>
      <c r="V3773" s="6" t="inlineStr">
        <is>
          <t>not selected</t>
        </is>
      </c>
    </row>
    <row r="3774">
      <c r="A3774" s="6" t="inlineStr">
        <is>
          <t>DJ30</t>
        </is>
      </c>
      <c r="B3774" s="6" t="inlineStr">
        <is>
          <t>2025-05-02</t>
        </is>
      </c>
      <c r="C3774" s="6" t="inlineStr">
        <is>
          <t>DIA</t>
        </is>
      </c>
      <c r="D3774" s="6" t="inlineStr">
        <is>
          <t>NKE</t>
        </is>
      </c>
      <c r="E3774" s="6" t="inlineStr">
        <is>
          <t>NKE</t>
        </is>
      </c>
      <c r="F3774" s="6" t="inlineStr">
        <is>
          <t>-</t>
        </is>
      </c>
      <c r="G3774" s="7" t="n">
        <v>56.64870834350586</v>
      </c>
      <c r="H3774" s="6">
        <f>P3743</f>
        <v/>
      </c>
      <c r="I3774" s="9">
        <f>Q3743</f>
        <v/>
      </c>
      <c r="J3774" s="7">
        <f>I3774*G3774</f>
        <v/>
      </c>
      <c r="K3774" s="8">
        <f>IF($J$3783=0,0,J3774/$J$3783)</f>
        <v/>
      </c>
      <c r="L3774" s="6" t="inlineStr">
        <is>
          <t>REJECTED</t>
        </is>
      </c>
      <c r="M3774" s="8" t="n">
        <v>0</v>
      </c>
      <c r="N3774" s="7">
        <f>M3774*$J$3783-J3774</f>
        <v/>
      </c>
      <c r="O3774" s="9">
        <f>IF(G3774=0,0,N3774/G3774)</f>
        <v/>
      </c>
      <c r="P3774" s="6">
        <f>IF(M3774&gt;0,D3774,"")</f>
        <v/>
      </c>
      <c r="Q3774" s="9">
        <f>I3774+O3774</f>
        <v/>
      </c>
      <c r="R3774" s="7">
        <f>Q3774*G3774</f>
        <v/>
      </c>
      <c r="S3774" s="8">
        <f>IF($R$3783=0,0,R3774/$R$3783)</f>
        <v/>
      </c>
      <c r="T3774" s="8" t="n">
        <v>0.02272008455517982</v>
      </c>
      <c r="U3774" s="8" t="n">
        <v>0.02997377140900603</v>
      </c>
      <c r="V3774" s="6" t="inlineStr">
        <is>
          <t>not selected</t>
        </is>
      </c>
    </row>
    <row r="3775">
      <c r="A3775" s="6" t="inlineStr">
        <is>
          <t>DJ30</t>
        </is>
      </c>
      <c r="B3775" s="6" t="inlineStr">
        <is>
          <t>2025-05-02</t>
        </is>
      </c>
      <c r="C3775" s="6" t="inlineStr">
        <is>
          <t>DIA</t>
        </is>
      </c>
      <c r="D3775" s="6" t="inlineStr">
        <is>
          <t>NVDA</t>
        </is>
      </c>
      <c r="E3775" s="6" t="inlineStr">
        <is>
          <t>NVDA</t>
        </is>
      </c>
      <c r="F3775" s="6" t="inlineStr">
        <is>
          <t>-</t>
        </is>
      </c>
      <c r="G3775" s="7" t="n">
        <v>114.3397598266602</v>
      </c>
      <c r="H3775" s="6">
        <f>P3744</f>
        <v/>
      </c>
      <c r="I3775" s="9">
        <f>Q3744</f>
        <v/>
      </c>
      <c r="J3775" s="7">
        <f>I3775*G3775</f>
        <v/>
      </c>
      <c r="K3775" s="8">
        <f>IF($J$3783=0,0,J3775/$J$3783)</f>
        <v/>
      </c>
      <c r="L3775" s="6" t="inlineStr">
        <is>
          <t>REJECTED</t>
        </is>
      </c>
      <c r="M3775" s="8" t="n">
        <v>0</v>
      </c>
      <c r="N3775" s="7">
        <f>M3775*$J$3783-J3775</f>
        <v/>
      </c>
      <c r="O3775" s="9">
        <f>IF(G3775=0,0,N3775/G3775)</f>
        <v/>
      </c>
      <c r="P3775" s="6">
        <f>IF(M3775&gt;0,D3775,"")</f>
        <v/>
      </c>
      <c r="Q3775" s="9">
        <f>I3775+O3775</f>
        <v/>
      </c>
      <c r="R3775" s="7">
        <f>Q3775*G3775</f>
        <v/>
      </c>
      <c r="S3775" s="8">
        <f>IF($R$3783=0,0,R3775/$R$3783)</f>
        <v/>
      </c>
      <c r="T3775" s="8" t="n">
        <v>0.02272008455517982</v>
      </c>
      <c r="U3775" s="8" t="n">
        <v>0.02997377140900603</v>
      </c>
      <c r="V3775" s="6" t="inlineStr">
        <is>
          <t>not selected</t>
        </is>
      </c>
    </row>
    <row r="3776">
      <c r="A3776" s="6" t="inlineStr">
        <is>
          <t>DJ30</t>
        </is>
      </c>
      <c r="B3776" s="6" t="inlineStr">
        <is>
          <t>2025-05-02</t>
        </is>
      </c>
      <c r="C3776" s="6" t="inlineStr">
        <is>
          <t>DIA</t>
        </is>
      </c>
      <c r="D3776" s="6" t="inlineStr">
        <is>
          <t>PG</t>
        </is>
      </c>
      <c r="E3776" s="6" t="inlineStr">
        <is>
          <t>PG</t>
        </is>
      </c>
      <c r="F3776" s="6" t="inlineStr">
        <is>
          <t>-</t>
        </is>
      </c>
      <c r="G3776" s="7" t="n">
        <v>156.031494140625</v>
      </c>
      <c r="H3776" s="6">
        <f>P3745</f>
        <v/>
      </c>
      <c r="I3776" s="9">
        <f>Q3745</f>
        <v/>
      </c>
      <c r="J3776" s="7">
        <f>I3776*G3776</f>
        <v/>
      </c>
      <c r="K3776" s="8">
        <f>IF($J$3783=0,0,J3776/$J$3783)</f>
        <v/>
      </c>
      <c r="L3776" s="6" t="inlineStr">
        <is>
          <t>REJECTED</t>
        </is>
      </c>
      <c r="M3776" s="8" t="n">
        <v>0</v>
      </c>
      <c r="N3776" s="7">
        <f>M3776*$J$3783-J3776</f>
        <v/>
      </c>
      <c r="O3776" s="9">
        <f>IF(G3776=0,0,N3776/G3776)</f>
        <v/>
      </c>
      <c r="P3776" s="6">
        <f>IF(M3776&gt;0,D3776,"")</f>
        <v/>
      </c>
      <c r="Q3776" s="9">
        <f>I3776+O3776</f>
        <v/>
      </c>
      <c r="R3776" s="7">
        <f>Q3776*G3776</f>
        <v/>
      </c>
      <c r="S3776" s="8">
        <f>IF($R$3783=0,0,R3776/$R$3783)</f>
        <v/>
      </c>
      <c r="T3776" s="8" t="n">
        <v>0.02272008455517982</v>
      </c>
      <c r="U3776" s="8" t="n">
        <v>0.02997377140900603</v>
      </c>
      <c r="V3776" s="6" t="inlineStr">
        <is>
          <t>not selected</t>
        </is>
      </c>
    </row>
    <row r="3777">
      <c r="A3777" s="6" t="inlineStr">
        <is>
          <t>DJ30</t>
        </is>
      </c>
      <c r="B3777" s="6" t="inlineStr">
        <is>
          <t>2025-05-02</t>
        </is>
      </c>
      <c r="C3777" s="6" t="inlineStr">
        <is>
          <t>DIA</t>
        </is>
      </c>
      <c r="D3777" s="6" t="inlineStr">
        <is>
          <t>SHW</t>
        </is>
      </c>
      <c r="E3777" s="6" t="inlineStr">
        <is>
          <t>SHW</t>
        </is>
      </c>
      <c r="F3777" s="6" t="inlineStr">
        <is>
          <t>-</t>
        </is>
      </c>
      <c r="G3777" s="7" t="n">
        <v>355.5335388183594</v>
      </c>
      <c r="H3777" s="6">
        <f>P3746</f>
        <v/>
      </c>
      <c r="I3777" s="9">
        <f>Q3746</f>
        <v/>
      </c>
      <c r="J3777" s="7">
        <f>I3777*G3777</f>
        <v/>
      </c>
      <c r="K3777" s="8">
        <f>IF($J$3783=0,0,J3777/$J$3783)</f>
        <v/>
      </c>
      <c r="L3777" s="6" t="inlineStr">
        <is>
          <t>REJECTED</t>
        </is>
      </c>
      <c r="M3777" s="8" t="n">
        <v>0</v>
      </c>
      <c r="N3777" s="7">
        <f>M3777*$J$3783-J3777</f>
        <v/>
      </c>
      <c r="O3777" s="9">
        <f>IF(G3777=0,0,N3777/G3777)</f>
        <v/>
      </c>
      <c r="P3777" s="6">
        <f>IF(M3777&gt;0,D3777,"")</f>
        <v/>
      </c>
      <c r="Q3777" s="9">
        <f>I3777+O3777</f>
        <v/>
      </c>
      <c r="R3777" s="7">
        <f>Q3777*G3777</f>
        <v/>
      </c>
      <c r="S3777" s="8">
        <f>IF($R$3783=0,0,R3777/$R$3783)</f>
        <v/>
      </c>
      <c r="T3777" s="8" t="n">
        <v>0.02272008455517982</v>
      </c>
      <c r="U3777" s="8" t="n">
        <v>0.02997377140900603</v>
      </c>
      <c r="V3777" s="6" t="inlineStr">
        <is>
          <t>not selected</t>
        </is>
      </c>
    </row>
    <row r="3778">
      <c r="A3778" s="6" t="inlineStr">
        <is>
          <t>DJ30</t>
        </is>
      </c>
      <c r="B3778" s="6" t="inlineStr">
        <is>
          <t>2025-05-02</t>
        </is>
      </c>
      <c r="C3778" s="6" t="inlineStr">
        <is>
          <t>DIA</t>
        </is>
      </c>
      <c r="D3778" s="6" t="inlineStr">
        <is>
          <t>TRV</t>
        </is>
      </c>
      <c r="E3778" s="6" t="inlineStr">
        <is>
          <t>TRV</t>
        </is>
      </c>
      <c r="F3778" s="6" t="inlineStr">
        <is>
          <t>-</t>
        </is>
      </c>
      <c r="G3778" s="7" t="n">
        <v>262.1410522460937</v>
      </c>
      <c r="H3778" s="6">
        <f>P3747</f>
        <v/>
      </c>
      <c r="I3778" s="9">
        <f>Q3747</f>
        <v/>
      </c>
      <c r="J3778" s="7">
        <f>I3778*G3778</f>
        <v/>
      </c>
      <c r="K3778" s="8">
        <f>IF($J$3783=0,0,J3778/$J$3783)</f>
        <v/>
      </c>
      <c r="L3778" s="6" t="inlineStr">
        <is>
          <t>WATCHLIST</t>
        </is>
      </c>
      <c r="M3778" s="8" t="n">
        <v>0</v>
      </c>
      <c r="N3778" s="7">
        <f>M3778*$J$3783-J3778</f>
        <v/>
      </c>
      <c r="O3778" s="9">
        <f>IF(G3778=0,0,N3778/G3778)</f>
        <v/>
      </c>
      <c r="P3778" s="6">
        <f>IF(M3778&gt;0,D3778,"")</f>
        <v/>
      </c>
      <c r="Q3778" s="9">
        <f>I3778+O3778</f>
        <v/>
      </c>
      <c r="R3778" s="7">
        <f>Q3778*G3778</f>
        <v/>
      </c>
      <c r="S3778" s="8">
        <f>IF($R$3783=0,0,R3778/$R$3783)</f>
        <v/>
      </c>
      <c r="T3778" s="8" t="n">
        <v>0.02272008455517982</v>
      </c>
      <c r="U3778" s="8" t="n">
        <v>0.02997377140900603</v>
      </c>
      <c r="V3778" s="6" t="inlineStr">
        <is>
          <t>not selected</t>
        </is>
      </c>
    </row>
    <row r="3779">
      <c r="A3779" s="6" t="inlineStr">
        <is>
          <t>DJ30</t>
        </is>
      </c>
      <c r="B3779" s="6" t="inlineStr">
        <is>
          <t>2025-05-02</t>
        </is>
      </c>
      <c r="C3779" s="6" t="inlineStr">
        <is>
          <t>DIA</t>
        </is>
      </c>
      <c r="D3779" s="6" t="inlineStr">
        <is>
          <t>UNH</t>
        </is>
      </c>
      <c r="E3779" s="6" t="inlineStr">
        <is>
          <t>UNH</t>
        </is>
      </c>
      <c r="F3779" s="6" t="inlineStr">
        <is>
          <t>-</t>
        </is>
      </c>
      <c r="G3779" s="7" t="n">
        <v>386.7433471679688</v>
      </c>
      <c r="H3779" s="6">
        <f>P3748</f>
        <v/>
      </c>
      <c r="I3779" s="9">
        <f>Q3748</f>
        <v/>
      </c>
      <c r="J3779" s="7">
        <f>I3779*G3779</f>
        <v/>
      </c>
      <c r="K3779" s="8">
        <f>IF($J$3783=0,0,J3779/$J$3783)</f>
        <v/>
      </c>
      <c r="L3779" s="6" t="inlineStr">
        <is>
          <t>REJECTED</t>
        </is>
      </c>
      <c r="M3779" s="8" t="n">
        <v>0</v>
      </c>
      <c r="N3779" s="7">
        <f>M3779*$J$3783-J3779</f>
        <v/>
      </c>
      <c r="O3779" s="9">
        <f>IF(G3779=0,0,N3779/G3779)</f>
        <v/>
      </c>
      <c r="P3779" s="6">
        <f>IF(M3779&gt;0,D3779,"")</f>
        <v/>
      </c>
      <c r="Q3779" s="9">
        <f>I3779+O3779</f>
        <v/>
      </c>
      <c r="R3779" s="7">
        <f>Q3779*G3779</f>
        <v/>
      </c>
      <c r="S3779" s="8">
        <f>IF($R$3783=0,0,R3779/$R$3783)</f>
        <v/>
      </c>
      <c r="T3779" s="8" t="n">
        <v>0.02272008455517982</v>
      </c>
      <c r="U3779" s="8" t="n">
        <v>0.02997377140900603</v>
      </c>
      <c r="V3779" s="6" t="inlineStr">
        <is>
          <t>not selected</t>
        </is>
      </c>
    </row>
    <row r="3780">
      <c r="A3780" s="6" t="inlineStr">
        <is>
          <t>DJ30</t>
        </is>
      </c>
      <c r="B3780" s="6" t="inlineStr">
        <is>
          <t>2025-05-02</t>
        </is>
      </c>
      <c r="C3780" s="6" t="inlineStr">
        <is>
          <t>DIA</t>
        </is>
      </c>
      <c r="D3780" s="6" t="inlineStr">
        <is>
          <t>V</t>
        </is>
      </c>
      <c r="E3780" s="6" t="inlineStr">
        <is>
          <t>V</t>
        </is>
      </c>
      <c r="F3780" s="6" t="inlineStr">
        <is>
          <t>-</t>
        </is>
      </c>
      <c r="G3780" s="7" t="n">
        <v>344.3040771484375</v>
      </c>
      <c r="H3780" s="6">
        <f>P3749</f>
        <v/>
      </c>
      <c r="I3780" s="9">
        <f>Q3749</f>
        <v/>
      </c>
      <c r="J3780" s="7">
        <f>I3780*G3780</f>
        <v/>
      </c>
      <c r="K3780" s="8">
        <f>IF($J$3783=0,0,J3780/$J$3783)</f>
        <v/>
      </c>
      <c r="L3780" s="6" t="inlineStr">
        <is>
          <t>WATCHLIST</t>
        </is>
      </c>
      <c r="M3780" s="8" t="n">
        <v>0</v>
      </c>
      <c r="N3780" s="7">
        <f>M3780*$J$3783-J3780</f>
        <v/>
      </c>
      <c r="O3780" s="9">
        <f>IF(G3780=0,0,N3780/G3780)</f>
        <v/>
      </c>
      <c r="P3780" s="6">
        <f>IF(M3780&gt;0,D3780,"")</f>
        <v/>
      </c>
      <c r="Q3780" s="9">
        <f>I3780+O3780</f>
        <v/>
      </c>
      <c r="R3780" s="7">
        <f>Q3780*G3780</f>
        <v/>
      </c>
      <c r="S3780" s="8">
        <f>IF($R$3783=0,0,R3780/$R$3783)</f>
        <v/>
      </c>
      <c r="T3780" s="8" t="n">
        <v>0.02272008455517982</v>
      </c>
      <c r="U3780" s="8" t="n">
        <v>0.02997377140900603</v>
      </c>
      <c r="V3780" s="6" t="inlineStr">
        <is>
          <t>not selected</t>
        </is>
      </c>
    </row>
    <row r="3781">
      <c r="A3781" s="6" t="inlineStr">
        <is>
          <t>DJ30</t>
        </is>
      </c>
      <c r="B3781" s="6" t="inlineStr">
        <is>
          <t>2025-05-02</t>
        </is>
      </c>
      <c r="C3781" s="6" t="inlineStr">
        <is>
          <t>DIA</t>
        </is>
      </c>
      <c r="D3781" s="6" t="inlineStr">
        <is>
          <t>VZ</t>
        </is>
      </c>
      <c r="E3781" s="6" t="inlineStr">
        <is>
          <t>VZ</t>
        </is>
      </c>
      <c r="F3781" s="6" t="inlineStr">
        <is>
          <t>-</t>
        </is>
      </c>
      <c r="G3781" s="7" t="n">
        <v>40.97859573364258</v>
      </c>
      <c r="H3781" s="6">
        <f>P3750</f>
        <v/>
      </c>
      <c r="I3781" s="9">
        <f>Q3750</f>
        <v/>
      </c>
      <c r="J3781" s="7">
        <f>I3781*G3781</f>
        <v/>
      </c>
      <c r="K3781" s="8">
        <f>IF($J$3783=0,0,J3781/$J$3783)</f>
        <v/>
      </c>
      <c r="L3781" s="6" t="inlineStr">
        <is>
          <t>SELECTED</t>
        </is>
      </c>
      <c r="M3781" s="8" t="n">
        <v>0.2</v>
      </c>
      <c r="N3781" s="7">
        <f>M3781*$J$3783-J3781</f>
        <v/>
      </c>
      <c r="O3781" s="9">
        <f>IF(G3781=0,0,N3781/G3781)</f>
        <v/>
      </c>
      <c r="P3781" s="6">
        <f>IF(M3781&gt;0,D3781,"")</f>
        <v/>
      </c>
      <c r="Q3781" s="9">
        <f>I3781+O3781</f>
        <v/>
      </c>
      <c r="R3781" s="7">
        <f>Q3781*G3781</f>
        <v/>
      </c>
      <c r="S3781" s="8">
        <f>IF($R$3783=0,0,R3781/$R$3783)</f>
        <v/>
      </c>
      <c r="T3781" s="8" t="n">
        <v>0.02272008455517982</v>
      </c>
      <c r="U3781" s="8" t="n">
        <v>0.02997377140900603</v>
      </c>
      <c r="V3781" s="6" t="inlineStr">
        <is>
          <t>entered weekly selection</t>
        </is>
      </c>
    </row>
    <row r="3782">
      <c r="A3782" s="6" t="inlineStr">
        <is>
          <t>DJ30</t>
        </is>
      </c>
      <c r="B3782" s="6" t="inlineStr">
        <is>
          <t>2025-05-02</t>
        </is>
      </c>
      <c r="C3782" s="6" t="inlineStr">
        <is>
          <t>DIA</t>
        </is>
      </c>
      <c r="D3782" s="6" t="inlineStr">
        <is>
          <t>WMT</t>
        </is>
      </c>
      <c r="E3782" s="6" t="inlineStr">
        <is>
          <t>WMT</t>
        </is>
      </c>
      <c r="F3782" s="6" t="inlineStr">
        <is>
          <t>-</t>
        </is>
      </c>
      <c r="G3782" s="7" t="n">
        <v>97.69501495361328</v>
      </c>
      <c r="H3782" s="6">
        <f>P3751</f>
        <v/>
      </c>
      <c r="I3782" s="9">
        <f>Q3751</f>
        <v/>
      </c>
      <c r="J3782" s="7">
        <f>I3782*G3782</f>
        <v/>
      </c>
      <c r="K3782" s="8">
        <f>IF($J$3783=0,0,J3782/$J$3783)</f>
        <v/>
      </c>
      <c r="L3782" s="6" t="inlineStr">
        <is>
          <t>SELECTED</t>
        </is>
      </c>
      <c r="M3782" s="8" t="n">
        <v>0.2</v>
      </c>
      <c r="N3782" s="7">
        <f>M3782*$J$3783-J3782</f>
        <v/>
      </c>
      <c r="O3782" s="9">
        <f>IF(G3782=0,0,N3782/G3782)</f>
        <v/>
      </c>
      <c r="P3782" s="6">
        <f>IF(M3782&gt;0,D3782,"")</f>
        <v/>
      </c>
      <c r="Q3782" s="9">
        <f>I3782+O3782</f>
        <v/>
      </c>
      <c r="R3782" s="7">
        <f>Q3782*G3782</f>
        <v/>
      </c>
      <c r="S3782" s="8">
        <f>IF($R$3783=0,0,R3782/$R$3783)</f>
        <v/>
      </c>
      <c r="T3782" s="8" t="n">
        <v>0.02272008455517982</v>
      </c>
      <c r="U3782" s="8" t="n">
        <v>0.02997377140900603</v>
      </c>
      <c r="V3782" s="6" t="inlineStr">
        <is>
          <t>remained in weekly selection</t>
        </is>
      </c>
    </row>
    <row r="3783">
      <c r="A3783" s="10" t="inlineStr">
        <is>
          <t>DJ30</t>
        </is>
      </c>
      <c r="B3783" s="10" t="inlineStr">
        <is>
          <t>2025-05-02</t>
        </is>
      </c>
      <c r="C3783" s="10" t="inlineStr">
        <is>
          <t>DIA</t>
        </is>
      </c>
      <c r="D3783" s="10" t="inlineStr">
        <is>
          <t>Tot Portfolio</t>
        </is>
      </c>
      <c r="E3783" s="10" t="inlineStr"/>
      <c r="F3783" s="10" t="inlineStr"/>
      <c r="G3783" s="11" t="inlineStr"/>
      <c r="H3783" s="10" t="inlineStr"/>
      <c r="I3783" s="12" t="inlineStr"/>
      <c r="J3783" s="11">
        <f>SUM(J3753:J3782)</f>
        <v/>
      </c>
      <c r="K3783" s="13">
        <f>SUM(K3753:K3782)</f>
        <v/>
      </c>
      <c r="L3783" s="10" t="inlineStr">
        <is>
          <t>TOTAL</t>
        </is>
      </c>
      <c r="M3783" s="13">
        <f>SUM(M3753:M3782)</f>
        <v/>
      </c>
      <c r="N3783" s="11">
        <f>SUM(N3753:N3782)</f>
        <v/>
      </c>
      <c r="O3783" s="12">
        <f>SUM(O3753:O3782)</f>
        <v/>
      </c>
      <c r="P3783" s="10" t="inlineStr"/>
      <c r="Q3783" s="12" t="inlineStr"/>
      <c r="R3783" s="11">
        <f>SUM(R3753:R3782)</f>
        <v/>
      </c>
      <c r="S3783" s="13">
        <f>SUM(S3753:S3782)</f>
        <v/>
      </c>
      <c r="T3783" s="13" t="n">
        <v>0.02272008455517982</v>
      </c>
      <c r="U3783" s="13" t="n">
        <v>0.02997377140900603</v>
      </c>
      <c r="V3783" s="10" t="inlineStr"/>
    </row>
    <row r="3784">
      <c r="A3784" s="6" t="inlineStr">
        <is>
          <t>DJ30</t>
        </is>
      </c>
      <c r="B3784" s="6" t="inlineStr">
        <is>
          <t>2025-05-09</t>
        </is>
      </c>
      <c r="C3784" s="6" t="inlineStr">
        <is>
          <t>DIA</t>
        </is>
      </c>
      <c r="D3784" s="6" t="inlineStr">
        <is>
          <t>AAPL</t>
        </is>
      </c>
      <c r="E3784" s="6" t="inlineStr">
        <is>
          <t>AAPL</t>
        </is>
      </c>
      <c r="F3784" s="6" t="inlineStr">
        <is>
          <t>-</t>
        </is>
      </c>
      <c r="G3784" s="7" t="n">
        <v>197.4865264892578</v>
      </c>
      <c r="H3784" s="6">
        <f>P3753</f>
        <v/>
      </c>
      <c r="I3784" s="9">
        <f>Q3753</f>
        <v/>
      </c>
      <c r="J3784" s="7">
        <f>I3784*G3784</f>
        <v/>
      </c>
      <c r="K3784" s="8">
        <f>IF($J$3814=0,0,J3784/$J$3814)</f>
        <v/>
      </c>
      <c r="L3784" s="6" t="inlineStr">
        <is>
          <t>REJECTED</t>
        </is>
      </c>
      <c r="M3784" s="8" t="n">
        <v>0</v>
      </c>
      <c r="N3784" s="7">
        <f>M3784*$J$3814-J3784</f>
        <v/>
      </c>
      <c r="O3784" s="9">
        <f>IF(G3784=0,0,N3784/G3784)</f>
        <v/>
      </c>
      <c r="P3784" s="6">
        <f>IF(M3784&gt;0,D3784,"")</f>
        <v/>
      </c>
      <c r="Q3784" s="9">
        <f>I3784+O3784</f>
        <v/>
      </c>
      <c r="R3784" s="7">
        <f>Q3784*G3784</f>
        <v/>
      </c>
      <c r="S3784" s="8">
        <f>IF($R$3814=0,0,R3784/$R$3814)</f>
        <v/>
      </c>
      <c r="T3784" s="8" t="n">
        <v>0.001726073556328478</v>
      </c>
      <c r="U3784" s="8" t="n">
        <v>-0.001501133811087407</v>
      </c>
      <c r="V3784" s="6" t="inlineStr">
        <is>
          <t>not selected</t>
        </is>
      </c>
    </row>
    <row r="3785">
      <c r="A3785" s="6" t="inlineStr">
        <is>
          <t>DJ30</t>
        </is>
      </c>
      <c r="B3785" s="6" t="inlineStr">
        <is>
          <t>2025-05-09</t>
        </is>
      </c>
      <c r="C3785" s="6" t="inlineStr">
        <is>
          <t>DIA</t>
        </is>
      </c>
      <c r="D3785" s="6" t="inlineStr">
        <is>
          <t>AMGN</t>
        </is>
      </c>
      <c r="E3785" s="6" t="inlineStr">
        <is>
          <t>AMGN</t>
        </is>
      </c>
      <c r="F3785" s="6" t="inlineStr">
        <is>
          <t>-</t>
        </is>
      </c>
      <c r="G3785" s="7" t="n">
        <v>255.8410339355469</v>
      </c>
      <c r="H3785" s="6">
        <f>P3754</f>
        <v/>
      </c>
      <c r="I3785" s="9">
        <f>Q3754</f>
        <v/>
      </c>
      <c r="J3785" s="7">
        <f>I3785*G3785</f>
        <v/>
      </c>
      <c r="K3785" s="8">
        <f>IF($J$3814=0,0,J3785/$J$3814)</f>
        <v/>
      </c>
      <c r="L3785" s="6" t="inlineStr">
        <is>
          <t>REJECTED</t>
        </is>
      </c>
      <c r="M3785" s="8" t="n">
        <v>0</v>
      </c>
      <c r="N3785" s="7">
        <f>M3785*$J$3814-J3785</f>
        <v/>
      </c>
      <c r="O3785" s="9">
        <f>IF(G3785=0,0,N3785/G3785)</f>
        <v/>
      </c>
      <c r="P3785" s="6">
        <f>IF(M3785&gt;0,D3785,"")</f>
        <v/>
      </c>
      <c r="Q3785" s="9">
        <f>I3785+O3785</f>
        <v/>
      </c>
      <c r="R3785" s="7">
        <f>Q3785*G3785</f>
        <v/>
      </c>
      <c r="S3785" s="8">
        <f>IF($R$3814=0,0,R3785/$R$3814)</f>
        <v/>
      </c>
      <c r="T3785" s="8" t="n">
        <v>0.001726073556328478</v>
      </c>
      <c r="U3785" s="8" t="n">
        <v>-0.001501133811087407</v>
      </c>
      <c r="V3785" s="6" t="inlineStr">
        <is>
          <t>not selected</t>
        </is>
      </c>
    </row>
    <row r="3786">
      <c r="A3786" s="6" t="inlineStr">
        <is>
          <t>DJ30</t>
        </is>
      </c>
      <c r="B3786" s="6" t="inlineStr">
        <is>
          <t>2025-05-09</t>
        </is>
      </c>
      <c r="C3786" s="6" t="inlineStr">
        <is>
          <t>DIA</t>
        </is>
      </c>
      <c r="D3786" s="6" t="inlineStr">
        <is>
          <t>AMZN</t>
        </is>
      </c>
      <c r="E3786" s="6" t="inlineStr">
        <is>
          <t>AMZN</t>
        </is>
      </c>
      <c r="F3786" s="6" t="inlineStr">
        <is>
          <t>-</t>
        </is>
      </c>
      <c r="G3786" s="7" t="n">
        <v>193.0599975585937</v>
      </c>
      <c r="H3786" s="6">
        <f>P3755</f>
        <v/>
      </c>
      <c r="I3786" s="9">
        <f>Q3755</f>
        <v/>
      </c>
      <c r="J3786" s="7">
        <f>I3786*G3786</f>
        <v/>
      </c>
      <c r="K3786" s="8">
        <f>IF($J$3814=0,0,J3786/$J$3814)</f>
        <v/>
      </c>
      <c r="L3786" s="6" t="inlineStr">
        <is>
          <t>REJECTED</t>
        </is>
      </c>
      <c r="M3786" s="8" t="n">
        <v>0</v>
      </c>
      <c r="N3786" s="7">
        <f>M3786*$J$3814-J3786</f>
        <v/>
      </c>
      <c r="O3786" s="9">
        <f>IF(G3786=0,0,N3786/G3786)</f>
        <v/>
      </c>
      <c r="P3786" s="6">
        <f>IF(M3786&gt;0,D3786,"")</f>
        <v/>
      </c>
      <c r="Q3786" s="9">
        <f>I3786+O3786</f>
        <v/>
      </c>
      <c r="R3786" s="7">
        <f>Q3786*G3786</f>
        <v/>
      </c>
      <c r="S3786" s="8">
        <f>IF($R$3814=0,0,R3786/$R$3814)</f>
        <v/>
      </c>
      <c r="T3786" s="8" t="n">
        <v>0.001726073556328478</v>
      </c>
      <c r="U3786" s="8" t="n">
        <v>-0.001501133811087407</v>
      </c>
      <c r="V3786" s="6" t="inlineStr">
        <is>
          <t>not selected</t>
        </is>
      </c>
    </row>
    <row r="3787">
      <c r="A3787" s="6" t="inlineStr">
        <is>
          <t>DJ30</t>
        </is>
      </c>
      <c r="B3787" s="6" t="inlineStr">
        <is>
          <t>2025-05-09</t>
        </is>
      </c>
      <c r="C3787" s="6" t="inlineStr">
        <is>
          <t>DIA</t>
        </is>
      </c>
      <c r="D3787" s="6" t="inlineStr">
        <is>
          <t>AXP</t>
        </is>
      </c>
      <c r="E3787" s="6" t="inlineStr">
        <is>
          <t>AXP</t>
        </is>
      </c>
      <c r="F3787" s="6" t="inlineStr">
        <is>
          <t>-</t>
        </is>
      </c>
      <c r="G3787" s="7" t="n">
        <v>281.5587158203125</v>
      </c>
      <c r="H3787" s="6">
        <f>P3756</f>
        <v/>
      </c>
      <c r="I3787" s="9">
        <f>Q3756</f>
        <v/>
      </c>
      <c r="J3787" s="7">
        <f>I3787*G3787</f>
        <v/>
      </c>
      <c r="K3787" s="8">
        <f>IF($J$3814=0,0,J3787/$J$3814)</f>
        <v/>
      </c>
      <c r="L3787" s="6" t="inlineStr">
        <is>
          <t>WATCHLIST</t>
        </is>
      </c>
      <c r="M3787" s="8" t="n">
        <v>0</v>
      </c>
      <c r="N3787" s="7">
        <f>M3787*$J$3814-J3787</f>
        <v/>
      </c>
      <c r="O3787" s="9">
        <f>IF(G3787=0,0,N3787/G3787)</f>
        <v/>
      </c>
      <c r="P3787" s="6">
        <f>IF(M3787&gt;0,D3787,"")</f>
        <v/>
      </c>
      <c r="Q3787" s="9">
        <f>I3787+O3787</f>
        <v/>
      </c>
      <c r="R3787" s="7">
        <f>Q3787*G3787</f>
        <v/>
      </c>
      <c r="S3787" s="8">
        <f>IF($R$3814=0,0,R3787/$R$3814)</f>
        <v/>
      </c>
      <c r="T3787" s="8" t="n">
        <v>0.001726073556328478</v>
      </c>
      <c r="U3787" s="8" t="n">
        <v>-0.001501133811087407</v>
      </c>
      <c r="V3787" s="6" t="inlineStr">
        <is>
          <t>not selected</t>
        </is>
      </c>
    </row>
    <row r="3788">
      <c r="A3788" s="6" t="inlineStr">
        <is>
          <t>DJ30</t>
        </is>
      </c>
      <c r="B3788" s="6" t="inlineStr">
        <is>
          <t>2025-05-09</t>
        </is>
      </c>
      <c r="C3788" s="6" t="inlineStr">
        <is>
          <t>DIA</t>
        </is>
      </c>
      <c r="D3788" s="6" t="inlineStr">
        <is>
          <t>BA</t>
        </is>
      </c>
      <c r="E3788" s="6" t="inlineStr">
        <is>
          <t>BA</t>
        </is>
      </c>
      <c r="F3788" s="6" t="inlineStr">
        <is>
          <t>-</t>
        </is>
      </c>
      <c r="G3788" s="7" t="n">
        <v>194.8500061035156</v>
      </c>
      <c r="H3788" s="6">
        <f>P3757</f>
        <v/>
      </c>
      <c r="I3788" s="9">
        <f>Q3757</f>
        <v/>
      </c>
      <c r="J3788" s="7">
        <f>I3788*G3788</f>
        <v/>
      </c>
      <c r="K3788" s="8">
        <f>IF($J$3814=0,0,J3788/$J$3814)</f>
        <v/>
      </c>
      <c r="L3788" s="6" t="inlineStr">
        <is>
          <t>REJECTED</t>
        </is>
      </c>
      <c r="M3788" s="8" t="n">
        <v>0</v>
      </c>
      <c r="N3788" s="7">
        <f>M3788*$J$3814-J3788</f>
        <v/>
      </c>
      <c r="O3788" s="9">
        <f>IF(G3788=0,0,N3788/G3788)</f>
        <v/>
      </c>
      <c r="P3788" s="6">
        <f>IF(M3788&gt;0,D3788,"")</f>
        <v/>
      </c>
      <c r="Q3788" s="9">
        <f>I3788+O3788</f>
        <v/>
      </c>
      <c r="R3788" s="7">
        <f>Q3788*G3788</f>
        <v/>
      </c>
      <c r="S3788" s="8">
        <f>IF($R$3814=0,0,R3788/$R$3814)</f>
        <v/>
      </c>
      <c r="T3788" s="8" t="n">
        <v>0.001726073556328478</v>
      </c>
      <c r="U3788" s="8" t="n">
        <v>-0.001501133811087407</v>
      </c>
      <c r="V3788" s="6" t="inlineStr">
        <is>
          <t>not selected</t>
        </is>
      </c>
    </row>
    <row r="3789">
      <c r="A3789" s="6" t="inlineStr">
        <is>
          <t>DJ30</t>
        </is>
      </c>
      <c r="B3789" s="6" t="inlineStr">
        <is>
          <t>2025-05-09</t>
        </is>
      </c>
      <c r="C3789" s="6" t="inlineStr">
        <is>
          <t>DIA</t>
        </is>
      </c>
      <c r="D3789" s="6" t="inlineStr">
        <is>
          <t>CAT</t>
        </is>
      </c>
      <c r="E3789" s="6" t="inlineStr">
        <is>
          <t>CAT</t>
        </is>
      </c>
      <c r="F3789" s="6" t="inlineStr">
        <is>
          <t>-</t>
        </is>
      </c>
      <c r="G3789" s="7" t="n">
        <v>322.1336364746094</v>
      </c>
      <c r="H3789" s="6">
        <f>P3758</f>
        <v/>
      </c>
      <c r="I3789" s="9">
        <f>Q3758</f>
        <v/>
      </c>
      <c r="J3789" s="7">
        <f>I3789*G3789</f>
        <v/>
      </c>
      <c r="K3789" s="8">
        <f>IF($J$3814=0,0,J3789/$J$3814)</f>
        <v/>
      </c>
      <c r="L3789" s="6" t="inlineStr">
        <is>
          <t>REJECTED</t>
        </is>
      </c>
      <c r="M3789" s="8" t="n">
        <v>0</v>
      </c>
      <c r="N3789" s="7">
        <f>M3789*$J$3814-J3789</f>
        <v/>
      </c>
      <c r="O3789" s="9">
        <f>IF(G3789=0,0,N3789/G3789)</f>
        <v/>
      </c>
      <c r="P3789" s="6">
        <f>IF(M3789&gt;0,D3789,"")</f>
        <v/>
      </c>
      <c r="Q3789" s="9">
        <f>I3789+O3789</f>
        <v/>
      </c>
      <c r="R3789" s="7">
        <f>Q3789*G3789</f>
        <v/>
      </c>
      <c r="S3789" s="8">
        <f>IF($R$3814=0,0,R3789/$R$3814)</f>
        <v/>
      </c>
      <c r="T3789" s="8" t="n">
        <v>0.001726073556328478</v>
      </c>
      <c r="U3789" s="8" t="n">
        <v>-0.001501133811087407</v>
      </c>
      <c r="V3789" s="6" t="inlineStr">
        <is>
          <t>not selected</t>
        </is>
      </c>
    </row>
    <row r="3790">
      <c r="A3790" s="6" t="inlineStr">
        <is>
          <t>DJ30</t>
        </is>
      </c>
      <c r="B3790" s="6" t="inlineStr">
        <is>
          <t>2025-05-09</t>
        </is>
      </c>
      <c r="C3790" s="6" t="inlineStr">
        <is>
          <t>DIA</t>
        </is>
      </c>
      <c r="D3790" s="6" t="inlineStr">
        <is>
          <t>CRM</t>
        </is>
      </c>
      <c r="E3790" s="6" t="inlineStr">
        <is>
          <t>CRM</t>
        </is>
      </c>
      <c r="F3790" s="6" t="inlineStr">
        <is>
          <t>-</t>
        </is>
      </c>
      <c r="G3790" s="7" t="n">
        <v>272.6761169433594</v>
      </c>
      <c r="H3790" s="6">
        <f>P3759</f>
        <v/>
      </c>
      <c r="I3790" s="9">
        <f>Q3759</f>
        <v/>
      </c>
      <c r="J3790" s="7">
        <f>I3790*G3790</f>
        <v/>
      </c>
      <c r="K3790" s="8">
        <f>IF($J$3814=0,0,J3790/$J$3814)</f>
        <v/>
      </c>
      <c r="L3790" s="6" t="inlineStr">
        <is>
          <t>REJECTED</t>
        </is>
      </c>
      <c r="M3790" s="8" t="n">
        <v>0</v>
      </c>
      <c r="N3790" s="7">
        <f>M3790*$J$3814-J3790</f>
        <v/>
      </c>
      <c r="O3790" s="9">
        <f>IF(G3790=0,0,N3790/G3790)</f>
        <v/>
      </c>
      <c r="P3790" s="6">
        <f>IF(M3790&gt;0,D3790,"")</f>
        <v/>
      </c>
      <c r="Q3790" s="9">
        <f>I3790+O3790</f>
        <v/>
      </c>
      <c r="R3790" s="7">
        <f>Q3790*G3790</f>
        <v/>
      </c>
      <c r="S3790" s="8">
        <f>IF($R$3814=0,0,R3790/$R$3814)</f>
        <v/>
      </c>
      <c r="T3790" s="8" t="n">
        <v>0.001726073556328478</v>
      </c>
      <c r="U3790" s="8" t="n">
        <v>-0.001501133811087407</v>
      </c>
      <c r="V3790" s="6" t="inlineStr">
        <is>
          <t>not selected</t>
        </is>
      </c>
    </row>
    <row r="3791">
      <c r="A3791" s="6" t="inlineStr">
        <is>
          <t>DJ30</t>
        </is>
      </c>
      <c r="B3791" s="6" t="inlineStr">
        <is>
          <t>2025-05-09</t>
        </is>
      </c>
      <c r="C3791" s="6" t="inlineStr">
        <is>
          <t>DIA</t>
        </is>
      </c>
      <c r="D3791" s="6" t="inlineStr">
        <is>
          <t>CSCO</t>
        </is>
      </c>
      <c r="E3791" s="6" t="inlineStr">
        <is>
          <t>CSCO</t>
        </is>
      </c>
      <c r="F3791" s="6" t="inlineStr">
        <is>
          <t>-</t>
        </is>
      </c>
      <c r="G3791" s="7" t="n">
        <v>58.42520523071289</v>
      </c>
      <c r="H3791" s="6">
        <f>P3760</f>
        <v/>
      </c>
      <c r="I3791" s="9">
        <f>Q3760</f>
        <v/>
      </c>
      <c r="J3791" s="7">
        <f>I3791*G3791</f>
        <v/>
      </c>
      <c r="K3791" s="8">
        <f>IF($J$3814=0,0,J3791/$J$3814)</f>
        <v/>
      </c>
      <c r="L3791" s="6" t="inlineStr">
        <is>
          <t>WATCHLIST</t>
        </is>
      </c>
      <c r="M3791" s="8" t="n">
        <v>0</v>
      </c>
      <c r="N3791" s="7">
        <f>M3791*$J$3814-J3791</f>
        <v/>
      </c>
      <c r="O3791" s="9">
        <f>IF(G3791=0,0,N3791/G3791)</f>
        <v/>
      </c>
      <c r="P3791" s="6">
        <f>IF(M3791&gt;0,D3791,"")</f>
        <v/>
      </c>
      <c r="Q3791" s="9">
        <f>I3791+O3791</f>
        <v/>
      </c>
      <c r="R3791" s="7">
        <f>Q3791*G3791</f>
        <v/>
      </c>
      <c r="S3791" s="8">
        <f>IF($R$3814=0,0,R3791/$R$3814)</f>
        <v/>
      </c>
      <c r="T3791" s="8" t="n">
        <v>0.001726073556328478</v>
      </c>
      <c r="U3791" s="8" t="n">
        <v>-0.001501133811087407</v>
      </c>
      <c r="V3791" s="6" t="inlineStr">
        <is>
          <t>not selected</t>
        </is>
      </c>
    </row>
    <row r="3792">
      <c r="A3792" s="6" t="inlineStr">
        <is>
          <t>DJ30</t>
        </is>
      </c>
      <c r="B3792" s="6" t="inlineStr">
        <is>
          <t>2025-05-09</t>
        </is>
      </c>
      <c r="C3792" s="6" t="inlineStr">
        <is>
          <t>DIA</t>
        </is>
      </c>
      <c r="D3792" s="6" t="inlineStr">
        <is>
          <t>CVX</t>
        </is>
      </c>
      <c r="E3792" s="6" t="inlineStr">
        <is>
          <t>CVX</t>
        </is>
      </c>
      <c r="F3792" s="6" t="inlineStr">
        <is>
          <t>-</t>
        </is>
      </c>
      <c r="G3792" s="7" t="n">
        <v>131.3232727050781</v>
      </c>
      <c r="H3792" s="6">
        <f>P3761</f>
        <v/>
      </c>
      <c r="I3792" s="9">
        <f>Q3761</f>
        <v/>
      </c>
      <c r="J3792" s="7">
        <f>I3792*G3792</f>
        <v/>
      </c>
      <c r="K3792" s="8">
        <f>IF($J$3814=0,0,J3792/$J$3814)</f>
        <v/>
      </c>
      <c r="L3792" s="6" t="inlineStr">
        <is>
          <t>REJECTED</t>
        </is>
      </c>
      <c r="M3792" s="8" t="n">
        <v>0</v>
      </c>
      <c r="N3792" s="7">
        <f>M3792*$J$3814-J3792</f>
        <v/>
      </c>
      <c r="O3792" s="9">
        <f>IF(G3792=0,0,N3792/G3792)</f>
        <v/>
      </c>
      <c r="P3792" s="6">
        <f>IF(M3792&gt;0,D3792,"")</f>
        <v/>
      </c>
      <c r="Q3792" s="9">
        <f>I3792+O3792</f>
        <v/>
      </c>
      <c r="R3792" s="7">
        <f>Q3792*G3792</f>
        <v/>
      </c>
      <c r="S3792" s="8">
        <f>IF($R$3814=0,0,R3792/$R$3814)</f>
        <v/>
      </c>
      <c r="T3792" s="8" t="n">
        <v>0.001726073556328478</v>
      </c>
      <c r="U3792" s="8" t="n">
        <v>-0.001501133811087407</v>
      </c>
      <c r="V3792" s="6" t="inlineStr">
        <is>
          <t>not selected</t>
        </is>
      </c>
    </row>
    <row r="3793">
      <c r="A3793" s="6" t="inlineStr">
        <is>
          <t>DJ30</t>
        </is>
      </c>
      <c r="B3793" s="6" t="inlineStr">
        <is>
          <t>2025-05-09</t>
        </is>
      </c>
      <c r="C3793" s="6" t="inlineStr">
        <is>
          <t>DIA</t>
        </is>
      </c>
      <c r="D3793" s="6" t="inlineStr">
        <is>
          <t>DIS</t>
        </is>
      </c>
      <c r="E3793" s="6" t="inlineStr">
        <is>
          <t>DIS</t>
        </is>
      </c>
      <c r="F3793" s="6" t="inlineStr">
        <is>
          <t>-</t>
        </is>
      </c>
      <c r="G3793" s="7" t="n">
        <v>104.7812118530273</v>
      </c>
      <c r="H3793" s="6">
        <f>P3762</f>
        <v/>
      </c>
      <c r="I3793" s="9">
        <f>Q3762</f>
        <v/>
      </c>
      <c r="J3793" s="7">
        <f>I3793*G3793</f>
        <v/>
      </c>
      <c r="K3793" s="8">
        <f>IF($J$3814=0,0,J3793/$J$3814)</f>
        <v/>
      </c>
      <c r="L3793" s="6" t="inlineStr">
        <is>
          <t>REJECTED</t>
        </is>
      </c>
      <c r="M3793" s="8" t="n">
        <v>0</v>
      </c>
      <c r="N3793" s="7">
        <f>M3793*$J$3814-J3793</f>
        <v/>
      </c>
      <c r="O3793" s="9">
        <f>IF(G3793=0,0,N3793/G3793)</f>
        <v/>
      </c>
      <c r="P3793" s="6">
        <f>IF(M3793&gt;0,D3793,"")</f>
        <v/>
      </c>
      <c r="Q3793" s="9">
        <f>I3793+O3793</f>
        <v/>
      </c>
      <c r="R3793" s="7">
        <f>Q3793*G3793</f>
        <v/>
      </c>
      <c r="S3793" s="8">
        <f>IF($R$3814=0,0,R3793/$R$3814)</f>
        <v/>
      </c>
      <c r="T3793" s="8" t="n">
        <v>0.001726073556328478</v>
      </c>
      <c r="U3793" s="8" t="n">
        <v>-0.001501133811087407</v>
      </c>
      <c r="V3793" s="6" t="inlineStr">
        <is>
          <t>not selected</t>
        </is>
      </c>
    </row>
    <row r="3794">
      <c r="A3794" s="6" t="inlineStr">
        <is>
          <t>DJ30</t>
        </is>
      </c>
      <c r="B3794" s="6" t="inlineStr">
        <is>
          <t>2025-05-09</t>
        </is>
      </c>
      <c r="C3794" s="6" t="inlineStr">
        <is>
          <t>DIA</t>
        </is>
      </c>
      <c r="D3794" s="6" t="inlineStr">
        <is>
          <t>GS</t>
        </is>
      </c>
      <c r="E3794" s="6" t="inlineStr">
        <is>
          <t>GS</t>
        </is>
      </c>
      <c r="F3794" s="6" t="inlineStr">
        <is>
          <t>-</t>
        </is>
      </c>
      <c r="G3794" s="7" t="n">
        <v>553.1519775390625</v>
      </c>
      <c r="H3794" s="6">
        <f>P3763</f>
        <v/>
      </c>
      <c r="I3794" s="9">
        <f>Q3763</f>
        <v/>
      </c>
      <c r="J3794" s="7">
        <f>I3794*G3794</f>
        <v/>
      </c>
      <c r="K3794" s="8">
        <f>IF($J$3814=0,0,J3794/$J$3814)</f>
        <v/>
      </c>
      <c r="L3794" s="6" t="inlineStr">
        <is>
          <t>WATCHLIST</t>
        </is>
      </c>
      <c r="M3794" s="8" t="n">
        <v>0</v>
      </c>
      <c r="N3794" s="7">
        <f>M3794*$J$3814-J3794</f>
        <v/>
      </c>
      <c r="O3794" s="9">
        <f>IF(G3794=0,0,N3794/G3794)</f>
        <v/>
      </c>
      <c r="P3794" s="6">
        <f>IF(M3794&gt;0,D3794,"")</f>
        <v/>
      </c>
      <c r="Q3794" s="9">
        <f>I3794+O3794</f>
        <v/>
      </c>
      <c r="R3794" s="7">
        <f>Q3794*G3794</f>
        <v/>
      </c>
      <c r="S3794" s="8">
        <f>IF($R$3814=0,0,R3794/$R$3814)</f>
        <v/>
      </c>
      <c r="T3794" s="8" t="n">
        <v>0.001726073556328478</v>
      </c>
      <c r="U3794" s="8" t="n">
        <v>-0.001501133811087407</v>
      </c>
      <c r="V3794" s="6" t="inlineStr">
        <is>
          <t>not selected</t>
        </is>
      </c>
    </row>
    <row r="3795">
      <c r="A3795" s="6" t="inlineStr">
        <is>
          <t>DJ30</t>
        </is>
      </c>
      <c r="B3795" s="6" t="inlineStr">
        <is>
          <t>2025-05-09</t>
        </is>
      </c>
      <c r="C3795" s="6" t="inlineStr">
        <is>
          <t>DIA</t>
        </is>
      </c>
      <c r="D3795" s="6" t="inlineStr">
        <is>
          <t>HD</t>
        </is>
      </c>
      <c r="E3795" s="6" t="inlineStr">
        <is>
          <t>HD</t>
        </is>
      </c>
      <c r="F3795" s="6" t="inlineStr">
        <is>
          <t>-</t>
        </is>
      </c>
      <c r="G3795" s="7" t="n">
        <v>351.134033203125</v>
      </c>
      <c r="H3795" s="6">
        <f>P3764</f>
        <v/>
      </c>
      <c r="I3795" s="9">
        <f>Q3764</f>
        <v/>
      </c>
      <c r="J3795" s="7">
        <f>I3795*G3795</f>
        <v/>
      </c>
      <c r="K3795" s="8">
        <f>IF($J$3814=0,0,J3795/$J$3814)</f>
        <v/>
      </c>
      <c r="L3795" s="6" t="inlineStr">
        <is>
          <t>REJECTED</t>
        </is>
      </c>
      <c r="M3795" s="8" t="n">
        <v>0</v>
      </c>
      <c r="N3795" s="7">
        <f>M3795*$J$3814-J3795</f>
        <v/>
      </c>
      <c r="O3795" s="9">
        <f>IF(G3795=0,0,N3795/G3795)</f>
        <v/>
      </c>
      <c r="P3795" s="6">
        <f>IF(M3795&gt;0,D3795,"")</f>
        <v/>
      </c>
      <c r="Q3795" s="9">
        <f>I3795+O3795</f>
        <v/>
      </c>
      <c r="R3795" s="7">
        <f>Q3795*G3795</f>
        <v/>
      </c>
      <c r="S3795" s="8">
        <f>IF($R$3814=0,0,R3795/$R$3814)</f>
        <v/>
      </c>
      <c r="T3795" s="8" t="n">
        <v>0.001726073556328478</v>
      </c>
      <c r="U3795" s="8" t="n">
        <v>-0.001501133811087407</v>
      </c>
      <c r="V3795" s="6" t="inlineStr">
        <is>
          <t>not selected</t>
        </is>
      </c>
    </row>
    <row r="3796">
      <c r="A3796" s="6" t="inlineStr">
        <is>
          <t>DJ30</t>
        </is>
      </c>
      <c r="B3796" s="6" t="inlineStr">
        <is>
          <t>2025-05-09</t>
        </is>
      </c>
      <c r="C3796" s="6" t="inlineStr">
        <is>
          <t>DIA</t>
        </is>
      </c>
      <c r="D3796" s="6" t="inlineStr">
        <is>
          <t>HON</t>
        </is>
      </c>
      <c r="E3796" s="6" t="inlineStr">
        <is>
          <t>HON</t>
        </is>
      </c>
      <c r="F3796" s="6" t="inlineStr">
        <is>
          <t>-</t>
        </is>
      </c>
      <c r="G3796" s="7" t="n">
        <v>195.4936218261719</v>
      </c>
      <c r="H3796" s="6">
        <f>P3765</f>
        <v/>
      </c>
      <c r="I3796" s="9">
        <f>Q3765</f>
        <v/>
      </c>
      <c r="J3796" s="7">
        <f>I3796*G3796</f>
        <v/>
      </c>
      <c r="K3796" s="8">
        <f>IF($J$3814=0,0,J3796/$J$3814)</f>
        <v/>
      </c>
      <c r="L3796" s="6" t="inlineStr">
        <is>
          <t>REJECTED</t>
        </is>
      </c>
      <c r="M3796" s="8" t="n">
        <v>0</v>
      </c>
      <c r="N3796" s="7">
        <f>M3796*$J$3814-J3796</f>
        <v/>
      </c>
      <c r="O3796" s="9">
        <f>IF(G3796=0,0,N3796/G3796)</f>
        <v/>
      </c>
      <c r="P3796" s="6">
        <f>IF(M3796&gt;0,D3796,"")</f>
        <v/>
      </c>
      <c r="Q3796" s="9">
        <f>I3796+O3796</f>
        <v/>
      </c>
      <c r="R3796" s="7">
        <f>Q3796*G3796</f>
        <v/>
      </c>
      <c r="S3796" s="8">
        <f>IF($R$3814=0,0,R3796/$R$3814)</f>
        <v/>
      </c>
      <c r="T3796" s="8" t="n">
        <v>0.001726073556328478</v>
      </c>
      <c r="U3796" s="8" t="n">
        <v>-0.001501133811087407</v>
      </c>
      <c r="V3796" s="6" t="inlineStr">
        <is>
          <t>not selected</t>
        </is>
      </c>
    </row>
    <row r="3797">
      <c r="A3797" s="6" t="inlineStr">
        <is>
          <t>DJ30</t>
        </is>
      </c>
      <c r="B3797" s="6" t="inlineStr">
        <is>
          <t>2025-05-09</t>
        </is>
      </c>
      <c r="C3797" s="6" t="inlineStr">
        <is>
          <t>DIA</t>
        </is>
      </c>
      <c r="D3797" s="6" t="inlineStr">
        <is>
          <t>IBM</t>
        </is>
      </c>
      <c r="E3797" s="6" t="inlineStr">
        <is>
          <t>IBM</t>
        </is>
      </c>
      <c r="F3797" s="6" t="inlineStr">
        <is>
          <t>-</t>
        </is>
      </c>
      <c r="G3797" s="7" t="n">
        <v>242.9852142333984</v>
      </c>
      <c r="H3797" s="6">
        <f>P3766</f>
        <v/>
      </c>
      <c r="I3797" s="9">
        <f>Q3766</f>
        <v/>
      </c>
      <c r="J3797" s="7">
        <f>I3797*G3797</f>
        <v/>
      </c>
      <c r="K3797" s="8">
        <f>IF($J$3814=0,0,J3797/$J$3814)</f>
        <v/>
      </c>
      <c r="L3797" s="6" t="inlineStr">
        <is>
          <t>SELECTED</t>
        </is>
      </c>
      <c r="M3797" s="8" t="n">
        <v>0.2</v>
      </c>
      <c r="N3797" s="7">
        <f>M3797*$J$3814-J3797</f>
        <v/>
      </c>
      <c r="O3797" s="9">
        <f>IF(G3797=0,0,N3797/G3797)</f>
        <v/>
      </c>
      <c r="P3797" s="6">
        <f>IF(M3797&gt;0,D3797,"")</f>
        <v/>
      </c>
      <c r="Q3797" s="9">
        <f>I3797+O3797</f>
        <v/>
      </c>
      <c r="R3797" s="7">
        <f>Q3797*G3797</f>
        <v/>
      </c>
      <c r="S3797" s="8">
        <f>IF($R$3814=0,0,R3797/$R$3814)</f>
        <v/>
      </c>
      <c r="T3797" s="8" t="n">
        <v>0.001726073556328478</v>
      </c>
      <c r="U3797" s="8" t="n">
        <v>-0.001501133811087407</v>
      </c>
      <c r="V3797" s="6" t="inlineStr">
        <is>
          <t>remained in weekly selection</t>
        </is>
      </c>
    </row>
    <row r="3798">
      <c r="A3798" s="6" t="inlineStr">
        <is>
          <t>DJ30</t>
        </is>
      </c>
      <c r="B3798" s="6" t="inlineStr">
        <is>
          <t>2025-05-09</t>
        </is>
      </c>
      <c r="C3798" s="6" t="inlineStr">
        <is>
          <t>DIA</t>
        </is>
      </c>
      <c r="D3798" s="6" t="inlineStr">
        <is>
          <t>JNJ</t>
        </is>
      </c>
      <c r="E3798" s="6" t="inlineStr">
        <is>
          <t>JNJ</t>
        </is>
      </c>
      <c r="F3798" s="6" t="inlineStr">
        <is>
          <t>-</t>
        </is>
      </c>
      <c r="G3798" s="7" t="n">
        <v>149.1816558837891</v>
      </c>
      <c r="H3798" s="6">
        <f>P3767</f>
        <v/>
      </c>
      <c r="I3798" s="9">
        <f>Q3767</f>
        <v/>
      </c>
      <c r="J3798" s="7">
        <f>I3798*G3798</f>
        <v/>
      </c>
      <c r="K3798" s="8">
        <f>IF($J$3814=0,0,J3798/$J$3814)</f>
        <v/>
      </c>
      <c r="L3798" s="6" t="inlineStr">
        <is>
          <t>REJECTED</t>
        </is>
      </c>
      <c r="M3798" s="8" t="n">
        <v>0</v>
      </c>
      <c r="N3798" s="7">
        <f>M3798*$J$3814-J3798</f>
        <v/>
      </c>
      <c r="O3798" s="9">
        <f>IF(G3798=0,0,N3798/G3798)</f>
        <v/>
      </c>
      <c r="P3798" s="6">
        <f>IF(M3798&gt;0,D3798,"")</f>
        <v/>
      </c>
      <c r="Q3798" s="9">
        <f>I3798+O3798</f>
        <v/>
      </c>
      <c r="R3798" s="7">
        <f>Q3798*G3798</f>
        <v/>
      </c>
      <c r="S3798" s="8">
        <f>IF($R$3814=0,0,R3798/$R$3814)</f>
        <v/>
      </c>
      <c r="T3798" s="8" t="n">
        <v>0.001726073556328478</v>
      </c>
      <c r="U3798" s="8" t="n">
        <v>-0.001501133811087407</v>
      </c>
      <c r="V3798" s="6" t="inlineStr">
        <is>
          <t>not selected</t>
        </is>
      </c>
    </row>
    <row r="3799">
      <c r="A3799" s="6" t="inlineStr">
        <is>
          <t>DJ30</t>
        </is>
      </c>
      <c r="B3799" s="6" t="inlineStr">
        <is>
          <t>2025-05-09</t>
        </is>
      </c>
      <c r="C3799" s="6" t="inlineStr">
        <is>
          <t>DIA</t>
        </is>
      </c>
      <c r="D3799" s="6" t="inlineStr">
        <is>
          <t>JPM</t>
        </is>
      </c>
      <c r="E3799" s="6" t="inlineStr">
        <is>
          <t>JPM</t>
        </is>
      </c>
      <c r="F3799" s="6" t="inlineStr">
        <is>
          <t>-</t>
        </is>
      </c>
      <c r="G3799" s="7" t="n">
        <v>248.2520141601562</v>
      </c>
      <c r="H3799" s="6">
        <f>P3768</f>
        <v/>
      </c>
      <c r="I3799" s="9">
        <f>Q3768</f>
        <v/>
      </c>
      <c r="J3799" s="7">
        <f>I3799*G3799</f>
        <v/>
      </c>
      <c r="K3799" s="8">
        <f>IF($J$3814=0,0,J3799/$J$3814)</f>
        <v/>
      </c>
      <c r="L3799" s="6" t="inlineStr">
        <is>
          <t>WATCHLIST</t>
        </is>
      </c>
      <c r="M3799" s="8" t="n">
        <v>0</v>
      </c>
      <c r="N3799" s="7">
        <f>M3799*$J$3814-J3799</f>
        <v/>
      </c>
      <c r="O3799" s="9">
        <f>IF(G3799=0,0,N3799/G3799)</f>
        <v/>
      </c>
      <c r="P3799" s="6">
        <f>IF(M3799&gt;0,D3799,"")</f>
        <v/>
      </c>
      <c r="Q3799" s="9">
        <f>I3799+O3799</f>
        <v/>
      </c>
      <c r="R3799" s="7">
        <f>Q3799*G3799</f>
        <v/>
      </c>
      <c r="S3799" s="8">
        <f>IF($R$3814=0,0,R3799/$R$3814)</f>
        <v/>
      </c>
      <c r="T3799" s="8" t="n">
        <v>0.001726073556328478</v>
      </c>
      <c r="U3799" s="8" t="n">
        <v>-0.001501133811087407</v>
      </c>
      <c r="V3799" s="6" t="inlineStr">
        <is>
          <t>not selected</t>
        </is>
      </c>
    </row>
    <row r="3800">
      <c r="A3800" s="6" t="inlineStr">
        <is>
          <t>DJ30</t>
        </is>
      </c>
      <c r="B3800" s="6" t="inlineStr">
        <is>
          <t>2025-05-09</t>
        </is>
      </c>
      <c r="C3800" s="6" t="inlineStr">
        <is>
          <t>DIA</t>
        </is>
      </c>
      <c r="D3800" s="6" t="inlineStr">
        <is>
          <t>KO</t>
        </is>
      </c>
      <c r="E3800" s="6" t="inlineStr">
        <is>
          <t>KO</t>
        </is>
      </c>
      <c r="F3800" s="6" t="inlineStr">
        <is>
          <t>-</t>
        </is>
      </c>
      <c r="G3800" s="7" t="n">
        <v>68.09367370605469</v>
      </c>
      <c r="H3800" s="6">
        <f>P3769</f>
        <v/>
      </c>
      <c r="I3800" s="9">
        <f>Q3769</f>
        <v/>
      </c>
      <c r="J3800" s="7">
        <f>I3800*G3800</f>
        <v/>
      </c>
      <c r="K3800" s="8">
        <f>IF($J$3814=0,0,J3800/$J$3814)</f>
        <v/>
      </c>
      <c r="L3800" s="6" t="inlineStr">
        <is>
          <t>REJECTED</t>
        </is>
      </c>
      <c r="M3800" s="8" t="n">
        <v>0</v>
      </c>
      <c r="N3800" s="7">
        <f>M3800*$J$3814-J3800</f>
        <v/>
      </c>
      <c r="O3800" s="9">
        <f>IF(G3800=0,0,N3800/G3800)</f>
        <v/>
      </c>
      <c r="P3800" s="6">
        <f>IF(M3800&gt;0,D3800,"")</f>
        <v/>
      </c>
      <c r="Q3800" s="9">
        <f>I3800+O3800</f>
        <v/>
      </c>
      <c r="R3800" s="7">
        <f>Q3800*G3800</f>
        <v/>
      </c>
      <c r="S3800" s="8">
        <f>IF($R$3814=0,0,R3800/$R$3814)</f>
        <v/>
      </c>
      <c r="T3800" s="8" t="n">
        <v>0.001726073556328478</v>
      </c>
      <c r="U3800" s="8" t="n">
        <v>-0.001501133811087407</v>
      </c>
      <c r="V3800" s="6" t="inlineStr">
        <is>
          <t>not selected</t>
        </is>
      </c>
    </row>
    <row r="3801">
      <c r="A3801" s="6" t="inlineStr">
        <is>
          <t>DJ30</t>
        </is>
      </c>
      <c r="B3801" s="6" t="inlineStr">
        <is>
          <t>2025-05-09</t>
        </is>
      </c>
      <c r="C3801" s="6" t="inlineStr">
        <is>
          <t>DIA</t>
        </is>
      </c>
      <c r="D3801" s="6" t="inlineStr">
        <is>
          <t>MCD</t>
        </is>
      </c>
      <c r="E3801" s="6" t="inlineStr">
        <is>
          <t>MCD</t>
        </is>
      </c>
      <c r="F3801" s="6" t="inlineStr">
        <is>
          <t>-</t>
        </is>
      </c>
      <c r="G3801" s="7" t="n">
        <v>304.5221252441406</v>
      </c>
      <c r="H3801" s="6">
        <f>P3770</f>
        <v/>
      </c>
      <c r="I3801" s="9">
        <f>Q3770</f>
        <v/>
      </c>
      <c r="J3801" s="7">
        <f>I3801*G3801</f>
        <v/>
      </c>
      <c r="K3801" s="8">
        <f>IF($J$3814=0,0,J3801/$J$3814)</f>
        <v/>
      </c>
      <c r="L3801" s="6" t="inlineStr">
        <is>
          <t>SELECTED</t>
        </is>
      </c>
      <c r="M3801" s="8" t="n">
        <v>0.2</v>
      </c>
      <c r="N3801" s="7">
        <f>M3801*$J$3814-J3801</f>
        <v/>
      </c>
      <c r="O3801" s="9">
        <f>IF(G3801=0,0,N3801/G3801)</f>
        <v/>
      </c>
      <c r="P3801" s="6">
        <f>IF(M3801&gt;0,D3801,"")</f>
        <v/>
      </c>
      <c r="Q3801" s="9">
        <f>I3801+O3801</f>
        <v/>
      </c>
      <c r="R3801" s="7">
        <f>Q3801*G3801</f>
        <v/>
      </c>
      <c r="S3801" s="8">
        <f>IF($R$3814=0,0,R3801/$R$3814)</f>
        <v/>
      </c>
      <c r="T3801" s="8" t="n">
        <v>0.001726073556328478</v>
      </c>
      <c r="U3801" s="8" t="n">
        <v>-0.001501133811087407</v>
      </c>
      <c r="V3801" s="6" t="inlineStr">
        <is>
          <t>remained in weekly selection</t>
        </is>
      </c>
    </row>
    <row r="3802">
      <c r="A3802" s="6" t="inlineStr">
        <is>
          <t>DJ30</t>
        </is>
      </c>
      <c r="B3802" s="6" t="inlineStr">
        <is>
          <t>2025-05-09</t>
        </is>
      </c>
      <c r="C3802" s="6" t="inlineStr">
        <is>
          <t>DIA</t>
        </is>
      </c>
      <c r="D3802" s="6" t="inlineStr">
        <is>
          <t>MMM</t>
        </is>
      </c>
      <c r="E3802" s="6" t="inlineStr">
        <is>
          <t>MMM</t>
        </is>
      </c>
      <c r="F3802" s="6" t="inlineStr">
        <is>
          <t>-</t>
        </is>
      </c>
      <c r="G3802" s="7" t="n">
        <v>139.2992706298828</v>
      </c>
      <c r="H3802" s="6">
        <f>P3771</f>
        <v/>
      </c>
      <c r="I3802" s="9">
        <f>Q3771</f>
        <v/>
      </c>
      <c r="J3802" s="7">
        <f>I3802*G3802</f>
        <v/>
      </c>
      <c r="K3802" s="8">
        <f>IF($J$3814=0,0,J3802/$J$3814)</f>
        <v/>
      </c>
      <c r="L3802" s="6" t="inlineStr">
        <is>
          <t>SELECTED</t>
        </is>
      </c>
      <c r="M3802" s="8" t="n">
        <v>0.2</v>
      </c>
      <c r="N3802" s="7">
        <f>M3802*$J$3814-J3802</f>
        <v/>
      </c>
      <c r="O3802" s="9">
        <f>IF(G3802=0,0,N3802/G3802)</f>
        <v/>
      </c>
      <c r="P3802" s="6">
        <f>IF(M3802&gt;0,D3802,"")</f>
        <v/>
      </c>
      <c r="Q3802" s="9">
        <f>I3802+O3802</f>
        <v/>
      </c>
      <c r="R3802" s="7">
        <f>Q3802*G3802</f>
        <v/>
      </c>
      <c r="S3802" s="8">
        <f>IF($R$3814=0,0,R3802/$R$3814)</f>
        <v/>
      </c>
      <c r="T3802" s="8" t="n">
        <v>0.001726073556328478</v>
      </c>
      <c r="U3802" s="8" t="n">
        <v>-0.001501133811087407</v>
      </c>
      <c r="V3802" s="6" t="inlineStr">
        <is>
          <t>remained in weekly selection</t>
        </is>
      </c>
    </row>
    <row r="3803">
      <c r="A3803" s="6" t="inlineStr">
        <is>
          <t>DJ30</t>
        </is>
      </c>
      <c r="B3803" s="6" t="inlineStr">
        <is>
          <t>2025-05-09</t>
        </is>
      </c>
      <c r="C3803" s="6" t="inlineStr">
        <is>
          <t>DIA</t>
        </is>
      </c>
      <c r="D3803" s="6" t="inlineStr">
        <is>
          <t>MRK</t>
        </is>
      </c>
      <c r="E3803" s="6" t="inlineStr">
        <is>
          <t>MRK</t>
        </is>
      </c>
      <c r="F3803" s="6" t="inlineStr">
        <is>
          <t>-</t>
        </is>
      </c>
      <c r="G3803" s="7" t="n">
        <v>72.78360748291016</v>
      </c>
      <c r="H3803" s="6">
        <f>P3772</f>
        <v/>
      </c>
      <c r="I3803" s="9">
        <f>Q3772</f>
        <v/>
      </c>
      <c r="J3803" s="7">
        <f>I3803*G3803</f>
        <v/>
      </c>
      <c r="K3803" s="8">
        <f>IF($J$3814=0,0,J3803/$J$3814)</f>
        <v/>
      </c>
      <c r="L3803" s="6" t="inlineStr">
        <is>
          <t>REJECTED</t>
        </is>
      </c>
      <c r="M3803" s="8" t="n">
        <v>0</v>
      </c>
      <c r="N3803" s="7">
        <f>M3803*$J$3814-J3803</f>
        <v/>
      </c>
      <c r="O3803" s="9">
        <f>IF(G3803=0,0,N3803/G3803)</f>
        <v/>
      </c>
      <c r="P3803" s="6">
        <f>IF(M3803&gt;0,D3803,"")</f>
        <v/>
      </c>
      <c r="Q3803" s="9">
        <f>I3803+O3803</f>
        <v/>
      </c>
      <c r="R3803" s="7">
        <f>Q3803*G3803</f>
        <v/>
      </c>
      <c r="S3803" s="8">
        <f>IF($R$3814=0,0,R3803/$R$3814)</f>
        <v/>
      </c>
      <c r="T3803" s="8" t="n">
        <v>0.001726073556328478</v>
      </c>
      <c r="U3803" s="8" t="n">
        <v>-0.001501133811087407</v>
      </c>
      <c r="V3803" s="6" t="inlineStr">
        <is>
          <t>not selected</t>
        </is>
      </c>
    </row>
    <row r="3804">
      <c r="A3804" s="6" t="inlineStr">
        <is>
          <t>DJ30</t>
        </is>
      </c>
      <c r="B3804" s="6" t="inlineStr">
        <is>
          <t>2025-05-09</t>
        </is>
      </c>
      <c r="C3804" s="6" t="inlineStr">
        <is>
          <t>DIA</t>
        </is>
      </c>
      <c r="D3804" s="6" t="inlineStr">
        <is>
          <t>MSFT</t>
        </is>
      </c>
      <c r="E3804" s="6" t="inlineStr">
        <is>
          <t>MSFT</t>
        </is>
      </c>
      <c r="F3804" s="6" t="inlineStr">
        <is>
          <t>-</t>
        </is>
      </c>
      <c r="G3804" s="7" t="n">
        <v>434.455810546875</v>
      </c>
      <c r="H3804" s="6">
        <f>P3773</f>
        <v/>
      </c>
      <c r="I3804" s="9">
        <f>Q3773</f>
        <v/>
      </c>
      <c r="J3804" s="7">
        <f>I3804*G3804</f>
        <v/>
      </c>
      <c r="K3804" s="8">
        <f>IF($J$3814=0,0,J3804/$J$3814)</f>
        <v/>
      </c>
      <c r="L3804" s="6" t="inlineStr">
        <is>
          <t>REJECTED</t>
        </is>
      </c>
      <c r="M3804" s="8" t="n">
        <v>0</v>
      </c>
      <c r="N3804" s="7">
        <f>M3804*$J$3814-J3804</f>
        <v/>
      </c>
      <c r="O3804" s="9">
        <f>IF(G3804=0,0,N3804/G3804)</f>
        <v/>
      </c>
      <c r="P3804" s="6">
        <f>IF(M3804&gt;0,D3804,"")</f>
        <v/>
      </c>
      <c r="Q3804" s="9">
        <f>I3804+O3804</f>
        <v/>
      </c>
      <c r="R3804" s="7">
        <f>Q3804*G3804</f>
        <v/>
      </c>
      <c r="S3804" s="8">
        <f>IF($R$3814=0,0,R3804/$R$3814)</f>
        <v/>
      </c>
      <c r="T3804" s="8" t="n">
        <v>0.001726073556328478</v>
      </c>
      <c r="U3804" s="8" t="n">
        <v>-0.001501133811087407</v>
      </c>
      <c r="V3804" s="6" t="inlineStr">
        <is>
          <t>not selected</t>
        </is>
      </c>
    </row>
    <row r="3805">
      <c r="A3805" s="6" t="inlineStr">
        <is>
          <t>DJ30</t>
        </is>
      </c>
      <c r="B3805" s="6" t="inlineStr">
        <is>
          <t>2025-05-09</t>
        </is>
      </c>
      <c r="C3805" s="6" t="inlineStr">
        <is>
          <t>DIA</t>
        </is>
      </c>
      <c r="D3805" s="6" t="inlineStr">
        <is>
          <t>NKE</t>
        </is>
      </c>
      <c r="E3805" s="6" t="inlineStr">
        <is>
          <t>NKE</t>
        </is>
      </c>
      <c r="F3805" s="6" t="inlineStr">
        <is>
          <t>-</t>
        </is>
      </c>
      <c r="G3805" s="7" t="n">
        <v>56.36831665039063</v>
      </c>
      <c r="H3805" s="6">
        <f>P3774</f>
        <v/>
      </c>
      <c r="I3805" s="9">
        <f>Q3774</f>
        <v/>
      </c>
      <c r="J3805" s="7">
        <f>I3805*G3805</f>
        <v/>
      </c>
      <c r="K3805" s="8">
        <f>IF($J$3814=0,0,J3805/$J$3814)</f>
        <v/>
      </c>
      <c r="L3805" s="6" t="inlineStr">
        <is>
          <t>REJECTED</t>
        </is>
      </c>
      <c r="M3805" s="8" t="n">
        <v>0</v>
      </c>
      <c r="N3805" s="7">
        <f>M3805*$J$3814-J3805</f>
        <v/>
      </c>
      <c r="O3805" s="9">
        <f>IF(G3805=0,0,N3805/G3805)</f>
        <v/>
      </c>
      <c r="P3805" s="6">
        <f>IF(M3805&gt;0,D3805,"")</f>
        <v/>
      </c>
      <c r="Q3805" s="9">
        <f>I3805+O3805</f>
        <v/>
      </c>
      <c r="R3805" s="7">
        <f>Q3805*G3805</f>
        <v/>
      </c>
      <c r="S3805" s="8">
        <f>IF($R$3814=0,0,R3805/$R$3814)</f>
        <v/>
      </c>
      <c r="T3805" s="8" t="n">
        <v>0.001726073556328478</v>
      </c>
      <c r="U3805" s="8" t="n">
        <v>-0.001501133811087407</v>
      </c>
      <c r="V3805" s="6" t="inlineStr">
        <is>
          <t>not selected</t>
        </is>
      </c>
    </row>
    <row r="3806">
      <c r="A3806" s="6" t="inlineStr">
        <is>
          <t>DJ30</t>
        </is>
      </c>
      <c r="B3806" s="6" t="inlineStr">
        <is>
          <t>2025-05-09</t>
        </is>
      </c>
      <c r="C3806" s="6" t="inlineStr">
        <is>
          <t>DIA</t>
        </is>
      </c>
      <c r="D3806" s="6" t="inlineStr">
        <is>
          <t>NVDA</t>
        </is>
      </c>
      <c r="E3806" s="6" t="inlineStr">
        <is>
          <t>NVDA</t>
        </is>
      </c>
      <c r="F3806" s="6" t="inlineStr">
        <is>
          <t>-</t>
        </is>
      </c>
      <c r="G3806" s="7" t="n">
        <v>116.4867630004883</v>
      </c>
      <c r="H3806" s="6">
        <f>P3775</f>
        <v/>
      </c>
      <c r="I3806" s="9">
        <f>Q3775</f>
        <v/>
      </c>
      <c r="J3806" s="7">
        <f>I3806*G3806</f>
        <v/>
      </c>
      <c r="K3806" s="8">
        <f>IF($J$3814=0,0,J3806/$J$3814)</f>
        <v/>
      </c>
      <c r="L3806" s="6" t="inlineStr">
        <is>
          <t>REJECTED</t>
        </is>
      </c>
      <c r="M3806" s="8" t="n">
        <v>0</v>
      </c>
      <c r="N3806" s="7">
        <f>M3806*$J$3814-J3806</f>
        <v/>
      </c>
      <c r="O3806" s="9">
        <f>IF(G3806=0,0,N3806/G3806)</f>
        <v/>
      </c>
      <c r="P3806" s="6">
        <f>IF(M3806&gt;0,D3806,"")</f>
        <v/>
      </c>
      <c r="Q3806" s="9">
        <f>I3806+O3806</f>
        <v/>
      </c>
      <c r="R3806" s="7">
        <f>Q3806*G3806</f>
        <v/>
      </c>
      <c r="S3806" s="8">
        <f>IF($R$3814=0,0,R3806/$R$3814)</f>
        <v/>
      </c>
      <c r="T3806" s="8" t="n">
        <v>0.001726073556328478</v>
      </c>
      <c r="U3806" s="8" t="n">
        <v>-0.001501133811087407</v>
      </c>
      <c r="V3806" s="6" t="inlineStr">
        <is>
          <t>not selected</t>
        </is>
      </c>
    </row>
    <row r="3807">
      <c r="A3807" s="6" t="inlineStr">
        <is>
          <t>DJ30</t>
        </is>
      </c>
      <c r="B3807" s="6" t="inlineStr">
        <is>
          <t>2025-05-09</t>
        </is>
      </c>
      <c r="C3807" s="6" t="inlineStr">
        <is>
          <t>DIA</t>
        </is>
      </c>
      <c r="D3807" s="6" t="inlineStr">
        <is>
          <t>PG</t>
        </is>
      </c>
      <c r="E3807" s="6" t="inlineStr">
        <is>
          <t>PG</t>
        </is>
      </c>
      <c r="F3807" s="6" t="inlineStr">
        <is>
          <t>-</t>
        </is>
      </c>
      <c r="G3807" s="7" t="n">
        <v>153.25146484375</v>
      </c>
      <c r="H3807" s="6">
        <f>P3776</f>
        <v/>
      </c>
      <c r="I3807" s="9">
        <f>Q3776</f>
        <v/>
      </c>
      <c r="J3807" s="7">
        <f>I3807*G3807</f>
        <v/>
      </c>
      <c r="K3807" s="8">
        <f>IF($J$3814=0,0,J3807/$J$3814)</f>
        <v/>
      </c>
      <c r="L3807" s="6" t="inlineStr">
        <is>
          <t>REJECTED</t>
        </is>
      </c>
      <c r="M3807" s="8" t="n">
        <v>0</v>
      </c>
      <c r="N3807" s="7">
        <f>M3807*$J$3814-J3807</f>
        <v/>
      </c>
      <c r="O3807" s="9">
        <f>IF(G3807=0,0,N3807/G3807)</f>
        <v/>
      </c>
      <c r="P3807" s="6">
        <f>IF(M3807&gt;0,D3807,"")</f>
        <v/>
      </c>
      <c r="Q3807" s="9">
        <f>I3807+O3807</f>
        <v/>
      </c>
      <c r="R3807" s="7">
        <f>Q3807*G3807</f>
        <v/>
      </c>
      <c r="S3807" s="8">
        <f>IF($R$3814=0,0,R3807/$R$3814)</f>
        <v/>
      </c>
      <c r="T3807" s="8" t="n">
        <v>0.001726073556328478</v>
      </c>
      <c r="U3807" s="8" t="n">
        <v>-0.001501133811087407</v>
      </c>
      <c r="V3807" s="6" t="inlineStr">
        <is>
          <t>not selected</t>
        </is>
      </c>
    </row>
    <row r="3808">
      <c r="A3808" s="6" t="inlineStr">
        <is>
          <t>DJ30</t>
        </is>
      </c>
      <c r="B3808" s="6" t="inlineStr">
        <is>
          <t>2025-05-09</t>
        </is>
      </c>
      <c r="C3808" s="6" t="inlineStr">
        <is>
          <t>DIA</t>
        </is>
      </c>
      <c r="D3808" s="6" t="inlineStr">
        <is>
          <t>SHW</t>
        </is>
      </c>
      <c r="E3808" s="6" t="inlineStr">
        <is>
          <t>SHW</t>
        </is>
      </c>
      <c r="F3808" s="6" t="inlineStr">
        <is>
          <t>-</t>
        </is>
      </c>
      <c r="G3808" s="7" t="n">
        <v>347.8424072265625</v>
      </c>
      <c r="H3808" s="6">
        <f>P3777</f>
        <v/>
      </c>
      <c r="I3808" s="9">
        <f>Q3777</f>
        <v/>
      </c>
      <c r="J3808" s="7">
        <f>I3808*G3808</f>
        <v/>
      </c>
      <c r="K3808" s="8">
        <f>IF($J$3814=0,0,J3808/$J$3814)</f>
        <v/>
      </c>
      <c r="L3808" s="6" t="inlineStr">
        <is>
          <t>REJECTED</t>
        </is>
      </c>
      <c r="M3808" s="8" t="n">
        <v>0</v>
      </c>
      <c r="N3808" s="7">
        <f>M3808*$J$3814-J3808</f>
        <v/>
      </c>
      <c r="O3808" s="9">
        <f>IF(G3808=0,0,N3808/G3808)</f>
        <v/>
      </c>
      <c r="P3808" s="6">
        <f>IF(M3808&gt;0,D3808,"")</f>
        <v/>
      </c>
      <c r="Q3808" s="9">
        <f>I3808+O3808</f>
        <v/>
      </c>
      <c r="R3808" s="7">
        <f>Q3808*G3808</f>
        <v/>
      </c>
      <c r="S3808" s="8">
        <f>IF($R$3814=0,0,R3808/$R$3814)</f>
        <v/>
      </c>
      <c r="T3808" s="8" t="n">
        <v>0.001726073556328478</v>
      </c>
      <c r="U3808" s="8" t="n">
        <v>-0.001501133811087407</v>
      </c>
      <c r="V3808" s="6" t="inlineStr">
        <is>
          <t>not selected</t>
        </is>
      </c>
    </row>
    <row r="3809">
      <c r="A3809" s="6" t="inlineStr">
        <is>
          <t>DJ30</t>
        </is>
      </c>
      <c r="B3809" s="6" t="inlineStr">
        <is>
          <t>2025-05-09</t>
        </is>
      </c>
      <c r="C3809" s="6" t="inlineStr">
        <is>
          <t>DIA</t>
        </is>
      </c>
      <c r="D3809" s="6" t="inlineStr">
        <is>
          <t>TRV</t>
        </is>
      </c>
      <c r="E3809" s="6" t="inlineStr">
        <is>
          <t>TRV</t>
        </is>
      </c>
      <c r="F3809" s="6" t="inlineStr">
        <is>
          <t>-</t>
        </is>
      </c>
      <c r="G3809" s="7" t="n">
        <v>264.4349670410156</v>
      </c>
      <c r="H3809" s="6">
        <f>P3778</f>
        <v/>
      </c>
      <c r="I3809" s="9">
        <f>Q3778</f>
        <v/>
      </c>
      <c r="J3809" s="7">
        <f>I3809*G3809</f>
        <v/>
      </c>
      <c r="K3809" s="8">
        <f>IF($J$3814=0,0,J3809/$J$3814)</f>
        <v/>
      </c>
      <c r="L3809" s="6" t="inlineStr">
        <is>
          <t>WATCHLIST</t>
        </is>
      </c>
      <c r="M3809" s="8" t="n">
        <v>0</v>
      </c>
      <c r="N3809" s="7">
        <f>M3809*$J$3814-J3809</f>
        <v/>
      </c>
      <c r="O3809" s="9">
        <f>IF(G3809=0,0,N3809/G3809)</f>
        <v/>
      </c>
      <c r="P3809" s="6">
        <f>IF(M3809&gt;0,D3809,"")</f>
        <v/>
      </c>
      <c r="Q3809" s="9">
        <f>I3809+O3809</f>
        <v/>
      </c>
      <c r="R3809" s="7">
        <f>Q3809*G3809</f>
        <v/>
      </c>
      <c r="S3809" s="8">
        <f>IF($R$3814=0,0,R3809/$R$3814)</f>
        <v/>
      </c>
      <c r="T3809" s="8" t="n">
        <v>0.001726073556328478</v>
      </c>
      <c r="U3809" s="8" t="n">
        <v>-0.001501133811087407</v>
      </c>
      <c r="V3809" s="6" t="inlineStr">
        <is>
          <t>not selected</t>
        </is>
      </c>
    </row>
    <row r="3810">
      <c r="A3810" s="6" t="inlineStr">
        <is>
          <t>DJ30</t>
        </is>
      </c>
      <c r="B3810" s="6" t="inlineStr">
        <is>
          <t>2025-05-09</t>
        </is>
      </c>
      <c r="C3810" s="6" t="inlineStr">
        <is>
          <t>DIA</t>
        </is>
      </c>
      <c r="D3810" s="6" t="inlineStr">
        <is>
          <t>UNH</t>
        </is>
      </c>
      <c r="E3810" s="6" t="inlineStr">
        <is>
          <t>UNH</t>
        </is>
      </c>
      <c r="F3810" s="6" t="inlineStr">
        <is>
          <t>-</t>
        </is>
      </c>
      <c r="G3810" s="7" t="n">
        <v>368.0986022949219</v>
      </c>
      <c r="H3810" s="6">
        <f>P3779</f>
        <v/>
      </c>
      <c r="I3810" s="9">
        <f>Q3779</f>
        <v/>
      </c>
      <c r="J3810" s="7">
        <f>I3810*G3810</f>
        <v/>
      </c>
      <c r="K3810" s="8">
        <f>IF($J$3814=0,0,J3810/$J$3814)</f>
        <v/>
      </c>
      <c r="L3810" s="6" t="inlineStr">
        <is>
          <t>REJECTED</t>
        </is>
      </c>
      <c r="M3810" s="8" t="n">
        <v>0</v>
      </c>
      <c r="N3810" s="7">
        <f>M3810*$J$3814-J3810</f>
        <v/>
      </c>
      <c r="O3810" s="9">
        <f>IF(G3810=0,0,N3810/G3810)</f>
        <v/>
      </c>
      <c r="P3810" s="6">
        <f>IF(M3810&gt;0,D3810,"")</f>
        <v/>
      </c>
      <c r="Q3810" s="9">
        <f>I3810+O3810</f>
        <v/>
      </c>
      <c r="R3810" s="7">
        <f>Q3810*G3810</f>
        <v/>
      </c>
      <c r="S3810" s="8">
        <f>IF($R$3814=0,0,R3810/$R$3814)</f>
        <v/>
      </c>
      <c r="T3810" s="8" t="n">
        <v>0.001726073556328478</v>
      </c>
      <c r="U3810" s="8" t="n">
        <v>-0.001501133811087407</v>
      </c>
      <c r="V3810" s="6" t="inlineStr">
        <is>
          <t>not selected</t>
        </is>
      </c>
    </row>
    <row r="3811">
      <c r="A3811" s="6" t="inlineStr">
        <is>
          <t>DJ30</t>
        </is>
      </c>
      <c r="B3811" s="6" t="inlineStr">
        <is>
          <t>2025-05-09</t>
        </is>
      </c>
      <c r="C3811" s="6" t="inlineStr">
        <is>
          <t>DIA</t>
        </is>
      </c>
      <c r="D3811" s="6" t="inlineStr">
        <is>
          <t>V</t>
        </is>
      </c>
      <c r="E3811" s="6" t="inlineStr">
        <is>
          <t>V</t>
        </is>
      </c>
      <c r="F3811" s="6" t="inlineStr">
        <is>
          <t>-</t>
        </is>
      </c>
      <c r="G3811" s="7" t="n">
        <v>349.197265625</v>
      </c>
      <c r="H3811" s="6">
        <f>P3780</f>
        <v/>
      </c>
      <c r="I3811" s="9">
        <f>Q3780</f>
        <v/>
      </c>
      <c r="J3811" s="7">
        <f>I3811*G3811</f>
        <v/>
      </c>
      <c r="K3811" s="8">
        <f>IF($J$3814=0,0,J3811/$J$3814)</f>
        <v/>
      </c>
      <c r="L3811" s="6" t="inlineStr">
        <is>
          <t>WATCHLIST</t>
        </is>
      </c>
      <c r="M3811" s="8" t="n">
        <v>0</v>
      </c>
      <c r="N3811" s="7">
        <f>M3811*$J$3814-J3811</f>
        <v/>
      </c>
      <c r="O3811" s="9">
        <f>IF(G3811=0,0,N3811/G3811)</f>
        <v/>
      </c>
      <c r="P3811" s="6">
        <f>IF(M3811&gt;0,D3811,"")</f>
        <v/>
      </c>
      <c r="Q3811" s="9">
        <f>I3811+O3811</f>
        <v/>
      </c>
      <c r="R3811" s="7">
        <f>Q3811*G3811</f>
        <v/>
      </c>
      <c r="S3811" s="8">
        <f>IF($R$3814=0,0,R3811/$R$3814)</f>
        <v/>
      </c>
      <c r="T3811" s="8" t="n">
        <v>0.001726073556328478</v>
      </c>
      <c r="U3811" s="8" t="n">
        <v>-0.001501133811087407</v>
      </c>
      <c r="V3811" s="6" t="inlineStr">
        <is>
          <t>not selected</t>
        </is>
      </c>
    </row>
    <row r="3812">
      <c r="A3812" s="6" t="inlineStr">
        <is>
          <t>DJ30</t>
        </is>
      </c>
      <c r="B3812" s="6" t="inlineStr">
        <is>
          <t>2025-05-09</t>
        </is>
      </c>
      <c r="C3812" s="6" t="inlineStr">
        <is>
          <t>DIA</t>
        </is>
      </c>
      <c r="D3812" s="6" t="inlineStr">
        <is>
          <t>VZ</t>
        </is>
      </c>
      <c r="E3812" s="6" t="inlineStr">
        <is>
          <t>VZ</t>
        </is>
      </c>
      <c r="F3812" s="6" t="inlineStr">
        <is>
          <t>-</t>
        </is>
      </c>
      <c r="G3812" s="7" t="n">
        <v>40.8568000793457</v>
      </c>
      <c r="H3812" s="6">
        <f>P3781</f>
        <v/>
      </c>
      <c r="I3812" s="9">
        <f>Q3781</f>
        <v/>
      </c>
      <c r="J3812" s="7">
        <f>I3812*G3812</f>
        <v/>
      </c>
      <c r="K3812" s="8">
        <f>IF($J$3814=0,0,J3812/$J$3814)</f>
        <v/>
      </c>
      <c r="L3812" s="6" t="inlineStr">
        <is>
          <t>WATCHLIST</t>
        </is>
      </c>
      <c r="M3812" s="8" t="n">
        <v>0</v>
      </c>
      <c r="N3812" s="7">
        <f>M3812*$J$3814-J3812</f>
        <v/>
      </c>
      <c r="O3812" s="9">
        <f>IF(G3812=0,0,N3812/G3812)</f>
        <v/>
      </c>
      <c r="P3812" s="6">
        <f>IF(M3812&gt;0,D3812,"")</f>
        <v/>
      </c>
      <c r="Q3812" s="9">
        <f>I3812+O3812</f>
        <v/>
      </c>
      <c r="R3812" s="7">
        <f>Q3812*G3812</f>
        <v/>
      </c>
      <c r="S3812" s="8">
        <f>IF($R$3814=0,0,R3812/$R$3814)</f>
        <v/>
      </c>
      <c r="T3812" s="8" t="n">
        <v>0.001726073556328478</v>
      </c>
      <c r="U3812" s="8" t="n">
        <v>-0.001501133811087407</v>
      </c>
      <c r="V3812" s="6" t="inlineStr">
        <is>
          <t>removed from weekly selection</t>
        </is>
      </c>
    </row>
    <row r="3813">
      <c r="A3813" s="6" t="inlineStr">
        <is>
          <t>DJ30</t>
        </is>
      </c>
      <c r="B3813" s="6" t="inlineStr">
        <is>
          <t>2025-05-09</t>
        </is>
      </c>
      <c r="C3813" s="6" t="inlineStr">
        <is>
          <t>DIA</t>
        </is>
      </c>
      <c r="D3813" s="6" t="inlineStr">
        <is>
          <t>WMT</t>
        </is>
      </c>
      <c r="E3813" s="6" t="inlineStr">
        <is>
          <t>WMT</t>
        </is>
      </c>
      <c r="F3813" s="6" t="inlineStr">
        <is>
          <t>-</t>
        </is>
      </c>
      <c r="G3813" s="7" t="n">
        <v>95.91805267333984</v>
      </c>
      <c r="H3813" s="6">
        <f>P3782</f>
        <v/>
      </c>
      <c r="I3813" s="9">
        <f>Q3782</f>
        <v/>
      </c>
      <c r="J3813" s="7">
        <f>I3813*G3813</f>
        <v/>
      </c>
      <c r="K3813" s="8">
        <f>IF($J$3814=0,0,J3813/$J$3814)</f>
        <v/>
      </c>
      <c r="L3813" s="6" t="inlineStr">
        <is>
          <t>SELECTED</t>
        </is>
      </c>
      <c r="M3813" s="8" t="n">
        <v>0.2</v>
      </c>
      <c r="N3813" s="7">
        <f>M3813*$J$3814-J3813</f>
        <v/>
      </c>
      <c r="O3813" s="9">
        <f>IF(G3813=0,0,N3813/G3813)</f>
        <v/>
      </c>
      <c r="P3813" s="6">
        <f>IF(M3813&gt;0,D3813,"")</f>
        <v/>
      </c>
      <c r="Q3813" s="9">
        <f>I3813+O3813</f>
        <v/>
      </c>
      <c r="R3813" s="7">
        <f>Q3813*G3813</f>
        <v/>
      </c>
      <c r="S3813" s="8">
        <f>IF($R$3814=0,0,R3813/$R$3814)</f>
        <v/>
      </c>
      <c r="T3813" s="8" t="n">
        <v>0.001726073556328478</v>
      </c>
      <c r="U3813" s="8" t="n">
        <v>-0.001501133811087407</v>
      </c>
      <c r="V3813" s="6" t="inlineStr">
        <is>
          <t>remained in weekly selection</t>
        </is>
      </c>
    </row>
    <row r="3814">
      <c r="A3814" s="10" t="inlineStr">
        <is>
          <t>DJ30</t>
        </is>
      </c>
      <c r="B3814" s="10" t="inlineStr">
        <is>
          <t>2025-05-09</t>
        </is>
      </c>
      <c r="C3814" s="10" t="inlineStr">
        <is>
          <t>DIA</t>
        </is>
      </c>
      <c r="D3814" s="10" t="inlineStr">
        <is>
          <t>Tot Portfolio</t>
        </is>
      </c>
      <c r="E3814" s="10" t="inlineStr"/>
      <c r="F3814" s="10" t="inlineStr"/>
      <c r="G3814" s="11" t="inlineStr"/>
      <c r="H3814" s="10" t="inlineStr"/>
      <c r="I3814" s="12" t="inlineStr"/>
      <c r="J3814" s="11">
        <f>SUM(J3784:J3813)</f>
        <v/>
      </c>
      <c r="K3814" s="13">
        <f>SUM(K3784:K3813)</f>
        <v/>
      </c>
      <c r="L3814" s="10" t="inlineStr">
        <is>
          <t>TOTAL</t>
        </is>
      </c>
      <c r="M3814" s="13">
        <f>SUM(M3784:M3813)</f>
        <v/>
      </c>
      <c r="N3814" s="11">
        <f>SUM(N3784:N3813)</f>
        <v/>
      </c>
      <c r="O3814" s="12">
        <f>SUM(O3784:O3813)</f>
        <v/>
      </c>
      <c r="P3814" s="10" t="inlineStr"/>
      <c r="Q3814" s="12" t="inlineStr"/>
      <c r="R3814" s="11">
        <f>SUM(R3784:R3813)</f>
        <v/>
      </c>
      <c r="S3814" s="13">
        <f>SUM(S3784:S3813)</f>
        <v/>
      </c>
      <c r="T3814" s="13" t="n">
        <v>0.001726073556328478</v>
      </c>
      <c r="U3814" s="13" t="n">
        <v>-0.001501133811087407</v>
      </c>
      <c r="V3814" s="10" t="inlineStr"/>
    </row>
    <row r="3815">
      <c r="A3815" s="6" t="inlineStr">
        <is>
          <t>DJ30</t>
        </is>
      </c>
      <c r="B3815" s="6" t="inlineStr">
        <is>
          <t>2025-05-16</t>
        </is>
      </c>
      <c r="C3815" s="6" t="inlineStr">
        <is>
          <t>DIA</t>
        </is>
      </c>
      <c r="D3815" s="6" t="inlineStr">
        <is>
          <t>AAPL</t>
        </is>
      </c>
      <c r="E3815" s="6" t="inlineStr">
        <is>
          <t>AAPL</t>
        </is>
      </c>
      <c r="F3815" s="6" t="inlineStr">
        <is>
          <t>-</t>
        </is>
      </c>
      <c r="G3815" s="7" t="n">
        <v>210.4252014160156</v>
      </c>
      <c r="H3815" s="6">
        <f>P3784</f>
        <v/>
      </c>
      <c r="I3815" s="9">
        <f>Q3784</f>
        <v/>
      </c>
      <c r="J3815" s="7">
        <f>I3815*G3815</f>
        <v/>
      </c>
      <c r="K3815" s="8">
        <f>IF($J$3845=0,0,J3815/$J$3845)</f>
        <v/>
      </c>
      <c r="L3815" s="6" t="inlineStr">
        <is>
          <t>REJECTED</t>
        </is>
      </c>
      <c r="M3815" s="8" t="n">
        <v>0</v>
      </c>
      <c r="N3815" s="7">
        <f>M3815*$J$3845-J3815</f>
        <v/>
      </c>
      <c r="O3815" s="9">
        <f>IF(G3815=0,0,N3815/G3815)</f>
        <v/>
      </c>
      <c r="P3815" s="6">
        <f>IF(M3815&gt;0,D3815,"")</f>
        <v/>
      </c>
      <c r="Q3815" s="9">
        <f>I3815+O3815</f>
        <v/>
      </c>
      <c r="R3815" s="7">
        <f>Q3815*G3815</f>
        <v/>
      </c>
      <c r="S3815" s="8">
        <f>IF($R$3845=0,0,R3815/$R$3845)</f>
        <v/>
      </c>
      <c r="T3815" s="8" t="n">
        <v>0.03512003999364377</v>
      </c>
      <c r="U3815" s="8" t="n">
        <v>0.03504835412617791</v>
      </c>
      <c r="V3815" s="6" t="inlineStr">
        <is>
          <t>not selected</t>
        </is>
      </c>
    </row>
    <row r="3816">
      <c r="A3816" s="6" t="inlineStr">
        <is>
          <t>DJ30</t>
        </is>
      </c>
      <c r="B3816" s="6" t="inlineStr">
        <is>
          <t>2025-05-16</t>
        </is>
      </c>
      <c r="C3816" s="6" t="inlineStr">
        <is>
          <t>DIA</t>
        </is>
      </c>
      <c r="D3816" s="6" t="inlineStr">
        <is>
          <t>AMGN</t>
        </is>
      </c>
      <c r="E3816" s="6" t="inlineStr">
        <is>
          <t>AMGN</t>
        </is>
      </c>
      <c r="F3816" s="6" t="inlineStr">
        <is>
          <t>-</t>
        </is>
      </c>
      <c r="G3816" s="7" t="n">
        <v>264.4608764648437</v>
      </c>
      <c r="H3816" s="6">
        <f>P3785</f>
        <v/>
      </c>
      <c r="I3816" s="9">
        <f>Q3785</f>
        <v/>
      </c>
      <c r="J3816" s="7">
        <f>I3816*G3816</f>
        <v/>
      </c>
      <c r="K3816" s="8">
        <f>IF($J$3845=0,0,J3816/$J$3845)</f>
        <v/>
      </c>
      <c r="L3816" s="6" t="inlineStr">
        <is>
          <t>REJECTED</t>
        </is>
      </c>
      <c r="M3816" s="8" t="n">
        <v>0</v>
      </c>
      <c r="N3816" s="7">
        <f>M3816*$J$3845-J3816</f>
        <v/>
      </c>
      <c r="O3816" s="9">
        <f>IF(G3816=0,0,N3816/G3816)</f>
        <v/>
      </c>
      <c r="P3816" s="6">
        <f>IF(M3816&gt;0,D3816,"")</f>
        <v/>
      </c>
      <c r="Q3816" s="9">
        <f>I3816+O3816</f>
        <v/>
      </c>
      <c r="R3816" s="7">
        <f>Q3816*G3816</f>
        <v/>
      </c>
      <c r="S3816" s="8">
        <f>IF($R$3845=0,0,R3816/$R$3845)</f>
        <v/>
      </c>
      <c r="T3816" s="8" t="n">
        <v>0.03512003999364377</v>
      </c>
      <c r="U3816" s="8" t="n">
        <v>0.03504835412617791</v>
      </c>
      <c r="V3816" s="6" t="inlineStr">
        <is>
          <t>not selected</t>
        </is>
      </c>
    </row>
    <row r="3817">
      <c r="A3817" s="6" t="inlineStr">
        <is>
          <t>DJ30</t>
        </is>
      </c>
      <c r="B3817" s="6" t="inlineStr">
        <is>
          <t>2025-05-16</t>
        </is>
      </c>
      <c r="C3817" s="6" t="inlineStr">
        <is>
          <t>DIA</t>
        </is>
      </c>
      <c r="D3817" s="6" t="inlineStr">
        <is>
          <t>AMZN</t>
        </is>
      </c>
      <c r="E3817" s="6" t="inlineStr">
        <is>
          <t>AMZN</t>
        </is>
      </c>
      <c r="F3817" s="6" t="inlineStr">
        <is>
          <t>-</t>
        </is>
      </c>
      <c r="G3817" s="7" t="n">
        <v>205.5899963378907</v>
      </c>
      <c r="H3817" s="6">
        <f>P3786</f>
        <v/>
      </c>
      <c r="I3817" s="9">
        <f>Q3786</f>
        <v/>
      </c>
      <c r="J3817" s="7">
        <f>I3817*G3817</f>
        <v/>
      </c>
      <c r="K3817" s="8">
        <f>IF($J$3845=0,0,J3817/$J$3845)</f>
        <v/>
      </c>
      <c r="L3817" s="6" t="inlineStr">
        <is>
          <t>REJECTED</t>
        </is>
      </c>
      <c r="M3817" s="8" t="n">
        <v>0</v>
      </c>
      <c r="N3817" s="7">
        <f>M3817*$J$3845-J3817</f>
        <v/>
      </c>
      <c r="O3817" s="9">
        <f>IF(G3817=0,0,N3817/G3817)</f>
        <v/>
      </c>
      <c r="P3817" s="6">
        <f>IF(M3817&gt;0,D3817,"")</f>
        <v/>
      </c>
      <c r="Q3817" s="9">
        <f>I3817+O3817</f>
        <v/>
      </c>
      <c r="R3817" s="7">
        <f>Q3817*G3817</f>
        <v/>
      </c>
      <c r="S3817" s="8">
        <f>IF($R$3845=0,0,R3817/$R$3845)</f>
        <v/>
      </c>
      <c r="T3817" s="8" t="n">
        <v>0.03512003999364377</v>
      </c>
      <c r="U3817" s="8" t="n">
        <v>0.03504835412617791</v>
      </c>
      <c r="V3817" s="6" t="inlineStr">
        <is>
          <t>not selected</t>
        </is>
      </c>
    </row>
    <row r="3818">
      <c r="A3818" s="6" t="inlineStr">
        <is>
          <t>DJ30</t>
        </is>
      </c>
      <c r="B3818" s="6" t="inlineStr">
        <is>
          <t>2025-05-16</t>
        </is>
      </c>
      <c r="C3818" s="6" t="inlineStr">
        <is>
          <t>DIA</t>
        </is>
      </c>
      <c r="D3818" s="6" t="inlineStr">
        <is>
          <t>AXP</t>
        </is>
      </c>
      <c r="E3818" s="6" t="inlineStr">
        <is>
          <t>AXP</t>
        </is>
      </c>
      <c r="F3818" s="6" t="inlineStr">
        <is>
          <t>-</t>
        </is>
      </c>
      <c r="G3818" s="7" t="n">
        <v>296.6109008789062</v>
      </c>
      <c r="H3818" s="6">
        <f>P3787</f>
        <v/>
      </c>
      <c r="I3818" s="9">
        <f>Q3787</f>
        <v/>
      </c>
      <c r="J3818" s="7">
        <f>I3818*G3818</f>
        <v/>
      </c>
      <c r="K3818" s="8">
        <f>IF($J$3845=0,0,J3818/$J$3845)</f>
        <v/>
      </c>
      <c r="L3818" s="6" t="inlineStr">
        <is>
          <t>WATCHLIST</t>
        </is>
      </c>
      <c r="M3818" s="8" t="n">
        <v>0</v>
      </c>
      <c r="N3818" s="7">
        <f>M3818*$J$3845-J3818</f>
        <v/>
      </c>
      <c r="O3818" s="9">
        <f>IF(G3818=0,0,N3818/G3818)</f>
        <v/>
      </c>
      <c r="P3818" s="6">
        <f>IF(M3818&gt;0,D3818,"")</f>
        <v/>
      </c>
      <c r="Q3818" s="9">
        <f>I3818+O3818</f>
        <v/>
      </c>
      <c r="R3818" s="7">
        <f>Q3818*G3818</f>
        <v/>
      </c>
      <c r="S3818" s="8">
        <f>IF($R$3845=0,0,R3818/$R$3845)</f>
        <v/>
      </c>
      <c r="T3818" s="8" t="n">
        <v>0.03512003999364377</v>
      </c>
      <c r="U3818" s="8" t="n">
        <v>0.03504835412617791</v>
      </c>
      <c r="V3818" s="6" t="inlineStr">
        <is>
          <t>not selected</t>
        </is>
      </c>
    </row>
    <row r="3819">
      <c r="A3819" s="6" t="inlineStr">
        <is>
          <t>DJ30</t>
        </is>
      </c>
      <c r="B3819" s="6" t="inlineStr">
        <is>
          <t>2025-05-16</t>
        </is>
      </c>
      <c r="C3819" s="6" t="inlineStr">
        <is>
          <t>DIA</t>
        </is>
      </c>
      <c r="D3819" s="6" t="inlineStr">
        <is>
          <t>BA</t>
        </is>
      </c>
      <c r="E3819" s="6" t="inlineStr">
        <is>
          <t>BA</t>
        </is>
      </c>
      <c r="F3819" s="6" t="inlineStr">
        <is>
          <t>-</t>
        </is>
      </c>
      <c r="G3819" s="7" t="n">
        <v>205.8200073242188</v>
      </c>
      <c r="H3819" s="6">
        <f>P3788</f>
        <v/>
      </c>
      <c r="I3819" s="9">
        <f>Q3788</f>
        <v/>
      </c>
      <c r="J3819" s="7">
        <f>I3819*G3819</f>
        <v/>
      </c>
      <c r="K3819" s="8">
        <f>IF($J$3845=0,0,J3819/$J$3845)</f>
        <v/>
      </c>
      <c r="L3819" s="6" t="inlineStr">
        <is>
          <t>REJECTED</t>
        </is>
      </c>
      <c r="M3819" s="8" t="n">
        <v>0</v>
      </c>
      <c r="N3819" s="7">
        <f>M3819*$J$3845-J3819</f>
        <v/>
      </c>
      <c r="O3819" s="9">
        <f>IF(G3819=0,0,N3819/G3819)</f>
        <v/>
      </c>
      <c r="P3819" s="6">
        <f>IF(M3819&gt;0,D3819,"")</f>
        <v/>
      </c>
      <c r="Q3819" s="9">
        <f>I3819+O3819</f>
        <v/>
      </c>
      <c r="R3819" s="7">
        <f>Q3819*G3819</f>
        <v/>
      </c>
      <c r="S3819" s="8">
        <f>IF($R$3845=0,0,R3819/$R$3845)</f>
        <v/>
      </c>
      <c r="T3819" s="8" t="n">
        <v>0.03512003999364377</v>
      </c>
      <c r="U3819" s="8" t="n">
        <v>0.03504835412617791</v>
      </c>
      <c r="V3819" s="6" t="inlineStr">
        <is>
          <t>not selected</t>
        </is>
      </c>
    </row>
    <row r="3820">
      <c r="A3820" s="6" t="inlineStr">
        <is>
          <t>DJ30</t>
        </is>
      </c>
      <c r="B3820" s="6" t="inlineStr">
        <is>
          <t>2025-05-16</t>
        </is>
      </c>
      <c r="C3820" s="6" t="inlineStr">
        <is>
          <t>DIA</t>
        </is>
      </c>
      <c r="D3820" s="6" t="inlineStr">
        <is>
          <t>CAT</t>
        </is>
      </c>
      <c r="E3820" s="6" t="inlineStr">
        <is>
          <t>CAT</t>
        </is>
      </c>
      <c r="F3820" s="6" t="inlineStr">
        <is>
          <t>-</t>
        </is>
      </c>
      <c r="G3820" s="7" t="n">
        <v>349.7943115234375</v>
      </c>
      <c r="H3820" s="6">
        <f>P3789</f>
        <v/>
      </c>
      <c r="I3820" s="9">
        <f>Q3789</f>
        <v/>
      </c>
      <c r="J3820" s="7">
        <f>I3820*G3820</f>
        <v/>
      </c>
      <c r="K3820" s="8">
        <f>IF($J$3845=0,0,J3820/$J$3845)</f>
        <v/>
      </c>
      <c r="L3820" s="6" t="inlineStr">
        <is>
          <t>REJECTED</t>
        </is>
      </c>
      <c r="M3820" s="8" t="n">
        <v>0</v>
      </c>
      <c r="N3820" s="7">
        <f>M3820*$J$3845-J3820</f>
        <v/>
      </c>
      <c r="O3820" s="9">
        <f>IF(G3820=0,0,N3820/G3820)</f>
        <v/>
      </c>
      <c r="P3820" s="6">
        <f>IF(M3820&gt;0,D3820,"")</f>
        <v/>
      </c>
      <c r="Q3820" s="9">
        <f>I3820+O3820</f>
        <v/>
      </c>
      <c r="R3820" s="7">
        <f>Q3820*G3820</f>
        <v/>
      </c>
      <c r="S3820" s="8">
        <f>IF($R$3845=0,0,R3820/$R$3845)</f>
        <v/>
      </c>
      <c r="T3820" s="8" t="n">
        <v>0.03512003999364377</v>
      </c>
      <c r="U3820" s="8" t="n">
        <v>0.03504835412617791</v>
      </c>
      <c r="V3820" s="6" t="inlineStr">
        <is>
          <t>not selected</t>
        </is>
      </c>
    </row>
    <row r="3821">
      <c r="A3821" s="6" t="inlineStr">
        <is>
          <t>DJ30</t>
        </is>
      </c>
      <c r="B3821" s="6" t="inlineStr">
        <is>
          <t>2025-05-16</t>
        </is>
      </c>
      <c r="C3821" s="6" t="inlineStr">
        <is>
          <t>DIA</t>
        </is>
      </c>
      <c r="D3821" s="6" t="inlineStr">
        <is>
          <t>CRM</t>
        </is>
      </c>
      <c r="E3821" s="6" t="inlineStr">
        <is>
          <t>CRM</t>
        </is>
      </c>
      <c r="F3821" s="6" t="inlineStr">
        <is>
          <t>-</t>
        </is>
      </c>
      <c r="G3821" s="7" t="n">
        <v>288.2493286132812</v>
      </c>
      <c r="H3821" s="6">
        <f>P3790</f>
        <v/>
      </c>
      <c r="I3821" s="9">
        <f>Q3790</f>
        <v/>
      </c>
      <c r="J3821" s="7">
        <f>I3821*G3821</f>
        <v/>
      </c>
      <c r="K3821" s="8">
        <f>IF($J$3845=0,0,J3821/$J$3845)</f>
        <v/>
      </c>
      <c r="L3821" s="6" t="inlineStr">
        <is>
          <t>REJECTED</t>
        </is>
      </c>
      <c r="M3821" s="8" t="n">
        <v>0</v>
      </c>
      <c r="N3821" s="7">
        <f>M3821*$J$3845-J3821</f>
        <v/>
      </c>
      <c r="O3821" s="9">
        <f>IF(G3821=0,0,N3821/G3821)</f>
        <v/>
      </c>
      <c r="P3821" s="6">
        <f>IF(M3821&gt;0,D3821,"")</f>
        <v/>
      </c>
      <c r="Q3821" s="9">
        <f>I3821+O3821</f>
        <v/>
      </c>
      <c r="R3821" s="7">
        <f>Q3821*G3821</f>
        <v/>
      </c>
      <c r="S3821" s="8">
        <f>IF($R$3845=0,0,R3821/$R$3845)</f>
        <v/>
      </c>
      <c r="T3821" s="8" t="n">
        <v>0.03512003999364377</v>
      </c>
      <c r="U3821" s="8" t="n">
        <v>0.03504835412617791</v>
      </c>
      <c r="V3821" s="6" t="inlineStr">
        <is>
          <t>not selected</t>
        </is>
      </c>
    </row>
    <row r="3822">
      <c r="A3822" s="6" t="inlineStr">
        <is>
          <t>DJ30</t>
        </is>
      </c>
      <c r="B3822" s="6" t="inlineStr">
        <is>
          <t>2025-05-16</t>
        </is>
      </c>
      <c r="C3822" s="6" t="inlineStr">
        <is>
          <t>DIA</t>
        </is>
      </c>
      <c r="D3822" s="6" t="inlineStr">
        <is>
          <t>CSCO</t>
        </is>
      </c>
      <c r="E3822" s="6" t="inlineStr">
        <is>
          <t>CSCO</t>
        </is>
      </c>
      <c r="F3822" s="6" t="inlineStr">
        <is>
          <t>-</t>
        </is>
      </c>
      <c r="G3822" s="7" t="n">
        <v>62.18857574462891</v>
      </c>
      <c r="H3822" s="6">
        <f>P3791</f>
        <v/>
      </c>
      <c r="I3822" s="9">
        <f>Q3791</f>
        <v/>
      </c>
      <c r="J3822" s="7">
        <f>I3822*G3822</f>
        <v/>
      </c>
      <c r="K3822" s="8">
        <f>IF($J$3845=0,0,J3822/$J$3845)</f>
        <v/>
      </c>
      <c r="L3822" s="6" t="inlineStr">
        <is>
          <t>WATCHLIST</t>
        </is>
      </c>
      <c r="M3822" s="8" t="n">
        <v>0</v>
      </c>
      <c r="N3822" s="7">
        <f>M3822*$J$3845-J3822</f>
        <v/>
      </c>
      <c r="O3822" s="9">
        <f>IF(G3822=0,0,N3822/G3822)</f>
        <v/>
      </c>
      <c r="P3822" s="6">
        <f>IF(M3822&gt;0,D3822,"")</f>
        <v/>
      </c>
      <c r="Q3822" s="9">
        <f>I3822+O3822</f>
        <v/>
      </c>
      <c r="R3822" s="7">
        <f>Q3822*G3822</f>
        <v/>
      </c>
      <c r="S3822" s="8">
        <f>IF($R$3845=0,0,R3822/$R$3845)</f>
        <v/>
      </c>
      <c r="T3822" s="8" t="n">
        <v>0.03512003999364377</v>
      </c>
      <c r="U3822" s="8" t="n">
        <v>0.03504835412617791</v>
      </c>
      <c r="V3822" s="6" t="inlineStr">
        <is>
          <t>not selected</t>
        </is>
      </c>
    </row>
    <row r="3823">
      <c r="A3823" s="6" t="inlineStr">
        <is>
          <t>DJ30</t>
        </is>
      </c>
      <c r="B3823" s="6" t="inlineStr">
        <is>
          <t>2025-05-16</t>
        </is>
      </c>
      <c r="C3823" s="6" t="inlineStr">
        <is>
          <t>DIA</t>
        </is>
      </c>
      <c r="D3823" s="6" t="inlineStr">
        <is>
          <t>CVX</t>
        </is>
      </c>
      <c r="E3823" s="6" t="inlineStr">
        <is>
          <t>CVX</t>
        </is>
      </c>
      <c r="F3823" s="6" t="inlineStr">
        <is>
          <t>-</t>
        </is>
      </c>
      <c r="G3823" s="7" t="n">
        <v>134.7464599609375</v>
      </c>
      <c r="H3823" s="6">
        <f>P3792</f>
        <v/>
      </c>
      <c r="I3823" s="9">
        <f>Q3792</f>
        <v/>
      </c>
      <c r="J3823" s="7">
        <f>I3823*G3823</f>
        <v/>
      </c>
      <c r="K3823" s="8">
        <f>IF($J$3845=0,0,J3823/$J$3845)</f>
        <v/>
      </c>
      <c r="L3823" s="6" t="inlineStr">
        <is>
          <t>REJECTED</t>
        </is>
      </c>
      <c r="M3823" s="8" t="n">
        <v>0</v>
      </c>
      <c r="N3823" s="7">
        <f>M3823*$J$3845-J3823</f>
        <v/>
      </c>
      <c r="O3823" s="9">
        <f>IF(G3823=0,0,N3823/G3823)</f>
        <v/>
      </c>
      <c r="P3823" s="6">
        <f>IF(M3823&gt;0,D3823,"")</f>
        <v/>
      </c>
      <c r="Q3823" s="9">
        <f>I3823+O3823</f>
        <v/>
      </c>
      <c r="R3823" s="7">
        <f>Q3823*G3823</f>
        <v/>
      </c>
      <c r="S3823" s="8">
        <f>IF($R$3845=0,0,R3823/$R$3845)</f>
        <v/>
      </c>
      <c r="T3823" s="8" t="n">
        <v>0.03512003999364377</v>
      </c>
      <c r="U3823" s="8" t="n">
        <v>0.03504835412617791</v>
      </c>
      <c r="V3823" s="6" t="inlineStr">
        <is>
          <t>not selected</t>
        </is>
      </c>
    </row>
    <row r="3824">
      <c r="A3824" s="6" t="inlineStr">
        <is>
          <t>DJ30</t>
        </is>
      </c>
      <c r="B3824" s="6" t="inlineStr">
        <is>
          <t>2025-05-16</t>
        </is>
      </c>
      <c r="C3824" s="6" t="inlineStr">
        <is>
          <t>DIA</t>
        </is>
      </c>
      <c r="D3824" s="6" t="inlineStr">
        <is>
          <t>DIS</t>
        </is>
      </c>
      <c r="E3824" s="6" t="inlineStr">
        <is>
          <t>DIS</t>
        </is>
      </c>
      <c r="F3824" s="6" t="inlineStr">
        <is>
          <t>-</t>
        </is>
      </c>
      <c r="G3824" s="7" t="n">
        <v>112.1793899536133</v>
      </c>
      <c r="H3824" s="6">
        <f>P3793</f>
        <v/>
      </c>
      <c r="I3824" s="9">
        <f>Q3793</f>
        <v/>
      </c>
      <c r="J3824" s="7">
        <f>I3824*G3824</f>
        <v/>
      </c>
      <c r="K3824" s="8">
        <f>IF($J$3845=0,0,J3824/$J$3845)</f>
        <v/>
      </c>
      <c r="L3824" s="6" t="inlineStr">
        <is>
          <t>REJECTED</t>
        </is>
      </c>
      <c r="M3824" s="8" t="n">
        <v>0</v>
      </c>
      <c r="N3824" s="7">
        <f>M3824*$J$3845-J3824</f>
        <v/>
      </c>
      <c r="O3824" s="9">
        <f>IF(G3824=0,0,N3824/G3824)</f>
        <v/>
      </c>
      <c r="P3824" s="6">
        <f>IF(M3824&gt;0,D3824,"")</f>
        <v/>
      </c>
      <c r="Q3824" s="9">
        <f>I3824+O3824</f>
        <v/>
      </c>
      <c r="R3824" s="7">
        <f>Q3824*G3824</f>
        <v/>
      </c>
      <c r="S3824" s="8">
        <f>IF($R$3845=0,0,R3824/$R$3845)</f>
        <v/>
      </c>
      <c r="T3824" s="8" t="n">
        <v>0.03512003999364377</v>
      </c>
      <c r="U3824" s="8" t="n">
        <v>0.03504835412617791</v>
      </c>
      <c r="V3824" s="6" t="inlineStr">
        <is>
          <t>not selected</t>
        </is>
      </c>
    </row>
    <row r="3825">
      <c r="A3825" s="6" t="inlineStr">
        <is>
          <t>DJ30</t>
        </is>
      </c>
      <c r="B3825" s="6" t="inlineStr">
        <is>
          <t>2025-05-16</t>
        </is>
      </c>
      <c r="C3825" s="6" t="inlineStr">
        <is>
          <t>DIA</t>
        </is>
      </c>
      <c r="D3825" s="6" t="inlineStr">
        <is>
          <t>GS</t>
        </is>
      </c>
      <c r="E3825" s="6" t="inlineStr">
        <is>
          <t>GS</t>
        </is>
      </c>
      <c r="F3825" s="6" t="inlineStr">
        <is>
          <t>-</t>
        </is>
      </c>
      <c r="G3825" s="7" t="n">
        <v>603.8048706054688</v>
      </c>
      <c r="H3825" s="6">
        <f>P3794</f>
        <v/>
      </c>
      <c r="I3825" s="9">
        <f>Q3794</f>
        <v/>
      </c>
      <c r="J3825" s="7">
        <f>I3825*G3825</f>
        <v/>
      </c>
      <c r="K3825" s="8">
        <f>IF($J$3845=0,0,J3825/$J$3845)</f>
        <v/>
      </c>
      <c r="L3825" s="6" t="inlineStr">
        <is>
          <t>WATCHLIST</t>
        </is>
      </c>
      <c r="M3825" s="8" t="n">
        <v>0</v>
      </c>
      <c r="N3825" s="7">
        <f>M3825*$J$3845-J3825</f>
        <v/>
      </c>
      <c r="O3825" s="9">
        <f>IF(G3825=0,0,N3825/G3825)</f>
        <v/>
      </c>
      <c r="P3825" s="6">
        <f>IF(M3825&gt;0,D3825,"")</f>
        <v/>
      </c>
      <c r="Q3825" s="9">
        <f>I3825+O3825</f>
        <v/>
      </c>
      <c r="R3825" s="7">
        <f>Q3825*G3825</f>
        <v/>
      </c>
      <c r="S3825" s="8">
        <f>IF($R$3845=0,0,R3825/$R$3845)</f>
        <v/>
      </c>
      <c r="T3825" s="8" t="n">
        <v>0.03512003999364377</v>
      </c>
      <c r="U3825" s="8" t="n">
        <v>0.03504835412617791</v>
      </c>
      <c r="V3825" s="6" t="inlineStr">
        <is>
          <t>not selected</t>
        </is>
      </c>
    </row>
    <row r="3826">
      <c r="A3826" s="6" t="inlineStr">
        <is>
          <t>DJ30</t>
        </is>
      </c>
      <c r="B3826" s="6" t="inlineStr">
        <is>
          <t>2025-05-16</t>
        </is>
      </c>
      <c r="C3826" s="6" t="inlineStr">
        <is>
          <t>DIA</t>
        </is>
      </c>
      <c r="D3826" s="6" t="inlineStr">
        <is>
          <t>HD</t>
        </is>
      </c>
      <c r="E3826" s="6" t="inlineStr">
        <is>
          <t>HD</t>
        </is>
      </c>
      <c r="F3826" s="6" t="inlineStr">
        <is>
          <t>-</t>
        </is>
      </c>
      <c r="G3826" s="7" t="n">
        <v>368.6273498535156</v>
      </c>
      <c r="H3826" s="6">
        <f>P3795</f>
        <v/>
      </c>
      <c r="I3826" s="9">
        <f>Q3795</f>
        <v/>
      </c>
      <c r="J3826" s="7">
        <f>I3826*G3826</f>
        <v/>
      </c>
      <c r="K3826" s="8">
        <f>IF($J$3845=0,0,J3826/$J$3845)</f>
        <v/>
      </c>
      <c r="L3826" s="6" t="inlineStr">
        <is>
          <t>REJECTED</t>
        </is>
      </c>
      <c r="M3826" s="8" t="n">
        <v>0</v>
      </c>
      <c r="N3826" s="7">
        <f>M3826*$J$3845-J3826</f>
        <v/>
      </c>
      <c r="O3826" s="9">
        <f>IF(G3826=0,0,N3826/G3826)</f>
        <v/>
      </c>
      <c r="P3826" s="6">
        <f>IF(M3826&gt;0,D3826,"")</f>
        <v/>
      </c>
      <c r="Q3826" s="9">
        <f>I3826+O3826</f>
        <v/>
      </c>
      <c r="R3826" s="7">
        <f>Q3826*G3826</f>
        <v/>
      </c>
      <c r="S3826" s="8">
        <f>IF($R$3845=0,0,R3826/$R$3845)</f>
        <v/>
      </c>
      <c r="T3826" s="8" t="n">
        <v>0.03512003999364377</v>
      </c>
      <c r="U3826" s="8" t="n">
        <v>0.03504835412617791</v>
      </c>
      <c r="V3826" s="6" t="inlineStr">
        <is>
          <t>not selected</t>
        </is>
      </c>
    </row>
    <row r="3827">
      <c r="A3827" s="6" t="inlineStr">
        <is>
          <t>DJ30</t>
        </is>
      </c>
      <c r="B3827" s="6" t="inlineStr">
        <is>
          <t>2025-05-16</t>
        </is>
      </c>
      <c r="C3827" s="6" t="inlineStr">
        <is>
          <t>DIA</t>
        </is>
      </c>
      <c r="D3827" s="6" t="inlineStr">
        <is>
          <t>HON</t>
        </is>
      </c>
      <c r="E3827" s="6" t="inlineStr">
        <is>
          <t>HON</t>
        </is>
      </c>
      <c r="F3827" s="6" t="inlineStr">
        <is>
          <t>-</t>
        </is>
      </c>
      <c r="G3827" s="7" t="n">
        <v>205.5778198242188</v>
      </c>
      <c r="H3827" s="6">
        <f>P3796</f>
        <v/>
      </c>
      <c r="I3827" s="9">
        <f>Q3796</f>
        <v/>
      </c>
      <c r="J3827" s="7">
        <f>I3827*G3827</f>
        <v/>
      </c>
      <c r="K3827" s="8">
        <f>IF($J$3845=0,0,J3827/$J$3845)</f>
        <v/>
      </c>
      <c r="L3827" s="6" t="inlineStr">
        <is>
          <t>REJECTED</t>
        </is>
      </c>
      <c r="M3827" s="8" t="n">
        <v>0</v>
      </c>
      <c r="N3827" s="7">
        <f>M3827*$J$3845-J3827</f>
        <v/>
      </c>
      <c r="O3827" s="9">
        <f>IF(G3827=0,0,N3827/G3827)</f>
        <v/>
      </c>
      <c r="P3827" s="6">
        <f>IF(M3827&gt;0,D3827,"")</f>
        <v/>
      </c>
      <c r="Q3827" s="9">
        <f>I3827+O3827</f>
        <v/>
      </c>
      <c r="R3827" s="7">
        <f>Q3827*G3827</f>
        <v/>
      </c>
      <c r="S3827" s="8">
        <f>IF($R$3845=0,0,R3827/$R$3845)</f>
        <v/>
      </c>
      <c r="T3827" s="8" t="n">
        <v>0.03512003999364377</v>
      </c>
      <c r="U3827" s="8" t="n">
        <v>0.03504835412617791</v>
      </c>
      <c r="V3827" s="6" t="inlineStr">
        <is>
          <t>not selected</t>
        </is>
      </c>
    </row>
    <row r="3828">
      <c r="A3828" s="6" t="inlineStr">
        <is>
          <t>DJ30</t>
        </is>
      </c>
      <c r="B3828" s="6" t="inlineStr">
        <is>
          <t>2025-05-16</t>
        </is>
      </c>
      <c r="C3828" s="6" t="inlineStr">
        <is>
          <t>DIA</t>
        </is>
      </c>
      <c r="D3828" s="6" t="inlineStr">
        <is>
          <t>IBM</t>
        </is>
      </c>
      <c r="E3828" s="6" t="inlineStr">
        <is>
          <t>IBM</t>
        </is>
      </c>
      <c r="F3828" s="6" t="inlineStr">
        <is>
          <t>-</t>
        </is>
      </c>
      <c r="G3828" s="7" t="n">
        <v>260.1072998046875</v>
      </c>
      <c r="H3828" s="6">
        <f>P3797</f>
        <v/>
      </c>
      <c r="I3828" s="9">
        <f>Q3797</f>
        <v/>
      </c>
      <c r="J3828" s="7">
        <f>I3828*G3828</f>
        <v/>
      </c>
      <c r="K3828" s="8">
        <f>IF($J$3845=0,0,J3828/$J$3845)</f>
        <v/>
      </c>
      <c r="L3828" s="6" t="inlineStr">
        <is>
          <t>SELECTED</t>
        </is>
      </c>
      <c r="M3828" s="8" t="n">
        <v>0.2</v>
      </c>
      <c r="N3828" s="7">
        <f>M3828*$J$3845-J3828</f>
        <v/>
      </c>
      <c r="O3828" s="9">
        <f>IF(G3828=0,0,N3828/G3828)</f>
        <v/>
      </c>
      <c r="P3828" s="6">
        <f>IF(M3828&gt;0,D3828,"")</f>
        <v/>
      </c>
      <c r="Q3828" s="9">
        <f>I3828+O3828</f>
        <v/>
      </c>
      <c r="R3828" s="7">
        <f>Q3828*G3828</f>
        <v/>
      </c>
      <c r="S3828" s="8">
        <f>IF($R$3845=0,0,R3828/$R$3845)</f>
        <v/>
      </c>
      <c r="T3828" s="8" t="n">
        <v>0.03512003999364377</v>
      </c>
      <c r="U3828" s="8" t="n">
        <v>0.03504835412617791</v>
      </c>
      <c r="V3828" s="6" t="inlineStr">
        <is>
          <t>remained in weekly selection</t>
        </is>
      </c>
    </row>
    <row r="3829">
      <c r="A3829" s="6" t="inlineStr">
        <is>
          <t>DJ30</t>
        </is>
      </c>
      <c r="B3829" s="6" t="inlineStr">
        <is>
          <t>2025-05-16</t>
        </is>
      </c>
      <c r="C3829" s="6" t="inlineStr">
        <is>
          <t>DIA</t>
        </is>
      </c>
      <c r="D3829" s="6" t="inlineStr">
        <is>
          <t>JNJ</t>
        </is>
      </c>
      <c r="E3829" s="6" t="inlineStr">
        <is>
          <t>JNJ</t>
        </is>
      </c>
      <c r="F3829" s="6" t="inlineStr">
        <is>
          <t>-</t>
        </is>
      </c>
      <c r="G3829" s="7" t="n">
        <v>146.3860626220703</v>
      </c>
      <c r="H3829" s="6">
        <f>P3798</f>
        <v/>
      </c>
      <c r="I3829" s="9">
        <f>Q3798</f>
        <v/>
      </c>
      <c r="J3829" s="7">
        <f>I3829*G3829</f>
        <v/>
      </c>
      <c r="K3829" s="8">
        <f>IF($J$3845=0,0,J3829/$J$3845)</f>
        <v/>
      </c>
      <c r="L3829" s="6" t="inlineStr">
        <is>
          <t>REJECTED</t>
        </is>
      </c>
      <c r="M3829" s="8" t="n">
        <v>0</v>
      </c>
      <c r="N3829" s="7">
        <f>M3829*$J$3845-J3829</f>
        <v/>
      </c>
      <c r="O3829" s="9">
        <f>IF(G3829=0,0,N3829/G3829)</f>
        <v/>
      </c>
      <c r="P3829" s="6">
        <f>IF(M3829&gt;0,D3829,"")</f>
        <v/>
      </c>
      <c r="Q3829" s="9">
        <f>I3829+O3829</f>
        <v/>
      </c>
      <c r="R3829" s="7">
        <f>Q3829*G3829</f>
        <v/>
      </c>
      <c r="S3829" s="8">
        <f>IF($R$3845=0,0,R3829/$R$3845)</f>
        <v/>
      </c>
      <c r="T3829" s="8" t="n">
        <v>0.03512003999364377</v>
      </c>
      <c r="U3829" s="8" t="n">
        <v>0.03504835412617791</v>
      </c>
      <c r="V3829" s="6" t="inlineStr">
        <is>
          <t>not selected</t>
        </is>
      </c>
    </row>
    <row r="3830">
      <c r="A3830" s="6" t="inlineStr">
        <is>
          <t>DJ30</t>
        </is>
      </c>
      <c r="B3830" s="6" t="inlineStr">
        <is>
          <t>2025-05-16</t>
        </is>
      </c>
      <c r="C3830" s="6" t="inlineStr">
        <is>
          <t>DIA</t>
        </is>
      </c>
      <c r="D3830" s="6" t="inlineStr">
        <is>
          <t>JPM</t>
        </is>
      </c>
      <c r="E3830" s="6" t="inlineStr">
        <is>
          <t>JPM</t>
        </is>
      </c>
      <c r="F3830" s="6" t="inlineStr">
        <is>
          <t>-</t>
        </is>
      </c>
      <c r="G3830" s="7" t="n">
        <v>262.4557495117188</v>
      </c>
      <c r="H3830" s="6">
        <f>P3799</f>
        <v/>
      </c>
      <c r="I3830" s="9">
        <f>Q3799</f>
        <v/>
      </c>
      <c r="J3830" s="7">
        <f>I3830*G3830</f>
        <v/>
      </c>
      <c r="K3830" s="8">
        <f>IF($J$3845=0,0,J3830/$J$3845)</f>
        <v/>
      </c>
      <c r="L3830" s="6" t="inlineStr">
        <is>
          <t>WATCHLIST</t>
        </is>
      </c>
      <c r="M3830" s="8" t="n">
        <v>0</v>
      </c>
      <c r="N3830" s="7">
        <f>M3830*$J$3845-J3830</f>
        <v/>
      </c>
      <c r="O3830" s="9">
        <f>IF(G3830=0,0,N3830/G3830)</f>
        <v/>
      </c>
      <c r="P3830" s="6">
        <f>IF(M3830&gt;0,D3830,"")</f>
        <v/>
      </c>
      <c r="Q3830" s="9">
        <f>I3830+O3830</f>
        <v/>
      </c>
      <c r="R3830" s="7">
        <f>Q3830*G3830</f>
        <v/>
      </c>
      <c r="S3830" s="8">
        <f>IF($R$3845=0,0,R3830/$R$3845)</f>
        <v/>
      </c>
      <c r="T3830" s="8" t="n">
        <v>0.03512003999364377</v>
      </c>
      <c r="U3830" s="8" t="n">
        <v>0.03504835412617791</v>
      </c>
      <c r="V3830" s="6" t="inlineStr">
        <is>
          <t>not selected</t>
        </is>
      </c>
    </row>
    <row r="3831">
      <c r="A3831" s="6" t="inlineStr">
        <is>
          <t>DJ30</t>
        </is>
      </c>
      <c r="B3831" s="6" t="inlineStr">
        <is>
          <t>2025-05-16</t>
        </is>
      </c>
      <c r="C3831" s="6" t="inlineStr">
        <is>
          <t>DIA</t>
        </is>
      </c>
      <c r="D3831" s="6" t="inlineStr">
        <is>
          <t>KO</t>
        </is>
      </c>
      <c r="E3831" s="6" t="inlineStr">
        <is>
          <t>KO</t>
        </is>
      </c>
      <c r="F3831" s="6" t="inlineStr">
        <is>
          <t>-</t>
        </is>
      </c>
      <c r="G3831" s="7" t="n">
        <v>69.52275085449219</v>
      </c>
      <c r="H3831" s="6">
        <f>P3800</f>
        <v/>
      </c>
      <c r="I3831" s="9">
        <f>Q3800</f>
        <v/>
      </c>
      <c r="J3831" s="7">
        <f>I3831*G3831</f>
        <v/>
      </c>
      <c r="K3831" s="8">
        <f>IF($J$3845=0,0,J3831/$J$3845)</f>
        <v/>
      </c>
      <c r="L3831" s="6" t="inlineStr">
        <is>
          <t>REJECTED</t>
        </is>
      </c>
      <c r="M3831" s="8" t="n">
        <v>0</v>
      </c>
      <c r="N3831" s="7">
        <f>M3831*$J$3845-J3831</f>
        <v/>
      </c>
      <c r="O3831" s="9">
        <f>IF(G3831=0,0,N3831/G3831)</f>
        <v/>
      </c>
      <c r="P3831" s="6">
        <f>IF(M3831&gt;0,D3831,"")</f>
        <v/>
      </c>
      <c r="Q3831" s="9">
        <f>I3831+O3831</f>
        <v/>
      </c>
      <c r="R3831" s="7">
        <f>Q3831*G3831</f>
        <v/>
      </c>
      <c r="S3831" s="8">
        <f>IF($R$3845=0,0,R3831/$R$3845)</f>
        <v/>
      </c>
      <c r="T3831" s="8" t="n">
        <v>0.03512003999364377</v>
      </c>
      <c r="U3831" s="8" t="n">
        <v>0.03504835412617791</v>
      </c>
      <c r="V3831" s="6" t="inlineStr">
        <is>
          <t>not selected</t>
        </is>
      </c>
    </row>
    <row r="3832">
      <c r="A3832" s="6" t="inlineStr">
        <is>
          <t>DJ30</t>
        </is>
      </c>
      <c r="B3832" s="6" t="inlineStr">
        <is>
          <t>2025-05-16</t>
        </is>
      </c>
      <c r="C3832" s="6" t="inlineStr">
        <is>
          <t>DIA</t>
        </is>
      </c>
      <c r="D3832" s="6" t="inlineStr">
        <is>
          <t>MCD</t>
        </is>
      </c>
      <c r="E3832" s="6" t="inlineStr">
        <is>
          <t>MCD</t>
        </is>
      </c>
      <c r="F3832" s="6" t="inlineStr">
        <is>
          <t>-</t>
        </is>
      </c>
      <c r="G3832" s="7" t="n">
        <v>309.3081665039062</v>
      </c>
      <c r="H3832" s="6">
        <f>P3801</f>
        <v/>
      </c>
      <c r="I3832" s="9">
        <f>Q3801</f>
        <v/>
      </c>
      <c r="J3832" s="7">
        <f>I3832*G3832</f>
        <v/>
      </c>
      <c r="K3832" s="8">
        <f>IF($J$3845=0,0,J3832/$J$3845)</f>
        <v/>
      </c>
      <c r="L3832" s="6" t="inlineStr">
        <is>
          <t>SELECTED</t>
        </is>
      </c>
      <c r="M3832" s="8" t="n">
        <v>0.2</v>
      </c>
      <c r="N3832" s="7">
        <f>M3832*$J$3845-J3832</f>
        <v/>
      </c>
      <c r="O3832" s="9">
        <f>IF(G3832=0,0,N3832/G3832)</f>
        <v/>
      </c>
      <c r="P3832" s="6">
        <f>IF(M3832&gt;0,D3832,"")</f>
        <v/>
      </c>
      <c r="Q3832" s="9">
        <f>I3832+O3832</f>
        <v/>
      </c>
      <c r="R3832" s="7">
        <f>Q3832*G3832</f>
        <v/>
      </c>
      <c r="S3832" s="8">
        <f>IF($R$3845=0,0,R3832/$R$3845)</f>
        <v/>
      </c>
      <c r="T3832" s="8" t="n">
        <v>0.03512003999364377</v>
      </c>
      <c r="U3832" s="8" t="n">
        <v>0.03504835412617791</v>
      </c>
      <c r="V3832" s="6" t="inlineStr">
        <is>
          <t>remained in weekly selection</t>
        </is>
      </c>
    </row>
    <row r="3833">
      <c r="A3833" s="6" t="inlineStr">
        <is>
          <t>DJ30</t>
        </is>
      </c>
      <c r="B3833" s="6" t="inlineStr">
        <is>
          <t>2025-05-16</t>
        </is>
      </c>
      <c r="C3833" s="6" t="inlineStr">
        <is>
          <t>DIA</t>
        </is>
      </c>
      <c r="D3833" s="6" t="inlineStr">
        <is>
          <t>MMM</t>
        </is>
      </c>
      <c r="E3833" s="6" t="inlineStr">
        <is>
          <t>MMM</t>
        </is>
      </c>
      <c r="F3833" s="6" t="inlineStr">
        <is>
          <t>-</t>
        </is>
      </c>
      <c r="G3833" s="7" t="n">
        <v>149.5660095214844</v>
      </c>
      <c r="H3833" s="6">
        <f>P3802</f>
        <v/>
      </c>
      <c r="I3833" s="9">
        <f>Q3802</f>
        <v/>
      </c>
      <c r="J3833" s="7">
        <f>I3833*G3833</f>
        <v/>
      </c>
      <c r="K3833" s="8">
        <f>IF($J$3845=0,0,J3833/$J$3845)</f>
        <v/>
      </c>
      <c r="L3833" s="6" t="inlineStr">
        <is>
          <t>SELECTED</t>
        </is>
      </c>
      <c r="M3833" s="8" t="n">
        <v>0.2</v>
      </c>
      <c r="N3833" s="7">
        <f>M3833*$J$3845-J3833</f>
        <v/>
      </c>
      <c r="O3833" s="9">
        <f>IF(G3833=0,0,N3833/G3833)</f>
        <v/>
      </c>
      <c r="P3833" s="6">
        <f>IF(M3833&gt;0,D3833,"")</f>
        <v/>
      </c>
      <c r="Q3833" s="9">
        <f>I3833+O3833</f>
        <v/>
      </c>
      <c r="R3833" s="7">
        <f>Q3833*G3833</f>
        <v/>
      </c>
      <c r="S3833" s="8">
        <f>IF($R$3845=0,0,R3833/$R$3845)</f>
        <v/>
      </c>
      <c r="T3833" s="8" t="n">
        <v>0.03512003999364377</v>
      </c>
      <c r="U3833" s="8" t="n">
        <v>0.03504835412617791</v>
      </c>
      <c r="V3833" s="6" t="inlineStr">
        <is>
          <t>remained in weekly selection</t>
        </is>
      </c>
    </row>
    <row r="3834">
      <c r="A3834" s="6" t="inlineStr">
        <is>
          <t>DJ30</t>
        </is>
      </c>
      <c r="B3834" s="6" t="inlineStr">
        <is>
          <t>2025-05-16</t>
        </is>
      </c>
      <c r="C3834" s="6" t="inlineStr">
        <is>
          <t>DIA</t>
        </is>
      </c>
      <c r="D3834" s="6" t="inlineStr">
        <is>
          <t>MRK</t>
        </is>
      </c>
      <c r="E3834" s="6" t="inlineStr">
        <is>
          <t>MRK</t>
        </is>
      </c>
      <c r="F3834" s="6" t="inlineStr">
        <is>
          <t>-</t>
        </is>
      </c>
      <c r="G3834" s="7" t="n">
        <v>72.86983489990234</v>
      </c>
      <c r="H3834" s="6">
        <f>P3803</f>
        <v/>
      </c>
      <c r="I3834" s="9">
        <f>Q3803</f>
        <v/>
      </c>
      <c r="J3834" s="7">
        <f>I3834*G3834</f>
        <v/>
      </c>
      <c r="K3834" s="8">
        <f>IF($J$3845=0,0,J3834/$J$3845)</f>
        <v/>
      </c>
      <c r="L3834" s="6" t="inlineStr">
        <is>
          <t>REJECTED</t>
        </is>
      </c>
      <c r="M3834" s="8" t="n">
        <v>0</v>
      </c>
      <c r="N3834" s="7">
        <f>M3834*$J$3845-J3834</f>
        <v/>
      </c>
      <c r="O3834" s="9">
        <f>IF(G3834=0,0,N3834/G3834)</f>
        <v/>
      </c>
      <c r="P3834" s="6">
        <f>IF(M3834&gt;0,D3834,"")</f>
        <v/>
      </c>
      <c r="Q3834" s="9">
        <f>I3834+O3834</f>
        <v/>
      </c>
      <c r="R3834" s="7">
        <f>Q3834*G3834</f>
        <v/>
      </c>
      <c r="S3834" s="8">
        <f>IF($R$3845=0,0,R3834/$R$3845)</f>
        <v/>
      </c>
      <c r="T3834" s="8" t="n">
        <v>0.03512003999364377</v>
      </c>
      <c r="U3834" s="8" t="n">
        <v>0.03504835412617791</v>
      </c>
      <c r="V3834" s="6" t="inlineStr">
        <is>
          <t>not selected</t>
        </is>
      </c>
    </row>
    <row r="3835">
      <c r="A3835" s="6" t="inlineStr">
        <is>
          <t>DJ30</t>
        </is>
      </c>
      <c r="B3835" s="6" t="inlineStr">
        <is>
          <t>2025-05-16</t>
        </is>
      </c>
      <c r="C3835" s="6" t="inlineStr">
        <is>
          <t>DIA</t>
        </is>
      </c>
      <c r="D3835" s="6" t="inlineStr">
        <is>
          <t>MSFT</t>
        </is>
      </c>
      <c r="E3835" s="6" t="inlineStr">
        <is>
          <t>MSFT</t>
        </is>
      </c>
      <c r="F3835" s="6" t="inlineStr">
        <is>
          <t>-</t>
        </is>
      </c>
      <c r="G3835" s="7" t="n">
        <v>450.6702270507813</v>
      </c>
      <c r="H3835" s="6">
        <f>P3804</f>
        <v/>
      </c>
      <c r="I3835" s="9">
        <f>Q3804</f>
        <v/>
      </c>
      <c r="J3835" s="7">
        <f>I3835*G3835</f>
        <v/>
      </c>
      <c r="K3835" s="8">
        <f>IF($J$3845=0,0,J3835/$J$3845)</f>
        <v/>
      </c>
      <c r="L3835" s="6" t="inlineStr">
        <is>
          <t>REJECTED</t>
        </is>
      </c>
      <c r="M3835" s="8" t="n">
        <v>0</v>
      </c>
      <c r="N3835" s="7">
        <f>M3835*$J$3845-J3835</f>
        <v/>
      </c>
      <c r="O3835" s="9">
        <f>IF(G3835=0,0,N3835/G3835)</f>
        <v/>
      </c>
      <c r="P3835" s="6">
        <f>IF(M3835&gt;0,D3835,"")</f>
        <v/>
      </c>
      <c r="Q3835" s="9">
        <f>I3835+O3835</f>
        <v/>
      </c>
      <c r="R3835" s="7">
        <f>Q3835*G3835</f>
        <v/>
      </c>
      <c r="S3835" s="8">
        <f>IF($R$3845=0,0,R3835/$R$3845)</f>
        <v/>
      </c>
      <c r="T3835" s="8" t="n">
        <v>0.03512003999364377</v>
      </c>
      <c r="U3835" s="8" t="n">
        <v>0.03504835412617791</v>
      </c>
      <c r="V3835" s="6" t="inlineStr">
        <is>
          <t>not selected</t>
        </is>
      </c>
    </row>
    <row r="3836">
      <c r="A3836" s="6" t="inlineStr">
        <is>
          <t>DJ30</t>
        </is>
      </c>
      <c r="B3836" s="6" t="inlineStr">
        <is>
          <t>2025-05-16</t>
        </is>
      </c>
      <c r="C3836" s="6" t="inlineStr">
        <is>
          <t>DIA</t>
        </is>
      </c>
      <c r="D3836" s="6" t="inlineStr">
        <is>
          <t>NKE</t>
        </is>
      </c>
      <c r="E3836" s="6" t="inlineStr">
        <is>
          <t>NKE</t>
        </is>
      </c>
      <c r="F3836" s="6" t="inlineStr">
        <is>
          <t>-</t>
        </is>
      </c>
      <c r="G3836" s="7" t="n">
        <v>61.01894378662109</v>
      </c>
      <c r="H3836" s="6">
        <f>P3805</f>
        <v/>
      </c>
      <c r="I3836" s="9">
        <f>Q3805</f>
        <v/>
      </c>
      <c r="J3836" s="7">
        <f>I3836*G3836</f>
        <v/>
      </c>
      <c r="K3836" s="8">
        <f>IF($J$3845=0,0,J3836/$J$3845)</f>
        <v/>
      </c>
      <c r="L3836" s="6" t="inlineStr">
        <is>
          <t>REJECTED</t>
        </is>
      </c>
      <c r="M3836" s="8" t="n">
        <v>0</v>
      </c>
      <c r="N3836" s="7">
        <f>M3836*$J$3845-J3836</f>
        <v/>
      </c>
      <c r="O3836" s="9">
        <f>IF(G3836=0,0,N3836/G3836)</f>
        <v/>
      </c>
      <c r="P3836" s="6">
        <f>IF(M3836&gt;0,D3836,"")</f>
        <v/>
      </c>
      <c r="Q3836" s="9">
        <f>I3836+O3836</f>
        <v/>
      </c>
      <c r="R3836" s="7">
        <f>Q3836*G3836</f>
        <v/>
      </c>
      <c r="S3836" s="8">
        <f>IF($R$3845=0,0,R3836/$R$3845)</f>
        <v/>
      </c>
      <c r="T3836" s="8" t="n">
        <v>0.03512003999364377</v>
      </c>
      <c r="U3836" s="8" t="n">
        <v>0.03504835412617791</v>
      </c>
      <c r="V3836" s="6" t="inlineStr">
        <is>
          <t>not selected</t>
        </is>
      </c>
    </row>
    <row r="3837">
      <c r="A3837" s="6" t="inlineStr">
        <is>
          <t>DJ30</t>
        </is>
      </c>
      <c r="B3837" s="6" t="inlineStr">
        <is>
          <t>2025-05-16</t>
        </is>
      </c>
      <c r="C3837" s="6" t="inlineStr">
        <is>
          <t>DIA</t>
        </is>
      </c>
      <c r="D3837" s="6" t="inlineStr">
        <is>
          <t>NVDA</t>
        </is>
      </c>
      <c r="E3837" s="6" t="inlineStr">
        <is>
          <t>NVDA</t>
        </is>
      </c>
      <c r="F3837" s="6" t="inlineStr">
        <is>
          <t>-</t>
        </is>
      </c>
      <c r="G3837" s="7" t="n">
        <v>135.2105102539062</v>
      </c>
      <c r="H3837" s="6">
        <f>P3806</f>
        <v/>
      </c>
      <c r="I3837" s="9">
        <f>Q3806</f>
        <v/>
      </c>
      <c r="J3837" s="7">
        <f>I3837*G3837</f>
        <v/>
      </c>
      <c r="K3837" s="8">
        <f>IF($J$3845=0,0,J3837/$J$3845)</f>
        <v/>
      </c>
      <c r="L3837" s="6" t="inlineStr">
        <is>
          <t>REJECTED</t>
        </is>
      </c>
      <c r="M3837" s="8" t="n">
        <v>0</v>
      </c>
      <c r="N3837" s="7">
        <f>M3837*$J$3845-J3837</f>
        <v/>
      </c>
      <c r="O3837" s="9">
        <f>IF(G3837=0,0,N3837/G3837)</f>
        <v/>
      </c>
      <c r="P3837" s="6">
        <f>IF(M3837&gt;0,D3837,"")</f>
        <v/>
      </c>
      <c r="Q3837" s="9">
        <f>I3837+O3837</f>
        <v/>
      </c>
      <c r="R3837" s="7">
        <f>Q3837*G3837</f>
        <v/>
      </c>
      <c r="S3837" s="8">
        <f>IF($R$3845=0,0,R3837/$R$3845)</f>
        <v/>
      </c>
      <c r="T3837" s="8" t="n">
        <v>0.03512003999364377</v>
      </c>
      <c r="U3837" s="8" t="n">
        <v>0.03504835412617791</v>
      </c>
      <c r="V3837" s="6" t="inlineStr">
        <is>
          <t>not selected</t>
        </is>
      </c>
    </row>
    <row r="3838">
      <c r="A3838" s="6" t="inlineStr">
        <is>
          <t>DJ30</t>
        </is>
      </c>
      <c r="B3838" s="6" t="inlineStr">
        <is>
          <t>2025-05-16</t>
        </is>
      </c>
      <c r="C3838" s="6" t="inlineStr">
        <is>
          <t>DIA</t>
        </is>
      </c>
      <c r="D3838" s="6" t="inlineStr">
        <is>
          <t>PG</t>
        </is>
      </c>
      <c r="E3838" s="6" t="inlineStr">
        <is>
          <t>PG</t>
        </is>
      </c>
      <c r="F3838" s="6" t="inlineStr">
        <is>
          <t>-</t>
        </is>
      </c>
      <c r="G3838" s="7" t="n">
        <v>158.7143249511719</v>
      </c>
      <c r="H3838" s="6">
        <f>P3807</f>
        <v/>
      </c>
      <c r="I3838" s="9">
        <f>Q3807</f>
        <v/>
      </c>
      <c r="J3838" s="7">
        <f>I3838*G3838</f>
        <v/>
      </c>
      <c r="K3838" s="8">
        <f>IF($J$3845=0,0,J3838/$J$3845)</f>
        <v/>
      </c>
      <c r="L3838" s="6" t="inlineStr">
        <is>
          <t>REJECTED</t>
        </is>
      </c>
      <c r="M3838" s="8" t="n">
        <v>0</v>
      </c>
      <c r="N3838" s="7">
        <f>M3838*$J$3845-J3838</f>
        <v/>
      </c>
      <c r="O3838" s="9">
        <f>IF(G3838=0,0,N3838/G3838)</f>
        <v/>
      </c>
      <c r="P3838" s="6">
        <f>IF(M3838&gt;0,D3838,"")</f>
        <v/>
      </c>
      <c r="Q3838" s="9">
        <f>I3838+O3838</f>
        <v/>
      </c>
      <c r="R3838" s="7">
        <f>Q3838*G3838</f>
        <v/>
      </c>
      <c r="S3838" s="8">
        <f>IF($R$3845=0,0,R3838/$R$3845)</f>
        <v/>
      </c>
      <c r="T3838" s="8" t="n">
        <v>0.03512003999364377</v>
      </c>
      <c r="U3838" s="8" t="n">
        <v>0.03504835412617791</v>
      </c>
      <c r="V3838" s="6" t="inlineStr">
        <is>
          <t>not selected</t>
        </is>
      </c>
    </row>
    <row r="3839">
      <c r="A3839" s="6" t="inlineStr">
        <is>
          <t>DJ30</t>
        </is>
      </c>
      <c r="B3839" s="6" t="inlineStr">
        <is>
          <t>2025-05-16</t>
        </is>
      </c>
      <c r="C3839" s="6" t="inlineStr">
        <is>
          <t>DIA</t>
        </is>
      </c>
      <c r="D3839" s="6" t="inlineStr">
        <is>
          <t>SHW</t>
        </is>
      </c>
      <c r="E3839" s="6" t="inlineStr">
        <is>
          <t>SHW</t>
        </is>
      </c>
      <c r="F3839" s="6" t="inlineStr">
        <is>
          <t>-</t>
        </is>
      </c>
      <c r="G3839" s="7" t="n">
        <v>360.1465148925781</v>
      </c>
      <c r="H3839" s="6">
        <f>P3808</f>
        <v/>
      </c>
      <c r="I3839" s="9">
        <f>Q3808</f>
        <v/>
      </c>
      <c r="J3839" s="7">
        <f>I3839*G3839</f>
        <v/>
      </c>
      <c r="K3839" s="8">
        <f>IF($J$3845=0,0,J3839/$J$3845)</f>
        <v/>
      </c>
      <c r="L3839" s="6" t="inlineStr">
        <is>
          <t>REJECTED</t>
        </is>
      </c>
      <c r="M3839" s="8" t="n">
        <v>0</v>
      </c>
      <c r="N3839" s="7">
        <f>M3839*$J$3845-J3839</f>
        <v/>
      </c>
      <c r="O3839" s="9">
        <f>IF(G3839=0,0,N3839/G3839)</f>
        <v/>
      </c>
      <c r="P3839" s="6">
        <f>IF(M3839&gt;0,D3839,"")</f>
        <v/>
      </c>
      <c r="Q3839" s="9">
        <f>I3839+O3839</f>
        <v/>
      </c>
      <c r="R3839" s="7">
        <f>Q3839*G3839</f>
        <v/>
      </c>
      <c r="S3839" s="8">
        <f>IF($R$3845=0,0,R3839/$R$3845)</f>
        <v/>
      </c>
      <c r="T3839" s="8" t="n">
        <v>0.03512003999364377</v>
      </c>
      <c r="U3839" s="8" t="n">
        <v>0.03504835412617791</v>
      </c>
      <c r="V3839" s="6" t="inlineStr">
        <is>
          <t>not selected</t>
        </is>
      </c>
    </row>
    <row r="3840">
      <c r="A3840" s="6" t="inlineStr">
        <is>
          <t>DJ30</t>
        </is>
      </c>
      <c r="B3840" s="6" t="inlineStr">
        <is>
          <t>2025-05-16</t>
        </is>
      </c>
      <c r="C3840" s="6" t="inlineStr">
        <is>
          <t>DIA</t>
        </is>
      </c>
      <c r="D3840" s="6" t="inlineStr">
        <is>
          <t>TRV</t>
        </is>
      </c>
      <c r="E3840" s="6" t="inlineStr">
        <is>
          <t>TRV</t>
        </is>
      </c>
      <c r="F3840" s="6" t="inlineStr">
        <is>
          <t>-</t>
        </is>
      </c>
      <c r="G3840" s="7" t="n">
        <v>268.2384643554688</v>
      </c>
      <c r="H3840" s="6">
        <f>P3809</f>
        <v/>
      </c>
      <c r="I3840" s="9">
        <f>Q3809</f>
        <v/>
      </c>
      <c r="J3840" s="7">
        <f>I3840*G3840</f>
        <v/>
      </c>
      <c r="K3840" s="8">
        <f>IF($J$3845=0,0,J3840/$J$3845)</f>
        <v/>
      </c>
      <c r="L3840" s="6" t="inlineStr">
        <is>
          <t>WATCHLIST</t>
        </is>
      </c>
      <c r="M3840" s="8" t="n">
        <v>0</v>
      </c>
      <c r="N3840" s="7">
        <f>M3840*$J$3845-J3840</f>
        <v/>
      </c>
      <c r="O3840" s="9">
        <f>IF(G3840=0,0,N3840/G3840)</f>
        <v/>
      </c>
      <c r="P3840" s="6">
        <f>IF(M3840&gt;0,D3840,"")</f>
        <v/>
      </c>
      <c r="Q3840" s="9">
        <f>I3840+O3840</f>
        <v/>
      </c>
      <c r="R3840" s="7">
        <f>Q3840*G3840</f>
        <v/>
      </c>
      <c r="S3840" s="8">
        <f>IF($R$3845=0,0,R3840/$R$3845)</f>
        <v/>
      </c>
      <c r="T3840" s="8" t="n">
        <v>0.03512003999364377</v>
      </c>
      <c r="U3840" s="8" t="n">
        <v>0.03504835412617791</v>
      </c>
      <c r="V3840" s="6" t="inlineStr">
        <is>
          <t>not selected</t>
        </is>
      </c>
    </row>
    <row r="3841">
      <c r="A3841" s="6" t="inlineStr">
        <is>
          <t>DJ30</t>
        </is>
      </c>
      <c r="B3841" s="6" t="inlineStr">
        <is>
          <t>2025-05-16</t>
        </is>
      </c>
      <c r="C3841" s="6" t="inlineStr">
        <is>
          <t>DIA</t>
        </is>
      </c>
      <c r="D3841" s="6" t="inlineStr">
        <is>
          <t>UNH</t>
        </is>
      </c>
      <c r="E3841" s="6" t="inlineStr">
        <is>
          <t>UNH</t>
        </is>
      </c>
      <c r="F3841" s="6" t="inlineStr">
        <is>
          <t>-</t>
        </is>
      </c>
      <c r="G3841" s="7" t="n">
        <v>282.2920837402344</v>
      </c>
      <c r="H3841" s="6">
        <f>P3810</f>
        <v/>
      </c>
      <c r="I3841" s="9">
        <f>Q3810</f>
        <v/>
      </c>
      <c r="J3841" s="7">
        <f>I3841*G3841</f>
        <v/>
      </c>
      <c r="K3841" s="8">
        <f>IF($J$3845=0,0,J3841/$J$3845)</f>
        <v/>
      </c>
      <c r="L3841" s="6" t="inlineStr">
        <is>
          <t>REJECTED</t>
        </is>
      </c>
      <c r="M3841" s="8" t="n">
        <v>0</v>
      </c>
      <c r="N3841" s="7">
        <f>M3841*$J$3845-J3841</f>
        <v/>
      </c>
      <c r="O3841" s="9">
        <f>IF(G3841=0,0,N3841/G3841)</f>
        <v/>
      </c>
      <c r="P3841" s="6">
        <f>IF(M3841&gt;0,D3841,"")</f>
        <v/>
      </c>
      <c r="Q3841" s="9">
        <f>I3841+O3841</f>
        <v/>
      </c>
      <c r="R3841" s="7">
        <f>Q3841*G3841</f>
        <v/>
      </c>
      <c r="S3841" s="8">
        <f>IF($R$3845=0,0,R3841/$R$3845)</f>
        <v/>
      </c>
      <c r="T3841" s="8" t="n">
        <v>0.03512003999364377</v>
      </c>
      <c r="U3841" s="8" t="n">
        <v>0.03504835412617791</v>
      </c>
      <c r="V3841" s="6" t="inlineStr">
        <is>
          <t>not selected</t>
        </is>
      </c>
    </row>
    <row r="3842">
      <c r="A3842" s="6" t="inlineStr">
        <is>
          <t>DJ30</t>
        </is>
      </c>
      <c r="B3842" s="6" t="inlineStr">
        <is>
          <t>2025-05-16</t>
        </is>
      </c>
      <c r="C3842" s="6" t="inlineStr">
        <is>
          <t>DIA</t>
        </is>
      </c>
      <c r="D3842" s="6" t="inlineStr">
        <is>
          <t>V</t>
        </is>
      </c>
      <c r="E3842" s="6" t="inlineStr">
        <is>
          <t>V</t>
        </is>
      </c>
      <c r="F3842" s="6" t="inlineStr">
        <is>
          <t>-</t>
        </is>
      </c>
      <c r="G3842" s="7" t="n">
        <v>362.258544921875</v>
      </c>
      <c r="H3842" s="6">
        <f>P3811</f>
        <v/>
      </c>
      <c r="I3842" s="9">
        <f>Q3811</f>
        <v/>
      </c>
      <c r="J3842" s="7">
        <f>I3842*G3842</f>
        <v/>
      </c>
      <c r="K3842" s="8">
        <f>IF($J$3845=0,0,J3842/$J$3845)</f>
        <v/>
      </c>
      <c r="L3842" s="6" t="inlineStr">
        <is>
          <t>WATCHLIST</t>
        </is>
      </c>
      <c r="M3842" s="8" t="n">
        <v>0</v>
      </c>
      <c r="N3842" s="7">
        <f>M3842*$J$3845-J3842</f>
        <v/>
      </c>
      <c r="O3842" s="9">
        <f>IF(G3842=0,0,N3842/G3842)</f>
        <v/>
      </c>
      <c r="P3842" s="6">
        <f>IF(M3842&gt;0,D3842,"")</f>
        <v/>
      </c>
      <c r="Q3842" s="9">
        <f>I3842+O3842</f>
        <v/>
      </c>
      <c r="R3842" s="7">
        <f>Q3842*G3842</f>
        <v/>
      </c>
      <c r="S3842" s="8">
        <f>IF($R$3845=0,0,R3842/$R$3845)</f>
        <v/>
      </c>
      <c r="T3842" s="8" t="n">
        <v>0.03512003999364377</v>
      </c>
      <c r="U3842" s="8" t="n">
        <v>0.03504835412617791</v>
      </c>
      <c r="V3842" s="6" t="inlineStr">
        <is>
          <t>not selected</t>
        </is>
      </c>
    </row>
    <row r="3843">
      <c r="A3843" s="6" t="inlineStr">
        <is>
          <t>DJ30</t>
        </is>
      </c>
      <c r="B3843" s="6" t="inlineStr">
        <is>
          <t>2025-05-16</t>
        </is>
      </c>
      <c r="C3843" s="6" t="inlineStr">
        <is>
          <t>DIA</t>
        </is>
      </c>
      <c r="D3843" s="6" t="inlineStr">
        <is>
          <t>VZ</t>
        </is>
      </c>
      <c r="E3843" s="6" t="inlineStr">
        <is>
          <t>VZ</t>
        </is>
      </c>
      <c r="F3843" s="6" t="inlineStr">
        <is>
          <t>-</t>
        </is>
      </c>
      <c r="G3843" s="7" t="n">
        <v>41.21280670166016</v>
      </c>
      <c r="H3843" s="6">
        <f>P3812</f>
        <v/>
      </c>
      <c r="I3843" s="9">
        <f>Q3812</f>
        <v/>
      </c>
      <c r="J3843" s="7">
        <f>I3843*G3843</f>
        <v/>
      </c>
      <c r="K3843" s="8">
        <f>IF($J$3845=0,0,J3843/$J$3845)</f>
        <v/>
      </c>
      <c r="L3843" s="6" t="inlineStr">
        <is>
          <t>WATCHLIST</t>
        </is>
      </c>
      <c r="M3843" s="8" t="n">
        <v>0</v>
      </c>
      <c r="N3843" s="7">
        <f>M3843*$J$3845-J3843</f>
        <v/>
      </c>
      <c r="O3843" s="9">
        <f>IF(G3843=0,0,N3843/G3843)</f>
        <v/>
      </c>
      <c r="P3843" s="6">
        <f>IF(M3843&gt;0,D3843,"")</f>
        <v/>
      </c>
      <c r="Q3843" s="9">
        <f>I3843+O3843</f>
        <v/>
      </c>
      <c r="R3843" s="7">
        <f>Q3843*G3843</f>
        <v/>
      </c>
      <c r="S3843" s="8">
        <f>IF($R$3845=0,0,R3843/$R$3845)</f>
        <v/>
      </c>
      <c r="T3843" s="8" t="n">
        <v>0.03512003999364377</v>
      </c>
      <c r="U3843" s="8" t="n">
        <v>0.03504835412617791</v>
      </c>
      <c r="V3843" s="6" t="inlineStr">
        <is>
          <t>not selected</t>
        </is>
      </c>
    </row>
    <row r="3844">
      <c r="A3844" s="6" t="inlineStr">
        <is>
          <t>DJ30</t>
        </is>
      </c>
      <c r="B3844" s="6" t="inlineStr">
        <is>
          <t>2025-05-16</t>
        </is>
      </c>
      <c r="C3844" s="6" t="inlineStr">
        <is>
          <t>DIA</t>
        </is>
      </c>
      <c r="D3844" s="6" t="inlineStr">
        <is>
          <t>WMT</t>
        </is>
      </c>
      <c r="E3844" s="6" t="inlineStr">
        <is>
          <t>WMT</t>
        </is>
      </c>
      <c r="F3844" s="6" t="inlineStr">
        <is>
          <t>-</t>
        </is>
      </c>
      <c r="G3844" s="7" t="n">
        <v>97.42543792724609</v>
      </c>
      <c r="H3844" s="6">
        <f>P3813</f>
        <v/>
      </c>
      <c r="I3844" s="9">
        <f>Q3813</f>
        <v/>
      </c>
      <c r="J3844" s="7">
        <f>I3844*G3844</f>
        <v/>
      </c>
      <c r="K3844" s="8">
        <f>IF($J$3845=0,0,J3844/$J$3845)</f>
        <v/>
      </c>
      <c r="L3844" s="6" t="inlineStr">
        <is>
          <t>SELECTED</t>
        </is>
      </c>
      <c r="M3844" s="8" t="n">
        <v>0.2</v>
      </c>
      <c r="N3844" s="7">
        <f>M3844*$J$3845-J3844</f>
        <v/>
      </c>
      <c r="O3844" s="9">
        <f>IF(G3844=0,0,N3844/G3844)</f>
        <v/>
      </c>
      <c r="P3844" s="6">
        <f>IF(M3844&gt;0,D3844,"")</f>
        <v/>
      </c>
      <c r="Q3844" s="9">
        <f>I3844+O3844</f>
        <v/>
      </c>
      <c r="R3844" s="7">
        <f>Q3844*G3844</f>
        <v/>
      </c>
      <c r="S3844" s="8">
        <f>IF($R$3845=0,0,R3844/$R$3845)</f>
        <v/>
      </c>
      <c r="T3844" s="8" t="n">
        <v>0.03512003999364377</v>
      </c>
      <c r="U3844" s="8" t="n">
        <v>0.03504835412617791</v>
      </c>
      <c r="V3844" s="6" t="inlineStr">
        <is>
          <t>remained in weekly selection</t>
        </is>
      </c>
    </row>
    <row r="3845">
      <c r="A3845" s="10" t="inlineStr">
        <is>
          <t>DJ30</t>
        </is>
      </c>
      <c r="B3845" s="10" t="inlineStr">
        <is>
          <t>2025-05-16</t>
        </is>
      </c>
      <c r="C3845" s="10" t="inlineStr">
        <is>
          <t>DIA</t>
        </is>
      </c>
      <c r="D3845" s="10" t="inlineStr">
        <is>
          <t>Tot Portfolio</t>
        </is>
      </c>
      <c r="E3845" s="10" t="inlineStr"/>
      <c r="F3845" s="10" t="inlineStr"/>
      <c r="G3845" s="11" t="inlineStr"/>
      <c r="H3845" s="10" t="inlineStr"/>
      <c r="I3845" s="12" t="inlineStr"/>
      <c r="J3845" s="11">
        <f>SUM(J3815:J3844)</f>
        <v/>
      </c>
      <c r="K3845" s="13">
        <f>SUM(K3815:K3844)</f>
        <v/>
      </c>
      <c r="L3845" s="10" t="inlineStr">
        <is>
          <t>TOTAL</t>
        </is>
      </c>
      <c r="M3845" s="13">
        <f>SUM(M3815:M3844)</f>
        <v/>
      </c>
      <c r="N3845" s="11">
        <f>SUM(N3815:N3844)</f>
        <v/>
      </c>
      <c r="O3845" s="12">
        <f>SUM(O3815:O3844)</f>
        <v/>
      </c>
      <c r="P3845" s="10" t="inlineStr"/>
      <c r="Q3845" s="12" t="inlineStr"/>
      <c r="R3845" s="11">
        <f>SUM(R3815:R3844)</f>
        <v/>
      </c>
      <c r="S3845" s="13">
        <f>SUM(S3815:S3844)</f>
        <v/>
      </c>
      <c r="T3845" s="13" t="n">
        <v>0.03512003999364377</v>
      </c>
      <c r="U3845" s="13" t="n">
        <v>0.03504835412617791</v>
      </c>
      <c r="V3845" s="10" t="inlineStr"/>
    </row>
    <row r="3846">
      <c r="A3846" s="6" t="inlineStr">
        <is>
          <t>DJ30</t>
        </is>
      </c>
      <c r="B3846" s="6" t="inlineStr">
        <is>
          <t>2025-05-23</t>
        </is>
      </c>
      <c r="C3846" s="6" t="inlineStr">
        <is>
          <t>DIA</t>
        </is>
      </c>
      <c r="D3846" s="6" t="inlineStr">
        <is>
          <t>AAPL</t>
        </is>
      </c>
      <c r="E3846" s="6" t="inlineStr">
        <is>
          <t>AAPL</t>
        </is>
      </c>
      <c r="F3846" s="6" t="inlineStr">
        <is>
          <t>-</t>
        </is>
      </c>
      <c r="G3846" s="7" t="n">
        <v>194.4983825683593</v>
      </c>
      <c r="H3846" s="6">
        <f>P3815</f>
        <v/>
      </c>
      <c r="I3846" s="9">
        <f>Q3815</f>
        <v/>
      </c>
      <c r="J3846" s="7">
        <f>I3846*G3846</f>
        <v/>
      </c>
      <c r="K3846" s="8">
        <f>IF($J$3876=0,0,J3846/$J$3876)</f>
        <v/>
      </c>
      <c r="L3846" s="6" t="inlineStr">
        <is>
          <t>REJECTED</t>
        </is>
      </c>
      <c r="M3846" s="8" t="n">
        <v>0</v>
      </c>
      <c r="N3846" s="7">
        <f>M3846*$J$3876-J3846</f>
        <v/>
      </c>
      <c r="O3846" s="9">
        <f>IF(G3846=0,0,N3846/G3846)</f>
        <v/>
      </c>
      <c r="P3846" s="6">
        <f>IF(M3846&gt;0,D3846,"")</f>
        <v/>
      </c>
      <c r="Q3846" s="9">
        <f>I3846+O3846</f>
        <v/>
      </c>
      <c r="R3846" s="7">
        <f>Q3846*G3846</f>
        <v/>
      </c>
      <c r="S3846" s="8">
        <f>IF($R$3876=0,0,R3846/$R$3876)</f>
        <v/>
      </c>
      <c r="T3846" s="8" t="n">
        <v>-0.01872636111804549</v>
      </c>
      <c r="U3846" s="8" t="n">
        <v>-0.02395982198136759</v>
      </c>
      <c r="V3846" s="6" t="inlineStr">
        <is>
          <t>not selected</t>
        </is>
      </c>
    </row>
    <row r="3847">
      <c r="A3847" s="6" t="inlineStr">
        <is>
          <t>DJ30</t>
        </is>
      </c>
      <c r="B3847" s="6" t="inlineStr">
        <is>
          <t>2025-05-23</t>
        </is>
      </c>
      <c r="C3847" s="6" t="inlineStr">
        <is>
          <t>DIA</t>
        </is>
      </c>
      <c r="D3847" s="6" t="inlineStr">
        <is>
          <t>AMGN</t>
        </is>
      </c>
      <c r="E3847" s="6" t="inlineStr">
        <is>
          <t>AMGN</t>
        </is>
      </c>
      <c r="F3847" s="6" t="inlineStr">
        <is>
          <t>-</t>
        </is>
      </c>
      <c r="G3847" s="7" t="n">
        <v>263.7327270507812</v>
      </c>
      <c r="H3847" s="6">
        <f>P3816</f>
        <v/>
      </c>
      <c r="I3847" s="9">
        <f>Q3816</f>
        <v/>
      </c>
      <c r="J3847" s="7">
        <f>I3847*G3847</f>
        <v/>
      </c>
      <c r="K3847" s="8">
        <f>IF($J$3876=0,0,J3847/$J$3876)</f>
        <v/>
      </c>
      <c r="L3847" s="6" t="inlineStr">
        <is>
          <t>REJECTED</t>
        </is>
      </c>
      <c r="M3847" s="8" t="n">
        <v>0</v>
      </c>
      <c r="N3847" s="7">
        <f>M3847*$J$3876-J3847</f>
        <v/>
      </c>
      <c r="O3847" s="9">
        <f>IF(G3847=0,0,N3847/G3847)</f>
        <v/>
      </c>
      <c r="P3847" s="6">
        <f>IF(M3847&gt;0,D3847,"")</f>
        <v/>
      </c>
      <c r="Q3847" s="9">
        <f>I3847+O3847</f>
        <v/>
      </c>
      <c r="R3847" s="7">
        <f>Q3847*G3847</f>
        <v/>
      </c>
      <c r="S3847" s="8">
        <f>IF($R$3876=0,0,R3847/$R$3876)</f>
        <v/>
      </c>
      <c r="T3847" s="8" t="n">
        <v>-0.01872636111804549</v>
      </c>
      <c r="U3847" s="8" t="n">
        <v>-0.02395982198136759</v>
      </c>
      <c r="V3847" s="6" t="inlineStr">
        <is>
          <t>not selected</t>
        </is>
      </c>
    </row>
    <row r="3848">
      <c r="A3848" s="6" t="inlineStr">
        <is>
          <t>DJ30</t>
        </is>
      </c>
      <c r="B3848" s="6" t="inlineStr">
        <is>
          <t>2025-05-23</t>
        </is>
      </c>
      <c r="C3848" s="6" t="inlineStr">
        <is>
          <t>DIA</t>
        </is>
      </c>
      <c r="D3848" s="6" t="inlineStr">
        <is>
          <t>AMZN</t>
        </is>
      </c>
      <c r="E3848" s="6" t="inlineStr">
        <is>
          <t>AMZN</t>
        </is>
      </c>
      <c r="F3848" s="6" t="inlineStr">
        <is>
          <t>-</t>
        </is>
      </c>
      <c r="G3848" s="7" t="n">
        <v>200.9900054931641</v>
      </c>
      <c r="H3848" s="6">
        <f>P3817</f>
        <v/>
      </c>
      <c r="I3848" s="9">
        <f>Q3817</f>
        <v/>
      </c>
      <c r="J3848" s="7">
        <f>I3848*G3848</f>
        <v/>
      </c>
      <c r="K3848" s="8">
        <f>IF($J$3876=0,0,J3848/$J$3876)</f>
        <v/>
      </c>
      <c r="L3848" s="6" t="inlineStr">
        <is>
          <t>REJECTED</t>
        </is>
      </c>
      <c r="M3848" s="8" t="n">
        <v>0</v>
      </c>
      <c r="N3848" s="7">
        <f>M3848*$J$3876-J3848</f>
        <v/>
      </c>
      <c r="O3848" s="9">
        <f>IF(G3848=0,0,N3848/G3848)</f>
        <v/>
      </c>
      <c r="P3848" s="6">
        <f>IF(M3848&gt;0,D3848,"")</f>
        <v/>
      </c>
      <c r="Q3848" s="9">
        <f>I3848+O3848</f>
        <v/>
      </c>
      <c r="R3848" s="7">
        <f>Q3848*G3848</f>
        <v/>
      </c>
      <c r="S3848" s="8">
        <f>IF($R$3876=0,0,R3848/$R$3876)</f>
        <v/>
      </c>
      <c r="T3848" s="8" t="n">
        <v>-0.01872636111804549</v>
      </c>
      <c r="U3848" s="8" t="n">
        <v>-0.02395982198136759</v>
      </c>
      <c r="V3848" s="6" t="inlineStr">
        <is>
          <t>not selected</t>
        </is>
      </c>
    </row>
    <row r="3849">
      <c r="A3849" s="6" t="inlineStr">
        <is>
          <t>DJ30</t>
        </is>
      </c>
      <c r="B3849" s="6" t="inlineStr">
        <is>
          <t>2025-05-23</t>
        </is>
      </c>
      <c r="C3849" s="6" t="inlineStr">
        <is>
          <t>DIA</t>
        </is>
      </c>
      <c r="D3849" s="6" t="inlineStr">
        <is>
          <t>AXP</t>
        </is>
      </c>
      <c r="E3849" s="6" t="inlineStr">
        <is>
          <t>AXP</t>
        </is>
      </c>
      <c r="F3849" s="6" t="inlineStr">
        <is>
          <t>-</t>
        </is>
      </c>
      <c r="G3849" s="7" t="n">
        <v>282.2613220214844</v>
      </c>
      <c r="H3849" s="6">
        <f>P3818</f>
        <v/>
      </c>
      <c r="I3849" s="9">
        <f>Q3818</f>
        <v/>
      </c>
      <c r="J3849" s="7">
        <f>I3849*G3849</f>
        <v/>
      </c>
      <c r="K3849" s="8">
        <f>IF($J$3876=0,0,J3849/$J$3876)</f>
        <v/>
      </c>
      <c r="L3849" s="6" t="inlineStr">
        <is>
          <t>WATCHLIST</t>
        </is>
      </c>
      <c r="M3849" s="8" t="n">
        <v>0</v>
      </c>
      <c r="N3849" s="7">
        <f>M3849*$J$3876-J3849</f>
        <v/>
      </c>
      <c r="O3849" s="9">
        <f>IF(G3849=0,0,N3849/G3849)</f>
        <v/>
      </c>
      <c r="P3849" s="6">
        <f>IF(M3849&gt;0,D3849,"")</f>
        <v/>
      </c>
      <c r="Q3849" s="9">
        <f>I3849+O3849</f>
        <v/>
      </c>
      <c r="R3849" s="7">
        <f>Q3849*G3849</f>
        <v/>
      </c>
      <c r="S3849" s="8">
        <f>IF($R$3876=0,0,R3849/$R$3876)</f>
        <v/>
      </c>
      <c r="T3849" s="8" t="n">
        <v>-0.01872636111804549</v>
      </c>
      <c r="U3849" s="8" t="n">
        <v>-0.02395982198136759</v>
      </c>
      <c r="V3849" s="6" t="inlineStr">
        <is>
          <t>not selected</t>
        </is>
      </c>
    </row>
    <row r="3850">
      <c r="A3850" s="6" t="inlineStr">
        <is>
          <t>DJ30</t>
        </is>
      </c>
      <c r="B3850" s="6" t="inlineStr">
        <is>
          <t>2025-05-23</t>
        </is>
      </c>
      <c r="C3850" s="6" t="inlineStr">
        <is>
          <t>DIA</t>
        </is>
      </c>
      <c r="D3850" s="6" t="inlineStr">
        <is>
          <t>BA</t>
        </is>
      </c>
      <c r="E3850" s="6" t="inlineStr">
        <is>
          <t>BA</t>
        </is>
      </c>
      <c r="F3850" s="6" t="inlineStr">
        <is>
          <t>-</t>
        </is>
      </c>
      <c r="G3850" s="7" t="n">
        <v>202.3600006103516</v>
      </c>
      <c r="H3850" s="6">
        <f>P3819</f>
        <v/>
      </c>
      <c r="I3850" s="9">
        <f>Q3819</f>
        <v/>
      </c>
      <c r="J3850" s="7">
        <f>I3850*G3850</f>
        <v/>
      </c>
      <c r="K3850" s="8">
        <f>IF($J$3876=0,0,J3850/$J$3876)</f>
        <v/>
      </c>
      <c r="L3850" s="6" t="inlineStr">
        <is>
          <t>REJECTED</t>
        </is>
      </c>
      <c r="M3850" s="8" t="n">
        <v>0</v>
      </c>
      <c r="N3850" s="7">
        <f>M3850*$J$3876-J3850</f>
        <v/>
      </c>
      <c r="O3850" s="9">
        <f>IF(G3850=0,0,N3850/G3850)</f>
        <v/>
      </c>
      <c r="P3850" s="6">
        <f>IF(M3850&gt;0,D3850,"")</f>
        <v/>
      </c>
      <c r="Q3850" s="9">
        <f>I3850+O3850</f>
        <v/>
      </c>
      <c r="R3850" s="7">
        <f>Q3850*G3850</f>
        <v/>
      </c>
      <c r="S3850" s="8">
        <f>IF($R$3876=0,0,R3850/$R$3876)</f>
        <v/>
      </c>
      <c r="T3850" s="8" t="n">
        <v>-0.01872636111804549</v>
      </c>
      <c r="U3850" s="8" t="n">
        <v>-0.02395982198136759</v>
      </c>
      <c r="V3850" s="6" t="inlineStr">
        <is>
          <t>not selected</t>
        </is>
      </c>
    </row>
    <row r="3851">
      <c r="A3851" s="6" t="inlineStr">
        <is>
          <t>DJ30</t>
        </is>
      </c>
      <c r="B3851" s="6" t="inlineStr">
        <is>
          <t>2025-05-23</t>
        </is>
      </c>
      <c r="C3851" s="6" t="inlineStr">
        <is>
          <t>DIA</t>
        </is>
      </c>
      <c r="D3851" s="6" t="inlineStr">
        <is>
          <t>CAT</t>
        </is>
      </c>
      <c r="E3851" s="6" t="inlineStr">
        <is>
          <t>CAT</t>
        </is>
      </c>
      <c r="F3851" s="6" t="inlineStr">
        <is>
          <t>-</t>
        </is>
      </c>
      <c r="G3851" s="7" t="n">
        <v>339.7134094238281</v>
      </c>
      <c r="H3851" s="6">
        <f>P3820</f>
        <v/>
      </c>
      <c r="I3851" s="9">
        <f>Q3820</f>
        <v/>
      </c>
      <c r="J3851" s="7">
        <f>I3851*G3851</f>
        <v/>
      </c>
      <c r="K3851" s="8">
        <f>IF($J$3876=0,0,J3851/$J$3876)</f>
        <v/>
      </c>
      <c r="L3851" s="6" t="inlineStr">
        <is>
          <t>REJECTED</t>
        </is>
      </c>
      <c r="M3851" s="8" t="n">
        <v>0</v>
      </c>
      <c r="N3851" s="7">
        <f>M3851*$J$3876-J3851</f>
        <v/>
      </c>
      <c r="O3851" s="9">
        <f>IF(G3851=0,0,N3851/G3851)</f>
        <v/>
      </c>
      <c r="P3851" s="6">
        <f>IF(M3851&gt;0,D3851,"")</f>
        <v/>
      </c>
      <c r="Q3851" s="9">
        <f>I3851+O3851</f>
        <v/>
      </c>
      <c r="R3851" s="7">
        <f>Q3851*G3851</f>
        <v/>
      </c>
      <c r="S3851" s="8">
        <f>IF($R$3876=0,0,R3851/$R$3876)</f>
        <v/>
      </c>
      <c r="T3851" s="8" t="n">
        <v>-0.01872636111804549</v>
      </c>
      <c r="U3851" s="8" t="n">
        <v>-0.02395982198136759</v>
      </c>
      <c r="V3851" s="6" t="inlineStr">
        <is>
          <t>not selected</t>
        </is>
      </c>
    </row>
    <row r="3852">
      <c r="A3852" s="6" t="inlineStr">
        <is>
          <t>DJ30</t>
        </is>
      </c>
      <c r="B3852" s="6" t="inlineStr">
        <is>
          <t>2025-05-23</t>
        </is>
      </c>
      <c r="C3852" s="6" t="inlineStr">
        <is>
          <t>DIA</t>
        </is>
      </c>
      <c r="D3852" s="6" t="inlineStr">
        <is>
          <t>CRM</t>
        </is>
      </c>
      <c r="E3852" s="6" t="inlineStr">
        <is>
          <t>CRM</t>
        </is>
      </c>
      <c r="F3852" s="6" t="inlineStr">
        <is>
          <t>-</t>
        </is>
      </c>
      <c r="G3852" s="7" t="n">
        <v>270.4088745117188</v>
      </c>
      <c r="H3852" s="6">
        <f>P3821</f>
        <v/>
      </c>
      <c r="I3852" s="9">
        <f>Q3821</f>
        <v/>
      </c>
      <c r="J3852" s="7">
        <f>I3852*G3852</f>
        <v/>
      </c>
      <c r="K3852" s="8">
        <f>IF($J$3876=0,0,J3852/$J$3876)</f>
        <v/>
      </c>
      <c r="L3852" s="6" t="inlineStr">
        <is>
          <t>REJECTED</t>
        </is>
      </c>
      <c r="M3852" s="8" t="n">
        <v>0</v>
      </c>
      <c r="N3852" s="7">
        <f>M3852*$J$3876-J3852</f>
        <v/>
      </c>
      <c r="O3852" s="9">
        <f>IF(G3852=0,0,N3852/G3852)</f>
        <v/>
      </c>
      <c r="P3852" s="6">
        <f>IF(M3852&gt;0,D3852,"")</f>
        <v/>
      </c>
      <c r="Q3852" s="9">
        <f>I3852+O3852</f>
        <v/>
      </c>
      <c r="R3852" s="7">
        <f>Q3852*G3852</f>
        <v/>
      </c>
      <c r="S3852" s="8">
        <f>IF($R$3876=0,0,R3852/$R$3876)</f>
        <v/>
      </c>
      <c r="T3852" s="8" t="n">
        <v>-0.01872636111804549</v>
      </c>
      <c r="U3852" s="8" t="n">
        <v>-0.02395982198136759</v>
      </c>
      <c r="V3852" s="6" t="inlineStr">
        <is>
          <t>not selected</t>
        </is>
      </c>
    </row>
    <row r="3853">
      <c r="A3853" s="6" t="inlineStr">
        <is>
          <t>DJ30</t>
        </is>
      </c>
      <c r="B3853" s="6" t="inlineStr">
        <is>
          <t>2025-05-23</t>
        </is>
      </c>
      <c r="C3853" s="6" t="inlineStr">
        <is>
          <t>DIA</t>
        </is>
      </c>
      <c r="D3853" s="6" t="inlineStr">
        <is>
          <t>CSCO</t>
        </is>
      </c>
      <c r="E3853" s="6" t="inlineStr">
        <is>
          <t>CSCO</t>
        </is>
      </c>
      <c r="F3853" s="6" t="inlineStr">
        <is>
          <t>-</t>
        </is>
      </c>
      <c r="G3853" s="7" t="n">
        <v>61.69005584716797</v>
      </c>
      <c r="H3853" s="6">
        <f>P3822</f>
        <v/>
      </c>
      <c r="I3853" s="9">
        <f>Q3822</f>
        <v/>
      </c>
      <c r="J3853" s="7">
        <f>I3853*G3853</f>
        <v/>
      </c>
      <c r="K3853" s="8">
        <f>IF($J$3876=0,0,J3853/$J$3876)</f>
        <v/>
      </c>
      <c r="L3853" s="6" t="inlineStr">
        <is>
          <t>WATCHLIST</t>
        </is>
      </c>
      <c r="M3853" s="8" t="n">
        <v>0</v>
      </c>
      <c r="N3853" s="7">
        <f>M3853*$J$3876-J3853</f>
        <v/>
      </c>
      <c r="O3853" s="9">
        <f>IF(G3853=0,0,N3853/G3853)</f>
        <v/>
      </c>
      <c r="P3853" s="6">
        <f>IF(M3853&gt;0,D3853,"")</f>
        <v/>
      </c>
      <c r="Q3853" s="9">
        <f>I3853+O3853</f>
        <v/>
      </c>
      <c r="R3853" s="7">
        <f>Q3853*G3853</f>
        <v/>
      </c>
      <c r="S3853" s="8">
        <f>IF($R$3876=0,0,R3853/$R$3876)</f>
        <v/>
      </c>
      <c r="T3853" s="8" t="n">
        <v>-0.01872636111804549</v>
      </c>
      <c r="U3853" s="8" t="n">
        <v>-0.02395982198136759</v>
      </c>
      <c r="V3853" s="6" t="inlineStr">
        <is>
          <t>not selected</t>
        </is>
      </c>
    </row>
    <row r="3854">
      <c r="A3854" s="6" t="inlineStr">
        <is>
          <t>DJ30</t>
        </is>
      </c>
      <c r="B3854" s="6" t="inlineStr">
        <is>
          <t>2025-05-23</t>
        </is>
      </c>
      <c r="C3854" s="6" t="inlineStr">
        <is>
          <t>DIA</t>
        </is>
      </c>
      <c r="D3854" s="6" t="inlineStr">
        <is>
          <t>CVX</t>
        </is>
      </c>
      <c r="E3854" s="6" t="inlineStr">
        <is>
          <t>CVX</t>
        </is>
      </c>
      <c r="F3854" s="6" t="inlineStr">
        <is>
          <t>-</t>
        </is>
      </c>
      <c r="G3854" s="7" t="n">
        <v>131.0512084960938</v>
      </c>
      <c r="H3854" s="6">
        <f>P3823</f>
        <v/>
      </c>
      <c r="I3854" s="9">
        <f>Q3823</f>
        <v/>
      </c>
      <c r="J3854" s="7">
        <f>I3854*G3854</f>
        <v/>
      </c>
      <c r="K3854" s="8">
        <f>IF($J$3876=0,0,J3854/$J$3876)</f>
        <v/>
      </c>
      <c r="L3854" s="6" t="inlineStr">
        <is>
          <t>REJECTED</t>
        </is>
      </c>
      <c r="M3854" s="8" t="n">
        <v>0</v>
      </c>
      <c r="N3854" s="7">
        <f>M3854*$J$3876-J3854</f>
        <v/>
      </c>
      <c r="O3854" s="9">
        <f>IF(G3854=0,0,N3854/G3854)</f>
        <v/>
      </c>
      <c r="P3854" s="6">
        <f>IF(M3854&gt;0,D3854,"")</f>
        <v/>
      </c>
      <c r="Q3854" s="9">
        <f>I3854+O3854</f>
        <v/>
      </c>
      <c r="R3854" s="7">
        <f>Q3854*G3854</f>
        <v/>
      </c>
      <c r="S3854" s="8">
        <f>IF($R$3876=0,0,R3854/$R$3876)</f>
        <v/>
      </c>
      <c r="T3854" s="8" t="n">
        <v>-0.01872636111804549</v>
      </c>
      <c r="U3854" s="8" t="n">
        <v>-0.02395982198136759</v>
      </c>
      <c r="V3854" s="6" t="inlineStr">
        <is>
          <t>not selected</t>
        </is>
      </c>
    </row>
    <row r="3855">
      <c r="A3855" s="6" t="inlineStr">
        <is>
          <t>DJ30</t>
        </is>
      </c>
      <c r="B3855" s="6" t="inlineStr">
        <is>
          <t>2025-05-23</t>
        </is>
      </c>
      <c r="C3855" s="6" t="inlineStr">
        <is>
          <t>DIA</t>
        </is>
      </c>
      <c r="D3855" s="6" t="inlineStr">
        <is>
          <t>DIS</t>
        </is>
      </c>
      <c r="E3855" s="6" t="inlineStr">
        <is>
          <t>DIS</t>
        </is>
      </c>
      <c r="F3855" s="6" t="inlineStr">
        <is>
          <t>-</t>
        </is>
      </c>
      <c r="G3855" s="7" t="n">
        <v>108.5198669433594</v>
      </c>
      <c r="H3855" s="6">
        <f>P3824</f>
        <v/>
      </c>
      <c r="I3855" s="9">
        <f>Q3824</f>
        <v/>
      </c>
      <c r="J3855" s="7">
        <f>I3855*G3855</f>
        <v/>
      </c>
      <c r="K3855" s="8">
        <f>IF($J$3876=0,0,J3855/$J$3876)</f>
        <v/>
      </c>
      <c r="L3855" s="6" t="inlineStr">
        <is>
          <t>REJECTED</t>
        </is>
      </c>
      <c r="M3855" s="8" t="n">
        <v>0</v>
      </c>
      <c r="N3855" s="7">
        <f>M3855*$J$3876-J3855</f>
        <v/>
      </c>
      <c r="O3855" s="9">
        <f>IF(G3855=0,0,N3855/G3855)</f>
        <v/>
      </c>
      <c r="P3855" s="6">
        <f>IF(M3855&gt;0,D3855,"")</f>
        <v/>
      </c>
      <c r="Q3855" s="9">
        <f>I3855+O3855</f>
        <v/>
      </c>
      <c r="R3855" s="7">
        <f>Q3855*G3855</f>
        <v/>
      </c>
      <c r="S3855" s="8">
        <f>IF($R$3876=0,0,R3855/$R$3876)</f>
        <v/>
      </c>
      <c r="T3855" s="8" t="n">
        <v>-0.01872636111804549</v>
      </c>
      <c r="U3855" s="8" t="n">
        <v>-0.02395982198136759</v>
      </c>
      <c r="V3855" s="6" t="inlineStr">
        <is>
          <t>not selected</t>
        </is>
      </c>
    </row>
    <row r="3856">
      <c r="A3856" s="6" t="inlineStr">
        <is>
          <t>DJ30</t>
        </is>
      </c>
      <c r="B3856" s="6" t="inlineStr">
        <is>
          <t>2025-05-23</t>
        </is>
      </c>
      <c r="C3856" s="6" t="inlineStr">
        <is>
          <t>DIA</t>
        </is>
      </c>
      <c r="D3856" s="6" t="inlineStr">
        <is>
          <t>GS</t>
        </is>
      </c>
      <c r="E3856" s="6" t="inlineStr">
        <is>
          <t>GS</t>
        </is>
      </c>
      <c r="F3856" s="6" t="inlineStr">
        <is>
          <t>-</t>
        </is>
      </c>
      <c r="G3856" s="7" t="n">
        <v>583.8186645507812</v>
      </c>
      <c r="H3856" s="6">
        <f>P3825</f>
        <v/>
      </c>
      <c r="I3856" s="9">
        <f>Q3825</f>
        <v/>
      </c>
      <c r="J3856" s="7">
        <f>I3856*G3856</f>
        <v/>
      </c>
      <c r="K3856" s="8">
        <f>IF($J$3876=0,0,J3856/$J$3876)</f>
        <v/>
      </c>
      <c r="L3856" s="6" t="inlineStr">
        <is>
          <t>WATCHLIST</t>
        </is>
      </c>
      <c r="M3856" s="8" t="n">
        <v>0</v>
      </c>
      <c r="N3856" s="7">
        <f>M3856*$J$3876-J3856</f>
        <v/>
      </c>
      <c r="O3856" s="9">
        <f>IF(G3856=0,0,N3856/G3856)</f>
        <v/>
      </c>
      <c r="P3856" s="6">
        <f>IF(M3856&gt;0,D3856,"")</f>
        <v/>
      </c>
      <c r="Q3856" s="9">
        <f>I3856+O3856</f>
        <v/>
      </c>
      <c r="R3856" s="7">
        <f>Q3856*G3856</f>
        <v/>
      </c>
      <c r="S3856" s="8">
        <f>IF($R$3876=0,0,R3856/$R$3876)</f>
        <v/>
      </c>
      <c r="T3856" s="8" t="n">
        <v>-0.01872636111804549</v>
      </c>
      <c r="U3856" s="8" t="n">
        <v>-0.02395982198136759</v>
      </c>
      <c r="V3856" s="6" t="inlineStr">
        <is>
          <t>not selected</t>
        </is>
      </c>
    </row>
    <row r="3857">
      <c r="A3857" s="6" t="inlineStr">
        <is>
          <t>DJ30</t>
        </is>
      </c>
      <c r="B3857" s="6" t="inlineStr">
        <is>
          <t>2025-05-23</t>
        </is>
      </c>
      <c r="C3857" s="6" t="inlineStr">
        <is>
          <t>DIA</t>
        </is>
      </c>
      <c r="D3857" s="6" t="inlineStr">
        <is>
          <t>HD</t>
        </is>
      </c>
      <c r="E3857" s="6" t="inlineStr">
        <is>
          <t>HD</t>
        </is>
      </c>
      <c r="F3857" s="6" t="inlineStr">
        <is>
          <t>-</t>
        </is>
      </c>
      <c r="G3857" s="7" t="n">
        <v>351.134033203125</v>
      </c>
      <c r="H3857" s="6">
        <f>P3826</f>
        <v/>
      </c>
      <c r="I3857" s="9">
        <f>Q3826</f>
        <v/>
      </c>
      <c r="J3857" s="7">
        <f>I3857*G3857</f>
        <v/>
      </c>
      <c r="K3857" s="8">
        <f>IF($J$3876=0,0,J3857/$J$3876)</f>
        <v/>
      </c>
      <c r="L3857" s="6" t="inlineStr">
        <is>
          <t>REJECTED</t>
        </is>
      </c>
      <c r="M3857" s="8" t="n">
        <v>0</v>
      </c>
      <c r="N3857" s="7">
        <f>M3857*$J$3876-J3857</f>
        <v/>
      </c>
      <c r="O3857" s="9">
        <f>IF(G3857=0,0,N3857/G3857)</f>
        <v/>
      </c>
      <c r="P3857" s="6">
        <f>IF(M3857&gt;0,D3857,"")</f>
        <v/>
      </c>
      <c r="Q3857" s="9">
        <f>I3857+O3857</f>
        <v/>
      </c>
      <c r="R3857" s="7">
        <f>Q3857*G3857</f>
        <v/>
      </c>
      <c r="S3857" s="8">
        <f>IF($R$3876=0,0,R3857/$R$3876)</f>
        <v/>
      </c>
      <c r="T3857" s="8" t="n">
        <v>-0.01872636111804549</v>
      </c>
      <c r="U3857" s="8" t="n">
        <v>-0.02395982198136759</v>
      </c>
      <c r="V3857" s="6" t="inlineStr">
        <is>
          <t>not selected</t>
        </is>
      </c>
    </row>
    <row r="3858">
      <c r="A3858" s="6" t="inlineStr">
        <is>
          <t>DJ30</t>
        </is>
      </c>
      <c r="B3858" s="6" t="inlineStr">
        <is>
          <t>2025-05-23</t>
        </is>
      </c>
      <c r="C3858" s="6" t="inlineStr">
        <is>
          <t>DIA</t>
        </is>
      </c>
      <c r="D3858" s="6" t="inlineStr">
        <is>
          <t>HON</t>
        </is>
      </c>
      <c r="E3858" s="6" t="inlineStr">
        <is>
          <t>HON</t>
        </is>
      </c>
      <c r="F3858" s="6" t="inlineStr">
        <is>
          <t>-</t>
        </is>
      </c>
      <c r="G3858" s="7" t="n">
        <v>204.7938079833984</v>
      </c>
      <c r="H3858" s="6">
        <f>P3827</f>
        <v/>
      </c>
      <c r="I3858" s="9">
        <f>Q3827</f>
        <v/>
      </c>
      <c r="J3858" s="7">
        <f>I3858*G3858</f>
        <v/>
      </c>
      <c r="K3858" s="8">
        <f>IF($J$3876=0,0,J3858/$J$3876)</f>
        <v/>
      </c>
      <c r="L3858" s="6" t="inlineStr">
        <is>
          <t>REJECTED</t>
        </is>
      </c>
      <c r="M3858" s="8" t="n">
        <v>0</v>
      </c>
      <c r="N3858" s="7">
        <f>M3858*$J$3876-J3858</f>
        <v/>
      </c>
      <c r="O3858" s="9">
        <f>IF(G3858=0,0,N3858/G3858)</f>
        <v/>
      </c>
      <c r="P3858" s="6">
        <f>IF(M3858&gt;0,D3858,"")</f>
        <v/>
      </c>
      <c r="Q3858" s="9">
        <f>I3858+O3858</f>
        <v/>
      </c>
      <c r="R3858" s="7">
        <f>Q3858*G3858</f>
        <v/>
      </c>
      <c r="S3858" s="8">
        <f>IF($R$3876=0,0,R3858/$R$3876)</f>
        <v/>
      </c>
      <c r="T3858" s="8" t="n">
        <v>-0.01872636111804549</v>
      </c>
      <c r="U3858" s="8" t="n">
        <v>-0.02395982198136759</v>
      </c>
      <c r="V3858" s="6" t="inlineStr">
        <is>
          <t>not selected</t>
        </is>
      </c>
    </row>
    <row r="3859">
      <c r="A3859" s="6" t="inlineStr">
        <is>
          <t>DJ30</t>
        </is>
      </c>
      <c r="B3859" s="6" t="inlineStr">
        <is>
          <t>2025-05-23</t>
        </is>
      </c>
      <c r="C3859" s="6" t="inlineStr">
        <is>
          <t>DIA</t>
        </is>
      </c>
      <c r="D3859" s="6" t="inlineStr">
        <is>
          <t>IBM</t>
        </is>
      </c>
      <c r="E3859" s="6" t="inlineStr">
        <is>
          <t>IBM</t>
        </is>
      </c>
      <c r="F3859" s="6" t="inlineStr">
        <is>
          <t>-</t>
        </is>
      </c>
      <c r="G3859" s="7" t="n">
        <v>252.1800384521484</v>
      </c>
      <c r="H3859" s="6">
        <f>P3828</f>
        <v/>
      </c>
      <c r="I3859" s="9">
        <f>Q3828</f>
        <v/>
      </c>
      <c r="J3859" s="7">
        <f>I3859*G3859</f>
        <v/>
      </c>
      <c r="K3859" s="8">
        <f>IF($J$3876=0,0,J3859/$J$3876)</f>
        <v/>
      </c>
      <c r="L3859" s="6" t="inlineStr">
        <is>
          <t>SELECTED</t>
        </is>
      </c>
      <c r="M3859" s="8" t="n">
        <v>0.2</v>
      </c>
      <c r="N3859" s="7">
        <f>M3859*$J$3876-J3859</f>
        <v/>
      </c>
      <c r="O3859" s="9">
        <f>IF(G3859=0,0,N3859/G3859)</f>
        <v/>
      </c>
      <c r="P3859" s="6">
        <f>IF(M3859&gt;0,D3859,"")</f>
        <v/>
      </c>
      <c r="Q3859" s="9">
        <f>I3859+O3859</f>
        <v/>
      </c>
      <c r="R3859" s="7">
        <f>Q3859*G3859</f>
        <v/>
      </c>
      <c r="S3859" s="8">
        <f>IF($R$3876=0,0,R3859/$R$3876)</f>
        <v/>
      </c>
      <c r="T3859" s="8" t="n">
        <v>-0.01872636111804549</v>
      </c>
      <c r="U3859" s="8" t="n">
        <v>-0.02395982198136759</v>
      </c>
      <c r="V3859" s="6" t="inlineStr">
        <is>
          <t>remained in weekly selection</t>
        </is>
      </c>
    </row>
    <row r="3860">
      <c r="A3860" s="6" t="inlineStr">
        <is>
          <t>DJ30</t>
        </is>
      </c>
      <c r="B3860" s="6" t="inlineStr">
        <is>
          <t>2025-05-23</t>
        </is>
      </c>
      <c r="C3860" s="6" t="inlineStr">
        <is>
          <t>DIA</t>
        </is>
      </c>
      <c r="D3860" s="6" t="inlineStr">
        <is>
          <t>JNJ</t>
        </is>
      </c>
      <c r="E3860" s="6" t="inlineStr">
        <is>
          <t>JNJ</t>
        </is>
      </c>
      <c r="F3860" s="6" t="inlineStr">
        <is>
          <t>-</t>
        </is>
      </c>
      <c r="G3860" s="7" t="n">
        <v>147.9434509277344</v>
      </c>
      <c r="H3860" s="6">
        <f>P3829</f>
        <v/>
      </c>
      <c r="I3860" s="9">
        <f>Q3829</f>
        <v/>
      </c>
      <c r="J3860" s="7">
        <f>I3860*G3860</f>
        <v/>
      </c>
      <c r="K3860" s="8">
        <f>IF($J$3876=0,0,J3860/$J$3876)</f>
        <v/>
      </c>
      <c r="L3860" s="6" t="inlineStr">
        <is>
          <t>REJECTED</t>
        </is>
      </c>
      <c r="M3860" s="8" t="n">
        <v>0</v>
      </c>
      <c r="N3860" s="7">
        <f>M3860*$J$3876-J3860</f>
        <v/>
      </c>
      <c r="O3860" s="9">
        <f>IF(G3860=0,0,N3860/G3860)</f>
        <v/>
      </c>
      <c r="P3860" s="6">
        <f>IF(M3860&gt;0,D3860,"")</f>
        <v/>
      </c>
      <c r="Q3860" s="9">
        <f>I3860+O3860</f>
        <v/>
      </c>
      <c r="R3860" s="7">
        <f>Q3860*G3860</f>
        <v/>
      </c>
      <c r="S3860" s="8">
        <f>IF($R$3876=0,0,R3860/$R$3876)</f>
        <v/>
      </c>
      <c r="T3860" s="8" t="n">
        <v>-0.01872636111804549</v>
      </c>
      <c r="U3860" s="8" t="n">
        <v>-0.02395982198136759</v>
      </c>
      <c r="V3860" s="6" t="inlineStr">
        <is>
          <t>not selected</t>
        </is>
      </c>
    </row>
    <row r="3861">
      <c r="A3861" s="6" t="inlineStr">
        <is>
          <t>DJ30</t>
        </is>
      </c>
      <c r="B3861" s="6" t="inlineStr">
        <is>
          <t>2025-05-23</t>
        </is>
      </c>
      <c r="C3861" s="6" t="inlineStr">
        <is>
          <t>DIA</t>
        </is>
      </c>
      <c r="D3861" s="6" t="inlineStr">
        <is>
          <t>JPM</t>
        </is>
      </c>
      <c r="E3861" s="6" t="inlineStr">
        <is>
          <t>JPM</t>
        </is>
      </c>
      <c r="F3861" s="6" t="inlineStr">
        <is>
          <t>-</t>
        </is>
      </c>
      <c r="G3861" s="7" t="n">
        <v>255.7364196777344</v>
      </c>
      <c r="H3861" s="6">
        <f>P3830</f>
        <v/>
      </c>
      <c r="I3861" s="9">
        <f>Q3830</f>
        <v/>
      </c>
      <c r="J3861" s="7">
        <f>I3861*G3861</f>
        <v/>
      </c>
      <c r="K3861" s="8">
        <f>IF($J$3876=0,0,J3861/$J$3876)</f>
        <v/>
      </c>
      <c r="L3861" s="6" t="inlineStr">
        <is>
          <t>WATCHLIST</t>
        </is>
      </c>
      <c r="M3861" s="8" t="n">
        <v>0</v>
      </c>
      <c r="N3861" s="7">
        <f>M3861*$J$3876-J3861</f>
        <v/>
      </c>
      <c r="O3861" s="9">
        <f>IF(G3861=0,0,N3861/G3861)</f>
        <v/>
      </c>
      <c r="P3861" s="6">
        <f>IF(M3861&gt;0,D3861,"")</f>
        <v/>
      </c>
      <c r="Q3861" s="9">
        <f>I3861+O3861</f>
        <v/>
      </c>
      <c r="R3861" s="7">
        <f>Q3861*G3861</f>
        <v/>
      </c>
      <c r="S3861" s="8">
        <f>IF($R$3876=0,0,R3861/$R$3876)</f>
        <v/>
      </c>
      <c r="T3861" s="8" t="n">
        <v>-0.01872636111804549</v>
      </c>
      <c r="U3861" s="8" t="n">
        <v>-0.02395982198136759</v>
      </c>
      <c r="V3861" s="6" t="inlineStr">
        <is>
          <t>not selected</t>
        </is>
      </c>
    </row>
    <row r="3862">
      <c r="A3862" s="6" t="inlineStr">
        <is>
          <t>DJ30</t>
        </is>
      </c>
      <c r="B3862" s="6" t="inlineStr">
        <is>
          <t>2025-05-23</t>
        </is>
      </c>
      <c r="C3862" s="6" t="inlineStr">
        <is>
          <t>DIA</t>
        </is>
      </c>
      <c r="D3862" s="6" t="inlineStr">
        <is>
          <t>KO</t>
        </is>
      </c>
      <c r="E3862" s="6" t="inlineStr">
        <is>
          <t>KO</t>
        </is>
      </c>
      <c r="F3862" s="6" t="inlineStr">
        <is>
          <t>-</t>
        </is>
      </c>
      <c r="G3862" s="7" t="n">
        <v>69.30066680908203</v>
      </c>
      <c r="H3862" s="6">
        <f>P3831</f>
        <v/>
      </c>
      <c r="I3862" s="9">
        <f>Q3831</f>
        <v/>
      </c>
      <c r="J3862" s="7">
        <f>I3862*G3862</f>
        <v/>
      </c>
      <c r="K3862" s="8">
        <f>IF($J$3876=0,0,J3862/$J$3876)</f>
        <v/>
      </c>
      <c r="L3862" s="6" t="inlineStr">
        <is>
          <t>REJECTED</t>
        </is>
      </c>
      <c r="M3862" s="8" t="n">
        <v>0</v>
      </c>
      <c r="N3862" s="7">
        <f>M3862*$J$3876-J3862</f>
        <v/>
      </c>
      <c r="O3862" s="9">
        <f>IF(G3862=0,0,N3862/G3862)</f>
        <v/>
      </c>
      <c r="P3862" s="6">
        <f>IF(M3862&gt;0,D3862,"")</f>
        <v/>
      </c>
      <c r="Q3862" s="9">
        <f>I3862+O3862</f>
        <v/>
      </c>
      <c r="R3862" s="7">
        <f>Q3862*G3862</f>
        <v/>
      </c>
      <c r="S3862" s="8">
        <f>IF($R$3876=0,0,R3862/$R$3876)</f>
        <v/>
      </c>
      <c r="T3862" s="8" t="n">
        <v>-0.01872636111804549</v>
      </c>
      <c r="U3862" s="8" t="n">
        <v>-0.02395982198136759</v>
      </c>
      <c r="V3862" s="6" t="inlineStr">
        <is>
          <t>not selected</t>
        </is>
      </c>
    </row>
    <row r="3863">
      <c r="A3863" s="6" t="inlineStr">
        <is>
          <t>DJ30</t>
        </is>
      </c>
      <c r="B3863" s="6" t="inlineStr">
        <is>
          <t>2025-05-23</t>
        </is>
      </c>
      <c r="C3863" s="6" t="inlineStr">
        <is>
          <t>DIA</t>
        </is>
      </c>
      <c r="D3863" s="6" t="inlineStr">
        <is>
          <t>MCD</t>
        </is>
      </c>
      <c r="E3863" s="6" t="inlineStr">
        <is>
          <t>MCD</t>
        </is>
      </c>
      <c r="F3863" s="6" t="inlineStr">
        <is>
          <t>-</t>
        </is>
      </c>
      <c r="G3863" s="7" t="n">
        <v>305.3861389160156</v>
      </c>
      <c r="H3863" s="6">
        <f>P3832</f>
        <v/>
      </c>
      <c r="I3863" s="9">
        <f>Q3832</f>
        <v/>
      </c>
      <c r="J3863" s="7">
        <f>I3863*G3863</f>
        <v/>
      </c>
      <c r="K3863" s="8">
        <f>IF($J$3876=0,0,J3863/$J$3876)</f>
        <v/>
      </c>
      <c r="L3863" s="6" t="inlineStr">
        <is>
          <t>SELECTED</t>
        </is>
      </c>
      <c r="M3863" s="8" t="n">
        <v>0.2</v>
      </c>
      <c r="N3863" s="7">
        <f>M3863*$J$3876-J3863</f>
        <v/>
      </c>
      <c r="O3863" s="9">
        <f>IF(G3863=0,0,N3863/G3863)</f>
        <v/>
      </c>
      <c r="P3863" s="6">
        <f>IF(M3863&gt;0,D3863,"")</f>
        <v/>
      </c>
      <c r="Q3863" s="9">
        <f>I3863+O3863</f>
        <v/>
      </c>
      <c r="R3863" s="7">
        <f>Q3863*G3863</f>
        <v/>
      </c>
      <c r="S3863" s="8">
        <f>IF($R$3876=0,0,R3863/$R$3876)</f>
        <v/>
      </c>
      <c r="T3863" s="8" t="n">
        <v>-0.01872636111804549</v>
      </c>
      <c r="U3863" s="8" t="n">
        <v>-0.02395982198136759</v>
      </c>
      <c r="V3863" s="6" t="inlineStr">
        <is>
          <t>remained in weekly selection</t>
        </is>
      </c>
    </row>
    <row r="3864">
      <c r="A3864" s="6" t="inlineStr">
        <is>
          <t>DJ30</t>
        </is>
      </c>
      <c r="B3864" s="6" t="inlineStr">
        <is>
          <t>2025-05-23</t>
        </is>
      </c>
      <c r="C3864" s="6" t="inlineStr">
        <is>
          <t>DIA</t>
        </is>
      </c>
      <c r="D3864" s="6" t="inlineStr">
        <is>
          <t>MMM</t>
        </is>
      </c>
      <c r="E3864" s="6" t="inlineStr">
        <is>
          <t>MMM</t>
        </is>
      </c>
      <c r="F3864" s="6" t="inlineStr">
        <is>
          <t>-</t>
        </is>
      </c>
      <c r="G3864" s="7" t="n">
        <v>144.9093322753906</v>
      </c>
      <c r="H3864" s="6">
        <f>P3833</f>
        <v/>
      </c>
      <c r="I3864" s="9">
        <f>Q3833</f>
        <v/>
      </c>
      <c r="J3864" s="7">
        <f>I3864*G3864</f>
        <v/>
      </c>
      <c r="K3864" s="8">
        <f>IF($J$3876=0,0,J3864/$J$3876)</f>
        <v/>
      </c>
      <c r="L3864" s="6" t="inlineStr">
        <is>
          <t>SELECTED</t>
        </is>
      </c>
      <c r="M3864" s="8" t="n">
        <v>0.2</v>
      </c>
      <c r="N3864" s="7">
        <f>M3864*$J$3876-J3864</f>
        <v/>
      </c>
      <c r="O3864" s="9">
        <f>IF(G3864=0,0,N3864/G3864)</f>
        <v/>
      </c>
      <c r="P3864" s="6">
        <f>IF(M3864&gt;0,D3864,"")</f>
        <v/>
      </c>
      <c r="Q3864" s="9">
        <f>I3864+O3864</f>
        <v/>
      </c>
      <c r="R3864" s="7">
        <f>Q3864*G3864</f>
        <v/>
      </c>
      <c r="S3864" s="8">
        <f>IF($R$3876=0,0,R3864/$R$3876)</f>
        <v/>
      </c>
      <c r="T3864" s="8" t="n">
        <v>-0.01872636111804549</v>
      </c>
      <c r="U3864" s="8" t="n">
        <v>-0.02395982198136759</v>
      </c>
      <c r="V3864" s="6" t="inlineStr">
        <is>
          <t>remained in weekly selection</t>
        </is>
      </c>
    </row>
    <row r="3865">
      <c r="A3865" s="6" t="inlineStr">
        <is>
          <t>DJ30</t>
        </is>
      </c>
      <c r="B3865" s="6" t="inlineStr">
        <is>
          <t>2025-05-23</t>
        </is>
      </c>
      <c r="C3865" s="6" t="inlineStr">
        <is>
          <t>DIA</t>
        </is>
      </c>
      <c r="D3865" s="6" t="inlineStr">
        <is>
          <t>MRK</t>
        </is>
      </c>
      <c r="E3865" s="6" t="inlineStr">
        <is>
          <t>MRK</t>
        </is>
      </c>
      <c r="F3865" s="6" t="inlineStr">
        <is>
          <t>-</t>
        </is>
      </c>
      <c r="G3865" s="7" t="n">
        <v>74.32608032226562</v>
      </c>
      <c r="H3865" s="6">
        <f>P3834</f>
        <v/>
      </c>
      <c r="I3865" s="9">
        <f>Q3834</f>
        <v/>
      </c>
      <c r="J3865" s="7">
        <f>I3865*G3865</f>
        <v/>
      </c>
      <c r="K3865" s="8">
        <f>IF($J$3876=0,0,J3865/$J$3876)</f>
        <v/>
      </c>
      <c r="L3865" s="6" t="inlineStr">
        <is>
          <t>REJECTED</t>
        </is>
      </c>
      <c r="M3865" s="8" t="n">
        <v>0</v>
      </c>
      <c r="N3865" s="7">
        <f>M3865*$J$3876-J3865</f>
        <v/>
      </c>
      <c r="O3865" s="9">
        <f>IF(G3865=0,0,N3865/G3865)</f>
        <v/>
      </c>
      <c r="P3865" s="6">
        <f>IF(M3865&gt;0,D3865,"")</f>
        <v/>
      </c>
      <c r="Q3865" s="9">
        <f>I3865+O3865</f>
        <v/>
      </c>
      <c r="R3865" s="7">
        <f>Q3865*G3865</f>
        <v/>
      </c>
      <c r="S3865" s="8">
        <f>IF($R$3876=0,0,R3865/$R$3876)</f>
        <v/>
      </c>
      <c r="T3865" s="8" t="n">
        <v>-0.01872636111804549</v>
      </c>
      <c r="U3865" s="8" t="n">
        <v>-0.02395982198136759</v>
      </c>
      <c r="V3865" s="6" t="inlineStr">
        <is>
          <t>not selected</t>
        </is>
      </c>
    </row>
    <row r="3866">
      <c r="A3866" s="6" t="inlineStr">
        <is>
          <t>DJ30</t>
        </is>
      </c>
      <c r="B3866" s="6" t="inlineStr">
        <is>
          <t>2025-05-23</t>
        </is>
      </c>
      <c r="C3866" s="6" t="inlineStr">
        <is>
          <t>DIA</t>
        </is>
      </c>
      <c r="D3866" s="6" t="inlineStr">
        <is>
          <t>MSFT</t>
        </is>
      </c>
      <c r="E3866" s="6" t="inlineStr">
        <is>
          <t>MSFT</t>
        </is>
      </c>
      <c r="F3866" s="6" t="inlineStr">
        <is>
          <t>-</t>
        </is>
      </c>
      <c r="G3866" s="7" t="n">
        <v>446.6126403808594</v>
      </c>
      <c r="H3866" s="6">
        <f>P3835</f>
        <v/>
      </c>
      <c r="I3866" s="9">
        <f>Q3835</f>
        <v/>
      </c>
      <c r="J3866" s="7">
        <f>I3866*G3866</f>
        <v/>
      </c>
      <c r="K3866" s="8">
        <f>IF($J$3876=0,0,J3866/$J$3876)</f>
        <v/>
      </c>
      <c r="L3866" s="6" t="inlineStr">
        <is>
          <t>REJECTED</t>
        </is>
      </c>
      <c r="M3866" s="8" t="n">
        <v>0</v>
      </c>
      <c r="N3866" s="7">
        <f>M3866*$J$3876-J3866</f>
        <v/>
      </c>
      <c r="O3866" s="9">
        <f>IF(G3866=0,0,N3866/G3866)</f>
        <v/>
      </c>
      <c r="P3866" s="6">
        <f>IF(M3866&gt;0,D3866,"")</f>
        <v/>
      </c>
      <c r="Q3866" s="9">
        <f>I3866+O3866</f>
        <v/>
      </c>
      <c r="R3866" s="7">
        <f>Q3866*G3866</f>
        <v/>
      </c>
      <c r="S3866" s="8">
        <f>IF($R$3876=0,0,R3866/$R$3876)</f>
        <v/>
      </c>
      <c r="T3866" s="8" t="n">
        <v>-0.01872636111804549</v>
      </c>
      <c r="U3866" s="8" t="n">
        <v>-0.02395982198136759</v>
      </c>
      <c r="V3866" s="6" t="inlineStr">
        <is>
          <t>not selected</t>
        </is>
      </c>
    </row>
    <row r="3867">
      <c r="A3867" s="6" t="inlineStr">
        <is>
          <t>DJ30</t>
        </is>
      </c>
      <c r="B3867" s="6" t="inlineStr">
        <is>
          <t>2025-05-23</t>
        </is>
      </c>
      <c r="C3867" s="6" t="inlineStr">
        <is>
          <t>DIA</t>
        </is>
      </c>
      <c r="D3867" s="6" t="inlineStr">
        <is>
          <t>NKE</t>
        </is>
      </c>
      <c r="E3867" s="6" t="inlineStr">
        <is>
          <t>NKE</t>
        </is>
      </c>
      <c r="F3867" s="6" t="inlineStr">
        <is>
          <t>-</t>
        </is>
      </c>
      <c r="G3867" s="7" t="n">
        <v>58.03133010864258</v>
      </c>
      <c r="H3867" s="6">
        <f>P3836</f>
        <v/>
      </c>
      <c r="I3867" s="9">
        <f>Q3836</f>
        <v/>
      </c>
      <c r="J3867" s="7">
        <f>I3867*G3867</f>
        <v/>
      </c>
      <c r="K3867" s="8">
        <f>IF($J$3876=0,0,J3867/$J$3876)</f>
        <v/>
      </c>
      <c r="L3867" s="6" t="inlineStr">
        <is>
          <t>REJECTED</t>
        </is>
      </c>
      <c r="M3867" s="8" t="n">
        <v>0</v>
      </c>
      <c r="N3867" s="7">
        <f>M3867*$J$3876-J3867</f>
        <v/>
      </c>
      <c r="O3867" s="9">
        <f>IF(G3867=0,0,N3867/G3867)</f>
        <v/>
      </c>
      <c r="P3867" s="6">
        <f>IF(M3867&gt;0,D3867,"")</f>
        <v/>
      </c>
      <c r="Q3867" s="9">
        <f>I3867+O3867</f>
        <v/>
      </c>
      <c r="R3867" s="7">
        <f>Q3867*G3867</f>
        <v/>
      </c>
      <c r="S3867" s="8">
        <f>IF($R$3876=0,0,R3867/$R$3876)</f>
        <v/>
      </c>
      <c r="T3867" s="8" t="n">
        <v>-0.01872636111804549</v>
      </c>
      <c r="U3867" s="8" t="n">
        <v>-0.02395982198136759</v>
      </c>
      <c r="V3867" s="6" t="inlineStr">
        <is>
          <t>not selected</t>
        </is>
      </c>
    </row>
    <row r="3868">
      <c r="A3868" s="6" t="inlineStr">
        <is>
          <t>DJ30</t>
        </is>
      </c>
      <c r="B3868" s="6" t="inlineStr">
        <is>
          <t>2025-05-23</t>
        </is>
      </c>
      <c r="C3868" s="6" t="inlineStr">
        <is>
          <t>DIA</t>
        </is>
      </c>
      <c r="D3868" s="6" t="inlineStr">
        <is>
          <t>NVDA</t>
        </is>
      </c>
      <c r="E3868" s="6" t="inlineStr">
        <is>
          <t>NVDA</t>
        </is>
      </c>
      <c r="F3868" s="6" t="inlineStr">
        <is>
          <t>-</t>
        </is>
      </c>
      <c r="G3868" s="7" t="n">
        <v>131.1062469482422</v>
      </c>
      <c r="H3868" s="6">
        <f>P3837</f>
        <v/>
      </c>
      <c r="I3868" s="9">
        <f>Q3837</f>
        <v/>
      </c>
      <c r="J3868" s="7">
        <f>I3868*G3868</f>
        <v/>
      </c>
      <c r="K3868" s="8">
        <f>IF($J$3876=0,0,J3868/$J$3876)</f>
        <v/>
      </c>
      <c r="L3868" s="6" t="inlineStr">
        <is>
          <t>REJECTED</t>
        </is>
      </c>
      <c r="M3868" s="8" t="n">
        <v>0</v>
      </c>
      <c r="N3868" s="7">
        <f>M3868*$J$3876-J3868</f>
        <v/>
      </c>
      <c r="O3868" s="9">
        <f>IF(G3868=0,0,N3868/G3868)</f>
        <v/>
      </c>
      <c r="P3868" s="6">
        <f>IF(M3868&gt;0,D3868,"")</f>
        <v/>
      </c>
      <c r="Q3868" s="9">
        <f>I3868+O3868</f>
        <v/>
      </c>
      <c r="R3868" s="7">
        <f>Q3868*G3868</f>
        <v/>
      </c>
      <c r="S3868" s="8">
        <f>IF($R$3876=0,0,R3868/$R$3876)</f>
        <v/>
      </c>
      <c r="T3868" s="8" t="n">
        <v>-0.01872636111804549</v>
      </c>
      <c r="U3868" s="8" t="n">
        <v>-0.02395982198136759</v>
      </c>
      <c r="V3868" s="6" t="inlineStr">
        <is>
          <t>not selected</t>
        </is>
      </c>
    </row>
    <row r="3869">
      <c r="A3869" s="6" t="inlineStr">
        <is>
          <t>DJ30</t>
        </is>
      </c>
      <c r="B3869" s="6" t="inlineStr">
        <is>
          <t>2025-05-23</t>
        </is>
      </c>
      <c r="C3869" s="6" t="inlineStr">
        <is>
          <t>DIA</t>
        </is>
      </c>
      <c r="D3869" s="6" t="inlineStr">
        <is>
          <t>PG</t>
        </is>
      </c>
      <c r="E3869" s="6" t="inlineStr">
        <is>
          <t>PG</t>
        </is>
      </c>
      <c r="F3869" s="6" t="inlineStr">
        <is>
          <t>-</t>
        </is>
      </c>
      <c r="G3869" s="7" t="n">
        <v>161.2221527099609</v>
      </c>
      <c r="H3869" s="6">
        <f>P3838</f>
        <v/>
      </c>
      <c r="I3869" s="9">
        <f>Q3838</f>
        <v/>
      </c>
      <c r="J3869" s="7">
        <f>I3869*G3869</f>
        <v/>
      </c>
      <c r="K3869" s="8">
        <f>IF($J$3876=0,0,J3869/$J$3876)</f>
        <v/>
      </c>
      <c r="L3869" s="6" t="inlineStr">
        <is>
          <t>REJECTED</t>
        </is>
      </c>
      <c r="M3869" s="8" t="n">
        <v>0</v>
      </c>
      <c r="N3869" s="7">
        <f>M3869*$J$3876-J3869</f>
        <v/>
      </c>
      <c r="O3869" s="9">
        <f>IF(G3869=0,0,N3869/G3869)</f>
        <v/>
      </c>
      <c r="P3869" s="6">
        <f>IF(M3869&gt;0,D3869,"")</f>
        <v/>
      </c>
      <c r="Q3869" s="9">
        <f>I3869+O3869</f>
        <v/>
      </c>
      <c r="R3869" s="7">
        <f>Q3869*G3869</f>
        <v/>
      </c>
      <c r="S3869" s="8">
        <f>IF($R$3876=0,0,R3869/$R$3876)</f>
        <v/>
      </c>
      <c r="T3869" s="8" t="n">
        <v>-0.01872636111804549</v>
      </c>
      <c r="U3869" s="8" t="n">
        <v>-0.02395982198136759</v>
      </c>
      <c r="V3869" s="6" t="inlineStr">
        <is>
          <t>not selected</t>
        </is>
      </c>
    </row>
    <row r="3870">
      <c r="A3870" s="6" t="inlineStr">
        <is>
          <t>DJ30</t>
        </is>
      </c>
      <c r="B3870" s="6" t="inlineStr">
        <is>
          <t>2025-05-23</t>
        </is>
      </c>
      <c r="C3870" s="6" t="inlineStr">
        <is>
          <t>DIA</t>
        </is>
      </c>
      <c r="D3870" s="6" t="inlineStr">
        <is>
          <t>SHW</t>
        </is>
      </c>
      <c r="E3870" s="6" t="inlineStr">
        <is>
          <t>SHW</t>
        </is>
      </c>
      <c r="F3870" s="6" t="inlineStr">
        <is>
          <t>-</t>
        </is>
      </c>
      <c r="G3870" s="7" t="n">
        <v>349.2483215332031</v>
      </c>
      <c r="H3870" s="6">
        <f>P3839</f>
        <v/>
      </c>
      <c r="I3870" s="9">
        <f>Q3839</f>
        <v/>
      </c>
      <c r="J3870" s="7">
        <f>I3870*G3870</f>
        <v/>
      </c>
      <c r="K3870" s="8">
        <f>IF($J$3876=0,0,J3870/$J$3876)</f>
        <v/>
      </c>
      <c r="L3870" s="6" t="inlineStr">
        <is>
          <t>REJECTED</t>
        </is>
      </c>
      <c r="M3870" s="8" t="n">
        <v>0</v>
      </c>
      <c r="N3870" s="7">
        <f>M3870*$J$3876-J3870</f>
        <v/>
      </c>
      <c r="O3870" s="9">
        <f>IF(G3870=0,0,N3870/G3870)</f>
        <v/>
      </c>
      <c r="P3870" s="6">
        <f>IF(M3870&gt;0,D3870,"")</f>
        <v/>
      </c>
      <c r="Q3870" s="9">
        <f>I3870+O3870</f>
        <v/>
      </c>
      <c r="R3870" s="7">
        <f>Q3870*G3870</f>
        <v/>
      </c>
      <c r="S3870" s="8">
        <f>IF($R$3876=0,0,R3870/$R$3876)</f>
        <v/>
      </c>
      <c r="T3870" s="8" t="n">
        <v>-0.01872636111804549</v>
      </c>
      <c r="U3870" s="8" t="n">
        <v>-0.02395982198136759</v>
      </c>
      <c r="V3870" s="6" t="inlineStr">
        <is>
          <t>not selected</t>
        </is>
      </c>
    </row>
    <row r="3871">
      <c r="A3871" s="6" t="inlineStr">
        <is>
          <t>DJ30</t>
        </is>
      </c>
      <c r="B3871" s="6" t="inlineStr">
        <is>
          <t>2025-05-23</t>
        </is>
      </c>
      <c r="C3871" s="6" t="inlineStr">
        <is>
          <t>DIA</t>
        </is>
      </c>
      <c r="D3871" s="6" t="inlineStr">
        <is>
          <t>TRV</t>
        </is>
      </c>
      <c r="E3871" s="6" t="inlineStr">
        <is>
          <t>TRV</t>
        </is>
      </c>
      <c r="F3871" s="6" t="inlineStr">
        <is>
          <t>-</t>
        </is>
      </c>
      <c r="G3871" s="7" t="n">
        <v>265.6995544433594</v>
      </c>
      <c r="H3871" s="6">
        <f>P3840</f>
        <v/>
      </c>
      <c r="I3871" s="9">
        <f>Q3840</f>
        <v/>
      </c>
      <c r="J3871" s="7">
        <f>I3871*G3871</f>
        <v/>
      </c>
      <c r="K3871" s="8">
        <f>IF($J$3876=0,0,J3871/$J$3876)</f>
        <v/>
      </c>
      <c r="L3871" s="6" t="inlineStr">
        <is>
          <t>WATCHLIST</t>
        </is>
      </c>
      <c r="M3871" s="8" t="n">
        <v>0</v>
      </c>
      <c r="N3871" s="7">
        <f>M3871*$J$3876-J3871</f>
        <v/>
      </c>
      <c r="O3871" s="9">
        <f>IF(G3871=0,0,N3871/G3871)</f>
        <v/>
      </c>
      <c r="P3871" s="6">
        <f>IF(M3871&gt;0,D3871,"")</f>
        <v/>
      </c>
      <c r="Q3871" s="9">
        <f>I3871+O3871</f>
        <v/>
      </c>
      <c r="R3871" s="7">
        <f>Q3871*G3871</f>
        <v/>
      </c>
      <c r="S3871" s="8">
        <f>IF($R$3876=0,0,R3871/$R$3876)</f>
        <v/>
      </c>
      <c r="T3871" s="8" t="n">
        <v>-0.01872636111804549</v>
      </c>
      <c r="U3871" s="8" t="n">
        <v>-0.02395982198136759</v>
      </c>
      <c r="V3871" s="6" t="inlineStr">
        <is>
          <t>not selected</t>
        </is>
      </c>
    </row>
    <row r="3872">
      <c r="A3872" s="6" t="inlineStr">
        <is>
          <t>DJ30</t>
        </is>
      </c>
      <c r="B3872" s="6" t="inlineStr">
        <is>
          <t>2025-05-23</t>
        </is>
      </c>
      <c r="C3872" s="6" t="inlineStr">
        <is>
          <t>DIA</t>
        </is>
      </c>
      <c r="D3872" s="6" t="inlineStr">
        <is>
          <t>UNH</t>
        </is>
      </c>
      <c r="E3872" s="6" t="inlineStr">
        <is>
          <t>UNH</t>
        </is>
      </c>
      <c r="F3872" s="6" t="inlineStr">
        <is>
          <t>-</t>
        </is>
      </c>
      <c r="G3872" s="7" t="n">
        <v>285.8314819335937</v>
      </c>
      <c r="H3872" s="6">
        <f>P3841</f>
        <v/>
      </c>
      <c r="I3872" s="9">
        <f>Q3841</f>
        <v/>
      </c>
      <c r="J3872" s="7">
        <f>I3872*G3872</f>
        <v/>
      </c>
      <c r="K3872" s="8">
        <f>IF($J$3876=0,0,J3872/$J$3876)</f>
        <v/>
      </c>
      <c r="L3872" s="6" t="inlineStr">
        <is>
          <t>REJECTED</t>
        </is>
      </c>
      <c r="M3872" s="8" t="n">
        <v>0</v>
      </c>
      <c r="N3872" s="7">
        <f>M3872*$J$3876-J3872</f>
        <v/>
      </c>
      <c r="O3872" s="9">
        <f>IF(G3872=0,0,N3872/G3872)</f>
        <v/>
      </c>
      <c r="P3872" s="6">
        <f>IF(M3872&gt;0,D3872,"")</f>
        <v/>
      </c>
      <c r="Q3872" s="9">
        <f>I3872+O3872</f>
        <v/>
      </c>
      <c r="R3872" s="7">
        <f>Q3872*G3872</f>
        <v/>
      </c>
      <c r="S3872" s="8">
        <f>IF($R$3876=0,0,R3872/$R$3876)</f>
        <v/>
      </c>
      <c r="T3872" s="8" t="n">
        <v>-0.01872636111804549</v>
      </c>
      <c r="U3872" s="8" t="n">
        <v>-0.02395982198136759</v>
      </c>
      <c r="V3872" s="6" t="inlineStr">
        <is>
          <t>not selected</t>
        </is>
      </c>
    </row>
    <row r="3873">
      <c r="A3873" s="6" t="inlineStr">
        <is>
          <t>DJ30</t>
        </is>
      </c>
      <c r="B3873" s="6" t="inlineStr">
        <is>
          <t>2025-05-23</t>
        </is>
      </c>
      <c r="C3873" s="6" t="inlineStr">
        <is>
          <t>DIA</t>
        </is>
      </c>
      <c r="D3873" s="6" t="inlineStr">
        <is>
          <t>V</t>
        </is>
      </c>
      <c r="E3873" s="6" t="inlineStr">
        <is>
          <t>V</t>
        </is>
      </c>
      <c r="F3873" s="6" t="inlineStr">
        <is>
          <t>-</t>
        </is>
      </c>
      <c r="G3873" s="7" t="n">
        <v>350.7693786621094</v>
      </c>
      <c r="H3873" s="6">
        <f>P3842</f>
        <v/>
      </c>
      <c r="I3873" s="9">
        <f>Q3842</f>
        <v/>
      </c>
      <c r="J3873" s="7">
        <f>I3873*G3873</f>
        <v/>
      </c>
      <c r="K3873" s="8">
        <f>IF($J$3876=0,0,J3873/$J$3876)</f>
        <v/>
      </c>
      <c r="L3873" s="6" t="inlineStr">
        <is>
          <t>WATCHLIST</t>
        </is>
      </c>
      <c r="M3873" s="8" t="n">
        <v>0</v>
      </c>
      <c r="N3873" s="7">
        <f>M3873*$J$3876-J3873</f>
        <v/>
      </c>
      <c r="O3873" s="9">
        <f>IF(G3873=0,0,N3873/G3873)</f>
        <v/>
      </c>
      <c r="P3873" s="6">
        <f>IF(M3873&gt;0,D3873,"")</f>
        <v/>
      </c>
      <c r="Q3873" s="9">
        <f>I3873+O3873</f>
        <v/>
      </c>
      <c r="R3873" s="7">
        <f>Q3873*G3873</f>
        <v/>
      </c>
      <c r="S3873" s="8">
        <f>IF($R$3876=0,0,R3873/$R$3876)</f>
        <v/>
      </c>
      <c r="T3873" s="8" t="n">
        <v>-0.01872636111804549</v>
      </c>
      <c r="U3873" s="8" t="n">
        <v>-0.02395982198136759</v>
      </c>
      <c r="V3873" s="6" t="inlineStr">
        <is>
          <t>not selected</t>
        </is>
      </c>
    </row>
    <row r="3874">
      <c r="A3874" s="6" t="inlineStr">
        <is>
          <t>DJ30</t>
        </is>
      </c>
      <c r="B3874" s="6" t="inlineStr">
        <is>
          <t>2025-05-23</t>
        </is>
      </c>
      <c r="C3874" s="6" t="inlineStr">
        <is>
          <t>DIA</t>
        </is>
      </c>
      <c r="D3874" s="6" t="inlineStr">
        <is>
          <t>VZ</t>
        </is>
      </c>
      <c r="E3874" s="6" t="inlineStr">
        <is>
          <t>VZ</t>
        </is>
      </c>
      <c r="F3874" s="6" t="inlineStr">
        <is>
          <t>-</t>
        </is>
      </c>
      <c r="G3874" s="7" t="n">
        <v>40.58510971069336</v>
      </c>
      <c r="H3874" s="6">
        <f>P3843</f>
        <v/>
      </c>
      <c r="I3874" s="9">
        <f>Q3843</f>
        <v/>
      </c>
      <c r="J3874" s="7">
        <f>I3874*G3874</f>
        <v/>
      </c>
      <c r="K3874" s="8">
        <f>IF($J$3876=0,0,J3874/$J$3876)</f>
        <v/>
      </c>
      <c r="L3874" s="6" t="inlineStr">
        <is>
          <t>WATCHLIST</t>
        </is>
      </c>
      <c r="M3874" s="8" t="n">
        <v>0</v>
      </c>
      <c r="N3874" s="7">
        <f>M3874*$J$3876-J3874</f>
        <v/>
      </c>
      <c r="O3874" s="9">
        <f>IF(G3874=0,0,N3874/G3874)</f>
        <v/>
      </c>
      <c r="P3874" s="6">
        <f>IF(M3874&gt;0,D3874,"")</f>
        <v/>
      </c>
      <c r="Q3874" s="9">
        <f>I3874+O3874</f>
        <v/>
      </c>
      <c r="R3874" s="7">
        <f>Q3874*G3874</f>
        <v/>
      </c>
      <c r="S3874" s="8">
        <f>IF($R$3876=0,0,R3874/$R$3876)</f>
        <v/>
      </c>
      <c r="T3874" s="8" t="n">
        <v>-0.01872636111804549</v>
      </c>
      <c r="U3874" s="8" t="n">
        <v>-0.02395982198136759</v>
      </c>
      <c r="V3874" s="6" t="inlineStr">
        <is>
          <t>not selected</t>
        </is>
      </c>
    </row>
    <row r="3875">
      <c r="A3875" s="6" t="inlineStr">
        <is>
          <t>DJ30</t>
        </is>
      </c>
      <c r="B3875" s="6" t="inlineStr">
        <is>
          <t>2025-05-23</t>
        </is>
      </c>
      <c r="C3875" s="6" t="inlineStr">
        <is>
          <t>DIA</t>
        </is>
      </c>
      <c r="D3875" s="6" t="inlineStr">
        <is>
          <t>WMT</t>
        </is>
      </c>
      <c r="E3875" s="6" t="inlineStr">
        <is>
          <t>WMT</t>
        </is>
      </c>
      <c r="F3875" s="6" t="inlineStr">
        <is>
          <t>-</t>
        </is>
      </c>
      <c r="G3875" s="7" t="n">
        <v>95.54119873046876</v>
      </c>
      <c r="H3875" s="6">
        <f>P3844</f>
        <v/>
      </c>
      <c r="I3875" s="9">
        <f>Q3844</f>
        <v/>
      </c>
      <c r="J3875" s="7">
        <f>I3875*G3875</f>
        <v/>
      </c>
      <c r="K3875" s="8">
        <f>IF($J$3876=0,0,J3875/$J$3876)</f>
        <v/>
      </c>
      <c r="L3875" s="6" t="inlineStr">
        <is>
          <t>SELECTED</t>
        </is>
      </c>
      <c r="M3875" s="8" t="n">
        <v>0.2</v>
      </c>
      <c r="N3875" s="7">
        <f>M3875*$J$3876-J3875</f>
        <v/>
      </c>
      <c r="O3875" s="9">
        <f>IF(G3875=0,0,N3875/G3875)</f>
        <v/>
      </c>
      <c r="P3875" s="6">
        <f>IF(M3875&gt;0,D3875,"")</f>
        <v/>
      </c>
      <c r="Q3875" s="9">
        <f>I3875+O3875</f>
        <v/>
      </c>
      <c r="R3875" s="7">
        <f>Q3875*G3875</f>
        <v/>
      </c>
      <c r="S3875" s="8">
        <f>IF($R$3876=0,0,R3875/$R$3876)</f>
        <v/>
      </c>
      <c r="T3875" s="8" t="n">
        <v>-0.01872636111804549</v>
      </c>
      <c r="U3875" s="8" t="n">
        <v>-0.02395982198136759</v>
      </c>
      <c r="V3875" s="6" t="inlineStr">
        <is>
          <t>remained in weekly selection</t>
        </is>
      </c>
    </row>
    <row r="3876">
      <c r="A3876" s="10" t="inlineStr">
        <is>
          <t>DJ30</t>
        </is>
      </c>
      <c r="B3876" s="10" t="inlineStr">
        <is>
          <t>2025-05-23</t>
        </is>
      </c>
      <c r="C3876" s="10" t="inlineStr">
        <is>
          <t>DIA</t>
        </is>
      </c>
      <c r="D3876" s="10" t="inlineStr">
        <is>
          <t>Tot Portfolio</t>
        </is>
      </c>
      <c r="E3876" s="10" t="inlineStr"/>
      <c r="F3876" s="10" t="inlineStr"/>
      <c r="G3876" s="11" t="inlineStr"/>
      <c r="H3876" s="10" t="inlineStr"/>
      <c r="I3876" s="12" t="inlineStr"/>
      <c r="J3876" s="11">
        <f>SUM(J3846:J3875)</f>
        <v/>
      </c>
      <c r="K3876" s="13">
        <f>SUM(K3846:K3875)</f>
        <v/>
      </c>
      <c r="L3876" s="10" t="inlineStr">
        <is>
          <t>TOTAL</t>
        </is>
      </c>
      <c r="M3876" s="13">
        <f>SUM(M3846:M3875)</f>
        <v/>
      </c>
      <c r="N3876" s="11">
        <f>SUM(N3846:N3875)</f>
        <v/>
      </c>
      <c r="O3876" s="12">
        <f>SUM(O3846:O3875)</f>
        <v/>
      </c>
      <c r="P3876" s="10" t="inlineStr"/>
      <c r="Q3876" s="12" t="inlineStr"/>
      <c r="R3876" s="11">
        <f>SUM(R3846:R3875)</f>
        <v/>
      </c>
      <c r="S3876" s="13">
        <f>SUM(S3846:S3875)</f>
        <v/>
      </c>
      <c r="T3876" s="13" t="n">
        <v>-0.01872636111804549</v>
      </c>
      <c r="U3876" s="13" t="n">
        <v>-0.02395982198136759</v>
      </c>
      <c r="V3876" s="10" t="inlineStr"/>
    </row>
    <row r="3877">
      <c r="A3877" s="6" t="inlineStr">
        <is>
          <t>DJ30</t>
        </is>
      </c>
      <c r="B3877" s="6" t="inlineStr">
        <is>
          <t>2025-05-30</t>
        </is>
      </c>
      <c r="C3877" s="6" t="inlineStr">
        <is>
          <t>DIA</t>
        </is>
      </c>
      <c r="D3877" s="6" t="inlineStr">
        <is>
          <t>AAPL</t>
        </is>
      </c>
      <c r="E3877" s="6" t="inlineStr">
        <is>
          <t>AAPL</t>
        </is>
      </c>
      <c r="F3877" s="6" t="inlineStr">
        <is>
          <t>-</t>
        </is>
      </c>
      <c r="G3877" s="7" t="n">
        <v>200.0563354492188</v>
      </c>
      <c r="H3877" s="6">
        <f>P3846</f>
        <v/>
      </c>
      <c r="I3877" s="9">
        <f>Q3846</f>
        <v/>
      </c>
      <c r="J3877" s="7">
        <f>I3877*G3877</f>
        <v/>
      </c>
      <c r="K3877" s="8">
        <f>IF($J$3907=0,0,J3877/$J$3907)</f>
        <v/>
      </c>
      <c r="L3877" s="6" t="inlineStr">
        <is>
          <t>REJECTED</t>
        </is>
      </c>
      <c r="M3877" s="8" t="n">
        <v>0</v>
      </c>
      <c r="N3877" s="7">
        <f>M3877*$J$3907-J3877</f>
        <v/>
      </c>
      <c r="O3877" s="9">
        <f>IF(G3877=0,0,N3877/G3877)</f>
        <v/>
      </c>
      <c r="P3877" s="6">
        <f>IF(M3877&gt;0,D3877,"")</f>
        <v/>
      </c>
      <c r="Q3877" s="9">
        <f>I3877+O3877</f>
        <v/>
      </c>
      <c r="R3877" s="7">
        <f>Q3877*G3877</f>
        <v/>
      </c>
      <c r="S3877" s="8">
        <f>IF($R$3907=0,0,R3877/$R$3907)</f>
        <v/>
      </c>
      <c r="T3877" s="8" t="n">
        <v>0.005404673160033902</v>
      </c>
      <c r="U3877" s="8" t="n">
        <v>0.0156605714734328</v>
      </c>
      <c r="V3877" s="6" t="inlineStr">
        <is>
          <t>not selected</t>
        </is>
      </c>
    </row>
    <row r="3878">
      <c r="A3878" s="6" t="inlineStr">
        <is>
          <t>DJ30</t>
        </is>
      </c>
      <c r="B3878" s="6" t="inlineStr">
        <is>
          <t>2025-05-30</t>
        </is>
      </c>
      <c r="C3878" s="6" t="inlineStr">
        <is>
          <t>DIA</t>
        </is>
      </c>
      <c r="D3878" s="6" t="inlineStr">
        <is>
          <t>AMGN</t>
        </is>
      </c>
      <c r="E3878" s="6" t="inlineStr">
        <is>
          <t>AMGN</t>
        </is>
      </c>
      <c r="F3878" s="6" t="inlineStr">
        <is>
          <t>-</t>
        </is>
      </c>
      <c r="G3878" s="7" t="n">
        <v>279.7706604003906</v>
      </c>
      <c r="H3878" s="6">
        <f>P3847</f>
        <v/>
      </c>
      <c r="I3878" s="9">
        <f>Q3847</f>
        <v/>
      </c>
      <c r="J3878" s="7">
        <f>I3878*G3878</f>
        <v/>
      </c>
      <c r="K3878" s="8">
        <f>IF($J$3907=0,0,J3878/$J$3907)</f>
        <v/>
      </c>
      <c r="L3878" s="6" t="inlineStr">
        <is>
          <t>REJECTED</t>
        </is>
      </c>
      <c r="M3878" s="8" t="n">
        <v>0</v>
      </c>
      <c r="N3878" s="7">
        <f>M3878*$J$3907-J3878</f>
        <v/>
      </c>
      <c r="O3878" s="9">
        <f>IF(G3878=0,0,N3878/G3878)</f>
        <v/>
      </c>
      <c r="P3878" s="6">
        <f>IF(M3878&gt;0,D3878,"")</f>
        <v/>
      </c>
      <c r="Q3878" s="9">
        <f>I3878+O3878</f>
        <v/>
      </c>
      <c r="R3878" s="7">
        <f>Q3878*G3878</f>
        <v/>
      </c>
      <c r="S3878" s="8">
        <f>IF($R$3907=0,0,R3878/$R$3907)</f>
        <v/>
      </c>
      <c r="T3878" s="8" t="n">
        <v>0.005404673160033902</v>
      </c>
      <c r="U3878" s="8" t="n">
        <v>0.0156605714734328</v>
      </c>
      <c r="V3878" s="6" t="inlineStr">
        <is>
          <t>not selected</t>
        </is>
      </c>
    </row>
    <row r="3879">
      <c r="A3879" s="6" t="inlineStr">
        <is>
          <t>DJ30</t>
        </is>
      </c>
      <c r="B3879" s="6" t="inlineStr">
        <is>
          <t>2025-05-30</t>
        </is>
      </c>
      <c r="C3879" s="6" t="inlineStr">
        <is>
          <t>DIA</t>
        </is>
      </c>
      <c r="D3879" s="6" t="inlineStr">
        <is>
          <t>AMZN</t>
        </is>
      </c>
      <c r="E3879" s="6" t="inlineStr">
        <is>
          <t>AMZN</t>
        </is>
      </c>
      <c r="F3879" s="6" t="inlineStr">
        <is>
          <t>-</t>
        </is>
      </c>
      <c r="G3879" s="7" t="n">
        <v>205.009994506836</v>
      </c>
      <c r="H3879" s="6">
        <f>P3848</f>
        <v/>
      </c>
      <c r="I3879" s="9">
        <f>Q3848</f>
        <v/>
      </c>
      <c r="J3879" s="7">
        <f>I3879*G3879</f>
        <v/>
      </c>
      <c r="K3879" s="8">
        <f>IF($J$3907=0,0,J3879/$J$3907)</f>
        <v/>
      </c>
      <c r="L3879" s="6" t="inlineStr">
        <is>
          <t>REJECTED</t>
        </is>
      </c>
      <c r="M3879" s="8" t="n">
        <v>0</v>
      </c>
      <c r="N3879" s="7">
        <f>M3879*$J$3907-J3879</f>
        <v/>
      </c>
      <c r="O3879" s="9">
        <f>IF(G3879=0,0,N3879/G3879)</f>
        <v/>
      </c>
      <c r="P3879" s="6">
        <f>IF(M3879&gt;0,D3879,"")</f>
        <v/>
      </c>
      <c r="Q3879" s="9">
        <f>I3879+O3879</f>
        <v/>
      </c>
      <c r="R3879" s="7">
        <f>Q3879*G3879</f>
        <v/>
      </c>
      <c r="S3879" s="8">
        <f>IF($R$3907=0,0,R3879/$R$3907)</f>
        <v/>
      </c>
      <c r="T3879" s="8" t="n">
        <v>0.005404673160033902</v>
      </c>
      <c r="U3879" s="8" t="n">
        <v>0.0156605714734328</v>
      </c>
      <c r="V3879" s="6" t="inlineStr">
        <is>
          <t>not selected</t>
        </is>
      </c>
    </row>
    <row r="3880">
      <c r="A3880" s="6" t="inlineStr">
        <is>
          <t>DJ30</t>
        </is>
      </c>
      <c r="B3880" s="6" t="inlineStr">
        <is>
          <t>2025-05-30</t>
        </is>
      </c>
      <c r="C3880" s="6" t="inlineStr">
        <is>
          <t>DIA</t>
        </is>
      </c>
      <c r="D3880" s="6" t="inlineStr">
        <is>
          <t>AXP</t>
        </is>
      </c>
      <c r="E3880" s="6" t="inlineStr">
        <is>
          <t>AXP</t>
        </is>
      </c>
      <c r="F3880" s="6" t="inlineStr">
        <is>
          <t>-</t>
        </is>
      </c>
      <c r="G3880" s="7" t="n">
        <v>290.9997253417969</v>
      </c>
      <c r="H3880" s="6">
        <f>P3849</f>
        <v/>
      </c>
      <c r="I3880" s="9">
        <f>Q3849</f>
        <v/>
      </c>
      <c r="J3880" s="7">
        <f>I3880*G3880</f>
        <v/>
      </c>
      <c r="K3880" s="8">
        <f>IF($J$3907=0,0,J3880/$J$3907)</f>
        <v/>
      </c>
      <c r="L3880" s="6" t="inlineStr">
        <is>
          <t>WATCHLIST</t>
        </is>
      </c>
      <c r="M3880" s="8" t="n">
        <v>0</v>
      </c>
      <c r="N3880" s="7">
        <f>M3880*$J$3907-J3880</f>
        <v/>
      </c>
      <c r="O3880" s="9">
        <f>IF(G3880=0,0,N3880/G3880)</f>
        <v/>
      </c>
      <c r="P3880" s="6">
        <f>IF(M3880&gt;0,D3880,"")</f>
        <v/>
      </c>
      <c r="Q3880" s="9">
        <f>I3880+O3880</f>
        <v/>
      </c>
      <c r="R3880" s="7">
        <f>Q3880*G3880</f>
        <v/>
      </c>
      <c r="S3880" s="8">
        <f>IF($R$3907=0,0,R3880/$R$3907)</f>
        <v/>
      </c>
      <c r="T3880" s="8" t="n">
        <v>0.005404673160033902</v>
      </c>
      <c r="U3880" s="8" t="n">
        <v>0.0156605714734328</v>
      </c>
      <c r="V3880" s="6" t="inlineStr">
        <is>
          <t>not selected</t>
        </is>
      </c>
    </row>
    <row r="3881">
      <c r="A3881" s="6" t="inlineStr">
        <is>
          <t>DJ30</t>
        </is>
      </c>
      <c r="B3881" s="6" t="inlineStr">
        <is>
          <t>2025-05-30</t>
        </is>
      </c>
      <c r="C3881" s="6" t="inlineStr">
        <is>
          <t>DIA</t>
        </is>
      </c>
      <c r="D3881" s="6" t="inlineStr">
        <is>
          <t>BA</t>
        </is>
      </c>
      <c r="E3881" s="6" t="inlineStr">
        <is>
          <t>BA</t>
        </is>
      </c>
      <c r="F3881" s="6" t="inlineStr">
        <is>
          <t>-</t>
        </is>
      </c>
      <c r="G3881" s="7" t="n">
        <v>207.3200073242188</v>
      </c>
      <c r="H3881" s="6">
        <f>P3850</f>
        <v/>
      </c>
      <c r="I3881" s="9">
        <f>Q3850</f>
        <v/>
      </c>
      <c r="J3881" s="7">
        <f>I3881*G3881</f>
        <v/>
      </c>
      <c r="K3881" s="8">
        <f>IF($J$3907=0,0,J3881/$J$3907)</f>
        <v/>
      </c>
      <c r="L3881" s="6" t="inlineStr">
        <is>
          <t>REJECTED</t>
        </is>
      </c>
      <c r="M3881" s="8" t="n">
        <v>0</v>
      </c>
      <c r="N3881" s="7">
        <f>M3881*$J$3907-J3881</f>
        <v/>
      </c>
      <c r="O3881" s="9">
        <f>IF(G3881=0,0,N3881/G3881)</f>
        <v/>
      </c>
      <c r="P3881" s="6">
        <f>IF(M3881&gt;0,D3881,"")</f>
        <v/>
      </c>
      <c r="Q3881" s="9">
        <f>I3881+O3881</f>
        <v/>
      </c>
      <c r="R3881" s="7">
        <f>Q3881*G3881</f>
        <v/>
      </c>
      <c r="S3881" s="8">
        <f>IF($R$3907=0,0,R3881/$R$3907)</f>
        <v/>
      </c>
      <c r="T3881" s="8" t="n">
        <v>0.005404673160033902</v>
      </c>
      <c r="U3881" s="8" t="n">
        <v>0.0156605714734328</v>
      </c>
      <c r="V3881" s="6" t="inlineStr">
        <is>
          <t>not selected</t>
        </is>
      </c>
    </row>
    <row r="3882">
      <c r="A3882" s="6" t="inlineStr">
        <is>
          <t>DJ30</t>
        </is>
      </c>
      <c r="B3882" s="6" t="inlineStr">
        <is>
          <t>2025-05-30</t>
        </is>
      </c>
      <c r="C3882" s="6" t="inlineStr">
        <is>
          <t>DIA</t>
        </is>
      </c>
      <c r="D3882" s="6" t="inlineStr">
        <is>
          <t>CAT</t>
        </is>
      </c>
      <c r="E3882" s="6" t="inlineStr">
        <is>
          <t>CAT</t>
        </is>
      </c>
      <c r="F3882" s="6" t="inlineStr">
        <is>
          <t>-</t>
        </is>
      </c>
      <c r="G3882" s="7" t="n">
        <v>344.3037414550781</v>
      </c>
      <c r="H3882" s="6">
        <f>P3851</f>
        <v/>
      </c>
      <c r="I3882" s="9">
        <f>Q3851</f>
        <v/>
      </c>
      <c r="J3882" s="7">
        <f>I3882*G3882</f>
        <v/>
      </c>
      <c r="K3882" s="8">
        <f>IF($J$3907=0,0,J3882/$J$3907)</f>
        <v/>
      </c>
      <c r="L3882" s="6" t="inlineStr">
        <is>
          <t>REJECTED</t>
        </is>
      </c>
      <c r="M3882" s="8" t="n">
        <v>0</v>
      </c>
      <c r="N3882" s="7">
        <f>M3882*$J$3907-J3882</f>
        <v/>
      </c>
      <c r="O3882" s="9">
        <f>IF(G3882=0,0,N3882/G3882)</f>
        <v/>
      </c>
      <c r="P3882" s="6">
        <f>IF(M3882&gt;0,D3882,"")</f>
        <v/>
      </c>
      <c r="Q3882" s="9">
        <f>I3882+O3882</f>
        <v/>
      </c>
      <c r="R3882" s="7">
        <f>Q3882*G3882</f>
        <v/>
      </c>
      <c r="S3882" s="8">
        <f>IF($R$3907=0,0,R3882/$R$3907)</f>
        <v/>
      </c>
      <c r="T3882" s="8" t="n">
        <v>0.005404673160033902</v>
      </c>
      <c r="U3882" s="8" t="n">
        <v>0.0156605714734328</v>
      </c>
      <c r="V3882" s="6" t="inlineStr">
        <is>
          <t>not selected</t>
        </is>
      </c>
    </row>
    <row r="3883">
      <c r="A3883" s="6" t="inlineStr">
        <is>
          <t>DJ30</t>
        </is>
      </c>
      <c r="B3883" s="6" t="inlineStr">
        <is>
          <t>2025-05-30</t>
        </is>
      </c>
      <c r="C3883" s="6" t="inlineStr">
        <is>
          <t>DIA</t>
        </is>
      </c>
      <c r="D3883" s="6" t="inlineStr">
        <is>
          <t>CRM</t>
        </is>
      </c>
      <c r="E3883" s="6" t="inlineStr">
        <is>
          <t>CRM</t>
        </is>
      </c>
      <c r="F3883" s="6" t="inlineStr">
        <is>
          <t>-</t>
        </is>
      </c>
      <c r="G3883" s="7" t="n">
        <v>262.7262268066406</v>
      </c>
      <c r="H3883" s="6">
        <f>P3852</f>
        <v/>
      </c>
      <c r="I3883" s="9">
        <f>Q3852</f>
        <v/>
      </c>
      <c r="J3883" s="7">
        <f>I3883*G3883</f>
        <v/>
      </c>
      <c r="K3883" s="8">
        <f>IF($J$3907=0,0,J3883/$J$3907)</f>
        <v/>
      </c>
      <c r="L3883" s="6" t="inlineStr">
        <is>
          <t>REJECTED</t>
        </is>
      </c>
      <c r="M3883" s="8" t="n">
        <v>0</v>
      </c>
      <c r="N3883" s="7">
        <f>M3883*$J$3907-J3883</f>
        <v/>
      </c>
      <c r="O3883" s="9">
        <f>IF(G3883=0,0,N3883/G3883)</f>
        <v/>
      </c>
      <c r="P3883" s="6">
        <f>IF(M3883&gt;0,D3883,"")</f>
        <v/>
      </c>
      <c r="Q3883" s="9">
        <f>I3883+O3883</f>
        <v/>
      </c>
      <c r="R3883" s="7">
        <f>Q3883*G3883</f>
        <v/>
      </c>
      <c r="S3883" s="8">
        <f>IF($R$3907=0,0,R3883/$R$3907)</f>
        <v/>
      </c>
      <c r="T3883" s="8" t="n">
        <v>0.005404673160033902</v>
      </c>
      <c r="U3883" s="8" t="n">
        <v>0.0156605714734328</v>
      </c>
      <c r="V3883" s="6" t="inlineStr">
        <is>
          <t>not selected</t>
        </is>
      </c>
    </row>
    <row r="3884">
      <c r="A3884" s="6" t="inlineStr">
        <is>
          <t>DJ30</t>
        </is>
      </c>
      <c r="B3884" s="6" t="inlineStr">
        <is>
          <t>2025-05-30</t>
        </is>
      </c>
      <c r="C3884" s="6" t="inlineStr">
        <is>
          <t>DIA</t>
        </is>
      </c>
      <c r="D3884" s="6" t="inlineStr">
        <is>
          <t>CSCO</t>
        </is>
      </c>
      <c r="E3884" s="6" t="inlineStr">
        <is>
          <t>CSCO</t>
        </is>
      </c>
      <c r="F3884" s="6" t="inlineStr">
        <is>
          <t>-</t>
        </is>
      </c>
      <c r="G3884" s="7" t="n">
        <v>61.62162780761719</v>
      </c>
      <c r="H3884" s="6">
        <f>P3853</f>
        <v/>
      </c>
      <c r="I3884" s="9">
        <f>Q3853</f>
        <v/>
      </c>
      <c r="J3884" s="7">
        <f>I3884*G3884</f>
        <v/>
      </c>
      <c r="K3884" s="8">
        <f>IF($J$3907=0,0,J3884/$J$3907)</f>
        <v/>
      </c>
      <c r="L3884" s="6" t="inlineStr">
        <is>
          <t>WATCHLIST</t>
        </is>
      </c>
      <c r="M3884" s="8" t="n">
        <v>0</v>
      </c>
      <c r="N3884" s="7">
        <f>M3884*$J$3907-J3884</f>
        <v/>
      </c>
      <c r="O3884" s="9">
        <f>IF(G3884=0,0,N3884/G3884)</f>
        <v/>
      </c>
      <c r="P3884" s="6">
        <f>IF(M3884&gt;0,D3884,"")</f>
        <v/>
      </c>
      <c r="Q3884" s="9">
        <f>I3884+O3884</f>
        <v/>
      </c>
      <c r="R3884" s="7">
        <f>Q3884*G3884</f>
        <v/>
      </c>
      <c r="S3884" s="8">
        <f>IF($R$3907=0,0,R3884/$R$3907)</f>
        <v/>
      </c>
      <c r="T3884" s="8" t="n">
        <v>0.005404673160033902</v>
      </c>
      <c r="U3884" s="8" t="n">
        <v>0.0156605714734328</v>
      </c>
      <c r="V3884" s="6" t="inlineStr">
        <is>
          <t>not selected</t>
        </is>
      </c>
    </row>
    <row r="3885">
      <c r="A3885" s="6" t="inlineStr">
        <is>
          <t>DJ30</t>
        </is>
      </c>
      <c r="B3885" s="6" t="inlineStr">
        <is>
          <t>2025-05-30</t>
        </is>
      </c>
      <c r="C3885" s="6" t="inlineStr">
        <is>
          <t>DIA</t>
        </is>
      </c>
      <c r="D3885" s="6" t="inlineStr">
        <is>
          <t>CVX</t>
        </is>
      </c>
      <c r="E3885" s="6" t="inlineStr">
        <is>
          <t>CVX</t>
        </is>
      </c>
      <c r="F3885" s="6" t="inlineStr">
        <is>
          <t>-</t>
        </is>
      </c>
      <c r="G3885" s="7" t="n">
        <v>131.2047576904297</v>
      </c>
      <c r="H3885" s="6">
        <f>P3854</f>
        <v/>
      </c>
      <c r="I3885" s="9">
        <f>Q3854</f>
        <v/>
      </c>
      <c r="J3885" s="7">
        <f>I3885*G3885</f>
        <v/>
      </c>
      <c r="K3885" s="8">
        <f>IF($J$3907=0,0,J3885/$J$3907)</f>
        <v/>
      </c>
      <c r="L3885" s="6" t="inlineStr">
        <is>
          <t>REJECTED</t>
        </is>
      </c>
      <c r="M3885" s="8" t="n">
        <v>0</v>
      </c>
      <c r="N3885" s="7">
        <f>M3885*$J$3907-J3885</f>
        <v/>
      </c>
      <c r="O3885" s="9">
        <f>IF(G3885=0,0,N3885/G3885)</f>
        <v/>
      </c>
      <c r="P3885" s="6">
        <f>IF(M3885&gt;0,D3885,"")</f>
        <v/>
      </c>
      <c r="Q3885" s="9">
        <f>I3885+O3885</f>
        <v/>
      </c>
      <c r="R3885" s="7">
        <f>Q3885*G3885</f>
        <v/>
      </c>
      <c r="S3885" s="8">
        <f>IF($R$3907=0,0,R3885/$R$3907)</f>
        <v/>
      </c>
      <c r="T3885" s="8" t="n">
        <v>0.005404673160033902</v>
      </c>
      <c r="U3885" s="8" t="n">
        <v>0.0156605714734328</v>
      </c>
      <c r="V3885" s="6" t="inlineStr">
        <is>
          <t>not selected</t>
        </is>
      </c>
    </row>
    <row r="3886">
      <c r="A3886" s="6" t="inlineStr">
        <is>
          <t>DJ30</t>
        </is>
      </c>
      <c r="B3886" s="6" t="inlineStr">
        <is>
          <t>2025-05-30</t>
        </is>
      </c>
      <c r="C3886" s="6" t="inlineStr">
        <is>
          <t>DIA</t>
        </is>
      </c>
      <c r="D3886" s="6" t="inlineStr">
        <is>
          <t>DIS</t>
        </is>
      </c>
      <c r="E3886" s="6" t="inlineStr">
        <is>
          <t>DIS</t>
        </is>
      </c>
      <c r="F3886" s="6" t="inlineStr">
        <is>
          <t>-</t>
        </is>
      </c>
      <c r="G3886" s="7" t="n">
        <v>111.8035430908203</v>
      </c>
      <c r="H3886" s="6">
        <f>P3855</f>
        <v/>
      </c>
      <c r="I3886" s="9">
        <f>Q3855</f>
        <v/>
      </c>
      <c r="J3886" s="7">
        <f>I3886*G3886</f>
        <v/>
      </c>
      <c r="K3886" s="8">
        <f>IF($J$3907=0,0,J3886/$J$3907)</f>
        <v/>
      </c>
      <c r="L3886" s="6" t="inlineStr">
        <is>
          <t>REJECTED</t>
        </is>
      </c>
      <c r="M3886" s="8" t="n">
        <v>0</v>
      </c>
      <c r="N3886" s="7">
        <f>M3886*$J$3907-J3886</f>
        <v/>
      </c>
      <c r="O3886" s="9">
        <f>IF(G3886=0,0,N3886/G3886)</f>
        <v/>
      </c>
      <c r="P3886" s="6">
        <f>IF(M3886&gt;0,D3886,"")</f>
        <v/>
      </c>
      <c r="Q3886" s="9">
        <f>I3886+O3886</f>
        <v/>
      </c>
      <c r="R3886" s="7">
        <f>Q3886*G3886</f>
        <v/>
      </c>
      <c r="S3886" s="8">
        <f>IF($R$3907=0,0,R3886/$R$3907)</f>
        <v/>
      </c>
      <c r="T3886" s="8" t="n">
        <v>0.005404673160033902</v>
      </c>
      <c r="U3886" s="8" t="n">
        <v>0.0156605714734328</v>
      </c>
      <c r="V3886" s="6" t="inlineStr">
        <is>
          <t>not selected</t>
        </is>
      </c>
    </row>
    <row r="3887">
      <c r="A3887" s="6" t="inlineStr">
        <is>
          <t>DJ30</t>
        </is>
      </c>
      <c r="B3887" s="6" t="inlineStr">
        <is>
          <t>2025-05-30</t>
        </is>
      </c>
      <c r="C3887" s="6" t="inlineStr">
        <is>
          <t>DIA</t>
        </is>
      </c>
      <c r="D3887" s="6" t="inlineStr">
        <is>
          <t>GS</t>
        </is>
      </c>
      <c r="E3887" s="6" t="inlineStr">
        <is>
          <t>GS</t>
        </is>
      </c>
      <c r="F3887" s="6" t="inlineStr">
        <is>
          <t>-</t>
        </is>
      </c>
      <c r="G3887" s="7" t="n">
        <v>588.6011352539062</v>
      </c>
      <c r="H3887" s="6">
        <f>P3856</f>
        <v/>
      </c>
      <c r="I3887" s="9">
        <f>Q3856</f>
        <v/>
      </c>
      <c r="J3887" s="7">
        <f>I3887*G3887</f>
        <v/>
      </c>
      <c r="K3887" s="8">
        <f>IF($J$3907=0,0,J3887/$J$3907)</f>
        <v/>
      </c>
      <c r="L3887" s="6" t="inlineStr">
        <is>
          <t>WATCHLIST</t>
        </is>
      </c>
      <c r="M3887" s="8" t="n">
        <v>0</v>
      </c>
      <c r="N3887" s="7">
        <f>M3887*$J$3907-J3887</f>
        <v/>
      </c>
      <c r="O3887" s="9">
        <f>IF(G3887=0,0,N3887/G3887)</f>
        <v/>
      </c>
      <c r="P3887" s="6">
        <f>IF(M3887&gt;0,D3887,"")</f>
        <v/>
      </c>
      <c r="Q3887" s="9">
        <f>I3887+O3887</f>
        <v/>
      </c>
      <c r="R3887" s="7">
        <f>Q3887*G3887</f>
        <v/>
      </c>
      <c r="S3887" s="8">
        <f>IF($R$3907=0,0,R3887/$R$3907)</f>
        <v/>
      </c>
      <c r="T3887" s="8" t="n">
        <v>0.005404673160033902</v>
      </c>
      <c r="U3887" s="8" t="n">
        <v>0.0156605714734328</v>
      </c>
      <c r="V3887" s="6" t="inlineStr">
        <is>
          <t>not selected</t>
        </is>
      </c>
    </row>
    <row r="3888">
      <c r="A3888" s="6" t="inlineStr">
        <is>
          <t>DJ30</t>
        </is>
      </c>
      <c r="B3888" s="6" t="inlineStr">
        <is>
          <t>2025-05-30</t>
        </is>
      </c>
      <c r="C3888" s="6" t="inlineStr">
        <is>
          <t>DIA</t>
        </is>
      </c>
      <c r="D3888" s="6" t="inlineStr">
        <is>
          <t>HD</t>
        </is>
      </c>
      <c r="E3888" s="6" t="inlineStr">
        <is>
          <t>HD</t>
        </is>
      </c>
      <c r="F3888" s="6" t="inlineStr">
        <is>
          <t>-</t>
        </is>
      </c>
      <c r="G3888" s="7" t="n">
        <v>356.5359497070312</v>
      </c>
      <c r="H3888" s="6">
        <f>P3857</f>
        <v/>
      </c>
      <c r="I3888" s="9">
        <f>Q3857</f>
        <v/>
      </c>
      <c r="J3888" s="7">
        <f>I3888*G3888</f>
        <v/>
      </c>
      <c r="K3888" s="8">
        <f>IF($J$3907=0,0,J3888/$J$3907)</f>
        <v/>
      </c>
      <c r="L3888" s="6" t="inlineStr">
        <is>
          <t>REJECTED</t>
        </is>
      </c>
      <c r="M3888" s="8" t="n">
        <v>0</v>
      </c>
      <c r="N3888" s="7">
        <f>M3888*$J$3907-J3888</f>
        <v/>
      </c>
      <c r="O3888" s="9">
        <f>IF(G3888=0,0,N3888/G3888)</f>
        <v/>
      </c>
      <c r="P3888" s="6">
        <f>IF(M3888&gt;0,D3888,"")</f>
        <v/>
      </c>
      <c r="Q3888" s="9">
        <f>I3888+O3888</f>
        <v/>
      </c>
      <c r="R3888" s="7">
        <f>Q3888*G3888</f>
        <v/>
      </c>
      <c r="S3888" s="8">
        <f>IF($R$3907=0,0,R3888/$R$3907)</f>
        <v/>
      </c>
      <c r="T3888" s="8" t="n">
        <v>0.005404673160033902</v>
      </c>
      <c r="U3888" s="8" t="n">
        <v>0.0156605714734328</v>
      </c>
      <c r="V3888" s="6" t="inlineStr">
        <is>
          <t>not selected</t>
        </is>
      </c>
    </row>
    <row r="3889">
      <c r="A3889" s="6" t="inlineStr">
        <is>
          <t>DJ30</t>
        </is>
      </c>
      <c r="B3889" s="6" t="inlineStr">
        <is>
          <t>2025-05-30</t>
        </is>
      </c>
      <c r="C3889" s="6" t="inlineStr">
        <is>
          <t>DIA</t>
        </is>
      </c>
      <c r="D3889" s="6" t="inlineStr">
        <is>
          <t>HON</t>
        </is>
      </c>
      <c r="E3889" s="6" t="inlineStr">
        <is>
          <t>HON</t>
        </is>
      </c>
      <c r="F3889" s="6" t="inlineStr">
        <is>
          <t>-</t>
        </is>
      </c>
      <c r="G3889" s="7" t="n">
        <v>209.0735931396484</v>
      </c>
      <c r="H3889" s="6">
        <f>P3858</f>
        <v/>
      </c>
      <c r="I3889" s="9">
        <f>Q3858</f>
        <v/>
      </c>
      <c r="J3889" s="7">
        <f>I3889*G3889</f>
        <v/>
      </c>
      <c r="K3889" s="8">
        <f>IF($J$3907=0,0,J3889/$J$3907)</f>
        <v/>
      </c>
      <c r="L3889" s="6" t="inlineStr">
        <is>
          <t>REJECTED</t>
        </is>
      </c>
      <c r="M3889" s="8" t="n">
        <v>0</v>
      </c>
      <c r="N3889" s="7">
        <f>M3889*$J$3907-J3889</f>
        <v/>
      </c>
      <c r="O3889" s="9">
        <f>IF(G3889=0,0,N3889/G3889)</f>
        <v/>
      </c>
      <c r="P3889" s="6">
        <f>IF(M3889&gt;0,D3889,"")</f>
        <v/>
      </c>
      <c r="Q3889" s="9">
        <f>I3889+O3889</f>
        <v/>
      </c>
      <c r="R3889" s="7">
        <f>Q3889*G3889</f>
        <v/>
      </c>
      <c r="S3889" s="8">
        <f>IF($R$3907=0,0,R3889/$R$3907)</f>
        <v/>
      </c>
      <c r="T3889" s="8" t="n">
        <v>0.005404673160033902</v>
      </c>
      <c r="U3889" s="8" t="n">
        <v>0.0156605714734328</v>
      </c>
      <c r="V3889" s="6" t="inlineStr">
        <is>
          <t>not selected</t>
        </is>
      </c>
    </row>
    <row r="3890">
      <c r="A3890" s="6" t="inlineStr">
        <is>
          <t>DJ30</t>
        </is>
      </c>
      <c r="B3890" s="6" t="inlineStr">
        <is>
          <t>2025-05-30</t>
        </is>
      </c>
      <c r="C3890" s="6" t="inlineStr">
        <is>
          <t>DIA</t>
        </is>
      </c>
      <c r="D3890" s="6" t="inlineStr">
        <is>
          <t>IBM</t>
        </is>
      </c>
      <c r="E3890" s="6" t="inlineStr">
        <is>
          <t>IBM</t>
        </is>
      </c>
      <c r="F3890" s="6" t="inlineStr">
        <is>
          <t>-</t>
        </is>
      </c>
      <c r="G3890" s="7" t="n">
        <v>252.5993041992188</v>
      </c>
      <c r="H3890" s="6">
        <f>P3859</f>
        <v/>
      </c>
      <c r="I3890" s="9">
        <f>Q3859</f>
        <v/>
      </c>
      <c r="J3890" s="7">
        <f>I3890*G3890</f>
        <v/>
      </c>
      <c r="K3890" s="8">
        <f>IF($J$3907=0,0,J3890/$J$3907)</f>
        <v/>
      </c>
      <c r="L3890" s="6" t="inlineStr">
        <is>
          <t>SELECTED</t>
        </is>
      </c>
      <c r="M3890" s="8" t="n">
        <v>0.2</v>
      </c>
      <c r="N3890" s="7">
        <f>M3890*$J$3907-J3890</f>
        <v/>
      </c>
      <c r="O3890" s="9">
        <f>IF(G3890=0,0,N3890/G3890)</f>
        <v/>
      </c>
      <c r="P3890" s="6">
        <f>IF(M3890&gt;0,D3890,"")</f>
        <v/>
      </c>
      <c r="Q3890" s="9">
        <f>I3890+O3890</f>
        <v/>
      </c>
      <c r="R3890" s="7">
        <f>Q3890*G3890</f>
        <v/>
      </c>
      <c r="S3890" s="8">
        <f>IF($R$3907=0,0,R3890/$R$3907)</f>
        <v/>
      </c>
      <c r="T3890" s="8" t="n">
        <v>0.005404673160033902</v>
      </c>
      <c r="U3890" s="8" t="n">
        <v>0.0156605714734328</v>
      </c>
      <c r="V3890" s="6" t="inlineStr">
        <is>
          <t>remained in weekly selection</t>
        </is>
      </c>
    </row>
    <row r="3891">
      <c r="A3891" s="6" t="inlineStr">
        <is>
          <t>DJ30</t>
        </is>
      </c>
      <c r="B3891" s="6" t="inlineStr">
        <is>
          <t>2025-05-30</t>
        </is>
      </c>
      <c r="C3891" s="6" t="inlineStr">
        <is>
          <t>DIA</t>
        </is>
      </c>
      <c r="D3891" s="6" t="inlineStr">
        <is>
          <t>JNJ</t>
        </is>
      </c>
      <c r="E3891" s="6" t="inlineStr">
        <is>
          <t>JNJ</t>
        </is>
      </c>
      <c r="F3891" s="6" t="inlineStr">
        <is>
          <t>-</t>
        </is>
      </c>
      <c r="G3891" s="7" t="n">
        <v>151.4264373779297</v>
      </c>
      <c r="H3891" s="6">
        <f>P3860</f>
        <v/>
      </c>
      <c r="I3891" s="9">
        <f>Q3860</f>
        <v/>
      </c>
      <c r="J3891" s="7">
        <f>I3891*G3891</f>
        <v/>
      </c>
      <c r="K3891" s="8">
        <f>IF($J$3907=0,0,J3891/$J$3907)</f>
        <v/>
      </c>
      <c r="L3891" s="6" t="inlineStr">
        <is>
          <t>REJECTED</t>
        </is>
      </c>
      <c r="M3891" s="8" t="n">
        <v>0</v>
      </c>
      <c r="N3891" s="7">
        <f>M3891*$J$3907-J3891</f>
        <v/>
      </c>
      <c r="O3891" s="9">
        <f>IF(G3891=0,0,N3891/G3891)</f>
        <v/>
      </c>
      <c r="P3891" s="6">
        <f>IF(M3891&gt;0,D3891,"")</f>
        <v/>
      </c>
      <c r="Q3891" s="9">
        <f>I3891+O3891</f>
        <v/>
      </c>
      <c r="R3891" s="7">
        <f>Q3891*G3891</f>
        <v/>
      </c>
      <c r="S3891" s="8">
        <f>IF($R$3907=0,0,R3891/$R$3907)</f>
        <v/>
      </c>
      <c r="T3891" s="8" t="n">
        <v>0.005404673160033902</v>
      </c>
      <c r="U3891" s="8" t="n">
        <v>0.0156605714734328</v>
      </c>
      <c r="V3891" s="6" t="inlineStr">
        <is>
          <t>not selected</t>
        </is>
      </c>
    </row>
    <row r="3892">
      <c r="A3892" s="6" t="inlineStr">
        <is>
          <t>DJ30</t>
        </is>
      </c>
      <c r="B3892" s="6" t="inlineStr">
        <is>
          <t>2025-05-30</t>
        </is>
      </c>
      <c r="C3892" s="6" t="inlineStr">
        <is>
          <t>DIA</t>
        </is>
      </c>
      <c r="D3892" s="6" t="inlineStr">
        <is>
          <t>JPM</t>
        </is>
      </c>
      <c r="E3892" s="6" t="inlineStr">
        <is>
          <t>JPM</t>
        </is>
      </c>
      <c r="F3892" s="6" t="inlineStr">
        <is>
          <t>-</t>
        </is>
      </c>
      <c r="G3892" s="7" t="n">
        <v>258.9636840820312</v>
      </c>
      <c r="H3892" s="6">
        <f>P3861</f>
        <v/>
      </c>
      <c r="I3892" s="9">
        <f>Q3861</f>
        <v/>
      </c>
      <c r="J3892" s="7">
        <f>I3892*G3892</f>
        <v/>
      </c>
      <c r="K3892" s="8">
        <f>IF($J$3907=0,0,J3892/$J$3907)</f>
        <v/>
      </c>
      <c r="L3892" s="6" t="inlineStr">
        <is>
          <t>WATCHLIST</t>
        </is>
      </c>
      <c r="M3892" s="8" t="n">
        <v>0</v>
      </c>
      <c r="N3892" s="7">
        <f>M3892*$J$3907-J3892</f>
        <v/>
      </c>
      <c r="O3892" s="9">
        <f>IF(G3892=0,0,N3892/G3892)</f>
        <v/>
      </c>
      <c r="P3892" s="6">
        <f>IF(M3892&gt;0,D3892,"")</f>
        <v/>
      </c>
      <c r="Q3892" s="9">
        <f>I3892+O3892</f>
        <v/>
      </c>
      <c r="R3892" s="7">
        <f>Q3892*G3892</f>
        <v/>
      </c>
      <c r="S3892" s="8">
        <f>IF($R$3907=0,0,R3892/$R$3907)</f>
        <v/>
      </c>
      <c r="T3892" s="8" t="n">
        <v>0.005404673160033902</v>
      </c>
      <c r="U3892" s="8" t="n">
        <v>0.0156605714734328</v>
      </c>
      <c r="V3892" s="6" t="inlineStr">
        <is>
          <t>not selected</t>
        </is>
      </c>
    </row>
    <row r="3893">
      <c r="A3893" s="6" t="inlineStr">
        <is>
          <t>DJ30</t>
        </is>
      </c>
      <c r="B3893" s="6" t="inlineStr">
        <is>
          <t>2025-05-30</t>
        </is>
      </c>
      <c r="C3893" s="6" t="inlineStr">
        <is>
          <t>DIA</t>
        </is>
      </c>
      <c r="D3893" s="6" t="inlineStr">
        <is>
          <t>KO</t>
        </is>
      </c>
      <c r="E3893" s="6" t="inlineStr">
        <is>
          <t>KO</t>
        </is>
      </c>
      <c r="F3893" s="6" t="inlineStr">
        <is>
          <t>-</t>
        </is>
      </c>
      <c r="G3893" s="7" t="n">
        <v>69.61930847167969</v>
      </c>
      <c r="H3893" s="6">
        <f>P3862</f>
        <v/>
      </c>
      <c r="I3893" s="9">
        <f>Q3862</f>
        <v/>
      </c>
      <c r="J3893" s="7">
        <f>I3893*G3893</f>
        <v/>
      </c>
      <c r="K3893" s="8">
        <f>IF($J$3907=0,0,J3893/$J$3907)</f>
        <v/>
      </c>
      <c r="L3893" s="6" t="inlineStr">
        <is>
          <t>REJECTED</t>
        </is>
      </c>
      <c r="M3893" s="8" t="n">
        <v>0</v>
      </c>
      <c r="N3893" s="7">
        <f>M3893*$J$3907-J3893</f>
        <v/>
      </c>
      <c r="O3893" s="9">
        <f>IF(G3893=0,0,N3893/G3893)</f>
        <v/>
      </c>
      <c r="P3893" s="6">
        <f>IF(M3893&gt;0,D3893,"")</f>
        <v/>
      </c>
      <c r="Q3893" s="9">
        <f>I3893+O3893</f>
        <v/>
      </c>
      <c r="R3893" s="7">
        <f>Q3893*G3893</f>
        <v/>
      </c>
      <c r="S3893" s="8">
        <f>IF($R$3907=0,0,R3893/$R$3907)</f>
        <v/>
      </c>
      <c r="T3893" s="8" t="n">
        <v>0.005404673160033902</v>
      </c>
      <c r="U3893" s="8" t="n">
        <v>0.0156605714734328</v>
      </c>
      <c r="V3893" s="6" t="inlineStr">
        <is>
          <t>not selected</t>
        </is>
      </c>
    </row>
    <row r="3894">
      <c r="A3894" s="6" t="inlineStr">
        <is>
          <t>DJ30</t>
        </is>
      </c>
      <c r="B3894" s="6" t="inlineStr">
        <is>
          <t>2025-05-30</t>
        </is>
      </c>
      <c r="C3894" s="6" t="inlineStr">
        <is>
          <t>DIA</t>
        </is>
      </c>
      <c r="D3894" s="6" t="inlineStr">
        <is>
          <t>MCD</t>
        </is>
      </c>
      <c r="E3894" s="6" t="inlineStr">
        <is>
          <t>MCD</t>
        </is>
      </c>
      <c r="F3894" s="6" t="inlineStr">
        <is>
          <t>-</t>
        </is>
      </c>
      <c r="G3894" s="7" t="n">
        <v>304.6871948242188</v>
      </c>
      <c r="H3894" s="6">
        <f>P3863</f>
        <v/>
      </c>
      <c r="I3894" s="9">
        <f>Q3863</f>
        <v/>
      </c>
      <c r="J3894" s="7">
        <f>I3894*G3894</f>
        <v/>
      </c>
      <c r="K3894" s="8">
        <f>IF($J$3907=0,0,J3894/$J$3907)</f>
        <v/>
      </c>
      <c r="L3894" s="6" t="inlineStr">
        <is>
          <t>SELECTED</t>
        </is>
      </c>
      <c r="M3894" s="8" t="n">
        <v>0.2</v>
      </c>
      <c r="N3894" s="7">
        <f>M3894*$J$3907-J3894</f>
        <v/>
      </c>
      <c r="O3894" s="9">
        <f>IF(G3894=0,0,N3894/G3894)</f>
        <v/>
      </c>
      <c r="P3894" s="6">
        <f>IF(M3894&gt;0,D3894,"")</f>
        <v/>
      </c>
      <c r="Q3894" s="9">
        <f>I3894+O3894</f>
        <v/>
      </c>
      <c r="R3894" s="7">
        <f>Q3894*G3894</f>
        <v/>
      </c>
      <c r="S3894" s="8">
        <f>IF($R$3907=0,0,R3894/$R$3907)</f>
        <v/>
      </c>
      <c r="T3894" s="8" t="n">
        <v>0.005404673160033902</v>
      </c>
      <c r="U3894" s="8" t="n">
        <v>0.0156605714734328</v>
      </c>
      <c r="V3894" s="6" t="inlineStr">
        <is>
          <t>remained in weekly selection</t>
        </is>
      </c>
    </row>
    <row r="3895">
      <c r="A3895" s="6" t="inlineStr">
        <is>
          <t>DJ30</t>
        </is>
      </c>
      <c r="B3895" s="6" t="inlineStr">
        <is>
          <t>2025-05-30</t>
        </is>
      </c>
      <c r="C3895" s="6" t="inlineStr">
        <is>
          <t>DIA</t>
        </is>
      </c>
      <c r="D3895" s="6" t="inlineStr">
        <is>
          <t>MMM</t>
        </is>
      </c>
      <c r="E3895" s="6" t="inlineStr">
        <is>
          <t>MMM</t>
        </is>
      </c>
      <c r="F3895" s="6" t="inlineStr">
        <is>
          <t>-</t>
        </is>
      </c>
      <c r="G3895" s="7" t="n">
        <v>145.6259460449219</v>
      </c>
      <c r="H3895" s="6">
        <f>P3864</f>
        <v/>
      </c>
      <c r="I3895" s="9">
        <f>Q3864</f>
        <v/>
      </c>
      <c r="J3895" s="7">
        <f>I3895*G3895</f>
        <v/>
      </c>
      <c r="K3895" s="8">
        <f>IF($J$3907=0,0,J3895/$J$3907)</f>
        <v/>
      </c>
      <c r="L3895" s="6" t="inlineStr">
        <is>
          <t>WATCHLIST</t>
        </is>
      </c>
      <c r="M3895" s="8" t="n">
        <v>0</v>
      </c>
      <c r="N3895" s="7">
        <f>M3895*$J$3907-J3895</f>
        <v/>
      </c>
      <c r="O3895" s="9">
        <f>IF(G3895=0,0,N3895/G3895)</f>
        <v/>
      </c>
      <c r="P3895" s="6">
        <f>IF(M3895&gt;0,D3895,"")</f>
        <v/>
      </c>
      <c r="Q3895" s="9">
        <f>I3895+O3895</f>
        <v/>
      </c>
      <c r="R3895" s="7">
        <f>Q3895*G3895</f>
        <v/>
      </c>
      <c r="S3895" s="8">
        <f>IF($R$3907=0,0,R3895/$R$3907)</f>
        <v/>
      </c>
      <c r="T3895" s="8" t="n">
        <v>0.005404673160033902</v>
      </c>
      <c r="U3895" s="8" t="n">
        <v>0.0156605714734328</v>
      </c>
      <c r="V3895" s="6" t="inlineStr">
        <is>
          <t>removed from weekly selection</t>
        </is>
      </c>
    </row>
    <row r="3896">
      <c r="A3896" s="6" t="inlineStr">
        <is>
          <t>DJ30</t>
        </is>
      </c>
      <c r="B3896" s="6" t="inlineStr">
        <is>
          <t>2025-05-30</t>
        </is>
      </c>
      <c r="C3896" s="6" t="inlineStr">
        <is>
          <t>DIA</t>
        </is>
      </c>
      <c r="D3896" s="6" t="inlineStr">
        <is>
          <t>MRK</t>
        </is>
      </c>
      <c r="E3896" s="6" t="inlineStr">
        <is>
          <t>MRK</t>
        </is>
      </c>
      <c r="F3896" s="6" t="inlineStr">
        <is>
          <t>-</t>
        </is>
      </c>
      <c r="G3896" s="7" t="n">
        <v>73.61711883544922</v>
      </c>
      <c r="H3896" s="6">
        <f>P3865</f>
        <v/>
      </c>
      <c r="I3896" s="9">
        <f>Q3865</f>
        <v/>
      </c>
      <c r="J3896" s="7">
        <f>I3896*G3896</f>
        <v/>
      </c>
      <c r="K3896" s="8">
        <f>IF($J$3907=0,0,J3896/$J$3907)</f>
        <v/>
      </c>
      <c r="L3896" s="6" t="inlineStr">
        <is>
          <t>REJECTED</t>
        </is>
      </c>
      <c r="M3896" s="8" t="n">
        <v>0</v>
      </c>
      <c r="N3896" s="7">
        <f>M3896*$J$3907-J3896</f>
        <v/>
      </c>
      <c r="O3896" s="9">
        <f>IF(G3896=0,0,N3896/G3896)</f>
        <v/>
      </c>
      <c r="P3896" s="6">
        <f>IF(M3896&gt;0,D3896,"")</f>
        <v/>
      </c>
      <c r="Q3896" s="9">
        <f>I3896+O3896</f>
        <v/>
      </c>
      <c r="R3896" s="7">
        <f>Q3896*G3896</f>
        <v/>
      </c>
      <c r="S3896" s="8">
        <f>IF($R$3907=0,0,R3896/$R$3907)</f>
        <v/>
      </c>
      <c r="T3896" s="8" t="n">
        <v>0.005404673160033902</v>
      </c>
      <c r="U3896" s="8" t="n">
        <v>0.0156605714734328</v>
      </c>
      <c r="V3896" s="6" t="inlineStr">
        <is>
          <t>not selected</t>
        </is>
      </c>
    </row>
    <row r="3897">
      <c r="A3897" s="6" t="inlineStr">
        <is>
          <t>DJ30</t>
        </is>
      </c>
      <c r="B3897" s="6" t="inlineStr">
        <is>
          <t>2025-05-30</t>
        </is>
      </c>
      <c r="C3897" s="6" t="inlineStr">
        <is>
          <t>DIA</t>
        </is>
      </c>
      <c r="D3897" s="6" t="inlineStr">
        <is>
          <t>MSFT</t>
        </is>
      </c>
      <c r="E3897" s="6" t="inlineStr">
        <is>
          <t>MSFT</t>
        </is>
      </c>
      <c r="F3897" s="6" t="inlineStr">
        <is>
          <t>-</t>
        </is>
      </c>
      <c r="G3897" s="7" t="n">
        <v>456.7119445800781</v>
      </c>
      <c r="H3897" s="6">
        <f>P3866</f>
        <v/>
      </c>
      <c r="I3897" s="9">
        <f>Q3866</f>
        <v/>
      </c>
      <c r="J3897" s="7">
        <f>I3897*G3897</f>
        <v/>
      </c>
      <c r="K3897" s="8">
        <f>IF($J$3907=0,0,J3897/$J$3907)</f>
        <v/>
      </c>
      <c r="L3897" s="6" t="inlineStr">
        <is>
          <t>REJECTED</t>
        </is>
      </c>
      <c r="M3897" s="8" t="n">
        <v>0</v>
      </c>
      <c r="N3897" s="7">
        <f>M3897*$J$3907-J3897</f>
        <v/>
      </c>
      <c r="O3897" s="9">
        <f>IF(G3897=0,0,N3897/G3897)</f>
        <v/>
      </c>
      <c r="P3897" s="6">
        <f>IF(M3897&gt;0,D3897,"")</f>
        <v/>
      </c>
      <c r="Q3897" s="9">
        <f>I3897+O3897</f>
        <v/>
      </c>
      <c r="R3897" s="7">
        <f>Q3897*G3897</f>
        <v/>
      </c>
      <c r="S3897" s="8">
        <f>IF($R$3907=0,0,R3897/$R$3907)</f>
        <v/>
      </c>
      <c r="T3897" s="8" t="n">
        <v>0.005404673160033902</v>
      </c>
      <c r="U3897" s="8" t="n">
        <v>0.0156605714734328</v>
      </c>
      <c r="V3897" s="6" t="inlineStr">
        <is>
          <t>not selected</t>
        </is>
      </c>
    </row>
    <row r="3898">
      <c r="A3898" s="6" t="inlineStr">
        <is>
          <t>DJ30</t>
        </is>
      </c>
      <c r="B3898" s="6" t="inlineStr">
        <is>
          <t>2025-05-30</t>
        </is>
      </c>
      <c r="C3898" s="6" t="inlineStr">
        <is>
          <t>DIA</t>
        </is>
      </c>
      <c r="D3898" s="6" t="inlineStr">
        <is>
          <t>NKE</t>
        </is>
      </c>
      <c r="E3898" s="6" t="inlineStr">
        <is>
          <t>NKE</t>
        </is>
      </c>
      <c r="F3898" s="6" t="inlineStr">
        <is>
          <t>-</t>
        </is>
      </c>
      <c r="G3898" s="7" t="n">
        <v>58.58244323730469</v>
      </c>
      <c r="H3898" s="6">
        <f>P3867</f>
        <v/>
      </c>
      <c r="I3898" s="9">
        <f>Q3867</f>
        <v/>
      </c>
      <c r="J3898" s="7">
        <f>I3898*G3898</f>
        <v/>
      </c>
      <c r="K3898" s="8">
        <f>IF($J$3907=0,0,J3898/$J$3907)</f>
        <v/>
      </c>
      <c r="L3898" s="6" t="inlineStr">
        <is>
          <t>REJECTED</t>
        </is>
      </c>
      <c r="M3898" s="8" t="n">
        <v>0</v>
      </c>
      <c r="N3898" s="7">
        <f>M3898*$J$3907-J3898</f>
        <v/>
      </c>
      <c r="O3898" s="9">
        <f>IF(G3898=0,0,N3898/G3898)</f>
        <v/>
      </c>
      <c r="P3898" s="6">
        <f>IF(M3898&gt;0,D3898,"")</f>
        <v/>
      </c>
      <c r="Q3898" s="9">
        <f>I3898+O3898</f>
        <v/>
      </c>
      <c r="R3898" s="7">
        <f>Q3898*G3898</f>
        <v/>
      </c>
      <c r="S3898" s="8">
        <f>IF($R$3907=0,0,R3898/$R$3907)</f>
        <v/>
      </c>
      <c r="T3898" s="8" t="n">
        <v>0.005404673160033902</v>
      </c>
      <c r="U3898" s="8" t="n">
        <v>0.0156605714734328</v>
      </c>
      <c r="V3898" s="6" t="inlineStr">
        <is>
          <t>not selected</t>
        </is>
      </c>
    </row>
    <row r="3899">
      <c r="A3899" s="6" t="inlineStr">
        <is>
          <t>DJ30</t>
        </is>
      </c>
      <c r="B3899" s="6" t="inlineStr">
        <is>
          <t>2025-05-30</t>
        </is>
      </c>
      <c r="C3899" s="6" t="inlineStr">
        <is>
          <t>DIA</t>
        </is>
      </c>
      <c r="D3899" s="6" t="inlineStr">
        <is>
          <t>NVDA</t>
        </is>
      </c>
      <c r="E3899" s="6" t="inlineStr">
        <is>
          <t>NVDA</t>
        </is>
      </c>
      <c r="F3899" s="6" t="inlineStr">
        <is>
          <t>-</t>
        </is>
      </c>
      <c r="G3899" s="7" t="n">
        <v>134.9409027099609</v>
      </c>
      <c r="H3899" s="6">
        <f>P3868</f>
        <v/>
      </c>
      <c r="I3899" s="9">
        <f>Q3868</f>
        <v/>
      </c>
      <c r="J3899" s="7">
        <f>I3899*G3899</f>
        <v/>
      </c>
      <c r="K3899" s="8">
        <f>IF($J$3907=0,0,J3899/$J$3907)</f>
        <v/>
      </c>
      <c r="L3899" s="6" t="inlineStr">
        <is>
          <t>REJECTED</t>
        </is>
      </c>
      <c r="M3899" s="8" t="n">
        <v>0</v>
      </c>
      <c r="N3899" s="7">
        <f>M3899*$J$3907-J3899</f>
        <v/>
      </c>
      <c r="O3899" s="9">
        <f>IF(G3899=0,0,N3899/G3899)</f>
        <v/>
      </c>
      <c r="P3899" s="6">
        <f>IF(M3899&gt;0,D3899,"")</f>
        <v/>
      </c>
      <c r="Q3899" s="9">
        <f>I3899+O3899</f>
        <v/>
      </c>
      <c r="R3899" s="7">
        <f>Q3899*G3899</f>
        <v/>
      </c>
      <c r="S3899" s="8">
        <f>IF($R$3907=0,0,R3899/$R$3907)</f>
        <v/>
      </c>
      <c r="T3899" s="8" t="n">
        <v>0.005404673160033902</v>
      </c>
      <c r="U3899" s="8" t="n">
        <v>0.0156605714734328</v>
      </c>
      <c r="V3899" s="6" t="inlineStr">
        <is>
          <t>not selected</t>
        </is>
      </c>
    </row>
    <row r="3900">
      <c r="A3900" s="6" t="inlineStr">
        <is>
          <t>DJ30</t>
        </is>
      </c>
      <c r="B3900" s="6" t="inlineStr">
        <is>
          <t>2025-05-30</t>
        </is>
      </c>
      <c r="C3900" s="6" t="inlineStr">
        <is>
          <t>DIA</t>
        </is>
      </c>
      <c r="D3900" s="6" t="inlineStr">
        <is>
          <t>PG</t>
        </is>
      </c>
      <c r="E3900" s="6" t="inlineStr">
        <is>
          <t>PG</t>
        </is>
      </c>
      <c r="F3900" s="6" t="inlineStr">
        <is>
          <t>-</t>
        </is>
      </c>
      <c r="G3900" s="7" t="n">
        <v>165.1394805908203</v>
      </c>
      <c r="H3900" s="6">
        <f>P3869</f>
        <v/>
      </c>
      <c r="I3900" s="9">
        <f>Q3869</f>
        <v/>
      </c>
      <c r="J3900" s="7">
        <f>I3900*G3900</f>
        <v/>
      </c>
      <c r="K3900" s="8">
        <f>IF($J$3907=0,0,J3900/$J$3907)</f>
        <v/>
      </c>
      <c r="L3900" s="6" t="inlineStr">
        <is>
          <t>REJECTED</t>
        </is>
      </c>
      <c r="M3900" s="8" t="n">
        <v>0</v>
      </c>
      <c r="N3900" s="7">
        <f>M3900*$J$3907-J3900</f>
        <v/>
      </c>
      <c r="O3900" s="9">
        <f>IF(G3900=0,0,N3900/G3900)</f>
        <v/>
      </c>
      <c r="P3900" s="6">
        <f>IF(M3900&gt;0,D3900,"")</f>
        <v/>
      </c>
      <c r="Q3900" s="9">
        <f>I3900+O3900</f>
        <v/>
      </c>
      <c r="R3900" s="7">
        <f>Q3900*G3900</f>
        <v/>
      </c>
      <c r="S3900" s="8">
        <f>IF($R$3907=0,0,R3900/$R$3907)</f>
        <v/>
      </c>
      <c r="T3900" s="8" t="n">
        <v>0.005404673160033902</v>
      </c>
      <c r="U3900" s="8" t="n">
        <v>0.0156605714734328</v>
      </c>
      <c r="V3900" s="6" t="inlineStr">
        <is>
          <t>not selected</t>
        </is>
      </c>
    </row>
    <row r="3901">
      <c r="A3901" s="6" t="inlineStr">
        <is>
          <t>DJ30</t>
        </is>
      </c>
      <c r="B3901" s="6" t="inlineStr">
        <is>
          <t>2025-05-30</t>
        </is>
      </c>
      <c r="C3901" s="6" t="inlineStr">
        <is>
          <t>DIA</t>
        </is>
      </c>
      <c r="D3901" s="6" t="inlineStr">
        <is>
          <t>SHW</t>
        </is>
      </c>
      <c r="E3901" s="6" t="inlineStr">
        <is>
          <t>SHW</t>
        </is>
      </c>
      <c r="F3901" s="6" t="inlineStr">
        <is>
          <t>-</t>
        </is>
      </c>
      <c r="G3901" s="7" t="n">
        <v>355.4900207519531</v>
      </c>
      <c r="H3901" s="6">
        <f>P3870</f>
        <v/>
      </c>
      <c r="I3901" s="9">
        <f>Q3870</f>
        <v/>
      </c>
      <c r="J3901" s="7">
        <f>I3901*G3901</f>
        <v/>
      </c>
      <c r="K3901" s="8">
        <f>IF($J$3907=0,0,J3901/$J$3907)</f>
        <v/>
      </c>
      <c r="L3901" s="6" t="inlineStr">
        <is>
          <t>REJECTED</t>
        </is>
      </c>
      <c r="M3901" s="8" t="n">
        <v>0</v>
      </c>
      <c r="N3901" s="7">
        <f>M3901*$J$3907-J3901</f>
        <v/>
      </c>
      <c r="O3901" s="9">
        <f>IF(G3901=0,0,N3901/G3901)</f>
        <v/>
      </c>
      <c r="P3901" s="6">
        <f>IF(M3901&gt;0,D3901,"")</f>
        <v/>
      </c>
      <c r="Q3901" s="9">
        <f>I3901+O3901</f>
        <v/>
      </c>
      <c r="R3901" s="7">
        <f>Q3901*G3901</f>
        <v/>
      </c>
      <c r="S3901" s="8">
        <f>IF($R$3907=0,0,R3901/$R$3907)</f>
        <v/>
      </c>
      <c r="T3901" s="8" t="n">
        <v>0.005404673160033902</v>
      </c>
      <c r="U3901" s="8" t="n">
        <v>0.0156605714734328</v>
      </c>
      <c r="V3901" s="6" t="inlineStr">
        <is>
          <t>not selected</t>
        </is>
      </c>
    </row>
    <row r="3902">
      <c r="A3902" s="6" t="inlineStr">
        <is>
          <t>DJ30</t>
        </is>
      </c>
      <c r="B3902" s="6" t="inlineStr">
        <is>
          <t>2025-05-30</t>
        </is>
      </c>
      <c r="C3902" s="6" t="inlineStr">
        <is>
          <t>DIA</t>
        </is>
      </c>
      <c r="D3902" s="6" t="inlineStr">
        <is>
          <t>TRV</t>
        </is>
      </c>
      <c r="E3902" s="6" t="inlineStr">
        <is>
          <t>TRV</t>
        </is>
      </c>
      <c r="F3902" s="6" t="inlineStr">
        <is>
          <t>-</t>
        </is>
      </c>
      <c r="G3902" s="7" t="n">
        <v>270.2677001953125</v>
      </c>
      <c r="H3902" s="6">
        <f>P3871</f>
        <v/>
      </c>
      <c r="I3902" s="9">
        <f>Q3871</f>
        <v/>
      </c>
      <c r="J3902" s="7">
        <f>I3902*G3902</f>
        <v/>
      </c>
      <c r="K3902" s="8">
        <f>IF($J$3907=0,0,J3902/$J$3907)</f>
        <v/>
      </c>
      <c r="L3902" s="6" t="inlineStr">
        <is>
          <t>SELECTED</t>
        </is>
      </c>
      <c r="M3902" s="8" t="n">
        <v>0.2</v>
      </c>
      <c r="N3902" s="7">
        <f>M3902*$J$3907-J3902</f>
        <v/>
      </c>
      <c r="O3902" s="9">
        <f>IF(G3902=0,0,N3902/G3902)</f>
        <v/>
      </c>
      <c r="P3902" s="6">
        <f>IF(M3902&gt;0,D3902,"")</f>
        <v/>
      </c>
      <c r="Q3902" s="9">
        <f>I3902+O3902</f>
        <v/>
      </c>
      <c r="R3902" s="7">
        <f>Q3902*G3902</f>
        <v/>
      </c>
      <c r="S3902" s="8">
        <f>IF($R$3907=0,0,R3902/$R$3907)</f>
        <v/>
      </c>
      <c r="T3902" s="8" t="n">
        <v>0.005404673160033902</v>
      </c>
      <c r="U3902" s="8" t="n">
        <v>0.0156605714734328</v>
      </c>
      <c r="V3902" s="6" t="inlineStr">
        <is>
          <t>entered weekly selection</t>
        </is>
      </c>
    </row>
    <row r="3903">
      <c r="A3903" s="6" t="inlineStr">
        <is>
          <t>DJ30</t>
        </is>
      </c>
      <c r="B3903" s="6" t="inlineStr">
        <is>
          <t>2025-05-30</t>
        </is>
      </c>
      <c r="C3903" s="6" t="inlineStr">
        <is>
          <t>DIA</t>
        </is>
      </c>
      <c r="D3903" s="6" t="inlineStr">
        <is>
          <t>UNH</t>
        </is>
      </c>
      <c r="E3903" s="6" t="inlineStr">
        <is>
          <t>UNH</t>
        </is>
      </c>
      <c r="F3903" s="6" t="inlineStr">
        <is>
          <t>-</t>
        </is>
      </c>
      <c r="G3903" s="7" t="n">
        <v>291.9626159667969</v>
      </c>
      <c r="H3903" s="6">
        <f>P3872</f>
        <v/>
      </c>
      <c r="I3903" s="9">
        <f>Q3872</f>
        <v/>
      </c>
      <c r="J3903" s="7">
        <f>I3903*G3903</f>
        <v/>
      </c>
      <c r="K3903" s="8">
        <f>IF($J$3907=0,0,J3903/$J$3907)</f>
        <v/>
      </c>
      <c r="L3903" s="6" t="inlineStr">
        <is>
          <t>REJECTED</t>
        </is>
      </c>
      <c r="M3903" s="8" t="n">
        <v>0</v>
      </c>
      <c r="N3903" s="7">
        <f>M3903*$J$3907-J3903</f>
        <v/>
      </c>
      <c r="O3903" s="9">
        <f>IF(G3903=0,0,N3903/G3903)</f>
        <v/>
      </c>
      <c r="P3903" s="6">
        <f>IF(M3903&gt;0,D3903,"")</f>
        <v/>
      </c>
      <c r="Q3903" s="9">
        <f>I3903+O3903</f>
        <v/>
      </c>
      <c r="R3903" s="7">
        <f>Q3903*G3903</f>
        <v/>
      </c>
      <c r="S3903" s="8">
        <f>IF($R$3907=0,0,R3903/$R$3907)</f>
        <v/>
      </c>
      <c r="T3903" s="8" t="n">
        <v>0.005404673160033902</v>
      </c>
      <c r="U3903" s="8" t="n">
        <v>0.0156605714734328</v>
      </c>
      <c r="V3903" s="6" t="inlineStr">
        <is>
          <t>not selected</t>
        </is>
      </c>
    </row>
    <row r="3904">
      <c r="A3904" s="6" t="inlineStr">
        <is>
          <t>DJ30</t>
        </is>
      </c>
      <c r="B3904" s="6" t="inlineStr">
        <is>
          <t>2025-05-30</t>
        </is>
      </c>
      <c r="C3904" s="6" t="inlineStr">
        <is>
          <t>DIA</t>
        </is>
      </c>
      <c r="D3904" s="6" t="inlineStr">
        <is>
          <t>V</t>
        </is>
      </c>
      <c r="E3904" s="6" t="inlineStr">
        <is>
          <t>V</t>
        </is>
      </c>
      <c r="F3904" s="6" t="inlineStr">
        <is>
          <t>-</t>
        </is>
      </c>
      <c r="G3904" s="7" t="n">
        <v>362.3280334472656</v>
      </c>
      <c r="H3904" s="6">
        <f>P3873</f>
        <v/>
      </c>
      <c r="I3904" s="9">
        <f>Q3873</f>
        <v/>
      </c>
      <c r="J3904" s="7">
        <f>I3904*G3904</f>
        <v/>
      </c>
      <c r="K3904" s="8">
        <f>IF($J$3907=0,0,J3904/$J$3907)</f>
        <v/>
      </c>
      <c r="L3904" s="6" t="inlineStr">
        <is>
          <t>WATCHLIST</t>
        </is>
      </c>
      <c r="M3904" s="8" t="n">
        <v>0</v>
      </c>
      <c r="N3904" s="7">
        <f>M3904*$J$3907-J3904</f>
        <v/>
      </c>
      <c r="O3904" s="9">
        <f>IF(G3904=0,0,N3904/G3904)</f>
        <v/>
      </c>
      <c r="P3904" s="6">
        <f>IF(M3904&gt;0,D3904,"")</f>
        <v/>
      </c>
      <c r="Q3904" s="9">
        <f>I3904+O3904</f>
        <v/>
      </c>
      <c r="R3904" s="7">
        <f>Q3904*G3904</f>
        <v/>
      </c>
      <c r="S3904" s="8">
        <f>IF($R$3907=0,0,R3904/$R$3907)</f>
        <v/>
      </c>
      <c r="T3904" s="8" t="n">
        <v>0.005404673160033902</v>
      </c>
      <c r="U3904" s="8" t="n">
        <v>0.0156605714734328</v>
      </c>
      <c r="V3904" s="6" t="inlineStr">
        <is>
          <t>not selected</t>
        </is>
      </c>
    </row>
    <row r="3905">
      <c r="A3905" s="6" t="inlineStr">
        <is>
          <t>DJ30</t>
        </is>
      </c>
      <c r="B3905" s="6" t="inlineStr">
        <is>
          <t>2025-05-30</t>
        </is>
      </c>
      <c r="C3905" s="6" t="inlineStr">
        <is>
          <t>DIA</t>
        </is>
      </c>
      <c r="D3905" s="6" t="inlineStr">
        <is>
          <t>VZ</t>
        </is>
      </c>
      <c r="E3905" s="6" t="inlineStr">
        <is>
          <t>VZ</t>
        </is>
      </c>
      <c r="F3905" s="6" t="inlineStr">
        <is>
          <t>-</t>
        </is>
      </c>
      <c r="G3905" s="7" t="n">
        <v>41.18470001220703</v>
      </c>
      <c r="H3905" s="6">
        <f>P3874</f>
        <v/>
      </c>
      <c r="I3905" s="9">
        <f>Q3874</f>
        <v/>
      </c>
      <c r="J3905" s="7">
        <f>I3905*G3905</f>
        <v/>
      </c>
      <c r="K3905" s="8">
        <f>IF($J$3907=0,0,J3905/$J$3907)</f>
        <v/>
      </c>
      <c r="L3905" s="6" t="inlineStr">
        <is>
          <t>WATCHLIST</t>
        </is>
      </c>
      <c r="M3905" s="8" t="n">
        <v>0</v>
      </c>
      <c r="N3905" s="7">
        <f>M3905*$J$3907-J3905</f>
        <v/>
      </c>
      <c r="O3905" s="9">
        <f>IF(G3905=0,0,N3905/G3905)</f>
        <v/>
      </c>
      <c r="P3905" s="6">
        <f>IF(M3905&gt;0,D3905,"")</f>
        <v/>
      </c>
      <c r="Q3905" s="9">
        <f>I3905+O3905</f>
        <v/>
      </c>
      <c r="R3905" s="7">
        <f>Q3905*G3905</f>
        <v/>
      </c>
      <c r="S3905" s="8">
        <f>IF($R$3907=0,0,R3905/$R$3907)</f>
        <v/>
      </c>
      <c r="T3905" s="8" t="n">
        <v>0.005404673160033902</v>
      </c>
      <c r="U3905" s="8" t="n">
        <v>0.0156605714734328</v>
      </c>
      <c r="V3905" s="6" t="inlineStr">
        <is>
          <t>not selected</t>
        </is>
      </c>
    </row>
    <row r="3906">
      <c r="A3906" s="6" t="inlineStr">
        <is>
          <t>DJ30</t>
        </is>
      </c>
      <c r="B3906" s="6" t="inlineStr">
        <is>
          <t>2025-05-30</t>
        </is>
      </c>
      <c r="C3906" s="6" t="inlineStr">
        <is>
          <t>DIA</t>
        </is>
      </c>
      <c r="D3906" s="6" t="inlineStr">
        <is>
          <t>WMT</t>
        </is>
      </c>
      <c r="E3906" s="6" t="inlineStr">
        <is>
          <t>WMT</t>
        </is>
      </c>
      <c r="F3906" s="6" t="inlineStr">
        <is>
          <t>-</t>
        </is>
      </c>
      <c r="G3906" s="7" t="n">
        <v>97.90147399902344</v>
      </c>
      <c r="H3906" s="6">
        <f>P3875</f>
        <v/>
      </c>
      <c r="I3906" s="9">
        <f>Q3875</f>
        <v/>
      </c>
      <c r="J3906" s="7">
        <f>I3906*G3906</f>
        <v/>
      </c>
      <c r="K3906" s="8">
        <f>IF($J$3907=0,0,J3906/$J$3907)</f>
        <v/>
      </c>
      <c r="L3906" s="6" t="inlineStr">
        <is>
          <t>SELECTED</t>
        </is>
      </c>
      <c r="M3906" s="8" t="n">
        <v>0.2</v>
      </c>
      <c r="N3906" s="7">
        <f>M3906*$J$3907-J3906</f>
        <v/>
      </c>
      <c r="O3906" s="9">
        <f>IF(G3906=0,0,N3906/G3906)</f>
        <v/>
      </c>
      <c r="P3906" s="6">
        <f>IF(M3906&gt;0,D3906,"")</f>
        <v/>
      </c>
      <c r="Q3906" s="9">
        <f>I3906+O3906</f>
        <v/>
      </c>
      <c r="R3906" s="7">
        <f>Q3906*G3906</f>
        <v/>
      </c>
      <c r="S3906" s="8">
        <f>IF($R$3907=0,0,R3906/$R$3907)</f>
        <v/>
      </c>
      <c r="T3906" s="8" t="n">
        <v>0.005404673160033902</v>
      </c>
      <c r="U3906" s="8" t="n">
        <v>0.0156605714734328</v>
      </c>
      <c r="V3906" s="6" t="inlineStr">
        <is>
          <t>remained in weekly selection</t>
        </is>
      </c>
    </row>
    <row r="3907">
      <c r="A3907" s="10" t="inlineStr">
        <is>
          <t>DJ30</t>
        </is>
      </c>
      <c r="B3907" s="10" t="inlineStr">
        <is>
          <t>2025-05-30</t>
        </is>
      </c>
      <c r="C3907" s="10" t="inlineStr">
        <is>
          <t>DIA</t>
        </is>
      </c>
      <c r="D3907" s="10" t="inlineStr">
        <is>
          <t>Tot Portfolio</t>
        </is>
      </c>
      <c r="E3907" s="10" t="inlineStr"/>
      <c r="F3907" s="10" t="inlineStr"/>
      <c r="G3907" s="11" t="inlineStr"/>
      <c r="H3907" s="10" t="inlineStr"/>
      <c r="I3907" s="12" t="inlineStr"/>
      <c r="J3907" s="11">
        <f>SUM(J3877:J3906)</f>
        <v/>
      </c>
      <c r="K3907" s="13">
        <f>SUM(K3877:K3906)</f>
        <v/>
      </c>
      <c r="L3907" s="10" t="inlineStr">
        <is>
          <t>TOTAL</t>
        </is>
      </c>
      <c r="M3907" s="13">
        <f>SUM(M3877:M3906)</f>
        <v/>
      </c>
      <c r="N3907" s="11">
        <f>SUM(N3877:N3906)</f>
        <v/>
      </c>
      <c r="O3907" s="12">
        <f>SUM(O3877:O3906)</f>
        <v/>
      </c>
      <c r="P3907" s="10" t="inlineStr"/>
      <c r="Q3907" s="12" t="inlineStr"/>
      <c r="R3907" s="11">
        <f>SUM(R3877:R3906)</f>
        <v/>
      </c>
      <c r="S3907" s="13">
        <f>SUM(S3877:S3906)</f>
        <v/>
      </c>
      <c r="T3907" s="13" t="n">
        <v>0.005404673160033902</v>
      </c>
      <c r="U3907" s="13" t="n">
        <v>0.0156605714734328</v>
      </c>
      <c r="V3907" s="10" t="inlineStr"/>
    </row>
    <row r="3908">
      <c r="A3908" s="6" t="inlineStr">
        <is>
          <t>DJ30</t>
        </is>
      </c>
      <c r="B3908" s="6" t="inlineStr">
        <is>
          <t>2025-06-06</t>
        </is>
      </c>
      <c r="C3908" s="6" t="inlineStr">
        <is>
          <t>DIA</t>
        </is>
      </c>
      <c r="D3908" s="6" t="inlineStr">
        <is>
          <t>AAPL</t>
        </is>
      </c>
      <c r="E3908" s="6" t="inlineStr">
        <is>
          <t>AAPL</t>
        </is>
      </c>
      <c r="F3908" s="6" t="inlineStr">
        <is>
          <t>-</t>
        </is>
      </c>
      <c r="G3908" s="7" t="n">
        <v>203.1141967773437</v>
      </c>
      <c r="H3908" s="6">
        <f>P3877</f>
        <v/>
      </c>
      <c r="I3908" s="9">
        <f>Q3877</f>
        <v/>
      </c>
      <c r="J3908" s="7">
        <f>I3908*G3908</f>
        <v/>
      </c>
      <c r="K3908" s="8">
        <f>IF($J$3938=0,0,J3908/$J$3938)</f>
        <v/>
      </c>
      <c r="L3908" s="6" t="inlineStr">
        <is>
          <t>REJECTED</t>
        </is>
      </c>
      <c r="M3908" s="8" t="n">
        <v>0</v>
      </c>
      <c r="N3908" s="7">
        <f>M3908*$J$3938-J3908</f>
        <v/>
      </c>
      <c r="O3908" s="9">
        <f>IF(G3908=0,0,N3908/G3908)</f>
        <v/>
      </c>
      <c r="P3908" s="6">
        <f>IF(M3908&gt;0,D3908,"")</f>
        <v/>
      </c>
      <c r="Q3908" s="9">
        <f>I3908+O3908</f>
        <v/>
      </c>
      <c r="R3908" s="7">
        <f>Q3908*G3908</f>
        <v/>
      </c>
      <c r="S3908" s="8">
        <f>IF($R$3938=0,0,R3908/$R$3938)</f>
        <v/>
      </c>
      <c r="T3908" s="8" t="n">
        <v>0.0003581263282939062</v>
      </c>
      <c r="U3908" s="8" t="n">
        <v>0.0130780674438562</v>
      </c>
      <c r="V3908" s="6" t="inlineStr">
        <is>
          <t>not selected</t>
        </is>
      </c>
    </row>
    <row r="3909">
      <c r="A3909" s="6" t="inlineStr">
        <is>
          <t>DJ30</t>
        </is>
      </c>
      <c r="B3909" s="6" t="inlineStr">
        <is>
          <t>2025-06-06</t>
        </is>
      </c>
      <c r="C3909" s="6" t="inlineStr">
        <is>
          <t>DIA</t>
        </is>
      </c>
      <c r="D3909" s="6" t="inlineStr">
        <is>
          <t>AMGN</t>
        </is>
      </c>
      <c r="E3909" s="6" t="inlineStr">
        <is>
          <t>AMGN</t>
        </is>
      </c>
      <c r="F3909" s="6" t="inlineStr">
        <is>
          <t>-</t>
        </is>
      </c>
      <c r="G3909" s="7" t="n">
        <v>281.85791015625</v>
      </c>
      <c r="H3909" s="6">
        <f>P3878</f>
        <v/>
      </c>
      <c r="I3909" s="9">
        <f>Q3878</f>
        <v/>
      </c>
      <c r="J3909" s="7">
        <f>I3909*G3909</f>
        <v/>
      </c>
      <c r="K3909" s="8">
        <f>IF($J$3938=0,0,J3909/$J$3938)</f>
        <v/>
      </c>
      <c r="L3909" s="6" t="inlineStr">
        <is>
          <t>REJECTED</t>
        </is>
      </c>
      <c r="M3909" s="8" t="n">
        <v>0</v>
      </c>
      <c r="N3909" s="7">
        <f>M3909*$J$3938-J3909</f>
        <v/>
      </c>
      <c r="O3909" s="9">
        <f>IF(G3909=0,0,N3909/G3909)</f>
        <v/>
      </c>
      <c r="P3909" s="6">
        <f>IF(M3909&gt;0,D3909,"")</f>
        <v/>
      </c>
      <c r="Q3909" s="9">
        <f>I3909+O3909</f>
        <v/>
      </c>
      <c r="R3909" s="7">
        <f>Q3909*G3909</f>
        <v/>
      </c>
      <c r="S3909" s="8">
        <f>IF($R$3938=0,0,R3909/$R$3938)</f>
        <v/>
      </c>
      <c r="T3909" s="8" t="n">
        <v>0.0003581263282939062</v>
      </c>
      <c r="U3909" s="8" t="n">
        <v>0.0130780674438562</v>
      </c>
      <c r="V3909" s="6" t="inlineStr">
        <is>
          <t>not selected</t>
        </is>
      </c>
    </row>
    <row r="3910">
      <c r="A3910" s="6" t="inlineStr">
        <is>
          <t>DJ30</t>
        </is>
      </c>
      <c r="B3910" s="6" t="inlineStr">
        <is>
          <t>2025-06-06</t>
        </is>
      </c>
      <c r="C3910" s="6" t="inlineStr">
        <is>
          <t>DIA</t>
        </is>
      </c>
      <c r="D3910" s="6" t="inlineStr">
        <is>
          <t>AMZN</t>
        </is>
      </c>
      <c r="E3910" s="6" t="inlineStr">
        <is>
          <t>AMZN</t>
        </is>
      </c>
      <c r="F3910" s="6" t="inlineStr">
        <is>
          <t>-</t>
        </is>
      </c>
      <c r="G3910" s="7" t="n">
        <v>213.5700073242188</v>
      </c>
      <c r="H3910" s="6">
        <f>P3879</f>
        <v/>
      </c>
      <c r="I3910" s="9">
        <f>Q3879</f>
        <v/>
      </c>
      <c r="J3910" s="7">
        <f>I3910*G3910</f>
        <v/>
      </c>
      <c r="K3910" s="8">
        <f>IF($J$3938=0,0,J3910/$J$3938)</f>
        <v/>
      </c>
      <c r="L3910" s="6" t="inlineStr">
        <is>
          <t>REJECTED</t>
        </is>
      </c>
      <c r="M3910" s="8" t="n">
        <v>0</v>
      </c>
      <c r="N3910" s="7">
        <f>M3910*$J$3938-J3910</f>
        <v/>
      </c>
      <c r="O3910" s="9">
        <f>IF(G3910=0,0,N3910/G3910)</f>
        <v/>
      </c>
      <c r="P3910" s="6">
        <f>IF(M3910&gt;0,D3910,"")</f>
        <v/>
      </c>
      <c r="Q3910" s="9">
        <f>I3910+O3910</f>
        <v/>
      </c>
      <c r="R3910" s="7">
        <f>Q3910*G3910</f>
        <v/>
      </c>
      <c r="S3910" s="8">
        <f>IF($R$3938=0,0,R3910/$R$3938)</f>
        <v/>
      </c>
      <c r="T3910" s="8" t="n">
        <v>0.0003581263282939062</v>
      </c>
      <c r="U3910" s="8" t="n">
        <v>0.0130780674438562</v>
      </c>
      <c r="V3910" s="6" t="inlineStr">
        <is>
          <t>not selected</t>
        </is>
      </c>
    </row>
    <row r="3911">
      <c r="A3911" s="6" t="inlineStr">
        <is>
          <t>DJ30</t>
        </is>
      </c>
      <c r="B3911" s="6" t="inlineStr">
        <is>
          <t>2025-06-06</t>
        </is>
      </c>
      <c r="C3911" s="6" t="inlineStr">
        <is>
          <t>DIA</t>
        </is>
      </c>
      <c r="D3911" s="6" t="inlineStr">
        <is>
          <t>AXP</t>
        </is>
      </c>
      <c r="E3911" s="6" t="inlineStr">
        <is>
          <t>AXP</t>
        </is>
      </c>
      <c r="F3911" s="6" t="inlineStr">
        <is>
          <t>-</t>
        </is>
      </c>
      <c r="G3911" s="7" t="n">
        <v>299.3323974609375</v>
      </c>
      <c r="H3911" s="6">
        <f>P3880</f>
        <v/>
      </c>
      <c r="I3911" s="9">
        <f>Q3880</f>
        <v/>
      </c>
      <c r="J3911" s="7">
        <f>I3911*G3911</f>
        <v/>
      </c>
      <c r="K3911" s="8">
        <f>IF($J$3938=0,0,J3911/$J$3938)</f>
        <v/>
      </c>
      <c r="L3911" s="6" t="inlineStr">
        <is>
          <t>WATCHLIST</t>
        </is>
      </c>
      <c r="M3911" s="8" t="n">
        <v>0</v>
      </c>
      <c r="N3911" s="7">
        <f>M3911*$J$3938-J3911</f>
        <v/>
      </c>
      <c r="O3911" s="9">
        <f>IF(G3911=0,0,N3911/G3911)</f>
        <v/>
      </c>
      <c r="P3911" s="6">
        <f>IF(M3911&gt;0,D3911,"")</f>
        <v/>
      </c>
      <c r="Q3911" s="9">
        <f>I3911+O3911</f>
        <v/>
      </c>
      <c r="R3911" s="7">
        <f>Q3911*G3911</f>
        <v/>
      </c>
      <c r="S3911" s="8">
        <f>IF($R$3938=0,0,R3911/$R$3938)</f>
        <v/>
      </c>
      <c r="T3911" s="8" t="n">
        <v>0.0003581263282939062</v>
      </c>
      <c r="U3911" s="8" t="n">
        <v>0.0130780674438562</v>
      </c>
      <c r="V3911" s="6" t="inlineStr">
        <is>
          <t>not selected</t>
        </is>
      </c>
    </row>
    <row r="3912">
      <c r="A3912" s="6" t="inlineStr">
        <is>
          <t>DJ30</t>
        </is>
      </c>
      <c r="B3912" s="6" t="inlineStr">
        <is>
          <t>2025-06-06</t>
        </is>
      </c>
      <c r="C3912" s="6" t="inlineStr">
        <is>
          <t>DIA</t>
        </is>
      </c>
      <c r="D3912" s="6" t="inlineStr">
        <is>
          <t>BA</t>
        </is>
      </c>
      <c r="E3912" s="6" t="inlineStr">
        <is>
          <t>BA</t>
        </is>
      </c>
      <c r="F3912" s="6" t="inlineStr">
        <is>
          <t>-</t>
        </is>
      </c>
      <c r="G3912" s="7" t="n">
        <v>210.8000030517578</v>
      </c>
      <c r="H3912" s="6">
        <f>P3881</f>
        <v/>
      </c>
      <c r="I3912" s="9">
        <f>Q3881</f>
        <v/>
      </c>
      <c r="J3912" s="7">
        <f>I3912*G3912</f>
        <v/>
      </c>
      <c r="K3912" s="8">
        <f>IF($J$3938=0,0,J3912/$J$3938)</f>
        <v/>
      </c>
      <c r="L3912" s="6" t="inlineStr">
        <is>
          <t>REJECTED</t>
        </is>
      </c>
      <c r="M3912" s="8" t="n">
        <v>0</v>
      </c>
      <c r="N3912" s="7">
        <f>M3912*$J$3938-J3912</f>
        <v/>
      </c>
      <c r="O3912" s="9">
        <f>IF(G3912=0,0,N3912/G3912)</f>
        <v/>
      </c>
      <c r="P3912" s="6">
        <f>IF(M3912&gt;0,D3912,"")</f>
        <v/>
      </c>
      <c r="Q3912" s="9">
        <f>I3912+O3912</f>
        <v/>
      </c>
      <c r="R3912" s="7">
        <f>Q3912*G3912</f>
        <v/>
      </c>
      <c r="S3912" s="8">
        <f>IF($R$3938=0,0,R3912/$R$3938)</f>
        <v/>
      </c>
      <c r="T3912" s="8" t="n">
        <v>0.0003581263282939062</v>
      </c>
      <c r="U3912" s="8" t="n">
        <v>0.0130780674438562</v>
      </c>
      <c r="V3912" s="6" t="inlineStr">
        <is>
          <t>not selected</t>
        </is>
      </c>
    </row>
    <row r="3913">
      <c r="A3913" s="6" t="inlineStr">
        <is>
          <t>DJ30</t>
        </is>
      </c>
      <c r="B3913" s="6" t="inlineStr">
        <is>
          <t>2025-06-06</t>
        </is>
      </c>
      <c r="C3913" s="6" t="inlineStr">
        <is>
          <t>DIA</t>
        </is>
      </c>
      <c r="D3913" s="6" t="inlineStr">
        <is>
          <t>CAT</t>
        </is>
      </c>
      <c r="E3913" s="6" t="inlineStr">
        <is>
          <t>CAT</t>
        </is>
      </c>
      <c r="F3913" s="6" t="inlineStr">
        <is>
          <t>-</t>
        </is>
      </c>
      <c r="G3913" s="7" t="n">
        <v>349.5667724609375</v>
      </c>
      <c r="H3913" s="6">
        <f>P3882</f>
        <v/>
      </c>
      <c r="I3913" s="9">
        <f>Q3882</f>
        <v/>
      </c>
      <c r="J3913" s="7">
        <f>I3913*G3913</f>
        <v/>
      </c>
      <c r="K3913" s="8">
        <f>IF($J$3938=0,0,J3913/$J$3938)</f>
        <v/>
      </c>
      <c r="L3913" s="6" t="inlineStr">
        <is>
          <t>REJECTED</t>
        </is>
      </c>
      <c r="M3913" s="8" t="n">
        <v>0</v>
      </c>
      <c r="N3913" s="7">
        <f>M3913*$J$3938-J3913</f>
        <v/>
      </c>
      <c r="O3913" s="9">
        <f>IF(G3913=0,0,N3913/G3913)</f>
        <v/>
      </c>
      <c r="P3913" s="6">
        <f>IF(M3913&gt;0,D3913,"")</f>
        <v/>
      </c>
      <c r="Q3913" s="9">
        <f>I3913+O3913</f>
        <v/>
      </c>
      <c r="R3913" s="7">
        <f>Q3913*G3913</f>
        <v/>
      </c>
      <c r="S3913" s="8">
        <f>IF($R$3938=0,0,R3913/$R$3938)</f>
        <v/>
      </c>
      <c r="T3913" s="8" t="n">
        <v>0.0003581263282939062</v>
      </c>
      <c r="U3913" s="8" t="n">
        <v>0.0130780674438562</v>
      </c>
      <c r="V3913" s="6" t="inlineStr">
        <is>
          <t>not selected</t>
        </is>
      </c>
    </row>
    <row r="3914">
      <c r="A3914" s="6" t="inlineStr">
        <is>
          <t>DJ30</t>
        </is>
      </c>
      <c r="B3914" s="6" t="inlineStr">
        <is>
          <t>2025-06-06</t>
        </is>
      </c>
      <c r="C3914" s="6" t="inlineStr">
        <is>
          <t>DIA</t>
        </is>
      </c>
      <c r="D3914" s="6" t="inlineStr">
        <is>
          <t>CRM</t>
        </is>
      </c>
      <c r="E3914" s="6" t="inlineStr">
        <is>
          <t>CRM</t>
        </is>
      </c>
      <c r="F3914" s="6" t="inlineStr">
        <is>
          <t>-</t>
        </is>
      </c>
      <c r="G3914" s="7" t="n">
        <v>271.775146484375</v>
      </c>
      <c r="H3914" s="6">
        <f>P3883</f>
        <v/>
      </c>
      <c r="I3914" s="9">
        <f>Q3883</f>
        <v/>
      </c>
      <c r="J3914" s="7">
        <f>I3914*G3914</f>
        <v/>
      </c>
      <c r="K3914" s="8">
        <f>IF($J$3938=0,0,J3914/$J$3938)</f>
        <v/>
      </c>
      <c r="L3914" s="6" t="inlineStr">
        <is>
          <t>REJECTED</t>
        </is>
      </c>
      <c r="M3914" s="8" t="n">
        <v>0</v>
      </c>
      <c r="N3914" s="7">
        <f>M3914*$J$3938-J3914</f>
        <v/>
      </c>
      <c r="O3914" s="9">
        <f>IF(G3914=0,0,N3914/G3914)</f>
        <v/>
      </c>
      <c r="P3914" s="6">
        <f>IF(M3914&gt;0,D3914,"")</f>
        <v/>
      </c>
      <c r="Q3914" s="9">
        <f>I3914+O3914</f>
        <v/>
      </c>
      <c r="R3914" s="7">
        <f>Q3914*G3914</f>
        <v/>
      </c>
      <c r="S3914" s="8">
        <f>IF($R$3938=0,0,R3914/$R$3938)</f>
        <v/>
      </c>
      <c r="T3914" s="8" t="n">
        <v>0.0003581263282939062</v>
      </c>
      <c r="U3914" s="8" t="n">
        <v>0.0130780674438562</v>
      </c>
      <c r="V3914" s="6" t="inlineStr">
        <is>
          <t>not selected</t>
        </is>
      </c>
    </row>
    <row r="3915">
      <c r="A3915" s="6" t="inlineStr">
        <is>
          <t>DJ30</t>
        </is>
      </c>
      <c r="B3915" s="6" t="inlineStr">
        <is>
          <t>2025-06-06</t>
        </is>
      </c>
      <c r="C3915" s="6" t="inlineStr">
        <is>
          <t>DIA</t>
        </is>
      </c>
      <c r="D3915" s="6" t="inlineStr">
        <is>
          <t>CSCO</t>
        </is>
      </c>
      <c r="E3915" s="6" t="inlineStr">
        <is>
          <t>CSCO</t>
        </is>
      </c>
      <c r="F3915" s="6" t="inlineStr">
        <is>
          <t>-</t>
        </is>
      </c>
      <c r="G3915" s="7" t="n">
        <v>64.57368469238281</v>
      </c>
      <c r="H3915" s="6">
        <f>P3884</f>
        <v/>
      </c>
      <c r="I3915" s="9">
        <f>Q3884</f>
        <v/>
      </c>
      <c r="J3915" s="7">
        <f>I3915*G3915</f>
        <v/>
      </c>
      <c r="K3915" s="8">
        <f>IF($J$3938=0,0,J3915/$J$3938)</f>
        <v/>
      </c>
      <c r="L3915" s="6" t="inlineStr">
        <is>
          <t>SELECTED</t>
        </is>
      </c>
      <c r="M3915" s="8" t="n">
        <v>0.2</v>
      </c>
      <c r="N3915" s="7">
        <f>M3915*$J$3938-J3915</f>
        <v/>
      </c>
      <c r="O3915" s="9">
        <f>IF(G3915=0,0,N3915/G3915)</f>
        <v/>
      </c>
      <c r="P3915" s="6">
        <f>IF(M3915&gt;0,D3915,"")</f>
        <v/>
      </c>
      <c r="Q3915" s="9">
        <f>I3915+O3915</f>
        <v/>
      </c>
      <c r="R3915" s="7">
        <f>Q3915*G3915</f>
        <v/>
      </c>
      <c r="S3915" s="8">
        <f>IF($R$3938=0,0,R3915/$R$3938)</f>
        <v/>
      </c>
      <c r="T3915" s="8" t="n">
        <v>0.0003581263282939062</v>
      </c>
      <c r="U3915" s="8" t="n">
        <v>0.0130780674438562</v>
      </c>
      <c r="V3915" s="6" t="inlineStr">
        <is>
          <t>entered weekly selection</t>
        </is>
      </c>
    </row>
    <row r="3916">
      <c r="A3916" s="6" t="inlineStr">
        <is>
          <t>DJ30</t>
        </is>
      </c>
      <c r="B3916" s="6" t="inlineStr">
        <is>
          <t>2025-06-06</t>
        </is>
      </c>
      <c r="C3916" s="6" t="inlineStr">
        <is>
          <t>DIA</t>
        </is>
      </c>
      <c r="D3916" s="6" t="inlineStr">
        <is>
          <t>CVX</t>
        </is>
      </c>
      <c r="E3916" s="6" t="inlineStr">
        <is>
          <t>CVX</t>
        </is>
      </c>
      <c r="F3916" s="6" t="inlineStr">
        <is>
          <t>-</t>
        </is>
      </c>
      <c r="G3916" s="7" t="n">
        <v>134.5736999511719</v>
      </c>
      <c r="H3916" s="6">
        <f>P3885</f>
        <v/>
      </c>
      <c r="I3916" s="9">
        <f>Q3885</f>
        <v/>
      </c>
      <c r="J3916" s="7">
        <f>I3916*G3916</f>
        <v/>
      </c>
      <c r="K3916" s="8">
        <f>IF($J$3938=0,0,J3916/$J$3938)</f>
        <v/>
      </c>
      <c r="L3916" s="6" t="inlineStr">
        <is>
          <t>REJECTED</t>
        </is>
      </c>
      <c r="M3916" s="8" t="n">
        <v>0</v>
      </c>
      <c r="N3916" s="7">
        <f>M3916*$J$3938-J3916</f>
        <v/>
      </c>
      <c r="O3916" s="9">
        <f>IF(G3916=0,0,N3916/G3916)</f>
        <v/>
      </c>
      <c r="P3916" s="6">
        <f>IF(M3916&gt;0,D3916,"")</f>
        <v/>
      </c>
      <c r="Q3916" s="9">
        <f>I3916+O3916</f>
        <v/>
      </c>
      <c r="R3916" s="7">
        <f>Q3916*G3916</f>
        <v/>
      </c>
      <c r="S3916" s="8">
        <f>IF($R$3938=0,0,R3916/$R$3938)</f>
        <v/>
      </c>
      <c r="T3916" s="8" t="n">
        <v>0.0003581263282939062</v>
      </c>
      <c r="U3916" s="8" t="n">
        <v>0.0130780674438562</v>
      </c>
      <c r="V3916" s="6" t="inlineStr">
        <is>
          <t>not selected</t>
        </is>
      </c>
    </row>
    <row r="3917">
      <c r="A3917" s="6" t="inlineStr">
        <is>
          <t>DJ30</t>
        </is>
      </c>
      <c r="B3917" s="6" t="inlineStr">
        <is>
          <t>2025-06-06</t>
        </is>
      </c>
      <c r="C3917" s="6" t="inlineStr">
        <is>
          <t>DIA</t>
        </is>
      </c>
      <c r="D3917" s="6" t="inlineStr">
        <is>
          <t>DIS</t>
        </is>
      </c>
      <c r="E3917" s="6" t="inlineStr">
        <is>
          <t>DIS</t>
        </is>
      </c>
      <c r="F3917" s="6" t="inlineStr">
        <is>
          <t>-</t>
        </is>
      </c>
      <c r="G3917" s="7" t="n">
        <v>112.6541442871094</v>
      </c>
      <c r="H3917" s="6">
        <f>P3886</f>
        <v/>
      </c>
      <c r="I3917" s="9">
        <f>Q3886</f>
        <v/>
      </c>
      <c r="J3917" s="7">
        <f>I3917*G3917</f>
        <v/>
      </c>
      <c r="K3917" s="8">
        <f>IF($J$3938=0,0,J3917/$J$3938)</f>
        <v/>
      </c>
      <c r="L3917" s="6" t="inlineStr">
        <is>
          <t>REJECTED</t>
        </is>
      </c>
      <c r="M3917" s="8" t="n">
        <v>0</v>
      </c>
      <c r="N3917" s="7">
        <f>M3917*$J$3938-J3917</f>
        <v/>
      </c>
      <c r="O3917" s="9">
        <f>IF(G3917=0,0,N3917/G3917)</f>
        <v/>
      </c>
      <c r="P3917" s="6">
        <f>IF(M3917&gt;0,D3917,"")</f>
        <v/>
      </c>
      <c r="Q3917" s="9">
        <f>I3917+O3917</f>
        <v/>
      </c>
      <c r="R3917" s="7">
        <f>Q3917*G3917</f>
        <v/>
      </c>
      <c r="S3917" s="8">
        <f>IF($R$3938=0,0,R3917/$R$3938)</f>
        <v/>
      </c>
      <c r="T3917" s="8" t="n">
        <v>0.0003581263282939062</v>
      </c>
      <c r="U3917" s="8" t="n">
        <v>0.0130780674438562</v>
      </c>
      <c r="V3917" s="6" t="inlineStr">
        <is>
          <t>not selected</t>
        </is>
      </c>
    </row>
    <row r="3918">
      <c r="A3918" s="6" t="inlineStr">
        <is>
          <t>DJ30</t>
        </is>
      </c>
      <c r="B3918" s="6" t="inlineStr">
        <is>
          <t>2025-06-06</t>
        </is>
      </c>
      <c r="C3918" s="6" t="inlineStr">
        <is>
          <t>DIA</t>
        </is>
      </c>
      <c r="D3918" s="6" t="inlineStr">
        <is>
          <t>GS</t>
        </is>
      </c>
      <c r="E3918" s="6" t="inlineStr">
        <is>
          <t>GS</t>
        </is>
      </c>
      <c r="F3918" s="6" t="inlineStr">
        <is>
          <t>-</t>
        </is>
      </c>
      <c r="G3918" s="7" t="n">
        <v>601.8837280273438</v>
      </c>
      <c r="H3918" s="6">
        <f>P3887</f>
        <v/>
      </c>
      <c r="I3918" s="9">
        <f>Q3887</f>
        <v/>
      </c>
      <c r="J3918" s="7">
        <f>I3918*G3918</f>
        <v/>
      </c>
      <c r="K3918" s="8">
        <f>IF($J$3938=0,0,J3918/$J$3938)</f>
        <v/>
      </c>
      <c r="L3918" s="6" t="inlineStr">
        <is>
          <t>WATCHLIST</t>
        </is>
      </c>
      <c r="M3918" s="8" t="n">
        <v>0</v>
      </c>
      <c r="N3918" s="7">
        <f>M3918*$J$3938-J3918</f>
        <v/>
      </c>
      <c r="O3918" s="9">
        <f>IF(G3918=0,0,N3918/G3918)</f>
        <v/>
      </c>
      <c r="P3918" s="6">
        <f>IF(M3918&gt;0,D3918,"")</f>
        <v/>
      </c>
      <c r="Q3918" s="9">
        <f>I3918+O3918</f>
        <v/>
      </c>
      <c r="R3918" s="7">
        <f>Q3918*G3918</f>
        <v/>
      </c>
      <c r="S3918" s="8">
        <f>IF($R$3938=0,0,R3918/$R$3938)</f>
        <v/>
      </c>
      <c r="T3918" s="8" t="n">
        <v>0.0003581263282939062</v>
      </c>
      <c r="U3918" s="8" t="n">
        <v>0.0130780674438562</v>
      </c>
      <c r="V3918" s="6" t="inlineStr">
        <is>
          <t>not selected</t>
        </is>
      </c>
    </row>
    <row r="3919">
      <c r="A3919" s="6" t="inlineStr">
        <is>
          <t>DJ30</t>
        </is>
      </c>
      <c r="B3919" s="6" t="inlineStr">
        <is>
          <t>2025-06-06</t>
        </is>
      </c>
      <c r="C3919" s="6" t="inlineStr">
        <is>
          <t>DIA</t>
        </is>
      </c>
      <c r="D3919" s="6" t="inlineStr">
        <is>
          <t>HD</t>
        </is>
      </c>
      <c r="E3919" s="6" t="inlineStr">
        <is>
          <t>HD</t>
        </is>
      </c>
      <c r="F3919" s="6" t="inlineStr">
        <is>
          <t>-</t>
        </is>
      </c>
      <c r="G3919" s="7" t="n">
        <v>357.8165588378906</v>
      </c>
      <c r="H3919" s="6">
        <f>P3888</f>
        <v/>
      </c>
      <c r="I3919" s="9">
        <f>Q3888</f>
        <v/>
      </c>
      <c r="J3919" s="7">
        <f>I3919*G3919</f>
        <v/>
      </c>
      <c r="K3919" s="8">
        <f>IF($J$3938=0,0,J3919/$J$3938)</f>
        <v/>
      </c>
      <c r="L3919" s="6" t="inlineStr">
        <is>
          <t>REJECTED</t>
        </is>
      </c>
      <c r="M3919" s="8" t="n">
        <v>0</v>
      </c>
      <c r="N3919" s="7">
        <f>M3919*$J$3938-J3919</f>
        <v/>
      </c>
      <c r="O3919" s="9">
        <f>IF(G3919=0,0,N3919/G3919)</f>
        <v/>
      </c>
      <c r="P3919" s="6">
        <f>IF(M3919&gt;0,D3919,"")</f>
        <v/>
      </c>
      <c r="Q3919" s="9">
        <f>I3919+O3919</f>
        <v/>
      </c>
      <c r="R3919" s="7">
        <f>Q3919*G3919</f>
        <v/>
      </c>
      <c r="S3919" s="8">
        <f>IF($R$3938=0,0,R3919/$R$3938)</f>
        <v/>
      </c>
      <c r="T3919" s="8" t="n">
        <v>0.0003581263282939062</v>
      </c>
      <c r="U3919" s="8" t="n">
        <v>0.0130780674438562</v>
      </c>
      <c r="V3919" s="6" t="inlineStr">
        <is>
          <t>not selected</t>
        </is>
      </c>
    </row>
    <row r="3920">
      <c r="A3920" s="6" t="inlineStr">
        <is>
          <t>DJ30</t>
        </is>
      </c>
      <c r="B3920" s="6" t="inlineStr">
        <is>
          <t>2025-06-06</t>
        </is>
      </c>
      <c r="C3920" s="6" t="inlineStr">
        <is>
          <t>DIA</t>
        </is>
      </c>
      <c r="D3920" s="6" t="inlineStr">
        <is>
          <t>HON</t>
        </is>
      </c>
      <c r="E3920" s="6" t="inlineStr">
        <is>
          <t>HON</t>
        </is>
      </c>
      <c r="F3920" s="6" t="inlineStr">
        <is>
          <t>-</t>
        </is>
      </c>
      <c r="G3920" s="7" t="n">
        <v>211.0198059082031</v>
      </c>
      <c r="H3920" s="6">
        <f>P3889</f>
        <v/>
      </c>
      <c r="I3920" s="9">
        <f>Q3889</f>
        <v/>
      </c>
      <c r="J3920" s="7">
        <f>I3920*G3920</f>
        <v/>
      </c>
      <c r="K3920" s="8">
        <f>IF($J$3938=0,0,J3920/$J$3938)</f>
        <v/>
      </c>
      <c r="L3920" s="6" t="inlineStr">
        <is>
          <t>REJECTED</t>
        </is>
      </c>
      <c r="M3920" s="8" t="n">
        <v>0</v>
      </c>
      <c r="N3920" s="7">
        <f>M3920*$J$3938-J3920</f>
        <v/>
      </c>
      <c r="O3920" s="9">
        <f>IF(G3920=0,0,N3920/G3920)</f>
        <v/>
      </c>
      <c r="P3920" s="6">
        <f>IF(M3920&gt;0,D3920,"")</f>
        <v/>
      </c>
      <c r="Q3920" s="9">
        <f>I3920+O3920</f>
        <v/>
      </c>
      <c r="R3920" s="7">
        <f>Q3920*G3920</f>
        <v/>
      </c>
      <c r="S3920" s="8">
        <f>IF($R$3938=0,0,R3920/$R$3938)</f>
        <v/>
      </c>
      <c r="T3920" s="8" t="n">
        <v>0.0003581263282939062</v>
      </c>
      <c r="U3920" s="8" t="n">
        <v>0.0130780674438562</v>
      </c>
      <c r="V3920" s="6" t="inlineStr">
        <is>
          <t>not selected</t>
        </is>
      </c>
    </row>
    <row r="3921">
      <c r="A3921" s="6" t="inlineStr">
        <is>
          <t>DJ30</t>
        </is>
      </c>
      <c r="B3921" s="6" t="inlineStr">
        <is>
          <t>2025-06-06</t>
        </is>
      </c>
      <c r="C3921" s="6" t="inlineStr">
        <is>
          <t>DIA</t>
        </is>
      </c>
      <c r="D3921" s="6" t="inlineStr">
        <is>
          <t>IBM</t>
        </is>
      </c>
      <c r="E3921" s="6" t="inlineStr">
        <is>
          <t>IBM</t>
        </is>
      </c>
      <c r="F3921" s="6" t="inlineStr">
        <is>
          <t>-</t>
        </is>
      </c>
      <c r="G3921" s="7" t="n">
        <v>262.1647033691406</v>
      </c>
      <c r="H3921" s="6">
        <f>P3890</f>
        <v/>
      </c>
      <c r="I3921" s="9">
        <f>Q3890</f>
        <v/>
      </c>
      <c r="J3921" s="7">
        <f>I3921*G3921</f>
        <v/>
      </c>
      <c r="K3921" s="8">
        <f>IF($J$3938=0,0,J3921/$J$3938)</f>
        <v/>
      </c>
      <c r="L3921" s="6" t="inlineStr">
        <is>
          <t>SELECTED</t>
        </is>
      </c>
      <c r="M3921" s="8" t="n">
        <v>0.2</v>
      </c>
      <c r="N3921" s="7">
        <f>M3921*$J$3938-J3921</f>
        <v/>
      </c>
      <c r="O3921" s="9">
        <f>IF(G3921=0,0,N3921/G3921)</f>
        <v/>
      </c>
      <c r="P3921" s="6">
        <f>IF(M3921&gt;0,D3921,"")</f>
        <v/>
      </c>
      <c r="Q3921" s="9">
        <f>I3921+O3921</f>
        <v/>
      </c>
      <c r="R3921" s="7">
        <f>Q3921*G3921</f>
        <v/>
      </c>
      <c r="S3921" s="8">
        <f>IF($R$3938=0,0,R3921/$R$3938)</f>
        <v/>
      </c>
      <c r="T3921" s="8" t="n">
        <v>0.0003581263282939062</v>
      </c>
      <c r="U3921" s="8" t="n">
        <v>0.0130780674438562</v>
      </c>
      <c r="V3921" s="6" t="inlineStr">
        <is>
          <t>remained in weekly selection</t>
        </is>
      </c>
    </row>
    <row r="3922">
      <c r="A3922" s="6" t="inlineStr">
        <is>
          <t>DJ30</t>
        </is>
      </c>
      <c r="B3922" s="6" t="inlineStr">
        <is>
          <t>2025-06-06</t>
        </is>
      </c>
      <c r="C3922" s="6" t="inlineStr">
        <is>
          <t>DIA</t>
        </is>
      </c>
      <c r="D3922" s="6" t="inlineStr">
        <is>
          <t>JNJ</t>
        </is>
      </c>
      <c r="E3922" s="6" t="inlineStr">
        <is>
          <t>JNJ</t>
        </is>
      </c>
      <c r="F3922" s="6" t="inlineStr">
        <is>
          <t>-</t>
        </is>
      </c>
      <c r="G3922" s="7" t="n">
        <v>151.2508239746094</v>
      </c>
      <c r="H3922" s="6">
        <f>P3891</f>
        <v/>
      </c>
      <c r="I3922" s="9">
        <f>Q3891</f>
        <v/>
      </c>
      <c r="J3922" s="7">
        <f>I3922*G3922</f>
        <v/>
      </c>
      <c r="K3922" s="8">
        <f>IF($J$3938=0,0,J3922/$J$3938)</f>
        <v/>
      </c>
      <c r="L3922" s="6" t="inlineStr">
        <is>
          <t>REJECTED</t>
        </is>
      </c>
      <c r="M3922" s="8" t="n">
        <v>0</v>
      </c>
      <c r="N3922" s="7">
        <f>M3922*$J$3938-J3922</f>
        <v/>
      </c>
      <c r="O3922" s="9">
        <f>IF(G3922=0,0,N3922/G3922)</f>
        <v/>
      </c>
      <c r="P3922" s="6">
        <f>IF(M3922&gt;0,D3922,"")</f>
        <v/>
      </c>
      <c r="Q3922" s="9">
        <f>I3922+O3922</f>
        <v/>
      </c>
      <c r="R3922" s="7">
        <f>Q3922*G3922</f>
        <v/>
      </c>
      <c r="S3922" s="8">
        <f>IF($R$3938=0,0,R3922/$R$3938)</f>
        <v/>
      </c>
      <c r="T3922" s="8" t="n">
        <v>0.0003581263282939062</v>
      </c>
      <c r="U3922" s="8" t="n">
        <v>0.0130780674438562</v>
      </c>
      <c r="V3922" s="6" t="inlineStr">
        <is>
          <t>not selected</t>
        </is>
      </c>
    </row>
    <row r="3923">
      <c r="A3923" s="6" t="inlineStr">
        <is>
          <t>DJ30</t>
        </is>
      </c>
      <c r="B3923" s="6" t="inlineStr">
        <is>
          <t>2025-06-06</t>
        </is>
      </c>
      <c r="C3923" s="6" t="inlineStr">
        <is>
          <t>DIA</t>
        </is>
      </c>
      <c r="D3923" s="6" t="inlineStr">
        <is>
          <t>JPM</t>
        </is>
      </c>
      <c r="E3923" s="6" t="inlineStr">
        <is>
          <t>JPM</t>
        </is>
      </c>
      <c r="F3923" s="6" t="inlineStr">
        <is>
          <t>-</t>
        </is>
      </c>
      <c r="G3923" s="7" t="n">
        <v>260.6606750488281</v>
      </c>
      <c r="H3923" s="6">
        <f>P3892</f>
        <v/>
      </c>
      <c r="I3923" s="9">
        <f>Q3892</f>
        <v/>
      </c>
      <c r="J3923" s="7">
        <f>I3923*G3923</f>
        <v/>
      </c>
      <c r="K3923" s="8">
        <f>IF($J$3938=0,0,J3923/$J$3938)</f>
        <v/>
      </c>
      <c r="L3923" s="6" t="inlineStr">
        <is>
          <t>WATCHLIST</t>
        </is>
      </c>
      <c r="M3923" s="8" t="n">
        <v>0</v>
      </c>
      <c r="N3923" s="7">
        <f>M3923*$J$3938-J3923</f>
        <v/>
      </c>
      <c r="O3923" s="9">
        <f>IF(G3923=0,0,N3923/G3923)</f>
        <v/>
      </c>
      <c r="P3923" s="6">
        <f>IF(M3923&gt;0,D3923,"")</f>
        <v/>
      </c>
      <c r="Q3923" s="9">
        <f>I3923+O3923</f>
        <v/>
      </c>
      <c r="R3923" s="7">
        <f>Q3923*G3923</f>
        <v/>
      </c>
      <c r="S3923" s="8">
        <f>IF($R$3938=0,0,R3923/$R$3938)</f>
        <v/>
      </c>
      <c r="T3923" s="8" t="n">
        <v>0.0003581263282939062</v>
      </c>
      <c r="U3923" s="8" t="n">
        <v>0.0130780674438562</v>
      </c>
      <c r="V3923" s="6" t="inlineStr">
        <is>
          <t>not selected</t>
        </is>
      </c>
    </row>
    <row r="3924">
      <c r="A3924" s="6" t="inlineStr">
        <is>
          <t>DJ30</t>
        </is>
      </c>
      <c r="B3924" s="6" t="inlineStr">
        <is>
          <t>2025-06-06</t>
        </is>
      </c>
      <c r="C3924" s="6" t="inlineStr">
        <is>
          <t>DIA</t>
        </is>
      </c>
      <c r="D3924" s="6" t="inlineStr">
        <is>
          <t>KO</t>
        </is>
      </c>
      <c r="E3924" s="6" t="inlineStr">
        <is>
          <t>KO</t>
        </is>
      </c>
      <c r="F3924" s="6" t="inlineStr">
        <is>
          <t>-</t>
        </is>
      </c>
      <c r="G3924" s="7" t="n">
        <v>68.89511871337891</v>
      </c>
      <c r="H3924" s="6">
        <f>P3893</f>
        <v/>
      </c>
      <c r="I3924" s="9">
        <f>Q3893</f>
        <v/>
      </c>
      <c r="J3924" s="7">
        <f>I3924*G3924</f>
        <v/>
      </c>
      <c r="K3924" s="8">
        <f>IF($J$3938=0,0,J3924/$J$3938)</f>
        <v/>
      </c>
      <c r="L3924" s="6" t="inlineStr">
        <is>
          <t>REJECTED</t>
        </is>
      </c>
      <c r="M3924" s="8" t="n">
        <v>0</v>
      </c>
      <c r="N3924" s="7">
        <f>M3924*$J$3938-J3924</f>
        <v/>
      </c>
      <c r="O3924" s="9">
        <f>IF(G3924=0,0,N3924/G3924)</f>
        <v/>
      </c>
      <c r="P3924" s="6">
        <f>IF(M3924&gt;0,D3924,"")</f>
        <v/>
      </c>
      <c r="Q3924" s="9">
        <f>I3924+O3924</f>
        <v/>
      </c>
      <c r="R3924" s="7">
        <f>Q3924*G3924</f>
        <v/>
      </c>
      <c r="S3924" s="8">
        <f>IF($R$3938=0,0,R3924/$R$3938)</f>
        <v/>
      </c>
      <c r="T3924" s="8" t="n">
        <v>0.0003581263282939062</v>
      </c>
      <c r="U3924" s="8" t="n">
        <v>0.0130780674438562</v>
      </c>
      <c r="V3924" s="6" t="inlineStr">
        <is>
          <t>not selected</t>
        </is>
      </c>
    </row>
    <row r="3925">
      <c r="A3925" s="6" t="inlineStr">
        <is>
          <t>DJ30</t>
        </is>
      </c>
      <c r="B3925" s="6" t="inlineStr">
        <is>
          <t>2025-06-06</t>
        </is>
      </c>
      <c r="C3925" s="6" t="inlineStr">
        <is>
          <t>DIA</t>
        </is>
      </c>
      <c r="D3925" s="6" t="inlineStr">
        <is>
          <t>MCD</t>
        </is>
      </c>
      <c r="E3925" s="6" t="inlineStr">
        <is>
          <t>MCD</t>
        </is>
      </c>
      <c r="F3925" s="6" t="inlineStr">
        <is>
          <t>-</t>
        </is>
      </c>
      <c r="G3925" s="7" t="n">
        <v>300.0789489746094</v>
      </c>
      <c r="H3925" s="6">
        <f>P3894</f>
        <v/>
      </c>
      <c r="I3925" s="9">
        <f>Q3894</f>
        <v/>
      </c>
      <c r="J3925" s="7">
        <f>I3925*G3925</f>
        <v/>
      </c>
      <c r="K3925" s="8">
        <f>IF($J$3938=0,0,J3925/$J$3938)</f>
        <v/>
      </c>
      <c r="L3925" s="6" t="inlineStr">
        <is>
          <t>SELECTED</t>
        </is>
      </c>
      <c r="M3925" s="8" t="n">
        <v>0.2</v>
      </c>
      <c r="N3925" s="7">
        <f>M3925*$J$3938-J3925</f>
        <v/>
      </c>
      <c r="O3925" s="9">
        <f>IF(G3925=0,0,N3925/G3925)</f>
        <v/>
      </c>
      <c r="P3925" s="6">
        <f>IF(M3925&gt;0,D3925,"")</f>
        <v/>
      </c>
      <c r="Q3925" s="9">
        <f>I3925+O3925</f>
        <v/>
      </c>
      <c r="R3925" s="7">
        <f>Q3925*G3925</f>
        <v/>
      </c>
      <c r="S3925" s="8">
        <f>IF($R$3938=0,0,R3925/$R$3938)</f>
        <v/>
      </c>
      <c r="T3925" s="8" t="n">
        <v>0.0003581263282939062</v>
      </c>
      <c r="U3925" s="8" t="n">
        <v>0.0130780674438562</v>
      </c>
      <c r="V3925" s="6" t="inlineStr">
        <is>
          <t>remained in weekly selection</t>
        </is>
      </c>
    </row>
    <row r="3926">
      <c r="A3926" s="6" t="inlineStr">
        <is>
          <t>DJ30</t>
        </is>
      </c>
      <c r="B3926" s="6" t="inlineStr">
        <is>
          <t>2025-06-06</t>
        </is>
      </c>
      <c r="C3926" s="6" t="inlineStr">
        <is>
          <t>DIA</t>
        </is>
      </c>
      <c r="D3926" s="6" t="inlineStr">
        <is>
          <t>MMM</t>
        </is>
      </c>
      <c r="E3926" s="6" t="inlineStr">
        <is>
          <t>MMM</t>
        </is>
      </c>
      <c r="F3926" s="6" t="inlineStr">
        <is>
          <t>-</t>
        </is>
      </c>
      <c r="G3926" s="7" t="n">
        <v>142.8282623291016</v>
      </c>
      <c r="H3926" s="6">
        <f>P3895</f>
        <v/>
      </c>
      <c r="I3926" s="9">
        <f>Q3895</f>
        <v/>
      </c>
      <c r="J3926" s="7">
        <f>I3926*G3926</f>
        <v/>
      </c>
      <c r="K3926" s="8">
        <f>IF($J$3938=0,0,J3926/$J$3938)</f>
        <v/>
      </c>
      <c r="L3926" s="6" t="inlineStr">
        <is>
          <t>WATCHLIST</t>
        </is>
      </c>
      <c r="M3926" s="8" t="n">
        <v>0</v>
      </c>
      <c r="N3926" s="7">
        <f>M3926*$J$3938-J3926</f>
        <v/>
      </c>
      <c r="O3926" s="9">
        <f>IF(G3926=0,0,N3926/G3926)</f>
        <v/>
      </c>
      <c r="P3926" s="6">
        <f>IF(M3926&gt;0,D3926,"")</f>
        <v/>
      </c>
      <c r="Q3926" s="9">
        <f>I3926+O3926</f>
        <v/>
      </c>
      <c r="R3926" s="7">
        <f>Q3926*G3926</f>
        <v/>
      </c>
      <c r="S3926" s="8">
        <f>IF($R$3938=0,0,R3926/$R$3938)</f>
        <v/>
      </c>
      <c r="T3926" s="8" t="n">
        <v>0.0003581263282939062</v>
      </c>
      <c r="U3926" s="8" t="n">
        <v>0.0130780674438562</v>
      </c>
      <c r="V3926" s="6" t="inlineStr">
        <is>
          <t>not selected</t>
        </is>
      </c>
    </row>
    <row r="3927">
      <c r="A3927" s="6" t="inlineStr">
        <is>
          <t>DJ30</t>
        </is>
      </c>
      <c r="B3927" s="6" t="inlineStr">
        <is>
          <t>2025-06-06</t>
        </is>
      </c>
      <c r="C3927" s="6" t="inlineStr">
        <is>
          <t>DIA</t>
        </is>
      </c>
      <c r="D3927" s="6" t="inlineStr">
        <is>
          <t>MRK</t>
        </is>
      </c>
      <c r="E3927" s="6" t="inlineStr">
        <is>
          <t>MRK</t>
        </is>
      </c>
      <c r="F3927" s="6" t="inlineStr">
        <is>
          <t>-</t>
        </is>
      </c>
      <c r="G3927" s="7" t="n">
        <v>75.65778350830078</v>
      </c>
      <c r="H3927" s="6">
        <f>P3896</f>
        <v/>
      </c>
      <c r="I3927" s="9">
        <f>Q3896</f>
        <v/>
      </c>
      <c r="J3927" s="7">
        <f>I3927*G3927</f>
        <v/>
      </c>
      <c r="K3927" s="8">
        <f>IF($J$3938=0,0,J3927/$J$3938)</f>
        <v/>
      </c>
      <c r="L3927" s="6" t="inlineStr">
        <is>
          <t>REJECTED</t>
        </is>
      </c>
      <c r="M3927" s="8" t="n">
        <v>0</v>
      </c>
      <c r="N3927" s="7">
        <f>M3927*$J$3938-J3927</f>
        <v/>
      </c>
      <c r="O3927" s="9">
        <f>IF(G3927=0,0,N3927/G3927)</f>
        <v/>
      </c>
      <c r="P3927" s="6">
        <f>IF(M3927&gt;0,D3927,"")</f>
        <v/>
      </c>
      <c r="Q3927" s="9">
        <f>I3927+O3927</f>
        <v/>
      </c>
      <c r="R3927" s="7">
        <f>Q3927*G3927</f>
        <v/>
      </c>
      <c r="S3927" s="8">
        <f>IF($R$3938=0,0,R3927/$R$3938)</f>
        <v/>
      </c>
      <c r="T3927" s="8" t="n">
        <v>0.0003581263282939062</v>
      </c>
      <c r="U3927" s="8" t="n">
        <v>0.0130780674438562</v>
      </c>
      <c r="V3927" s="6" t="inlineStr">
        <is>
          <t>not selected</t>
        </is>
      </c>
    </row>
    <row r="3928">
      <c r="A3928" s="6" t="inlineStr">
        <is>
          <t>DJ30</t>
        </is>
      </c>
      <c r="B3928" s="6" t="inlineStr">
        <is>
          <t>2025-06-06</t>
        </is>
      </c>
      <c r="C3928" s="6" t="inlineStr">
        <is>
          <t>DIA</t>
        </is>
      </c>
      <c r="D3928" s="6" t="inlineStr">
        <is>
          <t>MSFT</t>
        </is>
      </c>
      <c r="E3928" s="6" t="inlineStr">
        <is>
          <t>MSFT</t>
        </is>
      </c>
      <c r="F3928" s="6" t="inlineStr">
        <is>
          <t>-</t>
        </is>
      </c>
      <c r="G3928" s="7" t="n">
        <v>466.652587890625</v>
      </c>
      <c r="H3928" s="6">
        <f>P3897</f>
        <v/>
      </c>
      <c r="I3928" s="9">
        <f>Q3897</f>
        <v/>
      </c>
      <c r="J3928" s="7">
        <f>I3928*G3928</f>
        <v/>
      </c>
      <c r="K3928" s="8">
        <f>IF($J$3938=0,0,J3928/$J$3938)</f>
        <v/>
      </c>
      <c r="L3928" s="6" t="inlineStr">
        <is>
          <t>REJECTED</t>
        </is>
      </c>
      <c r="M3928" s="8" t="n">
        <v>0</v>
      </c>
      <c r="N3928" s="7">
        <f>M3928*$J$3938-J3928</f>
        <v/>
      </c>
      <c r="O3928" s="9">
        <f>IF(G3928=0,0,N3928/G3928)</f>
        <v/>
      </c>
      <c r="P3928" s="6">
        <f>IF(M3928&gt;0,D3928,"")</f>
        <v/>
      </c>
      <c r="Q3928" s="9">
        <f>I3928+O3928</f>
        <v/>
      </c>
      <c r="R3928" s="7">
        <f>Q3928*G3928</f>
        <v/>
      </c>
      <c r="S3928" s="8">
        <f>IF($R$3938=0,0,R3928/$R$3938)</f>
        <v/>
      </c>
      <c r="T3928" s="8" t="n">
        <v>0.0003581263282939062</v>
      </c>
      <c r="U3928" s="8" t="n">
        <v>0.0130780674438562</v>
      </c>
      <c r="V3928" s="6" t="inlineStr">
        <is>
          <t>not selected</t>
        </is>
      </c>
    </row>
    <row r="3929">
      <c r="A3929" s="6" t="inlineStr">
        <is>
          <t>DJ30</t>
        </is>
      </c>
      <c r="B3929" s="6" t="inlineStr">
        <is>
          <t>2025-06-06</t>
        </is>
      </c>
      <c r="C3929" s="6" t="inlineStr">
        <is>
          <t>DIA</t>
        </is>
      </c>
      <c r="D3929" s="6" t="inlineStr">
        <is>
          <t>NKE</t>
        </is>
      </c>
      <c r="E3929" s="6" t="inlineStr">
        <is>
          <t>NKE</t>
        </is>
      </c>
      <c r="F3929" s="6" t="inlineStr">
        <is>
          <t>-</t>
        </is>
      </c>
      <c r="G3929" s="7" t="n">
        <v>61.12273025512695</v>
      </c>
      <c r="H3929" s="6">
        <f>P3898</f>
        <v/>
      </c>
      <c r="I3929" s="9">
        <f>Q3898</f>
        <v/>
      </c>
      <c r="J3929" s="7">
        <f>I3929*G3929</f>
        <v/>
      </c>
      <c r="K3929" s="8">
        <f>IF($J$3938=0,0,J3929/$J$3938)</f>
        <v/>
      </c>
      <c r="L3929" s="6" t="inlineStr">
        <is>
          <t>REJECTED</t>
        </is>
      </c>
      <c r="M3929" s="8" t="n">
        <v>0</v>
      </c>
      <c r="N3929" s="7">
        <f>M3929*$J$3938-J3929</f>
        <v/>
      </c>
      <c r="O3929" s="9">
        <f>IF(G3929=0,0,N3929/G3929)</f>
        <v/>
      </c>
      <c r="P3929" s="6">
        <f>IF(M3929&gt;0,D3929,"")</f>
        <v/>
      </c>
      <c r="Q3929" s="9">
        <f>I3929+O3929</f>
        <v/>
      </c>
      <c r="R3929" s="7">
        <f>Q3929*G3929</f>
        <v/>
      </c>
      <c r="S3929" s="8">
        <f>IF($R$3938=0,0,R3929/$R$3938)</f>
        <v/>
      </c>
      <c r="T3929" s="8" t="n">
        <v>0.0003581263282939062</v>
      </c>
      <c r="U3929" s="8" t="n">
        <v>0.0130780674438562</v>
      </c>
      <c r="V3929" s="6" t="inlineStr">
        <is>
          <t>not selected</t>
        </is>
      </c>
    </row>
    <row r="3930">
      <c r="A3930" s="6" t="inlineStr">
        <is>
          <t>DJ30</t>
        </is>
      </c>
      <c r="B3930" s="6" t="inlineStr">
        <is>
          <t>2025-06-06</t>
        </is>
      </c>
      <c r="C3930" s="6" t="inlineStr">
        <is>
          <t>DIA</t>
        </is>
      </c>
      <c r="D3930" s="6" t="inlineStr">
        <is>
          <t>NVDA</t>
        </is>
      </c>
      <c r="E3930" s="6" t="inlineStr">
        <is>
          <t>NVDA</t>
        </is>
      </c>
      <c r="F3930" s="6" t="inlineStr">
        <is>
          <t>-</t>
        </is>
      </c>
      <c r="G3930" s="7" t="n">
        <v>141.5216827392578</v>
      </c>
      <c r="H3930" s="6">
        <f>P3899</f>
        <v/>
      </c>
      <c r="I3930" s="9">
        <f>Q3899</f>
        <v/>
      </c>
      <c r="J3930" s="7">
        <f>I3930*G3930</f>
        <v/>
      </c>
      <c r="K3930" s="8">
        <f>IF($J$3938=0,0,J3930/$J$3938)</f>
        <v/>
      </c>
      <c r="L3930" s="6" t="inlineStr">
        <is>
          <t>REJECTED</t>
        </is>
      </c>
      <c r="M3930" s="8" t="n">
        <v>0</v>
      </c>
      <c r="N3930" s="7">
        <f>M3930*$J$3938-J3930</f>
        <v/>
      </c>
      <c r="O3930" s="9">
        <f>IF(G3930=0,0,N3930/G3930)</f>
        <v/>
      </c>
      <c r="P3930" s="6">
        <f>IF(M3930&gt;0,D3930,"")</f>
        <v/>
      </c>
      <c r="Q3930" s="9">
        <f>I3930+O3930</f>
        <v/>
      </c>
      <c r="R3930" s="7">
        <f>Q3930*G3930</f>
        <v/>
      </c>
      <c r="S3930" s="8">
        <f>IF($R$3938=0,0,R3930/$R$3938)</f>
        <v/>
      </c>
      <c r="T3930" s="8" t="n">
        <v>0.0003581263282939062</v>
      </c>
      <c r="U3930" s="8" t="n">
        <v>0.0130780674438562</v>
      </c>
      <c r="V3930" s="6" t="inlineStr">
        <is>
          <t>not selected</t>
        </is>
      </c>
    </row>
    <row r="3931">
      <c r="A3931" s="6" t="inlineStr">
        <is>
          <t>DJ30</t>
        </is>
      </c>
      <c r="B3931" s="6" t="inlineStr">
        <is>
          <t>2025-06-06</t>
        </is>
      </c>
      <c r="C3931" s="6" t="inlineStr">
        <is>
          <t>DIA</t>
        </is>
      </c>
      <c r="D3931" s="6" t="inlineStr">
        <is>
          <t>PG</t>
        </is>
      </c>
      <c r="E3931" s="6" t="inlineStr">
        <is>
          <t>PG</t>
        </is>
      </c>
      <c r="F3931" s="6" t="inlineStr">
        <is>
          <t>-</t>
        </is>
      </c>
      <c r="G3931" s="7" t="n">
        <v>159.4336242675781</v>
      </c>
      <c r="H3931" s="6">
        <f>P3900</f>
        <v/>
      </c>
      <c r="I3931" s="9">
        <f>Q3900</f>
        <v/>
      </c>
      <c r="J3931" s="7">
        <f>I3931*G3931</f>
        <v/>
      </c>
      <c r="K3931" s="8">
        <f>IF($J$3938=0,0,J3931/$J$3938)</f>
        <v/>
      </c>
      <c r="L3931" s="6" t="inlineStr">
        <is>
          <t>REJECTED</t>
        </is>
      </c>
      <c r="M3931" s="8" t="n">
        <v>0</v>
      </c>
      <c r="N3931" s="7">
        <f>M3931*$J$3938-J3931</f>
        <v/>
      </c>
      <c r="O3931" s="9">
        <f>IF(G3931=0,0,N3931/G3931)</f>
        <v/>
      </c>
      <c r="P3931" s="6">
        <f>IF(M3931&gt;0,D3931,"")</f>
        <v/>
      </c>
      <c r="Q3931" s="9">
        <f>I3931+O3931</f>
        <v/>
      </c>
      <c r="R3931" s="7">
        <f>Q3931*G3931</f>
        <v/>
      </c>
      <c r="S3931" s="8">
        <f>IF($R$3938=0,0,R3931/$R$3938)</f>
        <v/>
      </c>
      <c r="T3931" s="8" t="n">
        <v>0.0003581263282939062</v>
      </c>
      <c r="U3931" s="8" t="n">
        <v>0.0130780674438562</v>
      </c>
      <c r="V3931" s="6" t="inlineStr">
        <is>
          <t>not selected</t>
        </is>
      </c>
    </row>
    <row r="3932">
      <c r="A3932" s="6" t="inlineStr">
        <is>
          <t>DJ30</t>
        </is>
      </c>
      <c r="B3932" s="6" t="inlineStr">
        <is>
          <t>2025-06-06</t>
        </is>
      </c>
      <c r="C3932" s="6" t="inlineStr">
        <is>
          <t>DIA</t>
        </is>
      </c>
      <c r="D3932" s="6" t="inlineStr">
        <is>
          <t>SHW</t>
        </is>
      </c>
      <c r="E3932" s="6" t="inlineStr">
        <is>
          <t>SHW</t>
        </is>
      </c>
      <c r="F3932" s="6" t="inlineStr">
        <is>
          <t>-</t>
        </is>
      </c>
      <c r="G3932" s="7" t="n">
        <v>354.1723327636719</v>
      </c>
      <c r="H3932" s="6">
        <f>P3901</f>
        <v/>
      </c>
      <c r="I3932" s="9">
        <f>Q3901</f>
        <v/>
      </c>
      <c r="J3932" s="7">
        <f>I3932*G3932</f>
        <v/>
      </c>
      <c r="K3932" s="8">
        <f>IF($J$3938=0,0,J3932/$J$3938)</f>
        <v/>
      </c>
      <c r="L3932" s="6" t="inlineStr">
        <is>
          <t>REJECTED</t>
        </is>
      </c>
      <c r="M3932" s="8" t="n">
        <v>0</v>
      </c>
      <c r="N3932" s="7">
        <f>M3932*$J$3938-J3932</f>
        <v/>
      </c>
      <c r="O3932" s="9">
        <f>IF(G3932=0,0,N3932/G3932)</f>
        <v/>
      </c>
      <c r="P3932" s="6">
        <f>IF(M3932&gt;0,D3932,"")</f>
        <v/>
      </c>
      <c r="Q3932" s="9">
        <f>I3932+O3932</f>
        <v/>
      </c>
      <c r="R3932" s="7">
        <f>Q3932*G3932</f>
        <v/>
      </c>
      <c r="S3932" s="8">
        <f>IF($R$3938=0,0,R3932/$R$3938)</f>
        <v/>
      </c>
      <c r="T3932" s="8" t="n">
        <v>0.0003581263282939062</v>
      </c>
      <c r="U3932" s="8" t="n">
        <v>0.0130780674438562</v>
      </c>
      <c r="V3932" s="6" t="inlineStr">
        <is>
          <t>not selected</t>
        </is>
      </c>
    </row>
    <row r="3933">
      <c r="A3933" s="6" t="inlineStr">
        <is>
          <t>DJ30</t>
        </is>
      </c>
      <c r="B3933" s="6" t="inlineStr">
        <is>
          <t>2025-06-06</t>
        </is>
      </c>
      <c r="C3933" s="6" t="inlineStr">
        <is>
          <t>DIA</t>
        </is>
      </c>
      <c r="D3933" s="6" t="inlineStr">
        <is>
          <t>TRV</t>
        </is>
      </c>
      <c r="E3933" s="6" t="inlineStr">
        <is>
          <t>TRV</t>
        </is>
      </c>
      <c r="F3933" s="6" t="inlineStr">
        <is>
          <t>-</t>
        </is>
      </c>
      <c r="G3933" s="7" t="n">
        <v>268.2973022460937</v>
      </c>
      <c r="H3933" s="6">
        <f>P3902</f>
        <v/>
      </c>
      <c r="I3933" s="9">
        <f>Q3902</f>
        <v/>
      </c>
      <c r="J3933" s="7">
        <f>I3933*G3933</f>
        <v/>
      </c>
      <c r="K3933" s="8">
        <f>IF($J$3938=0,0,J3933/$J$3938)</f>
        <v/>
      </c>
      <c r="L3933" s="6" t="inlineStr">
        <is>
          <t>SELECTED</t>
        </is>
      </c>
      <c r="M3933" s="8" t="n">
        <v>0.2</v>
      </c>
      <c r="N3933" s="7">
        <f>M3933*$J$3938-J3933</f>
        <v/>
      </c>
      <c r="O3933" s="9">
        <f>IF(G3933=0,0,N3933/G3933)</f>
        <v/>
      </c>
      <c r="P3933" s="6">
        <f>IF(M3933&gt;0,D3933,"")</f>
        <v/>
      </c>
      <c r="Q3933" s="9">
        <f>I3933+O3933</f>
        <v/>
      </c>
      <c r="R3933" s="7">
        <f>Q3933*G3933</f>
        <v/>
      </c>
      <c r="S3933" s="8">
        <f>IF($R$3938=0,0,R3933/$R$3938)</f>
        <v/>
      </c>
      <c r="T3933" s="8" t="n">
        <v>0.0003581263282939062</v>
      </c>
      <c r="U3933" s="8" t="n">
        <v>0.0130780674438562</v>
      </c>
      <c r="V3933" s="6" t="inlineStr">
        <is>
          <t>remained in weekly selection</t>
        </is>
      </c>
    </row>
    <row r="3934">
      <c r="A3934" s="6" t="inlineStr">
        <is>
          <t>DJ30</t>
        </is>
      </c>
      <c r="B3934" s="6" t="inlineStr">
        <is>
          <t>2025-06-06</t>
        </is>
      </c>
      <c r="C3934" s="6" t="inlineStr">
        <is>
          <t>DIA</t>
        </is>
      </c>
      <c r="D3934" s="6" t="inlineStr">
        <is>
          <t>UNH</t>
        </is>
      </c>
      <c r="E3934" s="6" t="inlineStr">
        <is>
          <t>UNH</t>
        </is>
      </c>
      <c r="F3934" s="6" t="inlineStr">
        <is>
          <t>-</t>
        </is>
      </c>
      <c r="G3934" s="7" t="n">
        <v>293.2294311523437</v>
      </c>
      <c r="H3934" s="6">
        <f>P3903</f>
        <v/>
      </c>
      <c r="I3934" s="9">
        <f>Q3903</f>
        <v/>
      </c>
      <c r="J3934" s="7">
        <f>I3934*G3934</f>
        <v/>
      </c>
      <c r="K3934" s="8">
        <f>IF($J$3938=0,0,J3934/$J$3938)</f>
        <v/>
      </c>
      <c r="L3934" s="6" t="inlineStr">
        <is>
          <t>REJECTED</t>
        </is>
      </c>
      <c r="M3934" s="8" t="n">
        <v>0</v>
      </c>
      <c r="N3934" s="7">
        <f>M3934*$J$3938-J3934</f>
        <v/>
      </c>
      <c r="O3934" s="9">
        <f>IF(G3934=0,0,N3934/G3934)</f>
        <v/>
      </c>
      <c r="P3934" s="6">
        <f>IF(M3934&gt;0,D3934,"")</f>
        <v/>
      </c>
      <c r="Q3934" s="9">
        <f>I3934+O3934</f>
        <v/>
      </c>
      <c r="R3934" s="7">
        <f>Q3934*G3934</f>
        <v/>
      </c>
      <c r="S3934" s="8">
        <f>IF($R$3938=0,0,R3934/$R$3938)</f>
        <v/>
      </c>
      <c r="T3934" s="8" t="n">
        <v>0.0003581263282939062</v>
      </c>
      <c r="U3934" s="8" t="n">
        <v>0.0130780674438562</v>
      </c>
      <c r="V3934" s="6" t="inlineStr">
        <is>
          <t>not selected</t>
        </is>
      </c>
    </row>
    <row r="3935">
      <c r="A3935" s="6" t="inlineStr">
        <is>
          <t>DJ30</t>
        </is>
      </c>
      <c r="B3935" s="6" t="inlineStr">
        <is>
          <t>2025-06-06</t>
        </is>
      </c>
      <c r="C3935" s="6" t="inlineStr">
        <is>
          <t>DIA</t>
        </is>
      </c>
      <c r="D3935" s="6" t="inlineStr">
        <is>
          <t>V</t>
        </is>
      </c>
      <c r="E3935" s="6" t="inlineStr">
        <is>
          <t>V</t>
        </is>
      </c>
      <c r="F3935" s="6" t="inlineStr">
        <is>
          <t>-</t>
        </is>
      </c>
      <c r="G3935" s="7" t="n">
        <v>367.3186340332031</v>
      </c>
      <c r="H3935" s="6">
        <f>P3904</f>
        <v/>
      </c>
      <c r="I3935" s="9">
        <f>Q3904</f>
        <v/>
      </c>
      <c r="J3935" s="7">
        <f>I3935*G3935</f>
        <v/>
      </c>
      <c r="K3935" s="8">
        <f>IF($J$3938=0,0,J3935/$J$3938)</f>
        <v/>
      </c>
      <c r="L3935" s="6" t="inlineStr">
        <is>
          <t>WATCHLIST</t>
        </is>
      </c>
      <c r="M3935" s="8" t="n">
        <v>0</v>
      </c>
      <c r="N3935" s="7">
        <f>M3935*$J$3938-J3935</f>
        <v/>
      </c>
      <c r="O3935" s="9">
        <f>IF(G3935=0,0,N3935/G3935)</f>
        <v/>
      </c>
      <c r="P3935" s="6">
        <f>IF(M3935&gt;0,D3935,"")</f>
        <v/>
      </c>
      <c r="Q3935" s="9">
        <f>I3935+O3935</f>
        <v/>
      </c>
      <c r="R3935" s="7">
        <f>Q3935*G3935</f>
        <v/>
      </c>
      <c r="S3935" s="8">
        <f>IF($R$3938=0,0,R3935/$R$3938)</f>
        <v/>
      </c>
      <c r="T3935" s="8" t="n">
        <v>0.0003581263282939062</v>
      </c>
      <c r="U3935" s="8" t="n">
        <v>0.0130780674438562</v>
      </c>
      <c r="V3935" s="6" t="inlineStr">
        <is>
          <t>not selected</t>
        </is>
      </c>
    </row>
    <row r="3936">
      <c r="A3936" s="6" t="inlineStr">
        <is>
          <t>DJ30</t>
        </is>
      </c>
      <c r="B3936" s="6" t="inlineStr">
        <is>
          <t>2025-06-06</t>
        </is>
      </c>
      <c r="C3936" s="6" t="inlineStr">
        <is>
          <t>DIA</t>
        </is>
      </c>
      <c r="D3936" s="6" t="inlineStr">
        <is>
          <t>VZ</t>
        </is>
      </c>
      <c r="E3936" s="6" t="inlineStr">
        <is>
          <t>VZ</t>
        </is>
      </c>
      <c r="F3936" s="6" t="inlineStr">
        <is>
          <t>-</t>
        </is>
      </c>
      <c r="G3936" s="7" t="n">
        <v>41.0348014831543</v>
      </c>
      <c r="H3936" s="6">
        <f>P3905</f>
        <v/>
      </c>
      <c r="I3936" s="9">
        <f>Q3905</f>
        <v/>
      </c>
      <c r="J3936" s="7">
        <f>I3936*G3936</f>
        <v/>
      </c>
      <c r="K3936" s="8">
        <f>IF($J$3938=0,0,J3936/$J$3938)</f>
        <v/>
      </c>
      <c r="L3936" s="6" t="inlineStr">
        <is>
          <t>WATCHLIST</t>
        </is>
      </c>
      <c r="M3936" s="8" t="n">
        <v>0</v>
      </c>
      <c r="N3936" s="7">
        <f>M3936*$J$3938-J3936</f>
        <v/>
      </c>
      <c r="O3936" s="9">
        <f>IF(G3936=0,0,N3936/G3936)</f>
        <v/>
      </c>
      <c r="P3936" s="6">
        <f>IF(M3936&gt;0,D3936,"")</f>
        <v/>
      </c>
      <c r="Q3936" s="9">
        <f>I3936+O3936</f>
        <v/>
      </c>
      <c r="R3936" s="7">
        <f>Q3936*G3936</f>
        <v/>
      </c>
      <c r="S3936" s="8">
        <f>IF($R$3938=0,0,R3936/$R$3938)</f>
        <v/>
      </c>
      <c r="T3936" s="8" t="n">
        <v>0.0003581263282939062</v>
      </c>
      <c r="U3936" s="8" t="n">
        <v>0.0130780674438562</v>
      </c>
      <c r="V3936" s="6" t="inlineStr">
        <is>
          <t>not selected</t>
        </is>
      </c>
    </row>
    <row r="3937">
      <c r="A3937" s="6" t="inlineStr">
        <is>
          <t>DJ30</t>
        </is>
      </c>
      <c r="B3937" s="6" t="inlineStr">
        <is>
          <t>2025-06-06</t>
        </is>
      </c>
      <c r="C3937" s="6" t="inlineStr">
        <is>
          <t>DIA</t>
        </is>
      </c>
      <c r="D3937" s="6" t="inlineStr">
        <is>
          <t>WMT</t>
        </is>
      </c>
      <c r="E3937" s="6" t="inlineStr">
        <is>
          <t>WMT</t>
        </is>
      </c>
      <c r="F3937" s="6" t="inlineStr">
        <is>
          <t>-</t>
        </is>
      </c>
      <c r="G3937" s="7" t="n">
        <v>96.66182708740234</v>
      </c>
      <c r="H3937" s="6">
        <f>P3906</f>
        <v/>
      </c>
      <c r="I3937" s="9">
        <f>Q3906</f>
        <v/>
      </c>
      <c r="J3937" s="7">
        <f>I3937*G3937</f>
        <v/>
      </c>
      <c r="K3937" s="8">
        <f>IF($J$3938=0,0,J3937/$J$3938)</f>
        <v/>
      </c>
      <c r="L3937" s="6" t="inlineStr">
        <is>
          <t>SELECTED</t>
        </is>
      </c>
      <c r="M3937" s="8" t="n">
        <v>0.2</v>
      </c>
      <c r="N3937" s="7">
        <f>M3937*$J$3938-J3937</f>
        <v/>
      </c>
      <c r="O3937" s="9">
        <f>IF(G3937=0,0,N3937/G3937)</f>
        <v/>
      </c>
      <c r="P3937" s="6">
        <f>IF(M3937&gt;0,D3937,"")</f>
        <v/>
      </c>
      <c r="Q3937" s="9">
        <f>I3937+O3937</f>
        <v/>
      </c>
      <c r="R3937" s="7">
        <f>Q3937*G3937</f>
        <v/>
      </c>
      <c r="S3937" s="8">
        <f>IF($R$3938=0,0,R3937/$R$3938)</f>
        <v/>
      </c>
      <c r="T3937" s="8" t="n">
        <v>0.0003581263282939062</v>
      </c>
      <c r="U3937" s="8" t="n">
        <v>0.0130780674438562</v>
      </c>
      <c r="V3937" s="6" t="inlineStr">
        <is>
          <t>remained in weekly selection</t>
        </is>
      </c>
    </row>
    <row r="3938">
      <c r="A3938" s="10" t="inlineStr">
        <is>
          <t>DJ30</t>
        </is>
      </c>
      <c r="B3938" s="10" t="inlineStr">
        <is>
          <t>2025-06-06</t>
        </is>
      </c>
      <c r="C3938" s="10" t="inlineStr">
        <is>
          <t>DIA</t>
        </is>
      </c>
      <c r="D3938" s="10" t="inlineStr">
        <is>
          <t>Tot Portfolio</t>
        </is>
      </c>
      <c r="E3938" s="10" t="inlineStr"/>
      <c r="F3938" s="10" t="inlineStr"/>
      <c r="G3938" s="11" t="inlineStr"/>
      <c r="H3938" s="10" t="inlineStr"/>
      <c r="I3938" s="12" t="inlineStr"/>
      <c r="J3938" s="11">
        <f>SUM(J3908:J3937)</f>
        <v/>
      </c>
      <c r="K3938" s="13">
        <f>SUM(K3908:K3937)</f>
        <v/>
      </c>
      <c r="L3938" s="10" t="inlineStr">
        <is>
          <t>TOTAL</t>
        </is>
      </c>
      <c r="M3938" s="13">
        <f>SUM(M3908:M3937)</f>
        <v/>
      </c>
      <c r="N3938" s="11">
        <f>SUM(N3908:N3937)</f>
        <v/>
      </c>
      <c r="O3938" s="12">
        <f>SUM(O3908:O3937)</f>
        <v/>
      </c>
      <c r="P3938" s="10" t="inlineStr"/>
      <c r="Q3938" s="12" t="inlineStr"/>
      <c r="R3938" s="11">
        <f>SUM(R3908:R3937)</f>
        <v/>
      </c>
      <c r="S3938" s="13">
        <f>SUM(S3908:S3937)</f>
        <v/>
      </c>
      <c r="T3938" s="13" t="n">
        <v>0.0003581263282939062</v>
      </c>
      <c r="U3938" s="13" t="n">
        <v>0.0130780674438562</v>
      </c>
      <c r="V3938" s="10" t="inlineStr"/>
    </row>
    <row r="3939">
      <c r="A3939" s="6" t="inlineStr">
        <is>
          <t>DJ30</t>
        </is>
      </c>
      <c r="B3939" s="6" t="inlineStr">
        <is>
          <t>2025-06-13</t>
        </is>
      </c>
      <c r="C3939" s="6" t="inlineStr">
        <is>
          <t>DIA</t>
        </is>
      </c>
      <c r="D3939" s="6" t="inlineStr">
        <is>
          <t>AAPL</t>
        </is>
      </c>
      <c r="E3939" s="6" t="inlineStr">
        <is>
          <t>AAPL</t>
        </is>
      </c>
      <c r="F3939" s="6" t="inlineStr">
        <is>
          <t>-</t>
        </is>
      </c>
      <c r="G3939" s="7" t="n">
        <v>195.6737213134766</v>
      </c>
      <c r="H3939" s="6">
        <f>P3908</f>
        <v/>
      </c>
      <c r="I3939" s="9">
        <f>Q3908</f>
        <v/>
      </c>
      <c r="J3939" s="7">
        <f>I3939*G3939</f>
        <v/>
      </c>
      <c r="K3939" s="8">
        <f>IF($J$3969=0,0,J3939/$J$3969)</f>
        <v/>
      </c>
      <c r="L3939" s="6" t="inlineStr">
        <is>
          <t>REJECTED</t>
        </is>
      </c>
      <c r="M3939" s="8" t="n">
        <v>0</v>
      </c>
      <c r="N3939" s="7">
        <f>M3939*$J$3969-J3939</f>
        <v/>
      </c>
      <c r="O3939" s="9">
        <f>IF(G3939=0,0,N3939/G3939)</f>
        <v/>
      </c>
      <c r="P3939" s="6">
        <f>IF(M3939&gt;0,D3939,"")</f>
        <v/>
      </c>
      <c r="Q3939" s="9">
        <f>I3939+O3939</f>
        <v/>
      </c>
      <c r="R3939" s="7">
        <f>Q3939*G3939</f>
        <v/>
      </c>
      <c r="S3939" s="8">
        <f>IF($R$3969=0,0,R3939/$R$3969)</f>
        <v/>
      </c>
      <c r="T3939" s="8" t="n">
        <v>-0.0169908978338803</v>
      </c>
      <c r="U3939" s="8" t="n">
        <v>-0.01300251040793399</v>
      </c>
      <c r="V3939" s="6" t="inlineStr">
        <is>
          <t>not selected</t>
        </is>
      </c>
    </row>
    <row r="3940">
      <c r="A3940" s="6" t="inlineStr">
        <is>
          <t>DJ30</t>
        </is>
      </c>
      <c r="B3940" s="6" t="inlineStr">
        <is>
          <t>2025-06-13</t>
        </is>
      </c>
      <c r="C3940" s="6" t="inlineStr">
        <is>
          <t>DIA</t>
        </is>
      </c>
      <c r="D3940" s="6" t="inlineStr">
        <is>
          <t>AMGN</t>
        </is>
      </c>
      <c r="E3940" s="6" t="inlineStr">
        <is>
          <t>AMGN</t>
        </is>
      </c>
      <c r="F3940" s="6" t="inlineStr">
        <is>
          <t>-</t>
        </is>
      </c>
      <c r="G3940" s="7" t="n">
        <v>286.605224609375</v>
      </c>
      <c r="H3940" s="6">
        <f>P3909</f>
        <v/>
      </c>
      <c r="I3940" s="9">
        <f>Q3909</f>
        <v/>
      </c>
      <c r="J3940" s="7">
        <f>I3940*G3940</f>
        <v/>
      </c>
      <c r="K3940" s="8">
        <f>IF($J$3969=0,0,J3940/$J$3969)</f>
        <v/>
      </c>
      <c r="L3940" s="6" t="inlineStr">
        <is>
          <t>REJECTED</t>
        </is>
      </c>
      <c r="M3940" s="8" t="n">
        <v>0</v>
      </c>
      <c r="N3940" s="7">
        <f>M3940*$J$3969-J3940</f>
        <v/>
      </c>
      <c r="O3940" s="9">
        <f>IF(G3940=0,0,N3940/G3940)</f>
        <v/>
      </c>
      <c r="P3940" s="6">
        <f>IF(M3940&gt;0,D3940,"")</f>
        <v/>
      </c>
      <c r="Q3940" s="9">
        <f>I3940+O3940</f>
        <v/>
      </c>
      <c r="R3940" s="7">
        <f>Q3940*G3940</f>
        <v/>
      </c>
      <c r="S3940" s="8">
        <f>IF($R$3969=0,0,R3940/$R$3969)</f>
        <v/>
      </c>
      <c r="T3940" s="8" t="n">
        <v>-0.0169908978338803</v>
      </c>
      <c r="U3940" s="8" t="n">
        <v>-0.01300251040793399</v>
      </c>
      <c r="V3940" s="6" t="inlineStr">
        <is>
          <t>not selected</t>
        </is>
      </c>
    </row>
    <row r="3941">
      <c r="A3941" s="6" t="inlineStr">
        <is>
          <t>DJ30</t>
        </is>
      </c>
      <c r="B3941" s="6" t="inlineStr">
        <is>
          <t>2025-06-13</t>
        </is>
      </c>
      <c r="C3941" s="6" t="inlineStr">
        <is>
          <t>DIA</t>
        </is>
      </c>
      <c r="D3941" s="6" t="inlineStr">
        <is>
          <t>AMZN</t>
        </is>
      </c>
      <c r="E3941" s="6" t="inlineStr">
        <is>
          <t>AMZN</t>
        </is>
      </c>
      <c r="F3941" s="6" t="inlineStr">
        <is>
          <t>-</t>
        </is>
      </c>
      <c r="G3941" s="7" t="n">
        <v>212.1000061035156</v>
      </c>
      <c r="H3941" s="6">
        <f>P3910</f>
        <v/>
      </c>
      <c r="I3941" s="9">
        <f>Q3910</f>
        <v/>
      </c>
      <c r="J3941" s="7">
        <f>I3941*G3941</f>
        <v/>
      </c>
      <c r="K3941" s="8">
        <f>IF($J$3969=0,0,J3941/$J$3969)</f>
        <v/>
      </c>
      <c r="L3941" s="6" t="inlineStr">
        <is>
          <t>REJECTED</t>
        </is>
      </c>
      <c r="M3941" s="8" t="n">
        <v>0</v>
      </c>
      <c r="N3941" s="7">
        <f>M3941*$J$3969-J3941</f>
        <v/>
      </c>
      <c r="O3941" s="9">
        <f>IF(G3941=0,0,N3941/G3941)</f>
        <v/>
      </c>
      <c r="P3941" s="6">
        <f>IF(M3941&gt;0,D3941,"")</f>
        <v/>
      </c>
      <c r="Q3941" s="9">
        <f>I3941+O3941</f>
        <v/>
      </c>
      <c r="R3941" s="7">
        <f>Q3941*G3941</f>
        <v/>
      </c>
      <c r="S3941" s="8">
        <f>IF($R$3969=0,0,R3941/$R$3969)</f>
        <v/>
      </c>
      <c r="T3941" s="8" t="n">
        <v>-0.0169908978338803</v>
      </c>
      <c r="U3941" s="8" t="n">
        <v>-0.01300251040793399</v>
      </c>
      <c r="V3941" s="6" t="inlineStr">
        <is>
          <t>not selected</t>
        </is>
      </c>
    </row>
    <row r="3942">
      <c r="A3942" s="6" t="inlineStr">
        <is>
          <t>DJ30</t>
        </is>
      </c>
      <c r="B3942" s="6" t="inlineStr">
        <is>
          <t>2025-06-13</t>
        </is>
      </c>
      <c r="C3942" s="6" t="inlineStr">
        <is>
          <t>DIA</t>
        </is>
      </c>
      <c r="D3942" s="6" t="inlineStr">
        <is>
          <t>AXP</t>
        </is>
      </c>
      <c r="E3942" s="6" t="inlineStr">
        <is>
          <t>AXP</t>
        </is>
      </c>
      <c r="F3942" s="6" t="inlineStr">
        <is>
          <t>-</t>
        </is>
      </c>
      <c r="G3942" s="7" t="n">
        <v>284.8046264648437</v>
      </c>
      <c r="H3942" s="6">
        <f>P3911</f>
        <v/>
      </c>
      <c r="I3942" s="9">
        <f>Q3911</f>
        <v/>
      </c>
      <c r="J3942" s="7">
        <f>I3942*G3942</f>
        <v/>
      </c>
      <c r="K3942" s="8">
        <f>IF($J$3969=0,0,J3942/$J$3969)</f>
        <v/>
      </c>
      <c r="L3942" s="6" t="inlineStr">
        <is>
          <t>WATCHLIST</t>
        </is>
      </c>
      <c r="M3942" s="8" t="n">
        <v>0</v>
      </c>
      <c r="N3942" s="7">
        <f>M3942*$J$3969-J3942</f>
        <v/>
      </c>
      <c r="O3942" s="9">
        <f>IF(G3942=0,0,N3942/G3942)</f>
        <v/>
      </c>
      <c r="P3942" s="6">
        <f>IF(M3942&gt;0,D3942,"")</f>
        <v/>
      </c>
      <c r="Q3942" s="9">
        <f>I3942+O3942</f>
        <v/>
      </c>
      <c r="R3942" s="7">
        <f>Q3942*G3942</f>
        <v/>
      </c>
      <c r="S3942" s="8">
        <f>IF($R$3969=0,0,R3942/$R$3969)</f>
        <v/>
      </c>
      <c r="T3942" s="8" t="n">
        <v>-0.0169908978338803</v>
      </c>
      <c r="U3942" s="8" t="n">
        <v>-0.01300251040793399</v>
      </c>
      <c r="V3942" s="6" t="inlineStr">
        <is>
          <t>not selected</t>
        </is>
      </c>
    </row>
    <row r="3943">
      <c r="A3943" s="6" t="inlineStr">
        <is>
          <t>DJ30</t>
        </is>
      </c>
      <c r="B3943" s="6" t="inlineStr">
        <is>
          <t>2025-06-13</t>
        </is>
      </c>
      <c r="C3943" s="6" t="inlineStr">
        <is>
          <t>DIA</t>
        </is>
      </c>
      <c r="D3943" s="6" t="inlineStr">
        <is>
          <t>BA</t>
        </is>
      </c>
      <c r="E3943" s="6" t="inlineStr">
        <is>
          <t>BA</t>
        </is>
      </c>
      <c r="F3943" s="6" t="inlineStr">
        <is>
          <t>-</t>
        </is>
      </c>
      <c r="G3943" s="7" t="n">
        <v>200.3200073242188</v>
      </c>
      <c r="H3943" s="6">
        <f>P3912</f>
        <v/>
      </c>
      <c r="I3943" s="9">
        <f>Q3912</f>
        <v/>
      </c>
      <c r="J3943" s="7">
        <f>I3943*G3943</f>
        <v/>
      </c>
      <c r="K3943" s="8">
        <f>IF($J$3969=0,0,J3943/$J$3969)</f>
        <v/>
      </c>
      <c r="L3943" s="6" t="inlineStr">
        <is>
          <t>REJECTED</t>
        </is>
      </c>
      <c r="M3943" s="8" t="n">
        <v>0</v>
      </c>
      <c r="N3943" s="7">
        <f>M3943*$J$3969-J3943</f>
        <v/>
      </c>
      <c r="O3943" s="9">
        <f>IF(G3943=0,0,N3943/G3943)</f>
        <v/>
      </c>
      <c r="P3943" s="6">
        <f>IF(M3943&gt;0,D3943,"")</f>
        <v/>
      </c>
      <c r="Q3943" s="9">
        <f>I3943+O3943</f>
        <v/>
      </c>
      <c r="R3943" s="7">
        <f>Q3943*G3943</f>
        <v/>
      </c>
      <c r="S3943" s="8">
        <f>IF($R$3969=0,0,R3943/$R$3969)</f>
        <v/>
      </c>
      <c r="T3943" s="8" t="n">
        <v>-0.0169908978338803</v>
      </c>
      <c r="U3943" s="8" t="n">
        <v>-0.01300251040793399</v>
      </c>
      <c r="V3943" s="6" t="inlineStr">
        <is>
          <t>not selected</t>
        </is>
      </c>
    </row>
    <row r="3944">
      <c r="A3944" s="6" t="inlineStr">
        <is>
          <t>DJ30</t>
        </is>
      </c>
      <c r="B3944" s="6" t="inlineStr">
        <is>
          <t>2025-06-13</t>
        </is>
      </c>
      <c r="C3944" s="6" t="inlineStr">
        <is>
          <t>DIA</t>
        </is>
      </c>
      <c r="D3944" s="6" t="inlineStr">
        <is>
          <t>CAT</t>
        </is>
      </c>
      <c r="E3944" s="6" t="inlineStr">
        <is>
          <t>CAT</t>
        </is>
      </c>
      <c r="F3944" s="6" t="inlineStr">
        <is>
          <t>-</t>
        </is>
      </c>
      <c r="G3944" s="7" t="n">
        <v>353.2271423339844</v>
      </c>
      <c r="H3944" s="6">
        <f>P3913</f>
        <v/>
      </c>
      <c r="I3944" s="9">
        <f>Q3913</f>
        <v/>
      </c>
      <c r="J3944" s="7">
        <f>I3944*G3944</f>
        <v/>
      </c>
      <c r="K3944" s="8">
        <f>IF($J$3969=0,0,J3944/$J$3969)</f>
        <v/>
      </c>
      <c r="L3944" s="6" t="inlineStr">
        <is>
          <t>REJECTED</t>
        </is>
      </c>
      <c r="M3944" s="8" t="n">
        <v>0</v>
      </c>
      <c r="N3944" s="7">
        <f>M3944*$J$3969-J3944</f>
        <v/>
      </c>
      <c r="O3944" s="9">
        <f>IF(G3944=0,0,N3944/G3944)</f>
        <v/>
      </c>
      <c r="P3944" s="6">
        <f>IF(M3944&gt;0,D3944,"")</f>
        <v/>
      </c>
      <c r="Q3944" s="9">
        <f>I3944+O3944</f>
        <v/>
      </c>
      <c r="R3944" s="7">
        <f>Q3944*G3944</f>
        <v/>
      </c>
      <c r="S3944" s="8">
        <f>IF($R$3969=0,0,R3944/$R$3969)</f>
        <v/>
      </c>
      <c r="T3944" s="8" t="n">
        <v>-0.0169908978338803</v>
      </c>
      <c r="U3944" s="8" t="n">
        <v>-0.01300251040793399</v>
      </c>
      <c r="V3944" s="6" t="inlineStr">
        <is>
          <t>not selected</t>
        </is>
      </c>
    </row>
    <row r="3945">
      <c r="A3945" s="6" t="inlineStr">
        <is>
          <t>DJ30</t>
        </is>
      </c>
      <c r="B3945" s="6" t="inlineStr">
        <is>
          <t>2025-06-13</t>
        </is>
      </c>
      <c r="C3945" s="6" t="inlineStr">
        <is>
          <t>DIA</t>
        </is>
      </c>
      <c r="D3945" s="6" t="inlineStr">
        <is>
          <t>CRM</t>
        </is>
      </c>
      <c r="E3945" s="6" t="inlineStr">
        <is>
          <t>CRM</t>
        </is>
      </c>
      <c r="F3945" s="6" t="inlineStr">
        <is>
          <t>-</t>
        </is>
      </c>
      <c r="G3945" s="7" t="n">
        <v>255.8256072998047</v>
      </c>
      <c r="H3945" s="6">
        <f>P3914</f>
        <v/>
      </c>
      <c r="I3945" s="9">
        <f>Q3914</f>
        <v/>
      </c>
      <c r="J3945" s="7">
        <f>I3945*G3945</f>
        <v/>
      </c>
      <c r="K3945" s="8">
        <f>IF($J$3969=0,0,J3945/$J$3969)</f>
        <v/>
      </c>
      <c r="L3945" s="6" t="inlineStr">
        <is>
          <t>REJECTED</t>
        </is>
      </c>
      <c r="M3945" s="8" t="n">
        <v>0</v>
      </c>
      <c r="N3945" s="7">
        <f>M3945*$J$3969-J3945</f>
        <v/>
      </c>
      <c r="O3945" s="9">
        <f>IF(G3945=0,0,N3945/G3945)</f>
        <v/>
      </c>
      <c r="P3945" s="6">
        <f>IF(M3945&gt;0,D3945,"")</f>
        <v/>
      </c>
      <c r="Q3945" s="9">
        <f>I3945+O3945</f>
        <v/>
      </c>
      <c r="R3945" s="7">
        <f>Q3945*G3945</f>
        <v/>
      </c>
      <c r="S3945" s="8">
        <f>IF($R$3969=0,0,R3945/$R$3969)</f>
        <v/>
      </c>
      <c r="T3945" s="8" t="n">
        <v>-0.0169908978338803</v>
      </c>
      <c r="U3945" s="8" t="n">
        <v>-0.01300251040793399</v>
      </c>
      <c r="V3945" s="6" t="inlineStr">
        <is>
          <t>not selected</t>
        </is>
      </c>
    </row>
    <row r="3946">
      <c r="A3946" s="6" t="inlineStr">
        <is>
          <t>DJ30</t>
        </is>
      </c>
      <c r="B3946" s="6" t="inlineStr">
        <is>
          <t>2025-06-13</t>
        </is>
      </c>
      <c r="C3946" s="6" t="inlineStr">
        <is>
          <t>DIA</t>
        </is>
      </c>
      <c r="D3946" s="6" t="inlineStr">
        <is>
          <t>CSCO</t>
        </is>
      </c>
      <c r="E3946" s="6" t="inlineStr">
        <is>
          <t>CSCO</t>
        </is>
      </c>
      <c r="F3946" s="6" t="inlineStr">
        <is>
          <t>-</t>
        </is>
      </c>
      <c r="G3946" s="7" t="n">
        <v>62.64800262451172</v>
      </c>
      <c r="H3946" s="6">
        <f>P3915</f>
        <v/>
      </c>
      <c r="I3946" s="9">
        <f>Q3915</f>
        <v/>
      </c>
      <c r="J3946" s="7">
        <f>I3946*G3946</f>
        <v/>
      </c>
      <c r="K3946" s="8">
        <f>IF($J$3969=0,0,J3946/$J$3969)</f>
        <v/>
      </c>
      <c r="L3946" s="6" t="inlineStr">
        <is>
          <t>WATCHLIST</t>
        </is>
      </c>
      <c r="M3946" s="8" t="n">
        <v>0</v>
      </c>
      <c r="N3946" s="7">
        <f>M3946*$J$3969-J3946</f>
        <v/>
      </c>
      <c r="O3946" s="9">
        <f>IF(G3946=0,0,N3946/G3946)</f>
        <v/>
      </c>
      <c r="P3946" s="6">
        <f>IF(M3946&gt;0,D3946,"")</f>
        <v/>
      </c>
      <c r="Q3946" s="9">
        <f>I3946+O3946</f>
        <v/>
      </c>
      <c r="R3946" s="7">
        <f>Q3946*G3946</f>
        <v/>
      </c>
      <c r="S3946" s="8">
        <f>IF($R$3969=0,0,R3946/$R$3969)</f>
        <v/>
      </c>
      <c r="T3946" s="8" t="n">
        <v>-0.0169908978338803</v>
      </c>
      <c r="U3946" s="8" t="n">
        <v>-0.01300251040793399</v>
      </c>
      <c r="V3946" s="6" t="inlineStr">
        <is>
          <t>removed from weekly selection</t>
        </is>
      </c>
    </row>
    <row r="3947">
      <c r="A3947" s="6" t="inlineStr">
        <is>
          <t>DJ30</t>
        </is>
      </c>
      <c r="B3947" s="6" t="inlineStr">
        <is>
          <t>2025-06-13</t>
        </is>
      </c>
      <c r="C3947" s="6" t="inlineStr">
        <is>
          <t>DIA</t>
        </is>
      </c>
      <c r="D3947" s="6" t="inlineStr">
        <is>
          <t>CVX</t>
        </is>
      </c>
      <c r="E3947" s="6" t="inlineStr">
        <is>
          <t>CVX</t>
        </is>
      </c>
      <c r="F3947" s="6" t="inlineStr">
        <is>
          <t>-</t>
        </is>
      </c>
      <c r="G3947" s="7" t="n">
        <v>140.0445556640625</v>
      </c>
      <c r="H3947" s="6">
        <f>P3916</f>
        <v/>
      </c>
      <c r="I3947" s="9">
        <f>Q3916</f>
        <v/>
      </c>
      <c r="J3947" s="7">
        <f>I3947*G3947</f>
        <v/>
      </c>
      <c r="K3947" s="8">
        <f>IF($J$3969=0,0,J3947/$J$3969)</f>
        <v/>
      </c>
      <c r="L3947" s="6" t="inlineStr">
        <is>
          <t>REJECTED</t>
        </is>
      </c>
      <c r="M3947" s="8" t="n">
        <v>0</v>
      </c>
      <c r="N3947" s="7">
        <f>M3947*$J$3969-J3947</f>
        <v/>
      </c>
      <c r="O3947" s="9">
        <f>IF(G3947=0,0,N3947/G3947)</f>
        <v/>
      </c>
      <c r="P3947" s="6">
        <f>IF(M3947&gt;0,D3947,"")</f>
        <v/>
      </c>
      <c r="Q3947" s="9">
        <f>I3947+O3947</f>
        <v/>
      </c>
      <c r="R3947" s="7">
        <f>Q3947*G3947</f>
        <v/>
      </c>
      <c r="S3947" s="8">
        <f>IF($R$3969=0,0,R3947/$R$3969)</f>
        <v/>
      </c>
      <c r="T3947" s="8" t="n">
        <v>-0.0169908978338803</v>
      </c>
      <c r="U3947" s="8" t="n">
        <v>-0.01300251040793399</v>
      </c>
      <c r="V3947" s="6" t="inlineStr">
        <is>
          <t>not selected</t>
        </is>
      </c>
    </row>
    <row r="3948">
      <c r="A3948" s="6" t="inlineStr">
        <is>
          <t>DJ30</t>
        </is>
      </c>
      <c r="B3948" s="6" t="inlineStr">
        <is>
          <t>2025-06-13</t>
        </is>
      </c>
      <c r="C3948" s="6" t="inlineStr">
        <is>
          <t>DIA</t>
        </is>
      </c>
      <c r="D3948" s="6" t="inlineStr">
        <is>
          <t>DIS</t>
        </is>
      </c>
      <c r="E3948" s="6" t="inlineStr">
        <is>
          <t>DIS</t>
        </is>
      </c>
      <c r="F3948" s="6" t="inlineStr">
        <is>
          <t>-</t>
        </is>
      </c>
      <c r="G3948" s="7" t="n">
        <v>116.6499557495117</v>
      </c>
      <c r="H3948" s="6">
        <f>P3917</f>
        <v/>
      </c>
      <c r="I3948" s="9">
        <f>Q3917</f>
        <v/>
      </c>
      <c r="J3948" s="7">
        <f>I3948*G3948</f>
        <v/>
      </c>
      <c r="K3948" s="8">
        <f>IF($J$3969=0,0,J3948/$J$3969)</f>
        <v/>
      </c>
      <c r="L3948" s="6" t="inlineStr">
        <is>
          <t>REJECTED</t>
        </is>
      </c>
      <c r="M3948" s="8" t="n">
        <v>0</v>
      </c>
      <c r="N3948" s="7">
        <f>M3948*$J$3969-J3948</f>
        <v/>
      </c>
      <c r="O3948" s="9">
        <f>IF(G3948=0,0,N3948/G3948)</f>
        <v/>
      </c>
      <c r="P3948" s="6">
        <f>IF(M3948&gt;0,D3948,"")</f>
        <v/>
      </c>
      <c r="Q3948" s="9">
        <f>I3948+O3948</f>
        <v/>
      </c>
      <c r="R3948" s="7">
        <f>Q3948*G3948</f>
        <v/>
      </c>
      <c r="S3948" s="8">
        <f>IF($R$3969=0,0,R3948/$R$3969)</f>
        <v/>
      </c>
      <c r="T3948" s="8" t="n">
        <v>-0.0169908978338803</v>
      </c>
      <c r="U3948" s="8" t="n">
        <v>-0.01300251040793399</v>
      </c>
      <c r="V3948" s="6" t="inlineStr">
        <is>
          <t>not selected</t>
        </is>
      </c>
    </row>
    <row r="3949">
      <c r="A3949" s="6" t="inlineStr">
        <is>
          <t>DJ30</t>
        </is>
      </c>
      <c r="B3949" s="6" t="inlineStr">
        <is>
          <t>2025-06-13</t>
        </is>
      </c>
      <c r="C3949" s="6" t="inlineStr">
        <is>
          <t>DIA</t>
        </is>
      </c>
      <c r="D3949" s="6" t="inlineStr">
        <is>
          <t>GS</t>
        </is>
      </c>
      <c r="E3949" s="6" t="inlineStr">
        <is>
          <t>GS</t>
        </is>
      </c>
      <c r="F3949" s="6" t="inlineStr">
        <is>
          <t>-</t>
        </is>
      </c>
      <c r="G3949" s="7" t="n">
        <v>601.432861328125</v>
      </c>
      <c r="H3949" s="6">
        <f>P3918</f>
        <v/>
      </c>
      <c r="I3949" s="9">
        <f>Q3918</f>
        <v/>
      </c>
      <c r="J3949" s="7">
        <f>I3949*G3949</f>
        <v/>
      </c>
      <c r="K3949" s="8">
        <f>IF($J$3969=0,0,J3949/$J$3969)</f>
        <v/>
      </c>
      <c r="L3949" s="6" t="inlineStr">
        <is>
          <t>WATCHLIST</t>
        </is>
      </c>
      <c r="M3949" s="8" t="n">
        <v>0</v>
      </c>
      <c r="N3949" s="7">
        <f>M3949*$J$3969-J3949</f>
        <v/>
      </c>
      <c r="O3949" s="9">
        <f>IF(G3949=0,0,N3949/G3949)</f>
        <v/>
      </c>
      <c r="P3949" s="6">
        <f>IF(M3949&gt;0,D3949,"")</f>
        <v/>
      </c>
      <c r="Q3949" s="9">
        <f>I3949+O3949</f>
        <v/>
      </c>
      <c r="R3949" s="7">
        <f>Q3949*G3949</f>
        <v/>
      </c>
      <c r="S3949" s="8">
        <f>IF($R$3969=0,0,R3949/$R$3969)</f>
        <v/>
      </c>
      <c r="T3949" s="8" t="n">
        <v>-0.0169908978338803</v>
      </c>
      <c r="U3949" s="8" t="n">
        <v>-0.01300251040793399</v>
      </c>
      <c r="V3949" s="6" t="inlineStr">
        <is>
          <t>not selected</t>
        </is>
      </c>
    </row>
    <row r="3950">
      <c r="A3950" s="6" t="inlineStr">
        <is>
          <t>DJ30</t>
        </is>
      </c>
      <c r="B3950" s="6" t="inlineStr">
        <is>
          <t>2025-06-13</t>
        </is>
      </c>
      <c r="C3950" s="6" t="inlineStr">
        <is>
          <t>DIA</t>
        </is>
      </c>
      <c r="D3950" s="6" t="inlineStr">
        <is>
          <t>HD</t>
        </is>
      </c>
      <c r="E3950" s="6" t="inlineStr">
        <is>
          <t>HD</t>
        </is>
      </c>
      <c r="F3950" s="6" t="inlineStr">
        <is>
          <t>-</t>
        </is>
      </c>
      <c r="G3950" s="7" t="n">
        <v>345.4746704101562</v>
      </c>
      <c r="H3950" s="6">
        <f>P3919</f>
        <v/>
      </c>
      <c r="I3950" s="9">
        <f>Q3919</f>
        <v/>
      </c>
      <c r="J3950" s="7">
        <f>I3950*G3950</f>
        <v/>
      </c>
      <c r="K3950" s="8">
        <f>IF($J$3969=0,0,J3950/$J$3969)</f>
        <v/>
      </c>
      <c r="L3950" s="6" t="inlineStr">
        <is>
          <t>REJECTED</t>
        </is>
      </c>
      <c r="M3950" s="8" t="n">
        <v>0</v>
      </c>
      <c r="N3950" s="7">
        <f>M3950*$J$3969-J3950</f>
        <v/>
      </c>
      <c r="O3950" s="9">
        <f>IF(G3950=0,0,N3950/G3950)</f>
        <v/>
      </c>
      <c r="P3950" s="6">
        <f>IF(M3950&gt;0,D3950,"")</f>
        <v/>
      </c>
      <c r="Q3950" s="9">
        <f>I3950+O3950</f>
        <v/>
      </c>
      <c r="R3950" s="7">
        <f>Q3950*G3950</f>
        <v/>
      </c>
      <c r="S3950" s="8">
        <f>IF($R$3969=0,0,R3950/$R$3969)</f>
        <v/>
      </c>
      <c r="T3950" s="8" t="n">
        <v>-0.0169908978338803</v>
      </c>
      <c r="U3950" s="8" t="n">
        <v>-0.01300251040793399</v>
      </c>
      <c r="V3950" s="6" t="inlineStr">
        <is>
          <t>not selected</t>
        </is>
      </c>
    </row>
    <row r="3951">
      <c r="A3951" s="6" t="inlineStr">
        <is>
          <t>DJ30</t>
        </is>
      </c>
      <c r="B3951" s="6" t="inlineStr">
        <is>
          <t>2025-06-13</t>
        </is>
      </c>
      <c r="C3951" s="6" t="inlineStr">
        <is>
          <t>DIA</t>
        </is>
      </c>
      <c r="D3951" s="6" t="inlineStr">
        <is>
          <t>HON</t>
        </is>
      </c>
      <c r="E3951" s="6" t="inlineStr">
        <is>
          <t>HON</t>
        </is>
      </c>
      <c r="F3951" s="6" t="inlineStr">
        <is>
          <t>-</t>
        </is>
      </c>
      <c r="G3951" s="7" t="n">
        <v>206.8783569335937</v>
      </c>
      <c r="H3951" s="6">
        <f>P3920</f>
        <v/>
      </c>
      <c r="I3951" s="9">
        <f>Q3920</f>
        <v/>
      </c>
      <c r="J3951" s="7">
        <f>I3951*G3951</f>
        <v/>
      </c>
      <c r="K3951" s="8">
        <f>IF($J$3969=0,0,J3951/$J$3969)</f>
        <v/>
      </c>
      <c r="L3951" s="6" t="inlineStr">
        <is>
          <t>REJECTED</t>
        </is>
      </c>
      <c r="M3951" s="8" t="n">
        <v>0</v>
      </c>
      <c r="N3951" s="7">
        <f>M3951*$J$3969-J3951</f>
        <v/>
      </c>
      <c r="O3951" s="9">
        <f>IF(G3951=0,0,N3951/G3951)</f>
        <v/>
      </c>
      <c r="P3951" s="6">
        <f>IF(M3951&gt;0,D3951,"")</f>
        <v/>
      </c>
      <c r="Q3951" s="9">
        <f>I3951+O3951</f>
        <v/>
      </c>
      <c r="R3951" s="7">
        <f>Q3951*G3951</f>
        <v/>
      </c>
      <c r="S3951" s="8">
        <f>IF($R$3969=0,0,R3951/$R$3969)</f>
        <v/>
      </c>
      <c r="T3951" s="8" t="n">
        <v>-0.0169908978338803</v>
      </c>
      <c r="U3951" s="8" t="n">
        <v>-0.01300251040793399</v>
      </c>
      <c r="V3951" s="6" t="inlineStr">
        <is>
          <t>not selected</t>
        </is>
      </c>
    </row>
    <row r="3952">
      <c r="A3952" s="6" t="inlineStr">
        <is>
          <t>DJ30</t>
        </is>
      </c>
      <c r="B3952" s="6" t="inlineStr">
        <is>
          <t>2025-06-13</t>
        </is>
      </c>
      <c r="C3952" s="6" t="inlineStr">
        <is>
          <t>DIA</t>
        </is>
      </c>
      <c r="D3952" s="6" t="inlineStr">
        <is>
          <t>IBM</t>
        </is>
      </c>
      <c r="E3952" s="6" t="inlineStr">
        <is>
          <t>IBM</t>
        </is>
      </c>
      <c r="F3952" s="6" t="inlineStr">
        <is>
          <t>-</t>
        </is>
      </c>
      <c r="G3952" s="7" t="n">
        <v>270.3064270019531</v>
      </c>
      <c r="H3952" s="6">
        <f>P3921</f>
        <v/>
      </c>
      <c r="I3952" s="9">
        <f>Q3921</f>
        <v/>
      </c>
      <c r="J3952" s="7">
        <f>I3952*G3952</f>
        <v/>
      </c>
      <c r="K3952" s="8">
        <f>IF($J$3969=0,0,J3952/$J$3969)</f>
        <v/>
      </c>
      <c r="L3952" s="6" t="inlineStr">
        <is>
          <t>SELECTED</t>
        </is>
      </c>
      <c r="M3952" s="8" t="n">
        <v>0.2</v>
      </c>
      <c r="N3952" s="7">
        <f>M3952*$J$3969-J3952</f>
        <v/>
      </c>
      <c r="O3952" s="9">
        <f>IF(G3952=0,0,N3952/G3952)</f>
        <v/>
      </c>
      <c r="P3952" s="6">
        <f>IF(M3952&gt;0,D3952,"")</f>
        <v/>
      </c>
      <c r="Q3952" s="9">
        <f>I3952+O3952</f>
        <v/>
      </c>
      <c r="R3952" s="7">
        <f>Q3952*G3952</f>
        <v/>
      </c>
      <c r="S3952" s="8">
        <f>IF($R$3969=0,0,R3952/$R$3969)</f>
        <v/>
      </c>
      <c r="T3952" s="8" t="n">
        <v>-0.0169908978338803</v>
      </c>
      <c r="U3952" s="8" t="n">
        <v>-0.01300251040793399</v>
      </c>
      <c r="V3952" s="6" t="inlineStr">
        <is>
          <t>remained in weekly selection</t>
        </is>
      </c>
    </row>
    <row r="3953">
      <c r="A3953" s="6" t="inlineStr">
        <is>
          <t>DJ30</t>
        </is>
      </c>
      <c r="B3953" s="6" t="inlineStr">
        <is>
          <t>2025-06-13</t>
        </is>
      </c>
      <c r="C3953" s="6" t="inlineStr">
        <is>
          <t>DIA</t>
        </is>
      </c>
      <c r="D3953" s="6" t="inlineStr">
        <is>
          <t>JNJ</t>
        </is>
      </c>
      <c r="E3953" s="6" t="inlineStr">
        <is>
          <t>JNJ</t>
        </is>
      </c>
      <c r="F3953" s="6" t="inlineStr">
        <is>
          <t>-</t>
        </is>
      </c>
      <c r="G3953" s="7" t="n">
        <v>153.2703857421875</v>
      </c>
      <c r="H3953" s="6">
        <f>P3922</f>
        <v/>
      </c>
      <c r="I3953" s="9">
        <f>Q3922</f>
        <v/>
      </c>
      <c r="J3953" s="7">
        <f>I3953*G3953</f>
        <v/>
      </c>
      <c r="K3953" s="8">
        <f>IF($J$3969=0,0,J3953/$J$3969)</f>
        <v/>
      </c>
      <c r="L3953" s="6" t="inlineStr">
        <is>
          <t>REJECTED</t>
        </is>
      </c>
      <c r="M3953" s="8" t="n">
        <v>0</v>
      </c>
      <c r="N3953" s="7">
        <f>M3953*$J$3969-J3953</f>
        <v/>
      </c>
      <c r="O3953" s="9">
        <f>IF(G3953=0,0,N3953/G3953)</f>
        <v/>
      </c>
      <c r="P3953" s="6">
        <f>IF(M3953&gt;0,D3953,"")</f>
        <v/>
      </c>
      <c r="Q3953" s="9">
        <f>I3953+O3953</f>
        <v/>
      </c>
      <c r="R3953" s="7">
        <f>Q3953*G3953</f>
        <v/>
      </c>
      <c r="S3953" s="8">
        <f>IF($R$3969=0,0,R3953/$R$3969)</f>
        <v/>
      </c>
      <c r="T3953" s="8" t="n">
        <v>-0.0169908978338803</v>
      </c>
      <c r="U3953" s="8" t="n">
        <v>-0.01300251040793399</v>
      </c>
      <c r="V3953" s="6" t="inlineStr">
        <is>
          <t>not selected</t>
        </is>
      </c>
    </row>
    <row r="3954">
      <c r="A3954" s="6" t="inlineStr">
        <is>
          <t>DJ30</t>
        </is>
      </c>
      <c r="B3954" s="6" t="inlineStr">
        <is>
          <t>2025-06-13</t>
        </is>
      </c>
      <c r="C3954" s="6" t="inlineStr">
        <is>
          <t>DIA</t>
        </is>
      </c>
      <c r="D3954" s="6" t="inlineStr">
        <is>
          <t>JPM</t>
        </is>
      </c>
      <c r="E3954" s="6" t="inlineStr">
        <is>
          <t>JPM</t>
        </is>
      </c>
      <c r="F3954" s="6" t="inlineStr">
        <is>
          <t>-</t>
        </is>
      </c>
      <c r="G3954" s="7" t="n">
        <v>259.8955383300781</v>
      </c>
      <c r="H3954" s="6">
        <f>P3923</f>
        <v/>
      </c>
      <c r="I3954" s="9">
        <f>Q3923</f>
        <v/>
      </c>
      <c r="J3954" s="7">
        <f>I3954*G3954</f>
        <v/>
      </c>
      <c r="K3954" s="8">
        <f>IF($J$3969=0,0,J3954/$J$3969)</f>
        <v/>
      </c>
      <c r="L3954" s="6" t="inlineStr">
        <is>
          <t>WATCHLIST</t>
        </is>
      </c>
      <c r="M3954" s="8" t="n">
        <v>0</v>
      </c>
      <c r="N3954" s="7">
        <f>M3954*$J$3969-J3954</f>
        <v/>
      </c>
      <c r="O3954" s="9">
        <f>IF(G3954=0,0,N3954/G3954)</f>
        <v/>
      </c>
      <c r="P3954" s="6">
        <f>IF(M3954&gt;0,D3954,"")</f>
        <v/>
      </c>
      <c r="Q3954" s="9">
        <f>I3954+O3954</f>
        <v/>
      </c>
      <c r="R3954" s="7">
        <f>Q3954*G3954</f>
        <v/>
      </c>
      <c r="S3954" s="8">
        <f>IF($R$3969=0,0,R3954/$R$3969)</f>
        <v/>
      </c>
      <c r="T3954" s="8" t="n">
        <v>-0.0169908978338803</v>
      </c>
      <c r="U3954" s="8" t="n">
        <v>-0.01300251040793399</v>
      </c>
      <c r="V3954" s="6" t="inlineStr">
        <is>
          <t>not selected</t>
        </is>
      </c>
    </row>
    <row r="3955">
      <c r="A3955" s="6" t="inlineStr">
        <is>
          <t>DJ30</t>
        </is>
      </c>
      <c r="B3955" s="6" t="inlineStr">
        <is>
          <t>2025-06-13</t>
        </is>
      </c>
      <c r="C3955" s="6" t="inlineStr">
        <is>
          <t>DIA</t>
        </is>
      </c>
      <c r="D3955" s="6" t="inlineStr">
        <is>
          <t>KO</t>
        </is>
      </c>
      <c r="E3955" s="6" t="inlineStr">
        <is>
          <t>KO</t>
        </is>
      </c>
      <c r="F3955" s="6" t="inlineStr">
        <is>
          <t>-</t>
        </is>
      </c>
      <c r="G3955" s="7" t="n">
        <v>69.06404113769531</v>
      </c>
      <c r="H3955" s="6">
        <f>P3924</f>
        <v/>
      </c>
      <c r="I3955" s="9">
        <f>Q3924</f>
        <v/>
      </c>
      <c r="J3955" s="7">
        <f>I3955*G3955</f>
        <v/>
      </c>
      <c r="K3955" s="8">
        <f>IF($J$3969=0,0,J3955/$J$3969)</f>
        <v/>
      </c>
      <c r="L3955" s="6" t="inlineStr">
        <is>
          <t>REJECTED</t>
        </is>
      </c>
      <c r="M3955" s="8" t="n">
        <v>0</v>
      </c>
      <c r="N3955" s="7">
        <f>M3955*$J$3969-J3955</f>
        <v/>
      </c>
      <c r="O3955" s="9">
        <f>IF(G3955=0,0,N3955/G3955)</f>
        <v/>
      </c>
      <c r="P3955" s="6">
        <f>IF(M3955&gt;0,D3955,"")</f>
        <v/>
      </c>
      <c r="Q3955" s="9">
        <f>I3955+O3955</f>
        <v/>
      </c>
      <c r="R3955" s="7">
        <f>Q3955*G3955</f>
        <v/>
      </c>
      <c r="S3955" s="8">
        <f>IF($R$3969=0,0,R3955/$R$3969)</f>
        <v/>
      </c>
      <c r="T3955" s="8" t="n">
        <v>-0.0169908978338803</v>
      </c>
      <c r="U3955" s="8" t="n">
        <v>-0.01300251040793399</v>
      </c>
      <c r="V3955" s="6" t="inlineStr">
        <is>
          <t>not selected</t>
        </is>
      </c>
    </row>
    <row r="3956">
      <c r="A3956" s="6" t="inlineStr">
        <is>
          <t>DJ30</t>
        </is>
      </c>
      <c r="B3956" s="6" t="inlineStr">
        <is>
          <t>2025-06-13</t>
        </is>
      </c>
      <c r="C3956" s="6" t="inlineStr">
        <is>
          <t>DIA</t>
        </is>
      </c>
      <c r="D3956" s="6" t="inlineStr">
        <is>
          <t>MCD</t>
        </is>
      </c>
      <c r="E3956" s="6" t="inlineStr">
        <is>
          <t>MCD</t>
        </is>
      </c>
      <c r="F3956" s="6" t="inlineStr">
        <is>
          <t>-</t>
        </is>
      </c>
      <c r="G3956" s="7" t="n">
        <v>294.7580871582031</v>
      </c>
      <c r="H3956" s="6">
        <f>P3925</f>
        <v/>
      </c>
      <c r="I3956" s="9">
        <f>Q3925</f>
        <v/>
      </c>
      <c r="J3956" s="7">
        <f>I3956*G3956</f>
        <v/>
      </c>
      <c r="K3956" s="8">
        <f>IF($J$3969=0,0,J3956/$J$3969)</f>
        <v/>
      </c>
      <c r="L3956" s="6" t="inlineStr">
        <is>
          <t>SELECTED</t>
        </is>
      </c>
      <c r="M3956" s="8" t="n">
        <v>0.2</v>
      </c>
      <c r="N3956" s="7">
        <f>M3956*$J$3969-J3956</f>
        <v/>
      </c>
      <c r="O3956" s="9">
        <f>IF(G3956=0,0,N3956/G3956)</f>
        <v/>
      </c>
      <c r="P3956" s="6">
        <f>IF(M3956&gt;0,D3956,"")</f>
        <v/>
      </c>
      <c r="Q3956" s="9">
        <f>I3956+O3956</f>
        <v/>
      </c>
      <c r="R3956" s="7">
        <f>Q3956*G3956</f>
        <v/>
      </c>
      <c r="S3956" s="8">
        <f>IF($R$3969=0,0,R3956/$R$3969)</f>
        <v/>
      </c>
      <c r="T3956" s="8" t="n">
        <v>-0.0169908978338803</v>
      </c>
      <c r="U3956" s="8" t="n">
        <v>-0.01300251040793399</v>
      </c>
      <c r="V3956" s="6" t="inlineStr">
        <is>
          <t>remained in weekly selection</t>
        </is>
      </c>
    </row>
    <row r="3957">
      <c r="A3957" s="6" t="inlineStr">
        <is>
          <t>DJ30</t>
        </is>
      </c>
      <c r="B3957" s="6" t="inlineStr">
        <is>
          <t>2025-06-13</t>
        </is>
      </c>
      <c r="C3957" s="6" t="inlineStr">
        <is>
          <t>DIA</t>
        </is>
      </c>
      <c r="D3957" s="6" t="inlineStr">
        <is>
          <t>MMM</t>
        </is>
      </c>
      <c r="E3957" s="6" t="inlineStr">
        <is>
          <t>MMM</t>
        </is>
      </c>
      <c r="F3957" s="6" t="inlineStr">
        <is>
          <t>-</t>
        </is>
      </c>
      <c r="G3957" s="7" t="n">
        <v>139.7066650390625</v>
      </c>
      <c r="H3957" s="6">
        <f>P3926</f>
        <v/>
      </c>
      <c r="I3957" s="9">
        <f>Q3926</f>
        <v/>
      </c>
      <c r="J3957" s="7">
        <f>I3957*G3957</f>
        <v/>
      </c>
      <c r="K3957" s="8">
        <f>IF($J$3969=0,0,J3957/$J$3969)</f>
        <v/>
      </c>
      <c r="L3957" s="6" t="inlineStr">
        <is>
          <t>WATCHLIST</t>
        </is>
      </c>
      <c r="M3957" s="8" t="n">
        <v>0</v>
      </c>
      <c r="N3957" s="7">
        <f>M3957*$J$3969-J3957</f>
        <v/>
      </c>
      <c r="O3957" s="9">
        <f>IF(G3957=0,0,N3957/G3957)</f>
        <v/>
      </c>
      <c r="P3957" s="6">
        <f>IF(M3957&gt;0,D3957,"")</f>
        <v/>
      </c>
      <c r="Q3957" s="9">
        <f>I3957+O3957</f>
        <v/>
      </c>
      <c r="R3957" s="7">
        <f>Q3957*G3957</f>
        <v/>
      </c>
      <c r="S3957" s="8">
        <f>IF($R$3969=0,0,R3957/$R$3969)</f>
        <v/>
      </c>
      <c r="T3957" s="8" t="n">
        <v>-0.0169908978338803</v>
      </c>
      <c r="U3957" s="8" t="n">
        <v>-0.01300251040793399</v>
      </c>
      <c r="V3957" s="6" t="inlineStr">
        <is>
          <t>not selected</t>
        </is>
      </c>
    </row>
    <row r="3958">
      <c r="A3958" s="6" t="inlineStr">
        <is>
          <t>DJ30</t>
        </is>
      </c>
      <c r="B3958" s="6" t="inlineStr">
        <is>
          <t>2025-06-13</t>
        </is>
      </c>
      <c r="C3958" s="6" t="inlineStr">
        <is>
          <t>DIA</t>
        </is>
      </c>
      <c r="D3958" s="6" t="inlineStr">
        <is>
          <t>MRK</t>
        </is>
      </c>
      <c r="E3958" s="6" t="inlineStr">
        <is>
          <t>MRK</t>
        </is>
      </c>
      <c r="F3958" s="6" t="inlineStr">
        <is>
          <t>-</t>
        </is>
      </c>
      <c r="G3958" s="7" t="n">
        <v>78.28285980224609</v>
      </c>
      <c r="H3958" s="6">
        <f>P3927</f>
        <v/>
      </c>
      <c r="I3958" s="9">
        <f>Q3927</f>
        <v/>
      </c>
      <c r="J3958" s="7">
        <f>I3958*G3958</f>
        <v/>
      </c>
      <c r="K3958" s="8">
        <f>IF($J$3969=0,0,J3958/$J$3969)</f>
        <v/>
      </c>
      <c r="L3958" s="6" t="inlineStr">
        <is>
          <t>REJECTED</t>
        </is>
      </c>
      <c r="M3958" s="8" t="n">
        <v>0</v>
      </c>
      <c r="N3958" s="7">
        <f>M3958*$J$3969-J3958</f>
        <v/>
      </c>
      <c r="O3958" s="9">
        <f>IF(G3958=0,0,N3958/G3958)</f>
        <v/>
      </c>
      <c r="P3958" s="6">
        <f>IF(M3958&gt;0,D3958,"")</f>
        <v/>
      </c>
      <c r="Q3958" s="9">
        <f>I3958+O3958</f>
        <v/>
      </c>
      <c r="R3958" s="7">
        <f>Q3958*G3958</f>
        <v/>
      </c>
      <c r="S3958" s="8">
        <f>IF($R$3969=0,0,R3958/$R$3969)</f>
        <v/>
      </c>
      <c r="T3958" s="8" t="n">
        <v>-0.0169908978338803</v>
      </c>
      <c r="U3958" s="8" t="n">
        <v>-0.01300251040793399</v>
      </c>
      <c r="V3958" s="6" t="inlineStr">
        <is>
          <t>not selected</t>
        </is>
      </c>
    </row>
    <row r="3959">
      <c r="A3959" s="6" t="inlineStr">
        <is>
          <t>DJ30</t>
        </is>
      </c>
      <c r="B3959" s="6" t="inlineStr">
        <is>
          <t>2025-06-13</t>
        </is>
      </c>
      <c r="C3959" s="6" t="inlineStr">
        <is>
          <t>DIA</t>
        </is>
      </c>
      <c r="D3959" s="6" t="inlineStr">
        <is>
          <t>MSFT</t>
        </is>
      </c>
      <c r="E3959" s="6" t="inlineStr">
        <is>
          <t>MSFT</t>
        </is>
      </c>
      <c r="F3959" s="6" t="inlineStr">
        <is>
          <t>-</t>
        </is>
      </c>
      <c r="G3959" s="7" t="n">
        <v>471.1962890625</v>
      </c>
      <c r="H3959" s="6">
        <f>P3928</f>
        <v/>
      </c>
      <c r="I3959" s="9">
        <f>Q3928</f>
        <v/>
      </c>
      <c r="J3959" s="7">
        <f>I3959*G3959</f>
        <v/>
      </c>
      <c r="K3959" s="8">
        <f>IF($J$3969=0,0,J3959/$J$3969)</f>
        <v/>
      </c>
      <c r="L3959" s="6" t="inlineStr">
        <is>
          <t>REJECTED</t>
        </is>
      </c>
      <c r="M3959" s="8" t="n">
        <v>0</v>
      </c>
      <c r="N3959" s="7">
        <f>M3959*$J$3969-J3959</f>
        <v/>
      </c>
      <c r="O3959" s="9">
        <f>IF(G3959=0,0,N3959/G3959)</f>
        <v/>
      </c>
      <c r="P3959" s="6">
        <f>IF(M3959&gt;0,D3959,"")</f>
        <v/>
      </c>
      <c r="Q3959" s="9">
        <f>I3959+O3959</f>
        <v/>
      </c>
      <c r="R3959" s="7">
        <f>Q3959*G3959</f>
        <v/>
      </c>
      <c r="S3959" s="8">
        <f>IF($R$3969=0,0,R3959/$R$3969)</f>
        <v/>
      </c>
      <c r="T3959" s="8" t="n">
        <v>-0.0169908978338803</v>
      </c>
      <c r="U3959" s="8" t="n">
        <v>-0.01300251040793399</v>
      </c>
      <c r="V3959" s="6" t="inlineStr">
        <is>
          <t>not selected</t>
        </is>
      </c>
    </row>
    <row r="3960">
      <c r="A3960" s="6" t="inlineStr">
        <is>
          <t>DJ30</t>
        </is>
      </c>
      <c r="B3960" s="6" t="inlineStr">
        <is>
          <t>2025-06-13</t>
        </is>
      </c>
      <c r="C3960" s="6" t="inlineStr">
        <is>
          <t>DIA</t>
        </is>
      </c>
      <c r="D3960" s="6" t="inlineStr">
        <is>
          <t>NKE</t>
        </is>
      </c>
      <c r="E3960" s="6" t="inlineStr">
        <is>
          <t>NKE</t>
        </is>
      </c>
      <c r="F3960" s="6" t="inlineStr">
        <is>
          <t>-</t>
        </is>
      </c>
      <c r="G3960" s="7" t="n">
        <v>58.91336059570312</v>
      </c>
      <c r="H3960" s="6">
        <f>P3929</f>
        <v/>
      </c>
      <c r="I3960" s="9">
        <f>Q3929</f>
        <v/>
      </c>
      <c r="J3960" s="7">
        <f>I3960*G3960</f>
        <v/>
      </c>
      <c r="K3960" s="8">
        <f>IF($J$3969=0,0,J3960/$J$3969)</f>
        <v/>
      </c>
      <c r="L3960" s="6" t="inlineStr">
        <is>
          <t>REJECTED</t>
        </is>
      </c>
      <c r="M3960" s="8" t="n">
        <v>0</v>
      </c>
      <c r="N3960" s="7">
        <f>M3960*$J$3969-J3960</f>
        <v/>
      </c>
      <c r="O3960" s="9">
        <f>IF(G3960=0,0,N3960/G3960)</f>
        <v/>
      </c>
      <c r="P3960" s="6">
        <f>IF(M3960&gt;0,D3960,"")</f>
        <v/>
      </c>
      <c r="Q3960" s="9">
        <f>I3960+O3960</f>
        <v/>
      </c>
      <c r="R3960" s="7">
        <f>Q3960*G3960</f>
        <v/>
      </c>
      <c r="S3960" s="8">
        <f>IF($R$3969=0,0,R3960/$R$3969)</f>
        <v/>
      </c>
      <c r="T3960" s="8" t="n">
        <v>-0.0169908978338803</v>
      </c>
      <c r="U3960" s="8" t="n">
        <v>-0.01300251040793399</v>
      </c>
      <c r="V3960" s="6" t="inlineStr">
        <is>
          <t>not selected</t>
        </is>
      </c>
    </row>
    <row r="3961">
      <c r="A3961" s="6" t="inlineStr">
        <is>
          <t>DJ30</t>
        </is>
      </c>
      <c r="B3961" s="6" t="inlineStr">
        <is>
          <t>2025-06-13</t>
        </is>
      </c>
      <c r="C3961" s="6" t="inlineStr">
        <is>
          <t>DIA</t>
        </is>
      </c>
      <c r="D3961" s="6" t="inlineStr">
        <is>
          <t>NVDA</t>
        </is>
      </c>
      <c r="E3961" s="6" t="inlineStr">
        <is>
          <t>NVDA</t>
        </is>
      </c>
      <c r="F3961" s="6" t="inlineStr">
        <is>
          <t>-</t>
        </is>
      </c>
      <c r="G3961" s="7" t="n">
        <v>141.7811737060547</v>
      </c>
      <c r="H3961" s="6">
        <f>P3930</f>
        <v/>
      </c>
      <c r="I3961" s="9">
        <f>Q3930</f>
        <v/>
      </c>
      <c r="J3961" s="7">
        <f>I3961*G3961</f>
        <v/>
      </c>
      <c r="K3961" s="8">
        <f>IF($J$3969=0,0,J3961/$J$3969)</f>
        <v/>
      </c>
      <c r="L3961" s="6" t="inlineStr">
        <is>
          <t>REJECTED</t>
        </is>
      </c>
      <c r="M3961" s="8" t="n">
        <v>0</v>
      </c>
      <c r="N3961" s="7">
        <f>M3961*$J$3969-J3961</f>
        <v/>
      </c>
      <c r="O3961" s="9">
        <f>IF(G3961=0,0,N3961/G3961)</f>
        <v/>
      </c>
      <c r="P3961" s="6">
        <f>IF(M3961&gt;0,D3961,"")</f>
        <v/>
      </c>
      <c r="Q3961" s="9">
        <f>I3961+O3961</f>
        <v/>
      </c>
      <c r="R3961" s="7">
        <f>Q3961*G3961</f>
        <v/>
      </c>
      <c r="S3961" s="8">
        <f>IF($R$3969=0,0,R3961/$R$3969)</f>
        <v/>
      </c>
      <c r="T3961" s="8" t="n">
        <v>-0.0169908978338803</v>
      </c>
      <c r="U3961" s="8" t="n">
        <v>-0.01300251040793399</v>
      </c>
      <c r="V3961" s="6" t="inlineStr">
        <is>
          <t>not selected</t>
        </is>
      </c>
    </row>
    <row r="3962">
      <c r="A3962" s="6" t="inlineStr">
        <is>
          <t>DJ30</t>
        </is>
      </c>
      <c r="B3962" s="6" t="inlineStr">
        <is>
          <t>2025-06-13</t>
        </is>
      </c>
      <c r="C3962" s="6" t="inlineStr">
        <is>
          <t>DIA</t>
        </is>
      </c>
      <c r="D3962" s="6" t="inlineStr">
        <is>
          <t>PG</t>
        </is>
      </c>
      <c r="E3962" s="6" t="inlineStr">
        <is>
          <t>PG</t>
        </is>
      </c>
      <c r="F3962" s="6" t="inlineStr">
        <is>
          <t>-</t>
        </is>
      </c>
      <c r="G3962" s="7" t="n">
        <v>155.7982025146484</v>
      </c>
      <c r="H3962" s="6">
        <f>P3931</f>
        <v/>
      </c>
      <c r="I3962" s="9">
        <f>Q3931</f>
        <v/>
      </c>
      <c r="J3962" s="7">
        <f>I3962*G3962</f>
        <v/>
      </c>
      <c r="K3962" s="8">
        <f>IF($J$3969=0,0,J3962/$J$3969)</f>
        <v/>
      </c>
      <c r="L3962" s="6" t="inlineStr">
        <is>
          <t>REJECTED</t>
        </is>
      </c>
      <c r="M3962" s="8" t="n">
        <v>0</v>
      </c>
      <c r="N3962" s="7">
        <f>M3962*$J$3969-J3962</f>
        <v/>
      </c>
      <c r="O3962" s="9">
        <f>IF(G3962=0,0,N3962/G3962)</f>
        <v/>
      </c>
      <c r="P3962" s="6">
        <f>IF(M3962&gt;0,D3962,"")</f>
        <v/>
      </c>
      <c r="Q3962" s="9">
        <f>I3962+O3962</f>
        <v/>
      </c>
      <c r="R3962" s="7">
        <f>Q3962*G3962</f>
        <v/>
      </c>
      <c r="S3962" s="8">
        <f>IF($R$3969=0,0,R3962/$R$3969)</f>
        <v/>
      </c>
      <c r="T3962" s="8" t="n">
        <v>-0.0169908978338803</v>
      </c>
      <c r="U3962" s="8" t="n">
        <v>-0.01300251040793399</v>
      </c>
      <c r="V3962" s="6" t="inlineStr">
        <is>
          <t>not selected</t>
        </is>
      </c>
    </row>
    <row r="3963">
      <c r="A3963" s="6" t="inlineStr">
        <is>
          <t>DJ30</t>
        </is>
      </c>
      <c r="B3963" s="6" t="inlineStr">
        <is>
          <t>2025-06-13</t>
        </is>
      </c>
      <c r="C3963" s="6" t="inlineStr">
        <is>
          <t>DIA</t>
        </is>
      </c>
      <c r="D3963" s="6" t="inlineStr">
        <is>
          <t>SHW</t>
        </is>
      </c>
      <c r="E3963" s="6" t="inlineStr">
        <is>
          <t>SHW</t>
        </is>
      </c>
      <c r="F3963" s="6" t="inlineStr">
        <is>
          <t>-</t>
        </is>
      </c>
      <c r="G3963" s="7" t="n">
        <v>332.772216796875</v>
      </c>
      <c r="H3963" s="6">
        <f>P3932</f>
        <v/>
      </c>
      <c r="I3963" s="9">
        <f>Q3932</f>
        <v/>
      </c>
      <c r="J3963" s="7">
        <f>I3963*G3963</f>
        <v/>
      </c>
      <c r="K3963" s="8">
        <f>IF($J$3969=0,0,J3963/$J$3969)</f>
        <v/>
      </c>
      <c r="L3963" s="6" t="inlineStr">
        <is>
          <t>REJECTED</t>
        </is>
      </c>
      <c r="M3963" s="8" t="n">
        <v>0</v>
      </c>
      <c r="N3963" s="7">
        <f>M3963*$J$3969-J3963</f>
        <v/>
      </c>
      <c r="O3963" s="9">
        <f>IF(G3963=0,0,N3963/G3963)</f>
        <v/>
      </c>
      <c r="P3963" s="6">
        <f>IF(M3963&gt;0,D3963,"")</f>
        <v/>
      </c>
      <c r="Q3963" s="9">
        <f>I3963+O3963</f>
        <v/>
      </c>
      <c r="R3963" s="7">
        <f>Q3963*G3963</f>
        <v/>
      </c>
      <c r="S3963" s="8">
        <f>IF($R$3969=0,0,R3963/$R$3969)</f>
        <v/>
      </c>
      <c r="T3963" s="8" t="n">
        <v>-0.0169908978338803</v>
      </c>
      <c r="U3963" s="8" t="n">
        <v>-0.01300251040793399</v>
      </c>
      <c r="V3963" s="6" t="inlineStr">
        <is>
          <t>not selected</t>
        </is>
      </c>
    </row>
    <row r="3964">
      <c r="A3964" s="6" t="inlineStr">
        <is>
          <t>DJ30</t>
        </is>
      </c>
      <c r="B3964" s="6" t="inlineStr">
        <is>
          <t>2025-06-13</t>
        </is>
      </c>
      <c r="C3964" s="6" t="inlineStr">
        <is>
          <t>DIA</t>
        </is>
      </c>
      <c r="D3964" s="6" t="inlineStr">
        <is>
          <t>TRV</t>
        </is>
      </c>
      <c r="E3964" s="6" t="inlineStr">
        <is>
          <t>TRV</t>
        </is>
      </c>
      <c r="F3964" s="6" t="inlineStr">
        <is>
          <t>-</t>
        </is>
      </c>
      <c r="G3964" s="7" t="n">
        <v>259.343994140625</v>
      </c>
      <c r="H3964" s="6">
        <f>P3933</f>
        <v/>
      </c>
      <c r="I3964" s="9">
        <f>Q3933</f>
        <v/>
      </c>
      <c r="J3964" s="7">
        <f>I3964*G3964</f>
        <v/>
      </c>
      <c r="K3964" s="8">
        <f>IF($J$3969=0,0,J3964/$J$3969)</f>
        <v/>
      </c>
      <c r="L3964" s="6" t="inlineStr">
        <is>
          <t>WATCHLIST</t>
        </is>
      </c>
      <c r="M3964" s="8" t="n">
        <v>0</v>
      </c>
      <c r="N3964" s="7">
        <f>M3964*$J$3969-J3964</f>
        <v/>
      </c>
      <c r="O3964" s="9">
        <f>IF(G3964=0,0,N3964/G3964)</f>
        <v/>
      </c>
      <c r="P3964" s="6">
        <f>IF(M3964&gt;0,D3964,"")</f>
        <v/>
      </c>
      <c r="Q3964" s="9">
        <f>I3964+O3964</f>
        <v/>
      </c>
      <c r="R3964" s="7">
        <f>Q3964*G3964</f>
        <v/>
      </c>
      <c r="S3964" s="8">
        <f>IF($R$3969=0,0,R3964/$R$3969)</f>
        <v/>
      </c>
      <c r="T3964" s="8" t="n">
        <v>-0.0169908978338803</v>
      </c>
      <c r="U3964" s="8" t="n">
        <v>-0.01300251040793399</v>
      </c>
      <c r="V3964" s="6" t="inlineStr">
        <is>
          <t>removed from weekly selection</t>
        </is>
      </c>
    </row>
    <row r="3965">
      <c r="A3965" s="6" t="inlineStr">
        <is>
          <t>DJ30</t>
        </is>
      </c>
      <c r="B3965" s="6" t="inlineStr">
        <is>
          <t>2025-06-13</t>
        </is>
      </c>
      <c r="C3965" s="6" t="inlineStr">
        <is>
          <t>DIA</t>
        </is>
      </c>
      <c r="D3965" s="6" t="inlineStr">
        <is>
          <t>UNH</t>
        </is>
      </c>
      <c r="E3965" s="6" t="inlineStr">
        <is>
          <t>UNH</t>
        </is>
      </c>
      <c r="F3965" s="6" t="inlineStr">
        <is>
          <t>-</t>
        </is>
      </c>
      <c r="G3965" s="7" t="n">
        <v>303.1997375488281</v>
      </c>
      <c r="H3965" s="6">
        <f>P3934</f>
        <v/>
      </c>
      <c r="I3965" s="9">
        <f>Q3934</f>
        <v/>
      </c>
      <c r="J3965" s="7">
        <f>I3965*G3965</f>
        <v/>
      </c>
      <c r="K3965" s="8">
        <f>IF($J$3969=0,0,J3965/$J$3969)</f>
        <v/>
      </c>
      <c r="L3965" s="6" t="inlineStr">
        <is>
          <t>REJECTED</t>
        </is>
      </c>
      <c r="M3965" s="8" t="n">
        <v>0</v>
      </c>
      <c r="N3965" s="7">
        <f>M3965*$J$3969-J3965</f>
        <v/>
      </c>
      <c r="O3965" s="9">
        <f>IF(G3965=0,0,N3965/G3965)</f>
        <v/>
      </c>
      <c r="P3965" s="6">
        <f>IF(M3965&gt;0,D3965,"")</f>
        <v/>
      </c>
      <c r="Q3965" s="9">
        <f>I3965+O3965</f>
        <v/>
      </c>
      <c r="R3965" s="7">
        <f>Q3965*G3965</f>
        <v/>
      </c>
      <c r="S3965" s="8">
        <f>IF($R$3969=0,0,R3965/$R$3969)</f>
        <v/>
      </c>
      <c r="T3965" s="8" t="n">
        <v>-0.0169908978338803</v>
      </c>
      <c r="U3965" s="8" t="n">
        <v>-0.01300251040793399</v>
      </c>
      <c r="V3965" s="6" t="inlineStr">
        <is>
          <t>not selected</t>
        </is>
      </c>
    </row>
    <row r="3966">
      <c r="A3966" s="6" t="inlineStr">
        <is>
          <t>DJ30</t>
        </is>
      </c>
      <c r="B3966" s="6" t="inlineStr">
        <is>
          <t>2025-06-13</t>
        </is>
      </c>
      <c r="C3966" s="6" t="inlineStr">
        <is>
          <t>DIA</t>
        </is>
      </c>
      <c r="D3966" s="6" t="inlineStr">
        <is>
          <t>V</t>
        </is>
      </c>
      <c r="E3966" s="6" t="inlineStr">
        <is>
          <t>V</t>
        </is>
      </c>
      <c r="F3966" s="6" t="inlineStr">
        <is>
          <t>-</t>
        </is>
      </c>
      <c r="G3966" s="7" t="n">
        <v>350.0847473144531</v>
      </c>
      <c r="H3966" s="6">
        <f>P3935</f>
        <v/>
      </c>
      <c r="I3966" s="9">
        <f>Q3935</f>
        <v/>
      </c>
      <c r="J3966" s="7">
        <f>I3966*G3966</f>
        <v/>
      </c>
      <c r="K3966" s="8">
        <f>IF($J$3969=0,0,J3966/$J$3969)</f>
        <v/>
      </c>
      <c r="L3966" s="6" t="inlineStr">
        <is>
          <t>SELECTED</t>
        </is>
      </c>
      <c r="M3966" s="8" t="n">
        <v>0.2</v>
      </c>
      <c r="N3966" s="7">
        <f>M3966*$J$3969-J3966</f>
        <v/>
      </c>
      <c r="O3966" s="9">
        <f>IF(G3966=0,0,N3966/G3966)</f>
        <v/>
      </c>
      <c r="P3966" s="6">
        <f>IF(M3966&gt;0,D3966,"")</f>
        <v/>
      </c>
      <c r="Q3966" s="9">
        <f>I3966+O3966</f>
        <v/>
      </c>
      <c r="R3966" s="7">
        <f>Q3966*G3966</f>
        <v/>
      </c>
      <c r="S3966" s="8">
        <f>IF($R$3969=0,0,R3966/$R$3969)</f>
        <v/>
      </c>
      <c r="T3966" s="8" t="n">
        <v>-0.0169908978338803</v>
      </c>
      <c r="U3966" s="8" t="n">
        <v>-0.01300251040793399</v>
      </c>
      <c r="V3966" s="6" t="inlineStr">
        <is>
          <t>entered weekly selection</t>
        </is>
      </c>
    </row>
    <row r="3967">
      <c r="A3967" s="6" t="inlineStr">
        <is>
          <t>DJ30</t>
        </is>
      </c>
      <c r="B3967" s="6" t="inlineStr">
        <is>
          <t>2025-06-13</t>
        </is>
      </c>
      <c r="C3967" s="6" t="inlineStr">
        <is>
          <t>DIA</t>
        </is>
      </c>
      <c r="D3967" s="6" t="inlineStr">
        <is>
          <t>VZ</t>
        </is>
      </c>
      <c r="E3967" s="6" t="inlineStr">
        <is>
          <t>VZ</t>
        </is>
      </c>
      <c r="F3967" s="6" t="inlineStr">
        <is>
          <t>-</t>
        </is>
      </c>
      <c r="G3967" s="7" t="n">
        <v>40.29467010498047</v>
      </c>
      <c r="H3967" s="6">
        <f>P3936</f>
        <v/>
      </c>
      <c r="I3967" s="9">
        <f>Q3936</f>
        <v/>
      </c>
      <c r="J3967" s="7">
        <f>I3967*G3967</f>
        <v/>
      </c>
      <c r="K3967" s="8">
        <f>IF($J$3969=0,0,J3967/$J$3969)</f>
        <v/>
      </c>
      <c r="L3967" s="6" t="inlineStr">
        <is>
          <t>WATCHLIST</t>
        </is>
      </c>
      <c r="M3967" s="8" t="n">
        <v>0</v>
      </c>
      <c r="N3967" s="7">
        <f>M3967*$J$3969-J3967</f>
        <v/>
      </c>
      <c r="O3967" s="9">
        <f>IF(G3967=0,0,N3967/G3967)</f>
        <v/>
      </c>
      <c r="P3967" s="6">
        <f>IF(M3967&gt;0,D3967,"")</f>
        <v/>
      </c>
      <c r="Q3967" s="9">
        <f>I3967+O3967</f>
        <v/>
      </c>
      <c r="R3967" s="7">
        <f>Q3967*G3967</f>
        <v/>
      </c>
      <c r="S3967" s="8">
        <f>IF($R$3969=0,0,R3967/$R$3969)</f>
        <v/>
      </c>
      <c r="T3967" s="8" t="n">
        <v>-0.0169908978338803</v>
      </c>
      <c r="U3967" s="8" t="n">
        <v>-0.01300251040793399</v>
      </c>
      <c r="V3967" s="6" t="inlineStr">
        <is>
          <t>not selected</t>
        </is>
      </c>
    </row>
    <row r="3968">
      <c r="A3968" s="6" t="inlineStr">
        <is>
          <t>DJ30</t>
        </is>
      </c>
      <c r="B3968" s="6" t="inlineStr">
        <is>
          <t>2025-06-13</t>
        </is>
      </c>
      <c r="C3968" s="6" t="inlineStr">
        <is>
          <t>DIA</t>
        </is>
      </c>
      <c r="D3968" s="6" t="inlineStr">
        <is>
          <t>WMT</t>
        </is>
      </c>
      <c r="E3968" s="6" t="inlineStr">
        <is>
          <t>WMT</t>
        </is>
      </c>
      <c r="F3968" s="6" t="inlineStr">
        <is>
          <t>-</t>
        </is>
      </c>
      <c r="G3968" s="7" t="n">
        <v>93.65695953369141</v>
      </c>
      <c r="H3968" s="6">
        <f>P3937</f>
        <v/>
      </c>
      <c r="I3968" s="9">
        <f>Q3937</f>
        <v/>
      </c>
      <c r="J3968" s="7">
        <f>I3968*G3968</f>
        <v/>
      </c>
      <c r="K3968" s="8">
        <f>IF($J$3969=0,0,J3968/$J$3969)</f>
        <v/>
      </c>
      <c r="L3968" s="6" t="inlineStr">
        <is>
          <t>WATCHLIST</t>
        </is>
      </c>
      <c r="M3968" s="8" t="n">
        <v>0</v>
      </c>
      <c r="N3968" s="7">
        <f>M3968*$J$3969-J3968</f>
        <v/>
      </c>
      <c r="O3968" s="9">
        <f>IF(G3968=0,0,N3968/G3968)</f>
        <v/>
      </c>
      <c r="P3968" s="6">
        <f>IF(M3968&gt;0,D3968,"")</f>
        <v/>
      </c>
      <c r="Q3968" s="9">
        <f>I3968+O3968</f>
        <v/>
      </c>
      <c r="R3968" s="7">
        <f>Q3968*G3968</f>
        <v/>
      </c>
      <c r="S3968" s="8">
        <f>IF($R$3969=0,0,R3968/$R$3969)</f>
        <v/>
      </c>
      <c r="T3968" s="8" t="n">
        <v>-0.0169908978338803</v>
      </c>
      <c r="U3968" s="8" t="n">
        <v>-0.01300251040793399</v>
      </c>
      <c r="V3968" s="6" t="inlineStr">
        <is>
          <t>removed from weekly selection</t>
        </is>
      </c>
    </row>
    <row r="3969">
      <c r="A3969" s="10" t="inlineStr">
        <is>
          <t>DJ30</t>
        </is>
      </c>
      <c r="B3969" s="10" t="inlineStr">
        <is>
          <t>2025-06-13</t>
        </is>
      </c>
      <c r="C3969" s="10" t="inlineStr">
        <is>
          <t>DIA</t>
        </is>
      </c>
      <c r="D3969" s="10" t="inlineStr">
        <is>
          <t>Tot Portfolio</t>
        </is>
      </c>
      <c r="E3969" s="10" t="inlineStr"/>
      <c r="F3969" s="10" t="inlineStr"/>
      <c r="G3969" s="11" t="inlineStr"/>
      <c r="H3969" s="10" t="inlineStr"/>
      <c r="I3969" s="12" t="inlineStr"/>
      <c r="J3969" s="11">
        <f>SUM(J3939:J3968)</f>
        <v/>
      </c>
      <c r="K3969" s="13">
        <f>SUM(K3939:K3968)</f>
        <v/>
      </c>
      <c r="L3969" s="10" t="inlineStr">
        <is>
          <t>TOTAL</t>
        </is>
      </c>
      <c r="M3969" s="13">
        <f>SUM(M3939:M3968)</f>
        <v/>
      </c>
      <c r="N3969" s="11">
        <f>SUM(N3939:N3968)</f>
        <v/>
      </c>
      <c r="O3969" s="12">
        <f>SUM(O3939:O3968)</f>
        <v/>
      </c>
      <c r="P3969" s="10" t="inlineStr"/>
      <c r="Q3969" s="12" t="inlineStr"/>
      <c r="R3969" s="11">
        <f>SUM(R3939:R3968)</f>
        <v/>
      </c>
      <c r="S3969" s="13">
        <f>SUM(S3939:S3968)</f>
        <v/>
      </c>
      <c r="T3969" s="13" t="n">
        <v>-0.0169908978338803</v>
      </c>
      <c r="U3969" s="13" t="n">
        <v>-0.01300251040793399</v>
      </c>
      <c r="V3969" s="10" t="inlineStr"/>
    </row>
    <row r="3970">
      <c r="A3970" s="6" t="inlineStr">
        <is>
          <t>DJ30</t>
        </is>
      </c>
      <c r="B3970" s="6" t="inlineStr">
        <is>
          <t>2025-06-20</t>
        </is>
      </c>
      <c r="C3970" s="6" t="inlineStr">
        <is>
          <t>DIA</t>
        </is>
      </c>
      <c r="D3970" s="6" t="inlineStr">
        <is>
          <t>AAPL</t>
        </is>
      </c>
      <c r="E3970" s="6" t="inlineStr">
        <is>
          <t>AAPL</t>
        </is>
      </c>
      <c r="F3970" s="6" t="inlineStr">
        <is>
          <t>-</t>
        </is>
      </c>
      <c r="G3970" s="7" t="n">
        <v>200.2057495117188</v>
      </c>
      <c r="H3970" s="6">
        <f>P3939</f>
        <v/>
      </c>
      <c r="I3970" s="9">
        <f>Q3939</f>
        <v/>
      </c>
      <c r="J3970" s="7">
        <f>I3970*G3970</f>
        <v/>
      </c>
      <c r="K3970" s="8">
        <f>IF($J$4000=0,0,J3970/$J$4000)</f>
        <v/>
      </c>
      <c r="L3970" s="6" t="inlineStr">
        <is>
          <t>REJECTED</t>
        </is>
      </c>
      <c r="M3970" s="8" t="n">
        <v>0</v>
      </c>
      <c r="N3970" s="7">
        <f>M3970*$J$4000-J3970</f>
        <v/>
      </c>
      <c r="O3970" s="9">
        <f>IF(G3970=0,0,N3970/G3970)</f>
        <v/>
      </c>
      <c r="P3970" s="6">
        <f>IF(M3970&gt;0,D3970,"")</f>
        <v/>
      </c>
      <c r="Q3970" s="9">
        <f>I3970+O3970</f>
        <v/>
      </c>
      <c r="R3970" s="7">
        <f>Q3970*G3970</f>
        <v/>
      </c>
      <c r="S3970" s="8">
        <f>IF($R$4000=0,0,R3970/$R$4000)</f>
        <v/>
      </c>
      <c r="T3970" s="8" t="n">
        <v>-0.01496104324724401</v>
      </c>
      <c r="U3970" s="8" t="n">
        <v>0.0003531610300397947</v>
      </c>
      <c r="V3970" s="6" t="inlineStr">
        <is>
          <t>not selected</t>
        </is>
      </c>
    </row>
    <row r="3971">
      <c r="A3971" s="6" t="inlineStr">
        <is>
          <t>DJ30</t>
        </is>
      </c>
      <c r="B3971" s="6" t="inlineStr">
        <is>
          <t>2025-06-20</t>
        </is>
      </c>
      <c r="C3971" s="6" t="inlineStr">
        <is>
          <t>DIA</t>
        </is>
      </c>
      <c r="D3971" s="6" t="inlineStr">
        <is>
          <t>AMGN</t>
        </is>
      </c>
      <c r="E3971" s="6" t="inlineStr">
        <is>
          <t>AMGN</t>
        </is>
      </c>
      <c r="F3971" s="6" t="inlineStr">
        <is>
          <t>-</t>
        </is>
      </c>
      <c r="G3971" s="7" t="n">
        <v>280.8871154785156</v>
      </c>
      <c r="H3971" s="6">
        <f>P3940</f>
        <v/>
      </c>
      <c r="I3971" s="9">
        <f>Q3940</f>
        <v/>
      </c>
      <c r="J3971" s="7">
        <f>I3971*G3971</f>
        <v/>
      </c>
      <c r="K3971" s="8">
        <f>IF($J$4000=0,0,J3971/$J$4000)</f>
        <v/>
      </c>
      <c r="L3971" s="6" t="inlineStr">
        <is>
          <t>REJECTED</t>
        </is>
      </c>
      <c r="M3971" s="8" t="n">
        <v>0</v>
      </c>
      <c r="N3971" s="7">
        <f>M3971*$J$4000-J3971</f>
        <v/>
      </c>
      <c r="O3971" s="9">
        <f>IF(G3971=0,0,N3971/G3971)</f>
        <v/>
      </c>
      <c r="P3971" s="6">
        <f>IF(M3971&gt;0,D3971,"")</f>
        <v/>
      </c>
      <c r="Q3971" s="9">
        <f>I3971+O3971</f>
        <v/>
      </c>
      <c r="R3971" s="7">
        <f>Q3971*G3971</f>
        <v/>
      </c>
      <c r="S3971" s="8">
        <f>IF($R$4000=0,0,R3971/$R$4000)</f>
        <v/>
      </c>
      <c r="T3971" s="8" t="n">
        <v>-0.01496104324724401</v>
      </c>
      <c r="U3971" s="8" t="n">
        <v>0.0003531610300397947</v>
      </c>
      <c r="V3971" s="6" t="inlineStr">
        <is>
          <t>not selected</t>
        </is>
      </c>
    </row>
    <row r="3972">
      <c r="A3972" s="6" t="inlineStr">
        <is>
          <t>DJ30</t>
        </is>
      </c>
      <c r="B3972" s="6" t="inlineStr">
        <is>
          <t>2025-06-20</t>
        </is>
      </c>
      <c r="C3972" s="6" t="inlineStr">
        <is>
          <t>DIA</t>
        </is>
      </c>
      <c r="D3972" s="6" t="inlineStr">
        <is>
          <t>AMZN</t>
        </is>
      </c>
      <c r="E3972" s="6" t="inlineStr">
        <is>
          <t>AMZN</t>
        </is>
      </c>
      <c r="F3972" s="6" t="inlineStr">
        <is>
          <t>-</t>
        </is>
      </c>
      <c r="G3972" s="7" t="n">
        <v>209.6900024414062</v>
      </c>
      <c r="H3972" s="6">
        <f>P3941</f>
        <v/>
      </c>
      <c r="I3972" s="9">
        <f>Q3941</f>
        <v/>
      </c>
      <c r="J3972" s="7">
        <f>I3972*G3972</f>
        <v/>
      </c>
      <c r="K3972" s="8">
        <f>IF($J$4000=0,0,J3972/$J$4000)</f>
        <v/>
      </c>
      <c r="L3972" s="6" t="inlineStr">
        <is>
          <t>REJECTED</t>
        </is>
      </c>
      <c r="M3972" s="8" t="n">
        <v>0</v>
      </c>
      <c r="N3972" s="7">
        <f>M3972*$J$4000-J3972</f>
        <v/>
      </c>
      <c r="O3972" s="9">
        <f>IF(G3972=0,0,N3972/G3972)</f>
        <v/>
      </c>
      <c r="P3972" s="6">
        <f>IF(M3972&gt;0,D3972,"")</f>
        <v/>
      </c>
      <c r="Q3972" s="9">
        <f>I3972+O3972</f>
        <v/>
      </c>
      <c r="R3972" s="7">
        <f>Q3972*G3972</f>
        <v/>
      </c>
      <c r="S3972" s="8">
        <f>IF($R$4000=0,0,R3972/$R$4000)</f>
        <v/>
      </c>
      <c r="T3972" s="8" t="n">
        <v>-0.01496104324724401</v>
      </c>
      <c r="U3972" s="8" t="n">
        <v>0.0003531610300397947</v>
      </c>
      <c r="V3972" s="6" t="inlineStr">
        <is>
          <t>not selected</t>
        </is>
      </c>
    </row>
    <row r="3973">
      <c r="A3973" s="6" t="inlineStr">
        <is>
          <t>DJ30</t>
        </is>
      </c>
      <c r="B3973" s="6" t="inlineStr">
        <is>
          <t>2025-06-20</t>
        </is>
      </c>
      <c r="C3973" s="6" t="inlineStr">
        <is>
          <t>DIA</t>
        </is>
      </c>
      <c r="D3973" s="6" t="inlineStr">
        <is>
          <t>AXP</t>
        </is>
      </c>
      <c r="E3973" s="6" t="inlineStr">
        <is>
          <t>AXP</t>
        </is>
      </c>
      <c r="F3973" s="6" t="inlineStr">
        <is>
          <t>-</t>
        </is>
      </c>
      <c r="G3973" s="7" t="n">
        <v>295.4926147460937</v>
      </c>
      <c r="H3973" s="6">
        <f>P3942</f>
        <v/>
      </c>
      <c r="I3973" s="9">
        <f>Q3942</f>
        <v/>
      </c>
      <c r="J3973" s="7">
        <f>I3973*G3973</f>
        <v/>
      </c>
      <c r="K3973" s="8">
        <f>IF($J$4000=0,0,J3973/$J$4000)</f>
        <v/>
      </c>
      <c r="L3973" s="6" t="inlineStr">
        <is>
          <t>REJECTED</t>
        </is>
      </c>
      <c r="M3973" s="8" t="n">
        <v>0</v>
      </c>
      <c r="N3973" s="7">
        <f>M3973*$J$4000-J3973</f>
        <v/>
      </c>
      <c r="O3973" s="9">
        <f>IF(G3973=0,0,N3973/G3973)</f>
        <v/>
      </c>
      <c r="P3973" s="6">
        <f>IF(M3973&gt;0,D3973,"")</f>
        <v/>
      </c>
      <c r="Q3973" s="9">
        <f>I3973+O3973</f>
        <v/>
      </c>
      <c r="R3973" s="7">
        <f>Q3973*G3973</f>
        <v/>
      </c>
      <c r="S3973" s="8">
        <f>IF($R$4000=0,0,R3973/$R$4000)</f>
        <v/>
      </c>
      <c r="T3973" s="8" t="n">
        <v>-0.01496104324724401</v>
      </c>
      <c r="U3973" s="8" t="n">
        <v>0.0003531610300397947</v>
      </c>
      <c r="V3973" s="6" t="inlineStr">
        <is>
          <t>not selected</t>
        </is>
      </c>
    </row>
    <row r="3974">
      <c r="A3974" s="6" t="inlineStr">
        <is>
          <t>DJ30</t>
        </is>
      </c>
      <c r="B3974" s="6" t="inlineStr">
        <is>
          <t>2025-06-20</t>
        </is>
      </c>
      <c r="C3974" s="6" t="inlineStr">
        <is>
          <t>DIA</t>
        </is>
      </c>
      <c r="D3974" s="6" t="inlineStr">
        <is>
          <t>BA</t>
        </is>
      </c>
      <c r="E3974" s="6" t="inlineStr">
        <is>
          <t>BA</t>
        </is>
      </c>
      <c r="F3974" s="6" t="inlineStr">
        <is>
          <t>-</t>
        </is>
      </c>
      <c r="G3974" s="7" t="n">
        <v>198.75</v>
      </c>
      <c r="H3974" s="6">
        <f>P3943</f>
        <v/>
      </c>
      <c r="I3974" s="9">
        <f>Q3943</f>
        <v/>
      </c>
      <c r="J3974" s="7">
        <f>I3974*G3974</f>
        <v/>
      </c>
      <c r="K3974" s="8">
        <f>IF($J$4000=0,0,J3974/$J$4000)</f>
        <v/>
      </c>
      <c r="L3974" s="6" t="inlineStr">
        <is>
          <t>REJECTED</t>
        </is>
      </c>
      <c r="M3974" s="8" t="n">
        <v>0</v>
      </c>
      <c r="N3974" s="7">
        <f>M3974*$J$4000-J3974</f>
        <v/>
      </c>
      <c r="O3974" s="9">
        <f>IF(G3974=0,0,N3974/G3974)</f>
        <v/>
      </c>
      <c r="P3974" s="6">
        <f>IF(M3974&gt;0,D3974,"")</f>
        <v/>
      </c>
      <c r="Q3974" s="9">
        <f>I3974+O3974</f>
        <v/>
      </c>
      <c r="R3974" s="7">
        <f>Q3974*G3974</f>
        <v/>
      </c>
      <c r="S3974" s="8">
        <f>IF($R$4000=0,0,R3974/$R$4000)</f>
        <v/>
      </c>
      <c r="T3974" s="8" t="n">
        <v>-0.01496104324724401</v>
      </c>
      <c r="U3974" s="8" t="n">
        <v>0.0003531610300397947</v>
      </c>
      <c r="V3974" s="6" t="inlineStr">
        <is>
          <t>not selected</t>
        </is>
      </c>
    </row>
    <row r="3975">
      <c r="A3975" s="6" t="inlineStr">
        <is>
          <t>DJ30</t>
        </is>
      </c>
      <c r="B3975" s="6" t="inlineStr">
        <is>
          <t>2025-06-20</t>
        </is>
      </c>
      <c r="C3975" s="6" t="inlineStr">
        <is>
          <t>DIA</t>
        </is>
      </c>
      <c r="D3975" s="6" t="inlineStr">
        <is>
          <t>CAT</t>
        </is>
      </c>
      <c r="E3975" s="6" t="inlineStr">
        <is>
          <t>CAT</t>
        </is>
      </c>
      <c r="F3975" s="6" t="inlineStr">
        <is>
          <t>-</t>
        </is>
      </c>
      <c r="G3975" s="7" t="n">
        <v>356.6599731445312</v>
      </c>
      <c r="H3975" s="6">
        <f>P3944</f>
        <v/>
      </c>
      <c r="I3975" s="9">
        <f>Q3944</f>
        <v/>
      </c>
      <c r="J3975" s="7">
        <f>I3975*G3975</f>
        <v/>
      </c>
      <c r="K3975" s="8">
        <f>IF($J$4000=0,0,J3975/$J$4000)</f>
        <v/>
      </c>
      <c r="L3975" s="6" t="inlineStr">
        <is>
          <t>REJECTED</t>
        </is>
      </c>
      <c r="M3975" s="8" t="n">
        <v>0</v>
      </c>
      <c r="N3975" s="7">
        <f>M3975*$J$4000-J3975</f>
        <v/>
      </c>
      <c r="O3975" s="9">
        <f>IF(G3975=0,0,N3975/G3975)</f>
        <v/>
      </c>
      <c r="P3975" s="6">
        <f>IF(M3975&gt;0,D3975,"")</f>
        <v/>
      </c>
      <c r="Q3975" s="9">
        <f>I3975+O3975</f>
        <v/>
      </c>
      <c r="R3975" s="7">
        <f>Q3975*G3975</f>
        <v/>
      </c>
      <c r="S3975" s="8">
        <f>IF($R$4000=0,0,R3975/$R$4000)</f>
        <v/>
      </c>
      <c r="T3975" s="8" t="n">
        <v>-0.01496104324724401</v>
      </c>
      <c r="U3975" s="8" t="n">
        <v>0.0003531610300397947</v>
      </c>
      <c r="V3975" s="6" t="inlineStr">
        <is>
          <t>not selected</t>
        </is>
      </c>
    </row>
    <row r="3976">
      <c r="A3976" s="6" t="inlineStr">
        <is>
          <t>DJ30</t>
        </is>
      </c>
      <c r="B3976" s="6" t="inlineStr">
        <is>
          <t>2025-06-20</t>
        </is>
      </c>
      <c r="C3976" s="6" t="inlineStr">
        <is>
          <t>DIA</t>
        </is>
      </c>
      <c r="D3976" s="6" t="inlineStr">
        <is>
          <t>CRM</t>
        </is>
      </c>
      <c r="E3976" s="6" t="inlineStr">
        <is>
          <t>CRM</t>
        </is>
      </c>
      <c r="F3976" s="6" t="inlineStr">
        <is>
          <t>-</t>
        </is>
      </c>
      <c r="G3976" s="7" t="n">
        <v>258.4425964355469</v>
      </c>
      <c r="H3976" s="6">
        <f>P3945</f>
        <v/>
      </c>
      <c r="I3976" s="9">
        <f>Q3945</f>
        <v/>
      </c>
      <c r="J3976" s="7">
        <f>I3976*G3976</f>
        <v/>
      </c>
      <c r="K3976" s="8">
        <f>IF($J$4000=0,0,J3976/$J$4000)</f>
        <v/>
      </c>
      <c r="L3976" s="6" t="inlineStr">
        <is>
          <t>REJECTED</t>
        </is>
      </c>
      <c r="M3976" s="8" t="n">
        <v>0</v>
      </c>
      <c r="N3976" s="7">
        <f>M3976*$J$4000-J3976</f>
        <v/>
      </c>
      <c r="O3976" s="9">
        <f>IF(G3976=0,0,N3976/G3976)</f>
        <v/>
      </c>
      <c r="P3976" s="6">
        <f>IF(M3976&gt;0,D3976,"")</f>
        <v/>
      </c>
      <c r="Q3976" s="9">
        <f>I3976+O3976</f>
        <v/>
      </c>
      <c r="R3976" s="7">
        <f>Q3976*G3976</f>
        <v/>
      </c>
      <c r="S3976" s="8">
        <f>IF($R$4000=0,0,R3976/$R$4000)</f>
        <v/>
      </c>
      <c r="T3976" s="8" t="n">
        <v>-0.01496104324724401</v>
      </c>
      <c r="U3976" s="8" t="n">
        <v>0.0003531610300397947</v>
      </c>
      <c r="V3976" s="6" t="inlineStr">
        <is>
          <t>not selected</t>
        </is>
      </c>
    </row>
    <row r="3977">
      <c r="A3977" s="6" t="inlineStr">
        <is>
          <t>DJ30</t>
        </is>
      </c>
      <c r="B3977" s="6" t="inlineStr">
        <is>
          <t>2025-06-20</t>
        </is>
      </c>
      <c r="C3977" s="6" t="inlineStr">
        <is>
          <t>DIA</t>
        </is>
      </c>
      <c r="D3977" s="6" t="inlineStr">
        <is>
          <t>CSCO</t>
        </is>
      </c>
      <c r="E3977" s="6" t="inlineStr">
        <is>
          <t>CSCO</t>
        </is>
      </c>
      <c r="F3977" s="6" t="inlineStr">
        <is>
          <t>-</t>
        </is>
      </c>
      <c r="G3977" s="7" t="n">
        <v>64.82783508300781</v>
      </c>
      <c r="H3977" s="6">
        <f>P3946</f>
        <v/>
      </c>
      <c r="I3977" s="9">
        <f>Q3946</f>
        <v/>
      </c>
      <c r="J3977" s="7">
        <f>I3977*G3977</f>
        <v/>
      </c>
      <c r="K3977" s="8">
        <f>IF($J$4000=0,0,J3977/$J$4000)</f>
        <v/>
      </c>
      <c r="L3977" s="6" t="inlineStr">
        <is>
          <t>WATCHLIST</t>
        </is>
      </c>
      <c r="M3977" s="8" t="n">
        <v>0</v>
      </c>
      <c r="N3977" s="7">
        <f>M3977*$J$4000-J3977</f>
        <v/>
      </c>
      <c r="O3977" s="9">
        <f>IF(G3977=0,0,N3977/G3977)</f>
        <v/>
      </c>
      <c r="P3977" s="6">
        <f>IF(M3977&gt;0,D3977,"")</f>
        <v/>
      </c>
      <c r="Q3977" s="9">
        <f>I3977+O3977</f>
        <v/>
      </c>
      <c r="R3977" s="7">
        <f>Q3977*G3977</f>
        <v/>
      </c>
      <c r="S3977" s="8">
        <f>IF($R$4000=0,0,R3977/$R$4000)</f>
        <v/>
      </c>
      <c r="T3977" s="8" t="n">
        <v>-0.01496104324724401</v>
      </c>
      <c r="U3977" s="8" t="n">
        <v>0.0003531610300397947</v>
      </c>
      <c r="V3977" s="6" t="inlineStr">
        <is>
          <t>not selected</t>
        </is>
      </c>
    </row>
    <row r="3978">
      <c r="A3978" s="6" t="inlineStr">
        <is>
          <t>DJ30</t>
        </is>
      </c>
      <c r="B3978" s="6" t="inlineStr">
        <is>
          <t>2025-06-20</t>
        </is>
      </c>
      <c r="C3978" s="6" t="inlineStr">
        <is>
          <t>DIA</t>
        </is>
      </c>
      <c r="D3978" s="6" t="inlineStr">
        <is>
          <t>CVX</t>
        </is>
      </c>
      <c r="E3978" s="6" t="inlineStr">
        <is>
          <t>CVX</t>
        </is>
      </c>
      <c r="F3978" s="6" t="inlineStr">
        <is>
          <t>-</t>
        </is>
      </c>
      <c r="G3978" s="7" t="n">
        <v>143.5382232666016</v>
      </c>
      <c r="H3978" s="6">
        <f>P3947</f>
        <v/>
      </c>
      <c r="I3978" s="9">
        <f>Q3947</f>
        <v/>
      </c>
      <c r="J3978" s="7">
        <f>I3978*G3978</f>
        <v/>
      </c>
      <c r="K3978" s="8">
        <f>IF($J$4000=0,0,J3978/$J$4000)</f>
        <v/>
      </c>
      <c r="L3978" s="6" t="inlineStr">
        <is>
          <t>REJECTED</t>
        </is>
      </c>
      <c r="M3978" s="8" t="n">
        <v>0</v>
      </c>
      <c r="N3978" s="7">
        <f>M3978*$J$4000-J3978</f>
        <v/>
      </c>
      <c r="O3978" s="9">
        <f>IF(G3978=0,0,N3978/G3978)</f>
        <v/>
      </c>
      <c r="P3978" s="6">
        <f>IF(M3978&gt;0,D3978,"")</f>
        <v/>
      </c>
      <c r="Q3978" s="9">
        <f>I3978+O3978</f>
        <v/>
      </c>
      <c r="R3978" s="7">
        <f>Q3978*G3978</f>
        <v/>
      </c>
      <c r="S3978" s="8">
        <f>IF($R$4000=0,0,R3978/$R$4000)</f>
        <v/>
      </c>
      <c r="T3978" s="8" t="n">
        <v>-0.01496104324724401</v>
      </c>
      <c r="U3978" s="8" t="n">
        <v>0.0003531610300397947</v>
      </c>
      <c r="V3978" s="6" t="inlineStr">
        <is>
          <t>not selected</t>
        </is>
      </c>
    </row>
    <row r="3979">
      <c r="A3979" s="6" t="inlineStr">
        <is>
          <t>DJ30</t>
        </is>
      </c>
      <c r="B3979" s="6" t="inlineStr">
        <is>
          <t>2025-06-20</t>
        </is>
      </c>
      <c r="C3979" s="6" t="inlineStr">
        <is>
          <t>DIA</t>
        </is>
      </c>
      <c r="D3979" s="6" t="inlineStr">
        <is>
          <t>DIS</t>
        </is>
      </c>
      <c r="E3979" s="6" t="inlineStr">
        <is>
          <t>DIS</t>
        </is>
      </c>
      <c r="F3979" s="6" t="inlineStr">
        <is>
          <t>-</t>
        </is>
      </c>
      <c r="G3979" s="7" t="n">
        <v>116.3433380126953</v>
      </c>
      <c r="H3979" s="6">
        <f>P3948</f>
        <v/>
      </c>
      <c r="I3979" s="9">
        <f>Q3948</f>
        <v/>
      </c>
      <c r="J3979" s="7">
        <f>I3979*G3979</f>
        <v/>
      </c>
      <c r="K3979" s="8">
        <f>IF($J$4000=0,0,J3979/$J$4000)</f>
        <v/>
      </c>
      <c r="L3979" s="6" t="inlineStr">
        <is>
          <t>REJECTED</t>
        </is>
      </c>
      <c r="M3979" s="8" t="n">
        <v>0</v>
      </c>
      <c r="N3979" s="7">
        <f>M3979*$J$4000-J3979</f>
        <v/>
      </c>
      <c r="O3979" s="9">
        <f>IF(G3979=0,0,N3979/G3979)</f>
        <v/>
      </c>
      <c r="P3979" s="6">
        <f>IF(M3979&gt;0,D3979,"")</f>
        <v/>
      </c>
      <c r="Q3979" s="9">
        <f>I3979+O3979</f>
        <v/>
      </c>
      <c r="R3979" s="7">
        <f>Q3979*G3979</f>
        <v/>
      </c>
      <c r="S3979" s="8">
        <f>IF($R$4000=0,0,R3979/$R$4000)</f>
        <v/>
      </c>
      <c r="T3979" s="8" t="n">
        <v>-0.01496104324724401</v>
      </c>
      <c r="U3979" s="8" t="n">
        <v>0.0003531610300397947</v>
      </c>
      <c r="V3979" s="6" t="inlineStr">
        <is>
          <t>not selected</t>
        </is>
      </c>
    </row>
    <row r="3980">
      <c r="A3980" s="6" t="inlineStr">
        <is>
          <t>DJ30</t>
        </is>
      </c>
      <c r="B3980" s="6" t="inlineStr">
        <is>
          <t>2025-06-20</t>
        </is>
      </c>
      <c r="C3980" s="6" t="inlineStr">
        <is>
          <t>DIA</t>
        </is>
      </c>
      <c r="D3980" s="6" t="inlineStr">
        <is>
          <t>GS</t>
        </is>
      </c>
      <c r="E3980" s="6" t="inlineStr">
        <is>
          <t>GS</t>
        </is>
      </c>
      <c r="F3980" s="6" t="inlineStr">
        <is>
          <t>-</t>
        </is>
      </c>
      <c r="G3980" s="7" t="n">
        <v>628.1549072265625</v>
      </c>
      <c r="H3980" s="6">
        <f>P3949</f>
        <v/>
      </c>
      <c r="I3980" s="9">
        <f>Q3949</f>
        <v/>
      </c>
      <c r="J3980" s="7">
        <f>I3980*G3980</f>
        <v/>
      </c>
      <c r="K3980" s="8">
        <f>IF($J$4000=0,0,J3980/$J$4000)</f>
        <v/>
      </c>
      <c r="L3980" s="6" t="inlineStr">
        <is>
          <t>WATCHLIST</t>
        </is>
      </c>
      <c r="M3980" s="8" t="n">
        <v>0</v>
      </c>
      <c r="N3980" s="7">
        <f>M3980*$J$4000-J3980</f>
        <v/>
      </c>
      <c r="O3980" s="9">
        <f>IF(G3980=0,0,N3980/G3980)</f>
        <v/>
      </c>
      <c r="P3980" s="6">
        <f>IF(M3980&gt;0,D3980,"")</f>
        <v/>
      </c>
      <c r="Q3980" s="9">
        <f>I3980+O3980</f>
        <v/>
      </c>
      <c r="R3980" s="7">
        <f>Q3980*G3980</f>
        <v/>
      </c>
      <c r="S3980" s="8">
        <f>IF($R$4000=0,0,R3980/$R$4000)</f>
        <v/>
      </c>
      <c r="T3980" s="8" t="n">
        <v>-0.01496104324724401</v>
      </c>
      <c r="U3980" s="8" t="n">
        <v>0.0003531610300397947</v>
      </c>
      <c r="V3980" s="6" t="inlineStr">
        <is>
          <t>not selected</t>
        </is>
      </c>
    </row>
    <row r="3981">
      <c r="A3981" s="6" t="inlineStr">
        <is>
          <t>DJ30</t>
        </is>
      </c>
      <c r="B3981" s="6" t="inlineStr">
        <is>
          <t>2025-06-20</t>
        </is>
      </c>
      <c r="C3981" s="6" t="inlineStr">
        <is>
          <t>DIA</t>
        </is>
      </c>
      <c r="D3981" s="6" t="inlineStr">
        <is>
          <t>HD</t>
        </is>
      </c>
      <c r="E3981" s="6" t="inlineStr">
        <is>
          <t>HD</t>
        </is>
      </c>
      <c r="F3981" s="6" t="inlineStr">
        <is>
          <t>-</t>
        </is>
      </c>
      <c r="G3981" s="7" t="n">
        <v>340.5652160644531</v>
      </c>
      <c r="H3981" s="6">
        <f>P3950</f>
        <v/>
      </c>
      <c r="I3981" s="9">
        <f>Q3950</f>
        <v/>
      </c>
      <c r="J3981" s="7">
        <f>I3981*G3981</f>
        <v/>
      </c>
      <c r="K3981" s="8">
        <f>IF($J$4000=0,0,J3981/$J$4000)</f>
        <v/>
      </c>
      <c r="L3981" s="6" t="inlineStr">
        <is>
          <t>REJECTED</t>
        </is>
      </c>
      <c r="M3981" s="8" t="n">
        <v>0</v>
      </c>
      <c r="N3981" s="7">
        <f>M3981*$J$4000-J3981</f>
        <v/>
      </c>
      <c r="O3981" s="9">
        <f>IF(G3981=0,0,N3981/G3981)</f>
        <v/>
      </c>
      <c r="P3981" s="6">
        <f>IF(M3981&gt;0,D3981,"")</f>
        <v/>
      </c>
      <c r="Q3981" s="9">
        <f>I3981+O3981</f>
        <v/>
      </c>
      <c r="R3981" s="7">
        <f>Q3981*G3981</f>
        <v/>
      </c>
      <c r="S3981" s="8">
        <f>IF($R$4000=0,0,R3981/$R$4000)</f>
        <v/>
      </c>
      <c r="T3981" s="8" t="n">
        <v>-0.01496104324724401</v>
      </c>
      <c r="U3981" s="8" t="n">
        <v>0.0003531610300397947</v>
      </c>
      <c r="V3981" s="6" t="inlineStr">
        <is>
          <t>not selected</t>
        </is>
      </c>
    </row>
    <row r="3982">
      <c r="A3982" s="6" t="inlineStr">
        <is>
          <t>DJ30</t>
        </is>
      </c>
      <c r="B3982" s="6" t="inlineStr">
        <is>
          <t>2025-06-20</t>
        </is>
      </c>
      <c r="C3982" s="6" t="inlineStr">
        <is>
          <t>DIA</t>
        </is>
      </c>
      <c r="D3982" s="6" t="inlineStr">
        <is>
          <t>HON</t>
        </is>
      </c>
      <c r="E3982" s="6" t="inlineStr">
        <is>
          <t>HON</t>
        </is>
      </c>
      <c r="F3982" s="6" t="inlineStr">
        <is>
          <t>-</t>
        </is>
      </c>
      <c r="G3982" s="7" t="n">
        <v>204.5816497802734</v>
      </c>
      <c r="H3982" s="6">
        <f>P3951</f>
        <v/>
      </c>
      <c r="I3982" s="9">
        <f>Q3951</f>
        <v/>
      </c>
      <c r="J3982" s="7">
        <f>I3982*G3982</f>
        <v/>
      </c>
      <c r="K3982" s="8">
        <f>IF($J$4000=0,0,J3982/$J$4000)</f>
        <v/>
      </c>
      <c r="L3982" s="6" t="inlineStr">
        <is>
          <t>REJECTED</t>
        </is>
      </c>
      <c r="M3982" s="8" t="n">
        <v>0</v>
      </c>
      <c r="N3982" s="7">
        <f>M3982*$J$4000-J3982</f>
        <v/>
      </c>
      <c r="O3982" s="9">
        <f>IF(G3982=0,0,N3982/G3982)</f>
        <v/>
      </c>
      <c r="P3982" s="6">
        <f>IF(M3982&gt;0,D3982,"")</f>
        <v/>
      </c>
      <c r="Q3982" s="9">
        <f>I3982+O3982</f>
        <v/>
      </c>
      <c r="R3982" s="7">
        <f>Q3982*G3982</f>
        <v/>
      </c>
      <c r="S3982" s="8">
        <f>IF($R$4000=0,0,R3982/$R$4000)</f>
        <v/>
      </c>
      <c r="T3982" s="8" t="n">
        <v>-0.01496104324724401</v>
      </c>
      <c r="U3982" s="8" t="n">
        <v>0.0003531610300397947</v>
      </c>
      <c r="V3982" s="6" t="inlineStr">
        <is>
          <t>not selected</t>
        </is>
      </c>
    </row>
    <row r="3983">
      <c r="A3983" s="6" t="inlineStr">
        <is>
          <t>DJ30</t>
        </is>
      </c>
      <c r="B3983" s="6" t="inlineStr">
        <is>
          <t>2025-06-20</t>
        </is>
      </c>
      <c r="C3983" s="6" t="inlineStr">
        <is>
          <t>DIA</t>
        </is>
      </c>
      <c r="D3983" s="6" t="inlineStr">
        <is>
          <t>IBM</t>
        </is>
      </c>
      <c r="E3983" s="6" t="inlineStr">
        <is>
          <t>IBM</t>
        </is>
      </c>
      <c r="F3983" s="6" t="inlineStr">
        <is>
          <t>-</t>
        </is>
      </c>
      <c r="G3983" s="7" t="n">
        <v>273.962890625</v>
      </c>
      <c r="H3983" s="6">
        <f>P3952</f>
        <v/>
      </c>
      <c r="I3983" s="9">
        <f>Q3952</f>
        <v/>
      </c>
      <c r="J3983" s="7">
        <f>I3983*G3983</f>
        <v/>
      </c>
      <c r="K3983" s="8">
        <f>IF($J$4000=0,0,J3983/$J$4000)</f>
        <v/>
      </c>
      <c r="L3983" s="6" t="inlineStr">
        <is>
          <t>SELECTED</t>
        </is>
      </c>
      <c r="M3983" s="8" t="n">
        <v>0.2</v>
      </c>
      <c r="N3983" s="7">
        <f>M3983*$J$4000-J3983</f>
        <v/>
      </c>
      <c r="O3983" s="9">
        <f>IF(G3983=0,0,N3983/G3983)</f>
        <v/>
      </c>
      <c r="P3983" s="6">
        <f>IF(M3983&gt;0,D3983,"")</f>
        <v/>
      </c>
      <c r="Q3983" s="9">
        <f>I3983+O3983</f>
        <v/>
      </c>
      <c r="R3983" s="7">
        <f>Q3983*G3983</f>
        <v/>
      </c>
      <c r="S3983" s="8">
        <f>IF($R$4000=0,0,R3983/$R$4000)</f>
        <v/>
      </c>
      <c r="T3983" s="8" t="n">
        <v>-0.01496104324724401</v>
      </c>
      <c r="U3983" s="8" t="n">
        <v>0.0003531610300397947</v>
      </c>
      <c r="V3983" s="6" t="inlineStr">
        <is>
          <t>remained in weekly selection</t>
        </is>
      </c>
    </row>
    <row r="3984">
      <c r="A3984" s="6" t="inlineStr">
        <is>
          <t>DJ30</t>
        </is>
      </c>
      <c r="B3984" s="6" t="inlineStr">
        <is>
          <t>2025-06-20</t>
        </is>
      </c>
      <c r="C3984" s="6" t="inlineStr">
        <is>
          <t>DIA</t>
        </is>
      </c>
      <c r="D3984" s="6" t="inlineStr">
        <is>
          <t>JNJ</t>
        </is>
      </c>
      <c r="E3984" s="6" t="inlineStr">
        <is>
          <t>JNJ</t>
        </is>
      </c>
      <c r="F3984" s="6" t="inlineStr">
        <is>
          <t>-</t>
        </is>
      </c>
      <c r="G3984" s="7" t="n">
        <v>146.1385650634766</v>
      </c>
      <c r="H3984" s="6">
        <f>P3953</f>
        <v/>
      </c>
      <c r="I3984" s="9">
        <f>Q3953</f>
        <v/>
      </c>
      <c r="J3984" s="7">
        <f>I3984*G3984</f>
        <v/>
      </c>
      <c r="K3984" s="8">
        <f>IF($J$4000=0,0,J3984/$J$4000)</f>
        <v/>
      </c>
      <c r="L3984" s="6" t="inlineStr">
        <is>
          <t>REJECTED</t>
        </is>
      </c>
      <c r="M3984" s="8" t="n">
        <v>0</v>
      </c>
      <c r="N3984" s="7">
        <f>M3984*$J$4000-J3984</f>
        <v/>
      </c>
      <c r="O3984" s="9">
        <f>IF(G3984=0,0,N3984/G3984)</f>
        <v/>
      </c>
      <c r="P3984" s="6">
        <f>IF(M3984&gt;0,D3984,"")</f>
        <v/>
      </c>
      <c r="Q3984" s="9">
        <f>I3984+O3984</f>
        <v/>
      </c>
      <c r="R3984" s="7">
        <f>Q3984*G3984</f>
        <v/>
      </c>
      <c r="S3984" s="8">
        <f>IF($R$4000=0,0,R3984/$R$4000)</f>
        <v/>
      </c>
      <c r="T3984" s="8" t="n">
        <v>-0.01496104324724401</v>
      </c>
      <c r="U3984" s="8" t="n">
        <v>0.0003531610300397947</v>
      </c>
      <c r="V3984" s="6" t="inlineStr">
        <is>
          <t>not selected</t>
        </is>
      </c>
    </row>
    <row r="3985">
      <c r="A3985" s="6" t="inlineStr">
        <is>
          <t>DJ30</t>
        </is>
      </c>
      <c r="B3985" s="6" t="inlineStr">
        <is>
          <t>2025-06-20</t>
        </is>
      </c>
      <c r="C3985" s="6" t="inlineStr">
        <is>
          <t>DIA</t>
        </is>
      </c>
      <c r="D3985" s="6" t="inlineStr">
        <is>
          <t>JPM</t>
        </is>
      </c>
      <c r="E3985" s="6" t="inlineStr">
        <is>
          <t>JPM</t>
        </is>
      </c>
      <c r="F3985" s="6" t="inlineStr">
        <is>
          <t>-</t>
        </is>
      </c>
      <c r="G3985" s="7" t="n">
        <v>269.7538146972656</v>
      </c>
      <c r="H3985" s="6">
        <f>P3954</f>
        <v/>
      </c>
      <c r="I3985" s="9">
        <f>Q3954</f>
        <v/>
      </c>
      <c r="J3985" s="7">
        <f>I3985*G3985</f>
        <v/>
      </c>
      <c r="K3985" s="8">
        <f>IF($J$4000=0,0,J3985/$J$4000)</f>
        <v/>
      </c>
      <c r="L3985" s="6" t="inlineStr">
        <is>
          <t>WATCHLIST</t>
        </is>
      </c>
      <c r="M3985" s="8" t="n">
        <v>0</v>
      </c>
      <c r="N3985" s="7">
        <f>M3985*$J$4000-J3985</f>
        <v/>
      </c>
      <c r="O3985" s="9">
        <f>IF(G3985=0,0,N3985/G3985)</f>
        <v/>
      </c>
      <c r="P3985" s="6">
        <f>IF(M3985&gt;0,D3985,"")</f>
        <v/>
      </c>
      <c r="Q3985" s="9">
        <f>I3985+O3985</f>
        <v/>
      </c>
      <c r="R3985" s="7">
        <f>Q3985*G3985</f>
        <v/>
      </c>
      <c r="S3985" s="8">
        <f>IF($R$4000=0,0,R3985/$R$4000)</f>
        <v/>
      </c>
      <c r="T3985" s="8" t="n">
        <v>-0.01496104324724401</v>
      </c>
      <c r="U3985" s="8" t="n">
        <v>0.0003531610300397947</v>
      </c>
      <c r="V3985" s="6" t="inlineStr">
        <is>
          <t>not selected</t>
        </is>
      </c>
    </row>
    <row r="3986">
      <c r="A3986" s="6" t="inlineStr">
        <is>
          <t>DJ30</t>
        </is>
      </c>
      <c r="B3986" s="6" t="inlineStr">
        <is>
          <t>2025-06-20</t>
        </is>
      </c>
      <c r="C3986" s="6" t="inlineStr">
        <is>
          <t>DIA</t>
        </is>
      </c>
      <c r="D3986" s="6" t="inlineStr">
        <is>
          <t>KO</t>
        </is>
      </c>
      <c r="E3986" s="6" t="inlineStr">
        <is>
          <t>KO</t>
        </is>
      </c>
      <c r="F3986" s="6" t="inlineStr">
        <is>
          <t>-</t>
        </is>
      </c>
      <c r="G3986" s="7" t="n">
        <v>66.944091796875</v>
      </c>
      <c r="H3986" s="6">
        <f>P3955</f>
        <v/>
      </c>
      <c r="I3986" s="9">
        <f>Q3955</f>
        <v/>
      </c>
      <c r="J3986" s="7">
        <f>I3986*G3986</f>
        <v/>
      </c>
      <c r="K3986" s="8">
        <f>IF($J$4000=0,0,J3986/$J$4000)</f>
        <v/>
      </c>
      <c r="L3986" s="6" t="inlineStr">
        <is>
          <t>REJECTED</t>
        </is>
      </c>
      <c r="M3986" s="8" t="n">
        <v>0</v>
      </c>
      <c r="N3986" s="7">
        <f>M3986*$J$4000-J3986</f>
        <v/>
      </c>
      <c r="O3986" s="9">
        <f>IF(G3986=0,0,N3986/G3986)</f>
        <v/>
      </c>
      <c r="P3986" s="6">
        <f>IF(M3986&gt;0,D3986,"")</f>
        <v/>
      </c>
      <c r="Q3986" s="9">
        <f>I3986+O3986</f>
        <v/>
      </c>
      <c r="R3986" s="7">
        <f>Q3986*G3986</f>
        <v/>
      </c>
      <c r="S3986" s="8">
        <f>IF($R$4000=0,0,R3986/$R$4000)</f>
        <v/>
      </c>
      <c r="T3986" s="8" t="n">
        <v>-0.01496104324724401</v>
      </c>
      <c r="U3986" s="8" t="n">
        <v>0.0003531610300397947</v>
      </c>
      <c r="V3986" s="6" t="inlineStr">
        <is>
          <t>not selected</t>
        </is>
      </c>
    </row>
    <row r="3987">
      <c r="A3987" s="6" t="inlineStr">
        <is>
          <t>DJ30</t>
        </is>
      </c>
      <c r="B3987" s="6" t="inlineStr">
        <is>
          <t>2025-06-20</t>
        </is>
      </c>
      <c r="C3987" s="6" t="inlineStr">
        <is>
          <t>DIA</t>
        </is>
      </c>
      <c r="D3987" s="6" t="inlineStr">
        <is>
          <t>MCD</t>
        </is>
      </c>
      <c r="E3987" s="6" t="inlineStr">
        <is>
          <t>MCD</t>
        </is>
      </c>
      <c r="F3987" s="6" t="inlineStr">
        <is>
          <t>-</t>
        </is>
      </c>
      <c r="G3987" s="7" t="n">
        <v>280.650390625</v>
      </c>
      <c r="H3987" s="6">
        <f>P3956</f>
        <v/>
      </c>
      <c r="I3987" s="9">
        <f>Q3956</f>
        <v/>
      </c>
      <c r="J3987" s="7">
        <f>I3987*G3987</f>
        <v/>
      </c>
      <c r="K3987" s="8">
        <f>IF($J$4000=0,0,J3987/$J$4000)</f>
        <v/>
      </c>
      <c r="L3987" s="6" t="inlineStr">
        <is>
          <t>SELECTED</t>
        </is>
      </c>
      <c r="M3987" s="8" t="n">
        <v>0.2</v>
      </c>
      <c r="N3987" s="7">
        <f>M3987*$J$4000-J3987</f>
        <v/>
      </c>
      <c r="O3987" s="9">
        <f>IF(G3987=0,0,N3987/G3987)</f>
        <v/>
      </c>
      <c r="P3987" s="6">
        <f>IF(M3987&gt;0,D3987,"")</f>
        <v/>
      </c>
      <c r="Q3987" s="9">
        <f>I3987+O3987</f>
        <v/>
      </c>
      <c r="R3987" s="7">
        <f>Q3987*G3987</f>
        <v/>
      </c>
      <c r="S3987" s="8">
        <f>IF($R$4000=0,0,R3987/$R$4000)</f>
        <v/>
      </c>
      <c r="T3987" s="8" t="n">
        <v>-0.01496104324724401</v>
      </c>
      <c r="U3987" s="8" t="n">
        <v>0.0003531610300397947</v>
      </c>
      <c r="V3987" s="6" t="inlineStr">
        <is>
          <t>remained in weekly selection</t>
        </is>
      </c>
    </row>
    <row r="3988">
      <c r="A3988" s="6" t="inlineStr">
        <is>
          <t>DJ30</t>
        </is>
      </c>
      <c r="B3988" s="6" t="inlineStr">
        <is>
          <t>2025-06-20</t>
        </is>
      </c>
      <c r="C3988" s="6" t="inlineStr">
        <is>
          <t>DIA</t>
        </is>
      </c>
      <c r="D3988" s="6" t="inlineStr">
        <is>
          <t>MMM</t>
        </is>
      </c>
      <c r="E3988" s="6" t="inlineStr">
        <is>
          <t>MMM</t>
        </is>
      </c>
      <c r="F3988" s="6" t="inlineStr">
        <is>
          <t>-</t>
        </is>
      </c>
      <c r="G3988" s="7" t="n">
        <v>141.3852691650391</v>
      </c>
      <c r="H3988" s="6">
        <f>P3957</f>
        <v/>
      </c>
      <c r="I3988" s="9">
        <f>Q3957</f>
        <v/>
      </c>
      <c r="J3988" s="7">
        <f>I3988*G3988</f>
        <v/>
      </c>
      <c r="K3988" s="8">
        <f>IF($J$4000=0,0,J3988/$J$4000)</f>
        <v/>
      </c>
      <c r="L3988" s="6" t="inlineStr">
        <is>
          <t>WATCHLIST</t>
        </is>
      </c>
      <c r="M3988" s="8" t="n">
        <v>0</v>
      </c>
      <c r="N3988" s="7">
        <f>M3988*$J$4000-J3988</f>
        <v/>
      </c>
      <c r="O3988" s="9">
        <f>IF(G3988=0,0,N3988/G3988)</f>
        <v/>
      </c>
      <c r="P3988" s="6">
        <f>IF(M3988&gt;0,D3988,"")</f>
        <v/>
      </c>
      <c r="Q3988" s="9">
        <f>I3988+O3988</f>
        <v/>
      </c>
      <c r="R3988" s="7">
        <f>Q3988*G3988</f>
        <v/>
      </c>
      <c r="S3988" s="8">
        <f>IF($R$4000=0,0,R3988/$R$4000)</f>
        <v/>
      </c>
      <c r="T3988" s="8" t="n">
        <v>-0.01496104324724401</v>
      </c>
      <c r="U3988" s="8" t="n">
        <v>0.0003531610300397947</v>
      </c>
      <c r="V3988" s="6" t="inlineStr">
        <is>
          <t>not selected</t>
        </is>
      </c>
    </row>
    <row r="3989">
      <c r="A3989" s="6" t="inlineStr">
        <is>
          <t>DJ30</t>
        </is>
      </c>
      <c r="B3989" s="6" t="inlineStr">
        <is>
          <t>2025-06-20</t>
        </is>
      </c>
      <c r="C3989" s="6" t="inlineStr">
        <is>
          <t>DIA</t>
        </is>
      </c>
      <c r="D3989" s="6" t="inlineStr">
        <is>
          <t>MRK</t>
        </is>
      </c>
      <c r="E3989" s="6" t="inlineStr">
        <is>
          <t>MRK</t>
        </is>
      </c>
      <c r="F3989" s="6" t="inlineStr">
        <is>
          <t>-</t>
        </is>
      </c>
      <c r="G3989" s="7" t="n">
        <v>76.50238037109375</v>
      </c>
      <c r="H3989" s="6">
        <f>P3958</f>
        <v/>
      </c>
      <c r="I3989" s="9">
        <f>Q3958</f>
        <v/>
      </c>
      <c r="J3989" s="7">
        <f>I3989*G3989</f>
        <v/>
      </c>
      <c r="K3989" s="8">
        <f>IF($J$4000=0,0,J3989/$J$4000)</f>
        <v/>
      </c>
      <c r="L3989" s="6" t="inlineStr">
        <is>
          <t>REJECTED</t>
        </is>
      </c>
      <c r="M3989" s="8" t="n">
        <v>0</v>
      </c>
      <c r="N3989" s="7">
        <f>M3989*$J$4000-J3989</f>
        <v/>
      </c>
      <c r="O3989" s="9">
        <f>IF(G3989=0,0,N3989/G3989)</f>
        <v/>
      </c>
      <c r="P3989" s="6">
        <f>IF(M3989&gt;0,D3989,"")</f>
        <v/>
      </c>
      <c r="Q3989" s="9">
        <f>I3989+O3989</f>
        <v/>
      </c>
      <c r="R3989" s="7">
        <f>Q3989*G3989</f>
        <v/>
      </c>
      <c r="S3989" s="8">
        <f>IF($R$4000=0,0,R3989/$R$4000)</f>
        <v/>
      </c>
      <c r="T3989" s="8" t="n">
        <v>-0.01496104324724401</v>
      </c>
      <c r="U3989" s="8" t="n">
        <v>0.0003531610300397947</v>
      </c>
      <c r="V3989" s="6" t="inlineStr">
        <is>
          <t>not selected</t>
        </is>
      </c>
    </row>
    <row r="3990">
      <c r="A3990" s="6" t="inlineStr">
        <is>
          <t>DJ30</t>
        </is>
      </c>
      <c r="B3990" s="6" t="inlineStr">
        <is>
          <t>2025-06-20</t>
        </is>
      </c>
      <c r="C3990" s="6" t="inlineStr">
        <is>
          <t>DIA</t>
        </is>
      </c>
      <c r="D3990" s="6" t="inlineStr">
        <is>
          <t>MSFT</t>
        </is>
      </c>
      <c r="E3990" s="6" t="inlineStr">
        <is>
          <t>MSFT</t>
        </is>
      </c>
      <c r="F3990" s="6" t="inlineStr">
        <is>
          <t>-</t>
        </is>
      </c>
      <c r="G3990" s="7" t="n">
        <v>473.6169738769531</v>
      </c>
      <c r="H3990" s="6">
        <f>P3959</f>
        <v/>
      </c>
      <c r="I3990" s="9">
        <f>Q3959</f>
        <v/>
      </c>
      <c r="J3990" s="7">
        <f>I3990*G3990</f>
        <v/>
      </c>
      <c r="K3990" s="8">
        <f>IF($J$4000=0,0,J3990/$J$4000)</f>
        <v/>
      </c>
      <c r="L3990" s="6" t="inlineStr">
        <is>
          <t>REJECTED</t>
        </is>
      </c>
      <c r="M3990" s="8" t="n">
        <v>0</v>
      </c>
      <c r="N3990" s="7">
        <f>M3990*$J$4000-J3990</f>
        <v/>
      </c>
      <c r="O3990" s="9">
        <f>IF(G3990=0,0,N3990/G3990)</f>
        <v/>
      </c>
      <c r="P3990" s="6">
        <f>IF(M3990&gt;0,D3990,"")</f>
        <v/>
      </c>
      <c r="Q3990" s="9">
        <f>I3990+O3990</f>
        <v/>
      </c>
      <c r="R3990" s="7">
        <f>Q3990*G3990</f>
        <v/>
      </c>
      <c r="S3990" s="8">
        <f>IF($R$4000=0,0,R3990/$R$4000)</f>
        <v/>
      </c>
      <c r="T3990" s="8" t="n">
        <v>-0.01496104324724401</v>
      </c>
      <c r="U3990" s="8" t="n">
        <v>0.0003531610300397947</v>
      </c>
      <c r="V3990" s="6" t="inlineStr">
        <is>
          <t>not selected</t>
        </is>
      </c>
    </row>
    <row r="3991">
      <c r="A3991" s="6" t="inlineStr">
        <is>
          <t>DJ30</t>
        </is>
      </c>
      <c r="B3991" s="6" t="inlineStr">
        <is>
          <t>2025-06-20</t>
        </is>
      </c>
      <c r="C3991" s="6" t="inlineStr">
        <is>
          <t>DIA</t>
        </is>
      </c>
      <c r="D3991" s="6" t="inlineStr">
        <is>
          <t>NKE</t>
        </is>
      </c>
      <c r="E3991" s="6" t="inlineStr">
        <is>
          <t>NKE</t>
        </is>
      </c>
      <c r="F3991" s="6" t="inlineStr">
        <is>
          <t>-</t>
        </is>
      </c>
      <c r="G3991" s="7" t="n">
        <v>58.19312286376953</v>
      </c>
      <c r="H3991" s="6">
        <f>P3960</f>
        <v/>
      </c>
      <c r="I3991" s="9">
        <f>Q3960</f>
        <v/>
      </c>
      <c r="J3991" s="7">
        <f>I3991*G3991</f>
        <v/>
      </c>
      <c r="K3991" s="8">
        <f>IF($J$4000=0,0,J3991/$J$4000)</f>
        <v/>
      </c>
      <c r="L3991" s="6" t="inlineStr">
        <is>
          <t>REJECTED</t>
        </is>
      </c>
      <c r="M3991" s="8" t="n">
        <v>0</v>
      </c>
      <c r="N3991" s="7">
        <f>M3991*$J$4000-J3991</f>
        <v/>
      </c>
      <c r="O3991" s="9">
        <f>IF(G3991=0,0,N3991/G3991)</f>
        <v/>
      </c>
      <c r="P3991" s="6">
        <f>IF(M3991&gt;0,D3991,"")</f>
        <v/>
      </c>
      <c r="Q3991" s="9">
        <f>I3991+O3991</f>
        <v/>
      </c>
      <c r="R3991" s="7">
        <f>Q3991*G3991</f>
        <v/>
      </c>
      <c r="S3991" s="8">
        <f>IF($R$4000=0,0,R3991/$R$4000)</f>
        <v/>
      </c>
      <c r="T3991" s="8" t="n">
        <v>-0.01496104324724401</v>
      </c>
      <c r="U3991" s="8" t="n">
        <v>0.0003531610300397947</v>
      </c>
      <c r="V3991" s="6" t="inlineStr">
        <is>
          <t>not selected</t>
        </is>
      </c>
    </row>
    <row r="3992">
      <c r="A3992" s="6" t="inlineStr">
        <is>
          <t>DJ30</t>
        </is>
      </c>
      <c r="B3992" s="6" t="inlineStr">
        <is>
          <t>2025-06-20</t>
        </is>
      </c>
      <c r="C3992" s="6" t="inlineStr">
        <is>
          <t>DIA</t>
        </is>
      </c>
      <c r="D3992" s="6" t="inlineStr">
        <is>
          <t>NVDA</t>
        </is>
      </c>
      <c r="E3992" s="6" t="inlineStr">
        <is>
          <t>NVDA</t>
        </is>
      </c>
      <c r="F3992" s="6" t="inlineStr">
        <is>
          <t>-</t>
        </is>
      </c>
      <c r="G3992" s="7" t="n">
        <v>143.6586608886719</v>
      </c>
      <c r="H3992" s="6">
        <f>P3961</f>
        <v/>
      </c>
      <c r="I3992" s="9">
        <f>Q3961</f>
        <v/>
      </c>
      <c r="J3992" s="7">
        <f>I3992*G3992</f>
        <v/>
      </c>
      <c r="K3992" s="8">
        <f>IF($J$4000=0,0,J3992/$J$4000)</f>
        <v/>
      </c>
      <c r="L3992" s="6" t="inlineStr">
        <is>
          <t>REJECTED</t>
        </is>
      </c>
      <c r="M3992" s="8" t="n">
        <v>0</v>
      </c>
      <c r="N3992" s="7">
        <f>M3992*$J$4000-J3992</f>
        <v/>
      </c>
      <c r="O3992" s="9">
        <f>IF(G3992=0,0,N3992/G3992)</f>
        <v/>
      </c>
      <c r="P3992" s="6">
        <f>IF(M3992&gt;0,D3992,"")</f>
        <v/>
      </c>
      <c r="Q3992" s="9">
        <f>I3992+O3992</f>
        <v/>
      </c>
      <c r="R3992" s="7">
        <f>Q3992*G3992</f>
        <v/>
      </c>
      <c r="S3992" s="8">
        <f>IF($R$4000=0,0,R3992/$R$4000)</f>
        <v/>
      </c>
      <c r="T3992" s="8" t="n">
        <v>-0.01496104324724401</v>
      </c>
      <c r="U3992" s="8" t="n">
        <v>0.0003531610300397947</v>
      </c>
      <c r="V3992" s="6" t="inlineStr">
        <is>
          <t>not selected</t>
        </is>
      </c>
    </row>
    <row r="3993">
      <c r="A3993" s="6" t="inlineStr">
        <is>
          <t>DJ30</t>
        </is>
      </c>
      <c r="B3993" s="6" t="inlineStr">
        <is>
          <t>2025-06-20</t>
        </is>
      </c>
      <c r="C3993" s="6" t="inlineStr">
        <is>
          <t>DIA</t>
        </is>
      </c>
      <c r="D3993" s="6" t="inlineStr">
        <is>
          <t>PG</t>
        </is>
      </c>
      <c r="E3993" s="6" t="inlineStr">
        <is>
          <t>PG</t>
        </is>
      </c>
      <c r="F3993" s="6" t="inlineStr">
        <is>
          <t>-</t>
        </is>
      </c>
      <c r="G3993" s="7" t="n">
        <v>154.6317443847656</v>
      </c>
      <c r="H3993" s="6">
        <f>P3962</f>
        <v/>
      </c>
      <c r="I3993" s="9">
        <f>Q3962</f>
        <v/>
      </c>
      <c r="J3993" s="7">
        <f>I3993*G3993</f>
        <v/>
      </c>
      <c r="K3993" s="8">
        <f>IF($J$4000=0,0,J3993/$J$4000)</f>
        <v/>
      </c>
      <c r="L3993" s="6" t="inlineStr">
        <is>
          <t>REJECTED</t>
        </is>
      </c>
      <c r="M3993" s="8" t="n">
        <v>0</v>
      </c>
      <c r="N3993" s="7">
        <f>M3993*$J$4000-J3993</f>
        <v/>
      </c>
      <c r="O3993" s="9">
        <f>IF(G3993=0,0,N3993/G3993)</f>
        <v/>
      </c>
      <c r="P3993" s="6">
        <f>IF(M3993&gt;0,D3993,"")</f>
        <v/>
      </c>
      <c r="Q3993" s="9">
        <f>I3993+O3993</f>
        <v/>
      </c>
      <c r="R3993" s="7">
        <f>Q3993*G3993</f>
        <v/>
      </c>
      <c r="S3993" s="8">
        <f>IF($R$4000=0,0,R3993/$R$4000)</f>
        <v/>
      </c>
      <c r="T3993" s="8" t="n">
        <v>-0.01496104324724401</v>
      </c>
      <c r="U3993" s="8" t="n">
        <v>0.0003531610300397947</v>
      </c>
      <c r="V3993" s="6" t="inlineStr">
        <is>
          <t>not selected</t>
        </is>
      </c>
    </row>
    <row r="3994">
      <c r="A3994" s="6" t="inlineStr">
        <is>
          <t>DJ30</t>
        </is>
      </c>
      <c r="B3994" s="6" t="inlineStr">
        <is>
          <t>2025-06-20</t>
        </is>
      </c>
      <c r="C3994" s="6" t="inlineStr">
        <is>
          <t>DIA</t>
        </is>
      </c>
      <c r="D3994" s="6" t="inlineStr">
        <is>
          <t>SHW</t>
        </is>
      </c>
      <c r="E3994" s="6" t="inlineStr">
        <is>
          <t>SHW</t>
        </is>
      </c>
      <c r="F3994" s="6" t="inlineStr">
        <is>
          <t>-</t>
        </is>
      </c>
      <c r="G3994" s="7" t="n">
        <v>330.4141845703125</v>
      </c>
      <c r="H3994" s="6">
        <f>P3963</f>
        <v/>
      </c>
      <c r="I3994" s="9">
        <f>Q3963</f>
        <v/>
      </c>
      <c r="J3994" s="7">
        <f>I3994*G3994</f>
        <v/>
      </c>
      <c r="K3994" s="8">
        <f>IF($J$4000=0,0,J3994/$J$4000)</f>
        <v/>
      </c>
      <c r="L3994" s="6" t="inlineStr">
        <is>
          <t>REJECTED</t>
        </is>
      </c>
      <c r="M3994" s="8" t="n">
        <v>0</v>
      </c>
      <c r="N3994" s="7">
        <f>M3994*$J$4000-J3994</f>
        <v/>
      </c>
      <c r="O3994" s="9">
        <f>IF(G3994=0,0,N3994/G3994)</f>
        <v/>
      </c>
      <c r="P3994" s="6">
        <f>IF(M3994&gt;0,D3994,"")</f>
        <v/>
      </c>
      <c r="Q3994" s="9">
        <f>I3994+O3994</f>
        <v/>
      </c>
      <c r="R3994" s="7">
        <f>Q3994*G3994</f>
        <v/>
      </c>
      <c r="S3994" s="8">
        <f>IF($R$4000=0,0,R3994/$R$4000)</f>
        <v/>
      </c>
      <c r="T3994" s="8" t="n">
        <v>-0.01496104324724401</v>
      </c>
      <c r="U3994" s="8" t="n">
        <v>0.0003531610300397947</v>
      </c>
      <c r="V3994" s="6" t="inlineStr">
        <is>
          <t>not selected</t>
        </is>
      </c>
    </row>
    <row r="3995">
      <c r="A3995" s="6" t="inlineStr">
        <is>
          <t>DJ30</t>
        </is>
      </c>
      <c r="B3995" s="6" t="inlineStr">
        <is>
          <t>2025-06-20</t>
        </is>
      </c>
      <c r="C3995" s="6" t="inlineStr">
        <is>
          <t>DIA</t>
        </is>
      </c>
      <c r="D3995" s="6" t="inlineStr">
        <is>
          <t>TRV</t>
        </is>
      </c>
      <c r="E3995" s="6" t="inlineStr">
        <is>
          <t>TRV</t>
        </is>
      </c>
      <c r="F3995" s="6" t="inlineStr">
        <is>
          <t>-</t>
        </is>
      </c>
      <c r="G3995" s="7" t="n">
        <v>260.8303833007812</v>
      </c>
      <c r="H3995" s="6">
        <f>P3964</f>
        <v/>
      </c>
      <c r="I3995" s="9">
        <f>Q3964</f>
        <v/>
      </c>
      <c r="J3995" s="7">
        <f>I3995*G3995</f>
        <v/>
      </c>
      <c r="K3995" s="8">
        <f>IF($J$4000=0,0,J3995/$J$4000)</f>
        <v/>
      </c>
      <c r="L3995" s="6" t="inlineStr">
        <is>
          <t>WATCHLIST</t>
        </is>
      </c>
      <c r="M3995" s="8" t="n">
        <v>0</v>
      </c>
      <c r="N3995" s="7">
        <f>M3995*$J$4000-J3995</f>
        <v/>
      </c>
      <c r="O3995" s="9">
        <f>IF(G3995=0,0,N3995/G3995)</f>
        <v/>
      </c>
      <c r="P3995" s="6">
        <f>IF(M3995&gt;0,D3995,"")</f>
        <v/>
      </c>
      <c r="Q3995" s="9">
        <f>I3995+O3995</f>
        <v/>
      </c>
      <c r="R3995" s="7">
        <f>Q3995*G3995</f>
        <v/>
      </c>
      <c r="S3995" s="8">
        <f>IF($R$4000=0,0,R3995/$R$4000)</f>
        <v/>
      </c>
      <c r="T3995" s="8" t="n">
        <v>-0.01496104324724401</v>
      </c>
      <c r="U3995" s="8" t="n">
        <v>0.0003531610300397947</v>
      </c>
      <c r="V3995" s="6" t="inlineStr">
        <is>
          <t>not selected</t>
        </is>
      </c>
    </row>
    <row r="3996">
      <c r="A3996" s="6" t="inlineStr">
        <is>
          <t>DJ30</t>
        </is>
      </c>
      <c r="B3996" s="6" t="inlineStr">
        <is>
          <t>2025-06-20</t>
        </is>
      </c>
      <c r="C3996" s="6" t="inlineStr">
        <is>
          <t>DIA</t>
        </is>
      </c>
      <c r="D3996" s="6" t="inlineStr">
        <is>
          <t>UNH</t>
        </is>
      </c>
      <c r="E3996" s="6" t="inlineStr">
        <is>
          <t>UNH</t>
        </is>
      </c>
      <c r="F3996" s="6" t="inlineStr">
        <is>
          <t>-</t>
        </is>
      </c>
      <c r="G3996" s="7" t="n">
        <v>294.132568359375</v>
      </c>
      <c r="H3996" s="6">
        <f>P3965</f>
        <v/>
      </c>
      <c r="I3996" s="9">
        <f>Q3965</f>
        <v/>
      </c>
      <c r="J3996" s="7">
        <f>I3996*G3996</f>
        <v/>
      </c>
      <c r="K3996" s="8">
        <f>IF($J$4000=0,0,J3996/$J$4000)</f>
        <v/>
      </c>
      <c r="L3996" s="6" t="inlineStr">
        <is>
          <t>REJECTED</t>
        </is>
      </c>
      <c r="M3996" s="8" t="n">
        <v>0</v>
      </c>
      <c r="N3996" s="7">
        <f>M3996*$J$4000-J3996</f>
        <v/>
      </c>
      <c r="O3996" s="9">
        <f>IF(G3996=0,0,N3996/G3996)</f>
        <v/>
      </c>
      <c r="P3996" s="6">
        <f>IF(M3996&gt;0,D3996,"")</f>
        <v/>
      </c>
      <c r="Q3996" s="9">
        <f>I3996+O3996</f>
        <v/>
      </c>
      <c r="R3996" s="7">
        <f>Q3996*G3996</f>
        <v/>
      </c>
      <c r="S3996" s="8">
        <f>IF($R$4000=0,0,R3996/$R$4000)</f>
        <v/>
      </c>
      <c r="T3996" s="8" t="n">
        <v>-0.01496104324724401</v>
      </c>
      <c r="U3996" s="8" t="n">
        <v>0.0003531610300397947</v>
      </c>
      <c r="V3996" s="6" t="inlineStr">
        <is>
          <t>not selected</t>
        </is>
      </c>
    </row>
    <row r="3997">
      <c r="A3997" s="6" t="inlineStr">
        <is>
          <t>DJ30</t>
        </is>
      </c>
      <c r="B3997" s="6" t="inlineStr">
        <is>
          <t>2025-06-20</t>
        </is>
      </c>
      <c r="C3997" s="6" t="inlineStr">
        <is>
          <t>DIA</t>
        </is>
      </c>
      <c r="D3997" s="6" t="inlineStr">
        <is>
          <t>V</t>
        </is>
      </c>
      <c r="E3997" s="6" t="inlineStr">
        <is>
          <t>V</t>
        </is>
      </c>
      <c r="F3997" s="6" t="inlineStr">
        <is>
          <t>-</t>
        </is>
      </c>
      <c r="G3997" s="7" t="n">
        <v>335.9166870117188</v>
      </c>
      <c r="H3997" s="6">
        <f>P3966</f>
        <v/>
      </c>
      <c r="I3997" s="9">
        <f>Q3966</f>
        <v/>
      </c>
      <c r="J3997" s="7">
        <f>I3997*G3997</f>
        <v/>
      </c>
      <c r="K3997" s="8">
        <f>IF($J$4000=0,0,J3997/$J$4000)</f>
        <v/>
      </c>
      <c r="L3997" s="6" t="inlineStr">
        <is>
          <t>SELECTED</t>
        </is>
      </c>
      <c r="M3997" s="8" t="n">
        <v>0.2</v>
      </c>
      <c r="N3997" s="7">
        <f>M3997*$J$4000-J3997</f>
        <v/>
      </c>
      <c r="O3997" s="9">
        <f>IF(G3997=0,0,N3997/G3997)</f>
        <v/>
      </c>
      <c r="P3997" s="6">
        <f>IF(M3997&gt;0,D3997,"")</f>
        <v/>
      </c>
      <c r="Q3997" s="9">
        <f>I3997+O3997</f>
        <v/>
      </c>
      <c r="R3997" s="7">
        <f>Q3997*G3997</f>
        <v/>
      </c>
      <c r="S3997" s="8">
        <f>IF($R$4000=0,0,R3997/$R$4000)</f>
        <v/>
      </c>
      <c r="T3997" s="8" t="n">
        <v>-0.01496104324724401</v>
      </c>
      <c r="U3997" s="8" t="n">
        <v>0.0003531610300397947</v>
      </c>
      <c r="V3997" s="6" t="inlineStr">
        <is>
          <t>remained in weekly selection</t>
        </is>
      </c>
    </row>
    <row r="3998">
      <c r="A3998" s="6" t="inlineStr">
        <is>
          <t>DJ30</t>
        </is>
      </c>
      <c r="B3998" s="6" t="inlineStr">
        <is>
          <t>2025-06-20</t>
        </is>
      </c>
      <c r="C3998" s="6" t="inlineStr">
        <is>
          <t>DIA</t>
        </is>
      </c>
      <c r="D3998" s="6" t="inlineStr">
        <is>
          <t>VZ</t>
        </is>
      </c>
      <c r="E3998" s="6" t="inlineStr">
        <is>
          <t>VZ</t>
        </is>
      </c>
      <c r="F3998" s="6" t="inlineStr">
        <is>
          <t>-</t>
        </is>
      </c>
      <c r="G3998" s="7" t="n">
        <v>39.0673828125</v>
      </c>
      <c r="H3998" s="6">
        <f>P3967</f>
        <v/>
      </c>
      <c r="I3998" s="9">
        <f>Q3967</f>
        <v/>
      </c>
      <c r="J3998" s="7">
        <f>I3998*G3998</f>
        <v/>
      </c>
      <c r="K3998" s="8">
        <f>IF($J$4000=0,0,J3998/$J$4000)</f>
        <v/>
      </c>
      <c r="L3998" s="6" t="inlineStr">
        <is>
          <t>WATCHLIST</t>
        </is>
      </c>
      <c r="M3998" s="8" t="n">
        <v>0</v>
      </c>
      <c r="N3998" s="7">
        <f>M3998*$J$4000-J3998</f>
        <v/>
      </c>
      <c r="O3998" s="9">
        <f>IF(G3998=0,0,N3998/G3998)</f>
        <v/>
      </c>
      <c r="P3998" s="6">
        <f>IF(M3998&gt;0,D3998,"")</f>
        <v/>
      </c>
      <c r="Q3998" s="9">
        <f>I3998+O3998</f>
        <v/>
      </c>
      <c r="R3998" s="7">
        <f>Q3998*G3998</f>
        <v/>
      </c>
      <c r="S3998" s="8">
        <f>IF($R$4000=0,0,R3998/$R$4000)</f>
        <v/>
      </c>
      <c r="T3998" s="8" t="n">
        <v>-0.01496104324724401</v>
      </c>
      <c r="U3998" s="8" t="n">
        <v>0.0003531610300397947</v>
      </c>
      <c r="V3998" s="6" t="inlineStr">
        <is>
          <t>not selected</t>
        </is>
      </c>
    </row>
    <row r="3999">
      <c r="A3999" s="6" t="inlineStr">
        <is>
          <t>DJ30</t>
        </is>
      </c>
      <c r="B3999" s="6" t="inlineStr">
        <is>
          <t>2025-06-20</t>
        </is>
      </c>
      <c r="C3999" s="6" t="inlineStr">
        <is>
          <t>DIA</t>
        </is>
      </c>
      <c r="D3999" s="6" t="inlineStr">
        <is>
          <t>WMT</t>
        </is>
      </c>
      <c r="E3999" s="6" t="inlineStr">
        <is>
          <t>WMT</t>
        </is>
      </c>
      <c r="F3999" s="6" t="inlineStr">
        <is>
          <t>-</t>
        </is>
      </c>
      <c r="G3999" s="7" t="n">
        <v>95.32302093505859</v>
      </c>
      <c r="H3999" s="6">
        <f>P3968</f>
        <v/>
      </c>
      <c r="I3999" s="9">
        <f>Q3968</f>
        <v/>
      </c>
      <c r="J3999" s="7">
        <f>I3999*G3999</f>
        <v/>
      </c>
      <c r="K3999" s="8">
        <f>IF($J$4000=0,0,J3999/$J$4000)</f>
        <v/>
      </c>
      <c r="L3999" s="6" t="inlineStr">
        <is>
          <t>WATCHLIST</t>
        </is>
      </c>
      <c r="M3999" s="8" t="n">
        <v>0</v>
      </c>
      <c r="N3999" s="7">
        <f>M3999*$J$4000-J3999</f>
        <v/>
      </c>
      <c r="O3999" s="9">
        <f>IF(G3999=0,0,N3999/G3999)</f>
        <v/>
      </c>
      <c r="P3999" s="6">
        <f>IF(M3999&gt;0,D3999,"")</f>
        <v/>
      </c>
      <c r="Q3999" s="9">
        <f>I3999+O3999</f>
        <v/>
      </c>
      <c r="R3999" s="7">
        <f>Q3999*G3999</f>
        <v/>
      </c>
      <c r="S3999" s="8">
        <f>IF($R$4000=0,0,R3999/$R$4000)</f>
        <v/>
      </c>
      <c r="T3999" s="8" t="n">
        <v>-0.01496104324724401</v>
      </c>
      <c r="U3999" s="8" t="n">
        <v>0.0003531610300397947</v>
      </c>
      <c r="V3999" s="6" t="inlineStr">
        <is>
          <t>not selected</t>
        </is>
      </c>
    </row>
    <row r="4000">
      <c r="A4000" s="10" t="inlineStr">
        <is>
          <t>DJ30</t>
        </is>
      </c>
      <c r="B4000" s="10" t="inlineStr">
        <is>
          <t>2025-06-20</t>
        </is>
      </c>
      <c r="C4000" s="10" t="inlineStr">
        <is>
          <t>DIA</t>
        </is>
      </c>
      <c r="D4000" s="10" t="inlineStr">
        <is>
          <t>Tot Portfolio</t>
        </is>
      </c>
      <c r="E4000" s="10" t="inlineStr"/>
      <c r="F4000" s="10" t="inlineStr"/>
      <c r="G4000" s="11" t="inlineStr"/>
      <c r="H4000" s="10" t="inlineStr"/>
      <c r="I4000" s="12" t="inlineStr"/>
      <c r="J4000" s="11">
        <f>SUM(J3970:J3999)</f>
        <v/>
      </c>
      <c r="K4000" s="13">
        <f>SUM(K3970:K3999)</f>
        <v/>
      </c>
      <c r="L4000" s="10" t="inlineStr">
        <is>
          <t>TOTAL</t>
        </is>
      </c>
      <c r="M4000" s="13">
        <f>SUM(M3970:M3999)</f>
        <v/>
      </c>
      <c r="N4000" s="11">
        <f>SUM(N3970:N3999)</f>
        <v/>
      </c>
      <c r="O4000" s="12">
        <f>SUM(O3970:O3999)</f>
        <v/>
      </c>
      <c r="P4000" s="10" t="inlineStr"/>
      <c r="Q4000" s="12" t="inlineStr"/>
      <c r="R4000" s="11">
        <f>SUM(R3970:R3999)</f>
        <v/>
      </c>
      <c r="S4000" s="13">
        <f>SUM(S3970:S3999)</f>
        <v/>
      </c>
      <c r="T4000" s="13" t="n">
        <v>-0.01496104324724401</v>
      </c>
      <c r="U4000" s="13" t="n">
        <v>0.0003531610300397947</v>
      </c>
      <c r="V4000" s="10" t="inlineStr"/>
    </row>
    <row r="4001">
      <c r="A4001" s="6" t="inlineStr">
        <is>
          <t>DJ30</t>
        </is>
      </c>
      <c r="B4001" s="6" t="inlineStr">
        <is>
          <t>2025-06-27</t>
        </is>
      </c>
      <c r="C4001" s="6" t="inlineStr">
        <is>
          <t>DIA</t>
        </is>
      </c>
      <c r="D4001" s="6" t="inlineStr">
        <is>
          <t>AAPL</t>
        </is>
      </c>
      <c r="E4001" s="6" t="inlineStr">
        <is>
          <t>AAPL</t>
        </is>
      </c>
      <c r="F4001" s="6" t="inlineStr">
        <is>
          <t>-</t>
        </is>
      </c>
      <c r="G4001" s="7" t="n">
        <v>200.2854156494141</v>
      </c>
      <c r="H4001" s="6">
        <f>P3970</f>
        <v/>
      </c>
      <c r="I4001" s="9">
        <f>Q3970</f>
        <v/>
      </c>
      <c r="J4001" s="7">
        <f>I4001*G4001</f>
        <v/>
      </c>
      <c r="K4001" s="8">
        <f>IF($J$4031=0,0,J4001/$J$4031)</f>
        <v/>
      </c>
      <c r="L4001" s="6" t="inlineStr">
        <is>
          <t>REJECTED</t>
        </is>
      </c>
      <c r="M4001" s="8" t="n">
        <v>0</v>
      </c>
      <c r="N4001" s="7">
        <f>M4001*$J$4031-J4001</f>
        <v/>
      </c>
      <c r="O4001" s="9">
        <f>IF(G4001=0,0,N4001/G4001)</f>
        <v/>
      </c>
      <c r="P4001" s="6">
        <f>IF(M4001&gt;0,D4001,"")</f>
        <v/>
      </c>
      <c r="Q4001" s="9">
        <f>I4001+O4001</f>
        <v/>
      </c>
      <c r="R4001" s="7">
        <f>Q4001*G4001</f>
        <v/>
      </c>
      <c r="S4001" s="8">
        <f>IF($R$4031=0,0,R4001/$R$4031)</f>
        <v/>
      </c>
      <c r="T4001" s="8" t="n">
        <v>0.01499062288541286</v>
      </c>
      <c r="U4001" s="8" t="n">
        <v>0.03850527670344284</v>
      </c>
      <c r="V4001" s="6" t="inlineStr">
        <is>
          <t>not selected</t>
        </is>
      </c>
    </row>
    <row r="4002">
      <c r="A4002" s="6" t="inlineStr">
        <is>
          <t>DJ30</t>
        </is>
      </c>
      <c r="B4002" s="6" t="inlineStr">
        <is>
          <t>2025-06-27</t>
        </is>
      </c>
      <c r="C4002" s="6" t="inlineStr">
        <is>
          <t>DIA</t>
        </is>
      </c>
      <c r="D4002" s="6" t="inlineStr">
        <is>
          <t>AMGN</t>
        </is>
      </c>
      <c r="E4002" s="6" t="inlineStr">
        <is>
          <t>AMGN</t>
        </is>
      </c>
      <c r="F4002" s="6" t="inlineStr">
        <is>
          <t>-</t>
        </is>
      </c>
      <c r="G4002" s="7" t="n">
        <v>269.0431518554688</v>
      </c>
      <c r="H4002" s="6">
        <f>P3971</f>
        <v/>
      </c>
      <c r="I4002" s="9">
        <f>Q3971</f>
        <v/>
      </c>
      <c r="J4002" s="7">
        <f>I4002*G4002</f>
        <v/>
      </c>
      <c r="K4002" s="8">
        <f>IF($J$4031=0,0,J4002/$J$4031)</f>
        <v/>
      </c>
      <c r="L4002" s="6" t="inlineStr">
        <is>
          <t>REJECTED</t>
        </is>
      </c>
      <c r="M4002" s="8" t="n">
        <v>0</v>
      </c>
      <c r="N4002" s="7">
        <f>M4002*$J$4031-J4002</f>
        <v/>
      </c>
      <c r="O4002" s="9">
        <f>IF(G4002=0,0,N4002/G4002)</f>
        <v/>
      </c>
      <c r="P4002" s="6">
        <f>IF(M4002&gt;0,D4002,"")</f>
        <v/>
      </c>
      <c r="Q4002" s="9">
        <f>I4002+O4002</f>
        <v/>
      </c>
      <c r="R4002" s="7">
        <f>Q4002*G4002</f>
        <v/>
      </c>
      <c r="S4002" s="8">
        <f>IF($R$4031=0,0,R4002/$R$4031)</f>
        <v/>
      </c>
      <c r="T4002" s="8" t="n">
        <v>0.01499062288541286</v>
      </c>
      <c r="U4002" s="8" t="n">
        <v>0.03850527670344284</v>
      </c>
      <c r="V4002" s="6" t="inlineStr">
        <is>
          <t>not selected</t>
        </is>
      </c>
    </row>
    <row r="4003">
      <c r="A4003" s="6" t="inlineStr">
        <is>
          <t>DJ30</t>
        </is>
      </c>
      <c r="B4003" s="6" t="inlineStr">
        <is>
          <t>2025-06-27</t>
        </is>
      </c>
      <c r="C4003" s="6" t="inlineStr">
        <is>
          <t>DIA</t>
        </is>
      </c>
      <c r="D4003" s="6" t="inlineStr">
        <is>
          <t>AMZN</t>
        </is>
      </c>
      <c r="E4003" s="6" t="inlineStr">
        <is>
          <t>AMZN</t>
        </is>
      </c>
      <c r="F4003" s="6" t="inlineStr">
        <is>
          <t>-</t>
        </is>
      </c>
      <c r="G4003" s="7" t="n">
        <v>223.3000030517578</v>
      </c>
      <c r="H4003" s="6">
        <f>P3972</f>
        <v/>
      </c>
      <c r="I4003" s="9">
        <f>Q3972</f>
        <v/>
      </c>
      <c r="J4003" s="7">
        <f>I4003*G4003</f>
        <v/>
      </c>
      <c r="K4003" s="8">
        <f>IF($J$4031=0,0,J4003/$J$4031)</f>
        <v/>
      </c>
      <c r="L4003" s="6" t="inlineStr">
        <is>
          <t>REJECTED</t>
        </is>
      </c>
      <c r="M4003" s="8" t="n">
        <v>0</v>
      </c>
      <c r="N4003" s="7">
        <f>M4003*$J$4031-J4003</f>
        <v/>
      </c>
      <c r="O4003" s="9">
        <f>IF(G4003=0,0,N4003/G4003)</f>
        <v/>
      </c>
      <c r="P4003" s="6">
        <f>IF(M4003&gt;0,D4003,"")</f>
        <v/>
      </c>
      <c r="Q4003" s="9">
        <f>I4003+O4003</f>
        <v/>
      </c>
      <c r="R4003" s="7">
        <f>Q4003*G4003</f>
        <v/>
      </c>
      <c r="S4003" s="8">
        <f>IF($R$4031=0,0,R4003/$R$4031)</f>
        <v/>
      </c>
      <c r="T4003" s="8" t="n">
        <v>0.01499062288541286</v>
      </c>
      <c r="U4003" s="8" t="n">
        <v>0.03850527670344284</v>
      </c>
      <c r="V4003" s="6" t="inlineStr">
        <is>
          <t>not selected</t>
        </is>
      </c>
    </row>
    <row r="4004">
      <c r="A4004" s="6" t="inlineStr">
        <is>
          <t>DJ30</t>
        </is>
      </c>
      <c r="B4004" s="6" t="inlineStr">
        <is>
          <t>2025-06-27</t>
        </is>
      </c>
      <c r="C4004" s="6" t="inlineStr">
        <is>
          <t>DIA</t>
        </is>
      </c>
      <c r="D4004" s="6" t="inlineStr">
        <is>
          <t>AXP</t>
        </is>
      </c>
      <c r="E4004" s="6" t="inlineStr">
        <is>
          <t>AXP</t>
        </is>
      </c>
      <c r="F4004" s="6" t="inlineStr">
        <is>
          <t>-</t>
        </is>
      </c>
      <c r="G4004" s="7" t="n">
        <v>313.899658203125</v>
      </c>
      <c r="H4004" s="6">
        <f>P3973</f>
        <v/>
      </c>
      <c r="I4004" s="9">
        <f>Q3973</f>
        <v/>
      </c>
      <c r="J4004" s="7">
        <f>I4004*G4004</f>
        <v/>
      </c>
      <c r="K4004" s="8">
        <f>IF($J$4031=0,0,J4004/$J$4031)</f>
        <v/>
      </c>
      <c r="L4004" s="6" t="inlineStr">
        <is>
          <t>REJECTED</t>
        </is>
      </c>
      <c r="M4004" s="8" t="n">
        <v>0</v>
      </c>
      <c r="N4004" s="7">
        <f>M4004*$J$4031-J4004</f>
        <v/>
      </c>
      <c r="O4004" s="9">
        <f>IF(G4004=0,0,N4004/G4004)</f>
        <v/>
      </c>
      <c r="P4004" s="6">
        <f>IF(M4004&gt;0,D4004,"")</f>
        <v/>
      </c>
      <c r="Q4004" s="9">
        <f>I4004+O4004</f>
        <v/>
      </c>
      <c r="R4004" s="7">
        <f>Q4004*G4004</f>
        <v/>
      </c>
      <c r="S4004" s="8">
        <f>IF($R$4031=0,0,R4004/$R$4031)</f>
        <v/>
      </c>
      <c r="T4004" s="8" t="n">
        <v>0.01499062288541286</v>
      </c>
      <c r="U4004" s="8" t="n">
        <v>0.03850527670344284</v>
      </c>
      <c r="V4004" s="6" t="inlineStr">
        <is>
          <t>not selected</t>
        </is>
      </c>
    </row>
    <row r="4005">
      <c r="A4005" s="6" t="inlineStr">
        <is>
          <t>DJ30</t>
        </is>
      </c>
      <c r="B4005" s="6" t="inlineStr">
        <is>
          <t>2025-06-27</t>
        </is>
      </c>
      <c r="C4005" s="6" t="inlineStr">
        <is>
          <t>DIA</t>
        </is>
      </c>
      <c r="D4005" s="6" t="inlineStr">
        <is>
          <t>BA</t>
        </is>
      </c>
      <c r="E4005" s="6" t="inlineStr">
        <is>
          <t>BA</t>
        </is>
      </c>
      <c r="F4005" s="6" t="inlineStr">
        <is>
          <t>-</t>
        </is>
      </c>
      <c r="G4005" s="7" t="n">
        <v>214.5500030517578</v>
      </c>
      <c r="H4005" s="6">
        <f>P3974</f>
        <v/>
      </c>
      <c r="I4005" s="9">
        <f>Q3974</f>
        <v/>
      </c>
      <c r="J4005" s="7">
        <f>I4005*G4005</f>
        <v/>
      </c>
      <c r="K4005" s="8">
        <f>IF($J$4031=0,0,J4005/$J$4031)</f>
        <v/>
      </c>
      <c r="L4005" s="6" t="inlineStr">
        <is>
          <t>REJECTED</t>
        </is>
      </c>
      <c r="M4005" s="8" t="n">
        <v>0</v>
      </c>
      <c r="N4005" s="7">
        <f>M4005*$J$4031-J4005</f>
        <v/>
      </c>
      <c r="O4005" s="9">
        <f>IF(G4005=0,0,N4005/G4005)</f>
        <v/>
      </c>
      <c r="P4005" s="6">
        <f>IF(M4005&gt;0,D4005,"")</f>
        <v/>
      </c>
      <c r="Q4005" s="9">
        <f>I4005+O4005</f>
        <v/>
      </c>
      <c r="R4005" s="7">
        <f>Q4005*G4005</f>
        <v/>
      </c>
      <c r="S4005" s="8">
        <f>IF($R$4031=0,0,R4005/$R$4031)</f>
        <v/>
      </c>
      <c r="T4005" s="8" t="n">
        <v>0.01499062288541286</v>
      </c>
      <c r="U4005" s="8" t="n">
        <v>0.03850527670344284</v>
      </c>
      <c r="V4005" s="6" t="inlineStr">
        <is>
          <t>not selected</t>
        </is>
      </c>
    </row>
    <row r="4006">
      <c r="A4006" s="6" t="inlineStr">
        <is>
          <t>DJ30</t>
        </is>
      </c>
      <c r="B4006" s="6" t="inlineStr">
        <is>
          <t>2025-06-27</t>
        </is>
      </c>
      <c r="C4006" s="6" t="inlineStr">
        <is>
          <t>DIA</t>
        </is>
      </c>
      <c r="D4006" s="6" t="inlineStr">
        <is>
          <t>CAT</t>
        </is>
      </c>
      <c r="E4006" s="6" t="inlineStr">
        <is>
          <t>CAT</t>
        </is>
      </c>
      <c r="F4006" s="6" t="inlineStr">
        <is>
          <t>-</t>
        </is>
      </c>
      <c r="G4006" s="7" t="n">
        <v>380.5909729003906</v>
      </c>
      <c r="H4006" s="6">
        <f>P3975</f>
        <v/>
      </c>
      <c r="I4006" s="9">
        <f>Q3975</f>
        <v/>
      </c>
      <c r="J4006" s="7">
        <f>I4006*G4006</f>
        <v/>
      </c>
      <c r="K4006" s="8">
        <f>IF($J$4031=0,0,J4006/$J$4031)</f>
        <v/>
      </c>
      <c r="L4006" s="6" t="inlineStr">
        <is>
          <t>REJECTED</t>
        </is>
      </c>
      <c r="M4006" s="8" t="n">
        <v>0</v>
      </c>
      <c r="N4006" s="7">
        <f>M4006*$J$4031-J4006</f>
        <v/>
      </c>
      <c r="O4006" s="9">
        <f>IF(G4006=0,0,N4006/G4006)</f>
        <v/>
      </c>
      <c r="P4006" s="6">
        <f>IF(M4006&gt;0,D4006,"")</f>
        <v/>
      </c>
      <c r="Q4006" s="9">
        <f>I4006+O4006</f>
        <v/>
      </c>
      <c r="R4006" s="7">
        <f>Q4006*G4006</f>
        <v/>
      </c>
      <c r="S4006" s="8">
        <f>IF($R$4031=0,0,R4006/$R$4031)</f>
        <v/>
      </c>
      <c r="T4006" s="8" t="n">
        <v>0.01499062288541286</v>
      </c>
      <c r="U4006" s="8" t="n">
        <v>0.03850527670344284</v>
      </c>
      <c r="V4006" s="6" t="inlineStr">
        <is>
          <t>not selected</t>
        </is>
      </c>
    </row>
    <row r="4007">
      <c r="A4007" s="6" t="inlineStr">
        <is>
          <t>DJ30</t>
        </is>
      </c>
      <c r="B4007" s="6" t="inlineStr">
        <is>
          <t>2025-06-27</t>
        </is>
      </c>
      <c r="C4007" s="6" t="inlineStr">
        <is>
          <t>DIA</t>
        </is>
      </c>
      <c r="D4007" s="6" t="inlineStr">
        <is>
          <t>CRM</t>
        </is>
      </c>
      <c r="E4007" s="6" t="inlineStr">
        <is>
          <t>CRM</t>
        </is>
      </c>
      <c r="F4007" s="6" t="inlineStr">
        <is>
          <t>-</t>
        </is>
      </c>
      <c r="G4007" s="7" t="n">
        <v>271.1253051757812</v>
      </c>
      <c r="H4007" s="6">
        <f>P3976</f>
        <v/>
      </c>
      <c r="I4007" s="9">
        <f>Q3976</f>
        <v/>
      </c>
      <c r="J4007" s="7">
        <f>I4007*G4007</f>
        <v/>
      </c>
      <c r="K4007" s="8">
        <f>IF($J$4031=0,0,J4007/$J$4031)</f>
        <v/>
      </c>
      <c r="L4007" s="6" t="inlineStr">
        <is>
          <t>REJECTED</t>
        </is>
      </c>
      <c r="M4007" s="8" t="n">
        <v>0</v>
      </c>
      <c r="N4007" s="7">
        <f>M4007*$J$4031-J4007</f>
        <v/>
      </c>
      <c r="O4007" s="9">
        <f>IF(G4007=0,0,N4007/G4007)</f>
        <v/>
      </c>
      <c r="P4007" s="6">
        <f>IF(M4007&gt;0,D4007,"")</f>
        <v/>
      </c>
      <c r="Q4007" s="9">
        <f>I4007+O4007</f>
        <v/>
      </c>
      <c r="R4007" s="7">
        <f>Q4007*G4007</f>
        <v/>
      </c>
      <c r="S4007" s="8">
        <f>IF($R$4031=0,0,R4007/$R$4031)</f>
        <v/>
      </c>
      <c r="T4007" s="8" t="n">
        <v>0.01499062288541286</v>
      </c>
      <c r="U4007" s="8" t="n">
        <v>0.03850527670344284</v>
      </c>
      <c r="V4007" s="6" t="inlineStr">
        <is>
          <t>not selected</t>
        </is>
      </c>
    </row>
    <row r="4008">
      <c r="A4008" s="6" t="inlineStr">
        <is>
          <t>DJ30</t>
        </is>
      </c>
      <c r="B4008" s="6" t="inlineStr">
        <is>
          <t>2025-06-27</t>
        </is>
      </c>
      <c r="C4008" s="6" t="inlineStr">
        <is>
          <t>DIA</t>
        </is>
      </c>
      <c r="D4008" s="6" t="inlineStr">
        <is>
          <t>CSCO</t>
        </is>
      </c>
      <c r="E4008" s="6" t="inlineStr">
        <is>
          <t>CSCO</t>
        </is>
      </c>
      <c r="F4008" s="6" t="inlineStr">
        <is>
          <t>-</t>
        </is>
      </c>
      <c r="G4008" s="7" t="n">
        <v>67.10540771484375</v>
      </c>
      <c r="H4008" s="6">
        <f>P3977</f>
        <v/>
      </c>
      <c r="I4008" s="9">
        <f>Q3977</f>
        <v/>
      </c>
      <c r="J4008" s="7">
        <f>I4008*G4008</f>
        <v/>
      </c>
      <c r="K4008" s="8">
        <f>IF($J$4031=0,0,J4008/$J$4031)</f>
        <v/>
      </c>
      <c r="L4008" s="6" t="inlineStr">
        <is>
          <t>WATCHLIST</t>
        </is>
      </c>
      <c r="M4008" s="8" t="n">
        <v>0</v>
      </c>
      <c r="N4008" s="7">
        <f>M4008*$J$4031-J4008</f>
        <v/>
      </c>
      <c r="O4008" s="9">
        <f>IF(G4008=0,0,N4008/G4008)</f>
        <v/>
      </c>
      <c r="P4008" s="6">
        <f>IF(M4008&gt;0,D4008,"")</f>
        <v/>
      </c>
      <c r="Q4008" s="9">
        <f>I4008+O4008</f>
        <v/>
      </c>
      <c r="R4008" s="7">
        <f>Q4008*G4008</f>
        <v/>
      </c>
      <c r="S4008" s="8">
        <f>IF($R$4031=0,0,R4008/$R$4031)</f>
        <v/>
      </c>
      <c r="T4008" s="8" t="n">
        <v>0.01499062288541286</v>
      </c>
      <c r="U4008" s="8" t="n">
        <v>0.03850527670344284</v>
      </c>
      <c r="V4008" s="6" t="inlineStr">
        <is>
          <t>not selected</t>
        </is>
      </c>
    </row>
    <row r="4009">
      <c r="A4009" s="6" t="inlineStr">
        <is>
          <t>DJ30</t>
        </is>
      </c>
      <c r="B4009" s="6" t="inlineStr">
        <is>
          <t>2025-06-27</t>
        </is>
      </c>
      <c r="C4009" s="6" t="inlineStr">
        <is>
          <t>DIA</t>
        </is>
      </c>
      <c r="D4009" s="6" t="inlineStr">
        <is>
          <t>CVX</t>
        </is>
      </c>
      <c r="E4009" s="6" t="inlineStr">
        <is>
          <t>CVX</t>
        </is>
      </c>
      <c r="F4009" s="6" t="inlineStr">
        <is>
          <t>-</t>
        </is>
      </c>
      <c r="G4009" s="7" t="n">
        <v>138.009765625</v>
      </c>
      <c r="H4009" s="6">
        <f>P3978</f>
        <v/>
      </c>
      <c r="I4009" s="9">
        <f>Q3978</f>
        <v/>
      </c>
      <c r="J4009" s="7">
        <f>I4009*G4009</f>
        <v/>
      </c>
      <c r="K4009" s="8">
        <f>IF($J$4031=0,0,J4009/$J$4031)</f>
        <v/>
      </c>
      <c r="L4009" s="6" t="inlineStr">
        <is>
          <t>REJECTED</t>
        </is>
      </c>
      <c r="M4009" s="8" t="n">
        <v>0</v>
      </c>
      <c r="N4009" s="7">
        <f>M4009*$J$4031-J4009</f>
        <v/>
      </c>
      <c r="O4009" s="9">
        <f>IF(G4009=0,0,N4009/G4009)</f>
        <v/>
      </c>
      <c r="P4009" s="6">
        <f>IF(M4009&gt;0,D4009,"")</f>
        <v/>
      </c>
      <c r="Q4009" s="9">
        <f>I4009+O4009</f>
        <v/>
      </c>
      <c r="R4009" s="7">
        <f>Q4009*G4009</f>
        <v/>
      </c>
      <c r="S4009" s="8">
        <f>IF($R$4031=0,0,R4009/$R$4031)</f>
        <v/>
      </c>
      <c r="T4009" s="8" t="n">
        <v>0.01499062288541286</v>
      </c>
      <c r="U4009" s="8" t="n">
        <v>0.03850527670344284</v>
      </c>
      <c r="V4009" s="6" t="inlineStr">
        <is>
          <t>not selected</t>
        </is>
      </c>
    </row>
    <row r="4010">
      <c r="A4010" s="6" t="inlineStr">
        <is>
          <t>DJ30</t>
        </is>
      </c>
      <c r="B4010" s="6" t="inlineStr">
        <is>
          <t>2025-06-27</t>
        </is>
      </c>
      <c r="C4010" s="6" t="inlineStr">
        <is>
          <t>DIA</t>
        </is>
      </c>
      <c r="D4010" s="6" t="inlineStr">
        <is>
          <t>DIS</t>
        </is>
      </c>
      <c r="E4010" s="6" t="inlineStr">
        <is>
          <t>DIS</t>
        </is>
      </c>
      <c r="F4010" s="6" t="inlineStr">
        <is>
          <t>-</t>
        </is>
      </c>
      <c r="G4010" s="7" t="n">
        <v>121.517822265625</v>
      </c>
      <c r="H4010" s="6">
        <f>P3979</f>
        <v/>
      </c>
      <c r="I4010" s="9">
        <f>Q3979</f>
        <v/>
      </c>
      <c r="J4010" s="7">
        <f>I4010*G4010</f>
        <v/>
      </c>
      <c r="K4010" s="8">
        <f>IF($J$4031=0,0,J4010/$J$4031)</f>
        <v/>
      </c>
      <c r="L4010" s="6" t="inlineStr">
        <is>
          <t>REJECTED</t>
        </is>
      </c>
      <c r="M4010" s="8" t="n">
        <v>0</v>
      </c>
      <c r="N4010" s="7">
        <f>M4010*$J$4031-J4010</f>
        <v/>
      </c>
      <c r="O4010" s="9">
        <f>IF(G4010=0,0,N4010/G4010)</f>
        <v/>
      </c>
      <c r="P4010" s="6">
        <f>IF(M4010&gt;0,D4010,"")</f>
        <v/>
      </c>
      <c r="Q4010" s="9">
        <f>I4010+O4010</f>
        <v/>
      </c>
      <c r="R4010" s="7">
        <f>Q4010*G4010</f>
        <v/>
      </c>
      <c r="S4010" s="8">
        <f>IF($R$4031=0,0,R4010/$R$4031)</f>
        <v/>
      </c>
      <c r="T4010" s="8" t="n">
        <v>0.01499062288541286</v>
      </c>
      <c r="U4010" s="8" t="n">
        <v>0.03850527670344284</v>
      </c>
      <c r="V4010" s="6" t="inlineStr">
        <is>
          <t>not selected</t>
        </is>
      </c>
    </row>
    <row r="4011">
      <c r="A4011" s="6" t="inlineStr">
        <is>
          <t>DJ30</t>
        </is>
      </c>
      <c r="B4011" s="6" t="inlineStr">
        <is>
          <t>2025-06-27</t>
        </is>
      </c>
      <c r="C4011" s="6" t="inlineStr">
        <is>
          <t>DIA</t>
        </is>
      </c>
      <c r="D4011" s="6" t="inlineStr">
        <is>
          <t>GS</t>
        </is>
      </c>
      <c r="E4011" s="6" t="inlineStr">
        <is>
          <t>GS</t>
        </is>
      </c>
      <c r="F4011" s="6" t="inlineStr">
        <is>
          <t>-</t>
        </is>
      </c>
      <c r="G4011" s="7" t="n">
        <v>677.1780395507812</v>
      </c>
      <c r="H4011" s="6">
        <f>P3980</f>
        <v/>
      </c>
      <c r="I4011" s="9">
        <f>Q3980</f>
        <v/>
      </c>
      <c r="J4011" s="7">
        <f>I4011*G4011</f>
        <v/>
      </c>
      <c r="K4011" s="8">
        <f>IF($J$4031=0,0,J4011/$J$4031)</f>
        <v/>
      </c>
      <c r="L4011" s="6" t="inlineStr">
        <is>
          <t>WATCHLIST</t>
        </is>
      </c>
      <c r="M4011" s="8" t="n">
        <v>0</v>
      </c>
      <c r="N4011" s="7">
        <f>M4011*$J$4031-J4011</f>
        <v/>
      </c>
      <c r="O4011" s="9">
        <f>IF(G4011=0,0,N4011/G4011)</f>
        <v/>
      </c>
      <c r="P4011" s="6">
        <f>IF(M4011&gt;0,D4011,"")</f>
        <v/>
      </c>
      <c r="Q4011" s="9">
        <f>I4011+O4011</f>
        <v/>
      </c>
      <c r="R4011" s="7">
        <f>Q4011*G4011</f>
        <v/>
      </c>
      <c r="S4011" s="8">
        <f>IF($R$4031=0,0,R4011/$R$4031)</f>
        <v/>
      </c>
      <c r="T4011" s="8" t="n">
        <v>0.01499062288541286</v>
      </c>
      <c r="U4011" s="8" t="n">
        <v>0.03850527670344284</v>
      </c>
      <c r="V4011" s="6" t="inlineStr">
        <is>
          <t>not selected</t>
        </is>
      </c>
    </row>
    <row r="4012">
      <c r="A4012" s="6" t="inlineStr">
        <is>
          <t>DJ30</t>
        </is>
      </c>
      <c r="B4012" s="6" t="inlineStr">
        <is>
          <t>2025-06-27</t>
        </is>
      </c>
      <c r="C4012" s="6" t="inlineStr">
        <is>
          <t>DIA</t>
        </is>
      </c>
      <c r="D4012" s="6" t="inlineStr">
        <is>
          <t>HD</t>
        </is>
      </c>
      <c r="E4012" s="6" t="inlineStr">
        <is>
          <t>HD</t>
        </is>
      </c>
      <c r="F4012" s="6" t="inlineStr">
        <is>
          <t>-</t>
        </is>
      </c>
      <c r="G4012" s="7" t="n">
        <v>359.1900329589844</v>
      </c>
      <c r="H4012" s="6">
        <f>P3981</f>
        <v/>
      </c>
      <c r="I4012" s="9">
        <f>Q3981</f>
        <v/>
      </c>
      <c r="J4012" s="7">
        <f>I4012*G4012</f>
        <v/>
      </c>
      <c r="K4012" s="8">
        <f>IF($J$4031=0,0,J4012/$J$4031)</f>
        <v/>
      </c>
      <c r="L4012" s="6" t="inlineStr">
        <is>
          <t>REJECTED</t>
        </is>
      </c>
      <c r="M4012" s="8" t="n">
        <v>0</v>
      </c>
      <c r="N4012" s="7">
        <f>M4012*$J$4031-J4012</f>
        <v/>
      </c>
      <c r="O4012" s="9">
        <f>IF(G4012=0,0,N4012/G4012)</f>
        <v/>
      </c>
      <c r="P4012" s="6">
        <f>IF(M4012&gt;0,D4012,"")</f>
        <v/>
      </c>
      <c r="Q4012" s="9">
        <f>I4012+O4012</f>
        <v/>
      </c>
      <c r="R4012" s="7">
        <f>Q4012*G4012</f>
        <v/>
      </c>
      <c r="S4012" s="8">
        <f>IF($R$4031=0,0,R4012/$R$4031)</f>
        <v/>
      </c>
      <c r="T4012" s="8" t="n">
        <v>0.01499062288541286</v>
      </c>
      <c r="U4012" s="8" t="n">
        <v>0.03850527670344284</v>
      </c>
      <c r="V4012" s="6" t="inlineStr">
        <is>
          <t>not selected</t>
        </is>
      </c>
    </row>
    <row r="4013">
      <c r="A4013" s="6" t="inlineStr">
        <is>
          <t>DJ30</t>
        </is>
      </c>
      <c r="B4013" s="6" t="inlineStr">
        <is>
          <t>2025-06-27</t>
        </is>
      </c>
      <c r="C4013" s="6" t="inlineStr">
        <is>
          <t>DIA</t>
        </is>
      </c>
      <c r="D4013" s="6" t="inlineStr">
        <is>
          <t>HON</t>
        </is>
      </c>
      <c r="E4013" s="6" t="inlineStr">
        <is>
          <t>HON</t>
        </is>
      </c>
      <c r="F4013" s="6" t="inlineStr">
        <is>
          <t>-</t>
        </is>
      </c>
      <c r="G4013" s="7" t="n">
        <v>211.0843658447266</v>
      </c>
      <c r="H4013" s="6">
        <f>P3982</f>
        <v/>
      </c>
      <c r="I4013" s="9">
        <f>Q3982</f>
        <v/>
      </c>
      <c r="J4013" s="7">
        <f>I4013*G4013</f>
        <v/>
      </c>
      <c r="K4013" s="8">
        <f>IF($J$4031=0,0,J4013/$J$4031)</f>
        <v/>
      </c>
      <c r="L4013" s="6" t="inlineStr">
        <is>
          <t>REJECTED</t>
        </is>
      </c>
      <c r="M4013" s="8" t="n">
        <v>0</v>
      </c>
      <c r="N4013" s="7">
        <f>M4013*$J$4031-J4013</f>
        <v/>
      </c>
      <c r="O4013" s="9">
        <f>IF(G4013=0,0,N4013/G4013)</f>
        <v/>
      </c>
      <c r="P4013" s="6">
        <f>IF(M4013&gt;0,D4013,"")</f>
        <v/>
      </c>
      <c r="Q4013" s="9">
        <f>I4013+O4013</f>
        <v/>
      </c>
      <c r="R4013" s="7">
        <f>Q4013*G4013</f>
        <v/>
      </c>
      <c r="S4013" s="8">
        <f>IF($R$4031=0,0,R4013/$R$4031)</f>
        <v/>
      </c>
      <c r="T4013" s="8" t="n">
        <v>0.01499062288541286</v>
      </c>
      <c r="U4013" s="8" t="n">
        <v>0.03850527670344284</v>
      </c>
      <c r="V4013" s="6" t="inlineStr">
        <is>
          <t>not selected</t>
        </is>
      </c>
    </row>
    <row r="4014">
      <c r="A4014" s="6" t="inlineStr">
        <is>
          <t>DJ30</t>
        </is>
      </c>
      <c r="B4014" s="6" t="inlineStr">
        <is>
          <t>2025-06-27</t>
        </is>
      </c>
      <c r="C4014" s="6" t="inlineStr">
        <is>
          <t>DIA</t>
        </is>
      </c>
      <c r="D4014" s="6" t="inlineStr">
        <is>
          <t>IBM</t>
        </is>
      </c>
      <c r="E4014" s="6" t="inlineStr">
        <is>
          <t>IBM</t>
        </is>
      </c>
      <c r="F4014" s="6" t="inlineStr">
        <is>
          <t>-</t>
        </is>
      </c>
      <c r="G4014" s="7" t="n">
        <v>282.4751892089844</v>
      </c>
      <c r="H4014" s="6">
        <f>P3983</f>
        <v/>
      </c>
      <c r="I4014" s="9">
        <f>Q3983</f>
        <v/>
      </c>
      <c r="J4014" s="7">
        <f>I4014*G4014</f>
        <v/>
      </c>
      <c r="K4014" s="8">
        <f>IF($J$4031=0,0,J4014/$J$4031)</f>
        <v/>
      </c>
      <c r="L4014" s="6" t="inlineStr">
        <is>
          <t>SELECTED</t>
        </is>
      </c>
      <c r="M4014" s="8" t="n">
        <v>0.2</v>
      </c>
      <c r="N4014" s="7">
        <f>M4014*$J$4031-J4014</f>
        <v/>
      </c>
      <c r="O4014" s="9">
        <f>IF(G4014=0,0,N4014/G4014)</f>
        <v/>
      </c>
      <c r="P4014" s="6">
        <f>IF(M4014&gt;0,D4014,"")</f>
        <v/>
      </c>
      <c r="Q4014" s="9">
        <f>I4014+O4014</f>
        <v/>
      </c>
      <c r="R4014" s="7">
        <f>Q4014*G4014</f>
        <v/>
      </c>
      <c r="S4014" s="8">
        <f>IF($R$4031=0,0,R4014/$R$4031)</f>
        <v/>
      </c>
      <c r="T4014" s="8" t="n">
        <v>0.01499062288541286</v>
      </c>
      <c r="U4014" s="8" t="n">
        <v>0.03850527670344284</v>
      </c>
      <c r="V4014" s="6" t="inlineStr">
        <is>
          <t>remained in weekly selection</t>
        </is>
      </c>
    </row>
    <row r="4015">
      <c r="A4015" s="6" t="inlineStr">
        <is>
          <t>DJ30</t>
        </is>
      </c>
      <c r="B4015" s="6" t="inlineStr">
        <is>
          <t>2025-06-27</t>
        </is>
      </c>
      <c r="C4015" s="6" t="inlineStr">
        <is>
          <t>DIA</t>
        </is>
      </c>
      <c r="D4015" s="6" t="inlineStr">
        <is>
          <t>JNJ</t>
        </is>
      </c>
      <c r="E4015" s="6" t="inlineStr">
        <is>
          <t>JNJ</t>
        </is>
      </c>
      <c r="F4015" s="6" t="inlineStr">
        <is>
          <t>-</t>
        </is>
      </c>
      <c r="G4015" s="7" t="n">
        <v>148.6947174072266</v>
      </c>
      <c r="H4015" s="6">
        <f>P3984</f>
        <v/>
      </c>
      <c r="I4015" s="9">
        <f>Q3984</f>
        <v/>
      </c>
      <c r="J4015" s="7">
        <f>I4015*G4015</f>
        <v/>
      </c>
      <c r="K4015" s="8">
        <f>IF($J$4031=0,0,J4015/$J$4031)</f>
        <v/>
      </c>
      <c r="L4015" s="6" t="inlineStr">
        <is>
          <t>REJECTED</t>
        </is>
      </c>
      <c r="M4015" s="8" t="n">
        <v>0</v>
      </c>
      <c r="N4015" s="7">
        <f>M4015*$J$4031-J4015</f>
        <v/>
      </c>
      <c r="O4015" s="9">
        <f>IF(G4015=0,0,N4015/G4015)</f>
        <v/>
      </c>
      <c r="P4015" s="6">
        <f>IF(M4015&gt;0,D4015,"")</f>
        <v/>
      </c>
      <c r="Q4015" s="9">
        <f>I4015+O4015</f>
        <v/>
      </c>
      <c r="R4015" s="7">
        <f>Q4015*G4015</f>
        <v/>
      </c>
      <c r="S4015" s="8">
        <f>IF($R$4031=0,0,R4015/$R$4031)</f>
        <v/>
      </c>
      <c r="T4015" s="8" t="n">
        <v>0.01499062288541286</v>
      </c>
      <c r="U4015" s="8" t="n">
        <v>0.03850527670344284</v>
      </c>
      <c r="V4015" s="6" t="inlineStr">
        <is>
          <t>not selected</t>
        </is>
      </c>
    </row>
    <row r="4016">
      <c r="A4016" s="6" t="inlineStr">
        <is>
          <t>DJ30</t>
        </is>
      </c>
      <c r="B4016" s="6" t="inlineStr">
        <is>
          <t>2025-06-27</t>
        </is>
      </c>
      <c r="C4016" s="6" t="inlineStr">
        <is>
          <t>DIA</t>
        </is>
      </c>
      <c r="D4016" s="6" t="inlineStr">
        <is>
          <t>JPM</t>
        </is>
      </c>
      <c r="E4016" s="6" t="inlineStr">
        <is>
          <t>JPM</t>
        </is>
      </c>
      <c r="F4016" s="6" t="inlineStr">
        <is>
          <t>-</t>
        </is>
      </c>
      <c r="G4016" s="7" t="n">
        <v>281.6327819824219</v>
      </c>
      <c r="H4016" s="6">
        <f>P3985</f>
        <v/>
      </c>
      <c r="I4016" s="9">
        <f>Q3985</f>
        <v/>
      </c>
      <c r="J4016" s="7">
        <f>I4016*G4016</f>
        <v/>
      </c>
      <c r="K4016" s="8">
        <f>IF($J$4031=0,0,J4016/$J$4031)</f>
        <v/>
      </c>
      <c r="L4016" s="6" t="inlineStr">
        <is>
          <t>WATCHLIST</t>
        </is>
      </c>
      <c r="M4016" s="8" t="n">
        <v>0</v>
      </c>
      <c r="N4016" s="7">
        <f>M4016*$J$4031-J4016</f>
        <v/>
      </c>
      <c r="O4016" s="9">
        <f>IF(G4016=0,0,N4016/G4016)</f>
        <v/>
      </c>
      <c r="P4016" s="6">
        <f>IF(M4016&gt;0,D4016,"")</f>
        <v/>
      </c>
      <c r="Q4016" s="9">
        <f>I4016+O4016</f>
        <v/>
      </c>
      <c r="R4016" s="7">
        <f>Q4016*G4016</f>
        <v/>
      </c>
      <c r="S4016" s="8">
        <f>IF($R$4031=0,0,R4016/$R$4031)</f>
        <v/>
      </c>
      <c r="T4016" s="8" t="n">
        <v>0.01499062288541286</v>
      </c>
      <c r="U4016" s="8" t="n">
        <v>0.03850527670344284</v>
      </c>
      <c r="V4016" s="6" t="inlineStr">
        <is>
          <t>not selected</t>
        </is>
      </c>
    </row>
    <row r="4017">
      <c r="A4017" s="6" t="inlineStr">
        <is>
          <t>DJ30</t>
        </is>
      </c>
      <c r="B4017" s="6" t="inlineStr">
        <is>
          <t>2025-06-27</t>
        </is>
      </c>
      <c r="C4017" s="6" t="inlineStr">
        <is>
          <t>DIA</t>
        </is>
      </c>
      <c r="D4017" s="6" t="inlineStr">
        <is>
          <t>KO</t>
        </is>
      </c>
      <c r="E4017" s="6" t="inlineStr">
        <is>
          <t>KO</t>
        </is>
      </c>
      <c r="F4017" s="6" t="inlineStr">
        <is>
          <t>-</t>
        </is>
      </c>
      <c r="G4017" s="7" t="n">
        <v>68.39305877685547</v>
      </c>
      <c r="H4017" s="6">
        <f>P3986</f>
        <v/>
      </c>
      <c r="I4017" s="9">
        <f>Q3986</f>
        <v/>
      </c>
      <c r="J4017" s="7">
        <f>I4017*G4017</f>
        <v/>
      </c>
      <c r="K4017" s="8">
        <f>IF($J$4031=0,0,J4017/$J$4031)</f>
        <v/>
      </c>
      <c r="L4017" s="6" t="inlineStr">
        <is>
          <t>REJECTED</t>
        </is>
      </c>
      <c r="M4017" s="8" t="n">
        <v>0</v>
      </c>
      <c r="N4017" s="7">
        <f>M4017*$J$4031-J4017</f>
        <v/>
      </c>
      <c r="O4017" s="9">
        <f>IF(G4017=0,0,N4017/G4017)</f>
        <v/>
      </c>
      <c r="P4017" s="6">
        <f>IF(M4017&gt;0,D4017,"")</f>
        <v/>
      </c>
      <c r="Q4017" s="9">
        <f>I4017+O4017</f>
        <v/>
      </c>
      <c r="R4017" s="7">
        <f>Q4017*G4017</f>
        <v/>
      </c>
      <c r="S4017" s="8">
        <f>IF($R$4031=0,0,R4017/$R$4031)</f>
        <v/>
      </c>
      <c r="T4017" s="8" t="n">
        <v>0.01499062288541286</v>
      </c>
      <c r="U4017" s="8" t="n">
        <v>0.03850527670344284</v>
      </c>
      <c r="V4017" s="6" t="inlineStr">
        <is>
          <t>not selected</t>
        </is>
      </c>
    </row>
    <row r="4018">
      <c r="A4018" s="6" t="inlineStr">
        <is>
          <t>DJ30</t>
        </is>
      </c>
      <c r="B4018" s="6" t="inlineStr">
        <is>
          <t>2025-06-27</t>
        </is>
      </c>
      <c r="C4018" s="6" t="inlineStr">
        <is>
          <t>DIA</t>
        </is>
      </c>
      <c r="D4018" s="6" t="inlineStr">
        <is>
          <t>MCD</t>
        </is>
      </c>
      <c r="E4018" s="6" t="inlineStr">
        <is>
          <t>MCD</t>
        </is>
      </c>
      <c r="F4018" s="6" t="inlineStr">
        <is>
          <t>-</t>
        </is>
      </c>
      <c r="G4018" s="7" t="n">
        <v>284.6434936523437</v>
      </c>
      <c r="H4018" s="6">
        <f>P3987</f>
        <v/>
      </c>
      <c r="I4018" s="9">
        <f>Q3987</f>
        <v/>
      </c>
      <c r="J4018" s="7">
        <f>I4018*G4018</f>
        <v/>
      </c>
      <c r="K4018" s="8">
        <f>IF($J$4031=0,0,J4018/$J$4031)</f>
        <v/>
      </c>
      <c r="L4018" s="6" t="inlineStr">
        <is>
          <t>SELECTED</t>
        </is>
      </c>
      <c r="M4018" s="8" t="n">
        <v>0.2</v>
      </c>
      <c r="N4018" s="7">
        <f>M4018*$J$4031-J4018</f>
        <v/>
      </c>
      <c r="O4018" s="9">
        <f>IF(G4018=0,0,N4018/G4018)</f>
        <v/>
      </c>
      <c r="P4018" s="6">
        <f>IF(M4018&gt;0,D4018,"")</f>
        <v/>
      </c>
      <c r="Q4018" s="9">
        <f>I4018+O4018</f>
        <v/>
      </c>
      <c r="R4018" s="7">
        <f>Q4018*G4018</f>
        <v/>
      </c>
      <c r="S4018" s="8">
        <f>IF($R$4031=0,0,R4018/$R$4031)</f>
        <v/>
      </c>
      <c r="T4018" s="8" t="n">
        <v>0.01499062288541286</v>
      </c>
      <c r="U4018" s="8" t="n">
        <v>0.03850527670344284</v>
      </c>
      <c r="V4018" s="6" t="inlineStr">
        <is>
          <t>remained in weekly selection</t>
        </is>
      </c>
    </row>
    <row r="4019">
      <c r="A4019" s="6" t="inlineStr">
        <is>
          <t>DJ30</t>
        </is>
      </c>
      <c r="B4019" s="6" t="inlineStr">
        <is>
          <t>2025-06-27</t>
        </is>
      </c>
      <c r="C4019" s="6" t="inlineStr">
        <is>
          <t>DIA</t>
        </is>
      </c>
      <c r="D4019" s="6" t="inlineStr">
        <is>
          <t>MMM</t>
        </is>
      </c>
      <c r="E4019" s="6" t="inlineStr">
        <is>
          <t>MMM</t>
        </is>
      </c>
      <c r="F4019" s="6" t="inlineStr">
        <is>
          <t>-</t>
        </is>
      </c>
      <c r="G4019" s="7" t="n">
        <v>149.2285461425781</v>
      </c>
      <c r="H4019" s="6">
        <f>P3988</f>
        <v/>
      </c>
      <c r="I4019" s="9">
        <f>Q3988</f>
        <v/>
      </c>
      <c r="J4019" s="7">
        <f>I4019*G4019</f>
        <v/>
      </c>
      <c r="K4019" s="8">
        <f>IF($J$4031=0,0,J4019/$J$4031)</f>
        <v/>
      </c>
      <c r="L4019" s="6" t="inlineStr">
        <is>
          <t>WATCHLIST</t>
        </is>
      </c>
      <c r="M4019" s="8" t="n">
        <v>0</v>
      </c>
      <c r="N4019" s="7">
        <f>M4019*$J$4031-J4019</f>
        <v/>
      </c>
      <c r="O4019" s="9">
        <f>IF(G4019=0,0,N4019/G4019)</f>
        <v/>
      </c>
      <c r="P4019" s="6">
        <f>IF(M4019&gt;0,D4019,"")</f>
        <v/>
      </c>
      <c r="Q4019" s="9">
        <f>I4019+O4019</f>
        <v/>
      </c>
      <c r="R4019" s="7">
        <f>Q4019*G4019</f>
        <v/>
      </c>
      <c r="S4019" s="8">
        <f>IF($R$4031=0,0,R4019/$R$4031)</f>
        <v/>
      </c>
      <c r="T4019" s="8" t="n">
        <v>0.01499062288541286</v>
      </c>
      <c r="U4019" s="8" t="n">
        <v>0.03850527670344284</v>
      </c>
      <c r="V4019" s="6" t="inlineStr">
        <is>
          <t>not selected</t>
        </is>
      </c>
    </row>
    <row r="4020">
      <c r="A4020" s="6" t="inlineStr">
        <is>
          <t>DJ30</t>
        </is>
      </c>
      <c r="B4020" s="6" t="inlineStr">
        <is>
          <t>2025-06-27</t>
        </is>
      </c>
      <c r="C4020" s="6" t="inlineStr">
        <is>
          <t>DIA</t>
        </is>
      </c>
      <c r="D4020" s="6" t="inlineStr">
        <is>
          <t>MRK</t>
        </is>
      </c>
      <c r="E4020" s="6" t="inlineStr">
        <is>
          <t>MRK</t>
        </is>
      </c>
      <c r="F4020" s="6" t="inlineStr">
        <is>
          <t>-</t>
        </is>
      </c>
      <c r="G4020" s="7" t="n">
        <v>76.54108428955078</v>
      </c>
      <c r="H4020" s="6">
        <f>P3989</f>
        <v/>
      </c>
      <c r="I4020" s="9">
        <f>Q3989</f>
        <v/>
      </c>
      <c r="J4020" s="7">
        <f>I4020*G4020</f>
        <v/>
      </c>
      <c r="K4020" s="8">
        <f>IF($J$4031=0,0,J4020/$J$4031)</f>
        <v/>
      </c>
      <c r="L4020" s="6" t="inlineStr">
        <is>
          <t>REJECTED</t>
        </is>
      </c>
      <c r="M4020" s="8" t="n">
        <v>0</v>
      </c>
      <c r="N4020" s="7">
        <f>M4020*$J$4031-J4020</f>
        <v/>
      </c>
      <c r="O4020" s="9">
        <f>IF(G4020=0,0,N4020/G4020)</f>
        <v/>
      </c>
      <c r="P4020" s="6">
        <f>IF(M4020&gt;0,D4020,"")</f>
        <v/>
      </c>
      <c r="Q4020" s="9">
        <f>I4020+O4020</f>
        <v/>
      </c>
      <c r="R4020" s="7">
        <f>Q4020*G4020</f>
        <v/>
      </c>
      <c r="S4020" s="8">
        <f>IF($R$4031=0,0,R4020/$R$4031)</f>
        <v/>
      </c>
      <c r="T4020" s="8" t="n">
        <v>0.01499062288541286</v>
      </c>
      <c r="U4020" s="8" t="n">
        <v>0.03850527670344284</v>
      </c>
      <c r="V4020" s="6" t="inlineStr">
        <is>
          <t>not selected</t>
        </is>
      </c>
    </row>
    <row r="4021">
      <c r="A4021" s="6" t="inlineStr">
        <is>
          <t>DJ30</t>
        </is>
      </c>
      <c r="B4021" s="6" t="inlineStr">
        <is>
          <t>2025-06-27</t>
        </is>
      </c>
      <c r="C4021" s="6" t="inlineStr">
        <is>
          <t>DIA</t>
        </is>
      </c>
      <c r="D4021" s="6" t="inlineStr">
        <is>
          <t>MSFT</t>
        </is>
      </c>
      <c r="E4021" s="6" t="inlineStr">
        <is>
          <t>MSFT</t>
        </is>
      </c>
      <c r="F4021" s="6" t="inlineStr">
        <is>
          <t>-</t>
        </is>
      </c>
      <c r="G4021" s="7" t="n">
        <v>492.0100402832031</v>
      </c>
      <c r="H4021" s="6">
        <f>P3990</f>
        <v/>
      </c>
      <c r="I4021" s="9">
        <f>Q3990</f>
        <v/>
      </c>
      <c r="J4021" s="7">
        <f>I4021*G4021</f>
        <v/>
      </c>
      <c r="K4021" s="8">
        <f>IF($J$4031=0,0,J4021/$J$4031)</f>
        <v/>
      </c>
      <c r="L4021" s="6" t="inlineStr">
        <is>
          <t>REJECTED</t>
        </is>
      </c>
      <c r="M4021" s="8" t="n">
        <v>0</v>
      </c>
      <c r="N4021" s="7">
        <f>M4021*$J$4031-J4021</f>
        <v/>
      </c>
      <c r="O4021" s="9">
        <f>IF(G4021=0,0,N4021/G4021)</f>
        <v/>
      </c>
      <c r="P4021" s="6">
        <f>IF(M4021&gt;0,D4021,"")</f>
        <v/>
      </c>
      <c r="Q4021" s="9">
        <f>I4021+O4021</f>
        <v/>
      </c>
      <c r="R4021" s="7">
        <f>Q4021*G4021</f>
        <v/>
      </c>
      <c r="S4021" s="8">
        <f>IF($R$4031=0,0,R4021/$R$4031)</f>
        <v/>
      </c>
      <c r="T4021" s="8" t="n">
        <v>0.01499062288541286</v>
      </c>
      <c r="U4021" s="8" t="n">
        <v>0.03850527670344284</v>
      </c>
      <c r="V4021" s="6" t="inlineStr">
        <is>
          <t>not selected</t>
        </is>
      </c>
    </row>
    <row r="4022">
      <c r="A4022" s="6" t="inlineStr">
        <is>
          <t>DJ30</t>
        </is>
      </c>
      <c r="B4022" s="6" t="inlineStr">
        <is>
          <t>2025-06-27</t>
        </is>
      </c>
      <c r="C4022" s="6" t="inlineStr">
        <is>
          <t>DIA</t>
        </is>
      </c>
      <c r="D4022" s="6" t="inlineStr">
        <is>
          <t>NKE</t>
        </is>
      </c>
      <c r="E4022" s="6" t="inlineStr">
        <is>
          <t>NKE</t>
        </is>
      </c>
      <c r="F4022" s="6" t="inlineStr">
        <is>
          <t>-</t>
        </is>
      </c>
      <c r="G4022" s="7" t="n">
        <v>70.11595153808594</v>
      </c>
      <c r="H4022" s="6">
        <f>P3991</f>
        <v/>
      </c>
      <c r="I4022" s="9">
        <f>Q3991</f>
        <v/>
      </c>
      <c r="J4022" s="7">
        <f>I4022*G4022</f>
        <v/>
      </c>
      <c r="K4022" s="8">
        <f>IF($J$4031=0,0,J4022/$J$4031)</f>
        <v/>
      </c>
      <c r="L4022" s="6" t="inlineStr">
        <is>
          <t>REJECTED</t>
        </is>
      </c>
      <c r="M4022" s="8" t="n">
        <v>0</v>
      </c>
      <c r="N4022" s="7">
        <f>M4022*$J$4031-J4022</f>
        <v/>
      </c>
      <c r="O4022" s="9">
        <f>IF(G4022=0,0,N4022/G4022)</f>
        <v/>
      </c>
      <c r="P4022" s="6">
        <f>IF(M4022&gt;0,D4022,"")</f>
        <v/>
      </c>
      <c r="Q4022" s="9">
        <f>I4022+O4022</f>
        <v/>
      </c>
      <c r="R4022" s="7">
        <f>Q4022*G4022</f>
        <v/>
      </c>
      <c r="S4022" s="8">
        <f>IF($R$4031=0,0,R4022/$R$4031)</f>
        <v/>
      </c>
      <c r="T4022" s="8" t="n">
        <v>0.01499062288541286</v>
      </c>
      <c r="U4022" s="8" t="n">
        <v>0.03850527670344284</v>
      </c>
      <c r="V4022" s="6" t="inlineStr">
        <is>
          <t>not selected</t>
        </is>
      </c>
    </row>
    <row r="4023">
      <c r="A4023" s="6" t="inlineStr">
        <is>
          <t>DJ30</t>
        </is>
      </c>
      <c r="B4023" s="6" t="inlineStr">
        <is>
          <t>2025-06-27</t>
        </is>
      </c>
      <c r="C4023" s="6" t="inlineStr">
        <is>
          <t>DIA</t>
        </is>
      </c>
      <c r="D4023" s="6" t="inlineStr">
        <is>
          <t>NVDA</t>
        </is>
      </c>
      <c r="E4023" s="6" t="inlineStr">
        <is>
          <t>NVDA</t>
        </is>
      </c>
      <c r="F4023" s="6" t="inlineStr">
        <is>
          <t>-</t>
        </is>
      </c>
      <c r="G4023" s="7" t="n">
        <v>157.5401763916016</v>
      </c>
      <c r="H4023" s="6">
        <f>P3992</f>
        <v/>
      </c>
      <c r="I4023" s="9">
        <f>Q3992</f>
        <v/>
      </c>
      <c r="J4023" s="7">
        <f>I4023*G4023</f>
        <v/>
      </c>
      <c r="K4023" s="8">
        <f>IF($J$4031=0,0,J4023/$J$4031)</f>
        <v/>
      </c>
      <c r="L4023" s="6" t="inlineStr">
        <is>
          <t>REJECTED</t>
        </is>
      </c>
      <c r="M4023" s="8" t="n">
        <v>0</v>
      </c>
      <c r="N4023" s="7">
        <f>M4023*$J$4031-J4023</f>
        <v/>
      </c>
      <c r="O4023" s="9">
        <f>IF(G4023=0,0,N4023/G4023)</f>
        <v/>
      </c>
      <c r="P4023" s="6">
        <f>IF(M4023&gt;0,D4023,"")</f>
        <v/>
      </c>
      <c r="Q4023" s="9">
        <f>I4023+O4023</f>
        <v/>
      </c>
      <c r="R4023" s="7">
        <f>Q4023*G4023</f>
        <v/>
      </c>
      <c r="S4023" s="8">
        <f>IF($R$4031=0,0,R4023/$R$4031)</f>
        <v/>
      </c>
      <c r="T4023" s="8" t="n">
        <v>0.01499062288541286</v>
      </c>
      <c r="U4023" s="8" t="n">
        <v>0.03850527670344284</v>
      </c>
      <c r="V4023" s="6" t="inlineStr">
        <is>
          <t>not selected</t>
        </is>
      </c>
    </row>
    <row r="4024">
      <c r="A4024" s="6" t="inlineStr">
        <is>
          <t>DJ30</t>
        </is>
      </c>
      <c r="B4024" s="6" t="inlineStr">
        <is>
          <t>2025-06-27</t>
        </is>
      </c>
      <c r="C4024" s="6" t="inlineStr">
        <is>
          <t>DIA</t>
        </is>
      </c>
      <c r="D4024" s="6" t="inlineStr">
        <is>
          <t>PG</t>
        </is>
      </c>
      <c r="E4024" s="6" t="inlineStr">
        <is>
          <t>PG</t>
        </is>
      </c>
      <c r="F4024" s="6" t="inlineStr">
        <is>
          <t>-</t>
        </is>
      </c>
      <c r="G4024" s="7" t="n">
        <v>155.3899383544922</v>
      </c>
      <c r="H4024" s="6">
        <f>P3993</f>
        <v/>
      </c>
      <c r="I4024" s="9">
        <f>Q3993</f>
        <v/>
      </c>
      <c r="J4024" s="7">
        <f>I4024*G4024</f>
        <v/>
      </c>
      <c r="K4024" s="8">
        <f>IF($J$4031=0,0,J4024/$J$4031)</f>
        <v/>
      </c>
      <c r="L4024" s="6" t="inlineStr">
        <is>
          <t>REJECTED</t>
        </is>
      </c>
      <c r="M4024" s="8" t="n">
        <v>0</v>
      </c>
      <c r="N4024" s="7">
        <f>M4024*$J$4031-J4024</f>
        <v/>
      </c>
      <c r="O4024" s="9">
        <f>IF(G4024=0,0,N4024/G4024)</f>
        <v/>
      </c>
      <c r="P4024" s="6">
        <f>IF(M4024&gt;0,D4024,"")</f>
        <v/>
      </c>
      <c r="Q4024" s="9">
        <f>I4024+O4024</f>
        <v/>
      </c>
      <c r="R4024" s="7">
        <f>Q4024*G4024</f>
        <v/>
      </c>
      <c r="S4024" s="8">
        <f>IF($R$4031=0,0,R4024/$R$4031)</f>
        <v/>
      </c>
      <c r="T4024" s="8" t="n">
        <v>0.01499062288541286</v>
      </c>
      <c r="U4024" s="8" t="n">
        <v>0.03850527670344284</v>
      </c>
      <c r="V4024" s="6" t="inlineStr">
        <is>
          <t>not selected</t>
        </is>
      </c>
    </row>
    <row r="4025">
      <c r="A4025" s="6" t="inlineStr">
        <is>
          <t>DJ30</t>
        </is>
      </c>
      <c r="B4025" s="6" t="inlineStr">
        <is>
          <t>2025-06-27</t>
        </is>
      </c>
      <c r="C4025" s="6" t="inlineStr">
        <is>
          <t>DIA</t>
        </is>
      </c>
      <c r="D4025" s="6" t="inlineStr">
        <is>
          <t>SHW</t>
        </is>
      </c>
      <c r="E4025" s="6" t="inlineStr">
        <is>
          <t>SHW</t>
        </is>
      </c>
      <c r="F4025" s="6" t="inlineStr">
        <is>
          <t>-</t>
        </is>
      </c>
      <c r="G4025" s="7" t="n">
        <v>342.5211486816406</v>
      </c>
      <c r="H4025" s="6">
        <f>P3994</f>
        <v/>
      </c>
      <c r="I4025" s="9">
        <f>Q3994</f>
        <v/>
      </c>
      <c r="J4025" s="7">
        <f>I4025*G4025</f>
        <v/>
      </c>
      <c r="K4025" s="8">
        <f>IF($J$4031=0,0,J4025/$J$4031)</f>
        <v/>
      </c>
      <c r="L4025" s="6" t="inlineStr">
        <is>
          <t>REJECTED</t>
        </is>
      </c>
      <c r="M4025" s="8" t="n">
        <v>0</v>
      </c>
      <c r="N4025" s="7">
        <f>M4025*$J$4031-J4025</f>
        <v/>
      </c>
      <c r="O4025" s="9">
        <f>IF(G4025=0,0,N4025/G4025)</f>
        <v/>
      </c>
      <c r="P4025" s="6">
        <f>IF(M4025&gt;0,D4025,"")</f>
        <v/>
      </c>
      <c r="Q4025" s="9">
        <f>I4025+O4025</f>
        <v/>
      </c>
      <c r="R4025" s="7">
        <f>Q4025*G4025</f>
        <v/>
      </c>
      <c r="S4025" s="8">
        <f>IF($R$4031=0,0,R4025/$R$4031)</f>
        <v/>
      </c>
      <c r="T4025" s="8" t="n">
        <v>0.01499062288541286</v>
      </c>
      <c r="U4025" s="8" t="n">
        <v>0.03850527670344284</v>
      </c>
      <c r="V4025" s="6" t="inlineStr">
        <is>
          <t>not selected</t>
        </is>
      </c>
    </row>
    <row r="4026">
      <c r="A4026" s="6" t="inlineStr">
        <is>
          <t>DJ30</t>
        </is>
      </c>
      <c r="B4026" s="6" t="inlineStr">
        <is>
          <t>2025-06-27</t>
        </is>
      </c>
      <c r="C4026" s="6" t="inlineStr">
        <is>
          <t>DIA</t>
        </is>
      </c>
      <c r="D4026" s="6" t="inlineStr">
        <is>
          <t>TRV</t>
        </is>
      </c>
      <c r="E4026" s="6" t="inlineStr">
        <is>
          <t>TRV</t>
        </is>
      </c>
      <c r="F4026" s="6" t="inlineStr">
        <is>
          <t>-</t>
        </is>
      </c>
      <c r="G4026" s="7" t="n">
        <v>259.1864929199219</v>
      </c>
      <c r="H4026" s="6">
        <f>P3995</f>
        <v/>
      </c>
      <c r="I4026" s="9">
        <f>Q3995</f>
        <v/>
      </c>
      <c r="J4026" s="7">
        <f>I4026*G4026</f>
        <v/>
      </c>
      <c r="K4026" s="8">
        <f>IF($J$4031=0,0,J4026/$J$4031)</f>
        <v/>
      </c>
      <c r="L4026" s="6" t="inlineStr">
        <is>
          <t>WATCHLIST</t>
        </is>
      </c>
      <c r="M4026" s="8" t="n">
        <v>0</v>
      </c>
      <c r="N4026" s="7">
        <f>M4026*$J$4031-J4026</f>
        <v/>
      </c>
      <c r="O4026" s="9">
        <f>IF(G4026=0,0,N4026/G4026)</f>
        <v/>
      </c>
      <c r="P4026" s="6">
        <f>IF(M4026&gt;0,D4026,"")</f>
        <v/>
      </c>
      <c r="Q4026" s="9">
        <f>I4026+O4026</f>
        <v/>
      </c>
      <c r="R4026" s="7">
        <f>Q4026*G4026</f>
        <v/>
      </c>
      <c r="S4026" s="8">
        <f>IF($R$4031=0,0,R4026/$R$4031)</f>
        <v/>
      </c>
      <c r="T4026" s="8" t="n">
        <v>0.01499062288541286</v>
      </c>
      <c r="U4026" s="8" t="n">
        <v>0.03850527670344284</v>
      </c>
      <c r="V4026" s="6" t="inlineStr">
        <is>
          <t>not selected</t>
        </is>
      </c>
    </row>
    <row r="4027">
      <c r="A4027" s="6" t="inlineStr">
        <is>
          <t>DJ30</t>
        </is>
      </c>
      <c r="B4027" s="6" t="inlineStr">
        <is>
          <t>2025-06-27</t>
        </is>
      </c>
      <c r="C4027" s="6" t="inlineStr">
        <is>
          <t>DIA</t>
        </is>
      </c>
      <c r="D4027" s="6" t="inlineStr">
        <is>
          <t>UNH</t>
        </is>
      </c>
      <c r="E4027" s="6" t="inlineStr">
        <is>
          <t>UNH</t>
        </is>
      </c>
      <c r="F4027" s="6" t="inlineStr">
        <is>
          <t>-</t>
        </is>
      </c>
      <c r="G4027" s="7" t="n">
        <v>301.0473937988281</v>
      </c>
      <c r="H4027" s="6">
        <f>P3996</f>
        <v/>
      </c>
      <c r="I4027" s="9">
        <f>Q3996</f>
        <v/>
      </c>
      <c r="J4027" s="7">
        <f>I4027*G4027</f>
        <v/>
      </c>
      <c r="K4027" s="8">
        <f>IF($J$4031=0,0,J4027/$J$4031)</f>
        <v/>
      </c>
      <c r="L4027" s="6" t="inlineStr">
        <is>
          <t>REJECTED</t>
        </is>
      </c>
      <c r="M4027" s="8" t="n">
        <v>0</v>
      </c>
      <c r="N4027" s="7">
        <f>M4027*$J$4031-J4027</f>
        <v/>
      </c>
      <c r="O4027" s="9">
        <f>IF(G4027=0,0,N4027/G4027)</f>
        <v/>
      </c>
      <c r="P4027" s="6">
        <f>IF(M4027&gt;0,D4027,"")</f>
        <v/>
      </c>
      <c r="Q4027" s="9">
        <f>I4027+O4027</f>
        <v/>
      </c>
      <c r="R4027" s="7">
        <f>Q4027*G4027</f>
        <v/>
      </c>
      <c r="S4027" s="8">
        <f>IF($R$4031=0,0,R4027/$R$4031)</f>
        <v/>
      </c>
      <c r="T4027" s="8" t="n">
        <v>0.01499062288541286</v>
      </c>
      <c r="U4027" s="8" t="n">
        <v>0.03850527670344284</v>
      </c>
      <c r="V4027" s="6" t="inlineStr">
        <is>
          <t>not selected</t>
        </is>
      </c>
    </row>
    <row r="4028">
      <c r="A4028" s="6" t="inlineStr">
        <is>
          <t>DJ30</t>
        </is>
      </c>
      <c r="B4028" s="6" t="inlineStr">
        <is>
          <t>2025-06-27</t>
        </is>
      </c>
      <c r="C4028" s="6" t="inlineStr">
        <is>
          <t>DIA</t>
        </is>
      </c>
      <c r="D4028" s="6" t="inlineStr">
        <is>
          <t>V</t>
        </is>
      </c>
      <c r="E4028" s="6" t="inlineStr">
        <is>
          <t>V</t>
        </is>
      </c>
      <c r="F4028" s="6" t="inlineStr">
        <is>
          <t>-</t>
        </is>
      </c>
      <c r="G4028" s="7" t="n">
        <v>345.8779907226562</v>
      </c>
      <c r="H4028" s="6">
        <f>P3997</f>
        <v/>
      </c>
      <c r="I4028" s="9">
        <f>Q3997</f>
        <v/>
      </c>
      <c r="J4028" s="7">
        <f>I4028*G4028</f>
        <v/>
      </c>
      <c r="K4028" s="8">
        <f>IF($J$4031=0,0,J4028/$J$4031)</f>
        <v/>
      </c>
      <c r="L4028" s="6" t="inlineStr">
        <is>
          <t>SELECTED</t>
        </is>
      </c>
      <c r="M4028" s="8" t="n">
        <v>0.2</v>
      </c>
      <c r="N4028" s="7">
        <f>M4028*$J$4031-J4028</f>
        <v/>
      </c>
      <c r="O4028" s="9">
        <f>IF(G4028=0,0,N4028/G4028)</f>
        <v/>
      </c>
      <c r="P4028" s="6">
        <f>IF(M4028&gt;0,D4028,"")</f>
        <v/>
      </c>
      <c r="Q4028" s="9">
        <f>I4028+O4028</f>
        <v/>
      </c>
      <c r="R4028" s="7">
        <f>Q4028*G4028</f>
        <v/>
      </c>
      <c r="S4028" s="8">
        <f>IF($R$4031=0,0,R4028/$R$4031)</f>
        <v/>
      </c>
      <c r="T4028" s="8" t="n">
        <v>0.01499062288541286</v>
      </c>
      <c r="U4028" s="8" t="n">
        <v>0.03850527670344284</v>
      </c>
      <c r="V4028" s="6" t="inlineStr">
        <is>
          <t>remained in weekly selection</t>
        </is>
      </c>
    </row>
    <row r="4029">
      <c r="A4029" s="6" t="inlineStr">
        <is>
          <t>DJ30</t>
        </is>
      </c>
      <c r="B4029" s="6" t="inlineStr">
        <is>
          <t>2025-06-27</t>
        </is>
      </c>
      <c r="C4029" s="6" t="inlineStr">
        <is>
          <t>DIA</t>
        </is>
      </c>
      <c r="D4029" s="6" t="inlineStr">
        <is>
          <t>VZ</t>
        </is>
      </c>
      <c r="E4029" s="6" t="inlineStr">
        <is>
          <t>VZ</t>
        </is>
      </c>
      <c r="F4029" s="6" t="inlineStr">
        <is>
          <t>-</t>
        </is>
      </c>
      <c r="G4029" s="7" t="n">
        <v>39.63887405395508</v>
      </c>
      <c r="H4029" s="6">
        <f>P3998</f>
        <v/>
      </c>
      <c r="I4029" s="9">
        <f>Q3998</f>
        <v/>
      </c>
      <c r="J4029" s="7">
        <f>I4029*G4029</f>
        <v/>
      </c>
      <c r="K4029" s="8">
        <f>IF($J$4031=0,0,J4029/$J$4031)</f>
        <v/>
      </c>
      <c r="L4029" s="6" t="inlineStr">
        <is>
          <t>WATCHLIST</t>
        </is>
      </c>
      <c r="M4029" s="8" t="n">
        <v>0</v>
      </c>
      <c r="N4029" s="7">
        <f>M4029*$J$4031-J4029</f>
        <v/>
      </c>
      <c r="O4029" s="9">
        <f>IF(G4029=0,0,N4029/G4029)</f>
        <v/>
      </c>
      <c r="P4029" s="6">
        <f>IF(M4029&gt;0,D4029,"")</f>
        <v/>
      </c>
      <c r="Q4029" s="9">
        <f>I4029+O4029</f>
        <v/>
      </c>
      <c r="R4029" s="7">
        <f>Q4029*G4029</f>
        <v/>
      </c>
      <c r="S4029" s="8">
        <f>IF($R$4031=0,0,R4029/$R$4031)</f>
        <v/>
      </c>
      <c r="T4029" s="8" t="n">
        <v>0.01499062288541286</v>
      </c>
      <c r="U4029" s="8" t="n">
        <v>0.03850527670344284</v>
      </c>
      <c r="V4029" s="6" t="inlineStr">
        <is>
          <t>not selected</t>
        </is>
      </c>
    </row>
    <row r="4030">
      <c r="A4030" s="6" t="inlineStr">
        <is>
          <t>DJ30</t>
        </is>
      </c>
      <c r="B4030" s="6" t="inlineStr">
        <is>
          <t>2025-06-27</t>
        </is>
      </c>
      <c r="C4030" s="6" t="inlineStr">
        <is>
          <t>DIA</t>
        </is>
      </c>
      <c r="D4030" s="6" t="inlineStr">
        <is>
          <t>WMT</t>
        </is>
      </c>
      <c r="E4030" s="6" t="inlineStr">
        <is>
          <t>WMT</t>
        </is>
      </c>
      <c r="F4030" s="6" t="inlineStr">
        <is>
          <t>-</t>
        </is>
      </c>
      <c r="G4030" s="7" t="n">
        <v>96.46348571777344</v>
      </c>
      <c r="H4030" s="6">
        <f>P3999</f>
        <v/>
      </c>
      <c r="I4030" s="9">
        <f>Q3999</f>
        <v/>
      </c>
      <c r="J4030" s="7">
        <f>I4030*G4030</f>
        <v/>
      </c>
      <c r="K4030" s="8">
        <f>IF($J$4031=0,0,J4030/$J$4031)</f>
        <v/>
      </c>
      <c r="L4030" s="6" t="inlineStr">
        <is>
          <t>WATCHLIST</t>
        </is>
      </c>
      <c r="M4030" s="8" t="n">
        <v>0</v>
      </c>
      <c r="N4030" s="7">
        <f>M4030*$J$4031-J4030</f>
        <v/>
      </c>
      <c r="O4030" s="9">
        <f>IF(G4030=0,0,N4030/G4030)</f>
        <v/>
      </c>
      <c r="P4030" s="6">
        <f>IF(M4030&gt;0,D4030,"")</f>
        <v/>
      </c>
      <c r="Q4030" s="9">
        <f>I4030+O4030</f>
        <v/>
      </c>
      <c r="R4030" s="7">
        <f>Q4030*G4030</f>
        <v/>
      </c>
      <c r="S4030" s="8">
        <f>IF($R$4031=0,0,R4030/$R$4031)</f>
        <v/>
      </c>
      <c r="T4030" s="8" t="n">
        <v>0.01499062288541286</v>
      </c>
      <c r="U4030" s="8" t="n">
        <v>0.03850527670344284</v>
      </c>
      <c r="V4030" s="6" t="inlineStr">
        <is>
          <t>not selected</t>
        </is>
      </c>
    </row>
    <row r="4031">
      <c r="A4031" s="10" t="inlineStr">
        <is>
          <t>DJ30</t>
        </is>
      </c>
      <c r="B4031" s="10" t="inlineStr">
        <is>
          <t>2025-06-27</t>
        </is>
      </c>
      <c r="C4031" s="10" t="inlineStr">
        <is>
          <t>DIA</t>
        </is>
      </c>
      <c r="D4031" s="10" t="inlineStr">
        <is>
          <t>Tot Portfolio</t>
        </is>
      </c>
      <c r="E4031" s="10" t="inlineStr"/>
      <c r="F4031" s="10" t="inlineStr"/>
      <c r="G4031" s="11" t="inlineStr"/>
      <c r="H4031" s="10" t="inlineStr"/>
      <c r="I4031" s="12" t="inlineStr"/>
      <c r="J4031" s="11">
        <f>SUM(J4001:J4030)</f>
        <v/>
      </c>
      <c r="K4031" s="13">
        <f>SUM(K4001:K4030)</f>
        <v/>
      </c>
      <c r="L4031" s="10" t="inlineStr">
        <is>
          <t>TOTAL</t>
        </is>
      </c>
      <c r="M4031" s="13">
        <f>SUM(M4001:M4030)</f>
        <v/>
      </c>
      <c r="N4031" s="11">
        <f>SUM(N4001:N4030)</f>
        <v/>
      </c>
      <c r="O4031" s="12">
        <f>SUM(O4001:O4030)</f>
        <v/>
      </c>
      <c r="P4031" s="10" t="inlineStr"/>
      <c r="Q4031" s="12" t="inlineStr"/>
      <c r="R4031" s="11">
        <f>SUM(R4001:R4030)</f>
        <v/>
      </c>
      <c r="S4031" s="13">
        <f>SUM(S4001:S4030)</f>
        <v/>
      </c>
      <c r="T4031" s="13" t="n">
        <v>0.01499062288541286</v>
      </c>
      <c r="U4031" s="13" t="n">
        <v>0.03850527670344284</v>
      </c>
      <c r="V4031" s="10" t="inlineStr"/>
    </row>
    <row r="4032">
      <c r="A4032" s="6" t="inlineStr">
        <is>
          <t>DJ30</t>
        </is>
      </c>
      <c r="B4032" s="6" t="inlineStr">
        <is>
          <t>2025-07-04</t>
        </is>
      </c>
      <c r="C4032" s="6" t="inlineStr">
        <is>
          <t>DIA</t>
        </is>
      </c>
      <c r="D4032" s="6" t="inlineStr">
        <is>
          <t>AAPL</t>
        </is>
      </c>
      <c r="E4032" s="6" t="inlineStr">
        <is>
          <t>AAPL</t>
        </is>
      </c>
      <c r="F4032" s="6" t="inlineStr">
        <is>
          <t>-</t>
        </is>
      </c>
      <c r="G4032" s="7" t="n">
        <v>212.7061614990234</v>
      </c>
      <c r="H4032" s="6">
        <f>P4001</f>
        <v/>
      </c>
      <c r="I4032" s="9">
        <f>Q4001</f>
        <v/>
      </c>
      <c r="J4032" s="7">
        <f>I4032*G4032</f>
        <v/>
      </c>
      <c r="K4032" s="8">
        <f>IF($J$4062=0,0,J4032/$J$4062)</f>
        <v/>
      </c>
      <c r="L4032" s="6" t="inlineStr">
        <is>
          <t>REJECTED</t>
        </is>
      </c>
      <c r="M4032" s="8" t="n">
        <v>0</v>
      </c>
      <c r="N4032" s="7">
        <f>M4032*$J$4062-J4032</f>
        <v/>
      </c>
      <c r="O4032" s="9">
        <f>IF(G4032=0,0,N4032/G4032)</f>
        <v/>
      </c>
      <c r="P4032" s="6">
        <f>IF(M4032&gt;0,D4032,"")</f>
        <v/>
      </c>
      <c r="Q4032" s="9">
        <f>I4032+O4032</f>
        <v/>
      </c>
      <c r="R4032" s="7">
        <f>Q4032*G4032</f>
        <v/>
      </c>
      <c r="S4032" s="8">
        <f>IF($R$4062=0,0,R4032/$R$4062)</f>
        <v/>
      </c>
      <c r="T4032" s="8" t="n">
        <v>0.00918318359394088</v>
      </c>
      <c r="U4032" s="8" t="n">
        <v>0.0230365112282116</v>
      </c>
      <c r="V4032" s="6" t="inlineStr">
        <is>
          <t>not selected</t>
        </is>
      </c>
    </row>
    <row r="4033">
      <c r="A4033" s="6" t="inlineStr">
        <is>
          <t>DJ30</t>
        </is>
      </c>
      <c r="B4033" s="6" t="inlineStr">
        <is>
          <t>2025-07-04</t>
        </is>
      </c>
      <c r="C4033" s="6" t="inlineStr">
        <is>
          <t>DIA</t>
        </is>
      </c>
      <c r="D4033" s="6" t="inlineStr">
        <is>
          <t>AMGN</t>
        </is>
      </c>
      <c r="E4033" s="6" t="inlineStr">
        <is>
          <t>AMGN</t>
        </is>
      </c>
      <c r="F4033" s="6" t="inlineStr">
        <is>
          <t>-</t>
        </is>
      </c>
      <c r="G4033" s="7" t="n">
        <v>289.5371398925781</v>
      </c>
      <c r="H4033" s="6">
        <f>P4002</f>
        <v/>
      </c>
      <c r="I4033" s="9">
        <f>Q4002</f>
        <v/>
      </c>
      <c r="J4033" s="7">
        <f>I4033*G4033</f>
        <v/>
      </c>
      <c r="K4033" s="8">
        <f>IF($J$4062=0,0,J4033/$J$4062)</f>
        <v/>
      </c>
      <c r="L4033" s="6" t="inlineStr">
        <is>
          <t>REJECTED</t>
        </is>
      </c>
      <c r="M4033" s="8" t="n">
        <v>0</v>
      </c>
      <c r="N4033" s="7">
        <f>M4033*$J$4062-J4033</f>
        <v/>
      </c>
      <c r="O4033" s="9">
        <f>IF(G4033=0,0,N4033/G4033)</f>
        <v/>
      </c>
      <c r="P4033" s="6">
        <f>IF(M4033&gt;0,D4033,"")</f>
        <v/>
      </c>
      <c r="Q4033" s="9">
        <f>I4033+O4033</f>
        <v/>
      </c>
      <c r="R4033" s="7">
        <f>Q4033*G4033</f>
        <v/>
      </c>
      <c r="S4033" s="8">
        <f>IF($R$4062=0,0,R4033/$R$4062)</f>
        <v/>
      </c>
      <c r="T4033" s="8" t="n">
        <v>0.00918318359394088</v>
      </c>
      <c r="U4033" s="8" t="n">
        <v>0.0230365112282116</v>
      </c>
      <c r="V4033" s="6" t="inlineStr">
        <is>
          <t>not selected</t>
        </is>
      </c>
    </row>
    <row r="4034">
      <c r="A4034" s="6" t="inlineStr">
        <is>
          <t>DJ30</t>
        </is>
      </c>
      <c r="B4034" s="6" t="inlineStr">
        <is>
          <t>2025-07-04</t>
        </is>
      </c>
      <c r="C4034" s="6" t="inlineStr">
        <is>
          <t>DIA</t>
        </is>
      </c>
      <c r="D4034" s="6" t="inlineStr">
        <is>
          <t>AMZN</t>
        </is>
      </c>
      <c r="E4034" s="6" t="inlineStr">
        <is>
          <t>AMZN</t>
        </is>
      </c>
      <c r="F4034" s="6" t="inlineStr">
        <is>
          <t>-</t>
        </is>
      </c>
      <c r="G4034" s="7" t="n">
        <v>223.4100036621093</v>
      </c>
      <c r="H4034" s="6">
        <f>P4003</f>
        <v/>
      </c>
      <c r="I4034" s="9">
        <f>Q4003</f>
        <v/>
      </c>
      <c r="J4034" s="7">
        <f>I4034*G4034</f>
        <v/>
      </c>
      <c r="K4034" s="8">
        <f>IF($J$4062=0,0,J4034/$J$4062)</f>
        <v/>
      </c>
      <c r="L4034" s="6" t="inlineStr">
        <is>
          <t>REJECTED</t>
        </is>
      </c>
      <c r="M4034" s="8" t="n">
        <v>0</v>
      </c>
      <c r="N4034" s="7">
        <f>M4034*$J$4062-J4034</f>
        <v/>
      </c>
      <c r="O4034" s="9">
        <f>IF(G4034=0,0,N4034/G4034)</f>
        <v/>
      </c>
      <c r="P4034" s="6">
        <f>IF(M4034&gt;0,D4034,"")</f>
        <v/>
      </c>
      <c r="Q4034" s="9">
        <f>I4034+O4034</f>
        <v/>
      </c>
      <c r="R4034" s="7">
        <f>Q4034*G4034</f>
        <v/>
      </c>
      <c r="S4034" s="8">
        <f>IF($R$4062=0,0,R4034/$R$4062)</f>
        <v/>
      </c>
      <c r="T4034" s="8" t="n">
        <v>0.00918318359394088</v>
      </c>
      <c r="U4034" s="8" t="n">
        <v>0.0230365112282116</v>
      </c>
      <c r="V4034" s="6" t="inlineStr">
        <is>
          <t>not selected</t>
        </is>
      </c>
    </row>
    <row r="4035">
      <c r="A4035" s="6" t="inlineStr">
        <is>
          <t>DJ30</t>
        </is>
      </c>
      <c r="B4035" s="6" t="inlineStr">
        <is>
          <t>2025-07-04</t>
        </is>
      </c>
      <c r="C4035" s="6" t="inlineStr">
        <is>
          <t>DIA</t>
        </is>
      </c>
      <c r="D4035" s="6" t="inlineStr">
        <is>
          <t>AXP</t>
        </is>
      </c>
      <c r="E4035" s="6" t="inlineStr">
        <is>
          <t>AXP</t>
        </is>
      </c>
      <c r="F4035" s="6" t="inlineStr">
        <is>
          <t>-</t>
        </is>
      </c>
      <c r="G4035" s="7" t="n">
        <v>325.5460205078125</v>
      </c>
      <c r="H4035" s="6">
        <f>P4004</f>
        <v/>
      </c>
      <c r="I4035" s="9">
        <f>Q4004</f>
        <v/>
      </c>
      <c r="J4035" s="7">
        <f>I4035*G4035</f>
        <v/>
      </c>
      <c r="K4035" s="8">
        <f>IF($J$4062=0,0,J4035/$J$4062)</f>
        <v/>
      </c>
      <c r="L4035" s="6" t="inlineStr">
        <is>
          <t>REJECTED</t>
        </is>
      </c>
      <c r="M4035" s="8" t="n">
        <v>0</v>
      </c>
      <c r="N4035" s="7">
        <f>M4035*$J$4062-J4035</f>
        <v/>
      </c>
      <c r="O4035" s="9">
        <f>IF(G4035=0,0,N4035/G4035)</f>
        <v/>
      </c>
      <c r="P4035" s="6">
        <f>IF(M4035&gt;0,D4035,"")</f>
        <v/>
      </c>
      <c r="Q4035" s="9">
        <f>I4035+O4035</f>
        <v/>
      </c>
      <c r="R4035" s="7">
        <f>Q4035*G4035</f>
        <v/>
      </c>
      <c r="S4035" s="8">
        <f>IF($R$4062=0,0,R4035/$R$4062)</f>
        <v/>
      </c>
      <c r="T4035" s="8" t="n">
        <v>0.00918318359394088</v>
      </c>
      <c r="U4035" s="8" t="n">
        <v>0.0230365112282116</v>
      </c>
      <c r="V4035" s="6" t="inlineStr">
        <is>
          <t>not selected</t>
        </is>
      </c>
    </row>
    <row r="4036">
      <c r="A4036" s="6" t="inlineStr">
        <is>
          <t>DJ30</t>
        </is>
      </c>
      <c r="B4036" s="6" t="inlineStr">
        <is>
          <t>2025-07-04</t>
        </is>
      </c>
      <c r="C4036" s="6" t="inlineStr">
        <is>
          <t>DIA</t>
        </is>
      </c>
      <c r="D4036" s="6" t="inlineStr">
        <is>
          <t>BA</t>
        </is>
      </c>
      <c r="E4036" s="6" t="inlineStr">
        <is>
          <t>BA</t>
        </is>
      </c>
      <c r="F4036" s="6" t="inlineStr">
        <is>
          <t>-</t>
        </is>
      </c>
      <c r="G4036" s="7" t="n">
        <v>215.9199981689453</v>
      </c>
      <c r="H4036" s="6">
        <f>P4005</f>
        <v/>
      </c>
      <c r="I4036" s="9">
        <f>Q4005</f>
        <v/>
      </c>
      <c r="J4036" s="7">
        <f>I4036*G4036</f>
        <v/>
      </c>
      <c r="K4036" s="8">
        <f>IF($J$4062=0,0,J4036/$J$4062)</f>
        <v/>
      </c>
      <c r="L4036" s="6" t="inlineStr">
        <is>
          <t>REJECTED</t>
        </is>
      </c>
      <c r="M4036" s="8" t="n">
        <v>0</v>
      </c>
      <c r="N4036" s="7">
        <f>M4036*$J$4062-J4036</f>
        <v/>
      </c>
      <c r="O4036" s="9">
        <f>IF(G4036=0,0,N4036/G4036)</f>
        <v/>
      </c>
      <c r="P4036" s="6">
        <f>IF(M4036&gt;0,D4036,"")</f>
        <v/>
      </c>
      <c r="Q4036" s="9">
        <f>I4036+O4036</f>
        <v/>
      </c>
      <c r="R4036" s="7">
        <f>Q4036*G4036</f>
        <v/>
      </c>
      <c r="S4036" s="8">
        <f>IF($R$4062=0,0,R4036/$R$4062)</f>
        <v/>
      </c>
      <c r="T4036" s="8" t="n">
        <v>0.00918318359394088</v>
      </c>
      <c r="U4036" s="8" t="n">
        <v>0.0230365112282116</v>
      </c>
      <c r="V4036" s="6" t="inlineStr">
        <is>
          <t>not selected</t>
        </is>
      </c>
    </row>
    <row r="4037">
      <c r="A4037" s="6" t="inlineStr">
        <is>
          <t>DJ30</t>
        </is>
      </c>
      <c r="B4037" s="6" t="inlineStr">
        <is>
          <t>2025-07-04</t>
        </is>
      </c>
      <c r="C4037" s="6" t="inlineStr">
        <is>
          <t>DIA</t>
        </is>
      </c>
      <c r="D4037" s="6" t="inlineStr">
        <is>
          <t>CAT</t>
        </is>
      </c>
      <c r="E4037" s="6" t="inlineStr">
        <is>
          <t>CAT</t>
        </is>
      </c>
      <c r="F4037" s="6" t="inlineStr">
        <is>
          <t>-</t>
        </is>
      </c>
      <c r="G4037" s="7" t="n">
        <v>393.6002197265625</v>
      </c>
      <c r="H4037" s="6">
        <f>P4006</f>
        <v/>
      </c>
      <c r="I4037" s="9">
        <f>Q4006</f>
        <v/>
      </c>
      <c r="J4037" s="7">
        <f>I4037*G4037</f>
        <v/>
      </c>
      <c r="K4037" s="8">
        <f>IF($J$4062=0,0,J4037/$J$4062)</f>
        <v/>
      </c>
      <c r="L4037" s="6" t="inlineStr">
        <is>
          <t>REJECTED</t>
        </is>
      </c>
      <c r="M4037" s="8" t="n">
        <v>0</v>
      </c>
      <c r="N4037" s="7">
        <f>M4037*$J$4062-J4037</f>
        <v/>
      </c>
      <c r="O4037" s="9">
        <f>IF(G4037=0,0,N4037/G4037)</f>
        <v/>
      </c>
      <c r="P4037" s="6">
        <f>IF(M4037&gt;0,D4037,"")</f>
        <v/>
      </c>
      <c r="Q4037" s="9">
        <f>I4037+O4037</f>
        <v/>
      </c>
      <c r="R4037" s="7">
        <f>Q4037*G4037</f>
        <v/>
      </c>
      <c r="S4037" s="8">
        <f>IF($R$4062=0,0,R4037/$R$4062)</f>
        <v/>
      </c>
      <c r="T4037" s="8" t="n">
        <v>0.00918318359394088</v>
      </c>
      <c r="U4037" s="8" t="n">
        <v>0.0230365112282116</v>
      </c>
      <c r="V4037" s="6" t="inlineStr">
        <is>
          <t>not selected</t>
        </is>
      </c>
    </row>
    <row r="4038">
      <c r="A4038" s="6" t="inlineStr">
        <is>
          <t>DJ30</t>
        </is>
      </c>
      <c r="B4038" s="6" t="inlineStr">
        <is>
          <t>2025-07-04</t>
        </is>
      </c>
      <c r="C4038" s="6" t="inlineStr">
        <is>
          <t>DIA</t>
        </is>
      </c>
      <c r="D4038" s="6" t="inlineStr">
        <is>
          <t>CRM</t>
        </is>
      </c>
      <c r="E4038" s="6" t="inlineStr">
        <is>
          <t>CRM</t>
        </is>
      </c>
      <c r="F4038" s="6" t="inlineStr">
        <is>
          <t>-</t>
        </is>
      </c>
      <c r="G4038" s="7" t="n">
        <v>269.8659057617188</v>
      </c>
      <c r="H4038" s="6">
        <f>P4007</f>
        <v/>
      </c>
      <c r="I4038" s="9">
        <f>Q4007</f>
        <v/>
      </c>
      <c r="J4038" s="7">
        <f>I4038*G4038</f>
        <v/>
      </c>
      <c r="K4038" s="8">
        <f>IF($J$4062=0,0,J4038/$J$4062)</f>
        <v/>
      </c>
      <c r="L4038" s="6" t="inlineStr">
        <is>
          <t>REJECTED</t>
        </is>
      </c>
      <c r="M4038" s="8" t="n">
        <v>0</v>
      </c>
      <c r="N4038" s="7">
        <f>M4038*$J$4062-J4038</f>
        <v/>
      </c>
      <c r="O4038" s="9">
        <f>IF(G4038=0,0,N4038/G4038)</f>
        <v/>
      </c>
      <c r="P4038" s="6">
        <f>IF(M4038&gt;0,D4038,"")</f>
        <v/>
      </c>
      <c r="Q4038" s="9">
        <f>I4038+O4038</f>
        <v/>
      </c>
      <c r="R4038" s="7">
        <f>Q4038*G4038</f>
        <v/>
      </c>
      <c r="S4038" s="8">
        <f>IF($R$4062=0,0,R4038/$R$4062)</f>
        <v/>
      </c>
      <c r="T4038" s="8" t="n">
        <v>0.00918318359394088</v>
      </c>
      <c r="U4038" s="8" t="n">
        <v>0.0230365112282116</v>
      </c>
      <c r="V4038" s="6" t="inlineStr">
        <is>
          <t>not selected</t>
        </is>
      </c>
    </row>
    <row r="4039">
      <c r="A4039" s="6" t="inlineStr">
        <is>
          <t>DJ30</t>
        </is>
      </c>
      <c r="B4039" s="6" t="inlineStr">
        <is>
          <t>2025-07-04</t>
        </is>
      </c>
      <c r="C4039" s="6" t="inlineStr">
        <is>
          <t>DIA</t>
        </is>
      </c>
      <c r="D4039" s="6" t="inlineStr">
        <is>
          <t>CSCO</t>
        </is>
      </c>
      <c r="E4039" s="6" t="inlineStr">
        <is>
          <t>CSCO</t>
        </is>
      </c>
      <c r="F4039" s="6" t="inlineStr">
        <is>
          <t>-</t>
        </is>
      </c>
      <c r="G4039" s="7" t="n">
        <v>68.21697998046875</v>
      </c>
      <c r="H4039" s="6">
        <f>P4008</f>
        <v/>
      </c>
      <c r="I4039" s="9">
        <f>Q4008</f>
        <v/>
      </c>
      <c r="J4039" s="7">
        <f>I4039*G4039</f>
        <v/>
      </c>
      <c r="K4039" s="8">
        <f>IF($J$4062=0,0,J4039/$J$4062)</f>
        <v/>
      </c>
      <c r="L4039" s="6" t="inlineStr">
        <is>
          <t>WATCHLIST</t>
        </is>
      </c>
      <c r="M4039" s="8" t="n">
        <v>0</v>
      </c>
      <c r="N4039" s="7">
        <f>M4039*$J$4062-J4039</f>
        <v/>
      </c>
      <c r="O4039" s="9">
        <f>IF(G4039=0,0,N4039/G4039)</f>
        <v/>
      </c>
      <c r="P4039" s="6">
        <f>IF(M4039&gt;0,D4039,"")</f>
        <v/>
      </c>
      <c r="Q4039" s="9">
        <f>I4039+O4039</f>
        <v/>
      </c>
      <c r="R4039" s="7">
        <f>Q4039*G4039</f>
        <v/>
      </c>
      <c r="S4039" s="8">
        <f>IF($R$4062=0,0,R4039/$R$4062)</f>
        <v/>
      </c>
      <c r="T4039" s="8" t="n">
        <v>0.00918318359394088</v>
      </c>
      <c r="U4039" s="8" t="n">
        <v>0.0230365112282116</v>
      </c>
      <c r="V4039" s="6" t="inlineStr">
        <is>
          <t>not selected</t>
        </is>
      </c>
    </row>
    <row r="4040">
      <c r="A4040" s="6" t="inlineStr">
        <is>
          <t>DJ30</t>
        </is>
      </c>
      <c r="B4040" s="6" t="inlineStr">
        <is>
          <t>2025-07-04</t>
        </is>
      </c>
      <c r="C4040" s="6" t="inlineStr">
        <is>
          <t>DIA</t>
        </is>
      </c>
      <c r="D4040" s="6" t="inlineStr">
        <is>
          <t>CVX</t>
        </is>
      </c>
      <c r="E4040" s="6" t="inlineStr">
        <is>
          <t>CVX</t>
        </is>
      </c>
      <c r="F4040" s="6" t="inlineStr">
        <is>
          <t>-</t>
        </is>
      </c>
      <c r="G4040" s="7" t="n">
        <v>142.4056549072266</v>
      </c>
      <c r="H4040" s="6">
        <f>P4009</f>
        <v/>
      </c>
      <c r="I4040" s="9">
        <f>Q4009</f>
        <v/>
      </c>
      <c r="J4040" s="7">
        <f>I4040*G4040</f>
        <v/>
      </c>
      <c r="K4040" s="8">
        <f>IF($J$4062=0,0,J4040/$J$4062)</f>
        <v/>
      </c>
      <c r="L4040" s="6" t="inlineStr">
        <is>
          <t>REJECTED</t>
        </is>
      </c>
      <c r="M4040" s="8" t="n">
        <v>0</v>
      </c>
      <c r="N4040" s="7">
        <f>M4040*$J$4062-J4040</f>
        <v/>
      </c>
      <c r="O4040" s="9">
        <f>IF(G4040=0,0,N4040/G4040)</f>
        <v/>
      </c>
      <c r="P4040" s="6">
        <f>IF(M4040&gt;0,D4040,"")</f>
        <v/>
      </c>
      <c r="Q4040" s="9">
        <f>I4040+O4040</f>
        <v/>
      </c>
      <c r="R4040" s="7">
        <f>Q4040*G4040</f>
        <v/>
      </c>
      <c r="S4040" s="8">
        <f>IF($R$4062=0,0,R4040/$R$4062)</f>
        <v/>
      </c>
      <c r="T4040" s="8" t="n">
        <v>0.00918318359394088</v>
      </c>
      <c r="U4040" s="8" t="n">
        <v>0.0230365112282116</v>
      </c>
      <c r="V4040" s="6" t="inlineStr">
        <is>
          <t>not selected</t>
        </is>
      </c>
    </row>
    <row r="4041">
      <c r="A4041" s="6" t="inlineStr">
        <is>
          <t>DJ30</t>
        </is>
      </c>
      <c r="B4041" s="6" t="inlineStr">
        <is>
          <t>2025-07-04</t>
        </is>
      </c>
      <c r="C4041" s="6" t="inlineStr">
        <is>
          <t>DIA</t>
        </is>
      </c>
      <c r="D4041" s="6" t="inlineStr">
        <is>
          <t>DIS</t>
        </is>
      </c>
      <c r="E4041" s="6" t="inlineStr">
        <is>
          <t>DIS</t>
        </is>
      </c>
      <c r="F4041" s="6" t="inlineStr">
        <is>
          <t>-</t>
        </is>
      </c>
      <c r="G4041" s="7" t="n">
        <v>123.1666641235352</v>
      </c>
      <c r="H4041" s="6">
        <f>P4010</f>
        <v/>
      </c>
      <c r="I4041" s="9">
        <f>Q4010</f>
        <v/>
      </c>
      <c r="J4041" s="7">
        <f>I4041*G4041</f>
        <v/>
      </c>
      <c r="K4041" s="8">
        <f>IF($J$4062=0,0,J4041/$J$4062)</f>
        <v/>
      </c>
      <c r="L4041" s="6" t="inlineStr">
        <is>
          <t>REJECTED</t>
        </is>
      </c>
      <c r="M4041" s="8" t="n">
        <v>0</v>
      </c>
      <c r="N4041" s="7">
        <f>M4041*$J$4062-J4041</f>
        <v/>
      </c>
      <c r="O4041" s="9">
        <f>IF(G4041=0,0,N4041/G4041)</f>
        <v/>
      </c>
      <c r="P4041" s="6">
        <f>IF(M4041&gt;0,D4041,"")</f>
        <v/>
      </c>
      <c r="Q4041" s="9">
        <f>I4041+O4041</f>
        <v/>
      </c>
      <c r="R4041" s="7">
        <f>Q4041*G4041</f>
        <v/>
      </c>
      <c r="S4041" s="8">
        <f>IF($R$4062=0,0,R4041/$R$4062)</f>
        <v/>
      </c>
      <c r="T4041" s="8" t="n">
        <v>0.00918318359394088</v>
      </c>
      <c r="U4041" s="8" t="n">
        <v>0.0230365112282116</v>
      </c>
      <c r="V4041" s="6" t="inlineStr">
        <is>
          <t>not selected</t>
        </is>
      </c>
    </row>
    <row r="4042">
      <c r="A4042" s="6" t="inlineStr">
        <is>
          <t>DJ30</t>
        </is>
      </c>
      <c r="B4042" s="6" t="inlineStr">
        <is>
          <t>2025-07-04</t>
        </is>
      </c>
      <c r="C4042" s="6" t="inlineStr">
        <is>
          <t>DIA</t>
        </is>
      </c>
      <c r="D4042" s="6" t="inlineStr">
        <is>
          <t>GS</t>
        </is>
      </c>
      <c r="E4042" s="6" t="inlineStr">
        <is>
          <t>GS</t>
        </is>
      </c>
      <c r="F4042" s="6" t="inlineStr">
        <is>
          <t>-</t>
        </is>
      </c>
      <c r="G4042" s="7" t="n">
        <v>709.3993530273438</v>
      </c>
      <c r="H4042" s="6">
        <f>P4011</f>
        <v/>
      </c>
      <c r="I4042" s="9">
        <f>Q4011</f>
        <v/>
      </c>
      <c r="J4042" s="7">
        <f>I4042*G4042</f>
        <v/>
      </c>
      <c r="K4042" s="8">
        <f>IF($J$4062=0,0,J4042/$J$4062)</f>
        <v/>
      </c>
      <c r="L4042" s="6" t="inlineStr">
        <is>
          <t>WATCHLIST</t>
        </is>
      </c>
      <c r="M4042" s="8" t="n">
        <v>0</v>
      </c>
      <c r="N4042" s="7">
        <f>M4042*$J$4062-J4042</f>
        <v/>
      </c>
      <c r="O4042" s="9">
        <f>IF(G4042=0,0,N4042/G4042)</f>
        <v/>
      </c>
      <c r="P4042" s="6">
        <f>IF(M4042&gt;0,D4042,"")</f>
        <v/>
      </c>
      <c r="Q4042" s="9">
        <f>I4042+O4042</f>
        <v/>
      </c>
      <c r="R4042" s="7">
        <f>Q4042*G4042</f>
        <v/>
      </c>
      <c r="S4042" s="8">
        <f>IF($R$4062=0,0,R4042/$R$4062)</f>
        <v/>
      </c>
      <c r="T4042" s="8" t="n">
        <v>0.00918318359394088</v>
      </c>
      <c r="U4042" s="8" t="n">
        <v>0.0230365112282116</v>
      </c>
      <c r="V4042" s="6" t="inlineStr">
        <is>
          <t>not selected</t>
        </is>
      </c>
    </row>
    <row r="4043">
      <c r="A4043" s="6" t="inlineStr">
        <is>
          <t>DJ30</t>
        </is>
      </c>
      <c r="B4043" s="6" t="inlineStr">
        <is>
          <t>2025-07-04</t>
        </is>
      </c>
      <c r="C4043" s="6" t="inlineStr">
        <is>
          <t>DIA</t>
        </is>
      </c>
      <c r="D4043" s="6" t="inlineStr">
        <is>
          <t>HD</t>
        </is>
      </c>
      <c r="E4043" s="6" t="inlineStr">
        <is>
          <t>HD</t>
        </is>
      </c>
      <c r="F4043" s="6" t="inlineStr">
        <is>
          <t>-</t>
        </is>
      </c>
      <c r="G4043" s="7" t="n">
        <v>362.0538635253906</v>
      </c>
      <c r="H4043" s="6">
        <f>P4012</f>
        <v/>
      </c>
      <c r="I4043" s="9">
        <f>Q4012</f>
        <v/>
      </c>
      <c r="J4043" s="7">
        <f>I4043*G4043</f>
        <v/>
      </c>
      <c r="K4043" s="8">
        <f>IF($J$4062=0,0,J4043/$J$4062)</f>
        <v/>
      </c>
      <c r="L4043" s="6" t="inlineStr">
        <is>
          <t>REJECTED</t>
        </is>
      </c>
      <c r="M4043" s="8" t="n">
        <v>0</v>
      </c>
      <c r="N4043" s="7">
        <f>M4043*$J$4062-J4043</f>
        <v/>
      </c>
      <c r="O4043" s="9">
        <f>IF(G4043=0,0,N4043/G4043)</f>
        <v/>
      </c>
      <c r="P4043" s="6">
        <f>IF(M4043&gt;0,D4043,"")</f>
        <v/>
      </c>
      <c r="Q4043" s="9">
        <f>I4043+O4043</f>
        <v/>
      </c>
      <c r="R4043" s="7">
        <f>Q4043*G4043</f>
        <v/>
      </c>
      <c r="S4043" s="8">
        <f>IF($R$4062=0,0,R4043/$R$4062)</f>
        <v/>
      </c>
      <c r="T4043" s="8" t="n">
        <v>0.00918318359394088</v>
      </c>
      <c r="U4043" s="8" t="n">
        <v>0.0230365112282116</v>
      </c>
      <c r="V4043" s="6" t="inlineStr">
        <is>
          <t>not selected</t>
        </is>
      </c>
    </row>
    <row r="4044">
      <c r="A4044" s="6" t="inlineStr">
        <is>
          <t>DJ30</t>
        </is>
      </c>
      <c r="B4044" s="6" t="inlineStr">
        <is>
          <t>2025-07-04</t>
        </is>
      </c>
      <c r="C4044" s="6" t="inlineStr">
        <is>
          <t>DIA</t>
        </is>
      </c>
      <c r="D4044" s="6" t="inlineStr">
        <is>
          <t>HON</t>
        </is>
      </c>
      <c r="E4044" s="6" t="inlineStr">
        <is>
          <t>HON</t>
        </is>
      </c>
      <c r="F4044" s="6" t="inlineStr">
        <is>
          <t>-</t>
        </is>
      </c>
      <c r="G4044" s="7" t="n">
        <v>221.7377471923828</v>
      </c>
      <c r="H4044" s="6">
        <f>P4013</f>
        <v/>
      </c>
      <c r="I4044" s="9">
        <f>Q4013</f>
        <v/>
      </c>
      <c r="J4044" s="7">
        <f>I4044*G4044</f>
        <v/>
      </c>
      <c r="K4044" s="8">
        <f>IF($J$4062=0,0,J4044/$J$4062)</f>
        <v/>
      </c>
      <c r="L4044" s="6" t="inlineStr">
        <is>
          <t>REJECTED</t>
        </is>
      </c>
      <c r="M4044" s="8" t="n">
        <v>0</v>
      </c>
      <c r="N4044" s="7">
        <f>M4044*$J$4062-J4044</f>
        <v/>
      </c>
      <c r="O4044" s="9">
        <f>IF(G4044=0,0,N4044/G4044)</f>
        <v/>
      </c>
      <c r="P4044" s="6">
        <f>IF(M4044&gt;0,D4044,"")</f>
        <v/>
      </c>
      <c r="Q4044" s="9">
        <f>I4044+O4044</f>
        <v/>
      </c>
      <c r="R4044" s="7">
        <f>Q4044*G4044</f>
        <v/>
      </c>
      <c r="S4044" s="8">
        <f>IF($R$4062=0,0,R4044/$R$4062)</f>
        <v/>
      </c>
      <c r="T4044" s="8" t="n">
        <v>0.00918318359394088</v>
      </c>
      <c r="U4044" s="8" t="n">
        <v>0.0230365112282116</v>
      </c>
      <c r="V4044" s="6" t="inlineStr">
        <is>
          <t>not selected</t>
        </is>
      </c>
    </row>
    <row r="4045">
      <c r="A4045" s="6" t="inlineStr">
        <is>
          <t>DJ30</t>
        </is>
      </c>
      <c r="B4045" s="6" t="inlineStr">
        <is>
          <t>2025-07-04</t>
        </is>
      </c>
      <c r="C4045" s="6" t="inlineStr">
        <is>
          <t>DIA</t>
        </is>
      </c>
      <c r="D4045" s="6" t="inlineStr">
        <is>
          <t>IBM</t>
        </is>
      </c>
      <c r="E4045" s="6" t="inlineStr">
        <is>
          <t>IBM</t>
        </is>
      </c>
      <c r="F4045" s="6" t="inlineStr">
        <is>
          <t>-</t>
        </is>
      </c>
      <c r="G4045" s="7" t="n">
        <v>284.6885986328125</v>
      </c>
      <c r="H4045" s="6">
        <f>P4014</f>
        <v/>
      </c>
      <c r="I4045" s="9">
        <f>Q4014</f>
        <v/>
      </c>
      <c r="J4045" s="7">
        <f>I4045*G4045</f>
        <v/>
      </c>
      <c r="K4045" s="8">
        <f>IF($J$4062=0,0,J4045/$J$4062)</f>
        <v/>
      </c>
      <c r="L4045" s="6" t="inlineStr">
        <is>
          <t>SELECTED</t>
        </is>
      </c>
      <c r="M4045" s="8" t="n">
        <v>0.2</v>
      </c>
      <c r="N4045" s="7">
        <f>M4045*$J$4062-J4045</f>
        <v/>
      </c>
      <c r="O4045" s="9">
        <f>IF(G4045=0,0,N4045/G4045)</f>
        <v/>
      </c>
      <c r="P4045" s="6">
        <f>IF(M4045&gt;0,D4045,"")</f>
        <v/>
      </c>
      <c r="Q4045" s="9">
        <f>I4045+O4045</f>
        <v/>
      </c>
      <c r="R4045" s="7">
        <f>Q4045*G4045</f>
        <v/>
      </c>
      <c r="S4045" s="8">
        <f>IF($R$4062=0,0,R4045/$R$4062)</f>
        <v/>
      </c>
      <c r="T4045" s="8" t="n">
        <v>0.00918318359394088</v>
      </c>
      <c r="U4045" s="8" t="n">
        <v>0.0230365112282116</v>
      </c>
      <c r="V4045" s="6" t="inlineStr">
        <is>
          <t>remained in weekly selection</t>
        </is>
      </c>
    </row>
    <row r="4046">
      <c r="A4046" s="6" t="inlineStr">
        <is>
          <t>DJ30</t>
        </is>
      </c>
      <c r="B4046" s="6" t="inlineStr">
        <is>
          <t>2025-07-04</t>
        </is>
      </c>
      <c r="C4046" s="6" t="inlineStr">
        <is>
          <t>DIA</t>
        </is>
      </c>
      <c r="D4046" s="6" t="inlineStr">
        <is>
          <t>JNJ</t>
        </is>
      </c>
      <c r="E4046" s="6" t="inlineStr">
        <is>
          <t>JNJ</t>
        </is>
      </c>
      <c r="F4046" s="6" t="inlineStr">
        <is>
          <t>-</t>
        </is>
      </c>
      <c r="G4046" s="7" t="n">
        <v>152.2069244384766</v>
      </c>
      <c r="H4046" s="6">
        <f>P4015</f>
        <v/>
      </c>
      <c r="I4046" s="9">
        <f>Q4015</f>
        <v/>
      </c>
      <c r="J4046" s="7">
        <f>I4046*G4046</f>
        <v/>
      </c>
      <c r="K4046" s="8">
        <f>IF($J$4062=0,0,J4046/$J$4062)</f>
        <v/>
      </c>
      <c r="L4046" s="6" t="inlineStr">
        <is>
          <t>REJECTED</t>
        </is>
      </c>
      <c r="M4046" s="8" t="n">
        <v>0</v>
      </c>
      <c r="N4046" s="7">
        <f>M4046*$J$4062-J4046</f>
        <v/>
      </c>
      <c r="O4046" s="9">
        <f>IF(G4046=0,0,N4046/G4046)</f>
        <v/>
      </c>
      <c r="P4046" s="6">
        <f>IF(M4046&gt;0,D4046,"")</f>
        <v/>
      </c>
      <c r="Q4046" s="9">
        <f>I4046+O4046</f>
        <v/>
      </c>
      <c r="R4046" s="7">
        <f>Q4046*G4046</f>
        <v/>
      </c>
      <c r="S4046" s="8">
        <f>IF($R$4062=0,0,R4046/$R$4062)</f>
        <v/>
      </c>
      <c r="T4046" s="8" t="n">
        <v>0.00918318359394088</v>
      </c>
      <c r="U4046" s="8" t="n">
        <v>0.0230365112282116</v>
      </c>
      <c r="V4046" s="6" t="inlineStr">
        <is>
          <t>not selected</t>
        </is>
      </c>
    </row>
    <row r="4047">
      <c r="A4047" s="6" t="inlineStr">
        <is>
          <t>DJ30</t>
        </is>
      </c>
      <c r="B4047" s="6" t="inlineStr">
        <is>
          <t>2025-07-04</t>
        </is>
      </c>
      <c r="C4047" s="6" t="inlineStr">
        <is>
          <t>DIA</t>
        </is>
      </c>
      <c r="D4047" s="6" t="inlineStr">
        <is>
          <t>JPM</t>
        </is>
      </c>
      <c r="E4047" s="6" t="inlineStr">
        <is>
          <t>JPM</t>
        </is>
      </c>
      <c r="F4047" s="6" t="inlineStr">
        <is>
          <t>-</t>
        </is>
      </c>
      <c r="G4047" s="7" t="n">
        <v>291.7520141601562</v>
      </c>
      <c r="H4047" s="6">
        <f>P4016</f>
        <v/>
      </c>
      <c r="I4047" s="9">
        <f>Q4016</f>
        <v/>
      </c>
      <c r="J4047" s="7">
        <f>I4047*G4047</f>
        <v/>
      </c>
      <c r="K4047" s="8">
        <f>IF($J$4062=0,0,J4047/$J$4062)</f>
        <v/>
      </c>
      <c r="L4047" s="6" t="inlineStr">
        <is>
          <t>WATCHLIST</t>
        </is>
      </c>
      <c r="M4047" s="8" t="n">
        <v>0</v>
      </c>
      <c r="N4047" s="7">
        <f>M4047*$J$4062-J4047</f>
        <v/>
      </c>
      <c r="O4047" s="9">
        <f>IF(G4047=0,0,N4047/G4047)</f>
        <v/>
      </c>
      <c r="P4047" s="6">
        <f>IF(M4047&gt;0,D4047,"")</f>
        <v/>
      </c>
      <c r="Q4047" s="9">
        <f>I4047+O4047</f>
        <v/>
      </c>
      <c r="R4047" s="7">
        <f>Q4047*G4047</f>
        <v/>
      </c>
      <c r="S4047" s="8">
        <f>IF($R$4062=0,0,R4047/$R$4062)</f>
        <v/>
      </c>
      <c r="T4047" s="8" t="n">
        <v>0.00918318359394088</v>
      </c>
      <c r="U4047" s="8" t="n">
        <v>0.0230365112282116</v>
      </c>
      <c r="V4047" s="6" t="inlineStr">
        <is>
          <t>not selected</t>
        </is>
      </c>
    </row>
    <row r="4048">
      <c r="A4048" s="6" t="inlineStr">
        <is>
          <t>DJ30</t>
        </is>
      </c>
      <c r="B4048" s="6" t="inlineStr">
        <is>
          <t>2025-07-04</t>
        </is>
      </c>
      <c r="C4048" s="6" t="inlineStr">
        <is>
          <t>DIA</t>
        </is>
      </c>
      <c r="D4048" s="6" t="inlineStr">
        <is>
          <t>KO</t>
        </is>
      </c>
      <c r="E4048" s="6" t="inlineStr">
        <is>
          <t>KO</t>
        </is>
      </c>
      <c r="F4048" s="6" t="inlineStr">
        <is>
          <t>-</t>
        </is>
      </c>
      <c r="G4048" s="7" t="n">
        <v>69.38496398925781</v>
      </c>
      <c r="H4048" s="6">
        <f>P4017</f>
        <v/>
      </c>
      <c r="I4048" s="9">
        <f>Q4017</f>
        <v/>
      </c>
      <c r="J4048" s="7">
        <f>I4048*G4048</f>
        <v/>
      </c>
      <c r="K4048" s="8">
        <f>IF($J$4062=0,0,J4048/$J$4062)</f>
        <v/>
      </c>
      <c r="L4048" s="6" t="inlineStr">
        <is>
          <t>REJECTED</t>
        </is>
      </c>
      <c r="M4048" s="8" t="n">
        <v>0</v>
      </c>
      <c r="N4048" s="7">
        <f>M4048*$J$4062-J4048</f>
        <v/>
      </c>
      <c r="O4048" s="9">
        <f>IF(G4048=0,0,N4048/G4048)</f>
        <v/>
      </c>
      <c r="P4048" s="6">
        <f>IF(M4048&gt;0,D4048,"")</f>
        <v/>
      </c>
      <c r="Q4048" s="9">
        <f>I4048+O4048</f>
        <v/>
      </c>
      <c r="R4048" s="7">
        <f>Q4048*G4048</f>
        <v/>
      </c>
      <c r="S4048" s="8">
        <f>IF($R$4062=0,0,R4048/$R$4062)</f>
        <v/>
      </c>
      <c r="T4048" s="8" t="n">
        <v>0.00918318359394088</v>
      </c>
      <c r="U4048" s="8" t="n">
        <v>0.0230365112282116</v>
      </c>
      <c r="V4048" s="6" t="inlineStr">
        <is>
          <t>not selected</t>
        </is>
      </c>
    </row>
    <row r="4049">
      <c r="A4049" s="6" t="inlineStr">
        <is>
          <t>DJ30</t>
        </is>
      </c>
      <c r="B4049" s="6" t="inlineStr">
        <is>
          <t>2025-07-04</t>
        </is>
      </c>
      <c r="C4049" s="6" t="inlineStr">
        <is>
          <t>DIA</t>
        </is>
      </c>
      <c r="D4049" s="6" t="inlineStr">
        <is>
          <t>MCD</t>
        </is>
      </c>
      <c r="E4049" s="6" t="inlineStr">
        <is>
          <t>MCD</t>
        </is>
      </c>
      <c r="F4049" s="6" t="inlineStr">
        <is>
          <t>-</t>
        </is>
      </c>
      <c r="G4049" s="7" t="n">
        <v>287.1135559082031</v>
      </c>
      <c r="H4049" s="6">
        <f>P4018</f>
        <v/>
      </c>
      <c r="I4049" s="9">
        <f>Q4018</f>
        <v/>
      </c>
      <c r="J4049" s="7">
        <f>I4049*G4049</f>
        <v/>
      </c>
      <c r="K4049" s="8">
        <f>IF($J$4062=0,0,J4049/$J$4062)</f>
        <v/>
      </c>
      <c r="L4049" s="6" t="inlineStr">
        <is>
          <t>SELECTED</t>
        </is>
      </c>
      <c r="M4049" s="8" t="n">
        <v>0.2</v>
      </c>
      <c r="N4049" s="7">
        <f>M4049*$J$4062-J4049</f>
        <v/>
      </c>
      <c r="O4049" s="9">
        <f>IF(G4049=0,0,N4049/G4049)</f>
        <v/>
      </c>
      <c r="P4049" s="6">
        <f>IF(M4049&gt;0,D4049,"")</f>
        <v/>
      </c>
      <c r="Q4049" s="9">
        <f>I4049+O4049</f>
        <v/>
      </c>
      <c r="R4049" s="7">
        <f>Q4049*G4049</f>
        <v/>
      </c>
      <c r="S4049" s="8">
        <f>IF($R$4062=0,0,R4049/$R$4062)</f>
        <v/>
      </c>
      <c r="T4049" s="8" t="n">
        <v>0.00918318359394088</v>
      </c>
      <c r="U4049" s="8" t="n">
        <v>0.0230365112282116</v>
      </c>
      <c r="V4049" s="6" t="inlineStr">
        <is>
          <t>remained in weekly selection</t>
        </is>
      </c>
    </row>
    <row r="4050">
      <c r="A4050" s="6" t="inlineStr">
        <is>
          <t>DJ30</t>
        </is>
      </c>
      <c r="B4050" s="6" t="inlineStr">
        <is>
          <t>2025-07-04</t>
        </is>
      </c>
      <c r="C4050" s="6" t="inlineStr">
        <is>
          <t>DIA</t>
        </is>
      </c>
      <c r="D4050" s="6" t="inlineStr">
        <is>
          <t>MMM</t>
        </is>
      </c>
      <c r="E4050" s="6" t="inlineStr">
        <is>
          <t>MMM</t>
        </is>
      </c>
      <c r="F4050" s="6" t="inlineStr">
        <is>
          <t>-</t>
        </is>
      </c>
      <c r="G4050" s="7" t="n">
        <v>150.1316528320312</v>
      </c>
      <c r="H4050" s="6">
        <f>P4019</f>
        <v/>
      </c>
      <c r="I4050" s="9">
        <f>Q4019</f>
        <v/>
      </c>
      <c r="J4050" s="7">
        <f>I4050*G4050</f>
        <v/>
      </c>
      <c r="K4050" s="8">
        <f>IF($J$4062=0,0,J4050/$J$4062)</f>
        <v/>
      </c>
      <c r="L4050" s="6" t="inlineStr">
        <is>
          <t>WATCHLIST</t>
        </is>
      </c>
      <c r="M4050" s="8" t="n">
        <v>0</v>
      </c>
      <c r="N4050" s="7">
        <f>M4050*$J$4062-J4050</f>
        <v/>
      </c>
      <c r="O4050" s="9">
        <f>IF(G4050=0,0,N4050/G4050)</f>
        <v/>
      </c>
      <c r="P4050" s="6">
        <f>IF(M4050&gt;0,D4050,"")</f>
        <v/>
      </c>
      <c r="Q4050" s="9">
        <f>I4050+O4050</f>
        <v/>
      </c>
      <c r="R4050" s="7">
        <f>Q4050*G4050</f>
        <v/>
      </c>
      <c r="S4050" s="8">
        <f>IF($R$4062=0,0,R4050/$R$4062)</f>
        <v/>
      </c>
      <c r="T4050" s="8" t="n">
        <v>0.00918318359394088</v>
      </c>
      <c r="U4050" s="8" t="n">
        <v>0.0230365112282116</v>
      </c>
      <c r="V4050" s="6" t="inlineStr">
        <is>
          <t>not selected</t>
        </is>
      </c>
    </row>
    <row r="4051">
      <c r="A4051" s="6" t="inlineStr">
        <is>
          <t>DJ30</t>
        </is>
      </c>
      <c r="B4051" s="6" t="inlineStr">
        <is>
          <t>2025-07-04</t>
        </is>
      </c>
      <c r="C4051" s="6" t="inlineStr">
        <is>
          <t>DIA</t>
        </is>
      </c>
      <c r="D4051" s="6" t="inlineStr">
        <is>
          <t>MRK</t>
        </is>
      </c>
      <c r="E4051" s="6" t="inlineStr">
        <is>
          <t>MRK</t>
        </is>
      </c>
      <c r="F4051" s="6" t="inlineStr">
        <is>
          <t>-</t>
        </is>
      </c>
      <c r="G4051" s="7" t="n">
        <v>78.31188201904297</v>
      </c>
      <c r="H4051" s="6">
        <f>P4020</f>
        <v/>
      </c>
      <c r="I4051" s="9">
        <f>Q4020</f>
        <v/>
      </c>
      <c r="J4051" s="7">
        <f>I4051*G4051</f>
        <v/>
      </c>
      <c r="K4051" s="8">
        <f>IF($J$4062=0,0,J4051/$J$4062)</f>
        <v/>
      </c>
      <c r="L4051" s="6" t="inlineStr">
        <is>
          <t>REJECTED</t>
        </is>
      </c>
      <c r="M4051" s="8" t="n">
        <v>0</v>
      </c>
      <c r="N4051" s="7">
        <f>M4051*$J$4062-J4051</f>
        <v/>
      </c>
      <c r="O4051" s="9">
        <f>IF(G4051=0,0,N4051/G4051)</f>
        <v/>
      </c>
      <c r="P4051" s="6">
        <f>IF(M4051&gt;0,D4051,"")</f>
        <v/>
      </c>
      <c r="Q4051" s="9">
        <f>I4051+O4051</f>
        <v/>
      </c>
      <c r="R4051" s="7">
        <f>Q4051*G4051</f>
        <v/>
      </c>
      <c r="S4051" s="8">
        <f>IF($R$4062=0,0,R4051/$R$4062)</f>
        <v/>
      </c>
      <c r="T4051" s="8" t="n">
        <v>0.00918318359394088</v>
      </c>
      <c r="U4051" s="8" t="n">
        <v>0.0230365112282116</v>
      </c>
      <c r="V4051" s="6" t="inlineStr">
        <is>
          <t>not selected</t>
        </is>
      </c>
    </row>
    <row r="4052">
      <c r="A4052" s="6" t="inlineStr">
        <is>
          <t>DJ30</t>
        </is>
      </c>
      <c r="B4052" s="6" t="inlineStr">
        <is>
          <t>2025-07-04</t>
        </is>
      </c>
      <c r="C4052" s="6" t="inlineStr">
        <is>
          <t>DIA</t>
        </is>
      </c>
      <c r="D4052" s="6" t="inlineStr">
        <is>
          <t>MSFT</t>
        </is>
      </c>
      <c r="E4052" s="6" t="inlineStr">
        <is>
          <t>MSFT</t>
        </is>
      </c>
      <c r="F4052" s="6" t="inlineStr">
        <is>
          <t>-</t>
        </is>
      </c>
      <c r="G4052" s="7" t="n">
        <v>494.8870849609375</v>
      </c>
      <c r="H4052" s="6">
        <f>P4021</f>
        <v/>
      </c>
      <c r="I4052" s="9">
        <f>Q4021</f>
        <v/>
      </c>
      <c r="J4052" s="7">
        <f>I4052*G4052</f>
        <v/>
      </c>
      <c r="K4052" s="8">
        <f>IF($J$4062=0,0,J4052/$J$4062)</f>
        <v/>
      </c>
      <c r="L4052" s="6" t="inlineStr">
        <is>
          <t>REJECTED</t>
        </is>
      </c>
      <c r="M4052" s="8" t="n">
        <v>0</v>
      </c>
      <c r="N4052" s="7">
        <f>M4052*$J$4062-J4052</f>
        <v/>
      </c>
      <c r="O4052" s="9">
        <f>IF(G4052=0,0,N4052/G4052)</f>
        <v/>
      </c>
      <c r="P4052" s="6">
        <f>IF(M4052&gt;0,D4052,"")</f>
        <v/>
      </c>
      <c r="Q4052" s="9">
        <f>I4052+O4052</f>
        <v/>
      </c>
      <c r="R4052" s="7">
        <f>Q4052*G4052</f>
        <v/>
      </c>
      <c r="S4052" s="8">
        <f>IF($R$4062=0,0,R4052/$R$4062)</f>
        <v/>
      </c>
      <c r="T4052" s="8" t="n">
        <v>0.00918318359394088</v>
      </c>
      <c r="U4052" s="8" t="n">
        <v>0.0230365112282116</v>
      </c>
      <c r="V4052" s="6" t="inlineStr">
        <is>
          <t>not selected</t>
        </is>
      </c>
    </row>
    <row r="4053">
      <c r="A4053" s="6" t="inlineStr">
        <is>
          <t>DJ30</t>
        </is>
      </c>
      <c r="B4053" s="6" t="inlineStr">
        <is>
          <t>2025-07-04</t>
        </is>
      </c>
      <c r="C4053" s="6" t="inlineStr">
        <is>
          <t>DIA</t>
        </is>
      </c>
      <c r="D4053" s="6" t="inlineStr">
        <is>
          <t>NKE</t>
        </is>
      </c>
      <c r="E4053" s="6" t="inlineStr">
        <is>
          <t>NKE</t>
        </is>
      </c>
      <c r="F4053" s="6" t="inlineStr">
        <is>
          <t>-</t>
        </is>
      </c>
      <c r="G4053" s="7" t="n">
        <v>74.34976959228516</v>
      </c>
      <c r="H4053" s="6">
        <f>P4022</f>
        <v/>
      </c>
      <c r="I4053" s="9">
        <f>Q4022</f>
        <v/>
      </c>
      <c r="J4053" s="7">
        <f>I4053*G4053</f>
        <v/>
      </c>
      <c r="K4053" s="8">
        <f>IF($J$4062=0,0,J4053/$J$4062)</f>
        <v/>
      </c>
      <c r="L4053" s="6" t="inlineStr">
        <is>
          <t>REJECTED</t>
        </is>
      </c>
      <c r="M4053" s="8" t="n">
        <v>0</v>
      </c>
      <c r="N4053" s="7">
        <f>M4053*$J$4062-J4053</f>
        <v/>
      </c>
      <c r="O4053" s="9">
        <f>IF(G4053=0,0,N4053/G4053)</f>
        <v/>
      </c>
      <c r="P4053" s="6">
        <f>IF(M4053&gt;0,D4053,"")</f>
        <v/>
      </c>
      <c r="Q4053" s="9">
        <f>I4053+O4053</f>
        <v/>
      </c>
      <c r="R4053" s="7">
        <f>Q4053*G4053</f>
        <v/>
      </c>
      <c r="S4053" s="8">
        <f>IF($R$4062=0,0,R4053/$R$4062)</f>
        <v/>
      </c>
      <c r="T4053" s="8" t="n">
        <v>0.00918318359394088</v>
      </c>
      <c r="U4053" s="8" t="n">
        <v>0.0230365112282116</v>
      </c>
      <c r="V4053" s="6" t="inlineStr">
        <is>
          <t>not selected</t>
        </is>
      </c>
    </row>
    <row r="4054">
      <c r="A4054" s="6" t="inlineStr">
        <is>
          <t>DJ30</t>
        </is>
      </c>
      <c r="B4054" s="6" t="inlineStr">
        <is>
          <t>2025-07-04</t>
        </is>
      </c>
      <c r="C4054" s="6" t="inlineStr">
        <is>
          <t>DIA</t>
        </is>
      </c>
      <c r="D4054" s="6" t="inlineStr">
        <is>
          <t>NVDA</t>
        </is>
      </c>
      <c r="E4054" s="6" t="inlineStr">
        <is>
          <t>NVDA</t>
        </is>
      </c>
      <c r="F4054" s="6" t="inlineStr">
        <is>
          <t>-</t>
        </is>
      </c>
      <c r="G4054" s="7" t="n">
        <v>159.1280517578125</v>
      </c>
      <c r="H4054" s="6">
        <f>P4023</f>
        <v/>
      </c>
      <c r="I4054" s="9">
        <f>Q4023</f>
        <v/>
      </c>
      <c r="J4054" s="7">
        <f>I4054*G4054</f>
        <v/>
      </c>
      <c r="K4054" s="8">
        <f>IF($J$4062=0,0,J4054/$J$4062)</f>
        <v/>
      </c>
      <c r="L4054" s="6" t="inlineStr">
        <is>
          <t>REJECTED</t>
        </is>
      </c>
      <c r="M4054" s="8" t="n">
        <v>0</v>
      </c>
      <c r="N4054" s="7">
        <f>M4054*$J$4062-J4054</f>
        <v/>
      </c>
      <c r="O4054" s="9">
        <f>IF(G4054=0,0,N4054/G4054)</f>
        <v/>
      </c>
      <c r="P4054" s="6">
        <f>IF(M4054&gt;0,D4054,"")</f>
        <v/>
      </c>
      <c r="Q4054" s="9">
        <f>I4054+O4054</f>
        <v/>
      </c>
      <c r="R4054" s="7">
        <f>Q4054*G4054</f>
        <v/>
      </c>
      <c r="S4054" s="8">
        <f>IF($R$4062=0,0,R4054/$R$4062)</f>
        <v/>
      </c>
      <c r="T4054" s="8" t="n">
        <v>0.00918318359394088</v>
      </c>
      <c r="U4054" s="8" t="n">
        <v>0.0230365112282116</v>
      </c>
      <c r="V4054" s="6" t="inlineStr">
        <is>
          <t>not selected</t>
        </is>
      </c>
    </row>
    <row r="4055">
      <c r="A4055" s="6" t="inlineStr">
        <is>
          <t>DJ30</t>
        </is>
      </c>
      <c r="B4055" s="6" t="inlineStr">
        <is>
          <t>2025-07-04</t>
        </is>
      </c>
      <c r="C4055" s="6" t="inlineStr">
        <is>
          <t>DIA</t>
        </is>
      </c>
      <c r="D4055" s="6" t="inlineStr">
        <is>
          <t>PG</t>
        </is>
      </c>
      <c r="E4055" s="6" t="inlineStr">
        <is>
          <t>PG</t>
        </is>
      </c>
      <c r="F4055" s="6" t="inlineStr">
        <is>
          <t>-</t>
        </is>
      </c>
      <c r="G4055" s="7" t="n">
        <v>156.3328094482422</v>
      </c>
      <c r="H4055" s="6">
        <f>P4024</f>
        <v/>
      </c>
      <c r="I4055" s="9">
        <f>Q4024</f>
        <v/>
      </c>
      <c r="J4055" s="7">
        <f>I4055*G4055</f>
        <v/>
      </c>
      <c r="K4055" s="8">
        <f>IF($J$4062=0,0,J4055/$J$4062)</f>
        <v/>
      </c>
      <c r="L4055" s="6" t="inlineStr">
        <is>
          <t>REJECTED</t>
        </is>
      </c>
      <c r="M4055" s="8" t="n">
        <v>0</v>
      </c>
      <c r="N4055" s="7">
        <f>M4055*$J$4062-J4055</f>
        <v/>
      </c>
      <c r="O4055" s="9">
        <f>IF(G4055=0,0,N4055/G4055)</f>
        <v/>
      </c>
      <c r="P4055" s="6">
        <f>IF(M4055&gt;0,D4055,"")</f>
        <v/>
      </c>
      <c r="Q4055" s="9">
        <f>I4055+O4055</f>
        <v/>
      </c>
      <c r="R4055" s="7">
        <f>Q4055*G4055</f>
        <v/>
      </c>
      <c r="S4055" s="8">
        <f>IF($R$4062=0,0,R4055/$R$4062)</f>
        <v/>
      </c>
      <c r="T4055" s="8" t="n">
        <v>0.00918318359394088</v>
      </c>
      <c r="U4055" s="8" t="n">
        <v>0.0230365112282116</v>
      </c>
      <c r="V4055" s="6" t="inlineStr">
        <is>
          <t>not selected</t>
        </is>
      </c>
    </row>
    <row r="4056">
      <c r="A4056" s="6" t="inlineStr">
        <is>
          <t>DJ30</t>
        </is>
      </c>
      <c r="B4056" s="6" t="inlineStr">
        <is>
          <t>2025-07-04</t>
        </is>
      </c>
      <c r="C4056" s="6" t="inlineStr">
        <is>
          <t>DIA</t>
        </is>
      </c>
      <c r="D4056" s="6" t="inlineStr">
        <is>
          <t>SHW</t>
        </is>
      </c>
      <c r="E4056" s="6" t="inlineStr">
        <is>
          <t>SHW</t>
        </is>
      </c>
      <c r="F4056" s="6" t="inlineStr">
        <is>
          <t>-</t>
        </is>
      </c>
      <c r="G4056" s="7" t="n">
        <v>350.7245483398437</v>
      </c>
      <c r="H4056" s="6">
        <f>P4025</f>
        <v/>
      </c>
      <c r="I4056" s="9">
        <f>Q4025</f>
        <v/>
      </c>
      <c r="J4056" s="7">
        <f>I4056*G4056</f>
        <v/>
      </c>
      <c r="K4056" s="8">
        <f>IF($J$4062=0,0,J4056/$J$4062)</f>
        <v/>
      </c>
      <c r="L4056" s="6" t="inlineStr">
        <is>
          <t>REJECTED</t>
        </is>
      </c>
      <c r="M4056" s="8" t="n">
        <v>0</v>
      </c>
      <c r="N4056" s="7">
        <f>M4056*$J$4062-J4056</f>
        <v/>
      </c>
      <c r="O4056" s="9">
        <f>IF(G4056=0,0,N4056/G4056)</f>
        <v/>
      </c>
      <c r="P4056" s="6">
        <f>IF(M4056&gt;0,D4056,"")</f>
        <v/>
      </c>
      <c r="Q4056" s="9">
        <f>I4056+O4056</f>
        <v/>
      </c>
      <c r="R4056" s="7">
        <f>Q4056*G4056</f>
        <v/>
      </c>
      <c r="S4056" s="8">
        <f>IF($R$4062=0,0,R4056/$R$4062)</f>
        <v/>
      </c>
      <c r="T4056" s="8" t="n">
        <v>0.00918318359394088</v>
      </c>
      <c r="U4056" s="8" t="n">
        <v>0.0230365112282116</v>
      </c>
      <c r="V4056" s="6" t="inlineStr">
        <is>
          <t>not selected</t>
        </is>
      </c>
    </row>
    <row r="4057">
      <c r="A4057" s="6" t="inlineStr">
        <is>
          <t>DJ30</t>
        </is>
      </c>
      <c r="B4057" s="6" t="inlineStr">
        <is>
          <t>2025-07-04</t>
        </is>
      </c>
      <c r="C4057" s="6" t="inlineStr">
        <is>
          <t>DIA</t>
        </is>
      </c>
      <c r="D4057" s="6" t="inlineStr">
        <is>
          <t>TRV</t>
        </is>
      </c>
      <c r="E4057" s="6" t="inlineStr">
        <is>
          <t>TRV</t>
        </is>
      </c>
      <c r="F4057" s="6" t="inlineStr">
        <is>
          <t>-</t>
        </is>
      </c>
      <c r="G4057" s="7" t="n">
        <v>259.99365234375</v>
      </c>
      <c r="H4057" s="6">
        <f>P4026</f>
        <v/>
      </c>
      <c r="I4057" s="9">
        <f>Q4026</f>
        <v/>
      </c>
      <c r="J4057" s="7">
        <f>I4057*G4057</f>
        <v/>
      </c>
      <c r="K4057" s="8">
        <f>IF($J$4062=0,0,J4057/$J$4062)</f>
        <v/>
      </c>
      <c r="L4057" s="6" t="inlineStr">
        <is>
          <t>WATCHLIST</t>
        </is>
      </c>
      <c r="M4057" s="8" t="n">
        <v>0</v>
      </c>
      <c r="N4057" s="7">
        <f>M4057*$J$4062-J4057</f>
        <v/>
      </c>
      <c r="O4057" s="9">
        <f>IF(G4057=0,0,N4057/G4057)</f>
        <v/>
      </c>
      <c r="P4057" s="6">
        <f>IF(M4057&gt;0,D4057,"")</f>
        <v/>
      </c>
      <c r="Q4057" s="9">
        <f>I4057+O4057</f>
        <v/>
      </c>
      <c r="R4057" s="7">
        <f>Q4057*G4057</f>
        <v/>
      </c>
      <c r="S4057" s="8">
        <f>IF($R$4062=0,0,R4057/$R$4062)</f>
        <v/>
      </c>
      <c r="T4057" s="8" t="n">
        <v>0.00918318359394088</v>
      </c>
      <c r="U4057" s="8" t="n">
        <v>0.0230365112282116</v>
      </c>
      <c r="V4057" s="6" t="inlineStr">
        <is>
          <t>not selected</t>
        </is>
      </c>
    </row>
    <row r="4058">
      <c r="A4058" s="6" t="inlineStr">
        <is>
          <t>DJ30</t>
        </is>
      </c>
      <c r="B4058" s="6" t="inlineStr">
        <is>
          <t>2025-07-04</t>
        </is>
      </c>
      <c r="C4058" s="6" t="inlineStr">
        <is>
          <t>DIA</t>
        </is>
      </c>
      <c r="D4058" s="6" t="inlineStr">
        <is>
          <t>UNH</t>
        </is>
      </c>
      <c r="E4058" s="6" t="inlineStr">
        <is>
          <t>UNH</t>
        </is>
      </c>
      <c r="F4058" s="6" t="inlineStr">
        <is>
          <t>-</t>
        </is>
      </c>
      <c r="G4058" s="7" t="n">
        <v>300.5019836425781</v>
      </c>
      <c r="H4058" s="6">
        <f>P4027</f>
        <v/>
      </c>
      <c r="I4058" s="9">
        <f>Q4027</f>
        <v/>
      </c>
      <c r="J4058" s="7">
        <f>I4058*G4058</f>
        <v/>
      </c>
      <c r="K4058" s="8">
        <f>IF($J$4062=0,0,J4058/$J$4062)</f>
        <v/>
      </c>
      <c r="L4058" s="6" t="inlineStr">
        <is>
          <t>REJECTED</t>
        </is>
      </c>
      <c r="M4058" s="8" t="n">
        <v>0</v>
      </c>
      <c r="N4058" s="7">
        <f>M4058*$J$4062-J4058</f>
        <v/>
      </c>
      <c r="O4058" s="9">
        <f>IF(G4058=0,0,N4058/G4058)</f>
        <v/>
      </c>
      <c r="P4058" s="6">
        <f>IF(M4058&gt;0,D4058,"")</f>
        <v/>
      </c>
      <c r="Q4058" s="9">
        <f>I4058+O4058</f>
        <v/>
      </c>
      <c r="R4058" s="7">
        <f>Q4058*G4058</f>
        <v/>
      </c>
      <c r="S4058" s="8">
        <f>IF($R$4062=0,0,R4058/$R$4062)</f>
        <v/>
      </c>
      <c r="T4058" s="8" t="n">
        <v>0.00918318359394088</v>
      </c>
      <c r="U4058" s="8" t="n">
        <v>0.0230365112282116</v>
      </c>
      <c r="V4058" s="6" t="inlineStr">
        <is>
          <t>not selected</t>
        </is>
      </c>
    </row>
    <row r="4059">
      <c r="A4059" s="6" t="inlineStr">
        <is>
          <t>DJ30</t>
        </is>
      </c>
      <c r="B4059" s="6" t="inlineStr">
        <is>
          <t>2025-07-04</t>
        </is>
      </c>
      <c r="C4059" s="6" t="inlineStr">
        <is>
          <t>DIA</t>
        </is>
      </c>
      <c r="D4059" s="6" t="inlineStr">
        <is>
          <t>V</t>
        </is>
      </c>
      <c r="E4059" s="6" t="inlineStr">
        <is>
          <t>V</t>
        </is>
      </c>
      <c r="F4059" s="6" t="inlineStr">
        <is>
          <t>-</t>
        </is>
      </c>
      <c r="G4059" s="7" t="n">
        <v>356.0476379394531</v>
      </c>
      <c r="H4059" s="6">
        <f>P4028</f>
        <v/>
      </c>
      <c r="I4059" s="9">
        <f>Q4028</f>
        <v/>
      </c>
      <c r="J4059" s="7">
        <f>I4059*G4059</f>
        <v/>
      </c>
      <c r="K4059" s="8">
        <f>IF($J$4062=0,0,J4059/$J$4062)</f>
        <v/>
      </c>
      <c r="L4059" s="6" t="inlineStr">
        <is>
          <t>SELECTED</t>
        </is>
      </c>
      <c r="M4059" s="8" t="n">
        <v>0.2</v>
      </c>
      <c r="N4059" s="7">
        <f>M4059*$J$4062-J4059</f>
        <v/>
      </c>
      <c r="O4059" s="9">
        <f>IF(G4059=0,0,N4059/G4059)</f>
        <v/>
      </c>
      <c r="P4059" s="6">
        <f>IF(M4059&gt;0,D4059,"")</f>
        <v/>
      </c>
      <c r="Q4059" s="9">
        <f>I4059+O4059</f>
        <v/>
      </c>
      <c r="R4059" s="7">
        <f>Q4059*G4059</f>
        <v/>
      </c>
      <c r="S4059" s="8">
        <f>IF($R$4062=0,0,R4059/$R$4062)</f>
        <v/>
      </c>
      <c r="T4059" s="8" t="n">
        <v>0.00918318359394088</v>
      </c>
      <c r="U4059" s="8" t="n">
        <v>0.0230365112282116</v>
      </c>
      <c r="V4059" s="6" t="inlineStr">
        <is>
          <t>remained in weekly selection</t>
        </is>
      </c>
    </row>
    <row r="4060">
      <c r="A4060" s="6" t="inlineStr">
        <is>
          <t>DJ30</t>
        </is>
      </c>
      <c r="B4060" s="6" t="inlineStr">
        <is>
          <t>2025-07-04</t>
        </is>
      </c>
      <c r="C4060" s="6" t="inlineStr">
        <is>
          <t>DIA</t>
        </is>
      </c>
      <c r="D4060" s="6" t="inlineStr">
        <is>
          <t>VZ</t>
        </is>
      </c>
      <c r="E4060" s="6" t="inlineStr">
        <is>
          <t>VZ</t>
        </is>
      </c>
      <c r="F4060" s="6" t="inlineStr">
        <is>
          <t>-</t>
        </is>
      </c>
      <c r="G4060" s="7" t="n">
        <v>40.80058670043945</v>
      </c>
      <c r="H4060" s="6">
        <f>P4029</f>
        <v/>
      </c>
      <c r="I4060" s="9">
        <f>Q4029</f>
        <v/>
      </c>
      <c r="J4060" s="7">
        <f>I4060*G4060</f>
        <v/>
      </c>
      <c r="K4060" s="8">
        <f>IF($J$4062=0,0,J4060/$J$4062)</f>
        <v/>
      </c>
      <c r="L4060" s="6" t="inlineStr">
        <is>
          <t>WATCHLIST</t>
        </is>
      </c>
      <c r="M4060" s="8" t="n">
        <v>0</v>
      </c>
      <c r="N4060" s="7">
        <f>M4060*$J$4062-J4060</f>
        <v/>
      </c>
      <c r="O4060" s="9">
        <f>IF(G4060=0,0,N4060/G4060)</f>
        <v/>
      </c>
      <c r="P4060" s="6">
        <f>IF(M4060&gt;0,D4060,"")</f>
        <v/>
      </c>
      <c r="Q4060" s="9">
        <f>I4060+O4060</f>
        <v/>
      </c>
      <c r="R4060" s="7">
        <f>Q4060*G4060</f>
        <v/>
      </c>
      <c r="S4060" s="8">
        <f>IF($R$4062=0,0,R4060/$R$4062)</f>
        <v/>
      </c>
      <c r="T4060" s="8" t="n">
        <v>0.00918318359394088</v>
      </c>
      <c r="U4060" s="8" t="n">
        <v>0.0230365112282116</v>
      </c>
      <c r="V4060" s="6" t="inlineStr">
        <is>
          <t>not selected</t>
        </is>
      </c>
    </row>
    <row r="4061">
      <c r="A4061" s="6" t="inlineStr">
        <is>
          <t>DJ30</t>
        </is>
      </c>
      <c r="B4061" s="6" t="inlineStr">
        <is>
          <t>2025-07-04</t>
        </is>
      </c>
      <c r="C4061" s="6" t="inlineStr">
        <is>
          <t>DIA</t>
        </is>
      </c>
      <c r="D4061" s="6" t="inlineStr">
        <is>
          <t>WMT</t>
        </is>
      </c>
      <c r="E4061" s="6" t="inlineStr">
        <is>
          <t>WMT</t>
        </is>
      </c>
      <c r="F4061" s="6" t="inlineStr">
        <is>
          <t>-</t>
        </is>
      </c>
      <c r="G4061" s="7" t="n">
        <v>97.54444885253906</v>
      </c>
      <c r="H4061" s="6">
        <f>P4030</f>
        <v/>
      </c>
      <c r="I4061" s="9">
        <f>Q4030</f>
        <v/>
      </c>
      <c r="J4061" s="7">
        <f>I4061*G4061</f>
        <v/>
      </c>
      <c r="K4061" s="8">
        <f>IF($J$4062=0,0,J4061/$J$4062)</f>
        <v/>
      </c>
      <c r="L4061" s="6" t="inlineStr">
        <is>
          <t>WATCHLIST</t>
        </is>
      </c>
      <c r="M4061" s="8" t="n">
        <v>0</v>
      </c>
      <c r="N4061" s="7">
        <f>M4061*$J$4062-J4061</f>
        <v/>
      </c>
      <c r="O4061" s="9">
        <f>IF(G4061=0,0,N4061/G4061)</f>
        <v/>
      </c>
      <c r="P4061" s="6">
        <f>IF(M4061&gt;0,D4061,"")</f>
        <v/>
      </c>
      <c r="Q4061" s="9">
        <f>I4061+O4061</f>
        <v/>
      </c>
      <c r="R4061" s="7">
        <f>Q4061*G4061</f>
        <v/>
      </c>
      <c r="S4061" s="8">
        <f>IF($R$4062=0,0,R4061/$R$4062)</f>
        <v/>
      </c>
      <c r="T4061" s="8" t="n">
        <v>0.00918318359394088</v>
      </c>
      <c r="U4061" s="8" t="n">
        <v>0.0230365112282116</v>
      </c>
      <c r="V4061" s="6" t="inlineStr">
        <is>
          <t>not selected</t>
        </is>
      </c>
    </row>
    <row r="4062">
      <c r="A4062" s="10" t="inlineStr">
        <is>
          <t>DJ30</t>
        </is>
      </c>
      <c r="B4062" s="10" t="inlineStr">
        <is>
          <t>2025-07-04</t>
        </is>
      </c>
      <c r="C4062" s="10" t="inlineStr">
        <is>
          <t>DIA</t>
        </is>
      </c>
      <c r="D4062" s="10" t="inlineStr">
        <is>
          <t>Tot Portfolio</t>
        </is>
      </c>
      <c r="E4062" s="10" t="inlineStr"/>
      <c r="F4062" s="10" t="inlineStr"/>
      <c r="G4062" s="11" t="inlineStr"/>
      <c r="H4062" s="10" t="inlineStr"/>
      <c r="I4062" s="12" t="inlineStr"/>
      <c r="J4062" s="11">
        <f>SUM(J4032:J4061)</f>
        <v/>
      </c>
      <c r="K4062" s="13">
        <f>SUM(K4032:K4061)</f>
        <v/>
      </c>
      <c r="L4062" s="10" t="inlineStr">
        <is>
          <t>TOTAL</t>
        </is>
      </c>
      <c r="M4062" s="13">
        <f>SUM(M4032:M4061)</f>
        <v/>
      </c>
      <c r="N4062" s="11">
        <f>SUM(N4032:N4061)</f>
        <v/>
      </c>
      <c r="O4062" s="12">
        <f>SUM(O4032:O4061)</f>
        <v/>
      </c>
      <c r="P4062" s="10" t="inlineStr"/>
      <c r="Q4062" s="12" t="inlineStr"/>
      <c r="R4062" s="11">
        <f>SUM(R4032:R4061)</f>
        <v/>
      </c>
      <c r="S4062" s="13">
        <f>SUM(S4032:S4061)</f>
        <v/>
      </c>
      <c r="T4062" s="13" t="n">
        <v>0.00918318359394088</v>
      </c>
      <c r="U4062" s="13" t="n">
        <v>0.0230365112282116</v>
      </c>
      <c r="V4062" s="10" t="inlineStr"/>
    </row>
    <row r="4063">
      <c r="A4063" s="6" t="inlineStr">
        <is>
          <t>DJ30</t>
        </is>
      </c>
      <c r="B4063" s="6" t="inlineStr">
        <is>
          <t>2025-07-11</t>
        </is>
      </c>
      <c r="C4063" s="6" t="inlineStr">
        <is>
          <t>DIA</t>
        </is>
      </c>
      <c r="D4063" s="6" t="inlineStr">
        <is>
          <t>AAPL</t>
        </is>
      </c>
      <c r="E4063" s="6" t="inlineStr">
        <is>
          <t>AAPL</t>
        </is>
      </c>
      <c r="F4063" s="6" t="inlineStr">
        <is>
          <t>-</t>
        </is>
      </c>
      <c r="G4063" s="7" t="n">
        <v>210.3255920410156</v>
      </c>
      <c r="H4063" s="6">
        <f>P4032</f>
        <v/>
      </c>
      <c r="I4063" s="9">
        <f>Q4032</f>
        <v/>
      </c>
      <c r="J4063" s="7">
        <f>I4063*G4063</f>
        <v/>
      </c>
      <c r="K4063" s="8">
        <f>IF($J$4093=0,0,J4063/$J$4093)</f>
        <v/>
      </c>
      <c r="L4063" s="6" t="inlineStr">
        <is>
          <t>REJECTED</t>
        </is>
      </c>
      <c r="M4063" s="8" t="n">
        <v>0</v>
      </c>
      <c r="N4063" s="7">
        <f>M4063*$J$4093-J4063</f>
        <v/>
      </c>
      <c r="O4063" s="9">
        <f>IF(G4063=0,0,N4063/G4063)</f>
        <v/>
      </c>
      <c r="P4063" s="6">
        <f>IF(M4063&gt;0,D4063,"")</f>
        <v/>
      </c>
      <c r="Q4063" s="9">
        <f>I4063+O4063</f>
        <v/>
      </c>
      <c r="R4063" s="7">
        <f>Q4063*G4063</f>
        <v/>
      </c>
      <c r="S4063" s="8">
        <f>IF($R$4093=0,0,R4063/$R$4093)</f>
        <v/>
      </c>
      <c r="T4063" s="8" t="n">
        <v>-0.007866914198574215</v>
      </c>
      <c r="U4063" s="8" t="n">
        <v>-0.0100871916733738</v>
      </c>
      <c r="V4063" s="6" t="inlineStr">
        <is>
          <t>not selected</t>
        </is>
      </c>
    </row>
    <row r="4064">
      <c r="A4064" s="6" t="inlineStr">
        <is>
          <t>DJ30</t>
        </is>
      </c>
      <c r="B4064" s="6" t="inlineStr">
        <is>
          <t>2025-07-11</t>
        </is>
      </c>
      <c r="C4064" s="6" t="inlineStr">
        <is>
          <t>DIA</t>
        </is>
      </c>
      <c r="D4064" s="6" t="inlineStr">
        <is>
          <t>AMGN</t>
        </is>
      </c>
      <c r="E4064" s="6" t="inlineStr">
        <is>
          <t>AMGN</t>
        </is>
      </c>
      <c r="F4064" s="6" t="inlineStr">
        <is>
          <t>-</t>
        </is>
      </c>
      <c r="G4064" s="7" t="n">
        <v>286.6537780761719</v>
      </c>
      <c r="H4064" s="6">
        <f>P4033</f>
        <v/>
      </c>
      <c r="I4064" s="9">
        <f>Q4033</f>
        <v/>
      </c>
      <c r="J4064" s="7">
        <f>I4064*G4064</f>
        <v/>
      </c>
      <c r="K4064" s="8">
        <f>IF($J$4093=0,0,J4064/$J$4093)</f>
        <v/>
      </c>
      <c r="L4064" s="6" t="inlineStr">
        <is>
          <t>REJECTED</t>
        </is>
      </c>
      <c r="M4064" s="8" t="n">
        <v>0</v>
      </c>
      <c r="N4064" s="7">
        <f>M4064*$J$4093-J4064</f>
        <v/>
      </c>
      <c r="O4064" s="9">
        <f>IF(G4064=0,0,N4064/G4064)</f>
        <v/>
      </c>
      <c r="P4064" s="6">
        <f>IF(M4064&gt;0,D4064,"")</f>
        <v/>
      </c>
      <c r="Q4064" s="9">
        <f>I4064+O4064</f>
        <v/>
      </c>
      <c r="R4064" s="7">
        <f>Q4064*G4064</f>
        <v/>
      </c>
      <c r="S4064" s="8">
        <f>IF($R$4093=0,0,R4064/$R$4093)</f>
        <v/>
      </c>
      <c r="T4064" s="8" t="n">
        <v>-0.007866914198574215</v>
      </c>
      <c r="U4064" s="8" t="n">
        <v>-0.0100871916733738</v>
      </c>
      <c r="V4064" s="6" t="inlineStr">
        <is>
          <t>not selected</t>
        </is>
      </c>
    </row>
    <row r="4065">
      <c r="A4065" s="6" t="inlineStr">
        <is>
          <t>DJ30</t>
        </is>
      </c>
      <c r="B4065" s="6" t="inlineStr">
        <is>
          <t>2025-07-11</t>
        </is>
      </c>
      <c r="C4065" s="6" t="inlineStr">
        <is>
          <t>DIA</t>
        </is>
      </c>
      <c r="D4065" s="6" t="inlineStr">
        <is>
          <t>AMZN</t>
        </is>
      </c>
      <c r="E4065" s="6" t="inlineStr">
        <is>
          <t>AMZN</t>
        </is>
      </c>
      <c r="F4065" s="6" t="inlineStr">
        <is>
          <t>-</t>
        </is>
      </c>
      <c r="G4065" s="7" t="n">
        <v>225.0200042724609</v>
      </c>
      <c r="H4065" s="6">
        <f>P4034</f>
        <v/>
      </c>
      <c r="I4065" s="9">
        <f>Q4034</f>
        <v/>
      </c>
      <c r="J4065" s="7">
        <f>I4065*G4065</f>
        <v/>
      </c>
      <c r="K4065" s="8">
        <f>IF($J$4093=0,0,J4065/$J$4093)</f>
        <v/>
      </c>
      <c r="L4065" s="6" t="inlineStr">
        <is>
          <t>REJECTED</t>
        </is>
      </c>
      <c r="M4065" s="8" t="n">
        <v>0</v>
      </c>
      <c r="N4065" s="7">
        <f>M4065*$J$4093-J4065</f>
        <v/>
      </c>
      <c r="O4065" s="9">
        <f>IF(G4065=0,0,N4065/G4065)</f>
        <v/>
      </c>
      <c r="P4065" s="6">
        <f>IF(M4065&gt;0,D4065,"")</f>
        <v/>
      </c>
      <c r="Q4065" s="9">
        <f>I4065+O4065</f>
        <v/>
      </c>
      <c r="R4065" s="7">
        <f>Q4065*G4065</f>
        <v/>
      </c>
      <c r="S4065" s="8">
        <f>IF($R$4093=0,0,R4065/$R$4093)</f>
        <v/>
      </c>
      <c r="T4065" s="8" t="n">
        <v>-0.007866914198574215</v>
      </c>
      <c r="U4065" s="8" t="n">
        <v>-0.0100871916733738</v>
      </c>
      <c r="V4065" s="6" t="inlineStr">
        <is>
          <t>not selected</t>
        </is>
      </c>
    </row>
    <row r="4066">
      <c r="A4066" s="6" t="inlineStr">
        <is>
          <t>DJ30</t>
        </is>
      </c>
      <c r="B4066" s="6" t="inlineStr">
        <is>
          <t>2025-07-11</t>
        </is>
      </c>
      <c r="C4066" s="6" t="inlineStr">
        <is>
          <t>DIA</t>
        </is>
      </c>
      <c r="D4066" s="6" t="inlineStr">
        <is>
          <t>AXP</t>
        </is>
      </c>
      <c r="E4066" s="6" t="inlineStr">
        <is>
          <t>AXP</t>
        </is>
      </c>
      <c r="F4066" s="6" t="inlineStr">
        <is>
          <t>-</t>
        </is>
      </c>
      <c r="G4066" s="7" t="n">
        <v>316.9542541503906</v>
      </c>
      <c r="H4066" s="6">
        <f>P4035</f>
        <v/>
      </c>
      <c r="I4066" s="9">
        <f>Q4035</f>
        <v/>
      </c>
      <c r="J4066" s="7">
        <f>I4066*G4066</f>
        <v/>
      </c>
      <c r="K4066" s="8">
        <f>IF($J$4093=0,0,J4066/$J$4093)</f>
        <v/>
      </c>
      <c r="L4066" s="6" t="inlineStr">
        <is>
          <t>REJECTED</t>
        </is>
      </c>
      <c r="M4066" s="8" t="n">
        <v>0</v>
      </c>
      <c r="N4066" s="7">
        <f>M4066*$J$4093-J4066</f>
        <v/>
      </c>
      <c r="O4066" s="9">
        <f>IF(G4066=0,0,N4066/G4066)</f>
        <v/>
      </c>
      <c r="P4066" s="6">
        <f>IF(M4066&gt;0,D4066,"")</f>
        <v/>
      </c>
      <c r="Q4066" s="9">
        <f>I4066+O4066</f>
        <v/>
      </c>
      <c r="R4066" s="7">
        <f>Q4066*G4066</f>
        <v/>
      </c>
      <c r="S4066" s="8">
        <f>IF($R$4093=0,0,R4066/$R$4093)</f>
        <v/>
      </c>
      <c r="T4066" s="8" t="n">
        <v>-0.007866914198574215</v>
      </c>
      <c r="U4066" s="8" t="n">
        <v>-0.0100871916733738</v>
      </c>
      <c r="V4066" s="6" t="inlineStr">
        <is>
          <t>not selected</t>
        </is>
      </c>
    </row>
    <row r="4067">
      <c r="A4067" s="6" t="inlineStr">
        <is>
          <t>DJ30</t>
        </is>
      </c>
      <c r="B4067" s="6" t="inlineStr">
        <is>
          <t>2025-07-11</t>
        </is>
      </c>
      <c r="C4067" s="6" t="inlineStr">
        <is>
          <t>DIA</t>
        </is>
      </c>
      <c r="D4067" s="6" t="inlineStr">
        <is>
          <t>BA</t>
        </is>
      </c>
      <c r="E4067" s="6" t="inlineStr">
        <is>
          <t>BA</t>
        </is>
      </c>
      <c r="F4067" s="6" t="inlineStr">
        <is>
          <t>-</t>
        </is>
      </c>
      <c r="G4067" s="7" t="n">
        <v>226.8399963378907</v>
      </c>
      <c r="H4067" s="6">
        <f>P4036</f>
        <v/>
      </c>
      <c r="I4067" s="9">
        <f>Q4036</f>
        <v/>
      </c>
      <c r="J4067" s="7">
        <f>I4067*G4067</f>
        <v/>
      </c>
      <c r="K4067" s="8">
        <f>IF($J$4093=0,0,J4067/$J$4093)</f>
        <v/>
      </c>
      <c r="L4067" s="6" t="inlineStr">
        <is>
          <t>WATCHLIST</t>
        </is>
      </c>
      <c r="M4067" s="8" t="n">
        <v>0</v>
      </c>
      <c r="N4067" s="7">
        <f>M4067*$J$4093-J4067</f>
        <v/>
      </c>
      <c r="O4067" s="9">
        <f>IF(G4067=0,0,N4067/G4067)</f>
        <v/>
      </c>
      <c r="P4067" s="6">
        <f>IF(M4067&gt;0,D4067,"")</f>
        <v/>
      </c>
      <c r="Q4067" s="9">
        <f>I4067+O4067</f>
        <v/>
      </c>
      <c r="R4067" s="7">
        <f>Q4067*G4067</f>
        <v/>
      </c>
      <c r="S4067" s="8">
        <f>IF($R$4093=0,0,R4067/$R$4093)</f>
        <v/>
      </c>
      <c r="T4067" s="8" t="n">
        <v>-0.007866914198574215</v>
      </c>
      <c r="U4067" s="8" t="n">
        <v>-0.0100871916733738</v>
      </c>
      <c r="V4067" s="6" t="inlineStr">
        <is>
          <t>not selected</t>
        </is>
      </c>
    </row>
    <row r="4068">
      <c r="A4068" s="6" t="inlineStr">
        <is>
          <t>DJ30</t>
        </is>
      </c>
      <c r="B4068" s="6" t="inlineStr">
        <is>
          <t>2025-07-11</t>
        </is>
      </c>
      <c r="C4068" s="6" t="inlineStr">
        <is>
          <t>DIA</t>
        </is>
      </c>
      <c r="D4068" s="6" t="inlineStr">
        <is>
          <t>CAT</t>
        </is>
      </c>
      <c r="E4068" s="6" t="inlineStr">
        <is>
          <t>CAT</t>
        </is>
      </c>
      <c r="F4068" s="6" t="inlineStr">
        <is>
          <t>-</t>
        </is>
      </c>
      <c r="G4068" s="7" t="n">
        <v>401.5739135742188</v>
      </c>
      <c r="H4068" s="6">
        <f>P4037</f>
        <v/>
      </c>
      <c r="I4068" s="9">
        <f>Q4037</f>
        <v/>
      </c>
      <c r="J4068" s="7">
        <f>I4068*G4068</f>
        <v/>
      </c>
      <c r="K4068" s="8">
        <f>IF($J$4093=0,0,J4068/$J$4093)</f>
        <v/>
      </c>
      <c r="L4068" s="6" t="inlineStr">
        <is>
          <t>REJECTED</t>
        </is>
      </c>
      <c r="M4068" s="8" t="n">
        <v>0</v>
      </c>
      <c r="N4068" s="7">
        <f>M4068*$J$4093-J4068</f>
        <v/>
      </c>
      <c r="O4068" s="9">
        <f>IF(G4068=0,0,N4068/G4068)</f>
        <v/>
      </c>
      <c r="P4068" s="6">
        <f>IF(M4068&gt;0,D4068,"")</f>
        <v/>
      </c>
      <c r="Q4068" s="9">
        <f>I4068+O4068</f>
        <v/>
      </c>
      <c r="R4068" s="7">
        <f>Q4068*G4068</f>
        <v/>
      </c>
      <c r="S4068" s="8">
        <f>IF($R$4093=0,0,R4068/$R$4093)</f>
        <v/>
      </c>
      <c r="T4068" s="8" t="n">
        <v>-0.007866914198574215</v>
      </c>
      <c r="U4068" s="8" t="n">
        <v>-0.0100871916733738</v>
      </c>
      <c r="V4068" s="6" t="inlineStr">
        <is>
          <t>not selected</t>
        </is>
      </c>
    </row>
    <row r="4069">
      <c r="A4069" s="6" t="inlineStr">
        <is>
          <t>DJ30</t>
        </is>
      </c>
      <c r="B4069" s="6" t="inlineStr">
        <is>
          <t>2025-07-11</t>
        </is>
      </c>
      <c r="C4069" s="6" t="inlineStr">
        <is>
          <t>DIA</t>
        </is>
      </c>
      <c r="D4069" s="6" t="inlineStr">
        <is>
          <t>CRM</t>
        </is>
      </c>
      <c r="E4069" s="6" t="inlineStr">
        <is>
          <t>CRM</t>
        </is>
      </c>
      <c r="F4069" s="6" t="inlineStr">
        <is>
          <t>-</t>
        </is>
      </c>
      <c r="G4069" s="7" t="n">
        <v>255.9040832519531</v>
      </c>
      <c r="H4069" s="6">
        <f>P4038</f>
        <v/>
      </c>
      <c r="I4069" s="9">
        <f>Q4038</f>
        <v/>
      </c>
      <c r="J4069" s="7">
        <f>I4069*G4069</f>
        <v/>
      </c>
      <c r="K4069" s="8">
        <f>IF($J$4093=0,0,J4069/$J$4093)</f>
        <v/>
      </c>
      <c r="L4069" s="6" t="inlineStr">
        <is>
          <t>REJECTED</t>
        </is>
      </c>
      <c r="M4069" s="8" t="n">
        <v>0</v>
      </c>
      <c r="N4069" s="7">
        <f>M4069*$J$4093-J4069</f>
        <v/>
      </c>
      <c r="O4069" s="9">
        <f>IF(G4069=0,0,N4069/G4069)</f>
        <v/>
      </c>
      <c r="P4069" s="6">
        <f>IF(M4069&gt;0,D4069,"")</f>
        <v/>
      </c>
      <c r="Q4069" s="9">
        <f>I4069+O4069</f>
        <v/>
      </c>
      <c r="R4069" s="7">
        <f>Q4069*G4069</f>
        <v/>
      </c>
      <c r="S4069" s="8">
        <f>IF($R$4093=0,0,R4069/$R$4093)</f>
        <v/>
      </c>
      <c r="T4069" s="8" t="n">
        <v>-0.007866914198574215</v>
      </c>
      <c r="U4069" s="8" t="n">
        <v>-0.0100871916733738</v>
      </c>
      <c r="V4069" s="6" t="inlineStr">
        <is>
          <t>not selected</t>
        </is>
      </c>
    </row>
    <row r="4070">
      <c r="A4070" s="6" t="inlineStr">
        <is>
          <t>DJ30</t>
        </is>
      </c>
      <c r="B4070" s="6" t="inlineStr">
        <is>
          <t>2025-07-11</t>
        </is>
      </c>
      <c r="C4070" s="6" t="inlineStr">
        <is>
          <t>DIA</t>
        </is>
      </c>
      <c r="D4070" s="6" t="inlineStr">
        <is>
          <t>CSCO</t>
        </is>
      </c>
      <c r="E4070" s="6" t="inlineStr">
        <is>
          <t>CSCO</t>
        </is>
      </c>
      <c r="F4070" s="6" t="inlineStr">
        <is>
          <t>-</t>
        </is>
      </c>
      <c r="G4070" s="7" t="n">
        <v>66.82058715820312</v>
      </c>
      <c r="H4070" s="6">
        <f>P4039</f>
        <v/>
      </c>
      <c r="I4070" s="9">
        <f>Q4039</f>
        <v/>
      </c>
      <c r="J4070" s="7">
        <f>I4070*G4070</f>
        <v/>
      </c>
      <c r="K4070" s="8">
        <f>IF($J$4093=0,0,J4070/$J$4093)</f>
        <v/>
      </c>
      <c r="L4070" s="6" t="inlineStr">
        <is>
          <t>WATCHLIST</t>
        </is>
      </c>
      <c r="M4070" s="8" t="n">
        <v>0</v>
      </c>
      <c r="N4070" s="7">
        <f>M4070*$J$4093-J4070</f>
        <v/>
      </c>
      <c r="O4070" s="9">
        <f>IF(G4070=0,0,N4070/G4070)</f>
        <v/>
      </c>
      <c r="P4070" s="6">
        <f>IF(M4070&gt;0,D4070,"")</f>
        <v/>
      </c>
      <c r="Q4070" s="9">
        <f>I4070+O4070</f>
        <v/>
      </c>
      <c r="R4070" s="7">
        <f>Q4070*G4070</f>
        <v/>
      </c>
      <c r="S4070" s="8">
        <f>IF($R$4093=0,0,R4070/$R$4093)</f>
        <v/>
      </c>
      <c r="T4070" s="8" t="n">
        <v>-0.007866914198574215</v>
      </c>
      <c r="U4070" s="8" t="n">
        <v>-0.0100871916733738</v>
      </c>
      <c r="V4070" s="6" t="inlineStr">
        <is>
          <t>not selected</t>
        </is>
      </c>
    </row>
    <row r="4071">
      <c r="A4071" s="6" t="inlineStr">
        <is>
          <t>DJ30</t>
        </is>
      </c>
      <c r="B4071" s="6" t="inlineStr">
        <is>
          <t>2025-07-11</t>
        </is>
      </c>
      <c r="C4071" s="6" t="inlineStr">
        <is>
          <t>DIA</t>
        </is>
      </c>
      <c r="D4071" s="6" t="inlineStr">
        <is>
          <t>CVX</t>
        </is>
      </c>
      <c r="E4071" s="6" t="inlineStr">
        <is>
          <t>CVX</t>
        </is>
      </c>
      <c r="F4071" s="6" t="inlineStr">
        <is>
          <t>-</t>
        </is>
      </c>
      <c r="G4071" s="7" t="n">
        <v>149.0666656494141</v>
      </c>
      <c r="H4071" s="6">
        <f>P4040</f>
        <v/>
      </c>
      <c r="I4071" s="9">
        <f>Q4040</f>
        <v/>
      </c>
      <c r="J4071" s="7">
        <f>I4071*G4071</f>
        <v/>
      </c>
      <c r="K4071" s="8">
        <f>IF($J$4093=0,0,J4071/$J$4093)</f>
        <v/>
      </c>
      <c r="L4071" s="6" t="inlineStr">
        <is>
          <t>REJECTED</t>
        </is>
      </c>
      <c r="M4071" s="8" t="n">
        <v>0</v>
      </c>
      <c r="N4071" s="7">
        <f>M4071*$J$4093-J4071</f>
        <v/>
      </c>
      <c r="O4071" s="9">
        <f>IF(G4071=0,0,N4071/G4071)</f>
        <v/>
      </c>
      <c r="P4071" s="6">
        <f>IF(M4071&gt;0,D4071,"")</f>
        <v/>
      </c>
      <c r="Q4071" s="9">
        <f>I4071+O4071</f>
        <v/>
      </c>
      <c r="R4071" s="7">
        <f>Q4071*G4071</f>
        <v/>
      </c>
      <c r="S4071" s="8">
        <f>IF($R$4093=0,0,R4071/$R$4093)</f>
        <v/>
      </c>
      <c r="T4071" s="8" t="n">
        <v>-0.007866914198574215</v>
      </c>
      <c r="U4071" s="8" t="n">
        <v>-0.0100871916733738</v>
      </c>
      <c r="V4071" s="6" t="inlineStr">
        <is>
          <t>not selected</t>
        </is>
      </c>
    </row>
    <row r="4072">
      <c r="A4072" s="6" t="inlineStr">
        <is>
          <t>DJ30</t>
        </is>
      </c>
      <c r="B4072" s="6" t="inlineStr">
        <is>
          <t>2025-07-11</t>
        </is>
      </c>
      <c r="C4072" s="6" t="inlineStr">
        <is>
          <t>DIA</t>
        </is>
      </c>
      <c r="D4072" s="6" t="inlineStr">
        <is>
          <t>DIS</t>
        </is>
      </c>
      <c r="E4072" s="6" t="inlineStr">
        <is>
          <t>DIS</t>
        </is>
      </c>
      <c r="F4072" s="6" t="inlineStr">
        <is>
          <t>-</t>
        </is>
      </c>
      <c r="G4072" s="7" t="n">
        <v>119.0644226074219</v>
      </c>
      <c r="H4072" s="6">
        <f>P4041</f>
        <v/>
      </c>
      <c r="I4072" s="9">
        <f>Q4041</f>
        <v/>
      </c>
      <c r="J4072" s="7">
        <f>I4072*G4072</f>
        <v/>
      </c>
      <c r="K4072" s="8">
        <f>IF($J$4093=0,0,J4072/$J$4093)</f>
        <v/>
      </c>
      <c r="L4072" s="6" t="inlineStr">
        <is>
          <t>REJECTED</t>
        </is>
      </c>
      <c r="M4072" s="8" t="n">
        <v>0</v>
      </c>
      <c r="N4072" s="7">
        <f>M4072*$J$4093-J4072</f>
        <v/>
      </c>
      <c r="O4072" s="9">
        <f>IF(G4072=0,0,N4072/G4072)</f>
        <v/>
      </c>
      <c r="P4072" s="6">
        <f>IF(M4072&gt;0,D4072,"")</f>
        <v/>
      </c>
      <c r="Q4072" s="9">
        <f>I4072+O4072</f>
        <v/>
      </c>
      <c r="R4072" s="7">
        <f>Q4072*G4072</f>
        <v/>
      </c>
      <c r="S4072" s="8">
        <f>IF($R$4093=0,0,R4072/$R$4093)</f>
        <v/>
      </c>
      <c r="T4072" s="8" t="n">
        <v>-0.007866914198574215</v>
      </c>
      <c r="U4072" s="8" t="n">
        <v>-0.0100871916733738</v>
      </c>
      <c r="V4072" s="6" t="inlineStr">
        <is>
          <t>not selected</t>
        </is>
      </c>
    </row>
    <row r="4073">
      <c r="A4073" s="6" t="inlineStr">
        <is>
          <t>DJ30</t>
        </is>
      </c>
      <c r="B4073" s="6" t="inlineStr">
        <is>
          <t>2025-07-11</t>
        </is>
      </c>
      <c r="C4073" s="6" t="inlineStr">
        <is>
          <t>DIA</t>
        </is>
      </c>
      <c r="D4073" s="6" t="inlineStr">
        <is>
          <t>GS</t>
        </is>
      </c>
      <c r="E4073" s="6" t="inlineStr">
        <is>
          <t>GS</t>
        </is>
      </c>
      <c r="F4073" s="6" t="inlineStr">
        <is>
          <t>-</t>
        </is>
      </c>
      <c r="G4073" s="7" t="n">
        <v>691.0390625</v>
      </c>
      <c r="H4073" s="6">
        <f>P4042</f>
        <v/>
      </c>
      <c r="I4073" s="9">
        <f>Q4042</f>
        <v/>
      </c>
      <c r="J4073" s="7">
        <f>I4073*G4073</f>
        <v/>
      </c>
      <c r="K4073" s="8">
        <f>IF($J$4093=0,0,J4073/$J$4093)</f>
        <v/>
      </c>
      <c r="L4073" s="6" t="inlineStr">
        <is>
          <t>WATCHLIST</t>
        </is>
      </c>
      <c r="M4073" s="8" t="n">
        <v>0</v>
      </c>
      <c r="N4073" s="7">
        <f>M4073*$J$4093-J4073</f>
        <v/>
      </c>
      <c r="O4073" s="9">
        <f>IF(G4073=0,0,N4073/G4073)</f>
        <v/>
      </c>
      <c r="P4073" s="6">
        <f>IF(M4073&gt;0,D4073,"")</f>
        <v/>
      </c>
      <c r="Q4073" s="9">
        <f>I4073+O4073</f>
        <v/>
      </c>
      <c r="R4073" s="7">
        <f>Q4073*G4073</f>
        <v/>
      </c>
      <c r="S4073" s="8">
        <f>IF($R$4093=0,0,R4073/$R$4093)</f>
        <v/>
      </c>
      <c r="T4073" s="8" t="n">
        <v>-0.007866914198574215</v>
      </c>
      <c r="U4073" s="8" t="n">
        <v>-0.0100871916733738</v>
      </c>
      <c r="V4073" s="6" t="inlineStr">
        <is>
          <t>not selected</t>
        </is>
      </c>
    </row>
    <row r="4074">
      <c r="A4074" s="6" t="inlineStr">
        <is>
          <t>DJ30</t>
        </is>
      </c>
      <c r="B4074" s="6" t="inlineStr">
        <is>
          <t>2025-07-11</t>
        </is>
      </c>
      <c r="C4074" s="6" t="inlineStr">
        <is>
          <t>DIA</t>
        </is>
      </c>
      <c r="D4074" s="6" t="inlineStr">
        <is>
          <t>HD</t>
        </is>
      </c>
      <c r="E4074" s="6" t="inlineStr">
        <is>
          <t>HD</t>
        </is>
      </c>
      <c r="F4074" s="6" t="inlineStr">
        <is>
          <t>-</t>
        </is>
      </c>
      <c r="G4074" s="7" t="n">
        <v>360.485595703125</v>
      </c>
      <c r="H4074" s="6">
        <f>P4043</f>
        <v/>
      </c>
      <c r="I4074" s="9">
        <f>Q4043</f>
        <v/>
      </c>
      <c r="J4074" s="7">
        <f>I4074*G4074</f>
        <v/>
      </c>
      <c r="K4074" s="8">
        <f>IF($J$4093=0,0,J4074/$J$4093)</f>
        <v/>
      </c>
      <c r="L4074" s="6" t="inlineStr">
        <is>
          <t>REJECTED</t>
        </is>
      </c>
      <c r="M4074" s="8" t="n">
        <v>0</v>
      </c>
      <c r="N4074" s="7">
        <f>M4074*$J$4093-J4074</f>
        <v/>
      </c>
      <c r="O4074" s="9">
        <f>IF(G4074=0,0,N4074/G4074)</f>
        <v/>
      </c>
      <c r="P4074" s="6">
        <f>IF(M4074&gt;0,D4074,"")</f>
        <v/>
      </c>
      <c r="Q4074" s="9">
        <f>I4074+O4074</f>
        <v/>
      </c>
      <c r="R4074" s="7">
        <f>Q4074*G4074</f>
        <v/>
      </c>
      <c r="S4074" s="8">
        <f>IF($R$4093=0,0,R4074/$R$4093)</f>
        <v/>
      </c>
      <c r="T4074" s="8" t="n">
        <v>-0.007866914198574215</v>
      </c>
      <c r="U4074" s="8" t="n">
        <v>-0.0100871916733738</v>
      </c>
      <c r="V4074" s="6" t="inlineStr">
        <is>
          <t>not selected</t>
        </is>
      </c>
    </row>
    <row r="4075">
      <c r="A4075" s="6" t="inlineStr">
        <is>
          <t>DJ30</t>
        </is>
      </c>
      <c r="B4075" s="6" t="inlineStr">
        <is>
          <t>2025-07-11</t>
        </is>
      </c>
      <c r="C4075" s="6" t="inlineStr">
        <is>
          <t>DIA</t>
        </is>
      </c>
      <c r="D4075" s="6" t="inlineStr">
        <is>
          <t>HON</t>
        </is>
      </c>
      <c r="E4075" s="6" t="inlineStr">
        <is>
          <t>HON</t>
        </is>
      </c>
      <c r="F4075" s="6" t="inlineStr">
        <is>
          <t>-</t>
        </is>
      </c>
      <c r="G4075" s="7" t="n">
        <v>217.61474609375</v>
      </c>
      <c r="H4075" s="6">
        <f>P4044</f>
        <v/>
      </c>
      <c r="I4075" s="9">
        <f>Q4044</f>
        <v/>
      </c>
      <c r="J4075" s="7">
        <f>I4075*G4075</f>
        <v/>
      </c>
      <c r="K4075" s="8">
        <f>IF($J$4093=0,0,J4075/$J$4093)</f>
        <v/>
      </c>
      <c r="L4075" s="6" t="inlineStr">
        <is>
          <t>REJECTED</t>
        </is>
      </c>
      <c r="M4075" s="8" t="n">
        <v>0</v>
      </c>
      <c r="N4075" s="7">
        <f>M4075*$J$4093-J4075</f>
        <v/>
      </c>
      <c r="O4075" s="9">
        <f>IF(G4075=0,0,N4075/G4075)</f>
        <v/>
      </c>
      <c r="P4075" s="6">
        <f>IF(M4075&gt;0,D4075,"")</f>
        <v/>
      </c>
      <c r="Q4075" s="9">
        <f>I4075+O4075</f>
        <v/>
      </c>
      <c r="R4075" s="7">
        <f>Q4075*G4075</f>
        <v/>
      </c>
      <c r="S4075" s="8">
        <f>IF($R$4093=0,0,R4075/$R$4093)</f>
        <v/>
      </c>
      <c r="T4075" s="8" t="n">
        <v>-0.007866914198574215</v>
      </c>
      <c r="U4075" s="8" t="n">
        <v>-0.0100871916733738</v>
      </c>
      <c r="V4075" s="6" t="inlineStr">
        <is>
          <t>not selected</t>
        </is>
      </c>
    </row>
    <row r="4076">
      <c r="A4076" s="6" t="inlineStr">
        <is>
          <t>DJ30</t>
        </is>
      </c>
      <c r="B4076" s="6" t="inlineStr">
        <is>
          <t>2025-07-11</t>
        </is>
      </c>
      <c r="C4076" s="6" t="inlineStr">
        <is>
          <t>DIA</t>
        </is>
      </c>
      <c r="D4076" s="6" t="inlineStr">
        <is>
          <t>IBM</t>
        </is>
      </c>
      <c r="E4076" s="6" t="inlineStr">
        <is>
          <t>IBM</t>
        </is>
      </c>
      <c r="F4076" s="6" t="inlineStr">
        <is>
          <t>-</t>
        </is>
      </c>
      <c r="G4076" s="7" t="n">
        <v>276.517578125</v>
      </c>
      <c r="H4076" s="6">
        <f>P4045</f>
        <v/>
      </c>
      <c r="I4076" s="9">
        <f>Q4045</f>
        <v/>
      </c>
      <c r="J4076" s="7">
        <f>I4076*G4076</f>
        <v/>
      </c>
      <c r="K4076" s="8">
        <f>IF($J$4093=0,0,J4076/$J$4093)</f>
        <v/>
      </c>
      <c r="L4076" s="6" t="inlineStr">
        <is>
          <t>SELECTED</t>
        </is>
      </c>
      <c r="M4076" s="8" t="n">
        <v>0.2</v>
      </c>
      <c r="N4076" s="7">
        <f>M4076*$J$4093-J4076</f>
        <v/>
      </c>
      <c r="O4076" s="9">
        <f>IF(G4076=0,0,N4076/G4076)</f>
        <v/>
      </c>
      <c r="P4076" s="6">
        <f>IF(M4076&gt;0,D4076,"")</f>
        <v/>
      </c>
      <c r="Q4076" s="9">
        <f>I4076+O4076</f>
        <v/>
      </c>
      <c r="R4076" s="7">
        <f>Q4076*G4076</f>
        <v/>
      </c>
      <c r="S4076" s="8">
        <f>IF($R$4093=0,0,R4076/$R$4093)</f>
        <v/>
      </c>
      <c r="T4076" s="8" t="n">
        <v>-0.007866914198574215</v>
      </c>
      <c r="U4076" s="8" t="n">
        <v>-0.0100871916733738</v>
      </c>
      <c r="V4076" s="6" t="inlineStr">
        <is>
          <t>remained in weekly selection</t>
        </is>
      </c>
    </row>
    <row r="4077">
      <c r="A4077" s="6" t="inlineStr">
        <is>
          <t>DJ30</t>
        </is>
      </c>
      <c r="B4077" s="6" t="inlineStr">
        <is>
          <t>2025-07-11</t>
        </is>
      </c>
      <c r="C4077" s="6" t="inlineStr">
        <is>
          <t>DIA</t>
        </is>
      </c>
      <c r="D4077" s="6" t="inlineStr">
        <is>
          <t>JNJ</t>
        </is>
      </c>
      <c r="E4077" s="6" t="inlineStr">
        <is>
          <t>JNJ</t>
        </is>
      </c>
      <c r="F4077" s="6" t="inlineStr">
        <is>
          <t>-</t>
        </is>
      </c>
      <c r="G4077" s="7" t="n">
        <v>153.0752410888672</v>
      </c>
      <c r="H4077" s="6">
        <f>P4046</f>
        <v/>
      </c>
      <c r="I4077" s="9">
        <f>Q4046</f>
        <v/>
      </c>
      <c r="J4077" s="7">
        <f>I4077*G4077</f>
        <v/>
      </c>
      <c r="K4077" s="8">
        <f>IF($J$4093=0,0,J4077/$J$4093)</f>
        <v/>
      </c>
      <c r="L4077" s="6" t="inlineStr">
        <is>
          <t>REJECTED</t>
        </is>
      </c>
      <c r="M4077" s="8" t="n">
        <v>0</v>
      </c>
      <c r="N4077" s="7">
        <f>M4077*$J$4093-J4077</f>
        <v/>
      </c>
      <c r="O4077" s="9">
        <f>IF(G4077=0,0,N4077/G4077)</f>
        <v/>
      </c>
      <c r="P4077" s="6">
        <f>IF(M4077&gt;0,D4077,"")</f>
        <v/>
      </c>
      <c r="Q4077" s="9">
        <f>I4077+O4077</f>
        <v/>
      </c>
      <c r="R4077" s="7">
        <f>Q4077*G4077</f>
        <v/>
      </c>
      <c r="S4077" s="8">
        <f>IF($R$4093=0,0,R4077/$R$4093)</f>
        <v/>
      </c>
      <c r="T4077" s="8" t="n">
        <v>-0.007866914198574215</v>
      </c>
      <c r="U4077" s="8" t="n">
        <v>-0.0100871916733738</v>
      </c>
      <c r="V4077" s="6" t="inlineStr">
        <is>
          <t>not selected</t>
        </is>
      </c>
    </row>
    <row r="4078">
      <c r="A4078" s="6" t="inlineStr">
        <is>
          <t>DJ30</t>
        </is>
      </c>
      <c r="B4078" s="6" t="inlineStr">
        <is>
          <t>2025-07-11</t>
        </is>
      </c>
      <c r="C4078" s="6" t="inlineStr">
        <is>
          <t>DIA</t>
        </is>
      </c>
      <c r="D4078" s="6" t="inlineStr">
        <is>
          <t>JPM</t>
        </is>
      </c>
      <c r="E4078" s="6" t="inlineStr">
        <is>
          <t>JPM</t>
        </is>
      </c>
      <c r="F4078" s="6" t="inlineStr">
        <is>
          <t>-</t>
        </is>
      </c>
      <c r="G4078" s="7" t="n">
        <v>282.7431640625</v>
      </c>
      <c r="H4078" s="6">
        <f>P4047</f>
        <v/>
      </c>
      <c r="I4078" s="9">
        <f>Q4047</f>
        <v/>
      </c>
      <c r="J4078" s="7">
        <f>I4078*G4078</f>
        <v/>
      </c>
      <c r="K4078" s="8">
        <f>IF($J$4093=0,0,J4078/$J$4093)</f>
        <v/>
      </c>
      <c r="L4078" s="6" t="inlineStr">
        <is>
          <t>WATCHLIST</t>
        </is>
      </c>
      <c r="M4078" s="8" t="n">
        <v>0</v>
      </c>
      <c r="N4078" s="7">
        <f>M4078*$J$4093-J4078</f>
        <v/>
      </c>
      <c r="O4078" s="9">
        <f>IF(G4078=0,0,N4078/G4078)</f>
        <v/>
      </c>
      <c r="P4078" s="6">
        <f>IF(M4078&gt;0,D4078,"")</f>
        <v/>
      </c>
      <c r="Q4078" s="9">
        <f>I4078+O4078</f>
        <v/>
      </c>
      <c r="R4078" s="7">
        <f>Q4078*G4078</f>
        <v/>
      </c>
      <c r="S4078" s="8">
        <f>IF($R$4093=0,0,R4078/$R$4093)</f>
        <v/>
      </c>
      <c r="T4078" s="8" t="n">
        <v>-0.007866914198574215</v>
      </c>
      <c r="U4078" s="8" t="n">
        <v>-0.0100871916733738</v>
      </c>
      <c r="V4078" s="6" t="inlineStr">
        <is>
          <t>not selected</t>
        </is>
      </c>
    </row>
    <row r="4079">
      <c r="A4079" s="6" t="inlineStr">
        <is>
          <t>DJ30</t>
        </is>
      </c>
      <c r="B4079" s="6" t="inlineStr">
        <is>
          <t>2025-07-11</t>
        </is>
      </c>
      <c r="C4079" s="6" t="inlineStr">
        <is>
          <t>DIA</t>
        </is>
      </c>
      <c r="D4079" s="6" t="inlineStr">
        <is>
          <t>KO</t>
        </is>
      </c>
      <c r="E4079" s="6" t="inlineStr">
        <is>
          <t>KO</t>
        </is>
      </c>
      <c r="F4079" s="6" t="inlineStr">
        <is>
          <t>-</t>
        </is>
      </c>
      <c r="G4079" s="7" t="n">
        <v>67.94573211669922</v>
      </c>
      <c r="H4079" s="6">
        <f>P4048</f>
        <v/>
      </c>
      <c r="I4079" s="9">
        <f>Q4048</f>
        <v/>
      </c>
      <c r="J4079" s="7">
        <f>I4079*G4079</f>
        <v/>
      </c>
      <c r="K4079" s="8">
        <f>IF($J$4093=0,0,J4079/$J$4093)</f>
        <v/>
      </c>
      <c r="L4079" s="6" t="inlineStr">
        <is>
          <t>REJECTED</t>
        </is>
      </c>
      <c r="M4079" s="8" t="n">
        <v>0</v>
      </c>
      <c r="N4079" s="7">
        <f>M4079*$J$4093-J4079</f>
        <v/>
      </c>
      <c r="O4079" s="9">
        <f>IF(G4079=0,0,N4079/G4079)</f>
        <v/>
      </c>
      <c r="P4079" s="6">
        <f>IF(M4079&gt;0,D4079,"")</f>
        <v/>
      </c>
      <c r="Q4079" s="9">
        <f>I4079+O4079</f>
        <v/>
      </c>
      <c r="R4079" s="7">
        <f>Q4079*G4079</f>
        <v/>
      </c>
      <c r="S4079" s="8">
        <f>IF($R$4093=0,0,R4079/$R$4093)</f>
        <v/>
      </c>
      <c r="T4079" s="8" t="n">
        <v>-0.007866914198574215</v>
      </c>
      <c r="U4079" s="8" t="n">
        <v>-0.0100871916733738</v>
      </c>
      <c r="V4079" s="6" t="inlineStr">
        <is>
          <t>not selected</t>
        </is>
      </c>
    </row>
    <row r="4080">
      <c r="A4080" s="6" t="inlineStr">
        <is>
          <t>DJ30</t>
        </is>
      </c>
      <c r="B4080" s="6" t="inlineStr">
        <is>
          <t>2025-07-11</t>
        </is>
      </c>
      <c r="C4080" s="6" t="inlineStr">
        <is>
          <t>DIA</t>
        </is>
      </c>
      <c r="D4080" s="6" t="inlineStr">
        <is>
          <t>MCD</t>
        </is>
      </c>
      <c r="E4080" s="6" t="inlineStr">
        <is>
          <t>MCD</t>
        </is>
      </c>
      <c r="F4080" s="6" t="inlineStr">
        <is>
          <t>-</t>
        </is>
      </c>
      <c r="G4080" s="7" t="n">
        <v>292.8054809570312</v>
      </c>
      <c r="H4080" s="6">
        <f>P4049</f>
        <v/>
      </c>
      <c r="I4080" s="9">
        <f>Q4049</f>
        <v/>
      </c>
      <c r="J4080" s="7">
        <f>I4080*G4080</f>
        <v/>
      </c>
      <c r="K4080" s="8">
        <f>IF($J$4093=0,0,J4080/$J$4093)</f>
        <v/>
      </c>
      <c r="L4080" s="6" t="inlineStr">
        <is>
          <t>SELECTED</t>
        </is>
      </c>
      <c r="M4080" s="8" t="n">
        <v>0.2</v>
      </c>
      <c r="N4080" s="7">
        <f>M4080*$J$4093-J4080</f>
        <v/>
      </c>
      <c r="O4080" s="9">
        <f>IF(G4080=0,0,N4080/G4080)</f>
        <v/>
      </c>
      <c r="P4080" s="6">
        <f>IF(M4080&gt;0,D4080,"")</f>
        <v/>
      </c>
      <c r="Q4080" s="9">
        <f>I4080+O4080</f>
        <v/>
      </c>
      <c r="R4080" s="7">
        <f>Q4080*G4080</f>
        <v/>
      </c>
      <c r="S4080" s="8">
        <f>IF($R$4093=0,0,R4080/$R$4093)</f>
        <v/>
      </c>
      <c r="T4080" s="8" t="n">
        <v>-0.007866914198574215</v>
      </c>
      <c r="U4080" s="8" t="n">
        <v>-0.0100871916733738</v>
      </c>
      <c r="V4080" s="6" t="inlineStr">
        <is>
          <t>remained in weekly selection</t>
        </is>
      </c>
    </row>
    <row r="4081">
      <c r="A4081" s="6" t="inlineStr">
        <is>
          <t>DJ30</t>
        </is>
      </c>
      <c r="B4081" s="6" t="inlineStr">
        <is>
          <t>2025-07-11</t>
        </is>
      </c>
      <c r="C4081" s="6" t="inlineStr">
        <is>
          <t>DIA</t>
        </is>
      </c>
      <c r="D4081" s="6" t="inlineStr">
        <is>
          <t>MMM</t>
        </is>
      </c>
      <c r="E4081" s="6" t="inlineStr">
        <is>
          <t>MMM</t>
        </is>
      </c>
      <c r="F4081" s="6" t="inlineStr">
        <is>
          <t>-</t>
        </is>
      </c>
      <c r="G4081" s="7" t="n">
        <v>152.9783935546875</v>
      </c>
      <c r="H4081" s="6">
        <f>P4050</f>
        <v/>
      </c>
      <c r="I4081" s="9">
        <f>Q4050</f>
        <v/>
      </c>
      <c r="J4081" s="7">
        <f>I4081*G4081</f>
        <v/>
      </c>
      <c r="K4081" s="8">
        <f>IF($J$4093=0,0,J4081/$J$4093)</f>
        <v/>
      </c>
      <c r="L4081" s="6" t="inlineStr">
        <is>
          <t>WATCHLIST</t>
        </is>
      </c>
      <c r="M4081" s="8" t="n">
        <v>0</v>
      </c>
      <c r="N4081" s="7">
        <f>M4081*$J$4093-J4081</f>
        <v/>
      </c>
      <c r="O4081" s="9">
        <f>IF(G4081=0,0,N4081/G4081)</f>
        <v/>
      </c>
      <c r="P4081" s="6">
        <f>IF(M4081&gt;0,D4081,"")</f>
        <v/>
      </c>
      <c r="Q4081" s="9">
        <f>I4081+O4081</f>
        <v/>
      </c>
      <c r="R4081" s="7">
        <f>Q4081*G4081</f>
        <v/>
      </c>
      <c r="S4081" s="8">
        <f>IF($R$4093=0,0,R4081/$R$4093)</f>
        <v/>
      </c>
      <c r="T4081" s="8" t="n">
        <v>-0.007866914198574215</v>
      </c>
      <c r="U4081" s="8" t="n">
        <v>-0.0100871916733738</v>
      </c>
      <c r="V4081" s="6" t="inlineStr">
        <is>
          <t>not selected</t>
        </is>
      </c>
    </row>
    <row r="4082">
      <c r="A4082" s="6" t="inlineStr">
        <is>
          <t>DJ30</t>
        </is>
      </c>
      <c r="B4082" s="6" t="inlineStr">
        <is>
          <t>2025-07-11</t>
        </is>
      </c>
      <c r="C4082" s="6" t="inlineStr">
        <is>
          <t>DIA</t>
        </is>
      </c>
      <c r="D4082" s="6" t="inlineStr">
        <is>
          <t>MRK</t>
        </is>
      </c>
      <c r="E4082" s="6" t="inlineStr">
        <is>
          <t>MRK</t>
        </is>
      </c>
      <c r="F4082" s="6" t="inlineStr">
        <is>
          <t>-</t>
        </is>
      </c>
      <c r="G4082" s="7" t="n">
        <v>80.66327667236328</v>
      </c>
      <c r="H4082" s="6">
        <f>P4051</f>
        <v/>
      </c>
      <c r="I4082" s="9">
        <f>Q4051</f>
        <v/>
      </c>
      <c r="J4082" s="7">
        <f>I4082*G4082</f>
        <v/>
      </c>
      <c r="K4082" s="8">
        <f>IF($J$4093=0,0,J4082/$J$4093)</f>
        <v/>
      </c>
      <c r="L4082" s="6" t="inlineStr">
        <is>
          <t>REJECTED</t>
        </is>
      </c>
      <c r="M4082" s="8" t="n">
        <v>0</v>
      </c>
      <c r="N4082" s="7">
        <f>M4082*$J$4093-J4082</f>
        <v/>
      </c>
      <c r="O4082" s="9">
        <f>IF(G4082=0,0,N4082/G4082)</f>
        <v/>
      </c>
      <c r="P4082" s="6">
        <f>IF(M4082&gt;0,D4082,"")</f>
        <v/>
      </c>
      <c r="Q4082" s="9">
        <f>I4082+O4082</f>
        <v/>
      </c>
      <c r="R4082" s="7">
        <f>Q4082*G4082</f>
        <v/>
      </c>
      <c r="S4082" s="8">
        <f>IF($R$4093=0,0,R4082/$R$4093)</f>
        <v/>
      </c>
      <c r="T4082" s="8" t="n">
        <v>-0.007866914198574215</v>
      </c>
      <c r="U4082" s="8" t="n">
        <v>-0.0100871916733738</v>
      </c>
      <c r="V4082" s="6" t="inlineStr">
        <is>
          <t>not selected</t>
        </is>
      </c>
    </row>
    <row r="4083">
      <c r="A4083" s="6" t="inlineStr">
        <is>
          <t>DJ30</t>
        </is>
      </c>
      <c r="B4083" s="6" t="inlineStr">
        <is>
          <t>2025-07-11</t>
        </is>
      </c>
      <c r="C4083" s="6" t="inlineStr">
        <is>
          <t>DIA</t>
        </is>
      </c>
      <c r="D4083" s="6" t="inlineStr">
        <is>
          <t>MSFT</t>
        </is>
      </c>
      <c r="E4083" s="6" t="inlineStr">
        <is>
          <t>MSFT</t>
        </is>
      </c>
      <c r="F4083" s="6" t="inlineStr">
        <is>
          <t>-</t>
        </is>
      </c>
      <c r="G4083" s="7" t="n">
        <v>499.33154296875</v>
      </c>
      <c r="H4083" s="6">
        <f>P4052</f>
        <v/>
      </c>
      <c r="I4083" s="9">
        <f>Q4052</f>
        <v/>
      </c>
      <c r="J4083" s="7">
        <f>I4083*G4083</f>
        <v/>
      </c>
      <c r="K4083" s="8">
        <f>IF($J$4093=0,0,J4083/$J$4093)</f>
        <v/>
      </c>
      <c r="L4083" s="6" t="inlineStr">
        <is>
          <t>REJECTED</t>
        </is>
      </c>
      <c r="M4083" s="8" t="n">
        <v>0</v>
      </c>
      <c r="N4083" s="7">
        <f>M4083*$J$4093-J4083</f>
        <v/>
      </c>
      <c r="O4083" s="9">
        <f>IF(G4083=0,0,N4083/G4083)</f>
        <v/>
      </c>
      <c r="P4083" s="6">
        <f>IF(M4083&gt;0,D4083,"")</f>
        <v/>
      </c>
      <c r="Q4083" s="9">
        <f>I4083+O4083</f>
        <v/>
      </c>
      <c r="R4083" s="7">
        <f>Q4083*G4083</f>
        <v/>
      </c>
      <c r="S4083" s="8">
        <f>IF($R$4093=0,0,R4083/$R$4093)</f>
        <v/>
      </c>
      <c r="T4083" s="8" t="n">
        <v>-0.007866914198574215</v>
      </c>
      <c r="U4083" s="8" t="n">
        <v>-0.0100871916733738</v>
      </c>
      <c r="V4083" s="6" t="inlineStr">
        <is>
          <t>not selected</t>
        </is>
      </c>
    </row>
    <row r="4084">
      <c r="A4084" s="6" t="inlineStr">
        <is>
          <t>DJ30</t>
        </is>
      </c>
      <c r="B4084" s="6" t="inlineStr">
        <is>
          <t>2025-07-11</t>
        </is>
      </c>
      <c r="C4084" s="6" t="inlineStr">
        <is>
          <t>DIA</t>
        </is>
      </c>
      <c r="D4084" s="6" t="inlineStr">
        <is>
          <t>NKE</t>
        </is>
      </c>
      <c r="E4084" s="6" t="inlineStr">
        <is>
          <t>NKE</t>
        </is>
      </c>
      <c r="F4084" s="6" t="inlineStr">
        <is>
          <t>-</t>
        </is>
      </c>
      <c r="G4084" s="7" t="n">
        <v>70.69019317626953</v>
      </c>
      <c r="H4084" s="6">
        <f>P4053</f>
        <v/>
      </c>
      <c r="I4084" s="9">
        <f>Q4053</f>
        <v/>
      </c>
      <c r="J4084" s="7">
        <f>I4084*G4084</f>
        <v/>
      </c>
      <c r="K4084" s="8">
        <f>IF($J$4093=0,0,J4084/$J$4093)</f>
        <v/>
      </c>
      <c r="L4084" s="6" t="inlineStr">
        <is>
          <t>REJECTED</t>
        </is>
      </c>
      <c r="M4084" s="8" t="n">
        <v>0</v>
      </c>
      <c r="N4084" s="7">
        <f>M4084*$J$4093-J4084</f>
        <v/>
      </c>
      <c r="O4084" s="9">
        <f>IF(G4084=0,0,N4084/G4084)</f>
        <v/>
      </c>
      <c r="P4084" s="6">
        <f>IF(M4084&gt;0,D4084,"")</f>
        <v/>
      </c>
      <c r="Q4084" s="9">
        <f>I4084+O4084</f>
        <v/>
      </c>
      <c r="R4084" s="7">
        <f>Q4084*G4084</f>
        <v/>
      </c>
      <c r="S4084" s="8">
        <f>IF($R$4093=0,0,R4084/$R$4093)</f>
        <v/>
      </c>
      <c r="T4084" s="8" t="n">
        <v>-0.007866914198574215</v>
      </c>
      <c r="U4084" s="8" t="n">
        <v>-0.0100871916733738</v>
      </c>
      <c r="V4084" s="6" t="inlineStr">
        <is>
          <t>not selected</t>
        </is>
      </c>
    </row>
    <row r="4085">
      <c r="A4085" s="6" t="inlineStr">
        <is>
          <t>DJ30</t>
        </is>
      </c>
      <c r="B4085" s="6" t="inlineStr">
        <is>
          <t>2025-07-11</t>
        </is>
      </c>
      <c r="C4085" s="6" t="inlineStr">
        <is>
          <t>DIA</t>
        </is>
      </c>
      <c r="D4085" s="6" t="inlineStr">
        <is>
          <t>NVDA</t>
        </is>
      </c>
      <c r="E4085" s="6" t="inlineStr">
        <is>
          <t>NVDA</t>
        </is>
      </c>
      <c r="F4085" s="6" t="inlineStr">
        <is>
          <t>-</t>
        </is>
      </c>
      <c r="G4085" s="7" t="n">
        <v>164.7006378173828</v>
      </c>
      <c r="H4085" s="6">
        <f>P4054</f>
        <v/>
      </c>
      <c r="I4085" s="9">
        <f>Q4054</f>
        <v/>
      </c>
      <c r="J4085" s="7">
        <f>I4085*G4085</f>
        <v/>
      </c>
      <c r="K4085" s="8">
        <f>IF($J$4093=0,0,J4085/$J$4093)</f>
        <v/>
      </c>
      <c r="L4085" s="6" t="inlineStr">
        <is>
          <t>REJECTED</t>
        </is>
      </c>
      <c r="M4085" s="8" t="n">
        <v>0</v>
      </c>
      <c r="N4085" s="7">
        <f>M4085*$J$4093-J4085</f>
        <v/>
      </c>
      <c r="O4085" s="9">
        <f>IF(G4085=0,0,N4085/G4085)</f>
        <v/>
      </c>
      <c r="P4085" s="6">
        <f>IF(M4085&gt;0,D4085,"")</f>
        <v/>
      </c>
      <c r="Q4085" s="9">
        <f>I4085+O4085</f>
        <v/>
      </c>
      <c r="R4085" s="7">
        <f>Q4085*G4085</f>
        <v/>
      </c>
      <c r="S4085" s="8">
        <f>IF($R$4093=0,0,R4085/$R$4093)</f>
        <v/>
      </c>
      <c r="T4085" s="8" t="n">
        <v>-0.007866914198574215</v>
      </c>
      <c r="U4085" s="8" t="n">
        <v>-0.0100871916733738</v>
      </c>
      <c r="V4085" s="6" t="inlineStr">
        <is>
          <t>not selected</t>
        </is>
      </c>
    </row>
    <row r="4086">
      <c r="A4086" s="6" t="inlineStr">
        <is>
          <t>DJ30</t>
        </is>
      </c>
      <c r="B4086" s="6" t="inlineStr">
        <is>
          <t>2025-07-11</t>
        </is>
      </c>
      <c r="C4086" s="6" t="inlineStr">
        <is>
          <t>DIA</t>
        </is>
      </c>
      <c r="D4086" s="6" t="inlineStr">
        <is>
          <t>PG</t>
        </is>
      </c>
      <c r="E4086" s="6" t="inlineStr">
        <is>
          <t>PG</t>
        </is>
      </c>
      <c r="F4086" s="6" t="inlineStr">
        <is>
          <t>-</t>
        </is>
      </c>
      <c r="G4086" s="7" t="n">
        <v>152.6585083007812</v>
      </c>
      <c r="H4086" s="6">
        <f>P4055</f>
        <v/>
      </c>
      <c r="I4086" s="9">
        <f>Q4055</f>
        <v/>
      </c>
      <c r="J4086" s="7">
        <f>I4086*G4086</f>
        <v/>
      </c>
      <c r="K4086" s="8">
        <f>IF($J$4093=0,0,J4086/$J$4093)</f>
        <v/>
      </c>
      <c r="L4086" s="6" t="inlineStr">
        <is>
          <t>REJECTED</t>
        </is>
      </c>
      <c r="M4086" s="8" t="n">
        <v>0</v>
      </c>
      <c r="N4086" s="7">
        <f>M4086*$J$4093-J4086</f>
        <v/>
      </c>
      <c r="O4086" s="9">
        <f>IF(G4086=0,0,N4086/G4086)</f>
        <v/>
      </c>
      <c r="P4086" s="6">
        <f>IF(M4086&gt;0,D4086,"")</f>
        <v/>
      </c>
      <c r="Q4086" s="9">
        <f>I4086+O4086</f>
        <v/>
      </c>
      <c r="R4086" s="7">
        <f>Q4086*G4086</f>
        <v/>
      </c>
      <c r="S4086" s="8">
        <f>IF($R$4093=0,0,R4086/$R$4093)</f>
        <v/>
      </c>
      <c r="T4086" s="8" t="n">
        <v>-0.007866914198574215</v>
      </c>
      <c r="U4086" s="8" t="n">
        <v>-0.0100871916733738</v>
      </c>
      <c r="V4086" s="6" t="inlineStr">
        <is>
          <t>not selected</t>
        </is>
      </c>
    </row>
    <row r="4087">
      <c r="A4087" s="6" t="inlineStr">
        <is>
          <t>DJ30</t>
        </is>
      </c>
      <c r="B4087" s="6" t="inlineStr">
        <is>
          <t>2025-07-11</t>
        </is>
      </c>
      <c r="C4087" s="6" t="inlineStr">
        <is>
          <t>DIA</t>
        </is>
      </c>
      <c r="D4087" s="6" t="inlineStr">
        <is>
          <t>SHW</t>
        </is>
      </c>
      <c r="E4087" s="6" t="inlineStr">
        <is>
          <t>SHW</t>
        </is>
      </c>
      <c r="F4087" s="6" t="inlineStr">
        <is>
          <t>-</t>
        </is>
      </c>
      <c r="G4087" s="7" t="n">
        <v>342.7291870117188</v>
      </c>
      <c r="H4087" s="6">
        <f>P4056</f>
        <v/>
      </c>
      <c r="I4087" s="9">
        <f>Q4056</f>
        <v/>
      </c>
      <c r="J4087" s="7">
        <f>I4087*G4087</f>
        <v/>
      </c>
      <c r="K4087" s="8">
        <f>IF($J$4093=0,0,J4087/$J$4093)</f>
        <v/>
      </c>
      <c r="L4087" s="6" t="inlineStr">
        <is>
          <t>REJECTED</t>
        </is>
      </c>
      <c r="M4087" s="8" t="n">
        <v>0</v>
      </c>
      <c r="N4087" s="7">
        <f>M4087*$J$4093-J4087</f>
        <v/>
      </c>
      <c r="O4087" s="9">
        <f>IF(G4087=0,0,N4087/G4087)</f>
        <v/>
      </c>
      <c r="P4087" s="6">
        <f>IF(M4087&gt;0,D4087,"")</f>
        <v/>
      </c>
      <c r="Q4087" s="9">
        <f>I4087+O4087</f>
        <v/>
      </c>
      <c r="R4087" s="7">
        <f>Q4087*G4087</f>
        <v/>
      </c>
      <c r="S4087" s="8">
        <f>IF($R$4093=0,0,R4087/$R$4093)</f>
        <v/>
      </c>
      <c r="T4087" s="8" t="n">
        <v>-0.007866914198574215</v>
      </c>
      <c r="U4087" s="8" t="n">
        <v>-0.0100871916733738</v>
      </c>
      <c r="V4087" s="6" t="inlineStr">
        <is>
          <t>not selected</t>
        </is>
      </c>
    </row>
    <row r="4088">
      <c r="A4088" s="6" t="inlineStr">
        <is>
          <t>DJ30</t>
        </is>
      </c>
      <c r="B4088" s="6" t="inlineStr">
        <is>
          <t>2025-07-11</t>
        </is>
      </c>
      <c r="C4088" s="6" t="inlineStr">
        <is>
          <t>DIA</t>
        </is>
      </c>
      <c r="D4088" s="6" t="inlineStr">
        <is>
          <t>TRV</t>
        </is>
      </c>
      <c r="E4088" s="6" t="inlineStr">
        <is>
          <t>TRV</t>
        </is>
      </c>
      <c r="F4088" s="6" t="inlineStr">
        <is>
          <t>-</t>
        </is>
      </c>
      <c r="G4088" s="7" t="n">
        <v>250.4947967529297</v>
      </c>
      <c r="H4088" s="6">
        <f>P4057</f>
        <v/>
      </c>
      <c r="I4088" s="9">
        <f>Q4057</f>
        <v/>
      </c>
      <c r="J4088" s="7">
        <f>I4088*G4088</f>
        <v/>
      </c>
      <c r="K4088" s="8">
        <f>IF($J$4093=0,0,J4088/$J$4093)</f>
        <v/>
      </c>
      <c r="L4088" s="6" t="inlineStr">
        <is>
          <t>WATCHLIST</t>
        </is>
      </c>
      <c r="M4088" s="8" t="n">
        <v>0</v>
      </c>
      <c r="N4088" s="7">
        <f>M4088*$J$4093-J4088</f>
        <v/>
      </c>
      <c r="O4088" s="9">
        <f>IF(G4088=0,0,N4088/G4088)</f>
        <v/>
      </c>
      <c r="P4088" s="6">
        <f>IF(M4088&gt;0,D4088,"")</f>
        <v/>
      </c>
      <c r="Q4088" s="9">
        <f>I4088+O4088</f>
        <v/>
      </c>
      <c r="R4088" s="7">
        <f>Q4088*G4088</f>
        <v/>
      </c>
      <c r="S4088" s="8">
        <f>IF($R$4093=0,0,R4088/$R$4093)</f>
        <v/>
      </c>
      <c r="T4088" s="8" t="n">
        <v>-0.007866914198574215</v>
      </c>
      <c r="U4088" s="8" t="n">
        <v>-0.0100871916733738</v>
      </c>
      <c r="V4088" s="6" t="inlineStr">
        <is>
          <t>not selected</t>
        </is>
      </c>
    </row>
    <row r="4089">
      <c r="A4089" s="6" t="inlineStr">
        <is>
          <t>DJ30</t>
        </is>
      </c>
      <c r="B4089" s="6" t="inlineStr">
        <is>
          <t>2025-07-11</t>
        </is>
      </c>
      <c r="C4089" s="6" t="inlineStr">
        <is>
          <t>DIA</t>
        </is>
      </c>
      <c r="D4089" s="6" t="inlineStr">
        <is>
          <t>UNH</t>
        </is>
      </c>
      <c r="E4089" s="6" t="inlineStr">
        <is>
          <t>UNH</t>
        </is>
      </c>
      <c r="F4089" s="6" t="inlineStr">
        <is>
          <t>-</t>
        </is>
      </c>
      <c r="G4089" s="7" t="n">
        <v>296.1680908203125</v>
      </c>
      <c r="H4089" s="6">
        <f>P4058</f>
        <v/>
      </c>
      <c r="I4089" s="9">
        <f>Q4058</f>
        <v/>
      </c>
      <c r="J4089" s="7">
        <f>I4089*G4089</f>
        <v/>
      </c>
      <c r="K4089" s="8">
        <f>IF($J$4093=0,0,J4089/$J$4093)</f>
        <v/>
      </c>
      <c r="L4089" s="6" t="inlineStr">
        <is>
          <t>REJECTED</t>
        </is>
      </c>
      <c r="M4089" s="8" t="n">
        <v>0</v>
      </c>
      <c r="N4089" s="7">
        <f>M4089*$J$4093-J4089</f>
        <v/>
      </c>
      <c r="O4089" s="9">
        <f>IF(G4089=0,0,N4089/G4089)</f>
        <v/>
      </c>
      <c r="P4089" s="6">
        <f>IF(M4089&gt;0,D4089,"")</f>
        <v/>
      </c>
      <c r="Q4089" s="9">
        <f>I4089+O4089</f>
        <v/>
      </c>
      <c r="R4089" s="7">
        <f>Q4089*G4089</f>
        <v/>
      </c>
      <c r="S4089" s="8">
        <f>IF($R$4093=0,0,R4089/$R$4093)</f>
        <v/>
      </c>
      <c r="T4089" s="8" t="n">
        <v>-0.007866914198574215</v>
      </c>
      <c r="U4089" s="8" t="n">
        <v>-0.0100871916733738</v>
      </c>
      <c r="V4089" s="6" t="inlineStr">
        <is>
          <t>not selected</t>
        </is>
      </c>
    </row>
    <row r="4090">
      <c r="A4090" s="6" t="inlineStr">
        <is>
          <t>DJ30</t>
        </is>
      </c>
      <c r="B4090" s="6" t="inlineStr">
        <is>
          <t>2025-07-11</t>
        </is>
      </c>
      <c r="C4090" s="6" t="inlineStr">
        <is>
          <t>DIA</t>
        </is>
      </c>
      <c r="D4090" s="6" t="inlineStr">
        <is>
          <t>V</t>
        </is>
      </c>
      <c r="E4090" s="6" t="inlineStr">
        <is>
          <t>V</t>
        </is>
      </c>
      <c r="F4090" s="6" t="inlineStr">
        <is>
          <t>-</t>
        </is>
      </c>
      <c r="G4090" s="7" t="n">
        <v>345.2032775878906</v>
      </c>
      <c r="H4090" s="6">
        <f>P4059</f>
        <v/>
      </c>
      <c r="I4090" s="9">
        <f>Q4059</f>
        <v/>
      </c>
      <c r="J4090" s="7">
        <f>I4090*G4090</f>
        <v/>
      </c>
      <c r="K4090" s="8">
        <f>IF($J$4093=0,0,J4090/$J$4093)</f>
        <v/>
      </c>
      <c r="L4090" s="6" t="inlineStr">
        <is>
          <t>SELECTED</t>
        </is>
      </c>
      <c r="M4090" s="8" t="n">
        <v>0.2</v>
      </c>
      <c r="N4090" s="7">
        <f>M4090*$J$4093-J4090</f>
        <v/>
      </c>
      <c r="O4090" s="9">
        <f>IF(G4090=0,0,N4090/G4090)</f>
        <v/>
      </c>
      <c r="P4090" s="6">
        <f>IF(M4090&gt;0,D4090,"")</f>
        <v/>
      </c>
      <c r="Q4090" s="9">
        <f>I4090+O4090</f>
        <v/>
      </c>
      <c r="R4090" s="7">
        <f>Q4090*G4090</f>
        <v/>
      </c>
      <c r="S4090" s="8">
        <f>IF($R$4093=0,0,R4090/$R$4093)</f>
        <v/>
      </c>
      <c r="T4090" s="8" t="n">
        <v>-0.007866914198574215</v>
      </c>
      <c r="U4090" s="8" t="n">
        <v>-0.0100871916733738</v>
      </c>
      <c r="V4090" s="6" t="inlineStr">
        <is>
          <t>remained in weekly selection</t>
        </is>
      </c>
    </row>
    <row r="4091">
      <c r="A4091" s="6" t="inlineStr">
        <is>
          <t>DJ30</t>
        </is>
      </c>
      <c r="B4091" s="6" t="inlineStr">
        <is>
          <t>2025-07-11</t>
        </is>
      </c>
      <c r="C4091" s="6" t="inlineStr">
        <is>
          <t>DIA</t>
        </is>
      </c>
      <c r="D4091" s="6" t="inlineStr">
        <is>
          <t>VZ</t>
        </is>
      </c>
      <c r="E4091" s="6" t="inlineStr">
        <is>
          <t>VZ</t>
        </is>
      </c>
      <c r="F4091" s="6" t="inlineStr">
        <is>
          <t>-</t>
        </is>
      </c>
      <c r="G4091" s="7" t="n">
        <v>39.62290191650391</v>
      </c>
      <c r="H4091" s="6">
        <f>P4060</f>
        <v/>
      </c>
      <c r="I4091" s="9">
        <f>Q4060</f>
        <v/>
      </c>
      <c r="J4091" s="7">
        <f>I4091*G4091</f>
        <v/>
      </c>
      <c r="K4091" s="8">
        <f>IF($J$4093=0,0,J4091/$J$4093)</f>
        <v/>
      </c>
      <c r="L4091" s="6" t="inlineStr">
        <is>
          <t>WATCHLIST</t>
        </is>
      </c>
      <c r="M4091" s="8" t="n">
        <v>0</v>
      </c>
      <c r="N4091" s="7">
        <f>M4091*$J$4093-J4091</f>
        <v/>
      </c>
      <c r="O4091" s="9">
        <f>IF(G4091=0,0,N4091/G4091)</f>
        <v/>
      </c>
      <c r="P4091" s="6">
        <f>IF(M4091&gt;0,D4091,"")</f>
        <v/>
      </c>
      <c r="Q4091" s="9">
        <f>I4091+O4091</f>
        <v/>
      </c>
      <c r="R4091" s="7">
        <f>Q4091*G4091</f>
        <v/>
      </c>
      <c r="S4091" s="8">
        <f>IF($R$4093=0,0,R4091/$R$4093)</f>
        <v/>
      </c>
      <c r="T4091" s="8" t="n">
        <v>-0.007866914198574215</v>
      </c>
      <c r="U4091" s="8" t="n">
        <v>-0.0100871916733738</v>
      </c>
      <c r="V4091" s="6" t="inlineStr">
        <is>
          <t>not selected</t>
        </is>
      </c>
    </row>
    <row r="4092">
      <c r="A4092" s="6" t="inlineStr">
        <is>
          <t>DJ30</t>
        </is>
      </c>
      <c r="B4092" s="6" t="inlineStr">
        <is>
          <t>2025-07-11</t>
        </is>
      </c>
      <c r="C4092" s="6" t="inlineStr">
        <is>
          <t>DIA</t>
        </is>
      </c>
      <c r="D4092" s="6" t="inlineStr">
        <is>
          <t>WMT</t>
        </is>
      </c>
      <c r="E4092" s="6" t="inlineStr">
        <is>
          <t>WMT</t>
        </is>
      </c>
      <c r="F4092" s="6" t="inlineStr">
        <is>
          <t>-</t>
        </is>
      </c>
      <c r="G4092" s="7" t="n">
        <v>93.61727905273438</v>
      </c>
      <c r="H4092" s="6">
        <f>P4061</f>
        <v/>
      </c>
      <c r="I4092" s="9">
        <f>Q4061</f>
        <v/>
      </c>
      <c r="J4092" s="7">
        <f>I4092*G4092</f>
        <v/>
      </c>
      <c r="K4092" s="8">
        <f>IF($J$4093=0,0,J4092/$J$4093)</f>
        <v/>
      </c>
      <c r="L4092" s="6" t="inlineStr">
        <is>
          <t>WATCHLIST</t>
        </is>
      </c>
      <c r="M4092" s="8" t="n">
        <v>0</v>
      </c>
      <c r="N4092" s="7">
        <f>M4092*$J$4093-J4092</f>
        <v/>
      </c>
      <c r="O4092" s="9">
        <f>IF(G4092=0,0,N4092/G4092)</f>
        <v/>
      </c>
      <c r="P4092" s="6">
        <f>IF(M4092&gt;0,D4092,"")</f>
        <v/>
      </c>
      <c r="Q4092" s="9">
        <f>I4092+O4092</f>
        <v/>
      </c>
      <c r="R4092" s="7">
        <f>Q4092*G4092</f>
        <v/>
      </c>
      <c r="S4092" s="8">
        <f>IF($R$4093=0,0,R4092/$R$4093)</f>
        <v/>
      </c>
      <c r="T4092" s="8" t="n">
        <v>-0.007866914198574215</v>
      </c>
      <c r="U4092" s="8" t="n">
        <v>-0.0100871916733738</v>
      </c>
      <c r="V4092" s="6" t="inlineStr">
        <is>
          <t>not selected</t>
        </is>
      </c>
    </row>
    <row r="4093">
      <c r="A4093" s="10" t="inlineStr">
        <is>
          <t>DJ30</t>
        </is>
      </c>
      <c r="B4093" s="10" t="inlineStr">
        <is>
          <t>2025-07-11</t>
        </is>
      </c>
      <c r="C4093" s="10" t="inlineStr">
        <is>
          <t>DIA</t>
        </is>
      </c>
      <c r="D4093" s="10" t="inlineStr">
        <is>
          <t>Tot Portfolio</t>
        </is>
      </c>
      <c r="E4093" s="10" t="inlineStr"/>
      <c r="F4093" s="10" t="inlineStr"/>
      <c r="G4093" s="11" t="inlineStr"/>
      <c r="H4093" s="10" t="inlineStr"/>
      <c r="I4093" s="12" t="inlineStr"/>
      <c r="J4093" s="11">
        <f>SUM(J4063:J4092)</f>
        <v/>
      </c>
      <c r="K4093" s="13">
        <f>SUM(K4063:K4092)</f>
        <v/>
      </c>
      <c r="L4093" s="10" t="inlineStr">
        <is>
          <t>TOTAL</t>
        </is>
      </c>
      <c r="M4093" s="13">
        <f>SUM(M4063:M4092)</f>
        <v/>
      </c>
      <c r="N4093" s="11">
        <f>SUM(N4063:N4092)</f>
        <v/>
      </c>
      <c r="O4093" s="12">
        <f>SUM(O4063:O4092)</f>
        <v/>
      </c>
      <c r="P4093" s="10" t="inlineStr"/>
      <c r="Q4093" s="12" t="inlineStr"/>
      <c r="R4093" s="11">
        <f>SUM(R4063:R4092)</f>
        <v/>
      </c>
      <c r="S4093" s="13">
        <f>SUM(S4063:S4092)</f>
        <v/>
      </c>
      <c r="T4093" s="13" t="n">
        <v>-0.007866914198574215</v>
      </c>
      <c r="U4093" s="13" t="n">
        <v>-0.0100871916733738</v>
      </c>
      <c r="V4093" s="10" t="inlineStr"/>
    </row>
    <row r="4094">
      <c r="A4094" s="6" t="inlineStr">
        <is>
          <t>DJ30</t>
        </is>
      </c>
      <c r="B4094" s="6" t="inlineStr">
        <is>
          <t>2025-07-18</t>
        </is>
      </c>
      <c r="C4094" s="6" t="inlineStr">
        <is>
          <t>DIA</t>
        </is>
      </c>
      <c r="D4094" s="6" t="inlineStr">
        <is>
          <t>AAPL</t>
        </is>
      </c>
      <c r="E4094" s="6" t="inlineStr">
        <is>
          <t>AAPL</t>
        </is>
      </c>
      <c r="F4094" s="6" t="inlineStr">
        <is>
          <t>-</t>
        </is>
      </c>
      <c r="G4094" s="7" t="n">
        <v>210.3455047607422</v>
      </c>
      <c r="H4094" s="6">
        <f>P4063</f>
        <v/>
      </c>
      <c r="I4094" s="9">
        <f>Q4063</f>
        <v/>
      </c>
      <c r="J4094" s="7">
        <f>I4094*G4094</f>
        <v/>
      </c>
      <c r="K4094" s="8">
        <f>IF($J$4124=0,0,J4094/$J$4124)</f>
        <v/>
      </c>
      <c r="L4094" s="6" t="inlineStr">
        <is>
          <t>REJECTED</t>
        </is>
      </c>
      <c r="M4094" s="8" t="n">
        <v>0</v>
      </c>
      <c r="N4094" s="7">
        <f>M4094*$J$4124-J4094</f>
        <v/>
      </c>
      <c r="O4094" s="9">
        <f>IF(G4094=0,0,N4094/G4094)</f>
        <v/>
      </c>
      <c r="P4094" s="6">
        <f>IF(M4094&gt;0,D4094,"")</f>
        <v/>
      </c>
      <c r="Q4094" s="9">
        <f>I4094+O4094</f>
        <v/>
      </c>
      <c r="R4094" s="7">
        <f>Q4094*G4094</f>
        <v/>
      </c>
      <c r="S4094" s="8">
        <f>IF($R$4124=0,0,R4094/$R$4124)</f>
        <v/>
      </c>
      <c r="T4094" s="8" t="n">
        <v>0.0003578221468265586</v>
      </c>
      <c r="U4094" s="8" t="n">
        <v>-0.0002925132531971242</v>
      </c>
      <c r="V4094" s="6" t="inlineStr">
        <is>
          <t>not selected</t>
        </is>
      </c>
    </row>
    <row r="4095">
      <c r="A4095" s="6" t="inlineStr">
        <is>
          <t>DJ30</t>
        </is>
      </c>
      <c r="B4095" s="6" t="inlineStr">
        <is>
          <t>2025-07-18</t>
        </is>
      </c>
      <c r="C4095" s="6" t="inlineStr">
        <is>
          <t>DIA</t>
        </is>
      </c>
      <c r="D4095" s="6" t="inlineStr">
        <is>
          <t>AMGN</t>
        </is>
      </c>
      <c r="E4095" s="6" t="inlineStr">
        <is>
          <t>AMGN</t>
        </is>
      </c>
      <c r="F4095" s="6" t="inlineStr">
        <is>
          <t>-</t>
        </is>
      </c>
      <c r="G4095" s="7" t="n">
        <v>286.1586608886719</v>
      </c>
      <c r="H4095" s="6">
        <f>P4064</f>
        <v/>
      </c>
      <c r="I4095" s="9">
        <f>Q4064</f>
        <v/>
      </c>
      <c r="J4095" s="7">
        <f>I4095*G4095</f>
        <v/>
      </c>
      <c r="K4095" s="8">
        <f>IF($J$4124=0,0,J4095/$J$4124)</f>
        <v/>
      </c>
      <c r="L4095" s="6" t="inlineStr">
        <is>
          <t>REJECTED</t>
        </is>
      </c>
      <c r="M4095" s="8" t="n">
        <v>0</v>
      </c>
      <c r="N4095" s="7">
        <f>M4095*$J$4124-J4095</f>
        <v/>
      </c>
      <c r="O4095" s="9">
        <f>IF(G4095=0,0,N4095/G4095)</f>
        <v/>
      </c>
      <c r="P4095" s="6">
        <f>IF(M4095&gt;0,D4095,"")</f>
        <v/>
      </c>
      <c r="Q4095" s="9">
        <f>I4095+O4095</f>
        <v/>
      </c>
      <c r="R4095" s="7">
        <f>Q4095*G4095</f>
        <v/>
      </c>
      <c r="S4095" s="8">
        <f>IF($R$4124=0,0,R4095/$R$4124)</f>
        <v/>
      </c>
      <c r="T4095" s="8" t="n">
        <v>0.0003578221468265586</v>
      </c>
      <c r="U4095" s="8" t="n">
        <v>-0.0002925132531971242</v>
      </c>
      <c r="V4095" s="6" t="inlineStr">
        <is>
          <t>not selected</t>
        </is>
      </c>
    </row>
    <row r="4096">
      <c r="A4096" s="6" t="inlineStr">
        <is>
          <t>DJ30</t>
        </is>
      </c>
      <c r="B4096" s="6" t="inlineStr">
        <is>
          <t>2025-07-18</t>
        </is>
      </c>
      <c r="C4096" s="6" t="inlineStr">
        <is>
          <t>DIA</t>
        </is>
      </c>
      <c r="D4096" s="6" t="inlineStr">
        <is>
          <t>AMZN</t>
        </is>
      </c>
      <c r="E4096" s="6" t="inlineStr">
        <is>
          <t>AMZN</t>
        </is>
      </c>
      <c r="F4096" s="6" t="inlineStr">
        <is>
          <t>-</t>
        </is>
      </c>
      <c r="G4096" s="7" t="n">
        <v>226.1300048828125</v>
      </c>
      <c r="H4096" s="6">
        <f>P4065</f>
        <v/>
      </c>
      <c r="I4096" s="9">
        <f>Q4065</f>
        <v/>
      </c>
      <c r="J4096" s="7">
        <f>I4096*G4096</f>
        <v/>
      </c>
      <c r="K4096" s="8">
        <f>IF($J$4124=0,0,J4096/$J$4124)</f>
        <v/>
      </c>
      <c r="L4096" s="6" t="inlineStr">
        <is>
          <t>REJECTED</t>
        </is>
      </c>
      <c r="M4096" s="8" t="n">
        <v>0</v>
      </c>
      <c r="N4096" s="7">
        <f>M4096*$J$4124-J4096</f>
        <v/>
      </c>
      <c r="O4096" s="9">
        <f>IF(G4096=0,0,N4096/G4096)</f>
        <v/>
      </c>
      <c r="P4096" s="6">
        <f>IF(M4096&gt;0,D4096,"")</f>
        <v/>
      </c>
      <c r="Q4096" s="9">
        <f>I4096+O4096</f>
        <v/>
      </c>
      <c r="R4096" s="7">
        <f>Q4096*G4096</f>
        <v/>
      </c>
      <c r="S4096" s="8">
        <f>IF($R$4124=0,0,R4096/$R$4124)</f>
        <v/>
      </c>
      <c r="T4096" s="8" t="n">
        <v>0.0003578221468265586</v>
      </c>
      <c r="U4096" s="8" t="n">
        <v>-0.0002925132531971242</v>
      </c>
      <c r="V4096" s="6" t="inlineStr">
        <is>
          <t>not selected</t>
        </is>
      </c>
    </row>
    <row r="4097">
      <c r="A4097" s="6" t="inlineStr">
        <is>
          <t>DJ30</t>
        </is>
      </c>
      <c r="B4097" s="6" t="inlineStr">
        <is>
          <t>2025-07-18</t>
        </is>
      </c>
      <c r="C4097" s="6" t="inlineStr">
        <is>
          <t>DIA</t>
        </is>
      </c>
      <c r="D4097" s="6" t="inlineStr">
        <is>
          <t>AXP</t>
        </is>
      </c>
      <c r="E4097" s="6" t="inlineStr">
        <is>
          <t>AXP</t>
        </is>
      </c>
      <c r="F4097" s="6" t="inlineStr">
        <is>
          <t>-</t>
        </is>
      </c>
      <c r="G4097" s="7" t="n">
        <v>305.5249633789062</v>
      </c>
      <c r="H4097" s="6">
        <f>P4066</f>
        <v/>
      </c>
      <c r="I4097" s="9">
        <f>Q4066</f>
        <v/>
      </c>
      <c r="J4097" s="7">
        <f>I4097*G4097</f>
        <v/>
      </c>
      <c r="K4097" s="8">
        <f>IF($J$4124=0,0,J4097/$J$4124)</f>
        <v/>
      </c>
      <c r="L4097" s="6" t="inlineStr">
        <is>
          <t>REJECTED</t>
        </is>
      </c>
      <c r="M4097" s="8" t="n">
        <v>0</v>
      </c>
      <c r="N4097" s="7">
        <f>M4097*$J$4124-J4097</f>
        <v/>
      </c>
      <c r="O4097" s="9">
        <f>IF(G4097=0,0,N4097/G4097)</f>
        <v/>
      </c>
      <c r="P4097" s="6">
        <f>IF(M4097&gt;0,D4097,"")</f>
        <v/>
      </c>
      <c r="Q4097" s="9">
        <f>I4097+O4097</f>
        <v/>
      </c>
      <c r="R4097" s="7">
        <f>Q4097*G4097</f>
        <v/>
      </c>
      <c r="S4097" s="8">
        <f>IF($R$4124=0,0,R4097/$R$4124)</f>
        <v/>
      </c>
      <c r="T4097" s="8" t="n">
        <v>0.0003578221468265586</v>
      </c>
      <c r="U4097" s="8" t="n">
        <v>-0.0002925132531971242</v>
      </c>
      <c r="V4097" s="6" t="inlineStr">
        <is>
          <t>not selected</t>
        </is>
      </c>
    </row>
    <row r="4098">
      <c r="A4098" s="6" t="inlineStr">
        <is>
          <t>DJ30</t>
        </is>
      </c>
      <c r="B4098" s="6" t="inlineStr">
        <is>
          <t>2025-07-18</t>
        </is>
      </c>
      <c r="C4098" s="6" t="inlineStr">
        <is>
          <t>DIA</t>
        </is>
      </c>
      <c r="D4098" s="6" t="inlineStr">
        <is>
          <t>BA</t>
        </is>
      </c>
      <c r="E4098" s="6" t="inlineStr">
        <is>
          <t>BA</t>
        </is>
      </c>
      <c r="F4098" s="6" t="inlineStr">
        <is>
          <t>-</t>
        </is>
      </c>
      <c r="G4098" s="7" t="n">
        <v>229.3399963378907</v>
      </c>
      <c r="H4098" s="6">
        <f>P4067</f>
        <v/>
      </c>
      <c r="I4098" s="9">
        <f>Q4067</f>
        <v/>
      </c>
      <c r="J4098" s="7">
        <f>I4098*G4098</f>
        <v/>
      </c>
      <c r="K4098" s="8">
        <f>IF($J$4124=0,0,J4098/$J$4124)</f>
        <v/>
      </c>
      <c r="L4098" s="6" t="inlineStr">
        <is>
          <t>WATCHLIST</t>
        </is>
      </c>
      <c r="M4098" s="8" t="n">
        <v>0</v>
      </c>
      <c r="N4098" s="7">
        <f>M4098*$J$4124-J4098</f>
        <v/>
      </c>
      <c r="O4098" s="9">
        <f>IF(G4098=0,0,N4098/G4098)</f>
        <v/>
      </c>
      <c r="P4098" s="6">
        <f>IF(M4098&gt;0,D4098,"")</f>
        <v/>
      </c>
      <c r="Q4098" s="9">
        <f>I4098+O4098</f>
        <v/>
      </c>
      <c r="R4098" s="7">
        <f>Q4098*G4098</f>
        <v/>
      </c>
      <c r="S4098" s="8">
        <f>IF($R$4124=0,0,R4098/$R$4124)</f>
        <v/>
      </c>
      <c r="T4098" s="8" t="n">
        <v>0.0003578221468265586</v>
      </c>
      <c r="U4098" s="8" t="n">
        <v>-0.0002925132531971242</v>
      </c>
      <c r="V4098" s="6" t="inlineStr">
        <is>
          <t>not selected</t>
        </is>
      </c>
    </row>
    <row r="4099">
      <c r="A4099" s="6" t="inlineStr">
        <is>
          <t>DJ30</t>
        </is>
      </c>
      <c r="B4099" s="6" t="inlineStr">
        <is>
          <t>2025-07-18</t>
        </is>
      </c>
      <c r="C4099" s="6" t="inlineStr">
        <is>
          <t>DIA</t>
        </is>
      </c>
      <c r="D4099" s="6" t="inlineStr">
        <is>
          <t>CAT</t>
        </is>
      </c>
      <c r="E4099" s="6" t="inlineStr">
        <is>
          <t>CAT</t>
        </is>
      </c>
      <c r="F4099" s="6" t="inlineStr">
        <is>
          <t>-</t>
        </is>
      </c>
      <c r="G4099" s="7" t="n">
        <v>409.2804870605469</v>
      </c>
      <c r="H4099" s="6">
        <f>P4068</f>
        <v/>
      </c>
      <c r="I4099" s="9">
        <f>Q4068</f>
        <v/>
      </c>
      <c r="J4099" s="7">
        <f>I4099*G4099</f>
        <v/>
      </c>
      <c r="K4099" s="8">
        <f>IF($J$4124=0,0,J4099/$J$4124)</f>
        <v/>
      </c>
      <c r="L4099" s="6" t="inlineStr">
        <is>
          <t>REJECTED</t>
        </is>
      </c>
      <c r="M4099" s="8" t="n">
        <v>0</v>
      </c>
      <c r="N4099" s="7">
        <f>M4099*$J$4124-J4099</f>
        <v/>
      </c>
      <c r="O4099" s="9">
        <f>IF(G4099=0,0,N4099/G4099)</f>
        <v/>
      </c>
      <c r="P4099" s="6">
        <f>IF(M4099&gt;0,D4099,"")</f>
        <v/>
      </c>
      <c r="Q4099" s="9">
        <f>I4099+O4099</f>
        <v/>
      </c>
      <c r="R4099" s="7">
        <f>Q4099*G4099</f>
        <v/>
      </c>
      <c r="S4099" s="8">
        <f>IF($R$4124=0,0,R4099/$R$4124)</f>
        <v/>
      </c>
      <c r="T4099" s="8" t="n">
        <v>0.0003578221468265586</v>
      </c>
      <c r="U4099" s="8" t="n">
        <v>-0.0002925132531971242</v>
      </c>
      <c r="V4099" s="6" t="inlineStr">
        <is>
          <t>not selected</t>
        </is>
      </c>
    </row>
    <row r="4100">
      <c r="A4100" s="6" t="inlineStr">
        <is>
          <t>DJ30</t>
        </is>
      </c>
      <c r="B4100" s="6" t="inlineStr">
        <is>
          <t>2025-07-18</t>
        </is>
      </c>
      <c r="C4100" s="6" t="inlineStr">
        <is>
          <t>DIA</t>
        </is>
      </c>
      <c r="D4100" s="6" t="inlineStr">
        <is>
          <t>CRM</t>
        </is>
      </c>
      <c r="E4100" s="6" t="inlineStr">
        <is>
          <t>CRM</t>
        </is>
      </c>
      <c r="F4100" s="6" t="inlineStr">
        <is>
          <t>-</t>
        </is>
      </c>
      <c r="G4100" s="7" t="n">
        <v>260.1779174804688</v>
      </c>
      <c r="H4100" s="6">
        <f>P4069</f>
        <v/>
      </c>
      <c r="I4100" s="9">
        <f>Q4069</f>
        <v/>
      </c>
      <c r="J4100" s="7">
        <f>I4100*G4100</f>
        <v/>
      </c>
      <c r="K4100" s="8">
        <f>IF($J$4124=0,0,J4100/$J$4124)</f>
        <v/>
      </c>
      <c r="L4100" s="6" t="inlineStr">
        <is>
          <t>REJECTED</t>
        </is>
      </c>
      <c r="M4100" s="8" t="n">
        <v>0</v>
      </c>
      <c r="N4100" s="7">
        <f>M4100*$J$4124-J4100</f>
        <v/>
      </c>
      <c r="O4100" s="9">
        <f>IF(G4100=0,0,N4100/G4100)</f>
        <v/>
      </c>
      <c r="P4100" s="6">
        <f>IF(M4100&gt;0,D4100,"")</f>
        <v/>
      </c>
      <c r="Q4100" s="9">
        <f>I4100+O4100</f>
        <v/>
      </c>
      <c r="R4100" s="7">
        <f>Q4100*G4100</f>
        <v/>
      </c>
      <c r="S4100" s="8">
        <f>IF($R$4124=0,0,R4100/$R$4124)</f>
        <v/>
      </c>
      <c r="T4100" s="8" t="n">
        <v>0.0003578221468265586</v>
      </c>
      <c r="U4100" s="8" t="n">
        <v>-0.0002925132531971242</v>
      </c>
      <c r="V4100" s="6" t="inlineStr">
        <is>
          <t>not selected</t>
        </is>
      </c>
    </row>
    <row r="4101">
      <c r="A4101" s="6" t="inlineStr">
        <is>
          <t>DJ30</t>
        </is>
      </c>
      <c r="B4101" s="6" t="inlineStr">
        <is>
          <t>2025-07-18</t>
        </is>
      </c>
      <c r="C4101" s="6" t="inlineStr">
        <is>
          <t>DIA</t>
        </is>
      </c>
      <c r="D4101" s="6" t="inlineStr">
        <is>
          <t>CSCO</t>
        </is>
      </c>
      <c r="E4101" s="6" t="inlineStr">
        <is>
          <t>CSCO</t>
        </is>
      </c>
      <c r="F4101" s="6" t="inlineStr">
        <is>
          <t>-</t>
        </is>
      </c>
      <c r="G4101" s="7" t="n">
        <v>66.91893005371094</v>
      </c>
      <c r="H4101" s="6">
        <f>P4070</f>
        <v/>
      </c>
      <c r="I4101" s="9">
        <f>Q4070</f>
        <v/>
      </c>
      <c r="J4101" s="7">
        <f>I4101*G4101</f>
        <v/>
      </c>
      <c r="K4101" s="8">
        <f>IF($J$4124=0,0,J4101/$J$4124)</f>
        <v/>
      </c>
      <c r="L4101" s="6" t="inlineStr">
        <is>
          <t>WATCHLIST</t>
        </is>
      </c>
      <c r="M4101" s="8" t="n">
        <v>0</v>
      </c>
      <c r="N4101" s="7">
        <f>M4101*$J$4124-J4101</f>
        <v/>
      </c>
      <c r="O4101" s="9">
        <f>IF(G4101=0,0,N4101/G4101)</f>
        <v/>
      </c>
      <c r="P4101" s="6">
        <f>IF(M4101&gt;0,D4101,"")</f>
        <v/>
      </c>
      <c r="Q4101" s="9">
        <f>I4101+O4101</f>
        <v/>
      </c>
      <c r="R4101" s="7">
        <f>Q4101*G4101</f>
        <v/>
      </c>
      <c r="S4101" s="8">
        <f>IF($R$4124=0,0,R4101/$R$4124)</f>
        <v/>
      </c>
      <c r="T4101" s="8" t="n">
        <v>0.0003578221468265586</v>
      </c>
      <c r="U4101" s="8" t="n">
        <v>-0.0002925132531971242</v>
      </c>
      <c r="V4101" s="6" t="inlineStr">
        <is>
          <t>not selected</t>
        </is>
      </c>
    </row>
    <row r="4102">
      <c r="A4102" s="6" t="inlineStr">
        <is>
          <t>DJ30</t>
        </is>
      </c>
      <c r="B4102" s="6" t="inlineStr">
        <is>
          <t>2025-07-18</t>
        </is>
      </c>
      <c r="C4102" s="6" t="inlineStr">
        <is>
          <t>DIA</t>
        </is>
      </c>
      <c r="D4102" s="6" t="inlineStr">
        <is>
          <t>CVX</t>
        </is>
      </c>
      <c r="E4102" s="6" t="inlineStr">
        <is>
          <t>CVX</t>
        </is>
      </c>
      <c r="F4102" s="6" t="inlineStr">
        <is>
          <t>-</t>
        </is>
      </c>
      <c r="G4102" s="7" t="n">
        <v>144.0085144042969</v>
      </c>
      <c r="H4102" s="6">
        <f>P4071</f>
        <v/>
      </c>
      <c r="I4102" s="9">
        <f>Q4071</f>
        <v/>
      </c>
      <c r="J4102" s="7">
        <f>I4102*G4102</f>
        <v/>
      </c>
      <c r="K4102" s="8">
        <f>IF($J$4124=0,0,J4102/$J$4124)</f>
        <v/>
      </c>
      <c r="L4102" s="6" t="inlineStr">
        <is>
          <t>REJECTED</t>
        </is>
      </c>
      <c r="M4102" s="8" t="n">
        <v>0</v>
      </c>
      <c r="N4102" s="7">
        <f>M4102*$J$4124-J4102</f>
        <v/>
      </c>
      <c r="O4102" s="9">
        <f>IF(G4102=0,0,N4102/G4102)</f>
        <v/>
      </c>
      <c r="P4102" s="6">
        <f>IF(M4102&gt;0,D4102,"")</f>
        <v/>
      </c>
      <c r="Q4102" s="9">
        <f>I4102+O4102</f>
        <v/>
      </c>
      <c r="R4102" s="7">
        <f>Q4102*G4102</f>
        <v/>
      </c>
      <c r="S4102" s="8">
        <f>IF($R$4124=0,0,R4102/$R$4124)</f>
        <v/>
      </c>
      <c r="T4102" s="8" t="n">
        <v>0.0003578221468265586</v>
      </c>
      <c r="U4102" s="8" t="n">
        <v>-0.0002925132531971242</v>
      </c>
      <c r="V4102" s="6" t="inlineStr">
        <is>
          <t>not selected</t>
        </is>
      </c>
    </row>
    <row r="4103">
      <c r="A4103" s="6" t="inlineStr">
        <is>
          <t>DJ30</t>
        </is>
      </c>
      <c r="B4103" s="6" t="inlineStr">
        <is>
          <t>2025-07-18</t>
        </is>
      </c>
      <c r="C4103" s="6" t="inlineStr">
        <is>
          <t>DIA</t>
        </is>
      </c>
      <c r="D4103" s="6" t="inlineStr">
        <is>
          <t>DIS</t>
        </is>
      </c>
      <c r="E4103" s="6" t="inlineStr">
        <is>
          <t>DIS</t>
        </is>
      </c>
      <c r="F4103" s="6" t="inlineStr">
        <is>
          <t>-</t>
        </is>
      </c>
      <c r="G4103" s="7" t="n">
        <v>120.60400390625</v>
      </c>
      <c r="H4103" s="6">
        <f>P4072</f>
        <v/>
      </c>
      <c r="I4103" s="9">
        <f>Q4072</f>
        <v/>
      </c>
      <c r="J4103" s="7">
        <f>I4103*G4103</f>
        <v/>
      </c>
      <c r="K4103" s="8">
        <f>IF($J$4124=0,0,J4103/$J$4124)</f>
        <v/>
      </c>
      <c r="L4103" s="6" t="inlineStr">
        <is>
          <t>REJECTED</t>
        </is>
      </c>
      <c r="M4103" s="8" t="n">
        <v>0</v>
      </c>
      <c r="N4103" s="7">
        <f>M4103*$J$4124-J4103</f>
        <v/>
      </c>
      <c r="O4103" s="9">
        <f>IF(G4103=0,0,N4103/G4103)</f>
        <v/>
      </c>
      <c r="P4103" s="6">
        <f>IF(M4103&gt;0,D4103,"")</f>
        <v/>
      </c>
      <c r="Q4103" s="9">
        <f>I4103+O4103</f>
        <v/>
      </c>
      <c r="R4103" s="7">
        <f>Q4103*G4103</f>
        <v/>
      </c>
      <c r="S4103" s="8">
        <f>IF($R$4124=0,0,R4103/$R$4124)</f>
        <v/>
      </c>
      <c r="T4103" s="8" t="n">
        <v>0.0003578221468265586</v>
      </c>
      <c r="U4103" s="8" t="n">
        <v>-0.0002925132531971242</v>
      </c>
      <c r="V4103" s="6" t="inlineStr">
        <is>
          <t>not selected</t>
        </is>
      </c>
    </row>
    <row r="4104">
      <c r="A4104" s="6" t="inlineStr">
        <is>
          <t>DJ30</t>
        </is>
      </c>
      <c r="B4104" s="6" t="inlineStr">
        <is>
          <t>2025-07-18</t>
        </is>
      </c>
      <c r="C4104" s="6" t="inlineStr">
        <is>
          <t>DIA</t>
        </is>
      </c>
      <c r="D4104" s="6" t="inlineStr">
        <is>
          <t>GS</t>
        </is>
      </c>
      <c r="E4104" s="6" t="inlineStr">
        <is>
          <t>GS</t>
        </is>
      </c>
      <c r="F4104" s="6" t="inlineStr">
        <is>
          <t>-</t>
        </is>
      </c>
      <c r="G4104" s="7" t="n">
        <v>694.28369140625</v>
      </c>
      <c r="H4104" s="6">
        <f>P4073</f>
        <v/>
      </c>
      <c r="I4104" s="9">
        <f>Q4073</f>
        <v/>
      </c>
      <c r="J4104" s="7">
        <f>I4104*G4104</f>
        <v/>
      </c>
      <c r="K4104" s="8">
        <f>IF($J$4124=0,0,J4104/$J$4124)</f>
        <v/>
      </c>
      <c r="L4104" s="6" t="inlineStr">
        <is>
          <t>WATCHLIST</t>
        </is>
      </c>
      <c r="M4104" s="8" t="n">
        <v>0</v>
      </c>
      <c r="N4104" s="7">
        <f>M4104*$J$4124-J4104</f>
        <v/>
      </c>
      <c r="O4104" s="9">
        <f>IF(G4104=0,0,N4104/G4104)</f>
        <v/>
      </c>
      <c r="P4104" s="6">
        <f>IF(M4104&gt;0,D4104,"")</f>
        <v/>
      </c>
      <c r="Q4104" s="9">
        <f>I4104+O4104</f>
        <v/>
      </c>
      <c r="R4104" s="7">
        <f>Q4104*G4104</f>
        <v/>
      </c>
      <c r="S4104" s="8">
        <f>IF($R$4124=0,0,R4104/$R$4124)</f>
        <v/>
      </c>
      <c r="T4104" s="8" t="n">
        <v>0.0003578221468265586</v>
      </c>
      <c r="U4104" s="8" t="n">
        <v>-0.0002925132531971242</v>
      </c>
      <c r="V4104" s="6" t="inlineStr">
        <is>
          <t>not selected</t>
        </is>
      </c>
    </row>
    <row r="4105">
      <c r="A4105" s="6" t="inlineStr">
        <is>
          <t>DJ30</t>
        </is>
      </c>
      <c r="B4105" s="6" t="inlineStr">
        <is>
          <t>2025-07-18</t>
        </is>
      </c>
      <c r="C4105" s="6" t="inlineStr">
        <is>
          <t>DIA</t>
        </is>
      </c>
      <c r="D4105" s="6" t="inlineStr">
        <is>
          <t>HD</t>
        </is>
      </c>
      <c r="E4105" s="6" t="inlineStr">
        <is>
          <t>HD</t>
        </is>
      </c>
      <c r="F4105" s="6" t="inlineStr">
        <is>
          <t>-</t>
        </is>
      </c>
      <c r="G4105" s="7" t="n">
        <v>350.0919189453125</v>
      </c>
      <c r="H4105" s="6">
        <f>P4074</f>
        <v/>
      </c>
      <c r="I4105" s="9">
        <f>Q4074</f>
        <v/>
      </c>
      <c r="J4105" s="7">
        <f>I4105*G4105</f>
        <v/>
      </c>
      <c r="K4105" s="8">
        <f>IF($J$4124=0,0,J4105/$J$4124)</f>
        <v/>
      </c>
      <c r="L4105" s="6" t="inlineStr">
        <is>
          <t>REJECTED</t>
        </is>
      </c>
      <c r="M4105" s="8" t="n">
        <v>0</v>
      </c>
      <c r="N4105" s="7">
        <f>M4105*$J$4124-J4105</f>
        <v/>
      </c>
      <c r="O4105" s="9">
        <f>IF(G4105=0,0,N4105/G4105)</f>
        <v/>
      </c>
      <c r="P4105" s="6">
        <f>IF(M4105&gt;0,D4105,"")</f>
        <v/>
      </c>
      <c r="Q4105" s="9">
        <f>I4105+O4105</f>
        <v/>
      </c>
      <c r="R4105" s="7">
        <f>Q4105*G4105</f>
        <v/>
      </c>
      <c r="S4105" s="8">
        <f>IF($R$4124=0,0,R4105/$R$4124)</f>
        <v/>
      </c>
      <c r="T4105" s="8" t="n">
        <v>0.0003578221468265586</v>
      </c>
      <c r="U4105" s="8" t="n">
        <v>-0.0002925132531971242</v>
      </c>
      <c r="V4105" s="6" t="inlineStr">
        <is>
          <t>not selected</t>
        </is>
      </c>
    </row>
    <row r="4106">
      <c r="A4106" s="6" t="inlineStr">
        <is>
          <t>DJ30</t>
        </is>
      </c>
      <c r="B4106" s="6" t="inlineStr">
        <is>
          <t>2025-07-18</t>
        </is>
      </c>
      <c r="C4106" s="6" t="inlineStr">
        <is>
          <t>DIA</t>
        </is>
      </c>
      <c r="D4106" s="6" t="inlineStr">
        <is>
          <t>HON</t>
        </is>
      </c>
      <c r="E4106" s="6" t="inlineStr">
        <is>
          <t>HON</t>
        </is>
      </c>
      <c r="F4106" s="6" t="inlineStr">
        <is>
          <t>-</t>
        </is>
      </c>
      <c r="G4106" s="7" t="n">
        <v>218.1773834228516</v>
      </c>
      <c r="H4106" s="6">
        <f>P4075</f>
        <v/>
      </c>
      <c r="I4106" s="9">
        <f>Q4075</f>
        <v/>
      </c>
      <c r="J4106" s="7">
        <f>I4106*G4106</f>
        <v/>
      </c>
      <c r="K4106" s="8">
        <f>IF($J$4124=0,0,J4106/$J$4124)</f>
        <v/>
      </c>
      <c r="L4106" s="6" t="inlineStr">
        <is>
          <t>REJECTED</t>
        </is>
      </c>
      <c r="M4106" s="8" t="n">
        <v>0</v>
      </c>
      <c r="N4106" s="7">
        <f>M4106*$J$4124-J4106</f>
        <v/>
      </c>
      <c r="O4106" s="9">
        <f>IF(G4106=0,0,N4106/G4106)</f>
        <v/>
      </c>
      <c r="P4106" s="6">
        <f>IF(M4106&gt;0,D4106,"")</f>
        <v/>
      </c>
      <c r="Q4106" s="9">
        <f>I4106+O4106</f>
        <v/>
      </c>
      <c r="R4106" s="7">
        <f>Q4106*G4106</f>
        <v/>
      </c>
      <c r="S4106" s="8">
        <f>IF($R$4124=0,0,R4106/$R$4124)</f>
        <v/>
      </c>
      <c r="T4106" s="8" t="n">
        <v>0.0003578221468265586</v>
      </c>
      <c r="U4106" s="8" t="n">
        <v>-0.0002925132531971242</v>
      </c>
      <c r="V4106" s="6" t="inlineStr">
        <is>
          <t>not selected</t>
        </is>
      </c>
    </row>
    <row r="4107">
      <c r="A4107" s="6" t="inlineStr">
        <is>
          <t>DJ30</t>
        </is>
      </c>
      <c r="B4107" s="6" t="inlineStr">
        <is>
          <t>2025-07-18</t>
        </is>
      </c>
      <c r="C4107" s="6" t="inlineStr">
        <is>
          <t>DIA</t>
        </is>
      </c>
      <c r="D4107" s="6" t="inlineStr">
        <is>
          <t>IBM</t>
        </is>
      </c>
      <c r="E4107" s="6" t="inlineStr">
        <is>
          <t>IBM</t>
        </is>
      </c>
      <c r="F4107" s="6" t="inlineStr">
        <is>
          <t>-</t>
        </is>
      </c>
      <c r="G4107" s="7" t="n">
        <v>278.7406921386719</v>
      </c>
      <c r="H4107" s="6">
        <f>P4076</f>
        <v/>
      </c>
      <c r="I4107" s="9">
        <f>Q4076</f>
        <v/>
      </c>
      <c r="J4107" s="7">
        <f>I4107*G4107</f>
        <v/>
      </c>
      <c r="K4107" s="8">
        <f>IF($J$4124=0,0,J4107/$J$4124)</f>
        <v/>
      </c>
      <c r="L4107" s="6" t="inlineStr">
        <is>
          <t>SELECTED</t>
        </is>
      </c>
      <c r="M4107" s="8" t="n">
        <v>0.2</v>
      </c>
      <c r="N4107" s="7">
        <f>M4107*$J$4124-J4107</f>
        <v/>
      </c>
      <c r="O4107" s="9">
        <f>IF(G4107=0,0,N4107/G4107)</f>
        <v/>
      </c>
      <c r="P4107" s="6">
        <f>IF(M4107&gt;0,D4107,"")</f>
        <v/>
      </c>
      <c r="Q4107" s="9">
        <f>I4107+O4107</f>
        <v/>
      </c>
      <c r="R4107" s="7">
        <f>Q4107*G4107</f>
        <v/>
      </c>
      <c r="S4107" s="8">
        <f>IF($R$4124=0,0,R4107/$R$4124)</f>
        <v/>
      </c>
      <c r="T4107" s="8" t="n">
        <v>0.0003578221468265586</v>
      </c>
      <c r="U4107" s="8" t="n">
        <v>-0.0002925132531971242</v>
      </c>
      <c r="V4107" s="6" t="inlineStr">
        <is>
          <t>remained in weekly selection</t>
        </is>
      </c>
    </row>
    <row r="4108">
      <c r="A4108" s="6" t="inlineStr">
        <is>
          <t>DJ30</t>
        </is>
      </c>
      <c r="B4108" s="6" t="inlineStr">
        <is>
          <t>2025-07-18</t>
        </is>
      </c>
      <c r="C4108" s="6" t="inlineStr">
        <is>
          <t>DIA</t>
        </is>
      </c>
      <c r="D4108" s="6" t="inlineStr">
        <is>
          <t>JNJ</t>
        </is>
      </c>
      <c r="E4108" s="6" t="inlineStr">
        <is>
          <t>JNJ</t>
        </is>
      </c>
      <c r="F4108" s="6" t="inlineStr">
        <is>
          <t>-</t>
        </is>
      </c>
      <c r="G4108" s="7" t="n">
        <v>159.7094879150391</v>
      </c>
      <c r="H4108" s="6">
        <f>P4077</f>
        <v/>
      </c>
      <c r="I4108" s="9">
        <f>Q4077</f>
        <v/>
      </c>
      <c r="J4108" s="7">
        <f>I4108*G4108</f>
        <v/>
      </c>
      <c r="K4108" s="8">
        <f>IF($J$4124=0,0,J4108/$J$4124)</f>
        <v/>
      </c>
      <c r="L4108" s="6" t="inlineStr">
        <is>
          <t>REJECTED</t>
        </is>
      </c>
      <c r="M4108" s="8" t="n">
        <v>0</v>
      </c>
      <c r="N4108" s="7">
        <f>M4108*$J$4124-J4108</f>
        <v/>
      </c>
      <c r="O4108" s="9">
        <f>IF(G4108=0,0,N4108/G4108)</f>
        <v/>
      </c>
      <c r="P4108" s="6">
        <f>IF(M4108&gt;0,D4108,"")</f>
        <v/>
      </c>
      <c r="Q4108" s="9">
        <f>I4108+O4108</f>
        <v/>
      </c>
      <c r="R4108" s="7">
        <f>Q4108*G4108</f>
        <v/>
      </c>
      <c r="S4108" s="8">
        <f>IF($R$4124=0,0,R4108/$R$4124)</f>
        <v/>
      </c>
      <c r="T4108" s="8" t="n">
        <v>0.0003578221468265586</v>
      </c>
      <c r="U4108" s="8" t="n">
        <v>-0.0002925132531971242</v>
      </c>
      <c r="V4108" s="6" t="inlineStr">
        <is>
          <t>not selected</t>
        </is>
      </c>
    </row>
    <row r="4109">
      <c r="A4109" s="6" t="inlineStr">
        <is>
          <t>DJ30</t>
        </is>
      </c>
      <c r="B4109" s="6" t="inlineStr">
        <is>
          <t>2025-07-18</t>
        </is>
      </c>
      <c r="C4109" s="6" t="inlineStr">
        <is>
          <t>DIA</t>
        </is>
      </c>
      <c r="D4109" s="6" t="inlineStr">
        <is>
          <t>JPM</t>
        </is>
      </c>
      <c r="E4109" s="6" t="inlineStr">
        <is>
          <t>JPM</t>
        </is>
      </c>
      <c r="F4109" s="6" t="inlineStr">
        <is>
          <t>-</t>
        </is>
      </c>
      <c r="G4109" s="7" t="n">
        <v>287.0899047851562</v>
      </c>
      <c r="H4109" s="6">
        <f>P4078</f>
        <v/>
      </c>
      <c r="I4109" s="9">
        <f>Q4078</f>
        <v/>
      </c>
      <c r="J4109" s="7">
        <f>I4109*G4109</f>
        <v/>
      </c>
      <c r="K4109" s="8">
        <f>IF($J$4124=0,0,J4109/$J$4124)</f>
        <v/>
      </c>
      <c r="L4109" s="6" t="inlineStr">
        <is>
          <t>WATCHLIST</t>
        </is>
      </c>
      <c r="M4109" s="8" t="n">
        <v>0</v>
      </c>
      <c r="N4109" s="7">
        <f>M4109*$J$4124-J4109</f>
        <v/>
      </c>
      <c r="O4109" s="9">
        <f>IF(G4109=0,0,N4109/G4109)</f>
        <v/>
      </c>
      <c r="P4109" s="6">
        <f>IF(M4109&gt;0,D4109,"")</f>
        <v/>
      </c>
      <c r="Q4109" s="9">
        <f>I4109+O4109</f>
        <v/>
      </c>
      <c r="R4109" s="7">
        <f>Q4109*G4109</f>
        <v/>
      </c>
      <c r="S4109" s="8">
        <f>IF($R$4124=0,0,R4109/$R$4124)</f>
        <v/>
      </c>
      <c r="T4109" s="8" t="n">
        <v>0.0003578221468265586</v>
      </c>
      <c r="U4109" s="8" t="n">
        <v>-0.0002925132531971242</v>
      </c>
      <c r="V4109" s="6" t="inlineStr">
        <is>
          <t>not selected</t>
        </is>
      </c>
    </row>
    <row r="4110">
      <c r="A4110" s="6" t="inlineStr">
        <is>
          <t>DJ30</t>
        </is>
      </c>
      <c r="B4110" s="6" t="inlineStr">
        <is>
          <t>2025-07-18</t>
        </is>
      </c>
      <c r="C4110" s="6" t="inlineStr">
        <is>
          <t>DIA</t>
        </is>
      </c>
      <c r="D4110" s="6" t="inlineStr">
        <is>
          <t>KO</t>
        </is>
      </c>
      <c r="E4110" s="6" t="inlineStr">
        <is>
          <t>KO</t>
        </is>
      </c>
      <c r="F4110" s="6" t="inlineStr">
        <is>
          <t>-</t>
        </is>
      </c>
      <c r="G4110" s="7" t="n">
        <v>67.92627716064453</v>
      </c>
      <c r="H4110" s="6">
        <f>P4079</f>
        <v/>
      </c>
      <c r="I4110" s="9">
        <f>Q4079</f>
        <v/>
      </c>
      <c r="J4110" s="7">
        <f>I4110*G4110</f>
        <v/>
      </c>
      <c r="K4110" s="8">
        <f>IF($J$4124=0,0,J4110/$J$4124)</f>
        <v/>
      </c>
      <c r="L4110" s="6" t="inlineStr">
        <is>
          <t>REJECTED</t>
        </is>
      </c>
      <c r="M4110" s="8" t="n">
        <v>0</v>
      </c>
      <c r="N4110" s="7">
        <f>M4110*$J$4124-J4110</f>
        <v/>
      </c>
      <c r="O4110" s="9">
        <f>IF(G4110=0,0,N4110/G4110)</f>
        <v/>
      </c>
      <c r="P4110" s="6">
        <f>IF(M4110&gt;0,D4110,"")</f>
        <v/>
      </c>
      <c r="Q4110" s="9">
        <f>I4110+O4110</f>
        <v/>
      </c>
      <c r="R4110" s="7">
        <f>Q4110*G4110</f>
        <v/>
      </c>
      <c r="S4110" s="8">
        <f>IF($R$4124=0,0,R4110/$R$4124)</f>
        <v/>
      </c>
      <c r="T4110" s="8" t="n">
        <v>0.0003578221468265586</v>
      </c>
      <c r="U4110" s="8" t="n">
        <v>-0.0002925132531971242</v>
      </c>
      <c r="V4110" s="6" t="inlineStr">
        <is>
          <t>not selected</t>
        </is>
      </c>
    </row>
    <row r="4111">
      <c r="A4111" s="6" t="inlineStr">
        <is>
          <t>DJ30</t>
        </is>
      </c>
      <c r="B4111" s="6" t="inlineStr">
        <is>
          <t>2025-07-18</t>
        </is>
      </c>
      <c r="C4111" s="6" t="inlineStr">
        <is>
          <t>DIA</t>
        </is>
      </c>
      <c r="D4111" s="6" t="inlineStr">
        <is>
          <t>MCD</t>
        </is>
      </c>
      <c r="E4111" s="6" t="inlineStr">
        <is>
          <t>MCD</t>
        </is>
      </c>
      <c r="F4111" s="6" t="inlineStr">
        <is>
          <t>-</t>
        </is>
      </c>
      <c r="G4111" s="7" t="n">
        <v>290.03271484375</v>
      </c>
      <c r="H4111" s="6">
        <f>P4080</f>
        <v/>
      </c>
      <c r="I4111" s="9">
        <f>Q4080</f>
        <v/>
      </c>
      <c r="J4111" s="7">
        <f>I4111*G4111</f>
        <v/>
      </c>
      <c r="K4111" s="8">
        <f>IF($J$4124=0,0,J4111/$J$4124)</f>
        <v/>
      </c>
      <c r="L4111" s="6" t="inlineStr">
        <is>
          <t>SELECTED</t>
        </is>
      </c>
      <c r="M4111" s="8" t="n">
        <v>0.2</v>
      </c>
      <c r="N4111" s="7">
        <f>M4111*$J$4124-J4111</f>
        <v/>
      </c>
      <c r="O4111" s="9">
        <f>IF(G4111=0,0,N4111/G4111)</f>
        <v/>
      </c>
      <c r="P4111" s="6">
        <f>IF(M4111&gt;0,D4111,"")</f>
        <v/>
      </c>
      <c r="Q4111" s="9">
        <f>I4111+O4111</f>
        <v/>
      </c>
      <c r="R4111" s="7">
        <f>Q4111*G4111</f>
        <v/>
      </c>
      <c r="S4111" s="8">
        <f>IF($R$4124=0,0,R4111/$R$4124)</f>
        <v/>
      </c>
      <c r="T4111" s="8" t="n">
        <v>0.0003578221468265586</v>
      </c>
      <c r="U4111" s="8" t="n">
        <v>-0.0002925132531971242</v>
      </c>
      <c r="V4111" s="6" t="inlineStr">
        <is>
          <t>remained in weekly selection</t>
        </is>
      </c>
    </row>
    <row r="4112">
      <c r="A4112" s="6" t="inlineStr">
        <is>
          <t>DJ30</t>
        </is>
      </c>
      <c r="B4112" s="6" t="inlineStr">
        <is>
          <t>2025-07-18</t>
        </is>
      </c>
      <c r="C4112" s="6" t="inlineStr">
        <is>
          <t>DIA</t>
        </is>
      </c>
      <c r="D4112" s="6" t="inlineStr">
        <is>
          <t>MMM</t>
        </is>
      </c>
      <c r="E4112" s="6" t="inlineStr">
        <is>
          <t>MMM</t>
        </is>
      </c>
      <c r="F4112" s="6" t="inlineStr">
        <is>
          <t>-</t>
        </is>
      </c>
      <c r="G4112" s="7" t="n">
        <v>150.4163360595703</v>
      </c>
      <c r="H4112" s="6">
        <f>P4081</f>
        <v/>
      </c>
      <c r="I4112" s="9">
        <f>Q4081</f>
        <v/>
      </c>
      <c r="J4112" s="7">
        <f>I4112*G4112</f>
        <v/>
      </c>
      <c r="K4112" s="8">
        <f>IF($J$4124=0,0,J4112/$J$4124)</f>
        <v/>
      </c>
      <c r="L4112" s="6" t="inlineStr">
        <is>
          <t>WATCHLIST</t>
        </is>
      </c>
      <c r="M4112" s="8" t="n">
        <v>0</v>
      </c>
      <c r="N4112" s="7">
        <f>M4112*$J$4124-J4112</f>
        <v/>
      </c>
      <c r="O4112" s="9">
        <f>IF(G4112=0,0,N4112/G4112)</f>
        <v/>
      </c>
      <c r="P4112" s="6">
        <f>IF(M4112&gt;0,D4112,"")</f>
        <v/>
      </c>
      <c r="Q4112" s="9">
        <f>I4112+O4112</f>
        <v/>
      </c>
      <c r="R4112" s="7">
        <f>Q4112*G4112</f>
        <v/>
      </c>
      <c r="S4112" s="8">
        <f>IF($R$4124=0,0,R4112/$R$4124)</f>
        <v/>
      </c>
      <c r="T4112" s="8" t="n">
        <v>0.0003578221468265586</v>
      </c>
      <c r="U4112" s="8" t="n">
        <v>-0.0002925132531971242</v>
      </c>
      <c r="V4112" s="6" t="inlineStr">
        <is>
          <t>not selected</t>
        </is>
      </c>
    </row>
    <row r="4113">
      <c r="A4113" s="6" t="inlineStr">
        <is>
          <t>DJ30</t>
        </is>
      </c>
      <c r="B4113" s="6" t="inlineStr">
        <is>
          <t>2025-07-18</t>
        </is>
      </c>
      <c r="C4113" s="6" t="inlineStr">
        <is>
          <t>DIA</t>
        </is>
      </c>
      <c r="D4113" s="6" t="inlineStr">
        <is>
          <t>MRK</t>
        </is>
      </c>
      <c r="E4113" s="6" t="inlineStr">
        <is>
          <t>MRK</t>
        </is>
      </c>
      <c r="F4113" s="6" t="inlineStr">
        <is>
          <t>-</t>
        </is>
      </c>
      <c r="G4113" s="7" t="n">
        <v>77.37326812744141</v>
      </c>
      <c r="H4113" s="6">
        <f>P4082</f>
        <v/>
      </c>
      <c r="I4113" s="9">
        <f>Q4082</f>
        <v/>
      </c>
      <c r="J4113" s="7">
        <f>I4113*G4113</f>
        <v/>
      </c>
      <c r="K4113" s="8">
        <f>IF($J$4124=0,0,J4113/$J$4124)</f>
        <v/>
      </c>
      <c r="L4113" s="6" t="inlineStr">
        <is>
          <t>REJECTED</t>
        </is>
      </c>
      <c r="M4113" s="8" t="n">
        <v>0</v>
      </c>
      <c r="N4113" s="7">
        <f>M4113*$J$4124-J4113</f>
        <v/>
      </c>
      <c r="O4113" s="9">
        <f>IF(G4113=0,0,N4113/G4113)</f>
        <v/>
      </c>
      <c r="P4113" s="6">
        <f>IF(M4113&gt;0,D4113,"")</f>
        <v/>
      </c>
      <c r="Q4113" s="9">
        <f>I4113+O4113</f>
        <v/>
      </c>
      <c r="R4113" s="7">
        <f>Q4113*G4113</f>
        <v/>
      </c>
      <c r="S4113" s="8">
        <f>IF($R$4124=0,0,R4113/$R$4124)</f>
        <v/>
      </c>
      <c r="T4113" s="8" t="n">
        <v>0.0003578221468265586</v>
      </c>
      <c r="U4113" s="8" t="n">
        <v>-0.0002925132531971242</v>
      </c>
      <c r="V4113" s="6" t="inlineStr">
        <is>
          <t>not selected</t>
        </is>
      </c>
    </row>
    <row r="4114">
      <c r="A4114" s="6" t="inlineStr">
        <is>
          <t>DJ30</t>
        </is>
      </c>
      <c r="B4114" s="6" t="inlineStr">
        <is>
          <t>2025-07-18</t>
        </is>
      </c>
      <c r="C4114" s="6" t="inlineStr">
        <is>
          <t>DIA</t>
        </is>
      </c>
      <c r="D4114" s="6" t="inlineStr">
        <is>
          <t>MSFT</t>
        </is>
      </c>
      <c r="E4114" s="6" t="inlineStr">
        <is>
          <t>MSFT</t>
        </is>
      </c>
      <c r="F4114" s="6" t="inlineStr">
        <is>
          <t>-</t>
        </is>
      </c>
      <c r="G4114" s="7" t="n">
        <v>506.0082092285156</v>
      </c>
      <c r="H4114" s="6">
        <f>P4083</f>
        <v/>
      </c>
      <c r="I4114" s="9">
        <f>Q4083</f>
        <v/>
      </c>
      <c r="J4114" s="7">
        <f>I4114*G4114</f>
        <v/>
      </c>
      <c r="K4114" s="8">
        <f>IF($J$4124=0,0,J4114/$J$4124)</f>
        <v/>
      </c>
      <c r="L4114" s="6" t="inlineStr">
        <is>
          <t>REJECTED</t>
        </is>
      </c>
      <c r="M4114" s="8" t="n">
        <v>0</v>
      </c>
      <c r="N4114" s="7">
        <f>M4114*$J$4124-J4114</f>
        <v/>
      </c>
      <c r="O4114" s="9">
        <f>IF(G4114=0,0,N4114/G4114)</f>
        <v/>
      </c>
      <c r="P4114" s="6">
        <f>IF(M4114&gt;0,D4114,"")</f>
        <v/>
      </c>
      <c r="Q4114" s="9">
        <f>I4114+O4114</f>
        <v/>
      </c>
      <c r="R4114" s="7">
        <f>Q4114*G4114</f>
        <v/>
      </c>
      <c r="S4114" s="8">
        <f>IF($R$4124=0,0,R4114/$R$4124)</f>
        <v/>
      </c>
      <c r="T4114" s="8" t="n">
        <v>0.0003578221468265586</v>
      </c>
      <c r="U4114" s="8" t="n">
        <v>-0.0002925132531971242</v>
      </c>
      <c r="V4114" s="6" t="inlineStr">
        <is>
          <t>not selected</t>
        </is>
      </c>
    </row>
    <row r="4115">
      <c r="A4115" s="6" t="inlineStr">
        <is>
          <t>DJ30</t>
        </is>
      </c>
      <c r="B4115" s="6" t="inlineStr">
        <is>
          <t>2025-07-18</t>
        </is>
      </c>
      <c r="C4115" s="6" t="inlineStr">
        <is>
          <t>DIA</t>
        </is>
      </c>
      <c r="D4115" s="6" t="inlineStr">
        <is>
          <t>NKE</t>
        </is>
      </c>
      <c r="E4115" s="6" t="inlineStr">
        <is>
          <t>NKE</t>
        </is>
      </c>
      <c r="F4115" s="6" t="inlineStr">
        <is>
          <t>-</t>
        </is>
      </c>
      <c r="G4115" s="7" t="n">
        <v>70.53447723388672</v>
      </c>
      <c r="H4115" s="6">
        <f>P4084</f>
        <v/>
      </c>
      <c r="I4115" s="9">
        <f>Q4084</f>
        <v/>
      </c>
      <c r="J4115" s="7">
        <f>I4115*G4115</f>
        <v/>
      </c>
      <c r="K4115" s="8">
        <f>IF($J$4124=0,0,J4115/$J$4124)</f>
        <v/>
      </c>
      <c r="L4115" s="6" t="inlineStr">
        <is>
          <t>REJECTED</t>
        </is>
      </c>
      <c r="M4115" s="8" t="n">
        <v>0</v>
      </c>
      <c r="N4115" s="7">
        <f>M4115*$J$4124-J4115</f>
        <v/>
      </c>
      <c r="O4115" s="9">
        <f>IF(G4115=0,0,N4115/G4115)</f>
        <v/>
      </c>
      <c r="P4115" s="6">
        <f>IF(M4115&gt;0,D4115,"")</f>
        <v/>
      </c>
      <c r="Q4115" s="9">
        <f>I4115+O4115</f>
        <v/>
      </c>
      <c r="R4115" s="7">
        <f>Q4115*G4115</f>
        <v/>
      </c>
      <c r="S4115" s="8">
        <f>IF($R$4124=0,0,R4115/$R$4124)</f>
        <v/>
      </c>
      <c r="T4115" s="8" t="n">
        <v>0.0003578221468265586</v>
      </c>
      <c r="U4115" s="8" t="n">
        <v>-0.0002925132531971242</v>
      </c>
      <c r="V4115" s="6" t="inlineStr">
        <is>
          <t>not selected</t>
        </is>
      </c>
    </row>
    <row r="4116">
      <c r="A4116" s="6" t="inlineStr">
        <is>
          <t>DJ30</t>
        </is>
      </c>
      <c r="B4116" s="6" t="inlineStr">
        <is>
          <t>2025-07-18</t>
        </is>
      </c>
      <c r="C4116" s="6" t="inlineStr">
        <is>
          <t>DIA</t>
        </is>
      </c>
      <c r="D4116" s="6" t="inlineStr">
        <is>
          <t>NVDA</t>
        </is>
      </c>
      <c r="E4116" s="6" t="inlineStr">
        <is>
          <t>NVDA</t>
        </is>
      </c>
      <c r="F4116" s="6" t="inlineStr">
        <is>
          <t>-</t>
        </is>
      </c>
      <c r="G4116" s="7" t="n">
        <v>172.1806793212891</v>
      </c>
      <c r="H4116" s="6">
        <f>P4085</f>
        <v/>
      </c>
      <c r="I4116" s="9">
        <f>Q4085</f>
        <v/>
      </c>
      <c r="J4116" s="7">
        <f>I4116*G4116</f>
        <v/>
      </c>
      <c r="K4116" s="8">
        <f>IF($J$4124=0,0,J4116/$J$4124)</f>
        <v/>
      </c>
      <c r="L4116" s="6" t="inlineStr">
        <is>
          <t>REJECTED</t>
        </is>
      </c>
      <c r="M4116" s="8" t="n">
        <v>0</v>
      </c>
      <c r="N4116" s="7">
        <f>M4116*$J$4124-J4116</f>
        <v/>
      </c>
      <c r="O4116" s="9">
        <f>IF(G4116=0,0,N4116/G4116)</f>
        <v/>
      </c>
      <c r="P4116" s="6">
        <f>IF(M4116&gt;0,D4116,"")</f>
        <v/>
      </c>
      <c r="Q4116" s="9">
        <f>I4116+O4116</f>
        <v/>
      </c>
      <c r="R4116" s="7">
        <f>Q4116*G4116</f>
        <v/>
      </c>
      <c r="S4116" s="8">
        <f>IF($R$4124=0,0,R4116/$R$4124)</f>
        <v/>
      </c>
      <c r="T4116" s="8" t="n">
        <v>0.0003578221468265586</v>
      </c>
      <c r="U4116" s="8" t="n">
        <v>-0.0002925132531971242</v>
      </c>
      <c r="V4116" s="6" t="inlineStr">
        <is>
          <t>not selected</t>
        </is>
      </c>
    </row>
    <row r="4117">
      <c r="A4117" s="6" t="inlineStr">
        <is>
          <t>DJ30</t>
        </is>
      </c>
      <c r="B4117" s="6" t="inlineStr">
        <is>
          <t>2025-07-18</t>
        </is>
      </c>
      <c r="C4117" s="6" t="inlineStr">
        <is>
          <t>DIA</t>
        </is>
      </c>
      <c r="D4117" s="6" t="inlineStr">
        <is>
          <t>PG</t>
        </is>
      </c>
      <c r="E4117" s="6" t="inlineStr">
        <is>
          <t>PG</t>
        </is>
      </c>
      <c r="F4117" s="6" t="inlineStr">
        <is>
          <t>-</t>
        </is>
      </c>
      <c r="G4117" s="7" t="n">
        <v>151.7940673828125</v>
      </c>
      <c r="H4117" s="6">
        <f>P4086</f>
        <v/>
      </c>
      <c r="I4117" s="9">
        <f>Q4086</f>
        <v/>
      </c>
      <c r="J4117" s="7">
        <f>I4117*G4117</f>
        <v/>
      </c>
      <c r="K4117" s="8">
        <f>IF($J$4124=0,0,J4117/$J$4124)</f>
        <v/>
      </c>
      <c r="L4117" s="6" t="inlineStr">
        <is>
          <t>REJECTED</t>
        </is>
      </c>
      <c r="M4117" s="8" t="n">
        <v>0</v>
      </c>
      <c r="N4117" s="7">
        <f>M4117*$J$4124-J4117</f>
        <v/>
      </c>
      <c r="O4117" s="9">
        <f>IF(G4117=0,0,N4117/G4117)</f>
        <v/>
      </c>
      <c r="P4117" s="6">
        <f>IF(M4117&gt;0,D4117,"")</f>
        <v/>
      </c>
      <c r="Q4117" s="9">
        <f>I4117+O4117</f>
        <v/>
      </c>
      <c r="R4117" s="7">
        <f>Q4117*G4117</f>
        <v/>
      </c>
      <c r="S4117" s="8">
        <f>IF($R$4124=0,0,R4117/$R$4124)</f>
        <v/>
      </c>
      <c r="T4117" s="8" t="n">
        <v>0.0003578221468265586</v>
      </c>
      <c r="U4117" s="8" t="n">
        <v>-0.0002925132531971242</v>
      </c>
      <c r="V4117" s="6" t="inlineStr">
        <is>
          <t>not selected</t>
        </is>
      </c>
    </row>
    <row r="4118">
      <c r="A4118" s="6" t="inlineStr">
        <is>
          <t>DJ30</t>
        </is>
      </c>
      <c r="B4118" s="6" t="inlineStr">
        <is>
          <t>2025-07-18</t>
        </is>
      </c>
      <c r="C4118" s="6" t="inlineStr">
        <is>
          <t>DIA</t>
        </is>
      </c>
      <c r="D4118" s="6" t="inlineStr">
        <is>
          <t>SHW</t>
        </is>
      </c>
      <c r="E4118" s="6" t="inlineStr">
        <is>
          <t>SHW</t>
        </is>
      </c>
      <c r="F4118" s="6" t="inlineStr">
        <is>
          <t>-</t>
        </is>
      </c>
      <c r="G4118" s="7" t="n">
        <v>336.9234313964844</v>
      </c>
      <c r="H4118" s="6">
        <f>P4087</f>
        <v/>
      </c>
      <c r="I4118" s="9">
        <f>Q4087</f>
        <v/>
      </c>
      <c r="J4118" s="7">
        <f>I4118*G4118</f>
        <v/>
      </c>
      <c r="K4118" s="8">
        <f>IF($J$4124=0,0,J4118/$J$4124)</f>
        <v/>
      </c>
      <c r="L4118" s="6" t="inlineStr">
        <is>
          <t>REJECTED</t>
        </is>
      </c>
      <c r="M4118" s="8" t="n">
        <v>0</v>
      </c>
      <c r="N4118" s="7">
        <f>M4118*$J$4124-J4118</f>
        <v/>
      </c>
      <c r="O4118" s="9">
        <f>IF(G4118=0,0,N4118/G4118)</f>
        <v/>
      </c>
      <c r="P4118" s="6">
        <f>IF(M4118&gt;0,D4118,"")</f>
        <v/>
      </c>
      <c r="Q4118" s="9">
        <f>I4118+O4118</f>
        <v/>
      </c>
      <c r="R4118" s="7">
        <f>Q4118*G4118</f>
        <v/>
      </c>
      <c r="S4118" s="8">
        <f>IF($R$4124=0,0,R4118/$R$4124)</f>
        <v/>
      </c>
      <c r="T4118" s="8" t="n">
        <v>0.0003578221468265586</v>
      </c>
      <c r="U4118" s="8" t="n">
        <v>-0.0002925132531971242</v>
      </c>
      <c r="V4118" s="6" t="inlineStr">
        <is>
          <t>not selected</t>
        </is>
      </c>
    </row>
    <row r="4119">
      <c r="A4119" s="6" t="inlineStr">
        <is>
          <t>DJ30</t>
        </is>
      </c>
      <c r="B4119" s="6" t="inlineStr">
        <is>
          <t>2025-07-18</t>
        </is>
      </c>
      <c r="C4119" s="6" t="inlineStr">
        <is>
          <t>DIA</t>
        </is>
      </c>
      <c r="D4119" s="6" t="inlineStr">
        <is>
          <t>TRV</t>
        </is>
      </c>
      <c r="E4119" s="6" t="inlineStr">
        <is>
          <t>TRV</t>
        </is>
      </c>
      <c r="F4119" s="6" t="inlineStr">
        <is>
          <t>-</t>
        </is>
      </c>
      <c r="G4119" s="7" t="n">
        <v>261.8048400878906</v>
      </c>
      <c r="H4119" s="6">
        <f>P4088</f>
        <v/>
      </c>
      <c r="I4119" s="9">
        <f>Q4088</f>
        <v/>
      </c>
      <c r="J4119" s="7">
        <f>I4119*G4119</f>
        <v/>
      </c>
      <c r="K4119" s="8">
        <f>IF($J$4124=0,0,J4119/$J$4124)</f>
        <v/>
      </c>
      <c r="L4119" s="6" t="inlineStr">
        <is>
          <t>WATCHLIST</t>
        </is>
      </c>
      <c r="M4119" s="8" t="n">
        <v>0</v>
      </c>
      <c r="N4119" s="7">
        <f>M4119*$J$4124-J4119</f>
        <v/>
      </c>
      <c r="O4119" s="9">
        <f>IF(G4119=0,0,N4119/G4119)</f>
        <v/>
      </c>
      <c r="P4119" s="6">
        <f>IF(M4119&gt;0,D4119,"")</f>
        <v/>
      </c>
      <c r="Q4119" s="9">
        <f>I4119+O4119</f>
        <v/>
      </c>
      <c r="R4119" s="7">
        <f>Q4119*G4119</f>
        <v/>
      </c>
      <c r="S4119" s="8">
        <f>IF($R$4124=0,0,R4119/$R$4124)</f>
        <v/>
      </c>
      <c r="T4119" s="8" t="n">
        <v>0.0003578221468265586</v>
      </c>
      <c r="U4119" s="8" t="n">
        <v>-0.0002925132531971242</v>
      </c>
      <c r="V4119" s="6" t="inlineStr">
        <is>
          <t>not selected</t>
        </is>
      </c>
    </row>
    <row r="4120">
      <c r="A4120" s="6" t="inlineStr">
        <is>
          <t>DJ30</t>
        </is>
      </c>
      <c r="B4120" s="6" t="inlineStr">
        <is>
          <t>2025-07-18</t>
        </is>
      </c>
      <c r="C4120" s="6" t="inlineStr">
        <is>
          <t>DIA</t>
        </is>
      </c>
      <c r="D4120" s="6" t="inlineStr">
        <is>
          <t>UNH</t>
        </is>
      </c>
      <c r="E4120" s="6" t="inlineStr">
        <is>
          <t>UNH</t>
        </is>
      </c>
      <c r="F4120" s="6" t="inlineStr">
        <is>
          <t>-</t>
        </is>
      </c>
      <c r="G4120" s="7" t="n">
        <v>275.2775573730469</v>
      </c>
      <c r="H4120" s="6">
        <f>P4089</f>
        <v/>
      </c>
      <c r="I4120" s="9">
        <f>Q4089</f>
        <v/>
      </c>
      <c r="J4120" s="7">
        <f>I4120*G4120</f>
        <v/>
      </c>
      <c r="K4120" s="8">
        <f>IF($J$4124=0,0,J4120/$J$4124)</f>
        <v/>
      </c>
      <c r="L4120" s="6" t="inlineStr">
        <is>
          <t>REJECTED</t>
        </is>
      </c>
      <c r="M4120" s="8" t="n">
        <v>0</v>
      </c>
      <c r="N4120" s="7">
        <f>M4120*$J$4124-J4120</f>
        <v/>
      </c>
      <c r="O4120" s="9">
        <f>IF(G4120=0,0,N4120/G4120)</f>
        <v/>
      </c>
      <c r="P4120" s="6">
        <f>IF(M4120&gt;0,D4120,"")</f>
        <v/>
      </c>
      <c r="Q4120" s="9">
        <f>I4120+O4120</f>
        <v/>
      </c>
      <c r="R4120" s="7">
        <f>Q4120*G4120</f>
        <v/>
      </c>
      <c r="S4120" s="8">
        <f>IF($R$4124=0,0,R4120/$R$4124)</f>
        <v/>
      </c>
      <c r="T4120" s="8" t="n">
        <v>0.0003578221468265586</v>
      </c>
      <c r="U4120" s="8" t="n">
        <v>-0.0002925132531971242</v>
      </c>
      <c r="V4120" s="6" t="inlineStr">
        <is>
          <t>not selected</t>
        </is>
      </c>
    </row>
    <row r="4121">
      <c r="A4121" s="6" t="inlineStr">
        <is>
          <t>DJ30</t>
        </is>
      </c>
      <c r="B4121" s="6" t="inlineStr">
        <is>
          <t>2025-07-18</t>
        </is>
      </c>
      <c r="C4121" s="6" t="inlineStr">
        <is>
          <t>DIA</t>
        </is>
      </c>
      <c r="D4121" s="6" t="inlineStr">
        <is>
          <t>V</t>
        </is>
      </c>
      <c r="E4121" s="6" t="inlineStr">
        <is>
          <t>V</t>
        </is>
      </c>
      <c r="F4121" s="6" t="inlineStr">
        <is>
          <t>-</t>
        </is>
      </c>
      <c r="G4121" s="7" t="n">
        <v>346.3145141601562</v>
      </c>
      <c r="H4121" s="6">
        <f>P4090</f>
        <v/>
      </c>
      <c r="I4121" s="9">
        <f>Q4090</f>
        <v/>
      </c>
      <c r="J4121" s="7">
        <f>I4121*G4121</f>
        <v/>
      </c>
      <c r="K4121" s="8">
        <f>IF($J$4124=0,0,J4121/$J$4124)</f>
        <v/>
      </c>
      <c r="L4121" s="6" t="inlineStr">
        <is>
          <t>SELECTED</t>
        </is>
      </c>
      <c r="M4121" s="8" t="n">
        <v>0.2</v>
      </c>
      <c r="N4121" s="7">
        <f>M4121*$J$4124-J4121</f>
        <v/>
      </c>
      <c r="O4121" s="9">
        <f>IF(G4121=0,0,N4121/G4121)</f>
        <v/>
      </c>
      <c r="P4121" s="6">
        <f>IF(M4121&gt;0,D4121,"")</f>
        <v/>
      </c>
      <c r="Q4121" s="9">
        <f>I4121+O4121</f>
        <v/>
      </c>
      <c r="R4121" s="7">
        <f>Q4121*G4121</f>
        <v/>
      </c>
      <c r="S4121" s="8">
        <f>IF($R$4124=0,0,R4121/$R$4124)</f>
        <v/>
      </c>
      <c r="T4121" s="8" t="n">
        <v>0.0003578221468265586</v>
      </c>
      <c r="U4121" s="8" t="n">
        <v>-0.0002925132531971242</v>
      </c>
      <c r="V4121" s="6" t="inlineStr">
        <is>
          <t>remained in weekly selection</t>
        </is>
      </c>
    </row>
    <row r="4122">
      <c r="A4122" s="6" t="inlineStr">
        <is>
          <t>DJ30</t>
        </is>
      </c>
      <c r="B4122" s="6" t="inlineStr">
        <is>
          <t>2025-07-18</t>
        </is>
      </c>
      <c r="C4122" s="6" t="inlineStr">
        <is>
          <t>DIA</t>
        </is>
      </c>
      <c r="D4122" s="6" t="inlineStr">
        <is>
          <t>VZ</t>
        </is>
      </c>
      <c r="E4122" s="6" t="inlineStr">
        <is>
          <t>VZ</t>
        </is>
      </c>
      <c r="F4122" s="6" t="inlineStr">
        <is>
          <t>-</t>
        </is>
      </c>
      <c r="G4122" s="7" t="n">
        <v>38.88033294677734</v>
      </c>
      <c r="H4122" s="6">
        <f>P4091</f>
        <v/>
      </c>
      <c r="I4122" s="9">
        <f>Q4091</f>
        <v/>
      </c>
      <c r="J4122" s="7">
        <f>I4122*G4122</f>
        <v/>
      </c>
      <c r="K4122" s="8">
        <f>IF($J$4124=0,0,J4122/$J$4124)</f>
        <v/>
      </c>
      <c r="L4122" s="6" t="inlineStr">
        <is>
          <t>WATCHLIST</t>
        </is>
      </c>
      <c r="M4122" s="8" t="n">
        <v>0</v>
      </c>
      <c r="N4122" s="7">
        <f>M4122*$J$4124-J4122</f>
        <v/>
      </c>
      <c r="O4122" s="9">
        <f>IF(G4122=0,0,N4122/G4122)</f>
        <v/>
      </c>
      <c r="P4122" s="6">
        <f>IF(M4122&gt;0,D4122,"")</f>
        <v/>
      </c>
      <c r="Q4122" s="9">
        <f>I4122+O4122</f>
        <v/>
      </c>
      <c r="R4122" s="7">
        <f>Q4122*G4122</f>
        <v/>
      </c>
      <c r="S4122" s="8">
        <f>IF($R$4124=0,0,R4122/$R$4124)</f>
        <v/>
      </c>
      <c r="T4122" s="8" t="n">
        <v>0.0003578221468265586</v>
      </c>
      <c r="U4122" s="8" t="n">
        <v>-0.0002925132531971242</v>
      </c>
      <c r="V4122" s="6" t="inlineStr">
        <is>
          <t>not selected</t>
        </is>
      </c>
    </row>
    <row r="4123">
      <c r="A4123" s="6" t="inlineStr">
        <is>
          <t>DJ30</t>
        </is>
      </c>
      <c r="B4123" s="6" t="inlineStr">
        <is>
          <t>2025-07-18</t>
        </is>
      </c>
      <c r="C4123" s="6" t="inlineStr">
        <is>
          <t>DIA</t>
        </is>
      </c>
      <c r="D4123" s="6" t="inlineStr">
        <is>
          <t>WMT</t>
        </is>
      </c>
      <c r="E4123" s="6" t="inlineStr">
        <is>
          <t>WMT</t>
        </is>
      </c>
      <c r="F4123" s="6" t="inlineStr">
        <is>
          <t>-</t>
        </is>
      </c>
      <c r="G4123" s="7" t="n">
        <v>94.26190185546876</v>
      </c>
      <c r="H4123" s="6">
        <f>P4092</f>
        <v/>
      </c>
      <c r="I4123" s="9">
        <f>Q4092</f>
        <v/>
      </c>
      <c r="J4123" s="7">
        <f>I4123*G4123</f>
        <v/>
      </c>
      <c r="K4123" s="8">
        <f>IF($J$4124=0,0,J4123/$J$4124)</f>
        <v/>
      </c>
      <c r="L4123" s="6" t="inlineStr">
        <is>
          <t>WATCHLIST</t>
        </is>
      </c>
      <c r="M4123" s="8" t="n">
        <v>0</v>
      </c>
      <c r="N4123" s="7">
        <f>M4123*$J$4124-J4123</f>
        <v/>
      </c>
      <c r="O4123" s="9">
        <f>IF(G4123=0,0,N4123/G4123)</f>
        <v/>
      </c>
      <c r="P4123" s="6">
        <f>IF(M4123&gt;0,D4123,"")</f>
        <v/>
      </c>
      <c r="Q4123" s="9">
        <f>I4123+O4123</f>
        <v/>
      </c>
      <c r="R4123" s="7">
        <f>Q4123*G4123</f>
        <v/>
      </c>
      <c r="S4123" s="8">
        <f>IF($R$4124=0,0,R4123/$R$4124)</f>
        <v/>
      </c>
      <c r="T4123" s="8" t="n">
        <v>0.0003578221468265586</v>
      </c>
      <c r="U4123" s="8" t="n">
        <v>-0.0002925132531971242</v>
      </c>
      <c r="V4123" s="6" t="inlineStr">
        <is>
          <t>not selected</t>
        </is>
      </c>
    </row>
    <row r="4124">
      <c r="A4124" s="10" t="inlineStr">
        <is>
          <t>DJ30</t>
        </is>
      </c>
      <c r="B4124" s="10" t="inlineStr">
        <is>
          <t>2025-07-18</t>
        </is>
      </c>
      <c r="C4124" s="10" t="inlineStr">
        <is>
          <t>DIA</t>
        </is>
      </c>
      <c r="D4124" s="10" t="inlineStr">
        <is>
          <t>Tot Portfolio</t>
        </is>
      </c>
      <c r="E4124" s="10" t="inlineStr"/>
      <c r="F4124" s="10" t="inlineStr"/>
      <c r="G4124" s="11" t="inlineStr"/>
      <c r="H4124" s="10" t="inlineStr"/>
      <c r="I4124" s="12" t="inlineStr"/>
      <c r="J4124" s="11">
        <f>SUM(J4094:J4123)</f>
        <v/>
      </c>
      <c r="K4124" s="13">
        <f>SUM(K4094:K4123)</f>
        <v/>
      </c>
      <c r="L4124" s="10" t="inlineStr">
        <is>
          <t>TOTAL</t>
        </is>
      </c>
      <c r="M4124" s="13">
        <f>SUM(M4094:M4123)</f>
        <v/>
      </c>
      <c r="N4124" s="11">
        <f>SUM(N4094:N4123)</f>
        <v/>
      </c>
      <c r="O4124" s="12">
        <f>SUM(O4094:O4123)</f>
        <v/>
      </c>
      <c r="P4124" s="10" t="inlineStr"/>
      <c r="Q4124" s="12" t="inlineStr"/>
      <c r="R4124" s="11">
        <f>SUM(R4094:R4123)</f>
        <v/>
      </c>
      <c r="S4124" s="13">
        <f>SUM(S4094:S4123)</f>
        <v/>
      </c>
      <c r="T4124" s="13" t="n">
        <v>0.0003578221468265586</v>
      </c>
      <c r="U4124" s="13" t="n">
        <v>-0.0002925132531971242</v>
      </c>
      <c r="V4124" s="10" t="inlineStr"/>
    </row>
    <row r="4125">
      <c r="A4125" s="6" t="inlineStr">
        <is>
          <t>DJ30</t>
        </is>
      </c>
      <c r="B4125" s="6" t="inlineStr">
        <is>
          <t>2025-07-25</t>
        </is>
      </c>
      <c r="C4125" s="6" t="inlineStr">
        <is>
          <t>DIA</t>
        </is>
      </c>
      <c r="D4125" s="6" t="inlineStr">
        <is>
          <t>AAPL</t>
        </is>
      </c>
      <c r="E4125" s="6" t="inlineStr">
        <is>
          <t>AAPL</t>
        </is>
      </c>
      <c r="F4125" s="6" t="inlineStr">
        <is>
          <t>-</t>
        </is>
      </c>
      <c r="G4125" s="7" t="n">
        <v>213.0348510742188</v>
      </c>
      <c r="H4125" s="6">
        <f>P4094</f>
        <v/>
      </c>
      <c r="I4125" s="9">
        <f>Q4094</f>
        <v/>
      </c>
      <c r="J4125" s="7">
        <f>I4125*G4125</f>
        <v/>
      </c>
      <c r="K4125" s="8">
        <f>IF($J$4155=0,0,J4125/$J$4155)</f>
        <v/>
      </c>
      <c r="L4125" s="6" t="inlineStr">
        <is>
          <t>REJECTED</t>
        </is>
      </c>
      <c r="M4125" s="8" t="n">
        <v>0</v>
      </c>
      <c r="N4125" s="7">
        <f>M4125*$J$4155-J4125</f>
        <v/>
      </c>
      <c r="O4125" s="9">
        <f>IF(G4125=0,0,N4125/G4125)</f>
        <v/>
      </c>
      <c r="P4125" s="6">
        <f>IF(M4125&gt;0,D4125,"")</f>
        <v/>
      </c>
      <c r="Q4125" s="9">
        <f>I4125+O4125</f>
        <v/>
      </c>
      <c r="R4125" s="7">
        <f>Q4125*G4125</f>
        <v/>
      </c>
      <c r="S4125" s="8">
        <f>IF($R$4155=0,0,R4125/$R$4155)</f>
        <v/>
      </c>
      <c r="T4125" s="8" t="n">
        <v>-0.01317427086239908</v>
      </c>
      <c r="U4125" s="8" t="n">
        <v>0.01299479805649528</v>
      </c>
      <c r="V4125" s="6" t="inlineStr">
        <is>
          <t>not selected</t>
        </is>
      </c>
    </row>
    <row r="4126">
      <c r="A4126" s="6" t="inlineStr">
        <is>
          <t>DJ30</t>
        </is>
      </c>
      <c r="B4126" s="6" t="inlineStr">
        <is>
          <t>2025-07-25</t>
        </is>
      </c>
      <c r="C4126" s="6" t="inlineStr">
        <is>
          <t>DIA</t>
        </is>
      </c>
      <c r="D4126" s="6" t="inlineStr">
        <is>
          <t>AMGN</t>
        </is>
      </c>
      <c r="E4126" s="6" t="inlineStr">
        <is>
          <t>AMGN</t>
        </is>
      </c>
      <c r="F4126" s="6" t="inlineStr">
        <is>
          <t>-</t>
        </is>
      </c>
      <c r="G4126" s="7" t="n">
        <v>297.6337585449219</v>
      </c>
      <c r="H4126" s="6">
        <f>P4095</f>
        <v/>
      </c>
      <c r="I4126" s="9">
        <f>Q4095</f>
        <v/>
      </c>
      <c r="J4126" s="7">
        <f>I4126*G4126</f>
        <v/>
      </c>
      <c r="K4126" s="8">
        <f>IF($J$4155=0,0,J4126/$J$4155)</f>
        <v/>
      </c>
      <c r="L4126" s="6" t="inlineStr">
        <is>
          <t>REJECTED</t>
        </is>
      </c>
      <c r="M4126" s="8" t="n">
        <v>0</v>
      </c>
      <c r="N4126" s="7">
        <f>M4126*$J$4155-J4126</f>
        <v/>
      </c>
      <c r="O4126" s="9">
        <f>IF(G4126=0,0,N4126/G4126)</f>
        <v/>
      </c>
      <c r="P4126" s="6">
        <f>IF(M4126&gt;0,D4126,"")</f>
        <v/>
      </c>
      <c r="Q4126" s="9">
        <f>I4126+O4126</f>
        <v/>
      </c>
      <c r="R4126" s="7">
        <f>Q4126*G4126</f>
        <v/>
      </c>
      <c r="S4126" s="8">
        <f>IF($R$4155=0,0,R4126/$R$4155)</f>
        <v/>
      </c>
      <c r="T4126" s="8" t="n">
        <v>-0.01317427086239908</v>
      </c>
      <c r="U4126" s="8" t="n">
        <v>0.01299479805649528</v>
      </c>
      <c r="V4126" s="6" t="inlineStr">
        <is>
          <t>not selected</t>
        </is>
      </c>
    </row>
    <row r="4127">
      <c r="A4127" s="6" t="inlineStr">
        <is>
          <t>DJ30</t>
        </is>
      </c>
      <c r="B4127" s="6" t="inlineStr">
        <is>
          <t>2025-07-25</t>
        </is>
      </c>
      <c r="C4127" s="6" t="inlineStr">
        <is>
          <t>DIA</t>
        </is>
      </c>
      <c r="D4127" s="6" t="inlineStr">
        <is>
          <t>AMZN</t>
        </is>
      </c>
      <c r="E4127" s="6" t="inlineStr">
        <is>
          <t>AMZN</t>
        </is>
      </c>
      <c r="F4127" s="6" t="inlineStr">
        <is>
          <t>-</t>
        </is>
      </c>
      <c r="G4127" s="7" t="n">
        <v>231.4400024414062</v>
      </c>
      <c r="H4127" s="6">
        <f>P4096</f>
        <v/>
      </c>
      <c r="I4127" s="9">
        <f>Q4096</f>
        <v/>
      </c>
      <c r="J4127" s="7">
        <f>I4127*G4127</f>
        <v/>
      </c>
      <c r="K4127" s="8">
        <f>IF($J$4155=0,0,J4127/$J$4155)</f>
        <v/>
      </c>
      <c r="L4127" s="6" t="inlineStr">
        <is>
          <t>REJECTED</t>
        </is>
      </c>
      <c r="M4127" s="8" t="n">
        <v>0</v>
      </c>
      <c r="N4127" s="7">
        <f>M4127*$J$4155-J4127</f>
        <v/>
      </c>
      <c r="O4127" s="9">
        <f>IF(G4127=0,0,N4127/G4127)</f>
        <v/>
      </c>
      <c r="P4127" s="6">
        <f>IF(M4127&gt;0,D4127,"")</f>
        <v/>
      </c>
      <c r="Q4127" s="9">
        <f>I4127+O4127</f>
        <v/>
      </c>
      <c r="R4127" s="7">
        <f>Q4127*G4127</f>
        <v/>
      </c>
      <c r="S4127" s="8">
        <f>IF($R$4155=0,0,R4127/$R$4155)</f>
        <v/>
      </c>
      <c r="T4127" s="8" t="n">
        <v>-0.01317427086239908</v>
      </c>
      <c r="U4127" s="8" t="n">
        <v>0.01299479805649528</v>
      </c>
      <c r="V4127" s="6" t="inlineStr">
        <is>
          <t>not selected</t>
        </is>
      </c>
    </row>
    <row r="4128">
      <c r="A4128" s="6" t="inlineStr">
        <is>
          <t>DJ30</t>
        </is>
      </c>
      <c r="B4128" s="6" t="inlineStr">
        <is>
          <t>2025-07-25</t>
        </is>
      </c>
      <c r="C4128" s="6" t="inlineStr">
        <is>
          <t>DIA</t>
        </is>
      </c>
      <c r="D4128" s="6" t="inlineStr">
        <is>
          <t>AXP</t>
        </is>
      </c>
      <c r="E4128" s="6" t="inlineStr">
        <is>
          <t>AXP</t>
        </is>
      </c>
      <c r="F4128" s="6" t="inlineStr">
        <is>
          <t>-</t>
        </is>
      </c>
      <c r="G4128" s="7" t="n">
        <v>309.1560974121094</v>
      </c>
      <c r="H4128" s="6">
        <f>P4097</f>
        <v/>
      </c>
      <c r="I4128" s="9">
        <f>Q4097</f>
        <v/>
      </c>
      <c r="J4128" s="7">
        <f>I4128*G4128</f>
        <v/>
      </c>
      <c r="K4128" s="8">
        <f>IF($J$4155=0,0,J4128/$J$4155)</f>
        <v/>
      </c>
      <c r="L4128" s="6" t="inlineStr">
        <is>
          <t>REJECTED</t>
        </is>
      </c>
      <c r="M4128" s="8" t="n">
        <v>0</v>
      </c>
      <c r="N4128" s="7">
        <f>M4128*$J$4155-J4128</f>
        <v/>
      </c>
      <c r="O4128" s="9">
        <f>IF(G4128=0,0,N4128/G4128)</f>
        <v/>
      </c>
      <c r="P4128" s="6">
        <f>IF(M4128&gt;0,D4128,"")</f>
        <v/>
      </c>
      <c r="Q4128" s="9">
        <f>I4128+O4128</f>
        <v/>
      </c>
      <c r="R4128" s="7">
        <f>Q4128*G4128</f>
        <v/>
      </c>
      <c r="S4128" s="8">
        <f>IF($R$4155=0,0,R4128/$R$4155)</f>
        <v/>
      </c>
      <c r="T4128" s="8" t="n">
        <v>-0.01317427086239908</v>
      </c>
      <c r="U4128" s="8" t="n">
        <v>0.01299479805649528</v>
      </c>
      <c r="V4128" s="6" t="inlineStr">
        <is>
          <t>not selected</t>
        </is>
      </c>
    </row>
    <row r="4129">
      <c r="A4129" s="6" t="inlineStr">
        <is>
          <t>DJ30</t>
        </is>
      </c>
      <c r="B4129" s="6" t="inlineStr">
        <is>
          <t>2025-07-25</t>
        </is>
      </c>
      <c r="C4129" s="6" t="inlineStr">
        <is>
          <t>DIA</t>
        </is>
      </c>
      <c r="D4129" s="6" t="inlineStr">
        <is>
          <t>BA</t>
        </is>
      </c>
      <c r="E4129" s="6" t="inlineStr">
        <is>
          <t>BA</t>
        </is>
      </c>
      <c r="F4129" s="6" t="inlineStr">
        <is>
          <t>-</t>
        </is>
      </c>
      <c r="G4129" s="7" t="n">
        <v>233.0599975585937</v>
      </c>
      <c r="H4129" s="6">
        <f>P4098</f>
        <v/>
      </c>
      <c r="I4129" s="9">
        <f>Q4098</f>
        <v/>
      </c>
      <c r="J4129" s="7">
        <f>I4129*G4129</f>
        <v/>
      </c>
      <c r="K4129" s="8">
        <f>IF($J$4155=0,0,J4129/$J$4155)</f>
        <v/>
      </c>
      <c r="L4129" s="6" t="inlineStr">
        <is>
          <t>WATCHLIST</t>
        </is>
      </c>
      <c r="M4129" s="8" t="n">
        <v>0</v>
      </c>
      <c r="N4129" s="7">
        <f>M4129*$J$4155-J4129</f>
        <v/>
      </c>
      <c r="O4129" s="9">
        <f>IF(G4129=0,0,N4129/G4129)</f>
        <v/>
      </c>
      <c r="P4129" s="6">
        <f>IF(M4129&gt;0,D4129,"")</f>
        <v/>
      </c>
      <c r="Q4129" s="9">
        <f>I4129+O4129</f>
        <v/>
      </c>
      <c r="R4129" s="7">
        <f>Q4129*G4129</f>
        <v/>
      </c>
      <c r="S4129" s="8">
        <f>IF($R$4155=0,0,R4129/$R$4155)</f>
        <v/>
      </c>
      <c r="T4129" s="8" t="n">
        <v>-0.01317427086239908</v>
      </c>
      <c r="U4129" s="8" t="n">
        <v>0.01299479805649528</v>
      </c>
      <c r="V4129" s="6" t="inlineStr">
        <is>
          <t>not selected</t>
        </is>
      </c>
    </row>
    <row r="4130">
      <c r="A4130" s="6" t="inlineStr">
        <is>
          <t>DJ30</t>
        </is>
      </c>
      <c r="B4130" s="6" t="inlineStr">
        <is>
          <t>2025-07-25</t>
        </is>
      </c>
      <c r="C4130" s="6" t="inlineStr">
        <is>
          <t>DIA</t>
        </is>
      </c>
      <c r="D4130" s="6" t="inlineStr">
        <is>
          <t>CAT</t>
        </is>
      </c>
      <c r="E4130" s="6" t="inlineStr">
        <is>
          <t>CAT</t>
        </is>
      </c>
      <c r="F4130" s="6" t="inlineStr">
        <is>
          <t>-</t>
        </is>
      </c>
      <c r="G4130" s="7" t="n">
        <v>430.6778869628906</v>
      </c>
      <c r="H4130" s="6">
        <f>P4099</f>
        <v/>
      </c>
      <c r="I4130" s="9">
        <f>Q4099</f>
        <v/>
      </c>
      <c r="J4130" s="7">
        <f>I4130*G4130</f>
        <v/>
      </c>
      <c r="K4130" s="8">
        <f>IF($J$4155=0,0,J4130/$J$4155)</f>
        <v/>
      </c>
      <c r="L4130" s="6" t="inlineStr">
        <is>
          <t>REJECTED</t>
        </is>
      </c>
      <c r="M4130" s="8" t="n">
        <v>0</v>
      </c>
      <c r="N4130" s="7">
        <f>M4130*$J$4155-J4130</f>
        <v/>
      </c>
      <c r="O4130" s="9">
        <f>IF(G4130=0,0,N4130/G4130)</f>
        <v/>
      </c>
      <c r="P4130" s="6">
        <f>IF(M4130&gt;0,D4130,"")</f>
        <v/>
      </c>
      <c r="Q4130" s="9">
        <f>I4130+O4130</f>
        <v/>
      </c>
      <c r="R4130" s="7">
        <f>Q4130*G4130</f>
        <v/>
      </c>
      <c r="S4130" s="8">
        <f>IF($R$4155=0,0,R4130/$R$4155)</f>
        <v/>
      </c>
      <c r="T4130" s="8" t="n">
        <v>-0.01317427086239908</v>
      </c>
      <c r="U4130" s="8" t="n">
        <v>0.01299479805649528</v>
      </c>
      <c r="V4130" s="6" t="inlineStr">
        <is>
          <t>not selected</t>
        </is>
      </c>
    </row>
    <row r="4131">
      <c r="A4131" s="6" t="inlineStr">
        <is>
          <t>DJ30</t>
        </is>
      </c>
      <c r="B4131" s="6" t="inlineStr">
        <is>
          <t>2025-07-25</t>
        </is>
      </c>
      <c r="C4131" s="6" t="inlineStr">
        <is>
          <t>DIA</t>
        </is>
      </c>
      <c r="D4131" s="6" t="inlineStr">
        <is>
          <t>CRM</t>
        </is>
      </c>
      <c r="E4131" s="6" t="inlineStr">
        <is>
          <t>CRM</t>
        </is>
      </c>
      <c r="F4131" s="6" t="inlineStr">
        <is>
          <t>-</t>
        </is>
      </c>
      <c r="G4131" s="7" t="n">
        <v>266.8513793945312</v>
      </c>
      <c r="H4131" s="6">
        <f>P4100</f>
        <v/>
      </c>
      <c r="I4131" s="9">
        <f>Q4100</f>
        <v/>
      </c>
      <c r="J4131" s="7">
        <f>I4131*G4131</f>
        <v/>
      </c>
      <c r="K4131" s="8">
        <f>IF($J$4155=0,0,J4131/$J$4155)</f>
        <v/>
      </c>
      <c r="L4131" s="6" t="inlineStr">
        <is>
          <t>REJECTED</t>
        </is>
      </c>
      <c r="M4131" s="8" t="n">
        <v>0</v>
      </c>
      <c r="N4131" s="7">
        <f>M4131*$J$4155-J4131</f>
        <v/>
      </c>
      <c r="O4131" s="9">
        <f>IF(G4131=0,0,N4131/G4131)</f>
        <v/>
      </c>
      <c r="P4131" s="6">
        <f>IF(M4131&gt;0,D4131,"")</f>
        <v/>
      </c>
      <c r="Q4131" s="9">
        <f>I4131+O4131</f>
        <v/>
      </c>
      <c r="R4131" s="7">
        <f>Q4131*G4131</f>
        <v/>
      </c>
      <c r="S4131" s="8">
        <f>IF($R$4155=0,0,R4131/$R$4155)</f>
        <v/>
      </c>
      <c r="T4131" s="8" t="n">
        <v>-0.01317427086239908</v>
      </c>
      <c r="U4131" s="8" t="n">
        <v>0.01299479805649528</v>
      </c>
      <c r="V4131" s="6" t="inlineStr">
        <is>
          <t>not selected</t>
        </is>
      </c>
    </row>
    <row r="4132">
      <c r="A4132" s="6" t="inlineStr">
        <is>
          <t>DJ30</t>
        </is>
      </c>
      <c r="B4132" s="6" t="inlineStr">
        <is>
          <t>2025-07-25</t>
        </is>
      </c>
      <c r="C4132" s="6" t="inlineStr">
        <is>
          <t>DIA</t>
        </is>
      </c>
      <c r="D4132" s="6" t="inlineStr">
        <is>
          <t>CSCO</t>
        </is>
      </c>
      <c r="E4132" s="6" t="inlineStr">
        <is>
          <t>CSCO</t>
        </is>
      </c>
      <c r="F4132" s="6" t="inlineStr">
        <is>
          <t>-</t>
        </is>
      </c>
      <c r="G4132" s="7" t="n">
        <v>67.54827880859375</v>
      </c>
      <c r="H4132" s="6">
        <f>P4101</f>
        <v/>
      </c>
      <c r="I4132" s="9">
        <f>Q4101</f>
        <v/>
      </c>
      <c r="J4132" s="7">
        <f>I4132*G4132</f>
        <v/>
      </c>
      <c r="K4132" s="8">
        <f>IF($J$4155=0,0,J4132/$J$4155)</f>
        <v/>
      </c>
      <c r="L4132" s="6" t="inlineStr">
        <is>
          <t>WATCHLIST</t>
        </is>
      </c>
      <c r="M4132" s="8" t="n">
        <v>0</v>
      </c>
      <c r="N4132" s="7">
        <f>M4132*$J$4155-J4132</f>
        <v/>
      </c>
      <c r="O4132" s="9">
        <f>IF(G4132=0,0,N4132/G4132)</f>
        <v/>
      </c>
      <c r="P4132" s="6">
        <f>IF(M4132&gt;0,D4132,"")</f>
        <v/>
      </c>
      <c r="Q4132" s="9">
        <f>I4132+O4132</f>
        <v/>
      </c>
      <c r="R4132" s="7">
        <f>Q4132*G4132</f>
        <v/>
      </c>
      <c r="S4132" s="8">
        <f>IF($R$4155=0,0,R4132/$R$4155)</f>
        <v/>
      </c>
      <c r="T4132" s="8" t="n">
        <v>-0.01317427086239908</v>
      </c>
      <c r="U4132" s="8" t="n">
        <v>0.01299479805649528</v>
      </c>
      <c r="V4132" s="6" t="inlineStr">
        <is>
          <t>not selected</t>
        </is>
      </c>
    </row>
    <row r="4133">
      <c r="A4133" s="6" t="inlineStr">
        <is>
          <t>DJ30</t>
        </is>
      </c>
      <c r="B4133" s="6" t="inlineStr">
        <is>
          <t>2025-07-25</t>
        </is>
      </c>
      <c r="C4133" s="6" t="inlineStr">
        <is>
          <t>DIA</t>
        </is>
      </c>
      <c r="D4133" s="6" t="inlineStr">
        <is>
          <t>CVX</t>
        </is>
      </c>
      <c r="E4133" s="6" t="inlineStr">
        <is>
          <t>CVX</t>
        </is>
      </c>
      <c r="F4133" s="6" t="inlineStr">
        <is>
          <t>-</t>
        </is>
      </c>
      <c r="G4133" s="7" t="n">
        <v>148.6155700683594</v>
      </c>
      <c r="H4133" s="6">
        <f>P4102</f>
        <v/>
      </c>
      <c r="I4133" s="9">
        <f>Q4102</f>
        <v/>
      </c>
      <c r="J4133" s="7">
        <f>I4133*G4133</f>
        <v/>
      </c>
      <c r="K4133" s="8">
        <f>IF($J$4155=0,0,J4133/$J$4155)</f>
        <v/>
      </c>
      <c r="L4133" s="6" t="inlineStr">
        <is>
          <t>REJECTED</t>
        </is>
      </c>
      <c r="M4133" s="8" t="n">
        <v>0</v>
      </c>
      <c r="N4133" s="7">
        <f>M4133*$J$4155-J4133</f>
        <v/>
      </c>
      <c r="O4133" s="9">
        <f>IF(G4133=0,0,N4133/G4133)</f>
        <v/>
      </c>
      <c r="P4133" s="6">
        <f>IF(M4133&gt;0,D4133,"")</f>
        <v/>
      </c>
      <c r="Q4133" s="9">
        <f>I4133+O4133</f>
        <v/>
      </c>
      <c r="R4133" s="7">
        <f>Q4133*G4133</f>
        <v/>
      </c>
      <c r="S4133" s="8">
        <f>IF($R$4155=0,0,R4133/$R$4155)</f>
        <v/>
      </c>
      <c r="T4133" s="8" t="n">
        <v>-0.01317427086239908</v>
      </c>
      <c r="U4133" s="8" t="n">
        <v>0.01299479805649528</v>
      </c>
      <c r="V4133" s="6" t="inlineStr">
        <is>
          <t>not selected</t>
        </is>
      </c>
    </row>
    <row r="4134">
      <c r="A4134" s="6" t="inlineStr">
        <is>
          <t>DJ30</t>
        </is>
      </c>
      <c r="B4134" s="6" t="inlineStr">
        <is>
          <t>2025-07-25</t>
        </is>
      </c>
      <c r="C4134" s="6" t="inlineStr">
        <is>
          <t>DIA</t>
        </is>
      </c>
      <c r="D4134" s="6" t="inlineStr">
        <is>
          <t>DIS</t>
        </is>
      </c>
      <c r="E4134" s="6" t="inlineStr">
        <is>
          <t>DIS</t>
        </is>
      </c>
      <c r="F4134" s="6" t="inlineStr">
        <is>
          <t>-</t>
        </is>
      </c>
      <c r="G4134" s="7" t="n">
        <v>120.6536712646484</v>
      </c>
      <c r="H4134" s="6">
        <f>P4103</f>
        <v/>
      </c>
      <c r="I4134" s="9">
        <f>Q4103</f>
        <v/>
      </c>
      <c r="J4134" s="7">
        <f>I4134*G4134</f>
        <v/>
      </c>
      <c r="K4134" s="8">
        <f>IF($J$4155=0,0,J4134/$J$4155)</f>
        <v/>
      </c>
      <c r="L4134" s="6" t="inlineStr">
        <is>
          <t>REJECTED</t>
        </is>
      </c>
      <c r="M4134" s="8" t="n">
        <v>0</v>
      </c>
      <c r="N4134" s="7">
        <f>M4134*$J$4155-J4134</f>
        <v/>
      </c>
      <c r="O4134" s="9">
        <f>IF(G4134=0,0,N4134/G4134)</f>
        <v/>
      </c>
      <c r="P4134" s="6">
        <f>IF(M4134&gt;0,D4134,"")</f>
        <v/>
      </c>
      <c r="Q4134" s="9">
        <f>I4134+O4134</f>
        <v/>
      </c>
      <c r="R4134" s="7">
        <f>Q4134*G4134</f>
        <v/>
      </c>
      <c r="S4134" s="8">
        <f>IF($R$4155=0,0,R4134/$R$4155)</f>
        <v/>
      </c>
      <c r="T4134" s="8" t="n">
        <v>-0.01317427086239908</v>
      </c>
      <c r="U4134" s="8" t="n">
        <v>0.01299479805649528</v>
      </c>
      <c r="V4134" s="6" t="inlineStr">
        <is>
          <t>not selected</t>
        </is>
      </c>
    </row>
    <row r="4135">
      <c r="A4135" s="6" t="inlineStr">
        <is>
          <t>DJ30</t>
        </is>
      </c>
      <c r="B4135" s="6" t="inlineStr">
        <is>
          <t>2025-07-25</t>
        </is>
      </c>
      <c r="C4135" s="6" t="inlineStr">
        <is>
          <t>DIA</t>
        </is>
      </c>
      <c r="D4135" s="6" t="inlineStr">
        <is>
          <t>GS</t>
        </is>
      </c>
      <c r="E4135" s="6" t="inlineStr">
        <is>
          <t>GS</t>
        </is>
      </c>
      <c r="F4135" s="6" t="inlineStr">
        <is>
          <t>-</t>
        </is>
      </c>
      <c r="G4135" s="7" t="n">
        <v>714.5948486328125</v>
      </c>
      <c r="H4135" s="6">
        <f>P4104</f>
        <v/>
      </c>
      <c r="I4135" s="9">
        <f>Q4104</f>
        <v/>
      </c>
      <c r="J4135" s="7">
        <f>I4135*G4135</f>
        <v/>
      </c>
      <c r="K4135" s="8">
        <f>IF($J$4155=0,0,J4135/$J$4155)</f>
        <v/>
      </c>
      <c r="L4135" s="6" t="inlineStr">
        <is>
          <t>WATCHLIST</t>
        </is>
      </c>
      <c r="M4135" s="8" t="n">
        <v>0</v>
      </c>
      <c r="N4135" s="7">
        <f>M4135*$J$4155-J4135</f>
        <v/>
      </c>
      <c r="O4135" s="9">
        <f>IF(G4135=0,0,N4135/G4135)</f>
        <v/>
      </c>
      <c r="P4135" s="6">
        <f>IF(M4135&gt;0,D4135,"")</f>
        <v/>
      </c>
      <c r="Q4135" s="9">
        <f>I4135+O4135</f>
        <v/>
      </c>
      <c r="R4135" s="7">
        <f>Q4135*G4135</f>
        <v/>
      </c>
      <c r="S4135" s="8">
        <f>IF($R$4155=0,0,R4135/$R$4155)</f>
        <v/>
      </c>
      <c r="T4135" s="8" t="n">
        <v>-0.01317427086239908</v>
      </c>
      <c r="U4135" s="8" t="n">
        <v>0.01299479805649528</v>
      </c>
      <c r="V4135" s="6" t="inlineStr">
        <is>
          <t>not selected</t>
        </is>
      </c>
    </row>
    <row r="4136">
      <c r="A4136" s="6" t="inlineStr">
        <is>
          <t>DJ30</t>
        </is>
      </c>
      <c r="B4136" s="6" t="inlineStr">
        <is>
          <t>2025-07-25</t>
        </is>
      </c>
      <c r="C4136" s="6" t="inlineStr">
        <is>
          <t>DIA</t>
        </is>
      </c>
      <c r="D4136" s="6" t="inlineStr">
        <is>
          <t>HD</t>
        </is>
      </c>
      <c r="E4136" s="6" t="inlineStr">
        <is>
          <t>HD</t>
        </is>
      </c>
      <c r="F4136" s="6" t="inlineStr">
        <is>
          <t>-</t>
        </is>
      </c>
      <c r="G4136" s="7" t="n">
        <v>365.6190795898438</v>
      </c>
      <c r="H4136" s="6">
        <f>P4105</f>
        <v/>
      </c>
      <c r="I4136" s="9">
        <f>Q4105</f>
        <v/>
      </c>
      <c r="J4136" s="7">
        <f>I4136*G4136</f>
        <v/>
      </c>
      <c r="K4136" s="8">
        <f>IF($J$4155=0,0,J4136/$J$4155)</f>
        <v/>
      </c>
      <c r="L4136" s="6" t="inlineStr">
        <is>
          <t>REJECTED</t>
        </is>
      </c>
      <c r="M4136" s="8" t="n">
        <v>0</v>
      </c>
      <c r="N4136" s="7">
        <f>M4136*$J$4155-J4136</f>
        <v/>
      </c>
      <c r="O4136" s="9">
        <f>IF(G4136=0,0,N4136/G4136)</f>
        <v/>
      </c>
      <c r="P4136" s="6">
        <f>IF(M4136&gt;0,D4136,"")</f>
        <v/>
      </c>
      <c r="Q4136" s="9">
        <f>I4136+O4136</f>
        <v/>
      </c>
      <c r="R4136" s="7">
        <f>Q4136*G4136</f>
        <v/>
      </c>
      <c r="S4136" s="8">
        <f>IF($R$4155=0,0,R4136/$R$4155)</f>
        <v/>
      </c>
      <c r="T4136" s="8" t="n">
        <v>-0.01317427086239908</v>
      </c>
      <c r="U4136" s="8" t="n">
        <v>0.01299479805649528</v>
      </c>
      <c r="V4136" s="6" t="inlineStr">
        <is>
          <t>not selected</t>
        </is>
      </c>
    </row>
    <row r="4137">
      <c r="A4137" s="6" t="inlineStr">
        <is>
          <t>DJ30</t>
        </is>
      </c>
      <c r="B4137" s="6" t="inlineStr">
        <is>
          <t>2025-07-25</t>
        </is>
      </c>
      <c r="C4137" s="6" t="inlineStr">
        <is>
          <t>DIA</t>
        </is>
      </c>
      <c r="D4137" s="6" t="inlineStr">
        <is>
          <t>HON</t>
        </is>
      </c>
      <c r="E4137" s="6" t="inlineStr">
        <is>
          <t>HON</t>
        </is>
      </c>
      <c r="F4137" s="6" t="inlineStr">
        <is>
          <t>-</t>
        </is>
      </c>
      <c r="G4137" s="7" t="n">
        <v>206.8322296142578</v>
      </c>
      <c r="H4137" s="6">
        <f>P4106</f>
        <v/>
      </c>
      <c r="I4137" s="9">
        <f>Q4106</f>
        <v/>
      </c>
      <c r="J4137" s="7">
        <f>I4137*G4137</f>
        <v/>
      </c>
      <c r="K4137" s="8">
        <f>IF($J$4155=0,0,J4137/$J$4155)</f>
        <v/>
      </c>
      <c r="L4137" s="6" t="inlineStr">
        <is>
          <t>REJECTED</t>
        </is>
      </c>
      <c r="M4137" s="8" t="n">
        <v>0</v>
      </c>
      <c r="N4137" s="7">
        <f>M4137*$J$4155-J4137</f>
        <v/>
      </c>
      <c r="O4137" s="9">
        <f>IF(G4137=0,0,N4137/G4137)</f>
        <v/>
      </c>
      <c r="P4137" s="6">
        <f>IF(M4137&gt;0,D4137,"")</f>
        <v/>
      </c>
      <c r="Q4137" s="9">
        <f>I4137+O4137</f>
        <v/>
      </c>
      <c r="R4137" s="7">
        <f>Q4137*G4137</f>
        <v/>
      </c>
      <c r="S4137" s="8">
        <f>IF($R$4155=0,0,R4137/$R$4155)</f>
        <v/>
      </c>
      <c r="T4137" s="8" t="n">
        <v>-0.01317427086239908</v>
      </c>
      <c r="U4137" s="8" t="n">
        <v>0.01299479805649528</v>
      </c>
      <c r="V4137" s="6" t="inlineStr">
        <is>
          <t>not selected</t>
        </is>
      </c>
    </row>
    <row r="4138">
      <c r="A4138" s="6" t="inlineStr">
        <is>
          <t>DJ30</t>
        </is>
      </c>
      <c r="B4138" s="6" t="inlineStr">
        <is>
          <t>2025-07-25</t>
        </is>
      </c>
      <c r="C4138" s="6" t="inlineStr">
        <is>
          <t>DIA</t>
        </is>
      </c>
      <c r="D4138" s="6" t="inlineStr">
        <is>
          <t>IBM</t>
        </is>
      </c>
      <c r="E4138" s="6" t="inlineStr">
        <is>
          <t>IBM</t>
        </is>
      </c>
      <c r="F4138" s="6" t="inlineStr">
        <is>
          <t>-</t>
        </is>
      </c>
      <c r="G4138" s="7" t="n">
        <v>253.2428741455078</v>
      </c>
      <c r="H4138" s="6">
        <f>P4107</f>
        <v/>
      </c>
      <c r="I4138" s="9">
        <f>Q4107</f>
        <v/>
      </c>
      <c r="J4138" s="7">
        <f>I4138*G4138</f>
        <v/>
      </c>
      <c r="K4138" s="8">
        <f>IF($J$4155=0,0,J4138/$J$4155)</f>
        <v/>
      </c>
      <c r="L4138" s="6" t="inlineStr">
        <is>
          <t>SELECTED</t>
        </is>
      </c>
      <c r="M4138" s="8" t="n">
        <v>0.2</v>
      </c>
      <c r="N4138" s="7">
        <f>M4138*$J$4155-J4138</f>
        <v/>
      </c>
      <c r="O4138" s="9">
        <f>IF(G4138=0,0,N4138/G4138)</f>
        <v/>
      </c>
      <c r="P4138" s="6">
        <f>IF(M4138&gt;0,D4138,"")</f>
        <v/>
      </c>
      <c r="Q4138" s="9">
        <f>I4138+O4138</f>
        <v/>
      </c>
      <c r="R4138" s="7">
        <f>Q4138*G4138</f>
        <v/>
      </c>
      <c r="S4138" s="8">
        <f>IF($R$4155=0,0,R4138/$R$4155)</f>
        <v/>
      </c>
      <c r="T4138" s="8" t="n">
        <v>-0.01317427086239908</v>
      </c>
      <c r="U4138" s="8" t="n">
        <v>0.01299479805649528</v>
      </c>
      <c r="V4138" s="6" t="inlineStr">
        <is>
          <t>remained in weekly selection</t>
        </is>
      </c>
    </row>
    <row r="4139">
      <c r="A4139" s="6" t="inlineStr">
        <is>
          <t>DJ30</t>
        </is>
      </c>
      <c r="B4139" s="6" t="inlineStr">
        <is>
          <t>2025-07-25</t>
        </is>
      </c>
      <c r="C4139" s="6" t="inlineStr">
        <is>
          <t>DIA</t>
        </is>
      </c>
      <c r="D4139" s="6" t="inlineStr">
        <is>
          <t>JNJ</t>
        </is>
      </c>
      <c r="E4139" s="6" t="inlineStr">
        <is>
          <t>JNJ</t>
        </is>
      </c>
      <c r="F4139" s="6" t="inlineStr">
        <is>
          <t>-</t>
        </is>
      </c>
      <c r="G4139" s="7" t="n">
        <v>164.1973571777344</v>
      </c>
      <c r="H4139" s="6">
        <f>P4108</f>
        <v/>
      </c>
      <c r="I4139" s="9">
        <f>Q4108</f>
        <v/>
      </c>
      <c r="J4139" s="7">
        <f>I4139*G4139</f>
        <v/>
      </c>
      <c r="K4139" s="8">
        <f>IF($J$4155=0,0,J4139/$J$4155)</f>
        <v/>
      </c>
      <c r="L4139" s="6" t="inlineStr">
        <is>
          <t>REJECTED</t>
        </is>
      </c>
      <c r="M4139" s="8" t="n">
        <v>0</v>
      </c>
      <c r="N4139" s="7">
        <f>M4139*$J$4155-J4139</f>
        <v/>
      </c>
      <c r="O4139" s="9">
        <f>IF(G4139=0,0,N4139/G4139)</f>
        <v/>
      </c>
      <c r="P4139" s="6">
        <f>IF(M4139&gt;0,D4139,"")</f>
        <v/>
      </c>
      <c r="Q4139" s="9">
        <f>I4139+O4139</f>
        <v/>
      </c>
      <c r="R4139" s="7">
        <f>Q4139*G4139</f>
        <v/>
      </c>
      <c r="S4139" s="8">
        <f>IF($R$4155=0,0,R4139/$R$4155)</f>
        <v/>
      </c>
      <c r="T4139" s="8" t="n">
        <v>-0.01317427086239908</v>
      </c>
      <c r="U4139" s="8" t="n">
        <v>0.01299479805649528</v>
      </c>
      <c r="V4139" s="6" t="inlineStr">
        <is>
          <t>not selected</t>
        </is>
      </c>
    </row>
    <row r="4140">
      <c r="A4140" s="6" t="inlineStr">
        <is>
          <t>DJ30</t>
        </is>
      </c>
      <c r="B4140" s="6" t="inlineStr">
        <is>
          <t>2025-07-25</t>
        </is>
      </c>
      <c r="C4140" s="6" t="inlineStr">
        <is>
          <t>DIA</t>
        </is>
      </c>
      <c r="D4140" s="6" t="inlineStr">
        <is>
          <t>JPM</t>
        </is>
      </c>
      <c r="E4140" s="6" t="inlineStr">
        <is>
          <t>JPM</t>
        </is>
      </c>
      <c r="F4140" s="6" t="inlineStr">
        <is>
          <t>-</t>
        </is>
      </c>
      <c r="G4140" s="7" t="n">
        <v>294.3344116210937</v>
      </c>
      <c r="H4140" s="6">
        <f>P4109</f>
        <v/>
      </c>
      <c r="I4140" s="9">
        <f>Q4109</f>
        <v/>
      </c>
      <c r="J4140" s="7">
        <f>I4140*G4140</f>
        <v/>
      </c>
      <c r="K4140" s="8">
        <f>IF($J$4155=0,0,J4140/$J$4155)</f>
        <v/>
      </c>
      <c r="L4140" s="6" t="inlineStr">
        <is>
          <t>WATCHLIST</t>
        </is>
      </c>
      <c r="M4140" s="8" t="n">
        <v>0</v>
      </c>
      <c r="N4140" s="7">
        <f>M4140*$J$4155-J4140</f>
        <v/>
      </c>
      <c r="O4140" s="9">
        <f>IF(G4140=0,0,N4140/G4140)</f>
        <v/>
      </c>
      <c r="P4140" s="6">
        <f>IF(M4140&gt;0,D4140,"")</f>
        <v/>
      </c>
      <c r="Q4140" s="9">
        <f>I4140+O4140</f>
        <v/>
      </c>
      <c r="R4140" s="7">
        <f>Q4140*G4140</f>
        <v/>
      </c>
      <c r="S4140" s="8">
        <f>IF($R$4155=0,0,R4140/$R$4155)</f>
        <v/>
      </c>
      <c r="T4140" s="8" t="n">
        <v>-0.01317427086239908</v>
      </c>
      <c r="U4140" s="8" t="n">
        <v>0.01299479805649528</v>
      </c>
      <c r="V4140" s="6" t="inlineStr">
        <is>
          <t>not selected</t>
        </is>
      </c>
    </row>
    <row r="4141">
      <c r="A4141" s="6" t="inlineStr">
        <is>
          <t>DJ30</t>
        </is>
      </c>
      <c r="B4141" s="6" t="inlineStr">
        <is>
          <t>2025-07-25</t>
        </is>
      </c>
      <c r="C4141" s="6" t="inlineStr">
        <is>
          <t>DIA</t>
        </is>
      </c>
      <c r="D4141" s="6" t="inlineStr">
        <is>
          <t>KO</t>
        </is>
      </c>
      <c r="E4141" s="6" t="inlineStr">
        <is>
          <t>KO</t>
        </is>
      </c>
      <c r="F4141" s="6" t="inlineStr">
        <is>
          <t>-</t>
        </is>
      </c>
      <c r="G4141" s="7" t="n">
        <v>67.26499938964844</v>
      </c>
      <c r="H4141" s="6">
        <f>P4110</f>
        <v/>
      </c>
      <c r="I4141" s="9">
        <f>Q4110</f>
        <v/>
      </c>
      <c r="J4141" s="7">
        <f>I4141*G4141</f>
        <v/>
      </c>
      <c r="K4141" s="8">
        <f>IF($J$4155=0,0,J4141/$J$4155)</f>
        <v/>
      </c>
      <c r="L4141" s="6" t="inlineStr">
        <is>
          <t>REJECTED</t>
        </is>
      </c>
      <c r="M4141" s="8" t="n">
        <v>0</v>
      </c>
      <c r="N4141" s="7">
        <f>M4141*$J$4155-J4141</f>
        <v/>
      </c>
      <c r="O4141" s="9">
        <f>IF(G4141=0,0,N4141/G4141)</f>
        <v/>
      </c>
      <c r="P4141" s="6">
        <f>IF(M4141&gt;0,D4141,"")</f>
        <v/>
      </c>
      <c r="Q4141" s="9">
        <f>I4141+O4141</f>
        <v/>
      </c>
      <c r="R4141" s="7">
        <f>Q4141*G4141</f>
        <v/>
      </c>
      <c r="S4141" s="8">
        <f>IF($R$4155=0,0,R4141/$R$4155)</f>
        <v/>
      </c>
      <c r="T4141" s="8" t="n">
        <v>-0.01317427086239908</v>
      </c>
      <c r="U4141" s="8" t="n">
        <v>0.01299479805649528</v>
      </c>
      <c r="V4141" s="6" t="inlineStr">
        <is>
          <t>not selected</t>
        </is>
      </c>
    </row>
    <row r="4142">
      <c r="A4142" s="6" t="inlineStr">
        <is>
          <t>DJ30</t>
        </is>
      </c>
      <c r="B4142" s="6" t="inlineStr">
        <is>
          <t>2025-07-25</t>
        </is>
      </c>
      <c r="C4142" s="6" t="inlineStr">
        <is>
          <t>DIA</t>
        </is>
      </c>
      <c r="D4142" s="6" t="inlineStr">
        <is>
          <t>MCD</t>
        </is>
      </c>
      <c r="E4142" s="6" t="inlineStr">
        <is>
          <t>MCD</t>
        </is>
      </c>
      <c r="F4142" s="6" t="inlineStr">
        <is>
          <t>-</t>
        </is>
      </c>
      <c r="G4142" s="7" t="n">
        <v>291.3995971679688</v>
      </c>
      <c r="H4142" s="6">
        <f>P4111</f>
        <v/>
      </c>
      <c r="I4142" s="9">
        <f>Q4111</f>
        <v/>
      </c>
      <c r="J4142" s="7">
        <f>I4142*G4142</f>
        <v/>
      </c>
      <c r="K4142" s="8">
        <f>IF($J$4155=0,0,J4142/$J$4155)</f>
        <v/>
      </c>
      <c r="L4142" s="6" t="inlineStr">
        <is>
          <t>WATCHLIST</t>
        </is>
      </c>
      <c r="M4142" s="8" t="n">
        <v>0</v>
      </c>
      <c r="N4142" s="7">
        <f>M4142*$J$4155-J4142</f>
        <v/>
      </c>
      <c r="O4142" s="9">
        <f>IF(G4142=0,0,N4142/G4142)</f>
        <v/>
      </c>
      <c r="P4142" s="6">
        <f>IF(M4142&gt;0,D4142,"")</f>
        <v/>
      </c>
      <c r="Q4142" s="9">
        <f>I4142+O4142</f>
        <v/>
      </c>
      <c r="R4142" s="7">
        <f>Q4142*G4142</f>
        <v/>
      </c>
      <c r="S4142" s="8">
        <f>IF($R$4155=0,0,R4142/$R$4155)</f>
        <v/>
      </c>
      <c r="T4142" s="8" t="n">
        <v>-0.01317427086239908</v>
      </c>
      <c r="U4142" s="8" t="n">
        <v>0.01299479805649528</v>
      </c>
      <c r="V4142" s="6" t="inlineStr">
        <is>
          <t>removed from weekly selection</t>
        </is>
      </c>
    </row>
    <row r="4143">
      <c r="A4143" s="6" t="inlineStr">
        <is>
          <t>DJ30</t>
        </is>
      </c>
      <c r="B4143" s="6" t="inlineStr">
        <is>
          <t>2025-07-25</t>
        </is>
      </c>
      <c r="C4143" s="6" t="inlineStr">
        <is>
          <t>DIA</t>
        </is>
      </c>
      <c r="D4143" s="6" t="inlineStr">
        <is>
          <t>MMM</t>
        </is>
      </c>
      <c r="E4143" s="6" t="inlineStr">
        <is>
          <t>MMM</t>
        </is>
      </c>
      <c r="F4143" s="6" t="inlineStr">
        <is>
          <t>-</t>
        </is>
      </c>
      <c r="G4143" s="7" t="n">
        <v>148.4923248291016</v>
      </c>
      <c r="H4143" s="6">
        <f>P4112</f>
        <v/>
      </c>
      <c r="I4143" s="9">
        <f>Q4112</f>
        <v/>
      </c>
      <c r="J4143" s="7">
        <f>I4143*G4143</f>
        <v/>
      </c>
      <c r="K4143" s="8">
        <f>IF($J$4155=0,0,J4143/$J$4155)</f>
        <v/>
      </c>
      <c r="L4143" s="6" t="inlineStr">
        <is>
          <t>WATCHLIST</t>
        </is>
      </c>
      <c r="M4143" s="8" t="n">
        <v>0</v>
      </c>
      <c r="N4143" s="7">
        <f>M4143*$J$4155-J4143</f>
        <v/>
      </c>
      <c r="O4143" s="9">
        <f>IF(G4143=0,0,N4143/G4143)</f>
        <v/>
      </c>
      <c r="P4143" s="6">
        <f>IF(M4143&gt;0,D4143,"")</f>
        <v/>
      </c>
      <c r="Q4143" s="9">
        <f>I4143+O4143</f>
        <v/>
      </c>
      <c r="R4143" s="7">
        <f>Q4143*G4143</f>
        <v/>
      </c>
      <c r="S4143" s="8">
        <f>IF($R$4155=0,0,R4143/$R$4155)</f>
        <v/>
      </c>
      <c r="T4143" s="8" t="n">
        <v>-0.01317427086239908</v>
      </c>
      <c r="U4143" s="8" t="n">
        <v>0.01299479805649528</v>
      </c>
      <c r="V4143" s="6" t="inlineStr">
        <is>
          <t>not selected</t>
        </is>
      </c>
    </row>
    <row r="4144">
      <c r="A4144" s="6" t="inlineStr">
        <is>
          <t>DJ30</t>
        </is>
      </c>
      <c r="B4144" s="6" t="inlineStr">
        <is>
          <t>2025-07-25</t>
        </is>
      </c>
      <c r="C4144" s="6" t="inlineStr">
        <is>
          <t>DIA</t>
        </is>
      </c>
      <c r="D4144" s="6" t="inlineStr">
        <is>
          <t>MRK</t>
        </is>
      </c>
      <c r="E4144" s="6" t="inlineStr">
        <is>
          <t>MRK</t>
        </is>
      </c>
      <c r="F4144" s="6" t="inlineStr">
        <is>
          <t>-</t>
        </is>
      </c>
      <c r="G4144" s="7" t="n">
        <v>81.96959686279297</v>
      </c>
      <c r="H4144" s="6">
        <f>P4113</f>
        <v/>
      </c>
      <c r="I4144" s="9">
        <f>Q4113</f>
        <v/>
      </c>
      <c r="J4144" s="7">
        <f>I4144*G4144</f>
        <v/>
      </c>
      <c r="K4144" s="8">
        <f>IF($J$4155=0,0,J4144/$J$4155)</f>
        <v/>
      </c>
      <c r="L4144" s="6" t="inlineStr">
        <is>
          <t>REJECTED</t>
        </is>
      </c>
      <c r="M4144" s="8" t="n">
        <v>0</v>
      </c>
      <c r="N4144" s="7">
        <f>M4144*$J$4155-J4144</f>
        <v/>
      </c>
      <c r="O4144" s="9">
        <f>IF(G4144=0,0,N4144/G4144)</f>
        <v/>
      </c>
      <c r="P4144" s="6">
        <f>IF(M4144&gt;0,D4144,"")</f>
        <v/>
      </c>
      <c r="Q4144" s="9">
        <f>I4144+O4144</f>
        <v/>
      </c>
      <c r="R4144" s="7">
        <f>Q4144*G4144</f>
        <v/>
      </c>
      <c r="S4144" s="8">
        <f>IF($R$4155=0,0,R4144/$R$4155)</f>
        <v/>
      </c>
      <c r="T4144" s="8" t="n">
        <v>-0.01317427086239908</v>
      </c>
      <c r="U4144" s="8" t="n">
        <v>0.01299479805649528</v>
      </c>
      <c r="V4144" s="6" t="inlineStr">
        <is>
          <t>not selected</t>
        </is>
      </c>
    </row>
    <row r="4145">
      <c r="A4145" s="6" t="inlineStr">
        <is>
          <t>DJ30</t>
        </is>
      </c>
      <c r="B4145" s="6" t="inlineStr">
        <is>
          <t>2025-07-25</t>
        </is>
      </c>
      <c r="C4145" s="6" t="inlineStr">
        <is>
          <t>DIA</t>
        </is>
      </c>
      <c r="D4145" s="6" t="inlineStr">
        <is>
          <t>MSFT</t>
        </is>
      </c>
      <c r="E4145" s="6" t="inlineStr">
        <is>
          <t>MSFT</t>
        </is>
      </c>
      <c r="F4145" s="6" t="inlineStr">
        <is>
          <t>-</t>
        </is>
      </c>
      <c r="G4145" s="7" t="n">
        <v>509.6392517089844</v>
      </c>
      <c r="H4145" s="6">
        <f>P4114</f>
        <v/>
      </c>
      <c r="I4145" s="9">
        <f>Q4114</f>
        <v/>
      </c>
      <c r="J4145" s="7">
        <f>I4145*G4145</f>
        <v/>
      </c>
      <c r="K4145" s="8">
        <f>IF($J$4155=0,0,J4145/$J$4155)</f>
        <v/>
      </c>
      <c r="L4145" s="6" t="inlineStr">
        <is>
          <t>REJECTED</t>
        </is>
      </c>
      <c r="M4145" s="8" t="n">
        <v>0</v>
      </c>
      <c r="N4145" s="7">
        <f>M4145*$J$4155-J4145</f>
        <v/>
      </c>
      <c r="O4145" s="9">
        <f>IF(G4145=0,0,N4145/G4145)</f>
        <v/>
      </c>
      <c r="P4145" s="6">
        <f>IF(M4145&gt;0,D4145,"")</f>
        <v/>
      </c>
      <c r="Q4145" s="9">
        <f>I4145+O4145</f>
        <v/>
      </c>
      <c r="R4145" s="7">
        <f>Q4145*G4145</f>
        <v/>
      </c>
      <c r="S4145" s="8">
        <f>IF($R$4155=0,0,R4145/$R$4155)</f>
        <v/>
      </c>
      <c r="T4145" s="8" t="n">
        <v>-0.01317427086239908</v>
      </c>
      <c r="U4145" s="8" t="n">
        <v>0.01299479805649528</v>
      </c>
      <c r="V4145" s="6" t="inlineStr">
        <is>
          <t>not selected</t>
        </is>
      </c>
    </row>
    <row r="4146">
      <c r="A4146" s="6" t="inlineStr">
        <is>
          <t>DJ30</t>
        </is>
      </c>
      <c r="B4146" s="6" t="inlineStr">
        <is>
          <t>2025-07-25</t>
        </is>
      </c>
      <c r="C4146" s="6" t="inlineStr">
        <is>
          <t>DIA</t>
        </is>
      </c>
      <c r="D4146" s="6" t="inlineStr">
        <is>
          <t>NKE</t>
        </is>
      </c>
      <c r="E4146" s="6" t="inlineStr">
        <is>
          <t>NKE</t>
        </is>
      </c>
      <c r="F4146" s="6" t="inlineStr">
        <is>
          <t>-</t>
        </is>
      </c>
      <c r="G4146" s="7" t="n">
        <v>74.23296356201172</v>
      </c>
      <c r="H4146" s="6">
        <f>P4115</f>
        <v/>
      </c>
      <c r="I4146" s="9">
        <f>Q4115</f>
        <v/>
      </c>
      <c r="J4146" s="7">
        <f>I4146*G4146</f>
        <v/>
      </c>
      <c r="K4146" s="8">
        <f>IF($J$4155=0,0,J4146/$J$4155)</f>
        <v/>
      </c>
      <c r="L4146" s="6" t="inlineStr">
        <is>
          <t>REJECTED</t>
        </is>
      </c>
      <c r="M4146" s="8" t="n">
        <v>0</v>
      </c>
      <c r="N4146" s="7">
        <f>M4146*$J$4155-J4146</f>
        <v/>
      </c>
      <c r="O4146" s="9">
        <f>IF(G4146=0,0,N4146/G4146)</f>
        <v/>
      </c>
      <c r="P4146" s="6">
        <f>IF(M4146&gt;0,D4146,"")</f>
        <v/>
      </c>
      <c r="Q4146" s="9">
        <f>I4146+O4146</f>
        <v/>
      </c>
      <c r="R4146" s="7">
        <f>Q4146*G4146</f>
        <v/>
      </c>
      <c r="S4146" s="8">
        <f>IF($R$4155=0,0,R4146/$R$4155)</f>
        <v/>
      </c>
      <c r="T4146" s="8" t="n">
        <v>-0.01317427086239908</v>
      </c>
      <c r="U4146" s="8" t="n">
        <v>0.01299479805649528</v>
      </c>
      <c r="V4146" s="6" t="inlineStr">
        <is>
          <t>not selected</t>
        </is>
      </c>
    </row>
    <row r="4147">
      <c r="A4147" s="6" t="inlineStr">
        <is>
          <t>DJ30</t>
        </is>
      </c>
      <c r="B4147" s="6" t="inlineStr">
        <is>
          <t>2025-07-25</t>
        </is>
      </c>
      <c r="C4147" s="6" t="inlineStr">
        <is>
          <t>DIA</t>
        </is>
      </c>
      <c r="D4147" s="6" t="inlineStr">
        <is>
          <t>NVDA</t>
        </is>
      </c>
      <c r="E4147" s="6" t="inlineStr">
        <is>
          <t>NVDA</t>
        </is>
      </c>
      <c r="F4147" s="6" t="inlineStr">
        <is>
          <t>-</t>
        </is>
      </c>
      <c r="G4147" s="7" t="n">
        <v>173.2692260742188</v>
      </c>
      <c r="H4147" s="6">
        <f>P4116</f>
        <v/>
      </c>
      <c r="I4147" s="9">
        <f>Q4116</f>
        <v/>
      </c>
      <c r="J4147" s="7">
        <f>I4147*G4147</f>
        <v/>
      </c>
      <c r="K4147" s="8">
        <f>IF($J$4155=0,0,J4147/$J$4155)</f>
        <v/>
      </c>
      <c r="L4147" s="6" t="inlineStr">
        <is>
          <t>REJECTED</t>
        </is>
      </c>
      <c r="M4147" s="8" t="n">
        <v>0</v>
      </c>
      <c r="N4147" s="7">
        <f>M4147*$J$4155-J4147</f>
        <v/>
      </c>
      <c r="O4147" s="9">
        <f>IF(G4147=0,0,N4147/G4147)</f>
        <v/>
      </c>
      <c r="P4147" s="6">
        <f>IF(M4147&gt;0,D4147,"")</f>
        <v/>
      </c>
      <c r="Q4147" s="9">
        <f>I4147+O4147</f>
        <v/>
      </c>
      <c r="R4147" s="7">
        <f>Q4147*G4147</f>
        <v/>
      </c>
      <c r="S4147" s="8">
        <f>IF($R$4155=0,0,R4147/$R$4155)</f>
        <v/>
      </c>
      <c r="T4147" s="8" t="n">
        <v>-0.01317427086239908</v>
      </c>
      <c r="U4147" s="8" t="n">
        <v>0.01299479805649528</v>
      </c>
      <c r="V4147" s="6" t="inlineStr">
        <is>
          <t>not selected</t>
        </is>
      </c>
    </row>
    <row r="4148">
      <c r="A4148" s="6" t="inlineStr">
        <is>
          <t>DJ30</t>
        </is>
      </c>
      <c r="B4148" s="6" t="inlineStr">
        <is>
          <t>2025-07-25</t>
        </is>
      </c>
      <c r="C4148" s="6" t="inlineStr">
        <is>
          <t>DIA</t>
        </is>
      </c>
      <c r="D4148" s="6" t="inlineStr">
        <is>
          <t>PG</t>
        </is>
      </c>
      <c r="E4148" s="6" t="inlineStr">
        <is>
          <t>PG</t>
        </is>
      </c>
      <c r="F4148" s="6" t="inlineStr">
        <is>
          <t>-</t>
        </is>
      </c>
      <c r="G4148" s="7" t="n">
        <v>154.9258575439453</v>
      </c>
      <c r="H4148" s="6">
        <f>P4117</f>
        <v/>
      </c>
      <c r="I4148" s="9">
        <f>Q4117</f>
        <v/>
      </c>
      <c r="J4148" s="7">
        <f>I4148*G4148</f>
        <v/>
      </c>
      <c r="K4148" s="8">
        <f>IF($J$4155=0,0,J4148/$J$4155)</f>
        <v/>
      </c>
      <c r="L4148" s="6" t="inlineStr">
        <is>
          <t>REJECTED</t>
        </is>
      </c>
      <c r="M4148" s="8" t="n">
        <v>0</v>
      </c>
      <c r="N4148" s="7">
        <f>M4148*$J$4155-J4148</f>
        <v/>
      </c>
      <c r="O4148" s="9">
        <f>IF(G4148=0,0,N4148/G4148)</f>
        <v/>
      </c>
      <c r="P4148" s="6">
        <f>IF(M4148&gt;0,D4148,"")</f>
        <v/>
      </c>
      <c r="Q4148" s="9">
        <f>I4148+O4148</f>
        <v/>
      </c>
      <c r="R4148" s="7">
        <f>Q4148*G4148</f>
        <v/>
      </c>
      <c r="S4148" s="8">
        <f>IF($R$4155=0,0,R4148/$R$4155)</f>
        <v/>
      </c>
      <c r="T4148" s="8" t="n">
        <v>-0.01317427086239908</v>
      </c>
      <c r="U4148" s="8" t="n">
        <v>0.01299479805649528</v>
      </c>
      <c r="V4148" s="6" t="inlineStr">
        <is>
          <t>not selected</t>
        </is>
      </c>
    </row>
    <row r="4149">
      <c r="A4149" s="6" t="inlineStr">
        <is>
          <t>DJ30</t>
        </is>
      </c>
      <c r="B4149" s="6" t="inlineStr">
        <is>
          <t>2025-07-25</t>
        </is>
      </c>
      <c r="C4149" s="6" t="inlineStr">
        <is>
          <t>DIA</t>
        </is>
      </c>
      <c r="D4149" s="6" t="inlineStr">
        <is>
          <t>SHW</t>
        </is>
      </c>
      <c r="E4149" s="6" t="inlineStr">
        <is>
          <t>SHW</t>
        </is>
      </c>
      <c r="F4149" s="6" t="inlineStr">
        <is>
          <t>-</t>
        </is>
      </c>
      <c r="G4149" s="7" t="n">
        <v>336.9531555175781</v>
      </c>
      <c r="H4149" s="6">
        <f>P4118</f>
        <v/>
      </c>
      <c r="I4149" s="9">
        <f>Q4118</f>
        <v/>
      </c>
      <c r="J4149" s="7">
        <f>I4149*G4149</f>
        <v/>
      </c>
      <c r="K4149" s="8">
        <f>IF($J$4155=0,0,J4149/$J$4155)</f>
        <v/>
      </c>
      <c r="L4149" s="6" t="inlineStr">
        <is>
          <t>REJECTED</t>
        </is>
      </c>
      <c r="M4149" s="8" t="n">
        <v>0</v>
      </c>
      <c r="N4149" s="7">
        <f>M4149*$J$4155-J4149</f>
        <v/>
      </c>
      <c r="O4149" s="9">
        <f>IF(G4149=0,0,N4149/G4149)</f>
        <v/>
      </c>
      <c r="P4149" s="6">
        <f>IF(M4149&gt;0,D4149,"")</f>
        <v/>
      </c>
      <c r="Q4149" s="9">
        <f>I4149+O4149</f>
        <v/>
      </c>
      <c r="R4149" s="7">
        <f>Q4149*G4149</f>
        <v/>
      </c>
      <c r="S4149" s="8">
        <f>IF($R$4155=0,0,R4149/$R$4155)</f>
        <v/>
      </c>
      <c r="T4149" s="8" t="n">
        <v>-0.01317427086239908</v>
      </c>
      <c r="U4149" s="8" t="n">
        <v>0.01299479805649528</v>
      </c>
      <c r="V4149" s="6" t="inlineStr">
        <is>
          <t>not selected</t>
        </is>
      </c>
    </row>
    <row r="4150">
      <c r="A4150" s="6" t="inlineStr">
        <is>
          <t>DJ30</t>
        </is>
      </c>
      <c r="B4150" s="6" t="inlineStr">
        <is>
          <t>2025-07-25</t>
        </is>
      </c>
      <c r="C4150" s="6" t="inlineStr">
        <is>
          <t>DIA</t>
        </is>
      </c>
      <c r="D4150" s="6" t="inlineStr">
        <is>
          <t>TRV</t>
        </is>
      </c>
      <c r="E4150" s="6" t="inlineStr">
        <is>
          <t>TRV</t>
        </is>
      </c>
      <c r="F4150" s="6" t="inlineStr">
        <is>
          <t>-</t>
        </is>
      </c>
      <c r="G4150" s="7" t="n">
        <v>256.9619140625</v>
      </c>
      <c r="H4150" s="6">
        <f>P4119</f>
        <v/>
      </c>
      <c r="I4150" s="9">
        <f>Q4119</f>
        <v/>
      </c>
      <c r="J4150" s="7">
        <f>I4150*G4150</f>
        <v/>
      </c>
      <c r="K4150" s="8">
        <f>IF($J$4155=0,0,J4150/$J$4155)</f>
        <v/>
      </c>
      <c r="L4150" s="6" t="inlineStr">
        <is>
          <t>WATCHLIST</t>
        </is>
      </c>
      <c r="M4150" s="8" t="n">
        <v>0</v>
      </c>
      <c r="N4150" s="7">
        <f>M4150*$J$4155-J4150</f>
        <v/>
      </c>
      <c r="O4150" s="9">
        <f>IF(G4150=0,0,N4150/G4150)</f>
        <v/>
      </c>
      <c r="P4150" s="6">
        <f>IF(M4150&gt;0,D4150,"")</f>
        <v/>
      </c>
      <c r="Q4150" s="9">
        <f>I4150+O4150</f>
        <v/>
      </c>
      <c r="R4150" s="7">
        <f>Q4150*G4150</f>
        <v/>
      </c>
      <c r="S4150" s="8">
        <f>IF($R$4155=0,0,R4150/$R$4155)</f>
        <v/>
      </c>
      <c r="T4150" s="8" t="n">
        <v>-0.01317427086239908</v>
      </c>
      <c r="U4150" s="8" t="n">
        <v>0.01299479805649528</v>
      </c>
      <c r="V4150" s="6" t="inlineStr">
        <is>
          <t>not selected</t>
        </is>
      </c>
    </row>
    <row r="4151">
      <c r="A4151" s="6" t="inlineStr">
        <is>
          <t>DJ30</t>
        </is>
      </c>
      <c r="B4151" s="6" t="inlineStr">
        <is>
          <t>2025-07-25</t>
        </is>
      </c>
      <c r="C4151" s="6" t="inlineStr">
        <is>
          <t>DIA</t>
        </is>
      </c>
      <c r="D4151" s="6" t="inlineStr">
        <is>
          <t>UNH</t>
        </is>
      </c>
      <c r="E4151" s="6" t="inlineStr">
        <is>
          <t>UNH</t>
        </is>
      </c>
      <c r="F4151" s="6" t="inlineStr">
        <is>
          <t>-</t>
        </is>
      </c>
      <c r="G4151" s="7" t="n">
        <v>273.7290344238281</v>
      </c>
      <c r="H4151" s="6">
        <f>P4120</f>
        <v/>
      </c>
      <c r="I4151" s="9">
        <f>Q4120</f>
        <v/>
      </c>
      <c r="J4151" s="7">
        <f>I4151*G4151</f>
        <v/>
      </c>
      <c r="K4151" s="8">
        <f>IF($J$4155=0,0,J4151/$J$4155)</f>
        <v/>
      </c>
      <c r="L4151" s="6" t="inlineStr">
        <is>
          <t>REJECTED</t>
        </is>
      </c>
      <c r="M4151" s="8" t="n">
        <v>0</v>
      </c>
      <c r="N4151" s="7">
        <f>M4151*$J$4155-J4151</f>
        <v/>
      </c>
      <c r="O4151" s="9">
        <f>IF(G4151=0,0,N4151/G4151)</f>
        <v/>
      </c>
      <c r="P4151" s="6">
        <f>IF(M4151&gt;0,D4151,"")</f>
        <v/>
      </c>
      <c r="Q4151" s="9">
        <f>I4151+O4151</f>
        <v/>
      </c>
      <c r="R4151" s="7">
        <f>Q4151*G4151</f>
        <v/>
      </c>
      <c r="S4151" s="8">
        <f>IF($R$4155=0,0,R4151/$R$4155)</f>
        <v/>
      </c>
      <c r="T4151" s="8" t="n">
        <v>-0.01317427086239908</v>
      </c>
      <c r="U4151" s="8" t="n">
        <v>0.01299479805649528</v>
      </c>
      <c r="V4151" s="6" t="inlineStr">
        <is>
          <t>not selected</t>
        </is>
      </c>
    </row>
    <row r="4152">
      <c r="A4152" s="6" t="inlineStr">
        <is>
          <t>DJ30</t>
        </is>
      </c>
      <c r="B4152" s="6" t="inlineStr">
        <is>
          <t>2025-07-25</t>
        </is>
      </c>
      <c r="C4152" s="6" t="inlineStr">
        <is>
          <t>DIA</t>
        </is>
      </c>
      <c r="D4152" s="6" t="inlineStr">
        <is>
          <t>V</t>
        </is>
      </c>
      <c r="E4152" s="6" t="inlineStr">
        <is>
          <t>V</t>
        </is>
      </c>
      <c r="F4152" s="6" t="inlineStr">
        <is>
          <t>-</t>
        </is>
      </c>
      <c r="G4152" s="7" t="n">
        <v>354.241943359375</v>
      </c>
      <c r="H4152" s="6">
        <f>P4121</f>
        <v/>
      </c>
      <c r="I4152" s="9">
        <f>Q4121</f>
        <v/>
      </c>
      <c r="J4152" s="7">
        <f>I4152*G4152</f>
        <v/>
      </c>
      <c r="K4152" s="8">
        <f>IF($J$4155=0,0,J4152/$J$4155)</f>
        <v/>
      </c>
      <c r="L4152" s="6" t="inlineStr">
        <is>
          <t>SELECTED</t>
        </is>
      </c>
      <c r="M4152" s="8" t="n">
        <v>0.2</v>
      </c>
      <c r="N4152" s="7">
        <f>M4152*$J$4155-J4152</f>
        <v/>
      </c>
      <c r="O4152" s="9">
        <f>IF(G4152=0,0,N4152/G4152)</f>
        <v/>
      </c>
      <c r="P4152" s="6">
        <f>IF(M4152&gt;0,D4152,"")</f>
        <v/>
      </c>
      <c r="Q4152" s="9">
        <f>I4152+O4152</f>
        <v/>
      </c>
      <c r="R4152" s="7">
        <f>Q4152*G4152</f>
        <v/>
      </c>
      <c r="S4152" s="8">
        <f>IF($R$4155=0,0,R4152/$R$4155)</f>
        <v/>
      </c>
      <c r="T4152" s="8" t="n">
        <v>-0.01317427086239908</v>
      </c>
      <c r="U4152" s="8" t="n">
        <v>0.01299479805649528</v>
      </c>
      <c r="V4152" s="6" t="inlineStr">
        <is>
          <t>remained in weekly selection</t>
        </is>
      </c>
    </row>
    <row r="4153">
      <c r="A4153" s="6" t="inlineStr">
        <is>
          <t>DJ30</t>
        </is>
      </c>
      <c r="B4153" s="6" t="inlineStr">
        <is>
          <t>2025-07-25</t>
        </is>
      </c>
      <c r="C4153" s="6" t="inlineStr">
        <is>
          <t>DIA</t>
        </is>
      </c>
      <c r="D4153" s="6" t="inlineStr">
        <is>
          <t>VZ</t>
        </is>
      </c>
      <c r="E4153" s="6" t="inlineStr">
        <is>
          <t>VZ</t>
        </is>
      </c>
      <c r="F4153" s="6" t="inlineStr">
        <is>
          <t>-</t>
        </is>
      </c>
      <c r="G4153" s="7" t="n">
        <v>41.01284790039063</v>
      </c>
      <c r="H4153" s="6">
        <f>P4122</f>
        <v/>
      </c>
      <c r="I4153" s="9">
        <f>Q4122</f>
        <v/>
      </c>
      <c r="J4153" s="7">
        <f>I4153*G4153</f>
        <v/>
      </c>
      <c r="K4153" s="8">
        <f>IF($J$4155=0,0,J4153/$J$4155)</f>
        <v/>
      </c>
      <c r="L4153" s="6" t="inlineStr">
        <is>
          <t>SELECTED</t>
        </is>
      </c>
      <c r="M4153" s="8" t="n">
        <v>0.2</v>
      </c>
      <c r="N4153" s="7">
        <f>M4153*$J$4155-J4153</f>
        <v/>
      </c>
      <c r="O4153" s="9">
        <f>IF(G4153=0,0,N4153/G4153)</f>
        <v/>
      </c>
      <c r="P4153" s="6">
        <f>IF(M4153&gt;0,D4153,"")</f>
        <v/>
      </c>
      <c r="Q4153" s="9">
        <f>I4153+O4153</f>
        <v/>
      </c>
      <c r="R4153" s="7">
        <f>Q4153*G4153</f>
        <v/>
      </c>
      <c r="S4153" s="8">
        <f>IF($R$4155=0,0,R4153/$R$4155)</f>
        <v/>
      </c>
      <c r="T4153" s="8" t="n">
        <v>-0.01317427086239908</v>
      </c>
      <c r="U4153" s="8" t="n">
        <v>0.01299479805649528</v>
      </c>
      <c r="V4153" s="6" t="inlineStr">
        <is>
          <t>entered weekly selection</t>
        </is>
      </c>
    </row>
    <row r="4154">
      <c r="A4154" s="6" t="inlineStr">
        <is>
          <t>DJ30</t>
        </is>
      </c>
      <c r="B4154" s="6" t="inlineStr">
        <is>
          <t>2025-07-25</t>
        </is>
      </c>
      <c r="C4154" s="6" t="inlineStr">
        <is>
          <t>DIA</t>
        </is>
      </c>
      <c r="D4154" s="6" t="inlineStr">
        <is>
          <t>WMT</t>
        </is>
      </c>
      <c r="E4154" s="6" t="inlineStr">
        <is>
          <t>WMT</t>
        </is>
      </c>
      <c r="F4154" s="6" t="inlineStr">
        <is>
          <t>-</t>
        </is>
      </c>
      <c r="G4154" s="7" t="n">
        <v>96.66182708740234</v>
      </c>
      <c r="H4154" s="6">
        <f>P4123</f>
        <v/>
      </c>
      <c r="I4154" s="9">
        <f>Q4123</f>
        <v/>
      </c>
      <c r="J4154" s="7">
        <f>I4154*G4154</f>
        <v/>
      </c>
      <c r="K4154" s="8">
        <f>IF($J$4155=0,0,J4154/$J$4155)</f>
        <v/>
      </c>
      <c r="L4154" s="6" t="inlineStr">
        <is>
          <t>WATCHLIST</t>
        </is>
      </c>
      <c r="M4154" s="8" t="n">
        <v>0</v>
      </c>
      <c r="N4154" s="7">
        <f>M4154*$J$4155-J4154</f>
        <v/>
      </c>
      <c r="O4154" s="9">
        <f>IF(G4154=0,0,N4154/G4154)</f>
        <v/>
      </c>
      <c r="P4154" s="6">
        <f>IF(M4154&gt;0,D4154,"")</f>
        <v/>
      </c>
      <c r="Q4154" s="9">
        <f>I4154+O4154</f>
        <v/>
      </c>
      <c r="R4154" s="7">
        <f>Q4154*G4154</f>
        <v/>
      </c>
      <c r="S4154" s="8">
        <f>IF($R$4155=0,0,R4154/$R$4155)</f>
        <v/>
      </c>
      <c r="T4154" s="8" t="n">
        <v>-0.01317427086239908</v>
      </c>
      <c r="U4154" s="8" t="n">
        <v>0.01299479805649528</v>
      </c>
      <c r="V4154" s="6" t="inlineStr">
        <is>
          <t>not selected</t>
        </is>
      </c>
    </row>
    <row r="4155">
      <c r="A4155" s="10" t="inlineStr">
        <is>
          <t>DJ30</t>
        </is>
      </c>
      <c r="B4155" s="10" t="inlineStr">
        <is>
          <t>2025-07-25</t>
        </is>
      </c>
      <c r="C4155" s="10" t="inlineStr">
        <is>
          <t>DIA</t>
        </is>
      </c>
      <c r="D4155" s="10" t="inlineStr">
        <is>
          <t>Tot Portfolio</t>
        </is>
      </c>
      <c r="E4155" s="10" t="inlineStr"/>
      <c r="F4155" s="10" t="inlineStr"/>
      <c r="G4155" s="11" t="inlineStr"/>
      <c r="H4155" s="10" t="inlineStr"/>
      <c r="I4155" s="12" t="inlineStr"/>
      <c r="J4155" s="11">
        <f>SUM(J4125:J4154)</f>
        <v/>
      </c>
      <c r="K4155" s="13">
        <f>SUM(K4125:K4154)</f>
        <v/>
      </c>
      <c r="L4155" s="10" t="inlineStr">
        <is>
          <t>TOTAL</t>
        </is>
      </c>
      <c r="M4155" s="13">
        <f>SUM(M4125:M4154)</f>
        <v/>
      </c>
      <c r="N4155" s="11">
        <f>SUM(N4125:N4154)</f>
        <v/>
      </c>
      <c r="O4155" s="12">
        <f>SUM(O4125:O4154)</f>
        <v/>
      </c>
      <c r="P4155" s="10" t="inlineStr"/>
      <c r="Q4155" s="12" t="inlineStr"/>
      <c r="R4155" s="11">
        <f>SUM(R4125:R4154)</f>
        <v/>
      </c>
      <c r="S4155" s="13">
        <f>SUM(S4125:S4154)</f>
        <v/>
      </c>
      <c r="T4155" s="13" t="n">
        <v>-0.01317427086239908</v>
      </c>
      <c r="U4155" s="13" t="n">
        <v>0.01299479805649528</v>
      </c>
      <c r="V4155" s="10" t="inlineStr"/>
    </row>
    <row r="4156">
      <c r="A4156" s="6" t="inlineStr">
        <is>
          <t>DJ30</t>
        </is>
      </c>
      <c r="B4156" s="6" t="inlineStr">
        <is>
          <t>2025-08-01</t>
        </is>
      </c>
      <c r="C4156" s="6" t="inlineStr">
        <is>
          <t>DIA</t>
        </is>
      </c>
      <c r="D4156" s="6" t="inlineStr">
        <is>
          <t>AAPL</t>
        </is>
      </c>
      <c r="E4156" s="6" t="inlineStr">
        <is>
          <t>AAPL</t>
        </is>
      </c>
      <c r="F4156" s="6" t="inlineStr">
        <is>
          <t>-</t>
        </is>
      </c>
      <c r="G4156" s="7" t="n">
        <v>201.580307006836</v>
      </c>
      <c r="H4156" s="6">
        <f>P4125</f>
        <v/>
      </c>
      <c r="I4156" s="9">
        <f>Q4125</f>
        <v/>
      </c>
      <c r="J4156" s="7">
        <f>I4156*G4156</f>
        <v/>
      </c>
      <c r="K4156" s="8">
        <f>IF($J$4186=0,0,J4156/$J$4186)</f>
        <v/>
      </c>
      <c r="L4156" s="6" t="inlineStr">
        <is>
          <t>REJECTED</t>
        </is>
      </c>
      <c r="M4156" s="8" t="n">
        <v>0</v>
      </c>
      <c r="N4156" s="7">
        <f>M4156*$J$4186-J4156</f>
        <v/>
      </c>
      <c r="O4156" s="9">
        <f>IF(G4156=0,0,N4156/G4156)</f>
        <v/>
      </c>
      <c r="P4156" s="6">
        <f>IF(M4156&gt;0,D4156,"")</f>
        <v/>
      </c>
      <c r="Q4156" s="9">
        <f>I4156+O4156</f>
        <v/>
      </c>
      <c r="R4156" s="7">
        <f>Q4156*G4156</f>
        <v/>
      </c>
      <c r="S4156" s="8">
        <f>IF($R$4186=0,0,R4156/$R$4186)</f>
        <v/>
      </c>
      <c r="T4156" s="8" t="n">
        <v>-0.01828425990501947</v>
      </c>
      <c r="U4156" s="8" t="n">
        <v>-0.02962016697854775</v>
      </c>
      <c r="V4156" s="6" t="inlineStr">
        <is>
          <t>not selected</t>
        </is>
      </c>
    </row>
    <row r="4157">
      <c r="A4157" s="6" t="inlineStr">
        <is>
          <t>DJ30</t>
        </is>
      </c>
      <c r="B4157" s="6" t="inlineStr">
        <is>
          <t>2025-08-01</t>
        </is>
      </c>
      <c r="C4157" s="6" t="inlineStr">
        <is>
          <t>DIA</t>
        </is>
      </c>
      <c r="D4157" s="6" t="inlineStr">
        <is>
          <t>AMGN</t>
        </is>
      </c>
      <c r="E4157" s="6" t="inlineStr">
        <is>
          <t>AMGN</t>
        </is>
      </c>
      <c r="F4157" s="6" t="inlineStr">
        <is>
          <t>-</t>
        </is>
      </c>
      <c r="G4157" s="7" t="n">
        <v>288.2168273925781</v>
      </c>
      <c r="H4157" s="6">
        <f>P4126</f>
        <v/>
      </c>
      <c r="I4157" s="9">
        <f>Q4126</f>
        <v/>
      </c>
      <c r="J4157" s="7">
        <f>I4157*G4157</f>
        <v/>
      </c>
      <c r="K4157" s="8">
        <f>IF($J$4186=0,0,J4157/$J$4186)</f>
        <v/>
      </c>
      <c r="L4157" s="6" t="inlineStr">
        <is>
          <t>REJECTED</t>
        </is>
      </c>
      <c r="M4157" s="8" t="n">
        <v>0</v>
      </c>
      <c r="N4157" s="7">
        <f>M4157*$J$4186-J4157</f>
        <v/>
      </c>
      <c r="O4157" s="9">
        <f>IF(G4157=0,0,N4157/G4157)</f>
        <v/>
      </c>
      <c r="P4157" s="6">
        <f>IF(M4157&gt;0,D4157,"")</f>
        <v/>
      </c>
      <c r="Q4157" s="9">
        <f>I4157+O4157</f>
        <v/>
      </c>
      <c r="R4157" s="7">
        <f>Q4157*G4157</f>
        <v/>
      </c>
      <c r="S4157" s="8">
        <f>IF($R$4186=0,0,R4157/$R$4186)</f>
        <v/>
      </c>
      <c r="T4157" s="8" t="n">
        <v>-0.01828425990501947</v>
      </c>
      <c r="U4157" s="8" t="n">
        <v>-0.02962016697854775</v>
      </c>
      <c r="V4157" s="6" t="inlineStr">
        <is>
          <t>not selected</t>
        </is>
      </c>
    </row>
    <row r="4158">
      <c r="A4158" s="6" t="inlineStr">
        <is>
          <t>DJ30</t>
        </is>
      </c>
      <c r="B4158" s="6" t="inlineStr">
        <is>
          <t>2025-08-01</t>
        </is>
      </c>
      <c r="C4158" s="6" t="inlineStr">
        <is>
          <t>DIA</t>
        </is>
      </c>
      <c r="D4158" s="6" t="inlineStr">
        <is>
          <t>AMZN</t>
        </is>
      </c>
      <c r="E4158" s="6" t="inlineStr">
        <is>
          <t>AMZN</t>
        </is>
      </c>
      <c r="F4158" s="6" t="inlineStr">
        <is>
          <t>-</t>
        </is>
      </c>
      <c r="G4158" s="7" t="n">
        <v>214.75</v>
      </c>
      <c r="H4158" s="6">
        <f>P4127</f>
        <v/>
      </c>
      <c r="I4158" s="9">
        <f>Q4127</f>
        <v/>
      </c>
      <c r="J4158" s="7">
        <f>I4158*G4158</f>
        <v/>
      </c>
      <c r="K4158" s="8">
        <f>IF($J$4186=0,0,J4158/$J$4186)</f>
        <v/>
      </c>
      <c r="L4158" s="6" t="inlineStr">
        <is>
          <t>REJECTED</t>
        </is>
      </c>
      <c r="M4158" s="8" t="n">
        <v>0</v>
      </c>
      <c r="N4158" s="7">
        <f>M4158*$J$4186-J4158</f>
        <v/>
      </c>
      <c r="O4158" s="9">
        <f>IF(G4158=0,0,N4158/G4158)</f>
        <v/>
      </c>
      <c r="P4158" s="6">
        <f>IF(M4158&gt;0,D4158,"")</f>
        <v/>
      </c>
      <c r="Q4158" s="9">
        <f>I4158+O4158</f>
        <v/>
      </c>
      <c r="R4158" s="7">
        <f>Q4158*G4158</f>
        <v/>
      </c>
      <c r="S4158" s="8">
        <f>IF($R$4186=0,0,R4158/$R$4186)</f>
        <v/>
      </c>
      <c r="T4158" s="8" t="n">
        <v>-0.01828425990501947</v>
      </c>
      <c r="U4158" s="8" t="n">
        <v>-0.02962016697854775</v>
      </c>
      <c r="V4158" s="6" t="inlineStr">
        <is>
          <t>not selected</t>
        </is>
      </c>
    </row>
    <row r="4159">
      <c r="A4159" s="6" t="inlineStr">
        <is>
          <t>DJ30</t>
        </is>
      </c>
      <c r="B4159" s="6" t="inlineStr">
        <is>
          <t>2025-08-01</t>
        </is>
      </c>
      <c r="C4159" s="6" t="inlineStr">
        <is>
          <t>DIA</t>
        </is>
      </c>
      <c r="D4159" s="6" t="inlineStr">
        <is>
          <t>AXP</t>
        </is>
      </c>
      <c r="E4159" s="6" t="inlineStr">
        <is>
          <t>AXP</t>
        </is>
      </c>
      <c r="F4159" s="6" t="inlineStr">
        <is>
          <t>-</t>
        </is>
      </c>
      <c r="G4159" s="7" t="n">
        <v>291.9526672363281</v>
      </c>
      <c r="H4159" s="6">
        <f>P4128</f>
        <v/>
      </c>
      <c r="I4159" s="9">
        <f>Q4128</f>
        <v/>
      </c>
      <c r="J4159" s="7">
        <f>I4159*G4159</f>
        <v/>
      </c>
      <c r="K4159" s="8">
        <f>IF($J$4186=0,0,J4159/$J$4186)</f>
        <v/>
      </c>
      <c r="L4159" s="6" t="inlineStr">
        <is>
          <t>REJECTED</t>
        </is>
      </c>
      <c r="M4159" s="8" t="n">
        <v>0</v>
      </c>
      <c r="N4159" s="7">
        <f>M4159*$J$4186-J4159</f>
        <v/>
      </c>
      <c r="O4159" s="9">
        <f>IF(G4159=0,0,N4159/G4159)</f>
        <v/>
      </c>
      <c r="P4159" s="6">
        <f>IF(M4159&gt;0,D4159,"")</f>
        <v/>
      </c>
      <c r="Q4159" s="9">
        <f>I4159+O4159</f>
        <v/>
      </c>
      <c r="R4159" s="7">
        <f>Q4159*G4159</f>
        <v/>
      </c>
      <c r="S4159" s="8">
        <f>IF($R$4186=0,0,R4159/$R$4186)</f>
        <v/>
      </c>
      <c r="T4159" s="8" t="n">
        <v>-0.01828425990501947</v>
      </c>
      <c r="U4159" s="8" t="n">
        <v>-0.02962016697854775</v>
      </c>
      <c r="V4159" s="6" t="inlineStr">
        <is>
          <t>not selected</t>
        </is>
      </c>
    </row>
    <row r="4160">
      <c r="A4160" s="6" t="inlineStr">
        <is>
          <t>DJ30</t>
        </is>
      </c>
      <c r="B4160" s="6" t="inlineStr">
        <is>
          <t>2025-08-01</t>
        </is>
      </c>
      <c r="C4160" s="6" t="inlineStr">
        <is>
          <t>DIA</t>
        </is>
      </c>
      <c r="D4160" s="6" t="inlineStr">
        <is>
          <t>BA</t>
        </is>
      </c>
      <c r="E4160" s="6" t="inlineStr">
        <is>
          <t>BA</t>
        </is>
      </c>
      <c r="F4160" s="6" t="inlineStr">
        <is>
          <t>-</t>
        </is>
      </c>
      <c r="G4160" s="7" t="n">
        <v>221.8999938964844</v>
      </c>
      <c r="H4160" s="6">
        <f>P4129</f>
        <v/>
      </c>
      <c r="I4160" s="9">
        <f>Q4129</f>
        <v/>
      </c>
      <c r="J4160" s="7">
        <f>I4160*G4160</f>
        <v/>
      </c>
      <c r="K4160" s="8">
        <f>IF($J$4186=0,0,J4160/$J$4186)</f>
        <v/>
      </c>
      <c r="L4160" s="6" t="inlineStr">
        <is>
          <t>WATCHLIST</t>
        </is>
      </c>
      <c r="M4160" s="8" t="n">
        <v>0</v>
      </c>
      <c r="N4160" s="7">
        <f>M4160*$J$4186-J4160</f>
        <v/>
      </c>
      <c r="O4160" s="9">
        <f>IF(G4160=0,0,N4160/G4160)</f>
        <v/>
      </c>
      <c r="P4160" s="6">
        <f>IF(M4160&gt;0,D4160,"")</f>
        <v/>
      </c>
      <c r="Q4160" s="9">
        <f>I4160+O4160</f>
        <v/>
      </c>
      <c r="R4160" s="7">
        <f>Q4160*G4160</f>
        <v/>
      </c>
      <c r="S4160" s="8">
        <f>IF($R$4186=0,0,R4160/$R$4186)</f>
        <v/>
      </c>
      <c r="T4160" s="8" t="n">
        <v>-0.01828425990501947</v>
      </c>
      <c r="U4160" s="8" t="n">
        <v>-0.02962016697854775</v>
      </c>
      <c r="V4160" s="6" t="inlineStr">
        <is>
          <t>not selected</t>
        </is>
      </c>
    </row>
    <row r="4161">
      <c r="A4161" s="6" t="inlineStr">
        <is>
          <t>DJ30</t>
        </is>
      </c>
      <c r="B4161" s="6" t="inlineStr">
        <is>
          <t>2025-08-01</t>
        </is>
      </c>
      <c r="C4161" s="6" t="inlineStr">
        <is>
          <t>DIA</t>
        </is>
      </c>
      <c r="D4161" s="6" t="inlineStr">
        <is>
          <t>CAT</t>
        </is>
      </c>
      <c r="E4161" s="6" t="inlineStr">
        <is>
          <t>CAT</t>
        </is>
      </c>
      <c r="F4161" s="6" t="inlineStr">
        <is>
          <t>-</t>
        </is>
      </c>
      <c r="G4161" s="7" t="n">
        <v>425.6537170410156</v>
      </c>
      <c r="H4161" s="6">
        <f>P4130</f>
        <v/>
      </c>
      <c r="I4161" s="9">
        <f>Q4130</f>
        <v/>
      </c>
      <c r="J4161" s="7">
        <f>I4161*G4161</f>
        <v/>
      </c>
      <c r="K4161" s="8">
        <f>IF($J$4186=0,0,J4161/$J$4186)</f>
        <v/>
      </c>
      <c r="L4161" s="6" t="inlineStr">
        <is>
          <t>REJECTED</t>
        </is>
      </c>
      <c r="M4161" s="8" t="n">
        <v>0</v>
      </c>
      <c r="N4161" s="7">
        <f>M4161*$J$4186-J4161</f>
        <v/>
      </c>
      <c r="O4161" s="9">
        <f>IF(G4161=0,0,N4161/G4161)</f>
        <v/>
      </c>
      <c r="P4161" s="6">
        <f>IF(M4161&gt;0,D4161,"")</f>
        <v/>
      </c>
      <c r="Q4161" s="9">
        <f>I4161+O4161</f>
        <v/>
      </c>
      <c r="R4161" s="7">
        <f>Q4161*G4161</f>
        <v/>
      </c>
      <c r="S4161" s="8">
        <f>IF($R$4186=0,0,R4161/$R$4186)</f>
        <v/>
      </c>
      <c r="T4161" s="8" t="n">
        <v>-0.01828425990501947</v>
      </c>
      <c r="U4161" s="8" t="n">
        <v>-0.02962016697854775</v>
      </c>
      <c r="V4161" s="6" t="inlineStr">
        <is>
          <t>not selected</t>
        </is>
      </c>
    </row>
    <row r="4162">
      <c r="A4162" s="6" t="inlineStr">
        <is>
          <t>DJ30</t>
        </is>
      </c>
      <c r="B4162" s="6" t="inlineStr">
        <is>
          <t>2025-08-01</t>
        </is>
      </c>
      <c r="C4162" s="6" t="inlineStr">
        <is>
          <t>DIA</t>
        </is>
      </c>
      <c r="D4162" s="6" t="inlineStr">
        <is>
          <t>CRM</t>
        </is>
      </c>
      <c r="E4162" s="6" t="inlineStr">
        <is>
          <t>CRM</t>
        </is>
      </c>
      <c r="F4162" s="6" t="inlineStr">
        <is>
          <t>-</t>
        </is>
      </c>
      <c r="G4162" s="7" t="n">
        <v>248.6356201171875</v>
      </c>
      <c r="H4162" s="6">
        <f>P4131</f>
        <v/>
      </c>
      <c r="I4162" s="9">
        <f>Q4131</f>
        <v/>
      </c>
      <c r="J4162" s="7">
        <f>I4162*G4162</f>
        <v/>
      </c>
      <c r="K4162" s="8">
        <f>IF($J$4186=0,0,J4162/$J$4186)</f>
        <v/>
      </c>
      <c r="L4162" s="6" t="inlineStr">
        <is>
          <t>REJECTED</t>
        </is>
      </c>
      <c r="M4162" s="8" t="n">
        <v>0</v>
      </c>
      <c r="N4162" s="7">
        <f>M4162*$J$4186-J4162</f>
        <v/>
      </c>
      <c r="O4162" s="9">
        <f>IF(G4162=0,0,N4162/G4162)</f>
        <v/>
      </c>
      <c r="P4162" s="6">
        <f>IF(M4162&gt;0,D4162,"")</f>
        <v/>
      </c>
      <c r="Q4162" s="9">
        <f>I4162+O4162</f>
        <v/>
      </c>
      <c r="R4162" s="7">
        <f>Q4162*G4162</f>
        <v/>
      </c>
      <c r="S4162" s="8">
        <f>IF($R$4186=0,0,R4162/$R$4186)</f>
        <v/>
      </c>
      <c r="T4162" s="8" t="n">
        <v>-0.01828425990501947</v>
      </c>
      <c r="U4162" s="8" t="n">
        <v>-0.02962016697854775</v>
      </c>
      <c r="V4162" s="6" t="inlineStr">
        <is>
          <t>not selected</t>
        </is>
      </c>
    </row>
    <row r="4163">
      <c r="A4163" s="6" t="inlineStr">
        <is>
          <t>DJ30</t>
        </is>
      </c>
      <c r="B4163" s="6" t="inlineStr">
        <is>
          <t>2025-08-01</t>
        </is>
      </c>
      <c r="C4163" s="6" t="inlineStr">
        <is>
          <t>DIA</t>
        </is>
      </c>
      <c r="D4163" s="6" t="inlineStr">
        <is>
          <t>CSCO</t>
        </is>
      </c>
      <c r="E4163" s="6" t="inlineStr">
        <is>
          <t>CSCO</t>
        </is>
      </c>
      <c r="F4163" s="6" t="inlineStr">
        <is>
          <t>-</t>
        </is>
      </c>
      <c r="G4163" s="7" t="n">
        <v>65.99454498291016</v>
      </c>
      <c r="H4163" s="6">
        <f>P4132</f>
        <v/>
      </c>
      <c r="I4163" s="9">
        <f>Q4132</f>
        <v/>
      </c>
      <c r="J4163" s="7">
        <f>I4163*G4163</f>
        <v/>
      </c>
      <c r="K4163" s="8">
        <f>IF($J$4186=0,0,J4163/$J$4186)</f>
        <v/>
      </c>
      <c r="L4163" s="6" t="inlineStr">
        <is>
          <t>WATCHLIST</t>
        </is>
      </c>
      <c r="M4163" s="8" t="n">
        <v>0</v>
      </c>
      <c r="N4163" s="7">
        <f>M4163*$J$4186-J4163</f>
        <v/>
      </c>
      <c r="O4163" s="9">
        <f>IF(G4163=0,0,N4163/G4163)</f>
        <v/>
      </c>
      <c r="P4163" s="6">
        <f>IF(M4163&gt;0,D4163,"")</f>
        <v/>
      </c>
      <c r="Q4163" s="9">
        <f>I4163+O4163</f>
        <v/>
      </c>
      <c r="R4163" s="7">
        <f>Q4163*G4163</f>
        <v/>
      </c>
      <c r="S4163" s="8">
        <f>IF($R$4186=0,0,R4163/$R$4186)</f>
        <v/>
      </c>
      <c r="T4163" s="8" t="n">
        <v>-0.01828425990501947</v>
      </c>
      <c r="U4163" s="8" t="n">
        <v>-0.02962016697854775</v>
      </c>
      <c r="V4163" s="6" t="inlineStr">
        <is>
          <t>not selected</t>
        </is>
      </c>
    </row>
    <row r="4164">
      <c r="A4164" s="6" t="inlineStr">
        <is>
          <t>DJ30</t>
        </is>
      </c>
      <c r="B4164" s="6" t="inlineStr">
        <is>
          <t>2025-08-01</t>
        </is>
      </c>
      <c r="C4164" s="6" t="inlineStr">
        <is>
          <t>DIA</t>
        </is>
      </c>
      <c r="D4164" s="6" t="inlineStr">
        <is>
          <t>CVX</t>
        </is>
      </c>
      <c r="E4164" s="6" t="inlineStr">
        <is>
          <t>CVX</t>
        </is>
      </c>
      <c r="F4164" s="6" t="inlineStr">
        <is>
          <t>-</t>
        </is>
      </c>
      <c r="G4164" s="7" t="n">
        <v>145.3138275146484</v>
      </c>
      <c r="H4164" s="6">
        <f>P4133</f>
        <v/>
      </c>
      <c r="I4164" s="9">
        <f>Q4133</f>
        <v/>
      </c>
      <c r="J4164" s="7">
        <f>I4164*G4164</f>
        <v/>
      </c>
      <c r="K4164" s="8">
        <f>IF($J$4186=0,0,J4164/$J$4186)</f>
        <v/>
      </c>
      <c r="L4164" s="6" t="inlineStr">
        <is>
          <t>REJECTED</t>
        </is>
      </c>
      <c r="M4164" s="8" t="n">
        <v>0</v>
      </c>
      <c r="N4164" s="7">
        <f>M4164*$J$4186-J4164</f>
        <v/>
      </c>
      <c r="O4164" s="9">
        <f>IF(G4164=0,0,N4164/G4164)</f>
        <v/>
      </c>
      <c r="P4164" s="6">
        <f>IF(M4164&gt;0,D4164,"")</f>
        <v/>
      </c>
      <c r="Q4164" s="9">
        <f>I4164+O4164</f>
        <v/>
      </c>
      <c r="R4164" s="7">
        <f>Q4164*G4164</f>
        <v/>
      </c>
      <c r="S4164" s="8">
        <f>IF($R$4186=0,0,R4164/$R$4186)</f>
        <v/>
      </c>
      <c r="T4164" s="8" t="n">
        <v>-0.01828425990501947</v>
      </c>
      <c r="U4164" s="8" t="n">
        <v>-0.02962016697854775</v>
      </c>
      <c r="V4164" s="6" t="inlineStr">
        <is>
          <t>not selected</t>
        </is>
      </c>
    </row>
    <row r="4165">
      <c r="A4165" s="6" t="inlineStr">
        <is>
          <t>DJ30</t>
        </is>
      </c>
      <c r="B4165" s="6" t="inlineStr">
        <is>
          <t>2025-08-01</t>
        </is>
      </c>
      <c r="C4165" s="6" t="inlineStr">
        <is>
          <t>DIA</t>
        </is>
      </c>
      <c r="D4165" s="6" t="inlineStr">
        <is>
          <t>DIS</t>
        </is>
      </c>
      <c r="E4165" s="6" t="inlineStr">
        <is>
          <t>DIS</t>
        </is>
      </c>
      <c r="F4165" s="6" t="inlineStr">
        <is>
          <t>-</t>
        </is>
      </c>
      <c r="G4165" s="7" t="n">
        <v>115.8064651489258</v>
      </c>
      <c r="H4165" s="6">
        <f>P4134</f>
        <v/>
      </c>
      <c r="I4165" s="9">
        <f>Q4134</f>
        <v/>
      </c>
      <c r="J4165" s="7">
        <f>I4165*G4165</f>
        <v/>
      </c>
      <c r="K4165" s="8">
        <f>IF($J$4186=0,0,J4165/$J$4186)</f>
        <v/>
      </c>
      <c r="L4165" s="6" t="inlineStr">
        <is>
          <t>REJECTED</t>
        </is>
      </c>
      <c r="M4165" s="8" t="n">
        <v>0</v>
      </c>
      <c r="N4165" s="7">
        <f>M4165*$J$4186-J4165</f>
        <v/>
      </c>
      <c r="O4165" s="9">
        <f>IF(G4165=0,0,N4165/G4165)</f>
        <v/>
      </c>
      <c r="P4165" s="6">
        <f>IF(M4165&gt;0,D4165,"")</f>
        <v/>
      </c>
      <c r="Q4165" s="9">
        <f>I4165+O4165</f>
        <v/>
      </c>
      <c r="R4165" s="7">
        <f>Q4165*G4165</f>
        <v/>
      </c>
      <c r="S4165" s="8">
        <f>IF($R$4186=0,0,R4165/$R$4186)</f>
        <v/>
      </c>
      <c r="T4165" s="8" t="n">
        <v>-0.01828425990501947</v>
      </c>
      <c r="U4165" s="8" t="n">
        <v>-0.02962016697854775</v>
      </c>
      <c r="V4165" s="6" t="inlineStr">
        <is>
          <t>not selected</t>
        </is>
      </c>
    </row>
    <row r="4166">
      <c r="A4166" s="6" t="inlineStr">
        <is>
          <t>DJ30</t>
        </is>
      </c>
      <c r="B4166" s="6" t="inlineStr">
        <is>
          <t>2025-08-01</t>
        </is>
      </c>
      <c r="C4166" s="6" t="inlineStr">
        <is>
          <t>DIA</t>
        </is>
      </c>
      <c r="D4166" s="6" t="inlineStr">
        <is>
          <t>GS</t>
        </is>
      </c>
      <c r="E4166" s="6" t="inlineStr">
        <is>
          <t>GS</t>
        </is>
      </c>
      <c r="F4166" s="6" t="inlineStr">
        <is>
          <t>-</t>
        </is>
      </c>
      <c r="G4166" s="7" t="n">
        <v>695.5678100585938</v>
      </c>
      <c r="H4166" s="6">
        <f>P4135</f>
        <v/>
      </c>
      <c r="I4166" s="9">
        <f>Q4135</f>
        <v/>
      </c>
      <c r="J4166" s="7">
        <f>I4166*G4166</f>
        <v/>
      </c>
      <c r="K4166" s="8">
        <f>IF($J$4186=0,0,J4166/$J$4186)</f>
        <v/>
      </c>
      <c r="L4166" s="6" t="inlineStr">
        <is>
          <t>WATCHLIST</t>
        </is>
      </c>
      <c r="M4166" s="8" t="n">
        <v>0</v>
      </c>
      <c r="N4166" s="7">
        <f>M4166*$J$4186-J4166</f>
        <v/>
      </c>
      <c r="O4166" s="9">
        <f>IF(G4166=0,0,N4166/G4166)</f>
        <v/>
      </c>
      <c r="P4166" s="6">
        <f>IF(M4166&gt;0,D4166,"")</f>
        <v/>
      </c>
      <c r="Q4166" s="9">
        <f>I4166+O4166</f>
        <v/>
      </c>
      <c r="R4166" s="7">
        <f>Q4166*G4166</f>
        <v/>
      </c>
      <c r="S4166" s="8">
        <f>IF($R$4186=0,0,R4166/$R$4186)</f>
        <v/>
      </c>
      <c r="T4166" s="8" t="n">
        <v>-0.01828425990501947</v>
      </c>
      <c r="U4166" s="8" t="n">
        <v>-0.02962016697854775</v>
      </c>
      <c r="V4166" s="6" t="inlineStr">
        <is>
          <t>not selected</t>
        </is>
      </c>
    </row>
    <row r="4167">
      <c r="A4167" s="6" t="inlineStr">
        <is>
          <t>DJ30</t>
        </is>
      </c>
      <c r="B4167" s="6" t="inlineStr">
        <is>
          <t>2025-08-01</t>
        </is>
      </c>
      <c r="C4167" s="6" t="inlineStr">
        <is>
          <t>DIA</t>
        </is>
      </c>
      <c r="D4167" s="6" t="inlineStr">
        <is>
          <t>HD</t>
        </is>
      </c>
      <c r="E4167" s="6" t="inlineStr">
        <is>
          <t>HD</t>
        </is>
      </c>
      <c r="F4167" s="6" t="inlineStr">
        <is>
          <t>-</t>
        </is>
      </c>
      <c r="G4167" s="7" t="n">
        <v>363.9826049804688</v>
      </c>
      <c r="H4167" s="6">
        <f>P4136</f>
        <v/>
      </c>
      <c r="I4167" s="9">
        <f>Q4136</f>
        <v/>
      </c>
      <c r="J4167" s="7">
        <f>I4167*G4167</f>
        <v/>
      </c>
      <c r="K4167" s="8">
        <f>IF($J$4186=0,0,J4167/$J$4186)</f>
        <v/>
      </c>
      <c r="L4167" s="6" t="inlineStr">
        <is>
          <t>REJECTED</t>
        </is>
      </c>
      <c r="M4167" s="8" t="n">
        <v>0</v>
      </c>
      <c r="N4167" s="7">
        <f>M4167*$J$4186-J4167</f>
        <v/>
      </c>
      <c r="O4167" s="9">
        <f>IF(G4167=0,0,N4167/G4167)</f>
        <v/>
      </c>
      <c r="P4167" s="6">
        <f>IF(M4167&gt;0,D4167,"")</f>
        <v/>
      </c>
      <c r="Q4167" s="9">
        <f>I4167+O4167</f>
        <v/>
      </c>
      <c r="R4167" s="7">
        <f>Q4167*G4167</f>
        <v/>
      </c>
      <c r="S4167" s="8">
        <f>IF($R$4186=0,0,R4167/$R$4186)</f>
        <v/>
      </c>
      <c r="T4167" s="8" t="n">
        <v>-0.01828425990501947</v>
      </c>
      <c r="U4167" s="8" t="n">
        <v>-0.02962016697854775</v>
      </c>
      <c r="V4167" s="6" t="inlineStr">
        <is>
          <t>not selected</t>
        </is>
      </c>
    </row>
    <row r="4168">
      <c r="A4168" s="6" t="inlineStr">
        <is>
          <t>DJ30</t>
        </is>
      </c>
      <c r="B4168" s="6" t="inlineStr">
        <is>
          <t>2025-08-01</t>
        </is>
      </c>
      <c r="C4168" s="6" t="inlineStr">
        <is>
          <t>DIA</t>
        </is>
      </c>
      <c r="D4168" s="6" t="inlineStr">
        <is>
          <t>HON</t>
        </is>
      </c>
      <c r="E4168" s="6" t="inlineStr">
        <is>
          <t>HON</t>
        </is>
      </c>
      <c r="F4168" s="6" t="inlineStr">
        <is>
          <t>-</t>
        </is>
      </c>
      <c r="G4168" s="7" t="n">
        <v>200.8091430664062</v>
      </c>
      <c r="H4168" s="6">
        <f>P4137</f>
        <v/>
      </c>
      <c r="I4168" s="9">
        <f>Q4137</f>
        <v/>
      </c>
      <c r="J4168" s="7">
        <f>I4168*G4168</f>
        <v/>
      </c>
      <c r="K4168" s="8">
        <f>IF($J$4186=0,0,J4168/$J$4186)</f>
        <v/>
      </c>
      <c r="L4168" s="6" t="inlineStr">
        <is>
          <t>REJECTED</t>
        </is>
      </c>
      <c r="M4168" s="8" t="n">
        <v>0</v>
      </c>
      <c r="N4168" s="7">
        <f>M4168*$J$4186-J4168</f>
        <v/>
      </c>
      <c r="O4168" s="9">
        <f>IF(G4168=0,0,N4168/G4168)</f>
        <v/>
      </c>
      <c r="P4168" s="6">
        <f>IF(M4168&gt;0,D4168,"")</f>
        <v/>
      </c>
      <c r="Q4168" s="9">
        <f>I4168+O4168</f>
        <v/>
      </c>
      <c r="R4168" s="7">
        <f>Q4168*G4168</f>
        <v/>
      </c>
      <c r="S4168" s="8">
        <f>IF($R$4186=0,0,R4168/$R$4186)</f>
        <v/>
      </c>
      <c r="T4168" s="8" t="n">
        <v>-0.01828425990501947</v>
      </c>
      <c r="U4168" s="8" t="n">
        <v>-0.02962016697854775</v>
      </c>
      <c r="V4168" s="6" t="inlineStr">
        <is>
          <t>not selected</t>
        </is>
      </c>
    </row>
    <row r="4169">
      <c r="A4169" s="6" t="inlineStr">
        <is>
          <t>DJ30</t>
        </is>
      </c>
      <c r="B4169" s="6" t="inlineStr">
        <is>
          <t>2025-08-01</t>
        </is>
      </c>
      <c r="C4169" s="6" t="inlineStr">
        <is>
          <t>DIA</t>
        </is>
      </c>
      <c r="D4169" s="6" t="inlineStr">
        <is>
          <t>IBM</t>
        </is>
      </c>
      <c r="E4169" s="6" t="inlineStr">
        <is>
          <t>IBM</t>
        </is>
      </c>
      <c r="F4169" s="6" t="inlineStr">
        <is>
          <t>-</t>
        </is>
      </c>
      <c r="G4169" s="7" t="n">
        <v>243.8140258789062</v>
      </c>
      <c r="H4169" s="6">
        <f>P4138</f>
        <v/>
      </c>
      <c r="I4169" s="9">
        <f>Q4138</f>
        <v/>
      </c>
      <c r="J4169" s="7">
        <f>I4169*G4169</f>
        <v/>
      </c>
      <c r="K4169" s="8">
        <f>IF($J$4186=0,0,J4169/$J$4186)</f>
        <v/>
      </c>
      <c r="L4169" s="6" t="inlineStr">
        <is>
          <t>SELECTED</t>
        </is>
      </c>
      <c r="M4169" s="8" t="n">
        <v>0.2</v>
      </c>
      <c r="N4169" s="7">
        <f>M4169*$J$4186-J4169</f>
        <v/>
      </c>
      <c r="O4169" s="9">
        <f>IF(G4169=0,0,N4169/G4169)</f>
        <v/>
      </c>
      <c r="P4169" s="6">
        <f>IF(M4169&gt;0,D4169,"")</f>
        <v/>
      </c>
      <c r="Q4169" s="9">
        <f>I4169+O4169</f>
        <v/>
      </c>
      <c r="R4169" s="7">
        <f>Q4169*G4169</f>
        <v/>
      </c>
      <c r="S4169" s="8">
        <f>IF($R$4186=0,0,R4169/$R$4186)</f>
        <v/>
      </c>
      <c r="T4169" s="8" t="n">
        <v>-0.01828425990501947</v>
      </c>
      <c r="U4169" s="8" t="n">
        <v>-0.02962016697854775</v>
      </c>
      <c r="V4169" s="6" t="inlineStr">
        <is>
          <t>remained in weekly selection</t>
        </is>
      </c>
    </row>
    <row r="4170">
      <c r="A4170" s="6" t="inlineStr">
        <is>
          <t>DJ30</t>
        </is>
      </c>
      <c r="B4170" s="6" t="inlineStr">
        <is>
          <t>2025-08-01</t>
        </is>
      </c>
      <c r="C4170" s="6" t="inlineStr">
        <is>
          <t>DIA</t>
        </is>
      </c>
      <c r="D4170" s="6" t="inlineStr">
        <is>
          <t>JNJ</t>
        </is>
      </c>
      <c r="E4170" s="6" t="inlineStr">
        <is>
          <t>JNJ</t>
        </is>
      </c>
      <c r="F4170" s="6" t="inlineStr">
        <is>
          <t>-</t>
        </is>
      </c>
      <c r="G4170" s="7" t="n">
        <v>163.2509918212891</v>
      </c>
      <c r="H4170" s="6">
        <f>P4139</f>
        <v/>
      </c>
      <c r="I4170" s="9">
        <f>Q4139</f>
        <v/>
      </c>
      <c r="J4170" s="7">
        <f>I4170*G4170</f>
        <v/>
      </c>
      <c r="K4170" s="8">
        <f>IF($J$4186=0,0,J4170/$J$4186)</f>
        <v/>
      </c>
      <c r="L4170" s="6" t="inlineStr">
        <is>
          <t>REJECTED</t>
        </is>
      </c>
      <c r="M4170" s="8" t="n">
        <v>0</v>
      </c>
      <c r="N4170" s="7">
        <f>M4170*$J$4186-J4170</f>
        <v/>
      </c>
      <c r="O4170" s="9">
        <f>IF(G4170=0,0,N4170/G4170)</f>
        <v/>
      </c>
      <c r="P4170" s="6">
        <f>IF(M4170&gt;0,D4170,"")</f>
        <v/>
      </c>
      <c r="Q4170" s="9">
        <f>I4170+O4170</f>
        <v/>
      </c>
      <c r="R4170" s="7">
        <f>Q4170*G4170</f>
        <v/>
      </c>
      <c r="S4170" s="8">
        <f>IF($R$4186=0,0,R4170/$R$4186)</f>
        <v/>
      </c>
      <c r="T4170" s="8" t="n">
        <v>-0.01828425990501947</v>
      </c>
      <c r="U4170" s="8" t="n">
        <v>-0.02962016697854775</v>
      </c>
      <c r="V4170" s="6" t="inlineStr">
        <is>
          <t>not selected</t>
        </is>
      </c>
    </row>
    <row r="4171">
      <c r="A4171" s="6" t="inlineStr">
        <is>
          <t>DJ30</t>
        </is>
      </c>
      <c r="B4171" s="6" t="inlineStr">
        <is>
          <t>2025-08-01</t>
        </is>
      </c>
      <c r="C4171" s="6" t="inlineStr">
        <is>
          <t>DIA</t>
        </is>
      </c>
      <c r="D4171" s="6" t="inlineStr">
        <is>
          <t>JPM</t>
        </is>
      </c>
      <c r="E4171" s="6" t="inlineStr">
        <is>
          <t>JPM</t>
        </is>
      </c>
      <c r="F4171" s="6" t="inlineStr">
        <is>
          <t>-</t>
        </is>
      </c>
      <c r="G4171" s="7" t="n">
        <v>285.2171936035156</v>
      </c>
      <c r="H4171" s="6">
        <f>P4140</f>
        <v/>
      </c>
      <c r="I4171" s="9">
        <f>Q4140</f>
        <v/>
      </c>
      <c r="J4171" s="7">
        <f>I4171*G4171</f>
        <v/>
      </c>
      <c r="K4171" s="8">
        <f>IF($J$4186=0,0,J4171/$J$4186)</f>
        <v/>
      </c>
      <c r="L4171" s="6" t="inlineStr">
        <is>
          <t>WATCHLIST</t>
        </is>
      </c>
      <c r="M4171" s="8" t="n">
        <v>0</v>
      </c>
      <c r="N4171" s="7">
        <f>M4171*$J$4186-J4171</f>
        <v/>
      </c>
      <c r="O4171" s="9">
        <f>IF(G4171=0,0,N4171/G4171)</f>
        <v/>
      </c>
      <c r="P4171" s="6">
        <f>IF(M4171&gt;0,D4171,"")</f>
        <v/>
      </c>
      <c r="Q4171" s="9">
        <f>I4171+O4171</f>
        <v/>
      </c>
      <c r="R4171" s="7">
        <f>Q4171*G4171</f>
        <v/>
      </c>
      <c r="S4171" s="8">
        <f>IF($R$4186=0,0,R4171/$R$4186)</f>
        <v/>
      </c>
      <c r="T4171" s="8" t="n">
        <v>-0.01828425990501947</v>
      </c>
      <c r="U4171" s="8" t="n">
        <v>-0.02962016697854775</v>
      </c>
      <c r="V4171" s="6" t="inlineStr">
        <is>
          <t>not selected</t>
        </is>
      </c>
    </row>
    <row r="4172">
      <c r="A4172" s="6" t="inlineStr">
        <is>
          <t>DJ30</t>
        </is>
      </c>
      <c r="B4172" s="6" t="inlineStr">
        <is>
          <t>2025-08-01</t>
        </is>
      </c>
      <c r="C4172" s="6" t="inlineStr">
        <is>
          <t>DIA</t>
        </is>
      </c>
      <c r="D4172" s="6" t="inlineStr">
        <is>
          <t>KO</t>
        </is>
      </c>
      <c r="E4172" s="6" t="inlineStr">
        <is>
          <t>KO</t>
        </is>
      </c>
      <c r="F4172" s="6" t="inlineStr">
        <is>
          <t>-</t>
        </is>
      </c>
      <c r="G4172" s="7" t="n">
        <v>66.96354675292969</v>
      </c>
      <c r="H4172" s="6">
        <f>P4141</f>
        <v/>
      </c>
      <c r="I4172" s="9">
        <f>Q4141</f>
        <v/>
      </c>
      <c r="J4172" s="7">
        <f>I4172*G4172</f>
        <v/>
      </c>
      <c r="K4172" s="8">
        <f>IF($J$4186=0,0,J4172/$J$4186)</f>
        <v/>
      </c>
      <c r="L4172" s="6" t="inlineStr">
        <is>
          <t>REJECTED</t>
        </is>
      </c>
      <c r="M4172" s="8" t="n">
        <v>0</v>
      </c>
      <c r="N4172" s="7">
        <f>M4172*$J$4186-J4172</f>
        <v/>
      </c>
      <c r="O4172" s="9">
        <f>IF(G4172=0,0,N4172/G4172)</f>
        <v/>
      </c>
      <c r="P4172" s="6">
        <f>IF(M4172&gt;0,D4172,"")</f>
        <v/>
      </c>
      <c r="Q4172" s="9">
        <f>I4172+O4172</f>
        <v/>
      </c>
      <c r="R4172" s="7">
        <f>Q4172*G4172</f>
        <v/>
      </c>
      <c r="S4172" s="8">
        <f>IF($R$4186=0,0,R4172/$R$4186)</f>
        <v/>
      </c>
      <c r="T4172" s="8" t="n">
        <v>-0.01828425990501947</v>
      </c>
      <c r="U4172" s="8" t="n">
        <v>-0.02962016697854775</v>
      </c>
      <c r="V4172" s="6" t="inlineStr">
        <is>
          <t>not selected</t>
        </is>
      </c>
    </row>
    <row r="4173">
      <c r="A4173" s="6" t="inlineStr">
        <is>
          <t>DJ30</t>
        </is>
      </c>
      <c r="B4173" s="6" t="inlineStr">
        <is>
          <t>2025-08-01</t>
        </is>
      </c>
      <c r="C4173" s="6" t="inlineStr">
        <is>
          <t>DIA</t>
        </is>
      </c>
      <c r="D4173" s="6" t="inlineStr">
        <is>
          <t>MCD</t>
        </is>
      </c>
      <c r="E4173" s="6" t="inlineStr">
        <is>
          <t>MCD</t>
        </is>
      </c>
      <c r="F4173" s="6" t="inlineStr">
        <is>
          <t>-</t>
        </is>
      </c>
      <c r="G4173" s="7" t="n">
        <v>295.71484375</v>
      </c>
      <c r="H4173" s="6">
        <f>P4142</f>
        <v/>
      </c>
      <c r="I4173" s="9">
        <f>Q4142</f>
        <v/>
      </c>
      <c r="J4173" s="7">
        <f>I4173*G4173</f>
        <v/>
      </c>
      <c r="K4173" s="8">
        <f>IF($J$4186=0,0,J4173/$J$4186)</f>
        <v/>
      </c>
      <c r="L4173" s="6" t="inlineStr">
        <is>
          <t>WATCHLIST</t>
        </is>
      </c>
      <c r="M4173" s="8" t="n">
        <v>0</v>
      </c>
      <c r="N4173" s="7">
        <f>M4173*$J$4186-J4173</f>
        <v/>
      </c>
      <c r="O4173" s="9">
        <f>IF(G4173=0,0,N4173/G4173)</f>
        <v/>
      </c>
      <c r="P4173" s="6">
        <f>IF(M4173&gt;0,D4173,"")</f>
        <v/>
      </c>
      <c r="Q4173" s="9">
        <f>I4173+O4173</f>
        <v/>
      </c>
      <c r="R4173" s="7">
        <f>Q4173*G4173</f>
        <v/>
      </c>
      <c r="S4173" s="8">
        <f>IF($R$4186=0,0,R4173/$R$4186)</f>
        <v/>
      </c>
      <c r="T4173" s="8" t="n">
        <v>-0.01828425990501947</v>
      </c>
      <c r="U4173" s="8" t="n">
        <v>-0.02962016697854775</v>
      </c>
      <c r="V4173" s="6" t="inlineStr">
        <is>
          <t>not selected</t>
        </is>
      </c>
    </row>
    <row r="4174">
      <c r="A4174" s="6" t="inlineStr">
        <is>
          <t>DJ30</t>
        </is>
      </c>
      <c r="B4174" s="6" t="inlineStr">
        <is>
          <t>2025-08-01</t>
        </is>
      </c>
      <c r="C4174" s="6" t="inlineStr">
        <is>
          <t>DIA</t>
        </is>
      </c>
      <c r="D4174" s="6" t="inlineStr">
        <is>
          <t>MMM</t>
        </is>
      </c>
      <c r="E4174" s="6" t="inlineStr">
        <is>
          <t>MMM</t>
        </is>
      </c>
      <c r="F4174" s="6" t="inlineStr">
        <is>
          <t>-</t>
        </is>
      </c>
      <c r="G4174" s="7" t="n">
        <v>141.7582855224609</v>
      </c>
      <c r="H4174" s="6">
        <f>P4143</f>
        <v/>
      </c>
      <c r="I4174" s="9">
        <f>Q4143</f>
        <v/>
      </c>
      <c r="J4174" s="7">
        <f>I4174*G4174</f>
        <v/>
      </c>
      <c r="K4174" s="8">
        <f>IF($J$4186=0,0,J4174/$J$4186)</f>
        <v/>
      </c>
      <c r="L4174" s="6" t="inlineStr">
        <is>
          <t>WATCHLIST</t>
        </is>
      </c>
      <c r="M4174" s="8" t="n">
        <v>0</v>
      </c>
      <c r="N4174" s="7">
        <f>M4174*$J$4186-J4174</f>
        <v/>
      </c>
      <c r="O4174" s="9">
        <f>IF(G4174=0,0,N4174/G4174)</f>
        <v/>
      </c>
      <c r="P4174" s="6">
        <f>IF(M4174&gt;0,D4174,"")</f>
        <v/>
      </c>
      <c r="Q4174" s="9">
        <f>I4174+O4174</f>
        <v/>
      </c>
      <c r="R4174" s="7">
        <f>Q4174*G4174</f>
        <v/>
      </c>
      <c r="S4174" s="8">
        <f>IF($R$4186=0,0,R4174/$R$4186)</f>
        <v/>
      </c>
      <c r="T4174" s="8" t="n">
        <v>-0.01828425990501947</v>
      </c>
      <c r="U4174" s="8" t="n">
        <v>-0.02962016697854775</v>
      </c>
      <c r="V4174" s="6" t="inlineStr">
        <is>
          <t>not selected</t>
        </is>
      </c>
    </row>
    <row r="4175">
      <c r="A4175" s="6" t="inlineStr">
        <is>
          <t>DJ30</t>
        </is>
      </c>
      <c r="B4175" s="6" t="inlineStr">
        <is>
          <t>2025-08-01</t>
        </is>
      </c>
      <c r="C4175" s="6" t="inlineStr">
        <is>
          <t>DIA</t>
        </is>
      </c>
      <c r="D4175" s="6" t="inlineStr">
        <is>
          <t>MRK</t>
        </is>
      </c>
      <c r="E4175" s="6" t="inlineStr">
        <is>
          <t>MRK</t>
        </is>
      </c>
      <c r="F4175" s="6" t="inlineStr">
        <is>
          <t>-</t>
        </is>
      </c>
      <c r="G4175" s="7" t="n">
        <v>76.72494506835938</v>
      </c>
      <c r="H4175" s="6">
        <f>P4144</f>
        <v/>
      </c>
      <c r="I4175" s="9">
        <f>Q4144</f>
        <v/>
      </c>
      <c r="J4175" s="7">
        <f>I4175*G4175</f>
        <v/>
      </c>
      <c r="K4175" s="8">
        <f>IF($J$4186=0,0,J4175/$J$4186)</f>
        <v/>
      </c>
      <c r="L4175" s="6" t="inlineStr">
        <is>
          <t>REJECTED</t>
        </is>
      </c>
      <c r="M4175" s="8" t="n">
        <v>0</v>
      </c>
      <c r="N4175" s="7">
        <f>M4175*$J$4186-J4175</f>
        <v/>
      </c>
      <c r="O4175" s="9">
        <f>IF(G4175=0,0,N4175/G4175)</f>
        <v/>
      </c>
      <c r="P4175" s="6">
        <f>IF(M4175&gt;0,D4175,"")</f>
        <v/>
      </c>
      <c r="Q4175" s="9">
        <f>I4175+O4175</f>
        <v/>
      </c>
      <c r="R4175" s="7">
        <f>Q4175*G4175</f>
        <v/>
      </c>
      <c r="S4175" s="8">
        <f>IF($R$4186=0,0,R4175/$R$4186)</f>
        <v/>
      </c>
      <c r="T4175" s="8" t="n">
        <v>-0.01828425990501947</v>
      </c>
      <c r="U4175" s="8" t="n">
        <v>-0.02962016697854775</v>
      </c>
      <c r="V4175" s="6" t="inlineStr">
        <is>
          <t>not selected</t>
        </is>
      </c>
    </row>
    <row r="4176">
      <c r="A4176" s="6" t="inlineStr">
        <is>
          <t>DJ30</t>
        </is>
      </c>
      <c r="B4176" s="6" t="inlineStr">
        <is>
          <t>2025-08-01</t>
        </is>
      </c>
      <c r="C4176" s="6" t="inlineStr">
        <is>
          <t>DIA</t>
        </is>
      </c>
      <c r="D4176" s="6" t="inlineStr">
        <is>
          <t>MSFT</t>
        </is>
      </c>
      <c r="E4176" s="6" t="inlineStr">
        <is>
          <t>MSFT</t>
        </is>
      </c>
      <c r="F4176" s="6" t="inlineStr">
        <is>
          <t>-</t>
        </is>
      </c>
      <c r="G4176" s="7" t="n">
        <v>519.956787109375</v>
      </c>
      <c r="H4176" s="6">
        <f>P4145</f>
        <v/>
      </c>
      <c r="I4176" s="9">
        <f>Q4145</f>
        <v/>
      </c>
      <c r="J4176" s="7">
        <f>I4176*G4176</f>
        <v/>
      </c>
      <c r="K4176" s="8">
        <f>IF($J$4186=0,0,J4176/$J$4186)</f>
        <v/>
      </c>
      <c r="L4176" s="6" t="inlineStr">
        <is>
          <t>REJECTED</t>
        </is>
      </c>
      <c r="M4176" s="8" t="n">
        <v>0</v>
      </c>
      <c r="N4176" s="7">
        <f>M4176*$J$4186-J4176</f>
        <v/>
      </c>
      <c r="O4176" s="9">
        <f>IF(G4176=0,0,N4176/G4176)</f>
        <v/>
      </c>
      <c r="P4176" s="6">
        <f>IF(M4176&gt;0,D4176,"")</f>
        <v/>
      </c>
      <c r="Q4176" s="9">
        <f>I4176+O4176</f>
        <v/>
      </c>
      <c r="R4176" s="7">
        <f>Q4176*G4176</f>
        <v/>
      </c>
      <c r="S4176" s="8">
        <f>IF($R$4186=0,0,R4176/$R$4186)</f>
        <v/>
      </c>
      <c r="T4176" s="8" t="n">
        <v>-0.01828425990501947</v>
      </c>
      <c r="U4176" s="8" t="n">
        <v>-0.02962016697854775</v>
      </c>
      <c r="V4176" s="6" t="inlineStr">
        <is>
          <t>not selected</t>
        </is>
      </c>
    </row>
    <row r="4177">
      <c r="A4177" s="6" t="inlineStr">
        <is>
          <t>DJ30</t>
        </is>
      </c>
      <c r="B4177" s="6" t="inlineStr">
        <is>
          <t>2025-08-01</t>
        </is>
      </c>
      <c r="C4177" s="6" t="inlineStr">
        <is>
          <t>DIA</t>
        </is>
      </c>
      <c r="D4177" s="6" t="inlineStr">
        <is>
          <t>NKE</t>
        </is>
      </c>
      <c r="E4177" s="6" t="inlineStr">
        <is>
          <t>NKE</t>
        </is>
      </c>
      <c r="F4177" s="6" t="inlineStr">
        <is>
          <t>-</t>
        </is>
      </c>
      <c r="G4177" s="7" t="n">
        <v>72.62704467773438</v>
      </c>
      <c r="H4177" s="6">
        <f>P4146</f>
        <v/>
      </c>
      <c r="I4177" s="9">
        <f>Q4146</f>
        <v/>
      </c>
      <c r="J4177" s="7">
        <f>I4177*G4177</f>
        <v/>
      </c>
      <c r="K4177" s="8">
        <f>IF($J$4186=0,0,J4177/$J$4186)</f>
        <v/>
      </c>
      <c r="L4177" s="6" t="inlineStr">
        <is>
          <t>REJECTED</t>
        </is>
      </c>
      <c r="M4177" s="8" t="n">
        <v>0</v>
      </c>
      <c r="N4177" s="7">
        <f>M4177*$J$4186-J4177</f>
        <v/>
      </c>
      <c r="O4177" s="9">
        <f>IF(G4177=0,0,N4177/G4177)</f>
        <v/>
      </c>
      <c r="P4177" s="6">
        <f>IF(M4177&gt;0,D4177,"")</f>
        <v/>
      </c>
      <c r="Q4177" s="9">
        <f>I4177+O4177</f>
        <v/>
      </c>
      <c r="R4177" s="7">
        <f>Q4177*G4177</f>
        <v/>
      </c>
      <c r="S4177" s="8">
        <f>IF($R$4186=0,0,R4177/$R$4186)</f>
        <v/>
      </c>
      <c r="T4177" s="8" t="n">
        <v>-0.01828425990501947</v>
      </c>
      <c r="U4177" s="8" t="n">
        <v>-0.02962016697854775</v>
      </c>
      <c r="V4177" s="6" t="inlineStr">
        <is>
          <t>not selected</t>
        </is>
      </c>
    </row>
    <row r="4178">
      <c r="A4178" s="6" t="inlineStr">
        <is>
          <t>DJ30</t>
        </is>
      </c>
      <c r="B4178" s="6" t="inlineStr">
        <is>
          <t>2025-08-01</t>
        </is>
      </c>
      <c r="C4178" s="6" t="inlineStr">
        <is>
          <t>DIA</t>
        </is>
      </c>
      <c r="D4178" s="6" t="inlineStr">
        <is>
          <t>NVDA</t>
        </is>
      </c>
      <c r="E4178" s="6" t="inlineStr">
        <is>
          <t>NVDA</t>
        </is>
      </c>
      <c r="F4178" s="6" t="inlineStr">
        <is>
          <t>-</t>
        </is>
      </c>
      <c r="G4178" s="7" t="n">
        <v>173.4889373779297</v>
      </c>
      <c r="H4178" s="6">
        <f>P4147</f>
        <v/>
      </c>
      <c r="I4178" s="9">
        <f>Q4147</f>
        <v/>
      </c>
      <c r="J4178" s="7">
        <f>I4178*G4178</f>
        <v/>
      </c>
      <c r="K4178" s="8">
        <f>IF($J$4186=0,0,J4178/$J$4186)</f>
        <v/>
      </c>
      <c r="L4178" s="6" t="inlineStr">
        <is>
          <t>REJECTED</t>
        </is>
      </c>
      <c r="M4178" s="8" t="n">
        <v>0</v>
      </c>
      <c r="N4178" s="7">
        <f>M4178*$J$4186-J4178</f>
        <v/>
      </c>
      <c r="O4178" s="9">
        <f>IF(G4178=0,0,N4178/G4178)</f>
        <v/>
      </c>
      <c r="P4178" s="6">
        <f>IF(M4178&gt;0,D4178,"")</f>
        <v/>
      </c>
      <c r="Q4178" s="9">
        <f>I4178+O4178</f>
        <v/>
      </c>
      <c r="R4178" s="7">
        <f>Q4178*G4178</f>
        <v/>
      </c>
      <c r="S4178" s="8">
        <f>IF($R$4186=0,0,R4178/$R$4186)</f>
        <v/>
      </c>
      <c r="T4178" s="8" t="n">
        <v>-0.01828425990501947</v>
      </c>
      <c r="U4178" s="8" t="n">
        <v>-0.02962016697854775</v>
      </c>
      <c r="V4178" s="6" t="inlineStr">
        <is>
          <t>not selected</t>
        </is>
      </c>
    </row>
    <row r="4179">
      <c r="A4179" s="6" t="inlineStr">
        <is>
          <t>DJ30</t>
        </is>
      </c>
      <c r="B4179" s="6" t="inlineStr">
        <is>
          <t>2025-08-01</t>
        </is>
      </c>
      <c r="C4179" s="6" t="inlineStr">
        <is>
          <t>DIA</t>
        </is>
      </c>
      <c r="D4179" s="6" t="inlineStr">
        <is>
          <t>PG</t>
        </is>
      </c>
      <c r="E4179" s="6" t="inlineStr">
        <is>
          <t>PG</t>
        </is>
      </c>
      <c r="F4179" s="6" t="inlineStr">
        <is>
          <t>-</t>
        </is>
      </c>
      <c r="G4179" s="7" t="n">
        <v>147.4389190673828</v>
      </c>
      <c r="H4179" s="6">
        <f>P4148</f>
        <v/>
      </c>
      <c r="I4179" s="9">
        <f>Q4148</f>
        <v/>
      </c>
      <c r="J4179" s="7">
        <f>I4179*G4179</f>
        <v/>
      </c>
      <c r="K4179" s="8">
        <f>IF($J$4186=0,0,J4179/$J$4186)</f>
        <v/>
      </c>
      <c r="L4179" s="6" t="inlineStr">
        <is>
          <t>REJECTED</t>
        </is>
      </c>
      <c r="M4179" s="8" t="n">
        <v>0</v>
      </c>
      <c r="N4179" s="7">
        <f>M4179*$J$4186-J4179</f>
        <v/>
      </c>
      <c r="O4179" s="9">
        <f>IF(G4179=0,0,N4179/G4179)</f>
        <v/>
      </c>
      <c r="P4179" s="6">
        <f>IF(M4179&gt;0,D4179,"")</f>
        <v/>
      </c>
      <c r="Q4179" s="9">
        <f>I4179+O4179</f>
        <v/>
      </c>
      <c r="R4179" s="7">
        <f>Q4179*G4179</f>
        <v/>
      </c>
      <c r="S4179" s="8">
        <f>IF($R$4186=0,0,R4179/$R$4186)</f>
        <v/>
      </c>
      <c r="T4179" s="8" t="n">
        <v>-0.01828425990501947</v>
      </c>
      <c r="U4179" s="8" t="n">
        <v>-0.02962016697854775</v>
      </c>
      <c r="V4179" s="6" t="inlineStr">
        <is>
          <t>not selected</t>
        </is>
      </c>
    </row>
    <row r="4180">
      <c r="A4180" s="6" t="inlineStr">
        <is>
          <t>DJ30</t>
        </is>
      </c>
      <c r="B4180" s="6" t="inlineStr">
        <is>
          <t>2025-08-01</t>
        </is>
      </c>
      <c r="C4180" s="6" t="inlineStr">
        <is>
          <t>DIA</t>
        </is>
      </c>
      <c r="D4180" s="6" t="inlineStr">
        <is>
          <t>SHW</t>
        </is>
      </c>
      <c r="E4180" s="6" t="inlineStr">
        <is>
          <t>SHW</t>
        </is>
      </c>
      <c r="F4180" s="6" t="inlineStr">
        <is>
          <t>-</t>
        </is>
      </c>
      <c r="G4180" s="7" t="n">
        <v>340.2325134277344</v>
      </c>
      <c r="H4180" s="6">
        <f>P4149</f>
        <v/>
      </c>
      <c r="I4180" s="9">
        <f>Q4149</f>
        <v/>
      </c>
      <c r="J4180" s="7">
        <f>I4180*G4180</f>
        <v/>
      </c>
      <c r="K4180" s="8">
        <f>IF($J$4186=0,0,J4180/$J$4186)</f>
        <v/>
      </c>
      <c r="L4180" s="6" t="inlineStr">
        <is>
          <t>REJECTED</t>
        </is>
      </c>
      <c r="M4180" s="8" t="n">
        <v>0</v>
      </c>
      <c r="N4180" s="7">
        <f>M4180*$J$4186-J4180</f>
        <v/>
      </c>
      <c r="O4180" s="9">
        <f>IF(G4180=0,0,N4180/G4180)</f>
        <v/>
      </c>
      <c r="P4180" s="6">
        <f>IF(M4180&gt;0,D4180,"")</f>
        <v/>
      </c>
      <c r="Q4180" s="9">
        <f>I4180+O4180</f>
        <v/>
      </c>
      <c r="R4180" s="7">
        <f>Q4180*G4180</f>
        <v/>
      </c>
      <c r="S4180" s="8">
        <f>IF($R$4186=0,0,R4180/$R$4186)</f>
        <v/>
      </c>
      <c r="T4180" s="8" t="n">
        <v>-0.01828425990501947</v>
      </c>
      <c r="U4180" s="8" t="n">
        <v>-0.02962016697854775</v>
      </c>
      <c r="V4180" s="6" t="inlineStr">
        <is>
          <t>not selected</t>
        </is>
      </c>
    </row>
    <row r="4181">
      <c r="A4181" s="6" t="inlineStr">
        <is>
          <t>DJ30</t>
        </is>
      </c>
      <c r="B4181" s="6" t="inlineStr">
        <is>
          <t>2025-08-01</t>
        </is>
      </c>
      <c r="C4181" s="6" t="inlineStr">
        <is>
          <t>DIA</t>
        </is>
      </c>
      <c r="D4181" s="6" t="inlineStr">
        <is>
          <t>TRV</t>
        </is>
      </c>
      <c r="E4181" s="6" t="inlineStr">
        <is>
          <t>TRV</t>
        </is>
      </c>
      <c r="F4181" s="6" t="inlineStr">
        <is>
          <t>-</t>
        </is>
      </c>
      <c r="G4181" s="7" t="n">
        <v>254.2746734619141</v>
      </c>
      <c r="H4181" s="6">
        <f>P4150</f>
        <v/>
      </c>
      <c r="I4181" s="9">
        <f>Q4150</f>
        <v/>
      </c>
      <c r="J4181" s="7">
        <f>I4181*G4181</f>
        <v/>
      </c>
      <c r="K4181" s="8">
        <f>IF($J$4186=0,0,J4181/$J$4186)</f>
        <v/>
      </c>
      <c r="L4181" s="6" t="inlineStr">
        <is>
          <t>WATCHLIST</t>
        </is>
      </c>
      <c r="M4181" s="8" t="n">
        <v>0</v>
      </c>
      <c r="N4181" s="7">
        <f>M4181*$J$4186-J4181</f>
        <v/>
      </c>
      <c r="O4181" s="9">
        <f>IF(G4181=0,0,N4181/G4181)</f>
        <v/>
      </c>
      <c r="P4181" s="6">
        <f>IF(M4181&gt;0,D4181,"")</f>
        <v/>
      </c>
      <c r="Q4181" s="9">
        <f>I4181+O4181</f>
        <v/>
      </c>
      <c r="R4181" s="7">
        <f>Q4181*G4181</f>
        <v/>
      </c>
      <c r="S4181" s="8">
        <f>IF($R$4186=0,0,R4181/$R$4186)</f>
        <v/>
      </c>
      <c r="T4181" s="8" t="n">
        <v>-0.01828425990501947</v>
      </c>
      <c r="U4181" s="8" t="n">
        <v>-0.02962016697854775</v>
      </c>
      <c r="V4181" s="6" t="inlineStr">
        <is>
          <t>not selected</t>
        </is>
      </c>
    </row>
    <row r="4182">
      <c r="A4182" s="6" t="inlineStr">
        <is>
          <t>DJ30</t>
        </is>
      </c>
      <c r="B4182" s="6" t="inlineStr">
        <is>
          <t>2025-08-01</t>
        </is>
      </c>
      <c r="C4182" s="6" t="inlineStr">
        <is>
          <t>DIA</t>
        </is>
      </c>
      <c r="D4182" s="6" t="inlineStr">
        <is>
          <t>UNH</t>
        </is>
      </c>
      <c r="E4182" s="6" t="inlineStr">
        <is>
          <t>UNH</t>
        </is>
      </c>
      <c r="F4182" s="6" t="inlineStr">
        <is>
          <t>-</t>
        </is>
      </c>
      <c r="G4182" s="7" t="n">
        <v>231.5681762695312</v>
      </c>
      <c r="H4182" s="6">
        <f>P4151</f>
        <v/>
      </c>
      <c r="I4182" s="9">
        <f>Q4151</f>
        <v/>
      </c>
      <c r="J4182" s="7">
        <f>I4182*G4182</f>
        <v/>
      </c>
      <c r="K4182" s="8">
        <f>IF($J$4186=0,0,J4182/$J$4186)</f>
        <v/>
      </c>
      <c r="L4182" s="6" t="inlineStr">
        <is>
          <t>REJECTED</t>
        </is>
      </c>
      <c r="M4182" s="8" t="n">
        <v>0</v>
      </c>
      <c r="N4182" s="7">
        <f>M4182*$J$4186-J4182</f>
        <v/>
      </c>
      <c r="O4182" s="9">
        <f>IF(G4182=0,0,N4182/G4182)</f>
        <v/>
      </c>
      <c r="P4182" s="6">
        <f>IF(M4182&gt;0,D4182,"")</f>
        <v/>
      </c>
      <c r="Q4182" s="9">
        <f>I4182+O4182</f>
        <v/>
      </c>
      <c r="R4182" s="7">
        <f>Q4182*G4182</f>
        <v/>
      </c>
      <c r="S4182" s="8">
        <f>IF($R$4186=0,0,R4182/$R$4186)</f>
        <v/>
      </c>
      <c r="T4182" s="8" t="n">
        <v>-0.01828425990501947</v>
      </c>
      <c r="U4182" s="8" t="n">
        <v>-0.02962016697854775</v>
      </c>
      <c r="V4182" s="6" t="inlineStr">
        <is>
          <t>not selected</t>
        </is>
      </c>
    </row>
    <row r="4183">
      <c r="A4183" s="6" t="inlineStr">
        <is>
          <t>DJ30</t>
        </is>
      </c>
      <c r="B4183" s="6" t="inlineStr">
        <is>
          <t>2025-08-01</t>
        </is>
      </c>
      <c r="C4183" s="6" t="inlineStr">
        <is>
          <t>DIA</t>
        </is>
      </c>
      <c r="D4183" s="6" t="inlineStr">
        <is>
          <t>V</t>
        </is>
      </c>
      <c r="E4183" s="6" t="inlineStr">
        <is>
          <t>V</t>
        </is>
      </c>
      <c r="F4183" s="6" t="inlineStr">
        <is>
          <t>-</t>
        </is>
      </c>
      <c r="G4183" s="7" t="n">
        <v>336.6905822753906</v>
      </c>
      <c r="H4183" s="6">
        <f>P4152</f>
        <v/>
      </c>
      <c r="I4183" s="9">
        <f>Q4152</f>
        <v/>
      </c>
      <c r="J4183" s="7">
        <f>I4183*G4183</f>
        <v/>
      </c>
      <c r="K4183" s="8">
        <f>IF($J$4186=0,0,J4183/$J$4186)</f>
        <v/>
      </c>
      <c r="L4183" s="6" t="inlineStr">
        <is>
          <t>SELECTED</t>
        </is>
      </c>
      <c r="M4183" s="8" t="n">
        <v>0.2</v>
      </c>
      <c r="N4183" s="7">
        <f>M4183*$J$4186-J4183</f>
        <v/>
      </c>
      <c r="O4183" s="9">
        <f>IF(G4183=0,0,N4183/G4183)</f>
        <v/>
      </c>
      <c r="P4183" s="6">
        <f>IF(M4183&gt;0,D4183,"")</f>
        <v/>
      </c>
      <c r="Q4183" s="9">
        <f>I4183+O4183</f>
        <v/>
      </c>
      <c r="R4183" s="7">
        <f>Q4183*G4183</f>
        <v/>
      </c>
      <c r="S4183" s="8">
        <f>IF($R$4186=0,0,R4183/$R$4186)</f>
        <v/>
      </c>
      <c r="T4183" s="8" t="n">
        <v>-0.01828425990501947</v>
      </c>
      <c r="U4183" s="8" t="n">
        <v>-0.02962016697854775</v>
      </c>
      <c r="V4183" s="6" t="inlineStr">
        <is>
          <t>remained in weekly selection</t>
        </is>
      </c>
    </row>
    <row r="4184">
      <c r="A4184" s="6" t="inlineStr">
        <is>
          <t>DJ30</t>
        </is>
      </c>
      <c r="B4184" s="6" t="inlineStr">
        <is>
          <t>2025-08-01</t>
        </is>
      </c>
      <c r="C4184" s="6" t="inlineStr">
        <is>
          <t>DIA</t>
        </is>
      </c>
      <c r="D4184" s="6" t="inlineStr">
        <is>
          <t>VZ</t>
        </is>
      </c>
      <c r="E4184" s="6" t="inlineStr">
        <is>
          <t>VZ</t>
        </is>
      </c>
      <c r="F4184" s="6" t="inlineStr">
        <is>
          <t>-</t>
        </is>
      </c>
      <c r="G4184" s="7" t="n">
        <v>40.82244110107422</v>
      </c>
      <c r="H4184" s="6">
        <f>P4153</f>
        <v/>
      </c>
      <c r="I4184" s="9">
        <f>Q4153</f>
        <v/>
      </c>
      <c r="J4184" s="7">
        <f>I4184*G4184</f>
        <v/>
      </c>
      <c r="K4184" s="8">
        <f>IF($J$4186=0,0,J4184/$J$4186)</f>
        <v/>
      </c>
      <c r="L4184" s="6" t="inlineStr">
        <is>
          <t>SELECTED</t>
        </is>
      </c>
      <c r="M4184" s="8" t="n">
        <v>0.2</v>
      </c>
      <c r="N4184" s="7">
        <f>M4184*$J$4186-J4184</f>
        <v/>
      </c>
      <c r="O4184" s="9">
        <f>IF(G4184=0,0,N4184/G4184)</f>
        <v/>
      </c>
      <c r="P4184" s="6">
        <f>IF(M4184&gt;0,D4184,"")</f>
        <v/>
      </c>
      <c r="Q4184" s="9">
        <f>I4184+O4184</f>
        <v/>
      </c>
      <c r="R4184" s="7">
        <f>Q4184*G4184</f>
        <v/>
      </c>
      <c r="S4184" s="8">
        <f>IF($R$4186=0,0,R4184/$R$4186)</f>
        <v/>
      </c>
      <c r="T4184" s="8" t="n">
        <v>-0.01828425990501947</v>
      </c>
      <c r="U4184" s="8" t="n">
        <v>-0.02962016697854775</v>
      </c>
      <c r="V4184" s="6" t="inlineStr">
        <is>
          <t>remained in weekly selection</t>
        </is>
      </c>
    </row>
    <row r="4185">
      <c r="A4185" s="6" t="inlineStr">
        <is>
          <t>DJ30</t>
        </is>
      </c>
      <c r="B4185" s="6" t="inlineStr">
        <is>
          <t>2025-08-01</t>
        </is>
      </c>
      <c r="C4185" s="6" t="inlineStr">
        <is>
          <t>DIA</t>
        </is>
      </c>
      <c r="D4185" s="6" t="inlineStr">
        <is>
          <t>WMT</t>
        </is>
      </c>
      <c r="E4185" s="6" t="inlineStr">
        <is>
          <t>WMT</t>
        </is>
      </c>
      <c r="F4185" s="6" t="inlineStr">
        <is>
          <t>-</t>
        </is>
      </c>
      <c r="G4185" s="7" t="n">
        <v>97.67337036132812</v>
      </c>
      <c r="H4185" s="6">
        <f>P4154</f>
        <v/>
      </c>
      <c r="I4185" s="9">
        <f>Q4154</f>
        <v/>
      </c>
      <c r="J4185" s="7">
        <f>I4185*G4185</f>
        <v/>
      </c>
      <c r="K4185" s="8">
        <f>IF($J$4186=0,0,J4185/$J$4186)</f>
        <v/>
      </c>
      <c r="L4185" s="6" t="inlineStr">
        <is>
          <t>WATCHLIST</t>
        </is>
      </c>
      <c r="M4185" s="8" t="n">
        <v>0</v>
      </c>
      <c r="N4185" s="7">
        <f>M4185*$J$4186-J4185</f>
        <v/>
      </c>
      <c r="O4185" s="9">
        <f>IF(G4185=0,0,N4185/G4185)</f>
        <v/>
      </c>
      <c r="P4185" s="6">
        <f>IF(M4185&gt;0,D4185,"")</f>
        <v/>
      </c>
      <c r="Q4185" s="9">
        <f>I4185+O4185</f>
        <v/>
      </c>
      <c r="R4185" s="7">
        <f>Q4185*G4185</f>
        <v/>
      </c>
      <c r="S4185" s="8">
        <f>IF($R$4186=0,0,R4185/$R$4186)</f>
        <v/>
      </c>
      <c r="T4185" s="8" t="n">
        <v>-0.01828425990501947</v>
      </c>
      <c r="U4185" s="8" t="n">
        <v>-0.02962016697854775</v>
      </c>
      <c r="V4185" s="6" t="inlineStr">
        <is>
          <t>not selected</t>
        </is>
      </c>
    </row>
    <row r="4186">
      <c r="A4186" s="10" t="inlineStr">
        <is>
          <t>DJ30</t>
        </is>
      </c>
      <c r="B4186" s="10" t="inlineStr">
        <is>
          <t>2025-08-01</t>
        </is>
      </c>
      <c r="C4186" s="10" t="inlineStr">
        <is>
          <t>DIA</t>
        </is>
      </c>
      <c r="D4186" s="10" t="inlineStr">
        <is>
          <t>Tot Portfolio</t>
        </is>
      </c>
      <c r="E4186" s="10" t="inlineStr"/>
      <c r="F4186" s="10" t="inlineStr"/>
      <c r="G4186" s="11" t="inlineStr"/>
      <c r="H4186" s="10" t="inlineStr"/>
      <c r="I4186" s="12" t="inlineStr"/>
      <c r="J4186" s="11">
        <f>SUM(J4156:J4185)</f>
        <v/>
      </c>
      <c r="K4186" s="13">
        <f>SUM(K4156:K4185)</f>
        <v/>
      </c>
      <c r="L4186" s="10" t="inlineStr">
        <is>
          <t>TOTAL</t>
        </is>
      </c>
      <c r="M4186" s="13">
        <f>SUM(M4156:M4185)</f>
        <v/>
      </c>
      <c r="N4186" s="11">
        <f>SUM(N4156:N4185)</f>
        <v/>
      </c>
      <c r="O4186" s="12">
        <f>SUM(O4156:O4185)</f>
        <v/>
      </c>
      <c r="P4186" s="10" t="inlineStr"/>
      <c r="Q4186" s="12" t="inlineStr"/>
      <c r="R4186" s="11">
        <f>SUM(R4156:R4185)</f>
        <v/>
      </c>
      <c r="S4186" s="13">
        <f>SUM(S4156:S4185)</f>
        <v/>
      </c>
      <c r="T4186" s="13" t="n">
        <v>-0.01828425990501947</v>
      </c>
      <c r="U4186" s="13" t="n">
        <v>-0.02962016697854775</v>
      </c>
      <c r="V4186" s="10" t="inlineStr"/>
    </row>
    <row r="4187">
      <c r="A4187" s="6" t="inlineStr">
        <is>
          <t>DJ30</t>
        </is>
      </c>
      <c r="B4187" s="6" t="inlineStr">
        <is>
          <t>2025-08-08</t>
        </is>
      </c>
      <c r="C4187" s="6" t="inlineStr">
        <is>
          <t>DIA</t>
        </is>
      </c>
      <c r="D4187" s="6" t="inlineStr">
        <is>
          <t>AAPL</t>
        </is>
      </c>
      <c r="E4187" s="6" t="inlineStr">
        <is>
          <t>AAPL</t>
        </is>
      </c>
      <c r="F4187" s="6" t="inlineStr">
        <is>
          <t>-</t>
        </is>
      </c>
      <c r="G4187" s="7" t="n">
        <v>228.4437255859375</v>
      </c>
      <c r="H4187" s="6">
        <f>P4156</f>
        <v/>
      </c>
      <c r="I4187" s="9">
        <f>Q4156</f>
        <v/>
      </c>
      <c r="J4187" s="7">
        <f>I4187*G4187</f>
        <v/>
      </c>
      <c r="K4187" s="8">
        <f>IF($J$4217=0,0,J4187/$J$4217)</f>
        <v/>
      </c>
      <c r="L4187" s="6" t="inlineStr">
        <is>
          <t>REJECTED</t>
        </is>
      </c>
      <c r="M4187" s="8" t="n">
        <v>0</v>
      </c>
      <c r="N4187" s="7">
        <f>M4187*$J$4217-J4187</f>
        <v/>
      </c>
      <c r="O4187" s="9">
        <f>IF(G4187=0,0,N4187/G4187)</f>
        <v/>
      </c>
      <c r="P4187" s="6">
        <f>IF(M4187&gt;0,D4187,"")</f>
        <v/>
      </c>
      <c r="Q4187" s="9">
        <f>I4187+O4187</f>
        <v/>
      </c>
      <c r="R4187" s="7">
        <f>Q4187*G4187</f>
        <v/>
      </c>
      <c r="S4187" s="8">
        <f>IF($R$4217=0,0,R4187/$R$4217)</f>
        <v/>
      </c>
      <c r="T4187" s="8" t="n">
        <v>-0.00516795553249505</v>
      </c>
      <c r="U4187" s="8" t="n">
        <v>0.01422928884757679</v>
      </c>
      <c r="V4187" s="6" t="inlineStr">
        <is>
          <t>not selected</t>
        </is>
      </c>
    </row>
    <row r="4188">
      <c r="A4188" s="6" t="inlineStr">
        <is>
          <t>DJ30</t>
        </is>
      </c>
      <c r="B4188" s="6" t="inlineStr">
        <is>
          <t>2025-08-08</t>
        </is>
      </c>
      <c r="C4188" s="6" t="inlineStr">
        <is>
          <t>DIA</t>
        </is>
      </c>
      <c r="D4188" s="6" t="inlineStr">
        <is>
          <t>AMGN</t>
        </is>
      </c>
      <c r="E4188" s="6" t="inlineStr">
        <is>
          <t>AMGN</t>
        </is>
      </c>
      <c r="F4188" s="6" t="inlineStr">
        <is>
          <t>-</t>
        </is>
      </c>
      <c r="G4188" s="7" t="n">
        <v>279.8192138671875</v>
      </c>
      <c r="H4188" s="6">
        <f>P4157</f>
        <v/>
      </c>
      <c r="I4188" s="9">
        <f>Q4157</f>
        <v/>
      </c>
      <c r="J4188" s="7">
        <f>I4188*G4188</f>
        <v/>
      </c>
      <c r="K4188" s="8">
        <f>IF($J$4217=0,0,J4188/$J$4217)</f>
        <v/>
      </c>
      <c r="L4188" s="6" t="inlineStr">
        <is>
          <t>REJECTED</t>
        </is>
      </c>
      <c r="M4188" s="8" t="n">
        <v>0</v>
      </c>
      <c r="N4188" s="7">
        <f>M4188*$J$4217-J4188</f>
        <v/>
      </c>
      <c r="O4188" s="9">
        <f>IF(G4188=0,0,N4188/G4188)</f>
        <v/>
      </c>
      <c r="P4188" s="6">
        <f>IF(M4188&gt;0,D4188,"")</f>
        <v/>
      </c>
      <c r="Q4188" s="9">
        <f>I4188+O4188</f>
        <v/>
      </c>
      <c r="R4188" s="7">
        <f>Q4188*G4188</f>
        <v/>
      </c>
      <c r="S4188" s="8">
        <f>IF($R$4217=0,0,R4188/$R$4217)</f>
        <v/>
      </c>
      <c r="T4188" s="8" t="n">
        <v>-0.00516795553249505</v>
      </c>
      <c r="U4188" s="8" t="n">
        <v>0.01422928884757679</v>
      </c>
      <c r="V4188" s="6" t="inlineStr">
        <is>
          <t>not selected</t>
        </is>
      </c>
    </row>
    <row r="4189">
      <c r="A4189" s="6" t="inlineStr">
        <is>
          <t>DJ30</t>
        </is>
      </c>
      <c r="B4189" s="6" t="inlineStr">
        <is>
          <t>2025-08-08</t>
        </is>
      </c>
      <c r="C4189" s="6" t="inlineStr">
        <is>
          <t>DIA</t>
        </is>
      </c>
      <c r="D4189" s="6" t="inlineStr">
        <is>
          <t>AMZN</t>
        </is>
      </c>
      <c r="E4189" s="6" t="inlineStr">
        <is>
          <t>AMZN</t>
        </is>
      </c>
      <c r="F4189" s="6" t="inlineStr">
        <is>
          <t>-</t>
        </is>
      </c>
      <c r="G4189" s="7" t="n">
        <v>222.6900024414062</v>
      </c>
      <c r="H4189" s="6">
        <f>P4158</f>
        <v/>
      </c>
      <c r="I4189" s="9">
        <f>Q4158</f>
        <v/>
      </c>
      <c r="J4189" s="7">
        <f>I4189*G4189</f>
        <v/>
      </c>
      <c r="K4189" s="8">
        <f>IF($J$4217=0,0,J4189/$J$4217)</f>
        <v/>
      </c>
      <c r="L4189" s="6" t="inlineStr">
        <is>
          <t>REJECTED</t>
        </is>
      </c>
      <c r="M4189" s="8" t="n">
        <v>0</v>
      </c>
      <c r="N4189" s="7">
        <f>M4189*$J$4217-J4189</f>
        <v/>
      </c>
      <c r="O4189" s="9">
        <f>IF(G4189=0,0,N4189/G4189)</f>
        <v/>
      </c>
      <c r="P4189" s="6">
        <f>IF(M4189&gt;0,D4189,"")</f>
        <v/>
      </c>
      <c r="Q4189" s="9">
        <f>I4189+O4189</f>
        <v/>
      </c>
      <c r="R4189" s="7">
        <f>Q4189*G4189</f>
        <v/>
      </c>
      <c r="S4189" s="8">
        <f>IF($R$4217=0,0,R4189/$R$4217)</f>
        <v/>
      </c>
      <c r="T4189" s="8" t="n">
        <v>-0.00516795553249505</v>
      </c>
      <c r="U4189" s="8" t="n">
        <v>0.01422928884757679</v>
      </c>
      <c r="V4189" s="6" t="inlineStr">
        <is>
          <t>not selected</t>
        </is>
      </c>
    </row>
    <row r="4190">
      <c r="A4190" s="6" t="inlineStr">
        <is>
          <t>DJ30</t>
        </is>
      </c>
      <c r="B4190" s="6" t="inlineStr">
        <is>
          <t>2025-08-08</t>
        </is>
      </c>
      <c r="C4190" s="6" t="inlineStr">
        <is>
          <t>DIA</t>
        </is>
      </c>
      <c r="D4190" s="6" t="inlineStr">
        <is>
          <t>AXP</t>
        </is>
      </c>
      <c r="E4190" s="6" t="inlineStr">
        <is>
          <t>AXP</t>
        </is>
      </c>
      <c r="F4190" s="6" t="inlineStr">
        <is>
          <t>-</t>
        </is>
      </c>
      <c r="G4190" s="7" t="n">
        <v>295.0877685546875</v>
      </c>
      <c r="H4190" s="6">
        <f>P4159</f>
        <v/>
      </c>
      <c r="I4190" s="9">
        <f>Q4159</f>
        <v/>
      </c>
      <c r="J4190" s="7">
        <f>I4190*G4190</f>
        <v/>
      </c>
      <c r="K4190" s="8">
        <f>IF($J$4217=0,0,J4190/$J$4217)</f>
        <v/>
      </c>
      <c r="L4190" s="6" t="inlineStr">
        <is>
          <t>REJECTED</t>
        </is>
      </c>
      <c r="M4190" s="8" t="n">
        <v>0</v>
      </c>
      <c r="N4190" s="7">
        <f>M4190*$J$4217-J4190</f>
        <v/>
      </c>
      <c r="O4190" s="9">
        <f>IF(G4190=0,0,N4190/G4190)</f>
        <v/>
      </c>
      <c r="P4190" s="6">
        <f>IF(M4190&gt;0,D4190,"")</f>
        <v/>
      </c>
      <c r="Q4190" s="9">
        <f>I4190+O4190</f>
        <v/>
      </c>
      <c r="R4190" s="7">
        <f>Q4190*G4190</f>
        <v/>
      </c>
      <c r="S4190" s="8">
        <f>IF($R$4217=0,0,R4190/$R$4217)</f>
        <v/>
      </c>
      <c r="T4190" s="8" t="n">
        <v>-0.00516795553249505</v>
      </c>
      <c r="U4190" s="8" t="n">
        <v>0.01422928884757679</v>
      </c>
      <c r="V4190" s="6" t="inlineStr">
        <is>
          <t>not selected</t>
        </is>
      </c>
    </row>
    <row r="4191">
      <c r="A4191" s="6" t="inlineStr">
        <is>
          <t>DJ30</t>
        </is>
      </c>
      <c r="B4191" s="6" t="inlineStr">
        <is>
          <t>2025-08-08</t>
        </is>
      </c>
      <c r="C4191" s="6" t="inlineStr">
        <is>
          <t>DIA</t>
        </is>
      </c>
      <c r="D4191" s="6" t="inlineStr">
        <is>
          <t>BA</t>
        </is>
      </c>
      <c r="E4191" s="6" t="inlineStr">
        <is>
          <t>BA</t>
        </is>
      </c>
      <c r="F4191" s="6" t="inlineStr">
        <is>
          <t>-</t>
        </is>
      </c>
      <c r="G4191" s="7" t="n">
        <v>229.1199951171875</v>
      </c>
      <c r="H4191" s="6">
        <f>P4160</f>
        <v/>
      </c>
      <c r="I4191" s="9">
        <f>Q4160</f>
        <v/>
      </c>
      <c r="J4191" s="7">
        <f>I4191*G4191</f>
        <v/>
      </c>
      <c r="K4191" s="8">
        <f>IF($J$4217=0,0,J4191/$J$4217)</f>
        <v/>
      </c>
      <c r="L4191" s="6" t="inlineStr">
        <is>
          <t>WATCHLIST</t>
        </is>
      </c>
      <c r="M4191" s="8" t="n">
        <v>0</v>
      </c>
      <c r="N4191" s="7">
        <f>M4191*$J$4217-J4191</f>
        <v/>
      </c>
      <c r="O4191" s="9">
        <f>IF(G4191=0,0,N4191/G4191)</f>
        <v/>
      </c>
      <c r="P4191" s="6">
        <f>IF(M4191&gt;0,D4191,"")</f>
        <v/>
      </c>
      <c r="Q4191" s="9">
        <f>I4191+O4191</f>
        <v/>
      </c>
      <c r="R4191" s="7">
        <f>Q4191*G4191</f>
        <v/>
      </c>
      <c r="S4191" s="8">
        <f>IF($R$4217=0,0,R4191/$R$4217)</f>
        <v/>
      </c>
      <c r="T4191" s="8" t="n">
        <v>-0.00516795553249505</v>
      </c>
      <c r="U4191" s="8" t="n">
        <v>0.01422928884757679</v>
      </c>
      <c r="V4191" s="6" t="inlineStr">
        <is>
          <t>not selected</t>
        </is>
      </c>
    </row>
    <row r="4192">
      <c r="A4192" s="6" t="inlineStr">
        <is>
          <t>DJ30</t>
        </is>
      </c>
      <c r="B4192" s="6" t="inlineStr">
        <is>
          <t>2025-08-08</t>
        </is>
      </c>
      <c r="C4192" s="6" t="inlineStr">
        <is>
          <t>DIA</t>
        </is>
      </c>
      <c r="D4192" s="6" t="inlineStr">
        <is>
          <t>CAT</t>
        </is>
      </c>
      <c r="E4192" s="6" t="inlineStr">
        <is>
          <t>CAT</t>
        </is>
      </c>
      <c r="F4192" s="6" t="inlineStr">
        <is>
          <t>-</t>
        </is>
      </c>
      <c r="G4192" s="7" t="n">
        <v>413.5698852539063</v>
      </c>
      <c r="H4192" s="6">
        <f>P4161</f>
        <v/>
      </c>
      <c r="I4192" s="9">
        <f>Q4161</f>
        <v/>
      </c>
      <c r="J4192" s="7">
        <f>I4192*G4192</f>
        <v/>
      </c>
      <c r="K4192" s="8">
        <f>IF($J$4217=0,0,J4192/$J$4217)</f>
        <v/>
      </c>
      <c r="L4192" s="6" t="inlineStr">
        <is>
          <t>REJECTED</t>
        </is>
      </c>
      <c r="M4192" s="8" t="n">
        <v>0</v>
      </c>
      <c r="N4192" s="7">
        <f>M4192*$J$4217-J4192</f>
        <v/>
      </c>
      <c r="O4192" s="9">
        <f>IF(G4192=0,0,N4192/G4192)</f>
        <v/>
      </c>
      <c r="P4192" s="6">
        <f>IF(M4192&gt;0,D4192,"")</f>
        <v/>
      </c>
      <c r="Q4192" s="9">
        <f>I4192+O4192</f>
        <v/>
      </c>
      <c r="R4192" s="7">
        <f>Q4192*G4192</f>
        <v/>
      </c>
      <c r="S4192" s="8">
        <f>IF($R$4217=0,0,R4192/$R$4217)</f>
        <v/>
      </c>
      <c r="T4192" s="8" t="n">
        <v>-0.00516795553249505</v>
      </c>
      <c r="U4192" s="8" t="n">
        <v>0.01422928884757679</v>
      </c>
      <c r="V4192" s="6" t="inlineStr">
        <is>
          <t>not selected</t>
        </is>
      </c>
    </row>
    <row r="4193">
      <c r="A4193" s="6" t="inlineStr">
        <is>
          <t>DJ30</t>
        </is>
      </c>
      <c r="B4193" s="6" t="inlineStr">
        <is>
          <t>2025-08-08</t>
        </is>
      </c>
      <c r="C4193" s="6" t="inlineStr">
        <is>
          <t>DIA</t>
        </is>
      </c>
      <c r="D4193" s="6" t="inlineStr">
        <is>
          <t>CRM</t>
        </is>
      </c>
      <c r="E4193" s="6" t="inlineStr">
        <is>
          <t>CRM</t>
        </is>
      </c>
      <c r="F4193" s="6" t="inlineStr">
        <is>
          <t>-</t>
        </is>
      </c>
      <c r="G4193" s="7" t="n">
        <v>238.491455078125</v>
      </c>
      <c r="H4193" s="6">
        <f>P4162</f>
        <v/>
      </c>
      <c r="I4193" s="9">
        <f>Q4162</f>
        <v/>
      </c>
      <c r="J4193" s="7">
        <f>I4193*G4193</f>
        <v/>
      </c>
      <c r="K4193" s="8">
        <f>IF($J$4217=0,0,J4193/$J$4217)</f>
        <v/>
      </c>
      <c r="L4193" s="6" t="inlineStr">
        <is>
          <t>REJECTED</t>
        </is>
      </c>
      <c r="M4193" s="8" t="n">
        <v>0</v>
      </c>
      <c r="N4193" s="7">
        <f>M4193*$J$4217-J4193</f>
        <v/>
      </c>
      <c r="O4193" s="9">
        <f>IF(G4193=0,0,N4193/G4193)</f>
        <v/>
      </c>
      <c r="P4193" s="6">
        <f>IF(M4193&gt;0,D4193,"")</f>
        <v/>
      </c>
      <c r="Q4193" s="9">
        <f>I4193+O4193</f>
        <v/>
      </c>
      <c r="R4193" s="7">
        <f>Q4193*G4193</f>
        <v/>
      </c>
      <c r="S4193" s="8">
        <f>IF($R$4217=0,0,R4193/$R$4217)</f>
        <v/>
      </c>
      <c r="T4193" s="8" t="n">
        <v>-0.00516795553249505</v>
      </c>
      <c r="U4193" s="8" t="n">
        <v>0.01422928884757679</v>
      </c>
      <c r="V4193" s="6" t="inlineStr">
        <is>
          <t>not selected</t>
        </is>
      </c>
    </row>
    <row r="4194">
      <c r="A4194" s="6" t="inlineStr">
        <is>
          <t>DJ30</t>
        </is>
      </c>
      <c r="B4194" s="6" t="inlineStr">
        <is>
          <t>2025-08-08</t>
        </is>
      </c>
      <c r="C4194" s="6" t="inlineStr">
        <is>
          <t>DIA</t>
        </is>
      </c>
      <c r="D4194" s="6" t="inlineStr">
        <is>
          <t>CSCO</t>
        </is>
      </c>
      <c r="E4194" s="6" t="inlineStr">
        <is>
          <t>CSCO</t>
        </is>
      </c>
      <c r="F4194" s="6" t="inlineStr">
        <is>
          <t>-</t>
        </is>
      </c>
      <c r="G4194" s="7" t="n">
        <v>70.59675598144531</v>
      </c>
      <c r="H4194" s="6">
        <f>P4163</f>
        <v/>
      </c>
      <c r="I4194" s="9">
        <f>Q4163</f>
        <v/>
      </c>
      <c r="J4194" s="7">
        <f>I4194*G4194</f>
        <v/>
      </c>
      <c r="K4194" s="8">
        <f>IF($J$4217=0,0,J4194/$J$4217)</f>
        <v/>
      </c>
      <c r="L4194" s="6" t="inlineStr">
        <is>
          <t>WATCHLIST</t>
        </is>
      </c>
      <c r="M4194" s="8" t="n">
        <v>0</v>
      </c>
      <c r="N4194" s="7">
        <f>M4194*$J$4217-J4194</f>
        <v/>
      </c>
      <c r="O4194" s="9">
        <f>IF(G4194=0,0,N4194/G4194)</f>
        <v/>
      </c>
      <c r="P4194" s="6">
        <f>IF(M4194&gt;0,D4194,"")</f>
        <v/>
      </c>
      <c r="Q4194" s="9">
        <f>I4194+O4194</f>
        <v/>
      </c>
      <c r="R4194" s="7">
        <f>Q4194*G4194</f>
        <v/>
      </c>
      <c r="S4194" s="8">
        <f>IF($R$4217=0,0,R4194/$R$4217)</f>
        <v/>
      </c>
      <c r="T4194" s="8" t="n">
        <v>-0.00516795553249505</v>
      </c>
      <c r="U4194" s="8" t="n">
        <v>0.01422928884757679</v>
      </c>
      <c r="V4194" s="6" t="inlineStr">
        <is>
          <t>not selected</t>
        </is>
      </c>
    </row>
    <row r="4195">
      <c r="A4195" s="6" t="inlineStr">
        <is>
          <t>DJ30</t>
        </is>
      </c>
      <c r="B4195" s="6" t="inlineStr">
        <is>
          <t>2025-08-08</t>
        </is>
      </c>
      <c r="C4195" s="6" t="inlineStr">
        <is>
          <t>DIA</t>
        </is>
      </c>
      <c r="D4195" s="6" t="inlineStr">
        <is>
          <t>CVX</t>
        </is>
      </c>
      <c r="E4195" s="6" t="inlineStr">
        <is>
          <t>CVX</t>
        </is>
      </c>
      <c r="F4195" s="6" t="inlineStr">
        <is>
          <t>-</t>
        </is>
      </c>
      <c r="G4195" s="7" t="n">
        <v>148.7787322998047</v>
      </c>
      <c r="H4195" s="6">
        <f>P4164</f>
        <v/>
      </c>
      <c r="I4195" s="9">
        <f>Q4164</f>
        <v/>
      </c>
      <c r="J4195" s="7">
        <f>I4195*G4195</f>
        <v/>
      </c>
      <c r="K4195" s="8">
        <f>IF($J$4217=0,0,J4195/$J$4217)</f>
        <v/>
      </c>
      <c r="L4195" s="6" t="inlineStr">
        <is>
          <t>REJECTED</t>
        </is>
      </c>
      <c r="M4195" s="8" t="n">
        <v>0</v>
      </c>
      <c r="N4195" s="7">
        <f>M4195*$J$4217-J4195</f>
        <v/>
      </c>
      <c r="O4195" s="9">
        <f>IF(G4195=0,0,N4195/G4195)</f>
        <v/>
      </c>
      <c r="P4195" s="6">
        <f>IF(M4195&gt;0,D4195,"")</f>
        <v/>
      </c>
      <c r="Q4195" s="9">
        <f>I4195+O4195</f>
        <v/>
      </c>
      <c r="R4195" s="7">
        <f>Q4195*G4195</f>
        <v/>
      </c>
      <c r="S4195" s="8">
        <f>IF($R$4217=0,0,R4195/$R$4217)</f>
        <v/>
      </c>
      <c r="T4195" s="8" t="n">
        <v>-0.00516795553249505</v>
      </c>
      <c r="U4195" s="8" t="n">
        <v>0.01422928884757679</v>
      </c>
      <c r="V4195" s="6" t="inlineStr">
        <is>
          <t>not selected</t>
        </is>
      </c>
    </row>
    <row r="4196">
      <c r="A4196" s="6" t="inlineStr">
        <is>
          <t>DJ30</t>
        </is>
      </c>
      <c r="B4196" s="6" t="inlineStr">
        <is>
          <t>2025-08-08</t>
        </is>
      </c>
      <c r="C4196" s="6" t="inlineStr">
        <is>
          <t>DIA</t>
        </is>
      </c>
      <c r="D4196" s="6" t="inlineStr">
        <is>
          <t>DIS</t>
        </is>
      </c>
      <c r="E4196" s="6" t="inlineStr">
        <is>
          <t>DIS</t>
        </is>
      </c>
      <c r="F4196" s="6" t="inlineStr">
        <is>
          <t>-</t>
        </is>
      </c>
      <c r="G4196" s="7" t="n">
        <v>111.6744232177734</v>
      </c>
      <c r="H4196" s="6">
        <f>P4165</f>
        <v/>
      </c>
      <c r="I4196" s="9">
        <f>Q4165</f>
        <v/>
      </c>
      <c r="J4196" s="7">
        <f>I4196*G4196</f>
        <v/>
      </c>
      <c r="K4196" s="8">
        <f>IF($J$4217=0,0,J4196/$J$4217)</f>
        <v/>
      </c>
      <c r="L4196" s="6" t="inlineStr">
        <is>
          <t>REJECTED</t>
        </is>
      </c>
      <c r="M4196" s="8" t="n">
        <v>0</v>
      </c>
      <c r="N4196" s="7">
        <f>M4196*$J$4217-J4196</f>
        <v/>
      </c>
      <c r="O4196" s="9">
        <f>IF(G4196=0,0,N4196/G4196)</f>
        <v/>
      </c>
      <c r="P4196" s="6">
        <f>IF(M4196&gt;0,D4196,"")</f>
        <v/>
      </c>
      <c r="Q4196" s="9">
        <f>I4196+O4196</f>
        <v/>
      </c>
      <c r="R4196" s="7">
        <f>Q4196*G4196</f>
        <v/>
      </c>
      <c r="S4196" s="8">
        <f>IF($R$4217=0,0,R4196/$R$4217)</f>
        <v/>
      </c>
      <c r="T4196" s="8" t="n">
        <v>-0.00516795553249505</v>
      </c>
      <c r="U4196" s="8" t="n">
        <v>0.01422928884757679</v>
      </c>
      <c r="V4196" s="6" t="inlineStr">
        <is>
          <t>not selected</t>
        </is>
      </c>
    </row>
    <row r="4197">
      <c r="A4197" s="6" t="inlineStr">
        <is>
          <t>DJ30</t>
        </is>
      </c>
      <c r="B4197" s="6" t="inlineStr">
        <is>
          <t>2025-08-08</t>
        </is>
      </c>
      <c r="C4197" s="6" t="inlineStr">
        <is>
          <t>DIA</t>
        </is>
      </c>
      <c r="D4197" s="6" t="inlineStr">
        <is>
          <t>GS</t>
        </is>
      </c>
      <c r="E4197" s="6" t="inlineStr">
        <is>
          <t>GS</t>
        </is>
      </c>
      <c r="F4197" s="6" t="inlineStr">
        <is>
          <t>-</t>
        </is>
      </c>
      <c r="G4197" s="7" t="n">
        <v>707.0369262695312</v>
      </c>
      <c r="H4197" s="6">
        <f>P4166</f>
        <v/>
      </c>
      <c r="I4197" s="9">
        <f>Q4166</f>
        <v/>
      </c>
      <c r="J4197" s="7">
        <f>I4197*G4197</f>
        <v/>
      </c>
      <c r="K4197" s="8">
        <f>IF($J$4217=0,0,J4197/$J$4217)</f>
        <v/>
      </c>
      <c r="L4197" s="6" t="inlineStr">
        <is>
          <t>WATCHLIST</t>
        </is>
      </c>
      <c r="M4197" s="8" t="n">
        <v>0</v>
      </c>
      <c r="N4197" s="7">
        <f>M4197*$J$4217-J4197</f>
        <v/>
      </c>
      <c r="O4197" s="9">
        <f>IF(G4197=0,0,N4197/G4197)</f>
        <v/>
      </c>
      <c r="P4197" s="6">
        <f>IF(M4197&gt;0,D4197,"")</f>
        <v/>
      </c>
      <c r="Q4197" s="9">
        <f>I4197+O4197</f>
        <v/>
      </c>
      <c r="R4197" s="7">
        <f>Q4197*G4197</f>
        <v/>
      </c>
      <c r="S4197" s="8">
        <f>IF($R$4217=0,0,R4197/$R$4217)</f>
        <v/>
      </c>
      <c r="T4197" s="8" t="n">
        <v>-0.00516795553249505</v>
      </c>
      <c r="U4197" s="8" t="n">
        <v>0.01422928884757679</v>
      </c>
      <c r="V4197" s="6" t="inlineStr">
        <is>
          <t>not selected</t>
        </is>
      </c>
    </row>
    <row r="4198">
      <c r="A4198" s="6" t="inlineStr">
        <is>
          <t>DJ30</t>
        </is>
      </c>
      <c r="B4198" s="6" t="inlineStr">
        <is>
          <t>2025-08-08</t>
        </is>
      </c>
      <c r="C4198" s="6" t="inlineStr">
        <is>
          <t>DIA</t>
        </is>
      </c>
      <c r="D4198" s="6" t="inlineStr">
        <is>
          <t>HD</t>
        </is>
      </c>
      <c r="E4198" s="6" t="inlineStr">
        <is>
          <t>HD</t>
        </is>
      </c>
      <c r="F4198" s="6" t="inlineStr">
        <is>
          <t>-</t>
        </is>
      </c>
      <c r="G4198" s="7" t="n">
        <v>377.8050842285156</v>
      </c>
      <c r="H4198" s="6">
        <f>P4167</f>
        <v/>
      </c>
      <c r="I4198" s="9">
        <f>Q4167</f>
        <v/>
      </c>
      <c r="J4198" s="7">
        <f>I4198*G4198</f>
        <v/>
      </c>
      <c r="K4198" s="8">
        <f>IF($J$4217=0,0,J4198/$J$4217)</f>
        <v/>
      </c>
      <c r="L4198" s="6" t="inlineStr">
        <is>
          <t>REJECTED</t>
        </is>
      </c>
      <c r="M4198" s="8" t="n">
        <v>0</v>
      </c>
      <c r="N4198" s="7">
        <f>M4198*$J$4217-J4198</f>
        <v/>
      </c>
      <c r="O4198" s="9">
        <f>IF(G4198=0,0,N4198/G4198)</f>
        <v/>
      </c>
      <c r="P4198" s="6">
        <f>IF(M4198&gt;0,D4198,"")</f>
        <v/>
      </c>
      <c r="Q4198" s="9">
        <f>I4198+O4198</f>
        <v/>
      </c>
      <c r="R4198" s="7">
        <f>Q4198*G4198</f>
        <v/>
      </c>
      <c r="S4198" s="8">
        <f>IF($R$4217=0,0,R4198/$R$4217)</f>
        <v/>
      </c>
      <c r="T4198" s="8" t="n">
        <v>-0.00516795553249505</v>
      </c>
      <c r="U4198" s="8" t="n">
        <v>0.01422928884757679</v>
      </c>
      <c r="V4198" s="6" t="inlineStr">
        <is>
          <t>not selected</t>
        </is>
      </c>
    </row>
    <row r="4199">
      <c r="A4199" s="6" t="inlineStr">
        <is>
          <t>DJ30</t>
        </is>
      </c>
      <c r="B4199" s="6" t="inlineStr">
        <is>
          <t>2025-08-08</t>
        </is>
      </c>
      <c r="C4199" s="6" t="inlineStr">
        <is>
          <t>DIA</t>
        </is>
      </c>
      <c r="D4199" s="6" t="inlineStr">
        <is>
          <t>HON</t>
        </is>
      </c>
      <c r="E4199" s="6" t="inlineStr">
        <is>
          <t>HON</t>
        </is>
      </c>
      <c r="F4199" s="6" t="inlineStr">
        <is>
          <t>-</t>
        </is>
      </c>
      <c r="G4199" s="7" t="n">
        <v>199.5178527832031</v>
      </c>
      <c r="H4199" s="6">
        <f>P4168</f>
        <v/>
      </c>
      <c r="I4199" s="9">
        <f>Q4168</f>
        <v/>
      </c>
      <c r="J4199" s="7">
        <f>I4199*G4199</f>
        <v/>
      </c>
      <c r="K4199" s="8">
        <f>IF($J$4217=0,0,J4199/$J$4217)</f>
        <v/>
      </c>
      <c r="L4199" s="6" t="inlineStr">
        <is>
          <t>REJECTED</t>
        </is>
      </c>
      <c r="M4199" s="8" t="n">
        <v>0</v>
      </c>
      <c r="N4199" s="7">
        <f>M4199*$J$4217-J4199</f>
        <v/>
      </c>
      <c r="O4199" s="9">
        <f>IF(G4199=0,0,N4199/G4199)</f>
        <v/>
      </c>
      <c r="P4199" s="6">
        <f>IF(M4199&gt;0,D4199,"")</f>
        <v/>
      </c>
      <c r="Q4199" s="9">
        <f>I4199+O4199</f>
        <v/>
      </c>
      <c r="R4199" s="7">
        <f>Q4199*G4199</f>
        <v/>
      </c>
      <c r="S4199" s="8">
        <f>IF($R$4217=0,0,R4199/$R$4217)</f>
        <v/>
      </c>
      <c r="T4199" s="8" t="n">
        <v>-0.00516795553249505</v>
      </c>
      <c r="U4199" s="8" t="n">
        <v>0.01422928884757679</v>
      </c>
      <c r="V4199" s="6" t="inlineStr">
        <is>
          <t>not selected</t>
        </is>
      </c>
    </row>
    <row r="4200">
      <c r="A4200" s="6" t="inlineStr">
        <is>
          <t>DJ30</t>
        </is>
      </c>
      <c r="B4200" s="6" t="inlineStr">
        <is>
          <t>2025-08-08</t>
        </is>
      </c>
      <c r="C4200" s="6" t="inlineStr">
        <is>
          <t>DIA</t>
        </is>
      </c>
      <c r="D4200" s="6" t="inlineStr">
        <is>
          <t>IBM</t>
        </is>
      </c>
      <c r="E4200" s="6" t="inlineStr">
        <is>
          <t>IBM</t>
        </is>
      </c>
      <c r="F4200" s="6" t="inlineStr">
        <is>
          <t>-</t>
        </is>
      </c>
      <c r="G4200" s="7" t="n">
        <v>237.825210571289</v>
      </c>
      <c r="H4200" s="6">
        <f>P4169</f>
        <v/>
      </c>
      <c r="I4200" s="9">
        <f>Q4169</f>
        <v/>
      </c>
      <c r="J4200" s="7">
        <f>I4200*G4200</f>
        <v/>
      </c>
      <c r="K4200" s="8">
        <f>IF($J$4217=0,0,J4200/$J$4217)</f>
        <v/>
      </c>
      <c r="L4200" s="6" t="inlineStr">
        <is>
          <t>SELECTED</t>
        </is>
      </c>
      <c r="M4200" s="8" t="n">
        <v>0.2</v>
      </c>
      <c r="N4200" s="7">
        <f>M4200*$J$4217-J4200</f>
        <v/>
      </c>
      <c r="O4200" s="9">
        <f>IF(G4200=0,0,N4200/G4200)</f>
        <v/>
      </c>
      <c r="P4200" s="6">
        <f>IF(M4200&gt;0,D4200,"")</f>
        <v/>
      </c>
      <c r="Q4200" s="9">
        <f>I4200+O4200</f>
        <v/>
      </c>
      <c r="R4200" s="7">
        <f>Q4200*G4200</f>
        <v/>
      </c>
      <c r="S4200" s="8">
        <f>IF($R$4217=0,0,R4200/$R$4217)</f>
        <v/>
      </c>
      <c r="T4200" s="8" t="n">
        <v>-0.00516795553249505</v>
      </c>
      <c r="U4200" s="8" t="n">
        <v>0.01422928884757679</v>
      </c>
      <c r="V4200" s="6" t="inlineStr">
        <is>
          <t>remained in weekly selection</t>
        </is>
      </c>
    </row>
    <row r="4201">
      <c r="A4201" s="6" t="inlineStr">
        <is>
          <t>DJ30</t>
        </is>
      </c>
      <c r="B4201" s="6" t="inlineStr">
        <is>
          <t>2025-08-08</t>
        </is>
      </c>
      <c r="C4201" s="6" t="inlineStr">
        <is>
          <t>DIA</t>
        </is>
      </c>
      <c r="D4201" s="6" t="inlineStr">
        <is>
          <t>JNJ</t>
        </is>
      </c>
      <c r="E4201" s="6" t="inlineStr">
        <is>
          <t>JNJ</t>
        </is>
      </c>
      <c r="F4201" s="6" t="inlineStr">
        <is>
          <t>-</t>
        </is>
      </c>
      <c r="G4201" s="7" t="n">
        <v>169.104736328125</v>
      </c>
      <c r="H4201" s="6">
        <f>P4170</f>
        <v/>
      </c>
      <c r="I4201" s="9">
        <f>Q4170</f>
        <v/>
      </c>
      <c r="J4201" s="7">
        <f>I4201*G4201</f>
        <v/>
      </c>
      <c r="K4201" s="8">
        <f>IF($J$4217=0,0,J4201/$J$4217)</f>
        <v/>
      </c>
      <c r="L4201" s="6" t="inlineStr">
        <is>
          <t>REJECTED</t>
        </is>
      </c>
      <c r="M4201" s="8" t="n">
        <v>0</v>
      </c>
      <c r="N4201" s="7">
        <f>M4201*$J$4217-J4201</f>
        <v/>
      </c>
      <c r="O4201" s="9">
        <f>IF(G4201=0,0,N4201/G4201)</f>
        <v/>
      </c>
      <c r="P4201" s="6">
        <f>IF(M4201&gt;0,D4201,"")</f>
        <v/>
      </c>
      <c r="Q4201" s="9">
        <f>I4201+O4201</f>
        <v/>
      </c>
      <c r="R4201" s="7">
        <f>Q4201*G4201</f>
        <v/>
      </c>
      <c r="S4201" s="8">
        <f>IF($R$4217=0,0,R4201/$R$4217)</f>
        <v/>
      </c>
      <c r="T4201" s="8" t="n">
        <v>-0.00516795553249505</v>
      </c>
      <c r="U4201" s="8" t="n">
        <v>0.01422928884757679</v>
      </c>
      <c r="V4201" s="6" t="inlineStr">
        <is>
          <t>not selected</t>
        </is>
      </c>
    </row>
    <row r="4202">
      <c r="A4202" s="6" t="inlineStr">
        <is>
          <t>DJ30</t>
        </is>
      </c>
      <c r="B4202" s="6" t="inlineStr">
        <is>
          <t>2025-08-08</t>
        </is>
      </c>
      <c r="C4202" s="6" t="inlineStr">
        <is>
          <t>DIA</t>
        </is>
      </c>
      <c r="D4202" s="6" t="inlineStr">
        <is>
          <t>JPM</t>
        </is>
      </c>
      <c r="E4202" s="6" t="inlineStr">
        <is>
          <t>JPM</t>
        </is>
      </c>
      <c r="F4202" s="6" t="inlineStr">
        <is>
          <t>-</t>
        </is>
      </c>
      <c r="G4202" s="7" t="n">
        <v>284.6159057617188</v>
      </c>
      <c r="H4202" s="6">
        <f>P4171</f>
        <v/>
      </c>
      <c r="I4202" s="9">
        <f>Q4171</f>
        <v/>
      </c>
      <c r="J4202" s="7">
        <f>I4202*G4202</f>
        <v/>
      </c>
      <c r="K4202" s="8">
        <f>IF($J$4217=0,0,J4202/$J$4217)</f>
        <v/>
      </c>
      <c r="L4202" s="6" t="inlineStr">
        <is>
          <t>WATCHLIST</t>
        </is>
      </c>
      <c r="M4202" s="8" t="n">
        <v>0</v>
      </c>
      <c r="N4202" s="7">
        <f>M4202*$J$4217-J4202</f>
        <v/>
      </c>
      <c r="O4202" s="9">
        <f>IF(G4202=0,0,N4202/G4202)</f>
        <v/>
      </c>
      <c r="P4202" s="6">
        <f>IF(M4202&gt;0,D4202,"")</f>
        <v/>
      </c>
      <c r="Q4202" s="9">
        <f>I4202+O4202</f>
        <v/>
      </c>
      <c r="R4202" s="7">
        <f>Q4202*G4202</f>
        <v/>
      </c>
      <c r="S4202" s="8">
        <f>IF($R$4217=0,0,R4202/$R$4217)</f>
        <v/>
      </c>
      <c r="T4202" s="8" t="n">
        <v>-0.00516795553249505</v>
      </c>
      <c r="U4202" s="8" t="n">
        <v>0.01422928884757679</v>
      </c>
      <c r="V4202" s="6" t="inlineStr">
        <is>
          <t>not selected</t>
        </is>
      </c>
    </row>
    <row r="4203">
      <c r="A4203" s="6" t="inlineStr">
        <is>
          <t>DJ30</t>
        </is>
      </c>
      <c r="B4203" s="6" t="inlineStr">
        <is>
          <t>2025-08-08</t>
        </is>
      </c>
      <c r="C4203" s="6" t="inlineStr">
        <is>
          <t>DIA</t>
        </is>
      </c>
      <c r="D4203" s="6" t="inlineStr">
        <is>
          <t>KO</t>
        </is>
      </c>
      <c r="E4203" s="6" t="inlineStr">
        <is>
          <t>KO</t>
        </is>
      </c>
      <c r="F4203" s="6" t="inlineStr">
        <is>
          <t>-</t>
        </is>
      </c>
      <c r="G4203" s="7" t="n">
        <v>68.40277862548828</v>
      </c>
      <c r="H4203" s="6">
        <f>P4172</f>
        <v/>
      </c>
      <c r="I4203" s="9">
        <f>Q4172</f>
        <v/>
      </c>
      <c r="J4203" s="7">
        <f>I4203*G4203</f>
        <v/>
      </c>
      <c r="K4203" s="8">
        <f>IF($J$4217=0,0,J4203/$J$4217)</f>
        <v/>
      </c>
      <c r="L4203" s="6" t="inlineStr">
        <is>
          <t>REJECTED</t>
        </is>
      </c>
      <c r="M4203" s="8" t="n">
        <v>0</v>
      </c>
      <c r="N4203" s="7">
        <f>M4203*$J$4217-J4203</f>
        <v/>
      </c>
      <c r="O4203" s="9">
        <f>IF(G4203=0,0,N4203/G4203)</f>
        <v/>
      </c>
      <c r="P4203" s="6">
        <f>IF(M4203&gt;0,D4203,"")</f>
        <v/>
      </c>
      <c r="Q4203" s="9">
        <f>I4203+O4203</f>
        <v/>
      </c>
      <c r="R4203" s="7">
        <f>Q4203*G4203</f>
        <v/>
      </c>
      <c r="S4203" s="8">
        <f>IF($R$4217=0,0,R4203/$R$4217)</f>
        <v/>
      </c>
      <c r="T4203" s="8" t="n">
        <v>-0.00516795553249505</v>
      </c>
      <c r="U4203" s="8" t="n">
        <v>0.01422928884757679</v>
      </c>
      <c r="V4203" s="6" t="inlineStr">
        <is>
          <t>not selected</t>
        </is>
      </c>
    </row>
    <row r="4204">
      <c r="A4204" s="6" t="inlineStr">
        <is>
          <t>DJ30</t>
        </is>
      </c>
      <c r="B4204" s="6" t="inlineStr">
        <is>
          <t>2025-08-08</t>
        </is>
      </c>
      <c r="C4204" s="6" t="inlineStr">
        <is>
          <t>DIA</t>
        </is>
      </c>
      <c r="D4204" s="6" t="inlineStr">
        <is>
          <t>MCD</t>
        </is>
      </c>
      <c r="E4204" s="6" t="inlineStr">
        <is>
          <t>MCD</t>
        </is>
      </c>
      <c r="F4204" s="6" t="inlineStr">
        <is>
          <t>-</t>
        </is>
      </c>
      <c r="G4204" s="7" t="n">
        <v>298.2142028808594</v>
      </c>
      <c r="H4204" s="6">
        <f>P4173</f>
        <v/>
      </c>
      <c r="I4204" s="9">
        <f>Q4173</f>
        <v/>
      </c>
      <c r="J4204" s="7">
        <f>I4204*G4204</f>
        <v/>
      </c>
      <c r="K4204" s="8">
        <f>IF($J$4217=0,0,J4204/$J$4217)</f>
        <v/>
      </c>
      <c r="L4204" s="6" t="inlineStr">
        <is>
          <t>REJECTED</t>
        </is>
      </c>
      <c r="M4204" s="8" t="n">
        <v>0</v>
      </c>
      <c r="N4204" s="7">
        <f>M4204*$J$4217-J4204</f>
        <v/>
      </c>
      <c r="O4204" s="9">
        <f>IF(G4204=0,0,N4204/G4204)</f>
        <v/>
      </c>
      <c r="P4204" s="6">
        <f>IF(M4204&gt;0,D4204,"")</f>
        <v/>
      </c>
      <c r="Q4204" s="9">
        <f>I4204+O4204</f>
        <v/>
      </c>
      <c r="R4204" s="7">
        <f>Q4204*G4204</f>
        <v/>
      </c>
      <c r="S4204" s="8">
        <f>IF($R$4217=0,0,R4204/$R$4217)</f>
        <v/>
      </c>
      <c r="T4204" s="8" t="n">
        <v>-0.00516795553249505</v>
      </c>
      <c r="U4204" s="8" t="n">
        <v>0.01422928884757679</v>
      </c>
      <c r="V4204" s="6" t="inlineStr">
        <is>
          <t>not selected</t>
        </is>
      </c>
    </row>
    <row r="4205">
      <c r="A4205" s="6" t="inlineStr">
        <is>
          <t>DJ30</t>
        </is>
      </c>
      <c r="B4205" s="6" t="inlineStr">
        <is>
          <t>2025-08-08</t>
        </is>
      </c>
      <c r="C4205" s="6" t="inlineStr">
        <is>
          <t>DIA</t>
        </is>
      </c>
      <c r="D4205" s="6" t="inlineStr">
        <is>
          <t>MMM</t>
        </is>
      </c>
      <c r="E4205" s="6" t="inlineStr">
        <is>
          <t>MMM</t>
        </is>
      </c>
      <c r="F4205" s="6" t="inlineStr">
        <is>
          <t>-</t>
        </is>
      </c>
      <c r="G4205" s="7" t="n">
        <v>150.4850311279297</v>
      </c>
      <c r="H4205" s="6">
        <f>P4174</f>
        <v/>
      </c>
      <c r="I4205" s="9">
        <f>Q4174</f>
        <v/>
      </c>
      <c r="J4205" s="7">
        <f>I4205*G4205</f>
        <v/>
      </c>
      <c r="K4205" s="8">
        <f>IF($J$4217=0,0,J4205/$J$4217)</f>
        <v/>
      </c>
      <c r="L4205" s="6" t="inlineStr">
        <is>
          <t>WATCHLIST</t>
        </is>
      </c>
      <c r="M4205" s="8" t="n">
        <v>0</v>
      </c>
      <c r="N4205" s="7">
        <f>M4205*$J$4217-J4205</f>
        <v/>
      </c>
      <c r="O4205" s="9">
        <f>IF(G4205=0,0,N4205/G4205)</f>
        <v/>
      </c>
      <c r="P4205" s="6">
        <f>IF(M4205&gt;0,D4205,"")</f>
        <v/>
      </c>
      <c r="Q4205" s="9">
        <f>I4205+O4205</f>
        <v/>
      </c>
      <c r="R4205" s="7">
        <f>Q4205*G4205</f>
        <v/>
      </c>
      <c r="S4205" s="8">
        <f>IF($R$4217=0,0,R4205/$R$4217)</f>
        <v/>
      </c>
      <c r="T4205" s="8" t="n">
        <v>-0.00516795553249505</v>
      </c>
      <c r="U4205" s="8" t="n">
        <v>0.01422928884757679</v>
      </c>
      <c r="V4205" s="6" t="inlineStr">
        <is>
          <t>not selected</t>
        </is>
      </c>
    </row>
    <row r="4206">
      <c r="A4206" s="6" t="inlineStr">
        <is>
          <t>DJ30</t>
        </is>
      </c>
      <c r="B4206" s="6" t="inlineStr">
        <is>
          <t>2025-08-08</t>
        </is>
      </c>
      <c r="C4206" s="6" t="inlineStr">
        <is>
          <t>DIA</t>
        </is>
      </c>
      <c r="D4206" s="6" t="inlineStr">
        <is>
          <t>MRK</t>
        </is>
      </c>
      <c r="E4206" s="6" t="inlineStr">
        <is>
          <t>MRK</t>
        </is>
      </c>
      <c r="F4206" s="6" t="inlineStr">
        <is>
          <t>-</t>
        </is>
      </c>
      <c r="G4206" s="7" t="n">
        <v>78.07965087890625</v>
      </c>
      <c r="H4206" s="6">
        <f>P4175</f>
        <v/>
      </c>
      <c r="I4206" s="9">
        <f>Q4175</f>
        <v/>
      </c>
      <c r="J4206" s="7">
        <f>I4206*G4206</f>
        <v/>
      </c>
      <c r="K4206" s="8">
        <f>IF($J$4217=0,0,J4206/$J$4217)</f>
        <v/>
      </c>
      <c r="L4206" s="6" t="inlineStr">
        <is>
          <t>REJECTED</t>
        </is>
      </c>
      <c r="M4206" s="8" t="n">
        <v>0</v>
      </c>
      <c r="N4206" s="7">
        <f>M4206*$J$4217-J4206</f>
        <v/>
      </c>
      <c r="O4206" s="9">
        <f>IF(G4206=0,0,N4206/G4206)</f>
        <v/>
      </c>
      <c r="P4206" s="6">
        <f>IF(M4206&gt;0,D4206,"")</f>
        <v/>
      </c>
      <c r="Q4206" s="9">
        <f>I4206+O4206</f>
        <v/>
      </c>
      <c r="R4206" s="7">
        <f>Q4206*G4206</f>
        <v/>
      </c>
      <c r="S4206" s="8">
        <f>IF($R$4217=0,0,R4206/$R$4217)</f>
        <v/>
      </c>
      <c r="T4206" s="8" t="n">
        <v>-0.00516795553249505</v>
      </c>
      <c r="U4206" s="8" t="n">
        <v>0.01422928884757679</v>
      </c>
      <c r="V4206" s="6" t="inlineStr">
        <is>
          <t>not selected</t>
        </is>
      </c>
    </row>
    <row r="4207">
      <c r="A4207" s="6" t="inlineStr">
        <is>
          <t>DJ30</t>
        </is>
      </c>
      <c r="B4207" s="6" t="inlineStr">
        <is>
          <t>2025-08-08</t>
        </is>
      </c>
      <c r="C4207" s="6" t="inlineStr">
        <is>
          <t>DIA</t>
        </is>
      </c>
      <c r="D4207" s="6" t="inlineStr">
        <is>
          <t>MSFT</t>
        </is>
      </c>
      <c r="E4207" s="6" t="inlineStr">
        <is>
          <t>MSFT</t>
        </is>
      </c>
      <c r="F4207" s="6" t="inlineStr">
        <is>
          <t>-</t>
        </is>
      </c>
      <c r="G4207" s="7" t="n">
        <v>517.9032592773438</v>
      </c>
      <c r="H4207" s="6">
        <f>P4176</f>
        <v/>
      </c>
      <c r="I4207" s="9">
        <f>Q4176</f>
        <v/>
      </c>
      <c r="J4207" s="7">
        <f>I4207*G4207</f>
        <v/>
      </c>
      <c r="K4207" s="8">
        <f>IF($J$4217=0,0,J4207/$J$4217)</f>
        <v/>
      </c>
      <c r="L4207" s="6" t="inlineStr">
        <is>
          <t>REJECTED</t>
        </is>
      </c>
      <c r="M4207" s="8" t="n">
        <v>0</v>
      </c>
      <c r="N4207" s="7">
        <f>M4207*$J$4217-J4207</f>
        <v/>
      </c>
      <c r="O4207" s="9">
        <f>IF(G4207=0,0,N4207/G4207)</f>
        <v/>
      </c>
      <c r="P4207" s="6">
        <f>IF(M4207&gt;0,D4207,"")</f>
        <v/>
      </c>
      <c r="Q4207" s="9">
        <f>I4207+O4207</f>
        <v/>
      </c>
      <c r="R4207" s="7">
        <f>Q4207*G4207</f>
        <v/>
      </c>
      <c r="S4207" s="8">
        <f>IF($R$4217=0,0,R4207/$R$4217)</f>
        <v/>
      </c>
      <c r="T4207" s="8" t="n">
        <v>-0.00516795553249505</v>
      </c>
      <c r="U4207" s="8" t="n">
        <v>0.01422928884757679</v>
      </c>
      <c r="V4207" s="6" t="inlineStr">
        <is>
          <t>not selected</t>
        </is>
      </c>
    </row>
    <row r="4208">
      <c r="A4208" s="6" t="inlineStr">
        <is>
          <t>DJ30</t>
        </is>
      </c>
      <c r="B4208" s="6" t="inlineStr">
        <is>
          <t>2025-08-08</t>
        </is>
      </c>
      <c r="C4208" s="6" t="inlineStr">
        <is>
          <t>DIA</t>
        </is>
      </c>
      <c r="D4208" s="6" t="inlineStr">
        <is>
          <t>NKE</t>
        </is>
      </c>
      <c r="E4208" s="6" t="inlineStr">
        <is>
          <t>NKE</t>
        </is>
      </c>
      <c r="F4208" s="6" t="inlineStr">
        <is>
          <t>-</t>
        </is>
      </c>
      <c r="G4208" s="7" t="n">
        <v>72.20853424072266</v>
      </c>
      <c r="H4208" s="6">
        <f>P4177</f>
        <v/>
      </c>
      <c r="I4208" s="9">
        <f>Q4177</f>
        <v/>
      </c>
      <c r="J4208" s="7">
        <f>I4208*G4208</f>
        <v/>
      </c>
      <c r="K4208" s="8">
        <f>IF($J$4217=0,0,J4208/$J$4217)</f>
        <v/>
      </c>
      <c r="L4208" s="6" t="inlineStr">
        <is>
          <t>REJECTED</t>
        </is>
      </c>
      <c r="M4208" s="8" t="n">
        <v>0</v>
      </c>
      <c r="N4208" s="7">
        <f>M4208*$J$4217-J4208</f>
        <v/>
      </c>
      <c r="O4208" s="9">
        <f>IF(G4208=0,0,N4208/G4208)</f>
        <v/>
      </c>
      <c r="P4208" s="6">
        <f>IF(M4208&gt;0,D4208,"")</f>
        <v/>
      </c>
      <c r="Q4208" s="9">
        <f>I4208+O4208</f>
        <v/>
      </c>
      <c r="R4208" s="7">
        <f>Q4208*G4208</f>
        <v/>
      </c>
      <c r="S4208" s="8">
        <f>IF($R$4217=0,0,R4208/$R$4217)</f>
        <v/>
      </c>
      <c r="T4208" s="8" t="n">
        <v>-0.00516795553249505</v>
      </c>
      <c r="U4208" s="8" t="n">
        <v>0.01422928884757679</v>
      </c>
      <c r="V4208" s="6" t="inlineStr">
        <is>
          <t>not selected</t>
        </is>
      </c>
    </row>
    <row r="4209">
      <c r="A4209" s="6" t="inlineStr">
        <is>
          <t>DJ30</t>
        </is>
      </c>
      <c r="B4209" s="6" t="inlineStr">
        <is>
          <t>2025-08-08</t>
        </is>
      </c>
      <c r="C4209" s="6" t="inlineStr">
        <is>
          <t>DIA</t>
        </is>
      </c>
      <c r="D4209" s="6" t="inlineStr">
        <is>
          <t>NVDA</t>
        </is>
      </c>
      <c r="E4209" s="6" t="inlineStr">
        <is>
          <t>NVDA</t>
        </is>
      </c>
      <c r="F4209" s="6" t="inlineStr">
        <is>
          <t>-</t>
        </is>
      </c>
      <c r="G4209" s="7" t="n">
        <v>182.4569854736328</v>
      </c>
      <c r="H4209" s="6">
        <f>P4178</f>
        <v/>
      </c>
      <c r="I4209" s="9">
        <f>Q4178</f>
        <v/>
      </c>
      <c r="J4209" s="7">
        <f>I4209*G4209</f>
        <v/>
      </c>
      <c r="K4209" s="8">
        <f>IF($J$4217=0,0,J4209/$J$4217)</f>
        <v/>
      </c>
      <c r="L4209" s="6" t="inlineStr">
        <is>
          <t>REJECTED</t>
        </is>
      </c>
      <c r="M4209" s="8" t="n">
        <v>0</v>
      </c>
      <c r="N4209" s="7">
        <f>M4209*$J$4217-J4209</f>
        <v/>
      </c>
      <c r="O4209" s="9">
        <f>IF(G4209=0,0,N4209/G4209)</f>
        <v/>
      </c>
      <c r="P4209" s="6">
        <f>IF(M4209&gt;0,D4209,"")</f>
        <v/>
      </c>
      <c r="Q4209" s="9">
        <f>I4209+O4209</f>
        <v/>
      </c>
      <c r="R4209" s="7">
        <f>Q4209*G4209</f>
        <v/>
      </c>
      <c r="S4209" s="8">
        <f>IF($R$4217=0,0,R4209/$R$4217)</f>
        <v/>
      </c>
      <c r="T4209" s="8" t="n">
        <v>-0.00516795553249505</v>
      </c>
      <c r="U4209" s="8" t="n">
        <v>0.01422928884757679</v>
      </c>
      <c r="V4209" s="6" t="inlineStr">
        <is>
          <t>not selected</t>
        </is>
      </c>
    </row>
    <row r="4210">
      <c r="A4210" s="6" t="inlineStr">
        <is>
          <t>DJ30</t>
        </is>
      </c>
      <c r="B4210" s="6" t="inlineStr">
        <is>
          <t>2025-08-08</t>
        </is>
      </c>
      <c r="C4210" s="6" t="inlineStr">
        <is>
          <t>DIA</t>
        </is>
      </c>
      <c r="D4210" s="6" t="inlineStr">
        <is>
          <t>PG</t>
        </is>
      </c>
      <c r="E4210" s="6" t="inlineStr">
        <is>
          <t>PG</t>
        </is>
      </c>
      <c r="F4210" s="6" t="inlineStr">
        <is>
          <t>-</t>
        </is>
      </c>
      <c r="G4210" s="7" t="n">
        <v>150.2379455566406</v>
      </c>
      <c r="H4210" s="6">
        <f>P4179</f>
        <v/>
      </c>
      <c r="I4210" s="9">
        <f>Q4179</f>
        <v/>
      </c>
      <c r="J4210" s="7">
        <f>I4210*G4210</f>
        <v/>
      </c>
      <c r="K4210" s="8">
        <f>IF($J$4217=0,0,J4210/$J$4217)</f>
        <v/>
      </c>
      <c r="L4210" s="6" t="inlineStr">
        <is>
          <t>REJECTED</t>
        </is>
      </c>
      <c r="M4210" s="8" t="n">
        <v>0</v>
      </c>
      <c r="N4210" s="7">
        <f>M4210*$J$4217-J4210</f>
        <v/>
      </c>
      <c r="O4210" s="9">
        <f>IF(G4210=0,0,N4210/G4210)</f>
        <v/>
      </c>
      <c r="P4210" s="6">
        <f>IF(M4210&gt;0,D4210,"")</f>
        <v/>
      </c>
      <c r="Q4210" s="9">
        <f>I4210+O4210</f>
        <v/>
      </c>
      <c r="R4210" s="7">
        <f>Q4210*G4210</f>
        <v/>
      </c>
      <c r="S4210" s="8">
        <f>IF($R$4217=0,0,R4210/$R$4217)</f>
        <v/>
      </c>
      <c r="T4210" s="8" t="n">
        <v>-0.00516795553249505</v>
      </c>
      <c r="U4210" s="8" t="n">
        <v>0.01422928884757679</v>
      </c>
      <c r="V4210" s="6" t="inlineStr">
        <is>
          <t>not selected</t>
        </is>
      </c>
    </row>
    <row r="4211">
      <c r="A4211" s="6" t="inlineStr">
        <is>
          <t>DJ30</t>
        </is>
      </c>
      <c r="B4211" s="6" t="inlineStr">
        <is>
          <t>2025-08-08</t>
        </is>
      </c>
      <c r="C4211" s="6" t="inlineStr">
        <is>
          <t>DIA</t>
        </is>
      </c>
      <c r="D4211" s="6" t="inlineStr">
        <is>
          <t>SHW</t>
        </is>
      </c>
      <c r="E4211" s="6" t="inlineStr">
        <is>
          <t>SHW</t>
        </is>
      </c>
      <c r="F4211" s="6" t="inlineStr">
        <is>
          <t>-</t>
        </is>
      </c>
      <c r="G4211" s="7" t="n">
        <v>348.9015502929688</v>
      </c>
      <c r="H4211" s="6">
        <f>P4180</f>
        <v/>
      </c>
      <c r="I4211" s="9">
        <f>Q4180</f>
        <v/>
      </c>
      <c r="J4211" s="7">
        <f>I4211*G4211</f>
        <v/>
      </c>
      <c r="K4211" s="8">
        <f>IF($J$4217=0,0,J4211/$J$4217)</f>
        <v/>
      </c>
      <c r="L4211" s="6" t="inlineStr">
        <is>
          <t>REJECTED</t>
        </is>
      </c>
      <c r="M4211" s="8" t="n">
        <v>0</v>
      </c>
      <c r="N4211" s="7">
        <f>M4211*$J$4217-J4211</f>
        <v/>
      </c>
      <c r="O4211" s="9">
        <f>IF(G4211=0,0,N4211/G4211)</f>
        <v/>
      </c>
      <c r="P4211" s="6">
        <f>IF(M4211&gt;0,D4211,"")</f>
        <v/>
      </c>
      <c r="Q4211" s="9">
        <f>I4211+O4211</f>
        <v/>
      </c>
      <c r="R4211" s="7">
        <f>Q4211*G4211</f>
        <v/>
      </c>
      <c r="S4211" s="8">
        <f>IF($R$4217=0,0,R4211/$R$4217)</f>
        <v/>
      </c>
      <c r="T4211" s="8" t="n">
        <v>-0.00516795553249505</v>
      </c>
      <c r="U4211" s="8" t="n">
        <v>0.01422928884757679</v>
      </c>
      <c r="V4211" s="6" t="inlineStr">
        <is>
          <t>not selected</t>
        </is>
      </c>
    </row>
    <row r="4212">
      <c r="A4212" s="6" t="inlineStr">
        <is>
          <t>DJ30</t>
        </is>
      </c>
      <c r="B4212" s="6" t="inlineStr">
        <is>
          <t>2025-08-08</t>
        </is>
      </c>
      <c r="C4212" s="6" t="inlineStr">
        <is>
          <t>DIA</t>
        </is>
      </c>
      <c r="D4212" s="6" t="inlineStr">
        <is>
          <t>TRV</t>
        </is>
      </c>
      <c r="E4212" s="6" t="inlineStr">
        <is>
          <t>TRV</t>
        </is>
      </c>
      <c r="F4212" s="6" t="inlineStr">
        <is>
          <t>-</t>
        </is>
      </c>
      <c r="G4212" s="7" t="n">
        <v>260.7221069335937</v>
      </c>
      <c r="H4212" s="6">
        <f>P4181</f>
        <v/>
      </c>
      <c r="I4212" s="9">
        <f>Q4181</f>
        <v/>
      </c>
      <c r="J4212" s="7">
        <f>I4212*G4212</f>
        <v/>
      </c>
      <c r="K4212" s="8">
        <f>IF($J$4217=0,0,J4212/$J$4217)</f>
        <v/>
      </c>
      <c r="L4212" s="6" t="inlineStr">
        <is>
          <t>WATCHLIST</t>
        </is>
      </c>
      <c r="M4212" s="8" t="n">
        <v>0</v>
      </c>
      <c r="N4212" s="7">
        <f>M4212*$J$4217-J4212</f>
        <v/>
      </c>
      <c r="O4212" s="9">
        <f>IF(G4212=0,0,N4212/G4212)</f>
        <v/>
      </c>
      <c r="P4212" s="6">
        <f>IF(M4212&gt;0,D4212,"")</f>
        <v/>
      </c>
      <c r="Q4212" s="9">
        <f>I4212+O4212</f>
        <v/>
      </c>
      <c r="R4212" s="7">
        <f>Q4212*G4212</f>
        <v/>
      </c>
      <c r="S4212" s="8">
        <f>IF($R$4217=0,0,R4212/$R$4217)</f>
        <v/>
      </c>
      <c r="T4212" s="8" t="n">
        <v>-0.00516795553249505</v>
      </c>
      <c r="U4212" s="8" t="n">
        <v>0.01422928884757679</v>
      </c>
      <c r="V4212" s="6" t="inlineStr">
        <is>
          <t>not selected</t>
        </is>
      </c>
    </row>
    <row r="4213">
      <c r="A4213" s="6" t="inlineStr">
        <is>
          <t>DJ30</t>
        </is>
      </c>
      <c r="B4213" s="6" t="inlineStr">
        <is>
          <t>2025-08-08</t>
        </is>
      </c>
      <c r="C4213" s="6" t="inlineStr">
        <is>
          <t>DIA</t>
        </is>
      </c>
      <c r="D4213" s="6" t="inlineStr">
        <is>
          <t>UNH</t>
        </is>
      </c>
      <c r="E4213" s="6" t="inlineStr">
        <is>
          <t>UNH</t>
        </is>
      </c>
      <c r="F4213" s="6" t="inlineStr">
        <is>
          <t>-</t>
        </is>
      </c>
      <c r="G4213" s="7" t="n">
        <v>244.3459625244141</v>
      </c>
      <c r="H4213" s="6">
        <f>P4182</f>
        <v/>
      </c>
      <c r="I4213" s="9">
        <f>Q4182</f>
        <v/>
      </c>
      <c r="J4213" s="7">
        <f>I4213*G4213</f>
        <v/>
      </c>
      <c r="K4213" s="8">
        <f>IF($J$4217=0,0,J4213/$J$4217)</f>
        <v/>
      </c>
      <c r="L4213" s="6" t="inlineStr">
        <is>
          <t>REJECTED</t>
        </is>
      </c>
      <c r="M4213" s="8" t="n">
        <v>0</v>
      </c>
      <c r="N4213" s="7">
        <f>M4213*$J$4217-J4213</f>
        <v/>
      </c>
      <c r="O4213" s="9">
        <f>IF(G4213=0,0,N4213/G4213)</f>
        <v/>
      </c>
      <c r="P4213" s="6">
        <f>IF(M4213&gt;0,D4213,"")</f>
        <v/>
      </c>
      <c r="Q4213" s="9">
        <f>I4213+O4213</f>
        <v/>
      </c>
      <c r="R4213" s="7">
        <f>Q4213*G4213</f>
        <v/>
      </c>
      <c r="S4213" s="8">
        <f>IF($R$4217=0,0,R4213/$R$4217)</f>
        <v/>
      </c>
      <c r="T4213" s="8" t="n">
        <v>-0.00516795553249505</v>
      </c>
      <c r="U4213" s="8" t="n">
        <v>0.01422928884757679</v>
      </c>
      <c r="V4213" s="6" t="inlineStr">
        <is>
          <t>not selected</t>
        </is>
      </c>
    </row>
    <row r="4214">
      <c r="A4214" s="6" t="inlineStr">
        <is>
          <t>DJ30</t>
        </is>
      </c>
      <c r="B4214" s="6" t="inlineStr">
        <is>
          <t>2025-08-08</t>
        </is>
      </c>
      <c r="C4214" s="6" t="inlineStr">
        <is>
          <t>DIA</t>
        </is>
      </c>
      <c r="D4214" s="6" t="inlineStr">
        <is>
          <t>V</t>
        </is>
      </c>
      <c r="E4214" s="6" t="inlineStr">
        <is>
          <t>V</t>
        </is>
      </c>
      <c r="F4214" s="6" t="inlineStr">
        <is>
          <t>-</t>
        </is>
      </c>
      <c r="G4214" s="7" t="n">
        <v>334.1406555175781</v>
      </c>
      <c r="H4214" s="6">
        <f>P4183</f>
        <v/>
      </c>
      <c r="I4214" s="9">
        <f>Q4183</f>
        <v/>
      </c>
      <c r="J4214" s="7">
        <f>I4214*G4214</f>
        <v/>
      </c>
      <c r="K4214" s="8">
        <f>IF($J$4217=0,0,J4214/$J$4217)</f>
        <v/>
      </c>
      <c r="L4214" s="6" t="inlineStr">
        <is>
          <t>SELECTED</t>
        </is>
      </c>
      <c r="M4214" s="8" t="n">
        <v>0.2</v>
      </c>
      <c r="N4214" s="7">
        <f>M4214*$J$4217-J4214</f>
        <v/>
      </c>
      <c r="O4214" s="9">
        <f>IF(G4214=0,0,N4214/G4214)</f>
        <v/>
      </c>
      <c r="P4214" s="6">
        <f>IF(M4214&gt;0,D4214,"")</f>
        <v/>
      </c>
      <c r="Q4214" s="9">
        <f>I4214+O4214</f>
        <v/>
      </c>
      <c r="R4214" s="7">
        <f>Q4214*G4214</f>
        <v/>
      </c>
      <c r="S4214" s="8">
        <f>IF($R$4217=0,0,R4214/$R$4217)</f>
        <v/>
      </c>
      <c r="T4214" s="8" t="n">
        <v>-0.00516795553249505</v>
      </c>
      <c r="U4214" s="8" t="n">
        <v>0.01422928884757679</v>
      </c>
      <c r="V4214" s="6" t="inlineStr">
        <is>
          <t>remained in weekly selection</t>
        </is>
      </c>
    </row>
    <row r="4215">
      <c r="A4215" s="6" t="inlineStr">
        <is>
          <t>DJ30</t>
        </is>
      </c>
      <c r="B4215" s="6" t="inlineStr">
        <is>
          <t>2025-08-08</t>
        </is>
      </c>
      <c r="C4215" s="6" t="inlineStr">
        <is>
          <t>DIA</t>
        </is>
      </c>
      <c r="D4215" s="6" t="inlineStr">
        <is>
          <t>VZ</t>
        </is>
      </c>
      <c r="E4215" s="6" t="inlineStr">
        <is>
          <t>VZ</t>
        </is>
      </c>
      <c r="F4215" s="6" t="inlineStr">
        <is>
          <t>-</t>
        </is>
      </c>
      <c r="G4215" s="7" t="n">
        <v>41.07949066162109</v>
      </c>
      <c r="H4215" s="6">
        <f>P4184</f>
        <v/>
      </c>
      <c r="I4215" s="9">
        <f>Q4184</f>
        <v/>
      </c>
      <c r="J4215" s="7">
        <f>I4215*G4215</f>
        <v/>
      </c>
      <c r="K4215" s="8">
        <f>IF($J$4217=0,0,J4215/$J$4217)</f>
        <v/>
      </c>
      <c r="L4215" s="6" t="inlineStr">
        <is>
          <t>SELECTED</t>
        </is>
      </c>
      <c r="M4215" s="8" t="n">
        <v>0.2</v>
      </c>
      <c r="N4215" s="7">
        <f>M4215*$J$4217-J4215</f>
        <v/>
      </c>
      <c r="O4215" s="9">
        <f>IF(G4215=0,0,N4215/G4215)</f>
        <v/>
      </c>
      <c r="P4215" s="6">
        <f>IF(M4215&gt;0,D4215,"")</f>
        <v/>
      </c>
      <c r="Q4215" s="9">
        <f>I4215+O4215</f>
        <v/>
      </c>
      <c r="R4215" s="7">
        <f>Q4215*G4215</f>
        <v/>
      </c>
      <c r="S4215" s="8">
        <f>IF($R$4217=0,0,R4215/$R$4217)</f>
        <v/>
      </c>
      <c r="T4215" s="8" t="n">
        <v>-0.00516795553249505</v>
      </c>
      <c r="U4215" s="8" t="n">
        <v>0.01422928884757679</v>
      </c>
      <c r="V4215" s="6" t="inlineStr">
        <is>
          <t>remained in weekly selection</t>
        </is>
      </c>
    </row>
    <row r="4216">
      <c r="A4216" s="6" t="inlineStr">
        <is>
          <t>DJ30</t>
        </is>
      </c>
      <c r="B4216" s="6" t="inlineStr">
        <is>
          <t>2025-08-08</t>
        </is>
      </c>
      <c r="C4216" s="6" t="inlineStr">
        <is>
          <t>DIA</t>
        </is>
      </c>
      <c r="D4216" s="6" t="inlineStr">
        <is>
          <t>WMT</t>
        </is>
      </c>
      <c r="E4216" s="6" t="inlineStr">
        <is>
          <t>WMT</t>
        </is>
      </c>
      <c r="F4216" s="6" t="inlineStr">
        <is>
          <t>-</t>
        </is>
      </c>
      <c r="G4216" s="7" t="n">
        <v>102.8699264526367</v>
      </c>
      <c r="H4216" s="6">
        <f>P4185</f>
        <v/>
      </c>
      <c r="I4216" s="9">
        <f>Q4185</f>
        <v/>
      </c>
      <c r="J4216" s="7">
        <f>I4216*G4216</f>
        <v/>
      </c>
      <c r="K4216" s="8">
        <f>IF($J$4217=0,0,J4216/$J$4217)</f>
        <v/>
      </c>
      <c r="L4216" s="6" t="inlineStr">
        <is>
          <t>WATCHLIST</t>
        </is>
      </c>
      <c r="M4216" s="8" t="n">
        <v>0</v>
      </c>
      <c r="N4216" s="7">
        <f>M4216*$J$4217-J4216</f>
        <v/>
      </c>
      <c r="O4216" s="9">
        <f>IF(G4216=0,0,N4216/G4216)</f>
        <v/>
      </c>
      <c r="P4216" s="6">
        <f>IF(M4216&gt;0,D4216,"")</f>
        <v/>
      </c>
      <c r="Q4216" s="9">
        <f>I4216+O4216</f>
        <v/>
      </c>
      <c r="R4216" s="7">
        <f>Q4216*G4216</f>
        <v/>
      </c>
      <c r="S4216" s="8">
        <f>IF($R$4217=0,0,R4216/$R$4217)</f>
        <v/>
      </c>
      <c r="T4216" s="8" t="n">
        <v>-0.00516795553249505</v>
      </c>
      <c r="U4216" s="8" t="n">
        <v>0.01422928884757679</v>
      </c>
      <c r="V4216" s="6" t="inlineStr">
        <is>
          <t>not selected</t>
        </is>
      </c>
    </row>
    <row r="4217">
      <c r="A4217" s="10" t="inlineStr">
        <is>
          <t>DJ30</t>
        </is>
      </c>
      <c r="B4217" s="10" t="inlineStr">
        <is>
          <t>2025-08-08</t>
        </is>
      </c>
      <c r="C4217" s="10" t="inlineStr">
        <is>
          <t>DIA</t>
        </is>
      </c>
      <c r="D4217" s="10" t="inlineStr">
        <is>
          <t>Tot Portfolio</t>
        </is>
      </c>
      <c r="E4217" s="10" t="inlineStr"/>
      <c r="F4217" s="10" t="inlineStr"/>
      <c r="G4217" s="11" t="inlineStr"/>
      <c r="H4217" s="10" t="inlineStr"/>
      <c r="I4217" s="12" t="inlineStr"/>
      <c r="J4217" s="11">
        <f>SUM(J4187:J4216)</f>
        <v/>
      </c>
      <c r="K4217" s="13">
        <f>SUM(K4187:K4216)</f>
        <v/>
      </c>
      <c r="L4217" s="10" t="inlineStr">
        <is>
          <t>TOTAL</t>
        </is>
      </c>
      <c r="M4217" s="13">
        <f>SUM(M4187:M4216)</f>
        <v/>
      </c>
      <c r="N4217" s="11">
        <f>SUM(N4187:N4216)</f>
        <v/>
      </c>
      <c r="O4217" s="12">
        <f>SUM(O4187:O4216)</f>
        <v/>
      </c>
      <c r="P4217" s="10" t="inlineStr"/>
      <c r="Q4217" s="12" t="inlineStr"/>
      <c r="R4217" s="11">
        <f>SUM(R4187:R4216)</f>
        <v/>
      </c>
      <c r="S4217" s="13">
        <f>SUM(S4187:S4216)</f>
        <v/>
      </c>
      <c r="T4217" s="13" t="n">
        <v>-0.00516795553249505</v>
      </c>
      <c r="U4217" s="13" t="n">
        <v>0.01422928884757679</v>
      </c>
      <c r="V4217" s="10" t="inlineStr"/>
    </row>
    <row r="4218">
      <c r="A4218" s="6" t="inlineStr">
        <is>
          <t>DJ30</t>
        </is>
      </c>
      <c r="B4218" s="6" t="inlineStr">
        <is>
          <t>2025-08-15</t>
        </is>
      </c>
      <c r="C4218" s="6" t="inlineStr">
        <is>
          <t>DIA</t>
        </is>
      </c>
      <c r="D4218" s="6" t="inlineStr">
        <is>
          <t>AAPL</t>
        </is>
      </c>
      <c r="E4218" s="6" t="inlineStr">
        <is>
          <t>AAPL</t>
        </is>
      </c>
      <c r="F4218" s="6" t="inlineStr">
        <is>
          <t>-</t>
        </is>
      </c>
      <c r="G4218" s="7" t="n">
        <v>230.9366607666016</v>
      </c>
      <c r="H4218" s="6">
        <f>P4187</f>
        <v/>
      </c>
      <c r="I4218" s="9">
        <f>Q4187</f>
        <v/>
      </c>
      <c r="J4218" s="7">
        <f>I4218*G4218</f>
        <v/>
      </c>
      <c r="K4218" s="8">
        <f>IF($J$4248=0,0,J4218/$J$4248)</f>
        <v/>
      </c>
      <c r="L4218" s="6" t="inlineStr">
        <is>
          <t>REJECTED</t>
        </is>
      </c>
      <c r="M4218" s="8" t="n">
        <v>0</v>
      </c>
      <c r="N4218" s="7">
        <f>M4218*$J$4248-J4218</f>
        <v/>
      </c>
      <c r="O4218" s="9">
        <f>IF(G4218=0,0,N4218/G4218)</f>
        <v/>
      </c>
      <c r="P4218" s="6">
        <f>IF(M4218&gt;0,D4218,"")</f>
        <v/>
      </c>
      <c r="Q4218" s="9">
        <f>I4218+O4218</f>
        <v/>
      </c>
      <c r="R4218" s="7">
        <f>Q4218*G4218</f>
        <v/>
      </c>
      <c r="S4218" s="8">
        <f>IF($R$4248=0,0,R4218/$R$4248)</f>
        <v/>
      </c>
      <c r="T4218" s="8" t="n">
        <v>0.007073781920305056</v>
      </c>
      <c r="U4218" s="8" t="n">
        <v>0.01782311129842151</v>
      </c>
      <c r="V4218" s="6" t="inlineStr">
        <is>
          <t>not selected</t>
        </is>
      </c>
    </row>
    <row r="4219">
      <c r="A4219" s="6" t="inlineStr">
        <is>
          <t>DJ30</t>
        </is>
      </c>
      <c r="B4219" s="6" t="inlineStr">
        <is>
          <t>2025-08-15</t>
        </is>
      </c>
      <c r="C4219" s="6" t="inlineStr">
        <is>
          <t>DIA</t>
        </is>
      </c>
      <c r="D4219" s="6" t="inlineStr">
        <is>
          <t>AMGN</t>
        </is>
      </c>
      <c r="E4219" s="6" t="inlineStr">
        <is>
          <t>AMGN</t>
        </is>
      </c>
      <c r="F4219" s="6" t="inlineStr">
        <is>
          <t>-</t>
        </is>
      </c>
      <c r="G4219" s="7" t="n">
        <v>287.8187561035156</v>
      </c>
      <c r="H4219" s="6">
        <f>P4188</f>
        <v/>
      </c>
      <c r="I4219" s="9">
        <f>Q4188</f>
        <v/>
      </c>
      <c r="J4219" s="7">
        <f>I4219*G4219</f>
        <v/>
      </c>
      <c r="K4219" s="8">
        <f>IF($J$4248=0,0,J4219/$J$4248)</f>
        <v/>
      </c>
      <c r="L4219" s="6" t="inlineStr">
        <is>
          <t>REJECTED</t>
        </is>
      </c>
      <c r="M4219" s="8" t="n">
        <v>0</v>
      </c>
      <c r="N4219" s="7">
        <f>M4219*$J$4248-J4219</f>
        <v/>
      </c>
      <c r="O4219" s="9">
        <f>IF(G4219=0,0,N4219/G4219)</f>
        <v/>
      </c>
      <c r="P4219" s="6">
        <f>IF(M4219&gt;0,D4219,"")</f>
        <v/>
      </c>
      <c r="Q4219" s="9">
        <f>I4219+O4219</f>
        <v/>
      </c>
      <c r="R4219" s="7">
        <f>Q4219*G4219</f>
        <v/>
      </c>
      <c r="S4219" s="8">
        <f>IF($R$4248=0,0,R4219/$R$4248)</f>
        <v/>
      </c>
      <c r="T4219" s="8" t="n">
        <v>0.007073781920305056</v>
      </c>
      <c r="U4219" s="8" t="n">
        <v>0.01782311129842151</v>
      </c>
      <c r="V4219" s="6" t="inlineStr">
        <is>
          <t>not selected</t>
        </is>
      </c>
    </row>
    <row r="4220">
      <c r="A4220" s="6" t="inlineStr">
        <is>
          <t>DJ30</t>
        </is>
      </c>
      <c r="B4220" s="6" t="inlineStr">
        <is>
          <t>2025-08-15</t>
        </is>
      </c>
      <c r="C4220" s="6" t="inlineStr">
        <is>
          <t>DIA</t>
        </is>
      </c>
      <c r="D4220" s="6" t="inlineStr">
        <is>
          <t>AMZN</t>
        </is>
      </c>
      <c r="E4220" s="6" t="inlineStr">
        <is>
          <t>AMZN</t>
        </is>
      </c>
      <c r="F4220" s="6" t="inlineStr">
        <is>
          <t>-</t>
        </is>
      </c>
      <c r="G4220" s="7" t="n">
        <v>231.0299987792969</v>
      </c>
      <c r="H4220" s="6">
        <f>P4189</f>
        <v/>
      </c>
      <c r="I4220" s="9">
        <f>Q4189</f>
        <v/>
      </c>
      <c r="J4220" s="7">
        <f>I4220*G4220</f>
        <v/>
      </c>
      <c r="K4220" s="8">
        <f>IF($J$4248=0,0,J4220/$J$4248)</f>
        <v/>
      </c>
      <c r="L4220" s="6" t="inlineStr">
        <is>
          <t>REJECTED</t>
        </is>
      </c>
      <c r="M4220" s="8" t="n">
        <v>0</v>
      </c>
      <c r="N4220" s="7">
        <f>M4220*$J$4248-J4220</f>
        <v/>
      </c>
      <c r="O4220" s="9">
        <f>IF(G4220=0,0,N4220/G4220)</f>
        <v/>
      </c>
      <c r="P4220" s="6">
        <f>IF(M4220&gt;0,D4220,"")</f>
        <v/>
      </c>
      <c r="Q4220" s="9">
        <f>I4220+O4220</f>
        <v/>
      </c>
      <c r="R4220" s="7">
        <f>Q4220*G4220</f>
        <v/>
      </c>
      <c r="S4220" s="8">
        <f>IF($R$4248=0,0,R4220/$R$4248)</f>
        <v/>
      </c>
      <c r="T4220" s="8" t="n">
        <v>0.007073781920305056</v>
      </c>
      <c r="U4220" s="8" t="n">
        <v>0.01782311129842151</v>
      </c>
      <c r="V4220" s="6" t="inlineStr">
        <is>
          <t>not selected</t>
        </is>
      </c>
    </row>
    <row r="4221">
      <c r="A4221" s="6" t="inlineStr">
        <is>
          <t>DJ30</t>
        </is>
      </c>
      <c r="B4221" s="6" t="inlineStr">
        <is>
          <t>2025-08-15</t>
        </is>
      </c>
      <c r="C4221" s="6" t="inlineStr">
        <is>
          <t>DIA</t>
        </is>
      </c>
      <c r="D4221" s="6" t="inlineStr">
        <is>
          <t>AXP</t>
        </is>
      </c>
      <c r="E4221" s="6" t="inlineStr">
        <is>
          <t>AXP</t>
        </is>
      </c>
      <c r="F4221" s="6" t="inlineStr">
        <is>
          <t>-</t>
        </is>
      </c>
      <c r="G4221" s="7" t="n">
        <v>303.064453125</v>
      </c>
      <c r="H4221" s="6">
        <f>P4190</f>
        <v/>
      </c>
      <c r="I4221" s="9">
        <f>Q4190</f>
        <v/>
      </c>
      <c r="J4221" s="7">
        <f>I4221*G4221</f>
        <v/>
      </c>
      <c r="K4221" s="8">
        <f>IF($J$4248=0,0,J4221/$J$4248)</f>
        <v/>
      </c>
      <c r="L4221" s="6" t="inlineStr">
        <is>
          <t>REJECTED</t>
        </is>
      </c>
      <c r="M4221" s="8" t="n">
        <v>0</v>
      </c>
      <c r="N4221" s="7">
        <f>M4221*$J$4248-J4221</f>
        <v/>
      </c>
      <c r="O4221" s="9">
        <f>IF(G4221=0,0,N4221/G4221)</f>
        <v/>
      </c>
      <c r="P4221" s="6">
        <f>IF(M4221&gt;0,D4221,"")</f>
        <v/>
      </c>
      <c r="Q4221" s="9">
        <f>I4221+O4221</f>
        <v/>
      </c>
      <c r="R4221" s="7">
        <f>Q4221*G4221</f>
        <v/>
      </c>
      <c r="S4221" s="8">
        <f>IF($R$4248=0,0,R4221/$R$4248)</f>
        <v/>
      </c>
      <c r="T4221" s="8" t="n">
        <v>0.007073781920305056</v>
      </c>
      <c r="U4221" s="8" t="n">
        <v>0.01782311129842151</v>
      </c>
      <c r="V4221" s="6" t="inlineStr">
        <is>
          <t>not selected</t>
        </is>
      </c>
    </row>
    <row r="4222">
      <c r="A4222" s="6" t="inlineStr">
        <is>
          <t>DJ30</t>
        </is>
      </c>
      <c r="B4222" s="6" t="inlineStr">
        <is>
          <t>2025-08-15</t>
        </is>
      </c>
      <c r="C4222" s="6" t="inlineStr">
        <is>
          <t>DIA</t>
        </is>
      </c>
      <c r="D4222" s="6" t="inlineStr">
        <is>
          <t>BA</t>
        </is>
      </c>
      <c r="E4222" s="6" t="inlineStr">
        <is>
          <t>BA</t>
        </is>
      </c>
      <c r="F4222" s="6" t="inlineStr">
        <is>
          <t>-</t>
        </is>
      </c>
      <c r="G4222" s="7" t="n">
        <v>235.259994506836</v>
      </c>
      <c r="H4222" s="6">
        <f>P4191</f>
        <v/>
      </c>
      <c r="I4222" s="9">
        <f>Q4191</f>
        <v/>
      </c>
      <c r="J4222" s="7">
        <f>I4222*G4222</f>
        <v/>
      </c>
      <c r="K4222" s="8">
        <f>IF($J$4248=0,0,J4222/$J$4248)</f>
        <v/>
      </c>
      <c r="L4222" s="6" t="inlineStr">
        <is>
          <t>SELECTED</t>
        </is>
      </c>
      <c r="M4222" s="8" t="n">
        <v>0.2</v>
      </c>
      <c r="N4222" s="7">
        <f>M4222*$J$4248-J4222</f>
        <v/>
      </c>
      <c r="O4222" s="9">
        <f>IF(G4222=0,0,N4222/G4222)</f>
        <v/>
      </c>
      <c r="P4222" s="6">
        <f>IF(M4222&gt;0,D4222,"")</f>
        <v/>
      </c>
      <c r="Q4222" s="9">
        <f>I4222+O4222</f>
        <v/>
      </c>
      <c r="R4222" s="7">
        <f>Q4222*G4222</f>
        <v/>
      </c>
      <c r="S4222" s="8">
        <f>IF($R$4248=0,0,R4222/$R$4248)</f>
        <v/>
      </c>
      <c r="T4222" s="8" t="n">
        <v>0.007073781920305056</v>
      </c>
      <c r="U4222" s="8" t="n">
        <v>0.01782311129842151</v>
      </c>
      <c r="V4222" s="6" t="inlineStr">
        <is>
          <t>entered weekly selection</t>
        </is>
      </c>
    </row>
    <row r="4223">
      <c r="A4223" s="6" t="inlineStr">
        <is>
          <t>DJ30</t>
        </is>
      </c>
      <c r="B4223" s="6" t="inlineStr">
        <is>
          <t>2025-08-15</t>
        </is>
      </c>
      <c r="C4223" s="6" t="inlineStr">
        <is>
          <t>DIA</t>
        </is>
      </c>
      <c r="D4223" s="6" t="inlineStr">
        <is>
          <t>CAT</t>
        </is>
      </c>
      <c r="E4223" s="6" t="inlineStr">
        <is>
          <t>CAT</t>
        </is>
      </c>
      <c r="F4223" s="6" t="inlineStr">
        <is>
          <t>-</t>
        </is>
      </c>
      <c r="G4223" s="7" t="n">
        <v>404.9017639160156</v>
      </c>
      <c r="H4223" s="6">
        <f>P4192</f>
        <v/>
      </c>
      <c r="I4223" s="9">
        <f>Q4192</f>
        <v/>
      </c>
      <c r="J4223" s="7">
        <f>I4223*G4223</f>
        <v/>
      </c>
      <c r="K4223" s="8">
        <f>IF($J$4248=0,0,J4223/$J$4248)</f>
        <v/>
      </c>
      <c r="L4223" s="6" t="inlineStr">
        <is>
          <t>REJECTED</t>
        </is>
      </c>
      <c r="M4223" s="8" t="n">
        <v>0</v>
      </c>
      <c r="N4223" s="7">
        <f>M4223*$J$4248-J4223</f>
        <v/>
      </c>
      <c r="O4223" s="9">
        <f>IF(G4223=0,0,N4223/G4223)</f>
        <v/>
      </c>
      <c r="P4223" s="6">
        <f>IF(M4223&gt;0,D4223,"")</f>
        <v/>
      </c>
      <c r="Q4223" s="9">
        <f>I4223+O4223</f>
        <v/>
      </c>
      <c r="R4223" s="7">
        <f>Q4223*G4223</f>
        <v/>
      </c>
      <c r="S4223" s="8">
        <f>IF($R$4248=0,0,R4223/$R$4248)</f>
        <v/>
      </c>
      <c r="T4223" s="8" t="n">
        <v>0.007073781920305056</v>
      </c>
      <c r="U4223" s="8" t="n">
        <v>0.01782311129842151</v>
      </c>
      <c r="V4223" s="6" t="inlineStr">
        <is>
          <t>not selected</t>
        </is>
      </c>
    </row>
    <row r="4224">
      <c r="A4224" s="6" t="inlineStr">
        <is>
          <t>DJ30</t>
        </is>
      </c>
      <c r="B4224" s="6" t="inlineStr">
        <is>
          <t>2025-08-15</t>
        </is>
      </c>
      <c r="C4224" s="6" t="inlineStr">
        <is>
          <t>DIA</t>
        </is>
      </c>
      <c r="D4224" s="6" t="inlineStr">
        <is>
          <t>CRM</t>
        </is>
      </c>
      <c r="E4224" s="6" t="inlineStr">
        <is>
          <t>CRM</t>
        </is>
      </c>
      <c r="F4224" s="6" t="inlineStr">
        <is>
          <t>-</t>
        </is>
      </c>
      <c r="G4224" s="7" t="n">
        <v>240.4052734375</v>
      </c>
      <c r="H4224" s="6">
        <f>P4193</f>
        <v/>
      </c>
      <c r="I4224" s="9">
        <f>Q4193</f>
        <v/>
      </c>
      <c r="J4224" s="7">
        <f>I4224*G4224</f>
        <v/>
      </c>
      <c r="K4224" s="8">
        <f>IF($J$4248=0,0,J4224/$J$4248)</f>
        <v/>
      </c>
      <c r="L4224" s="6" t="inlineStr">
        <is>
          <t>REJECTED</t>
        </is>
      </c>
      <c r="M4224" s="8" t="n">
        <v>0</v>
      </c>
      <c r="N4224" s="7">
        <f>M4224*$J$4248-J4224</f>
        <v/>
      </c>
      <c r="O4224" s="9">
        <f>IF(G4224=0,0,N4224/G4224)</f>
        <v/>
      </c>
      <c r="P4224" s="6">
        <f>IF(M4224&gt;0,D4224,"")</f>
        <v/>
      </c>
      <c r="Q4224" s="9">
        <f>I4224+O4224</f>
        <v/>
      </c>
      <c r="R4224" s="7">
        <f>Q4224*G4224</f>
        <v/>
      </c>
      <c r="S4224" s="8">
        <f>IF($R$4248=0,0,R4224/$R$4248)</f>
        <v/>
      </c>
      <c r="T4224" s="8" t="n">
        <v>0.007073781920305056</v>
      </c>
      <c r="U4224" s="8" t="n">
        <v>0.01782311129842151</v>
      </c>
      <c r="V4224" s="6" t="inlineStr">
        <is>
          <t>not selected</t>
        </is>
      </c>
    </row>
    <row r="4225">
      <c r="A4225" s="6" t="inlineStr">
        <is>
          <t>DJ30</t>
        </is>
      </c>
      <c r="B4225" s="6" t="inlineStr">
        <is>
          <t>2025-08-15</t>
        </is>
      </c>
      <c r="C4225" s="6" t="inlineStr">
        <is>
          <t>DIA</t>
        </is>
      </c>
      <c r="D4225" s="6" t="inlineStr">
        <is>
          <t>CSCO</t>
        </is>
      </c>
      <c r="E4225" s="6" t="inlineStr">
        <is>
          <t>CSCO</t>
        </is>
      </c>
      <c r="F4225" s="6" t="inlineStr">
        <is>
          <t>-</t>
        </is>
      </c>
      <c r="G4225" s="7" t="n">
        <v>65.09967041015625</v>
      </c>
      <c r="H4225" s="6">
        <f>P4194</f>
        <v/>
      </c>
      <c r="I4225" s="9">
        <f>Q4194</f>
        <v/>
      </c>
      <c r="J4225" s="7">
        <f>I4225*G4225</f>
        <v/>
      </c>
      <c r="K4225" s="8">
        <f>IF($J$4248=0,0,J4225/$J$4248)</f>
        <v/>
      </c>
      <c r="L4225" s="6" t="inlineStr">
        <is>
          <t>WATCHLIST</t>
        </is>
      </c>
      <c r="M4225" s="8" t="n">
        <v>0</v>
      </c>
      <c r="N4225" s="7">
        <f>M4225*$J$4248-J4225</f>
        <v/>
      </c>
      <c r="O4225" s="9">
        <f>IF(G4225=0,0,N4225/G4225)</f>
        <v/>
      </c>
      <c r="P4225" s="6">
        <f>IF(M4225&gt;0,D4225,"")</f>
        <v/>
      </c>
      <c r="Q4225" s="9">
        <f>I4225+O4225</f>
        <v/>
      </c>
      <c r="R4225" s="7">
        <f>Q4225*G4225</f>
        <v/>
      </c>
      <c r="S4225" s="8">
        <f>IF($R$4248=0,0,R4225/$R$4248)</f>
        <v/>
      </c>
      <c r="T4225" s="8" t="n">
        <v>0.007073781920305056</v>
      </c>
      <c r="U4225" s="8" t="n">
        <v>0.01782311129842151</v>
      </c>
      <c r="V4225" s="6" t="inlineStr">
        <is>
          <t>not selected</t>
        </is>
      </c>
    </row>
    <row r="4226">
      <c r="A4226" s="6" t="inlineStr">
        <is>
          <t>DJ30</t>
        </is>
      </c>
      <c r="B4226" s="6" t="inlineStr">
        <is>
          <t>2025-08-15</t>
        </is>
      </c>
      <c r="C4226" s="6" t="inlineStr">
        <is>
          <t>DIA</t>
        </is>
      </c>
      <c r="D4226" s="6" t="inlineStr">
        <is>
          <t>CVX</t>
        </is>
      </c>
      <c r="E4226" s="6" t="inlineStr">
        <is>
          <t>CVX</t>
        </is>
      </c>
      <c r="F4226" s="6" t="inlineStr">
        <is>
          <t>-</t>
        </is>
      </c>
      <c r="G4226" s="7" t="n">
        <v>150.2568206787109</v>
      </c>
      <c r="H4226" s="6">
        <f>P4195</f>
        <v/>
      </c>
      <c r="I4226" s="9">
        <f>Q4195</f>
        <v/>
      </c>
      <c r="J4226" s="7">
        <f>I4226*G4226</f>
        <v/>
      </c>
      <c r="K4226" s="8">
        <f>IF($J$4248=0,0,J4226/$J$4248)</f>
        <v/>
      </c>
      <c r="L4226" s="6" t="inlineStr">
        <is>
          <t>REJECTED</t>
        </is>
      </c>
      <c r="M4226" s="8" t="n">
        <v>0</v>
      </c>
      <c r="N4226" s="7">
        <f>M4226*$J$4248-J4226</f>
        <v/>
      </c>
      <c r="O4226" s="9">
        <f>IF(G4226=0,0,N4226/G4226)</f>
        <v/>
      </c>
      <c r="P4226" s="6">
        <f>IF(M4226&gt;0,D4226,"")</f>
        <v/>
      </c>
      <c r="Q4226" s="9">
        <f>I4226+O4226</f>
        <v/>
      </c>
      <c r="R4226" s="7">
        <f>Q4226*G4226</f>
        <v/>
      </c>
      <c r="S4226" s="8">
        <f>IF($R$4248=0,0,R4226/$R$4248)</f>
        <v/>
      </c>
      <c r="T4226" s="8" t="n">
        <v>0.007073781920305056</v>
      </c>
      <c r="U4226" s="8" t="n">
        <v>0.01782311129842151</v>
      </c>
      <c r="V4226" s="6" t="inlineStr">
        <is>
          <t>not selected</t>
        </is>
      </c>
    </row>
    <row r="4227">
      <c r="A4227" s="6" t="inlineStr">
        <is>
          <t>DJ30</t>
        </is>
      </c>
      <c r="B4227" s="6" t="inlineStr">
        <is>
          <t>2025-08-15</t>
        </is>
      </c>
      <c r="C4227" s="6" t="inlineStr">
        <is>
          <t>DIA</t>
        </is>
      </c>
      <c r="D4227" s="6" t="inlineStr">
        <is>
          <t>DIS</t>
        </is>
      </c>
      <c r="E4227" s="6" t="inlineStr">
        <is>
          <t>DIS</t>
        </is>
      </c>
      <c r="F4227" s="6" t="inlineStr">
        <is>
          <t>-</t>
        </is>
      </c>
      <c r="G4227" s="7" t="n">
        <v>114.6145324707031</v>
      </c>
      <c r="H4227" s="6">
        <f>P4196</f>
        <v/>
      </c>
      <c r="I4227" s="9">
        <f>Q4196</f>
        <v/>
      </c>
      <c r="J4227" s="7">
        <f>I4227*G4227</f>
        <v/>
      </c>
      <c r="K4227" s="8">
        <f>IF($J$4248=0,0,J4227/$J$4248)</f>
        <v/>
      </c>
      <c r="L4227" s="6" t="inlineStr">
        <is>
          <t>REJECTED</t>
        </is>
      </c>
      <c r="M4227" s="8" t="n">
        <v>0</v>
      </c>
      <c r="N4227" s="7">
        <f>M4227*$J$4248-J4227</f>
        <v/>
      </c>
      <c r="O4227" s="9">
        <f>IF(G4227=0,0,N4227/G4227)</f>
        <v/>
      </c>
      <c r="P4227" s="6">
        <f>IF(M4227&gt;0,D4227,"")</f>
        <v/>
      </c>
      <c r="Q4227" s="9">
        <f>I4227+O4227</f>
        <v/>
      </c>
      <c r="R4227" s="7">
        <f>Q4227*G4227</f>
        <v/>
      </c>
      <c r="S4227" s="8">
        <f>IF($R$4248=0,0,R4227/$R$4248)</f>
        <v/>
      </c>
      <c r="T4227" s="8" t="n">
        <v>0.007073781920305056</v>
      </c>
      <c r="U4227" s="8" t="n">
        <v>0.01782311129842151</v>
      </c>
      <c r="V4227" s="6" t="inlineStr">
        <is>
          <t>not selected</t>
        </is>
      </c>
    </row>
    <row r="4228">
      <c r="A4228" s="6" t="inlineStr">
        <is>
          <t>DJ30</t>
        </is>
      </c>
      <c r="B4228" s="6" t="inlineStr">
        <is>
          <t>2025-08-15</t>
        </is>
      </c>
      <c r="C4228" s="6" t="inlineStr">
        <is>
          <t>DIA</t>
        </is>
      </c>
      <c r="D4228" s="6" t="inlineStr">
        <is>
          <t>GS</t>
        </is>
      </c>
      <c r="E4228" s="6" t="inlineStr">
        <is>
          <t>GS</t>
        </is>
      </c>
      <c r="F4228" s="6" t="inlineStr">
        <is>
          <t>-</t>
        </is>
      </c>
      <c r="G4228" s="7" t="n">
        <v>716.3004760742188</v>
      </c>
      <c r="H4228" s="6">
        <f>P4197</f>
        <v/>
      </c>
      <c r="I4228" s="9">
        <f>Q4197</f>
        <v/>
      </c>
      <c r="J4228" s="7">
        <f>I4228*G4228</f>
        <v/>
      </c>
      <c r="K4228" s="8">
        <f>IF($J$4248=0,0,J4228/$J$4248)</f>
        <v/>
      </c>
      <c r="L4228" s="6" t="inlineStr">
        <is>
          <t>WATCHLIST</t>
        </is>
      </c>
      <c r="M4228" s="8" t="n">
        <v>0</v>
      </c>
      <c r="N4228" s="7">
        <f>M4228*$J$4248-J4228</f>
        <v/>
      </c>
      <c r="O4228" s="9">
        <f>IF(G4228=0,0,N4228/G4228)</f>
        <v/>
      </c>
      <c r="P4228" s="6">
        <f>IF(M4228&gt;0,D4228,"")</f>
        <v/>
      </c>
      <c r="Q4228" s="9">
        <f>I4228+O4228</f>
        <v/>
      </c>
      <c r="R4228" s="7">
        <f>Q4228*G4228</f>
        <v/>
      </c>
      <c r="S4228" s="8">
        <f>IF($R$4248=0,0,R4228/$R$4248)</f>
        <v/>
      </c>
      <c r="T4228" s="8" t="n">
        <v>0.007073781920305056</v>
      </c>
      <c r="U4228" s="8" t="n">
        <v>0.01782311129842151</v>
      </c>
      <c r="V4228" s="6" t="inlineStr">
        <is>
          <t>not selected</t>
        </is>
      </c>
    </row>
    <row r="4229">
      <c r="A4229" s="6" t="inlineStr">
        <is>
          <t>DJ30</t>
        </is>
      </c>
      <c r="B4229" s="6" t="inlineStr">
        <is>
          <t>2025-08-15</t>
        </is>
      </c>
      <c r="C4229" s="6" t="inlineStr">
        <is>
          <t>DIA</t>
        </is>
      </c>
      <c r="D4229" s="6" t="inlineStr">
        <is>
          <t>HD</t>
        </is>
      </c>
      <c r="E4229" s="6" t="inlineStr">
        <is>
          <t>HD</t>
        </is>
      </c>
      <c r="F4229" s="6" t="inlineStr">
        <is>
          <t>-</t>
        </is>
      </c>
      <c r="G4229" s="7" t="n">
        <v>389.0364685058594</v>
      </c>
      <c r="H4229" s="6">
        <f>P4198</f>
        <v/>
      </c>
      <c r="I4229" s="9">
        <f>Q4198</f>
        <v/>
      </c>
      <c r="J4229" s="7">
        <f>I4229*G4229</f>
        <v/>
      </c>
      <c r="K4229" s="8">
        <f>IF($J$4248=0,0,J4229/$J$4248)</f>
        <v/>
      </c>
      <c r="L4229" s="6" t="inlineStr">
        <is>
          <t>REJECTED</t>
        </is>
      </c>
      <c r="M4229" s="8" t="n">
        <v>0</v>
      </c>
      <c r="N4229" s="7">
        <f>M4229*$J$4248-J4229</f>
        <v/>
      </c>
      <c r="O4229" s="9">
        <f>IF(G4229=0,0,N4229/G4229)</f>
        <v/>
      </c>
      <c r="P4229" s="6">
        <f>IF(M4229&gt;0,D4229,"")</f>
        <v/>
      </c>
      <c r="Q4229" s="9">
        <f>I4229+O4229</f>
        <v/>
      </c>
      <c r="R4229" s="7">
        <f>Q4229*G4229</f>
        <v/>
      </c>
      <c r="S4229" s="8">
        <f>IF($R$4248=0,0,R4229/$R$4248)</f>
        <v/>
      </c>
      <c r="T4229" s="8" t="n">
        <v>0.007073781920305056</v>
      </c>
      <c r="U4229" s="8" t="n">
        <v>0.01782311129842151</v>
      </c>
      <c r="V4229" s="6" t="inlineStr">
        <is>
          <t>not selected</t>
        </is>
      </c>
    </row>
    <row r="4230">
      <c r="A4230" s="6" t="inlineStr">
        <is>
          <t>DJ30</t>
        </is>
      </c>
      <c r="B4230" s="6" t="inlineStr">
        <is>
          <t>2025-08-15</t>
        </is>
      </c>
      <c r="C4230" s="6" t="inlineStr">
        <is>
          <t>DIA</t>
        </is>
      </c>
      <c r="D4230" s="6" t="inlineStr">
        <is>
          <t>HON</t>
        </is>
      </c>
      <c r="E4230" s="6" t="inlineStr">
        <is>
          <t>HON</t>
        </is>
      </c>
      <c r="F4230" s="6" t="inlineStr">
        <is>
          <t>-</t>
        </is>
      </c>
      <c r="G4230" s="7" t="n">
        <v>200.9829711914062</v>
      </c>
      <c r="H4230" s="6">
        <f>P4199</f>
        <v/>
      </c>
      <c r="I4230" s="9">
        <f>Q4199</f>
        <v/>
      </c>
      <c r="J4230" s="7">
        <f>I4230*G4230</f>
        <v/>
      </c>
      <c r="K4230" s="8">
        <f>IF($J$4248=0,0,J4230/$J$4248)</f>
        <v/>
      </c>
      <c r="L4230" s="6" t="inlineStr">
        <is>
          <t>REJECTED</t>
        </is>
      </c>
      <c r="M4230" s="8" t="n">
        <v>0</v>
      </c>
      <c r="N4230" s="7">
        <f>M4230*$J$4248-J4230</f>
        <v/>
      </c>
      <c r="O4230" s="9">
        <f>IF(G4230=0,0,N4230/G4230)</f>
        <v/>
      </c>
      <c r="P4230" s="6">
        <f>IF(M4230&gt;0,D4230,"")</f>
        <v/>
      </c>
      <c r="Q4230" s="9">
        <f>I4230+O4230</f>
        <v/>
      </c>
      <c r="R4230" s="7">
        <f>Q4230*G4230</f>
        <v/>
      </c>
      <c r="S4230" s="8">
        <f>IF($R$4248=0,0,R4230/$R$4248)</f>
        <v/>
      </c>
      <c r="T4230" s="8" t="n">
        <v>0.007073781920305056</v>
      </c>
      <c r="U4230" s="8" t="n">
        <v>0.01782311129842151</v>
      </c>
      <c r="V4230" s="6" t="inlineStr">
        <is>
          <t>not selected</t>
        </is>
      </c>
    </row>
    <row r="4231">
      <c r="A4231" s="6" t="inlineStr">
        <is>
          <t>DJ30</t>
        </is>
      </c>
      <c r="B4231" s="6" t="inlineStr">
        <is>
          <t>2025-08-15</t>
        </is>
      </c>
      <c r="C4231" s="6" t="inlineStr">
        <is>
          <t>DIA</t>
        </is>
      </c>
      <c r="D4231" s="6" t="inlineStr">
        <is>
          <t>IBM</t>
        </is>
      </c>
      <c r="E4231" s="6" t="inlineStr">
        <is>
          <t>IBM</t>
        </is>
      </c>
      <c r="F4231" s="6" t="inlineStr">
        <is>
          <t>-</t>
        </is>
      </c>
      <c r="G4231" s="7" t="n">
        <v>235.3219909667969</v>
      </c>
      <c r="H4231" s="6">
        <f>P4200</f>
        <v/>
      </c>
      <c r="I4231" s="9">
        <f>Q4200</f>
        <v/>
      </c>
      <c r="J4231" s="7">
        <f>I4231*G4231</f>
        <v/>
      </c>
      <c r="K4231" s="8">
        <f>IF($J$4248=0,0,J4231/$J$4248)</f>
        <v/>
      </c>
      <c r="L4231" s="6" t="inlineStr">
        <is>
          <t>SELECTED</t>
        </is>
      </c>
      <c r="M4231" s="8" t="n">
        <v>0.2</v>
      </c>
      <c r="N4231" s="7">
        <f>M4231*$J$4248-J4231</f>
        <v/>
      </c>
      <c r="O4231" s="9">
        <f>IF(G4231=0,0,N4231/G4231)</f>
        <v/>
      </c>
      <c r="P4231" s="6">
        <f>IF(M4231&gt;0,D4231,"")</f>
        <v/>
      </c>
      <c r="Q4231" s="9">
        <f>I4231+O4231</f>
        <v/>
      </c>
      <c r="R4231" s="7">
        <f>Q4231*G4231</f>
        <v/>
      </c>
      <c r="S4231" s="8">
        <f>IF($R$4248=0,0,R4231/$R$4248)</f>
        <v/>
      </c>
      <c r="T4231" s="8" t="n">
        <v>0.007073781920305056</v>
      </c>
      <c r="U4231" s="8" t="n">
        <v>0.01782311129842151</v>
      </c>
      <c r="V4231" s="6" t="inlineStr">
        <is>
          <t>remained in weekly selection</t>
        </is>
      </c>
    </row>
    <row r="4232">
      <c r="A4232" s="6" t="inlineStr">
        <is>
          <t>DJ30</t>
        </is>
      </c>
      <c r="B4232" s="6" t="inlineStr">
        <is>
          <t>2025-08-15</t>
        </is>
      </c>
      <c r="C4232" s="6" t="inlineStr">
        <is>
          <t>DIA</t>
        </is>
      </c>
      <c r="D4232" s="6" t="inlineStr">
        <is>
          <t>JNJ</t>
        </is>
      </c>
      <c r="E4232" s="6" t="inlineStr">
        <is>
          <t>JNJ</t>
        </is>
      </c>
      <c r="F4232" s="6" t="inlineStr">
        <is>
          <t>-</t>
        </is>
      </c>
      <c r="G4232" s="7" t="n">
        <v>172.3340454101562</v>
      </c>
      <c r="H4232" s="6">
        <f>P4201</f>
        <v/>
      </c>
      <c r="I4232" s="9">
        <f>Q4201</f>
        <v/>
      </c>
      <c r="J4232" s="7">
        <f>I4232*G4232</f>
        <v/>
      </c>
      <c r="K4232" s="8">
        <f>IF($J$4248=0,0,J4232/$J$4248)</f>
        <v/>
      </c>
      <c r="L4232" s="6" t="inlineStr">
        <is>
          <t>REJECTED</t>
        </is>
      </c>
      <c r="M4232" s="8" t="n">
        <v>0</v>
      </c>
      <c r="N4232" s="7">
        <f>M4232*$J$4248-J4232</f>
        <v/>
      </c>
      <c r="O4232" s="9">
        <f>IF(G4232=0,0,N4232/G4232)</f>
        <v/>
      </c>
      <c r="P4232" s="6">
        <f>IF(M4232&gt;0,D4232,"")</f>
        <v/>
      </c>
      <c r="Q4232" s="9">
        <f>I4232+O4232</f>
        <v/>
      </c>
      <c r="R4232" s="7">
        <f>Q4232*G4232</f>
        <v/>
      </c>
      <c r="S4232" s="8">
        <f>IF($R$4248=0,0,R4232/$R$4248)</f>
        <v/>
      </c>
      <c r="T4232" s="8" t="n">
        <v>0.007073781920305056</v>
      </c>
      <c r="U4232" s="8" t="n">
        <v>0.01782311129842151</v>
      </c>
      <c r="V4232" s="6" t="inlineStr">
        <is>
          <t>not selected</t>
        </is>
      </c>
    </row>
    <row r="4233">
      <c r="A4233" s="6" t="inlineStr">
        <is>
          <t>DJ30</t>
        </is>
      </c>
      <c r="B4233" s="6" t="inlineStr">
        <is>
          <t>2025-08-15</t>
        </is>
      </c>
      <c r="C4233" s="6" t="inlineStr">
        <is>
          <t>DIA</t>
        </is>
      </c>
      <c r="D4233" s="6" t="inlineStr">
        <is>
          <t>JPM</t>
        </is>
      </c>
      <c r="E4233" s="6" t="inlineStr">
        <is>
          <t>JPM</t>
        </is>
      </c>
      <c r="F4233" s="6" t="inlineStr">
        <is>
          <t>-</t>
        </is>
      </c>
      <c r="G4233" s="7" t="n">
        <v>286.3210754394531</v>
      </c>
      <c r="H4233" s="6">
        <f>P4202</f>
        <v/>
      </c>
      <c r="I4233" s="9">
        <f>Q4202</f>
        <v/>
      </c>
      <c r="J4233" s="7">
        <f>I4233*G4233</f>
        <v/>
      </c>
      <c r="K4233" s="8">
        <f>IF($J$4248=0,0,J4233/$J$4248)</f>
        <v/>
      </c>
      <c r="L4233" s="6" t="inlineStr">
        <is>
          <t>WATCHLIST</t>
        </is>
      </c>
      <c r="M4233" s="8" t="n">
        <v>0</v>
      </c>
      <c r="N4233" s="7">
        <f>M4233*$J$4248-J4233</f>
        <v/>
      </c>
      <c r="O4233" s="9">
        <f>IF(G4233=0,0,N4233/G4233)</f>
        <v/>
      </c>
      <c r="P4233" s="6">
        <f>IF(M4233&gt;0,D4233,"")</f>
        <v/>
      </c>
      <c r="Q4233" s="9">
        <f>I4233+O4233</f>
        <v/>
      </c>
      <c r="R4233" s="7">
        <f>Q4233*G4233</f>
        <v/>
      </c>
      <c r="S4233" s="8">
        <f>IF($R$4248=0,0,R4233/$R$4248)</f>
        <v/>
      </c>
      <c r="T4233" s="8" t="n">
        <v>0.007073781920305056</v>
      </c>
      <c r="U4233" s="8" t="n">
        <v>0.01782311129842151</v>
      </c>
      <c r="V4233" s="6" t="inlineStr">
        <is>
          <t>not selected</t>
        </is>
      </c>
    </row>
    <row r="4234">
      <c r="A4234" s="6" t="inlineStr">
        <is>
          <t>DJ30</t>
        </is>
      </c>
      <c r="B4234" s="6" t="inlineStr">
        <is>
          <t>2025-08-15</t>
        </is>
      </c>
      <c r="C4234" s="6" t="inlineStr">
        <is>
          <t>DIA</t>
        </is>
      </c>
      <c r="D4234" s="6" t="inlineStr">
        <is>
          <t>KO</t>
        </is>
      </c>
      <c r="E4234" s="6" t="inlineStr">
        <is>
          <t>KO</t>
        </is>
      </c>
      <c r="F4234" s="6" t="inlineStr">
        <is>
          <t>-</t>
        </is>
      </c>
      <c r="G4234" s="7" t="n">
        <v>67.99434661865234</v>
      </c>
      <c r="H4234" s="6">
        <f>P4203</f>
        <v/>
      </c>
      <c r="I4234" s="9">
        <f>Q4203</f>
        <v/>
      </c>
      <c r="J4234" s="7">
        <f>I4234*G4234</f>
        <v/>
      </c>
      <c r="K4234" s="8">
        <f>IF($J$4248=0,0,J4234/$J$4248)</f>
        <v/>
      </c>
      <c r="L4234" s="6" t="inlineStr">
        <is>
          <t>REJECTED</t>
        </is>
      </c>
      <c r="M4234" s="8" t="n">
        <v>0</v>
      </c>
      <c r="N4234" s="7">
        <f>M4234*$J$4248-J4234</f>
        <v/>
      </c>
      <c r="O4234" s="9">
        <f>IF(G4234=0,0,N4234/G4234)</f>
        <v/>
      </c>
      <c r="P4234" s="6">
        <f>IF(M4234&gt;0,D4234,"")</f>
        <v/>
      </c>
      <c r="Q4234" s="9">
        <f>I4234+O4234</f>
        <v/>
      </c>
      <c r="R4234" s="7">
        <f>Q4234*G4234</f>
        <v/>
      </c>
      <c r="S4234" s="8">
        <f>IF($R$4248=0,0,R4234/$R$4248)</f>
        <v/>
      </c>
      <c r="T4234" s="8" t="n">
        <v>0.007073781920305056</v>
      </c>
      <c r="U4234" s="8" t="n">
        <v>0.01782311129842151</v>
      </c>
      <c r="V4234" s="6" t="inlineStr">
        <is>
          <t>not selected</t>
        </is>
      </c>
    </row>
    <row r="4235">
      <c r="A4235" s="6" t="inlineStr">
        <is>
          <t>DJ30</t>
        </is>
      </c>
      <c r="B4235" s="6" t="inlineStr">
        <is>
          <t>2025-08-15</t>
        </is>
      </c>
      <c r="C4235" s="6" t="inlineStr">
        <is>
          <t>DIA</t>
        </is>
      </c>
      <c r="D4235" s="6" t="inlineStr">
        <is>
          <t>MCD</t>
        </is>
      </c>
      <c r="E4235" s="6" t="inlineStr">
        <is>
          <t>MCD</t>
        </is>
      </c>
      <c r="F4235" s="6" t="inlineStr">
        <is>
          <t>-</t>
        </is>
      </c>
      <c r="G4235" s="7" t="n">
        <v>301.6117553710937</v>
      </c>
      <c r="H4235" s="6">
        <f>P4204</f>
        <v/>
      </c>
      <c r="I4235" s="9">
        <f>Q4204</f>
        <v/>
      </c>
      <c r="J4235" s="7">
        <f>I4235*G4235</f>
        <v/>
      </c>
      <c r="K4235" s="8">
        <f>IF($J$4248=0,0,J4235/$J$4248)</f>
        <v/>
      </c>
      <c r="L4235" s="6" t="inlineStr">
        <is>
          <t>REJECTED</t>
        </is>
      </c>
      <c r="M4235" s="8" t="n">
        <v>0</v>
      </c>
      <c r="N4235" s="7">
        <f>M4235*$J$4248-J4235</f>
        <v/>
      </c>
      <c r="O4235" s="9">
        <f>IF(G4235=0,0,N4235/G4235)</f>
        <v/>
      </c>
      <c r="P4235" s="6">
        <f>IF(M4235&gt;0,D4235,"")</f>
        <v/>
      </c>
      <c r="Q4235" s="9">
        <f>I4235+O4235</f>
        <v/>
      </c>
      <c r="R4235" s="7">
        <f>Q4235*G4235</f>
        <v/>
      </c>
      <c r="S4235" s="8">
        <f>IF($R$4248=0,0,R4235/$R$4248)</f>
        <v/>
      </c>
      <c r="T4235" s="8" t="n">
        <v>0.007073781920305056</v>
      </c>
      <c r="U4235" s="8" t="n">
        <v>0.01782311129842151</v>
      </c>
      <c r="V4235" s="6" t="inlineStr">
        <is>
          <t>not selected</t>
        </is>
      </c>
    </row>
    <row r="4236">
      <c r="A4236" s="6" t="inlineStr">
        <is>
          <t>DJ30</t>
        </is>
      </c>
      <c r="B4236" s="6" t="inlineStr">
        <is>
          <t>2025-08-15</t>
        </is>
      </c>
      <c r="C4236" s="6" t="inlineStr">
        <is>
          <t>DIA</t>
        </is>
      </c>
      <c r="D4236" s="6" t="inlineStr">
        <is>
          <t>MMM</t>
        </is>
      </c>
      <c r="E4236" s="6" t="inlineStr">
        <is>
          <t>MMM</t>
        </is>
      </c>
      <c r="F4236" s="6" t="inlineStr">
        <is>
          <t>-</t>
        </is>
      </c>
      <c r="G4236" s="7" t="n">
        <v>149.5917358398438</v>
      </c>
      <c r="H4236" s="6">
        <f>P4205</f>
        <v/>
      </c>
      <c r="I4236" s="9">
        <f>Q4205</f>
        <v/>
      </c>
      <c r="J4236" s="7">
        <f>I4236*G4236</f>
        <v/>
      </c>
      <c r="K4236" s="8">
        <f>IF($J$4248=0,0,J4236/$J$4248)</f>
        <v/>
      </c>
      <c r="L4236" s="6" t="inlineStr">
        <is>
          <t>WATCHLIST</t>
        </is>
      </c>
      <c r="M4236" s="8" t="n">
        <v>0</v>
      </c>
      <c r="N4236" s="7">
        <f>M4236*$J$4248-J4236</f>
        <v/>
      </c>
      <c r="O4236" s="9">
        <f>IF(G4236=0,0,N4236/G4236)</f>
        <v/>
      </c>
      <c r="P4236" s="6">
        <f>IF(M4236&gt;0,D4236,"")</f>
        <v/>
      </c>
      <c r="Q4236" s="9">
        <f>I4236+O4236</f>
        <v/>
      </c>
      <c r="R4236" s="7">
        <f>Q4236*G4236</f>
        <v/>
      </c>
      <c r="S4236" s="8">
        <f>IF($R$4248=0,0,R4236/$R$4248)</f>
        <v/>
      </c>
      <c r="T4236" s="8" t="n">
        <v>0.007073781920305056</v>
      </c>
      <c r="U4236" s="8" t="n">
        <v>0.01782311129842151</v>
      </c>
      <c r="V4236" s="6" t="inlineStr">
        <is>
          <t>not selected</t>
        </is>
      </c>
    </row>
    <row r="4237">
      <c r="A4237" s="6" t="inlineStr">
        <is>
          <t>DJ30</t>
        </is>
      </c>
      <c r="B4237" s="6" t="inlineStr">
        <is>
          <t>2025-08-15</t>
        </is>
      </c>
      <c r="C4237" s="6" t="inlineStr">
        <is>
          <t>DIA</t>
        </is>
      </c>
      <c r="D4237" s="6" t="inlineStr">
        <is>
          <t>MRK</t>
        </is>
      </c>
      <c r="E4237" s="6" t="inlineStr">
        <is>
          <t>MRK</t>
        </is>
      </c>
      <c r="F4237" s="6" t="inlineStr">
        <is>
          <t>-</t>
        </is>
      </c>
      <c r="G4237" s="7" t="n">
        <v>81.48577880859375</v>
      </c>
      <c r="H4237" s="6">
        <f>P4206</f>
        <v/>
      </c>
      <c r="I4237" s="9">
        <f>Q4206</f>
        <v/>
      </c>
      <c r="J4237" s="7">
        <f>I4237*G4237</f>
        <v/>
      </c>
      <c r="K4237" s="8">
        <f>IF($J$4248=0,0,J4237/$J$4248)</f>
        <v/>
      </c>
      <c r="L4237" s="6" t="inlineStr">
        <is>
          <t>REJECTED</t>
        </is>
      </c>
      <c r="M4237" s="8" t="n">
        <v>0</v>
      </c>
      <c r="N4237" s="7">
        <f>M4237*$J$4248-J4237</f>
        <v/>
      </c>
      <c r="O4237" s="9">
        <f>IF(G4237=0,0,N4237/G4237)</f>
        <v/>
      </c>
      <c r="P4237" s="6">
        <f>IF(M4237&gt;0,D4237,"")</f>
        <v/>
      </c>
      <c r="Q4237" s="9">
        <f>I4237+O4237</f>
        <v/>
      </c>
      <c r="R4237" s="7">
        <f>Q4237*G4237</f>
        <v/>
      </c>
      <c r="S4237" s="8">
        <f>IF($R$4248=0,0,R4237/$R$4248)</f>
        <v/>
      </c>
      <c r="T4237" s="8" t="n">
        <v>0.007073781920305056</v>
      </c>
      <c r="U4237" s="8" t="n">
        <v>0.01782311129842151</v>
      </c>
      <c r="V4237" s="6" t="inlineStr">
        <is>
          <t>not selected</t>
        </is>
      </c>
    </row>
    <row r="4238">
      <c r="A4238" s="6" t="inlineStr">
        <is>
          <t>DJ30</t>
        </is>
      </c>
      <c r="B4238" s="6" t="inlineStr">
        <is>
          <t>2025-08-15</t>
        </is>
      </c>
      <c r="C4238" s="6" t="inlineStr">
        <is>
          <t>DIA</t>
        </is>
      </c>
      <c r="D4238" s="6" t="inlineStr">
        <is>
          <t>MSFT</t>
        </is>
      </c>
      <c r="E4238" s="6" t="inlineStr">
        <is>
          <t>MSFT</t>
        </is>
      </c>
      <c r="F4238" s="6" t="inlineStr">
        <is>
          <t>-</t>
        </is>
      </c>
      <c r="G4238" s="7" t="n">
        <v>516.0480346679688</v>
      </c>
      <c r="H4238" s="6">
        <f>P4207</f>
        <v/>
      </c>
      <c r="I4238" s="9">
        <f>Q4207</f>
        <v/>
      </c>
      <c r="J4238" s="7">
        <f>I4238*G4238</f>
        <v/>
      </c>
      <c r="K4238" s="8">
        <f>IF($J$4248=0,0,J4238/$J$4248)</f>
        <v/>
      </c>
      <c r="L4238" s="6" t="inlineStr">
        <is>
          <t>WATCHLIST</t>
        </is>
      </c>
      <c r="M4238" s="8" t="n">
        <v>0</v>
      </c>
      <c r="N4238" s="7">
        <f>M4238*$J$4248-J4238</f>
        <v/>
      </c>
      <c r="O4238" s="9">
        <f>IF(G4238=0,0,N4238/G4238)</f>
        <v/>
      </c>
      <c r="P4238" s="6">
        <f>IF(M4238&gt;0,D4238,"")</f>
        <v/>
      </c>
      <c r="Q4238" s="9">
        <f>I4238+O4238</f>
        <v/>
      </c>
      <c r="R4238" s="7">
        <f>Q4238*G4238</f>
        <v/>
      </c>
      <c r="S4238" s="8">
        <f>IF($R$4248=0,0,R4238/$R$4248)</f>
        <v/>
      </c>
      <c r="T4238" s="8" t="n">
        <v>0.007073781920305056</v>
      </c>
      <c r="U4238" s="8" t="n">
        <v>0.01782311129842151</v>
      </c>
      <c r="V4238" s="6" t="inlineStr">
        <is>
          <t>not selected</t>
        </is>
      </c>
    </row>
    <row r="4239">
      <c r="A4239" s="6" t="inlineStr">
        <is>
          <t>DJ30</t>
        </is>
      </c>
      <c r="B4239" s="6" t="inlineStr">
        <is>
          <t>2025-08-15</t>
        </is>
      </c>
      <c r="C4239" s="6" t="inlineStr">
        <is>
          <t>DIA</t>
        </is>
      </c>
      <c r="D4239" s="6" t="inlineStr">
        <is>
          <t>NKE</t>
        </is>
      </c>
      <c r="E4239" s="6" t="inlineStr">
        <is>
          <t>NKE</t>
        </is>
      </c>
      <c r="F4239" s="6" t="inlineStr">
        <is>
          <t>-</t>
        </is>
      </c>
      <c r="G4239" s="7" t="n">
        <v>74.91427612304688</v>
      </c>
      <c r="H4239" s="6">
        <f>P4208</f>
        <v/>
      </c>
      <c r="I4239" s="9">
        <f>Q4208</f>
        <v/>
      </c>
      <c r="J4239" s="7">
        <f>I4239*G4239</f>
        <v/>
      </c>
      <c r="K4239" s="8">
        <f>IF($J$4248=0,0,J4239/$J$4248)</f>
        <v/>
      </c>
      <c r="L4239" s="6" t="inlineStr">
        <is>
          <t>REJECTED</t>
        </is>
      </c>
      <c r="M4239" s="8" t="n">
        <v>0</v>
      </c>
      <c r="N4239" s="7">
        <f>M4239*$J$4248-J4239</f>
        <v/>
      </c>
      <c r="O4239" s="9">
        <f>IF(G4239=0,0,N4239/G4239)</f>
        <v/>
      </c>
      <c r="P4239" s="6">
        <f>IF(M4239&gt;0,D4239,"")</f>
        <v/>
      </c>
      <c r="Q4239" s="9">
        <f>I4239+O4239</f>
        <v/>
      </c>
      <c r="R4239" s="7">
        <f>Q4239*G4239</f>
        <v/>
      </c>
      <c r="S4239" s="8">
        <f>IF($R$4248=0,0,R4239/$R$4248)</f>
        <v/>
      </c>
      <c r="T4239" s="8" t="n">
        <v>0.007073781920305056</v>
      </c>
      <c r="U4239" s="8" t="n">
        <v>0.01782311129842151</v>
      </c>
      <c r="V4239" s="6" t="inlineStr">
        <is>
          <t>not selected</t>
        </is>
      </c>
    </row>
    <row r="4240">
      <c r="A4240" s="6" t="inlineStr">
        <is>
          <t>DJ30</t>
        </is>
      </c>
      <c r="B4240" s="6" t="inlineStr">
        <is>
          <t>2025-08-15</t>
        </is>
      </c>
      <c r="C4240" s="6" t="inlineStr">
        <is>
          <t>DIA</t>
        </is>
      </c>
      <c r="D4240" s="6" t="inlineStr">
        <is>
          <t>NVDA</t>
        </is>
      </c>
      <c r="E4240" s="6" t="inlineStr">
        <is>
          <t>NVDA</t>
        </is>
      </c>
      <c r="F4240" s="6" t="inlineStr">
        <is>
          <t>-</t>
        </is>
      </c>
      <c r="G4240" s="7" t="n">
        <v>180.209976196289</v>
      </c>
      <c r="H4240" s="6">
        <f>P4209</f>
        <v/>
      </c>
      <c r="I4240" s="9">
        <f>Q4209</f>
        <v/>
      </c>
      <c r="J4240" s="7">
        <f>I4240*G4240</f>
        <v/>
      </c>
      <c r="K4240" s="8">
        <f>IF($J$4248=0,0,J4240/$J$4248)</f>
        <v/>
      </c>
      <c r="L4240" s="6" t="inlineStr">
        <is>
          <t>REJECTED</t>
        </is>
      </c>
      <c r="M4240" s="8" t="n">
        <v>0</v>
      </c>
      <c r="N4240" s="7">
        <f>M4240*$J$4248-J4240</f>
        <v/>
      </c>
      <c r="O4240" s="9">
        <f>IF(G4240=0,0,N4240/G4240)</f>
        <v/>
      </c>
      <c r="P4240" s="6">
        <f>IF(M4240&gt;0,D4240,"")</f>
        <v/>
      </c>
      <c r="Q4240" s="9">
        <f>I4240+O4240</f>
        <v/>
      </c>
      <c r="R4240" s="7">
        <f>Q4240*G4240</f>
        <v/>
      </c>
      <c r="S4240" s="8">
        <f>IF($R$4248=0,0,R4240/$R$4248)</f>
        <v/>
      </c>
      <c r="T4240" s="8" t="n">
        <v>0.007073781920305056</v>
      </c>
      <c r="U4240" s="8" t="n">
        <v>0.01782311129842151</v>
      </c>
      <c r="V4240" s="6" t="inlineStr">
        <is>
          <t>not selected</t>
        </is>
      </c>
    </row>
    <row r="4241">
      <c r="A4241" s="6" t="inlineStr">
        <is>
          <t>DJ30</t>
        </is>
      </c>
      <c r="B4241" s="6" t="inlineStr">
        <is>
          <t>2025-08-15</t>
        </is>
      </c>
      <c r="C4241" s="6" t="inlineStr">
        <is>
          <t>DIA</t>
        </is>
      </c>
      <c r="D4241" s="6" t="inlineStr">
        <is>
          <t>PG</t>
        </is>
      </c>
      <c r="E4241" s="6" t="inlineStr">
        <is>
          <t>PG</t>
        </is>
      </c>
      <c r="F4241" s="6" t="inlineStr">
        <is>
          <t>-</t>
        </is>
      </c>
      <c r="G4241" s="7" t="n">
        <v>151.06982421875</v>
      </c>
      <c r="H4241" s="6">
        <f>P4210</f>
        <v/>
      </c>
      <c r="I4241" s="9">
        <f>Q4210</f>
        <v/>
      </c>
      <c r="J4241" s="7">
        <f>I4241*G4241</f>
        <v/>
      </c>
      <c r="K4241" s="8">
        <f>IF($J$4248=0,0,J4241/$J$4248)</f>
        <v/>
      </c>
      <c r="L4241" s="6" t="inlineStr">
        <is>
          <t>REJECTED</t>
        </is>
      </c>
      <c r="M4241" s="8" t="n">
        <v>0</v>
      </c>
      <c r="N4241" s="7">
        <f>M4241*$J$4248-J4241</f>
        <v/>
      </c>
      <c r="O4241" s="9">
        <f>IF(G4241=0,0,N4241/G4241)</f>
        <v/>
      </c>
      <c r="P4241" s="6">
        <f>IF(M4241&gt;0,D4241,"")</f>
        <v/>
      </c>
      <c r="Q4241" s="9">
        <f>I4241+O4241</f>
        <v/>
      </c>
      <c r="R4241" s="7">
        <f>Q4241*G4241</f>
        <v/>
      </c>
      <c r="S4241" s="8">
        <f>IF($R$4248=0,0,R4241/$R$4248)</f>
        <v/>
      </c>
      <c r="T4241" s="8" t="n">
        <v>0.007073781920305056</v>
      </c>
      <c r="U4241" s="8" t="n">
        <v>0.01782311129842151</v>
      </c>
      <c r="V4241" s="6" t="inlineStr">
        <is>
          <t>not selected</t>
        </is>
      </c>
    </row>
    <row r="4242">
      <c r="A4242" s="6" t="inlineStr">
        <is>
          <t>DJ30</t>
        </is>
      </c>
      <c r="B4242" s="6" t="inlineStr">
        <is>
          <t>2025-08-15</t>
        </is>
      </c>
      <c r="C4242" s="6" t="inlineStr">
        <is>
          <t>DIA</t>
        </is>
      </c>
      <c r="D4242" s="6" t="inlineStr">
        <is>
          <t>SHW</t>
        </is>
      </c>
      <c r="E4242" s="6" t="inlineStr">
        <is>
          <t>SHW</t>
        </is>
      </c>
      <c r="F4242" s="6" t="inlineStr">
        <is>
          <t>-</t>
        </is>
      </c>
      <c r="G4242" s="7" t="n">
        <v>361.8101501464844</v>
      </c>
      <c r="H4242" s="6">
        <f>P4211</f>
        <v/>
      </c>
      <c r="I4242" s="9">
        <f>Q4211</f>
        <v/>
      </c>
      <c r="J4242" s="7">
        <f>I4242*G4242</f>
        <v/>
      </c>
      <c r="K4242" s="8">
        <f>IF($J$4248=0,0,J4242/$J$4248)</f>
        <v/>
      </c>
      <c r="L4242" s="6" t="inlineStr">
        <is>
          <t>REJECTED</t>
        </is>
      </c>
      <c r="M4242" s="8" t="n">
        <v>0</v>
      </c>
      <c r="N4242" s="7">
        <f>M4242*$J$4248-J4242</f>
        <v/>
      </c>
      <c r="O4242" s="9">
        <f>IF(G4242=0,0,N4242/G4242)</f>
        <v/>
      </c>
      <c r="P4242" s="6">
        <f>IF(M4242&gt;0,D4242,"")</f>
        <v/>
      </c>
      <c r="Q4242" s="9">
        <f>I4242+O4242</f>
        <v/>
      </c>
      <c r="R4242" s="7">
        <f>Q4242*G4242</f>
        <v/>
      </c>
      <c r="S4242" s="8">
        <f>IF($R$4248=0,0,R4242/$R$4248)</f>
        <v/>
      </c>
      <c r="T4242" s="8" t="n">
        <v>0.007073781920305056</v>
      </c>
      <c r="U4242" s="8" t="n">
        <v>0.01782311129842151</v>
      </c>
      <c r="V4242" s="6" t="inlineStr">
        <is>
          <t>not selected</t>
        </is>
      </c>
    </row>
    <row r="4243">
      <c r="A4243" s="6" t="inlineStr">
        <is>
          <t>DJ30</t>
        </is>
      </c>
      <c r="B4243" s="6" t="inlineStr">
        <is>
          <t>2025-08-15</t>
        </is>
      </c>
      <c r="C4243" s="6" t="inlineStr">
        <is>
          <t>DIA</t>
        </is>
      </c>
      <c r="D4243" s="6" t="inlineStr">
        <is>
          <t>TRV</t>
        </is>
      </c>
      <c r="E4243" s="6" t="inlineStr">
        <is>
          <t>TRV</t>
        </is>
      </c>
      <c r="F4243" s="6" t="inlineStr">
        <is>
          <t>-</t>
        </is>
      </c>
      <c r="G4243" s="7" t="n">
        <v>261.4308166503906</v>
      </c>
      <c r="H4243" s="6">
        <f>P4212</f>
        <v/>
      </c>
      <c r="I4243" s="9">
        <f>Q4212</f>
        <v/>
      </c>
      <c r="J4243" s="7">
        <f>I4243*G4243</f>
        <v/>
      </c>
      <c r="K4243" s="8">
        <f>IF($J$4248=0,0,J4243/$J$4248)</f>
        <v/>
      </c>
      <c r="L4243" s="6" t="inlineStr">
        <is>
          <t>SELECTED</t>
        </is>
      </c>
      <c r="M4243" s="8" t="n">
        <v>0.2</v>
      </c>
      <c r="N4243" s="7">
        <f>M4243*$J$4248-J4243</f>
        <v/>
      </c>
      <c r="O4243" s="9">
        <f>IF(G4243=0,0,N4243/G4243)</f>
        <v/>
      </c>
      <c r="P4243" s="6">
        <f>IF(M4243&gt;0,D4243,"")</f>
        <v/>
      </c>
      <c r="Q4243" s="9">
        <f>I4243+O4243</f>
        <v/>
      </c>
      <c r="R4243" s="7">
        <f>Q4243*G4243</f>
        <v/>
      </c>
      <c r="S4243" s="8">
        <f>IF($R$4248=0,0,R4243/$R$4248)</f>
        <v/>
      </c>
      <c r="T4243" s="8" t="n">
        <v>0.007073781920305056</v>
      </c>
      <c r="U4243" s="8" t="n">
        <v>0.01782311129842151</v>
      </c>
      <c r="V4243" s="6" t="inlineStr">
        <is>
          <t>entered weekly selection</t>
        </is>
      </c>
    </row>
    <row r="4244">
      <c r="A4244" s="6" t="inlineStr">
        <is>
          <t>DJ30</t>
        </is>
      </c>
      <c r="B4244" s="6" t="inlineStr">
        <is>
          <t>2025-08-15</t>
        </is>
      </c>
      <c r="C4244" s="6" t="inlineStr">
        <is>
          <t>DIA</t>
        </is>
      </c>
      <c r="D4244" s="6" t="inlineStr">
        <is>
          <t>UNH</t>
        </is>
      </c>
      <c r="E4244" s="6" t="inlineStr">
        <is>
          <t>UNH</t>
        </is>
      </c>
      <c r="F4244" s="6" t="inlineStr">
        <is>
          <t>-</t>
        </is>
      </c>
      <c r="G4244" s="7" t="n">
        <v>296.0804138183594</v>
      </c>
      <c r="H4244" s="6">
        <f>P4213</f>
        <v/>
      </c>
      <c r="I4244" s="9">
        <f>Q4213</f>
        <v/>
      </c>
      <c r="J4244" s="7">
        <f>I4244*G4244</f>
        <v/>
      </c>
      <c r="K4244" s="8">
        <f>IF($J$4248=0,0,J4244/$J$4248)</f>
        <v/>
      </c>
      <c r="L4244" s="6" t="inlineStr">
        <is>
          <t>REJECTED</t>
        </is>
      </c>
      <c r="M4244" s="8" t="n">
        <v>0</v>
      </c>
      <c r="N4244" s="7">
        <f>M4244*$J$4248-J4244</f>
        <v/>
      </c>
      <c r="O4244" s="9">
        <f>IF(G4244=0,0,N4244/G4244)</f>
        <v/>
      </c>
      <c r="P4244" s="6">
        <f>IF(M4244&gt;0,D4244,"")</f>
        <v/>
      </c>
      <c r="Q4244" s="9">
        <f>I4244+O4244</f>
        <v/>
      </c>
      <c r="R4244" s="7">
        <f>Q4244*G4244</f>
        <v/>
      </c>
      <c r="S4244" s="8">
        <f>IF($R$4248=0,0,R4244/$R$4248)</f>
        <v/>
      </c>
      <c r="T4244" s="8" t="n">
        <v>0.007073781920305056</v>
      </c>
      <c r="U4244" s="8" t="n">
        <v>0.01782311129842151</v>
      </c>
      <c r="V4244" s="6" t="inlineStr">
        <is>
          <t>not selected</t>
        </is>
      </c>
    </row>
    <row r="4245">
      <c r="A4245" s="6" t="inlineStr">
        <is>
          <t>DJ30</t>
        </is>
      </c>
      <c r="B4245" s="6" t="inlineStr">
        <is>
          <t>2025-08-15</t>
        </is>
      </c>
      <c r="C4245" s="6" t="inlineStr">
        <is>
          <t>DIA</t>
        </is>
      </c>
      <c r="D4245" s="6" t="inlineStr">
        <is>
          <t>V</t>
        </is>
      </c>
      <c r="E4245" s="6" t="inlineStr">
        <is>
          <t>V</t>
        </is>
      </c>
      <c r="F4245" s="6" t="inlineStr">
        <is>
          <t>-</t>
        </is>
      </c>
      <c r="G4245" s="7" t="n">
        <v>342.3717956542969</v>
      </c>
      <c r="H4245" s="6">
        <f>P4214</f>
        <v/>
      </c>
      <c r="I4245" s="9">
        <f>Q4214</f>
        <v/>
      </c>
      <c r="J4245" s="7">
        <f>I4245*G4245</f>
        <v/>
      </c>
      <c r="K4245" s="8">
        <f>IF($J$4248=0,0,J4245/$J$4248)</f>
        <v/>
      </c>
      <c r="L4245" s="6" t="inlineStr">
        <is>
          <t>WATCHLIST</t>
        </is>
      </c>
      <c r="M4245" s="8" t="n">
        <v>0</v>
      </c>
      <c r="N4245" s="7">
        <f>M4245*$J$4248-J4245</f>
        <v/>
      </c>
      <c r="O4245" s="9">
        <f>IF(G4245=0,0,N4245/G4245)</f>
        <v/>
      </c>
      <c r="P4245" s="6">
        <f>IF(M4245&gt;0,D4245,"")</f>
        <v/>
      </c>
      <c r="Q4245" s="9">
        <f>I4245+O4245</f>
        <v/>
      </c>
      <c r="R4245" s="7">
        <f>Q4245*G4245</f>
        <v/>
      </c>
      <c r="S4245" s="8">
        <f>IF($R$4248=0,0,R4245/$R$4248)</f>
        <v/>
      </c>
      <c r="T4245" s="8" t="n">
        <v>0.007073781920305056</v>
      </c>
      <c r="U4245" s="8" t="n">
        <v>0.01782311129842151</v>
      </c>
      <c r="V4245" s="6" t="inlineStr">
        <is>
          <t>removed from weekly selection</t>
        </is>
      </c>
    </row>
    <row r="4246">
      <c r="A4246" s="6" t="inlineStr">
        <is>
          <t>DJ30</t>
        </is>
      </c>
      <c r="B4246" s="6" t="inlineStr">
        <is>
          <t>2025-08-15</t>
        </is>
      </c>
      <c r="C4246" s="6" t="inlineStr">
        <is>
          <t>DIA</t>
        </is>
      </c>
      <c r="D4246" s="6" t="inlineStr">
        <is>
          <t>VZ</t>
        </is>
      </c>
      <c r="E4246" s="6" t="inlineStr">
        <is>
          <t>VZ</t>
        </is>
      </c>
      <c r="F4246" s="6" t="inlineStr">
        <is>
          <t>-</t>
        </is>
      </c>
      <c r="G4246" s="7" t="n">
        <v>42.11718368530273</v>
      </c>
      <c r="H4246" s="6">
        <f>P4215</f>
        <v/>
      </c>
      <c r="I4246" s="9">
        <f>Q4215</f>
        <v/>
      </c>
      <c r="J4246" s="7">
        <f>I4246*G4246</f>
        <v/>
      </c>
      <c r="K4246" s="8">
        <f>IF($J$4248=0,0,J4246/$J$4248)</f>
        <v/>
      </c>
      <c r="L4246" s="6" t="inlineStr">
        <is>
          <t>SELECTED</t>
        </is>
      </c>
      <c r="M4246" s="8" t="n">
        <v>0.2</v>
      </c>
      <c r="N4246" s="7">
        <f>M4246*$J$4248-J4246</f>
        <v/>
      </c>
      <c r="O4246" s="9">
        <f>IF(G4246=0,0,N4246/G4246)</f>
        <v/>
      </c>
      <c r="P4246" s="6">
        <f>IF(M4246&gt;0,D4246,"")</f>
        <v/>
      </c>
      <c r="Q4246" s="9">
        <f>I4246+O4246</f>
        <v/>
      </c>
      <c r="R4246" s="7">
        <f>Q4246*G4246</f>
        <v/>
      </c>
      <c r="S4246" s="8">
        <f>IF($R$4248=0,0,R4246/$R$4248)</f>
        <v/>
      </c>
      <c r="T4246" s="8" t="n">
        <v>0.007073781920305056</v>
      </c>
      <c r="U4246" s="8" t="n">
        <v>0.01782311129842151</v>
      </c>
      <c r="V4246" s="6" t="inlineStr">
        <is>
          <t>remained in weekly selection</t>
        </is>
      </c>
    </row>
    <row r="4247">
      <c r="A4247" s="6" t="inlineStr">
        <is>
          <t>DJ30</t>
        </is>
      </c>
      <c r="B4247" s="6" t="inlineStr">
        <is>
          <t>2025-08-15</t>
        </is>
      </c>
      <c r="C4247" s="6" t="inlineStr">
        <is>
          <t>DIA</t>
        </is>
      </c>
      <c r="D4247" s="6" t="inlineStr">
        <is>
          <t>WMT</t>
        </is>
      </c>
      <c r="E4247" s="6" t="inlineStr">
        <is>
          <t>WMT</t>
        </is>
      </c>
      <c r="F4247" s="6" t="inlineStr">
        <is>
          <t>-</t>
        </is>
      </c>
      <c r="G4247" s="7" t="n">
        <v>99.40247344970705</v>
      </c>
      <c r="H4247" s="6">
        <f>P4216</f>
        <v/>
      </c>
      <c r="I4247" s="9">
        <f>Q4216</f>
        <v/>
      </c>
      <c r="J4247" s="7">
        <f>I4247*G4247</f>
        <v/>
      </c>
      <c r="K4247" s="8">
        <f>IF($J$4248=0,0,J4247/$J$4248)</f>
        <v/>
      </c>
      <c r="L4247" s="6" t="inlineStr">
        <is>
          <t>SELECTED</t>
        </is>
      </c>
      <c r="M4247" s="8" t="n">
        <v>0.2</v>
      </c>
      <c r="N4247" s="7">
        <f>M4247*$J$4248-J4247</f>
        <v/>
      </c>
      <c r="O4247" s="9">
        <f>IF(G4247=0,0,N4247/G4247)</f>
        <v/>
      </c>
      <c r="P4247" s="6">
        <f>IF(M4247&gt;0,D4247,"")</f>
        <v/>
      </c>
      <c r="Q4247" s="9">
        <f>I4247+O4247</f>
        <v/>
      </c>
      <c r="R4247" s="7">
        <f>Q4247*G4247</f>
        <v/>
      </c>
      <c r="S4247" s="8">
        <f>IF($R$4248=0,0,R4247/$R$4248)</f>
        <v/>
      </c>
      <c r="T4247" s="8" t="n">
        <v>0.007073781920305056</v>
      </c>
      <c r="U4247" s="8" t="n">
        <v>0.01782311129842151</v>
      </c>
      <c r="V4247" s="6" t="inlineStr">
        <is>
          <t>entered weekly selection</t>
        </is>
      </c>
    </row>
    <row r="4248">
      <c r="A4248" s="10" t="inlineStr">
        <is>
          <t>DJ30</t>
        </is>
      </c>
      <c r="B4248" s="10" t="inlineStr">
        <is>
          <t>2025-08-15</t>
        </is>
      </c>
      <c r="C4248" s="10" t="inlineStr">
        <is>
          <t>DIA</t>
        </is>
      </c>
      <c r="D4248" s="10" t="inlineStr">
        <is>
          <t>Tot Portfolio</t>
        </is>
      </c>
      <c r="E4248" s="10" t="inlineStr"/>
      <c r="F4248" s="10" t="inlineStr"/>
      <c r="G4248" s="11" t="inlineStr"/>
      <c r="H4248" s="10" t="inlineStr"/>
      <c r="I4248" s="12" t="inlineStr"/>
      <c r="J4248" s="11">
        <f>SUM(J4218:J4247)</f>
        <v/>
      </c>
      <c r="K4248" s="13">
        <f>SUM(K4218:K4247)</f>
        <v/>
      </c>
      <c r="L4248" s="10" t="inlineStr">
        <is>
          <t>TOTAL</t>
        </is>
      </c>
      <c r="M4248" s="13">
        <f>SUM(M4218:M4247)</f>
        <v/>
      </c>
      <c r="N4248" s="11">
        <f>SUM(N4218:N4247)</f>
        <v/>
      </c>
      <c r="O4248" s="12">
        <f>SUM(O4218:O4247)</f>
        <v/>
      </c>
      <c r="P4248" s="10" t="inlineStr"/>
      <c r="Q4248" s="12" t="inlineStr"/>
      <c r="R4248" s="11">
        <f>SUM(R4218:R4247)</f>
        <v/>
      </c>
      <c r="S4248" s="13">
        <f>SUM(S4218:S4247)</f>
        <v/>
      </c>
      <c r="T4248" s="13" t="n">
        <v>0.007073781920305056</v>
      </c>
      <c r="U4248" s="13" t="n">
        <v>0.01782311129842151</v>
      </c>
      <c r="V4248" s="10" t="inlineStr"/>
    </row>
    <row r="4249">
      <c r="A4249" s="6" t="inlineStr">
        <is>
          <t>DJ30</t>
        </is>
      </c>
      <c r="B4249" s="6" t="inlineStr">
        <is>
          <t>2025-08-22</t>
        </is>
      </c>
      <c r="C4249" s="6" t="inlineStr">
        <is>
          <t>DIA</t>
        </is>
      </c>
      <c r="D4249" s="6" t="inlineStr">
        <is>
          <t>AAPL</t>
        </is>
      </c>
      <c r="E4249" s="6" t="inlineStr">
        <is>
          <t>AAPL</t>
        </is>
      </c>
      <c r="F4249" s="6" t="inlineStr">
        <is>
          <t>-</t>
        </is>
      </c>
      <c r="G4249" s="7" t="n">
        <v>227.1174621582031</v>
      </c>
      <c r="H4249" s="6">
        <f>P4218</f>
        <v/>
      </c>
      <c r="I4249" s="9">
        <f>Q4218</f>
        <v/>
      </c>
      <c r="J4249" s="7">
        <f>I4249*G4249</f>
        <v/>
      </c>
      <c r="K4249" s="8">
        <f>IF($J$4279=0,0,J4249/$J$4279)</f>
        <v/>
      </c>
      <c r="L4249" s="6" t="inlineStr">
        <is>
          <t>REJECTED</t>
        </is>
      </c>
      <c r="M4249" s="8" t="n">
        <v>0</v>
      </c>
      <c r="N4249" s="7">
        <f>M4249*$J$4279-J4249</f>
        <v/>
      </c>
      <c r="O4249" s="9">
        <f>IF(G4249=0,0,N4249/G4249)</f>
        <v/>
      </c>
      <c r="P4249" s="6">
        <f>IF(M4249&gt;0,D4249,"")</f>
        <v/>
      </c>
      <c r="Q4249" s="9">
        <f>I4249+O4249</f>
        <v/>
      </c>
      <c r="R4249" s="7">
        <f>Q4249*G4249</f>
        <v/>
      </c>
      <c r="S4249" s="8">
        <f>IF($R$4279=0,0,R4249/$R$4279)</f>
        <v/>
      </c>
      <c r="T4249" s="8" t="n">
        <v>2.937859976404056e-05</v>
      </c>
      <c r="U4249" s="8" t="n">
        <v>0.01581666319659036</v>
      </c>
      <c r="V4249" s="6" t="inlineStr">
        <is>
          <t>not selected</t>
        </is>
      </c>
    </row>
    <row r="4250">
      <c r="A4250" s="6" t="inlineStr">
        <is>
          <t>DJ30</t>
        </is>
      </c>
      <c r="B4250" s="6" t="inlineStr">
        <is>
          <t>2025-08-22</t>
        </is>
      </c>
      <c r="C4250" s="6" t="inlineStr">
        <is>
          <t>DIA</t>
        </is>
      </c>
      <c r="D4250" s="6" t="inlineStr">
        <is>
          <t>AMGN</t>
        </is>
      </c>
      <c r="E4250" s="6" t="inlineStr">
        <is>
          <t>AMGN</t>
        </is>
      </c>
      <c r="F4250" s="6" t="inlineStr">
        <is>
          <t>-</t>
        </is>
      </c>
      <c r="G4250" s="7" t="n">
        <v>287.4622497558594</v>
      </c>
      <c r="H4250" s="6">
        <f>P4219</f>
        <v/>
      </c>
      <c r="I4250" s="9">
        <f>Q4219</f>
        <v/>
      </c>
      <c r="J4250" s="7">
        <f>I4250*G4250</f>
        <v/>
      </c>
      <c r="K4250" s="8">
        <f>IF($J$4279=0,0,J4250/$J$4279)</f>
        <v/>
      </c>
      <c r="L4250" s="6" t="inlineStr">
        <is>
          <t>REJECTED</t>
        </is>
      </c>
      <c r="M4250" s="8" t="n">
        <v>0</v>
      </c>
      <c r="N4250" s="7">
        <f>M4250*$J$4279-J4250</f>
        <v/>
      </c>
      <c r="O4250" s="9">
        <f>IF(G4250=0,0,N4250/G4250)</f>
        <v/>
      </c>
      <c r="P4250" s="6">
        <f>IF(M4250&gt;0,D4250,"")</f>
        <v/>
      </c>
      <c r="Q4250" s="9">
        <f>I4250+O4250</f>
        <v/>
      </c>
      <c r="R4250" s="7">
        <f>Q4250*G4250</f>
        <v/>
      </c>
      <c r="S4250" s="8">
        <f>IF($R$4279=0,0,R4250/$R$4279)</f>
        <v/>
      </c>
      <c r="T4250" s="8" t="n">
        <v>2.937859976404056e-05</v>
      </c>
      <c r="U4250" s="8" t="n">
        <v>0.01581666319659036</v>
      </c>
      <c r="V4250" s="6" t="inlineStr">
        <is>
          <t>not selected</t>
        </is>
      </c>
    </row>
    <row r="4251">
      <c r="A4251" s="6" t="inlineStr">
        <is>
          <t>DJ30</t>
        </is>
      </c>
      <c r="B4251" s="6" t="inlineStr">
        <is>
          <t>2025-08-22</t>
        </is>
      </c>
      <c r="C4251" s="6" t="inlineStr">
        <is>
          <t>DIA</t>
        </is>
      </c>
      <c r="D4251" s="6" t="inlineStr">
        <is>
          <t>AMZN</t>
        </is>
      </c>
      <c r="E4251" s="6" t="inlineStr">
        <is>
          <t>AMZN</t>
        </is>
      </c>
      <c r="F4251" s="6" t="inlineStr">
        <is>
          <t>-</t>
        </is>
      </c>
      <c r="G4251" s="7" t="n">
        <v>228.8399963378907</v>
      </c>
      <c r="H4251" s="6">
        <f>P4220</f>
        <v/>
      </c>
      <c r="I4251" s="9">
        <f>Q4220</f>
        <v/>
      </c>
      <c r="J4251" s="7">
        <f>I4251*G4251</f>
        <v/>
      </c>
      <c r="K4251" s="8">
        <f>IF($J$4279=0,0,J4251/$J$4279)</f>
        <v/>
      </c>
      <c r="L4251" s="6" t="inlineStr">
        <is>
          <t>REJECTED</t>
        </is>
      </c>
      <c r="M4251" s="8" t="n">
        <v>0</v>
      </c>
      <c r="N4251" s="7">
        <f>M4251*$J$4279-J4251</f>
        <v/>
      </c>
      <c r="O4251" s="9">
        <f>IF(G4251=0,0,N4251/G4251)</f>
        <v/>
      </c>
      <c r="P4251" s="6">
        <f>IF(M4251&gt;0,D4251,"")</f>
        <v/>
      </c>
      <c r="Q4251" s="9">
        <f>I4251+O4251</f>
        <v/>
      </c>
      <c r="R4251" s="7">
        <f>Q4251*G4251</f>
        <v/>
      </c>
      <c r="S4251" s="8">
        <f>IF($R$4279=0,0,R4251/$R$4279)</f>
        <v/>
      </c>
      <c r="T4251" s="8" t="n">
        <v>2.937859976404056e-05</v>
      </c>
      <c r="U4251" s="8" t="n">
        <v>0.01581666319659036</v>
      </c>
      <c r="V4251" s="6" t="inlineStr">
        <is>
          <t>not selected</t>
        </is>
      </c>
    </row>
    <row r="4252">
      <c r="A4252" s="6" t="inlineStr">
        <is>
          <t>DJ30</t>
        </is>
      </c>
      <c r="B4252" s="6" t="inlineStr">
        <is>
          <t>2025-08-22</t>
        </is>
      </c>
      <c r="C4252" s="6" t="inlineStr">
        <is>
          <t>DIA</t>
        </is>
      </c>
      <c r="D4252" s="6" t="inlineStr">
        <is>
          <t>AXP</t>
        </is>
      </c>
      <c r="E4252" s="6" t="inlineStr">
        <is>
          <t>AXP</t>
        </is>
      </c>
      <c r="F4252" s="6" t="inlineStr">
        <is>
          <t>-</t>
        </is>
      </c>
      <c r="G4252" s="7" t="n">
        <v>316.6466674804688</v>
      </c>
      <c r="H4252" s="6">
        <f>P4221</f>
        <v/>
      </c>
      <c r="I4252" s="9">
        <f>Q4221</f>
        <v/>
      </c>
      <c r="J4252" s="7">
        <f>I4252*G4252</f>
        <v/>
      </c>
      <c r="K4252" s="8">
        <f>IF($J$4279=0,0,J4252/$J$4279)</f>
        <v/>
      </c>
      <c r="L4252" s="6" t="inlineStr">
        <is>
          <t>REJECTED</t>
        </is>
      </c>
      <c r="M4252" s="8" t="n">
        <v>0</v>
      </c>
      <c r="N4252" s="7">
        <f>M4252*$J$4279-J4252</f>
        <v/>
      </c>
      <c r="O4252" s="9">
        <f>IF(G4252=0,0,N4252/G4252)</f>
        <v/>
      </c>
      <c r="P4252" s="6">
        <f>IF(M4252&gt;0,D4252,"")</f>
        <v/>
      </c>
      <c r="Q4252" s="9">
        <f>I4252+O4252</f>
        <v/>
      </c>
      <c r="R4252" s="7">
        <f>Q4252*G4252</f>
        <v/>
      </c>
      <c r="S4252" s="8">
        <f>IF($R$4279=0,0,R4252/$R$4279)</f>
        <v/>
      </c>
      <c r="T4252" s="8" t="n">
        <v>2.937859976404056e-05</v>
      </c>
      <c r="U4252" s="8" t="n">
        <v>0.01581666319659036</v>
      </c>
      <c r="V4252" s="6" t="inlineStr">
        <is>
          <t>not selected</t>
        </is>
      </c>
    </row>
    <row r="4253">
      <c r="A4253" s="6" t="inlineStr">
        <is>
          <t>DJ30</t>
        </is>
      </c>
      <c r="B4253" s="6" t="inlineStr">
        <is>
          <t>2025-08-22</t>
        </is>
      </c>
      <c r="C4253" s="6" t="inlineStr">
        <is>
          <t>DIA</t>
        </is>
      </c>
      <c r="D4253" s="6" t="inlineStr">
        <is>
          <t>BA</t>
        </is>
      </c>
      <c r="E4253" s="6" t="inlineStr">
        <is>
          <t>BA</t>
        </is>
      </c>
      <c r="F4253" s="6" t="inlineStr">
        <is>
          <t>-</t>
        </is>
      </c>
      <c r="G4253" s="7" t="n">
        <v>230.1199951171875</v>
      </c>
      <c r="H4253" s="6">
        <f>P4222</f>
        <v/>
      </c>
      <c r="I4253" s="9">
        <f>Q4222</f>
        <v/>
      </c>
      <c r="J4253" s="7">
        <f>I4253*G4253</f>
        <v/>
      </c>
      <c r="K4253" s="8">
        <f>IF($J$4279=0,0,J4253/$J$4279)</f>
        <v/>
      </c>
      <c r="L4253" s="6" t="inlineStr">
        <is>
          <t>SELECTED</t>
        </is>
      </c>
      <c r="M4253" s="8" t="n">
        <v>0.2</v>
      </c>
      <c r="N4253" s="7">
        <f>M4253*$J$4279-J4253</f>
        <v/>
      </c>
      <c r="O4253" s="9">
        <f>IF(G4253=0,0,N4253/G4253)</f>
        <v/>
      </c>
      <c r="P4253" s="6">
        <f>IF(M4253&gt;0,D4253,"")</f>
        <v/>
      </c>
      <c r="Q4253" s="9">
        <f>I4253+O4253</f>
        <v/>
      </c>
      <c r="R4253" s="7">
        <f>Q4253*G4253</f>
        <v/>
      </c>
      <c r="S4253" s="8">
        <f>IF($R$4279=0,0,R4253/$R$4279)</f>
        <v/>
      </c>
      <c r="T4253" s="8" t="n">
        <v>2.937859976404056e-05</v>
      </c>
      <c r="U4253" s="8" t="n">
        <v>0.01581666319659036</v>
      </c>
      <c r="V4253" s="6" t="inlineStr">
        <is>
          <t>remained in weekly selection</t>
        </is>
      </c>
    </row>
    <row r="4254">
      <c r="A4254" s="6" t="inlineStr">
        <is>
          <t>DJ30</t>
        </is>
      </c>
      <c r="B4254" s="6" t="inlineStr">
        <is>
          <t>2025-08-22</t>
        </is>
      </c>
      <c r="C4254" s="6" t="inlineStr">
        <is>
          <t>DIA</t>
        </is>
      </c>
      <c r="D4254" s="6" t="inlineStr">
        <is>
          <t>CAT</t>
        </is>
      </c>
      <c r="E4254" s="6" t="inlineStr">
        <is>
          <t>CAT</t>
        </is>
      </c>
      <c r="F4254" s="6" t="inlineStr">
        <is>
          <t>-</t>
        </is>
      </c>
      <c r="G4254" s="7" t="n">
        <v>432.5842895507813</v>
      </c>
      <c r="H4254" s="6">
        <f>P4223</f>
        <v/>
      </c>
      <c r="I4254" s="9">
        <f>Q4223</f>
        <v/>
      </c>
      <c r="J4254" s="7">
        <f>I4254*G4254</f>
        <v/>
      </c>
      <c r="K4254" s="8">
        <f>IF($J$4279=0,0,J4254/$J$4279)</f>
        <v/>
      </c>
      <c r="L4254" s="6" t="inlineStr">
        <is>
          <t>REJECTED</t>
        </is>
      </c>
      <c r="M4254" s="8" t="n">
        <v>0</v>
      </c>
      <c r="N4254" s="7">
        <f>M4254*$J$4279-J4254</f>
        <v/>
      </c>
      <c r="O4254" s="9">
        <f>IF(G4254=0,0,N4254/G4254)</f>
        <v/>
      </c>
      <c r="P4254" s="6">
        <f>IF(M4254&gt;0,D4254,"")</f>
        <v/>
      </c>
      <c r="Q4254" s="9">
        <f>I4254+O4254</f>
        <v/>
      </c>
      <c r="R4254" s="7">
        <f>Q4254*G4254</f>
        <v/>
      </c>
      <c r="S4254" s="8">
        <f>IF($R$4279=0,0,R4254/$R$4279)</f>
        <v/>
      </c>
      <c r="T4254" s="8" t="n">
        <v>2.937859976404056e-05</v>
      </c>
      <c r="U4254" s="8" t="n">
        <v>0.01581666319659036</v>
      </c>
      <c r="V4254" s="6" t="inlineStr">
        <is>
          <t>not selected</t>
        </is>
      </c>
    </row>
    <row r="4255">
      <c r="A4255" s="6" t="inlineStr">
        <is>
          <t>DJ30</t>
        </is>
      </c>
      <c r="B4255" s="6" t="inlineStr">
        <is>
          <t>2025-08-22</t>
        </is>
      </c>
      <c r="C4255" s="6" t="inlineStr">
        <is>
          <t>DIA</t>
        </is>
      </c>
      <c r="D4255" s="6" t="inlineStr">
        <is>
          <t>CRM</t>
        </is>
      </c>
      <c r="E4255" s="6" t="inlineStr">
        <is>
          <t>CRM</t>
        </is>
      </c>
      <c r="F4255" s="6" t="inlineStr">
        <is>
          <t>-</t>
        </is>
      </c>
      <c r="G4255" s="7" t="n">
        <v>246.2061614990234</v>
      </c>
      <c r="H4255" s="6">
        <f>P4224</f>
        <v/>
      </c>
      <c r="I4255" s="9">
        <f>Q4224</f>
        <v/>
      </c>
      <c r="J4255" s="7">
        <f>I4255*G4255</f>
        <v/>
      </c>
      <c r="K4255" s="8">
        <f>IF($J$4279=0,0,J4255/$J$4279)</f>
        <v/>
      </c>
      <c r="L4255" s="6" t="inlineStr">
        <is>
          <t>REJECTED</t>
        </is>
      </c>
      <c r="M4255" s="8" t="n">
        <v>0</v>
      </c>
      <c r="N4255" s="7">
        <f>M4255*$J$4279-J4255</f>
        <v/>
      </c>
      <c r="O4255" s="9">
        <f>IF(G4255=0,0,N4255/G4255)</f>
        <v/>
      </c>
      <c r="P4255" s="6">
        <f>IF(M4255&gt;0,D4255,"")</f>
        <v/>
      </c>
      <c r="Q4255" s="9">
        <f>I4255+O4255</f>
        <v/>
      </c>
      <c r="R4255" s="7">
        <f>Q4255*G4255</f>
        <v/>
      </c>
      <c r="S4255" s="8">
        <f>IF($R$4279=0,0,R4255/$R$4279)</f>
        <v/>
      </c>
      <c r="T4255" s="8" t="n">
        <v>2.937859976404056e-05</v>
      </c>
      <c r="U4255" s="8" t="n">
        <v>0.01581666319659036</v>
      </c>
      <c r="V4255" s="6" t="inlineStr">
        <is>
          <t>not selected</t>
        </is>
      </c>
    </row>
    <row r="4256">
      <c r="A4256" s="6" t="inlineStr">
        <is>
          <t>DJ30</t>
        </is>
      </c>
      <c r="B4256" s="6" t="inlineStr">
        <is>
          <t>2025-08-22</t>
        </is>
      </c>
      <c r="C4256" s="6" t="inlineStr">
        <is>
          <t>DIA</t>
        </is>
      </c>
      <c r="D4256" s="6" t="inlineStr">
        <is>
          <t>CSCO</t>
        </is>
      </c>
      <c r="E4256" s="6" t="inlineStr">
        <is>
          <t>CSCO</t>
        </is>
      </c>
      <c r="F4256" s="6" t="inlineStr">
        <is>
          <t>-</t>
        </is>
      </c>
      <c r="G4256" s="7" t="n">
        <v>66.2010498046875</v>
      </c>
      <c r="H4256" s="6">
        <f>P4225</f>
        <v/>
      </c>
      <c r="I4256" s="9">
        <f>Q4225</f>
        <v/>
      </c>
      <c r="J4256" s="7">
        <f>I4256*G4256</f>
        <v/>
      </c>
      <c r="K4256" s="8">
        <f>IF($J$4279=0,0,J4256/$J$4279)</f>
        <v/>
      </c>
      <c r="L4256" s="6" t="inlineStr">
        <is>
          <t>WATCHLIST</t>
        </is>
      </c>
      <c r="M4256" s="8" t="n">
        <v>0</v>
      </c>
      <c r="N4256" s="7">
        <f>M4256*$J$4279-J4256</f>
        <v/>
      </c>
      <c r="O4256" s="9">
        <f>IF(G4256=0,0,N4256/G4256)</f>
        <v/>
      </c>
      <c r="P4256" s="6">
        <f>IF(M4256&gt;0,D4256,"")</f>
        <v/>
      </c>
      <c r="Q4256" s="9">
        <f>I4256+O4256</f>
        <v/>
      </c>
      <c r="R4256" s="7">
        <f>Q4256*G4256</f>
        <v/>
      </c>
      <c r="S4256" s="8">
        <f>IF($R$4279=0,0,R4256/$R$4279)</f>
        <v/>
      </c>
      <c r="T4256" s="8" t="n">
        <v>2.937859976404056e-05</v>
      </c>
      <c r="U4256" s="8" t="n">
        <v>0.01581666319659036</v>
      </c>
      <c r="V4256" s="6" t="inlineStr">
        <is>
          <t>not selected</t>
        </is>
      </c>
    </row>
    <row r="4257">
      <c r="A4257" s="6" t="inlineStr">
        <is>
          <t>DJ30</t>
        </is>
      </c>
      <c r="B4257" s="6" t="inlineStr">
        <is>
          <t>2025-08-22</t>
        </is>
      </c>
      <c r="C4257" s="6" t="inlineStr">
        <is>
          <t>DIA</t>
        </is>
      </c>
      <c r="D4257" s="6" t="inlineStr">
        <is>
          <t>CVX</t>
        </is>
      </c>
      <c r="E4257" s="6" t="inlineStr">
        <is>
          <t>CVX</t>
        </is>
      </c>
      <c r="F4257" s="6" t="inlineStr">
        <is>
          <t>-</t>
        </is>
      </c>
      <c r="G4257" s="7" t="n">
        <v>153.5113830566406</v>
      </c>
      <c r="H4257" s="6">
        <f>P4226</f>
        <v/>
      </c>
      <c r="I4257" s="9">
        <f>Q4226</f>
        <v/>
      </c>
      <c r="J4257" s="7">
        <f>I4257*G4257</f>
        <v/>
      </c>
      <c r="K4257" s="8">
        <f>IF($J$4279=0,0,J4257/$J$4279)</f>
        <v/>
      </c>
      <c r="L4257" s="6" t="inlineStr">
        <is>
          <t>REJECTED</t>
        </is>
      </c>
      <c r="M4257" s="8" t="n">
        <v>0</v>
      </c>
      <c r="N4257" s="7">
        <f>M4257*$J$4279-J4257</f>
        <v/>
      </c>
      <c r="O4257" s="9">
        <f>IF(G4257=0,0,N4257/G4257)</f>
        <v/>
      </c>
      <c r="P4257" s="6">
        <f>IF(M4257&gt;0,D4257,"")</f>
        <v/>
      </c>
      <c r="Q4257" s="9">
        <f>I4257+O4257</f>
        <v/>
      </c>
      <c r="R4257" s="7">
        <f>Q4257*G4257</f>
        <v/>
      </c>
      <c r="S4257" s="8">
        <f>IF($R$4279=0,0,R4257/$R$4279)</f>
        <v/>
      </c>
      <c r="T4257" s="8" t="n">
        <v>2.937859976404056e-05</v>
      </c>
      <c r="U4257" s="8" t="n">
        <v>0.01581666319659036</v>
      </c>
      <c r="V4257" s="6" t="inlineStr">
        <is>
          <t>not selected</t>
        </is>
      </c>
    </row>
    <row r="4258">
      <c r="A4258" s="6" t="inlineStr">
        <is>
          <t>DJ30</t>
        </is>
      </c>
      <c r="B4258" s="6" t="inlineStr">
        <is>
          <t>2025-08-22</t>
        </is>
      </c>
      <c r="C4258" s="6" t="inlineStr">
        <is>
          <t>DIA</t>
        </is>
      </c>
      <c r="D4258" s="6" t="inlineStr">
        <is>
          <t>DIS</t>
        </is>
      </c>
      <c r="E4258" s="6" t="inlineStr">
        <is>
          <t>DIS</t>
        </is>
      </c>
      <c r="F4258" s="6" t="inlineStr">
        <is>
          <t>-</t>
        </is>
      </c>
      <c r="G4258" s="7" t="n">
        <v>118.0612106323242</v>
      </c>
      <c r="H4258" s="6">
        <f>P4227</f>
        <v/>
      </c>
      <c r="I4258" s="9">
        <f>Q4227</f>
        <v/>
      </c>
      <c r="J4258" s="7">
        <f>I4258*G4258</f>
        <v/>
      </c>
      <c r="K4258" s="8">
        <f>IF($J$4279=0,0,J4258/$J$4279)</f>
        <v/>
      </c>
      <c r="L4258" s="6" t="inlineStr">
        <is>
          <t>REJECTED</t>
        </is>
      </c>
      <c r="M4258" s="8" t="n">
        <v>0</v>
      </c>
      <c r="N4258" s="7">
        <f>M4258*$J$4279-J4258</f>
        <v/>
      </c>
      <c r="O4258" s="9">
        <f>IF(G4258=0,0,N4258/G4258)</f>
        <v/>
      </c>
      <c r="P4258" s="6">
        <f>IF(M4258&gt;0,D4258,"")</f>
        <v/>
      </c>
      <c r="Q4258" s="9">
        <f>I4258+O4258</f>
        <v/>
      </c>
      <c r="R4258" s="7">
        <f>Q4258*G4258</f>
        <v/>
      </c>
      <c r="S4258" s="8">
        <f>IF($R$4279=0,0,R4258/$R$4279)</f>
        <v/>
      </c>
      <c r="T4258" s="8" t="n">
        <v>2.937859976404056e-05</v>
      </c>
      <c r="U4258" s="8" t="n">
        <v>0.01581666319659036</v>
      </c>
      <c r="V4258" s="6" t="inlineStr">
        <is>
          <t>not selected</t>
        </is>
      </c>
    </row>
    <row r="4259">
      <c r="A4259" s="6" t="inlineStr">
        <is>
          <t>DJ30</t>
        </is>
      </c>
      <c r="B4259" s="6" t="inlineStr">
        <is>
          <t>2025-08-22</t>
        </is>
      </c>
      <c r="C4259" s="6" t="inlineStr">
        <is>
          <t>DIA</t>
        </is>
      </c>
      <c r="D4259" s="6" t="inlineStr">
        <is>
          <t>GS</t>
        </is>
      </c>
      <c r="E4259" s="6" t="inlineStr">
        <is>
          <t>GS</t>
        </is>
      </c>
      <c r="F4259" s="6" t="inlineStr">
        <is>
          <t>-</t>
        </is>
      </c>
      <c r="G4259" s="7" t="n">
        <v>727.2501220703125</v>
      </c>
      <c r="H4259" s="6">
        <f>P4228</f>
        <v/>
      </c>
      <c r="I4259" s="9">
        <f>Q4228</f>
        <v/>
      </c>
      <c r="J4259" s="7">
        <f>I4259*G4259</f>
        <v/>
      </c>
      <c r="K4259" s="8">
        <f>IF($J$4279=0,0,J4259/$J$4279)</f>
        <v/>
      </c>
      <c r="L4259" s="6" t="inlineStr">
        <is>
          <t>WATCHLIST</t>
        </is>
      </c>
      <c r="M4259" s="8" t="n">
        <v>0</v>
      </c>
      <c r="N4259" s="7">
        <f>M4259*$J$4279-J4259</f>
        <v/>
      </c>
      <c r="O4259" s="9">
        <f>IF(G4259=0,0,N4259/G4259)</f>
        <v/>
      </c>
      <c r="P4259" s="6">
        <f>IF(M4259&gt;0,D4259,"")</f>
        <v/>
      </c>
      <c r="Q4259" s="9">
        <f>I4259+O4259</f>
        <v/>
      </c>
      <c r="R4259" s="7">
        <f>Q4259*G4259</f>
        <v/>
      </c>
      <c r="S4259" s="8">
        <f>IF($R$4279=0,0,R4259/$R$4279)</f>
        <v/>
      </c>
      <c r="T4259" s="8" t="n">
        <v>2.937859976404056e-05</v>
      </c>
      <c r="U4259" s="8" t="n">
        <v>0.01581666319659036</v>
      </c>
      <c r="V4259" s="6" t="inlineStr">
        <is>
          <t>not selected</t>
        </is>
      </c>
    </row>
    <row r="4260">
      <c r="A4260" s="6" t="inlineStr">
        <is>
          <t>DJ30</t>
        </is>
      </c>
      <c r="B4260" s="6" t="inlineStr">
        <is>
          <t>2025-08-22</t>
        </is>
      </c>
      <c r="C4260" s="6" t="inlineStr">
        <is>
          <t>DIA</t>
        </is>
      </c>
      <c r="D4260" s="6" t="inlineStr">
        <is>
          <t>HD</t>
        </is>
      </c>
      <c r="E4260" s="6" t="inlineStr">
        <is>
          <t>HD</t>
        </is>
      </c>
      <c r="F4260" s="6" t="inlineStr">
        <is>
          <t>-</t>
        </is>
      </c>
      <c r="G4260" s="7" t="n">
        <v>402.0991821289063</v>
      </c>
      <c r="H4260" s="6">
        <f>P4229</f>
        <v/>
      </c>
      <c r="I4260" s="9">
        <f>Q4229</f>
        <v/>
      </c>
      <c r="J4260" s="7">
        <f>I4260*G4260</f>
        <v/>
      </c>
      <c r="K4260" s="8">
        <f>IF($J$4279=0,0,J4260/$J$4279)</f>
        <v/>
      </c>
      <c r="L4260" s="6" t="inlineStr">
        <is>
          <t>REJECTED</t>
        </is>
      </c>
      <c r="M4260" s="8" t="n">
        <v>0</v>
      </c>
      <c r="N4260" s="7">
        <f>M4260*$J$4279-J4260</f>
        <v/>
      </c>
      <c r="O4260" s="9">
        <f>IF(G4260=0,0,N4260/G4260)</f>
        <v/>
      </c>
      <c r="P4260" s="6">
        <f>IF(M4260&gt;0,D4260,"")</f>
        <v/>
      </c>
      <c r="Q4260" s="9">
        <f>I4260+O4260</f>
        <v/>
      </c>
      <c r="R4260" s="7">
        <f>Q4260*G4260</f>
        <v/>
      </c>
      <c r="S4260" s="8">
        <f>IF($R$4279=0,0,R4260/$R$4279)</f>
        <v/>
      </c>
      <c r="T4260" s="8" t="n">
        <v>2.937859976404056e-05</v>
      </c>
      <c r="U4260" s="8" t="n">
        <v>0.01581666319659036</v>
      </c>
      <c r="V4260" s="6" t="inlineStr">
        <is>
          <t>not selected</t>
        </is>
      </c>
    </row>
    <row r="4261">
      <c r="A4261" s="6" t="inlineStr">
        <is>
          <t>DJ30</t>
        </is>
      </c>
      <c r="B4261" s="6" t="inlineStr">
        <is>
          <t>2025-08-22</t>
        </is>
      </c>
      <c r="C4261" s="6" t="inlineStr">
        <is>
          <t>DIA</t>
        </is>
      </c>
      <c r="D4261" s="6" t="inlineStr">
        <is>
          <t>HON</t>
        </is>
      </c>
      <c r="E4261" s="6" t="inlineStr">
        <is>
          <t>HON</t>
        </is>
      </c>
      <c r="F4261" s="6" t="inlineStr">
        <is>
          <t>-</t>
        </is>
      </c>
      <c r="G4261" s="7" t="n">
        <v>206.6016387939453</v>
      </c>
      <c r="H4261" s="6">
        <f>P4230</f>
        <v/>
      </c>
      <c r="I4261" s="9">
        <f>Q4230</f>
        <v/>
      </c>
      <c r="J4261" s="7">
        <f>I4261*G4261</f>
        <v/>
      </c>
      <c r="K4261" s="8">
        <f>IF($J$4279=0,0,J4261/$J$4279)</f>
        <v/>
      </c>
      <c r="L4261" s="6" t="inlineStr">
        <is>
          <t>REJECTED</t>
        </is>
      </c>
      <c r="M4261" s="8" t="n">
        <v>0</v>
      </c>
      <c r="N4261" s="7">
        <f>M4261*$J$4279-J4261</f>
        <v/>
      </c>
      <c r="O4261" s="9">
        <f>IF(G4261=0,0,N4261/G4261)</f>
        <v/>
      </c>
      <c r="P4261" s="6">
        <f>IF(M4261&gt;0,D4261,"")</f>
        <v/>
      </c>
      <c r="Q4261" s="9">
        <f>I4261+O4261</f>
        <v/>
      </c>
      <c r="R4261" s="7">
        <f>Q4261*G4261</f>
        <v/>
      </c>
      <c r="S4261" s="8">
        <f>IF($R$4279=0,0,R4261/$R$4279)</f>
        <v/>
      </c>
      <c r="T4261" s="8" t="n">
        <v>2.937859976404056e-05</v>
      </c>
      <c r="U4261" s="8" t="n">
        <v>0.01581666319659036</v>
      </c>
      <c r="V4261" s="6" t="inlineStr">
        <is>
          <t>not selected</t>
        </is>
      </c>
    </row>
    <row r="4262">
      <c r="A4262" s="6" t="inlineStr">
        <is>
          <t>DJ30</t>
        </is>
      </c>
      <c r="B4262" s="6" t="inlineStr">
        <is>
          <t>2025-08-22</t>
        </is>
      </c>
      <c r="C4262" s="6" t="inlineStr">
        <is>
          <t>DIA</t>
        </is>
      </c>
      <c r="D4262" s="6" t="inlineStr">
        <is>
          <t>IBM</t>
        </is>
      </c>
      <c r="E4262" s="6" t="inlineStr">
        <is>
          <t>IBM</t>
        </is>
      </c>
      <c r="F4262" s="6" t="inlineStr">
        <is>
          <t>-</t>
        </is>
      </c>
      <c r="G4262" s="7" t="n">
        <v>237.6485137939453</v>
      </c>
      <c r="H4262" s="6">
        <f>P4231</f>
        <v/>
      </c>
      <c r="I4262" s="9">
        <f>Q4231</f>
        <v/>
      </c>
      <c r="J4262" s="7">
        <f>I4262*G4262</f>
        <v/>
      </c>
      <c r="K4262" s="8">
        <f>IF($J$4279=0,0,J4262/$J$4279)</f>
        <v/>
      </c>
      <c r="L4262" s="6" t="inlineStr">
        <is>
          <t>SELECTED</t>
        </is>
      </c>
      <c r="M4262" s="8" t="n">
        <v>0.2</v>
      </c>
      <c r="N4262" s="7">
        <f>M4262*$J$4279-J4262</f>
        <v/>
      </c>
      <c r="O4262" s="9">
        <f>IF(G4262=0,0,N4262/G4262)</f>
        <v/>
      </c>
      <c r="P4262" s="6">
        <f>IF(M4262&gt;0,D4262,"")</f>
        <v/>
      </c>
      <c r="Q4262" s="9">
        <f>I4262+O4262</f>
        <v/>
      </c>
      <c r="R4262" s="7">
        <f>Q4262*G4262</f>
        <v/>
      </c>
      <c r="S4262" s="8">
        <f>IF($R$4279=0,0,R4262/$R$4279)</f>
        <v/>
      </c>
      <c r="T4262" s="8" t="n">
        <v>2.937859976404056e-05</v>
      </c>
      <c r="U4262" s="8" t="n">
        <v>0.01581666319659036</v>
      </c>
      <c r="V4262" s="6" t="inlineStr">
        <is>
          <t>remained in weekly selection</t>
        </is>
      </c>
    </row>
    <row r="4263">
      <c r="A4263" s="6" t="inlineStr">
        <is>
          <t>DJ30</t>
        </is>
      </c>
      <c r="B4263" s="6" t="inlineStr">
        <is>
          <t>2025-08-22</t>
        </is>
      </c>
      <c r="C4263" s="6" t="inlineStr">
        <is>
          <t>DIA</t>
        </is>
      </c>
      <c r="D4263" s="6" t="inlineStr">
        <is>
          <t>JNJ</t>
        </is>
      </c>
      <c r="E4263" s="6" t="inlineStr">
        <is>
          <t>JNJ</t>
        </is>
      </c>
      <c r="F4263" s="6" t="inlineStr">
        <is>
          <t>-</t>
        </is>
      </c>
      <c r="G4263" s="7" t="n">
        <v>174.91943359375</v>
      </c>
      <c r="H4263" s="6">
        <f>P4232</f>
        <v/>
      </c>
      <c r="I4263" s="9">
        <f>Q4232</f>
        <v/>
      </c>
      <c r="J4263" s="7">
        <f>I4263*G4263</f>
        <v/>
      </c>
      <c r="K4263" s="8">
        <f>IF($J$4279=0,0,J4263/$J$4279)</f>
        <v/>
      </c>
      <c r="L4263" s="6" t="inlineStr">
        <is>
          <t>REJECTED</t>
        </is>
      </c>
      <c r="M4263" s="8" t="n">
        <v>0</v>
      </c>
      <c r="N4263" s="7">
        <f>M4263*$J$4279-J4263</f>
        <v/>
      </c>
      <c r="O4263" s="9">
        <f>IF(G4263=0,0,N4263/G4263)</f>
        <v/>
      </c>
      <c r="P4263" s="6">
        <f>IF(M4263&gt;0,D4263,"")</f>
        <v/>
      </c>
      <c r="Q4263" s="9">
        <f>I4263+O4263</f>
        <v/>
      </c>
      <c r="R4263" s="7">
        <f>Q4263*G4263</f>
        <v/>
      </c>
      <c r="S4263" s="8">
        <f>IF($R$4279=0,0,R4263/$R$4279)</f>
        <v/>
      </c>
      <c r="T4263" s="8" t="n">
        <v>2.937859976404056e-05</v>
      </c>
      <c r="U4263" s="8" t="n">
        <v>0.01581666319659036</v>
      </c>
      <c r="V4263" s="6" t="inlineStr">
        <is>
          <t>not selected</t>
        </is>
      </c>
    </row>
    <row r="4264">
      <c r="A4264" s="6" t="inlineStr">
        <is>
          <t>DJ30</t>
        </is>
      </c>
      <c r="B4264" s="6" t="inlineStr">
        <is>
          <t>2025-08-22</t>
        </is>
      </c>
      <c r="C4264" s="6" t="inlineStr">
        <is>
          <t>DIA</t>
        </is>
      </c>
      <c r="D4264" s="6" t="inlineStr">
        <is>
          <t>JPM</t>
        </is>
      </c>
      <c r="E4264" s="6" t="inlineStr">
        <is>
          <t>JPM</t>
        </is>
      </c>
      <c r="F4264" s="6" t="inlineStr">
        <is>
          <t>-</t>
        </is>
      </c>
      <c r="G4264" s="7" t="n">
        <v>291.9885559082031</v>
      </c>
      <c r="H4264" s="6">
        <f>P4233</f>
        <v/>
      </c>
      <c r="I4264" s="9">
        <f>Q4233</f>
        <v/>
      </c>
      <c r="J4264" s="7">
        <f>I4264*G4264</f>
        <v/>
      </c>
      <c r="K4264" s="8">
        <f>IF($J$4279=0,0,J4264/$J$4279)</f>
        <v/>
      </c>
      <c r="L4264" s="6" t="inlineStr">
        <is>
          <t>WATCHLIST</t>
        </is>
      </c>
      <c r="M4264" s="8" t="n">
        <v>0</v>
      </c>
      <c r="N4264" s="7">
        <f>M4264*$J$4279-J4264</f>
        <v/>
      </c>
      <c r="O4264" s="9">
        <f>IF(G4264=0,0,N4264/G4264)</f>
        <v/>
      </c>
      <c r="P4264" s="6">
        <f>IF(M4264&gt;0,D4264,"")</f>
        <v/>
      </c>
      <c r="Q4264" s="9">
        <f>I4264+O4264</f>
        <v/>
      </c>
      <c r="R4264" s="7">
        <f>Q4264*G4264</f>
        <v/>
      </c>
      <c r="S4264" s="8">
        <f>IF($R$4279=0,0,R4264/$R$4279)</f>
        <v/>
      </c>
      <c r="T4264" s="8" t="n">
        <v>2.937859976404056e-05</v>
      </c>
      <c r="U4264" s="8" t="n">
        <v>0.01581666319659036</v>
      </c>
      <c r="V4264" s="6" t="inlineStr">
        <is>
          <t>not selected</t>
        </is>
      </c>
    </row>
    <row r="4265">
      <c r="A4265" s="6" t="inlineStr">
        <is>
          <t>DJ30</t>
        </is>
      </c>
      <c r="B4265" s="6" t="inlineStr">
        <is>
          <t>2025-08-22</t>
        </is>
      </c>
      <c r="C4265" s="6" t="inlineStr">
        <is>
          <t>DIA</t>
        </is>
      </c>
      <c r="D4265" s="6" t="inlineStr">
        <is>
          <t>KO</t>
        </is>
      </c>
      <c r="E4265" s="6" t="inlineStr">
        <is>
          <t>KO</t>
        </is>
      </c>
      <c r="F4265" s="6" t="inlineStr">
        <is>
          <t>-</t>
        </is>
      </c>
      <c r="G4265" s="7" t="n">
        <v>68.19856262207031</v>
      </c>
      <c r="H4265" s="6">
        <f>P4234</f>
        <v/>
      </c>
      <c r="I4265" s="9">
        <f>Q4234</f>
        <v/>
      </c>
      <c r="J4265" s="7">
        <f>I4265*G4265</f>
        <v/>
      </c>
      <c r="K4265" s="8">
        <f>IF($J$4279=0,0,J4265/$J$4279)</f>
        <v/>
      </c>
      <c r="L4265" s="6" t="inlineStr">
        <is>
          <t>REJECTED</t>
        </is>
      </c>
      <c r="M4265" s="8" t="n">
        <v>0</v>
      </c>
      <c r="N4265" s="7">
        <f>M4265*$J$4279-J4265</f>
        <v/>
      </c>
      <c r="O4265" s="9">
        <f>IF(G4265=0,0,N4265/G4265)</f>
        <v/>
      </c>
      <c r="P4265" s="6">
        <f>IF(M4265&gt;0,D4265,"")</f>
        <v/>
      </c>
      <c r="Q4265" s="9">
        <f>I4265+O4265</f>
        <v/>
      </c>
      <c r="R4265" s="7">
        <f>Q4265*G4265</f>
        <v/>
      </c>
      <c r="S4265" s="8">
        <f>IF($R$4279=0,0,R4265/$R$4279)</f>
        <v/>
      </c>
      <c r="T4265" s="8" t="n">
        <v>2.937859976404056e-05</v>
      </c>
      <c r="U4265" s="8" t="n">
        <v>0.01581666319659036</v>
      </c>
      <c r="V4265" s="6" t="inlineStr">
        <is>
          <t>not selected</t>
        </is>
      </c>
    </row>
    <row r="4266">
      <c r="A4266" s="6" t="inlineStr">
        <is>
          <t>DJ30</t>
        </is>
      </c>
      <c r="B4266" s="6" t="inlineStr">
        <is>
          <t>2025-08-22</t>
        </is>
      </c>
      <c r="C4266" s="6" t="inlineStr">
        <is>
          <t>DIA</t>
        </is>
      </c>
      <c r="D4266" s="6" t="inlineStr">
        <is>
          <t>MCD</t>
        </is>
      </c>
      <c r="E4266" s="6" t="inlineStr">
        <is>
          <t>MCD</t>
        </is>
      </c>
      <c r="F4266" s="6" t="inlineStr">
        <is>
          <t>-</t>
        </is>
      </c>
      <c r="G4266" s="7" t="n">
        <v>306.6300354003906</v>
      </c>
      <c r="H4266" s="6">
        <f>P4235</f>
        <v/>
      </c>
      <c r="I4266" s="9">
        <f>Q4235</f>
        <v/>
      </c>
      <c r="J4266" s="7">
        <f>I4266*G4266</f>
        <v/>
      </c>
      <c r="K4266" s="8">
        <f>IF($J$4279=0,0,J4266/$J$4279)</f>
        <v/>
      </c>
      <c r="L4266" s="6" t="inlineStr">
        <is>
          <t>REJECTED</t>
        </is>
      </c>
      <c r="M4266" s="8" t="n">
        <v>0</v>
      </c>
      <c r="N4266" s="7">
        <f>M4266*$J$4279-J4266</f>
        <v/>
      </c>
      <c r="O4266" s="9">
        <f>IF(G4266=0,0,N4266/G4266)</f>
        <v/>
      </c>
      <c r="P4266" s="6">
        <f>IF(M4266&gt;0,D4266,"")</f>
        <v/>
      </c>
      <c r="Q4266" s="9">
        <f>I4266+O4266</f>
        <v/>
      </c>
      <c r="R4266" s="7">
        <f>Q4266*G4266</f>
        <v/>
      </c>
      <c r="S4266" s="8">
        <f>IF($R$4279=0,0,R4266/$R$4279)</f>
        <v/>
      </c>
      <c r="T4266" s="8" t="n">
        <v>2.937859976404056e-05</v>
      </c>
      <c r="U4266" s="8" t="n">
        <v>0.01581666319659036</v>
      </c>
      <c r="V4266" s="6" t="inlineStr">
        <is>
          <t>not selected</t>
        </is>
      </c>
    </row>
    <row r="4267">
      <c r="A4267" s="6" t="inlineStr">
        <is>
          <t>DJ30</t>
        </is>
      </c>
      <c r="B4267" s="6" t="inlineStr">
        <is>
          <t>2025-08-22</t>
        </is>
      </c>
      <c r="C4267" s="6" t="inlineStr">
        <is>
          <t>DIA</t>
        </is>
      </c>
      <c r="D4267" s="6" t="inlineStr">
        <is>
          <t>MMM</t>
        </is>
      </c>
      <c r="E4267" s="6" t="inlineStr">
        <is>
          <t>MMM</t>
        </is>
      </c>
      <c r="F4267" s="6" t="inlineStr">
        <is>
          <t>-</t>
        </is>
      </c>
      <c r="G4267" s="7" t="n">
        <v>155.8055267333984</v>
      </c>
      <c r="H4267" s="6">
        <f>P4236</f>
        <v/>
      </c>
      <c r="I4267" s="9">
        <f>Q4236</f>
        <v/>
      </c>
      <c r="J4267" s="7">
        <f>I4267*G4267</f>
        <v/>
      </c>
      <c r="K4267" s="8">
        <f>IF($J$4279=0,0,J4267/$J$4279)</f>
        <v/>
      </c>
      <c r="L4267" s="6" t="inlineStr">
        <is>
          <t>WATCHLIST</t>
        </is>
      </c>
      <c r="M4267" s="8" t="n">
        <v>0</v>
      </c>
      <c r="N4267" s="7">
        <f>M4267*$J$4279-J4267</f>
        <v/>
      </c>
      <c r="O4267" s="9">
        <f>IF(G4267=0,0,N4267/G4267)</f>
        <v/>
      </c>
      <c r="P4267" s="6">
        <f>IF(M4267&gt;0,D4267,"")</f>
        <v/>
      </c>
      <c r="Q4267" s="9">
        <f>I4267+O4267</f>
        <v/>
      </c>
      <c r="R4267" s="7">
        <f>Q4267*G4267</f>
        <v/>
      </c>
      <c r="S4267" s="8">
        <f>IF($R$4279=0,0,R4267/$R$4279)</f>
        <v/>
      </c>
      <c r="T4267" s="8" t="n">
        <v>2.937859976404056e-05</v>
      </c>
      <c r="U4267" s="8" t="n">
        <v>0.01581666319659036</v>
      </c>
      <c r="V4267" s="6" t="inlineStr">
        <is>
          <t>not selected</t>
        </is>
      </c>
    </row>
    <row r="4268">
      <c r="A4268" s="6" t="inlineStr">
        <is>
          <t>DJ30</t>
        </is>
      </c>
      <c r="B4268" s="6" t="inlineStr">
        <is>
          <t>2025-08-22</t>
        </is>
      </c>
      <c r="C4268" s="6" t="inlineStr">
        <is>
          <t>DIA</t>
        </is>
      </c>
      <c r="D4268" s="6" t="inlineStr">
        <is>
          <t>MRK</t>
        </is>
      </c>
      <c r="E4268" s="6" t="inlineStr">
        <is>
          <t>MRK</t>
        </is>
      </c>
      <c r="F4268" s="6" t="inlineStr">
        <is>
          <t>-</t>
        </is>
      </c>
      <c r="G4268" s="7" t="n">
        <v>84.54355621337891</v>
      </c>
      <c r="H4268" s="6">
        <f>P4237</f>
        <v/>
      </c>
      <c r="I4268" s="9">
        <f>Q4237</f>
        <v/>
      </c>
      <c r="J4268" s="7">
        <f>I4268*G4268</f>
        <v/>
      </c>
      <c r="K4268" s="8">
        <f>IF($J$4279=0,0,J4268/$J$4279)</f>
        <v/>
      </c>
      <c r="L4268" s="6" t="inlineStr">
        <is>
          <t>REJECTED</t>
        </is>
      </c>
      <c r="M4268" s="8" t="n">
        <v>0</v>
      </c>
      <c r="N4268" s="7">
        <f>M4268*$J$4279-J4268</f>
        <v/>
      </c>
      <c r="O4268" s="9">
        <f>IF(G4268=0,0,N4268/G4268)</f>
        <v/>
      </c>
      <c r="P4268" s="6">
        <f>IF(M4268&gt;0,D4268,"")</f>
        <v/>
      </c>
      <c r="Q4268" s="9">
        <f>I4268+O4268</f>
        <v/>
      </c>
      <c r="R4268" s="7">
        <f>Q4268*G4268</f>
        <v/>
      </c>
      <c r="S4268" s="8">
        <f>IF($R$4279=0,0,R4268/$R$4279)</f>
        <v/>
      </c>
      <c r="T4268" s="8" t="n">
        <v>2.937859976404056e-05</v>
      </c>
      <c r="U4268" s="8" t="n">
        <v>0.01581666319659036</v>
      </c>
      <c r="V4268" s="6" t="inlineStr">
        <is>
          <t>not selected</t>
        </is>
      </c>
    </row>
    <row r="4269">
      <c r="A4269" s="6" t="inlineStr">
        <is>
          <t>DJ30</t>
        </is>
      </c>
      <c r="B4269" s="6" t="inlineStr">
        <is>
          <t>2025-08-22</t>
        </is>
      </c>
      <c r="C4269" s="6" t="inlineStr">
        <is>
          <t>DIA</t>
        </is>
      </c>
      <c r="D4269" s="6" t="inlineStr">
        <is>
          <t>MSFT</t>
        </is>
      </c>
      <c r="E4269" s="6" t="inlineStr">
        <is>
          <t>MSFT</t>
        </is>
      </c>
      <c r="F4269" s="6" t="inlineStr">
        <is>
          <t>-</t>
        </is>
      </c>
      <c r="G4269" s="7" t="n">
        <v>504.0378112792969</v>
      </c>
      <c r="H4269" s="6">
        <f>P4238</f>
        <v/>
      </c>
      <c r="I4269" s="9">
        <f>Q4238</f>
        <v/>
      </c>
      <c r="J4269" s="7">
        <f>I4269*G4269</f>
        <v/>
      </c>
      <c r="K4269" s="8">
        <f>IF($J$4279=0,0,J4269/$J$4279)</f>
        <v/>
      </c>
      <c r="L4269" s="6" t="inlineStr">
        <is>
          <t>WATCHLIST</t>
        </is>
      </c>
      <c r="M4269" s="8" t="n">
        <v>0</v>
      </c>
      <c r="N4269" s="7">
        <f>M4269*$J$4279-J4269</f>
        <v/>
      </c>
      <c r="O4269" s="9">
        <f>IF(G4269=0,0,N4269/G4269)</f>
        <v/>
      </c>
      <c r="P4269" s="6">
        <f>IF(M4269&gt;0,D4269,"")</f>
        <v/>
      </c>
      <c r="Q4269" s="9">
        <f>I4269+O4269</f>
        <v/>
      </c>
      <c r="R4269" s="7">
        <f>Q4269*G4269</f>
        <v/>
      </c>
      <c r="S4269" s="8">
        <f>IF($R$4279=0,0,R4269/$R$4279)</f>
        <v/>
      </c>
      <c r="T4269" s="8" t="n">
        <v>2.937859976404056e-05</v>
      </c>
      <c r="U4269" s="8" t="n">
        <v>0.01581666319659036</v>
      </c>
      <c r="V4269" s="6" t="inlineStr">
        <is>
          <t>not selected</t>
        </is>
      </c>
    </row>
    <row r="4270">
      <c r="A4270" s="6" t="inlineStr">
        <is>
          <t>DJ30</t>
        </is>
      </c>
      <c r="B4270" s="6" t="inlineStr">
        <is>
          <t>2025-08-22</t>
        </is>
      </c>
      <c r="C4270" s="6" t="inlineStr">
        <is>
          <t>DIA</t>
        </is>
      </c>
      <c r="D4270" s="6" t="inlineStr">
        <is>
          <t>NKE</t>
        </is>
      </c>
      <c r="E4270" s="6" t="inlineStr">
        <is>
          <t>NKE</t>
        </is>
      </c>
      <c r="F4270" s="6" t="inlineStr">
        <is>
          <t>-</t>
        </is>
      </c>
      <c r="G4270" s="7" t="n">
        <v>76.28661346435547</v>
      </c>
      <c r="H4270" s="6">
        <f>P4239</f>
        <v/>
      </c>
      <c r="I4270" s="9">
        <f>Q4239</f>
        <v/>
      </c>
      <c r="J4270" s="7">
        <f>I4270*G4270</f>
        <v/>
      </c>
      <c r="K4270" s="8">
        <f>IF($J$4279=0,0,J4270/$J$4279)</f>
        <v/>
      </c>
      <c r="L4270" s="6" t="inlineStr">
        <is>
          <t>REJECTED</t>
        </is>
      </c>
      <c r="M4270" s="8" t="n">
        <v>0</v>
      </c>
      <c r="N4270" s="7">
        <f>M4270*$J$4279-J4270</f>
        <v/>
      </c>
      <c r="O4270" s="9">
        <f>IF(G4270=0,0,N4270/G4270)</f>
        <v/>
      </c>
      <c r="P4270" s="6">
        <f>IF(M4270&gt;0,D4270,"")</f>
        <v/>
      </c>
      <c r="Q4270" s="9">
        <f>I4270+O4270</f>
        <v/>
      </c>
      <c r="R4270" s="7">
        <f>Q4270*G4270</f>
        <v/>
      </c>
      <c r="S4270" s="8">
        <f>IF($R$4279=0,0,R4270/$R$4279)</f>
        <v/>
      </c>
      <c r="T4270" s="8" t="n">
        <v>2.937859976404056e-05</v>
      </c>
      <c r="U4270" s="8" t="n">
        <v>0.01581666319659036</v>
      </c>
      <c r="V4270" s="6" t="inlineStr">
        <is>
          <t>not selected</t>
        </is>
      </c>
    </row>
    <row r="4271">
      <c r="A4271" s="6" t="inlineStr">
        <is>
          <t>DJ30</t>
        </is>
      </c>
      <c r="B4271" s="6" t="inlineStr">
        <is>
          <t>2025-08-22</t>
        </is>
      </c>
      <c r="C4271" s="6" t="inlineStr">
        <is>
          <t>DIA</t>
        </is>
      </c>
      <c r="D4271" s="6" t="inlineStr">
        <is>
          <t>NVDA</t>
        </is>
      </c>
      <c r="E4271" s="6" t="inlineStr">
        <is>
          <t>NVDA</t>
        </is>
      </c>
      <c r="F4271" s="6" t="inlineStr">
        <is>
          <t>-</t>
        </is>
      </c>
      <c r="G4271" s="7" t="n">
        <v>177.7532501220703</v>
      </c>
      <c r="H4271" s="6">
        <f>P4240</f>
        <v/>
      </c>
      <c r="I4271" s="9">
        <f>Q4240</f>
        <v/>
      </c>
      <c r="J4271" s="7">
        <f>I4271*G4271</f>
        <v/>
      </c>
      <c r="K4271" s="8">
        <f>IF($J$4279=0,0,J4271/$J$4279)</f>
        <v/>
      </c>
      <c r="L4271" s="6" t="inlineStr">
        <is>
          <t>REJECTED</t>
        </is>
      </c>
      <c r="M4271" s="8" t="n">
        <v>0</v>
      </c>
      <c r="N4271" s="7">
        <f>M4271*$J$4279-J4271</f>
        <v/>
      </c>
      <c r="O4271" s="9">
        <f>IF(G4271=0,0,N4271/G4271)</f>
        <v/>
      </c>
      <c r="P4271" s="6">
        <f>IF(M4271&gt;0,D4271,"")</f>
        <v/>
      </c>
      <c r="Q4271" s="9">
        <f>I4271+O4271</f>
        <v/>
      </c>
      <c r="R4271" s="7">
        <f>Q4271*G4271</f>
        <v/>
      </c>
      <c r="S4271" s="8">
        <f>IF($R$4279=0,0,R4271/$R$4279)</f>
        <v/>
      </c>
      <c r="T4271" s="8" t="n">
        <v>2.937859976404056e-05</v>
      </c>
      <c r="U4271" s="8" t="n">
        <v>0.01581666319659036</v>
      </c>
      <c r="V4271" s="6" t="inlineStr">
        <is>
          <t>not selected</t>
        </is>
      </c>
    </row>
    <row r="4272">
      <c r="A4272" s="6" t="inlineStr">
        <is>
          <t>DJ30</t>
        </is>
      </c>
      <c r="B4272" s="6" t="inlineStr">
        <is>
          <t>2025-08-22</t>
        </is>
      </c>
      <c r="C4272" s="6" t="inlineStr">
        <is>
          <t>DIA</t>
        </is>
      </c>
      <c r="D4272" s="6" t="inlineStr">
        <is>
          <t>PG</t>
        </is>
      </c>
      <c r="E4272" s="6" t="inlineStr">
        <is>
          <t>PG</t>
        </is>
      </c>
      <c r="F4272" s="6" t="inlineStr">
        <is>
          <t>-</t>
        </is>
      </c>
      <c r="G4272" s="7" t="n">
        <v>155.2879486083984</v>
      </c>
      <c r="H4272" s="6">
        <f>P4241</f>
        <v/>
      </c>
      <c r="I4272" s="9">
        <f>Q4241</f>
        <v/>
      </c>
      <c r="J4272" s="7">
        <f>I4272*G4272</f>
        <v/>
      </c>
      <c r="K4272" s="8">
        <f>IF($J$4279=0,0,J4272/$J$4279)</f>
        <v/>
      </c>
      <c r="L4272" s="6" t="inlineStr">
        <is>
          <t>REJECTED</t>
        </is>
      </c>
      <c r="M4272" s="8" t="n">
        <v>0</v>
      </c>
      <c r="N4272" s="7">
        <f>M4272*$J$4279-J4272</f>
        <v/>
      </c>
      <c r="O4272" s="9">
        <f>IF(G4272=0,0,N4272/G4272)</f>
        <v/>
      </c>
      <c r="P4272" s="6">
        <f>IF(M4272&gt;0,D4272,"")</f>
        <v/>
      </c>
      <c r="Q4272" s="9">
        <f>I4272+O4272</f>
        <v/>
      </c>
      <c r="R4272" s="7">
        <f>Q4272*G4272</f>
        <v/>
      </c>
      <c r="S4272" s="8">
        <f>IF($R$4279=0,0,R4272/$R$4279)</f>
        <v/>
      </c>
      <c r="T4272" s="8" t="n">
        <v>2.937859976404056e-05</v>
      </c>
      <c r="U4272" s="8" t="n">
        <v>0.01581666319659036</v>
      </c>
      <c r="V4272" s="6" t="inlineStr">
        <is>
          <t>not selected</t>
        </is>
      </c>
    </row>
    <row r="4273">
      <c r="A4273" s="6" t="inlineStr">
        <is>
          <t>DJ30</t>
        </is>
      </c>
      <c r="B4273" s="6" t="inlineStr">
        <is>
          <t>2025-08-22</t>
        </is>
      </c>
      <c r="C4273" s="6" t="inlineStr">
        <is>
          <t>DIA</t>
        </is>
      </c>
      <c r="D4273" s="6" t="inlineStr">
        <is>
          <t>SHW</t>
        </is>
      </c>
      <c r="E4273" s="6" t="inlineStr">
        <is>
          <t>SHW</t>
        </is>
      </c>
      <c r="F4273" s="6" t="inlineStr">
        <is>
          <t>-</t>
        </is>
      </c>
      <c r="G4273" s="7" t="n">
        <v>370.279541015625</v>
      </c>
      <c r="H4273" s="6">
        <f>P4242</f>
        <v/>
      </c>
      <c r="I4273" s="9">
        <f>Q4242</f>
        <v/>
      </c>
      <c r="J4273" s="7">
        <f>I4273*G4273</f>
        <v/>
      </c>
      <c r="K4273" s="8">
        <f>IF($J$4279=0,0,J4273/$J$4279)</f>
        <v/>
      </c>
      <c r="L4273" s="6" t="inlineStr">
        <is>
          <t>REJECTED</t>
        </is>
      </c>
      <c r="M4273" s="8" t="n">
        <v>0</v>
      </c>
      <c r="N4273" s="7">
        <f>M4273*$J$4279-J4273</f>
        <v/>
      </c>
      <c r="O4273" s="9">
        <f>IF(G4273=0,0,N4273/G4273)</f>
        <v/>
      </c>
      <c r="P4273" s="6">
        <f>IF(M4273&gt;0,D4273,"")</f>
        <v/>
      </c>
      <c r="Q4273" s="9">
        <f>I4273+O4273</f>
        <v/>
      </c>
      <c r="R4273" s="7">
        <f>Q4273*G4273</f>
        <v/>
      </c>
      <c r="S4273" s="8">
        <f>IF($R$4279=0,0,R4273/$R$4279)</f>
        <v/>
      </c>
      <c r="T4273" s="8" t="n">
        <v>2.937859976404056e-05</v>
      </c>
      <c r="U4273" s="8" t="n">
        <v>0.01581666319659036</v>
      </c>
      <c r="V4273" s="6" t="inlineStr">
        <is>
          <t>not selected</t>
        </is>
      </c>
    </row>
    <row r="4274">
      <c r="A4274" s="6" t="inlineStr">
        <is>
          <t>DJ30</t>
        </is>
      </c>
      <c r="B4274" s="6" t="inlineStr">
        <is>
          <t>2025-08-22</t>
        </is>
      </c>
      <c r="C4274" s="6" t="inlineStr">
        <is>
          <t>DIA</t>
        </is>
      </c>
      <c r="D4274" s="6" t="inlineStr">
        <is>
          <t>TRV</t>
        </is>
      </c>
      <c r="E4274" s="6" t="inlineStr">
        <is>
          <t>TRV</t>
        </is>
      </c>
      <c r="F4274" s="6" t="inlineStr">
        <is>
          <t>-</t>
        </is>
      </c>
      <c r="G4274" s="7" t="n">
        <v>271.9632568359375</v>
      </c>
      <c r="H4274" s="6">
        <f>P4243</f>
        <v/>
      </c>
      <c r="I4274" s="9">
        <f>Q4243</f>
        <v/>
      </c>
      <c r="J4274" s="7">
        <f>I4274*G4274</f>
        <v/>
      </c>
      <c r="K4274" s="8">
        <f>IF($J$4279=0,0,J4274/$J$4279)</f>
        <v/>
      </c>
      <c r="L4274" s="6" t="inlineStr">
        <is>
          <t>SELECTED</t>
        </is>
      </c>
      <c r="M4274" s="8" t="n">
        <v>0.2</v>
      </c>
      <c r="N4274" s="7">
        <f>M4274*$J$4279-J4274</f>
        <v/>
      </c>
      <c r="O4274" s="9">
        <f>IF(G4274=0,0,N4274/G4274)</f>
        <v/>
      </c>
      <c r="P4274" s="6">
        <f>IF(M4274&gt;0,D4274,"")</f>
        <v/>
      </c>
      <c r="Q4274" s="9">
        <f>I4274+O4274</f>
        <v/>
      </c>
      <c r="R4274" s="7">
        <f>Q4274*G4274</f>
        <v/>
      </c>
      <c r="S4274" s="8">
        <f>IF($R$4279=0,0,R4274/$R$4279)</f>
        <v/>
      </c>
      <c r="T4274" s="8" t="n">
        <v>2.937859976404056e-05</v>
      </c>
      <c r="U4274" s="8" t="n">
        <v>0.01581666319659036</v>
      </c>
      <c r="V4274" s="6" t="inlineStr">
        <is>
          <t>remained in weekly selection</t>
        </is>
      </c>
    </row>
    <row r="4275">
      <c r="A4275" s="6" t="inlineStr">
        <is>
          <t>DJ30</t>
        </is>
      </c>
      <c r="B4275" s="6" t="inlineStr">
        <is>
          <t>2025-08-22</t>
        </is>
      </c>
      <c r="C4275" s="6" t="inlineStr">
        <is>
          <t>DIA</t>
        </is>
      </c>
      <c r="D4275" s="6" t="inlineStr">
        <is>
          <t>UNH</t>
        </is>
      </c>
      <c r="E4275" s="6" t="inlineStr">
        <is>
          <t>UNH</t>
        </is>
      </c>
      <c r="F4275" s="6" t="inlineStr">
        <is>
          <t>-</t>
        </is>
      </c>
      <c r="G4275" s="7" t="n">
        <v>299.4014892578125</v>
      </c>
      <c r="H4275" s="6">
        <f>P4244</f>
        <v/>
      </c>
      <c r="I4275" s="9">
        <f>Q4244</f>
        <v/>
      </c>
      <c r="J4275" s="7">
        <f>I4275*G4275</f>
        <v/>
      </c>
      <c r="K4275" s="8">
        <f>IF($J$4279=0,0,J4275/$J$4279)</f>
        <v/>
      </c>
      <c r="L4275" s="6" t="inlineStr">
        <is>
          <t>REJECTED</t>
        </is>
      </c>
      <c r="M4275" s="8" t="n">
        <v>0</v>
      </c>
      <c r="N4275" s="7">
        <f>M4275*$J$4279-J4275</f>
        <v/>
      </c>
      <c r="O4275" s="9">
        <f>IF(G4275=0,0,N4275/G4275)</f>
        <v/>
      </c>
      <c r="P4275" s="6">
        <f>IF(M4275&gt;0,D4275,"")</f>
        <v/>
      </c>
      <c r="Q4275" s="9">
        <f>I4275+O4275</f>
        <v/>
      </c>
      <c r="R4275" s="7">
        <f>Q4275*G4275</f>
        <v/>
      </c>
      <c r="S4275" s="8">
        <f>IF($R$4279=0,0,R4275/$R$4279)</f>
        <v/>
      </c>
      <c r="T4275" s="8" t="n">
        <v>2.937859976404056e-05</v>
      </c>
      <c r="U4275" s="8" t="n">
        <v>0.01581666319659036</v>
      </c>
      <c r="V4275" s="6" t="inlineStr">
        <is>
          <t>not selected</t>
        </is>
      </c>
    </row>
    <row r="4276">
      <c r="A4276" s="6" t="inlineStr">
        <is>
          <t>DJ30</t>
        </is>
      </c>
      <c r="B4276" s="6" t="inlineStr">
        <is>
          <t>2025-08-22</t>
        </is>
      </c>
      <c r="C4276" s="6" t="inlineStr">
        <is>
          <t>DIA</t>
        </is>
      </c>
      <c r="D4276" s="6" t="inlineStr">
        <is>
          <t>V</t>
        </is>
      </c>
      <c r="E4276" s="6" t="inlineStr">
        <is>
          <t>V</t>
        </is>
      </c>
      <c r="F4276" s="6" t="inlineStr">
        <is>
          <t>-</t>
        </is>
      </c>
      <c r="G4276" s="7" t="n">
        <v>347.9078674316406</v>
      </c>
      <c r="H4276" s="6">
        <f>P4245</f>
        <v/>
      </c>
      <c r="I4276" s="9">
        <f>Q4245</f>
        <v/>
      </c>
      <c r="J4276" s="7">
        <f>I4276*G4276</f>
        <v/>
      </c>
      <c r="K4276" s="8">
        <f>IF($J$4279=0,0,J4276/$J$4279)</f>
        <v/>
      </c>
      <c r="L4276" s="6" t="inlineStr">
        <is>
          <t>WATCHLIST</t>
        </is>
      </c>
      <c r="M4276" s="8" t="n">
        <v>0</v>
      </c>
      <c r="N4276" s="7">
        <f>M4276*$J$4279-J4276</f>
        <v/>
      </c>
      <c r="O4276" s="9">
        <f>IF(G4276=0,0,N4276/G4276)</f>
        <v/>
      </c>
      <c r="P4276" s="6">
        <f>IF(M4276&gt;0,D4276,"")</f>
        <v/>
      </c>
      <c r="Q4276" s="9">
        <f>I4276+O4276</f>
        <v/>
      </c>
      <c r="R4276" s="7">
        <f>Q4276*G4276</f>
        <v/>
      </c>
      <c r="S4276" s="8">
        <f>IF($R$4279=0,0,R4276/$R$4279)</f>
        <v/>
      </c>
      <c r="T4276" s="8" t="n">
        <v>2.937859976404056e-05</v>
      </c>
      <c r="U4276" s="8" t="n">
        <v>0.01581666319659036</v>
      </c>
      <c r="V4276" s="6" t="inlineStr">
        <is>
          <t>not selected</t>
        </is>
      </c>
    </row>
    <row r="4277">
      <c r="A4277" s="6" t="inlineStr">
        <is>
          <t>DJ30</t>
        </is>
      </c>
      <c r="B4277" s="6" t="inlineStr">
        <is>
          <t>2025-08-22</t>
        </is>
      </c>
      <c r="C4277" s="6" t="inlineStr">
        <is>
          <t>DIA</t>
        </is>
      </c>
      <c r="D4277" s="6" t="inlineStr">
        <is>
          <t>VZ</t>
        </is>
      </c>
      <c r="E4277" s="6" t="inlineStr">
        <is>
          <t>VZ</t>
        </is>
      </c>
      <c r="F4277" s="6" t="inlineStr">
        <is>
          <t>-</t>
        </is>
      </c>
      <c r="G4277" s="7" t="n">
        <v>42.30758666992188</v>
      </c>
      <c r="H4277" s="6">
        <f>P4246</f>
        <v/>
      </c>
      <c r="I4277" s="9">
        <f>Q4246</f>
        <v/>
      </c>
      <c r="J4277" s="7">
        <f>I4277*G4277</f>
        <v/>
      </c>
      <c r="K4277" s="8">
        <f>IF($J$4279=0,0,J4277/$J$4279)</f>
        <v/>
      </c>
      <c r="L4277" s="6" t="inlineStr">
        <is>
          <t>SELECTED</t>
        </is>
      </c>
      <c r="M4277" s="8" t="n">
        <v>0.2</v>
      </c>
      <c r="N4277" s="7">
        <f>M4277*$J$4279-J4277</f>
        <v/>
      </c>
      <c r="O4277" s="9">
        <f>IF(G4277=0,0,N4277/G4277)</f>
        <v/>
      </c>
      <c r="P4277" s="6">
        <f>IF(M4277&gt;0,D4277,"")</f>
        <v/>
      </c>
      <c r="Q4277" s="9">
        <f>I4277+O4277</f>
        <v/>
      </c>
      <c r="R4277" s="7">
        <f>Q4277*G4277</f>
        <v/>
      </c>
      <c r="S4277" s="8">
        <f>IF($R$4279=0,0,R4277/$R$4279)</f>
        <v/>
      </c>
      <c r="T4277" s="8" t="n">
        <v>2.937859976404056e-05</v>
      </c>
      <c r="U4277" s="8" t="n">
        <v>0.01581666319659036</v>
      </c>
      <c r="V4277" s="6" t="inlineStr">
        <is>
          <t>remained in weekly selection</t>
        </is>
      </c>
    </row>
    <row r="4278">
      <c r="A4278" s="6" t="inlineStr">
        <is>
          <t>DJ30</t>
        </is>
      </c>
      <c r="B4278" s="6" t="inlineStr">
        <is>
          <t>2025-08-22</t>
        </is>
      </c>
      <c r="C4278" s="6" t="inlineStr">
        <is>
          <t>DIA</t>
        </is>
      </c>
      <c r="D4278" s="6" t="inlineStr">
        <is>
          <t>WMT</t>
        </is>
      </c>
      <c r="E4278" s="6" t="inlineStr">
        <is>
          <t>WMT</t>
        </is>
      </c>
      <c r="F4278" s="6" t="inlineStr">
        <is>
          <t>-</t>
        </is>
      </c>
      <c r="G4278" s="7" t="n">
        <v>96.2514190673828</v>
      </c>
      <c r="H4278" s="6">
        <f>P4247</f>
        <v/>
      </c>
      <c r="I4278" s="9">
        <f>Q4247</f>
        <v/>
      </c>
      <c r="J4278" s="7">
        <f>I4278*G4278</f>
        <v/>
      </c>
      <c r="K4278" s="8">
        <f>IF($J$4279=0,0,J4278/$J$4279)</f>
        <v/>
      </c>
      <c r="L4278" s="6" t="inlineStr">
        <is>
          <t>WATCHLIST</t>
        </is>
      </c>
      <c r="M4278" s="8" t="n">
        <v>0</v>
      </c>
      <c r="N4278" s="7">
        <f>M4278*$J$4279-J4278</f>
        <v/>
      </c>
      <c r="O4278" s="9">
        <f>IF(G4278=0,0,N4278/G4278)</f>
        <v/>
      </c>
      <c r="P4278" s="6">
        <f>IF(M4278&gt;0,D4278,"")</f>
        <v/>
      </c>
      <c r="Q4278" s="9">
        <f>I4278+O4278</f>
        <v/>
      </c>
      <c r="R4278" s="7">
        <f>Q4278*G4278</f>
        <v/>
      </c>
      <c r="S4278" s="8">
        <f>IF($R$4279=0,0,R4278/$R$4279)</f>
        <v/>
      </c>
      <c r="T4278" s="8" t="n">
        <v>2.937859976404056e-05</v>
      </c>
      <c r="U4278" s="8" t="n">
        <v>0.01581666319659036</v>
      </c>
      <c r="V4278" s="6" t="inlineStr">
        <is>
          <t>removed from weekly selection</t>
        </is>
      </c>
    </row>
    <row r="4279">
      <c r="A4279" s="10" t="inlineStr">
        <is>
          <t>DJ30</t>
        </is>
      </c>
      <c r="B4279" s="10" t="inlineStr">
        <is>
          <t>2025-08-22</t>
        </is>
      </c>
      <c r="C4279" s="10" t="inlineStr">
        <is>
          <t>DIA</t>
        </is>
      </c>
      <c r="D4279" s="10" t="inlineStr">
        <is>
          <t>Tot Portfolio</t>
        </is>
      </c>
      <c r="E4279" s="10" t="inlineStr"/>
      <c r="F4279" s="10" t="inlineStr"/>
      <c r="G4279" s="11" t="inlineStr"/>
      <c r="H4279" s="10" t="inlineStr"/>
      <c r="I4279" s="12" t="inlineStr"/>
      <c r="J4279" s="11">
        <f>SUM(J4249:J4278)</f>
        <v/>
      </c>
      <c r="K4279" s="13">
        <f>SUM(K4249:K4278)</f>
        <v/>
      </c>
      <c r="L4279" s="10" t="inlineStr">
        <is>
          <t>TOTAL</t>
        </is>
      </c>
      <c r="M4279" s="13">
        <f>SUM(M4249:M4278)</f>
        <v/>
      </c>
      <c r="N4279" s="11">
        <f>SUM(N4249:N4278)</f>
        <v/>
      </c>
      <c r="O4279" s="12">
        <f>SUM(O4249:O4278)</f>
        <v/>
      </c>
      <c r="P4279" s="10" t="inlineStr"/>
      <c r="Q4279" s="12" t="inlineStr"/>
      <c r="R4279" s="11">
        <f>SUM(R4249:R4278)</f>
        <v/>
      </c>
      <c r="S4279" s="13">
        <f>SUM(S4249:S4278)</f>
        <v/>
      </c>
      <c r="T4279" s="13" t="n">
        <v>2.937859976404056e-05</v>
      </c>
      <c r="U4279" s="13" t="n">
        <v>0.01581666319659036</v>
      </c>
      <c r="V4279" s="10" t="inlineStr"/>
    </row>
    <row r="4280">
      <c r="A4280" s="6" t="inlineStr">
        <is>
          <t>DJ30</t>
        </is>
      </c>
      <c r="B4280" s="6" t="inlineStr">
        <is>
          <t>2025-08-29</t>
        </is>
      </c>
      <c r="C4280" s="6" t="inlineStr">
        <is>
          <t>DIA</t>
        </is>
      </c>
      <c r="D4280" s="6" t="inlineStr">
        <is>
          <t>AAPL</t>
        </is>
      </c>
      <c r="E4280" s="6" t="inlineStr">
        <is>
          <t>AAPL</t>
        </is>
      </c>
      <c r="F4280" s="6" t="inlineStr">
        <is>
          <t>-</t>
        </is>
      </c>
      <c r="G4280" s="7" t="n">
        <v>231.485107421875</v>
      </c>
      <c r="H4280" s="6">
        <f>P4249</f>
        <v/>
      </c>
      <c r="I4280" s="9">
        <f>Q4249</f>
        <v/>
      </c>
      <c r="J4280" s="7">
        <f>I4280*G4280</f>
        <v/>
      </c>
      <c r="K4280" s="8">
        <f>IF($J$4310=0,0,J4280/$J$4310)</f>
        <v/>
      </c>
      <c r="L4280" s="6" t="inlineStr">
        <is>
          <t>REJECTED</t>
        </is>
      </c>
      <c r="M4280" s="8" t="n">
        <v>0</v>
      </c>
      <c r="N4280" s="7">
        <f>M4280*$J$4310-J4280</f>
        <v/>
      </c>
      <c r="O4280" s="9">
        <f>IF(G4280=0,0,N4280/G4280)</f>
        <v/>
      </c>
      <c r="P4280" s="6">
        <f>IF(M4280&gt;0,D4280,"")</f>
        <v/>
      </c>
      <c r="Q4280" s="9">
        <f>I4280+O4280</f>
        <v/>
      </c>
      <c r="R4280" s="7">
        <f>Q4280*G4280</f>
        <v/>
      </c>
      <c r="S4280" s="8">
        <f>IF($R$4310=0,0,R4280/$R$4310)</f>
        <v/>
      </c>
      <c r="T4280" s="8" t="n">
        <v>0.0003145253226690681</v>
      </c>
      <c r="U4280" s="8" t="n">
        <v>-0.001204630640034177</v>
      </c>
      <c r="V4280" s="6" t="inlineStr">
        <is>
          <t>not selected</t>
        </is>
      </c>
    </row>
    <row r="4281">
      <c r="A4281" s="6" t="inlineStr">
        <is>
          <t>DJ30</t>
        </is>
      </c>
      <c r="B4281" s="6" t="inlineStr">
        <is>
          <t>2025-08-29</t>
        </is>
      </c>
      <c r="C4281" s="6" t="inlineStr">
        <is>
          <t>DIA</t>
        </is>
      </c>
      <c r="D4281" s="6" t="inlineStr">
        <is>
          <t>AMGN</t>
        </is>
      </c>
      <c r="E4281" s="6" t="inlineStr">
        <is>
          <t>AMGN</t>
        </is>
      </c>
      <c r="F4281" s="6" t="inlineStr">
        <is>
          <t>-</t>
        </is>
      </c>
      <c r="G4281" s="7" t="n">
        <v>281.5802917480469</v>
      </c>
      <c r="H4281" s="6">
        <f>P4250</f>
        <v/>
      </c>
      <c r="I4281" s="9">
        <f>Q4250</f>
        <v/>
      </c>
      <c r="J4281" s="7">
        <f>I4281*G4281</f>
        <v/>
      </c>
      <c r="K4281" s="8">
        <f>IF($J$4310=0,0,J4281/$J$4310)</f>
        <v/>
      </c>
      <c r="L4281" s="6" t="inlineStr">
        <is>
          <t>REJECTED</t>
        </is>
      </c>
      <c r="M4281" s="8" t="n">
        <v>0</v>
      </c>
      <c r="N4281" s="7">
        <f>M4281*$J$4310-J4281</f>
        <v/>
      </c>
      <c r="O4281" s="9">
        <f>IF(G4281=0,0,N4281/G4281)</f>
        <v/>
      </c>
      <c r="P4281" s="6">
        <f>IF(M4281&gt;0,D4281,"")</f>
        <v/>
      </c>
      <c r="Q4281" s="9">
        <f>I4281+O4281</f>
        <v/>
      </c>
      <c r="R4281" s="7">
        <f>Q4281*G4281</f>
        <v/>
      </c>
      <c r="S4281" s="8">
        <f>IF($R$4310=0,0,R4281/$R$4310)</f>
        <v/>
      </c>
      <c r="T4281" s="8" t="n">
        <v>0.0003145253226690681</v>
      </c>
      <c r="U4281" s="8" t="n">
        <v>-0.001204630640034177</v>
      </c>
      <c r="V4281" s="6" t="inlineStr">
        <is>
          <t>not selected</t>
        </is>
      </c>
    </row>
    <row r="4282">
      <c r="A4282" s="6" t="inlineStr">
        <is>
          <t>DJ30</t>
        </is>
      </c>
      <c r="B4282" s="6" t="inlineStr">
        <is>
          <t>2025-08-29</t>
        </is>
      </c>
      <c r="C4282" s="6" t="inlineStr">
        <is>
          <t>DIA</t>
        </is>
      </c>
      <c r="D4282" s="6" t="inlineStr">
        <is>
          <t>AMZN</t>
        </is>
      </c>
      <c r="E4282" s="6" t="inlineStr">
        <is>
          <t>AMZN</t>
        </is>
      </c>
      <c r="F4282" s="6" t="inlineStr">
        <is>
          <t>-</t>
        </is>
      </c>
      <c r="G4282" s="7" t="n">
        <v>229</v>
      </c>
      <c r="H4282" s="6">
        <f>P4251</f>
        <v/>
      </c>
      <c r="I4282" s="9">
        <f>Q4251</f>
        <v/>
      </c>
      <c r="J4282" s="7">
        <f>I4282*G4282</f>
        <v/>
      </c>
      <c r="K4282" s="8">
        <f>IF($J$4310=0,0,J4282/$J$4310)</f>
        <v/>
      </c>
      <c r="L4282" s="6" t="inlineStr">
        <is>
          <t>REJECTED</t>
        </is>
      </c>
      <c r="M4282" s="8" t="n">
        <v>0</v>
      </c>
      <c r="N4282" s="7">
        <f>M4282*$J$4310-J4282</f>
        <v/>
      </c>
      <c r="O4282" s="9">
        <f>IF(G4282=0,0,N4282/G4282)</f>
        <v/>
      </c>
      <c r="P4282" s="6">
        <f>IF(M4282&gt;0,D4282,"")</f>
        <v/>
      </c>
      <c r="Q4282" s="9">
        <f>I4282+O4282</f>
        <v/>
      </c>
      <c r="R4282" s="7">
        <f>Q4282*G4282</f>
        <v/>
      </c>
      <c r="S4282" s="8">
        <f>IF($R$4310=0,0,R4282/$R$4310)</f>
        <v/>
      </c>
      <c r="T4282" s="8" t="n">
        <v>0.0003145253226690681</v>
      </c>
      <c r="U4282" s="8" t="n">
        <v>-0.001204630640034177</v>
      </c>
      <c r="V4282" s="6" t="inlineStr">
        <is>
          <t>not selected</t>
        </is>
      </c>
    </row>
    <row r="4283">
      <c r="A4283" s="6" t="inlineStr">
        <is>
          <t>DJ30</t>
        </is>
      </c>
      <c r="B4283" s="6" t="inlineStr">
        <is>
          <t>2025-08-29</t>
        </is>
      </c>
      <c r="C4283" s="6" t="inlineStr">
        <is>
          <t>DIA</t>
        </is>
      </c>
      <c r="D4283" s="6" t="inlineStr">
        <is>
          <t>AXP</t>
        </is>
      </c>
      <c r="E4283" s="6" t="inlineStr">
        <is>
          <t>AXP</t>
        </is>
      </c>
      <c r="F4283" s="6" t="inlineStr">
        <is>
          <t>-</t>
        </is>
      </c>
      <c r="G4283" s="7" t="n">
        <v>328.6712341308594</v>
      </c>
      <c r="H4283" s="6">
        <f>P4252</f>
        <v/>
      </c>
      <c r="I4283" s="9">
        <f>Q4252</f>
        <v/>
      </c>
      <c r="J4283" s="7">
        <f>I4283*G4283</f>
        <v/>
      </c>
      <c r="K4283" s="8">
        <f>IF($J$4310=0,0,J4283/$J$4310)</f>
        <v/>
      </c>
      <c r="L4283" s="6" t="inlineStr">
        <is>
          <t>REJECTED</t>
        </is>
      </c>
      <c r="M4283" s="8" t="n">
        <v>0</v>
      </c>
      <c r="N4283" s="7">
        <f>M4283*$J$4310-J4283</f>
        <v/>
      </c>
      <c r="O4283" s="9">
        <f>IF(G4283=0,0,N4283/G4283)</f>
        <v/>
      </c>
      <c r="P4283" s="6">
        <f>IF(M4283&gt;0,D4283,"")</f>
        <v/>
      </c>
      <c r="Q4283" s="9">
        <f>I4283+O4283</f>
        <v/>
      </c>
      <c r="R4283" s="7">
        <f>Q4283*G4283</f>
        <v/>
      </c>
      <c r="S4283" s="8">
        <f>IF($R$4310=0,0,R4283/$R$4310)</f>
        <v/>
      </c>
      <c r="T4283" s="8" t="n">
        <v>0.0003145253226690681</v>
      </c>
      <c r="U4283" s="8" t="n">
        <v>-0.001204630640034177</v>
      </c>
      <c r="V4283" s="6" t="inlineStr">
        <is>
          <t>not selected</t>
        </is>
      </c>
    </row>
    <row r="4284">
      <c r="A4284" s="6" t="inlineStr">
        <is>
          <t>DJ30</t>
        </is>
      </c>
      <c r="B4284" s="6" t="inlineStr">
        <is>
          <t>2025-08-29</t>
        </is>
      </c>
      <c r="C4284" s="6" t="inlineStr">
        <is>
          <t>DIA</t>
        </is>
      </c>
      <c r="D4284" s="6" t="inlineStr">
        <is>
          <t>BA</t>
        </is>
      </c>
      <c r="E4284" s="6" t="inlineStr">
        <is>
          <t>BA</t>
        </is>
      </c>
      <c r="F4284" s="6" t="inlineStr">
        <is>
          <t>-</t>
        </is>
      </c>
      <c r="G4284" s="7" t="n">
        <v>234.6799926757812</v>
      </c>
      <c r="H4284" s="6">
        <f>P4253</f>
        <v/>
      </c>
      <c r="I4284" s="9">
        <f>Q4253</f>
        <v/>
      </c>
      <c r="J4284" s="7">
        <f>I4284*G4284</f>
        <v/>
      </c>
      <c r="K4284" s="8">
        <f>IF($J$4310=0,0,J4284/$J$4310)</f>
        <v/>
      </c>
      <c r="L4284" s="6" t="inlineStr">
        <is>
          <t>SELECTED</t>
        </is>
      </c>
      <c r="M4284" s="8" t="n">
        <v>0.2</v>
      </c>
      <c r="N4284" s="7">
        <f>M4284*$J$4310-J4284</f>
        <v/>
      </c>
      <c r="O4284" s="9">
        <f>IF(G4284=0,0,N4284/G4284)</f>
        <v/>
      </c>
      <c r="P4284" s="6">
        <f>IF(M4284&gt;0,D4284,"")</f>
        <v/>
      </c>
      <c r="Q4284" s="9">
        <f>I4284+O4284</f>
        <v/>
      </c>
      <c r="R4284" s="7">
        <f>Q4284*G4284</f>
        <v/>
      </c>
      <c r="S4284" s="8">
        <f>IF($R$4310=0,0,R4284/$R$4310)</f>
        <v/>
      </c>
      <c r="T4284" s="8" t="n">
        <v>0.0003145253226690681</v>
      </c>
      <c r="U4284" s="8" t="n">
        <v>-0.001204630640034177</v>
      </c>
      <c r="V4284" s="6" t="inlineStr">
        <is>
          <t>remained in weekly selection</t>
        </is>
      </c>
    </row>
    <row r="4285">
      <c r="A4285" s="6" t="inlineStr">
        <is>
          <t>DJ30</t>
        </is>
      </c>
      <c r="B4285" s="6" t="inlineStr">
        <is>
          <t>2025-08-29</t>
        </is>
      </c>
      <c r="C4285" s="6" t="inlineStr">
        <is>
          <t>DIA</t>
        </is>
      </c>
      <c r="D4285" s="6" t="inlineStr">
        <is>
          <t>CAT</t>
        </is>
      </c>
      <c r="E4285" s="6" t="inlineStr">
        <is>
          <t>CAT</t>
        </is>
      </c>
      <c r="F4285" s="6" t="inlineStr">
        <is>
          <t>-</t>
        </is>
      </c>
      <c r="G4285" s="7" t="n">
        <v>416.0720825195313</v>
      </c>
      <c r="H4285" s="6">
        <f>P4254</f>
        <v/>
      </c>
      <c r="I4285" s="9">
        <f>Q4254</f>
        <v/>
      </c>
      <c r="J4285" s="7">
        <f>I4285*G4285</f>
        <v/>
      </c>
      <c r="K4285" s="8">
        <f>IF($J$4310=0,0,J4285/$J$4310)</f>
        <v/>
      </c>
      <c r="L4285" s="6" t="inlineStr">
        <is>
          <t>REJECTED</t>
        </is>
      </c>
      <c r="M4285" s="8" t="n">
        <v>0</v>
      </c>
      <c r="N4285" s="7">
        <f>M4285*$J$4310-J4285</f>
        <v/>
      </c>
      <c r="O4285" s="9">
        <f>IF(G4285=0,0,N4285/G4285)</f>
        <v/>
      </c>
      <c r="P4285" s="6">
        <f>IF(M4285&gt;0,D4285,"")</f>
        <v/>
      </c>
      <c r="Q4285" s="9">
        <f>I4285+O4285</f>
        <v/>
      </c>
      <c r="R4285" s="7">
        <f>Q4285*G4285</f>
        <v/>
      </c>
      <c r="S4285" s="8">
        <f>IF($R$4310=0,0,R4285/$R$4310)</f>
        <v/>
      </c>
      <c r="T4285" s="8" t="n">
        <v>0.0003145253226690681</v>
      </c>
      <c r="U4285" s="8" t="n">
        <v>-0.001204630640034177</v>
      </c>
      <c r="V4285" s="6" t="inlineStr">
        <is>
          <t>not selected</t>
        </is>
      </c>
    </row>
    <row r="4286">
      <c r="A4286" s="6" t="inlineStr">
        <is>
          <t>DJ30</t>
        </is>
      </c>
      <c r="B4286" s="6" t="inlineStr">
        <is>
          <t>2025-08-29</t>
        </is>
      </c>
      <c r="C4286" s="6" t="inlineStr">
        <is>
          <t>DIA</t>
        </is>
      </c>
      <c r="D4286" s="6" t="inlineStr">
        <is>
          <t>CRM</t>
        </is>
      </c>
      <c r="E4286" s="6" t="inlineStr">
        <is>
          <t>CRM</t>
        </is>
      </c>
      <c r="F4286" s="6" t="inlineStr">
        <is>
          <t>-</t>
        </is>
      </c>
      <c r="G4286" s="7" t="n">
        <v>254.099365234375</v>
      </c>
      <c r="H4286" s="6">
        <f>P4255</f>
        <v/>
      </c>
      <c r="I4286" s="9">
        <f>Q4255</f>
        <v/>
      </c>
      <c r="J4286" s="7">
        <f>I4286*G4286</f>
        <v/>
      </c>
      <c r="K4286" s="8">
        <f>IF($J$4310=0,0,J4286/$J$4310)</f>
        <v/>
      </c>
      <c r="L4286" s="6" t="inlineStr">
        <is>
          <t>REJECTED</t>
        </is>
      </c>
      <c r="M4286" s="8" t="n">
        <v>0</v>
      </c>
      <c r="N4286" s="7">
        <f>M4286*$J$4310-J4286</f>
        <v/>
      </c>
      <c r="O4286" s="9">
        <f>IF(G4286=0,0,N4286/G4286)</f>
        <v/>
      </c>
      <c r="P4286" s="6">
        <f>IF(M4286&gt;0,D4286,"")</f>
        <v/>
      </c>
      <c r="Q4286" s="9">
        <f>I4286+O4286</f>
        <v/>
      </c>
      <c r="R4286" s="7">
        <f>Q4286*G4286</f>
        <v/>
      </c>
      <c r="S4286" s="8">
        <f>IF($R$4310=0,0,R4286/$R$4310)</f>
        <v/>
      </c>
      <c r="T4286" s="8" t="n">
        <v>0.0003145253226690681</v>
      </c>
      <c r="U4286" s="8" t="n">
        <v>-0.001204630640034177</v>
      </c>
      <c r="V4286" s="6" t="inlineStr">
        <is>
          <t>not selected</t>
        </is>
      </c>
    </row>
    <row r="4287">
      <c r="A4287" s="6" t="inlineStr">
        <is>
          <t>DJ30</t>
        </is>
      </c>
      <c r="B4287" s="6" t="inlineStr">
        <is>
          <t>2025-08-29</t>
        </is>
      </c>
      <c r="C4287" s="6" t="inlineStr">
        <is>
          <t>DIA</t>
        </is>
      </c>
      <c r="D4287" s="6" t="inlineStr">
        <is>
          <t>CSCO</t>
        </is>
      </c>
      <c r="E4287" s="6" t="inlineStr">
        <is>
          <t>CSCO</t>
        </is>
      </c>
      <c r="F4287" s="6" t="inlineStr">
        <is>
          <t>-</t>
        </is>
      </c>
      <c r="G4287" s="7" t="n">
        <v>67.94163513183594</v>
      </c>
      <c r="H4287" s="6">
        <f>P4256</f>
        <v/>
      </c>
      <c r="I4287" s="9">
        <f>Q4256</f>
        <v/>
      </c>
      <c r="J4287" s="7">
        <f>I4287*G4287</f>
        <v/>
      </c>
      <c r="K4287" s="8">
        <f>IF($J$4310=0,0,J4287/$J$4310)</f>
        <v/>
      </c>
      <c r="L4287" s="6" t="inlineStr">
        <is>
          <t>WATCHLIST</t>
        </is>
      </c>
      <c r="M4287" s="8" t="n">
        <v>0</v>
      </c>
      <c r="N4287" s="7">
        <f>M4287*$J$4310-J4287</f>
        <v/>
      </c>
      <c r="O4287" s="9">
        <f>IF(G4287=0,0,N4287/G4287)</f>
        <v/>
      </c>
      <c r="P4287" s="6">
        <f>IF(M4287&gt;0,D4287,"")</f>
        <v/>
      </c>
      <c r="Q4287" s="9">
        <f>I4287+O4287</f>
        <v/>
      </c>
      <c r="R4287" s="7">
        <f>Q4287*G4287</f>
        <v/>
      </c>
      <c r="S4287" s="8">
        <f>IF($R$4310=0,0,R4287/$R$4310)</f>
        <v/>
      </c>
      <c r="T4287" s="8" t="n">
        <v>0.0003145253226690681</v>
      </c>
      <c r="U4287" s="8" t="n">
        <v>-0.001204630640034177</v>
      </c>
      <c r="V4287" s="6" t="inlineStr">
        <is>
          <t>not selected</t>
        </is>
      </c>
    </row>
    <row r="4288">
      <c r="A4288" s="6" t="inlineStr">
        <is>
          <t>DJ30</t>
        </is>
      </c>
      <c r="B4288" s="6" t="inlineStr">
        <is>
          <t>2025-08-29</t>
        </is>
      </c>
      <c r="C4288" s="6" t="inlineStr">
        <is>
          <t>DIA</t>
        </is>
      </c>
      <c r="D4288" s="6" t="inlineStr">
        <is>
          <t>CVX</t>
        </is>
      </c>
      <c r="E4288" s="6" t="inlineStr">
        <is>
          <t>CVX</t>
        </is>
      </c>
      <c r="F4288" s="6" t="inlineStr">
        <is>
          <t>-</t>
        </is>
      </c>
      <c r="G4288" s="7" t="n">
        <v>155.8599700927734</v>
      </c>
      <c r="H4288" s="6">
        <f>P4257</f>
        <v/>
      </c>
      <c r="I4288" s="9">
        <f>Q4257</f>
        <v/>
      </c>
      <c r="J4288" s="7">
        <f>I4288*G4288</f>
        <v/>
      </c>
      <c r="K4288" s="8">
        <f>IF($J$4310=0,0,J4288/$J$4310)</f>
        <v/>
      </c>
      <c r="L4288" s="6" t="inlineStr">
        <is>
          <t>REJECTED</t>
        </is>
      </c>
      <c r="M4288" s="8" t="n">
        <v>0</v>
      </c>
      <c r="N4288" s="7">
        <f>M4288*$J$4310-J4288</f>
        <v/>
      </c>
      <c r="O4288" s="9">
        <f>IF(G4288=0,0,N4288/G4288)</f>
        <v/>
      </c>
      <c r="P4288" s="6">
        <f>IF(M4288&gt;0,D4288,"")</f>
        <v/>
      </c>
      <c r="Q4288" s="9">
        <f>I4288+O4288</f>
        <v/>
      </c>
      <c r="R4288" s="7">
        <f>Q4288*G4288</f>
        <v/>
      </c>
      <c r="S4288" s="8">
        <f>IF($R$4310=0,0,R4288/$R$4310)</f>
        <v/>
      </c>
      <c r="T4288" s="8" t="n">
        <v>0.0003145253226690681</v>
      </c>
      <c r="U4288" s="8" t="n">
        <v>-0.001204630640034177</v>
      </c>
      <c r="V4288" s="6" t="inlineStr">
        <is>
          <t>not selected</t>
        </is>
      </c>
    </row>
    <row r="4289">
      <c r="A4289" s="6" t="inlineStr">
        <is>
          <t>DJ30</t>
        </is>
      </c>
      <c r="B4289" s="6" t="inlineStr">
        <is>
          <t>2025-08-29</t>
        </is>
      </c>
      <c r="C4289" s="6" t="inlineStr">
        <is>
          <t>DIA</t>
        </is>
      </c>
      <c r="D4289" s="6" t="inlineStr">
        <is>
          <t>DIS</t>
        </is>
      </c>
      <c r="E4289" s="6" t="inlineStr">
        <is>
          <t>DIS</t>
        </is>
      </c>
      <c r="F4289" s="6" t="inlineStr">
        <is>
          <t>-</t>
        </is>
      </c>
      <c r="G4289" s="7" t="n">
        <v>117.5844345092773</v>
      </c>
      <c r="H4289" s="6">
        <f>P4258</f>
        <v/>
      </c>
      <c r="I4289" s="9">
        <f>Q4258</f>
        <v/>
      </c>
      <c r="J4289" s="7">
        <f>I4289*G4289</f>
        <v/>
      </c>
      <c r="K4289" s="8">
        <f>IF($J$4310=0,0,J4289/$J$4310)</f>
        <v/>
      </c>
      <c r="L4289" s="6" t="inlineStr">
        <is>
          <t>REJECTED</t>
        </is>
      </c>
      <c r="M4289" s="8" t="n">
        <v>0</v>
      </c>
      <c r="N4289" s="7">
        <f>M4289*$J$4310-J4289</f>
        <v/>
      </c>
      <c r="O4289" s="9">
        <f>IF(G4289=0,0,N4289/G4289)</f>
        <v/>
      </c>
      <c r="P4289" s="6">
        <f>IF(M4289&gt;0,D4289,"")</f>
        <v/>
      </c>
      <c r="Q4289" s="9">
        <f>I4289+O4289</f>
        <v/>
      </c>
      <c r="R4289" s="7">
        <f>Q4289*G4289</f>
        <v/>
      </c>
      <c r="S4289" s="8">
        <f>IF($R$4310=0,0,R4289/$R$4310)</f>
        <v/>
      </c>
      <c r="T4289" s="8" t="n">
        <v>0.0003145253226690681</v>
      </c>
      <c r="U4289" s="8" t="n">
        <v>-0.001204630640034177</v>
      </c>
      <c r="V4289" s="6" t="inlineStr">
        <is>
          <t>not selected</t>
        </is>
      </c>
    </row>
    <row r="4290">
      <c r="A4290" s="6" t="inlineStr">
        <is>
          <t>DJ30</t>
        </is>
      </c>
      <c r="B4290" s="6" t="inlineStr">
        <is>
          <t>2025-08-29</t>
        </is>
      </c>
      <c r="C4290" s="6" t="inlineStr">
        <is>
          <t>DIA</t>
        </is>
      </c>
      <c r="D4290" s="6" t="inlineStr">
        <is>
          <t>GS</t>
        </is>
      </c>
      <c r="E4290" s="6" t="inlineStr">
        <is>
          <t>GS</t>
        </is>
      </c>
      <c r="F4290" s="6" t="inlineStr">
        <is>
          <t>-</t>
        </is>
      </c>
      <c r="G4290" s="7" t="n">
        <v>734.4544677734375</v>
      </c>
      <c r="H4290" s="6">
        <f>P4259</f>
        <v/>
      </c>
      <c r="I4290" s="9">
        <f>Q4259</f>
        <v/>
      </c>
      <c r="J4290" s="7">
        <f>I4290*G4290</f>
        <v/>
      </c>
      <c r="K4290" s="8">
        <f>IF($J$4310=0,0,J4290/$J$4310)</f>
        <v/>
      </c>
      <c r="L4290" s="6" t="inlineStr">
        <is>
          <t>WATCHLIST</t>
        </is>
      </c>
      <c r="M4290" s="8" t="n">
        <v>0</v>
      </c>
      <c r="N4290" s="7">
        <f>M4290*$J$4310-J4290</f>
        <v/>
      </c>
      <c r="O4290" s="9">
        <f>IF(G4290=0,0,N4290/G4290)</f>
        <v/>
      </c>
      <c r="P4290" s="6">
        <f>IF(M4290&gt;0,D4290,"")</f>
        <v/>
      </c>
      <c r="Q4290" s="9">
        <f>I4290+O4290</f>
        <v/>
      </c>
      <c r="R4290" s="7">
        <f>Q4290*G4290</f>
        <v/>
      </c>
      <c r="S4290" s="8">
        <f>IF($R$4310=0,0,R4290/$R$4310)</f>
        <v/>
      </c>
      <c r="T4290" s="8" t="n">
        <v>0.0003145253226690681</v>
      </c>
      <c r="U4290" s="8" t="n">
        <v>-0.001204630640034177</v>
      </c>
      <c r="V4290" s="6" t="inlineStr">
        <is>
          <t>not selected</t>
        </is>
      </c>
    </row>
    <row r="4291">
      <c r="A4291" s="6" t="inlineStr">
        <is>
          <t>DJ30</t>
        </is>
      </c>
      <c r="B4291" s="6" t="inlineStr">
        <is>
          <t>2025-08-29</t>
        </is>
      </c>
      <c r="C4291" s="6" t="inlineStr">
        <is>
          <t>DIA</t>
        </is>
      </c>
      <c r="D4291" s="6" t="inlineStr">
        <is>
          <t>HD</t>
        </is>
      </c>
      <c r="E4291" s="6" t="inlineStr">
        <is>
          <t>HD</t>
        </is>
      </c>
      <c r="F4291" s="6" t="inlineStr">
        <is>
          <t>-</t>
        </is>
      </c>
      <c r="G4291" s="7" t="n">
        <v>396.2350769042969</v>
      </c>
      <c r="H4291" s="6">
        <f>P4260</f>
        <v/>
      </c>
      <c r="I4291" s="9">
        <f>Q4260</f>
        <v/>
      </c>
      <c r="J4291" s="7">
        <f>I4291*G4291</f>
        <v/>
      </c>
      <c r="K4291" s="8">
        <f>IF($J$4310=0,0,J4291/$J$4310)</f>
        <v/>
      </c>
      <c r="L4291" s="6" t="inlineStr">
        <is>
          <t>REJECTED</t>
        </is>
      </c>
      <c r="M4291" s="8" t="n">
        <v>0</v>
      </c>
      <c r="N4291" s="7">
        <f>M4291*$J$4310-J4291</f>
        <v/>
      </c>
      <c r="O4291" s="9">
        <f>IF(G4291=0,0,N4291/G4291)</f>
        <v/>
      </c>
      <c r="P4291" s="6">
        <f>IF(M4291&gt;0,D4291,"")</f>
        <v/>
      </c>
      <c r="Q4291" s="9">
        <f>I4291+O4291</f>
        <v/>
      </c>
      <c r="R4291" s="7">
        <f>Q4291*G4291</f>
        <v/>
      </c>
      <c r="S4291" s="8">
        <f>IF($R$4310=0,0,R4291/$R$4310)</f>
        <v/>
      </c>
      <c r="T4291" s="8" t="n">
        <v>0.0003145253226690681</v>
      </c>
      <c r="U4291" s="8" t="n">
        <v>-0.001204630640034177</v>
      </c>
      <c r="V4291" s="6" t="inlineStr">
        <is>
          <t>not selected</t>
        </is>
      </c>
    </row>
    <row r="4292">
      <c r="A4292" s="6" t="inlineStr">
        <is>
          <t>DJ30</t>
        </is>
      </c>
      <c r="B4292" s="6" t="inlineStr">
        <is>
          <t>2025-08-29</t>
        </is>
      </c>
      <c r="C4292" s="6" t="inlineStr">
        <is>
          <t>DIA</t>
        </is>
      </c>
      <c r="D4292" s="6" t="inlineStr">
        <is>
          <t>HON</t>
        </is>
      </c>
      <c r="E4292" s="6" t="inlineStr">
        <is>
          <t>HON</t>
        </is>
      </c>
      <c r="F4292" s="6" t="inlineStr">
        <is>
          <t>-</t>
        </is>
      </c>
      <c r="G4292" s="7" t="n">
        <v>203.5141448974609</v>
      </c>
      <c r="H4292" s="6">
        <f>P4261</f>
        <v/>
      </c>
      <c r="I4292" s="9">
        <f>Q4261</f>
        <v/>
      </c>
      <c r="J4292" s="7">
        <f>I4292*G4292</f>
        <v/>
      </c>
      <c r="K4292" s="8">
        <f>IF($J$4310=0,0,J4292/$J$4310)</f>
        <v/>
      </c>
      <c r="L4292" s="6" t="inlineStr">
        <is>
          <t>REJECTED</t>
        </is>
      </c>
      <c r="M4292" s="8" t="n">
        <v>0</v>
      </c>
      <c r="N4292" s="7">
        <f>M4292*$J$4310-J4292</f>
        <v/>
      </c>
      <c r="O4292" s="9">
        <f>IF(G4292=0,0,N4292/G4292)</f>
        <v/>
      </c>
      <c r="P4292" s="6">
        <f>IF(M4292&gt;0,D4292,"")</f>
        <v/>
      </c>
      <c r="Q4292" s="9">
        <f>I4292+O4292</f>
        <v/>
      </c>
      <c r="R4292" s="7">
        <f>Q4292*G4292</f>
        <v/>
      </c>
      <c r="S4292" s="8">
        <f>IF($R$4310=0,0,R4292/$R$4310)</f>
        <v/>
      </c>
      <c r="T4292" s="8" t="n">
        <v>0.0003145253226690681</v>
      </c>
      <c r="U4292" s="8" t="n">
        <v>-0.001204630640034177</v>
      </c>
      <c r="V4292" s="6" t="inlineStr">
        <is>
          <t>not selected</t>
        </is>
      </c>
    </row>
    <row r="4293">
      <c r="A4293" s="6" t="inlineStr">
        <is>
          <t>DJ30</t>
        </is>
      </c>
      <c r="B4293" s="6" t="inlineStr">
        <is>
          <t>2025-08-29</t>
        </is>
      </c>
      <c r="C4293" s="6" t="inlineStr">
        <is>
          <t>DIA</t>
        </is>
      </c>
      <c r="D4293" s="6" t="inlineStr">
        <is>
          <t>IBM</t>
        </is>
      </c>
      <c r="E4293" s="6" t="inlineStr">
        <is>
          <t>IBM</t>
        </is>
      </c>
      <c r="F4293" s="6" t="inlineStr">
        <is>
          <t>-</t>
        </is>
      </c>
      <c r="G4293" s="7" t="n">
        <v>239.0228424072266</v>
      </c>
      <c r="H4293" s="6">
        <f>P4262</f>
        <v/>
      </c>
      <c r="I4293" s="9">
        <f>Q4262</f>
        <v/>
      </c>
      <c r="J4293" s="7">
        <f>I4293*G4293</f>
        <v/>
      </c>
      <c r="K4293" s="8">
        <f>IF($J$4310=0,0,J4293/$J$4310)</f>
        <v/>
      </c>
      <c r="L4293" s="6" t="inlineStr">
        <is>
          <t>SELECTED</t>
        </is>
      </c>
      <c r="M4293" s="8" t="n">
        <v>0.2</v>
      </c>
      <c r="N4293" s="7">
        <f>M4293*$J$4310-J4293</f>
        <v/>
      </c>
      <c r="O4293" s="9">
        <f>IF(G4293=0,0,N4293/G4293)</f>
        <v/>
      </c>
      <c r="P4293" s="6">
        <f>IF(M4293&gt;0,D4293,"")</f>
        <v/>
      </c>
      <c r="Q4293" s="9">
        <f>I4293+O4293</f>
        <v/>
      </c>
      <c r="R4293" s="7">
        <f>Q4293*G4293</f>
        <v/>
      </c>
      <c r="S4293" s="8">
        <f>IF($R$4310=0,0,R4293/$R$4310)</f>
        <v/>
      </c>
      <c r="T4293" s="8" t="n">
        <v>0.0003145253226690681</v>
      </c>
      <c r="U4293" s="8" t="n">
        <v>-0.001204630640034177</v>
      </c>
      <c r="V4293" s="6" t="inlineStr">
        <is>
          <t>remained in weekly selection</t>
        </is>
      </c>
    </row>
    <row r="4294">
      <c r="A4294" s="6" t="inlineStr">
        <is>
          <t>DJ30</t>
        </is>
      </c>
      <c r="B4294" s="6" t="inlineStr">
        <is>
          <t>2025-08-29</t>
        </is>
      </c>
      <c r="C4294" s="6" t="inlineStr">
        <is>
          <t>DIA</t>
        </is>
      </c>
      <c r="D4294" s="6" t="inlineStr">
        <is>
          <t>JNJ</t>
        </is>
      </c>
      <c r="E4294" s="6" t="inlineStr">
        <is>
          <t>JNJ</t>
        </is>
      </c>
      <c r="F4294" s="6" t="inlineStr">
        <is>
          <t>-</t>
        </is>
      </c>
      <c r="G4294" s="7" t="n">
        <v>174.1198577880859</v>
      </c>
      <c r="H4294" s="6">
        <f>P4263</f>
        <v/>
      </c>
      <c r="I4294" s="9">
        <f>Q4263</f>
        <v/>
      </c>
      <c r="J4294" s="7">
        <f>I4294*G4294</f>
        <v/>
      </c>
      <c r="K4294" s="8">
        <f>IF($J$4310=0,0,J4294/$J$4310)</f>
        <v/>
      </c>
      <c r="L4294" s="6" t="inlineStr">
        <is>
          <t>REJECTED</t>
        </is>
      </c>
      <c r="M4294" s="8" t="n">
        <v>0</v>
      </c>
      <c r="N4294" s="7">
        <f>M4294*$J$4310-J4294</f>
        <v/>
      </c>
      <c r="O4294" s="9">
        <f>IF(G4294=0,0,N4294/G4294)</f>
        <v/>
      </c>
      <c r="P4294" s="6">
        <f>IF(M4294&gt;0,D4294,"")</f>
        <v/>
      </c>
      <c r="Q4294" s="9">
        <f>I4294+O4294</f>
        <v/>
      </c>
      <c r="R4294" s="7">
        <f>Q4294*G4294</f>
        <v/>
      </c>
      <c r="S4294" s="8">
        <f>IF($R$4310=0,0,R4294/$R$4310)</f>
        <v/>
      </c>
      <c r="T4294" s="8" t="n">
        <v>0.0003145253226690681</v>
      </c>
      <c r="U4294" s="8" t="n">
        <v>-0.001204630640034177</v>
      </c>
      <c r="V4294" s="6" t="inlineStr">
        <is>
          <t>not selected</t>
        </is>
      </c>
    </row>
    <row r="4295">
      <c r="A4295" s="6" t="inlineStr">
        <is>
          <t>DJ30</t>
        </is>
      </c>
      <c r="B4295" s="6" t="inlineStr">
        <is>
          <t>2025-08-29</t>
        </is>
      </c>
      <c r="C4295" s="6" t="inlineStr">
        <is>
          <t>DIA</t>
        </is>
      </c>
      <c r="D4295" s="6" t="inlineStr">
        <is>
          <t>JPM</t>
        </is>
      </c>
      <c r="E4295" s="6" t="inlineStr">
        <is>
          <t>JPM</t>
        </is>
      </c>
      <c r="F4295" s="6" t="inlineStr">
        <is>
          <t>-</t>
        </is>
      </c>
      <c r="G4295" s="7" t="n">
        <v>297.09423828125</v>
      </c>
      <c r="H4295" s="6">
        <f>P4264</f>
        <v/>
      </c>
      <c r="I4295" s="9">
        <f>Q4264</f>
        <v/>
      </c>
      <c r="J4295" s="7">
        <f>I4295*G4295</f>
        <v/>
      </c>
      <c r="K4295" s="8">
        <f>IF($J$4310=0,0,J4295/$J$4310)</f>
        <v/>
      </c>
      <c r="L4295" s="6" t="inlineStr">
        <is>
          <t>WATCHLIST</t>
        </is>
      </c>
      <c r="M4295" s="8" t="n">
        <v>0</v>
      </c>
      <c r="N4295" s="7">
        <f>M4295*$J$4310-J4295</f>
        <v/>
      </c>
      <c r="O4295" s="9">
        <f>IF(G4295=0,0,N4295/G4295)</f>
        <v/>
      </c>
      <c r="P4295" s="6">
        <f>IF(M4295&gt;0,D4295,"")</f>
        <v/>
      </c>
      <c r="Q4295" s="9">
        <f>I4295+O4295</f>
        <v/>
      </c>
      <c r="R4295" s="7">
        <f>Q4295*G4295</f>
        <v/>
      </c>
      <c r="S4295" s="8">
        <f>IF($R$4310=0,0,R4295/$R$4310)</f>
        <v/>
      </c>
      <c r="T4295" s="8" t="n">
        <v>0.0003145253226690681</v>
      </c>
      <c r="U4295" s="8" t="n">
        <v>-0.001204630640034177</v>
      </c>
      <c r="V4295" s="6" t="inlineStr">
        <is>
          <t>not selected</t>
        </is>
      </c>
    </row>
    <row r="4296">
      <c r="A4296" s="6" t="inlineStr">
        <is>
          <t>DJ30</t>
        </is>
      </c>
      <c r="B4296" s="6" t="inlineStr">
        <is>
          <t>2025-08-29</t>
        </is>
      </c>
      <c r="C4296" s="6" t="inlineStr">
        <is>
          <t>DIA</t>
        </is>
      </c>
      <c r="D4296" s="6" t="inlineStr">
        <is>
          <t>KO</t>
        </is>
      </c>
      <c r="E4296" s="6" t="inlineStr">
        <is>
          <t>KO</t>
        </is>
      </c>
      <c r="F4296" s="6" t="inlineStr">
        <is>
          <t>-</t>
        </is>
      </c>
      <c r="G4296" s="7" t="n">
        <v>67.08995819091797</v>
      </c>
      <c r="H4296" s="6">
        <f>P4265</f>
        <v/>
      </c>
      <c r="I4296" s="9">
        <f>Q4265</f>
        <v/>
      </c>
      <c r="J4296" s="7">
        <f>I4296*G4296</f>
        <v/>
      </c>
      <c r="K4296" s="8">
        <f>IF($J$4310=0,0,J4296/$J$4310)</f>
        <v/>
      </c>
      <c r="L4296" s="6" t="inlineStr">
        <is>
          <t>REJECTED</t>
        </is>
      </c>
      <c r="M4296" s="8" t="n">
        <v>0</v>
      </c>
      <c r="N4296" s="7">
        <f>M4296*$J$4310-J4296</f>
        <v/>
      </c>
      <c r="O4296" s="9">
        <f>IF(G4296=0,0,N4296/G4296)</f>
        <v/>
      </c>
      <c r="P4296" s="6">
        <f>IF(M4296&gt;0,D4296,"")</f>
        <v/>
      </c>
      <c r="Q4296" s="9">
        <f>I4296+O4296</f>
        <v/>
      </c>
      <c r="R4296" s="7">
        <f>Q4296*G4296</f>
        <v/>
      </c>
      <c r="S4296" s="8">
        <f>IF($R$4310=0,0,R4296/$R$4310)</f>
        <v/>
      </c>
      <c r="T4296" s="8" t="n">
        <v>0.0003145253226690681</v>
      </c>
      <c r="U4296" s="8" t="n">
        <v>-0.001204630640034177</v>
      </c>
      <c r="V4296" s="6" t="inlineStr">
        <is>
          <t>not selected</t>
        </is>
      </c>
    </row>
    <row r="4297">
      <c r="A4297" s="6" t="inlineStr">
        <is>
          <t>DJ30</t>
        </is>
      </c>
      <c r="B4297" s="6" t="inlineStr">
        <is>
          <t>2025-08-29</t>
        </is>
      </c>
      <c r="C4297" s="6" t="inlineStr">
        <is>
          <t>DIA</t>
        </is>
      </c>
      <c r="D4297" s="6" t="inlineStr">
        <is>
          <t>MCD</t>
        </is>
      </c>
      <c r="E4297" s="6" t="inlineStr">
        <is>
          <t>MCD</t>
        </is>
      </c>
      <c r="F4297" s="6" t="inlineStr">
        <is>
          <t>-</t>
        </is>
      </c>
      <c r="G4297" s="7" t="n">
        <v>306.1125793457031</v>
      </c>
      <c r="H4297" s="6">
        <f>P4266</f>
        <v/>
      </c>
      <c r="I4297" s="9">
        <f>Q4266</f>
        <v/>
      </c>
      <c r="J4297" s="7">
        <f>I4297*G4297</f>
        <v/>
      </c>
      <c r="K4297" s="8">
        <f>IF($J$4310=0,0,J4297/$J$4310)</f>
        <v/>
      </c>
      <c r="L4297" s="6" t="inlineStr">
        <is>
          <t>REJECTED</t>
        </is>
      </c>
      <c r="M4297" s="8" t="n">
        <v>0</v>
      </c>
      <c r="N4297" s="7">
        <f>M4297*$J$4310-J4297</f>
        <v/>
      </c>
      <c r="O4297" s="9">
        <f>IF(G4297=0,0,N4297/G4297)</f>
        <v/>
      </c>
      <c r="P4297" s="6">
        <f>IF(M4297&gt;0,D4297,"")</f>
        <v/>
      </c>
      <c r="Q4297" s="9">
        <f>I4297+O4297</f>
        <v/>
      </c>
      <c r="R4297" s="7">
        <f>Q4297*G4297</f>
        <v/>
      </c>
      <c r="S4297" s="8">
        <f>IF($R$4310=0,0,R4297/$R$4310)</f>
        <v/>
      </c>
      <c r="T4297" s="8" t="n">
        <v>0.0003145253226690681</v>
      </c>
      <c r="U4297" s="8" t="n">
        <v>-0.001204630640034177</v>
      </c>
      <c r="V4297" s="6" t="inlineStr">
        <is>
          <t>not selected</t>
        </is>
      </c>
    </row>
    <row r="4298">
      <c r="A4298" s="6" t="inlineStr">
        <is>
          <t>DJ30</t>
        </is>
      </c>
      <c r="B4298" s="6" t="inlineStr">
        <is>
          <t>2025-08-29</t>
        </is>
      </c>
      <c r="C4298" s="6" t="inlineStr">
        <is>
          <t>DIA</t>
        </is>
      </c>
      <c r="D4298" s="6" t="inlineStr">
        <is>
          <t>MMM</t>
        </is>
      </c>
      <c r="E4298" s="6" t="inlineStr">
        <is>
          <t>MMM</t>
        </is>
      </c>
      <c r="F4298" s="6" t="inlineStr">
        <is>
          <t>-</t>
        </is>
      </c>
      <c r="G4298" s="7" t="n">
        <v>153.3795318603516</v>
      </c>
      <c r="H4298" s="6">
        <f>P4267</f>
        <v/>
      </c>
      <c r="I4298" s="9">
        <f>Q4267</f>
        <v/>
      </c>
      <c r="J4298" s="7">
        <f>I4298*G4298</f>
        <v/>
      </c>
      <c r="K4298" s="8">
        <f>IF($J$4310=0,0,J4298/$J$4310)</f>
        <v/>
      </c>
      <c r="L4298" s="6" t="inlineStr">
        <is>
          <t>WATCHLIST</t>
        </is>
      </c>
      <c r="M4298" s="8" t="n">
        <v>0</v>
      </c>
      <c r="N4298" s="7">
        <f>M4298*$J$4310-J4298</f>
        <v/>
      </c>
      <c r="O4298" s="9">
        <f>IF(G4298=0,0,N4298/G4298)</f>
        <v/>
      </c>
      <c r="P4298" s="6">
        <f>IF(M4298&gt;0,D4298,"")</f>
        <v/>
      </c>
      <c r="Q4298" s="9">
        <f>I4298+O4298</f>
        <v/>
      </c>
      <c r="R4298" s="7">
        <f>Q4298*G4298</f>
        <v/>
      </c>
      <c r="S4298" s="8">
        <f>IF($R$4310=0,0,R4298/$R$4310)</f>
        <v/>
      </c>
      <c r="T4298" s="8" t="n">
        <v>0.0003145253226690681</v>
      </c>
      <c r="U4298" s="8" t="n">
        <v>-0.001204630640034177</v>
      </c>
      <c r="V4298" s="6" t="inlineStr">
        <is>
          <t>not selected</t>
        </is>
      </c>
    </row>
    <row r="4299">
      <c r="A4299" s="6" t="inlineStr">
        <is>
          <t>DJ30</t>
        </is>
      </c>
      <c r="B4299" s="6" t="inlineStr">
        <is>
          <t>2025-08-29</t>
        </is>
      </c>
      <c r="C4299" s="6" t="inlineStr">
        <is>
          <t>DIA</t>
        </is>
      </c>
      <c r="D4299" s="6" t="inlineStr">
        <is>
          <t>MRK</t>
        </is>
      </c>
      <c r="E4299" s="6" t="inlineStr">
        <is>
          <t>MRK</t>
        </is>
      </c>
      <c r="F4299" s="6" t="inlineStr">
        <is>
          <t>-</t>
        </is>
      </c>
      <c r="G4299" s="7" t="n">
        <v>81.39868927001953</v>
      </c>
      <c r="H4299" s="6">
        <f>P4268</f>
        <v/>
      </c>
      <c r="I4299" s="9">
        <f>Q4268</f>
        <v/>
      </c>
      <c r="J4299" s="7">
        <f>I4299*G4299</f>
        <v/>
      </c>
      <c r="K4299" s="8">
        <f>IF($J$4310=0,0,J4299/$J$4310)</f>
        <v/>
      </c>
      <c r="L4299" s="6" t="inlineStr">
        <is>
          <t>REJECTED</t>
        </is>
      </c>
      <c r="M4299" s="8" t="n">
        <v>0</v>
      </c>
      <c r="N4299" s="7">
        <f>M4299*$J$4310-J4299</f>
        <v/>
      </c>
      <c r="O4299" s="9">
        <f>IF(G4299=0,0,N4299/G4299)</f>
        <v/>
      </c>
      <c r="P4299" s="6">
        <f>IF(M4299&gt;0,D4299,"")</f>
        <v/>
      </c>
      <c r="Q4299" s="9">
        <f>I4299+O4299</f>
        <v/>
      </c>
      <c r="R4299" s="7">
        <f>Q4299*G4299</f>
        <v/>
      </c>
      <c r="S4299" s="8">
        <f>IF($R$4310=0,0,R4299/$R$4310)</f>
        <v/>
      </c>
      <c r="T4299" s="8" t="n">
        <v>0.0003145253226690681</v>
      </c>
      <c r="U4299" s="8" t="n">
        <v>-0.001204630640034177</v>
      </c>
      <c r="V4299" s="6" t="inlineStr">
        <is>
          <t>not selected</t>
        </is>
      </c>
    </row>
    <row r="4300">
      <c r="A4300" s="6" t="inlineStr">
        <is>
          <t>DJ30</t>
        </is>
      </c>
      <c r="B4300" s="6" t="inlineStr">
        <is>
          <t>2025-08-29</t>
        </is>
      </c>
      <c r="C4300" s="6" t="inlineStr">
        <is>
          <t>DIA</t>
        </is>
      </c>
      <c r="D4300" s="6" t="inlineStr">
        <is>
          <t>MSFT</t>
        </is>
      </c>
      <c r="E4300" s="6" t="inlineStr">
        <is>
          <t>MSFT</t>
        </is>
      </c>
      <c r="F4300" s="6" t="inlineStr">
        <is>
          <t>-</t>
        </is>
      </c>
      <c r="G4300" s="7" t="n">
        <v>503.5011901855469</v>
      </c>
      <c r="H4300" s="6">
        <f>P4269</f>
        <v/>
      </c>
      <c r="I4300" s="9">
        <f>Q4269</f>
        <v/>
      </c>
      <c r="J4300" s="7">
        <f>I4300*G4300</f>
        <v/>
      </c>
      <c r="K4300" s="8">
        <f>IF($J$4310=0,0,J4300/$J$4310)</f>
        <v/>
      </c>
      <c r="L4300" s="6" t="inlineStr">
        <is>
          <t>WATCHLIST</t>
        </is>
      </c>
      <c r="M4300" s="8" t="n">
        <v>0</v>
      </c>
      <c r="N4300" s="7">
        <f>M4300*$J$4310-J4300</f>
        <v/>
      </c>
      <c r="O4300" s="9">
        <f>IF(G4300=0,0,N4300/G4300)</f>
        <v/>
      </c>
      <c r="P4300" s="6">
        <f>IF(M4300&gt;0,D4300,"")</f>
        <v/>
      </c>
      <c r="Q4300" s="9">
        <f>I4300+O4300</f>
        <v/>
      </c>
      <c r="R4300" s="7">
        <f>Q4300*G4300</f>
        <v/>
      </c>
      <c r="S4300" s="8">
        <f>IF($R$4310=0,0,R4300/$R$4310)</f>
        <v/>
      </c>
      <c r="T4300" s="8" t="n">
        <v>0.0003145253226690681</v>
      </c>
      <c r="U4300" s="8" t="n">
        <v>-0.001204630640034177</v>
      </c>
      <c r="V4300" s="6" t="inlineStr">
        <is>
          <t>not selected</t>
        </is>
      </c>
    </row>
    <row r="4301">
      <c r="A4301" s="6" t="inlineStr">
        <is>
          <t>DJ30</t>
        </is>
      </c>
      <c r="B4301" s="6" t="inlineStr">
        <is>
          <t>2025-08-29</t>
        </is>
      </c>
      <c r="C4301" s="6" t="inlineStr">
        <is>
          <t>DIA</t>
        </is>
      </c>
      <c r="D4301" s="6" t="inlineStr">
        <is>
          <t>NKE</t>
        </is>
      </c>
      <c r="E4301" s="6" t="inlineStr">
        <is>
          <t>NKE</t>
        </is>
      </c>
      <c r="F4301" s="6" t="inlineStr">
        <is>
          <t>-</t>
        </is>
      </c>
      <c r="G4301" s="7" t="n">
        <v>75.30359649658203</v>
      </c>
      <c r="H4301" s="6">
        <f>P4270</f>
        <v/>
      </c>
      <c r="I4301" s="9">
        <f>Q4270</f>
        <v/>
      </c>
      <c r="J4301" s="7">
        <f>I4301*G4301</f>
        <v/>
      </c>
      <c r="K4301" s="8">
        <f>IF($J$4310=0,0,J4301/$J$4310)</f>
        <v/>
      </c>
      <c r="L4301" s="6" t="inlineStr">
        <is>
          <t>REJECTED</t>
        </is>
      </c>
      <c r="M4301" s="8" t="n">
        <v>0</v>
      </c>
      <c r="N4301" s="7">
        <f>M4301*$J$4310-J4301</f>
        <v/>
      </c>
      <c r="O4301" s="9">
        <f>IF(G4301=0,0,N4301/G4301)</f>
        <v/>
      </c>
      <c r="P4301" s="6">
        <f>IF(M4301&gt;0,D4301,"")</f>
        <v/>
      </c>
      <c r="Q4301" s="9">
        <f>I4301+O4301</f>
        <v/>
      </c>
      <c r="R4301" s="7">
        <f>Q4301*G4301</f>
        <v/>
      </c>
      <c r="S4301" s="8">
        <f>IF($R$4310=0,0,R4301/$R$4310)</f>
        <v/>
      </c>
      <c r="T4301" s="8" t="n">
        <v>0.0003145253226690681</v>
      </c>
      <c r="U4301" s="8" t="n">
        <v>-0.001204630640034177</v>
      </c>
      <c r="V4301" s="6" t="inlineStr">
        <is>
          <t>not selected</t>
        </is>
      </c>
    </row>
    <row r="4302">
      <c r="A4302" s="6" t="inlineStr">
        <is>
          <t>DJ30</t>
        </is>
      </c>
      <c r="B4302" s="6" t="inlineStr">
        <is>
          <t>2025-08-29</t>
        </is>
      </c>
      <c r="C4302" s="6" t="inlineStr">
        <is>
          <t>DIA</t>
        </is>
      </c>
      <c r="D4302" s="6" t="inlineStr">
        <is>
          <t>NVDA</t>
        </is>
      </c>
      <c r="E4302" s="6" t="inlineStr">
        <is>
          <t>NVDA</t>
        </is>
      </c>
      <c r="F4302" s="6" t="inlineStr">
        <is>
          <t>-</t>
        </is>
      </c>
      <c r="G4302" s="7" t="n">
        <v>173.9483032226562</v>
      </c>
      <c r="H4302" s="6">
        <f>P4271</f>
        <v/>
      </c>
      <c r="I4302" s="9">
        <f>Q4271</f>
        <v/>
      </c>
      <c r="J4302" s="7">
        <f>I4302*G4302</f>
        <v/>
      </c>
      <c r="K4302" s="8">
        <f>IF($J$4310=0,0,J4302/$J$4310)</f>
        <v/>
      </c>
      <c r="L4302" s="6" t="inlineStr">
        <is>
          <t>REJECTED</t>
        </is>
      </c>
      <c r="M4302" s="8" t="n">
        <v>0</v>
      </c>
      <c r="N4302" s="7">
        <f>M4302*$J$4310-J4302</f>
        <v/>
      </c>
      <c r="O4302" s="9">
        <f>IF(G4302=0,0,N4302/G4302)</f>
        <v/>
      </c>
      <c r="P4302" s="6">
        <f>IF(M4302&gt;0,D4302,"")</f>
        <v/>
      </c>
      <c r="Q4302" s="9">
        <f>I4302+O4302</f>
        <v/>
      </c>
      <c r="R4302" s="7">
        <f>Q4302*G4302</f>
        <v/>
      </c>
      <c r="S4302" s="8">
        <f>IF($R$4310=0,0,R4302/$R$4310)</f>
        <v/>
      </c>
      <c r="T4302" s="8" t="n">
        <v>0.0003145253226690681</v>
      </c>
      <c r="U4302" s="8" t="n">
        <v>-0.001204630640034177</v>
      </c>
      <c r="V4302" s="6" t="inlineStr">
        <is>
          <t>not selected</t>
        </is>
      </c>
    </row>
    <row r="4303">
      <c r="A4303" s="6" t="inlineStr">
        <is>
          <t>DJ30</t>
        </is>
      </c>
      <c r="B4303" s="6" t="inlineStr">
        <is>
          <t>2025-08-29</t>
        </is>
      </c>
      <c r="C4303" s="6" t="inlineStr">
        <is>
          <t>DIA</t>
        </is>
      </c>
      <c r="D4303" s="6" t="inlineStr">
        <is>
          <t>PG</t>
        </is>
      </c>
      <c r="E4303" s="6" t="inlineStr">
        <is>
          <t>PG</t>
        </is>
      </c>
      <c r="F4303" s="6" t="inlineStr">
        <is>
          <t>-</t>
        </is>
      </c>
      <c r="G4303" s="7" t="n">
        <v>153.6926879882812</v>
      </c>
      <c r="H4303" s="6">
        <f>P4272</f>
        <v/>
      </c>
      <c r="I4303" s="9">
        <f>Q4272</f>
        <v/>
      </c>
      <c r="J4303" s="7">
        <f>I4303*G4303</f>
        <v/>
      </c>
      <c r="K4303" s="8">
        <f>IF($J$4310=0,0,J4303/$J$4310)</f>
        <v/>
      </c>
      <c r="L4303" s="6" t="inlineStr">
        <is>
          <t>REJECTED</t>
        </is>
      </c>
      <c r="M4303" s="8" t="n">
        <v>0</v>
      </c>
      <c r="N4303" s="7">
        <f>M4303*$J$4310-J4303</f>
        <v/>
      </c>
      <c r="O4303" s="9">
        <f>IF(G4303=0,0,N4303/G4303)</f>
        <v/>
      </c>
      <c r="P4303" s="6">
        <f>IF(M4303&gt;0,D4303,"")</f>
        <v/>
      </c>
      <c r="Q4303" s="9">
        <f>I4303+O4303</f>
        <v/>
      </c>
      <c r="R4303" s="7">
        <f>Q4303*G4303</f>
        <v/>
      </c>
      <c r="S4303" s="8">
        <f>IF($R$4310=0,0,R4303/$R$4310)</f>
        <v/>
      </c>
      <c r="T4303" s="8" t="n">
        <v>0.0003145253226690681</v>
      </c>
      <c r="U4303" s="8" t="n">
        <v>-0.001204630640034177</v>
      </c>
      <c r="V4303" s="6" t="inlineStr">
        <is>
          <t>not selected</t>
        </is>
      </c>
    </row>
    <row r="4304">
      <c r="A4304" s="6" t="inlineStr">
        <is>
          <t>DJ30</t>
        </is>
      </c>
      <c r="B4304" s="6" t="inlineStr">
        <is>
          <t>2025-08-29</t>
        </is>
      </c>
      <c r="C4304" s="6" t="inlineStr">
        <is>
          <t>DIA</t>
        </is>
      </c>
      <c r="D4304" s="6" t="inlineStr">
        <is>
          <t>SHW</t>
        </is>
      </c>
      <c r="E4304" s="6" t="inlineStr">
        <is>
          <t>SHW</t>
        </is>
      </c>
      <c r="F4304" s="6" t="inlineStr">
        <is>
          <t>-</t>
        </is>
      </c>
      <c r="G4304" s="7" t="n">
        <v>363.2300109863281</v>
      </c>
      <c r="H4304" s="6">
        <f>P4273</f>
        <v/>
      </c>
      <c r="I4304" s="9">
        <f>Q4273</f>
        <v/>
      </c>
      <c r="J4304" s="7">
        <f>I4304*G4304</f>
        <v/>
      </c>
      <c r="K4304" s="8">
        <f>IF($J$4310=0,0,J4304/$J$4310)</f>
        <v/>
      </c>
      <c r="L4304" s="6" t="inlineStr">
        <is>
          <t>REJECTED</t>
        </is>
      </c>
      <c r="M4304" s="8" t="n">
        <v>0</v>
      </c>
      <c r="N4304" s="7">
        <f>M4304*$J$4310-J4304</f>
        <v/>
      </c>
      <c r="O4304" s="9">
        <f>IF(G4304=0,0,N4304/G4304)</f>
        <v/>
      </c>
      <c r="P4304" s="6">
        <f>IF(M4304&gt;0,D4304,"")</f>
        <v/>
      </c>
      <c r="Q4304" s="9">
        <f>I4304+O4304</f>
        <v/>
      </c>
      <c r="R4304" s="7">
        <f>Q4304*G4304</f>
        <v/>
      </c>
      <c r="S4304" s="8">
        <f>IF($R$4310=0,0,R4304/$R$4310)</f>
        <v/>
      </c>
      <c r="T4304" s="8" t="n">
        <v>0.0003145253226690681</v>
      </c>
      <c r="U4304" s="8" t="n">
        <v>-0.001204630640034177</v>
      </c>
      <c r="V4304" s="6" t="inlineStr">
        <is>
          <t>not selected</t>
        </is>
      </c>
    </row>
    <row r="4305">
      <c r="A4305" s="6" t="inlineStr">
        <is>
          <t>DJ30</t>
        </is>
      </c>
      <c r="B4305" s="6" t="inlineStr">
        <is>
          <t>2025-08-29</t>
        </is>
      </c>
      <c r="C4305" s="6" t="inlineStr">
        <is>
          <t>DIA</t>
        </is>
      </c>
      <c r="D4305" s="6" t="inlineStr">
        <is>
          <t>TRV</t>
        </is>
      </c>
      <c r="E4305" s="6" t="inlineStr">
        <is>
          <t>TRV</t>
        </is>
      </c>
      <c r="F4305" s="6" t="inlineStr">
        <is>
          <t>-</t>
        </is>
      </c>
      <c r="G4305" s="7" t="n">
        <v>267.2581176757812</v>
      </c>
      <c r="H4305" s="6">
        <f>P4274</f>
        <v/>
      </c>
      <c r="I4305" s="9">
        <f>Q4274</f>
        <v/>
      </c>
      <c r="J4305" s="7">
        <f>I4305*G4305</f>
        <v/>
      </c>
      <c r="K4305" s="8">
        <f>IF($J$4310=0,0,J4305/$J$4310)</f>
        <v/>
      </c>
      <c r="L4305" s="6" t="inlineStr">
        <is>
          <t>SELECTED</t>
        </is>
      </c>
      <c r="M4305" s="8" t="n">
        <v>0.2</v>
      </c>
      <c r="N4305" s="7">
        <f>M4305*$J$4310-J4305</f>
        <v/>
      </c>
      <c r="O4305" s="9">
        <f>IF(G4305=0,0,N4305/G4305)</f>
        <v/>
      </c>
      <c r="P4305" s="6">
        <f>IF(M4305&gt;0,D4305,"")</f>
        <v/>
      </c>
      <c r="Q4305" s="9">
        <f>I4305+O4305</f>
        <v/>
      </c>
      <c r="R4305" s="7">
        <f>Q4305*G4305</f>
        <v/>
      </c>
      <c r="S4305" s="8">
        <f>IF($R$4310=0,0,R4305/$R$4310)</f>
        <v/>
      </c>
      <c r="T4305" s="8" t="n">
        <v>0.0003145253226690681</v>
      </c>
      <c r="U4305" s="8" t="n">
        <v>-0.001204630640034177</v>
      </c>
      <c r="V4305" s="6" t="inlineStr">
        <is>
          <t>remained in weekly selection</t>
        </is>
      </c>
    </row>
    <row r="4306">
      <c r="A4306" s="6" t="inlineStr">
        <is>
          <t>DJ30</t>
        </is>
      </c>
      <c r="B4306" s="6" t="inlineStr">
        <is>
          <t>2025-08-29</t>
        </is>
      </c>
      <c r="C4306" s="6" t="inlineStr">
        <is>
          <t>DIA</t>
        </is>
      </c>
      <c r="D4306" s="6" t="inlineStr">
        <is>
          <t>UNH</t>
        </is>
      </c>
      <c r="E4306" s="6" t="inlineStr">
        <is>
          <t>UNH</t>
        </is>
      </c>
      <c r="F4306" s="6" t="inlineStr">
        <is>
          <t>-</t>
        </is>
      </c>
      <c r="G4306" s="7" t="n">
        <v>301.7875671386719</v>
      </c>
      <c r="H4306" s="6">
        <f>P4275</f>
        <v/>
      </c>
      <c r="I4306" s="9">
        <f>Q4275</f>
        <v/>
      </c>
      <c r="J4306" s="7">
        <f>I4306*G4306</f>
        <v/>
      </c>
      <c r="K4306" s="8">
        <f>IF($J$4310=0,0,J4306/$J$4310)</f>
        <v/>
      </c>
      <c r="L4306" s="6" t="inlineStr">
        <is>
          <t>REJECTED</t>
        </is>
      </c>
      <c r="M4306" s="8" t="n">
        <v>0</v>
      </c>
      <c r="N4306" s="7">
        <f>M4306*$J$4310-J4306</f>
        <v/>
      </c>
      <c r="O4306" s="9">
        <f>IF(G4306=0,0,N4306/G4306)</f>
        <v/>
      </c>
      <c r="P4306" s="6">
        <f>IF(M4306&gt;0,D4306,"")</f>
        <v/>
      </c>
      <c r="Q4306" s="9">
        <f>I4306+O4306</f>
        <v/>
      </c>
      <c r="R4306" s="7">
        <f>Q4306*G4306</f>
        <v/>
      </c>
      <c r="S4306" s="8">
        <f>IF($R$4310=0,0,R4306/$R$4310)</f>
        <v/>
      </c>
      <c r="T4306" s="8" t="n">
        <v>0.0003145253226690681</v>
      </c>
      <c r="U4306" s="8" t="n">
        <v>-0.001204630640034177</v>
      </c>
      <c r="V4306" s="6" t="inlineStr">
        <is>
          <t>not selected</t>
        </is>
      </c>
    </row>
    <row r="4307">
      <c r="A4307" s="6" t="inlineStr">
        <is>
          <t>DJ30</t>
        </is>
      </c>
      <c r="B4307" s="6" t="inlineStr">
        <is>
          <t>2025-08-29</t>
        </is>
      </c>
      <c r="C4307" s="6" t="inlineStr">
        <is>
          <t>DIA</t>
        </is>
      </c>
      <c r="D4307" s="6" t="inlineStr">
        <is>
          <t>V</t>
        </is>
      </c>
      <c r="E4307" s="6" t="inlineStr">
        <is>
          <t>V</t>
        </is>
      </c>
      <c r="F4307" s="6" t="inlineStr">
        <is>
          <t>-</t>
        </is>
      </c>
      <c r="G4307" s="7" t="n">
        <v>349.6372985839844</v>
      </c>
      <c r="H4307" s="6">
        <f>P4276</f>
        <v/>
      </c>
      <c r="I4307" s="9">
        <f>Q4276</f>
        <v/>
      </c>
      <c r="J4307" s="7">
        <f>I4307*G4307</f>
        <v/>
      </c>
      <c r="K4307" s="8">
        <f>IF($J$4310=0,0,J4307/$J$4310)</f>
        <v/>
      </c>
      <c r="L4307" s="6" t="inlineStr">
        <is>
          <t>WATCHLIST</t>
        </is>
      </c>
      <c r="M4307" s="8" t="n">
        <v>0</v>
      </c>
      <c r="N4307" s="7">
        <f>M4307*$J$4310-J4307</f>
        <v/>
      </c>
      <c r="O4307" s="9">
        <f>IF(G4307=0,0,N4307/G4307)</f>
        <v/>
      </c>
      <c r="P4307" s="6">
        <f>IF(M4307&gt;0,D4307,"")</f>
        <v/>
      </c>
      <c r="Q4307" s="9">
        <f>I4307+O4307</f>
        <v/>
      </c>
      <c r="R4307" s="7">
        <f>Q4307*G4307</f>
        <v/>
      </c>
      <c r="S4307" s="8">
        <f>IF($R$4310=0,0,R4307/$R$4310)</f>
        <v/>
      </c>
      <c r="T4307" s="8" t="n">
        <v>0.0003145253226690681</v>
      </c>
      <c r="U4307" s="8" t="n">
        <v>-0.001204630640034177</v>
      </c>
      <c r="V4307" s="6" t="inlineStr">
        <is>
          <t>not selected</t>
        </is>
      </c>
    </row>
    <row r="4308">
      <c r="A4308" s="6" t="inlineStr">
        <is>
          <t>DJ30</t>
        </is>
      </c>
      <c r="B4308" s="6" t="inlineStr">
        <is>
          <t>2025-08-29</t>
        </is>
      </c>
      <c r="C4308" s="6" t="inlineStr">
        <is>
          <t>DIA</t>
        </is>
      </c>
      <c r="D4308" s="6" t="inlineStr">
        <is>
          <t>VZ</t>
        </is>
      </c>
      <c r="E4308" s="6" t="inlineStr">
        <is>
          <t>VZ</t>
        </is>
      </c>
      <c r="F4308" s="6" t="inlineStr">
        <is>
          <t>-</t>
        </is>
      </c>
      <c r="G4308" s="7" t="n">
        <v>42.10766220092773</v>
      </c>
      <c r="H4308" s="6">
        <f>P4277</f>
        <v/>
      </c>
      <c r="I4308" s="9">
        <f>Q4277</f>
        <v/>
      </c>
      <c r="J4308" s="7">
        <f>I4308*G4308</f>
        <v/>
      </c>
      <c r="K4308" s="8">
        <f>IF($J$4310=0,0,J4308/$J$4310)</f>
        <v/>
      </c>
      <c r="L4308" s="6" t="inlineStr">
        <is>
          <t>WATCHLIST</t>
        </is>
      </c>
      <c r="M4308" s="8" t="n">
        <v>0</v>
      </c>
      <c r="N4308" s="7">
        <f>M4308*$J$4310-J4308</f>
        <v/>
      </c>
      <c r="O4308" s="9">
        <f>IF(G4308=0,0,N4308/G4308)</f>
        <v/>
      </c>
      <c r="P4308" s="6">
        <f>IF(M4308&gt;0,D4308,"")</f>
        <v/>
      </c>
      <c r="Q4308" s="9">
        <f>I4308+O4308</f>
        <v/>
      </c>
      <c r="R4308" s="7">
        <f>Q4308*G4308</f>
        <v/>
      </c>
      <c r="S4308" s="8">
        <f>IF($R$4310=0,0,R4308/$R$4310)</f>
        <v/>
      </c>
      <c r="T4308" s="8" t="n">
        <v>0.0003145253226690681</v>
      </c>
      <c r="U4308" s="8" t="n">
        <v>-0.001204630640034177</v>
      </c>
      <c r="V4308" s="6" t="inlineStr">
        <is>
          <t>removed from weekly selection</t>
        </is>
      </c>
    </row>
    <row r="4309">
      <c r="A4309" s="6" t="inlineStr">
        <is>
          <t>DJ30</t>
        </is>
      </c>
      <c r="B4309" s="6" t="inlineStr">
        <is>
          <t>2025-08-29</t>
        </is>
      </c>
      <c r="C4309" s="6" t="inlineStr">
        <is>
          <t>DIA</t>
        </is>
      </c>
      <c r="D4309" s="6" t="inlineStr">
        <is>
          <t>WMT</t>
        </is>
      </c>
      <c r="E4309" s="6" t="inlineStr">
        <is>
          <t>WMT</t>
        </is>
      </c>
      <c r="F4309" s="6" t="inlineStr">
        <is>
          <t>-</t>
        </is>
      </c>
      <c r="G4309" s="7" t="n">
        <v>96.40052795410156</v>
      </c>
      <c r="H4309" s="6">
        <f>P4278</f>
        <v/>
      </c>
      <c r="I4309" s="9">
        <f>Q4278</f>
        <v/>
      </c>
      <c r="J4309" s="7">
        <f>I4309*G4309</f>
        <v/>
      </c>
      <c r="K4309" s="8">
        <f>IF($J$4310=0,0,J4309/$J$4310)</f>
        <v/>
      </c>
      <c r="L4309" s="6" t="inlineStr">
        <is>
          <t>SELECTED</t>
        </is>
      </c>
      <c r="M4309" s="8" t="n">
        <v>0.2</v>
      </c>
      <c r="N4309" s="7">
        <f>M4309*$J$4310-J4309</f>
        <v/>
      </c>
      <c r="O4309" s="9">
        <f>IF(G4309=0,0,N4309/G4309)</f>
        <v/>
      </c>
      <c r="P4309" s="6">
        <f>IF(M4309&gt;0,D4309,"")</f>
        <v/>
      </c>
      <c r="Q4309" s="9">
        <f>I4309+O4309</f>
        <v/>
      </c>
      <c r="R4309" s="7">
        <f>Q4309*G4309</f>
        <v/>
      </c>
      <c r="S4309" s="8">
        <f>IF($R$4310=0,0,R4309/$R$4310)</f>
        <v/>
      </c>
      <c r="T4309" s="8" t="n">
        <v>0.0003145253226690681</v>
      </c>
      <c r="U4309" s="8" t="n">
        <v>-0.001204630640034177</v>
      </c>
      <c r="V4309" s="6" t="inlineStr">
        <is>
          <t>entered weekly selection</t>
        </is>
      </c>
    </row>
    <row r="4310">
      <c r="A4310" s="10" t="inlineStr">
        <is>
          <t>DJ30</t>
        </is>
      </c>
      <c r="B4310" s="10" t="inlineStr">
        <is>
          <t>2025-08-29</t>
        </is>
      </c>
      <c r="C4310" s="10" t="inlineStr">
        <is>
          <t>DIA</t>
        </is>
      </c>
      <c r="D4310" s="10" t="inlineStr">
        <is>
          <t>Tot Portfolio</t>
        </is>
      </c>
      <c r="E4310" s="10" t="inlineStr"/>
      <c r="F4310" s="10" t="inlineStr"/>
      <c r="G4310" s="11" t="inlineStr"/>
      <c r="H4310" s="10" t="inlineStr"/>
      <c r="I4310" s="12" t="inlineStr"/>
      <c r="J4310" s="11">
        <f>SUM(J4280:J4309)</f>
        <v/>
      </c>
      <c r="K4310" s="13">
        <f>SUM(K4280:K4309)</f>
        <v/>
      </c>
      <c r="L4310" s="10" t="inlineStr">
        <is>
          <t>TOTAL</t>
        </is>
      </c>
      <c r="M4310" s="13">
        <f>SUM(M4280:M4309)</f>
        <v/>
      </c>
      <c r="N4310" s="11">
        <f>SUM(N4280:N4309)</f>
        <v/>
      </c>
      <c r="O4310" s="12">
        <f>SUM(O4280:O4309)</f>
        <v/>
      </c>
      <c r="P4310" s="10" t="inlineStr"/>
      <c r="Q4310" s="12" t="inlineStr"/>
      <c r="R4310" s="11">
        <f>SUM(R4280:R4309)</f>
        <v/>
      </c>
      <c r="S4310" s="13">
        <f>SUM(S4280:S4309)</f>
        <v/>
      </c>
      <c r="T4310" s="13" t="n">
        <v>0.0003145253226690681</v>
      </c>
      <c r="U4310" s="13" t="n">
        <v>-0.001204630640034177</v>
      </c>
      <c r="V4310" s="10" t="inlineStr"/>
    </row>
    <row r="4311">
      <c r="A4311" s="6" t="inlineStr">
        <is>
          <t>DJ30</t>
        </is>
      </c>
      <c r="B4311" s="6" t="inlineStr">
        <is>
          <t>2025-09-05</t>
        </is>
      </c>
      <c r="C4311" s="6" t="inlineStr">
        <is>
          <t>DIA</t>
        </is>
      </c>
      <c r="D4311" s="6" t="inlineStr">
        <is>
          <t>AAPL</t>
        </is>
      </c>
      <c r="E4311" s="6" t="inlineStr">
        <is>
          <t>AAPL</t>
        </is>
      </c>
      <c r="F4311" s="6" t="inlineStr">
        <is>
          <t>-</t>
        </is>
      </c>
      <c r="G4311" s="7" t="n">
        <v>239.0138092041016</v>
      </c>
      <c r="H4311" s="6">
        <f>P4280</f>
        <v/>
      </c>
      <c r="I4311" s="9">
        <f>Q4280</f>
        <v/>
      </c>
      <c r="J4311" s="7">
        <f>I4311*G4311</f>
        <v/>
      </c>
      <c r="K4311" s="8">
        <f>IF($J$4341=0,0,J4311/$J$4341)</f>
        <v/>
      </c>
      <c r="L4311" s="6" t="inlineStr">
        <is>
          <t>REJECTED</t>
        </is>
      </c>
      <c r="M4311" s="8" t="n">
        <v>0</v>
      </c>
      <c r="N4311" s="7">
        <f>M4311*$J$4341-J4311</f>
        <v/>
      </c>
      <c r="O4311" s="9">
        <f>IF(G4311=0,0,N4311/G4311)</f>
        <v/>
      </c>
      <c r="P4311" s="6">
        <f>IF(M4311&gt;0,D4311,"")</f>
        <v/>
      </c>
      <c r="Q4311" s="9">
        <f>I4311+O4311</f>
        <v/>
      </c>
      <c r="R4311" s="7">
        <f>Q4311*G4311</f>
        <v/>
      </c>
      <c r="S4311" s="8">
        <f>IF($R$4341=0,0,R4311/$R$4341)</f>
        <v/>
      </c>
      <c r="T4311" s="8" t="n">
        <v>0.009631728212575963</v>
      </c>
      <c r="U4311" s="8" t="n">
        <v>-0.002411759887791409</v>
      </c>
      <c r="V4311" s="6" t="inlineStr">
        <is>
          <t>not selected</t>
        </is>
      </c>
    </row>
    <row r="4312">
      <c r="A4312" s="6" t="inlineStr">
        <is>
          <t>DJ30</t>
        </is>
      </c>
      <c r="B4312" s="6" t="inlineStr">
        <is>
          <t>2025-09-05</t>
        </is>
      </c>
      <c r="C4312" s="6" t="inlineStr">
        <is>
          <t>DIA</t>
        </is>
      </c>
      <c r="D4312" s="6" t="inlineStr">
        <is>
          <t>AMGN</t>
        </is>
      </c>
      <c r="E4312" s="6" t="inlineStr">
        <is>
          <t>AMGN</t>
        </is>
      </c>
      <c r="F4312" s="6" t="inlineStr">
        <is>
          <t>-</t>
        </is>
      </c>
      <c r="G4312" s="7" t="n">
        <v>277.5969848632812</v>
      </c>
      <c r="H4312" s="6">
        <f>P4281</f>
        <v/>
      </c>
      <c r="I4312" s="9">
        <f>Q4281</f>
        <v/>
      </c>
      <c r="J4312" s="7">
        <f>I4312*G4312</f>
        <v/>
      </c>
      <c r="K4312" s="8">
        <f>IF($J$4341=0,0,J4312/$J$4341)</f>
        <v/>
      </c>
      <c r="L4312" s="6" t="inlineStr">
        <is>
          <t>REJECTED</t>
        </is>
      </c>
      <c r="M4312" s="8" t="n">
        <v>0</v>
      </c>
      <c r="N4312" s="7">
        <f>M4312*$J$4341-J4312</f>
        <v/>
      </c>
      <c r="O4312" s="9">
        <f>IF(G4312=0,0,N4312/G4312)</f>
        <v/>
      </c>
      <c r="P4312" s="6">
        <f>IF(M4312&gt;0,D4312,"")</f>
        <v/>
      </c>
      <c r="Q4312" s="9">
        <f>I4312+O4312</f>
        <v/>
      </c>
      <c r="R4312" s="7">
        <f>Q4312*G4312</f>
        <v/>
      </c>
      <c r="S4312" s="8">
        <f>IF($R$4341=0,0,R4312/$R$4341)</f>
        <v/>
      </c>
      <c r="T4312" s="8" t="n">
        <v>0.009631728212575963</v>
      </c>
      <c r="U4312" s="8" t="n">
        <v>-0.002411759887791409</v>
      </c>
      <c r="V4312" s="6" t="inlineStr">
        <is>
          <t>not selected</t>
        </is>
      </c>
    </row>
    <row r="4313">
      <c r="A4313" s="6" t="inlineStr">
        <is>
          <t>DJ30</t>
        </is>
      </c>
      <c r="B4313" s="6" t="inlineStr">
        <is>
          <t>2025-09-05</t>
        </is>
      </c>
      <c r="C4313" s="6" t="inlineStr">
        <is>
          <t>DIA</t>
        </is>
      </c>
      <c r="D4313" s="6" t="inlineStr">
        <is>
          <t>AMZN</t>
        </is>
      </c>
      <c r="E4313" s="6" t="inlineStr">
        <is>
          <t>AMZN</t>
        </is>
      </c>
      <c r="F4313" s="6" t="inlineStr">
        <is>
          <t>-</t>
        </is>
      </c>
      <c r="G4313" s="7" t="n">
        <v>232.3300018310547</v>
      </c>
      <c r="H4313" s="6">
        <f>P4282</f>
        <v/>
      </c>
      <c r="I4313" s="9">
        <f>Q4282</f>
        <v/>
      </c>
      <c r="J4313" s="7">
        <f>I4313*G4313</f>
        <v/>
      </c>
      <c r="K4313" s="8">
        <f>IF($J$4341=0,0,J4313/$J$4341)</f>
        <v/>
      </c>
      <c r="L4313" s="6" t="inlineStr">
        <is>
          <t>REJECTED</t>
        </is>
      </c>
      <c r="M4313" s="8" t="n">
        <v>0</v>
      </c>
      <c r="N4313" s="7">
        <f>M4313*$J$4341-J4313</f>
        <v/>
      </c>
      <c r="O4313" s="9">
        <f>IF(G4313=0,0,N4313/G4313)</f>
        <v/>
      </c>
      <c r="P4313" s="6">
        <f>IF(M4313&gt;0,D4313,"")</f>
        <v/>
      </c>
      <c r="Q4313" s="9">
        <f>I4313+O4313</f>
        <v/>
      </c>
      <c r="R4313" s="7">
        <f>Q4313*G4313</f>
        <v/>
      </c>
      <c r="S4313" s="8">
        <f>IF($R$4341=0,0,R4313/$R$4341)</f>
        <v/>
      </c>
      <c r="T4313" s="8" t="n">
        <v>0.009631728212575963</v>
      </c>
      <c r="U4313" s="8" t="n">
        <v>-0.002411759887791409</v>
      </c>
      <c r="V4313" s="6" t="inlineStr">
        <is>
          <t>not selected</t>
        </is>
      </c>
    </row>
    <row r="4314">
      <c r="A4314" s="6" t="inlineStr">
        <is>
          <t>DJ30</t>
        </is>
      </c>
      <c r="B4314" s="6" t="inlineStr">
        <is>
          <t>2025-09-05</t>
        </is>
      </c>
      <c r="C4314" s="6" t="inlineStr">
        <is>
          <t>DIA</t>
        </is>
      </c>
      <c r="D4314" s="6" t="inlineStr">
        <is>
          <t>AXP</t>
        </is>
      </c>
      <c r="E4314" s="6" t="inlineStr">
        <is>
          <t>AXP</t>
        </is>
      </c>
      <c r="F4314" s="6" t="inlineStr">
        <is>
          <t>-</t>
        </is>
      </c>
      <c r="G4314" s="7" t="n">
        <v>323.6510925292969</v>
      </c>
      <c r="H4314" s="6">
        <f>P4283</f>
        <v/>
      </c>
      <c r="I4314" s="9">
        <f>Q4283</f>
        <v/>
      </c>
      <c r="J4314" s="7">
        <f>I4314*G4314</f>
        <v/>
      </c>
      <c r="K4314" s="8">
        <f>IF($J$4341=0,0,J4314/$J$4341)</f>
        <v/>
      </c>
      <c r="L4314" s="6" t="inlineStr">
        <is>
          <t>REJECTED</t>
        </is>
      </c>
      <c r="M4314" s="8" t="n">
        <v>0</v>
      </c>
      <c r="N4314" s="7">
        <f>M4314*$J$4341-J4314</f>
        <v/>
      </c>
      <c r="O4314" s="9">
        <f>IF(G4314=0,0,N4314/G4314)</f>
        <v/>
      </c>
      <c r="P4314" s="6">
        <f>IF(M4314&gt;0,D4314,"")</f>
        <v/>
      </c>
      <c r="Q4314" s="9">
        <f>I4314+O4314</f>
        <v/>
      </c>
      <c r="R4314" s="7">
        <f>Q4314*G4314</f>
        <v/>
      </c>
      <c r="S4314" s="8">
        <f>IF($R$4341=0,0,R4314/$R$4341)</f>
        <v/>
      </c>
      <c r="T4314" s="8" t="n">
        <v>0.009631728212575963</v>
      </c>
      <c r="U4314" s="8" t="n">
        <v>-0.002411759887791409</v>
      </c>
      <c r="V4314" s="6" t="inlineStr">
        <is>
          <t>not selected</t>
        </is>
      </c>
    </row>
    <row r="4315">
      <c r="A4315" s="6" t="inlineStr">
        <is>
          <t>DJ30</t>
        </is>
      </c>
      <c r="B4315" s="6" t="inlineStr">
        <is>
          <t>2025-09-05</t>
        </is>
      </c>
      <c r="C4315" s="6" t="inlineStr">
        <is>
          <t>DIA</t>
        </is>
      </c>
      <c r="D4315" s="6" t="inlineStr">
        <is>
          <t>BA</t>
        </is>
      </c>
      <c r="E4315" s="6" t="inlineStr">
        <is>
          <t>BA</t>
        </is>
      </c>
      <c r="F4315" s="6" t="inlineStr">
        <is>
          <t>-</t>
        </is>
      </c>
      <c r="G4315" s="7" t="n">
        <v>229.6100006103516</v>
      </c>
      <c r="H4315" s="6">
        <f>P4284</f>
        <v/>
      </c>
      <c r="I4315" s="9">
        <f>Q4284</f>
        <v/>
      </c>
      <c r="J4315" s="7">
        <f>I4315*G4315</f>
        <v/>
      </c>
      <c r="K4315" s="8">
        <f>IF($J$4341=0,0,J4315/$J$4341)</f>
        <v/>
      </c>
      <c r="L4315" s="6" t="inlineStr">
        <is>
          <t>SELECTED</t>
        </is>
      </c>
      <c r="M4315" s="8" t="n">
        <v>0.2</v>
      </c>
      <c r="N4315" s="7">
        <f>M4315*$J$4341-J4315</f>
        <v/>
      </c>
      <c r="O4315" s="9">
        <f>IF(G4315=0,0,N4315/G4315)</f>
        <v/>
      </c>
      <c r="P4315" s="6">
        <f>IF(M4315&gt;0,D4315,"")</f>
        <v/>
      </c>
      <c r="Q4315" s="9">
        <f>I4315+O4315</f>
        <v/>
      </c>
      <c r="R4315" s="7">
        <f>Q4315*G4315</f>
        <v/>
      </c>
      <c r="S4315" s="8">
        <f>IF($R$4341=0,0,R4315/$R$4341)</f>
        <v/>
      </c>
      <c r="T4315" s="8" t="n">
        <v>0.009631728212575963</v>
      </c>
      <c r="U4315" s="8" t="n">
        <v>-0.002411759887791409</v>
      </c>
      <c r="V4315" s="6" t="inlineStr">
        <is>
          <t>remained in weekly selection</t>
        </is>
      </c>
    </row>
    <row r="4316">
      <c r="A4316" s="6" t="inlineStr">
        <is>
          <t>DJ30</t>
        </is>
      </c>
      <c r="B4316" s="6" t="inlineStr">
        <is>
          <t>2025-09-05</t>
        </is>
      </c>
      <c r="C4316" s="6" t="inlineStr">
        <is>
          <t>DIA</t>
        </is>
      </c>
      <c r="D4316" s="6" t="inlineStr">
        <is>
          <t>CAT</t>
        </is>
      </c>
      <c r="E4316" s="6" t="inlineStr">
        <is>
          <t>CAT</t>
        </is>
      </c>
      <c r="F4316" s="6" t="inlineStr">
        <is>
          <t>-</t>
        </is>
      </c>
      <c r="G4316" s="7" t="n">
        <v>420.0834045410156</v>
      </c>
      <c r="H4316" s="6">
        <f>P4285</f>
        <v/>
      </c>
      <c r="I4316" s="9">
        <f>Q4285</f>
        <v/>
      </c>
      <c r="J4316" s="7">
        <f>I4316*G4316</f>
        <v/>
      </c>
      <c r="K4316" s="8">
        <f>IF($J$4341=0,0,J4316/$J$4341)</f>
        <v/>
      </c>
      <c r="L4316" s="6" t="inlineStr">
        <is>
          <t>REJECTED</t>
        </is>
      </c>
      <c r="M4316" s="8" t="n">
        <v>0</v>
      </c>
      <c r="N4316" s="7">
        <f>M4316*$J$4341-J4316</f>
        <v/>
      </c>
      <c r="O4316" s="9">
        <f>IF(G4316=0,0,N4316/G4316)</f>
        <v/>
      </c>
      <c r="P4316" s="6">
        <f>IF(M4316&gt;0,D4316,"")</f>
        <v/>
      </c>
      <c r="Q4316" s="9">
        <f>I4316+O4316</f>
        <v/>
      </c>
      <c r="R4316" s="7">
        <f>Q4316*G4316</f>
        <v/>
      </c>
      <c r="S4316" s="8">
        <f>IF($R$4341=0,0,R4316/$R$4341)</f>
        <v/>
      </c>
      <c r="T4316" s="8" t="n">
        <v>0.009631728212575963</v>
      </c>
      <c r="U4316" s="8" t="n">
        <v>-0.002411759887791409</v>
      </c>
      <c r="V4316" s="6" t="inlineStr">
        <is>
          <t>not selected</t>
        </is>
      </c>
    </row>
    <row r="4317">
      <c r="A4317" s="6" t="inlineStr">
        <is>
          <t>DJ30</t>
        </is>
      </c>
      <c r="B4317" s="6" t="inlineStr">
        <is>
          <t>2025-09-05</t>
        </is>
      </c>
      <c r="C4317" s="6" t="inlineStr">
        <is>
          <t>DIA</t>
        </is>
      </c>
      <c r="D4317" s="6" t="inlineStr">
        <is>
          <t>CRM</t>
        </is>
      </c>
      <c r="E4317" s="6" t="inlineStr">
        <is>
          <t>CRM</t>
        </is>
      </c>
      <c r="F4317" s="6" t="inlineStr">
        <is>
          <t>-</t>
        </is>
      </c>
      <c r="G4317" s="7" t="n">
        <v>248.6554107666016</v>
      </c>
      <c r="H4317" s="6">
        <f>P4286</f>
        <v/>
      </c>
      <c r="I4317" s="9">
        <f>Q4286</f>
        <v/>
      </c>
      <c r="J4317" s="7">
        <f>I4317*G4317</f>
        <v/>
      </c>
      <c r="K4317" s="8">
        <f>IF($J$4341=0,0,J4317/$J$4341)</f>
        <v/>
      </c>
      <c r="L4317" s="6" t="inlineStr">
        <is>
          <t>REJECTED</t>
        </is>
      </c>
      <c r="M4317" s="8" t="n">
        <v>0</v>
      </c>
      <c r="N4317" s="7">
        <f>M4317*$J$4341-J4317</f>
        <v/>
      </c>
      <c r="O4317" s="9">
        <f>IF(G4317=0,0,N4317/G4317)</f>
        <v/>
      </c>
      <c r="P4317" s="6">
        <f>IF(M4317&gt;0,D4317,"")</f>
        <v/>
      </c>
      <c r="Q4317" s="9">
        <f>I4317+O4317</f>
        <v/>
      </c>
      <c r="R4317" s="7">
        <f>Q4317*G4317</f>
        <v/>
      </c>
      <c r="S4317" s="8">
        <f>IF($R$4341=0,0,R4317/$R$4341)</f>
        <v/>
      </c>
      <c r="T4317" s="8" t="n">
        <v>0.009631728212575963</v>
      </c>
      <c r="U4317" s="8" t="n">
        <v>-0.002411759887791409</v>
      </c>
      <c r="V4317" s="6" t="inlineStr">
        <is>
          <t>not selected</t>
        </is>
      </c>
    </row>
    <row r="4318">
      <c r="A4318" s="6" t="inlineStr">
        <is>
          <t>DJ30</t>
        </is>
      </c>
      <c r="B4318" s="6" t="inlineStr">
        <is>
          <t>2025-09-05</t>
        </is>
      </c>
      <c r="C4318" s="6" t="inlineStr">
        <is>
          <t>DIA</t>
        </is>
      </c>
      <c r="D4318" s="6" t="inlineStr">
        <is>
          <t>CSCO</t>
        </is>
      </c>
      <c r="E4318" s="6" t="inlineStr">
        <is>
          <t>CSCO</t>
        </is>
      </c>
      <c r="F4318" s="6" t="inlineStr">
        <is>
          <t>-</t>
        </is>
      </c>
      <c r="G4318" s="7" t="n">
        <v>65.78804016113281</v>
      </c>
      <c r="H4318" s="6">
        <f>P4287</f>
        <v/>
      </c>
      <c r="I4318" s="9">
        <f>Q4287</f>
        <v/>
      </c>
      <c r="J4318" s="7">
        <f>I4318*G4318</f>
        <v/>
      </c>
      <c r="K4318" s="8">
        <f>IF($J$4341=0,0,J4318/$J$4341)</f>
        <v/>
      </c>
      <c r="L4318" s="6" t="inlineStr">
        <is>
          <t>WATCHLIST</t>
        </is>
      </c>
      <c r="M4318" s="8" t="n">
        <v>0</v>
      </c>
      <c r="N4318" s="7">
        <f>M4318*$J$4341-J4318</f>
        <v/>
      </c>
      <c r="O4318" s="9">
        <f>IF(G4318=0,0,N4318/G4318)</f>
        <v/>
      </c>
      <c r="P4318" s="6">
        <f>IF(M4318&gt;0,D4318,"")</f>
        <v/>
      </c>
      <c r="Q4318" s="9">
        <f>I4318+O4318</f>
        <v/>
      </c>
      <c r="R4318" s="7">
        <f>Q4318*G4318</f>
        <v/>
      </c>
      <c r="S4318" s="8">
        <f>IF($R$4341=0,0,R4318/$R$4341)</f>
        <v/>
      </c>
      <c r="T4318" s="8" t="n">
        <v>0.009631728212575963</v>
      </c>
      <c r="U4318" s="8" t="n">
        <v>-0.002411759887791409</v>
      </c>
      <c r="V4318" s="6" t="inlineStr">
        <is>
          <t>not selected</t>
        </is>
      </c>
    </row>
    <row r="4319">
      <c r="A4319" s="6" t="inlineStr">
        <is>
          <t>DJ30</t>
        </is>
      </c>
      <c r="B4319" s="6" t="inlineStr">
        <is>
          <t>2025-09-05</t>
        </is>
      </c>
      <c r="C4319" s="6" t="inlineStr">
        <is>
          <t>DIA</t>
        </is>
      </c>
      <c r="D4319" s="6" t="inlineStr">
        <is>
          <t>CVX</t>
        </is>
      </c>
      <c r="E4319" s="6" t="inlineStr">
        <is>
          <t>CVX</t>
        </is>
      </c>
      <c r="F4319" s="6" t="inlineStr">
        <is>
          <t>-</t>
        </is>
      </c>
      <c r="G4319" s="7" t="n">
        <v>149.1247863769531</v>
      </c>
      <c r="H4319" s="6">
        <f>P4288</f>
        <v/>
      </c>
      <c r="I4319" s="9">
        <f>Q4288</f>
        <v/>
      </c>
      <c r="J4319" s="7">
        <f>I4319*G4319</f>
        <v/>
      </c>
      <c r="K4319" s="8">
        <f>IF($J$4341=0,0,J4319/$J$4341)</f>
        <v/>
      </c>
      <c r="L4319" s="6" t="inlineStr">
        <is>
          <t>REJECTED</t>
        </is>
      </c>
      <c r="M4319" s="8" t="n">
        <v>0</v>
      </c>
      <c r="N4319" s="7">
        <f>M4319*$J$4341-J4319</f>
        <v/>
      </c>
      <c r="O4319" s="9">
        <f>IF(G4319=0,0,N4319/G4319)</f>
        <v/>
      </c>
      <c r="P4319" s="6">
        <f>IF(M4319&gt;0,D4319,"")</f>
        <v/>
      </c>
      <c r="Q4319" s="9">
        <f>I4319+O4319</f>
        <v/>
      </c>
      <c r="R4319" s="7">
        <f>Q4319*G4319</f>
        <v/>
      </c>
      <c r="S4319" s="8">
        <f>IF($R$4341=0,0,R4319/$R$4341)</f>
        <v/>
      </c>
      <c r="T4319" s="8" t="n">
        <v>0.009631728212575963</v>
      </c>
      <c r="U4319" s="8" t="n">
        <v>-0.002411759887791409</v>
      </c>
      <c r="V4319" s="6" t="inlineStr">
        <is>
          <t>not selected</t>
        </is>
      </c>
    </row>
    <row r="4320">
      <c r="A4320" s="6" t="inlineStr">
        <is>
          <t>DJ30</t>
        </is>
      </c>
      <c r="B4320" s="6" t="inlineStr">
        <is>
          <t>2025-09-05</t>
        </is>
      </c>
      <c r="C4320" s="6" t="inlineStr">
        <is>
          <t>DIA</t>
        </is>
      </c>
      <c r="D4320" s="6" t="inlineStr">
        <is>
          <t>DIS</t>
        </is>
      </c>
      <c r="E4320" s="6" t="inlineStr">
        <is>
          <t>DIS</t>
        </is>
      </c>
      <c r="F4320" s="6" t="inlineStr">
        <is>
          <t>-</t>
        </is>
      </c>
      <c r="G4320" s="7" t="n">
        <v>117.1175994873047</v>
      </c>
      <c r="H4320" s="6">
        <f>P4289</f>
        <v/>
      </c>
      <c r="I4320" s="9">
        <f>Q4289</f>
        <v/>
      </c>
      <c r="J4320" s="7">
        <f>I4320*G4320</f>
        <v/>
      </c>
      <c r="K4320" s="8">
        <f>IF($J$4341=0,0,J4320/$J$4341)</f>
        <v/>
      </c>
      <c r="L4320" s="6" t="inlineStr">
        <is>
          <t>REJECTED</t>
        </is>
      </c>
      <c r="M4320" s="8" t="n">
        <v>0</v>
      </c>
      <c r="N4320" s="7">
        <f>M4320*$J$4341-J4320</f>
        <v/>
      </c>
      <c r="O4320" s="9">
        <f>IF(G4320=0,0,N4320/G4320)</f>
        <v/>
      </c>
      <c r="P4320" s="6">
        <f>IF(M4320&gt;0,D4320,"")</f>
        <v/>
      </c>
      <c r="Q4320" s="9">
        <f>I4320+O4320</f>
        <v/>
      </c>
      <c r="R4320" s="7">
        <f>Q4320*G4320</f>
        <v/>
      </c>
      <c r="S4320" s="8">
        <f>IF($R$4341=0,0,R4320/$R$4341)</f>
        <v/>
      </c>
      <c r="T4320" s="8" t="n">
        <v>0.009631728212575963</v>
      </c>
      <c r="U4320" s="8" t="n">
        <v>-0.002411759887791409</v>
      </c>
      <c r="V4320" s="6" t="inlineStr">
        <is>
          <t>not selected</t>
        </is>
      </c>
    </row>
    <row r="4321">
      <c r="A4321" s="6" t="inlineStr">
        <is>
          <t>DJ30</t>
        </is>
      </c>
      <c r="B4321" s="6" t="inlineStr">
        <is>
          <t>2025-09-05</t>
        </is>
      </c>
      <c r="C4321" s="6" t="inlineStr">
        <is>
          <t>DIA</t>
        </is>
      </c>
      <c r="D4321" s="6" t="inlineStr">
        <is>
          <t>GS</t>
        </is>
      </c>
      <c r="E4321" s="6" t="inlineStr">
        <is>
          <t>GS</t>
        </is>
      </c>
      <c r="F4321" s="6" t="inlineStr">
        <is>
          <t>-</t>
        </is>
      </c>
      <c r="G4321" s="7" t="n">
        <v>727.5164794921875</v>
      </c>
      <c r="H4321" s="6">
        <f>P4290</f>
        <v/>
      </c>
      <c r="I4321" s="9">
        <f>Q4290</f>
        <v/>
      </c>
      <c r="J4321" s="7">
        <f>I4321*G4321</f>
        <v/>
      </c>
      <c r="K4321" s="8">
        <f>IF($J$4341=0,0,J4321/$J$4341)</f>
        <v/>
      </c>
      <c r="L4321" s="6" t="inlineStr">
        <is>
          <t>WATCHLIST</t>
        </is>
      </c>
      <c r="M4321" s="8" t="n">
        <v>0</v>
      </c>
      <c r="N4321" s="7">
        <f>M4321*$J$4341-J4321</f>
        <v/>
      </c>
      <c r="O4321" s="9">
        <f>IF(G4321=0,0,N4321/G4321)</f>
        <v/>
      </c>
      <c r="P4321" s="6">
        <f>IF(M4321&gt;0,D4321,"")</f>
        <v/>
      </c>
      <c r="Q4321" s="9">
        <f>I4321+O4321</f>
        <v/>
      </c>
      <c r="R4321" s="7">
        <f>Q4321*G4321</f>
        <v/>
      </c>
      <c r="S4321" s="8">
        <f>IF($R$4341=0,0,R4321/$R$4341)</f>
        <v/>
      </c>
      <c r="T4321" s="8" t="n">
        <v>0.009631728212575963</v>
      </c>
      <c r="U4321" s="8" t="n">
        <v>-0.002411759887791409</v>
      </c>
      <c r="V4321" s="6" t="inlineStr">
        <is>
          <t>not selected</t>
        </is>
      </c>
    </row>
    <row r="4322">
      <c r="A4322" s="6" t="inlineStr">
        <is>
          <t>DJ30</t>
        </is>
      </c>
      <c r="B4322" s="6" t="inlineStr">
        <is>
          <t>2025-09-05</t>
        </is>
      </c>
      <c r="C4322" s="6" t="inlineStr">
        <is>
          <t>DIA</t>
        </is>
      </c>
      <c r="D4322" s="6" t="inlineStr">
        <is>
          <t>HD</t>
        </is>
      </c>
      <c r="E4322" s="6" t="inlineStr">
        <is>
          <t>HD</t>
        </is>
      </c>
      <c r="F4322" s="6" t="inlineStr">
        <is>
          <t>-</t>
        </is>
      </c>
      <c r="G4322" s="7" t="n">
        <v>410.4148864746094</v>
      </c>
      <c r="H4322" s="6">
        <f>P4291</f>
        <v/>
      </c>
      <c r="I4322" s="9">
        <f>Q4291</f>
        <v/>
      </c>
      <c r="J4322" s="7">
        <f>I4322*G4322</f>
        <v/>
      </c>
      <c r="K4322" s="8">
        <f>IF($J$4341=0,0,J4322/$J$4341)</f>
        <v/>
      </c>
      <c r="L4322" s="6" t="inlineStr">
        <is>
          <t>REJECTED</t>
        </is>
      </c>
      <c r="M4322" s="8" t="n">
        <v>0</v>
      </c>
      <c r="N4322" s="7">
        <f>M4322*$J$4341-J4322</f>
        <v/>
      </c>
      <c r="O4322" s="9">
        <f>IF(G4322=0,0,N4322/G4322)</f>
        <v/>
      </c>
      <c r="P4322" s="6">
        <f>IF(M4322&gt;0,D4322,"")</f>
        <v/>
      </c>
      <c r="Q4322" s="9">
        <f>I4322+O4322</f>
        <v/>
      </c>
      <c r="R4322" s="7">
        <f>Q4322*G4322</f>
        <v/>
      </c>
      <c r="S4322" s="8">
        <f>IF($R$4341=0,0,R4322/$R$4341)</f>
        <v/>
      </c>
      <c r="T4322" s="8" t="n">
        <v>0.009631728212575963</v>
      </c>
      <c r="U4322" s="8" t="n">
        <v>-0.002411759887791409</v>
      </c>
      <c r="V4322" s="6" t="inlineStr">
        <is>
          <t>not selected</t>
        </is>
      </c>
    </row>
    <row r="4323">
      <c r="A4323" s="6" t="inlineStr">
        <is>
          <t>DJ30</t>
        </is>
      </c>
      <c r="B4323" s="6" t="inlineStr">
        <is>
          <t>2025-09-05</t>
        </is>
      </c>
      <c r="C4323" s="6" t="inlineStr">
        <is>
          <t>DIA</t>
        </is>
      </c>
      <c r="D4323" s="6" t="inlineStr">
        <is>
          <t>HON</t>
        </is>
      </c>
      <c r="E4323" s="6" t="inlineStr">
        <is>
          <t>HON</t>
        </is>
      </c>
      <c r="F4323" s="6" t="inlineStr">
        <is>
          <t>-</t>
        </is>
      </c>
      <c r="G4323" s="7" t="n">
        <v>198.646499633789</v>
      </c>
      <c r="H4323" s="6">
        <f>P4292</f>
        <v/>
      </c>
      <c r="I4323" s="9">
        <f>Q4292</f>
        <v/>
      </c>
      <c r="J4323" s="7">
        <f>I4323*G4323</f>
        <v/>
      </c>
      <c r="K4323" s="8">
        <f>IF($J$4341=0,0,J4323/$J$4341)</f>
        <v/>
      </c>
      <c r="L4323" s="6" t="inlineStr">
        <is>
          <t>REJECTED</t>
        </is>
      </c>
      <c r="M4323" s="8" t="n">
        <v>0</v>
      </c>
      <c r="N4323" s="7">
        <f>M4323*$J$4341-J4323</f>
        <v/>
      </c>
      <c r="O4323" s="9">
        <f>IF(G4323=0,0,N4323/G4323)</f>
        <v/>
      </c>
      <c r="P4323" s="6">
        <f>IF(M4323&gt;0,D4323,"")</f>
        <v/>
      </c>
      <c r="Q4323" s="9">
        <f>I4323+O4323</f>
        <v/>
      </c>
      <c r="R4323" s="7">
        <f>Q4323*G4323</f>
        <v/>
      </c>
      <c r="S4323" s="8">
        <f>IF($R$4341=0,0,R4323/$R$4341)</f>
        <v/>
      </c>
      <c r="T4323" s="8" t="n">
        <v>0.009631728212575963</v>
      </c>
      <c r="U4323" s="8" t="n">
        <v>-0.002411759887791409</v>
      </c>
      <c r="V4323" s="6" t="inlineStr">
        <is>
          <t>not selected</t>
        </is>
      </c>
    </row>
    <row r="4324">
      <c r="A4324" s="6" t="inlineStr">
        <is>
          <t>DJ30</t>
        </is>
      </c>
      <c r="B4324" s="6" t="inlineStr">
        <is>
          <t>2025-09-05</t>
        </is>
      </c>
      <c r="C4324" s="6" t="inlineStr">
        <is>
          <t>DIA</t>
        </is>
      </c>
      <c r="D4324" s="6" t="inlineStr">
        <is>
          <t>IBM</t>
        </is>
      </c>
      <c r="E4324" s="6" t="inlineStr">
        <is>
          <t>IBM</t>
        </is>
      </c>
      <c r="F4324" s="6" t="inlineStr">
        <is>
          <t>-</t>
        </is>
      </c>
      <c r="G4324" s="7" t="n">
        <v>243.9703521728516</v>
      </c>
      <c r="H4324" s="6">
        <f>P4293</f>
        <v/>
      </c>
      <c r="I4324" s="9">
        <f>Q4293</f>
        <v/>
      </c>
      <c r="J4324" s="7">
        <f>I4324*G4324</f>
        <v/>
      </c>
      <c r="K4324" s="8">
        <f>IF($J$4341=0,0,J4324/$J$4341)</f>
        <v/>
      </c>
      <c r="L4324" s="6" t="inlineStr">
        <is>
          <t>SELECTED</t>
        </is>
      </c>
      <c r="M4324" s="8" t="n">
        <v>0.2</v>
      </c>
      <c r="N4324" s="7">
        <f>M4324*$J$4341-J4324</f>
        <v/>
      </c>
      <c r="O4324" s="9">
        <f>IF(G4324=0,0,N4324/G4324)</f>
        <v/>
      </c>
      <c r="P4324" s="6">
        <f>IF(M4324&gt;0,D4324,"")</f>
        <v/>
      </c>
      <c r="Q4324" s="9">
        <f>I4324+O4324</f>
        <v/>
      </c>
      <c r="R4324" s="7">
        <f>Q4324*G4324</f>
        <v/>
      </c>
      <c r="S4324" s="8">
        <f>IF($R$4341=0,0,R4324/$R$4341)</f>
        <v/>
      </c>
      <c r="T4324" s="8" t="n">
        <v>0.009631728212575963</v>
      </c>
      <c r="U4324" s="8" t="n">
        <v>-0.002411759887791409</v>
      </c>
      <c r="V4324" s="6" t="inlineStr">
        <is>
          <t>remained in weekly selection</t>
        </is>
      </c>
    </row>
    <row r="4325">
      <c r="A4325" s="6" t="inlineStr">
        <is>
          <t>DJ30</t>
        </is>
      </c>
      <c r="B4325" s="6" t="inlineStr">
        <is>
          <t>2025-09-05</t>
        </is>
      </c>
      <c r="C4325" s="6" t="inlineStr">
        <is>
          <t>DIA</t>
        </is>
      </c>
      <c r="D4325" s="6" t="inlineStr">
        <is>
          <t>JNJ</t>
        </is>
      </c>
      <c r="E4325" s="6" t="inlineStr">
        <is>
          <t>JNJ</t>
        </is>
      </c>
      <c r="F4325" s="6" t="inlineStr">
        <is>
          <t>-</t>
        </is>
      </c>
      <c r="G4325" s="7" t="n">
        <v>175.3581695556641</v>
      </c>
      <c r="H4325" s="6">
        <f>P4294</f>
        <v/>
      </c>
      <c r="I4325" s="9">
        <f>Q4294</f>
        <v/>
      </c>
      <c r="J4325" s="7">
        <f>I4325*G4325</f>
        <v/>
      </c>
      <c r="K4325" s="8">
        <f>IF($J$4341=0,0,J4325/$J$4341)</f>
        <v/>
      </c>
      <c r="L4325" s="6" t="inlineStr">
        <is>
          <t>REJECTED</t>
        </is>
      </c>
      <c r="M4325" s="8" t="n">
        <v>0</v>
      </c>
      <c r="N4325" s="7">
        <f>M4325*$J$4341-J4325</f>
        <v/>
      </c>
      <c r="O4325" s="9">
        <f>IF(G4325=0,0,N4325/G4325)</f>
        <v/>
      </c>
      <c r="P4325" s="6">
        <f>IF(M4325&gt;0,D4325,"")</f>
        <v/>
      </c>
      <c r="Q4325" s="9">
        <f>I4325+O4325</f>
        <v/>
      </c>
      <c r="R4325" s="7">
        <f>Q4325*G4325</f>
        <v/>
      </c>
      <c r="S4325" s="8">
        <f>IF($R$4341=0,0,R4325/$R$4341)</f>
        <v/>
      </c>
      <c r="T4325" s="8" t="n">
        <v>0.009631728212575963</v>
      </c>
      <c r="U4325" s="8" t="n">
        <v>-0.002411759887791409</v>
      </c>
      <c r="V4325" s="6" t="inlineStr">
        <is>
          <t>not selected</t>
        </is>
      </c>
    </row>
    <row r="4326">
      <c r="A4326" s="6" t="inlineStr">
        <is>
          <t>DJ30</t>
        </is>
      </c>
      <c r="B4326" s="6" t="inlineStr">
        <is>
          <t>2025-09-05</t>
        </is>
      </c>
      <c r="C4326" s="6" t="inlineStr">
        <is>
          <t>DIA</t>
        </is>
      </c>
      <c r="D4326" s="6" t="inlineStr">
        <is>
          <t>JPM</t>
        </is>
      </c>
      <c r="E4326" s="6" t="inlineStr">
        <is>
          <t>JPM</t>
        </is>
      </c>
      <c r="F4326" s="6" t="inlineStr">
        <is>
          <t>-</t>
        </is>
      </c>
      <c r="G4326" s="7" t="n">
        <v>290.1552734375</v>
      </c>
      <c r="H4326" s="6">
        <f>P4295</f>
        <v/>
      </c>
      <c r="I4326" s="9">
        <f>Q4295</f>
        <v/>
      </c>
      <c r="J4326" s="7">
        <f>I4326*G4326</f>
        <v/>
      </c>
      <c r="K4326" s="8">
        <f>IF($J$4341=0,0,J4326/$J$4341)</f>
        <v/>
      </c>
      <c r="L4326" s="6" t="inlineStr">
        <is>
          <t>WATCHLIST</t>
        </is>
      </c>
      <c r="M4326" s="8" t="n">
        <v>0</v>
      </c>
      <c r="N4326" s="7">
        <f>M4326*$J$4341-J4326</f>
        <v/>
      </c>
      <c r="O4326" s="9">
        <f>IF(G4326=0,0,N4326/G4326)</f>
        <v/>
      </c>
      <c r="P4326" s="6">
        <f>IF(M4326&gt;0,D4326,"")</f>
        <v/>
      </c>
      <c r="Q4326" s="9">
        <f>I4326+O4326</f>
        <v/>
      </c>
      <c r="R4326" s="7">
        <f>Q4326*G4326</f>
        <v/>
      </c>
      <c r="S4326" s="8">
        <f>IF($R$4341=0,0,R4326/$R$4341)</f>
        <v/>
      </c>
      <c r="T4326" s="8" t="n">
        <v>0.009631728212575963</v>
      </c>
      <c r="U4326" s="8" t="n">
        <v>-0.002411759887791409</v>
      </c>
      <c r="V4326" s="6" t="inlineStr">
        <is>
          <t>not selected</t>
        </is>
      </c>
    </row>
    <row r="4327">
      <c r="A4327" s="6" t="inlineStr">
        <is>
          <t>DJ30</t>
        </is>
      </c>
      <c r="B4327" s="6" t="inlineStr">
        <is>
          <t>2025-09-05</t>
        </is>
      </c>
      <c r="C4327" s="6" t="inlineStr">
        <is>
          <t>DIA</t>
        </is>
      </c>
      <c r="D4327" s="6" t="inlineStr">
        <is>
          <t>KO</t>
        </is>
      </c>
      <c r="E4327" s="6" t="inlineStr">
        <is>
          <t>KO</t>
        </is>
      </c>
      <c r="F4327" s="6" t="inlineStr">
        <is>
          <t>-</t>
        </is>
      </c>
      <c r="G4327" s="7" t="n">
        <v>66.08832550048828</v>
      </c>
      <c r="H4327" s="6">
        <f>P4296</f>
        <v/>
      </c>
      <c r="I4327" s="9">
        <f>Q4296</f>
        <v/>
      </c>
      <c r="J4327" s="7">
        <f>I4327*G4327</f>
        <v/>
      </c>
      <c r="K4327" s="8">
        <f>IF($J$4341=0,0,J4327/$J$4341)</f>
        <v/>
      </c>
      <c r="L4327" s="6" t="inlineStr">
        <is>
          <t>REJECTED</t>
        </is>
      </c>
      <c r="M4327" s="8" t="n">
        <v>0</v>
      </c>
      <c r="N4327" s="7">
        <f>M4327*$J$4341-J4327</f>
        <v/>
      </c>
      <c r="O4327" s="9">
        <f>IF(G4327=0,0,N4327/G4327)</f>
        <v/>
      </c>
      <c r="P4327" s="6">
        <f>IF(M4327&gt;0,D4327,"")</f>
        <v/>
      </c>
      <c r="Q4327" s="9">
        <f>I4327+O4327</f>
        <v/>
      </c>
      <c r="R4327" s="7">
        <f>Q4327*G4327</f>
        <v/>
      </c>
      <c r="S4327" s="8">
        <f>IF($R$4341=0,0,R4327/$R$4341)</f>
        <v/>
      </c>
      <c r="T4327" s="8" t="n">
        <v>0.009631728212575963</v>
      </c>
      <c r="U4327" s="8" t="n">
        <v>-0.002411759887791409</v>
      </c>
      <c r="V4327" s="6" t="inlineStr">
        <is>
          <t>not selected</t>
        </is>
      </c>
    </row>
    <row r="4328">
      <c r="A4328" s="6" t="inlineStr">
        <is>
          <t>DJ30</t>
        </is>
      </c>
      <c r="B4328" s="6" t="inlineStr">
        <is>
          <t>2025-09-05</t>
        </is>
      </c>
      <c r="C4328" s="6" t="inlineStr">
        <is>
          <t>DIA</t>
        </is>
      </c>
      <c r="D4328" s="6" t="inlineStr">
        <is>
          <t>MCD</t>
        </is>
      </c>
      <c r="E4328" s="6" t="inlineStr">
        <is>
          <t>MCD</t>
        </is>
      </c>
      <c r="F4328" s="6" t="inlineStr">
        <is>
          <t>-</t>
        </is>
      </c>
      <c r="G4328" s="7" t="n">
        <v>308.6752014160156</v>
      </c>
      <c r="H4328" s="6">
        <f>P4297</f>
        <v/>
      </c>
      <c r="I4328" s="9">
        <f>Q4297</f>
        <v/>
      </c>
      <c r="J4328" s="7">
        <f>I4328*G4328</f>
        <v/>
      </c>
      <c r="K4328" s="8">
        <f>IF($J$4341=0,0,J4328/$J$4341)</f>
        <v/>
      </c>
      <c r="L4328" s="6" t="inlineStr">
        <is>
          <t>REJECTED</t>
        </is>
      </c>
      <c r="M4328" s="8" t="n">
        <v>0</v>
      </c>
      <c r="N4328" s="7">
        <f>M4328*$J$4341-J4328</f>
        <v/>
      </c>
      <c r="O4328" s="9">
        <f>IF(G4328=0,0,N4328/G4328)</f>
        <v/>
      </c>
      <c r="P4328" s="6">
        <f>IF(M4328&gt;0,D4328,"")</f>
        <v/>
      </c>
      <c r="Q4328" s="9">
        <f>I4328+O4328</f>
        <v/>
      </c>
      <c r="R4328" s="7">
        <f>Q4328*G4328</f>
        <v/>
      </c>
      <c r="S4328" s="8">
        <f>IF($R$4341=0,0,R4328/$R$4341)</f>
        <v/>
      </c>
      <c r="T4328" s="8" t="n">
        <v>0.009631728212575963</v>
      </c>
      <c r="U4328" s="8" t="n">
        <v>-0.002411759887791409</v>
      </c>
      <c r="V4328" s="6" t="inlineStr">
        <is>
          <t>not selected</t>
        </is>
      </c>
    </row>
    <row r="4329">
      <c r="A4329" s="6" t="inlineStr">
        <is>
          <t>DJ30</t>
        </is>
      </c>
      <c r="B4329" s="6" t="inlineStr">
        <is>
          <t>2025-09-05</t>
        </is>
      </c>
      <c r="C4329" s="6" t="inlineStr">
        <is>
          <t>DIA</t>
        </is>
      </c>
      <c r="D4329" s="6" t="inlineStr">
        <is>
          <t>MMM</t>
        </is>
      </c>
      <c r="E4329" s="6" t="inlineStr">
        <is>
          <t>MMM</t>
        </is>
      </c>
      <c r="F4329" s="6" t="inlineStr">
        <is>
          <t>-</t>
        </is>
      </c>
      <c r="G4329" s="7" t="n">
        <v>153.1527099609375</v>
      </c>
      <c r="H4329" s="6">
        <f>P4298</f>
        <v/>
      </c>
      <c r="I4329" s="9">
        <f>Q4298</f>
        <v/>
      </c>
      <c r="J4329" s="7">
        <f>I4329*G4329</f>
        <v/>
      </c>
      <c r="K4329" s="8">
        <f>IF($J$4341=0,0,J4329/$J$4341)</f>
        <v/>
      </c>
      <c r="L4329" s="6" t="inlineStr">
        <is>
          <t>WATCHLIST</t>
        </is>
      </c>
      <c r="M4329" s="8" t="n">
        <v>0</v>
      </c>
      <c r="N4329" s="7">
        <f>M4329*$J$4341-J4329</f>
        <v/>
      </c>
      <c r="O4329" s="9">
        <f>IF(G4329=0,0,N4329/G4329)</f>
        <v/>
      </c>
      <c r="P4329" s="6">
        <f>IF(M4329&gt;0,D4329,"")</f>
        <v/>
      </c>
      <c r="Q4329" s="9">
        <f>I4329+O4329</f>
        <v/>
      </c>
      <c r="R4329" s="7">
        <f>Q4329*G4329</f>
        <v/>
      </c>
      <c r="S4329" s="8">
        <f>IF($R$4341=0,0,R4329/$R$4341)</f>
        <v/>
      </c>
      <c r="T4329" s="8" t="n">
        <v>0.009631728212575963</v>
      </c>
      <c r="U4329" s="8" t="n">
        <v>-0.002411759887791409</v>
      </c>
      <c r="V4329" s="6" t="inlineStr">
        <is>
          <t>not selected</t>
        </is>
      </c>
    </row>
    <row r="4330">
      <c r="A4330" s="6" t="inlineStr">
        <is>
          <t>DJ30</t>
        </is>
      </c>
      <c r="B4330" s="6" t="inlineStr">
        <is>
          <t>2025-09-05</t>
        </is>
      </c>
      <c r="C4330" s="6" t="inlineStr">
        <is>
          <t>DIA</t>
        </is>
      </c>
      <c r="D4330" s="6" t="inlineStr">
        <is>
          <t>MRK</t>
        </is>
      </c>
      <c r="E4330" s="6" t="inlineStr">
        <is>
          <t>MRK</t>
        </is>
      </c>
      <c r="F4330" s="6" t="inlineStr">
        <is>
          <t>-</t>
        </is>
      </c>
      <c r="G4330" s="7" t="n">
        <v>81.96959686279297</v>
      </c>
      <c r="H4330" s="6">
        <f>P4299</f>
        <v/>
      </c>
      <c r="I4330" s="9">
        <f>Q4299</f>
        <v/>
      </c>
      <c r="J4330" s="7">
        <f>I4330*G4330</f>
        <v/>
      </c>
      <c r="K4330" s="8">
        <f>IF($J$4341=0,0,J4330/$J$4341)</f>
        <v/>
      </c>
      <c r="L4330" s="6" t="inlineStr">
        <is>
          <t>REJECTED</t>
        </is>
      </c>
      <c r="M4330" s="8" t="n">
        <v>0</v>
      </c>
      <c r="N4330" s="7">
        <f>M4330*$J$4341-J4330</f>
        <v/>
      </c>
      <c r="O4330" s="9">
        <f>IF(G4330=0,0,N4330/G4330)</f>
        <v/>
      </c>
      <c r="P4330" s="6">
        <f>IF(M4330&gt;0,D4330,"")</f>
        <v/>
      </c>
      <c r="Q4330" s="9">
        <f>I4330+O4330</f>
        <v/>
      </c>
      <c r="R4330" s="7">
        <f>Q4330*G4330</f>
        <v/>
      </c>
      <c r="S4330" s="8">
        <f>IF($R$4341=0,0,R4330/$R$4341)</f>
        <v/>
      </c>
      <c r="T4330" s="8" t="n">
        <v>0.009631728212575963</v>
      </c>
      <c r="U4330" s="8" t="n">
        <v>-0.002411759887791409</v>
      </c>
      <c r="V4330" s="6" t="inlineStr">
        <is>
          <t>not selected</t>
        </is>
      </c>
    </row>
    <row r="4331">
      <c r="A4331" s="6" t="inlineStr">
        <is>
          <t>DJ30</t>
        </is>
      </c>
      <c r="B4331" s="6" t="inlineStr">
        <is>
          <t>2025-09-05</t>
        </is>
      </c>
      <c r="C4331" s="6" t="inlineStr">
        <is>
          <t>DIA</t>
        </is>
      </c>
      <c r="D4331" s="6" t="inlineStr">
        <is>
          <t>MSFT</t>
        </is>
      </c>
      <c r="E4331" s="6" t="inlineStr">
        <is>
          <t>MSFT</t>
        </is>
      </c>
      <c r="F4331" s="6" t="inlineStr">
        <is>
          <t>-</t>
        </is>
      </c>
      <c r="G4331" s="7" t="n">
        <v>491.884765625</v>
      </c>
      <c r="H4331" s="6">
        <f>P4300</f>
        <v/>
      </c>
      <c r="I4331" s="9">
        <f>Q4300</f>
        <v/>
      </c>
      <c r="J4331" s="7">
        <f>I4331*G4331</f>
        <v/>
      </c>
      <c r="K4331" s="8">
        <f>IF($J$4341=0,0,J4331/$J$4341)</f>
        <v/>
      </c>
      <c r="L4331" s="6" t="inlineStr">
        <is>
          <t>WATCHLIST</t>
        </is>
      </c>
      <c r="M4331" s="8" t="n">
        <v>0</v>
      </c>
      <c r="N4331" s="7">
        <f>M4331*$J$4341-J4331</f>
        <v/>
      </c>
      <c r="O4331" s="9">
        <f>IF(G4331=0,0,N4331/G4331)</f>
        <v/>
      </c>
      <c r="P4331" s="6">
        <f>IF(M4331&gt;0,D4331,"")</f>
        <v/>
      </c>
      <c r="Q4331" s="9">
        <f>I4331+O4331</f>
        <v/>
      </c>
      <c r="R4331" s="7">
        <f>Q4331*G4331</f>
        <v/>
      </c>
      <c r="S4331" s="8">
        <f>IF($R$4341=0,0,R4331/$R$4341)</f>
        <v/>
      </c>
      <c r="T4331" s="8" t="n">
        <v>0.009631728212575963</v>
      </c>
      <c r="U4331" s="8" t="n">
        <v>-0.002411759887791409</v>
      </c>
      <c r="V4331" s="6" t="inlineStr">
        <is>
          <t>not selected</t>
        </is>
      </c>
    </row>
    <row r="4332">
      <c r="A4332" s="6" t="inlineStr">
        <is>
          <t>DJ30</t>
        </is>
      </c>
      <c r="B4332" s="6" t="inlineStr">
        <is>
          <t>2025-09-05</t>
        </is>
      </c>
      <c r="C4332" s="6" t="inlineStr">
        <is>
          <t>DIA</t>
        </is>
      </c>
      <c r="D4332" s="6" t="inlineStr">
        <is>
          <t>NKE</t>
        </is>
      </c>
      <c r="E4332" s="6" t="inlineStr">
        <is>
          <t>NKE</t>
        </is>
      </c>
      <c r="F4332" s="6" t="inlineStr">
        <is>
          <t>-</t>
        </is>
      </c>
      <c r="G4332" s="7" t="n">
        <v>72.30984497070312</v>
      </c>
      <c r="H4332" s="6">
        <f>P4301</f>
        <v/>
      </c>
      <c r="I4332" s="9">
        <f>Q4301</f>
        <v/>
      </c>
      <c r="J4332" s="7">
        <f>I4332*G4332</f>
        <v/>
      </c>
      <c r="K4332" s="8">
        <f>IF($J$4341=0,0,J4332/$J$4341)</f>
        <v/>
      </c>
      <c r="L4332" s="6" t="inlineStr">
        <is>
          <t>REJECTED</t>
        </is>
      </c>
      <c r="M4332" s="8" t="n">
        <v>0</v>
      </c>
      <c r="N4332" s="7">
        <f>M4332*$J$4341-J4332</f>
        <v/>
      </c>
      <c r="O4332" s="9">
        <f>IF(G4332=0,0,N4332/G4332)</f>
        <v/>
      </c>
      <c r="P4332" s="6">
        <f>IF(M4332&gt;0,D4332,"")</f>
        <v/>
      </c>
      <c r="Q4332" s="9">
        <f>I4332+O4332</f>
        <v/>
      </c>
      <c r="R4332" s="7">
        <f>Q4332*G4332</f>
        <v/>
      </c>
      <c r="S4332" s="8">
        <f>IF($R$4341=0,0,R4332/$R$4341)</f>
        <v/>
      </c>
      <c r="T4332" s="8" t="n">
        <v>0.009631728212575963</v>
      </c>
      <c r="U4332" s="8" t="n">
        <v>-0.002411759887791409</v>
      </c>
      <c r="V4332" s="6" t="inlineStr">
        <is>
          <t>not selected</t>
        </is>
      </c>
    </row>
    <row r="4333">
      <c r="A4333" s="6" t="inlineStr">
        <is>
          <t>DJ30</t>
        </is>
      </c>
      <c r="B4333" s="6" t="inlineStr">
        <is>
          <t>2025-09-05</t>
        </is>
      </c>
      <c r="C4333" s="6" t="inlineStr">
        <is>
          <t>DIA</t>
        </is>
      </c>
      <c r="D4333" s="6" t="inlineStr">
        <is>
          <t>NVDA</t>
        </is>
      </c>
      <c r="E4333" s="6" t="inlineStr">
        <is>
          <t>NVDA</t>
        </is>
      </c>
      <c r="F4333" s="6" t="inlineStr">
        <is>
          <t>-</t>
        </is>
      </c>
      <c r="G4333" s="7" t="n">
        <v>166.7978515625</v>
      </c>
      <c r="H4333" s="6">
        <f>P4302</f>
        <v/>
      </c>
      <c r="I4333" s="9">
        <f>Q4302</f>
        <v/>
      </c>
      <c r="J4333" s="7">
        <f>I4333*G4333</f>
        <v/>
      </c>
      <c r="K4333" s="8">
        <f>IF($J$4341=0,0,J4333/$J$4341)</f>
        <v/>
      </c>
      <c r="L4333" s="6" t="inlineStr">
        <is>
          <t>REJECTED</t>
        </is>
      </c>
      <c r="M4333" s="8" t="n">
        <v>0</v>
      </c>
      <c r="N4333" s="7">
        <f>M4333*$J$4341-J4333</f>
        <v/>
      </c>
      <c r="O4333" s="9">
        <f>IF(G4333=0,0,N4333/G4333)</f>
        <v/>
      </c>
      <c r="P4333" s="6">
        <f>IF(M4333&gt;0,D4333,"")</f>
        <v/>
      </c>
      <c r="Q4333" s="9">
        <f>I4333+O4333</f>
        <v/>
      </c>
      <c r="R4333" s="7">
        <f>Q4333*G4333</f>
        <v/>
      </c>
      <c r="S4333" s="8">
        <f>IF($R$4341=0,0,R4333/$R$4341)</f>
        <v/>
      </c>
      <c r="T4333" s="8" t="n">
        <v>0.009631728212575963</v>
      </c>
      <c r="U4333" s="8" t="n">
        <v>-0.002411759887791409</v>
      </c>
      <c r="V4333" s="6" t="inlineStr">
        <is>
          <t>not selected</t>
        </is>
      </c>
    </row>
    <row r="4334">
      <c r="A4334" s="6" t="inlineStr">
        <is>
          <t>DJ30</t>
        </is>
      </c>
      <c r="B4334" s="6" t="inlineStr">
        <is>
          <t>2025-09-05</t>
        </is>
      </c>
      <c r="C4334" s="6" t="inlineStr">
        <is>
          <t>DIA</t>
        </is>
      </c>
      <c r="D4334" s="6" t="inlineStr">
        <is>
          <t>PG</t>
        </is>
      </c>
      <c r="E4334" s="6" t="inlineStr">
        <is>
          <t>PG</t>
        </is>
      </c>
      <c r="F4334" s="6" t="inlineStr">
        <is>
          <t>-</t>
        </is>
      </c>
      <c r="G4334" s="7" t="n">
        <v>156.6091918945312</v>
      </c>
      <c r="H4334" s="6">
        <f>P4303</f>
        <v/>
      </c>
      <c r="I4334" s="9">
        <f>Q4303</f>
        <v/>
      </c>
      <c r="J4334" s="7">
        <f>I4334*G4334</f>
        <v/>
      </c>
      <c r="K4334" s="8">
        <f>IF($J$4341=0,0,J4334/$J$4341)</f>
        <v/>
      </c>
      <c r="L4334" s="6" t="inlineStr">
        <is>
          <t>REJECTED</t>
        </is>
      </c>
      <c r="M4334" s="8" t="n">
        <v>0</v>
      </c>
      <c r="N4334" s="7">
        <f>M4334*$J$4341-J4334</f>
        <v/>
      </c>
      <c r="O4334" s="9">
        <f>IF(G4334=0,0,N4334/G4334)</f>
        <v/>
      </c>
      <c r="P4334" s="6">
        <f>IF(M4334&gt;0,D4334,"")</f>
        <v/>
      </c>
      <c r="Q4334" s="9">
        <f>I4334+O4334</f>
        <v/>
      </c>
      <c r="R4334" s="7">
        <f>Q4334*G4334</f>
        <v/>
      </c>
      <c r="S4334" s="8">
        <f>IF($R$4341=0,0,R4334/$R$4341)</f>
        <v/>
      </c>
      <c r="T4334" s="8" t="n">
        <v>0.009631728212575963</v>
      </c>
      <c r="U4334" s="8" t="n">
        <v>-0.002411759887791409</v>
      </c>
      <c r="V4334" s="6" t="inlineStr">
        <is>
          <t>not selected</t>
        </is>
      </c>
    </row>
    <row r="4335">
      <c r="A4335" s="6" t="inlineStr">
        <is>
          <t>DJ30</t>
        </is>
      </c>
      <c r="B4335" s="6" t="inlineStr">
        <is>
          <t>2025-09-05</t>
        </is>
      </c>
      <c r="C4335" s="6" t="inlineStr">
        <is>
          <t>DIA</t>
        </is>
      </c>
      <c r="D4335" s="6" t="inlineStr">
        <is>
          <t>SHW</t>
        </is>
      </c>
      <c r="E4335" s="6" t="inlineStr">
        <is>
          <t>SHW</t>
        </is>
      </c>
      <c r="F4335" s="6" t="inlineStr">
        <is>
          <t>-</t>
        </is>
      </c>
      <c r="G4335" s="7" t="n">
        <v>369.7831115722656</v>
      </c>
      <c r="H4335" s="6">
        <f>P4304</f>
        <v/>
      </c>
      <c r="I4335" s="9">
        <f>Q4304</f>
        <v/>
      </c>
      <c r="J4335" s="7">
        <f>I4335*G4335</f>
        <v/>
      </c>
      <c r="K4335" s="8">
        <f>IF($J$4341=0,0,J4335/$J$4341)</f>
        <v/>
      </c>
      <c r="L4335" s="6" t="inlineStr">
        <is>
          <t>REJECTED</t>
        </is>
      </c>
      <c r="M4335" s="8" t="n">
        <v>0</v>
      </c>
      <c r="N4335" s="7">
        <f>M4335*$J$4341-J4335</f>
        <v/>
      </c>
      <c r="O4335" s="9">
        <f>IF(G4335=0,0,N4335/G4335)</f>
        <v/>
      </c>
      <c r="P4335" s="6">
        <f>IF(M4335&gt;0,D4335,"")</f>
        <v/>
      </c>
      <c r="Q4335" s="9">
        <f>I4335+O4335</f>
        <v/>
      </c>
      <c r="R4335" s="7">
        <f>Q4335*G4335</f>
        <v/>
      </c>
      <c r="S4335" s="8">
        <f>IF($R$4341=0,0,R4335/$R$4341)</f>
        <v/>
      </c>
      <c r="T4335" s="8" t="n">
        <v>0.009631728212575963</v>
      </c>
      <c r="U4335" s="8" t="n">
        <v>-0.002411759887791409</v>
      </c>
      <c r="V4335" s="6" t="inlineStr">
        <is>
          <t>not selected</t>
        </is>
      </c>
    </row>
    <row r="4336">
      <c r="A4336" s="6" t="inlineStr">
        <is>
          <t>DJ30</t>
        </is>
      </c>
      <c r="B4336" s="6" t="inlineStr">
        <is>
          <t>2025-09-05</t>
        </is>
      </c>
      <c r="C4336" s="6" t="inlineStr">
        <is>
          <t>DIA</t>
        </is>
      </c>
      <c r="D4336" s="6" t="inlineStr">
        <is>
          <t>TRV</t>
        </is>
      </c>
      <c r="E4336" s="6" t="inlineStr">
        <is>
          <t>TRV</t>
        </is>
      </c>
      <c r="F4336" s="6" t="inlineStr">
        <is>
          <t>-</t>
        </is>
      </c>
      <c r="G4336" s="7" t="n">
        <v>270.9100341796875</v>
      </c>
      <c r="H4336" s="6">
        <f>P4305</f>
        <v/>
      </c>
      <c r="I4336" s="9">
        <f>Q4305</f>
        <v/>
      </c>
      <c r="J4336" s="7">
        <f>I4336*G4336</f>
        <v/>
      </c>
      <c r="K4336" s="8">
        <f>IF($J$4341=0,0,J4336/$J$4341)</f>
        <v/>
      </c>
      <c r="L4336" s="6" t="inlineStr">
        <is>
          <t>SELECTED</t>
        </is>
      </c>
      <c r="M4336" s="8" t="n">
        <v>0.2</v>
      </c>
      <c r="N4336" s="7">
        <f>M4336*$J$4341-J4336</f>
        <v/>
      </c>
      <c r="O4336" s="9">
        <f>IF(G4336=0,0,N4336/G4336)</f>
        <v/>
      </c>
      <c r="P4336" s="6">
        <f>IF(M4336&gt;0,D4336,"")</f>
        <v/>
      </c>
      <c r="Q4336" s="9">
        <f>I4336+O4336</f>
        <v/>
      </c>
      <c r="R4336" s="7">
        <f>Q4336*G4336</f>
        <v/>
      </c>
      <c r="S4336" s="8">
        <f>IF($R$4341=0,0,R4336/$R$4341)</f>
        <v/>
      </c>
      <c r="T4336" s="8" t="n">
        <v>0.009631728212575963</v>
      </c>
      <c r="U4336" s="8" t="n">
        <v>-0.002411759887791409</v>
      </c>
      <c r="V4336" s="6" t="inlineStr">
        <is>
          <t>remained in weekly selection</t>
        </is>
      </c>
    </row>
    <row r="4337">
      <c r="A4337" s="6" t="inlineStr">
        <is>
          <t>DJ30</t>
        </is>
      </c>
      <c r="B4337" s="6" t="inlineStr">
        <is>
          <t>2025-09-05</t>
        </is>
      </c>
      <c r="C4337" s="6" t="inlineStr">
        <is>
          <t>DIA</t>
        </is>
      </c>
      <c r="D4337" s="6" t="inlineStr">
        <is>
          <t>UNH</t>
        </is>
      </c>
      <c r="E4337" s="6" t="inlineStr">
        <is>
          <t>UNH</t>
        </is>
      </c>
      <c r="F4337" s="6" t="inlineStr">
        <is>
          <t>-</t>
        </is>
      </c>
      <c r="G4337" s="7" t="n">
        <v>307.1636047363281</v>
      </c>
      <c r="H4337" s="6">
        <f>P4306</f>
        <v/>
      </c>
      <c r="I4337" s="9">
        <f>Q4306</f>
        <v/>
      </c>
      <c r="J4337" s="7">
        <f>I4337*G4337</f>
        <v/>
      </c>
      <c r="K4337" s="8">
        <f>IF($J$4341=0,0,J4337/$J$4341)</f>
        <v/>
      </c>
      <c r="L4337" s="6" t="inlineStr">
        <is>
          <t>REJECTED</t>
        </is>
      </c>
      <c r="M4337" s="8" t="n">
        <v>0</v>
      </c>
      <c r="N4337" s="7">
        <f>M4337*$J$4341-J4337</f>
        <v/>
      </c>
      <c r="O4337" s="9">
        <f>IF(G4337=0,0,N4337/G4337)</f>
        <v/>
      </c>
      <c r="P4337" s="6">
        <f>IF(M4337&gt;0,D4337,"")</f>
        <v/>
      </c>
      <c r="Q4337" s="9">
        <f>I4337+O4337</f>
        <v/>
      </c>
      <c r="R4337" s="7">
        <f>Q4337*G4337</f>
        <v/>
      </c>
      <c r="S4337" s="8">
        <f>IF($R$4341=0,0,R4337/$R$4341)</f>
        <v/>
      </c>
      <c r="T4337" s="8" t="n">
        <v>0.009631728212575963</v>
      </c>
      <c r="U4337" s="8" t="n">
        <v>-0.002411759887791409</v>
      </c>
      <c r="V4337" s="6" t="inlineStr">
        <is>
          <t>not selected</t>
        </is>
      </c>
    </row>
    <row r="4338">
      <c r="A4338" s="6" t="inlineStr">
        <is>
          <t>DJ30</t>
        </is>
      </c>
      <c r="B4338" s="6" t="inlineStr">
        <is>
          <t>2025-09-05</t>
        </is>
      </c>
      <c r="C4338" s="6" t="inlineStr">
        <is>
          <t>DIA</t>
        </is>
      </c>
      <c r="D4338" s="6" t="inlineStr">
        <is>
          <t>V</t>
        </is>
      </c>
      <c r="E4338" s="6" t="inlineStr">
        <is>
          <t>V</t>
        </is>
      </c>
      <c r="F4338" s="6" t="inlineStr">
        <is>
          <t>-</t>
        </is>
      </c>
      <c r="G4338" s="7" t="n">
        <v>341.1294250488281</v>
      </c>
      <c r="H4338" s="6">
        <f>P4307</f>
        <v/>
      </c>
      <c r="I4338" s="9">
        <f>Q4307</f>
        <v/>
      </c>
      <c r="J4338" s="7">
        <f>I4338*G4338</f>
        <v/>
      </c>
      <c r="K4338" s="8">
        <f>IF($J$4341=0,0,J4338/$J$4341)</f>
        <v/>
      </c>
      <c r="L4338" s="6" t="inlineStr">
        <is>
          <t>WATCHLIST</t>
        </is>
      </c>
      <c r="M4338" s="8" t="n">
        <v>0</v>
      </c>
      <c r="N4338" s="7">
        <f>M4338*$J$4341-J4338</f>
        <v/>
      </c>
      <c r="O4338" s="9">
        <f>IF(G4338=0,0,N4338/G4338)</f>
        <v/>
      </c>
      <c r="P4338" s="6">
        <f>IF(M4338&gt;0,D4338,"")</f>
        <v/>
      </c>
      <c r="Q4338" s="9">
        <f>I4338+O4338</f>
        <v/>
      </c>
      <c r="R4338" s="7">
        <f>Q4338*G4338</f>
        <v/>
      </c>
      <c r="S4338" s="8">
        <f>IF($R$4341=0,0,R4338/$R$4341)</f>
        <v/>
      </c>
      <c r="T4338" s="8" t="n">
        <v>0.009631728212575963</v>
      </c>
      <c r="U4338" s="8" t="n">
        <v>-0.002411759887791409</v>
      </c>
      <c r="V4338" s="6" t="inlineStr">
        <is>
          <t>not selected</t>
        </is>
      </c>
    </row>
    <row r="4339">
      <c r="A4339" s="6" t="inlineStr">
        <is>
          <t>DJ30</t>
        </is>
      </c>
      <c r="B4339" s="6" t="inlineStr">
        <is>
          <t>2025-09-05</t>
        </is>
      </c>
      <c r="C4339" s="6" t="inlineStr">
        <is>
          <t>DIA</t>
        </is>
      </c>
      <c r="D4339" s="6" t="inlineStr">
        <is>
          <t>VZ</t>
        </is>
      </c>
      <c r="E4339" s="6" t="inlineStr">
        <is>
          <t>VZ</t>
        </is>
      </c>
      <c r="F4339" s="6" t="inlineStr">
        <is>
          <t>-</t>
        </is>
      </c>
      <c r="G4339" s="7" t="n">
        <v>42.25046920776367</v>
      </c>
      <c r="H4339" s="6">
        <f>P4308</f>
        <v/>
      </c>
      <c r="I4339" s="9">
        <f>Q4308</f>
        <v/>
      </c>
      <c r="J4339" s="7">
        <f>I4339*G4339</f>
        <v/>
      </c>
      <c r="K4339" s="8">
        <f>IF($J$4341=0,0,J4339/$J$4341)</f>
        <v/>
      </c>
      <c r="L4339" s="6" t="inlineStr">
        <is>
          <t>SELECTED</t>
        </is>
      </c>
      <c r="M4339" s="8" t="n">
        <v>0.2</v>
      </c>
      <c r="N4339" s="7">
        <f>M4339*$J$4341-J4339</f>
        <v/>
      </c>
      <c r="O4339" s="9">
        <f>IF(G4339=0,0,N4339/G4339)</f>
        <v/>
      </c>
      <c r="P4339" s="6">
        <f>IF(M4339&gt;0,D4339,"")</f>
        <v/>
      </c>
      <c r="Q4339" s="9">
        <f>I4339+O4339</f>
        <v/>
      </c>
      <c r="R4339" s="7">
        <f>Q4339*G4339</f>
        <v/>
      </c>
      <c r="S4339" s="8">
        <f>IF($R$4341=0,0,R4339/$R$4341)</f>
        <v/>
      </c>
      <c r="T4339" s="8" t="n">
        <v>0.009631728212575963</v>
      </c>
      <c r="U4339" s="8" t="n">
        <v>-0.002411759887791409</v>
      </c>
      <c r="V4339" s="6" t="inlineStr">
        <is>
          <t>entered weekly selection</t>
        </is>
      </c>
    </row>
    <row r="4340">
      <c r="A4340" s="6" t="inlineStr">
        <is>
          <t>DJ30</t>
        </is>
      </c>
      <c r="B4340" s="6" t="inlineStr">
        <is>
          <t>2025-09-05</t>
        </is>
      </c>
      <c r="C4340" s="6" t="inlineStr">
        <is>
          <t>DIA</t>
        </is>
      </c>
      <c r="D4340" s="6" t="inlineStr">
        <is>
          <t>WMT</t>
        </is>
      </c>
      <c r="E4340" s="6" t="inlineStr">
        <is>
          <t>WMT</t>
        </is>
      </c>
      <c r="F4340" s="6" t="inlineStr">
        <is>
          <t>-</t>
        </is>
      </c>
      <c r="G4340" s="7" t="n">
        <v>99.90943145751952</v>
      </c>
      <c r="H4340" s="6">
        <f>P4309</f>
        <v/>
      </c>
      <c r="I4340" s="9">
        <f>Q4309</f>
        <v/>
      </c>
      <c r="J4340" s="7">
        <f>I4340*G4340</f>
        <v/>
      </c>
      <c r="K4340" s="8">
        <f>IF($J$4341=0,0,J4340/$J$4341)</f>
        <v/>
      </c>
      <c r="L4340" s="6" t="inlineStr">
        <is>
          <t>SELECTED</t>
        </is>
      </c>
      <c r="M4340" s="8" t="n">
        <v>0.2</v>
      </c>
      <c r="N4340" s="7">
        <f>M4340*$J$4341-J4340</f>
        <v/>
      </c>
      <c r="O4340" s="9">
        <f>IF(G4340=0,0,N4340/G4340)</f>
        <v/>
      </c>
      <c r="P4340" s="6">
        <f>IF(M4340&gt;0,D4340,"")</f>
        <v/>
      </c>
      <c r="Q4340" s="9">
        <f>I4340+O4340</f>
        <v/>
      </c>
      <c r="R4340" s="7">
        <f>Q4340*G4340</f>
        <v/>
      </c>
      <c r="S4340" s="8">
        <f>IF($R$4341=0,0,R4340/$R$4341)</f>
        <v/>
      </c>
      <c r="T4340" s="8" t="n">
        <v>0.009631728212575963</v>
      </c>
      <c r="U4340" s="8" t="n">
        <v>-0.002411759887791409</v>
      </c>
      <c r="V4340" s="6" t="inlineStr">
        <is>
          <t>remained in weekly selection</t>
        </is>
      </c>
    </row>
    <row r="4341">
      <c r="A4341" s="10" t="inlineStr">
        <is>
          <t>DJ30</t>
        </is>
      </c>
      <c r="B4341" s="10" t="inlineStr">
        <is>
          <t>2025-09-05</t>
        </is>
      </c>
      <c r="C4341" s="10" t="inlineStr">
        <is>
          <t>DIA</t>
        </is>
      </c>
      <c r="D4341" s="10" t="inlineStr">
        <is>
          <t>Tot Portfolio</t>
        </is>
      </c>
      <c r="E4341" s="10" t="inlineStr"/>
      <c r="F4341" s="10" t="inlineStr"/>
      <c r="G4341" s="11" t="inlineStr"/>
      <c r="H4341" s="10" t="inlineStr"/>
      <c r="I4341" s="12" t="inlineStr"/>
      <c r="J4341" s="11">
        <f>SUM(J4311:J4340)</f>
        <v/>
      </c>
      <c r="K4341" s="13">
        <f>SUM(K4311:K4340)</f>
        <v/>
      </c>
      <c r="L4341" s="10" t="inlineStr">
        <is>
          <t>TOTAL</t>
        </is>
      </c>
      <c r="M4341" s="13">
        <f>SUM(M4311:M4340)</f>
        <v/>
      </c>
      <c r="N4341" s="11">
        <f>SUM(N4311:N4340)</f>
        <v/>
      </c>
      <c r="O4341" s="12">
        <f>SUM(O4311:O4340)</f>
        <v/>
      </c>
      <c r="P4341" s="10" t="inlineStr"/>
      <c r="Q4341" s="12" t="inlineStr"/>
      <c r="R4341" s="11">
        <f>SUM(R4311:R4340)</f>
        <v/>
      </c>
      <c r="S4341" s="13">
        <f>SUM(S4311:S4340)</f>
        <v/>
      </c>
      <c r="T4341" s="13" t="n">
        <v>0.009631728212575963</v>
      </c>
      <c r="U4341" s="13" t="n">
        <v>-0.002411759887791409</v>
      </c>
      <c r="V4341" s="10" t="inlineStr"/>
    </row>
    <row r="4342">
      <c r="A4342" s="6" t="inlineStr">
        <is>
          <t>DJ30</t>
        </is>
      </c>
      <c r="B4342" s="6" t="inlineStr">
        <is>
          <t>2025-09-12</t>
        </is>
      </c>
      <c r="C4342" s="6" t="inlineStr">
        <is>
          <t>DIA</t>
        </is>
      </c>
      <c r="D4342" s="6" t="inlineStr">
        <is>
          <t>AAPL</t>
        </is>
      </c>
      <c r="E4342" s="6" t="inlineStr">
        <is>
          <t>AAPL</t>
        </is>
      </c>
      <c r="F4342" s="6" t="inlineStr">
        <is>
          <t>-</t>
        </is>
      </c>
      <c r="G4342" s="7" t="n">
        <v>233.409683227539</v>
      </c>
      <c r="H4342" s="6">
        <f>P4311</f>
        <v/>
      </c>
      <c r="I4342" s="9">
        <f>Q4311</f>
        <v/>
      </c>
      <c r="J4342" s="7">
        <f>I4342*G4342</f>
        <v/>
      </c>
      <c r="K4342" s="8">
        <f>IF($J$4372=0,0,J4342/$J$4372)</f>
        <v/>
      </c>
      <c r="L4342" s="6" t="inlineStr">
        <is>
          <t>REJECTED</t>
        </is>
      </c>
      <c r="M4342" s="8" t="n">
        <v>0</v>
      </c>
      <c r="N4342" s="7">
        <f>M4342*$J$4372-J4342</f>
        <v/>
      </c>
      <c r="O4342" s="9">
        <f>IF(G4342=0,0,N4342/G4342)</f>
        <v/>
      </c>
      <c r="P4342" s="6">
        <f>IF(M4342&gt;0,D4342,"")</f>
        <v/>
      </c>
      <c r="Q4342" s="9">
        <f>I4342+O4342</f>
        <v/>
      </c>
      <c r="R4342" s="7">
        <f>Q4342*G4342</f>
        <v/>
      </c>
      <c r="S4342" s="8">
        <f>IF($R$4372=0,0,R4342/$R$4372)</f>
        <v/>
      </c>
      <c r="T4342" s="8" t="n">
        <v>-0.00035946819403887</v>
      </c>
      <c r="U4342" s="8" t="n">
        <v>0.009516694809533766</v>
      </c>
      <c r="V4342" s="6" t="inlineStr">
        <is>
          <t>not selected</t>
        </is>
      </c>
    </row>
    <row r="4343">
      <c r="A4343" s="6" t="inlineStr">
        <is>
          <t>DJ30</t>
        </is>
      </c>
      <c r="B4343" s="6" t="inlineStr">
        <is>
          <t>2025-09-12</t>
        </is>
      </c>
      <c r="C4343" s="6" t="inlineStr">
        <is>
          <t>DIA</t>
        </is>
      </c>
      <c r="D4343" s="6" t="inlineStr">
        <is>
          <t>AMGN</t>
        </is>
      </c>
      <c r="E4343" s="6" t="inlineStr">
        <is>
          <t>AMGN</t>
        </is>
      </c>
      <c r="F4343" s="6" t="inlineStr">
        <is>
          <t>-</t>
        </is>
      </c>
      <c r="G4343" s="7" t="n">
        <v>270.50146484375</v>
      </c>
      <c r="H4343" s="6">
        <f>P4312</f>
        <v/>
      </c>
      <c r="I4343" s="9">
        <f>Q4312</f>
        <v/>
      </c>
      <c r="J4343" s="7">
        <f>I4343*G4343</f>
        <v/>
      </c>
      <c r="K4343" s="8">
        <f>IF($J$4372=0,0,J4343/$J$4372)</f>
        <v/>
      </c>
      <c r="L4343" s="6" t="inlineStr">
        <is>
          <t>REJECTED</t>
        </is>
      </c>
      <c r="M4343" s="8" t="n">
        <v>0</v>
      </c>
      <c r="N4343" s="7">
        <f>M4343*$J$4372-J4343</f>
        <v/>
      </c>
      <c r="O4343" s="9">
        <f>IF(G4343=0,0,N4343/G4343)</f>
        <v/>
      </c>
      <c r="P4343" s="6">
        <f>IF(M4343&gt;0,D4343,"")</f>
        <v/>
      </c>
      <c r="Q4343" s="9">
        <f>I4343+O4343</f>
        <v/>
      </c>
      <c r="R4343" s="7">
        <f>Q4343*G4343</f>
        <v/>
      </c>
      <c r="S4343" s="8">
        <f>IF($R$4372=0,0,R4343/$R$4372)</f>
        <v/>
      </c>
      <c r="T4343" s="8" t="n">
        <v>-0.00035946819403887</v>
      </c>
      <c r="U4343" s="8" t="n">
        <v>0.009516694809533766</v>
      </c>
      <c r="V4343" s="6" t="inlineStr">
        <is>
          <t>not selected</t>
        </is>
      </c>
    </row>
    <row r="4344">
      <c r="A4344" s="6" t="inlineStr">
        <is>
          <t>DJ30</t>
        </is>
      </c>
      <c r="B4344" s="6" t="inlineStr">
        <is>
          <t>2025-09-12</t>
        </is>
      </c>
      <c r="C4344" s="6" t="inlineStr">
        <is>
          <t>DIA</t>
        </is>
      </c>
      <c r="D4344" s="6" t="inlineStr">
        <is>
          <t>AMZN</t>
        </is>
      </c>
      <c r="E4344" s="6" t="inlineStr">
        <is>
          <t>AMZN</t>
        </is>
      </c>
      <c r="F4344" s="6" t="inlineStr">
        <is>
          <t>-</t>
        </is>
      </c>
      <c r="G4344" s="7" t="n">
        <v>228.1499938964844</v>
      </c>
      <c r="H4344" s="6">
        <f>P4313</f>
        <v/>
      </c>
      <c r="I4344" s="9">
        <f>Q4313</f>
        <v/>
      </c>
      <c r="J4344" s="7">
        <f>I4344*G4344</f>
        <v/>
      </c>
      <c r="K4344" s="8">
        <f>IF($J$4372=0,0,J4344/$J$4372)</f>
        <v/>
      </c>
      <c r="L4344" s="6" t="inlineStr">
        <is>
          <t>REJECTED</t>
        </is>
      </c>
      <c r="M4344" s="8" t="n">
        <v>0</v>
      </c>
      <c r="N4344" s="7">
        <f>M4344*$J$4372-J4344</f>
        <v/>
      </c>
      <c r="O4344" s="9">
        <f>IF(G4344=0,0,N4344/G4344)</f>
        <v/>
      </c>
      <c r="P4344" s="6">
        <f>IF(M4344&gt;0,D4344,"")</f>
        <v/>
      </c>
      <c r="Q4344" s="9">
        <f>I4344+O4344</f>
        <v/>
      </c>
      <c r="R4344" s="7">
        <f>Q4344*G4344</f>
        <v/>
      </c>
      <c r="S4344" s="8">
        <f>IF($R$4372=0,0,R4344/$R$4372)</f>
        <v/>
      </c>
      <c r="T4344" s="8" t="n">
        <v>-0.00035946819403887</v>
      </c>
      <c r="U4344" s="8" t="n">
        <v>0.009516694809533766</v>
      </c>
      <c r="V4344" s="6" t="inlineStr">
        <is>
          <t>not selected</t>
        </is>
      </c>
    </row>
    <row r="4345">
      <c r="A4345" s="6" t="inlineStr">
        <is>
          <t>DJ30</t>
        </is>
      </c>
      <c r="B4345" s="6" t="inlineStr">
        <is>
          <t>2025-09-12</t>
        </is>
      </c>
      <c r="C4345" s="6" t="inlineStr">
        <is>
          <t>DIA</t>
        </is>
      </c>
      <c r="D4345" s="6" t="inlineStr">
        <is>
          <t>AXP</t>
        </is>
      </c>
      <c r="E4345" s="6" t="inlineStr">
        <is>
          <t>AXP</t>
        </is>
      </c>
      <c r="F4345" s="6" t="inlineStr">
        <is>
          <t>-</t>
        </is>
      </c>
      <c r="G4345" s="7" t="n">
        <v>322.7482604980469</v>
      </c>
      <c r="H4345" s="6">
        <f>P4314</f>
        <v/>
      </c>
      <c r="I4345" s="9">
        <f>Q4314</f>
        <v/>
      </c>
      <c r="J4345" s="7">
        <f>I4345*G4345</f>
        <v/>
      </c>
      <c r="K4345" s="8">
        <f>IF($J$4372=0,0,J4345/$J$4372)</f>
        <v/>
      </c>
      <c r="L4345" s="6" t="inlineStr">
        <is>
          <t>REJECTED</t>
        </is>
      </c>
      <c r="M4345" s="8" t="n">
        <v>0</v>
      </c>
      <c r="N4345" s="7">
        <f>M4345*$J$4372-J4345</f>
        <v/>
      </c>
      <c r="O4345" s="9">
        <f>IF(G4345=0,0,N4345/G4345)</f>
        <v/>
      </c>
      <c r="P4345" s="6">
        <f>IF(M4345&gt;0,D4345,"")</f>
        <v/>
      </c>
      <c r="Q4345" s="9">
        <f>I4345+O4345</f>
        <v/>
      </c>
      <c r="R4345" s="7">
        <f>Q4345*G4345</f>
        <v/>
      </c>
      <c r="S4345" s="8">
        <f>IF($R$4372=0,0,R4345/$R$4372)</f>
        <v/>
      </c>
      <c r="T4345" s="8" t="n">
        <v>-0.00035946819403887</v>
      </c>
      <c r="U4345" s="8" t="n">
        <v>0.009516694809533766</v>
      </c>
      <c r="V4345" s="6" t="inlineStr">
        <is>
          <t>not selected</t>
        </is>
      </c>
    </row>
    <row r="4346">
      <c r="A4346" s="6" t="inlineStr">
        <is>
          <t>DJ30</t>
        </is>
      </c>
      <c r="B4346" s="6" t="inlineStr">
        <is>
          <t>2025-09-12</t>
        </is>
      </c>
      <c r="C4346" s="6" t="inlineStr">
        <is>
          <t>DIA</t>
        </is>
      </c>
      <c r="D4346" s="6" t="inlineStr">
        <is>
          <t>BA</t>
        </is>
      </c>
      <c r="E4346" s="6" t="inlineStr">
        <is>
          <t>BA</t>
        </is>
      </c>
      <c r="F4346" s="6" t="inlineStr">
        <is>
          <t>-</t>
        </is>
      </c>
      <c r="G4346" s="7" t="n">
        <v>215.9400024414062</v>
      </c>
      <c r="H4346" s="6">
        <f>P4315</f>
        <v/>
      </c>
      <c r="I4346" s="9">
        <f>Q4315</f>
        <v/>
      </c>
      <c r="J4346" s="7">
        <f>I4346*G4346</f>
        <v/>
      </c>
      <c r="K4346" s="8">
        <f>IF($J$4372=0,0,J4346/$J$4372)</f>
        <v/>
      </c>
      <c r="L4346" s="6" t="inlineStr">
        <is>
          <t>SELECTED</t>
        </is>
      </c>
      <c r="M4346" s="8" t="n">
        <v>0.2</v>
      </c>
      <c r="N4346" s="7">
        <f>M4346*$J$4372-J4346</f>
        <v/>
      </c>
      <c r="O4346" s="9">
        <f>IF(G4346=0,0,N4346/G4346)</f>
        <v/>
      </c>
      <c r="P4346" s="6">
        <f>IF(M4346&gt;0,D4346,"")</f>
        <v/>
      </c>
      <c r="Q4346" s="9">
        <f>I4346+O4346</f>
        <v/>
      </c>
      <c r="R4346" s="7">
        <f>Q4346*G4346</f>
        <v/>
      </c>
      <c r="S4346" s="8">
        <f>IF($R$4372=0,0,R4346/$R$4372)</f>
        <v/>
      </c>
      <c r="T4346" s="8" t="n">
        <v>-0.00035946819403887</v>
      </c>
      <c r="U4346" s="8" t="n">
        <v>0.009516694809533766</v>
      </c>
      <c r="V4346" s="6" t="inlineStr">
        <is>
          <t>remained in weekly selection</t>
        </is>
      </c>
    </row>
    <row r="4347">
      <c r="A4347" s="6" t="inlineStr">
        <is>
          <t>DJ30</t>
        </is>
      </c>
      <c r="B4347" s="6" t="inlineStr">
        <is>
          <t>2025-09-12</t>
        </is>
      </c>
      <c r="C4347" s="6" t="inlineStr">
        <is>
          <t>DIA</t>
        </is>
      </c>
      <c r="D4347" s="6" t="inlineStr">
        <is>
          <t>CAT</t>
        </is>
      </c>
      <c r="E4347" s="6" t="inlineStr">
        <is>
          <t>CAT</t>
        </is>
      </c>
      <c r="F4347" s="6" t="inlineStr">
        <is>
          <t>-</t>
        </is>
      </c>
      <c r="G4347" s="7" t="n">
        <v>428.4636535644531</v>
      </c>
      <c r="H4347" s="6">
        <f>P4316</f>
        <v/>
      </c>
      <c r="I4347" s="9">
        <f>Q4316</f>
        <v/>
      </c>
      <c r="J4347" s="7">
        <f>I4347*G4347</f>
        <v/>
      </c>
      <c r="K4347" s="8">
        <f>IF($J$4372=0,0,J4347/$J$4372)</f>
        <v/>
      </c>
      <c r="L4347" s="6" t="inlineStr">
        <is>
          <t>REJECTED</t>
        </is>
      </c>
      <c r="M4347" s="8" t="n">
        <v>0</v>
      </c>
      <c r="N4347" s="7">
        <f>M4347*$J$4372-J4347</f>
        <v/>
      </c>
      <c r="O4347" s="9">
        <f>IF(G4347=0,0,N4347/G4347)</f>
        <v/>
      </c>
      <c r="P4347" s="6">
        <f>IF(M4347&gt;0,D4347,"")</f>
        <v/>
      </c>
      <c r="Q4347" s="9">
        <f>I4347+O4347</f>
        <v/>
      </c>
      <c r="R4347" s="7">
        <f>Q4347*G4347</f>
        <v/>
      </c>
      <c r="S4347" s="8">
        <f>IF($R$4372=0,0,R4347/$R$4372)</f>
        <v/>
      </c>
      <c r="T4347" s="8" t="n">
        <v>-0.00035946819403887</v>
      </c>
      <c r="U4347" s="8" t="n">
        <v>0.009516694809533766</v>
      </c>
      <c r="V4347" s="6" t="inlineStr">
        <is>
          <t>not selected</t>
        </is>
      </c>
    </row>
    <row r="4348">
      <c r="A4348" s="6" t="inlineStr">
        <is>
          <t>DJ30</t>
        </is>
      </c>
      <c r="B4348" s="6" t="inlineStr">
        <is>
          <t>2025-09-12</t>
        </is>
      </c>
      <c r="C4348" s="6" t="inlineStr">
        <is>
          <t>DIA</t>
        </is>
      </c>
      <c r="D4348" s="6" t="inlineStr">
        <is>
          <t>CRM</t>
        </is>
      </c>
      <c r="E4348" s="6" t="inlineStr">
        <is>
          <t>CRM</t>
        </is>
      </c>
      <c r="F4348" s="6" t="inlineStr">
        <is>
          <t>-</t>
        </is>
      </c>
      <c r="G4348" s="7" t="n">
        <v>240.7225799560547</v>
      </c>
      <c r="H4348" s="6">
        <f>P4317</f>
        <v/>
      </c>
      <c r="I4348" s="9">
        <f>Q4317</f>
        <v/>
      </c>
      <c r="J4348" s="7">
        <f>I4348*G4348</f>
        <v/>
      </c>
      <c r="K4348" s="8">
        <f>IF($J$4372=0,0,J4348/$J$4372)</f>
        <v/>
      </c>
      <c r="L4348" s="6" t="inlineStr">
        <is>
          <t>REJECTED</t>
        </is>
      </c>
      <c r="M4348" s="8" t="n">
        <v>0</v>
      </c>
      <c r="N4348" s="7">
        <f>M4348*$J$4372-J4348</f>
        <v/>
      </c>
      <c r="O4348" s="9">
        <f>IF(G4348=0,0,N4348/G4348)</f>
        <v/>
      </c>
      <c r="P4348" s="6">
        <f>IF(M4348&gt;0,D4348,"")</f>
        <v/>
      </c>
      <c r="Q4348" s="9">
        <f>I4348+O4348</f>
        <v/>
      </c>
      <c r="R4348" s="7">
        <f>Q4348*G4348</f>
        <v/>
      </c>
      <c r="S4348" s="8">
        <f>IF($R$4372=0,0,R4348/$R$4372)</f>
        <v/>
      </c>
      <c r="T4348" s="8" t="n">
        <v>-0.00035946819403887</v>
      </c>
      <c r="U4348" s="8" t="n">
        <v>0.009516694809533766</v>
      </c>
      <c r="V4348" s="6" t="inlineStr">
        <is>
          <t>not selected</t>
        </is>
      </c>
    </row>
    <row r="4349">
      <c r="A4349" s="6" t="inlineStr">
        <is>
          <t>DJ30</t>
        </is>
      </c>
      <c r="B4349" s="6" t="inlineStr">
        <is>
          <t>2025-09-12</t>
        </is>
      </c>
      <c r="C4349" s="6" t="inlineStr">
        <is>
          <t>DIA</t>
        </is>
      </c>
      <c r="D4349" s="6" t="inlineStr">
        <is>
          <t>CSCO</t>
        </is>
      </c>
      <c r="E4349" s="6" t="inlineStr">
        <is>
          <t>CSCO</t>
        </is>
      </c>
      <c r="F4349" s="6" t="inlineStr">
        <is>
          <t>-</t>
        </is>
      </c>
      <c r="G4349" s="7" t="n">
        <v>65.42418670654297</v>
      </c>
      <c r="H4349" s="6">
        <f>P4318</f>
        <v/>
      </c>
      <c r="I4349" s="9">
        <f>Q4318</f>
        <v/>
      </c>
      <c r="J4349" s="7">
        <f>I4349*G4349</f>
        <v/>
      </c>
      <c r="K4349" s="8">
        <f>IF($J$4372=0,0,J4349/$J$4372)</f>
        <v/>
      </c>
      <c r="L4349" s="6" t="inlineStr">
        <is>
          <t>WATCHLIST</t>
        </is>
      </c>
      <c r="M4349" s="8" t="n">
        <v>0</v>
      </c>
      <c r="N4349" s="7">
        <f>M4349*$J$4372-J4349</f>
        <v/>
      </c>
      <c r="O4349" s="9">
        <f>IF(G4349=0,0,N4349/G4349)</f>
        <v/>
      </c>
      <c r="P4349" s="6">
        <f>IF(M4349&gt;0,D4349,"")</f>
        <v/>
      </c>
      <c r="Q4349" s="9">
        <f>I4349+O4349</f>
        <v/>
      </c>
      <c r="R4349" s="7">
        <f>Q4349*G4349</f>
        <v/>
      </c>
      <c r="S4349" s="8">
        <f>IF($R$4372=0,0,R4349/$R$4372)</f>
        <v/>
      </c>
      <c r="T4349" s="8" t="n">
        <v>-0.00035946819403887</v>
      </c>
      <c r="U4349" s="8" t="n">
        <v>0.009516694809533766</v>
      </c>
      <c r="V4349" s="6" t="inlineStr">
        <is>
          <t>not selected</t>
        </is>
      </c>
    </row>
    <row r="4350">
      <c r="A4350" s="6" t="inlineStr">
        <is>
          <t>DJ30</t>
        </is>
      </c>
      <c r="B4350" s="6" t="inlineStr">
        <is>
          <t>2025-09-12</t>
        </is>
      </c>
      <c r="C4350" s="6" t="inlineStr">
        <is>
          <t>DIA</t>
        </is>
      </c>
      <c r="D4350" s="6" t="inlineStr">
        <is>
          <t>CVX</t>
        </is>
      </c>
      <c r="E4350" s="6" t="inlineStr">
        <is>
          <t>CVX</t>
        </is>
      </c>
      <c r="F4350" s="6" t="inlineStr">
        <is>
          <t>-</t>
        </is>
      </c>
      <c r="G4350" s="7" t="n">
        <v>152.4729614257812</v>
      </c>
      <c r="H4350" s="6">
        <f>P4319</f>
        <v/>
      </c>
      <c r="I4350" s="9">
        <f>Q4319</f>
        <v/>
      </c>
      <c r="J4350" s="7">
        <f>I4350*G4350</f>
        <v/>
      </c>
      <c r="K4350" s="8">
        <f>IF($J$4372=0,0,J4350/$J$4372)</f>
        <v/>
      </c>
      <c r="L4350" s="6" t="inlineStr">
        <is>
          <t>REJECTED</t>
        </is>
      </c>
      <c r="M4350" s="8" t="n">
        <v>0</v>
      </c>
      <c r="N4350" s="7">
        <f>M4350*$J$4372-J4350</f>
        <v/>
      </c>
      <c r="O4350" s="9">
        <f>IF(G4350=0,0,N4350/G4350)</f>
        <v/>
      </c>
      <c r="P4350" s="6">
        <f>IF(M4350&gt;0,D4350,"")</f>
        <v/>
      </c>
      <c r="Q4350" s="9">
        <f>I4350+O4350</f>
        <v/>
      </c>
      <c r="R4350" s="7">
        <f>Q4350*G4350</f>
        <v/>
      </c>
      <c r="S4350" s="8">
        <f>IF($R$4372=0,0,R4350/$R$4372)</f>
        <v/>
      </c>
      <c r="T4350" s="8" t="n">
        <v>-0.00035946819403887</v>
      </c>
      <c r="U4350" s="8" t="n">
        <v>0.009516694809533766</v>
      </c>
      <c r="V4350" s="6" t="inlineStr">
        <is>
          <t>not selected</t>
        </is>
      </c>
    </row>
    <row r="4351">
      <c r="A4351" s="6" t="inlineStr">
        <is>
          <t>DJ30</t>
        </is>
      </c>
      <c r="B4351" s="6" t="inlineStr">
        <is>
          <t>2025-09-12</t>
        </is>
      </c>
      <c r="C4351" s="6" t="inlineStr">
        <is>
          <t>DIA</t>
        </is>
      </c>
      <c r="D4351" s="6" t="inlineStr">
        <is>
          <t>DIS</t>
        </is>
      </c>
      <c r="E4351" s="6" t="inlineStr">
        <is>
          <t>DIS</t>
        </is>
      </c>
      <c r="F4351" s="6" t="inlineStr">
        <is>
          <t>-</t>
        </is>
      </c>
      <c r="G4351" s="7" t="n">
        <v>115.1807022094727</v>
      </c>
      <c r="H4351" s="6">
        <f>P4320</f>
        <v/>
      </c>
      <c r="I4351" s="9">
        <f>Q4320</f>
        <v/>
      </c>
      <c r="J4351" s="7">
        <f>I4351*G4351</f>
        <v/>
      </c>
      <c r="K4351" s="8">
        <f>IF($J$4372=0,0,J4351/$J$4372)</f>
        <v/>
      </c>
      <c r="L4351" s="6" t="inlineStr">
        <is>
          <t>REJECTED</t>
        </is>
      </c>
      <c r="M4351" s="8" t="n">
        <v>0</v>
      </c>
      <c r="N4351" s="7">
        <f>M4351*$J$4372-J4351</f>
        <v/>
      </c>
      <c r="O4351" s="9">
        <f>IF(G4351=0,0,N4351/G4351)</f>
        <v/>
      </c>
      <c r="P4351" s="6">
        <f>IF(M4351&gt;0,D4351,"")</f>
        <v/>
      </c>
      <c r="Q4351" s="9">
        <f>I4351+O4351</f>
        <v/>
      </c>
      <c r="R4351" s="7">
        <f>Q4351*G4351</f>
        <v/>
      </c>
      <c r="S4351" s="8">
        <f>IF($R$4372=0,0,R4351/$R$4372)</f>
        <v/>
      </c>
      <c r="T4351" s="8" t="n">
        <v>-0.00035946819403887</v>
      </c>
      <c r="U4351" s="8" t="n">
        <v>0.009516694809533766</v>
      </c>
      <c r="V4351" s="6" t="inlineStr">
        <is>
          <t>not selected</t>
        </is>
      </c>
    </row>
    <row r="4352">
      <c r="A4352" s="6" t="inlineStr">
        <is>
          <t>DJ30</t>
        </is>
      </c>
      <c r="B4352" s="6" t="inlineStr">
        <is>
          <t>2025-09-12</t>
        </is>
      </c>
      <c r="C4352" s="6" t="inlineStr">
        <is>
          <t>DIA</t>
        </is>
      </c>
      <c r="D4352" s="6" t="inlineStr">
        <is>
          <t>GS</t>
        </is>
      </c>
      <c r="E4352" s="6" t="inlineStr">
        <is>
          <t>GS</t>
        </is>
      </c>
      <c r="F4352" s="6" t="inlineStr">
        <is>
          <t>-</t>
        </is>
      </c>
      <c r="G4352" s="7" t="n">
        <v>768.76025390625</v>
      </c>
      <c r="H4352" s="6">
        <f>P4321</f>
        <v/>
      </c>
      <c r="I4352" s="9">
        <f>Q4321</f>
        <v/>
      </c>
      <c r="J4352" s="7">
        <f>I4352*G4352</f>
        <v/>
      </c>
      <c r="K4352" s="8">
        <f>IF($J$4372=0,0,J4352/$J$4372)</f>
        <v/>
      </c>
      <c r="L4352" s="6" t="inlineStr">
        <is>
          <t>WATCHLIST</t>
        </is>
      </c>
      <c r="M4352" s="8" t="n">
        <v>0</v>
      </c>
      <c r="N4352" s="7">
        <f>M4352*$J$4372-J4352</f>
        <v/>
      </c>
      <c r="O4352" s="9">
        <f>IF(G4352=0,0,N4352/G4352)</f>
        <v/>
      </c>
      <c r="P4352" s="6">
        <f>IF(M4352&gt;0,D4352,"")</f>
        <v/>
      </c>
      <c r="Q4352" s="9">
        <f>I4352+O4352</f>
        <v/>
      </c>
      <c r="R4352" s="7">
        <f>Q4352*G4352</f>
        <v/>
      </c>
      <c r="S4352" s="8">
        <f>IF($R$4372=0,0,R4352/$R$4372)</f>
        <v/>
      </c>
      <c r="T4352" s="8" t="n">
        <v>-0.00035946819403887</v>
      </c>
      <c r="U4352" s="8" t="n">
        <v>0.009516694809533766</v>
      </c>
      <c r="V4352" s="6" t="inlineStr">
        <is>
          <t>not selected</t>
        </is>
      </c>
    </row>
    <row r="4353">
      <c r="A4353" s="6" t="inlineStr">
        <is>
          <t>DJ30</t>
        </is>
      </c>
      <c r="B4353" s="6" t="inlineStr">
        <is>
          <t>2025-09-12</t>
        </is>
      </c>
      <c r="C4353" s="6" t="inlineStr">
        <is>
          <t>DIA</t>
        </is>
      </c>
      <c r="D4353" s="6" t="inlineStr">
        <is>
          <t>HD</t>
        </is>
      </c>
      <c r="E4353" s="6" t="inlineStr">
        <is>
          <t>HD</t>
        </is>
      </c>
      <c r="F4353" s="6" t="inlineStr">
        <is>
          <t>-</t>
        </is>
      </c>
      <c r="G4353" s="7" t="n">
        <v>414.0787353515625</v>
      </c>
      <c r="H4353" s="6">
        <f>P4322</f>
        <v/>
      </c>
      <c r="I4353" s="9">
        <f>Q4322</f>
        <v/>
      </c>
      <c r="J4353" s="7">
        <f>I4353*G4353</f>
        <v/>
      </c>
      <c r="K4353" s="8">
        <f>IF($J$4372=0,0,J4353/$J$4372)</f>
        <v/>
      </c>
      <c r="L4353" s="6" t="inlineStr">
        <is>
          <t>REJECTED</t>
        </is>
      </c>
      <c r="M4353" s="8" t="n">
        <v>0</v>
      </c>
      <c r="N4353" s="7">
        <f>M4353*$J$4372-J4353</f>
        <v/>
      </c>
      <c r="O4353" s="9">
        <f>IF(G4353=0,0,N4353/G4353)</f>
        <v/>
      </c>
      <c r="P4353" s="6">
        <f>IF(M4353&gt;0,D4353,"")</f>
        <v/>
      </c>
      <c r="Q4353" s="9">
        <f>I4353+O4353</f>
        <v/>
      </c>
      <c r="R4353" s="7">
        <f>Q4353*G4353</f>
        <v/>
      </c>
      <c r="S4353" s="8">
        <f>IF($R$4372=0,0,R4353/$R$4372)</f>
        <v/>
      </c>
      <c r="T4353" s="8" t="n">
        <v>-0.00035946819403887</v>
      </c>
      <c r="U4353" s="8" t="n">
        <v>0.009516694809533766</v>
      </c>
      <c r="V4353" s="6" t="inlineStr">
        <is>
          <t>not selected</t>
        </is>
      </c>
    </row>
    <row r="4354">
      <c r="A4354" s="6" t="inlineStr">
        <is>
          <t>DJ30</t>
        </is>
      </c>
      <c r="B4354" s="6" t="inlineStr">
        <is>
          <t>2025-09-12</t>
        </is>
      </c>
      <c r="C4354" s="6" t="inlineStr">
        <is>
          <t>DIA</t>
        </is>
      </c>
      <c r="D4354" s="6" t="inlineStr">
        <is>
          <t>HON</t>
        </is>
      </c>
      <c r="E4354" s="6" t="inlineStr">
        <is>
          <t>HON</t>
        </is>
      </c>
      <c r="F4354" s="6" t="inlineStr">
        <is>
          <t>-</t>
        </is>
      </c>
      <c r="G4354" s="7" t="n">
        <v>196.0596923828125</v>
      </c>
      <c r="H4354" s="6">
        <f>P4323</f>
        <v/>
      </c>
      <c r="I4354" s="9">
        <f>Q4323</f>
        <v/>
      </c>
      <c r="J4354" s="7">
        <f>I4354*G4354</f>
        <v/>
      </c>
      <c r="K4354" s="8">
        <f>IF($J$4372=0,0,J4354/$J$4372)</f>
        <v/>
      </c>
      <c r="L4354" s="6" t="inlineStr">
        <is>
          <t>REJECTED</t>
        </is>
      </c>
      <c r="M4354" s="8" t="n">
        <v>0</v>
      </c>
      <c r="N4354" s="7">
        <f>M4354*$J$4372-J4354</f>
        <v/>
      </c>
      <c r="O4354" s="9">
        <f>IF(G4354=0,0,N4354/G4354)</f>
        <v/>
      </c>
      <c r="P4354" s="6">
        <f>IF(M4354&gt;0,D4354,"")</f>
        <v/>
      </c>
      <c r="Q4354" s="9">
        <f>I4354+O4354</f>
        <v/>
      </c>
      <c r="R4354" s="7">
        <f>Q4354*G4354</f>
        <v/>
      </c>
      <c r="S4354" s="8">
        <f>IF($R$4372=0,0,R4354/$R$4372)</f>
        <v/>
      </c>
      <c r="T4354" s="8" t="n">
        <v>-0.00035946819403887</v>
      </c>
      <c r="U4354" s="8" t="n">
        <v>0.009516694809533766</v>
      </c>
      <c r="V4354" s="6" t="inlineStr">
        <is>
          <t>not selected</t>
        </is>
      </c>
    </row>
    <row r="4355">
      <c r="A4355" s="6" t="inlineStr">
        <is>
          <t>DJ30</t>
        </is>
      </c>
      <c r="B4355" s="6" t="inlineStr">
        <is>
          <t>2025-09-12</t>
        </is>
      </c>
      <c r="C4355" s="6" t="inlineStr">
        <is>
          <t>DIA</t>
        </is>
      </c>
      <c r="D4355" s="6" t="inlineStr">
        <is>
          <t>IBM</t>
        </is>
      </c>
      <c r="E4355" s="6" t="inlineStr">
        <is>
          <t>IBM</t>
        </is>
      </c>
      <c r="F4355" s="6" t="inlineStr">
        <is>
          <t>-</t>
        </is>
      </c>
      <c r="G4355" s="7" t="n">
        <v>248.790267944336</v>
      </c>
      <c r="H4355" s="6">
        <f>P4324</f>
        <v/>
      </c>
      <c r="I4355" s="9">
        <f>Q4324</f>
        <v/>
      </c>
      <c r="J4355" s="7">
        <f>I4355*G4355</f>
        <v/>
      </c>
      <c r="K4355" s="8">
        <f>IF($J$4372=0,0,J4355/$J$4372)</f>
        <v/>
      </c>
      <c r="L4355" s="6" t="inlineStr">
        <is>
          <t>SELECTED</t>
        </is>
      </c>
      <c r="M4355" s="8" t="n">
        <v>0.2</v>
      </c>
      <c r="N4355" s="7">
        <f>M4355*$J$4372-J4355</f>
        <v/>
      </c>
      <c r="O4355" s="9">
        <f>IF(G4355=0,0,N4355/G4355)</f>
        <v/>
      </c>
      <c r="P4355" s="6">
        <f>IF(M4355&gt;0,D4355,"")</f>
        <v/>
      </c>
      <c r="Q4355" s="9">
        <f>I4355+O4355</f>
        <v/>
      </c>
      <c r="R4355" s="7">
        <f>Q4355*G4355</f>
        <v/>
      </c>
      <c r="S4355" s="8">
        <f>IF($R$4372=0,0,R4355/$R$4372)</f>
        <v/>
      </c>
      <c r="T4355" s="8" t="n">
        <v>-0.00035946819403887</v>
      </c>
      <c r="U4355" s="8" t="n">
        <v>0.009516694809533766</v>
      </c>
      <c r="V4355" s="6" t="inlineStr">
        <is>
          <t>remained in weekly selection</t>
        </is>
      </c>
    </row>
    <row r="4356">
      <c r="A4356" s="6" t="inlineStr">
        <is>
          <t>DJ30</t>
        </is>
      </c>
      <c r="B4356" s="6" t="inlineStr">
        <is>
          <t>2025-09-12</t>
        </is>
      </c>
      <c r="C4356" s="6" t="inlineStr">
        <is>
          <t>DIA</t>
        </is>
      </c>
      <c r="D4356" s="6" t="inlineStr">
        <is>
          <t>JNJ</t>
        </is>
      </c>
      <c r="E4356" s="6" t="inlineStr">
        <is>
          <t>JNJ</t>
        </is>
      </c>
      <c r="F4356" s="6" t="inlineStr">
        <is>
          <t>-</t>
        </is>
      </c>
      <c r="G4356" s="7" t="n">
        <v>174.9945373535156</v>
      </c>
      <c r="H4356" s="6">
        <f>P4325</f>
        <v/>
      </c>
      <c r="I4356" s="9">
        <f>Q4325</f>
        <v/>
      </c>
      <c r="J4356" s="7">
        <f>I4356*G4356</f>
        <v/>
      </c>
      <c r="K4356" s="8">
        <f>IF($J$4372=0,0,J4356/$J$4372)</f>
        <v/>
      </c>
      <c r="L4356" s="6" t="inlineStr">
        <is>
          <t>WATCHLIST</t>
        </is>
      </c>
      <c r="M4356" s="8" t="n">
        <v>0</v>
      </c>
      <c r="N4356" s="7">
        <f>M4356*$J$4372-J4356</f>
        <v/>
      </c>
      <c r="O4356" s="9">
        <f>IF(G4356=0,0,N4356/G4356)</f>
        <v/>
      </c>
      <c r="P4356" s="6">
        <f>IF(M4356&gt;0,D4356,"")</f>
        <v/>
      </c>
      <c r="Q4356" s="9">
        <f>I4356+O4356</f>
        <v/>
      </c>
      <c r="R4356" s="7">
        <f>Q4356*G4356</f>
        <v/>
      </c>
      <c r="S4356" s="8">
        <f>IF($R$4372=0,0,R4356/$R$4372)</f>
        <v/>
      </c>
      <c r="T4356" s="8" t="n">
        <v>-0.00035946819403887</v>
      </c>
      <c r="U4356" s="8" t="n">
        <v>0.009516694809533766</v>
      </c>
      <c r="V4356" s="6" t="inlineStr">
        <is>
          <t>not selected</t>
        </is>
      </c>
    </row>
    <row r="4357">
      <c r="A4357" s="6" t="inlineStr">
        <is>
          <t>DJ30</t>
        </is>
      </c>
      <c r="B4357" s="6" t="inlineStr">
        <is>
          <t>2025-09-12</t>
        </is>
      </c>
      <c r="C4357" s="6" t="inlineStr">
        <is>
          <t>DIA</t>
        </is>
      </c>
      <c r="D4357" s="6" t="inlineStr">
        <is>
          <t>JPM</t>
        </is>
      </c>
      <c r="E4357" s="6" t="inlineStr">
        <is>
          <t>JPM</t>
        </is>
      </c>
      <c r="F4357" s="6" t="inlineStr">
        <is>
          <t>-</t>
        </is>
      </c>
      <c r="G4357" s="7" t="n">
        <v>302.5054626464844</v>
      </c>
      <c r="H4357" s="6">
        <f>P4326</f>
        <v/>
      </c>
      <c r="I4357" s="9">
        <f>Q4326</f>
        <v/>
      </c>
      <c r="J4357" s="7">
        <f>I4357*G4357</f>
        <v/>
      </c>
      <c r="K4357" s="8">
        <f>IF($J$4372=0,0,J4357/$J$4372)</f>
        <v/>
      </c>
      <c r="L4357" s="6" t="inlineStr">
        <is>
          <t>WATCHLIST</t>
        </is>
      </c>
      <c r="M4357" s="8" t="n">
        <v>0</v>
      </c>
      <c r="N4357" s="7">
        <f>M4357*$J$4372-J4357</f>
        <v/>
      </c>
      <c r="O4357" s="9">
        <f>IF(G4357=0,0,N4357/G4357)</f>
        <v/>
      </c>
      <c r="P4357" s="6">
        <f>IF(M4357&gt;0,D4357,"")</f>
        <v/>
      </c>
      <c r="Q4357" s="9">
        <f>I4357+O4357</f>
        <v/>
      </c>
      <c r="R4357" s="7">
        <f>Q4357*G4357</f>
        <v/>
      </c>
      <c r="S4357" s="8">
        <f>IF($R$4372=0,0,R4357/$R$4372)</f>
        <v/>
      </c>
      <c r="T4357" s="8" t="n">
        <v>-0.00035946819403887</v>
      </c>
      <c r="U4357" s="8" t="n">
        <v>0.009516694809533766</v>
      </c>
      <c r="V4357" s="6" t="inlineStr">
        <is>
          <t>not selected</t>
        </is>
      </c>
    </row>
    <row r="4358">
      <c r="A4358" s="6" t="inlineStr">
        <is>
          <t>DJ30</t>
        </is>
      </c>
      <c r="B4358" s="6" t="inlineStr">
        <is>
          <t>2025-09-12</t>
        </is>
      </c>
      <c r="C4358" s="6" t="inlineStr">
        <is>
          <t>DIA</t>
        </is>
      </c>
      <c r="D4358" s="6" t="inlineStr">
        <is>
          <t>KO</t>
        </is>
      </c>
      <c r="E4358" s="6" t="inlineStr">
        <is>
          <t>KO</t>
        </is>
      </c>
      <c r="F4358" s="6" t="inlineStr">
        <is>
          <t>-</t>
        </is>
      </c>
      <c r="G4358" s="7" t="n">
        <v>65.16449737548828</v>
      </c>
      <c r="H4358" s="6">
        <f>P4327</f>
        <v/>
      </c>
      <c r="I4358" s="9">
        <f>Q4327</f>
        <v/>
      </c>
      <c r="J4358" s="7">
        <f>I4358*G4358</f>
        <v/>
      </c>
      <c r="K4358" s="8">
        <f>IF($J$4372=0,0,J4358/$J$4372)</f>
        <v/>
      </c>
      <c r="L4358" s="6" t="inlineStr">
        <is>
          <t>REJECTED</t>
        </is>
      </c>
      <c r="M4358" s="8" t="n">
        <v>0</v>
      </c>
      <c r="N4358" s="7">
        <f>M4358*$J$4372-J4358</f>
        <v/>
      </c>
      <c r="O4358" s="9">
        <f>IF(G4358=0,0,N4358/G4358)</f>
        <v/>
      </c>
      <c r="P4358" s="6">
        <f>IF(M4358&gt;0,D4358,"")</f>
        <v/>
      </c>
      <c r="Q4358" s="9">
        <f>I4358+O4358</f>
        <v/>
      </c>
      <c r="R4358" s="7">
        <f>Q4358*G4358</f>
        <v/>
      </c>
      <c r="S4358" s="8">
        <f>IF($R$4372=0,0,R4358/$R$4372)</f>
        <v/>
      </c>
      <c r="T4358" s="8" t="n">
        <v>-0.00035946819403887</v>
      </c>
      <c r="U4358" s="8" t="n">
        <v>0.009516694809533766</v>
      </c>
      <c r="V4358" s="6" t="inlineStr">
        <is>
          <t>not selected</t>
        </is>
      </c>
    </row>
    <row r="4359">
      <c r="A4359" s="6" t="inlineStr">
        <is>
          <t>DJ30</t>
        </is>
      </c>
      <c r="B4359" s="6" t="inlineStr">
        <is>
          <t>2025-09-12</t>
        </is>
      </c>
      <c r="C4359" s="6" t="inlineStr">
        <is>
          <t>DIA</t>
        </is>
      </c>
      <c r="D4359" s="6" t="inlineStr">
        <is>
          <t>MCD</t>
        </is>
      </c>
      <c r="E4359" s="6" t="inlineStr">
        <is>
          <t>MCD</t>
        </is>
      </c>
      <c r="F4359" s="6" t="inlineStr">
        <is>
          <t>-</t>
        </is>
      </c>
      <c r="G4359" s="7" t="n">
        <v>299.858154296875</v>
      </c>
      <c r="H4359" s="6">
        <f>P4328</f>
        <v/>
      </c>
      <c r="I4359" s="9">
        <f>Q4328</f>
        <v/>
      </c>
      <c r="J4359" s="7">
        <f>I4359*G4359</f>
        <v/>
      </c>
      <c r="K4359" s="8">
        <f>IF($J$4372=0,0,J4359/$J$4372)</f>
        <v/>
      </c>
      <c r="L4359" s="6" t="inlineStr">
        <is>
          <t>REJECTED</t>
        </is>
      </c>
      <c r="M4359" s="8" t="n">
        <v>0</v>
      </c>
      <c r="N4359" s="7">
        <f>M4359*$J$4372-J4359</f>
        <v/>
      </c>
      <c r="O4359" s="9">
        <f>IF(G4359=0,0,N4359/G4359)</f>
        <v/>
      </c>
      <c r="P4359" s="6">
        <f>IF(M4359&gt;0,D4359,"")</f>
        <v/>
      </c>
      <c r="Q4359" s="9">
        <f>I4359+O4359</f>
        <v/>
      </c>
      <c r="R4359" s="7">
        <f>Q4359*G4359</f>
        <v/>
      </c>
      <c r="S4359" s="8">
        <f>IF($R$4372=0,0,R4359/$R$4372)</f>
        <v/>
      </c>
      <c r="T4359" s="8" t="n">
        <v>-0.00035946819403887</v>
      </c>
      <c r="U4359" s="8" t="n">
        <v>0.009516694809533766</v>
      </c>
      <c r="V4359" s="6" t="inlineStr">
        <is>
          <t>not selected</t>
        </is>
      </c>
    </row>
    <row r="4360">
      <c r="A4360" s="6" t="inlineStr">
        <is>
          <t>DJ30</t>
        </is>
      </c>
      <c r="B4360" s="6" t="inlineStr">
        <is>
          <t>2025-09-12</t>
        </is>
      </c>
      <c r="C4360" s="6" t="inlineStr">
        <is>
          <t>DIA</t>
        </is>
      </c>
      <c r="D4360" s="6" t="inlineStr">
        <is>
          <t>MMM</t>
        </is>
      </c>
      <c r="E4360" s="6" t="inlineStr">
        <is>
          <t>MMM</t>
        </is>
      </c>
      <c r="F4360" s="6" t="inlineStr">
        <is>
          <t>-</t>
        </is>
      </c>
      <c r="G4360" s="7" t="n">
        <v>155.6871795654297</v>
      </c>
      <c r="H4360" s="6">
        <f>P4329</f>
        <v/>
      </c>
      <c r="I4360" s="9">
        <f>Q4329</f>
        <v/>
      </c>
      <c r="J4360" s="7">
        <f>I4360*G4360</f>
        <v/>
      </c>
      <c r="K4360" s="8">
        <f>IF($J$4372=0,0,J4360/$J$4372)</f>
        <v/>
      </c>
      <c r="L4360" s="6" t="inlineStr">
        <is>
          <t>WATCHLIST</t>
        </is>
      </c>
      <c r="M4360" s="8" t="n">
        <v>0</v>
      </c>
      <c r="N4360" s="7">
        <f>M4360*$J$4372-J4360</f>
        <v/>
      </c>
      <c r="O4360" s="9">
        <f>IF(G4360=0,0,N4360/G4360)</f>
        <v/>
      </c>
      <c r="P4360" s="6">
        <f>IF(M4360&gt;0,D4360,"")</f>
        <v/>
      </c>
      <c r="Q4360" s="9">
        <f>I4360+O4360</f>
        <v/>
      </c>
      <c r="R4360" s="7">
        <f>Q4360*G4360</f>
        <v/>
      </c>
      <c r="S4360" s="8">
        <f>IF($R$4372=0,0,R4360/$R$4372)</f>
        <v/>
      </c>
      <c r="T4360" s="8" t="n">
        <v>-0.00035946819403887</v>
      </c>
      <c r="U4360" s="8" t="n">
        <v>0.009516694809533766</v>
      </c>
      <c r="V4360" s="6" t="inlineStr">
        <is>
          <t>not selected</t>
        </is>
      </c>
    </row>
    <row r="4361">
      <c r="A4361" s="6" t="inlineStr">
        <is>
          <t>DJ30</t>
        </is>
      </c>
      <c r="B4361" s="6" t="inlineStr">
        <is>
          <t>2025-09-12</t>
        </is>
      </c>
      <c r="C4361" s="6" t="inlineStr">
        <is>
          <t>DIA</t>
        </is>
      </c>
      <c r="D4361" s="6" t="inlineStr">
        <is>
          <t>MRK</t>
        </is>
      </c>
      <c r="E4361" s="6" t="inlineStr">
        <is>
          <t>MRK</t>
        </is>
      </c>
      <c r="F4361" s="6" t="inlineStr">
        <is>
          <t>-</t>
        </is>
      </c>
      <c r="G4361" s="7" t="n">
        <v>80.13106536865234</v>
      </c>
      <c r="H4361" s="6">
        <f>P4330</f>
        <v/>
      </c>
      <c r="I4361" s="9">
        <f>Q4330</f>
        <v/>
      </c>
      <c r="J4361" s="7">
        <f>I4361*G4361</f>
        <v/>
      </c>
      <c r="K4361" s="8">
        <f>IF($J$4372=0,0,J4361/$J$4372)</f>
        <v/>
      </c>
      <c r="L4361" s="6" t="inlineStr">
        <is>
          <t>REJECTED</t>
        </is>
      </c>
      <c r="M4361" s="8" t="n">
        <v>0</v>
      </c>
      <c r="N4361" s="7">
        <f>M4361*$J$4372-J4361</f>
        <v/>
      </c>
      <c r="O4361" s="9">
        <f>IF(G4361=0,0,N4361/G4361)</f>
        <v/>
      </c>
      <c r="P4361" s="6">
        <f>IF(M4361&gt;0,D4361,"")</f>
        <v/>
      </c>
      <c r="Q4361" s="9">
        <f>I4361+O4361</f>
        <v/>
      </c>
      <c r="R4361" s="7">
        <f>Q4361*G4361</f>
        <v/>
      </c>
      <c r="S4361" s="8">
        <f>IF($R$4372=0,0,R4361/$R$4372)</f>
        <v/>
      </c>
      <c r="T4361" s="8" t="n">
        <v>-0.00035946819403887</v>
      </c>
      <c r="U4361" s="8" t="n">
        <v>0.009516694809533766</v>
      </c>
      <c r="V4361" s="6" t="inlineStr">
        <is>
          <t>not selected</t>
        </is>
      </c>
    </row>
    <row r="4362">
      <c r="A4362" s="6" t="inlineStr">
        <is>
          <t>DJ30</t>
        </is>
      </c>
      <c r="B4362" s="6" t="inlineStr">
        <is>
          <t>2025-09-12</t>
        </is>
      </c>
      <c r="C4362" s="6" t="inlineStr">
        <is>
          <t>DIA</t>
        </is>
      </c>
      <c r="D4362" s="6" t="inlineStr">
        <is>
          <t>MSFT</t>
        </is>
      </c>
      <c r="E4362" s="6" t="inlineStr">
        <is>
          <t>MSFT</t>
        </is>
      </c>
      <c r="F4362" s="6" t="inlineStr">
        <is>
          <t>-</t>
        </is>
      </c>
      <c r="G4362" s="7" t="n">
        <v>506.6910095214844</v>
      </c>
      <c r="H4362" s="6">
        <f>P4331</f>
        <v/>
      </c>
      <c r="I4362" s="9">
        <f>Q4331</f>
        <v/>
      </c>
      <c r="J4362" s="7">
        <f>I4362*G4362</f>
        <v/>
      </c>
      <c r="K4362" s="8">
        <f>IF($J$4372=0,0,J4362/$J$4372)</f>
        <v/>
      </c>
      <c r="L4362" s="6" t="inlineStr">
        <is>
          <t>WATCHLIST</t>
        </is>
      </c>
      <c r="M4362" s="8" t="n">
        <v>0</v>
      </c>
      <c r="N4362" s="7">
        <f>M4362*$J$4372-J4362</f>
        <v/>
      </c>
      <c r="O4362" s="9">
        <f>IF(G4362=0,0,N4362/G4362)</f>
        <v/>
      </c>
      <c r="P4362" s="6">
        <f>IF(M4362&gt;0,D4362,"")</f>
        <v/>
      </c>
      <c r="Q4362" s="9">
        <f>I4362+O4362</f>
        <v/>
      </c>
      <c r="R4362" s="7">
        <f>Q4362*G4362</f>
        <v/>
      </c>
      <c r="S4362" s="8">
        <f>IF($R$4372=0,0,R4362/$R$4372)</f>
        <v/>
      </c>
      <c r="T4362" s="8" t="n">
        <v>-0.00035946819403887</v>
      </c>
      <c r="U4362" s="8" t="n">
        <v>0.009516694809533766</v>
      </c>
      <c r="V4362" s="6" t="inlineStr">
        <is>
          <t>not selected</t>
        </is>
      </c>
    </row>
    <row r="4363">
      <c r="A4363" s="6" t="inlineStr">
        <is>
          <t>DJ30</t>
        </is>
      </c>
      <c r="B4363" s="6" t="inlineStr">
        <is>
          <t>2025-09-12</t>
        </is>
      </c>
      <c r="C4363" s="6" t="inlineStr">
        <is>
          <t>DIA</t>
        </is>
      </c>
      <c r="D4363" s="6" t="inlineStr">
        <is>
          <t>NKE</t>
        </is>
      </c>
      <c r="E4363" s="6" t="inlineStr">
        <is>
          <t>NKE</t>
        </is>
      </c>
      <c r="F4363" s="6" t="inlineStr">
        <is>
          <t>-</t>
        </is>
      </c>
      <c r="G4363" s="7" t="n">
        <v>71.41954040527344</v>
      </c>
      <c r="H4363" s="6">
        <f>P4332</f>
        <v/>
      </c>
      <c r="I4363" s="9">
        <f>Q4332</f>
        <v/>
      </c>
      <c r="J4363" s="7">
        <f>I4363*G4363</f>
        <v/>
      </c>
      <c r="K4363" s="8">
        <f>IF($J$4372=0,0,J4363/$J$4372)</f>
        <v/>
      </c>
      <c r="L4363" s="6" t="inlineStr">
        <is>
          <t>REJECTED</t>
        </is>
      </c>
      <c r="M4363" s="8" t="n">
        <v>0</v>
      </c>
      <c r="N4363" s="7">
        <f>M4363*$J$4372-J4363</f>
        <v/>
      </c>
      <c r="O4363" s="9">
        <f>IF(G4363=0,0,N4363/G4363)</f>
        <v/>
      </c>
      <c r="P4363" s="6">
        <f>IF(M4363&gt;0,D4363,"")</f>
        <v/>
      </c>
      <c r="Q4363" s="9">
        <f>I4363+O4363</f>
        <v/>
      </c>
      <c r="R4363" s="7">
        <f>Q4363*G4363</f>
        <v/>
      </c>
      <c r="S4363" s="8">
        <f>IF($R$4372=0,0,R4363/$R$4372)</f>
        <v/>
      </c>
      <c r="T4363" s="8" t="n">
        <v>-0.00035946819403887</v>
      </c>
      <c r="U4363" s="8" t="n">
        <v>0.009516694809533766</v>
      </c>
      <c r="V4363" s="6" t="inlineStr">
        <is>
          <t>not selected</t>
        </is>
      </c>
    </row>
    <row r="4364">
      <c r="A4364" s="6" t="inlineStr">
        <is>
          <t>DJ30</t>
        </is>
      </c>
      <c r="B4364" s="6" t="inlineStr">
        <is>
          <t>2025-09-12</t>
        </is>
      </c>
      <c r="C4364" s="6" t="inlineStr">
        <is>
          <t>DIA</t>
        </is>
      </c>
      <c r="D4364" s="6" t="inlineStr">
        <is>
          <t>NVDA</t>
        </is>
      </c>
      <c r="E4364" s="6" t="inlineStr">
        <is>
          <t>NVDA</t>
        </is>
      </c>
      <c r="F4364" s="6" t="inlineStr">
        <is>
          <t>-</t>
        </is>
      </c>
      <c r="G4364" s="7" t="n">
        <v>177.593505859375</v>
      </c>
      <c r="H4364" s="6">
        <f>P4333</f>
        <v/>
      </c>
      <c r="I4364" s="9">
        <f>Q4333</f>
        <v/>
      </c>
      <c r="J4364" s="7">
        <f>I4364*G4364</f>
        <v/>
      </c>
      <c r="K4364" s="8">
        <f>IF($J$4372=0,0,J4364/$J$4372)</f>
        <v/>
      </c>
      <c r="L4364" s="6" t="inlineStr">
        <is>
          <t>REJECTED</t>
        </is>
      </c>
      <c r="M4364" s="8" t="n">
        <v>0</v>
      </c>
      <c r="N4364" s="7">
        <f>M4364*$J$4372-J4364</f>
        <v/>
      </c>
      <c r="O4364" s="9">
        <f>IF(G4364=0,0,N4364/G4364)</f>
        <v/>
      </c>
      <c r="P4364" s="6">
        <f>IF(M4364&gt;0,D4364,"")</f>
        <v/>
      </c>
      <c r="Q4364" s="9">
        <f>I4364+O4364</f>
        <v/>
      </c>
      <c r="R4364" s="7">
        <f>Q4364*G4364</f>
        <v/>
      </c>
      <c r="S4364" s="8">
        <f>IF($R$4372=0,0,R4364/$R$4372)</f>
        <v/>
      </c>
      <c r="T4364" s="8" t="n">
        <v>-0.00035946819403887</v>
      </c>
      <c r="U4364" s="8" t="n">
        <v>0.009516694809533766</v>
      </c>
      <c r="V4364" s="6" t="inlineStr">
        <is>
          <t>not selected</t>
        </is>
      </c>
    </row>
    <row r="4365">
      <c r="A4365" s="6" t="inlineStr">
        <is>
          <t>DJ30</t>
        </is>
      </c>
      <c r="B4365" s="6" t="inlineStr">
        <is>
          <t>2025-09-12</t>
        </is>
      </c>
      <c r="C4365" s="6" t="inlineStr">
        <is>
          <t>DIA</t>
        </is>
      </c>
      <c r="D4365" s="6" t="inlineStr">
        <is>
          <t>PG</t>
        </is>
      </c>
      <c r="E4365" s="6" t="inlineStr">
        <is>
          <t>PG</t>
        </is>
      </c>
      <c r="F4365" s="6" t="inlineStr">
        <is>
          <t>-</t>
        </is>
      </c>
      <c r="G4365" s="7" t="n">
        <v>154.5343627929688</v>
      </c>
      <c r="H4365" s="6">
        <f>P4334</f>
        <v/>
      </c>
      <c r="I4365" s="9">
        <f>Q4334</f>
        <v/>
      </c>
      <c r="J4365" s="7">
        <f>I4365*G4365</f>
        <v/>
      </c>
      <c r="K4365" s="8">
        <f>IF($J$4372=0,0,J4365/$J$4372)</f>
        <v/>
      </c>
      <c r="L4365" s="6" t="inlineStr">
        <is>
          <t>REJECTED</t>
        </is>
      </c>
      <c r="M4365" s="8" t="n">
        <v>0</v>
      </c>
      <c r="N4365" s="7">
        <f>M4365*$J$4372-J4365</f>
        <v/>
      </c>
      <c r="O4365" s="9">
        <f>IF(G4365=0,0,N4365/G4365)</f>
        <v/>
      </c>
      <c r="P4365" s="6">
        <f>IF(M4365&gt;0,D4365,"")</f>
        <v/>
      </c>
      <c r="Q4365" s="9">
        <f>I4365+O4365</f>
        <v/>
      </c>
      <c r="R4365" s="7">
        <f>Q4365*G4365</f>
        <v/>
      </c>
      <c r="S4365" s="8">
        <f>IF($R$4372=0,0,R4365/$R$4372)</f>
        <v/>
      </c>
      <c r="T4365" s="8" t="n">
        <v>-0.00035946819403887</v>
      </c>
      <c r="U4365" s="8" t="n">
        <v>0.009516694809533766</v>
      </c>
      <c r="V4365" s="6" t="inlineStr">
        <is>
          <t>not selected</t>
        </is>
      </c>
    </row>
    <row r="4366">
      <c r="A4366" s="6" t="inlineStr">
        <is>
          <t>DJ30</t>
        </is>
      </c>
      <c r="B4366" s="6" t="inlineStr">
        <is>
          <t>2025-09-12</t>
        </is>
      </c>
      <c r="C4366" s="6" t="inlineStr">
        <is>
          <t>DIA</t>
        </is>
      </c>
      <c r="D4366" s="6" t="inlineStr">
        <is>
          <t>SHW</t>
        </is>
      </c>
      <c r="E4366" s="6" t="inlineStr">
        <is>
          <t>SHW</t>
        </is>
      </c>
      <c r="F4366" s="6" t="inlineStr">
        <is>
          <t>-</t>
        </is>
      </c>
      <c r="G4366" s="7" t="n">
        <v>357.5407409667969</v>
      </c>
      <c r="H4366" s="6">
        <f>P4335</f>
        <v/>
      </c>
      <c r="I4366" s="9">
        <f>Q4335</f>
        <v/>
      </c>
      <c r="J4366" s="7">
        <f>I4366*G4366</f>
        <v/>
      </c>
      <c r="K4366" s="8">
        <f>IF($J$4372=0,0,J4366/$J$4372)</f>
        <v/>
      </c>
      <c r="L4366" s="6" t="inlineStr">
        <is>
          <t>REJECTED</t>
        </is>
      </c>
      <c r="M4366" s="8" t="n">
        <v>0</v>
      </c>
      <c r="N4366" s="7">
        <f>M4366*$J$4372-J4366</f>
        <v/>
      </c>
      <c r="O4366" s="9">
        <f>IF(G4366=0,0,N4366/G4366)</f>
        <v/>
      </c>
      <c r="P4366" s="6">
        <f>IF(M4366&gt;0,D4366,"")</f>
        <v/>
      </c>
      <c r="Q4366" s="9">
        <f>I4366+O4366</f>
        <v/>
      </c>
      <c r="R4366" s="7">
        <f>Q4366*G4366</f>
        <v/>
      </c>
      <c r="S4366" s="8">
        <f>IF($R$4372=0,0,R4366/$R$4372)</f>
        <v/>
      </c>
      <c r="T4366" s="8" t="n">
        <v>-0.00035946819403887</v>
      </c>
      <c r="U4366" s="8" t="n">
        <v>0.009516694809533766</v>
      </c>
      <c r="V4366" s="6" t="inlineStr">
        <is>
          <t>not selected</t>
        </is>
      </c>
    </row>
    <row r="4367">
      <c r="A4367" s="6" t="inlineStr">
        <is>
          <t>DJ30</t>
        </is>
      </c>
      <c r="B4367" s="6" t="inlineStr">
        <is>
          <t>2025-09-12</t>
        </is>
      </c>
      <c r="C4367" s="6" t="inlineStr">
        <is>
          <t>DIA</t>
        </is>
      </c>
      <c r="D4367" s="6" t="inlineStr">
        <is>
          <t>TRV</t>
        </is>
      </c>
      <c r="E4367" s="6" t="inlineStr">
        <is>
          <t>TRV</t>
        </is>
      </c>
      <c r="F4367" s="6" t="inlineStr">
        <is>
          <t>-</t>
        </is>
      </c>
      <c r="G4367" s="7" t="n">
        <v>275.6704406738281</v>
      </c>
      <c r="H4367" s="6">
        <f>P4336</f>
        <v/>
      </c>
      <c r="I4367" s="9">
        <f>Q4336</f>
        <v/>
      </c>
      <c r="J4367" s="7">
        <f>I4367*G4367</f>
        <v/>
      </c>
      <c r="K4367" s="8">
        <f>IF($J$4372=0,0,J4367/$J$4372)</f>
        <v/>
      </c>
      <c r="L4367" s="6" t="inlineStr">
        <is>
          <t>SELECTED</t>
        </is>
      </c>
      <c r="M4367" s="8" t="n">
        <v>0.2</v>
      </c>
      <c r="N4367" s="7">
        <f>M4367*$J$4372-J4367</f>
        <v/>
      </c>
      <c r="O4367" s="9">
        <f>IF(G4367=0,0,N4367/G4367)</f>
        <v/>
      </c>
      <c r="P4367" s="6">
        <f>IF(M4367&gt;0,D4367,"")</f>
        <v/>
      </c>
      <c r="Q4367" s="9">
        <f>I4367+O4367</f>
        <v/>
      </c>
      <c r="R4367" s="7">
        <f>Q4367*G4367</f>
        <v/>
      </c>
      <c r="S4367" s="8">
        <f>IF($R$4372=0,0,R4367/$R$4372)</f>
        <v/>
      </c>
      <c r="T4367" s="8" t="n">
        <v>-0.00035946819403887</v>
      </c>
      <c r="U4367" s="8" t="n">
        <v>0.009516694809533766</v>
      </c>
      <c r="V4367" s="6" t="inlineStr">
        <is>
          <t>remained in weekly selection</t>
        </is>
      </c>
    </row>
    <row r="4368">
      <c r="A4368" s="6" t="inlineStr">
        <is>
          <t>DJ30</t>
        </is>
      </c>
      <c r="B4368" s="6" t="inlineStr">
        <is>
          <t>2025-09-12</t>
        </is>
      </c>
      <c r="C4368" s="6" t="inlineStr">
        <is>
          <t>DIA</t>
        </is>
      </c>
      <c r="D4368" s="6" t="inlineStr">
        <is>
          <t>UNH</t>
        </is>
      </c>
      <c r="E4368" s="6" t="inlineStr">
        <is>
          <t>UNH</t>
        </is>
      </c>
      <c r="F4368" s="6" t="inlineStr">
        <is>
          <t>-</t>
        </is>
      </c>
      <c r="G4368" s="7" t="n">
        <v>343.3153991699219</v>
      </c>
      <c r="H4368" s="6">
        <f>P4337</f>
        <v/>
      </c>
      <c r="I4368" s="9">
        <f>Q4337</f>
        <v/>
      </c>
      <c r="J4368" s="7">
        <f>I4368*G4368</f>
        <v/>
      </c>
      <c r="K4368" s="8">
        <f>IF($J$4372=0,0,J4368/$J$4372)</f>
        <v/>
      </c>
      <c r="L4368" s="6" t="inlineStr">
        <is>
          <t>REJECTED</t>
        </is>
      </c>
      <c r="M4368" s="8" t="n">
        <v>0</v>
      </c>
      <c r="N4368" s="7">
        <f>M4368*$J$4372-J4368</f>
        <v/>
      </c>
      <c r="O4368" s="9">
        <f>IF(G4368=0,0,N4368/G4368)</f>
        <v/>
      </c>
      <c r="P4368" s="6">
        <f>IF(M4368&gt;0,D4368,"")</f>
        <v/>
      </c>
      <c r="Q4368" s="9">
        <f>I4368+O4368</f>
        <v/>
      </c>
      <c r="R4368" s="7">
        <f>Q4368*G4368</f>
        <v/>
      </c>
      <c r="S4368" s="8">
        <f>IF($R$4372=0,0,R4368/$R$4372)</f>
        <v/>
      </c>
      <c r="T4368" s="8" t="n">
        <v>-0.00035946819403887</v>
      </c>
      <c r="U4368" s="8" t="n">
        <v>0.009516694809533766</v>
      </c>
      <c r="V4368" s="6" t="inlineStr">
        <is>
          <t>not selected</t>
        </is>
      </c>
    </row>
    <row r="4369">
      <c r="A4369" s="6" t="inlineStr">
        <is>
          <t>DJ30</t>
        </is>
      </c>
      <c r="B4369" s="6" t="inlineStr">
        <is>
          <t>2025-09-12</t>
        </is>
      </c>
      <c r="C4369" s="6" t="inlineStr">
        <is>
          <t>DIA</t>
        </is>
      </c>
      <c r="D4369" s="6" t="inlineStr">
        <is>
          <t>V</t>
        </is>
      </c>
      <c r="E4369" s="6" t="inlineStr">
        <is>
          <t>V</t>
        </is>
      </c>
      <c r="F4369" s="6" t="inlineStr">
        <is>
          <t>-</t>
        </is>
      </c>
      <c r="G4369" s="7" t="n">
        <v>337.3624877929688</v>
      </c>
      <c r="H4369" s="6">
        <f>P4338</f>
        <v/>
      </c>
      <c r="I4369" s="9">
        <f>Q4338</f>
        <v/>
      </c>
      <c r="J4369" s="7">
        <f>I4369*G4369</f>
        <v/>
      </c>
      <c r="K4369" s="8">
        <f>IF($J$4372=0,0,J4369/$J$4372)</f>
        <v/>
      </c>
      <c r="L4369" s="6" t="inlineStr">
        <is>
          <t>WATCHLIST</t>
        </is>
      </c>
      <c r="M4369" s="8" t="n">
        <v>0</v>
      </c>
      <c r="N4369" s="7">
        <f>M4369*$J$4372-J4369</f>
        <v/>
      </c>
      <c r="O4369" s="9">
        <f>IF(G4369=0,0,N4369/G4369)</f>
        <v/>
      </c>
      <c r="P4369" s="6">
        <f>IF(M4369&gt;0,D4369,"")</f>
        <v/>
      </c>
      <c r="Q4369" s="9">
        <f>I4369+O4369</f>
        <v/>
      </c>
      <c r="R4369" s="7">
        <f>Q4369*G4369</f>
        <v/>
      </c>
      <c r="S4369" s="8">
        <f>IF($R$4372=0,0,R4369/$R$4372)</f>
        <v/>
      </c>
      <c r="T4369" s="8" t="n">
        <v>-0.00035946819403887</v>
      </c>
      <c r="U4369" s="8" t="n">
        <v>0.009516694809533766</v>
      </c>
      <c r="V4369" s="6" t="inlineStr">
        <is>
          <t>not selected</t>
        </is>
      </c>
    </row>
    <row r="4370">
      <c r="A4370" s="6" t="inlineStr">
        <is>
          <t>DJ30</t>
        </is>
      </c>
      <c r="B4370" s="6" t="inlineStr">
        <is>
          <t>2025-09-12</t>
        </is>
      </c>
      <c r="C4370" s="6" t="inlineStr">
        <is>
          <t>DIA</t>
        </is>
      </c>
      <c r="D4370" s="6" t="inlineStr">
        <is>
          <t>VZ</t>
        </is>
      </c>
      <c r="E4370" s="6" t="inlineStr">
        <is>
          <t>VZ</t>
        </is>
      </c>
      <c r="F4370" s="6" t="inlineStr">
        <is>
          <t>-</t>
        </is>
      </c>
      <c r="G4370" s="7" t="n">
        <v>41.86014175415039</v>
      </c>
      <c r="H4370" s="6">
        <f>P4339</f>
        <v/>
      </c>
      <c r="I4370" s="9">
        <f>Q4339</f>
        <v/>
      </c>
      <c r="J4370" s="7">
        <f>I4370*G4370</f>
        <v/>
      </c>
      <c r="K4370" s="8">
        <f>IF($J$4372=0,0,J4370/$J$4372)</f>
        <v/>
      </c>
      <c r="L4370" s="6" t="inlineStr">
        <is>
          <t>SELECTED</t>
        </is>
      </c>
      <c r="M4370" s="8" t="n">
        <v>0.2</v>
      </c>
      <c r="N4370" s="7">
        <f>M4370*$J$4372-J4370</f>
        <v/>
      </c>
      <c r="O4370" s="9">
        <f>IF(G4370=0,0,N4370/G4370)</f>
        <v/>
      </c>
      <c r="P4370" s="6">
        <f>IF(M4370&gt;0,D4370,"")</f>
        <v/>
      </c>
      <c r="Q4370" s="9">
        <f>I4370+O4370</f>
        <v/>
      </c>
      <c r="R4370" s="7">
        <f>Q4370*G4370</f>
        <v/>
      </c>
      <c r="S4370" s="8">
        <f>IF($R$4372=0,0,R4370/$R$4372)</f>
        <v/>
      </c>
      <c r="T4370" s="8" t="n">
        <v>-0.00035946819403887</v>
      </c>
      <c r="U4370" s="8" t="n">
        <v>0.009516694809533766</v>
      </c>
      <c r="V4370" s="6" t="inlineStr">
        <is>
          <t>remained in weekly selection</t>
        </is>
      </c>
    </row>
    <row r="4371">
      <c r="A4371" s="6" t="inlineStr">
        <is>
          <t>DJ30</t>
        </is>
      </c>
      <c r="B4371" s="6" t="inlineStr">
        <is>
          <t>2025-09-12</t>
        </is>
      </c>
      <c r="C4371" s="6" t="inlineStr">
        <is>
          <t>DIA</t>
        </is>
      </c>
      <c r="D4371" s="6" t="inlineStr">
        <is>
          <t>WMT</t>
        </is>
      </c>
      <c r="E4371" s="6" t="inlineStr">
        <is>
          <t>WMT</t>
        </is>
      </c>
      <c r="F4371" s="6" t="inlineStr">
        <is>
          <t>-</t>
        </is>
      </c>
      <c r="G4371" s="7" t="n">
        <v>102.8716201782227</v>
      </c>
      <c r="H4371" s="6">
        <f>P4340</f>
        <v/>
      </c>
      <c r="I4371" s="9">
        <f>Q4340</f>
        <v/>
      </c>
      <c r="J4371" s="7">
        <f>I4371*G4371</f>
        <v/>
      </c>
      <c r="K4371" s="8">
        <f>IF($J$4372=0,0,J4371/$J$4372)</f>
        <v/>
      </c>
      <c r="L4371" s="6" t="inlineStr">
        <is>
          <t>SELECTED</t>
        </is>
      </c>
      <c r="M4371" s="8" t="n">
        <v>0.2</v>
      </c>
      <c r="N4371" s="7">
        <f>M4371*$J$4372-J4371</f>
        <v/>
      </c>
      <c r="O4371" s="9">
        <f>IF(G4371=0,0,N4371/G4371)</f>
        <v/>
      </c>
      <c r="P4371" s="6">
        <f>IF(M4371&gt;0,D4371,"")</f>
        <v/>
      </c>
      <c r="Q4371" s="9">
        <f>I4371+O4371</f>
        <v/>
      </c>
      <c r="R4371" s="7">
        <f>Q4371*G4371</f>
        <v/>
      </c>
      <c r="S4371" s="8">
        <f>IF($R$4372=0,0,R4371/$R$4372)</f>
        <v/>
      </c>
      <c r="T4371" s="8" t="n">
        <v>-0.00035946819403887</v>
      </c>
      <c r="U4371" s="8" t="n">
        <v>0.009516694809533766</v>
      </c>
      <c r="V4371" s="6" t="inlineStr">
        <is>
          <t>remained in weekly selection</t>
        </is>
      </c>
    </row>
    <row r="4372">
      <c r="A4372" s="10" t="inlineStr">
        <is>
          <t>DJ30</t>
        </is>
      </c>
      <c r="B4372" s="10" t="inlineStr">
        <is>
          <t>2025-09-12</t>
        </is>
      </c>
      <c r="C4372" s="10" t="inlineStr">
        <is>
          <t>DIA</t>
        </is>
      </c>
      <c r="D4372" s="10" t="inlineStr">
        <is>
          <t>Tot Portfolio</t>
        </is>
      </c>
      <c r="E4372" s="10" t="inlineStr"/>
      <c r="F4372" s="10" t="inlineStr"/>
      <c r="G4372" s="11" t="inlineStr"/>
      <c r="H4372" s="10" t="inlineStr"/>
      <c r="I4372" s="12" t="inlineStr"/>
      <c r="J4372" s="11">
        <f>SUM(J4342:J4371)</f>
        <v/>
      </c>
      <c r="K4372" s="13">
        <f>SUM(K4342:K4371)</f>
        <v/>
      </c>
      <c r="L4372" s="10" t="inlineStr">
        <is>
          <t>TOTAL</t>
        </is>
      </c>
      <c r="M4372" s="13">
        <f>SUM(M4342:M4371)</f>
        <v/>
      </c>
      <c r="N4372" s="11">
        <f>SUM(N4342:N4371)</f>
        <v/>
      </c>
      <c r="O4372" s="12">
        <f>SUM(O4342:O4371)</f>
        <v/>
      </c>
      <c r="P4372" s="10" t="inlineStr"/>
      <c r="Q4372" s="12" t="inlineStr"/>
      <c r="R4372" s="11">
        <f>SUM(R4342:R4371)</f>
        <v/>
      </c>
      <c r="S4372" s="13">
        <f>SUM(S4342:S4371)</f>
        <v/>
      </c>
      <c r="T4372" s="13" t="n">
        <v>-0.00035946819403887</v>
      </c>
      <c r="U4372" s="13" t="n">
        <v>0.009516694809533766</v>
      </c>
      <c r="V4372" s="10" t="inlineStr"/>
    </row>
    <row r="4373">
      <c r="A4373" s="6" t="inlineStr">
        <is>
          <t>DJ30</t>
        </is>
      </c>
      <c r="B4373" s="6" t="inlineStr">
        <is>
          <t>2025-09-19</t>
        </is>
      </c>
      <c r="C4373" s="6" t="inlineStr">
        <is>
          <t>DIA</t>
        </is>
      </c>
      <c r="D4373" s="6" t="inlineStr">
        <is>
          <t>AAPL</t>
        </is>
      </c>
      <c r="E4373" s="6" t="inlineStr">
        <is>
          <t>AAPL</t>
        </is>
      </c>
      <c r="F4373" s="6" t="inlineStr">
        <is>
          <t>-</t>
        </is>
      </c>
      <c r="G4373" s="7" t="n">
        <v>244.8074188232422</v>
      </c>
      <c r="H4373" s="6">
        <f>P4342</f>
        <v/>
      </c>
      <c r="I4373" s="9">
        <f>Q4342</f>
        <v/>
      </c>
      <c r="J4373" s="7">
        <f>I4373*G4373</f>
        <v/>
      </c>
      <c r="K4373" s="8">
        <f>IF($J$4403=0,0,J4373/$J$4403)</f>
        <v/>
      </c>
      <c r="L4373" s="6" t="inlineStr">
        <is>
          <t>REJECTED</t>
        </is>
      </c>
      <c r="M4373" s="8" t="n">
        <v>0</v>
      </c>
      <c r="N4373" s="7">
        <f>M4373*$J$4403-J4373</f>
        <v/>
      </c>
      <c r="O4373" s="9">
        <f>IF(G4373=0,0,N4373/G4373)</f>
        <v/>
      </c>
      <c r="P4373" s="6">
        <f>IF(M4373&gt;0,D4373,"")</f>
        <v/>
      </c>
      <c r="Q4373" s="9">
        <f>I4373+O4373</f>
        <v/>
      </c>
      <c r="R4373" s="7">
        <f>Q4373*G4373</f>
        <v/>
      </c>
      <c r="S4373" s="8">
        <f>IF($R$4403=0,0,R4373/$R$4403)</f>
        <v/>
      </c>
      <c r="T4373" s="8" t="n">
        <v>0.004104245253123473</v>
      </c>
      <c r="U4373" s="8" t="n">
        <v>0.0107608995068087</v>
      </c>
      <c r="V4373" s="6" t="inlineStr">
        <is>
          <t>not selected</t>
        </is>
      </c>
    </row>
    <row r="4374">
      <c r="A4374" s="6" t="inlineStr">
        <is>
          <t>DJ30</t>
        </is>
      </c>
      <c r="B4374" s="6" t="inlineStr">
        <is>
          <t>2025-09-19</t>
        </is>
      </c>
      <c r="C4374" s="6" t="inlineStr">
        <is>
          <t>DIA</t>
        </is>
      </c>
      <c r="D4374" s="6" t="inlineStr">
        <is>
          <t>AMGN</t>
        </is>
      </c>
      <c r="E4374" s="6" t="inlineStr">
        <is>
          <t>AMGN</t>
        </is>
      </c>
      <c r="F4374" s="6" t="inlineStr">
        <is>
          <t>-</t>
        </is>
      </c>
      <c r="G4374" s="7" t="n">
        <v>279.3293151855469</v>
      </c>
      <c r="H4374" s="6">
        <f>P4343</f>
        <v/>
      </c>
      <c r="I4374" s="9">
        <f>Q4343</f>
        <v/>
      </c>
      <c r="J4374" s="7">
        <f>I4374*G4374</f>
        <v/>
      </c>
      <c r="K4374" s="8">
        <f>IF($J$4403=0,0,J4374/$J$4403)</f>
        <v/>
      </c>
      <c r="L4374" s="6" t="inlineStr">
        <is>
          <t>REJECTED</t>
        </is>
      </c>
      <c r="M4374" s="8" t="n">
        <v>0</v>
      </c>
      <c r="N4374" s="7">
        <f>M4374*$J$4403-J4374</f>
        <v/>
      </c>
      <c r="O4374" s="9">
        <f>IF(G4374=0,0,N4374/G4374)</f>
        <v/>
      </c>
      <c r="P4374" s="6">
        <f>IF(M4374&gt;0,D4374,"")</f>
        <v/>
      </c>
      <c r="Q4374" s="9">
        <f>I4374+O4374</f>
        <v/>
      </c>
      <c r="R4374" s="7">
        <f>Q4374*G4374</f>
        <v/>
      </c>
      <c r="S4374" s="8">
        <f>IF($R$4403=0,0,R4374/$R$4403)</f>
        <v/>
      </c>
      <c r="T4374" s="8" t="n">
        <v>0.004104245253123473</v>
      </c>
      <c r="U4374" s="8" t="n">
        <v>0.0107608995068087</v>
      </c>
      <c r="V4374" s="6" t="inlineStr">
        <is>
          <t>not selected</t>
        </is>
      </c>
    </row>
    <row r="4375">
      <c r="A4375" s="6" t="inlineStr">
        <is>
          <t>DJ30</t>
        </is>
      </c>
      <c r="B4375" s="6" t="inlineStr">
        <is>
          <t>2025-09-19</t>
        </is>
      </c>
      <c r="C4375" s="6" t="inlineStr">
        <is>
          <t>DIA</t>
        </is>
      </c>
      <c r="D4375" s="6" t="inlineStr">
        <is>
          <t>AMZN</t>
        </is>
      </c>
      <c r="E4375" s="6" t="inlineStr">
        <is>
          <t>AMZN</t>
        </is>
      </c>
      <c r="F4375" s="6" t="inlineStr">
        <is>
          <t>-</t>
        </is>
      </c>
      <c r="G4375" s="7" t="n">
        <v>231.479995727539</v>
      </c>
      <c r="H4375" s="6">
        <f>P4344</f>
        <v/>
      </c>
      <c r="I4375" s="9">
        <f>Q4344</f>
        <v/>
      </c>
      <c r="J4375" s="7">
        <f>I4375*G4375</f>
        <v/>
      </c>
      <c r="K4375" s="8">
        <f>IF($J$4403=0,0,J4375/$J$4403)</f>
        <v/>
      </c>
      <c r="L4375" s="6" t="inlineStr">
        <is>
          <t>REJECTED</t>
        </is>
      </c>
      <c r="M4375" s="8" t="n">
        <v>0</v>
      </c>
      <c r="N4375" s="7">
        <f>M4375*$J$4403-J4375</f>
        <v/>
      </c>
      <c r="O4375" s="9">
        <f>IF(G4375=0,0,N4375/G4375)</f>
        <v/>
      </c>
      <c r="P4375" s="6">
        <f>IF(M4375&gt;0,D4375,"")</f>
        <v/>
      </c>
      <c r="Q4375" s="9">
        <f>I4375+O4375</f>
        <v/>
      </c>
      <c r="R4375" s="7">
        <f>Q4375*G4375</f>
        <v/>
      </c>
      <c r="S4375" s="8">
        <f>IF($R$4403=0,0,R4375/$R$4403)</f>
        <v/>
      </c>
      <c r="T4375" s="8" t="n">
        <v>0.004104245253123473</v>
      </c>
      <c r="U4375" s="8" t="n">
        <v>0.0107608995068087</v>
      </c>
      <c r="V4375" s="6" t="inlineStr">
        <is>
          <t>not selected</t>
        </is>
      </c>
    </row>
    <row r="4376">
      <c r="A4376" s="6" t="inlineStr">
        <is>
          <t>DJ30</t>
        </is>
      </c>
      <c r="B4376" s="6" t="inlineStr">
        <is>
          <t>2025-09-19</t>
        </is>
      </c>
      <c r="C4376" s="6" t="inlineStr">
        <is>
          <t>DIA</t>
        </is>
      </c>
      <c r="D4376" s="6" t="inlineStr">
        <is>
          <t>AXP</t>
        </is>
      </c>
      <c r="E4376" s="6" t="inlineStr">
        <is>
          <t>AXP</t>
        </is>
      </c>
      <c r="F4376" s="6" t="inlineStr">
        <is>
          <t>-</t>
        </is>
      </c>
      <c r="G4376" s="7" t="n">
        <v>338.4337158203125</v>
      </c>
      <c r="H4376" s="6">
        <f>P4345</f>
        <v/>
      </c>
      <c r="I4376" s="9">
        <f>Q4345</f>
        <v/>
      </c>
      <c r="J4376" s="7">
        <f>I4376*G4376</f>
        <v/>
      </c>
      <c r="K4376" s="8">
        <f>IF($J$4403=0,0,J4376/$J$4403)</f>
        <v/>
      </c>
      <c r="L4376" s="6" t="inlineStr">
        <is>
          <t>REJECTED</t>
        </is>
      </c>
      <c r="M4376" s="8" t="n">
        <v>0</v>
      </c>
      <c r="N4376" s="7">
        <f>M4376*$J$4403-J4376</f>
        <v/>
      </c>
      <c r="O4376" s="9">
        <f>IF(G4376=0,0,N4376/G4376)</f>
        <v/>
      </c>
      <c r="P4376" s="6">
        <f>IF(M4376&gt;0,D4376,"")</f>
        <v/>
      </c>
      <c r="Q4376" s="9">
        <f>I4376+O4376</f>
        <v/>
      </c>
      <c r="R4376" s="7">
        <f>Q4376*G4376</f>
        <v/>
      </c>
      <c r="S4376" s="8">
        <f>IF($R$4403=0,0,R4376/$R$4403)</f>
        <v/>
      </c>
      <c r="T4376" s="8" t="n">
        <v>0.004104245253123473</v>
      </c>
      <c r="U4376" s="8" t="n">
        <v>0.0107608995068087</v>
      </c>
      <c r="V4376" s="6" t="inlineStr">
        <is>
          <t>not selected</t>
        </is>
      </c>
    </row>
    <row r="4377">
      <c r="A4377" s="6" t="inlineStr">
        <is>
          <t>DJ30</t>
        </is>
      </c>
      <c r="B4377" s="6" t="inlineStr">
        <is>
          <t>2025-09-19</t>
        </is>
      </c>
      <c r="C4377" s="6" t="inlineStr">
        <is>
          <t>DIA</t>
        </is>
      </c>
      <c r="D4377" s="6" t="inlineStr">
        <is>
          <t>BA</t>
        </is>
      </c>
      <c r="E4377" s="6" t="inlineStr">
        <is>
          <t>BA</t>
        </is>
      </c>
      <c r="F4377" s="6" t="inlineStr">
        <is>
          <t>-</t>
        </is>
      </c>
      <c r="G4377" s="7" t="n">
        <v>215.6499938964844</v>
      </c>
      <c r="H4377" s="6">
        <f>P4346</f>
        <v/>
      </c>
      <c r="I4377" s="9">
        <f>Q4346</f>
        <v/>
      </c>
      <c r="J4377" s="7">
        <f>I4377*G4377</f>
        <v/>
      </c>
      <c r="K4377" s="8">
        <f>IF($J$4403=0,0,J4377/$J$4403)</f>
        <v/>
      </c>
      <c r="L4377" s="6" t="inlineStr">
        <is>
          <t>SELECTED</t>
        </is>
      </c>
      <c r="M4377" s="8" t="n">
        <v>0.2</v>
      </c>
      <c r="N4377" s="7">
        <f>M4377*$J$4403-J4377</f>
        <v/>
      </c>
      <c r="O4377" s="9">
        <f>IF(G4377=0,0,N4377/G4377)</f>
        <v/>
      </c>
      <c r="P4377" s="6">
        <f>IF(M4377&gt;0,D4377,"")</f>
        <v/>
      </c>
      <c r="Q4377" s="9">
        <f>I4377+O4377</f>
        <v/>
      </c>
      <c r="R4377" s="7">
        <f>Q4377*G4377</f>
        <v/>
      </c>
      <c r="S4377" s="8">
        <f>IF($R$4403=0,0,R4377/$R$4403)</f>
        <v/>
      </c>
      <c r="T4377" s="8" t="n">
        <v>0.004104245253123473</v>
      </c>
      <c r="U4377" s="8" t="n">
        <v>0.0107608995068087</v>
      </c>
      <c r="V4377" s="6" t="inlineStr">
        <is>
          <t>remained in weekly selection</t>
        </is>
      </c>
    </row>
    <row r="4378">
      <c r="A4378" s="6" t="inlineStr">
        <is>
          <t>DJ30</t>
        </is>
      </c>
      <c r="B4378" s="6" t="inlineStr">
        <is>
          <t>2025-09-19</t>
        </is>
      </c>
      <c r="C4378" s="6" t="inlineStr">
        <is>
          <t>DIA</t>
        </is>
      </c>
      <c r="D4378" s="6" t="inlineStr">
        <is>
          <t>CAT</t>
        </is>
      </c>
      <c r="E4378" s="6" t="inlineStr">
        <is>
          <t>CAT</t>
        </is>
      </c>
      <c r="F4378" s="6" t="inlineStr">
        <is>
          <t>-</t>
        </is>
      </c>
      <c r="G4378" s="7" t="n">
        <v>463.2356262207031</v>
      </c>
      <c r="H4378" s="6">
        <f>P4347</f>
        <v/>
      </c>
      <c r="I4378" s="9">
        <f>Q4347</f>
        <v/>
      </c>
      <c r="J4378" s="7">
        <f>I4378*G4378</f>
        <v/>
      </c>
      <c r="K4378" s="8">
        <f>IF($J$4403=0,0,J4378/$J$4403)</f>
        <v/>
      </c>
      <c r="L4378" s="6" t="inlineStr">
        <is>
          <t>REJECTED</t>
        </is>
      </c>
      <c r="M4378" s="8" t="n">
        <v>0</v>
      </c>
      <c r="N4378" s="7">
        <f>M4378*$J$4403-J4378</f>
        <v/>
      </c>
      <c r="O4378" s="9">
        <f>IF(G4378=0,0,N4378/G4378)</f>
        <v/>
      </c>
      <c r="P4378" s="6">
        <f>IF(M4378&gt;0,D4378,"")</f>
        <v/>
      </c>
      <c r="Q4378" s="9">
        <f>I4378+O4378</f>
        <v/>
      </c>
      <c r="R4378" s="7">
        <f>Q4378*G4378</f>
        <v/>
      </c>
      <c r="S4378" s="8">
        <f>IF($R$4403=0,0,R4378/$R$4403)</f>
        <v/>
      </c>
      <c r="T4378" s="8" t="n">
        <v>0.004104245253123473</v>
      </c>
      <c r="U4378" s="8" t="n">
        <v>0.0107608995068087</v>
      </c>
      <c r="V4378" s="6" t="inlineStr">
        <is>
          <t>not selected</t>
        </is>
      </c>
    </row>
    <row r="4379">
      <c r="A4379" s="6" t="inlineStr">
        <is>
          <t>DJ30</t>
        </is>
      </c>
      <c r="B4379" s="6" t="inlineStr">
        <is>
          <t>2025-09-19</t>
        </is>
      </c>
      <c r="C4379" s="6" t="inlineStr">
        <is>
          <t>DIA</t>
        </is>
      </c>
      <c r="D4379" s="6" t="inlineStr">
        <is>
          <t>CRM</t>
        </is>
      </c>
      <c r="E4379" s="6" t="inlineStr">
        <is>
          <t>CRM</t>
        </is>
      </c>
      <c r="F4379" s="6" t="inlineStr">
        <is>
          <t>-</t>
        </is>
      </c>
      <c r="G4379" s="7" t="n">
        <v>245.442886352539</v>
      </c>
      <c r="H4379" s="6">
        <f>P4348</f>
        <v/>
      </c>
      <c r="I4379" s="9">
        <f>Q4348</f>
        <v/>
      </c>
      <c r="J4379" s="7">
        <f>I4379*G4379</f>
        <v/>
      </c>
      <c r="K4379" s="8">
        <f>IF($J$4403=0,0,J4379/$J$4403)</f>
        <v/>
      </c>
      <c r="L4379" s="6" t="inlineStr">
        <is>
          <t>REJECTED</t>
        </is>
      </c>
      <c r="M4379" s="8" t="n">
        <v>0</v>
      </c>
      <c r="N4379" s="7">
        <f>M4379*$J$4403-J4379</f>
        <v/>
      </c>
      <c r="O4379" s="9">
        <f>IF(G4379=0,0,N4379/G4379)</f>
        <v/>
      </c>
      <c r="P4379" s="6">
        <f>IF(M4379&gt;0,D4379,"")</f>
        <v/>
      </c>
      <c r="Q4379" s="9">
        <f>I4379+O4379</f>
        <v/>
      </c>
      <c r="R4379" s="7">
        <f>Q4379*G4379</f>
        <v/>
      </c>
      <c r="S4379" s="8">
        <f>IF($R$4403=0,0,R4379/$R$4403)</f>
        <v/>
      </c>
      <c r="T4379" s="8" t="n">
        <v>0.004104245253123473</v>
      </c>
      <c r="U4379" s="8" t="n">
        <v>0.0107608995068087</v>
      </c>
      <c r="V4379" s="6" t="inlineStr">
        <is>
          <t>not selected</t>
        </is>
      </c>
    </row>
    <row r="4380">
      <c r="A4380" s="6" t="inlineStr">
        <is>
          <t>DJ30</t>
        </is>
      </c>
      <c r="B4380" s="6" t="inlineStr">
        <is>
          <t>2025-09-19</t>
        </is>
      </c>
      <c r="C4380" s="6" t="inlineStr">
        <is>
          <t>DIA</t>
        </is>
      </c>
      <c r="D4380" s="6" t="inlineStr">
        <is>
          <t>CSCO</t>
        </is>
      </c>
      <c r="E4380" s="6" t="inlineStr">
        <is>
          <t>CSCO</t>
        </is>
      </c>
      <c r="F4380" s="6" t="inlineStr">
        <is>
          <t>-</t>
        </is>
      </c>
      <c r="G4380" s="7" t="n">
        <v>67.07625579833984</v>
      </c>
      <c r="H4380" s="6">
        <f>P4349</f>
        <v/>
      </c>
      <c r="I4380" s="9">
        <f>Q4349</f>
        <v/>
      </c>
      <c r="J4380" s="7">
        <f>I4380*G4380</f>
        <v/>
      </c>
      <c r="K4380" s="8">
        <f>IF($J$4403=0,0,J4380/$J$4403)</f>
        <v/>
      </c>
      <c r="L4380" s="6" t="inlineStr">
        <is>
          <t>WATCHLIST</t>
        </is>
      </c>
      <c r="M4380" s="8" t="n">
        <v>0</v>
      </c>
      <c r="N4380" s="7">
        <f>M4380*$J$4403-J4380</f>
        <v/>
      </c>
      <c r="O4380" s="9">
        <f>IF(G4380=0,0,N4380/G4380)</f>
        <v/>
      </c>
      <c r="P4380" s="6">
        <f>IF(M4380&gt;0,D4380,"")</f>
        <v/>
      </c>
      <c r="Q4380" s="9">
        <f>I4380+O4380</f>
        <v/>
      </c>
      <c r="R4380" s="7">
        <f>Q4380*G4380</f>
        <v/>
      </c>
      <c r="S4380" s="8">
        <f>IF($R$4403=0,0,R4380/$R$4403)</f>
        <v/>
      </c>
      <c r="T4380" s="8" t="n">
        <v>0.004104245253123473</v>
      </c>
      <c r="U4380" s="8" t="n">
        <v>0.0107608995068087</v>
      </c>
      <c r="V4380" s="6" t="inlineStr">
        <is>
          <t>not selected</t>
        </is>
      </c>
    </row>
    <row r="4381">
      <c r="A4381" s="6" t="inlineStr">
        <is>
          <t>DJ30</t>
        </is>
      </c>
      <c r="B4381" s="6" t="inlineStr">
        <is>
          <t>2025-09-19</t>
        </is>
      </c>
      <c r="C4381" s="6" t="inlineStr">
        <is>
          <t>DIA</t>
        </is>
      </c>
      <c r="D4381" s="6" t="inlineStr">
        <is>
          <t>CVX</t>
        </is>
      </c>
      <c r="E4381" s="6" t="inlineStr">
        <is>
          <t>CVX</t>
        </is>
      </c>
      <c r="F4381" s="6" t="inlineStr">
        <is>
          <t>-</t>
        </is>
      </c>
      <c r="G4381" s="7" t="n">
        <v>151.5995330810547</v>
      </c>
      <c r="H4381" s="6">
        <f>P4350</f>
        <v/>
      </c>
      <c r="I4381" s="9">
        <f>Q4350</f>
        <v/>
      </c>
      <c r="J4381" s="7">
        <f>I4381*G4381</f>
        <v/>
      </c>
      <c r="K4381" s="8">
        <f>IF($J$4403=0,0,J4381/$J$4403)</f>
        <v/>
      </c>
      <c r="L4381" s="6" t="inlineStr">
        <is>
          <t>REJECTED</t>
        </is>
      </c>
      <c r="M4381" s="8" t="n">
        <v>0</v>
      </c>
      <c r="N4381" s="7">
        <f>M4381*$J$4403-J4381</f>
        <v/>
      </c>
      <c r="O4381" s="9">
        <f>IF(G4381=0,0,N4381/G4381)</f>
        <v/>
      </c>
      <c r="P4381" s="6">
        <f>IF(M4381&gt;0,D4381,"")</f>
        <v/>
      </c>
      <c r="Q4381" s="9">
        <f>I4381+O4381</f>
        <v/>
      </c>
      <c r="R4381" s="7">
        <f>Q4381*G4381</f>
        <v/>
      </c>
      <c r="S4381" s="8">
        <f>IF($R$4403=0,0,R4381/$R$4403)</f>
        <v/>
      </c>
      <c r="T4381" s="8" t="n">
        <v>0.004104245253123473</v>
      </c>
      <c r="U4381" s="8" t="n">
        <v>0.0107608995068087</v>
      </c>
      <c r="V4381" s="6" t="inlineStr">
        <is>
          <t>not selected</t>
        </is>
      </c>
    </row>
    <row r="4382">
      <c r="A4382" s="6" t="inlineStr">
        <is>
          <t>DJ30</t>
        </is>
      </c>
      <c r="B4382" s="6" t="inlineStr">
        <is>
          <t>2025-09-19</t>
        </is>
      </c>
      <c r="C4382" s="6" t="inlineStr">
        <is>
          <t>DIA</t>
        </is>
      </c>
      <c r="D4382" s="6" t="inlineStr">
        <is>
          <t>DIS</t>
        </is>
      </c>
      <c r="E4382" s="6" t="inlineStr">
        <is>
          <t>DIS</t>
        </is>
      </c>
      <c r="F4382" s="6" t="inlineStr">
        <is>
          <t>-</t>
        </is>
      </c>
      <c r="G4382" s="7" t="n">
        <v>112.9954833984375</v>
      </c>
      <c r="H4382" s="6">
        <f>P4351</f>
        <v/>
      </c>
      <c r="I4382" s="9">
        <f>Q4351</f>
        <v/>
      </c>
      <c r="J4382" s="7">
        <f>I4382*G4382</f>
        <v/>
      </c>
      <c r="K4382" s="8">
        <f>IF($J$4403=0,0,J4382/$J$4403)</f>
        <v/>
      </c>
      <c r="L4382" s="6" t="inlineStr">
        <is>
          <t>REJECTED</t>
        </is>
      </c>
      <c r="M4382" s="8" t="n">
        <v>0</v>
      </c>
      <c r="N4382" s="7">
        <f>M4382*$J$4403-J4382</f>
        <v/>
      </c>
      <c r="O4382" s="9">
        <f>IF(G4382=0,0,N4382/G4382)</f>
        <v/>
      </c>
      <c r="P4382" s="6">
        <f>IF(M4382&gt;0,D4382,"")</f>
        <v/>
      </c>
      <c r="Q4382" s="9">
        <f>I4382+O4382</f>
        <v/>
      </c>
      <c r="R4382" s="7">
        <f>Q4382*G4382</f>
        <v/>
      </c>
      <c r="S4382" s="8">
        <f>IF($R$4403=0,0,R4382/$R$4403)</f>
        <v/>
      </c>
      <c r="T4382" s="8" t="n">
        <v>0.004104245253123473</v>
      </c>
      <c r="U4382" s="8" t="n">
        <v>0.0107608995068087</v>
      </c>
      <c r="V4382" s="6" t="inlineStr">
        <is>
          <t>not selected</t>
        </is>
      </c>
    </row>
    <row r="4383">
      <c r="A4383" s="6" t="inlineStr">
        <is>
          <t>DJ30</t>
        </is>
      </c>
      <c r="B4383" s="6" t="inlineStr">
        <is>
          <t>2025-09-19</t>
        </is>
      </c>
      <c r="C4383" s="6" t="inlineStr">
        <is>
          <t>DIA</t>
        </is>
      </c>
      <c r="D4383" s="6" t="inlineStr">
        <is>
          <t>GS</t>
        </is>
      </c>
      <c r="E4383" s="6" t="inlineStr">
        <is>
          <t>GS</t>
        </is>
      </c>
      <c r="F4383" s="6" t="inlineStr">
        <is>
          <t>-</t>
        </is>
      </c>
      <c r="G4383" s="7" t="n">
        <v>793.3389282226562</v>
      </c>
      <c r="H4383" s="6">
        <f>P4352</f>
        <v/>
      </c>
      <c r="I4383" s="9">
        <f>Q4352</f>
        <v/>
      </c>
      <c r="J4383" s="7">
        <f>I4383*G4383</f>
        <v/>
      </c>
      <c r="K4383" s="8">
        <f>IF($J$4403=0,0,J4383/$J$4403)</f>
        <v/>
      </c>
      <c r="L4383" s="6" t="inlineStr">
        <is>
          <t>WATCHLIST</t>
        </is>
      </c>
      <c r="M4383" s="8" t="n">
        <v>0</v>
      </c>
      <c r="N4383" s="7">
        <f>M4383*$J$4403-J4383</f>
        <v/>
      </c>
      <c r="O4383" s="9">
        <f>IF(G4383=0,0,N4383/G4383)</f>
        <v/>
      </c>
      <c r="P4383" s="6">
        <f>IF(M4383&gt;0,D4383,"")</f>
        <v/>
      </c>
      <c r="Q4383" s="9">
        <f>I4383+O4383</f>
        <v/>
      </c>
      <c r="R4383" s="7">
        <f>Q4383*G4383</f>
        <v/>
      </c>
      <c r="S4383" s="8">
        <f>IF($R$4403=0,0,R4383/$R$4403)</f>
        <v/>
      </c>
      <c r="T4383" s="8" t="n">
        <v>0.004104245253123473</v>
      </c>
      <c r="U4383" s="8" t="n">
        <v>0.0107608995068087</v>
      </c>
      <c r="V4383" s="6" t="inlineStr">
        <is>
          <t>not selected</t>
        </is>
      </c>
    </row>
    <row r="4384">
      <c r="A4384" s="6" t="inlineStr">
        <is>
          <t>DJ30</t>
        </is>
      </c>
      <c r="B4384" s="6" t="inlineStr">
        <is>
          <t>2025-09-19</t>
        </is>
      </c>
      <c r="C4384" s="6" t="inlineStr">
        <is>
          <t>DIA</t>
        </is>
      </c>
      <c r="D4384" s="6" t="inlineStr">
        <is>
          <t>HD</t>
        </is>
      </c>
      <c r="E4384" s="6" t="inlineStr">
        <is>
          <t>HD</t>
        </is>
      </c>
      <c r="F4384" s="6" t="inlineStr">
        <is>
          <t>-</t>
        </is>
      </c>
      <c r="G4384" s="7" t="n">
        <v>407.2213134765625</v>
      </c>
      <c r="H4384" s="6">
        <f>P4353</f>
        <v/>
      </c>
      <c r="I4384" s="9">
        <f>Q4353</f>
        <v/>
      </c>
      <c r="J4384" s="7">
        <f>I4384*G4384</f>
        <v/>
      </c>
      <c r="K4384" s="8">
        <f>IF($J$4403=0,0,J4384/$J$4403)</f>
        <v/>
      </c>
      <c r="L4384" s="6" t="inlineStr">
        <is>
          <t>REJECTED</t>
        </is>
      </c>
      <c r="M4384" s="8" t="n">
        <v>0</v>
      </c>
      <c r="N4384" s="7">
        <f>M4384*$J$4403-J4384</f>
        <v/>
      </c>
      <c r="O4384" s="9">
        <f>IF(G4384=0,0,N4384/G4384)</f>
        <v/>
      </c>
      <c r="P4384" s="6">
        <f>IF(M4384&gt;0,D4384,"")</f>
        <v/>
      </c>
      <c r="Q4384" s="9">
        <f>I4384+O4384</f>
        <v/>
      </c>
      <c r="R4384" s="7">
        <f>Q4384*G4384</f>
        <v/>
      </c>
      <c r="S4384" s="8">
        <f>IF($R$4403=0,0,R4384/$R$4403)</f>
        <v/>
      </c>
      <c r="T4384" s="8" t="n">
        <v>0.004104245253123473</v>
      </c>
      <c r="U4384" s="8" t="n">
        <v>0.0107608995068087</v>
      </c>
      <c r="V4384" s="6" t="inlineStr">
        <is>
          <t>not selected</t>
        </is>
      </c>
    </row>
    <row r="4385">
      <c r="A4385" s="6" t="inlineStr">
        <is>
          <t>DJ30</t>
        </is>
      </c>
      <c r="B4385" s="6" t="inlineStr">
        <is>
          <t>2025-09-19</t>
        </is>
      </c>
      <c r="C4385" s="6" t="inlineStr">
        <is>
          <t>DIA</t>
        </is>
      </c>
      <c r="D4385" s="6" t="inlineStr">
        <is>
          <t>HON</t>
        </is>
      </c>
      <c r="E4385" s="6" t="inlineStr">
        <is>
          <t>HON</t>
        </is>
      </c>
      <c r="F4385" s="6" t="inlineStr">
        <is>
          <t>-</t>
        </is>
      </c>
      <c r="G4385" s="7" t="n">
        <v>194.1219024658203</v>
      </c>
      <c r="H4385" s="6">
        <f>P4354</f>
        <v/>
      </c>
      <c r="I4385" s="9">
        <f>Q4354</f>
        <v/>
      </c>
      <c r="J4385" s="7">
        <f>I4385*G4385</f>
        <v/>
      </c>
      <c r="K4385" s="8">
        <f>IF($J$4403=0,0,J4385/$J$4403)</f>
        <v/>
      </c>
      <c r="L4385" s="6" t="inlineStr">
        <is>
          <t>REJECTED</t>
        </is>
      </c>
      <c r="M4385" s="8" t="n">
        <v>0</v>
      </c>
      <c r="N4385" s="7">
        <f>M4385*$J$4403-J4385</f>
        <v/>
      </c>
      <c r="O4385" s="9">
        <f>IF(G4385=0,0,N4385/G4385)</f>
        <v/>
      </c>
      <c r="P4385" s="6">
        <f>IF(M4385&gt;0,D4385,"")</f>
        <v/>
      </c>
      <c r="Q4385" s="9">
        <f>I4385+O4385</f>
        <v/>
      </c>
      <c r="R4385" s="7">
        <f>Q4385*G4385</f>
        <v/>
      </c>
      <c r="S4385" s="8">
        <f>IF($R$4403=0,0,R4385/$R$4403)</f>
        <v/>
      </c>
      <c r="T4385" s="8" t="n">
        <v>0.004104245253123473</v>
      </c>
      <c r="U4385" s="8" t="n">
        <v>0.0107608995068087</v>
      </c>
      <c r="V4385" s="6" t="inlineStr">
        <is>
          <t>not selected</t>
        </is>
      </c>
    </row>
    <row r="4386">
      <c r="A4386" s="6" t="inlineStr">
        <is>
          <t>DJ30</t>
        </is>
      </c>
      <c r="B4386" s="6" t="inlineStr">
        <is>
          <t>2025-09-19</t>
        </is>
      </c>
      <c r="C4386" s="6" t="inlineStr">
        <is>
          <t>DIA</t>
        </is>
      </c>
      <c r="D4386" s="6" t="inlineStr">
        <is>
          <t>IBM</t>
        </is>
      </c>
      <c r="E4386" s="6" t="inlineStr">
        <is>
          <t>IBM</t>
        </is>
      </c>
      <c r="F4386" s="6" t="inlineStr">
        <is>
          <t>-</t>
        </is>
      </c>
      <c r="G4386" s="7" t="n">
        <v>261.5124816894531</v>
      </c>
      <c r="H4386" s="6">
        <f>P4355</f>
        <v/>
      </c>
      <c r="I4386" s="9">
        <f>Q4355</f>
        <v/>
      </c>
      <c r="J4386" s="7">
        <f>I4386*G4386</f>
        <v/>
      </c>
      <c r="K4386" s="8">
        <f>IF($J$4403=0,0,J4386/$J$4403)</f>
        <v/>
      </c>
      <c r="L4386" s="6" t="inlineStr">
        <is>
          <t>SELECTED</t>
        </is>
      </c>
      <c r="M4386" s="8" t="n">
        <v>0.2</v>
      </c>
      <c r="N4386" s="7">
        <f>M4386*$J$4403-J4386</f>
        <v/>
      </c>
      <c r="O4386" s="9">
        <f>IF(G4386=0,0,N4386/G4386)</f>
        <v/>
      </c>
      <c r="P4386" s="6">
        <f>IF(M4386&gt;0,D4386,"")</f>
        <v/>
      </c>
      <c r="Q4386" s="9">
        <f>I4386+O4386</f>
        <v/>
      </c>
      <c r="R4386" s="7">
        <f>Q4386*G4386</f>
        <v/>
      </c>
      <c r="S4386" s="8">
        <f>IF($R$4403=0,0,R4386/$R$4403)</f>
        <v/>
      </c>
      <c r="T4386" s="8" t="n">
        <v>0.004104245253123473</v>
      </c>
      <c r="U4386" s="8" t="n">
        <v>0.0107608995068087</v>
      </c>
      <c r="V4386" s="6" t="inlineStr">
        <is>
          <t>remained in weekly selection</t>
        </is>
      </c>
    </row>
    <row r="4387">
      <c r="A4387" s="6" t="inlineStr">
        <is>
          <t>DJ30</t>
        </is>
      </c>
      <c r="B4387" s="6" t="inlineStr">
        <is>
          <t>2025-09-19</t>
        </is>
      </c>
      <c r="C4387" s="6" t="inlineStr">
        <is>
          <t>DIA</t>
        </is>
      </c>
      <c r="D4387" s="6" t="inlineStr">
        <is>
          <t>JNJ</t>
        </is>
      </c>
      <c r="E4387" s="6" t="inlineStr">
        <is>
          <t>JNJ</t>
        </is>
      </c>
      <c r="F4387" s="6" t="inlineStr">
        <is>
          <t>-</t>
        </is>
      </c>
      <c r="G4387" s="7" t="n">
        <v>173.1567535400391</v>
      </c>
      <c r="H4387" s="6">
        <f>P4356</f>
        <v/>
      </c>
      <c r="I4387" s="9">
        <f>Q4356</f>
        <v/>
      </c>
      <c r="J4387" s="7">
        <f>I4387*G4387</f>
        <v/>
      </c>
      <c r="K4387" s="8">
        <f>IF($J$4403=0,0,J4387/$J$4403)</f>
        <v/>
      </c>
      <c r="L4387" s="6" t="inlineStr">
        <is>
          <t>WATCHLIST</t>
        </is>
      </c>
      <c r="M4387" s="8" t="n">
        <v>0</v>
      </c>
      <c r="N4387" s="7">
        <f>M4387*$J$4403-J4387</f>
        <v/>
      </c>
      <c r="O4387" s="9">
        <f>IF(G4387=0,0,N4387/G4387)</f>
        <v/>
      </c>
      <c r="P4387" s="6">
        <f>IF(M4387&gt;0,D4387,"")</f>
        <v/>
      </c>
      <c r="Q4387" s="9">
        <f>I4387+O4387</f>
        <v/>
      </c>
      <c r="R4387" s="7">
        <f>Q4387*G4387</f>
        <v/>
      </c>
      <c r="S4387" s="8">
        <f>IF($R$4403=0,0,R4387/$R$4403)</f>
        <v/>
      </c>
      <c r="T4387" s="8" t="n">
        <v>0.004104245253123473</v>
      </c>
      <c r="U4387" s="8" t="n">
        <v>0.0107608995068087</v>
      </c>
      <c r="V4387" s="6" t="inlineStr">
        <is>
          <t>not selected</t>
        </is>
      </c>
    </row>
    <row r="4388">
      <c r="A4388" s="6" t="inlineStr">
        <is>
          <t>DJ30</t>
        </is>
      </c>
      <c r="B4388" s="6" t="inlineStr">
        <is>
          <t>2025-09-19</t>
        </is>
      </c>
      <c r="C4388" s="6" t="inlineStr">
        <is>
          <t>DIA</t>
        </is>
      </c>
      <c r="D4388" s="6" t="inlineStr">
        <is>
          <t>JPM</t>
        </is>
      </c>
      <c r="E4388" s="6" t="inlineStr">
        <is>
          <t>JPM</t>
        </is>
      </c>
      <c r="F4388" s="6" t="inlineStr">
        <is>
          <t>-</t>
        </is>
      </c>
      <c r="G4388" s="7" t="n">
        <v>310.2625122070312</v>
      </c>
      <c r="H4388" s="6">
        <f>P4357</f>
        <v/>
      </c>
      <c r="I4388" s="9">
        <f>Q4357</f>
        <v/>
      </c>
      <c r="J4388" s="7">
        <f>I4388*G4388</f>
        <v/>
      </c>
      <c r="K4388" s="8">
        <f>IF($J$4403=0,0,J4388/$J$4403)</f>
        <v/>
      </c>
      <c r="L4388" s="6" t="inlineStr">
        <is>
          <t>WATCHLIST</t>
        </is>
      </c>
      <c r="M4388" s="8" t="n">
        <v>0</v>
      </c>
      <c r="N4388" s="7">
        <f>M4388*$J$4403-J4388</f>
        <v/>
      </c>
      <c r="O4388" s="9">
        <f>IF(G4388=0,0,N4388/G4388)</f>
        <v/>
      </c>
      <c r="P4388" s="6">
        <f>IF(M4388&gt;0,D4388,"")</f>
        <v/>
      </c>
      <c r="Q4388" s="9">
        <f>I4388+O4388</f>
        <v/>
      </c>
      <c r="R4388" s="7">
        <f>Q4388*G4388</f>
        <v/>
      </c>
      <c r="S4388" s="8">
        <f>IF($R$4403=0,0,R4388/$R$4403)</f>
        <v/>
      </c>
      <c r="T4388" s="8" t="n">
        <v>0.004104245253123473</v>
      </c>
      <c r="U4388" s="8" t="n">
        <v>0.0107608995068087</v>
      </c>
      <c r="V4388" s="6" t="inlineStr">
        <is>
          <t>not selected</t>
        </is>
      </c>
    </row>
    <row r="4389">
      <c r="A4389" s="6" t="inlineStr">
        <is>
          <t>DJ30</t>
        </is>
      </c>
      <c r="B4389" s="6" t="inlineStr">
        <is>
          <t>2025-09-19</t>
        </is>
      </c>
      <c r="C4389" s="6" t="inlineStr">
        <is>
          <t>DIA</t>
        </is>
      </c>
      <c r="D4389" s="6" t="inlineStr">
        <is>
          <t>KO</t>
        </is>
      </c>
      <c r="E4389" s="6" t="inlineStr">
        <is>
          <t>KO</t>
        </is>
      </c>
      <c r="F4389" s="6" t="inlineStr">
        <is>
          <t>-</t>
        </is>
      </c>
      <c r="G4389" s="7" t="n">
        <v>65.09589385986328</v>
      </c>
      <c r="H4389" s="6">
        <f>P4358</f>
        <v/>
      </c>
      <c r="I4389" s="9">
        <f>Q4358</f>
        <v/>
      </c>
      <c r="J4389" s="7">
        <f>I4389*G4389</f>
        <v/>
      </c>
      <c r="K4389" s="8">
        <f>IF($J$4403=0,0,J4389/$J$4403)</f>
        <v/>
      </c>
      <c r="L4389" s="6" t="inlineStr">
        <is>
          <t>WATCHLIST</t>
        </is>
      </c>
      <c r="M4389" s="8" t="n">
        <v>0</v>
      </c>
      <c r="N4389" s="7">
        <f>M4389*$J$4403-J4389</f>
        <v/>
      </c>
      <c r="O4389" s="9">
        <f>IF(G4389=0,0,N4389/G4389)</f>
        <v/>
      </c>
      <c r="P4389" s="6">
        <f>IF(M4389&gt;0,D4389,"")</f>
        <v/>
      </c>
      <c r="Q4389" s="9">
        <f>I4389+O4389</f>
        <v/>
      </c>
      <c r="R4389" s="7">
        <f>Q4389*G4389</f>
        <v/>
      </c>
      <c r="S4389" s="8">
        <f>IF($R$4403=0,0,R4389/$R$4403)</f>
        <v/>
      </c>
      <c r="T4389" s="8" t="n">
        <v>0.004104245253123473</v>
      </c>
      <c r="U4389" s="8" t="n">
        <v>0.0107608995068087</v>
      </c>
      <c r="V4389" s="6" t="inlineStr">
        <is>
          <t>not selected</t>
        </is>
      </c>
    </row>
    <row r="4390">
      <c r="A4390" s="6" t="inlineStr">
        <is>
          <t>DJ30</t>
        </is>
      </c>
      <c r="B4390" s="6" t="inlineStr">
        <is>
          <t>2025-09-19</t>
        </is>
      </c>
      <c r="C4390" s="6" t="inlineStr">
        <is>
          <t>DIA</t>
        </is>
      </c>
      <c r="D4390" s="6" t="inlineStr">
        <is>
          <t>MCD</t>
        </is>
      </c>
      <c r="E4390" s="6" t="inlineStr">
        <is>
          <t>MCD</t>
        </is>
      </c>
      <c r="F4390" s="6" t="inlineStr">
        <is>
          <t>-</t>
        </is>
      </c>
      <c r="G4390" s="7" t="n">
        <v>296.8929748535156</v>
      </c>
      <c r="H4390" s="6">
        <f>P4359</f>
        <v/>
      </c>
      <c r="I4390" s="9">
        <f>Q4359</f>
        <v/>
      </c>
      <c r="J4390" s="7">
        <f>I4390*G4390</f>
        <v/>
      </c>
      <c r="K4390" s="8">
        <f>IF($J$4403=0,0,J4390/$J$4403)</f>
        <v/>
      </c>
      <c r="L4390" s="6" t="inlineStr">
        <is>
          <t>REJECTED</t>
        </is>
      </c>
      <c r="M4390" s="8" t="n">
        <v>0</v>
      </c>
      <c r="N4390" s="7">
        <f>M4390*$J$4403-J4390</f>
        <v/>
      </c>
      <c r="O4390" s="9">
        <f>IF(G4390=0,0,N4390/G4390)</f>
        <v/>
      </c>
      <c r="P4390" s="6">
        <f>IF(M4390&gt;0,D4390,"")</f>
        <v/>
      </c>
      <c r="Q4390" s="9">
        <f>I4390+O4390</f>
        <v/>
      </c>
      <c r="R4390" s="7">
        <f>Q4390*G4390</f>
        <v/>
      </c>
      <c r="S4390" s="8">
        <f>IF($R$4403=0,0,R4390/$R$4403)</f>
        <v/>
      </c>
      <c r="T4390" s="8" t="n">
        <v>0.004104245253123473</v>
      </c>
      <c r="U4390" s="8" t="n">
        <v>0.0107608995068087</v>
      </c>
      <c r="V4390" s="6" t="inlineStr">
        <is>
          <t>not selected</t>
        </is>
      </c>
    </row>
    <row r="4391">
      <c r="A4391" s="6" t="inlineStr">
        <is>
          <t>DJ30</t>
        </is>
      </c>
      <c r="B4391" s="6" t="inlineStr">
        <is>
          <t>2025-09-19</t>
        </is>
      </c>
      <c r="C4391" s="6" t="inlineStr">
        <is>
          <t>DIA</t>
        </is>
      </c>
      <c r="D4391" s="6" t="inlineStr">
        <is>
          <t>MMM</t>
        </is>
      </c>
      <c r="E4391" s="6" t="inlineStr">
        <is>
          <t>MMM</t>
        </is>
      </c>
      <c r="F4391" s="6" t="inlineStr">
        <is>
          <t>-</t>
        </is>
      </c>
      <c r="G4391" s="7" t="n">
        <v>154.4347534179688</v>
      </c>
      <c r="H4391" s="6">
        <f>P4360</f>
        <v/>
      </c>
      <c r="I4391" s="9">
        <f>Q4360</f>
        <v/>
      </c>
      <c r="J4391" s="7">
        <f>I4391*G4391</f>
        <v/>
      </c>
      <c r="K4391" s="8">
        <f>IF($J$4403=0,0,J4391/$J$4403)</f>
        <v/>
      </c>
      <c r="L4391" s="6" t="inlineStr">
        <is>
          <t>WATCHLIST</t>
        </is>
      </c>
      <c r="M4391" s="8" t="n">
        <v>0</v>
      </c>
      <c r="N4391" s="7">
        <f>M4391*$J$4403-J4391</f>
        <v/>
      </c>
      <c r="O4391" s="9">
        <f>IF(G4391=0,0,N4391/G4391)</f>
        <v/>
      </c>
      <c r="P4391" s="6">
        <f>IF(M4391&gt;0,D4391,"")</f>
        <v/>
      </c>
      <c r="Q4391" s="9">
        <f>I4391+O4391</f>
        <v/>
      </c>
      <c r="R4391" s="7">
        <f>Q4391*G4391</f>
        <v/>
      </c>
      <c r="S4391" s="8">
        <f>IF($R$4403=0,0,R4391/$R$4403)</f>
        <v/>
      </c>
      <c r="T4391" s="8" t="n">
        <v>0.004104245253123473</v>
      </c>
      <c r="U4391" s="8" t="n">
        <v>0.0107608995068087</v>
      </c>
      <c r="V4391" s="6" t="inlineStr">
        <is>
          <t>not selected</t>
        </is>
      </c>
    </row>
    <row r="4392">
      <c r="A4392" s="6" t="inlineStr">
        <is>
          <t>DJ30</t>
        </is>
      </c>
      <c r="B4392" s="6" t="inlineStr">
        <is>
          <t>2025-09-19</t>
        </is>
      </c>
      <c r="C4392" s="6" t="inlineStr">
        <is>
          <t>DIA</t>
        </is>
      </c>
      <c r="D4392" s="6" t="inlineStr">
        <is>
          <t>MRK</t>
        </is>
      </c>
      <c r="E4392" s="6" t="inlineStr">
        <is>
          <t>MRK</t>
        </is>
      </c>
      <c r="F4392" s="6" t="inlineStr">
        <is>
          <t>-</t>
        </is>
      </c>
      <c r="G4392" s="7" t="n">
        <v>79.65223693847656</v>
      </c>
      <c r="H4392" s="6">
        <f>P4361</f>
        <v/>
      </c>
      <c r="I4392" s="9">
        <f>Q4361</f>
        <v/>
      </c>
      <c r="J4392" s="7">
        <f>I4392*G4392</f>
        <v/>
      </c>
      <c r="K4392" s="8">
        <f>IF($J$4403=0,0,J4392/$J$4403)</f>
        <v/>
      </c>
      <c r="L4392" s="6" t="inlineStr">
        <is>
          <t>REJECTED</t>
        </is>
      </c>
      <c r="M4392" s="8" t="n">
        <v>0</v>
      </c>
      <c r="N4392" s="7">
        <f>M4392*$J$4403-J4392</f>
        <v/>
      </c>
      <c r="O4392" s="9">
        <f>IF(G4392=0,0,N4392/G4392)</f>
        <v/>
      </c>
      <c r="P4392" s="6">
        <f>IF(M4392&gt;0,D4392,"")</f>
        <v/>
      </c>
      <c r="Q4392" s="9">
        <f>I4392+O4392</f>
        <v/>
      </c>
      <c r="R4392" s="7">
        <f>Q4392*G4392</f>
        <v/>
      </c>
      <c r="S4392" s="8">
        <f>IF($R$4403=0,0,R4392/$R$4403)</f>
        <v/>
      </c>
      <c r="T4392" s="8" t="n">
        <v>0.004104245253123473</v>
      </c>
      <c r="U4392" s="8" t="n">
        <v>0.0107608995068087</v>
      </c>
      <c r="V4392" s="6" t="inlineStr">
        <is>
          <t>not selected</t>
        </is>
      </c>
    </row>
    <row r="4393">
      <c r="A4393" s="6" t="inlineStr">
        <is>
          <t>DJ30</t>
        </is>
      </c>
      <c r="B4393" s="6" t="inlineStr">
        <is>
          <t>2025-09-19</t>
        </is>
      </c>
      <c r="C4393" s="6" t="inlineStr">
        <is>
          <t>DIA</t>
        </is>
      </c>
      <c r="D4393" s="6" t="inlineStr">
        <is>
          <t>MSFT</t>
        </is>
      </c>
      <c r="E4393" s="6" t="inlineStr">
        <is>
          <t>MSFT</t>
        </is>
      </c>
      <c r="F4393" s="6" t="inlineStr">
        <is>
          <t>-</t>
        </is>
      </c>
      <c r="G4393" s="7" t="n">
        <v>514.6704711914062</v>
      </c>
      <c r="H4393" s="6">
        <f>P4362</f>
        <v/>
      </c>
      <c r="I4393" s="9">
        <f>Q4362</f>
        <v/>
      </c>
      <c r="J4393" s="7">
        <f>I4393*G4393</f>
        <v/>
      </c>
      <c r="K4393" s="8">
        <f>IF($J$4403=0,0,J4393/$J$4403)</f>
        <v/>
      </c>
      <c r="L4393" s="6" t="inlineStr">
        <is>
          <t>WATCHLIST</t>
        </is>
      </c>
      <c r="M4393" s="8" t="n">
        <v>0</v>
      </c>
      <c r="N4393" s="7">
        <f>M4393*$J$4403-J4393</f>
        <v/>
      </c>
      <c r="O4393" s="9">
        <f>IF(G4393=0,0,N4393/G4393)</f>
        <v/>
      </c>
      <c r="P4393" s="6">
        <f>IF(M4393&gt;0,D4393,"")</f>
        <v/>
      </c>
      <c r="Q4393" s="9">
        <f>I4393+O4393</f>
        <v/>
      </c>
      <c r="R4393" s="7">
        <f>Q4393*G4393</f>
        <v/>
      </c>
      <c r="S4393" s="8">
        <f>IF($R$4403=0,0,R4393/$R$4403)</f>
        <v/>
      </c>
      <c r="T4393" s="8" t="n">
        <v>0.004104245253123473</v>
      </c>
      <c r="U4393" s="8" t="n">
        <v>0.0107608995068087</v>
      </c>
      <c r="V4393" s="6" t="inlineStr">
        <is>
          <t>not selected</t>
        </is>
      </c>
    </row>
    <row r="4394">
      <c r="A4394" s="6" t="inlineStr">
        <is>
          <t>DJ30</t>
        </is>
      </c>
      <c r="B4394" s="6" t="inlineStr">
        <is>
          <t>2025-09-19</t>
        </is>
      </c>
      <c r="C4394" s="6" t="inlineStr">
        <is>
          <t>DIA</t>
        </is>
      </c>
      <c r="D4394" s="6" t="inlineStr">
        <is>
          <t>NKE</t>
        </is>
      </c>
      <c r="E4394" s="6" t="inlineStr">
        <is>
          <t>NKE</t>
        </is>
      </c>
      <c r="F4394" s="6" t="inlineStr">
        <is>
          <t>-</t>
        </is>
      </c>
      <c r="G4394" s="7" t="n">
        <v>69.35523223876953</v>
      </c>
      <c r="H4394" s="6">
        <f>P4363</f>
        <v/>
      </c>
      <c r="I4394" s="9">
        <f>Q4363</f>
        <v/>
      </c>
      <c r="J4394" s="7">
        <f>I4394*G4394</f>
        <v/>
      </c>
      <c r="K4394" s="8">
        <f>IF($J$4403=0,0,J4394/$J$4403)</f>
        <v/>
      </c>
      <c r="L4394" s="6" t="inlineStr">
        <is>
          <t>REJECTED</t>
        </is>
      </c>
      <c r="M4394" s="8" t="n">
        <v>0</v>
      </c>
      <c r="N4394" s="7">
        <f>M4394*$J$4403-J4394</f>
        <v/>
      </c>
      <c r="O4394" s="9">
        <f>IF(G4394=0,0,N4394/G4394)</f>
        <v/>
      </c>
      <c r="P4394" s="6">
        <f>IF(M4394&gt;0,D4394,"")</f>
        <v/>
      </c>
      <c r="Q4394" s="9">
        <f>I4394+O4394</f>
        <v/>
      </c>
      <c r="R4394" s="7">
        <f>Q4394*G4394</f>
        <v/>
      </c>
      <c r="S4394" s="8">
        <f>IF($R$4403=0,0,R4394/$R$4403)</f>
        <v/>
      </c>
      <c r="T4394" s="8" t="n">
        <v>0.004104245253123473</v>
      </c>
      <c r="U4394" s="8" t="n">
        <v>0.0107608995068087</v>
      </c>
      <c r="V4394" s="6" t="inlineStr">
        <is>
          <t>not selected</t>
        </is>
      </c>
    </row>
    <row r="4395">
      <c r="A4395" s="6" t="inlineStr">
        <is>
          <t>DJ30</t>
        </is>
      </c>
      <c r="B4395" s="6" t="inlineStr">
        <is>
          <t>2025-09-19</t>
        </is>
      </c>
      <c r="C4395" s="6" t="inlineStr">
        <is>
          <t>DIA</t>
        </is>
      </c>
      <c r="D4395" s="6" t="inlineStr">
        <is>
          <t>NVDA</t>
        </is>
      </c>
      <c r="E4395" s="6" t="inlineStr">
        <is>
          <t>NVDA</t>
        </is>
      </c>
      <c r="F4395" s="6" t="inlineStr">
        <is>
          <t>-</t>
        </is>
      </c>
      <c r="G4395" s="7" t="n">
        <v>176.4449462890625</v>
      </c>
      <c r="H4395" s="6">
        <f>P4364</f>
        <v/>
      </c>
      <c r="I4395" s="9">
        <f>Q4364</f>
        <v/>
      </c>
      <c r="J4395" s="7">
        <f>I4395*G4395</f>
        <v/>
      </c>
      <c r="K4395" s="8">
        <f>IF($J$4403=0,0,J4395/$J$4403)</f>
        <v/>
      </c>
      <c r="L4395" s="6" t="inlineStr">
        <is>
          <t>REJECTED</t>
        </is>
      </c>
      <c r="M4395" s="8" t="n">
        <v>0</v>
      </c>
      <c r="N4395" s="7">
        <f>M4395*$J$4403-J4395</f>
        <v/>
      </c>
      <c r="O4395" s="9">
        <f>IF(G4395=0,0,N4395/G4395)</f>
        <v/>
      </c>
      <c r="P4395" s="6">
        <f>IF(M4395&gt;0,D4395,"")</f>
        <v/>
      </c>
      <c r="Q4395" s="9">
        <f>I4395+O4395</f>
        <v/>
      </c>
      <c r="R4395" s="7">
        <f>Q4395*G4395</f>
        <v/>
      </c>
      <c r="S4395" s="8">
        <f>IF($R$4403=0,0,R4395/$R$4403)</f>
        <v/>
      </c>
      <c r="T4395" s="8" t="n">
        <v>0.004104245253123473</v>
      </c>
      <c r="U4395" s="8" t="n">
        <v>0.0107608995068087</v>
      </c>
      <c r="V4395" s="6" t="inlineStr">
        <is>
          <t>not selected</t>
        </is>
      </c>
    </row>
    <row r="4396">
      <c r="A4396" s="6" t="inlineStr">
        <is>
          <t>DJ30</t>
        </is>
      </c>
      <c r="B4396" s="6" t="inlineStr">
        <is>
          <t>2025-09-19</t>
        </is>
      </c>
      <c r="C4396" s="6" t="inlineStr">
        <is>
          <t>DIA</t>
        </is>
      </c>
      <c r="D4396" s="6" t="inlineStr">
        <is>
          <t>PG</t>
        </is>
      </c>
      <c r="E4396" s="6" t="inlineStr">
        <is>
          <t>PG</t>
        </is>
      </c>
      <c r="F4396" s="6" t="inlineStr">
        <is>
          <t>-</t>
        </is>
      </c>
      <c r="G4396" s="7" t="n">
        <v>152.7140045166016</v>
      </c>
      <c r="H4396" s="6">
        <f>P4365</f>
        <v/>
      </c>
      <c r="I4396" s="9">
        <f>Q4365</f>
        <v/>
      </c>
      <c r="J4396" s="7">
        <f>I4396*G4396</f>
        <v/>
      </c>
      <c r="K4396" s="8">
        <f>IF($J$4403=0,0,J4396/$J$4403)</f>
        <v/>
      </c>
      <c r="L4396" s="6" t="inlineStr">
        <is>
          <t>REJECTED</t>
        </is>
      </c>
      <c r="M4396" s="8" t="n">
        <v>0</v>
      </c>
      <c r="N4396" s="7">
        <f>M4396*$J$4403-J4396</f>
        <v/>
      </c>
      <c r="O4396" s="9">
        <f>IF(G4396=0,0,N4396/G4396)</f>
        <v/>
      </c>
      <c r="P4396" s="6">
        <f>IF(M4396&gt;0,D4396,"")</f>
        <v/>
      </c>
      <c r="Q4396" s="9">
        <f>I4396+O4396</f>
        <v/>
      </c>
      <c r="R4396" s="7">
        <f>Q4396*G4396</f>
        <v/>
      </c>
      <c r="S4396" s="8">
        <f>IF($R$4403=0,0,R4396/$R$4403)</f>
        <v/>
      </c>
      <c r="T4396" s="8" t="n">
        <v>0.004104245253123473</v>
      </c>
      <c r="U4396" s="8" t="n">
        <v>0.0107608995068087</v>
      </c>
      <c r="V4396" s="6" t="inlineStr">
        <is>
          <t>not selected</t>
        </is>
      </c>
    </row>
    <row r="4397">
      <c r="A4397" s="6" t="inlineStr">
        <is>
          <t>DJ30</t>
        </is>
      </c>
      <c r="B4397" s="6" t="inlineStr">
        <is>
          <t>2025-09-19</t>
        </is>
      </c>
      <c r="C4397" s="6" t="inlineStr">
        <is>
          <t>DIA</t>
        </is>
      </c>
      <c r="D4397" s="6" t="inlineStr">
        <is>
          <t>SHW</t>
        </is>
      </c>
      <c r="E4397" s="6" t="inlineStr">
        <is>
          <t>SHW</t>
        </is>
      </c>
      <c r="F4397" s="6" t="inlineStr">
        <is>
          <t>-</t>
        </is>
      </c>
      <c r="G4397" s="7" t="n">
        <v>344.3352661132812</v>
      </c>
      <c r="H4397" s="6">
        <f>P4366</f>
        <v/>
      </c>
      <c r="I4397" s="9">
        <f>Q4366</f>
        <v/>
      </c>
      <c r="J4397" s="7">
        <f>I4397*G4397</f>
        <v/>
      </c>
      <c r="K4397" s="8">
        <f>IF($J$4403=0,0,J4397/$J$4403)</f>
        <v/>
      </c>
      <c r="L4397" s="6" t="inlineStr">
        <is>
          <t>REJECTED</t>
        </is>
      </c>
      <c r="M4397" s="8" t="n">
        <v>0</v>
      </c>
      <c r="N4397" s="7">
        <f>M4397*$J$4403-J4397</f>
        <v/>
      </c>
      <c r="O4397" s="9">
        <f>IF(G4397=0,0,N4397/G4397)</f>
        <v/>
      </c>
      <c r="P4397" s="6">
        <f>IF(M4397&gt;0,D4397,"")</f>
        <v/>
      </c>
      <c r="Q4397" s="9">
        <f>I4397+O4397</f>
        <v/>
      </c>
      <c r="R4397" s="7">
        <f>Q4397*G4397</f>
        <v/>
      </c>
      <c r="S4397" s="8">
        <f>IF($R$4403=0,0,R4397/$R$4403)</f>
        <v/>
      </c>
      <c r="T4397" s="8" t="n">
        <v>0.004104245253123473</v>
      </c>
      <c r="U4397" s="8" t="n">
        <v>0.0107608995068087</v>
      </c>
      <c r="V4397" s="6" t="inlineStr">
        <is>
          <t>not selected</t>
        </is>
      </c>
    </row>
    <row r="4398">
      <c r="A4398" s="6" t="inlineStr">
        <is>
          <t>DJ30</t>
        </is>
      </c>
      <c r="B4398" s="6" t="inlineStr">
        <is>
          <t>2025-09-19</t>
        </is>
      </c>
      <c r="C4398" s="6" t="inlineStr">
        <is>
          <t>DIA</t>
        </is>
      </c>
      <c r="D4398" s="6" t="inlineStr">
        <is>
          <t>TRV</t>
        </is>
      </c>
      <c r="E4398" s="6" t="inlineStr">
        <is>
          <t>TRV</t>
        </is>
      </c>
      <c r="F4398" s="6" t="inlineStr">
        <is>
          <t>-</t>
        </is>
      </c>
      <c r="G4398" s="7" t="n">
        <v>273.7630004882812</v>
      </c>
      <c r="H4398" s="6">
        <f>P4367</f>
        <v/>
      </c>
      <c r="I4398" s="9">
        <f>Q4367</f>
        <v/>
      </c>
      <c r="J4398" s="7">
        <f>I4398*G4398</f>
        <v/>
      </c>
      <c r="K4398" s="8">
        <f>IF($J$4403=0,0,J4398/$J$4403)</f>
        <v/>
      </c>
      <c r="L4398" s="6" t="inlineStr">
        <is>
          <t>SELECTED</t>
        </is>
      </c>
      <c r="M4398" s="8" t="n">
        <v>0.2</v>
      </c>
      <c r="N4398" s="7">
        <f>M4398*$J$4403-J4398</f>
        <v/>
      </c>
      <c r="O4398" s="9">
        <f>IF(G4398=0,0,N4398/G4398)</f>
        <v/>
      </c>
      <c r="P4398" s="6">
        <f>IF(M4398&gt;0,D4398,"")</f>
        <v/>
      </c>
      <c r="Q4398" s="9">
        <f>I4398+O4398</f>
        <v/>
      </c>
      <c r="R4398" s="7">
        <f>Q4398*G4398</f>
        <v/>
      </c>
      <c r="S4398" s="8">
        <f>IF($R$4403=0,0,R4398/$R$4403)</f>
        <v/>
      </c>
      <c r="T4398" s="8" t="n">
        <v>0.004104245253123473</v>
      </c>
      <c r="U4398" s="8" t="n">
        <v>0.0107608995068087</v>
      </c>
      <c r="V4398" s="6" t="inlineStr">
        <is>
          <t>remained in weekly selection</t>
        </is>
      </c>
    </row>
    <row r="4399">
      <c r="A4399" s="6" t="inlineStr">
        <is>
          <t>DJ30</t>
        </is>
      </c>
      <c r="B4399" s="6" t="inlineStr">
        <is>
          <t>2025-09-19</t>
        </is>
      </c>
      <c r="C4399" s="6" t="inlineStr">
        <is>
          <t>DIA</t>
        </is>
      </c>
      <c r="D4399" s="6" t="inlineStr">
        <is>
          <t>UNH</t>
        </is>
      </c>
      <c r="E4399" s="6" t="inlineStr">
        <is>
          <t>UNH</t>
        </is>
      </c>
      <c r="F4399" s="6" t="inlineStr">
        <is>
          <t>-</t>
        </is>
      </c>
      <c r="G4399" s="7" t="n">
        <v>329.9767456054688</v>
      </c>
      <c r="H4399" s="6">
        <f>P4368</f>
        <v/>
      </c>
      <c r="I4399" s="9">
        <f>Q4368</f>
        <v/>
      </c>
      <c r="J4399" s="7">
        <f>I4399*G4399</f>
        <v/>
      </c>
      <c r="K4399" s="8">
        <f>IF($J$4403=0,0,J4399/$J$4403)</f>
        <v/>
      </c>
      <c r="L4399" s="6" t="inlineStr">
        <is>
          <t>REJECTED</t>
        </is>
      </c>
      <c r="M4399" s="8" t="n">
        <v>0</v>
      </c>
      <c r="N4399" s="7">
        <f>M4399*$J$4403-J4399</f>
        <v/>
      </c>
      <c r="O4399" s="9">
        <f>IF(G4399=0,0,N4399/G4399)</f>
        <v/>
      </c>
      <c r="P4399" s="6">
        <f>IF(M4399&gt;0,D4399,"")</f>
        <v/>
      </c>
      <c r="Q4399" s="9">
        <f>I4399+O4399</f>
        <v/>
      </c>
      <c r="R4399" s="7">
        <f>Q4399*G4399</f>
        <v/>
      </c>
      <c r="S4399" s="8">
        <f>IF($R$4403=0,0,R4399/$R$4403)</f>
        <v/>
      </c>
      <c r="T4399" s="8" t="n">
        <v>0.004104245253123473</v>
      </c>
      <c r="U4399" s="8" t="n">
        <v>0.0107608995068087</v>
      </c>
      <c r="V4399" s="6" t="inlineStr">
        <is>
          <t>not selected</t>
        </is>
      </c>
    </row>
    <row r="4400">
      <c r="A4400" s="6" t="inlineStr">
        <is>
          <t>DJ30</t>
        </is>
      </c>
      <c r="B4400" s="6" t="inlineStr">
        <is>
          <t>2025-09-19</t>
        </is>
      </c>
      <c r="C4400" s="6" t="inlineStr">
        <is>
          <t>DIA</t>
        </is>
      </c>
      <c r="D4400" s="6" t="inlineStr">
        <is>
          <t>V</t>
        </is>
      </c>
      <c r="E4400" s="6" t="inlineStr">
        <is>
          <t>V</t>
        </is>
      </c>
      <c r="F4400" s="6" t="inlineStr">
        <is>
          <t>-</t>
        </is>
      </c>
      <c r="G4400" s="7" t="n">
        <v>339.5292053222656</v>
      </c>
      <c r="H4400" s="6">
        <f>P4369</f>
        <v/>
      </c>
      <c r="I4400" s="9">
        <f>Q4369</f>
        <v/>
      </c>
      <c r="J4400" s="7">
        <f>I4400*G4400</f>
        <v/>
      </c>
      <c r="K4400" s="8">
        <f>IF($J$4403=0,0,J4400/$J$4403)</f>
        <v/>
      </c>
      <c r="L4400" s="6" t="inlineStr">
        <is>
          <t>WATCHLIST</t>
        </is>
      </c>
      <c r="M4400" s="8" t="n">
        <v>0</v>
      </c>
      <c r="N4400" s="7">
        <f>M4400*$J$4403-J4400</f>
        <v/>
      </c>
      <c r="O4400" s="9">
        <f>IF(G4400=0,0,N4400/G4400)</f>
        <v/>
      </c>
      <c r="P4400" s="6">
        <f>IF(M4400&gt;0,D4400,"")</f>
        <v/>
      </c>
      <c r="Q4400" s="9">
        <f>I4400+O4400</f>
        <v/>
      </c>
      <c r="R4400" s="7">
        <f>Q4400*G4400</f>
        <v/>
      </c>
      <c r="S4400" s="8">
        <f>IF($R$4403=0,0,R4400/$R$4403)</f>
        <v/>
      </c>
      <c r="T4400" s="8" t="n">
        <v>0.004104245253123473</v>
      </c>
      <c r="U4400" s="8" t="n">
        <v>0.0107608995068087</v>
      </c>
      <c r="V4400" s="6" t="inlineStr">
        <is>
          <t>not selected</t>
        </is>
      </c>
    </row>
    <row r="4401">
      <c r="A4401" s="6" t="inlineStr">
        <is>
          <t>DJ30</t>
        </is>
      </c>
      <c r="B4401" s="6" t="inlineStr">
        <is>
          <t>2025-09-19</t>
        </is>
      </c>
      <c r="C4401" s="6" t="inlineStr">
        <is>
          <t>DIA</t>
        </is>
      </c>
      <c r="D4401" s="6" t="inlineStr">
        <is>
          <t>VZ</t>
        </is>
      </c>
      <c r="E4401" s="6" t="inlineStr">
        <is>
          <t>VZ</t>
        </is>
      </c>
      <c r="F4401" s="6" t="inlineStr">
        <is>
          <t>-</t>
        </is>
      </c>
      <c r="G4401" s="7" t="n">
        <v>41.39365005493164</v>
      </c>
      <c r="H4401" s="6">
        <f>P4370</f>
        <v/>
      </c>
      <c r="I4401" s="9">
        <f>Q4370</f>
        <v/>
      </c>
      <c r="J4401" s="7">
        <f>I4401*G4401</f>
        <v/>
      </c>
      <c r="K4401" s="8">
        <f>IF($J$4403=0,0,J4401/$J$4403)</f>
        <v/>
      </c>
      <c r="L4401" s="6" t="inlineStr">
        <is>
          <t>SELECTED</t>
        </is>
      </c>
      <c r="M4401" s="8" t="n">
        <v>0.2</v>
      </c>
      <c r="N4401" s="7">
        <f>M4401*$J$4403-J4401</f>
        <v/>
      </c>
      <c r="O4401" s="9">
        <f>IF(G4401=0,0,N4401/G4401)</f>
        <v/>
      </c>
      <c r="P4401" s="6">
        <f>IF(M4401&gt;0,D4401,"")</f>
        <v/>
      </c>
      <c r="Q4401" s="9">
        <f>I4401+O4401</f>
        <v/>
      </c>
      <c r="R4401" s="7">
        <f>Q4401*G4401</f>
        <v/>
      </c>
      <c r="S4401" s="8">
        <f>IF($R$4403=0,0,R4401/$R$4403)</f>
        <v/>
      </c>
      <c r="T4401" s="8" t="n">
        <v>0.004104245253123473</v>
      </c>
      <c r="U4401" s="8" t="n">
        <v>0.0107608995068087</v>
      </c>
      <c r="V4401" s="6" t="inlineStr">
        <is>
          <t>remained in weekly selection</t>
        </is>
      </c>
    </row>
    <row r="4402">
      <c r="A4402" s="6" t="inlineStr">
        <is>
          <t>DJ30</t>
        </is>
      </c>
      <c r="B4402" s="6" t="inlineStr">
        <is>
          <t>2025-09-19</t>
        </is>
      </c>
      <c r="C4402" s="6" t="inlineStr">
        <is>
          <t>DIA</t>
        </is>
      </c>
      <c r="D4402" s="6" t="inlineStr">
        <is>
          <t>WMT</t>
        </is>
      </c>
      <c r="E4402" s="6" t="inlineStr">
        <is>
          <t>WMT</t>
        </is>
      </c>
      <c r="F4402" s="6" t="inlineStr">
        <is>
          <t>-</t>
        </is>
      </c>
      <c r="G4402" s="7" t="n">
        <v>101.7185592651367</v>
      </c>
      <c r="H4402" s="6">
        <f>P4371</f>
        <v/>
      </c>
      <c r="I4402" s="9">
        <f>Q4371</f>
        <v/>
      </c>
      <c r="J4402" s="7">
        <f>I4402*G4402</f>
        <v/>
      </c>
      <c r="K4402" s="8">
        <f>IF($J$4403=0,0,J4402/$J$4403)</f>
        <v/>
      </c>
      <c r="L4402" s="6" t="inlineStr">
        <is>
          <t>SELECTED</t>
        </is>
      </c>
      <c r="M4402" s="8" t="n">
        <v>0.2</v>
      </c>
      <c r="N4402" s="7">
        <f>M4402*$J$4403-J4402</f>
        <v/>
      </c>
      <c r="O4402" s="9">
        <f>IF(G4402=0,0,N4402/G4402)</f>
        <v/>
      </c>
      <c r="P4402" s="6">
        <f>IF(M4402&gt;0,D4402,"")</f>
        <v/>
      </c>
      <c r="Q4402" s="9">
        <f>I4402+O4402</f>
        <v/>
      </c>
      <c r="R4402" s="7">
        <f>Q4402*G4402</f>
        <v/>
      </c>
      <c r="S4402" s="8">
        <f>IF($R$4403=0,0,R4402/$R$4403)</f>
        <v/>
      </c>
      <c r="T4402" s="8" t="n">
        <v>0.004104245253123473</v>
      </c>
      <c r="U4402" s="8" t="n">
        <v>0.0107608995068087</v>
      </c>
      <c r="V4402" s="6" t="inlineStr">
        <is>
          <t>remained in weekly selection</t>
        </is>
      </c>
    </row>
    <row r="4403">
      <c r="A4403" s="10" t="inlineStr">
        <is>
          <t>DJ30</t>
        </is>
      </c>
      <c r="B4403" s="10" t="inlineStr">
        <is>
          <t>2025-09-19</t>
        </is>
      </c>
      <c r="C4403" s="10" t="inlineStr">
        <is>
          <t>DIA</t>
        </is>
      </c>
      <c r="D4403" s="10" t="inlineStr">
        <is>
          <t>Tot Portfolio</t>
        </is>
      </c>
      <c r="E4403" s="10" t="inlineStr"/>
      <c r="F4403" s="10" t="inlineStr"/>
      <c r="G4403" s="11" t="inlineStr"/>
      <c r="H4403" s="10" t="inlineStr"/>
      <c r="I4403" s="12" t="inlineStr"/>
      <c r="J4403" s="11">
        <f>SUM(J4373:J4402)</f>
        <v/>
      </c>
      <c r="K4403" s="13">
        <f>SUM(K4373:K4402)</f>
        <v/>
      </c>
      <c r="L4403" s="10" t="inlineStr">
        <is>
          <t>TOTAL</t>
        </is>
      </c>
      <c r="M4403" s="13">
        <f>SUM(M4373:M4402)</f>
        <v/>
      </c>
      <c r="N4403" s="11">
        <f>SUM(N4373:N4402)</f>
        <v/>
      </c>
      <c r="O4403" s="12">
        <f>SUM(O4373:O4402)</f>
        <v/>
      </c>
      <c r="P4403" s="10" t="inlineStr"/>
      <c r="Q4403" s="12" t="inlineStr"/>
      <c r="R4403" s="11">
        <f>SUM(R4373:R4402)</f>
        <v/>
      </c>
      <c r="S4403" s="13">
        <f>SUM(S4373:S4402)</f>
        <v/>
      </c>
      <c r="T4403" s="13" t="n">
        <v>0.004104245253123473</v>
      </c>
      <c r="U4403" s="13" t="n">
        <v>0.0107608995068087</v>
      </c>
      <c r="V4403" s="10" t="inlineStr"/>
    </row>
    <row r="4404">
      <c r="A4404" s="6" t="inlineStr">
        <is>
          <t>DJ30</t>
        </is>
      </c>
      <c r="B4404" s="6" t="inlineStr">
        <is>
          <t>2025-09-26</t>
        </is>
      </c>
      <c r="C4404" s="6" t="inlineStr">
        <is>
          <t>DIA</t>
        </is>
      </c>
      <c r="D4404" s="6" t="inlineStr">
        <is>
          <t>AAPL</t>
        </is>
      </c>
      <c r="E4404" s="6" t="inlineStr">
        <is>
          <t>AAPL</t>
        </is>
      </c>
      <c r="F4404" s="6" t="inlineStr">
        <is>
          <t>-</t>
        </is>
      </c>
      <c r="G4404" s="7" t="n">
        <v>254.7393341064453</v>
      </c>
      <c r="H4404" s="6">
        <f>P4373</f>
        <v/>
      </c>
      <c r="I4404" s="9">
        <f>Q4373</f>
        <v/>
      </c>
      <c r="J4404" s="7">
        <f>I4404*G4404</f>
        <v/>
      </c>
      <c r="K4404" s="8">
        <f>IF($J$4434=0,0,J4404/$J$4434)</f>
        <v/>
      </c>
      <c r="L4404" s="6" t="inlineStr">
        <is>
          <t>REJECTED</t>
        </is>
      </c>
      <c r="M4404" s="8" t="n">
        <v>0</v>
      </c>
      <c r="N4404" s="7">
        <f>M4404*$J$4434-J4404</f>
        <v/>
      </c>
      <c r="O4404" s="9">
        <f>IF(G4404=0,0,N4404/G4404)</f>
        <v/>
      </c>
      <c r="P4404" s="6">
        <f>IF(M4404&gt;0,D4404,"")</f>
        <v/>
      </c>
      <c r="Q4404" s="9">
        <f>I4404+O4404</f>
        <v/>
      </c>
      <c r="R4404" s="7">
        <f>Q4404*G4404</f>
        <v/>
      </c>
      <c r="S4404" s="8">
        <f>IF($R$4434=0,0,R4404/$R$4434)</f>
        <v/>
      </c>
      <c r="T4404" s="8" t="n">
        <v>0.02061774895363833</v>
      </c>
      <c r="U4404" s="8" t="n">
        <v>-0.001425715749505785</v>
      </c>
      <c r="V4404" s="6" t="inlineStr">
        <is>
          <t>not selected</t>
        </is>
      </c>
    </row>
    <row r="4405">
      <c r="A4405" s="6" t="inlineStr">
        <is>
          <t>DJ30</t>
        </is>
      </c>
      <c r="B4405" s="6" t="inlineStr">
        <is>
          <t>2025-09-26</t>
        </is>
      </c>
      <c r="C4405" s="6" t="inlineStr">
        <is>
          <t>DIA</t>
        </is>
      </c>
      <c r="D4405" s="6" t="inlineStr">
        <is>
          <t>AMGN</t>
        </is>
      </c>
      <c r="E4405" s="6" t="inlineStr">
        <is>
          <t>AMGN</t>
        </is>
      </c>
      <c r="F4405" s="6" t="inlineStr">
        <is>
          <t>-</t>
        </is>
      </c>
      <c r="G4405" s="7" t="n">
        <v>267.1640930175781</v>
      </c>
      <c r="H4405" s="6">
        <f>P4374</f>
        <v/>
      </c>
      <c r="I4405" s="9">
        <f>Q4374</f>
        <v/>
      </c>
      <c r="J4405" s="7">
        <f>I4405*G4405</f>
        <v/>
      </c>
      <c r="K4405" s="8">
        <f>IF($J$4434=0,0,J4405/$J$4434)</f>
        <v/>
      </c>
      <c r="L4405" s="6" t="inlineStr">
        <is>
          <t>REJECTED</t>
        </is>
      </c>
      <c r="M4405" s="8" t="n">
        <v>0</v>
      </c>
      <c r="N4405" s="7">
        <f>M4405*$J$4434-J4405</f>
        <v/>
      </c>
      <c r="O4405" s="9">
        <f>IF(G4405=0,0,N4405/G4405)</f>
        <v/>
      </c>
      <c r="P4405" s="6">
        <f>IF(M4405&gt;0,D4405,"")</f>
        <v/>
      </c>
      <c r="Q4405" s="9">
        <f>I4405+O4405</f>
        <v/>
      </c>
      <c r="R4405" s="7">
        <f>Q4405*G4405</f>
        <v/>
      </c>
      <c r="S4405" s="8">
        <f>IF($R$4434=0,0,R4405/$R$4434)</f>
        <v/>
      </c>
      <c r="T4405" s="8" t="n">
        <v>0.02061774895363833</v>
      </c>
      <c r="U4405" s="8" t="n">
        <v>-0.001425715749505785</v>
      </c>
      <c r="V4405" s="6" t="inlineStr">
        <is>
          <t>not selected</t>
        </is>
      </c>
    </row>
    <row r="4406">
      <c r="A4406" s="6" t="inlineStr">
        <is>
          <t>DJ30</t>
        </is>
      </c>
      <c r="B4406" s="6" t="inlineStr">
        <is>
          <t>2025-09-26</t>
        </is>
      </c>
      <c r="C4406" s="6" t="inlineStr">
        <is>
          <t>DIA</t>
        </is>
      </c>
      <c r="D4406" s="6" t="inlineStr">
        <is>
          <t>AMZN</t>
        </is>
      </c>
      <c r="E4406" s="6" t="inlineStr">
        <is>
          <t>AMZN</t>
        </is>
      </c>
      <c r="F4406" s="6" t="inlineStr">
        <is>
          <t>-</t>
        </is>
      </c>
      <c r="G4406" s="7" t="n">
        <v>219.7799987792969</v>
      </c>
      <c r="H4406" s="6">
        <f>P4375</f>
        <v/>
      </c>
      <c r="I4406" s="9">
        <f>Q4375</f>
        <v/>
      </c>
      <c r="J4406" s="7">
        <f>I4406*G4406</f>
        <v/>
      </c>
      <c r="K4406" s="8">
        <f>IF($J$4434=0,0,J4406/$J$4434)</f>
        <v/>
      </c>
      <c r="L4406" s="6" t="inlineStr">
        <is>
          <t>REJECTED</t>
        </is>
      </c>
      <c r="M4406" s="8" t="n">
        <v>0</v>
      </c>
      <c r="N4406" s="7">
        <f>M4406*$J$4434-J4406</f>
        <v/>
      </c>
      <c r="O4406" s="9">
        <f>IF(G4406=0,0,N4406/G4406)</f>
        <v/>
      </c>
      <c r="P4406" s="6">
        <f>IF(M4406&gt;0,D4406,"")</f>
        <v/>
      </c>
      <c r="Q4406" s="9">
        <f>I4406+O4406</f>
        <v/>
      </c>
      <c r="R4406" s="7">
        <f>Q4406*G4406</f>
        <v/>
      </c>
      <c r="S4406" s="8">
        <f>IF($R$4434=0,0,R4406/$R$4434)</f>
        <v/>
      </c>
      <c r="T4406" s="8" t="n">
        <v>0.02061774895363833</v>
      </c>
      <c r="U4406" s="8" t="n">
        <v>-0.001425715749505785</v>
      </c>
      <c r="V4406" s="6" t="inlineStr">
        <is>
          <t>not selected</t>
        </is>
      </c>
    </row>
    <row r="4407">
      <c r="A4407" s="6" t="inlineStr">
        <is>
          <t>DJ30</t>
        </is>
      </c>
      <c r="B4407" s="6" t="inlineStr">
        <is>
          <t>2025-09-26</t>
        </is>
      </c>
      <c r="C4407" s="6" t="inlineStr">
        <is>
          <t>DIA</t>
        </is>
      </c>
      <c r="D4407" s="6" t="inlineStr">
        <is>
          <t>AXP</t>
        </is>
      </c>
      <c r="E4407" s="6" t="inlineStr">
        <is>
          <t>AXP</t>
        </is>
      </c>
      <c r="F4407" s="6" t="inlineStr">
        <is>
          <t>-</t>
        </is>
      </c>
      <c r="G4407" s="7" t="n">
        <v>338.9893188476562</v>
      </c>
      <c r="H4407" s="6">
        <f>P4376</f>
        <v/>
      </c>
      <c r="I4407" s="9">
        <f>Q4376</f>
        <v/>
      </c>
      <c r="J4407" s="7">
        <f>I4407*G4407</f>
        <v/>
      </c>
      <c r="K4407" s="8">
        <f>IF($J$4434=0,0,J4407/$J$4434)</f>
        <v/>
      </c>
      <c r="L4407" s="6" t="inlineStr">
        <is>
          <t>REJECTED</t>
        </is>
      </c>
      <c r="M4407" s="8" t="n">
        <v>0</v>
      </c>
      <c r="N4407" s="7">
        <f>M4407*$J$4434-J4407</f>
        <v/>
      </c>
      <c r="O4407" s="9">
        <f>IF(G4407=0,0,N4407/G4407)</f>
        <v/>
      </c>
      <c r="P4407" s="6">
        <f>IF(M4407&gt;0,D4407,"")</f>
        <v/>
      </c>
      <c r="Q4407" s="9">
        <f>I4407+O4407</f>
        <v/>
      </c>
      <c r="R4407" s="7">
        <f>Q4407*G4407</f>
        <v/>
      </c>
      <c r="S4407" s="8">
        <f>IF($R$4434=0,0,R4407/$R$4434)</f>
        <v/>
      </c>
      <c r="T4407" s="8" t="n">
        <v>0.02061774895363833</v>
      </c>
      <c r="U4407" s="8" t="n">
        <v>-0.001425715749505785</v>
      </c>
      <c r="V4407" s="6" t="inlineStr">
        <is>
          <t>not selected</t>
        </is>
      </c>
    </row>
    <row r="4408">
      <c r="A4408" s="6" t="inlineStr">
        <is>
          <t>DJ30</t>
        </is>
      </c>
      <c r="B4408" s="6" t="inlineStr">
        <is>
          <t>2025-09-26</t>
        </is>
      </c>
      <c r="C4408" s="6" t="inlineStr">
        <is>
          <t>DIA</t>
        </is>
      </c>
      <c r="D4408" s="6" t="inlineStr">
        <is>
          <t>BA</t>
        </is>
      </c>
      <c r="E4408" s="6" t="inlineStr">
        <is>
          <t>BA</t>
        </is>
      </c>
      <c r="F4408" s="6" t="inlineStr">
        <is>
          <t>-</t>
        </is>
      </c>
      <c r="G4408" s="7" t="n">
        <v>221.259994506836</v>
      </c>
      <c r="H4408" s="6">
        <f>P4377</f>
        <v/>
      </c>
      <c r="I4408" s="9">
        <f>Q4377</f>
        <v/>
      </c>
      <c r="J4408" s="7">
        <f>I4408*G4408</f>
        <v/>
      </c>
      <c r="K4408" s="8">
        <f>IF($J$4434=0,0,J4408/$J$4434)</f>
        <v/>
      </c>
      <c r="L4408" s="6" t="inlineStr">
        <is>
          <t>SELECTED</t>
        </is>
      </c>
      <c r="M4408" s="8" t="n">
        <v>0.2</v>
      </c>
      <c r="N4408" s="7">
        <f>M4408*$J$4434-J4408</f>
        <v/>
      </c>
      <c r="O4408" s="9">
        <f>IF(G4408=0,0,N4408/G4408)</f>
        <v/>
      </c>
      <c r="P4408" s="6">
        <f>IF(M4408&gt;0,D4408,"")</f>
        <v/>
      </c>
      <c r="Q4408" s="9">
        <f>I4408+O4408</f>
        <v/>
      </c>
      <c r="R4408" s="7">
        <f>Q4408*G4408</f>
        <v/>
      </c>
      <c r="S4408" s="8">
        <f>IF($R$4434=0,0,R4408/$R$4434)</f>
        <v/>
      </c>
      <c r="T4408" s="8" t="n">
        <v>0.02061774895363833</v>
      </c>
      <c r="U4408" s="8" t="n">
        <v>-0.001425715749505785</v>
      </c>
      <c r="V4408" s="6" t="inlineStr">
        <is>
          <t>remained in weekly selection</t>
        </is>
      </c>
    </row>
    <row r="4409">
      <c r="A4409" s="6" t="inlineStr">
        <is>
          <t>DJ30</t>
        </is>
      </c>
      <c r="B4409" s="6" t="inlineStr">
        <is>
          <t>2025-09-26</t>
        </is>
      </c>
      <c r="C4409" s="6" t="inlineStr">
        <is>
          <t>DIA</t>
        </is>
      </c>
      <c r="D4409" s="6" t="inlineStr">
        <is>
          <t>CAT</t>
        </is>
      </c>
      <c r="E4409" s="6" t="inlineStr">
        <is>
          <t>CAT</t>
        </is>
      </c>
      <c r="F4409" s="6" t="inlineStr">
        <is>
          <t>-</t>
        </is>
      </c>
      <c r="G4409" s="7" t="n">
        <v>462.461181640625</v>
      </c>
      <c r="H4409" s="6">
        <f>P4378</f>
        <v/>
      </c>
      <c r="I4409" s="9">
        <f>Q4378</f>
        <v/>
      </c>
      <c r="J4409" s="7">
        <f>I4409*G4409</f>
        <v/>
      </c>
      <c r="K4409" s="8">
        <f>IF($J$4434=0,0,J4409/$J$4434)</f>
        <v/>
      </c>
      <c r="L4409" s="6" t="inlineStr">
        <is>
          <t>REJECTED</t>
        </is>
      </c>
      <c r="M4409" s="8" t="n">
        <v>0</v>
      </c>
      <c r="N4409" s="7">
        <f>M4409*$J$4434-J4409</f>
        <v/>
      </c>
      <c r="O4409" s="9">
        <f>IF(G4409=0,0,N4409/G4409)</f>
        <v/>
      </c>
      <c r="P4409" s="6">
        <f>IF(M4409&gt;0,D4409,"")</f>
        <v/>
      </c>
      <c r="Q4409" s="9">
        <f>I4409+O4409</f>
        <v/>
      </c>
      <c r="R4409" s="7">
        <f>Q4409*G4409</f>
        <v/>
      </c>
      <c r="S4409" s="8">
        <f>IF($R$4434=0,0,R4409/$R$4434)</f>
        <v/>
      </c>
      <c r="T4409" s="8" t="n">
        <v>0.02061774895363833</v>
      </c>
      <c r="U4409" s="8" t="n">
        <v>-0.001425715749505785</v>
      </c>
      <c r="V4409" s="6" t="inlineStr">
        <is>
          <t>not selected</t>
        </is>
      </c>
    </row>
    <row r="4410">
      <c r="A4410" s="6" t="inlineStr">
        <is>
          <t>DJ30</t>
        </is>
      </c>
      <c r="B4410" s="6" t="inlineStr">
        <is>
          <t>2025-09-26</t>
        </is>
      </c>
      <c r="C4410" s="6" t="inlineStr">
        <is>
          <t>DIA</t>
        </is>
      </c>
      <c r="D4410" s="6" t="inlineStr">
        <is>
          <t>CRM</t>
        </is>
      </c>
      <c r="E4410" s="6" t="inlineStr">
        <is>
          <t>CRM</t>
        </is>
      </c>
      <c r="F4410" s="6" t="inlineStr">
        <is>
          <t>-</t>
        </is>
      </c>
      <c r="G4410" s="7" t="n">
        <v>241.8072967529297</v>
      </c>
      <c r="H4410" s="6">
        <f>P4379</f>
        <v/>
      </c>
      <c r="I4410" s="9">
        <f>Q4379</f>
        <v/>
      </c>
      <c r="J4410" s="7">
        <f>I4410*G4410</f>
        <v/>
      </c>
      <c r="K4410" s="8">
        <f>IF($J$4434=0,0,J4410/$J$4434)</f>
        <v/>
      </c>
      <c r="L4410" s="6" t="inlineStr">
        <is>
          <t>REJECTED</t>
        </is>
      </c>
      <c r="M4410" s="8" t="n">
        <v>0</v>
      </c>
      <c r="N4410" s="7">
        <f>M4410*$J$4434-J4410</f>
        <v/>
      </c>
      <c r="O4410" s="9">
        <f>IF(G4410=0,0,N4410/G4410)</f>
        <v/>
      </c>
      <c r="P4410" s="6">
        <f>IF(M4410&gt;0,D4410,"")</f>
        <v/>
      </c>
      <c r="Q4410" s="9">
        <f>I4410+O4410</f>
        <v/>
      </c>
      <c r="R4410" s="7">
        <f>Q4410*G4410</f>
        <v/>
      </c>
      <c r="S4410" s="8">
        <f>IF($R$4434=0,0,R4410/$R$4434)</f>
        <v/>
      </c>
      <c r="T4410" s="8" t="n">
        <v>0.02061774895363833</v>
      </c>
      <c r="U4410" s="8" t="n">
        <v>-0.001425715749505785</v>
      </c>
      <c r="V4410" s="6" t="inlineStr">
        <is>
          <t>not selected</t>
        </is>
      </c>
    </row>
    <row r="4411">
      <c r="A4411" s="6" t="inlineStr">
        <is>
          <t>DJ30</t>
        </is>
      </c>
      <c r="B4411" s="6" t="inlineStr">
        <is>
          <t>2025-09-26</t>
        </is>
      </c>
      <c r="C4411" s="6" t="inlineStr">
        <is>
          <t>DIA</t>
        </is>
      </c>
      <c r="D4411" s="6" t="inlineStr">
        <is>
          <t>CSCO</t>
        </is>
      </c>
      <c r="E4411" s="6" t="inlineStr">
        <is>
          <t>CSCO</t>
        </is>
      </c>
      <c r="F4411" s="6" t="inlineStr">
        <is>
          <t>-</t>
        </is>
      </c>
      <c r="G4411" s="7" t="n">
        <v>66.10271453857422</v>
      </c>
      <c r="H4411" s="6">
        <f>P4380</f>
        <v/>
      </c>
      <c r="I4411" s="9">
        <f>Q4380</f>
        <v/>
      </c>
      <c r="J4411" s="7">
        <f>I4411*G4411</f>
        <v/>
      </c>
      <c r="K4411" s="8">
        <f>IF($J$4434=0,0,J4411/$J$4434)</f>
        <v/>
      </c>
      <c r="L4411" s="6" t="inlineStr">
        <is>
          <t>WATCHLIST</t>
        </is>
      </c>
      <c r="M4411" s="8" t="n">
        <v>0</v>
      </c>
      <c r="N4411" s="7">
        <f>M4411*$J$4434-J4411</f>
        <v/>
      </c>
      <c r="O4411" s="9">
        <f>IF(G4411=0,0,N4411/G4411)</f>
        <v/>
      </c>
      <c r="P4411" s="6">
        <f>IF(M4411&gt;0,D4411,"")</f>
        <v/>
      </c>
      <c r="Q4411" s="9">
        <f>I4411+O4411</f>
        <v/>
      </c>
      <c r="R4411" s="7">
        <f>Q4411*G4411</f>
        <v/>
      </c>
      <c r="S4411" s="8">
        <f>IF($R$4434=0,0,R4411/$R$4434)</f>
        <v/>
      </c>
      <c r="T4411" s="8" t="n">
        <v>0.02061774895363833</v>
      </c>
      <c r="U4411" s="8" t="n">
        <v>-0.001425715749505785</v>
      </c>
      <c r="V4411" s="6" t="inlineStr">
        <is>
          <t>not selected</t>
        </is>
      </c>
    </row>
    <row r="4412">
      <c r="A4412" s="6" t="inlineStr">
        <is>
          <t>DJ30</t>
        </is>
      </c>
      <c r="B4412" s="6" t="inlineStr">
        <is>
          <t>2025-09-26</t>
        </is>
      </c>
      <c r="C4412" s="6" t="inlineStr">
        <is>
          <t>DIA</t>
        </is>
      </c>
      <c r="D4412" s="6" t="inlineStr">
        <is>
          <t>CVX</t>
        </is>
      </c>
      <c r="E4412" s="6" t="inlineStr">
        <is>
          <t>CVX</t>
        </is>
      </c>
      <c r="F4412" s="6" t="inlineStr">
        <is>
          <t>-</t>
        </is>
      </c>
      <c r="G4412" s="7" t="n">
        <v>155.4329528808594</v>
      </c>
      <c r="H4412" s="6">
        <f>P4381</f>
        <v/>
      </c>
      <c r="I4412" s="9">
        <f>Q4381</f>
        <v/>
      </c>
      <c r="J4412" s="7">
        <f>I4412*G4412</f>
        <v/>
      </c>
      <c r="K4412" s="8">
        <f>IF($J$4434=0,0,J4412/$J$4434)</f>
        <v/>
      </c>
      <c r="L4412" s="6" t="inlineStr">
        <is>
          <t>REJECTED</t>
        </is>
      </c>
      <c r="M4412" s="8" t="n">
        <v>0</v>
      </c>
      <c r="N4412" s="7">
        <f>M4412*$J$4434-J4412</f>
        <v/>
      </c>
      <c r="O4412" s="9">
        <f>IF(G4412=0,0,N4412/G4412)</f>
        <v/>
      </c>
      <c r="P4412" s="6">
        <f>IF(M4412&gt;0,D4412,"")</f>
        <v/>
      </c>
      <c r="Q4412" s="9">
        <f>I4412+O4412</f>
        <v/>
      </c>
      <c r="R4412" s="7">
        <f>Q4412*G4412</f>
        <v/>
      </c>
      <c r="S4412" s="8">
        <f>IF($R$4434=0,0,R4412/$R$4434)</f>
        <v/>
      </c>
      <c r="T4412" s="8" t="n">
        <v>0.02061774895363833</v>
      </c>
      <c r="U4412" s="8" t="n">
        <v>-0.001425715749505785</v>
      </c>
      <c r="V4412" s="6" t="inlineStr">
        <is>
          <t>not selected</t>
        </is>
      </c>
    </row>
    <row r="4413">
      <c r="A4413" s="6" t="inlineStr">
        <is>
          <t>DJ30</t>
        </is>
      </c>
      <c r="B4413" s="6" t="inlineStr">
        <is>
          <t>2025-09-26</t>
        </is>
      </c>
      <c r="C4413" s="6" t="inlineStr">
        <is>
          <t>DIA</t>
        </is>
      </c>
      <c r="D4413" s="6" t="inlineStr">
        <is>
          <t>DIS</t>
        </is>
      </c>
      <c r="E4413" s="6" t="inlineStr">
        <is>
          <t>DIS</t>
        </is>
      </c>
      <c r="F4413" s="6" t="inlineStr">
        <is>
          <t>-</t>
        </is>
      </c>
      <c r="G4413" s="7" t="n">
        <v>112.7074356079102</v>
      </c>
      <c r="H4413" s="6">
        <f>P4382</f>
        <v/>
      </c>
      <c r="I4413" s="9">
        <f>Q4382</f>
        <v/>
      </c>
      <c r="J4413" s="7">
        <f>I4413*G4413</f>
        <v/>
      </c>
      <c r="K4413" s="8">
        <f>IF($J$4434=0,0,J4413/$J$4434)</f>
        <v/>
      </c>
      <c r="L4413" s="6" t="inlineStr">
        <is>
          <t>REJECTED</t>
        </is>
      </c>
      <c r="M4413" s="8" t="n">
        <v>0</v>
      </c>
      <c r="N4413" s="7">
        <f>M4413*$J$4434-J4413</f>
        <v/>
      </c>
      <c r="O4413" s="9">
        <f>IF(G4413=0,0,N4413/G4413)</f>
        <v/>
      </c>
      <c r="P4413" s="6">
        <f>IF(M4413&gt;0,D4413,"")</f>
        <v/>
      </c>
      <c r="Q4413" s="9">
        <f>I4413+O4413</f>
        <v/>
      </c>
      <c r="R4413" s="7">
        <f>Q4413*G4413</f>
        <v/>
      </c>
      <c r="S4413" s="8">
        <f>IF($R$4434=0,0,R4413/$R$4434)</f>
        <v/>
      </c>
      <c r="T4413" s="8" t="n">
        <v>0.02061774895363833</v>
      </c>
      <c r="U4413" s="8" t="n">
        <v>-0.001425715749505785</v>
      </c>
      <c r="V4413" s="6" t="inlineStr">
        <is>
          <t>not selected</t>
        </is>
      </c>
    </row>
    <row r="4414">
      <c r="A4414" s="6" t="inlineStr">
        <is>
          <t>DJ30</t>
        </is>
      </c>
      <c r="B4414" s="6" t="inlineStr">
        <is>
          <t>2025-09-26</t>
        </is>
      </c>
      <c r="C4414" s="6" t="inlineStr">
        <is>
          <t>DIA</t>
        </is>
      </c>
      <c r="D4414" s="6" t="inlineStr">
        <is>
          <t>GS</t>
        </is>
      </c>
      <c r="E4414" s="6" t="inlineStr">
        <is>
          <t>GS</t>
        </is>
      </c>
      <c r="F4414" s="6" t="inlineStr">
        <is>
          <t>-</t>
        </is>
      </c>
      <c r="G4414" s="7" t="n">
        <v>790.885009765625</v>
      </c>
      <c r="H4414" s="6">
        <f>P4383</f>
        <v/>
      </c>
      <c r="I4414" s="9">
        <f>Q4383</f>
        <v/>
      </c>
      <c r="J4414" s="7">
        <f>I4414*G4414</f>
        <v/>
      </c>
      <c r="K4414" s="8">
        <f>IF($J$4434=0,0,J4414/$J$4434)</f>
        <v/>
      </c>
      <c r="L4414" s="6" t="inlineStr">
        <is>
          <t>SELECTED</t>
        </is>
      </c>
      <c r="M4414" s="8" t="n">
        <v>0.2</v>
      </c>
      <c r="N4414" s="7">
        <f>M4414*$J$4434-J4414</f>
        <v/>
      </c>
      <c r="O4414" s="9">
        <f>IF(G4414=0,0,N4414/G4414)</f>
        <v/>
      </c>
      <c r="P4414" s="6">
        <f>IF(M4414&gt;0,D4414,"")</f>
        <v/>
      </c>
      <c r="Q4414" s="9">
        <f>I4414+O4414</f>
        <v/>
      </c>
      <c r="R4414" s="7">
        <f>Q4414*G4414</f>
        <v/>
      </c>
      <c r="S4414" s="8">
        <f>IF($R$4434=0,0,R4414/$R$4434)</f>
        <v/>
      </c>
      <c r="T4414" s="8" t="n">
        <v>0.02061774895363833</v>
      </c>
      <c r="U4414" s="8" t="n">
        <v>-0.001425715749505785</v>
      </c>
      <c r="V4414" s="6" t="inlineStr">
        <is>
          <t>entered weekly selection</t>
        </is>
      </c>
    </row>
    <row r="4415">
      <c r="A4415" s="6" t="inlineStr">
        <is>
          <t>DJ30</t>
        </is>
      </c>
      <c r="B4415" s="6" t="inlineStr">
        <is>
          <t>2025-09-26</t>
        </is>
      </c>
      <c r="C4415" s="6" t="inlineStr">
        <is>
          <t>DIA</t>
        </is>
      </c>
      <c r="D4415" s="6" t="inlineStr">
        <is>
          <t>HD</t>
        </is>
      </c>
      <c r="E4415" s="6" t="inlineStr">
        <is>
          <t>HD</t>
        </is>
      </c>
      <c r="F4415" s="6" t="inlineStr">
        <is>
          <t>-</t>
        </is>
      </c>
      <c r="G4415" s="7" t="n">
        <v>401.7354125976562</v>
      </c>
      <c r="H4415" s="6">
        <f>P4384</f>
        <v/>
      </c>
      <c r="I4415" s="9">
        <f>Q4384</f>
        <v/>
      </c>
      <c r="J4415" s="7">
        <f>I4415*G4415</f>
        <v/>
      </c>
      <c r="K4415" s="8">
        <f>IF($J$4434=0,0,J4415/$J$4434)</f>
        <v/>
      </c>
      <c r="L4415" s="6" t="inlineStr">
        <is>
          <t>REJECTED</t>
        </is>
      </c>
      <c r="M4415" s="8" t="n">
        <v>0</v>
      </c>
      <c r="N4415" s="7">
        <f>M4415*$J$4434-J4415</f>
        <v/>
      </c>
      <c r="O4415" s="9">
        <f>IF(G4415=0,0,N4415/G4415)</f>
        <v/>
      </c>
      <c r="P4415" s="6">
        <f>IF(M4415&gt;0,D4415,"")</f>
        <v/>
      </c>
      <c r="Q4415" s="9">
        <f>I4415+O4415</f>
        <v/>
      </c>
      <c r="R4415" s="7">
        <f>Q4415*G4415</f>
        <v/>
      </c>
      <c r="S4415" s="8">
        <f>IF($R$4434=0,0,R4415/$R$4434)</f>
        <v/>
      </c>
      <c r="T4415" s="8" t="n">
        <v>0.02061774895363833</v>
      </c>
      <c r="U4415" s="8" t="n">
        <v>-0.001425715749505785</v>
      </c>
      <c r="V4415" s="6" t="inlineStr">
        <is>
          <t>not selected</t>
        </is>
      </c>
    </row>
    <row r="4416">
      <c r="A4416" s="6" t="inlineStr">
        <is>
          <t>DJ30</t>
        </is>
      </c>
      <c r="B4416" s="6" t="inlineStr">
        <is>
          <t>2025-09-26</t>
        </is>
      </c>
      <c r="C4416" s="6" t="inlineStr">
        <is>
          <t>DIA</t>
        </is>
      </c>
      <c r="D4416" s="6" t="inlineStr">
        <is>
          <t>HON</t>
        </is>
      </c>
      <c r="E4416" s="6" t="inlineStr">
        <is>
          <t>HON</t>
        </is>
      </c>
      <c r="F4416" s="6" t="inlineStr">
        <is>
          <t>-</t>
        </is>
      </c>
      <c r="G4416" s="7" t="n">
        <v>193.027847290039</v>
      </c>
      <c r="H4416" s="6">
        <f>P4385</f>
        <v/>
      </c>
      <c r="I4416" s="9">
        <f>Q4385</f>
        <v/>
      </c>
      <c r="J4416" s="7">
        <f>I4416*G4416</f>
        <v/>
      </c>
      <c r="K4416" s="8">
        <f>IF($J$4434=0,0,J4416/$J$4434)</f>
        <v/>
      </c>
      <c r="L4416" s="6" t="inlineStr">
        <is>
          <t>REJECTED</t>
        </is>
      </c>
      <c r="M4416" s="8" t="n">
        <v>0</v>
      </c>
      <c r="N4416" s="7">
        <f>M4416*$J$4434-J4416</f>
        <v/>
      </c>
      <c r="O4416" s="9">
        <f>IF(G4416=0,0,N4416/G4416)</f>
        <v/>
      </c>
      <c r="P4416" s="6">
        <f>IF(M4416&gt;0,D4416,"")</f>
        <v/>
      </c>
      <c r="Q4416" s="9">
        <f>I4416+O4416</f>
        <v/>
      </c>
      <c r="R4416" s="7">
        <f>Q4416*G4416</f>
        <v/>
      </c>
      <c r="S4416" s="8">
        <f>IF($R$4434=0,0,R4416/$R$4434)</f>
        <v/>
      </c>
      <c r="T4416" s="8" t="n">
        <v>0.02061774895363833</v>
      </c>
      <c r="U4416" s="8" t="n">
        <v>-0.001425715749505785</v>
      </c>
      <c r="V4416" s="6" t="inlineStr">
        <is>
          <t>not selected</t>
        </is>
      </c>
    </row>
    <row r="4417">
      <c r="A4417" s="6" t="inlineStr">
        <is>
          <t>DJ30</t>
        </is>
      </c>
      <c r="B4417" s="6" t="inlineStr">
        <is>
          <t>2025-09-26</t>
        </is>
      </c>
      <c r="C4417" s="6" t="inlineStr">
        <is>
          <t>DIA</t>
        </is>
      </c>
      <c r="D4417" s="6" t="inlineStr">
        <is>
          <t>IBM</t>
        </is>
      </c>
      <c r="E4417" s="6" t="inlineStr">
        <is>
          <t>IBM</t>
        </is>
      </c>
      <c r="F4417" s="6" t="inlineStr">
        <is>
          <t>-</t>
        </is>
      </c>
      <c r="G4417" s="7" t="n">
        <v>279.0939025878906</v>
      </c>
      <c r="H4417" s="6">
        <f>P4386</f>
        <v/>
      </c>
      <c r="I4417" s="9">
        <f>Q4386</f>
        <v/>
      </c>
      <c r="J4417" s="7">
        <f>I4417*G4417</f>
        <v/>
      </c>
      <c r="K4417" s="8">
        <f>IF($J$4434=0,0,J4417/$J$4434)</f>
        <v/>
      </c>
      <c r="L4417" s="6" t="inlineStr">
        <is>
          <t>SELECTED</t>
        </is>
      </c>
      <c r="M4417" s="8" t="n">
        <v>0.2</v>
      </c>
      <c r="N4417" s="7">
        <f>M4417*$J$4434-J4417</f>
        <v/>
      </c>
      <c r="O4417" s="9">
        <f>IF(G4417=0,0,N4417/G4417)</f>
        <v/>
      </c>
      <c r="P4417" s="6">
        <f>IF(M4417&gt;0,D4417,"")</f>
        <v/>
      </c>
      <c r="Q4417" s="9">
        <f>I4417+O4417</f>
        <v/>
      </c>
      <c r="R4417" s="7">
        <f>Q4417*G4417</f>
        <v/>
      </c>
      <c r="S4417" s="8">
        <f>IF($R$4434=0,0,R4417/$R$4434)</f>
        <v/>
      </c>
      <c r="T4417" s="8" t="n">
        <v>0.02061774895363833</v>
      </c>
      <c r="U4417" s="8" t="n">
        <v>-0.001425715749505785</v>
      </c>
      <c r="V4417" s="6" t="inlineStr">
        <is>
          <t>remained in weekly selection</t>
        </is>
      </c>
    </row>
    <row r="4418">
      <c r="A4418" s="6" t="inlineStr">
        <is>
          <t>DJ30</t>
        </is>
      </c>
      <c r="B4418" s="6" t="inlineStr">
        <is>
          <t>2025-09-26</t>
        </is>
      </c>
      <c r="C4418" s="6" t="inlineStr">
        <is>
          <t>DIA</t>
        </is>
      </c>
      <c r="D4418" s="6" t="inlineStr">
        <is>
          <t>JNJ</t>
        </is>
      </c>
      <c r="E4418" s="6" t="inlineStr">
        <is>
          <t>JNJ</t>
        </is>
      </c>
      <c r="F4418" s="6" t="inlineStr">
        <is>
          <t>-</t>
        </is>
      </c>
      <c r="G4418" s="7" t="n">
        <v>176.6161499023438</v>
      </c>
      <c r="H4418" s="6">
        <f>P4387</f>
        <v/>
      </c>
      <c r="I4418" s="9">
        <f>Q4387</f>
        <v/>
      </c>
      <c r="J4418" s="7">
        <f>I4418*G4418</f>
        <v/>
      </c>
      <c r="K4418" s="8">
        <f>IF($J$4434=0,0,J4418/$J$4434)</f>
        <v/>
      </c>
      <c r="L4418" s="6" t="inlineStr">
        <is>
          <t>WATCHLIST</t>
        </is>
      </c>
      <c r="M4418" s="8" t="n">
        <v>0</v>
      </c>
      <c r="N4418" s="7">
        <f>M4418*$J$4434-J4418</f>
        <v/>
      </c>
      <c r="O4418" s="9">
        <f>IF(G4418=0,0,N4418/G4418)</f>
        <v/>
      </c>
      <c r="P4418" s="6">
        <f>IF(M4418&gt;0,D4418,"")</f>
        <v/>
      </c>
      <c r="Q4418" s="9">
        <f>I4418+O4418</f>
        <v/>
      </c>
      <c r="R4418" s="7">
        <f>Q4418*G4418</f>
        <v/>
      </c>
      <c r="S4418" s="8">
        <f>IF($R$4434=0,0,R4418/$R$4434)</f>
        <v/>
      </c>
      <c r="T4418" s="8" t="n">
        <v>0.02061774895363833</v>
      </c>
      <c r="U4418" s="8" t="n">
        <v>-0.001425715749505785</v>
      </c>
      <c r="V4418" s="6" t="inlineStr">
        <is>
          <t>not selected</t>
        </is>
      </c>
    </row>
    <row r="4419">
      <c r="A4419" s="6" t="inlineStr">
        <is>
          <t>DJ30</t>
        </is>
      </c>
      <c r="B4419" s="6" t="inlineStr">
        <is>
          <t>2025-09-26</t>
        </is>
      </c>
      <c r="C4419" s="6" t="inlineStr">
        <is>
          <t>DIA</t>
        </is>
      </c>
      <c r="D4419" s="6" t="inlineStr">
        <is>
          <t>JPM</t>
        </is>
      </c>
      <c r="E4419" s="6" t="inlineStr">
        <is>
          <t>JPM</t>
        </is>
      </c>
      <c r="F4419" s="6" t="inlineStr">
        <is>
          <t>-</t>
        </is>
      </c>
      <c r="G4419" s="7" t="n">
        <v>311.5241088867188</v>
      </c>
      <c r="H4419" s="6">
        <f>P4388</f>
        <v/>
      </c>
      <c r="I4419" s="9">
        <f>Q4388</f>
        <v/>
      </c>
      <c r="J4419" s="7">
        <f>I4419*G4419</f>
        <v/>
      </c>
      <c r="K4419" s="8">
        <f>IF($J$4434=0,0,J4419/$J$4434)</f>
        <v/>
      </c>
      <c r="L4419" s="6" t="inlineStr">
        <is>
          <t>WATCHLIST</t>
        </is>
      </c>
      <c r="M4419" s="8" t="n">
        <v>0</v>
      </c>
      <c r="N4419" s="7">
        <f>M4419*$J$4434-J4419</f>
        <v/>
      </c>
      <c r="O4419" s="9">
        <f>IF(G4419=0,0,N4419/G4419)</f>
        <v/>
      </c>
      <c r="P4419" s="6">
        <f>IF(M4419&gt;0,D4419,"")</f>
        <v/>
      </c>
      <c r="Q4419" s="9">
        <f>I4419+O4419</f>
        <v/>
      </c>
      <c r="R4419" s="7">
        <f>Q4419*G4419</f>
        <v/>
      </c>
      <c r="S4419" s="8">
        <f>IF($R$4434=0,0,R4419/$R$4434)</f>
        <v/>
      </c>
      <c r="T4419" s="8" t="n">
        <v>0.02061774895363833</v>
      </c>
      <c r="U4419" s="8" t="n">
        <v>-0.001425715749505785</v>
      </c>
      <c r="V4419" s="6" t="inlineStr">
        <is>
          <t>not selected</t>
        </is>
      </c>
    </row>
    <row r="4420">
      <c r="A4420" s="6" t="inlineStr">
        <is>
          <t>DJ30</t>
        </is>
      </c>
      <c r="B4420" s="6" t="inlineStr">
        <is>
          <t>2025-09-26</t>
        </is>
      </c>
      <c r="C4420" s="6" t="inlineStr">
        <is>
          <t>DIA</t>
        </is>
      </c>
      <c r="D4420" s="6" t="inlineStr">
        <is>
          <t>KO</t>
        </is>
      </c>
      <c r="E4420" s="6" t="inlineStr">
        <is>
          <t>KO</t>
        </is>
      </c>
      <c r="F4420" s="6" t="inlineStr">
        <is>
          <t>-</t>
        </is>
      </c>
      <c r="G4420" s="7" t="n">
        <v>64.35115051269531</v>
      </c>
      <c r="H4420" s="6">
        <f>P4389</f>
        <v/>
      </c>
      <c r="I4420" s="9">
        <f>Q4389</f>
        <v/>
      </c>
      <c r="J4420" s="7">
        <f>I4420*G4420</f>
        <v/>
      </c>
      <c r="K4420" s="8">
        <f>IF($J$4434=0,0,J4420/$J$4434)</f>
        <v/>
      </c>
      <c r="L4420" s="6" t="inlineStr">
        <is>
          <t>WATCHLIST</t>
        </is>
      </c>
      <c r="M4420" s="8" t="n">
        <v>0</v>
      </c>
      <c r="N4420" s="7">
        <f>M4420*$J$4434-J4420</f>
        <v/>
      </c>
      <c r="O4420" s="9">
        <f>IF(G4420=0,0,N4420/G4420)</f>
        <v/>
      </c>
      <c r="P4420" s="6">
        <f>IF(M4420&gt;0,D4420,"")</f>
        <v/>
      </c>
      <c r="Q4420" s="9">
        <f>I4420+O4420</f>
        <v/>
      </c>
      <c r="R4420" s="7">
        <f>Q4420*G4420</f>
        <v/>
      </c>
      <c r="S4420" s="8">
        <f>IF($R$4434=0,0,R4420/$R$4434)</f>
        <v/>
      </c>
      <c r="T4420" s="8" t="n">
        <v>0.02061774895363833</v>
      </c>
      <c r="U4420" s="8" t="n">
        <v>-0.001425715749505785</v>
      </c>
      <c r="V4420" s="6" t="inlineStr">
        <is>
          <t>not selected</t>
        </is>
      </c>
    </row>
    <row r="4421">
      <c r="A4421" s="6" t="inlineStr">
        <is>
          <t>DJ30</t>
        </is>
      </c>
      <c r="B4421" s="6" t="inlineStr">
        <is>
          <t>2025-09-26</t>
        </is>
      </c>
      <c r="C4421" s="6" t="inlineStr">
        <is>
          <t>DIA</t>
        </is>
      </c>
      <c r="D4421" s="6" t="inlineStr">
        <is>
          <t>MCD</t>
        </is>
      </c>
      <c r="E4421" s="6" t="inlineStr">
        <is>
          <t>MCD</t>
        </is>
      </c>
      <c r="F4421" s="6" t="inlineStr">
        <is>
          <t>-</t>
        </is>
      </c>
      <c r="G4421" s="7" t="n">
        <v>299.7010803222656</v>
      </c>
      <c r="H4421" s="6">
        <f>P4390</f>
        <v/>
      </c>
      <c r="I4421" s="9">
        <f>Q4390</f>
        <v/>
      </c>
      <c r="J4421" s="7">
        <f>I4421*G4421</f>
        <v/>
      </c>
      <c r="K4421" s="8">
        <f>IF($J$4434=0,0,J4421/$J$4434)</f>
        <v/>
      </c>
      <c r="L4421" s="6" t="inlineStr">
        <is>
          <t>REJECTED</t>
        </is>
      </c>
      <c r="M4421" s="8" t="n">
        <v>0</v>
      </c>
      <c r="N4421" s="7">
        <f>M4421*$J$4434-J4421</f>
        <v/>
      </c>
      <c r="O4421" s="9">
        <f>IF(G4421=0,0,N4421/G4421)</f>
        <v/>
      </c>
      <c r="P4421" s="6">
        <f>IF(M4421&gt;0,D4421,"")</f>
        <v/>
      </c>
      <c r="Q4421" s="9">
        <f>I4421+O4421</f>
        <v/>
      </c>
      <c r="R4421" s="7">
        <f>Q4421*G4421</f>
        <v/>
      </c>
      <c r="S4421" s="8">
        <f>IF($R$4434=0,0,R4421/$R$4434)</f>
        <v/>
      </c>
      <c r="T4421" s="8" t="n">
        <v>0.02061774895363833</v>
      </c>
      <c r="U4421" s="8" t="n">
        <v>-0.001425715749505785</v>
      </c>
      <c r="V4421" s="6" t="inlineStr">
        <is>
          <t>not selected</t>
        </is>
      </c>
    </row>
    <row r="4422">
      <c r="A4422" s="6" t="inlineStr">
        <is>
          <t>DJ30</t>
        </is>
      </c>
      <c r="B4422" s="6" t="inlineStr">
        <is>
          <t>2025-09-26</t>
        </is>
      </c>
      <c r="C4422" s="6" t="inlineStr">
        <is>
          <t>DIA</t>
        </is>
      </c>
      <c r="D4422" s="6" t="inlineStr">
        <is>
          <t>MMM</t>
        </is>
      </c>
      <c r="E4422" s="6" t="inlineStr">
        <is>
          <t>MMM</t>
        </is>
      </c>
      <c r="F4422" s="6" t="inlineStr">
        <is>
          <t>-</t>
        </is>
      </c>
      <c r="G4422" s="7" t="n">
        <v>150.6971282958984</v>
      </c>
      <c r="H4422" s="6">
        <f>P4391</f>
        <v/>
      </c>
      <c r="I4422" s="9">
        <f>Q4391</f>
        <v/>
      </c>
      <c r="J4422" s="7">
        <f>I4422*G4422</f>
        <v/>
      </c>
      <c r="K4422" s="8">
        <f>IF($J$4434=0,0,J4422/$J$4434)</f>
        <v/>
      </c>
      <c r="L4422" s="6" t="inlineStr">
        <is>
          <t>WATCHLIST</t>
        </is>
      </c>
      <c r="M4422" s="8" t="n">
        <v>0</v>
      </c>
      <c r="N4422" s="7">
        <f>M4422*$J$4434-J4422</f>
        <v/>
      </c>
      <c r="O4422" s="9">
        <f>IF(G4422=0,0,N4422/G4422)</f>
        <v/>
      </c>
      <c r="P4422" s="6">
        <f>IF(M4422&gt;0,D4422,"")</f>
        <v/>
      </c>
      <c r="Q4422" s="9">
        <f>I4422+O4422</f>
        <v/>
      </c>
      <c r="R4422" s="7">
        <f>Q4422*G4422</f>
        <v/>
      </c>
      <c r="S4422" s="8">
        <f>IF($R$4434=0,0,R4422/$R$4434)</f>
        <v/>
      </c>
      <c r="T4422" s="8" t="n">
        <v>0.02061774895363833</v>
      </c>
      <c r="U4422" s="8" t="n">
        <v>-0.001425715749505785</v>
      </c>
      <c r="V4422" s="6" t="inlineStr">
        <is>
          <t>not selected</t>
        </is>
      </c>
    </row>
    <row r="4423">
      <c r="A4423" s="6" t="inlineStr">
        <is>
          <t>DJ30</t>
        </is>
      </c>
      <c r="B4423" s="6" t="inlineStr">
        <is>
          <t>2025-09-26</t>
        </is>
      </c>
      <c r="C4423" s="6" t="inlineStr">
        <is>
          <t>DIA</t>
        </is>
      </c>
      <c r="D4423" s="6" t="inlineStr">
        <is>
          <t>MRK</t>
        </is>
      </c>
      <c r="E4423" s="6" t="inlineStr">
        <is>
          <t>MRK</t>
        </is>
      </c>
      <c r="F4423" s="6" t="inlineStr">
        <is>
          <t>-</t>
        </is>
      </c>
      <c r="G4423" s="7" t="n">
        <v>76.76946258544922</v>
      </c>
      <c r="H4423" s="6">
        <f>P4392</f>
        <v/>
      </c>
      <c r="I4423" s="9">
        <f>Q4392</f>
        <v/>
      </c>
      <c r="J4423" s="7">
        <f>I4423*G4423</f>
        <v/>
      </c>
      <c r="K4423" s="8">
        <f>IF($J$4434=0,0,J4423/$J$4434)</f>
        <v/>
      </c>
      <c r="L4423" s="6" t="inlineStr">
        <is>
          <t>REJECTED</t>
        </is>
      </c>
      <c r="M4423" s="8" t="n">
        <v>0</v>
      </c>
      <c r="N4423" s="7">
        <f>M4423*$J$4434-J4423</f>
        <v/>
      </c>
      <c r="O4423" s="9">
        <f>IF(G4423=0,0,N4423/G4423)</f>
        <v/>
      </c>
      <c r="P4423" s="6">
        <f>IF(M4423&gt;0,D4423,"")</f>
        <v/>
      </c>
      <c r="Q4423" s="9">
        <f>I4423+O4423</f>
        <v/>
      </c>
      <c r="R4423" s="7">
        <f>Q4423*G4423</f>
        <v/>
      </c>
      <c r="S4423" s="8">
        <f>IF($R$4434=0,0,R4423/$R$4434)</f>
        <v/>
      </c>
      <c r="T4423" s="8" t="n">
        <v>0.02061774895363833</v>
      </c>
      <c r="U4423" s="8" t="n">
        <v>-0.001425715749505785</v>
      </c>
      <c r="V4423" s="6" t="inlineStr">
        <is>
          <t>not selected</t>
        </is>
      </c>
    </row>
    <row r="4424">
      <c r="A4424" s="6" t="inlineStr">
        <is>
          <t>DJ30</t>
        </is>
      </c>
      <c r="B4424" s="6" t="inlineStr">
        <is>
          <t>2025-09-26</t>
        </is>
      </c>
      <c r="C4424" s="6" t="inlineStr">
        <is>
          <t>DIA</t>
        </is>
      </c>
      <c r="D4424" s="6" t="inlineStr">
        <is>
          <t>MSFT</t>
        </is>
      </c>
      <c r="E4424" s="6" t="inlineStr">
        <is>
          <t>MSFT</t>
        </is>
      </c>
      <c r="F4424" s="6" t="inlineStr">
        <is>
          <t>-</t>
        </is>
      </c>
      <c r="G4424" s="7" t="n">
        <v>508.2411804199219</v>
      </c>
      <c r="H4424" s="6">
        <f>P4393</f>
        <v/>
      </c>
      <c r="I4424" s="9">
        <f>Q4393</f>
        <v/>
      </c>
      <c r="J4424" s="7">
        <f>I4424*G4424</f>
        <v/>
      </c>
      <c r="K4424" s="8">
        <f>IF($J$4434=0,0,J4424/$J$4434)</f>
        <v/>
      </c>
      <c r="L4424" s="6" t="inlineStr">
        <is>
          <t>SELECTED</t>
        </is>
      </c>
      <c r="M4424" s="8" t="n">
        <v>0.2</v>
      </c>
      <c r="N4424" s="7">
        <f>M4424*$J$4434-J4424</f>
        <v/>
      </c>
      <c r="O4424" s="9">
        <f>IF(G4424=0,0,N4424/G4424)</f>
        <v/>
      </c>
      <c r="P4424" s="6">
        <f>IF(M4424&gt;0,D4424,"")</f>
        <v/>
      </c>
      <c r="Q4424" s="9">
        <f>I4424+O4424</f>
        <v/>
      </c>
      <c r="R4424" s="7">
        <f>Q4424*G4424</f>
        <v/>
      </c>
      <c r="S4424" s="8">
        <f>IF($R$4434=0,0,R4424/$R$4434)</f>
        <v/>
      </c>
      <c r="T4424" s="8" t="n">
        <v>0.02061774895363833</v>
      </c>
      <c r="U4424" s="8" t="n">
        <v>-0.001425715749505785</v>
      </c>
      <c r="V4424" s="6" t="inlineStr">
        <is>
          <t>entered weekly selection</t>
        </is>
      </c>
    </row>
    <row r="4425">
      <c r="A4425" s="6" t="inlineStr">
        <is>
          <t>DJ30</t>
        </is>
      </c>
      <c r="B4425" s="6" t="inlineStr">
        <is>
          <t>2025-09-26</t>
        </is>
      </c>
      <c r="C4425" s="6" t="inlineStr">
        <is>
          <t>DIA</t>
        </is>
      </c>
      <c r="D4425" s="6" t="inlineStr">
        <is>
          <t>NKE</t>
        </is>
      </c>
      <c r="E4425" s="6" t="inlineStr">
        <is>
          <t>NKE</t>
        </is>
      </c>
      <c r="F4425" s="6" t="inlineStr">
        <is>
          <t>-</t>
        </is>
      </c>
      <c r="G4425" s="7" t="n">
        <v>67.80943298339844</v>
      </c>
      <c r="H4425" s="6">
        <f>P4394</f>
        <v/>
      </c>
      <c r="I4425" s="9">
        <f>Q4394</f>
        <v/>
      </c>
      <c r="J4425" s="7">
        <f>I4425*G4425</f>
        <v/>
      </c>
      <c r="K4425" s="8">
        <f>IF($J$4434=0,0,J4425/$J$4434)</f>
        <v/>
      </c>
      <c r="L4425" s="6" t="inlineStr">
        <is>
          <t>REJECTED</t>
        </is>
      </c>
      <c r="M4425" s="8" t="n">
        <v>0</v>
      </c>
      <c r="N4425" s="7">
        <f>M4425*$J$4434-J4425</f>
        <v/>
      </c>
      <c r="O4425" s="9">
        <f>IF(G4425=0,0,N4425/G4425)</f>
        <v/>
      </c>
      <c r="P4425" s="6">
        <f>IF(M4425&gt;0,D4425,"")</f>
        <v/>
      </c>
      <c r="Q4425" s="9">
        <f>I4425+O4425</f>
        <v/>
      </c>
      <c r="R4425" s="7">
        <f>Q4425*G4425</f>
        <v/>
      </c>
      <c r="S4425" s="8">
        <f>IF($R$4434=0,0,R4425/$R$4434)</f>
        <v/>
      </c>
      <c r="T4425" s="8" t="n">
        <v>0.02061774895363833</v>
      </c>
      <c r="U4425" s="8" t="n">
        <v>-0.001425715749505785</v>
      </c>
      <c r="V4425" s="6" t="inlineStr">
        <is>
          <t>not selected</t>
        </is>
      </c>
    </row>
    <row r="4426">
      <c r="A4426" s="6" t="inlineStr">
        <is>
          <t>DJ30</t>
        </is>
      </c>
      <c r="B4426" s="6" t="inlineStr">
        <is>
          <t>2025-09-26</t>
        </is>
      </c>
      <c r="C4426" s="6" t="inlineStr">
        <is>
          <t>DIA</t>
        </is>
      </c>
      <c r="D4426" s="6" t="inlineStr">
        <is>
          <t>NVDA</t>
        </is>
      </c>
      <c r="E4426" s="6" t="inlineStr">
        <is>
          <t>NVDA</t>
        </is>
      </c>
      <c r="F4426" s="6" t="inlineStr">
        <is>
          <t>-</t>
        </is>
      </c>
      <c r="G4426" s="7" t="n">
        <v>177.9630279541016</v>
      </c>
      <c r="H4426" s="6">
        <f>P4395</f>
        <v/>
      </c>
      <c r="I4426" s="9">
        <f>Q4395</f>
        <v/>
      </c>
      <c r="J4426" s="7">
        <f>I4426*G4426</f>
        <v/>
      </c>
      <c r="K4426" s="8">
        <f>IF($J$4434=0,0,J4426/$J$4434)</f>
        <v/>
      </c>
      <c r="L4426" s="6" t="inlineStr">
        <is>
          <t>REJECTED</t>
        </is>
      </c>
      <c r="M4426" s="8" t="n">
        <v>0</v>
      </c>
      <c r="N4426" s="7">
        <f>M4426*$J$4434-J4426</f>
        <v/>
      </c>
      <c r="O4426" s="9">
        <f>IF(G4426=0,0,N4426/G4426)</f>
        <v/>
      </c>
      <c r="P4426" s="6">
        <f>IF(M4426&gt;0,D4426,"")</f>
        <v/>
      </c>
      <c r="Q4426" s="9">
        <f>I4426+O4426</f>
        <v/>
      </c>
      <c r="R4426" s="7">
        <f>Q4426*G4426</f>
        <v/>
      </c>
      <c r="S4426" s="8">
        <f>IF($R$4434=0,0,R4426/$R$4434)</f>
        <v/>
      </c>
      <c r="T4426" s="8" t="n">
        <v>0.02061774895363833</v>
      </c>
      <c r="U4426" s="8" t="n">
        <v>-0.001425715749505785</v>
      </c>
      <c r="V4426" s="6" t="inlineStr">
        <is>
          <t>not selected</t>
        </is>
      </c>
    </row>
    <row r="4427">
      <c r="A4427" s="6" t="inlineStr">
        <is>
          <t>DJ30</t>
        </is>
      </c>
      <c r="B4427" s="6" t="inlineStr">
        <is>
          <t>2025-09-26</t>
        </is>
      </c>
      <c r="C4427" s="6" t="inlineStr">
        <is>
          <t>DIA</t>
        </is>
      </c>
      <c r="D4427" s="6" t="inlineStr">
        <is>
          <t>PG</t>
        </is>
      </c>
      <c r="E4427" s="6" t="inlineStr">
        <is>
          <t>PG</t>
        </is>
      </c>
      <c r="F4427" s="6" t="inlineStr">
        <is>
          <t>-</t>
        </is>
      </c>
      <c r="G4427" s="7" t="n">
        <v>149.2494659423828</v>
      </c>
      <c r="H4427" s="6">
        <f>P4396</f>
        <v/>
      </c>
      <c r="I4427" s="9">
        <f>Q4396</f>
        <v/>
      </c>
      <c r="J4427" s="7">
        <f>I4427*G4427</f>
        <v/>
      </c>
      <c r="K4427" s="8">
        <f>IF($J$4434=0,0,J4427/$J$4434)</f>
        <v/>
      </c>
      <c r="L4427" s="6" t="inlineStr">
        <is>
          <t>REJECTED</t>
        </is>
      </c>
      <c r="M4427" s="8" t="n">
        <v>0</v>
      </c>
      <c r="N4427" s="7">
        <f>M4427*$J$4434-J4427</f>
        <v/>
      </c>
      <c r="O4427" s="9">
        <f>IF(G4427=0,0,N4427/G4427)</f>
        <v/>
      </c>
      <c r="P4427" s="6">
        <f>IF(M4427&gt;0,D4427,"")</f>
        <v/>
      </c>
      <c r="Q4427" s="9">
        <f>I4427+O4427</f>
        <v/>
      </c>
      <c r="R4427" s="7">
        <f>Q4427*G4427</f>
        <v/>
      </c>
      <c r="S4427" s="8">
        <f>IF($R$4434=0,0,R4427/$R$4434)</f>
        <v/>
      </c>
      <c r="T4427" s="8" t="n">
        <v>0.02061774895363833</v>
      </c>
      <c r="U4427" s="8" t="n">
        <v>-0.001425715749505785</v>
      </c>
      <c r="V4427" s="6" t="inlineStr">
        <is>
          <t>not selected</t>
        </is>
      </c>
    </row>
    <row r="4428">
      <c r="A4428" s="6" t="inlineStr">
        <is>
          <t>DJ30</t>
        </is>
      </c>
      <c r="B4428" s="6" t="inlineStr">
        <is>
          <t>2025-09-26</t>
        </is>
      </c>
      <c r="C4428" s="6" t="inlineStr">
        <is>
          <t>DIA</t>
        </is>
      </c>
      <c r="D4428" s="6" t="inlineStr">
        <is>
          <t>SHW</t>
        </is>
      </c>
      <c r="E4428" s="6" t="inlineStr">
        <is>
          <t>SHW</t>
        </is>
      </c>
      <c r="F4428" s="6" t="inlineStr">
        <is>
          <t>-</t>
        </is>
      </c>
      <c r="G4428" s="7" t="n">
        <v>339.4800109863281</v>
      </c>
      <c r="H4428" s="6">
        <f>P4397</f>
        <v/>
      </c>
      <c r="I4428" s="9">
        <f>Q4397</f>
        <v/>
      </c>
      <c r="J4428" s="7">
        <f>I4428*G4428</f>
        <v/>
      </c>
      <c r="K4428" s="8">
        <f>IF($J$4434=0,0,J4428/$J$4434)</f>
        <v/>
      </c>
      <c r="L4428" s="6" t="inlineStr">
        <is>
          <t>REJECTED</t>
        </is>
      </c>
      <c r="M4428" s="8" t="n">
        <v>0</v>
      </c>
      <c r="N4428" s="7">
        <f>M4428*$J$4434-J4428</f>
        <v/>
      </c>
      <c r="O4428" s="9">
        <f>IF(G4428=0,0,N4428/G4428)</f>
        <v/>
      </c>
      <c r="P4428" s="6">
        <f>IF(M4428&gt;0,D4428,"")</f>
        <v/>
      </c>
      <c r="Q4428" s="9">
        <f>I4428+O4428</f>
        <v/>
      </c>
      <c r="R4428" s="7">
        <f>Q4428*G4428</f>
        <v/>
      </c>
      <c r="S4428" s="8">
        <f>IF($R$4434=0,0,R4428/$R$4434)</f>
        <v/>
      </c>
      <c r="T4428" s="8" t="n">
        <v>0.02061774895363833</v>
      </c>
      <c r="U4428" s="8" t="n">
        <v>-0.001425715749505785</v>
      </c>
      <c r="V4428" s="6" t="inlineStr">
        <is>
          <t>not selected</t>
        </is>
      </c>
    </row>
    <row r="4429">
      <c r="A4429" s="6" t="inlineStr">
        <is>
          <t>DJ30</t>
        </is>
      </c>
      <c r="B4429" s="6" t="inlineStr">
        <is>
          <t>2025-09-26</t>
        </is>
      </c>
      <c r="C4429" s="6" t="inlineStr">
        <is>
          <t>DIA</t>
        </is>
      </c>
      <c r="D4429" s="6" t="inlineStr">
        <is>
          <t>TRV</t>
        </is>
      </c>
      <c r="E4429" s="6" t="inlineStr">
        <is>
          <t>TRV</t>
        </is>
      </c>
      <c r="F4429" s="6" t="inlineStr">
        <is>
          <t>-</t>
        </is>
      </c>
      <c r="G4429" s="7" t="n">
        <v>274.5141296386719</v>
      </c>
      <c r="H4429" s="6">
        <f>P4398</f>
        <v/>
      </c>
      <c r="I4429" s="9">
        <f>Q4398</f>
        <v/>
      </c>
      <c r="J4429" s="7">
        <f>I4429*G4429</f>
        <v/>
      </c>
      <c r="K4429" s="8">
        <f>IF($J$4434=0,0,J4429/$J$4434)</f>
        <v/>
      </c>
      <c r="L4429" s="6" t="inlineStr">
        <is>
          <t>WATCHLIST</t>
        </is>
      </c>
      <c r="M4429" s="8" t="n">
        <v>0</v>
      </c>
      <c r="N4429" s="7">
        <f>M4429*$J$4434-J4429</f>
        <v/>
      </c>
      <c r="O4429" s="9">
        <f>IF(G4429=0,0,N4429/G4429)</f>
        <v/>
      </c>
      <c r="P4429" s="6">
        <f>IF(M4429&gt;0,D4429,"")</f>
        <v/>
      </c>
      <c r="Q4429" s="9">
        <f>I4429+O4429</f>
        <v/>
      </c>
      <c r="R4429" s="7">
        <f>Q4429*G4429</f>
        <v/>
      </c>
      <c r="S4429" s="8">
        <f>IF($R$4434=0,0,R4429/$R$4434)</f>
        <v/>
      </c>
      <c r="T4429" s="8" t="n">
        <v>0.02061774895363833</v>
      </c>
      <c r="U4429" s="8" t="n">
        <v>-0.001425715749505785</v>
      </c>
      <c r="V4429" s="6" t="inlineStr">
        <is>
          <t>removed from weekly selection</t>
        </is>
      </c>
    </row>
    <row r="4430">
      <c r="A4430" s="6" t="inlineStr">
        <is>
          <t>DJ30</t>
        </is>
      </c>
      <c r="B4430" s="6" t="inlineStr">
        <is>
          <t>2025-09-26</t>
        </is>
      </c>
      <c r="C4430" s="6" t="inlineStr">
        <is>
          <t>DIA</t>
        </is>
      </c>
      <c r="D4430" s="6" t="inlineStr">
        <is>
          <t>UNH</t>
        </is>
      </c>
      <c r="E4430" s="6" t="inlineStr">
        <is>
          <t>UNH</t>
        </is>
      </c>
      <c r="F4430" s="6" t="inlineStr">
        <is>
          <t>-</t>
        </is>
      </c>
      <c r="G4430" s="7" t="n">
        <v>337.2193908691406</v>
      </c>
      <c r="H4430" s="6">
        <f>P4399</f>
        <v/>
      </c>
      <c r="I4430" s="9">
        <f>Q4399</f>
        <v/>
      </c>
      <c r="J4430" s="7">
        <f>I4430*G4430</f>
        <v/>
      </c>
      <c r="K4430" s="8">
        <f>IF($J$4434=0,0,J4430/$J$4434)</f>
        <v/>
      </c>
      <c r="L4430" s="6" t="inlineStr">
        <is>
          <t>REJECTED</t>
        </is>
      </c>
      <c r="M4430" s="8" t="n">
        <v>0</v>
      </c>
      <c r="N4430" s="7">
        <f>M4430*$J$4434-J4430</f>
        <v/>
      </c>
      <c r="O4430" s="9">
        <f>IF(G4430=0,0,N4430/G4430)</f>
        <v/>
      </c>
      <c r="P4430" s="6">
        <f>IF(M4430&gt;0,D4430,"")</f>
        <v/>
      </c>
      <c r="Q4430" s="9">
        <f>I4430+O4430</f>
        <v/>
      </c>
      <c r="R4430" s="7">
        <f>Q4430*G4430</f>
        <v/>
      </c>
      <c r="S4430" s="8">
        <f>IF($R$4434=0,0,R4430/$R$4434)</f>
        <v/>
      </c>
      <c r="T4430" s="8" t="n">
        <v>0.02061774895363833</v>
      </c>
      <c r="U4430" s="8" t="n">
        <v>-0.001425715749505785</v>
      </c>
      <c r="V4430" s="6" t="inlineStr">
        <is>
          <t>not selected</t>
        </is>
      </c>
    </row>
    <row r="4431">
      <c r="A4431" s="6" t="inlineStr">
        <is>
          <t>DJ30</t>
        </is>
      </c>
      <c r="B4431" s="6" t="inlineStr">
        <is>
          <t>2025-09-26</t>
        </is>
      </c>
      <c r="C4431" s="6" t="inlineStr">
        <is>
          <t>DIA</t>
        </is>
      </c>
      <c r="D4431" s="6" t="inlineStr">
        <is>
          <t>V</t>
        </is>
      </c>
      <c r="E4431" s="6" t="inlineStr">
        <is>
          <t>V</t>
        </is>
      </c>
      <c r="F4431" s="6" t="inlineStr">
        <is>
          <t>-</t>
        </is>
      </c>
      <c r="G4431" s="7" t="n">
        <v>335.3150634765625</v>
      </c>
      <c r="H4431" s="6">
        <f>P4400</f>
        <v/>
      </c>
      <c r="I4431" s="9">
        <f>Q4400</f>
        <v/>
      </c>
      <c r="J4431" s="7">
        <f>I4431*G4431</f>
        <v/>
      </c>
      <c r="K4431" s="8">
        <f>IF($J$4434=0,0,J4431/$J$4434)</f>
        <v/>
      </c>
      <c r="L4431" s="6" t="inlineStr">
        <is>
          <t>WATCHLIST</t>
        </is>
      </c>
      <c r="M4431" s="8" t="n">
        <v>0</v>
      </c>
      <c r="N4431" s="7">
        <f>M4431*$J$4434-J4431</f>
        <v/>
      </c>
      <c r="O4431" s="9">
        <f>IF(G4431=0,0,N4431/G4431)</f>
        <v/>
      </c>
      <c r="P4431" s="6">
        <f>IF(M4431&gt;0,D4431,"")</f>
        <v/>
      </c>
      <c r="Q4431" s="9">
        <f>I4431+O4431</f>
        <v/>
      </c>
      <c r="R4431" s="7">
        <f>Q4431*G4431</f>
        <v/>
      </c>
      <c r="S4431" s="8">
        <f>IF($R$4434=0,0,R4431/$R$4434)</f>
        <v/>
      </c>
      <c r="T4431" s="8" t="n">
        <v>0.02061774895363833</v>
      </c>
      <c r="U4431" s="8" t="n">
        <v>-0.001425715749505785</v>
      </c>
      <c r="V4431" s="6" t="inlineStr">
        <is>
          <t>not selected</t>
        </is>
      </c>
    </row>
    <row r="4432">
      <c r="A4432" s="6" t="inlineStr">
        <is>
          <t>DJ30</t>
        </is>
      </c>
      <c r="B4432" s="6" t="inlineStr">
        <is>
          <t>2025-09-26</t>
        </is>
      </c>
      <c r="C4432" s="6" t="inlineStr">
        <is>
          <t>DIA</t>
        </is>
      </c>
      <c r="D4432" s="6" t="inlineStr">
        <is>
          <t>VZ</t>
        </is>
      </c>
      <c r="E4432" s="6" t="inlineStr">
        <is>
          <t>VZ</t>
        </is>
      </c>
      <c r="F4432" s="6" t="inlineStr">
        <is>
          <t>-</t>
        </is>
      </c>
      <c r="G4432" s="7" t="n">
        <v>41.51741409301758</v>
      </c>
      <c r="H4432" s="6">
        <f>P4401</f>
        <v/>
      </c>
      <c r="I4432" s="9">
        <f>Q4401</f>
        <v/>
      </c>
      <c r="J4432" s="7">
        <f>I4432*G4432</f>
        <v/>
      </c>
      <c r="K4432" s="8">
        <f>IF($J$4434=0,0,J4432/$J$4434)</f>
        <v/>
      </c>
      <c r="L4432" s="6" t="inlineStr">
        <is>
          <t>WATCHLIST</t>
        </is>
      </c>
      <c r="M4432" s="8" t="n">
        <v>0</v>
      </c>
      <c r="N4432" s="7">
        <f>M4432*$J$4434-J4432</f>
        <v/>
      </c>
      <c r="O4432" s="9">
        <f>IF(G4432=0,0,N4432/G4432)</f>
        <v/>
      </c>
      <c r="P4432" s="6">
        <f>IF(M4432&gt;0,D4432,"")</f>
        <v/>
      </c>
      <c r="Q4432" s="9">
        <f>I4432+O4432</f>
        <v/>
      </c>
      <c r="R4432" s="7">
        <f>Q4432*G4432</f>
        <v/>
      </c>
      <c r="S4432" s="8">
        <f>IF($R$4434=0,0,R4432/$R$4434)</f>
        <v/>
      </c>
      <c r="T4432" s="8" t="n">
        <v>0.02061774895363833</v>
      </c>
      <c r="U4432" s="8" t="n">
        <v>-0.001425715749505785</v>
      </c>
      <c r="V4432" s="6" t="inlineStr">
        <is>
          <t>removed from weekly selection</t>
        </is>
      </c>
    </row>
    <row r="4433">
      <c r="A4433" s="6" t="inlineStr">
        <is>
          <t>DJ30</t>
        </is>
      </c>
      <c r="B4433" s="6" t="inlineStr">
        <is>
          <t>2025-09-26</t>
        </is>
      </c>
      <c r="C4433" s="6" t="inlineStr">
        <is>
          <t>DIA</t>
        </is>
      </c>
      <c r="D4433" s="6" t="inlineStr">
        <is>
          <t>WMT</t>
        </is>
      </c>
      <c r="E4433" s="6" t="inlineStr">
        <is>
          <t>WMT</t>
        </is>
      </c>
      <c r="F4433" s="6" t="inlineStr">
        <is>
          <t>-</t>
        </is>
      </c>
      <c r="G4433" s="7" t="n">
        <v>102.5435943603516</v>
      </c>
      <c r="H4433" s="6">
        <f>P4402</f>
        <v/>
      </c>
      <c r="I4433" s="9">
        <f>Q4402</f>
        <v/>
      </c>
      <c r="J4433" s="7">
        <f>I4433*G4433</f>
        <v/>
      </c>
      <c r="K4433" s="8">
        <f>IF($J$4434=0,0,J4433/$J$4434)</f>
        <v/>
      </c>
      <c r="L4433" s="6" t="inlineStr">
        <is>
          <t>SELECTED</t>
        </is>
      </c>
      <c r="M4433" s="8" t="n">
        <v>0.2</v>
      </c>
      <c r="N4433" s="7">
        <f>M4433*$J$4434-J4433</f>
        <v/>
      </c>
      <c r="O4433" s="9">
        <f>IF(G4433=0,0,N4433/G4433)</f>
        <v/>
      </c>
      <c r="P4433" s="6">
        <f>IF(M4433&gt;0,D4433,"")</f>
        <v/>
      </c>
      <c r="Q4433" s="9">
        <f>I4433+O4433</f>
        <v/>
      </c>
      <c r="R4433" s="7">
        <f>Q4433*G4433</f>
        <v/>
      </c>
      <c r="S4433" s="8">
        <f>IF($R$4434=0,0,R4433/$R$4434)</f>
        <v/>
      </c>
      <c r="T4433" s="8" t="n">
        <v>0.02061774895363833</v>
      </c>
      <c r="U4433" s="8" t="n">
        <v>-0.001425715749505785</v>
      </c>
      <c r="V4433" s="6" t="inlineStr">
        <is>
          <t>remained in weekly selection</t>
        </is>
      </c>
    </row>
    <row r="4434">
      <c r="A4434" s="10" t="inlineStr">
        <is>
          <t>DJ30</t>
        </is>
      </c>
      <c r="B4434" s="10" t="inlineStr">
        <is>
          <t>2025-09-26</t>
        </is>
      </c>
      <c r="C4434" s="10" t="inlineStr">
        <is>
          <t>DIA</t>
        </is>
      </c>
      <c r="D4434" s="10" t="inlineStr">
        <is>
          <t>Tot Portfolio</t>
        </is>
      </c>
      <c r="E4434" s="10" t="inlineStr"/>
      <c r="F4434" s="10" t="inlineStr"/>
      <c r="G4434" s="11" t="inlineStr"/>
      <c r="H4434" s="10" t="inlineStr"/>
      <c r="I4434" s="12" t="inlineStr"/>
      <c r="J4434" s="11">
        <f>SUM(J4404:J4433)</f>
        <v/>
      </c>
      <c r="K4434" s="13">
        <f>SUM(K4404:K4433)</f>
        <v/>
      </c>
      <c r="L4434" s="10" t="inlineStr">
        <is>
          <t>TOTAL</t>
        </is>
      </c>
      <c r="M4434" s="13">
        <f>SUM(M4404:M4433)</f>
        <v/>
      </c>
      <c r="N4434" s="11">
        <f>SUM(N4404:N4433)</f>
        <v/>
      </c>
      <c r="O4434" s="12">
        <f>SUM(O4404:O4433)</f>
        <v/>
      </c>
      <c r="P4434" s="10" t="inlineStr"/>
      <c r="Q4434" s="12" t="inlineStr"/>
      <c r="R4434" s="11">
        <f>SUM(R4404:R4433)</f>
        <v/>
      </c>
      <c r="S4434" s="13">
        <f>SUM(S4404:S4433)</f>
        <v/>
      </c>
      <c r="T4434" s="13" t="n">
        <v>0.02061774895363833</v>
      </c>
      <c r="U4434" s="13" t="n">
        <v>-0.001425715749505785</v>
      </c>
      <c r="V4434" s="10" t="inlineStr"/>
    </row>
    <row r="4435">
      <c r="A4435" s="6" t="inlineStr">
        <is>
          <t>DJ30</t>
        </is>
      </c>
      <c r="B4435" s="6" t="inlineStr">
        <is>
          <t>2025-10-03</t>
        </is>
      </c>
      <c r="C4435" s="6" t="inlineStr">
        <is>
          <t>DIA</t>
        </is>
      </c>
      <c r="D4435" s="6" t="inlineStr">
        <is>
          <t>AAPL</t>
        </is>
      </c>
      <c r="E4435" s="6" t="inlineStr">
        <is>
          <t>AAPL</t>
        </is>
      </c>
      <c r="F4435" s="6" t="inlineStr">
        <is>
          <t>-</t>
        </is>
      </c>
      <c r="G4435" s="7" t="n">
        <v>257.2920837402344</v>
      </c>
      <c r="H4435" s="6">
        <f>P4404</f>
        <v/>
      </c>
      <c r="I4435" s="9">
        <f>Q4404</f>
        <v/>
      </c>
      <c r="J4435" s="7">
        <f>I4435*G4435</f>
        <v/>
      </c>
      <c r="K4435" s="8">
        <f>IF($J$4465=0,0,J4435/$J$4465)</f>
        <v/>
      </c>
      <c r="L4435" s="6" t="inlineStr">
        <is>
          <t>REJECTED</t>
        </is>
      </c>
      <c r="M4435" s="8" t="n">
        <v>0</v>
      </c>
      <c r="N4435" s="7">
        <f>M4435*$J$4465-J4435</f>
        <v/>
      </c>
      <c r="O4435" s="9">
        <f>IF(G4435=0,0,N4435/G4435)</f>
        <v/>
      </c>
      <c r="P4435" s="6">
        <f>IF(M4435&gt;0,D4435,"")</f>
        <v/>
      </c>
      <c r="Q4435" s="9">
        <f>I4435+O4435</f>
        <v/>
      </c>
      <c r="R4435" s="7">
        <f>Q4435*G4435</f>
        <v/>
      </c>
      <c r="S4435" s="8">
        <f>IF($R$4465=0,0,R4435/$R$4465)</f>
        <v/>
      </c>
      <c r="T4435" s="8" t="n">
        <v>-0.005360066527577367</v>
      </c>
      <c r="U4435" s="8" t="n">
        <v>0.01131345710694154</v>
      </c>
      <c r="V4435" s="6" t="inlineStr">
        <is>
          <t>not selected</t>
        </is>
      </c>
    </row>
    <row r="4436">
      <c r="A4436" s="6" t="inlineStr">
        <is>
          <t>DJ30</t>
        </is>
      </c>
      <c r="B4436" s="6" t="inlineStr">
        <is>
          <t>2025-10-03</t>
        </is>
      </c>
      <c r="C4436" s="6" t="inlineStr">
        <is>
          <t>DIA</t>
        </is>
      </c>
      <c r="D4436" s="6" t="inlineStr">
        <is>
          <t>AMGN</t>
        </is>
      </c>
      <c r="E4436" s="6" t="inlineStr">
        <is>
          <t>AMGN</t>
        </is>
      </c>
      <c r="F4436" s="6" t="inlineStr">
        <is>
          <t>-</t>
        </is>
      </c>
      <c r="G4436" s="7" t="n">
        <v>291.5434265136719</v>
      </c>
      <c r="H4436" s="6">
        <f>P4405</f>
        <v/>
      </c>
      <c r="I4436" s="9">
        <f>Q4405</f>
        <v/>
      </c>
      <c r="J4436" s="7">
        <f>I4436*G4436</f>
        <v/>
      </c>
      <c r="K4436" s="8">
        <f>IF($J$4465=0,0,J4436/$J$4465)</f>
        <v/>
      </c>
      <c r="L4436" s="6" t="inlineStr">
        <is>
          <t>REJECTED</t>
        </is>
      </c>
      <c r="M4436" s="8" t="n">
        <v>0</v>
      </c>
      <c r="N4436" s="7">
        <f>M4436*$J$4465-J4436</f>
        <v/>
      </c>
      <c r="O4436" s="9">
        <f>IF(G4436=0,0,N4436/G4436)</f>
        <v/>
      </c>
      <c r="P4436" s="6">
        <f>IF(M4436&gt;0,D4436,"")</f>
        <v/>
      </c>
      <c r="Q4436" s="9">
        <f>I4436+O4436</f>
        <v/>
      </c>
      <c r="R4436" s="7">
        <f>Q4436*G4436</f>
        <v/>
      </c>
      <c r="S4436" s="8">
        <f>IF($R$4465=0,0,R4436/$R$4465)</f>
        <v/>
      </c>
      <c r="T4436" s="8" t="n">
        <v>-0.005360066527577367</v>
      </c>
      <c r="U4436" s="8" t="n">
        <v>0.01131345710694154</v>
      </c>
      <c r="V4436" s="6" t="inlineStr">
        <is>
          <t>not selected</t>
        </is>
      </c>
    </row>
    <row r="4437">
      <c r="A4437" s="6" t="inlineStr">
        <is>
          <t>DJ30</t>
        </is>
      </c>
      <c r="B4437" s="6" t="inlineStr">
        <is>
          <t>2025-10-03</t>
        </is>
      </c>
      <c r="C4437" s="6" t="inlineStr">
        <is>
          <t>DIA</t>
        </is>
      </c>
      <c r="D4437" s="6" t="inlineStr">
        <is>
          <t>AMZN</t>
        </is>
      </c>
      <c r="E4437" s="6" t="inlineStr">
        <is>
          <t>AMZN</t>
        </is>
      </c>
      <c r="F4437" s="6" t="inlineStr">
        <is>
          <t>-</t>
        </is>
      </c>
      <c r="G4437" s="7" t="n">
        <v>219.509994506836</v>
      </c>
      <c r="H4437" s="6">
        <f>P4406</f>
        <v/>
      </c>
      <c r="I4437" s="9">
        <f>Q4406</f>
        <v/>
      </c>
      <c r="J4437" s="7">
        <f>I4437*G4437</f>
        <v/>
      </c>
      <c r="K4437" s="8">
        <f>IF($J$4465=0,0,J4437/$J$4465)</f>
        <v/>
      </c>
      <c r="L4437" s="6" t="inlineStr">
        <is>
          <t>REJECTED</t>
        </is>
      </c>
      <c r="M4437" s="8" t="n">
        <v>0</v>
      </c>
      <c r="N4437" s="7">
        <f>M4437*$J$4465-J4437</f>
        <v/>
      </c>
      <c r="O4437" s="9">
        <f>IF(G4437=0,0,N4437/G4437)</f>
        <v/>
      </c>
      <c r="P4437" s="6">
        <f>IF(M4437&gt;0,D4437,"")</f>
        <v/>
      </c>
      <c r="Q4437" s="9">
        <f>I4437+O4437</f>
        <v/>
      </c>
      <c r="R4437" s="7">
        <f>Q4437*G4437</f>
        <v/>
      </c>
      <c r="S4437" s="8">
        <f>IF($R$4465=0,0,R4437/$R$4465)</f>
        <v/>
      </c>
      <c r="T4437" s="8" t="n">
        <v>-0.005360066527577367</v>
      </c>
      <c r="U4437" s="8" t="n">
        <v>0.01131345710694154</v>
      </c>
      <c r="V4437" s="6" t="inlineStr">
        <is>
          <t>not selected</t>
        </is>
      </c>
    </row>
    <row r="4438">
      <c r="A4438" s="6" t="inlineStr">
        <is>
          <t>DJ30</t>
        </is>
      </c>
      <c r="B4438" s="6" t="inlineStr">
        <is>
          <t>2025-10-03</t>
        </is>
      </c>
      <c r="C4438" s="6" t="inlineStr">
        <is>
          <t>DIA</t>
        </is>
      </c>
      <c r="D4438" s="6" t="inlineStr">
        <is>
          <t>AXP</t>
        </is>
      </c>
      <c r="E4438" s="6" t="inlineStr">
        <is>
          <t>AXP</t>
        </is>
      </c>
      <c r="F4438" s="6" t="inlineStr">
        <is>
          <t>-</t>
        </is>
      </c>
      <c r="G4438" s="7" t="n">
        <v>327.6394348144531</v>
      </c>
      <c r="H4438" s="6">
        <f>P4407</f>
        <v/>
      </c>
      <c r="I4438" s="9">
        <f>Q4407</f>
        <v/>
      </c>
      <c r="J4438" s="7">
        <f>I4438*G4438</f>
        <v/>
      </c>
      <c r="K4438" s="8">
        <f>IF($J$4465=0,0,J4438/$J$4465)</f>
        <v/>
      </c>
      <c r="L4438" s="6" t="inlineStr">
        <is>
          <t>REJECTED</t>
        </is>
      </c>
      <c r="M4438" s="8" t="n">
        <v>0</v>
      </c>
      <c r="N4438" s="7">
        <f>M4438*$J$4465-J4438</f>
        <v/>
      </c>
      <c r="O4438" s="9">
        <f>IF(G4438=0,0,N4438/G4438)</f>
        <v/>
      </c>
      <c r="P4438" s="6">
        <f>IF(M4438&gt;0,D4438,"")</f>
        <v/>
      </c>
      <c r="Q4438" s="9">
        <f>I4438+O4438</f>
        <v/>
      </c>
      <c r="R4438" s="7">
        <f>Q4438*G4438</f>
        <v/>
      </c>
      <c r="S4438" s="8">
        <f>IF($R$4465=0,0,R4438/$R$4465)</f>
        <v/>
      </c>
      <c r="T4438" s="8" t="n">
        <v>-0.005360066527577367</v>
      </c>
      <c r="U4438" s="8" t="n">
        <v>0.01131345710694154</v>
      </c>
      <c r="V4438" s="6" t="inlineStr">
        <is>
          <t>not selected</t>
        </is>
      </c>
    </row>
    <row r="4439">
      <c r="A4439" s="6" t="inlineStr">
        <is>
          <t>DJ30</t>
        </is>
      </c>
      <c r="B4439" s="6" t="inlineStr">
        <is>
          <t>2025-10-03</t>
        </is>
      </c>
      <c r="C4439" s="6" t="inlineStr">
        <is>
          <t>DIA</t>
        </is>
      </c>
      <c r="D4439" s="6" t="inlineStr">
        <is>
          <t>BA</t>
        </is>
      </c>
      <c r="E4439" s="6" t="inlineStr">
        <is>
          <t>BA</t>
        </is>
      </c>
      <c r="F4439" s="6" t="inlineStr">
        <is>
          <t>-</t>
        </is>
      </c>
      <c r="G4439" s="7" t="n">
        <v>216.3000030517578</v>
      </c>
      <c r="H4439" s="6">
        <f>P4408</f>
        <v/>
      </c>
      <c r="I4439" s="9">
        <f>Q4408</f>
        <v/>
      </c>
      <c r="J4439" s="7">
        <f>I4439*G4439</f>
        <v/>
      </c>
      <c r="K4439" s="8">
        <f>IF($J$4465=0,0,J4439/$J$4465)</f>
        <v/>
      </c>
      <c r="L4439" s="6" t="inlineStr">
        <is>
          <t>SELECTED</t>
        </is>
      </c>
      <c r="M4439" s="8" t="n">
        <v>0.2</v>
      </c>
      <c r="N4439" s="7">
        <f>M4439*$J$4465-J4439</f>
        <v/>
      </c>
      <c r="O4439" s="9">
        <f>IF(G4439=0,0,N4439/G4439)</f>
        <v/>
      </c>
      <c r="P4439" s="6">
        <f>IF(M4439&gt;0,D4439,"")</f>
        <v/>
      </c>
      <c r="Q4439" s="9">
        <f>I4439+O4439</f>
        <v/>
      </c>
      <c r="R4439" s="7">
        <f>Q4439*G4439</f>
        <v/>
      </c>
      <c r="S4439" s="8">
        <f>IF($R$4465=0,0,R4439/$R$4465)</f>
        <v/>
      </c>
      <c r="T4439" s="8" t="n">
        <v>-0.005360066527577367</v>
      </c>
      <c r="U4439" s="8" t="n">
        <v>0.01131345710694154</v>
      </c>
      <c r="V4439" s="6" t="inlineStr">
        <is>
          <t>remained in weekly selection</t>
        </is>
      </c>
    </row>
    <row r="4440">
      <c r="A4440" s="6" t="inlineStr">
        <is>
          <t>DJ30</t>
        </is>
      </c>
      <c r="B4440" s="6" t="inlineStr">
        <is>
          <t>2025-10-03</t>
        </is>
      </c>
      <c r="C4440" s="6" t="inlineStr">
        <is>
          <t>DIA</t>
        </is>
      </c>
      <c r="D4440" s="6" t="inlineStr">
        <is>
          <t>CAT</t>
        </is>
      </c>
      <c r="E4440" s="6" t="inlineStr">
        <is>
          <t>CAT</t>
        </is>
      </c>
      <c r="F4440" s="6" t="inlineStr">
        <is>
          <t>-</t>
        </is>
      </c>
      <c r="G4440" s="7" t="n">
        <v>494.3238525390625</v>
      </c>
      <c r="H4440" s="6">
        <f>P4409</f>
        <v/>
      </c>
      <c r="I4440" s="9">
        <f>Q4409</f>
        <v/>
      </c>
      <c r="J4440" s="7">
        <f>I4440*G4440</f>
        <v/>
      </c>
      <c r="K4440" s="8">
        <f>IF($J$4465=0,0,J4440/$J$4465)</f>
        <v/>
      </c>
      <c r="L4440" s="6" t="inlineStr">
        <is>
          <t>REJECTED</t>
        </is>
      </c>
      <c r="M4440" s="8" t="n">
        <v>0</v>
      </c>
      <c r="N4440" s="7">
        <f>M4440*$J$4465-J4440</f>
        <v/>
      </c>
      <c r="O4440" s="9">
        <f>IF(G4440=0,0,N4440/G4440)</f>
        <v/>
      </c>
      <c r="P4440" s="6">
        <f>IF(M4440&gt;0,D4440,"")</f>
        <v/>
      </c>
      <c r="Q4440" s="9">
        <f>I4440+O4440</f>
        <v/>
      </c>
      <c r="R4440" s="7">
        <f>Q4440*G4440</f>
        <v/>
      </c>
      <c r="S4440" s="8">
        <f>IF($R$4465=0,0,R4440/$R$4465)</f>
        <v/>
      </c>
      <c r="T4440" s="8" t="n">
        <v>-0.005360066527577367</v>
      </c>
      <c r="U4440" s="8" t="n">
        <v>0.01131345710694154</v>
      </c>
      <c r="V4440" s="6" t="inlineStr">
        <is>
          <t>not selected</t>
        </is>
      </c>
    </row>
    <row r="4441">
      <c r="A4441" s="6" t="inlineStr">
        <is>
          <t>DJ30</t>
        </is>
      </c>
      <c r="B4441" s="6" t="inlineStr">
        <is>
          <t>2025-10-03</t>
        </is>
      </c>
      <c r="C4441" s="6" t="inlineStr">
        <is>
          <t>DIA</t>
        </is>
      </c>
      <c r="D4441" s="6" t="inlineStr">
        <is>
          <t>CRM</t>
        </is>
      </c>
      <c r="E4441" s="6" t="inlineStr">
        <is>
          <t>CRM</t>
        </is>
      </c>
      <c r="F4441" s="6" t="inlineStr">
        <is>
          <t>-</t>
        </is>
      </c>
      <c r="G4441" s="7" t="n">
        <v>238.7577514648437</v>
      </c>
      <c r="H4441" s="6">
        <f>P4410</f>
        <v/>
      </c>
      <c r="I4441" s="9">
        <f>Q4410</f>
        <v/>
      </c>
      <c r="J4441" s="7">
        <f>I4441*G4441</f>
        <v/>
      </c>
      <c r="K4441" s="8">
        <f>IF($J$4465=0,0,J4441/$J$4465)</f>
        <v/>
      </c>
      <c r="L4441" s="6" t="inlineStr">
        <is>
          <t>REJECTED</t>
        </is>
      </c>
      <c r="M4441" s="8" t="n">
        <v>0</v>
      </c>
      <c r="N4441" s="7">
        <f>M4441*$J$4465-J4441</f>
        <v/>
      </c>
      <c r="O4441" s="9">
        <f>IF(G4441=0,0,N4441/G4441)</f>
        <v/>
      </c>
      <c r="P4441" s="6">
        <f>IF(M4441&gt;0,D4441,"")</f>
        <v/>
      </c>
      <c r="Q4441" s="9">
        <f>I4441+O4441</f>
        <v/>
      </c>
      <c r="R4441" s="7">
        <f>Q4441*G4441</f>
        <v/>
      </c>
      <c r="S4441" s="8">
        <f>IF($R$4465=0,0,R4441/$R$4465)</f>
        <v/>
      </c>
      <c r="T4441" s="8" t="n">
        <v>-0.005360066527577367</v>
      </c>
      <c r="U4441" s="8" t="n">
        <v>0.01131345710694154</v>
      </c>
      <c r="V4441" s="6" t="inlineStr">
        <is>
          <t>not selected</t>
        </is>
      </c>
    </row>
    <row r="4442">
      <c r="A4442" s="6" t="inlineStr">
        <is>
          <t>DJ30</t>
        </is>
      </c>
      <c r="B4442" s="6" t="inlineStr">
        <is>
          <t>2025-10-03</t>
        </is>
      </c>
      <c r="C4442" s="6" t="inlineStr">
        <is>
          <t>DIA</t>
        </is>
      </c>
      <c r="D4442" s="6" t="inlineStr">
        <is>
          <t>CSCO</t>
        </is>
      </c>
      <c r="E4442" s="6" t="inlineStr">
        <is>
          <t>CSCO</t>
        </is>
      </c>
      <c r="F4442" s="6" t="inlineStr">
        <is>
          <t>-</t>
        </is>
      </c>
      <c r="G4442" s="7" t="n">
        <v>67.19438934326172</v>
      </c>
      <c r="H4442" s="6">
        <f>P4411</f>
        <v/>
      </c>
      <c r="I4442" s="9">
        <f>Q4411</f>
        <v/>
      </c>
      <c r="J4442" s="7">
        <f>I4442*G4442</f>
        <v/>
      </c>
      <c r="K4442" s="8">
        <f>IF($J$4465=0,0,J4442/$J$4465)</f>
        <v/>
      </c>
      <c r="L4442" s="6" t="inlineStr">
        <is>
          <t>WATCHLIST</t>
        </is>
      </c>
      <c r="M4442" s="8" t="n">
        <v>0</v>
      </c>
      <c r="N4442" s="7">
        <f>M4442*$J$4465-J4442</f>
        <v/>
      </c>
      <c r="O4442" s="9">
        <f>IF(G4442=0,0,N4442/G4442)</f>
        <v/>
      </c>
      <c r="P4442" s="6">
        <f>IF(M4442&gt;0,D4442,"")</f>
        <v/>
      </c>
      <c r="Q4442" s="9">
        <f>I4442+O4442</f>
        <v/>
      </c>
      <c r="R4442" s="7">
        <f>Q4442*G4442</f>
        <v/>
      </c>
      <c r="S4442" s="8">
        <f>IF($R$4465=0,0,R4442/$R$4465)</f>
        <v/>
      </c>
      <c r="T4442" s="8" t="n">
        <v>-0.005360066527577367</v>
      </c>
      <c r="U4442" s="8" t="n">
        <v>0.01131345710694154</v>
      </c>
      <c r="V4442" s="6" t="inlineStr">
        <is>
          <t>not selected</t>
        </is>
      </c>
    </row>
    <row r="4443">
      <c r="A4443" s="6" t="inlineStr">
        <is>
          <t>DJ30</t>
        </is>
      </c>
      <c r="B4443" s="6" t="inlineStr">
        <is>
          <t>2025-10-03</t>
        </is>
      </c>
      <c r="C4443" s="6" t="inlineStr">
        <is>
          <t>DIA</t>
        </is>
      </c>
      <c r="D4443" s="6" t="inlineStr">
        <is>
          <t>CVX</t>
        </is>
      </c>
      <c r="E4443" s="6" t="inlineStr">
        <is>
          <t>CVX</t>
        </is>
      </c>
      <c r="F4443" s="6" t="inlineStr">
        <is>
          <t>-</t>
        </is>
      </c>
      <c r="G4443" s="7" t="n">
        <v>149.0180358886719</v>
      </c>
      <c r="H4443" s="6">
        <f>P4412</f>
        <v/>
      </c>
      <c r="I4443" s="9">
        <f>Q4412</f>
        <v/>
      </c>
      <c r="J4443" s="7">
        <f>I4443*G4443</f>
        <v/>
      </c>
      <c r="K4443" s="8">
        <f>IF($J$4465=0,0,J4443/$J$4465)</f>
        <v/>
      </c>
      <c r="L4443" s="6" t="inlineStr">
        <is>
          <t>REJECTED</t>
        </is>
      </c>
      <c r="M4443" s="8" t="n">
        <v>0</v>
      </c>
      <c r="N4443" s="7">
        <f>M4443*$J$4465-J4443</f>
        <v/>
      </c>
      <c r="O4443" s="9">
        <f>IF(G4443=0,0,N4443/G4443)</f>
        <v/>
      </c>
      <c r="P4443" s="6">
        <f>IF(M4443&gt;0,D4443,"")</f>
        <v/>
      </c>
      <c r="Q4443" s="9">
        <f>I4443+O4443</f>
        <v/>
      </c>
      <c r="R4443" s="7">
        <f>Q4443*G4443</f>
        <v/>
      </c>
      <c r="S4443" s="8">
        <f>IF($R$4465=0,0,R4443/$R$4465)</f>
        <v/>
      </c>
      <c r="T4443" s="8" t="n">
        <v>-0.005360066527577367</v>
      </c>
      <c r="U4443" s="8" t="n">
        <v>0.01131345710694154</v>
      </c>
      <c r="V4443" s="6" t="inlineStr">
        <is>
          <t>not selected</t>
        </is>
      </c>
    </row>
    <row r="4444">
      <c r="A4444" s="6" t="inlineStr">
        <is>
          <t>DJ30</t>
        </is>
      </c>
      <c r="B4444" s="6" t="inlineStr">
        <is>
          <t>2025-10-03</t>
        </is>
      </c>
      <c r="C4444" s="6" t="inlineStr">
        <is>
          <t>DIA</t>
        </is>
      </c>
      <c r="D4444" s="6" t="inlineStr">
        <is>
          <t>DIS</t>
        </is>
      </c>
      <c r="E4444" s="6" t="inlineStr">
        <is>
          <t>DIS</t>
        </is>
      </c>
      <c r="F4444" s="6" t="inlineStr">
        <is>
          <t>-</t>
        </is>
      </c>
      <c r="G4444" s="7" t="n">
        <v>111.7141571044922</v>
      </c>
      <c r="H4444" s="6">
        <f>P4413</f>
        <v/>
      </c>
      <c r="I4444" s="9">
        <f>Q4413</f>
        <v/>
      </c>
      <c r="J4444" s="7">
        <f>I4444*G4444</f>
        <v/>
      </c>
      <c r="K4444" s="8">
        <f>IF($J$4465=0,0,J4444/$J$4465)</f>
        <v/>
      </c>
      <c r="L4444" s="6" t="inlineStr">
        <is>
          <t>REJECTED</t>
        </is>
      </c>
      <c r="M4444" s="8" t="n">
        <v>0</v>
      </c>
      <c r="N4444" s="7">
        <f>M4444*$J$4465-J4444</f>
        <v/>
      </c>
      <c r="O4444" s="9">
        <f>IF(G4444=0,0,N4444/G4444)</f>
        <v/>
      </c>
      <c r="P4444" s="6">
        <f>IF(M4444&gt;0,D4444,"")</f>
        <v/>
      </c>
      <c r="Q4444" s="9">
        <f>I4444+O4444</f>
        <v/>
      </c>
      <c r="R4444" s="7">
        <f>Q4444*G4444</f>
        <v/>
      </c>
      <c r="S4444" s="8">
        <f>IF($R$4465=0,0,R4444/$R$4465)</f>
        <v/>
      </c>
      <c r="T4444" s="8" t="n">
        <v>-0.005360066527577367</v>
      </c>
      <c r="U4444" s="8" t="n">
        <v>0.01131345710694154</v>
      </c>
      <c r="V4444" s="6" t="inlineStr">
        <is>
          <t>not selected</t>
        </is>
      </c>
    </row>
    <row r="4445">
      <c r="A4445" s="6" t="inlineStr">
        <is>
          <t>DJ30</t>
        </is>
      </c>
      <c r="B4445" s="6" t="inlineStr">
        <is>
          <t>2025-10-03</t>
        </is>
      </c>
      <c r="C4445" s="6" t="inlineStr">
        <is>
          <t>DIA</t>
        </is>
      </c>
      <c r="D4445" s="6" t="inlineStr">
        <is>
          <t>GS</t>
        </is>
      </c>
      <c r="E4445" s="6" t="inlineStr">
        <is>
          <t>GS</t>
        </is>
      </c>
      <c r="F4445" s="6" t="inlineStr">
        <is>
          <t>-</t>
        </is>
      </c>
      <c r="G4445" s="7" t="n">
        <v>778.5365600585938</v>
      </c>
      <c r="H4445" s="6">
        <f>P4414</f>
        <v/>
      </c>
      <c r="I4445" s="9">
        <f>Q4414</f>
        <v/>
      </c>
      <c r="J4445" s="7">
        <f>I4445*G4445</f>
        <v/>
      </c>
      <c r="K4445" s="8">
        <f>IF($J$4465=0,0,J4445/$J$4465)</f>
        <v/>
      </c>
      <c r="L4445" s="6" t="inlineStr">
        <is>
          <t>WATCHLIST</t>
        </is>
      </c>
      <c r="M4445" s="8" t="n">
        <v>0</v>
      </c>
      <c r="N4445" s="7">
        <f>M4445*$J$4465-J4445</f>
        <v/>
      </c>
      <c r="O4445" s="9">
        <f>IF(G4445=0,0,N4445/G4445)</f>
        <v/>
      </c>
      <c r="P4445" s="6">
        <f>IF(M4445&gt;0,D4445,"")</f>
        <v/>
      </c>
      <c r="Q4445" s="9">
        <f>I4445+O4445</f>
        <v/>
      </c>
      <c r="R4445" s="7">
        <f>Q4445*G4445</f>
        <v/>
      </c>
      <c r="S4445" s="8">
        <f>IF($R$4465=0,0,R4445/$R$4465)</f>
        <v/>
      </c>
      <c r="T4445" s="8" t="n">
        <v>-0.005360066527577367</v>
      </c>
      <c r="U4445" s="8" t="n">
        <v>0.01131345710694154</v>
      </c>
      <c r="V4445" s="6" t="inlineStr">
        <is>
          <t>removed from weekly selection</t>
        </is>
      </c>
    </row>
    <row r="4446">
      <c r="A4446" s="6" t="inlineStr">
        <is>
          <t>DJ30</t>
        </is>
      </c>
      <c r="B4446" s="6" t="inlineStr">
        <is>
          <t>2025-10-03</t>
        </is>
      </c>
      <c r="C4446" s="6" t="inlineStr">
        <is>
          <t>DIA</t>
        </is>
      </c>
      <c r="D4446" s="6" t="inlineStr">
        <is>
          <t>HD</t>
        </is>
      </c>
      <c r="E4446" s="6" t="inlineStr">
        <is>
          <t>HD</t>
        </is>
      </c>
      <c r="F4446" s="6" t="inlineStr">
        <is>
          <t>-</t>
        </is>
      </c>
      <c r="G4446" s="7" t="n">
        <v>387.0115966796875</v>
      </c>
      <c r="H4446" s="6">
        <f>P4415</f>
        <v/>
      </c>
      <c r="I4446" s="9">
        <f>Q4415</f>
        <v/>
      </c>
      <c r="J4446" s="7">
        <f>I4446*G4446</f>
        <v/>
      </c>
      <c r="K4446" s="8">
        <f>IF($J$4465=0,0,J4446/$J$4465)</f>
        <v/>
      </c>
      <c r="L4446" s="6" t="inlineStr">
        <is>
          <t>REJECTED</t>
        </is>
      </c>
      <c r="M4446" s="8" t="n">
        <v>0</v>
      </c>
      <c r="N4446" s="7">
        <f>M4446*$J$4465-J4446</f>
        <v/>
      </c>
      <c r="O4446" s="9">
        <f>IF(G4446=0,0,N4446/G4446)</f>
        <v/>
      </c>
      <c r="P4446" s="6">
        <f>IF(M4446&gt;0,D4446,"")</f>
        <v/>
      </c>
      <c r="Q4446" s="9">
        <f>I4446+O4446</f>
        <v/>
      </c>
      <c r="R4446" s="7">
        <f>Q4446*G4446</f>
        <v/>
      </c>
      <c r="S4446" s="8">
        <f>IF($R$4465=0,0,R4446/$R$4465)</f>
        <v/>
      </c>
      <c r="T4446" s="8" t="n">
        <v>-0.005360066527577367</v>
      </c>
      <c r="U4446" s="8" t="n">
        <v>0.01131345710694154</v>
      </c>
      <c r="V4446" s="6" t="inlineStr">
        <is>
          <t>not selected</t>
        </is>
      </c>
    </row>
    <row r="4447">
      <c r="A4447" s="6" t="inlineStr">
        <is>
          <t>DJ30</t>
        </is>
      </c>
      <c r="B4447" s="6" t="inlineStr">
        <is>
          <t>2025-10-03</t>
        </is>
      </c>
      <c r="C4447" s="6" t="inlineStr">
        <is>
          <t>DIA</t>
        </is>
      </c>
      <c r="D4447" s="6" t="inlineStr">
        <is>
          <t>HON</t>
        </is>
      </c>
      <c r="E4447" s="6" t="inlineStr">
        <is>
          <t>HON</t>
        </is>
      </c>
      <c r="F4447" s="6" t="inlineStr">
        <is>
          <t>-</t>
        </is>
      </c>
      <c r="G4447" s="7" t="n">
        <v>193.825210571289</v>
      </c>
      <c r="H4447" s="6">
        <f>P4416</f>
        <v/>
      </c>
      <c r="I4447" s="9">
        <f>Q4416</f>
        <v/>
      </c>
      <c r="J4447" s="7">
        <f>I4447*G4447</f>
        <v/>
      </c>
      <c r="K4447" s="8">
        <f>IF($J$4465=0,0,J4447/$J$4465)</f>
        <v/>
      </c>
      <c r="L4447" s="6" t="inlineStr">
        <is>
          <t>REJECTED</t>
        </is>
      </c>
      <c r="M4447" s="8" t="n">
        <v>0</v>
      </c>
      <c r="N4447" s="7">
        <f>M4447*$J$4465-J4447</f>
        <v/>
      </c>
      <c r="O4447" s="9">
        <f>IF(G4447=0,0,N4447/G4447)</f>
        <v/>
      </c>
      <c r="P4447" s="6">
        <f>IF(M4447&gt;0,D4447,"")</f>
        <v/>
      </c>
      <c r="Q4447" s="9">
        <f>I4447+O4447</f>
        <v/>
      </c>
      <c r="R4447" s="7">
        <f>Q4447*G4447</f>
        <v/>
      </c>
      <c r="S4447" s="8">
        <f>IF($R$4465=0,0,R4447/$R$4465)</f>
        <v/>
      </c>
      <c r="T4447" s="8" t="n">
        <v>-0.005360066527577367</v>
      </c>
      <c r="U4447" s="8" t="n">
        <v>0.01131345710694154</v>
      </c>
      <c r="V4447" s="6" t="inlineStr">
        <is>
          <t>not selected</t>
        </is>
      </c>
    </row>
    <row r="4448">
      <c r="A4448" s="6" t="inlineStr">
        <is>
          <t>DJ30</t>
        </is>
      </c>
      <c r="B4448" s="6" t="inlineStr">
        <is>
          <t>2025-10-03</t>
        </is>
      </c>
      <c r="C4448" s="6" t="inlineStr">
        <is>
          <t>DIA</t>
        </is>
      </c>
      <c r="D4448" s="6" t="inlineStr">
        <is>
          <t>IBM</t>
        </is>
      </c>
      <c r="E4448" s="6" t="inlineStr">
        <is>
          <t>IBM</t>
        </is>
      </c>
      <c r="F4448" s="6" t="inlineStr">
        <is>
          <t>-</t>
        </is>
      </c>
      <c r="G4448" s="7" t="n">
        <v>283.0794372558594</v>
      </c>
      <c r="H4448" s="6">
        <f>P4417</f>
        <v/>
      </c>
      <c r="I4448" s="9">
        <f>Q4417</f>
        <v/>
      </c>
      <c r="J4448" s="7">
        <f>I4448*G4448</f>
        <v/>
      </c>
      <c r="K4448" s="8">
        <f>IF($J$4465=0,0,J4448/$J$4465)</f>
        <v/>
      </c>
      <c r="L4448" s="6" t="inlineStr">
        <is>
          <t>SELECTED</t>
        </is>
      </c>
      <c r="M4448" s="8" t="n">
        <v>0.2</v>
      </c>
      <c r="N4448" s="7">
        <f>M4448*$J$4465-J4448</f>
        <v/>
      </c>
      <c r="O4448" s="9">
        <f>IF(G4448=0,0,N4448/G4448)</f>
        <v/>
      </c>
      <c r="P4448" s="6">
        <f>IF(M4448&gt;0,D4448,"")</f>
        <v/>
      </c>
      <c r="Q4448" s="9">
        <f>I4448+O4448</f>
        <v/>
      </c>
      <c r="R4448" s="7">
        <f>Q4448*G4448</f>
        <v/>
      </c>
      <c r="S4448" s="8">
        <f>IF($R$4465=0,0,R4448/$R$4465)</f>
        <v/>
      </c>
      <c r="T4448" s="8" t="n">
        <v>-0.005360066527577367</v>
      </c>
      <c r="U4448" s="8" t="n">
        <v>0.01131345710694154</v>
      </c>
      <c r="V4448" s="6" t="inlineStr">
        <is>
          <t>remained in weekly selection</t>
        </is>
      </c>
    </row>
    <row r="4449">
      <c r="A4449" s="6" t="inlineStr">
        <is>
          <t>DJ30</t>
        </is>
      </c>
      <c r="B4449" s="6" t="inlineStr">
        <is>
          <t>2025-10-03</t>
        </is>
      </c>
      <c r="C4449" s="6" t="inlineStr">
        <is>
          <t>DIA</t>
        </is>
      </c>
      <c r="D4449" s="6" t="inlineStr">
        <is>
          <t>JNJ</t>
        </is>
      </c>
      <c r="E4449" s="6" t="inlineStr">
        <is>
          <t>JNJ</t>
        </is>
      </c>
      <c r="F4449" s="6" t="inlineStr">
        <is>
          <t>-</t>
        </is>
      </c>
      <c r="G4449" s="7" t="n">
        <v>185.3924102783203</v>
      </c>
      <c r="H4449" s="6">
        <f>P4418</f>
        <v/>
      </c>
      <c r="I4449" s="9">
        <f>Q4418</f>
        <v/>
      </c>
      <c r="J4449" s="7">
        <f>I4449*G4449</f>
        <v/>
      </c>
      <c r="K4449" s="8">
        <f>IF($J$4465=0,0,J4449/$J$4465)</f>
        <v/>
      </c>
      <c r="L4449" s="6" t="inlineStr">
        <is>
          <t>SELECTED</t>
        </is>
      </c>
      <c r="M4449" s="8" t="n">
        <v>0.2</v>
      </c>
      <c r="N4449" s="7">
        <f>M4449*$J$4465-J4449</f>
        <v/>
      </c>
      <c r="O4449" s="9">
        <f>IF(G4449=0,0,N4449/G4449)</f>
        <v/>
      </c>
      <c r="P4449" s="6">
        <f>IF(M4449&gt;0,D4449,"")</f>
        <v/>
      </c>
      <c r="Q4449" s="9">
        <f>I4449+O4449</f>
        <v/>
      </c>
      <c r="R4449" s="7">
        <f>Q4449*G4449</f>
        <v/>
      </c>
      <c r="S4449" s="8">
        <f>IF($R$4465=0,0,R4449/$R$4465)</f>
        <v/>
      </c>
      <c r="T4449" s="8" t="n">
        <v>-0.005360066527577367</v>
      </c>
      <c r="U4449" s="8" t="n">
        <v>0.01131345710694154</v>
      </c>
      <c r="V4449" s="6" t="inlineStr">
        <is>
          <t>entered weekly selection</t>
        </is>
      </c>
    </row>
    <row r="4450">
      <c r="A4450" s="6" t="inlineStr">
        <is>
          <t>DJ30</t>
        </is>
      </c>
      <c r="B4450" s="6" t="inlineStr">
        <is>
          <t>2025-10-03</t>
        </is>
      </c>
      <c r="C4450" s="6" t="inlineStr">
        <is>
          <t>DIA</t>
        </is>
      </c>
      <c r="D4450" s="6" t="inlineStr">
        <is>
          <t>JPM</t>
        </is>
      </c>
      <c r="E4450" s="6" t="inlineStr">
        <is>
          <t>JPM</t>
        </is>
      </c>
      <c r="F4450" s="6" t="inlineStr">
        <is>
          <t>-</t>
        </is>
      </c>
      <c r="G4450" s="7" t="n">
        <v>305.5806884765625</v>
      </c>
      <c r="H4450" s="6">
        <f>P4419</f>
        <v/>
      </c>
      <c r="I4450" s="9">
        <f>Q4419</f>
        <v/>
      </c>
      <c r="J4450" s="7">
        <f>I4450*G4450</f>
        <v/>
      </c>
      <c r="K4450" s="8">
        <f>IF($J$4465=0,0,J4450/$J$4465)</f>
        <v/>
      </c>
      <c r="L4450" s="6" t="inlineStr">
        <is>
          <t>SELECTED</t>
        </is>
      </c>
      <c r="M4450" s="8" t="n">
        <v>0.2</v>
      </c>
      <c r="N4450" s="7">
        <f>M4450*$J$4465-J4450</f>
        <v/>
      </c>
      <c r="O4450" s="9">
        <f>IF(G4450=0,0,N4450/G4450)</f>
        <v/>
      </c>
      <c r="P4450" s="6">
        <f>IF(M4450&gt;0,D4450,"")</f>
        <v/>
      </c>
      <c r="Q4450" s="9">
        <f>I4450+O4450</f>
        <v/>
      </c>
      <c r="R4450" s="7">
        <f>Q4450*G4450</f>
        <v/>
      </c>
      <c r="S4450" s="8">
        <f>IF($R$4465=0,0,R4450/$R$4465)</f>
        <v/>
      </c>
      <c r="T4450" s="8" t="n">
        <v>-0.005360066527577367</v>
      </c>
      <c r="U4450" s="8" t="n">
        <v>0.01131345710694154</v>
      </c>
      <c r="V4450" s="6" t="inlineStr">
        <is>
          <t>entered weekly selection</t>
        </is>
      </c>
    </row>
    <row r="4451">
      <c r="A4451" s="6" t="inlineStr">
        <is>
          <t>DJ30</t>
        </is>
      </c>
      <c r="B4451" s="6" t="inlineStr">
        <is>
          <t>2025-10-03</t>
        </is>
      </c>
      <c r="C4451" s="6" t="inlineStr">
        <is>
          <t>DIA</t>
        </is>
      </c>
      <c r="D4451" s="6" t="inlineStr">
        <is>
          <t>KO</t>
        </is>
      </c>
      <c r="E4451" s="6" t="inlineStr">
        <is>
          <t>KO</t>
        </is>
      </c>
      <c r="F4451" s="6" t="inlineStr">
        <is>
          <t>-</t>
        </is>
      </c>
      <c r="G4451" s="7" t="n">
        <v>65.31147766113281</v>
      </c>
      <c r="H4451" s="6">
        <f>P4420</f>
        <v/>
      </c>
      <c r="I4451" s="9">
        <f>Q4420</f>
        <v/>
      </c>
      <c r="J4451" s="7">
        <f>I4451*G4451</f>
        <v/>
      </c>
      <c r="K4451" s="8">
        <f>IF($J$4465=0,0,J4451/$J$4465)</f>
        <v/>
      </c>
      <c r="L4451" s="6" t="inlineStr">
        <is>
          <t>WATCHLIST</t>
        </is>
      </c>
      <c r="M4451" s="8" t="n">
        <v>0</v>
      </c>
      <c r="N4451" s="7">
        <f>M4451*$J$4465-J4451</f>
        <v/>
      </c>
      <c r="O4451" s="9">
        <f>IF(G4451=0,0,N4451/G4451)</f>
        <v/>
      </c>
      <c r="P4451" s="6">
        <f>IF(M4451&gt;0,D4451,"")</f>
        <v/>
      </c>
      <c r="Q4451" s="9">
        <f>I4451+O4451</f>
        <v/>
      </c>
      <c r="R4451" s="7">
        <f>Q4451*G4451</f>
        <v/>
      </c>
      <c r="S4451" s="8">
        <f>IF($R$4465=0,0,R4451/$R$4465)</f>
        <v/>
      </c>
      <c r="T4451" s="8" t="n">
        <v>-0.005360066527577367</v>
      </c>
      <c r="U4451" s="8" t="n">
        <v>0.01131345710694154</v>
      </c>
      <c r="V4451" s="6" t="inlineStr">
        <is>
          <t>not selected</t>
        </is>
      </c>
    </row>
    <row r="4452">
      <c r="A4452" s="6" t="inlineStr">
        <is>
          <t>DJ30</t>
        </is>
      </c>
      <c r="B4452" s="6" t="inlineStr">
        <is>
          <t>2025-10-03</t>
        </is>
      </c>
      <c r="C4452" s="6" t="inlineStr">
        <is>
          <t>DIA</t>
        </is>
      </c>
      <c r="D4452" s="6" t="inlineStr">
        <is>
          <t>MCD</t>
        </is>
      </c>
      <c r="E4452" s="6" t="inlineStr">
        <is>
          <t>MCD</t>
        </is>
      </c>
      <c r="F4452" s="6" t="inlineStr">
        <is>
          <t>-</t>
        </is>
      </c>
      <c r="G4452" s="7" t="n">
        <v>295.5184020996094</v>
      </c>
      <c r="H4452" s="6">
        <f>P4421</f>
        <v/>
      </c>
      <c r="I4452" s="9">
        <f>Q4421</f>
        <v/>
      </c>
      <c r="J4452" s="7">
        <f>I4452*G4452</f>
        <v/>
      </c>
      <c r="K4452" s="8">
        <f>IF($J$4465=0,0,J4452/$J$4465)</f>
        <v/>
      </c>
      <c r="L4452" s="6" t="inlineStr">
        <is>
          <t>REJECTED</t>
        </is>
      </c>
      <c r="M4452" s="8" t="n">
        <v>0</v>
      </c>
      <c r="N4452" s="7">
        <f>M4452*$J$4465-J4452</f>
        <v/>
      </c>
      <c r="O4452" s="9">
        <f>IF(G4452=0,0,N4452/G4452)</f>
        <v/>
      </c>
      <c r="P4452" s="6">
        <f>IF(M4452&gt;0,D4452,"")</f>
        <v/>
      </c>
      <c r="Q4452" s="9">
        <f>I4452+O4452</f>
        <v/>
      </c>
      <c r="R4452" s="7">
        <f>Q4452*G4452</f>
        <v/>
      </c>
      <c r="S4452" s="8">
        <f>IF($R$4465=0,0,R4452/$R$4465)</f>
        <v/>
      </c>
      <c r="T4452" s="8" t="n">
        <v>-0.005360066527577367</v>
      </c>
      <c r="U4452" s="8" t="n">
        <v>0.01131345710694154</v>
      </c>
      <c r="V4452" s="6" t="inlineStr">
        <is>
          <t>not selected</t>
        </is>
      </c>
    </row>
    <row r="4453">
      <c r="A4453" s="6" t="inlineStr">
        <is>
          <t>DJ30</t>
        </is>
      </c>
      <c r="B4453" s="6" t="inlineStr">
        <is>
          <t>2025-10-03</t>
        </is>
      </c>
      <c r="C4453" s="6" t="inlineStr">
        <is>
          <t>DIA</t>
        </is>
      </c>
      <c r="D4453" s="6" t="inlineStr">
        <is>
          <t>MMM</t>
        </is>
      </c>
      <c r="E4453" s="6" t="inlineStr">
        <is>
          <t>MMM</t>
        </is>
      </c>
      <c r="F4453" s="6" t="inlineStr">
        <is>
          <t>-</t>
        </is>
      </c>
      <c r="G4453" s="7" t="n">
        <v>156.4662475585938</v>
      </c>
      <c r="H4453" s="6">
        <f>P4422</f>
        <v/>
      </c>
      <c r="I4453" s="9">
        <f>Q4422</f>
        <v/>
      </c>
      <c r="J4453" s="7">
        <f>I4453*G4453</f>
        <v/>
      </c>
      <c r="K4453" s="8">
        <f>IF($J$4465=0,0,J4453/$J$4465)</f>
        <v/>
      </c>
      <c r="L4453" s="6" t="inlineStr">
        <is>
          <t>WATCHLIST</t>
        </is>
      </c>
      <c r="M4453" s="8" t="n">
        <v>0</v>
      </c>
      <c r="N4453" s="7">
        <f>M4453*$J$4465-J4453</f>
        <v/>
      </c>
      <c r="O4453" s="9">
        <f>IF(G4453=0,0,N4453/G4453)</f>
        <v/>
      </c>
      <c r="P4453" s="6">
        <f>IF(M4453&gt;0,D4453,"")</f>
        <v/>
      </c>
      <c r="Q4453" s="9">
        <f>I4453+O4453</f>
        <v/>
      </c>
      <c r="R4453" s="7">
        <f>Q4453*G4453</f>
        <v/>
      </c>
      <c r="S4453" s="8">
        <f>IF($R$4465=0,0,R4453/$R$4465)</f>
        <v/>
      </c>
      <c r="T4453" s="8" t="n">
        <v>-0.005360066527577367</v>
      </c>
      <c r="U4453" s="8" t="n">
        <v>0.01131345710694154</v>
      </c>
      <c r="V4453" s="6" t="inlineStr">
        <is>
          <t>not selected</t>
        </is>
      </c>
    </row>
    <row r="4454">
      <c r="A4454" s="6" t="inlineStr">
        <is>
          <t>DJ30</t>
        </is>
      </c>
      <c r="B4454" s="6" t="inlineStr">
        <is>
          <t>2025-10-03</t>
        </is>
      </c>
      <c r="C4454" s="6" t="inlineStr">
        <is>
          <t>DIA</t>
        </is>
      </c>
      <c r="D4454" s="6" t="inlineStr">
        <is>
          <t>MRK</t>
        </is>
      </c>
      <c r="E4454" s="6" t="inlineStr">
        <is>
          <t>MRK</t>
        </is>
      </c>
      <c r="F4454" s="6" t="inlineStr">
        <is>
          <t>-</t>
        </is>
      </c>
      <c r="G4454" s="7" t="n">
        <v>87.15718841552734</v>
      </c>
      <c r="H4454" s="6">
        <f>P4423</f>
        <v/>
      </c>
      <c r="I4454" s="9">
        <f>Q4423</f>
        <v/>
      </c>
      <c r="J4454" s="7">
        <f>I4454*G4454</f>
        <v/>
      </c>
      <c r="K4454" s="8">
        <f>IF($J$4465=0,0,J4454/$J$4465)</f>
        <v/>
      </c>
      <c r="L4454" s="6" t="inlineStr">
        <is>
          <t>REJECTED</t>
        </is>
      </c>
      <c r="M4454" s="8" t="n">
        <v>0</v>
      </c>
      <c r="N4454" s="7">
        <f>M4454*$J$4465-J4454</f>
        <v/>
      </c>
      <c r="O4454" s="9">
        <f>IF(G4454=0,0,N4454/G4454)</f>
        <v/>
      </c>
      <c r="P4454" s="6">
        <f>IF(M4454&gt;0,D4454,"")</f>
        <v/>
      </c>
      <c r="Q4454" s="9">
        <f>I4454+O4454</f>
        <v/>
      </c>
      <c r="R4454" s="7">
        <f>Q4454*G4454</f>
        <v/>
      </c>
      <c r="S4454" s="8">
        <f>IF($R$4465=0,0,R4454/$R$4465)</f>
        <v/>
      </c>
      <c r="T4454" s="8" t="n">
        <v>-0.005360066527577367</v>
      </c>
      <c r="U4454" s="8" t="n">
        <v>0.01131345710694154</v>
      </c>
      <c r="V4454" s="6" t="inlineStr">
        <is>
          <t>not selected</t>
        </is>
      </c>
    </row>
    <row r="4455">
      <c r="A4455" s="6" t="inlineStr">
        <is>
          <t>DJ30</t>
        </is>
      </c>
      <c r="B4455" s="6" t="inlineStr">
        <is>
          <t>2025-10-03</t>
        </is>
      </c>
      <c r="C4455" s="6" t="inlineStr">
        <is>
          <t>DIA</t>
        </is>
      </c>
      <c r="D4455" s="6" t="inlineStr">
        <is>
          <t>MSFT</t>
        </is>
      </c>
      <c r="E4455" s="6" t="inlineStr">
        <is>
          <t>MSFT</t>
        </is>
      </c>
      <c r="F4455" s="6" t="inlineStr">
        <is>
          <t>-</t>
        </is>
      </c>
      <c r="G4455" s="7" t="n">
        <v>514.0940551757812</v>
      </c>
      <c r="H4455" s="6">
        <f>P4424</f>
        <v/>
      </c>
      <c r="I4455" s="9">
        <f>Q4424</f>
        <v/>
      </c>
      <c r="J4455" s="7">
        <f>I4455*G4455</f>
        <v/>
      </c>
      <c r="K4455" s="8">
        <f>IF($J$4465=0,0,J4455/$J$4465)</f>
        <v/>
      </c>
      <c r="L4455" s="6" t="inlineStr">
        <is>
          <t>WATCHLIST</t>
        </is>
      </c>
      <c r="M4455" s="8" t="n">
        <v>0</v>
      </c>
      <c r="N4455" s="7">
        <f>M4455*$J$4465-J4455</f>
        <v/>
      </c>
      <c r="O4455" s="9">
        <f>IF(G4455=0,0,N4455/G4455)</f>
        <v/>
      </c>
      <c r="P4455" s="6">
        <f>IF(M4455&gt;0,D4455,"")</f>
        <v/>
      </c>
      <c r="Q4455" s="9">
        <f>I4455+O4455</f>
        <v/>
      </c>
      <c r="R4455" s="7">
        <f>Q4455*G4455</f>
        <v/>
      </c>
      <c r="S4455" s="8">
        <f>IF($R$4465=0,0,R4455/$R$4465)</f>
        <v/>
      </c>
      <c r="T4455" s="8" t="n">
        <v>-0.005360066527577367</v>
      </c>
      <c r="U4455" s="8" t="n">
        <v>0.01131345710694154</v>
      </c>
      <c r="V4455" s="6" t="inlineStr">
        <is>
          <t>removed from weekly selection</t>
        </is>
      </c>
    </row>
    <row r="4456">
      <c r="A4456" s="6" t="inlineStr">
        <is>
          <t>DJ30</t>
        </is>
      </c>
      <c r="B4456" s="6" t="inlineStr">
        <is>
          <t>2025-10-03</t>
        </is>
      </c>
      <c r="C4456" s="6" t="inlineStr">
        <is>
          <t>DIA</t>
        </is>
      </c>
      <c r="D4456" s="6" t="inlineStr">
        <is>
          <t>NKE</t>
        </is>
      </c>
      <c r="E4456" s="6" t="inlineStr">
        <is>
          <t>NKE</t>
        </is>
      </c>
      <c r="F4456" s="6" t="inlineStr">
        <is>
          <t>-</t>
        </is>
      </c>
      <c r="G4456" s="7" t="n">
        <v>70.37271118164062</v>
      </c>
      <c r="H4456" s="6">
        <f>P4425</f>
        <v/>
      </c>
      <c r="I4456" s="9">
        <f>Q4425</f>
        <v/>
      </c>
      <c r="J4456" s="7">
        <f>I4456*G4456</f>
        <v/>
      </c>
      <c r="K4456" s="8">
        <f>IF($J$4465=0,0,J4456/$J$4465)</f>
        <v/>
      </c>
      <c r="L4456" s="6" t="inlineStr">
        <is>
          <t>REJECTED</t>
        </is>
      </c>
      <c r="M4456" s="8" t="n">
        <v>0</v>
      </c>
      <c r="N4456" s="7">
        <f>M4456*$J$4465-J4456</f>
        <v/>
      </c>
      <c r="O4456" s="9">
        <f>IF(G4456=0,0,N4456/G4456)</f>
        <v/>
      </c>
      <c r="P4456" s="6">
        <f>IF(M4456&gt;0,D4456,"")</f>
        <v/>
      </c>
      <c r="Q4456" s="9">
        <f>I4456+O4456</f>
        <v/>
      </c>
      <c r="R4456" s="7">
        <f>Q4456*G4456</f>
        <v/>
      </c>
      <c r="S4456" s="8">
        <f>IF($R$4465=0,0,R4456/$R$4465)</f>
        <v/>
      </c>
      <c r="T4456" s="8" t="n">
        <v>-0.005360066527577367</v>
      </c>
      <c r="U4456" s="8" t="n">
        <v>0.01131345710694154</v>
      </c>
      <c r="V4456" s="6" t="inlineStr">
        <is>
          <t>not selected</t>
        </is>
      </c>
    </row>
    <row r="4457">
      <c r="A4457" s="6" t="inlineStr">
        <is>
          <t>DJ30</t>
        </is>
      </c>
      <c r="B4457" s="6" t="inlineStr">
        <is>
          <t>2025-10-03</t>
        </is>
      </c>
      <c r="C4457" s="6" t="inlineStr">
        <is>
          <t>DIA</t>
        </is>
      </c>
      <c r="D4457" s="6" t="inlineStr">
        <is>
          <t>NVDA</t>
        </is>
      </c>
      <c r="E4457" s="6" t="inlineStr">
        <is>
          <t>NVDA</t>
        </is>
      </c>
      <c r="F4457" s="6" t="inlineStr">
        <is>
          <t>-</t>
        </is>
      </c>
      <c r="G4457" s="7" t="n">
        <v>187.3809967041016</v>
      </c>
      <c r="H4457" s="6">
        <f>P4426</f>
        <v/>
      </c>
      <c r="I4457" s="9">
        <f>Q4426</f>
        <v/>
      </c>
      <c r="J4457" s="7">
        <f>I4457*G4457</f>
        <v/>
      </c>
      <c r="K4457" s="8">
        <f>IF($J$4465=0,0,J4457/$J$4465)</f>
        <v/>
      </c>
      <c r="L4457" s="6" t="inlineStr">
        <is>
          <t>REJECTED</t>
        </is>
      </c>
      <c r="M4457" s="8" t="n">
        <v>0</v>
      </c>
      <c r="N4457" s="7">
        <f>M4457*$J$4465-J4457</f>
        <v/>
      </c>
      <c r="O4457" s="9">
        <f>IF(G4457=0,0,N4457/G4457)</f>
        <v/>
      </c>
      <c r="P4457" s="6">
        <f>IF(M4457&gt;0,D4457,"")</f>
        <v/>
      </c>
      <c r="Q4457" s="9">
        <f>I4457+O4457</f>
        <v/>
      </c>
      <c r="R4457" s="7">
        <f>Q4457*G4457</f>
        <v/>
      </c>
      <c r="S4457" s="8">
        <f>IF($R$4465=0,0,R4457/$R$4465)</f>
        <v/>
      </c>
      <c r="T4457" s="8" t="n">
        <v>-0.005360066527577367</v>
      </c>
      <c r="U4457" s="8" t="n">
        <v>0.01131345710694154</v>
      </c>
      <c r="V4457" s="6" t="inlineStr">
        <is>
          <t>not selected</t>
        </is>
      </c>
    </row>
    <row r="4458">
      <c r="A4458" s="6" t="inlineStr">
        <is>
          <t>DJ30</t>
        </is>
      </c>
      <c r="B4458" s="6" t="inlineStr">
        <is>
          <t>2025-10-03</t>
        </is>
      </c>
      <c r="C4458" s="6" t="inlineStr">
        <is>
          <t>DIA</t>
        </is>
      </c>
      <c r="D4458" s="6" t="inlineStr">
        <is>
          <t>PG</t>
        </is>
      </c>
      <c r="E4458" s="6" t="inlineStr">
        <is>
          <t>PG</t>
        </is>
      </c>
      <c r="F4458" s="6" t="inlineStr">
        <is>
          <t>-</t>
        </is>
      </c>
      <c r="G4458" s="7" t="n">
        <v>149.0243835449219</v>
      </c>
      <c r="H4458" s="6">
        <f>P4427</f>
        <v/>
      </c>
      <c r="I4458" s="9">
        <f>Q4427</f>
        <v/>
      </c>
      <c r="J4458" s="7">
        <f>I4458*G4458</f>
        <v/>
      </c>
      <c r="K4458" s="8">
        <f>IF($J$4465=0,0,J4458/$J$4465)</f>
        <v/>
      </c>
      <c r="L4458" s="6" t="inlineStr">
        <is>
          <t>REJECTED</t>
        </is>
      </c>
      <c r="M4458" s="8" t="n">
        <v>0</v>
      </c>
      <c r="N4458" s="7">
        <f>M4458*$J$4465-J4458</f>
        <v/>
      </c>
      <c r="O4458" s="9">
        <f>IF(G4458=0,0,N4458/G4458)</f>
        <v/>
      </c>
      <c r="P4458" s="6">
        <f>IF(M4458&gt;0,D4458,"")</f>
        <v/>
      </c>
      <c r="Q4458" s="9">
        <f>I4458+O4458</f>
        <v/>
      </c>
      <c r="R4458" s="7">
        <f>Q4458*G4458</f>
        <v/>
      </c>
      <c r="S4458" s="8">
        <f>IF($R$4465=0,0,R4458/$R$4465)</f>
        <v/>
      </c>
      <c r="T4458" s="8" t="n">
        <v>-0.005360066527577367</v>
      </c>
      <c r="U4458" s="8" t="n">
        <v>0.01131345710694154</v>
      </c>
      <c r="V4458" s="6" t="inlineStr">
        <is>
          <t>not selected</t>
        </is>
      </c>
    </row>
    <row r="4459">
      <c r="A4459" s="6" t="inlineStr">
        <is>
          <t>DJ30</t>
        </is>
      </c>
      <c r="B4459" s="6" t="inlineStr">
        <is>
          <t>2025-10-03</t>
        </is>
      </c>
      <c r="C4459" s="6" t="inlineStr">
        <is>
          <t>DIA</t>
        </is>
      </c>
      <c r="D4459" s="6" t="inlineStr">
        <is>
          <t>SHW</t>
        </is>
      </c>
      <c r="E4459" s="6" t="inlineStr">
        <is>
          <t>SHW</t>
        </is>
      </c>
      <c r="F4459" s="6" t="inlineStr">
        <is>
          <t>-</t>
        </is>
      </c>
      <c r="G4459" s="7" t="n">
        <v>344.1366882324219</v>
      </c>
      <c r="H4459" s="6">
        <f>P4428</f>
        <v/>
      </c>
      <c r="I4459" s="9">
        <f>Q4428</f>
        <v/>
      </c>
      <c r="J4459" s="7">
        <f>I4459*G4459</f>
        <v/>
      </c>
      <c r="K4459" s="8">
        <f>IF($J$4465=0,0,J4459/$J$4465)</f>
        <v/>
      </c>
      <c r="L4459" s="6" t="inlineStr">
        <is>
          <t>REJECTED</t>
        </is>
      </c>
      <c r="M4459" s="8" t="n">
        <v>0</v>
      </c>
      <c r="N4459" s="7">
        <f>M4459*$J$4465-J4459</f>
        <v/>
      </c>
      <c r="O4459" s="9">
        <f>IF(G4459=0,0,N4459/G4459)</f>
        <v/>
      </c>
      <c r="P4459" s="6">
        <f>IF(M4459&gt;0,D4459,"")</f>
        <v/>
      </c>
      <c r="Q4459" s="9">
        <f>I4459+O4459</f>
        <v/>
      </c>
      <c r="R4459" s="7">
        <f>Q4459*G4459</f>
        <v/>
      </c>
      <c r="S4459" s="8">
        <f>IF($R$4465=0,0,R4459/$R$4465)</f>
        <v/>
      </c>
      <c r="T4459" s="8" t="n">
        <v>-0.005360066527577367</v>
      </c>
      <c r="U4459" s="8" t="n">
        <v>0.01131345710694154</v>
      </c>
      <c r="V4459" s="6" t="inlineStr">
        <is>
          <t>not selected</t>
        </is>
      </c>
    </row>
    <row r="4460">
      <c r="A4460" s="6" t="inlineStr">
        <is>
          <t>DJ30</t>
        </is>
      </c>
      <c r="B4460" s="6" t="inlineStr">
        <is>
          <t>2025-10-03</t>
        </is>
      </c>
      <c r="C4460" s="6" t="inlineStr">
        <is>
          <t>DIA</t>
        </is>
      </c>
      <c r="D4460" s="6" t="inlineStr">
        <is>
          <t>TRV</t>
        </is>
      </c>
      <c r="E4460" s="6" t="inlineStr">
        <is>
          <t>TRV</t>
        </is>
      </c>
      <c r="F4460" s="6" t="inlineStr">
        <is>
          <t>-</t>
        </is>
      </c>
      <c r="G4460" s="7" t="n">
        <v>281.2346496582031</v>
      </c>
      <c r="H4460" s="6">
        <f>P4429</f>
        <v/>
      </c>
      <c r="I4460" s="9">
        <f>Q4429</f>
        <v/>
      </c>
      <c r="J4460" s="7">
        <f>I4460*G4460</f>
        <v/>
      </c>
      <c r="K4460" s="8">
        <f>IF($J$4465=0,0,J4460/$J$4465)</f>
        <v/>
      </c>
      <c r="L4460" s="6" t="inlineStr">
        <is>
          <t>WATCHLIST</t>
        </is>
      </c>
      <c r="M4460" s="8" t="n">
        <v>0</v>
      </c>
      <c r="N4460" s="7">
        <f>M4460*$J$4465-J4460</f>
        <v/>
      </c>
      <c r="O4460" s="9">
        <f>IF(G4460=0,0,N4460/G4460)</f>
        <v/>
      </c>
      <c r="P4460" s="6">
        <f>IF(M4460&gt;0,D4460,"")</f>
        <v/>
      </c>
      <c r="Q4460" s="9">
        <f>I4460+O4460</f>
        <v/>
      </c>
      <c r="R4460" s="7">
        <f>Q4460*G4460</f>
        <v/>
      </c>
      <c r="S4460" s="8">
        <f>IF($R$4465=0,0,R4460/$R$4465)</f>
        <v/>
      </c>
      <c r="T4460" s="8" t="n">
        <v>-0.005360066527577367</v>
      </c>
      <c r="U4460" s="8" t="n">
        <v>0.01131345710694154</v>
      </c>
      <c r="V4460" s="6" t="inlineStr">
        <is>
          <t>not selected</t>
        </is>
      </c>
    </row>
    <row r="4461">
      <c r="A4461" s="6" t="inlineStr">
        <is>
          <t>DJ30</t>
        </is>
      </c>
      <c r="B4461" s="6" t="inlineStr">
        <is>
          <t>2025-10-03</t>
        </is>
      </c>
      <c r="C4461" s="6" t="inlineStr">
        <is>
          <t>DIA</t>
        </is>
      </c>
      <c r="D4461" s="6" t="inlineStr">
        <is>
          <t>UNH</t>
        </is>
      </c>
      <c r="E4461" s="6" t="inlineStr">
        <is>
          <t>UNH</t>
        </is>
      </c>
      <c r="F4461" s="6" t="inlineStr">
        <is>
          <t>-</t>
        </is>
      </c>
      <c r="G4461" s="7" t="n">
        <v>353.0179748535156</v>
      </c>
      <c r="H4461" s="6">
        <f>P4430</f>
        <v/>
      </c>
      <c r="I4461" s="9">
        <f>Q4430</f>
        <v/>
      </c>
      <c r="J4461" s="7">
        <f>I4461*G4461</f>
        <v/>
      </c>
      <c r="K4461" s="8">
        <f>IF($J$4465=0,0,J4461/$J$4465)</f>
        <v/>
      </c>
      <c r="L4461" s="6" t="inlineStr">
        <is>
          <t>REJECTED</t>
        </is>
      </c>
      <c r="M4461" s="8" t="n">
        <v>0</v>
      </c>
      <c r="N4461" s="7">
        <f>M4461*$J$4465-J4461</f>
        <v/>
      </c>
      <c r="O4461" s="9">
        <f>IF(G4461=0,0,N4461/G4461)</f>
        <v/>
      </c>
      <c r="P4461" s="6">
        <f>IF(M4461&gt;0,D4461,"")</f>
        <v/>
      </c>
      <c r="Q4461" s="9">
        <f>I4461+O4461</f>
        <v/>
      </c>
      <c r="R4461" s="7">
        <f>Q4461*G4461</f>
        <v/>
      </c>
      <c r="S4461" s="8">
        <f>IF($R$4465=0,0,R4461/$R$4465)</f>
        <v/>
      </c>
      <c r="T4461" s="8" t="n">
        <v>-0.005360066527577367</v>
      </c>
      <c r="U4461" s="8" t="n">
        <v>0.01131345710694154</v>
      </c>
      <c r="V4461" s="6" t="inlineStr">
        <is>
          <t>not selected</t>
        </is>
      </c>
    </row>
    <row r="4462">
      <c r="A4462" s="6" t="inlineStr">
        <is>
          <t>DJ30</t>
        </is>
      </c>
      <c r="B4462" s="6" t="inlineStr">
        <is>
          <t>2025-10-03</t>
        </is>
      </c>
      <c r="C4462" s="6" t="inlineStr">
        <is>
          <t>DIA</t>
        </is>
      </c>
      <c r="D4462" s="6" t="inlineStr">
        <is>
          <t>V</t>
        </is>
      </c>
      <c r="E4462" s="6" t="inlineStr">
        <is>
          <t>V</t>
        </is>
      </c>
      <c r="F4462" s="6" t="inlineStr">
        <is>
          <t>-</t>
        </is>
      </c>
      <c r="G4462" s="7" t="n">
        <v>347.7090759277344</v>
      </c>
      <c r="H4462" s="6">
        <f>P4431</f>
        <v/>
      </c>
      <c r="I4462" s="9">
        <f>Q4431</f>
        <v/>
      </c>
      <c r="J4462" s="7">
        <f>I4462*G4462</f>
        <v/>
      </c>
      <c r="K4462" s="8">
        <f>IF($J$4465=0,0,J4462/$J$4465)</f>
        <v/>
      </c>
      <c r="L4462" s="6" t="inlineStr">
        <is>
          <t>WATCHLIST</t>
        </is>
      </c>
      <c r="M4462" s="8" t="n">
        <v>0</v>
      </c>
      <c r="N4462" s="7">
        <f>M4462*$J$4465-J4462</f>
        <v/>
      </c>
      <c r="O4462" s="9">
        <f>IF(G4462=0,0,N4462/G4462)</f>
        <v/>
      </c>
      <c r="P4462" s="6">
        <f>IF(M4462&gt;0,D4462,"")</f>
        <v/>
      </c>
      <c r="Q4462" s="9">
        <f>I4462+O4462</f>
        <v/>
      </c>
      <c r="R4462" s="7">
        <f>Q4462*G4462</f>
        <v/>
      </c>
      <c r="S4462" s="8">
        <f>IF($R$4465=0,0,R4462/$R$4465)</f>
        <v/>
      </c>
      <c r="T4462" s="8" t="n">
        <v>-0.005360066527577367</v>
      </c>
      <c r="U4462" s="8" t="n">
        <v>0.01131345710694154</v>
      </c>
      <c r="V4462" s="6" t="inlineStr">
        <is>
          <t>not selected</t>
        </is>
      </c>
    </row>
    <row r="4463">
      <c r="A4463" s="6" t="inlineStr">
        <is>
          <t>DJ30</t>
        </is>
      </c>
      <c r="B4463" s="6" t="inlineStr">
        <is>
          <t>2025-10-03</t>
        </is>
      </c>
      <c r="C4463" s="6" t="inlineStr">
        <is>
          <t>DIA</t>
        </is>
      </c>
      <c r="D4463" s="6" t="inlineStr">
        <is>
          <t>VZ</t>
        </is>
      </c>
      <c r="E4463" s="6" t="inlineStr">
        <is>
          <t>VZ</t>
        </is>
      </c>
      <c r="F4463" s="6" t="inlineStr">
        <is>
          <t>-</t>
        </is>
      </c>
      <c r="G4463" s="7" t="n">
        <v>41.57453155517578</v>
      </c>
      <c r="H4463" s="6">
        <f>P4432</f>
        <v/>
      </c>
      <c r="I4463" s="9">
        <f>Q4432</f>
        <v/>
      </c>
      <c r="J4463" s="7">
        <f>I4463*G4463</f>
        <v/>
      </c>
      <c r="K4463" s="8">
        <f>IF($J$4465=0,0,J4463/$J$4465)</f>
        <v/>
      </c>
      <c r="L4463" s="6" t="inlineStr">
        <is>
          <t>WATCHLIST</t>
        </is>
      </c>
      <c r="M4463" s="8" t="n">
        <v>0</v>
      </c>
      <c r="N4463" s="7">
        <f>M4463*$J$4465-J4463</f>
        <v/>
      </c>
      <c r="O4463" s="9">
        <f>IF(G4463=0,0,N4463/G4463)</f>
        <v/>
      </c>
      <c r="P4463" s="6">
        <f>IF(M4463&gt;0,D4463,"")</f>
        <v/>
      </c>
      <c r="Q4463" s="9">
        <f>I4463+O4463</f>
        <v/>
      </c>
      <c r="R4463" s="7">
        <f>Q4463*G4463</f>
        <v/>
      </c>
      <c r="S4463" s="8">
        <f>IF($R$4465=0,0,R4463/$R$4465)</f>
        <v/>
      </c>
      <c r="T4463" s="8" t="n">
        <v>-0.005360066527577367</v>
      </c>
      <c r="U4463" s="8" t="n">
        <v>0.01131345710694154</v>
      </c>
      <c r="V4463" s="6" t="inlineStr">
        <is>
          <t>not selected</t>
        </is>
      </c>
    </row>
    <row r="4464">
      <c r="A4464" s="6" t="inlineStr">
        <is>
          <t>DJ30</t>
        </is>
      </c>
      <c r="B4464" s="6" t="inlineStr">
        <is>
          <t>2025-10-03</t>
        </is>
      </c>
      <c r="C4464" s="6" t="inlineStr">
        <is>
          <t>DIA</t>
        </is>
      </c>
      <c r="D4464" s="6" t="inlineStr">
        <is>
          <t>WMT</t>
        </is>
      </c>
      <c r="E4464" s="6" t="inlineStr">
        <is>
          <t>WMT</t>
        </is>
      </c>
      <c r="F4464" s="6" t="inlineStr">
        <is>
          <t>-</t>
        </is>
      </c>
      <c r="G4464" s="7" t="n">
        <v>101.4601135253906</v>
      </c>
      <c r="H4464" s="6">
        <f>P4433</f>
        <v/>
      </c>
      <c r="I4464" s="9">
        <f>Q4433</f>
        <v/>
      </c>
      <c r="J4464" s="7">
        <f>I4464*G4464</f>
        <v/>
      </c>
      <c r="K4464" s="8">
        <f>IF($J$4465=0,0,J4464/$J$4465)</f>
        <v/>
      </c>
      <c r="L4464" s="6" t="inlineStr">
        <is>
          <t>SELECTED</t>
        </is>
      </c>
      <c r="M4464" s="8" t="n">
        <v>0.2</v>
      </c>
      <c r="N4464" s="7">
        <f>M4464*$J$4465-J4464</f>
        <v/>
      </c>
      <c r="O4464" s="9">
        <f>IF(G4464=0,0,N4464/G4464)</f>
        <v/>
      </c>
      <c r="P4464" s="6">
        <f>IF(M4464&gt;0,D4464,"")</f>
        <v/>
      </c>
      <c r="Q4464" s="9">
        <f>I4464+O4464</f>
        <v/>
      </c>
      <c r="R4464" s="7">
        <f>Q4464*G4464</f>
        <v/>
      </c>
      <c r="S4464" s="8">
        <f>IF($R$4465=0,0,R4464/$R$4465)</f>
        <v/>
      </c>
      <c r="T4464" s="8" t="n">
        <v>-0.005360066527577367</v>
      </c>
      <c r="U4464" s="8" t="n">
        <v>0.01131345710694154</v>
      </c>
      <c r="V4464" s="6" t="inlineStr">
        <is>
          <t>remained in weekly selection</t>
        </is>
      </c>
    </row>
    <row r="4465">
      <c r="A4465" s="10" t="inlineStr">
        <is>
          <t>DJ30</t>
        </is>
      </c>
      <c r="B4465" s="10" t="inlineStr">
        <is>
          <t>2025-10-03</t>
        </is>
      </c>
      <c r="C4465" s="10" t="inlineStr">
        <is>
          <t>DIA</t>
        </is>
      </c>
      <c r="D4465" s="10" t="inlineStr">
        <is>
          <t>Tot Portfolio</t>
        </is>
      </c>
      <c r="E4465" s="10" t="inlineStr"/>
      <c r="F4465" s="10" t="inlineStr"/>
      <c r="G4465" s="11" t="inlineStr"/>
      <c r="H4465" s="10" t="inlineStr"/>
      <c r="I4465" s="12" t="inlineStr"/>
      <c r="J4465" s="11">
        <f>SUM(J4435:J4464)</f>
        <v/>
      </c>
      <c r="K4465" s="13">
        <f>SUM(K4435:K4464)</f>
        <v/>
      </c>
      <c r="L4465" s="10" t="inlineStr">
        <is>
          <t>TOTAL</t>
        </is>
      </c>
      <c r="M4465" s="13">
        <f>SUM(M4435:M4464)</f>
        <v/>
      </c>
      <c r="N4465" s="11">
        <f>SUM(N4435:N4464)</f>
        <v/>
      </c>
      <c r="O4465" s="12">
        <f>SUM(O4435:O4464)</f>
        <v/>
      </c>
      <c r="P4465" s="10" t="inlineStr"/>
      <c r="Q4465" s="12" t="inlineStr"/>
      <c r="R4465" s="11">
        <f>SUM(R4435:R4464)</f>
        <v/>
      </c>
      <c r="S4465" s="13">
        <f>SUM(S4435:S4464)</f>
        <v/>
      </c>
      <c r="T4465" s="13" t="n">
        <v>-0.005360066527577367</v>
      </c>
      <c r="U4465" s="13" t="n">
        <v>0.01131345710694154</v>
      </c>
      <c r="V4465" s="10" t="inlineStr"/>
    </row>
    <row r="4466">
      <c r="A4466" s="6" t="inlineStr">
        <is>
          <t>DJ30</t>
        </is>
      </c>
      <c r="B4466" s="6" t="inlineStr">
        <is>
          <t>2025-10-10</t>
        </is>
      </c>
      <c r="C4466" s="6" t="inlineStr">
        <is>
          <t>DIA</t>
        </is>
      </c>
      <c r="D4466" s="6" t="inlineStr">
        <is>
          <t>AAPL</t>
        </is>
      </c>
      <c r="E4466" s="6" t="inlineStr">
        <is>
          <t>AAPL</t>
        </is>
      </c>
      <c r="F4466" s="6" t="inlineStr">
        <is>
          <t>-</t>
        </is>
      </c>
      <c r="G4466" s="7" t="n">
        <v>244.5780639648437</v>
      </c>
      <c r="H4466" s="6">
        <f>P4435</f>
        <v/>
      </c>
      <c r="I4466" s="9">
        <f>Q4435</f>
        <v/>
      </c>
      <c r="J4466" s="7">
        <f>I4466*G4466</f>
        <v/>
      </c>
      <c r="K4466" s="8">
        <f>IF($J$4496=0,0,J4466/$J$4496)</f>
        <v/>
      </c>
      <c r="L4466" s="6" t="inlineStr">
        <is>
          <t>REJECTED</t>
        </is>
      </c>
      <c r="M4466" s="8" t="n">
        <v>0</v>
      </c>
      <c r="N4466" s="7">
        <f>M4466*$J$4496-J4466</f>
        <v/>
      </c>
      <c r="O4466" s="9">
        <f>IF(G4466=0,0,N4466/G4466)</f>
        <v/>
      </c>
      <c r="P4466" s="6">
        <f>IF(M4466&gt;0,D4466,"")</f>
        <v/>
      </c>
      <c r="Q4466" s="9">
        <f>I4466+O4466</f>
        <v/>
      </c>
      <c r="R4466" s="7">
        <f>Q4466*G4466</f>
        <v/>
      </c>
      <c r="S4466" s="8">
        <f>IF($R$4496=0,0,R4466/$R$4496)</f>
        <v/>
      </c>
      <c r="T4466" s="8" t="n">
        <v>-0.01606523303155494</v>
      </c>
      <c r="U4466" s="8" t="n">
        <v>-0.02703689882290772</v>
      </c>
      <c r="V4466" s="6" t="inlineStr">
        <is>
          <t>not selected</t>
        </is>
      </c>
    </row>
    <row r="4467">
      <c r="A4467" s="6" t="inlineStr">
        <is>
          <t>DJ30</t>
        </is>
      </c>
      <c r="B4467" s="6" t="inlineStr">
        <is>
          <t>2025-10-10</t>
        </is>
      </c>
      <c r="C4467" s="6" t="inlineStr">
        <is>
          <t>DIA</t>
        </is>
      </c>
      <c r="D4467" s="6" t="inlineStr">
        <is>
          <t>AMGN</t>
        </is>
      </c>
      <c r="E4467" s="6" t="inlineStr">
        <is>
          <t>AMGN</t>
        </is>
      </c>
      <c r="F4467" s="6" t="inlineStr">
        <is>
          <t>-</t>
        </is>
      </c>
      <c r="G4467" s="7" t="n">
        <v>283.9486999511719</v>
      </c>
      <c r="H4467" s="6">
        <f>P4436</f>
        <v/>
      </c>
      <c r="I4467" s="9">
        <f>Q4436</f>
        <v/>
      </c>
      <c r="J4467" s="7">
        <f>I4467*G4467</f>
        <v/>
      </c>
      <c r="K4467" s="8">
        <f>IF($J$4496=0,0,J4467/$J$4496)</f>
        <v/>
      </c>
      <c r="L4467" s="6" t="inlineStr">
        <is>
          <t>REJECTED</t>
        </is>
      </c>
      <c r="M4467" s="8" t="n">
        <v>0</v>
      </c>
      <c r="N4467" s="7">
        <f>M4467*$J$4496-J4467</f>
        <v/>
      </c>
      <c r="O4467" s="9">
        <f>IF(G4467=0,0,N4467/G4467)</f>
        <v/>
      </c>
      <c r="P4467" s="6">
        <f>IF(M4467&gt;0,D4467,"")</f>
        <v/>
      </c>
      <c r="Q4467" s="9">
        <f>I4467+O4467</f>
        <v/>
      </c>
      <c r="R4467" s="7">
        <f>Q4467*G4467</f>
        <v/>
      </c>
      <c r="S4467" s="8">
        <f>IF($R$4496=0,0,R4467/$R$4496)</f>
        <v/>
      </c>
      <c r="T4467" s="8" t="n">
        <v>-0.01606523303155494</v>
      </c>
      <c r="U4467" s="8" t="n">
        <v>-0.02703689882290772</v>
      </c>
      <c r="V4467" s="6" t="inlineStr">
        <is>
          <t>not selected</t>
        </is>
      </c>
    </row>
    <row r="4468">
      <c r="A4468" s="6" t="inlineStr">
        <is>
          <t>DJ30</t>
        </is>
      </c>
      <c r="B4468" s="6" t="inlineStr">
        <is>
          <t>2025-10-10</t>
        </is>
      </c>
      <c r="C4468" s="6" t="inlineStr">
        <is>
          <t>DIA</t>
        </is>
      </c>
      <c r="D4468" s="6" t="inlineStr">
        <is>
          <t>AMZN</t>
        </is>
      </c>
      <c r="E4468" s="6" t="inlineStr">
        <is>
          <t>AMZN</t>
        </is>
      </c>
      <c r="F4468" s="6" t="inlineStr">
        <is>
          <t>-</t>
        </is>
      </c>
      <c r="G4468" s="7" t="n">
        <v>216.3699951171875</v>
      </c>
      <c r="H4468" s="6">
        <f>P4437</f>
        <v/>
      </c>
      <c r="I4468" s="9">
        <f>Q4437</f>
        <v/>
      </c>
      <c r="J4468" s="7">
        <f>I4468*G4468</f>
        <v/>
      </c>
      <c r="K4468" s="8">
        <f>IF($J$4496=0,0,J4468/$J$4496)</f>
        <v/>
      </c>
      <c r="L4468" s="6" t="inlineStr">
        <is>
          <t>REJECTED</t>
        </is>
      </c>
      <c r="M4468" s="8" t="n">
        <v>0</v>
      </c>
      <c r="N4468" s="7">
        <f>M4468*$J$4496-J4468</f>
        <v/>
      </c>
      <c r="O4468" s="9">
        <f>IF(G4468=0,0,N4468/G4468)</f>
        <v/>
      </c>
      <c r="P4468" s="6">
        <f>IF(M4468&gt;0,D4468,"")</f>
        <v/>
      </c>
      <c r="Q4468" s="9">
        <f>I4468+O4468</f>
        <v/>
      </c>
      <c r="R4468" s="7">
        <f>Q4468*G4468</f>
        <v/>
      </c>
      <c r="S4468" s="8">
        <f>IF($R$4496=0,0,R4468/$R$4496)</f>
        <v/>
      </c>
      <c r="T4468" s="8" t="n">
        <v>-0.01606523303155494</v>
      </c>
      <c r="U4468" s="8" t="n">
        <v>-0.02703689882290772</v>
      </c>
      <c r="V4468" s="6" t="inlineStr">
        <is>
          <t>not selected</t>
        </is>
      </c>
    </row>
    <row r="4469">
      <c r="A4469" s="6" t="inlineStr">
        <is>
          <t>DJ30</t>
        </is>
      </c>
      <c r="B4469" s="6" t="inlineStr">
        <is>
          <t>2025-10-10</t>
        </is>
      </c>
      <c r="C4469" s="6" t="inlineStr">
        <is>
          <t>DIA</t>
        </is>
      </c>
      <c r="D4469" s="6" t="inlineStr">
        <is>
          <t>AXP</t>
        </is>
      </c>
      <c r="E4469" s="6" t="inlineStr">
        <is>
          <t>AXP</t>
        </is>
      </c>
      <c r="F4469" s="6" t="inlineStr">
        <is>
          <t>-</t>
        </is>
      </c>
      <c r="G4469" s="7" t="n">
        <v>314.5645446777344</v>
      </c>
      <c r="H4469" s="6">
        <f>P4438</f>
        <v/>
      </c>
      <c r="I4469" s="9">
        <f>Q4438</f>
        <v/>
      </c>
      <c r="J4469" s="7">
        <f>I4469*G4469</f>
        <v/>
      </c>
      <c r="K4469" s="8">
        <f>IF($J$4496=0,0,J4469/$J$4496)</f>
        <v/>
      </c>
      <c r="L4469" s="6" t="inlineStr">
        <is>
          <t>REJECTED</t>
        </is>
      </c>
      <c r="M4469" s="8" t="n">
        <v>0</v>
      </c>
      <c r="N4469" s="7">
        <f>M4469*$J$4496-J4469</f>
        <v/>
      </c>
      <c r="O4469" s="9">
        <f>IF(G4469=0,0,N4469/G4469)</f>
        <v/>
      </c>
      <c r="P4469" s="6">
        <f>IF(M4469&gt;0,D4469,"")</f>
        <v/>
      </c>
      <c r="Q4469" s="9">
        <f>I4469+O4469</f>
        <v/>
      </c>
      <c r="R4469" s="7">
        <f>Q4469*G4469</f>
        <v/>
      </c>
      <c r="S4469" s="8">
        <f>IF($R$4496=0,0,R4469/$R$4496)</f>
        <v/>
      </c>
      <c r="T4469" s="8" t="n">
        <v>-0.01606523303155494</v>
      </c>
      <c r="U4469" s="8" t="n">
        <v>-0.02703689882290772</v>
      </c>
      <c r="V4469" s="6" t="inlineStr">
        <is>
          <t>not selected</t>
        </is>
      </c>
    </row>
    <row r="4470">
      <c r="A4470" s="6" t="inlineStr">
        <is>
          <t>DJ30</t>
        </is>
      </c>
      <c r="B4470" s="6" t="inlineStr">
        <is>
          <t>2025-10-10</t>
        </is>
      </c>
      <c r="C4470" s="6" t="inlineStr">
        <is>
          <t>DIA</t>
        </is>
      </c>
      <c r="D4470" s="6" t="inlineStr">
        <is>
          <t>BA</t>
        </is>
      </c>
      <c r="E4470" s="6" t="inlineStr">
        <is>
          <t>BA</t>
        </is>
      </c>
      <c r="F4470" s="6" t="inlineStr">
        <is>
          <t>-</t>
        </is>
      </c>
      <c r="G4470" s="7" t="n">
        <v>210.729995727539</v>
      </c>
      <c r="H4470" s="6">
        <f>P4439</f>
        <v/>
      </c>
      <c r="I4470" s="9">
        <f>Q4439</f>
        <v/>
      </c>
      <c r="J4470" s="7">
        <f>I4470*G4470</f>
        <v/>
      </c>
      <c r="K4470" s="8">
        <f>IF($J$4496=0,0,J4470/$J$4496)</f>
        <v/>
      </c>
      <c r="L4470" s="6" t="inlineStr">
        <is>
          <t>SELECTED</t>
        </is>
      </c>
      <c r="M4470" s="8" t="n">
        <v>0.2</v>
      </c>
      <c r="N4470" s="7">
        <f>M4470*$J$4496-J4470</f>
        <v/>
      </c>
      <c r="O4470" s="9">
        <f>IF(G4470=0,0,N4470/G4470)</f>
        <v/>
      </c>
      <c r="P4470" s="6">
        <f>IF(M4470&gt;0,D4470,"")</f>
        <v/>
      </c>
      <c r="Q4470" s="9">
        <f>I4470+O4470</f>
        <v/>
      </c>
      <c r="R4470" s="7">
        <f>Q4470*G4470</f>
        <v/>
      </c>
      <c r="S4470" s="8">
        <f>IF($R$4496=0,0,R4470/$R$4496)</f>
        <v/>
      </c>
      <c r="T4470" s="8" t="n">
        <v>-0.01606523303155494</v>
      </c>
      <c r="U4470" s="8" t="n">
        <v>-0.02703689882290772</v>
      </c>
      <c r="V4470" s="6" t="inlineStr">
        <is>
          <t>remained in weekly selection</t>
        </is>
      </c>
    </row>
    <row r="4471">
      <c r="A4471" s="6" t="inlineStr">
        <is>
          <t>DJ30</t>
        </is>
      </c>
      <c r="B4471" s="6" t="inlineStr">
        <is>
          <t>2025-10-10</t>
        </is>
      </c>
      <c r="C4471" s="6" t="inlineStr">
        <is>
          <t>DIA</t>
        </is>
      </c>
      <c r="D4471" s="6" t="inlineStr">
        <is>
          <t>CAT</t>
        </is>
      </c>
      <c r="E4471" s="6" t="inlineStr">
        <is>
          <t>CAT</t>
        </is>
      </c>
      <c r="F4471" s="6" t="inlineStr">
        <is>
          <t>-</t>
        </is>
      </c>
      <c r="G4471" s="7" t="n">
        <v>487.8202514648438</v>
      </c>
      <c r="H4471" s="6">
        <f>P4440</f>
        <v/>
      </c>
      <c r="I4471" s="9">
        <f>Q4440</f>
        <v/>
      </c>
      <c r="J4471" s="7">
        <f>I4471*G4471</f>
        <v/>
      </c>
      <c r="K4471" s="8">
        <f>IF($J$4496=0,0,J4471/$J$4496)</f>
        <v/>
      </c>
      <c r="L4471" s="6" t="inlineStr">
        <is>
          <t>REJECTED</t>
        </is>
      </c>
      <c r="M4471" s="8" t="n">
        <v>0</v>
      </c>
      <c r="N4471" s="7">
        <f>M4471*$J$4496-J4471</f>
        <v/>
      </c>
      <c r="O4471" s="9">
        <f>IF(G4471=0,0,N4471/G4471)</f>
        <v/>
      </c>
      <c r="P4471" s="6">
        <f>IF(M4471&gt;0,D4471,"")</f>
        <v/>
      </c>
      <c r="Q4471" s="9">
        <f>I4471+O4471</f>
        <v/>
      </c>
      <c r="R4471" s="7">
        <f>Q4471*G4471</f>
        <v/>
      </c>
      <c r="S4471" s="8">
        <f>IF($R$4496=0,0,R4471/$R$4496)</f>
        <v/>
      </c>
      <c r="T4471" s="8" t="n">
        <v>-0.01606523303155494</v>
      </c>
      <c r="U4471" s="8" t="n">
        <v>-0.02703689882290772</v>
      </c>
      <c r="V4471" s="6" t="inlineStr">
        <is>
          <t>not selected</t>
        </is>
      </c>
    </row>
    <row r="4472">
      <c r="A4472" s="6" t="inlineStr">
        <is>
          <t>DJ30</t>
        </is>
      </c>
      <c r="B4472" s="6" t="inlineStr">
        <is>
          <t>2025-10-10</t>
        </is>
      </c>
      <c r="C4472" s="6" t="inlineStr">
        <is>
          <t>DIA</t>
        </is>
      </c>
      <c r="D4472" s="6" t="inlineStr">
        <is>
          <t>CRM</t>
        </is>
      </c>
      <c r="E4472" s="6" t="inlineStr">
        <is>
          <t>CRM</t>
        </is>
      </c>
      <c r="F4472" s="6" t="inlineStr">
        <is>
          <t>-</t>
        </is>
      </c>
      <c r="G4472" s="7" t="n">
        <v>240.0689544677734</v>
      </c>
      <c r="H4472" s="6">
        <f>P4441</f>
        <v/>
      </c>
      <c r="I4472" s="9">
        <f>Q4441</f>
        <v/>
      </c>
      <c r="J4472" s="7">
        <f>I4472*G4472</f>
        <v/>
      </c>
      <c r="K4472" s="8">
        <f>IF($J$4496=0,0,J4472/$J$4496)</f>
        <v/>
      </c>
      <c r="L4472" s="6" t="inlineStr">
        <is>
          <t>REJECTED</t>
        </is>
      </c>
      <c r="M4472" s="8" t="n">
        <v>0</v>
      </c>
      <c r="N4472" s="7">
        <f>M4472*$J$4496-J4472</f>
        <v/>
      </c>
      <c r="O4472" s="9">
        <f>IF(G4472=0,0,N4472/G4472)</f>
        <v/>
      </c>
      <c r="P4472" s="6">
        <f>IF(M4472&gt;0,D4472,"")</f>
        <v/>
      </c>
      <c r="Q4472" s="9">
        <f>I4472+O4472</f>
        <v/>
      </c>
      <c r="R4472" s="7">
        <f>Q4472*G4472</f>
        <v/>
      </c>
      <c r="S4472" s="8">
        <f>IF($R$4496=0,0,R4472/$R$4496)</f>
        <v/>
      </c>
      <c r="T4472" s="8" t="n">
        <v>-0.01606523303155494</v>
      </c>
      <c r="U4472" s="8" t="n">
        <v>-0.02703689882290772</v>
      </c>
      <c r="V4472" s="6" t="inlineStr">
        <is>
          <t>not selected</t>
        </is>
      </c>
    </row>
    <row r="4473">
      <c r="A4473" s="6" t="inlineStr">
        <is>
          <t>DJ30</t>
        </is>
      </c>
      <c r="B4473" s="6" t="inlineStr">
        <is>
          <t>2025-10-10</t>
        </is>
      </c>
      <c r="C4473" s="6" t="inlineStr">
        <is>
          <t>DIA</t>
        </is>
      </c>
      <c r="D4473" s="6" t="inlineStr">
        <is>
          <t>CSCO</t>
        </is>
      </c>
      <c r="E4473" s="6" t="inlineStr">
        <is>
          <t>CSCO</t>
        </is>
      </c>
      <c r="F4473" s="6" t="inlineStr">
        <is>
          <t>-</t>
        </is>
      </c>
      <c r="G4473" s="7" t="n">
        <v>67.21417999267578</v>
      </c>
      <c r="H4473" s="6">
        <f>P4442</f>
        <v/>
      </c>
      <c r="I4473" s="9">
        <f>Q4442</f>
        <v/>
      </c>
      <c r="J4473" s="7">
        <f>I4473*G4473</f>
        <v/>
      </c>
      <c r="K4473" s="8">
        <f>IF($J$4496=0,0,J4473/$J$4496)</f>
        <v/>
      </c>
      <c r="L4473" s="6" t="inlineStr">
        <is>
          <t>SELECTED</t>
        </is>
      </c>
      <c r="M4473" s="8" t="n">
        <v>0.2</v>
      </c>
      <c r="N4473" s="7">
        <f>M4473*$J$4496-J4473</f>
        <v/>
      </c>
      <c r="O4473" s="9">
        <f>IF(G4473=0,0,N4473/G4473)</f>
        <v/>
      </c>
      <c r="P4473" s="6">
        <f>IF(M4473&gt;0,D4473,"")</f>
        <v/>
      </c>
      <c r="Q4473" s="9">
        <f>I4473+O4473</f>
        <v/>
      </c>
      <c r="R4473" s="7">
        <f>Q4473*G4473</f>
        <v/>
      </c>
      <c r="S4473" s="8">
        <f>IF($R$4496=0,0,R4473/$R$4496)</f>
        <v/>
      </c>
      <c r="T4473" s="8" t="n">
        <v>-0.01606523303155494</v>
      </c>
      <c r="U4473" s="8" t="n">
        <v>-0.02703689882290772</v>
      </c>
      <c r="V4473" s="6" t="inlineStr">
        <is>
          <t>entered weekly selection</t>
        </is>
      </c>
    </row>
    <row r="4474">
      <c r="A4474" s="6" t="inlineStr">
        <is>
          <t>DJ30</t>
        </is>
      </c>
      <c r="B4474" s="6" t="inlineStr">
        <is>
          <t>2025-10-10</t>
        </is>
      </c>
      <c r="C4474" s="6" t="inlineStr">
        <is>
          <t>DIA</t>
        </is>
      </c>
      <c r="D4474" s="6" t="inlineStr">
        <is>
          <t>CVX</t>
        </is>
      </c>
      <c r="E4474" s="6" t="inlineStr">
        <is>
          <t>CVX</t>
        </is>
      </c>
      <c r="F4474" s="6" t="inlineStr">
        <is>
          <t>-</t>
        </is>
      </c>
      <c r="G4474" s="7" t="n">
        <v>144.5052795410156</v>
      </c>
      <c r="H4474" s="6">
        <f>P4443</f>
        <v/>
      </c>
      <c r="I4474" s="9">
        <f>Q4443</f>
        <v/>
      </c>
      <c r="J4474" s="7">
        <f>I4474*G4474</f>
        <v/>
      </c>
      <c r="K4474" s="8">
        <f>IF($J$4496=0,0,J4474/$J$4496)</f>
        <v/>
      </c>
      <c r="L4474" s="6" t="inlineStr">
        <is>
          <t>REJECTED</t>
        </is>
      </c>
      <c r="M4474" s="8" t="n">
        <v>0</v>
      </c>
      <c r="N4474" s="7">
        <f>M4474*$J$4496-J4474</f>
        <v/>
      </c>
      <c r="O4474" s="9">
        <f>IF(G4474=0,0,N4474/G4474)</f>
        <v/>
      </c>
      <c r="P4474" s="6">
        <f>IF(M4474&gt;0,D4474,"")</f>
        <v/>
      </c>
      <c r="Q4474" s="9">
        <f>I4474+O4474</f>
        <v/>
      </c>
      <c r="R4474" s="7">
        <f>Q4474*G4474</f>
        <v/>
      </c>
      <c r="S4474" s="8">
        <f>IF($R$4496=0,0,R4474/$R$4496)</f>
        <v/>
      </c>
      <c r="T4474" s="8" t="n">
        <v>-0.01606523303155494</v>
      </c>
      <c r="U4474" s="8" t="n">
        <v>-0.02703689882290772</v>
      </c>
      <c r="V4474" s="6" t="inlineStr">
        <is>
          <t>not selected</t>
        </is>
      </c>
    </row>
    <row r="4475">
      <c r="A4475" s="6" t="inlineStr">
        <is>
          <t>DJ30</t>
        </is>
      </c>
      <c r="B4475" s="6" t="inlineStr">
        <is>
          <t>2025-10-10</t>
        </is>
      </c>
      <c r="C4475" s="6" t="inlineStr">
        <is>
          <t>DIA</t>
        </is>
      </c>
      <c r="D4475" s="6" t="inlineStr">
        <is>
          <t>DIS</t>
        </is>
      </c>
      <c r="E4475" s="6" t="inlineStr">
        <is>
          <t>DIS</t>
        </is>
      </c>
      <c r="F4475" s="6" t="inlineStr">
        <is>
          <t>-</t>
        </is>
      </c>
      <c r="G4475" s="7" t="n">
        <v>108.4561996459961</v>
      </c>
      <c r="H4475" s="6">
        <f>P4444</f>
        <v/>
      </c>
      <c r="I4475" s="9">
        <f>Q4444</f>
        <v/>
      </c>
      <c r="J4475" s="7">
        <f>I4475*G4475</f>
        <v/>
      </c>
      <c r="K4475" s="8">
        <f>IF($J$4496=0,0,J4475/$J$4496)</f>
        <v/>
      </c>
      <c r="L4475" s="6" t="inlineStr">
        <is>
          <t>REJECTED</t>
        </is>
      </c>
      <c r="M4475" s="8" t="n">
        <v>0</v>
      </c>
      <c r="N4475" s="7">
        <f>M4475*$J$4496-J4475</f>
        <v/>
      </c>
      <c r="O4475" s="9">
        <f>IF(G4475=0,0,N4475/G4475)</f>
        <v/>
      </c>
      <c r="P4475" s="6">
        <f>IF(M4475&gt;0,D4475,"")</f>
        <v/>
      </c>
      <c r="Q4475" s="9">
        <f>I4475+O4475</f>
        <v/>
      </c>
      <c r="R4475" s="7">
        <f>Q4475*G4475</f>
        <v/>
      </c>
      <c r="S4475" s="8">
        <f>IF($R$4496=0,0,R4475/$R$4496)</f>
        <v/>
      </c>
      <c r="T4475" s="8" t="n">
        <v>-0.01606523303155494</v>
      </c>
      <c r="U4475" s="8" t="n">
        <v>-0.02703689882290772</v>
      </c>
      <c r="V4475" s="6" t="inlineStr">
        <is>
          <t>not selected</t>
        </is>
      </c>
    </row>
    <row r="4476">
      <c r="A4476" s="6" t="inlineStr">
        <is>
          <t>DJ30</t>
        </is>
      </c>
      <c r="B4476" s="6" t="inlineStr">
        <is>
          <t>2025-10-10</t>
        </is>
      </c>
      <c r="C4476" s="6" t="inlineStr">
        <is>
          <t>DIA</t>
        </is>
      </c>
      <c r="D4476" s="6" t="inlineStr">
        <is>
          <t>GS</t>
        </is>
      </c>
      <c r="E4476" s="6" t="inlineStr">
        <is>
          <t>GS</t>
        </is>
      </c>
      <c r="F4476" s="6" t="inlineStr">
        <is>
          <t>-</t>
        </is>
      </c>
      <c r="G4476" s="7" t="n">
        <v>753.28759765625</v>
      </c>
      <c r="H4476" s="6">
        <f>P4445</f>
        <v/>
      </c>
      <c r="I4476" s="9">
        <f>Q4445</f>
        <v/>
      </c>
      <c r="J4476" s="7">
        <f>I4476*G4476</f>
        <v/>
      </c>
      <c r="K4476" s="8">
        <f>IF($J$4496=0,0,J4476/$J$4496)</f>
        <v/>
      </c>
      <c r="L4476" s="6" t="inlineStr">
        <is>
          <t>WATCHLIST</t>
        </is>
      </c>
      <c r="M4476" s="8" t="n">
        <v>0</v>
      </c>
      <c r="N4476" s="7">
        <f>M4476*$J$4496-J4476</f>
        <v/>
      </c>
      <c r="O4476" s="9">
        <f>IF(G4476=0,0,N4476/G4476)</f>
        <v/>
      </c>
      <c r="P4476" s="6">
        <f>IF(M4476&gt;0,D4476,"")</f>
        <v/>
      </c>
      <c r="Q4476" s="9">
        <f>I4476+O4476</f>
        <v/>
      </c>
      <c r="R4476" s="7">
        <f>Q4476*G4476</f>
        <v/>
      </c>
      <c r="S4476" s="8">
        <f>IF($R$4496=0,0,R4476/$R$4496)</f>
        <v/>
      </c>
      <c r="T4476" s="8" t="n">
        <v>-0.01606523303155494</v>
      </c>
      <c r="U4476" s="8" t="n">
        <v>-0.02703689882290772</v>
      </c>
      <c r="V4476" s="6" t="inlineStr">
        <is>
          <t>not selected</t>
        </is>
      </c>
    </row>
    <row r="4477">
      <c r="A4477" s="6" t="inlineStr">
        <is>
          <t>DJ30</t>
        </is>
      </c>
      <c r="B4477" s="6" t="inlineStr">
        <is>
          <t>2025-10-10</t>
        </is>
      </c>
      <c r="C4477" s="6" t="inlineStr">
        <is>
          <t>DIA</t>
        </is>
      </c>
      <c r="D4477" s="6" t="inlineStr">
        <is>
          <t>HD</t>
        </is>
      </c>
      <c r="E4477" s="6" t="inlineStr">
        <is>
          <t>HD</t>
        </is>
      </c>
      <c r="F4477" s="6" t="inlineStr">
        <is>
          <t>-</t>
        </is>
      </c>
      <c r="G4477" s="7" t="n">
        <v>368.0950012207031</v>
      </c>
      <c r="H4477" s="6">
        <f>P4446</f>
        <v/>
      </c>
      <c r="I4477" s="9">
        <f>Q4446</f>
        <v/>
      </c>
      <c r="J4477" s="7">
        <f>I4477*G4477</f>
        <v/>
      </c>
      <c r="K4477" s="8">
        <f>IF($J$4496=0,0,J4477/$J$4496)</f>
        <v/>
      </c>
      <c r="L4477" s="6" t="inlineStr">
        <is>
          <t>REJECTED</t>
        </is>
      </c>
      <c r="M4477" s="8" t="n">
        <v>0</v>
      </c>
      <c r="N4477" s="7">
        <f>M4477*$J$4496-J4477</f>
        <v/>
      </c>
      <c r="O4477" s="9">
        <f>IF(G4477=0,0,N4477/G4477)</f>
        <v/>
      </c>
      <c r="P4477" s="6">
        <f>IF(M4477&gt;0,D4477,"")</f>
        <v/>
      </c>
      <c r="Q4477" s="9">
        <f>I4477+O4477</f>
        <v/>
      </c>
      <c r="R4477" s="7">
        <f>Q4477*G4477</f>
        <v/>
      </c>
      <c r="S4477" s="8">
        <f>IF($R$4496=0,0,R4477/$R$4496)</f>
        <v/>
      </c>
      <c r="T4477" s="8" t="n">
        <v>-0.01606523303155494</v>
      </c>
      <c r="U4477" s="8" t="n">
        <v>-0.02703689882290772</v>
      </c>
      <c r="V4477" s="6" t="inlineStr">
        <is>
          <t>not selected</t>
        </is>
      </c>
    </row>
    <row r="4478">
      <c r="A4478" s="6" t="inlineStr">
        <is>
          <t>DJ30</t>
        </is>
      </c>
      <c r="B4478" s="6" t="inlineStr">
        <is>
          <t>2025-10-10</t>
        </is>
      </c>
      <c r="C4478" s="6" t="inlineStr">
        <is>
          <t>DIA</t>
        </is>
      </c>
      <c r="D4478" s="6" t="inlineStr">
        <is>
          <t>HON</t>
        </is>
      </c>
      <c r="E4478" s="6" t="inlineStr">
        <is>
          <t>HON</t>
        </is>
      </c>
      <c r="F4478" s="6" t="inlineStr">
        <is>
          <t>-</t>
        </is>
      </c>
      <c r="G4478" s="7" t="n">
        <v>186.2780456542969</v>
      </c>
      <c r="H4478" s="6">
        <f>P4447</f>
        <v/>
      </c>
      <c r="I4478" s="9">
        <f>Q4447</f>
        <v/>
      </c>
      <c r="J4478" s="7">
        <f>I4478*G4478</f>
        <v/>
      </c>
      <c r="K4478" s="8">
        <f>IF($J$4496=0,0,J4478/$J$4496)</f>
        <v/>
      </c>
      <c r="L4478" s="6" t="inlineStr">
        <is>
          <t>REJECTED</t>
        </is>
      </c>
      <c r="M4478" s="8" t="n">
        <v>0</v>
      </c>
      <c r="N4478" s="7">
        <f>M4478*$J$4496-J4478</f>
        <v/>
      </c>
      <c r="O4478" s="9">
        <f>IF(G4478=0,0,N4478/G4478)</f>
        <v/>
      </c>
      <c r="P4478" s="6">
        <f>IF(M4478&gt;0,D4478,"")</f>
        <v/>
      </c>
      <c r="Q4478" s="9">
        <f>I4478+O4478</f>
        <v/>
      </c>
      <c r="R4478" s="7">
        <f>Q4478*G4478</f>
        <v/>
      </c>
      <c r="S4478" s="8">
        <f>IF($R$4496=0,0,R4478/$R$4496)</f>
        <v/>
      </c>
      <c r="T4478" s="8" t="n">
        <v>-0.01606523303155494</v>
      </c>
      <c r="U4478" s="8" t="n">
        <v>-0.02703689882290772</v>
      </c>
      <c r="V4478" s="6" t="inlineStr">
        <is>
          <t>not selected</t>
        </is>
      </c>
    </row>
    <row r="4479">
      <c r="A4479" s="6" t="inlineStr">
        <is>
          <t>DJ30</t>
        </is>
      </c>
      <c r="B4479" s="6" t="inlineStr">
        <is>
          <t>2025-10-10</t>
        </is>
      </c>
      <c r="C4479" s="6" t="inlineStr">
        <is>
          <t>DIA</t>
        </is>
      </c>
      <c r="D4479" s="6" t="inlineStr">
        <is>
          <t>IBM</t>
        </is>
      </c>
      <c r="E4479" s="6" t="inlineStr">
        <is>
          <t>IBM</t>
        </is>
      </c>
      <c r="F4479" s="6" t="inlineStr">
        <is>
          <t>-</t>
        </is>
      </c>
      <c r="G4479" s="7" t="n">
        <v>272.7229919433594</v>
      </c>
      <c r="H4479" s="6">
        <f>P4448</f>
        <v/>
      </c>
      <c r="I4479" s="9">
        <f>Q4448</f>
        <v/>
      </c>
      <c r="J4479" s="7">
        <f>I4479*G4479</f>
        <v/>
      </c>
      <c r="K4479" s="8">
        <f>IF($J$4496=0,0,J4479/$J$4496)</f>
        <v/>
      </c>
      <c r="L4479" s="6" t="inlineStr">
        <is>
          <t>SELECTED</t>
        </is>
      </c>
      <c r="M4479" s="8" t="n">
        <v>0.2</v>
      </c>
      <c r="N4479" s="7">
        <f>M4479*$J$4496-J4479</f>
        <v/>
      </c>
      <c r="O4479" s="9">
        <f>IF(G4479=0,0,N4479/G4479)</f>
        <v/>
      </c>
      <c r="P4479" s="6">
        <f>IF(M4479&gt;0,D4479,"")</f>
        <v/>
      </c>
      <c r="Q4479" s="9">
        <f>I4479+O4479</f>
        <v/>
      </c>
      <c r="R4479" s="7">
        <f>Q4479*G4479</f>
        <v/>
      </c>
      <c r="S4479" s="8">
        <f>IF($R$4496=0,0,R4479/$R$4496)</f>
        <v/>
      </c>
      <c r="T4479" s="8" t="n">
        <v>-0.01606523303155494</v>
      </c>
      <c r="U4479" s="8" t="n">
        <v>-0.02703689882290772</v>
      </c>
      <c r="V4479" s="6" t="inlineStr">
        <is>
          <t>remained in weekly selection</t>
        </is>
      </c>
    </row>
    <row r="4480">
      <c r="A4480" s="6" t="inlineStr">
        <is>
          <t>DJ30</t>
        </is>
      </c>
      <c r="B4480" s="6" t="inlineStr">
        <is>
          <t>2025-10-10</t>
        </is>
      </c>
      <c r="C4480" s="6" t="inlineStr">
        <is>
          <t>DIA</t>
        </is>
      </c>
      <c r="D4480" s="6" t="inlineStr">
        <is>
          <t>JNJ</t>
        </is>
      </c>
      <c r="E4480" s="6" t="inlineStr">
        <is>
          <t>JNJ</t>
        </is>
      </c>
      <c r="F4480" s="6" t="inlineStr">
        <is>
          <t>-</t>
        </is>
      </c>
      <c r="G4480" s="7" t="n">
        <v>187.4365844726562</v>
      </c>
      <c r="H4480" s="6">
        <f>P4449</f>
        <v/>
      </c>
      <c r="I4480" s="9">
        <f>Q4449</f>
        <v/>
      </c>
      <c r="J4480" s="7">
        <f>I4480*G4480</f>
        <v/>
      </c>
      <c r="K4480" s="8">
        <f>IF($J$4496=0,0,J4480/$J$4496)</f>
        <v/>
      </c>
      <c r="L4480" s="6" t="inlineStr">
        <is>
          <t>SELECTED</t>
        </is>
      </c>
      <c r="M4480" s="8" t="n">
        <v>0.2</v>
      </c>
      <c r="N4480" s="7">
        <f>M4480*$J$4496-J4480</f>
        <v/>
      </c>
      <c r="O4480" s="9">
        <f>IF(G4480=0,0,N4480/G4480)</f>
        <v/>
      </c>
      <c r="P4480" s="6">
        <f>IF(M4480&gt;0,D4480,"")</f>
        <v/>
      </c>
      <c r="Q4480" s="9">
        <f>I4480+O4480</f>
        <v/>
      </c>
      <c r="R4480" s="7">
        <f>Q4480*G4480</f>
        <v/>
      </c>
      <c r="S4480" s="8">
        <f>IF($R$4496=0,0,R4480/$R$4496)</f>
        <v/>
      </c>
      <c r="T4480" s="8" t="n">
        <v>-0.01606523303155494</v>
      </c>
      <c r="U4480" s="8" t="n">
        <v>-0.02703689882290772</v>
      </c>
      <c r="V4480" s="6" t="inlineStr">
        <is>
          <t>remained in weekly selection</t>
        </is>
      </c>
    </row>
    <row r="4481">
      <c r="A4481" s="6" t="inlineStr">
        <is>
          <t>DJ30</t>
        </is>
      </c>
      <c r="B4481" s="6" t="inlineStr">
        <is>
          <t>2025-10-10</t>
        </is>
      </c>
      <c r="C4481" s="6" t="inlineStr">
        <is>
          <t>DIA</t>
        </is>
      </c>
      <c r="D4481" s="6" t="inlineStr">
        <is>
          <t>JPM</t>
        </is>
      </c>
      <c r="E4481" s="6" t="inlineStr">
        <is>
          <t>JPM</t>
        </is>
      </c>
      <c r="F4481" s="6" t="inlineStr">
        <is>
          <t>-</t>
        </is>
      </c>
      <c r="G4481" s="7" t="n">
        <v>298.0137023925781</v>
      </c>
      <c r="H4481" s="6">
        <f>P4450</f>
        <v/>
      </c>
      <c r="I4481" s="9">
        <f>Q4450</f>
        <v/>
      </c>
      <c r="J4481" s="7">
        <f>I4481*G4481</f>
        <v/>
      </c>
      <c r="K4481" s="8">
        <f>IF($J$4496=0,0,J4481/$J$4496)</f>
        <v/>
      </c>
      <c r="L4481" s="6" t="inlineStr">
        <is>
          <t>SELECTED</t>
        </is>
      </c>
      <c r="M4481" s="8" t="n">
        <v>0.2</v>
      </c>
      <c r="N4481" s="7">
        <f>M4481*$J$4496-J4481</f>
        <v/>
      </c>
      <c r="O4481" s="9">
        <f>IF(G4481=0,0,N4481/G4481)</f>
        <v/>
      </c>
      <c r="P4481" s="6">
        <f>IF(M4481&gt;0,D4481,"")</f>
        <v/>
      </c>
      <c r="Q4481" s="9">
        <f>I4481+O4481</f>
        <v/>
      </c>
      <c r="R4481" s="7">
        <f>Q4481*G4481</f>
        <v/>
      </c>
      <c r="S4481" s="8">
        <f>IF($R$4496=0,0,R4481/$R$4496)</f>
        <v/>
      </c>
      <c r="T4481" s="8" t="n">
        <v>-0.01606523303155494</v>
      </c>
      <c r="U4481" s="8" t="n">
        <v>-0.02703689882290772</v>
      </c>
      <c r="V4481" s="6" t="inlineStr">
        <is>
          <t>remained in weekly selection</t>
        </is>
      </c>
    </row>
    <row r="4482">
      <c r="A4482" s="6" t="inlineStr">
        <is>
          <t>DJ30</t>
        </is>
      </c>
      <c r="B4482" s="6" t="inlineStr">
        <is>
          <t>2025-10-10</t>
        </is>
      </c>
      <c r="C4482" s="6" t="inlineStr">
        <is>
          <t>DIA</t>
        </is>
      </c>
      <c r="D4482" s="6" t="inlineStr">
        <is>
          <t>KO</t>
        </is>
      </c>
      <c r="E4482" s="6" t="inlineStr">
        <is>
          <t>KO</t>
        </is>
      </c>
      <c r="F4482" s="6" t="inlineStr">
        <is>
          <t>-</t>
        </is>
      </c>
      <c r="G4482" s="7" t="n">
        <v>65.69364166259766</v>
      </c>
      <c r="H4482" s="6">
        <f>P4451</f>
        <v/>
      </c>
      <c r="I4482" s="9">
        <f>Q4451</f>
        <v/>
      </c>
      <c r="J4482" s="7">
        <f>I4482*G4482</f>
        <v/>
      </c>
      <c r="K4482" s="8">
        <f>IF($J$4496=0,0,J4482/$J$4496)</f>
        <v/>
      </c>
      <c r="L4482" s="6" t="inlineStr">
        <is>
          <t>WATCHLIST</t>
        </is>
      </c>
      <c r="M4482" s="8" t="n">
        <v>0</v>
      </c>
      <c r="N4482" s="7">
        <f>M4482*$J$4496-J4482</f>
        <v/>
      </c>
      <c r="O4482" s="9">
        <f>IF(G4482=0,0,N4482/G4482)</f>
        <v/>
      </c>
      <c r="P4482" s="6">
        <f>IF(M4482&gt;0,D4482,"")</f>
        <v/>
      </c>
      <c r="Q4482" s="9">
        <f>I4482+O4482</f>
        <v/>
      </c>
      <c r="R4482" s="7">
        <f>Q4482*G4482</f>
        <v/>
      </c>
      <c r="S4482" s="8">
        <f>IF($R$4496=0,0,R4482/$R$4496)</f>
        <v/>
      </c>
      <c r="T4482" s="8" t="n">
        <v>-0.01606523303155494</v>
      </c>
      <c r="U4482" s="8" t="n">
        <v>-0.02703689882290772</v>
      </c>
      <c r="V4482" s="6" t="inlineStr">
        <is>
          <t>not selected</t>
        </is>
      </c>
    </row>
    <row r="4483">
      <c r="A4483" s="6" t="inlineStr">
        <is>
          <t>DJ30</t>
        </is>
      </c>
      <c r="B4483" s="6" t="inlineStr">
        <is>
          <t>2025-10-10</t>
        </is>
      </c>
      <c r="C4483" s="6" t="inlineStr">
        <is>
          <t>DIA</t>
        </is>
      </c>
      <c r="D4483" s="6" t="inlineStr">
        <is>
          <t>MCD</t>
        </is>
      </c>
      <c r="E4483" s="6" t="inlineStr">
        <is>
          <t>MCD</t>
        </is>
      </c>
      <c r="F4483" s="6" t="inlineStr">
        <is>
          <t>-</t>
        </is>
      </c>
      <c r="G4483" s="7" t="n">
        <v>291.6204223632812</v>
      </c>
      <c r="H4483" s="6">
        <f>P4452</f>
        <v/>
      </c>
      <c r="I4483" s="9">
        <f>Q4452</f>
        <v/>
      </c>
      <c r="J4483" s="7">
        <f>I4483*G4483</f>
        <v/>
      </c>
      <c r="K4483" s="8">
        <f>IF($J$4496=0,0,J4483/$J$4496)</f>
        <v/>
      </c>
      <c r="L4483" s="6" t="inlineStr">
        <is>
          <t>REJECTED</t>
        </is>
      </c>
      <c r="M4483" s="8" t="n">
        <v>0</v>
      </c>
      <c r="N4483" s="7">
        <f>M4483*$J$4496-J4483</f>
        <v/>
      </c>
      <c r="O4483" s="9">
        <f>IF(G4483=0,0,N4483/G4483)</f>
        <v/>
      </c>
      <c r="P4483" s="6">
        <f>IF(M4483&gt;0,D4483,"")</f>
        <v/>
      </c>
      <c r="Q4483" s="9">
        <f>I4483+O4483</f>
        <v/>
      </c>
      <c r="R4483" s="7">
        <f>Q4483*G4483</f>
        <v/>
      </c>
      <c r="S4483" s="8">
        <f>IF($R$4496=0,0,R4483/$R$4496)</f>
        <v/>
      </c>
      <c r="T4483" s="8" t="n">
        <v>-0.01606523303155494</v>
      </c>
      <c r="U4483" s="8" t="n">
        <v>-0.02703689882290772</v>
      </c>
      <c r="V4483" s="6" t="inlineStr">
        <is>
          <t>not selected</t>
        </is>
      </c>
    </row>
    <row r="4484">
      <c r="A4484" s="6" t="inlineStr">
        <is>
          <t>DJ30</t>
        </is>
      </c>
      <c r="B4484" s="6" t="inlineStr">
        <is>
          <t>2025-10-10</t>
        </is>
      </c>
      <c r="C4484" s="6" t="inlineStr">
        <is>
          <t>DIA</t>
        </is>
      </c>
      <c r="D4484" s="6" t="inlineStr">
        <is>
          <t>MMM</t>
        </is>
      </c>
      <c r="E4484" s="6" t="inlineStr">
        <is>
          <t>MMM</t>
        </is>
      </c>
      <c r="F4484" s="6" t="inlineStr">
        <is>
          <t>-</t>
        </is>
      </c>
      <c r="G4484" s="7" t="n">
        <v>146.6932678222656</v>
      </c>
      <c r="H4484" s="6">
        <f>P4453</f>
        <v/>
      </c>
      <c r="I4484" s="9">
        <f>Q4453</f>
        <v/>
      </c>
      <c r="J4484" s="7">
        <f>I4484*G4484</f>
        <v/>
      </c>
      <c r="K4484" s="8">
        <f>IF($J$4496=0,0,J4484/$J$4496)</f>
        <v/>
      </c>
      <c r="L4484" s="6" t="inlineStr">
        <is>
          <t>WATCHLIST</t>
        </is>
      </c>
      <c r="M4484" s="8" t="n">
        <v>0</v>
      </c>
      <c r="N4484" s="7">
        <f>M4484*$J$4496-J4484</f>
        <v/>
      </c>
      <c r="O4484" s="9">
        <f>IF(G4484=0,0,N4484/G4484)</f>
        <v/>
      </c>
      <c r="P4484" s="6">
        <f>IF(M4484&gt;0,D4484,"")</f>
        <v/>
      </c>
      <c r="Q4484" s="9">
        <f>I4484+O4484</f>
        <v/>
      </c>
      <c r="R4484" s="7">
        <f>Q4484*G4484</f>
        <v/>
      </c>
      <c r="S4484" s="8">
        <f>IF($R$4496=0,0,R4484/$R$4496)</f>
        <v/>
      </c>
      <c r="T4484" s="8" t="n">
        <v>-0.01606523303155494</v>
      </c>
      <c r="U4484" s="8" t="n">
        <v>-0.02703689882290772</v>
      </c>
      <c r="V4484" s="6" t="inlineStr">
        <is>
          <t>not selected</t>
        </is>
      </c>
    </row>
    <row r="4485">
      <c r="A4485" s="6" t="inlineStr">
        <is>
          <t>DJ30</t>
        </is>
      </c>
      <c r="B4485" s="6" t="inlineStr">
        <is>
          <t>2025-10-10</t>
        </is>
      </c>
      <c r="C4485" s="6" t="inlineStr">
        <is>
          <t>DIA</t>
        </is>
      </c>
      <c r="D4485" s="6" t="inlineStr">
        <is>
          <t>MRK</t>
        </is>
      </c>
      <c r="E4485" s="6" t="inlineStr">
        <is>
          <t>MRK</t>
        </is>
      </c>
      <c r="F4485" s="6" t="inlineStr">
        <is>
          <t>-</t>
        </is>
      </c>
      <c r="G4485" s="7" t="n">
        <v>84.03012084960938</v>
      </c>
      <c r="H4485" s="6">
        <f>P4454</f>
        <v/>
      </c>
      <c r="I4485" s="9">
        <f>Q4454</f>
        <v/>
      </c>
      <c r="J4485" s="7">
        <f>I4485*G4485</f>
        <v/>
      </c>
      <c r="K4485" s="8">
        <f>IF($J$4496=0,0,J4485/$J$4496)</f>
        <v/>
      </c>
      <c r="L4485" s="6" t="inlineStr">
        <is>
          <t>REJECTED</t>
        </is>
      </c>
      <c r="M4485" s="8" t="n">
        <v>0</v>
      </c>
      <c r="N4485" s="7">
        <f>M4485*$J$4496-J4485</f>
        <v/>
      </c>
      <c r="O4485" s="9">
        <f>IF(G4485=0,0,N4485/G4485)</f>
        <v/>
      </c>
      <c r="P4485" s="6">
        <f>IF(M4485&gt;0,D4485,"")</f>
        <v/>
      </c>
      <c r="Q4485" s="9">
        <f>I4485+O4485</f>
        <v/>
      </c>
      <c r="R4485" s="7">
        <f>Q4485*G4485</f>
        <v/>
      </c>
      <c r="S4485" s="8">
        <f>IF($R$4496=0,0,R4485/$R$4496)</f>
        <v/>
      </c>
      <c r="T4485" s="8" t="n">
        <v>-0.01606523303155494</v>
      </c>
      <c r="U4485" s="8" t="n">
        <v>-0.02703689882290772</v>
      </c>
      <c r="V4485" s="6" t="inlineStr">
        <is>
          <t>not selected</t>
        </is>
      </c>
    </row>
    <row r="4486">
      <c r="A4486" s="6" t="inlineStr">
        <is>
          <t>DJ30</t>
        </is>
      </c>
      <c r="B4486" s="6" t="inlineStr">
        <is>
          <t>2025-10-10</t>
        </is>
      </c>
      <c r="C4486" s="6" t="inlineStr">
        <is>
          <t>DIA</t>
        </is>
      </c>
      <c r="D4486" s="6" t="inlineStr">
        <is>
          <t>MSFT</t>
        </is>
      </c>
      <c r="E4486" s="6" t="inlineStr">
        <is>
          <t>MSFT</t>
        </is>
      </c>
      <c r="F4486" s="6" t="inlineStr">
        <is>
          <t>-</t>
        </is>
      </c>
      <c r="G4486" s="7" t="n">
        <v>507.7443237304688</v>
      </c>
      <c r="H4486" s="6">
        <f>P4455</f>
        <v/>
      </c>
      <c r="I4486" s="9">
        <f>Q4455</f>
        <v/>
      </c>
      <c r="J4486" s="7">
        <f>I4486*G4486</f>
        <v/>
      </c>
      <c r="K4486" s="8">
        <f>IF($J$4496=0,0,J4486/$J$4496)</f>
        <v/>
      </c>
      <c r="L4486" s="6" t="inlineStr">
        <is>
          <t>WATCHLIST</t>
        </is>
      </c>
      <c r="M4486" s="8" t="n">
        <v>0</v>
      </c>
      <c r="N4486" s="7">
        <f>M4486*$J$4496-J4486</f>
        <v/>
      </c>
      <c r="O4486" s="9">
        <f>IF(G4486=0,0,N4486/G4486)</f>
        <v/>
      </c>
      <c r="P4486" s="6">
        <f>IF(M4486&gt;0,D4486,"")</f>
        <v/>
      </c>
      <c r="Q4486" s="9">
        <f>I4486+O4486</f>
        <v/>
      </c>
      <c r="R4486" s="7">
        <f>Q4486*G4486</f>
        <v/>
      </c>
      <c r="S4486" s="8">
        <f>IF($R$4496=0,0,R4486/$R$4496)</f>
        <v/>
      </c>
      <c r="T4486" s="8" t="n">
        <v>-0.01606523303155494</v>
      </c>
      <c r="U4486" s="8" t="n">
        <v>-0.02703689882290772</v>
      </c>
      <c r="V4486" s="6" t="inlineStr">
        <is>
          <t>not selected</t>
        </is>
      </c>
    </row>
    <row r="4487">
      <c r="A4487" s="6" t="inlineStr">
        <is>
          <t>DJ30</t>
        </is>
      </c>
      <c r="B4487" s="6" t="inlineStr">
        <is>
          <t>2025-10-10</t>
        </is>
      </c>
      <c r="C4487" s="6" t="inlineStr">
        <is>
          <t>DIA</t>
        </is>
      </c>
      <c r="D4487" s="6" t="inlineStr">
        <is>
          <t>NKE</t>
        </is>
      </c>
      <c r="E4487" s="6" t="inlineStr">
        <is>
          <t>NKE</t>
        </is>
      </c>
      <c r="F4487" s="6" t="inlineStr">
        <is>
          <t>-</t>
        </is>
      </c>
      <c r="G4487" s="7" t="n">
        <v>63.80798721313477</v>
      </c>
      <c r="H4487" s="6">
        <f>P4456</f>
        <v/>
      </c>
      <c r="I4487" s="9">
        <f>Q4456</f>
        <v/>
      </c>
      <c r="J4487" s="7">
        <f>I4487*G4487</f>
        <v/>
      </c>
      <c r="K4487" s="8">
        <f>IF($J$4496=0,0,J4487/$J$4496)</f>
        <v/>
      </c>
      <c r="L4487" s="6" t="inlineStr">
        <is>
          <t>REJECTED</t>
        </is>
      </c>
      <c r="M4487" s="8" t="n">
        <v>0</v>
      </c>
      <c r="N4487" s="7">
        <f>M4487*$J$4496-J4487</f>
        <v/>
      </c>
      <c r="O4487" s="9">
        <f>IF(G4487=0,0,N4487/G4487)</f>
        <v/>
      </c>
      <c r="P4487" s="6">
        <f>IF(M4487&gt;0,D4487,"")</f>
        <v/>
      </c>
      <c r="Q4487" s="9">
        <f>I4487+O4487</f>
        <v/>
      </c>
      <c r="R4487" s="7">
        <f>Q4487*G4487</f>
        <v/>
      </c>
      <c r="S4487" s="8">
        <f>IF($R$4496=0,0,R4487/$R$4496)</f>
        <v/>
      </c>
      <c r="T4487" s="8" t="n">
        <v>-0.01606523303155494</v>
      </c>
      <c r="U4487" s="8" t="n">
        <v>-0.02703689882290772</v>
      </c>
      <c r="V4487" s="6" t="inlineStr">
        <is>
          <t>not selected</t>
        </is>
      </c>
    </row>
    <row r="4488">
      <c r="A4488" s="6" t="inlineStr">
        <is>
          <t>DJ30</t>
        </is>
      </c>
      <c r="B4488" s="6" t="inlineStr">
        <is>
          <t>2025-10-10</t>
        </is>
      </c>
      <c r="C4488" s="6" t="inlineStr">
        <is>
          <t>DIA</t>
        </is>
      </c>
      <c r="D4488" s="6" t="inlineStr">
        <is>
          <t>NVDA</t>
        </is>
      </c>
      <c r="E4488" s="6" t="inlineStr">
        <is>
          <t>NVDA</t>
        </is>
      </c>
      <c r="F4488" s="6" t="inlineStr">
        <is>
          <t>-</t>
        </is>
      </c>
      <c r="G4488" s="7" t="n">
        <v>182.9266967773437</v>
      </c>
      <c r="H4488" s="6">
        <f>P4457</f>
        <v/>
      </c>
      <c r="I4488" s="9">
        <f>Q4457</f>
        <v/>
      </c>
      <c r="J4488" s="7">
        <f>I4488*G4488</f>
        <v/>
      </c>
      <c r="K4488" s="8">
        <f>IF($J$4496=0,0,J4488/$J$4496)</f>
        <v/>
      </c>
      <c r="L4488" s="6" t="inlineStr">
        <is>
          <t>REJECTED</t>
        </is>
      </c>
      <c r="M4488" s="8" t="n">
        <v>0</v>
      </c>
      <c r="N4488" s="7">
        <f>M4488*$J$4496-J4488</f>
        <v/>
      </c>
      <c r="O4488" s="9">
        <f>IF(G4488=0,0,N4488/G4488)</f>
        <v/>
      </c>
      <c r="P4488" s="6">
        <f>IF(M4488&gt;0,D4488,"")</f>
        <v/>
      </c>
      <c r="Q4488" s="9">
        <f>I4488+O4488</f>
        <v/>
      </c>
      <c r="R4488" s="7">
        <f>Q4488*G4488</f>
        <v/>
      </c>
      <c r="S4488" s="8">
        <f>IF($R$4496=0,0,R4488/$R$4496)</f>
        <v/>
      </c>
      <c r="T4488" s="8" t="n">
        <v>-0.01606523303155494</v>
      </c>
      <c r="U4488" s="8" t="n">
        <v>-0.02703689882290772</v>
      </c>
      <c r="V4488" s="6" t="inlineStr">
        <is>
          <t>not selected</t>
        </is>
      </c>
    </row>
    <row r="4489">
      <c r="A4489" s="6" t="inlineStr">
        <is>
          <t>DJ30</t>
        </is>
      </c>
      <c r="B4489" s="6" t="inlineStr">
        <is>
          <t>2025-10-10</t>
        </is>
      </c>
      <c r="C4489" s="6" t="inlineStr">
        <is>
          <t>DIA</t>
        </is>
      </c>
      <c r="D4489" s="6" t="inlineStr">
        <is>
          <t>PG</t>
        </is>
      </c>
      <c r="E4489" s="6" t="inlineStr">
        <is>
          <t>PG</t>
        </is>
      </c>
      <c r="F4489" s="6" t="inlineStr">
        <is>
          <t>-</t>
        </is>
      </c>
      <c r="G4489" s="7" t="n">
        <v>146.4993743896484</v>
      </c>
      <c r="H4489" s="6">
        <f>P4458</f>
        <v/>
      </c>
      <c r="I4489" s="9">
        <f>Q4458</f>
        <v/>
      </c>
      <c r="J4489" s="7">
        <f>I4489*G4489</f>
        <v/>
      </c>
      <c r="K4489" s="8">
        <f>IF($J$4496=0,0,J4489/$J$4496)</f>
        <v/>
      </c>
      <c r="L4489" s="6" t="inlineStr">
        <is>
          <t>REJECTED</t>
        </is>
      </c>
      <c r="M4489" s="8" t="n">
        <v>0</v>
      </c>
      <c r="N4489" s="7">
        <f>M4489*$J$4496-J4489</f>
        <v/>
      </c>
      <c r="O4489" s="9">
        <f>IF(G4489=0,0,N4489/G4489)</f>
        <v/>
      </c>
      <c r="P4489" s="6">
        <f>IF(M4489&gt;0,D4489,"")</f>
        <v/>
      </c>
      <c r="Q4489" s="9">
        <f>I4489+O4489</f>
        <v/>
      </c>
      <c r="R4489" s="7">
        <f>Q4489*G4489</f>
        <v/>
      </c>
      <c r="S4489" s="8">
        <f>IF($R$4496=0,0,R4489/$R$4496)</f>
        <v/>
      </c>
      <c r="T4489" s="8" t="n">
        <v>-0.01606523303155494</v>
      </c>
      <c r="U4489" s="8" t="n">
        <v>-0.02703689882290772</v>
      </c>
      <c r="V4489" s="6" t="inlineStr">
        <is>
          <t>not selected</t>
        </is>
      </c>
    </row>
    <row r="4490">
      <c r="A4490" s="6" t="inlineStr">
        <is>
          <t>DJ30</t>
        </is>
      </c>
      <c r="B4490" s="6" t="inlineStr">
        <is>
          <t>2025-10-10</t>
        </is>
      </c>
      <c r="C4490" s="6" t="inlineStr">
        <is>
          <t>DIA</t>
        </is>
      </c>
      <c r="D4490" s="6" t="inlineStr">
        <is>
          <t>SHW</t>
        </is>
      </c>
      <c r="E4490" s="6" t="inlineStr">
        <is>
          <t>SHW</t>
        </is>
      </c>
      <c r="F4490" s="6" t="inlineStr">
        <is>
          <t>-</t>
        </is>
      </c>
      <c r="G4490" s="7" t="n">
        <v>330.4447021484375</v>
      </c>
      <c r="H4490" s="6">
        <f>P4459</f>
        <v/>
      </c>
      <c r="I4490" s="9">
        <f>Q4459</f>
        <v/>
      </c>
      <c r="J4490" s="7">
        <f>I4490*G4490</f>
        <v/>
      </c>
      <c r="K4490" s="8">
        <f>IF($J$4496=0,0,J4490/$J$4496)</f>
        <v/>
      </c>
      <c r="L4490" s="6" t="inlineStr">
        <is>
          <t>REJECTED</t>
        </is>
      </c>
      <c r="M4490" s="8" t="n">
        <v>0</v>
      </c>
      <c r="N4490" s="7">
        <f>M4490*$J$4496-J4490</f>
        <v/>
      </c>
      <c r="O4490" s="9">
        <f>IF(G4490=0,0,N4490/G4490)</f>
        <v/>
      </c>
      <c r="P4490" s="6">
        <f>IF(M4490&gt;0,D4490,"")</f>
        <v/>
      </c>
      <c r="Q4490" s="9">
        <f>I4490+O4490</f>
        <v/>
      </c>
      <c r="R4490" s="7">
        <f>Q4490*G4490</f>
        <v/>
      </c>
      <c r="S4490" s="8">
        <f>IF($R$4496=0,0,R4490/$R$4496)</f>
        <v/>
      </c>
      <c r="T4490" s="8" t="n">
        <v>-0.01606523303155494</v>
      </c>
      <c r="U4490" s="8" t="n">
        <v>-0.02703689882290772</v>
      </c>
      <c r="V4490" s="6" t="inlineStr">
        <is>
          <t>not selected</t>
        </is>
      </c>
    </row>
    <row r="4491">
      <c r="A4491" s="6" t="inlineStr">
        <is>
          <t>DJ30</t>
        </is>
      </c>
      <c r="B4491" s="6" t="inlineStr">
        <is>
          <t>2025-10-10</t>
        </is>
      </c>
      <c r="C4491" s="6" t="inlineStr">
        <is>
          <t>DIA</t>
        </is>
      </c>
      <c r="D4491" s="6" t="inlineStr">
        <is>
          <t>TRV</t>
        </is>
      </c>
      <c r="E4491" s="6" t="inlineStr">
        <is>
          <t>TRV</t>
        </is>
      </c>
      <c r="F4491" s="6" t="inlineStr">
        <is>
          <t>-</t>
        </is>
      </c>
      <c r="G4491" s="7" t="n">
        <v>266.96337890625</v>
      </c>
      <c r="H4491" s="6">
        <f>P4460</f>
        <v/>
      </c>
      <c r="I4491" s="9">
        <f>Q4460</f>
        <v/>
      </c>
      <c r="J4491" s="7">
        <f>I4491*G4491</f>
        <v/>
      </c>
      <c r="K4491" s="8">
        <f>IF($J$4496=0,0,J4491/$J$4496)</f>
        <v/>
      </c>
      <c r="L4491" s="6" t="inlineStr">
        <is>
          <t>WATCHLIST</t>
        </is>
      </c>
      <c r="M4491" s="8" t="n">
        <v>0</v>
      </c>
      <c r="N4491" s="7">
        <f>M4491*$J$4496-J4491</f>
        <v/>
      </c>
      <c r="O4491" s="9">
        <f>IF(G4491=0,0,N4491/G4491)</f>
        <v/>
      </c>
      <c r="P4491" s="6">
        <f>IF(M4491&gt;0,D4491,"")</f>
        <v/>
      </c>
      <c r="Q4491" s="9">
        <f>I4491+O4491</f>
        <v/>
      </c>
      <c r="R4491" s="7">
        <f>Q4491*G4491</f>
        <v/>
      </c>
      <c r="S4491" s="8">
        <f>IF($R$4496=0,0,R4491/$R$4496)</f>
        <v/>
      </c>
      <c r="T4491" s="8" t="n">
        <v>-0.01606523303155494</v>
      </c>
      <c r="U4491" s="8" t="n">
        <v>-0.02703689882290772</v>
      </c>
      <c r="V4491" s="6" t="inlineStr">
        <is>
          <t>not selected</t>
        </is>
      </c>
    </row>
    <row r="4492">
      <c r="A4492" s="6" t="inlineStr">
        <is>
          <t>DJ30</t>
        </is>
      </c>
      <c r="B4492" s="6" t="inlineStr">
        <is>
          <t>2025-10-10</t>
        </is>
      </c>
      <c r="C4492" s="6" t="inlineStr">
        <is>
          <t>DIA</t>
        </is>
      </c>
      <c r="D4492" s="6" t="inlineStr">
        <is>
          <t>UNH</t>
        </is>
      </c>
      <c r="E4492" s="6" t="inlineStr">
        <is>
          <t>UNH</t>
        </is>
      </c>
      <c r="F4492" s="6" t="inlineStr">
        <is>
          <t>-</t>
        </is>
      </c>
      <c r="G4492" s="7" t="n">
        <v>347.431640625</v>
      </c>
      <c r="H4492" s="6">
        <f>P4461</f>
        <v/>
      </c>
      <c r="I4492" s="9">
        <f>Q4461</f>
        <v/>
      </c>
      <c r="J4492" s="7">
        <f>I4492*G4492</f>
        <v/>
      </c>
      <c r="K4492" s="8">
        <f>IF($J$4496=0,0,J4492/$J$4496)</f>
        <v/>
      </c>
      <c r="L4492" s="6" t="inlineStr">
        <is>
          <t>REJECTED</t>
        </is>
      </c>
      <c r="M4492" s="8" t="n">
        <v>0</v>
      </c>
      <c r="N4492" s="7">
        <f>M4492*$J$4496-J4492</f>
        <v/>
      </c>
      <c r="O4492" s="9">
        <f>IF(G4492=0,0,N4492/G4492)</f>
        <v/>
      </c>
      <c r="P4492" s="6">
        <f>IF(M4492&gt;0,D4492,"")</f>
        <v/>
      </c>
      <c r="Q4492" s="9">
        <f>I4492+O4492</f>
        <v/>
      </c>
      <c r="R4492" s="7">
        <f>Q4492*G4492</f>
        <v/>
      </c>
      <c r="S4492" s="8">
        <f>IF($R$4496=0,0,R4492/$R$4496)</f>
        <v/>
      </c>
      <c r="T4492" s="8" t="n">
        <v>-0.01606523303155494</v>
      </c>
      <c r="U4492" s="8" t="n">
        <v>-0.02703689882290772</v>
      </c>
      <c r="V4492" s="6" t="inlineStr">
        <is>
          <t>not selected</t>
        </is>
      </c>
    </row>
    <row r="4493">
      <c r="A4493" s="6" t="inlineStr">
        <is>
          <t>DJ30</t>
        </is>
      </c>
      <c r="B4493" s="6" t="inlineStr">
        <is>
          <t>2025-10-10</t>
        </is>
      </c>
      <c r="C4493" s="6" t="inlineStr">
        <is>
          <t>DIA</t>
        </is>
      </c>
      <c r="D4493" s="6" t="inlineStr">
        <is>
          <t>V</t>
        </is>
      </c>
      <c r="E4493" s="6" t="inlineStr">
        <is>
          <t>V</t>
        </is>
      </c>
      <c r="F4493" s="6" t="inlineStr">
        <is>
          <t>-</t>
        </is>
      </c>
      <c r="G4493" s="7" t="n">
        <v>341.5567932128906</v>
      </c>
      <c r="H4493" s="6">
        <f>P4462</f>
        <v/>
      </c>
      <c r="I4493" s="9">
        <f>Q4462</f>
        <v/>
      </c>
      <c r="J4493" s="7">
        <f>I4493*G4493</f>
        <v/>
      </c>
      <c r="K4493" s="8">
        <f>IF($J$4496=0,0,J4493/$J$4496)</f>
        <v/>
      </c>
      <c r="L4493" s="6" t="inlineStr">
        <is>
          <t>WATCHLIST</t>
        </is>
      </c>
      <c r="M4493" s="8" t="n">
        <v>0</v>
      </c>
      <c r="N4493" s="7">
        <f>M4493*$J$4496-J4493</f>
        <v/>
      </c>
      <c r="O4493" s="9">
        <f>IF(G4493=0,0,N4493/G4493)</f>
        <v/>
      </c>
      <c r="P4493" s="6">
        <f>IF(M4493&gt;0,D4493,"")</f>
        <v/>
      </c>
      <c r="Q4493" s="9">
        <f>I4493+O4493</f>
        <v/>
      </c>
      <c r="R4493" s="7">
        <f>Q4493*G4493</f>
        <v/>
      </c>
      <c r="S4493" s="8">
        <f>IF($R$4496=0,0,R4493/$R$4496)</f>
        <v/>
      </c>
      <c r="T4493" s="8" t="n">
        <v>-0.01606523303155494</v>
      </c>
      <c r="U4493" s="8" t="n">
        <v>-0.02703689882290772</v>
      </c>
      <c r="V4493" s="6" t="inlineStr">
        <is>
          <t>not selected</t>
        </is>
      </c>
    </row>
    <row r="4494">
      <c r="A4494" s="6" t="inlineStr">
        <is>
          <t>DJ30</t>
        </is>
      </c>
      <c r="B4494" s="6" t="inlineStr">
        <is>
          <t>2025-10-10</t>
        </is>
      </c>
      <c r="C4494" s="6" t="inlineStr">
        <is>
          <t>DIA</t>
        </is>
      </c>
      <c r="D4494" s="6" t="inlineStr">
        <is>
          <t>VZ</t>
        </is>
      </c>
      <c r="E4494" s="6" t="inlineStr">
        <is>
          <t>VZ</t>
        </is>
      </c>
      <c r="F4494" s="6" t="inlineStr">
        <is>
          <t>-</t>
        </is>
      </c>
      <c r="G4494" s="7" t="n">
        <v>38.5899772644043</v>
      </c>
      <c r="H4494" s="6">
        <f>P4463</f>
        <v/>
      </c>
      <c r="I4494" s="9">
        <f>Q4463</f>
        <v/>
      </c>
      <c r="J4494" s="7">
        <f>I4494*G4494</f>
        <v/>
      </c>
      <c r="K4494" s="8">
        <f>IF($J$4496=0,0,J4494/$J$4496)</f>
        <v/>
      </c>
      <c r="L4494" s="6" t="inlineStr">
        <is>
          <t>WATCHLIST</t>
        </is>
      </c>
      <c r="M4494" s="8" t="n">
        <v>0</v>
      </c>
      <c r="N4494" s="7">
        <f>M4494*$J$4496-J4494</f>
        <v/>
      </c>
      <c r="O4494" s="9">
        <f>IF(G4494=0,0,N4494/G4494)</f>
        <v/>
      </c>
      <c r="P4494" s="6">
        <f>IF(M4494&gt;0,D4494,"")</f>
        <v/>
      </c>
      <c r="Q4494" s="9">
        <f>I4494+O4494</f>
        <v/>
      </c>
      <c r="R4494" s="7">
        <f>Q4494*G4494</f>
        <v/>
      </c>
      <c r="S4494" s="8">
        <f>IF($R$4496=0,0,R4494/$R$4496)</f>
        <v/>
      </c>
      <c r="T4494" s="8" t="n">
        <v>-0.01606523303155494</v>
      </c>
      <c r="U4494" s="8" t="n">
        <v>-0.02703689882290772</v>
      </c>
      <c r="V4494" s="6" t="inlineStr">
        <is>
          <t>not selected</t>
        </is>
      </c>
    </row>
    <row r="4495">
      <c r="A4495" s="6" t="inlineStr">
        <is>
          <t>DJ30</t>
        </is>
      </c>
      <c r="B4495" s="6" t="inlineStr">
        <is>
          <t>2025-10-10</t>
        </is>
      </c>
      <c r="C4495" s="6" t="inlineStr">
        <is>
          <t>DIA</t>
        </is>
      </c>
      <c r="D4495" s="6" t="inlineStr">
        <is>
          <t>WMT</t>
        </is>
      </c>
      <c r="E4495" s="6" t="inlineStr">
        <is>
          <t>WMT</t>
        </is>
      </c>
      <c r="F4495" s="6" t="inlineStr">
        <is>
          <t>-</t>
        </is>
      </c>
      <c r="G4495" s="7" t="n">
        <v>101.2314758300781</v>
      </c>
      <c r="H4495" s="6">
        <f>P4464</f>
        <v/>
      </c>
      <c r="I4495" s="9">
        <f>Q4464</f>
        <v/>
      </c>
      <c r="J4495" s="7">
        <f>I4495*G4495</f>
        <v/>
      </c>
      <c r="K4495" s="8">
        <f>IF($J$4496=0,0,J4495/$J$4496)</f>
        <v/>
      </c>
      <c r="L4495" s="6" t="inlineStr">
        <is>
          <t>WATCHLIST</t>
        </is>
      </c>
      <c r="M4495" s="8" t="n">
        <v>0</v>
      </c>
      <c r="N4495" s="7">
        <f>M4495*$J$4496-J4495</f>
        <v/>
      </c>
      <c r="O4495" s="9">
        <f>IF(G4495=0,0,N4495/G4495)</f>
        <v/>
      </c>
      <c r="P4495" s="6">
        <f>IF(M4495&gt;0,D4495,"")</f>
        <v/>
      </c>
      <c r="Q4495" s="9">
        <f>I4495+O4495</f>
        <v/>
      </c>
      <c r="R4495" s="7">
        <f>Q4495*G4495</f>
        <v/>
      </c>
      <c r="S4495" s="8">
        <f>IF($R$4496=0,0,R4495/$R$4496)</f>
        <v/>
      </c>
      <c r="T4495" s="8" t="n">
        <v>-0.01606523303155494</v>
      </c>
      <c r="U4495" s="8" t="n">
        <v>-0.02703689882290772</v>
      </c>
      <c r="V4495" s="6" t="inlineStr">
        <is>
          <t>removed from weekly selection</t>
        </is>
      </c>
    </row>
    <row r="4496">
      <c r="A4496" s="10" t="inlineStr">
        <is>
          <t>DJ30</t>
        </is>
      </c>
      <c r="B4496" s="10" t="inlineStr">
        <is>
          <t>2025-10-10</t>
        </is>
      </c>
      <c r="C4496" s="10" t="inlineStr">
        <is>
          <t>DIA</t>
        </is>
      </c>
      <c r="D4496" s="10" t="inlineStr">
        <is>
          <t>Tot Portfolio</t>
        </is>
      </c>
      <c r="E4496" s="10" t="inlineStr"/>
      <c r="F4496" s="10" t="inlineStr"/>
      <c r="G4496" s="11" t="inlineStr"/>
      <c r="H4496" s="10" t="inlineStr"/>
      <c r="I4496" s="12" t="inlineStr"/>
      <c r="J4496" s="11">
        <f>SUM(J4466:J4495)</f>
        <v/>
      </c>
      <c r="K4496" s="13">
        <f>SUM(K4466:K4495)</f>
        <v/>
      </c>
      <c r="L4496" s="10" t="inlineStr">
        <is>
          <t>TOTAL</t>
        </is>
      </c>
      <c r="M4496" s="13">
        <f>SUM(M4466:M4495)</f>
        <v/>
      </c>
      <c r="N4496" s="11">
        <f>SUM(N4466:N4495)</f>
        <v/>
      </c>
      <c r="O4496" s="12">
        <f>SUM(O4466:O4495)</f>
        <v/>
      </c>
      <c r="P4496" s="10" t="inlineStr"/>
      <c r="Q4496" s="12" t="inlineStr"/>
      <c r="R4496" s="11">
        <f>SUM(R4466:R4495)</f>
        <v/>
      </c>
      <c r="S4496" s="13">
        <f>SUM(S4466:S4495)</f>
        <v/>
      </c>
      <c r="T4496" s="13" t="n">
        <v>-0.01606523303155494</v>
      </c>
      <c r="U4496" s="13" t="n">
        <v>-0.02703689882290772</v>
      </c>
      <c r="V4496" s="10" t="inlineStr"/>
    </row>
    <row r="4497">
      <c r="A4497" s="6" t="inlineStr">
        <is>
          <t>DJ30</t>
        </is>
      </c>
      <c r="B4497" s="6" t="inlineStr">
        <is>
          <t>2025-10-17</t>
        </is>
      </c>
      <c r="C4497" s="6" t="inlineStr">
        <is>
          <t>DIA</t>
        </is>
      </c>
      <c r="D4497" s="6" t="inlineStr">
        <is>
          <t>AAPL</t>
        </is>
      </c>
      <c r="E4497" s="6" t="inlineStr">
        <is>
          <t>AAPL</t>
        </is>
      </c>
      <c r="F4497" s="6" t="inlineStr">
        <is>
          <t>-</t>
        </is>
      </c>
      <c r="G4497" s="7" t="n">
        <v>251.5782470703125</v>
      </c>
      <c r="H4497" s="6">
        <f>P4466</f>
        <v/>
      </c>
      <c r="I4497" s="9">
        <f>Q4466</f>
        <v/>
      </c>
      <c r="J4497" s="7">
        <f>I4497*G4497</f>
        <v/>
      </c>
      <c r="K4497" s="8">
        <f>IF($J$4527=0,0,J4497/$J$4527)</f>
        <v/>
      </c>
      <c r="L4497" s="6" t="inlineStr">
        <is>
          <t>REJECTED</t>
        </is>
      </c>
      <c r="M4497" s="8" t="n">
        <v>0</v>
      </c>
      <c r="N4497" s="7">
        <f>M4497*$J$4527-J4497</f>
        <v/>
      </c>
      <c r="O4497" s="9">
        <f>IF(G4497=0,0,N4497/G4497)</f>
        <v/>
      </c>
      <c r="P4497" s="6">
        <f>IF(M4497&gt;0,D4497,"")</f>
        <v/>
      </c>
      <c r="Q4497" s="9">
        <f>I4497+O4497</f>
        <v/>
      </c>
      <c r="R4497" s="7">
        <f>Q4497*G4497</f>
        <v/>
      </c>
      <c r="S4497" s="8">
        <f>IF($R$4527=0,0,R4497/$R$4527)</f>
        <v/>
      </c>
      <c r="T4497" s="8" t="n">
        <v>0.01104338526610027</v>
      </c>
      <c r="U4497" s="8" t="n">
        <v>0.01553373198000729</v>
      </c>
      <c r="V4497" s="6" t="inlineStr">
        <is>
          <t>not selected</t>
        </is>
      </c>
    </row>
    <row r="4498">
      <c r="A4498" s="6" t="inlineStr">
        <is>
          <t>DJ30</t>
        </is>
      </c>
      <c r="B4498" s="6" t="inlineStr">
        <is>
          <t>2025-10-17</t>
        </is>
      </c>
      <c r="C4498" s="6" t="inlineStr">
        <is>
          <t>DIA</t>
        </is>
      </c>
      <c r="D4498" s="6" t="inlineStr">
        <is>
          <t>AMGN</t>
        </is>
      </c>
      <c r="E4498" s="6" t="inlineStr">
        <is>
          <t>AMGN</t>
        </is>
      </c>
      <c r="F4498" s="6" t="inlineStr">
        <is>
          <t>-</t>
        </is>
      </c>
      <c r="G4498" s="7" t="n">
        <v>292.4437866210937</v>
      </c>
      <c r="H4498" s="6">
        <f>P4467</f>
        <v/>
      </c>
      <c r="I4498" s="9">
        <f>Q4467</f>
        <v/>
      </c>
      <c r="J4498" s="7">
        <f>I4498*G4498</f>
        <v/>
      </c>
      <c r="K4498" s="8">
        <f>IF($J$4527=0,0,J4498/$J$4527)</f>
        <v/>
      </c>
      <c r="L4498" s="6" t="inlineStr">
        <is>
          <t>REJECTED</t>
        </is>
      </c>
      <c r="M4498" s="8" t="n">
        <v>0</v>
      </c>
      <c r="N4498" s="7">
        <f>M4498*$J$4527-J4498</f>
        <v/>
      </c>
      <c r="O4498" s="9">
        <f>IF(G4498=0,0,N4498/G4498)</f>
        <v/>
      </c>
      <c r="P4498" s="6">
        <f>IF(M4498&gt;0,D4498,"")</f>
        <v/>
      </c>
      <c r="Q4498" s="9">
        <f>I4498+O4498</f>
        <v/>
      </c>
      <c r="R4498" s="7">
        <f>Q4498*G4498</f>
        <v/>
      </c>
      <c r="S4498" s="8">
        <f>IF($R$4527=0,0,R4498/$R$4527)</f>
        <v/>
      </c>
      <c r="T4498" s="8" t="n">
        <v>0.01104338526610027</v>
      </c>
      <c r="U4498" s="8" t="n">
        <v>0.01553373198000729</v>
      </c>
      <c r="V4498" s="6" t="inlineStr">
        <is>
          <t>not selected</t>
        </is>
      </c>
    </row>
    <row r="4499">
      <c r="A4499" s="6" t="inlineStr">
        <is>
          <t>DJ30</t>
        </is>
      </c>
      <c r="B4499" s="6" t="inlineStr">
        <is>
          <t>2025-10-17</t>
        </is>
      </c>
      <c r="C4499" s="6" t="inlineStr">
        <is>
          <t>DIA</t>
        </is>
      </c>
      <c r="D4499" s="6" t="inlineStr">
        <is>
          <t>AMZN</t>
        </is>
      </c>
      <c r="E4499" s="6" t="inlineStr">
        <is>
          <t>AMZN</t>
        </is>
      </c>
      <c r="F4499" s="6" t="inlineStr">
        <is>
          <t>-</t>
        </is>
      </c>
      <c r="G4499" s="7" t="n">
        <v>213.0399932861328</v>
      </c>
      <c r="H4499" s="6">
        <f>P4468</f>
        <v/>
      </c>
      <c r="I4499" s="9">
        <f>Q4468</f>
        <v/>
      </c>
      <c r="J4499" s="7">
        <f>I4499*G4499</f>
        <v/>
      </c>
      <c r="K4499" s="8">
        <f>IF($J$4527=0,0,J4499/$J$4527)</f>
        <v/>
      </c>
      <c r="L4499" s="6" t="inlineStr">
        <is>
          <t>REJECTED</t>
        </is>
      </c>
      <c r="M4499" s="8" t="n">
        <v>0</v>
      </c>
      <c r="N4499" s="7">
        <f>M4499*$J$4527-J4499</f>
        <v/>
      </c>
      <c r="O4499" s="9">
        <f>IF(G4499=0,0,N4499/G4499)</f>
        <v/>
      </c>
      <c r="P4499" s="6">
        <f>IF(M4499&gt;0,D4499,"")</f>
        <v/>
      </c>
      <c r="Q4499" s="9">
        <f>I4499+O4499</f>
        <v/>
      </c>
      <c r="R4499" s="7">
        <f>Q4499*G4499</f>
        <v/>
      </c>
      <c r="S4499" s="8">
        <f>IF($R$4527=0,0,R4499/$R$4527)</f>
        <v/>
      </c>
      <c r="T4499" s="8" t="n">
        <v>0.01104338526610027</v>
      </c>
      <c r="U4499" s="8" t="n">
        <v>0.01553373198000729</v>
      </c>
      <c r="V4499" s="6" t="inlineStr">
        <is>
          <t>not selected</t>
        </is>
      </c>
    </row>
    <row r="4500">
      <c r="A4500" s="6" t="inlineStr">
        <is>
          <t>DJ30</t>
        </is>
      </c>
      <c r="B4500" s="6" t="inlineStr">
        <is>
          <t>2025-10-17</t>
        </is>
      </c>
      <c r="C4500" s="6" t="inlineStr">
        <is>
          <t>DIA</t>
        </is>
      </c>
      <c r="D4500" s="6" t="inlineStr">
        <is>
          <t>AXP</t>
        </is>
      </c>
      <c r="E4500" s="6" t="inlineStr">
        <is>
          <t>AXP</t>
        </is>
      </c>
      <c r="F4500" s="6" t="inlineStr">
        <is>
          <t>-</t>
        </is>
      </c>
      <c r="G4500" s="7" t="n">
        <v>344.7617797851562</v>
      </c>
      <c r="H4500" s="6">
        <f>P4469</f>
        <v/>
      </c>
      <c r="I4500" s="9">
        <f>Q4469</f>
        <v/>
      </c>
      <c r="J4500" s="7">
        <f>I4500*G4500</f>
        <v/>
      </c>
      <c r="K4500" s="8">
        <f>IF($J$4527=0,0,J4500/$J$4527)</f>
        <v/>
      </c>
      <c r="L4500" s="6" t="inlineStr">
        <is>
          <t>REJECTED</t>
        </is>
      </c>
      <c r="M4500" s="8" t="n">
        <v>0</v>
      </c>
      <c r="N4500" s="7">
        <f>M4500*$J$4527-J4500</f>
        <v/>
      </c>
      <c r="O4500" s="9">
        <f>IF(G4500=0,0,N4500/G4500)</f>
        <v/>
      </c>
      <c r="P4500" s="6">
        <f>IF(M4500&gt;0,D4500,"")</f>
        <v/>
      </c>
      <c r="Q4500" s="9">
        <f>I4500+O4500</f>
        <v/>
      </c>
      <c r="R4500" s="7">
        <f>Q4500*G4500</f>
        <v/>
      </c>
      <c r="S4500" s="8">
        <f>IF($R$4527=0,0,R4500/$R$4527)</f>
        <v/>
      </c>
      <c r="T4500" s="8" t="n">
        <v>0.01104338526610027</v>
      </c>
      <c r="U4500" s="8" t="n">
        <v>0.01553373198000729</v>
      </c>
      <c r="V4500" s="6" t="inlineStr">
        <is>
          <t>not selected</t>
        </is>
      </c>
    </row>
    <row r="4501">
      <c r="A4501" s="6" t="inlineStr">
        <is>
          <t>DJ30</t>
        </is>
      </c>
      <c r="B4501" s="6" t="inlineStr">
        <is>
          <t>2025-10-17</t>
        </is>
      </c>
      <c r="C4501" s="6" t="inlineStr">
        <is>
          <t>DIA</t>
        </is>
      </c>
      <c r="D4501" s="6" t="inlineStr">
        <is>
          <t>BA</t>
        </is>
      </c>
      <c r="E4501" s="6" t="inlineStr">
        <is>
          <t>BA</t>
        </is>
      </c>
      <c r="F4501" s="6" t="inlineStr">
        <is>
          <t>-</t>
        </is>
      </c>
      <c r="G4501" s="7" t="n">
        <v>212.9400024414062</v>
      </c>
      <c r="H4501" s="6">
        <f>P4470</f>
        <v/>
      </c>
      <c r="I4501" s="9">
        <f>Q4470</f>
        <v/>
      </c>
      <c r="J4501" s="7">
        <f>I4501*G4501</f>
        <v/>
      </c>
      <c r="K4501" s="8">
        <f>IF($J$4527=0,0,J4501/$J$4527)</f>
        <v/>
      </c>
      <c r="L4501" s="6" t="inlineStr">
        <is>
          <t>SELECTED</t>
        </is>
      </c>
      <c r="M4501" s="8" t="n">
        <v>0.2</v>
      </c>
      <c r="N4501" s="7">
        <f>M4501*$J$4527-J4501</f>
        <v/>
      </c>
      <c r="O4501" s="9">
        <f>IF(G4501=0,0,N4501/G4501)</f>
        <v/>
      </c>
      <c r="P4501" s="6">
        <f>IF(M4501&gt;0,D4501,"")</f>
        <v/>
      </c>
      <c r="Q4501" s="9">
        <f>I4501+O4501</f>
        <v/>
      </c>
      <c r="R4501" s="7">
        <f>Q4501*G4501</f>
        <v/>
      </c>
      <c r="S4501" s="8">
        <f>IF($R$4527=0,0,R4501/$R$4527)</f>
        <v/>
      </c>
      <c r="T4501" s="8" t="n">
        <v>0.01104338526610027</v>
      </c>
      <c r="U4501" s="8" t="n">
        <v>0.01553373198000729</v>
      </c>
      <c r="V4501" s="6" t="inlineStr">
        <is>
          <t>remained in weekly selection</t>
        </is>
      </c>
    </row>
    <row r="4502">
      <c r="A4502" s="6" t="inlineStr">
        <is>
          <t>DJ30</t>
        </is>
      </c>
      <c r="B4502" s="6" t="inlineStr">
        <is>
          <t>2025-10-17</t>
        </is>
      </c>
      <c r="C4502" s="6" t="inlineStr">
        <is>
          <t>DIA</t>
        </is>
      </c>
      <c r="D4502" s="6" t="inlineStr">
        <is>
          <t>CAT</t>
        </is>
      </c>
      <c r="E4502" s="6" t="inlineStr">
        <is>
          <t>CAT</t>
        </is>
      </c>
      <c r="F4502" s="6" t="inlineStr">
        <is>
          <t>-</t>
        </is>
      </c>
      <c r="G4502" s="7" t="n">
        <v>523.3468627929688</v>
      </c>
      <c r="H4502" s="6">
        <f>P4471</f>
        <v/>
      </c>
      <c r="I4502" s="9">
        <f>Q4471</f>
        <v/>
      </c>
      <c r="J4502" s="7">
        <f>I4502*G4502</f>
        <v/>
      </c>
      <c r="K4502" s="8">
        <f>IF($J$4527=0,0,J4502/$J$4527)</f>
        <v/>
      </c>
      <c r="L4502" s="6" t="inlineStr">
        <is>
          <t>REJECTED</t>
        </is>
      </c>
      <c r="M4502" s="8" t="n">
        <v>0</v>
      </c>
      <c r="N4502" s="7">
        <f>M4502*$J$4527-J4502</f>
        <v/>
      </c>
      <c r="O4502" s="9">
        <f>IF(G4502=0,0,N4502/G4502)</f>
        <v/>
      </c>
      <c r="P4502" s="6">
        <f>IF(M4502&gt;0,D4502,"")</f>
        <v/>
      </c>
      <c r="Q4502" s="9">
        <f>I4502+O4502</f>
        <v/>
      </c>
      <c r="R4502" s="7">
        <f>Q4502*G4502</f>
        <v/>
      </c>
      <c r="S4502" s="8">
        <f>IF($R$4527=0,0,R4502/$R$4527)</f>
        <v/>
      </c>
      <c r="T4502" s="8" t="n">
        <v>0.01104338526610027</v>
      </c>
      <c r="U4502" s="8" t="n">
        <v>0.01553373198000729</v>
      </c>
      <c r="V4502" s="6" t="inlineStr">
        <is>
          <t>not selected</t>
        </is>
      </c>
    </row>
    <row r="4503">
      <c r="A4503" s="6" t="inlineStr">
        <is>
          <t>DJ30</t>
        </is>
      </c>
      <c r="B4503" s="6" t="inlineStr">
        <is>
          <t>2025-10-17</t>
        </is>
      </c>
      <c r="C4503" s="6" t="inlineStr">
        <is>
          <t>DIA</t>
        </is>
      </c>
      <c r="D4503" s="6" t="inlineStr">
        <is>
          <t>CRM</t>
        </is>
      </c>
      <c r="E4503" s="6" t="inlineStr">
        <is>
          <t>CRM</t>
        </is>
      </c>
      <c r="F4503" s="6" t="inlineStr">
        <is>
          <t>-</t>
        </is>
      </c>
      <c r="G4503" s="7" t="n">
        <v>241.4596252441407</v>
      </c>
      <c r="H4503" s="6">
        <f>P4472</f>
        <v/>
      </c>
      <c r="I4503" s="9">
        <f>Q4472</f>
        <v/>
      </c>
      <c r="J4503" s="7">
        <f>I4503*G4503</f>
        <v/>
      </c>
      <c r="K4503" s="8">
        <f>IF($J$4527=0,0,J4503/$J$4527)</f>
        <v/>
      </c>
      <c r="L4503" s="6" t="inlineStr">
        <is>
          <t>REJECTED</t>
        </is>
      </c>
      <c r="M4503" s="8" t="n">
        <v>0</v>
      </c>
      <c r="N4503" s="7">
        <f>M4503*$J$4527-J4503</f>
        <v/>
      </c>
      <c r="O4503" s="9">
        <f>IF(G4503=0,0,N4503/G4503)</f>
        <v/>
      </c>
      <c r="P4503" s="6">
        <f>IF(M4503&gt;0,D4503,"")</f>
        <v/>
      </c>
      <c r="Q4503" s="9">
        <f>I4503+O4503</f>
        <v/>
      </c>
      <c r="R4503" s="7">
        <f>Q4503*G4503</f>
        <v/>
      </c>
      <c r="S4503" s="8">
        <f>IF($R$4527=0,0,R4503/$R$4527)</f>
        <v/>
      </c>
      <c r="T4503" s="8" t="n">
        <v>0.01104338526610027</v>
      </c>
      <c r="U4503" s="8" t="n">
        <v>0.01553373198000729</v>
      </c>
      <c r="V4503" s="6" t="inlineStr">
        <is>
          <t>not selected</t>
        </is>
      </c>
    </row>
    <row r="4504">
      <c r="A4504" s="6" t="inlineStr">
        <is>
          <t>DJ30</t>
        </is>
      </c>
      <c r="B4504" s="6" t="inlineStr">
        <is>
          <t>2025-10-17</t>
        </is>
      </c>
      <c r="C4504" s="6" t="inlineStr">
        <is>
          <t>DIA</t>
        </is>
      </c>
      <c r="D4504" s="6" t="inlineStr">
        <is>
          <t>CSCO</t>
        </is>
      </c>
      <c r="E4504" s="6" t="inlineStr">
        <is>
          <t>CSCO</t>
        </is>
      </c>
      <c r="F4504" s="6" t="inlineStr">
        <is>
          <t>-</t>
        </is>
      </c>
      <c r="G4504" s="7" t="n">
        <v>69.38077545166016</v>
      </c>
      <c r="H4504" s="6">
        <f>P4473</f>
        <v/>
      </c>
      <c r="I4504" s="9">
        <f>Q4473</f>
        <v/>
      </c>
      <c r="J4504" s="7">
        <f>I4504*G4504</f>
        <v/>
      </c>
      <c r="K4504" s="8">
        <f>IF($J$4527=0,0,J4504/$J$4527)</f>
        <v/>
      </c>
      <c r="L4504" s="6" t="inlineStr">
        <is>
          <t>SELECTED</t>
        </is>
      </c>
      <c r="M4504" s="8" t="n">
        <v>0.2</v>
      </c>
      <c r="N4504" s="7">
        <f>M4504*$J$4527-J4504</f>
        <v/>
      </c>
      <c r="O4504" s="9">
        <f>IF(G4504=0,0,N4504/G4504)</f>
        <v/>
      </c>
      <c r="P4504" s="6">
        <f>IF(M4504&gt;0,D4504,"")</f>
        <v/>
      </c>
      <c r="Q4504" s="9">
        <f>I4504+O4504</f>
        <v/>
      </c>
      <c r="R4504" s="7">
        <f>Q4504*G4504</f>
        <v/>
      </c>
      <c r="S4504" s="8">
        <f>IF($R$4527=0,0,R4504/$R$4527)</f>
        <v/>
      </c>
      <c r="T4504" s="8" t="n">
        <v>0.01104338526610027</v>
      </c>
      <c r="U4504" s="8" t="n">
        <v>0.01553373198000729</v>
      </c>
      <c r="V4504" s="6" t="inlineStr">
        <is>
          <t>remained in weekly selection</t>
        </is>
      </c>
    </row>
    <row r="4505">
      <c r="A4505" s="6" t="inlineStr">
        <is>
          <t>DJ30</t>
        </is>
      </c>
      <c r="B4505" s="6" t="inlineStr">
        <is>
          <t>2025-10-17</t>
        </is>
      </c>
      <c r="C4505" s="6" t="inlineStr">
        <is>
          <t>DIA</t>
        </is>
      </c>
      <c r="D4505" s="6" t="inlineStr">
        <is>
          <t>CVX</t>
        </is>
      </c>
      <c r="E4505" s="6" t="inlineStr">
        <is>
          <t>CVX</t>
        </is>
      </c>
      <c r="F4505" s="6" t="inlineStr">
        <is>
          <t>-</t>
        </is>
      </c>
      <c r="G4505" s="7" t="n">
        <v>148.5619201660156</v>
      </c>
      <c r="H4505" s="6">
        <f>P4474</f>
        <v/>
      </c>
      <c r="I4505" s="9">
        <f>Q4474</f>
        <v/>
      </c>
      <c r="J4505" s="7">
        <f>I4505*G4505</f>
        <v/>
      </c>
      <c r="K4505" s="8">
        <f>IF($J$4527=0,0,J4505/$J$4527)</f>
        <v/>
      </c>
      <c r="L4505" s="6" t="inlineStr">
        <is>
          <t>REJECTED</t>
        </is>
      </c>
      <c r="M4505" s="8" t="n">
        <v>0</v>
      </c>
      <c r="N4505" s="7">
        <f>M4505*$J$4527-J4505</f>
        <v/>
      </c>
      <c r="O4505" s="9">
        <f>IF(G4505=0,0,N4505/G4505)</f>
        <v/>
      </c>
      <c r="P4505" s="6">
        <f>IF(M4505&gt;0,D4505,"")</f>
        <v/>
      </c>
      <c r="Q4505" s="9">
        <f>I4505+O4505</f>
        <v/>
      </c>
      <c r="R4505" s="7">
        <f>Q4505*G4505</f>
        <v/>
      </c>
      <c r="S4505" s="8">
        <f>IF($R$4527=0,0,R4505/$R$4527)</f>
        <v/>
      </c>
      <c r="T4505" s="8" t="n">
        <v>0.01104338526610027</v>
      </c>
      <c r="U4505" s="8" t="n">
        <v>0.01553373198000729</v>
      </c>
      <c r="V4505" s="6" t="inlineStr">
        <is>
          <t>not selected</t>
        </is>
      </c>
    </row>
    <row r="4506">
      <c r="A4506" s="6" t="inlineStr">
        <is>
          <t>DJ30</t>
        </is>
      </c>
      <c r="B4506" s="6" t="inlineStr">
        <is>
          <t>2025-10-17</t>
        </is>
      </c>
      <c r="C4506" s="6" t="inlineStr">
        <is>
          <t>DIA</t>
        </is>
      </c>
      <c r="D4506" s="6" t="inlineStr">
        <is>
          <t>DIS</t>
        </is>
      </c>
      <c r="E4506" s="6" t="inlineStr">
        <is>
          <t>DIS</t>
        </is>
      </c>
      <c r="F4506" s="6" t="inlineStr">
        <is>
          <t>-</t>
        </is>
      </c>
      <c r="G4506" s="7" t="n">
        <v>109.9262466430664</v>
      </c>
      <c r="H4506" s="6">
        <f>P4475</f>
        <v/>
      </c>
      <c r="I4506" s="9">
        <f>Q4475</f>
        <v/>
      </c>
      <c r="J4506" s="7">
        <f>I4506*G4506</f>
        <v/>
      </c>
      <c r="K4506" s="8">
        <f>IF($J$4527=0,0,J4506/$J$4527)</f>
        <v/>
      </c>
      <c r="L4506" s="6" t="inlineStr">
        <is>
          <t>REJECTED</t>
        </is>
      </c>
      <c r="M4506" s="8" t="n">
        <v>0</v>
      </c>
      <c r="N4506" s="7">
        <f>M4506*$J$4527-J4506</f>
        <v/>
      </c>
      <c r="O4506" s="9">
        <f>IF(G4506=0,0,N4506/G4506)</f>
        <v/>
      </c>
      <c r="P4506" s="6">
        <f>IF(M4506&gt;0,D4506,"")</f>
        <v/>
      </c>
      <c r="Q4506" s="9">
        <f>I4506+O4506</f>
        <v/>
      </c>
      <c r="R4506" s="7">
        <f>Q4506*G4506</f>
        <v/>
      </c>
      <c r="S4506" s="8">
        <f>IF($R$4527=0,0,R4506/$R$4527)</f>
        <v/>
      </c>
      <c r="T4506" s="8" t="n">
        <v>0.01104338526610027</v>
      </c>
      <c r="U4506" s="8" t="n">
        <v>0.01553373198000729</v>
      </c>
      <c r="V4506" s="6" t="inlineStr">
        <is>
          <t>not selected</t>
        </is>
      </c>
    </row>
    <row r="4507">
      <c r="A4507" s="6" t="inlineStr">
        <is>
          <t>DJ30</t>
        </is>
      </c>
      <c r="B4507" s="6" t="inlineStr">
        <is>
          <t>2025-10-17</t>
        </is>
      </c>
      <c r="C4507" s="6" t="inlineStr">
        <is>
          <t>DIA</t>
        </is>
      </c>
      <c r="D4507" s="6" t="inlineStr">
        <is>
          <t>GS</t>
        </is>
      </c>
      <c r="E4507" s="6" t="inlineStr">
        <is>
          <t>GS</t>
        </is>
      </c>
      <c r="F4507" s="6" t="inlineStr">
        <is>
          <t>-</t>
        </is>
      </c>
      <c r="G4507" s="7" t="n">
        <v>739.89453125</v>
      </c>
      <c r="H4507" s="6">
        <f>P4476</f>
        <v/>
      </c>
      <c r="I4507" s="9">
        <f>Q4476</f>
        <v/>
      </c>
      <c r="J4507" s="7">
        <f>I4507*G4507</f>
        <v/>
      </c>
      <c r="K4507" s="8">
        <f>IF($J$4527=0,0,J4507/$J$4527)</f>
        <v/>
      </c>
      <c r="L4507" s="6" t="inlineStr">
        <is>
          <t>WATCHLIST</t>
        </is>
      </c>
      <c r="M4507" s="8" t="n">
        <v>0</v>
      </c>
      <c r="N4507" s="7">
        <f>M4507*$J$4527-J4507</f>
        <v/>
      </c>
      <c r="O4507" s="9">
        <f>IF(G4507=0,0,N4507/G4507)</f>
        <v/>
      </c>
      <c r="P4507" s="6">
        <f>IF(M4507&gt;0,D4507,"")</f>
        <v/>
      </c>
      <c r="Q4507" s="9">
        <f>I4507+O4507</f>
        <v/>
      </c>
      <c r="R4507" s="7">
        <f>Q4507*G4507</f>
        <v/>
      </c>
      <c r="S4507" s="8">
        <f>IF($R$4527=0,0,R4507/$R$4527)</f>
        <v/>
      </c>
      <c r="T4507" s="8" t="n">
        <v>0.01104338526610027</v>
      </c>
      <c r="U4507" s="8" t="n">
        <v>0.01553373198000729</v>
      </c>
      <c r="V4507" s="6" t="inlineStr">
        <is>
          <t>not selected</t>
        </is>
      </c>
    </row>
    <row r="4508">
      <c r="A4508" s="6" t="inlineStr">
        <is>
          <t>DJ30</t>
        </is>
      </c>
      <c r="B4508" s="6" t="inlineStr">
        <is>
          <t>2025-10-17</t>
        </is>
      </c>
      <c r="C4508" s="6" t="inlineStr">
        <is>
          <t>DIA</t>
        </is>
      </c>
      <c r="D4508" s="6" t="inlineStr">
        <is>
          <t>HD</t>
        </is>
      </c>
      <c r="E4508" s="6" t="inlineStr">
        <is>
          <t>HD</t>
        </is>
      </c>
      <c r="F4508" s="6" t="inlineStr">
        <is>
          <t>-</t>
        </is>
      </c>
      <c r="G4508" s="7" t="n">
        <v>383.9159545898438</v>
      </c>
      <c r="H4508" s="6">
        <f>P4477</f>
        <v/>
      </c>
      <c r="I4508" s="9">
        <f>Q4477</f>
        <v/>
      </c>
      <c r="J4508" s="7">
        <f>I4508*G4508</f>
        <v/>
      </c>
      <c r="K4508" s="8">
        <f>IF($J$4527=0,0,J4508/$J$4527)</f>
        <v/>
      </c>
      <c r="L4508" s="6" t="inlineStr">
        <is>
          <t>REJECTED</t>
        </is>
      </c>
      <c r="M4508" s="8" t="n">
        <v>0</v>
      </c>
      <c r="N4508" s="7">
        <f>M4508*$J$4527-J4508</f>
        <v/>
      </c>
      <c r="O4508" s="9">
        <f>IF(G4508=0,0,N4508/G4508)</f>
        <v/>
      </c>
      <c r="P4508" s="6">
        <f>IF(M4508&gt;0,D4508,"")</f>
        <v/>
      </c>
      <c r="Q4508" s="9">
        <f>I4508+O4508</f>
        <v/>
      </c>
      <c r="R4508" s="7">
        <f>Q4508*G4508</f>
        <v/>
      </c>
      <c r="S4508" s="8">
        <f>IF($R$4527=0,0,R4508/$R$4527)</f>
        <v/>
      </c>
      <c r="T4508" s="8" t="n">
        <v>0.01104338526610027</v>
      </c>
      <c r="U4508" s="8" t="n">
        <v>0.01553373198000729</v>
      </c>
      <c r="V4508" s="6" t="inlineStr">
        <is>
          <t>not selected</t>
        </is>
      </c>
    </row>
    <row r="4509">
      <c r="A4509" s="6" t="inlineStr">
        <is>
          <t>DJ30</t>
        </is>
      </c>
      <c r="B4509" s="6" t="inlineStr">
        <is>
          <t>2025-10-17</t>
        </is>
      </c>
      <c r="C4509" s="6" t="inlineStr">
        <is>
          <t>DIA</t>
        </is>
      </c>
      <c r="D4509" s="6" t="inlineStr">
        <is>
          <t>HON</t>
        </is>
      </c>
      <c r="E4509" s="6" t="inlineStr">
        <is>
          <t>HON</t>
        </is>
      </c>
      <c r="F4509" s="6" t="inlineStr">
        <is>
          <t>-</t>
        </is>
      </c>
      <c r="G4509" s="7" t="n">
        <v>188.178726196289</v>
      </c>
      <c r="H4509" s="6">
        <f>P4478</f>
        <v/>
      </c>
      <c r="I4509" s="9">
        <f>Q4478</f>
        <v/>
      </c>
      <c r="J4509" s="7">
        <f>I4509*G4509</f>
        <v/>
      </c>
      <c r="K4509" s="8">
        <f>IF($J$4527=0,0,J4509/$J$4527)</f>
        <v/>
      </c>
      <c r="L4509" s="6" t="inlineStr">
        <is>
          <t>REJECTED</t>
        </is>
      </c>
      <c r="M4509" s="8" t="n">
        <v>0</v>
      </c>
      <c r="N4509" s="7">
        <f>M4509*$J$4527-J4509</f>
        <v/>
      </c>
      <c r="O4509" s="9">
        <f>IF(G4509=0,0,N4509/G4509)</f>
        <v/>
      </c>
      <c r="P4509" s="6">
        <f>IF(M4509&gt;0,D4509,"")</f>
        <v/>
      </c>
      <c r="Q4509" s="9">
        <f>I4509+O4509</f>
        <v/>
      </c>
      <c r="R4509" s="7">
        <f>Q4509*G4509</f>
        <v/>
      </c>
      <c r="S4509" s="8">
        <f>IF($R$4527=0,0,R4509/$R$4527)</f>
        <v/>
      </c>
      <c r="T4509" s="8" t="n">
        <v>0.01104338526610027</v>
      </c>
      <c r="U4509" s="8" t="n">
        <v>0.01553373198000729</v>
      </c>
      <c r="V4509" s="6" t="inlineStr">
        <is>
          <t>not selected</t>
        </is>
      </c>
    </row>
    <row r="4510">
      <c r="A4510" s="6" t="inlineStr">
        <is>
          <t>DJ30</t>
        </is>
      </c>
      <c r="B4510" s="6" t="inlineStr">
        <is>
          <t>2025-10-17</t>
        </is>
      </c>
      <c r="C4510" s="6" t="inlineStr">
        <is>
          <t>DIA</t>
        </is>
      </c>
      <c r="D4510" s="6" t="inlineStr">
        <is>
          <t>IBM</t>
        </is>
      </c>
      <c r="E4510" s="6" t="inlineStr">
        <is>
          <t>IBM</t>
        </is>
      </c>
      <c r="F4510" s="6" t="inlineStr">
        <is>
          <t>-</t>
        </is>
      </c>
      <c r="G4510" s="7" t="n">
        <v>276.1195373535156</v>
      </c>
      <c r="H4510" s="6">
        <f>P4479</f>
        <v/>
      </c>
      <c r="I4510" s="9">
        <f>Q4479</f>
        <v/>
      </c>
      <c r="J4510" s="7">
        <f>I4510*G4510</f>
        <v/>
      </c>
      <c r="K4510" s="8">
        <f>IF($J$4527=0,0,J4510/$J$4527)</f>
        <v/>
      </c>
      <c r="L4510" s="6" t="inlineStr">
        <is>
          <t>SELECTED</t>
        </is>
      </c>
      <c r="M4510" s="8" t="n">
        <v>0.2</v>
      </c>
      <c r="N4510" s="7">
        <f>M4510*$J$4527-J4510</f>
        <v/>
      </c>
      <c r="O4510" s="9">
        <f>IF(G4510=0,0,N4510/G4510)</f>
        <v/>
      </c>
      <c r="P4510" s="6">
        <f>IF(M4510&gt;0,D4510,"")</f>
        <v/>
      </c>
      <c r="Q4510" s="9">
        <f>I4510+O4510</f>
        <v/>
      </c>
      <c r="R4510" s="7">
        <f>Q4510*G4510</f>
        <v/>
      </c>
      <c r="S4510" s="8">
        <f>IF($R$4527=0,0,R4510/$R$4527)</f>
        <v/>
      </c>
      <c r="T4510" s="8" t="n">
        <v>0.01104338526610027</v>
      </c>
      <c r="U4510" s="8" t="n">
        <v>0.01553373198000729</v>
      </c>
      <c r="V4510" s="6" t="inlineStr">
        <is>
          <t>remained in weekly selection</t>
        </is>
      </c>
    </row>
    <row r="4511">
      <c r="A4511" s="6" t="inlineStr">
        <is>
          <t>DJ30</t>
        </is>
      </c>
      <c r="B4511" s="6" t="inlineStr">
        <is>
          <t>2025-10-17</t>
        </is>
      </c>
      <c r="C4511" s="6" t="inlineStr">
        <is>
          <t>DIA</t>
        </is>
      </c>
      <c r="D4511" s="6" t="inlineStr">
        <is>
          <t>JNJ</t>
        </is>
      </c>
      <c r="E4511" s="6" t="inlineStr">
        <is>
          <t>JNJ</t>
        </is>
      </c>
      <c r="F4511" s="6" t="inlineStr">
        <is>
          <t>-</t>
        </is>
      </c>
      <c r="G4511" s="7" t="n">
        <v>189.8935546875</v>
      </c>
      <c r="H4511" s="6">
        <f>P4480</f>
        <v/>
      </c>
      <c r="I4511" s="9">
        <f>Q4480</f>
        <v/>
      </c>
      <c r="J4511" s="7">
        <f>I4511*G4511</f>
        <v/>
      </c>
      <c r="K4511" s="8">
        <f>IF($J$4527=0,0,J4511/$J$4527)</f>
        <v/>
      </c>
      <c r="L4511" s="6" t="inlineStr">
        <is>
          <t>WATCHLIST</t>
        </is>
      </c>
      <c r="M4511" s="8" t="n">
        <v>0</v>
      </c>
      <c r="N4511" s="7">
        <f>M4511*$J$4527-J4511</f>
        <v/>
      </c>
      <c r="O4511" s="9">
        <f>IF(G4511=0,0,N4511/G4511)</f>
        <v/>
      </c>
      <c r="P4511" s="6">
        <f>IF(M4511&gt;0,D4511,"")</f>
        <v/>
      </c>
      <c r="Q4511" s="9">
        <f>I4511+O4511</f>
        <v/>
      </c>
      <c r="R4511" s="7">
        <f>Q4511*G4511</f>
        <v/>
      </c>
      <c r="S4511" s="8">
        <f>IF($R$4527=0,0,R4511/$R$4527)</f>
        <v/>
      </c>
      <c r="T4511" s="8" t="n">
        <v>0.01104338526610027</v>
      </c>
      <c r="U4511" s="8" t="n">
        <v>0.01553373198000729</v>
      </c>
      <c r="V4511" s="6" t="inlineStr">
        <is>
          <t>removed from weekly selection</t>
        </is>
      </c>
    </row>
    <row r="4512">
      <c r="A4512" s="6" t="inlineStr">
        <is>
          <t>DJ30</t>
        </is>
      </c>
      <c r="B4512" s="6" t="inlineStr">
        <is>
          <t>2025-10-17</t>
        </is>
      </c>
      <c r="C4512" s="6" t="inlineStr">
        <is>
          <t>DIA</t>
        </is>
      </c>
      <c r="D4512" s="6" t="inlineStr">
        <is>
          <t>JPM</t>
        </is>
      </c>
      <c r="E4512" s="6" t="inlineStr">
        <is>
          <t>JPM</t>
        </is>
      </c>
      <c r="F4512" s="6" t="inlineStr">
        <is>
          <t>-</t>
        </is>
      </c>
      <c r="G4512" s="7" t="n">
        <v>294.7155456542969</v>
      </c>
      <c r="H4512" s="6">
        <f>P4481</f>
        <v/>
      </c>
      <c r="I4512" s="9">
        <f>Q4481</f>
        <v/>
      </c>
      <c r="J4512" s="7">
        <f>I4512*G4512</f>
        <v/>
      </c>
      <c r="K4512" s="8">
        <f>IF($J$4527=0,0,J4512/$J$4527)</f>
        <v/>
      </c>
      <c r="L4512" s="6" t="inlineStr">
        <is>
          <t>SELECTED</t>
        </is>
      </c>
      <c r="M4512" s="8" t="n">
        <v>0.2</v>
      </c>
      <c r="N4512" s="7">
        <f>M4512*$J$4527-J4512</f>
        <v/>
      </c>
      <c r="O4512" s="9">
        <f>IF(G4512=0,0,N4512/G4512)</f>
        <v/>
      </c>
      <c r="P4512" s="6">
        <f>IF(M4512&gt;0,D4512,"")</f>
        <v/>
      </c>
      <c r="Q4512" s="9">
        <f>I4512+O4512</f>
        <v/>
      </c>
      <c r="R4512" s="7">
        <f>Q4512*G4512</f>
        <v/>
      </c>
      <c r="S4512" s="8">
        <f>IF($R$4527=0,0,R4512/$R$4527)</f>
        <v/>
      </c>
      <c r="T4512" s="8" t="n">
        <v>0.01104338526610027</v>
      </c>
      <c r="U4512" s="8" t="n">
        <v>0.01553373198000729</v>
      </c>
      <c r="V4512" s="6" t="inlineStr">
        <is>
          <t>remained in weekly selection</t>
        </is>
      </c>
    </row>
    <row r="4513">
      <c r="A4513" s="6" t="inlineStr">
        <is>
          <t>DJ30</t>
        </is>
      </c>
      <c r="B4513" s="6" t="inlineStr">
        <is>
          <t>2025-10-17</t>
        </is>
      </c>
      <c r="C4513" s="6" t="inlineStr">
        <is>
          <t>DIA</t>
        </is>
      </c>
      <c r="D4513" s="6" t="inlineStr">
        <is>
          <t>KO</t>
        </is>
      </c>
      <c r="E4513" s="6" t="inlineStr">
        <is>
          <t>KO</t>
        </is>
      </c>
      <c r="F4513" s="6" t="inlineStr">
        <is>
          <t>-</t>
        </is>
      </c>
      <c r="G4513" s="7" t="n">
        <v>67.06552886962891</v>
      </c>
      <c r="H4513" s="6">
        <f>P4482</f>
        <v/>
      </c>
      <c r="I4513" s="9">
        <f>Q4482</f>
        <v/>
      </c>
      <c r="J4513" s="7">
        <f>I4513*G4513</f>
        <v/>
      </c>
      <c r="K4513" s="8">
        <f>IF($J$4527=0,0,J4513/$J$4527)</f>
        <v/>
      </c>
      <c r="L4513" s="6" t="inlineStr">
        <is>
          <t>WATCHLIST</t>
        </is>
      </c>
      <c r="M4513" s="8" t="n">
        <v>0</v>
      </c>
      <c r="N4513" s="7">
        <f>M4513*$J$4527-J4513</f>
        <v/>
      </c>
      <c r="O4513" s="9">
        <f>IF(G4513=0,0,N4513/G4513)</f>
        <v/>
      </c>
      <c r="P4513" s="6">
        <f>IF(M4513&gt;0,D4513,"")</f>
        <v/>
      </c>
      <c r="Q4513" s="9">
        <f>I4513+O4513</f>
        <v/>
      </c>
      <c r="R4513" s="7">
        <f>Q4513*G4513</f>
        <v/>
      </c>
      <c r="S4513" s="8">
        <f>IF($R$4527=0,0,R4513/$R$4527)</f>
        <v/>
      </c>
      <c r="T4513" s="8" t="n">
        <v>0.01104338526610027</v>
      </c>
      <c r="U4513" s="8" t="n">
        <v>0.01553373198000729</v>
      </c>
      <c r="V4513" s="6" t="inlineStr">
        <is>
          <t>not selected</t>
        </is>
      </c>
    </row>
    <row r="4514">
      <c r="A4514" s="6" t="inlineStr">
        <is>
          <t>DJ30</t>
        </is>
      </c>
      <c r="B4514" s="6" t="inlineStr">
        <is>
          <t>2025-10-17</t>
        </is>
      </c>
      <c r="C4514" s="6" t="inlineStr">
        <is>
          <t>DIA</t>
        </is>
      </c>
      <c r="D4514" s="6" t="inlineStr">
        <is>
          <t>MCD</t>
        </is>
      </c>
      <c r="E4514" s="6" t="inlineStr">
        <is>
          <t>MCD</t>
        </is>
      </c>
      <c r="F4514" s="6" t="inlineStr">
        <is>
          <t>-</t>
        </is>
      </c>
      <c r="G4514" s="7" t="n">
        <v>302.4993286132812</v>
      </c>
      <c r="H4514" s="6">
        <f>P4483</f>
        <v/>
      </c>
      <c r="I4514" s="9">
        <f>Q4483</f>
        <v/>
      </c>
      <c r="J4514" s="7">
        <f>I4514*G4514</f>
        <v/>
      </c>
      <c r="K4514" s="8">
        <f>IF($J$4527=0,0,J4514/$J$4527)</f>
        <v/>
      </c>
      <c r="L4514" s="6" t="inlineStr">
        <is>
          <t>WATCHLIST</t>
        </is>
      </c>
      <c r="M4514" s="8" t="n">
        <v>0</v>
      </c>
      <c r="N4514" s="7">
        <f>M4514*$J$4527-J4514</f>
        <v/>
      </c>
      <c r="O4514" s="9">
        <f>IF(G4514=0,0,N4514/G4514)</f>
        <v/>
      </c>
      <c r="P4514" s="6">
        <f>IF(M4514&gt;0,D4514,"")</f>
        <v/>
      </c>
      <c r="Q4514" s="9">
        <f>I4514+O4514</f>
        <v/>
      </c>
      <c r="R4514" s="7">
        <f>Q4514*G4514</f>
        <v/>
      </c>
      <c r="S4514" s="8">
        <f>IF($R$4527=0,0,R4514/$R$4527)</f>
        <v/>
      </c>
      <c r="T4514" s="8" t="n">
        <v>0.01104338526610027</v>
      </c>
      <c r="U4514" s="8" t="n">
        <v>0.01553373198000729</v>
      </c>
      <c r="V4514" s="6" t="inlineStr">
        <is>
          <t>not selected</t>
        </is>
      </c>
    </row>
    <row r="4515">
      <c r="A4515" s="6" t="inlineStr">
        <is>
          <t>DJ30</t>
        </is>
      </c>
      <c r="B4515" s="6" t="inlineStr">
        <is>
          <t>2025-10-17</t>
        </is>
      </c>
      <c r="C4515" s="6" t="inlineStr">
        <is>
          <t>DIA</t>
        </is>
      </c>
      <c r="D4515" s="6" t="inlineStr">
        <is>
          <t>MMM</t>
        </is>
      </c>
      <c r="E4515" s="6" t="inlineStr">
        <is>
          <t>MMM</t>
        </is>
      </c>
      <c r="F4515" s="6" t="inlineStr">
        <is>
          <t>-</t>
        </is>
      </c>
      <c r="G4515" s="7" t="n">
        <v>150.5294799804688</v>
      </c>
      <c r="H4515" s="6">
        <f>P4484</f>
        <v/>
      </c>
      <c r="I4515" s="9">
        <f>Q4484</f>
        <v/>
      </c>
      <c r="J4515" s="7">
        <f>I4515*G4515</f>
        <v/>
      </c>
      <c r="K4515" s="8">
        <f>IF($J$4527=0,0,J4515/$J$4527)</f>
        <v/>
      </c>
      <c r="L4515" s="6" t="inlineStr">
        <is>
          <t>WATCHLIST</t>
        </is>
      </c>
      <c r="M4515" s="8" t="n">
        <v>0</v>
      </c>
      <c r="N4515" s="7">
        <f>M4515*$J$4527-J4515</f>
        <v/>
      </c>
      <c r="O4515" s="9">
        <f>IF(G4515=0,0,N4515/G4515)</f>
        <v/>
      </c>
      <c r="P4515" s="6">
        <f>IF(M4515&gt;0,D4515,"")</f>
        <v/>
      </c>
      <c r="Q4515" s="9">
        <f>I4515+O4515</f>
        <v/>
      </c>
      <c r="R4515" s="7">
        <f>Q4515*G4515</f>
        <v/>
      </c>
      <c r="S4515" s="8">
        <f>IF($R$4527=0,0,R4515/$R$4527)</f>
        <v/>
      </c>
      <c r="T4515" s="8" t="n">
        <v>0.01104338526610027</v>
      </c>
      <c r="U4515" s="8" t="n">
        <v>0.01553373198000729</v>
      </c>
      <c r="V4515" s="6" t="inlineStr">
        <is>
          <t>not selected</t>
        </is>
      </c>
    </row>
    <row r="4516">
      <c r="A4516" s="6" t="inlineStr">
        <is>
          <t>DJ30</t>
        </is>
      </c>
      <c r="B4516" s="6" t="inlineStr">
        <is>
          <t>2025-10-17</t>
        </is>
      </c>
      <c r="C4516" s="6" t="inlineStr">
        <is>
          <t>DIA</t>
        </is>
      </c>
      <c r="D4516" s="6" t="inlineStr">
        <is>
          <t>MRK</t>
        </is>
      </c>
      <c r="E4516" s="6" t="inlineStr">
        <is>
          <t>MRK</t>
        </is>
      </c>
      <c r="F4516" s="6" t="inlineStr">
        <is>
          <t>-</t>
        </is>
      </c>
      <c r="G4516" s="7" t="n">
        <v>82.85748291015625</v>
      </c>
      <c r="H4516" s="6">
        <f>P4485</f>
        <v/>
      </c>
      <c r="I4516" s="9">
        <f>Q4485</f>
        <v/>
      </c>
      <c r="J4516" s="7">
        <f>I4516*G4516</f>
        <v/>
      </c>
      <c r="K4516" s="8">
        <f>IF($J$4527=0,0,J4516/$J$4527)</f>
        <v/>
      </c>
      <c r="L4516" s="6" t="inlineStr">
        <is>
          <t>REJECTED</t>
        </is>
      </c>
      <c r="M4516" s="8" t="n">
        <v>0</v>
      </c>
      <c r="N4516" s="7">
        <f>M4516*$J$4527-J4516</f>
        <v/>
      </c>
      <c r="O4516" s="9">
        <f>IF(G4516=0,0,N4516/G4516)</f>
        <v/>
      </c>
      <c r="P4516" s="6">
        <f>IF(M4516&gt;0,D4516,"")</f>
        <v/>
      </c>
      <c r="Q4516" s="9">
        <f>I4516+O4516</f>
        <v/>
      </c>
      <c r="R4516" s="7">
        <f>Q4516*G4516</f>
        <v/>
      </c>
      <c r="S4516" s="8">
        <f>IF($R$4527=0,0,R4516/$R$4527)</f>
        <v/>
      </c>
      <c r="T4516" s="8" t="n">
        <v>0.01104338526610027</v>
      </c>
      <c r="U4516" s="8" t="n">
        <v>0.01553373198000729</v>
      </c>
      <c r="V4516" s="6" t="inlineStr">
        <is>
          <t>not selected</t>
        </is>
      </c>
    </row>
    <row r="4517">
      <c r="A4517" s="6" t="inlineStr">
        <is>
          <t>DJ30</t>
        </is>
      </c>
      <c r="B4517" s="6" t="inlineStr">
        <is>
          <t>2025-10-17</t>
        </is>
      </c>
      <c r="C4517" s="6" t="inlineStr">
        <is>
          <t>DIA</t>
        </is>
      </c>
      <c r="D4517" s="6" t="inlineStr">
        <is>
          <t>MSFT</t>
        </is>
      </c>
      <c r="E4517" s="6" t="inlineStr">
        <is>
          <t>MSFT</t>
        </is>
      </c>
      <c r="F4517" s="6" t="inlineStr">
        <is>
          <t>-</t>
        </is>
      </c>
      <c r="G4517" s="7" t="n">
        <v>510.3478698730469</v>
      </c>
      <c r="H4517" s="6">
        <f>P4486</f>
        <v/>
      </c>
      <c r="I4517" s="9">
        <f>Q4486</f>
        <v/>
      </c>
      <c r="J4517" s="7">
        <f>I4517*G4517</f>
        <v/>
      </c>
      <c r="K4517" s="8">
        <f>IF($J$4527=0,0,J4517/$J$4527)</f>
        <v/>
      </c>
      <c r="L4517" s="6" t="inlineStr">
        <is>
          <t>SELECTED</t>
        </is>
      </c>
      <c r="M4517" s="8" t="n">
        <v>0.2</v>
      </c>
      <c r="N4517" s="7">
        <f>M4517*$J$4527-J4517</f>
        <v/>
      </c>
      <c r="O4517" s="9">
        <f>IF(G4517=0,0,N4517/G4517)</f>
        <v/>
      </c>
      <c r="P4517" s="6">
        <f>IF(M4517&gt;0,D4517,"")</f>
        <v/>
      </c>
      <c r="Q4517" s="9">
        <f>I4517+O4517</f>
        <v/>
      </c>
      <c r="R4517" s="7">
        <f>Q4517*G4517</f>
        <v/>
      </c>
      <c r="S4517" s="8">
        <f>IF($R$4527=0,0,R4517/$R$4527)</f>
        <v/>
      </c>
      <c r="T4517" s="8" t="n">
        <v>0.01104338526610027</v>
      </c>
      <c r="U4517" s="8" t="n">
        <v>0.01553373198000729</v>
      </c>
      <c r="V4517" s="6" t="inlineStr">
        <is>
          <t>entered weekly selection</t>
        </is>
      </c>
    </row>
    <row r="4518">
      <c r="A4518" s="6" t="inlineStr">
        <is>
          <t>DJ30</t>
        </is>
      </c>
      <c r="B4518" s="6" t="inlineStr">
        <is>
          <t>2025-10-17</t>
        </is>
      </c>
      <c r="C4518" s="6" t="inlineStr">
        <is>
          <t>DIA</t>
        </is>
      </c>
      <c r="D4518" s="6" t="inlineStr">
        <is>
          <t>NKE</t>
        </is>
      </c>
      <c r="E4518" s="6" t="inlineStr">
        <is>
          <t>NKE</t>
        </is>
      </c>
      <c r="F4518" s="6" t="inlineStr">
        <is>
          <t>-</t>
        </is>
      </c>
      <c r="G4518" s="7" t="n">
        <v>65.91143035888672</v>
      </c>
      <c r="H4518" s="6">
        <f>P4487</f>
        <v/>
      </c>
      <c r="I4518" s="9">
        <f>Q4487</f>
        <v/>
      </c>
      <c r="J4518" s="7">
        <f>I4518*G4518</f>
        <v/>
      </c>
      <c r="K4518" s="8">
        <f>IF($J$4527=0,0,J4518/$J$4527)</f>
        <v/>
      </c>
      <c r="L4518" s="6" t="inlineStr">
        <is>
          <t>REJECTED</t>
        </is>
      </c>
      <c r="M4518" s="8" t="n">
        <v>0</v>
      </c>
      <c r="N4518" s="7">
        <f>M4518*$J$4527-J4518</f>
        <v/>
      </c>
      <c r="O4518" s="9">
        <f>IF(G4518=0,0,N4518/G4518)</f>
        <v/>
      </c>
      <c r="P4518" s="6">
        <f>IF(M4518&gt;0,D4518,"")</f>
        <v/>
      </c>
      <c r="Q4518" s="9">
        <f>I4518+O4518</f>
        <v/>
      </c>
      <c r="R4518" s="7">
        <f>Q4518*G4518</f>
        <v/>
      </c>
      <c r="S4518" s="8">
        <f>IF($R$4527=0,0,R4518/$R$4527)</f>
        <v/>
      </c>
      <c r="T4518" s="8" t="n">
        <v>0.01104338526610027</v>
      </c>
      <c r="U4518" s="8" t="n">
        <v>0.01553373198000729</v>
      </c>
      <c r="V4518" s="6" t="inlineStr">
        <is>
          <t>not selected</t>
        </is>
      </c>
    </row>
    <row r="4519">
      <c r="A4519" s="6" t="inlineStr">
        <is>
          <t>DJ30</t>
        </is>
      </c>
      <c r="B4519" s="6" t="inlineStr">
        <is>
          <t>2025-10-17</t>
        </is>
      </c>
      <c r="C4519" s="6" t="inlineStr">
        <is>
          <t>DIA</t>
        </is>
      </c>
      <c r="D4519" s="6" t="inlineStr">
        <is>
          <t>NVDA</t>
        </is>
      </c>
      <c r="E4519" s="6" t="inlineStr">
        <is>
          <t>NVDA</t>
        </is>
      </c>
      <c r="F4519" s="6" t="inlineStr">
        <is>
          <t>-</t>
        </is>
      </c>
      <c r="G4519" s="7" t="n">
        <v>182.9866180419922</v>
      </c>
      <c r="H4519" s="6">
        <f>P4488</f>
        <v/>
      </c>
      <c r="I4519" s="9">
        <f>Q4488</f>
        <v/>
      </c>
      <c r="J4519" s="7">
        <f>I4519*G4519</f>
        <v/>
      </c>
      <c r="K4519" s="8">
        <f>IF($J$4527=0,0,J4519/$J$4527)</f>
        <v/>
      </c>
      <c r="L4519" s="6" t="inlineStr">
        <is>
          <t>WATCHLIST</t>
        </is>
      </c>
      <c r="M4519" s="8" t="n">
        <v>0</v>
      </c>
      <c r="N4519" s="7">
        <f>M4519*$J$4527-J4519</f>
        <v/>
      </c>
      <c r="O4519" s="9">
        <f>IF(G4519=0,0,N4519/G4519)</f>
        <v/>
      </c>
      <c r="P4519" s="6">
        <f>IF(M4519&gt;0,D4519,"")</f>
        <v/>
      </c>
      <c r="Q4519" s="9">
        <f>I4519+O4519</f>
        <v/>
      </c>
      <c r="R4519" s="7">
        <f>Q4519*G4519</f>
        <v/>
      </c>
      <c r="S4519" s="8">
        <f>IF($R$4527=0,0,R4519/$R$4527)</f>
        <v/>
      </c>
      <c r="T4519" s="8" t="n">
        <v>0.01104338526610027</v>
      </c>
      <c r="U4519" s="8" t="n">
        <v>0.01553373198000729</v>
      </c>
      <c r="V4519" s="6" t="inlineStr">
        <is>
          <t>not selected</t>
        </is>
      </c>
    </row>
    <row r="4520">
      <c r="A4520" s="6" t="inlineStr">
        <is>
          <t>DJ30</t>
        </is>
      </c>
      <c r="B4520" s="6" t="inlineStr">
        <is>
          <t>2025-10-17</t>
        </is>
      </c>
      <c r="C4520" s="6" t="inlineStr">
        <is>
          <t>DIA</t>
        </is>
      </c>
      <c r="D4520" s="6" t="inlineStr">
        <is>
          <t>PG</t>
        </is>
      </c>
      <c r="E4520" s="6" t="inlineStr">
        <is>
          <t>PG</t>
        </is>
      </c>
      <c r="F4520" s="6" t="inlineStr">
        <is>
          <t>-</t>
        </is>
      </c>
      <c r="G4520" s="7" t="n">
        <v>148.1729125976562</v>
      </c>
      <c r="H4520" s="6">
        <f>P4489</f>
        <v/>
      </c>
      <c r="I4520" s="9">
        <f>Q4489</f>
        <v/>
      </c>
      <c r="J4520" s="7">
        <f>I4520*G4520</f>
        <v/>
      </c>
      <c r="K4520" s="8">
        <f>IF($J$4527=0,0,J4520/$J$4527)</f>
        <v/>
      </c>
      <c r="L4520" s="6" t="inlineStr">
        <is>
          <t>REJECTED</t>
        </is>
      </c>
      <c r="M4520" s="8" t="n">
        <v>0</v>
      </c>
      <c r="N4520" s="7">
        <f>M4520*$J$4527-J4520</f>
        <v/>
      </c>
      <c r="O4520" s="9">
        <f>IF(G4520=0,0,N4520/G4520)</f>
        <v/>
      </c>
      <c r="P4520" s="6">
        <f>IF(M4520&gt;0,D4520,"")</f>
        <v/>
      </c>
      <c r="Q4520" s="9">
        <f>I4520+O4520</f>
        <v/>
      </c>
      <c r="R4520" s="7">
        <f>Q4520*G4520</f>
        <v/>
      </c>
      <c r="S4520" s="8">
        <f>IF($R$4527=0,0,R4520/$R$4527)</f>
        <v/>
      </c>
      <c r="T4520" s="8" t="n">
        <v>0.01104338526610027</v>
      </c>
      <c r="U4520" s="8" t="n">
        <v>0.01553373198000729</v>
      </c>
      <c r="V4520" s="6" t="inlineStr">
        <is>
          <t>not selected</t>
        </is>
      </c>
    </row>
    <row r="4521">
      <c r="A4521" s="6" t="inlineStr">
        <is>
          <t>DJ30</t>
        </is>
      </c>
      <c r="B4521" s="6" t="inlineStr">
        <is>
          <t>2025-10-17</t>
        </is>
      </c>
      <c r="C4521" s="6" t="inlineStr">
        <is>
          <t>DIA</t>
        </is>
      </c>
      <c r="D4521" s="6" t="inlineStr">
        <is>
          <t>SHW</t>
        </is>
      </c>
      <c r="E4521" s="6" t="inlineStr">
        <is>
          <t>SHW</t>
        </is>
      </c>
      <c r="F4521" s="6" t="inlineStr">
        <is>
          <t>-</t>
        </is>
      </c>
      <c r="G4521" s="7" t="n">
        <v>328.3893737792969</v>
      </c>
      <c r="H4521" s="6">
        <f>P4490</f>
        <v/>
      </c>
      <c r="I4521" s="9">
        <f>Q4490</f>
        <v/>
      </c>
      <c r="J4521" s="7">
        <f>I4521*G4521</f>
        <v/>
      </c>
      <c r="K4521" s="8">
        <f>IF($J$4527=0,0,J4521/$J$4527)</f>
        <v/>
      </c>
      <c r="L4521" s="6" t="inlineStr">
        <is>
          <t>REJECTED</t>
        </is>
      </c>
      <c r="M4521" s="8" t="n">
        <v>0</v>
      </c>
      <c r="N4521" s="7">
        <f>M4521*$J$4527-J4521</f>
        <v/>
      </c>
      <c r="O4521" s="9">
        <f>IF(G4521=0,0,N4521/G4521)</f>
        <v/>
      </c>
      <c r="P4521" s="6">
        <f>IF(M4521&gt;0,D4521,"")</f>
        <v/>
      </c>
      <c r="Q4521" s="9">
        <f>I4521+O4521</f>
        <v/>
      </c>
      <c r="R4521" s="7">
        <f>Q4521*G4521</f>
        <v/>
      </c>
      <c r="S4521" s="8">
        <f>IF($R$4527=0,0,R4521/$R$4527)</f>
        <v/>
      </c>
      <c r="T4521" s="8" t="n">
        <v>0.01104338526610027</v>
      </c>
      <c r="U4521" s="8" t="n">
        <v>0.01553373198000729</v>
      </c>
      <c r="V4521" s="6" t="inlineStr">
        <is>
          <t>not selected</t>
        </is>
      </c>
    </row>
    <row r="4522">
      <c r="A4522" s="6" t="inlineStr">
        <is>
          <t>DJ30</t>
        </is>
      </c>
      <c r="B4522" s="6" t="inlineStr">
        <is>
          <t>2025-10-17</t>
        </is>
      </c>
      <c r="C4522" s="6" t="inlineStr">
        <is>
          <t>DIA</t>
        </is>
      </c>
      <c r="D4522" s="6" t="inlineStr">
        <is>
          <t>TRV</t>
        </is>
      </c>
      <c r="E4522" s="6" t="inlineStr">
        <is>
          <t>TRV</t>
        </is>
      </c>
      <c r="F4522" s="6" t="inlineStr">
        <is>
          <t>-</t>
        </is>
      </c>
      <c r="G4522" s="7" t="n">
        <v>258.9481811523437</v>
      </c>
      <c r="H4522" s="6">
        <f>P4491</f>
        <v/>
      </c>
      <c r="I4522" s="9">
        <f>Q4491</f>
        <v/>
      </c>
      <c r="J4522" s="7">
        <f>I4522*G4522</f>
        <v/>
      </c>
      <c r="K4522" s="8">
        <f>IF($J$4527=0,0,J4522/$J$4527)</f>
        <v/>
      </c>
      <c r="L4522" s="6" t="inlineStr">
        <is>
          <t>WATCHLIST</t>
        </is>
      </c>
      <c r="M4522" s="8" t="n">
        <v>0</v>
      </c>
      <c r="N4522" s="7">
        <f>M4522*$J$4527-J4522</f>
        <v/>
      </c>
      <c r="O4522" s="9">
        <f>IF(G4522=0,0,N4522/G4522)</f>
        <v/>
      </c>
      <c r="P4522" s="6">
        <f>IF(M4522&gt;0,D4522,"")</f>
        <v/>
      </c>
      <c r="Q4522" s="9">
        <f>I4522+O4522</f>
        <v/>
      </c>
      <c r="R4522" s="7">
        <f>Q4522*G4522</f>
        <v/>
      </c>
      <c r="S4522" s="8">
        <f>IF($R$4527=0,0,R4522/$R$4527)</f>
        <v/>
      </c>
      <c r="T4522" s="8" t="n">
        <v>0.01104338526610027</v>
      </c>
      <c r="U4522" s="8" t="n">
        <v>0.01553373198000729</v>
      </c>
      <c r="V4522" s="6" t="inlineStr">
        <is>
          <t>not selected</t>
        </is>
      </c>
    </row>
    <row r="4523">
      <c r="A4523" s="6" t="inlineStr">
        <is>
          <t>DJ30</t>
        </is>
      </c>
      <c r="B4523" s="6" t="inlineStr">
        <is>
          <t>2025-10-17</t>
        </is>
      </c>
      <c r="C4523" s="6" t="inlineStr">
        <is>
          <t>DIA</t>
        </is>
      </c>
      <c r="D4523" s="6" t="inlineStr">
        <is>
          <t>UNH</t>
        </is>
      </c>
      <c r="E4523" s="6" t="inlineStr">
        <is>
          <t>UNH</t>
        </is>
      </c>
      <c r="F4523" s="6" t="inlineStr">
        <is>
          <t>-</t>
        </is>
      </c>
      <c r="G4523" s="7" t="n">
        <v>349.4897766113281</v>
      </c>
      <c r="H4523" s="6">
        <f>P4492</f>
        <v/>
      </c>
      <c r="I4523" s="9">
        <f>Q4492</f>
        <v/>
      </c>
      <c r="J4523" s="7">
        <f>I4523*G4523</f>
        <v/>
      </c>
      <c r="K4523" s="8">
        <f>IF($J$4527=0,0,J4523/$J$4527)</f>
        <v/>
      </c>
      <c r="L4523" s="6" t="inlineStr">
        <is>
          <t>REJECTED</t>
        </is>
      </c>
      <c r="M4523" s="8" t="n">
        <v>0</v>
      </c>
      <c r="N4523" s="7">
        <f>M4523*$J$4527-J4523</f>
        <v/>
      </c>
      <c r="O4523" s="9">
        <f>IF(G4523=0,0,N4523/G4523)</f>
        <v/>
      </c>
      <c r="P4523" s="6">
        <f>IF(M4523&gt;0,D4523,"")</f>
        <v/>
      </c>
      <c r="Q4523" s="9">
        <f>I4523+O4523</f>
        <v/>
      </c>
      <c r="R4523" s="7">
        <f>Q4523*G4523</f>
        <v/>
      </c>
      <c r="S4523" s="8">
        <f>IF($R$4527=0,0,R4523/$R$4527)</f>
        <v/>
      </c>
      <c r="T4523" s="8" t="n">
        <v>0.01104338526610027</v>
      </c>
      <c r="U4523" s="8" t="n">
        <v>0.01553373198000729</v>
      </c>
      <c r="V4523" s="6" t="inlineStr">
        <is>
          <t>not selected</t>
        </is>
      </c>
    </row>
    <row r="4524">
      <c r="A4524" s="6" t="inlineStr">
        <is>
          <t>DJ30</t>
        </is>
      </c>
      <c r="B4524" s="6" t="inlineStr">
        <is>
          <t>2025-10-17</t>
        </is>
      </c>
      <c r="C4524" s="6" t="inlineStr">
        <is>
          <t>DIA</t>
        </is>
      </c>
      <c r="D4524" s="6" t="inlineStr">
        <is>
          <t>V</t>
        </is>
      </c>
      <c r="E4524" s="6" t="inlineStr">
        <is>
          <t>V</t>
        </is>
      </c>
      <c r="F4524" s="6" t="inlineStr">
        <is>
          <t>-</t>
        </is>
      </c>
      <c r="G4524" s="7" t="n">
        <v>339.8075256347656</v>
      </c>
      <c r="H4524" s="6">
        <f>P4493</f>
        <v/>
      </c>
      <c r="I4524" s="9">
        <f>Q4493</f>
        <v/>
      </c>
      <c r="J4524" s="7">
        <f>I4524*G4524</f>
        <v/>
      </c>
      <c r="K4524" s="8">
        <f>IF($J$4527=0,0,J4524/$J$4527)</f>
        <v/>
      </c>
      <c r="L4524" s="6" t="inlineStr">
        <is>
          <t>WATCHLIST</t>
        </is>
      </c>
      <c r="M4524" s="8" t="n">
        <v>0</v>
      </c>
      <c r="N4524" s="7">
        <f>M4524*$J$4527-J4524</f>
        <v/>
      </c>
      <c r="O4524" s="9">
        <f>IF(G4524=0,0,N4524/G4524)</f>
        <v/>
      </c>
      <c r="P4524" s="6">
        <f>IF(M4524&gt;0,D4524,"")</f>
        <v/>
      </c>
      <c r="Q4524" s="9">
        <f>I4524+O4524</f>
        <v/>
      </c>
      <c r="R4524" s="7">
        <f>Q4524*G4524</f>
        <v/>
      </c>
      <c r="S4524" s="8">
        <f>IF($R$4527=0,0,R4524/$R$4527)</f>
        <v/>
      </c>
      <c r="T4524" s="8" t="n">
        <v>0.01104338526610027</v>
      </c>
      <c r="U4524" s="8" t="n">
        <v>0.01553373198000729</v>
      </c>
      <c r="V4524" s="6" t="inlineStr">
        <is>
          <t>not selected</t>
        </is>
      </c>
    </row>
    <row r="4525">
      <c r="A4525" s="6" t="inlineStr">
        <is>
          <t>DJ30</t>
        </is>
      </c>
      <c r="B4525" s="6" t="inlineStr">
        <is>
          <t>2025-10-17</t>
        </is>
      </c>
      <c r="C4525" s="6" t="inlineStr">
        <is>
          <t>DIA</t>
        </is>
      </c>
      <c r="D4525" s="6" t="inlineStr">
        <is>
          <t>VZ</t>
        </is>
      </c>
      <c r="E4525" s="6" t="inlineStr">
        <is>
          <t>VZ</t>
        </is>
      </c>
      <c r="F4525" s="6" t="inlineStr">
        <is>
          <t>-</t>
        </is>
      </c>
      <c r="G4525" s="7" t="n">
        <v>39.26784515380859</v>
      </c>
      <c r="H4525" s="6">
        <f>P4494</f>
        <v/>
      </c>
      <c r="I4525" s="9">
        <f>Q4494</f>
        <v/>
      </c>
      <c r="J4525" s="7">
        <f>I4525*G4525</f>
        <v/>
      </c>
      <c r="K4525" s="8">
        <f>IF($J$4527=0,0,J4525/$J$4527)</f>
        <v/>
      </c>
      <c r="L4525" s="6" t="inlineStr">
        <is>
          <t>WATCHLIST</t>
        </is>
      </c>
      <c r="M4525" s="8" t="n">
        <v>0</v>
      </c>
      <c r="N4525" s="7">
        <f>M4525*$J$4527-J4525</f>
        <v/>
      </c>
      <c r="O4525" s="9">
        <f>IF(G4525=0,0,N4525/G4525)</f>
        <v/>
      </c>
      <c r="P4525" s="6">
        <f>IF(M4525&gt;0,D4525,"")</f>
        <v/>
      </c>
      <c r="Q4525" s="9">
        <f>I4525+O4525</f>
        <v/>
      </c>
      <c r="R4525" s="7">
        <f>Q4525*G4525</f>
        <v/>
      </c>
      <c r="S4525" s="8">
        <f>IF($R$4527=0,0,R4525/$R$4527)</f>
        <v/>
      </c>
      <c r="T4525" s="8" t="n">
        <v>0.01104338526610027</v>
      </c>
      <c r="U4525" s="8" t="n">
        <v>0.01553373198000729</v>
      </c>
      <c r="V4525" s="6" t="inlineStr">
        <is>
          <t>not selected</t>
        </is>
      </c>
    </row>
    <row r="4526">
      <c r="A4526" s="6" t="inlineStr">
        <is>
          <t>DJ30</t>
        </is>
      </c>
      <c r="B4526" s="6" t="inlineStr">
        <is>
          <t>2025-10-17</t>
        </is>
      </c>
      <c r="C4526" s="6" t="inlineStr">
        <is>
          <t>DIA</t>
        </is>
      </c>
      <c r="D4526" s="6" t="inlineStr">
        <is>
          <t>WMT</t>
        </is>
      </c>
      <c r="E4526" s="6" t="inlineStr">
        <is>
          <t>WMT</t>
        </is>
      </c>
      <c r="F4526" s="6" t="inlineStr">
        <is>
          <t>-</t>
        </is>
      </c>
      <c r="G4526" s="7" t="n">
        <v>107.0862884521484</v>
      </c>
      <c r="H4526" s="6">
        <f>P4495</f>
        <v/>
      </c>
      <c r="I4526" s="9">
        <f>Q4495</f>
        <v/>
      </c>
      <c r="J4526" s="7">
        <f>I4526*G4526</f>
        <v/>
      </c>
      <c r="K4526" s="8">
        <f>IF($J$4527=0,0,J4526/$J$4527)</f>
        <v/>
      </c>
      <c r="L4526" s="6" t="inlineStr">
        <is>
          <t>WATCHLIST</t>
        </is>
      </c>
      <c r="M4526" s="8" t="n">
        <v>0</v>
      </c>
      <c r="N4526" s="7">
        <f>M4526*$J$4527-J4526</f>
        <v/>
      </c>
      <c r="O4526" s="9">
        <f>IF(G4526=0,0,N4526/G4526)</f>
        <v/>
      </c>
      <c r="P4526" s="6">
        <f>IF(M4526&gt;0,D4526,"")</f>
        <v/>
      </c>
      <c r="Q4526" s="9">
        <f>I4526+O4526</f>
        <v/>
      </c>
      <c r="R4526" s="7">
        <f>Q4526*G4526</f>
        <v/>
      </c>
      <c r="S4526" s="8">
        <f>IF($R$4527=0,0,R4526/$R$4527)</f>
        <v/>
      </c>
      <c r="T4526" s="8" t="n">
        <v>0.01104338526610027</v>
      </c>
      <c r="U4526" s="8" t="n">
        <v>0.01553373198000729</v>
      </c>
      <c r="V4526" s="6" t="inlineStr">
        <is>
          <t>not selected</t>
        </is>
      </c>
    </row>
    <row r="4527">
      <c r="A4527" s="10" t="inlineStr">
        <is>
          <t>DJ30</t>
        </is>
      </c>
      <c r="B4527" s="10" t="inlineStr">
        <is>
          <t>2025-10-17</t>
        </is>
      </c>
      <c r="C4527" s="10" t="inlineStr">
        <is>
          <t>DIA</t>
        </is>
      </c>
      <c r="D4527" s="10" t="inlineStr">
        <is>
          <t>Tot Portfolio</t>
        </is>
      </c>
      <c r="E4527" s="10" t="inlineStr"/>
      <c r="F4527" s="10" t="inlineStr"/>
      <c r="G4527" s="11" t="inlineStr"/>
      <c r="H4527" s="10" t="inlineStr"/>
      <c r="I4527" s="12" t="inlineStr"/>
      <c r="J4527" s="11">
        <f>SUM(J4497:J4526)</f>
        <v/>
      </c>
      <c r="K4527" s="13">
        <f>SUM(K4497:K4526)</f>
        <v/>
      </c>
      <c r="L4527" s="10" t="inlineStr">
        <is>
          <t>TOTAL</t>
        </is>
      </c>
      <c r="M4527" s="13">
        <f>SUM(M4497:M4526)</f>
        <v/>
      </c>
      <c r="N4527" s="11">
        <f>SUM(N4497:N4526)</f>
        <v/>
      </c>
      <c r="O4527" s="12">
        <f>SUM(O4497:O4526)</f>
        <v/>
      </c>
      <c r="P4527" s="10" t="inlineStr"/>
      <c r="Q4527" s="12" t="inlineStr"/>
      <c r="R4527" s="11">
        <f>SUM(R4497:R4526)</f>
        <v/>
      </c>
      <c r="S4527" s="13">
        <f>SUM(S4497:S4526)</f>
        <v/>
      </c>
      <c r="T4527" s="13" t="n">
        <v>0.01104338526610027</v>
      </c>
      <c r="U4527" s="13" t="n">
        <v>0.01553373198000729</v>
      </c>
      <c r="V4527" s="10" t="inlineStr"/>
    </row>
    <row r="4528">
      <c r="A4528" s="6" t="inlineStr">
        <is>
          <t>DJ30</t>
        </is>
      </c>
      <c r="B4528" s="6" t="inlineStr">
        <is>
          <t>2025-10-24</t>
        </is>
      </c>
      <c r="C4528" s="6" t="inlineStr">
        <is>
          <t>DIA</t>
        </is>
      </c>
      <c r="D4528" s="6" t="inlineStr">
        <is>
          <t>AAPL</t>
        </is>
      </c>
      <c r="E4528" s="6" t="inlineStr">
        <is>
          <t>AAPL</t>
        </is>
      </c>
      <c r="F4528" s="6" t="inlineStr">
        <is>
          <t>-</t>
        </is>
      </c>
      <c r="G4528" s="7" t="n">
        <v>262.0785522460937</v>
      </c>
      <c r="H4528" s="6">
        <f>P4497</f>
        <v/>
      </c>
      <c r="I4528" s="9">
        <f>Q4497</f>
        <v/>
      </c>
      <c r="J4528" s="7">
        <f>I4528*G4528</f>
        <v/>
      </c>
      <c r="K4528" s="8">
        <f>IF($J$4558=0,0,J4528/$J$4558)</f>
        <v/>
      </c>
      <c r="L4528" s="6" t="inlineStr">
        <is>
          <t>REJECTED</t>
        </is>
      </c>
      <c r="M4528" s="8" t="n">
        <v>0</v>
      </c>
      <c r="N4528" s="7">
        <f>M4528*$J$4558-J4528</f>
        <v/>
      </c>
      <c r="O4528" s="9">
        <f>IF(G4528=0,0,N4528/G4528)</f>
        <v/>
      </c>
      <c r="P4528" s="6">
        <f>IF(M4528&gt;0,D4528,"")</f>
        <v/>
      </c>
      <c r="Q4528" s="9">
        <f>I4528+O4528</f>
        <v/>
      </c>
      <c r="R4528" s="7">
        <f>Q4528*G4528</f>
        <v/>
      </c>
      <c r="S4528" s="8">
        <f>IF($R$4558=0,0,R4528/$R$4558)</f>
        <v/>
      </c>
      <c r="T4528" s="8" t="n">
        <v>0.03338138507086996</v>
      </c>
      <c r="U4528" s="8" t="n">
        <v>0.02258645080194976</v>
      </c>
      <c r="V4528" s="6" t="inlineStr">
        <is>
          <t>not selected</t>
        </is>
      </c>
    </row>
    <row r="4529">
      <c r="A4529" s="6" t="inlineStr">
        <is>
          <t>DJ30</t>
        </is>
      </c>
      <c r="B4529" s="6" t="inlineStr">
        <is>
          <t>2025-10-24</t>
        </is>
      </c>
      <c r="C4529" s="6" t="inlineStr">
        <is>
          <t>DIA</t>
        </is>
      </c>
      <c r="D4529" s="6" t="inlineStr">
        <is>
          <t>AMGN</t>
        </is>
      </c>
      <c r="E4529" s="6" t="inlineStr">
        <is>
          <t>AMGN</t>
        </is>
      </c>
      <c r="F4529" s="6" t="inlineStr">
        <is>
          <t>-</t>
        </is>
      </c>
      <c r="G4529" s="7" t="n">
        <v>285.5440063476562</v>
      </c>
      <c r="H4529" s="6">
        <f>P4498</f>
        <v/>
      </c>
      <c r="I4529" s="9">
        <f>Q4498</f>
        <v/>
      </c>
      <c r="J4529" s="7">
        <f>I4529*G4529</f>
        <v/>
      </c>
      <c r="K4529" s="8">
        <f>IF($J$4558=0,0,J4529/$J$4558)</f>
        <v/>
      </c>
      <c r="L4529" s="6" t="inlineStr">
        <is>
          <t>REJECTED</t>
        </is>
      </c>
      <c r="M4529" s="8" t="n">
        <v>0</v>
      </c>
      <c r="N4529" s="7">
        <f>M4529*$J$4558-J4529</f>
        <v/>
      </c>
      <c r="O4529" s="9">
        <f>IF(G4529=0,0,N4529/G4529)</f>
        <v/>
      </c>
      <c r="P4529" s="6">
        <f>IF(M4529&gt;0,D4529,"")</f>
        <v/>
      </c>
      <c r="Q4529" s="9">
        <f>I4529+O4529</f>
        <v/>
      </c>
      <c r="R4529" s="7">
        <f>Q4529*G4529</f>
        <v/>
      </c>
      <c r="S4529" s="8">
        <f>IF($R$4558=0,0,R4529/$R$4558)</f>
        <v/>
      </c>
      <c r="T4529" s="8" t="n">
        <v>0.03338138507086996</v>
      </c>
      <c r="U4529" s="8" t="n">
        <v>0.02258645080194976</v>
      </c>
      <c r="V4529" s="6" t="inlineStr">
        <is>
          <t>not selected</t>
        </is>
      </c>
    </row>
    <row r="4530">
      <c r="A4530" s="6" t="inlineStr">
        <is>
          <t>DJ30</t>
        </is>
      </c>
      <c r="B4530" s="6" t="inlineStr">
        <is>
          <t>2025-10-24</t>
        </is>
      </c>
      <c r="C4530" s="6" t="inlineStr">
        <is>
          <t>DIA</t>
        </is>
      </c>
      <c r="D4530" s="6" t="inlineStr">
        <is>
          <t>AMZN</t>
        </is>
      </c>
      <c r="E4530" s="6" t="inlineStr">
        <is>
          <t>AMZN</t>
        </is>
      </c>
      <c r="F4530" s="6" t="inlineStr">
        <is>
          <t>-</t>
        </is>
      </c>
      <c r="G4530" s="7" t="n">
        <v>224.2100067138672</v>
      </c>
      <c r="H4530" s="6">
        <f>P4499</f>
        <v/>
      </c>
      <c r="I4530" s="9">
        <f>Q4499</f>
        <v/>
      </c>
      <c r="J4530" s="7">
        <f>I4530*G4530</f>
        <v/>
      </c>
      <c r="K4530" s="8">
        <f>IF($J$4558=0,0,J4530/$J$4558)</f>
        <v/>
      </c>
      <c r="L4530" s="6" t="inlineStr">
        <is>
          <t>REJECTED</t>
        </is>
      </c>
      <c r="M4530" s="8" t="n">
        <v>0</v>
      </c>
      <c r="N4530" s="7">
        <f>M4530*$J$4558-J4530</f>
        <v/>
      </c>
      <c r="O4530" s="9">
        <f>IF(G4530=0,0,N4530/G4530)</f>
        <v/>
      </c>
      <c r="P4530" s="6">
        <f>IF(M4530&gt;0,D4530,"")</f>
        <v/>
      </c>
      <c r="Q4530" s="9">
        <f>I4530+O4530</f>
        <v/>
      </c>
      <c r="R4530" s="7">
        <f>Q4530*G4530</f>
        <v/>
      </c>
      <c r="S4530" s="8">
        <f>IF($R$4558=0,0,R4530/$R$4558)</f>
        <v/>
      </c>
      <c r="T4530" s="8" t="n">
        <v>0.03338138507086996</v>
      </c>
      <c r="U4530" s="8" t="n">
        <v>0.02258645080194976</v>
      </c>
      <c r="V4530" s="6" t="inlineStr">
        <is>
          <t>not selected</t>
        </is>
      </c>
    </row>
    <row r="4531">
      <c r="A4531" s="6" t="inlineStr">
        <is>
          <t>DJ30</t>
        </is>
      </c>
      <c r="B4531" s="6" t="inlineStr">
        <is>
          <t>2025-10-24</t>
        </is>
      </c>
      <c r="C4531" s="6" t="inlineStr">
        <is>
          <t>DIA</t>
        </is>
      </c>
      <c r="D4531" s="6" t="inlineStr">
        <is>
          <t>AXP</t>
        </is>
      </c>
      <c r="E4531" s="6" t="inlineStr">
        <is>
          <t>AXP</t>
        </is>
      </c>
      <c r="F4531" s="6" t="inlineStr">
        <is>
          <t>-</t>
        </is>
      </c>
      <c r="G4531" s="7" t="n">
        <v>355.6431274414062</v>
      </c>
      <c r="H4531" s="6">
        <f>P4500</f>
        <v/>
      </c>
      <c r="I4531" s="9">
        <f>Q4500</f>
        <v/>
      </c>
      <c r="J4531" s="7">
        <f>I4531*G4531</f>
        <v/>
      </c>
      <c r="K4531" s="8">
        <f>IF($J$4558=0,0,J4531/$J$4558)</f>
        <v/>
      </c>
      <c r="L4531" s="6" t="inlineStr">
        <is>
          <t>REJECTED</t>
        </is>
      </c>
      <c r="M4531" s="8" t="n">
        <v>0</v>
      </c>
      <c r="N4531" s="7">
        <f>M4531*$J$4558-J4531</f>
        <v/>
      </c>
      <c r="O4531" s="9">
        <f>IF(G4531=0,0,N4531/G4531)</f>
        <v/>
      </c>
      <c r="P4531" s="6">
        <f>IF(M4531&gt;0,D4531,"")</f>
        <v/>
      </c>
      <c r="Q4531" s="9">
        <f>I4531+O4531</f>
        <v/>
      </c>
      <c r="R4531" s="7">
        <f>Q4531*G4531</f>
        <v/>
      </c>
      <c r="S4531" s="8">
        <f>IF($R$4558=0,0,R4531/$R$4558)</f>
        <v/>
      </c>
      <c r="T4531" s="8" t="n">
        <v>0.03338138507086996</v>
      </c>
      <c r="U4531" s="8" t="n">
        <v>0.02258645080194976</v>
      </c>
      <c r="V4531" s="6" t="inlineStr">
        <is>
          <t>not selected</t>
        </is>
      </c>
    </row>
    <row r="4532">
      <c r="A4532" s="6" t="inlineStr">
        <is>
          <t>DJ30</t>
        </is>
      </c>
      <c r="B4532" s="6" t="inlineStr">
        <is>
          <t>2025-10-24</t>
        </is>
      </c>
      <c r="C4532" s="6" t="inlineStr">
        <is>
          <t>DIA</t>
        </is>
      </c>
      <c r="D4532" s="6" t="inlineStr">
        <is>
          <t>BA</t>
        </is>
      </c>
      <c r="E4532" s="6" t="inlineStr">
        <is>
          <t>BA</t>
        </is>
      </c>
      <c r="F4532" s="6" t="inlineStr">
        <is>
          <t>-</t>
        </is>
      </c>
      <c r="G4532" s="7" t="n">
        <v>221.3500061035156</v>
      </c>
      <c r="H4532" s="6">
        <f>P4501</f>
        <v/>
      </c>
      <c r="I4532" s="9">
        <f>Q4501</f>
        <v/>
      </c>
      <c r="J4532" s="7">
        <f>I4532*G4532</f>
        <v/>
      </c>
      <c r="K4532" s="8">
        <f>IF($J$4558=0,0,J4532/$J$4558)</f>
        <v/>
      </c>
      <c r="L4532" s="6" t="inlineStr">
        <is>
          <t>SELECTED</t>
        </is>
      </c>
      <c r="M4532" s="8" t="n">
        <v>0.2</v>
      </c>
      <c r="N4532" s="7">
        <f>M4532*$J$4558-J4532</f>
        <v/>
      </c>
      <c r="O4532" s="9">
        <f>IF(G4532=0,0,N4532/G4532)</f>
        <v/>
      </c>
      <c r="P4532" s="6">
        <f>IF(M4532&gt;0,D4532,"")</f>
        <v/>
      </c>
      <c r="Q4532" s="9">
        <f>I4532+O4532</f>
        <v/>
      </c>
      <c r="R4532" s="7">
        <f>Q4532*G4532</f>
        <v/>
      </c>
      <c r="S4532" s="8">
        <f>IF($R$4558=0,0,R4532/$R$4558)</f>
        <v/>
      </c>
      <c r="T4532" s="8" t="n">
        <v>0.03338138507086996</v>
      </c>
      <c r="U4532" s="8" t="n">
        <v>0.02258645080194976</v>
      </c>
      <c r="V4532" s="6" t="inlineStr">
        <is>
          <t>remained in weekly selection</t>
        </is>
      </c>
    </row>
    <row r="4533">
      <c r="A4533" s="6" t="inlineStr">
        <is>
          <t>DJ30</t>
        </is>
      </c>
      <c r="B4533" s="6" t="inlineStr">
        <is>
          <t>2025-10-24</t>
        </is>
      </c>
      <c r="C4533" s="6" t="inlineStr">
        <is>
          <t>DIA</t>
        </is>
      </c>
      <c r="D4533" s="6" t="inlineStr">
        <is>
          <t>CAT</t>
        </is>
      </c>
      <c r="E4533" s="6" t="inlineStr">
        <is>
          <t>CAT</t>
        </is>
      </c>
      <c r="F4533" s="6" t="inlineStr">
        <is>
          <t>-</t>
        </is>
      </c>
      <c r="G4533" s="7" t="n">
        <v>520.5188598632812</v>
      </c>
      <c r="H4533" s="6">
        <f>P4502</f>
        <v/>
      </c>
      <c r="I4533" s="9">
        <f>Q4502</f>
        <v/>
      </c>
      <c r="J4533" s="7">
        <f>I4533*G4533</f>
        <v/>
      </c>
      <c r="K4533" s="8">
        <f>IF($J$4558=0,0,J4533/$J$4558)</f>
        <v/>
      </c>
      <c r="L4533" s="6" t="inlineStr">
        <is>
          <t>WATCHLIST</t>
        </is>
      </c>
      <c r="M4533" s="8" t="n">
        <v>0</v>
      </c>
      <c r="N4533" s="7">
        <f>M4533*$J$4558-J4533</f>
        <v/>
      </c>
      <c r="O4533" s="9">
        <f>IF(G4533=0,0,N4533/G4533)</f>
        <v/>
      </c>
      <c r="P4533" s="6">
        <f>IF(M4533&gt;0,D4533,"")</f>
        <v/>
      </c>
      <c r="Q4533" s="9">
        <f>I4533+O4533</f>
        <v/>
      </c>
      <c r="R4533" s="7">
        <f>Q4533*G4533</f>
        <v/>
      </c>
      <c r="S4533" s="8">
        <f>IF($R$4558=0,0,R4533/$R$4558)</f>
        <v/>
      </c>
      <c r="T4533" s="8" t="n">
        <v>0.03338138507086996</v>
      </c>
      <c r="U4533" s="8" t="n">
        <v>0.02258645080194976</v>
      </c>
      <c r="V4533" s="6" t="inlineStr">
        <is>
          <t>not selected</t>
        </is>
      </c>
    </row>
    <row r="4534">
      <c r="A4534" s="6" t="inlineStr">
        <is>
          <t>DJ30</t>
        </is>
      </c>
      <c r="B4534" s="6" t="inlineStr">
        <is>
          <t>2025-10-24</t>
        </is>
      </c>
      <c r="C4534" s="6" t="inlineStr">
        <is>
          <t>DIA</t>
        </is>
      </c>
      <c r="D4534" s="6" t="inlineStr">
        <is>
          <t>CRM</t>
        </is>
      </c>
      <c r="E4534" s="6" t="inlineStr">
        <is>
          <t>CRM</t>
        </is>
      </c>
      <c r="F4534" s="6" t="inlineStr">
        <is>
          <t>-</t>
        </is>
      </c>
      <c r="G4534" s="7" t="n">
        <v>253.1313018798828</v>
      </c>
      <c r="H4534" s="6">
        <f>P4503</f>
        <v/>
      </c>
      <c r="I4534" s="9">
        <f>Q4503</f>
        <v/>
      </c>
      <c r="J4534" s="7">
        <f>I4534*G4534</f>
        <v/>
      </c>
      <c r="K4534" s="8">
        <f>IF($J$4558=0,0,J4534/$J$4558)</f>
        <v/>
      </c>
      <c r="L4534" s="6" t="inlineStr">
        <is>
          <t>REJECTED</t>
        </is>
      </c>
      <c r="M4534" s="8" t="n">
        <v>0</v>
      </c>
      <c r="N4534" s="7">
        <f>M4534*$J$4558-J4534</f>
        <v/>
      </c>
      <c r="O4534" s="9">
        <f>IF(G4534=0,0,N4534/G4534)</f>
        <v/>
      </c>
      <c r="P4534" s="6">
        <f>IF(M4534&gt;0,D4534,"")</f>
        <v/>
      </c>
      <c r="Q4534" s="9">
        <f>I4534+O4534</f>
        <v/>
      </c>
      <c r="R4534" s="7">
        <f>Q4534*G4534</f>
        <v/>
      </c>
      <c r="S4534" s="8">
        <f>IF($R$4558=0,0,R4534/$R$4558)</f>
        <v/>
      </c>
      <c r="T4534" s="8" t="n">
        <v>0.03338138507086996</v>
      </c>
      <c r="U4534" s="8" t="n">
        <v>0.02258645080194976</v>
      </c>
      <c r="V4534" s="6" t="inlineStr">
        <is>
          <t>not selected</t>
        </is>
      </c>
    </row>
    <row r="4535">
      <c r="A4535" s="6" t="inlineStr">
        <is>
          <t>DJ30</t>
        </is>
      </c>
      <c r="B4535" s="6" t="inlineStr">
        <is>
          <t>2025-10-24</t>
        </is>
      </c>
      <c r="C4535" s="6" t="inlineStr">
        <is>
          <t>DIA</t>
        </is>
      </c>
      <c r="D4535" s="6" t="inlineStr">
        <is>
          <t>CSCO</t>
        </is>
      </c>
      <c r="E4535" s="6" t="inlineStr">
        <is>
          <t>CSCO</t>
        </is>
      </c>
      <c r="F4535" s="6" t="inlineStr">
        <is>
          <t>-</t>
        </is>
      </c>
      <c r="G4535" s="7" t="n">
        <v>69.87543487548828</v>
      </c>
      <c r="H4535" s="6">
        <f>P4504</f>
        <v/>
      </c>
      <c r="I4535" s="9">
        <f>Q4504</f>
        <v/>
      </c>
      <c r="J4535" s="7">
        <f>I4535*G4535</f>
        <v/>
      </c>
      <c r="K4535" s="8">
        <f>IF($J$4558=0,0,J4535/$J$4558)</f>
        <v/>
      </c>
      <c r="L4535" s="6" t="inlineStr">
        <is>
          <t>WATCHLIST</t>
        </is>
      </c>
      <c r="M4535" s="8" t="n">
        <v>0</v>
      </c>
      <c r="N4535" s="7">
        <f>M4535*$J$4558-J4535</f>
        <v/>
      </c>
      <c r="O4535" s="9">
        <f>IF(G4535=0,0,N4535/G4535)</f>
        <v/>
      </c>
      <c r="P4535" s="6">
        <f>IF(M4535&gt;0,D4535,"")</f>
        <v/>
      </c>
      <c r="Q4535" s="9">
        <f>I4535+O4535</f>
        <v/>
      </c>
      <c r="R4535" s="7">
        <f>Q4535*G4535</f>
        <v/>
      </c>
      <c r="S4535" s="8">
        <f>IF($R$4558=0,0,R4535/$R$4558)</f>
        <v/>
      </c>
      <c r="T4535" s="8" t="n">
        <v>0.03338138507086996</v>
      </c>
      <c r="U4535" s="8" t="n">
        <v>0.02258645080194976</v>
      </c>
      <c r="V4535" s="6" t="inlineStr">
        <is>
          <t>removed from weekly selection</t>
        </is>
      </c>
    </row>
    <row r="4536">
      <c r="A4536" s="6" t="inlineStr">
        <is>
          <t>DJ30</t>
        </is>
      </c>
      <c r="B4536" s="6" t="inlineStr">
        <is>
          <t>2025-10-24</t>
        </is>
      </c>
      <c r="C4536" s="6" t="inlineStr">
        <is>
          <t>DIA</t>
        </is>
      </c>
      <c r="D4536" s="6" t="inlineStr">
        <is>
          <t>CVX</t>
        </is>
      </c>
      <c r="E4536" s="6" t="inlineStr">
        <is>
          <t>CVX</t>
        </is>
      </c>
      <c r="F4536" s="6" t="inlineStr">
        <is>
          <t>-</t>
        </is>
      </c>
      <c r="G4536" s="7" t="n">
        <v>150.9687042236328</v>
      </c>
      <c r="H4536" s="6">
        <f>P4505</f>
        <v/>
      </c>
      <c r="I4536" s="9">
        <f>Q4505</f>
        <v/>
      </c>
      <c r="J4536" s="7">
        <f>I4536*G4536</f>
        <v/>
      </c>
      <c r="K4536" s="8">
        <f>IF($J$4558=0,0,J4536/$J$4558)</f>
        <v/>
      </c>
      <c r="L4536" s="6" t="inlineStr">
        <is>
          <t>REJECTED</t>
        </is>
      </c>
      <c r="M4536" s="8" t="n">
        <v>0</v>
      </c>
      <c r="N4536" s="7">
        <f>M4536*$J$4558-J4536</f>
        <v/>
      </c>
      <c r="O4536" s="9">
        <f>IF(G4536=0,0,N4536/G4536)</f>
        <v/>
      </c>
      <c r="P4536" s="6">
        <f>IF(M4536&gt;0,D4536,"")</f>
        <v/>
      </c>
      <c r="Q4536" s="9">
        <f>I4536+O4536</f>
        <v/>
      </c>
      <c r="R4536" s="7">
        <f>Q4536*G4536</f>
        <v/>
      </c>
      <c r="S4536" s="8">
        <f>IF($R$4558=0,0,R4536/$R$4558)</f>
        <v/>
      </c>
      <c r="T4536" s="8" t="n">
        <v>0.03338138507086996</v>
      </c>
      <c r="U4536" s="8" t="n">
        <v>0.02258645080194976</v>
      </c>
      <c r="V4536" s="6" t="inlineStr">
        <is>
          <t>not selected</t>
        </is>
      </c>
    </row>
    <row r="4537">
      <c r="A4537" s="6" t="inlineStr">
        <is>
          <t>DJ30</t>
        </is>
      </c>
      <c r="B4537" s="6" t="inlineStr">
        <is>
          <t>2025-10-24</t>
        </is>
      </c>
      <c r="C4537" s="6" t="inlineStr">
        <is>
          <t>DIA</t>
        </is>
      </c>
      <c r="D4537" s="6" t="inlineStr">
        <is>
          <t>DIS</t>
        </is>
      </c>
      <c r="E4537" s="6" t="inlineStr">
        <is>
          <t>DIS</t>
        </is>
      </c>
      <c r="F4537" s="6" t="inlineStr">
        <is>
          <t>-</t>
        </is>
      </c>
      <c r="G4537" s="7" t="n">
        <v>110.9294662475586</v>
      </c>
      <c r="H4537" s="6">
        <f>P4506</f>
        <v/>
      </c>
      <c r="I4537" s="9">
        <f>Q4506</f>
        <v/>
      </c>
      <c r="J4537" s="7">
        <f>I4537*G4537</f>
        <v/>
      </c>
      <c r="K4537" s="8">
        <f>IF($J$4558=0,0,J4537/$J$4558)</f>
        <v/>
      </c>
      <c r="L4537" s="6" t="inlineStr">
        <is>
          <t>REJECTED</t>
        </is>
      </c>
      <c r="M4537" s="8" t="n">
        <v>0</v>
      </c>
      <c r="N4537" s="7">
        <f>M4537*$J$4558-J4537</f>
        <v/>
      </c>
      <c r="O4537" s="9">
        <f>IF(G4537=0,0,N4537/G4537)</f>
        <v/>
      </c>
      <c r="P4537" s="6">
        <f>IF(M4537&gt;0,D4537,"")</f>
        <v/>
      </c>
      <c r="Q4537" s="9">
        <f>I4537+O4537</f>
        <v/>
      </c>
      <c r="R4537" s="7">
        <f>Q4537*G4537</f>
        <v/>
      </c>
      <c r="S4537" s="8">
        <f>IF($R$4558=0,0,R4537/$R$4558)</f>
        <v/>
      </c>
      <c r="T4537" s="8" t="n">
        <v>0.03338138507086996</v>
      </c>
      <c r="U4537" s="8" t="n">
        <v>0.02258645080194976</v>
      </c>
      <c r="V4537" s="6" t="inlineStr">
        <is>
          <t>not selected</t>
        </is>
      </c>
    </row>
    <row r="4538">
      <c r="A4538" s="6" t="inlineStr">
        <is>
          <t>DJ30</t>
        </is>
      </c>
      <c r="B4538" s="6" t="inlineStr">
        <is>
          <t>2025-10-24</t>
        </is>
      </c>
      <c r="C4538" s="6" t="inlineStr">
        <is>
          <t>DIA</t>
        </is>
      </c>
      <c r="D4538" s="6" t="inlineStr">
        <is>
          <t>GS</t>
        </is>
      </c>
      <c r="E4538" s="6" t="inlineStr">
        <is>
          <t>GS</t>
        </is>
      </c>
      <c r="F4538" s="6" t="inlineStr">
        <is>
          <t>-</t>
        </is>
      </c>
      <c r="G4538" s="7" t="n">
        <v>772.52490234375</v>
      </c>
      <c r="H4538" s="6">
        <f>P4507</f>
        <v/>
      </c>
      <c r="I4538" s="9">
        <f>Q4507</f>
        <v/>
      </c>
      <c r="J4538" s="7">
        <f>I4538*G4538</f>
        <v/>
      </c>
      <c r="K4538" s="8">
        <f>IF($J$4558=0,0,J4538/$J$4558)</f>
        <v/>
      </c>
      <c r="L4538" s="6" t="inlineStr">
        <is>
          <t>WATCHLIST</t>
        </is>
      </c>
      <c r="M4538" s="8" t="n">
        <v>0</v>
      </c>
      <c r="N4538" s="7">
        <f>M4538*$J$4558-J4538</f>
        <v/>
      </c>
      <c r="O4538" s="9">
        <f>IF(G4538=0,0,N4538/G4538)</f>
        <v/>
      </c>
      <c r="P4538" s="6">
        <f>IF(M4538&gt;0,D4538,"")</f>
        <v/>
      </c>
      <c r="Q4538" s="9">
        <f>I4538+O4538</f>
        <v/>
      </c>
      <c r="R4538" s="7">
        <f>Q4538*G4538</f>
        <v/>
      </c>
      <c r="S4538" s="8">
        <f>IF($R$4558=0,0,R4538/$R$4558)</f>
        <v/>
      </c>
      <c r="T4538" s="8" t="n">
        <v>0.03338138507086996</v>
      </c>
      <c r="U4538" s="8" t="n">
        <v>0.02258645080194976</v>
      </c>
      <c r="V4538" s="6" t="inlineStr">
        <is>
          <t>not selected</t>
        </is>
      </c>
    </row>
    <row r="4539">
      <c r="A4539" s="6" t="inlineStr">
        <is>
          <t>DJ30</t>
        </is>
      </c>
      <c r="B4539" s="6" t="inlineStr">
        <is>
          <t>2025-10-24</t>
        </is>
      </c>
      <c r="C4539" s="6" t="inlineStr">
        <is>
          <t>DIA</t>
        </is>
      </c>
      <c r="D4539" s="6" t="inlineStr">
        <is>
          <t>HD</t>
        </is>
      </c>
      <c r="E4539" s="6" t="inlineStr">
        <is>
          <t>HD</t>
        </is>
      </c>
      <c r="F4539" s="6" t="inlineStr">
        <is>
          <t>-</t>
        </is>
      </c>
      <c r="G4539" s="7" t="n">
        <v>378.8023071289063</v>
      </c>
      <c r="H4539" s="6">
        <f>P4508</f>
        <v/>
      </c>
      <c r="I4539" s="9">
        <f>Q4508</f>
        <v/>
      </c>
      <c r="J4539" s="7">
        <f>I4539*G4539</f>
        <v/>
      </c>
      <c r="K4539" s="8">
        <f>IF($J$4558=0,0,J4539/$J$4558)</f>
        <v/>
      </c>
      <c r="L4539" s="6" t="inlineStr">
        <is>
          <t>REJECTED</t>
        </is>
      </c>
      <c r="M4539" s="8" t="n">
        <v>0</v>
      </c>
      <c r="N4539" s="7">
        <f>M4539*$J$4558-J4539</f>
        <v/>
      </c>
      <c r="O4539" s="9">
        <f>IF(G4539=0,0,N4539/G4539)</f>
        <v/>
      </c>
      <c r="P4539" s="6">
        <f>IF(M4539&gt;0,D4539,"")</f>
        <v/>
      </c>
      <c r="Q4539" s="9">
        <f>I4539+O4539</f>
        <v/>
      </c>
      <c r="R4539" s="7">
        <f>Q4539*G4539</f>
        <v/>
      </c>
      <c r="S4539" s="8">
        <f>IF($R$4558=0,0,R4539/$R$4558)</f>
        <v/>
      </c>
      <c r="T4539" s="8" t="n">
        <v>0.03338138507086996</v>
      </c>
      <c r="U4539" s="8" t="n">
        <v>0.02258645080194976</v>
      </c>
      <c r="V4539" s="6" t="inlineStr">
        <is>
          <t>not selected</t>
        </is>
      </c>
    </row>
    <row r="4540">
      <c r="A4540" s="6" t="inlineStr">
        <is>
          <t>DJ30</t>
        </is>
      </c>
      <c r="B4540" s="6" t="inlineStr">
        <is>
          <t>2025-10-24</t>
        </is>
      </c>
      <c r="C4540" s="6" t="inlineStr">
        <is>
          <t>DIA</t>
        </is>
      </c>
      <c r="D4540" s="6" t="inlineStr">
        <is>
          <t>HON</t>
        </is>
      </c>
      <c r="E4540" s="6" t="inlineStr">
        <is>
          <t>HON</t>
        </is>
      </c>
      <c r="F4540" s="6" t="inlineStr">
        <is>
          <t>-</t>
        </is>
      </c>
      <c r="G4540" s="7" t="n">
        <v>200.3988494873047</v>
      </c>
      <c r="H4540" s="6">
        <f>P4509</f>
        <v/>
      </c>
      <c r="I4540" s="9">
        <f>Q4509</f>
        <v/>
      </c>
      <c r="J4540" s="7">
        <f>I4540*G4540</f>
        <v/>
      </c>
      <c r="K4540" s="8">
        <f>IF($J$4558=0,0,J4540/$J$4558)</f>
        <v/>
      </c>
      <c r="L4540" s="6" t="inlineStr">
        <is>
          <t>REJECTED</t>
        </is>
      </c>
      <c r="M4540" s="8" t="n">
        <v>0</v>
      </c>
      <c r="N4540" s="7">
        <f>M4540*$J$4558-J4540</f>
        <v/>
      </c>
      <c r="O4540" s="9">
        <f>IF(G4540=0,0,N4540/G4540)</f>
        <v/>
      </c>
      <c r="P4540" s="6">
        <f>IF(M4540&gt;0,D4540,"")</f>
        <v/>
      </c>
      <c r="Q4540" s="9">
        <f>I4540+O4540</f>
        <v/>
      </c>
      <c r="R4540" s="7">
        <f>Q4540*G4540</f>
        <v/>
      </c>
      <c r="S4540" s="8">
        <f>IF($R$4558=0,0,R4540/$R$4558)</f>
        <v/>
      </c>
      <c r="T4540" s="8" t="n">
        <v>0.03338138507086996</v>
      </c>
      <c r="U4540" s="8" t="n">
        <v>0.02258645080194976</v>
      </c>
      <c r="V4540" s="6" t="inlineStr">
        <is>
          <t>not selected</t>
        </is>
      </c>
    </row>
    <row r="4541">
      <c r="A4541" s="6" t="inlineStr">
        <is>
          <t>DJ30</t>
        </is>
      </c>
      <c r="B4541" s="6" t="inlineStr">
        <is>
          <t>2025-10-24</t>
        </is>
      </c>
      <c r="C4541" s="6" t="inlineStr">
        <is>
          <t>DIA</t>
        </is>
      </c>
      <c r="D4541" s="6" t="inlineStr">
        <is>
          <t>IBM</t>
        </is>
      </c>
      <c r="E4541" s="6" t="inlineStr">
        <is>
          <t>IBM</t>
        </is>
      </c>
      <c r="F4541" s="6" t="inlineStr">
        <is>
          <t>-</t>
        </is>
      </c>
      <c r="G4541" s="7" t="n">
        <v>301.8192138671875</v>
      </c>
      <c r="H4541" s="6">
        <f>P4510</f>
        <v/>
      </c>
      <c r="I4541" s="9">
        <f>Q4510</f>
        <v/>
      </c>
      <c r="J4541" s="7">
        <f>I4541*G4541</f>
        <v/>
      </c>
      <c r="K4541" s="8">
        <f>IF($J$4558=0,0,J4541/$J$4558)</f>
        <v/>
      </c>
      <c r="L4541" s="6" t="inlineStr">
        <is>
          <t>SELECTED</t>
        </is>
      </c>
      <c r="M4541" s="8" t="n">
        <v>0.2</v>
      </c>
      <c r="N4541" s="7">
        <f>M4541*$J$4558-J4541</f>
        <v/>
      </c>
      <c r="O4541" s="9">
        <f>IF(G4541=0,0,N4541/G4541)</f>
        <v/>
      </c>
      <c r="P4541" s="6">
        <f>IF(M4541&gt;0,D4541,"")</f>
        <v/>
      </c>
      <c r="Q4541" s="9">
        <f>I4541+O4541</f>
        <v/>
      </c>
      <c r="R4541" s="7">
        <f>Q4541*G4541</f>
        <v/>
      </c>
      <c r="S4541" s="8">
        <f>IF($R$4558=0,0,R4541/$R$4558)</f>
        <v/>
      </c>
      <c r="T4541" s="8" t="n">
        <v>0.03338138507086996</v>
      </c>
      <c r="U4541" s="8" t="n">
        <v>0.02258645080194976</v>
      </c>
      <c r="V4541" s="6" t="inlineStr">
        <is>
          <t>remained in weekly selection</t>
        </is>
      </c>
    </row>
    <row r="4542">
      <c r="A4542" s="6" t="inlineStr">
        <is>
          <t>DJ30</t>
        </is>
      </c>
      <c r="B4542" s="6" t="inlineStr">
        <is>
          <t>2025-10-24</t>
        </is>
      </c>
      <c r="C4542" s="6" t="inlineStr">
        <is>
          <t>DIA</t>
        </is>
      </c>
      <c r="D4542" s="6" t="inlineStr">
        <is>
          <t>JNJ</t>
        </is>
      </c>
      <c r="E4542" s="6" t="inlineStr">
        <is>
          <t>JNJ</t>
        </is>
      </c>
      <c r="F4542" s="6" t="inlineStr">
        <is>
          <t>-</t>
        </is>
      </c>
      <c r="G4542" s="7" t="n">
        <v>187.1221008300781</v>
      </c>
      <c r="H4542" s="6">
        <f>P4511</f>
        <v/>
      </c>
      <c r="I4542" s="9">
        <f>Q4511</f>
        <v/>
      </c>
      <c r="J4542" s="7">
        <f>I4542*G4542</f>
        <v/>
      </c>
      <c r="K4542" s="8">
        <f>IF($J$4558=0,0,J4542/$J$4558)</f>
        <v/>
      </c>
      <c r="L4542" s="6" t="inlineStr">
        <is>
          <t>SELECTED</t>
        </is>
      </c>
      <c r="M4542" s="8" t="n">
        <v>0.2</v>
      </c>
      <c r="N4542" s="7">
        <f>M4542*$J$4558-J4542</f>
        <v/>
      </c>
      <c r="O4542" s="9">
        <f>IF(G4542=0,0,N4542/G4542)</f>
        <v/>
      </c>
      <c r="P4542" s="6">
        <f>IF(M4542&gt;0,D4542,"")</f>
        <v/>
      </c>
      <c r="Q4542" s="9">
        <f>I4542+O4542</f>
        <v/>
      </c>
      <c r="R4542" s="7">
        <f>Q4542*G4542</f>
        <v/>
      </c>
      <c r="S4542" s="8">
        <f>IF($R$4558=0,0,R4542/$R$4558)</f>
        <v/>
      </c>
      <c r="T4542" s="8" t="n">
        <v>0.03338138507086996</v>
      </c>
      <c r="U4542" s="8" t="n">
        <v>0.02258645080194976</v>
      </c>
      <c r="V4542" s="6" t="inlineStr">
        <is>
          <t>entered weekly selection</t>
        </is>
      </c>
    </row>
    <row r="4543">
      <c r="A4543" s="6" t="inlineStr">
        <is>
          <t>DJ30</t>
        </is>
      </c>
      <c r="B4543" s="6" t="inlineStr">
        <is>
          <t>2025-10-24</t>
        </is>
      </c>
      <c r="C4543" s="6" t="inlineStr">
        <is>
          <t>DIA</t>
        </is>
      </c>
      <c r="D4543" s="6" t="inlineStr">
        <is>
          <t>JPM</t>
        </is>
      </c>
      <c r="E4543" s="6" t="inlineStr">
        <is>
          <t>JPM</t>
        </is>
      </c>
      <c r="F4543" s="6" t="inlineStr">
        <is>
          <t>-</t>
        </is>
      </c>
      <c r="G4543" s="7" t="n">
        <v>297.5679931640625</v>
      </c>
      <c r="H4543" s="6">
        <f>P4512</f>
        <v/>
      </c>
      <c r="I4543" s="9">
        <f>Q4512</f>
        <v/>
      </c>
      <c r="J4543" s="7">
        <f>I4543*G4543</f>
        <v/>
      </c>
      <c r="K4543" s="8">
        <f>IF($J$4558=0,0,J4543/$J$4558)</f>
        <v/>
      </c>
      <c r="L4543" s="6" t="inlineStr">
        <is>
          <t>SELECTED</t>
        </is>
      </c>
      <c r="M4543" s="8" t="n">
        <v>0.2</v>
      </c>
      <c r="N4543" s="7">
        <f>M4543*$J$4558-J4543</f>
        <v/>
      </c>
      <c r="O4543" s="9">
        <f>IF(G4543=0,0,N4543/G4543)</f>
        <v/>
      </c>
      <c r="P4543" s="6">
        <f>IF(M4543&gt;0,D4543,"")</f>
        <v/>
      </c>
      <c r="Q4543" s="9">
        <f>I4543+O4543</f>
        <v/>
      </c>
      <c r="R4543" s="7">
        <f>Q4543*G4543</f>
        <v/>
      </c>
      <c r="S4543" s="8">
        <f>IF($R$4558=0,0,R4543/$R$4558)</f>
        <v/>
      </c>
      <c r="T4543" s="8" t="n">
        <v>0.03338138507086996</v>
      </c>
      <c r="U4543" s="8" t="n">
        <v>0.02258645080194976</v>
      </c>
      <c r="V4543" s="6" t="inlineStr">
        <is>
          <t>remained in weekly selection</t>
        </is>
      </c>
    </row>
    <row r="4544">
      <c r="A4544" s="6" t="inlineStr">
        <is>
          <t>DJ30</t>
        </is>
      </c>
      <c r="B4544" s="6" t="inlineStr">
        <is>
          <t>2025-10-24</t>
        </is>
      </c>
      <c r="C4544" s="6" t="inlineStr">
        <is>
          <t>DIA</t>
        </is>
      </c>
      <c r="D4544" s="6" t="inlineStr">
        <is>
          <t>KO</t>
        </is>
      </c>
      <c r="E4544" s="6" t="inlineStr">
        <is>
          <t>KO</t>
        </is>
      </c>
      <c r="F4544" s="6" t="inlineStr">
        <is>
          <t>-</t>
        </is>
      </c>
      <c r="G4544" s="7" t="n">
        <v>68.31002044677734</v>
      </c>
      <c r="H4544" s="6">
        <f>P4513</f>
        <v/>
      </c>
      <c r="I4544" s="9">
        <f>Q4513</f>
        <v/>
      </c>
      <c r="J4544" s="7">
        <f>I4544*G4544</f>
        <v/>
      </c>
      <c r="K4544" s="8">
        <f>IF($J$4558=0,0,J4544/$J$4558)</f>
        <v/>
      </c>
      <c r="L4544" s="6" t="inlineStr">
        <is>
          <t>WATCHLIST</t>
        </is>
      </c>
      <c r="M4544" s="8" t="n">
        <v>0</v>
      </c>
      <c r="N4544" s="7">
        <f>M4544*$J$4558-J4544</f>
        <v/>
      </c>
      <c r="O4544" s="9">
        <f>IF(G4544=0,0,N4544/G4544)</f>
        <v/>
      </c>
      <c r="P4544" s="6">
        <f>IF(M4544&gt;0,D4544,"")</f>
        <v/>
      </c>
      <c r="Q4544" s="9">
        <f>I4544+O4544</f>
        <v/>
      </c>
      <c r="R4544" s="7">
        <f>Q4544*G4544</f>
        <v/>
      </c>
      <c r="S4544" s="8">
        <f>IF($R$4558=0,0,R4544/$R$4558)</f>
        <v/>
      </c>
      <c r="T4544" s="8" t="n">
        <v>0.03338138507086996</v>
      </c>
      <c r="U4544" s="8" t="n">
        <v>0.02258645080194976</v>
      </c>
      <c r="V4544" s="6" t="inlineStr">
        <is>
          <t>not selected</t>
        </is>
      </c>
    </row>
    <row r="4545">
      <c r="A4545" s="6" t="inlineStr">
        <is>
          <t>DJ30</t>
        </is>
      </c>
      <c r="B4545" s="6" t="inlineStr">
        <is>
          <t>2025-10-24</t>
        </is>
      </c>
      <c r="C4545" s="6" t="inlineStr">
        <is>
          <t>DIA</t>
        </is>
      </c>
      <c r="D4545" s="6" t="inlineStr">
        <is>
          <t>MCD</t>
        </is>
      </c>
      <c r="E4545" s="6" t="inlineStr">
        <is>
          <t>MCD</t>
        </is>
      </c>
      <c r="F4545" s="6" t="inlineStr">
        <is>
          <t>-</t>
        </is>
      </c>
      <c r="G4545" s="7" t="n">
        <v>300.2410888671875</v>
      </c>
      <c r="H4545" s="6">
        <f>P4514</f>
        <v/>
      </c>
      <c r="I4545" s="9">
        <f>Q4514</f>
        <v/>
      </c>
      <c r="J4545" s="7">
        <f>I4545*G4545</f>
        <v/>
      </c>
      <c r="K4545" s="8">
        <f>IF($J$4558=0,0,J4545/$J$4558)</f>
        <v/>
      </c>
      <c r="L4545" s="6" t="inlineStr">
        <is>
          <t>WATCHLIST</t>
        </is>
      </c>
      <c r="M4545" s="8" t="n">
        <v>0</v>
      </c>
      <c r="N4545" s="7">
        <f>M4545*$J$4558-J4545</f>
        <v/>
      </c>
      <c r="O4545" s="9">
        <f>IF(G4545=0,0,N4545/G4545)</f>
        <v/>
      </c>
      <c r="P4545" s="6">
        <f>IF(M4545&gt;0,D4545,"")</f>
        <v/>
      </c>
      <c r="Q4545" s="9">
        <f>I4545+O4545</f>
        <v/>
      </c>
      <c r="R4545" s="7">
        <f>Q4545*G4545</f>
        <v/>
      </c>
      <c r="S4545" s="8">
        <f>IF($R$4558=0,0,R4545/$R$4558)</f>
        <v/>
      </c>
      <c r="T4545" s="8" t="n">
        <v>0.03338138507086996</v>
      </c>
      <c r="U4545" s="8" t="n">
        <v>0.02258645080194976</v>
      </c>
      <c r="V4545" s="6" t="inlineStr">
        <is>
          <t>not selected</t>
        </is>
      </c>
    </row>
    <row r="4546">
      <c r="A4546" s="6" t="inlineStr">
        <is>
          <t>DJ30</t>
        </is>
      </c>
      <c r="B4546" s="6" t="inlineStr">
        <is>
          <t>2025-10-24</t>
        </is>
      </c>
      <c r="C4546" s="6" t="inlineStr">
        <is>
          <t>DIA</t>
        </is>
      </c>
      <c r="D4546" s="6" t="inlineStr">
        <is>
          <t>MMM</t>
        </is>
      </c>
      <c r="E4546" s="6" t="inlineStr">
        <is>
          <t>MMM</t>
        </is>
      </c>
      <c r="F4546" s="6" t="inlineStr">
        <is>
          <t>-</t>
        </is>
      </c>
      <c r="G4546" s="7" t="n">
        <v>166.1701965332031</v>
      </c>
      <c r="H4546" s="6">
        <f>P4515</f>
        <v/>
      </c>
      <c r="I4546" s="9">
        <f>Q4515</f>
        <v/>
      </c>
      <c r="J4546" s="7">
        <f>I4546*G4546</f>
        <v/>
      </c>
      <c r="K4546" s="8">
        <f>IF($J$4558=0,0,J4546/$J$4558)</f>
        <v/>
      </c>
      <c r="L4546" s="6" t="inlineStr">
        <is>
          <t>WATCHLIST</t>
        </is>
      </c>
      <c r="M4546" s="8" t="n">
        <v>0</v>
      </c>
      <c r="N4546" s="7">
        <f>M4546*$J$4558-J4546</f>
        <v/>
      </c>
      <c r="O4546" s="9">
        <f>IF(G4546=0,0,N4546/G4546)</f>
        <v/>
      </c>
      <c r="P4546" s="6">
        <f>IF(M4546&gt;0,D4546,"")</f>
        <v/>
      </c>
      <c r="Q4546" s="9">
        <f>I4546+O4546</f>
        <v/>
      </c>
      <c r="R4546" s="7">
        <f>Q4546*G4546</f>
        <v/>
      </c>
      <c r="S4546" s="8">
        <f>IF($R$4558=0,0,R4546/$R$4558)</f>
        <v/>
      </c>
      <c r="T4546" s="8" t="n">
        <v>0.03338138507086996</v>
      </c>
      <c r="U4546" s="8" t="n">
        <v>0.02258645080194976</v>
      </c>
      <c r="V4546" s="6" t="inlineStr">
        <is>
          <t>not selected</t>
        </is>
      </c>
    </row>
    <row r="4547">
      <c r="A4547" s="6" t="inlineStr">
        <is>
          <t>DJ30</t>
        </is>
      </c>
      <c r="B4547" s="6" t="inlineStr">
        <is>
          <t>2025-10-24</t>
        </is>
      </c>
      <c r="C4547" s="6" t="inlineStr">
        <is>
          <t>DIA</t>
        </is>
      </c>
      <c r="D4547" s="6" t="inlineStr">
        <is>
          <t>MRK</t>
        </is>
      </c>
      <c r="E4547" s="6" t="inlineStr">
        <is>
          <t>MRK</t>
        </is>
      </c>
      <c r="F4547" s="6" t="inlineStr">
        <is>
          <t>-</t>
        </is>
      </c>
      <c r="G4547" s="7" t="n">
        <v>85.49594116210938</v>
      </c>
      <c r="H4547" s="6">
        <f>P4516</f>
        <v/>
      </c>
      <c r="I4547" s="9">
        <f>Q4516</f>
        <v/>
      </c>
      <c r="J4547" s="7">
        <f>I4547*G4547</f>
        <v/>
      </c>
      <c r="K4547" s="8">
        <f>IF($J$4558=0,0,J4547/$J$4558)</f>
        <v/>
      </c>
      <c r="L4547" s="6" t="inlineStr">
        <is>
          <t>REJECTED</t>
        </is>
      </c>
      <c r="M4547" s="8" t="n">
        <v>0</v>
      </c>
      <c r="N4547" s="7">
        <f>M4547*$J$4558-J4547</f>
        <v/>
      </c>
      <c r="O4547" s="9">
        <f>IF(G4547=0,0,N4547/G4547)</f>
        <v/>
      </c>
      <c r="P4547" s="6">
        <f>IF(M4547&gt;0,D4547,"")</f>
        <v/>
      </c>
      <c r="Q4547" s="9">
        <f>I4547+O4547</f>
        <v/>
      </c>
      <c r="R4547" s="7">
        <f>Q4547*G4547</f>
        <v/>
      </c>
      <c r="S4547" s="8">
        <f>IF($R$4558=0,0,R4547/$R$4558)</f>
        <v/>
      </c>
      <c r="T4547" s="8" t="n">
        <v>0.03338138507086996</v>
      </c>
      <c r="U4547" s="8" t="n">
        <v>0.02258645080194976</v>
      </c>
      <c r="V4547" s="6" t="inlineStr">
        <is>
          <t>not selected</t>
        </is>
      </c>
    </row>
    <row r="4548">
      <c r="A4548" s="6" t="inlineStr">
        <is>
          <t>DJ30</t>
        </is>
      </c>
      <c r="B4548" s="6" t="inlineStr">
        <is>
          <t>2025-10-24</t>
        </is>
      </c>
      <c r="C4548" s="6" t="inlineStr">
        <is>
          <t>DIA</t>
        </is>
      </c>
      <c r="D4548" s="6" t="inlineStr">
        <is>
          <t>MSFT</t>
        </is>
      </c>
      <c r="E4548" s="6" t="inlineStr">
        <is>
          <t>MSFT</t>
        </is>
      </c>
      <c r="F4548" s="6" t="inlineStr">
        <is>
          <t>-</t>
        </is>
      </c>
      <c r="G4548" s="7" t="n">
        <v>520.314697265625</v>
      </c>
      <c r="H4548" s="6">
        <f>P4517</f>
        <v/>
      </c>
      <c r="I4548" s="9">
        <f>Q4517</f>
        <v/>
      </c>
      <c r="J4548" s="7">
        <f>I4548*G4548</f>
        <v/>
      </c>
      <c r="K4548" s="8">
        <f>IF($J$4558=0,0,J4548/$J$4558)</f>
        <v/>
      </c>
      <c r="L4548" s="6" t="inlineStr">
        <is>
          <t>SELECTED</t>
        </is>
      </c>
      <c r="M4548" s="8" t="n">
        <v>0.2</v>
      </c>
      <c r="N4548" s="7">
        <f>M4548*$J$4558-J4548</f>
        <v/>
      </c>
      <c r="O4548" s="9">
        <f>IF(G4548=0,0,N4548/G4548)</f>
        <v/>
      </c>
      <c r="P4548" s="6">
        <f>IF(M4548&gt;0,D4548,"")</f>
        <v/>
      </c>
      <c r="Q4548" s="9">
        <f>I4548+O4548</f>
        <v/>
      </c>
      <c r="R4548" s="7">
        <f>Q4548*G4548</f>
        <v/>
      </c>
      <c r="S4548" s="8">
        <f>IF($R$4558=0,0,R4548/$R$4558)</f>
        <v/>
      </c>
      <c r="T4548" s="8" t="n">
        <v>0.03338138507086996</v>
      </c>
      <c r="U4548" s="8" t="n">
        <v>0.02258645080194976</v>
      </c>
      <c r="V4548" s="6" t="inlineStr">
        <is>
          <t>remained in weekly selection</t>
        </is>
      </c>
    </row>
    <row r="4549">
      <c r="A4549" s="6" t="inlineStr">
        <is>
          <t>DJ30</t>
        </is>
      </c>
      <c r="B4549" s="6" t="inlineStr">
        <is>
          <t>2025-10-24</t>
        </is>
      </c>
      <c r="C4549" s="6" t="inlineStr">
        <is>
          <t>DIA</t>
        </is>
      </c>
      <c r="D4549" s="6" t="inlineStr">
        <is>
          <t>NKE</t>
        </is>
      </c>
      <c r="E4549" s="6" t="inlineStr">
        <is>
          <t>NKE</t>
        </is>
      </c>
      <c r="F4549" s="6" t="inlineStr">
        <is>
          <t>-</t>
        </is>
      </c>
      <c r="G4549" s="7" t="n">
        <v>67.61376953125</v>
      </c>
      <c r="H4549" s="6">
        <f>P4518</f>
        <v/>
      </c>
      <c r="I4549" s="9">
        <f>Q4518</f>
        <v/>
      </c>
      <c r="J4549" s="7">
        <f>I4549*G4549</f>
        <v/>
      </c>
      <c r="K4549" s="8">
        <f>IF($J$4558=0,0,J4549/$J$4558)</f>
        <v/>
      </c>
      <c r="L4549" s="6" t="inlineStr">
        <is>
          <t>REJECTED</t>
        </is>
      </c>
      <c r="M4549" s="8" t="n">
        <v>0</v>
      </c>
      <c r="N4549" s="7">
        <f>M4549*$J$4558-J4549</f>
        <v/>
      </c>
      <c r="O4549" s="9">
        <f>IF(G4549=0,0,N4549/G4549)</f>
        <v/>
      </c>
      <c r="P4549" s="6">
        <f>IF(M4549&gt;0,D4549,"")</f>
        <v/>
      </c>
      <c r="Q4549" s="9">
        <f>I4549+O4549</f>
        <v/>
      </c>
      <c r="R4549" s="7">
        <f>Q4549*G4549</f>
        <v/>
      </c>
      <c r="S4549" s="8">
        <f>IF($R$4558=0,0,R4549/$R$4558)</f>
        <v/>
      </c>
      <c r="T4549" s="8" t="n">
        <v>0.03338138507086996</v>
      </c>
      <c r="U4549" s="8" t="n">
        <v>0.02258645080194976</v>
      </c>
      <c r="V4549" s="6" t="inlineStr">
        <is>
          <t>not selected</t>
        </is>
      </c>
    </row>
    <row r="4550">
      <c r="A4550" s="6" t="inlineStr">
        <is>
          <t>DJ30</t>
        </is>
      </c>
      <c r="B4550" s="6" t="inlineStr">
        <is>
          <t>2025-10-24</t>
        </is>
      </c>
      <c r="C4550" s="6" t="inlineStr">
        <is>
          <t>DIA</t>
        </is>
      </c>
      <c r="D4550" s="6" t="inlineStr">
        <is>
          <t>NVDA</t>
        </is>
      </c>
      <c r="E4550" s="6" t="inlineStr">
        <is>
          <t>NVDA</t>
        </is>
      </c>
      <c r="F4550" s="6" t="inlineStr">
        <is>
          <t>-</t>
        </is>
      </c>
      <c r="G4550" s="7" t="n">
        <v>186.0227355957031</v>
      </c>
      <c r="H4550" s="6">
        <f>P4519</f>
        <v/>
      </c>
      <c r="I4550" s="9">
        <f>Q4519</f>
        <v/>
      </c>
      <c r="J4550" s="7">
        <f>I4550*G4550</f>
        <v/>
      </c>
      <c r="K4550" s="8">
        <f>IF($J$4558=0,0,J4550/$J$4558)</f>
        <v/>
      </c>
      <c r="L4550" s="6" t="inlineStr">
        <is>
          <t>WATCHLIST</t>
        </is>
      </c>
      <c r="M4550" s="8" t="n">
        <v>0</v>
      </c>
      <c r="N4550" s="7">
        <f>M4550*$J$4558-J4550</f>
        <v/>
      </c>
      <c r="O4550" s="9">
        <f>IF(G4550=0,0,N4550/G4550)</f>
        <v/>
      </c>
      <c r="P4550" s="6">
        <f>IF(M4550&gt;0,D4550,"")</f>
        <v/>
      </c>
      <c r="Q4550" s="9">
        <f>I4550+O4550</f>
        <v/>
      </c>
      <c r="R4550" s="7">
        <f>Q4550*G4550</f>
        <v/>
      </c>
      <c r="S4550" s="8">
        <f>IF($R$4558=0,0,R4550/$R$4558)</f>
        <v/>
      </c>
      <c r="T4550" s="8" t="n">
        <v>0.03338138507086996</v>
      </c>
      <c r="U4550" s="8" t="n">
        <v>0.02258645080194976</v>
      </c>
      <c r="V4550" s="6" t="inlineStr">
        <is>
          <t>not selected</t>
        </is>
      </c>
    </row>
    <row r="4551">
      <c r="A4551" s="6" t="inlineStr">
        <is>
          <t>DJ30</t>
        </is>
      </c>
      <c r="B4551" s="6" t="inlineStr">
        <is>
          <t>2025-10-24</t>
        </is>
      </c>
      <c r="C4551" s="6" t="inlineStr">
        <is>
          <t>DIA</t>
        </is>
      </c>
      <c r="D4551" s="6" t="inlineStr">
        <is>
          <t>PG</t>
        </is>
      </c>
      <c r="E4551" s="6" t="inlineStr">
        <is>
          <t>PG</t>
        </is>
      </c>
      <c r="F4551" s="6" t="inlineStr">
        <is>
          <t>-</t>
        </is>
      </c>
      <c r="G4551" s="7" t="n">
        <v>150.2833099365234</v>
      </c>
      <c r="H4551" s="6">
        <f>P4520</f>
        <v/>
      </c>
      <c r="I4551" s="9">
        <f>Q4520</f>
        <v/>
      </c>
      <c r="J4551" s="7">
        <f>I4551*G4551</f>
        <v/>
      </c>
      <c r="K4551" s="8">
        <f>IF($J$4558=0,0,J4551/$J$4558)</f>
        <v/>
      </c>
      <c r="L4551" s="6" t="inlineStr">
        <is>
          <t>REJECTED</t>
        </is>
      </c>
      <c r="M4551" s="8" t="n">
        <v>0</v>
      </c>
      <c r="N4551" s="7">
        <f>M4551*$J$4558-J4551</f>
        <v/>
      </c>
      <c r="O4551" s="9">
        <f>IF(G4551=0,0,N4551/G4551)</f>
        <v/>
      </c>
      <c r="P4551" s="6">
        <f>IF(M4551&gt;0,D4551,"")</f>
        <v/>
      </c>
      <c r="Q4551" s="9">
        <f>I4551+O4551</f>
        <v/>
      </c>
      <c r="R4551" s="7">
        <f>Q4551*G4551</f>
        <v/>
      </c>
      <c r="S4551" s="8">
        <f>IF($R$4558=0,0,R4551/$R$4558)</f>
        <v/>
      </c>
      <c r="T4551" s="8" t="n">
        <v>0.03338138507086996</v>
      </c>
      <c r="U4551" s="8" t="n">
        <v>0.02258645080194976</v>
      </c>
      <c r="V4551" s="6" t="inlineStr">
        <is>
          <t>not selected</t>
        </is>
      </c>
    </row>
    <row r="4552">
      <c r="A4552" s="6" t="inlineStr">
        <is>
          <t>DJ30</t>
        </is>
      </c>
      <c r="B4552" s="6" t="inlineStr">
        <is>
          <t>2025-10-24</t>
        </is>
      </c>
      <c r="C4552" s="6" t="inlineStr">
        <is>
          <t>DIA</t>
        </is>
      </c>
      <c r="D4552" s="6" t="inlineStr">
        <is>
          <t>SHW</t>
        </is>
      </c>
      <c r="E4552" s="6" t="inlineStr">
        <is>
          <t>SHW</t>
        </is>
      </c>
      <c r="F4552" s="6" t="inlineStr">
        <is>
          <t>-</t>
        </is>
      </c>
      <c r="G4552" s="7" t="n">
        <v>331.626220703125</v>
      </c>
      <c r="H4552" s="6">
        <f>P4521</f>
        <v/>
      </c>
      <c r="I4552" s="9">
        <f>Q4521</f>
        <v/>
      </c>
      <c r="J4552" s="7">
        <f>I4552*G4552</f>
        <v/>
      </c>
      <c r="K4552" s="8">
        <f>IF($J$4558=0,0,J4552/$J$4558)</f>
        <v/>
      </c>
      <c r="L4552" s="6" t="inlineStr">
        <is>
          <t>REJECTED</t>
        </is>
      </c>
      <c r="M4552" s="8" t="n">
        <v>0</v>
      </c>
      <c r="N4552" s="7">
        <f>M4552*$J$4558-J4552</f>
        <v/>
      </c>
      <c r="O4552" s="9">
        <f>IF(G4552=0,0,N4552/G4552)</f>
        <v/>
      </c>
      <c r="P4552" s="6">
        <f>IF(M4552&gt;0,D4552,"")</f>
        <v/>
      </c>
      <c r="Q4552" s="9">
        <f>I4552+O4552</f>
        <v/>
      </c>
      <c r="R4552" s="7">
        <f>Q4552*G4552</f>
        <v/>
      </c>
      <c r="S4552" s="8">
        <f>IF($R$4558=0,0,R4552/$R$4558)</f>
        <v/>
      </c>
      <c r="T4552" s="8" t="n">
        <v>0.03338138507086996</v>
      </c>
      <c r="U4552" s="8" t="n">
        <v>0.02258645080194976</v>
      </c>
      <c r="V4552" s="6" t="inlineStr">
        <is>
          <t>not selected</t>
        </is>
      </c>
    </row>
    <row r="4553">
      <c r="A4553" s="6" t="inlineStr">
        <is>
          <t>DJ30</t>
        </is>
      </c>
      <c r="B4553" s="6" t="inlineStr">
        <is>
          <t>2025-10-24</t>
        </is>
      </c>
      <c r="C4553" s="6" t="inlineStr">
        <is>
          <t>DIA</t>
        </is>
      </c>
      <c r="D4553" s="6" t="inlineStr">
        <is>
          <t>TRV</t>
        </is>
      </c>
      <c r="E4553" s="6" t="inlineStr">
        <is>
          <t>TRV</t>
        </is>
      </c>
      <c r="F4553" s="6" t="inlineStr">
        <is>
          <t>-</t>
        </is>
      </c>
      <c r="G4553" s="7" t="n">
        <v>266.7361145019531</v>
      </c>
      <c r="H4553" s="6">
        <f>P4522</f>
        <v/>
      </c>
      <c r="I4553" s="9">
        <f>Q4522</f>
        <v/>
      </c>
      <c r="J4553" s="7">
        <f>I4553*G4553</f>
        <v/>
      </c>
      <c r="K4553" s="8">
        <f>IF($J$4558=0,0,J4553/$J$4558)</f>
        <v/>
      </c>
      <c r="L4553" s="6" t="inlineStr">
        <is>
          <t>WATCHLIST</t>
        </is>
      </c>
      <c r="M4553" s="8" t="n">
        <v>0</v>
      </c>
      <c r="N4553" s="7">
        <f>M4553*$J$4558-J4553</f>
        <v/>
      </c>
      <c r="O4553" s="9">
        <f>IF(G4553=0,0,N4553/G4553)</f>
        <v/>
      </c>
      <c r="P4553" s="6">
        <f>IF(M4553&gt;0,D4553,"")</f>
        <v/>
      </c>
      <c r="Q4553" s="9">
        <f>I4553+O4553</f>
        <v/>
      </c>
      <c r="R4553" s="7">
        <f>Q4553*G4553</f>
        <v/>
      </c>
      <c r="S4553" s="8">
        <f>IF($R$4558=0,0,R4553/$R$4558)</f>
        <v/>
      </c>
      <c r="T4553" s="8" t="n">
        <v>0.03338138507086996</v>
      </c>
      <c r="U4553" s="8" t="n">
        <v>0.02258645080194976</v>
      </c>
      <c r="V4553" s="6" t="inlineStr">
        <is>
          <t>not selected</t>
        </is>
      </c>
    </row>
    <row r="4554">
      <c r="A4554" s="6" t="inlineStr">
        <is>
          <t>DJ30</t>
        </is>
      </c>
      <c r="B4554" s="6" t="inlineStr">
        <is>
          <t>2025-10-24</t>
        </is>
      </c>
      <c r="C4554" s="6" t="inlineStr">
        <is>
          <t>DIA</t>
        </is>
      </c>
      <c r="D4554" s="6" t="inlineStr">
        <is>
          <t>UNH</t>
        </is>
      </c>
      <c r="E4554" s="6" t="inlineStr">
        <is>
          <t>UNH</t>
        </is>
      </c>
      <c r="F4554" s="6" t="inlineStr">
        <is>
          <t>-</t>
        </is>
      </c>
      <c r="G4554" s="7" t="n">
        <v>355.2721252441406</v>
      </c>
      <c r="H4554" s="6">
        <f>P4523</f>
        <v/>
      </c>
      <c r="I4554" s="9">
        <f>Q4523</f>
        <v/>
      </c>
      <c r="J4554" s="7">
        <f>I4554*G4554</f>
        <v/>
      </c>
      <c r="K4554" s="8">
        <f>IF($J$4558=0,0,J4554/$J$4558)</f>
        <v/>
      </c>
      <c r="L4554" s="6" t="inlineStr">
        <is>
          <t>REJECTED</t>
        </is>
      </c>
      <c r="M4554" s="8" t="n">
        <v>0</v>
      </c>
      <c r="N4554" s="7">
        <f>M4554*$J$4558-J4554</f>
        <v/>
      </c>
      <c r="O4554" s="9">
        <f>IF(G4554=0,0,N4554/G4554)</f>
        <v/>
      </c>
      <c r="P4554" s="6">
        <f>IF(M4554&gt;0,D4554,"")</f>
        <v/>
      </c>
      <c r="Q4554" s="9">
        <f>I4554+O4554</f>
        <v/>
      </c>
      <c r="R4554" s="7">
        <f>Q4554*G4554</f>
        <v/>
      </c>
      <c r="S4554" s="8">
        <f>IF($R$4558=0,0,R4554/$R$4558)</f>
        <v/>
      </c>
      <c r="T4554" s="8" t="n">
        <v>0.03338138507086996</v>
      </c>
      <c r="U4554" s="8" t="n">
        <v>0.02258645080194976</v>
      </c>
      <c r="V4554" s="6" t="inlineStr">
        <is>
          <t>not selected</t>
        </is>
      </c>
    </row>
    <row r="4555">
      <c r="A4555" s="6" t="inlineStr">
        <is>
          <t>DJ30</t>
        </is>
      </c>
      <c r="B4555" s="6" t="inlineStr">
        <is>
          <t>2025-10-24</t>
        </is>
      </c>
      <c r="C4555" s="6" t="inlineStr">
        <is>
          <t>DIA</t>
        </is>
      </c>
      <c r="D4555" s="6" t="inlineStr">
        <is>
          <t>V</t>
        </is>
      </c>
      <c r="E4555" s="6" t="inlineStr">
        <is>
          <t>V</t>
        </is>
      </c>
      <c r="F4555" s="6" t="inlineStr">
        <is>
          <t>-</t>
        </is>
      </c>
      <c r="G4555" s="7" t="n">
        <v>345.2640686035156</v>
      </c>
      <c r="H4555" s="6">
        <f>P4524</f>
        <v/>
      </c>
      <c r="I4555" s="9">
        <f>Q4524</f>
        <v/>
      </c>
      <c r="J4555" s="7">
        <f>I4555*G4555</f>
        <v/>
      </c>
      <c r="K4555" s="8">
        <f>IF($J$4558=0,0,J4555/$J$4558)</f>
        <v/>
      </c>
      <c r="L4555" s="6" t="inlineStr">
        <is>
          <t>WATCHLIST</t>
        </is>
      </c>
      <c r="M4555" s="8" t="n">
        <v>0</v>
      </c>
      <c r="N4555" s="7">
        <f>M4555*$J$4558-J4555</f>
        <v/>
      </c>
      <c r="O4555" s="9">
        <f>IF(G4555=0,0,N4555/G4555)</f>
        <v/>
      </c>
      <c r="P4555" s="6">
        <f>IF(M4555&gt;0,D4555,"")</f>
        <v/>
      </c>
      <c r="Q4555" s="9">
        <f>I4555+O4555</f>
        <v/>
      </c>
      <c r="R4555" s="7">
        <f>Q4555*G4555</f>
        <v/>
      </c>
      <c r="S4555" s="8">
        <f>IF($R$4558=0,0,R4555/$R$4558)</f>
        <v/>
      </c>
      <c r="T4555" s="8" t="n">
        <v>0.03338138507086996</v>
      </c>
      <c r="U4555" s="8" t="n">
        <v>0.02258645080194976</v>
      </c>
      <c r="V4555" s="6" t="inlineStr">
        <is>
          <t>not selected</t>
        </is>
      </c>
    </row>
    <row r="4556">
      <c r="A4556" s="6" t="inlineStr">
        <is>
          <t>DJ30</t>
        </is>
      </c>
      <c r="B4556" s="6" t="inlineStr">
        <is>
          <t>2025-10-24</t>
        </is>
      </c>
      <c r="C4556" s="6" t="inlineStr">
        <is>
          <t>DIA</t>
        </is>
      </c>
      <c r="D4556" s="6" t="inlineStr">
        <is>
          <t>VZ</t>
        </is>
      </c>
      <c r="E4556" s="6" t="inlineStr">
        <is>
          <t>VZ</t>
        </is>
      </c>
      <c r="F4556" s="6" t="inlineStr">
        <is>
          <t>-</t>
        </is>
      </c>
      <c r="G4556" s="7" t="n">
        <v>37.59254455566406</v>
      </c>
      <c r="H4556" s="6">
        <f>P4525</f>
        <v/>
      </c>
      <c r="I4556" s="9">
        <f>Q4525</f>
        <v/>
      </c>
      <c r="J4556" s="7">
        <f>I4556*G4556</f>
        <v/>
      </c>
      <c r="K4556" s="8">
        <f>IF($J$4558=0,0,J4556/$J$4558)</f>
        <v/>
      </c>
      <c r="L4556" s="6" t="inlineStr">
        <is>
          <t>WATCHLIST</t>
        </is>
      </c>
      <c r="M4556" s="8" t="n">
        <v>0</v>
      </c>
      <c r="N4556" s="7">
        <f>M4556*$J$4558-J4556</f>
        <v/>
      </c>
      <c r="O4556" s="9">
        <f>IF(G4556=0,0,N4556/G4556)</f>
        <v/>
      </c>
      <c r="P4556" s="6">
        <f>IF(M4556&gt;0,D4556,"")</f>
        <v/>
      </c>
      <c r="Q4556" s="9">
        <f>I4556+O4556</f>
        <v/>
      </c>
      <c r="R4556" s="7">
        <f>Q4556*G4556</f>
        <v/>
      </c>
      <c r="S4556" s="8">
        <f>IF($R$4558=0,0,R4556/$R$4558)</f>
        <v/>
      </c>
      <c r="T4556" s="8" t="n">
        <v>0.03338138507086996</v>
      </c>
      <c r="U4556" s="8" t="n">
        <v>0.02258645080194976</v>
      </c>
      <c r="V4556" s="6" t="inlineStr">
        <is>
          <t>not selected</t>
        </is>
      </c>
    </row>
    <row r="4557">
      <c r="A4557" s="6" t="inlineStr">
        <is>
          <t>DJ30</t>
        </is>
      </c>
      <c r="B4557" s="6" t="inlineStr">
        <is>
          <t>2025-10-24</t>
        </is>
      </c>
      <c r="C4557" s="6" t="inlineStr">
        <is>
          <t>DIA</t>
        </is>
      </c>
      <c r="D4557" s="6" t="inlineStr">
        <is>
          <t>WMT</t>
        </is>
      </c>
      <c r="E4557" s="6" t="inlineStr">
        <is>
          <t>WMT</t>
        </is>
      </c>
      <c r="F4557" s="6" t="inlineStr">
        <is>
          <t>-</t>
        </is>
      </c>
      <c r="G4557" s="7" t="n">
        <v>105.5356063842773</v>
      </c>
      <c r="H4557" s="6">
        <f>P4526</f>
        <v/>
      </c>
      <c r="I4557" s="9">
        <f>Q4526</f>
        <v/>
      </c>
      <c r="J4557" s="7">
        <f>I4557*G4557</f>
        <v/>
      </c>
      <c r="K4557" s="8">
        <f>IF($J$4558=0,0,J4557/$J$4558)</f>
        <v/>
      </c>
      <c r="L4557" s="6" t="inlineStr">
        <is>
          <t>WATCHLIST</t>
        </is>
      </c>
      <c r="M4557" s="8" t="n">
        <v>0</v>
      </c>
      <c r="N4557" s="7">
        <f>M4557*$J$4558-J4557</f>
        <v/>
      </c>
      <c r="O4557" s="9">
        <f>IF(G4557=0,0,N4557/G4557)</f>
        <v/>
      </c>
      <c r="P4557" s="6">
        <f>IF(M4557&gt;0,D4557,"")</f>
        <v/>
      </c>
      <c r="Q4557" s="9">
        <f>I4557+O4557</f>
        <v/>
      </c>
      <c r="R4557" s="7">
        <f>Q4557*G4557</f>
        <v/>
      </c>
      <c r="S4557" s="8">
        <f>IF($R$4558=0,0,R4557/$R$4558)</f>
        <v/>
      </c>
      <c r="T4557" s="8" t="n">
        <v>0.03338138507086996</v>
      </c>
      <c r="U4557" s="8" t="n">
        <v>0.02258645080194976</v>
      </c>
      <c r="V4557" s="6" t="inlineStr">
        <is>
          <t>not selected</t>
        </is>
      </c>
    </row>
    <row r="4558">
      <c r="A4558" s="10" t="inlineStr">
        <is>
          <t>DJ30</t>
        </is>
      </c>
      <c r="B4558" s="10" t="inlineStr">
        <is>
          <t>2025-10-24</t>
        </is>
      </c>
      <c r="C4558" s="10" t="inlineStr">
        <is>
          <t>DIA</t>
        </is>
      </c>
      <c r="D4558" s="10" t="inlineStr">
        <is>
          <t>Tot Portfolio</t>
        </is>
      </c>
      <c r="E4558" s="10" t="inlineStr"/>
      <c r="F4558" s="10" t="inlineStr"/>
      <c r="G4558" s="11" t="inlineStr"/>
      <c r="H4558" s="10" t="inlineStr"/>
      <c r="I4558" s="12" t="inlineStr"/>
      <c r="J4558" s="11">
        <f>SUM(J4528:J4557)</f>
        <v/>
      </c>
      <c r="K4558" s="13">
        <f>SUM(K4528:K4557)</f>
        <v/>
      </c>
      <c r="L4558" s="10" t="inlineStr">
        <is>
          <t>TOTAL</t>
        </is>
      </c>
      <c r="M4558" s="13">
        <f>SUM(M4528:M4557)</f>
        <v/>
      </c>
      <c r="N4558" s="11">
        <f>SUM(N4528:N4557)</f>
        <v/>
      </c>
      <c r="O4558" s="12">
        <f>SUM(O4528:O4557)</f>
        <v/>
      </c>
      <c r="P4558" s="10" t="inlineStr"/>
      <c r="Q4558" s="12" t="inlineStr"/>
      <c r="R4558" s="11">
        <f>SUM(R4528:R4557)</f>
        <v/>
      </c>
      <c r="S4558" s="13">
        <f>SUM(S4528:S4557)</f>
        <v/>
      </c>
      <c r="T4558" s="13" t="n">
        <v>0.03338138507086996</v>
      </c>
      <c r="U4558" s="13" t="n">
        <v>0.02258645080194976</v>
      </c>
      <c r="V4558" s="10" t="inlineStr"/>
    </row>
    <row r="4559">
      <c r="A4559" s="6" t="inlineStr">
        <is>
          <t>DJ30</t>
        </is>
      </c>
      <c r="B4559" s="6" t="inlineStr">
        <is>
          <t>2025-10-31</t>
        </is>
      </c>
      <c r="C4559" s="6" t="inlineStr">
        <is>
          <t>DIA</t>
        </is>
      </c>
      <c r="D4559" s="6" t="inlineStr">
        <is>
          <t>AAPL</t>
        </is>
      </c>
      <c r="E4559" s="6" t="inlineStr">
        <is>
          <t>AAPL</t>
        </is>
      </c>
      <c r="F4559" s="6" t="inlineStr">
        <is>
          <t>-</t>
        </is>
      </c>
      <c r="G4559" s="7" t="n">
        <v>269.6072387695312</v>
      </c>
      <c r="H4559" s="6">
        <f>P4528</f>
        <v/>
      </c>
      <c r="I4559" s="9">
        <f>Q4528</f>
        <v/>
      </c>
      <c r="J4559" s="7">
        <f>I4559*G4559</f>
        <v/>
      </c>
      <c r="K4559" s="8">
        <f>IF($J$4589=0,0,J4559/$J$4589)</f>
        <v/>
      </c>
      <c r="L4559" s="6" t="inlineStr">
        <is>
          <t>REJECTED</t>
        </is>
      </c>
      <c r="M4559" s="8" t="n">
        <v>0</v>
      </c>
      <c r="N4559" s="7">
        <f>M4559*$J$4589-J4559</f>
        <v/>
      </c>
      <c r="O4559" s="9">
        <f>IF(G4559=0,0,N4559/G4559)</f>
        <v/>
      </c>
      <c r="P4559" s="6">
        <f>IF(M4559&gt;0,D4559,"")</f>
        <v/>
      </c>
      <c r="Q4559" s="9">
        <f>I4559+O4559</f>
        <v/>
      </c>
      <c r="R4559" s="7">
        <f>Q4559*G4559</f>
        <v/>
      </c>
      <c r="S4559" s="8">
        <f>IF($R$4589=0,0,R4559/$R$4589)</f>
        <v/>
      </c>
      <c r="T4559" s="8" t="n">
        <v>-0.01591459281281082</v>
      </c>
      <c r="U4559" s="8" t="n">
        <v>0.007327395158095218</v>
      </c>
      <c r="V4559" s="6" t="inlineStr">
        <is>
          <t>not selected</t>
        </is>
      </c>
    </row>
    <row r="4560">
      <c r="A4560" s="6" t="inlineStr">
        <is>
          <t>DJ30</t>
        </is>
      </c>
      <c r="B4560" s="6" t="inlineStr">
        <is>
          <t>2025-10-31</t>
        </is>
      </c>
      <c r="C4560" s="6" t="inlineStr">
        <is>
          <t>DIA</t>
        </is>
      </c>
      <c r="D4560" s="6" t="inlineStr">
        <is>
          <t>AMGN</t>
        </is>
      </c>
      <c r="E4560" s="6" t="inlineStr">
        <is>
          <t>AMGN</t>
        </is>
      </c>
      <c r="F4560" s="6" t="inlineStr">
        <is>
          <t>-</t>
        </is>
      </c>
      <c r="G4560" s="7" t="n">
        <v>292.0718994140625</v>
      </c>
      <c r="H4560" s="6">
        <f>P4529</f>
        <v/>
      </c>
      <c r="I4560" s="9">
        <f>Q4529</f>
        <v/>
      </c>
      <c r="J4560" s="7">
        <f>I4560*G4560</f>
        <v/>
      </c>
      <c r="K4560" s="8">
        <f>IF($J$4589=0,0,J4560/$J$4589)</f>
        <v/>
      </c>
      <c r="L4560" s="6" t="inlineStr">
        <is>
          <t>REJECTED</t>
        </is>
      </c>
      <c r="M4560" s="8" t="n">
        <v>0</v>
      </c>
      <c r="N4560" s="7">
        <f>M4560*$J$4589-J4560</f>
        <v/>
      </c>
      <c r="O4560" s="9">
        <f>IF(G4560=0,0,N4560/G4560)</f>
        <v/>
      </c>
      <c r="P4560" s="6">
        <f>IF(M4560&gt;0,D4560,"")</f>
        <v/>
      </c>
      <c r="Q4560" s="9">
        <f>I4560+O4560</f>
        <v/>
      </c>
      <c r="R4560" s="7">
        <f>Q4560*G4560</f>
        <v/>
      </c>
      <c r="S4560" s="8">
        <f>IF($R$4589=0,0,R4560/$R$4589)</f>
        <v/>
      </c>
      <c r="T4560" s="8" t="n">
        <v>-0.01591459281281082</v>
      </c>
      <c r="U4560" s="8" t="n">
        <v>0.007327395158095218</v>
      </c>
      <c r="V4560" s="6" t="inlineStr">
        <is>
          <t>not selected</t>
        </is>
      </c>
    </row>
    <row r="4561">
      <c r="A4561" s="6" t="inlineStr">
        <is>
          <t>DJ30</t>
        </is>
      </c>
      <c r="B4561" s="6" t="inlineStr">
        <is>
          <t>2025-10-31</t>
        </is>
      </c>
      <c r="C4561" s="6" t="inlineStr">
        <is>
          <t>DIA</t>
        </is>
      </c>
      <c r="D4561" s="6" t="inlineStr">
        <is>
          <t>AMZN</t>
        </is>
      </c>
      <c r="E4561" s="6" t="inlineStr">
        <is>
          <t>AMZN</t>
        </is>
      </c>
      <c r="F4561" s="6" t="inlineStr">
        <is>
          <t>-</t>
        </is>
      </c>
      <c r="G4561" s="7" t="n">
        <v>244.2200012207031</v>
      </c>
      <c r="H4561" s="6">
        <f>P4530</f>
        <v/>
      </c>
      <c r="I4561" s="9">
        <f>Q4530</f>
        <v/>
      </c>
      <c r="J4561" s="7">
        <f>I4561*G4561</f>
        <v/>
      </c>
      <c r="K4561" s="8">
        <f>IF($J$4589=0,0,J4561/$J$4589)</f>
        <v/>
      </c>
      <c r="L4561" s="6" t="inlineStr">
        <is>
          <t>REJECTED</t>
        </is>
      </c>
      <c r="M4561" s="8" t="n">
        <v>0</v>
      </c>
      <c r="N4561" s="7">
        <f>M4561*$J$4589-J4561</f>
        <v/>
      </c>
      <c r="O4561" s="9">
        <f>IF(G4561=0,0,N4561/G4561)</f>
        <v/>
      </c>
      <c r="P4561" s="6">
        <f>IF(M4561&gt;0,D4561,"")</f>
        <v/>
      </c>
      <c r="Q4561" s="9">
        <f>I4561+O4561</f>
        <v/>
      </c>
      <c r="R4561" s="7">
        <f>Q4561*G4561</f>
        <v/>
      </c>
      <c r="S4561" s="8">
        <f>IF($R$4589=0,0,R4561/$R$4589)</f>
        <v/>
      </c>
      <c r="T4561" s="8" t="n">
        <v>-0.01591459281281082</v>
      </c>
      <c r="U4561" s="8" t="n">
        <v>0.007327395158095218</v>
      </c>
      <c r="V4561" s="6" t="inlineStr">
        <is>
          <t>not selected</t>
        </is>
      </c>
    </row>
    <row r="4562">
      <c r="A4562" s="6" t="inlineStr">
        <is>
          <t>DJ30</t>
        </is>
      </c>
      <c r="B4562" s="6" t="inlineStr">
        <is>
          <t>2025-10-31</t>
        </is>
      </c>
      <c r="C4562" s="6" t="inlineStr">
        <is>
          <t>DIA</t>
        </is>
      </c>
      <c r="D4562" s="6" t="inlineStr">
        <is>
          <t>AXP</t>
        </is>
      </c>
      <c r="E4562" s="6" t="inlineStr">
        <is>
          <t>AXP</t>
        </is>
      </c>
      <c r="F4562" s="6" t="inlineStr">
        <is>
          <t>-</t>
        </is>
      </c>
      <c r="G4562" s="7" t="n">
        <v>358.796142578125</v>
      </c>
      <c r="H4562" s="6">
        <f>P4531</f>
        <v/>
      </c>
      <c r="I4562" s="9">
        <f>Q4531</f>
        <v/>
      </c>
      <c r="J4562" s="7">
        <f>I4562*G4562</f>
        <v/>
      </c>
      <c r="K4562" s="8">
        <f>IF($J$4589=0,0,J4562/$J$4589)</f>
        <v/>
      </c>
      <c r="L4562" s="6" t="inlineStr">
        <is>
          <t>REJECTED</t>
        </is>
      </c>
      <c r="M4562" s="8" t="n">
        <v>0</v>
      </c>
      <c r="N4562" s="7">
        <f>M4562*$J$4589-J4562</f>
        <v/>
      </c>
      <c r="O4562" s="9">
        <f>IF(G4562=0,0,N4562/G4562)</f>
        <v/>
      </c>
      <c r="P4562" s="6">
        <f>IF(M4562&gt;0,D4562,"")</f>
        <v/>
      </c>
      <c r="Q4562" s="9">
        <f>I4562+O4562</f>
        <v/>
      </c>
      <c r="R4562" s="7">
        <f>Q4562*G4562</f>
        <v/>
      </c>
      <c r="S4562" s="8">
        <f>IF($R$4589=0,0,R4562/$R$4589)</f>
        <v/>
      </c>
      <c r="T4562" s="8" t="n">
        <v>-0.01591459281281082</v>
      </c>
      <c r="U4562" s="8" t="n">
        <v>0.007327395158095218</v>
      </c>
      <c r="V4562" s="6" t="inlineStr">
        <is>
          <t>not selected</t>
        </is>
      </c>
    </row>
    <row r="4563">
      <c r="A4563" s="6" t="inlineStr">
        <is>
          <t>DJ30</t>
        </is>
      </c>
      <c r="B4563" s="6" t="inlineStr">
        <is>
          <t>2025-10-31</t>
        </is>
      </c>
      <c r="C4563" s="6" t="inlineStr">
        <is>
          <t>DIA</t>
        </is>
      </c>
      <c r="D4563" s="6" t="inlineStr">
        <is>
          <t>BA</t>
        </is>
      </c>
      <c r="E4563" s="6" t="inlineStr">
        <is>
          <t>BA</t>
        </is>
      </c>
      <c r="F4563" s="6" t="inlineStr">
        <is>
          <t>-</t>
        </is>
      </c>
      <c r="G4563" s="7" t="n">
        <v>201.0200042724609</v>
      </c>
      <c r="H4563" s="6">
        <f>P4532</f>
        <v/>
      </c>
      <c r="I4563" s="9">
        <f>Q4532</f>
        <v/>
      </c>
      <c r="J4563" s="7">
        <f>I4563*G4563</f>
        <v/>
      </c>
      <c r="K4563" s="8">
        <f>IF($J$4589=0,0,J4563/$J$4589)</f>
        <v/>
      </c>
      <c r="L4563" s="6" t="inlineStr">
        <is>
          <t>SELECTED</t>
        </is>
      </c>
      <c r="M4563" s="8" t="n">
        <v>0.2</v>
      </c>
      <c r="N4563" s="7">
        <f>M4563*$J$4589-J4563</f>
        <v/>
      </c>
      <c r="O4563" s="9">
        <f>IF(G4563=0,0,N4563/G4563)</f>
        <v/>
      </c>
      <c r="P4563" s="6">
        <f>IF(M4563&gt;0,D4563,"")</f>
        <v/>
      </c>
      <c r="Q4563" s="9">
        <f>I4563+O4563</f>
        <v/>
      </c>
      <c r="R4563" s="7">
        <f>Q4563*G4563</f>
        <v/>
      </c>
      <c r="S4563" s="8">
        <f>IF($R$4589=0,0,R4563/$R$4589)</f>
        <v/>
      </c>
      <c r="T4563" s="8" t="n">
        <v>-0.01591459281281082</v>
      </c>
      <c r="U4563" s="8" t="n">
        <v>0.007327395158095218</v>
      </c>
      <c r="V4563" s="6" t="inlineStr">
        <is>
          <t>remained in weekly selection</t>
        </is>
      </c>
    </row>
    <row r="4564">
      <c r="A4564" s="6" t="inlineStr">
        <is>
          <t>DJ30</t>
        </is>
      </c>
      <c r="B4564" s="6" t="inlineStr">
        <is>
          <t>2025-10-31</t>
        </is>
      </c>
      <c r="C4564" s="6" t="inlineStr">
        <is>
          <t>DIA</t>
        </is>
      </c>
      <c r="D4564" s="6" t="inlineStr">
        <is>
          <t>CAT</t>
        </is>
      </c>
      <c r="E4564" s="6" t="inlineStr">
        <is>
          <t>CAT</t>
        </is>
      </c>
      <c r="F4564" s="6" t="inlineStr">
        <is>
          <t>-</t>
        </is>
      </c>
      <c r="G4564" s="7" t="n">
        <v>574.8181762695312</v>
      </c>
      <c r="H4564" s="6">
        <f>P4533</f>
        <v/>
      </c>
      <c r="I4564" s="9">
        <f>Q4533</f>
        <v/>
      </c>
      <c r="J4564" s="7">
        <f>I4564*G4564</f>
        <v/>
      </c>
      <c r="K4564" s="8">
        <f>IF($J$4589=0,0,J4564/$J$4589)</f>
        <v/>
      </c>
      <c r="L4564" s="6" t="inlineStr">
        <is>
          <t>WATCHLIST</t>
        </is>
      </c>
      <c r="M4564" s="8" t="n">
        <v>0</v>
      </c>
      <c r="N4564" s="7">
        <f>M4564*$J$4589-J4564</f>
        <v/>
      </c>
      <c r="O4564" s="9">
        <f>IF(G4564=0,0,N4564/G4564)</f>
        <v/>
      </c>
      <c r="P4564" s="6">
        <f>IF(M4564&gt;0,D4564,"")</f>
        <v/>
      </c>
      <c r="Q4564" s="9">
        <f>I4564+O4564</f>
        <v/>
      </c>
      <c r="R4564" s="7">
        <f>Q4564*G4564</f>
        <v/>
      </c>
      <c r="S4564" s="8">
        <f>IF($R$4589=0,0,R4564/$R$4589)</f>
        <v/>
      </c>
      <c r="T4564" s="8" t="n">
        <v>-0.01591459281281082</v>
      </c>
      <c r="U4564" s="8" t="n">
        <v>0.007327395158095218</v>
      </c>
      <c r="V4564" s="6" t="inlineStr">
        <is>
          <t>not selected</t>
        </is>
      </c>
    </row>
    <row r="4565">
      <c r="A4565" s="6" t="inlineStr">
        <is>
          <t>DJ30</t>
        </is>
      </c>
      <c r="B4565" s="6" t="inlineStr">
        <is>
          <t>2025-10-31</t>
        </is>
      </c>
      <c r="C4565" s="6" t="inlineStr">
        <is>
          <t>DIA</t>
        </is>
      </c>
      <c r="D4565" s="6" t="inlineStr">
        <is>
          <t>CRM</t>
        </is>
      </c>
      <c r="E4565" s="6" t="inlineStr">
        <is>
          <t>CRM</t>
        </is>
      </c>
      <c r="F4565" s="6" t="inlineStr">
        <is>
          <t>-</t>
        </is>
      </c>
      <c r="G4565" s="7" t="n">
        <v>258.6741027832031</v>
      </c>
      <c r="H4565" s="6">
        <f>P4534</f>
        <v/>
      </c>
      <c r="I4565" s="9">
        <f>Q4534</f>
        <v/>
      </c>
      <c r="J4565" s="7">
        <f>I4565*G4565</f>
        <v/>
      </c>
      <c r="K4565" s="8">
        <f>IF($J$4589=0,0,J4565/$J$4589)</f>
        <v/>
      </c>
      <c r="L4565" s="6" t="inlineStr">
        <is>
          <t>REJECTED</t>
        </is>
      </c>
      <c r="M4565" s="8" t="n">
        <v>0</v>
      </c>
      <c r="N4565" s="7">
        <f>M4565*$J$4589-J4565</f>
        <v/>
      </c>
      <c r="O4565" s="9">
        <f>IF(G4565=0,0,N4565/G4565)</f>
        <v/>
      </c>
      <c r="P4565" s="6">
        <f>IF(M4565&gt;0,D4565,"")</f>
        <v/>
      </c>
      <c r="Q4565" s="9">
        <f>I4565+O4565</f>
        <v/>
      </c>
      <c r="R4565" s="7">
        <f>Q4565*G4565</f>
        <v/>
      </c>
      <c r="S4565" s="8">
        <f>IF($R$4589=0,0,R4565/$R$4589)</f>
        <v/>
      </c>
      <c r="T4565" s="8" t="n">
        <v>-0.01591459281281082</v>
      </c>
      <c r="U4565" s="8" t="n">
        <v>0.007327395158095218</v>
      </c>
      <c r="V4565" s="6" t="inlineStr">
        <is>
          <t>not selected</t>
        </is>
      </c>
    </row>
    <row r="4566">
      <c r="A4566" s="6" t="inlineStr">
        <is>
          <t>DJ30</t>
        </is>
      </c>
      <c r="B4566" s="6" t="inlineStr">
        <is>
          <t>2025-10-31</t>
        </is>
      </c>
      <c r="C4566" s="6" t="inlineStr">
        <is>
          <t>DIA</t>
        </is>
      </c>
      <c r="D4566" s="6" t="inlineStr">
        <is>
          <t>CSCO</t>
        </is>
      </c>
      <c r="E4566" s="6" t="inlineStr">
        <is>
          <t>CSCO</t>
        </is>
      </c>
      <c r="F4566" s="6" t="inlineStr">
        <is>
          <t>-</t>
        </is>
      </c>
      <c r="G4566" s="7" t="n">
        <v>72.32894134521484</v>
      </c>
      <c r="H4566" s="6">
        <f>P4535</f>
        <v/>
      </c>
      <c r="I4566" s="9">
        <f>Q4535</f>
        <v/>
      </c>
      <c r="J4566" s="7">
        <f>I4566*G4566</f>
        <v/>
      </c>
      <c r="K4566" s="8">
        <f>IF($J$4589=0,0,J4566/$J$4589)</f>
        <v/>
      </c>
      <c r="L4566" s="6" t="inlineStr">
        <is>
          <t>SELECTED</t>
        </is>
      </c>
      <c r="M4566" s="8" t="n">
        <v>0.2</v>
      </c>
      <c r="N4566" s="7">
        <f>M4566*$J$4589-J4566</f>
        <v/>
      </c>
      <c r="O4566" s="9">
        <f>IF(G4566=0,0,N4566/G4566)</f>
        <v/>
      </c>
      <c r="P4566" s="6">
        <f>IF(M4566&gt;0,D4566,"")</f>
        <v/>
      </c>
      <c r="Q4566" s="9">
        <f>I4566+O4566</f>
        <v/>
      </c>
      <c r="R4566" s="7">
        <f>Q4566*G4566</f>
        <v/>
      </c>
      <c r="S4566" s="8">
        <f>IF($R$4589=0,0,R4566/$R$4589)</f>
        <v/>
      </c>
      <c r="T4566" s="8" t="n">
        <v>-0.01591459281281082</v>
      </c>
      <c r="U4566" s="8" t="n">
        <v>0.007327395158095218</v>
      </c>
      <c r="V4566" s="6" t="inlineStr">
        <is>
          <t>entered weekly selection</t>
        </is>
      </c>
    </row>
    <row r="4567">
      <c r="A4567" s="6" t="inlineStr">
        <is>
          <t>DJ30</t>
        </is>
      </c>
      <c r="B4567" s="6" t="inlineStr">
        <is>
          <t>2025-10-31</t>
        </is>
      </c>
      <c r="C4567" s="6" t="inlineStr">
        <is>
          <t>DIA</t>
        </is>
      </c>
      <c r="D4567" s="6" t="inlineStr">
        <is>
          <t>CVX</t>
        </is>
      </c>
      <c r="E4567" s="6" t="inlineStr">
        <is>
          <t>CVX</t>
        </is>
      </c>
      <c r="F4567" s="6" t="inlineStr">
        <is>
          <t>-</t>
        </is>
      </c>
      <c r="G4567" s="7" t="n">
        <v>153.0649719238281</v>
      </c>
      <c r="H4567" s="6">
        <f>P4536</f>
        <v/>
      </c>
      <c r="I4567" s="9">
        <f>Q4536</f>
        <v/>
      </c>
      <c r="J4567" s="7">
        <f>I4567*G4567</f>
        <v/>
      </c>
      <c r="K4567" s="8">
        <f>IF($J$4589=0,0,J4567/$J$4589)</f>
        <v/>
      </c>
      <c r="L4567" s="6" t="inlineStr">
        <is>
          <t>REJECTED</t>
        </is>
      </c>
      <c r="M4567" s="8" t="n">
        <v>0</v>
      </c>
      <c r="N4567" s="7">
        <f>M4567*$J$4589-J4567</f>
        <v/>
      </c>
      <c r="O4567" s="9">
        <f>IF(G4567=0,0,N4567/G4567)</f>
        <v/>
      </c>
      <c r="P4567" s="6">
        <f>IF(M4567&gt;0,D4567,"")</f>
        <v/>
      </c>
      <c r="Q4567" s="9">
        <f>I4567+O4567</f>
        <v/>
      </c>
      <c r="R4567" s="7">
        <f>Q4567*G4567</f>
        <v/>
      </c>
      <c r="S4567" s="8">
        <f>IF($R$4589=0,0,R4567/$R$4589)</f>
        <v/>
      </c>
      <c r="T4567" s="8" t="n">
        <v>-0.01591459281281082</v>
      </c>
      <c r="U4567" s="8" t="n">
        <v>0.007327395158095218</v>
      </c>
      <c r="V4567" s="6" t="inlineStr">
        <is>
          <t>not selected</t>
        </is>
      </c>
    </row>
    <row r="4568">
      <c r="A4568" s="6" t="inlineStr">
        <is>
          <t>DJ30</t>
        </is>
      </c>
      <c r="B4568" s="6" t="inlineStr">
        <is>
          <t>2025-10-31</t>
        </is>
      </c>
      <c r="C4568" s="6" t="inlineStr">
        <is>
          <t>DIA</t>
        </is>
      </c>
      <c r="D4568" s="6" t="inlineStr">
        <is>
          <t>DIS</t>
        </is>
      </c>
      <c r="E4568" s="6" t="inlineStr">
        <is>
          <t>DIS</t>
        </is>
      </c>
      <c r="F4568" s="6" t="inlineStr">
        <is>
          <t>-</t>
        </is>
      </c>
      <c r="G4568" s="7" t="n">
        <v>111.863151550293</v>
      </c>
      <c r="H4568" s="6">
        <f>P4537</f>
        <v/>
      </c>
      <c r="I4568" s="9">
        <f>Q4537</f>
        <v/>
      </c>
      <c r="J4568" s="7">
        <f>I4568*G4568</f>
        <v/>
      </c>
      <c r="K4568" s="8">
        <f>IF($J$4589=0,0,J4568/$J$4589)</f>
        <v/>
      </c>
      <c r="L4568" s="6" t="inlineStr">
        <is>
          <t>REJECTED</t>
        </is>
      </c>
      <c r="M4568" s="8" t="n">
        <v>0</v>
      </c>
      <c r="N4568" s="7">
        <f>M4568*$J$4589-J4568</f>
        <v/>
      </c>
      <c r="O4568" s="9">
        <f>IF(G4568=0,0,N4568/G4568)</f>
        <v/>
      </c>
      <c r="P4568" s="6">
        <f>IF(M4568&gt;0,D4568,"")</f>
        <v/>
      </c>
      <c r="Q4568" s="9">
        <f>I4568+O4568</f>
        <v/>
      </c>
      <c r="R4568" s="7">
        <f>Q4568*G4568</f>
        <v/>
      </c>
      <c r="S4568" s="8">
        <f>IF($R$4589=0,0,R4568/$R$4589)</f>
        <v/>
      </c>
      <c r="T4568" s="8" t="n">
        <v>-0.01591459281281082</v>
      </c>
      <c r="U4568" s="8" t="n">
        <v>0.007327395158095218</v>
      </c>
      <c r="V4568" s="6" t="inlineStr">
        <is>
          <t>not selected</t>
        </is>
      </c>
    </row>
    <row r="4569">
      <c r="A4569" s="6" t="inlineStr">
        <is>
          <t>DJ30</t>
        </is>
      </c>
      <c r="B4569" s="6" t="inlineStr">
        <is>
          <t>2025-10-31</t>
        </is>
      </c>
      <c r="C4569" s="6" t="inlineStr">
        <is>
          <t>DIA</t>
        </is>
      </c>
      <c r="D4569" s="6" t="inlineStr">
        <is>
          <t>GS</t>
        </is>
      </c>
      <c r="E4569" s="6" t="inlineStr">
        <is>
          <t>GS</t>
        </is>
      </c>
      <c r="F4569" s="6" t="inlineStr">
        <is>
          <t>-</t>
        </is>
      </c>
      <c r="G4569" s="7" t="n">
        <v>777.9353637695312</v>
      </c>
      <c r="H4569" s="6">
        <f>P4538</f>
        <v/>
      </c>
      <c r="I4569" s="9">
        <f>Q4538</f>
        <v/>
      </c>
      <c r="J4569" s="7">
        <f>I4569*G4569</f>
        <v/>
      </c>
      <c r="K4569" s="8">
        <f>IF($J$4589=0,0,J4569/$J$4589)</f>
        <v/>
      </c>
      <c r="L4569" s="6" t="inlineStr">
        <is>
          <t>SELECTED</t>
        </is>
      </c>
      <c r="M4569" s="8" t="n">
        <v>0.2</v>
      </c>
      <c r="N4569" s="7">
        <f>M4569*$J$4589-J4569</f>
        <v/>
      </c>
      <c r="O4569" s="9">
        <f>IF(G4569=0,0,N4569/G4569)</f>
        <v/>
      </c>
      <c r="P4569" s="6">
        <f>IF(M4569&gt;0,D4569,"")</f>
        <v/>
      </c>
      <c r="Q4569" s="9">
        <f>I4569+O4569</f>
        <v/>
      </c>
      <c r="R4569" s="7">
        <f>Q4569*G4569</f>
        <v/>
      </c>
      <c r="S4569" s="8">
        <f>IF($R$4589=0,0,R4569/$R$4589)</f>
        <v/>
      </c>
      <c r="T4569" s="8" t="n">
        <v>-0.01591459281281082</v>
      </c>
      <c r="U4569" s="8" t="n">
        <v>0.007327395158095218</v>
      </c>
      <c r="V4569" s="6" t="inlineStr">
        <is>
          <t>entered weekly selection</t>
        </is>
      </c>
    </row>
    <row r="4570">
      <c r="A4570" s="6" t="inlineStr">
        <is>
          <t>DJ30</t>
        </is>
      </c>
      <c r="B4570" s="6" t="inlineStr">
        <is>
          <t>2025-10-31</t>
        </is>
      </c>
      <c r="C4570" s="6" t="inlineStr">
        <is>
          <t>DIA</t>
        </is>
      </c>
      <c r="D4570" s="6" t="inlineStr">
        <is>
          <t>HD</t>
        </is>
      </c>
      <c r="E4570" s="6" t="inlineStr">
        <is>
          <t>HD</t>
        </is>
      </c>
      <c r="F4570" s="6" t="inlineStr">
        <is>
          <t>-</t>
        </is>
      </c>
      <c r="G4570" s="7" t="n">
        <v>371.8567810058594</v>
      </c>
      <c r="H4570" s="6">
        <f>P4539</f>
        <v/>
      </c>
      <c r="I4570" s="9">
        <f>Q4539</f>
        <v/>
      </c>
      <c r="J4570" s="7">
        <f>I4570*G4570</f>
        <v/>
      </c>
      <c r="K4570" s="8">
        <f>IF($J$4589=0,0,J4570/$J$4589)</f>
        <v/>
      </c>
      <c r="L4570" s="6" t="inlineStr">
        <is>
          <t>REJECTED</t>
        </is>
      </c>
      <c r="M4570" s="8" t="n">
        <v>0</v>
      </c>
      <c r="N4570" s="7">
        <f>M4570*$J$4589-J4570</f>
        <v/>
      </c>
      <c r="O4570" s="9">
        <f>IF(G4570=0,0,N4570/G4570)</f>
        <v/>
      </c>
      <c r="P4570" s="6">
        <f>IF(M4570&gt;0,D4570,"")</f>
        <v/>
      </c>
      <c r="Q4570" s="9">
        <f>I4570+O4570</f>
        <v/>
      </c>
      <c r="R4570" s="7">
        <f>Q4570*G4570</f>
        <v/>
      </c>
      <c r="S4570" s="8">
        <f>IF($R$4589=0,0,R4570/$R$4589)</f>
        <v/>
      </c>
      <c r="T4570" s="8" t="n">
        <v>-0.01591459281281082</v>
      </c>
      <c r="U4570" s="8" t="n">
        <v>0.007327395158095218</v>
      </c>
      <c r="V4570" s="6" t="inlineStr">
        <is>
          <t>not selected</t>
        </is>
      </c>
    </row>
    <row r="4571">
      <c r="A4571" s="6" t="inlineStr">
        <is>
          <t>DJ30</t>
        </is>
      </c>
      <c r="B4571" s="6" t="inlineStr">
        <is>
          <t>2025-10-31</t>
        </is>
      </c>
      <c r="C4571" s="6" t="inlineStr">
        <is>
          <t>DIA</t>
        </is>
      </c>
      <c r="D4571" s="6" t="inlineStr">
        <is>
          <t>HON</t>
        </is>
      </c>
      <c r="E4571" s="6" t="inlineStr">
        <is>
          <t>HON</t>
        </is>
      </c>
      <c r="F4571" s="6" t="inlineStr">
        <is>
          <t>-</t>
        </is>
      </c>
      <c r="G4571" s="7" t="n">
        <v>198.0541534423828</v>
      </c>
      <c r="H4571" s="6">
        <f>P4540</f>
        <v/>
      </c>
      <c r="I4571" s="9">
        <f>Q4540</f>
        <v/>
      </c>
      <c r="J4571" s="7">
        <f>I4571*G4571</f>
        <v/>
      </c>
      <c r="K4571" s="8">
        <f>IF($J$4589=0,0,J4571/$J$4589)</f>
        <v/>
      </c>
      <c r="L4571" s="6" t="inlineStr">
        <is>
          <t>REJECTED</t>
        </is>
      </c>
      <c r="M4571" s="8" t="n">
        <v>0</v>
      </c>
      <c r="N4571" s="7">
        <f>M4571*$J$4589-J4571</f>
        <v/>
      </c>
      <c r="O4571" s="9">
        <f>IF(G4571=0,0,N4571/G4571)</f>
        <v/>
      </c>
      <c r="P4571" s="6">
        <f>IF(M4571&gt;0,D4571,"")</f>
        <v/>
      </c>
      <c r="Q4571" s="9">
        <f>I4571+O4571</f>
        <v/>
      </c>
      <c r="R4571" s="7">
        <f>Q4571*G4571</f>
        <v/>
      </c>
      <c r="S4571" s="8">
        <f>IF($R$4589=0,0,R4571/$R$4589)</f>
        <v/>
      </c>
      <c r="T4571" s="8" t="n">
        <v>-0.01591459281281082</v>
      </c>
      <c r="U4571" s="8" t="n">
        <v>0.007327395158095218</v>
      </c>
      <c r="V4571" s="6" t="inlineStr">
        <is>
          <t>not selected</t>
        </is>
      </c>
    </row>
    <row r="4572">
      <c r="A4572" s="6" t="inlineStr">
        <is>
          <t>DJ30</t>
        </is>
      </c>
      <c r="B4572" s="6" t="inlineStr">
        <is>
          <t>2025-10-31</t>
        </is>
      </c>
      <c r="C4572" s="6" t="inlineStr">
        <is>
          <t>DIA</t>
        </is>
      </c>
      <c r="D4572" s="6" t="inlineStr">
        <is>
          <t>IBM</t>
        </is>
      </c>
      <c r="E4572" s="6" t="inlineStr">
        <is>
          <t>IBM</t>
        </is>
      </c>
      <c r="F4572" s="6" t="inlineStr">
        <is>
          <t>-</t>
        </is>
      </c>
      <c r="G4572" s="7" t="n">
        <v>301.7701110839844</v>
      </c>
      <c r="H4572" s="6">
        <f>P4541</f>
        <v/>
      </c>
      <c r="I4572" s="9">
        <f>Q4541</f>
        <v/>
      </c>
      <c r="J4572" s="7">
        <f>I4572*G4572</f>
        <v/>
      </c>
      <c r="K4572" s="8">
        <f>IF($J$4589=0,0,J4572/$J$4589)</f>
        <v/>
      </c>
      <c r="L4572" s="6" t="inlineStr">
        <is>
          <t>SELECTED</t>
        </is>
      </c>
      <c r="M4572" s="8" t="n">
        <v>0.2</v>
      </c>
      <c r="N4572" s="7">
        <f>M4572*$J$4589-J4572</f>
        <v/>
      </c>
      <c r="O4572" s="9">
        <f>IF(G4572=0,0,N4572/G4572)</f>
        <v/>
      </c>
      <c r="P4572" s="6">
        <f>IF(M4572&gt;0,D4572,"")</f>
        <v/>
      </c>
      <c r="Q4572" s="9">
        <f>I4572+O4572</f>
        <v/>
      </c>
      <c r="R4572" s="7">
        <f>Q4572*G4572</f>
        <v/>
      </c>
      <c r="S4572" s="8">
        <f>IF($R$4589=0,0,R4572/$R$4589)</f>
        <v/>
      </c>
      <c r="T4572" s="8" t="n">
        <v>-0.01591459281281082</v>
      </c>
      <c r="U4572" s="8" t="n">
        <v>0.007327395158095218</v>
      </c>
      <c r="V4572" s="6" t="inlineStr">
        <is>
          <t>remained in weekly selection</t>
        </is>
      </c>
    </row>
    <row r="4573">
      <c r="A4573" s="6" t="inlineStr">
        <is>
          <t>DJ30</t>
        </is>
      </c>
      <c r="B4573" s="6" t="inlineStr">
        <is>
          <t>2025-10-31</t>
        </is>
      </c>
      <c r="C4573" s="6" t="inlineStr">
        <is>
          <t>DIA</t>
        </is>
      </c>
      <c r="D4573" s="6" t="inlineStr">
        <is>
          <t>JNJ</t>
        </is>
      </c>
      <c r="E4573" s="6" t="inlineStr">
        <is>
          <t>JNJ</t>
        </is>
      </c>
      <c r="F4573" s="6" t="inlineStr">
        <is>
          <t>-</t>
        </is>
      </c>
      <c r="G4573" s="7" t="n">
        <v>185.6184387207031</v>
      </c>
      <c r="H4573" s="6">
        <f>P4542</f>
        <v/>
      </c>
      <c r="I4573" s="9">
        <f>Q4542</f>
        <v/>
      </c>
      <c r="J4573" s="7">
        <f>I4573*G4573</f>
        <v/>
      </c>
      <c r="K4573" s="8">
        <f>IF($J$4589=0,0,J4573/$J$4589)</f>
        <v/>
      </c>
      <c r="L4573" s="6" t="inlineStr">
        <is>
          <t>SELECTED</t>
        </is>
      </c>
      <c r="M4573" s="8" t="n">
        <v>0.2</v>
      </c>
      <c r="N4573" s="7">
        <f>M4573*$J$4589-J4573</f>
        <v/>
      </c>
      <c r="O4573" s="9">
        <f>IF(G4573=0,0,N4573/G4573)</f>
        <v/>
      </c>
      <c r="P4573" s="6">
        <f>IF(M4573&gt;0,D4573,"")</f>
        <v/>
      </c>
      <c r="Q4573" s="9">
        <f>I4573+O4573</f>
        <v/>
      </c>
      <c r="R4573" s="7">
        <f>Q4573*G4573</f>
        <v/>
      </c>
      <c r="S4573" s="8">
        <f>IF($R$4589=0,0,R4573/$R$4589)</f>
        <v/>
      </c>
      <c r="T4573" s="8" t="n">
        <v>-0.01591459281281082</v>
      </c>
      <c r="U4573" s="8" t="n">
        <v>0.007327395158095218</v>
      </c>
      <c r="V4573" s="6" t="inlineStr">
        <is>
          <t>remained in weekly selection</t>
        </is>
      </c>
    </row>
    <row r="4574">
      <c r="A4574" s="6" t="inlineStr">
        <is>
          <t>DJ30</t>
        </is>
      </c>
      <c r="B4574" s="6" t="inlineStr">
        <is>
          <t>2025-10-31</t>
        </is>
      </c>
      <c r="C4574" s="6" t="inlineStr">
        <is>
          <t>DIA</t>
        </is>
      </c>
      <c r="D4574" s="6" t="inlineStr">
        <is>
          <t>JPM</t>
        </is>
      </c>
      <c r="E4574" s="6" t="inlineStr">
        <is>
          <t>JPM</t>
        </is>
      </c>
      <c r="F4574" s="6" t="inlineStr">
        <is>
          <t>-</t>
        </is>
      </c>
      <c r="G4574" s="7" t="n">
        <v>308.1459045410156</v>
      </c>
      <c r="H4574" s="6">
        <f>P4543</f>
        <v/>
      </c>
      <c r="I4574" s="9">
        <f>Q4543</f>
        <v/>
      </c>
      <c r="J4574" s="7">
        <f>I4574*G4574</f>
        <v/>
      </c>
      <c r="K4574" s="8">
        <f>IF($J$4589=0,0,J4574/$J$4589)</f>
        <v/>
      </c>
      <c r="L4574" s="6" t="inlineStr">
        <is>
          <t>WATCHLIST</t>
        </is>
      </c>
      <c r="M4574" s="8" t="n">
        <v>0</v>
      </c>
      <c r="N4574" s="7">
        <f>M4574*$J$4589-J4574</f>
        <v/>
      </c>
      <c r="O4574" s="9">
        <f>IF(G4574=0,0,N4574/G4574)</f>
        <v/>
      </c>
      <c r="P4574" s="6">
        <f>IF(M4574&gt;0,D4574,"")</f>
        <v/>
      </c>
      <c r="Q4574" s="9">
        <f>I4574+O4574</f>
        <v/>
      </c>
      <c r="R4574" s="7">
        <f>Q4574*G4574</f>
        <v/>
      </c>
      <c r="S4574" s="8">
        <f>IF($R$4589=0,0,R4574/$R$4589)</f>
        <v/>
      </c>
      <c r="T4574" s="8" t="n">
        <v>-0.01591459281281082</v>
      </c>
      <c r="U4574" s="8" t="n">
        <v>0.007327395158095218</v>
      </c>
      <c r="V4574" s="6" t="inlineStr">
        <is>
          <t>removed from weekly selection</t>
        </is>
      </c>
    </row>
    <row r="4575">
      <c r="A4575" s="6" t="inlineStr">
        <is>
          <t>DJ30</t>
        </is>
      </c>
      <c r="B4575" s="6" t="inlineStr">
        <is>
          <t>2025-10-31</t>
        </is>
      </c>
      <c r="C4575" s="6" t="inlineStr">
        <is>
          <t>DIA</t>
        </is>
      </c>
      <c r="D4575" s="6" t="inlineStr">
        <is>
          <t>KO</t>
        </is>
      </c>
      <c r="E4575" s="6" t="inlineStr">
        <is>
          <t>KO</t>
        </is>
      </c>
      <c r="F4575" s="6" t="inlineStr">
        <is>
          <t>-</t>
        </is>
      </c>
      <c r="G4575" s="7" t="n">
        <v>67.51629638671875</v>
      </c>
      <c r="H4575" s="6">
        <f>P4544</f>
        <v/>
      </c>
      <c r="I4575" s="9">
        <f>Q4544</f>
        <v/>
      </c>
      <c r="J4575" s="7">
        <f>I4575*G4575</f>
        <v/>
      </c>
      <c r="K4575" s="8">
        <f>IF($J$4589=0,0,J4575/$J$4589)</f>
        <v/>
      </c>
      <c r="L4575" s="6" t="inlineStr">
        <is>
          <t>WATCHLIST</t>
        </is>
      </c>
      <c r="M4575" s="8" t="n">
        <v>0</v>
      </c>
      <c r="N4575" s="7">
        <f>M4575*$J$4589-J4575</f>
        <v/>
      </c>
      <c r="O4575" s="9">
        <f>IF(G4575=0,0,N4575/G4575)</f>
        <v/>
      </c>
      <c r="P4575" s="6">
        <f>IF(M4575&gt;0,D4575,"")</f>
        <v/>
      </c>
      <c r="Q4575" s="9">
        <f>I4575+O4575</f>
        <v/>
      </c>
      <c r="R4575" s="7">
        <f>Q4575*G4575</f>
        <v/>
      </c>
      <c r="S4575" s="8">
        <f>IF($R$4589=0,0,R4575/$R$4589)</f>
        <v/>
      </c>
      <c r="T4575" s="8" t="n">
        <v>-0.01591459281281082</v>
      </c>
      <c r="U4575" s="8" t="n">
        <v>0.007327395158095218</v>
      </c>
      <c r="V4575" s="6" t="inlineStr">
        <is>
          <t>not selected</t>
        </is>
      </c>
    </row>
    <row r="4576">
      <c r="A4576" s="6" t="inlineStr">
        <is>
          <t>DJ30</t>
        </is>
      </c>
      <c r="B4576" s="6" t="inlineStr">
        <is>
          <t>2025-10-31</t>
        </is>
      </c>
      <c r="C4576" s="6" t="inlineStr">
        <is>
          <t>DIA</t>
        </is>
      </c>
      <c r="D4576" s="6" t="inlineStr">
        <is>
          <t>MCD</t>
        </is>
      </c>
      <c r="E4576" s="6" t="inlineStr">
        <is>
          <t>MCD</t>
        </is>
      </c>
      <c r="F4576" s="6" t="inlineStr">
        <is>
          <t>-</t>
        </is>
      </c>
      <c r="G4576" s="7" t="n">
        <v>293.0146179199219</v>
      </c>
      <c r="H4576" s="6">
        <f>P4545</f>
        <v/>
      </c>
      <c r="I4576" s="9">
        <f>Q4545</f>
        <v/>
      </c>
      <c r="J4576" s="7">
        <f>I4576*G4576</f>
        <v/>
      </c>
      <c r="K4576" s="8">
        <f>IF($J$4589=0,0,J4576/$J$4589)</f>
        <v/>
      </c>
      <c r="L4576" s="6" t="inlineStr">
        <is>
          <t>REJECTED</t>
        </is>
      </c>
      <c r="M4576" s="8" t="n">
        <v>0</v>
      </c>
      <c r="N4576" s="7">
        <f>M4576*$J$4589-J4576</f>
        <v/>
      </c>
      <c r="O4576" s="9">
        <f>IF(G4576=0,0,N4576/G4576)</f>
        <v/>
      </c>
      <c r="P4576" s="6">
        <f>IF(M4576&gt;0,D4576,"")</f>
        <v/>
      </c>
      <c r="Q4576" s="9">
        <f>I4576+O4576</f>
        <v/>
      </c>
      <c r="R4576" s="7">
        <f>Q4576*G4576</f>
        <v/>
      </c>
      <c r="S4576" s="8">
        <f>IF($R$4589=0,0,R4576/$R$4589)</f>
        <v/>
      </c>
      <c r="T4576" s="8" t="n">
        <v>-0.01591459281281082</v>
      </c>
      <c r="U4576" s="8" t="n">
        <v>0.007327395158095218</v>
      </c>
      <c r="V4576" s="6" t="inlineStr">
        <is>
          <t>not selected</t>
        </is>
      </c>
    </row>
    <row r="4577">
      <c r="A4577" s="6" t="inlineStr">
        <is>
          <t>DJ30</t>
        </is>
      </c>
      <c r="B4577" s="6" t="inlineStr">
        <is>
          <t>2025-10-31</t>
        </is>
      </c>
      <c r="C4577" s="6" t="inlineStr">
        <is>
          <t>DIA</t>
        </is>
      </c>
      <c r="D4577" s="6" t="inlineStr">
        <is>
          <t>MMM</t>
        </is>
      </c>
      <c r="E4577" s="6" t="inlineStr">
        <is>
          <t>MMM</t>
        </is>
      </c>
      <c r="F4577" s="6" t="inlineStr">
        <is>
          <t>-</t>
        </is>
      </c>
      <c r="G4577" s="7" t="n">
        <v>164.1978607177734</v>
      </c>
      <c r="H4577" s="6">
        <f>P4546</f>
        <v/>
      </c>
      <c r="I4577" s="9">
        <f>Q4546</f>
        <v/>
      </c>
      <c r="J4577" s="7">
        <f>I4577*G4577</f>
        <v/>
      </c>
      <c r="K4577" s="8">
        <f>IF($J$4589=0,0,J4577/$J$4589)</f>
        <v/>
      </c>
      <c r="L4577" s="6" t="inlineStr">
        <is>
          <t>WATCHLIST</t>
        </is>
      </c>
      <c r="M4577" s="8" t="n">
        <v>0</v>
      </c>
      <c r="N4577" s="7">
        <f>M4577*$J$4589-J4577</f>
        <v/>
      </c>
      <c r="O4577" s="9">
        <f>IF(G4577=0,0,N4577/G4577)</f>
        <v/>
      </c>
      <c r="P4577" s="6">
        <f>IF(M4577&gt;0,D4577,"")</f>
        <v/>
      </c>
      <c r="Q4577" s="9">
        <f>I4577+O4577</f>
        <v/>
      </c>
      <c r="R4577" s="7">
        <f>Q4577*G4577</f>
        <v/>
      </c>
      <c r="S4577" s="8">
        <f>IF($R$4589=0,0,R4577/$R$4589)</f>
        <v/>
      </c>
      <c r="T4577" s="8" t="n">
        <v>-0.01591459281281082</v>
      </c>
      <c r="U4577" s="8" t="n">
        <v>0.007327395158095218</v>
      </c>
      <c r="V4577" s="6" t="inlineStr">
        <is>
          <t>not selected</t>
        </is>
      </c>
    </row>
    <row r="4578">
      <c r="A4578" s="6" t="inlineStr">
        <is>
          <t>DJ30</t>
        </is>
      </c>
      <c r="B4578" s="6" t="inlineStr">
        <is>
          <t>2025-10-31</t>
        </is>
      </c>
      <c r="C4578" s="6" t="inlineStr">
        <is>
          <t>DIA</t>
        </is>
      </c>
      <c r="D4578" s="6" t="inlineStr">
        <is>
          <t>MRK</t>
        </is>
      </c>
      <c r="E4578" s="6" t="inlineStr">
        <is>
          <t>MRK</t>
        </is>
      </c>
      <c r="F4578" s="6" t="inlineStr">
        <is>
          <t>-</t>
        </is>
      </c>
      <c r="G4578" s="7" t="n">
        <v>84.02035522460938</v>
      </c>
      <c r="H4578" s="6">
        <f>P4547</f>
        <v/>
      </c>
      <c r="I4578" s="9">
        <f>Q4547</f>
        <v/>
      </c>
      <c r="J4578" s="7">
        <f>I4578*G4578</f>
        <v/>
      </c>
      <c r="K4578" s="8">
        <f>IF($J$4589=0,0,J4578/$J$4589)</f>
        <v/>
      </c>
      <c r="L4578" s="6" t="inlineStr">
        <is>
          <t>REJECTED</t>
        </is>
      </c>
      <c r="M4578" s="8" t="n">
        <v>0</v>
      </c>
      <c r="N4578" s="7">
        <f>M4578*$J$4589-J4578</f>
        <v/>
      </c>
      <c r="O4578" s="9">
        <f>IF(G4578=0,0,N4578/G4578)</f>
        <v/>
      </c>
      <c r="P4578" s="6">
        <f>IF(M4578&gt;0,D4578,"")</f>
        <v/>
      </c>
      <c r="Q4578" s="9">
        <f>I4578+O4578</f>
        <v/>
      </c>
      <c r="R4578" s="7">
        <f>Q4578*G4578</f>
        <v/>
      </c>
      <c r="S4578" s="8">
        <f>IF($R$4589=0,0,R4578/$R$4589)</f>
        <v/>
      </c>
      <c r="T4578" s="8" t="n">
        <v>-0.01591459281281082</v>
      </c>
      <c r="U4578" s="8" t="n">
        <v>0.007327395158095218</v>
      </c>
      <c r="V4578" s="6" t="inlineStr">
        <is>
          <t>not selected</t>
        </is>
      </c>
    </row>
    <row r="4579">
      <c r="A4579" s="6" t="inlineStr">
        <is>
          <t>DJ30</t>
        </is>
      </c>
      <c r="B4579" s="6" t="inlineStr">
        <is>
          <t>2025-10-31</t>
        </is>
      </c>
      <c r="C4579" s="6" t="inlineStr">
        <is>
          <t>DIA</t>
        </is>
      </c>
      <c r="D4579" s="6" t="inlineStr">
        <is>
          <t>MSFT</t>
        </is>
      </c>
      <c r="E4579" s="6" t="inlineStr">
        <is>
          <t>MSFT</t>
        </is>
      </c>
      <c r="F4579" s="6" t="inlineStr">
        <is>
          <t>-</t>
        </is>
      </c>
      <c r="G4579" s="7" t="n">
        <v>514.5512084960938</v>
      </c>
      <c r="H4579" s="6">
        <f>P4548</f>
        <v/>
      </c>
      <c r="I4579" s="9">
        <f>Q4548</f>
        <v/>
      </c>
      <c r="J4579" s="7">
        <f>I4579*G4579</f>
        <v/>
      </c>
      <c r="K4579" s="8">
        <f>IF($J$4589=0,0,J4579/$J$4589)</f>
        <v/>
      </c>
      <c r="L4579" s="6" t="inlineStr">
        <is>
          <t>WATCHLIST</t>
        </is>
      </c>
      <c r="M4579" s="8" t="n">
        <v>0</v>
      </c>
      <c r="N4579" s="7">
        <f>M4579*$J$4589-J4579</f>
        <v/>
      </c>
      <c r="O4579" s="9">
        <f>IF(G4579=0,0,N4579/G4579)</f>
        <v/>
      </c>
      <c r="P4579" s="6">
        <f>IF(M4579&gt;0,D4579,"")</f>
        <v/>
      </c>
      <c r="Q4579" s="9">
        <f>I4579+O4579</f>
        <v/>
      </c>
      <c r="R4579" s="7">
        <f>Q4579*G4579</f>
        <v/>
      </c>
      <c r="S4579" s="8">
        <f>IF($R$4589=0,0,R4579/$R$4589)</f>
        <v/>
      </c>
      <c r="T4579" s="8" t="n">
        <v>-0.01591459281281082</v>
      </c>
      <c r="U4579" s="8" t="n">
        <v>0.007327395158095218</v>
      </c>
      <c r="V4579" s="6" t="inlineStr">
        <is>
          <t>removed from weekly selection</t>
        </is>
      </c>
    </row>
    <row r="4580">
      <c r="A4580" s="6" t="inlineStr">
        <is>
          <t>DJ30</t>
        </is>
      </c>
      <c r="B4580" s="6" t="inlineStr">
        <is>
          <t>2025-10-31</t>
        </is>
      </c>
      <c r="C4580" s="6" t="inlineStr">
        <is>
          <t>DIA</t>
        </is>
      </c>
      <c r="D4580" s="6" t="inlineStr">
        <is>
          <t>NKE</t>
        </is>
      </c>
      <c r="E4580" s="6" t="inlineStr">
        <is>
          <t>NKE</t>
        </is>
      </c>
      <c r="F4580" s="6" t="inlineStr">
        <is>
          <t>-</t>
        </is>
      </c>
      <c r="G4580" s="7" t="n">
        <v>63.19161987304688</v>
      </c>
      <c r="H4580" s="6">
        <f>P4549</f>
        <v/>
      </c>
      <c r="I4580" s="9">
        <f>Q4549</f>
        <v/>
      </c>
      <c r="J4580" s="7">
        <f>I4580*G4580</f>
        <v/>
      </c>
      <c r="K4580" s="8">
        <f>IF($J$4589=0,0,J4580/$J$4589)</f>
        <v/>
      </c>
      <c r="L4580" s="6" t="inlineStr">
        <is>
          <t>REJECTED</t>
        </is>
      </c>
      <c r="M4580" s="8" t="n">
        <v>0</v>
      </c>
      <c r="N4580" s="7">
        <f>M4580*$J$4589-J4580</f>
        <v/>
      </c>
      <c r="O4580" s="9">
        <f>IF(G4580=0,0,N4580/G4580)</f>
        <v/>
      </c>
      <c r="P4580" s="6">
        <f>IF(M4580&gt;0,D4580,"")</f>
        <v/>
      </c>
      <c r="Q4580" s="9">
        <f>I4580+O4580</f>
        <v/>
      </c>
      <c r="R4580" s="7">
        <f>Q4580*G4580</f>
        <v/>
      </c>
      <c r="S4580" s="8">
        <f>IF($R$4589=0,0,R4580/$R$4589)</f>
        <v/>
      </c>
      <c r="T4580" s="8" t="n">
        <v>-0.01591459281281082</v>
      </c>
      <c r="U4580" s="8" t="n">
        <v>0.007327395158095218</v>
      </c>
      <c r="V4580" s="6" t="inlineStr">
        <is>
          <t>not selected</t>
        </is>
      </c>
    </row>
    <row r="4581">
      <c r="A4581" s="6" t="inlineStr">
        <is>
          <t>DJ30</t>
        </is>
      </c>
      <c r="B4581" s="6" t="inlineStr">
        <is>
          <t>2025-10-31</t>
        </is>
      </c>
      <c r="C4581" s="6" t="inlineStr">
        <is>
          <t>DIA</t>
        </is>
      </c>
      <c r="D4581" s="6" t="inlineStr">
        <is>
          <t>NVDA</t>
        </is>
      </c>
      <c r="E4581" s="6" t="inlineStr">
        <is>
          <t>NVDA</t>
        </is>
      </c>
      <c r="F4581" s="6" t="inlineStr">
        <is>
          <t>-</t>
        </is>
      </c>
      <c r="G4581" s="7" t="n">
        <v>202.2320709228516</v>
      </c>
      <c r="H4581" s="6">
        <f>P4550</f>
        <v/>
      </c>
      <c r="I4581" s="9">
        <f>Q4550</f>
        <v/>
      </c>
      <c r="J4581" s="7">
        <f>I4581*G4581</f>
        <v/>
      </c>
      <c r="K4581" s="8">
        <f>IF($J$4589=0,0,J4581/$J$4589)</f>
        <v/>
      </c>
      <c r="L4581" s="6" t="inlineStr">
        <is>
          <t>WATCHLIST</t>
        </is>
      </c>
      <c r="M4581" s="8" t="n">
        <v>0</v>
      </c>
      <c r="N4581" s="7">
        <f>M4581*$J$4589-J4581</f>
        <v/>
      </c>
      <c r="O4581" s="9">
        <f>IF(G4581=0,0,N4581/G4581)</f>
        <v/>
      </c>
      <c r="P4581" s="6">
        <f>IF(M4581&gt;0,D4581,"")</f>
        <v/>
      </c>
      <c r="Q4581" s="9">
        <f>I4581+O4581</f>
        <v/>
      </c>
      <c r="R4581" s="7">
        <f>Q4581*G4581</f>
        <v/>
      </c>
      <c r="S4581" s="8">
        <f>IF($R$4589=0,0,R4581/$R$4589)</f>
        <v/>
      </c>
      <c r="T4581" s="8" t="n">
        <v>-0.01591459281281082</v>
      </c>
      <c r="U4581" s="8" t="n">
        <v>0.007327395158095218</v>
      </c>
      <c r="V4581" s="6" t="inlineStr">
        <is>
          <t>not selected</t>
        </is>
      </c>
    </row>
    <row r="4582">
      <c r="A4582" s="6" t="inlineStr">
        <is>
          <t>DJ30</t>
        </is>
      </c>
      <c r="B4582" s="6" t="inlineStr">
        <is>
          <t>2025-10-31</t>
        </is>
      </c>
      <c r="C4582" s="6" t="inlineStr">
        <is>
          <t>DIA</t>
        </is>
      </c>
      <c r="D4582" s="6" t="inlineStr">
        <is>
          <t>PG</t>
        </is>
      </c>
      <c r="E4582" s="6" t="inlineStr">
        <is>
          <t>PG</t>
        </is>
      </c>
      <c r="F4582" s="6" t="inlineStr">
        <is>
          <t>-</t>
        </is>
      </c>
      <c r="G4582" s="7" t="n">
        <v>148.1939849853516</v>
      </c>
      <c r="H4582" s="6">
        <f>P4551</f>
        <v/>
      </c>
      <c r="I4582" s="9">
        <f>Q4551</f>
        <v/>
      </c>
      <c r="J4582" s="7">
        <f>I4582*G4582</f>
        <v/>
      </c>
      <c r="K4582" s="8">
        <f>IF($J$4589=0,0,J4582/$J$4589)</f>
        <v/>
      </c>
      <c r="L4582" s="6" t="inlineStr">
        <is>
          <t>REJECTED</t>
        </is>
      </c>
      <c r="M4582" s="8" t="n">
        <v>0</v>
      </c>
      <c r="N4582" s="7">
        <f>M4582*$J$4589-J4582</f>
        <v/>
      </c>
      <c r="O4582" s="9">
        <f>IF(G4582=0,0,N4582/G4582)</f>
        <v/>
      </c>
      <c r="P4582" s="6">
        <f>IF(M4582&gt;0,D4582,"")</f>
        <v/>
      </c>
      <c r="Q4582" s="9">
        <f>I4582+O4582</f>
        <v/>
      </c>
      <c r="R4582" s="7">
        <f>Q4582*G4582</f>
        <v/>
      </c>
      <c r="S4582" s="8">
        <f>IF($R$4589=0,0,R4582/$R$4589)</f>
        <v/>
      </c>
      <c r="T4582" s="8" t="n">
        <v>-0.01591459281281082</v>
      </c>
      <c r="U4582" s="8" t="n">
        <v>0.007327395158095218</v>
      </c>
      <c r="V4582" s="6" t="inlineStr">
        <is>
          <t>not selected</t>
        </is>
      </c>
    </row>
    <row r="4583">
      <c r="A4583" s="6" t="inlineStr">
        <is>
          <t>DJ30</t>
        </is>
      </c>
      <c r="B4583" s="6" t="inlineStr">
        <is>
          <t>2025-10-31</t>
        </is>
      </c>
      <c r="C4583" s="6" t="inlineStr">
        <is>
          <t>DIA</t>
        </is>
      </c>
      <c r="D4583" s="6" t="inlineStr">
        <is>
          <t>SHW</t>
        </is>
      </c>
      <c r="E4583" s="6" t="inlineStr">
        <is>
          <t>SHW</t>
        </is>
      </c>
      <c r="F4583" s="6" t="inlineStr">
        <is>
          <t>-</t>
        </is>
      </c>
      <c r="G4583" s="7" t="n">
        <v>342.4884643554688</v>
      </c>
      <c r="H4583" s="6">
        <f>P4552</f>
        <v/>
      </c>
      <c r="I4583" s="9">
        <f>Q4552</f>
        <v/>
      </c>
      <c r="J4583" s="7">
        <f>I4583*G4583</f>
        <v/>
      </c>
      <c r="K4583" s="8">
        <f>IF($J$4589=0,0,J4583/$J$4589)</f>
        <v/>
      </c>
      <c r="L4583" s="6" t="inlineStr">
        <is>
          <t>REJECTED</t>
        </is>
      </c>
      <c r="M4583" s="8" t="n">
        <v>0</v>
      </c>
      <c r="N4583" s="7">
        <f>M4583*$J$4589-J4583</f>
        <v/>
      </c>
      <c r="O4583" s="9">
        <f>IF(G4583=0,0,N4583/G4583)</f>
        <v/>
      </c>
      <c r="P4583" s="6">
        <f>IF(M4583&gt;0,D4583,"")</f>
        <v/>
      </c>
      <c r="Q4583" s="9">
        <f>I4583+O4583</f>
        <v/>
      </c>
      <c r="R4583" s="7">
        <f>Q4583*G4583</f>
        <v/>
      </c>
      <c r="S4583" s="8">
        <f>IF($R$4589=0,0,R4583/$R$4589)</f>
        <v/>
      </c>
      <c r="T4583" s="8" t="n">
        <v>-0.01591459281281082</v>
      </c>
      <c r="U4583" s="8" t="n">
        <v>0.007327395158095218</v>
      </c>
      <c r="V4583" s="6" t="inlineStr">
        <is>
          <t>not selected</t>
        </is>
      </c>
    </row>
    <row r="4584">
      <c r="A4584" s="6" t="inlineStr">
        <is>
          <t>DJ30</t>
        </is>
      </c>
      <c r="B4584" s="6" t="inlineStr">
        <is>
          <t>2025-10-31</t>
        </is>
      </c>
      <c r="C4584" s="6" t="inlineStr">
        <is>
          <t>DIA</t>
        </is>
      </c>
      <c r="D4584" s="6" t="inlineStr">
        <is>
          <t>TRV</t>
        </is>
      </c>
      <c r="E4584" s="6" t="inlineStr">
        <is>
          <t>TRV</t>
        </is>
      </c>
      <c r="F4584" s="6" t="inlineStr">
        <is>
          <t>-</t>
        </is>
      </c>
      <c r="G4584" s="7" t="n">
        <v>265.4809265136719</v>
      </c>
      <c r="H4584" s="6">
        <f>P4553</f>
        <v/>
      </c>
      <c r="I4584" s="9">
        <f>Q4553</f>
        <v/>
      </c>
      <c r="J4584" s="7">
        <f>I4584*G4584</f>
        <v/>
      </c>
      <c r="K4584" s="8">
        <f>IF($J$4589=0,0,J4584/$J$4589)</f>
        <v/>
      </c>
      <c r="L4584" s="6" t="inlineStr">
        <is>
          <t>WATCHLIST</t>
        </is>
      </c>
      <c r="M4584" s="8" t="n">
        <v>0</v>
      </c>
      <c r="N4584" s="7">
        <f>M4584*$J$4589-J4584</f>
        <v/>
      </c>
      <c r="O4584" s="9">
        <f>IF(G4584=0,0,N4584/G4584)</f>
        <v/>
      </c>
      <c r="P4584" s="6">
        <f>IF(M4584&gt;0,D4584,"")</f>
        <v/>
      </c>
      <c r="Q4584" s="9">
        <f>I4584+O4584</f>
        <v/>
      </c>
      <c r="R4584" s="7">
        <f>Q4584*G4584</f>
        <v/>
      </c>
      <c r="S4584" s="8">
        <f>IF($R$4589=0,0,R4584/$R$4589)</f>
        <v/>
      </c>
      <c r="T4584" s="8" t="n">
        <v>-0.01591459281281082</v>
      </c>
      <c r="U4584" s="8" t="n">
        <v>0.007327395158095218</v>
      </c>
      <c r="V4584" s="6" t="inlineStr">
        <is>
          <t>not selected</t>
        </is>
      </c>
    </row>
    <row r="4585">
      <c r="A4585" s="6" t="inlineStr">
        <is>
          <t>DJ30</t>
        </is>
      </c>
      <c r="B4585" s="6" t="inlineStr">
        <is>
          <t>2025-10-31</t>
        </is>
      </c>
      <c r="C4585" s="6" t="inlineStr">
        <is>
          <t>DIA</t>
        </is>
      </c>
      <c r="D4585" s="6" t="inlineStr">
        <is>
          <t>UNH</t>
        </is>
      </c>
      <c r="E4585" s="6" t="inlineStr">
        <is>
          <t>UNH</t>
        </is>
      </c>
      <c r="F4585" s="6" t="inlineStr">
        <is>
          <t>-</t>
        </is>
      </c>
      <c r="G4585" s="7" t="n">
        <v>334.7496643066406</v>
      </c>
      <c r="H4585" s="6">
        <f>P4554</f>
        <v/>
      </c>
      <c r="I4585" s="9">
        <f>Q4554</f>
        <v/>
      </c>
      <c r="J4585" s="7">
        <f>I4585*G4585</f>
        <v/>
      </c>
      <c r="K4585" s="8">
        <f>IF($J$4589=0,0,J4585/$J$4589)</f>
        <v/>
      </c>
      <c r="L4585" s="6" t="inlineStr">
        <is>
          <t>REJECTED</t>
        </is>
      </c>
      <c r="M4585" s="8" t="n">
        <v>0</v>
      </c>
      <c r="N4585" s="7">
        <f>M4585*$J$4589-J4585</f>
        <v/>
      </c>
      <c r="O4585" s="9">
        <f>IF(G4585=0,0,N4585/G4585)</f>
        <v/>
      </c>
      <c r="P4585" s="6">
        <f>IF(M4585&gt;0,D4585,"")</f>
        <v/>
      </c>
      <c r="Q4585" s="9">
        <f>I4585+O4585</f>
        <v/>
      </c>
      <c r="R4585" s="7">
        <f>Q4585*G4585</f>
        <v/>
      </c>
      <c r="S4585" s="8">
        <f>IF($R$4589=0,0,R4585/$R$4589)</f>
        <v/>
      </c>
      <c r="T4585" s="8" t="n">
        <v>-0.01591459281281082</v>
      </c>
      <c r="U4585" s="8" t="n">
        <v>0.007327395158095218</v>
      </c>
      <c r="V4585" s="6" t="inlineStr">
        <is>
          <t>not selected</t>
        </is>
      </c>
    </row>
    <row r="4586">
      <c r="A4586" s="6" t="inlineStr">
        <is>
          <t>DJ30</t>
        </is>
      </c>
      <c r="B4586" s="6" t="inlineStr">
        <is>
          <t>2025-10-31</t>
        </is>
      </c>
      <c r="C4586" s="6" t="inlineStr">
        <is>
          <t>DIA</t>
        </is>
      </c>
      <c r="D4586" s="6" t="inlineStr">
        <is>
          <t>V</t>
        </is>
      </c>
      <c r="E4586" s="6" t="inlineStr">
        <is>
          <t>V</t>
        </is>
      </c>
      <c r="F4586" s="6" t="inlineStr">
        <is>
          <t>-</t>
        </is>
      </c>
      <c r="G4586" s="7" t="n">
        <v>338.6645202636719</v>
      </c>
      <c r="H4586" s="6">
        <f>P4555</f>
        <v/>
      </c>
      <c r="I4586" s="9">
        <f>Q4555</f>
        <v/>
      </c>
      <c r="J4586" s="7">
        <f>I4586*G4586</f>
        <v/>
      </c>
      <c r="K4586" s="8">
        <f>IF($J$4589=0,0,J4586/$J$4589)</f>
        <v/>
      </c>
      <c r="L4586" s="6" t="inlineStr">
        <is>
          <t>WATCHLIST</t>
        </is>
      </c>
      <c r="M4586" s="8" t="n">
        <v>0</v>
      </c>
      <c r="N4586" s="7">
        <f>M4586*$J$4589-J4586</f>
        <v/>
      </c>
      <c r="O4586" s="9">
        <f>IF(G4586=0,0,N4586/G4586)</f>
        <v/>
      </c>
      <c r="P4586" s="6">
        <f>IF(M4586&gt;0,D4586,"")</f>
        <v/>
      </c>
      <c r="Q4586" s="9">
        <f>I4586+O4586</f>
        <v/>
      </c>
      <c r="R4586" s="7">
        <f>Q4586*G4586</f>
        <v/>
      </c>
      <c r="S4586" s="8">
        <f>IF($R$4589=0,0,R4586/$R$4589)</f>
        <v/>
      </c>
      <c r="T4586" s="8" t="n">
        <v>-0.01591459281281082</v>
      </c>
      <c r="U4586" s="8" t="n">
        <v>0.007327395158095218</v>
      </c>
      <c r="V4586" s="6" t="inlineStr">
        <is>
          <t>not selected</t>
        </is>
      </c>
    </row>
    <row r="4587">
      <c r="A4587" s="6" t="inlineStr">
        <is>
          <t>DJ30</t>
        </is>
      </c>
      <c r="B4587" s="6" t="inlineStr">
        <is>
          <t>2025-10-31</t>
        </is>
      </c>
      <c r="C4587" s="6" t="inlineStr">
        <is>
          <t>DIA</t>
        </is>
      </c>
      <c r="D4587" s="6" t="inlineStr">
        <is>
          <t>VZ</t>
        </is>
      </c>
      <c r="E4587" s="6" t="inlineStr">
        <is>
          <t>VZ</t>
        </is>
      </c>
      <c r="F4587" s="6" t="inlineStr">
        <is>
          <t>-</t>
        </is>
      </c>
      <c r="G4587" s="7" t="n">
        <v>38.48345947265625</v>
      </c>
      <c r="H4587" s="6">
        <f>P4556</f>
        <v/>
      </c>
      <c r="I4587" s="9">
        <f>Q4556</f>
        <v/>
      </c>
      <c r="J4587" s="7">
        <f>I4587*G4587</f>
        <v/>
      </c>
      <c r="K4587" s="8">
        <f>IF($J$4589=0,0,J4587/$J$4589)</f>
        <v/>
      </c>
      <c r="L4587" s="6" t="inlineStr">
        <is>
          <t>WATCHLIST</t>
        </is>
      </c>
      <c r="M4587" s="8" t="n">
        <v>0</v>
      </c>
      <c r="N4587" s="7">
        <f>M4587*$J$4589-J4587</f>
        <v/>
      </c>
      <c r="O4587" s="9">
        <f>IF(G4587=0,0,N4587/G4587)</f>
        <v/>
      </c>
      <c r="P4587" s="6">
        <f>IF(M4587&gt;0,D4587,"")</f>
        <v/>
      </c>
      <c r="Q4587" s="9">
        <f>I4587+O4587</f>
        <v/>
      </c>
      <c r="R4587" s="7">
        <f>Q4587*G4587</f>
        <v/>
      </c>
      <c r="S4587" s="8">
        <f>IF($R$4589=0,0,R4587/$R$4589)</f>
        <v/>
      </c>
      <c r="T4587" s="8" t="n">
        <v>-0.01591459281281082</v>
      </c>
      <c r="U4587" s="8" t="n">
        <v>0.007327395158095218</v>
      </c>
      <c r="V4587" s="6" t="inlineStr">
        <is>
          <t>not selected</t>
        </is>
      </c>
    </row>
    <row r="4588">
      <c r="A4588" s="6" t="inlineStr">
        <is>
          <t>DJ30</t>
        </is>
      </c>
      <c r="B4588" s="6" t="inlineStr">
        <is>
          <t>2025-10-31</t>
        </is>
      </c>
      <c r="C4588" s="6" t="inlineStr">
        <is>
          <t>DIA</t>
        </is>
      </c>
      <c r="D4588" s="6" t="inlineStr">
        <is>
          <t>WMT</t>
        </is>
      </c>
      <c r="E4588" s="6" t="inlineStr">
        <is>
          <t>WMT</t>
        </is>
      </c>
      <c r="F4588" s="6" t="inlineStr">
        <is>
          <t>-</t>
        </is>
      </c>
      <c r="G4588" s="7" t="n">
        <v>100.5754241943359</v>
      </c>
      <c r="H4588" s="6">
        <f>P4557</f>
        <v/>
      </c>
      <c r="I4588" s="9">
        <f>Q4557</f>
        <v/>
      </c>
      <c r="J4588" s="7">
        <f>I4588*G4588</f>
        <v/>
      </c>
      <c r="K4588" s="8">
        <f>IF($J$4589=0,0,J4588/$J$4589)</f>
        <v/>
      </c>
      <c r="L4588" s="6" t="inlineStr">
        <is>
          <t>WATCHLIST</t>
        </is>
      </c>
      <c r="M4588" s="8" t="n">
        <v>0</v>
      </c>
      <c r="N4588" s="7">
        <f>M4588*$J$4589-J4588</f>
        <v/>
      </c>
      <c r="O4588" s="9">
        <f>IF(G4588=0,0,N4588/G4588)</f>
        <v/>
      </c>
      <c r="P4588" s="6">
        <f>IF(M4588&gt;0,D4588,"")</f>
        <v/>
      </c>
      <c r="Q4588" s="9">
        <f>I4588+O4588</f>
        <v/>
      </c>
      <c r="R4588" s="7">
        <f>Q4588*G4588</f>
        <v/>
      </c>
      <c r="S4588" s="8">
        <f>IF($R$4589=0,0,R4588/$R$4589)</f>
        <v/>
      </c>
      <c r="T4588" s="8" t="n">
        <v>-0.01591459281281082</v>
      </c>
      <c r="U4588" s="8" t="n">
        <v>0.007327395158095218</v>
      </c>
      <c r="V4588" s="6" t="inlineStr">
        <is>
          <t>not selected</t>
        </is>
      </c>
    </row>
    <row r="4589">
      <c r="A4589" s="10" t="inlineStr">
        <is>
          <t>DJ30</t>
        </is>
      </c>
      <c r="B4589" s="10" t="inlineStr">
        <is>
          <t>2025-10-31</t>
        </is>
      </c>
      <c r="C4589" s="10" t="inlineStr">
        <is>
          <t>DIA</t>
        </is>
      </c>
      <c r="D4589" s="10" t="inlineStr">
        <is>
          <t>Tot Portfolio</t>
        </is>
      </c>
      <c r="E4589" s="10" t="inlineStr"/>
      <c r="F4589" s="10" t="inlineStr"/>
      <c r="G4589" s="11" t="inlineStr"/>
      <c r="H4589" s="10" t="inlineStr"/>
      <c r="I4589" s="12" t="inlineStr"/>
      <c r="J4589" s="11">
        <f>SUM(J4559:J4588)</f>
        <v/>
      </c>
      <c r="K4589" s="13">
        <f>SUM(K4559:K4588)</f>
        <v/>
      </c>
      <c r="L4589" s="10" t="inlineStr">
        <is>
          <t>TOTAL</t>
        </is>
      </c>
      <c r="M4589" s="13">
        <f>SUM(M4559:M4588)</f>
        <v/>
      </c>
      <c r="N4589" s="11">
        <f>SUM(N4559:N4588)</f>
        <v/>
      </c>
      <c r="O4589" s="12">
        <f>SUM(O4559:O4588)</f>
        <v/>
      </c>
      <c r="P4589" s="10" t="inlineStr"/>
      <c r="Q4589" s="12" t="inlineStr"/>
      <c r="R4589" s="11">
        <f>SUM(R4559:R4588)</f>
        <v/>
      </c>
      <c r="S4589" s="13">
        <f>SUM(S4559:S4588)</f>
        <v/>
      </c>
      <c r="T4589" s="13" t="n">
        <v>-0.01591459281281082</v>
      </c>
      <c r="U4589" s="13" t="n">
        <v>0.007327395158095218</v>
      </c>
      <c r="V4589" s="10" t="inlineStr"/>
    </row>
    <row r="4590">
      <c r="A4590" s="6" t="inlineStr">
        <is>
          <t>DJ30</t>
        </is>
      </c>
      <c r="B4590" s="6" t="inlineStr">
        <is>
          <t>2025-11-07</t>
        </is>
      </c>
      <c r="C4590" s="6" t="inlineStr">
        <is>
          <t>DIA</t>
        </is>
      </c>
      <c r="D4590" s="6" t="inlineStr">
        <is>
          <t>AAPL</t>
        </is>
      </c>
      <c r="E4590" s="6" t="inlineStr">
        <is>
          <t>AAPL</t>
        </is>
      </c>
      <c r="F4590" s="6" t="inlineStr">
        <is>
          <t>-</t>
        </is>
      </c>
      <c r="G4590" s="7" t="n">
        <v>267.7126159667969</v>
      </c>
      <c r="H4590" s="6">
        <f>P4559</f>
        <v/>
      </c>
      <c r="I4590" s="9">
        <f>Q4559</f>
        <v/>
      </c>
      <c r="J4590" s="7">
        <f>I4590*G4590</f>
        <v/>
      </c>
      <c r="K4590" s="8">
        <f>IF($J$4620=0,0,J4590/$J$4620)</f>
        <v/>
      </c>
      <c r="L4590" s="6" t="inlineStr">
        <is>
          <t>REJECTED</t>
        </is>
      </c>
      <c r="M4590" s="8" t="n">
        <v>0</v>
      </c>
      <c r="N4590" s="7">
        <f>M4590*$J$4620-J4590</f>
        <v/>
      </c>
      <c r="O4590" s="9">
        <f>IF(G4590=0,0,N4590/G4590)</f>
        <v/>
      </c>
      <c r="P4590" s="6">
        <f>IF(M4590&gt;0,D4590,"")</f>
        <v/>
      </c>
      <c r="Q4590" s="9">
        <f>I4590+O4590</f>
        <v/>
      </c>
      <c r="R4590" s="7">
        <f>Q4590*G4590</f>
        <v/>
      </c>
      <c r="S4590" s="8">
        <f>IF($R$4620=0,0,R4590/$R$4620)</f>
        <v/>
      </c>
      <c r="T4590" s="8" t="n">
        <v>-0.01623143767599644</v>
      </c>
      <c r="U4590" s="8" t="n">
        <v>-0.01221453323330213</v>
      </c>
      <c r="V4590" s="6" t="inlineStr">
        <is>
          <t>not selected</t>
        </is>
      </c>
    </row>
    <row r="4591">
      <c r="A4591" s="6" t="inlineStr">
        <is>
          <t>DJ30</t>
        </is>
      </c>
      <c r="B4591" s="6" t="inlineStr">
        <is>
          <t>2025-11-07</t>
        </is>
      </c>
      <c r="C4591" s="6" t="inlineStr">
        <is>
          <t>DIA</t>
        </is>
      </c>
      <c r="D4591" s="6" t="inlineStr">
        <is>
          <t>AMGN</t>
        </is>
      </c>
      <c r="E4591" s="6" t="inlineStr">
        <is>
          <t>AMGN</t>
        </is>
      </c>
      <c r="F4591" s="6" t="inlineStr">
        <is>
          <t>-</t>
        </is>
      </c>
      <c r="G4591" s="7" t="n">
        <v>313.3781127929688</v>
      </c>
      <c r="H4591" s="6">
        <f>P4560</f>
        <v/>
      </c>
      <c r="I4591" s="9">
        <f>Q4560</f>
        <v/>
      </c>
      <c r="J4591" s="7">
        <f>I4591*G4591</f>
        <v/>
      </c>
      <c r="K4591" s="8">
        <f>IF($J$4620=0,0,J4591/$J$4620)</f>
        <v/>
      </c>
      <c r="L4591" s="6" t="inlineStr">
        <is>
          <t>REJECTED</t>
        </is>
      </c>
      <c r="M4591" s="8" t="n">
        <v>0</v>
      </c>
      <c r="N4591" s="7">
        <f>M4591*$J$4620-J4591</f>
        <v/>
      </c>
      <c r="O4591" s="9">
        <f>IF(G4591=0,0,N4591/G4591)</f>
        <v/>
      </c>
      <c r="P4591" s="6">
        <f>IF(M4591&gt;0,D4591,"")</f>
        <v/>
      </c>
      <c r="Q4591" s="9">
        <f>I4591+O4591</f>
        <v/>
      </c>
      <c r="R4591" s="7">
        <f>Q4591*G4591</f>
        <v/>
      </c>
      <c r="S4591" s="8">
        <f>IF($R$4620=0,0,R4591/$R$4620)</f>
        <v/>
      </c>
      <c r="T4591" s="8" t="n">
        <v>-0.01623143767599644</v>
      </c>
      <c r="U4591" s="8" t="n">
        <v>-0.01221453323330213</v>
      </c>
      <c r="V4591" s="6" t="inlineStr">
        <is>
          <t>not selected</t>
        </is>
      </c>
    </row>
    <row r="4592">
      <c r="A4592" s="6" t="inlineStr">
        <is>
          <t>DJ30</t>
        </is>
      </c>
      <c r="B4592" s="6" t="inlineStr">
        <is>
          <t>2025-11-07</t>
        </is>
      </c>
      <c r="C4592" s="6" t="inlineStr">
        <is>
          <t>DIA</t>
        </is>
      </c>
      <c r="D4592" s="6" t="inlineStr">
        <is>
          <t>AMZN</t>
        </is>
      </c>
      <c r="E4592" s="6" t="inlineStr">
        <is>
          <t>AMZN</t>
        </is>
      </c>
      <c r="F4592" s="6" t="inlineStr">
        <is>
          <t>-</t>
        </is>
      </c>
      <c r="G4592" s="7" t="n">
        <v>244.4100036621093</v>
      </c>
      <c r="H4592" s="6">
        <f>P4561</f>
        <v/>
      </c>
      <c r="I4592" s="9">
        <f>Q4561</f>
        <v/>
      </c>
      <c r="J4592" s="7">
        <f>I4592*G4592</f>
        <v/>
      </c>
      <c r="K4592" s="8">
        <f>IF($J$4620=0,0,J4592/$J$4620)</f>
        <v/>
      </c>
      <c r="L4592" s="6" t="inlineStr">
        <is>
          <t>REJECTED</t>
        </is>
      </c>
      <c r="M4592" s="8" t="n">
        <v>0</v>
      </c>
      <c r="N4592" s="7">
        <f>M4592*$J$4620-J4592</f>
        <v/>
      </c>
      <c r="O4592" s="9">
        <f>IF(G4592=0,0,N4592/G4592)</f>
        <v/>
      </c>
      <c r="P4592" s="6">
        <f>IF(M4592&gt;0,D4592,"")</f>
        <v/>
      </c>
      <c r="Q4592" s="9">
        <f>I4592+O4592</f>
        <v/>
      </c>
      <c r="R4592" s="7">
        <f>Q4592*G4592</f>
        <v/>
      </c>
      <c r="S4592" s="8">
        <f>IF($R$4620=0,0,R4592/$R$4620)</f>
        <v/>
      </c>
      <c r="T4592" s="8" t="n">
        <v>-0.01623143767599644</v>
      </c>
      <c r="U4592" s="8" t="n">
        <v>-0.01221453323330213</v>
      </c>
      <c r="V4592" s="6" t="inlineStr">
        <is>
          <t>not selected</t>
        </is>
      </c>
    </row>
    <row r="4593">
      <c r="A4593" s="6" t="inlineStr">
        <is>
          <t>DJ30</t>
        </is>
      </c>
      <c r="B4593" s="6" t="inlineStr">
        <is>
          <t>2025-11-07</t>
        </is>
      </c>
      <c r="C4593" s="6" t="inlineStr">
        <is>
          <t>DIA</t>
        </is>
      </c>
      <c r="D4593" s="6" t="inlineStr">
        <is>
          <t>AXP</t>
        </is>
      </c>
      <c r="E4593" s="6" t="inlineStr">
        <is>
          <t>AXP</t>
        </is>
      </c>
      <c r="F4593" s="6" t="inlineStr">
        <is>
          <t>-</t>
        </is>
      </c>
      <c r="G4593" s="7" t="n">
        <v>366.5642700195313</v>
      </c>
      <c r="H4593" s="6">
        <f>P4562</f>
        <v/>
      </c>
      <c r="I4593" s="9">
        <f>Q4562</f>
        <v/>
      </c>
      <c r="J4593" s="7">
        <f>I4593*G4593</f>
        <v/>
      </c>
      <c r="K4593" s="8">
        <f>IF($J$4620=0,0,J4593/$J$4620)</f>
        <v/>
      </c>
      <c r="L4593" s="6" t="inlineStr">
        <is>
          <t>REJECTED</t>
        </is>
      </c>
      <c r="M4593" s="8" t="n">
        <v>0</v>
      </c>
      <c r="N4593" s="7">
        <f>M4593*$J$4620-J4593</f>
        <v/>
      </c>
      <c r="O4593" s="9">
        <f>IF(G4593=0,0,N4593/G4593)</f>
        <v/>
      </c>
      <c r="P4593" s="6">
        <f>IF(M4593&gt;0,D4593,"")</f>
        <v/>
      </c>
      <c r="Q4593" s="9">
        <f>I4593+O4593</f>
        <v/>
      </c>
      <c r="R4593" s="7">
        <f>Q4593*G4593</f>
        <v/>
      </c>
      <c r="S4593" s="8">
        <f>IF($R$4620=0,0,R4593/$R$4620)</f>
        <v/>
      </c>
      <c r="T4593" s="8" t="n">
        <v>-0.01623143767599644</v>
      </c>
      <c r="U4593" s="8" t="n">
        <v>-0.01221453323330213</v>
      </c>
      <c r="V4593" s="6" t="inlineStr">
        <is>
          <t>not selected</t>
        </is>
      </c>
    </row>
    <row r="4594">
      <c r="A4594" s="6" t="inlineStr">
        <is>
          <t>DJ30</t>
        </is>
      </c>
      <c r="B4594" s="6" t="inlineStr">
        <is>
          <t>2025-11-07</t>
        </is>
      </c>
      <c r="C4594" s="6" t="inlineStr">
        <is>
          <t>DIA</t>
        </is>
      </c>
      <c r="D4594" s="6" t="inlineStr">
        <is>
          <t>BA</t>
        </is>
      </c>
      <c r="E4594" s="6" t="inlineStr">
        <is>
          <t>BA</t>
        </is>
      </c>
      <c r="F4594" s="6" t="inlineStr">
        <is>
          <t>-</t>
        </is>
      </c>
      <c r="G4594" s="7" t="n">
        <v>194.6100006103516</v>
      </c>
      <c r="H4594" s="6">
        <f>P4563</f>
        <v/>
      </c>
      <c r="I4594" s="9">
        <f>Q4563</f>
        <v/>
      </c>
      <c r="J4594" s="7">
        <f>I4594*G4594</f>
        <v/>
      </c>
      <c r="K4594" s="8">
        <f>IF($J$4620=0,0,J4594/$J$4620)</f>
        <v/>
      </c>
      <c r="L4594" s="6" t="inlineStr">
        <is>
          <t>SELECTED</t>
        </is>
      </c>
      <c r="M4594" s="8" t="n">
        <v>0.2</v>
      </c>
      <c r="N4594" s="7">
        <f>M4594*$J$4620-J4594</f>
        <v/>
      </c>
      <c r="O4594" s="9">
        <f>IF(G4594=0,0,N4594/G4594)</f>
        <v/>
      </c>
      <c r="P4594" s="6">
        <f>IF(M4594&gt;0,D4594,"")</f>
        <v/>
      </c>
      <c r="Q4594" s="9">
        <f>I4594+O4594</f>
        <v/>
      </c>
      <c r="R4594" s="7">
        <f>Q4594*G4594</f>
        <v/>
      </c>
      <c r="S4594" s="8">
        <f>IF($R$4620=0,0,R4594/$R$4620)</f>
        <v/>
      </c>
      <c r="T4594" s="8" t="n">
        <v>-0.01623143767599644</v>
      </c>
      <c r="U4594" s="8" t="n">
        <v>-0.01221453323330213</v>
      </c>
      <c r="V4594" s="6" t="inlineStr">
        <is>
          <t>remained in weekly selection</t>
        </is>
      </c>
    </row>
    <row r="4595">
      <c r="A4595" s="6" t="inlineStr">
        <is>
          <t>DJ30</t>
        </is>
      </c>
      <c r="B4595" s="6" t="inlineStr">
        <is>
          <t>2025-11-07</t>
        </is>
      </c>
      <c r="C4595" s="6" t="inlineStr">
        <is>
          <t>DIA</t>
        </is>
      </c>
      <c r="D4595" s="6" t="inlineStr">
        <is>
          <t>CAT</t>
        </is>
      </c>
      <c r="E4595" s="6" t="inlineStr">
        <is>
          <t>CAT</t>
        </is>
      </c>
      <c r="F4595" s="6" t="inlineStr">
        <is>
          <t>-</t>
        </is>
      </c>
      <c r="G4595" s="7" t="n">
        <v>560.7180786132812</v>
      </c>
      <c r="H4595" s="6">
        <f>P4564</f>
        <v/>
      </c>
      <c r="I4595" s="9">
        <f>Q4564</f>
        <v/>
      </c>
      <c r="J4595" s="7">
        <f>I4595*G4595</f>
        <v/>
      </c>
      <c r="K4595" s="8">
        <f>IF($J$4620=0,0,J4595/$J$4620)</f>
        <v/>
      </c>
      <c r="L4595" s="6" t="inlineStr">
        <is>
          <t>WATCHLIST</t>
        </is>
      </c>
      <c r="M4595" s="8" t="n">
        <v>0</v>
      </c>
      <c r="N4595" s="7">
        <f>M4595*$J$4620-J4595</f>
        <v/>
      </c>
      <c r="O4595" s="9">
        <f>IF(G4595=0,0,N4595/G4595)</f>
        <v/>
      </c>
      <c r="P4595" s="6">
        <f>IF(M4595&gt;0,D4595,"")</f>
        <v/>
      </c>
      <c r="Q4595" s="9">
        <f>I4595+O4595</f>
        <v/>
      </c>
      <c r="R4595" s="7">
        <f>Q4595*G4595</f>
        <v/>
      </c>
      <c r="S4595" s="8">
        <f>IF($R$4620=0,0,R4595/$R$4620)</f>
        <v/>
      </c>
      <c r="T4595" s="8" t="n">
        <v>-0.01623143767599644</v>
      </c>
      <c r="U4595" s="8" t="n">
        <v>-0.01221453323330213</v>
      </c>
      <c r="V4595" s="6" t="inlineStr">
        <is>
          <t>not selected</t>
        </is>
      </c>
    </row>
    <row r="4596">
      <c r="A4596" s="6" t="inlineStr">
        <is>
          <t>DJ30</t>
        </is>
      </c>
      <c r="B4596" s="6" t="inlineStr">
        <is>
          <t>2025-11-07</t>
        </is>
      </c>
      <c r="C4596" s="6" t="inlineStr">
        <is>
          <t>DIA</t>
        </is>
      </c>
      <c r="D4596" s="6" t="inlineStr">
        <is>
          <t>CRM</t>
        </is>
      </c>
      <c r="E4596" s="6" t="inlineStr">
        <is>
          <t>CRM</t>
        </is>
      </c>
      <c r="F4596" s="6" t="inlineStr">
        <is>
          <t>-</t>
        </is>
      </c>
      <c r="G4596" s="7" t="n">
        <v>238.2809753417969</v>
      </c>
      <c r="H4596" s="6">
        <f>P4565</f>
        <v/>
      </c>
      <c r="I4596" s="9">
        <f>Q4565</f>
        <v/>
      </c>
      <c r="J4596" s="7">
        <f>I4596*G4596</f>
        <v/>
      </c>
      <c r="K4596" s="8">
        <f>IF($J$4620=0,0,J4596/$J$4620)</f>
        <v/>
      </c>
      <c r="L4596" s="6" t="inlineStr">
        <is>
          <t>REJECTED</t>
        </is>
      </c>
      <c r="M4596" s="8" t="n">
        <v>0</v>
      </c>
      <c r="N4596" s="7">
        <f>M4596*$J$4620-J4596</f>
        <v/>
      </c>
      <c r="O4596" s="9">
        <f>IF(G4596=0,0,N4596/G4596)</f>
        <v/>
      </c>
      <c r="P4596" s="6">
        <f>IF(M4596&gt;0,D4596,"")</f>
        <v/>
      </c>
      <c r="Q4596" s="9">
        <f>I4596+O4596</f>
        <v/>
      </c>
      <c r="R4596" s="7">
        <f>Q4596*G4596</f>
        <v/>
      </c>
      <c r="S4596" s="8">
        <f>IF($R$4620=0,0,R4596/$R$4620)</f>
        <v/>
      </c>
      <c r="T4596" s="8" t="n">
        <v>-0.01623143767599644</v>
      </c>
      <c r="U4596" s="8" t="n">
        <v>-0.01221453323330213</v>
      </c>
      <c r="V4596" s="6" t="inlineStr">
        <is>
          <t>not selected</t>
        </is>
      </c>
    </row>
    <row r="4597">
      <c r="A4597" s="6" t="inlineStr">
        <is>
          <t>DJ30</t>
        </is>
      </c>
      <c r="B4597" s="6" t="inlineStr">
        <is>
          <t>2025-11-07</t>
        </is>
      </c>
      <c r="C4597" s="6" t="inlineStr">
        <is>
          <t>DIA</t>
        </is>
      </c>
      <c r="D4597" s="6" t="inlineStr">
        <is>
          <t>CSCO</t>
        </is>
      </c>
      <c r="E4597" s="6" t="inlineStr">
        <is>
          <t>CSCO</t>
        </is>
      </c>
      <c r="F4597" s="6" t="inlineStr">
        <is>
          <t>-</t>
        </is>
      </c>
      <c r="G4597" s="7" t="n">
        <v>70.31073760986328</v>
      </c>
      <c r="H4597" s="6">
        <f>P4566</f>
        <v/>
      </c>
      <c r="I4597" s="9">
        <f>Q4566</f>
        <v/>
      </c>
      <c r="J4597" s="7">
        <f>I4597*G4597</f>
        <v/>
      </c>
      <c r="K4597" s="8">
        <f>IF($J$4620=0,0,J4597/$J$4620)</f>
        <v/>
      </c>
      <c r="L4597" s="6" t="inlineStr">
        <is>
          <t>WATCHLIST</t>
        </is>
      </c>
      <c r="M4597" s="8" t="n">
        <v>0</v>
      </c>
      <c r="N4597" s="7">
        <f>M4597*$J$4620-J4597</f>
        <v/>
      </c>
      <c r="O4597" s="9">
        <f>IF(G4597=0,0,N4597/G4597)</f>
        <v/>
      </c>
      <c r="P4597" s="6">
        <f>IF(M4597&gt;0,D4597,"")</f>
        <v/>
      </c>
      <c r="Q4597" s="9">
        <f>I4597+O4597</f>
        <v/>
      </c>
      <c r="R4597" s="7">
        <f>Q4597*G4597</f>
        <v/>
      </c>
      <c r="S4597" s="8">
        <f>IF($R$4620=0,0,R4597/$R$4620)</f>
        <v/>
      </c>
      <c r="T4597" s="8" t="n">
        <v>-0.01623143767599644</v>
      </c>
      <c r="U4597" s="8" t="n">
        <v>-0.01221453323330213</v>
      </c>
      <c r="V4597" s="6" t="inlineStr">
        <is>
          <t>removed from weekly selection</t>
        </is>
      </c>
    </row>
    <row r="4598">
      <c r="A4598" s="6" t="inlineStr">
        <is>
          <t>DJ30</t>
        </is>
      </c>
      <c r="B4598" s="6" t="inlineStr">
        <is>
          <t>2025-11-07</t>
        </is>
      </c>
      <c r="C4598" s="6" t="inlineStr">
        <is>
          <t>DIA</t>
        </is>
      </c>
      <c r="D4598" s="6" t="inlineStr">
        <is>
          <t>CVX</t>
        </is>
      </c>
      <c r="E4598" s="6" t="inlineStr">
        <is>
          <t>CVX</t>
        </is>
      </c>
      <c r="F4598" s="6" t="inlineStr">
        <is>
          <t>-</t>
        </is>
      </c>
      <c r="G4598" s="7" t="n">
        <v>150.4446716308594</v>
      </c>
      <c r="H4598" s="6">
        <f>P4567</f>
        <v/>
      </c>
      <c r="I4598" s="9">
        <f>Q4567</f>
        <v/>
      </c>
      <c r="J4598" s="7">
        <f>I4598*G4598</f>
        <v/>
      </c>
      <c r="K4598" s="8">
        <f>IF($J$4620=0,0,J4598/$J$4620)</f>
        <v/>
      </c>
      <c r="L4598" s="6" t="inlineStr">
        <is>
          <t>REJECTED</t>
        </is>
      </c>
      <c r="M4598" s="8" t="n">
        <v>0</v>
      </c>
      <c r="N4598" s="7">
        <f>M4598*$J$4620-J4598</f>
        <v/>
      </c>
      <c r="O4598" s="9">
        <f>IF(G4598=0,0,N4598/G4598)</f>
        <v/>
      </c>
      <c r="P4598" s="6">
        <f>IF(M4598&gt;0,D4598,"")</f>
        <v/>
      </c>
      <c r="Q4598" s="9">
        <f>I4598+O4598</f>
        <v/>
      </c>
      <c r="R4598" s="7">
        <f>Q4598*G4598</f>
        <v/>
      </c>
      <c r="S4598" s="8">
        <f>IF($R$4620=0,0,R4598/$R$4620)</f>
        <v/>
      </c>
      <c r="T4598" s="8" t="n">
        <v>-0.01623143767599644</v>
      </c>
      <c r="U4598" s="8" t="n">
        <v>-0.01221453323330213</v>
      </c>
      <c r="V4598" s="6" t="inlineStr">
        <is>
          <t>not selected</t>
        </is>
      </c>
    </row>
    <row r="4599">
      <c r="A4599" s="6" t="inlineStr">
        <is>
          <t>DJ30</t>
        </is>
      </c>
      <c r="B4599" s="6" t="inlineStr">
        <is>
          <t>2025-11-07</t>
        </is>
      </c>
      <c r="C4599" s="6" t="inlineStr">
        <is>
          <t>DIA</t>
        </is>
      </c>
      <c r="D4599" s="6" t="inlineStr">
        <is>
          <t>DIS</t>
        </is>
      </c>
      <c r="E4599" s="6" t="inlineStr">
        <is>
          <t>DIS</t>
        </is>
      </c>
      <c r="F4599" s="6" t="inlineStr">
        <is>
          <t>-</t>
        </is>
      </c>
      <c r="G4599" s="7" t="n">
        <v>109.9957809448242</v>
      </c>
      <c r="H4599" s="6">
        <f>P4568</f>
        <v/>
      </c>
      <c r="I4599" s="9">
        <f>Q4568</f>
        <v/>
      </c>
      <c r="J4599" s="7">
        <f>I4599*G4599</f>
        <v/>
      </c>
      <c r="K4599" s="8">
        <f>IF($J$4620=0,0,J4599/$J$4620)</f>
        <v/>
      </c>
      <c r="L4599" s="6" t="inlineStr">
        <is>
          <t>REJECTED</t>
        </is>
      </c>
      <c r="M4599" s="8" t="n">
        <v>0</v>
      </c>
      <c r="N4599" s="7">
        <f>M4599*$J$4620-J4599</f>
        <v/>
      </c>
      <c r="O4599" s="9">
        <f>IF(G4599=0,0,N4599/G4599)</f>
        <v/>
      </c>
      <c r="P4599" s="6">
        <f>IF(M4599&gt;0,D4599,"")</f>
        <v/>
      </c>
      <c r="Q4599" s="9">
        <f>I4599+O4599</f>
        <v/>
      </c>
      <c r="R4599" s="7">
        <f>Q4599*G4599</f>
        <v/>
      </c>
      <c r="S4599" s="8">
        <f>IF($R$4620=0,0,R4599/$R$4620)</f>
        <v/>
      </c>
      <c r="T4599" s="8" t="n">
        <v>-0.01623143767599644</v>
      </c>
      <c r="U4599" s="8" t="n">
        <v>-0.01221453323330213</v>
      </c>
      <c r="V4599" s="6" t="inlineStr">
        <is>
          <t>not selected</t>
        </is>
      </c>
    </row>
    <row r="4600">
      <c r="A4600" s="6" t="inlineStr">
        <is>
          <t>DJ30</t>
        </is>
      </c>
      <c r="B4600" s="6" t="inlineStr">
        <is>
          <t>2025-11-07</t>
        </is>
      </c>
      <c r="C4600" s="6" t="inlineStr">
        <is>
          <t>DIA</t>
        </is>
      </c>
      <c r="D4600" s="6" t="inlineStr">
        <is>
          <t>GS</t>
        </is>
      </c>
      <c r="E4600" s="6" t="inlineStr">
        <is>
          <t>GS</t>
        </is>
      </c>
      <c r="F4600" s="6" t="inlineStr">
        <is>
          <t>-</t>
        </is>
      </c>
      <c r="G4600" s="7" t="n">
        <v>774.9492797851562</v>
      </c>
      <c r="H4600" s="6">
        <f>P4569</f>
        <v/>
      </c>
      <c r="I4600" s="9">
        <f>Q4569</f>
        <v/>
      </c>
      <c r="J4600" s="7">
        <f>I4600*G4600</f>
        <v/>
      </c>
      <c r="K4600" s="8">
        <f>IF($J$4620=0,0,J4600/$J$4620)</f>
        <v/>
      </c>
      <c r="L4600" s="6" t="inlineStr">
        <is>
          <t>SELECTED</t>
        </is>
      </c>
      <c r="M4600" s="8" t="n">
        <v>0.2</v>
      </c>
      <c r="N4600" s="7">
        <f>M4600*$J$4620-J4600</f>
        <v/>
      </c>
      <c r="O4600" s="9">
        <f>IF(G4600=0,0,N4600/G4600)</f>
        <v/>
      </c>
      <c r="P4600" s="6">
        <f>IF(M4600&gt;0,D4600,"")</f>
        <v/>
      </c>
      <c r="Q4600" s="9">
        <f>I4600+O4600</f>
        <v/>
      </c>
      <c r="R4600" s="7">
        <f>Q4600*G4600</f>
        <v/>
      </c>
      <c r="S4600" s="8">
        <f>IF($R$4620=0,0,R4600/$R$4620)</f>
        <v/>
      </c>
      <c r="T4600" s="8" t="n">
        <v>-0.01623143767599644</v>
      </c>
      <c r="U4600" s="8" t="n">
        <v>-0.01221453323330213</v>
      </c>
      <c r="V4600" s="6" t="inlineStr">
        <is>
          <t>remained in weekly selection</t>
        </is>
      </c>
    </row>
    <row r="4601">
      <c r="A4601" s="6" t="inlineStr">
        <is>
          <t>DJ30</t>
        </is>
      </c>
      <c r="B4601" s="6" t="inlineStr">
        <is>
          <t>2025-11-07</t>
        </is>
      </c>
      <c r="C4601" s="6" t="inlineStr">
        <is>
          <t>DIA</t>
        </is>
      </c>
      <c r="D4601" s="6" t="inlineStr">
        <is>
          <t>HD</t>
        </is>
      </c>
      <c r="E4601" s="6" t="inlineStr">
        <is>
          <t>HD</t>
        </is>
      </c>
      <c r="F4601" s="6" t="inlineStr">
        <is>
          <t>-</t>
        </is>
      </c>
      <c r="G4601" s="7" t="n">
        <v>363.5495300292969</v>
      </c>
      <c r="H4601" s="6">
        <f>P4570</f>
        <v/>
      </c>
      <c r="I4601" s="9">
        <f>Q4570</f>
        <v/>
      </c>
      <c r="J4601" s="7">
        <f>I4601*G4601</f>
        <v/>
      </c>
      <c r="K4601" s="8">
        <f>IF($J$4620=0,0,J4601/$J$4620)</f>
        <v/>
      </c>
      <c r="L4601" s="6" t="inlineStr">
        <is>
          <t>REJECTED</t>
        </is>
      </c>
      <c r="M4601" s="8" t="n">
        <v>0</v>
      </c>
      <c r="N4601" s="7">
        <f>M4601*$J$4620-J4601</f>
        <v/>
      </c>
      <c r="O4601" s="9">
        <f>IF(G4601=0,0,N4601/G4601)</f>
        <v/>
      </c>
      <c r="P4601" s="6">
        <f>IF(M4601&gt;0,D4601,"")</f>
        <v/>
      </c>
      <c r="Q4601" s="9">
        <f>I4601+O4601</f>
        <v/>
      </c>
      <c r="R4601" s="7">
        <f>Q4601*G4601</f>
        <v/>
      </c>
      <c r="S4601" s="8">
        <f>IF($R$4620=0,0,R4601/$R$4620)</f>
        <v/>
      </c>
      <c r="T4601" s="8" t="n">
        <v>-0.01623143767599644</v>
      </c>
      <c r="U4601" s="8" t="n">
        <v>-0.01221453323330213</v>
      </c>
      <c r="V4601" s="6" t="inlineStr">
        <is>
          <t>not selected</t>
        </is>
      </c>
    </row>
    <row r="4602">
      <c r="A4602" s="6" t="inlineStr">
        <is>
          <t>DJ30</t>
        </is>
      </c>
      <c r="B4602" s="6" t="inlineStr">
        <is>
          <t>2025-11-07</t>
        </is>
      </c>
      <c r="C4602" s="6" t="inlineStr">
        <is>
          <t>DIA</t>
        </is>
      </c>
      <c r="D4602" s="6" t="inlineStr">
        <is>
          <t>HON</t>
        </is>
      </c>
      <c r="E4602" s="6" t="inlineStr">
        <is>
          <t>HON</t>
        </is>
      </c>
      <c r="F4602" s="6" t="inlineStr">
        <is>
          <t>-</t>
        </is>
      </c>
      <c r="G4602" s="7" t="n">
        <v>190.9122924804688</v>
      </c>
      <c r="H4602" s="6">
        <f>P4571</f>
        <v/>
      </c>
      <c r="I4602" s="9">
        <f>Q4571</f>
        <v/>
      </c>
      <c r="J4602" s="7">
        <f>I4602*G4602</f>
        <v/>
      </c>
      <c r="K4602" s="8">
        <f>IF($J$4620=0,0,J4602/$J$4620)</f>
        <v/>
      </c>
      <c r="L4602" s="6" t="inlineStr">
        <is>
          <t>REJECTED</t>
        </is>
      </c>
      <c r="M4602" s="8" t="n">
        <v>0</v>
      </c>
      <c r="N4602" s="7">
        <f>M4602*$J$4620-J4602</f>
        <v/>
      </c>
      <c r="O4602" s="9">
        <f>IF(G4602=0,0,N4602/G4602)</f>
        <v/>
      </c>
      <c r="P4602" s="6">
        <f>IF(M4602&gt;0,D4602,"")</f>
        <v/>
      </c>
      <c r="Q4602" s="9">
        <f>I4602+O4602</f>
        <v/>
      </c>
      <c r="R4602" s="7">
        <f>Q4602*G4602</f>
        <v/>
      </c>
      <c r="S4602" s="8">
        <f>IF($R$4620=0,0,R4602/$R$4620)</f>
        <v/>
      </c>
      <c r="T4602" s="8" t="n">
        <v>-0.01623143767599644</v>
      </c>
      <c r="U4602" s="8" t="n">
        <v>-0.01221453323330213</v>
      </c>
      <c r="V4602" s="6" t="inlineStr">
        <is>
          <t>not selected</t>
        </is>
      </c>
    </row>
    <row r="4603">
      <c r="A4603" s="6" t="inlineStr">
        <is>
          <t>DJ30</t>
        </is>
      </c>
      <c r="B4603" s="6" t="inlineStr">
        <is>
          <t>2025-11-07</t>
        </is>
      </c>
      <c r="C4603" s="6" t="inlineStr">
        <is>
          <t>DIA</t>
        </is>
      </c>
      <c r="D4603" s="6" t="inlineStr">
        <is>
          <t>IBM</t>
        </is>
      </c>
      <c r="E4603" s="6" t="inlineStr">
        <is>
          <t>IBM</t>
        </is>
      </c>
      <c r="F4603" s="6" t="inlineStr">
        <is>
          <t>-</t>
        </is>
      </c>
      <c r="G4603" s="7" t="n">
        <v>300.759033203125</v>
      </c>
      <c r="H4603" s="6">
        <f>P4572</f>
        <v/>
      </c>
      <c r="I4603" s="9">
        <f>Q4572</f>
        <v/>
      </c>
      <c r="J4603" s="7">
        <f>I4603*G4603</f>
        <v/>
      </c>
      <c r="K4603" s="8">
        <f>IF($J$4620=0,0,J4603/$J$4620)</f>
        <v/>
      </c>
      <c r="L4603" s="6" t="inlineStr">
        <is>
          <t>SELECTED</t>
        </is>
      </c>
      <c r="M4603" s="8" t="n">
        <v>0.2</v>
      </c>
      <c r="N4603" s="7">
        <f>M4603*$J$4620-J4603</f>
        <v/>
      </c>
      <c r="O4603" s="9">
        <f>IF(G4603=0,0,N4603/G4603)</f>
        <v/>
      </c>
      <c r="P4603" s="6">
        <f>IF(M4603&gt;0,D4603,"")</f>
        <v/>
      </c>
      <c r="Q4603" s="9">
        <f>I4603+O4603</f>
        <v/>
      </c>
      <c r="R4603" s="7">
        <f>Q4603*G4603</f>
        <v/>
      </c>
      <c r="S4603" s="8">
        <f>IF($R$4620=0,0,R4603/$R$4620)</f>
        <v/>
      </c>
      <c r="T4603" s="8" t="n">
        <v>-0.01623143767599644</v>
      </c>
      <c r="U4603" s="8" t="n">
        <v>-0.01221453323330213</v>
      </c>
      <c r="V4603" s="6" t="inlineStr">
        <is>
          <t>remained in weekly selection</t>
        </is>
      </c>
    </row>
    <row r="4604">
      <c r="A4604" s="6" t="inlineStr">
        <is>
          <t>DJ30</t>
        </is>
      </c>
      <c r="B4604" s="6" t="inlineStr">
        <is>
          <t>2025-11-07</t>
        </is>
      </c>
      <c r="C4604" s="6" t="inlineStr">
        <is>
          <t>DIA</t>
        </is>
      </c>
      <c r="D4604" s="6" t="inlineStr">
        <is>
          <t>JNJ</t>
        </is>
      </c>
      <c r="E4604" s="6" t="inlineStr">
        <is>
          <t>JNJ</t>
        </is>
      </c>
      <c r="F4604" s="6" t="inlineStr">
        <is>
          <t>-</t>
        </is>
      </c>
      <c r="G4604" s="7" t="n">
        <v>183.3580322265625</v>
      </c>
      <c r="H4604" s="6">
        <f>P4573</f>
        <v/>
      </c>
      <c r="I4604" s="9">
        <f>Q4573</f>
        <v/>
      </c>
      <c r="J4604" s="7">
        <f>I4604*G4604</f>
        <v/>
      </c>
      <c r="K4604" s="8">
        <f>IF($J$4620=0,0,J4604/$J$4620)</f>
        <v/>
      </c>
      <c r="L4604" s="6" t="inlineStr">
        <is>
          <t>SELECTED</t>
        </is>
      </c>
      <c r="M4604" s="8" t="n">
        <v>0.2</v>
      </c>
      <c r="N4604" s="7">
        <f>M4604*$J$4620-J4604</f>
        <v/>
      </c>
      <c r="O4604" s="9">
        <f>IF(G4604=0,0,N4604/G4604)</f>
        <v/>
      </c>
      <c r="P4604" s="6">
        <f>IF(M4604&gt;0,D4604,"")</f>
        <v/>
      </c>
      <c r="Q4604" s="9">
        <f>I4604+O4604</f>
        <v/>
      </c>
      <c r="R4604" s="7">
        <f>Q4604*G4604</f>
        <v/>
      </c>
      <c r="S4604" s="8">
        <f>IF($R$4620=0,0,R4604/$R$4620)</f>
        <v/>
      </c>
      <c r="T4604" s="8" t="n">
        <v>-0.01623143767599644</v>
      </c>
      <c r="U4604" s="8" t="n">
        <v>-0.01221453323330213</v>
      </c>
      <c r="V4604" s="6" t="inlineStr">
        <is>
          <t>remained in weekly selection</t>
        </is>
      </c>
    </row>
    <row r="4605">
      <c r="A4605" s="6" t="inlineStr">
        <is>
          <t>DJ30</t>
        </is>
      </c>
      <c r="B4605" s="6" t="inlineStr">
        <is>
          <t>2025-11-07</t>
        </is>
      </c>
      <c r="C4605" s="6" t="inlineStr">
        <is>
          <t>DIA</t>
        </is>
      </c>
      <c r="D4605" s="6" t="inlineStr">
        <is>
          <t>JPM</t>
        </is>
      </c>
      <c r="E4605" s="6" t="inlineStr">
        <is>
          <t>JPM</t>
        </is>
      </c>
      <c r="F4605" s="6" t="inlineStr">
        <is>
          <t>-</t>
        </is>
      </c>
      <c r="G4605" s="7" t="n">
        <v>311.2063598632812</v>
      </c>
      <c r="H4605" s="6">
        <f>P4574</f>
        <v/>
      </c>
      <c r="I4605" s="9">
        <f>Q4574</f>
        <v/>
      </c>
      <c r="J4605" s="7">
        <f>I4605*G4605</f>
        <v/>
      </c>
      <c r="K4605" s="8">
        <f>IF($J$4620=0,0,J4605/$J$4620)</f>
        <v/>
      </c>
      <c r="L4605" s="6" t="inlineStr">
        <is>
          <t>WATCHLIST</t>
        </is>
      </c>
      <c r="M4605" s="8" t="n">
        <v>0</v>
      </c>
      <c r="N4605" s="7">
        <f>M4605*$J$4620-J4605</f>
        <v/>
      </c>
      <c r="O4605" s="9">
        <f>IF(G4605=0,0,N4605/G4605)</f>
        <v/>
      </c>
      <c r="P4605" s="6">
        <f>IF(M4605&gt;0,D4605,"")</f>
        <v/>
      </c>
      <c r="Q4605" s="9">
        <f>I4605+O4605</f>
        <v/>
      </c>
      <c r="R4605" s="7">
        <f>Q4605*G4605</f>
        <v/>
      </c>
      <c r="S4605" s="8">
        <f>IF($R$4620=0,0,R4605/$R$4620)</f>
        <v/>
      </c>
      <c r="T4605" s="8" t="n">
        <v>-0.01623143767599644</v>
      </c>
      <c r="U4605" s="8" t="n">
        <v>-0.01221453323330213</v>
      </c>
      <c r="V4605" s="6" t="inlineStr">
        <is>
          <t>not selected</t>
        </is>
      </c>
    </row>
    <row r="4606">
      <c r="A4606" s="6" t="inlineStr">
        <is>
          <t>DJ30</t>
        </is>
      </c>
      <c r="B4606" s="6" t="inlineStr">
        <is>
          <t>2025-11-07</t>
        </is>
      </c>
      <c r="C4606" s="6" t="inlineStr">
        <is>
          <t>DIA</t>
        </is>
      </c>
      <c r="D4606" s="6" t="inlineStr">
        <is>
          <t>KO</t>
        </is>
      </c>
      <c r="E4606" s="6" t="inlineStr">
        <is>
          <t>KO</t>
        </is>
      </c>
      <c r="F4606" s="6" t="inlineStr">
        <is>
          <t>-</t>
        </is>
      </c>
      <c r="G4606" s="7" t="n">
        <v>69.13315582275391</v>
      </c>
      <c r="H4606" s="6">
        <f>P4575</f>
        <v/>
      </c>
      <c r="I4606" s="9">
        <f>Q4575</f>
        <v/>
      </c>
      <c r="J4606" s="7">
        <f>I4606*G4606</f>
        <v/>
      </c>
      <c r="K4606" s="8">
        <f>IF($J$4620=0,0,J4606/$J$4620)</f>
        <v/>
      </c>
      <c r="L4606" s="6" t="inlineStr">
        <is>
          <t>WATCHLIST</t>
        </is>
      </c>
      <c r="M4606" s="8" t="n">
        <v>0</v>
      </c>
      <c r="N4606" s="7">
        <f>M4606*$J$4620-J4606</f>
        <v/>
      </c>
      <c r="O4606" s="9">
        <f>IF(G4606=0,0,N4606/G4606)</f>
        <v/>
      </c>
      <c r="P4606" s="6">
        <f>IF(M4606&gt;0,D4606,"")</f>
        <v/>
      </c>
      <c r="Q4606" s="9">
        <f>I4606+O4606</f>
        <v/>
      </c>
      <c r="R4606" s="7">
        <f>Q4606*G4606</f>
        <v/>
      </c>
      <c r="S4606" s="8">
        <f>IF($R$4620=0,0,R4606/$R$4620)</f>
        <v/>
      </c>
      <c r="T4606" s="8" t="n">
        <v>-0.01623143767599644</v>
      </c>
      <c r="U4606" s="8" t="n">
        <v>-0.01221453323330213</v>
      </c>
      <c r="V4606" s="6" t="inlineStr">
        <is>
          <t>not selected</t>
        </is>
      </c>
    </row>
    <row r="4607">
      <c r="A4607" s="6" t="inlineStr">
        <is>
          <t>DJ30</t>
        </is>
      </c>
      <c r="B4607" s="6" t="inlineStr">
        <is>
          <t>2025-11-07</t>
        </is>
      </c>
      <c r="C4607" s="6" t="inlineStr">
        <is>
          <t>DIA</t>
        </is>
      </c>
      <c r="D4607" s="6" t="inlineStr">
        <is>
          <t>MCD</t>
        </is>
      </c>
      <c r="E4607" s="6" t="inlineStr">
        <is>
          <t>MCD</t>
        </is>
      </c>
      <c r="F4607" s="6" t="inlineStr">
        <is>
          <t>-</t>
        </is>
      </c>
      <c r="G4607" s="7" t="n">
        <v>294.2223205566406</v>
      </c>
      <c r="H4607" s="6">
        <f>P4576</f>
        <v/>
      </c>
      <c r="I4607" s="9">
        <f>Q4576</f>
        <v/>
      </c>
      <c r="J4607" s="7">
        <f>I4607*G4607</f>
        <v/>
      </c>
      <c r="K4607" s="8">
        <f>IF($J$4620=0,0,J4607/$J$4620)</f>
        <v/>
      </c>
      <c r="L4607" s="6" t="inlineStr">
        <is>
          <t>REJECTED</t>
        </is>
      </c>
      <c r="M4607" s="8" t="n">
        <v>0</v>
      </c>
      <c r="N4607" s="7">
        <f>M4607*$J$4620-J4607</f>
        <v/>
      </c>
      <c r="O4607" s="9">
        <f>IF(G4607=0,0,N4607/G4607)</f>
        <v/>
      </c>
      <c r="P4607" s="6">
        <f>IF(M4607&gt;0,D4607,"")</f>
        <v/>
      </c>
      <c r="Q4607" s="9">
        <f>I4607+O4607</f>
        <v/>
      </c>
      <c r="R4607" s="7">
        <f>Q4607*G4607</f>
        <v/>
      </c>
      <c r="S4607" s="8">
        <f>IF($R$4620=0,0,R4607/$R$4620)</f>
        <v/>
      </c>
      <c r="T4607" s="8" t="n">
        <v>-0.01623143767599644</v>
      </c>
      <c r="U4607" s="8" t="n">
        <v>-0.01221453323330213</v>
      </c>
      <c r="V4607" s="6" t="inlineStr">
        <is>
          <t>not selected</t>
        </is>
      </c>
    </row>
    <row r="4608">
      <c r="A4608" s="6" t="inlineStr">
        <is>
          <t>DJ30</t>
        </is>
      </c>
      <c r="B4608" s="6" t="inlineStr">
        <is>
          <t>2025-11-07</t>
        </is>
      </c>
      <c r="C4608" s="6" t="inlineStr">
        <is>
          <t>DIA</t>
        </is>
      </c>
      <c r="D4608" s="6" t="inlineStr">
        <is>
          <t>MMM</t>
        </is>
      </c>
      <c r="E4608" s="6" t="inlineStr">
        <is>
          <t>MMM</t>
        </is>
      </c>
      <c r="F4608" s="6" t="inlineStr">
        <is>
          <t>-</t>
        </is>
      </c>
      <c r="G4608" s="7" t="n">
        <v>162.560791015625</v>
      </c>
      <c r="H4608" s="6">
        <f>P4577</f>
        <v/>
      </c>
      <c r="I4608" s="9">
        <f>Q4577</f>
        <v/>
      </c>
      <c r="J4608" s="7">
        <f>I4608*G4608</f>
        <v/>
      </c>
      <c r="K4608" s="8">
        <f>IF($J$4620=0,0,J4608/$J$4620)</f>
        <v/>
      </c>
      <c r="L4608" s="6" t="inlineStr">
        <is>
          <t>WATCHLIST</t>
        </is>
      </c>
      <c r="M4608" s="8" t="n">
        <v>0</v>
      </c>
      <c r="N4608" s="7">
        <f>M4608*$J$4620-J4608</f>
        <v/>
      </c>
      <c r="O4608" s="9">
        <f>IF(G4608=0,0,N4608/G4608)</f>
        <v/>
      </c>
      <c r="P4608" s="6">
        <f>IF(M4608&gt;0,D4608,"")</f>
        <v/>
      </c>
      <c r="Q4608" s="9">
        <f>I4608+O4608</f>
        <v/>
      </c>
      <c r="R4608" s="7">
        <f>Q4608*G4608</f>
        <v/>
      </c>
      <c r="S4608" s="8">
        <f>IF($R$4620=0,0,R4608/$R$4620)</f>
        <v/>
      </c>
      <c r="T4608" s="8" t="n">
        <v>-0.01623143767599644</v>
      </c>
      <c r="U4608" s="8" t="n">
        <v>-0.01221453323330213</v>
      </c>
      <c r="V4608" s="6" t="inlineStr">
        <is>
          <t>not selected</t>
        </is>
      </c>
    </row>
    <row r="4609">
      <c r="A4609" s="6" t="inlineStr">
        <is>
          <t>DJ30</t>
        </is>
      </c>
      <c r="B4609" s="6" t="inlineStr">
        <is>
          <t>2025-11-07</t>
        </is>
      </c>
      <c r="C4609" s="6" t="inlineStr">
        <is>
          <t>DIA</t>
        </is>
      </c>
      <c r="D4609" s="6" t="inlineStr">
        <is>
          <t>MRK</t>
        </is>
      </c>
      <c r="E4609" s="6" t="inlineStr">
        <is>
          <t>MRK</t>
        </is>
      </c>
      <c r="F4609" s="6" t="inlineStr">
        <is>
          <t>-</t>
        </is>
      </c>
      <c r="G4609" s="7" t="n">
        <v>84.31352233886719</v>
      </c>
      <c r="H4609" s="6">
        <f>P4578</f>
        <v/>
      </c>
      <c r="I4609" s="9">
        <f>Q4578</f>
        <v/>
      </c>
      <c r="J4609" s="7">
        <f>I4609*G4609</f>
        <v/>
      </c>
      <c r="K4609" s="8">
        <f>IF($J$4620=0,0,J4609/$J$4620)</f>
        <v/>
      </c>
      <c r="L4609" s="6" t="inlineStr">
        <is>
          <t>REJECTED</t>
        </is>
      </c>
      <c r="M4609" s="8" t="n">
        <v>0</v>
      </c>
      <c r="N4609" s="7">
        <f>M4609*$J$4620-J4609</f>
        <v/>
      </c>
      <c r="O4609" s="9">
        <f>IF(G4609=0,0,N4609/G4609)</f>
        <v/>
      </c>
      <c r="P4609" s="6">
        <f>IF(M4609&gt;0,D4609,"")</f>
        <v/>
      </c>
      <c r="Q4609" s="9">
        <f>I4609+O4609</f>
        <v/>
      </c>
      <c r="R4609" s="7">
        <f>Q4609*G4609</f>
        <v/>
      </c>
      <c r="S4609" s="8">
        <f>IF($R$4620=0,0,R4609/$R$4620)</f>
        <v/>
      </c>
      <c r="T4609" s="8" t="n">
        <v>-0.01623143767599644</v>
      </c>
      <c r="U4609" s="8" t="n">
        <v>-0.01221453323330213</v>
      </c>
      <c r="V4609" s="6" t="inlineStr">
        <is>
          <t>not selected</t>
        </is>
      </c>
    </row>
    <row r="4610">
      <c r="A4610" s="6" t="inlineStr">
        <is>
          <t>DJ30</t>
        </is>
      </c>
      <c r="B4610" s="6" t="inlineStr">
        <is>
          <t>2025-11-07</t>
        </is>
      </c>
      <c r="C4610" s="6" t="inlineStr">
        <is>
          <t>DIA</t>
        </is>
      </c>
      <c r="D4610" s="6" t="inlineStr">
        <is>
          <t>MSFT</t>
        </is>
      </c>
      <c r="E4610" s="6" t="inlineStr">
        <is>
          <t>MSFT</t>
        </is>
      </c>
      <c r="F4610" s="6" t="inlineStr">
        <is>
          <t>-</t>
        </is>
      </c>
      <c r="G4610" s="7" t="n">
        <v>493.6933288574219</v>
      </c>
      <c r="H4610" s="6">
        <f>P4579</f>
        <v/>
      </c>
      <c r="I4610" s="9">
        <f>Q4579</f>
        <v/>
      </c>
      <c r="J4610" s="7">
        <f>I4610*G4610</f>
        <v/>
      </c>
      <c r="K4610" s="8">
        <f>IF($J$4620=0,0,J4610/$J$4620)</f>
        <v/>
      </c>
      <c r="L4610" s="6" t="inlineStr">
        <is>
          <t>WATCHLIST</t>
        </is>
      </c>
      <c r="M4610" s="8" t="n">
        <v>0</v>
      </c>
      <c r="N4610" s="7">
        <f>M4610*$J$4620-J4610</f>
        <v/>
      </c>
      <c r="O4610" s="9">
        <f>IF(G4610=0,0,N4610/G4610)</f>
        <v/>
      </c>
      <c r="P4610" s="6">
        <f>IF(M4610&gt;0,D4610,"")</f>
        <v/>
      </c>
      <c r="Q4610" s="9">
        <f>I4610+O4610</f>
        <v/>
      </c>
      <c r="R4610" s="7">
        <f>Q4610*G4610</f>
        <v/>
      </c>
      <c r="S4610" s="8">
        <f>IF($R$4620=0,0,R4610/$R$4620)</f>
        <v/>
      </c>
      <c r="T4610" s="8" t="n">
        <v>-0.01623143767599644</v>
      </c>
      <c r="U4610" s="8" t="n">
        <v>-0.01221453323330213</v>
      </c>
      <c r="V4610" s="6" t="inlineStr">
        <is>
          <t>not selected</t>
        </is>
      </c>
    </row>
    <row r="4611">
      <c r="A4611" s="6" t="inlineStr">
        <is>
          <t>DJ30</t>
        </is>
      </c>
      <c r="B4611" s="6" t="inlineStr">
        <is>
          <t>2025-11-07</t>
        </is>
      </c>
      <c r="C4611" s="6" t="inlineStr">
        <is>
          <t>DIA</t>
        </is>
      </c>
      <c r="D4611" s="6" t="inlineStr">
        <is>
          <t>NKE</t>
        </is>
      </c>
      <c r="E4611" s="6" t="inlineStr">
        <is>
          <t>NKE</t>
        </is>
      </c>
      <c r="F4611" s="6" t="inlineStr">
        <is>
          <t>-</t>
        </is>
      </c>
      <c r="G4611" s="7" t="n">
        <v>59.76739501953125</v>
      </c>
      <c r="H4611" s="6">
        <f>P4580</f>
        <v/>
      </c>
      <c r="I4611" s="9">
        <f>Q4580</f>
        <v/>
      </c>
      <c r="J4611" s="7">
        <f>I4611*G4611</f>
        <v/>
      </c>
      <c r="K4611" s="8">
        <f>IF($J$4620=0,0,J4611/$J$4620)</f>
        <v/>
      </c>
      <c r="L4611" s="6" t="inlineStr">
        <is>
          <t>REJECTED</t>
        </is>
      </c>
      <c r="M4611" s="8" t="n">
        <v>0</v>
      </c>
      <c r="N4611" s="7">
        <f>M4611*$J$4620-J4611</f>
        <v/>
      </c>
      <c r="O4611" s="9">
        <f>IF(G4611=0,0,N4611/G4611)</f>
        <v/>
      </c>
      <c r="P4611" s="6">
        <f>IF(M4611&gt;0,D4611,"")</f>
        <v/>
      </c>
      <c r="Q4611" s="9">
        <f>I4611+O4611</f>
        <v/>
      </c>
      <c r="R4611" s="7">
        <f>Q4611*G4611</f>
        <v/>
      </c>
      <c r="S4611" s="8">
        <f>IF($R$4620=0,0,R4611/$R$4620)</f>
        <v/>
      </c>
      <c r="T4611" s="8" t="n">
        <v>-0.01623143767599644</v>
      </c>
      <c r="U4611" s="8" t="n">
        <v>-0.01221453323330213</v>
      </c>
      <c r="V4611" s="6" t="inlineStr">
        <is>
          <t>not selected</t>
        </is>
      </c>
    </row>
    <row r="4612">
      <c r="A4612" s="6" t="inlineStr">
        <is>
          <t>DJ30</t>
        </is>
      </c>
      <c r="B4612" s="6" t="inlineStr">
        <is>
          <t>2025-11-07</t>
        </is>
      </c>
      <c r="C4612" s="6" t="inlineStr">
        <is>
          <t>DIA</t>
        </is>
      </c>
      <c r="D4612" s="6" t="inlineStr">
        <is>
          <t>NVDA</t>
        </is>
      </c>
      <c r="E4612" s="6" t="inlineStr">
        <is>
          <t>NVDA</t>
        </is>
      </c>
      <c r="F4612" s="6" t="inlineStr">
        <is>
          <t>-</t>
        </is>
      </c>
      <c r="G4612" s="7" t="n">
        <v>187.9103088378907</v>
      </c>
      <c r="H4612" s="6">
        <f>P4581</f>
        <v/>
      </c>
      <c r="I4612" s="9">
        <f>Q4581</f>
        <v/>
      </c>
      <c r="J4612" s="7">
        <f>I4612*G4612</f>
        <v/>
      </c>
      <c r="K4612" s="8">
        <f>IF($J$4620=0,0,J4612/$J$4620)</f>
        <v/>
      </c>
      <c r="L4612" s="6" t="inlineStr">
        <is>
          <t>SELECTED</t>
        </is>
      </c>
      <c r="M4612" s="8" t="n">
        <v>0.2</v>
      </c>
      <c r="N4612" s="7">
        <f>M4612*$J$4620-J4612</f>
        <v/>
      </c>
      <c r="O4612" s="9">
        <f>IF(G4612=0,0,N4612/G4612)</f>
        <v/>
      </c>
      <c r="P4612" s="6">
        <f>IF(M4612&gt;0,D4612,"")</f>
        <v/>
      </c>
      <c r="Q4612" s="9">
        <f>I4612+O4612</f>
        <v/>
      </c>
      <c r="R4612" s="7">
        <f>Q4612*G4612</f>
        <v/>
      </c>
      <c r="S4612" s="8">
        <f>IF($R$4620=0,0,R4612/$R$4620)</f>
        <v/>
      </c>
      <c r="T4612" s="8" t="n">
        <v>-0.01623143767599644</v>
      </c>
      <c r="U4612" s="8" t="n">
        <v>-0.01221453323330213</v>
      </c>
      <c r="V4612" s="6" t="inlineStr">
        <is>
          <t>entered weekly selection</t>
        </is>
      </c>
    </row>
    <row r="4613">
      <c r="A4613" s="6" t="inlineStr">
        <is>
          <t>DJ30</t>
        </is>
      </c>
      <c r="B4613" s="6" t="inlineStr">
        <is>
          <t>2025-11-07</t>
        </is>
      </c>
      <c r="C4613" s="6" t="inlineStr">
        <is>
          <t>DIA</t>
        </is>
      </c>
      <c r="D4613" s="6" t="inlineStr">
        <is>
          <t>PG</t>
        </is>
      </c>
      <c r="E4613" s="6" t="inlineStr">
        <is>
          <t>PG</t>
        </is>
      </c>
      <c r="F4613" s="6" t="inlineStr">
        <is>
          <t>-</t>
        </is>
      </c>
      <c r="G4613" s="7" t="n">
        <v>144.8530426025391</v>
      </c>
      <c r="H4613" s="6">
        <f>P4582</f>
        <v/>
      </c>
      <c r="I4613" s="9">
        <f>Q4582</f>
        <v/>
      </c>
      <c r="J4613" s="7">
        <f>I4613*G4613</f>
        <v/>
      </c>
      <c r="K4613" s="8">
        <f>IF($J$4620=0,0,J4613/$J$4620)</f>
        <v/>
      </c>
      <c r="L4613" s="6" t="inlineStr">
        <is>
          <t>REJECTED</t>
        </is>
      </c>
      <c r="M4613" s="8" t="n">
        <v>0</v>
      </c>
      <c r="N4613" s="7">
        <f>M4613*$J$4620-J4613</f>
        <v/>
      </c>
      <c r="O4613" s="9">
        <f>IF(G4613=0,0,N4613/G4613)</f>
        <v/>
      </c>
      <c r="P4613" s="6">
        <f>IF(M4613&gt;0,D4613,"")</f>
        <v/>
      </c>
      <c r="Q4613" s="9">
        <f>I4613+O4613</f>
        <v/>
      </c>
      <c r="R4613" s="7">
        <f>Q4613*G4613</f>
        <v/>
      </c>
      <c r="S4613" s="8">
        <f>IF($R$4620=0,0,R4613/$R$4620)</f>
        <v/>
      </c>
      <c r="T4613" s="8" t="n">
        <v>-0.01623143767599644</v>
      </c>
      <c r="U4613" s="8" t="n">
        <v>-0.01221453323330213</v>
      </c>
      <c r="V4613" s="6" t="inlineStr">
        <is>
          <t>not selected</t>
        </is>
      </c>
    </row>
    <row r="4614">
      <c r="A4614" s="6" t="inlineStr">
        <is>
          <t>DJ30</t>
        </is>
      </c>
      <c r="B4614" s="6" t="inlineStr">
        <is>
          <t>2025-11-07</t>
        </is>
      </c>
      <c r="C4614" s="6" t="inlineStr">
        <is>
          <t>DIA</t>
        </is>
      </c>
      <c r="D4614" s="6" t="inlineStr">
        <is>
          <t>SHW</t>
        </is>
      </c>
      <c r="E4614" s="6" t="inlineStr">
        <is>
          <t>SHW</t>
        </is>
      </c>
      <c r="F4614" s="6" t="inlineStr">
        <is>
          <t>-</t>
        </is>
      </c>
      <c r="G4614" s="7" t="n">
        <v>337.7424621582031</v>
      </c>
      <c r="H4614" s="6">
        <f>P4583</f>
        <v/>
      </c>
      <c r="I4614" s="9">
        <f>Q4583</f>
        <v/>
      </c>
      <c r="J4614" s="7">
        <f>I4614*G4614</f>
        <v/>
      </c>
      <c r="K4614" s="8">
        <f>IF($J$4620=0,0,J4614/$J$4620)</f>
        <v/>
      </c>
      <c r="L4614" s="6" t="inlineStr">
        <is>
          <t>REJECTED</t>
        </is>
      </c>
      <c r="M4614" s="8" t="n">
        <v>0</v>
      </c>
      <c r="N4614" s="7">
        <f>M4614*$J$4620-J4614</f>
        <v/>
      </c>
      <c r="O4614" s="9">
        <f>IF(G4614=0,0,N4614/G4614)</f>
        <v/>
      </c>
      <c r="P4614" s="6">
        <f>IF(M4614&gt;0,D4614,"")</f>
        <v/>
      </c>
      <c r="Q4614" s="9">
        <f>I4614+O4614</f>
        <v/>
      </c>
      <c r="R4614" s="7">
        <f>Q4614*G4614</f>
        <v/>
      </c>
      <c r="S4614" s="8">
        <f>IF($R$4620=0,0,R4614/$R$4620)</f>
        <v/>
      </c>
      <c r="T4614" s="8" t="n">
        <v>-0.01623143767599644</v>
      </c>
      <c r="U4614" s="8" t="n">
        <v>-0.01221453323330213</v>
      </c>
      <c r="V4614" s="6" t="inlineStr">
        <is>
          <t>not selected</t>
        </is>
      </c>
    </row>
    <row r="4615">
      <c r="A4615" s="6" t="inlineStr">
        <is>
          <t>DJ30</t>
        </is>
      </c>
      <c r="B4615" s="6" t="inlineStr">
        <is>
          <t>2025-11-07</t>
        </is>
      </c>
      <c r="C4615" s="6" t="inlineStr">
        <is>
          <t>DIA</t>
        </is>
      </c>
      <c r="D4615" s="6" t="inlineStr">
        <is>
          <t>TRV</t>
        </is>
      </c>
      <c r="E4615" s="6" t="inlineStr">
        <is>
          <t>TRV</t>
        </is>
      </c>
      <c r="F4615" s="6" t="inlineStr">
        <is>
          <t>-</t>
        </is>
      </c>
      <c r="G4615" s="7" t="n">
        <v>276.5401611328125</v>
      </c>
      <c r="H4615" s="6">
        <f>P4584</f>
        <v/>
      </c>
      <c r="I4615" s="9">
        <f>Q4584</f>
        <v/>
      </c>
      <c r="J4615" s="7">
        <f>I4615*G4615</f>
        <v/>
      </c>
      <c r="K4615" s="8">
        <f>IF($J$4620=0,0,J4615/$J$4620)</f>
        <v/>
      </c>
      <c r="L4615" s="6" t="inlineStr">
        <is>
          <t>WATCHLIST</t>
        </is>
      </c>
      <c r="M4615" s="8" t="n">
        <v>0</v>
      </c>
      <c r="N4615" s="7">
        <f>M4615*$J$4620-J4615</f>
        <v/>
      </c>
      <c r="O4615" s="9">
        <f>IF(G4615=0,0,N4615/G4615)</f>
        <v/>
      </c>
      <c r="P4615" s="6">
        <f>IF(M4615&gt;0,D4615,"")</f>
        <v/>
      </c>
      <c r="Q4615" s="9">
        <f>I4615+O4615</f>
        <v/>
      </c>
      <c r="R4615" s="7">
        <f>Q4615*G4615</f>
        <v/>
      </c>
      <c r="S4615" s="8">
        <f>IF($R$4620=0,0,R4615/$R$4620)</f>
        <v/>
      </c>
      <c r="T4615" s="8" t="n">
        <v>-0.01623143767599644</v>
      </c>
      <c r="U4615" s="8" t="n">
        <v>-0.01221453323330213</v>
      </c>
      <c r="V4615" s="6" t="inlineStr">
        <is>
          <t>not selected</t>
        </is>
      </c>
    </row>
    <row r="4616">
      <c r="A4616" s="6" t="inlineStr">
        <is>
          <t>DJ30</t>
        </is>
      </c>
      <c r="B4616" s="6" t="inlineStr">
        <is>
          <t>2025-11-07</t>
        </is>
      </c>
      <c r="C4616" s="6" t="inlineStr">
        <is>
          <t>DIA</t>
        </is>
      </c>
      <c r="D4616" s="6" t="inlineStr">
        <is>
          <t>UNH</t>
        </is>
      </c>
      <c r="E4616" s="6" t="inlineStr">
        <is>
          <t>UNH</t>
        </is>
      </c>
      <c r="F4616" s="6" t="inlineStr">
        <is>
          <t>-</t>
        </is>
      </c>
      <c r="G4616" s="7" t="n">
        <v>317.74560546875</v>
      </c>
      <c r="H4616" s="6">
        <f>P4585</f>
        <v/>
      </c>
      <c r="I4616" s="9">
        <f>Q4585</f>
        <v/>
      </c>
      <c r="J4616" s="7">
        <f>I4616*G4616</f>
        <v/>
      </c>
      <c r="K4616" s="8">
        <f>IF($J$4620=0,0,J4616/$J$4620)</f>
        <v/>
      </c>
      <c r="L4616" s="6" t="inlineStr">
        <is>
          <t>REJECTED</t>
        </is>
      </c>
      <c r="M4616" s="8" t="n">
        <v>0</v>
      </c>
      <c r="N4616" s="7">
        <f>M4616*$J$4620-J4616</f>
        <v/>
      </c>
      <c r="O4616" s="9">
        <f>IF(G4616=0,0,N4616/G4616)</f>
        <v/>
      </c>
      <c r="P4616" s="6">
        <f>IF(M4616&gt;0,D4616,"")</f>
        <v/>
      </c>
      <c r="Q4616" s="9">
        <f>I4616+O4616</f>
        <v/>
      </c>
      <c r="R4616" s="7">
        <f>Q4616*G4616</f>
        <v/>
      </c>
      <c r="S4616" s="8">
        <f>IF($R$4620=0,0,R4616/$R$4620)</f>
        <v/>
      </c>
      <c r="T4616" s="8" t="n">
        <v>-0.01623143767599644</v>
      </c>
      <c r="U4616" s="8" t="n">
        <v>-0.01221453323330213</v>
      </c>
      <c r="V4616" s="6" t="inlineStr">
        <is>
          <t>not selected</t>
        </is>
      </c>
    </row>
    <row r="4617">
      <c r="A4617" s="6" t="inlineStr">
        <is>
          <t>DJ30</t>
        </is>
      </c>
      <c r="B4617" s="6" t="inlineStr">
        <is>
          <t>2025-11-07</t>
        </is>
      </c>
      <c r="C4617" s="6" t="inlineStr">
        <is>
          <t>DIA</t>
        </is>
      </c>
      <c r="D4617" s="6" t="inlineStr">
        <is>
          <t>V</t>
        </is>
      </c>
      <c r="E4617" s="6" t="inlineStr">
        <is>
          <t>V</t>
        </is>
      </c>
      <c r="F4617" s="6" t="inlineStr">
        <is>
          <t>-</t>
        </is>
      </c>
      <c r="G4617" s="7" t="n">
        <v>333.9732666015625</v>
      </c>
      <c r="H4617" s="6">
        <f>P4586</f>
        <v/>
      </c>
      <c r="I4617" s="9">
        <f>Q4586</f>
        <v/>
      </c>
      <c r="J4617" s="7">
        <f>I4617*G4617</f>
        <v/>
      </c>
      <c r="K4617" s="8">
        <f>IF($J$4620=0,0,J4617/$J$4620)</f>
        <v/>
      </c>
      <c r="L4617" s="6" t="inlineStr">
        <is>
          <t>WATCHLIST</t>
        </is>
      </c>
      <c r="M4617" s="8" t="n">
        <v>0</v>
      </c>
      <c r="N4617" s="7">
        <f>M4617*$J$4620-J4617</f>
        <v/>
      </c>
      <c r="O4617" s="9">
        <f>IF(G4617=0,0,N4617/G4617)</f>
        <v/>
      </c>
      <c r="P4617" s="6">
        <f>IF(M4617&gt;0,D4617,"")</f>
        <v/>
      </c>
      <c r="Q4617" s="9">
        <f>I4617+O4617</f>
        <v/>
      </c>
      <c r="R4617" s="7">
        <f>Q4617*G4617</f>
        <v/>
      </c>
      <c r="S4617" s="8">
        <f>IF($R$4620=0,0,R4617/$R$4620)</f>
        <v/>
      </c>
      <c r="T4617" s="8" t="n">
        <v>-0.01623143767599644</v>
      </c>
      <c r="U4617" s="8" t="n">
        <v>-0.01221453323330213</v>
      </c>
      <c r="V4617" s="6" t="inlineStr">
        <is>
          <t>not selected</t>
        </is>
      </c>
    </row>
    <row r="4618">
      <c r="A4618" s="6" t="inlineStr">
        <is>
          <t>DJ30</t>
        </is>
      </c>
      <c r="B4618" s="6" t="inlineStr">
        <is>
          <t>2025-11-07</t>
        </is>
      </c>
      <c r="C4618" s="6" t="inlineStr">
        <is>
          <t>DIA</t>
        </is>
      </c>
      <c r="D4618" s="6" t="inlineStr">
        <is>
          <t>VZ</t>
        </is>
      </c>
      <c r="E4618" s="6" t="inlineStr">
        <is>
          <t>VZ</t>
        </is>
      </c>
      <c r="F4618" s="6" t="inlineStr">
        <is>
          <t>-</t>
        </is>
      </c>
      <c r="G4618" s="7" t="n">
        <v>38.76428604125977</v>
      </c>
      <c r="H4618" s="6">
        <f>P4587</f>
        <v/>
      </c>
      <c r="I4618" s="9">
        <f>Q4587</f>
        <v/>
      </c>
      <c r="J4618" s="7">
        <f>I4618*G4618</f>
        <v/>
      </c>
      <c r="K4618" s="8">
        <f>IF($J$4620=0,0,J4618/$J$4620)</f>
        <v/>
      </c>
      <c r="L4618" s="6" t="inlineStr">
        <is>
          <t>REJECTED</t>
        </is>
      </c>
      <c r="M4618" s="8" t="n">
        <v>0</v>
      </c>
      <c r="N4618" s="7">
        <f>M4618*$J$4620-J4618</f>
        <v/>
      </c>
      <c r="O4618" s="9">
        <f>IF(G4618=0,0,N4618/G4618)</f>
        <v/>
      </c>
      <c r="P4618" s="6">
        <f>IF(M4618&gt;0,D4618,"")</f>
        <v/>
      </c>
      <c r="Q4618" s="9">
        <f>I4618+O4618</f>
        <v/>
      </c>
      <c r="R4618" s="7">
        <f>Q4618*G4618</f>
        <v/>
      </c>
      <c r="S4618" s="8">
        <f>IF($R$4620=0,0,R4618/$R$4620)</f>
        <v/>
      </c>
      <c r="T4618" s="8" t="n">
        <v>-0.01623143767599644</v>
      </c>
      <c r="U4618" s="8" t="n">
        <v>-0.01221453323330213</v>
      </c>
      <c r="V4618" s="6" t="inlineStr">
        <is>
          <t>not selected</t>
        </is>
      </c>
    </row>
    <row r="4619">
      <c r="A4619" s="6" t="inlineStr">
        <is>
          <t>DJ30</t>
        </is>
      </c>
      <c r="B4619" s="6" t="inlineStr">
        <is>
          <t>2025-11-07</t>
        </is>
      </c>
      <c r="C4619" s="6" t="inlineStr">
        <is>
          <t>DIA</t>
        </is>
      </c>
      <c r="D4619" s="6" t="inlineStr">
        <is>
          <t>WMT</t>
        </is>
      </c>
      <c r="E4619" s="6" t="inlineStr">
        <is>
          <t>WMT</t>
        </is>
      </c>
      <c r="F4619" s="6" t="inlineStr">
        <is>
          <t>-</t>
        </is>
      </c>
      <c r="G4619" s="7" t="n">
        <v>101.9769973754883</v>
      </c>
      <c r="H4619" s="6">
        <f>P4588</f>
        <v/>
      </c>
      <c r="I4619" s="9">
        <f>Q4588</f>
        <v/>
      </c>
      <c r="J4619" s="7">
        <f>I4619*G4619</f>
        <v/>
      </c>
      <c r="K4619" s="8">
        <f>IF($J$4620=0,0,J4619/$J$4620)</f>
        <v/>
      </c>
      <c r="L4619" s="6" t="inlineStr">
        <is>
          <t>WATCHLIST</t>
        </is>
      </c>
      <c r="M4619" s="8" t="n">
        <v>0</v>
      </c>
      <c r="N4619" s="7">
        <f>M4619*$J$4620-J4619</f>
        <v/>
      </c>
      <c r="O4619" s="9">
        <f>IF(G4619=0,0,N4619/G4619)</f>
        <v/>
      </c>
      <c r="P4619" s="6">
        <f>IF(M4619&gt;0,D4619,"")</f>
        <v/>
      </c>
      <c r="Q4619" s="9">
        <f>I4619+O4619</f>
        <v/>
      </c>
      <c r="R4619" s="7">
        <f>Q4619*G4619</f>
        <v/>
      </c>
      <c r="S4619" s="8">
        <f>IF($R$4620=0,0,R4619/$R$4620)</f>
        <v/>
      </c>
      <c r="T4619" s="8" t="n">
        <v>-0.01623143767599644</v>
      </c>
      <c r="U4619" s="8" t="n">
        <v>-0.01221453323330213</v>
      </c>
      <c r="V4619" s="6" t="inlineStr">
        <is>
          <t>not selected</t>
        </is>
      </c>
    </row>
    <row r="4620">
      <c r="A4620" s="10" t="inlineStr">
        <is>
          <t>DJ30</t>
        </is>
      </c>
      <c r="B4620" s="10" t="inlineStr">
        <is>
          <t>2025-11-07</t>
        </is>
      </c>
      <c r="C4620" s="10" t="inlineStr">
        <is>
          <t>DIA</t>
        </is>
      </c>
      <c r="D4620" s="10" t="inlineStr">
        <is>
          <t>Tot Portfolio</t>
        </is>
      </c>
      <c r="E4620" s="10" t="inlineStr"/>
      <c r="F4620" s="10" t="inlineStr"/>
      <c r="G4620" s="11" t="inlineStr"/>
      <c r="H4620" s="10" t="inlineStr"/>
      <c r="I4620" s="12" t="inlineStr"/>
      <c r="J4620" s="11">
        <f>SUM(J4590:J4619)</f>
        <v/>
      </c>
      <c r="K4620" s="13">
        <f>SUM(K4590:K4619)</f>
        <v/>
      </c>
      <c r="L4620" s="10" t="inlineStr">
        <is>
          <t>TOTAL</t>
        </is>
      </c>
      <c r="M4620" s="13">
        <f>SUM(M4590:M4619)</f>
        <v/>
      </c>
      <c r="N4620" s="11">
        <f>SUM(N4590:N4619)</f>
        <v/>
      </c>
      <c r="O4620" s="12">
        <f>SUM(O4590:O4619)</f>
        <v/>
      </c>
      <c r="P4620" s="10" t="inlineStr"/>
      <c r="Q4620" s="12" t="inlineStr"/>
      <c r="R4620" s="11">
        <f>SUM(R4590:R4619)</f>
        <v/>
      </c>
      <c r="S4620" s="13">
        <f>SUM(S4590:S4619)</f>
        <v/>
      </c>
      <c r="T4620" s="13" t="n">
        <v>-0.01623143767599644</v>
      </c>
      <c r="U4620" s="13" t="n">
        <v>-0.01221453323330213</v>
      </c>
      <c r="V4620" s="10" t="inlineStr"/>
    </row>
    <row r="4621">
      <c r="A4621" s="6" t="inlineStr">
        <is>
          <t>DJ30</t>
        </is>
      </c>
      <c r="B4621" s="6" t="inlineStr">
        <is>
          <t>2025-11-14</t>
        </is>
      </c>
      <c r="C4621" s="6" t="inlineStr">
        <is>
          <t>DIA</t>
        </is>
      </c>
      <c r="D4621" s="6" t="inlineStr">
        <is>
          <t>AAPL</t>
        </is>
      </c>
      <c r="E4621" s="6" t="inlineStr">
        <is>
          <t>AAPL</t>
        </is>
      </c>
      <c r="F4621" s="6" t="inlineStr">
        <is>
          <t>-</t>
        </is>
      </c>
      <c r="G4621" s="7" t="n">
        <v>271.9048461914062</v>
      </c>
      <c r="H4621" s="6">
        <f>P4590</f>
        <v/>
      </c>
      <c r="I4621" s="9">
        <f>Q4590</f>
        <v/>
      </c>
      <c r="J4621" s="7">
        <f>I4621*G4621</f>
        <v/>
      </c>
      <c r="K4621" s="8">
        <f>IF($J$4651=0,0,J4621/$J$4651)</f>
        <v/>
      </c>
      <c r="L4621" s="6" t="inlineStr">
        <is>
          <t>REJECTED</t>
        </is>
      </c>
      <c r="M4621" s="8" t="n">
        <v>0</v>
      </c>
      <c r="N4621" s="7">
        <f>M4621*$J$4651-J4621</f>
        <v/>
      </c>
      <c r="O4621" s="9">
        <f>IF(G4621=0,0,N4621/G4621)</f>
        <v/>
      </c>
      <c r="P4621" s="6">
        <f>IF(M4621&gt;0,D4621,"")</f>
        <v/>
      </c>
      <c r="Q4621" s="9">
        <f>I4621+O4621</f>
        <v/>
      </c>
      <c r="R4621" s="7">
        <f>Q4621*G4621</f>
        <v/>
      </c>
      <c r="S4621" s="8">
        <f>IF($R$4651=0,0,R4621/$R$4651)</f>
        <v/>
      </c>
      <c r="T4621" s="8" t="n">
        <v>0.01350069358773553</v>
      </c>
      <c r="U4621" s="8" t="n">
        <v>0.004129014787773277</v>
      </c>
      <c r="V4621" s="6" t="inlineStr">
        <is>
          <t>not selected</t>
        </is>
      </c>
    </row>
    <row r="4622">
      <c r="A4622" s="6" t="inlineStr">
        <is>
          <t>DJ30</t>
        </is>
      </c>
      <c r="B4622" s="6" t="inlineStr">
        <is>
          <t>2025-11-14</t>
        </is>
      </c>
      <c r="C4622" s="6" t="inlineStr">
        <is>
          <t>DIA</t>
        </is>
      </c>
      <c r="D4622" s="6" t="inlineStr">
        <is>
          <t>AMGN</t>
        </is>
      </c>
      <c r="E4622" s="6" t="inlineStr">
        <is>
          <t>AMGN</t>
        </is>
      </c>
      <c r="F4622" s="6" t="inlineStr">
        <is>
          <t>-</t>
        </is>
      </c>
      <c r="G4622" s="7" t="n">
        <v>329.565673828125</v>
      </c>
      <c r="H4622" s="6">
        <f>P4591</f>
        <v/>
      </c>
      <c r="I4622" s="9">
        <f>Q4591</f>
        <v/>
      </c>
      <c r="J4622" s="7">
        <f>I4622*G4622</f>
        <v/>
      </c>
      <c r="K4622" s="8">
        <f>IF($J$4651=0,0,J4622/$J$4651)</f>
        <v/>
      </c>
      <c r="L4622" s="6" t="inlineStr">
        <is>
          <t>REJECTED</t>
        </is>
      </c>
      <c r="M4622" s="8" t="n">
        <v>0</v>
      </c>
      <c r="N4622" s="7">
        <f>M4622*$J$4651-J4622</f>
        <v/>
      </c>
      <c r="O4622" s="9">
        <f>IF(G4622=0,0,N4622/G4622)</f>
        <v/>
      </c>
      <c r="P4622" s="6">
        <f>IF(M4622&gt;0,D4622,"")</f>
        <v/>
      </c>
      <c r="Q4622" s="9">
        <f>I4622+O4622</f>
        <v/>
      </c>
      <c r="R4622" s="7">
        <f>Q4622*G4622</f>
        <v/>
      </c>
      <c r="S4622" s="8">
        <f>IF($R$4651=0,0,R4622/$R$4651)</f>
        <v/>
      </c>
      <c r="T4622" s="8" t="n">
        <v>0.01350069358773553</v>
      </c>
      <c r="U4622" s="8" t="n">
        <v>0.004129014787773277</v>
      </c>
      <c r="V4622" s="6" t="inlineStr">
        <is>
          <t>not selected</t>
        </is>
      </c>
    </row>
    <row r="4623">
      <c r="A4623" s="6" t="inlineStr">
        <is>
          <t>DJ30</t>
        </is>
      </c>
      <c r="B4623" s="6" t="inlineStr">
        <is>
          <t>2025-11-14</t>
        </is>
      </c>
      <c r="C4623" s="6" t="inlineStr">
        <is>
          <t>DIA</t>
        </is>
      </c>
      <c r="D4623" s="6" t="inlineStr">
        <is>
          <t>AMZN</t>
        </is>
      </c>
      <c r="E4623" s="6" t="inlineStr">
        <is>
          <t>AMZN</t>
        </is>
      </c>
      <c r="F4623" s="6" t="inlineStr">
        <is>
          <t>-</t>
        </is>
      </c>
      <c r="G4623" s="7" t="n">
        <v>234.6900024414062</v>
      </c>
      <c r="H4623" s="6">
        <f>P4592</f>
        <v/>
      </c>
      <c r="I4623" s="9">
        <f>Q4592</f>
        <v/>
      </c>
      <c r="J4623" s="7">
        <f>I4623*G4623</f>
        <v/>
      </c>
      <c r="K4623" s="8">
        <f>IF($J$4651=0,0,J4623/$J$4651)</f>
        <v/>
      </c>
      <c r="L4623" s="6" t="inlineStr">
        <is>
          <t>REJECTED</t>
        </is>
      </c>
      <c r="M4623" s="8" t="n">
        <v>0</v>
      </c>
      <c r="N4623" s="7">
        <f>M4623*$J$4651-J4623</f>
        <v/>
      </c>
      <c r="O4623" s="9">
        <f>IF(G4623=0,0,N4623/G4623)</f>
        <v/>
      </c>
      <c r="P4623" s="6">
        <f>IF(M4623&gt;0,D4623,"")</f>
        <v/>
      </c>
      <c r="Q4623" s="9">
        <f>I4623+O4623</f>
        <v/>
      </c>
      <c r="R4623" s="7">
        <f>Q4623*G4623</f>
        <v/>
      </c>
      <c r="S4623" s="8">
        <f>IF($R$4651=0,0,R4623/$R$4651)</f>
        <v/>
      </c>
      <c r="T4623" s="8" t="n">
        <v>0.01350069358773553</v>
      </c>
      <c r="U4623" s="8" t="n">
        <v>0.004129014787773277</v>
      </c>
      <c r="V4623" s="6" t="inlineStr">
        <is>
          <t>not selected</t>
        </is>
      </c>
    </row>
    <row r="4624">
      <c r="A4624" s="6" t="inlineStr">
        <is>
          <t>DJ30</t>
        </is>
      </c>
      <c r="B4624" s="6" t="inlineStr">
        <is>
          <t>2025-11-14</t>
        </is>
      </c>
      <c r="C4624" s="6" t="inlineStr">
        <is>
          <t>DIA</t>
        </is>
      </c>
      <c r="D4624" s="6" t="inlineStr">
        <is>
          <t>AXP</t>
        </is>
      </c>
      <c r="E4624" s="6" t="inlineStr">
        <is>
          <t>AXP</t>
        </is>
      </c>
      <c r="F4624" s="6" t="inlineStr">
        <is>
          <t>-</t>
        </is>
      </c>
      <c r="G4624" s="7" t="n">
        <v>355.2651672363281</v>
      </c>
      <c r="H4624" s="6">
        <f>P4593</f>
        <v/>
      </c>
      <c r="I4624" s="9">
        <f>Q4593</f>
        <v/>
      </c>
      <c r="J4624" s="7">
        <f>I4624*G4624</f>
        <v/>
      </c>
      <c r="K4624" s="8">
        <f>IF($J$4651=0,0,J4624/$J$4651)</f>
        <v/>
      </c>
      <c r="L4624" s="6" t="inlineStr">
        <is>
          <t>WATCHLIST</t>
        </is>
      </c>
      <c r="M4624" s="8" t="n">
        <v>0</v>
      </c>
      <c r="N4624" s="7">
        <f>M4624*$J$4651-J4624</f>
        <v/>
      </c>
      <c r="O4624" s="9">
        <f>IF(G4624=0,0,N4624/G4624)</f>
        <v/>
      </c>
      <c r="P4624" s="6">
        <f>IF(M4624&gt;0,D4624,"")</f>
        <v/>
      </c>
      <c r="Q4624" s="9">
        <f>I4624+O4624</f>
        <v/>
      </c>
      <c r="R4624" s="7">
        <f>Q4624*G4624</f>
        <v/>
      </c>
      <c r="S4624" s="8">
        <f>IF($R$4651=0,0,R4624/$R$4651)</f>
        <v/>
      </c>
      <c r="T4624" s="8" t="n">
        <v>0.01350069358773553</v>
      </c>
      <c r="U4624" s="8" t="n">
        <v>0.004129014787773277</v>
      </c>
      <c r="V4624" s="6" t="inlineStr">
        <is>
          <t>not selected</t>
        </is>
      </c>
    </row>
    <row r="4625">
      <c r="A4625" s="6" t="inlineStr">
        <is>
          <t>DJ30</t>
        </is>
      </c>
      <c r="B4625" s="6" t="inlineStr">
        <is>
          <t>2025-11-14</t>
        </is>
      </c>
      <c r="C4625" s="6" t="inlineStr">
        <is>
          <t>DIA</t>
        </is>
      </c>
      <c r="D4625" s="6" t="inlineStr">
        <is>
          <t>BA</t>
        </is>
      </c>
      <c r="E4625" s="6" t="inlineStr">
        <is>
          <t>BA</t>
        </is>
      </c>
      <c r="F4625" s="6" t="inlineStr">
        <is>
          <t>-</t>
        </is>
      </c>
      <c r="G4625" s="7" t="n">
        <v>194.5200042724609</v>
      </c>
      <c r="H4625" s="6">
        <f>P4594</f>
        <v/>
      </c>
      <c r="I4625" s="9">
        <f>Q4594</f>
        <v/>
      </c>
      <c r="J4625" s="7">
        <f>I4625*G4625</f>
        <v/>
      </c>
      <c r="K4625" s="8">
        <f>IF($J$4651=0,0,J4625/$J$4651)</f>
        <v/>
      </c>
      <c r="L4625" s="6" t="inlineStr">
        <is>
          <t>SELECTED</t>
        </is>
      </c>
      <c r="M4625" s="8" t="n">
        <v>0.2</v>
      </c>
      <c r="N4625" s="7">
        <f>M4625*$J$4651-J4625</f>
        <v/>
      </c>
      <c r="O4625" s="9">
        <f>IF(G4625=0,0,N4625/G4625)</f>
        <v/>
      </c>
      <c r="P4625" s="6">
        <f>IF(M4625&gt;0,D4625,"")</f>
        <v/>
      </c>
      <c r="Q4625" s="9">
        <f>I4625+O4625</f>
        <v/>
      </c>
      <c r="R4625" s="7">
        <f>Q4625*G4625</f>
        <v/>
      </c>
      <c r="S4625" s="8">
        <f>IF($R$4651=0,0,R4625/$R$4651)</f>
        <v/>
      </c>
      <c r="T4625" s="8" t="n">
        <v>0.01350069358773553</v>
      </c>
      <c r="U4625" s="8" t="n">
        <v>0.004129014787773277</v>
      </c>
      <c r="V4625" s="6" t="inlineStr">
        <is>
          <t>remained in weekly selection</t>
        </is>
      </c>
    </row>
    <row r="4626">
      <c r="A4626" s="6" t="inlineStr">
        <is>
          <t>DJ30</t>
        </is>
      </c>
      <c r="B4626" s="6" t="inlineStr">
        <is>
          <t>2025-11-14</t>
        </is>
      </c>
      <c r="C4626" s="6" t="inlineStr">
        <is>
          <t>DIA</t>
        </is>
      </c>
      <c r="D4626" s="6" t="inlineStr">
        <is>
          <t>CAT</t>
        </is>
      </c>
      <c r="E4626" s="6" t="inlineStr">
        <is>
          <t>CAT</t>
        </is>
      </c>
      <c r="F4626" s="6" t="inlineStr">
        <is>
          <t>-</t>
        </is>
      </c>
      <c r="G4626" s="7" t="n">
        <v>551.6865234375</v>
      </c>
      <c r="H4626" s="6">
        <f>P4595</f>
        <v/>
      </c>
      <c r="I4626" s="9">
        <f>Q4595</f>
        <v/>
      </c>
      <c r="J4626" s="7">
        <f>I4626*G4626</f>
        <v/>
      </c>
      <c r="K4626" s="8">
        <f>IF($J$4651=0,0,J4626/$J$4651)</f>
        <v/>
      </c>
      <c r="L4626" s="6" t="inlineStr">
        <is>
          <t>SELECTED</t>
        </is>
      </c>
      <c r="M4626" s="8" t="n">
        <v>0.2</v>
      </c>
      <c r="N4626" s="7">
        <f>M4626*$J$4651-J4626</f>
        <v/>
      </c>
      <c r="O4626" s="9">
        <f>IF(G4626=0,0,N4626/G4626)</f>
        <v/>
      </c>
      <c r="P4626" s="6">
        <f>IF(M4626&gt;0,D4626,"")</f>
        <v/>
      </c>
      <c r="Q4626" s="9">
        <f>I4626+O4626</f>
        <v/>
      </c>
      <c r="R4626" s="7">
        <f>Q4626*G4626</f>
        <v/>
      </c>
      <c r="S4626" s="8">
        <f>IF($R$4651=0,0,R4626/$R$4651)</f>
        <v/>
      </c>
      <c r="T4626" s="8" t="n">
        <v>0.01350069358773553</v>
      </c>
      <c r="U4626" s="8" t="n">
        <v>0.004129014787773277</v>
      </c>
      <c r="V4626" s="6" t="inlineStr">
        <is>
          <t>entered weekly selection</t>
        </is>
      </c>
    </row>
    <row r="4627">
      <c r="A4627" s="6" t="inlineStr">
        <is>
          <t>DJ30</t>
        </is>
      </c>
      <c r="B4627" s="6" t="inlineStr">
        <is>
          <t>2025-11-14</t>
        </is>
      </c>
      <c r="C4627" s="6" t="inlineStr">
        <is>
          <t>DIA</t>
        </is>
      </c>
      <c r="D4627" s="6" t="inlineStr">
        <is>
          <t>CRM</t>
        </is>
      </c>
      <c r="E4627" s="6" t="inlineStr">
        <is>
          <t>CRM</t>
        </is>
      </c>
      <c r="F4627" s="6" t="inlineStr">
        <is>
          <t>-</t>
        </is>
      </c>
      <c r="G4627" s="7" t="n">
        <v>242.0357666015625</v>
      </c>
      <c r="H4627" s="6">
        <f>P4596</f>
        <v/>
      </c>
      <c r="I4627" s="9">
        <f>Q4596</f>
        <v/>
      </c>
      <c r="J4627" s="7">
        <f>I4627*G4627</f>
        <v/>
      </c>
      <c r="K4627" s="8">
        <f>IF($J$4651=0,0,J4627/$J$4651)</f>
        <v/>
      </c>
      <c r="L4627" s="6" t="inlineStr">
        <is>
          <t>REJECTED</t>
        </is>
      </c>
      <c r="M4627" s="8" t="n">
        <v>0</v>
      </c>
      <c r="N4627" s="7">
        <f>M4627*$J$4651-J4627</f>
        <v/>
      </c>
      <c r="O4627" s="9">
        <f>IF(G4627=0,0,N4627/G4627)</f>
        <v/>
      </c>
      <c r="P4627" s="6">
        <f>IF(M4627&gt;0,D4627,"")</f>
        <v/>
      </c>
      <c r="Q4627" s="9">
        <f>I4627+O4627</f>
        <v/>
      </c>
      <c r="R4627" s="7">
        <f>Q4627*G4627</f>
        <v/>
      </c>
      <c r="S4627" s="8">
        <f>IF($R$4651=0,0,R4627/$R$4651)</f>
        <v/>
      </c>
      <c r="T4627" s="8" t="n">
        <v>0.01350069358773553</v>
      </c>
      <c r="U4627" s="8" t="n">
        <v>0.004129014787773277</v>
      </c>
      <c r="V4627" s="6" t="inlineStr">
        <is>
          <t>not selected</t>
        </is>
      </c>
    </row>
    <row r="4628">
      <c r="A4628" s="6" t="inlineStr">
        <is>
          <t>DJ30</t>
        </is>
      </c>
      <c r="B4628" s="6" t="inlineStr">
        <is>
          <t>2025-11-14</t>
        </is>
      </c>
      <c r="C4628" s="6" t="inlineStr">
        <is>
          <t>DIA</t>
        </is>
      </c>
      <c r="D4628" s="6" t="inlineStr">
        <is>
          <t>CSCO</t>
        </is>
      </c>
      <c r="E4628" s="6" t="inlineStr">
        <is>
          <t>CSCO</t>
        </is>
      </c>
      <c r="F4628" s="6" t="inlineStr">
        <is>
          <t>-</t>
        </is>
      </c>
      <c r="G4628" s="7" t="n">
        <v>77.16669464111328</v>
      </c>
      <c r="H4628" s="6">
        <f>P4597</f>
        <v/>
      </c>
      <c r="I4628" s="9">
        <f>Q4597</f>
        <v/>
      </c>
      <c r="J4628" s="7">
        <f>I4628*G4628</f>
        <v/>
      </c>
      <c r="K4628" s="8">
        <f>IF($J$4651=0,0,J4628/$J$4651)</f>
        <v/>
      </c>
      <c r="L4628" s="6" t="inlineStr">
        <is>
          <t>WATCHLIST</t>
        </is>
      </c>
      <c r="M4628" s="8" t="n">
        <v>0</v>
      </c>
      <c r="N4628" s="7">
        <f>M4628*$J$4651-J4628</f>
        <v/>
      </c>
      <c r="O4628" s="9">
        <f>IF(G4628=0,0,N4628/G4628)</f>
        <v/>
      </c>
      <c r="P4628" s="6">
        <f>IF(M4628&gt;0,D4628,"")</f>
        <v/>
      </c>
      <c r="Q4628" s="9">
        <f>I4628+O4628</f>
        <v/>
      </c>
      <c r="R4628" s="7">
        <f>Q4628*G4628</f>
        <v/>
      </c>
      <c r="S4628" s="8">
        <f>IF($R$4651=0,0,R4628/$R$4651)</f>
        <v/>
      </c>
      <c r="T4628" s="8" t="n">
        <v>0.01350069358773553</v>
      </c>
      <c r="U4628" s="8" t="n">
        <v>0.004129014787773277</v>
      </c>
      <c r="V4628" s="6" t="inlineStr">
        <is>
          <t>not selected</t>
        </is>
      </c>
    </row>
    <row r="4629">
      <c r="A4629" s="6" t="inlineStr">
        <is>
          <t>DJ30</t>
        </is>
      </c>
      <c r="B4629" s="6" t="inlineStr">
        <is>
          <t>2025-11-14</t>
        </is>
      </c>
      <c r="C4629" s="6" t="inlineStr">
        <is>
          <t>DIA</t>
        </is>
      </c>
      <c r="D4629" s="6" t="inlineStr">
        <is>
          <t>CVX</t>
        </is>
      </c>
      <c r="E4629" s="6" t="inlineStr">
        <is>
          <t>CVX</t>
        </is>
      </c>
      <c r="F4629" s="6" t="inlineStr">
        <is>
          <t>-</t>
        </is>
      </c>
      <c r="G4629" s="7" t="n">
        <v>152.9679107666016</v>
      </c>
      <c r="H4629" s="6">
        <f>P4598</f>
        <v/>
      </c>
      <c r="I4629" s="9">
        <f>Q4598</f>
        <v/>
      </c>
      <c r="J4629" s="7">
        <f>I4629*G4629</f>
        <v/>
      </c>
      <c r="K4629" s="8">
        <f>IF($J$4651=0,0,J4629/$J$4651)</f>
        <v/>
      </c>
      <c r="L4629" s="6" t="inlineStr">
        <is>
          <t>REJECTED</t>
        </is>
      </c>
      <c r="M4629" s="8" t="n">
        <v>0</v>
      </c>
      <c r="N4629" s="7">
        <f>M4629*$J$4651-J4629</f>
        <v/>
      </c>
      <c r="O4629" s="9">
        <f>IF(G4629=0,0,N4629/G4629)</f>
        <v/>
      </c>
      <c r="P4629" s="6">
        <f>IF(M4629&gt;0,D4629,"")</f>
        <v/>
      </c>
      <c r="Q4629" s="9">
        <f>I4629+O4629</f>
        <v/>
      </c>
      <c r="R4629" s="7">
        <f>Q4629*G4629</f>
        <v/>
      </c>
      <c r="S4629" s="8">
        <f>IF($R$4651=0,0,R4629/$R$4651)</f>
        <v/>
      </c>
      <c r="T4629" s="8" t="n">
        <v>0.01350069358773553</v>
      </c>
      <c r="U4629" s="8" t="n">
        <v>0.004129014787773277</v>
      </c>
      <c r="V4629" s="6" t="inlineStr">
        <is>
          <t>not selected</t>
        </is>
      </c>
    </row>
    <row r="4630">
      <c r="A4630" s="6" t="inlineStr">
        <is>
          <t>DJ30</t>
        </is>
      </c>
      <c r="B4630" s="6" t="inlineStr">
        <is>
          <t>2025-11-14</t>
        </is>
      </c>
      <c r="C4630" s="6" t="inlineStr">
        <is>
          <t>DIA</t>
        </is>
      </c>
      <c r="D4630" s="6" t="inlineStr">
        <is>
          <t>DIS</t>
        </is>
      </c>
      <c r="E4630" s="6" t="inlineStr">
        <is>
          <t>DIS</t>
        </is>
      </c>
      <c r="F4630" s="6" t="inlineStr">
        <is>
          <t>-</t>
        </is>
      </c>
      <c r="G4630" s="7" t="n">
        <v>105.088981628418</v>
      </c>
      <c r="H4630" s="6">
        <f>P4599</f>
        <v/>
      </c>
      <c r="I4630" s="9">
        <f>Q4599</f>
        <v/>
      </c>
      <c r="J4630" s="7">
        <f>I4630*G4630</f>
        <v/>
      </c>
      <c r="K4630" s="8">
        <f>IF($J$4651=0,0,J4630/$J$4651)</f>
        <v/>
      </c>
      <c r="L4630" s="6" t="inlineStr">
        <is>
          <t>REJECTED</t>
        </is>
      </c>
      <c r="M4630" s="8" t="n">
        <v>0</v>
      </c>
      <c r="N4630" s="7">
        <f>M4630*$J$4651-J4630</f>
        <v/>
      </c>
      <c r="O4630" s="9">
        <f>IF(G4630=0,0,N4630/G4630)</f>
        <v/>
      </c>
      <c r="P4630" s="6">
        <f>IF(M4630&gt;0,D4630,"")</f>
        <v/>
      </c>
      <c r="Q4630" s="9">
        <f>I4630+O4630</f>
        <v/>
      </c>
      <c r="R4630" s="7">
        <f>Q4630*G4630</f>
        <v/>
      </c>
      <c r="S4630" s="8">
        <f>IF($R$4651=0,0,R4630/$R$4651)</f>
        <v/>
      </c>
      <c r="T4630" s="8" t="n">
        <v>0.01350069358773553</v>
      </c>
      <c r="U4630" s="8" t="n">
        <v>0.004129014787773277</v>
      </c>
      <c r="V4630" s="6" t="inlineStr">
        <is>
          <t>not selected</t>
        </is>
      </c>
    </row>
    <row r="4631">
      <c r="A4631" s="6" t="inlineStr">
        <is>
          <t>DJ30</t>
        </is>
      </c>
      <c r="B4631" s="6" t="inlineStr">
        <is>
          <t>2025-11-14</t>
        </is>
      </c>
      <c r="C4631" s="6" t="inlineStr">
        <is>
          <t>DIA</t>
        </is>
      </c>
      <c r="D4631" s="6" t="inlineStr">
        <is>
          <t>GS</t>
        </is>
      </c>
      <c r="E4631" s="6" t="inlineStr">
        <is>
          <t>GS</t>
        </is>
      </c>
      <c r="F4631" s="6" t="inlineStr">
        <is>
          <t>-</t>
        </is>
      </c>
      <c r="G4631" s="7" t="n">
        <v>779.4530639648438</v>
      </c>
      <c r="H4631" s="6">
        <f>P4600</f>
        <v/>
      </c>
      <c r="I4631" s="9">
        <f>Q4600</f>
        <v/>
      </c>
      <c r="J4631" s="7">
        <f>I4631*G4631</f>
        <v/>
      </c>
      <c r="K4631" s="8">
        <f>IF($J$4651=0,0,J4631/$J$4651)</f>
        <v/>
      </c>
      <c r="L4631" s="6" t="inlineStr">
        <is>
          <t>SELECTED</t>
        </is>
      </c>
      <c r="M4631" s="8" t="n">
        <v>0.2</v>
      </c>
      <c r="N4631" s="7">
        <f>M4631*$J$4651-J4631</f>
        <v/>
      </c>
      <c r="O4631" s="9">
        <f>IF(G4631=0,0,N4631/G4631)</f>
        <v/>
      </c>
      <c r="P4631" s="6">
        <f>IF(M4631&gt;0,D4631,"")</f>
        <v/>
      </c>
      <c r="Q4631" s="9">
        <f>I4631+O4631</f>
        <v/>
      </c>
      <c r="R4631" s="7">
        <f>Q4631*G4631</f>
        <v/>
      </c>
      <c r="S4631" s="8">
        <f>IF($R$4651=0,0,R4631/$R$4651)</f>
        <v/>
      </c>
      <c r="T4631" s="8" t="n">
        <v>0.01350069358773553</v>
      </c>
      <c r="U4631" s="8" t="n">
        <v>0.004129014787773277</v>
      </c>
      <c r="V4631" s="6" t="inlineStr">
        <is>
          <t>remained in weekly selection</t>
        </is>
      </c>
    </row>
    <row r="4632">
      <c r="A4632" s="6" t="inlineStr">
        <is>
          <t>DJ30</t>
        </is>
      </c>
      <c r="B4632" s="6" t="inlineStr">
        <is>
          <t>2025-11-14</t>
        </is>
      </c>
      <c r="C4632" s="6" t="inlineStr">
        <is>
          <t>DIA</t>
        </is>
      </c>
      <c r="D4632" s="6" t="inlineStr">
        <is>
          <t>HD</t>
        </is>
      </c>
      <c r="E4632" s="6" t="inlineStr">
        <is>
          <t>HD</t>
        </is>
      </c>
      <c r="F4632" s="6" t="inlineStr">
        <is>
          <t>-</t>
        </is>
      </c>
      <c r="G4632" s="7" t="n">
        <v>354.977783203125</v>
      </c>
      <c r="H4632" s="6">
        <f>P4601</f>
        <v/>
      </c>
      <c r="I4632" s="9">
        <f>Q4601</f>
        <v/>
      </c>
      <c r="J4632" s="7">
        <f>I4632*G4632</f>
        <v/>
      </c>
      <c r="K4632" s="8">
        <f>IF($J$4651=0,0,J4632/$J$4651)</f>
        <v/>
      </c>
      <c r="L4632" s="6" t="inlineStr">
        <is>
          <t>REJECTED</t>
        </is>
      </c>
      <c r="M4632" s="8" t="n">
        <v>0</v>
      </c>
      <c r="N4632" s="7">
        <f>M4632*$J$4651-J4632</f>
        <v/>
      </c>
      <c r="O4632" s="9">
        <f>IF(G4632=0,0,N4632/G4632)</f>
        <v/>
      </c>
      <c r="P4632" s="6">
        <f>IF(M4632&gt;0,D4632,"")</f>
        <v/>
      </c>
      <c r="Q4632" s="9">
        <f>I4632+O4632</f>
        <v/>
      </c>
      <c r="R4632" s="7">
        <f>Q4632*G4632</f>
        <v/>
      </c>
      <c r="S4632" s="8">
        <f>IF($R$4651=0,0,R4632/$R$4651)</f>
        <v/>
      </c>
      <c r="T4632" s="8" t="n">
        <v>0.01350069358773553</v>
      </c>
      <c r="U4632" s="8" t="n">
        <v>0.004129014787773277</v>
      </c>
      <c r="V4632" s="6" t="inlineStr">
        <is>
          <t>not selected</t>
        </is>
      </c>
    </row>
    <row r="4633">
      <c r="A4633" s="6" t="inlineStr">
        <is>
          <t>DJ30</t>
        </is>
      </c>
      <c r="B4633" s="6" t="inlineStr">
        <is>
          <t>2025-11-14</t>
        </is>
      </c>
      <c r="C4633" s="6" t="inlineStr">
        <is>
          <t>DIA</t>
        </is>
      </c>
      <c r="D4633" s="6" t="inlineStr">
        <is>
          <t>HON</t>
        </is>
      </c>
      <c r="E4633" s="6" t="inlineStr">
        <is>
          <t>HON</t>
        </is>
      </c>
      <c r="F4633" s="6" t="inlineStr">
        <is>
          <t>-</t>
        </is>
      </c>
      <c r="G4633" s="7" t="n">
        <v>196.9741668701172</v>
      </c>
      <c r="H4633" s="6">
        <f>P4602</f>
        <v/>
      </c>
      <c r="I4633" s="9">
        <f>Q4602</f>
        <v/>
      </c>
      <c r="J4633" s="7">
        <f>I4633*G4633</f>
        <v/>
      </c>
      <c r="K4633" s="8">
        <f>IF($J$4651=0,0,J4633/$J$4651)</f>
        <v/>
      </c>
      <c r="L4633" s="6" t="inlineStr">
        <is>
          <t>REJECTED</t>
        </is>
      </c>
      <c r="M4633" s="8" t="n">
        <v>0</v>
      </c>
      <c r="N4633" s="7">
        <f>M4633*$J$4651-J4633</f>
        <v/>
      </c>
      <c r="O4633" s="9">
        <f>IF(G4633=0,0,N4633/G4633)</f>
        <v/>
      </c>
      <c r="P4633" s="6">
        <f>IF(M4633&gt;0,D4633,"")</f>
        <v/>
      </c>
      <c r="Q4633" s="9">
        <f>I4633+O4633</f>
        <v/>
      </c>
      <c r="R4633" s="7">
        <f>Q4633*G4633</f>
        <v/>
      </c>
      <c r="S4633" s="8">
        <f>IF($R$4651=0,0,R4633/$R$4651)</f>
        <v/>
      </c>
      <c r="T4633" s="8" t="n">
        <v>0.01350069358773553</v>
      </c>
      <c r="U4633" s="8" t="n">
        <v>0.004129014787773277</v>
      </c>
      <c r="V4633" s="6" t="inlineStr">
        <is>
          <t>not selected</t>
        </is>
      </c>
    </row>
    <row r="4634">
      <c r="A4634" s="6" t="inlineStr">
        <is>
          <t>DJ30</t>
        </is>
      </c>
      <c r="B4634" s="6" t="inlineStr">
        <is>
          <t>2025-11-14</t>
        </is>
      </c>
      <c r="C4634" s="6" t="inlineStr">
        <is>
          <t>DIA</t>
        </is>
      </c>
      <c r="D4634" s="6" t="inlineStr">
        <is>
          <t>IBM</t>
        </is>
      </c>
      <c r="E4634" s="6" t="inlineStr">
        <is>
          <t>IBM</t>
        </is>
      </c>
      <c r="F4634" s="6" t="inlineStr">
        <is>
          <t>-</t>
        </is>
      </c>
      <c r="G4634" s="7" t="n">
        <v>301.7362365722656</v>
      </c>
      <c r="H4634" s="6">
        <f>P4603</f>
        <v/>
      </c>
      <c r="I4634" s="9">
        <f>Q4603</f>
        <v/>
      </c>
      <c r="J4634" s="7">
        <f>I4634*G4634</f>
        <v/>
      </c>
      <c r="K4634" s="8">
        <f>IF($J$4651=0,0,J4634/$J$4651)</f>
        <v/>
      </c>
      <c r="L4634" s="6" t="inlineStr">
        <is>
          <t>WATCHLIST</t>
        </is>
      </c>
      <c r="M4634" s="8" t="n">
        <v>0</v>
      </c>
      <c r="N4634" s="7">
        <f>M4634*$J$4651-J4634</f>
        <v/>
      </c>
      <c r="O4634" s="9">
        <f>IF(G4634=0,0,N4634/G4634)</f>
        <v/>
      </c>
      <c r="P4634" s="6">
        <f>IF(M4634&gt;0,D4634,"")</f>
        <v/>
      </c>
      <c r="Q4634" s="9">
        <f>I4634+O4634</f>
        <v/>
      </c>
      <c r="R4634" s="7">
        <f>Q4634*G4634</f>
        <v/>
      </c>
      <c r="S4634" s="8">
        <f>IF($R$4651=0,0,R4634/$R$4651)</f>
        <v/>
      </c>
      <c r="T4634" s="8" t="n">
        <v>0.01350069358773553</v>
      </c>
      <c r="U4634" s="8" t="n">
        <v>0.004129014787773277</v>
      </c>
      <c r="V4634" s="6" t="inlineStr">
        <is>
          <t>removed from weekly selection</t>
        </is>
      </c>
    </row>
    <row r="4635">
      <c r="A4635" s="6" t="inlineStr">
        <is>
          <t>DJ30</t>
        </is>
      </c>
      <c r="B4635" s="6" t="inlineStr">
        <is>
          <t>2025-11-14</t>
        </is>
      </c>
      <c r="C4635" s="6" t="inlineStr">
        <is>
          <t>DIA</t>
        </is>
      </c>
      <c r="D4635" s="6" t="inlineStr">
        <is>
          <t>JNJ</t>
        </is>
      </c>
      <c r="E4635" s="6" t="inlineStr">
        <is>
          <t>JNJ</t>
        </is>
      </c>
      <c r="F4635" s="6" t="inlineStr">
        <is>
          <t>-</t>
        </is>
      </c>
      <c r="G4635" s="7" t="n">
        <v>192.5569000244141</v>
      </c>
      <c r="H4635" s="6">
        <f>P4604</f>
        <v/>
      </c>
      <c r="I4635" s="9">
        <f>Q4604</f>
        <v/>
      </c>
      <c r="J4635" s="7">
        <f>I4635*G4635</f>
        <v/>
      </c>
      <c r="K4635" s="8">
        <f>IF($J$4651=0,0,J4635/$J$4651)</f>
        <v/>
      </c>
      <c r="L4635" s="6" t="inlineStr">
        <is>
          <t>SELECTED</t>
        </is>
      </c>
      <c r="M4635" s="8" t="n">
        <v>0.2</v>
      </c>
      <c r="N4635" s="7">
        <f>M4635*$J$4651-J4635</f>
        <v/>
      </c>
      <c r="O4635" s="9">
        <f>IF(G4635=0,0,N4635/G4635)</f>
        <v/>
      </c>
      <c r="P4635" s="6">
        <f>IF(M4635&gt;0,D4635,"")</f>
        <v/>
      </c>
      <c r="Q4635" s="9">
        <f>I4635+O4635</f>
        <v/>
      </c>
      <c r="R4635" s="7">
        <f>Q4635*G4635</f>
        <v/>
      </c>
      <c r="S4635" s="8">
        <f>IF($R$4651=0,0,R4635/$R$4651)</f>
        <v/>
      </c>
      <c r="T4635" s="8" t="n">
        <v>0.01350069358773553</v>
      </c>
      <c r="U4635" s="8" t="n">
        <v>0.004129014787773277</v>
      </c>
      <c r="V4635" s="6" t="inlineStr">
        <is>
          <t>remained in weekly selection</t>
        </is>
      </c>
    </row>
    <row r="4636">
      <c r="A4636" s="6" t="inlineStr">
        <is>
          <t>DJ30</t>
        </is>
      </c>
      <c r="B4636" s="6" t="inlineStr">
        <is>
          <t>2025-11-14</t>
        </is>
      </c>
      <c r="C4636" s="6" t="inlineStr">
        <is>
          <t>DIA</t>
        </is>
      </c>
      <c r="D4636" s="6" t="inlineStr">
        <is>
          <t>JPM</t>
        </is>
      </c>
      <c r="E4636" s="6" t="inlineStr">
        <is>
          <t>JPM</t>
        </is>
      </c>
      <c r="F4636" s="6" t="inlineStr">
        <is>
          <t>-</t>
        </is>
      </c>
      <c r="G4636" s="7" t="n">
        <v>300.7077026367188</v>
      </c>
      <c r="H4636" s="6">
        <f>P4605</f>
        <v/>
      </c>
      <c r="I4636" s="9">
        <f>Q4605</f>
        <v/>
      </c>
      <c r="J4636" s="7">
        <f>I4636*G4636</f>
        <v/>
      </c>
      <c r="K4636" s="8">
        <f>IF($J$4651=0,0,J4636/$J$4651)</f>
        <v/>
      </c>
      <c r="L4636" s="6" t="inlineStr">
        <is>
          <t>WATCHLIST</t>
        </is>
      </c>
      <c r="M4636" s="8" t="n">
        <v>0</v>
      </c>
      <c r="N4636" s="7">
        <f>M4636*$J$4651-J4636</f>
        <v/>
      </c>
      <c r="O4636" s="9">
        <f>IF(G4636=0,0,N4636/G4636)</f>
        <v/>
      </c>
      <c r="P4636" s="6">
        <f>IF(M4636&gt;0,D4636,"")</f>
        <v/>
      </c>
      <c r="Q4636" s="9">
        <f>I4636+O4636</f>
        <v/>
      </c>
      <c r="R4636" s="7">
        <f>Q4636*G4636</f>
        <v/>
      </c>
      <c r="S4636" s="8">
        <f>IF($R$4651=0,0,R4636/$R$4651)</f>
        <v/>
      </c>
      <c r="T4636" s="8" t="n">
        <v>0.01350069358773553</v>
      </c>
      <c r="U4636" s="8" t="n">
        <v>0.004129014787773277</v>
      </c>
      <c r="V4636" s="6" t="inlineStr">
        <is>
          <t>not selected</t>
        </is>
      </c>
    </row>
    <row r="4637">
      <c r="A4637" s="6" t="inlineStr">
        <is>
          <t>DJ30</t>
        </is>
      </c>
      <c r="B4637" s="6" t="inlineStr">
        <is>
          <t>2025-11-14</t>
        </is>
      </c>
      <c r="C4637" s="6" t="inlineStr">
        <is>
          <t>DIA</t>
        </is>
      </c>
      <c r="D4637" s="6" t="inlineStr">
        <is>
          <t>KO</t>
        </is>
      </c>
      <c r="E4637" s="6" t="inlineStr">
        <is>
          <t>KO</t>
        </is>
      </c>
      <c r="F4637" s="6" t="inlineStr">
        <is>
          <t>-</t>
        </is>
      </c>
      <c r="G4637" s="7" t="n">
        <v>69.73091125488281</v>
      </c>
      <c r="H4637" s="6">
        <f>P4606</f>
        <v/>
      </c>
      <c r="I4637" s="9">
        <f>Q4606</f>
        <v/>
      </c>
      <c r="J4637" s="7">
        <f>I4637*G4637</f>
        <v/>
      </c>
      <c r="K4637" s="8">
        <f>IF($J$4651=0,0,J4637/$J$4651)</f>
        <v/>
      </c>
      <c r="L4637" s="6" t="inlineStr">
        <is>
          <t>WATCHLIST</t>
        </is>
      </c>
      <c r="M4637" s="8" t="n">
        <v>0</v>
      </c>
      <c r="N4637" s="7">
        <f>M4637*$J$4651-J4637</f>
        <v/>
      </c>
      <c r="O4637" s="9">
        <f>IF(G4637=0,0,N4637/G4637)</f>
        <v/>
      </c>
      <c r="P4637" s="6">
        <f>IF(M4637&gt;0,D4637,"")</f>
        <v/>
      </c>
      <c r="Q4637" s="9">
        <f>I4637+O4637</f>
        <v/>
      </c>
      <c r="R4637" s="7">
        <f>Q4637*G4637</f>
        <v/>
      </c>
      <c r="S4637" s="8">
        <f>IF($R$4651=0,0,R4637/$R$4651)</f>
        <v/>
      </c>
      <c r="T4637" s="8" t="n">
        <v>0.01350069358773553</v>
      </c>
      <c r="U4637" s="8" t="n">
        <v>0.004129014787773277</v>
      </c>
      <c r="V4637" s="6" t="inlineStr">
        <is>
          <t>not selected</t>
        </is>
      </c>
    </row>
    <row r="4638">
      <c r="A4638" s="6" t="inlineStr">
        <is>
          <t>DJ30</t>
        </is>
      </c>
      <c r="B4638" s="6" t="inlineStr">
        <is>
          <t>2025-11-14</t>
        </is>
      </c>
      <c r="C4638" s="6" t="inlineStr">
        <is>
          <t>DIA</t>
        </is>
      </c>
      <c r="D4638" s="6" t="inlineStr">
        <is>
          <t>MCD</t>
        </is>
      </c>
      <c r="E4638" s="6" t="inlineStr">
        <is>
          <t>MCD</t>
        </is>
      </c>
      <c r="F4638" s="6" t="inlineStr">
        <is>
          <t>-</t>
        </is>
      </c>
      <c r="G4638" s="7" t="n">
        <v>301.4585876464844</v>
      </c>
      <c r="H4638" s="6">
        <f>P4607</f>
        <v/>
      </c>
      <c r="I4638" s="9">
        <f>Q4607</f>
        <v/>
      </c>
      <c r="J4638" s="7">
        <f>I4638*G4638</f>
        <v/>
      </c>
      <c r="K4638" s="8">
        <f>IF($J$4651=0,0,J4638/$J$4651)</f>
        <v/>
      </c>
      <c r="L4638" s="6" t="inlineStr">
        <is>
          <t>REJECTED</t>
        </is>
      </c>
      <c r="M4638" s="8" t="n">
        <v>0</v>
      </c>
      <c r="N4638" s="7">
        <f>M4638*$J$4651-J4638</f>
        <v/>
      </c>
      <c r="O4638" s="9">
        <f>IF(G4638=0,0,N4638/G4638)</f>
        <v/>
      </c>
      <c r="P4638" s="6">
        <f>IF(M4638&gt;0,D4638,"")</f>
        <v/>
      </c>
      <c r="Q4638" s="9">
        <f>I4638+O4638</f>
        <v/>
      </c>
      <c r="R4638" s="7">
        <f>Q4638*G4638</f>
        <v/>
      </c>
      <c r="S4638" s="8">
        <f>IF($R$4651=0,0,R4638/$R$4651)</f>
        <v/>
      </c>
      <c r="T4638" s="8" t="n">
        <v>0.01350069358773553</v>
      </c>
      <c r="U4638" s="8" t="n">
        <v>0.004129014787773277</v>
      </c>
      <c r="V4638" s="6" t="inlineStr">
        <is>
          <t>not selected</t>
        </is>
      </c>
    </row>
    <row r="4639">
      <c r="A4639" s="6" t="inlineStr">
        <is>
          <t>DJ30</t>
        </is>
      </c>
      <c r="B4639" s="6" t="inlineStr">
        <is>
          <t>2025-11-14</t>
        </is>
      </c>
      <c r="C4639" s="6" t="inlineStr">
        <is>
          <t>DIA</t>
        </is>
      </c>
      <c r="D4639" s="6" t="inlineStr">
        <is>
          <t>MMM</t>
        </is>
      </c>
      <c r="E4639" s="6" t="inlineStr">
        <is>
          <t>MMM</t>
        </is>
      </c>
      <c r="F4639" s="6" t="inlineStr">
        <is>
          <t>-</t>
        </is>
      </c>
      <c r="G4639" s="7" t="n">
        <v>165.9730377197266</v>
      </c>
      <c r="H4639" s="6">
        <f>P4608</f>
        <v/>
      </c>
      <c r="I4639" s="9">
        <f>Q4608</f>
        <v/>
      </c>
      <c r="J4639" s="7">
        <f>I4639*G4639</f>
        <v/>
      </c>
      <c r="K4639" s="8">
        <f>IF($J$4651=0,0,J4639/$J$4651)</f>
        <v/>
      </c>
      <c r="L4639" s="6" t="inlineStr">
        <is>
          <t>WATCHLIST</t>
        </is>
      </c>
      <c r="M4639" s="8" t="n">
        <v>0</v>
      </c>
      <c r="N4639" s="7">
        <f>M4639*$J$4651-J4639</f>
        <v/>
      </c>
      <c r="O4639" s="9">
        <f>IF(G4639=0,0,N4639/G4639)</f>
        <v/>
      </c>
      <c r="P4639" s="6">
        <f>IF(M4639&gt;0,D4639,"")</f>
        <v/>
      </c>
      <c r="Q4639" s="9">
        <f>I4639+O4639</f>
        <v/>
      </c>
      <c r="R4639" s="7">
        <f>Q4639*G4639</f>
        <v/>
      </c>
      <c r="S4639" s="8">
        <f>IF($R$4651=0,0,R4639/$R$4651)</f>
        <v/>
      </c>
      <c r="T4639" s="8" t="n">
        <v>0.01350069358773553</v>
      </c>
      <c r="U4639" s="8" t="n">
        <v>0.004129014787773277</v>
      </c>
      <c r="V4639" s="6" t="inlineStr">
        <is>
          <t>not selected</t>
        </is>
      </c>
    </row>
    <row r="4640">
      <c r="A4640" s="6" t="inlineStr">
        <is>
          <t>DJ30</t>
        </is>
      </c>
      <c r="B4640" s="6" t="inlineStr">
        <is>
          <t>2025-11-14</t>
        </is>
      </c>
      <c r="C4640" s="6" t="inlineStr">
        <is>
          <t>DIA</t>
        </is>
      </c>
      <c r="D4640" s="6" t="inlineStr">
        <is>
          <t>MRK</t>
        </is>
      </c>
      <c r="E4640" s="6" t="inlineStr">
        <is>
          <t>MRK</t>
        </is>
      </c>
      <c r="F4640" s="6" t="inlineStr">
        <is>
          <t>-</t>
        </is>
      </c>
      <c r="G4640" s="7" t="n">
        <v>90.80217742919922</v>
      </c>
      <c r="H4640" s="6">
        <f>P4609</f>
        <v/>
      </c>
      <c r="I4640" s="9">
        <f>Q4609</f>
        <v/>
      </c>
      <c r="J4640" s="7">
        <f>I4640*G4640</f>
        <v/>
      </c>
      <c r="K4640" s="8">
        <f>IF($J$4651=0,0,J4640/$J$4651)</f>
        <v/>
      </c>
      <c r="L4640" s="6" t="inlineStr">
        <is>
          <t>REJECTED</t>
        </is>
      </c>
      <c r="M4640" s="8" t="n">
        <v>0</v>
      </c>
      <c r="N4640" s="7">
        <f>M4640*$J$4651-J4640</f>
        <v/>
      </c>
      <c r="O4640" s="9">
        <f>IF(G4640=0,0,N4640/G4640)</f>
        <v/>
      </c>
      <c r="P4640" s="6">
        <f>IF(M4640&gt;0,D4640,"")</f>
        <v/>
      </c>
      <c r="Q4640" s="9">
        <f>I4640+O4640</f>
        <v/>
      </c>
      <c r="R4640" s="7">
        <f>Q4640*G4640</f>
        <v/>
      </c>
      <c r="S4640" s="8">
        <f>IF($R$4651=0,0,R4640/$R$4651)</f>
        <v/>
      </c>
      <c r="T4640" s="8" t="n">
        <v>0.01350069358773553</v>
      </c>
      <c r="U4640" s="8" t="n">
        <v>0.004129014787773277</v>
      </c>
      <c r="V4640" s="6" t="inlineStr">
        <is>
          <t>not selected</t>
        </is>
      </c>
    </row>
    <row r="4641">
      <c r="A4641" s="6" t="inlineStr">
        <is>
          <t>DJ30</t>
        </is>
      </c>
      <c r="B4641" s="6" t="inlineStr">
        <is>
          <t>2025-11-14</t>
        </is>
      </c>
      <c r="C4641" s="6" t="inlineStr">
        <is>
          <t>DIA</t>
        </is>
      </c>
      <c r="D4641" s="6" t="inlineStr">
        <is>
          <t>MSFT</t>
        </is>
      </c>
      <c r="E4641" s="6" t="inlineStr">
        <is>
          <t>MSFT</t>
        </is>
      </c>
      <c r="F4641" s="6" t="inlineStr">
        <is>
          <t>-</t>
        </is>
      </c>
      <c r="G4641" s="7" t="n">
        <v>506.9692077636719</v>
      </c>
      <c r="H4641" s="6">
        <f>P4610</f>
        <v/>
      </c>
      <c r="I4641" s="9">
        <f>Q4610</f>
        <v/>
      </c>
      <c r="J4641" s="7">
        <f>I4641*G4641</f>
        <v/>
      </c>
      <c r="K4641" s="8">
        <f>IF($J$4651=0,0,J4641/$J$4651)</f>
        <v/>
      </c>
      <c r="L4641" s="6" t="inlineStr">
        <is>
          <t>WATCHLIST</t>
        </is>
      </c>
      <c r="M4641" s="8" t="n">
        <v>0</v>
      </c>
      <c r="N4641" s="7">
        <f>M4641*$J$4651-J4641</f>
        <v/>
      </c>
      <c r="O4641" s="9">
        <f>IF(G4641=0,0,N4641/G4641)</f>
        <v/>
      </c>
      <c r="P4641" s="6">
        <f>IF(M4641&gt;0,D4641,"")</f>
        <v/>
      </c>
      <c r="Q4641" s="9">
        <f>I4641+O4641</f>
        <v/>
      </c>
      <c r="R4641" s="7">
        <f>Q4641*G4641</f>
        <v/>
      </c>
      <c r="S4641" s="8">
        <f>IF($R$4651=0,0,R4641/$R$4651)</f>
        <v/>
      </c>
      <c r="T4641" s="8" t="n">
        <v>0.01350069358773553</v>
      </c>
      <c r="U4641" s="8" t="n">
        <v>0.004129014787773277</v>
      </c>
      <c r="V4641" s="6" t="inlineStr">
        <is>
          <t>not selected</t>
        </is>
      </c>
    </row>
    <row r="4642">
      <c r="A4642" s="6" t="inlineStr">
        <is>
          <t>DJ30</t>
        </is>
      </c>
      <c r="B4642" s="6" t="inlineStr">
        <is>
          <t>2025-11-14</t>
        </is>
      </c>
      <c r="C4642" s="6" t="inlineStr">
        <is>
          <t>DIA</t>
        </is>
      </c>
      <c r="D4642" s="6" t="inlineStr">
        <is>
          <t>NKE</t>
        </is>
      </c>
      <c r="E4642" s="6" t="inlineStr">
        <is>
          <t>NKE</t>
        </is>
      </c>
      <c r="F4642" s="6" t="inlineStr">
        <is>
          <t>-</t>
        </is>
      </c>
      <c r="G4642" s="7" t="n">
        <v>62.78071212768555</v>
      </c>
      <c r="H4642" s="6">
        <f>P4611</f>
        <v/>
      </c>
      <c r="I4642" s="9">
        <f>Q4611</f>
        <v/>
      </c>
      <c r="J4642" s="7">
        <f>I4642*G4642</f>
        <v/>
      </c>
      <c r="K4642" s="8">
        <f>IF($J$4651=0,0,J4642/$J$4651)</f>
        <v/>
      </c>
      <c r="L4642" s="6" t="inlineStr">
        <is>
          <t>REJECTED</t>
        </is>
      </c>
      <c r="M4642" s="8" t="n">
        <v>0</v>
      </c>
      <c r="N4642" s="7">
        <f>M4642*$J$4651-J4642</f>
        <v/>
      </c>
      <c r="O4642" s="9">
        <f>IF(G4642=0,0,N4642/G4642)</f>
        <v/>
      </c>
      <c r="P4642" s="6">
        <f>IF(M4642&gt;0,D4642,"")</f>
        <v/>
      </c>
      <c r="Q4642" s="9">
        <f>I4642+O4642</f>
        <v/>
      </c>
      <c r="R4642" s="7">
        <f>Q4642*G4642</f>
        <v/>
      </c>
      <c r="S4642" s="8">
        <f>IF($R$4651=0,0,R4642/$R$4651)</f>
        <v/>
      </c>
      <c r="T4642" s="8" t="n">
        <v>0.01350069358773553</v>
      </c>
      <c r="U4642" s="8" t="n">
        <v>0.004129014787773277</v>
      </c>
      <c r="V4642" s="6" t="inlineStr">
        <is>
          <t>not selected</t>
        </is>
      </c>
    </row>
    <row r="4643">
      <c r="A4643" s="6" t="inlineStr">
        <is>
          <t>DJ30</t>
        </is>
      </c>
      <c r="B4643" s="6" t="inlineStr">
        <is>
          <t>2025-11-14</t>
        </is>
      </c>
      <c r="C4643" s="6" t="inlineStr">
        <is>
          <t>DIA</t>
        </is>
      </c>
      <c r="D4643" s="6" t="inlineStr">
        <is>
          <t>NVDA</t>
        </is>
      </c>
      <c r="E4643" s="6" t="inlineStr">
        <is>
          <t>NVDA</t>
        </is>
      </c>
      <c r="F4643" s="6" t="inlineStr">
        <is>
          <t>-</t>
        </is>
      </c>
      <c r="G4643" s="7" t="n">
        <v>189.927749633789</v>
      </c>
      <c r="H4643" s="6">
        <f>P4612</f>
        <v/>
      </c>
      <c r="I4643" s="9">
        <f>Q4612</f>
        <v/>
      </c>
      <c r="J4643" s="7">
        <f>I4643*G4643</f>
        <v/>
      </c>
      <c r="K4643" s="8">
        <f>IF($J$4651=0,0,J4643/$J$4651)</f>
        <v/>
      </c>
      <c r="L4643" s="6" t="inlineStr">
        <is>
          <t>SELECTED</t>
        </is>
      </c>
      <c r="M4643" s="8" t="n">
        <v>0.2</v>
      </c>
      <c r="N4643" s="7">
        <f>M4643*$J$4651-J4643</f>
        <v/>
      </c>
      <c r="O4643" s="9">
        <f>IF(G4643=0,0,N4643/G4643)</f>
        <v/>
      </c>
      <c r="P4643" s="6">
        <f>IF(M4643&gt;0,D4643,"")</f>
        <v/>
      </c>
      <c r="Q4643" s="9">
        <f>I4643+O4643</f>
        <v/>
      </c>
      <c r="R4643" s="7">
        <f>Q4643*G4643</f>
        <v/>
      </c>
      <c r="S4643" s="8">
        <f>IF($R$4651=0,0,R4643/$R$4651)</f>
        <v/>
      </c>
      <c r="T4643" s="8" t="n">
        <v>0.01350069358773553</v>
      </c>
      <c r="U4643" s="8" t="n">
        <v>0.004129014787773277</v>
      </c>
      <c r="V4643" s="6" t="inlineStr">
        <is>
          <t>remained in weekly selection</t>
        </is>
      </c>
    </row>
    <row r="4644">
      <c r="A4644" s="6" t="inlineStr">
        <is>
          <t>DJ30</t>
        </is>
      </c>
      <c r="B4644" s="6" t="inlineStr">
        <is>
          <t>2025-11-14</t>
        </is>
      </c>
      <c r="C4644" s="6" t="inlineStr">
        <is>
          <t>DIA</t>
        </is>
      </c>
      <c r="D4644" s="6" t="inlineStr">
        <is>
          <t>PG</t>
        </is>
      </c>
      <c r="E4644" s="6" t="inlineStr">
        <is>
          <t>PG</t>
        </is>
      </c>
      <c r="F4644" s="6" t="inlineStr">
        <is>
          <t>-</t>
        </is>
      </c>
      <c r="G4644" s="7" t="n">
        <v>145.5330505371094</v>
      </c>
      <c r="H4644" s="6">
        <f>P4613</f>
        <v/>
      </c>
      <c r="I4644" s="9">
        <f>Q4613</f>
        <v/>
      </c>
      <c r="J4644" s="7">
        <f>I4644*G4644</f>
        <v/>
      </c>
      <c r="K4644" s="8">
        <f>IF($J$4651=0,0,J4644/$J$4651)</f>
        <v/>
      </c>
      <c r="L4644" s="6" t="inlineStr">
        <is>
          <t>REJECTED</t>
        </is>
      </c>
      <c r="M4644" s="8" t="n">
        <v>0</v>
      </c>
      <c r="N4644" s="7">
        <f>M4644*$J$4651-J4644</f>
        <v/>
      </c>
      <c r="O4644" s="9">
        <f>IF(G4644=0,0,N4644/G4644)</f>
        <v/>
      </c>
      <c r="P4644" s="6">
        <f>IF(M4644&gt;0,D4644,"")</f>
        <v/>
      </c>
      <c r="Q4644" s="9">
        <f>I4644+O4644</f>
        <v/>
      </c>
      <c r="R4644" s="7">
        <f>Q4644*G4644</f>
        <v/>
      </c>
      <c r="S4644" s="8">
        <f>IF($R$4651=0,0,R4644/$R$4651)</f>
        <v/>
      </c>
      <c r="T4644" s="8" t="n">
        <v>0.01350069358773553</v>
      </c>
      <c r="U4644" s="8" t="n">
        <v>0.004129014787773277</v>
      </c>
      <c r="V4644" s="6" t="inlineStr">
        <is>
          <t>not selected</t>
        </is>
      </c>
    </row>
    <row r="4645">
      <c r="A4645" s="6" t="inlineStr">
        <is>
          <t>DJ30</t>
        </is>
      </c>
      <c r="B4645" s="6" t="inlineStr">
        <is>
          <t>2025-11-14</t>
        </is>
      </c>
      <c r="C4645" s="6" t="inlineStr">
        <is>
          <t>DIA</t>
        </is>
      </c>
      <c r="D4645" s="6" t="inlineStr">
        <is>
          <t>SHW</t>
        </is>
      </c>
      <c r="E4645" s="6" t="inlineStr">
        <is>
          <t>SHW</t>
        </is>
      </c>
      <c r="F4645" s="6" t="inlineStr">
        <is>
          <t>-</t>
        </is>
      </c>
      <c r="G4645" s="7" t="n">
        <v>330.5899353027344</v>
      </c>
      <c r="H4645" s="6">
        <f>P4614</f>
        <v/>
      </c>
      <c r="I4645" s="9">
        <f>Q4614</f>
        <v/>
      </c>
      <c r="J4645" s="7">
        <f>I4645*G4645</f>
        <v/>
      </c>
      <c r="K4645" s="8">
        <f>IF($J$4651=0,0,J4645/$J$4651)</f>
        <v/>
      </c>
      <c r="L4645" s="6" t="inlineStr">
        <is>
          <t>REJECTED</t>
        </is>
      </c>
      <c r="M4645" s="8" t="n">
        <v>0</v>
      </c>
      <c r="N4645" s="7">
        <f>M4645*$J$4651-J4645</f>
        <v/>
      </c>
      <c r="O4645" s="9">
        <f>IF(G4645=0,0,N4645/G4645)</f>
        <v/>
      </c>
      <c r="P4645" s="6">
        <f>IF(M4645&gt;0,D4645,"")</f>
        <v/>
      </c>
      <c r="Q4645" s="9">
        <f>I4645+O4645</f>
        <v/>
      </c>
      <c r="R4645" s="7">
        <f>Q4645*G4645</f>
        <v/>
      </c>
      <c r="S4645" s="8">
        <f>IF($R$4651=0,0,R4645/$R$4651)</f>
        <v/>
      </c>
      <c r="T4645" s="8" t="n">
        <v>0.01350069358773553</v>
      </c>
      <c r="U4645" s="8" t="n">
        <v>0.004129014787773277</v>
      </c>
      <c r="V4645" s="6" t="inlineStr">
        <is>
          <t>not selected</t>
        </is>
      </c>
    </row>
    <row r="4646">
      <c r="A4646" s="6" t="inlineStr">
        <is>
          <t>DJ30</t>
        </is>
      </c>
      <c r="B4646" s="6" t="inlineStr">
        <is>
          <t>2025-11-14</t>
        </is>
      </c>
      <c r="C4646" s="6" t="inlineStr">
        <is>
          <t>DIA</t>
        </is>
      </c>
      <c r="D4646" s="6" t="inlineStr">
        <is>
          <t>TRV</t>
        </is>
      </c>
      <c r="E4646" s="6" t="inlineStr">
        <is>
          <t>TRV</t>
        </is>
      </c>
      <c r="F4646" s="6" t="inlineStr">
        <is>
          <t>-</t>
        </is>
      </c>
      <c r="G4646" s="7" t="n">
        <v>283.9327392578125</v>
      </c>
      <c r="H4646" s="6">
        <f>P4615</f>
        <v/>
      </c>
      <c r="I4646" s="9">
        <f>Q4615</f>
        <v/>
      </c>
      <c r="J4646" s="7">
        <f>I4646*G4646</f>
        <v/>
      </c>
      <c r="K4646" s="8">
        <f>IF($J$4651=0,0,J4646/$J$4651)</f>
        <v/>
      </c>
      <c r="L4646" s="6" t="inlineStr">
        <is>
          <t>WATCHLIST</t>
        </is>
      </c>
      <c r="M4646" s="8" t="n">
        <v>0</v>
      </c>
      <c r="N4646" s="7">
        <f>M4646*$J$4651-J4646</f>
        <v/>
      </c>
      <c r="O4646" s="9">
        <f>IF(G4646=0,0,N4646/G4646)</f>
        <v/>
      </c>
      <c r="P4646" s="6">
        <f>IF(M4646&gt;0,D4646,"")</f>
        <v/>
      </c>
      <c r="Q4646" s="9">
        <f>I4646+O4646</f>
        <v/>
      </c>
      <c r="R4646" s="7">
        <f>Q4646*G4646</f>
        <v/>
      </c>
      <c r="S4646" s="8">
        <f>IF($R$4651=0,0,R4646/$R$4651)</f>
        <v/>
      </c>
      <c r="T4646" s="8" t="n">
        <v>0.01350069358773553</v>
      </c>
      <c r="U4646" s="8" t="n">
        <v>0.004129014787773277</v>
      </c>
      <c r="V4646" s="6" t="inlineStr">
        <is>
          <t>not selected</t>
        </is>
      </c>
    </row>
    <row r="4647">
      <c r="A4647" s="6" t="inlineStr">
        <is>
          <t>DJ30</t>
        </is>
      </c>
      <c r="B4647" s="6" t="inlineStr">
        <is>
          <t>2025-11-14</t>
        </is>
      </c>
      <c r="C4647" s="6" t="inlineStr">
        <is>
          <t>DIA</t>
        </is>
      </c>
      <c r="D4647" s="6" t="inlineStr">
        <is>
          <t>UNH</t>
        </is>
      </c>
      <c r="E4647" s="6" t="inlineStr">
        <is>
          <t>UNH</t>
        </is>
      </c>
      <c r="F4647" s="6" t="inlineStr">
        <is>
          <t>-</t>
        </is>
      </c>
      <c r="G4647" s="7" t="n">
        <v>315.4424438476562</v>
      </c>
      <c r="H4647" s="6">
        <f>P4616</f>
        <v/>
      </c>
      <c r="I4647" s="9">
        <f>Q4616</f>
        <v/>
      </c>
      <c r="J4647" s="7">
        <f>I4647*G4647</f>
        <v/>
      </c>
      <c r="K4647" s="8">
        <f>IF($J$4651=0,0,J4647/$J$4651)</f>
        <v/>
      </c>
      <c r="L4647" s="6" t="inlineStr">
        <is>
          <t>REJECTED</t>
        </is>
      </c>
      <c r="M4647" s="8" t="n">
        <v>0</v>
      </c>
      <c r="N4647" s="7">
        <f>M4647*$J$4651-J4647</f>
        <v/>
      </c>
      <c r="O4647" s="9">
        <f>IF(G4647=0,0,N4647/G4647)</f>
        <v/>
      </c>
      <c r="P4647" s="6">
        <f>IF(M4647&gt;0,D4647,"")</f>
        <v/>
      </c>
      <c r="Q4647" s="9">
        <f>I4647+O4647</f>
        <v/>
      </c>
      <c r="R4647" s="7">
        <f>Q4647*G4647</f>
        <v/>
      </c>
      <c r="S4647" s="8">
        <f>IF($R$4651=0,0,R4647/$R$4651)</f>
        <v/>
      </c>
      <c r="T4647" s="8" t="n">
        <v>0.01350069358773553</v>
      </c>
      <c r="U4647" s="8" t="n">
        <v>0.004129014787773277</v>
      </c>
      <c r="V4647" s="6" t="inlineStr">
        <is>
          <t>not selected</t>
        </is>
      </c>
    </row>
    <row r="4648">
      <c r="A4648" s="6" t="inlineStr">
        <is>
          <t>DJ30</t>
        </is>
      </c>
      <c r="B4648" s="6" t="inlineStr">
        <is>
          <t>2025-11-14</t>
        </is>
      </c>
      <c r="C4648" s="6" t="inlineStr">
        <is>
          <t>DIA</t>
        </is>
      </c>
      <c r="D4648" s="6" t="inlineStr">
        <is>
          <t>V</t>
        </is>
      </c>
      <c r="E4648" s="6" t="inlineStr">
        <is>
          <t>V</t>
        </is>
      </c>
      <c r="F4648" s="6" t="inlineStr">
        <is>
          <t>-</t>
        </is>
      </c>
      <c r="G4648" s="7" t="n">
        <v>328.6595153808594</v>
      </c>
      <c r="H4648" s="6">
        <f>P4617</f>
        <v/>
      </c>
      <c r="I4648" s="9">
        <f>Q4617</f>
        <v/>
      </c>
      <c r="J4648" s="7">
        <f>I4648*G4648</f>
        <v/>
      </c>
      <c r="K4648" s="8">
        <f>IF($J$4651=0,0,J4648/$J$4651)</f>
        <v/>
      </c>
      <c r="L4648" s="6" t="inlineStr">
        <is>
          <t>REJECTED</t>
        </is>
      </c>
      <c r="M4648" s="8" t="n">
        <v>0</v>
      </c>
      <c r="N4648" s="7">
        <f>M4648*$J$4651-J4648</f>
        <v/>
      </c>
      <c r="O4648" s="9">
        <f>IF(G4648=0,0,N4648/G4648)</f>
        <v/>
      </c>
      <c r="P4648" s="6">
        <f>IF(M4648&gt;0,D4648,"")</f>
        <v/>
      </c>
      <c r="Q4648" s="9">
        <f>I4648+O4648</f>
        <v/>
      </c>
      <c r="R4648" s="7">
        <f>Q4648*G4648</f>
        <v/>
      </c>
      <c r="S4648" s="8">
        <f>IF($R$4651=0,0,R4648/$R$4651)</f>
        <v/>
      </c>
      <c r="T4648" s="8" t="n">
        <v>0.01350069358773553</v>
      </c>
      <c r="U4648" s="8" t="n">
        <v>0.004129014787773277</v>
      </c>
      <c r="V4648" s="6" t="inlineStr">
        <is>
          <t>not selected</t>
        </is>
      </c>
    </row>
    <row r="4649">
      <c r="A4649" s="6" t="inlineStr">
        <is>
          <t>DJ30</t>
        </is>
      </c>
      <c r="B4649" s="6" t="inlineStr">
        <is>
          <t>2025-11-14</t>
        </is>
      </c>
      <c r="C4649" s="6" t="inlineStr">
        <is>
          <t>DIA</t>
        </is>
      </c>
      <c r="D4649" s="6" t="inlineStr">
        <is>
          <t>VZ</t>
        </is>
      </c>
      <c r="E4649" s="6" t="inlineStr">
        <is>
          <t>VZ</t>
        </is>
      </c>
      <c r="F4649" s="6" t="inlineStr">
        <is>
          <t>-</t>
        </is>
      </c>
      <c r="G4649" s="7" t="n">
        <v>39.76172256469727</v>
      </c>
      <c r="H4649" s="6">
        <f>P4618</f>
        <v/>
      </c>
      <c r="I4649" s="9">
        <f>Q4618</f>
        <v/>
      </c>
      <c r="J4649" s="7">
        <f>I4649*G4649</f>
        <v/>
      </c>
      <c r="K4649" s="8">
        <f>IF($J$4651=0,0,J4649/$J$4651)</f>
        <v/>
      </c>
      <c r="L4649" s="6" t="inlineStr">
        <is>
          <t>REJECTED</t>
        </is>
      </c>
      <c r="M4649" s="8" t="n">
        <v>0</v>
      </c>
      <c r="N4649" s="7">
        <f>M4649*$J$4651-J4649</f>
        <v/>
      </c>
      <c r="O4649" s="9">
        <f>IF(G4649=0,0,N4649/G4649)</f>
        <v/>
      </c>
      <c r="P4649" s="6">
        <f>IF(M4649&gt;0,D4649,"")</f>
        <v/>
      </c>
      <c r="Q4649" s="9">
        <f>I4649+O4649</f>
        <v/>
      </c>
      <c r="R4649" s="7">
        <f>Q4649*G4649</f>
        <v/>
      </c>
      <c r="S4649" s="8">
        <f>IF($R$4651=0,0,R4649/$R$4651)</f>
        <v/>
      </c>
      <c r="T4649" s="8" t="n">
        <v>0.01350069358773553</v>
      </c>
      <c r="U4649" s="8" t="n">
        <v>0.004129014787773277</v>
      </c>
      <c r="V4649" s="6" t="inlineStr">
        <is>
          <t>not selected</t>
        </is>
      </c>
    </row>
    <row r="4650">
      <c r="A4650" s="6" t="inlineStr">
        <is>
          <t>DJ30</t>
        </is>
      </c>
      <c r="B4650" s="6" t="inlineStr">
        <is>
          <t>2025-11-14</t>
        </is>
      </c>
      <c r="C4650" s="6" t="inlineStr">
        <is>
          <t>DIA</t>
        </is>
      </c>
      <c r="D4650" s="6" t="inlineStr">
        <is>
          <t>WMT</t>
        </is>
      </c>
      <c r="E4650" s="6" t="inlineStr">
        <is>
          <t>WMT</t>
        </is>
      </c>
      <c r="F4650" s="6" t="inlineStr">
        <is>
          <t>-</t>
        </is>
      </c>
      <c r="G4650" s="7" t="n">
        <v>101.8676605224609</v>
      </c>
      <c r="H4650" s="6">
        <f>P4619</f>
        <v/>
      </c>
      <c r="I4650" s="9">
        <f>Q4619</f>
        <v/>
      </c>
      <c r="J4650" s="7">
        <f>I4650*G4650</f>
        <v/>
      </c>
      <c r="K4650" s="8">
        <f>IF($J$4651=0,0,J4650/$J$4651)</f>
        <v/>
      </c>
      <c r="L4650" s="6" t="inlineStr">
        <is>
          <t>WATCHLIST</t>
        </is>
      </c>
      <c r="M4650" s="8" t="n">
        <v>0</v>
      </c>
      <c r="N4650" s="7">
        <f>M4650*$J$4651-J4650</f>
        <v/>
      </c>
      <c r="O4650" s="9">
        <f>IF(G4650=0,0,N4650/G4650)</f>
        <v/>
      </c>
      <c r="P4650" s="6">
        <f>IF(M4650&gt;0,D4650,"")</f>
        <v/>
      </c>
      <c r="Q4650" s="9">
        <f>I4650+O4650</f>
        <v/>
      </c>
      <c r="R4650" s="7">
        <f>Q4650*G4650</f>
        <v/>
      </c>
      <c r="S4650" s="8">
        <f>IF($R$4651=0,0,R4650/$R$4651)</f>
        <v/>
      </c>
      <c r="T4650" s="8" t="n">
        <v>0.01350069358773553</v>
      </c>
      <c r="U4650" s="8" t="n">
        <v>0.004129014787773277</v>
      </c>
      <c r="V4650" s="6" t="inlineStr">
        <is>
          <t>not selected</t>
        </is>
      </c>
    </row>
    <row r="4651">
      <c r="A4651" s="10" t="inlineStr">
        <is>
          <t>DJ30</t>
        </is>
      </c>
      <c r="B4651" s="10" t="inlineStr">
        <is>
          <t>2025-11-14</t>
        </is>
      </c>
      <c r="C4651" s="10" t="inlineStr">
        <is>
          <t>DIA</t>
        </is>
      </c>
      <c r="D4651" s="10" t="inlineStr">
        <is>
          <t>Tot Portfolio</t>
        </is>
      </c>
      <c r="E4651" s="10" t="inlineStr"/>
      <c r="F4651" s="10" t="inlineStr"/>
      <c r="G4651" s="11" t="inlineStr"/>
      <c r="H4651" s="10" t="inlineStr"/>
      <c r="I4651" s="12" t="inlineStr"/>
      <c r="J4651" s="11">
        <f>SUM(J4621:J4650)</f>
        <v/>
      </c>
      <c r="K4651" s="13">
        <f>SUM(K4621:K4650)</f>
        <v/>
      </c>
      <c r="L4651" s="10" t="inlineStr">
        <is>
          <t>TOTAL</t>
        </is>
      </c>
      <c r="M4651" s="13">
        <f>SUM(M4621:M4650)</f>
        <v/>
      </c>
      <c r="N4651" s="11">
        <f>SUM(N4621:N4650)</f>
        <v/>
      </c>
      <c r="O4651" s="12">
        <f>SUM(O4621:O4650)</f>
        <v/>
      </c>
      <c r="P4651" s="10" t="inlineStr"/>
      <c r="Q4651" s="12" t="inlineStr"/>
      <c r="R4651" s="11">
        <f>SUM(R4621:R4650)</f>
        <v/>
      </c>
      <c r="S4651" s="13">
        <f>SUM(S4621:S4650)</f>
        <v/>
      </c>
      <c r="T4651" s="13" t="n">
        <v>0.01350069358773553</v>
      </c>
      <c r="U4651" s="13" t="n">
        <v>0.004129014787773277</v>
      </c>
      <c r="V4651" s="10" t="inlineStr"/>
    </row>
    <row r="4652">
      <c r="A4652" s="6" t="inlineStr">
        <is>
          <t>DJ30</t>
        </is>
      </c>
      <c r="B4652" s="6" t="inlineStr">
        <is>
          <t>2025-11-21</t>
        </is>
      </c>
      <c r="C4652" s="6" t="inlineStr">
        <is>
          <t>DIA</t>
        </is>
      </c>
      <c r="D4652" s="6" t="inlineStr">
        <is>
          <t>AAPL</t>
        </is>
      </c>
      <c r="E4652" s="6" t="inlineStr">
        <is>
          <t>AAPL</t>
        </is>
      </c>
      <c r="F4652" s="6" t="inlineStr">
        <is>
          <t>-</t>
        </is>
      </c>
      <c r="G4652" s="7" t="n">
        <v>270.9865112304688</v>
      </c>
      <c r="H4652" s="6">
        <f>P4621</f>
        <v/>
      </c>
      <c r="I4652" s="9">
        <f>Q4621</f>
        <v/>
      </c>
      <c r="J4652" s="7">
        <f>I4652*G4652</f>
        <v/>
      </c>
      <c r="K4652" s="8">
        <f>IF($J$4682=0,0,J4652/$J$4682)</f>
        <v/>
      </c>
      <c r="L4652" s="6" t="inlineStr">
        <is>
          <t>REJECTED</t>
        </is>
      </c>
      <c r="M4652" s="8" t="n">
        <v>0</v>
      </c>
      <c r="N4652" s="7">
        <f>M4652*$J$4682-J4652</f>
        <v/>
      </c>
      <c r="O4652" s="9">
        <f>IF(G4652=0,0,N4652/G4652)</f>
        <v/>
      </c>
      <c r="P4652" s="6">
        <f>IF(M4652&gt;0,D4652,"")</f>
        <v/>
      </c>
      <c r="Q4652" s="9">
        <f>I4652+O4652</f>
        <v/>
      </c>
      <c r="R4652" s="7">
        <f>Q4652*G4652</f>
        <v/>
      </c>
      <c r="S4652" s="8">
        <f>IF($R$4682=0,0,R4652/$R$4682)</f>
        <v/>
      </c>
      <c r="T4652" s="8" t="n">
        <v>-0.02494362214722445</v>
      </c>
      <c r="U4652" s="8" t="n">
        <v>-0.01832907588751143</v>
      </c>
      <c r="V4652" s="6" t="inlineStr">
        <is>
          <t>not selected</t>
        </is>
      </c>
    </row>
    <row r="4653">
      <c r="A4653" s="6" t="inlineStr">
        <is>
          <t>DJ30</t>
        </is>
      </c>
      <c r="B4653" s="6" t="inlineStr">
        <is>
          <t>2025-11-21</t>
        </is>
      </c>
      <c r="C4653" s="6" t="inlineStr">
        <is>
          <t>DIA</t>
        </is>
      </c>
      <c r="D4653" s="6" t="inlineStr">
        <is>
          <t>AMGN</t>
        </is>
      </c>
      <c r="E4653" s="6" t="inlineStr">
        <is>
          <t>AMGN</t>
        </is>
      </c>
      <c r="F4653" s="6" t="inlineStr">
        <is>
          <t>-</t>
        </is>
      </c>
      <c r="G4653" s="7" t="n">
        <v>332.704833984375</v>
      </c>
      <c r="H4653" s="6">
        <f>P4622</f>
        <v/>
      </c>
      <c r="I4653" s="9">
        <f>Q4622</f>
        <v/>
      </c>
      <c r="J4653" s="7">
        <f>I4653*G4653</f>
        <v/>
      </c>
      <c r="K4653" s="8">
        <f>IF($J$4682=0,0,J4653/$J$4682)</f>
        <v/>
      </c>
      <c r="L4653" s="6" t="inlineStr">
        <is>
          <t>WATCHLIST</t>
        </is>
      </c>
      <c r="M4653" s="8" t="n">
        <v>0</v>
      </c>
      <c r="N4653" s="7">
        <f>M4653*$J$4682-J4653</f>
        <v/>
      </c>
      <c r="O4653" s="9">
        <f>IF(G4653=0,0,N4653/G4653)</f>
        <v/>
      </c>
      <c r="P4653" s="6">
        <f>IF(M4653&gt;0,D4653,"")</f>
        <v/>
      </c>
      <c r="Q4653" s="9">
        <f>I4653+O4653</f>
        <v/>
      </c>
      <c r="R4653" s="7">
        <f>Q4653*G4653</f>
        <v/>
      </c>
      <c r="S4653" s="8">
        <f>IF($R$4682=0,0,R4653/$R$4682)</f>
        <v/>
      </c>
      <c r="T4653" s="8" t="n">
        <v>-0.02494362214722445</v>
      </c>
      <c r="U4653" s="8" t="n">
        <v>-0.01832907588751143</v>
      </c>
      <c r="V4653" s="6" t="inlineStr">
        <is>
          <t>not selected</t>
        </is>
      </c>
    </row>
    <row r="4654">
      <c r="A4654" s="6" t="inlineStr">
        <is>
          <t>DJ30</t>
        </is>
      </c>
      <c r="B4654" s="6" t="inlineStr">
        <is>
          <t>2025-11-21</t>
        </is>
      </c>
      <c r="C4654" s="6" t="inlineStr">
        <is>
          <t>DIA</t>
        </is>
      </c>
      <c r="D4654" s="6" t="inlineStr">
        <is>
          <t>AMZN</t>
        </is>
      </c>
      <c r="E4654" s="6" t="inlineStr">
        <is>
          <t>AMZN</t>
        </is>
      </c>
      <c r="F4654" s="6" t="inlineStr">
        <is>
          <t>-</t>
        </is>
      </c>
      <c r="G4654" s="7" t="n">
        <v>220.6900024414062</v>
      </c>
      <c r="H4654" s="6">
        <f>P4623</f>
        <v/>
      </c>
      <c r="I4654" s="9">
        <f>Q4623</f>
        <v/>
      </c>
      <c r="J4654" s="7">
        <f>I4654*G4654</f>
        <v/>
      </c>
      <c r="K4654" s="8">
        <f>IF($J$4682=0,0,J4654/$J$4682)</f>
        <v/>
      </c>
      <c r="L4654" s="6" t="inlineStr">
        <is>
          <t>REJECTED</t>
        </is>
      </c>
      <c r="M4654" s="8" t="n">
        <v>0</v>
      </c>
      <c r="N4654" s="7">
        <f>M4654*$J$4682-J4654</f>
        <v/>
      </c>
      <c r="O4654" s="9">
        <f>IF(G4654=0,0,N4654/G4654)</f>
        <v/>
      </c>
      <c r="P4654" s="6">
        <f>IF(M4654&gt;0,D4654,"")</f>
        <v/>
      </c>
      <c r="Q4654" s="9">
        <f>I4654+O4654</f>
        <v/>
      </c>
      <c r="R4654" s="7">
        <f>Q4654*G4654</f>
        <v/>
      </c>
      <c r="S4654" s="8">
        <f>IF($R$4682=0,0,R4654/$R$4682)</f>
        <v/>
      </c>
      <c r="T4654" s="8" t="n">
        <v>-0.02494362214722445</v>
      </c>
      <c r="U4654" s="8" t="n">
        <v>-0.01832907588751143</v>
      </c>
      <c r="V4654" s="6" t="inlineStr">
        <is>
          <t>not selected</t>
        </is>
      </c>
    </row>
    <row r="4655">
      <c r="A4655" s="6" t="inlineStr">
        <is>
          <t>DJ30</t>
        </is>
      </c>
      <c r="B4655" s="6" t="inlineStr">
        <is>
          <t>2025-11-21</t>
        </is>
      </c>
      <c r="C4655" s="6" t="inlineStr">
        <is>
          <t>DIA</t>
        </is>
      </c>
      <c r="D4655" s="6" t="inlineStr">
        <is>
          <t>AXP</t>
        </is>
      </c>
      <c r="E4655" s="6" t="inlineStr">
        <is>
          <t>AXP</t>
        </is>
      </c>
      <c r="F4655" s="6" t="inlineStr">
        <is>
          <t>-</t>
        </is>
      </c>
      <c r="G4655" s="7" t="n">
        <v>350.9981994628906</v>
      </c>
      <c r="H4655" s="6">
        <f>P4624</f>
        <v/>
      </c>
      <c r="I4655" s="9">
        <f>Q4624</f>
        <v/>
      </c>
      <c r="J4655" s="7">
        <f>I4655*G4655</f>
        <v/>
      </c>
      <c r="K4655" s="8">
        <f>IF($J$4682=0,0,J4655/$J$4682)</f>
        <v/>
      </c>
      <c r="L4655" s="6" t="inlineStr">
        <is>
          <t>WATCHLIST</t>
        </is>
      </c>
      <c r="M4655" s="8" t="n">
        <v>0</v>
      </c>
      <c r="N4655" s="7">
        <f>M4655*$J$4682-J4655</f>
        <v/>
      </c>
      <c r="O4655" s="9">
        <f>IF(G4655=0,0,N4655/G4655)</f>
        <v/>
      </c>
      <c r="P4655" s="6">
        <f>IF(M4655&gt;0,D4655,"")</f>
        <v/>
      </c>
      <c r="Q4655" s="9">
        <f>I4655+O4655</f>
        <v/>
      </c>
      <c r="R4655" s="7">
        <f>Q4655*G4655</f>
        <v/>
      </c>
      <c r="S4655" s="8">
        <f>IF($R$4682=0,0,R4655/$R$4682)</f>
        <v/>
      </c>
      <c r="T4655" s="8" t="n">
        <v>-0.02494362214722445</v>
      </c>
      <c r="U4655" s="8" t="n">
        <v>-0.01832907588751143</v>
      </c>
      <c r="V4655" s="6" t="inlineStr">
        <is>
          <t>not selected</t>
        </is>
      </c>
    </row>
    <row r="4656">
      <c r="A4656" s="6" t="inlineStr">
        <is>
          <t>DJ30</t>
        </is>
      </c>
      <c r="B4656" s="6" t="inlineStr">
        <is>
          <t>2025-11-21</t>
        </is>
      </c>
      <c r="C4656" s="6" t="inlineStr">
        <is>
          <t>DIA</t>
        </is>
      </c>
      <c r="D4656" s="6" t="inlineStr">
        <is>
          <t>BA</t>
        </is>
      </c>
      <c r="E4656" s="6" t="inlineStr">
        <is>
          <t>BA</t>
        </is>
      </c>
      <c r="F4656" s="6" t="inlineStr">
        <is>
          <t>-</t>
        </is>
      </c>
      <c r="G4656" s="7" t="n">
        <v>179.6999969482422</v>
      </c>
      <c r="H4656" s="6">
        <f>P4625</f>
        <v/>
      </c>
      <c r="I4656" s="9">
        <f>Q4625</f>
        <v/>
      </c>
      <c r="J4656" s="7">
        <f>I4656*G4656</f>
        <v/>
      </c>
      <c r="K4656" s="8">
        <f>IF($J$4682=0,0,J4656/$J$4682)</f>
        <v/>
      </c>
      <c r="L4656" s="6" t="inlineStr">
        <is>
          <t>WATCHLIST</t>
        </is>
      </c>
      <c r="M4656" s="8" t="n">
        <v>0</v>
      </c>
      <c r="N4656" s="7">
        <f>M4656*$J$4682-J4656</f>
        <v/>
      </c>
      <c r="O4656" s="9">
        <f>IF(G4656=0,0,N4656/G4656)</f>
        <v/>
      </c>
      <c r="P4656" s="6">
        <f>IF(M4656&gt;0,D4656,"")</f>
        <v/>
      </c>
      <c r="Q4656" s="9">
        <f>I4656+O4656</f>
        <v/>
      </c>
      <c r="R4656" s="7">
        <f>Q4656*G4656</f>
        <v/>
      </c>
      <c r="S4656" s="8">
        <f>IF($R$4682=0,0,R4656/$R$4682)</f>
        <v/>
      </c>
      <c r="T4656" s="8" t="n">
        <v>-0.02494362214722445</v>
      </c>
      <c r="U4656" s="8" t="n">
        <v>-0.01832907588751143</v>
      </c>
      <c r="V4656" s="6" t="inlineStr">
        <is>
          <t>removed from weekly selection</t>
        </is>
      </c>
    </row>
    <row r="4657">
      <c r="A4657" s="6" t="inlineStr">
        <is>
          <t>DJ30</t>
        </is>
      </c>
      <c r="B4657" s="6" t="inlineStr">
        <is>
          <t>2025-11-21</t>
        </is>
      </c>
      <c r="C4657" s="6" t="inlineStr">
        <is>
          <t>DIA</t>
        </is>
      </c>
      <c r="D4657" s="6" t="inlineStr">
        <is>
          <t>CAT</t>
        </is>
      </c>
      <c r="E4657" s="6" t="inlineStr">
        <is>
          <t>CAT</t>
        </is>
      </c>
      <c r="F4657" s="6" t="inlineStr">
        <is>
          <t>-</t>
        </is>
      </c>
      <c r="G4657" s="7" t="n">
        <v>548.1016845703125</v>
      </c>
      <c r="H4657" s="6">
        <f>P4626</f>
        <v/>
      </c>
      <c r="I4657" s="9">
        <f>Q4626</f>
        <v/>
      </c>
      <c r="J4657" s="7">
        <f>I4657*G4657</f>
        <v/>
      </c>
      <c r="K4657" s="8">
        <f>IF($J$4682=0,0,J4657/$J$4682)</f>
        <v/>
      </c>
      <c r="L4657" s="6" t="inlineStr">
        <is>
          <t>SELECTED</t>
        </is>
      </c>
      <c r="M4657" s="8" t="n">
        <v>0.2</v>
      </c>
      <c r="N4657" s="7">
        <f>M4657*$J$4682-J4657</f>
        <v/>
      </c>
      <c r="O4657" s="9">
        <f>IF(G4657=0,0,N4657/G4657)</f>
        <v/>
      </c>
      <c r="P4657" s="6">
        <f>IF(M4657&gt;0,D4657,"")</f>
        <v/>
      </c>
      <c r="Q4657" s="9">
        <f>I4657+O4657</f>
        <v/>
      </c>
      <c r="R4657" s="7">
        <f>Q4657*G4657</f>
        <v/>
      </c>
      <c r="S4657" s="8">
        <f>IF($R$4682=0,0,R4657/$R$4682)</f>
        <v/>
      </c>
      <c r="T4657" s="8" t="n">
        <v>-0.02494362214722445</v>
      </c>
      <c r="U4657" s="8" t="n">
        <v>-0.01832907588751143</v>
      </c>
      <c r="V4657" s="6" t="inlineStr">
        <is>
          <t>remained in weekly selection</t>
        </is>
      </c>
    </row>
    <row r="4658">
      <c r="A4658" s="6" t="inlineStr">
        <is>
          <t>DJ30</t>
        </is>
      </c>
      <c r="B4658" s="6" t="inlineStr">
        <is>
          <t>2025-11-21</t>
        </is>
      </c>
      <c r="C4658" s="6" t="inlineStr">
        <is>
          <t>DIA</t>
        </is>
      </c>
      <c r="D4658" s="6" t="inlineStr">
        <is>
          <t>CRM</t>
        </is>
      </c>
      <c r="E4658" s="6" t="inlineStr">
        <is>
          <t>CRM</t>
        </is>
      </c>
      <c r="F4658" s="6" t="inlineStr">
        <is>
          <t>-</t>
        </is>
      </c>
      <c r="G4658" s="7" t="n">
        <v>225.5960845947266</v>
      </c>
      <c r="H4658" s="6">
        <f>P4627</f>
        <v/>
      </c>
      <c r="I4658" s="9">
        <f>Q4627</f>
        <v/>
      </c>
      <c r="J4658" s="7">
        <f>I4658*G4658</f>
        <v/>
      </c>
      <c r="K4658" s="8">
        <f>IF($J$4682=0,0,J4658/$J$4682)</f>
        <v/>
      </c>
      <c r="L4658" s="6" t="inlineStr">
        <is>
          <t>REJECTED</t>
        </is>
      </c>
      <c r="M4658" s="8" t="n">
        <v>0</v>
      </c>
      <c r="N4658" s="7">
        <f>M4658*$J$4682-J4658</f>
        <v/>
      </c>
      <c r="O4658" s="9">
        <f>IF(G4658=0,0,N4658/G4658)</f>
        <v/>
      </c>
      <c r="P4658" s="6">
        <f>IF(M4658&gt;0,D4658,"")</f>
        <v/>
      </c>
      <c r="Q4658" s="9">
        <f>I4658+O4658</f>
        <v/>
      </c>
      <c r="R4658" s="7">
        <f>Q4658*G4658</f>
        <v/>
      </c>
      <c r="S4658" s="8">
        <f>IF($R$4682=0,0,R4658/$R$4682)</f>
        <v/>
      </c>
      <c r="T4658" s="8" t="n">
        <v>-0.02494362214722445</v>
      </c>
      <c r="U4658" s="8" t="n">
        <v>-0.01832907588751143</v>
      </c>
      <c r="V4658" s="6" t="inlineStr">
        <is>
          <t>not selected</t>
        </is>
      </c>
    </row>
    <row r="4659">
      <c r="A4659" s="6" t="inlineStr">
        <is>
          <t>DJ30</t>
        </is>
      </c>
      <c r="B4659" s="6" t="inlineStr">
        <is>
          <t>2025-11-21</t>
        </is>
      </c>
      <c r="C4659" s="6" t="inlineStr">
        <is>
          <t>DIA</t>
        </is>
      </c>
      <c r="D4659" s="6" t="inlineStr">
        <is>
          <t>CSCO</t>
        </is>
      </c>
      <c r="E4659" s="6" t="inlineStr">
        <is>
          <t>CSCO</t>
        </is>
      </c>
      <c r="F4659" s="6" t="inlineStr">
        <is>
          <t>-</t>
        </is>
      </c>
      <c r="G4659" s="7" t="n">
        <v>75.28699493408203</v>
      </c>
      <c r="H4659" s="6">
        <f>P4628</f>
        <v/>
      </c>
      <c r="I4659" s="9">
        <f>Q4628</f>
        <v/>
      </c>
      <c r="J4659" s="7">
        <f>I4659*G4659</f>
        <v/>
      </c>
      <c r="K4659" s="8">
        <f>IF($J$4682=0,0,J4659/$J$4682)</f>
        <v/>
      </c>
      <c r="L4659" s="6" t="inlineStr">
        <is>
          <t>SELECTED</t>
        </is>
      </c>
      <c r="M4659" s="8" t="n">
        <v>0.2</v>
      </c>
      <c r="N4659" s="7">
        <f>M4659*$J$4682-J4659</f>
        <v/>
      </c>
      <c r="O4659" s="9">
        <f>IF(G4659=0,0,N4659/G4659)</f>
        <v/>
      </c>
      <c r="P4659" s="6">
        <f>IF(M4659&gt;0,D4659,"")</f>
        <v/>
      </c>
      <c r="Q4659" s="9">
        <f>I4659+O4659</f>
        <v/>
      </c>
      <c r="R4659" s="7">
        <f>Q4659*G4659</f>
        <v/>
      </c>
      <c r="S4659" s="8">
        <f>IF($R$4682=0,0,R4659/$R$4682)</f>
        <v/>
      </c>
      <c r="T4659" s="8" t="n">
        <v>-0.02494362214722445</v>
      </c>
      <c r="U4659" s="8" t="n">
        <v>-0.01832907588751143</v>
      </c>
      <c r="V4659" s="6" t="inlineStr">
        <is>
          <t>entered weekly selection</t>
        </is>
      </c>
    </row>
    <row r="4660">
      <c r="A4660" s="6" t="inlineStr">
        <is>
          <t>DJ30</t>
        </is>
      </c>
      <c r="B4660" s="6" t="inlineStr">
        <is>
          <t>2025-11-21</t>
        </is>
      </c>
      <c r="C4660" s="6" t="inlineStr">
        <is>
          <t>DIA</t>
        </is>
      </c>
      <c r="D4660" s="6" t="inlineStr">
        <is>
          <t>CVX</t>
        </is>
      </c>
      <c r="E4660" s="6" t="inlineStr">
        <is>
          <t>CVX</t>
        </is>
      </c>
      <c r="F4660" s="6" t="inlineStr">
        <is>
          <t>-</t>
        </is>
      </c>
      <c r="G4660" s="7" t="n">
        <v>147.1790161132812</v>
      </c>
      <c r="H4660" s="6">
        <f>P4629</f>
        <v/>
      </c>
      <c r="I4660" s="9">
        <f>Q4629</f>
        <v/>
      </c>
      <c r="J4660" s="7">
        <f>I4660*G4660</f>
        <v/>
      </c>
      <c r="K4660" s="8">
        <f>IF($J$4682=0,0,J4660/$J$4682)</f>
        <v/>
      </c>
      <c r="L4660" s="6" t="inlineStr">
        <is>
          <t>REJECTED</t>
        </is>
      </c>
      <c r="M4660" s="8" t="n">
        <v>0</v>
      </c>
      <c r="N4660" s="7">
        <f>M4660*$J$4682-J4660</f>
        <v/>
      </c>
      <c r="O4660" s="9">
        <f>IF(G4660=0,0,N4660/G4660)</f>
        <v/>
      </c>
      <c r="P4660" s="6">
        <f>IF(M4660&gt;0,D4660,"")</f>
        <v/>
      </c>
      <c r="Q4660" s="9">
        <f>I4660+O4660</f>
        <v/>
      </c>
      <c r="R4660" s="7">
        <f>Q4660*G4660</f>
        <v/>
      </c>
      <c r="S4660" s="8">
        <f>IF($R$4682=0,0,R4660/$R$4682)</f>
        <v/>
      </c>
      <c r="T4660" s="8" t="n">
        <v>-0.02494362214722445</v>
      </c>
      <c r="U4660" s="8" t="n">
        <v>-0.01832907588751143</v>
      </c>
      <c r="V4660" s="6" t="inlineStr">
        <is>
          <t>not selected</t>
        </is>
      </c>
    </row>
    <row r="4661">
      <c r="A4661" s="6" t="inlineStr">
        <is>
          <t>DJ30</t>
        </is>
      </c>
      <c r="B4661" s="6" t="inlineStr">
        <is>
          <t>2025-11-21</t>
        </is>
      </c>
      <c r="C4661" s="6" t="inlineStr">
        <is>
          <t>DIA</t>
        </is>
      </c>
      <c r="D4661" s="6" t="inlineStr">
        <is>
          <t>DIS</t>
        </is>
      </c>
      <c r="E4661" s="6" t="inlineStr">
        <is>
          <t>DIS</t>
        </is>
      </c>
      <c r="F4661" s="6" t="inlineStr">
        <is>
          <t>-</t>
        </is>
      </c>
      <c r="G4661" s="7" t="n">
        <v>103.5791931152344</v>
      </c>
      <c r="H4661" s="6">
        <f>P4630</f>
        <v/>
      </c>
      <c r="I4661" s="9">
        <f>Q4630</f>
        <v/>
      </c>
      <c r="J4661" s="7">
        <f>I4661*G4661</f>
        <v/>
      </c>
      <c r="K4661" s="8">
        <f>IF($J$4682=0,0,J4661/$J$4682)</f>
        <v/>
      </c>
      <c r="L4661" s="6" t="inlineStr">
        <is>
          <t>REJECTED</t>
        </is>
      </c>
      <c r="M4661" s="8" t="n">
        <v>0</v>
      </c>
      <c r="N4661" s="7">
        <f>M4661*$J$4682-J4661</f>
        <v/>
      </c>
      <c r="O4661" s="9">
        <f>IF(G4661=0,0,N4661/G4661)</f>
        <v/>
      </c>
      <c r="P4661" s="6">
        <f>IF(M4661&gt;0,D4661,"")</f>
        <v/>
      </c>
      <c r="Q4661" s="9">
        <f>I4661+O4661</f>
        <v/>
      </c>
      <c r="R4661" s="7">
        <f>Q4661*G4661</f>
        <v/>
      </c>
      <c r="S4661" s="8">
        <f>IF($R$4682=0,0,R4661/$R$4682)</f>
        <v/>
      </c>
      <c r="T4661" s="8" t="n">
        <v>-0.02494362214722445</v>
      </c>
      <c r="U4661" s="8" t="n">
        <v>-0.01832907588751143</v>
      </c>
      <c r="V4661" s="6" t="inlineStr">
        <is>
          <t>not selected</t>
        </is>
      </c>
    </row>
    <row r="4662">
      <c r="A4662" s="6" t="inlineStr">
        <is>
          <t>DJ30</t>
        </is>
      </c>
      <c r="B4662" s="6" t="inlineStr">
        <is>
          <t>2025-11-21</t>
        </is>
      </c>
      <c r="C4662" s="6" t="inlineStr">
        <is>
          <t>DIA</t>
        </is>
      </c>
      <c r="D4662" s="6" t="inlineStr">
        <is>
          <t>GS</t>
        </is>
      </c>
      <c r="E4662" s="6" t="inlineStr">
        <is>
          <t>GS</t>
        </is>
      </c>
      <c r="F4662" s="6" t="inlineStr">
        <is>
          <t>-</t>
        </is>
      </c>
      <c r="G4662" s="7" t="n">
        <v>762.817626953125</v>
      </c>
      <c r="H4662" s="6">
        <f>P4631</f>
        <v/>
      </c>
      <c r="I4662" s="9">
        <f>Q4631</f>
        <v/>
      </c>
      <c r="J4662" s="7">
        <f>I4662*G4662</f>
        <v/>
      </c>
      <c r="K4662" s="8">
        <f>IF($J$4682=0,0,J4662/$J$4682)</f>
        <v/>
      </c>
      <c r="L4662" s="6" t="inlineStr">
        <is>
          <t>SELECTED</t>
        </is>
      </c>
      <c r="M4662" s="8" t="n">
        <v>0.2</v>
      </c>
      <c r="N4662" s="7">
        <f>M4662*$J$4682-J4662</f>
        <v/>
      </c>
      <c r="O4662" s="9">
        <f>IF(G4662=0,0,N4662/G4662)</f>
        <v/>
      </c>
      <c r="P4662" s="6">
        <f>IF(M4662&gt;0,D4662,"")</f>
        <v/>
      </c>
      <c r="Q4662" s="9">
        <f>I4662+O4662</f>
        <v/>
      </c>
      <c r="R4662" s="7">
        <f>Q4662*G4662</f>
        <v/>
      </c>
      <c r="S4662" s="8">
        <f>IF($R$4682=0,0,R4662/$R$4682)</f>
        <v/>
      </c>
      <c r="T4662" s="8" t="n">
        <v>-0.02494362214722445</v>
      </c>
      <c r="U4662" s="8" t="n">
        <v>-0.01832907588751143</v>
      </c>
      <c r="V4662" s="6" t="inlineStr">
        <is>
          <t>remained in weekly selection</t>
        </is>
      </c>
    </row>
    <row r="4663">
      <c r="A4663" s="6" t="inlineStr">
        <is>
          <t>DJ30</t>
        </is>
      </c>
      <c r="B4663" s="6" t="inlineStr">
        <is>
          <t>2025-11-21</t>
        </is>
      </c>
      <c r="C4663" s="6" t="inlineStr">
        <is>
          <t>DIA</t>
        </is>
      </c>
      <c r="D4663" s="6" t="inlineStr">
        <is>
          <t>HD</t>
        </is>
      </c>
      <c r="E4663" s="6" t="inlineStr">
        <is>
          <t>HD</t>
        </is>
      </c>
      <c r="F4663" s="6" t="inlineStr">
        <is>
          <t>-</t>
        </is>
      </c>
      <c r="G4663" s="7" t="n">
        <v>336.32568359375</v>
      </c>
      <c r="H4663" s="6">
        <f>P4632</f>
        <v/>
      </c>
      <c r="I4663" s="9">
        <f>Q4632</f>
        <v/>
      </c>
      <c r="J4663" s="7">
        <f>I4663*G4663</f>
        <v/>
      </c>
      <c r="K4663" s="8">
        <f>IF($J$4682=0,0,J4663/$J$4682)</f>
        <v/>
      </c>
      <c r="L4663" s="6" t="inlineStr">
        <is>
          <t>REJECTED</t>
        </is>
      </c>
      <c r="M4663" s="8" t="n">
        <v>0</v>
      </c>
      <c r="N4663" s="7">
        <f>M4663*$J$4682-J4663</f>
        <v/>
      </c>
      <c r="O4663" s="9">
        <f>IF(G4663=0,0,N4663/G4663)</f>
        <v/>
      </c>
      <c r="P4663" s="6">
        <f>IF(M4663&gt;0,D4663,"")</f>
        <v/>
      </c>
      <c r="Q4663" s="9">
        <f>I4663+O4663</f>
        <v/>
      </c>
      <c r="R4663" s="7">
        <f>Q4663*G4663</f>
        <v/>
      </c>
      <c r="S4663" s="8">
        <f>IF($R$4682=0,0,R4663/$R$4682)</f>
        <v/>
      </c>
      <c r="T4663" s="8" t="n">
        <v>-0.02494362214722445</v>
      </c>
      <c r="U4663" s="8" t="n">
        <v>-0.01832907588751143</v>
      </c>
      <c r="V4663" s="6" t="inlineStr">
        <is>
          <t>not selected</t>
        </is>
      </c>
    </row>
    <row r="4664">
      <c r="A4664" s="6" t="inlineStr">
        <is>
          <t>DJ30</t>
        </is>
      </c>
      <c r="B4664" s="6" t="inlineStr">
        <is>
          <t>2025-11-21</t>
        </is>
      </c>
      <c r="C4664" s="6" t="inlineStr">
        <is>
          <t>DIA</t>
        </is>
      </c>
      <c r="D4664" s="6" t="inlineStr">
        <is>
          <t>HON</t>
        </is>
      </c>
      <c r="E4664" s="6" t="inlineStr">
        <is>
          <t>HON</t>
        </is>
      </c>
      <c r="F4664" s="6" t="inlineStr">
        <is>
          <t>-</t>
        </is>
      </c>
      <c r="G4664" s="7" t="n">
        <v>188.0477905273437</v>
      </c>
      <c r="H4664" s="6">
        <f>P4633</f>
        <v/>
      </c>
      <c r="I4664" s="9">
        <f>Q4633</f>
        <v/>
      </c>
      <c r="J4664" s="7">
        <f>I4664*G4664</f>
        <v/>
      </c>
      <c r="K4664" s="8">
        <f>IF($J$4682=0,0,J4664/$J$4682)</f>
        <v/>
      </c>
      <c r="L4664" s="6" t="inlineStr">
        <is>
          <t>REJECTED</t>
        </is>
      </c>
      <c r="M4664" s="8" t="n">
        <v>0</v>
      </c>
      <c r="N4664" s="7">
        <f>M4664*$J$4682-J4664</f>
        <v/>
      </c>
      <c r="O4664" s="9">
        <f>IF(G4664=0,0,N4664/G4664)</f>
        <v/>
      </c>
      <c r="P4664" s="6">
        <f>IF(M4664&gt;0,D4664,"")</f>
        <v/>
      </c>
      <c r="Q4664" s="9">
        <f>I4664+O4664</f>
        <v/>
      </c>
      <c r="R4664" s="7">
        <f>Q4664*G4664</f>
        <v/>
      </c>
      <c r="S4664" s="8">
        <f>IF($R$4682=0,0,R4664/$R$4682)</f>
        <v/>
      </c>
      <c r="T4664" s="8" t="n">
        <v>-0.02494362214722445</v>
      </c>
      <c r="U4664" s="8" t="n">
        <v>-0.01832907588751143</v>
      </c>
      <c r="V4664" s="6" t="inlineStr">
        <is>
          <t>not selected</t>
        </is>
      </c>
    </row>
    <row r="4665">
      <c r="A4665" s="6" t="inlineStr">
        <is>
          <t>DJ30</t>
        </is>
      </c>
      <c r="B4665" s="6" t="inlineStr">
        <is>
          <t>2025-11-21</t>
        </is>
      </c>
      <c r="C4665" s="6" t="inlineStr">
        <is>
          <t>DIA</t>
        </is>
      </c>
      <c r="D4665" s="6" t="inlineStr">
        <is>
          <t>IBM</t>
        </is>
      </c>
      <c r="E4665" s="6" t="inlineStr">
        <is>
          <t>IBM</t>
        </is>
      </c>
      <c r="F4665" s="6" t="inlineStr">
        <is>
          <t>-</t>
        </is>
      </c>
      <c r="G4665" s="7" t="n">
        <v>293.5929260253906</v>
      </c>
      <c r="H4665" s="6">
        <f>P4634</f>
        <v/>
      </c>
      <c r="I4665" s="9">
        <f>Q4634</f>
        <v/>
      </c>
      <c r="J4665" s="7">
        <f>I4665*G4665</f>
        <v/>
      </c>
      <c r="K4665" s="8">
        <f>IF($J$4682=0,0,J4665/$J$4682)</f>
        <v/>
      </c>
      <c r="L4665" s="6" t="inlineStr">
        <is>
          <t>WATCHLIST</t>
        </is>
      </c>
      <c r="M4665" s="8" t="n">
        <v>0</v>
      </c>
      <c r="N4665" s="7">
        <f>M4665*$J$4682-J4665</f>
        <v/>
      </c>
      <c r="O4665" s="9">
        <f>IF(G4665=0,0,N4665/G4665)</f>
        <v/>
      </c>
      <c r="P4665" s="6">
        <f>IF(M4665&gt;0,D4665,"")</f>
        <v/>
      </c>
      <c r="Q4665" s="9">
        <f>I4665+O4665</f>
        <v/>
      </c>
      <c r="R4665" s="7">
        <f>Q4665*G4665</f>
        <v/>
      </c>
      <c r="S4665" s="8">
        <f>IF($R$4682=0,0,R4665/$R$4682)</f>
        <v/>
      </c>
      <c r="T4665" s="8" t="n">
        <v>-0.02494362214722445</v>
      </c>
      <c r="U4665" s="8" t="n">
        <v>-0.01832907588751143</v>
      </c>
      <c r="V4665" s="6" t="inlineStr">
        <is>
          <t>not selected</t>
        </is>
      </c>
    </row>
    <row r="4666">
      <c r="A4666" s="6" t="inlineStr">
        <is>
          <t>DJ30</t>
        </is>
      </c>
      <c r="B4666" s="6" t="inlineStr">
        <is>
          <t>2025-11-21</t>
        </is>
      </c>
      <c r="C4666" s="6" t="inlineStr">
        <is>
          <t>DIA</t>
        </is>
      </c>
      <c r="D4666" s="6" t="inlineStr">
        <is>
          <t>JNJ</t>
        </is>
      </c>
      <c r="E4666" s="6" t="inlineStr">
        <is>
          <t>JNJ</t>
        </is>
      </c>
      <c r="F4666" s="6" t="inlineStr">
        <is>
          <t>-</t>
        </is>
      </c>
      <c r="G4666" s="7" t="n">
        <v>200.3896789550781</v>
      </c>
      <c r="H4666" s="6">
        <f>P4635</f>
        <v/>
      </c>
      <c r="I4666" s="9">
        <f>Q4635</f>
        <v/>
      </c>
      <c r="J4666" s="7">
        <f>I4666*G4666</f>
        <v/>
      </c>
      <c r="K4666" s="8">
        <f>IF($J$4682=0,0,J4666/$J$4682)</f>
        <v/>
      </c>
      <c r="L4666" s="6" t="inlineStr">
        <is>
          <t>SELECTED</t>
        </is>
      </c>
      <c r="M4666" s="8" t="n">
        <v>0.2</v>
      </c>
      <c r="N4666" s="7">
        <f>M4666*$J$4682-J4666</f>
        <v/>
      </c>
      <c r="O4666" s="9">
        <f>IF(G4666=0,0,N4666/G4666)</f>
        <v/>
      </c>
      <c r="P4666" s="6">
        <f>IF(M4666&gt;0,D4666,"")</f>
        <v/>
      </c>
      <c r="Q4666" s="9">
        <f>I4666+O4666</f>
        <v/>
      </c>
      <c r="R4666" s="7">
        <f>Q4666*G4666</f>
        <v/>
      </c>
      <c r="S4666" s="8">
        <f>IF($R$4682=0,0,R4666/$R$4682)</f>
        <v/>
      </c>
      <c r="T4666" s="8" t="n">
        <v>-0.02494362214722445</v>
      </c>
      <c r="U4666" s="8" t="n">
        <v>-0.01832907588751143</v>
      </c>
      <c r="V4666" s="6" t="inlineStr">
        <is>
          <t>remained in weekly selection</t>
        </is>
      </c>
    </row>
    <row r="4667">
      <c r="A4667" s="6" t="inlineStr">
        <is>
          <t>DJ30</t>
        </is>
      </c>
      <c r="B4667" s="6" t="inlineStr">
        <is>
          <t>2025-11-21</t>
        </is>
      </c>
      <c r="C4667" s="6" t="inlineStr">
        <is>
          <t>DIA</t>
        </is>
      </c>
      <c r="D4667" s="6" t="inlineStr">
        <is>
          <t>JPM</t>
        </is>
      </c>
      <c r="E4667" s="6" t="inlineStr">
        <is>
          <t>JPM</t>
        </is>
      </c>
      <c r="F4667" s="6" t="inlineStr">
        <is>
          <t>-</t>
        </is>
      </c>
      <c r="G4667" s="7" t="n">
        <v>295.1711120605469</v>
      </c>
      <c r="H4667" s="6">
        <f>P4636</f>
        <v/>
      </c>
      <c r="I4667" s="9">
        <f>Q4636</f>
        <v/>
      </c>
      <c r="J4667" s="7">
        <f>I4667*G4667</f>
        <v/>
      </c>
      <c r="K4667" s="8">
        <f>IF($J$4682=0,0,J4667/$J$4682)</f>
        <v/>
      </c>
      <c r="L4667" s="6" t="inlineStr">
        <is>
          <t>WATCHLIST</t>
        </is>
      </c>
      <c r="M4667" s="8" t="n">
        <v>0</v>
      </c>
      <c r="N4667" s="7">
        <f>M4667*$J$4682-J4667</f>
        <v/>
      </c>
      <c r="O4667" s="9">
        <f>IF(G4667=0,0,N4667/G4667)</f>
        <v/>
      </c>
      <c r="P4667" s="6">
        <f>IF(M4667&gt;0,D4667,"")</f>
        <v/>
      </c>
      <c r="Q4667" s="9">
        <f>I4667+O4667</f>
        <v/>
      </c>
      <c r="R4667" s="7">
        <f>Q4667*G4667</f>
        <v/>
      </c>
      <c r="S4667" s="8">
        <f>IF($R$4682=0,0,R4667/$R$4682)</f>
        <v/>
      </c>
      <c r="T4667" s="8" t="n">
        <v>-0.02494362214722445</v>
      </c>
      <c r="U4667" s="8" t="n">
        <v>-0.01832907588751143</v>
      </c>
      <c r="V4667" s="6" t="inlineStr">
        <is>
          <t>not selected</t>
        </is>
      </c>
    </row>
    <row r="4668">
      <c r="A4668" s="6" t="inlineStr">
        <is>
          <t>DJ30</t>
        </is>
      </c>
      <c r="B4668" s="6" t="inlineStr">
        <is>
          <t>2025-11-21</t>
        </is>
      </c>
      <c r="C4668" s="6" t="inlineStr">
        <is>
          <t>DIA</t>
        </is>
      </c>
      <c r="D4668" s="6" t="inlineStr">
        <is>
          <t>KO</t>
        </is>
      </c>
      <c r="E4668" s="6" t="inlineStr">
        <is>
          <t>KO</t>
        </is>
      </c>
      <c r="F4668" s="6" t="inlineStr">
        <is>
          <t>-</t>
        </is>
      </c>
      <c r="G4668" s="7" t="n">
        <v>71.48495483398438</v>
      </c>
      <c r="H4668" s="6">
        <f>P4637</f>
        <v/>
      </c>
      <c r="I4668" s="9">
        <f>Q4637</f>
        <v/>
      </c>
      <c r="J4668" s="7">
        <f>I4668*G4668</f>
        <v/>
      </c>
      <c r="K4668" s="8">
        <f>IF($J$4682=0,0,J4668/$J$4682)</f>
        <v/>
      </c>
      <c r="L4668" s="6" t="inlineStr">
        <is>
          <t>WATCHLIST</t>
        </is>
      </c>
      <c r="M4668" s="8" t="n">
        <v>0</v>
      </c>
      <c r="N4668" s="7">
        <f>M4668*$J$4682-J4668</f>
        <v/>
      </c>
      <c r="O4668" s="9">
        <f>IF(G4668=0,0,N4668/G4668)</f>
        <v/>
      </c>
      <c r="P4668" s="6">
        <f>IF(M4668&gt;0,D4668,"")</f>
        <v/>
      </c>
      <c r="Q4668" s="9">
        <f>I4668+O4668</f>
        <v/>
      </c>
      <c r="R4668" s="7">
        <f>Q4668*G4668</f>
        <v/>
      </c>
      <c r="S4668" s="8">
        <f>IF($R$4682=0,0,R4668/$R$4682)</f>
        <v/>
      </c>
      <c r="T4668" s="8" t="n">
        <v>-0.02494362214722445</v>
      </c>
      <c r="U4668" s="8" t="n">
        <v>-0.01832907588751143</v>
      </c>
      <c r="V4668" s="6" t="inlineStr">
        <is>
          <t>not selected</t>
        </is>
      </c>
    </row>
    <row r="4669">
      <c r="A4669" s="6" t="inlineStr">
        <is>
          <t>DJ30</t>
        </is>
      </c>
      <c r="B4669" s="6" t="inlineStr">
        <is>
          <t>2025-11-21</t>
        </is>
      </c>
      <c r="C4669" s="6" t="inlineStr">
        <is>
          <t>DIA</t>
        </is>
      </c>
      <c r="D4669" s="6" t="inlineStr">
        <is>
          <t>MCD</t>
        </is>
      </c>
      <c r="E4669" s="6" t="inlineStr">
        <is>
          <t>MCD</t>
        </is>
      </c>
      <c r="F4669" s="6" t="inlineStr">
        <is>
          <t>-</t>
        </is>
      </c>
      <c r="G4669" s="7" t="n">
        <v>303.7364807128906</v>
      </c>
      <c r="H4669" s="6">
        <f>P4638</f>
        <v/>
      </c>
      <c r="I4669" s="9">
        <f>Q4638</f>
        <v/>
      </c>
      <c r="J4669" s="7">
        <f>I4669*G4669</f>
        <v/>
      </c>
      <c r="K4669" s="8">
        <f>IF($J$4682=0,0,J4669/$J$4682)</f>
        <v/>
      </c>
      <c r="L4669" s="6" t="inlineStr">
        <is>
          <t>REJECTED</t>
        </is>
      </c>
      <c r="M4669" s="8" t="n">
        <v>0</v>
      </c>
      <c r="N4669" s="7">
        <f>M4669*$J$4682-J4669</f>
        <v/>
      </c>
      <c r="O4669" s="9">
        <f>IF(G4669=0,0,N4669/G4669)</f>
        <v/>
      </c>
      <c r="P4669" s="6">
        <f>IF(M4669&gt;0,D4669,"")</f>
        <v/>
      </c>
      <c r="Q4669" s="9">
        <f>I4669+O4669</f>
        <v/>
      </c>
      <c r="R4669" s="7">
        <f>Q4669*G4669</f>
        <v/>
      </c>
      <c r="S4669" s="8">
        <f>IF($R$4682=0,0,R4669/$R$4682)</f>
        <v/>
      </c>
      <c r="T4669" s="8" t="n">
        <v>-0.02494362214722445</v>
      </c>
      <c r="U4669" s="8" t="n">
        <v>-0.01832907588751143</v>
      </c>
      <c r="V4669" s="6" t="inlineStr">
        <is>
          <t>not selected</t>
        </is>
      </c>
    </row>
    <row r="4670">
      <c r="A4670" s="6" t="inlineStr">
        <is>
          <t>DJ30</t>
        </is>
      </c>
      <c r="B4670" s="6" t="inlineStr">
        <is>
          <t>2025-11-21</t>
        </is>
      </c>
      <c r="C4670" s="6" t="inlineStr">
        <is>
          <t>DIA</t>
        </is>
      </c>
      <c r="D4670" s="6" t="inlineStr">
        <is>
          <t>MMM</t>
        </is>
      </c>
      <c r="E4670" s="6" t="inlineStr">
        <is>
          <t>MMM</t>
        </is>
      </c>
      <c r="F4670" s="6" t="inlineStr">
        <is>
          <t>-</t>
        </is>
      </c>
      <c r="G4670" s="7" t="n">
        <v>166.4781494140625</v>
      </c>
      <c r="H4670" s="6">
        <f>P4639</f>
        <v/>
      </c>
      <c r="I4670" s="9">
        <f>Q4639</f>
        <v/>
      </c>
      <c r="J4670" s="7">
        <f>I4670*G4670</f>
        <v/>
      </c>
      <c r="K4670" s="8">
        <f>IF($J$4682=0,0,J4670/$J$4682)</f>
        <v/>
      </c>
      <c r="L4670" s="6" t="inlineStr">
        <is>
          <t>WATCHLIST</t>
        </is>
      </c>
      <c r="M4670" s="8" t="n">
        <v>0</v>
      </c>
      <c r="N4670" s="7">
        <f>M4670*$J$4682-J4670</f>
        <v/>
      </c>
      <c r="O4670" s="9">
        <f>IF(G4670=0,0,N4670/G4670)</f>
        <v/>
      </c>
      <c r="P4670" s="6">
        <f>IF(M4670&gt;0,D4670,"")</f>
        <v/>
      </c>
      <c r="Q4670" s="9">
        <f>I4670+O4670</f>
        <v/>
      </c>
      <c r="R4670" s="7">
        <f>Q4670*G4670</f>
        <v/>
      </c>
      <c r="S4670" s="8">
        <f>IF($R$4682=0,0,R4670/$R$4682)</f>
        <v/>
      </c>
      <c r="T4670" s="8" t="n">
        <v>-0.02494362214722445</v>
      </c>
      <c r="U4670" s="8" t="n">
        <v>-0.01832907588751143</v>
      </c>
      <c r="V4670" s="6" t="inlineStr">
        <is>
          <t>not selected</t>
        </is>
      </c>
    </row>
    <row r="4671">
      <c r="A4671" s="6" t="inlineStr">
        <is>
          <t>DJ30</t>
        </is>
      </c>
      <c r="B4671" s="6" t="inlineStr">
        <is>
          <t>2025-11-21</t>
        </is>
      </c>
      <c r="C4671" s="6" t="inlineStr">
        <is>
          <t>DIA</t>
        </is>
      </c>
      <c r="D4671" s="6" t="inlineStr">
        <is>
          <t>MRK</t>
        </is>
      </c>
      <c r="E4671" s="6" t="inlineStr">
        <is>
          <t>MRK</t>
        </is>
      </c>
      <c r="F4671" s="6" t="inlineStr">
        <is>
          <t>-</t>
        </is>
      </c>
      <c r="G4671" s="7" t="n">
        <v>95.53186798095705</v>
      </c>
      <c r="H4671" s="6">
        <f>P4640</f>
        <v/>
      </c>
      <c r="I4671" s="9">
        <f>Q4640</f>
        <v/>
      </c>
      <c r="J4671" s="7">
        <f>I4671*G4671</f>
        <v/>
      </c>
      <c r="K4671" s="8">
        <f>IF($J$4682=0,0,J4671/$J$4682)</f>
        <v/>
      </c>
      <c r="L4671" s="6" t="inlineStr">
        <is>
          <t>REJECTED</t>
        </is>
      </c>
      <c r="M4671" s="8" t="n">
        <v>0</v>
      </c>
      <c r="N4671" s="7">
        <f>M4671*$J$4682-J4671</f>
        <v/>
      </c>
      <c r="O4671" s="9">
        <f>IF(G4671=0,0,N4671/G4671)</f>
        <v/>
      </c>
      <c r="P4671" s="6">
        <f>IF(M4671&gt;0,D4671,"")</f>
        <v/>
      </c>
      <c r="Q4671" s="9">
        <f>I4671+O4671</f>
        <v/>
      </c>
      <c r="R4671" s="7">
        <f>Q4671*G4671</f>
        <v/>
      </c>
      <c r="S4671" s="8">
        <f>IF($R$4682=0,0,R4671/$R$4682)</f>
        <v/>
      </c>
      <c r="T4671" s="8" t="n">
        <v>-0.02494362214722445</v>
      </c>
      <c r="U4671" s="8" t="n">
        <v>-0.01832907588751143</v>
      </c>
      <c r="V4671" s="6" t="inlineStr">
        <is>
          <t>not selected</t>
        </is>
      </c>
    </row>
    <row r="4672">
      <c r="A4672" s="6" t="inlineStr">
        <is>
          <t>DJ30</t>
        </is>
      </c>
      <c r="B4672" s="6" t="inlineStr">
        <is>
          <t>2025-11-21</t>
        </is>
      </c>
      <c r="C4672" s="6" t="inlineStr">
        <is>
          <t>DIA</t>
        </is>
      </c>
      <c r="D4672" s="6" t="inlineStr">
        <is>
          <t>MSFT</t>
        </is>
      </c>
      <c r="E4672" s="6" t="inlineStr">
        <is>
          <t>MSFT</t>
        </is>
      </c>
      <c r="F4672" s="6" t="inlineStr">
        <is>
          <t>-</t>
        </is>
      </c>
      <c r="G4672" s="7" t="n">
        <v>470.0268249511719</v>
      </c>
      <c r="H4672" s="6">
        <f>P4641</f>
        <v/>
      </c>
      <c r="I4672" s="9">
        <f>Q4641</f>
        <v/>
      </c>
      <c r="J4672" s="7">
        <f>I4672*G4672</f>
        <v/>
      </c>
      <c r="K4672" s="8">
        <f>IF($J$4682=0,0,J4672/$J$4682)</f>
        <v/>
      </c>
      <c r="L4672" s="6" t="inlineStr">
        <is>
          <t>WATCHLIST</t>
        </is>
      </c>
      <c r="M4672" s="8" t="n">
        <v>0</v>
      </c>
      <c r="N4672" s="7">
        <f>M4672*$J$4682-J4672</f>
        <v/>
      </c>
      <c r="O4672" s="9">
        <f>IF(G4672=0,0,N4672/G4672)</f>
        <v/>
      </c>
      <c r="P4672" s="6">
        <f>IF(M4672&gt;0,D4672,"")</f>
        <v/>
      </c>
      <c r="Q4672" s="9">
        <f>I4672+O4672</f>
        <v/>
      </c>
      <c r="R4672" s="7">
        <f>Q4672*G4672</f>
        <v/>
      </c>
      <c r="S4672" s="8">
        <f>IF($R$4682=0,0,R4672/$R$4682)</f>
        <v/>
      </c>
      <c r="T4672" s="8" t="n">
        <v>-0.02494362214722445</v>
      </c>
      <c r="U4672" s="8" t="n">
        <v>-0.01832907588751143</v>
      </c>
      <c r="V4672" s="6" t="inlineStr">
        <is>
          <t>not selected</t>
        </is>
      </c>
    </row>
    <row r="4673">
      <c r="A4673" s="6" t="inlineStr">
        <is>
          <t>DJ30</t>
        </is>
      </c>
      <c r="B4673" s="6" t="inlineStr">
        <is>
          <t>2025-11-21</t>
        </is>
      </c>
      <c r="C4673" s="6" t="inlineStr">
        <is>
          <t>DIA</t>
        </is>
      </c>
      <c r="D4673" s="6" t="inlineStr">
        <is>
          <t>NKE</t>
        </is>
      </c>
      <c r="E4673" s="6" t="inlineStr">
        <is>
          <t>NKE</t>
        </is>
      </c>
      <c r="F4673" s="6" t="inlineStr">
        <is>
          <t>-</t>
        </is>
      </c>
      <c r="G4673" s="7" t="n">
        <v>61.44037628173828</v>
      </c>
      <c r="H4673" s="6">
        <f>P4642</f>
        <v/>
      </c>
      <c r="I4673" s="9">
        <f>Q4642</f>
        <v/>
      </c>
      <c r="J4673" s="7">
        <f>I4673*G4673</f>
        <v/>
      </c>
      <c r="K4673" s="8">
        <f>IF($J$4682=0,0,J4673/$J$4682)</f>
        <v/>
      </c>
      <c r="L4673" s="6" t="inlineStr">
        <is>
          <t>REJECTED</t>
        </is>
      </c>
      <c r="M4673" s="8" t="n">
        <v>0</v>
      </c>
      <c r="N4673" s="7">
        <f>M4673*$J$4682-J4673</f>
        <v/>
      </c>
      <c r="O4673" s="9">
        <f>IF(G4673=0,0,N4673/G4673)</f>
        <v/>
      </c>
      <c r="P4673" s="6">
        <f>IF(M4673&gt;0,D4673,"")</f>
        <v/>
      </c>
      <c r="Q4673" s="9">
        <f>I4673+O4673</f>
        <v/>
      </c>
      <c r="R4673" s="7">
        <f>Q4673*G4673</f>
        <v/>
      </c>
      <c r="S4673" s="8">
        <f>IF($R$4682=0,0,R4673/$R$4682)</f>
        <v/>
      </c>
      <c r="T4673" s="8" t="n">
        <v>-0.02494362214722445</v>
      </c>
      <c r="U4673" s="8" t="n">
        <v>-0.01832907588751143</v>
      </c>
      <c r="V4673" s="6" t="inlineStr">
        <is>
          <t>not selected</t>
        </is>
      </c>
    </row>
    <row r="4674">
      <c r="A4674" s="6" t="inlineStr">
        <is>
          <t>DJ30</t>
        </is>
      </c>
      <c r="B4674" s="6" t="inlineStr">
        <is>
          <t>2025-11-21</t>
        </is>
      </c>
      <c r="C4674" s="6" t="inlineStr">
        <is>
          <t>DIA</t>
        </is>
      </c>
      <c r="D4674" s="6" t="inlineStr">
        <is>
          <t>NVDA</t>
        </is>
      </c>
      <c r="E4674" s="6" t="inlineStr">
        <is>
          <t>NVDA</t>
        </is>
      </c>
      <c r="F4674" s="6" t="inlineStr">
        <is>
          <t>-</t>
        </is>
      </c>
      <c r="G4674" s="7" t="n">
        <v>178.6521453857422</v>
      </c>
      <c r="H4674" s="6">
        <f>P4643</f>
        <v/>
      </c>
      <c r="I4674" s="9">
        <f>Q4643</f>
        <v/>
      </c>
      <c r="J4674" s="7">
        <f>I4674*G4674</f>
        <v/>
      </c>
      <c r="K4674" s="8">
        <f>IF($J$4682=0,0,J4674/$J$4682)</f>
        <v/>
      </c>
      <c r="L4674" s="6" t="inlineStr">
        <is>
          <t>SELECTED</t>
        </is>
      </c>
      <c r="M4674" s="8" t="n">
        <v>0.2</v>
      </c>
      <c r="N4674" s="7">
        <f>M4674*$J$4682-J4674</f>
        <v/>
      </c>
      <c r="O4674" s="9">
        <f>IF(G4674=0,0,N4674/G4674)</f>
        <v/>
      </c>
      <c r="P4674" s="6">
        <f>IF(M4674&gt;0,D4674,"")</f>
        <v/>
      </c>
      <c r="Q4674" s="9">
        <f>I4674+O4674</f>
        <v/>
      </c>
      <c r="R4674" s="7">
        <f>Q4674*G4674</f>
        <v/>
      </c>
      <c r="S4674" s="8">
        <f>IF($R$4682=0,0,R4674/$R$4682)</f>
        <v/>
      </c>
      <c r="T4674" s="8" t="n">
        <v>-0.02494362214722445</v>
      </c>
      <c r="U4674" s="8" t="n">
        <v>-0.01832907588751143</v>
      </c>
      <c r="V4674" s="6" t="inlineStr">
        <is>
          <t>remained in weekly selection</t>
        </is>
      </c>
    </row>
    <row r="4675">
      <c r="A4675" s="6" t="inlineStr">
        <is>
          <t>DJ30</t>
        </is>
      </c>
      <c r="B4675" s="6" t="inlineStr">
        <is>
          <t>2025-11-21</t>
        </is>
      </c>
      <c r="C4675" s="6" t="inlineStr">
        <is>
          <t>DIA</t>
        </is>
      </c>
      <c r="D4675" s="6" t="inlineStr">
        <is>
          <t>PG</t>
        </is>
      </c>
      <c r="E4675" s="6" t="inlineStr">
        <is>
          <t>PG</t>
        </is>
      </c>
      <c r="F4675" s="6" t="inlineStr">
        <is>
          <t>-</t>
        </is>
      </c>
      <c r="G4675" s="7" t="n">
        <v>148.7360229492188</v>
      </c>
      <c r="H4675" s="6">
        <f>P4644</f>
        <v/>
      </c>
      <c r="I4675" s="9">
        <f>Q4644</f>
        <v/>
      </c>
      <c r="J4675" s="7">
        <f>I4675*G4675</f>
        <v/>
      </c>
      <c r="K4675" s="8">
        <f>IF($J$4682=0,0,J4675/$J$4682)</f>
        <v/>
      </c>
      <c r="L4675" s="6" t="inlineStr">
        <is>
          <t>REJECTED</t>
        </is>
      </c>
      <c r="M4675" s="8" t="n">
        <v>0</v>
      </c>
      <c r="N4675" s="7">
        <f>M4675*$J$4682-J4675</f>
        <v/>
      </c>
      <c r="O4675" s="9">
        <f>IF(G4675=0,0,N4675/G4675)</f>
        <v/>
      </c>
      <c r="P4675" s="6">
        <f>IF(M4675&gt;0,D4675,"")</f>
        <v/>
      </c>
      <c r="Q4675" s="9">
        <f>I4675+O4675</f>
        <v/>
      </c>
      <c r="R4675" s="7">
        <f>Q4675*G4675</f>
        <v/>
      </c>
      <c r="S4675" s="8">
        <f>IF($R$4682=0,0,R4675/$R$4682)</f>
        <v/>
      </c>
      <c r="T4675" s="8" t="n">
        <v>-0.02494362214722445</v>
      </c>
      <c r="U4675" s="8" t="n">
        <v>-0.01832907588751143</v>
      </c>
      <c r="V4675" s="6" t="inlineStr">
        <is>
          <t>not selected</t>
        </is>
      </c>
    </row>
    <row r="4676">
      <c r="A4676" s="6" t="inlineStr">
        <is>
          <t>DJ30</t>
        </is>
      </c>
      <c r="B4676" s="6" t="inlineStr">
        <is>
          <t>2025-11-21</t>
        </is>
      </c>
      <c r="C4676" s="6" t="inlineStr">
        <is>
          <t>DIA</t>
        </is>
      </c>
      <c r="D4676" s="6" t="inlineStr">
        <is>
          <t>SHW</t>
        </is>
      </c>
      <c r="E4676" s="6" t="inlineStr">
        <is>
          <t>SHW</t>
        </is>
      </c>
      <c r="F4676" s="6" t="inlineStr">
        <is>
          <t>-</t>
        </is>
      </c>
      <c r="G4676" s="7" t="n">
        <v>335.4465942382812</v>
      </c>
      <c r="H4676" s="6">
        <f>P4645</f>
        <v/>
      </c>
      <c r="I4676" s="9">
        <f>Q4645</f>
        <v/>
      </c>
      <c r="J4676" s="7">
        <f>I4676*G4676</f>
        <v/>
      </c>
      <c r="K4676" s="8">
        <f>IF($J$4682=0,0,J4676/$J$4682)</f>
        <v/>
      </c>
      <c r="L4676" s="6" t="inlineStr">
        <is>
          <t>REJECTED</t>
        </is>
      </c>
      <c r="M4676" s="8" t="n">
        <v>0</v>
      </c>
      <c r="N4676" s="7">
        <f>M4676*$J$4682-J4676</f>
        <v/>
      </c>
      <c r="O4676" s="9">
        <f>IF(G4676=0,0,N4676/G4676)</f>
        <v/>
      </c>
      <c r="P4676" s="6">
        <f>IF(M4676&gt;0,D4676,"")</f>
        <v/>
      </c>
      <c r="Q4676" s="9">
        <f>I4676+O4676</f>
        <v/>
      </c>
      <c r="R4676" s="7">
        <f>Q4676*G4676</f>
        <v/>
      </c>
      <c r="S4676" s="8">
        <f>IF($R$4682=0,0,R4676/$R$4682)</f>
        <v/>
      </c>
      <c r="T4676" s="8" t="n">
        <v>-0.02494362214722445</v>
      </c>
      <c r="U4676" s="8" t="n">
        <v>-0.01832907588751143</v>
      </c>
      <c r="V4676" s="6" t="inlineStr">
        <is>
          <t>not selected</t>
        </is>
      </c>
    </row>
    <row r="4677">
      <c r="A4677" s="6" t="inlineStr">
        <is>
          <t>DJ30</t>
        </is>
      </c>
      <c r="B4677" s="6" t="inlineStr">
        <is>
          <t>2025-11-21</t>
        </is>
      </c>
      <c r="C4677" s="6" t="inlineStr">
        <is>
          <t>DIA</t>
        </is>
      </c>
      <c r="D4677" s="6" t="inlineStr">
        <is>
          <t>TRV</t>
        </is>
      </c>
      <c r="E4677" s="6" t="inlineStr">
        <is>
          <t>TRV</t>
        </is>
      </c>
      <c r="F4677" s="6" t="inlineStr">
        <is>
          <t>-</t>
        </is>
      </c>
      <c r="G4677" s="7" t="n">
        <v>286.6802673339844</v>
      </c>
      <c r="H4677" s="6">
        <f>P4646</f>
        <v/>
      </c>
      <c r="I4677" s="9">
        <f>Q4646</f>
        <v/>
      </c>
      <c r="J4677" s="7">
        <f>I4677*G4677</f>
        <v/>
      </c>
      <c r="K4677" s="8">
        <f>IF($J$4682=0,0,J4677/$J$4682)</f>
        <v/>
      </c>
      <c r="L4677" s="6" t="inlineStr">
        <is>
          <t>WATCHLIST</t>
        </is>
      </c>
      <c r="M4677" s="8" t="n">
        <v>0</v>
      </c>
      <c r="N4677" s="7">
        <f>M4677*$J$4682-J4677</f>
        <v/>
      </c>
      <c r="O4677" s="9">
        <f>IF(G4677=0,0,N4677/G4677)</f>
        <v/>
      </c>
      <c r="P4677" s="6">
        <f>IF(M4677&gt;0,D4677,"")</f>
        <v/>
      </c>
      <c r="Q4677" s="9">
        <f>I4677+O4677</f>
        <v/>
      </c>
      <c r="R4677" s="7">
        <f>Q4677*G4677</f>
        <v/>
      </c>
      <c r="S4677" s="8">
        <f>IF($R$4682=0,0,R4677/$R$4682)</f>
        <v/>
      </c>
      <c r="T4677" s="8" t="n">
        <v>-0.02494362214722445</v>
      </c>
      <c r="U4677" s="8" t="n">
        <v>-0.01832907588751143</v>
      </c>
      <c r="V4677" s="6" t="inlineStr">
        <is>
          <t>not selected</t>
        </is>
      </c>
    </row>
    <row r="4678">
      <c r="A4678" s="6" t="inlineStr">
        <is>
          <t>DJ30</t>
        </is>
      </c>
      <c r="B4678" s="6" t="inlineStr">
        <is>
          <t>2025-11-21</t>
        </is>
      </c>
      <c r="C4678" s="6" t="inlineStr">
        <is>
          <t>DIA</t>
        </is>
      </c>
      <c r="D4678" s="6" t="inlineStr">
        <is>
          <t>UNH</t>
        </is>
      </c>
      <c r="E4678" s="6" t="inlineStr">
        <is>
          <t>UNH</t>
        </is>
      </c>
      <c r="F4678" s="6" t="inlineStr">
        <is>
          <t>-</t>
        </is>
      </c>
      <c r="G4678" s="7" t="n">
        <v>313.5901184082031</v>
      </c>
      <c r="H4678" s="6">
        <f>P4647</f>
        <v/>
      </c>
      <c r="I4678" s="9">
        <f>Q4647</f>
        <v/>
      </c>
      <c r="J4678" s="7">
        <f>I4678*G4678</f>
        <v/>
      </c>
      <c r="K4678" s="8">
        <f>IF($J$4682=0,0,J4678/$J$4682)</f>
        <v/>
      </c>
      <c r="L4678" s="6" t="inlineStr">
        <is>
          <t>REJECTED</t>
        </is>
      </c>
      <c r="M4678" s="8" t="n">
        <v>0</v>
      </c>
      <c r="N4678" s="7">
        <f>M4678*$J$4682-J4678</f>
        <v/>
      </c>
      <c r="O4678" s="9">
        <f>IF(G4678=0,0,N4678/G4678)</f>
        <v/>
      </c>
      <c r="P4678" s="6">
        <f>IF(M4678&gt;0,D4678,"")</f>
        <v/>
      </c>
      <c r="Q4678" s="9">
        <f>I4678+O4678</f>
        <v/>
      </c>
      <c r="R4678" s="7">
        <f>Q4678*G4678</f>
        <v/>
      </c>
      <c r="S4678" s="8">
        <f>IF($R$4682=0,0,R4678/$R$4682)</f>
        <v/>
      </c>
      <c r="T4678" s="8" t="n">
        <v>-0.02494362214722445</v>
      </c>
      <c r="U4678" s="8" t="n">
        <v>-0.01832907588751143</v>
      </c>
      <c r="V4678" s="6" t="inlineStr">
        <is>
          <t>not selected</t>
        </is>
      </c>
    </row>
    <row r="4679">
      <c r="A4679" s="6" t="inlineStr">
        <is>
          <t>DJ30</t>
        </is>
      </c>
      <c r="B4679" s="6" t="inlineStr">
        <is>
          <t>2025-11-21</t>
        </is>
      </c>
      <c r="C4679" s="6" t="inlineStr">
        <is>
          <t>DIA</t>
        </is>
      </c>
      <c r="D4679" s="6" t="inlineStr">
        <is>
          <t>V</t>
        </is>
      </c>
      <c r="E4679" s="6" t="inlineStr">
        <is>
          <t>V</t>
        </is>
      </c>
      <c r="F4679" s="6" t="inlineStr">
        <is>
          <t>-</t>
        </is>
      </c>
      <c r="G4679" s="7" t="n">
        <v>326.6279602050781</v>
      </c>
      <c r="H4679" s="6">
        <f>P4648</f>
        <v/>
      </c>
      <c r="I4679" s="9">
        <f>Q4648</f>
        <v/>
      </c>
      <c r="J4679" s="7">
        <f>I4679*G4679</f>
        <v/>
      </c>
      <c r="K4679" s="8">
        <f>IF($J$4682=0,0,J4679/$J$4682)</f>
        <v/>
      </c>
      <c r="L4679" s="6" t="inlineStr">
        <is>
          <t>REJECTED</t>
        </is>
      </c>
      <c r="M4679" s="8" t="n">
        <v>0</v>
      </c>
      <c r="N4679" s="7">
        <f>M4679*$J$4682-J4679</f>
        <v/>
      </c>
      <c r="O4679" s="9">
        <f>IF(G4679=0,0,N4679/G4679)</f>
        <v/>
      </c>
      <c r="P4679" s="6">
        <f>IF(M4679&gt;0,D4679,"")</f>
        <v/>
      </c>
      <c r="Q4679" s="9">
        <f>I4679+O4679</f>
        <v/>
      </c>
      <c r="R4679" s="7">
        <f>Q4679*G4679</f>
        <v/>
      </c>
      <c r="S4679" s="8">
        <f>IF($R$4682=0,0,R4679/$R$4682)</f>
        <v/>
      </c>
      <c r="T4679" s="8" t="n">
        <v>-0.02494362214722445</v>
      </c>
      <c r="U4679" s="8" t="n">
        <v>-0.01832907588751143</v>
      </c>
      <c r="V4679" s="6" t="inlineStr">
        <is>
          <t>not selected</t>
        </is>
      </c>
    </row>
    <row r="4680">
      <c r="A4680" s="6" t="inlineStr">
        <is>
          <t>DJ30</t>
        </is>
      </c>
      <c r="B4680" s="6" t="inlineStr">
        <is>
          <t>2025-11-21</t>
        </is>
      </c>
      <c r="C4680" s="6" t="inlineStr">
        <is>
          <t>DIA</t>
        </is>
      </c>
      <c r="D4680" s="6" t="inlineStr">
        <is>
          <t>VZ</t>
        </is>
      </c>
      <c r="E4680" s="6" t="inlineStr">
        <is>
          <t>VZ</t>
        </is>
      </c>
      <c r="F4680" s="6" t="inlineStr">
        <is>
          <t>-</t>
        </is>
      </c>
      <c r="G4680" s="7" t="n">
        <v>39.92634582519531</v>
      </c>
      <c r="H4680" s="6">
        <f>P4649</f>
        <v/>
      </c>
      <c r="I4680" s="9">
        <f>Q4649</f>
        <v/>
      </c>
      <c r="J4680" s="7">
        <f>I4680*G4680</f>
        <v/>
      </c>
      <c r="K4680" s="8">
        <f>IF($J$4682=0,0,J4680/$J$4682)</f>
        <v/>
      </c>
      <c r="L4680" s="6" t="inlineStr">
        <is>
          <t>REJECTED</t>
        </is>
      </c>
      <c r="M4680" s="8" t="n">
        <v>0</v>
      </c>
      <c r="N4680" s="7">
        <f>M4680*$J$4682-J4680</f>
        <v/>
      </c>
      <c r="O4680" s="9">
        <f>IF(G4680=0,0,N4680/G4680)</f>
        <v/>
      </c>
      <c r="P4680" s="6">
        <f>IF(M4680&gt;0,D4680,"")</f>
        <v/>
      </c>
      <c r="Q4680" s="9">
        <f>I4680+O4680</f>
        <v/>
      </c>
      <c r="R4680" s="7">
        <f>Q4680*G4680</f>
        <v/>
      </c>
      <c r="S4680" s="8">
        <f>IF($R$4682=0,0,R4680/$R$4682)</f>
        <v/>
      </c>
      <c r="T4680" s="8" t="n">
        <v>-0.02494362214722445</v>
      </c>
      <c r="U4680" s="8" t="n">
        <v>-0.01832907588751143</v>
      </c>
      <c r="V4680" s="6" t="inlineStr">
        <is>
          <t>not selected</t>
        </is>
      </c>
    </row>
    <row r="4681">
      <c r="A4681" s="6" t="inlineStr">
        <is>
          <t>DJ30</t>
        </is>
      </c>
      <c r="B4681" s="6" t="inlineStr">
        <is>
          <t>2025-11-21</t>
        </is>
      </c>
      <c r="C4681" s="6" t="inlineStr">
        <is>
          <t>DIA</t>
        </is>
      </c>
      <c r="D4681" s="6" t="inlineStr">
        <is>
          <t>WMT</t>
        </is>
      </c>
      <c r="E4681" s="6" t="inlineStr">
        <is>
          <t>WMT</t>
        </is>
      </c>
      <c r="F4681" s="6" t="inlineStr">
        <is>
          <t>-</t>
        </is>
      </c>
      <c r="G4681" s="7" t="n">
        <v>104.6906890869141</v>
      </c>
      <c r="H4681" s="6">
        <f>P4650</f>
        <v/>
      </c>
      <c r="I4681" s="9">
        <f>Q4650</f>
        <v/>
      </c>
      <c r="J4681" s="7">
        <f>I4681*G4681</f>
        <v/>
      </c>
      <c r="K4681" s="8">
        <f>IF($J$4682=0,0,J4681/$J$4682)</f>
        <v/>
      </c>
      <c r="L4681" s="6" t="inlineStr">
        <is>
          <t>WATCHLIST</t>
        </is>
      </c>
      <c r="M4681" s="8" t="n">
        <v>0</v>
      </c>
      <c r="N4681" s="7">
        <f>M4681*$J$4682-J4681</f>
        <v/>
      </c>
      <c r="O4681" s="9">
        <f>IF(G4681=0,0,N4681/G4681)</f>
        <v/>
      </c>
      <c r="P4681" s="6">
        <f>IF(M4681&gt;0,D4681,"")</f>
        <v/>
      </c>
      <c r="Q4681" s="9">
        <f>I4681+O4681</f>
        <v/>
      </c>
      <c r="R4681" s="7">
        <f>Q4681*G4681</f>
        <v/>
      </c>
      <c r="S4681" s="8">
        <f>IF($R$4682=0,0,R4681/$R$4682)</f>
        <v/>
      </c>
      <c r="T4681" s="8" t="n">
        <v>-0.02494362214722445</v>
      </c>
      <c r="U4681" s="8" t="n">
        <v>-0.01832907588751143</v>
      </c>
      <c r="V4681" s="6" t="inlineStr">
        <is>
          <t>not selected</t>
        </is>
      </c>
    </row>
    <row r="4682">
      <c r="A4682" s="10" t="inlineStr">
        <is>
          <t>DJ30</t>
        </is>
      </c>
      <c r="B4682" s="10" t="inlineStr">
        <is>
          <t>2025-11-21</t>
        </is>
      </c>
      <c r="C4682" s="10" t="inlineStr">
        <is>
          <t>DIA</t>
        </is>
      </c>
      <c r="D4682" s="10" t="inlineStr">
        <is>
          <t>Tot Portfolio</t>
        </is>
      </c>
      <c r="E4682" s="10" t="inlineStr"/>
      <c r="F4682" s="10" t="inlineStr"/>
      <c r="G4682" s="11" t="inlineStr"/>
      <c r="H4682" s="10" t="inlineStr"/>
      <c r="I4682" s="12" t="inlineStr"/>
      <c r="J4682" s="11">
        <f>SUM(J4652:J4681)</f>
        <v/>
      </c>
      <c r="K4682" s="13">
        <f>SUM(K4652:K4681)</f>
        <v/>
      </c>
      <c r="L4682" s="10" t="inlineStr">
        <is>
          <t>TOTAL</t>
        </is>
      </c>
      <c r="M4682" s="13">
        <f>SUM(M4652:M4681)</f>
        <v/>
      </c>
      <c r="N4682" s="11">
        <f>SUM(N4652:N4681)</f>
        <v/>
      </c>
      <c r="O4682" s="12">
        <f>SUM(O4652:O4681)</f>
        <v/>
      </c>
      <c r="P4682" s="10" t="inlineStr"/>
      <c r="Q4682" s="12" t="inlineStr"/>
      <c r="R4682" s="11">
        <f>SUM(R4652:R4681)</f>
        <v/>
      </c>
      <c r="S4682" s="13">
        <f>SUM(S4652:S4681)</f>
        <v/>
      </c>
      <c r="T4682" s="13" t="n">
        <v>-0.02494362214722445</v>
      </c>
      <c r="U4682" s="13" t="n">
        <v>-0.01832907588751143</v>
      </c>
      <c r="V4682" s="10" t="inlineStr"/>
    </row>
    <row r="4683">
      <c r="A4683" s="6" t="inlineStr">
        <is>
          <t>DJ30</t>
        </is>
      </c>
      <c r="B4683" s="6" t="inlineStr">
        <is>
          <t>2025-11-28</t>
        </is>
      </c>
      <c r="C4683" s="6" t="inlineStr">
        <is>
          <t>DIA</t>
        </is>
      </c>
      <c r="D4683" s="6" t="inlineStr">
        <is>
          <t>AAPL</t>
        </is>
      </c>
      <c r="E4683" s="6" t="inlineStr">
        <is>
          <t>AAPL</t>
        </is>
      </c>
      <c r="F4683" s="6" t="inlineStr">
        <is>
          <t>-</t>
        </is>
      </c>
      <c r="G4683" s="7" t="n">
        <v>278.3328857421875</v>
      </c>
      <c r="H4683" s="6">
        <f>P4652</f>
        <v/>
      </c>
      <c r="I4683" s="9">
        <f>Q4652</f>
        <v/>
      </c>
      <c r="J4683" s="7">
        <f>I4683*G4683</f>
        <v/>
      </c>
      <c r="K4683" s="8">
        <f>IF($J$4713=0,0,J4683/$J$4713)</f>
        <v/>
      </c>
      <c r="L4683" s="6" t="inlineStr">
        <is>
          <t>REJECTED</t>
        </is>
      </c>
      <c r="M4683" s="8" t="n">
        <v>0</v>
      </c>
      <c r="N4683" s="7">
        <f>M4683*$J$4713-J4683</f>
        <v/>
      </c>
      <c r="O4683" s="9">
        <f>IF(G4683=0,0,N4683/G4683)</f>
        <v/>
      </c>
      <c r="P4683" s="6">
        <f>IF(M4683&gt;0,D4683,"")</f>
        <v/>
      </c>
      <c r="Q4683" s="9">
        <f>I4683+O4683</f>
        <v/>
      </c>
      <c r="R4683" s="7">
        <f>Q4683*G4683</f>
        <v/>
      </c>
      <c r="S4683" s="8">
        <f>IF($R$4713=0,0,R4683/$R$4713)</f>
        <v/>
      </c>
      <c r="T4683" s="8" t="n">
        <v>0.0269990363582604</v>
      </c>
      <c r="U4683" s="8" t="n">
        <v>0.03158439629611465</v>
      </c>
      <c r="V4683" s="6" t="inlineStr">
        <is>
          <t>not selected</t>
        </is>
      </c>
    </row>
    <row r="4684">
      <c r="A4684" s="6" t="inlineStr">
        <is>
          <t>DJ30</t>
        </is>
      </c>
      <c r="B4684" s="6" t="inlineStr">
        <is>
          <t>2025-11-28</t>
        </is>
      </c>
      <c r="C4684" s="6" t="inlineStr">
        <is>
          <t>DIA</t>
        </is>
      </c>
      <c r="D4684" s="6" t="inlineStr">
        <is>
          <t>AMGN</t>
        </is>
      </c>
      <c r="E4684" s="6" t="inlineStr">
        <is>
          <t>AMGN</t>
        </is>
      </c>
      <c r="F4684" s="6" t="inlineStr">
        <is>
          <t>-</t>
        </is>
      </c>
      <c r="G4684" s="7" t="n">
        <v>340.5113525390625</v>
      </c>
      <c r="H4684" s="6">
        <f>P4653</f>
        <v/>
      </c>
      <c r="I4684" s="9">
        <f>Q4653</f>
        <v/>
      </c>
      <c r="J4684" s="7">
        <f>I4684*G4684</f>
        <v/>
      </c>
      <c r="K4684" s="8">
        <f>IF($J$4713=0,0,J4684/$J$4713)</f>
        <v/>
      </c>
      <c r="L4684" s="6" t="inlineStr">
        <is>
          <t>WATCHLIST</t>
        </is>
      </c>
      <c r="M4684" s="8" t="n">
        <v>0</v>
      </c>
      <c r="N4684" s="7">
        <f>M4684*$J$4713-J4684</f>
        <v/>
      </c>
      <c r="O4684" s="9">
        <f>IF(G4684=0,0,N4684/G4684)</f>
        <v/>
      </c>
      <c r="P4684" s="6">
        <f>IF(M4684&gt;0,D4684,"")</f>
        <v/>
      </c>
      <c r="Q4684" s="9">
        <f>I4684+O4684</f>
        <v/>
      </c>
      <c r="R4684" s="7">
        <f>Q4684*G4684</f>
        <v/>
      </c>
      <c r="S4684" s="8">
        <f>IF($R$4713=0,0,R4684/$R$4713)</f>
        <v/>
      </c>
      <c r="T4684" s="8" t="n">
        <v>0.0269990363582604</v>
      </c>
      <c r="U4684" s="8" t="n">
        <v>0.03158439629611465</v>
      </c>
      <c r="V4684" s="6" t="inlineStr">
        <is>
          <t>not selected</t>
        </is>
      </c>
    </row>
    <row r="4685">
      <c r="A4685" s="6" t="inlineStr">
        <is>
          <t>DJ30</t>
        </is>
      </c>
      <c r="B4685" s="6" t="inlineStr">
        <is>
          <t>2025-11-28</t>
        </is>
      </c>
      <c r="C4685" s="6" t="inlineStr">
        <is>
          <t>DIA</t>
        </is>
      </c>
      <c r="D4685" s="6" t="inlineStr">
        <is>
          <t>AMZN</t>
        </is>
      </c>
      <c r="E4685" s="6" t="inlineStr">
        <is>
          <t>AMZN</t>
        </is>
      </c>
      <c r="F4685" s="6" t="inlineStr">
        <is>
          <t>-</t>
        </is>
      </c>
      <c r="G4685" s="7" t="n">
        <v>233.2200012207031</v>
      </c>
      <c r="H4685" s="6">
        <f>P4654</f>
        <v/>
      </c>
      <c r="I4685" s="9">
        <f>Q4654</f>
        <v/>
      </c>
      <c r="J4685" s="7">
        <f>I4685*G4685</f>
        <v/>
      </c>
      <c r="K4685" s="8">
        <f>IF($J$4713=0,0,J4685/$J$4713)</f>
        <v/>
      </c>
      <c r="L4685" s="6" t="inlineStr">
        <is>
          <t>REJECTED</t>
        </is>
      </c>
      <c r="M4685" s="8" t="n">
        <v>0</v>
      </c>
      <c r="N4685" s="7">
        <f>M4685*$J$4713-J4685</f>
        <v/>
      </c>
      <c r="O4685" s="9">
        <f>IF(G4685=0,0,N4685/G4685)</f>
        <v/>
      </c>
      <c r="P4685" s="6">
        <f>IF(M4685&gt;0,D4685,"")</f>
        <v/>
      </c>
      <c r="Q4685" s="9">
        <f>I4685+O4685</f>
        <v/>
      </c>
      <c r="R4685" s="7">
        <f>Q4685*G4685</f>
        <v/>
      </c>
      <c r="S4685" s="8">
        <f>IF($R$4713=0,0,R4685/$R$4713)</f>
        <v/>
      </c>
      <c r="T4685" s="8" t="n">
        <v>0.0269990363582604</v>
      </c>
      <c r="U4685" s="8" t="n">
        <v>0.03158439629611465</v>
      </c>
      <c r="V4685" s="6" t="inlineStr">
        <is>
          <t>not selected</t>
        </is>
      </c>
    </row>
    <row r="4686">
      <c r="A4686" s="6" t="inlineStr">
        <is>
          <t>DJ30</t>
        </is>
      </c>
      <c r="B4686" s="6" t="inlineStr">
        <is>
          <t>2025-11-28</t>
        </is>
      </c>
      <c r="C4686" s="6" t="inlineStr">
        <is>
          <t>DIA</t>
        </is>
      </c>
      <c r="D4686" s="6" t="inlineStr">
        <is>
          <t>AXP</t>
        </is>
      </c>
      <c r="E4686" s="6" t="inlineStr">
        <is>
          <t>AXP</t>
        </is>
      </c>
      <c r="F4686" s="6" t="inlineStr">
        <is>
          <t>-</t>
        </is>
      </c>
      <c r="G4686" s="7" t="n">
        <v>363.3117980957031</v>
      </c>
      <c r="H4686" s="6">
        <f>P4655</f>
        <v/>
      </c>
      <c r="I4686" s="9">
        <f>Q4655</f>
        <v/>
      </c>
      <c r="J4686" s="7">
        <f>I4686*G4686</f>
        <v/>
      </c>
      <c r="K4686" s="8">
        <f>IF($J$4713=0,0,J4686/$J$4713)</f>
        <v/>
      </c>
      <c r="L4686" s="6" t="inlineStr">
        <is>
          <t>WATCHLIST</t>
        </is>
      </c>
      <c r="M4686" s="8" t="n">
        <v>0</v>
      </c>
      <c r="N4686" s="7">
        <f>M4686*$J$4713-J4686</f>
        <v/>
      </c>
      <c r="O4686" s="9">
        <f>IF(G4686=0,0,N4686/G4686)</f>
        <v/>
      </c>
      <c r="P4686" s="6">
        <f>IF(M4686&gt;0,D4686,"")</f>
        <v/>
      </c>
      <c r="Q4686" s="9">
        <f>I4686+O4686</f>
        <v/>
      </c>
      <c r="R4686" s="7">
        <f>Q4686*G4686</f>
        <v/>
      </c>
      <c r="S4686" s="8">
        <f>IF($R$4713=0,0,R4686/$R$4713)</f>
        <v/>
      </c>
      <c r="T4686" s="8" t="n">
        <v>0.0269990363582604</v>
      </c>
      <c r="U4686" s="8" t="n">
        <v>0.03158439629611465</v>
      </c>
      <c r="V4686" s="6" t="inlineStr">
        <is>
          <t>not selected</t>
        </is>
      </c>
    </row>
    <row r="4687">
      <c r="A4687" s="6" t="inlineStr">
        <is>
          <t>DJ30</t>
        </is>
      </c>
      <c r="B4687" s="6" t="inlineStr">
        <is>
          <t>2025-11-28</t>
        </is>
      </c>
      <c r="C4687" s="6" t="inlineStr">
        <is>
          <t>DIA</t>
        </is>
      </c>
      <c r="D4687" s="6" t="inlineStr">
        <is>
          <t>BA</t>
        </is>
      </c>
      <c r="E4687" s="6" t="inlineStr">
        <is>
          <t>BA</t>
        </is>
      </c>
      <c r="F4687" s="6" t="inlineStr">
        <is>
          <t>-</t>
        </is>
      </c>
      <c r="G4687" s="7" t="n">
        <v>189</v>
      </c>
      <c r="H4687" s="6">
        <f>P4656</f>
        <v/>
      </c>
      <c r="I4687" s="9">
        <f>Q4656</f>
        <v/>
      </c>
      <c r="J4687" s="7">
        <f>I4687*G4687</f>
        <v/>
      </c>
      <c r="K4687" s="8">
        <f>IF($J$4713=0,0,J4687/$J$4713)</f>
        <v/>
      </c>
      <c r="L4687" s="6" t="inlineStr">
        <is>
          <t>WATCHLIST</t>
        </is>
      </c>
      <c r="M4687" s="8" t="n">
        <v>0</v>
      </c>
      <c r="N4687" s="7">
        <f>M4687*$J$4713-J4687</f>
        <v/>
      </c>
      <c r="O4687" s="9">
        <f>IF(G4687=0,0,N4687/G4687)</f>
        <v/>
      </c>
      <c r="P4687" s="6">
        <f>IF(M4687&gt;0,D4687,"")</f>
        <v/>
      </c>
      <c r="Q4687" s="9">
        <f>I4687+O4687</f>
        <v/>
      </c>
      <c r="R4687" s="7">
        <f>Q4687*G4687</f>
        <v/>
      </c>
      <c r="S4687" s="8">
        <f>IF($R$4713=0,0,R4687/$R$4713)</f>
        <v/>
      </c>
      <c r="T4687" s="8" t="n">
        <v>0.0269990363582604</v>
      </c>
      <c r="U4687" s="8" t="n">
        <v>0.03158439629611465</v>
      </c>
      <c r="V4687" s="6" t="inlineStr">
        <is>
          <t>not selected</t>
        </is>
      </c>
    </row>
    <row r="4688">
      <c r="A4688" s="6" t="inlineStr">
        <is>
          <t>DJ30</t>
        </is>
      </c>
      <c r="B4688" s="6" t="inlineStr">
        <is>
          <t>2025-11-28</t>
        </is>
      </c>
      <c r="C4688" s="6" t="inlineStr">
        <is>
          <t>DIA</t>
        </is>
      </c>
      <c r="D4688" s="6" t="inlineStr">
        <is>
          <t>CAT</t>
        </is>
      </c>
      <c r="E4688" s="6" t="inlineStr">
        <is>
          <t>CAT</t>
        </is>
      </c>
      <c r="F4688" s="6" t="inlineStr">
        <is>
          <t>-</t>
        </is>
      </c>
      <c r="G4688" s="7" t="n">
        <v>573.3245849609375</v>
      </c>
      <c r="H4688" s="6">
        <f>P4657</f>
        <v/>
      </c>
      <c r="I4688" s="9">
        <f>Q4657</f>
        <v/>
      </c>
      <c r="J4688" s="7">
        <f>I4688*G4688</f>
        <v/>
      </c>
      <c r="K4688" s="8">
        <f>IF($J$4713=0,0,J4688/$J$4713)</f>
        <v/>
      </c>
      <c r="L4688" s="6" t="inlineStr">
        <is>
          <t>SELECTED</t>
        </is>
      </c>
      <c r="M4688" s="8" t="n">
        <v>0.2</v>
      </c>
      <c r="N4688" s="7">
        <f>M4688*$J$4713-J4688</f>
        <v/>
      </c>
      <c r="O4688" s="9">
        <f>IF(G4688=0,0,N4688/G4688)</f>
        <v/>
      </c>
      <c r="P4688" s="6">
        <f>IF(M4688&gt;0,D4688,"")</f>
        <v/>
      </c>
      <c r="Q4688" s="9">
        <f>I4688+O4688</f>
        <v/>
      </c>
      <c r="R4688" s="7">
        <f>Q4688*G4688</f>
        <v/>
      </c>
      <c r="S4688" s="8">
        <f>IF($R$4713=0,0,R4688/$R$4713)</f>
        <v/>
      </c>
      <c r="T4688" s="8" t="n">
        <v>0.0269990363582604</v>
      </c>
      <c r="U4688" s="8" t="n">
        <v>0.03158439629611465</v>
      </c>
      <c r="V4688" s="6" t="inlineStr">
        <is>
          <t>remained in weekly selection</t>
        </is>
      </c>
    </row>
    <row r="4689">
      <c r="A4689" s="6" t="inlineStr">
        <is>
          <t>DJ30</t>
        </is>
      </c>
      <c r="B4689" s="6" t="inlineStr">
        <is>
          <t>2025-11-28</t>
        </is>
      </c>
      <c r="C4689" s="6" t="inlineStr">
        <is>
          <t>DIA</t>
        </is>
      </c>
      <c r="D4689" s="6" t="inlineStr">
        <is>
          <t>CRM</t>
        </is>
      </c>
      <c r="E4689" s="6" t="inlineStr">
        <is>
          <t>CRM</t>
        </is>
      </c>
      <c r="F4689" s="6" t="inlineStr">
        <is>
          <t>-</t>
        </is>
      </c>
      <c r="G4689" s="7" t="n">
        <v>229.0032043457031</v>
      </c>
      <c r="H4689" s="6">
        <f>P4658</f>
        <v/>
      </c>
      <c r="I4689" s="9">
        <f>Q4658</f>
        <v/>
      </c>
      <c r="J4689" s="7">
        <f>I4689*G4689</f>
        <v/>
      </c>
      <c r="K4689" s="8">
        <f>IF($J$4713=0,0,J4689/$J$4713)</f>
        <v/>
      </c>
      <c r="L4689" s="6" t="inlineStr">
        <is>
          <t>REJECTED</t>
        </is>
      </c>
      <c r="M4689" s="8" t="n">
        <v>0</v>
      </c>
      <c r="N4689" s="7">
        <f>M4689*$J$4713-J4689</f>
        <v/>
      </c>
      <c r="O4689" s="9">
        <f>IF(G4689=0,0,N4689/G4689)</f>
        <v/>
      </c>
      <c r="P4689" s="6">
        <f>IF(M4689&gt;0,D4689,"")</f>
        <v/>
      </c>
      <c r="Q4689" s="9">
        <f>I4689+O4689</f>
        <v/>
      </c>
      <c r="R4689" s="7">
        <f>Q4689*G4689</f>
        <v/>
      </c>
      <c r="S4689" s="8">
        <f>IF($R$4713=0,0,R4689/$R$4713)</f>
        <v/>
      </c>
      <c r="T4689" s="8" t="n">
        <v>0.0269990363582604</v>
      </c>
      <c r="U4689" s="8" t="n">
        <v>0.03158439629611465</v>
      </c>
      <c r="V4689" s="6" t="inlineStr">
        <is>
          <t>not selected</t>
        </is>
      </c>
    </row>
    <row r="4690">
      <c r="A4690" s="6" t="inlineStr">
        <is>
          <t>DJ30</t>
        </is>
      </c>
      <c r="B4690" s="6" t="inlineStr">
        <is>
          <t>2025-11-28</t>
        </is>
      </c>
      <c r="C4690" s="6" t="inlineStr">
        <is>
          <t>DIA</t>
        </is>
      </c>
      <c r="D4690" s="6" t="inlineStr">
        <is>
          <t>CSCO</t>
        </is>
      </c>
      <c r="E4690" s="6" t="inlineStr">
        <is>
          <t>CSCO</t>
        </is>
      </c>
      <c r="F4690" s="6" t="inlineStr">
        <is>
          <t>-</t>
        </is>
      </c>
      <c r="G4690" s="7" t="n">
        <v>76.11802673339844</v>
      </c>
      <c r="H4690" s="6">
        <f>P4659</f>
        <v/>
      </c>
      <c r="I4690" s="9">
        <f>Q4659</f>
        <v/>
      </c>
      <c r="J4690" s="7">
        <f>I4690*G4690</f>
        <v/>
      </c>
      <c r="K4690" s="8">
        <f>IF($J$4713=0,0,J4690/$J$4713)</f>
        <v/>
      </c>
      <c r="L4690" s="6" t="inlineStr">
        <is>
          <t>SELECTED</t>
        </is>
      </c>
      <c r="M4690" s="8" t="n">
        <v>0.2</v>
      </c>
      <c r="N4690" s="7">
        <f>M4690*$J$4713-J4690</f>
        <v/>
      </c>
      <c r="O4690" s="9">
        <f>IF(G4690=0,0,N4690/G4690)</f>
        <v/>
      </c>
      <c r="P4690" s="6">
        <f>IF(M4690&gt;0,D4690,"")</f>
        <v/>
      </c>
      <c r="Q4690" s="9">
        <f>I4690+O4690</f>
        <v/>
      </c>
      <c r="R4690" s="7">
        <f>Q4690*G4690</f>
        <v/>
      </c>
      <c r="S4690" s="8">
        <f>IF($R$4713=0,0,R4690/$R$4713)</f>
        <v/>
      </c>
      <c r="T4690" s="8" t="n">
        <v>0.0269990363582604</v>
      </c>
      <c r="U4690" s="8" t="n">
        <v>0.03158439629611465</v>
      </c>
      <c r="V4690" s="6" t="inlineStr">
        <is>
          <t>remained in weekly selection</t>
        </is>
      </c>
    </row>
    <row r="4691">
      <c r="A4691" s="6" t="inlineStr">
        <is>
          <t>DJ30</t>
        </is>
      </c>
      <c r="B4691" s="6" t="inlineStr">
        <is>
          <t>2025-11-28</t>
        </is>
      </c>
      <c r="C4691" s="6" t="inlineStr">
        <is>
          <t>DIA</t>
        </is>
      </c>
      <c r="D4691" s="6" t="inlineStr">
        <is>
          <t>CVX</t>
        </is>
      </c>
      <c r="E4691" s="6" t="inlineStr">
        <is>
          <t>CVX</t>
        </is>
      </c>
      <c r="F4691" s="6" t="inlineStr">
        <is>
          <t>-</t>
        </is>
      </c>
      <c r="G4691" s="7" t="n">
        <v>148.3075408935547</v>
      </c>
      <c r="H4691" s="6">
        <f>P4660</f>
        <v/>
      </c>
      <c r="I4691" s="9">
        <f>Q4660</f>
        <v/>
      </c>
      <c r="J4691" s="7">
        <f>I4691*G4691</f>
        <v/>
      </c>
      <c r="K4691" s="8">
        <f>IF($J$4713=0,0,J4691/$J$4713)</f>
        <v/>
      </c>
      <c r="L4691" s="6" t="inlineStr">
        <is>
          <t>REJECTED</t>
        </is>
      </c>
      <c r="M4691" s="8" t="n">
        <v>0</v>
      </c>
      <c r="N4691" s="7">
        <f>M4691*$J$4713-J4691</f>
        <v/>
      </c>
      <c r="O4691" s="9">
        <f>IF(G4691=0,0,N4691/G4691)</f>
        <v/>
      </c>
      <c r="P4691" s="6">
        <f>IF(M4691&gt;0,D4691,"")</f>
        <v/>
      </c>
      <c r="Q4691" s="9">
        <f>I4691+O4691</f>
        <v/>
      </c>
      <c r="R4691" s="7">
        <f>Q4691*G4691</f>
        <v/>
      </c>
      <c r="S4691" s="8">
        <f>IF($R$4713=0,0,R4691/$R$4713)</f>
        <v/>
      </c>
      <c r="T4691" s="8" t="n">
        <v>0.0269990363582604</v>
      </c>
      <c r="U4691" s="8" t="n">
        <v>0.03158439629611465</v>
      </c>
      <c r="V4691" s="6" t="inlineStr">
        <is>
          <t>not selected</t>
        </is>
      </c>
    </row>
    <row r="4692">
      <c r="A4692" s="6" t="inlineStr">
        <is>
          <t>DJ30</t>
        </is>
      </c>
      <c r="B4692" s="6" t="inlineStr">
        <is>
          <t>2025-11-28</t>
        </is>
      </c>
      <c r="C4692" s="6" t="inlineStr">
        <is>
          <t>DIA</t>
        </is>
      </c>
      <c r="D4692" s="6" t="inlineStr">
        <is>
          <t>DIS</t>
        </is>
      </c>
      <c r="E4692" s="6" t="inlineStr">
        <is>
          <t>DIS</t>
        </is>
      </c>
      <c r="F4692" s="6" t="inlineStr">
        <is>
          <t>-</t>
        </is>
      </c>
      <c r="G4692" s="7" t="n">
        <v>103.7679214477539</v>
      </c>
      <c r="H4692" s="6">
        <f>P4661</f>
        <v/>
      </c>
      <c r="I4692" s="9">
        <f>Q4661</f>
        <v/>
      </c>
      <c r="J4692" s="7">
        <f>I4692*G4692</f>
        <v/>
      </c>
      <c r="K4692" s="8">
        <f>IF($J$4713=0,0,J4692/$J$4713)</f>
        <v/>
      </c>
      <c r="L4692" s="6" t="inlineStr">
        <is>
          <t>REJECTED</t>
        </is>
      </c>
      <c r="M4692" s="8" t="n">
        <v>0</v>
      </c>
      <c r="N4692" s="7">
        <f>M4692*$J$4713-J4692</f>
        <v/>
      </c>
      <c r="O4692" s="9">
        <f>IF(G4692=0,0,N4692/G4692)</f>
        <v/>
      </c>
      <c r="P4692" s="6">
        <f>IF(M4692&gt;0,D4692,"")</f>
        <v/>
      </c>
      <c r="Q4692" s="9">
        <f>I4692+O4692</f>
        <v/>
      </c>
      <c r="R4692" s="7">
        <f>Q4692*G4692</f>
        <v/>
      </c>
      <c r="S4692" s="8">
        <f>IF($R$4713=0,0,R4692/$R$4713)</f>
        <v/>
      </c>
      <c r="T4692" s="8" t="n">
        <v>0.0269990363582604</v>
      </c>
      <c r="U4692" s="8" t="n">
        <v>0.03158439629611465</v>
      </c>
      <c r="V4692" s="6" t="inlineStr">
        <is>
          <t>not selected</t>
        </is>
      </c>
    </row>
    <row r="4693">
      <c r="A4693" s="6" t="inlineStr">
        <is>
          <t>DJ30</t>
        </is>
      </c>
      <c r="B4693" s="6" t="inlineStr">
        <is>
          <t>2025-11-28</t>
        </is>
      </c>
      <c r="C4693" s="6" t="inlineStr">
        <is>
          <t>DIA</t>
        </is>
      </c>
      <c r="D4693" s="6" t="inlineStr">
        <is>
          <t>GS</t>
        </is>
      </c>
      <c r="E4693" s="6" t="inlineStr">
        <is>
          <t>GS</t>
        </is>
      </c>
      <c r="F4693" s="6" t="inlineStr">
        <is>
          <t>-</t>
        </is>
      </c>
      <c r="G4693" s="7" t="n">
        <v>814.0741577148438</v>
      </c>
      <c r="H4693" s="6">
        <f>P4662</f>
        <v/>
      </c>
      <c r="I4693" s="9">
        <f>Q4662</f>
        <v/>
      </c>
      <c r="J4693" s="7">
        <f>I4693*G4693</f>
        <v/>
      </c>
      <c r="K4693" s="8">
        <f>IF($J$4713=0,0,J4693/$J$4713)</f>
        <v/>
      </c>
      <c r="L4693" s="6" t="inlineStr">
        <is>
          <t>SELECTED</t>
        </is>
      </c>
      <c r="M4693" s="8" t="n">
        <v>0.2</v>
      </c>
      <c r="N4693" s="7">
        <f>M4693*$J$4713-J4693</f>
        <v/>
      </c>
      <c r="O4693" s="9">
        <f>IF(G4693=0,0,N4693/G4693)</f>
        <v/>
      </c>
      <c r="P4693" s="6">
        <f>IF(M4693&gt;0,D4693,"")</f>
        <v/>
      </c>
      <c r="Q4693" s="9">
        <f>I4693+O4693</f>
        <v/>
      </c>
      <c r="R4693" s="7">
        <f>Q4693*G4693</f>
        <v/>
      </c>
      <c r="S4693" s="8">
        <f>IF($R$4713=0,0,R4693/$R$4713)</f>
        <v/>
      </c>
      <c r="T4693" s="8" t="n">
        <v>0.0269990363582604</v>
      </c>
      <c r="U4693" s="8" t="n">
        <v>0.03158439629611465</v>
      </c>
      <c r="V4693" s="6" t="inlineStr">
        <is>
          <t>remained in weekly selection</t>
        </is>
      </c>
    </row>
    <row r="4694">
      <c r="A4694" s="6" t="inlineStr">
        <is>
          <t>DJ30</t>
        </is>
      </c>
      <c r="B4694" s="6" t="inlineStr">
        <is>
          <t>2025-11-28</t>
        </is>
      </c>
      <c r="C4694" s="6" t="inlineStr">
        <is>
          <t>DIA</t>
        </is>
      </c>
      <c r="D4694" s="6" t="inlineStr">
        <is>
          <t>HD</t>
        </is>
      </c>
      <c r="E4694" s="6" t="inlineStr">
        <is>
          <t>HD</t>
        </is>
      </c>
      <c r="F4694" s="6" t="inlineStr">
        <is>
          <t>-</t>
        </is>
      </c>
      <c r="G4694" s="7" t="n">
        <v>349.6486206054688</v>
      </c>
      <c r="H4694" s="6">
        <f>P4663</f>
        <v/>
      </c>
      <c r="I4694" s="9">
        <f>Q4663</f>
        <v/>
      </c>
      <c r="J4694" s="7">
        <f>I4694*G4694</f>
        <v/>
      </c>
      <c r="K4694" s="8">
        <f>IF($J$4713=0,0,J4694/$J$4713)</f>
        <v/>
      </c>
      <c r="L4694" s="6" t="inlineStr">
        <is>
          <t>REJECTED</t>
        </is>
      </c>
      <c r="M4694" s="8" t="n">
        <v>0</v>
      </c>
      <c r="N4694" s="7">
        <f>M4694*$J$4713-J4694</f>
        <v/>
      </c>
      <c r="O4694" s="9">
        <f>IF(G4694=0,0,N4694/G4694)</f>
        <v/>
      </c>
      <c r="P4694" s="6">
        <f>IF(M4694&gt;0,D4694,"")</f>
        <v/>
      </c>
      <c r="Q4694" s="9">
        <f>I4694+O4694</f>
        <v/>
      </c>
      <c r="R4694" s="7">
        <f>Q4694*G4694</f>
        <v/>
      </c>
      <c r="S4694" s="8">
        <f>IF($R$4713=0,0,R4694/$R$4713)</f>
        <v/>
      </c>
      <c r="T4694" s="8" t="n">
        <v>0.0269990363582604</v>
      </c>
      <c r="U4694" s="8" t="n">
        <v>0.03158439629611465</v>
      </c>
      <c r="V4694" s="6" t="inlineStr">
        <is>
          <t>not selected</t>
        </is>
      </c>
    </row>
    <row r="4695">
      <c r="A4695" s="6" t="inlineStr">
        <is>
          <t>DJ30</t>
        </is>
      </c>
      <c r="B4695" s="6" t="inlineStr">
        <is>
          <t>2025-11-28</t>
        </is>
      </c>
      <c r="C4695" s="6" t="inlineStr">
        <is>
          <t>DIA</t>
        </is>
      </c>
      <c r="D4695" s="6" t="inlineStr">
        <is>
          <t>HON</t>
        </is>
      </c>
      <c r="E4695" s="6" t="inlineStr">
        <is>
          <t>HON</t>
        </is>
      </c>
      <c r="F4695" s="6" t="inlineStr">
        <is>
          <t>-</t>
        </is>
      </c>
      <c r="G4695" s="7" t="n">
        <v>190.1952667236328</v>
      </c>
      <c r="H4695" s="6">
        <f>P4664</f>
        <v/>
      </c>
      <c r="I4695" s="9">
        <f>Q4664</f>
        <v/>
      </c>
      <c r="J4695" s="7">
        <f>I4695*G4695</f>
        <v/>
      </c>
      <c r="K4695" s="8">
        <f>IF($J$4713=0,0,J4695/$J$4713)</f>
        <v/>
      </c>
      <c r="L4695" s="6" t="inlineStr">
        <is>
          <t>REJECTED</t>
        </is>
      </c>
      <c r="M4695" s="8" t="n">
        <v>0</v>
      </c>
      <c r="N4695" s="7">
        <f>M4695*$J$4713-J4695</f>
        <v/>
      </c>
      <c r="O4695" s="9">
        <f>IF(G4695=0,0,N4695/G4695)</f>
        <v/>
      </c>
      <c r="P4695" s="6">
        <f>IF(M4695&gt;0,D4695,"")</f>
        <v/>
      </c>
      <c r="Q4695" s="9">
        <f>I4695+O4695</f>
        <v/>
      </c>
      <c r="R4695" s="7">
        <f>Q4695*G4695</f>
        <v/>
      </c>
      <c r="S4695" s="8">
        <f>IF($R$4713=0,0,R4695/$R$4713)</f>
        <v/>
      </c>
      <c r="T4695" s="8" t="n">
        <v>0.0269990363582604</v>
      </c>
      <c r="U4695" s="8" t="n">
        <v>0.03158439629611465</v>
      </c>
      <c r="V4695" s="6" t="inlineStr">
        <is>
          <t>not selected</t>
        </is>
      </c>
    </row>
    <row r="4696">
      <c r="A4696" s="6" t="inlineStr">
        <is>
          <t>DJ30</t>
        </is>
      </c>
      <c r="B4696" s="6" t="inlineStr">
        <is>
          <t>2025-11-28</t>
        </is>
      </c>
      <c r="C4696" s="6" t="inlineStr">
        <is>
          <t>DIA</t>
        </is>
      </c>
      <c r="D4696" s="6" t="inlineStr">
        <is>
          <t>IBM</t>
        </is>
      </c>
      <c r="E4696" s="6" t="inlineStr">
        <is>
          <t>IBM</t>
        </is>
      </c>
      <c r="F4696" s="6" t="inlineStr">
        <is>
          <t>-</t>
        </is>
      </c>
      <c r="G4696" s="7" t="n">
        <v>304.5888366699219</v>
      </c>
      <c r="H4696" s="6">
        <f>P4665</f>
        <v/>
      </c>
      <c r="I4696" s="9">
        <f>Q4665</f>
        <v/>
      </c>
      <c r="J4696" s="7">
        <f>I4696*G4696</f>
        <v/>
      </c>
      <c r="K4696" s="8">
        <f>IF($J$4713=0,0,J4696/$J$4713)</f>
        <v/>
      </c>
      <c r="L4696" s="6" t="inlineStr">
        <is>
          <t>WATCHLIST</t>
        </is>
      </c>
      <c r="M4696" s="8" t="n">
        <v>0</v>
      </c>
      <c r="N4696" s="7">
        <f>M4696*$J$4713-J4696</f>
        <v/>
      </c>
      <c r="O4696" s="9">
        <f>IF(G4696=0,0,N4696/G4696)</f>
        <v/>
      </c>
      <c r="P4696" s="6">
        <f>IF(M4696&gt;0,D4696,"")</f>
        <v/>
      </c>
      <c r="Q4696" s="9">
        <f>I4696+O4696</f>
        <v/>
      </c>
      <c r="R4696" s="7">
        <f>Q4696*G4696</f>
        <v/>
      </c>
      <c r="S4696" s="8">
        <f>IF($R$4713=0,0,R4696/$R$4713)</f>
        <v/>
      </c>
      <c r="T4696" s="8" t="n">
        <v>0.0269990363582604</v>
      </c>
      <c r="U4696" s="8" t="n">
        <v>0.03158439629611465</v>
      </c>
      <c r="V4696" s="6" t="inlineStr">
        <is>
          <t>not selected</t>
        </is>
      </c>
    </row>
    <row r="4697">
      <c r="A4697" s="6" t="inlineStr">
        <is>
          <t>DJ30</t>
        </is>
      </c>
      <c r="B4697" s="6" t="inlineStr">
        <is>
          <t>2025-11-28</t>
        </is>
      </c>
      <c r="C4697" s="6" t="inlineStr">
        <is>
          <t>DIA</t>
        </is>
      </c>
      <c r="D4697" s="6" t="inlineStr">
        <is>
          <t>JNJ</t>
        </is>
      </c>
      <c r="E4697" s="6" t="inlineStr">
        <is>
          <t>JNJ</t>
        </is>
      </c>
      <c r="F4697" s="6" t="inlineStr">
        <is>
          <t>-</t>
        </is>
      </c>
      <c r="G4697" s="7" t="n">
        <v>204.6488647460937</v>
      </c>
      <c r="H4697" s="6">
        <f>P4666</f>
        <v/>
      </c>
      <c r="I4697" s="9">
        <f>Q4666</f>
        <v/>
      </c>
      <c r="J4697" s="7">
        <f>I4697*G4697</f>
        <v/>
      </c>
      <c r="K4697" s="8">
        <f>IF($J$4713=0,0,J4697/$J$4713)</f>
        <v/>
      </c>
      <c r="L4697" s="6" t="inlineStr">
        <is>
          <t>SELECTED</t>
        </is>
      </c>
      <c r="M4697" s="8" t="n">
        <v>0.2</v>
      </c>
      <c r="N4697" s="7">
        <f>M4697*$J$4713-J4697</f>
        <v/>
      </c>
      <c r="O4697" s="9">
        <f>IF(G4697=0,0,N4697/G4697)</f>
        <v/>
      </c>
      <c r="P4697" s="6">
        <f>IF(M4697&gt;0,D4697,"")</f>
        <v/>
      </c>
      <c r="Q4697" s="9">
        <f>I4697+O4697</f>
        <v/>
      </c>
      <c r="R4697" s="7">
        <f>Q4697*G4697</f>
        <v/>
      </c>
      <c r="S4697" s="8">
        <f>IF($R$4713=0,0,R4697/$R$4713)</f>
        <v/>
      </c>
      <c r="T4697" s="8" t="n">
        <v>0.0269990363582604</v>
      </c>
      <c r="U4697" s="8" t="n">
        <v>0.03158439629611465</v>
      </c>
      <c r="V4697" s="6" t="inlineStr">
        <is>
          <t>remained in weekly selection</t>
        </is>
      </c>
    </row>
    <row r="4698">
      <c r="A4698" s="6" t="inlineStr">
        <is>
          <t>DJ30</t>
        </is>
      </c>
      <c r="B4698" s="6" t="inlineStr">
        <is>
          <t>2025-11-28</t>
        </is>
      </c>
      <c r="C4698" s="6" t="inlineStr">
        <is>
          <t>DIA</t>
        </is>
      </c>
      <c r="D4698" s="6" t="inlineStr">
        <is>
          <t>JPM</t>
        </is>
      </c>
      <c r="E4698" s="6" t="inlineStr">
        <is>
          <t>JPM</t>
        </is>
      </c>
      <c r="F4698" s="6" t="inlineStr">
        <is>
          <t>-</t>
        </is>
      </c>
      <c r="G4698" s="7" t="n">
        <v>310.0871887207031</v>
      </c>
      <c r="H4698" s="6">
        <f>P4667</f>
        <v/>
      </c>
      <c r="I4698" s="9">
        <f>Q4667</f>
        <v/>
      </c>
      <c r="J4698" s="7">
        <f>I4698*G4698</f>
        <v/>
      </c>
      <c r="K4698" s="8">
        <f>IF($J$4713=0,0,J4698/$J$4713)</f>
        <v/>
      </c>
      <c r="L4698" s="6" t="inlineStr">
        <is>
          <t>WATCHLIST</t>
        </is>
      </c>
      <c r="M4698" s="8" t="n">
        <v>0</v>
      </c>
      <c r="N4698" s="7">
        <f>M4698*$J$4713-J4698</f>
        <v/>
      </c>
      <c r="O4698" s="9">
        <f>IF(G4698=0,0,N4698/G4698)</f>
        <v/>
      </c>
      <c r="P4698" s="6">
        <f>IF(M4698&gt;0,D4698,"")</f>
        <v/>
      </c>
      <c r="Q4698" s="9">
        <f>I4698+O4698</f>
        <v/>
      </c>
      <c r="R4698" s="7">
        <f>Q4698*G4698</f>
        <v/>
      </c>
      <c r="S4698" s="8">
        <f>IF($R$4713=0,0,R4698/$R$4713)</f>
        <v/>
      </c>
      <c r="T4698" s="8" t="n">
        <v>0.0269990363582604</v>
      </c>
      <c r="U4698" s="8" t="n">
        <v>0.03158439629611465</v>
      </c>
      <c r="V4698" s="6" t="inlineStr">
        <is>
          <t>not selected</t>
        </is>
      </c>
    </row>
    <row r="4699">
      <c r="A4699" s="6" t="inlineStr">
        <is>
          <t>DJ30</t>
        </is>
      </c>
      <c r="B4699" s="6" t="inlineStr">
        <is>
          <t>2025-11-28</t>
        </is>
      </c>
      <c r="C4699" s="6" t="inlineStr">
        <is>
          <t>DIA</t>
        </is>
      </c>
      <c r="D4699" s="6" t="inlineStr">
        <is>
          <t>KO</t>
        </is>
      </c>
      <c r="E4699" s="6" t="inlineStr">
        <is>
          <t>KO</t>
        </is>
      </c>
      <c r="F4699" s="6" t="inlineStr">
        <is>
          <t>-</t>
        </is>
      </c>
      <c r="G4699" s="7" t="n">
        <v>71.65155029296875</v>
      </c>
      <c r="H4699" s="6">
        <f>P4668</f>
        <v/>
      </c>
      <c r="I4699" s="9">
        <f>Q4668</f>
        <v/>
      </c>
      <c r="J4699" s="7">
        <f>I4699*G4699</f>
        <v/>
      </c>
      <c r="K4699" s="8">
        <f>IF($J$4713=0,0,J4699/$J$4713)</f>
        <v/>
      </c>
      <c r="L4699" s="6" t="inlineStr">
        <is>
          <t>WATCHLIST</t>
        </is>
      </c>
      <c r="M4699" s="8" t="n">
        <v>0</v>
      </c>
      <c r="N4699" s="7">
        <f>M4699*$J$4713-J4699</f>
        <v/>
      </c>
      <c r="O4699" s="9">
        <f>IF(G4699=0,0,N4699/G4699)</f>
        <v/>
      </c>
      <c r="P4699" s="6">
        <f>IF(M4699&gt;0,D4699,"")</f>
        <v/>
      </c>
      <c r="Q4699" s="9">
        <f>I4699+O4699</f>
        <v/>
      </c>
      <c r="R4699" s="7">
        <f>Q4699*G4699</f>
        <v/>
      </c>
      <c r="S4699" s="8">
        <f>IF($R$4713=0,0,R4699/$R$4713)</f>
        <v/>
      </c>
      <c r="T4699" s="8" t="n">
        <v>0.0269990363582604</v>
      </c>
      <c r="U4699" s="8" t="n">
        <v>0.03158439629611465</v>
      </c>
      <c r="V4699" s="6" t="inlineStr">
        <is>
          <t>not selected</t>
        </is>
      </c>
    </row>
    <row r="4700">
      <c r="A4700" s="6" t="inlineStr">
        <is>
          <t>DJ30</t>
        </is>
      </c>
      <c r="B4700" s="6" t="inlineStr">
        <is>
          <t>2025-11-28</t>
        </is>
      </c>
      <c r="C4700" s="6" t="inlineStr">
        <is>
          <t>DIA</t>
        </is>
      </c>
      <c r="D4700" s="6" t="inlineStr">
        <is>
          <t>MCD</t>
        </is>
      </c>
      <c r="E4700" s="6" t="inlineStr">
        <is>
          <t>MCD</t>
        </is>
      </c>
      <c r="F4700" s="6" t="inlineStr">
        <is>
          <t>-</t>
        </is>
      </c>
      <c r="G4700" s="7" t="n">
        <v>306.1616516113281</v>
      </c>
      <c r="H4700" s="6">
        <f>P4669</f>
        <v/>
      </c>
      <c r="I4700" s="9">
        <f>Q4669</f>
        <v/>
      </c>
      <c r="J4700" s="7">
        <f>I4700*G4700</f>
        <v/>
      </c>
      <c r="K4700" s="8">
        <f>IF($J$4713=0,0,J4700/$J$4713)</f>
        <v/>
      </c>
      <c r="L4700" s="6" t="inlineStr">
        <is>
          <t>REJECTED</t>
        </is>
      </c>
      <c r="M4700" s="8" t="n">
        <v>0</v>
      </c>
      <c r="N4700" s="7">
        <f>M4700*$J$4713-J4700</f>
        <v/>
      </c>
      <c r="O4700" s="9">
        <f>IF(G4700=0,0,N4700/G4700)</f>
        <v/>
      </c>
      <c r="P4700" s="6">
        <f>IF(M4700&gt;0,D4700,"")</f>
        <v/>
      </c>
      <c r="Q4700" s="9">
        <f>I4700+O4700</f>
        <v/>
      </c>
      <c r="R4700" s="7">
        <f>Q4700*G4700</f>
        <v/>
      </c>
      <c r="S4700" s="8">
        <f>IF($R$4713=0,0,R4700/$R$4713)</f>
        <v/>
      </c>
      <c r="T4700" s="8" t="n">
        <v>0.0269990363582604</v>
      </c>
      <c r="U4700" s="8" t="n">
        <v>0.03158439629611465</v>
      </c>
      <c r="V4700" s="6" t="inlineStr">
        <is>
          <t>not selected</t>
        </is>
      </c>
    </row>
    <row r="4701">
      <c r="A4701" s="6" t="inlineStr">
        <is>
          <t>DJ30</t>
        </is>
      </c>
      <c r="B4701" s="6" t="inlineStr">
        <is>
          <t>2025-11-28</t>
        </is>
      </c>
      <c r="C4701" s="6" t="inlineStr">
        <is>
          <t>DIA</t>
        </is>
      </c>
      <c r="D4701" s="6" t="inlineStr">
        <is>
          <t>MMM</t>
        </is>
      </c>
      <c r="E4701" s="6" t="inlineStr">
        <is>
          <t>MMM</t>
        </is>
      </c>
      <c r="F4701" s="6" t="inlineStr">
        <is>
          <t>-</t>
        </is>
      </c>
      <c r="G4701" s="7" t="n">
        <v>170.4001770019531</v>
      </c>
      <c r="H4701" s="6">
        <f>P4670</f>
        <v/>
      </c>
      <c r="I4701" s="9">
        <f>Q4670</f>
        <v/>
      </c>
      <c r="J4701" s="7">
        <f>I4701*G4701</f>
        <v/>
      </c>
      <c r="K4701" s="8">
        <f>IF($J$4713=0,0,J4701/$J$4713)</f>
        <v/>
      </c>
      <c r="L4701" s="6" t="inlineStr">
        <is>
          <t>WATCHLIST</t>
        </is>
      </c>
      <c r="M4701" s="8" t="n">
        <v>0</v>
      </c>
      <c r="N4701" s="7">
        <f>M4701*$J$4713-J4701</f>
        <v/>
      </c>
      <c r="O4701" s="9">
        <f>IF(G4701=0,0,N4701/G4701)</f>
        <v/>
      </c>
      <c r="P4701" s="6">
        <f>IF(M4701&gt;0,D4701,"")</f>
        <v/>
      </c>
      <c r="Q4701" s="9">
        <f>I4701+O4701</f>
        <v/>
      </c>
      <c r="R4701" s="7">
        <f>Q4701*G4701</f>
        <v/>
      </c>
      <c r="S4701" s="8">
        <f>IF($R$4713=0,0,R4701/$R$4713)</f>
        <v/>
      </c>
      <c r="T4701" s="8" t="n">
        <v>0.0269990363582604</v>
      </c>
      <c r="U4701" s="8" t="n">
        <v>0.03158439629611465</v>
      </c>
      <c r="V4701" s="6" t="inlineStr">
        <is>
          <t>not selected</t>
        </is>
      </c>
    </row>
    <row r="4702">
      <c r="A4702" s="6" t="inlineStr">
        <is>
          <t>DJ30</t>
        </is>
      </c>
      <c r="B4702" s="6" t="inlineStr">
        <is>
          <t>2025-11-28</t>
        </is>
      </c>
      <c r="C4702" s="6" t="inlineStr">
        <is>
          <t>DIA</t>
        </is>
      </c>
      <c r="D4702" s="6" t="inlineStr">
        <is>
          <t>MRK</t>
        </is>
      </c>
      <c r="E4702" s="6" t="inlineStr">
        <is>
          <t>MRK</t>
        </is>
      </c>
      <c r="F4702" s="6" t="inlineStr">
        <is>
          <t>-</t>
        </is>
      </c>
      <c r="G4702" s="7" t="n">
        <v>102.4407272338867</v>
      </c>
      <c r="H4702" s="6">
        <f>P4671</f>
        <v/>
      </c>
      <c r="I4702" s="9">
        <f>Q4671</f>
        <v/>
      </c>
      <c r="J4702" s="7">
        <f>I4702*G4702</f>
        <v/>
      </c>
      <c r="K4702" s="8">
        <f>IF($J$4713=0,0,J4702/$J$4713)</f>
        <v/>
      </c>
      <c r="L4702" s="6" t="inlineStr">
        <is>
          <t>REJECTED</t>
        </is>
      </c>
      <c r="M4702" s="8" t="n">
        <v>0</v>
      </c>
      <c r="N4702" s="7">
        <f>M4702*$J$4713-J4702</f>
        <v/>
      </c>
      <c r="O4702" s="9">
        <f>IF(G4702=0,0,N4702/G4702)</f>
        <v/>
      </c>
      <c r="P4702" s="6">
        <f>IF(M4702&gt;0,D4702,"")</f>
        <v/>
      </c>
      <c r="Q4702" s="9">
        <f>I4702+O4702</f>
        <v/>
      </c>
      <c r="R4702" s="7">
        <f>Q4702*G4702</f>
        <v/>
      </c>
      <c r="S4702" s="8">
        <f>IF($R$4713=0,0,R4702/$R$4713)</f>
        <v/>
      </c>
      <c r="T4702" s="8" t="n">
        <v>0.0269990363582604</v>
      </c>
      <c r="U4702" s="8" t="n">
        <v>0.03158439629611465</v>
      </c>
      <c r="V4702" s="6" t="inlineStr">
        <is>
          <t>not selected</t>
        </is>
      </c>
    </row>
    <row r="4703">
      <c r="A4703" s="6" t="inlineStr">
        <is>
          <t>DJ30</t>
        </is>
      </c>
      <c r="B4703" s="6" t="inlineStr">
        <is>
          <t>2025-11-28</t>
        </is>
      </c>
      <c r="C4703" s="6" t="inlineStr">
        <is>
          <t>DIA</t>
        </is>
      </c>
      <c r="D4703" s="6" t="inlineStr">
        <is>
          <t>MSFT</t>
        </is>
      </c>
      <c r="E4703" s="6" t="inlineStr">
        <is>
          <t>MSFT</t>
        </is>
      </c>
      <c r="F4703" s="6" t="inlineStr">
        <is>
          <t>-</t>
        </is>
      </c>
      <c r="G4703" s="7" t="n">
        <v>489.8286743164063</v>
      </c>
      <c r="H4703" s="6">
        <f>P4672</f>
        <v/>
      </c>
      <c r="I4703" s="9">
        <f>Q4672</f>
        <v/>
      </c>
      <c r="J4703" s="7">
        <f>I4703*G4703</f>
        <v/>
      </c>
      <c r="K4703" s="8">
        <f>IF($J$4713=0,0,J4703/$J$4713)</f>
        <v/>
      </c>
      <c r="L4703" s="6" t="inlineStr">
        <is>
          <t>WATCHLIST</t>
        </is>
      </c>
      <c r="M4703" s="8" t="n">
        <v>0</v>
      </c>
      <c r="N4703" s="7">
        <f>M4703*$J$4713-J4703</f>
        <v/>
      </c>
      <c r="O4703" s="9">
        <f>IF(G4703=0,0,N4703/G4703)</f>
        <v/>
      </c>
      <c r="P4703" s="6">
        <f>IF(M4703&gt;0,D4703,"")</f>
        <v/>
      </c>
      <c r="Q4703" s="9">
        <f>I4703+O4703</f>
        <v/>
      </c>
      <c r="R4703" s="7">
        <f>Q4703*G4703</f>
        <v/>
      </c>
      <c r="S4703" s="8">
        <f>IF($R$4713=0,0,R4703/$R$4713)</f>
        <v/>
      </c>
      <c r="T4703" s="8" t="n">
        <v>0.0269990363582604</v>
      </c>
      <c r="U4703" s="8" t="n">
        <v>0.03158439629611465</v>
      </c>
      <c r="V4703" s="6" t="inlineStr">
        <is>
          <t>not selected</t>
        </is>
      </c>
    </row>
    <row r="4704">
      <c r="A4704" s="6" t="inlineStr">
        <is>
          <t>DJ30</t>
        </is>
      </c>
      <c r="B4704" s="6" t="inlineStr">
        <is>
          <t>2025-11-28</t>
        </is>
      </c>
      <c r="C4704" s="6" t="inlineStr">
        <is>
          <t>DIA</t>
        </is>
      </c>
      <c r="D4704" s="6" t="inlineStr">
        <is>
          <t>NKE</t>
        </is>
      </c>
      <c r="E4704" s="6" t="inlineStr">
        <is>
          <t>NKE</t>
        </is>
      </c>
      <c r="F4704" s="6" t="inlineStr">
        <is>
          <t>-</t>
        </is>
      </c>
      <c r="G4704" s="7" t="n">
        <v>63.23075866699219</v>
      </c>
      <c r="H4704" s="6">
        <f>P4673</f>
        <v/>
      </c>
      <c r="I4704" s="9">
        <f>Q4673</f>
        <v/>
      </c>
      <c r="J4704" s="7">
        <f>I4704*G4704</f>
        <v/>
      </c>
      <c r="K4704" s="8">
        <f>IF($J$4713=0,0,J4704/$J$4713)</f>
        <v/>
      </c>
      <c r="L4704" s="6" t="inlineStr">
        <is>
          <t>REJECTED</t>
        </is>
      </c>
      <c r="M4704" s="8" t="n">
        <v>0</v>
      </c>
      <c r="N4704" s="7">
        <f>M4704*$J$4713-J4704</f>
        <v/>
      </c>
      <c r="O4704" s="9">
        <f>IF(G4704=0,0,N4704/G4704)</f>
        <v/>
      </c>
      <c r="P4704" s="6">
        <f>IF(M4704&gt;0,D4704,"")</f>
        <v/>
      </c>
      <c r="Q4704" s="9">
        <f>I4704+O4704</f>
        <v/>
      </c>
      <c r="R4704" s="7">
        <f>Q4704*G4704</f>
        <v/>
      </c>
      <c r="S4704" s="8">
        <f>IF($R$4713=0,0,R4704/$R$4713)</f>
        <v/>
      </c>
      <c r="T4704" s="8" t="n">
        <v>0.0269990363582604</v>
      </c>
      <c r="U4704" s="8" t="n">
        <v>0.03158439629611465</v>
      </c>
      <c r="V4704" s="6" t="inlineStr">
        <is>
          <t>not selected</t>
        </is>
      </c>
    </row>
    <row r="4705">
      <c r="A4705" s="6" t="inlineStr">
        <is>
          <t>DJ30</t>
        </is>
      </c>
      <c r="B4705" s="6" t="inlineStr">
        <is>
          <t>2025-11-28</t>
        </is>
      </c>
      <c r="C4705" s="6" t="inlineStr">
        <is>
          <t>DIA</t>
        </is>
      </c>
      <c r="D4705" s="6" t="inlineStr">
        <is>
          <t>NVDA</t>
        </is>
      </c>
      <c r="E4705" s="6" t="inlineStr">
        <is>
          <t>NVDA</t>
        </is>
      </c>
      <c r="F4705" s="6" t="inlineStr">
        <is>
          <t>-</t>
        </is>
      </c>
      <c r="G4705" s="7" t="n">
        <v>176.7745361328125</v>
      </c>
      <c r="H4705" s="6">
        <f>P4674</f>
        <v/>
      </c>
      <c r="I4705" s="9">
        <f>Q4674</f>
        <v/>
      </c>
      <c r="J4705" s="7">
        <f>I4705*G4705</f>
        <v/>
      </c>
      <c r="K4705" s="8">
        <f>IF($J$4713=0,0,J4705/$J$4713)</f>
        <v/>
      </c>
      <c r="L4705" s="6" t="inlineStr">
        <is>
          <t>SELECTED</t>
        </is>
      </c>
      <c r="M4705" s="8" t="n">
        <v>0.2</v>
      </c>
      <c r="N4705" s="7">
        <f>M4705*$J$4713-J4705</f>
        <v/>
      </c>
      <c r="O4705" s="9">
        <f>IF(G4705=0,0,N4705/G4705)</f>
        <v/>
      </c>
      <c r="P4705" s="6">
        <f>IF(M4705&gt;0,D4705,"")</f>
        <v/>
      </c>
      <c r="Q4705" s="9">
        <f>I4705+O4705</f>
        <v/>
      </c>
      <c r="R4705" s="7">
        <f>Q4705*G4705</f>
        <v/>
      </c>
      <c r="S4705" s="8">
        <f>IF($R$4713=0,0,R4705/$R$4713)</f>
        <v/>
      </c>
      <c r="T4705" s="8" t="n">
        <v>0.0269990363582604</v>
      </c>
      <c r="U4705" s="8" t="n">
        <v>0.03158439629611465</v>
      </c>
      <c r="V4705" s="6" t="inlineStr">
        <is>
          <t>remained in weekly selection</t>
        </is>
      </c>
    </row>
    <row r="4706">
      <c r="A4706" s="6" t="inlineStr">
        <is>
          <t>DJ30</t>
        </is>
      </c>
      <c r="B4706" s="6" t="inlineStr">
        <is>
          <t>2025-11-28</t>
        </is>
      </c>
      <c r="C4706" s="6" t="inlineStr">
        <is>
          <t>DIA</t>
        </is>
      </c>
      <c r="D4706" s="6" t="inlineStr">
        <is>
          <t>PG</t>
        </is>
      </c>
      <c r="E4706" s="6" t="inlineStr">
        <is>
          <t>PG</t>
        </is>
      </c>
      <c r="F4706" s="6" t="inlineStr">
        <is>
          <t>-</t>
        </is>
      </c>
      <c r="G4706" s="7" t="n">
        <v>146.0159759521484</v>
      </c>
      <c r="H4706" s="6">
        <f>P4675</f>
        <v/>
      </c>
      <c r="I4706" s="9">
        <f>Q4675</f>
        <v/>
      </c>
      <c r="J4706" s="7">
        <f>I4706*G4706</f>
        <v/>
      </c>
      <c r="K4706" s="8">
        <f>IF($J$4713=0,0,J4706/$J$4713)</f>
        <v/>
      </c>
      <c r="L4706" s="6" t="inlineStr">
        <is>
          <t>REJECTED</t>
        </is>
      </c>
      <c r="M4706" s="8" t="n">
        <v>0</v>
      </c>
      <c r="N4706" s="7">
        <f>M4706*$J$4713-J4706</f>
        <v/>
      </c>
      <c r="O4706" s="9">
        <f>IF(G4706=0,0,N4706/G4706)</f>
        <v/>
      </c>
      <c r="P4706" s="6">
        <f>IF(M4706&gt;0,D4706,"")</f>
        <v/>
      </c>
      <c r="Q4706" s="9">
        <f>I4706+O4706</f>
        <v/>
      </c>
      <c r="R4706" s="7">
        <f>Q4706*G4706</f>
        <v/>
      </c>
      <c r="S4706" s="8">
        <f>IF($R$4713=0,0,R4706/$R$4713)</f>
        <v/>
      </c>
      <c r="T4706" s="8" t="n">
        <v>0.0269990363582604</v>
      </c>
      <c r="U4706" s="8" t="n">
        <v>0.03158439629611465</v>
      </c>
      <c r="V4706" s="6" t="inlineStr">
        <is>
          <t>not selected</t>
        </is>
      </c>
    </row>
    <row r="4707">
      <c r="A4707" s="6" t="inlineStr">
        <is>
          <t>DJ30</t>
        </is>
      </c>
      <c r="B4707" s="6" t="inlineStr">
        <is>
          <t>2025-11-28</t>
        </is>
      </c>
      <c r="C4707" s="6" t="inlineStr">
        <is>
          <t>DIA</t>
        </is>
      </c>
      <c r="D4707" s="6" t="inlineStr">
        <is>
          <t>SHW</t>
        </is>
      </c>
      <c r="E4707" s="6" t="inlineStr">
        <is>
          <t>SHW</t>
        </is>
      </c>
      <c r="F4707" s="6" t="inlineStr">
        <is>
          <t>-</t>
        </is>
      </c>
      <c r="G4707" s="7" t="n">
        <v>342.0448608398437</v>
      </c>
      <c r="H4707" s="6">
        <f>P4676</f>
        <v/>
      </c>
      <c r="I4707" s="9">
        <f>Q4676</f>
        <v/>
      </c>
      <c r="J4707" s="7">
        <f>I4707*G4707</f>
        <v/>
      </c>
      <c r="K4707" s="8">
        <f>IF($J$4713=0,0,J4707/$J$4713)</f>
        <v/>
      </c>
      <c r="L4707" s="6" t="inlineStr">
        <is>
          <t>REJECTED</t>
        </is>
      </c>
      <c r="M4707" s="8" t="n">
        <v>0</v>
      </c>
      <c r="N4707" s="7">
        <f>M4707*$J$4713-J4707</f>
        <v/>
      </c>
      <c r="O4707" s="9">
        <f>IF(G4707=0,0,N4707/G4707)</f>
        <v/>
      </c>
      <c r="P4707" s="6">
        <f>IF(M4707&gt;0,D4707,"")</f>
        <v/>
      </c>
      <c r="Q4707" s="9">
        <f>I4707+O4707</f>
        <v/>
      </c>
      <c r="R4707" s="7">
        <f>Q4707*G4707</f>
        <v/>
      </c>
      <c r="S4707" s="8">
        <f>IF($R$4713=0,0,R4707/$R$4713)</f>
        <v/>
      </c>
      <c r="T4707" s="8" t="n">
        <v>0.0269990363582604</v>
      </c>
      <c r="U4707" s="8" t="n">
        <v>0.03158439629611465</v>
      </c>
      <c r="V4707" s="6" t="inlineStr">
        <is>
          <t>not selected</t>
        </is>
      </c>
    </row>
    <row r="4708">
      <c r="A4708" s="6" t="inlineStr">
        <is>
          <t>DJ30</t>
        </is>
      </c>
      <c r="B4708" s="6" t="inlineStr">
        <is>
          <t>2025-11-28</t>
        </is>
      </c>
      <c r="C4708" s="6" t="inlineStr">
        <is>
          <t>DIA</t>
        </is>
      </c>
      <c r="D4708" s="6" t="inlineStr">
        <is>
          <t>TRV</t>
        </is>
      </c>
      <c r="E4708" s="6" t="inlineStr">
        <is>
          <t>TRV</t>
        </is>
      </c>
      <c r="F4708" s="6" t="inlineStr">
        <is>
          <t>-</t>
        </is>
      </c>
      <c r="G4708" s="7" t="n">
        <v>289.4376525878906</v>
      </c>
      <c r="H4708" s="6">
        <f>P4677</f>
        <v/>
      </c>
      <c r="I4708" s="9">
        <f>Q4677</f>
        <v/>
      </c>
      <c r="J4708" s="7">
        <f>I4708*G4708</f>
        <v/>
      </c>
      <c r="K4708" s="8">
        <f>IF($J$4713=0,0,J4708/$J$4713)</f>
        <v/>
      </c>
      <c r="L4708" s="6" t="inlineStr">
        <is>
          <t>WATCHLIST</t>
        </is>
      </c>
      <c r="M4708" s="8" t="n">
        <v>0</v>
      </c>
      <c r="N4708" s="7">
        <f>M4708*$J$4713-J4708</f>
        <v/>
      </c>
      <c r="O4708" s="9">
        <f>IF(G4708=0,0,N4708/G4708)</f>
        <v/>
      </c>
      <c r="P4708" s="6">
        <f>IF(M4708&gt;0,D4708,"")</f>
        <v/>
      </c>
      <c r="Q4708" s="9">
        <f>I4708+O4708</f>
        <v/>
      </c>
      <c r="R4708" s="7">
        <f>Q4708*G4708</f>
        <v/>
      </c>
      <c r="S4708" s="8">
        <f>IF($R$4713=0,0,R4708/$R$4713)</f>
        <v/>
      </c>
      <c r="T4708" s="8" t="n">
        <v>0.0269990363582604</v>
      </c>
      <c r="U4708" s="8" t="n">
        <v>0.03158439629611465</v>
      </c>
      <c r="V4708" s="6" t="inlineStr">
        <is>
          <t>not selected</t>
        </is>
      </c>
    </row>
    <row r="4709">
      <c r="A4709" s="6" t="inlineStr">
        <is>
          <t>DJ30</t>
        </is>
      </c>
      <c r="B4709" s="6" t="inlineStr">
        <is>
          <t>2025-11-28</t>
        </is>
      </c>
      <c r="C4709" s="6" t="inlineStr">
        <is>
          <t>DIA</t>
        </is>
      </c>
      <c r="D4709" s="6" t="inlineStr">
        <is>
          <t>UNH</t>
        </is>
      </c>
      <c r="E4709" s="6" t="inlineStr">
        <is>
          <t>UNH</t>
        </is>
      </c>
      <c r="F4709" s="6" t="inlineStr">
        <is>
          <t>-</t>
        </is>
      </c>
      <c r="G4709" s="7" t="n">
        <v>323.1947326660156</v>
      </c>
      <c r="H4709" s="6">
        <f>P4678</f>
        <v/>
      </c>
      <c r="I4709" s="9">
        <f>Q4678</f>
        <v/>
      </c>
      <c r="J4709" s="7">
        <f>I4709*G4709</f>
        <v/>
      </c>
      <c r="K4709" s="8">
        <f>IF($J$4713=0,0,J4709/$J$4713)</f>
        <v/>
      </c>
      <c r="L4709" s="6" t="inlineStr">
        <is>
          <t>REJECTED</t>
        </is>
      </c>
      <c r="M4709" s="8" t="n">
        <v>0</v>
      </c>
      <c r="N4709" s="7">
        <f>M4709*$J$4713-J4709</f>
        <v/>
      </c>
      <c r="O4709" s="9">
        <f>IF(G4709=0,0,N4709/G4709)</f>
        <v/>
      </c>
      <c r="P4709" s="6">
        <f>IF(M4709&gt;0,D4709,"")</f>
        <v/>
      </c>
      <c r="Q4709" s="9">
        <f>I4709+O4709</f>
        <v/>
      </c>
      <c r="R4709" s="7">
        <f>Q4709*G4709</f>
        <v/>
      </c>
      <c r="S4709" s="8">
        <f>IF($R$4713=0,0,R4709/$R$4713)</f>
        <v/>
      </c>
      <c r="T4709" s="8" t="n">
        <v>0.0269990363582604</v>
      </c>
      <c r="U4709" s="8" t="n">
        <v>0.03158439629611465</v>
      </c>
      <c r="V4709" s="6" t="inlineStr">
        <is>
          <t>not selected</t>
        </is>
      </c>
    </row>
    <row r="4710">
      <c r="A4710" s="6" t="inlineStr">
        <is>
          <t>DJ30</t>
        </is>
      </c>
      <c r="B4710" s="6" t="inlineStr">
        <is>
          <t>2025-11-28</t>
        </is>
      </c>
      <c r="C4710" s="6" t="inlineStr">
        <is>
          <t>DIA</t>
        </is>
      </c>
      <c r="D4710" s="6" t="inlineStr">
        <is>
          <t>V</t>
        </is>
      </c>
      <c r="E4710" s="6" t="inlineStr">
        <is>
          <t>V</t>
        </is>
      </c>
      <c r="F4710" s="6" t="inlineStr">
        <is>
          <t>-</t>
        </is>
      </c>
      <c r="G4710" s="7" t="n">
        <v>333.0613098144531</v>
      </c>
      <c r="H4710" s="6">
        <f>P4679</f>
        <v/>
      </c>
      <c r="I4710" s="9">
        <f>Q4679</f>
        <v/>
      </c>
      <c r="J4710" s="7">
        <f>I4710*G4710</f>
        <v/>
      </c>
      <c r="K4710" s="8">
        <f>IF($J$4713=0,0,J4710/$J$4713)</f>
        <v/>
      </c>
      <c r="L4710" s="6" t="inlineStr">
        <is>
          <t>REJECTED</t>
        </is>
      </c>
      <c r="M4710" s="8" t="n">
        <v>0</v>
      </c>
      <c r="N4710" s="7">
        <f>M4710*$J$4713-J4710</f>
        <v/>
      </c>
      <c r="O4710" s="9">
        <f>IF(G4710=0,0,N4710/G4710)</f>
        <v/>
      </c>
      <c r="P4710" s="6">
        <f>IF(M4710&gt;0,D4710,"")</f>
        <v/>
      </c>
      <c r="Q4710" s="9">
        <f>I4710+O4710</f>
        <v/>
      </c>
      <c r="R4710" s="7">
        <f>Q4710*G4710</f>
        <v/>
      </c>
      <c r="S4710" s="8">
        <f>IF($R$4713=0,0,R4710/$R$4713)</f>
        <v/>
      </c>
      <c r="T4710" s="8" t="n">
        <v>0.0269990363582604</v>
      </c>
      <c r="U4710" s="8" t="n">
        <v>0.03158439629611465</v>
      </c>
      <c r="V4710" s="6" t="inlineStr">
        <is>
          <t>not selected</t>
        </is>
      </c>
    </row>
    <row r="4711">
      <c r="A4711" s="6" t="inlineStr">
        <is>
          <t>DJ30</t>
        </is>
      </c>
      <c r="B4711" s="6" t="inlineStr">
        <is>
          <t>2025-11-28</t>
        </is>
      </c>
      <c r="C4711" s="6" t="inlineStr">
        <is>
          <t>DIA</t>
        </is>
      </c>
      <c r="D4711" s="6" t="inlineStr">
        <is>
          <t>VZ</t>
        </is>
      </c>
      <c r="E4711" s="6" t="inlineStr">
        <is>
          <t>VZ</t>
        </is>
      </c>
      <c r="F4711" s="6" t="inlineStr">
        <is>
          <t>-</t>
        </is>
      </c>
      <c r="G4711" s="7" t="n">
        <v>39.81014251708984</v>
      </c>
      <c r="H4711" s="6">
        <f>P4680</f>
        <v/>
      </c>
      <c r="I4711" s="9">
        <f>Q4680</f>
        <v/>
      </c>
      <c r="J4711" s="7">
        <f>I4711*G4711</f>
        <v/>
      </c>
      <c r="K4711" s="8">
        <f>IF($J$4713=0,0,J4711/$J$4713)</f>
        <v/>
      </c>
      <c r="L4711" s="6" t="inlineStr">
        <is>
          <t>REJECTED</t>
        </is>
      </c>
      <c r="M4711" s="8" t="n">
        <v>0</v>
      </c>
      <c r="N4711" s="7">
        <f>M4711*$J$4713-J4711</f>
        <v/>
      </c>
      <c r="O4711" s="9">
        <f>IF(G4711=0,0,N4711/G4711)</f>
        <v/>
      </c>
      <c r="P4711" s="6">
        <f>IF(M4711&gt;0,D4711,"")</f>
        <v/>
      </c>
      <c r="Q4711" s="9">
        <f>I4711+O4711</f>
        <v/>
      </c>
      <c r="R4711" s="7">
        <f>Q4711*G4711</f>
        <v/>
      </c>
      <c r="S4711" s="8">
        <f>IF($R$4713=0,0,R4711/$R$4713)</f>
        <v/>
      </c>
      <c r="T4711" s="8" t="n">
        <v>0.0269990363582604</v>
      </c>
      <c r="U4711" s="8" t="n">
        <v>0.03158439629611465</v>
      </c>
      <c r="V4711" s="6" t="inlineStr">
        <is>
          <t>not selected</t>
        </is>
      </c>
    </row>
    <row r="4712">
      <c r="A4712" s="6" t="inlineStr">
        <is>
          <t>DJ30</t>
        </is>
      </c>
      <c r="B4712" s="6" t="inlineStr">
        <is>
          <t>2025-11-28</t>
        </is>
      </c>
      <c r="C4712" s="6" t="inlineStr">
        <is>
          <t>DIA</t>
        </is>
      </c>
      <c r="D4712" s="6" t="inlineStr">
        <is>
          <t>WMT</t>
        </is>
      </c>
      <c r="E4712" s="6" t="inlineStr">
        <is>
          <t>WMT</t>
        </is>
      </c>
      <c r="F4712" s="6" t="inlineStr">
        <is>
          <t>-</t>
        </is>
      </c>
      <c r="G4712" s="7" t="n">
        <v>109.8496856689453</v>
      </c>
      <c r="H4712" s="6">
        <f>P4681</f>
        <v/>
      </c>
      <c r="I4712" s="9">
        <f>Q4681</f>
        <v/>
      </c>
      <c r="J4712" s="7">
        <f>I4712*G4712</f>
        <v/>
      </c>
      <c r="K4712" s="8">
        <f>IF($J$4713=0,0,J4712/$J$4713)</f>
        <v/>
      </c>
      <c r="L4712" s="6" t="inlineStr">
        <is>
          <t>WATCHLIST</t>
        </is>
      </c>
      <c r="M4712" s="8" t="n">
        <v>0</v>
      </c>
      <c r="N4712" s="7">
        <f>M4712*$J$4713-J4712</f>
        <v/>
      </c>
      <c r="O4712" s="9">
        <f>IF(G4712=0,0,N4712/G4712)</f>
        <v/>
      </c>
      <c r="P4712" s="6">
        <f>IF(M4712&gt;0,D4712,"")</f>
        <v/>
      </c>
      <c r="Q4712" s="9">
        <f>I4712+O4712</f>
        <v/>
      </c>
      <c r="R4712" s="7">
        <f>Q4712*G4712</f>
        <v/>
      </c>
      <c r="S4712" s="8">
        <f>IF($R$4713=0,0,R4712/$R$4713)</f>
        <v/>
      </c>
      <c r="T4712" s="8" t="n">
        <v>0.0269990363582604</v>
      </c>
      <c r="U4712" s="8" t="n">
        <v>0.03158439629611465</v>
      </c>
      <c r="V4712" s="6" t="inlineStr">
        <is>
          <t>not selected</t>
        </is>
      </c>
    </row>
    <row r="4713">
      <c r="A4713" s="10" t="inlineStr">
        <is>
          <t>DJ30</t>
        </is>
      </c>
      <c r="B4713" s="10" t="inlineStr">
        <is>
          <t>2025-11-28</t>
        </is>
      </c>
      <c r="C4713" s="10" t="inlineStr">
        <is>
          <t>DIA</t>
        </is>
      </c>
      <c r="D4713" s="10" t="inlineStr">
        <is>
          <t>Tot Portfolio</t>
        </is>
      </c>
      <c r="E4713" s="10" t="inlineStr"/>
      <c r="F4713" s="10" t="inlineStr"/>
      <c r="G4713" s="11" t="inlineStr"/>
      <c r="H4713" s="10" t="inlineStr"/>
      <c r="I4713" s="12" t="inlineStr"/>
      <c r="J4713" s="11">
        <f>SUM(J4683:J4712)</f>
        <v/>
      </c>
      <c r="K4713" s="13">
        <f>SUM(K4683:K4712)</f>
        <v/>
      </c>
      <c r="L4713" s="10" t="inlineStr">
        <is>
          <t>TOTAL</t>
        </is>
      </c>
      <c r="M4713" s="13">
        <f>SUM(M4683:M4712)</f>
        <v/>
      </c>
      <c r="N4713" s="11">
        <f>SUM(N4683:N4712)</f>
        <v/>
      </c>
      <c r="O4713" s="12">
        <f>SUM(O4683:O4712)</f>
        <v/>
      </c>
      <c r="P4713" s="10" t="inlineStr"/>
      <c r="Q4713" s="12" t="inlineStr"/>
      <c r="R4713" s="11">
        <f>SUM(R4683:R4712)</f>
        <v/>
      </c>
      <c r="S4713" s="13">
        <f>SUM(S4683:S4712)</f>
        <v/>
      </c>
      <c r="T4713" s="13" t="n">
        <v>0.0269990363582604</v>
      </c>
      <c r="U4713" s="13" t="n">
        <v>0.03158439629611465</v>
      </c>
      <c r="V4713" s="10" t="inlineStr"/>
    </row>
    <row r="4714">
      <c r="A4714" s="6" t="inlineStr">
        <is>
          <t>DJ30</t>
        </is>
      </c>
      <c r="B4714" s="6" t="inlineStr">
        <is>
          <t>2025-12-05</t>
        </is>
      </c>
      <c r="C4714" s="6" t="inlineStr">
        <is>
          <t>DIA</t>
        </is>
      </c>
      <c r="D4714" s="6" t="inlineStr">
        <is>
          <t>AAPL</t>
        </is>
      </c>
      <c r="E4714" s="6" t="inlineStr">
        <is>
          <t>AAPL</t>
        </is>
      </c>
      <c r="F4714" s="6" t="inlineStr">
        <is>
          <t>-</t>
        </is>
      </c>
      <c r="G4714" s="7" t="n">
        <v>278.2630004882812</v>
      </c>
      <c r="H4714" s="6">
        <f>P4683</f>
        <v/>
      </c>
      <c r="I4714" s="9">
        <f>Q4683</f>
        <v/>
      </c>
      <c r="J4714" s="7">
        <f>I4714*G4714</f>
        <v/>
      </c>
      <c r="K4714" s="8">
        <f>IF($J$4744=0,0,J4714/$J$4744)</f>
        <v/>
      </c>
      <c r="L4714" s="6" t="inlineStr">
        <is>
          <t>REJECTED</t>
        </is>
      </c>
      <c r="M4714" s="8" t="n">
        <v>0</v>
      </c>
      <c r="N4714" s="7">
        <f>M4714*$J$4744-J4714</f>
        <v/>
      </c>
      <c r="O4714" s="9">
        <f>IF(G4714=0,0,N4714/G4714)</f>
        <v/>
      </c>
      <c r="P4714" s="6">
        <f>IF(M4714&gt;0,D4714,"")</f>
        <v/>
      </c>
      <c r="Q4714" s="9">
        <f>I4714+O4714</f>
        <v/>
      </c>
      <c r="R4714" s="7">
        <f>Q4714*G4714</f>
        <v/>
      </c>
      <c r="S4714" s="8">
        <f>IF($R$4744=0,0,R4714/$R$4744)</f>
        <v/>
      </c>
      <c r="T4714" s="8" t="n">
        <v>0.02143101212100795</v>
      </c>
      <c r="U4714" s="8" t="n">
        <v>0.005972578173566223</v>
      </c>
      <c r="V4714" s="6" t="inlineStr">
        <is>
          <t>not selected</t>
        </is>
      </c>
    </row>
    <row r="4715">
      <c r="A4715" s="6" t="inlineStr">
        <is>
          <t>DJ30</t>
        </is>
      </c>
      <c r="B4715" s="6" t="inlineStr">
        <is>
          <t>2025-12-05</t>
        </is>
      </c>
      <c r="C4715" s="6" t="inlineStr">
        <is>
          <t>DIA</t>
        </is>
      </c>
      <c r="D4715" s="6" t="inlineStr">
        <is>
          <t>AMGN</t>
        </is>
      </c>
      <c r="E4715" s="6" t="inlineStr">
        <is>
          <t>AMGN</t>
        </is>
      </c>
      <c r="F4715" s="6" t="inlineStr">
        <is>
          <t>-</t>
        </is>
      </c>
      <c r="G4715" s="7" t="n">
        <v>325.1644287109375</v>
      </c>
      <c r="H4715" s="6">
        <f>P4684</f>
        <v/>
      </c>
      <c r="I4715" s="9">
        <f>Q4684</f>
        <v/>
      </c>
      <c r="J4715" s="7">
        <f>I4715*G4715</f>
        <v/>
      </c>
      <c r="K4715" s="8">
        <f>IF($J$4744=0,0,J4715/$J$4744)</f>
        <v/>
      </c>
      <c r="L4715" s="6" t="inlineStr">
        <is>
          <t>WATCHLIST</t>
        </is>
      </c>
      <c r="M4715" s="8" t="n">
        <v>0</v>
      </c>
      <c r="N4715" s="7">
        <f>M4715*$J$4744-J4715</f>
        <v/>
      </c>
      <c r="O4715" s="9">
        <f>IF(G4715=0,0,N4715/G4715)</f>
        <v/>
      </c>
      <c r="P4715" s="6">
        <f>IF(M4715&gt;0,D4715,"")</f>
        <v/>
      </c>
      <c r="Q4715" s="9">
        <f>I4715+O4715</f>
        <v/>
      </c>
      <c r="R4715" s="7">
        <f>Q4715*G4715</f>
        <v/>
      </c>
      <c r="S4715" s="8">
        <f>IF($R$4744=0,0,R4715/$R$4744)</f>
        <v/>
      </c>
      <c r="T4715" s="8" t="n">
        <v>0.02143101212100795</v>
      </c>
      <c r="U4715" s="8" t="n">
        <v>0.005972578173566223</v>
      </c>
      <c r="V4715" s="6" t="inlineStr">
        <is>
          <t>not selected</t>
        </is>
      </c>
    </row>
    <row r="4716">
      <c r="A4716" s="6" t="inlineStr">
        <is>
          <t>DJ30</t>
        </is>
      </c>
      <c r="B4716" s="6" t="inlineStr">
        <is>
          <t>2025-12-05</t>
        </is>
      </c>
      <c r="C4716" s="6" t="inlineStr">
        <is>
          <t>DIA</t>
        </is>
      </c>
      <c r="D4716" s="6" t="inlineStr">
        <is>
          <t>AMZN</t>
        </is>
      </c>
      <c r="E4716" s="6" t="inlineStr">
        <is>
          <t>AMZN</t>
        </is>
      </c>
      <c r="F4716" s="6" t="inlineStr">
        <is>
          <t>-</t>
        </is>
      </c>
      <c r="G4716" s="7" t="n">
        <v>229.5299987792969</v>
      </c>
      <c r="H4716" s="6">
        <f>P4685</f>
        <v/>
      </c>
      <c r="I4716" s="9">
        <f>Q4685</f>
        <v/>
      </c>
      <c r="J4716" s="7">
        <f>I4716*G4716</f>
        <v/>
      </c>
      <c r="K4716" s="8">
        <f>IF($J$4744=0,0,J4716/$J$4744)</f>
        <v/>
      </c>
      <c r="L4716" s="6" t="inlineStr">
        <is>
          <t>REJECTED</t>
        </is>
      </c>
      <c r="M4716" s="8" t="n">
        <v>0</v>
      </c>
      <c r="N4716" s="7">
        <f>M4716*$J$4744-J4716</f>
        <v/>
      </c>
      <c r="O4716" s="9">
        <f>IF(G4716=0,0,N4716/G4716)</f>
        <v/>
      </c>
      <c r="P4716" s="6">
        <f>IF(M4716&gt;0,D4716,"")</f>
        <v/>
      </c>
      <c r="Q4716" s="9">
        <f>I4716+O4716</f>
        <v/>
      </c>
      <c r="R4716" s="7">
        <f>Q4716*G4716</f>
        <v/>
      </c>
      <c r="S4716" s="8">
        <f>IF($R$4744=0,0,R4716/$R$4744)</f>
        <v/>
      </c>
      <c r="T4716" s="8" t="n">
        <v>0.02143101212100795</v>
      </c>
      <c r="U4716" s="8" t="n">
        <v>0.005972578173566223</v>
      </c>
      <c r="V4716" s="6" t="inlineStr">
        <is>
          <t>not selected</t>
        </is>
      </c>
    </row>
    <row r="4717">
      <c r="A4717" s="6" t="inlineStr">
        <is>
          <t>DJ30</t>
        </is>
      </c>
      <c r="B4717" s="6" t="inlineStr">
        <is>
          <t>2025-12-05</t>
        </is>
      </c>
      <c r="C4717" s="6" t="inlineStr">
        <is>
          <t>DIA</t>
        </is>
      </c>
      <c r="D4717" s="6" t="inlineStr">
        <is>
          <t>AXP</t>
        </is>
      </c>
      <c r="E4717" s="6" t="inlineStr">
        <is>
          <t>AXP</t>
        </is>
      </c>
      <c r="F4717" s="6" t="inlineStr">
        <is>
          <t>-</t>
        </is>
      </c>
      <c r="G4717" s="7" t="n">
        <v>368.3645935058594</v>
      </c>
      <c r="H4717" s="6">
        <f>P4686</f>
        <v/>
      </c>
      <c r="I4717" s="9">
        <f>Q4686</f>
        <v/>
      </c>
      <c r="J4717" s="7">
        <f>I4717*G4717</f>
        <v/>
      </c>
      <c r="K4717" s="8">
        <f>IF($J$4744=0,0,J4717/$J$4744)</f>
        <v/>
      </c>
      <c r="L4717" s="6" t="inlineStr">
        <is>
          <t>WATCHLIST</t>
        </is>
      </c>
      <c r="M4717" s="8" t="n">
        <v>0</v>
      </c>
      <c r="N4717" s="7">
        <f>M4717*$J$4744-J4717</f>
        <v/>
      </c>
      <c r="O4717" s="9">
        <f>IF(G4717=0,0,N4717/G4717)</f>
        <v/>
      </c>
      <c r="P4717" s="6">
        <f>IF(M4717&gt;0,D4717,"")</f>
        <v/>
      </c>
      <c r="Q4717" s="9">
        <f>I4717+O4717</f>
        <v/>
      </c>
      <c r="R4717" s="7">
        <f>Q4717*G4717</f>
        <v/>
      </c>
      <c r="S4717" s="8">
        <f>IF($R$4744=0,0,R4717/$R$4744)</f>
        <v/>
      </c>
      <c r="T4717" s="8" t="n">
        <v>0.02143101212100795</v>
      </c>
      <c r="U4717" s="8" t="n">
        <v>0.005972578173566223</v>
      </c>
      <c r="V4717" s="6" t="inlineStr">
        <is>
          <t>not selected</t>
        </is>
      </c>
    </row>
    <row r="4718">
      <c r="A4718" s="6" t="inlineStr">
        <is>
          <t>DJ30</t>
        </is>
      </c>
      <c r="B4718" s="6" t="inlineStr">
        <is>
          <t>2025-12-05</t>
        </is>
      </c>
      <c r="C4718" s="6" t="inlineStr">
        <is>
          <t>DIA</t>
        </is>
      </c>
      <c r="D4718" s="6" t="inlineStr">
        <is>
          <t>BA</t>
        </is>
      </c>
      <c r="E4718" s="6" t="inlineStr">
        <is>
          <t>BA</t>
        </is>
      </c>
      <c r="F4718" s="6" t="inlineStr">
        <is>
          <t>-</t>
        </is>
      </c>
      <c r="G4718" s="7" t="n">
        <v>201.8899993896484</v>
      </c>
      <c r="H4718" s="6">
        <f>P4687</f>
        <v/>
      </c>
      <c r="I4718" s="9">
        <f>Q4687</f>
        <v/>
      </c>
      <c r="J4718" s="7">
        <f>I4718*G4718</f>
        <v/>
      </c>
      <c r="K4718" s="8">
        <f>IF($J$4744=0,0,J4718/$J$4744)</f>
        <v/>
      </c>
      <c r="L4718" s="6" t="inlineStr">
        <is>
          <t>WATCHLIST</t>
        </is>
      </c>
      <c r="M4718" s="8" t="n">
        <v>0</v>
      </c>
      <c r="N4718" s="7">
        <f>M4718*$J$4744-J4718</f>
        <v/>
      </c>
      <c r="O4718" s="9">
        <f>IF(G4718=0,0,N4718/G4718)</f>
        <v/>
      </c>
      <c r="P4718" s="6">
        <f>IF(M4718&gt;0,D4718,"")</f>
        <v/>
      </c>
      <c r="Q4718" s="9">
        <f>I4718+O4718</f>
        <v/>
      </c>
      <c r="R4718" s="7">
        <f>Q4718*G4718</f>
        <v/>
      </c>
      <c r="S4718" s="8">
        <f>IF($R$4744=0,0,R4718/$R$4744)</f>
        <v/>
      </c>
      <c r="T4718" s="8" t="n">
        <v>0.02143101212100795</v>
      </c>
      <c r="U4718" s="8" t="n">
        <v>0.005972578173566223</v>
      </c>
      <c r="V4718" s="6" t="inlineStr">
        <is>
          <t>not selected</t>
        </is>
      </c>
    </row>
    <row r="4719">
      <c r="A4719" s="6" t="inlineStr">
        <is>
          <t>DJ30</t>
        </is>
      </c>
      <c r="B4719" s="6" t="inlineStr">
        <is>
          <t>2025-12-05</t>
        </is>
      </c>
      <c r="C4719" s="6" t="inlineStr">
        <is>
          <t>DIA</t>
        </is>
      </c>
      <c r="D4719" s="6" t="inlineStr">
        <is>
          <t>CAT</t>
        </is>
      </c>
      <c r="E4719" s="6" t="inlineStr">
        <is>
          <t>CAT</t>
        </is>
      </c>
      <c r="F4719" s="6" t="inlineStr">
        <is>
          <t>-</t>
        </is>
      </c>
      <c r="G4719" s="7" t="n">
        <v>600.6185302734375</v>
      </c>
      <c r="H4719" s="6">
        <f>P4688</f>
        <v/>
      </c>
      <c r="I4719" s="9">
        <f>Q4688</f>
        <v/>
      </c>
      <c r="J4719" s="7">
        <f>I4719*G4719</f>
        <v/>
      </c>
      <c r="K4719" s="8">
        <f>IF($J$4744=0,0,J4719/$J$4744)</f>
        <v/>
      </c>
      <c r="L4719" s="6" t="inlineStr">
        <is>
          <t>SELECTED</t>
        </is>
      </c>
      <c r="M4719" s="8" t="n">
        <v>0.2</v>
      </c>
      <c r="N4719" s="7">
        <f>M4719*$J$4744-J4719</f>
        <v/>
      </c>
      <c r="O4719" s="9">
        <f>IF(G4719=0,0,N4719/G4719)</f>
        <v/>
      </c>
      <c r="P4719" s="6">
        <f>IF(M4719&gt;0,D4719,"")</f>
        <v/>
      </c>
      <c r="Q4719" s="9">
        <f>I4719+O4719</f>
        <v/>
      </c>
      <c r="R4719" s="7">
        <f>Q4719*G4719</f>
        <v/>
      </c>
      <c r="S4719" s="8">
        <f>IF($R$4744=0,0,R4719/$R$4744)</f>
        <v/>
      </c>
      <c r="T4719" s="8" t="n">
        <v>0.02143101212100795</v>
      </c>
      <c r="U4719" s="8" t="n">
        <v>0.005972578173566223</v>
      </c>
      <c r="V4719" s="6" t="inlineStr">
        <is>
          <t>remained in weekly selection</t>
        </is>
      </c>
    </row>
    <row r="4720">
      <c r="A4720" s="6" t="inlineStr">
        <is>
          <t>DJ30</t>
        </is>
      </c>
      <c r="B4720" s="6" t="inlineStr">
        <is>
          <t>2025-12-05</t>
        </is>
      </c>
      <c r="C4720" s="6" t="inlineStr">
        <is>
          <t>DIA</t>
        </is>
      </c>
      <c r="D4720" s="6" t="inlineStr">
        <is>
          <t>CRM</t>
        </is>
      </c>
      <c r="E4720" s="6" t="inlineStr">
        <is>
          <t>CRM</t>
        </is>
      </c>
      <c r="F4720" s="6" t="inlineStr">
        <is>
          <t>-</t>
        </is>
      </c>
      <c r="G4720" s="7" t="n">
        <v>258.8330383300781</v>
      </c>
      <c r="H4720" s="6">
        <f>P4689</f>
        <v/>
      </c>
      <c r="I4720" s="9">
        <f>Q4689</f>
        <v/>
      </c>
      <c r="J4720" s="7">
        <f>I4720*G4720</f>
        <v/>
      </c>
      <c r="K4720" s="8">
        <f>IF($J$4744=0,0,J4720/$J$4744)</f>
        <v/>
      </c>
      <c r="L4720" s="6" t="inlineStr">
        <is>
          <t>REJECTED</t>
        </is>
      </c>
      <c r="M4720" s="8" t="n">
        <v>0</v>
      </c>
      <c r="N4720" s="7">
        <f>M4720*$J$4744-J4720</f>
        <v/>
      </c>
      <c r="O4720" s="9">
        <f>IF(G4720=0,0,N4720/G4720)</f>
        <v/>
      </c>
      <c r="P4720" s="6">
        <f>IF(M4720&gt;0,D4720,"")</f>
        <v/>
      </c>
      <c r="Q4720" s="9">
        <f>I4720+O4720</f>
        <v/>
      </c>
      <c r="R4720" s="7">
        <f>Q4720*G4720</f>
        <v/>
      </c>
      <c r="S4720" s="8">
        <f>IF($R$4744=0,0,R4720/$R$4744)</f>
        <v/>
      </c>
      <c r="T4720" s="8" t="n">
        <v>0.02143101212100795</v>
      </c>
      <c r="U4720" s="8" t="n">
        <v>0.005972578173566223</v>
      </c>
      <c r="V4720" s="6" t="inlineStr">
        <is>
          <t>not selected</t>
        </is>
      </c>
    </row>
    <row r="4721">
      <c r="A4721" s="6" t="inlineStr">
        <is>
          <t>DJ30</t>
        </is>
      </c>
      <c r="B4721" s="6" t="inlineStr">
        <is>
          <t>2025-12-05</t>
        </is>
      </c>
      <c r="C4721" s="6" t="inlineStr">
        <is>
          <t>DIA</t>
        </is>
      </c>
      <c r="D4721" s="6" t="inlineStr">
        <is>
          <t>CSCO</t>
        </is>
      </c>
      <c r="E4721" s="6" t="inlineStr">
        <is>
          <t>CSCO</t>
        </is>
      </c>
      <c r="F4721" s="6" t="inlineStr">
        <is>
          <t>-</t>
        </is>
      </c>
      <c r="G4721" s="7" t="n">
        <v>77.13702392578125</v>
      </c>
      <c r="H4721" s="6">
        <f>P4690</f>
        <v/>
      </c>
      <c r="I4721" s="9">
        <f>Q4690</f>
        <v/>
      </c>
      <c r="J4721" s="7">
        <f>I4721*G4721</f>
        <v/>
      </c>
      <c r="K4721" s="8">
        <f>IF($J$4744=0,0,J4721/$J$4744)</f>
        <v/>
      </c>
      <c r="L4721" s="6" t="inlineStr">
        <is>
          <t>SELECTED</t>
        </is>
      </c>
      <c r="M4721" s="8" t="n">
        <v>0.2</v>
      </c>
      <c r="N4721" s="7">
        <f>M4721*$J$4744-J4721</f>
        <v/>
      </c>
      <c r="O4721" s="9">
        <f>IF(G4721=0,0,N4721/G4721)</f>
        <v/>
      </c>
      <c r="P4721" s="6">
        <f>IF(M4721&gt;0,D4721,"")</f>
        <v/>
      </c>
      <c r="Q4721" s="9">
        <f>I4721+O4721</f>
        <v/>
      </c>
      <c r="R4721" s="7">
        <f>Q4721*G4721</f>
        <v/>
      </c>
      <c r="S4721" s="8">
        <f>IF($R$4744=0,0,R4721/$R$4744)</f>
        <v/>
      </c>
      <c r="T4721" s="8" t="n">
        <v>0.02143101212100795</v>
      </c>
      <c r="U4721" s="8" t="n">
        <v>0.005972578173566223</v>
      </c>
      <c r="V4721" s="6" t="inlineStr">
        <is>
          <t>remained in weekly selection</t>
        </is>
      </c>
    </row>
    <row r="4722">
      <c r="A4722" s="6" t="inlineStr">
        <is>
          <t>DJ30</t>
        </is>
      </c>
      <c r="B4722" s="6" t="inlineStr">
        <is>
          <t>2025-12-05</t>
        </is>
      </c>
      <c r="C4722" s="6" t="inlineStr">
        <is>
          <t>DIA</t>
        </is>
      </c>
      <c r="D4722" s="6" t="inlineStr">
        <is>
          <t>CVX</t>
        </is>
      </c>
      <c r="E4722" s="6" t="inlineStr">
        <is>
          <t>CVX</t>
        </is>
      </c>
      <c r="F4722" s="6" t="inlineStr">
        <is>
          <t>-</t>
        </is>
      </c>
      <c r="G4722" s="7" t="n">
        <v>147.1986389160156</v>
      </c>
      <c r="H4722" s="6">
        <f>P4691</f>
        <v/>
      </c>
      <c r="I4722" s="9">
        <f>Q4691</f>
        <v/>
      </c>
      <c r="J4722" s="7">
        <f>I4722*G4722</f>
        <v/>
      </c>
      <c r="K4722" s="8">
        <f>IF($J$4744=0,0,J4722/$J$4744)</f>
        <v/>
      </c>
      <c r="L4722" s="6" t="inlineStr">
        <is>
          <t>REJECTED</t>
        </is>
      </c>
      <c r="M4722" s="8" t="n">
        <v>0</v>
      </c>
      <c r="N4722" s="7">
        <f>M4722*$J$4744-J4722</f>
        <v/>
      </c>
      <c r="O4722" s="9">
        <f>IF(G4722=0,0,N4722/G4722)</f>
        <v/>
      </c>
      <c r="P4722" s="6">
        <f>IF(M4722&gt;0,D4722,"")</f>
        <v/>
      </c>
      <c r="Q4722" s="9">
        <f>I4722+O4722</f>
        <v/>
      </c>
      <c r="R4722" s="7">
        <f>Q4722*G4722</f>
        <v/>
      </c>
      <c r="S4722" s="8">
        <f>IF($R$4744=0,0,R4722/$R$4744)</f>
        <v/>
      </c>
      <c r="T4722" s="8" t="n">
        <v>0.02143101212100795</v>
      </c>
      <c r="U4722" s="8" t="n">
        <v>0.005972578173566223</v>
      </c>
      <c r="V4722" s="6" t="inlineStr">
        <is>
          <t>not selected</t>
        </is>
      </c>
    </row>
    <row r="4723">
      <c r="A4723" s="6" t="inlineStr">
        <is>
          <t>DJ30</t>
        </is>
      </c>
      <c r="B4723" s="6" t="inlineStr">
        <is>
          <t>2025-12-05</t>
        </is>
      </c>
      <c r="C4723" s="6" t="inlineStr">
        <is>
          <t>DIA</t>
        </is>
      </c>
      <c r="D4723" s="6" t="inlineStr">
        <is>
          <t>DIS</t>
        </is>
      </c>
      <c r="E4723" s="6" t="inlineStr">
        <is>
          <t>DIS</t>
        </is>
      </c>
      <c r="F4723" s="6" t="inlineStr">
        <is>
          <t>-</t>
        </is>
      </c>
      <c r="G4723" s="7" t="n">
        <v>104.5923461914062</v>
      </c>
      <c r="H4723" s="6">
        <f>P4692</f>
        <v/>
      </c>
      <c r="I4723" s="9">
        <f>Q4692</f>
        <v/>
      </c>
      <c r="J4723" s="7">
        <f>I4723*G4723</f>
        <v/>
      </c>
      <c r="K4723" s="8">
        <f>IF($J$4744=0,0,J4723/$J$4744)</f>
        <v/>
      </c>
      <c r="L4723" s="6" t="inlineStr">
        <is>
          <t>REJECTED</t>
        </is>
      </c>
      <c r="M4723" s="8" t="n">
        <v>0</v>
      </c>
      <c r="N4723" s="7">
        <f>M4723*$J$4744-J4723</f>
        <v/>
      </c>
      <c r="O4723" s="9">
        <f>IF(G4723=0,0,N4723/G4723)</f>
        <v/>
      </c>
      <c r="P4723" s="6">
        <f>IF(M4723&gt;0,D4723,"")</f>
        <v/>
      </c>
      <c r="Q4723" s="9">
        <f>I4723+O4723</f>
        <v/>
      </c>
      <c r="R4723" s="7">
        <f>Q4723*G4723</f>
        <v/>
      </c>
      <c r="S4723" s="8">
        <f>IF($R$4744=0,0,R4723/$R$4744)</f>
        <v/>
      </c>
      <c r="T4723" s="8" t="n">
        <v>0.02143101212100795</v>
      </c>
      <c r="U4723" s="8" t="n">
        <v>0.005972578173566223</v>
      </c>
      <c r="V4723" s="6" t="inlineStr">
        <is>
          <t>not selected</t>
        </is>
      </c>
    </row>
    <row r="4724">
      <c r="A4724" s="6" t="inlineStr">
        <is>
          <t>DJ30</t>
        </is>
      </c>
      <c r="B4724" s="6" t="inlineStr">
        <is>
          <t>2025-12-05</t>
        </is>
      </c>
      <c r="C4724" s="6" t="inlineStr">
        <is>
          <t>DIA</t>
        </is>
      </c>
      <c r="D4724" s="6" t="inlineStr">
        <is>
          <t>GS</t>
        </is>
      </c>
      <c r="E4724" s="6" t="inlineStr">
        <is>
          <t>GS</t>
        </is>
      </c>
      <c r="F4724" s="6" t="inlineStr">
        <is>
          <t>-</t>
        </is>
      </c>
      <c r="G4724" s="7" t="n">
        <v>846.3561401367188</v>
      </c>
      <c r="H4724" s="6">
        <f>P4693</f>
        <v/>
      </c>
      <c r="I4724" s="9">
        <f>Q4693</f>
        <v/>
      </c>
      <c r="J4724" s="7">
        <f>I4724*G4724</f>
        <v/>
      </c>
      <c r="K4724" s="8">
        <f>IF($J$4744=0,0,J4724/$J$4744)</f>
        <v/>
      </c>
      <c r="L4724" s="6" t="inlineStr">
        <is>
          <t>SELECTED</t>
        </is>
      </c>
      <c r="M4724" s="8" t="n">
        <v>0.2</v>
      </c>
      <c r="N4724" s="7">
        <f>M4724*$J$4744-J4724</f>
        <v/>
      </c>
      <c r="O4724" s="9">
        <f>IF(G4724=0,0,N4724/G4724)</f>
        <v/>
      </c>
      <c r="P4724" s="6">
        <f>IF(M4724&gt;0,D4724,"")</f>
        <v/>
      </c>
      <c r="Q4724" s="9">
        <f>I4724+O4724</f>
        <v/>
      </c>
      <c r="R4724" s="7">
        <f>Q4724*G4724</f>
        <v/>
      </c>
      <c r="S4724" s="8">
        <f>IF($R$4744=0,0,R4724/$R$4744)</f>
        <v/>
      </c>
      <c r="T4724" s="8" t="n">
        <v>0.02143101212100795</v>
      </c>
      <c r="U4724" s="8" t="n">
        <v>0.005972578173566223</v>
      </c>
      <c r="V4724" s="6" t="inlineStr">
        <is>
          <t>remained in weekly selection</t>
        </is>
      </c>
    </row>
    <row r="4725">
      <c r="A4725" s="6" t="inlineStr">
        <is>
          <t>DJ30</t>
        </is>
      </c>
      <c r="B4725" s="6" t="inlineStr">
        <is>
          <t>2025-12-05</t>
        </is>
      </c>
      <c r="C4725" s="6" t="inlineStr">
        <is>
          <t>DIA</t>
        </is>
      </c>
      <c r="D4725" s="6" t="inlineStr">
        <is>
          <t>HD</t>
        </is>
      </c>
      <c r="E4725" s="6" t="inlineStr">
        <is>
          <t>HD</t>
        </is>
      </c>
      <c r="F4725" s="6" t="inlineStr">
        <is>
          <t>-</t>
        </is>
      </c>
      <c r="G4725" s="7" t="n">
        <v>349.6324768066406</v>
      </c>
      <c r="H4725" s="6">
        <f>P4694</f>
        <v/>
      </c>
      <c r="I4725" s="9">
        <f>Q4694</f>
        <v/>
      </c>
      <c r="J4725" s="7">
        <f>I4725*G4725</f>
        <v/>
      </c>
      <c r="K4725" s="8">
        <f>IF($J$4744=0,0,J4725/$J$4744)</f>
        <v/>
      </c>
      <c r="L4725" s="6" t="inlineStr">
        <is>
          <t>REJECTED</t>
        </is>
      </c>
      <c r="M4725" s="8" t="n">
        <v>0</v>
      </c>
      <c r="N4725" s="7">
        <f>M4725*$J$4744-J4725</f>
        <v/>
      </c>
      <c r="O4725" s="9">
        <f>IF(G4725=0,0,N4725/G4725)</f>
        <v/>
      </c>
      <c r="P4725" s="6">
        <f>IF(M4725&gt;0,D4725,"")</f>
        <v/>
      </c>
      <c r="Q4725" s="9">
        <f>I4725+O4725</f>
        <v/>
      </c>
      <c r="R4725" s="7">
        <f>Q4725*G4725</f>
        <v/>
      </c>
      <c r="S4725" s="8">
        <f>IF($R$4744=0,0,R4725/$R$4744)</f>
        <v/>
      </c>
      <c r="T4725" s="8" t="n">
        <v>0.02143101212100795</v>
      </c>
      <c r="U4725" s="8" t="n">
        <v>0.005972578173566223</v>
      </c>
      <c r="V4725" s="6" t="inlineStr">
        <is>
          <t>not selected</t>
        </is>
      </c>
    </row>
    <row r="4726">
      <c r="A4726" s="6" t="inlineStr">
        <is>
          <t>DJ30</t>
        </is>
      </c>
      <c r="B4726" s="6" t="inlineStr">
        <is>
          <t>2025-12-05</t>
        </is>
      </c>
      <c r="C4726" s="6" t="inlineStr">
        <is>
          <t>DIA</t>
        </is>
      </c>
      <c r="D4726" s="6" t="inlineStr">
        <is>
          <t>HON</t>
        </is>
      </c>
      <c r="E4726" s="6" t="inlineStr">
        <is>
          <t>HON</t>
        </is>
      </c>
      <c r="F4726" s="6" t="inlineStr">
        <is>
          <t>-</t>
        </is>
      </c>
      <c r="G4726" s="7" t="n">
        <v>189.3441925048828</v>
      </c>
      <c r="H4726" s="6">
        <f>P4695</f>
        <v/>
      </c>
      <c r="I4726" s="9">
        <f>Q4695</f>
        <v/>
      </c>
      <c r="J4726" s="7">
        <f>I4726*G4726</f>
        <v/>
      </c>
      <c r="K4726" s="8">
        <f>IF($J$4744=0,0,J4726/$J$4744)</f>
        <v/>
      </c>
      <c r="L4726" s="6" t="inlineStr">
        <is>
          <t>REJECTED</t>
        </is>
      </c>
      <c r="M4726" s="8" t="n">
        <v>0</v>
      </c>
      <c r="N4726" s="7">
        <f>M4726*$J$4744-J4726</f>
        <v/>
      </c>
      <c r="O4726" s="9">
        <f>IF(G4726=0,0,N4726/G4726)</f>
        <v/>
      </c>
      <c r="P4726" s="6">
        <f>IF(M4726&gt;0,D4726,"")</f>
        <v/>
      </c>
      <c r="Q4726" s="9">
        <f>I4726+O4726</f>
        <v/>
      </c>
      <c r="R4726" s="7">
        <f>Q4726*G4726</f>
        <v/>
      </c>
      <c r="S4726" s="8">
        <f>IF($R$4744=0,0,R4726/$R$4744)</f>
        <v/>
      </c>
      <c r="T4726" s="8" t="n">
        <v>0.02143101212100795</v>
      </c>
      <c r="U4726" s="8" t="n">
        <v>0.005972578173566223</v>
      </c>
      <c r="V4726" s="6" t="inlineStr">
        <is>
          <t>not selected</t>
        </is>
      </c>
    </row>
    <row r="4727">
      <c r="A4727" s="6" t="inlineStr">
        <is>
          <t>DJ30</t>
        </is>
      </c>
      <c r="B4727" s="6" t="inlineStr">
        <is>
          <t>2025-12-05</t>
        </is>
      </c>
      <c r="C4727" s="6" t="inlineStr">
        <is>
          <t>DIA</t>
        </is>
      </c>
      <c r="D4727" s="6" t="inlineStr">
        <is>
          <t>IBM</t>
        </is>
      </c>
      <c r="E4727" s="6" t="inlineStr">
        <is>
          <t>IBM</t>
        </is>
      </c>
      <c r="F4727" s="6" t="inlineStr">
        <is>
          <t>-</t>
        </is>
      </c>
      <c r="G4727" s="7" t="n">
        <v>303.9571228027344</v>
      </c>
      <c r="H4727" s="6">
        <f>P4696</f>
        <v/>
      </c>
      <c r="I4727" s="9">
        <f>Q4696</f>
        <v/>
      </c>
      <c r="J4727" s="7">
        <f>I4727*G4727</f>
        <v/>
      </c>
      <c r="K4727" s="8">
        <f>IF($J$4744=0,0,J4727/$J$4744)</f>
        <v/>
      </c>
      <c r="L4727" s="6" t="inlineStr">
        <is>
          <t>WATCHLIST</t>
        </is>
      </c>
      <c r="M4727" s="8" t="n">
        <v>0</v>
      </c>
      <c r="N4727" s="7">
        <f>M4727*$J$4744-J4727</f>
        <v/>
      </c>
      <c r="O4727" s="9">
        <f>IF(G4727=0,0,N4727/G4727)</f>
        <v/>
      </c>
      <c r="P4727" s="6">
        <f>IF(M4727&gt;0,D4727,"")</f>
        <v/>
      </c>
      <c r="Q4727" s="9">
        <f>I4727+O4727</f>
        <v/>
      </c>
      <c r="R4727" s="7">
        <f>Q4727*G4727</f>
        <v/>
      </c>
      <c r="S4727" s="8">
        <f>IF($R$4744=0,0,R4727/$R$4744)</f>
        <v/>
      </c>
      <c r="T4727" s="8" t="n">
        <v>0.02143101212100795</v>
      </c>
      <c r="U4727" s="8" t="n">
        <v>0.005972578173566223</v>
      </c>
      <c r="V4727" s="6" t="inlineStr">
        <is>
          <t>not selected</t>
        </is>
      </c>
    </row>
    <row r="4728">
      <c r="A4728" s="6" t="inlineStr">
        <is>
          <t>DJ30</t>
        </is>
      </c>
      <c r="B4728" s="6" t="inlineStr">
        <is>
          <t>2025-12-05</t>
        </is>
      </c>
      <c r="C4728" s="6" t="inlineStr">
        <is>
          <t>DIA</t>
        </is>
      </c>
      <c r="D4728" s="6" t="inlineStr">
        <is>
          <t>JNJ</t>
        </is>
      </c>
      <c r="E4728" s="6" t="inlineStr">
        <is>
          <t>JNJ</t>
        </is>
      </c>
      <c r="F4728" s="6" t="inlineStr">
        <is>
          <t>-</t>
        </is>
      </c>
      <c r="G4728" s="7" t="n">
        <v>199.713623046875</v>
      </c>
      <c r="H4728" s="6">
        <f>P4697</f>
        <v/>
      </c>
      <c r="I4728" s="9">
        <f>Q4697</f>
        <v/>
      </c>
      <c r="J4728" s="7">
        <f>I4728*G4728</f>
        <v/>
      </c>
      <c r="K4728" s="8">
        <f>IF($J$4744=0,0,J4728/$J$4744)</f>
        <v/>
      </c>
      <c r="L4728" s="6" t="inlineStr">
        <is>
          <t>SELECTED</t>
        </is>
      </c>
      <c r="M4728" s="8" t="n">
        <v>0.2</v>
      </c>
      <c r="N4728" s="7">
        <f>M4728*$J$4744-J4728</f>
        <v/>
      </c>
      <c r="O4728" s="9">
        <f>IF(G4728=0,0,N4728/G4728)</f>
        <v/>
      </c>
      <c r="P4728" s="6">
        <f>IF(M4728&gt;0,D4728,"")</f>
        <v/>
      </c>
      <c r="Q4728" s="9">
        <f>I4728+O4728</f>
        <v/>
      </c>
      <c r="R4728" s="7">
        <f>Q4728*G4728</f>
        <v/>
      </c>
      <c r="S4728" s="8">
        <f>IF($R$4744=0,0,R4728/$R$4744)</f>
        <v/>
      </c>
      <c r="T4728" s="8" t="n">
        <v>0.02143101212100795</v>
      </c>
      <c r="U4728" s="8" t="n">
        <v>0.005972578173566223</v>
      </c>
      <c r="V4728" s="6" t="inlineStr">
        <is>
          <t>remained in weekly selection</t>
        </is>
      </c>
    </row>
    <row r="4729">
      <c r="A4729" s="6" t="inlineStr">
        <is>
          <t>DJ30</t>
        </is>
      </c>
      <c r="B4729" s="6" t="inlineStr">
        <is>
          <t>2025-12-05</t>
        </is>
      </c>
      <c r="C4729" s="6" t="inlineStr">
        <is>
          <t>DIA</t>
        </is>
      </c>
      <c r="D4729" s="6" t="inlineStr">
        <is>
          <t>JPM</t>
        </is>
      </c>
      <c r="E4729" s="6" t="inlineStr">
        <is>
          <t>JPM</t>
        </is>
      </c>
      <c r="F4729" s="6" t="inlineStr">
        <is>
          <t>-</t>
        </is>
      </c>
      <c r="G4729" s="7" t="n">
        <v>312.0284729003906</v>
      </c>
      <c r="H4729" s="6">
        <f>P4698</f>
        <v/>
      </c>
      <c r="I4729" s="9">
        <f>Q4698</f>
        <v/>
      </c>
      <c r="J4729" s="7">
        <f>I4729*G4729</f>
        <v/>
      </c>
      <c r="K4729" s="8">
        <f>IF($J$4744=0,0,J4729/$J$4744)</f>
        <v/>
      </c>
      <c r="L4729" s="6" t="inlineStr">
        <is>
          <t>WATCHLIST</t>
        </is>
      </c>
      <c r="M4729" s="8" t="n">
        <v>0</v>
      </c>
      <c r="N4729" s="7">
        <f>M4729*$J$4744-J4729</f>
        <v/>
      </c>
      <c r="O4729" s="9">
        <f>IF(G4729=0,0,N4729/G4729)</f>
        <v/>
      </c>
      <c r="P4729" s="6">
        <f>IF(M4729&gt;0,D4729,"")</f>
        <v/>
      </c>
      <c r="Q4729" s="9">
        <f>I4729+O4729</f>
        <v/>
      </c>
      <c r="R4729" s="7">
        <f>Q4729*G4729</f>
        <v/>
      </c>
      <c r="S4729" s="8">
        <f>IF($R$4744=0,0,R4729/$R$4744)</f>
        <v/>
      </c>
      <c r="T4729" s="8" t="n">
        <v>0.02143101212100795</v>
      </c>
      <c r="U4729" s="8" t="n">
        <v>0.005972578173566223</v>
      </c>
      <c r="V4729" s="6" t="inlineStr">
        <is>
          <t>not selected</t>
        </is>
      </c>
    </row>
    <row r="4730">
      <c r="A4730" s="6" t="inlineStr">
        <is>
          <t>DJ30</t>
        </is>
      </c>
      <c r="B4730" s="6" t="inlineStr">
        <is>
          <t>2025-12-05</t>
        </is>
      </c>
      <c r="C4730" s="6" t="inlineStr">
        <is>
          <t>DIA</t>
        </is>
      </c>
      <c r="D4730" s="6" t="inlineStr">
        <is>
          <t>KO</t>
        </is>
      </c>
      <c r="E4730" s="6" t="inlineStr">
        <is>
          <t>KO</t>
        </is>
      </c>
      <c r="F4730" s="6" t="inlineStr">
        <is>
          <t>-</t>
        </is>
      </c>
      <c r="G4730" s="7" t="n">
        <v>69.07598876953125</v>
      </c>
      <c r="H4730" s="6">
        <f>P4699</f>
        <v/>
      </c>
      <c r="I4730" s="9">
        <f>Q4699</f>
        <v/>
      </c>
      <c r="J4730" s="7">
        <f>I4730*G4730</f>
        <v/>
      </c>
      <c r="K4730" s="8">
        <f>IF($J$4744=0,0,J4730/$J$4744)</f>
        <v/>
      </c>
      <c r="L4730" s="6" t="inlineStr">
        <is>
          <t>WATCHLIST</t>
        </is>
      </c>
      <c r="M4730" s="8" t="n">
        <v>0</v>
      </c>
      <c r="N4730" s="7">
        <f>M4730*$J$4744-J4730</f>
        <v/>
      </c>
      <c r="O4730" s="9">
        <f>IF(G4730=0,0,N4730/G4730)</f>
        <v/>
      </c>
      <c r="P4730" s="6">
        <f>IF(M4730&gt;0,D4730,"")</f>
        <v/>
      </c>
      <c r="Q4730" s="9">
        <f>I4730+O4730</f>
        <v/>
      </c>
      <c r="R4730" s="7">
        <f>Q4730*G4730</f>
        <v/>
      </c>
      <c r="S4730" s="8">
        <f>IF($R$4744=0,0,R4730/$R$4744)</f>
        <v/>
      </c>
      <c r="T4730" s="8" t="n">
        <v>0.02143101212100795</v>
      </c>
      <c r="U4730" s="8" t="n">
        <v>0.005972578173566223</v>
      </c>
      <c r="V4730" s="6" t="inlineStr">
        <is>
          <t>not selected</t>
        </is>
      </c>
    </row>
    <row r="4731">
      <c r="A4731" s="6" t="inlineStr">
        <is>
          <t>DJ30</t>
        </is>
      </c>
      <c r="B4731" s="6" t="inlineStr">
        <is>
          <t>2025-12-05</t>
        </is>
      </c>
      <c r="C4731" s="6" t="inlineStr">
        <is>
          <t>DIA</t>
        </is>
      </c>
      <c r="D4731" s="6" t="inlineStr">
        <is>
          <t>MCD</t>
        </is>
      </c>
      <c r="E4731" s="6" t="inlineStr">
        <is>
          <t>MCD</t>
        </is>
      </c>
      <c r="F4731" s="6" t="inlineStr">
        <is>
          <t>-</t>
        </is>
      </c>
      <c r="G4731" s="7" t="n">
        <v>307.4161376953125</v>
      </c>
      <c r="H4731" s="6">
        <f>P4700</f>
        <v/>
      </c>
      <c r="I4731" s="9">
        <f>Q4700</f>
        <v/>
      </c>
      <c r="J4731" s="7">
        <f>I4731*G4731</f>
        <v/>
      </c>
      <c r="K4731" s="8">
        <f>IF($J$4744=0,0,J4731/$J$4744)</f>
        <v/>
      </c>
      <c r="L4731" s="6" t="inlineStr">
        <is>
          <t>REJECTED</t>
        </is>
      </c>
      <c r="M4731" s="8" t="n">
        <v>0</v>
      </c>
      <c r="N4731" s="7">
        <f>M4731*$J$4744-J4731</f>
        <v/>
      </c>
      <c r="O4731" s="9">
        <f>IF(G4731=0,0,N4731/G4731)</f>
        <v/>
      </c>
      <c r="P4731" s="6">
        <f>IF(M4731&gt;0,D4731,"")</f>
        <v/>
      </c>
      <c r="Q4731" s="9">
        <f>I4731+O4731</f>
        <v/>
      </c>
      <c r="R4731" s="7">
        <f>Q4731*G4731</f>
        <v/>
      </c>
      <c r="S4731" s="8">
        <f>IF($R$4744=0,0,R4731/$R$4744)</f>
        <v/>
      </c>
      <c r="T4731" s="8" t="n">
        <v>0.02143101212100795</v>
      </c>
      <c r="U4731" s="8" t="n">
        <v>0.005972578173566223</v>
      </c>
      <c r="V4731" s="6" t="inlineStr">
        <is>
          <t>not selected</t>
        </is>
      </c>
    </row>
    <row r="4732">
      <c r="A4732" s="6" t="inlineStr">
        <is>
          <t>DJ30</t>
        </is>
      </c>
      <c r="B4732" s="6" t="inlineStr">
        <is>
          <t>2025-12-05</t>
        </is>
      </c>
      <c r="C4732" s="6" t="inlineStr">
        <is>
          <t>DIA</t>
        </is>
      </c>
      <c r="D4732" s="6" t="inlineStr">
        <is>
          <t>MMM</t>
        </is>
      </c>
      <c r="E4732" s="6" t="inlineStr">
        <is>
          <t>MMM</t>
        </is>
      </c>
      <c r="F4732" s="6" t="inlineStr">
        <is>
          <t>-</t>
        </is>
      </c>
      <c r="G4732" s="7" t="n">
        <v>165.8739929199219</v>
      </c>
      <c r="H4732" s="6">
        <f>P4701</f>
        <v/>
      </c>
      <c r="I4732" s="9">
        <f>Q4701</f>
        <v/>
      </c>
      <c r="J4732" s="7">
        <f>I4732*G4732</f>
        <v/>
      </c>
      <c r="K4732" s="8">
        <f>IF($J$4744=0,0,J4732/$J$4744)</f>
        <v/>
      </c>
      <c r="L4732" s="6" t="inlineStr">
        <is>
          <t>WATCHLIST</t>
        </is>
      </c>
      <c r="M4732" s="8" t="n">
        <v>0</v>
      </c>
      <c r="N4732" s="7">
        <f>M4732*$J$4744-J4732</f>
        <v/>
      </c>
      <c r="O4732" s="9">
        <f>IF(G4732=0,0,N4732/G4732)</f>
        <v/>
      </c>
      <c r="P4732" s="6">
        <f>IF(M4732&gt;0,D4732,"")</f>
        <v/>
      </c>
      <c r="Q4732" s="9">
        <f>I4732+O4732</f>
        <v/>
      </c>
      <c r="R4732" s="7">
        <f>Q4732*G4732</f>
        <v/>
      </c>
      <c r="S4732" s="8">
        <f>IF($R$4744=0,0,R4732/$R$4744)</f>
        <v/>
      </c>
      <c r="T4732" s="8" t="n">
        <v>0.02143101212100795</v>
      </c>
      <c r="U4732" s="8" t="n">
        <v>0.005972578173566223</v>
      </c>
      <c r="V4732" s="6" t="inlineStr">
        <is>
          <t>not selected</t>
        </is>
      </c>
    </row>
    <row r="4733">
      <c r="A4733" s="6" t="inlineStr">
        <is>
          <t>DJ30</t>
        </is>
      </c>
      <c r="B4733" s="6" t="inlineStr">
        <is>
          <t>2025-12-05</t>
        </is>
      </c>
      <c r="C4733" s="6" t="inlineStr">
        <is>
          <t>DIA</t>
        </is>
      </c>
      <c r="D4733" s="6" t="inlineStr">
        <is>
          <t>MRK</t>
        </is>
      </c>
      <c r="E4733" s="6" t="inlineStr">
        <is>
          <t>MRK</t>
        </is>
      </c>
      <c r="F4733" s="6" t="inlineStr">
        <is>
          <t>-</t>
        </is>
      </c>
      <c r="G4733" s="7" t="n">
        <v>97.44719696044922</v>
      </c>
      <c r="H4733" s="6">
        <f>P4702</f>
        <v/>
      </c>
      <c r="I4733" s="9">
        <f>Q4702</f>
        <v/>
      </c>
      <c r="J4733" s="7">
        <f>I4733*G4733</f>
        <v/>
      </c>
      <c r="K4733" s="8">
        <f>IF($J$4744=0,0,J4733/$J$4744)</f>
        <v/>
      </c>
      <c r="L4733" s="6" t="inlineStr">
        <is>
          <t>REJECTED</t>
        </is>
      </c>
      <c r="M4733" s="8" t="n">
        <v>0</v>
      </c>
      <c r="N4733" s="7">
        <f>M4733*$J$4744-J4733</f>
        <v/>
      </c>
      <c r="O4733" s="9">
        <f>IF(G4733=0,0,N4733/G4733)</f>
        <v/>
      </c>
      <c r="P4733" s="6">
        <f>IF(M4733&gt;0,D4733,"")</f>
        <v/>
      </c>
      <c r="Q4733" s="9">
        <f>I4733+O4733</f>
        <v/>
      </c>
      <c r="R4733" s="7">
        <f>Q4733*G4733</f>
        <v/>
      </c>
      <c r="S4733" s="8">
        <f>IF($R$4744=0,0,R4733/$R$4744)</f>
        <v/>
      </c>
      <c r="T4733" s="8" t="n">
        <v>0.02143101212100795</v>
      </c>
      <c r="U4733" s="8" t="n">
        <v>0.005972578173566223</v>
      </c>
      <c r="V4733" s="6" t="inlineStr">
        <is>
          <t>not selected</t>
        </is>
      </c>
    </row>
    <row r="4734">
      <c r="A4734" s="6" t="inlineStr">
        <is>
          <t>DJ30</t>
        </is>
      </c>
      <c r="B4734" s="6" t="inlineStr">
        <is>
          <t>2025-12-05</t>
        </is>
      </c>
      <c r="C4734" s="6" t="inlineStr">
        <is>
          <t>DIA</t>
        </is>
      </c>
      <c r="D4734" s="6" t="inlineStr">
        <is>
          <t>MSFT</t>
        </is>
      </c>
      <c r="E4734" s="6" t="inlineStr">
        <is>
          <t>MSFT</t>
        </is>
      </c>
      <c r="F4734" s="6" t="inlineStr">
        <is>
          <t>-</t>
        </is>
      </c>
      <c r="G4734" s="7" t="n">
        <v>481.0178833007813</v>
      </c>
      <c r="H4734" s="6">
        <f>P4703</f>
        <v/>
      </c>
      <c r="I4734" s="9">
        <f>Q4703</f>
        <v/>
      </c>
      <c r="J4734" s="7">
        <f>I4734*G4734</f>
        <v/>
      </c>
      <c r="K4734" s="8">
        <f>IF($J$4744=0,0,J4734/$J$4744)</f>
        <v/>
      </c>
      <c r="L4734" s="6" t="inlineStr">
        <is>
          <t>WATCHLIST</t>
        </is>
      </c>
      <c r="M4734" s="8" t="n">
        <v>0</v>
      </c>
      <c r="N4734" s="7">
        <f>M4734*$J$4744-J4734</f>
        <v/>
      </c>
      <c r="O4734" s="9">
        <f>IF(G4734=0,0,N4734/G4734)</f>
        <v/>
      </c>
      <c r="P4734" s="6">
        <f>IF(M4734&gt;0,D4734,"")</f>
        <v/>
      </c>
      <c r="Q4734" s="9">
        <f>I4734+O4734</f>
        <v/>
      </c>
      <c r="R4734" s="7">
        <f>Q4734*G4734</f>
        <v/>
      </c>
      <c r="S4734" s="8">
        <f>IF($R$4744=0,0,R4734/$R$4744)</f>
        <v/>
      </c>
      <c r="T4734" s="8" t="n">
        <v>0.02143101212100795</v>
      </c>
      <c r="U4734" s="8" t="n">
        <v>0.005972578173566223</v>
      </c>
      <c r="V4734" s="6" t="inlineStr">
        <is>
          <t>not selected</t>
        </is>
      </c>
    </row>
    <row r="4735">
      <c r="A4735" s="6" t="inlineStr">
        <is>
          <t>DJ30</t>
        </is>
      </c>
      <c r="B4735" s="6" t="inlineStr">
        <is>
          <t>2025-12-05</t>
        </is>
      </c>
      <c r="C4735" s="6" t="inlineStr">
        <is>
          <t>DIA</t>
        </is>
      </c>
      <c r="D4735" s="6" t="inlineStr">
        <is>
          <t>NKE</t>
        </is>
      </c>
      <c r="E4735" s="6" t="inlineStr">
        <is>
          <t>NKE</t>
        </is>
      </c>
      <c r="F4735" s="6" t="inlineStr">
        <is>
          <t>-</t>
        </is>
      </c>
      <c r="G4735" s="7" t="n">
        <v>64.84549713134766</v>
      </c>
      <c r="H4735" s="6">
        <f>P4704</f>
        <v/>
      </c>
      <c r="I4735" s="9">
        <f>Q4704</f>
        <v/>
      </c>
      <c r="J4735" s="7">
        <f>I4735*G4735</f>
        <v/>
      </c>
      <c r="K4735" s="8">
        <f>IF($J$4744=0,0,J4735/$J$4744)</f>
        <v/>
      </c>
      <c r="L4735" s="6" t="inlineStr">
        <is>
          <t>REJECTED</t>
        </is>
      </c>
      <c r="M4735" s="8" t="n">
        <v>0</v>
      </c>
      <c r="N4735" s="7">
        <f>M4735*$J$4744-J4735</f>
        <v/>
      </c>
      <c r="O4735" s="9">
        <f>IF(G4735=0,0,N4735/G4735)</f>
        <v/>
      </c>
      <c r="P4735" s="6">
        <f>IF(M4735&gt;0,D4735,"")</f>
        <v/>
      </c>
      <c r="Q4735" s="9">
        <f>I4735+O4735</f>
        <v/>
      </c>
      <c r="R4735" s="7">
        <f>Q4735*G4735</f>
        <v/>
      </c>
      <c r="S4735" s="8">
        <f>IF($R$4744=0,0,R4735/$R$4744)</f>
        <v/>
      </c>
      <c r="T4735" s="8" t="n">
        <v>0.02143101212100795</v>
      </c>
      <c r="U4735" s="8" t="n">
        <v>0.005972578173566223</v>
      </c>
      <c r="V4735" s="6" t="inlineStr">
        <is>
          <t>not selected</t>
        </is>
      </c>
    </row>
    <row r="4736">
      <c r="A4736" s="6" t="inlineStr">
        <is>
          <t>DJ30</t>
        </is>
      </c>
      <c r="B4736" s="6" t="inlineStr">
        <is>
          <t>2025-12-05</t>
        </is>
      </c>
      <c r="C4736" s="6" t="inlineStr">
        <is>
          <t>DIA</t>
        </is>
      </c>
      <c r="D4736" s="6" t="inlineStr">
        <is>
          <t>NVDA</t>
        </is>
      </c>
      <c r="E4736" s="6" t="inlineStr">
        <is>
          <t>NVDA</t>
        </is>
      </c>
      <c r="F4736" s="6" t="inlineStr">
        <is>
          <t>-</t>
        </is>
      </c>
      <c r="G4736" s="7" t="n">
        <v>182.1877899169922</v>
      </c>
      <c r="H4736" s="6">
        <f>P4705</f>
        <v/>
      </c>
      <c r="I4736" s="9">
        <f>Q4705</f>
        <v/>
      </c>
      <c r="J4736" s="7">
        <f>I4736*G4736</f>
        <v/>
      </c>
      <c r="K4736" s="8">
        <f>IF($J$4744=0,0,J4736/$J$4744)</f>
        <v/>
      </c>
      <c r="L4736" s="6" t="inlineStr">
        <is>
          <t>SELECTED</t>
        </is>
      </c>
      <c r="M4736" s="8" t="n">
        <v>0.2</v>
      </c>
      <c r="N4736" s="7">
        <f>M4736*$J$4744-J4736</f>
        <v/>
      </c>
      <c r="O4736" s="9">
        <f>IF(G4736=0,0,N4736/G4736)</f>
        <v/>
      </c>
      <c r="P4736" s="6">
        <f>IF(M4736&gt;0,D4736,"")</f>
        <v/>
      </c>
      <c r="Q4736" s="9">
        <f>I4736+O4736</f>
        <v/>
      </c>
      <c r="R4736" s="7">
        <f>Q4736*G4736</f>
        <v/>
      </c>
      <c r="S4736" s="8">
        <f>IF($R$4744=0,0,R4736/$R$4744)</f>
        <v/>
      </c>
      <c r="T4736" s="8" t="n">
        <v>0.02143101212100795</v>
      </c>
      <c r="U4736" s="8" t="n">
        <v>0.005972578173566223</v>
      </c>
      <c r="V4736" s="6" t="inlineStr">
        <is>
          <t>remained in weekly selection</t>
        </is>
      </c>
    </row>
    <row r="4737">
      <c r="A4737" s="6" t="inlineStr">
        <is>
          <t>DJ30</t>
        </is>
      </c>
      <c r="B4737" s="6" t="inlineStr">
        <is>
          <t>2025-12-05</t>
        </is>
      </c>
      <c r="C4737" s="6" t="inlineStr">
        <is>
          <t>DIA</t>
        </is>
      </c>
      <c r="D4737" s="6" t="inlineStr">
        <is>
          <t>PG</t>
        </is>
      </c>
      <c r="E4737" s="6" t="inlineStr">
        <is>
          <t>PG</t>
        </is>
      </c>
      <c r="F4737" s="6" t="inlineStr">
        <is>
          <t>-</t>
        </is>
      </c>
      <c r="G4737" s="7" t="n">
        <v>141.3741302490234</v>
      </c>
      <c r="H4737" s="6">
        <f>P4706</f>
        <v/>
      </c>
      <c r="I4737" s="9">
        <f>Q4706</f>
        <v/>
      </c>
      <c r="J4737" s="7">
        <f>I4737*G4737</f>
        <v/>
      </c>
      <c r="K4737" s="8">
        <f>IF($J$4744=0,0,J4737/$J$4744)</f>
        <v/>
      </c>
      <c r="L4737" s="6" t="inlineStr">
        <is>
          <t>REJECTED</t>
        </is>
      </c>
      <c r="M4737" s="8" t="n">
        <v>0</v>
      </c>
      <c r="N4737" s="7">
        <f>M4737*$J$4744-J4737</f>
        <v/>
      </c>
      <c r="O4737" s="9">
        <f>IF(G4737=0,0,N4737/G4737)</f>
        <v/>
      </c>
      <c r="P4737" s="6">
        <f>IF(M4737&gt;0,D4737,"")</f>
        <v/>
      </c>
      <c r="Q4737" s="9">
        <f>I4737+O4737</f>
        <v/>
      </c>
      <c r="R4737" s="7">
        <f>Q4737*G4737</f>
        <v/>
      </c>
      <c r="S4737" s="8">
        <f>IF($R$4744=0,0,R4737/$R$4744)</f>
        <v/>
      </c>
      <c r="T4737" s="8" t="n">
        <v>0.02143101212100795</v>
      </c>
      <c r="U4737" s="8" t="n">
        <v>0.005972578173566223</v>
      </c>
      <c r="V4737" s="6" t="inlineStr">
        <is>
          <t>not selected</t>
        </is>
      </c>
    </row>
    <row r="4738">
      <c r="A4738" s="6" t="inlineStr">
        <is>
          <t>DJ30</t>
        </is>
      </c>
      <c r="B4738" s="6" t="inlineStr">
        <is>
          <t>2025-12-05</t>
        </is>
      </c>
      <c r="C4738" s="6" t="inlineStr">
        <is>
          <t>DIA</t>
        </is>
      </c>
      <c r="D4738" s="6" t="inlineStr">
        <is>
          <t>SHW</t>
        </is>
      </c>
      <c r="E4738" s="6" t="inlineStr">
        <is>
          <t>SHW</t>
        </is>
      </c>
      <c r="F4738" s="6" t="inlineStr">
        <is>
          <t>-</t>
        </is>
      </c>
      <c r="G4738" s="7" t="n">
        <v>331.5154724121094</v>
      </c>
      <c r="H4738" s="6">
        <f>P4707</f>
        <v/>
      </c>
      <c r="I4738" s="9">
        <f>Q4707</f>
        <v/>
      </c>
      <c r="J4738" s="7">
        <f>I4738*G4738</f>
        <v/>
      </c>
      <c r="K4738" s="8">
        <f>IF($J$4744=0,0,J4738/$J$4744)</f>
        <v/>
      </c>
      <c r="L4738" s="6" t="inlineStr">
        <is>
          <t>REJECTED</t>
        </is>
      </c>
      <c r="M4738" s="8" t="n">
        <v>0</v>
      </c>
      <c r="N4738" s="7">
        <f>M4738*$J$4744-J4738</f>
        <v/>
      </c>
      <c r="O4738" s="9">
        <f>IF(G4738=0,0,N4738/G4738)</f>
        <v/>
      </c>
      <c r="P4738" s="6">
        <f>IF(M4738&gt;0,D4738,"")</f>
        <v/>
      </c>
      <c r="Q4738" s="9">
        <f>I4738+O4738</f>
        <v/>
      </c>
      <c r="R4738" s="7">
        <f>Q4738*G4738</f>
        <v/>
      </c>
      <c r="S4738" s="8">
        <f>IF($R$4744=0,0,R4738/$R$4744)</f>
        <v/>
      </c>
      <c r="T4738" s="8" t="n">
        <v>0.02143101212100795</v>
      </c>
      <c r="U4738" s="8" t="n">
        <v>0.005972578173566223</v>
      </c>
      <c r="V4738" s="6" t="inlineStr">
        <is>
          <t>not selected</t>
        </is>
      </c>
    </row>
    <row r="4739">
      <c r="A4739" s="6" t="inlineStr">
        <is>
          <t>DJ30</t>
        </is>
      </c>
      <c r="B4739" s="6" t="inlineStr">
        <is>
          <t>2025-12-05</t>
        </is>
      </c>
      <c r="C4739" s="6" t="inlineStr">
        <is>
          <t>DIA</t>
        </is>
      </c>
      <c r="D4739" s="6" t="inlineStr">
        <is>
          <t>TRV</t>
        </is>
      </c>
      <c r="E4739" s="6" t="inlineStr">
        <is>
          <t>TRV</t>
        </is>
      </c>
      <c r="F4739" s="6" t="inlineStr">
        <is>
          <t>-</t>
        </is>
      </c>
      <c r="G4739" s="7" t="n">
        <v>277.6075439453125</v>
      </c>
      <c r="H4739" s="6">
        <f>P4708</f>
        <v/>
      </c>
      <c r="I4739" s="9">
        <f>Q4708</f>
        <v/>
      </c>
      <c r="J4739" s="7">
        <f>I4739*G4739</f>
        <v/>
      </c>
      <c r="K4739" s="8">
        <f>IF($J$4744=0,0,J4739/$J$4744)</f>
        <v/>
      </c>
      <c r="L4739" s="6" t="inlineStr">
        <is>
          <t>WATCHLIST</t>
        </is>
      </c>
      <c r="M4739" s="8" t="n">
        <v>0</v>
      </c>
      <c r="N4739" s="7">
        <f>M4739*$J$4744-J4739</f>
        <v/>
      </c>
      <c r="O4739" s="9">
        <f>IF(G4739=0,0,N4739/G4739)</f>
        <v/>
      </c>
      <c r="P4739" s="6">
        <f>IF(M4739&gt;0,D4739,"")</f>
        <v/>
      </c>
      <c r="Q4739" s="9">
        <f>I4739+O4739</f>
        <v/>
      </c>
      <c r="R4739" s="7">
        <f>Q4739*G4739</f>
        <v/>
      </c>
      <c r="S4739" s="8">
        <f>IF($R$4744=0,0,R4739/$R$4744)</f>
        <v/>
      </c>
      <c r="T4739" s="8" t="n">
        <v>0.02143101212100795</v>
      </c>
      <c r="U4739" s="8" t="n">
        <v>0.005972578173566223</v>
      </c>
      <c r="V4739" s="6" t="inlineStr">
        <is>
          <t>not selected</t>
        </is>
      </c>
    </row>
    <row r="4740">
      <c r="A4740" s="6" t="inlineStr">
        <is>
          <t>DJ30</t>
        </is>
      </c>
      <c r="B4740" s="6" t="inlineStr">
        <is>
          <t>2025-12-05</t>
        </is>
      </c>
      <c r="C4740" s="6" t="inlineStr">
        <is>
          <t>DIA</t>
        </is>
      </c>
      <c r="D4740" s="6" t="inlineStr">
        <is>
          <t>UNH</t>
        </is>
      </c>
      <c r="E4740" s="6" t="inlineStr">
        <is>
          <t>UNH</t>
        </is>
      </c>
      <c r="F4740" s="6" t="inlineStr">
        <is>
          <t>-</t>
        </is>
      </c>
      <c r="G4740" s="7" t="n">
        <v>324.3119812011719</v>
      </c>
      <c r="H4740" s="6">
        <f>P4709</f>
        <v/>
      </c>
      <c r="I4740" s="9">
        <f>Q4709</f>
        <v/>
      </c>
      <c r="J4740" s="7">
        <f>I4740*G4740</f>
        <v/>
      </c>
      <c r="K4740" s="8">
        <f>IF($J$4744=0,0,J4740/$J$4744)</f>
        <v/>
      </c>
      <c r="L4740" s="6" t="inlineStr">
        <is>
          <t>REJECTED</t>
        </is>
      </c>
      <c r="M4740" s="8" t="n">
        <v>0</v>
      </c>
      <c r="N4740" s="7">
        <f>M4740*$J$4744-J4740</f>
        <v/>
      </c>
      <c r="O4740" s="9">
        <f>IF(G4740=0,0,N4740/G4740)</f>
        <v/>
      </c>
      <c r="P4740" s="6">
        <f>IF(M4740&gt;0,D4740,"")</f>
        <v/>
      </c>
      <c r="Q4740" s="9">
        <f>I4740+O4740</f>
        <v/>
      </c>
      <c r="R4740" s="7">
        <f>Q4740*G4740</f>
        <v/>
      </c>
      <c r="S4740" s="8">
        <f>IF($R$4744=0,0,R4740/$R$4744)</f>
        <v/>
      </c>
      <c r="T4740" s="8" t="n">
        <v>0.02143101212100795</v>
      </c>
      <c r="U4740" s="8" t="n">
        <v>0.005972578173566223</v>
      </c>
      <c r="V4740" s="6" t="inlineStr">
        <is>
          <t>not selected</t>
        </is>
      </c>
    </row>
    <row r="4741">
      <c r="A4741" s="6" t="inlineStr">
        <is>
          <t>DJ30</t>
        </is>
      </c>
      <c r="B4741" s="6" t="inlineStr">
        <is>
          <t>2025-12-05</t>
        </is>
      </c>
      <c r="C4741" s="6" t="inlineStr">
        <is>
          <t>DIA</t>
        </is>
      </c>
      <c r="D4741" s="6" t="inlineStr">
        <is>
          <t>V</t>
        </is>
      </c>
      <c r="E4741" s="6" t="inlineStr">
        <is>
          <t>V</t>
        </is>
      </c>
      <c r="F4741" s="6" t="inlineStr">
        <is>
          <t>-</t>
        </is>
      </c>
      <c r="G4741" s="7" t="n">
        <v>329.8744812011719</v>
      </c>
      <c r="H4741" s="6">
        <f>P4710</f>
        <v/>
      </c>
      <c r="I4741" s="9">
        <f>Q4710</f>
        <v/>
      </c>
      <c r="J4741" s="7">
        <f>I4741*G4741</f>
        <v/>
      </c>
      <c r="K4741" s="8">
        <f>IF($J$4744=0,0,J4741/$J$4744)</f>
        <v/>
      </c>
      <c r="L4741" s="6" t="inlineStr">
        <is>
          <t>REJECTED</t>
        </is>
      </c>
      <c r="M4741" s="8" t="n">
        <v>0</v>
      </c>
      <c r="N4741" s="7">
        <f>M4741*$J$4744-J4741</f>
        <v/>
      </c>
      <c r="O4741" s="9">
        <f>IF(G4741=0,0,N4741/G4741)</f>
        <v/>
      </c>
      <c r="P4741" s="6">
        <f>IF(M4741&gt;0,D4741,"")</f>
        <v/>
      </c>
      <c r="Q4741" s="9">
        <f>I4741+O4741</f>
        <v/>
      </c>
      <c r="R4741" s="7">
        <f>Q4741*G4741</f>
        <v/>
      </c>
      <c r="S4741" s="8">
        <f>IF($R$4744=0,0,R4741/$R$4744)</f>
        <v/>
      </c>
      <c r="T4741" s="8" t="n">
        <v>0.02143101212100795</v>
      </c>
      <c r="U4741" s="8" t="n">
        <v>0.005972578173566223</v>
      </c>
      <c r="V4741" s="6" t="inlineStr">
        <is>
          <t>not selected</t>
        </is>
      </c>
    </row>
    <row r="4742">
      <c r="A4742" s="6" t="inlineStr">
        <is>
          <t>DJ30</t>
        </is>
      </c>
      <c r="B4742" s="6" t="inlineStr">
        <is>
          <t>2025-12-05</t>
        </is>
      </c>
      <c r="C4742" s="6" t="inlineStr">
        <is>
          <t>DIA</t>
        </is>
      </c>
      <c r="D4742" s="6" t="inlineStr">
        <is>
          <t>VZ</t>
        </is>
      </c>
      <c r="E4742" s="6" t="inlineStr">
        <is>
          <t>VZ</t>
        </is>
      </c>
      <c r="F4742" s="6" t="inlineStr">
        <is>
          <t>-</t>
        </is>
      </c>
      <c r="G4742" s="7" t="n">
        <v>40.37179946899414</v>
      </c>
      <c r="H4742" s="6">
        <f>P4711</f>
        <v/>
      </c>
      <c r="I4742" s="9">
        <f>Q4711</f>
        <v/>
      </c>
      <c r="J4742" s="7">
        <f>I4742*G4742</f>
        <v/>
      </c>
      <c r="K4742" s="8">
        <f>IF($J$4744=0,0,J4742/$J$4744)</f>
        <v/>
      </c>
      <c r="L4742" s="6" t="inlineStr">
        <is>
          <t>REJECTED</t>
        </is>
      </c>
      <c r="M4742" s="8" t="n">
        <v>0</v>
      </c>
      <c r="N4742" s="7">
        <f>M4742*$J$4744-J4742</f>
        <v/>
      </c>
      <c r="O4742" s="9">
        <f>IF(G4742=0,0,N4742/G4742)</f>
        <v/>
      </c>
      <c r="P4742" s="6">
        <f>IF(M4742&gt;0,D4742,"")</f>
        <v/>
      </c>
      <c r="Q4742" s="9">
        <f>I4742+O4742</f>
        <v/>
      </c>
      <c r="R4742" s="7">
        <f>Q4742*G4742</f>
        <v/>
      </c>
      <c r="S4742" s="8">
        <f>IF($R$4744=0,0,R4742/$R$4744)</f>
        <v/>
      </c>
      <c r="T4742" s="8" t="n">
        <v>0.02143101212100795</v>
      </c>
      <c r="U4742" s="8" t="n">
        <v>0.005972578173566223</v>
      </c>
      <c r="V4742" s="6" t="inlineStr">
        <is>
          <t>not selected</t>
        </is>
      </c>
    </row>
    <row r="4743">
      <c r="A4743" s="6" t="inlineStr">
        <is>
          <t>DJ30</t>
        </is>
      </c>
      <c r="B4743" s="6" t="inlineStr">
        <is>
          <t>2025-12-05</t>
        </is>
      </c>
      <c r="C4743" s="6" t="inlineStr">
        <is>
          <t>DIA</t>
        </is>
      </c>
      <c r="D4743" s="6" t="inlineStr">
        <is>
          <t>WMT</t>
        </is>
      </c>
      <c r="E4743" s="6" t="inlineStr">
        <is>
          <t>WMT</t>
        </is>
      </c>
      <c r="F4743" s="6" t="inlineStr">
        <is>
          <t>-</t>
        </is>
      </c>
      <c r="G4743" s="7" t="n">
        <v>114.4221954345703</v>
      </c>
      <c r="H4743" s="6">
        <f>P4712</f>
        <v/>
      </c>
      <c r="I4743" s="9">
        <f>Q4712</f>
        <v/>
      </c>
      <c r="J4743" s="7">
        <f>I4743*G4743</f>
        <v/>
      </c>
      <c r="K4743" s="8">
        <f>IF($J$4744=0,0,J4743/$J$4744)</f>
        <v/>
      </c>
      <c r="L4743" s="6" t="inlineStr">
        <is>
          <t>WATCHLIST</t>
        </is>
      </c>
      <c r="M4743" s="8" t="n">
        <v>0</v>
      </c>
      <c r="N4743" s="7">
        <f>M4743*$J$4744-J4743</f>
        <v/>
      </c>
      <c r="O4743" s="9">
        <f>IF(G4743=0,0,N4743/G4743)</f>
        <v/>
      </c>
      <c r="P4743" s="6">
        <f>IF(M4743&gt;0,D4743,"")</f>
        <v/>
      </c>
      <c r="Q4743" s="9">
        <f>I4743+O4743</f>
        <v/>
      </c>
      <c r="R4743" s="7">
        <f>Q4743*G4743</f>
        <v/>
      </c>
      <c r="S4743" s="8">
        <f>IF($R$4744=0,0,R4743/$R$4744)</f>
        <v/>
      </c>
      <c r="T4743" s="8" t="n">
        <v>0.02143101212100795</v>
      </c>
      <c r="U4743" s="8" t="n">
        <v>0.005972578173566223</v>
      </c>
      <c r="V4743" s="6" t="inlineStr">
        <is>
          <t>not selected</t>
        </is>
      </c>
    </row>
    <row r="4744">
      <c r="A4744" s="10" t="inlineStr">
        <is>
          <t>DJ30</t>
        </is>
      </c>
      <c r="B4744" s="10" t="inlineStr">
        <is>
          <t>2025-12-05</t>
        </is>
      </c>
      <c r="C4744" s="10" t="inlineStr">
        <is>
          <t>DIA</t>
        </is>
      </c>
      <c r="D4744" s="10" t="inlineStr">
        <is>
          <t>Tot Portfolio</t>
        </is>
      </c>
      <c r="E4744" s="10" t="inlineStr"/>
      <c r="F4744" s="10" t="inlineStr"/>
      <c r="G4744" s="11" t="inlineStr"/>
      <c r="H4744" s="10" t="inlineStr"/>
      <c r="I4744" s="12" t="inlineStr"/>
      <c r="J4744" s="11">
        <f>SUM(J4714:J4743)</f>
        <v/>
      </c>
      <c r="K4744" s="13">
        <f>SUM(K4714:K4743)</f>
        <v/>
      </c>
      <c r="L4744" s="10" t="inlineStr">
        <is>
          <t>TOTAL</t>
        </is>
      </c>
      <c r="M4744" s="13">
        <f>SUM(M4714:M4743)</f>
        <v/>
      </c>
      <c r="N4744" s="11">
        <f>SUM(N4714:N4743)</f>
        <v/>
      </c>
      <c r="O4744" s="12">
        <f>SUM(O4714:O4743)</f>
        <v/>
      </c>
      <c r="P4744" s="10" t="inlineStr"/>
      <c r="Q4744" s="12" t="inlineStr"/>
      <c r="R4744" s="11">
        <f>SUM(R4714:R4743)</f>
        <v/>
      </c>
      <c r="S4744" s="13">
        <f>SUM(S4714:S4743)</f>
        <v/>
      </c>
      <c r="T4744" s="13" t="n">
        <v>0.02143101212100795</v>
      </c>
      <c r="U4744" s="13" t="n">
        <v>0.005972578173566223</v>
      </c>
      <c r="V4744" s="10" t="inlineStr"/>
    </row>
    <row r="4745">
      <c r="A4745" s="6" t="inlineStr">
        <is>
          <t>DJ30</t>
        </is>
      </c>
      <c r="B4745" s="6" t="inlineStr">
        <is>
          <t>2025-12-12</t>
        </is>
      </c>
      <c r="C4745" s="6" t="inlineStr">
        <is>
          <t>DIA</t>
        </is>
      </c>
      <c r="D4745" s="6" t="inlineStr">
        <is>
          <t>AAPL</t>
        </is>
      </c>
      <c r="E4745" s="6" t="inlineStr">
        <is>
          <t>AAPL</t>
        </is>
      </c>
      <c r="F4745" s="6" t="inlineStr">
        <is>
          <t>-</t>
        </is>
      </c>
      <c r="G4745" s="7" t="n">
        <v>277.763916015625</v>
      </c>
      <c r="H4745" s="6">
        <f>P4714</f>
        <v/>
      </c>
      <c r="I4745" s="9">
        <f>Q4714</f>
        <v/>
      </c>
      <c r="J4745" s="7">
        <f>I4745*G4745</f>
        <v/>
      </c>
      <c r="K4745" s="8">
        <f>IF($J$4775=0,0,J4745/$J$4775)</f>
        <v/>
      </c>
      <c r="L4745" s="6" t="inlineStr">
        <is>
          <t>REJECTED</t>
        </is>
      </c>
      <c r="M4745" s="8" t="n">
        <v>0</v>
      </c>
      <c r="N4745" s="7">
        <f>M4745*$J$4775-J4745</f>
        <v/>
      </c>
      <c r="O4745" s="9">
        <f>IF(G4745=0,0,N4745/G4745)</f>
        <v/>
      </c>
      <c r="P4745" s="6">
        <f>IF(M4745&gt;0,D4745,"")</f>
        <v/>
      </c>
      <c r="Q4745" s="9">
        <f>I4745+O4745</f>
        <v/>
      </c>
      <c r="R4745" s="7">
        <f>Q4745*G4745</f>
        <v/>
      </c>
      <c r="S4745" s="8">
        <f>IF($R$4775=0,0,R4745/$R$4775)</f>
        <v/>
      </c>
      <c r="T4745" s="8" t="n">
        <v>0.00708525891843137</v>
      </c>
      <c r="U4745" s="8" t="n">
        <v>0.01118682668785786</v>
      </c>
      <c r="V4745" s="6" t="inlineStr">
        <is>
          <t>not selected</t>
        </is>
      </c>
    </row>
    <row r="4746">
      <c r="A4746" s="6" t="inlineStr">
        <is>
          <t>DJ30</t>
        </is>
      </c>
      <c r="B4746" s="6" t="inlineStr">
        <is>
          <t>2025-12-12</t>
        </is>
      </c>
      <c r="C4746" s="6" t="inlineStr">
        <is>
          <t>DIA</t>
        </is>
      </c>
      <c r="D4746" s="6" t="inlineStr">
        <is>
          <t>AMGN</t>
        </is>
      </c>
      <c r="E4746" s="6" t="inlineStr">
        <is>
          <t>AMGN</t>
        </is>
      </c>
      <c r="F4746" s="6" t="inlineStr">
        <is>
          <t>-</t>
        </is>
      </c>
      <c r="G4746" s="7" t="n">
        <v>313.1884460449219</v>
      </c>
      <c r="H4746" s="6">
        <f>P4715</f>
        <v/>
      </c>
      <c r="I4746" s="9">
        <f>Q4715</f>
        <v/>
      </c>
      <c r="J4746" s="7">
        <f>I4746*G4746</f>
        <v/>
      </c>
      <c r="K4746" s="8">
        <f>IF($J$4775=0,0,J4746/$J$4775)</f>
        <v/>
      </c>
      <c r="L4746" s="6" t="inlineStr">
        <is>
          <t>WATCHLIST</t>
        </is>
      </c>
      <c r="M4746" s="8" t="n">
        <v>0</v>
      </c>
      <c r="N4746" s="7">
        <f>M4746*$J$4775-J4746</f>
        <v/>
      </c>
      <c r="O4746" s="9">
        <f>IF(G4746=0,0,N4746/G4746)</f>
        <v/>
      </c>
      <c r="P4746" s="6">
        <f>IF(M4746&gt;0,D4746,"")</f>
        <v/>
      </c>
      <c r="Q4746" s="9">
        <f>I4746+O4746</f>
        <v/>
      </c>
      <c r="R4746" s="7">
        <f>Q4746*G4746</f>
        <v/>
      </c>
      <c r="S4746" s="8">
        <f>IF($R$4775=0,0,R4746/$R$4775)</f>
        <v/>
      </c>
      <c r="T4746" s="8" t="n">
        <v>0.00708525891843137</v>
      </c>
      <c r="U4746" s="8" t="n">
        <v>0.01118682668785786</v>
      </c>
      <c r="V4746" s="6" t="inlineStr">
        <is>
          <t>not selected</t>
        </is>
      </c>
    </row>
    <row r="4747">
      <c r="A4747" s="6" t="inlineStr">
        <is>
          <t>DJ30</t>
        </is>
      </c>
      <c r="B4747" s="6" t="inlineStr">
        <is>
          <t>2025-12-12</t>
        </is>
      </c>
      <c r="C4747" s="6" t="inlineStr">
        <is>
          <t>DIA</t>
        </is>
      </c>
      <c r="D4747" s="6" t="inlineStr">
        <is>
          <t>AMZN</t>
        </is>
      </c>
      <c r="E4747" s="6" t="inlineStr">
        <is>
          <t>AMZN</t>
        </is>
      </c>
      <c r="F4747" s="6" t="inlineStr">
        <is>
          <t>-</t>
        </is>
      </c>
      <c r="G4747" s="7" t="n">
        <v>226.1900024414062</v>
      </c>
      <c r="H4747" s="6">
        <f>P4716</f>
        <v/>
      </c>
      <c r="I4747" s="9">
        <f>Q4716</f>
        <v/>
      </c>
      <c r="J4747" s="7">
        <f>I4747*G4747</f>
        <v/>
      </c>
      <c r="K4747" s="8">
        <f>IF($J$4775=0,0,J4747/$J$4775)</f>
        <v/>
      </c>
      <c r="L4747" s="6" t="inlineStr">
        <is>
          <t>REJECTED</t>
        </is>
      </c>
      <c r="M4747" s="8" t="n">
        <v>0</v>
      </c>
      <c r="N4747" s="7">
        <f>M4747*$J$4775-J4747</f>
        <v/>
      </c>
      <c r="O4747" s="9">
        <f>IF(G4747=0,0,N4747/G4747)</f>
        <v/>
      </c>
      <c r="P4747" s="6">
        <f>IF(M4747&gt;0,D4747,"")</f>
        <v/>
      </c>
      <c r="Q4747" s="9">
        <f>I4747+O4747</f>
        <v/>
      </c>
      <c r="R4747" s="7">
        <f>Q4747*G4747</f>
        <v/>
      </c>
      <c r="S4747" s="8">
        <f>IF($R$4775=0,0,R4747/$R$4775)</f>
        <v/>
      </c>
      <c r="T4747" s="8" t="n">
        <v>0.00708525891843137</v>
      </c>
      <c r="U4747" s="8" t="n">
        <v>0.01118682668785786</v>
      </c>
      <c r="V4747" s="6" t="inlineStr">
        <is>
          <t>not selected</t>
        </is>
      </c>
    </row>
    <row r="4748">
      <c r="A4748" s="6" t="inlineStr">
        <is>
          <t>DJ30</t>
        </is>
      </c>
      <c r="B4748" s="6" t="inlineStr">
        <is>
          <t>2025-12-12</t>
        </is>
      </c>
      <c r="C4748" s="6" t="inlineStr">
        <is>
          <t>DIA</t>
        </is>
      </c>
      <c r="D4748" s="6" t="inlineStr">
        <is>
          <t>AXP</t>
        </is>
      </c>
      <c r="E4748" s="6" t="inlineStr">
        <is>
          <t>AXP</t>
        </is>
      </c>
      <c r="F4748" s="6" t="inlineStr">
        <is>
          <t>-</t>
        </is>
      </c>
      <c r="G4748" s="7" t="n">
        <v>380.5091247558594</v>
      </c>
      <c r="H4748" s="6">
        <f>P4717</f>
        <v/>
      </c>
      <c r="I4748" s="9">
        <f>Q4717</f>
        <v/>
      </c>
      <c r="J4748" s="7">
        <f>I4748*G4748</f>
        <v/>
      </c>
      <c r="K4748" s="8">
        <f>IF($J$4775=0,0,J4748/$J$4775)</f>
        <v/>
      </c>
      <c r="L4748" s="6" t="inlineStr">
        <is>
          <t>WATCHLIST</t>
        </is>
      </c>
      <c r="M4748" s="8" t="n">
        <v>0</v>
      </c>
      <c r="N4748" s="7">
        <f>M4748*$J$4775-J4748</f>
        <v/>
      </c>
      <c r="O4748" s="9">
        <f>IF(G4748=0,0,N4748/G4748)</f>
        <v/>
      </c>
      <c r="P4748" s="6">
        <f>IF(M4748&gt;0,D4748,"")</f>
        <v/>
      </c>
      <c r="Q4748" s="9">
        <f>I4748+O4748</f>
        <v/>
      </c>
      <c r="R4748" s="7">
        <f>Q4748*G4748</f>
        <v/>
      </c>
      <c r="S4748" s="8">
        <f>IF($R$4775=0,0,R4748/$R$4775)</f>
        <v/>
      </c>
      <c r="T4748" s="8" t="n">
        <v>0.00708525891843137</v>
      </c>
      <c r="U4748" s="8" t="n">
        <v>0.01118682668785786</v>
      </c>
      <c r="V4748" s="6" t="inlineStr">
        <is>
          <t>not selected</t>
        </is>
      </c>
    </row>
    <row r="4749">
      <c r="A4749" s="6" t="inlineStr">
        <is>
          <t>DJ30</t>
        </is>
      </c>
      <c r="B4749" s="6" t="inlineStr">
        <is>
          <t>2025-12-12</t>
        </is>
      </c>
      <c r="C4749" s="6" t="inlineStr">
        <is>
          <t>DIA</t>
        </is>
      </c>
      <c r="D4749" s="6" t="inlineStr">
        <is>
          <t>BA</t>
        </is>
      </c>
      <c r="E4749" s="6" t="inlineStr">
        <is>
          <t>BA</t>
        </is>
      </c>
      <c r="F4749" s="6" t="inlineStr">
        <is>
          <t>-</t>
        </is>
      </c>
      <c r="G4749" s="7" t="n">
        <v>204.3800048828125</v>
      </c>
      <c r="H4749" s="6">
        <f>P4718</f>
        <v/>
      </c>
      <c r="I4749" s="9">
        <f>Q4718</f>
        <v/>
      </c>
      <c r="J4749" s="7">
        <f>I4749*G4749</f>
        <v/>
      </c>
      <c r="K4749" s="8">
        <f>IF($J$4775=0,0,J4749/$J$4775)</f>
        <v/>
      </c>
      <c r="L4749" s="6" t="inlineStr">
        <is>
          <t>WATCHLIST</t>
        </is>
      </c>
      <c r="M4749" s="8" t="n">
        <v>0</v>
      </c>
      <c r="N4749" s="7">
        <f>M4749*$J$4775-J4749</f>
        <v/>
      </c>
      <c r="O4749" s="9">
        <f>IF(G4749=0,0,N4749/G4749)</f>
        <v/>
      </c>
      <c r="P4749" s="6">
        <f>IF(M4749&gt;0,D4749,"")</f>
        <v/>
      </c>
      <c r="Q4749" s="9">
        <f>I4749+O4749</f>
        <v/>
      </c>
      <c r="R4749" s="7">
        <f>Q4749*G4749</f>
        <v/>
      </c>
      <c r="S4749" s="8">
        <f>IF($R$4775=0,0,R4749/$R$4775)</f>
        <v/>
      </c>
      <c r="T4749" s="8" t="n">
        <v>0.00708525891843137</v>
      </c>
      <c r="U4749" s="8" t="n">
        <v>0.01118682668785786</v>
      </c>
      <c r="V4749" s="6" t="inlineStr">
        <is>
          <t>not selected</t>
        </is>
      </c>
    </row>
    <row r="4750">
      <c r="A4750" s="6" t="inlineStr">
        <is>
          <t>DJ30</t>
        </is>
      </c>
      <c r="B4750" s="6" t="inlineStr">
        <is>
          <t>2025-12-12</t>
        </is>
      </c>
      <c r="C4750" s="6" t="inlineStr">
        <is>
          <t>DIA</t>
        </is>
      </c>
      <c r="D4750" s="6" t="inlineStr">
        <is>
          <t>CAT</t>
        </is>
      </c>
      <c r="E4750" s="6" t="inlineStr">
        <is>
          <t>CAT</t>
        </is>
      </c>
      <c r="F4750" s="6" t="inlineStr">
        <is>
          <t>-</t>
        </is>
      </c>
      <c r="G4750" s="7" t="n">
        <v>595.3609008789062</v>
      </c>
      <c r="H4750" s="6">
        <f>P4719</f>
        <v/>
      </c>
      <c r="I4750" s="9">
        <f>Q4719</f>
        <v/>
      </c>
      <c r="J4750" s="7">
        <f>I4750*G4750</f>
        <v/>
      </c>
      <c r="K4750" s="8">
        <f>IF($J$4775=0,0,J4750/$J$4775)</f>
        <v/>
      </c>
      <c r="L4750" s="6" t="inlineStr">
        <is>
          <t>SELECTED</t>
        </is>
      </c>
      <c r="M4750" s="8" t="n">
        <v>0.2</v>
      </c>
      <c r="N4750" s="7">
        <f>M4750*$J$4775-J4750</f>
        <v/>
      </c>
      <c r="O4750" s="9">
        <f>IF(G4750=0,0,N4750/G4750)</f>
        <v/>
      </c>
      <c r="P4750" s="6">
        <f>IF(M4750&gt;0,D4750,"")</f>
        <v/>
      </c>
      <c r="Q4750" s="9">
        <f>I4750+O4750</f>
        <v/>
      </c>
      <c r="R4750" s="7">
        <f>Q4750*G4750</f>
        <v/>
      </c>
      <c r="S4750" s="8">
        <f>IF($R$4775=0,0,R4750/$R$4775)</f>
        <v/>
      </c>
      <c r="T4750" s="8" t="n">
        <v>0.00708525891843137</v>
      </c>
      <c r="U4750" s="8" t="n">
        <v>0.01118682668785786</v>
      </c>
      <c r="V4750" s="6" t="inlineStr">
        <is>
          <t>remained in weekly selection</t>
        </is>
      </c>
    </row>
    <row r="4751">
      <c r="A4751" s="6" t="inlineStr">
        <is>
          <t>DJ30</t>
        </is>
      </c>
      <c r="B4751" s="6" t="inlineStr">
        <is>
          <t>2025-12-12</t>
        </is>
      </c>
      <c r="C4751" s="6" t="inlineStr">
        <is>
          <t>DIA</t>
        </is>
      </c>
      <c r="D4751" s="6" t="inlineStr">
        <is>
          <t>CRM</t>
        </is>
      </c>
      <c r="E4751" s="6" t="inlineStr">
        <is>
          <t>CRM</t>
        </is>
      </c>
      <c r="F4751" s="6" t="inlineStr">
        <is>
          <t>-</t>
        </is>
      </c>
      <c r="G4751" s="7" t="n">
        <v>260.4819641113281</v>
      </c>
      <c r="H4751" s="6">
        <f>P4720</f>
        <v/>
      </c>
      <c r="I4751" s="9">
        <f>Q4720</f>
        <v/>
      </c>
      <c r="J4751" s="7">
        <f>I4751*G4751</f>
        <v/>
      </c>
      <c r="K4751" s="8">
        <f>IF($J$4775=0,0,J4751/$J$4775)</f>
        <v/>
      </c>
      <c r="L4751" s="6" t="inlineStr">
        <is>
          <t>REJECTED</t>
        </is>
      </c>
      <c r="M4751" s="8" t="n">
        <v>0</v>
      </c>
      <c r="N4751" s="7">
        <f>M4751*$J$4775-J4751</f>
        <v/>
      </c>
      <c r="O4751" s="9">
        <f>IF(G4751=0,0,N4751/G4751)</f>
        <v/>
      </c>
      <c r="P4751" s="6">
        <f>IF(M4751&gt;0,D4751,"")</f>
        <v/>
      </c>
      <c r="Q4751" s="9">
        <f>I4751+O4751</f>
        <v/>
      </c>
      <c r="R4751" s="7">
        <f>Q4751*G4751</f>
        <v/>
      </c>
      <c r="S4751" s="8">
        <f>IF($R$4775=0,0,R4751/$R$4775)</f>
        <v/>
      </c>
      <c r="T4751" s="8" t="n">
        <v>0.00708525891843137</v>
      </c>
      <c r="U4751" s="8" t="n">
        <v>0.01118682668785786</v>
      </c>
      <c r="V4751" s="6" t="inlineStr">
        <is>
          <t>not selected</t>
        </is>
      </c>
    </row>
    <row r="4752">
      <c r="A4752" s="6" t="inlineStr">
        <is>
          <t>DJ30</t>
        </is>
      </c>
      <c r="B4752" s="6" t="inlineStr">
        <is>
          <t>2025-12-12</t>
        </is>
      </c>
      <c r="C4752" s="6" t="inlineStr">
        <is>
          <t>DIA</t>
        </is>
      </c>
      <c r="D4752" s="6" t="inlineStr">
        <is>
          <t>CSCO</t>
        </is>
      </c>
      <c r="E4752" s="6" t="inlineStr">
        <is>
          <t>CSCO</t>
        </is>
      </c>
      <c r="F4752" s="6" t="inlineStr">
        <is>
          <t>-</t>
        </is>
      </c>
      <c r="G4752" s="7" t="n">
        <v>76.96884155273438</v>
      </c>
      <c r="H4752" s="6">
        <f>P4721</f>
        <v/>
      </c>
      <c r="I4752" s="9">
        <f>Q4721</f>
        <v/>
      </c>
      <c r="J4752" s="7">
        <f>I4752*G4752</f>
        <v/>
      </c>
      <c r="K4752" s="8">
        <f>IF($J$4775=0,0,J4752/$J$4775)</f>
        <v/>
      </c>
      <c r="L4752" s="6" t="inlineStr">
        <is>
          <t>SELECTED</t>
        </is>
      </c>
      <c r="M4752" s="8" t="n">
        <v>0.2</v>
      </c>
      <c r="N4752" s="7">
        <f>M4752*$J$4775-J4752</f>
        <v/>
      </c>
      <c r="O4752" s="9">
        <f>IF(G4752=0,0,N4752/G4752)</f>
        <v/>
      </c>
      <c r="P4752" s="6">
        <f>IF(M4752&gt;0,D4752,"")</f>
        <v/>
      </c>
      <c r="Q4752" s="9">
        <f>I4752+O4752</f>
        <v/>
      </c>
      <c r="R4752" s="7">
        <f>Q4752*G4752</f>
        <v/>
      </c>
      <c r="S4752" s="8">
        <f>IF($R$4775=0,0,R4752/$R$4775)</f>
        <v/>
      </c>
      <c r="T4752" s="8" t="n">
        <v>0.00708525891843137</v>
      </c>
      <c r="U4752" s="8" t="n">
        <v>0.01118682668785786</v>
      </c>
      <c r="V4752" s="6" t="inlineStr">
        <is>
          <t>remained in weekly selection</t>
        </is>
      </c>
    </row>
    <row r="4753">
      <c r="A4753" s="6" t="inlineStr">
        <is>
          <t>DJ30</t>
        </is>
      </c>
      <c r="B4753" s="6" t="inlineStr">
        <is>
          <t>2025-12-12</t>
        </is>
      </c>
      <c r="C4753" s="6" t="inlineStr">
        <is>
          <t>DIA</t>
        </is>
      </c>
      <c r="D4753" s="6" t="inlineStr">
        <is>
          <t>CVX</t>
        </is>
      </c>
      <c r="E4753" s="6" t="inlineStr">
        <is>
          <t>CVX</t>
        </is>
      </c>
      <c r="F4753" s="6" t="inlineStr">
        <is>
          <t>-</t>
        </is>
      </c>
      <c r="G4753" s="7" t="n">
        <v>147.1888275146484</v>
      </c>
      <c r="H4753" s="6">
        <f>P4722</f>
        <v/>
      </c>
      <c r="I4753" s="9">
        <f>Q4722</f>
        <v/>
      </c>
      <c r="J4753" s="7">
        <f>I4753*G4753</f>
        <v/>
      </c>
      <c r="K4753" s="8">
        <f>IF($J$4775=0,0,J4753/$J$4775)</f>
        <v/>
      </c>
      <c r="L4753" s="6" t="inlineStr">
        <is>
          <t>REJECTED</t>
        </is>
      </c>
      <c r="M4753" s="8" t="n">
        <v>0</v>
      </c>
      <c r="N4753" s="7">
        <f>M4753*$J$4775-J4753</f>
        <v/>
      </c>
      <c r="O4753" s="9">
        <f>IF(G4753=0,0,N4753/G4753)</f>
        <v/>
      </c>
      <c r="P4753" s="6">
        <f>IF(M4753&gt;0,D4753,"")</f>
        <v/>
      </c>
      <c r="Q4753" s="9">
        <f>I4753+O4753</f>
        <v/>
      </c>
      <c r="R4753" s="7">
        <f>Q4753*G4753</f>
        <v/>
      </c>
      <c r="S4753" s="8">
        <f>IF($R$4775=0,0,R4753/$R$4775)</f>
        <v/>
      </c>
      <c r="T4753" s="8" t="n">
        <v>0.00708525891843137</v>
      </c>
      <c r="U4753" s="8" t="n">
        <v>0.01118682668785786</v>
      </c>
      <c r="V4753" s="6" t="inlineStr">
        <is>
          <t>not selected</t>
        </is>
      </c>
    </row>
    <row r="4754">
      <c r="A4754" s="6" t="inlineStr">
        <is>
          <t>DJ30</t>
        </is>
      </c>
      <c r="B4754" s="6" t="inlineStr">
        <is>
          <t>2025-12-12</t>
        </is>
      </c>
      <c r="C4754" s="6" t="inlineStr">
        <is>
          <t>DIA</t>
        </is>
      </c>
      <c r="D4754" s="6" t="inlineStr">
        <is>
          <t>DIS</t>
        </is>
      </c>
      <c r="E4754" s="6" t="inlineStr">
        <is>
          <t>DIS</t>
        </is>
      </c>
      <c r="F4754" s="6" t="inlineStr">
        <is>
          <t>-</t>
        </is>
      </c>
      <c r="G4754" s="7" t="n">
        <v>110.8499984741211</v>
      </c>
      <c r="H4754" s="6">
        <f>P4723</f>
        <v/>
      </c>
      <c r="I4754" s="9">
        <f>Q4723</f>
        <v/>
      </c>
      <c r="J4754" s="7">
        <f>I4754*G4754</f>
        <v/>
      </c>
      <c r="K4754" s="8">
        <f>IF($J$4775=0,0,J4754/$J$4775)</f>
        <v/>
      </c>
      <c r="L4754" s="6" t="inlineStr">
        <is>
          <t>REJECTED</t>
        </is>
      </c>
      <c r="M4754" s="8" t="n">
        <v>0</v>
      </c>
      <c r="N4754" s="7">
        <f>M4754*$J$4775-J4754</f>
        <v/>
      </c>
      <c r="O4754" s="9">
        <f>IF(G4754=0,0,N4754/G4754)</f>
        <v/>
      </c>
      <c r="P4754" s="6">
        <f>IF(M4754&gt;0,D4754,"")</f>
        <v/>
      </c>
      <c r="Q4754" s="9">
        <f>I4754+O4754</f>
        <v/>
      </c>
      <c r="R4754" s="7">
        <f>Q4754*G4754</f>
        <v/>
      </c>
      <c r="S4754" s="8">
        <f>IF($R$4775=0,0,R4754/$R$4775)</f>
        <v/>
      </c>
      <c r="T4754" s="8" t="n">
        <v>0.00708525891843137</v>
      </c>
      <c r="U4754" s="8" t="n">
        <v>0.01118682668785786</v>
      </c>
      <c r="V4754" s="6" t="inlineStr">
        <is>
          <t>not selected</t>
        </is>
      </c>
    </row>
    <row r="4755">
      <c r="A4755" s="6" t="inlineStr">
        <is>
          <t>DJ30</t>
        </is>
      </c>
      <c r="B4755" s="6" t="inlineStr">
        <is>
          <t>2025-12-12</t>
        </is>
      </c>
      <c r="C4755" s="6" t="inlineStr">
        <is>
          <t>DIA</t>
        </is>
      </c>
      <c r="D4755" s="6" t="inlineStr">
        <is>
          <t>GS</t>
        </is>
      </c>
      <c r="E4755" s="6" t="inlineStr">
        <is>
          <t>GS</t>
        </is>
      </c>
      <c r="F4755" s="6" t="inlineStr">
        <is>
          <t>-</t>
        </is>
      </c>
      <c r="G4755" s="7" t="n">
        <v>879.435546875</v>
      </c>
      <c r="H4755" s="6">
        <f>P4724</f>
        <v/>
      </c>
      <c r="I4755" s="9">
        <f>Q4724</f>
        <v/>
      </c>
      <c r="J4755" s="7">
        <f>I4755*G4755</f>
        <v/>
      </c>
      <c r="K4755" s="8">
        <f>IF($J$4775=0,0,J4755/$J$4775)</f>
        <v/>
      </c>
      <c r="L4755" s="6" t="inlineStr">
        <is>
          <t>SELECTED</t>
        </is>
      </c>
      <c r="M4755" s="8" t="n">
        <v>0.2</v>
      </c>
      <c r="N4755" s="7">
        <f>M4755*$J$4775-J4755</f>
        <v/>
      </c>
      <c r="O4755" s="9">
        <f>IF(G4755=0,0,N4755/G4755)</f>
        <v/>
      </c>
      <c r="P4755" s="6">
        <f>IF(M4755&gt;0,D4755,"")</f>
        <v/>
      </c>
      <c r="Q4755" s="9">
        <f>I4755+O4755</f>
        <v/>
      </c>
      <c r="R4755" s="7">
        <f>Q4755*G4755</f>
        <v/>
      </c>
      <c r="S4755" s="8">
        <f>IF($R$4775=0,0,R4755/$R$4775)</f>
        <v/>
      </c>
      <c r="T4755" s="8" t="n">
        <v>0.00708525891843137</v>
      </c>
      <c r="U4755" s="8" t="n">
        <v>0.01118682668785786</v>
      </c>
      <c r="V4755" s="6" t="inlineStr">
        <is>
          <t>remained in weekly selection</t>
        </is>
      </c>
    </row>
    <row r="4756">
      <c r="A4756" s="6" t="inlineStr">
        <is>
          <t>DJ30</t>
        </is>
      </c>
      <c r="B4756" s="6" t="inlineStr">
        <is>
          <t>2025-12-12</t>
        </is>
      </c>
      <c r="C4756" s="6" t="inlineStr">
        <is>
          <t>DIA</t>
        </is>
      </c>
      <c r="D4756" s="6" t="inlineStr">
        <is>
          <t>HD</t>
        </is>
      </c>
      <c r="E4756" s="6" t="inlineStr">
        <is>
          <t>HD</t>
        </is>
      </c>
      <c r="F4756" s="6" t="inlineStr">
        <is>
          <t>-</t>
        </is>
      </c>
      <c r="G4756" s="7" t="n">
        <v>354.6017456054688</v>
      </c>
      <c r="H4756" s="6">
        <f>P4725</f>
        <v/>
      </c>
      <c r="I4756" s="9">
        <f>Q4725</f>
        <v/>
      </c>
      <c r="J4756" s="7">
        <f>I4756*G4756</f>
        <v/>
      </c>
      <c r="K4756" s="8">
        <f>IF($J$4775=0,0,J4756/$J$4775)</f>
        <v/>
      </c>
      <c r="L4756" s="6" t="inlineStr">
        <is>
          <t>REJECTED</t>
        </is>
      </c>
      <c r="M4756" s="8" t="n">
        <v>0</v>
      </c>
      <c r="N4756" s="7">
        <f>M4756*$J$4775-J4756</f>
        <v/>
      </c>
      <c r="O4756" s="9">
        <f>IF(G4756=0,0,N4756/G4756)</f>
        <v/>
      </c>
      <c r="P4756" s="6">
        <f>IF(M4756&gt;0,D4756,"")</f>
        <v/>
      </c>
      <c r="Q4756" s="9">
        <f>I4756+O4756</f>
        <v/>
      </c>
      <c r="R4756" s="7">
        <f>Q4756*G4756</f>
        <v/>
      </c>
      <c r="S4756" s="8">
        <f>IF($R$4775=0,0,R4756/$R$4775)</f>
        <v/>
      </c>
      <c r="T4756" s="8" t="n">
        <v>0.00708525891843137</v>
      </c>
      <c r="U4756" s="8" t="n">
        <v>0.01118682668785786</v>
      </c>
      <c r="V4756" s="6" t="inlineStr">
        <is>
          <t>not selected</t>
        </is>
      </c>
    </row>
    <row r="4757">
      <c r="A4757" s="6" t="inlineStr">
        <is>
          <t>DJ30</t>
        </is>
      </c>
      <c r="B4757" s="6" t="inlineStr">
        <is>
          <t>2025-12-12</t>
        </is>
      </c>
      <c r="C4757" s="6" t="inlineStr">
        <is>
          <t>DIA</t>
        </is>
      </c>
      <c r="D4757" s="6" t="inlineStr">
        <is>
          <t>HON</t>
        </is>
      </c>
      <c r="E4757" s="6" t="inlineStr">
        <is>
          <t>HON</t>
        </is>
      </c>
      <c r="F4757" s="6" t="inlineStr">
        <is>
          <t>-</t>
        </is>
      </c>
      <c r="G4757" s="7" t="n">
        <v>191.6500091552734</v>
      </c>
      <c r="H4757" s="6">
        <f>P4726</f>
        <v/>
      </c>
      <c r="I4757" s="9">
        <f>Q4726</f>
        <v/>
      </c>
      <c r="J4757" s="7">
        <f>I4757*G4757</f>
        <v/>
      </c>
      <c r="K4757" s="8">
        <f>IF($J$4775=0,0,J4757/$J$4775)</f>
        <v/>
      </c>
      <c r="L4757" s="6" t="inlineStr">
        <is>
          <t>REJECTED</t>
        </is>
      </c>
      <c r="M4757" s="8" t="n">
        <v>0</v>
      </c>
      <c r="N4757" s="7">
        <f>M4757*$J$4775-J4757</f>
        <v/>
      </c>
      <c r="O4757" s="9">
        <f>IF(G4757=0,0,N4757/G4757)</f>
        <v/>
      </c>
      <c r="P4757" s="6">
        <f>IF(M4757&gt;0,D4757,"")</f>
        <v/>
      </c>
      <c r="Q4757" s="9">
        <f>I4757+O4757</f>
        <v/>
      </c>
      <c r="R4757" s="7">
        <f>Q4757*G4757</f>
        <v/>
      </c>
      <c r="S4757" s="8">
        <f>IF($R$4775=0,0,R4757/$R$4775)</f>
        <v/>
      </c>
      <c r="T4757" s="8" t="n">
        <v>0.00708525891843137</v>
      </c>
      <c r="U4757" s="8" t="n">
        <v>0.01118682668785786</v>
      </c>
      <c r="V4757" s="6" t="inlineStr">
        <is>
          <t>not selected</t>
        </is>
      </c>
    </row>
    <row r="4758">
      <c r="A4758" s="6" t="inlineStr">
        <is>
          <t>DJ30</t>
        </is>
      </c>
      <c r="B4758" s="6" t="inlineStr">
        <is>
          <t>2025-12-12</t>
        </is>
      </c>
      <c r="C4758" s="6" t="inlineStr">
        <is>
          <t>DIA</t>
        </is>
      </c>
      <c r="D4758" s="6" t="inlineStr">
        <is>
          <t>IBM</t>
        </is>
      </c>
      <c r="E4758" s="6" t="inlineStr">
        <is>
          <t>IBM</t>
        </is>
      </c>
      <c r="F4758" s="6" t="inlineStr">
        <is>
          <t>-</t>
        </is>
      </c>
      <c r="G4758" s="7" t="n">
        <v>305.2402954101562</v>
      </c>
      <c r="H4758" s="6">
        <f>P4727</f>
        <v/>
      </c>
      <c r="I4758" s="9">
        <f>Q4727</f>
        <v/>
      </c>
      <c r="J4758" s="7">
        <f>I4758*G4758</f>
        <v/>
      </c>
      <c r="K4758" s="8">
        <f>IF($J$4775=0,0,J4758/$J$4775)</f>
        <v/>
      </c>
      <c r="L4758" s="6" t="inlineStr">
        <is>
          <t>WATCHLIST</t>
        </is>
      </c>
      <c r="M4758" s="8" t="n">
        <v>0</v>
      </c>
      <c r="N4758" s="7">
        <f>M4758*$J$4775-J4758</f>
        <v/>
      </c>
      <c r="O4758" s="9">
        <f>IF(G4758=0,0,N4758/G4758)</f>
        <v/>
      </c>
      <c r="P4758" s="6">
        <f>IF(M4758&gt;0,D4758,"")</f>
        <v/>
      </c>
      <c r="Q4758" s="9">
        <f>I4758+O4758</f>
        <v/>
      </c>
      <c r="R4758" s="7">
        <f>Q4758*G4758</f>
        <v/>
      </c>
      <c r="S4758" s="8">
        <f>IF($R$4775=0,0,R4758/$R$4775)</f>
        <v/>
      </c>
      <c r="T4758" s="8" t="n">
        <v>0.00708525891843137</v>
      </c>
      <c r="U4758" s="8" t="n">
        <v>0.01118682668785786</v>
      </c>
      <c r="V4758" s="6" t="inlineStr">
        <is>
          <t>not selected</t>
        </is>
      </c>
    </row>
    <row r="4759">
      <c r="A4759" s="6" t="inlineStr">
        <is>
          <t>DJ30</t>
        </is>
      </c>
      <c r="B4759" s="6" t="inlineStr">
        <is>
          <t>2025-12-12</t>
        </is>
      </c>
      <c r="C4759" s="6" t="inlineStr">
        <is>
          <t>DIA</t>
        </is>
      </c>
      <c r="D4759" s="6" t="inlineStr">
        <is>
          <t>JNJ</t>
        </is>
      </c>
      <c r="E4759" s="6" t="inlineStr">
        <is>
          <t>JNJ</t>
        </is>
      </c>
      <c r="F4759" s="6" t="inlineStr">
        <is>
          <t>-</t>
        </is>
      </c>
      <c r="G4759" s="7" t="n">
        <v>209.2577209472656</v>
      </c>
      <c r="H4759" s="6">
        <f>P4728</f>
        <v/>
      </c>
      <c r="I4759" s="9">
        <f>Q4728</f>
        <v/>
      </c>
      <c r="J4759" s="7">
        <f>I4759*G4759</f>
        <v/>
      </c>
      <c r="K4759" s="8">
        <f>IF($J$4775=0,0,J4759/$J$4775)</f>
        <v/>
      </c>
      <c r="L4759" s="6" t="inlineStr">
        <is>
          <t>SELECTED</t>
        </is>
      </c>
      <c r="M4759" s="8" t="n">
        <v>0.2</v>
      </c>
      <c r="N4759" s="7">
        <f>M4759*$J$4775-J4759</f>
        <v/>
      </c>
      <c r="O4759" s="9">
        <f>IF(G4759=0,0,N4759/G4759)</f>
        <v/>
      </c>
      <c r="P4759" s="6">
        <f>IF(M4759&gt;0,D4759,"")</f>
        <v/>
      </c>
      <c r="Q4759" s="9">
        <f>I4759+O4759</f>
        <v/>
      </c>
      <c r="R4759" s="7">
        <f>Q4759*G4759</f>
        <v/>
      </c>
      <c r="S4759" s="8">
        <f>IF($R$4775=0,0,R4759/$R$4775)</f>
        <v/>
      </c>
      <c r="T4759" s="8" t="n">
        <v>0.00708525891843137</v>
      </c>
      <c r="U4759" s="8" t="n">
        <v>0.01118682668785786</v>
      </c>
      <c r="V4759" s="6" t="inlineStr">
        <is>
          <t>remained in weekly selection</t>
        </is>
      </c>
    </row>
    <row r="4760">
      <c r="A4760" s="6" t="inlineStr">
        <is>
          <t>DJ30</t>
        </is>
      </c>
      <c r="B4760" s="6" t="inlineStr">
        <is>
          <t>2025-12-12</t>
        </is>
      </c>
      <c r="C4760" s="6" t="inlineStr">
        <is>
          <t>DIA</t>
        </is>
      </c>
      <c r="D4760" s="6" t="inlineStr">
        <is>
          <t>JPM</t>
        </is>
      </c>
      <c r="E4760" s="6" t="inlineStr">
        <is>
          <t>JPM</t>
        </is>
      </c>
      <c r="F4760" s="6" t="inlineStr">
        <is>
          <t>-</t>
        </is>
      </c>
      <c r="G4760" s="7" t="n">
        <v>315.4751586914062</v>
      </c>
      <c r="H4760" s="6">
        <f>P4729</f>
        <v/>
      </c>
      <c r="I4760" s="9">
        <f>Q4729</f>
        <v/>
      </c>
      <c r="J4760" s="7">
        <f>I4760*G4760</f>
        <v/>
      </c>
      <c r="K4760" s="8">
        <f>IF($J$4775=0,0,J4760/$J$4775)</f>
        <v/>
      </c>
      <c r="L4760" s="6" t="inlineStr">
        <is>
          <t>WATCHLIST</t>
        </is>
      </c>
      <c r="M4760" s="8" t="n">
        <v>0</v>
      </c>
      <c r="N4760" s="7">
        <f>M4760*$J$4775-J4760</f>
        <v/>
      </c>
      <c r="O4760" s="9">
        <f>IF(G4760=0,0,N4760/G4760)</f>
        <v/>
      </c>
      <c r="P4760" s="6">
        <f>IF(M4760&gt;0,D4760,"")</f>
        <v/>
      </c>
      <c r="Q4760" s="9">
        <f>I4760+O4760</f>
        <v/>
      </c>
      <c r="R4760" s="7">
        <f>Q4760*G4760</f>
        <v/>
      </c>
      <c r="S4760" s="8">
        <f>IF($R$4775=0,0,R4760/$R$4775)</f>
        <v/>
      </c>
      <c r="T4760" s="8" t="n">
        <v>0.00708525891843137</v>
      </c>
      <c r="U4760" s="8" t="n">
        <v>0.01118682668785786</v>
      </c>
      <c r="V4760" s="6" t="inlineStr">
        <is>
          <t>not selected</t>
        </is>
      </c>
    </row>
    <row r="4761">
      <c r="A4761" s="6" t="inlineStr">
        <is>
          <t>DJ30</t>
        </is>
      </c>
      <c r="B4761" s="6" t="inlineStr">
        <is>
          <t>2025-12-12</t>
        </is>
      </c>
      <c r="C4761" s="6" t="inlineStr">
        <is>
          <t>DIA</t>
        </is>
      </c>
      <c r="D4761" s="6" t="inlineStr">
        <is>
          <t>KO</t>
        </is>
      </c>
      <c r="E4761" s="6" t="inlineStr">
        <is>
          <t>KO</t>
        </is>
      </c>
      <c r="F4761" s="6" t="inlineStr">
        <is>
          <t>-</t>
        </is>
      </c>
      <c r="G4761" s="7" t="n">
        <v>69.58912658691406</v>
      </c>
      <c r="H4761" s="6">
        <f>P4730</f>
        <v/>
      </c>
      <c r="I4761" s="9">
        <f>Q4730</f>
        <v/>
      </c>
      <c r="J4761" s="7">
        <f>I4761*G4761</f>
        <v/>
      </c>
      <c r="K4761" s="8">
        <f>IF($J$4775=0,0,J4761/$J$4775)</f>
        <v/>
      </c>
      <c r="L4761" s="6" t="inlineStr">
        <is>
          <t>WATCHLIST</t>
        </is>
      </c>
      <c r="M4761" s="8" t="n">
        <v>0</v>
      </c>
      <c r="N4761" s="7">
        <f>M4761*$J$4775-J4761</f>
        <v/>
      </c>
      <c r="O4761" s="9">
        <f>IF(G4761=0,0,N4761/G4761)</f>
        <v/>
      </c>
      <c r="P4761" s="6">
        <f>IF(M4761&gt;0,D4761,"")</f>
        <v/>
      </c>
      <c r="Q4761" s="9">
        <f>I4761+O4761</f>
        <v/>
      </c>
      <c r="R4761" s="7">
        <f>Q4761*G4761</f>
        <v/>
      </c>
      <c r="S4761" s="8">
        <f>IF($R$4775=0,0,R4761/$R$4775)</f>
        <v/>
      </c>
      <c r="T4761" s="8" t="n">
        <v>0.00708525891843137</v>
      </c>
      <c r="U4761" s="8" t="n">
        <v>0.01118682668785786</v>
      </c>
      <c r="V4761" s="6" t="inlineStr">
        <is>
          <t>not selected</t>
        </is>
      </c>
    </row>
    <row r="4762">
      <c r="A4762" s="6" t="inlineStr">
        <is>
          <t>DJ30</t>
        </is>
      </c>
      <c r="B4762" s="6" t="inlineStr">
        <is>
          <t>2025-12-12</t>
        </is>
      </c>
      <c r="C4762" s="6" t="inlineStr">
        <is>
          <t>DIA</t>
        </is>
      </c>
      <c r="D4762" s="6" t="inlineStr">
        <is>
          <t>MCD</t>
        </is>
      </c>
      <c r="E4762" s="6" t="inlineStr">
        <is>
          <t>MCD</t>
        </is>
      </c>
      <c r="F4762" s="6" t="inlineStr">
        <is>
          <t>-</t>
        </is>
      </c>
      <c r="G4762" s="7" t="n">
        <v>312.8388366699219</v>
      </c>
      <c r="H4762" s="6">
        <f>P4731</f>
        <v/>
      </c>
      <c r="I4762" s="9">
        <f>Q4731</f>
        <v/>
      </c>
      <c r="J4762" s="7">
        <f>I4762*G4762</f>
        <v/>
      </c>
      <c r="K4762" s="8">
        <f>IF($J$4775=0,0,J4762/$J$4775)</f>
        <v/>
      </c>
      <c r="L4762" s="6" t="inlineStr">
        <is>
          <t>REJECTED</t>
        </is>
      </c>
      <c r="M4762" s="8" t="n">
        <v>0</v>
      </c>
      <c r="N4762" s="7">
        <f>M4762*$J$4775-J4762</f>
        <v/>
      </c>
      <c r="O4762" s="9">
        <f>IF(G4762=0,0,N4762/G4762)</f>
        <v/>
      </c>
      <c r="P4762" s="6">
        <f>IF(M4762&gt;0,D4762,"")</f>
        <v/>
      </c>
      <c r="Q4762" s="9">
        <f>I4762+O4762</f>
        <v/>
      </c>
      <c r="R4762" s="7">
        <f>Q4762*G4762</f>
        <v/>
      </c>
      <c r="S4762" s="8">
        <f>IF($R$4775=0,0,R4762/$R$4775)</f>
        <v/>
      </c>
      <c r="T4762" s="8" t="n">
        <v>0.00708525891843137</v>
      </c>
      <c r="U4762" s="8" t="n">
        <v>0.01118682668785786</v>
      </c>
      <c r="V4762" s="6" t="inlineStr">
        <is>
          <t>not selected</t>
        </is>
      </c>
    </row>
    <row r="4763">
      <c r="A4763" s="6" t="inlineStr">
        <is>
          <t>DJ30</t>
        </is>
      </c>
      <c r="B4763" s="6" t="inlineStr">
        <is>
          <t>2025-12-12</t>
        </is>
      </c>
      <c r="C4763" s="6" t="inlineStr">
        <is>
          <t>DIA</t>
        </is>
      </c>
      <c r="D4763" s="6" t="inlineStr">
        <is>
          <t>MMM</t>
        </is>
      </c>
      <c r="E4763" s="6" t="inlineStr">
        <is>
          <t>MMM</t>
        </is>
      </c>
      <c r="F4763" s="6" t="inlineStr">
        <is>
          <t>-</t>
        </is>
      </c>
      <c r="G4763" s="7" t="n">
        <v>167.2803802490234</v>
      </c>
      <c r="H4763" s="6">
        <f>P4732</f>
        <v/>
      </c>
      <c r="I4763" s="9">
        <f>Q4732</f>
        <v/>
      </c>
      <c r="J4763" s="7">
        <f>I4763*G4763</f>
        <v/>
      </c>
      <c r="K4763" s="8">
        <f>IF($J$4775=0,0,J4763/$J$4775)</f>
        <v/>
      </c>
      <c r="L4763" s="6" t="inlineStr">
        <is>
          <t>WATCHLIST</t>
        </is>
      </c>
      <c r="M4763" s="8" t="n">
        <v>0</v>
      </c>
      <c r="N4763" s="7">
        <f>M4763*$J$4775-J4763</f>
        <v/>
      </c>
      <c r="O4763" s="9">
        <f>IF(G4763=0,0,N4763/G4763)</f>
        <v/>
      </c>
      <c r="P4763" s="6">
        <f>IF(M4763&gt;0,D4763,"")</f>
        <v/>
      </c>
      <c r="Q4763" s="9">
        <f>I4763+O4763</f>
        <v/>
      </c>
      <c r="R4763" s="7">
        <f>Q4763*G4763</f>
        <v/>
      </c>
      <c r="S4763" s="8">
        <f>IF($R$4775=0,0,R4763/$R$4775)</f>
        <v/>
      </c>
      <c r="T4763" s="8" t="n">
        <v>0.00708525891843137</v>
      </c>
      <c r="U4763" s="8" t="n">
        <v>0.01118682668785786</v>
      </c>
      <c r="V4763" s="6" t="inlineStr">
        <is>
          <t>not selected</t>
        </is>
      </c>
    </row>
    <row r="4764">
      <c r="A4764" s="6" t="inlineStr">
        <is>
          <t>DJ30</t>
        </is>
      </c>
      <c r="B4764" s="6" t="inlineStr">
        <is>
          <t>2025-12-12</t>
        </is>
      </c>
      <c r="C4764" s="6" t="inlineStr">
        <is>
          <t>DIA</t>
        </is>
      </c>
      <c r="D4764" s="6" t="inlineStr">
        <is>
          <t>MRK</t>
        </is>
      </c>
      <c r="E4764" s="6" t="inlineStr">
        <is>
          <t>MRK</t>
        </is>
      </c>
      <c r="F4764" s="6" t="inlineStr">
        <is>
          <t>-</t>
        </is>
      </c>
      <c r="G4764" s="7" t="n">
        <v>98.01397705078124</v>
      </c>
      <c r="H4764" s="6">
        <f>P4733</f>
        <v/>
      </c>
      <c r="I4764" s="9">
        <f>Q4733</f>
        <v/>
      </c>
      <c r="J4764" s="7">
        <f>I4764*G4764</f>
        <v/>
      </c>
      <c r="K4764" s="8">
        <f>IF($J$4775=0,0,J4764/$J$4775)</f>
        <v/>
      </c>
      <c r="L4764" s="6" t="inlineStr">
        <is>
          <t>REJECTED</t>
        </is>
      </c>
      <c r="M4764" s="8" t="n">
        <v>0</v>
      </c>
      <c r="N4764" s="7">
        <f>M4764*$J$4775-J4764</f>
        <v/>
      </c>
      <c r="O4764" s="9">
        <f>IF(G4764=0,0,N4764/G4764)</f>
        <v/>
      </c>
      <c r="P4764" s="6">
        <f>IF(M4764&gt;0,D4764,"")</f>
        <v/>
      </c>
      <c r="Q4764" s="9">
        <f>I4764+O4764</f>
        <v/>
      </c>
      <c r="R4764" s="7">
        <f>Q4764*G4764</f>
        <v/>
      </c>
      <c r="S4764" s="8">
        <f>IF($R$4775=0,0,R4764/$R$4775)</f>
        <v/>
      </c>
      <c r="T4764" s="8" t="n">
        <v>0.00708525891843137</v>
      </c>
      <c r="U4764" s="8" t="n">
        <v>0.01118682668785786</v>
      </c>
      <c r="V4764" s="6" t="inlineStr">
        <is>
          <t>not selected</t>
        </is>
      </c>
    </row>
    <row r="4765">
      <c r="A4765" s="6" t="inlineStr">
        <is>
          <t>DJ30</t>
        </is>
      </c>
      <c r="B4765" s="6" t="inlineStr">
        <is>
          <t>2025-12-12</t>
        </is>
      </c>
      <c r="C4765" s="6" t="inlineStr">
        <is>
          <t>DIA</t>
        </is>
      </c>
      <c r="D4765" s="6" t="inlineStr">
        <is>
          <t>MSFT</t>
        </is>
      </c>
      <c r="E4765" s="6" t="inlineStr">
        <is>
          <t>MSFT</t>
        </is>
      </c>
      <c r="F4765" s="6" t="inlineStr">
        <is>
          <t>-</t>
        </is>
      </c>
      <c r="G4765" s="7" t="n">
        <v>476.4084167480469</v>
      </c>
      <c r="H4765" s="6">
        <f>P4734</f>
        <v/>
      </c>
      <c r="I4765" s="9">
        <f>Q4734</f>
        <v/>
      </c>
      <c r="J4765" s="7">
        <f>I4765*G4765</f>
        <v/>
      </c>
      <c r="K4765" s="8">
        <f>IF($J$4775=0,0,J4765/$J$4775)</f>
        <v/>
      </c>
      <c r="L4765" s="6" t="inlineStr">
        <is>
          <t>WATCHLIST</t>
        </is>
      </c>
      <c r="M4765" s="8" t="n">
        <v>0</v>
      </c>
      <c r="N4765" s="7">
        <f>M4765*$J$4775-J4765</f>
        <v/>
      </c>
      <c r="O4765" s="9">
        <f>IF(G4765=0,0,N4765/G4765)</f>
        <v/>
      </c>
      <c r="P4765" s="6">
        <f>IF(M4765&gt;0,D4765,"")</f>
        <v/>
      </c>
      <c r="Q4765" s="9">
        <f>I4765+O4765</f>
        <v/>
      </c>
      <c r="R4765" s="7">
        <f>Q4765*G4765</f>
        <v/>
      </c>
      <c r="S4765" s="8">
        <f>IF($R$4775=0,0,R4765/$R$4775)</f>
        <v/>
      </c>
      <c r="T4765" s="8" t="n">
        <v>0.00708525891843137</v>
      </c>
      <c r="U4765" s="8" t="n">
        <v>0.01118682668785786</v>
      </c>
      <c r="V4765" s="6" t="inlineStr">
        <is>
          <t>not selected</t>
        </is>
      </c>
    </row>
    <row r="4766">
      <c r="A4766" s="6" t="inlineStr">
        <is>
          <t>DJ30</t>
        </is>
      </c>
      <c r="B4766" s="6" t="inlineStr">
        <is>
          <t>2025-12-12</t>
        </is>
      </c>
      <c r="C4766" s="6" t="inlineStr">
        <is>
          <t>DIA</t>
        </is>
      </c>
      <c r="D4766" s="6" t="inlineStr">
        <is>
          <t>NKE</t>
        </is>
      </c>
      <c r="E4766" s="6" t="inlineStr">
        <is>
          <t>NKE</t>
        </is>
      </c>
      <c r="F4766" s="6" t="inlineStr">
        <is>
          <t>-</t>
        </is>
      </c>
      <c r="G4766" s="7" t="n">
        <v>66.43069458007812</v>
      </c>
      <c r="H4766" s="6">
        <f>P4735</f>
        <v/>
      </c>
      <c r="I4766" s="9">
        <f>Q4735</f>
        <v/>
      </c>
      <c r="J4766" s="7">
        <f>I4766*G4766</f>
        <v/>
      </c>
      <c r="K4766" s="8">
        <f>IF($J$4775=0,0,J4766/$J$4775)</f>
        <v/>
      </c>
      <c r="L4766" s="6" t="inlineStr">
        <is>
          <t>REJECTED</t>
        </is>
      </c>
      <c r="M4766" s="8" t="n">
        <v>0</v>
      </c>
      <c r="N4766" s="7">
        <f>M4766*$J$4775-J4766</f>
        <v/>
      </c>
      <c r="O4766" s="9">
        <f>IF(G4766=0,0,N4766/G4766)</f>
        <v/>
      </c>
      <c r="P4766" s="6">
        <f>IF(M4766&gt;0,D4766,"")</f>
        <v/>
      </c>
      <c r="Q4766" s="9">
        <f>I4766+O4766</f>
        <v/>
      </c>
      <c r="R4766" s="7">
        <f>Q4766*G4766</f>
        <v/>
      </c>
      <c r="S4766" s="8">
        <f>IF($R$4775=0,0,R4766/$R$4775)</f>
        <v/>
      </c>
      <c r="T4766" s="8" t="n">
        <v>0.00708525891843137</v>
      </c>
      <c r="U4766" s="8" t="n">
        <v>0.01118682668785786</v>
      </c>
      <c r="V4766" s="6" t="inlineStr">
        <is>
          <t>not selected</t>
        </is>
      </c>
    </row>
    <row r="4767">
      <c r="A4767" s="6" t="inlineStr">
        <is>
          <t>DJ30</t>
        </is>
      </c>
      <c r="B4767" s="6" t="inlineStr">
        <is>
          <t>2025-12-12</t>
        </is>
      </c>
      <c r="C4767" s="6" t="inlineStr">
        <is>
          <t>DIA</t>
        </is>
      </c>
      <c r="D4767" s="6" t="inlineStr">
        <is>
          <t>NVDA</t>
        </is>
      </c>
      <c r="E4767" s="6" t="inlineStr">
        <is>
          <t>NVDA</t>
        </is>
      </c>
      <c r="F4767" s="6" t="inlineStr">
        <is>
          <t>-</t>
        </is>
      </c>
      <c r="G4767" s="7" t="n">
        <v>174.8067932128906</v>
      </c>
      <c r="H4767" s="6">
        <f>P4736</f>
        <v/>
      </c>
      <c r="I4767" s="9">
        <f>Q4736</f>
        <v/>
      </c>
      <c r="J4767" s="7">
        <f>I4767*G4767</f>
        <v/>
      </c>
      <c r="K4767" s="8">
        <f>IF($J$4775=0,0,J4767/$J$4775)</f>
        <v/>
      </c>
      <c r="L4767" s="6" t="inlineStr">
        <is>
          <t>SELECTED</t>
        </is>
      </c>
      <c r="M4767" s="8" t="n">
        <v>0.2</v>
      </c>
      <c r="N4767" s="7">
        <f>M4767*$J$4775-J4767</f>
        <v/>
      </c>
      <c r="O4767" s="9">
        <f>IF(G4767=0,0,N4767/G4767)</f>
        <v/>
      </c>
      <c r="P4767" s="6">
        <f>IF(M4767&gt;0,D4767,"")</f>
        <v/>
      </c>
      <c r="Q4767" s="9">
        <f>I4767+O4767</f>
        <v/>
      </c>
      <c r="R4767" s="7">
        <f>Q4767*G4767</f>
        <v/>
      </c>
      <c r="S4767" s="8">
        <f>IF($R$4775=0,0,R4767/$R$4775)</f>
        <v/>
      </c>
      <c r="T4767" s="8" t="n">
        <v>0.00708525891843137</v>
      </c>
      <c r="U4767" s="8" t="n">
        <v>0.01118682668785786</v>
      </c>
      <c r="V4767" s="6" t="inlineStr">
        <is>
          <t>remained in weekly selection</t>
        </is>
      </c>
    </row>
    <row r="4768">
      <c r="A4768" s="6" t="inlineStr">
        <is>
          <t>DJ30</t>
        </is>
      </c>
      <c r="B4768" s="6" t="inlineStr">
        <is>
          <t>2025-12-12</t>
        </is>
      </c>
      <c r="C4768" s="6" t="inlineStr">
        <is>
          <t>DIA</t>
        </is>
      </c>
      <c r="D4768" s="6" t="inlineStr">
        <is>
          <t>PG</t>
        </is>
      </c>
      <c r="E4768" s="6" t="inlineStr">
        <is>
          <t>PG</t>
        </is>
      </c>
      <c r="F4768" s="6" t="inlineStr">
        <is>
          <t>-</t>
        </is>
      </c>
      <c r="G4768" s="7" t="n">
        <v>140.77294921875</v>
      </c>
      <c r="H4768" s="6">
        <f>P4737</f>
        <v/>
      </c>
      <c r="I4768" s="9">
        <f>Q4737</f>
        <v/>
      </c>
      <c r="J4768" s="7">
        <f>I4768*G4768</f>
        <v/>
      </c>
      <c r="K4768" s="8">
        <f>IF($J$4775=0,0,J4768/$J$4775)</f>
        <v/>
      </c>
      <c r="L4768" s="6" t="inlineStr">
        <is>
          <t>REJECTED</t>
        </is>
      </c>
      <c r="M4768" s="8" t="n">
        <v>0</v>
      </c>
      <c r="N4768" s="7">
        <f>M4768*$J$4775-J4768</f>
        <v/>
      </c>
      <c r="O4768" s="9">
        <f>IF(G4768=0,0,N4768/G4768)</f>
        <v/>
      </c>
      <c r="P4768" s="6">
        <f>IF(M4768&gt;0,D4768,"")</f>
        <v/>
      </c>
      <c r="Q4768" s="9">
        <f>I4768+O4768</f>
        <v/>
      </c>
      <c r="R4768" s="7">
        <f>Q4768*G4768</f>
        <v/>
      </c>
      <c r="S4768" s="8">
        <f>IF($R$4775=0,0,R4768/$R$4775)</f>
        <v/>
      </c>
      <c r="T4768" s="8" t="n">
        <v>0.00708525891843137</v>
      </c>
      <c r="U4768" s="8" t="n">
        <v>0.01118682668785786</v>
      </c>
      <c r="V4768" s="6" t="inlineStr">
        <is>
          <t>not selected</t>
        </is>
      </c>
    </row>
    <row r="4769">
      <c r="A4769" s="6" t="inlineStr">
        <is>
          <t>DJ30</t>
        </is>
      </c>
      <c r="B4769" s="6" t="inlineStr">
        <is>
          <t>2025-12-12</t>
        </is>
      </c>
      <c r="C4769" s="6" t="inlineStr">
        <is>
          <t>DIA</t>
        </is>
      </c>
      <c r="D4769" s="6" t="inlineStr">
        <is>
          <t>SHW</t>
        </is>
      </c>
      <c r="E4769" s="6" t="inlineStr">
        <is>
          <t>SHW</t>
        </is>
      </c>
      <c r="F4769" s="6" t="inlineStr">
        <is>
          <t>-</t>
        </is>
      </c>
      <c r="G4769" s="7" t="n">
        <v>327.1166381835937</v>
      </c>
      <c r="H4769" s="6">
        <f>P4738</f>
        <v/>
      </c>
      <c r="I4769" s="9">
        <f>Q4738</f>
        <v/>
      </c>
      <c r="J4769" s="7">
        <f>I4769*G4769</f>
        <v/>
      </c>
      <c r="K4769" s="8">
        <f>IF($J$4775=0,0,J4769/$J$4775)</f>
        <v/>
      </c>
      <c r="L4769" s="6" t="inlineStr">
        <is>
          <t>REJECTED</t>
        </is>
      </c>
      <c r="M4769" s="8" t="n">
        <v>0</v>
      </c>
      <c r="N4769" s="7">
        <f>M4769*$J$4775-J4769</f>
        <v/>
      </c>
      <c r="O4769" s="9">
        <f>IF(G4769=0,0,N4769/G4769)</f>
        <v/>
      </c>
      <c r="P4769" s="6">
        <f>IF(M4769&gt;0,D4769,"")</f>
        <v/>
      </c>
      <c r="Q4769" s="9">
        <f>I4769+O4769</f>
        <v/>
      </c>
      <c r="R4769" s="7">
        <f>Q4769*G4769</f>
        <v/>
      </c>
      <c r="S4769" s="8">
        <f>IF($R$4775=0,0,R4769/$R$4775)</f>
        <v/>
      </c>
      <c r="T4769" s="8" t="n">
        <v>0.00708525891843137</v>
      </c>
      <c r="U4769" s="8" t="n">
        <v>0.01118682668785786</v>
      </c>
      <c r="V4769" s="6" t="inlineStr">
        <is>
          <t>not selected</t>
        </is>
      </c>
    </row>
    <row r="4770">
      <c r="A4770" s="6" t="inlineStr">
        <is>
          <t>DJ30</t>
        </is>
      </c>
      <c r="B4770" s="6" t="inlineStr">
        <is>
          <t>2025-12-12</t>
        </is>
      </c>
      <c r="C4770" s="6" t="inlineStr">
        <is>
          <t>DIA</t>
        </is>
      </c>
      <c r="D4770" s="6" t="inlineStr">
        <is>
          <t>TRV</t>
        </is>
      </c>
      <c r="E4770" s="6" t="inlineStr">
        <is>
          <t>TRV</t>
        </is>
      </c>
      <c r="F4770" s="6" t="inlineStr">
        <is>
          <t>-</t>
        </is>
      </c>
      <c r="G4770" s="7" t="n">
        <v>283.0913696289062</v>
      </c>
      <c r="H4770" s="6">
        <f>P4739</f>
        <v/>
      </c>
      <c r="I4770" s="9">
        <f>Q4739</f>
        <v/>
      </c>
      <c r="J4770" s="7">
        <f>I4770*G4770</f>
        <v/>
      </c>
      <c r="K4770" s="8">
        <f>IF($J$4775=0,0,J4770/$J$4775)</f>
        <v/>
      </c>
      <c r="L4770" s="6" t="inlineStr">
        <is>
          <t>WATCHLIST</t>
        </is>
      </c>
      <c r="M4770" s="8" t="n">
        <v>0</v>
      </c>
      <c r="N4770" s="7">
        <f>M4770*$J$4775-J4770</f>
        <v/>
      </c>
      <c r="O4770" s="9">
        <f>IF(G4770=0,0,N4770/G4770)</f>
        <v/>
      </c>
      <c r="P4770" s="6">
        <f>IF(M4770&gt;0,D4770,"")</f>
        <v/>
      </c>
      <c r="Q4770" s="9">
        <f>I4770+O4770</f>
        <v/>
      </c>
      <c r="R4770" s="7">
        <f>Q4770*G4770</f>
        <v/>
      </c>
      <c r="S4770" s="8">
        <f>IF($R$4775=0,0,R4770/$R$4775)</f>
        <v/>
      </c>
      <c r="T4770" s="8" t="n">
        <v>0.00708525891843137</v>
      </c>
      <c r="U4770" s="8" t="n">
        <v>0.01118682668785786</v>
      </c>
      <c r="V4770" s="6" t="inlineStr">
        <is>
          <t>not selected</t>
        </is>
      </c>
    </row>
    <row r="4771">
      <c r="A4771" s="6" t="inlineStr">
        <is>
          <t>DJ30</t>
        </is>
      </c>
      <c r="B4771" s="6" t="inlineStr">
        <is>
          <t>2025-12-12</t>
        </is>
      </c>
      <c r="C4771" s="6" t="inlineStr">
        <is>
          <t>DIA</t>
        </is>
      </c>
      <c r="D4771" s="6" t="inlineStr">
        <is>
          <t>UNH</t>
        </is>
      </c>
      <c r="E4771" s="6" t="inlineStr">
        <is>
          <t>UNH</t>
        </is>
      </c>
      <c r="F4771" s="6" t="inlineStr">
        <is>
          <t>-</t>
        </is>
      </c>
      <c r="G4771" s="7" t="n">
        <v>337.2765808105469</v>
      </c>
      <c r="H4771" s="6">
        <f>P4740</f>
        <v/>
      </c>
      <c r="I4771" s="9">
        <f>Q4740</f>
        <v/>
      </c>
      <c r="J4771" s="7">
        <f>I4771*G4771</f>
        <v/>
      </c>
      <c r="K4771" s="8">
        <f>IF($J$4775=0,0,J4771/$J$4775)</f>
        <v/>
      </c>
      <c r="L4771" s="6" t="inlineStr">
        <is>
          <t>REJECTED</t>
        </is>
      </c>
      <c r="M4771" s="8" t="n">
        <v>0</v>
      </c>
      <c r="N4771" s="7">
        <f>M4771*$J$4775-J4771</f>
        <v/>
      </c>
      <c r="O4771" s="9">
        <f>IF(G4771=0,0,N4771/G4771)</f>
        <v/>
      </c>
      <c r="P4771" s="6">
        <f>IF(M4771&gt;0,D4771,"")</f>
        <v/>
      </c>
      <c r="Q4771" s="9">
        <f>I4771+O4771</f>
        <v/>
      </c>
      <c r="R4771" s="7">
        <f>Q4771*G4771</f>
        <v/>
      </c>
      <c r="S4771" s="8">
        <f>IF($R$4775=0,0,R4771/$R$4775)</f>
        <v/>
      </c>
      <c r="T4771" s="8" t="n">
        <v>0.00708525891843137</v>
      </c>
      <c r="U4771" s="8" t="n">
        <v>0.01118682668785786</v>
      </c>
      <c r="V4771" s="6" t="inlineStr">
        <is>
          <t>not selected</t>
        </is>
      </c>
    </row>
    <row r="4772">
      <c r="A4772" s="6" t="inlineStr">
        <is>
          <t>DJ30</t>
        </is>
      </c>
      <c r="B4772" s="6" t="inlineStr">
        <is>
          <t>2025-12-12</t>
        </is>
      </c>
      <c r="C4772" s="6" t="inlineStr">
        <is>
          <t>DIA</t>
        </is>
      </c>
      <c r="D4772" s="6" t="inlineStr">
        <is>
          <t>V</t>
        </is>
      </c>
      <c r="E4772" s="6" t="inlineStr">
        <is>
          <t>V</t>
        </is>
      </c>
      <c r="F4772" s="6" t="inlineStr">
        <is>
          <t>-</t>
        </is>
      </c>
      <c r="G4772" s="7" t="n">
        <v>346.3960876464844</v>
      </c>
      <c r="H4772" s="6">
        <f>P4741</f>
        <v/>
      </c>
      <c r="I4772" s="9">
        <f>Q4741</f>
        <v/>
      </c>
      <c r="J4772" s="7">
        <f>I4772*G4772</f>
        <v/>
      </c>
      <c r="K4772" s="8">
        <f>IF($J$4775=0,0,J4772/$J$4775)</f>
        <v/>
      </c>
      <c r="L4772" s="6" t="inlineStr">
        <is>
          <t>REJECTED</t>
        </is>
      </c>
      <c r="M4772" s="8" t="n">
        <v>0</v>
      </c>
      <c r="N4772" s="7">
        <f>M4772*$J$4775-J4772</f>
        <v/>
      </c>
      <c r="O4772" s="9">
        <f>IF(G4772=0,0,N4772/G4772)</f>
        <v/>
      </c>
      <c r="P4772" s="6">
        <f>IF(M4772&gt;0,D4772,"")</f>
        <v/>
      </c>
      <c r="Q4772" s="9">
        <f>I4772+O4772</f>
        <v/>
      </c>
      <c r="R4772" s="7">
        <f>Q4772*G4772</f>
        <v/>
      </c>
      <c r="S4772" s="8">
        <f>IF($R$4775=0,0,R4772/$R$4775)</f>
        <v/>
      </c>
      <c r="T4772" s="8" t="n">
        <v>0.00708525891843137</v>
      </c>
      <c r="U4772" s="8" t="n">
        <v>0.01118682668785786</v>
      </c>
      <c r="V4772" s="6" t="inlineStr">
        <is>
          <t>not selected</t>
        </is>
      </c>
    </row>
    <row r="4773">
      <c r="A4773" s="6" t="inlineStr">
        <is>
          <t>DJ30</t>
        </is>
      </c>
      <c r="B4773" s="6" t="inlineStr">
        <is>
          <t>2025-12-12</t>
        </is>
      </c>
      <c r="C4773" s="6" t="inlineStr">
        <is>
          <t>DIA</t>
        </is>
      </c>
      <c r="D4773" s="6" t="inlineStr">
        <is>
          <t>VZ</t>
        </is>
      </c>
      <c r="E4773" s="6" t="inlineStr">
        <is>
          <t>VZ</t>
        </is>
      </c>
      <c r="F4773" s="6" t="inlineStr">
        <is>
          <t>-</t>
        </is>
      </c>
      <c r="G4773" s="7" t="n">
        <v>39.59709548950195</v>
      </c>
      <c r="H4773" s="6">
        <f>P4742</f>
        <v/>
      </c>
      <c r="I4773" s="9">
        <f>Q4742</f>
        <v/>
      </c>
      <c r="J4773" s="7">
        <f>I4773*G4773</f>
        <v/>
      </c>
      <c r="K4773" s="8">
        <f>IF($J$4775=0,0,J4773/$J$4775)</f>
        <v/>
      </c>
      <c r="L4773" s="6" t="inlineStr">
        <is>
          <t>REJECTED</t>
        </is>
      </c>
      <c r="M4773" s="8" t="n">
        <v>0</v>
      </c>
      <c r="N4773" s="7">
        <f>M4773*$J$4775-J4773</f>
        <v/>
      </c>
      <c r="O4773" s="9">
        <f>IF(G4773=0,0,N4773/G4773)</f>
        <v/>
      </c>
      <c r="P4773" s="6">
        <f>IF(M4773&gt;0,D4773,"")</f>
        <v/>
      </c>
      <c r="Q4773" s="9">
        <f>I4773+O4773</f>
        <v/>
      </c>
      <c r="R4773" s="7">
        <f>Q4773*G4773</f>
        <v/>
      </c>
      <c r="S4773" s="8">
        <f>IF($R$4775=0,0,R4773/$R$4775)</f>
        <v/>
      </c>
      <c r="T4773" s="8" t="n">
        <v>0.00708525891843137</v>
      </c>
      <c r="U4773" s="8" t="n">
        <v>0.01118682668785786</v>
      </c>
      <c r="V4773" s="6" t="inlineStr">
        <is>
          <t>not selected</t>
        </is>
      </c>
    </row>
    <row r="4774">
      <c r="A4774" s="6" t="inlineStr">
        <is>
          <t>DJ30</t>
        </is>
      </c>
      <c r="B4774" s="6" t="inlineStr">
        <is>
          <t>2025-12-12</t>
        </is>
      </c>
      <c r="C4774" s="6" t="inlineStr">
        <is>
          <t>DIA</t>
        </is>
      </c>
      <c r="D4774" s="6" t="inlineStr">
        <is>
          <t>WMT</t>
        </is>
      </c>
      <c r="E4774" s="6" t="inlineStr">
        <is>
          <t>WMT</t>
        </is>
      </c>
      <c r="F4774" s="6" t="inlineStr">
        <is>
          <t>-</t>
        </is>
      </c>
      <c r="G4774" s="7" t="n">
        <v>116.2391510009766</v>
      </c>
      <c r="H4774" s="6">
        <f>P4743</f>
        <v/>
      </c>
      <c r="I4774" s="9">
        <f>Q4743</f>
        <v/>
      </c>
      <c r="J4774" s="7">
        <f>I4774*G4774</f>
        <v/>
      </c>
      <c r="K4774" s="8">
        <f>IF($J$4775=0,0,J4774/$J$4775)</f>
        <v/>
      </c>
      <c r="L4774" s="6" t="inlineStr">
        <is>
          <t>WATCHLIST</t>
        </is>
      </c>
      <c r="M4774" s="8" t="n">
        <v>0</v>
      </c>
      <c r="N4774" s="7">
        <f>M4774*$J$4775-J4774</f>
        <v/>
      </c>
      <c r="O4774" s="9">
        <f>IF(G4774=0,0,N4774/G4774)</f>
        <v/>
      </c>
      <c r="P4774" s="6">
        <f>IF(M4774&gt;0,D4774,"")</f>
        <v/>
      </c>
      <c r="Q4774" s="9">
        <f>I4774+O4774</f>
        <v/>
      </c>
      <c r="R4774" s="7">
        <f>Q4774*G4774</f>
        <v/>
      </c>
      <c r="S4774" s="8">
        <f>IF($R$4775=0,0,R4774/$R$4775)</f>
        <v/>
      </c>
      <c r="T4774" s="8" t="n">
        <v>0.00708525891843137</v>
      </c>
      <c r="U4774" s="8" t="n">
        <v>0.01118682668785786</v>
      </c>
      <c r="V4774" s="6" t="inlineStr">
        <is>
          <t>not selected</t>
        </is>
      </c>
    </row>
    <row r="4775">
      <c r="A4775" s="10" t="inlineStr">
        <is>
          <t>DJ30</t>
        </is>
      </c>
      <c r="B4775" s="10" t="inlineStr">
        <is>
          <t>2025-12-12</t>
        </is>
      </c>
      <c r="C4775" s="10" t="inlineStr">
        <is>
          <t>DIA</t>
        </is>
      </c>
      <c r="D4775" s="10" t="inlineStr">
        <is>
          <t>Tot Portfolio</t>
        </is>
      </c>
      <c r="E4775" s="10" t="inlineStr"/>
      <c r="F4775" s="10" t="inlineStr"/>
      <c r="G4775" s="11" t="inlineStr"/>
      <c r="H4775" s="10" t="inlineStr"/>
      <c r="I4775" s="12" t="inlineStr"/>
      <c r="J4775" s="11">
        <f>SUM(J4745:J4774)</f>
        <v/>
      </c>
      <c r="K4775" s="13">
        <f>SUM(K4745:K4774)</f>
        <v/>
      </c>
      <c r="L4775" s="10" t="inlineStr">
        <is>
          <t>TOTAL</t>
        </is>
      </c>
      <c r="M4775" s="13">
        <f>SUM(M4745:M4774)</f>
        <v/>
      </c>
      <c r="N4775" s="11">
        <f>SUM(N4745:N4774)</f>
        <v/>
      </c>
      <c r="O4775" s="12">
        <f>SUM(O4745:O4774)</f>
        <v/>
      </c>
      <c r="P4775" s="10" t="inlineStr"/>
      <c r="Q4775" s="12" t="inlineStr"/>
      <c r="R4775" s="11">
        <f>SUM(R4745:R4774)</f>
        <v/>
      </c>
      <c r="S4775" s="13">
        <f>SUM(S4745:S4774)</f>
        <v/>
      </c>
      <c r="T4775" s="13" t="n">
        <v>0.00708525891843137</v>
      </c>
      <c r="U4775" s="13" t="n">
        <v>0.01118682668785786</v>
      </c>
      <c r="V4775" s="10" t="inlineStr"/>
    </row>
    <row r="4776">
      <c r="A4776" s="6" t="inlineStr">
        <is>
          <t>DJ30</t>
        </is>
      </c>
      <c r="B4776" s="6" t="inlineStr">
        <is>
          <t>2025-12-19</t>
        </is>
      </c>
      <c r="C4776" s="6" t="inlineStr">
        <is>
          <t>DIA</t>
        </is>
      </c>
      <c r="D4776" s="6" t="inlineStr">
        <is>
          <t>AAPL</t>
        </is>
      </c>
      <c r="E4776" s="6" t="inlineStr">
        <is>
          <t>AAPL</t>
        </is>
      </c>
      <c r="F4776" s="6" t="inlineStr">
        <is>
          <t>-</t>
        </is>
      </c>
      <c r="G4776" s="7" t="n">
        <v>273.1625061035156</v>
      </c>
      <c r="H4776" s="6">
        <f>P4745</f>
        <v/>
      </c>
      <c r="I4776" s="9">
        <f>Q4745</f>
        <v/>
      </c>
      <c r="J4776" s="7">
        <f>I4776*G4776</f>
        <v/>
      </c>
      <c r="K4776" s="8">
        <f>IF($J$4806=0,0,J4776/$J$4806)</f>
        <v/>
      </c>
      <c r="L4776" s="6" t="inlineStr">
        <is>
          <t>REJECTED</t>
        </is>
      </c>
      <c r="M4776" s="8" t="n">
        <v>0</v>
      </c>
      <c r="N4776" s="7">
        <f>M4776*$J$4806-J4776</f>
        <v/>
      </c>
      <c r="O4776" s="9">
        <f>IF(G4776=0,0,N4776/G4776)</f>
        <v/>
      </c>
      <c r="P4776" s="6">
        <f>IF(M4776&gt;0,D4776,"")</f>
        <v/>
      </c>
      <c r="Q4776" s="9">
        <f>I4776+O4776</f>
        <v/>
      </c>
      <c r="R4776" s="7">
        <f>Q4776*G4776</f>
        <v/>
      </c>
      <c r="S4776" s="8">
        <f>IF($R$4806=0,0,R4776/$R$4806)</f>
        <v/>
      </c>
      <c r="T4776" s="8" t="n">
        <v>-0.002514478514396234</v>
      </c>
      <c r="U4776" s="8" t="n">
        <v>-0.006597326853655772</v>
      </c>
      <c r="V4776" s="6" t="inlineStr">
        <is>
          <t>not selected</t>
        </is>
      </c>
    </row>
    <row r="4777">
      <c r="A4777" s="6" t="inlineStr">
        <is>
          <t>DJ30</t>
        </is>
      </c>
      <c r="B4777" s="6" t="inlineStr">
        <is>
          <t>2025-12-19</t>
        </is>
      </c>
      <c r="C4777" s="6" t="inlineStr">
        <is>
          <t>DIA</t>
        </is>
      </c>
      <c r="D4777" s="6" t="inlineStr">
        <is>
          <t>AMGN</t>
        </is>
      </c>
      <c r="E4777" s="6" t="inlineStr">
        <is>
          <t>AMGN</t>
        </is>
      </c>
      <c r="F4777" s="6" t="inlineStr">
        <is>
          <t>-</t>
        </is>
      </c>
      <c r="G4777" s="7" t="n">
        <v>322.6903686523437</v>
      </c>
      <c r="H4777" s="6">
        <f>P4746</f>
        <v/>
      </c>
      <c r="I4777" s="9">
        <f>Q4746</f>
        <v/>
      </c>
      <c r="J4777" s="7">
        <f>I4777*G4777</f>
        <v/>
      </c>
      <c r="K4777" s="8">
        <f>IF($J$4806=0,0,J4777/$J$4806)</f>
        <v/>
      </c>
      <c r="L4777" s="6" t="inlineStr">
        <is>
          <t>WATCHLIST</t>
        </is>
      </c>
      <c r="M4777" s="8" t="n">
        <v>0</v>
      </c>
      <c r="N4777" s="7">
        <f>M4777*$J$4806-J4777</f>
        <v/>
      </c>
      <c r="O4777" s="9">
        <f>IF(G4777=0,0,N4777/G4777)</f>
        <v/>
      </c>
      <c r="P4777" s="6">
        <f>IF(M4777&gt;0,D4777,"")</f>
        <v/>
      </c>
      <c r="Q4777" s="9">
        <f>I4777+O4777</f>
        <v/>
      </c>
      <c r="R4777" s="7">
        <f>Q4777*G4777</f>
        <v/>
      </c>
      <c r="S4777" s="8">
        <f>IF($R$4806=0,0,R4777/$R$4806)</f>
        <v/>
      </c>
      <c r="T4777" s="8" t="n">
        <v>-0.002514478514396234</v>
      </c>
      <c r="U4777" s="8" t="n">
        <v>-0.006597326853655772</v>
      </c>
      <c r="V4777" s="6" t="inlineStr">
        <is>
          <t>not selected</t>
        </is>
      </c>
    </row>
    <row r="4778">
      <c r="A4778" s="6" t="inlineStr">
        <is>
          <t>DJ30</t>
        </is>
      </c>
      <c r="B4778" s="6" t="inlineStr">
        <is>
          <t>2025-12-19</t>
        </is>
      </c>
      <c r="C4778" s="6" t="inlineStr">
        <is>
          <t>DIA</t>
        </is>
      </c>
      <c r="D4778" s="6" t="inlineStr">
        <is>
          <t>AMZN</t>
        </is>
      </c>
      <c r="E4778" s="6" t="inlineStr">
        <is>
          <t>AMZN</t>
        </is>
      </c>
      <c r="F4778" s="6" t="inlineStr">
        <is>
          <t>-</t>
        </is>
      </c>
      <c r="G4778" s="7" t="n">
        <v>227.3500061035156</v>
      </c>
      <c r="H4778" s="6">
        <f>P4747</f>
        <v/>
      </c>
      <c r="I4778" s="9">
        <f>Q4747</f>
        <v/>
      </c>
      <c r="J4778" s="7">
        <f>I4778*G4778</f>
        <v/>
      </c>
      <c r="K4778" s="8">
        <f>IF($J$4806=0,0,J4778/$J$4806)</f>
        <v/>
      </c>
      <c r="L4778" s="6" t="inlineStr">
        <is>
          <t>REJECTED</t>
        </is>
      </c>
      <c r="M4778" s="8" t="n">
        <v>0</v>
      </c>
      <c r="N4778" s="7">
        <f>M4778*$J$4806-J4778</f>
        <v/>
      </c>
      <c r="O4778" s="9">
        <f>IF(G4778=0,0,N4778/G4778)</f>
        <v/>
      </c>
      <c r="P4778" s="6">
        <f>IF(M4778&gt;0,D4778,"")</f>
        <v/>
      </c>
      <c r="Q4778" s="9">
        <f>I4778+O4778</f>
        <v/>
      </c>
      <c r="R4778" s="7">
        <f>Q4778*G4778</f>
        <v/>
      </c>
      <c r="S4778" s="8">
        <f>IF($R$4806=0,0,R4778/$R$4806)</f>
        <v/>
      </c>
      <c r="T4778" s="8" t="n">
        <v>-0.002514478514396234</v>
      </c>
      <c r="U4778" s="8" t="n">
        <v>-0.006597326853655772</v>
      </c>
      <c r="V4778" s="6" t="inlineStr">
        <is>
          <t>not selected</t>
        </is>
      </c>
    </row>
    <row r="4779">
      <c r="A4779" s="6" t="inlineStr">
        <is>
          <t>DJ30</t>
        </is>
      </c>
      <c r="B4779" s="6" t="inlineStr">
        <is>
          <t>2025-12-19</t>
        </is>
      </c>
      <c r="C4779" s="6" t="inlineStr">
        <is>
          <t>DIA</t>
        </is>
      </c>
      <c r="D4779" s="6" t="inlineStr">
        <is>
          <t>AXP</t>
        </is>
      </c>
      <c r="E4779" s="6" t="inlineStr">
        <is>
          <t>AXP</t>
        </is>
      </c>
      <c r="F4779" s="6" t="inlineStr">
        <is>
          <t>-</t>
        </is>
      </c>
      <c r="G4779" s="7" t="n">
        <v>374.4915466308594</v>
      </c>
      <c r="H4779" s="6">
        <f>P4748</f>
        <v/>
      </c>
      <c r="I4779" s="9">
        <f>Q4748</f>
        <v/>
      </c>
      <c r="J4779" s="7">
        <f>I4779*G4779</f>
        <v/>
      </c>
      <c r="K4779" s="8">
        <f>IF($J$4806=0,0,J4779/$J$4806)</f>
        <v/>
      </c>
      <c r="L4779" s="6" t="inlineStr">
        <is>
          <t>WATCHLIST</t>
        </is>
      </c>
      <c r="M4779" s="8" t="n">
        <v>0</v>
      </c>
      <c r="N4779" s="7">
        <f>M4779*$J$4806-J4779</f>
        <v/>
      </c>
      <c r="O4779" s="9">
        <f>IF(G4779=0,0,N4779/G4779)</f>
        <v/>
      </c>
      <c r="P4779" s="6">
        <f>IF(M4779&gt;0,D4779,"")</f>
        <v/>
      </c>
      <c r="Q4779" s="9">
        <f>I4779+O4779</f>
        <v/>
      </c>
      <c r="R4779" s="7">
        <f>Q4779*G4779</f>
        <v/>
      </c>
      <c r="S4779" s="8">
        <f>IF($R$4806=0,0,R4779/$R$4806)</f>
        <v/>
      </c>
      <c r="T4779" s="8" t="n">
        <v>-0.002514478514396234</v>
      </c>
      <c r="U4779" s="8" t="n">
        <v>-0.006597326853655772</v>
      </c>
      <c r="V4779" s="6" t="inlineStr">
        <is>
          <t>not selected</t>
        </is>
      </c>
    </row>
    <row r="4780">
      <c r="A4780" s="6" t="inlineStr">
        <is>
          <t>DJ30</t>
        </is>
      </c>
      <c r="B4780" s="6" t="inlineStr">
        <is>
          <t>2025-12-19</t>
        </is>
      </c>
      <c r="C4780" s="6" t="inlineStr">
        <is>
          <t>DIA</t>
        </is>
      </c>
      <c r="D4780" s="6" t="inlineStr">
        <is>
          <t>BA</t>
        </is>
      </c>
      <c r="E4780" s="6" t="inlineStr">
        <is>
          <t>BA</t>
        </is>
      </c>
      <c r="F4780" s="6" t="inlineStr">
        <is>
          <t>-</t>
        </is>
      </c>
      <c r="G4780" s="7" t="n">
        <v>214.0800018310547</v>
      </c>
      <c r="H4780" s="6">
        <f>P4749</f>
        <v/>
      </c>
      <c r="I4780" s="9">
        <f>Q4749</f>
        <v/>
      </c>
      <c r="J4780" s="7">
        <f>I4780*G4780</f>
        <v/>
      </c>
      <c r="K4780" s="8">
        <f>IF($J$4806=0,0,J4780/$J$4806)</f>
        <v/>
      </c>
      <c r="L4780" s="6" t="inlineStr">
        <is>
          <t>WATCHLIST</t>
        </is>
      </c>
      <c r="M4780" s="8" t="n">
        <v>0</v>
      </c>
      <c r="N4780" s="7">
        <f>M4780*$J$4806-J4780</f>
        <v/>
      </c>
      <c r="O4780" s="9">
        <f>IF(G4780=0,0,N4780/G4780)</f>
        <v/>
      </c>
      <c r="P4780" s="6">
        <f>IF(M4780&gt;0,D4780,"")</f>
        <v/>
      </c>
      <c r="Q4780" s="9">
        <f>I4780+O4780</f>
        <v/>
      </c>
      <c r="R4780" s="7">
        <f>Q4780*G4780</f>
        <v/>
      </c>
      <c r="S4780" s="8">
        <f>IF($R$4806=0,0,R4780/$R$4806)</f>
        <v/>
      </c>
      <c r="T4780" s="8" t="n">
        <v>-0.002514478514396234</v>
      </c>
      <c r="U4780" s="8" t="n">
        <v>-0.006597326853655772</v>
      </c>
      <c r="V4780" s="6" t="inlineStr">
        <is>
          <t>not selected</t>
        </is>
      </c>
    </row>
    <row r="4781">
      <c r="A4781" s="6" t="inlineStr">
        <is>
          <t>DJ30</t>
        </is>
      </c>
      <c r="B4781" s="6" t="inlineStr">
        <is>
          <t>2025-12-19</t>
        </is>
      </c>
      <c r="C4781" s="6" t="inlineStr">
        <is>
          <t>DIA</t>
        </is>
      </c>
      <c r="D4781" s="6" t="inlineStr">
        <is>
          <t>CAT</t>
        </is>
      </c>
      <c r="E4781" s="6" t="inlineStr">
        <is>
          <t>CAT</t>
        </is>
      </c>
      <c r="F4781" s="6" t="inlineStr">
        <is>
          <t>-</t>
        </is>
      </c>
      <c r="G4781" s="7" t="n">
        <v>573.7825927734375</v>
      </c>
      <c r="H4781" s="6">
        <f>P4750</f>
        <v/>
      </c>
      <c r="I4781" s="9">
        <f>Q4750</f>
        <v/>
      </c>
      <c r="J4781" s="7">
        <f>I4781*G4781</f>
        <v/>
      </c>
      <c r="K4781" s="8">
        <f>IF($J$4806=0,0,J4781/$J$4806)</f>
        <v/>
      </c>
      <c r="L4781" s="6" t="inlineStr">
        <is>
          <t>SELECTED</t>
        </is>
      </c>
      <c r="M4781" s="8" t="n">
        <v>0.2</v>
      </c>
      <c r="N4781" s="7">
        <f>M4781*$J$4806-J4781</f>
        <v/>
      </c>
      <c r="O4781" s="9">
        <f>IF(G4781=0,0,N4781/G4781)</f>
        <v/>
      </c>
      <c r="P4781" s="6">
        <f>IF(M4781&gt;0,D4781,"")</f>
        <v/>
      </c>
      <c r="Q4781" s="9">
        <f>I4781+O4781</f>
        <v/>
      </c>
      <c r="R4781" s="7">
        <f>Q4781*G4781</f>
        <v/>
      </c>
      <c r="S4781" s="8">
        <f>IF($R$4806=0,0,R4781/$R$4806)</f>
        <v/>
      </c>
      <c r="T4781" s="8" t="n">
        <v>-0.002514478514396234</v>
      </c>
      <c r="U4781" s="8" t="n">
        <v>-0.006597326853655772</v>
      </c>
      <c r="V4781" s="6" t="inlineStr">
        <is>
          <t>remained in weekly selection</t>
        </is>
      </c>
    </row>
    <row r="4782">
      <c r="A4782" s="6" t="inlineStr">
        <is>
          <t>DJ30</t>
        </is>
      </c>
      <c r="B4782" s="6" t="inlineStr">
        <is>
          <t>2025-12-19</t>
        </is>
      </c>
      <c r="C4782" s="6" t="inlineStr">
        <is>
          <t>DIA</t>
        </is>
      </c>
      <c r="D4782" s="6" t="inlineStr">
        <is>
          <t>CRM</t>
        </is>
      </c>
      <c r="E4782" s="6" t="inlineStr">
        <is>
          <t>CRM</t>
        </is>
      </c>
      <c r="F4782" s="6" t="inlineStr">
        <is>
          <t>-</t>
        </is>
      </c>
      <c r="G4782" s="7" t="n">
        <v>258.5941772460937</v>
      </c>
      <c r="H4782" s="6">
        <f>P4751</f>
        <v/>
      </c>
      <c r="I4782" s="9">
        <f>Q4751</f>
        <v/>
      </c>
      <c r="J4782" s="7">
        <f>I4782*G4782</f>
        <v/>
      </c>
      <c r="K4782" s="8">
        <f>IF($J$4806=0,0,J4782/$J$4806)</f>
        <v/>
      </c>
      <c r="L4782" s="6" t="inlineStr">
        <is>
          <t>REJECTED</t>
        </is>
      </c>
      <c r="M4782" s="8" t="n">
        <v>0</v>
      </c>
      <c r="N4782" s="7">
        <f>M4782*$J$4806-J4782</f>
        <v/>
      </c>
      <c r="O4782" s="9">
        <f>IF(G4782=0,0,N4782/G4782)</f>
        <v/>
      </c>
      <c r="P4782" s="6">
        <f>IF(M4782&gt;0,D4782,"")</f>
        <v/>
      </c>
      <c r="Q4782" s="9">
        <f>I4782+O4782</f>
        <v/>
      </c>
      <c r="R4782" s="7">
        <f>Q4782*G4782</f>
        <v/>
      </c>
      <c r="S4782" s="8">
        <f>IF($R$4806=0,0,R4782/$R$4806)</f>
        <v/>
      </c>
      <c r="T4782" s="8" t="n">
        <v>-0.002514478514396234</v>
      </c>
      <c r="U4782" s="8" t="n">
        <v>-0.006597326853655772</v>
      </c>
      <c r="V4782" s="6" t="inlineStr">
        <is>
          <t>not selected</t>
        </is>
      </c>
    </row>
    <row r="4783">
      <c r="A4783" s="6" t="inlineStr">
        <is>
          <t>DJ30</t>
        </is>
      </c>
      <c r="B4783" s="6" t="inlineStr">
        <is>
          <t>2025-12-19</t>
        </is>
      </c>
      <c r="C4783" s="6" t="inlineStr">
        <is>
          <t>DIA</t>
        </is>
      </c>
      <c r="D4783" s="6" t="inlineStr">
        <is>
          <t>CSCO</t>
        </is>
      </c>
      <c r="E4783" s="6" t="inlineStr">
        <is>
          <t>CSCO</t>
        </is>
      </c>
      <c r="F4783" s="6" t="inlineStr">
        <is>
          <t>-</t>
        </is>
      </c>
      <c r="G4783" s="7" t="n">
        <v>77.58221435546875</v>
      </c>
      <c r="H4783" s="6">
        <f>P4752</f>
        <v/>
      </c>
      <c r="I4783" s="9">
        <f>Q4752</f>
        <v/>
      </c>
      <c r="J4783" s="7">
        <f>I4783*G4783</f>
        <v/>
      </c>
      <c r="K4783" s="8">
        <f>IF($J$4806=0,0,J4783/$J$4806)</f>
        <v/>
      </c>
      <c r="L4783" s="6" t="inlineStr">
        <is>
          <t>SELECTED</t>
        </is>
      </c>
      <c r="M4783" s="8" t="n">
        <v>0.2</v>
      </c>
      <c r="N4783" s="7">
        <f>M4783*$J$4806-J4783</f>
        <v/>
      </c>
      <c r="O4783" s="9">
        <f>IF(G4783=0,0,N4783/G4783)</f>
        <v/>
      </c>
      <c r="P4783" s="6">
        <f>IF(M4783&gt;0,D4783,"")</f>
        <v/>
      </c>
      <c r="Q4783" s="9">
        <f>I4783+O4783</f>
        <v/>
      </c>
      <c r="R4783" s="7">
        <f>Q4783*G4783</f>
        <v/>
      </c>
      <c r="S4783" s="8">
        <f>IF($R$4806=0,0,R4783/$R$4806)</f>
        <v/>
      </c>
      <c r="T4783" s="8" t="n">
        <v>-0.002514478514396234</v>
      </c>
      <c r="U4783" s="8" t="n">
        <v>-0.006597326853655772</v>
      </c>
      <c r="V4783" s="6" t="inlineStr">
        <is>
          <t>remained in weekly selection</t>
        </is>
      </c>
    </row>
    <row r="4784">
      <c r="A4784" s="6" t="inlineStr">
        <is>
          <t>DJ30</t>
        </is>
      </c>
      <c r="B4784" s="6" t="inlineStr">
        <is>
          <t>2025-12-19</t>
        </is>
      </c>
      <c r="C4784" s="6" t="inlineStr">
        <is>
          <t>DIA</t>
        </is>
      </c>
      <c r="D4784" s="6" t="inlineStr">
        <is>
          <t>CVX</t>
        </is>
      </c>
      <c r="E4784" s="6" t="inlineStr">
        <is>
          <t>CVX</t>
        </is>
      </c>
      <c r="F4784" s="6" t="inlineStr">
        <is>
          <t>-</t>
        </is>
      </c>
      <c r="G4784" s="7" t="n">
        <v>144.9906463623047</v>
      </c>
      <c r="H4784" s="6">
        <f>P4753</f>
        <v/>
      </c>
      <c r="I4784" s="9">
        <f>Q4753</f>
        <v/>
      </c>
      <c r="J4784" s="7">
        <f>I4784*G4784</f>
        <v/>
      </c>
      <c r="K4784" s="8">
        <f>IF($J$4806=0,0,J4784/$J$4806)</f>
        <v/>
      </c>
      <c r="L4784" s="6" t="inlineStr">
        <is>
          <t>REJECTED</t>
        </is>
      </c>
      <c r="M4784" s="8" t="n">
        <v>0</v>
      </c>
      <c r="N4784" s="7">
        <f>M4784*$J$4806-J4784</f>
        <v/>
      </c>
      <c r="O4784" s="9">
        <f>IF(G4784=0,0,N4784/G4784)</f>
        <v/>
      </c>
      <c r="P4784" s="6">
        <f>IF(M4784&gt;0,D4784,"")</f>
        <v/>
      </c>
      <c r="Q4784" s="9">
        <f>I4784+O4784</f>
        <v/>
      </c>
      <c r="R4784" s="7">
        <f>Q4784*G4784</f>
        <v/>
      </c>
      <c r="S4784" s="8">
        <f>IF($R$4806=0,0,R4784/$R$4806)</f>
        <v/>
      </c>
      <c r="T4784" s="8" t="n">
        <v>-0.002514478514396234</v>
      </c>
      <c r="U4784" s="8" t="n">
        <v>-0.006597326853655772</v>
      </c>
      <c r="V4784" s="6" t="inlineStr">
        <is>
          <t>not selected</t>
        </is>
      </c>
    </row>
    <row r="4785">
      <c r="A4785" s="6" t="inlineStr">
        <is>
          <t>DJ30</t>
        </is>
      </c>
      <c r="B4785" s="6" t="inlineStr">
        <is>
          <t>2025-12-19</t>
        </is>
      </c>
      <c r="C4785" s="6" t="inlineStr">
        <is>
          <t>DIA</t>
        </is>
      </c>
      <c r="D4785" s="6" t="inlineStr">
        <is>
          <t>DIS</t>
        </is>
      </c>
      <c r="E4785" s="6" t="inlineStr">
        <is>
          <t>DIS</t>
        </is>
      </c>
      <c r="F4785" s="6" t="inlineStr">
        <is>
          <t>-</t>
        </is>
      </c>
      <c r="G4785" s="7" t="n">
        <v>111.2399978637695</v>
      </c>
      <c r="H4785" s="6">
        <f>P4754</f>
        <v/>
      </c>
      <c r="I4785" s="9">
        <f>Q4754</f>
        <v/>
      </c>
      <c r="J4785" s="7">
        <f>I4785*G4785</f>
        <v/>
      </c>
      <c r="K4785" s="8">
        <f>IF($J$4806=0,0,J4785/$J$4806)</f>
        <v/>
      </c>
      <c r="L4785" s="6" t="inlineStr">
        <is>
          <t>REJECTED</t>
        </is>
      </c>
      <c r="M4785" s="8" t="n">
        <v>0</v>
      </c>
      <c r="N4785" s="7">
        <f>M4785*$J$4806-J4785</f>
        <v/>
      </c>
      <c r="O4785" s="9">
        <f>IF(G4785=0,0,N4785/G4785)</f>
        <v/>
      </c>
      <c r="P4785" s="6">
        <f>IF(M4785&gt;0,D4785,"")</f>
        <v/>
      </c>
      <c r="Q4785" s="9">
        <f>I4785+O4785</f>
        <v/>
      </c>
      <c r="R4785" s="7">
        <f>Q4785*G4785</f>
        <v/>
      </c>
      <c r="S4785" s="8">
        <f>IF($R$4806=0,0,R4785/$R$4806)</f>
        <v/>
      </c>
      <c r="T4785" s="8" t="n">
        <v>-0.002514478514396234</v>
      </c>
      <c r="U4785" s="8" t="n">
        <v>-0.006597326853655772</v>
      </c>
      <c r="V4785" s="6" t="inlineStr">
        <is>
          <t>not selected</t>
        </is>
      </c>
    </row>
    <row r="4786">
      <c r="A4786" s="6" t="inlineStr">
        <is>
          <t>DJ30</t>
        </is>
      </c>
      <c r="B4786" s="6" t="inlineStr">
        <is>
          <t>2025-12-19</t>
        </is>
      </c>
      <c r="C4786" s="6" t="inlineStr">
        <is>
          <t>DIA</t>
        </is>
      </c>
      <c r="D4786" s="6" t="inlineStr">
        <is>
          <t>GS</t>
        </is>
      </c>
      <c r="E4786" s="6" t="inlineStr">
        <is>
          <t>GS</t>
        </is>
      </c>
      <c r="F4786" s="6" t="inlineStr">
        <is>
          <t>-</t>
        </is>
      </c>
      <c r="G4786" s="7" t="n">
        <v>884.9024658203125</v>
      </c>
      <c r="H4786" s="6">
        <f>P4755</f>
        <v/>
      </c>
      <c r="I4786" s="9">
        <f>Q4755</f>
        <v/>
      </c>
      <c r="J4786" s="7">
        <f>I4786*G4786</f>
        <v/>
      </c>
      <c r="K4786" s="8">
        <f>IF($J$4806=0,0,J4786/$J$4806)</f>
        <v/>
      </c>
      <c r="L4786" s="6" t="inlineStr">
        <is>
          <t>SELECTED</t>
        </is>
      </c>
      <c r="M4786" s="8" t="n">
        <v>0.2</v>
      </c>
      <c r="N4786" s="7">
        <f>M4786*$J$4806-J4786</f>
        <v/>
      </c>
      <c r="O4786" s="9">
        <f>IF(G4786=0,0,N4786/G4786)</f>
        <v/>
      </c>
      <c r="P4786" s="6">
        <f>IF(M4786&gt;0,D4786,"")</f>
        <v/>
      </c>
      <c r="Q4786" s="9">
        <f>I4786+O4786</f>
        <v/>
      </c>
      <c r="R4786" s="7">
        <f>Q4786*G4786</f>
        <v/>
      </c>
      <c r="S4786" s="8">
        <f>IF($R$4806=0,0,R4786/$R$4806)</f>
        <v/>
      </c>
      <c r="T4786" s="8" t="n">
        <v>-0.002514478514396234</v>
      </c>
      <c r="U4786" s="8" t="n">
        <v>-0.006597326853655772</v>
      </c>
      <c r="V4786" s="6" t="inlineStr">
        <is>
          <t>remained in weekly selection</t>
        </is>
      </c>
    </row>
    <row r="4787">
      <c r="A4787" s="6" t="inlineStr">
        <is>
          <t>DJ30</t>
        </is>
      </c>
      <c r="B4787" s="6" t="inlineStr">
        <is>
          <t>2025-12-19</t>
        </is>
      </c>
      <c r="C4787" s="6" t="inlineStr">
        <is>
          <t>DIA</t>
        </is>
      </c>
      <c r="D4787" s="6" t="inlineStr">
        <is>
          <t>HD</t>
        </is>
      </c>
      <c r="E4787" s="6" t="inlineStr">
        <is>
          <t>HD</t>
        </is>
      </c>
      <c r="F4787" s="6" t="inlineStr">
        <is>
          <t>-</t>
        </is>
      </c>
      <c r="G4787" s="7" t="n">
        <v>340.1573791503906</v>
      </c>
      <c r="H4787" s="6">
        <f>P4756</f>
        <v/>
      </c>
      <c r="I4787" s="9">
        <f>Q4756</f>
        <v/>
      </c>
      <c r="J4787" s="7">
        <f>I4787*G4787</f>
        <v/>
      </c>
      <c r="K4787" s="8">
        <f>IF($J$4806=0,0,J4787/$J$4806)</f>
        <v/>
      </c>
      <c r="L4787" s="6" t="inlineStr">
        <is>
          <t>REJECTED</t>
        </is>
      </c>
      <c r="M4787" s="8" t="n">
        <v>0</v>
      </c>
      <c r="N4787" s="7">
        <f>M4787*$J$4806-J4787</f>
        <v/>
      </c>
      <c r="O4787" s="9">
        <f>IF(G4787=0,0,N4787/G4787)</f>
        <v/>
      </c>
      <c r="P4787" s="6">
        <f>IF(M4787&gt;0,D4787,"")</f>
        <v/>
      </c>
      <c r="Q4787" s="9">
        <f>I4787+O4787</f>
        <v/>
      </c>
      <c r="R4787" s="7">
        <f>Q4787*G4787</f>
        <v/>
      </c>
      <c r="S4787" s="8">
        <f>IF($R$4806=0,0,R4787/$R$4806)</f>
        <v/>
      </c>
      <c r="T4787" s="8" t="n">
        <v>-0.002514478514396234</v>
      </c>
      <c r="U4787" s="8" t="n">
        <v>-0.006597326853655772</v>
      </c>
      <c r="V4787" s="6" t="inlineStr">
        <is>
          <t>not selected</t>
        </is>
      </c>
    </row>
    <row r="4788">
      <c r="A4788" s="6" t="inlineStr">
        <is>
          <t>DJ30</t>
        </is>
      </c>
      <c r="B4788" s="6" t="inlineStr">
        <is>
          <t>2025-12-19</t>
        </is>
      </c>
      <c r="C4788" s="6" t="inlineStr">
        <is>
          <t>DIA</t>
        </is>
      </c>
      <c r="D4788" s="6" t="inlineStr">
        <is>
          <t>HON</t>
        </is>
      </c>
      <c r="E4788" s="6" t="inlineStr">
        <is>
          <t>HON</t>
        </is>
      </c>
      <c r="F4788" s="6" t="inlineStr">
        <is>
          <t>-</t>
        </is>
      </c>
      <c r="G4788" s="7" t="n">
        <v>197.0434417724609</v>
      </c>
      <c r="H4788" s="6">
        <f>P4757</f>
        <v/>
      </c>
      <c r="I4788" s="9">
        <f>Q4757</f>
        <v/>
      </c>
      <c r="J4788" s="7">
        <f>I4788*G4788</f>
        <v/>
      </c>
      <c r="K4788" s="8">
        <f>IF($J$4806=0,0,J4788/$J$4806)</f>
        <v/>
      </c>
      <c r="L4788" s="6" t="inlineStr">
        <is>
          <t>REJECTED</t>
        </is>
      </c>
      <c r="M4788" s="8" t="n">
        <v>0</v>
      </c>
      <c r="N4788" s="7">
        <f>M4788*$J$4806-J4788</f>
        <v/>
      </c>
      <c r="O4788" s="9">
        <f>IF(G4788=0,0,N4788/G4788)</f>
        <v/>
      </c>
      <c r="P4788" s="6">
        <f>IF(M4788&gt;0,D4788,"")</f>
        <v/>
      </c>
      <c r="Q4788" s="9">
        <f>I4788+O4788</f>
        <v/>
      </c>
      <c r="R4788" s="7">
        <f>Q4788*G4788</f>
        <v/>
      </c>
      <c r="S4788" s="8">
        <f>IF($R$4806=0,0,R4788/$R$4806)</f>
        <v/>
      </c>
      <c r="T4788" s="8" t="n">
        <v>-0.002514478514396234</v>
      </c>
      <c r="U4788" s="8" t="n">
        <v>-0.006597326853655772</v>
      </c>
      <c r="V4788" s="6" t="inlineStr">
        <is>
          <t>not selected</t>
        </is>
      </c>
    </row>
    <row r="4789">
      <c r="A4789" s="6" t="inlineStr">
        <is>
          <t>DJ30</t>
        </is>
      </c>
      <c r="B4789" s="6" t="inlineStr">
        <is>
          <t>2025-12-19</t>
        </is>
      </c>
      <c r="C4789" s="6" t="inlineStr">
        <is>
          <t>DIA</t>
        </is>
      </c>
      <c r="D4789" s="6" t="inlineStr">
        <is>
          <t>IBM</t>
        </is>
      </c>
      <c r="E4789" s="6" t="inlineStr">
        <is>
          <t>IBM</t>
        </is>
      </c>
      <c r="F4789" s="6" t="inlineStr">
        <is>
          <t>-</t>
        </is>
      </c>
      <c r="G4789" s="7" t="n">
        <v>297.087158203125</v>
      </c>
      <c r="H4789" s="6">
        <f>P4758</f>
        <v/>
      </c>
      <c r="I4789" s="9">
        <f>Q4758</f>
        <v/>
      </c>
      <c r="J4789" s="7">
        <f>I4789*G4789</f>
        <v/>
      </c>
      <c r="K4789" s="8">
        <f>IF($J$4806=0,0,J4789/$J$4806)</f>
        <v/>
      </c>
      <c r="L4789" s="6" t="inlineStr">
        <is>
          <t>WATCHLIST</t>
        </is>
      </c>
      <c r="M4789" s="8" t="n">
        <v>0</v>
      </c>
      <c r="N4789" s="7">
        <f>M4789*$J$4806-J4789</f>
        <v/>
      </c>
      <c r="O4789" s="9">
        <f>IF(G4789=0,0,N4789/G4789)</f>
        <v/>
      </c>
      <c r="P4789" s="6">
        <f>IF(M4789&gt;0,D4789,"")</f>
        <v/>
      </c>
      <c r="Q4789" s="9">
        <f>I4789+O4789</f>
        <v/>
      </c>
      <c r="R4789" s="7">
        <f>Q4789*G4789</f>
        <v/>
      </c>
      <c r="S4789" s="8">
        <f>IF($R$4806=0,0,R4789/$R$4806)</f>
        <v/>
      </c>
      <c r="T4789" s="8" t="n">
        <v>-0.002514478514396234</v>
      </c>
      <c r="U4789" s="8" t="n">
        <v>-0.006597326853655772</v>
      </c>
      <c r="V4789" s="6" t="inlineStr">
        <is>
          <t>not selected</t>
        </is>
      </c>
    </row>
    <row r="4790">
      <c r="A4790" s="6" t="inlineStr">
        <is>
          <t>DJ30</t>
        </is>
      </c>
      <c r="B4790" s="6" t="inlineStr">
        <is>
          <t>2025-12-19</t>
        </is>
      </c>
      <c r="C4790" s="6" t="inlineStr">
        <is>
          <t>DIA</t>
        </is>
      </c>
      <c r="D4790" s="6" t="inlineStr">
        <is>
          <t>JNJ</t>
        </is>
      </c>
      <c r="E4790" s="6" t="inlineStr">
        <is>
          <t>JNJ</t>
        </is>
      </c>
      <c r="F4790" s="6" t="inlineStr">
        <is>
          <t>-</t>
        </is>
      </c>
      <c r="G4790" s="7" t="n">
        <v>204.1049041748047</v>
      </c>
      <c r="H4790" s="6">
        <f>P4759</f>
        <v/>
      </c>
      <c r="I4790" s="9">
        <f>Q4759</f>
        <v/>
      </c>
      <c r="J4790" s="7">
        <f>I4790*G4790</f>
        <v/>
      </c>
      <c r="K4790" s="8">
        <f>IF($J$4806=0,0,J4790/$J$4806)</f>
        <v/>
      </c>
      <c r="L4790" s="6" t="inlineStr">
        <is>
          <t>SELECTED</t>
        </is>
      </c>
      <c r="M4790" s="8" t="n">
        <v>0.2</v>
      </c>
      <c r="N4790" s="7">
        <f>M4790*$J$4806-J4790</f>
        <v/>
      </c>
      <c r="O4790" s="9">
        <f>IF(G4790=0,0,N4790/G4790)</f>
        <v/>
      </c>
      <c r="P4790" s="6">
        <f>IF(M4790&gt;0,D4790,"")</f>
        <v/>
      </c>
      <c r="Q4790" s="9">
        <f>I4790+O4790</f>
        <v/>
      </c>
      <c r="R4790" s="7">
        <f>Q4790*G4790</f>
        <v/>
      </c>
      <c r="S4790" s="8">
        <f>IF($R$4806=0,0,R4790/$R$4806)</f>
        <v/>
      </c>
      <c r="T4790" s="8" t="n">
        <v>-0.002514478514396234</v>
      </c>
      <c r="U4790" s="8" t="n">
        <v>-0.006597326853655772</v>
      </c>
      <c r="V4790" s="6" t="inlineStr">
        <is>
          <t>remained in weekly selection</t>
        </is>
      </c>
    </row>
    <row r="4791">
      <c r="A4791" s="6" t="inlineStr">
        <is>
          <t>DJ30</t>
        </is>
      </c>
      <c r="B4791" s="6" t="inlineStr">
        <is>
          <t>2025-12-19</t>
        </is>
      </c>
      <c r="C4791" s="6" t="inlineStr">
        <is>
          <t>DIA</t>
        </is>
      </c>
      <c r="D4791" s="6" t="inlineStr">
        <is>
          <t>JPM</t>
        </is>
      </c>
      <c r="E4791" s="6" t="inlineStr">
        <is>
          <t>JPM</t>
        </is>
      </c>
      <c r="F4791" s="6" t="inlineStr">
        <is>
          <t>-</t>
        </is>
      </c>
      <c r="G4791" s="7" t="n">
        <v>314.1776733398437</v>
      </c>
      <c r="H4791" s="6">
        <f>P4760</f>
        <v/>
      </c>
      <c r="I4791" s="9">
        <f>Q4760</f>
        <v/>
      </c>
      <c r="J4791" s="7">
        <f>I4791*G4791</f>
        <v/>
      </c>
      <c r="K4791" s="8">
        <f>IF($J$4806=0,0,J4791/$J$4806)</f>
        <v/>
      </c>
      <c r="L4791" s="6" t="inlineStr">
        <is>
          <t>WATCHLIST</t>
        </is>
      </c>
      <c r="M4791" s="8" t="n">
        <v>0</v>
      </c>
      <c r="N4791" s="7">
        <f>M4791*$J$4806-J4791</f>
        <v/>
      </c>
      <c r="O4791" s="9">
        <f>IF(G4791=0,0,N4791/G4791)</f>
        <v/>
      </c>
      <c r="P4791" s="6">
        <f>IF(M4791&gt;0,D4791,"")</f>
        <v/>
      </c>
      <c r="Q4791" s="9">
        <f>I4791+O4791</f>
        <v/>
      </c>
      <c r="R4791" s="7">
        <f>Q4791*G4791</f>
        <v/>
      </c>
      <c r="S4791" s="8">
        <f>IF($R$4806=0,0,R4791/$R$4806)</f>
        <v/>
      </c>
      <c r="T4791" s="8" t="n">
        <v>-0.002514478514396234</v>
      </c>
      <c r="U4791" s="8" t="n">
        <v>-0.006597326853655772</v>
      </c>
      <c r="V4791" s="6" t="inlineStr">
        <is>
          <t>not selected</t>
        </is>
      </c>
    </row>
    <row r="4792">
      <c r="A4792" s="6" t="inlineStr">
        <is>
          <t>DJ30</t>
        </is>
      </c>
      <c r="B4792" s="6" t="inlineStr">
        <is>
          <t>2025-12-19</t>
        </is>
      </c>
      <c r="C4792" s="6" t="inlineStr">
        <is>
          <t>DIA</t>
        </is>
      </c>
      <c r="D4792" s="6" t="inlineStr">
        <is>
          <t>KO</t>
        </is>
      </c>
      <c r="E4792" s="6" t="inlineStr">
        <is>
          <t>KO</t>
        </is>
      </c>
      <c r="F4792" s="6" t="inlineStr">
        <is>
          <t>-</t>
        </is>
      </c>
      <c r="G4792" s="7" t="n">
        <v>69.13520050048828</v>
      </c>
      <c r="H4792" s="6">
        <f>P4761</f>
        <v/>
      </c>
      <c r="I4792" s="9">
        <f>Q4761</f>
        <v/>
      </c>
      <c r="J4792" s="7">
        <f>I4792*G4792</f>
        <v/>
      </c>
      <c r="K4792" s="8">
        <f>IF($J$4806=0,0,J4792/$J$4806)</f>
        <v/>
      </c>
      <c r="L4792" s="6" t="inlineStr">
        <is>
          <t>REJECTED</t>
        </is>
      </c>
      <c r="M4792" s="8" t="n">
        <v>0</v>
      </c>
      <c r="N4792" s="7">
        <f>M4792*$J$4806-J4792</f>
        <v/>
      </c>
      <c r="O4792" s="9">
        <f>IF(G4792=0,0,N4792/G4792)</f>
        <v/>
      </c>
      <c r="P4792" s="6">
        <f>IF(M4792&gt;0,D4792,"")</f>
        <v/>
      </c>
      <c r="Q4792" s="9">
        <f>I4792+O4792</f>
        <v/>
      </c>
      <c r="R4792" s="7">
        <f>Q4792*G4792</f>
        <v/>
      </c>
      <c r="S4792" s="8">
        <f>IF($R$4806=0,0,R4792/$R$4806)</f>
        <v/>
      </c>
      <c r="T4792" s="8" t="n">
        <v>-0.002514478514396234</v>
      </c>
      <c r="U4792" s="8" t="n">
        <v>-0.006597326853655772</v>
      </c>
      <c r="V4792" s="6" t="inlineStr">
        <is>
          <t>not selected</t>
        </is>
      </c>
    </row>
    <row r="4793">
      <c r="A4793" s="6" t="inlineStr">
        <is>
          <t>DJ30</t>
        </is>
      </c>
      <c r="B4793" s="6" t="inlineStr">
        <is>
          <t>2025-12-19</t>
        </is>
      </c>
      <c r="C4793" s="6" t="inlineStr">
        <is>
          <t>DIA</t>
        </is>
      </c>
      <c r="D4793" s="6" t="inlineStr">
        <is>
          <t>MCD</t>
        </is>
      </c>
      <c r="E4793" s="6" t="inlineStr">
        <is>
          <t>MCD</t>
        </is>
      </c>
      <c r="F4793" s="6" t="inlineStr">
        <is>
          <t>-</t>
        </is>
      </c>
      <c r="G4793" s="7" t="n">
        <v>311.9696350097656</v>
      </c>
      <c r="H4793" s="6">
        <f>P4762</f>
        <v/>
      </c>
      <c r="I4793" s="9">
        <f>Q4762</f>
        <v/>
      </c>
      <c r="J4793" s="7">
        <f>I4793*G4793</f>
        <v/>
      </c>
      <c r="K4793" s="8">
        <f>IF($J$4806=0,0,J4793/$J$4806)</f>
        <v/>
      </c>
      <c r="L4793" s="6" t="inlineStr">
        <is>
          <t>REJECTED</t>
        </is>
      </c>
      <c r="M4793" s="8" t="n">
        <v>0</v>
      </c>
      <c r="N4793" s="7">
        <f>M4793*$J$4806-J4793</f>
        <v/>
      </c>
      <c r="O4793" s="9">
        <f>IF(G4793=0,0,N4793/G4793)</f>
        <v/>
      </c>
      <c r="P4793" s="6">
        <f>IF(M4793&gt;0,D4793,"")</f>
        <v/>
      </c>
      <c r="Q4793" s="9">
        <f>I4793+O4793</f>
        <v/>
      </c>
      <c r="R4793" s="7">
        <f>Q4793*G4793</f>
        <v/>
      </c>
      <c r="S4793" s="8">
        <f>IF($R$4806=0,0,R4793/$R$4806)</f>
        <v/>
      </c>
      <c r="T4793" s="8" t="n">
        <v>-0.002514478514396234</v>
      </c>
      <c r="U4793" s="8" t="n">
        <v>-0.006597326853655772</v>
      </c>
      <c r="V4793" s="6" t="inlineStr">
        <is>
          <t>not selected</t>
        </is>
      </c>
    </row>
    <row r="4794">
      <c r="A4794" s="6" t="inlineStr">
        <is>
          <t>DJ30</t>
        </is>
      </c>
      <c r="B4794" s="6" t="inlineStr">
        <is>
          <t>2025-12-19</t>
        </is>
      </c>
      <c r="C4794" s="6" t="inlineStr">
        <is>
          <t>DIA</t>
        </is>
      </c>
      <c r="D4794" s="6" t="inlineStr">
        <is>
          <t>MMM</t>
        </is>
      </c>
      <c r="E4794" s="6" t="inlineStr">
        <is>
          <t>MMM</t>
        </is>
      </c>
      <c r="F4794" s="6" t="inlineStr">
        <is>
          <t>-</t>
        </is>
      </c>
      <c r="G4794" s="7" t="n">
        <v>160.4069366455078</v>
      </c>
      <c r="H4794" s="6">
        <f>P4763</f>
        <v/>
      </c>
      <c r="I4794" s="9">
        <f>Q4763</f>
        <v/>
      </c>
      <c r="J4794" s="7">
        <f>I4794*G4794</f>
        <v/>
      </c>
      <c r="K4794" s="8">
        <f>IF($J$4806=0,0,J4794/$J$4806)</f>
        <v/>
      </c>
      <c r="L4794" s="6" t="inlineStr">
        <is>
          <t>WATCHLIST</t>
        </is>
      </c>
      <c r="M4794" s="8" t="n">
        <v>0</v>
      </c>
      <c r="N4794" s="7">
        <f>M4794*$J$4806-J4794</f>
        <v/>
      </c>
      <c r="O4794" s="9">
        <f>IF(G4794=0,0,N4794/G4794)</f>
        <v/>
      </c>
      <c r="P4794" s="6">
        <f>IF(M4794&gt;0,D4794,"")</f>
        <v/>
      </c>
      <c r="Q4794" s="9">
        <f>I4794+O4794</f>
        <v/>
      </c>
      <c r="R4794" s="7">
        <f>Q4794*G4794</f>
        <v/>
      </c>
      <c r="S4794" s="8">
        <f>IF($R$4806=0,0,R4794/$R$4806)</f>
        <v/>
      </c>
      <c r="T4794" s="8" t="n">
        <v>-0.002514478514396234</v>
      </c>
      <c r="U4794" s="8" t="n">
        <v>-0.006597326853655772</v>
      </c>
      <c r="V4794" s="6" t="inlineStr">
        <is>
          <t>not selected</t>
        </is>
      </c>
    </row>
    <row r="4795">
      <c r="A4795" s="6" t="inlineStr">
        <is>
          <t>DJ30</t>
        </is>
      </c>
      <c r="B4795" s="6" t="inlineStr">
        <is>
          <t>2025-12-19</t>
        </is>
      </c>
      <c r="C4795" s="6" t="inlineStr">
        <is>
          <t>DIA</t>
        </is>
      </c>
      <c r="D4795" s="6" t="inlineStr">
        <is>
          <t>MRK</t>
        </is>
      </c>
      <c r="E4795" s="6" t="inlineStr">
        <is>
          <t>MRK</t>
        </is>
      </c>
      <c r="F4795" s="6" t="inlineStr">
        <is>
          <t>-</t>
        </is>
      </c>
      <c r="G4795" s="7" t="n">
        <v>99.63029479980467</v>
      </c>
      <c r="H4795" s="6">
        <f>P4764</f>
        <v/>
      </c>
      <c r="I4795" s="9">
        <f>Q4764</f>
        <v/>
      </c>
      <c r="J4795" s="7">
        <f>I4795*G4795</f>
        <v/>
      </c>
      <c r="K4795" s="8">
        <f>IF($J$4806=0,0,J4795/$J$4806)</f>
        <v/>
      </c>
      <c r="L4795" s="6" t="inlineStr">
        <is>
          <t>REJECTED</t>
        </is>
      </c>
      <c r="M4795" s="8" t="n">
        <v>0</v>
      </c>
      <c r="N4795" s="7">
        <f>M4795*$J$4806-J4795</f>
        <v/>
      </c>
      <c r="O4795" s="9">
        <f>IF(G4795=0,0,N4795/G4795)</f>
        <v/>
      </c>
      <c r="P4795" s="6">
        <f>IF(M4795&gt;0,D4795,"")</f>
        <v/>
      </c>
      <c r="Q4795" s="9">
        <f>I4795+O4795</f>
        <v/>
      </c>
      <c r="R4795" s="7">
        <f>Q4795*G4795</f>
        <v/>
      </c>
      <c r="S4795" s="8">
        <f>IF($R$4806=0,0,R4795/$R$4806)</f>
        <v/>
      </c>
      <c r="T4795" s="8" t="n">
        <v>-0.002514478514396234</v>
      </c>
      <c r="U4795" s="8" t="n">
        <v>-0.006597326853655772</v>
      </c>
      <c r="V4795" s="6" t="inlineStr">
        <is>
          <t>not selected</t>
        </is>
      </c>
    </row>
    <row r="4796">
      <c r="A4796" s="6" t="inlineStr">
        <is>
          <t>DJ30</t>
        </is>
      </c>
      <c r="B4796" s="6" t="inlineStr">
        <is>
          <t>2025-12-19</t>
        </is>
      </c>
      <c r="C4796" s="6" t="inlineStr">
        <is>
          <t>DIA</t>
        </is>
      </c>
      <c r="D4796" s="6" t="inlineStr">
        <is>
          <t>MSFT</t>
        </is>
      </c>
      <c r="E4796" s="6" t="inlineStr">
        <is>
          <t>MSFT</t>
        </is>
      </c>
      <c r="F4796" s="6" t="inlineStr">
        <is>
          <t>-</t>
        </is>
      </c>
      <c r="G4796" s="7" t="n">
        <v>483.7656555175781</v>
      </c>
      <c r="H4796" s="6">
        <f>P4765</f>
        <v/>
      </c>
      <c r="I4796" s="9">
        <f>Q4765</f>
        <v/>
      </c>
      <c r="J4796" s="7">
        <f>I4796*G4796</f>
        <v/>
      </c>
      <c r="K4796" s="8">
        <f>IF($J$4806=0,0,J4796/$J$4806)</f>
        <v/>
      </c>
      <c r="L4796" s="6" t="inlineStr">
        <is>
          <t>WATCHLIST</t>
        </is>
      </c>
      <c r="M4796" s="8" t="n">
        <v>0</v>
      </c>
      <c r="N4796" s="7">
        <f>M4796*$J$4806-J4796</f>
        <v/>
      </c>
      <c r="O4796" s="9">
        <f>IF(G4796=0,0,N4796/G4796)</f>
        <v/>
      </c>
      <c r="P4796" s="6">
        <f>IF(M4796&gt;0,D4796,"")</f>
        <v/>
      </c>
      <c r="Q4796" s="9">
        <f>I4796+O4796</f>
        <v/>
      </c>
      <c r="R4796" s="7">
        <f>Q4796*G4796</f>
        <v/>
      </c>
      <c r="S4796" s="8">
        <f>IF($R$4806=0,0,R4796/$R$4806)</f>
        <v/>
      </c>
      <c r="T4796" s="8" t="n">
        <v>-0.002514478514396234</v>
      </c>
      <c r="U4796" s="8" t="n">
        <v>-0.006597326853655772</v>
      </c>
      <c r="V4796" s="6" t="inlineStr">
        <is>
          <t>not selected</t>
        </is>
      </c>
    </row>
    <row r="4797">
      <c r="A4797" s="6" t="inlineStr">
        <is>
          <t>DJ30</t>
        </is>
      </c>
      <c r="B4797" s="6" t="inlineStr">
        <is>
          <t>2025-12-19</t>
        </is>
      </c>
      <c r="C4797" s="6" t="inlineStr">
        <is>
          <t>DIA</t>
        </is>
      </c>
      <c r="D4797" s="6" t="inlineStr">
        <is>
          <t>NKE</t>
        </is>
      </c>
      <c r="E4797" s="6" t="inlineStr">
        <is>
          <t>NKE</t>
        </is>
      </c>
      <c r="F4797" s="6" t="inlineStr">
        <is>
          <t>-</t>
        </is>
      </c>
      <c r="G4797" s="7" t="n">
        <v>57.80563354492188</v>
      </c>
      <c r="H4797" s="6">
        <f>P4766</f>
        <v/>
      </c>
      <c r="I4797" s="9">
        <f>Q4766</f>
        <v/>
      </c>
      <c r="J4797" s="7">
        <f>I4797*G4797</f>
        <v/>
      </c>
      <c r="K4797" s="8">
        <f>IF($J$4806=0,0,J4797/$J$4806)</f>
        <v/>
      </c>
      <c r="L4797" s="6" t="inlineStr">
        <is>
          <t>REJECTED</t>
        </is>
      </c>
      <c r="M4797" s="8" t="n">
        <v>0</v>
      </c>
      <c r="N4797" s="7">
        <f>M4797*$J$4806-J4797</f>
        <v/>
      </c>
      <c r="O4797" s="9">
        <f>IF(G4797=0,0,N4797/G4797)</f>
        <v/>
      </c>
      <c r="P4797" s="6">
        <f>IF(M4797&gt;0,D4797,"")</f>
        <v/>
      </c>
      <c r="Q4797" s="9">
        <f>I4797+O4797</f>
        <v/>
      </c>
      <c r="R4797" s="7">
        <f>Q4797*G4797</f>
        <v/>
      </c>
      <c r="S4797" s="8">
        <f>IF($R$4806=0,0,R4797/$R$4806)</f>
        <v/>
      </c>
      <c r="T4797" s="8" t="n">
        <v>-0.002514478514396234</v>
      </c>
      <c r="U4797" s="8" t="n">
        <v>-0.006597326853655772</v>
      </c>
      <c r="V4797" s="6" t="inlineStr">
        <is>
          <t>not selected</t>
        </is>
      </c>
    </row>
    <row r="4798">
      <c r="A4798" s="6" t="inlineStr">
        <is>
          <t>DJ30</t>
        </is>
      </c>
      <c r="B4798" s="6" t="inlineStr">
        <is>
          <t>2025-12-19</t>
        </is>
      </c>
      <c r="C4798" s="6" t="inlineStr">
        <is>
          <t>DIA</t>
        </is>
      </c>
      <c r="D4798" s="6" t="inlineStr">
        <is>
          <t>NVDA</t>
        </is>
      </c>
      <c r="E4798" s="6" t="inlineStr">
        <is>
          <t>NVDA</t>
        </is>
      </c>
      <c r="F4798" s="6" t="inlineStr">
        <is>
          <t>-</t>
        </is>
      </c>
      <c r="G4798" s="7" t="n">
        <v>180.76953125</v>
      </c>
      <c r="H4798" s="6">
        <f>P4767</f>
        <v/>
      </c>
      <c r="I4798" s="9">
        <f>Q4767</f>
        <v/>
      </c>
      <c r="J4798" s="7">
        <f>I4798*G4798</f>
        <v/>
      </c>
      <c r="K4798" s="8">
        <f>IF($J$4806=0,0,J4798/$J$4806)</f>
        <v/>
      </c>
      <c r="L4798" s="6" t="inlineStr">
        <is>
          <t>SELECTED</t>
        </is>
      </c>
      <c r="M4798" s="8" t="n">
        <v>0.2</v>
      </c>
      <c r="N4798" s="7">
        <f>M4798*$J$4806-J4798</f>
        <v/>
      </c>
      <c r="O4798" s="9">
        <f>IF(G4798=0,0,N4798/G4798)</f>
        <v/>
      </c>
      <c r="P4798" s="6">
        <f>IF(M4798&gt;0,D4798,"")</f>
        <v/>
      </c>
      <c r="Q4798" s="9">
        <f>I4798+O4798</f>
        <v/>
      </c>
      <c r="R4798" s="7">
        <f>Q4798*G4798</f>
        <v/>
      </c>
      <c r="S4798" s="8">
        <f>IF($R$4806=0,0,R4798/$R$4806)</f>
        <v/>
      </c>
      <c r="T4798" s="8" t="n">
        <v>-0.002514478514396234</v>
      </c>
      <c r="U4798" s="8" t="n">
        <v>-0.006597326853655772</v>
      </c>
      <c r="V4798" s="6" t="inlineStr">
        <is>
          <t>remained in weekly selection</t>
        </is>
      </c>
    </row>
    <row r="4799">
      <c r="A4799" s="6" t="inlineStr">
        <is>
          <t>DJ30</t>
        </is>
      </c>
      <c r="B4799" s="6" t="inlineStr">
        <is>
          <t>2025-12-19</t>
        </is>
      </c>
      <c r="C4799" s="6" t="inlineStr">
        <is>
          <t>DIA</t>
        </is>
      </c>
      <c r="D4799" s="6" t="inlineStr">
        <is>
          <t>PG</t>
        </is>
      </c>
      <c r="E4799" s="6" t="inlineStr">
        <is>
          <t>PG</t>
        </is>
      </c>
      <c r="F4799" s="6" t="inlineStr">
        <is>
          <t>-</t>
        </is>
      </c>
      <c r="G4799" s="7" t="n">
        <v>142.3695068359375</v>
      </c>
      <c r="H4799" s="6">
        <f>P4768</f>
        <v/>
      </c>
      <c r="I4799" s="9">
        <f>Q4768</f>
        <v/>
      </c>
      <c r="J4799" s="7">
        <f>I4799*G4799</f>
        <v/>
      </c>
      <c r="K4799" s="8">
        <f>IF($J$4806=0,0,J4799/$J$4806)</f>
        <v/>
      </c>
      <c r="L4799" s="6" t="inlineStr">
        <is>
          <t>REJECTED</t>
        </is>
      </c>
      <c r="M4799" s="8" t="n">
        <v>0</v>
      </c>
      <c r="N4799" s="7">
        <f>M4799*$J$4806-J4799</f>
        <v/>
      </c>
      <c r="O4799" s="9">
        <f>IF(G4799=0,0,N4799/G4799)</f>
        <v/>
      </c>
      <c r="P4799" s="6">
        <f>IF(M4799&gt;0,D4799,"")</f>
        <v/>
      </c>
      <c r="Q4799" s="9">
        <f>I4799+O4799</f>
        <v/>
      </c>
      <c r="R4799" s="7">
        <f>Q4799*G4799</f>
        <v/>
      </c>
      <c r="S4799" s="8">
        <f>IF($R$4806=0,0,R4799/$R$4806)</f>
        <v/>
      </c>
      <c r="T4799" s="8" t="n">
        <v>-0.002514478514396234</v>
      </c>
      <c r="U4799" s="8" t="n">
        <v>-0.006597326853655772</v>
      </c>
      <c r="V4799" s="6" t="inlineStr">
        <is>
          <t>not selected</t>
        </is>
      </c>
    </row>
    <row r="4800">
      <c r="A4800" s="6" t="inlineStr">
        <is>
          <t>DJ30</t>
        </is>
      </c>
      <c r="B4800" s="6" t="inlineStr">
        <is>
          <t>2025-12-19</t>
        </is>
      </c>
      <c r="C4800" s="6" t="inlineStr">
        <is>
          <t>DIA</t>
        </is>
      </c>
      <c r="D4800" s="6" t="inlineStr">
        <is>
          <t>SHW</t>
        </is>
      </c>
      <c r="E4800" s="6" t="inlineStr">
        <is>
          <t>SHW</t>
        </is>
      </c>
      <c r="F4800" s="6" t="inlineStr">
        <is>
          <t>-</t>
        </is>
      </c>
      <c r="G4800" s="7" t="n">
        <v>319.3241271972656</v>
      </c>
      <c r="H4800" s="6">
        <f>P4769</f>
        <v/>
      </c>
      <c r="I4800" s="9">
        <f>Q4769</f>
        <v/>
      </c>
      <c r="J4800" s="7">
        <f>I4800*G4800</f>
        <v/>
      </c>
      <c r="K4800" s="8">
        <f>IF($J$4806=0,0,J4800/$J$4806)</f>
        <v/>
      </c>
      <c r="L4800" s="6" t="inlineStr">
        <is>
          <t>REJECTED</t>
        </is>
      </c>
      <c r="M4800" s="8" t="n">
        <v>0</v>
      </c>
      <c r="N4800" s="7">
        <f>M4800*$J$4806-J4800</f>
        <v/>
      </c>
      <c r="O4800" s="9">
        <f>IF(G4800=0,0,N4800/G4800)</f>
        <v/>
      </c>
      <c r="P4800" s="6">
        <f>IF(M4800&gt;0,D4800,"")</f>
        <v/>
      </c>
      <c r="Q4800" s="9">
        <f>I4800+O4800</f>
        <v/>
      </c>
      <c r="R4800" s="7">
        <f>Q4800*G4800</f>
        <v/>
      </c>
      <c r="S4800" s="8">
        <f>IF($R$4806=0,0,R4800/$R$4806)</f>
        <v/>
      </c>
      <c r="T4800" s="8" t="n">
        <v>-0.002514478514396234</v>
      </c>
      <c r="U4800" s="8" t="n">
        <v>-0.006597326853655772</v>
      </c>
      <c r="V4800" s="6" t="inlineStr">
        <is>
          <t>not selected</t>
        </is>
      </c>
    </row>
    <row r="4801">
      <c r="A4801" s="6" t="inlineStr">
        <is>
          <t>DJ30</t>
        </is>
      </c>
      <c r="B4801" s="6" t="inlineStr">
        <is>
          <t>2025-12-19</t>
        </is>
      </c>
      <c r="C4801" s="6" t="inlineStr">
        <is>
          <t>DIA</t>
        </is>
      </c>
      <c r="D4801" s="6" t="inlineStr">
        <is>
          <t>TRV</t>
        </is>
      </c>
      <c r="E4801" s="6" t="inlineStr">
        <is>
          <t>TRV</t>
        </is>
      </c>
      <c r="F4801" s="6" t="inlineStr">
        <is>
          <t>-</t>
        </is>
      </c>
      <c r="G4801" s="7" t="n">
        <v>290.6422119140625</v>
      </c>
      <c r="H4801" s="6">
        <f>P4770</f>
        <v/>
      </c>
      <c r="I4801" s="9">
        <f>Q4770</f>
        <v/>
      </c>
      <c r="J4801" s="7">
        <f>I4801*G4801</f>
        <v/>
      </c>
      <c r="K4801" s="8">
        <f>IF($J$4806=0,0,J4801/$J$4806)</f>
        <v/>
      </c>
      <c r="L4801" s="6" t="inlineStr">
        <is>
          <t>WATCHLIST</t>
        </is>
      </c>
      <c r="M4801" s="8" t="n">
        <v>0</v>
      </c>
      <c r="N4801" s="7">
        <f>M4801*$J$4806-J4801</f>
        <v/>
      </c>
      <c r="O4801" s="9">
        <f>IF(G4801=0,0,N4801/G4801)</f>
        <v/>
      </c>
      <c r="P4801" s="6">
        <f>IF(M4801&gt;0,D4801,"")</f>
        <v/>
      </c>
      <c r="Q4801" s="9">
        <f>I4801+O4801</f>
        <v/>
      </c>
      <c r="R4801" s="7">
        <f>Q4801*G4801</f>
        <v/>
      </c>
      <c r="S4801" s="8">
        <f>IF($R$4806=0,0,R4801/$R$4806)</f>
        <v/>
      </c>
      <c r="T4801" s="8" t="n">
        <v>-0.002514478514396234</v>
      </c>
      <c r="U4801" s="8" t="n">
        <v>-0.006597326853655772</v>
      </c>
      <c r="V4801" s="6" t="inlineStr">
        <is>
          <t>not selected</t>
        </is>
      </c>
    </row>
    <row r="4802">
      <c r="A4802" s="6" t="inlineStr">
        <is>
          <t>DJ30</t>
        </is>
      </c>
      <c r="B4802" s="6" t="inlineStr">
        <is>
          <t>2025-12-19</t>
        </is>
      </c>
      <c r="C4802" s="6" t="inlineStr">
        <is>
          <t>DIA</t>
        </is>
      </c>
      <c r="D4802" s="6" t="inlineStr">
        <is>
          <t>UNH</t>
        </is>
      </c>
      <c r="E4802" s="6" t="inlineStr">
        <is>
          <t>UNH</t>
        </is>
      </c>
      <c r="F4802" s="6" t="inlineStr">
        <is>
          <t>-</t>
        </is>
      </c>
      <c r="G4802" s="7" t="n">
        <v>323.0491027832031</v>
      </c>
      <c r="H4802" s="6">
        <f>P4771</f>
        <v/>
      </c>
      <c r="I4802" s="9">
        <f>Q4771</f>
        <v/>
      </c>
      <c r="J4802" s="7">
        <f>I4802*G4802</f>
        <v/>
      </c>
      <c r="K4802" s="8">
        <f>IF($J$4806=0,0,J4802/$J$4806)</f>
        <v/>
      </c>
      <c r="L4802" s="6" t="inlineStr">
        <is>
          <t>REJECTED</t>
        </is>
      </c>
      <c r="M4802" s="8" t="n">
        <v>0</v>
      </c>
      <c r="N4802" s="7">
        <f>M4802*$J$4806-J4802</f>
        <v/>
      </c>
      <c r="O4802" s="9">
        <f>IF(G4802=0,0,N4802/G4802)</f>
        <v/>
      </c>
      <c r="P4802" s="6">
        <f>IF(M4802&gt;0,D4802,"")</f>
        <v/>
      </c>
      <c r="Q4802" s="9">
        <f>I4802+O4802</f>
        <v/>
      </c>
      <c r="R4802" s="7">
        <f>Q4802*G4802</f>
        <v/>
      </c>
      <c r="S4802" s="8">
        <f>IF($R$4806=0,0,R4802/$R$4806)</f>
        <v/>
      </c>
      <c r="T4802" s="8" t="n">
        <v>-0.002514478514396234</v>
      </c>
      <c r="U4802" s="8" t="n">
        <v>-0.006597326853655772</v>
      </c>
      <c r="V4802" s="6" t="inlineStr">
        <is>
          <t>not selected</t>
        </is>
      </c>
    </row>
    <row r="4803">
      <c r="A4803" s="6" t="inlineStr">
        <is>
          <t>DJ30</t>
        </is>
      </c>
      <c r="B4803" s="6" t="inlineStr">
        <is>
          <t>2025-12-19</t>
        </is>
      </c>
      <c r="C4803" s="6" t="inlineStr">
        <is>
          <t>DIA</t>
        </is>
      </c>
      <c r="D4803" s="6" t="inlineStr">
        <is>
          <t>V</t>
        </is>
      </c>
      <c r="E4803" s="6" t="inlineStr">
        <is>
          <t>V</t>
        </is>
      </c>
      <c r="F4803" s="6" t="inlineStr">
        <is>
          <t>-</t>
        </is>
      </c>
      <c r="G4803" s="7" t="n">
        <v>347.8102416992188</v>
      </c>
      <c r="H4803" s="6">
        <f>P4772</f>
        <v/>
      </c>
      <c r="I4803" s="9">
        <f>Q4772</f>
        <v/>
      </c>
      <c r="J4803" s="7">
        <f>I4803*G4803</f>
        <v/>
      </c>
      <c r="K4803" s="8">
        <f>IF($J$4806=0,0,J4803/$J$4806)</f>
        <v/>
      </c>
      <c r="L4803" s="6" t="inlineStr">
        <is>
          <t>REJECTED</t>
        </is>
      </c>
      <c r="M4803" s="8" t="n">
        <v>0</v>
      </c>
      <c r="N4803" s="7">
        <f>M4803*$J$4806-J4803</f>
        <v/>
      </c>
      <c r="O4803" s="9">
        <f>IF(G4803=0,0,N4803/G4803)</f>
        <v/>
      </c>
      <c r="P4803" s="6">
        <f>IF(M4803&gt;0,D4803,"")</f>
        <v/>
      </c>
      <c r="Q4803" s="9">
        <f>I4803+O4803</f>
        <v/>
      </c>
      <c r="R4803" s="7">
        <f>Q4803*G4803</f>
        <v/>
      </c>
      <c r="S4803" s="8">
        <f>IF($R$4806=0,0,R4803/$R$4806)</f>
        <v/>
      </c>
      <c r="T4803" s="8" t="n">
        <v>-0.002514478514396234</v>
      </c>
      <c r="U4803" s="8" t="n">
        <v>-0.006597326853655772</v>
      </c>
      <c r="V4803" s="6" t="inlineStr">
        <is>
          <t>not selected</t>
        </is>
      </c>
    </row>
    <row r="4804">
      <c r="A4804" s="6" t="inlineStr">
        <is>
          <t>DJ30</t>
        </is>
      </c>
      <c r="B4804" s="6" t="inlineStr">
        <is>
          <t>2025-12-19</t>
        </is>
      </c>
      <c r="C4804" s="6" t="inlineStr">
        <is>
          <t>DIA</t>
        </is>
      </c>
      <c r="D4804" s="6" t="inlineStr">
        <is>
          <t>VZ</t>
        </is>
      </c>
      <c r="E4804" s="6" t="inlineStr">
        <is>
          <t>VZ</t>
        </is>
      </c>
      <c r="F4804" s="6" t="inlineStr">
        <is>
          <t>-</t>
        </is>
      </c>
      <c r="G4804" s="7" t="n">
        <v>38.56092834472656</v>
      </c>
      <c r="H4804" s="6">
        <f>P4773</f>
        <v/>
      </c>
      <c r="I4804" s="9">
        <f>Q4773</f>
        <v/>
      </c>
      <c r="J4804" s="7">
        <f>I4804*G4804</f>
        <v/>
      </c>
      <c r="K4804" s="8">
        <f>IF($J$4806=0,0,J4804/$J$4806)</f>
        <v/>
      </c>
      <c r="L4804" s="6" t="inlineStr">
        <is>
          <t>REJECTED</t>
        </is>
      </c>
      <c r="M4804" s="8" t="n">
        <v>0</v>
      </c>
      <c r="N4804" s="7">
        <f>M4804*$J$4806-J4804</f>
        <v/>
      </c>
      <c r="O4804" s="9">
        <f>IF(G4804=0,0,N4804/G4804)</f>
        <v/>
      </c>
      <c r="P4804" s="6">
        <f>IF(M4804&gt;0,D4804,"")</f>
        <v/>
      </c>
      <c r="Q4804" s="9">
        <f>I4804+O4804</f>
        <v/>
      </c>
      <c r="R4804" s="7">
        <f>Q4804*G4804</f>
        <v/>
      </c>
      <c r="S4804" s="8">
        <f>IF($R$4806=0,0,R4804/$R$4806)</f>
        <v/>
      </c>
      <c r="T4804" s="8" t="n">
        <v>-0.002514478514396234</v>
      </c>
      <c r="U4804" s="8" t="n">
        <v>-0.006597326853655772</v>
      </c>
      <c r="V4804" s="6" t="inlineStr">
        <is>
          <t>not selected</t>
        </is>
      </c>
    </row>
    <row r="4805">
      <c r="A4805" s="6" t="inlineStr">
        <is>
          <t>DJ30</t>
        </is>
      </c>
      <c r="B4805" s="6" t="inlineStr">
        <is>
          <t>2025-12-19</t>
        </is>
      </c>
      <c r="C4805" s="6" t="inlineStr">
        <is>
          <t>DIA</t>
        </is>
      </c>
      <c r="D4805" s="6" t="inlineStr">
        <is>
          <t>WMT</t>
        </is>
      </c>
      <c r="E4805" s="6" t="inlineStr">
        <is>
          <t>WMT</t>
        </is>
      </c>
      <c r="F4805" s="6" t="inlineStr">
        <is>
          <t>-</t>
        </is>
      </c>
      <c r="G4805" s="7" t="n">
        <v>113.9083938598633</v>
      </c>
      <c r="H4805" s="6">
        <f>P4774</f>
        <v/>
      </c>
      <c r="I4805" s="9">
        <f>Q4774</f>
        <v/>
      </c>
      <c r="J4805" s="7">
        <f>I4805*G4805</f>
        <v/>
      </c>
      <c r="K4805" s="8">
        <f>IF($J$4806=0,0,J4805/$J$4806)</f>
        <v/>
      </c>
      <c r="L4805" s="6" t="inlineStr">
        <is>
          <t>WATCHLIST</t>
        </is>
      </c>
      <c r="M4805" s="8" t="n">
        <v>0</v>
      </c>
      <c r="N4805" s="7">
        <f>M4805*$J$4806-J4805</f>
        <v/>
      </c>
      <c r="O4805" s="9">
        <f>IF(G4805=0,0,N4805/G4805)</f>
        <v/>
      </c>
      <c r="P4805" s="6">
        <f>IF(M4805&gt;0,D4805,"")</f>
        <v/>
      </c>
      <c r="Q4805" s="9">
        <f>I4805+O4805</f>
        <v/>
      </c>
      <c r="R4805" s="7">
        <f>Q4805*G4805</f>
        <v/>
      </c>
      <c r="S4805" s="8">
        <f>IF($R$4806=0,0,R4805/$R$4806)</f>
        <v/>
      </c>
      <c r="T4805" s="8" t="n">
        <v>-0.002514478514396234</v>
      </c>
      <c r="U4805" s="8" t="n">
        <v>-0.006597326853655772</v>
      </c>
      <c r="V4805" s="6" t="inlineStr">
        <is>
          <t>not selected</t>
        </is>
      </c>
    </row>
    <row r="4806">
      <c r="A4806" s="10" t="inlineStr">
        <is>
          <t>DJ30</t>
        </is>
      </c>
      <c r="B4806" s="10" t="inlineStr">
        <is>
          <t>2025-12-19</t>
        </is>
      </c>
      <c r="C4806" s="10" t="inlineStr">
        <is>
          <t>DIA</t>
        </is>
      </c>
      <c r="D4806" s="10" t="inlineStr">
        <is>
          <t>Tot Portfolio</t>
        </is>
      </c>
      <c r="E4806" s="10" t="inlineStr"/>
      <c r="F4806" s="10" t="inlineStr"/>
      <c r="G4806" s="11" t="inlineStr"/>
      <c r="H4806" s="10" t="inlineStr"/>
      <c r="I4806" s="12" t="inlineStr"/>
      <c r="J4806" s="11">
        <f>SUM(J4776:J4805)</f>
        <v/>
      </c>
      <c r="K4806" s="13">
        <f>SUM(K4776:K4805)</f>
        <v/>
      </c>
      <c r="L4806" s="10" t="inlineStr">
        <is>
          <t>TOTAL</t>
        </is>
      </c>
      <c r="M4806" s="13">
        <f>SUM(M4776:M4805)</f>
        <v/>
      </c>
      <c r="N4806" s="11">
        <f>SUM(N4776:N4805)</f>
        <v/>
      </c>
      <c r="O4806" s="12">
        <f>SUM(O4776:O4805)</f>
        <v/>
      </c>
      <c r="P4806" s="10" t="inlineStr"/>
      <c r="Q4806" s="12" t="inlineStr"/>
      <c r="R4806" s="11">
        <f>SUM(R4776:R4805)</f>
        <v/>
      </c>
      <c r="S4806" s="13">
        <f>SUM(S4776:S4805)</f>
        <v/>
      </c>
      <c r="T4806" s="13" t="n">
        <v>-0.002514478514396234</v>
      </c>
      <c r="U4806" s="13" t="n">
        <v>-0.006597326853655772</v>
      </c>
      <c r="V4806" s="10" t="inlineStr"/>
    </row>
    <row r="4807">
      <c r="A4807" s="6" t="inlineStr">
        <is>
          <t>DJ30</t>
        </is>
      </c>
      <c r="B4807" s="6" t="inlineStr">
        <is>
          <t>2025-12-26</t>
        </is>
      </c>
      <c r="C4807" s="6" t="inlineStr">
        <is>
          <t>DIA</t>
        </is>
      </c>
      <c r="D4807" s="6" t="inlineStr">
        <is>
          <t>AAPL</t>
        </is>
      </c>
      <c r="E4807" s="6" t="inlineStr">
        <is>
          <t>AAPL</t>
        </is>
      </c>
      <c r="F4807" s="6" t="inlineStr">
        <is>
          <t>-</t>
        </is>
      </c>
      <c r="G4807" s="7" t="n">
        <v>272.8930053710937</v>
      </c>
      <c r="H4807" s="6">
        <f>P4776</f>
        <v/>
      </c>
      <c r="I4807" s="9">
        <f>Q4776</f>
        <v/>
      </c>
      <c r="J4807" s="7">
        <f>I4807*G4807</f>
        <v/>
      </c>
      <c r="K4807" s="8">
        <f>IF($J$4837=0,0,J4807/$J$4837)</f>
        <v/>
      </c>
      <c r="L4807" s="6" t="inlineStr">
        <is>
          <t>WATCHLIST</t>
        </is>
      </c>
      <c r="M4807" s="8" t="n">
        <v>0</v>
      </c>
      <c r="N4807" s="7">
        <f>M4807*$J$4837-J4807</f>
        <v/>
      </c>
      <c r="O4807" s="9">
        <f>IF(G4807=0,0,N4807/G4807)</f>
        <v/>
      </c>
      <c r="P4807" s="6">
        <f>IF(M4807&gt;0,D4807,"")</f>
        <v/>
      </c>
      <c r="Q4807" s="9">
        <f>I4807+O4807</f>
        <v/>
      </c>
      <c r="R4807" s="7">
        <f>Q4807*G4807</f>
        <v/>
      </c>
      <c r="S4807" s="8">
        <f>IF($R$4837=0,0,R4807/$R$4837)</f>
        <v/>
      </c>
      <c r="T4807" s="8" t="n">
        <v>0.01648861791530942</v>
      </c>
      <c r="U4807" s="8" t="n">
        <v>0.01222068795054865</v>
      </c>
      <c r="V4807" s="6" t="inlineStr">
        <is>
          <t>not selected</t>
        </is>
      </c>
    </row>
    <row r="4808">
      <c r="A4808" s="6" t="inlineStr">
        <is>
          <t>DJ30</t>
        </is>
      </c>
      <c r="B4808" s="6" t="inlineStr">
        <is>
          <t>2025-12-26</t>
        </is>
      </c>
      <c r="C4808" s="6" t="inlineStr">
        <is>
          <t>DIA</t>
        </is>
      </c>
      <c r="D4808" s="6" t="inlineStr">
        <is>
          <t>AMGN</t>
        </is>
      </c>
      <c r="E4808" s="6" t="inlineStr">
        <is>
          <t>AMGN</t>
        </is>
      </c>
      <c r="F4808" s="6" t="inlineStr">
        <is>
          <t>-</t>
        </is>
      </c>
      <c r="G4808" s="7" t="n">
        <v>328.1608581542969</v>
      </c>
      <c r="H4808" s="6">
        <f>P4777</f>
        <v/>
      </c>
      <c r="I4808" s="9">
        <f>Q4777</f>
        <v/>
      </c>
      <c r="J4808" s="7">
        <f>I4808*G4808</f>
        <v/>
      </c>
      <c r="K4808" s="8">
        <f>IF($J$4837=0,0,J4808/$J$4837)</f>
        <v/>
      </c>
      <c r="L4808" s="6" t="inlineStr">
        <is>
          <t>WATCHLIST</t>
        </is>
      </c>
      <c r="M4808" s="8" t="n">
        <v>0</v>
      </c>
      <c r="N4808" s="7">
        <f>M4808*$J$4837-J4808</f>
        <v/>
      </c>
      <c r="O4808" s="9">
        <f>IF(G4808=0,0,N4808/G4808)</f>
        <v/>
      </c>
      <c r="P4808" s="6">
        <f>IF(M4808&gt;0,D4808,"")</f>
        <v/>
      </c>
      <c r="Q4808" s="9">
        <f>I4808+O4808</f>
        <v/>
      </c>
      <c r="R4808" s="7">
        <f>Q4808*G4808</f>
        <v/>
      </c>
      <c r="S4808" s="8">
        <f>IF($R$4837=0,0,R4808/$R$4837)</f>
        <v/>
      </c>
      <c r="T4808" s="8" t="n">
        <v>0.01648861791530942</v>
      </c>
      <c r="U4808" s="8" t="n">
        <v>0.01222068795054865</v>
      </c>
      <c r="V4808" s="6" t="inlineStr">
        <is>
          <t>not selected</t>
        </is>
      </c>
    </row>
    <row r="4809">
      <c r="A4809" s="6" t="inlineStr">
        <is>
          <t>DJ30</t>
        </is>
      </c>
      <c r="B4809" s="6" t="inlineStr">
        <is>
          <t>2025-12-26</t>
        </is>
      </c>
      <c r="C4809" s="6" t="inlineStr">
        <is>
          <t>DIA</t>
        </is>
      </c>
      <c r="D4809" s="6" t="inlineStr">
        <is>
          <t>AMZN</t>
        </is>
      </c>
      <c r="E4809" s="6" t="inlineStr">
        <is>
          <t>AMZN</t>
        </is>
      </c>
      <c r="F4809" s="6" t="inlineStr">
        <is>
          <t>-</t>
        </is>
      </c>
      <c r="G4809" s="7" t="n">
        <v>232.5200042724609</v>
      </c>
      <c r="H4809" s="6">
        <f>P4778</f>
        <v/>
      </c>
      <c r="I4809" s="9">
        <f>Q4778</f>
        <v/>
      </c>
      <c r="J4809" s="7">
        <f>I4809*G4809</f>
        <v/>
      </c>
      <c r="K4809" s="8">
        <f>IF($J$4837=0,0,J4809/$J$4837)</f>
        <v/>
      </c>
      <c r="L4809" s="6" t="inlineStr">
        <is>
          <t>REJECTED</t>
        </is>
      </c>
      <c r="M4809" s="8" t="n">
        <v>0</v>
      </c>
      <c r="N4809" s="7">
        <f>M4809*$J$4837-J4809</f>
        <v/>
      </c>
      <c r="O4809" s="9">
        <f>IF(G4809=0,0,N4809/G4809)</f>
        <v/>
      </c>
      <c r="P4809" s="6">
        <f>IF(M4809&gt;0,D4809,"")</f>
        <v/>
      </c>
      <c r="Q4809" s="9">
        <f>I4809+O4809</f>
        <v/>
      </c>
      <c r="R4809" s="7">
        <f>Q4809*G4809</f>
        <v/>
      </c>
      <c r="S4809" s="8">
        <f>IF($R$4837=0,0,R4809/$R$4837)</f>
        <v/>
      </c>
      <c r="T4809" s="8" t="n">
        <v>0.01648861791530942</v>
      </c>
      <c r="U4809" s="8" t="n">
        <v>0.01222068795054865</v>
      </c>
      <c r="V4809" s="6" t="inlineStr">
        <is>
          <t>not selected</t>
        </is>
      </c>
    </row>
    <row r="4810">
      <c r="A4810" s="6" t="inlineStr">
        <is>
          <t>DJ30</t>
        </is>
      </c>
      <c r="B4810" s="6" t="inlineStr">
        <is>
          <t>2025-12-26</t>
        </is>
      </c>
      <c r="C4810" s="6" t="inlineStr">
        <is>
          <t>DIA</t>
        </is>
      </c>
      <c r="D4810" s="6" t="inlineStr">
        <is>
          <t>AXP</t>
        </is>
      </c>
      <c r="E4810" s="6" t="inlineStr">
        <is>
          <t>AXP</t>
        </is>
      </c>
      <c r="F4810" s="6" t="inlineStr">
        <is>
          <t>-</t>
        </is>
      </c>
      <c r="G4810" s="7" t="n">
        <v>379.0072021484375</v>
      </c>
      <c r="H4810" s="6">
        <f>P4779</f>
        <v/>
      </c>
      <c r="I4810" s="9">
        <f>Q4779</f>
        <v/>
      </c>
      <c r="J4810" s="7">
        <f>I4810*G4810</f>
        <v/>
      </c>
      <c r="K4810" s="8">
        <f>IF($J$4837=0,0,J4810/$J$4837)</f>
        <v/>
      </c>
      <c r="L4810" s="6" t="inlineStr">
        <is>
          <t>WATCHLIST</t>
        </is>
      </c>
      <c r="M4810" s="8" t="n">
        <v>0</v>
      </c>
      <c r="N4810" s="7">
        <f>M4810*$J$4837-J4810</f>
        <v/>
      </c>
      <c r="O4810" s="9">
        <f>IF(G4810=0,0,N4810/G4810)</f>
        <v/>
      </c>
      <c r="P4810" s="6">
        <f>IF(M4810&gt;0,D4810,"")</f>
        <v/>
      </c>
      <c r="Q4810" s="9">
        <f>I4810+O4810</f>
        <v/>
      </c>
      <c r="R4810" s="7">
        <f>Q4810*G4810</f>
        <v/>
      </c>
      <c r="S4810" s="8">
        <f>IF($R$4837=0,0,R4810/$R$4837)</f>
        <v/>
      </c>
      <c r="T4810" s="8" t="n">
        <v>0.01648861791530942</v>
      </c>
      <c r="U4810" s="8" t="n">
        <v>0.01222068795054865</v>
      </c>
      <c r="V4810" s="6" t="inlineStr">
        <is>
          <t>not selected</t>
        </is>
      </c>
    </row>
    <row r="4811">
      <c r="A4811" s="6" t="inlineStr">
        <is>
          <t>DJ30</t>
        </is>
      </c>
      <c r="B4811" s="6" t="inlineStr">
        <is>
          <t>2025-12-26</t>
        </is>
      </c>
      <c r="C4811" s="6" t="inlineStr">
        <is>
          <t>DIA</t>
        </is>
      </c>
      <c r="D4811" s="6" t="inlineStr">
        <is>
          <t>BA</t>
        </is>
      </c>
      <c r="E4811" s="6" t="inlineStr">
        <is>
          <t>BA</t>
        </is>
      </c>
      <c r="F4811" s="6" t="inlineStr">
        <is>
          <t>-</t>
        </is>
      </c>
      <c r="G4811" s="7" t="n">
        <v>216.4400024414062</v>
      </c>
      <c r="H4811" s="6">
        <f>P4780</f>
        <v/>
      </c>
      <c r="I4811" s="9">
        <f>Q4780</f>
        <v/>
      </c>
      <c r="J4811" s="7">
        <f>I4811*G4811</f>
        <v/>
      </c>
      <c r="K4811" s="8">
        <f>IF($J$4837=0,0,J4811/$J$4837)</f>
        <v/>
      </c>
      <c r="L4811" s="6" t="inlineStr">
        <is>
          <t>WATCHLIST</t>
        </is>
      </c>
      <c r="M4811" s="8" t="n">
        <v>0</v>
      </c>
      <c r="N4811" s="7">
        <f>M4811*$J$4837-J4811</f>
        <v/>
      </c>
      <c r="O4811" s="9">
        <f>IF(G4811=0,0,N4811/G4811)</f>
        <v/>
      </c>
      <c r="P4811" s="6">
        <f>IF(M4811&gt;0,D4811,"")</f>
        <v/>
      </c>
      <c r="Q4811" s="9">
        <f>I4811+O4811</f>
        <v/>
      </c>
      <c r="R4811" s="7">
        <f>Q4811*G4811</f>
        <v/>
      </c>
      <c r="S4811" s="8">
        <f>IF($R$4837=0,0,R4811/$R$4837)</f>
        <v/>
      </c>
      <c r="T4811" s="8" t="n">
        <v>0.01648861791530942</v>
      </c>
      <c r="U4811" s="8" t="n">
        <v>0.01222068795054865</v>
      </c>
      <c r="V4811" s="6" t="inlineStr">
        <is>
          <t>not selected</t>
        </is>
      </c>
    </row>
    <row r="4812">
      <c r="A4812" s="6" t="inlineStr">
        <is>
          <t>DJ30</t>
        </is>
      </c>
      <c r="B4812" s="6" t="inlineStr">
        <is>
          <t>2025-12-26</t>
        </is>
      </c>
      <c r="C4812" s="6" t="inlineStr">
        <is>
          <t>DIA</t>
        </is>
      </c>
      <c r="D4812" s="6" t="inlineStr">
        <is>
          <t>CAT</t>
        </is>
      </c>
      <c r="E4812" s="6" t="inlineStr">
        <is>
          <t>CAT</t>
        </is>
      </c>
      <c r="F4812" s="6" t="inlineStr">
        <is>
          <t>-</t>
        </is>
      </c>
      <c r="G4812" s="7" t="n">
        <v>580.533935546875</v>
      </c>
      <c r="H4812" s="6">
        <f>P4781</f>
        <v/>
      </c>
      <c r="I4812" s="9">
        <f>Q4781</f>
        <v/>
      </c>
      <c r="J4812" s="7">
        <f>I4812*G4812</f>
        <v/>
      </c>
      <c r="K4812" s="8">
        <f>IF($J$4837=0,0,J4812/$J$4837)</f>
        <v/>
      </c>
      <c r="L4812" s="6" t="inlineStr">
        <is>
          <t>SELECTED</t>
        </is>
      </c>
      <c r="M4812" s="8" t="n">
        <v>0.2</v>
      </c>
      <c r="N4812" s="7">
        <f>M4812*$J$4837-J4812</f>
        <v/>
      </c>
      <c r="O4812" s="9">
        <f>IF(G4812=0,0,N4812/G4812)</f>
        <v/>
      </c>
      <c r="P4812" s="6">
        <f>IF(M4812&gt;0,D4812,"")</f>
        <v/>
      </c>
      <c r="Q4812" s="9">
        <f>I4812+O4812</f>
        <v/>
      </c>
      <c r="R4812" s="7">
        <f>Q4812*G4812</f>
        <v/>
      </c>
      <c r="S4812" s="8">
        <f>IF($R$4837=0,0,R4812/$R$4837)</f>
        <v/>
      </c>
      <c r="T4812" s="8" t="n">
        <v>0.01648861791530942</v>
      </c>
      <c r="U4812" s="8" t="n">
        <v>0.01222068795054865</v>
      </c>
      <c r="V4812" s="6" t="inlineStr">
        <is>
          <t>remained in weekly selection</t>
        </is>
      </c>
    </row>
    <row r="4813">
      <c r="A4813" s="6" t="inlineStr">
        <is>
          <t>DJ30</t>
        </is>
      </c>
      <c r="B4813" s="6" t="inlineStr">
        <is>
          <t>2025-12-26</t>
        </is>
      </c>
      <c r="C4813" s="6" t="inlineStr">
        <is>
          <t>DIA</t>
        </is>
      </c>
      <c r="D4813" s="6" t="inlineStr">
        <is>
          <t>CRM</t>
        </is>
      </c>
      <c r="E4813" s="6" t="inlineStr">
        <is>
          <t>CRM</t>
        </is>
      </c>
      <c r="F4813" s="6" t="inlineStr">
        <is>
          <t>-</t>
        </is>
      </c>
      <c r="G4813" s="7" t="n">
        <v>264.73291015625</v>
      </c>
      <c r="H4813" s="6">
        <f>P4782</f>
        <v/>
      </c>
      <c r="I4813" s="9">
        <f>Q4782</f>
        <v/>
      </c>
      <c r="J4813" s="7">
        <f>I4813*G4813</f>
        <v/>
      </c>
      <c r="K4813" s="8">
        <f>IF($J$4837=0,0,J4813/$J$4837)</f>
        <v/>
      </c>
      <c r="L4813" s="6" t="inlineStr">
        <is>
          <t>REJECTED</t>
        </is>
      </c>
      <c r="M4813" s="8" t="n">
        <v>0</v>
      </c>
      <c r="N4813" s="7">
        <f>M4813*$J$4837-J4813</f>
        <v/>
      </c>
      <c r="O4813" s="9">
        <f>IF(G4813=0,0,N4813/G4813)</f>
        <v/>
      </c>
      <c r="P4813" s="6">
        <f>IF(M4813&gt;0,D4813,"")</f>
        <v/>
      </c>
      <c r="Q4813" s="9">
        <f>I4813+O4813</f>
        <v/>
      </c>
      <c r="R4813" s="7">
        <f>Q4813*G4813</f>
        <v/>
      </c>
      <c r="S4813" s="8">
        <f>IF($R$4837=0,0,R4813/$R$4837)</f>
        <v/>
      </c>
      <c r="T4813" s="8" t="n">
        <v>0.01648861791530942</v>
      </c>
      <c r="U4813" s="8" t="n">
        <v>0.01222068795054865</v>
      </c>
      <c r="V4813" s="6" t="inlineStr">
        <is>
          <t>not selected</t>
        </is>
      </c>
    </row>
    <row r="4814">
      <c r="A4814" s="6" t="inlineStr">
        <is>
          <t>DJ30</t>
        </is>
      </c>
      <c r="B4814" s="6" t="inlineStr">
        <is>
          <t>2025-12-26</t>
        </is>
      </c>
      <c r="C4814" s="6" t="inlineStr">
        <is>
          <t>DIA</t>
        </is>
      </c>
      <c r="D4814" s="6" t="inlineStr">
        <is>
          <t>CSCO</t>
        </is>
      </c>
      <c r="E4814" s="6" t="inlineStr">
        <is>
          <t>CSCO</t>
        </is>
      </c>
      <c r="F4814" s="6" t="inlineStr">
        <is>
          <t>-</t>
        </is>
      </c>
      <c r="G4814" s="7" t="n">
        <v>77.32498931884766</v>
      </c>
      <c r="H4814" s="6">
        <f>P4783</f>
        <v/>
      </c>
      <c r="I4814" s="9">
        <f>Q4783</f>
        <v/>
      </c>
      <c r="J4814" s="7">
        <f>I4814*G4814</f>
        <v/>
      </c>
      <c r="K4814" s="8">
        <f>IF($J$4837=0,0,J4814/$J$4837)</f>
        <v/>
      </c>
      <c r="L4814" s="6" t="inlineStr">
        <is>
          <t>SELECTED</t>
        </is>
      </c>
      <c r="M4814" s="8" t="n">
        <v>0.2</v>
      </c>
      <c r="N4814" s="7">
        <f>M4814*$J$4837-J4814</f>
        <v/>
      </c>
      <c r="O4814" s="9">
        <f>IF(G4814=0,0,N4814/G4814)</f>
        <v/>
      </c>
      <c r="P4814" s="6">
        <f>IF(M4814&gt;0,D4814,"")</f>
        <v/>
      </c>
      <c r="Q4814" s="9">
        <f>I4814+O4814</f>
        <v/>
      </c>
      <c r="R4814" s="7">
        <f>Q4814*G4814</f>
        <v/>
      </c>
      <c r="S4814" s="8">
        <f>IF($R$4837=0,0,R4814/$R$4837)</f>
        <v/>
      </c>
      <c r="T4814" s="8" t="n">
        <v>0.01648861791530942</v>
      </c>
      <c r="U4814" s="8" t="n">
        <v>0.01222068795054865</v>
      </c>
      <c r="V4814" s="6" t="inlineStr">
        <is>
          <t>remained in weekly selection</t>
        </is>
      </c>
    </row>
    <row r="4815">
      <c r="A4815" s="6" t="inlineStr">
        <is>
          <t>DJ30</t>
        </is>
      </c>
      <c r="B4815" s="6" t="inlineStr">
        <is>
          <t>2025-12-26</t>
        </is>
      </c>
      <c r="C4815" s="6" t="inlineStr">
        <is>
          <t>DIA</t>
        </is>
      </c>
      <c r="D4815" s="6" t="inlineStr">
        <is>
          <t>CVX</t>
        </is>
      </c>
      <c r="E4815" s="6" t="inlineStr">
        <is>
          <t>CVX</t>
        </is>
      </c>
      <c r="F4815" s="6" t="inlineStr">
        <is>
          <t>-</t>
        </is>
      </c>
      <c r="G4815" s="7" t="n">
        <v>147.21826171875</v>
      </c>
      <c r="H4815" s="6">
        <f>P4784</f>
        <v/>
      </c>
      <c r="I4815" s="9">
        <f>Q4784</f>
        <v/>
      </c>
      <c r="J4815" s="7">
        <f>I4815*G4815</f>
        <v/>
      </c>
      <c r="K4815" s="8">
        <f>IF($J$4837=0,0,J4815/$J$4837)</f>
        <v/>
      </c>
      <c r="L4815" s="6" t="inlineStr">
        <is>
          <t>REJECTED</t>
        </is>
      </c>
      <c r="M4815" s="8" t="n">
        <v>0</v>
      </c>
      <c r="N4815" s="7">
        <f>M4815*$J$4837-J4815</f>
        <v/>
      </c>
      <c r="O4815" s="9">
        <f>IF(G4815=0,0,N4815/G4815)</f>
        <v/>
      </c>
      <c r="P4815" s="6">
        <f>IF(M4815&gt;0,D4815,"")</f>
        <v/>
      </c>
      <c r="Q4815" s="9">
        <f>I4815+O4815</f>
        <v/>
      </c>
      <c r="R4815" s="7">
        <f>Q4815*G4815</f>
        <v/>
      </c>
      <c r="S4815" s="8">
        <f>IF($R$4837=0,0,R4815/$R$4837)</f>
        <v/>
      </c>
      <c r="T4815" s="8" t="n">
        <v>0.01648861791530942</v>
      </c>
      <c r="U4815" s="8" t="n">
        <v>0.01222068795054865</v>
      </c>
      <c r="V4815" s="6" t="inlineStr">
        <is>
          <t>not selected</t>
        </is>
      </c>
    </row>
    <row r="4816">
      <c r="A4816" s="6" t="inlineStr">
        <is>
          <t>DJ30</t>
        </is>
      </c>
      <c r="B4816" s="6" t="inlineStr">
        <is>
          <t>2025-12-26</t>
        </is>
      </c>
      <c r="C4816" s="6" t="inlineStr">
        <is>
          <t>DIA</t>
        </is>
      </c>
      <c r="D4816" s="6" t="inlineStr">
        <is>
          <t>DIS</t>
        </is>
      </c>
      <c r="E4816" s="6" t="inlineStr">
        <is>
          <t>DIS</t>
        </is>
      </c>
      <c r="F4816" s="6" t="inlineStr">
        <is>
          <t>-</t>
        </is>
      </c>
      <c r="G4816" s="7" t="n">
        <v>113.5599975585938</v>
      </c>
      <c r="H4816" s="6">
        <f>P4785</f>
        <v/>
      </c>
      <c r="I4816" s="9">
        <f>Q4785</f>
        <v/>
      </c>
      <c r="J4816" s="7">
        <f>I4816*G4816</f>
        <v/>
      </c>
      <c r="K4816" s="8">
        <f>IF($J$4837=0,0,J4816/$J$4837)</f>
        <v/>
      </c>
      <c r="L4816" s="6" t="inlineStr">
        <is>
          <t>REJECTED</t>
        </is>
      </c>
      <c r="M4816" s="8" t="n">
        <v>0</v>
      </c>
      <c r="N4816" s="7">
        <f>M4816*$J$4837-J4816</f>
        <v/>
      </c>
      <c r="O4816" s="9">
        <f>IF(G4816=0,0,N4816/G4816)</f>
        <v/>
      </c>
      <c r="P4816" s="6">
        <f>IF(M4816&gt;0,D4816,"")</f>
        <v/>
      </c>
      <c r="Q4816" s="9">
        <f>I4816+O4816</f>
        <v/>
      </c>
      <c r="R4816" s="7">
        <f>Q4816*G4816</f>
        <v/>
      </c>
      <c r="S4816" s="8">
        <f>IF($R$4837=0,0,R4816/$R$4837)</f>
        <v/>
      </c>
      <c r="T4816" s="8" t="n">
        <v>0.01648861791530942</v>
      </c>
      <c r="U4816" s="8" t="n">
        <v>0.01222068795054865</v>
      </c>
      <c r="V4816" s="6" t="inlineStr">
        <is>
          <t>not selected</t>
        </is>
      </c>
    </row>
    <row r="4817">
      <c r="A4817" s="6" t="inlineStr">
        <is>
          <t>DJ30</t>
        </is>
      </c>
      <c r="B4817" s="6" t="inlineStr">
        <is>
          <t>2025-12-26</t>
        </is>
      </c>
      <c r="C4817" s="6" t="inlineStr">
        <is>
          <t>DIA</t>
        </is>
      </c>
      <c r="D4817" s="6" t="inlineStr">
        <is>
          <t>GS</t>
        </is>
      </c>
      <c r="E4817" s="6" t="inlineStr">
        <is>
          <t>GS</t>
        </is>
      </c>
      <c r="F4817" s="6" t="inlineStr">
        <is>
          <t>-</t>
        </is>
      </c>
      <c r="G4817" s="7" t="n">
        <v>898.3323364257812</v>
      </c>
      <c r="H4817" s="6">
        <f>P4786</f>
        <v/>
      </c>
      <c r="I4817" s="9">
        <f>Q4786</f>
        <v/>
      </c>
      <c r="J4817" s="7">
        <f>I4817*G4817</f>
        <v/>
      </c>
      <c r="K4817" s="8">
        <f>IF($J$4837=0,0,J4817/$J$4837)</f>
        <v/>
      </c>
      <c r="L4817" s="6" t="inlineStr">
        <is>
          <t>SELECTED</t>
        </is>
      </c>
      <c r="M4817" s="8" t="n">
        <v>0.2</v>
      </c>
      <c r="N4817" s="7">
        <f>M4817*$J$4837-J4817</f>
        <v/>
      </c>
      <c r="O4817" s="9">
        <f>IF(G4817=0,0,N4817/G4817)</f>
        <v/>
      </c>
      <c r="P4817" s="6">
        <f>IF(M4817&gt;0,D4817,"")</f>
        <v/>
      </c>
      <c r="Q4817" s="9">
        <f>I4817+O4817</f>
        <v/>
      </c>
      <c r="R4817" s="7">
        <f>Q4817*G4817</f>
        <v/>
      </c>
      <c r="S4817" s="8">
        <f>IF($R$4837=0,0,R4817/$R$4837)</f>
        <v/>
      </c>
      <c r="T4817" s="8" t="n">
        <v>0.01648861791530942</v>
      </c>
      <c r="U4817" s="8" t="n">
        <v>0.01222068795054865</v>
      </c>
      <c r="V4817" s="6" t="inlineStr">
        <is>
          <t>remained in weekly selection</t>
        </is>
      </c>
    </row>
    <row r="4818">
      <c r="A4818" s="6" t="inlineStr">
        <is>
          <t>DJ30</t>
        </is>
      </c>
      <c r="B4818" s="6" t="inlineStr">
        <is>
          <t>2025-12-26</t>
        </is>
      </c>
      <c r="C4818" s="6" t="inlineStr">
        <is>
          <t>DIA</t>
        </is>
      </c>
      <c r="D4818" s="6" t="inlineStr">
        <is>
          <t>HD</t>
        </is>
      </c>
      <c r="E4818" s="6" t="inlineStr">
        <is>
          <t>HD</t>
        </is>
      </c>
      <c r="F4818" s="6" t="inlineStr">
        <is>
          <t>-</t>
        </is>
      </c>
      <c r="G4818" s="7" t="n">
        <v>344.8702697753906</v>
      </c>
      <c r="H4818" s="6">
        <f>P4787</f>
        <v/>
      </c>
      <c r="I4818" s="9">
        <f>Q4787</f>
        <v/>
      </c>
      <c r="J4818" s="7">
        <f>I4818*G4818</f>
        <v/>
      </c>
      <c r="K4818" s="8">
        <f>IF($J$4837=0,0,J4818/$J$4837)</f>
        <v/>
      </c>
      <c r="L4818" s="6" t="inlineStr">
        <is>
          <t>REJECTED</t>
        </is>
      </c>
      <c r="M4818" s="8" t="n">
        <v>0</v>
      </c>
      <c r="N4818" s="7">
        <f>M4818*$J$4837-J4818</f>
        <v/>
      </c>
      <c r="O4818" s="9">
        <f>IF(G4818=0,0,N4818/G4818)</f>
        <v/>
      </c>
      <c r="P4818" s="6">
        <f>IF(M4818&gt;0,D4818,"")</f>
        <v/>
      </c>
      <c r="Q4818" s="9">
        <f>I4818+O4818</f>
        <v/>
      </c>
      <c r="R4818" s="7">
        <f>Q4818*G4818</f>
        <v/>
      </c>
      <c r="S4818" s="8">
        <f>IF($R$4837=0,0,R4818/$R$4837)</f>
        <v/>
      </c>
      <c r="T4818" s="8" t="n">
        <v>0.01648861791530942</v>
      </c>
      <c r="U4818" s="8" t="n">
        <v>0.01222068795054865</v>
      </c>
      <c r="V4818" s="6" t="inlineStr">
        <is>
          <t>not selected</t>
        </is>
      </c>
    </row>
    <row r="4819">
      <c r="A4819" s="6" t="inlineStr">
        <is>
          <t>DJ30</t>
        </is>
      </c>
      <c r="B4819" s="6" t="inlineStr">
        <is>
          <t>2025-12-26</t>
        </is>
      </c>
      <c r="C4819" s="6" t="inlineStr">
        <is>
          <t>DIA</t>
        </is>
      </c>
      <c r="D4819" s="6" t="inlineStr">
        <is>
          <t>HON</t>
        </is>
      </c>
      <c r="E4819" s="6" t="inlineStr">
        <is>
          <t>HON</t>
        </is>
      </c>
      <c r="F4819" s="6" t="inlineStr">
        <is>
          <t>-</t>
        </is>
      </c>
      <c r="G4819" s="7" t="n">
        <v>195.3214874267578</v>
      </c>
      <c r="H4819" s="6">
        <f>P4788</f>
        <v/>
      </c>
      <c r="I4819" s="9">
        <f>Q4788</f>
        <v/>
      </c>
      <c r="J4819" s="7">
        <f>I4819*G4819</f>
        <v/>
      </c>
      <c r="K4819" s="8">
        <f>IF($J$4837=0,0,J4819/$J$4837)</f>
        <v/>
      </c>
      <c r="L4819" s="6" t="inlineStr">
        <is>
          <t>REJECTED</t>
        </is>
      </c>
      <c r="M4819" s="8" t="n">
        <v>0</v>
      </c>
      <c r="N4819" s="7">
        <f>M4819*$J$4837-J4819</f>
        <v/>
      </c>
      <c r="O4819" s="9">
        <f>IF(G4819=0,0,N4819/G4819)</f>
        <v/>
      </c>
      <c r="P4819" s="6">
        <f>IF(M4819&gt;0,D4819,"")</f>
        <v/>
      </c>
      <c r="Q4819" s="9">
        <f>I4819+O4819</f>
        <v/>
      </c>
      <c r="R4819" s="7">
        <f>Q4819*G4819</f>
        <v/>
      </c>
      <c r="S4819" s="8">
        <f>IF($R$4837=0,0,R4819/$R$4837)</f>
        <v/>
      </c>
      <c r="T4819" s="8" t="n">
        <v>0.01648861791530942</v>
      </c>
      <c r="U4819" s="8" t="n">
        <v>0.01222068795054865</v>
      </c>
      <c r="V4819" s="6" t="inlineStr">
        <is>
          <t>not selected</t>
        </is>
      </c>
    </row>
    <row r="4820">
      <c r="A4820" s="6" t="inlineStr">
        <is>
          <t>DJ30</t>
        </is>
      </c>
      <c r="B4820" s="6" t="inlineStr">
        <is>
          <t>2025-12-26</t>
        </is>
      </c>
      <c r="C4820" s="6" t="inlineStr">
        <is>
          <t>DIA</t>
        </is>
      </c>
      <c r="D4820" s="6" t="inlineStr">
        <is>
          <t>IBM</t>
        </is>
      </c>
      <c r="E4820" s="6" t="inlineStr">
        <is>
          <t>IBM</t>
        </is>
      </c>
      <c r="F4820" s="6" t="inlineStr">
        <is>
          <t>-</t>
        </is>
      </c>
      <c r="G4820" s="7" t="n">
        <v>301.1439514160156</v>
      </c>
      <c r="H4820" s="6">
        <f>P4789</f>
        <v/>
      </c>
      <c r="I4820" s="9">
        <f>Q4789</f>
        <v/>
      </c>
      <c r="J4820" s="7">
        <f>I4820*G4820</f>
        <v/>
      </c>
      <c r="K4820" s="8">
        <f>IF($J$4837=0,0,J4820/$J$4837)</f>
        <v/>
      </c>
      <c r="L4820" s="6" t="inlineStr">
        <is>
          <t>WATCHLIST</t>
        </is>
      </c>
      <c r="M4820" s="8" t="n">
        <v>0</v>
      </c>
      <c r="N4820" s="7">
        <f>M4820*$J$4837-J4820</f>
        <v/>
      </c>
      <c r="O4820" s="9">
        <f>IF(G4820=0,0,N4820/G4820)</f>
        <v/>
      </c>
      <c r="P4820" s="6">
        <f>IF(M4820&gt;0,D4820,"")</f>
        <v/>
      </c>
      <c r="Q4820" s="9">
        <f>I4820+O4820</f>
        <v/>
      </c>
      <c r="R4820" s="7">
        <f>Q4820*G4820</f>
        <v/>
      </c>
      <c r="S4820" s="8">
        <f>IF($R$4837=0,0,R4820/$R$4837)</f>
        <v/>
      </c>
      <c r="T4820" s="8" t="n">
        <v>0.01648861791530942</v>
      </c>
      <c r="U4820" s="8" t="n">
        <v>0.01222068795054865</v>
      </c>
      <c r="V4820" s="6" t="inlineStr">
        <is>
          <t>not selected</t>
        </is>
      </c>
    </row>
    <row r="4821">
      <c r="A4821" s="6" t="inlineStr">
        <is>
          <t>DJ30</t>
        </is>
      </c>
      <c r="B4821" s="6" t="inlineStr">
        <is>
          <t>2025-12-26</t>
        </is>
      </c>
      <c r="C4821" s="6" t="inlineStr">
        <is>
          <t>DIA</t>
        </is>
      </c>
      <c r="D4821" s="6" t="inlineStr">
        <is>
          <t>JNJ</t>
        </is>
      </c>
      <c r="E4821" s="6" t="inlineStr">
        <is>
          <t>JNJ</t>
        </is>
      </c>
      <c r="F4821" s="6" t="inlineStr">
        <is>
          <t>-</t>
        </is>
      </c>
      <c r="G4821" s="7" t="n">
        <v>205.35107421875</v>
      </c>
      <c r="H4821" s="6">
        <f>P4790</f>
        <v/>
      </c>
      <c r="I4821" s="9">
        <f>Q4790</f>
        <v/>
      </c>
      <c r="J4821" s="7">
        <f>I4821*G4821</f>
        <v/>
      </c>
      <c r="K4821" s="8">
        <f>IF($J$4837=0,0,J4821/$J$4837)</f>
        <v/>
      </c>
      <c r="L4821" s="6" t="inlineStr">
        <is>
          <t>SELECTED</t>
        </is>
      </c>
      <c r="M4821" s="8" t="n">
        <v>0.2</v>
      </c>
      <c r="N4821" s="7">
        <f>M4821*$J$4837-J4821</f>
        <v/>
      </c>
      <c r="O4821" s="9">
        <f>IF(G4821=0,0,N4821/G4821)</f>
        <v/>
      </c>
      <c r="P4821" s="6">
        <f>IF(M4821&gt;0,D4821,"")</f>
        <v/>
      </c>
      <c r="Q4821" s="9">
        <f>I4821+O4821</f>
        <v/>
      </c>
      <c r="R4821" s="7">
        <f>Q4821*G4821</f>
        <v/>
      </c>
      <c r="S4821" s="8">
        <f>IF($R$4837=0,0,R4821/$R$4837)</f>
        <v/>
      </c>
      <c r="T4821" s="8" t="n">
        <v>0.01648861791530942</v>
      </c>
      <c r="U4821" s="8" t="n">
        <v>0.01222068795054865</v>
      </c>
      <c r="V4821" s="6" t="inlineStr">
        <is>
          <t>remained in weekly selection</t>
        </is>
      </c>
    </row>
    <row r="4822">
      <c r="A4822" s="6" t="inlineStr">
        <is>
          <t>DJ30</t>
        </is>
      </c>
      <c r="B4822" s="6" t="inlineStr">
        <is>
          <t>2025-12-26</t>
        </is>
      </c>
      <c r="C4822" s="6" t="inlineStr">
        <is>
          <t>DIA</t>
        </is>
      </c>
      <c r="D4822" s="6" t="inlineStr">
        <is>
          <t>JPM</t>
        </is>
      </c>
      <c r="E4822" s="6" t="inlineStr">
        <is>
          <t>JPM</t>
        </is>
      </c>
      <c r="F4822" s="6" t="inlineStr">
        <is>
          <t>-</t>
        </is>
      </c>
      <c r="G4822" s="7" t="n">
        <v>324.7754211425781</v>
      </c>
      <c r="H4822" s="6">
        <f>P4791</f>
        <v/>
      </c>
      <c r="I4822" s="9">
        <f>Q4791</f>
        <v/>
      </c>
      <c r="J4822" s="7">
        <f>I4822*G4822</f>
        <v/>
      </c>
      <c r="K4822" s="8">
        <f>IF($J$4837=0,0,J4822/$J$4837)</f>
        <v/>
      </c>
      <c r="L4822" s="6" t="inlineStr">
        <is>
          <t>WATCHLIST</t>
        </is>
      </c>
      <c r="M4822" s="8" t="n">
        <v>0</v>
      </c>
      <c r="N4822" s="7">
        <f>M4822*$J$4837-J4822</f>
        <v/>
      </c>
      <c r="O4822" s="9">
        <f>IF(G4822=0,0,N4822/G4822)</f>
        <v/>
      </c>
      <c r="P4822" s="6">
        <f>IF(M4822&gt;0,D4822,"")</f>
        <v/>
      </c>
      <c r="Q4822" s="9">
        <f>I4822+O4822</f>
        <v/>
      </c>
      <c r="R4822" s="7">
        <f>Q4822*G4822</f>
        <v/>
      </c>
      <c r="S4822" s="8">
        <f>IF($R$4837=0,0,R4822/$R$4837)</f>
        <v/>
      </c>
      <c r="T4822" s="8" t="n">
        <v>0.01648861791530942</v>
      </c>
      <c r="U4822" s="8" t="n">
        <v>0.01222068795054865</v>
      </c>
      <c r="V4822" s="6" t="inlineStr">
        <is>
          <t>not selected</t>
        </is>
      </c>
    </row>
    <row r="4823">
      <c r="A4823" s="6" t="inlineStr">
        <is>
          <t>DJ30</t>
        </is>
      </c>
      <c r="B4823" s="6" t="inlineStr">
        <is>
          <t>2025-12-26</t>
        </is>
      </c>
      <c r="C4823" s="6" t="inlineStr">
        <is>
          <t>DIA</t>
        </is>
      </c>
      <c r="D4823" s="6" t="inlineStr">
        <is>
          <t>KO</t>
        </is>
      </c>
      <c r="E4823" s="6" t="inlineStr">
        <is>
          <t>KO</t>
        </is>
      </c>
      <c r="F4823" s="6" t="inlineStr">
        <is>
          <t>-</t>
        </is>
      </c>
      <c r="G4823" s="7" t="n">
        <v>68.94771575927734</v>
      </c>
      <c r="H4823" s="6">
        <f>P4792</f>
        <v/>
      </c>
      <c r="I4823" s="9">
        <f>Q4792</f>
        <v/>
      </c>
      <c r="J4823" s="7">
        <f>I4823*G4823</f>
        <v/>
      </c>
      <c r="K4823" s="8">
        <f>IF($J$4837=0,0,J4823/$J$4837)</f>
        <v/>
      </c>
      <c r="L4823" s="6" t="inlineStr">
        <is>
          <t>REJECTED</t>
        </is>
      </c>
      <c r="M4823" s="8" t="n">
        <v>0</v>
      </c>
      <c r="N4823" s="7">
        <f>M4823*$J$4837-J4823</f>
        <v/>
      </c>
      <c r="O4823" s="9">
        <f>IF(G4823=0,0,N4823/G4823)</f>
        <v/>
      </c>
      <c r="P4823" s="6">
        <f>IF(M4823&gt;0,D4823,"")</f>
        <v/>
      </c>
      <c r="Q4823" s="9">
        <f>I4823+O4823</f>
        <v/>
      </c>
      <c r="R4823" s="7">
        <f>Q4823*G4823</f>
        <v/>
      </c>
      <c r="S4823" s="8">
        <f>IF($R$4837=0,0,R4823/$R$4837)</f>
        <v/>
      </c>
      <c r="T4823" s="8" t="n">
        <v>0.01648861791530942</v>
      </c>
      <c r="U4823" s="8" t="n">
        <v>0.01222068795054865</v>
      </c>
      <c r="V4823" s="6" t="inlineStr">
        <is>
          <t>not selected</t>
        </is>
      </c>
    </row>
    <row r="4824">
      <c r="A4824" s="6" t="inlineStr">
        <is>
          <t>DJ30</t>
        </is>
      </c>
      <c r="B4824" s="6" t="inlineStr">
        <is>
          <t>2025-12-26</t>
        </is>
      </c>
      <c r="C4824" s="6" t="inlineStr">
        <is>
          <t>DIA</t>
        </is>
      </c>
      <c r="D4824" s="6" t="inlineStr">
        <is>
          <t>MCD</t>
        </is>
      </c>
      <c r="E4824" s="6" t="inlineStr">
        <is>
          <t>MCD</t>
        </is>
      </c>
      <c r="F4824" s="6" t="inlineStr">
        <is>
          <t>-</t>
        </is>
      </c>
      <c r="G4824" s="7" t="n">
        <v>306.8728332519531</v>
      </c>
      <c r="H4824" s="6">
        <f>P4793</f>
        <v/>
      </c>
      <c r="I4824" s="9">
        <f>Q4793</f>
        <v/>
      </c>
      <c r="J4824" s="7">
        <f>I4824*G4824</f>
        <v/>
      </c>
      <c r="K4824" s="8">
        <f>IF($J$4837=0,0,J4824/$J$4837)</f>
        <v/>
      </c>
      <c r="L4824" s="6" t="inlineStr">
        <is>
          <t>REJECTED</t>
        </is>
      </c>
      <c r="M4824" s="8" t="n">
        <v>0</v>
      </c>
      <c r="N4824" s="7">
        <f>M4824*$J$4837-J4824</f>
        <v/>
      </c>
      <c r="O4824" s="9">
        <f>IF(G4824=0,0,N4824/G4824)</f>
        <v/>
      </c>
      <c r="P4824" s="6">
        <f>IF(M4824&gt;0,D4824,"")</f>
        <v/>
      </c>
      <c r="Q4824" s="9">
        <f>I4824+O4824</f>
        <v/>
      </c>
      <c r="R4824" s="7">
        <f>Q4824*G4824</f>
        <v/>
      </c>
      <c r="S4824" s="8">
        <f>IF($R$4837=0,0,R4824/$R$4837)</f>
        <v/>
      </c>
      <c r="T4824" s="8" t="n">
        <v>0.01648861791530942</v>
      </c>
      <c r="U4824" s="8" t="n">
        <v>0.01222068795054865</v>
      </c>
      <c r="V4824" s="6" t="inlineStr">
        <is>
          <t>not selected</t>
        </is>
      </c>
    </row>
    <row r="4825">
      <c r="A4825" s="6" t="inlineStr">
        <is>
          <t>DJ30</t>
        </is>
      </c>
      <c r="B4825" s="6" t="inlineStr">
        <is>
          <t>2025-12-26</t>
        </is>
      </c>
      <c r="C4825" s="6" t="inlineStr">
        <is>
          <t>DIA</t>
        </is>
      </c>
      <c r="D4825" s="6" t="inlineStr">
        <is>
          <t>MMM</t>
        </is>
      </c>
      <c r="E4825" s="6" t="inlineStr">
        <is>
          <t>MMM</t>
        </is>
      </c>
      <c r="F4825" s="6" t="inlineStr">
        <is>
          <t>-</t>
        </is>
      </c>
      <c r="G4825" s="7" t="n">
        <v>160.5257720947266</v>
      </c>
      <c r="H4825" s="6">
        <f>P4794</f>
        <v/>
      </c>
      <c r="I4825" s="9">
        <f>Q4794</f>
        <v/>
      </c>
      <c r="J4825" s="7">
        <f>I4825*G4825</f>
        <v/>
      </c>
      <c r="K4825" s="8">
        <f>IF($J$4837=0,0,J4825/$J$4837)</f>
        <v/>
      </c>
      <c r="L4825" s="6" t="inlineStr">
        <is>
          <t>WATCHLIST</t>
        </is>
      </c>
      <c r="M4825" s="8" t="n">
        <v>0</v>
      </c>
      <c r="N4825" s="7">
        <f>M4825*$J$4837-J4825</f>
        <v/>
      </c>
      <c r="O4825" s="9">
        <f>IF(G4825=0,0,N4825/G4825)</f>
        <v/>
      </c>
      <c r="P4825" s="6">
        <f>IF(M4825&gt;0,D4825,"")</f>
        <v/>
      </c>
      <c r="Q4825" s="9">
        <f>I4825+O4825</f>
        <v/>
      </c>
      <c r="R4825" s="7">
        <f>Q4825*G4825</f>
        <v/>
      </c>
      <c r="S4825" s="8">
        <f>IF($R$4837=0,0,R4825/$R$4837)</f>
        <v/>
      </c>
      <c r="T4825" s="8" t="n">
        <v>0.01648861791530942</v>
      </c>
      <c r="U4825" s="8" t="n">
        <v>0.01222068795054865</v>
      </c>
      <c r="V4825" s="6" t="inlineStr">
        <is>
          <t>not selected</t>
        </is>
      </c>
    </row>
    <row r="4826">
      <c r="A4826" s="6" t="inlineStr">
        <is>
          <t>DJ30</t>
        </is>
      </c>
      <c r="B4826" s="6" t="inlineStr">
        <is>
          <t>2025-12-26</t>
        </is>
      </c>
      <c r="C4826" s="6" t="inlineStr">
        <is>
          <t>DIA</t>
        </is>
      </c>
      <c r="D4826" s="6" t="inlineStr">
        <is>
          <t>MRK</t>
        </is>
      </c>
      <c r="E4826" s="6" t="inlineStr">
        <is>
          <t>MRK</t>
        </is>
      </c>
      <c r="F4826" s="6" t="inlineStr">
        <is>
          <t>-</t>
        </is>
      </c>
      <c r="G4826" s="7" t="n">
        <v>105.2381286621094</v>
      </c>
      <c r="H4826" s="6">
        <f>P4795</f>
        <v/>
      </c>
      <c r="I4826" s="9">
        <f>Q4795</f>
        <v/>
      </c>
      <c r="J4826" s="7">
        <f>I4826*G4826</f>
        <v/>
      </c>
      <c r="K4826" s="8">
        <f>IF($J$4837=0,0,J4826/$J$4837)</f>
        <v/>
      </c>
      <c r="L4826" s="6" t="inlineStr">
        <is>
          <t>REJECTED</t>
        </is>
      </c>
      <c r="M4826" s="8" t="n">
        <v>0</v>
      </c>
      <c r="N4826" s="7">
        <f>M4826*$J$4837-J4826</f>
        <v/>
      </c>
      <c r="O4826" s="9">
        <f>IF(G4826=0,0,N4826/G4826)</f>
        <v/>
      </c>
      <c r="P4826" s="6">
        <f>IF(M4826&gt;0,D4826,"")</f>
        <v/>
      </c>
      <c r="Q4826" s="9">
        <f>I4826+O4826</f>
        <v/>
      </c>
      <c r="R4826" s="7">
        <f>Q4826*G4826</f>
        <v/>
      </c>
      <c r="S4826" s="8">
        <f>IF($R$4837=0,0,R4826/$R$4837)</f>
        <v/>
      </c>
      <c r="T4826" s="8" t="n">
        <v>0.01648861791530942</v>
      </c>
      <c r="U4826" s="8" t="n">
        <v>0.01222068795054865</v>
      </c>
      <c r="V4826" s="6" t="inlineStr">
        <is>
          <t>not selected</t>
        </is>
      </c>
    </row>
    <row r="4827">
      <c r="A4827" s="6" t="inlineStr">
        <is>
          <t>DJ30</t>
        </is>
      </c>
      <c r="B4827" s="6" t="inlineStr">
        <is>
          <t>2025-12-26</t>
        </is>
      </c>
      <c r="C4827" s="6" t="inlineStr">
        <is>
          <t>DIA</t>
        </is>
      </c>
      <c r="D4827" s="6" t="inlineStr">
        <is>
          <t>MSFT</t>
        </is>
      </c>
      <c r="E4827" s="6" t="inlineStr">
        <is>
          <t>MSFT</t>
        </is>
      </c>
      <c r="F4827" s="6" t="inlineStr">
        <is>
          <t>-</t>
        </is>
      </c>
      <c r="G4827" s="7" t="n">
        <v>485.5476989746094</v>
      </c>
      <c r="H4827" s="6">
        <f>P4796</f>
        <v/>
      </c>
      <c r="I4827" s="9">
        <f>Q4796</f>
        <v/>
      </c>
      <c r="J4827" s="7">
        <f>I4827*G4827</f>
        <v/>
      </c>
      <c r="K4827" s="8">
        <f>IF($J$4837=0,0,J4827/$J$4837)</f>
        <v/>
      </c>
      <c r="L4827" s="6" t="inlineStr">
        <is>
          <t>WATCHLIST</t>
        </is>
      </c>
      <c r="M4827" s="8" t="n">
        <v>0</v>
      </c>
      <c r="N4827" s="7">
        <f>M4827*$J$4837-J4827</f>
        <v/>
      </c>
      <c r="O4827" s="9">
        <f>IF(G4827=0,0,N4827/G4827)</f>
        <v/>
      </c>
      <c r="P4827" s="6">
        <f>IF(M4827&gt;0,D4827,"")</f>
        <v/>
      </c>
      <c r="Q4827" s="9">
        <f>I4827+O4827</f>
        <v/>
      </c>
      <c r="R4827" s="7">
        <f>Q4827*G4827</f>
        <v/>
      </c>
      <c r="S4827" s="8">
        <f>IF($R$4837=0,0,R4827/$R$4837)</f>
        <v/>
      </c>
      <c r="T4827" s="8" t="n">
        <v>0.01648861791530942</v>
      </c>
      <c r="U4827" s="8" t="n">
        <v>0.01222068795054865</v>
      </c>
      <c r="V4827" s="6" t="inlineStr">
        <is>
          <t>not selected</t>
        </is>
      </c>
    </row>
    <row r="4828">
      <c r="A4828" s="6" t="inlineStr">
        <is>
          <t>DJ30</t>
        </is>
      </c>
      <c r="B4828" s="6" t="inlineStr">
        <is>
          <t>2025-12-26</t>
        </is>
      </c>
      <c r="C4828" s="6" t="inlineStr">
        <is>
          <t>DIA</t>
        </is>
      </c>
      <c r="D4828" s="6" t="inlineStr">
        <is>
          <t>NKE</t>
        </is>
      </c>
      <c r="E4828" s="6" t="inlineStr">
        <is>
          <t>NKE</t>
        </is>
      </c>
      <c r="F4828" s="6" t="inlineStr">
        <is>
          <t>-</t>
        </is>
      </c>
      <c r="G4828" s="7" t="n">
        <v>59.99143600463867</v>
      </c>
      <c r="H4828" s="6">
        <f>P4797</f>
        <v/>
      </c>
      <c r="I4828" s="9">
        <f>Q4797</f>
        <v/>
      </c>
      <c r="J4828" s="7">
        <f>I4828*G4828</f>
        <v/>
      </c>
      <c r="K4828" s="8">
        <f>IF($J$4837=0,0,J4828/$J$4837)</f>
        <v/>
      </c>
      <c r="L4828" s="6" t="inlineStr">
        <is>
          <t>REJECTED</t>
        </is>
      </c>
      <c r="M4828" s="8" t="n">
        <v>0</v>
      </c>
      <c r="N4828" s="7">
        <f>M4828*$J$4837-J4828</f>
        <v/>
      </c>
      <c r="O4828" s="9">
        <f>IF(G4828=0,0,N4828/G4828)</f>
        <v/>
      </c>
      <c r="P4828" s="6">
        <f>IF(M4828&gt;0,D4828,"")</f>
        <v/>
      </c>
      <c r="Q4828" s="9">
        <f>I4828+O4828</f>
        <v/>
      </c>
      <c r="R4828" s="7">
        <f>Q4828*G4828</f>
        <v/>
      </c>
      <c r="S4828" s="8">
        <f>IF($R$4837=0,0,R4828/$R$4837)</f>
        <v/>
      </c>
      <c r="T4828" s="8" t="n">
        <v>0.01648861791530942</v>
      </c>
      <c r="U4828" s="8" t="n">
        <v>0.01222068795054865</v>
      </c>
      <c r="V4828" s="6" t="inlineStr">
        <is>
          <t>not selected</t>
        </is>
      </c>
    </row>
    <row r="4829">
      <c r="A4829" s="6" t="inlineStr">
        <is>
          <t>DJ30</t>
        </is>
      </c>
      <c r="B4829" s="6" t="inlineStr">
        <is>
          <t>2025-12-26</t>
        </is>
      </c>
      <c r="C4829" s="6" t="inlineStr">
        <is>
          <t>DIA</t>
        </is>
      </c>
      <c r="D4829" s="6" t="inlineStr">
        <is>
          <t>NVDA</t>
        </is>
      </c>
      <c r="E4829" s="6" t="inlineStr">
        <is>
          <t>NVDA</t>
        </is>
      </c>
      <c r="F4829" s="6" t="inlineStr">
        <is>
          <t>-</t>
        </is>
      </c>
      <c r="G4829" s="7" t="n">
        <v>190.2978973388672</v>
      </c>
      <c r="H4829" s="6">
        <f>P4798</f>
        <v/>
      </c>
      <c r="I4829" s="9">
        <f>Q4798</f>
        <v/>
      </c>
      <c r="J4829" s="7">
        <f>I4829*G4829</f>
        <v/>
      </c>
      <c r="K4829" s="8">
        <f>IF($J$4837=0,0,J4829/$J$4837)</f>
        <v/>
      </c>
      <c r="L4829" s="6" t="inlineStr">
        <is>
          <t>SELECTED</t>
        </is>
      </c>
      <c r="M4829" s="8" t="n">
        <v>0.2</v>
      </c>
      <c r="N4829" s="7">
        <f>M4829*$J$4837-J4829</f>
        <v/>
      </c>
      <c r="O4829" s="9">
        <f>IF(G4829=0,0,N4829/G4829)</f>
        <v/>
      </c>
      <c r="P4829" s="6">
        <f>IF(M4829&gt;0,D4829,"")</f>
        <v/>
      </c>
      <c r="Q4829" s="9">
        <f>I4829+O4829</f>
        <v/>
      </c>
      <c r="R4829" s="7">
        <f>Q4829*G4829</f>
        <v/>
      </c>
      <c r="S4829" s="8">
        <f>IF($R$4837=0,0,R4829/$R$4837)</f>
        <v/>
      </c>
      <c r="T4829" s="8" t="n">
        <v>0.01648861791530942</v>
      </c>
      <c r="U4829" s="8" t="n">
        <v>0.01222068795054865</v>
      </c>
      <c r="V4829" s="6" t="inlineStr">
        <is>
          <t>remained in weekly selection</t>
        </is>
      </c>
    </row>
    <row r="4830">
      <c r="A4830" s="6" t="inlineStr">
        <is>
          <t>DJ30</t>
        </is>
      </c>
      <c r="B4830" s="6" t="inlineStr">
        <is>
          <t>2025-12-26</t>
        </is>
      </c>
      <c r="C4830" s="6" t="inlineStr">
        <is>
          <t>DIA</t>
        </is>
      </c>
      <c r="D4830" s="6" t="inlineStr">
        <is>
          <t>PG</t>
        </is>
      </c>
      <c r="E4830" s="6" t="inlineStr">
        <is>
          <t>PG</t>
        </is>
      </c>
      <c r="F4830" s="6" t="inlineStr">
        <is>
          <t>-</t>
        </is>
      </c>
      <c r="G4830" s="7" t="n">
        <v>142.6454620361328</v>
      </c>
      <c r="H4830" s="6">
        <f>P4799</f>
        <v/>
      </c>
      <c r="I4830" s="9">
        <f>Q4799</f>
        <v/>
      </c>
      <c r="J4830" s="7">
        <f>I4830*G4830</f>
        <v/>
      </c>
      <c r="K4830" s="8">
        <f>IF($J$4837=0,0,J4830/$J$4837)</f>
        <v/>
      </c>
      <c r="L4830" s="6" t="inlineStr">
        <is>
          <t>REJECTED</t>
        </is>
      </c>
      <c r="M4830" s="8" t="n">
        <v>0</v>
      </c>
      <c r="N4830" s="7">
        <f>M4830*$J$4837-J4830</f>
        <v/>
      </c>
      <c r="O4830" s="9">
        <f>IF(G4830=0,0,N4830/G4830)</f>
        <v/>
      </c>
      <c r="P4830" s="6">
        <f>IF(M4830&gt;0,D4830,"")</f>
        <v/>
      </c>
      <c r="Q4830" s="9">
        <f>I4830+O4830</f>
        <v/>
      </c>
      <c r="R4830" s="7">
        <f>Q4830*G4830</f>
        <v/>
      </c>
      <c r="S4830" s="8">
        <f>IF($R$4837=0,0,R4830/$R$4837)</f>
        <v/>
      </c>
      <c r="T4830" s="8" t="n">
        <v>0.01648861791530942</v>
      </c>
      <c r="U4830" s="8" t="n">
        <v>0.01222068795054865</v>
      </c>
      <c r="V4830" s="6" t="inlineStr">
        <is>
          <t>not selected</t>
        </is>
      </c>
    </row>
    <row r="4831">
      <c r="A4831" s="6" t="inlineStr">
        <is>
          <t>DJ30</t>
        </is>
      </c>
      <c r="B4831" s="6" t="inlineStr">
        <is>
          <t>2025-12-26</t>
        </is>
      </c>
      <c r="C4831" s="6" t="inlineStr">
        <is>
          <t>DIA</t>
        </is>
      </c>
      <c r="D4831" s="6" t="inlineStr">
        <is>
          <t>SHW</t>
        </is>
      </c>
      <c r="E4831" s="6" t="inlineStr">
        <is>
          <t>SHW</t>
        </is>
      </c>
      <c r="F4831" s="6" t="inlineStr">
        <is>
          <t>-</t>
        </is>
      </c>
      <c r="G4831" s="7" t="n">
        <v>323.8822326660156</v>
      </c>
      <c r="H4831" s="6">
        <f>P4800</f>
        <v/>
      </c>
      <c r="I4831" s="9">
        <f>Q4800</f>
        <v/>
      </c>
      <c r="J4831" s="7">
        <f>I4831*G4831</f>
        <v/>
      </c>
      <c r="K4831" s="8">
        <f>IF($J$4837=0,0,J4831/$J$4837)</f>
        <v/>
      </c>
      <c r="L4831" s="6" t="inlineStr">
        <is>
          <t>REJECTED</t>
        </is>
      </c>
      <c r="M4831" s="8" t="n">
        <v>0</v>
      </c>
      <c r="N4831" s="7">
        <f>M4831*$J$4837-J4831</f>
        <v/>
      </c>
      <c r="O4831" s="9">
        <f>IF(G4831=0,0,N4831/G4831)</f>
        <v/>
      </c>
      <c r="P4831" s="6">
        <f>IF(M4831&gt;0,D4831,"")</f>
        <v/>
      </c>
      <c r="Q4831" s="9">
        <f>I4831+O4831</f>
        <v/>
      </c>
      <c r="R4831" s="7">
        <f>Q4831*G4831</f>
        <v/>
      </c>
      <c r="S4831" s="8">
        <f>IF($R$4837=0,0,R4831/$R$4837)</f>
        <v/>
      </c>
      <c r="T4831" s="8" t="n">
        <v>0.01648861791530942</v>
      </c>
      <c r="U4831" s="8" t="n">
        <v>0.01222068795054865</v>
      </c>
      <c r="V4831" s="6" t="inlineStr">
        <is>
          <t>not selected</t>
        </is>
      </c>
    </row>
    <row r="4832">
      <c r="A4832" s="6" t="inlineStr">
        <is>
          <t>DJ30</t>
        </is>
      </c>
      <c r="B4832" s="6" t="inlineStr">
        <is>
          <t>2025-12-26</t>
        </is>
      </c>
      <c r="C4832" s="6" t="inlineStr">
        <is>
          <t>DIA</t>
        </is>
      </c>
      <c r="D4832" s="6" t="inlineStr">
        <is>
          <t>TRV</t>
        </is>
      </c>
      <c r="E4832" s="6" t="inlineStr">
        <is>
          <t>TRV</t>
        </is>
      </c>
      <c r="F4832" s="6" t="inlineStr">
        <is>
          <t>-</t>
        </is>
      </c>
      <c r="G4832" s="7" t="n">
        <v>289.8484191894531</v>
      </c>
      <c r="H4832" s="6">
        <f>P4801</f>
        <v/>
      </c>
      <c r="I4832" s="9">
        <f>Q4801</f>
        <v/>
      </c>
      <c r="J4832" s="7">
        <f>I4832*G4832</f>
        <v/>
      </c>
      <c r="K4832" s="8">
        <f>IF($J$4837=0,0,J4832/$J$4837)</f>
        <v/>
      </c>
      <c r="L4832" s="6" t="inlineStr">
        <is>
          <t>WATCHLIST</t>
        </is>
      </c>
      <c r="M4832" s="8" t="n">
        <v>0</v>
      </c>
      <c r="N4832" s="7">
        <f>M4832*$J$4837-J4832</f>
        <v/>
      </c>
      <c r="O4832" s="9">
        <f>IF(G4832=0,0,N4832/G4832)</f>
        <v/>
      </c>
      <c r="P4832" s="6">
        <f>IF(M4832&gt;0,D4832,"")</f>
        <v/>
      </c>
      <c r="Q4832" s="9">
        <f>I4832+O4832</f>
        <v/>
      </c>
      <c r="R4832" s="7">
        <f>Q4832*G4832</f>
        <v/>
      </c>
      <c r="S4832" s="8">
        <f>IF($R$4837=0,0,R4832/$R$4837)</f>
        <v/>
      </c>
      <c r="T4832" s="8" t="n">
        <v>0.01648861791530942</v>
      </c>
      <c r="U4832" s="8" t="n">
        <v>0.01222068795054865</v>
      </c>
      <c r="V4832" s="6" t="inlineStr">
        <is>
          <t>not selected</t>
        </is>
      </c>
    </row>
    <row r="4833">
      <c r="A4833" s="6" t="inlineStr">
        <is>
          <t>DJ30</t>
        </is>
      </c>
      <c r="B4833" s="6" t="inlineStr">
        <is>
          <t>2025-12-26</t>
        </is>
      </c>
      <c r="C4833" s="6" t="inlineStr">
        <is>
          <t>DIA</t>
        </is>
      </c>
      <c r="D4833" s="6" t="inlineStr">
        <is>
          <t>UNH</t>
        </is>
      </c>
      <c r="E4833" s="6" t="inlineStr">
        <is>
          <t>UNH</t>
        </is>
      </c>
      <c r="F4833" s="6" t="inlineStr">
        <is>
          <t>-</t>
        </is>
      </c>
      <c r="G4833" s="7" t="n">
        <v>327.4002075195312</v>
      </c>
      <c r="H4833" s="6">
        <f>P4802</f>
        <v/>
      </c>
      <c r="I4833" s="9">
        <f>Q4802</f>
        <v/>
      </c>
      <c r="J4833" s="7">
        <f>I4833*G4833</f>
        <v/>
      </c>
      <c r="K4833" s="8">
        <f>IF($J$4837=0,0,J4833/$J$4837)</f>
        <v/>
      </c>
      <c r="L4833" s="6" t="inlineStr">
        <is>
          <t>REJECTED</t>
        </is>
      </c>
      <c r="M4833" s="8" t="n">
        <v>0</v>
      </c>
      <c r="N4833" s="7">
        <f>M4833*$J$4837-J4833</f>
        <v/>
      </c>
      <c r="O4833" s="9">
        <f>IF(G4833=0,0,N4833/G4833)</f>
        <v/>
      </c>
      <c r="P4833" s="6">
        <f>IF(M4833&gt;0,D4833,"")</f>
        <v/>
      </c>
      <c r="Q4833" s="9">
        <f>I4833+O4833</f>
        <v/>
      </c>
      <c r="R4833" s="7">
        <f>Q4833*G4833</f>
        <v/>
      </c>
      <c r="S4833" s="8">
        <f>IF($R$4837=0,0,R4833/$R$4837)</f>
        <v/>
      </c>
      <c r="T4833" s="8" t="n">
        <v>0.01648861791530942</v>
      </c>
      <c r="U4833" s="8" t="n">
        <v>0.01222068795054865</v>
      </c>
      <c r="V4833" s="6" t="inlineStr">
        <is>
          <t>not selected</t>
        </is>
      </c>
    </row>
    <row r="4834">
      <c r="A4834" s="6" t="inlineStr">
        <is>
          <t>DJ30</t>
        </is>
      </c>
      <c r="B4834" s="6" t="inlineStr">
        <is>
          <t>2025-12-26</t>
        </is>
      </c>
      <c r="C4834" s="6" t="inlineStr">
        <is>
          <t>DIA</t>
        </is>
      </c>
      <c r="D4834" s="6" t="inlineStr">
        <is>
          <t>V</t>
        </is>
      </c>
      <c r="E4834" s="6" t="inlineStr">
        <is>
          <t>V</t>
        </is>
      </c>
      <c r="F4834" s="6" t="inlineStr">
        <is>
          <t>-</t>
        </is>
      </c>
      <c r="G4834" s="7" t="n">
        <v>353.5365295410156</v>
      </c>
      <c r="H4834" s="6">
        <f>P4803</f>
        <v/>
      </c>
      <c r="I4834" s="9">
        <f>Q4803</f>
        <v/>
      </c>
      <c r="J4834" s="7">
        <f>I4834*G4834</f>
        <v/>
      </c>
      <c r="K4834" s="8">
        <f>IF($J$4837=0,0,J4834/$J$4837)</f>
        <v/>
      </c>
      <c r="L4834" s="6" t="inlineStr">
        <is>
          <t>REJECTED</t>
        </is>
      </c>
      <c r="M4834" s="8" t="n">
        <v>0</v>
      </c>
      <c r="N4834" s="7">
        <f>M4834*$J$4837-J4834</f>
        <v/>
      </c>
      <c r="O4834" s="9">
        <f>IF(G4834=0,0,N4834/G4834)</f>
        <v/>
      </c>
      <c r="P4834" s="6">
        <f>IF(M4834&gt;0,D4834,"")</f>
        <v/>
      </c>
      <c r="Q4834" s="9">
        <f>I4834+O4834</f>
        <v/>
      </c>
      <c r="R4834" s="7">
        <f>Q4834*G4834</f>
        <v/>
      </c>
      <c r="S4834" s="8">
        <f>IF($R$4837=0,0,R4834/$R$4837)</f>
        <v/>
      </c>
      <c r="T4834" s="8" t="n">
        <v>0.01648861791530942</v>
      </c>
      <c r="U4834" s="8" t="n">
        <v>0.01222068795054865</v>
      </c>
      <c r="V4834" s="6" t="inlineStr">
        <is>
          <t>not selected</t>
        </is>
      </c>
    </row>
    <row r="4835">
      <c r="A4835" s="6" t="inlineStr">
        <is>
          <t>DJ30</t>
        </is>
      </c>
      <c r="B4835" s="6" t="inlineStr">
        <is>
          <t>2025-12-26</t>
        </is>
      </c>
      <c r="C4835" s="6" t="inlineStr">
        <is>
          <t>DIA</t>
        </is>
      </c>
      <c r="D4835" s="6" t="inlineStr">
        <is>
          <t>VZ</t>
        </is>
      </c>
      <c r="E4835" s="6" t="inlineStr">
        <is>
          <t>VZ</t>
        </is>
      </c>
      <c r="F4835" s="6" t="inlineStr">
        <is>
          <t>-</t>
        </is>
      </c>
      <c r="G4835" s="7" t="n">
        <v>39.20005798339844</v>
      </c>
      <c r="H4835" s="6">
        <f>P4804</f>
        <v/>
      </c>
      <c r="I4835" s="9">
        <f>Q4804</f>
        <v/>
      </c>
      <c r="J4835" s="7">
        <f>I4835*G4835</f>
        <v/>
      </c>
      <c r="K4835" s="8">
        <f>IF($J$4837=0,0,J4835/$J$4837)</f>
        <v/>
      </c>
      <c r="L4835" s="6" t="inlineStr">
        <is>
          <t>REJECTED</t>
        </is>
      </c>
      <c r="M4835" s="8" t="n">
        <v>0</v>
      </c>
      <c r="N4835" s="7">
        <f>M4835*$J$4837-J4835</f>
        <v/>
      </c>
      <c r="O4835" s="9">
        <f>IF(G4835=0,0,N4835/G4835)</f>
        <v/>
      </c>
      <c r="P4835" s="6">
        <f>IF(M4835&gt;0,D4835,"")</f>
        <v/>
      </c>
      <c r="Q4835" s="9">
        <f>I4835+O4835</f>
        <v/>
      </c>
      <c r="R4835" s="7">
        <f>Q4835*G4835</f>
        <v/>
      </c>
      <c r="S4835" s="8">
        <f>IF($R$4837=0,0,R4835/$R$4837)</f>
        <v/>
      </c>
      <c r="T4835" s="8" t="n">
        <v>0.01648861791530942</v>
      </c>
      <c r="U4835" s="8" t="n">
        <v>0.01222068795054865</v>
      </c>
      <c r="V4835" s="6" t="inlineStr">
        <is>
          <t>not selected</t>
        </is>
      </c>
    </row>
    <row r="4836">
      <c r="A4836" s="6" t="inlineStr">
        <is>
          <t>DJ30</t>
        </is>
      </c>
      <c r="B4836" s="6" t="inlineStr">
        <is>
          <t>2025-12-26</t>
        </is>
      </c>
      <c r="C4836" s="6" t="inlineStr">
        <is>
          <t>DIA</t>
        </is>
      </c>
      <c r="D4836" s="6" t="inlineStr">
        <is>
          <t>WMT</t>
        </is>
      </c>
      <c r="E4836" s="6" t="inlineStr">
        <is>
          <t>WMT</t>
        </is>
      </c>
      <c r="F4836" s="6" t="inlineStr">
        <is>
          <t>-</t>
        </is>
      </c>
      <c r="G4836" s="7" t="n">
        <v>111.2987442016602</v>
      </c>
      <c r="H4836" s="6">
        <f>P4805</f>
        <v/>
      </c>
      <c r="I4836" s="9">
        <f>Q4805</f>
        <v/>
      </c>
      <c r="J4836" s="7">
        <f>I4836*G4836</f>
        <v/>
      </c>
      <c r="K4836" s="8">
        <f>IF($J$4837=0,0,J4836/$J$4837)</f>
        <v/>
      </c>
      <c r="L4836" s="6" t="inlineStr">
        <is>
          <t>WATCHLIST</t>
        </is>
      </c>
      <c r="M4836" s="8" t="n">
        <v>0</v>
      </c>
      <c r="N4836" s="7">
        <f>M4836*$J$4837-J4836</f>
        <v/>
      </c>
      <c r="O4836" s="9">
        <f>IF(G4836=0,0,N4836/G4836)</f>
        <v/>
      </c>
      <c r="P4836" s="6">
        <f>IF(M4836&gt;0,D4836,"")</f>
        <v/>
      </c>
      <c r="Q4836" s="9">
        <f>I4836+O4836</f>
        <v/>
      </c>
      <c r="R4836" s="7">
        <f>Q4836*G4836</f>
        <v/>
      </c>
      <c r="S4836" s="8">
        <f>IF($R$4837=0,0,R4836/$R$4837)</f>
        <v/>
      </c>
      <c r="T4836" s="8" t="n">
        <v>0.01648861791530942</v>
      </c>
      <c r="U4836" s="8" t="n">
        <v>0.01222068795054865</v>
      </c>
      <c r="V4836" s="6" t="inlineStr">
        <is>
          <t>not selected</t>
        </is>
      </c>
    </row>
    <row r="4837">
      <c r="A4837" s="10" t="inlineStr">
        <is>
          <t>DJ30</t>
        </is>
      </c>
      <c r="B4837" s="10" t="inlineStr">
        <is>
          <t>2025-12-26</t>
        </is>
      </c>
      <c r="C4837" s="10" t="inlineStr">
        <is>
          <t>DIA</t>
        </is>
      </c>
      <c r="D4837" s="10" t="inlineStr">
        <is>
          <t>Tot Portfolio</t>
        </is>
      </c>
      <c r="E4837" s="10" t="inlineStr"/>
      <c r="F4837" s="10" t="inlineStr"/>
      <c r="G4837" s="11" t="inlineStr"/>
      <c r="H4837" s="10" t="inlineStr"/>
      <c r="I4837" s="12" t="inlineStr"/>
      <c r="J4837" s="11">
        <f>SUM(J4807:J4836)</f>
        <v/>
      </c>
      <c r="K4837" s="13">
        <f>SUM(K4807:K4836)</f>
        <v/>
      </c>
      <c r="L4837" s="10" t="inlineStr">
        <is>
          <t>TOTAL</t>
        </is>
      </c>
      <c r="M4837" s="13">
        <f>SUM(M4807:M4836)</f>
        <v/>
      </c>
      <c r="N4837" s="11">
        <f>SUM(N4807:N4836)</f>
        <v/>
      </c>
      <c r="O4837" s="12">
        <f>SUM(O4807:O4836)</f>
        <v/>
      </c>
      <c r="P4837" s="10" t="inlineStr"/>
      <c r="Q4837" s="12" t="inlineStr"/>
      <c r="R4837" s="11">
        <f>SUM(R4807:R4836)</f>
        <v/>
      </c>
      <c r="S4837" s="13">
        <f>SUM(S4807:S4836)</f>
        <v/>
      </c>
      <c r="T4837" s="13" t="n">
        <v>0.01648861791530942</v>
      </c>
      <c r="U4837" s="13" t="n">
        <v>0.01222068795054865</v>
      </c>
      <c r="V4837" s="10" t="inlineStr"/>
    </row>
    <row r="4838">
      <c r="A4838" s="6" t="inlineStr">
        <is>
          <t>DJ30</t>
        </is>
      </c>
      <c r="B4838" s="6" t="inlineStr">
        <is>
          <t>2026-01-02</t>
        </is>
      </c>
      <c r="C4838" s="6" t="inlineStr">
        <is>
          <t>DIA</t>
        </is>
      </c>
      <c r="D4838" s="6" t="inlineStr">
        <is>
          <t>AAPL</t>
        </is>
      </c>
      <c r="E4838" s="6" t="inlineStr">
        <is>
          <t>AAPL</t>
        </is>
      </c>
      <c r="F4838" s="6" t="inlineStr">
        <is>
          <t>-</t>
        </is>
      </c>
      <c r="G4838" s="7" t="n">
        <v>270.5074462890625</v>
      </c>
      <c r="H4838" s="6">
        <f>P4807</f>
        <v/>
      </c>
      <c r="I4838" s="9">
        <f>Q4807</f>
        <v/>
      </c>
      <c r="J4838" s="7">
        <f>I4838*G4838</f>
        <v/>
      </c>
      <c r="K4838" s="8">
        <f>IF($J$4868=0,0,J4838/$J$4868)</f>
        <v/>
      </c>
      <c r="L4838" s="6" t="inlineStr">
        <is>
          <t>WATCHLIST</t>
        </is>
      </c>
      <c r="M4838" s="8" t="n">
        <v>0</v>
      </c>
      <c r="N4838" s="7">
        <f>M4838*$J$4868-J4838</f>
        <v/>
      </c>
      <c r="O4838" s="9">
        <f>IF(G4838=0,0,N4838/G4838)</f>
        <v/>
      </c>
      <c r="P4838" s="6">
        <f>IF(M4838&gt;0,D4838,"")</f>
        <v/>
      </c>
      <c r="Q4838" s="9">
        <f>I4838+O4838</f>
        <v/>
      </c>
      <c r="R4838" s="7">
        <f>Q4838*G4838</f>
        <v/>
      </c>
      <c r="S4838" s="8">
        <f>IF($R$4868=0,0,R4838/$R$4868)</f>
        <v/>
      </c>
      <c r="T4838" s="8" t="n">
        <v>0.0004792720027617658</v>
      </c>
      <c r="U4838" s="8" t="n">
        <v>-0.006981027327532141</v>
      </c>
      <c r="V4838" s="6" t="inlineStr">
        <is>
          <t>not selected</t>
        </is>
      </c>
    </row>
    <row r="4839">
      <c r="A4839" s="6" t="inlineStr">
        <is>
          <t>DJ30</t>
        </is>
      </c>
      <c r="B4839" s="6" t="inlineStr">
        <is>
          <t>2026-01-02</t>
        </is>
      </c>
      <c r="C4839" s="6" t="inlineStr">
        <is>
          <t>DIA</t>
        </is>
      </c>
      <c r="D4839" s="6" t="inlineStr">
        <is>
          <t>AMGN</t>
        </is>
      </c>
      <c r="E4839" s="6" t="inlineStr">
        <is>
          <t>AMGN</t>
        </is>
      </c>
      <c r="F4839" s="6" t="inlineStr">
        <is>
          <t>-</t>
        </is>
      </c>
      <c r="G4839" s="7" t="n">
        <v>322.9466247558594</v>
      </c>
      <c r="H4839" s="6">
        <f>P4808</f>
        <v/>
      </c>
      <c r="I4839" s="9">
        <f>Q4808</f>
        <v/>
      </c>
      <c r="J4839" s="7">
        <f>I4839*G4839</f>
        <v/>
      </c>
      <c r="K4839" s="8">
        <f>IF($J$4868=0,0,J4839/$J$4868)</f>
        <v/>
      </c>
      <c r="L4839" s="6" t="inlineStr">
        <is>
          <t>WATCHLIST</t>
        </is>
      </c>
      <c r="M4839" s="8" t="n">
        <v>0</v>
      </c>
      <c r="N4839" s="7">
        <f>M4839*$J$4868-J4839</f>
        <v/>
      </c>
      <c r="O4839" s="9">
        <f>IF(G4839=0,0,N4839/G4839)</f>
        <v/>
      </c>
      <c r="P4839" s="6">
        <f>IF(M4839&gt;0,D4839,"")</f>
        <v/>
      </c>
      <c r="Q4839" s="9">
        <f>I4839+O4839</f>
        <v/>
      </c>
      <c r="R4839" s="7">
        <f>Q4839*G4839</f>
        <v/>
      </c>
      <c r="S4839" s="8">
        <f>IF($R$4868=0,0,R4839/$R$4868)</f>
        <v/>
      </c>
      <c r="T4839" s="8" t="n">
        <v>0.0004792720027617658</v>
      </c>
      <c r="U4839" s="8" t="n">
        <v>-0.006981027327532141</v>
      </c>
      <c r="V4839" s="6" t="inlineStr">
        <is>
          <t>not selected</t>
        </is>
      </c>
    </row>
    <row r="4840">
      <c r="A4840" s="6" t="inlineStr">
        <is>
          <t>DJ30</t>
        </is>
      </c>
      <c r="B4840" s="6" t="inlineStr">
        <is>
          <t>2026-01-02</t>
        </is>
      </c>
      <c r="C4840" s="6" t="inlineStr">
        <is>
          <t>DIA</t>
        </is>
      </c>
      <c r="D4840" s="6" t="inlineStr">
        <is>
          <t>AMZN</t>
        </is>
      </c>
      <c r="E4840" s="6" t="inlineStr">
        <is>
          <t>AMZN</t>
        </is>
      </c>
      <c r="F4840" s="6" t="inlineStr">
        <is>
          <t>-</t>
        </is>
      </c>
      <c r="G4840" s="7" t="n">
        <v>226.5</v>
      </c>
      <c r="H4840" s="6">
        <f>P4809</f>
        <v/>
      </c>
      <c r="I4840" s="9">
        <f>Q4809</f>
        <v/>
      </c>
      <c r="J4840" s="7">
        <f>I4840*G4840</f>
        <v/>
      </c>
      <c r="K4840" s="8">
        <f>IF($J$4868=0,0,J4840/$J$4868)</f>
        <v/>
      </c>
      <c r="L4840" s="6" t="inlineStr">
        <is>
          <t>REJECTED</t>
        </is>
      </c>
      <c r="M4840" s="8" t="n">
        <v>0</v>
      </c>
      <c r="N4840" s="7">
        <f>M4840*$J$4868-J4840</f>
        <v/>
      </c>
      <c r="O4840" s="9">
        <f>IF(G4840=0,0,N4840/G4840)</f>
        <v/>
      </c>
      <c r="P4840" s="6">
        <f>IF(M4840&gt;0,D4840,"")</f>
        <v/>
      </c>
      <c r="Q4840" s="9">
        <f>I4840+O4840</f>
        <v/>
      </c>
      <c r="R4840" s="7">
        <f>Q4840*G4840</f>
        <v/>
      </c>
      <c r="S4840" s="8">
        <f>IF($R$4868=0,0,R4840/$R$4868)</f>
        <v/>
      </c>
      <c r="T4840" s="8" t="n">
        <v>0.0004792720027617658</v>
      </c>
      <c r="U4840" s="8" t="n">
        <v>-0.006981027327532141</v>
      </c>
      <c r="V4840" s="6" t="inlineStr">
        <is>
          <t>not selected</t>
        </is>
      </c>
    </row>
    <row r="4841">
      <c r="A4841" s="6" t="inlineStr">
        <is>
          <t>DJ30</t>
        </is>
      </c>
      <c r="B4841" s="6" t="inlineStr">
        <is>
          <t>2026-01-02</t>
        </is>
      </c>
      <c r="C4841" s="6" t="inlineStr">
        <is>
          <t>DIA</t>
        </is>
      </c>
      <c r="D4841" s="6" t="inlineStr">
        <is>
          <t>AXP</t>
        </is>
      </c>
      <c r="E4841" s="6" t="inlineStr">
        <is>
          <t>AXP</t>
        </is>
      </c>
      <c r="F4841" s="6" t="inlineStr">
        <is>
          <t>-</t>
        </is>
      </c>
      <c r="G4841" s="7" t="n">
        <v>371.5553894042969</v>
      </c>
      <c r="H4841" s="6">
        <f>P4810</f>
        <v/>
      </c>
      <c r="I4841" s="9">
        <f>Q4810</f>
        <v/>
      </c>
      <c r="J4841" s="7">
        <f>I4841*G4841</f>
        <v/>
      </c>
      <c r="K4841" s="8">
        <f>IF($J$4868=0,0,J4841/$J$4868)</f>
        <v/>
      </c>
      <c r="L4841" s="6" t="inlineStr">
        <is>
          <t>WATCHLIST</t>
        </is>
      </c>
      <c r="M4841" s="8" t="n">
        <v>0</v>
      </c>
      <c r="N4841" s="7">
        <f>M4841*$J$4868-J4841</f>
        <v/>
      </c>
      <c r="O4841" s="9">
        <f>IF(G4841=0,0,N4841/G4841)</f>
        <v/>
      </c>
      <c r="P4841" s="6">
        <f>IF(M4841&gt;0,D4841,"")</f>
        <v/>
      </c>
      <c r="Q4841" s="9">
        <f>I4841+O4841</f>
        <v/>
      </c>
      <c r="R4841" s="7">
        <f>Q4841*G4841</f>
        <v/>
      </c>
      <c r="S4841" s="8">
        <f>IF($R$4868=0,0,R4841/$R$4868)</f>
        <v/>
      </c>
      <c r="T4841" s="8" t="n">
        <v>0.0004792720027617658</v>
      </c>
      <c r="U4841" s="8" t="n">
        <v>-0.006981027327532141</v>
      </c>
      <c r="V4841" s="6" t="inlineStr">
        <is>
          <t>not selected</t>
        </is>
      </c>
    </row>
    <row r="4842">
      <c r="A4842" s="6" t="inlineStr">
        <is>
          <t>DJ30</t>
        </is>
      </c>
      <c r="B4842" s="6" t="inlineStr">
        <is>
          <t>2026-01-02</t>
        </is>
      </c>
      <c r="C4842" s="6" t="inlineStr">
        <is>
          <t>DIA</t>
        </is>
      </c>
      <c r="D4842" s="6" t="inlineStr">
        <is>
          <t>BA</t>
        </is>
      </c>
      <c r="E4842" s="6" t="inlineStr">
        <is>
          <t>BA</t>
        </is>
      </c>
      <c r="F4842" s="6" t="inlineStr">
        <is>
          <t>-</t>
        </is>
      </c>
      <c r="G4842" s="7" t="n">
        <v>227.7700042724609</v>
      </c>
      <c r="H4842" s="6">
        <f>P4811</f>
        <v/>
      </c>
      <c r="I4842" s="9">
        <f>Q4811</f>
        <v/>
      </c>
      <c r="J4842" s="7">
        <f>I4842*G4842</f>
        <v/>
      </c>
      <c r="K4842" s="8">
        <f>IF($J$4868=0,0,J4842/$J$4868)</f>
        <v/>
      </c>
      <c r="L4842" s="6" t="inlineStr">
        <is>
          <t>WATCHLIST</t>
        </is>
      </c>
      <c r="M4842" s="8" t="n">
        <v>0</v>
      </c>
      <c r="N4842" s="7">
        <f>M4842*$J$4868-J4842</f>
        <v/>
      </c>
      <c r="O4842" s="9">
        <f>IF(G4842=0,0,N4842/G4842)</f>
        <v/>
      </c>
      <c r="P4842" s="6">
        <f>IF(M4842&gt;0,D4842,"")</f>
        <v/>
      </c>
      <c r="Q4842" s="9">
        <f>I4842+O4842</f>
        <v/>
      </c>
      <c r="R4842" s="7">
        <f>Q4842*G4842</f>
        <v/>
      </c>
      <c r="S4842" s="8">
        <f>IF($R$4868=0,0,R4842/$R$4868)</f>
        <v/>
      </c>
      <c r="T4842" s="8" t="n">
        <v>0.0004792720027617658</v>
      </c>
      <c r="U4842" s="8" t="n">
        <v>-0.006981027327532141</v>
      </c>
      <c r="V4842" s="6" t="inlineStr">
        <is>
          <t>not selected</t>
        </is>
      </c>
    </row>
    <row r="4843">
      <c r="A4843" s="6" t="inlineStr">
        <is>
          <t>DJ30</t>
        </is>
      </c>
      <c r="B4843" s="6" t="inlineStr">
        <is>
          <t>2026-01-02</t>
        </is>
      </c>
      <c r="C4843" s="6" t="inlineStr">
        <is>
          <t>DIA</t>
        </is>
      </c>
      <c r="D4843" s="6" t="inlineStr">
        <is>
          <t>CAT</t>
        </is>
      </c>
      <c r="E4843" s="6" t="inlineStr">
        <is>
          <t>CAT</t>
        </is>
      </c>
      <c r="F4843" s="6" t="inlineStr">
        <is>
          <t>-</t>
        </is>
      </c>
      <c r="G4843" s="7" t="n">
        <v>595.878662109375</v>
      </c>
      <c r="H4843" s="6">
        <f>P4812</f>
        <v/>
      </c>
      <c r="I4843" s="9">
        <f>Q4812</f>
        <v/>
      </c>
      <c r="J4843" s="7">
        <f>I4843*G4843</f>
        <v/>
      </c>
      <c r="K4843" s="8">
        <f>IF($J$4868=0,0,J4843/$J$4868)</f>
        <v/>
      </c>
      <c r="L4843" s="6" t="inlineStr">
        <is>
          <t>SELECTED</t>
        </is>
      </c>
      <c r="M4843" s="8" t="n">
        <v>0.2</v>
      </c>
      <c r="N4843" s="7">
        <f>M4843*$J$4868-J4843</f>
        <v/>
      </c>
      <c r="O4843" s="9">
        <f>IF(G4843=0,0,N4843/G4843)</f>
        <v/>
      </c>
      <c r="P4843" s="6">
        <f>IF(M4843&gt;0,D4843,"")</f>
        <v/>
      </c>
      <c r="Q4843" s="9">
        <f>I4843+O4843</f>
        <v/>
      </c>
      <c r="R4843" s="7">
        <f>Q4843*G4843</f>
        <v/>
      </c>
      <c r="S4843" s="8">
        <f>IF($R$4868=0,0,R4843/$R$4868)</f>
        <v/>
      </c>
      <c r="T4843" s="8" t="n">
        <v>0.0004792720027617658</v>
      </c>
      <c r="U4843" s="8" t="n">
        <v>-0.006981027327532141</v>
      </c>
      <c r="V4843" s="6" t="inlineStr">
        <is>
          <t>remained in weekly selection</t>
        </is>
      </c>
    </row>
    <row r="4844">
      <c r="A4844" s="6" t="inlineStr">
        <is>
          <t>DJ30</t>
        </is>
      </c>
      <c r="B4844" s="6" t="inlineStr">
        <is>
          <t>2026-01-02</t>
        </is>
      </c>
      <c r="C4844" s="6" t="inlineStr">
        <is>
          <t>DIA</t>
        </is>
      </c>
      <c r="D4844" s="6" t="inlineStr">
        <is>
          <t>CRM</t>
        </is>
      </c>
      <c r="E4844" s="6" t="inlineStr">
        <is>
          <t>CRM</t>
        </is>
      </c>
      <c r="F4844" s="6" t="inlineStr">
        <is>
          <t>-</t>
        </is>
      </c>
      <c r="G4844" s="7" t="n">
        <v>252.3360137939453</v>
      </c>
      <c r="H4844" s="6">
        <f>P4813</f>
        <v/>
      </c>
      <c r="I4844" s="9">
        <f>Q4813</f>
        <v/>
      </c>
      <c r="J4844" s="7">
        <f>I4844*G4844</f>
        <v/>
      </c>
      <c r="K4844" s="8">
        <f>IF($J$4868=0,0,J4844/$J$4868)</f>
        <v/>
      </c>
      <c r="L4844" s="6" t="inlineStr">
        <is>
          <t>REJECTED</t>
        </is>
      </c>
      <c r="M4844" s="8" t="n">
        <v>0</v>
      </c>
      <c r="N4844" s="7">
        <f>M4844*$J$4868-J4844</f>
        <v/>
      </c>
      <c r="O4844" s="9">
        <f>IF(G4844=0,0,N4844/G4844)</f>
        <v/>
      </c>
      <c r="P4844" s="6">
        <f>IF(M4844&gt;0,D4844,"")</f>
        <v/>
      </c>
      <c r="Q4844" s="9">
        <f>I4844+O4844</f>
        <v/>
      </c>
      <c r="R4844" s="7">
        <f>Q4844*G4844</f>
        <v/>
      </c>
      <c r="S4844" s="8">
        <f>IF($R$4868=0,0,R4844/$R$4868)</f>
        <v/>
      </c>
      <c r="T4844" s="8" t="n">
        <v>0.0004792720027617658</v>
      </c>
      <c r="U4844" s="8" t="n">
        <v>-0.006981027327532141</v>
      </c>
      <c r="V4844" s="6" t="inlineStr">
        <is>
          <t>not selected</t>
        </is>
      </c>
    </row>
    <row r="4845">
      <c r="A4845" s="6" t="inlineStr">
        <is>
          <t>DJ30</t>
        </is>
      </c>
      <c r="B4845" s="6" t="inlineStr">
        <is>
          <t>2026-01-02</t>
        </is>
      </c>
      <c r="C4845" s="6" t="inlineStr">
        <is>
          <t>DIA</t>
        </is>
      </c>
      <c r="D4845" s="6" t="inlineStr">
        <is>
          <t>CSCO</t>
        </is>
      </c>
      <c r="E4845" s="6" t="inlineStr">
        <is>
          <t>CSCO</t>
        </is>
      </c>
      <c r="F4845" s="6" t="inlineStr">
        <is>
          <t>-</t>
        </is>
      </c>
      <c r="G4845" s="7" t="n">
        <v>75.63018798828125</v>
      </c>
      <c r="H4845" s="6">
        <f>P4814</f>
        <v/>
      </c>
      <c r="I4845" s="9">
        <f>Q4814</f>
        <v/>
      </c>
      <c r="J4845" s="7">
        <f>I4845*G4845</f>
        <v/>
      </c>
      <c r="K4845" s="8">
        <f>IF($J$4868=0,0,J4845/$J$4868)</f>
        <v/>
      </c>
      <c r="L4845" s="6" t="inlineStr">
        <is>
          <t>SELECTED</t>
        </is>
      </c>
      <c r="M4845" s="8" t="n">
        <v>0.2</v>
      </c>
      <c r="N4845" s="7">
        <f>M4845*$J$4868-J4845</f>
        <v/>
      </c>
      <c r="O4845" s="9">
        <f>IF(G4845=0,0,N4845/G4845)</f>
        <v/>
      </c>
      <c r="P4845" s="6">
        <f>IF(M4845&gt;0,D4845,"")</f>
        <v/>
      </c>
      <c r="Q4845" s="9">
        <f>I4845+O4845</f>
        <v/>
      </c>
      <c r="R4845" s="7">
        <f>Q4845*G4845</f>
        <v/>
      </c>
      <c r="S4845" s="8">
        <f>IF($R$4868=0,0,R4845/$R$4868)</f>
        <v/>
      </c>
      <c r="T4845" s="8" t="n">
        <v>0.0004792720027617658</v>
      </c>
      <c r="U4845" s="8" t="n">
        <v>-0.006981027327532141</v>
      </c>
      <c r="V4845" s="6" t="inlineStr">
        <is>
          <t>remained in weekly selection</t>
        </is>
      </c>
    </row>
    <row r="4846">
      <c r="A4846" s="6" t="inlineStr">
        <is>
          <t>DJ30</t>
        </is>
      </c>
      <c r="B4846" s="6" t="inlineStr">
        <is>
          <t>2026-01-02</t>
        </is>
      </c>
      <c r="C4846" s="6" t="inlineStr">
        <is>
          <t>DIA</t>
        </is>
      </c>
      <c r="D4846" s="6" t="inlineStr">
        <is>
          <t>CVX</t>
        </is>
      </c>
      <c r="E4846" s="6" t="inlineStr">
        <is>
          <t>CVX</t>
        </is>
      </c>
      <c r="F4846" s="6" t="inlineStr">
        <is>
          <t>-</t>
        </is>
      </c>
      <c r="G4846" s="7" t="n">
        <v>152.9884490966797</v>
      </c>
      <c r="H4846" s="6">
        <f>P4815</f>
        <v/>
      </c>
      <c r="I4846" s="9">
        <f>Q4815</f>
        <v/>
      </c>
      <c r="J4846" s="7">
        <f>I4846*G4846</f>
        <v/>
      </c>
      <c r="K4846" s="8">
        <f>IF($J$4868=0,0,J4846/$J$4868)</f>
        <v/>
      </c>
      <c r="L4846" s="6" t="inlineStr">
        <is>
          <t>REJECTED</t>
        </is>
      </c>
      <c r="M4846" s="8" t="n">
        <v>0</v>
      </c>
      <c r="N4846" s="7">
        <f>M4846*$J$4868-J4846</f>
        <v/>
      </c>
      <c r="O4846" s="9">
        <f>IF(G4846=0,0,N4846/G4846)</f>
        <v/>
      </c>
      <c r="P4846" s="6">
        <f>IF(M4846&gt;0,D4846,"")</f>
        <v/>
      </c>
      <c r="Q4846" s="9">
        <f>I4846+O4846</f>
        <v/>
      </c>
      <c r="R4846" s="7">
        <f>Q4846*G4846</f>
        <v/>
      </c>
      <c r="S4846" s="8">
        <f>IF($R$4868=0,0,R4846/$R$4868)</f>
        <v/>
      </c>
      <c r="T4846" s="8" t="n">
        <v>0.0004792720027617658</v>
      </c>
      <c r="U4846" s="8" t="n">
        <v>-0.006981027327532141</v>
      </c>
      <c r="V4846" s="6" t="inlineStr">
        <is>
          <t>not selected</t>
        </is>
      </c>
    </row>
    <row r="4847">
      <c r="A4847" s="6" t="inlineStr">
        <is>
          <t>DJ30</t>
        </is>
      </c>
      <c r="B4847" s="6" t="inlineStr">
        <is>
          <t>2026-01-02</t>
        </is>
      </c>
      <c r="C4847" s="6" t="inlineStr">
        <is>
          <t>DIA</t>
        </is>
      </c>
      <c r="D4847" s="6" t="inlineStr">
        <is>
          <t>DIS</t>
        </is>
      </c>
      <c r="E4847" s="6" t="inlineStr">
        <is>
          <t>DIS</t>
        </is>
      </c>
      <c r="F4847" s="6" t="inlineStr">
        <is>
          <t>-</t>
        </is>
      </c>
      <c r="G4847" s="7" t="n">
        <v>111.8499984741211</v>
      </c>
      <c r="H4847" s="6">
        <f>P4816</f>
        <v/>
      </c>
      <c r="I4847" s="9">
        <f>Q4816</f>
        <v/>
      </c>
      <c r="J4847" s="7">
        <f>I4847*G4847</f>
        <v/>
      </c>
      <c r="K4847" s="8">
        <f>IF($J$4868=0,0,J4847/$J$4868)</f>
        <v/>
      </c>
      <c r="L4847" s="6" t="inlineStr">
        <is>
          <t>REJECTED</t>
        </is>
      </c>
      <c r="M4847" s="8" t="n">
        <v>0</v>
      </c>
      <c r="N4847" s="7">
        <f>M4847*$J$4868-J4847</f>
        <v/>
      </c>
      <c r="O4847" s="9">
        <f>IF(G4847=0,0,N4847/G4847)</f>
        <v/>
      </c>
      <c r="P4847" s="6">
        <f>IF(M4847&gt;0,D4847,"")</f>
        <v/>
      </c>
      <c r="Q4847" s="9">
        <f>I4847+O4847</f>
        <v/>
      </c>
      <c r="R4847" s="7">
        <f>Q4847*G4847</f>
        <v/>
      </c>
      <c r="S4847" s="8">
        <f>IF($R$4868=0,0,R4847/$R$4868)</f>
        <v/>
      </c>
      <c r="T4847" s="8" t="n">
        <v>0.0004792720027617658</v>
      </c>
      <c r="U4847" s="8" t="n">
        <v>-0.006981027327532141</v>
      </c>
      <c r="V4847" s="6" t="inlineStr">
        <is>
          <t>not selected</t>
        </is>
      </c>
    </row>
    <row r="4848">
      <c r="A4848" s="6" t="inlineStr">
        <is>
          <t>DJ30</t>
        </is>
      </c>
      <c r="B4848" s="6" t="inlineStr">
        <is>
          <t>2026-01-02</t>
        </is>
      </c>
      <c r="C4848" s="6" t="inlineStr">
        <is>
          <t>DIA</t>
        </is>
      </c>
      <c r="D4848" s="6" t="inlineStr">
        <is>
          <t>GS</t>
        </is>
      </c>
      <c r="E4848" s="6" t="inlineStr">
        <is>
          <t>GS</t>
        </is>
      </c>
      <c r="F4848" s="6" t="inlineStr">
        <is>
          <t>-</t>
        </is>
      </c>
      <c r="G4848" s="7" t="n">
        <v>905.5623168945312</v>
      </c>
      <c r="H4848" s="6">
        <f>P4817</f>
        <v/>
      </c>
      <c r="I4848" s="9">
        <f>Q4817</f>
        <v/>
      </c>
      <c r="J4848" s="7">
        <f>I4848*G4848</f>
        <v/>
      </c>
      <c r="K4848" s="8">
        <f>IF($J$4868=0,0,J4848/$J$4868)</f>
        <v/>
      </c>
      <c r="L4848" s="6" t="inlineStr">
        <is>
          <t>SELECTED</t>
        </is>
      </c>
      <c r="M4848" s="8" t="n">
        <v>0.2</v>
      </c>
      <c r="N4848" s="7">
        <f>M4848*$J$4868-J4848</f>
        <v/>
      </c>
      <c r="O4848" s="9">
        <f>IF(G4848=0,0,N4848/G4848)</f>
        <v/>
      </c>
      <c r="P4848" s="6">
        <f>IF(M4848&gt;0,D4848,"")</f>
        <v/>
      </c>
      <c r="Q4848" s="9">
        <f>I4848+O4848</f>
        <v/>
      </c>
      <c r="R4848" s="7">
        <f>Q4848*G4848</f>
        <v/>
      </c>
      <c r="S4848" s="8">
        <f>IF($R$4868=0,0,R4848/$R$4868)</f>
        <v/>
      </c>
      <c r="T4848" s="8" t="n">
        <v>0.0004792720027617658</v>
      </c>
      <c r="U4848" s="8" t="n">
        <v>-0.006981027327532141</v>
      </c>
      <c r="V4848" s="6" t="inlineStr">
        <is>
          <t>remained in weekly selection</t>
        </is>
      </c>
    </row>
    <row r="4849">
      <c r="A4849" s="6" t="inlineStr">
        <is>
          <t>DJ30</t>
        </is>
      </c>
      <c r="B4849" s="6" t="inlineStr">
        <is>
          <t>2026-01-02</t>
        </is>
      </c>
      <c r="C4849" s="6" t="inlineStr">
        <is>
          <t>DIA</t>
        </is>
      </c>
      <c r="D4849" s="6" t="inlineStr">
        <is>
          <t>HD</t>
        </is>
      </c>
      <c r="E4849" s="6" t="inlineStr">
        <is>
          <t>HD</t>
        </is>
      </c>
      <c r="F4849" s="6" t="inlineStr">
        <is>
          <t>-</t>
        </is>
      </c>
      <c r="G4849" s="7" t="n">
        <v>340.9658813476562</v>
      </c>
      <c r="H4849" s="6">
        <f>P4818</f>
        <v/>
      </c>
      <c r="I4849" s="9">
        <f>Q4818</f>
        <v/>
      </c>
      <c r="J4849" s="7">
        <f>I4849*G4849</f>
        <v/>
      </c>
      <c r="K4849" s="8">
        <f>IF($J$4868=0,0,J4849/$J$4868)</f>
        <v/>
      </c>
      <c r="L4849" s="6" t="inlineStr">
        <is>
          <t>REJECTED</t>
        </is>
      </c>
      <c r="M4849" s="8" t="n">
        <v>0</v>
      </c>
      <c r="N4849" s="7">
        <f>M4849*$J$4868-J4849</f>
        <v/>
      </c>
      <c r="O4849" s="9">
        <f>IF(G4849=0,0,N4849/G4849)</f>
        <v/>
      </c>
      <c r="P4849" s="6">
        <f>IF(M4849&gt;0,D4849,"")</f>
        <v/>
      </c>
      <c r="Q4849" s="9">
        <f>I4849+O4849</f>
        <v/>
      </c>
      <c r="R4849" s="7">
        <f>Q4849*G4849</f>
        <v/>
      </c>
      <c r="S4849" s="8">
        <f>IF($R$4868=0,0,R4849/$R$4868)</f>
        <v/>
      </c>
      <c r="T4849" s="8" t="n">
        <v>0.0004792720027617658</v>
      </c>
      <c r="U4849" s="8" t="n">
        <v>-0.006981027327532141</v>
      </c>
      <c r="V4849" s="6" t="inlineStr">
        <is>
          <t>not selected</t>
        </is>
      </c>
    </row>
    <row r="4850">
      <c r="A4850" s="6" t="inlineStr">
        <is>
          <t>DJ30</t>
        </is>
      </c>
      <c r="B4850" s="6" t="inlineStr">
        <is>
          <t>2026-01-02</t>
        </is>
      </c>
      <c r="C4850" s="6" t="inlineStr">
        <is>
          <t>DIA</t>
        </is>
      </c>
      <c r="D4850" s="6" t="inlineStr">
        <is>
          <t>HON</t>
        </is>
      </c>
      <c r="E4850" s="6" t="inlineStr">
        <is>
          <t>HON</t>
        </is>
      </c>
      <c r="F4850" s="6" t="inlineStr">
        <is>
          <t>-</t>
        </is>
      </c>
      <c r="G4850" s="7" t="n">
        <v>193.8469696044922</v>
      </c>
      <c r="H4850" s="6">
        <f>P4819</f>
        <v/>
      </c>
      <c r="I4850" s="9">
        <f>Q4819</f>
        <v/>
      </c>
      <c r="J4850" s="7">
        <f>I4850*G4850</f>
        <v/>
      </c>
      <c r="K4850" s="8">
        <f>IF($J$4868=0,0,J4850/$J$4868)</f>
        <v/>
      </c>
      <c r="L4850" s="6" t="inlineStr">
        <is>
          <t>REJECTED</t>
        </is>
      </c>
      <c r="M4850" s="8" t="n">
        <v>0</v>
      </c>
      <c r="N4850" s="7">
        <f>M4850*$J$4868-J4850</f>
        <v/>
      </c>
      <c r="O4850" s="9">
        <f>IF(G4850=0,0,N4850/G4850)</f>
        <v/>
      </c>
      <c r="P4850" s="6">
        <f>IF(M4850&gt;0,D4850,"")</f>
        <v/>
      </c>
      <c r="Q4850" s="9">
        <f>I4850+O4850</f>
        <v/>
      </c>
      <c r="R4850" s="7">
        <f>Q4850*G4850</f>
        <v/>
      </c>
      <c r="S4850" s="8">
        <f>IF($R$4868=0,0,R4850/$R$4868)</f>
        <v/>
      </c>
      <c r="T4850" s="8" t="n">
        <v>0.0004792720027617658</v>
      </c>
      <c r="U4850" s="8" t="n">
        <v>-0.006981027327532141</v>
      </c>
      <c r="V4850" s="6" t="inlineStr">
        <is>
          <t>not selected</t>
        </is>
      </c>
    </row>
    <row r="4851">
      <c r="A4851" s="6" t="inlineStr">
        <is>
          <t>DJ30</t>
        </is>
      </c>
      <c r="B4851" s="6" t="inlineStr">
        <is>
          <t>2026-01-02</t>
        </is>
      </c>
      <c r="C4851" s="6" t="inlineStr">
        <is>
          <t>DIA</t>
        </is>
      </c>
      <c r="D4851" s="6" t="inlineStr">
        <is>
          <t>IBM</t>
        </is>
      </c>
      <c r="E4851" s="6" t="inlineStr">
        <is>
          <t>IBM</t>
        </is>
      </c>
      <c r="F4851" s="6" t="inlineStr">
        <is>
          <t>-</t>
        </is>
      </c>
      <c r="G4851" s="7" t="n">
        <v>287.7297668457031</v>
      </c>
      <c r="H4851" s="6">
        <f>P4820</f>
        <v/>
      </c>
      <c r="I4851" s="9">
        <f>Q4820</f>
        <v/>
      </c>
      <c r="J4851" s="7">
        <f>I4851*G4851</f>
        <v/>
      </c>
      <c r="K4851" s="8">
        <f>IF($J$4868=0,0,J4851/$J$4868)</f>
        <v/>
      </c>
      <c r="L4851" s="6" t="inlineStr">
        <is>
          <t>WATCHLIST</t>
        </is>
      </c>
      <c r="M4851" s="8" t="n">
        <v>0</v>
      </c>
      <c r="N4851" s="7">
        <f>M4851*$J$4868-J4851</f>
        <v/>
      </c>
      <c r="O4851" s="9">
        <f>IF(G4851=0,0,N4851/G4851)</f>
        <v/>
      </c>
      <c r="P4851" s="6">
        <f>IF(M4851&gt;0,D4851,"")</f>
        <v/>
      </c>
      <c r="Q4851" s="9">
        <f>I4851+O4851</f>
        <v/>
      </c>
      <c r="R4851" s="7">
        <f>Q4851*G4851</f>
        <v/>
      </c>
      <c r="S4851" s="8">
        <f>IF($R$4868=0,0,R4851/$R$4868)</f>
        <v/>
      </c>
      <c r="T4851" s="8" t="n">
        <v>0.0004792720027617658</v>
      </c>
      <c r="U4851" s="8" t="n">
        <v>-0.006981027327532141</v>
      </c>
      <c r="V4851" s="6" t="inlineStr">
        <is>
          <t>not selected</t>
        </is>
      </c>
    </row>
    <row r="4852">
      <c r="A4852" s="6" t="inlineStr">
        <is>
          <t>DJ30</t>
        </is>
      </c>
      <c r="B4852" s="6" t="inlineStr">
        <is>
          <t>2026-01-02</t>
        </is>
      </c>
      <c r="C4852" s="6" t="inlineStr">
        <is>
          <t>DIA</t>
        </is>
      </c>
      <c r="D4852" s="6" t="inlineStr">
        <is>
          <t>JNJ</t>
        </is>
      </c>
      <c r="E4852" s="6" t="inlineStr">
        <is>
          <t>JNJ</t>
        </is>
      </c>
      <c r="F4852" s="6" t="inlineStr">
        <is>
          <t>-</t>
        </is>
      </c>
      <c r="G4852" s="7" t="n">
        <v>205.0741424560547</v>
      </c>
      <c r="H4852" s="6">
        <f>P4821</f>
        <v/>
      </c>
      <c r="I4852" s="9">
        <f>Q4821</f>
        <v/>
      </c>
      <c r="J4852" s="7">
        <f>I4852*G4852</f>
        <v/>
      </c>
      <c r="K4852" s="8">
        <f>IF($J$4868=0,0,J4852/$J$4868)</f>
        <v/>
      </c>
      <c r="L4852" s="6" t="inlineStr">
        <is>
          <t>SELECTED</t>
        </is>
      </c>
      <c r="M4852" s="8" t="n">
        <v>0.2</v>
      </c>
      <c r="N4852" s="7">
        <f>M4852*$J$4868-J4852</f>
        <v/>
      </c>
      <c r="O4852" s="9">
        <f>IF(G4852=0,0,N4852/G4852)</f>
        <v/>
      </c>
      <c r="P4852" s="6">
        <f>IF(M4852&gt;0,D4852,"")</f>
        <v/>
      </c>
      <c r="Q4852" s="9">
        <f>I4852+O4852</f>
        <v/>
      </c>
      <c r="R4852" s="7">
        <f>Q4852*G4852</f>
        <v/>
      </c>
      <c r="S4852" s="8">
        <f>IF($R$4868=0,0,R4852/$R$4868)</f>
        <v/>
      </c>
      <c r="T4852" s="8" t="n">
        <v>0.0004792720027617658</v>
      </c>
      <c r="U4852" s="8" t="n">
        <v>-0.006981027327532141</v>
      </c>
      <c r="V4852" s="6" t="inlineStr">
        <is>
          <t>remained in weekly selection</t>
        </is>
      </c>
    </row>
    <row r="4853">
      <c r="A4853" s="6" t="inlineStr">
        <is>
          <t>DJ30</t>
        </is>
      </c>
      <c r="B4853" s="6" t="inlineStr">
        <is>
          <t>2026-01-02</t>
        </is>
      </c>
      <c r="C4853" s="6" t="inlineStr">
        <is>
          <t>DIA</t>
        </is>
      </c>
      <c r="D4853" s="6" t="inlineStr">
        <is>
          <t>JPM</t>
        </is>
      </c>
      <c r="E4853" s="6" t="inlineStr">
        <is>
          <t>JPM</t>
        </is>
      </c>
      <c r="F4853" s="6" t="inlineStr">
        <is>
          <t>-</t>
        </is>
      </c>
      <c r="G4853" s="7" t="n">
        <v>322.36865234375</v>
      </c>
      <c r="H4853" s="6">
        <f>P4822</f>
        <v/>
      </c>
      <c r="I4853" s="9">
        <f>Q4822</f>
        <v/>
      </c>
      <c r="J4853" s="7">
        <f>I4853*G4853</f>
        <v/>
      </c>
      <c r="K4853" s="8">
        <f>IF($J$4868=0,0,J4853/$J$4868)</f>
        <v/>
      </c>
      <c r="L4853" s="6" t="inlineStr">
        <is>
          <t>WATCHLIST</t>
        </is>
      </c>
      <c r="M4853" s="8" t="n">
        <v>0</v>
      </c>
      <c r="N4853" s="7">
        <f>M4853*$J$4868-J4853</f>
        <v/>
      </c>
      <c r="O4853" s="9">
        <f>IF(G4853=0,0,N4853/G4853)</f>
        <v/>
      </c>
      <c r="P4853" s="6">
        <f>IF(M4853&gt;0,D4853,"")</f>
        <v/>
      </c>
      <c r="Q4853" s="9">
        <f>I4853+O4853</f>
        <v/>
      </c>
      <c r="R4853" s="7">
        <f>Q4853*G4853</f>
        <v/>
      </c>
      <c r="S4853" s="8">
        <f>IF($R$4868=0,0,R4853/$R$4868)</f>
        <v/>
      </c>
      <c r="T4853" s="8" t="n">
        <v>0.0004792720027617658</v>
      </c>
      <c r="U4853" s="8" t="n">
        <v>-0.006981027327532141</v>
      </c>
      <c r="V4853" s="6" t="inlineStr">
        <is>
          <t>not selected</t>
        </is>
      </c>
    </row>
    <row r="4854">
      <c r="A4854" s="6" t="inlineStr">
        <is>
          <t>DJ30</t>
        </is>
      </c>
      <c r="B4854" s="6" t="inlineStr">
        <is>
          <t>2026-01-02</t>
        </is>
      </c>
      <c r="C4854" s="6" t="inlineStr">
        <is>
          <t>DIA</t>
        </is>
      </c>
      <c r="D4854" s="6" t="inlineStr">
        <is>
          <t>KO</t>
        </is>
      </c>
      <c r="E4854" s="6" t="inlineStr">
        <is>
          <t>KO</t>
        </is>
      </c>
      <c r="F4854" s="6" t="inlineStr">
        <is>
          <t>-</t>
        </is>
      </c>
      <c r="G4854" s="7" t="n">
        <v>68.20761108398438</v>
      </c>
      <c r="H4854" s="6">
        <f>P4823</f>
        <v/>
      </c>
      <c r="I4854" s="9">
        <f>Q4823</f>
        <v/>
      </c>
      <c r="J4854" s="7">
        <f>I4854*G4854</f>
        <v/>
      </c>
      <c r="K4854" s="8">
        <f>IF($J$4868=0,0,J4854/$J$4868)</f>
        <v/>
      </c>
      <c r="L4854" s="6" t="inlineStr">
        <is>
          <t>REJECTED</t>
        </is>
      </c>
      <c r="M4854" s="8" t="n">
        <v>0</v>
      </c>
      <c r="N4854" s="7">
        <f>M4854*$J$4868-J4854</f>
        <v/>
      </c>
      <c r="O4854" s="9">
        <f>IF(G4854=0,0,N4854/G4854)</f>
        <v/>
      </c>
      <c r="P4854" s="6">
        <f>IF(M4854&gt;0,D4854,"")</f>
        <v/>
      </c>
      <c r="Q4854" s="9">
        <f>I4854+O4854</f>
        <v/>
      </c>
      <c r="R4854" s="7">
        <f>Q4854*G4854</f>
        <v/>
      </c>
      <c r="S4854" s="8">
        <f>IF($R$4868=0,0,R4854/$R$4868)</f>
        <v/>
      </c>
      <c r="T4854" s="8" t="n">
        <v>0.0004792720027617658</v>
      </c>
      <c r="U4854" s="8" t="n">
        <v>-0.006981027327532141</v>
      </c>
      <c r="V4854" s="6" t="inlineStr">
        <is>
          <t>not selected</t>
        </is>
      </c>
    </row>
    <row r="4855">
      <c r="A4855" s="6" t="inlineStr">
        <is>
          <t>DJ30</t>
        </is>
      </c>
      <c r="B4855" s="6" t="inlineStr">
        <is>
          <t>2026-01-02</t>
        </is>
      </c>
      <c r="C4855" s="6" t="inlineStr">
        <is>
          <t>DIA</t>
        </is>
      </c>
      <c r="D4855" s="6" t="inlineStr">
        <is>
          <t>MCD</t>
        </is>
      </c>
      <c r="E4855" s="6" t="inlineStr">
        <is>
          <t>MCD</t>
        </is>
      </c>
      <c r="F4855" s="6" t="inlineStr">
        <is>
          <t>-</t>
        </is>
      </c>
      <c r="G4855" s="7" t="n">
        <v>299.5437927246094</v>
      </c>
      <c r="H4855" s="6">
        <f>P4824</f>
        <v/>
      </c>
      <c r="I4855" s="9">
        <f>Q4824</f>
        <v/>
      </c>
      <c r="J4855" s="7">
        <f>I4855*G4855</f>
        <v/>
      </c>
      <c r="K4855" s="8">
        <f>IF($J$4868=0,0,J4855/$J$4868)</f>
        <v/>
      </c>
      <c r="L4855" s="6" t="inlineStr">
        <is>
          <t>REJECTED</t>
        </is>
      </c>
      <c r="M4855" s="8" t="n">
        <v>0</v>
      </c>
      <c r="N4855" s="7">
        <f>M4855*$J$4868-J4855</f>
        <v/>
      </c>
      <c r="O4855" s="9">
        <f>IF(G4855=0,0,N4855/G4855)</f>
        <v/>
      </c>
      <c r="P4855" s="6">
        <f>IF(M4855&gt;0,D4855,"")</f>
        <v/>
      </c>
      <c r="Q4855" s="9">
        <f>I4855+O4855</f>
        <v/>
      </c>
      <c r="R4855" s="7">
        <f>Q4855*G4855</f>
        <v/>
      </c>
      <c r="S4855" s="8">
        <f>IF($R$4868=0,0,R4855/$R$4868)</f>
        <v/>
      </c>
      <c r="T4855" s="8" t="n">
        <v>0.0004792720027617658</v>
      </c>
      <c r="U4855" s="8" t="n">
        <v>-0.006981027327532141</v>
      </c>
      <c r="V4855" s="6" t="inlineStr">
        <is>
          <t>not selected</t>
        </is>
      </c>
    </row>
    <row r="4856">
      <c r="A4856" s="6" t="inlineStr">
        <is>
          <t>DJ30</t>
        </is>
      </c>
      <c r="B4856" s="6" t="inlineStr">
        <is>
          <t>2026-01-02</t>
        </is>
      </c>
      <c r="C4856" s="6" t="inlineStr">
        <is>
          <t>DIA</t>
        </is>
      </c>
      <c r="D4856" s="6" t="inlineStr">
        <is>
          <t>MMM</t>
        </is>
      </c>
      <c r="E4856" s="6" t="inlineStr">
        <is>
          <t>MMM</t>
        </is>
      </c>
      <c r="F4856" s="6" t="inlineStr">
        <is>
          <t>-</t>
        </is>
      </c>
      <c r="G4856" s="7" t="n">
        <v>160.2682800292969</v>
      </c>
      <c r="H4856" s="6">
        <f>P4825</f>
        <v/>
      </c>
      <c r="I4856" s="9">
        <f>Q4825</f>
        <v/>
      </c>
      <c r="J4856" s="7">
        <f>I4856*G4856</f>
        <v/>
      </c>
      <c r="K4856" s="8">
        <f>IF($J$4868=0,0,J4856/$J$4868)</f>
        <v/>
      </c>
      <c r="L4856" s="6" t="inlineStr">
        <is>
          <t>WATCHLIST</t>
        </is>
      </c>
      <c r="M4856" s="8" t="n">
        <v>0</v>
      </c>
      <c r="N4856" s="7">
        <f>M4856*$J$4868-J4856</f>
        <v/>
      </c>
      <c r="O4856" s="9">
        <f>IF(G4856=0,0,N4856/G4856)</f>
        <v/>
      </c>
      <c r="P4856" s="6">
        <f>IF(M4856&gt;0,D4856,"")</f>
        <v/>
      </c>
      <c r="Q4856" s="9">
        <f>I4856+O4856</f>
        <v/>
      </c>
      <c r="R4856" s="7">
        <f>Q4856*G4856</f>
        <v/>
      </c>
      <c r="S4856" s="8">
        <f>IF($R$4868=0,0,R4856/$R$4868)</f>
        <v/>
      </c>
      <c r="T4856" s="8" t="n">
        <v>0.0004792720027617658</v>
      </c>
      <c r="U4856" s="8" t="n">
        <v>-0.006981027327532141</v>
      </c>
      <c r="V4856" s="6" t="inlineStr">
        <is>
          <t>not selected</t>
        </is>
      </c>
    </row>
    <row r="4857">
      <c r="A4857" s="6" t="inlineStr">
        <is>
          <t>DJ30</t>
        </is>
      </c>
      <c r="B4857" s="6" t="inlineStr">
        <is>
          <t>2026-01-02</t>
        </is>
      </c>
      <c r="C4857" s="6" t="inlineStr">
        <is>
          <t>DIA</t>
        </is>
      </c>
      <c r="D4857" s="6" t="inlineStr">
        <is>
          <t>MRK</t>
        </is>
      </c>
      <c r="E4857" s="6" t="inlineStr">
        <is>
          <t>MRK</t>
        </is>
      </c>
      <c r="F4857" s="6" t="inlineStr">
        <is>
          <t>-</t>
        </is>
      </c>
      <c r="G4857" s="7" t="n">
        <v>104.9128952026367</v>
      </c>
      <c r="H4857" s="6">
        <f>P4826</f>
        <v/>
      </c>
      <c r="I4857" s="9">
        <f>Q4826</f>
        <v/>
      </c>
      <c r="J4857" s="7">
        <f>I4857*G4857</f>
        <v/>
      </c>
      <c r="K4857" s="8">
        <f>IF($J$4868=0,0,J4857/$J$4868)</f>
        <v/>
      </c>
      <c r="L4857" s="6" t="inlineStr">
        <is>
          <t>REJECTED</t>
        </is>
      </c>
      <c r="M4857" s="8" t="n">
        <v>0</v>
      </c>
      <c r="N4857" s="7">
        <f>M4857*$J$4868-J4857</f>
        <v/>
      </c>
      <c r="O4857" s="9">
        <f>IF(G4857=0,0,N4857/G4857)</f>
        <v/>
      </c>
      <c r="P4857" s="6">
        <f>IF(M4857&gt;0,D4857,"")</f>
        <v/>
      </c>
      <c r="Q4857" s="9">
        <f>I4857+O4857</f>
        <v/>
      </c>
      <c r="R4857" s="7">
        <f>Q4857*G4857</f>
        <v/>
      </c>
      <c r="S4857" s="8">
        <f>IF($R$4868=0,0,R4857/$R$4868)</f>
        <v/>
      </c>
      <c r="T4857" s="8" t="n">
        <v>0.0004792720027617658</v>
      </c>
      <c r="U4857" s="8" t="n">
        <v>-0.006981027327532141</v>
      </c>
      <c r="V4857" s="6" t="inlineStr">
        <is>
          <t>not selected</t>
        </is>
      </c>
    </row>
    <row r="4858">
      <c r="A4858" s="6" t="inlineStr">
        <is>
          <t>DJ30</t>
        </is>
      </c>
      <c r="B4858" s="6" t="inlineStr">
        <is>
          <t>2026-01-02</t>
        </is>
      </c>
      <c r="C4858" s="6" t="inlineStr">
        <is>
          <t>DIA</t>
        </is>
      </c>
      <c r="D4858" s="6" t="inlineStr">
        <is>
          <t>MSFT</t>
        </is>
      </c>
      <c r="E4858" s="6" t="inlineStr">
        <is>
          <t>MSFT</t>
        </is>
      </c>
      <c r="F4858" s="6" t="inlineStr">
        <is>
          <t>-</t>
        </is>
      </c>
      <c r="G4858" s="7" t="n">
        <v>470.8432006835938</v>
      </c>
      <c r="H4858" s="6">
        <f>P4827</f>
        <v/>
      </c>
      <c r="I4858" s="9">
        <f>Q4827</f>
        <v/>
      </c>
      <c r="J4858" s="7">
        <f>I4858*G4858</f>
        <v/>
      </c>
      <c r="K4858" s="8">
        <f>IF($J$4868=0,0,J4858/$J$4868)</f>
        <v/>
      </c>
      <c r="L4858" s="6" t="inlineStr">
        <is>
          <t>WATCHLIST</t>
        </is>
      </c>
      <c r="M4858" s="8" t="n">
        <v>0</v>
      </c>
      <c r="N4858" s="7">
        <f>M4858*$J$4868-J4858</f>
        <v/>
      </c>
      <c r="O4858" s="9">
        <f>IF(G4858=0,0,N4858/G4858)</f>
        <v/>
      </c>
      <c r="P4858" s="6">
        <f>IF(M4858&gt;0,D4858,"")</f>
        <v/>
      </c>
      <c r="Q4858" s="9">
        <f>I4858+O4858</f>
        <v/>
      </c>
      <c r="R4858" s="7">
        <f>Q4858*G4858</f>
        <v/>
      </c>
      <c r="S4858" s="8">
        <f>IF($R$4868=0,0,R4858/$R$4868)</f>
        <v/>
      </c>
      <c r="T4858" s="8" t="n">
        <v>0.0004792720027617658</v>
      </c>
      <c r="U4858" s="8" t="n">
        <v>-0.006981027327532141</v>
      </c>
      <c r="V4858" s="6" t="inlineStr">
        <is>
          <t>not selected</t>
        </is>
      </c>
    </row>
    <row r="4859">
      <c r="A4859" s="6" t="inlineStr">
        <is>
          <t>DJ30</t>
        </is>
      </c>
      <c r="B4859" s="6" t="inlineStr">
        <is>
          <t>2026-01-02</t>
        </is>
      </c>
      <c r="C4859" s="6" t="inlineStr">
        <is>
          <t>DIA</t>
        </is>
      </c>
      <c r="D4859" s="6" t="inlineStr">
        <is>
          <t>NKE</t>
        </is>
      </c>
      <c r="E4859" s="6" t="inlineStr">
        <is>
          <t>NKE</t>
        </is>
      </c>
      <c r="F4859" s="6" t="inlineStr">
        <is>
          <t>-</t>
        </is>
      </c>
      <c r="G4859" s="7" t="n">
        <v>62.30523681640625</v>
      </c>
      <c r="H4859" s="6">
        <f>P4828</f>
        <v/>
      </c>
      <c r="I4859" s="9">
        <f>Q4828</f>
        <v/>
      </c>
      <c r="J4859" s="7">
        <f>I4859*G4859</f>
        <v/>
      </c>
      <c r="K4859" s="8">
        <f>IF($J$4868=0,0,J4859/$J$4868)</f>
        <v/>
      </c>
      <c r="L4859" s="6" t="inlineStr">
        <is>
          <t>REJECTED</t>
        </is>
      </c>
      <c r="M4859" s="8" t="n">
        <v>0</v>
      </c>
      <c r="N4859" s="7">
        <f>M4859*$J$4868-J4859</f>
        <v/>
      </c>
      <c r="O4859" s="9">
        <f>IF(G4859=0,0,N4859/G4859)</f>
        <v/>
      </c>
      <c r="P4859" s="6">
        <f>IF(M4859&gt;0,D4859,"")</f>
        <v/>
      </c>
      <c r="Q4859" s="9">
        <f>I4859+O4859</f>
        <v/>
      </c>
      <c r="R4859" s="7">
        <f>Q4859*G4859</f>
        <v/>
      </c>
      <c r="S4859" s="8">
        <f>IF($R$4868=0,0,R4859/$R$4868)</f>
        <v/>
      </c>
      <c r="T4859" s="8" t="n">
        <v>0.0004792720027617658</v>
      </c>
      <c r="U4859" s="8" t="n">
        <v>-0.006981027327532141</v>
      </c>
      <c r="V4859" s="6" t="inlineStr">
        <is>
          <t>not selected</t>
        </is>
      </c>
    </row>
    <row r="4860">
      <c r="A4860" s="6" t="inlineStr">
        <is>
          <t>DJ30</t>
        </is>
      </c>
      <c r="B4860" s="6" t="inlineStr">
        <is>
          <t>2026-01-02</t>
        </is>
      </c>
      <c r="C4860" s="6" t="inlineStr">
        <is>
          <t>DIA</t>
        </is>
      </c>
      <c r="D4860" s="6" t="inlineStr">
        <is>
          <t>NVDA</t>
        </is>
      </c>
      <c r="E4860" s="6" t="inlineStr">
        <is>
          <t>NVDA</t>
        </is>
      </c>
      <c r="F4860" s="6" t="inlineStr">
        <is>
          <t>-</t>
        </is>
      </c>
      <c r="G4860" s="7" t="n">
        <v>188.6199493408203</v>
      </c>
      <c r="H4860" s="6">
        <f>P4829</f>
        <v/>
      </c>
      <c r="I4860" s="9">
        <f>Q4829</f>
        <v/>
      </c>
      <c r="J4860" s="7">
        <f>I4860*G4860</f>
        <v/>
      </c>
      <c r="K4860" s="8">
        <f>IF($J$4868=0,0,J4860/$J$4868)</f>
        <v/>
      </c>
      <c r="L4860" s="6" t="inlineStr">
        <is>
          <t>SELECTED</t>
        </is>
      </c>
      <c r="M4860" s="8" t="n">
        <v>0.2</v>
      </c>
      <c r="N4860" s="7">
        <f>M4860*$J$4868-J4860</f>
        <v/>
      </c>
      <c r="O4860" s="9">
        <f>IF(G4860=0,0,N4860/G4860)</f>
        <v/>
      </c>
      <c r="P4860" s="6">
        <f>IF(M4860&gt;0,D4860,"")</f>
        <v/>
      </c>
      <c r="Q4860" s="9">
        <f>I4860+O4860</f>
        <v/>
      </c>
      <c r="R4860" s="7">
        <f>Q4860*G4860</f>
        <v/>
      </c>
      <c r="S4860" s="8">
        <f>IF($R$4868=0,0,R4860/$R$4868)</f>
        <v/>
      </c>
      <c r="T4860" s="8" t="n">
        <v>0.0004792720027617658</v>
      </c>
      <c r="U4860" s="8" t="n">
        <v>-0.006981027327532141</v>
      </c>
      <c r="V4860" s="6" t="inlineStr">
        <is>
          <t>remained in weekly selection</t>
        </is>
      </c>
    </row>
    <row r="4861">
      <c r="A4861" s="6" t="inlineStr">
        <is>
          <t>DJ30</t>
        </is>
      </c>
      <c r="B4861" s="6" t="inlineStr">
        <is>
          <t>2026-01-02</t>
        </is>
      </c>
      <c r="C4861" s="6" t="inlineStr">
        <is>
          <t>DIA</t>
        </is>
      </c>
      <c r="D4861" s="6" t="inlineStr">
        <is>
          <t>PG</t>
        </is>
      </c>
      <c r="E4861" s="6" t="inlineStr">
        <is>
          <t>PG</t>
        </is>
      </c>
      <c r="F4861" s="6" t="inlineStr">
        <is>
          <t>-</t>
        </is>
      </c>
      <c r="G4861" s="7" t="n">
        <v>139.7381439208984</v>
      </c>
      <c r="H4861" s="6">
        <f>P4830</f>
        <v/>
      </c>
      <c r="I4861" s="9">
        <f>Q4830</f>
        <v/>
      </c>
      <c r="J4861" s="7">
        <f>I4861*G4861</f>
        <v/>
      </c>
      <c r="K4861" s="8">
        <f>IF($J$4868=0,0,J4861/$J$4868)</f>
        <v/>
      </c>
      <c r="L4861" s="6" t="inlineStr">
        <is>
          <t>REJECTED</t>
        </is>
      </c>
      <c r="M4861" s="8" t="n">
        <v>0</v>
      </c>
      <c r="N4861" s="7">
        <f>M4861*$J$4868-J4861</f>
        <v/>
      </c>
      <c r="O4861" s="9">
        <f>IF(G4861=0,0,N4861/G4861)</f>
        <v/>
      </c>
      <c r="P4861" s="6">
        <f>IF(M4861&gt;0,D4861,"")</f>
        <v/>
      </c>
      <c r="Q4861" s="9">
        <f>I4861+O4861</f>
        <v/>
      </c>
      <c r="R4861" s="7">
        <f>Q4861*G4861</f>
        <v/>
      </c>
      <c r="S4861" s="8">
        <f>IF($R$4868=0,0,R4861/$R$4868)</f>
        <v/>
      </c>
      <c r="T4861" s="8" t="n">
        <v>0.0004792720027617658</v>
      </c>
      <c r="U4861" s="8" t="n">
        <v>-0.006981027327532141</v>
      </c>
      <c r="V4861" s="6" t="inlineStr">
        <is>
          <t>not selected</t>
        </is>
      </c>
    </row>
    <row r="4862">
      <c r="A4862" s="6" t="inlineStr">
        <is>
          <t>DJ30</t>
        </is>
      </c>
      <c r="B4862" s="6" t="inlineStr">
        <is>
          <t>2026-01-02</t>
        </is>
      </c>
      <c r="C4862" s="6" t="inlineStr">
        <is>
          <t>DIA</t>
        </is>
      </c>
      <c r="D4862" s="6" t="inlineStr">
        <is>
          <t>SHW</t>
        </is>
      </c>
      <c r="E4862" s="6" t="inlineStr">
        <is>
          <t>SHW</t>
        </is>
      </c>
      <c r="F4862" s="6" t="inlineStr">
        <is>
          <t>-</t>
        </is>
      </c>
      <c r="G4862" s="7" t="n">
        <v>326.2706909179688</v>
      </c>
      <c r="H4862" s="6">
        <f>P4831</f>
        <v/>
      </c>
      <c r="I4862" s="9">
        <f>Q4831</f>
        <v/>
      </c>
      <c r="J4862" s="7">
        <f>I4862*G4862</f>
        <v/>
      </c>
      <c r="K4862" s="8">
        <f>IF($J$4868=0,0,J4862/$J$4868)</f>
        <v/>
      </c>
      <c r="L4862" s="6" t="inlineStr">
        <is>
          <t>REJECTED</t>
        </is>
      </c>
      <c r="M4862" s="8" t="n">
        <v>0</v>
      </c>
      <c r="N4862" s="7">
        <f>M4862*$J$4868-J4862</f>
        <v/>
      </c>
      <c r="O4862" s="9">
        <f>IF(G4862=0,0,N4862/G4862)</f>
        <v/>
      </c>
      <c r="P4862" s="6">
        <f>IF(M4862&gt;0,D4862,"")</f>
        <v/>
      </c>
      <c r="Q4862" s="9">
        <f>I4862+O4862</f>
        <v/>
      </c>
      <c r="R4862" s="7">
        <f>Q4862*G4862</f>
        <v/>
      </c>
      <c r="S4862" s="8">
        <f>IF($R$4868=0,0,R4862/$R$4868)</f>
        <v/>
      </c>
      <c r="T4862" s="8" t="n">
        <v>0.0004792720027617658</v>
      </c>
      <c r="U4862" s="8" t="n">
        <v>-0.006981027327532141</v>
      </c>
      <c r="V4862" s="6" t="inlineStr">
        <is>
          <t>not selected</t>
        </is>
      </c>
    </row>
    <row r="4863">
      <c r="A4863" s="6" t="inlineStr">
        <is>
          <t>DJ30</t>
        </is>
      </c>
      <c r="B4863" s="6" t="inlineStr">
        <is>
          <t>2026-01-02</t>
        </is>
      </c>
      <c r="C4863" s="6" t="inlineStr">
        <is>
          <t>DIA</t>
        </is>
      </c>
      <c r="D4863" s="6" t="inlineStr">
        <is>
          <t>TRV</t>
        </is>
      </c>
      <c r="E4863" s="6" t="inlineStr">
        <is>
          <t>TRV</t>
        </is>
      </c>
      <c r="F4863" s="6" t="inlineStr">
        <is>
          <t>-</t>
        </is>
      </c>
      <c r="G4863" s="7" t="n">
        <v>282.9723205566406</v>
      </c>
      <c r="H4863" s="6">
        <f>P4832</f>
        <v/>
      </c>
      <c r="I4863" s="9">
        <f>Q4832</f>
        <v/>
      </c>
      <c r="J4863" s="7">
        <f>I4863*G4863</f>
        <v/>
      </c>
      <c r="K4863" s="8">
        <f>IF($J$4868=0,0,J4863/$J$4868)</f>
        <v/>
      </c>
      <c r="L4863" s="6" t="inlineStr">
        <is>
          <t>WATCHLIST</t>
        </is>
      </c>
      <c r="M4863" s="8" t="n">
        <v>0</v>
      </c>
      <c r="N4863" s="7">
        <f>M4863*$J$4868-J4863</f>
        <v/>
      </c>
      <c r="O4863" s="9">
        <f>IF(G4863=0,0,N4863/G4863)</f>
        <v/>
      </c>
      <c r="P4863" s="6">
        <f>IF(M4863&gt;0,D4863,"")</f>
        <v/>
      </c>
      <c r="Q4863" s="9">
        <f>I4863+O4863</f>
        <v/>
      </c>
      <c r="R4863" s="7">
        <f>Q4863*G4863</f>
        <v/>
      </c>
      <c r="S4863" s="8">
        <f>IF($R$4868=0,0,R4863/$R$4868)</f>
        <v/>
      </c>
      <c r="T4863" s="8" t="n">
        <v>0.0004792720027617658</v>
      </c>
      <c r="U4863" s="8" t="n">
        <v>-0.006981027327532141</v>
      </c>
      <c r="V4863" s="6" t="inlineStr">
        <is>
          <t>not selected</t>
        </is>
      </c>
    </row>
    <row r="4864">
      <c r="A4864" s="6" t="inlineStr">
        <is>
          <t>DJ30</t>
        </is>
      </c>
      <c r="B4864" s="6" t="inlineStr">
        <is>
          <t>2026-01-02</t>
        </is>
      </c>
      <c r="C4864" s="6" t="inlineStr">
        <is>
          <t>DIA</t>
        </is>
      </c>
      <c r="D4864" s="6" t="inlineStr">
        <is>
          <t>UNH</t>
        </is>
      </c>
      <c r="E4864" s="6" t="inlineStr">
        <is>
          <t>UNH</t>
        </is>
      </c>
      <c r="F4864" s="6" t="inlineStr">
        <is>
          <t>-</t>
        </is>
      </c>
      <c r="G4864" s="7" t="n">
        <v>331.9092102050781</v>
      </c>
      <c r="H4864" s="6">
        <f>P4833</f>
        <v/>
      </c>
      <c r="I4864" s="9">
        <f>Q4833</f>
        <v/>
      </c>
      <c r="J4864" s="7">
        <f>I4864*G4864</f>
        <v/>
      </c>
      <c r="K4864" s="8">
        <f>IF($J$4868=0,0,J4864/$J$4868)</f>
        <v/>
      </c>
      <c r="L4864" s="6" t="inlineStr">
        <is>
          <t>REJECTED</t>
        </is>
      </c>
      <c r="M4864" s="8" t="n">
        <v>0</v>
      </c>
      <c r="N4864" s="7">
        <f>M4864*$J$4868-J4864</f>
        <v/>
      </c>
      <c r="O4864" s="9">
        <f>IF(G4864=0,0,N4864/G4864)</f>
        <v/>
      </c>
      <c r="P4864" s="6">
        <f>IF(M4864&gt;0,D4864,"")</f>
        <v/>
      </c>
      <c r="Q4864" s="9">
        <f>I4864+O4864</f>
        <v/>
      </c>
      <c r="R4864" s="7">
        <f>Q4864*G4864</f>
        <v/>
      </c>
      <c r="S4864" s="8">
        <f>IF($R$4868=0,0,R4864/$R$4868)</f>
        <v/>
      </c>
      <c r="T4864" s="8" t="n">
        <v>0.0004792720027617658</v>
      </c>
      <c r="U4864" s="8" t="n">
        <v>-0.006981027327532141</v>
      </c>
      <c r="V4864" s="6" t="inlineStr">
        <is>
          <t>not selected</t>
        </is>
      </c>
    </row>
    <row r="4865">
      <c r="A4865" s="6" t="inlineStr">
        <is>
          <t>DJ30</t>
        </is>
      </c>
      <c r="B4865" s="6" t="inlineStr">
        <is>
          <t>2026-01-02</t>
        </is>
      </c>
      <c r="C4865" s="6" t="inlineStr">
        <is>
          <t>DIA</t>
        </is>
      </c>
      <c r="D4865" s="6" t="inlineStr">
        <is>
          <t>V</t>
        </is>
      </c>
      <c r="E4865" s="6" t="inlineStr">
        <is>
          <t>V</t>
        </is>
      </c>
      <c r="F4865" s="6" t="inlineStr">
        <is>
          <t>-</t>
        </is>
      </c>
      <c r="G4865" s="7" t="n">
        <v>345.0516967773437</v>
      </c>
      <c r="H4865" s="6">
        <f>P4834</f>
        <v/>
      </c>
      <c r="I4865" s="9">
        <f>Q4834</f>
        <v/>
      </c>
      <c r="J4865" s="7">
        <f>I4865*G4865</f>
        <v/>
      </c>
      <c r="K4865" s="8">
        <f>IF($J$4868=0,0,J4865/$J$4868)</f>
        <v/>
      </c>
      <c r="L4865" s="6" t="inlineStr">
        <is>
          <t>REJECTED</t>
        </is>
      </c>
      <c r="M4865" s="8" t="n">
        <v>0</v>
      </c>
      <c r="N4865" s="7">
        <f>M4865*$J$4868-J4865</f>
        <v/>
      </c>
      <c r="O4865" s="9">
        <f>IF(G4865=0,0,N4865/G4865)</f>
        <v/>
      </c>
      <c r="P4865" s="6">
        <f>IF(M4865&gt;0,D4865,"")</f>
        <v/>
      </c>
      <c r="Q4865" s="9">
        <f>I4865+O4865</f>
        <v/>
      </c>
      <c r="R4865" s="7">
        <f>Q4865*G4865</f>
        <v/>
      </c>
      <c r="S4865" s="8">
        <f>IF($R$4868=0,0,R4865/$R$4868)</f>
        <v/>
      </c>
      <c r="T4865" s="8" t="n">
        <v>0.0004792720027617658</v>
      </c>
      <c r="U4865" s="8" t="n">
        <v>-0.006981027327532141</v>
      </c>
      <c r="V4865" s="6" t="inlineStr">
        <is>
          <t>not selected</t>
        </is>
      </c>
    </row>
    <row r="4866">
      <c r="A4866" s="6" t="inlineStr">
        <is>
          <t>DJ30</t>
        </is>
      </c>
      <c r="B4866" s="6" t="inlineStr">
        <is>
          <t>2026-01-02</t>
        </is>
      </c>
      <c r="C4866" s="6" t="inlineStr">
        <is>
          <t>DIA</t>
        </is>
      </c>
      <c r="D4866" s="6" t="inlineStr">
        <is>
          <t>VZ</t>
        </is>
      </c>
      <c r="E4866" s="6" t="inlineStr">
        <is>
          <t>VZ</t>
        </is>
      </c>
      <c r="F4866" s="6" t="inlineStr">
        <is>
          <t>-</t>
        </is>
      </c>
      <c r="G4866" s="7" t="n">
        <v>39.2387924194336</v>
      </c>
      <c r="H4866" s="6">
        <f>P4835</f>
        <v/>
      </c>
      <c r="I4866" s="9">
        <f>Q4835</f>
        <v/>
      </c>
      <c r="J4866" s="7">
        <f>I4866*G4866</f>
        <v/>
      </c>
      <c r="K4866" s="8">
        <f>IF($J$4868=0,0,J4866/$J$4868)</f>
        <v/>
      </c>
      <c r="L4866" s="6" t="inlineStr">
        <is>
          <t>REJECTED</t>
        </is>
      </c>
      <c r="M4866" s="8" t="n">
        <v>0</v>
      </c>
      <c r="N4866" s="7">
        <f>M4866*$J$4868-J4866</f>
        <v/>
      </c>
      <c r="O4866" s="9">
        <f>IF(G4866=0,0,N4866/G4866)</f>
        <v/>
      </c>
      <c r="P4866" s="6">
        <f>IF(M4866&gt;0,D4866,"")</f>
        <v/>
      </c>
      <c r="Q4866" s="9">
        <f>I4866+O4866</f>
        <v/>
      </c>
      <c r="R4866" s="7">
        <f>Q4866*G4866</f>
        <v/>
      </c>
      <c r="S4866" s="8">
        <f>IF($R$4868=0,0,R4866/$R$4868)</f>
        <v/>
      </c>
      <c r="T4866" s="8" t="n">
        <v>0.0004792720027617658</v>
      </c>
      <c r="U4866" s="8" t="n">
        <v>-0.006981027327532141</v>
      </c>
      <c r="V4866" s="6" t="inlineStr">
        <is>
          <t>not selected</t>
        </is>
      </c>
    </row>
    <row r="4867">
      <c r="A4867" s="6" t="inlineStr">
        <is>
          <t>DJ30</t>
        </is>
      </c>
      <c r="B4867" s="6" t="inlineStr">
        <is>
          <t>2026-01-02</t>
        </is>
      </c>
      <c r="C4867" s="6" t="inlineStr">
        <is>
          <t>DIA</t>
        </is>
      </c>
      <c r="D4867" s="6" t="inlineStr">
        <is>
          <t>WMT</t>
        </is>
      </c>
      <c r="E4867" s="6" t="inlineStr">
        <is>
          <t>WMT</t>
        </is>
      </c>
      <c r="F4867" s="6" t="inlineStr">
        <is>
          <t>-</t>
        </is>
      </c>
      <c r="G4867" s="7" t="n">
        <v>112.3147201538086</v>
      </c>
      <c r="H4867" s="6">
        <f>P4836</f>
        <v/>
      </c>
      <c r="I4867" s="9">
        <f>Q4836</f>
        <v/>
      </c>
      <c r="J4867" s="7">
        <f>I4867*G4867</f>
        <v/>
      </c>
      <c r="K4867" s="8">
        <f>IF($J$4868=0,0,J4867/$J$4868)</f>
        <v/>
      </c>
      <c r="L4867" s="6" t="inlineStr">
        <is>
          <t>WATCHLIST</t>
        </is>
      </c>
      <c r="M4867" s="8" t="n">
        <v>0</v>
      </c>
      <c r="N4867" s="7">
        <f>M4867*$J$4868-J4867</f>
        <v/>
      </c>
      <c r="O4867" s="9">
        <f>IF(G4867=0,0,N4867/G4867)</f>
        <v/>
      </c>
      <c r="P4867" s="6">
        <f>IF(M4867&gt;0,D4867,"")</f>
        <v/>
      </c>
      <c r="Q4867" s="9">
        <f>I4867+O4867</f>
        <v/>
      </c>
      <c r="R4867" s="7">
        <f>Q4867*G4867</f>
        <v/>
      </c>
      <c r="S4867" s="8">
        <f>IF($R$4868=0,0,R4867/$R$4868)</f>
        <v/>
      </c>
      <c r="T4867" s="8" t="n">
        <v>0.0004792720027617658</v>
      </c>
      <c r="U4867" s="8" t="n">
        <v>-0.006981027327532141</v>
      </c>
      <c r="V4867" s="6" t="inlineStr">
        <is>
          <t>not selected</t>
        </is>
      </c>
    </row>
    <row r="4868">
      <c r="A4868" s="10" t="inlineStr">
        <is>
          <t>DJ30</t>
        </is>
      </c>
      <c r="B4868" s="10" t="inlineStr">
        <is>
          <t>2026-01-02</t>
        </is>
      </c>
      <c r="C4868" s="10" t="inlineStr">
        <is>
          <t>DIA</t>
        </is>
      </c>
      <c r="D4868" s="10" t="inlineStr">
        <is>
          <t>Tot Portfolio</t>
        </is>
      </c>
      <c r="E4868" s="10" t="inlineStr"/>
      <c r="F4868" s="10" t="inlineStr"/>
      <c r="G4868" s="11" t="inlineStr"/>
      <c r="H4868" s="10" t="inlineStr"/>
      <c r="I4868" s="12" t="inlineStr"/>
      <c r="J4868" s="11">
        <f>SUM(J4838:J4867)</f>
        <v/>
      </c>
      <c r="K4868" s="13">
        <f>SUM(K4838:K4867)</f>
        <v/>
      </c>
      <c r="L4868" s="10" t="inlineStr">
        <is>
          <t>TOTAL</t>
        </is>
      </c>
      <c r="M4868" s="13">
        <f>SUM(M4838:M4867)</f>
        <v/>
      </c>
      <c r="N4868" s="11">
        <f>SUM(N4838:N4867)</f>
        <v/>
      </c>
      <c r="O4868" s="12">
        <f>SUM(O4838:O4867)</f>
        <v/>
      </c>
      <c r="P4868" s="10" t="inlineStr"/>
      <c r="Q4868" s="12" t="inlineStr"/>
      <c r="R4868" s="11">
        <f>SUM(R4838:R4867)</f>
        <v/>
      </c>
      <c r="S4868" s="13">
        <f>SUM(S4838:S4867)</f>
        <v/>
      </c>
      <c r="T4868" s="13" t="n">
        <v>0.0004792720027617658</v>
      </c>
      <c r="U4868" s="13" t="n">
        <v>-0.006981027327532141</v>
      </c>
      <c r="V4868" s="10" t="inlineStr"/>
    </row>
    <row r="4869">
      <c r="A4869" s="6" t="inlineStr">
        <is>
          <t>DJ30</t>
        </is>
      </c>
      <c r="B4869" s="6" t="inlineStr">
        <is>
          <t>2026-01-09</t>
        </is>
      </c>
      <c r="C4869" s="6" t="inlineStr">
        <is>
          <t>DIA</t>
        </is>
      </c>
      <c r="D4869" s="6" t="inlineStr">
        <is>
          <t>AAPL</t>
        </is>
      </c>
      <c r="E4869" s="6" t="inlineStr">
        <is>
          <t>AAPL</t>
        </is>
      </c>
      <c r="F4869" s="6" t="inlineStr">
        <is>
          <t>-</t>
        </is>
      </c>
      <c r="G4869" s="7" t="n">
        <v>258.8890075683594</v>
      </c>
      <c r="H4869" s="6">
        <f>P4838</f>
        <v/>
      </c>
      <c r="I4869" s="9">
        <f>Q4838</f>
        <v/>
      </c>
      <c r="J4869" s="7">
        <f>I4869*G4869</f>
        <v/>
      </c>
      <c r="K4869" s="8">
        <f>IF($J$4899=0,0,J4869/$J$4899)</f>
        <v/>
      </c>
      <c r="L4869" s="6" t="inlineStr">
        <is>
          <t>WATCHLIST</t>
        </is>
      </c>
      <c r="M4869" s="8" t="n">
        <v>0</v>
      </c>
      <c r="N4869" s="7">
        <f>M4869*$J$4899-J4869</f>
        <v/>
      </c>
      <c r="O4869" s="9">
        <f>IF(G4869=0,0,N4869/G4869)</f>
        <v/>
      </c>
      <c r="P4869" s="6">
        <f>IF(M4869&gt;0,D4869,"")</f>
        <v/>
      </c>
      <c r="Q4869" s="9">
        <f>I4869+O4869</f>
        <v/>
      </c>
      <c r="R4869" s="7">
        <f>Q4869*G4869</f>
        <v/>
      </c>
      <c r="S4869" s="8">
        <f>IF($R$4899=0,0,R4869/$R$4899)</f>
        <v/>
      </c>
      <c r="T4869" s="8" t="n">
        <v>-0.0009518410612324724</v>
      </c>
      <c r="U4869" s="8" t="n">
        <v>0.02355106047255595</v>
      </c>
      <c r="V4869" s="6" t="inlineStr">
        <is>
          <t>not selected</t>
        </is>
      </c>
    </row>
    <row r="4870">
      <c r="A4870" s="6" t="inlineStr">
        <is>
          <t>DJ30</t>
        </is>
      </c>
      <c r="B4870" s="6" t="inlineStr">
        <is>
          <t>2026-01-09</t>
        </is>
      </c>
      <c r="C4870" s="6" t="inlineStr">
        <is>
          <t>DIA</t>
        </is>
      </c>
      <c r="D4870" s="6" t="inlineStr">
        <is>
          <t>AMGN</t>
        </is>
      </c>
      <c r="E4870" s="6" t="inlineStr">
        <is>
          <t>AMGN</t>
        </is>
      </c>
      <c r="F4870" s="6" t="inlineStr">
        <is>
          <t>-</t>
        </is>
      </c>
      <c r="G4870" s="7" t="n">
        <v>321.4287109375</v>
      </c>
      <c r="H4870" s="6">
        <f>P4839</f>
        <v/>
      </c>
      <c r="I4870" s="9">
        <f>Q4839</f>
        <v/>
      </c>
      <c r="J4870" s="7">
        <f>I4870*G4870</f>
        <v/>
      </c>
      <c r="K4870" s="8">
        <f>IF($J$4899=0,0,J4870/$J$4899)</f>
        <v/>
      </c>
      <c r="L4870" s="6" t="inlineStr">
        <is>
          <t>WATCHLIST</t>
        </is>
      </c>
      <c r="M4870" s="8" t="n">
        <v>0</v>
      </c>
      <c r="N4870" s="7">
        <f>M4870*$J$4899-J4870</f>
        <v/>
      </c>
      <c r="O4870" s="9">
        <f>IF(G4870=0,0,N4870/G4870)</f>
        <v/>
      </c>
      <c r="P4870" s="6">
        <f>IF(M4870&gt;0,D4870,"")</f>
        <v/>
      </c>
      <c r="Q4870" s="9">
        <f>I4870+O4870</f>
        <v/>
      </c>
      <c r="R4870" s="7">
        <f>Q4870*G4870</f>
        <v/>
      </c>
      <c r="S4870" s="8">
        <f>IF($R$4899=0,0,R4870/$R$4899)</f>
        <v/>
      </c>
      <c r="T4870" s="8" t="n">
        <v>-0.0009518410612324724</v>
      </c>
      <c r="U4870" s="8" t="n">
        <v>0.02355106047255595</v>
      </c>
      <c r="V4870" s="6" t="inlineStr">
        <is>
          <t>not selected</t>
        </is>
      </c>
    </row>
    <row r="4871">
      <c r="A4871" s="6" t="inlineStr">
        <is>
          <t>DJ30</t>
        </is>
      </c>
      <c r="B4871" s="6" t="inlineStr">
        <is>
          <t>2026-01-09</t>
        </is>
      </c>
      <c r="C4871" s="6" t="inlineStr">
        <is>
          <t>DIA</t>
        </is>
      </c>
      <c r="D4871" s="6" t="inlineStr">
        <is>
          <t>AMZN</t>
        </is>
      </c>
      <c r="E4871" s="6" t="inlineStr">
        <is>
          <t>AMZN</t>
        </is>
      </c>
      <c r="F4871" s="6" t="inlineStr">
        <is>
          <t>-</t>
        </is>
      </c>
      <c r="G4871" s="7" t="n">
        <v>247.3800048828125</v>
      </c>
      <c r="H4871" s="6">
        <f>P4840</f>
        <v/>
      </c>
      <c r="I4871" s="9">
        <f>Q4840</f>
        <v/>
      </c>
      <c r="J4871" s="7">
        <f>I4871*G4871</f>
        <v/>
      </c>
      <c r="K4871" s="8">
        <f>IF($J$4899=0,0,J4871/$J$4899)</f>
        <v/>
      </c>
      <c r="L4871" s="6" t="inlineStr">
        <is>
          <t>REJECTED</t>
        </is>
      </c>
      <c r="M4871" s="8" t="n">
        <v>0</v>
      </c>
      <c r="N4871" s="7">
        <f>M4871*$J$4899-J4871</f>
        <v/>
      </c>
      <c r="O4871" s="9">
        <f>IF(G4871=0,0,N4871/G4871)</f>
        <v/>
      </c>
      <c r="P4871" s="6">
        <f>IF(M4871&gt;0,D4871,"")</f>
        <v/>
      </c>
      <c r="Q4871" s="9">
        <f>I4871+O4871</f>
        <v/>
      </c>
      <c r="R4871" s="7">
        <f>Q4871*G4871</f>
        <v/>
      </c>
      <c r="S4871" s="8">
        <f>IF($R$4899=0,0,R4871/$R$4899)</f>
        <v/>
      </c>
      <c r="T4871" s="8" t="n">
        <v>-0.0009518410612324724</v>
      </c>
      <c r="U4871" s="8" t="n">
        <v>0.02355106047255595</v>
      </c>
      <c r="V4871" s="6" t="inlineStr">
        <is>
          <t>not selected</t>
        </is>
      </c>
    </row>
    <row r="4872">
      <c r="A4872" s="6" t="inlineStr">
        <is>
          <t>DJ30</t>
        </is>
      </c>
      <c r="B4872" s="6" t="inlineStr">
        <is>
          <t>2026-01-09</t>
        </is>
      </c>
      <c r="C4872" s="6" t="inlineStr">
        <is>
          <t>DIA</t>
        </is>
      </c>
      <c r="D4872" s="6" t="inlineStr">
        <is>
          <t>AXP</t>
        </is>
      </c>
      <c r="E4872" s="6" t="inlineStr">
        <is>
          <t>AXP</t>
        </is>
      </c>
      <c r="F4872" s="6" t="inlineStr">
        <is>
          <t>-</t>
        </is>
      </c>
      <c r="G4872" s="7" t="n">
        <v>374.42626953125</v>
      </c>
      <c r="H4872" s="6">
        <f>P4841</f>
        <v/>
      </c>
      <c r="I4872" s="9">
        <f>Q4841</f>
        <v/>
      </c>
      <c r="J4872" s="7">
        <f>I4872*G4872</f>
        <v/>
      </c>
      <c r="K4872" s="8">
        <f>IF($J$4899=0,0,J4872/$J$4899)</f>
        <v/>
      </c>
      <c r="L4872" s="6" t="inlineStr">
        <is>
          <t>WATCHLIST</t>
        </is>
      </c>
      <c r="M4872" s="8" t="n">
        <v>0</v>
      </c>
      <c r="N4872" s="7">
        <f>M4872*$J$4899-J4872</f>
        <v/>
      </c>
      <c r="O4872" s="9">
        <f>IF(G4872=0,0,N4872/G4872)</f>
        <v/>
      </c>
      <c r="P4872" s="6">
        <f>IF(M4872&gt;0,D4872,"")</f>
        <v/>
      </c>
      <c r="Q4872" s="9">
        <f>I4872+O4872</f>
        <v/>
      </c>
      <c r="R4872" s="7">
        <f>Q4872*G4872</f>
        <v/>
      </c>
      <c r="S4872" s="8">
        <f>IF($R$4899=0,0,R4872/$R$4899)</f>
        <v/>
      </c>
      <c r="T4872" s="8" t="n">
        <v>-0.0009518410612324724</v>
      </c>
      <c r="U4872" s="8" t="n">
        <v>0.02355106047255595</v>
      </c>
      <c r="V4872" s="6" t="inlineStr">
        <is>
          <t>not selected</t>
        </is>
      </c>
    </row>
    <row r="4873">
      <c r="A4873" s="6" t="inlineStr">
        <is>
          <t>DJ30</t>
        </is>
      </c>
      <c r="B4873" s="6" t="inlineStr">
        <is>
          <t>2026-01-09</t>
        </is>
      </c>
      <c r="C4873" s="6" t="inlineStr">
        <is>
          <t>DIA</t>
        </is>
      </c>
      <c r="D4873" s="6" t="inlineStr">
        <is>
          <t>BA</t>
        </is>
      </c>
      <c r="E4873" s="6" t="inlineStr">
        <is>
          <t>BA</t>
        </is>
      </c>
      <c r="F4873" s="6" t="inlineStr">
        <is>
          <t>-</t>
        </is>
      </c>
      <c r="G4873" s="7" t="n">
        <v>234.5299987792969</v>
      </c>
      <c r="H4873" s="6">
        <f>P4842</f>
        <v/>
      </c>
      <c r="I4873" s="9">
        <f>Q4842</f>
        <v/>
      </c>
      <c r="J4873" s="7">
        <f>I4873*G4873</f>
        <v/>
      </c>
      <c r="K4873" s="8">
        <f>IF($J$4899=0,0,J4873/$J$4899)</f>
        <v/>
      </c>
      <c r="L4873" s="6" t="inlineStr">
        <is>
          <t>WATCHLIST</t>
        </is>
      </c>
      <c r="M4873" s="8" t="n">
        <v>0</v>
      </c>
      <c r="N4873" s="7">
        <f>M4873*$J$4899-J4873</f>
        <v/>
      </c>
      <c r="O4873" s="9">
        <f>IF(G4873=0,0,N4873/G4873)</f>
        <v/>
      </c>
      <c r="P4873" s="6">
        <f>IF(M4873&gt;0,D4873,"")</f>
        <v/>
      </c>
      <c r="Q4873" s="9">
        <f>I4873+O4873</f>
        <v/>
      </c>
      <c r="R4873" s="7">
        <f>Q4873*G4873</f>
        <v/>
      </c>
      <c r="S4873" s="8">
        <f>IF($R$4899=0,0,R4873/$R$4899)</f>
        <v/>
      </c>
      <c r="T4873" s="8" t="n">
        <v>-0.0009518410612324724</v>
      </c>
      <c r="U4873" s="8" t="n">
        <v>0.02355106047255595</v>
      </c>
      <c r="V4873" s="6" t="inlineStr">
        <is>
          <t>not selected</t>
        </is>
      </c>
    </row>
    <row r="4874">
      <c r="A4874" s="6" t="inlineStr">
        <is>
          <t>DJ30</t>
        </is>
      </c>
      <c r="B4874" s="6" t="inlineStr">
        <is>
          <t>2026-01-09</t>
        </is>
      </c>
      <c r="C4874" s="6" t="inlineStr">
        <is>
          <t>DIA</t>
        </is>
      </c>
      <c r="D4874" s="6" t="inlineStr">
        <is>
          <t>CAT</t>
        </is>
      </c>
      <c r="E4874" s="6" t="inlineStr">
        <is>
          <t>CAT</t>
        </is>
      </c>
      <c r="F4874" s="6" t="inlineStr">
        <is>
          <t>-</t>
        </is>
      </c>
      <c r="G4874" s="7" t="n">
        <v>615.0075073242188</v>
      </c>
      <c r="H4874" s="6">
        <f>P4843</f>
        <v/>
      </c>
      <c r="I4874" s="9">
        <f>Q4843</f>
        <v/>
      </c>
      <c r="J4874" s="7">
        <f>I4874*G4874</f>
        <v/>
      </c>
      <c r="K4874" s="8">
        <f>IF($J$4899=0,0,J4874/$J$4899)</f>
        <v/>
      </c>
      <c r="L4874" s="6" t="inlineStr">
        <is>
          <t>SELECTED</t>
        </is>
      </c>
      <c r="M4874" s="8" t="n">
        <v>0.2</v>
      </c>
      <c r="N4874" s="7">
        <f>M4874*$J$4899-J4874</f>
        <v/>
      </c>
      <c r="O4874" s="9">
        <f>IF(G4874=0,0,N4874/G4874)</f>
        <v/>
      </c>
      <c r="P4874" s="6">
        <f>IF(M4874&gt;0,D4874,"")</f>
        <v/>
      </c>
      <c r="Q4874" s="9">
        <f>I4874+O4874</f>
        <v/>
      </c>
      <c r="R4874" s="7">
        <f>Q4874*G4874</f>
        <v/>
      </c>
      <c r="S4874" s="8">
        <f>IF($R$4899=0,0,R4874/$R$4899)</f>
        <v/>
      </c>
      <c r="T4874" s="8" t="n">
        <v>-0.0009518410612324724</v>
      </c>
      <c r="U4874" s="8" t="n">
        <v>0.02355106047255595</v>
      </c>
      <c r="V4874" s="6" t="inlineStr">
        <is>
          <t>remained in weekly selection</t>
        </is>
      </c>
    </row>
    <row r="4875">
      <c r="A4875" s="6" t="inlineStr">
        <is>
          <t>DJ30</t>
        </is>
      </c>
      <c r="B4875" s="6" t="inlineStr">
        <is>
          <t>2026-01-09</t>
        </is>
      </c>
      <c r="C4875" s="6" t="inlineStr">
        <is>
          <t>DIA</t>
        </is>
      </c>
      <c r="D4875" s="6" t="inlineStr">
        <is>
          <t>CRM</t>
        </is>
      </c>
      <c r="E4875" s="6" t="inlineStr">
        <is>
          <t>CRM</t>
        </is>
      </c>
      <c r="F4875" s="6" t="inlineStr">
        <is>
          <t>-</t>
        </is>
      </c>
      <c r="G4875" s="7" t="n">
        <v>258.6240234375</v>
      </c>
      <c r="H4875" s="6">
        <f>P4844</f>
        <v/>
      </c>
      <c r="I4875" s="9">
        <f>Q4844</f>
        <v/>
      </c>
      <c r="J4875" s="7">
        <f>I4875*G4875</f>
        <v/>
      </c>
      <c r="K4875" s="8">
        <f>IF($J$4899=0,0,J4875/$J$4899)</f>
        <v/>
      </c>
      <c r="L4875" s="6" t="inlineStr">
        <is>
          <t>REJECTED</t>
        </is>
      </c>
      <c r="M4875" s="8" t="n">
        <v>0</v>
      </c>
      <c r="N4875" s="7">
        <f>M4875*$J$4899-J4875</f>
        <v/>
      </c>
      <c r="O4875" s="9">
        <f>IF(G4875=0,0,N4875/G4875)</f>
        <v/>
      </c>
      <c r="P4875" s="6">
        <f>IF(M4875&gt;0,D4875,"")</f>
        <v/>
      </c>
      <c r="Q4875" s="9">
        <f>I4875+O4875</f>
        <v/>
      </c>
      <c r="R4875" s="7">
        <f>Q4875*G4875</f>
        <v/>
      </c>
      <c r="S4875" s="8">
        <f>IF($R$4899=0,0,R4875/$R$4899)</f>
        <v/>
      </c>
      <c r="T4875" s="8" t="n">
        <v>-0.0009518410612324724</v>
      </c>
      <c r="U4875" s="8" t="n">
        <v>0.02355106047255595</v>
      </c>
      <c r="V4875" s="6" t="inlineStr">
        <is>
          <t>not selected</t>
        </is>
      </c>
    </row>
    <row r="4876">
      <c r="A4876" s="6" t="inlineStr">
        <is>
          <t>DJ30</t>
        </is>
      </c>
      <c r="B4876" s="6" t="inlineStr">
        <is>
          <t>2026-01-09</t>
        </is>
      </c>
      <c r="C4876" s="6" t="inlineStr">
        <is>
          <t>DIA</t>
        </is>
      </c>
      <c r="D4876" s="6" t="inlineStr">
        <is>
          <t>CSCO</t>
        </is>
      </c>
      <c r="E4876" s="6" t="inlineStr">
        <is>
          <t>CSCO</t>
        </is>
      </c>
      <c r="F4876" s="6" t="inlineStr">
        <is>
          <t>-</t>
        </is>
      </c>
      <c r="G4876" s="7" t="n">
        <v>73.48182678222656</v>
      </c>
      <c r="H4876" s="6">
        <f>P4845</f>
        <v/>
      </c>
      <c r="I4876" s="9">
        <f>Q4845</f>
        <v/>
      </c>
      <c r="J4876" s="7">
        <f>I4876*G4876</f>
        <v/>
      </c>
      <c r="K4876" s="8">
        <f>IF($J$4899=0,0,J4876/$J$4899)</f>
        <v/>
      </c>
      <c r="L4876" s="6" t="inlineStr">
        <is>
          <t>SELECTED</t>
        </is>
      </c>
      <c r="M4876" s="8" t="n">
        <v>0.2</v>
      </c>
      <c r="N4876" s="7">
        <f>M4876*$J$4899-J4876</f>
        <v/>
      </c>
      <c r="O4876" s="9">
        <f>IF(G4876=0,0,N4876/G4876)</f>
        <v/>
      </c>
      <c r="P4876" s="6">
        <f>IF(M4876&gt;0,D4876,"")</f>
        <v/>
      </c>
      <c r="Q4876" s="9">
        <f>I4876+O4876</f>
        <v/>
      </c>
      <c r="R4876" s="7">
        <f>Q4876*G4876</f>
        <v/>
      </c>
      <c r="S4876" s="8">
        <f>IF($R$4899=0,0,R4876/$R$4899)</f>
        <v/>
      </c>
      <c r="T4876" s="8" t="n">
        <v>-0.0009518410612324724</v>
      </c>
      <c r="U4876" s="8" t="n">
        <v>0.02355106047255595</v>
      </c>
      <c r="V4876" s="6" t="inlineStr">
        <is>
          <t>remained in weekly selection</t>
        </is>
      </c>
    </row>
    <row r="4877">
      <c r="A4877" s="6" t="inlineStr">
        <is>
          <t>DJ30</t>
        </is>
      </c>
      <c r="B4877" s="6" t="inlineStr">
        <is>
          <t>2026-01-09</t>
        </is>
      </c>
      <c r="C4877" s="6" t="inlineStr">
        <is>
          <t>DIA</t>
        </is>
      </c>
      <c r="D4877" s="6" t="inlineStr">
        <is>
          <t>CVX</t>
        </is>
      </c>
      <c r="E4877" s="6" t="inlineStr">
        <is>
          <t>CVX</t>
        </is>
      </c>
      <c r="F4877" s="6" t="inlineStr">
        <is>
          <t>-</t>
        </is>
      </c>
      <c r="G4877" s="7" t="n">
        <v>159.0824890136719</v>
      </c>
      <c r="H4877" s="6">
        <f>P4846</f>
        <v/>
      </c>
      <c r="I4877" s="9">
        <f>Q4846</f>
        <v/>
      </c>
      <c r="J4877" s="7">
        <f>I4877*G4877</f>
        <v/>
      </c>
      <c r="K4877" s="8">
        <f>IF($J$4899=0,0,J4877/$J$4899)</f>
        <v/>
      </c>
      <c r="L4877" s="6" t="inlineStr">
        <is>
          <t>REJECTED</t>
        </is>
      </c>
      <c r="M4877" s="8" t="n">
        <v>0</v>
      </c>
      <c r="N4877" s="7">
        <f>M4877*$J$4899-J4877</f>
        <v/>
      </c>
      <c r="O4877" s="9">
        <f>IF(G4877=0,0,N4877/G4877)</f>
        <v/>
      </c>
      <c r="P4877" s="6">
        <f>IF(M4877&gt;0,D4877,"")</f>
        <v/>
      </c>
      <c r="Q4877" s="9">
        <f>I4877+O4877</f>
        <v/>
      </c>
      <c r="R4877" s="7">
        <f>Q4877*G4877</f>
        <v/>
      </c>
      <c r="S4877" s="8">
        <f>IF($R$4899=0,0,R4877/$R$4899)</f>
        <v/>
      </c>
      <c r="T4877" s="8" t="n">
        <v>-0.0009518410612324724</v>
      </c>
      <c r="U4877" s="8" t="n">
        <v>0.02355106047255595</v>
      </c>
      <c r="V4877" s="6" t="inlineStr">
        <is>
          <t>not selected</t>
        </is>
      </c>
    </row>
    <row r="4878">
      <c r="A4878" s="6" t="inlineStr">
        <is>
          <t>DJ30</t>
        </is>
      </c>
      <c r="B4878" s="6" t="inlineStr">
        <is>
          <t>2026-01-09</t>
        </is>
      </c>
      <c r="C4878" s="6" t="inlineStr">
        <is>
          <t>DIA</t>
        </is>
      </c>
      <c r="D4878" s="6" t="inlineStr">
        <is>
          <t>DIS</t>
        </is>
      </c>
      <c r="E4878" s="6" t="inlineStr">
        <is>
          <t>DIS</t>
        </is>
      </c>
      <c r="F4878" s="6" t="inlineStr">
        <is>
          <t>-</t>
        </is>
      </c>
      <c r="G4878" s="7" t="n">
        <v>115.879997253418</v>
      </c>
      <c r="H4878" s="6">
        <f>P4847</f>
        <v/>
      </c>
      <c r="I4878" s="9">
        <f>Q4847</f>
        <v/>
      </c>
      <c r="J4878" s="7">
        <f>I4878*G4878</f>
        <v/>
      </c>
      <c r="K4878" s="8">
        <f>IF($J$4899=0,0,J4878/$J$4899)</f>
        <v/>
      </c>
      <c r="L4878" s="6" t="inlineStr">
        <is>
          <t>REJECTED</t>
        </is>
      </c>
      <c r="M4878" s="8" t="n">
        <v>0</v>
      </c>
      <c r="N4878" s="7">
        <f>M4878*$J$4899-J4878</f>
        <v/>
      </c>
      <c r="O4878" s="9">
        <f>IF(G4878=0,0,N4878/G4878)</f>
        <v/>
      </c>
      <c r="P4878" s="6">
        <f>IF(M4878&gt;0,D4878,"")</f>
        <v/>
      </c>
      <c r="Q4878" s="9">
        <f>I4878+O4878</f>
        <v/>
      </c>
      <c r="R4878" s="7">
        <f>Q4878*G4878</f>
        <v/>
      </c>
      <c r="S4878" s="8">
        <f>IF($R$4899=0,0,R4878/$R$4899)</f>
        <v/>
      </c>
      <c r="T4878" s="8" t="n">
        <v>-0.0009518410612324724</v>
      </c>
      <c r="U4878" s="8" t="n">
        <v>0.02355106047255595</v>
      </c>
      <c r="V4878" s="6" t="inlineStr">
        <is>
          <t>not selected</t>
        </is>
      </c>
    </row>
    <row r="4879">
      <c r="A4879" s="6" t="inlineStr">
        <is>
          <t>DJ30</t>
        </is>
      </c>
      <c r="B4879" s="6" t="inlineStr">
        <is>
          <t>2026-01-09</t>
        </is>
      </c>
      <c r="C4879" s="6" t="inlineStr">
        <is>
          <t>DIA</t>
        </is>
      </c>
      <c r="D4879" s="6" t="inlineStr">
        <is>
          <t>GS</t>
        </is>
      </c>
      <c r="E4879" s="6" t="inlineStr">
        <is>
          <t>GS</t>
        </is>
      </c>
      <c r="F4879" s="6" t="inlineStr">
        <is>
          <t>-</t>
        </is>
      </c>
      <c r="G4879" s="7" t="n">
        <v>929.9656982421876</v>
      </c>
      <c r="H4879" s="6">
        <f>P4848</f>
        <v/>
      </c>
      <c r="I4879" s="9">
        <f>Q4848</f>
        <v/>
      </c>
      <c r="J4879" s="7">
        <f>I4879*G4879</f>
        <v/>
      </c>
      <c r="K4879" s="8">
        <f>IF($J$4899=0,0,J4879/$J$4899)</f>
        <v/>
      </c>
      <c r="L4879" s="6" t="inlineStr">
        <is>
          <t>SELECTED</t>
        </is>
      </c>
      <c r="M4879" s="8" t="n">
        <v>0.2</v>
      </c>
      <c r="N4879" s="7">
        <f>M4879*$J$4899-J4879</f>
        <v/>
      </c>
      <c r="O4879" s="9">
        <f>IF(G4879=0,0,N4879/G4879)</f>
        <v/>
      </c>
      <c r="P4879" s="6">
        <f>IF(M4879&gt;0,D4879,"")</f>
        <v/>
      </c>
      <c r="Q4879" s="9">
        <f>I4879+O4879</f>
        <v/>
      </c>
      <c r="R4879" s="7">
        <f>Q4879*G4879</f>
        <v/>
      </c>
      <c r="S4879" s="8">
        <f>IF($R$4899=0,0,R4879/$R$4899)</f>
        <v/>
      </c>
      <c r="T4879" s="8" t="n">
        <v>-0.0009518410612324724</v>
      </c>
      <c r="U4879" s="8" t="n">
        <v>0.02355106047255595</v>
      </c>
      <c r="V4879" s="6" t="inlineStr">
        <is>
          <t>remained in weekly selection</t>
        </is>
      </c>
    </row>
    <row r="4880">
      <c r="A4880" s="6" t="inlineStr">
        <is>
          <t>DJ30</t>
        </is>
      </c>
      <c r="B4880" s="6" t="inlineStr">
        <is>
          <t>2026-01-09</t>
        </is>
      </c>
      <c r="C4880" s="6" t="inlineStr">
        <is>
          <t>DIA</t>
        </is>
      </c>
      <c r="D4880" s="6" t="inlineStr">
        <is>
          <t>HD</t>
        </is>
      </c>
      <c r="E4880" s="6" t="inlineStr">
        <is>
          <t>HD</t>
        </is>
      </c>
      <c r="F4880" s="6" t="inlineStr">
        <is>
          <t>-</t>
        </is>
      </c>
      <c r="G4880" s="7" t="n">
        <v>369.38134765625</v>
      </c>
      <c r="H4880" s="6">
        <f>P4849</f>
        <v/>
      </c>
      <c r="I4880" s="9">
        <f>Q4849</f>
        <v/>
      </c>
      <c r="J4880" s="7">
        <f>I4880*G4880</f>
        <v/>
      </c>
      <c r="K4880" s="8">
        <f>IF($J$4899=0,0,J4880/$J$4899)</f>
        <v/>
      </c>
      <c r="L4880" s="6" t="inlineStr">
        <is>
          <t>REJECTED</t>
        </is>
      </c>
      <c r="M4880" s="8" t="n">
        <v>0</v>
      </c>
      <c r="N4880" s="7">
        <f>M4880*$J$4899-J4880</f>
        <v/>
      </c>
      <c r="O4880" s="9">
        <f>IF(G4880=0,0,N4880/G4880)</f>
        <v/>
      </c>
      <c r="P4880" s="6">
        <f>IF(M4880&gt;0,D4880,"")</f>
        <v/>
      </c>
      <c r="Q4880" s="9">
        <f>I4880+O4880</f>
        <v/>
      </c>
      <c r="R4880" s="7">
        <f>Q4880*G4880</f>
        <v/>
      </c>
      <c r="S4880" s="8">
        <f>IF($R$4899=0,0,R4880/$R$4899)</f>
        <v/>
      </c>
      <c r="T4880" s="8" t="n">
        <v>-0.0009518410612324724</v>
      </c>
      <c r="U4880" s="8" t="n">
        <v>0.02355106047255595</v>
      </c>
      <c r="V4880" s="6" t="inlineStr">
        <is>
          <t>not selected</t>
        </is>
      </c>
    </row>
    <row r="4881">
      <c r="A4881" s="6" t="inlineStr">
        <is>
          <t>DJ30</t>
        </is>
      </c>
      <c r="B4881" s="6" t="inlineStr">
        <is>
          <t>2026-01-09</t>
        </is>
      </c>
      <c r="C4881" s="6" t="inlineStr">
        <is>
          <t>DIA</t>
        </is>
      </c>
      <c r="D4881" s="6" t="inlineStr">
        <is>
          <t>HON</t>
        </is>
      </c>
      <c r="E4881" s="6" t="inlineStr">
        <is>
          <t>HON</t>
        </is>
      </c>
      <c r="F4881" s="6" t="inlineStr">
        <is>
          <t>-</t>
        </is>
      </c>
      <c r="G4881" s="7" t="n">
        <v>205.2276153564453</v>
      </c>
      <c r="H4881" s="6">
        <f>P4850</f>
        <v/>
      </c>
      <c r="I4881" s="9">
        <f>Q4850</f>
        <v/>
      </c>
      <c r="J4881" s="7">
        <f>I4881*G4881</f>
        <v/>
      </c>
      <c r="K4881" s="8">
        <f>IF($J$4899=0,0,J4881/$J$4899)</f>
        <v/>
      </c>
      <c r="L4881" s="6" t="inlineStr">
        <is>
          <t>REJECTED</t>
        </is>
      </c>
      <c r="M4881" s="8" t="n">
        <v>0</v>
      </c>
      <c r="N4881" s="7">
        <f>M4881*$J$4899-J4881</f>
        <v/>
      </c>
      <c r="O4881" s="9">
        <f>IF(G4881=0,0,N4881/G4881)</f>
        <v/>
      </c>
      <c r="P4881" s="6">
        <f>IF(M4881&gt;0,D4881,"")</f>
        <v/>
      </c>
      <c r="Q4881" s="9">
        <f>I4881+O4881</f>
        <v/>
      </c>
      <c r="R4881" s="7">
        <f>Q4881*G4881</f>
        <v/>
      </c>
      <c r="S4881" s="8">
        <f>IF($R$4899=0,0,R4881/$R$4899)</f>
        <v/>
      </c>
      <c r="T4881" s="8" t="n">
        <v>-0.0009518410612324724</v>
      </c>
      <c r="U4881" s="8" t="n">
        <v>0.02355106047255595</v>
      </c>
      <c r="V4881" s="6" t="inlineStr">
        <is>
          <t>not selected</t>
        </is>
      </c>
    </row>
    <row r="4882">
      <c r="A4882" s="6" t="inlineStr">
        <is>
          <t>DJ30</t>
        </is>
      </c>
      <c r="B4882" s="6" t="inlineStr">
        <is>
          <t>2026-01-09</t>
        </is>
      </c>
      <c r="C4882" s="6" t="inlineStr">
        <is>
          <t>DIA</t>
        </is>
      </c>
      <c r="D4882" s="6" t="inlineStr">
        <is>
          <t>IBM</t>
        </is>
      </c>
      <c r="E4882" s="6" t="inlineStr">
        <is>
          <t>IBM</t>
        </is>
      </c>
      <c r="F4882" s="6" t="inlineStr">
        <is>
          <t>-</t>
        </is>
      </c>
      <c r="G4882" s="7" t="n">
        <v>300.2852478027344</v>
      </c>
      <c r="H4882" s="6">
        <f>P4851</f>
        <v/>
      </c>
      <c r="I4882" s="9">
        <f>Q4851</f>
        <v/>
      </c>
      <c r="J4882" s="7">
        <f>I4882*G4882</f>
        <v/>
      </c>
      <c r="K4882" s="8">
        <f>IF($J$4899=0,0,J4882/$J$4899)</f>
        <v/>
      </c>
      <c r="L4882" s="6" t="inlineStr">
        <is>
          <t>WATCHLIST</t>
        </is>
      </c>
      <c r="M4882" s="8" t="n">
        <v>0</v>
      </c>
      <c r="N4882" s="7">
        <f>M4882*$J$4899-J4882</f>
        <v/>
      </c>
      <c r="O4882" s="9">
        <f>IF(G4882=0,0,N4882/G4882)</f>
        <v/>
      </c>
      <c r="P4882" s="6">
        <f>IF(M4882&gt;0,D4882,"")</f>
        <v/>
      </c>
      <c r="Q4882" s="9">
        <f>I4882+O4882</f>
        <v/>
      </c>
      <c r="R4882" s="7">
        <f>Q4882*G4882</f>
        <v/>
      </c>
      <c r="S4882" s="8">
        <f>IF($R$4899=0,0,R4882/$R$4899)</f>
        <v/>
      </c>
      <c r="T4882" s="8" t="n">
        <v>-0.0009518410612324724</v>
      </c>
      <c r="U4882" s="8" t="n">
        <v>0.02355106047255595</v>
      </c>
      <c r="V4882" s="6" t="inlineStr">
        <is>
          <t>not selected</t>
        </is>
      </c>
    </row>
    <row r="4883">
      <c r="A4883" s="6" t="inlineStr">
        <is>
          <t>DJ30</t>
        </is>
      </c>
      <c r="B4883" s="6" t="inlineStr">
        <is>
          <t>2026-01-09</t>
        </is>
      </c>
      <c r="C4883" s="6" t="inlineStr">
        <is>
          <t>DIA</t>
        </is>
      </c>
      <c r="D4883" s="6" t="inlineStr">
        <is>
          <t>JNJ</t>
        </is>
      </c>
      <c r="E4883" s="6" t="inlineStr">
        <is>
          <t>JNJ</t>
        </is>
      </c>
      <c r="F4883" s="6" t="inlineStr">
        <is>
          <t>-</t>
        </is>
      </c>
      <c r="G4883" s="7" t="n">
        <v>202.1466369628907</v>
      </c>
      <c r="H4883" s="6">
        <f>P4852</f>
        <v/>
      </c>
      <c r="I4883" s="9">
        <f>Q4852</f>
        <v/>
      </c>
      <c r="J4883" s="7">
        <f>I4883*G4883</f>
        <v/>
      </c>
      <c r="K4883" s="8">
        <f>IF($J$4899=0,0,J4883/$J$4899)</f>
        <v/>
      </c>
      <c r="L4883" s="6" t="inlineStr">
        <is>
          <t>SELECTED</t>
        </is>
      </c>
      <c r="M4883" s="8" t="n">
        <v>0.2</v>
      </c>
      <c r="N4883" s="7">
        <f>M4883*$J$4899-J4883</f>
        <v/>
      </c>
      <c r="O4883" s="9">
        <f>IF(G4883=0,0,N4883/G4883)</f>
        <v/>
      </c>
      <c r="P4883" s="6">
        <f>IF(M4883&gt;0,D4883,"")</f>
        <v/>
      </c>
      <c r="Q4883" s="9">
        <f>I4883+O4883</f>
        <v/>
      </c>
      <c r="R4883" s="7">
        <f>Q4883*G4883</f>
        <v/>
      </c>
      <c r="S4883" s="8">
        <f>IF($R$4899=0,0,R4883/$R$4899)</f>
        <v/>
      </c>
      <c r="T4883" s="8" t="n">
        <v>-0.0009518410612324724</v>
      </c>
      <c r="U4883" s="8" t="n">
        <v>0.02355106047255595</v>
      </c>
      <c r="V4883" s="6" t="inlineStr">
        <is>
          <t>remained in weekly selection</t>
        </is>
      </c>
    </row>
    <row r="4884">
      <c r="A4884" s="6" t="inlineStr">
        <is>
          <t>DJ30</t>
        </is>
      </c>
      <c r="B4884" s="6" t="inlineStr">
        <is>
          <t>2026-01-09</t>
        </is>
      </c>
      <c r="C4884" s="6" t="inlineStr">
        <is>
          <t>DIA</t>
        </is>
      </c>
      <c r="D4884" s="6" t="inlineStr">
        <is>
          <t>JPM</t>
        </is>
      </c>
      <c r="E4884" s="6" t="inlineStr">
        <is>
          <t>JPM</t>
        </is>
      </c>
      <c r="F4884" s="6" t="inlineStr">
        <is>
          <t>-</t>
        </is>
      </c>
      <c r="G4884" s="7" t="n">
        <v>327.5138854980469</v>
      </c>
      <c r="H4884" s="6">
        <f>P4853</f>
        <v/>
      </c>
      <c r="I4884" s="9">
        <f>Q4853</f>
        <v/>
      </c>
      <c r="J4884" s="7">
        <f>I4884*G4884</f>
        <v/>
      </c>
      <c r="K4884" s="8">
        <f>IF($J$4899=0,0,J4884/$J$4899)</f>
        <v/>
      </c>
      <c r="L4884" s="6" t="inlineStr">
        <is>
          <t>WATCHLIST</t>
        </is>
      </c>
      <c r="M4884" s="8" t="n">
        <v>0</v>
      </c>
      <c r="N4884" s="7">
        <f>M4884*$J$4899-J4884</f>
        <v/>
      </c>
      <c r="O4884" s="9">
        <f>IF(G4884=0,0,N4884/G4884)</f>
        <v/>
      </c>
      <c r="P4884" s="6">
        <f>IF(M4884&gt;0,D4884,"")</f>
        <v/>
      </c>
      <c r="Q4884" s="9">
        <f>I4884+O4884</f>
        <v/>
      </c>
      <c r="R4884" s="7">
        <f>Q4884*G4884</f>
        <v/>
      </c>
      <c r="S4884" s="8">
        <f>IF($R$4899=0,0,R4884/$R$4899)</f>
        <v/>
      </c>
      <c r="T4884" s="8" t="n">
        <v>-0.0009518410612324724</v>
      </c>
      <c r="U4884" s="8" t="n">
        <v>0.02355106047255595</v>
      </c>
      <c r="V4884" s="6" t="inlineStr">
        <is>
          <t>not selected</t>
        </is>
      </c>
    </row>
    <row r="4885">
      <c r="A4885" s="6" t="inlineStr">
        <is>
          <t>DJ30</t>
        </is>
      </c>
      <c r="B4885" s="6" t="inlineStr">
        <is>
          <t>2026-01-09</t>
        </is>
      </c>
      <c r="C4885" s="6" t="inlineStr">
        <is>
          <t>DIA</t>
        </is>
      </c>
      <c r="D4885" s="6" t="inlineStr">
        <is>
          <t>KO</t>
        </is>
      </c>
      <c r="E4885" s="6" t="inlineStr">
        <is>
          <t>KO</t>
        </is>
      </c>
      <c r="F4885" s="6" t="inlineStr">
        <is>
          <t>-</t>
        </is>
      </c>
      <c r="G4885" s="7" t="n">
        <v>69.57926177978516</v>
      </c>
      <c r="H4885" s="6">
        <f>P4854</f>
        <v/>
      </c>
      <c r="I4885" s="9">
        <f>Q4854</f>
        <v/>
      </c>
      <c r="J4885" s="7">
        <f>I4885*G4885</f>
        <v/>
      </c>
      <c r="K4885" s="8">
        <f>IF($J$4899=0,0,J4885/$J$4899)</f>
        <v/>
      </c>
      <c r="L4885" s="6" t="inlineStr">
        <is>
          <t>REJECTED</t>
        </is>
      </c>
      <c r="M4885" s="8" t="n">
        <v>0</v>
      </c>
      <c r="N4885" s="7">
        <f>M4885*$J$4899-J4885</f>
        <v/>
      </c>
      <c r="O4885" s="9">
        <f>IF(G4885=0,0,N4885/G4885)</f>
        <v/>
      </c>
      <c r="P4885" s="6">
        <f>IF(M4885&gt;0,D4885,"")</f>
        <v/>
      </c>
      <c r="Q4885" s="9">
        <f>I4885+O4885</f>
        <v/>
      </c>
      <c r="R4885" s="7">
        <f>Q4885*G4885</f>
        <v/>
      </c>
      <c r="S4885" s="8">
        <f>IF($R$4899=0,0,R4885/$R$4899)</f>
        <v/>
      </c>
      <c r="T4885" s="8" t="n">
        <v>-0.0009518410612324724</v>
      </c>
      <c r="U4885" s="8" t="n">
        <v>0.02355106047255595</v>
      </c>
      <c r="V4885" s="6" t="inlineStr">
        <is>
          <t>not selected</t>
        </is>
      </c>
    </row>
    <row r="4886">
      <c r="A4886" s="6" t="inlineStr">
        <is>
          <t>DJ30</t>
        </is>
      </c>
      <c r="B4886" s="6" t="inlineStr">
        <is>
          <t>2026-01-09</t>
        </is>
      </c>
      <c r="C4886" s="6" t="inlineStr">
        <is>
          <t>DIA</t>
        </is>
      </c>
      <c r="D4886" s="6" t="inlineStr">
        <is>
          <t>MCD</t>
        </is>
      </c>
      <c r="E4886" s="6" t="inlineStr">
        <is>
          <t>MCD</t>
        </is>
      </c>
      <c r="F4886" s="6" t="inlineStr">
        <is>
          <t>-</t>
        </is>
      </c>
      <c r="G4886" s="7" t="n">
        <v>303.5540466308594</v>
      </c>
      <c r="H4886" s="6">
        <f>P4855</f>
        <v/>
      </c>
      <c r="I4886" s="9">
        <f>Q4855</f>
        <v/>
      </c>
      <c r="J4886" s="7">
        <f>I4886*G4886</f>
        <v/>
      </c>
      <c r="K4886" s="8">
        <f>IF($J$4899=0,0,J4886/$J$4899)</f>
        <v/>
      </c>
      <c r="L4886" s="6" t="inlineStr">
        <is>
          <t>REJECTED</t>
        </is>
      </c>
      <c r="M4886" s="8" t="n">
        <v>0</v>
      </c>
      <c r="N4886" s="7">
        <f>M4886*$J$4899-J4886</f>
        <v/>
      </c>
      <c r="O4886" s="9">
        <f>IF(G4886=0,0,N4886/G4886)</f>
        <v/>
      </c>
      <c r="P4886" s="6">
        <f>IF(M4886&gt;0,D4886,"")</f>
        <v/>
      </c>
      <c r="Q4886" s="9">
        <f>I4886+O4886</f>
        <v/>
      </c>
      <c r="R4886" s="7">
        <f>Q4886*G4886</f>
        <v/>
      </c>
      <c r="S4886" s="8">
        <f>IF($R$4899=0,0,R4886/$R$4899)</f>
        <v/>
      </c>
      <c r="T4886" s="8" t="n">
        <v>-0.0009518410612324724</v>
      </c>
      <c r="U4886" s="8" t="n">
        <v>0.02355106047255595</v>
      </c>
      <c r="V4886" s="6" t="inlineStr">
        <is>
          <t>not selected</t>
        </is>
      </c>
    </row>
    <row r="4887">
      <c r="A4887" s="6" t="inlineStr">
        <is>
          <t>DJ30</t>
        </is>
      </c>
      <c r="B4887" s="6" t="inlineStr">
        <is>
          <t>2026-01-09</t>
        </is>
      </c>
      <c r="C4887" s="6" t="inlineStr">
        <is>
          <t>DIA</t>
        </is>
      </c>
      <c r="D4887" s="6" t="inlineStr">
        <is>
          <t>MMM</t>
        </is>
      </c>
      <c r="E4887" s="6" t="inlineStr">
        <is>
          <t>MMM</t>
        </is>
      </c>
      <c r="F4887" s="6" t="inlineStr">
        <is>
          <t>-</t>
        </is>
      </c>
      <c r="G4887" s="7" t="n">
        <v>163.6554718017578</v>
      </c>
      <c r="H4887" s="6">
        <f>P4856</f>
        <v/>
      </c>
      <c r="I4887" s="9">
        <f>Q4856</f>
        <v/>
      </c>
      <c r="J4887" s="7">
        <f>I4887*G4887</f>
        <v/>
      </c>
      <c r="K4887" s="8">
        <f>IF($J$4899=0,0,J4887/$J$4899)</f>
        <v/>
      </c>
      <c r="L4887" s="6" t="inlineStr">
        <is>
          <t>WATCHLIST</t>
        </is>
      </c>
      <c r="M4887" s="8" t="n">
        <v>0</v>
      </c>
      <c r="N4887" s="7">
        <f>M4887*$J$4899-J4887</f>
        <v/>
      </c>
      <c r="O4887" s="9">
        <f>IF(G4887=0,0,N4887/G4887)</f>
        <v/>
      </c>
      <c r="P4887" s="6">
        <f>IF(M4887&gt;0,D4887,"")</f>
        <v/>
      </c>
      <c r="Q4887" s="9">
        <f>I4887+O4887</f>
        <v/>
      </c>
      <c r="R4887" s="7">
        <f>Q4887*G4887</f>
        <v/>
      </c>
      <c r="S4887" s="8">
        <f>IF($R$4899=0,0,R4887/$R$4899)</f>
        <v/>
      </c>
      <c r="T4887" s="8" t="n">
        <v>-0.0009518410612324724</v>
      </c>
      <c r="U4887" s="8" t="n">
        <v>0.02355106047255595</v>
      </c>
      <c r="V4887" s="6" t="inlineStr">
        <is>
          <t>not selected</t>
        </is>
      </c>
    </row>
    <row r="4888">
      <c r="A4888" s="6" t="inlineStr">
        <is>
          <t>DJ30</t>
        </is>
      </c>
      <c r="B4888" s="6" t="inlineStr">
        <is>
          <t>2026-01-09</t>
        </is>
      </c>
      <c r="C4888" s="6" t="inlineStr">
        <is>
          <t>DIA</t>
        </is>
      </c>
      <c r="D4888" s="6" t="inlineStr">
        <is>
          <t>MRK</t>
        </is>
      </c>
      <c r="E4888" s="6" t="inlineStr">
        <is>
          <t>MRK</t>
        </is>
      </c>
      <c r="F4888" s="6" t="inlineStr">
        <is>
          <t>-</t>
        </is>
      </c>
      <c r="G4888" s="7" t="n">
        <v>108.9339828491211</v>
      </c>
      <c r="H4888" s="6">
        <f>P4857</f>
        <v/>
      </c>
      <c r="I4888" s="9">
        <f>Q4857</f>
        <v/>
      </c>
      <c r="J4888" s="7">
        <f>I4888*G4888</f>
        <v/>
      </c>
      <c r="K4888" s="8">
        <f>IF($J$4899=0,0,J4888/$J$4899)</f>
        <v/>
      </c>
      <c r="L4888" s="6" t="inlineStr">
        <is>
          <t>REJECTED</t>
        </is>
      </c>
      <c r="M4888" s="8" t="n">
        <v>0</v>
      </c>
      <c r="N4888" s="7">
        <f>M4888*$J$4899-J4888</f>
        <v/>
      </c>
      <c r="O4888" s="9">
        <f>IF(G4888=0,0,N4888/G4888)</f>
        <v/>
      </c>
      <c r="P4888" s="6">
        <f>IF(M4888&gt;0,D4888,"")</f>
        <v/>
      </c>
      <c r="Q4888" s="9">
        <f>I4888+O4888</f>
        <v/>
      </c>
      <c r="R4888" s="7">
        <f>Q4888*G4888</f>
        <v/>
      </c>
      <c r="S4888" s="8">
        <f>IF($R$4899=0,0,R4888/$R$4899)</f>
        <v/>
      </c>
      <c r="T4888" s="8" t="n">
        <v>-0.0009518410612324724</v>
      </c>
      <c r="U4888" s="8" t="n">
        <v>0.02355106047255595</v>
      </c>
      <c r="V4888" s="6" t="inlineStr">
        <is>
          <t>not selected</t>
        </is>
      </c>
    </row>
    <row r="4889">
      <c r="A4889" s="6" t="inlineStr">
        <is>
          <t>DJ30</t>
        </is>
      </c>
      <c r="B4889" s="6" t="inlineStr">
        <is>
          <t>2026-01-09</t>
        </is>
      </c>
      <c r="C4889" s="6" t="inlineStr">
        <is>
          <t>DIA</t>
        </is>
      </c>
      <c r="D4889" s="6" t="inlineStr">
        <is>
          <t>MSFT</t>
        </is>
      </c>
      <c r="E4889" s="6" t="inlineStr">
        <is>
          <t>MSFT</t>
        </is>
      </c>
      <c r="F4889" s="6" t="inlineStr">
        <is>
          <t>-</t>
        </is>
      </c>
      <c r="G4889" s="7" t="n">
        <v>477.1550903320313</v>
      </c>
      <c r="H4889" s="6">
        <f>P4858</f>
        <v/>
      </c>
      <c r="I4889" s="9">
        <f>Q4858</f>
        <v/>
      </c>
      <c r="J4889" s="7">
        <f>I4889*G4889</f>
        <v/>
      </c>
      <c r="K4889" s="8">
        <f>IF($J$4899=0,0,J4889/$J$4899)</f>
        <v/>
      </c>
      <c r="L4889" s="6" t="inlineStr">
        <is>
          <t>WATCHLIST</t>
        </is>
      </c>
      <c r="M4889" s="8" t="n">
        <v>0</v>
      </c>
      <c r="N4889" s="7">
        <f>M4889*$J$4899-J4889</f>
        <v/>
      </c>
      <c r="O4889" s="9">
        <f>IF(G4889=0,0,N4889/G4889)</f>
        <v/>
      </c>
      <c r="P4889" s="6">
        <f>IF(M4889&gt;0,D4889,"")</f>
        <v/>
      </c>
      <c r="Q4889" s="9">
        <f>I4889+O4889</f>
        <v/>
      </c>
      <c r="R4889" s="7">
        <f>Q4889*G4889</f>
        <v/>
      </c>
      <c r="S4889" s="8">
        <f>IF($R$4899=0,0,R4889/$R$4899)</f>
        <v/>
      </c>
      <c r="T4889" s="8" t="n">
        <v>-0.0009518410612324724</v>
      </c>
      <c r="U4889" s="8" t="n">
        <v>0.02355106047255595</v>
      </c>
      <c r="V4889" s="6" t="inlineStr">
        <is>
          <t>not selected</t>
        </is>
      </c>
    </row>
    <row r="4890">
      <c r="A4890" s="6" t="inlineStr">
        <is>
          <t>DJ30</t>
        </is>
      </c>
      <c r="B4890" s="6" t="inlineStr">
        <is>
          <t>2026-01-09</t>
        </is>
      </c>
      <c r="C4890" s="6" t="inlineStr">
        <is>
          <t>DIA</t>
        </is>
      </c>
      <c r="D4890" s="6" t="inlineStr">
        <is>
          <t>NKE</t>
        </is>
      </c>
      <c r="E4890" s="6" t="inlineStr">
        <is>
          <t>NKE</t>
        </is>
      </c>
      <c r="F4890" s="6" t="inlineStr">
        <is>
          <t>-</t>
        </is>
      </c>
      <c r="G4890" s="7" t="n">
        <v>64.90456390380859</v>
      </c>
      <c r="H4890" s="6">
        <f>P4859</f>
        <v/>
      </c>
      <c r="I4890" s="9">
        <f>Q4859</f>
        <v/>
      </c>
      <c r="J4890" s="7">
        <f>I4890*G4890</f>
        <v/>
      </c>
      <c r="K4890" s="8">
        <f>IF($J$4899=0,0,J4890/$J$4899)</f>
        <v/>
      </c>
      <c r="L4890" s="6" t="inlineStr">
        <is>
          <t>REJECTED</t>
        </is>
      </c>
      <c r="M4890" s="8" t="n">
        <v>0</v>
      </c>
      <c r="N4890" s="7">
        <f>M4890*$J$4899-J4890</f>
        <v/>
      </c>
      <c r="O4890" s="9">
        <f>IF(G4890=0,0,N4890/G4890)</f>
        <v/>
      </c>
      <c r="P4890" s="6">
        <f>IF(M4890&gt;0,D4890,"")</f>
        <v/>
      </c>
      <c r="Q4890" s="9">
        <f>I4890+O4890</f>
        <v/>
      </c>
      <c r="R4890" s="7">
        <f>Q4890*G4890</f>
        <v/>
      </c>
      <c r="S4890" s="8">
        <f>IF($R$4899=0,0,R4890/$R$4899)</f>
        <v/>
      </c>
      <c r="T4890" s="8" t="n">
        <v>-0.0009518410612324724</v>
      </c>
      <c r="U4890" s="8" t="n">
        <v>0.02355106047255595</v>
      </c>
      <c r="V4890" s="6" t="inlineStr">
        <is>
          <t>not selected</t>
        </is>
      </c>
    </row>
    <row r="4891">
      <c r="A4891" s="6" t="inlineStr">
        <is>
          <t>DJ30</t>
        </is>
      </c>
      <c r="B4891" s="6" t="inlineStr">
        <is>
          <t>2026-01-09</t>
        </is>
      </c>
      <c r="C4891" s="6" t="inlineStr">
        <is>
          <t>DIA</t>
        </is>
      </c>
      <c r="D4891" s="6" t="inlineStr">
        <is>
          <t>NVDA</t>
        </is>
      </c>
      <c r="E4891" s="6" t="inlineStr">
        <is>
          <t>NVDA</t>
        </is>
      </c>
      <c r="F4891" s="6" t="inlineStr">
        <is>
          <t>-</t>
        </is>
      </c>
      <c r="G4891" s="7" t="n">
        <v>184.6347961425781</v>
      </c>
      <c r="H4891" s="6">
        <f>P4860</f>
        <v/>
      </c>
      <c r="I4891" s="9">
        <f>Q4860</f>
        <v/>
      </c>
      <c r="J4891" s="7">
        <f>I4891*G4891</f>
        <v/>
      </c>
      <c r="K4891" s="8">
        <f>IF($J$4899=0,0,J4891/$J$4899)</f>
        <v/>
      </c>
      <c r="L4891" s="6" t="inlineStr">
        <is>
          <t>SELECTED</t>
        </is>
      </c>
      <c r="M4891" s="8" t="n">
        <v>0.2</v>
      </c>
      <c r="N4891" s="7">
        <f>M4891*$J$4899-J4891</f>
        <v/>
      </c>
      <c r="O4891" s="9">
        <f>IF(G4891=0,0,N4891/G4891)</f>
        <v/>
      </c>
      <c r="P4891" s="6">
        <f>IF(M4891&gt;0,D4891,"")</f>
        <v/>
      </c>
      <c r="Q4891" s="9">
        <f>I4891+O4891</f>
        <v/>
      </c>
      <c r="R4891" s="7">
        <f>Q4891*G4891</f>
        <v/>
      </c>
      <c r="S4891" s="8">
        <f>IF($R$4899=0,0,R4891/$R$4899)</f>
        <v/>
      </c>
      <c r="T4891" s="8" t="n">
        <v>-0.0009518410612324724</v>
      </c>
      <c r="U4891" s="8" t="n">
        <v>0.02355106047255595</v>
      </c>
      <c r="V4891" s="6" t="inlineStr">
        <is>
          <t>remained in weekly selection</t>
        </is>
      </c>
    </row>
    <row r="4892">
      <c r="A4892" s="6" t="inlineStr">
        <is>
          <t>DJ30</t>
        </is>
      </c>
      <c r="B4892" s="6" t="inlineStr">
        <is>
          <t>2026-01-09</t>
        </is>
      </c>
      <c r="C4892" s="6" t="inlineStr">
        <is>
          <t>DIA</t>
        </is>
      </c>
      <c r="D4892" s="6" t="inlineStr">
        <is>
          <t>PG</t>
        </is>
      </c>
      <c r="E4892" s="6" t="inlineStr">
        <is>
          <t>PG</t>
        </is>
      </c>
      <c r="F4892" s="6" t="inlineStr">
        <is>
          <t>-</t>
        </is>
      </c>
      <c r="G4892" s="7" t="n">
        <v>139.8169860839844</v>
      </c>
      <c r="H4892" s="6">
        <f>P4861</f>
        <v/>
      </c>
      <c r="I4892" s="9">
        <f>Q4861</f>
        <v/>
      </c>
      <c r="J4892" s="7">
        <f>I4892*G4892</f>
        <v/>
      </c>
      <c r="K4892" s="8">
        <f>IF($J$4899=0,0,J4892/$J$4899)</f>
        <v/>
      </c>
      <c r="L4892" s="6" t="inlineStr">
        <is>
          <t>REJECTED</t>
        </is>
      </c>
      <c r="M4892" s="8" t="n">
        <v>0</v>
      </c>
      <c r="N4892" s="7">
        <f>M4892*$J$4899-J4892</f>
        <v/>
      </c>
      <c r="O4892" s="9">
        <f>IF(G4892=0,0,N4892/G4892)</f>
        <v/>
      </c>
      <c r="P4892" s="6">
        <f>IF(M4892&gt;0,D4892,"")</f>
        <v/>
      </c>
      <c r="Q4892" s="9">
        <f>I4892+O4892</f>
        <v/>
      </c>
      <c r="R4892" s="7">
        <f>Q4892*G4892</f>
        <v/>
      </c>
      <c r="S4892" s="8">
        <f>IF($R$4899=0,0,R4892/$R$4899)</f>
        <v/>
      </c>
      <c r="T4892" s="8" t="n">
        <v>-0.0009518410612324724</v>
      </c>
      <c r="U4892" s="8" t="n">
        <v>0.02355106047255595</v>
      </c>
      <c r="V4892" s="6" t="inlineStr">
        <is>
          <t>not selected</t>
        </is>
      </c>
    </row>
    <row r="4893">
      <c r="A4893" s="6" t="inlineStr">
        <is>
          <t>DJ30</t>
        </is>
      </c>
      <c r="B4893" s="6" t="inlineStr">
        <is>
          <t>2026-01-09</t>
        </is>
      </c>
      <c r="C4893" s="6" t="inlineStr">
        <is>
          <t>DIA</t>
        </is>
      </c>
      <c r="D4893" s="6" t="inlineStr">
        <is>
          <t>SHW</t>
        </is>
      </c>
      <c r="E4893" s="6" t="inlineStr">
        <is>
          <t>SHW</t>
        </is>
      </c>
      <c r="F4893" s="6" t="inlineStr">
        <is>
          <t>-</t>
        </is>
      </c>
      <c r="G4893" s="7" t="n">
        <v>351.5889282226562</v>
      </c>
      <c r="H4893" s="6">
        <f>P4862</f>
        <v/>
      </c>
      <c r="I4893" s="9">
        <f>Q4862</f>
        <v/>
      </c>
      <c r="J4893" s="7">
        <f>I4893*G4893</f>
        <v/>
      </c>
      <c r="K4893" s="8">
        <f>IF($J$4899=0,0,J4893/$J$4899)</f>
        <v/>
      </c>
      <c r="L4893" s="6" t="inlineStr">
        <is>
          <t>REJECTED</t>
        </is>
      </c>
      <c r="M4893" s="8" t="n">
        <v>0</v>
      </c>
      <c r="N4893" s="7">
        <f>M4893*$J$4899-J4893</f>
        <v/>
      </c>
      <c r="O4893" s="9">
        <f>IF(G4893=0,0,N4893/G4893)</f>
        <v/>
      </c>
      <c r="P4893" s="6">
        <f>IF(M4893&gt;0,D4893,"")</f>
        <v/>
      </c>
      <c r="Q4893" s="9">
        <f>I4893+O4893</f>
        <v/>
      </c>
      <c r="R4893" s="7">
        <f>Q4893*G4893</f>
        <v/>
      </c>
      <c r="S4893" s="8">
        <f>IF($R$4899=0,0,R4893/$R$4899)</f>
        <v/>
      </c>
      <c r="T4893" s="8" t="n">
        <v>-0.0009518410612324724</v>
      </c>
      <c r="U4893" s="8" t="n">
        <v>0.02355106047255595</v>
      </c>
      <c r="V4893" s="6" t="inlineStr">
        <is>
          <t>not selected</t>
        </is>
      </c>
    </row>
    <row r="4894">
      <c r="A4894" s="6" t="inlineStr">
        <is>
          <t>DJ30</t>
        </is>
      </c>
      <c r="B4894" s="6" t="inlineStr">
        <is>
          <t>2026-01-09</t>
        </is>
      </c>
      <c r="C4894" s="6" t="inlineStr">
        <is>
          <t>DIA</t>
        </is>
      </c>
      <c r="D4894" s="6" t="inlineStr">
        <is>
          <t>TRV</t>
        </is>
      </c>
      <c r="E4894" s="6" t="inlineStr">
        <is>
          <t>TRV</t>
        </is>
      </c>
      <c r="F4894" s="6" t="inlineStr">
        <is>
          <t>-</t>
        </is>
      </c>
      <c r="G4894" s="7" t="n">
        <v>279.7674255371094</v>
      </c>
      <c r="H4894" s="6">
        <f>P4863</f>
        <v/>
      </c>
      <c r="I4894" s="9">
        <f>Q4863</f>
        <v/>
      </c>
      <c r="J4894" s="7">
        <f>I4894*G4894</f>
        <v/>
      </c>
      <c r="K4894" s="8">
        <f>IF($J$4899=0,0,J4894/$J$4899)</f>
        <v/>
      </c>
      <c r="L4894" s="6" t="inlineStr">
        <is>
          <t>WATCHLIST</t>
        </is>
      </c>
      <c r="M4894" s="8" t="n">
        <v>0</v>
      </c>
      <c r="N4894" s="7">
        <f>M4894*$J$4899-J4894</f>
        <v/>
      </c>
      <c r="O4894" s="9">
        <f>IF(G4894=0,0,N4894/G4894)</f>
        <v/>
      </c>
      <c r="P4894" s="6">
        <f>IF(M4894&gt;0,D4894,"")</f>
        <v/>
      </c>
      <c r="Q4894" s="9">
        <f>I4894+O4894</f>
        <v/>
      </c>
      <c r="R4894" s="7">
        <f>Q4894*G4894</f>
        <v/>
      </c>
      <c r="S4894" s="8">
        <f>IF($R$4899=0,0,R4894/$R$4899)</f>
        <v/>
      </c>
      <c r="T4894" s="8" t="n">
        <v>-0.0009518410612324724</v>
      </c>
      <c r="U4894" s="8" t="n">
        <v>0.02355106047255595</v>
      </c>
      <c r="V4894" s="6" t="inlineStr">
        <is>
          <t>not selected</t>
        </is>
      </c>
    </row>
    <row r="4895">
      <c r="A4895" s="6" t="inlineStr">
        <is>
          <t>DJ30</t>
        </is>
      </c>
      <c r="B4895" s="6" t="inlineStr">
        <is>
          <t>2026-01-09</t>
        </is>
      </c>
      <c r="C4895" s="6" t="inlineStr">
        <is>
          <t>DIA</t>
        </is>
      </c>
      <c r="D4895" s="6" t="inlineStr">
        <is>
          <t>UNH</t>
        </is>
      </c>
      <c r="E4895" s="6" t="inlineStr">
        <is>
          <t>UNH</t>
        </is>
      </c>
      <c r="F4895" s="6" t="inlineStr">
        <is>
          <t>-</t>
        </is>
      </c>
      <c r="G4895" s="7" t="n">
        <v>339.3880310058594</v>
      </c>
      <c r="H4895" s="6">
        <f>P4864</f>
        <v/>
      </c>
      <c r="I4895" s="9">
        <f>Q4864</f>
        <v/>
      </c>
      <c r="J4895" s="7">
        <f>I4895*G4895</f>
        <v/>
      </c>
      <c r="K4895" s="8">
        <f>IF($J$4899=0,0,J4895/$J$4899)</f>
        <v/>
      </c>
      <c r="L4895" s="6" t="inlineStr">
        <is>
          <t>REJECTED</t>
        </is>
      </c>
      <c r="M4895" s="8" t="n">
        <v>0</v>
      </c>
      <c r="N4895" s="7">
        <f>M4895*$J$4899-J4895</f>
        <v/>
      </c>
      <c r="O4895" s="9">
        <f>IF(G4895=0,0,N4895/G4895)</f>
        <v/>
      </c>
      <c r="P4895" s="6">
        <f>IF(M4895&gt;0,D4895,"")</f>
        <v/>
      </c>
      <c r="Q4895" s="9">
        <f>I4895+O4895</f>
        <v/>
      </c>
      <c r="R4895" s="7">
        <f>Q4895*G4895</f>
        <v/>
      </c>
      <c r="S4895" s="8">
        <f>IF($R$4899=0,0,R4895/$R$4899)</f>
        <v/>
      </c>
      <c r="T4895" s="8" t="n">
        <v>-0.0009518410612324724</v>
      </c>
      <c r="U4895" s="8" t="n">
        <v>0.02355106047255595</v>
      </c>
      <c r="V4895" s="6" t="inlineStr">
        <is>
          <t>not selected</t>
        </is>
      </c>
    </row>
    <row r="4896">
      <c r="A4896" s="6" t="inlineStr">
        <is>
          <t>DJ30</t>
        </is>
      </c>
      <c r="B4896" s="6" t="inlineStr">
        <is>
          <t>2026-01-09</t>
        </is>
      </c>
      <c r="C4896" s="6" t="inlineStr">
        <is>
          <t>DIA</t>
        </is>
      </c>
      <c r="D4896" s="6" t="inlineStr">
        <is>
          <t>V</t>
        </is>
      </c>
      <c r="E4896" s="6" t="inlineStr">
        <is>
          <t>V</t>
        </is>
      </c>
      <c r="F4896" s="6" t="inlineStr">
        <is>
          <t>-</t>
        </is>
      </c>
      <c r="G4896" s="7" t="n">
        <v>348.3280944824219</v>
      </c>
      <c r="H4896" s="6">
        <f>P4865</f>
        <v/>
      </c>
      <c r="I4896" s="9">
        <f>Q4865</f>
        <v/>
      </c>
      <c r="J4896" s="7">
        <f>I4896*G4896</f>
        <v/>
      </c>
      <c r="K4896" s="8">
        <f>IF($J$4899=0,0,J4896/$J$4899)</f>
        <v/>
      </c>
      <c r="L4896" s="6" t="inlineStr">
        <is>
          <t>REJECTED</t>
        </is>
      </c>
      <c r="M4896" s="8" t="n">
        <v>0</v>
      </c>
      <c r="N4896" s="7">
        <f>M4896*$J$4899-J4896</f>
        <v/>
      </c>
      <c r="O4896" s="9">
        <f>IF(G4896=0,0,N4896/G4896)</f>
        <v/>
      </c>
      <c r="P4896" s="6">
        <f>IF(M4896&gt;0,D4896,"")</f>
        <v/>
      </c>
      <c r="Q4896" s="9">
        <f>I4896+O4896</f>
        <v/>
      </c>
      <c r="R4896" s="7">
        <f>Q4896*G4896</f>
        <v/>
      </c>
      <c r="S4896" s="8">
        <f>IF($R$4899=0,0,R4896/$R$4899)</f>
        <v/>
      </c>
      <c r="T4896" s="8" t="n">
        <v>-0.0009518410612324724</v>
      </c>
      <c r="U4896" s="8" t="n">
        <v>0.02355106047255595</v>
      </c>
      <c r="V4896" s="6" t="inlineStr">
        <is>
          <t>not selected</t>
        </is>
      </c>
    </row>
    <row r="4897">
      <c r="A4897" s="6" t="inlineStr">
        <is>
          <t>DJ30</t>
        </is>
      </c>
      <c r="B4897" s="6" t="inlineStr">
        <is>
          <t>2026-01-09</t>
        </is>
      </c>
      <c r="C4897" s="6" t="inlineStr">
        <is>
          <t>DIA</t>
        </is>
      </c>
      <c r="D4897" s="6" t="inlineStr">
        <is>
          <t>VZ</t>
        </is>
      </c>
      <c r="E4897" s="6" t="inlineStr">
        <is>
          <t>VZ</t>
        </is>
      </c>
      <c r="F4897" s="6" t="inlineStr">
        <is>
          <t>-</t>
        </is>
      </c>
      <c r="G4897" s="7" t="n">
        <v>39.18069076538086</v>
      </c>
      <c r="H4897" s="6">
        <f>P4866</f>
        <v/>
      </c>
      <c r="I4897" s="9">
        <f>Q4866</f>
        <v/>
      </c>
      <c r="J4897" s="7">
        <f>I4897*G4897</f>
        <v/>
      </c>
      <c r="K4897" s="8">
        <f>IF($J$4899=0,0,J4897/$J$4899)</f>
        <v/>
      </c>
      <c r="L4897" s="6" t="inlineStr">
        <is>
          <t>REJECTED</t>
        </is>
      </c>
      <c r="M4897" s="8" t="n">
        <v>0</v>
      </c>
      <c r="N4897" s="7">
        <f>M4897*$J$4899-J4897</f>
        <v/>
      </c>
      <c r="O4897" s="9">
        <f>IF(G4897=0,0,N4897/G4897)</f>
        <v/>
      </c>
      <c r="P4897" s="6">
        <f>IF(M4897&gt;0,D4897,"")</f>
        <v/>
      </c>
      <c r="Q4897" s="9">
        <f>I4897+O4897</f>
        <v/>
      </c>
      <c r="R4897" s="7">
        <f>Q4897*G4897</f>
        <v/>
      </c>
      <c r="S4897" s="8">
        <f>IF($R$4899=0,0,R4897/$R$4899)</f>
        <v/>
      </c>
      <c r="T4897" s="8" t="n">
        <v>-0.0009518410612324724</v>
      </c>
      <c r="U4897" s="8" t="n">
        <v>0.02355106047255595</v>
      </c>
      <c r="V4897" s="6" t="inlineStr">
        <is>
          <t>not selected</t>
        </is>
      </c>
    </row>
    <row r="4898">
      <c r="A4898" s="6" t="inlineStr">
        <is>
          <t>DJ30</t>
        </is>
      </c>
      <c r="B4898" s="6" t="inlineStr">
        <is>
          <t>2026-01-09</t>
        </is>
      </c>
      <c r="C4898" s="6" t="inlineStr">
        <is>
          <t>DIA</t>
        </is>
      </c>
      <c r="D4898" s="6" t="inlineStr">
        <is>
          <t>WMT</t>
        </is>
      </c>
      <c r="E4898" s="6" t="inlineStr">
        <is>
          <t>WMT</t>
        </is>
      </c>
      <c r="F4898" s="6" t="inlineStr">
        <is>
          <t>-</t>
        </is>
      </c>
      <c r="G4898" s="7" t="n">
        <v>114.0777282714844</v>
      </c>
      <c r="H4898" s="6">
        <f>P4867</f>
        <v/>
      </c>
      <c r="I4898" s="9">
        <f>Q4867</f>
        <v/>
      </c>
      <c r="J4898" s="7">
        <f>I4898*G4898</f>
        <v/>
      </c>
      <c r="K4898" s="8">
        <f>IF($J$4899=0,0,J4898/$J$4899)</f>
        <v/>
      </c>
      <c r="L4898" s="6" t="inlineStr">
        <is>
          <t>WATCHLIST</t>
        </is>
      </c>
      <c r="M4898" s="8" t="n">
        <v>0</v>
      </c>
      <c r="N4898" s="7">
        <f>M4898*$J$4899-J4898</f>
        <v/>
      </c>
      <c r="O4898" s="9">
        <f>IF(G4898=0,0,N4898/G4898)</f>
        <v/>
      </c>
      <c r="P4898" s="6">
        <f>IF(M4898&gt;0,D4898,"")</f>
        <v/>
      </c>
      <c r="Q4898" s="9">
        <f>I4898+O4898</f>
        <v/>
      </c>
      <c r="R4898" s="7">
        <f>Q4898*G4898</f>
        <v/>
      </c>
      <c r="S4898" s="8">
        <f>IF($R$4899=0,0,R4898/$R$4899)</f>
        <v/>
      </c>
      <c r="T4898" s="8" t="n">
        <v>-0.0009518410612324724</v>
      </c>
      <c r="U4898" s="8" t="n">
        <v>0.02355106047255595</v>
      </c>
      <c r="V4898" s="6" t="inlineStr">
        <is>
          <t>not selected</t>
        </is>
      </c>
    </row>
    <row r="4899">
      <c r="A4899" s="10" t="inlineStr">
        <is>
          <t>DJ30</t>
        </is>
      </c>
      <c r="B4899" s="10" t="inlineStr">
        <is>
          <t>2026-01-09</t>
        </is>
      </c>
      <c r="C4899" s="10" t="inlineStr">
        <is>
          <t>DIA</t>
        </is>
      </c>
      <c r="D4899" s="10" t="inlineStr">
        <is>
          <t>Tot Portfolio</t>
        </is>
      </c>
      <c r="E4899" s="10" t="inlineStr"/>
      <c r="F4899" s="10" t="inlineStr"/>
      <c r="G4899" s="11" t="inlineStr"/>
      <c r="H4899" s="10" t="inlineStr"/>
      <c r="I4899" s="12" t="inlineStr"/>
      <c r="J4899" s="11">
        <f>SUM(J4869:J4898)</f>
        <v/>
      </c>
      <c r="K4899" s="13">
        <f>SUM(K4869:K4898)</f>
        <v/>
      </c>
      <c r="L4899" s="10" t="inlineStr">
        <is>
          <t>TOTAL</t>
        </is>
      </c>
      <c r="M4899" s="13">
        <f>SUM(M4869:M4898)</f>
        <v/>
      </c>
      <c r="N4899" s="11">
        <f>SUM(N4869:N4898)</f>
        <v/>
      </c>
      <c r="O4899" s="12">
        <f>SUM(O4869:O4898)</f>
        <v/>
      </c>
      <c r="P4899" s="10" t="inlineStr"/>
      <c r="Q4899" s="12" t="inlineStr"/>
      <c r="R4899" s="11">
        <f>SUM(R4869:R4898)</f>
        <v/>
      </c>
      <c r="S4899" s="13">
        <f>SUM(S4869:S4898)</f>
        <v/>
      </c>
      <c r="T4899" s="13" t="n">
        <v>-0.0009518410612324724</v>
      </c>
      <c r="U4899" s="13" t="n">
        <v>0.02355106047255595</v>
      </c>
      <c r="V4899" s="10" t="inlineStr"/>
    </row>
    <row r="4900">
      <c r="A4900" s="6" t="inlineStr">
        <is>
          <t>DJ30</t>
        </is>
      </c>
      <c r="B4900" s="6" t="inlineStr">
        <is>
          <t>2026-01-16</t>
        </is>
      </c>
      <c r="C4900" s="6" t="inlineStr">
        <is>
          <t>DIA</t>
        </is>
      </c>
      <c r="D4900" s="6" t="inlineStr">
        <is>
          <t>AAPL</t>
        </is>
      </c>
      <c r="E4900" s="6" t="inlineStr">
        <is>
          <t>AAPL</t>
        </is>
      </c>
      <c r="F4900" s="6" t="inlineStr">
        <is>
          <t>-</t>
        </is>
      </c>
      <c r="G4900" s="7" t="n">
        <v>255.0561218261719</v>
      </c>
      <c r="H4900" s="6">
        <f>P4869</f>
        <v/>
      </c>
      <c r="I4900" s="9">
        <f>Q4869</f>
        <v/>
      </c>
      <c r="J4900" s="7">
        <f>I4900*G4900</f>
        <v/>
      </c>
      <c r="K4900" s="8">
        <f>IF($J$4930=0,0,J4900/$J$4930)</f>
        <v/>
      </c>
      <c r="L4900" s="6" t="inlineStr">
        <is>
          <t>WATCHLIST</t>
        </is>
      </c>
      <c r="M4900" s="8" t="n">
        <v>0</v>
      </c>
      <c r="N4900" s="7">
        <f>M4900*$J$4930-J4900</f>
        <v/>
      </c>
      <c r="O4900" s="9">
        <f>IF(G4900=0,0,N4900/G4900)</f>
        <v/>
      </c>
      <c r="P4900" s="6">
        <f>IF(M4900&gt;0,D4900,"")</f>
        <v/>
      </c>
      <c r="Q4900" s="9">
        <f>I4900+O4900</f>
        <v/>
      </c>
      <c r="R4900" s="7">
        <f>Q4900*G4900</f>
        <v/>
      </c>
      <c r="S4900" s="8">
        <f>IF($R$4930=0,0,R4900/$R$4930)</f>
        <v/>
      </c>
      <c r="T4900" s="8" t="n">
        <v>0.03337349198059703</v>
      </c>
      <c r="U4900" s="8" t="n">
        <v>-0.002871200683865816</v>
      </c>
      <c r="V4900" s="6" t="inlineStr">
        <is>
          <t>not selected</t>
        </is>
      </c>
    </row>
    <row r="4901">
      <c r="A4901" s="6" t="inlineStr">
        <is>
          <t>DJ30</t>
        </is>
      </c>
      <c r="B4901" s="6" t="inlineStr">
        <is>
          <t>2026-01-16</t>
        </is>
      </c>
      <c r="C4901" s="6" t="inlineStr">
        <is>
          <t>DIA</t>
        </is>
      </c>
      <c r="D4901" s="6" t="inlineStr">
        <is>
          <t>AMGN</t>
        </is>
      </c>
      <c r="E4901" s="6" t="inlineStr">
        <is>
          <t>AMGN</t>
        </is>
      </c>
      <c r="F4901" s="6" t="inlineStr">
        <is>
          <t>-</t>
        </is>
      </c>
      <c r="G4901" s="7" t="n">
        <v>325.6769714355469</v>
      </c>
      <c r="H4901" s="6">
        <f>P4870</f>
        <v/>
      </c>
      <c r="I4901" s="9">
        <f>Q4870</f>
        <v/>
      </c>
      <c r="J4901" s="7">
        <f>I4901*G4901</f>
        <v/>
      </c>
      <c r="K4901" s="8">
        <f>IF($J$4930=0,0,J4901/$J$4930)</f>
        <v/>
      </c>
      <c r="L4901" s="6" t="inlineStr">
        <is>
          <t>WATCHLIST</t>
        </is>
      </c>
      <c r="M4901" s="8" t="n">
        <v>0</v>
      </c>
      <c r="N4901" s="7">
        <f>M4901*$J$4930-J4901</f>
        <v/>
      </c>
      <c r="O4901" s="9">
        <f>IF(G4901=0,0,N4901/G4901)</f>
        <v/>
      </c>
      <c r="P4901" s="6">
        <f>IF(M4901&gt;0,D4901,"")</f>
        <v/>
      </c>
      <c r="Q4901" s="9">
        <f>I4901+O4901</f>
        <v/>
      </c>
      <c r="R4901" s="7">
        <f>Q4901*G4901</f>
        <v/>
      </c>
      <c r="S4901" s="8">
        <f>IF($R$4930=0,0,R4901/$R$4930)</f>
        <v/>
      </c>
      <c r="T4901" s="8" t="n">
        <v>0.03337349198059703</v>
      </c>
      <c r="U4901" s="8" t="n">
        <v>-0.002871200683865816</v>
      </c>
      <c r="V4901" s="6" t="inlineStr">
        <is>
          <t>not selected</t>
        </is>
      </c>
    </row>
    <row r="4902">
      <c r="A4902" s="6" t="inlineStr">
        <is>
          <t>DJ30</t>
        </is>
      </c>
      <c r="B4902" s="6" t="inlineStr">
        <is>
          <t>2026-01-16</t>
        </is>
      </c>
      <c r="C4902" s="6" t="inlineStr">
        <is>
          <t>DIA</t>
        </is>
      </c>
      <c r="D4902" s="6" t="inlineStr">
        <is>
          <t>AMZN</t>
        </is>
      </c>
      <c r="E4902" s="6" t="inlineStr">
        <is>
          <t>AMZN</t>
        </is>
      </c>
      <c r="F4902" s="6" t="inlineStr">
        <is>
          <t>-</t>
        </is>
      </c>
      <c r="G4902" s="7" t="n">
        <v>239.1199951171875</v>
      </c>
      <c r="H4902" s="6">
        <f>P4871</f>
        <v/>
      </c>
      <c r="I4902" s="9">
        <f>Q4871</f>
        <v/>
      </c>
      <c r="J4902" s="7">
        <f>I4902*G4902</f>
        <v/>
      </c>
      <c r="K4902" s="8">
        <f>IF($J$4930=0,0,J4902/$J$4930)</f>
        <v/>
      </c>
      <c r="L4902" s="6" t="inlineStr">
        <is>
          <t>WATCHLIST</t>
        </is>
      </c>
      <c r="M4902" s="8" t="n">
        <v>0</v>
      </c>
      <c r="N4902" s="7">
        <f>M4902*$J$4930-J4902</f>
        <v/>
      </c>
      <c r="O4902" s="9">
        <f>IF(G4902=0,0,N4902/G4902)</f>
        <v/>
      </c>
      <c r="P4902" s="6">
        <f>IF(M4902&gt;0,D4902,"")</f>
        <v/>
      </c>
      <c r="Q4902" s="9">
        <f>I4902+O4902</f>
        <v/>
      </c>
      <c r="R4902" s="7">
        <f>Q4902*G4902</f>
        <v/>
      </c>
      <c r="S4902" s="8">
        <f>IF($R$4930=0,0,R4902/$R$4930)</f>
        <v/>
      </c>
      <c r="T4902" s="8" t="n">
        <v>0.03337349198059703</v>
      </c>
      <c r="U4902" s="8" t="n">
        <v>-0.002871200683865816</v>
      </c>
      <c r="V4902" s="6" t="inlineStr">
        <is>
          <t>not selected</t>
        </is>
      </c>
    </row>
    <row r="4903">
      <c r="A4903" s="6" t="inlineStr">
        <is>
          <t>DJ30</t>
        </is>
      </c>
      <c r="B4903" s="6" t="inlineStr">
        <is>
          <t>2026-01-16</t>
        </is>
      </c>
      <c r="C4903" s="6" t="inlineStr">
        <is>
          <t>DIA</t>
        </is>
      </c>
      <c r="D4903" s="6" t="inlineStr">
        <is>
          <t>AXP</t>
        </is>
      </c>
      <c r="E4903" s="6" t="inlineStr">
        <is>
          <t>AXP</t>
        </is>
      </c>
      <c r="F4903" s="6" t="inlineStr">
        <is>
          <t>-</t>
        </is>
      </c>
      <c r="G4903" s="7" t="n">
        <v>363.6404113769531</v>
      </c>
      <c r="H4903" s="6">
        <f>P4872</f>
        <v/>
      </c>
      <c r="I4903" s="9">
        <f>Q4872</f>
        <v/>
      </c>
      <c r="J4903" s="7">
        <f>I4903*G4903</f>
        <v/>
      </c>
      <c r="K4903" s="8">
        <f>IF($J$4930=0,0,J4903/$J$4930)</f>
        <v/>
      </c>
      <c r="L4903" s="6" t="inlineStr">
        <is>
          <t>WATCHLIST</t>
        </is>
      </c>
      <c r="M4903" s="8" t="n">
        <v>0</v>
      </c>
      <c r="N4903" s="7">
        <f>M4903*$J$4930-J4903</f>
        <v/>
      </c>
      <c r="O4903" s="9">
        <f>IF(G4903=0,0,N4903/G4903)</f>
        <v/>
      </c>
      <c r="P4903" s="6">
        <f>IF(M4903&gt;0,D4903,"")</f>
        <v/>
      </c>
      <c r="Q4903" s="9">
        <f>I4903+O4903</f>
        <v/>
      </c>
      <c r="R4903" s="7">
        <f>Q4903*G4903</f>
        <v/>
      </c>
      <c r="S4903" s="8">
        <f>IF($R$4930=0,0,R4903/$R$4930)</f>
        <v/>
      </c>
      <c r="T4903" s="8" t="n">
        <v>0.03337349198059703</v>
      </c>
      <c r="U4903" s="8" t="n">
        <v>-0.002871200683865816</v>
      </c>
      <c r="V4903" s="6" t="inlineStr">
        <is>
          <t>not selected</t>
        </is>
      </c>
    </row>
    <row r="4904">
      <c r="A4904" s="6" t="inlineStr">
        <is>
          <t>DJ30</t>
        </is>
      </c>
      <c r="B4904" s="6" t="inlineStr">
        <is>
          <t>2026-01-16</t>
        </is>
      </c>
      <c r="C4904" s="6" t="inlineStr">
        <is>
          <t>DIA</t>
        </is>
      </c>
      <c r="D4904" s="6" t="inlineStr">
        <is>
          <t>BA</t>
        </is>
      </c>
      <c r="E4904" s="6" t="inlineStr">
        <is>
          <t>BA</t>
        </is>
      </c>
      <c r="F4904" s="6" t="inlineStr">
        <is>
          <t>-</t>
        </is>
      </c>
      <c r="G4904" s="7" t="n">
        <v>247.6799926757812</v>
      </c>
      <c r="H4904" s="6">
        <f>P4873</f>
        <v/>
      </c>
      <c r="I4904" s="9">
        <f>Q4873</f>
        <v/>
      </c>
      <c r="J4904" s="7">
        <f>I4904*G4904</f>
        <v/>
      </c>
      <c r="K4904" s="8">
        <f>IF($J$4930=0,0,J4904/$J$4930)</f>
        <v/>
      </c>
      <c r="L4904" s="6" t="inlineStr">
        <is>
          <t>WATCHLIST</t>
        </is>
      </c>
      <c r="M4904" s="8" t="n">
        <v>0</v>
      </c>
      <c r="N4904" s="7">
        <f>M4904*$J$4930-J4904</f>
        <v/>
      </c>
      <c r="O4904" s="9">
        <f>IF(G4904=0,0,N4904/G4904)</f>
        <v/>
      </c>
      <c r="P4904" s="6">
        <f>IF(M4904&gt;0,D4904,"")</f>
        <v/>
      </c>
      <c r="Q4904" s="9">
        <f>I4904+O4904</f>
        <v/>
      </c>
      <c r="R4904" s="7">
        <f>Q4904*G4904</f>
        <v/>
      </c>
      <c r="S4904" s="8">
        <f>IF($R$4930=0,0,R4904/$R$4930)</f>
        <v/>
      </c>
      <c r="T4904" s="8" t="n">
        <v>0.03337349198059703</v>
      </c>
      <c r="U4904" s="8" t="n">
        <v>-0.002871200683865816</v>
      </c>
      <c r="V4904" s="6" t="inlineStr">
        <is>
          <t>not selected</t>
        </is>
      </c>
    </row>
    <row r="4905">
      <c r="A4905" s="6" t="inlineStr">
        <is>
          <t>DJ30</t>
        </is>
      </c>
      <c r="B4905" s="6" t="inlineStr">
        <is>
          <t>2026-01-16</t>
        </is>
      </c>
      <c r="C4905" s="6" t="inlineStr">
        <is>
          <t>DIA</t>
        </is>
      </c>
      <c r="D4905" s="6" t="inlineStr">
        <is>
          <t>CAT</t>
        </is>
      </c>
      <c r="E4905" s="6" t="inlineStr">
        <is>
          <t>CAT</t>
        </is>
      </c>
      <c r="F4905" s="6" t="inlineStr">
        <is>
          <t>-</t>
        </is>
      </c>
      <c r="G4905" s="7" t="n">
        <v>644.1536865234375</v>
      </c>
      <c r="H4905" s="6">
        <f>P4874</f>
        <v/>
      </c>
      <c r="I4905" s="9">
        <f>Q4874</f>
        <v/>
      </c>
      <c r="J4905" s="7">
        <f>I4905*G4905</f>
        <v/>
      </c>
      <c r="K4905" s="8">
        <f>IF($J$4930=0,0,J4905/$J$4930)</f>
        <v/>
      </c>
      <c r="L4905" s="6" t="inlineStr">
        <is>
          <t>SELECTED</t>
        </is>
      </c>
      <c r="M4905" s="8" t="n">
        <v>0.2</v>
      </c>
      <c r="N4905" s="7">
        <f>M4905*$J$4930-J4905</f>
        <v/>
      </c>
      <c r="O4905" s="9">
        <f>IF(G4905=0,0,N4905/G4905)</f>
        <v/>
      </c>
      <c r="P4905" s="6">
        <f>IF(M4905&gt;0,D4905,"")</f>
        <v/>
      </c>
      <c r="Q4905" s="9">
        <f>I4905+O4905</f>
        <v/>
      </c>
      <c r="R4905" s="7">
        <f>Q4905*G4905</f>
        <v/>
      </c>
      <c r="S4905" s="8">
        <f>IF($R$4930=0,0,R4905/$R$4930)</f>
        <v/>
      </c>
      <c r="T4905" s="8" t="n">
        <v>0.03337349198059703</v>
      </c>
      <c r="U4905" s="8" t="n">
        <v>-0.002871200683865816</v>
      </c>
      <c r="V4905" s="6" t="inlineStr">
        <is>
          <t>remained in weekly selection</t>
        </is>
      </c>
    </row>
    <row r="4906">
      <c r="A4906" s="6" t="inlineStr">
        <is>
          <t>DJ30</t>
        </is>
      </c>
      <c r="B4906" s="6" t="inlineStr">
        <is>
          <t>2026-01-16</t>
        </is>
      </c>
      <c r="C4906" s="6" t="inlineStr">
        <is>
          <t>DIA</t>
        </is>
      </c>
      <c r="D4906" s="6" t="inlineStr">
        <is>
          <t>CRM</t>
        </is>
      </c>
      <c r="E4906" s="6" t="inlineStr">
        <is>
          <t>CRM</t>
        </is>
      </c>
      <c r="F4906" s="6" t="inlineStr">
        <is>
          <t>-</t>
        </is>
      </c>
      <c r="G4906" s="7" t="n">
        <v>225.9602203369141</v>
      </c>
      <c r="H4906" s="6">
        <f>P4875</f>
        <v/>
      </c>
      <c r="I4906" s="9">
        <f>Q4875</f>
        <v/>
      </c>
      <c r="J4906" s="7">
        <f>I4906*G4906</f>
        <v/>
      </c>
      <c r="K4906" s="8">
        <f>IF($J$4930=0,0,J4906/$J$4930)</f>
        <v/>
      </c>
      <c r="L4906" s="6" t="inlineStr">
        <is>
          <t>REJECTED</t>
        </is>
      </c>
      <c r="M4906" s="8" t="n">
        <v>0</v>
      </c>
      <c r="N4906" s="7">
        <f>M4906*$J$4930-J4906</f>
        <v/>
      </c>
      <c r="O4906" s="9">
        <f>IF(G4906=0,0,N4906/G4906)</f>
        <v/>
      </c>
      <c r="P4906" s="6">
        <f>IF(M4906&gt;0,D4906,"")</f>
        <v/>
      </c>
      <c r="Q4906" s="9">
        <f>I4906+O4906</f>
        <v/>
      </c>
      <c r="R4906" s="7">
        <f>Q4906*G4906</f>
        <v/>
      </c>
      <c r="S4906" s="8">
        <f>IF($R$4930=0,0,R4906/$R$4930)</f>
        <v/>
      </c>
      <c r="T4906" s="8" t="n">
        <v>0.03337349198059703</v>
      </c>
      <c r="U4906" s="8" t="n">
        <v>-0.002871200683865816</v>
      </c>
      <c r="V4906" s="6" t="inlineStr">
        <is>
          <t>not selected</t>
        </is>
      </c>
    </row>
    <row r="4907">
      <c r="A4907" s="6" t="inlineStr">
        <is>
          <t>DJ30</t>
        </is>
      </c>
      <c r="B4907" s="6" t="inlineStr">
        <is>
          <t>2026-01-16</t>
        </is>
      </c>
      <c r="C4907" s="6" t="inlineStr">
        <is>
          <t>DIA</t>
        </is>
      </c>
      <c r="D4907" s="6" t="inlineStr">
        <is>
          <t>CSCO</t>
        </is>
      </c>
      <c r="E4907" s="6" t="inlineStr">
        <is>
          <t>CSCO</t>
        </is>
      </c>
      <c r="F4907" s="6" t="inlineStr">
        <is>
          <t>-</t>
        </is>
      </c>
      <c r="G4907" s="7" t="n">
        <v>74.78476715087891</v>
      </c>
      <c r="H4907" s="6">
        <f>P4876</f>
        <v/>
      </c>
      <c r="I4907" s="9">
        <f>Q4876</f>
        <v/>
      </c>
      <c r="J4907" s="7">
        <f>I4907*G4907</f>
        <v/>
      </c>
      <c r="K4907" s="8">
        <f>IF($J$4930=0,0,J4907/$J$4930)</f>
        <v/>
      </c>
      <c r="L4907" s="6" t="inlineStr">
        <is>
          <t>SELECTED</t>
        </is>
      </c>
      <c r="M4907" s="8" t="n">
        <v>0.2</v>
      </c>
      <c r="N4907" s="7">
        <f>M4907*$J$4930-J4907</f>
        <v/>
      </c>
      <c r="O4907" s="9">
        <f>IF(G4907=0,0,N4907/G4907)</f>
        <v/>
      </c>
      <c r="P4907" s="6">
        <f>IF(M4907&gt;0,D4907,"")</f>
        <v/>
      </c>
      <c r="Q4907" s="9">
        <f>I4907+O4907</f>
        <v/>
      </c>
      <c r="R4907" s="7">
        <f>Q4907*G4907</f>
        <v/>
      </c>
      <c r="S4907" s="8">
        <f>IF($R$4930=0,0,R4907/$R$4930)</f>
        <v/>
      </c>
      <c r="T4907" s="8" t="n">
        <v>0.03337349198059703</v>
      </c>
      <c r="U4907" s="8" t="n">
        <v>-0.002871200683865816</v>
      </c>
      <c r="V4907" s="6" t="inlineStr">
        <is>
          <t>remained in weekly selection</t>
        </is>
      </c>
    </row>
    <row r="4908">
      <c r="A4908" s="6" t="inlineStr">
        <is>
          <t>DJ30</t>
        </is>
      </c>
      <c r="B4908" s="6" t="inlineStr">
        <is>
          <t>2026-01-16</t>
        </is>
      </c>
      <c r="C4908" s="6" t="inlineStr">
        <is>
          <t>DIA</t>
        </is>
      </c>
      <c r="D4908" s="6" t="inlineStr">
        <is>
          <t>CVX</t>
        </is>
      </c>
      <c r="E4908" s="6" t="inlineStr">
        <is>
          <t>CVX</t>
        </is>
      </c>
      <c r="F4908" s="6" t="inlineStr">
        <is>
          <t>-</t>
        </is>
      </c>
      <c r="G4908" s="7" t="n">
        <v>163.1549682617188</v>
      </c>
      <c r="H4908" s="6">
        <f>P4877</f>
        <v/>
      </c>
      <c r="I4908" s="9">
        <f>Q4877</f>
        <v/>
      </c>
      <c r="J4908" s="7">
        <f>I4908*G4908</f>
        <v/>
      </c>
      <c r="K4908" s="8">
        <f>IF($J$4930=0,0,J4908/$J$4930)</f>
        <v/>
      </c>
      <c r="L4908" s="6" t="inlineStr">
        <is>
          <t>REJECTED</t>
        </is>
      </c>
      <c r="M4908" s="8" t="n">
        <v>0</v>
      </c>
      <c r="N4908" s="7">
        <f>M4908*$J$4930-J4908</f>
        <v/>
      </c>
      <c r="O4908" s="9">
        <f>IF(G4908=0,0,N4908/G4908)</f>
        <v/>
      </c>
      <c r="P4908" s="6">
        <f>IF(M4908&gt;0,D4908,"")</f>
        <v/>
      </c>
      <c r="Q4908" s="9">
        <f>I4908+O4908</f>
        <v/>
      </c>
      <c r="R4908" s="7">
        <f>Q4908*G4908</f>
        <v/>
      </c>
      <c r="S4908" s="8">
        <f>IF($R$4930=0,0,R4908/$R$4930)</f>
        <v/>
      </c>
      <c r="T4908" s="8" t="n">
        <v>0.03337349198059703</v>
      </c>
      <c r="U4908" s="8" t="n">
        <v>-0.002871200683865816</v>
      </c>
      <c r="V4908" s="6" t="inlineStr">
        <is>
          <t>not selected</t>
        </is>
      </c>
    </row>
    <row r="4909">
      <c r="A4909" s="6" t="inlineStr">
        <is>
          <t>DJ30</t>
        </is>
      </c>
      <c r="B4909" s="6" t="inlineStr">
        <is>
          <t>2026-01-16</t>
        </is>
      </c>
      <c r="C4909" s="6" t="inlineStr">
        <is>
          <t>DIA</t>
        </is>
      </c>
      <c r="D4909" s="6" t="inlineStr">
        <is>
          <t>DIS</t>
        </is>
      </c>
      <c r="E4909" s="6" t="inlineStr">
        <is>
          <t>DIS</t>
        </is>
      </c>
      <c r="F4909" s="6" t="inlineStr">
        <is>
          <t>-</t>
        </is>
      </c>
      <c r="G4909" s="7" t="n">
        <v>111.1999969482422</v>
      </c>
      <c r="H4909" s="6">
        <f>P4878</f>
        <v/>
      </c>
      <c r="I4909" s="9">
        <f>Q4878</f>
        <v/>
      </c>
      <c r="J4909" s="7">
        <f>I4909*G4909</f>
        <v/>
      </c>
      <c r="K4909" s="8">
        <f>IF($J$4930=0,0,J4909/$J$4930)</f>
        <v/>
      </c>
      <c r="L4909" s="6" t="inlineStr">
        <is>
          <t>REJECTED</t>
        </is>
      </c>
      <c r="M4909" s="8" t="n">
        <v>0</v>
      </c>
      <c r="N4909" s="7">
        <f>M4909*$J$4930-J4909</f>
        <v/>
      </c>
      <c r="O4909" s="9">
        <f>IF(G4909=0,0,N4909/G4909)</f>
        <v/>
      </c>
      <c r="P4909" s="6">
        <f>IF(M4909&gt;0,D4909,"")</f>
        <v/>
      </c>
      <c r="Q4909" s="9">
        <f>I4909+O4909</f>
        <v/>
      </c>
      <c r="R4909" s="7">
        <f>Q4909*G4909</f>
        <v/>
      </c>
      <c r="S4909" s="8">
        <f>IF($R$4930=0,0,R4909/$R$4930)</f>
        <v/>
      </c>
      <c r="T4909" s="8" t="n">
        <v>0.03337349198059703</v>
      </c>
      <c r="U4909" s="8" t="n">
        <v>-0.002871200683865816</v>
      </c>
      <c r="V4909" s="6" t="inlineStr">
        <is>
          <t>not selected</t>
        </is>
      </c>
    </row>
    <row r="4910">
      <c r="A4910" s="6" t="inlineStr">
        <is>
          <t>DJ30</t>
        </is>
      </c>
      <c r="B4910" s="6" t="inlineStr">
        <is>
          <t>2026-01-16</t>
        </is>
      </c>
      <c r="C4910" s="6" t="inlineStr">
        <is>
          <t>DIA</t>
        </is>
      </c>
      <c r="D4910" s="6" t="inlineStr">
        <is>
          <t>GS</t>
        </is>
      </c>
      <c r="E4910" s="6" t="inlineStr">
        <is>
          <t>GS</t>
        </is>
      </c>
      <c r="F4910" s="6" t="inlineStr">
        <is>
          <t>-</t>
        </is>
      </c>
      <c r="G4910" s="7" t="n">
        <v>952.7647094726562</v>
      </c>
      <c r="H4910" s="6">
        <f>P4879</f>
        <v/>
      </c>
      <c r="I4910" s="9">
        <f>Q4879</f>
        <v/>
      </c>
      <c r="J4910" s="7">
        <f>I4910*G4910</f>
        <v/>
      </c>
      <c r="K4910" s="8">
        <f>IF($J$4930=0,0,J4910/$J$4930)</f>
        <v/>
      </c>
      <c r="L4910" s="6" t="inlineStr">
        <is>
          <t>SELECTED</t>
        </is>
      </c>
      <c r="M4910" s="8" t="n">
        <v>0.2</v>
      </c>
      <c r="N4910" s="7">
        <f>M4910*$J$4930-J4910</f>
        <v/>
      </c>
      <c r="O4910" s="9">
        <f>IF(G4910=0,0,N4910/G4910)</f>
        <v/>
      </c>
      <c r="P4910" s="6">
        <f>IF(M4910&gt;0,D4910,"")</f>
        <v/>
      </c>
      <c r="Q4910" s="9">
        <f>I4910+O4910</f>
        <v/>
      </c>
      <c r="R4910" s="7">
        <f>Q4910*G4910</f>
        <v/>
      </c>
      <c r="S4910" s="8">
        <f>IF($R$4930=0,0,R4910/$R$4930)</f>
        <v/>
      </c>
      <c r="T4910" s="8" t="n">
        <v>0.03337349198059703</v>
      </c>
      <c r="U4910" s="8" t="n">
        <v>-0.002871200683865816</v>
      </c>
      <c r="V4910" s="6" t="inlineStr">
        <is>
          <t>remained in weekly selection</t>
        </is>
      </c>
    </row>
    <row r="4911">
      <c r="A4911" s="6" t="inlineStr">
        <is>
          <t>DJ30</t>
        </is>
      </c>
      <c r="B4911" s="6" t="inlineStr">
        <is>
          <t>2026-01-16</t>
        </is>
      </c>
      <c r="C4911" s="6" t="inlineStr">
        <is>
          <t>DIA</t>
        </is>
      </c>
      <c r="D4911" s="6" t="inlineStr">
        <is>
          <t>HD</t>
        </is>
      </c>
      <c r="E4911" s="6" t="inlineStr">
        <is>
          <t>HD</t>
        </is>
      </c>
      <c r="F4911" s="6" t="inlineStr">
        <is>
          <t>-</t>
        </is>
      </c>
      <c r="G4911" s="7" t="n">
        <v>374.833740234375</v>
      </c>
      <c r="H4911" s="6">
        <f>P4880</f>
        <v/>
      </c>
      <c r="I4911" s="9">
        <f>Q4880</f>
        <v/>
      </c>
      <c r="J4911" s="7">
        <f>I4911*G4911</f>
        <v/>
      </c>
      <c r="K4911" s="8">
        <f>IF($J$4930=0,0,J4911/$J$4930)</f>
        <v/>
      </c>
      <c r="L4911" s="6" t="inlineStr">
        <is>
          <t>REJECTED</t>
        </is>
      </c>
      <c r="M4911" s="8" t="n">
        <v>0</v>
      </c>
      <c r="N4911" s="7">
        <f>M4911*$J$4930-J4911</f>
        <v/>
      </c>
      <c r="O4911" s="9">
        <f>IF(G4911=0,0,N4911/G4911)</f>
        <v/>
      </c>
      <c r="P4911" s="6">
        <f>IF(M4911&gt;0,D4911,"")</f>
        <v/>
      </c>
      <c r="Q4911" s="9">
        <f>I4911+O4911</f>
        <v/>
      </c>
      <c r="R4911" s="7">
        <f>Q4911*G4911</f>
        <v/>
      </c>
      <c r="S4911" s="8">
        <f>IF($R$4930=0,0,R4911/$R$4930)</f>
        <v/>
      </c>
      <c r="T4911" s="8" t="n">
        <v>0.03337349198059703</v>
      </c>
      <c r="U4911" s="8" t="n">
        <v>-0.002871200683865816</v>
      </c>
      <c r="V4911" s="6" t="inlineStr">
        <is>
          <t>not selected</t>
        </is>
      </c>
    </row>
    <row r="4912">
      <c r="A4912" s="6" t="inlineStr">
        <is>
          <t>DJ30</t>
        </is>
      </c>
      <c r="B4912" s="6" t="inlineStr">
        <is>
          <t>2026-01-16</t>
        </is>
      </c>
      <c r="C4912" s="6" t="inlineStr">
        <is>
          <t>DIA</t>
        </is>
      </c>
      <c r="D4912" s="6" t="inlineStr">
        <is>
          <t>HON</t>
        </is>
      </c>
      <c r="E4912" s="6" t="inlineStr">
        <is>
          <t>HON</t>
        </is>
      </c>
      <c r="F4912" s="6" t="inlineStr">
        <is>
          <t>-</t>
        </is>
      </c>
      <c r="G4912" s="7" t="n">
        <v>217.1129608154297</v>
      </c>
      <c r="H4912" s="6">
        <f>P4881</f>
        <v/>
      </c>
      <c r="I4912" s="9">
        <f>Q4881</f>
        <v/>
      </c>
      <c r="J4912" s="7">
        <f>I4912*G4912</f>
        <v/>
      </c>
      <c r="K4912" s="8">
        <f>IF($J$4930=0,0,J4912/$J$4930)</f>
        <v/>
      </c>
      <c r="L4912" s="6" t="inlineStr">
        <is>
          <t>REJECTED</t>
        </is>
      </c>
      <c r="M4912" s="8" t="n">
        <v>0</v>
      </c>
      <c r="N4912" s="7">
        <f>M4912*$J$4930-J4912</f>
        <v/>
      </c>
      <c r="O4912" s="9">
        <f>IF(G4912=0,0,N4912/G4912)</f>
        <v/>
      </c>
      <c r="P4912" s="6">
        <f>IF(M4912&gt;0,D4912,"")</f>
        <v/>
      </c>
      <c r="Q4912" s="9">
        <f>I4912+O4912</f>
        <v/>
      </c>
      <c r="R4912" s="7">
        <f>Q4912*G4912</f>
        <v/>
      </c>
      <c r="S4912" s="8">
        <f>IF($R$4930=0,0,R4912/$R$4930)</f>
        <v/>
      </c>
      <c r="T4912" s="8" t="n">
        <v>0.03337349198059703</v>
      </c>
      <c r="U4912" s="8" t="n">
        <v>-0.002871200683865816</v>
      </c>
      <c r="V4912" s="6" t="inlineStr">
        <is>
          <t>not selected</t>
        </is>
      </c>
    </row>
    <row r="4913">
      <c r="A4913" s="6" t="inlineStr">
        <is>
          <t>DJ30</t>
        </is>
      </c>
      <c r="B4913" s="6" t="inlineStr">
        <is>
          <t>2026-01-16</t>
        </is>
      </c>
      <c r="C4913" s="6" t="inlineStr">
        <is>
          <t>DIA</t>
        </is>
      </c>
      <c r="D4913" s="6" t="inlineStr">
        <is>
          <t>IBM</t>
        </is>
      </c>
      <c r="E4913" s="6" t="inlineStr">
        <is>
          <t>IBM</t>
        </is>
      </c>
      <c r="F4913" s="6" t="inlineStr">
        <is>
          <t>-</t>
        </is>
      </c>
      <c r="G4913" s="7" t="n">
        <v>301.7164611816406</v>
      </c>
      <c r="H4913" s="6">
        <f>P4882</f>
        <v/>
      </c>
      <c r="I4913" s="9">
        <f>Q4882</f>
        <v/>
      </c>
      <c r="J4913" s="7">
        <f>I4913*G4913</f>
        <v/>
      </c>
      <c r="K4913" s="8">
        <f>IF($J$4930=0,0,J4913/$J$4930)</f>
        <v/>
      </c>
      <c r="L4913" s="6" t="inlineStr">
        <is>
          <t>WATCHLIST</t>
        </is>
      </c>
      <c r="M4913" s="8" t="n">
        <v>0</v>
      </c>
      <c r="N4913" s="7">
        <f>M4913*$J$4930-J4913</f>
        <v/>
      </c>
      <c r="O4913" s="9">
        <f>IF(G4913=0,0,N4913/G4913)</f>
        <v/>
      </c>
      <c r="P4913" s="6">
        <f>IF(M4913&gt;0,D4913,"")</f>
        <v/>
      </c>
      <c r="Q4913" s="9">
        <f>I4913+O4913</f>
        <v/>
      </c>
      <c r="R4913" s="7">
        <f>Q4913*G4913</f>
        <v/>
      </c>
      <c r="S4913" s="8">
        <f>IF($R$4930=0,0,R4913/$R$4930)</f>
        <v/>
      </c>
      <c r="T4913" s="8" t="n">
        <v>0.03337349198059703</v>
      </c>
      <c r="U4913" s="8" t="n">
        <v>-0.002871200683865816</v>
      </c>
      <c r="V4913" s="6" t="inlineStr">
        <is>
          <t>not selected</t>
        </is>
      </c>
    </row>
    <row r="4914">
      <c r="A4914" s="6" t="inlineStr">
        <is>
          <t>DJ30</t>
        </is>
      </c>
      <c r="B4914" s="6" t="inlineStr">
        <is>
          <t>2026-01-16</t>
        </is>
      </c>
      <c r="C4914" s="6" t="inlineStr">
        <is>
          <t>DIA</t>
        </is>
      </c>
      <c r="D4914" s="6" t="inlineStr">
        <is>
          <t>JNJ</t>
        </is>
      </c>
      <c r="E4914" s="6" t="inlineStr">
        <is>
          <t>JNJ</t>
        </is>
      </c>
      <c r="F4914" s="6" t="inlineStr">
        <is>
          <t>-</t>
        </is>
      </c>
      <c r="G4914" s="7" t="n">
        <v>216.259994506836</v>
      </c>
      <c r="H4914" s="6">
        <f>P4883</f>
        <v/>
      </c>
      <c r="I4914" s="9">
        <f>Q4883</f>
        <v/>
      </c>
      <c r="J4914" s="7">
        <f>I4914*G4914</f>
        <v/>
      </c>
      <c r="K4914" s="8">
        <f>IF($J$4930=0,0,J4914/$J$4930)</f>
        <v/>
      </c>
      <c r="L4914" s="6" t="inlineStr">
        <is>
          <t>SELECTED</t>
        </is>
      </c>
      <c r="M4914" s="8" t="n">
        <v>0.2</v>
      </c>
      <c r="N4914" s="7">
        <f>M4914*$J$4930-J4914</f>
        <v/>
      </c>
      <c r="O4914" s="9">
        <f>IF(G4914=0,0,N4914/G4914)</f>
        <v/>
      </c>
      <c r="P4914" s="6">
        <f>IF(M4914&gt;0,D4914,"")</f>
        <v/>
      </c>
      <c r="Q4914" s="9">
        <f>I4914+O4914</f>
        <v/>
      </c>
      <c r="R4914" s="7">
        <f>Q4914*G4914</f>
        <v/>
      </c>
      <c r="S4914" s="8">
        <f>IF($R$4930=0,0,R4914/$R$4930)</f>
        <v/>
      </c>
      <c r="T4914" s="8" t="n">
        <v>0.03337349198059703</v>
      </c>
      <c r="U4914" s="8" t="n">
        <v>-0.002871200683865816</v>
      </c>
      <c r="V4914" s="6" t="inlineStr">
        <is>
          <t>remained in weekly selection</t>
        </is>
      </c>
    </row>
    <row r="4915">
      <c r="A4915" s="6" t="inlineStr">
        <is>
          <t>DJ30</t>
        </is>
      </c>
      <c r="B4915" s="6" t="inlineStr">
        <is>
          <t>2026-01-16</t>
        </is>
      </c>
      <c r="C4915" s="6" t="inlineStr">
        <is>
          <t>DIA</t>
        </is>
      </c>
      <c r="D4915" s="6" t="inlineStr">
        <is>
          <t>JPM</t>
        </is>
      </c>
      <c r="E4915" s="6" t="inlineStr">
        <is>
          <t>JPM</t>
        </is>
      </c>
      <c r="F4915" s="6" t="inlineStr">
        <is>
          <t>-</t>
        </is>
      </c>
      <c r="G4915" s="7" t="n">
        <v>310.8789978027344</v>
      </c>
      <c r="H4915" s="6">
        <f>P4884</f>
        <v/>
      </c>
      <c r="I4915" s="9">
        <f>Q4884</f>
        <v/>
      </c>
      <c r="J4915" s="7">
        <f>I4915*G4915</f>
        <v/>
      </c>
      <c r="K4915" s="8">
        <f>IF($J$4930=0,0,J4915/$J$4930)</f>
        <v/>
      </c>
      <c r="L4915" s="6" t="inlineStr">
        <is>
          <t>WATCHLIST</t>
        </is>
      </c>
      <c r="M4915" s="8" t="n">
        <v>0</v>
      </c>
      <c r="N4915" s="7">
        <f>M4915*$J$4930-J4915</f>
        <v/>
      </c>
      <c r="O4915" s="9">
        <f>IF(G4915=0,0,N4915/G4915)</f>
        <v/>
      </c>
      <c r="P4915" s="6">
        <f>IF(M4915&gt;0,D4915,"")</f>
        <v/>
      </c>
      <c r="Q4915" s="9">
        <f>I4915+O4915</f>
        <v/>
      </c>
      <c r="R4915" s="7">
        <f>Q4915*G4915</f>
        <v/>
      </c>
      <c r="S4915" s="8">
        <f>IF($R$4930=0,0,R4915/$R$4930)</f>
        <v/>
      </c>
      <c r="T4915" s="8" t="n">
        <v>0.03337349198059703</v>
      </c>
      <c r="U4915" s="8" t="n">
        <v>-0.002871200683865816</v>
      </c>
      <c r="V4915" s="6" t="inlineStr">
        <is>
          <t>not selected</t>
        </is>
      </c>
    </row>
    <row r="4916">
      <c r="A4916" s="6" t="inlineStr">
        <is>
          <t>DJ30</t>
        </is>
      </c>
      <c r="B4916" s="6" t="inlineStr">
        <is>
          <t>2026-01-16</t>
        </is>
      </c>
      <c r="C4916" s="6" t="inlineStr">
        <is>
          <t>DIA</t>
        </is>
      </c>
      <c r="D4916" s="6" t="inlineStr">
        <is>
          <t>KO</t>
        </is>
      </c>
      <c r="E4916" s="6" t="inlineStr">
        <is>
          <t>KO</t>
        </is>
      </c>
      <c r="F4916" s="6" t="inlineStr">
        <is>
          <t>-</t>
        </is>
      </c>
      <c r="G4916" s="7" t="n">
        <v>69.51019287109375</v>
      </c>
      <c r="H4916" s="6">
        <f>P4885</f>
        <v/>
      </c>
      <c r="I4916" s="9">
        <f>Q4885</f>
        <v/>
      </c>
      <c r="J4916" s="7">
        <f>I4916*G4916</f>
        <v/>
      </c>
      <c r="K4916" s="8">
        <f>IF($J$4930=0,0,J4916/$J$4930)</f>
        <v/>
      </c>
      <c r="L4916" s="6" t="inlineStr">
        <is>
          <t>REJECTED</t>
        </is>
      </c>
      <c r="M4916" s="8" t="n">
        <v>0</v>
      </c>
      <c r="N4916" s="7">
        <f>M4916*$J$4930-J4916</f>
        <v/>
      </c>
      <c r="O4916" s="9">
        <f>IF(G4916=0,0,N4916/G4916)</f>
        <v/>
      </c>
      <c r="P4916" s="6">
        <f>IF(M4916&gt;0,D4916,"")</f>
        <v/>
      </c>
      <c r="Q4916" s="9">
        <f>I4916+O4916</f>
        <v/>
      </c>
      <c r="R4916" s="7">
        <f>Q4916*G4916</f>
        <v/>
      </c>
      <c r="S4916" s="8">
        <f>IF($R$4930=0,0,R4916/$R$4930)</f>
        <v/>
      </c>
      <c r="T4916" s="8" t="n">
        <v>0.03337349198059703</v>
      </c>
      <c r="U4916" s="8" t="n">
        <v>-0.002871200683865816</v>
      </c>
      <c r="V4916" s="6" t="inlineStr">
        <is>
          <t>not selected</t>
        </is>
      </c>
    </row>
    <row r="4917">
      <c r="A4917" s="6" t="inlineStr">
        <is>
          <t>DJ30</t>
        </is>
      </c>
      <c r="B4917" s="6" t="inlineStr">
        <is>
          <t>2026-01-16</t>
        </is>
      </c>
      <c r="C4917" s="6" t="inlineStr">
        <is>
          <t>DIA</t>
        </is>
      </c>
      <c r="D4917" s="6" t="inlineStr">
        <is>
          <t>MCD</t>
        </is>
      </c>
      <c r="E4917" s="6" t="inlineStr">
        <is>
          <t>MCD</t>
        </is>
      </c>
      <c r="F4917" s="6" t="inlineStr">
        <is>
          <t>-</t>
        </is>
      </c>
      <c r="G4917" s="7" t="n">
        <v>303.6626892089844</v>
      </c>
      <c r="H4917" s="6">
        <f>P4886</f>
        <v/>
      </c>
      <c r="I4917" s="9">
        <f>Q4886</f>
        <v/>
      </c>
      <c r="J4917" s="7">
        <f>I4917*G4917</f>
        <v/>
      </c>
      <c r="K4917" s="8">
        <f>IF($J$4930=0,0,J4917/$J$4930)</f>
        <v/>
      </c>
      <c r="L4917" s="6" t="inlineStr">
        <is>
          <t>REJECTED</t>
        </is>
      </c>
      <c r="M4917" s="8" t="n">
        <v>0</v>
      </c>
      <c r="N4917" s="7">
        <f>M4917*$J$4930-J4917</f>
        <v/>
      </c>
      <c r="O4917" s="9">
        <f>IF(G4917=0,0,N4917/G4917)</f>
        <v/>
      </c>
      <c r="P4917" s="6">
        <f>IF(M4917&gt;0,D4917,"")</f>
        <v/>
      </c>
      <c r="Q4917" s="9">
        <f>I4917+O4917</f>
        <v/>
      </c>
      <c r="R4917" s="7">
        <f>Q4917*G4917</f>
        <v/>
      </c>
      <c r="S4917" s="8">
        <f>IF($R$4930=0,0,R4917/$R$4930)</f>
        <v/>
      </c>
      <c r="T4917" s="8" t="n">
        <v>0.03337349198059703</v>
      </c>
      <c r="U4917" s="8" t="n">
        <v>-0.002871200683865816</v>
      </c>
      <c r="V4917" s="6" t="inlineStr">
        <is>
          <t>not selected</t>
        </is>
      </c>
    </row>
    <row r="4918">
      <c r="A4918" s="6" t="inlineStr">
        <is>
          <t>DJ30</t>
        </is>
      </c>
      <c r="B4918" s="6" t="inlineStr">
        <is>
          <t>2026-01-16</t>
        </is>
      </c>
      <c r="C4918" s="6" t="inlineStr">
        <is>
          <t>DIA</t>
        </is>
      </c>
      <c r="D4918" s="6" t="inlineStr">
        <is>
          <t>MMM</t>
        </is>
      </c>
      <c r="E4918" s="6" t="inlineStr">
        <is>
          <t>MMM</t>
        </is>
      </c>
      <c r="F4918" s="6" t="inlineStr">
        <is>
          <t>-</t>
        </is>
      </c>
      <c r="G4918" s="7" t="n">
        <v>166.1909332275391</v>
      </c>
      <c r="H4918" s="6">
        <f>P4887</f>
        <v/>
      </c>
      <c r="I4918" s="9">
        <f>Q4887</f>
        <v/>
      </c>
      <c r="J4918" s="7">
        <f>I4918*G4918</f>
        <v/>
      </c>
      <c r="K4918" s="8">
        <f>IF($J$4930=0,0,J4918/$J$4930)</f>
        <v/>
      </c>
      <c r="L4918" s="6" t="inlineStr">
        <is>
          <t>WATCHLIST</t>
        </is>
      </c>
      <c r="M4918" s="8" t="n">
        <v>0</v>
      </c>
      <c r="N4918" s="7">
        <f>M4918*$J$4930-J4918</f>
        <v/>
      </c>
      <c r="O4918" s="9">
        <f>IF(G4918=0,0,N4918/G4918)</f>
        <v/>
      </c>
      <c r="P4918" s="6">
        <f>IF(M4918&gt;0,D4918,"")</f>
        <v/>
      </c>
      <c r="Q4918" s="9">
        <f>I4918+O4918</f>
        <v/>
      </c>
      <c r="R4918" s="7">
        <f>Q4918*G4918</f>
        <v/>
      </c>
      <c r="S4918" s="8">
        <f>IF($R$4930=0,0,R4918/$R$4930)</f>
        <v/>
      </c>
      <c r="T4918" s="8" t="n">
        <v>0.03337349198059703</v>
      </c>
      <c r="U4918" s="8" t="n">
        <v>-0.002871200683865816</v>
      </c>
      <c r="V4918" s="6" t="inlineStr">
        <is>
          <t>not selected</t>
        </is>
      </c>
    </row>
    <row r="4919">
      <c r="A4919" s="6" t="inlineStr">
        <is>
          <t>DJ30</t>
        </is>
      </c>
      <c r="B4919" s="6" t="inlineStr">
        <is>
          <t>2026-01-16</t>
        </is>
      </c>
      <c r="C4919" s="6" t="inlineStr">
        <is>
          <t>DIA</t>
        </is>
      </c>
      <c r="D4919" s="6" t="inlineStr">
        <is>
          <t>MRK</t>
        </is>
      </c>
      <c r="E4919" s="6" t="inlineStr">
        <is>
          <t>MRK</t>
        </is>
      </c>
      <c r="F4919" s="6" t="inlineStr">
        <is>
          <t>-</t>
        </is>
      </c>
      <c r="G4919" s="7" t="n">
        <v>107.2585372924805</v>
      </c>
      <c r="H4919" s="6">
        <f>P4888</f>
        <v/>
      </c>
      <c r="I4919" s="9">
        <f>Q4888</f>
        <v/>
      </c>
      <c r="J4919" s="7">
        <f>I4919*G4919</f>
        <v/>
      </c>
      <c r="K4919" s="8">
        <f>IF($J$4930=0,0,J4919/$J$4930)</f>
        <v/>
      </c>
      <c r="L4919" s="6" t="inlineStr">
        <is>
          <t>REJECTED</t>
        </is>
      </c>
      <c r="M4919" s="8" t="n">
        <v>0</v>
      </c>
      <c r="N4919" s="7">
        <f>M4919*$J$4930-J4919</f>
        <v/>
      </c>
      <c r="O4919" s="9">
        <f>IF(G4919=0,0,N4919/G4919)</f>
        <v/>
      </c>
      <c r="P4919" s="6">
        <f>IF(M4919&gt;0,D4919,"")</f>
        <v/>
      </c>
      <c r="Q4919" s="9">
        <f>I4919+O4919</f>
        <v/>
      </c>
      <c r="R4919" s="7">
        <f>Q4919*G4919</f>
        <v/>
      </c>
      <c r="S4919" s="8">
        <f>IF($R$4930=0,0,R4919/$R$4930)</f>
        <v/>
      </c>
      <c r="T4919" s="8" t="n">
        <v>0.03337349198059703</v>
      </c>
      <c r="U4919" s="8" t="n">
        <v>-0.002871200683865816</v>
      </c>
      <c r="V4919" s="6" t="inlineStr">
        <is>
          <t>not selected</t>
        </is>
      </c>
    </row>
    <row r="4920">
      <c r="A4920" s="6" t="inlineStr">
        <is>
          <t>DJ30</t>
        </is>
      </c>
      <c r="B4920" s="6" t="inlineStr">
        <is>
          <t>2026-01-16</t>
        </is>
      </c>
      <c r="C4920" s="6" t="inlineStr">
        <is>
          <t>DIA</t>
        </is>
      </c>
      <c r="D4920" s="6" t="inlineStr">
        <is>
          <t>MSFT</t>
        </is>
      </c>
      <c r="E4920" s="6" t="inlineStr">
        <is>
          <t>MSFT</t>
        </is>
      </c>
      <c r="F4920" s="6" t="inlineStr">
        <is>
          <t>-</t>
        </is>
      </c>
      <c r="G4920" s="7" t="n">
        <v>457.8211669921875</v>
      </c>
      <c r="H4920" s="6">
        <f>P4889</f>
        <v/>
      </c>
      <c r="I4920" s="9">
        <f>Q4889</f>
        <v/>
      </c>
      <c r="J4920" s="7">
        <f>I4920*G4920</f>
        <v/>
      </c>
      <c r="K4920" s="8">
        <f>IF($J$4930=0,0,J4920/$J$4930)</f>
        <v/>
      </c>
      <c r="L4920" s="6" t="inlineStr">
        <is>
          <t>WATCHLIST</t>
        </is>
      </c>
      <c r="M4920" s="8" t="n">
        <v>0</v>
      </c>
      <c r="N4920" s="7">
        <f>M4920*$J$4930-J4920</f>
        <v/>
      </c>
      <c r="O4920" s="9">
        <f>IF(G4920=0,0,N4920/G4920)</f>
        <v/>
      </c>
      <c r="P4920" s="6">
        <f>IF(M4920&gt;0,D4920,"")</f>
        <v/>
      </c>
      <c r="Q4920" s="9">
        <f>I4920+O4920</f>
        <v/>
      </c>
      <c r="R4920" s="7">
        <f>Q4920*G4920</f>
        <v/>
      </c>
      <c r="S4920" s="8">
        <f>IF($R$4930=0,0,R4920/$R$4930)</f>
        <v/>
      </c>
      <c r="T4920" s="8" t="n">
        <v>0.03337349198059703</v>
      </c>
      <c r="U4920" s="8" t="n">
        <v>-0.002871200683865816</v>
      </c>
      <c r="V4920" s="6" t="inlineStr">
        <is>
          <t>not selected</t>
        </is>
      </c>
    </row>
    <row r="4921">
      <c r="A4921" s="6" t="inlineStr">
        <is>
          <t>DJ30</t>
        </is>
      </c>
      <c r="B4921" s="6" t="inlineStr">
        <is>
          <t>2026-01-16</t>
        </is>
      </c>
      <c r="C4921" s="6" t="inlineStr">
        <is>
          <t>DIA</t>
        </is>
      </c>
      <c r="D4921" s="6" t="inlineStr">
        <is>
          <t>NKE</t>
        </is>
      </c>
      <c r="E4921" s="6" t="inlineStr">
        <is>
          <t>NKE</t>
        </is>
      </c>
      <c r="F4921" s="6" t="inlineStr">
        <is>
          <t>-</t>
        </is>
      </c>
      <c r="G4921" s="7" t="n">
        <v>63.38829040527344</v>
      </c>
      <c r="H4921" s="6">
        <f>P4890</f>
        <v/>
      </c>
      <c r="I4921" s="9">
        <f>Q4890</f>
        <v/>
      </c>
      <c r="J4921" s="7">
        <f>I4921*G4921</f>
        <v/>
      </c>
      <c r="K4921" s="8">
        <f>IF($J$4930=0,0,J4921/$J$4930)</f>
        <v/>
      </c>
      <c r="L4921" s="6" t="inlineStr">
        <is>
          <t>REJECTED</t>
        </is>
      </c>
      <c r="M4921" s="8" t="n">
        <v>0</v>
      </c>
      <c r="N4921" s="7">
        <f>M4921*$J$4930-J4921</f>
        <v/>
      </c>
      <c r="O4921" s="9">
        <f>IF(G4921=0,0,N4921/G4921)</f>
        <v/>
      </c>
      <c r="P4921" s="6">
        <f>IF(M4921&gt;0,D4921,"")</f>
        <v/>
      </c>
      <c r="Q4921" s="9">
        <f>I4921+O4921</f>
        <v/>
      </c>
      <c r="R4921" s="7">
        <f>Q4921*G4921</f>
        <v/>
      </c>
      <c r="S4921" s="8">
        <f>IF($R$4930=0,0,R4921/$R$4930)</f>
        <v/>
      </c>
      <c r="T4921" s="8" t="n">
        <v>0.03337349198059703</v>
      </c>
      <c r="U4921" s="8" t="n">
        <v>-0.002871200683865816</v>
      </c>
      <c r="V4921" s="6" t="inlineStr">
        <is>
          <t>not selected</t>
        </is>
      </c>
    </row>
    <row r="4922">
      <c r="A4922" s="6" t="inlineStr">
        <is>
          <t>DJ30</t>
        </is>
      </c>
      <c r="B4922" s="6" t="inlineStr">
        <is>
          <t>2026-01-16</t>
        </is>
      </c>
      <c r="C4922" s="6" t="inlineStr">
        <is>
          <t>DIA</t>
        </is>
      </c>
      <c r="D4922" s="6" t="inlineStr">
        <is>
          <t>NVDA</t>
        </is>
      </c>
      <c r="E4922" s="6" t="inlineStr">
        <is>
          <t>NVDA</t>
        </is>
      </c>
      <c r="F4922" s="6" t="inlineStr">
        <is>
          <t>-</t>
        </is>
      </c>
      <c r="G4922" s="7" t="n">
        <v>186.0031280517578</v>
      </c>
      <c r="H4922" s="6">
        <f>P4891</f>
        <v/>
      </c>
      <c r="I4922" s="9">
        <f>Q4891</f>
        <v/>
      </c>
      <c r="J4922" s="7">
        <f>I4922*G4922</f>
        <v/>
      </c>
      <c r="K4922" s="8">
        <f>IF($J$4930=0,0,J4922/$J$4930)</f>
        <v/>
      </c>
      <c r="L4922" s="6" t="inlineStr">
        <is>
          <t>SELECTED</t>
        </is>
      </c>
      <c r="M4922" s="8" t="n">
        <v>0.2</v>
      </c>
      <c r="N4922" s="7">
        <f>M4922*$J$4930-J4922</f>
        <v/>
      </c>
      <c r="O4922" s="9">
        <f>IF(G4922=0,0,N4922/G4922)</f>
        <v/>
      </c>
      <c r="P4922" s="6">
        <f>IF(M4922&gt;0,D4922,"")</f>
        <v/>
      </c>
      <c r="Q4922" s="9">
        <f>I4922+O4922</f>
        <v/>
      </c>
      <c r="R4922" s="7">
        <f>Q4922*G4922</f>
        <v/>
      </c>
      <c r="S4922" s="8">
        <f>IF($R$4930=0,0,R4922/$R$4930)</f>
        <v/>
      </c>
      <c r="T4922" s="8" t="n">
        <v>0.03337349198059703</v>
      </c>
      <c r="U4922" s="8" t="n">
        <v>-0.002871200683865816</v>
      </c>
      <c r="V4922" s="6" t="inlineStr">
        <is>
          <t>remained in weekly selection</t>
        </is>
      </c>
    </row>
    <row r="4923">
      <c r="A4923" s="6" t="inlineStr">
        <is>
          <t>DJ30</t>
        </is>
      </c>
      <c r="B4923" s="6" t="inlineStr">
        <is>
          <t>2026-01-16</t>
        </is>
      </c>
      <c r="C4923" s="6" t="inlineStr">
        <is>
          <t>DIA</t>
        </is>
      </c>
      <c r="D4923" s="6" t="inlineStr">
        <is>
          <t>PG</t>
        </is>
      </c>
      <c r="E4923" s="6" t="inlineStr">
        <is>
          <t>PG</t>
        </is>
      </c>
      <c r="F4923" s="6" t="inlineStr">
        <is>
          <t>-</t>
        </is>
      </c>
      <c r="G4923" s="7" t="n">
        <v>142.4384918212891</v>
      </c>
      <c r="H4923" s="6">
        <f>P4892</f>
        <v/>
      </c>
      <c r="I4923" s="9">
        <f>Q4892</f>
        <v/>
      </c>
      <c r="J4923" s="7">
        <f>I4923*G4923</f>
        <v/>
      </c>
      <c r="K4923" s="8">
        <f>IF($J$4930=0,0,J4923/$J$4930)</f>
        <v/>
      </c>
      <c r="L4923" s="6" t="inlineStr">
        <is>
          <t>REJECTED</t>
        </is>
      </c>
      <c r="M4923" s="8" t="n">
        <v>0</v>
      </c>
      <c r="N4923" s="7">
        <f>M4923*$J$4930-J4923</f>
        <v/>
      </c>
      <c r="O4923" s="9">
        <f>IF(G4923=0,0,N4923/G4923)</f>
        <v/>
      </c>
      <c r="P4923" s="6">
        <f>IF(M4923&gt;0,D4923,"")</f>
        <v/>
      </c>
      <c r="Q4923" s="9">
        <f>I4923+O4923</f>
        <v/>
      </c>
      <c r="R4923" s="7">
        <f>Q4923*G4923</f>
        <v/>
      </c>
      <c r="S4923" s="8">
        <f>IF($R$4930=0,0,R4923/$R$4930)</f>
        <v/>
      </c>
      <c r="T4923" s="8" t="n">
        <v>0.03337349198059703</v>
      </c>
      <c r="U4923" s="8" t="n">
        <v>-0.002871200683865816</v>
      </c>
      <c r="V4923" s="6" t="inlineStr">
        <is>
          <t>not selected</t>
        </is>
      </c>
    </row>
    <row r="4924">
      <c r="A4924" s="6" t="inlineStr">
        <is>
          <t>DJ30</t>
        </is>
      </c>
      <c r="B4924" s="6" t="inlineStr">
        <is>
          <t>2026-01-16</t>
        </is>
      </c>
      <c r="C4924" s="6" t="inlineStr">
        <is>
          <t>DIA</t>
        </is>
      </c>
      <c r="D4924" s="6" t="inlineStr">
        <is>
          <t>SHW</t>
        </is>
      </c>
      <c r="E4924" s="6" t="inlineStr">
        <is>
          <t>SHW</t>
        </is>
      </c>
      <c r="F4924" s="6" t="inlineStr">
        <is>
          <t>-</t>
        </is>
      </c>
      <c r="G4924" s="7" t="n">
        <v>356.1171569824219</v>
      </c>
      <c r="H4924" s="6">
        <f>P4893</f>
        <v/>
      </c>
      <c r="I4924" s="9">
        <f>Q4893</f>
        <v/>
      </c>
      <c r="J4924" s="7">
        <f>I4924*G4924</f>
        <v/>
      </c>
      <c r="K4924" s="8">
        <f>IF($J$4930=0,0,J4924/$J$4930)</f>
        <v/>
      </c>
      <c r="L4924" s="6" t="inlineStr">
        <is>
          <t>REJECTED</t>
        </is>
      </c>
      <c r="M4924" s="8" t="n">
        <v>0</v>
      </c>
      <c r="N4924" s="7">
        <f>M4924*$J$4930-J4924</f>
        <v/>
      </c>
      <c r="O4924" s="9">
        <f>IF(G4924=0,0,N4924/G4924)</f>
        <v/>
      </c>
      <c r="P4924" s="6">
        <f>IF(M4924&gt;0,D4924,"")</f>
        <v/>
      </c>
      <c r="Q4924" s="9">
        <f>I4924+O4924</f>
        <v/>
      </c>
      <c r="R4924" s="7">
        <f>Q4924*G4924</f>
        <v/>
      </c>
      <c r="S4924" s="8">
        <f>IF($R$4930=0,0,R4924/$R$4930)</f>
        <v/>
      </c>
      <c r="T4924" s="8" t="n">
        <v>0.03337349198059703</v>
      </c>
      <c r="U4924" s="8" t="n">
        <v>-0.002871200683865816</v>
      </c>
      <c r="V4924" s="6" t="inlineStr">
        <is>
          <t>not selected</t>
        </is>
      </c>
    </row>
    <row r="4925">
      <c r="A4925" s="6" t="inlineStr">
        <is>
          <t>DJ30</t>
        </is>
      </c>
      <c r="B4925" s="6" t="inlineStr">
        <is>
          <t>2026-01-16</t>
        </is>
      </c>
      <c r="C4925" s="6" t="inlineStr">
        <is>
          <t>DIA</t>
        </is>
      </c>
      <c r="D4925" s="6" t="inlineStr">
        <is>
          <t>TRV</t>
        </is>
      </c>
      <c r="E4925" s="6" t="inlineStr">
        <is>
          <t>TRV</t>
        </is>
      </c>
      <c r="F4925" s="6" t="inlineStr">
        <is>
          <t>-</t>
        </is>
      </c>
      <c r="G4925" s="7" t="n">
        <v>267.324951171875</v>
      </c>
      <c r="H4925" s="6">
        <f>P4894</f>
        <v/>
      </c>
      <c r="I4925" s="9">
        <f>Q4894</f>
        <v/>
      </c>
      <c r="J4925" s="7">
        <f>I4925*G4925</f>
        <v/>
      </c>
      <c r="K4925" s="8">
        <f>IF($J$4930=0,0,J4925/$J$4930)</f>
        <v/>
      </c>
      <c r="L4925" s="6" t="inlineStr">
        <is>
          <t>WATCHLIST</t>
        </is>
      </c>
      <c r="M4925" s="8" t="n">
        <v>0</v>
      </c>
      <c r="N4925" s="7">
        <f>M4925*$J$4930-J4925</f>
        <v/>
      </c>
      <c r="O4925" s="9">
        <f>IF(G4925=0,0,N4925/G4925)</f>
        <v/>
      </c>
      <c r="P4925" s="6">
        <f>IF(M4925&gt;0,D4925,"")</f>
        <v/>
      </c>
      <c r="Q4925" s="9">
        <f>I4925+O4925</f>
        <v/>
      </c>
      <c r="R4925" s="7">
        <f>Q4925*G4925</f>
        <v/>
      </c>
      <c r="S4925" s="8">
        <f>IF($R$4930=0,0,R4925/$R$4930)</f>
        <v/>
      </c>
      <c r="T4925" s="8" t="n">
        <v>0.03337349198059703</v>
      </c>
      <c r="U4925" s="8" t="n">
        <v>-0.002871200683865816</v>
      </c>
      <c r="V4925" s="6" t="inlineStr">
        <is>
          <t>not selected</t>
        </is>
      </c>
    </row>
    <row r="4926">
      <c r="A4926" s="6" t="inlineStr">
        <is>
          <t>DJ30</t>
        </is>
      </c>
      <c r="B4926" s="6" t="inlineStr">
        <is>
          <t>2026-01-16</t>
        </is>
      </c>
      <c r="C4926" s="6" t="inlineStr">
        <is>
          <t>DIA</t>
        </is>
      </c>
      <c r="D4926" s="6" t="inlineStr">
        <is>
          <t>UNH</t>
        </is>
      </c>
      <c r="E4926" s="6" t="inlineStr">
        <is>
          <t>UNH</t>
        </is>
      </c>
      <c r="F4926" s="6" t="inlineStr">
        <is>
          <t>-</t>
        </is>
      </c>
      <c r="G4926" s="7" t="n">
        <v>326.6010437011719</v>
      </c>
      <c r="H4926" s="6">
        <f>P4895</f>
        <v/>
      </c>
      <c r="I4926" s="9">
        <f>Q4895</f>
        <v/>
      </c>
      <c r="J4926" s="7">
        <f>I4926*G4926</f>
        <v/>
      </c>
      <c r="K4926" s="8">
        <f>IF($J$4930=0,0,J4926/$J$4930)</f>
        <v/>
      </c>
      <c r="L4926" s="6" t="inlineStr">
        <is>
          <t>REJECTED</t>
        </is>
      </c>
      <c r="M4926" s="8" t="n">
        <v>0</v>
      </c>
      <c r="N4926" s="7">
        <f>M4926*$J$4930-J4926</f>
        <v/>
      </c>
      <c r="O4926" s="9">
        <f>IF(G4926=0,0,N4926/G4926)</f>
        <v/>
      </c>
      <c r="P4926" s="6">
        <f>IF(M4926&gt;0,D4926,"")</f>
        <v/>
      </c>
      <c r="Q4926" s="9">
        <f>I4926+O4926</f>
        <v/>
      </c>
      <c r="R4926" s="7">
        <f>Q4926*G4926</f>
        <v/>
      </c>
      <c r="S4926" s="8">
        <f>IF($R$4930=0,0,R4926/$R$4930)</f>
        <v/>
      </c>
      <c r="T4926" s="8" t="n">
        <v>0.03337349198059703</v>
      </c>
      <c r="U4926" s="8" t="n">
        <v>-0.002871200683865816</v>
      </c>
      <c r="V4926" s="6" t="inlineStr">
        <is>
          <t>not selected</t>
        </is>
      </c>
    </row>
    <row r="4927">
      <c r="A4927" s="6" t="inlineStr">
        <is>
          <t>DJ30</t>
        </is>
      </c>
      <c r="B4927" s="6" t="inlineStr">
        <is>
          <t>2026-01-16</t>
        </is>
      </c>
      <c r="C4927" s="6" t="inlineStr">
        <is>
          <t>DIA</t>
        </is>
      </c>
      <c r="D4927" s="6" t="inlineStr">
        <is>
          <t>V</t>
        </is>
      </c>
      <c r="E4927" s="6" t="inlineStr">
        <is>
          <t>V</t>
        </is>
      </c>
      <c r="F4927" s="6" t="inlineStr">
        <is>
          <t>-</t>
        </is>
      </c>
      <c r="G4927" s="7" t="n">
        <v>326.9465942382812</v>
      </c>
      <c r="H4927" s="6">
        <f>P4896</f>
        <v/>
      </c>
      <c r="I4927" s="9">
        <f>Q4896</f>
        <v/>
      </c>
      <c r="J4927" s="7">
        <f>I4927*G4927</f>
        <v/>
      </c>
      <c r="K4927" s="8">
        <f>IF($J$4930=0,0,J4927/$J$4930)</f>
        <v/>
      </c>
      <c r="L4927" s="6" t="inlineStr">
        <is>
          <t>REJECTED</t>
        </is>
      </c>
      <c r="M4927" s="8" t="n">
        <v>0</v>
      </c>
      <c r="N4927" s="7">
        <f>M4927*$J$4930-J4927</f>
        <v/>
      </c>
      <c r="O4927" s="9">
        <f>IF(G4927=0,0,N4927/G4927)</f>
        <v/>
      </c>
      <c r="P4927" s="6">
        <f>IF(M4927&gt;0,D4927,"")</f>
        <v/>
      </c>
      <c r="Q4927" s="9">
        <f>I4927+O4927</f>
        <v/>
      </c>
      <c r="R4927" s="7">
        <f>Q4927*G4927</f>
        <v/>
      </c>
      <c r="S4927" s="8">
        <f>IF($R$4930=0,0,R4927/$R$4930)</f>
        <v/>
      </c>
      <c r="T4927" s="8" t="n">
        <v>0.03337349198059703</v>
      </c>
      <c r="U4927" s="8" t="n">
        <v>-0.002871200683865816</v>
      </c>
      <c r="V4927" s="6" t="inlineStr">
        <is>
          <t>not selected</t>
        </is>
      </c>
    </row>
    <row r="4928">
      <c r="A4928" s="6" t="inlineStr">
        <is>
          <t>DJ30</t>
        </is>
      </c>
      <c r="B4928" s="6" t="inlineStr">
        <is>
          <t>2026-01-16</t>
        </is>
      </c>
      <c r="C4928" s="6" t="inlineStr">
        <is>
          <t>DIA</t>
        </is>
      </c>
      <c r="D4928" s="6" t="inlineStr">
        <is>
          <t>VZ</t>
        </is>
      </c>
      <c r="E4928" s="6" t="inlineStr">
        <is>
          <t>VZ</t>
        </is>
      </c>
      <c r="F4928" s="6" t="inlineStr">
        <is>
          <t>-</t>
        </is>
      </c>
      <c r="G4928" s="7" t="n">
        <v>38.33343505859375</v>
      </c>
      <c r="H4928" s="6">
        <f>P4897</f>
        <v/>
      </c>
      <c r="I4928" s="9">
        <f>Q4897</f>
        <v/>
      </c>
      <c r="J4928" s="7">
        <f>I4928*G4928</f>
        <v/>
      </c>
      <c r="K4928" s="8">
        <f>IF($J$4930=0,0,J4928/$J$4930)</f>
        <v/>
      </c>
      <c r="L4928" s="6" t="inlineStr">
        <is>
          <t>REJECTED</t>
        </is>
      </c>
      <c r="M4928" s="8" t="n">
        <v>0</v>
      </c>
      <c r="N4928" s="7">
        <f>M4928*$J$4930-J4928</f>
        <v/>
      </c>
      <c r="O4928" s="9">
        <f>IF(G4928=0,0,N4928/G4928)</f>
        <v/>
      </c>
      <c r="P4928" s="6">
        <f>IF(M4928&gt;0,D4928,"")</f>
        <v/>
      </c>
      <c r="Q4928" s="9">
        <f>I4928+O4928</f>
        <v/>
      </c>
      <c r="R4928" s="7">
        <f>Q4928*G4928</f>
        <v/>
      </c>
      <c r="S4928" s="8">
        <f>IF($R$4930=0,0,R4928/$R$4930)</f>
        <v/>
      </c>
      <c r="T4928" s="8" t="n">
        <v>0.03337349198059703</v>
      </c>
      <c r="U4928" s="8" t="n">
        <v>-0.002871200683865816</v>
      </c>
      <c r="V4928" s="6" t="inlineStr">
        <is>
          <t>not selected</t>
        </is>
      </c>
    </row>
    <row r="4929">
      <c r="A4929" s="6" t="inlineStr">
        <is>
          <t>DJ30</t>
        </is>
      </c>
      <c r="B4929" s="6" t="inlineStr">
        <is>
          <t>2026-01-16</t>
        </is>
      </c>
      <c r="C4929" s="6" t="inlineStr">
        <is>
          <t>DIA</t>
        </is>
      </c>
      <c r="D4929" s="6" t="inlineStr">
        <is>
          <t>WMT</t>
        </is>
      </c>
      <c r="E4929" s="6" t="inlineStr">
        <is>
          <t>WMT</t>
        </is>
      </c>
      <c r="F4929" s="6" t="inlineStr">
        <is>
          <t>-</t>
        </is>
      </c>
      <c r="G4929" s="7" t="n">
        <v>119.2273025512695</v>
      </c>
      <c r="H4929" s="6">
        <f>P4898</f>
        <v/>
      </c>
      <c r="I4929" s="9">
        <f>Q4898</f>
        <v/>
      </c>
      <c r="J4929" s="7">
        <f>I4929*G4929</f>
        <v/>
      </c>
      <c r="K4929" s="8">
        <f>IF($J$4930=0,0,J4929/$J$4930)</f>
        <v/>
      </c>
      <c r="L4929" s="6" t="inlineStr">
        <is>
          <t>WATCHLIST</t>
        </is>
      </c>
      <c r="M4929" s="8" t="n">
        <v>0</v>
      </c>
      <c r="N4929" s="7">
        <f>M4929*$J$4930-J4929</f>
        <v/>
      </c>
      <c r="O4929" s="9">
        <f>IF(G4929=0,0,N4929/G4929)</f>
        <v/>
      </c>
      <c r="P4929" s="6">
        <f>IF(M4929&gt;0,D4929,"")</f>
        <v/>
      </c>
      <c r="Q4929" s="9">
        <f>I4929+O4929</f>
        <v/>
      </c>
      <c r="R4929" s="7">
        <f>Q4929*G4929</f>
        <v/>
      </c>
      <c r="S4929" s="8">
        <f>IF($R$4930=0,0,R4929/$R$4930)</f>
        <v/>
      </c>
      <c r="T4929" s="8" t="n">
        <v>0.03337349198059703</v>
      </c>
      <c r="U4929" s="8" t="n">
        <v>-0.002871200683865816</v>
      </c>
      <c r="V4929" s="6" t="inlineStr">
        <is>
          <t>not selected</t>
        </is>
      </c>
    </row>
    <row r="4930">
      <c r="A4930" s="10" t="inlineStr">
        <is>
          <t>DJ30</t>
        </is>
      </c>
      <c r="B4930" s="10" t="inlineStr">
        <is>
          <t>2026-01-16</t>
        </is>
      </c>
      <c r="C4930" s="10" t="inlineStr">
        <is>
          <t>DIA</t>
        </is>
      </c>
      <c r="D4930" s="10" t="inlineStr">
        <is>
          <t>Tot Portfolio</t>
        </is>
      </c>
      <c r="E4930" s="10" t="inlineStr"/>
      <c r="F4930" s="10" t="inlineStr"/>
      <c r="G4930" s="11" t="inlineStr"/>
      <c r="H4930" s="10" t="inlineStr"/>
      <c r="I4930" s="12" t="inlineStr"/>
      <c r="J4930" s="11">
        <f>SUM(J4900:J4929)</f>
        <v/>
      </c>
      <c r="K4930" s="13">
        <f>SUM(K4900:K4929)</f>
        <v/>
      </c>
      <c r="L4930" s="10" t="inlineStr">
        <is>
          <t>TOTAL</t>
        </is>
      </c>
      <c r="M4930" s="13">
        <f>SUM(M4900:M4929)</f>
        <v/>
      </c>
      <c r="N4930" s="11">
        <f>SUM(N4900:N4929)</f>
        <v/>
      </c>
      <c r="O4930" s="12">
        <f>SUM(O4900:O4929)</f>
        <v/>
      </c>
      <c r="P4930" s="10" t="inlineStr"/>
      <c r="Q4930" s="12" t="inlineStr"/>
      <c r="R4930" s="11">
        <f>SUM(R4900:R4929)</f>
        <v/>
      </c>
      <c r="S4930" s="13">
        <f>SUM(S4900:S4929)</f>
        <v/>
      </c>
      <c r="T4930" s="13" t="n">
        <v>0.03337349198059703</v>
      </c>
      <c r="U4930" s="13" t="n">
        <v>-0.002871200683865816</v>
      </c>
      <c r="V4930" s="10" t="inlineStr"/>
    </row>
    <row r="4931">
      <c r="A4931" s="6" t="inlineStr">
        <is>
          <t>DJ30</t>
        </is>
      </c>
      <c r="B4931" s="6" t="inlineStr">
        <is>
          <t>2026-01-23</t>
        </is>
      </c>
      <c r="C4931" s="6" t="inlineStr">
        <is>
          <t>DIA</t>
        </is>
      </c>
      <c r="D4931" s="6" t="inlineStr">
        <is>
          <t>AAPL</t>
        </is>
      </c>
      <c r="E4931" s="6" t="inlineStr">
        <is>
          <t>AAPL</t>
        </is>
      </c>
      <c r="F4931" s="6" t="inlineStr">
        <is>
          <t>-</t>
        </is>
      </c>
      <c r="G4931" s="7" t="n">
        <v>247.5800170898437</v>
      </c>
      <c r="H4931" s="6">
        <f>P4900</f>
        <v/>
      </c>
      <c r="I4931" s="9">
        <f>Q4900</f>
        <v/>
      </c>
      <c r="J4931" s="7">
        <f>I4931*G4931</f>
        <v/>
      </c>
      <c r="K4931" s="8">
        <f>IF($J$4961=0,0,J4931/$J$4961)</f>
        <v/>
      </c>
      <c r="L4931" s="6" t="inlineStr">
        <is>
          <t>WATCHLIST</t>
        </is>
      </c>
      <c r="M4931" s="8" t="n">
        <v>0</v>
      </c>
      <c r="N4931" s="7">
        <f>M4931*$J$4961-J4931</f>
        <v/>
      </c>
      <c r="O4931" s="9">
        <f>IF(G4931=0,0,N4931/G4931)</f>
        <v/>
      </c>
      <c r="P4931" s="6">
        <f>IF(M4931&gt;0,D4931,"")</f>
        <v/>
      </c>
      <c r="Q4931" s="9">
        <f>I4931+O4931</f>
        <v/>
      </c>
      <c r="R4931" s="7">
        <f>Q4931*G4931</f>
        <v/>
      </c>
      <c r="S4931" s="8">
        <f>IF($R$4961=0,0,R4931/$R$4961)</f>
        <v/>
      </c>
      <c r="T4931" s="8" t="n">
        <v>-0.01387406819183823</v>
      </c>
      <c r="U4931" s="8" t="n">
        <v>-0.005046466283867179</v>
      </c>
      <c r="V4931" s="6" t="inlineStr">
        <is>
          <t>not selected</t>
        </is>
      </c>
    </row>
    <row r="4932">
      <c r="A4932" s="6" t="inlineStr">
        <is>
          <t>DJ30</t>
        </is>
      </c>
      <c r="B4932" s="6" t="inlineStr">
        <is>
          <t>2026-01-23</t>
        </is>
      </c>
      <c r="C4932" s="6" t="inlineStr">
        <is>
          <t>DIA</t>
        </is>
      </c>
      <c r="D4932" s="6" t="inlineStr">
        <is>
          <t>AMGN</t>
        </is>
      </c>
      <c r="E4932" s="6" t="inlineStr">
        <is>
          <t>AMGN</t>
        </is>
      </c>
      <c r="F4932" s="6" t="inlineStr">
        <is>
          <t>-</t>
        </is>
      </c>
      <c r="G4932" s="7" t="n">
        <v>339.8115234375</v>
      </c>
      <c r="H4932" s="6">
        <f>P4901</f>
        <v/>
      </c>
      <c r="I4932" s="9">
        <f>Q4901</f>
        <v/>
      </c>
      <c r="J4932" s="7">
        <f>I4932*G4932</f>
        <v/>
      </c>
      <c r="K4932" s="8">
        <f>IF($J$4961=0,0,J4932/$J$4961)</f>
        <v/>
      </c>
      <c r="L4932" s="6" t="inlineStr">
        <is>
          <t>WATCHLIST</t>
        </is>
      </c>
      <c r="M4932" s="8" t="n">
        <v>0</v>
      </c>
      <c r="N4932" s="7">
        <f>M4932*$J$4961-J4932</f>
        <v/>
      </c>
      <c r="O4932" s="9">
        <f>IF(G4932=0,0,N4932/G4932)</f>
        <v/>
      </c>
      <c r="P4932" s="6">
        <f>IF(M4932&gt;0,D4932,"")</f>
        <v/>
      </c>
      <c r="Q4932" s="9">
        <f>I4932+O4932</f>
        <v/>
      </c>
      <c r="R4932" s="7">
        <f>Q4932*G4932</f>
        <v/>
      </c>
      <c r="S4932" s="8">
        <f>IF($R$4961=0,0,R4932/$R$4961)</f>
        <v/>
      </c>
      <c r="T4932" s="8" t="n">
        <v>-0.01387406819183823</v>
      </c>
      <c r="U4932" s="8" t="n">
        <v>-0.005046466283867179</v>
      </c>
      <c r="V4932" s="6" t="inlineStr">
        <is>
          <t>not selected</t>
        </is>
      </c>
    </row>
    <row r="4933">
      <c r="A4933" s="6" t="inlineStr">
        <is>
          <t>DJ30</t>
        </is>
      </c>
      <c r="B4933" s="6" t="inlineStr">
        <is>
          <t>2026-01-23</t>
        </is>
      </c>
      <c r="C4933" s="6" t="inlineStr">
        <is>
          <t>DIA</t>
        </is>
      </c>
      <c r="D4933" s="6" t="inlineStr">
        <is>
          <t>AMZN</t>
        </is>
      </c>
      <c r="E4933" s="6" t="inlineStr">
        <is>
          <t>AMZN</t>
        </is>
      </c>
      <c r="F4933" s="6" t="inlineStr">
        <is>
          <t>-</t>
        </is>
      </c>
      <c r="G4933" s="7" t="n">
        <v>239.1600036621093</v>
      </c>
      <c r="H4933" s="6">
        <f>P4902</f>
        <v/>
      </c>
      <c r="I4933" s="9">
        <f>Q4902</f>
        <v/>
      </c>
      <c r="J4933" s="7">
        <f>I4933*G4933</f>
        <v/>
      </c>
      <c r="K4933" s="8">
        <f>IF($J$4961=0,0,J4933/$J$4961)</f>
        <v/>
      </c>
      <c r="L4933" s="6" t="inlineStr">
        <is>
          <t>WATCHLIST</t>
        </is>
      </c>
      <c r="M4933" s="8" t="n">
        <v>0</v>
      </c>
      <c r="N4933" s="7">
        <f>M4933*$J$4961-J4933</f>
        <v/>
      </c>
      <c r="O4933" s="9">
        <f>IF(G4933=0,0,N4933/G4933)</f>
        <v/>
      </c>
      <c r="P4933" s="6">
        <f>IF(M4933&gt;0,D4933,"")</f>
        <v/>
      </c>
      <c r="Q4933" s="9">
        <f>I4933+O4933</f>
        <v/>
      </c>
      <c r="R4933" s="7">
        <f>Q4933*G4933</f>
        <v/>
      </c>
      <c r="S4933" s="8">
        <f>IF($R$4961=0,0,R4933/$R$4961)</f>
        <v/>
      </c>
      <c r="T4933" s="8" t="n">
        <v>-0.01387406819183823</v>
      </c>
      <c r="U4933" s="8" t="n">
        <v>-0.005046466283867179</v>
      </c>
      <c r="V4933" s="6" t="inlineStr">
        <is>
          <t>not selected</t>
        </is>
      </c>
    </row>
    <row r="4934">
      <c r="A4934" s="6" t="inlineStr">
        <is>
          <t>DJ30</t>
        </is>
      </c>
      <c r="B4934" s="6" t="inlineStr">
        <is>
          <t>2026-01-23</t>
        </is>
      </c>
      <c r="C4934" s="6" t="inlineStr">
        <is>
          <t>DIA</t>
        </is>
      </c>
      <c r="D4934" s="6" t="inlineStr">
        <is>
          <t>AXP</t>
        </is>
      </c>
      <c r="E4934" s="6" t="inlineStr">
        <is>
          <t>AXP</t>
        </is>
      </c>
      <c r="F4934" s="6" t="inlineStr">
        <is>
          <t>-</t>
        </is>
      </c>
      <c r="G4934" s="7" t="n">
        <v>360.5501708984375</v>
      </c>
      <c r="H4934" s="6">
        <f>P4903</f>
        <v/>
      </c>
      <c r="I4934" s="9">
        <f>Q4903</f>
        <v/>
      </c>
      <c r="J4934" s="7">
        <f>I4934*G4934</f>
        <v/>
      </c>
      <c r="K4934" s="8">
        <f>IF($J$4961=0,0,J4934/$J$4961)</f>
        <v/>
      </c>
      <c r="L4934" s="6" t="inlineStr">
        <is>
          <t>SELECTED</t>
        </is>
      </c>
      <c r="M4934" s="8" t="n">
        <v>0.2</v>
      </c>
      <c r="N4934" s="7">
        <f>M4934*$J$4961-J4934</f>
        <v/>
      </c>
      <c r="O4934" s="9">
        <f>IF(G4934=0,0,N4934/G4934)</f>
        <v/>
      </c>
      <c r="P4934" s="6">
        <f>IF(M4934&gt;0,D4934,"")</f>
        <v/>
      </c>
      <c r="Q4934" s="9">
        <f>I4934+O4934</f>
        <v/>
      </c>
      <c r="R4934" s="7">
        <f>Q4934*G4934</f>
        <v/>
      </c>
      <c r="S4934" s="8">
        <f>IF($R$4961=0,0,R4934/$R$4961)</f>
        <v/>
      </c>
      <c r="T4934" s="8" t="n">
        <v>-0.01387406819183823</v>
      </c>
      <c r="U4934" s="8" t="n">
        <v>-0.005046466283867179</v>
      </c>
      <c r="V4934" s="6" t="inlineStr">
        <is>
          <t>entered weekly selection</t>
        </is>
      </c>
    </row>
    <row r="4935">
      <c r="A4935" s="6" t="inlineStr">
        <is>
          <t>DJ30</t>
        </is>
      </c>
      <c r="B4935" s="6" t="inlineStr">
        <is>
          <t>2026-01-23</t>
        </is>
      </c>
      <c r="C4935" s="6" t="inlineStr">
        <is>
          <t>DIA</t>
        </is>
      </c>
      <c r="D4935" s="6" t="inlineStr">
        <is>
          <t>BA</t>
        </is>
      </c>
      <c r="E4935" s="6" t="inlineStr">
        <is>
          <t>BA</t>
        </is>
      </c>
      <c r="F4935" s="6" t="inlineStr">
        <is>
          <t>-</t>
        </is>
      </c>
      <c r="G4935" s="7" t="n">
        <v>252.1499938964844</v>
      </c>
      <c r="H4935" s="6">
        <f>P4904</f>
        <v/>
      </c>
      <c r="I4935" s="9">
        <f>Q4904</f>
        <v/>
      </c>
      <c r="J4935" s="7">
        <f>I4935*G4935</f>
        <v/>
      </c>
      <c r="K4935" s="8">
        <f>IF($J$4961=0,0,J4935/$J$4961)</f>
        <v/>
      </c>
      <c r="L4935" s="6" t="inlineStr">
        <is>
          <t>WATCHLIST</t>
        </is>
      </c>
      <c r="M4935" s="8" t="n">
        <v>0</v>
      </c>
      <c r="N4935" s="7">
        <f>M4935*$J$4961-J4935</f>
        <v/>
      </c>
      <c r="O4935" s="9">
        <f>IF(G4935=0,0,N4935/G4935)</f>
        <v/>
      </c>
      <c r="P4935" s="6">
        <f>IF(M4935&gt;0,D4935,"")</f>
        <v/>
      </c>
      <c r="Q4935" s="9">
        <f>I4935+O4935</f>
        <v/>
      </c>
      <c r="R4935" s="7">
        <f>Q4935*G4935</f>
        <v/>
      </c>
      <c r="S4935" s="8">
        <f>IF($R$4961=0,0,R4935/$R$4961)</f>
        <v/>
      </c>
      <c r="T4935" s="8" t="n">
        <v>-0.01387406819183823</v>
      </c>
      <c r="U4935" s="8" t="n">
        <v>-0.005046466283867179</v>
      </c>
      <c r="V4935" s="6" t="inlineStr">
        <is>
          <t>not selected</t>
        </is>
      </c>
    </row>
    <row r="4936">
      <c r="A4936" s="6" t="inlineStr">
        <is>
          <t>DJ30</t>
        </is>
      </c>
      <c r="B4936" s="6" t="inlineStr">
        <is>
          <t>2026-01-23</t>
        </is>
      </c>
      <c r="C4936" s="6" t="inlineStr">
        <is>
          <t>DIA</t>
        </is>
      </c>
      <c r="D4936" s="6" t="inlineStr">
        <is>
          <t>CAT</t>
        </is>
      </c>
      <c r="E4936" s="6" t="inlineStr">
        <is>
          <t>CAT</t>
        </is>
      </c>
      <c r="F4936" s="6" t="inlineStr">
        <is>
          <t>-</t>
        </is>
      </c>
      <c r="G4936" s="7" t="n">
        <v>625.4293212890625</v>
      </c>
      <c r="H4936" s="6">
        <f>P4905</f>
        <v/>
      </c>
      <c r="I4936" s="9">
        <f>Q4905</f>
        <v/>
      </c>
      <c r="J4936" s="7">
        <f>I4936*G4936</f>
        <v/>
      </c>
      <c r="K4936" s="8">
        <f>IF($J$4961=0,0,J4936/$J$4961)</f>
        <v/>
      </c>
      <c r="L4936" s="6" t="inlineStr">
        <is>
          <t>SELECTED</t>
        </is>
      </c>
      <c r="M4936" s="8" t="n">
        <v>0.2</v>
      </c>
      <c r="N4936" s="7">
        <f>M4936*$J$4961-J4936</f>
        <v/>
      </c>
      <c r="O4936" s="9">
        <f>IF(G4936=0,0,N4936/G4936)</f>
        <v/>
      </c>
      <c r="P4936" s="6">
        <f>IF(M4936&gt;0,D4936,"")</f>
        <v/>
      </c>
      <c r="Q4936" s="9">
        <f>I4936+O4936</f>
        <v/>
      </c>
      <c r="R4936" s="7">
        <f>Q4936*G4936</f>
        <v/>
      </c>
      <c r="S4936" s="8">
        <f>IF($R$4961=0,0,R4936/$R$4961)</f>
        <v/>
      </c>
      <c r="T4936" s="8" t="n">
        <v>-0.01387406819183823</v>
      </c>
      <c r="U4936" s="8" t="n">
        <v>-0.005046466283867179</v>
      </c>
      <c r="V4936" s="6" t="inlineStr">
        <is>
          <t>remained in weekly selection</t>
        </is>
      </c>
    </row>
    <row r="4937">
      <c r="A4937" s="6" t="inlineStr">
        <is>
          <t>DJ30</t>
        </is>
      </c>
      <c r="B4937" s="6" t="inlineStr">
        <is>
          <t>2026-01-23</t>
        </is>
      </c>
      <c r="C4937" s="6" t="inlineStr">
        <is>
          <t>DIA</t>
        </is>
      </c>
      <c r="D4937" s="6" t="inlineStr">
        <is>
          <t>CRM</t>
        </is>
      </c>
      <c r="E4937" s="6" t="inlineStr">
        <is>
          <t>CRM</t>
        </is>
      </c>
      <c r="F4937" s="6" t="inlineStr">
        <is>
          <t>-</t>
        </is>
      </c>
      <c r="G4937" s="7" t="n">
        <v>226.8954620361328</v>
      </c>
      <c r="H4937" s="6">
        <f>P4906</f>
        <v/>
      </c>
      <c r="I4937" s="9">
        <f>Q4906</f>
        <v/>
      </c>
      <c r="J4937" s="7">
        <f>I4937*G4937</f>
        <v/>
      </c>
      <c r="K4937" s="8">
        <f>IF($J$4961=0,0,J4937/$J$4961)</f>
        <v/>
      </c>
      <c r="L4937" s="6" t="inlineStr">
        <is>
          <t>REJECTED</t>
        </is>
      </c>
      <c r="M4937" s="8" t="n">
        <v>0</v>
      </c>
      <c r="N4937" s="7">
        <f>M4937*$J$4961-J4937</f>
        <v/>
      </c>
      <c r="O4937" s="9">
        <f>IF(G4937=0,0,N4937/G4937)</f>
        <v/>
      </c>
      <c r="P4937" s="6">
        <f>IF(M4937&gt;0,D4937,"")</f>
        <v/>
      </c>
      <c r="Q4937" s="9">
        <f>I4937+O4937</f>
        <v/>
      </c>
      <c r="R4937" s="7">
        <f>Q4937*G4937</f>
        <v/>
      </c>
      <c r="S4937" s="8">
        <f>IF($R$4961=0,0,R4937/$R$4961)</f>
        <v/>
      </c>
      <c r="T4937" s="8" t="n">
        <v>-0.01387406819183823</v>
      </c>
      <c r="U4937" s="8" t="n">
        <v>-0.005046466283867179</v>
      </c>
      <c r="V4937" s="6" t="inlineStr">
        <is>
          <t>not selected</t>
        </is>
      </c>
    </row>
    <row r="4938">
      <c r="A4938" s="6" t="inlineStr">
        <is>
          <t>DJ30</t>
        </is>
      </c>
      <c r="B4938" s="6" t="inlineStr">
        <is>
          <t>2026-01-23</t>
        </is>
      </c>
      <c r="C4938" s="6" t="inlineStr">
        <is>
          <t>DIA</t>
        </is>
      </c>
      <c r="D4938" s="6" t="inlineStr">
        <is>
          <t>CSCO</t>
        </is>
      </c>
      <c r="E4938" s="6" t="inlineStr">
        <is>
          <t>CSCO</t>
        </is>
      </c>
      <c r="F4938" s="6" t="inlineStr">
        <is>
          <t>-</t>
        </is>
      </c>
      <c r="G4938" s="7" t="n">
        <v>74.18799591064453</v>
      </c>
      <c r="H4938" s="6">
        <f>P4907</f>
        <v/>
      </c>
      <c r="I4938" s="9">
        <f>Q4907</f>
        <v/>
      </c>
      <c r="J4938" s="7">
        <f>I4938*G4938</f>
        <v/>
      </c>
      <c r="K4938" s="8">
        <f>IF($J$4961=0,0,J4938/$J$4961)</f>
        <v/>
      </c>
      <c r="L4938" s="6" t="inlineStr">
        <is>
          <t>WATCHLIST</t>
        </is>
      </c>
      <c r="M4938" s="8" t="n">
        <v>0</v>
      </c>
      <c r="N4938" s="7">
        <f>M4938*$J$4961-J4938</f>
        <v/>
      </c>
      <c r="O4938" s="9">
        <f>IF(G4938=0,0,N4938/G4938)</f>
        <v/>
      </c>
      <c r="P4938" s="6">
        <f>IF(M4938&gt;0,D4938,"")</f>
        <v/>
      </c>
      <c r="Q4938" s="9">
        <f>I4938+O4938</f>
        <v/>
      </c>
      <c r="R4938" s="7">
        <f>Q4938*G4938</f>
        <v/>
      </c>
      <c r="S4938" s="8">
        <f>IF($R$4961=0,0,R4938/$R$4961)</f>
        <v/>
      </c>
      <c r="T4938" s="8" t="n">
        <v>-0.01387406819183823</v>
      </c>
      <c r="U4938" s="8" t="n">
        <v>-0.005046466283867179</v>
      </c>
      <c r="V4938" s="6" t="inlineStr">
        <is>
          <t>removed from weekly selection</t>
        </is>
      </c>
    </row>
    <row r="4939">
      <c r="A4939" s="6" t="inlineStr">
        <is>
          <t>DJ30</t>
        </is>
      </c>
      <c r="B4939" s="6" t="inlineStr">
        <is>
          <t>2026-01-23</t>
        </is>
      </c>
      <c r="C4939" s="6" t="inlineStr">
        <is>
          <t>DIA</t>
        </is>
      </c>
      <c r="D4939" s="6" t="inlineStr">
        <is>
          <t>CVX</t>
        </is>
      </c>
      <c r="E4939" s="6" t="inlineStr">
        <is>
          <t>CVX</t>
        </is>
      </c>
      <c r="F4939" s="6" t="inlineStr">
        <is>
          <t>-</t>
        </is>
      </c>
      <c r="G4939" s="7" t="n">
        <v>163.6063842773438</v>
      </c>
      <c r="H4939" s="6">
        <f>P4908</f>
        <v/>
      </c>
      <c r="I4939" s="9">
        <f>Q4908</f>
        <v/>
      </c>
      <c r="J4939" s="7">
        <f>I4939*G4939</f>
        <v/>
      </c>
      <c r="K4939" s="8">
        <f>IF($J$4961=0,0,J4939/$J$4961)</f>
        <v/>
      </c>
      <c r="L4939" s="6" t="inlineStr">
        <is>
          <t>REJECTED</t>
        </is>
      </c>
      <c r="M4939" s="8" t="n">
        <v>0</v>
      </c>
      <c r="N4939" s="7">
        <f>M4939*$J$4961-J4939</f>
        <v/>
      </c>
      <c r="O4939" s="9">
        <f>IF(G4939=0,0,N4939/G4939)</f>
        <v/>
      </c>
      <c r="P4939" s="6">
        <f>IF(M4939&gt;0,D4939,"")</f>
        <v/>
      </c>
      <c r="Q4939" s="9">
        <f>I4939+O4939</f>
        <v/>
      </c>
      <c r="R4939" s="7">
        <f>Q4939*G4939</f>
        <v/>
      </c>
      <c r="S4939" s="8">
        <f>IF($R$4961=0,0,R4939/$R$4961)</f>
        <v/>
      </c>
      <c r="T4939" s="8" t="n">
        <v>-0.01387406819183823</v>
      </c>
      <c r="U4939" s="8" t="n">
        <v>-0.005046466283867179</v>
      </c>
      <c r="V4939" s="6" t="inlineStr">
        <is>
          <t>not selected</t>
        </is>
      </c>
    </row>
    <row r="4940">
      <c r="A4940" s="6" t="inlineStr">
        <is>
          <t>DJ30</t>
        </is>
      </c>
      <c r="B4940" s="6" t="inlineStr">
        <is>
          <t>2026-01-23</t>
        </is>
      </c>
      <c r="C4940" s="6" t="inlineStr">
        <is>
          <t>DIA</t>
        </is>
      </c>
      <c r="D4940" s="6" t="inlineStr">
        <is>
          <t>DIS</t>
        </is>
      </c>
      <c r="E4940" s="6" t="inlineStr">
        <is>
          <t>DIS</t>
        </is>
      </c>
      <c r="F4940" s="6" t="inlineStr">
        <is>
          <t>-</t>
        </is>
      </c>
      <c r="G4940" s="7" t="n">
        <v>110.9800033569336</v>
      </c>
      <c r="H4940" s="6">
        <f>P4909</f>
        <v/>
      </c>
      <c r="I4940" s="9">
        <f>Q4909</f>
        <v/>
      </c>
      <c r="J4940" s="7">
        <f>I4940*G4940</f>
        <v/>
      </c>
      <c r="K4940" s="8">
        <f>IF($J$4961=0,0,J4940/$J$4961)</f>
        <v/>
      </c>
      <c r="L4940" s="6" t="inlineStr">
        <is>
          <t>REJECTED</t>
        </is>
      </c>
      <c r="M4940" s="8" t="n">
        <v>0</v>
      </c>
      <c r="N4940" s="7">
        <f>M4940*$J$4961-J4940</f>
        <v/>
      </c>
      <c r="O4940" s="9">
        <f>IF(G4940=0,0,N4940/G4940)</f>
        <v/>
      </c>
      <c r="P4940" s="6">
        <f>IF(M4940&gt;0,D4940,"")</f>
        <v/>
      </c>
      <c r="Q4940" s="9">
        <f>I4940+O4940</f>
        <v/>
      </c>
      <c r="R4940" s="7">
        <f>Q4940*G4940</f>
        <v/>
      </c>
      <c r="S4940" s="8">
        <f>IF($R$4961=0,0,R4940/$R$4961)</f>
        <v/>
      </c>
      <c r="T4940" s="8" t="n">
        <v>-0.01387406819183823</v>
      </c>
      <c r="U4940" s="8" t="n">
        <v>-0.005046466283867179</v>
      </c>
      <c r="V4940" s="6" t="inlineStr">
        <is>
          <t>not selected</t>
        </is>
      </c>
    </row>
    <row r="4941">
      <c r="A4941" s="6" t="inlineStr">
        <is>
          <t>DJ30</t>
        </is>
      </c>
      <c r="B4941" s="6" t="inlineStr">
        <is>
          <t>2026-01-23</t>
        </is>
      </c>
      <c r="C4941" s="6" t="inlineStr">
        <is>
          <t>DIA</t>
        </is>
      </c>
      <c r="D4941" s="6" t="inlineStr">
        <is>
          <t>GS</t>
        </is>
      </c>
      <c r="E4941" s="6" t="inlineStr">
        <is>
          <t>GS</t>
        </is>
      </c>
      <c r="F4941" s="6" t="inlineStr">
        <is>
          <t>-</t>
        </is>
      </c>
      <c r="G4941" s="7" t="n">
        <v>910.0587158203124</v>
      </c>
      <c r="H4941" s="6">
        <f>P4910</f>
        <v/>
      </c>
      <c r="I4941" s="9">
        <f>Q4910</f>
        <v/>
      </c>
      <c r="J4941" s="7">
        <f>I4941*G4941</f>
        <v/>
      </c>
      <c r="K4941" s="8">
        <f>IF($J$4961=0,0,J4941/$J$4961)</f>
        <v/>
      </c>
      <c r="L4941" s="6" t="inlineStr">
        <is>
          <t>SELECTED</t>
        </is>
      </c>
      <c r="M4941" s="8" t="n">
        <v>0.2</v>
      </c>
      <c r="N4941" s="7">
        <f>M4941*$J$4961-J4941</f>
        <v/>
      </c>
      <c r="O4941" s="9">
        <f>IF(G4941=0,0,N4941/G4941)</f>
        <v/>
      </c>
      <c r="P4941" s="6">
        <f>IF(M4941&gt;0,D4941,"")</f>
        <v/>
      </c>
      <c r="Q4941" s="9">
        <f>I4941+O4941</f>
        <v/>
      </c>
      <c r="R4941" s="7">
        <f>Q4941*G4941</f>
        <v/>
      </c>
      <c r="S4941" s="8">
        <f>IF($R$4961=0,0,R4941/$R$4961)</f>
        <v/>
      </c>
      <c r="T4941" s="8" t="n">
        <v>-0.01387406819183823</v>
      </c>
      <c r="U4941" s="8" t="n">
        <v>-0.005046466283867179</v>
      </c>
      <c r="V4941" s="6" t="inlineStr">
        <is>
          <t>remained in weekly selection</t>
        </is>
      </c>
    </row>
    <row r="4942">
      <c r="A4942" s="6" t="inlineStr">
        <is>
          <t>DJ30</t>
        </is>
      </c>
      <c r="B4942" s="6" t="inlineStr">
        <is>
          <t>2026-01-23</t>
        </is>
      </c>
      <c r="C4942" s="6" t="inlineStr">
        <is>
          <t>DIA</t>
        </is>
      </c>
      <c r="D4942" s="6" t="inlineStr">
        <is>
          <t>HD</t>
        </is>
      </c>
      <c r="E4942" s="6" t="inlineStr">
        <is>
          <t>HD</t>
        </is>
      </c>
      <c r="F4942" s="6" t="inlineStr">
        <is>
          <t>-</t>
        </is>
      </c>
      <c r="G4942" s="7" t="n">
        <v>378.3831787109375</v>
      </c>
      <c r="H4942" s="6">
        <f>P4911</f>
        <v/>
      </c>
      <c r="I4942" s="9">
        <f>Q4911</f>
        <v/>
      </c>
      <c r="J4942" s="7">
        <f>I4942*G4942</f>
        <v/>
      </c>
      <c r="K4942" s="8">
        <f>IF($J$4961=0,0,J4942/$J$4961)</f>
        <v/>
      </c>
      <c r="L4942" s="6" t="inlineStr">
        <is>
          <t>REJECTED</t>
        </is>
      </c>
      <c r="M4942" s="8" t="n">
        <v>0</v>
      </c>
      <c r="N4942" s="7">
        <f>M4942*$J$4961-J4942</f>
        <v/>
      </c>
      <c r="O4942" s="9">
        <f>IF(G4942=0,0,N4942/G4942)</f>
        <v/>
      </c>
      <c r="P4942" s="6">
        <f>IF(M4942&gt;0,D4942,"")</f>
        <v/>
      </c>
      <c r="Q4942" s="9">
        <f>I4942+O4942</f>
        <v/>
      </c>
      <c r="R4942" s="7">
        <f>Q4942*G4942</f>
        <v/>
      </c>
      <c r="S4942" s="8">
        <f>IF($R$4961=0,0,R4942/$R$4961)</f>
        <v/>
      </c>
      <c r="T4942" s="8" t="n">
        <v>-0.01387406819183823</v>
      </c>
      <c r="U4942" s="8" t="n">
        <v>-0.005046466283867179</v>
      </c>
      <c r="V4942" s="6" t="inlineStr">
        <is>
          <t>not selected</t>
        </is>
      </c>
    </row>
    <row r="4943">
      <c r="A4943" s="6" t="inlineStr">
        <is>
          <t>DJ30</t>
        </is>
      </c>
      <c r="B4943" s="6" t="inlineStr">
        <is>
          <t>2026-01-23</t>
        </is>
      </c>
      <c r="C4943" s="6" t="inlineStr">
        <is>
          <t>DIA</t>
        </is>
      </c>
      <c r="D4943" s="6" t="inlineStr">
        <is>
          <t>HON</t>
        </is>
      </c>
      <c r="E4943" s="6" t="inlineStr">
        <is>
          <t>HON</t>
        </is>
      </c>
      <c r="F4943" s="6" t="inlineStr">
        <is>
          <t>-</t>
        </is>
      </c>
      <c r="G4943" s="7" t="n">
        <v>219.1614837646484</v>
      </c>
      <c r="H4943" s="6">
        <f>P4912</f>
        <v/>
      </c>
      <c r="I4943" s="9">
        <f>Q4912</f>
        <v/>
      </c>
      <c r="J4943" s="7">
        <f>I4943*G4943</f>
        <v/>
      </c>
      <c r="K4943" s="8">
        <f>IF($J$4961=0,0,J4943/$J$4961)</f>
        <v/>
      </c>
      <c r="L4943" s="6" t="inlineStr">
        <is>
          <t>REJECTED</t>
        </is>
      </c>
      <c r="M4943" s="8" t="n">
        <v>0</v>
      </c>
      <c r="N4943" s="7">
        <f>M4943*$J$4961-J4943</f>
        <v/>
      </c>
      <c r="O4943" s="9">
        <f>IF(G4943=0,0,N4943/G4943)</f>
        <v/>
      </c>
      <c r="P4943" s="6">
        <f>IF(M4943&gt;0,D4943,"")</f>
        <v/>
      </c>
      <c r="Q4943" s="9">
        <f>I4943+O4943</f>
        <v/>
      </c>
      <c r="R4943" s="7">
        <f>Q4943*G4943</f>
        <v/>
      </c>
      <c r="S4943" s="8">
        <f>IF($R$4961=0,0,R4943/$R$4961)</f>
        <v/>
      </c>
      <c r="T4943" s="8" t="n">
        <v>-0.01387406819183823</v>
      </c>
      <c r="U4943" s="8" t="n">
        <v>-0.005046466283867179</v>
      </c>
      <c r="V4943" s="6" t="inlineStr">
        <is>
          <t>not selected</t>
        </is>
      </c>
    </row>
    <row r="4944">
      <c r="A4944" s="6" t="inlineStr">
        <is>
          <t>DJ30</t>
        </is>
      </c>
      <c r="B4944" s="6" t="inlineStr">
        <is>
          <t>2026-01-23</t>
        </is>
      </c>
      <c r="C4944" s="6" t="inlineStr">
        <is>
          <t>DIA</t>
        </is>
      </c>
      <c r="D4944" s="6" t="inlineStr">
        <is>
          <t>IBM</t>
        </is>
      </c>
      <c r="E4944" s="6" t="inlineStr">
        <is>
          <t>IBM</t>
        </is>
      </c>
      <c r="F4944" s="6" t="inlineStr">
        <is>
          <t>-</t>
        </is>
      </c>
      <c r="G4944" s="7" t="n">
        <v>288.6575927734375</v>
      </c>
      <c r="H4944" s="6">
        <f>P4913</f>
        <v/>
      </c>
      <c r="I4944" s="9">
        <f>Q4913</f>
        <v/>
      </c>
      <c r="J4944" s="7">
        <f>I4944*G4944</f>
        <v/>
      </c>
      <c r="K4944" s="8">
        <f>IF($J$4961=0,0,J4944/$J$4961)</f>
        <v/>
      </c>
      <c r="L4944" s="6" t="inlineStr">
        <is>
          <t>WATCHLIST</t>
        </is>
      </c>
      <c r="M4944" s="8" t="n">
        <v>0</v>
      </c>
      <c r="N4944" s="7">
        <f>M4944*$J$4961-J4944</f>
        <v/>
      </c>
      <c r="O4944" s="9">
        <f>IF(G4944=0,0,N4944/G4944)</f>
        <v/>
      </c>
      <c r="P4944" s="6">
        <f>IF(M4944&gt;0,D4944,"")</f>
        <v/>
      </c>
      <c r="Q4944" s="9">
        <f>I4944+O4944</f>
        <v/>
      </c>
      <c r="R4944" s="7">
        <f>Q4944*G4944</f>
        <v/>
      </c>
      <c r="S4944" s="8">
        <f>IF($R$4961=0,0,R4944/$R$4961)</f>
        <v/>
      </c>
      <c r="T4944" s="8" t="n">
        <v>-0.01387406819183823</v>
      </c>
      <c r="U4944" s="8" t="n">
        <v>-0.005046466283867179</v>
      </c>
      <c r="V4944" s="6" t="inlineStr">
        <is>
          <t>not selected</t>
        </is>
      </c>
    </row>
    <row r="4945">
      <c r="A4945" s="6" t="inlineStr">
        <is>
          <t>DJ30</t>
        </is>
      </c>
      <c r="B4945" s="6" t="inlineStr">
        <is>
          <t>2026-01-23</t>
        </is>
      </c>
      <c r="C4945" s="6" t="inlineStr">
        <is>
          <t>DIA</t>
        </is>
      </c>
      <c r="D4945" s="6" t="inlineStr">
        <is>
          <t>JNJ</t>
        </is>
      </c>
      <c r="E4945" s="6" t="inlineStr">
        <is>
          <t>JNJ</t>
        </is>
      </c>
      <c r="F4945" s="6" t="inlineStr">
        <is>
          <t>-</t>
        </is>
      </c>
      <c r="G4945" s="7" t="n">
        <v>217.7237548828125</v>
      </c>
      <c r="H4945" s="6">
        <f>P4914</f>
        <v/>
      </c>
      <c r="I4945" s="9">
        <f>Q4914</f>
        <v/>
      </c>
      <c r="J4945" s="7">
        <f>I4945*G4945</f>
        <v/>
      </c>
      <c r="K4945" s="8">
        <f>IF($J$4961=0,0,J4945/$J$4961)</f>
        <v/>
      </c>
      <c r="L4945" s="6" t="inlineStr">
        <is>
          <t>SELECTED</t>
        </is>
      </c>
      <c r="M4945" s="8" t="n">
        <v>0.2</v>
      </c>
      <c r="N4945" s="7">
        <f>M4945*$J$4961-J4945</f>
        <v/>
      </c>
      <c r="O4945" s="9">
        <f>IF(G4945=0,0,N4945/G4945)</f>
        <v/>
      </c>
      <c r="P4945" s="6">
        <f>IF(M4945&gt;0,D4945,"")</f>
        <v/>
      </c>
      <c r="Q4945" s="9">
        <f>I4945+O4945</f>
        <v/>
      </c>
      <c r="R4945" s="7">
        <f>Q4945*G4945</f>
        <v/>
      </c>
      <c r="S4945" s="8">
        <f>IF($R$4961=0,0,R4945/$R$4961)</f>
        <v/>
      </c>
      <c r="T4945" s="8" t="n">
        <v>-0.01387406819183823</v>
      </c>
      <c r="U4945" s="8" t="n">
        <v>-0.005046466283867179</v>
      </c>
      <c r="V4945" s="6" t="inlineStr">
        <is>
          <t>remained in weekly selection</t>
        </is>
      </c>
    </row>
    <row r="4946">
      <c r="A4946" s="6" t="inlineStr">
        <is>
          <t>DJ30</t>
        </is>
      </c>
      <c r="B4946" s="6" t="inlineStr">
        <is>
          <t>2026-01-23</t>
        </is>
      </c>
      <c r="C4946" s="6" t="inlineStr">
        <is>
          <t>DIA</t>
        </is>
      </c>
      <c r="D4946" s="6" t="inlineStr">
        <is>
          <t>JPM</t>
        </is>
      </c>
      <c r="E4946" s="6" t="inlineStr">
        <is>
          <t>JPM</t>
        </is>
      </c>
      <c r="F4946" s="6" t="inlineStr">
        <is>
          <t>-</t>
        </is>
      </c>
      <c r="G4946" s="7" t="n">
        <v>296.2041015625</v>
      </c>
      <c r="H4946" s="6">
        <f>P4915</f>
        <v/>
      </c>
      <c r="I4946" s="9">
        <f>Q4915</f>
        <v/>
      </c>
      <c r="J4946" s="7">
        <f>I4946*G4946</f>
        <v/>
      </c>
      <c r="K4946" s="8">
        <f>IF($J$4961=0,0,J4946/$J$4961)</f>
        <v/>
      </c>
      <c r="L4946" s="6" t="inlineStr">
        <is>
          <t>WATCHLIST</t>
        </is>
      </c>
      <c r="M4946" s="8" t="n">
        <v>0</v>
      </c>
      <c r="N4946" s="7">
        <f>M4946*$J$4961-J4946</f>
        <v/>
      </c>
      <c r="O4946" s="9">
        <f>IF(G4946=0,0,N4946/G4946)</f>
        <v/>
      </c>
      <c r="P4946" s="6">
        <f>IF(M4946&gt;0,D4946,"")</f>
        <v/>
      </c>
      <c r="Q4946" s="9">
        <f>I4946+O4946</f>
        <v/>
      </c>
      <c r="R4946" s="7">
        <f>Q4946*G4946</f>
        <v/>
      </c>
      <c r="S4946" s="8">
        <f>IF($R$4961=0,0,R4946/$R$4961)</f>
        <v/>
      </c>
      <c r="T4946" s="8" t="n">
        <v>-0.01387406819183823</v>
      </c>
      <c r="U4946" s="8" t="n">
        <v>-0.005046466283867179</v>
      </c>
      <c r="V4946" s="6" t="inlineStr">
        <is>
          <t>not selected</t>
        </is>
      </c>
    </row>
    <row r="4947">
      <c r="A4947" s="6" t="inlineStr">
        <is>
          <t>DJ30</t>
        </is>
      </c>
      <c r="B4947" s="6" t="inlineStr">
        <is>
          <t>2026-01-23</t>
        </is>
      </c>
      <c r="C4947" s="6" t="inlineStr">
        <is>
          <t>DIA</t>
        </is>
      </c>
      <c r="D4947" s="6" t="inlineStr">
        <is>
          <t>KO</t>
        </is>
      </c>
      <c r="E4947" s="6" t="inlineStr">
        <is>
          <t>KO</t>
        </is>
      </c>
      <c r="F4947" s="6" t="inlineStr">
        <is>
          <t>-</t>
        </is>
      </c>
      <c r="G4947" s="7" t="n">
        <v>71.91797637939453</v>
      </c>
      <c r="H4947" s="6">
        <f>P4916</f>
        <v/>
      </c>
      <c r="I4947" s="9">
        <f>Q4916</f>
        <v/>
      </c>
      <c r="J4947" s="7">
        <f>I4947*G4947</f>
        <v/>
      </c>
      <c r="K4947" s="8">
        <f>IF($J$4961=0,0,J4947/$J$4961)</f>
        <v/>
      </c>
      <c r="L4947" s="6" t="inlineStr">
        <is>
          <t>REJECTED</t>
        </is>
      </c>
      <c r="M4947" s="8" t="n">
        <v>0</v>
      </c>
      <c r="N4947" s="7">
        <f>M4947*$J$4961-J4947</f>
        <v/>
      </c>
      <c r="O4947" s="9">
        <f>IF(G4947=0,0,N4947/G4947)</f>
        <v/>
      </c>
      <c r="P4947" s="6">
        <f>IF(M4947&gt;0,D4947,"")</f>
        <v/>
      </c>
      <c r="Q4947" s="9">
        <f>I4947+O4947</f>
        <v/>
      </c>
      <c r="R4947" s="7">
        <f>Q4947*G4947</f>
        <v/>
      </c>
      <c r="S4947" s="8">
        <f>IF($R$4961=0,0,R4947/$R$4961)</f>
        <v/>
      </c>
      <c r="T4947" s="8" t="n">
        <v>-0.01387406819183823</v>
      </c>
      <c r="U4947" s="8" t="n">
        <v>-0.005046466283867179</v>
      </c>
      <c r="V4947" s="6" t="inlineStr">
        <is>
          <t>not selected</t>
        </is>
      </c>
    </row>
    <row r="4948">
      <c r="A4948" s="6" t="inlineStr">
        <is>
          <t>DJ30</t>
        </is>
      </c>
      <c r="B4948" s="6" t="inlineStr">
        <is>
          <t>2026-01-23</t>
        </is>
      </c>
      <c r="C4948" s="6" t="inlineStr">
        <is>
          <t>DIA</t>
        </is>
      </c>
      <c r="D4948" s="6" t="inlineStr">
        <is>
          <t>MCD</t>
        </is>
      </c>
      <c r="E4948" s="6" t="inlineStr">
        <is>
          <t>MCD</t>
        </is>
      </c>
      <c r="F4948" s="6" t="inlineStr">
        <is>
          <t>-</t>
        </is>
      </c>
      <c r="G4948" s="7" t="n">
        <v>305.4603576660156</v>
      </c>
      <c r="H4948" s="6">
        <f>P4917</f>
        <v/>
      </c>
      <c r="I4948" s="9">
        <f>Q4917</f>
        <v/>
      </c>
      <c r="J4948" s="7">
        <f>I4948*G4948</f>
        <v/>
      </c>
      <c r="K4948" s="8">
        <f>IF($J$4961=0,0,J4948/$J$4961)</f>
        <v/>
      </c>
      <c r="L4948" s="6" t="inlineStr">
        <is>
          <t>REJECTED</t>
        </is>
      </c>
      <c r="M4948" s="8" t="n">
        <v>0</v>
      </c>
      <c r="N4948" s="7">
        <f>M4948*$J$4961-J4948</f>
        <v/>
      </c>
      <c r="O4948" s="9">
        <f>IF(G4948=0,0,N4948/G4948)</f>
        <v/>
      </c>
      <c r="P4948" s="6">
        <f>IF(M4948&gt;0,D4948,"")</f>
        <v/>
      </c>
      <c r="Q4948" s="9">
        <f>I4948+O4948</f>
        <v/>
      </c>
      <c r="R4948" s="7">
        <f>Q4948*G4948</f>
        <v/>
      </c>
      <c r="S4948" s="8">
        <f>IF($R$4961=0,0,R4948/$R$4961)</f>
        <v/>
      </c>
      <c r="T4948" s="8" t="n">
        <v>-0.01387406819183823</v>
      </c>
      <c r="U4948" s="8" t="n">
        <v>-0.005046466283867179</v>
      </c>
      <c r="V4948" s="6" t="inlineStr">
        <is>
          <t>not selected</t>
        </is>
      </c>
    </row>
    <row r="4949">
      <c r="A4949" s="6" t="inlineStr">
        <is>
          <t>DJ30</t>
        </is>
      </c>
      <c r="B4949" s="6" t="inlineStr">
        <is>
          <t>2026-01-23</t>
        </is>
      </c>
      <c r="C4949" s="6" t="inlineStr">
        <is>
          <t>DIA</t>
        </is>
      </c>
      <c r="D4949" s="6" t="inlineStr">
        <is>
          <t>MMM</t>
        </is>
      </c>
      <c r="E4949" s="6" t="inlineStr">
        <is>
          <t>MMM</t>
        </is>
      </c>
      <c r="F4949" s="6" t="inlineStr">
        <is>
          <t>-</t>
        </is>
      </c>
      <c r="G4949" s="7" t="n">
        <v>161.1200256347656</v>
      </c>
      <c r="H4949" s="6">
        <f>P4918</f>
        <v/>
      </c>
      <c r="I4949" s="9">
        <f>Q4918</f>
        <v/>
      </c>
      <c r="J4949" s="7">
        <f>I4949*G4949</f>
        <v/>
      </c>
      <c r="K4949" s="8">
        <f>IF($J$4961=0,0,J4949/$J$4961)</f>
        <v/>
      </c>
      <c r="L4949" s="6" t="inlineStr">
        <is>
          <t>WATCHLIST</t>
        </is>
      </c>
      <c r="M4949" s="8" t="n">
        <v>0</v>
      </c>
      <c r="N4949" s="7">
        <f>M4949*$J$4961-J4949</f>
        <v/>
      </c>
      <c r="O4949" s="9">
        <f>IF(G4949=0,0,N4949/G4949)</f>
        <v/>
      </c>
      <c r="P4949" s="6">
        <f>IF(M4949&gt;0,D4949,"")</f>
        <v/>
      </c>
      <c r="Q4949" s="9">
        <f>I4949+O4949</f>
        <v/>
      </c>
      <c r="R4949" s="7">
        <f>Q4949*G4949</f>
        <v/>
      </c>
      <c r="S4949" s="8">
        <f>IF($R$4961=0,0,R4949/$R$4961)</f>
        <v/>
      </c>
      <c r="T4949" s="8" t="n">
        <v>-0.01387406819183823</v>
      </c>
      <c r="U4949" s="8" t="n">
        <v>-0.005046466283867179</v>
      </c>
      <c r="V4949" s="6" t="inlineStr">
        <is>
          <t>not selected</t>
        </is>
      </c>
    </row>
    <row r="4950">
      <c r="A4950" s="6" t="inlineStr">
        <is>
          <t>DJ30</t>
        </is>
      </c>
      <c r="B4950" s="6" t="inlineStr">
        <is>
          <t>2026-01-23</t>
        </is>
      </c>
      <c r="C4950" s="6" t="inlineStr">
        <is>
          <t>DIA</t>
        </is>
      </c>
      <c r="D4950" s="6" t="inlineStr">
        <is>
          <t>MRK</t>
        </is>
      </c>
      <c r="E4950" s="6" t="inlineStr">
        <is>
          <t>MRK</t>
        </is>
      </c>
      <c r="F4950" s="6" t="inlineStr">
        <is>
          <t>-</t>
        </is>
      </c>
      <c r="G4950" s="7" t="n">
        <v>106.617919921875</v>
      </c>
      <c r="H4950" s="6">
        <f>P4919</f>
        <v/>
      </c>
      <c r="I4950" s="9">
        <f>Q4919</f>
        <v/>
      </c>
      <c r="J4950" s="7">
        <f>I4950*G4950</f>
        <v/>
      </c>
      <c r="K4950" s="8">
        <f>IF($J$4961=0,0,J4950/$J$4961)</f>
        <v/>
      </c>
      <c r="L4950" s="6" t="inlineStr">
        <is>
          <t>WATCHLIST</t>
        </is>
      </c>
      <c r="M4950" s="8" t="n">
        <v>0</v>
      </c>
      <c r="N4950" s="7">
        <f>M4950*$J$4961-J4950</f>
        <v/>
      </c>
      <c r="O4950" s="9">
        <f>IF(G4950=0,0,N4950/G4950)</f>
        <v/>
      </c>
      <c r="P4950" s="6">
        <f>IF(M4950&gt;0,D4950,"")</f>
        <v/>
      </c>
      <c r="Q4950" s="9">
        <f>I4950+O4950</f>
        <v/>
      </c>
      <c r="R4950" s="7">
        <f>Q4950*G4950</f>
        <v/>
      </c>
      <c r="S4950" s="8">
        <f>IF($R$4961=0,0,R4950/$R$4961)</f>
        <v/>
      </c>
      <c r="T4950" s="8" t="n">
        <v>-0.01387406819183823</v>
      </c>
      <c r="U4950" s="8" t="n">
        <v>-0.005046466283867179</v>
      </c>
      <c r="V4950" s="6" t="inlineStr">
        <is>
          <t>not selected</t>
        </is>
      </c>
    </row>
    <row r="4951">
      <c r="A4951" s="6" t="inlineStr">
        <is>
          <t>DJ30</t>
        </is>
      </c>
      <c r="B4951" s="6" t="inlineStr">
        <is>
          <t>2026-01-23</t>
        </is>
      </c>
      <c r="C4951" s="6" t="inlineStr">
        <is>
          <t>DIA</t>
        </is>
      </c>
      <c r="D4951" s="6" t="inlineStr">
        <is>
          <t>MSFT</t>
        </is>
      </c>
      <c r="E4951" s="6" t="inlineStr">
        <is>
          <t>MSFT</t>
        </is>
      </c>
      <c r="F4951" s="6" t="inlineStr">
        <is>
          <t>-</t>
        </is>
      </c>
      <c r="G4951" s="7" t="n">
        <v>463.8841857910156</v>
      </c>
      <c r="H4951" s="6">
        <f>P4920</f>
        <v/>
      </c>
      <c r="I4951" s="9">
        <f>Q4920</f>
        <v/>
      </c>
      <c r="J4951" s="7">
        <f>I4951*G4951</f>
        <v/>
      </c>
      <c r="K4951" s="8">
        <f>IF($J$4961=0,0,J4951/$J$4961)</f>
        <v/>
      </c>
      <c r="L4951" s="6" t="inlineStr">
        <is>
          <t>WATCHLIST</t>
        </is>
      </c>
      <c r="M4951" s="8" t="n">
        <v>0</v>
      </c>
      <c r="N4951" s="7">
        <f>M4951*$J$4961-J4951</f>
        <v/>
      </c>
      <c r="O4951" s="9">
        <f>IF(G4951=0,0,N4951/G4951)</f>
        <v/>
      </c>
      <c r="P4951" s="6">
        <f>IF(M4951&gt;0,D4951,"")</f>
        <v/>
      </c>
      <c r="Q4951" s="9">
        <f>I4951+O4951</f>
        <v/>
      </c>
      <c r="R4951" s="7">
        <f>Q4951*G4951</f>
        <v/>
      </c>
      <c r="S4951" s="8">
        <f>IF($R$4961=0,0,R4951/$R$4961)</f>
        <v/>
      </c>
      <c r="T4951" s="8" t="n">
        <v>-0.01387406819183823</v>
      </c>
      <c r="U4951" s="8" t="n">
        <v>-0.005046466283867179</v>
      </c>
      <c r="V4951" s="6" t="inlineStr">
        <is>
          <t>not selected</t>
        </is>
      </c>
    </row>
    <row r="4952">
      <c r="A4952" s="6" t="inlineStr">
        <is>
          <t>DJ30</t>
        </is>
      </c>
      <c r="B4952" s="6" t="inlineStr">
        <is>
          <t>2026-01-23</t>
        </is>
      </c>
      <c r="C4952" s="6" t="inlineStr">
        <is>
          <t>DIA</t>
        </is>
      </c>
      <c r="D4952" s="6" t="inlineStr">
        <is>
          <t>NKE</t>
        </is>
      </c>
      <c r="E4952" s="6" t="inlineStr">
        <is>
          <t>NKE</t>
        </is>
      </c>
      <c r="F4952" s="6" t="inlineStr">
        <is>
          <t>-</t>
        </is>
      </c>
      <c r="G4952" s="7" t="n">
        <v>64.03812408447266</v>
      </c>
      <c r="H4952" s="6">
        <f>P4921</f>
        <v/>
      </c>
      <c r="I4952" s="9">
        <f>Q4921</f>
        <v/>
      </c>
      <c r="J4952" s="7">
        <f>I4952*G4952</f>
        <v/>
      </c>
      <c r="K4952" s="8">
        <f>IF($J$4961=0,0,J4952/$J$4961)</f>
        <v/>
      </c>
      <c r="L4952" s="6" t="inlineStr">
        <is>
          <t>REJECTED</t>
        </is>
      </c>
      <c r="M4952" s="8" t="n">
        <v>0</v>
      </c>
      <c r="N4952" s="7">
        <f>M4952*$J$4961-J4952</f>
        <v/>
      </c>
      <c r="O4952" s="9">
        <f>IF(G4952=0,0,N4952/G4952)</f>
        <v/>
      </c>
      <c r="P4952" s="6">
        <f>IF(M4952&gt;0,D4952,"")</f>
        <v/>
      </c>
      <c r="Q4952" s="9">
        <f>I4952+O4952</f>
        <v/>
      </c>
      <c r="R4952" s="7">
        <f>Q4952*G4952</f>
        <v/>
      </c>
      <c r="S4952" s="8">
        <f>IF($R$4961=0,0,R4952/$R$4961)</f>
        <v/>
      </c>
      <c r="T4952" s="8" t="n">
        <v>-0.01387406819183823</v>
      </c>
      <c r="U4952" s="8" t="n">
        <v>-0.005046466283867179</v>
      </c>
      <c r="V4952" s="6" t="inlineStr">
        <is>
          <t>not selected</t>
        </is>
      </c>
    </row>
    <row r="4953">
      <c r="A4953" s="6" t="inlineStr">
        <is>
          <t>DJ30</t>
        </is>
      </c>
      <c r="B4953" s="6" t="inlineStr">
        <is>
          <t>2026-01-23</t>
        </is>
      </c>
      <c r="C4953" s="6" t="inlineStr">
        <is>
          <t>DIA</t>
        </is>
      </c>
      <c r="D4953" s="6" t="inlineStr">
        <is>
          <t>NVDA</t>
        </is>
      </c>
      <c r="E4953" s="6" t="inlineStr">
        <is>
          <t>NVDA</t>
        </is>
      </c>
      <c r="F4953" s="6" t="inlineStr">
        <is>
          <t>-</t>
        </is>
      </c>
      <c r="G4953" s="7" t="n">
        <v>187.4413757324219</v>
      </c>
      <c r="H4953" s="6">
        <f>P4922</f>
        <v/>
      </c>
      <c r="I4953" s="9">
        <f>Q4922</f>
        <v/>
      </c>
      <c r="J4953" s="7">
        <f>I4953*G4953</f>
        <v/>
      </c>
      <c r="K4953" s="8">
        <f>IF($J$4961=0,0,J4953/$J$4961)</f>
        <v/>
      </c>
      <c r="L4953" s="6" t="inlineStr">
        <is>
          <t>SELECTED</t>
        </is>
      </c>
      <c r="M4953" s="8" t="n">
        <v>0.2</v>
      </c>
      <c r="N4953" s="7">
        <f>M4953*$J$4961-J4953</f>
        <v/>
      </c>
      <c r="O4953" s="9">
        <f>IF(G4953=0,0,N4953/G4953)</f>
        <v/>
      </c>
      <c r="P4953" s="6">
        <f>IF(M4953&gt;0,D4953,"")</f>
        <v/>
      </c>
      <c r="Q4953" s="9">
        <f>I4953+O4953</f>
        <v/>
      </c>
      <c r="R4953" s="7">
        <f>Q4953*G4953</f>
        <v/>
      </c>
      <c r="S4953" s="8">
        <f>IF($R$4961=0,0,R4953/$R$4961)</f>
        <v/>
      </c>
      <c r="T4953" s="8" t="n">
        <v>-0.01387406819183823</v>
      </c>
      <c r="U4953" s="8" t="n">
        <v>-0.005046466283867179</v>
      </c>
      <c r="V4953" s="6" t="inlineStr">
        <is>
          <t>remained in weekly selection</t>
        </is>
      </c>
    </row>
    <row r="4954">
      <c r="A4954" s="6" t="inlineStr">
        <is>
          <t>DJ30</t>
        </is>
      </c>
      <c r="B4954" s="6" t="inlineStr">
        <is>
          <t>2026-01-23</t>
        </is>
      </c>
      <c r="C4954" s="6" t="inlineStr">
        <is>
          <t>DIA</t>
        </is>
      </c>
      <c r="D4954" s="6" t="inlineStr">
        <is>
          <t>PG</t>
        </is>
      </c>
      <c r="E4954" s="6" t="inlineStr">
        <is>
          <t>PG</t>
        </is>
      </c>
      <c r="F4954" s="6" t="inlineStr">
        <is>
          <t>-</t>
        </is>
      </c>
      <c r="G4954" s="7" t="n">
        <v>149.0278015136719</v>
      </c>
      <c r="H4954" s="6">
        <f>P4923</f>
        <v/>
      </c>
      <c r="I4954" s="9">
        <f>Q4923</f>
        <v/>
      </c>
      <c r="J4954" s="7">
        <f>I4954*G4954</f>
        <v/>
      </c>
      <c r="K4954" s="8">
        <f>IF($J$4961=0,0,J4954/$J$4961)</f>
        <v/>
      </c>
      <c r="L4954" s="6" t="inlineStr">
        <is>
          <t>REJECTED</t>
        </is>
      </c>
      <c r="M4954" s="8" t="n">
        <v>0</v>
      </c>
      <c r="N4954" s="7">
        <f>M4954*$J$4961-J4954</f>
        <v/>
      </c>
      <c r="O4954" s="9">
        <f>IF(G4954=0,0,N4954/G4954)</f>
        <v/>
      </c>
      <c r="P4954" s="6">
        <f>IF(M4954&gt;0,D4954,"")</f>
        <v/>
      </c>
      <c r="Q4954" s="9">
        <f>I4954+O4954</f>
        <v/>
      </c>
      <c r="R4954" s="7">
        <f>Q4954*G4954</f>
        <v/>
      </c>
      <c r="S4954" s="8">
        <f>IF($R$4961=0,0,R4954/$R$4961)</f>
        <v/>
      </c>
      <c r="T4954" s="8" t="n">
        <v>-0.01387406819183823</v>
      </c>
      <c r="U4954" s="8" t="n">
        <v>-0.005046466283867179</v>
      </c>
      <c r="V4954" s="6" t="inlineStr">
        <is>
          <t>not selected</t>
        </is>
      </c>
    </row>
    <row r="4955">
      <c r="A4955" s="6" t="inlineStr">
        <is>
          <t>DJ30</t>
        </is>
      </c>
      <c r="B4955" s="6" t="inlineStr">
        <is>
          <t>2026-01-23</t>
        </is>
      </c>
      <c r="C4955" s="6" t="inlineStr">
        <is>
          <t>DIA</t>
        </is>
      </c>
      <c r="D4955" s="6" t="inlineStr">
        <is>
          <t>SHW</t>
        </is>
      </c>
      <c r="E4955" s="6" t="inlineStr">
        <is>
          <t>SHW</t>
        </is>
      </c>
      <c r="F4955" s="6" t="inlineStr">
        <is>
          <t>-</t>
        </is>
      </c>
      <c r="G4955" s="7" t="n">
        <v>346.8517150878906</v>
      </c>
      <c r="H4955" s="6">
        <f>P4924</f>
        <v/>
      </c>
      <c r="I4955" s="9">
        <f>Q4924</f>
        <v/>
      </c>
      <c r="J4955" s="7">
        <f>I4955*G4955</f>
        <v/>
      </c>
      <c r="K4955" s="8">
        <f>IF($J$4961=0,0,J4955/$J$4961)</f>
        <v/>
      </c>
      <c r="L4955" s="6" t="inlineStr">
        <is>
          <t>REJECTED</t>
        </is>
      </c>
      <c r="M4955" s="8" t="n">
        <v>0</v>
      </c>
      <c r="N4955" s="7">
        <f>M4955*$J$4961-J4955</f>
        <v/>
      </c>
      <c r="O4955" s="9">
        <f>IF(G4955=0,0,N4955/G4955)</f>
        <v/>
      </c>
      <c r="P4955" s="6">
        <f>IF(M4955&gt;0,D4955,"")</f>
        <v/>
      </c>
      <c r="Q4955" s="9">
        <f>I4955+O4955</f>
        <v/>
      </c>
      <c r="R4955" s="7">
        <f>Q4955*G4955</f>
        <v/>
      </c>
      <c r="S4955" s="8">
        <f>IF($R$4961=0,0,R4955/$R$4961)</f>
        <v/>
      </c>
      <c r="T4955" s="8" t="n">
        <v>-0.01387406819183823</v>
      </c>
      <c r="U4955" s="8" t="n">
        <v>-0.005046466283867179</v>
      </c>
      <c r="V4955" s="6" t="inlineStr">
        <is>
          <t>not selected</t>
        </is>
      </c>
    </row>
    <row r="4956">
      <c r="A4956" s="6" t="inlineStr">
        <is>
          <t>DJ30</t>
        </is>
      </c>
      <c r="B4956" s="6" t="inlineStr">
        <is>
          <t>2026-01-23</t>
        </is>
      </c>
      <c r="C4956" s="6" t="inlineStr">
        <is>
          <t>DIA</t>
        </is>
      </c>
      <c r="D4956" s="6" t="inlineStr">
        <is>
          <t>TRV</t>
        </is>
      </c>
      <c r="E4956" s="6" t="inlineStr">
        <is>
          <t>TRV</t>
        </is>
      </c>
      <c r="F4956" s="6" t="inlineStr">
        <is>
          <t>-</t>
        </is>
      </c>
      <c r="G4956" s="7" t="n">
        <v>275.5603942871094</v>
      </c>
      <c r="H4956" s="6">
        <f>P4925</f>
        <v/>
      </c>
      <c r="I4956" s="9">
        <f>Q4925</f>
        <v/>
      </c>
      <c r="J4956" s="7">
        <f>I4956*G4956</f>
        <v/>
      </c>
      <c r="K4956" s="8">
        <f>IF($J$4961=0,0,J4956/$J$4961)</f>
        <v/>
      </c>
      <c r="L4956" s="6" t="inlineStr">
        <is>
          <t>WATCHLIST</t>
        </is>
      </c>
      <c r="M4956" s="8" t="n">
        <v>0</v>
      </c>
      <c r="N4956" s="7">
        <f>M4956*$J$4961-J4956</f>
        <v/>
      </c>
      <c r="O4956" s="9">
        <f>IF(G4956=0,0,N4956/G4956)</f>
        <v/>
      </c>
      <c r="P4956" s="6">
        <f>IF(M4956&gt;0,D4956,"")</f>
        <v/>
      </c>
      <c r="Q4956" s="9">
        <f>I4956+O4956</f>
        <v/>
      </c>
      <c r="R4956" s="7">
        <f>Q4956*G4956</f>
        <v/>
      </c>
      <c r="S4956" s="8">
        <f>IF($R$4961=0,0,R4956/$R$4961)</f>
        <v/>
      </c>
      <c r="T4956" s="8" t="n">
        <v>-0.01387406819183823</v>
      </c>
      <c r="U4956" s="8" t="n">
        <v>-0.005046466283867179</v>
      </c>
      <c r="V4956" s="6" t="inlineStr">
        <is>
          <t>not selected</t>
        </is>
      </c>
    </row>
    <row r="4957">
      <c r="A4957" s="6" t="inlineStr">
        <is>
          <t>DJ30</t>
        </is>
      </c>
      <c r="B4957" s="6" t="inlineStr">
        <is>
          <t>2026-01-23</t>
        </is>
      </c>
      <c r="C4957" s="6" t="inlineStr">
        <is>
          <t>DIA</t>
        </is>
      </c>
      <c r="D4957" s="6" t="inlineStr">
        <is>
          <t>UNH</t>
        </is>
      </c>
      <c r="E4957" s="6" t="inlineStr">
        <is>
          <t>UNH</t>
        </is>
      </c>
      <c r="F4957" s="6" t="inlineStr">
        <is>
          <t>-</t>
        </is>
      </c>
      <c r="G4957" s="7" t="n">
        <v>351.5041198730469</v>
      </c>
      <c r="H4957" s="6">
        <f>P4926</f>
        <v/>
      </c>
      <c r="I4957" s="9">
        <f>Q4926</f>
        <v/>
      </c>
      <c r="J4957" s="7">
        <f>I4957*G4957</f>
        <v/>
      </c>
      <c r="K4957" s="8">
        <f>IF($J$4961=0,0,J4957/$J$4961)</f>
        <v/>
      </c>
      <c r="L4957" s="6" t="inlineStr">
        <is>
          <t>REJECTED</t>
        </is>
      </c>
      <c r="M4957" s="8" t="n">
        <v>0</v>
      </c>
      <c r="N4957" s="7">
        <f>M4957*$J$4961-J4957</f>
        <v/>
      </c>
      <c r="O4957" s="9">
        <f>IF(G4957=0,0,N4957/G4957)</f>
        <v/>
      </c>
      <c r="P4957" s="6">
        <f>IF(M4957&gt;0,D4957,"")</f>
        <v/>
      </c>
      <c r="Q4957" s="9">
        <f>I4957+O4957</f>
        <v/>
      </c>
      <c r="R4957" s="7">
        <f>Q4957*G4957</f>
        <v/>
      </c>
      <c r="S4957" s="8">
        <f>IF($R$4961=0,0,R4957/$R$4961)</f>
        <v/>
      </c>
      <c r="T4957" s="8" t="n">
        <v>-0.01387406819183823</v>
      </c>
      <c r="U4957" s="8" t="n">
        <v>-0.005046466283867179</v>
      </c>
      <c r="V4957" s="6" t="inlineStr">
        <is>
          <t>not selected</t>
        </is>
      </c>
    </row>
    <row r="4958">
      <c r="A4958" s="6" t="inlineStr">
        <is>
          <t>DJ30</t>
        </is>
      </c>
      <c r="B4958" s="6" t="inlineStr">
        <is>
          <t>2026-01-23</t>
        </is>
      </c>
      <c r="C4958" s="6" t="inlineStr">
        <is>
          <t>DIA</t>
        </is>
      </c>
      <c r="D4958" s="6" t="inlineStr">
        <is>
          <t>V</t>
        </is>
      </c>
      <c r="E4958" s="6" t="inlineStr">
        <is>
          <t>V</t>
        </is>
      </c>
      <c r="F4958" s="6" t="inlineStr">
        <is>
          <t>-</t>
        </is>
      </c>
      <c r="G4958" s="7" t="n">
        <v>324.8353576660156</v>
      </c>
      <c r="H4958" s="6">
        <f>P4927</f>
        <v/>
      </c>
      <c r="I4958" s="9">
        <f>Q4927</f>
        <v/>
      </c>
      <c r="J4958" s="7">
        <f>I4958*G4958</f>
        <v/>
      </c>
      <c r="K4958" s="8">
        <f>IF($J$4961=0,0,J4958/$J$4961)</f>
        <v/>
      </c>
      <c r="L4958" s="6" t="inlineStr">
        <is>
          <t>REJECTED</t>
        </is>
      </c>
      <c r="M4958" s="8" t="n">
        <v>0</v>
      </c>
      <c r="N4958" s="7">
        <f>M4958*$J$4961-J4958</f>
        <v/>
      </c>
      <c r="O4958" s="9">
        <f>IF(G4958=0,0,N4958/G4958)</f>
        <v/>
      </c>
      <c r="P4958" s="6">
        <f>IF(M4958&gt;0,D4958,"")</f>
        <v/>
      </c>
      <c r="Q4958" s="9">
        <f>I4958+O4958</f>
        <v/>
      </c>
      <c r="R4958" s="7">
        <f>Q4958*G4958</f>
        <v/>
      </c>
      <c r="S4958" s="8">
        <f>IF($R$4961=0,0,R4958/$R$4961)</f>
        <v/>
      </c>
      <c r="T4958" s="8" t="n">
        <v>-0.01387406819183823</v>
      </c>
      <c r="U4958" s="8" t="n">
        <v>-0.005046466283867179</v>
      </c>
      <c r="V4958" s="6" t="inlineStr">
        <is>
          <t>not selected</t>
        </is>
      </c>
    </row>
    <row r="4959">
      <c r="A4959" s="6" t="inlineStr">
        <is>
          <t>DJ30</t>
        </is>
      </c>
      <c r="B4959" s="6" t="inlineStr">
        <is>
          <t>2026-01-23</t>
        </is>
      </c>
      <c r="C4959" s="6" t="inlineStr">
        <is>
          <t>DIA</t>
        </is>
      </c>
      <c r="D4959" s="6" t="inlineStr">
        <is>
          <t>VZ</t>
        </is>
      </c>
      <c r="E4959" s="6" t="inlineStr">
        <is>
          <t>VZ</t>
        </is>
      </c>
      <c r="F4959" s="6" t="inlineStr">
        <is>
          <t>-</t>
        </is>
      </c>
      <c r="G4959" s="7" t="n">
        <v>38.93439865112305</v>
      </c>
      <c r="H4959" s="6">
        <f>P4928</f>
        <v/>
      </c>
      <c r="I4959" s="9">
        <f>Q4928</f>
        <v/>
      </c>
      <c r="J4959" s="7">
        <f>I4959*G4959</f>
        <v/>
      </c>
      <c r="K4959" s="8">
        <f>IF($J$4961=0,0,J4959/$J$4961)</f>
        <v/>
      </c>
      <c r="L4959" s="6" t="inlineStr">
        <is>
          <t>REJECTED</t>
        </is>
      </c>
      <c r="M4959" s="8" t="n">
        <v>0</v>
      </c>
      <c r="N4959" s="7">
        <f>M4959*$J$4961-J4959</f>
        <v/>
      </c>
      <c r="O4959" s="9">
        <f>IF(G4959=0,0,N4959/G4959)</f>
        <v/>
      </c>
      <c r="P4959" s="6">
        <f>IF(M4959&gt;0,D4959,"")</f>
        <v/>
      </c>
      <c r="Q4959" s="9">
        <f>I4959+O4959</f>
        <v/>
      </c>
      <c r="R4959" s="7">
        <f>Q4959*G4959</f>
        <v/>
      </c>
      <c r="S4959" s="8">
        <f>IF($R$4961=0,0,R4959/$R$4961)</f>
        <v/>
      </c>
      <c r="T4959" s="8" t="n">
        <v>-0.01387406819183823</v>
      </c>
      <c r="U4959" s="8" t="n">
        <v>-0.005046466283867179</v>
      </c>
      <c r="V4959" s="6" t="inlineStr">
        <is>
          <t>not selected</t>
        </is>
      </c>
    </row>
    <row r="4960">
      <c r="A4960" s="6" t="inlineStr">
        <is>
          <t>DJ30</t>
        </is>
      </c>
      <c r="B4960" s="6" t="inlineStr">
        <is>
          <t>2026-01-23</t>
        </is>
      </c>
      <c r="C4960" s="6" t="inlineStr">
        <is>
          <t>DIA</t>
        </is>
      </c>
      <c r="D4960" s="6" t="inlineStr">
        <is>
          <t>WMT</t>
        </is>
      </c>
      <c r="E4960" s="6" t="inlineStr">
        <is>
          <t>WMT</t>
        </is>
      </c>
      <c r="F4960" s="6" t="inlineStr">
        <is>
          <t>-</t>
        </is>
      </c>
      <c r="G4960" s="7" t="n">
        <v>117.2650909423828</v>
      </c>
      <c r="H4960" s="6">
        <f>P4929</f>
        <v/>
      </c>
      <c r="I4960" s="9">
        <f>Q4929</f>
        <v/>
      </c>
      <c r="J4960" s="7">
        <f>I4960*G4960</f>
        <v/>
      </c>
      <c r="K4960" s="8">
        <f>IF($J$4961=0,0,J4960/$J$4961)</f>
        <v/>
      </c>
      <c r="L4960" s="6" t="inlineStr">
        <is>
          <t>WATCHLIST</t>
        </is>
      </c>
      <c r="M4960" s="8" t="n">
        <v>0</v>
      </c>
      <c r="N4960" s="7">
        <f>M4960*$J$4961-J4960</f>
        <v/>
      </c>
      <c r="O4960" s="9">
        <f>IF(G4960=0,0,N4960/G4960)</f>
        <v/>
      </c>
      <c r="P4960" s="6">
        <f>IF(M4960&gt;0,D4960,"")</f>
        <v/>
      </c>
      <c r="Q4960" s="9">
        <f>I4960+O4960</f>
        <v/>
      </c>
      <c r="R4960" s="7">
        <f>Q4960*G4960</f>
        <v/>
      </c>
      <c r="S4960" s="8">
        <f>IF($R$4961=0,0,R4960/$R$4961)</f>
        <v/>
      </c>
      <c r="T4960" s="8" t="n">
        <v>-0.01387406819183823</v>
      </c>
      <c r="U4960" s="8" t="n">
        <v>-0.005046466283867179</v>
      </c>
      <c r="V4960" s="6" t="inlineStr">
        <is>
          <t>not selected</t>
        </is>
      </c>
    </row>
    <row r="4961">
      <c r="A4961" s="10" t="inlineStr">
        <is>
          <t>DJ30</t>
        </is>
      </c>
      <c r="B4961" s="10" t="inlineStr">
        <is>
          <t>2026-01-23</t>
        </is>
      </c>
      <c r="C4961" s="10" t="inlineStr">
        <is>
          <t>DIA</t>
        </is>
      </c>
      <c r="D4961" s="10" t="inlineStr">
        <is>
          <t>Tot Portfolio</t>
        </is>
      </c>
      <c r="E4961" s="10" t="inlineStr"/>
      <c r="F4961" s="10" t="inlineStr"/>
      <c r="G4961" s="11" t="inlineStr"/>
      <c r="H4961" s="10" t="inlineStr"/>
      <c r="I4961" s="12" t="inlineStr"/>
      <c r="J4961" s="11">
        <f>SUM(J4931:J4960)</f>
        <v/>
      </c>
      <c r="K4961" s="13">
        <f>SUM(K4931:K4960)</f>
        <v/>
      </c>
      <c r="L4961" s="10" t="inlineStr">
        <is>
          <t>TOTAL</t>
        </is>
      </c>
      <c r="M4961" s="13">
        <f>SUM(M4931:M4960)</f>
        <v/>
      </c>
      <c r="N4961" s="11">
        <f>SUM(N4931:N4960)</f>
        <v/>
      </c>
      <c r="O4961" s="12">
        <f>SUM(O4931:O4960)</f>
        <v/>
      </c>
      <c r="P4961" s="10" t="inlineStr"/>
      <c r="Q4961" s="12" t="inlineStr"/>
      <c r="R4961" s="11">
        <f>SUM(R4931:R4960)</f>
        <v/>
      </c>
      <c r="S4961" s="13">
        <f>SUM(S4931:S4960)</f>
        <v/>
      </c>
      <c r="T4961" s="13" t="n">
        <v>-0.01387406819183823</v>
      </c>
      <c r="U4961" s="13" t="n">
        <v>-0.005046466283867179</v>
      </c>
      <c r="V4961" s="10" t="inlineStr"/>
    </row>
    <row r="4962">
      <c r="A4962" s="6" t="inlineStr">
        <is>
          <t>DJ30</t>
        </is>
      </c>
      <c r="B4962" s="6" t="inlineStr">
        <is>
          <t>2026-01-30</t>
        </is>
      </c>
      <c r="C4962" s="6" t="inlineStr">
        <is>
          <t>DIA</t>
        </is>
      </c>
      <c r="D4962" s="6" t="inlineStr">
        <is>
          <t>AAPL</t>
        </is>
      </c>
      <c r="E4962" s="6" t="inlineStr">
        <is>
          <t>AAPL</t>
        </is>
      </c>
      <c r="F4962" s="6" t="inlineStr">
        <is>
          <t>-</t>
        </is>
      </c>
      <c r="G4962" s="7" t="n">
        <v>258.9988403320312</v>
      </c>
      <c r="H4962" s="6">
        <f>P4931</f>
        <v/>
      </c>
      <c r="I4962" s="9">
        <f>Q4931</f>
        <v/>
      </c>
      <c r="J4962" s="7">
        <f>I4962*G4962</f>
        <v/>
      </c>
      <c r="K4962" s="8">
        <f>IF($J$4992=0,0,J4962/$J$4992)</f>
        <v/>
      </c>
      <c r="L4962" s="6" t="inlineStr">
        <is>
          <t>WATCHLIST</t>
        </is>
      </c>
      <c r="M4962" s="8" t="n">
        <v>0</v>
      </c>
      <c r="N4962" s="7">
        <f>M4962*$J$4992-J4962</f>
        <v/>
      </c>
      <c r="O4962" s="9">
        <f>IF(G4962=0,0,N4962/G4962)</f>
        <v/>
      </c>
      <c r="P4962" s="6">
        <f>IF(M4962&gt;0,D4962,"")</f>
        <v/>
      </c>
      <c r="Q4962" s="9">
        <f>I4962+O4962</f>
        <v/>
      </c>
      <c r="R4962" s="7">
        <f>Q4962*G4962</f>
        <v/>
      </c>
      <c r="S4962" s="8">
        <f>IF($R$4992=0,0,R4962/$R$4992)</f>
        <v/>
      </c>
      <c r="T4962" s="8" t="n">
        <v>0.01829189669478293</v>
      </c>
      <c r="U4962" s="8" t="n">
        <v>-0.003870220916684985</v>
      </c>
      <c r="V4962" s="6" t="inlineStr">
        <is>
          <t>not selected</t>
        </is>
      </c>
    </row>
    <row r="4963">
      <c r="A4963" s="6" t="inlineStr">
        <is>
          <t>DJ30</t>
        </is>
      </c>
      <c r="B4963" s="6" t="inlineStr">
        <is>
          <t>2026-01-30</t>
        </is>
      </c>
      <c r="C4963" s="6" t="inlineStr">
        <is>
          <t>DIA</t>
        </is>
      </c>
      <c r="D4963" s="6" t="inlineStr">
        <is>
          <t>AMGN</t>
        </is>
      </c>
      <c r="E4963" s="6" t="inlineStr">
        <is>
          <t>AMGN</t>
        </is>
      </c>
      <c r="F4963" s="6" t="inlineStr">
        <is>
          <t>-</t>
        </is>
      </c>
      <c r="G4963" s="7" t="n">
        <v>336.982666015625</v>
      </c>
      <c r="H4963" s="6">
        <f>P4932</f>
        <v/>
      </c>
      <c r="I4963" s="9">
        <f>Q4932</f>
        <v/>
      </c>
      <c r="J4963" s="7">
        <f>I4963*G4963</f>
        <v/>
      </c>
      <c r="K4963" s="8">
        <f>IF($J$4992=0,0,J4963/$J$4992)</f>
        <v/>
      </c>
      <c r="L4963" s="6" t="inlineStr">
        <is>
          <t>WATCHLIST</t>
        </is>
      </c>
      <c r="M4963" s="8" t="n">
        <v>0</v>
      </c>
      <c r="N4963" s="7">
        <f>M4963*$J$4992-J4963</f>
        <v/>
      </c>
      <c r="O4963" s="9">
        <f>IF(G4963=0,0,N4963/G4963)</f>
        <v/>
      </c>
      <c r="P4963" s="6">
        <f>IF(M4963&gt;0,D4963,"")</f>
        <v/>
      </c>
      <c r="Q4963" s="9">
        <f>I4963+O4963</f>
        <v/>
      </c>
      <c r="R4963" s="7">
        <f>Q4963*G4963</f>
        <v/>
      </c>
      <c r="S4963" s="8">
        <f>IF($R$4992=0,0,R4963/$R$4992)</f>
        <v/>
      </c>
      <c r="T4963" s="8" t="n">
        <v>0.01829189669478293</v>
      </c>
      <c r="U4963" s="8" t="n">
        <v>-0.003870220916684985</v>
      </c>
      <c r="V4963" s="6" t="inlineStr">
        <is>
          <t>not selected</t>
        </is>
      </c>
    </row>
    <row r="4964">
      <c r="A4964" s="6" t="inlineStr">
        <is>
          <t>DJ30</t>
        </is>
      </c>
      <c r="B4964" s="6" t="inlineStr">
        <is>
          <t>2026-01-30</t>
        </is>
      </c>
      <c r="C4964" s="6" t="inlineStr">
        <is>
          <t>DIA</t>
        </is>
      </c>
      <c r="D4964" s="6" t="inlineStr">
        <is>
          <t>AMZN</t>
        </is>
      </c>
      <c r="E4964" s="6" t="inlineStr">
        <is>
          <t>AMZN</t>
        </is>
      </c>
      <c r="F4964" s="6" t="inlineStr">
        <is>
          <t>-</t>
        </is>
      </c>
      <c r="G4964" s="7" t="n">
        <v>239.3000030517578</v>
      </c>
      <c r="H4964" s="6">
        <f>P4933</f>
        <v/>
      </c>
      <c r="I4964" s="9">
        <f>Q4933</f>
        <v/>
      </c>
      <c r="J4964" s="7">
        <f>I4964*G4964</f>
        <v/>
      </c>
      <c r="K4964" s="8">
        <f>IF($J$4992=0,0,J4964/$J$4992)</f>
        <v/>
      </c>
      <c r="L4964" s="6" t="inlineStr">
        <is>
          <t>WATCHLIST</t>
        </is>
      </c>
      <c r="M4964" s="8" t="n">
        <v>0</v>
      </c>
      <c r="N4964" s="7">
        <f>M4964*$J$4992-J4964</f>
        <v/>
      </c>
      <c r="O4964" s="9">
        <f>IF(G4964=0,0,N4964/G4964)</f>
        <v/>
      </c>
      <c r="P4964" s="6">
        <f>IF(M4964&gt;0,D4964,"")</f>
        <v/>
      </c>
      <c r="Q4964" s="9">
        <f>I4964+O4964</f>
        <v/>
      </c>
      <c r="R4964" s="7">
        <f>Q4964*G4964</f>
        <v/>
      </c>
      <c r="S4964" s="8">
        <f>IF($R$4992=0,0,R4964/$R$4992)</f>
        <v/>
      </c>
      <c r="T4964" s="8" t="n">
        <v>0.01829189669478293</v>
      </c>
      <c r="U4964" s="8" t="n">
        <v>-0.003870220916684985</v>
      </c>
      <c r="V4964" s="6" t="inlineStr">
        <is>
          <t>not selected</t>
        </is>
      </c>
    </row>
    <row r="4965">
      <c r="A4965" s="6" t="inlineStr">
        <is>
          <t>DJ30</t>
        </is>
      </c>
      <c r="B4965" s="6" t="inlineStr">
        <is>
          <t>2026-01-30</t>
        </is>
      </c>
      <c r="C4965" s="6" t="inlineStr">
        <is>
          <t>DIA</t>
        </is>
      </c>
      <c r="D4965" s="6" t="inlineStr">
        <is>
          <t>AXP</t>
        </is>
      </c>
      <c r="E4965" s="6" t="inlineStr">
        <is>
          <t>AXP</t>
        </is>
      </c>
      <c r="F4965" s="6" t="inlineStr">
        <is>
          <t>-</t>
        </is>
      </c>
      <c r="G4965" s="7" t="n">
        <v>351.0601806640625</v>
      </c>
      <c r="H4965" s="6">
        <f>P4934</f>
        <v/>
      </c>
      <c r="I4965" s="9">
        <f>Q4934</f>
        <v/>
      </c>
      <c r="J4965" s="7">
        <f>I4965*G4965</f>
        <v/>
      </c>
      <c r="K4965" s="8">
        <f>IF($J$4992=0,0,J4965/$J$4992)</f>
        <v/>
      </c>
      <c r="L4965" s="6" t="inlineStr">
        <is>
          <t>SELECTED</t>
        </is>
      </c>
      <c r="M4965" s="8" t="n">
        <v>0.2</v>
      </c>
      <c r="N4965" s="7">
        <f>M4965*$J$4992-J4965</f>
        <v/>
      </c>
      <c r="O4965" s="9">
        <f>IF(G4965=0,0,N4965/G4965)</f>
        <v/>
      </c>
      <c r="P4965" s="6">
        <f>IF(M4965&gt;0,D4965,"")</f>
        <v/>
      </c>
      <c r="Q4965" s="9">
        <f>I4965+O4965</f>
        <v/>
      </c>
      <c r="R4965" s="7">
        <f>Q4965*G4965</f>
        <v/>
      </c>
      <c r="S4965" s="8">
        <f>IF($R$4992=0,0,R4965/$R$4992)</f>
        <v/>
      </c>
      <c r="T4965" s="8" t="n">
        <v>0.01829189669478293</v>
      </c>
      <c r="U4965" s="8" t="n">
        <v>-0.003870220916684985</v>
      </c>
      <c r="V4965" s="6" t="inlineStr">
        <is>
          <t>remained in weekly selection</t>
        </is>
      </c>
    </row>
    <row r="4966">
      <c r="A4966" s="6" t="inlineStr">
        <is>
          <t>DJ30</t>
        </is>
      </c>
      <c r="B4966" s="6" t="inlineStr">
        <is>
          <t>2026-01-30</t>
        </is>
      </c>
      <c r="C4966" s="6" t="inlineStr">
        <is>
          <t>DIA</t>
        </is>
      </c>
      <c r="D4966" s="6" t="inlineStr">
        <is>
          <t>BA</t>
        </is>
      </c>
      <c r="E4966" s="6" t="inlineStr">
        <is>
          <t>BA</t>
        </is>
      </c>
      <c r="F4966" s="6" t="inlineStr">
        <is>
          <t>-</t>
        </is>
      </c>
      <c r="G4966" s="7" t="n">
        <v>233.7200012207031</v>
      </c>
      <c r="H4966" s="6">
        <f>P4935</f>
        <v/>
      </c>
      <c r="I4966" s="9">
        <f>Q4935</f>
        <v/>
      </c>
      <c r="J4966" s="7">
        <f>I4966*G4966</f>
        <v/>
      </c>
      <c r="K4966" s="8">
        <f>IF($J$4992=0,0,J4966/$J$4992)</f>
        <v/>
      </c>
      <c r="L4966" s="6" t="inlineStr">
        <is>
          <t>WATCHLIST</t>
        </is>
      </c>
      <c r="M4966" s="8" t="n">
        <v>0</v>
      </c>
      <c r="N4966" s="7">
        <f>M4966*$J$4992-J4966</f>
        <v/>
      </c>
      <c r="O4966" s="9">
        <f>IF(G4966=0,0,N4966/G4966)</f>
        <v/>
      </c>
      <c r="P4966" s="6">
        <f>IF(M4966&gt;0,D4966,"")</f>
        <v/>
      </c>
      <c r="Q4966" s="9">
        <f>I4966+O4966</f>
        <v/>
      </c>
      <c r="R4966" s="7">
        <f>Q4966*G4966</f>
        <v/>
      </c>
      <c r="S4966" s="8">
        <f>IF($R$4992=0,0,R4966/$R$4992)</f>
        <v/>
      </c>
      <c r="T4966" s="8" t="n">
        <v>0.01829189669478293</v>
      </c>
      <c r="U4966" s="8" t="n">
        <v>-0.003870220916684985</v>
      </c>
      <c r="V4966" s="6" t="inlineStr">
        <is>
          <t>not selected</t>
        </is>
      </c>
    </row>
    <row r="4967">
      <c r="A4967" s="6" t="inlineStr">
        <is>
          <t>DJ30</t>
        </is>
      </c>
      <c r="B4967" s="6" t="inlineStr">
        <is>
          <t>2026-01-30</t>
        </is>
      </c>
      <c r="C4967" s="6" t="inlineStr">
        <is>
          <t>DIA</t>
        </is>
      </c>
      <c r="D4967" s="6" t="inlineStr">
        <is>
          <t>CAT</t>
        </is>
      </c>
      <c r="E4967" s="6" t="inlineStr">
        <is>
          <t>CAT</t>
        </is>
      </c>
      <c r="F4967" s="6" t="inlineStr">
        <is>
          <t>-</t>
        </is>
      </c>
      <c r="G4967" s="7" t="n">
        <v>656.1109008789062</v>
      </c>
      <c r="H4967" s="6">
        <f>P4936</f>
        <v/>
      </c>
      <c r="I4967" s="9">
        <f>Q4936</f>
        <v/>
      </c>
      <c r="J4967" s="7">
        <f>I4967*G4967</f>
        <v/>
      </c>
      <c r="K4967" s="8">
        <f>IF($J$4992=0,0,J4967/$J$4992)</f>
        <v/>
      </c>
      <c r="L4967" s="6" t="inlineStr">
        <is>
          <t>SELECTED</t>
        </is>
      </c>
      <c r="M4967" s="8" t="n">
        <v>0.2</v>
      </c>
      <c r="N4967" s="7">
        <f>M4967*$J$4992-J4967</f>
        <v/>
      </c>
      <c r="O4967" s="9">
        <f>IF(G4967=0,0,N4967/G4967)</f>
        <v/>
      </c>
      <c r="P4967" s="6">
        <f>IF(M4967&gt;0,D4967,"")</f>
        <v/>
      </c>
      <c r="Q4967" s="9">
        <f>I4967+O4967</f>
        <v/>
      </c>
      <c r="R4967" s="7">
        <f>Q4967*G4967</f>
        <v/>
      </c>
      <c r="S4967" s="8">
        <f>IF($R$4992=0,0,R4967/$R$4992)</f>
        <v/>
      </c>
      <c r="T4967" s="8" t="n">
        <v>0.01829189669478293</v>
      </c>
      <c r="U4967" s="8" t="n">
        <v>-0.003870220916684985</v>
      </c>
      <c r="V4967" s="6" t="inlineStr">
        <is>
          <t>remained in weekly selection</t>
        </is>
      </c>
    </row>
    <row r="4968">
      <c r="A4968" s="6" t="inlineStr">
        <is>
          <t>DJ30</t>
        </is>
      </c>
      <c r="B4968" s="6" t="inlineStr">
        <is>
          <t>2026-01-30</t>
        </is>
      </c>
      <c r="C4968" s="6" t="inlineStr">
        <is>
          <t>DIA</t>
        </is>
      </c>
      <c r="D4968" s="6" t="inlineStr">
        <is>
          <t>CRM</t>
        </is>
      </c>
      <c r="E4968" s="6" t="inlineStr">
        <is>
          <t>CRM</t>
        </is>
      </c>
      <c r="F4968" s="6" t="inlineStr">
        <is>
          <t>-</t>
        </is>
      </c>
      <c r="G4968" s="7" t="n">
        <v>211.2152404785156</v>
      </c>
      <c r="H4968" s="6">
        <f>P4937</f>
        <v/>
      </c>
      <c r="I4968" s="9">
        <f>Q4937</f>
        <v/>
      </c>
      <c r="J4968" s="7">
        <f>I4968*G4968</f>
        <v/>
      </c>
      <c r="K4968" s="8">
        <f>IF($J$4992=0,0,J4968/$J$4992)</f>
        <v/>
      </c>
      <c r="L4968" s="6" t="inlineStr">
        <is>
          <t>REJECTED</t>
        </is>
      </c>
      <c r="M4968" s="8" t="n">
        <v>0</v>
      </c>
      <c r="N4968" s="7">
        <f>M4968*$J$4992-J4968</f>
        <v/>
      </c>
      <c r="O4968" s="9">
        <f>IF(G4968=0,0,N4968/G4968)</f>
        <v/>
      </c>
      <c r="P4968" s="6">
        <f>IF(M4968&gt;0,D4968,"")</f>
        <v/>
      </c>
      <c r="Q4968" s="9">
        <f>I4968+O4968</f>
        <v/>
      </c>
      <c r="R4968" s="7">
        <f>Q4968*G4968</f>
        <v/>
      </c>
      <c r="S4968" s="8">
        <f>IF($R$4992=0,0,R4968/$R$4992)</f>
        <v/>
      </c>
      <c r="T4968" s="8" t="n">
        <v>0.01829189669478293</v>
      </c>
      <c r="U4968" s="8" t="n">
        <v>-0.003870220916684985</v>
      </c>
      <c r="V4968" s="6" t="inlineStr">
        <is>
          <t>not selected</t>
        </is>
      </c>
    </row>
    <row r="4969">
      <c r="A4969" s="6" t="inlineStr">
        <is>
          <t>DJ30</t>
        </is>
      </c>
      <c r="B4969" s="6" t="inlineStr">
        <is>
          <t>2026-01-30</t>
        </is>
      </c>
      <c r="C4969" s="6" t="inlineStr">
        <is>
          <t>DIA</t>
        </is>
      </c>
      <c r="D4969" s="6" t="inlineStr">
        <is>
          <t>CSCO</t>
        </is>
      </c>
      <c r="E4969" s="6" t="inlineStr">
        <is>
          <t>CSCO</t>
        </is>
      </c>
      <c r="F4969" s="6" t="inlineStr">
        <is>
          <t>-</t>
        </is>
      </c>
      <c r="G4969" s="7" t="n">
        <v>77.89789581298828</v>
      </c>
      <c r="H4969" s="6">
        <f>P4938</f>
        <v/>
      </c>
      <c r="I4969" s="9">
        <f>Q4938</f>
        <v/>
      </c>
      <c r="J4969" s="7">
        <f>I4969*G4969</f>
        <v/>
      </c>
      <c r="K4969" s="8">
        <f>IF($J$4992=0,0,J4969/$J$4992)</f>
        <v/>
      </c>
      <c r="L4969" s="6" t="inlineStr">
        <is>
          <t>WATCHLIST</t>
        </is>
      </c>
      <c r="M4969" s="8" t="n">
        <v>0</v>
      </c>
      <c r="N4969" s="7">
        <f>M4969*$J$4992-J4969</f>
        <v/>
      </c>
      <c r="O4969" s="9">
        <f>IF(G4969=0,0,N4969/G4969)</f>
        <v/>
      </c>
      <c r="P4969" s="6">
        <f>IF(M4969&gt;0,D4969,"")</f>
        <v/>
      </c>
      <c r="Q4969" s="9">
        <f>I4969+O4969</f>
        <v/>
      </c>
      <c r="R4969" s="7">
        <f>Q4969*G4969</f>
        <v/>
      </c>
      <c r="S4969" s="8">
        <f>IF($R$4992=0,0,R4969/$R$4992)</f>
        <v/>
      </c>
      <c r="T4969" s="8" t="n">
        <v>0.01829189669478293</v>
      </c>
      <c r="U4969" s="8" t="n">
        <v>-0.003870220916684985</v>
      </c>
      <c r="V4969" s="6" t="inlineStr">
        <is>
          <t>not selected</t>
        </is>
      </c>
    </row>
    <row r="4970">
      <c r="A4970" s="6" t="inlineStr">
        <is>
          <t>DJ30</t>
        </is>
      </c>
      <c r="B4970" s="6" t="inlineStr">
        <is>
          <t>2026-01-30</t>
        </is>
      </c>
      <c r="C4970" s="6" t="inlineStr">
        <is>
          <t>DIA</t>
        </is>
      </c>
      <c r="D4970" s="6" t="inlineStr">
        <is>
          <t>CVX</t>
        </is>
      </c>
      <c r="E4970" s="6" t="inlineStr">
        <is>
          <t>CVX</t>
        </is>
      </c>
      <c r="F4970" s="6" t="inlineStr">
        <is>
          <t>-</t>
        </is>
      </c>
      <c r="G4970" s="7" t="n">
        <v>173.5962677001953</v>
      </c>
      <c r="H4970" s="6">
        <f>P4939</f>
        <v/>
      </c>
      <c r="I4970" s="9">
        <f>Q4939</f>
        <v/>
      </c>
      <c r="J4970" s="7">
        <f>I4970*G4970</f>
        <v/>
      </c>
      <c r="K4970" s="8">
        <f>IF($J$4992=0,0,J4970/$J$4992)</f>
        <v/>
      </c>
      <c r="L4970" s="6" t="inlineStr">
        <is>
          <t>REJECTED</t>
        </is>
      </c>
      <c r="M4970" s="8" t="n">
        <v>0</v>
      </c>
      <c r="N4970" s="7">
        <f>M4970*$J$4992-J4970</f>
        <v/>
      </c>
      <c r="O4970" s="9">
        <f>IF(G4970=0,0,N4970/G4970)</f>
        <v/>
      </c>
      <c r="P4970" s="6">
        <f>IF(M4970&gt;0,D4970,"")</f>
        <v/>
      </c>
      <c r="Q4970" s="9">
        <f>I4970+O4970</f>
        <v/>
      </c>
      <c r="R4970" s="7">
        <f>Q4970*G4970</f>
        <v/>
      </c>
      <c r="S4970" s="8">
        <f>IF($R$4992=0,0,R4970/$R$4992)</f>
        <v/>
      </c>
      <c r="T4970" s="8" t="n">
        <v>0.01829189669478293</v>
      </c>
      <c r="U4970" s="8" t="n">
        <v>-0.003870220916684985</v>
      </c>
      <c r="V4970" s="6" t="inlineStr">
        <is>
          <t>not selected</t>
        </is>
      </c>
    </row>
    <row r="4971">
      <c r="A4971" s="6" t="inlineStr">
        <is>
          <t>DJ30</t>
        </is>
      </c>
      <c r="B4971" s="6" t="inlineStr">
        <is>
          <t>2026-01-30</t>
        </is>
      </c>
      <c r="C4971" s="6" t="inlineStr">
        <is>
          <t>DIA</t>
        </is>
      </c>
      <c r="D4971" s="6" t="inlineStr">
        <is>
          <t>DIS</t>
        </is>
      </c>
      <c r="E4971" s="6" t="inlineStr">
        <is>
          <t>DIS</t>
        </is>
      </c>
      <c r="F4971" s="6" t="inlineStr">
        <is>
          <t>-</t>
        </is>
      </c>
      <c r="G4971" s="7" t="n">
        <v>112.8000030517578</v>
      </c>
      <c r="H4971" s="6">
        <f>P4940</f>
        <v/>
      </c>
      <c r="I4971" s="9">
        <f>Q4940</f>
        <v/>
      </c>
      <c r="J4971" s="7">
        <f>I4971*G4971</f>
        <v/>
      </c>
      <c r="K4971" s="8">
        <f>IF($J$4992=0,0,J4971/$J$4992)</f>
        <v/>
      </c>
      <c r="L4971" s="6" t="inlineStr">
        <is>
          <t>REJECTED</t>
        </is>
      </c>
      <c r="M4971" s="8" t="n">
        <v>0</v>
      </c>
      <c r="N4971" s="7">
        <f>M4971*$J$4992-J4971</f>
        <v/>
      </c>
      <c r="O4971" s="9">
        <f>IF(G4971=0,0,N4971/G4971)</f>
        <v/>
      </c>
      <c r="P4971" s="6">
        <f>IF(M4971&gt;0,D4971,"")</f>
        <v/>
      </c>
      <c r="Q4971" s="9">
        <f>I4971+O4971</f>
        <v/>
      </c>
      <c r="R4971" s="7">
        <f>Q4971*G4971</f>
        <v/>
      </c>
      <c r="S4971" s="8">
        <f>IF($R$4992=0,0,R4971/$R$4992)</f>
        <v/>
      </c>
      <c r="T4971" s="8" t="n">
        <v>0.01829189669478293</v>
      </c>
      <c r="U4971" s="8" t="n">
        <v>-0.003870220916684985</v>
      </c>
      <c r="V4971" s="6" t="inlineStr">
        <is>
          <t>not selected</t>
        </is>
      </c>
    </row>
    <row r="4972">
      <c r="A4972" s="6" t="inlineStr">
        <is>
          <t>DJ30</t>
        </is>
      </c>
      <c r="B4972" s="6" t="inlineStr">
        <is>
          <t>2026-01-30</t>
        </is>
      </c>
      <c r="C4972" s="6" t="inlineStr">
        <is>
          <t>DIA</t>
        </is>
      </c>
      <c r="D4972" s="6" t="inlineStr">
        <is>
          <t>GS</t>
        </is>
      </c>
      <c r="E4972" s="6" t="inlineStr">
        <is>
          <t>GS</t>
        </is>
      </c>
      <c r="F4972" s="6" t="inlineStr">
        <is>
          <t>-</t>
        </is>
      </c>
      <c r="G4972" s="7" t="n">
        <v>926.4299926757812</v>
      </c>
      <c r="H4972" s="6">
        <f>P4941</f>
        <v/>
      </c>
      <c r="I4972" s="9">
        <f>Q4941</f>
        <v/>
      </c>
      <c r="J4972" s="7">
        <f>I4972*G4972</f>
        <v/>
      </c>
      <c r="K4972" s="8">
        <f>IF($J$4992=0,0,J4972/$J$4992)</f>
        <v/>
      </c>
      <c r="L4972" s="6" t="inlineStr">
        <is>
          <t>SELECTED</t>
        </is>
      </c>
      <c r="M4972" s="8" t="n">
        <v>0.2</v>
      </c>
      <c r="N4972" s="7">
        <f>M4972*$J$4992-J4972</f>
        <v/>
      </c>
      <c r="O4972" s="9">
        <f>IF(G4972=0,0,N4972/G4972)</f>
        <v/>
      </c>
      <c r="P4972" s="6">
        <f>IF(M4972&gt;0,D4972,"")</f>
        <v/>
      </c>
      <c r="Q4972" s="9">
        <f>I4972+O4972</f>
        <v/>
      </c>
      <c r="R4972" s="7">
        <f>Q4972*G4972</f>
        <v/>
      </c>
      <c r="S4972" s="8">
        <f>IF($R$4992=0,0,R4972/$R$4992)</f>
        <v/>
      </c>
      <c r="T4972" s="8" t="n">
        <v>0.01829189669478293</v>
      </c>
      <c r="U4972" s="8" t="n">
        <v>-0.003870220916684985</v>
      </c>
      <c r="V4972" s="6" t="inlineStr">
        <is>
          <t>remained in weekly selection</t>
        </is>
      </c>
    </row>
    <row r="4973">
      <c r="A4973" s="6" t="inlineStr">
        <is>
          <t>DJ30</t>
        </is>
      </c>
      <c r="B4973" s="6" t="inlineStr">
        <is>
          <t>2026-01-30</t>
        </is>
      </c>
      <c r="C4973" s="6" t="inlineStr">
        <is>
          <t>DIA</t>
        </is>
      </c>
      <c r="D4973" s="6" t="inlineStr">
        <is>
          <t>HD</t>
        </is>
      </c>
      <c r="E4973" s="6" t="inlineStr">
        <is>
          <t>HD</t>
        </is>
      </c>
      <c r="F4973" s="6" t="inlineStr">
        <is>
          <t>-</t>
        </is>
      </c>
      <c r="G4973" s="7" t="n">
        <v>369.33203125</v>
      </c>
      <c r="H4973" s="6">
        <f>P4942</f>
        <v/>
      </c>
      <c r="I4973" s="9">
        <f>Q4942</f>
        <v/>
      </c>
      <c r="J4973" s="7">
        <f>I4973*G4973</f>
        <v/>
      </c>
      <c r="K4973" s="8">
        <f>IF($J$4992=0,0,J4973/$J$4992)</f>
        <v/>
      </c>
      <c r="L4973" s="6" t="inlineStr">
        <is>
          <t>REJECTED</t>
        </is>
      </c>
      <c r="M4973" s="8" t="n">
        <v>0</v>
      </c>
      <c r="N4973" s="7">
        <f>M4973*$J$4992-J4973</f>
        <v/>
      </c>
      <c r="O4973" s="9">
        <f>IF(G4973=0,0,N4973/G4973)</f>
        <v/>
      </c>
      <c r="P4973" s="6">
        <f>IF(M4973&gt;0,D4973,"")</f>
        <v/>
      </c>
      <c r="Q4973" s="9">
        <f>I4973+O4973</f>
        <v/>
      </c>
      <c r="R4973" s="7">
        <f>Q4973*G4973</f>
        <v/>
      </c>
      <c r="S4973" s="8">
        <f>IF($R$4992=0,0,R4973/$R$4992)</f>
        <v/>
      </c>
      <c r="T4973" s="8" t="n">
        <v>0.01829189669478293</v>
      </c>
      <c r="U4973" s="8" t="n">
        <v>-0.003870220916684985</v>
      </c>
      <c r="V4973" s="6" t="inlineStr">
        <is>
          <t>not selected</t>
        </is>
      </c>
    </row>
    <row r="4974">
      <c r="A4974" s="6" t="inlineStr">
        <is>
          <t>DJ30</t>
        </is>
      </c>
      <c r="B4974" s="6" t="inlineStr">
        <is>
          <t>2026-01-30</t>
        </is>
      </c>
      <c r="C4974" s="6" t="inlineStr">
        <is>
          <t>DIA</t>
        </is>
      </c>
      <c r="D4974" s="6" t="inlineStr">
        <is>
          <t>HON</t>
        </is>
      </c>
      <c r="E4974" s="6" t="inlineStr">
        <is>
          <t>HON</t>
        </is>
      </c>
      <c r="F4974" s="6" t="inlineStr">
        <is>
          <t>-</t>
        </is>
      </c>
      <c r="G4974" s="7" t="n">
        <v>225.1585845947266</v>
      </c>
      <c r="H4974" s="6">
        <f>P4943</f>
        <v/>
      </c>
      <c r="I4974" s="9">
        <f>Q4943</f>
        <v/>
      </c>
      <c r="J4974" s="7">
        <f>I4974*G4974</f>
        <v/>
      </c>
      <c r="K4974" s="8">
        <f>IF($J$4992=0,0,J4974/$J$4992)</f>
        <v/>
      </c>
      <c r="L4974" s="6" t="inlineStr">
        <is>
          <t>REJECTED</t>
        </is>
      </c>
      <c r="M4974" s="8" t="n">
        <v>0</v>
      </c>
      <c r="N4974" s="7">
        <f>M4974*$J$4992-J4974</f>
        <v/>
      </c>
      <c r="O4974" s="9">
        <f>IF(G4974=0,0,N4974/G4974)</f>
        <v/>
      </c>
      <c r="P4974" s="6">
        <f>IF(M4974&gt;0,D4974,"")</f>
        <v/>
      </c>
      <c r="Q4974" s="9">
        <f>I4974+O4974</f>
        <v/>
      </c>
      <c r="R4974" s="7">
        <f>Q4974*G4974</f>
        <v/>
      </c>
      <c r="S4974" s="8">
        <f>IF($R$4992=0,0,R4974/$R$4992)</f>
        <v/>
      </c>
      <c r="T4974" s="8" t="n">
        <v>0.01829189669478293</v>
      </c>
      <c r="U4974" s="8" t="n">
        <v>-0.003870220916684985</v>
      </c>
      <c r="V4974" s="6" t="inlineStr">
        <is>
          <t>not selected</t>
        </is>
      </c>
    </row>
    <row r="4975">
      <c r="A4975" s="6" t="inlineStr">
        <is>
          <t>DJ30</t>
        </is>
      </c>
      <c r="B4975" s="6" t="inlineStr">
        <is>
          <t>2026-01-30</t>
        </is>
      </c>
      <c r="C4975" s="6" t="inlineStr">
        <is>
          <t>DIA</t>
        </is>
      </c>
      <c r="D4975" s="6" t="inlineStr">
        <is>
          <t>IBM</t>
        </is>
      </c>
      <c r="E4975" s="6" t="inlineStr">
        <is>
          <t>IBM</t>
        </is>
      </c>
      <c r="F4975" s="6" t="inlineStr">
        <is>
          <t>-</t>
        </is>
      </c>
      <c r="G4975" s="7" t="n">
        <v>302.733154296875</v>
      </c>
      <c r="H4975" s="6">
        <f>P4944</f>
        <v/>
      </c>
      <c r="I4975" s="9">
        <f>Q4944</f>
        <v/>
      </c>
      <c r="J4975" s="7">
        <f>I4975*G4975</f>
        <v/>
      </c>
      <c r="K4975" s="8">
        <f>IF($J$4992=0,0,J4975/$J$4992)</f>
        <v/>
      </c>
      <c r="L4975" s="6" t="inlineStr">
        <is>
          <t>WATCHLIST</t>
        </is>
      </c>
      <c r="M4975" s="8" t="n">
        <v>0</v>
      </c>
      <c r="N4975" s="7">
        <f>M4975*$J$4992-J4975</f>
        <v/>
      </c>
      <c r="O4975" s="9">
        <f>IF(G4975=0,0,N4975/G4975)</f>
        <v/>
      </c>
      <c r="P4975" s="6">
        <f>IF(M4975&gt;0,D4975,"")</f>
        <v/>
      </c>
      <c r="Q4975" s="9">
        <f>I4975+O4975</f>
        <v/>
      </c>
      <c r="R4975" s="7">
        <f>Q4975*G4975</f>
        <v/>
      </c>
      <c r="S4975" s="8">
        <f>IF($R$4992=0,0,R4975/$R$4992)</f>
        <v/>
      </c>
      <c r="T4975" s="8" t="n">
        <v>0.01829189669478293</v>
      </c>
      <c r="U4975" s="8" t="n">
        <v>-0.003870220916684985</v>
      </c>
      <c r="V4975" s="6" t="inlineStr">
        <is>
          <t>not selected</t>
        </is>
      </c>
    </row>
    <row r="4976">
      <c r="A4976" s="6" t="inlineStr">
        <is>
          <t>DJ30</t>
        </is>
      </c>
      <c r="B4976" s="6" t="inlineStr">
        <is>
          <t>2026-01-30</t>
        </is>
      </c>
      <c r="C4976" s="6" t="inlineStr">
        <is>
          <t>DIA</t>
        </is>
      </c>
      <c r="D4976" s="6" t="inlineStr">
        <is>
          <t>JNJ</t>
        </is>
      </c>
      <c r="E4976" s="6" t="inlineStr">
        <is>
          <t>JNJ</t>
        </is>
      </c>
      <c r="F4976" s="6" t="inlineStr">
        <is>
          <t>-</t>
        </is>
      </c>
      <c r="G4976" s="7" t="n">
        <v>224.7557067871093</v>
      </c>
      <c r="H4976" s="6">
        <f>P4945</f>
        <v/>
      </c>
      <c r="I4976" s="9">
        <f>Q4945</f>
        <v/>
      </c>
      <c r="J4976" s="7">
        <f>I4976*G4976</f>
        <v/>
      </c>
      <c r="K4976" s="8">
        <f>IF($J$4992=0,0,J4976/$J$4992)</f>
        <v/>
      </c>
      <c r="L4976" s="6" t="inlineStr">
        <is>
          <t>SELECTED</t>
        </is>
      </c>
      <c r="M4976" s="8" t="n">
        <v>0.2</v>
      </c>
      <c r="N4976" s="7">
        <f>M4976*$J$4992-J4976</f>
        <v/>
      </c>
      <c r="O4976" s="9">
        <f>IF(G4976=0,0,N4976/G4976)</f>
        <v/>
      </c>
      <c r="P4976" s="6">
        <f>IF(M4976&gt;0,D4976,"")</f>
        <v/>
      </c>
      <c r="Q4976" s="9">
        <f>I4976+O4976</f>
        <v/>
      </c>
      <c r="R4976" s="7">
        <f>Q4976*G4976</f>
        <v/>
      </c>
      <c r="S4976" s="8">
        <f>IF($R$4992=0,0,R4976/$R$4992)</f>
        <v/>
      </c>
      <c r="T4976" s="8" t="n">
        <v>0.01829189669478293</v>
      </c>
      <c r="U4976" s="8" t="n">
        <v>-0.003870220916684985</v>
      </c>
      <c r="V4976" s="6" t="inlineStr">
        <is>
          <t>remained in weekly selection</t>
        </is>
      </c>
    </row>
    <row r="4977">
      <c r="A4977" s="6" t="inlineStr">
        <is>
          <t>DJ30</t>
        </is>
      </c>
      <c r="B4977" s="6" t="inlineStr">
        <is>
          <t>2026-01-30</t>
        </is>
      </c>
      <c r="C4977" s="6" t="inlineStr">
        <is>
          <t>DIA</t>
        </is>
      </c>
      <c r="D4977" s="6" t="inlineStr">
        <is>
          <t>JPM</t>
        </is>
      </c>
      <c r="E4977" s="6" t="inlineStr">
        <is>
          <t>JPM</t>
        </is>
      </c>
      <c r="F4977" s="6" t="inlineStr">
        <is>
          <t>-</t>
        </is>
      </c>
      <c r="G4977" s="7" t="n">
        <v>304.33251953125</v>
      </c>
      <c r="H4977" s="6">
        <f>P4946</f>
        <v/>
      </c>
      <c r="I4977" s="9">
        <f>Q4946</f>
        <v/>
      </c>
      <c r="J4977" s="7">
        <f>I4977*G4977</f>
        <v/>
      </c>
      <c r="K4977" s="8">
        <f>IF($J$4992=0,0,J4977/$J$4992)</f>
        <v/>
      </c>
      <c r="L4977" s="6" t="inlineStr">
        <is>
          <t>WATCHLIST</t>
        </is>
      </c>
      <c r="M4977" s="8" t="n">
        <v>0</v>
      </c>
      <c r="N4977" s="7">
        <f>M4977*$J$4992-J4977</f>
        <v/>
      </c>
      <c r="O4977" s="9">
        <f>IF(G4977=0,0,N4977/G4977)</f>
        <v/>
      </c>
      <c r="P4977" s="6">
        <f>IF(M4977&gt;0,D4977,"")</f>
        <v/>
      </c>
      <c r="Q4977" s="9">
        <f>I4977+O4977</f>
        <v/>
      </c>
      <c r="R4977" s="7">
        <f>Q4977*G4977</f>
        <v/>
      </c>
      <c r="S4977" s="8">
        <f>IF($R$4992=0,0,R4977/$R$4992)</f>
        <v/>
      </c>
      <c r="T4977" s="8" t="n">
        <v>0.01829189669478293</v>
      </c>
      <c r="U4977" s="8" t="n">
        <v>-0.003870220916684985</v>
      </c>
      <c r="V4977" s="6" t="inlineStr">
        <is>
          <t>not selected</t>
        </is>
      </c>
    </row>
    <row r="4978">
      <c r="A4978" s="6" t="inlineStr">
        <is>
          <t>DJ30</t>
        </is>
      </c>
      <c r="B4978" s="6" t="inlineStr">
        <is>
          <t>2026-01-30</t>
        </is>
      </c>
      <c r="C4978" s="6" t="inlineStr">
        <is>
          <t>DIA</t>
        </is>
      </c>
      <c r="D4978" s="6" t="inlineStr">
        <is>
          <t>KO</t>
        </is>
      </c>
      <c r="E4978" s="6" t="inlineStr">
        <is>
          <t>KO</t>
        </is>
      </c>
      <c r="F4978" s="6" t="inlineStr">
        <is>
          <t>-</t>
        </is>
      </c>
      <c r="G4978" s="7" t="n">
        <v>73.82249450683594</v>
      </c>
      <c r="H4978" s="6">
        <f>P4947</f>
        <v/>
      </c>
      <c r="I4978" s="9">
        <f>Q4947</f>
        <v/>
      </c>
      <c r="J4978" s="7">
        <f>I4978*G4978</f>
        <v/>
      </c>
      <c r="K4978" s="8">
        <f>IF($J$4992=0,0,J4978/$J$4992)</f>
        <v/>
      </c>
      <c r="L4978" s="6" t="inlineStr">
        <is>
          <t>REJECTED</t>
        </is>
      </c>
      <c r="M4978" s="8" t="n">
        <v>0</v>
      </c>
      <c r="N4978" s="7">
        <f>M4978*$J$4992-J4978</f>
        <v/>
      </c>
      <c r="O4978" s="9">
        <f>IF(G4978=0,0,N4978/G4978)</f>
        <v/>
      </c>
      <c r="P4978" s="6">
        <f>IF(M4978&gt;0,D4978,"")</f>
        <v/>
      </c>
      <c r="Q4978" s="9">
        <f>I4978+O4978</f>
        <v/>
      </c>
      <c r="R4978" s="7">
        <f>Q4978*G4978</f>
        <v/>
      </c>
      <c r="S4978" s="8">
        <f>IF($R$4992=0,0,R4978/$R$4992)</f>
        <v/>
      </c>
      <c r="T4978" s="8" t="n">
        <v>0.01829189669478293</v>
      </c>
      <c r="U4978" s="8" t="n">
        <v>-0.003870220916684985</v>
      </c>
      <c r="V4978" s="6" t="inlineStr">
        <is>
          <t>not selected</t>
        </is>
      </c>
    </row>
    <row r="4979">
      <c r="A4979" s="6" t="inlineStr">
        <is>
          <t>DJ30</t>
        </is>
      </c>
      <c r="B4979" s="6" t="inlineStr">
        <is>
          <t>2026-01-30</t>
        </is>
      </c>
      <c r="C4979" s="6" t="inlineStr">
        <is>
          <t>DIA</t>
        </is>
      </c>
      <c r="D4979" s="6" t="inlineStr">
        <is>
          <t>MCD</t>
        </is>
      </c>
      <c r="E4979" s="6" t="inlineStr">
        <is>
          <t>MCD</t>
        </is>
      </c>
      <c r="F4979" s="6" t="inlineStr">
        <is>
          <t>-</t>
        </is>
      </c>
      <c r="G4979" s="7" t="n">
        <v>311.1399230957031</v>
      </c>
      <c r="H4979" s="6">
        <f>P4948</f>
        <v/>
      </c>
      <c r="I4979" s="9">
        <f>Q4948</f>
        <v/>
      </c>
      <c r="J4979" s="7">
        <f>I4979*G4979</f>
        <v/>
      </c>
      <c r="K4979" s="8">
        <f>IF($J$4992=0,0,J4979/$J$4992)</f>
        <v/>
      </c>
      <c r="L4979" s="6" t="inlineStr">
        <is>
          <t>REJECTED</t>
        </is>
      </c>
      <c r="M4979" s="8" t="n">
        <v>0</v>
      </c>
      <c r="N4979" s="7">
        <f>M4979*$J$4992-J4979</f>
        <v/>
      </c>
      <c r="O4979" s="9">
        <f>IF(G4979=0,0,N4979/G4979)</f>
        <v/>
      </c>
      <c r="P4979" s="6">
        <f>IF(M4979&gt;0,D4979,"")</f>
        <v/>
      </c>
      <c r="Q4979" s="9">
        <f>I4979+O4979</f>
        <v/>
      </c>
      <c r="R4979" s="7">
        <f>Q4979*G4979</f>
        <v/>
      </c>
      <c r="S4979" s="8">
        <f>IF($R$4992=0,0,R4979/$R$4992)</f>
        <v/>
      </c>
      <c r="T4979" s="8" t="n">
        <v>0.01829189669478293</v>
      </c>
      <c r="U4979" s="8" t="n">
        <v>-0.003870220916684985</v>
      </c>
      <c r="V4979" s="6" t="inlineStr">
        <is>
          <t>not selected</t>
        </is>
      </c>
    </row>
    <row r="4980">
      <c r="A4980" s="6" t="inlineStr">
        <is>
          <t>DJ30</t>
        </is>
      </c>
      <c r="B4980" s="6" t="inlineStr">
        <is>
          <t>2026-01-30</t>
        </is>
      </c>
      <c r="C4980" s="6" t="inlineStr">
        <is>
          <t>DIA</t>
        </is>
      </c>
      <c r="D4980" s="6" t="inlineStr">
        <is>
          <t>MMM</t>
        </is>
      </c>
      <c r="E4980" s="6" t="inlineStr">
        <is>
          <t>MMM</t>
        </is>
      </c>
      <c r="F4980" s="6" t="inlineStr">
        <is>
          <t>-</t>
        </is>
      </c>
      <c r="G4980" s="7" t="n">
        <v>151.6913146972656</v>
      </c>
      <c r="H4980" s="6">
        <f>P4949</f>
        <v/>
      </c>
      <c r="I4980" s="9">
        <f>Q4949</f>
        <v/>
      </c>
      <c r="J4980" s="7">
        <f>I4980*G4980</f>
        <v/>
      </c>
      <c r="K4980" s="8">
        <f>IF($J$4992=0,0,J4980/$J$4992)</f>
        <v/>
      </c>
      <c r="L4980" s="6" t="inlineStr">
        <is>
          <t>WATCHLIST</t>
        </is>
      </c>
      <c r="M4980" s="8" t="n">
        <v>0</v>
      </c>
      <c r="N4980" s="7">
        <f>M4980*$J$4992-J4980</f>
        <v/>
      </c>
      <c r="O4980" s="9">
        <f>IF(G4980=0,0,N4980/G4980)</f>
        <v/>
      </c>
      <c r="P4980" s="6">
        <f>IF(M4980&gt;0,D4980,"")</f>
        <v/>
      </c>
      <c r="Q4980" s="9">
        <f>I4980+O4980</f>
        <v/>
      </c>
      <c r="R4980" s="7">
        <f>Q4980*G4980</f>
        <v/>
      </c>
      <c r="S4980" s="8">
        <f>IF($R$4992=0,0,R4980/$R$4992)</f>
        <v/>
      </c>
      <c r="T4980" s="8" t="n">
        <v>0.01829189669478293</v>
      </c>
      <c r="U4980" s="8" t="n">
        <v>-0.003870220916684985</v>
      </c>
      <c r="V4980" s="6" t="inlineStr">
        <is>
          <t>not selected</t>
        </is>
      </c>
    </row>
    <row r="4981">
      <c r="A4981" s="6" t="inlineStr">
        <is>
          <t>DJ30</t>
        </is>
      </c>
      <c r="B4981" s="6" t="inlineStr">
        <is>
          <t>2026-01-30</t>
        </is>
      </c>
      <c r="C4981" s="6" t="inlineStr">
        <is>
          <t>DIA</t>
        </is>
      </c>
      <c r="D4981" s="6" t="inlineStr">
        <is>
          <t>MRK</t>
        </is>
      </c>
      <c r="E4981" s="6" t="inlineStr">
        <is>
          <t>MRK</t>
        </is>
      </c>
      <c r="F4981" s="6" t="inlineStr">
        <is>
          <t>-</t>
        </is>
      </c>
      <c r="G4981" s="7" t="n">
        <v>108.677734375</v>
      </c>
      <c r="H4981" s="6">
        <f>P4950</f>
        <v/>
      </c>
      <c r="I4981" s="9">
        <f>Q4950</f>
        <v/>
      </c>
      <c r="J4981" s="7">
        <f>I4981*G4981</f>
        <v/>
      </c>
      <c r="K4981" s="8">
        <f>IF($J$4992=0,0,J4981/$J$4992)</f>
        <v/>
      </c>
      <c r="L4981" s="6" t="inlineStr">
        <is>
          <t>WATCHLIST</t>
        </is>
      </c>
      <c r="M4981" s="8" t="n">
        <v>0</v>
      </c>
      <c r="N4981" s="7">
        <f>M4981*$J$4992-J4981</f>
        <v/>
      </c>
      <c r="O4981" s="9">
        <f>IF(G4981=0,0,N4981/G4981)</f>
        <v/>
      </c>
      <c r="P4981" s="6">
        <f>IF(M4981&gt;0,D4981,"")</f>
        <v/>
      </c>
      <c r="Q4981" s="9">
        <f>I4981+O4981</f>
        <v/>
      </c>
      <c r="R4981" s="7">
        <f>Q4981*G4981</f>
        <v/>
      </c>
      <c r="S4981" s="8">
        <f>IF($R$4992=0,0,R4981/$R$4992)</f>
        <v/>
      </c>
      <c r="T4981" s="8" t="n">
        <v>0.01829189669478293</v>
      </c>
      <c r="U4981" s="8" t="n">
        <v>-0.003870220916684985</v>
      </c>
      <c r="V4981" s="6" t="inlineStr">
        <is>
          <t>not selected</t>
        </is>
      </c>
    </row>
    <row r="4982">
      <c r="A4982" s="6" t="inlineStr">
        <is>
          <t>DJ30</t>
        </is>
      </c>
      <c r="B4982" s="6" t="inlineStr">
        <is>
          <t>2026-01-30</t>
        </is>
      </c>
      <c r="C4982" s="6" t="inlineStr">
        <is>
          <t>DIA</t>
        </is>
      </c>
      <c r="D4982" s="6" t="inlineStr">
        <is>
          <t>MSFT</t>
        </is>
      </c>
      <c r="E4982" s="6" t="inlineStr">
        <is>
          <t>MSFT</t>
        </is>
      </c>
      <c r="F4982" s="6" t="inlineStr">
        <is>
          <t>-</t>
        </is>
      </c>
      <c r="G4982" s="7" t="n">
        <v>428.38232421875</v>
      </c>
      <c r="H4982" s="6">
        <f>P4951</f>
        <v/>
      </c>
      <c r="I4982" s="9">
        <f>Q4951</f>
        <v/>
      </c>
      <c r="J4982" s="7">
        <f>I4982*G4982</f>
        <v/>
      </c>
      <c r="K4982" s="8">
        <f>IF($J$4992=0,0,J4982/$J$4992)</f>
        <v/>
      </c>
      <c r="L4982" s="6" t="inlineStr">
        <is>
          <t>WATCHLIST</t>
        </is>
      </c>
      <c r="M4982" s="8" t="n">
        <v>0</v>
      </c>
      <c r="N4982" s="7">
        <f>M4982*$J$4992-J4982</f>
        <v/>
      </c>
      <c r="O4982" s="9">
        <f>IF(G4982=0,0,N4982/G4982)</f>
        <v/>
      </c>
      <c r="P4982" s="6">
        <f>IF(M4982&gt;0,D4982,"")</f>
        <v/>
      </c>
      <c r="Q4982" s="9">
        <f>I4982+O4982</f>
        <v/>
      </c>
      <c r="R4982" s="7">
        <f>Q4982*G4982</f>
        <v/>
      </c>
      <c r="S4982" s="8">
        <f>IF($R$4992=0,0,R4982/$R$4992)</f>
        <v/>
      </c>
      <c r="T4982" s="8" t="n">
        <v>0.01829189669478293</v>
      </c>
      <c r="U4982" s="8" t="n">
        <v>-0.003870220916684985</v>
      </c>
      <c r="V4982" s="6" t="inlineStr">
        <is>
          <t>not selected</t>
        </is>
      </c>
    </row>
    <row r="4983">
      <c r="A4983" s="6" t="inlineStr">
        <is>
          <t>DJ30</t>
        </is>
      </c>
      <c r="B4983" s="6" t="inlineStr">
        <is>
          <t>2026-01-30</t>
        </is>
      </c>
      <c r="C4983" s="6" t="inlineStr">
        <is>
          <t>DIA</t>
        </is>
      </c>
      <c r="D4983" s="6" t="inlineStr">
        <is>
          <t>NKE</t>
        </is>
      </c>
      <c r="E4983" s="6" t="inlineStr">
        <is>
          <t>NKE</t>
        </is>
      </c>
      <c r="F4983" s="6" t="inlineStr">
        <is>
          <t>-</t>
        </is>
      </c>
      <c r="G4983" s="7" t="n">
        <v>60.85787963867188</v>
      </c>
      <c r="H4983" s="6">
        <f>P4952</f>
        <v/>
      </c>
      <c r="I4983" s="9">
        <f>Q4952</f>
        <v/>
      </c>
      <c r="J4983" s="7">
        <f>I4983*G4983</f>
        <v/>
      </c>
      <c r="K4983" s="8">
        <f>IF($J$4992=0,0,J4983/$J$4992)</f>
        <v/>
      </c>
      <c r="L4983" s="6" t="inlineStr">
        <is>
          <t>REJECTED</t>
        </is>
      </c>
      <c r="M4983" s="8" t="n">
        <v>0</v>
      </c>
      <c r="N4983" s="7">
        <f>M4983*$J$4992-J4983</f>
        <v/>
      </c>
      <c r="O4983" s="9">
        <f>IF(G4983=0,0,N4983/G4983)</f>
        <v/>
      </c>
      <c r="P4983" s="6">
        <f>IF(M4983&gt;0,D4983,"")</f>
        <v/>
      </c>
      <c r="Q4983" s="9">
        <f>I4983+O4983</f>
        <v/>
      </c>
      <c r="R4983" s="7">
        <f>Q4983*G4983</f>
        <v/>
      </c>
      <c r="S4983" s="8">
        <f>IF($R$4992=0,0,R4983/$R$4992)</f>
        <v/>
      </c>
      <c r="T4983" s="8" t="n">
        <v>0.01829189669478293</v>
      </c>
      <c r="U4983" s="8" t="n">
        <v>-0.003870220916684985</v>
      </c>
      <c r="V4983" s="6" t="inlineStr">
        <is>
          <t>not selected</t>
        </is>
      </c>
    </row>
    <row r="4984">
      <c r="A4984" s="6" t="inlineStr">
        <is>
          <t>DJ30</t>
        </is>
      </c>
      <c r="B4984" s="6" t="inlineStr">
        <is>
          <t>2026-01-30</t>
        </is>
      </c>
      <c r="C4984" s="6" t="inlineStr">
        <is>
          <t>DIA</t>
        </is>
      </c>
      <c r="D4984" s="6" t="inlineStr">
        <is>
          <t>NVDA</t>
        </is>
      </c>
      <c r="E4984" s="6" t="inlineStr">
        <is>
          <t>NVDA</t>
        </is>
      </c>
      <c r="F4984" s="6" t="inlineStr">
        <is>
          <t>-</t>
        </is>
      </c>
      <c r="G4984" s="7" t="n">
        <v>190.8971710205078</v>
      </c>
      <c r="H4984" s="6">
        <f>P4953</f>
        <v/>
      </c>
      <c r="I4984" s="9">
        <f>Q4953</f>
        <v/>
      </c>
      <c r="J4984" s="7">
        <f>I4984*G4984</f>
        <v/>
      </c>
      <c r="K4984" s="8">
        <f>IF($J$4992=0,0,J4984/$J$4992)</f>
        <v/>
      </c>
      <c r="L4984" s="6" t="inlineStr">
        <is>
          <t>SELECTED</t>
        </is>
      </c>
      <c r="M4984" s="8" t="n">
        <v>0.2</v>
      </c>
      <c r="N4984" s="7">
        <f>M4984*$J$4992-J4984</f>
        <v/>
      </c>
      <c r="O4984" s="9">
        <f>IF(G4984=0,0,N4984/G4984)</f>
        <v/>
      </c>
      <c r="P4984" s="6">
        <f>IF(M4984&gt;0,D4984,"")</f>
        <v/>
      </c>
      <c r="Q4984" s="9">
        <f>I4984+O4984</f>
        <v/>
      </c>
      <c r="R4984" s="7">
        <f>Q4984*G4984</f>
        <v/>
      </c>
      <c r="S4984" s="8">
        <f>IF($R$4992=0,0,R4984/$R$4992)</f>
        <v/>
      </c>
      <c r="T4984" s="8" t="n">
        <v>0.01829189669478293</v>
      </c>
      <c r="U4984" s="8" t="n">
        <v>-0.003870220916684985</v>
      </c>
      <c r="V4984" s="6" t="inlineStr">
        <is>
          <t>remained in weekly selection</t>
        </is>
      </c>
    </row>
    <row r="4985">
      <c r="A4985" s="6" t="inlineStr">
        <is>
          <t>DJ30</t>
        </is>
      </c>
      <c r="B4985" s="6" t="inlineStr">
        <is>
          <t>2026-01-30</t>
        </is>
      </c>
      <c r="C4985" s="6" t="inlineStr">
        <is>
          <t>DIA</t>
        </is>
      </c>
      <c r="D4985" s="6" t="inlineStr">
        <is>
          <t>PG</t>
        </is>
      </c>
      <c r="E4985" s="6" t="inlineStr">
        <is>
          <t>PG</t>
        </is>
      </c>
      <c r="F4985" s="6" t="inlineStr">
        <is>
          <t>-</t>
        </is>
      </c>
      <c r="G4985" s="7" t="n">
        <v>150.6357116699219</v>
      </c>
      <c r="H4985" s="6">
        <f>P4954</f>
        <v/>
      </c>
      <c r="I4985" s="9">
        <f>Q4954</f>
        <v/>
      </c>
      <c r="J4985" s="7">
        <f>I4985*G4985</f>
        <v/>
      </c>
      <c r="K4985" s="8">
        <f>IF($J$4992=0,0,J4985/$J$4992)</f>
        <v/>
      </c>
      <c r="L4985" s="6" t="inlineStr">
        <is>
          <t>REJECTED</t>
        </is>
      </c>
      <c r="M4985" s="8" t="n">
        <v>0</v>
      </c>
      <c r="N4985" s="7">
        <f>M4985*$J$4992-J4985</f>
        <v/>
      </c>
      <c r="O4985" s="9">
        <f>IF(G4985=0,0,N4985/G4985)</f>
        <v/>
      </c>
      <c r="P4985" s="6">
        <f>IF(M4985&gt;0,D4985,"")</f>
        <v/>
      </c>
      <c r="Q4985" s="9">
        <f>I4985+O4985</f>
        <v/>
      </c>
      <c r="R4985" s="7">
        <f>Q4985*G4985</f>
        <v/>
      </c>
      <c r="S4985" s="8">
        <f>IF($R$4992=0,0,R4985/$R$4992)</f>
        <v/>
      </c>
      <c r="T4985" s="8" t="n">
        <v>0.01829189669478293</v>
      </c>
      <c r="U4985" s="8" t="n">
        <v>-0.003870220916684985</v>
      </c>
      <c r="V4985" s="6" t="inlineStr">
        <is>
          <t>not selected</t>
        </is>
      </c>
    </row>
    <row r="4986">
      <c r="A4986" s="6" t="inlineStr">
        <is>
          <t>DJ30</t>
        </is>
      </c>
      <c r="B4986" s="6" t="inlineStr">
        <is>
          <t>2026-01-30</t>
        </is>
      </c>
      <c r="C4986" s="6" t="inlineStr">
        <is>
          <t>DIA</t>
        </is>
      </c>
      <c r="D4986" s="6" t="inlineStr">
        <is>
          <t>SHW</t>
        </is>
      </c>
      <c r="E4986" s="6" t="inlineStr">
        <is>
          <t>SHW</t>
        </is>
      </c>
      <c r="F4986" s="6" t="inlineStr">
        <is>
          <t>-</t>
        </is>
      </c>
      <c r="G4986" s="7" t="n">
        <v>352.9424438476562</v>
      </c>
      <c r="H4986" s="6">
        <f>P4955</f>
        <v/>
      </c>
      <c r="I4986" s="9">
        <f>Q4955</f>
        <v/>
      </c>
      <c r="J4986" s="7">
        <f>I4986*G4986</f>
        <v/>
      </c>
      <c r="K4986" s="8">
        <f>IF($J$4992=0,0,J4986/$J$4992)</f>
        <v/>
      </c>
      <c r="L4986" s="6" t="inlineStr">
        <is>
          <t>REJECTED</t>
        </is>
      </c>
      <c r="M4986" s="8" t="n">
        <v>0</v>
      </c>
      <c r="N4986" s="7">
        <f>M4986*$J$4992-J4986</f>
        <v/>
      </c>
      <c r="O4986" s="9">
        <f>IF(G4986=0,0,N4986/G4986)</f>
        <v/>
      </c>
      <c r="P4986" s="6">
        <f>IF(M4986&gt;0,D4986,"")</f>
        <v/>
      </c>
      <c r="Q4986" s="9">
        <f>I4986+O4986</f>
        <v/>
      </c>
      <c r="R4986" s="7">
        <f>Q4986*G4986</f>
        <v/>
      </c>
      <c r="S4986" s="8">
        <f>IF($R$4992=0,0,R4986/$R$4992)</f>
        <v/>
      </c>
      <c r="T4986" s="8" t="n">
        <v>0.01829189669478293</v>
      </c>
      <c r="U4986" s="8" t="n">
        <v>-0.003870220916684985</v>
      </c>
      <c r="V4986" s="6" t="inlineStr">
        <is>
          <t>not selected</t>
        </is>
      </c>
    </row>
    <row r="4987">
      <c r="A4987" s="6" t="inlineStr">
        <is>
          <t>DJ30</t>
        </is>
      </c>
      <c r="B4987" s="6" t="inlineStr">
        <is>
          <t>2026-01-30</t>
        </is>
      </c>
      <c r="C4987" s="6" t="inlineStr">
        <is>
          <t>DIA</t>
        </is>
      </c>
      <c r="D4987" s="6" t="inlineStr">
        <is>
          <t>TRV</t>
        </is>
      </c>
      <c r="E4987" s="6" t="inlineStr">
        <is>
          <t>TRV</t>
        </is>
      </c>
      <c r="F4987" s="6" t="inlineStr">
        <is>
          <t>-</t>
        </is>
      </c>
      <c r="G4987" s="7" t="n">
        <v>282.297607421875</v>
      </c>
      <c r="H4987" s="6">
        <f>P4956</f>
        <v/>
      </c>
      <c r="I4987" s="9">
        <f>Q4956</f>
        <v/>
      </c>
      <c r="J4987" s="7">
        <f>I4987*G4987</f>
        <v/>
      </c>
      <c r="K4987" s="8">
        <f>IF($J$4992=0,0,J4987/$J$4992)</f>
        <v/>
      </c>
      <c r="L4987" s="6" t="inlineStr">
        <is>
          <t>WATCHLIST</t>
        </is>
      </c>
      <c r="M4987" s="8" t="n">
        <v>0</v>
      </c>
      <c r="N4987" s="7">
        <f>M4987*$J$4992-J4987</f>
        <v/>
      </c>
      <c r="O4987" s="9">
        <f>IF(G4987=0,0,N4987/G4987)</f>
        <v/>
      </c>
      <c r="P4987" s="6">
        <f>IF(M4987&gt;0,D4987,"")</f>
        <v/>
      </c>
      <c r="Q4987" s="9">
        <f>I4987+O4987</f>
        <v/>
      </c>
      <c r="R4987" s="7">
        <f>Q4987*G4987</f>
        <v/>
      </c>
      <c r="S4987" s="8">
        <f>IF($R$4992=0,0,R4987/$R$4992)</f>
        <v/>
      </c>
      <c r="T4987" s="8" t="n">
        <v>0.01829189669478293</v>
      </c>
      <c r="U4987" s="8" t="n">
        <v>-0.003870220916684985</v>
      </c>
      <c r="V4987" s="6" t="inlineStr">
        <is>
          <t>not selected</t>
        </is>
      </c>
    </row>
    <row r="4988">
      <c r="A4988" s="6" t="inlineStr">
        <is>
          <t>DJ30</t>
        </is>
      </c>
      <c r="B4988" s="6" t="inlineStr">
        <is>
          <t>2026-01-30</t>
        </is>
      </c>
      <c r="C4988" s="6" t="inlineStr">
        <is>
          <t>DIA</t>
        </is>
      </c>
      <c r="D4988" s="6" t="inlineStr">
        <is>
          <t>UNH</t>
        </is>
      </c>
      <c r="E4988" s="6" t="inlineStr">
        <is>
          <t>UNH</t>
        </is>
      </c>
      <c r="F4988" s="6" t="inlineStr">
        <is>
          <t>-</t>
        </is>
      </c>
      <c r="G4988" s="7" t="n">
        <v>283.099609375</v>
      </c>
      <c r="H4988" s="6">
        <f>P4957</f>
        <v/>
      </c>
      <c r="I4988" s="9">
        <f>Q4957</f>
        <v/>
      </c>
      <c r="J4988" s="7">
        <f>I4988*G4988</f>
        <v/>
      </c>
      <c r="K4988" s="8">
        <f>IF($J$4992=0,0,J4988/$J$4992)</f>
        <v/>
      </c>
      <c r="L4988" s="6" t="inlineStr">
        <is>
          <t>REJECTED</t>
        </is>
      </c>
      <c r="M4988" s="8" t="n">
        <v>0</v>
      </c>
      <c r="N4988" s="7">
        <f>M4988*$J$4992-J4988</f>
        <v/>
      </c>
      <c r="O4988" s="9">
        <f>IF(G4988=0,0,N4988/G4988)</f>
        <v/>
      </c>
      <c r="P4988" s="6">
        <f>IF(M4988&gt;0,D4988,"")</f>
        <v/>
      </c>
      <c r="Q4988" s="9">
        <f>I4988+O4988</f>
        <v/>
      </c>
      <c r="R4988" s="7">
        <f>Q4988*G4988</f>
        <v/>
      </c>
      <c r="S4988" s="8">
        <f>IF($R$4992=0,0,R4988/$R$4992)</f>
        <v/>
      </c>
      <c r="T4988" s="8" t="n">
        <v>0.01829189669478293</v>
      </c>
      <c r="U4988" s="8" t="n">
        <v>-0.003870220916684985</v>
      </c>
      <c r="V4988" s="6" t="inlineStr">
        <is>
          <t>not selected</t>
        </is>
      </c>
    </row>
    <row r="4989">
      <c r="A4989" s="6" t="inlineStr">
        <is>
          <t>DJ30</t>
        </is>
      </c>
      <c r="B4989" s="6" t="inlineStr">
        <is>
          <t>2026-01-30</t>
        </is>
      </c>
      <c r="C4989" s="6" t="inlineStr">
        <is>
          <t>DIA</t>
        </is>
      </c>
      <c r="D4989" s="6" t="inlineStr">
        <is>
          <t>V</t>
        </is>
      </c>
      <c r="E4989" s="6" t="inlineStr">
        <is>
          <t>V</t>
        </is>
      </c>
      <c r="F4989" s="6" t="inlineStr">
        <is>
          <t>-</t>
        </is>
      </c>
      <c r="G4989" s="7" t="n">
        <v>320.5032653808594</v>
      </c>
      <c r="H4989" s="6">
        <f>P4958</f>
        <v/>
      </c>
      <c r="I4989" s="9">
        <f>Q4958</f>
        <v/>
      </c>
      <c r="J4989" s="7">
        <f>I4989*G4989</f>
        <v/>
      </c>
      <c r="K4989" s="8">
        <f>IF($J$4992=0,0,J4989/$J$4992)</f>
        <v/>
      </c>
      <c r="L4989" s="6" t="inlineStr">
        <is>
          <t>REJECTED</t>
        </is>
      </c>
      <c r="M4989" s="8" t="n">
        <v>0</v>
      </c>
      <c r="N4989" s="7">
        <f>M4989*$J$4992-J4989</f>
        <v/>
      </c>
      <c r="O4989" s="9">
        <f>IF(G4989=0,0,N4989/G4989)</f>
        <v/>
      </c>
      <c r="P4989" s="6">
        <f>IF(M4989&gt;0,D4989,"")</f>
        <v/>
      </c>
      <c r="Q4989" s="9">
        <f>I4989+O4989</f>
        <v/>
      </c>
      <c r="R4989" s="7">
        <f>Q4989*G4989</f>
        <v/>
      </c>
      <c r="S4989" s="8">
        <f>IF($R$4992=0,0,R4989/$R$4992)</f>
        <v/>
      </c>
      <c r="T4989" s="8" t="n">
        <v>0.01829189669478293</v>
      </c>
      <c r="U4989" s="8" t="n">
        <v>-0.003870220916684985</v>
      </c>
      <c r="V4989" s="6" t="inlineStr">
        <is>
          <t>not selected</t>
        </is>
      </c>
    </row>
    <row r="4990">
      <c r="A4990" s="6" t="inlineStr">
        <is>
          <t>DJ30</t>
        </is>
      </c>
      <c r="B4990" s="6" t="inlineStr">
        <is>
          <t>2026-01-30</t>
        </is>
      </c>
      <c r="C4990" s="6" t="inlineStr">
        <is>
          <t>DIA</t>
        </is>
      </c>
      <c r="D4990" s="6" t="inlineStr">
        <is>
          <t>VZ</t>
        </is>
      </c>
      <c r="E4990" s="6" t="inlineStr">
        <is>
          <t>VZ</t>
        </is>
      </c>
      <c r="F4990" s="6" t="inlineStr">
        <is>
          <t>-</t>
        </is>
      </c>
      <c r="G4990" s="7" t="n">
        <v>43.86030960083008</v>
      </c>
      <c r="H4990" s="6">
        <f>P4959</f>
        <v/>
      </c>
      <c r="I4990" s="9">
        <f>Q4959</f>
        <v/>
      </c>
      <c r="J4990" s="7">
        <f>I4990*G4990</f>
        <v/>
      </c>
      <c r="K4990" s="8">
        <f>IF($J$4992=0,0,J4990/$J$4992)</f>
        <v/>
      </c>
      <c r="L4990" s="6" t="inlineStr">
        <is>
          <t>REJECTED</t>
        </is>
      </c>
      <c r="M4990" s="8" t="n">
        <v>0</v>
      </c>
      <c r="N4990" s="7">
        <f>M4990*$J$4992-J4990</f>
        <v/>
      </c>
      <c r="O4990" s="9">
        <f>IF(G4990=0,0,N4990/G4990)</f>
        <v/>
      </c>
      <c r="P4990" s="6">
        <f>IF(M4990&gt;0,D4990,"")</f>
        <v/>
      </c>
      <c r="Q4990" s="9">
        <f>I4990+O4990</f>
        <v/>
      </c>
      <c r="R4990" s="7">
        <f>Q4990*G4990</f>
        <v/>
      </c>
      <c r="S4990" s="8">
        <f>IF($R$4992=0,0,R4990/$R$4992)</f>
        <v/>
      </c>
      <c r="T4990" s="8" t="n">
        <v>0.01829189669478293</v>
      </c>
      <c r="U4990" s="8" t="n">
        <v>-0.003870220916684985</v>
      </c>
      <c r="V4990" s="6" t="inlineStr">
        <is>
          <t>not selected</t>
        </is>
      </c>
    </row>
    <row r="4991">
      <c r="A4991" s="6" t="inlineStr">
        <is>
          <t>DJ30</t>
        </is>
      </c>
      <c r="B4991" s="6" t="inlineStr">
        <is>
          <t>2026-01-30</t>
        </is>
      </c>
      <c r="C4991" s="6" t="inlineStr">
        <is>
          <t>DIA</t>
        </is>
      </c>
      <c r="D4991" s="6" t="inlineStr">
        <is>
          <t>WMT</t>
        </is>
      </c>
      <c r="E4991" s="6" t="inlineStr">
        <is>
          <t>WMT</t>
        </is>
      </c>
      <c r="F4991" s="6" t="inlineStr">
        <is>
          <t>-</t>
        </is>
      </c>
      <c r="G4991" s="7" t="n">
        <v>118.6695175170898</v>
      </c>
      <c r="H4991" s="6">
        <f>P4960</f>
        <v/>
      </c>
      <c r="I4991" s="9">
        <f>Q4960</f>
        <v/>
      </c>
      <c r="J4991" s="7">
        <f>I4991*G4991</f>
        <v/>
      </c>
      <c r="K4991" s="8">
        <f>IF($J$4992=0,0,J4991/$J$4992)</f>
        <v/>
      </c>
      <c r="L4991" s="6" t="inlineStr">
        <is>
          <t>WATCHLIST</t>
        </is>
      </c>
      <c r="M4991" s="8" t="n">
        <v>0</v>
      </c>
      <c r="N4991" s="7">
        <f>M4991*$J$4992-J4991</f>
        <v/>
      </c>
      <c r="O4991" s="9">
        <f>IF(G4991=0,0,N4991/G4991)</f>
        <v/>
      </c>
      <c r="P4991" s="6">
        <f>IF(M4991&gt;0,D4991,"")</f>
        <v/>
      </c>
      <c r="Q4991" s="9">
        <f>I4991+O4991</f>
        <v/>
      </c>
      <c r="R4991" s="7">
        <f>Q4991*G4991</f>
        <v/>
      </c>
      <c r="S4991" s="8">
        <f>IF($R$4992=0,0,R4991/$R$4992)</f>
        <v/>
      </c>
      <c r="T4991" s="8" t="n">
        <v>0.01829189669478293</v>
      </c>
      <c r="U4991" s="8" t="n">
        <v>-0.003870220916684985</v>
      </c>
      <c r="V4991" s="6" t="inlineStr">
        <is>
          <t>not selected</t>
        </is>
      </c>
    </row>
    <row r="4992">
      <c r="A4992" s="10" t="inlineStr">
        <is>
          <t>DJ30</t>
        </is>
      </c>
      <c r="B4992" s="10" t="inlineStr">
        <is>
          <t>2026-01-30</t>
        </is>
      </c>
      <c r="C4992" s="10" t="inlineStr">
        <is>
          <t>DIA</t>
        </is>
      </c>
      <c r="D4992" s="10" t="inlineStr">
        <is>
          <t>Tot Portfolio</t>
        </is>
      </c>
      <c r="E4992" s="10" t="inlineStr"/>
      <c r="F4992" s="10" t="inlineStr"/>
      <c r="G4992" s="11" t="inlineStr"/>
      <c r="H4992" s="10" t="inlineStr"/>
      <c r="I4992" s="12" t="inlineStr"/>
      <c r="J4992" s="11">
        <f>SUM(J4962:J4991)</f>
        <v/>
      </c>
      <c r="K4992" s="13">
        <f>SUM(K4962:K4991)</f>
        <v/>
      </c>
      <c r="L4992" s="10" t="inlineStr">
        <is>
          <t>TOTAL</t>
        </is>
      </c>
      <c r="M4992" s="13">
        <f>SUM(M4962:M4991)</f>
        <v/>
      </c>
      <c r="N4992" s="11">
        <f>SUM(N4962:N4991)</f>
        <v/>
      </c>
      <c r="O4992" s="12">
        <f>SUM(O4962:O4991)</f>
        <v/>
      </c>
      <c r="P4992" s="10" t="inlineStr"/>
      <c r="Q4992" s="12" t="inlineStr"/>
      <c r="R4992" s="11">
        <f>SUM(R4962:R4991)</f>
        <v/>
      </c>
      <c r="S4992" s="13">
        <f>SUM(S4962:S4991)</f>
        <v/>
      </c>
      <c r="T4992" s="13" t="n">
        <v>0.01829189669478293</v>
      </c>
      <c r="U4992" s="13" t="n">
        <v>-0.003870220916684985</v>
      </c>
      <c r="V4992" s="10" t="inlineStr"/>
    </row>
    <row r="4993">
      <c r="A4993" s="6" t="inlineStr">
        <is>
          <t>DJ30</t>
        </is>
      </c>
      <c r="B4993" s="6" t="inlineStr">
        <is>
          <t>2026-02-06</t>
        </is>
      </c>
      <c r="C4993" s="6" t="inlineStr">
        <is>
          <t>DIA</t>
        </is>
      </c>
      <c r="D4993" s="6" t="inlineStr">
        <is>
          <t>AAPL</t>
        </is>
      </c>
      <c r="E4993" s="6" t="inlineStr">
        <is>
          <t>AAPL</t>
        </is>
      </c>
      <c r="F4993" s="6" t="inlineStr">
        <is>
          <t>-</t>
        </is>
      </c>
      <c r="G4993" s="7" t="n">
        <v>277.6042175292969</v>
      </c>
      <c r="H4993" s="6">
        <f>P4962</f>
        <v/>
      </c>
      <c r="I4993" s="9">
        <f>Q4962</f>
        <v/>
      </c>
      <c r="J4993" s="7">
        <f>I4993*G4993</f>
        <v/>
      </c>
      <c r="K4993" s="8">
        <f>IF($J$5023=0,0,J4993/$J$5023)</f>
        <v/>
      </c>
      <c r="L4993" s="6" t="inlineStr">
        <is>
          <t>WATCHLIST</t>
        </is>
      </c>
      <c r="M4993" s="8" t="n">
        <v>0</v>
      </c>
      <c r="N4993" s="7">
        <f>M4993*$J$5023-J4993</f>
        <v/>
      </c>
      <c r="O4993" s="9">
        <f>IF(G4993=0,0,N4993/G4993)</f>
        <v/>
      </c>
      <c r="P4993" s="6">
        <f>IF(M4993&gt;0,D4993,"")</f>
        <v/>
      </c>
      <c r="Q4993" s="9">
        <f>I4993+O4993</f>
        <v/>
      </c>
      <c r="R4993" s="7">
        <f>Q4993*G4993</f>
        <v/>
      </c>
      <c r="S4993" s="8">
        <f>IF($R$5023=0,0,R4993/$R$5023)</f>
        <v/>
      </c>
      <c r="T4993" s="8" t="n">
        <v>0.02871125790619278</v>
      </c>
      <c r="U4993" s="8" t="n">
        <v>0.0245383573591158</v>
      </c>
      <c r="V4993" s="6" t="inlineStr">
        <is>
          <t>not selected</t>
        </is>
      </c>
    </row>
    <row r="4994">
      <c r="A4994" s="6" t="inlineStr">
        <is>
          <t>DJ30</t>
        </is>
      </c>
      <c r="B4994" s="6" t="inlineStr">
        <is>
          <t>2026-02-06</t>
        </is>
      </c>
      <c r="C4994" s="6" t="inlineStr">
        <is>
          <t>DIA</t>
        </is>
      </c>
      <c r="D4994" s="6" t="inlineStr">
        <is>
          <t>AMGN</t>
        </is>
      </c>
      <c r="E4994" s="6" t="inlineStr">
        <is>
          <t>AMGN</t>
        </is>
      </c>
      <c r="F4994" s="6" t="inlineStr">
        <is>
          <t>-</t>
        </is>
      </c>
      <c r="G4994" s="7" t="n">
        <v>378.814697265625</v>
      </c>
      <c r="H4994" s="6">
        <f>P4963</f>
        <v/>
      </c>
      <c r="I4994" s="9">
        <f>Q4963</f>
        <v/>
      </c>
      <c r="J4994" s="7">
        <f>I4994*G4994</f>
        <v/>
      </c>
      <c r="K4994" s="8">
        <f>IF($J$5023=0,0,J4994/$J$5023)</f>
        <v/>
      </c>
      <c r="L4994" s="6" t="inlineStr">
        <is>
          <t>WATCHLIST</t>
        </is>
      </c>
      <c r="M4994" s="8" t="n">
        <v>0</v>
      </c>
      <c r="N4994" s="7">
        <f>M4994*$J$5023-J4994</f>
        <v/>
      </c>
      <c r="O4994" s="9">
        <f>IF(G4994=0,0,N4994/G4994)</f>
        <v/>
      </c>
      <c r="P4994" s="6">
        <f>IF(M4994&gt;0,D4994,"")</f>
        <v/>
      </c>
      <c r="Q4994" s="9">
        <f>I4994+O4994</f>
        <v/>
      </c>
      <c r="R4994" s="7">
        <f>Q4994*G4994</f>
        <v/>
      </c>
      <c r="S4994" s="8">
        <f>IF($R$5023=0,0,R4994/$R$5023)</f>
        <v/>
      </c>
      <c r="T4994" s="8" t="n">
        <v>0.02871125790619278</v>
      </c>
      <c r="U4994" s="8" t="n">
        <v>0.0245383573591158</v>
      </c>
      <c r="V4994" s="6" t="inlineStr">
        <is>
          <t>not selected</t>
        </is>
      </c>
    </row>
    <row r="4995">
      <c r="A4995" s="6" t="inlineStr">
        <is>
          <t>DJ30</t>
        </is>
      </c>
      <c r="B4995" s="6" t="inlineStr">
        <is>
          <t>2026-02-06</t>
        </is>
      </c>
      <c r="C4995" s="6" t="inlineStr">
        <is>
          <t>DIA</t>
        </is>
      </c>
      <c r="D4995" s="6" t="inlineStr">
        <is>
          <t>AMZN</t>
        </is>
      </c>
      <c r="E4995" s="6" t="inlineStr">
        <is>
          <t>AMZN</t>
        </is>
      </c>
      <c r="F4995" s="6" t="inlineStr">
        <is>
          <t>-</t>
        </is>
      </c>
      <c r="G4995" s="7" t="n">
        <v>210.3200073242188</v>
      </c>
      <c r="H4995" s="6">
        <f>P4964</f>
        <v/>
      </c>
      <c r="I4995" s="9">
        <f>Q4964</f>
        <v/>
      </c>
      <c r="J4995" s="7">
        <f>I4995*G4995</f>
        <v/>
      </c>
      <c r="K4995" s="8">
        <f>IF($J$5023=0,0,J4995/$J$5023)</f>
        <v/>
      </c>
      <c r="L4995" s="6" t="inlineStr">
        <is>
          <t>WATCHLIST</t>
        </is>
      </c>
      <c r="M4995" s="8" t="n">
        <v>0</v>
      </c>
      <c r="N4995" s="7">
        <f>M4995*$J$5023-J4995</f>
        <v/>
      </c>
      <c r="O4995" s="9">
        <f>IF(G4995=0,0,N4995/G4995)</f>
        <v/>
      </c>
      <c r="P4995" s="6">
        <f>IF(M4995&gt;0,D4995,"")</f>
        <v/>
      </c>
      <c r="Q4995" s="9">
        <f>I4995+O4995</f>
        <v/>
      </c>
      <c r="R4995" s="7">
        <f>Q4995*G4995</f>
        <v/>
      </c>
      <c r="S4995" s="8">
        <f>IF($R$5023=0,0,R4995/$R$5023)</f>
        <v/>
      </c>
      <c r="T4995" s="8" t="n">
        <v>0.02871125790619278</v>
      </c>
      <c r="U4995" s="8" t="n">
        <v>0.0245383573591158</v>
      </c>
      <c r="V4995" s="6" t="inlineStr">
        <is>
          <t>not selected</t>
        </is>
      </c>
    </row>
    <row r="4996">
      <c r="A4996" s="6" t="inlineStr">
        <is>
          <t>DJ30</t>
        </is>
      </c>
      <c r="B4996" s="6" t="inlineStr">
        <is>
          <t>2026-02-06</t>
        </is>
      </c>
      <c r="C4996" s="6" t="inlineStr">
        <is>
          <t>DIA</t>
        </is>
      </c>
      <c r="D4996" s="6" t="inlineStr">
        <is>
          <t>AXP</t>
        </is>
      </c>
      <c r="E4996" s="6" t="inlineStr">
        <is>
          <t>AXP</t>
        </is>
      </c>
      <c r="F4996" s="6" t="inlineStr">
        <is>
          <t>-</t>
        </is>
      </c>
      <c r="G4996" s="7" t="n">
        <v>358.0181579589844</v>
      </c>
      <c r="H4996" s="6">
        <f>P4965</f>
        <v/>
      </c>
      <c r="I4996" s="9">
        <f>Q4965</f>
        <v/>
      </c>
      <c r="J4996" s="7">
        <f>I4996*G4996</f>
        <v/>
      </c>
      <c r="K4996" s="8">
        <f>IF($J$5023=0,0,J4996/$J$5023)</f>
        <v/>
      </c>
      <c r="L4996" s="6" t="inlineStr">
        <is>
          <t>SELECTED</t>
        </is>
      </c>
      <c r="M4996" s="8" t="n">
        <v>0.2</v>
      </c>
      <c r="N4996" s="7">
        <f>M4996*$J$5023-J4996</f>
        <v/>
      </c>
      <c r="O4996" s="9">
        <f>IF(G4996=0,0,N4996/G4996)</f>
        <v/>
      </c>
      <c r="P4996" s="6">
        <f>IF(M4996&gt;0,D4996,"")</f>
        <v/>
      </c>
      <c r="Q4996" s="9">
        <f>I4996+O4996</f>
        <v/>
      </c>
      <c r="R4996" s="7">
        <f>Q4996*G4996</f>
        <v/>
      </c>
      <c r="S4996" s="8">
        <f>IF($R$5023=0,0,R4996/$R$5023)</f>
        <v/>
      </c>
      <c r="T4996" s="8" t="n">
        <v>0.02871125790619278</v>
      </c>
      <c r="U4996" s="8" t="n">
        <v>0.0245383573591158</v>
      </c>
      <c r="V4996" s="6" t="inlineStr">
        <is>
          <t>remained in weekly selection</t>
        </is>
      </c>
    </row>
    <row r="4997">
      <c r="A4997" s="6" t="inlineStr">
        <is>
          <t>DJ30</t>
        </is>
      </c>
      <c r="B4997" s="6" t="inlineStr">
        <is>
          <t>2026-02-06</t>
        </is>
      </c>
      <c r="C4997" s="6" t="inlineStr">
        <is>
          <t>DIA</t>
        </is>
      </c>
      <c r="D4997" s="6" t="inlineStr">
        <is>
          <t>BA</t>
        </is>
      </c>
      <c r="E4997" s="6" t="inlineStr">
        <is>
          <t>BA</t>
        </is>
      </c>
      <c r="F4997" s="6" t="inlineStr">
        <is>
          <t>-</t>
        </is>
      </c>
      <c r="G4997" s="7" t="n">
        <v>243.0299987792969</v>
      </c>
      <c r="H4997" s="6">
        <f>P4966</f>
        <v/>
      </c>
      <c r="I4997" s="9">
        <f>Q4966</f>
        <v/>
      </c>
      <c r="J4997" s="7">
        <f>I4997*G4997</f>
        <v/>
      </c>
      <c r="K4997" s="8">
        <f>IF($J$5023=0,0,J4997/$J$5023)</f>
        <v/>
      </c>
      <c r="L4997" s="6" t="inlineStr">
        <is>
          <t>WATCHLIST</t>
        </is>
      </c>
      <c r="M4997" s="8" t="n">
        <v>0</v>
      </c>
      <c r="N4997" s="7">
        <f>M4997*$J$5023-J4997</f>
        <v/>
      </c>
      <c r="O4997" s="9">
        <f>IF(G4997=0,0,N4997/G4997)</f>
        <v/>
      </c>
      <c r="P4997" s="6">
        <f>IF(M4997&gt;0,D4997,"")</f>
        <v/>
      </c>
      <c r="Q4997" s="9">
        <f>I4997+O4997</f>
        <v/>
      </c>
      <c r="R4997" s="7">
        <f>Q4997*G4997</f>
        <v/>
      </c>
      <c r="S4997" s="8">
        <f>IF($R$5023=0,0,R4997/$R$5023)</f>
        <v/>
      </c>
      <c r="T4997" s="8" t="n">
        <v>0.02871125790619278</v>
      </c>
      <c r="U4997" s="8" t="n">
        <v>0.0245383573591158</v>
      </c>
      <c r="V4997" s="6" t="inlineStr">
        <is>
          <t>not selected</t>
        </is>
      </c>
    </row>
    <row r="4998">
      <c r="A4998" s="6" t="inlineStr">
        <is>
          <t>DJ30</t>
        </is>
      </c>
      <c r="B4998" s="6" t="inlineStr">
        <is>
          <t>2026-02-06</t>
        </is>
      </c>
      <c r="C4998" s="6" t="inlineStr">
        <is>
          <t>DIA</t>
        </is>
      </c>
      <c r="D4998" s="6" t="inlineStr">
        <is>
          <t>CAT</t>
        </is>
      </c>
      <c r="E4998" s="6" t="inlineStr">
        <is>
          <t>CAT</t>
        </is>
      </c>
      <c r="F4998" s="6" t="inlineStr">
        <is>
          <t>-</t>
        </is>
      </c>
      <c r="G4998" s="7" t="n">
        <v>724.820068359375</v>
      </c>
      <c r="H4998" s="6">
        <f>P4967</f>
        <v/>
      </c>
      <c r="I4998" s="9">
        <f>Q4967</f>
        <v/>
      </c>
      <c r="J4998" s="7">
        <f>I4998*G4998</f>
        <v/>
      </c>
      <c r="K4998" s="8">
        <f>IF($J$5023=0,0,J4998/$J$5023)</f>
        <v/>
      </c>
      <c r="L4998" s="6" t="inlineStr">
        <is>
          <t>SELECTED</t>
        </is>
      </c>
      <c r="M4998" s="8" t="n">
        <v>0.2</v>
      </c>
      <c r="N4998" s="7">
        <f>M4998*$J$5023-J4998</f>
        <v/>
      </c>
      <c r="O4998" s="9">
        <f>IF(G4998=0,0,N4998/G4998)</f>
        <v/>
      </c>
      <c r="P4998" s="6">
        <f>IF(M4998&gt;0,D4998,"")</f>
        <v/>
      </c>
      <c r="Q4998" s="9">
        <f>I4998+O4998</f>
        <v/>
      </c>
      <c r="R4998" s="7">
        <f>Q4998*G4998</f>
        <v/>
      </c>
      <c r="S4998" s="8">
        <f>IF($R$5023=0,0,R4998/$R$5023)</f>
        <v/>
      </c>
      <c r="T4998" s="8" t="n">
        <v>0.02871125790619278</v>
      </c>
      <c r="U4998" s="8" t="n">
        <v>0.0245383573591158</v>
      </c>
      <c r="V4998" s="6" t="inlineStr">
        <is>
          <t>remained in weekly selection</t>
        </is>
      </c>
    </row>
    <row r="4999">
      <c r="A4999" s="6" t="inlineStr">
        <is>
          <t>DJ30</t>
        </is>
      </c>
      <c r="B4999" s="6" t="inlineStr">
        <is>
          <t>2026-02-06</t>
        </is>
      </c>
      <c r="C4999" s="6" t="inlineStr">
        <is>
          <t>DIA</t>
        </is>
      </c>
      <c r="D4999" s="6" t="inlineStr">
        <is>
          <t>CRM</t>
        </is>
      </c>
      <c r="E4999" s="6" t="inlineStr">
        <is>
          <t>CRM</t>
        </is>
      </c>
      <c r="F4999" s="6" t="inlineStr">
        <is>
          <t>-</t>
        </is>
      </c>
      <c r="G4999" s="7" t="n">
        <v>190.3812713623047</v>
      </c>
      <c r="H4999" s="6">
        <f>P4968</f>
        <v/>
      </c>
      <c r="I4999" s="9">
        <f>Q4968</f>
        <v/>
      </c>
      <c r="J4999" s="7">
        <f>I4999*G4999</f>
        <v/>
      </c>
      <c r="K4999" s="8">
        <f>IF($J$5023=0,0,J4999/$J$5023)</f>
        <v/>
      </c>
      <c r="L4999" s="6" t="inlineStr">
        <is>
          <t>REJECTED</t>
        </is>
      </c>
      <c r="M4999" s="8" t="n">
        <v>0</v>
      </c>
      <c r="N4999" s="7">
        <f>M4999*$J$5023-J4999</f>
        <v/>
      </c>
      <c r="O4999" s="9">
        <f>IF(G4999=0,0,N4999/G4999)</f>
        <v/>
      </c>
      <c r="P4999" s="6">
        <f>IF(M4999&gt;0,D4999,"")</f>
        <v/>
      </c>
      <c r="Q4999" s="9">
        <f>I4999+O4999</f>
        <v/>
      </c>
      <c r="R4999" s="7">
        <f>Q4999*G4999</f>
        <v/>
      </c>
      <c r="S4999" s="8">
        <f>IF($R$5023=0,0,R4999/$R$5023)</f>
        <v/>
      </c>
      <c r="T4999" s="8" t="n">
        <v>0.02871125790619278</v>
      </c>
      <c r="U4999" s="8" t="n">
        <v>0.0245383573591158</v>
      </c>
      <c r="V4999" s="6" t="inlineStr">
        <is>
          <t>not selected</t>
        </is>
      </c>
    </row>
    <row r="5000">
      <c r="A5000" s="6" t="inlineStr">
        <is>
          <t>DJ30</t>
        </is>
      </c>
      <c r="B5000" s="6" t="inlineStr">
        <is>
          <t>2026-02-06</t>
        </is>
      </c>
      <c r="C5000" s="6" t="inlineStr">
        <is>
          <t>DIA</t>
        </is>
      </c>
      <c r="D5000" s="6" t="inlineStr">
        <is>
          <t>CSCO</t>
        </is>
      </c>
      <c r="E5000" s="6" t="inlineStr">
        <is>
          <t>CSCO</t>
        </is>
      </c>
      <c r="F5000" s="6" t="inlineStr">
        <is>
          <t>-</t>
        </is>
      </c>
      <c r="G5000" s="7" t="n">
        <v>84.36286926269531</v>
      </c>
      <c r="H5000" s="6">
        <f>P4969</f>
        <v/>
      </c>
      <c r="I5000" s="9">
        <f>Q4969</f>
        <v/>
      </c>
      <c r="J5000" s="7">
        <f>I5000*G5000</f>
        <v/>
      </c>
      <c r="K5000" s="8">
        <f>IF($J$5023=0,0,J5000/$J$5023)</f>
        <v/>
      </c>
      <c r="L5000" s="6" t="inlineStr">
        <is>
          <t>WATCHLIST</t>
        </is>
      </c>
      <c r="M5000" s="8" t="n">
        <v>0</v>
      </c>
      <c r="N5000" s="7">
        <f>M5000*$J$5023-J5000</f>
        <v/>
      </c>
      <c r="O5000" s="9">
        <f>IF(G5000=0,0,N5000/G5000)</f>
        <v/>
      </c>
      <c r="P5000" s="6">
        <f>IF(M5000&gt;0,D5000,"")</f>
        <v/>
      </c>
      <c r="Q5000" s="9">
        <f>I5000+O5000</f>
        <v/>
      </c>
      <c r="R5000" s="7">
        <f>Q5000*G5000</f>
        <v/>
      </c>
      <c r="S5000" s="8">
        <f>IF($R$5023=0,0,R5000/$R$5023)</f>
        <v/>
      </c>
      <c r="T5000" s="8" t="n">
        <v>0.02871125790619278</v>
      </c>
      <c r="U5000" s="8" t="n">
        <v>0.0245383573591158</v>
      </c>
      <c r="V5000" s="6" t="inlineStr">
        <is>
          <t>not selected</t>
        </is>
      </c>
    </row>
    <row r="5001">
      <c r="A5001" s="6" t="inlineStr">
        <is>
          <t>DJ30</t>
        </is>
      </c>
      <c r="B5001" s="6" t="inlineStr">
        <is>
          <t>2026-02-06</t>
        </is>
      </c>
      <c r="C5001" s="6" t="inlineStr">
        <is>
          <t>DIA</t>
        </is>
      </c>
      <c r="D5001" s="6" t="inlineStr">
        <is>
          <t>CVX</t>
        </is>
      </c>
      <c r="E5001" s="6" t="inlineStr">
        <is>
          <t>CVX</t>
        </is>
      </c>
      <c r="F5001" s="6" t="inlineStr">
        <is>
          <t>-</t>
        </is>
      </c>
      <c r="G5001" s="7" t="n">
        <v>177.4822998046875</v>
      </c>
      <c r="H5001" s="6">
        <f>P4970</f>
        <v/>
      </c>
      <c r="I5001" s="9">
        <f>Q4970</f>
        <v/>
      </c>
      <c r="J5001" s="7">
        <f>I5001*G5001</f>
        <v/>
      </c>
      <c r="K5001" s="8">
        <f>IF($J$5023=0,0,J5001/$J$5023)</f>
        <v/>
      </c>
      <c r="L5001" s="6" t="inlineStr">
        <is>
          <t>WATCHLIST</t>
        </is>
      </c>
      <c r="M5001" s="8" t="n">
        <v>0</v>
      </c>
      <c r="N5001" s="7">
        <f>M5001*$J$5023-J5001</f>
        <v/>
      </c>
      <c r="O5001" s="9">
        <f>IF(G5001=0,0,N5001/G5001)</f>
        <v/>
      </c>
      <c r="P5001" s="6">
        <f>IF(M5001&gt;0,D5001,"")</f>
        <v/>
      </c>
      <c r="Q5001" s="9">
        <f>I5001+O5001</f>
        <v/>
      </c>
      <c r="R5001" s="7">
        <f>Q5001*G5001</f>
        <v/>
      </c>
      <c r="S5001" s="8">
        <f>IF($R$5023=0,0,R5001/$R$5023)</f>
        <v/>
      </c>
      <c r="T5001" s="8" t="n">
        <v>0.02871125790619278</v>
      </c>
      <c r="U5001" s="8" t="n">
        <v>0.0245383573591158</v>
      </c>
      <c r="V5001" s="6" t="inlineStr">
        <is>
          <t>not selected</t>
        </is>
      </c>
    </row>
    <row r="5002">
      <c r="A5002" s="6" t="inlineStr">
        <is>
          <t>DJ30</t>
        </is>
      </c>
      <c r="B5002" s="6" t="inlineStr">
        <is>
          <t>2026-02-06</t>
        </is>
      </c>
      <c r="C5002" s="6" t="inlineStr">
        <is>
          <t>DIA</t>
        </is>
      </c>
      <c r="D5002" s="6" t="inlineStr">
        <is>
          <t>DIS</t>
        </is>
      </c>
      <c r="E5002" s="6" t="inlineStr">
        <is>
          <t>DIS</t>
        </is>
      </c>
      <c r="F5002" s="6" t="inlineStr">
        <is>
          <t>-</t>
        </is>
      </c>
      <c r="G5002" s="7" t="n">
        <v>108.6999969482422</v>
      </c>
      <c r="H5002" s="6">
        <f>P4971</f>
        <v/>
      </c>
      <c r="I5002" s="9">
        <f>Q4971</f>
        <v/>
      </c>
      <c r="J5002" s="7">
        <f>I5002*G5002</f>
        <v/>
      </c>
      <c r="K5002" s="8">
        <f>IF($J$5023=0,0,J5002/$J$5023)</f>
        <v/>
      </c>
      <c r="L5002" s="6" t="inlineStr">
        <is>
          <t>REJECTED</t>
        </is>
      </c>
      <c r="M5002" s="8" t="n">
        <v>0</v>
      </c>
      <c r="N5002" s="7">
        <f>M5002*$J$5023-J5002</f>
        <v/>
      </c>
      <c r="O5002" s="9">
        <f>IF(G5002=0,0,N5002/G5002)</f>
        <v/>
      </c>
      <c r="P5002" s="6">
        <f>IF(M5002&gt;0,D5002,"")</f>
        <v/>
      </c>
      <c r="Q5002" s="9">
        <f>I5002+O5002</f>
        <v/>
      </c>
      <c r="R5002" s="7">
        <f>Q5002*G5002</f>
        <v/>
      </c>
      <c r="S5002" s="8">
        <f>IF($R$5023=0,0,R5002/$R$5023)</f>
        <v/>
      </c>
      <c r="T5002" s="8" t="n">
        <v>0.02871125790619278</v>
      </c>
      <c r="U5002" s="8" t="n">
        <v>0.0245383573591158</v>
      </c>
      <c r="V5002" s="6" t="inlineStr">
        <is>
          <t>not selected</t>
        </is>
      </c>
    </row>
    <row r="5003">
      <c r="A5003" s="6" t="inlineStr">
        <is>
          <t>DJ30</t>
        </is>
      </c>
      <c r="B5003" s="6" t="inlineStr">
        <is>
          <t>2026-02-06</t>
        </is>
      </c>
      <c r="C5003" s="6" t="inlineStr">
        <is>
          <t>DIA</t>
        </is>
      </c>
      <c r="D5003" s="6" t="inlineStr">
        <is>
          <t>GS</t>
        </is>
      </c>
      <c r="E5003" s="6" t="inlineStr">
        <is>
          <t>GS</t>
        </is>
      </c>
      <c r="F5003" s="6" t="inlineStr">
        <is>
          <t>-</t>
        </is>
      </c>
      <c r="G5003" s="7" t="n">
        <v>919.8339233398438</v>
      </c>
      <c r="H5003" s="6">
        <f>P4972</f>
        <v/>
      </c>
      <c r="I5003" s="9">
        <f>Q4972</f>
        <v/>
      </c>
      <c r="J5003" s="7">
        <f>I5003*G5003</f>
        <v/>
      </c>
      <c r="K5003" s="8">
        <f>IF($J$5023=0,0,J5003/$J$5023)</f>
        <v/>
      </c>
      <c r="L5003" s="6" t="inlineStr">
        <is>
          <t>SELECTED</t>
        </is>
      </c>
      <c r="M5003" s="8" t="n">
        <v>0.2</v>
      </c>
      <c r="N5003" s="7">
        <f>M5003*$J$5023-J5003</f>
        <v/>
      </c>
      <c r="O5003" s="9">
        <f>IF(G5003=0,0,N5003/G5003)</f>
        <v/>
      </c>
      <c r="P5003" s="6">
        <f>IF(M5003&gt;0,D5003,"")</f>
        <v/>
      </c>
      <c r="Q5003" s="9">
        <f>I5003+O5003</f>
        <v/>
      </c>
      <c r="R5003" s="7">
        <f>Q5003*G5003</f>
        <v/>
      </c>
      <c r="S5003" s="8">
        <f>IF($R$5023=0,0,R5003/$R$5023)</f>
        <v/>
      </c>
      <c r="T5003" s="8" t="n">
        <v>0.02871125790619278</v>
      </c>
      <c r="U5003" s="8" t="n">
        <v>0.0245383573591158</v>
      </c>
      <c r="V5003" s="6" t="inlineStr">
        <is>
          <t>remained in weekly selection</t>
        </is>
      </c>
    </row>
    <row r="5004">
      <c r="A5004" s="6" t="inlineStr">
        <is>
          <t>DJ30</t>
        </is>
      </c>
      <c r="B5004" s="6" t="inlineStr">
        <is>
          <t>2026-02-06</t>
        </is>
      </c>
      <c r="C5004" s="6" t="inlineStr">
        <is>
          <t>DIA</t>
        </is>
      </c>
      <c r="D5004" s="6" t="inlineStr">
        <is>
          <t>HD</t>
        </is>
      </c>
      <c r="E5004" s="6" t="inlineStr">
        <is>
          <t>HD</t>
        </is>
      </c>
      <c r="F5004" s="6" t="inlineStr">
        <is>
          <t>-</t>
        </is>
      </c>
      <c r="G5004" s="7" t="n">
        <v>379.7438049316406</v>
      </c>
      <c r="H5004" s="6">
        <f>P4973</f>
        <v/>
      </c>
      <c r="I5004" s="9">
        <f>Q4973</f>
        <v/>
      </c>
      <c r="J5004" s="7">
        <f>I5004*G5004</f>
        <v/>
      </c>
      <c r="K5004" s="8">
        <f>IF($J$5023=0,0,J5004/$J$5023)</f>
        <v/>
      </c>
      <c r="L5004" s="6" t="inlineStr">
        <is>
          <t>REJECTED</t>
        </is>
      </c>
      <c r="M5004" s="8" t="n">
        <v>0</v>
      </c>
      <c r="N5004" s="7">
        <f>M5004*$J$5023-J5004</f>
        <v/>
      </c>
      <c r="O5004" s="9">
        <f>IF(G5004=0,0,N5004/G5004)</f>
        <v/>
      </c>
      <c r="P5004" s="6">
        <f>IF(M5004&gt;0,D5004,"")</f>
        <v/>
      </c>
      <c r="Q5004" s="9">
        <f>I5004+O5004</f>
        <v/>
      </c>
      <c r="R5004" s="7">
        <f>Q5004*G5004</f>
        <v/>
      </c>
      <c r="S5004" s="8">
        <f>IF($R$5023=0,0,R5004/$R$5023)</f>
        <v/>
      </c>
      <c r="T5004" s="8" t="n">
        <v>0.02871125790619278</v>
      </c>
      <c r="U5004" s="8" t="n">
        <v>0.0245383573591158</v>
      </c>
      <c r="V5004" s="6" t="inlineStr">
        <is>
          <t>not selected</t>
        </is>
      </c>
    </row>
    <row r="5005">
      <c r="A5005" s="6" t="inlineStr">
        <is>
          <t>DJ30</t>
        </is>
      </c>
      <c r="B5005" s="6" t="inlineStr">
        <is>
          <t>2026-02-06</t>
        </is>
      </c>
      <c r="C5005" s="6" t="inlineStr">
        <is>
          <t>DIA</t>
        </is>
      </c>
      <c r="D5005" s="6" t="inlineStr">
        <is>
          <t>HON</t>
        </is>
      </c>
      <c r="E5005" s="6" t="inlineStr">
        <is>
          <t>HON</t>
        </is>
      </c>
      <c r="F5005" s="6" t="inlineStr">
        <is>
          <t>-</t>
        </is>
      </c>
      <c r="G5005" s="7" t="n">
        <v>235.9058837890625</v>
      </c>
      <c r="H5005" s="6">
        <f>P4974</f>
        <v/>
      </c>
      <c r="I5005" s="9">
        <f>Q4974</f>
        <v/>
      </c>
      <c r="J5005" s="7">
        <f>I5005*G5005</f>
        <v/>
      </c>
      <c r="K5005" s="8">
        <f>IF($J$5023=0,0,J5005/$J$5023)</f>
        <v/>
      </c>
      <c r="L5005" s="6" t="inlineStr">
        <is>
          <t>REJECTED</t>
        </is>
      </c>
      <c r="M5005" s="8" t="n">
        <v>0</v>
      </c>
      <c r="N5005" s="7">
        <f>M5005*$J$5023-J5005</f>
        <v/>
      </c>
      <c r="O5005" s="9">
        <f>IF(G5005=0,0,N5005/G5005)</f>
        <v/>
      </c>
      <c r="P5005" s="6">
        <f>IF(M5005&gt;0,D5005,"")</f>
        <v/>
      </c>
      <c r="Q5005" s="9">
        <f>I5005+O5005</f>
        <v/>
      </c>
      <c r="R5005" s="7">
        <f>Q5005*G5005</f>
        <v/>
      </c>
      <c r="S5005" s="8">
        <f>IF($R$5023=0,0,R5005/$R$5023)</f>
        <v/>
      </c>
      <c r="T5005" s="8" t="n">
        <v>0.02871125790619278</v>
      </c>
      <c r="U5005" s="8" t="n">
        <v>0.0245383573591158</v>
      </c>
      <c r="V5005" s="6" t="inlineStr">
        <is>
          <t>not selected</t>
        </is>
      </c>
    </row>
    <row r="5006">
      <c r="A5006" s="6" t="inlineStr">
        <is>
          <t>DJ30</t>
        </is>
      </c>
      <c r="B5006" s="6" t="inlineStr">
        <is>
          <t>2026-02-06</t>
        </is>
      </c>
      <c r="C5006" s="6" t="inlineStr">
        <is>
          <t>DIA</t>
        </is>
      </c>
      <c r="D5006" s="6" t="inlineStr">
        <is>
          <t>IBM</t>
        </is>
      </c>
      <c r="E5006" s="6" t="inlineStr">
        <is>
          <t>IBM</t>
        </is>
      </c>
      <c r="F5006" s="6" t="inlineStr">
        <is>
          <t>-</t>
        </is>
      </c>
      <c r="G5006" s="7" t="n">
        <v>295.0636291503906</v>
      </c>
      <c r="H5006" s="6">
        <f>P4975</f>
        <v/>
      </c>
      <c r="I5006" s="9">
        <f>Q4975</f>
        <v/>
      </c>
      <c r="J5006" s="7">
        <f>I5006*G5006</f>
        <v/>
      </c>
      <c r="K5006" s="8">
        <f>IF($J$5023=0,0,J5006/$J$5023)</f>
        <v/>
      </c>
      <c r="L5006" s="6" t="inlineStr">
        <is>
          <t>WATCHLIST</t>
        </is>
      </c>
      <c r="M5006" s="8" t="n">
        <v>0</v>
      </c>
      <c r="N5006" s="7">
        <f>M5006*$J$5023-J5006</f>
        <v/>
      </c>
      <c r="O5006" s="9">
        <f>IF(G5006=0,0,N5006/G5006)</f>
        <v/>
      </c>
      <c r="P5006" s="6">
        <f>IF(M5006&gt;0,D5006,"")</f>
        <v/>
      </c>
      <c r="Q5006" s="9">
        <f>I5006+O5006</f>
        <v/>
      </c>
      <c r="R5006" s="7">
        <f>Q5006*G5006</f>
        <v/>
      </c>
      <c r="S5006" s="8">
        <f>IF($R$5023=0,0,R5006/$R$5023)</f>
        <v/>
      </c>
      <c r="T5006" s="8" t="n">
        <v>0.02871125790619278</v>
      </c>
      <c r="U5006" s="8" t="n">
        <v>0.0245383573591158</v>
      </c>
      <c r="V5006" s="6" t="inlineStr">
        <is>
          <t>not selected</t>
        </is>
      </c>
    </row>
    <row r="5007">
      <c r="A5007" s="6" t="inlineStr">
        <is>
          <t>DJ30</t>
        </is>
      </c>
      <c r="B5007" s="6" t="inlineStr">
        <is>
          <t>2026-02-06</t>
        </is>
      </c>
      <c r="C5007" s="6" t="inlineStr">
        <is>
          <t>DIA</t>
        </is>
      </c>
      <c r="D5007" s="6" t="inlineStr">
        <is>
          <t>JNJ</t>
        </is>
      </c>
      <c r="E5007" s="6" t="inlineStr">
        <is>
          <t>JNJ</t>
        </is>
      </c>
      <c r="F5007" s="6" t="inlineStr">
        <is>
          <t>-</t>
        </is>
      </c>
      <c r="G5007" s="7" t="n">
        <v>237.3558807373047</v>
      </c>
      <c r="H5007" s="6">
        <f>P4976</f>
        <v/>
      </c>
      <c r="I5007" s="9">
        <f>Q4976</f>
        <v/>
      </c>
      <c r="J5007" s="7">
        <f>I5007*G5007</f>
        <v/>
      </c>
      <c r="K5007" s="8">
        <f>IF($J$5023=0,0,J5007/$J$5023)</f>
        <v/>
      </c>
      <c r="L5007" s="6" t="inlineStr">
        <is>
          <t>SELECTED</t>
        </is>
      </c>
      <c r="M5007" s="8" t="n">
        <v>0.2</v>
      </c>
      <c r="N5007" s="7">
        <f>M5007*$J$5023-J5007</f>
        <v/>
      </c>
      <c r="O5007" s="9">
        <f>IF(G5007=0,0,N5007/G5007)</f>
        <v/>
      </c>
      <c r="P5007" s="6">
        <f>IF(M5007&gt;0,D5007,"")</f>
        <v/>
      </c>
      <c r="Q5007" s="9">
        <f>I5007+O5007</f>
        <v/>
      </c>
      <c r="R5007" s="7">
        <f>Q5007*G5007</f>
        <v/>
      </c>
      <c r="S5007" s="8">
        <f>IF($R$5023=0,0,R5007/$R$5023)</f>
        <v/>
      </c>
      <c r="T5007" s="8" t="n">
        <v>0.02871125790619278</v>
      </c>
      <c r="U5007" s="8" t="n">
        <v>0.0245383573591158</v>
      </c>
      <c r="V5007" s="6" t="inlineStr">
        <is>
          <t>remained in weekly selection</t>
        </is>
      </c>
    </row>
    <row r="5008">
      <c r="A5008" s="6" t="inlineStr">
        <is>
          <t>DJ30</t>
        </is>
      </c>
      <c r="B5008" s="6" t="inlineStr">
        <is>
          <t>2026-02-06</t>
        </is>
      </c>
      <c r="C5008" s="6" t="inlineStr">
        <is>
          <t>DIA</t>
        </is>
      </c>
      <c r="D5008" s="6" t="inlineStr">
        <is>
          <t>JPM</t>
        </is>
      </c>
      <c r="E5008" s="6" t="inlineStr">
        <is>
          <t>JPM</t>
        </is>
      </c>
      <c r="F5008" s="6" t="inlineStr">
        <is>
          <t>-</t>
        </is>
      </c>
      <c r="G5008" s="7" t="n">
        <v>320.7584533691406</v>
      </c>
      <c r="H5008" s="6">
        <f>P4977</f>
        <v/>
      </c>
      <c r="I5008" s="9">
        <f>Q4977</f>
        <v/>
      </c>
      <c r="J5008" s="7">
        <f>I5008*G5008</f>
        <v/>
      </c>
      <c r="K5008" s="8">
        <f>IF($J$5023=0,0,J5008/$J$5023)</f>
        <v/>
      </c>
      <c r="L5008" s="6" t="inlineStr">
        <is>
          <t>WATCHLIST</t>
        </is>
      </c>
      <c r="M5008" s="8" t="n">
        <v>0</v>
      </c>
      <c r="N5008" s="7">
        <f>M5008*$J$5023-J5008</f>
        <v/>
      </c>
      <c r="O5008" s="9">
        <f>IF(G5008=0,0,N5008/G5008)</f>
        <v/>
      </c>
      <c r="P5008" s="6">
        <f>IF(M5008&gt;0,D5008,"")</f>
        <v/>
      </c>
      <c r="Q5008" s="9">
        <f>I5008+O5008</f>
        <v/>
      </c>
      <c r="R5008" s="7">
        <f>Q5008*G5008</f>
        <v/>
      </c>
      <c r="S5008" s="8">
        <f>IF($R$5023=0,0,R5008/$R$5023)</f>
        <v/>
      </c>
      <c r="T5008" s="8" t="n">
        <v>0.02871125790619278</v>
      </c>
      <c r="U5008" s="8" t="n">
        <v>0.0245383573591158</v>
      </c>
      <c r="V5008" s="6" t="inlineStr">
        <is>
          <t>not selected</t>
        </is>
      </c>
    </row>
    <row r="5009">
      <c r="A5009" s="6" t="inlineStr">
        <is>
          <t>DJ30</t>
        </is>
      </c>
      <c r="B5009" s="6" t="inlineStr">
        <is>
          <t>2026-02-06</t>
        </is>
      </c>
      <c r="C5009" s="6" t="inlineStr">
        <is>
          <t>DIA</t>
        </is>
      </c>
      <c r="D5009" s="6" t="inlineStr">
        <is>
          <t>KO</t>
        </is>
      </c>
      <c r="E5009" s="6" t="inlineStr">
        <is>
          <t>KO</t>
        </is>
      </c>
      <c r="F5009" s="6" t="inlineStr">
        <is>
          <t>-</t>
        </is>
      </c>
      <c r="G5009" s="7" t="n">
        <v>77.98679351806641</v>
      </c>
      <c r="H5009" s="6">
        <f>P4978</f>
        <v/>
      </c>
      <c r="I5009" s="9">
        <f>Q4978</f>
        <v/>
      </c>
      <c r="J5009" s="7">
        <f>I5009*G5009</f>
        <v/>
      </c>
      <c r="K5009" s="8">
        <f>IF($J$5023=0,0,J5009/$J$5023)</f>
        <v/>
      </c>
      <c r="L5009" s="6" t="inlineStr">
        <is>
          <t>REJECTED</t>
        </is>
      </c>
      <c r="M5009" s="8" t="n">
        <v>0</v>
      </c>
      <c r="N5009" s="7">
        <f>M5009*$J$5023-J5009</f>
        <v/>
      </c>
      <c r="O5009" s="9">
        <f>IF(G5009=0,0,N5009/G5009)</f>
        <v/>
      </c>
      <c r="P5009" s="6">
        <f>IF(M5009&gt;0,D5009,"")</f>
        <v/>
      </c>
      <c r="Q5009" s="9">
        <f>I5009+O5009</f>
        <v/>
      </c>
      <c r="R5009" s="7">
        <f>Q5009*G5009</f>
        <v/>
      </c>
      <c r="S5009" s="8">
        <f>IF($R$5023=0,0,R5009/$R$5023)</f>
        <v/>
      </c>
      <c r="T5009" s="8" t="n">
        <v>0.02871125790619278</v>
      </c>
      <c r="U5009" s="8" t="n">
        <v>0.0245383573591158</v>
      </c>
      <c r="V5009" s="6" t="inlineStr">
        <is>
          <t>not selected</t>
        </is>
      </c>
    </row>
    <row r="5010">
      <c r="A5010" s="6" t="inlineStr">
        <is>
          <t>DJ30</t>
        </is>
      </c>
      <c r="B5010" s="6" t="inlineStr">
        <is>
          <t>2026-02-06</t>
        </is>
      </c>
      <c r="C5010" s="6" t="inlineStr">
        <is>
          <t>DIA</t>
        </is>
      </c>
      <c r="D5010" s="6" t="inlineStr">
        <is>
          <t>MCD</t>
        </is>
      </c>
      <c r="E5010" s="6" t="inlineStr">
        <is>
          <t>MCD</t>
        </is>
      </c>
      <c r="F5010" s="6" t="inlineStr">
        <is>
          <t>-</t>
        </is>
      </c>
      <c r="G5010" s="7" t="n">
        <v>323.1509094238281</v>
      </c>
      <c r="H5010" s="6">
        <f>P4979</f>
        <v/>
      </c>
      <c r="I5010" s="9">
        <f>Q4979</f>
        <v/>
      </c>
      <c r="J5010" s="7">
        <f>I5010*G5010</f>
        <v/>
      </c>
      <c r="K5010" s="8">
        <f>IF($J$5023=0,0,J5010/$J$5023)</f>
        <v/>
      </c>
      <c r="L5010" s="6" t="inlineStr">
        <is>
          <t>REJECTED</t>
        </is>
      </c>
      <c r="M5010" s="8" t="n">
        <v>0</v>
      </c>
      <c r="N5010" s="7">
        <f>M5010*$J$5023-J5010</f>
        <v/>
      </c>
      <c r="O5010" s="9">
        <f>IF(G5010=0,0,N5010/G5010)</f>
        <v/>
      </c>
      <c r="P5010" s="6">
        <f>IF(M5010&gt;0,D5010,"")</f>
        <v/>
      </c>
      <c r="Q5010" s="9">
        <f>I5010+O5010</f>
        <v/>
      </c>
      <c r="R5010" s="7">
        <f>Q5010*G5010</f>
        <v/>
      </c>
      <c r="S5010" s="8">
        <f>IF($R$5023=0,0,R5010/$R$5023)</f>
        <v/>
      </c>
      <c r="T5010" s="8" t="n">
        <v>0.02871125790619278</v>
      </c>
      <c r="U5010" s="8" t="n">
        <v>0.0245383573591158</v>
      </c>
      <c r="V5010" s="6" t="inlineStr">
        <is>
          <t>not selected</t>
        </is>
      </c>
    </row>
    <row r="5011">
      <c r="A5011" s="6" t="inlineStr">
        <is>
          <t>DJ30</t>
        </is>
      </c>
      <c r="B5011" s="6" t="inlineStr">
        <is>
          <t>2026-02-06</t>
        </is>
      </c>
      <c r="C5011" s="6" t="inlineStr">
        <is>
          <t>DIA</t>
        </is>
      </c>
      <c r="D5011" s="6" t="inlineStr">
        <is>
          <t>MMM</t>
        </is>
      </c>
      <c r="E5011" s="6" t="inlineStr">
        <is>
          <t>MMM</t>
        </is>
      </c>
      <c r="F5011" s="6" t="inlineStr">
        <is>
          <t>-</t>
        </is>
      </c>
      <c r="G5011" s="7" t="n">
        <v>170.9944152832031</v>
      </c>
      <c r="H5011" s="6">
        <f>P4980</f>
        <v/>
      </c>
      <c r="I5011" s="9">
        <f>Q4980</f>
        <v/>
      </c>
      <c r="J5011" s="7">
        <f>I5011*G5011</f>
        <v/>
      </c>
      <c r="K5011" s="8">
        <f>IF($J$5023=0,0,J5011/$J$5023)</f>
        <v/>
      </c>
      <c r="L5011" s="6" t="inlineStr">
        <is>
          <t>WATCHLIST</t>
        </is>
      </c>
      <c r="M5011" s="8" t="n">
        <v>0</v>
      </c>
      <c r="N5011" s="7">
        <f>M5011*$J$5023-J5011</f>
        <v/>
      </c>
      <c r="O5011" s="9">
        <f>IF(G5011=0,0,N5011/G5011)</f>
        <v/>
      </c>
      <c r="P5011" s="6">
        <f>IF(M5011&gt;0,D5011,"")</f>
        <v/>
      </c>
      <c r="Q5011" s="9">
        <f>I5011+O5011</f>
        <v/>
      </c>
      <c r="R5011" s="7">
        <f>Q5011*G5011</f>
        <v/>
      </c>
      <c r="S5011" s="8">
        <f>IF($R$5023=0,0,R5011/$R$5023)</f>
        <v/>
      </c>
      <c r="T5011" s="8" t="n">
        <v>0.02871125790619278</v>
      </c>
      <c r="U5011" s="8" t="n">
        <v>0.0245383573591158</v>
      </c>
      <c r="V5011" s="6" t="inlineStr">
        <is>
          <t>not selected</t>
        </is>
      </c>
    </row>
    <row r="5012">
      <c r="A5012" s="6" t="inlineStr">
        <is>
          <t>DJ30</t>
        </is>
      </c>
      <c r="B5012" s="6" t="inlineStr">
        <is>
          <t>2026-02-06</t>
        </is>
      </c>
      <c r="C5012" s="6" t="inlineStr">
        <is>
          <t>DIA</t>
        </is>
      </c>
      <c r="D5012" s="6" t="inlineStr">
        <is>
          <t>MRK</t>
        </is>
      </c>
      <c r="E5012" s="6" t="inlineStr">
        <is>
          <t>MRK</t>
        </is>
      </c>
      <c r="F5012" s="6" t="inlineStr">
        <is>
          <t>-</t>
        </is>
      </c>
      <c r="G5012" s="7" t="n">
        <v>120.1693725585938</v>
      </c>
      <c r="H5012" s="6">
        <f>P4981</f>
        <v/>
      </c>
      <c r="I5012" s="9">
        <f>Q4981</f>
        <v/>
      </c>
      <c r="J5012" s="7">
        <f>I5012*G5012</f>
        <v/>
      </c>
      <c r="K5012" s="8">
        <f>IF($J$5023=0,0,J5012/$J$5023)</f>
        <v/>
      </c>
      <c r="L5012" s="6" t="inlineStr">
        <is>
          <t>WATCHLIST</t>
        </is>
      </c>
      <c r="M5012" s="8" t="n">
        <v>0</v>
      </c>
      <c r="N5012" s="7">
        <f>M5012*$J$5023-J5012</f>
        <v/>
      </c>
      <c r="O5012" s="9">
        <f>IF(G5012=0,0,N5012/G5012)</f>
        <v/>
      </c>
      <c r="P5012" s="6">
        <f>IF(M5012&gt;0,D5012,"")</f>
        <v/>
      </c>
      <c r="Q5012" s="9">
        <f>I5012+O5012</f>
        <v/>
      </c>
      <c r="R5012" s="7">
        <f>Q5012*G5012</f>
        <v/>
      </c>
      <c r="S5012" s="8">
        <f>IF($R$5023=0,0,R5012/$R$5023)</f>
        <v/>
      </c>
      <c r="T5012" s="8" t="n">
        <v>0.02871125790619278</v>
      </c>
      <c r="U5012" s="8" t="n">
        <v>0.0245383573591158</v>
      </c>
      <c r="V5012" s="6" t="inlineStr">
        <is>
          <t>not selected</t>
        </is>
      </c>
    </row>
    <row r="5013">
      <c r="A5013" s="6" t="inlineStr">
        <is>
          <t>DJ30</t>
        </is>
      </c>
      <c r="B5013" s="6" t="inlineStr">
        <is>
          <t>2026-02-06</t>
        </is>
      </c>
      <c r="C5013" s="6" t="inlineStr">
        <is>
          <t>DIA</t>
        </is>
      </c>
      <c r="D5013" s="6" t="inlineStr">
        <is>
          <t>MSFT</t>
        </is>
      </c>
      <c r="E5013" s="6" t="inlineStr">
        <is>
          <t>MSFT</t>
        </is>
      </c>
      <c r="F5013" s="6" t="inlineStr">
        <is>
          <t>-</t>
        </is>
      </c>
      <c r="G5013" s="7" t="n">
        <v>399.3615417480469</v>
      </c>
      <c r="H5013" s="6">
        <f>P4982</f>
        <v/>
      </c>
      <c r="I5013" s="9">
        <f>Q4982</f>
        <v/>
      </c>
      <c r="J5013" s="7">
        <f>I5013*G5013</f>
        <v/>
      </c>
      <c r="K5013" s="8">
        <f>IF($J$5023=0,0,J5013/$J$5023)</f>
        <v/>
      </c>
      <c r="L5013" s="6" t="inlineStr">
        <is>
          <t>WATCHLIST</t>
        </is>
      </c>
      <c r="M5013" s="8" t="n">
        <v>0</v>
      </c>
      <c r="N5013" s="7">
        <f>M5013*$J$5023-J5013</f>
        <v/>
      </c>
      <c r="O5013" s="9">
        <f>IF(G5013=0,0,N5013/G5013)</f>
        <v/>
      </c>
      <c r="P5013" s="6">
        <f>IF(M5013&gt;0,D5013,"")</f>
        <v/>
      </c>
      <c r="Q5013" s="9">
        <f>I5013+O5013</f>
        <v/>
      </c>
      <c r="R5013" s="7">
        <f>Q5013*G5013</f>
        <v/>
      </c>
      <c r="S5013" s="8">
        <f>IF($R$5023=0,0,R5013/$R$5023)</f>
        <v/>
      </c>
      <c r="T5013" s="8" t="n">
        <v>0.02871125790619278</v>
      </c>
      <c r="U5013" s="8" t="n">
        <v>0.0245383573591158</v>
      </c>
      <c r="V5013" s="6" t="inlineStr">
        <is>
          <t>not selected</t>
        </is>
      </c>
    </row>
    <row r="5014">
      <c r="A5014" s="6" t="inlineStr">
        <is>
          <t>DJ30</t>
        </is>
      </c>
      <c r="B5014" s="6" t="inlineStr">
        <is>
          <t>2026-02-06</t>
        </is>
      </c>
      <c r="C5014" s="6" t="inlineStr">
        <is>
          <t>DIA</t>
        </is>
      </c>
      <c r="D5014" s="6" t="inlineStr">
        <is>
          <t>NKE</t>
        </is>
      </c>
      <c r="E5014" s="6" t="inlineStr">
        <is>
          <t>NKE</t>
        </is>
      </c>
      <c r="F5014" s="6" t="inlineStr">
        <is>
          <t>-</t>
        </is>
      </c>
      <c r="G5014" s="7" t="n">
        <v>62.93537521362305</v>
      </c>
      <c r="H5014" s="6">
        <f>P4983</f>
        <v/>
      </c>
      <c r="I5014" s="9">
        <f>Q4983</f>
        <v/>
      </c>
      <c r="J5014" s="7">
        <f>I5014*G5014</f>
        <v/>
      </c>
      <c r="K5014" s="8">
        <f>IF($J$5023=0,0,J5014/$J$5023)</f>
        <v/>
      </c>
      <c r="L5014" s="6" t="inlineStr">
        <is>
          <t>REJECTED</t>
        </is>
      </c>
      <c r="M5014" s="8" t="n">
        <v>0</v>
      </c>
      <c r="N5014" s="7">
        <f>M5014*$J$5023-J5014</f>
        <v/>
      </c>
      <c r="O5014" s="9">
        <f>IF(G5014=0,0,N5014/G5014)</f>
        <v/>
      </c>
      <c r="P5014" s="6">
        <f>IF(M5014&gt;0,D5014,"")</f>
        <v/>
      </c>
      <c r="Q5014" s="9">
        <f>I5014+O5014</f>
        <v/>
      </c>
      <c r="R5014" s="7">
        <f>Q5014*G5014</f>
        <v/>
      </c>
      <c r="S5014" s="8">
        <f>IF($R$5023=0,0,R5014/$R$5023)</f>
        <v/>
      </c>
      <c r="T5014" s="8" t="n">
        <v>0.02871125790619278</v>
      </c>
      <c r="U5014" s="8" t="n">
        <v>0.0245383573591158</v>
      </c>
      <c r="V5014" s="6" t="inlineStr">
        <is>
          <t>not selected</t>
        </is>
      </c>
    </row>
    <row r="5015">
      <c r="A5015" s="6" t="inlineStr">
        <is>
          <t>DJ30</t>
        </is>
      </c>
      <c r="B5015" s="6" t="inlineStr">
        <is>
          <t>2026-02-06</t>
        </is>
      </c>
      <c r="C5015" s="6" t="inlineStr">
        <is>
          <t>DIA</t>
        </is>
      </c>
      <c r="D5015" s="6" t="inlineStr">
        <is>
          <t>NVDA</t>
        </is>
      </c>
      <c r="E5015" s="6" t="inlineStr">
        <is>
          <t>NVDA</t>
        </is>
      </c>
      <c r="F5015" s="6" t="inlineStr">
        <is>
          <t>-</t>
        </is>
      </c>
      <c r="G5015" s="7" t="n">
        <v>185.1841430664062</v>
      </c>
      <c r="H5015" s="6">
        <f>P4984</f>
        <v/>
      </c>
      <c r="I5015" s="9">
        <f>Q4984</f>
        <v/>
      </c>
      <c r="J5015" s="7">
        <f>I5015*G5015</f>
        <v/>
      </c>
      <c r="K5015" s="8">
        <f>IF($J$5023=0,0,J5015/$J$5023)</f>
        <v/>
      </c>
      <c r="L5015" s="6" t="inlineStr">
        <is>
          <t>SELECTED</t>
        </is>
      </c>
      <c r="M5015" s="8" t="n">
        <v>0.2</v>
      </c>
      <c r="N5015" s="7">
        <f>M5015*$J$5023-J5015</f>
        <v/>
      </c>
      <c r="O5015" s="9">
        <f>IF(G5015=0,0,N5015/G5015)</f>
        <v/>
      </c>
      <c r="P5015" s="6">
        <f>IF(M5015&gt;0,D5015,"")</f>
        <v/>
      </c>
      <c r="Q5015" s="9">
        <f>I5015+O5015</f>
        <v/>
      </c>
      <c r="R5015" s="7">
        <f>Q5015*G5015</f>
        <v/>
      </c>
      <c r="S5015" s="8">
        <f>IF($R$5023=0,0,R5015/$R$5023)</f>
        <v/>
      </c>
      <c r="T5015" s="8" t="n">
        <v>0.02871125790619278</v>
      </c>
      <c r="U5015" s="8" t="n">
        <v>0.0245383573591158</v>
      </c>
      <c r="V5015" s="6" t="inlineStr">
        <is>
          <t>remained in weekly selection</t>
        </is>
      </c>
    </row>
    <row r="5016">
      <c r="A5016" s="6" t="inlineStr">
        <is>
          <t>DJ30</t>
        </is>
      </c>
      <c r="B5016" s="6" t="inlineStr">
        <is>
          <t>2026-02-06</t>
        </is>
      </c>
      <c r="C5016" s="6" t="inlineStr">
        <is>
          <t>DIA</t>
        </is>
      </c>
      <c r="D5016" s="6" t="inlineStr">
        <is>
          <t>PG</t>
        </is>
      </c>
      <c r="E5016" s="6" t="inlineStr">
        <is>
          <t>PG</t>
        </is>
      </c>
      <c r="F5016" s="6" t="inlineStr">
        <is>
          <t>-</t>
        </is>
      </c>
      <c r="G5016" s="7" t="n">
        <v>157.9803924560547</v>
      </c>
      <c r="H5016" s="6">
        <f>P4985</f>
        <v/>
      </c>
      <c r="I5016" s="9">
        <f>Q4985</f>
        <v/>
      </c>
      <c r="J5016" s="7">
        <f>I5016*G5016</f>
        <v/>
      </c>
      <c r="K5016" s="8">
        <f>IF($J$5023=0,0,J5016/$J$5023)</f>
        <v/>
      </c>
      <c r="L5016" s="6" t="inlineStr">
        <is>
          <t>REJECTED</t>
        </is>
      </c>
      <c r="M5016" s="8" t="n">
        <v>0</v>
      </c>
      <c r="N5016" s="7">
        <f>M5016*$J$5023-J5016</f>
        <v/>
      </c>
      <c r="O5016" s="9">
        <f>IF(G5016=0,0,N5016/G5016)</f>
        <v/>
      </c>
      <c r="P5016" s="6">
        <f>IF(M5016&gt;0,D5016,"")</f>
        <v/>
      </c>
      <c r="Q5016" s="9">
        <f>I5016+O5016</f>
        <v/>
      </c>
      <c r="R5016" s="7">
        <f>Q5016*G5016</f>
        <v/>
      </c>
      <c r="S5016" s="8">
        <f>IF($R$5023=0,0,R5016/$R$5023)</f>
        <v/>
      </c>
      <c r="T5016" s="8" t="n">
        <v>0.02871125790619278</v>
      </c>
      <c r="U5016" s="8" t="n">
        <v>0.0245383573591158</v>
      </c>
      <c r="V5016" s="6" t="inlineStr">
        <is>
          <t>not selected</t>
        </is>
      </c>
    </row>
    <row r="5017">
      <c r="A5017" s="6" t="inlineStr">
        <is>
          <t>DJ30</t>
        </is>
      </c>
      <c r="B5017" s="6" t="inlineStr">
        <is>
          <t>2026-02-06</t>
        </is>
      </c>
      <c r="C5017" s="6" t="inlineStr">
        <is>
          <t>DIA</t>
        </is>
      </c>
      <c r="D5017" s="6" t="inlineStr">
        <is>
          <t>SHW</t>
        </is>
      </c>
      <c r="E5017" s="6" t="inlineStr">
        <is>
          <t>SHW</t>
        </is>
      </c>
      <c r="F5017" s="6" t="inlineStr">
        <is>
          <t>-</t>
        </is>
      </c>
      <c r="G5017" s="7" t="n">
        <v>360.247314453125</v>
      </c>
      <c r="H5017" s="6">
        <f>P4986</f>
        <v/>
      </c>
      <c r="I5017" s="9">
        <f>Q4986</f>
        <v/>
      </c>
      <c r="J5017" s="7">
        <f>I5017*G5017</f>
        <v/>
      </c>
      <c r="K5017" s="8">
        <f>IF($J$5023=0,0,J5017/$J$5023)</f>
        <v/>
      </c>
      <c r="L5017" s="6" t="inlineStr">
        <is>
          <t>REJECTED</t>
        </is>
      </c>
      <c r="M5017" s="8" t="n">
        <v>0</v>
      </c>
      <c r="N5017" s="7">
        <f>M5017*$J$5023-J5017</f>
        <v/>
      </c>
      <c r="O5017" s="9">
        <f>IF(G5017=0,0,N5017/G5017)</f>
        <v/>
      </c>
      <c r="P5017" s="6">
        <f>IF(M5017&gt;0,D5017,"")</f>
        <v/>
      </c>
      <c r="Q5017" s="9">
        <f>I5017+O5017</f>
        <v/>
      </c>
      <c r="R5017" s="7">
        <f>Q5017*G5017</f>
        <v/>
      </c>
      <c r="S5017" s="8">
        <f>IF($R$5023=0,0,R5017/$R$5023)</f>
        <v/>
      </c>
      <c r="T5017" s="8" t="n">
        <v>0.02871125790619278</v>
      </c>
      <c r="U5017" s="8" t="n">
        <v>0.0245383573591158</v>
      </c>
      <c r="V5017" s="6" t="inlineStr">
        <is>
          <t>not selected</t>
        </is>
      </c>
    </row>
    <row r="5018">
      <c r="A5018" s="6" t="inlineStr">
        <is>
          <t>DJ30</t>
        </is>
      </c>
      <c r="B5018" s="6" t="inlineStr">
        <is>
          <t>2026-02-06</t>
        </is>
      </c>
      <c r="C5018" s="6" t="inlineStr">
        <is>
          <t>DIA</t>
        </is>
      </c>
      <c r="D5018" s="6" t="inlineStr">
        <is>
          <t>TRV</t>
        </is>
      </c>
      <c r="E5018" s="6" t="inlineStr">
        <is>
          <t>TRV</t>
        </is>
      </c>
      <c r="F5018" s="6" t="inlineStr">
        <is>
          <t>-</t>
        </is>
      </c>
      <c r="G5018" s="7" t="n">
        <v>299.1455383300781</v>
      </c>
      <c r="H5018" s="6">
        <f>P4987</f>
        <v/>
      </c>
      <c r="I5018" s="9">
        <f>Q4987</f>
        <v/>
      </c>
      <c r="J5018" s="7">
        <f>I5018*G5018</f>
        <v/>
      </c>
      <c r="K5018" s="8">
        <f>IF($J$5023=0,0,J5018/$J$5023)</f>
        <v/>
      </c>
      <c r="L5018" s="6" t="inlineStr">
        <is>
          <t>WATCHLIST</t>
        </is>
      </c>
      <c r="M5018" s="8" t="n">
        <v>0</v>
      </c>
      <c r="N5018" s="7">
        <f>M5018*$J$5023-J5018</f>
        <v/>
      </c>
      <c r="O5018" s="9">
        <f>IF(G5018=0,0,N5018/G5018)</f>
        <v/>
      </c>
      <c r="P5018" s="6">
        <f>IF(M5018&gt;0,D5018,"")</f>
        <v/>
      </c>
      <c r="Q5018" s="9">
        <f>I5018+O5018</f>
        <v/>
      </c>
      <c r="R5018" s="7">
        <f>Q5018*G5018</f>
        <v/>
      </c>
      <c r="S5018" s="8">
        <f>IF($R$5023=0,0,R5018/$R$5023)</f>
        <v/>
      </c>
      <c r="T5018" s="8" t="n">
        <v>0.02871125790619278</v>
      </c>
      <c r="U5018" s="8" t="n">
        <v>0.0245383573591158</v>
      </c>
      <c r="V5018" s="6" t="inlineStr">
        <is>
          <t>not selected</t>
        </is>
      </c>
    </row>
    <row r="5019">
      <c r="A5019" s="6" t="inlineStr">
        <is>
          <t>DJ30</t>
        </is>
      </c>
      <c r="B5019" s="6" t="inlineStr">
        <is>
          <t>2026-02-06</t>
        </is>
      </c>
      <c r="C5019" s="6" t="inlineStr">
        <is>
          <t>DIA</t>
        </is>
      </c>
      <c r="D5019" s="6" t="inlineStr">
        <is>
          <t>UNH</t>
        </is>
      </c>
      <c r="E5019" s="6" t="inlineStr">
        <is>
          <t>UNH</t>
        </is>
      </c>
      <c r="F5019" s="6" t="inlineStr">
        <is>
          <t>-</t>
        </is>
      </c>
      <c r="G5019" s="7" t="n">
        <v>272.9568481445312</v>
      </c>
      <c r="H5019" s="6">
        <f>P4988</f>
        <v/>
      </c>
      <c r="I5019" s="9">
        <f>Q4988</f>
        <v/>
      </c>
      <c r="J5019" s="7">
        <f>I5019*G5019</f>
        <v/>
      </c>
      <c r="K5019" s="8">
        <f>IF($J$5023=0,0,J5019/$J$5023)</f>
        <v/>
      </c>
      <c r="L5019" s="6" t="inlineStr">
        <is>
          <t>REJECTED</t>
        </is>
      </c>
      <c r="M5019" s="8" t="n">
        <v>0</v>
      </c>
      <c r="N5019" s="7">
        <f>M5019*$J$5023-J5019</f>
        <v/>
      </c>
      <c r="O5019" s="9">
        <f>IF(G5019=0,0,N5019/G5019)</f>
        <v/>
      </c>
      <c r="P5019" s="6">
        <f>IF(M5019&gt;0,D5019,"")</f>
        <v/>
      </c>
      <c r="Q5019" s="9">
        <f>I5019+O5019</f>
        <v/>
      </c>
      <c r="R5019" s="7">
        <f>Q5019*G5019</f>
        <v/>
      </c>
      <c r="S5019" s="8">
        <f>IF($R$5023=0,0,R5019/$R$5023)</f>
        <v/>
      </c>
      <c r="T5019" s="8" t="n">
        <v>0.02871125790619278</v>
      </c>
      <c r="U5019" s="8" t="n">
        <v>0.0245383573591158</v>
      </c>
      <c r="V5019" s="6" t="inlineStr">
        <is>
          <t>not selected</t>
        </is>
      </c>
    </row>
    <row r="5020">
      <c r="A5020" s="6" t="inlineStr">
        <is>
          <t>DJ30</t>
        </is>
      </c>
      <c r="B5020" s="6" t="inlineStr">
        <is>
          <t>2026-02-06</t>
        </is>
      </c>
      <c r="C5020" s="6" t="inlineStr">
        <is>
          <t>DIA</t>
        </is>
      </c>
      <c r="D5020" s="6" t="inlineStr">
        <is>
          <t>V</t>
        </is>
      </c>
      <c r="E5020" s="6" t="inlineStr">
        <is>
          <t>V</t>
        </is>
      </c>
      <c r="F5020" s="6" t="inlineStr">
        <is>
          <t>-</t>
        </is>
      </c>
      <c r="G5020" s="7" t="n">
        <v>330.2130737304688</v>
      </c>
      <c r="H5020" s="6">
        <f>P4989</f>
        <v/>
      </c>
      <c r="I5020" s="9">
        <f>Q4989</f>
        <v/>
      </c>
      <c r="J5020" s="7">
        <f>I5020*G5020</f>
        <v/>
      </c>
      <c r="K5020" s="8">
        <f>IF($J$5023=0,0,J5020/$J$5023)</f>
        <v/>
      </c>
      <c r="L5020" s="6" t="inlineStr">
        <is>
          <t>REJECTED</t>
        </is>
      </c>
      <c r="M5020" s="8" t="n">
        <v>0</v>
      </c>
      <c r="N5020" s="7">
        <f>M5020*$J$5023-J5020</f>
        <v/>
      </c>
      <c r="O5020" s="9">
        <f>IF(G5020=0,0,N5020/G5020)</f>
        <v/>
      </c>
      <c r="P5020" s="6">
        <f>IF(M5020&gt;0,D5020,"")</f>
        <v/>
      </c>
      <c r="Q5020" s="9">
        <f>I5020+O5020</f>
        <v/>
      </c>
      <c r="R5020" s="7">
        <f>Q5020*G5020</f>
        <v/>
      </c>
      <c r="S5020" s="8">
        <f>IF($R$5023=0,0,R5020/$R$5023)</f>
        <v/>
      </c>
      <c r="T5020" s="8" t="n">
        <v>0.02871125790619278</v>
      </c>
      <c r="U5020" s="8" t="n">
        <v>0.0245383573591158</v>
      </c>
      <c r="V5020" s="6" t="inlineStr">
        <is>
          <t>not selected</t>
        </is>
      </c>
    </row>
    <row r="5021">
      <c r="A5021" s="6" t="inlineStr">
        <is>
          <t>DJ30</t>
        </is>
      </c>
      <c r="B5021" s="6" t="inlineStr">
        <is>
          <t>2026-02-06</t>
        </is>
      </c>
      <c r="C5021" s="6" t="inlineStr">
        <is>
          <t>DIA</t>
        </is>
      </c>
      <c r="D5021" s="6" t="inlineStr">
        <is>
          <t>VZ</t>
        </is>
      </c>
      <c r="E5021" s="6" t="inlineStr">
        <is>
          <t>VZ</t>
        </is>
      </c>
      <c r="F5021" s="6" t="inlineStr">
        <is>
          <t>-</t>
        </is>
      </c>
      <c r="G5021" s="7" t="n">
        <v>45.62378311157227</v>
      </c>
      <c r="H5021" s="6">
        <f>P4990</f>
        <v/>
      </c>
      <c r="I5021" s="9">
        <f>Q4990</f>
        <v/>
      </c>
      <c r="J5021" s="7">
        <f>I5021*G5021</f>
        <v/>
      </c>
      <c r="K5021" s="8">
        <f>IF($J$5023=0,0,J5021/$J$5023)</f>
        <v/>
      </c>
      <c r="L5021" s="6" t="inlineStr">
        <is>
          <t>REJECTED</t>
        </is>
      </c>
      <c r="M5021" s="8" t="n">
        <v>0</v>
      </c>
      <c r="N5021" s="7">
        <f>M5021*$J$5023-J5021</f>
        <v/>
      </c>
      <c r="O5021" s="9">
        <f>IF(G5021=0,0,N5021/G5021)</f>
        <v/>
      </c>
      <c r="P5021" s="6">
        <f>IF(M5021&gt;0,D5021,"")</f>
        <v/>
      </c>
      <c r="Q5021" s="9">
        <f>I5021+O5021</f>
        <v/>
      </c>
      <c r="R5021" s="7">
        <f>Q5021*G5021</f>
        <v/>
      </c>
      <c r="S5021" s="8">
        <f>IF($R$5023=0,0,R5021/$R$5023)</f>
        <v/>
      </c>
      <c r="T5021" s="8" t="n">
        <v>0.02871125790619278</v>
      </c>
      <c r="U5021" s="8" t="n">
        <v>0.0245383573591158</v>
      </c>
      <c r="V5021" s="6" t="inlineStr">
        <is>
          <t>not selected</t>
        </is>
      </c>
    </row>
    <row r="5022">
      <c r="A5022" s="6" t="inlineStr">
        <is>
          <t>DJ30</t>
        </is>
      </c>
      <c r="B5022" s="6" t="inlineStr">
        <is>
          <t>2026-02-06</t>
        </is>
      </c>
      <c r="C5022" s="6" t="inlineStr">
        <is>
          <t>DIA</t>
        </is>
      </c>
      <c r="D5022" s="6" t="inlineStr">
        <is>
          <t>WMT</t>
        </is>
      </c>
      <c r="E5022" s="6" t="inlineStr">
        <is>
          <t>WMT</t>
        </is>
      </c>
      <c r="F5022" s="6" t="inlineStr">
        <is>
          <t>-</t>
        </is>
      </c>
      <c r="G5022" s="7" t="n">
        <v>130.6619720458984</v>
      </c>
      <c r="H5022" s="6">
        <f>P4991</f>
        <v/>
      </c>
      <c r="I5022" s="9">
        <f>Q4991</f>
        <v/>
      </c>
      <c r="J5022" s="7">
        <f>I5022*G5022</f>
        <v/>
      </c>
      <c r="K5022" s="8">
        <f>IF($J$5023=0,0,J5022/$J$5023)</f>
        <v/>
      </c>
      <c r="L5022" s="6" t="inlineStr">
        <is>
          <t>WATCHLIST</t>
        </is>
      </c>
      <c r="M5022" s="8" t="n">
        <v>0</v>
      </c>
      <c r="N5022" s="7">
        <f>M5022*$J$5023-J5022</f>
        <v/>
      </c>
      <c r="O5022" s="9">
        <f>IF(G5022=0,0,N5022/G5022)</f>
        <v/>
      </c>
      <c r="P5022" s="6">
        <f>IF(M5022&gt;0,D5022,"")</f>
        <v/>
      </c>
      <c r="Q5022" s="9">
        <f>I5022+O5022</f>
        <v/>
      </c>
      <c r="R5022" s="7">
        <f>Q5022*G5022</f>
        <v/>
      </c>
      <c r="S5022" s="8">
        <f>IF($R$5023=0,0,R5022/$R$5023)</f>
        <v/>
      </c>
      <c r="T5022" s="8" t="n">
        <v>0.02871125790619278</v>
      </c>
      <c r="U5022" s="8" t="n">
        <v>0.0245383573591158</v>
      </c>
      <c r="V5022" s="6" t="inlineStr">
        <is>
          <t>not selected</t>
        </is>
      </c>
    </row>
    <row r="5023">
      <c r="A5023" s="10" t="inlineStr">
        <is>
          <t>DJ30</t>
        </is>
      </c>
      <c r="B5023" s="10" t="inlineStr">
        <is>
          <t>2026-02-06</t>
        </is>
      </c>
      <c r="C5023" s="10" t="inlineStr">
        <is>
          <t>DIA</t>
        </is>
      </c>
      <c r="D5023" s="10" t="inlineStr">
        <is>
          <t>Tot Portfolio</t>
        </is>
      </c>
      <c r="E5023" s="10" t="inlineStr"/>
      <c r="F5023" s="10" t="inlineStr"/>
      <c r="G5023" s="11" t="inlineStr"/>
      <c r="H5023" s="10" t="inlineStr"/>
      <c r="I5023" s="12" t="inlineStr"/>
      <c r="J5023" s="11">
        <f>SUM(J4993:J5022)</f>
        <v/>
      </c>
      <c r="K5023" s="13">
        <f>SUM(K4993:K5022)</f>
        <v/>
      </c>
      <c r="L5023" s="10" t="inlineStr">
        <is>
          <t>TOTAL</t>
        </is>
      </c>
      <c r="M5023" s="13">
        <f>SUM(M4993:M5022)</f>
        <v/>
      </c>
      <c r="N5023" s="11">
        <f>SUM(N4993:N5022)</f>
        <v/>
      </c>
      <c r="O5023" s="12">
        <f>SUM(O4993:O5022)</f>
        <v/>
      </c>
      <c r="P5023" s="10" t="inlineStr"/>
      <c r="Q5023" s="12" t="inlineStr"/>
      <c r="R5023" s="11">
        <f>SUM(R4993:R5022)</f>
        <v/>
      </c>
      <c r="S5023" s="13">
        <f>SUM(S4993:S5022)</f>
        <v/>
      </c>
      <c r="T5023" s="13" t="n">
        <v>0.02871125790619278</v>
      </c>
      <c r="U5023" s="13" t="n">
        <v>0.0245383573591158</v>
      </c>
      <c r="V5023" s="10" t="inlineStr"/>
    </row>
    <row r="5024">
      <c r="A5024" s="6" t="inlineStr">
        <is>
          <t>DJ30</t>
        </is>
      </c>
      <c r="B5024" s="6" t="inlineStr">
        <is>
          <t>2026-02-13</t>
        </is>
      </c>
      <c r="C5024" s="6" t="inlineStr">
        <is>
          <t>DIA</t>
        </is>
      </c>
      <c r="D5024" s="6" t="inlineStr">
        <is>
          <t>AAPL</t>
        </is>
      </c>
      <c r="E5024" s="6" t="inlineStr">
        <is>
          <t>AAPL</t>
        </is>
      </c>
      <c r="F5024" s="6" t="inlineStr">
        <is>
          <t>-</t>
        </is>
      </c>
      <c r="G5024" s="7" t="n">
        <v>255.5445556640625</v>
      </c>
      <c r="H5024" s="6">
        <f>P4993</f>
        <v/>
      </c>
      <c r="I5024" s="9">
        <f>Q4993</f>
        <v/>
      </c>
      <c r="J5024" s="7">
        <f>I5024*G5024</f>
        <v/>
      </c>
      <c r="K5024" s="8">
        <f>IF($J$5054=0,0,J5024/$J$5054)</f>
        <v/>
      </c>
      <c r="L5024" s="6" t="inlineStr">
        <is>
          <t>WATCHLIST</t>
        </is>
      </c>
      <c r="M5024" s="8" t="n">
        <v>0</v>
      </c>
      <c r="N5024" s="7">
        <f>M5024*$J$5054-J5024</f>
        <v/>
      </c>
      <c r="O5024" s="9">
        <f>IF(G5024=0,0,N5024/G5024)</f>
        <v/>
      </c>
      <c r="P5024" s="6">
        <f>IF(M5024&gt;0,D5024,"")</f>
        <v/>
      </c>
      <c r="Q5024" s="9">
        <f>I5024+O5024</f>
        <v/>
      </c>
      <c r="R5024" s="7">
        <f>Q5024*G5024</f>
        <v/>
      </c>
      <c r="S5024" s="8">
        <f>IF($R$5054=0,0,R5024/$R$5054)</f>
        <v/>
      </c>
      <c r="T5024" s="8" t="n">
        <v>-0.003842128512683507</v>
      </c>
      <c r="U5024" s="8" t="n">
        <v>-0.01147635462888463</v>
      </c>
      <c r="V5024" s="6" t="inlineStr">
        <is>
          <t>not selected</t>
        </is>
      </c>
    </row>
    <row r="5025">
      <c r="A5025" s="6" t="inlineStr">
        <is>
          <t>DJ30</t>
        </is>
      </c>
      <c r="B5025" s="6" t="inlineStr">
        <is>
          <t>2026-02-13</t>
        </is>
      </c>
      <c r="C5025" s="6" t="inlineStr">
        <is>
          <t>DIA</t>
        </is>
      </c>
      <c r="D5025" s="6" t="inlineStr">
        <is>
          <t>AMGN</t>
        </is>
      </c>
      <c r="E5025" s="6" t="inlineStr">
        <is>
          <t>AMGN</t>
        </is>
      </c>
      <c r="F5025" s="6" t="inlineStr">
        <is>
          <t>-</t>
        </is>
      </c>
      <c r="G5025" s="7" t="n">
        <v>366.4229736328125</v>
      </c>
      <c r="H5025" s="6">
        <f>P4994</f>
        <v/>
      </c>
      <c r="I5025" s="9">
        <f>Q4994</f>
        <v/>
      </c>
      <c r="J5025" s="7">
        <f>I5025*G5025</f>
        <v/>
      </c>
      <c r="K5025" s="8">
        <f>IF($J$5054=0,0,J5025/$J$5054)</f>
        <v/>
      </c>
      <c r="L5025" s="6" t="inlineStr">
        <is>
          <t>WATCHLIST</t>
        </is>
      </c>
      <c r="M5025" s="8" t="n">
        <v>0</v>
      </c>
      <c r="N5025" s="7">
        <f>M5025*$J$5054-J5025</f>
        <v/>
      </c>
      <c r="O5025" s="9">
        <f>IF(G5025=0,0,N5025/G5025)</f>
        <v/>
      </c>
      <c r="P5025" s="6">
        <f>IF(M5025&gt;0,D5025,"")</f>
        <v/>
      </c>
      <c r="Q5025" s="9">
        <f>I5025+O5025</f>
        <v/>
      </c>
      <c r="R5025" s="7">
        <f>Q5025*G5025</f>
        <v/>
      </c>
      <c r="S5025" s="8">
        <f>IF($R$5054=0,0,R5025/$R$5054)</f>
        <v/>
      </c>
      <c r="T5025" s="8" t="n">
        <v>-0.003842128512683507</v>
      </c>
      <c r="U5025" s="8" t="n">
        <v>-0.01147635462888463</v>
      </c>
      <c r="V5025" s="6" t="inlineStr">
        <is>
          <t>not selected</t>
        </is>
      </c>
    </row>
    <row r="5026">
      <c r="A5026" s="6" t="inlineStr">
        <is>
          <t>DJ30</t>
        </is>
      </c>
      <c r="B5026" s="6" t="inlineStr">
        <is>
          <t>2026-02-13</t>
        </is>
      </c>
      <c r="C5026" s="6" t="inlineStr">
        <is>
          <t>DIA</t>
        </is>
      </c>
      <c r="D5026" s="6" t="inlineStr">
        <is>
          <t>AMZN</t>
        </is>
      </c>
      <c r="E5026" s="6" t="inlineStr">
        <is>
          <t>AMZN</t>
        </is>
      </c>
      <c r="F5026" s="6" t="inlineStr">
        <is>
          <t>-</t>
        </is>
      </c>
      <c r="G5026" s="7" t="n">
        <v>198.7899932861328</v>
      </c>
      <c r="H5026" s="6">
        <f>P4995</f>
        <v/>
      </c>
      <c r="I5026" s="9">
        <f>Q4995</f>
        <v/>
      </c>
      <c r="J5026" s="7">
        <f>I5026*G5026</f>
        <v/>
      </c>
      <c r="K5026" s="8">
        <f>IF($J$5054=0,0,J5026/$J$5054)</f>
        <v/>
      </c>
      <c r="L5026" s="6" t="inlineStr">
        <is>
          <t>WATCHLIST</t>
        </is>
      </c>
      <c r="M5026" s="8" t="n">
        <v>0</v>
      </c>
      <c r="N5026" s="7">
        <f>M5026*$J$5054-J5026</f>
        <v/>
      </c>
      <c r="O5026" s="9">
        <f>IF(G5026=0,0,N5026/G5026)</f>
        <v/>
      </c>
      <c r="P5026" s="6">
        <f>IF(M5026&gt;0,D5026,"")</f>
        <v/>
      </c>
      <c r="Q5026" s="9">
        <f>I5026+O5026</f>
        <v/>
      </c>
      <c r="R5026" s="7">
        <f>Q5026*G5026</f>
        <v/>
      </c>
      <c r="S5026" s="8">
        <f>IF($R$5054=0,0,R5026/$R$5054)</f>
        <v/>
      </c>
      <c r="T5026" s="8" t="n">
        <v>-0.003842128512683507</v>
      </c>
      <c r="U5026" s="8" t="n">
        <v>-0.01147635462888463</v>
      </c>
      <c r="V5026" s="6" t="inlineStr">
        <is>
          <t>not selected</t>
        </is>
      </c>
    </row>
    <row r="5027">
      <c r="A5027" s="6" t="inlineStr">
        <is>
          <t>DJ30</t>
        </is>
      </c>
      <c r="B5027" s="6" t="inlineStr">
        <is>
          <t>2026-02-13</t>
        </is>
      </c>
      <c r="C5027" s="6" t="inlineStr">
        <is>
          <t>DIA</t>
        </is>
      </c>
      <c r="D5027" s="6" t="inlineStr">
        <is>
          <t>AXP</t>
        </is>
      </c>
      <c r="E5027" s="6" t="inlineStr">
        <is>
          <t>AXP</t>
        </is>
      </c>
      <c r="F5027" s="6" t="inlineStr">
        <is>
          <t>-</t>
        </is>
      </c>
      <c r="G5027" s="7" t="n">
        <v>336.4364013671875</v>
      </c>
      <c r="H5027" s="6">
        <f>P4996</f>
        <v/>
      </c>
      <c r="I5027" s="9">
        <f>Q4996</f>
        <v/>
      </c>
      <c r="J5027" s="7">
        <f>I5027*G5027</f>
        <v/>
      </c>
      <c r="K5027" s="8">
        <f>IF($J$5054=0,0,J5027/$J$5054)</f>
        <v/>
      </c>
      <c r="L5027" s="6" t="inlineStr">
        <is>
          <t>SELECTED</t>
        </is>
      </c>
      <c r="M5027" s="8" t="n">
        <v>0.2</v>
      </c>
      <c r="N5027" s="7">
        <f>M5027*$J$5054-J5027</f>
        <v/>
      </c>
      <c r="O5027" s="9">
        <f>IF(G5027=0,0,N5027/G5027)</f>
        <v/>
      </c>
      <c r="P5027" s="6">
        <f>IF(M5027&gt;0,D5027,"")</f>
        <v/>
      </c>
      <c r="Q5027" s="9">
        <f>I5027+O5027</f>
        <v/>
      </c>
      <c r="R5027" s="7">
        <f>Q5027*G5027</f>
        <v/>
      </c>
      <c r="S5027" s="8">
        <f>IF($R$5054=0,0,R5027/$R$5054)</f>
        <v/>
      </c>
      <c r="T5027" s="8" t="n">
        <v>-0.003842128512683507</v>
      </c>
      <c r="U5027" s="8" t="n">
        <v>-0.01147635462888463</v>
      </c>
      <c r="V5027" s="6" t="inlineStr">
        <is>
          <t>remained in weekly selection</t>
        </is>
      </c>
    </row>
    <row r="5028">
      <c r="A5028" s="6" t="inlineStr">
        <is>
          <t>DJ30</t>
        </is>
      </c>
      <c r="B5028" s="6" t="inlineStr">
        <is>
          <t>2026-02-13</t>
        </is>
      </c>
      <c r="C5028" s="6" t="inlineStr">
        <is>
          <t>DIA</t>
        </is>
      </c>
      <c r="D5028" s="6" t="inlineStr">
        <is>
          <t>BA</t>
        </is>
      </c>
      <c r="E5028" s="6" t="inlineStr">
        <is>
          <t>BA</t>
        </is>
      </c>
      <c r="F5028" s="6" t="inlineStr">
        <is>
          <t>-</t>
        </is>
      </c>
      <c r="G5028" s="7" t="n">
        <v>242.9600067138672</v>
      </c>
      <c r="H5028" s="6">
        <f>P4997</f>
        <v/>
      </c>
      <c r="I5028" s="9">
        <f>Q4997</f>
        <v/>
      </c>
      <c r="J5028" s="7">
        <f>I5028*G5028</f>
        <v/>
      </c>
      <c r="K5028" s="8">
        <f>IF($J$5054=0,0,J5028/$J$5054)</f>
        <v/>
      </c>
      <c r="L5028" s="6" t="inlineStr">
        <is>
          <t>WATCHLIST</t>
        </is>
      </c>
      <c r="M5028" s="8" t="n">
        <v>0</v>
      </c>
      <c r="N5028" s="7">
        <f>M5028*$J$5054-J5028</f>
        <v/>
      </c>
      <c r="O5028" s="9">
        <f>IF(G5028=0,0,N5028/G5028)</f>
        <v/>
      </c>
      <c r="P5028" s="6">
        <f>IF(M5028&gt;0,D5028,"")</f>
        <v/>
      </c>
      <c r="Q5028" s="9">
        <f>I5028+O5028</f>
        <v/>
      </c>
      <c r="R5028" s="7">
        <f>Q5028*G5028</f>
        <v/>
      </c>
      <c r="S5028" s="8">
        <f>IF($R$5054=0,0,R5028/$R$5054)</f>
        <v/>
      </c>
      <c r="T5028" s="8" t="n">
        <v>-0.003842128512683507</v>
      </c>
      <c r="U5028" s="8" t="n">
        <v>-0.01147635462888463</v>
      </c>
      <c r="V5028" s="6" t="inlineStr">
        <is>
          <t>not selected</t>
        </is>
      </c>
    </row>
    <row r="5029">
      <c r="A5029" s="6" t="inlineStr">
        <is>
          <t>DJ30</t>
        </is>
      </c>
      <c r="B5029" s="6" t="inlineStr">
        <is>
          <t>2026-02-13</t>
        </is>
      </c>
      <c r="C5029" s="6" t="inlineStr">
        <is>
          <t>DIA</t>
        </is>
      </c>
      <c r="D5029" s="6" t="inlineStr">
        <is>
          <t>CAT</t>
        </is>
      </c>
      <c r="E5029" s="6" t="inlineStr">
        <is>
          <t>CAT</t>
        </is>
      </c>
      <c r="F5029" s="6" t="inlineStr">
        <is>
          <t>-</t>
        </is>
      </c>
      <c r="G5029" s="7" t="n">
        <v>772.7288818359375</v>
      </c>
      <c r="H5029" s="6">
        <f>P4998</f>
        <v/>
      </c>
      <c r="I5029" s="9">
        <f>Q4998</f>
        <v/>
      </c>
      <c r="J5029" s="7">
        <f>I5029*G5029</f>
        <v/>
      </c>
      <c r="K5029" s="8">
        <f>IF($J$5054=0,0,J5029/$J$5054)</f>
        <v/>
      </c>
      <c r="L5029" s="6" t="inlineStr">
        <is>
          <t>SELECTED</t>
        </is>
      </c>
      <c r="M5029" s="8" t="n">
        <v>0.2</v>
      </c>
      <c r="N5029" s="7">
        <f>M5029*$J$5054-J5029</f>
        <v/>
      </c>
      <c r="O5029" s="9">
        <f>IF(G5029=0,0,N5029/G5029)</f>
        <v/>
      </c>
      <c r="P5029" s="6">
        <f>IF(M5029&gt;0,D5029,"")</f>
        <v/>
      </c>
      <c r="Q5029" s="9">
        <f>I5029+O5029</f>
        <v/>
      </c>
      <c r="R5029" s="7">
        <f>Q5029*G5029</f>
        <v/>
      </c>
      <c r="S5029" s="8">
        <f>IF($R$5054=0,0,R5029/$R$5054)</f>
        <v/>
      </c>
      <c r="T5029" s="8" t="n">
        <v>-0.003842128512683507</v>
      </c>
      <c r="U5029" s="8" t="n">
        <v>-0.01147635462888463</v>
      </c>
      <c r="V5029" s="6" t="inlineStr">
        <is>
          <t>remained in weekly selection</t>
        </is>
      </c>
    </row>
    <row r="5030">
      <c r="A5030" s="6" t="inlineStr">
        <is>
          <t>DJ30</t>
        </is>
      </c>
      <c r="B5030" s="6" t="inlineStr">
        <is>
          <t>2026-02-13</t>
        </is>
      </c>
      <c r="C5030" s="6" t="inlineStr">
        <is>
          <t>DIA</t>
        </is>
      </c>
      <c r="D5030" s="6" t="inlineStr">
        <is>
          <t>CRM</t>
        </is>
      </c>
      <c r="E5030" s="6" t="inlineStr">
        <is>
          <t>CRM</t>
        </is>
      </c>
      <c r="F5030" s="6" t="inlineStr">
        <is>
          <t>-</t>
        </is>
      </c>
      <c r="G5030" s="7" t="n">
        <v>188.759506225586</v>
      </c>
      <c r="H5030" s="6">
        <f>P4999</f>
        <v/>
      </c>
      <c r="I5030" s="9">
        <f>Q4999</f>
        <v/>
      </c>
      <c r="J5030" s="7">
        <f>I5030*G5030</f>
        <v/>
      </c>
      <c r="K5030" s="8">
        <f>IF($J$5054=0,0,J5030/$J$5054)</f>
        <v/>
      </c>
      <c r="L5030" s="6" t="inlineStr">
        <is>
          <t>REJECTED</t>
        </is>
      </c>
      <c r="M5030" s="8" t="n">
        <v>0</v>
      </c>
      <c r="N5030" s="7">
        <f>M5030*$J$5054-J5030</f>
        <v/>
      </c>
      <c r="O5030" s="9">
        <f>IF(G5030=0,0,N5030/G5030)</f>
        <v/>
      </c>
      <c r="P5030" s="6">
        <f>IF(M5030&gt;0,D5030,"")</f>
        <v/>
      </c>
      <c r="Q5030" s="9">
        <f>I5030+O5030</f>
        <v/>
      </c>
      <c r="R5030" s="7">
        <f>Q5030*G5030</f>
        <v/>
      </c>
      <c r="S5030" s="8">
        <f>IF($R$5054=0,0,R5030/$R$5054)</f>
        <v/>
      </c>
      <c r="T5030" s="8" t="n">
        <v>-0.003842128512683507</v>
      </c>
      <c r="U5030" s="8" t="n">
        <v>-0.01147635462888463</v>
      </c>
      <c r="V5030" s="6" t="inlineStr">
        <is>
          <t>not selected</t>
        </is>
      </c>
    </row>
    <row r="5031">
      <c r="A5031" s="6" t="inlineStr">
        <is>
          <t>DJ30</t>
        </is>
      </c>
      <c r="B5031" s="6" t="inlineStr">
        <is>
          <t>2026-02-13</t>
        </is>
      </c>
      <c r="C5031" s="6" t="inlineStr">
        <is>
          <t>DIA</t>
        </is>
      </c>
      <c r="D5031" s="6" t="inlineStr">
        <is>
          <t>CSCO</t>
        </is>
      </c>
      <c r="E5031" s="6" t="inlineStr">
        <is>
          <t>CSCO</t>
        </is>
      </c>
      <c r="F5031" s="6" t="inlineStr">
        <is>
          <t>-</t>
        </is>
      </c>
      <c r="G5031" s="7" t="n">
        <v>76.43582153320312</v>
      </c>
      <c r="H5031" s="6">
        <f>P5000</f>
        <v/>
      </c>
      <c r="I5031" s="9">
        <f>Q5000</f>
        <v/>
      </c>
      <c r="J5031" s="7">
        <f>I5031*G5031</f>
        <v/>
      </c>
      <c r="K5031" s="8">
        <f>IF($J$5054=0,0,J5031/$J$5054)</f>
        <v/>
      </c>
      <c r="L5031" s="6" t="inlineStr">
        <is>
          <t>WATCHLIST</t>
        </is>
      </c>
      <c r="M5031" s="8" t="n">
        <v>0</v>
      </c>
      <c r="N5031" s="7">
        <f>M5031*$J$5054-J5031</f>
        <v/>
      </c>
      <c r="O5031" s="9">
        <f>IF(G5031=0,0,N5031/G5031)</f>
        <v/>
      </c>
      <c r="P5031" s="6">
        <f>IF(M5031&gt;0,D5031,"")</f>
        <v/>
      </c>
      <c r="Q5031" s="9">
        <f>I5031+O5031</f>
        <v/>
      </c>
      <c r="R5031" s="7">
        <f>Q5031*G5031</f>
        <v/>
      </c>
      <c r="S5031" s="8">
        <f>IF($R$5054=0,0,R5031/$R$5054)</f>
        <v/>
      </c>
      <c r="T5031" s="8" t="n">
        <v>-0.003842128512683507</v>
      </c>
      <c r="U5031" s="8" t="n">
        <v>-0.01147635462888463</v>
      </c>
      <c r="V5031" s="6" t="inlineStr">
        <is>
          <t>not selected</t>
        </is>
      </c>
    </row>
    <row r="5032">
      <c r="A5032" s="6" t="inlineStr">
        <is>
          <t>DJ30</t>
        </is>
      </c>
      <c r="B5032" s="6" t="inlineStr">
        <is>
          <t>2026-02-13</t>
        </is>
      </c>
      <c r="C5032" s="6" t="inlineStr">
        <is>
          <t>DIA</t>
        </is>
      </c>
      <c r="D5032" s="6" t="inlineStr">
        <is>
          <t>CVX</t>
        </is>
      </c>
      <c r="E5032" s="6" t="inlineStr">
        <is>
          <t>CVX</t>
        </is>
      </c>
      <c r="F5032" s="6" t="inlineStr">
        <is>
          <t>-</t>
        </is>
      </c>
      <c r="G5032" s="7" t="n">
        <v>180.3085327148437</v>
      </c>
      <c r="H5032" s="6">
        <f>P5001</f>
        <v/>
      </c>
      <c r="I5032" s="9">
        <f>Q5001</f>
        <v/>
      </c>
      <c r="J5032" s="7">
        <f>I5032*G5032</f>
        <v/>
      </c>
      <c r="K5032" s="8">
        <f>IF($J$5054=0,0,J5032/$J$5054)</f>
        <v/>
      </c>
      <c r="L5032" s="6" t="inlineStr">
        <is>
          <t>WATCHLIST</t>
        </is>
      </c>
      <c r="M5032" s="8" t="n">
        <v>0</v>
      </c>
      <c r="N5032" s="7">
        <f>M5032*$J$5054-J5032</f>
        <v/>
      </c>
      <c r="O5032" s="9">
        <f>IF(G5032=0,0,N5032/G5032)</f>
        <v/>
      </c>
      <c r="P5032" s="6">
        <f>IF(M5032&gt;0,D5032,"")</f>
        <v/>
      </c>
      <c r="Q5032" s="9">
        <f>I5032+O5032</f>
        <v/>
      </c>
      <c r="R5032" s="7">
        <f>Q5032*G5032</f>
        <v/>
      </c>
      <c r="S5032" s="8">
        <f>IF($R$5054=0,0,R5032/$R$5054)</f>
        <v/>
      </c>
      <c r="T5032" s="8" t="n">
        <v>-0.003842128512683507</v>
      </c>
      <c r="U5032" s="8" t="n">
        <v>-0.01147635462888463</v>
      </c>
      <c r="V5032" s="6" t="inlineStr">
        <is>
          <t>not selected</t>
        </is>
      </c>
    </row>
    <row r="5033">
      <c r="A5033" s="6" t="inlineStr">
        <is>
          <t>DJ30</t>
        </is>
      </c>
      <c r="B5033" s="6" t="inlineStr">
        <is>
          <t>2026-02-13</t>
        </is>
      </c>
      <c r="C5033" s="6" t="inlineStr">
        <is>
          <t>DIA</t>
        </is>
      </c>
      <c r="D5033" s="6" t="inlineStr">
        <is>
          <t>DIS</t>
        </is>
      </c>
      <c r="E5033" s="6" t="inlineStr">
        <is>
          <t>DIS</t>
        </is>
      </c>
      <c r="F5033" s="6" t="inlineStr">
        <is>
          <t>-</t>
        </is>
      </c>
      <c r="G5033" s="7" t="n">
        <v>105.4499969482422</v>
      </c>
      <c r="H5033" s="6">
        <f>P5002</f>
        <v/>
      </c>
      <c r="I5033" s="9">
        <f>Q5002</f>
        <v/>
      </c>
      <c r="J5033" s="7">
        <f>I5033*G5033</f>
        <v/>
      </c>
      <c r="K5033" s="8">
        <f>IF($J$5054=0,0,J5033/$J$5054)</f>
        <v/>
      </c>
      <c r="L5033" s="6" t="inlineStr">
        <is>
          <t>REJECTED</t>
        </is>
      </c>
      <c r="M5033" s="8" t="n">
        <v>0</v>
      </c>
      <c r="N5033" s="7">
        <f>M5033*$J$5054-J5033</f>
        <v/>
      </c>
      <c r="O5033" s="9">
        <f>IF(G5033=0,0,N5033/G5033)</f>
        <v/>
      </c>
      <c r="P5033" s="6">
        <f>IF(M5033&gt;0,D5033,"")</f>
        <v/>
      </c>
      <c r="Q5033" s="9">
        <f>I5033+O5033</f>
        <v/>
      </c>
      <c r="R5033" s="7">
        <f>Q5033*G5033</f>
        <v/>
      </c>
      <c r="S5033" s="8">
        <f>IF($R$5054=0,0,R5033/$R$5054)</f>
        <v/>
      </c>
      <c r="T5033" s="8" t="n">
        <v>-0.003842128512683507</v>
      </c>
      <c r="U5033" s="8" t="n">
        <v>-0.01147635462888463</v>
      </c>
      <c r="V5033" s="6" t="inlineStr">
        <is>
          <t>not selected</t>
        </is>
      </c>
    </row>
    <row r="5034">
      <c r="A5034" s="6" t="inlineStr">
        <is>
          <t>DJ30</t>
        </is>
      </c>
      <c r="B5034" s="6" t="inlineStr">
        <is>
          <t>2026-02-13</t>
        </is>
      </c>
      <c r="C5034" s="6" t="inlineStr">
        <is>
          <t>DIA</t>
        </is>
      </c>
      <c r="D5034" s="6" t="inlineStr">
        <is>
          <t>GS</t>
        </is>
      </c>
      <c r="E5034" s="6" t="inlineStr">
        <is>
          <t>GS</t>
        </is>
      </c>
      <c r="F5034" s="6" t="inlineStr">
        <is>
          <t>-</t>
        </is>
      </c>
      <c r="G5034" s="7" t="n">
        <v>896.4506225585938</v>
      </c>
      <c r="H5034" s="6">
        <f>P5003</f>
        <v/>
      </c>
      <c r="I5034" s="9">
        <f>Q5003</f>
        <v/>
      </c>
      <c r="J5034" s="7">
        <f>I5034*G5034</f>
        <v/>
      </c>
      <c r="K5034" s="8">
        <f>IF($J$5054=0,0,J5034/$J$5054)</f>
        <v/>
      </c>
      <c r="L5034" s="6" t="inlineStr">
        <is>
          <t>SELECTED</t>
        </is>
      </c>
      <c r="M5034" s="8" t="n">
        <v>0.2</v>
      </c>
      <c r="N5034" s="7">
        <f>M5034*$J$5054-J5034</f>
        <v/>
      </c>
      <c r="O5034" s="9">
        <f>IF(G5034=0,0,N5034/G5034)</f>
        <v/>
      </c>
      <c r="P5034" s="6">
        <f>IF(M5034&gt;0,D5034,"")</f>
        <v/>
      </c>
      <c r="Q5034" s="9">
        <f>I5034+O5034</f>
        <v/>
      </c>
      <c r="R5034" s="7">
        <f>Q5034*G5034</f>
        <v/>
      </c>
      <c r="S5034" s="8">
        <f>IF($R$5054=0,0,R5034/$R$5054)</f>
        <v/>
      </c>
      <c r="T5034" s="8" t="n">
        <v>-0.003842128512683507</v>
      </c>
      <c r="U5034" s="8" t="n">
        <v>-0.01147635462888463</v>
      </c>
      <c r="V5034" s="6" t="inlineStr">
        <is>
          <t>remained in weekly selection</t>
        </is>
      </c>
    </row>
    <row r="5035">
      <c r="A5035" s="6" t="inlineStr">
        <is>
          <t>DJ30</t>
        </is>
      </c>
      <c r="B5035" s="6" t="inlineStr">
        <is>
          <t>2026-02-13</t>
        </is>
      </c>
      <c r="C5035" s="6" t="inlineStr">
        <is>
          <t>DIA</t>
        </is>
      </c>
      <c r="D5035" s="6" t="inlineStr">
        <is>
          <t>HD</t>
        </is>
      </c>
      <c r="E5035" s="6" t="inlineStr">
        <is>
          <t>HD</t>
        </is>
      </c>
      <c r="F5035" s="6" t="inlineStr">
        <is>
          <t>-</t>
        </is>
      </c>
      <c r="G5035" s="7" t="n">
        <v>385.5609741210938</v>
      </c>
      <c r="H5035" s="6">
        <f>P5004</f>
        <v/>
      </c>
      <c r="I5035" s="9">
        <f>Q5004</f>
        <v/>
      </c>
      <c r="J5035" s="7">
        <f>I5035*G5035</f>
        <v/>
      </c>
      <c r="K5035" s="8">
        <f>IF($J$5054=0,0,J5035/$J$5054)</f>
        <v/>
      </c>
      <c r="L5035" s="6" t="inlineStr">
        <is>
          <t>REJECTED</t>
        </is>
      </c>
      <c r="M5035" s="8" t="n">
        <v>0</v>
      </c>
      <c r="N5035" s="7">
        <f>M5035*$J$5054-J5035</f>
        <v/>
      </c>
      <c r="O5035" s="9">
        <f>IF(G5035=0,0,N5035/G5035)</f>
        <v/>
      </c>
      <c r="P5035" s="6">
        <f>IF(M5035&gt;0,D5035,"")</f>
        <v/>
      </c>
      <c r="Q5035" s="9">
        <f>I5035+O5035</f>
        <v/>
      </c>
      <c r="R5035" s="7">
        <f>Q5035*G5035</f>
        <v/>
      </c>
      <c r="S5035" s="8">
        <f>IF($R$5054=0,0,R5035/$R$5054)</f>
        <v/>
      </c>
      <c r="T5035" s="8" t="n">
        <v>-0.003842128512683507</v>
      </c>
      <c r="U5035" s="8" t="n">
        <v>-0.01147635462888463</v>
      </c>
      <c r="V5035" s="6" t="inlineStr">
        <is>
          <t>not selected</t>
        </is>
      </c>
    </row>
    <row r="5036">
      <c r="A5036" s="6" t="inlineStr">
        <is>
          <t>DJ30</t>
        </is>
      </c>
      <c r="B5036" s="6" t="inlineStr">
        <is>
          <t>2026-02-13</t>
        </is>
      </c>
      <c r="C5036" s="6" t="inlineStr">
        <is>
          <t>DIA</t>
        </is>
      </c>
      <c r="D5036" s="6" t="inlineStr">
        <is>
          <t>HON</t>
        </is>
      </c>
      <c r="E5036" s="6" t="inlineStr">
        <is>
          <t>HON</t>
        </is>
      </c>
      <c r="F5036" s="6" t="inlineStr">
        <is>
          <t>-</t>
        </is>
      </c>
      <c r="G5036" s="7" t="n">
        <v>238.874740600586</v>
      </c>
      <c r="H5036" s="6">
        <f>P5005</f>
        <v/>
      </c>
      <c r="I5036" s="9">
        <f>Q5005</f>
        <v/>
      </c>
      <c r="J5036" s="7">
        <f>I5036*G5036</f>
        <v/>
      </c>
      <c r="K5036" s="8">
        <f>IF($J$5054=0,0,J5036/$J$5054)</f>
        <v/>
      </c>
      <c r="L5036" s="6" t="inlineStr">
        <is>
          <t>REJECTED</t>
        </is>
      </c>
      <c r="M5036" s="8" t="n">
        <v>0</v>
      </c>
      <c r="N5036" s="7">
        <f>M5036*$J$5054-J5036</f>
        <v/>
      </c>
      <c r="O5036" s="9">
        <f>IF(G5036=0,0,N5036/G5036)</f>
        <v/>
      </c>
      <c r="P5036" s="6">
        <f>IF(M5036&gt;0,D5036,"")</f>
        <v/>
      </c>
      <c r="Q5036" s="9">
        <f>I5036+O5036</f>
        <v/>
      </c>
      <c r="R5036" s="7">
        <f>Q5036*G5036</f>
        <v/>
      </c>
      <c r="S5036" s="8">
        <f>IF($R$5054=0,0,R5036/$R$5054)</f>
        <v/>
      </c>
      <c r="T5036" s="8" t="n">
        <v>-0.003842128512683507</v>
      </c>
      <c r="U5036" s="8" t="n">
        <v>-0.01147635462888463</v>
      </c>
      <c r="V5036" s="6" t="inlineStr">
        <is>
          <t>not selected</t>
        </is>
      </c>
    </row>
    <row r="5037">
      <c r="A5037" s="6" t="inlineStr">
        <is>
          <t>DJ30</t>
        </is>
      </c>
      <c r="B5037" s="6" t="inlineStr">
        <is>
          <t>2026-02-13</t>
        </is>
      </c>
      <c r="C5037" s="6" t="inlineStr">
        <is>
          <t>DIA</t>
        </is>
      </c>
      <c r="D5037" s="6" t="inlineStr">
        <is>
          <t>IBM</t>
        </is>
      </c>
      <c r="E5037" s="6" t="inlineStr">
        <is>
          <t>IBM</t>
        </is>
      </c>
      <c r="F5037" s="6" t="inlineStr">
        <is>
          <t>-</t>
        </is>
      </c>
      <c r="G5037" s="7" t="n">
        <v>260.4630126953125</v>
      </c>
      <c r="H5037" s="6">
        <f>P5006</f>
        <v/>
      </c>
      <c r="I5037" s="9">
        <f>Q5006</f>
        <v/>
      </c>
      <c r="J5037" s="7">
        <f>I5037*G5037</f>
        <v/>
      </c>
      <c r="K5037" s="8">
        <f>IF($J$5054=0,0,J5037/$J$5054)</f>
        <v/>
      </c>
      <c r="L5037" s="6" t="inlineStr">
        <is>
          <t>WATCHLIST</t>
        </is>
      </c>
      <c r="M5037" s="8" t="n">
        <v>0</v>
      </c>
      <c r="N5037" s="7">
        <f>M5037*$J$5054-J5037</f>
        <v/>
      </c>
      <c r="O5037" s="9">
        <f>IF(G5037=0,0,N5037/G5037)</f>
        <v/>
      </c>
      <c r="P5037" s="6">
        <f>IF(M5037&gt;0,D5037,"")</f>
        <v/>
      </c>
      <c r="Q5037" s="9">
        <f>I5037+O5037</f>
        <v/>
      </c>
      <c r="R5037" s="7">
        <f>Q5037*G5037</f>
        <v/>
      </c>
      <c r="S5037" s="8">
        <f>IF($R$5054=0,0,R5037/$R$5054)</f>
        <v/>
      </c>
      <c r="T5037" s="8" t="n">
        <v>-0.003842128512683507</v>
      </c>
      <c r="U5037" s="8" t="n">
        <v>-0.01147635462888463</v>
      </c>
      <c r="V5037" s="6" t="inlineStr">
        <is>
          <t>not selected</t>
        </is>
      </c>
    </row>
    <row r="5038">
      <c r="A5038" s="6" t="inlineStr">
        <is>
          <t>DJ30</t>
        </is>
      </c>
      <c r="B5038" s="6" t="inlineStr">
        <is>
          <t>2026-02-13</t>
        </is>
      </c>
      <c r="C5038" s="6" t="inlineStr">
        <is>
          <t>DIA</t>
        </is>
      </c>
      <c r="D5038" s="6" t="inlineStr">
        <is>
          <t>JNJ</t>
        </is>
      </c>
      <c r="E5038" s="6" t="inlineStr">
        <is>
          <t>JNJ</t>
        </is>
      </c>
      <c r="F5038" s="6" t="inlineStr">
        <is>
          <t>-</t>
        </is>
      </c>
      <c r="G5038" s="7" t="n">
        <v>240.7779083251953</v>
      </c>
      <c r="H5038" s="6">
        <f>P5007</f>
        <v/>
      </c>
      <c r="I5038" s="9">
        <f>Q5007</f>
        <v/>
      </c>
      <c r="J5038" s="7">
        <f>I5038*G5038</f>
        <v/>
      </c>
      <c r="K5038" s="8">
        <f>IF($J$5054=0,0,J5038/$J$5054)</f>
        <v/>
      </c>
      <c r="L5038" s="6" t="inlineStr">
        <is>
          <t>SELECTED</t>
        </is>
      </c>
      <c r="M5038" s="8" t="n">
        <v>0.2</v>
      </c>
      <c r="N5038" s="7">
        <f>M5038*$J$5054-J5038</f>
        <v/>
      </c>
      <c r="O5038" s="9">
        <f>IF(G5038=0,0,N5038/G5038)</f>
        <v/>
      </c>
      <c r="P5038" s="6">
        <f>IF(M5038&gt;0,D5038,"")</f>
        <v/>
      </c>
      <c r="Q5038" s="9">
        <f>I5038+O5038</f>
        <v/>
      </c>
      <c r="R5038" s="7">
        <f>Q5038*G5038</f>
        <v/>
      </c>
      <c r="S5038" s="8">
        <f>IF($R$5054=0,0,R5038/$R$5054)</f>
        <v/>
      </c>
      <c r="T5038" s="8" t="n">
        <v>-0.003842128512683507</v>
      </c>
      <c r="U5038" s="8" t="n">
        <v>-0.01147635462888463</v>
      </c>
      <c r="V5038" s="6" t="inlineStr">
        <is>
          <t>remained in weekly selection</t>
        </is>
      </c>
    </row>
    <row r="5039">
      <c r="A5039" s="6" t="inlineStr">
        <is>
          <t>DJ30</t>
        </is>
      </c>
      <c r="B5039" s="6" t="inlineStr">
        <is>
          <t>2026-02-13</t>
        </is>
      </c>
      <c r="C5039" s="6" t="inlineStr">
        <is>
          <t>DIA</t>
        </is>
      </c>
      <c r="D5039" s="6" t="inlineStr">
        <is>
          <t>JPM</t>
        </is>
      </c>
      <c r="E5039" s="6" t="inlineStr">
        <is>
          <t>JPM</t>
        </is>
      </c>
      <c r="F5039" s="6" t="inlineStr">
        <is>
          <t>-</t>
        </is>
      </c>
      <c r="G5039" s="7" t="n">
        <v>301.0094909667969</v>
      </c>
      <c r="H5039" s="6">
        <f>P5008</f>
        <v/>
      </c>
      <c r="I5039" s="9">
        <f>Q5008</f>
        <v/>
      </c>
      <c r="J5039" s="7">
        <f>I5039*G5039</f>
        <v/>
      </c>
      <c r="K5039" s="8">
        <f>IF($J$5054=0,0,J5039/$J$5054)</f>
        <v/>
      </c>
      <c r="L5039" s="6" t="inlineStr">
        <is>
          <t>WATCHLIST</t>
        </is>
      </c>
      <c r="M5039" s="8" t="n">
        <v>0</v>
      </c>
      <c r="N5039" s="7">
        <f>M5039*$J$5054-J5039</f>
        <v/>
      </c>
      <c r="O5039" s="9">
        <f>IF(G5039=0,0,N5039/G5039)</f>
        <v/>
      </c>
      <c r="P5039" s="6">
        <f>IF(M5039&gt;0,D5039,"")</f>
        <v/>
      </c>
      <c r="Q5039" s="9">
        <f>I5039+O5039</f>
        <v/>
      </c>
      <c r="R5039" s="7">
        <f>Q5039*G5039</f>
        <v/>
      </c>
      <c r="S5039" s="8">
        <f>IF($R$5054=0,0,R5039/$R$5054)</f>
        <v/>
      </c>
      <c r="T5039" s="8" t="n">
        <v>-0.003842128512683507</v>
      </c>
      <c r="U5039" s="8" t="n">
        <v>-0.01147635462888463</v>
      </c>
      <c r="V5039" s="6" t="inlineStr">
        <is>
          <t>not selected</t>
        </is>
      </c>
    </row>
    <row r="5040">
      <c r="A5040" s="6" t="inlineStr">
        <is>
          <t>DJ30</t>
        </is>
      </c>
      <c r="B5040" s="6" t="inlineStr">
        <is>
          <t>2026-02-13</t>
        </is>
      </c>
      <c r="C5040" s="6" t="inlineStr">
        <is>
          <t>DIA</t>
        </is>
      </c>
      <c r="D5040" s="6" t="inlineStr">
        <is>
          <t>KO</t>
        </is>
      </c>
      <c r="E5040" s="6" t="inlineStr">
        <is>
          <t>KO</t>
        </is>
      </c>
      <c r="F5040" s="6" t="inlineStr">
        <is>
          <t>-</t>
        </is>
      </c>
      <c r="G5040" s="7" t="n">
        <v>77.64141845703125</v>
      </c>
      <c r="H5040" s="6">
        <f>P5009</f>
        <v/>
      </c>
      <c r="I5040" s="9">
        <f>Q5009</f>
        <v/>
      </c>
      <c r="J5040" s="7">
        <f>I5040*G5040</f>
        <v/>
      </c>
      <c r="K5040" s="8">
        <f>IF($J$5054=0,0,J5040/$J$5054)</f>
        <v/>
      </c>
      <c r="L5040" s="6" t="inlineStr">
        <is>
          <t>REJECTED</t>
        </is>
      </c>
      <c r="M5040" s="8" t="n">
        <v>0</v>
      </c>
      <c r="N5040" s="7">
        <f>M5040*$J$5054-J5040</f>
        <v/>
      </c>
      <c r="O5040" s="9">
        <f>IF(G5040=0,0,N5040/G5040)</f>
        <v/>
      </c>
      <c r="P5040" s="6">
        <f>IF(M5040&gt;0,D5040,"")</f>
        <v/>
      </c>
      <c r="Q5040" s="9">
        <f>I5040+O5040</f>
        <v/>
      </c>
      <c r="R5040" s="7">
        <f>Q5040*G5040</f>
        <v/>
      </c>
      <c r="S5040" s="8">
        <f>IF($R$5054=0,0,R5040/$R$5054)</f>
        <v/>
      </c>
      <c r="T5040" s="8" t="n">
        <v>-0.003842128512683507</v>
      </c>
      <c r="U5040" s="8" t="n">
        <v>-0.01147635462888463</v>
      </c>
      <c r="V5040" s="6" t="inlineStr">
        <is>
          <t>not selected</t>
        </is>
      </c>
    </row>
    <row r="5041">
      <c r="A5041" s="6" t="inlineStr">
        <is>
          <t>DJ30</t>
        </is>
      </c>
      <c r="B5041" s="6" t="inlineStr">
        <is>
          <t>2026-02-13</t>
        </is>
      </c>
      <c r="C5041" s="6" t="inlineStr">
        <is>
          <t>DIA</t>
        </is>
      </c>
      <c r="D5041" s="6" t="inlineStr">
        <is>
          <t>MCD</t>
        </is>
      </c>
      <c r="E5041" s="6" t="inlineStr">
        <is>
          <t>MCD</t>
        </is>
      </c>
      <c r="F5041" s="6" t="inlineStr">
        <is>
          <t>-</t>
        </is>
      </c>
      <c r="G5041" s="7" t="n">
        <v>323.5657653808594</v>
      </c>
      <c r="H5041" s="6">
        <f>P5010</f>
        <v/>
      </c>
      <c r="I5041" s="9">
        <f>Q5010</f>
        <v/>
      </c>
      <c r="J5041" s="7">
        <f>I5041*G5041</f>
        <v/>
      </c>
      <c r="K5041" s="8">
        <f>IF($J$5054=0,0,J5041/$J$5054)</f>
        <v/>
      </c>
      <c r="L5041" s="6" t="inlineStr">
        <is>
          <t>REJECTED</t>
        </is>
      </c>
      <c r="M5041" s="8" t="n">
        <v>0</v>
      </c>
      <c r="N5041" s="7">
        <f>M5041*$J$5054-J5041</f>
        <v/>
      </c>
      <c r="O5041" s="9">
        <f>IF(G5041=0,0,N5041/G5041)</f>
        <v/>
      </c>
      <c r="P5041" s="6">
        <f>IF(M5041&gt;0,D5041,"")</f>
        <v/>
      </c>
      <c r="Q5041" s="9">
        <f>I5041+O5041</f>
        <v/>
      </c>
      <c r="R5041" s="7">
        <f>Q5041*G5041</f>
        <v/>
      </c>
      <c r="S5041" s="8">
        <f>IF($R$5054=0,0,R5041/$R$5054)</f>
        <v/>
      </c>
      <c r="T5041" s="8" t="n">
        <v>-0.003842128512683507</v>
      </c>
      <c r="U5041" s="8" t="n">
        <v>-0.01147635462888463</v>
      </c>
      <c r="V5041" s="6" t="inlineStr">
        <is>
          <t>not selected</t>
        </is>
      </c>
    </row>
    <row r="5042">
      <c r="A5042" s="6" t="inlineStr">
        <is>
          <t>DJ30</t>
        </is>
      </c>
      <c r="B5042" s="6" t="inlineStr">
        <is>
          <t>2026-02-13</t>
        </is>
      </c>
      <c r="C5042" s="6" t="inlineStr">
        <is>
          <t>DIA</t>
        </is>
      </c>
      <c r="D5042" s="6" t="inlineStr">
        <is>
          <t>MMM</t>
        </is>
      </c>
      <c r="E5042" s="6" t="inlineStr">
        <is>
          <t>MMM</t>
        </is>
      </c>
      <c r="F5042" s="6" t="inlineStr">
        <is>
          <t>-</t>
        </is>
      </c>
      <c r="G5042" s="7" t="n">
        <v>170.9359741210938</v>
      </c>
      <c r="H5042" s="6">
        <f>P5011</f>
        <v/>
      </c>
      <c r="I5042" s="9">
        <f>Q5011</f>
        <v/>
      </c>
      <c r="J5042" s="7">
        <f>I5042*G5042</f>
        <v/>
      </c>
      <c r="K5042" s="8">
        <f>IF($J$5054=0,0,J5042/$J$5054)</f>
        <v/>
      </c>
      <c r="L5042" s="6" t="inlineStr">
        <is>
          <t>WATCHLIST</t>
        </is>
      </c>
      <c r="M5042" s="8" t="n">
        <v>0</v>
      </c>
      <c r="N5042" s="7">
        <f>M5042*$J$5054-J5042</f>
        <v/>
      </c>
      <c r="O5042" s="9">
        <f>IF(G5042=0,0,N5042/G5042)</f>
        <v/>
      </c>
      <c r="P5042" s="6">
        <f>IF(M5042&gt;0,D5042,"")</f>
        <v/>
      </c>
      <c r="Q5042" s="9">
        <f>I5042+O5042</f>
        <v/>
      </c>
      <c r="R5042" s="7">
        <f>Q5042*G5042</f>
        <v/>
      </c>
      <c r="S5042" s="8">
        <f>IF($R$5054=0,0,R5042/$R$5054)</f>
        <v/>
      </c>
      <c r="T5042" s="8" t="n">
        <v>-0.003842128512683507</v>
      </c>
      <c r="U5042" s="8" t="n">
        <v>-0.01147635462888463</v>
      </c>
      <c r="V5042" s="6" t="inlineStr">
        <is>
          <t>not selected</t>
        </is>
      </c>
    </row>
    <row r="5043">
      <c r="A5043" s="6" t="inlineStr">
        <is>
          <t>DJ30</t>
        </is>
      </c>
      <c r="B5043" s="6" t="inlineStr">
        <is>
          <t>2026-02-13</t>
        </is>
      </c>
      <c r="C5043" s="6" t="inlineStr">
        <is>
          <t>DIA</t>
        </is>
      </c>
      <c r="D5043" s="6" t="inlineStr">
        <is>
          <t>MRK</t>
        </is>
      </c>
      <c r="E5043" s="6" t="inlineStr">
        <is>
          <t>MRK</t>
        </is>
      </c>
      <c r="F5043" s="6" t="inlineStr">
        <is>
          <t>-</t>
        </is>
      </c>
      <c r="G5043" s="7" t="n">
        <v>119.6568908691406</v>
      </c>
      <c r="H5043" s="6">
        <f>P5012</f>
        <v/>
      </c>
      <c r="I5043" s="9">
        <f>Q5012</f>
        <v/>
      </c>
      <c r="J5043" s="7">
        <f>I5043*G5043</f>
        <v/>
      </c>
      <c r="K5043" s="8">
        <f>IF($J$5054=0,0,J5043/$J$5054)</f>
        <v/>
      </c>
      <c r="L5043" s="6" t="inlineStr">
        <is>
          <t>WATCHLIST</t>
        </is>
      </c>
      <c r="M5043" s="8" t="n">
        <v>0</v>
      </c>
      <c r="N5043" s="7">
        <f>M5043*$J$5054-J5043</f>
        <v/>
      </c>
      <c r="O5043" s="9">
        <f>IF(G5043=0,0,N5043/G5043)</f>
        <v/>
      </c>
      <c r="P5043" s="6">
        <f>IF(M5043&gt;0,D5043,"")</f>
        <v/>
      </c>
      <c r="Q5043" s="9">
        <f>I5043+O5043</f>
        <v/>
      </c>
      <c r="R5043" s="7">
        <f>Q5043*G5043</f>
        <v/>
      </c>
      <c r="S5043" s="8">
        <f>IF($R$5054=0,0,R5043/$R$5054)</f>
        <v/>
      </c>
      <c r="T5043" s="8" t="n">
        <v>-0.003842128512683507</v>
      </c>
      <c r="U5043" s="8" t="n">
        <v>-0.01147635462888463</v>
      </c>
      <c r="V5043" s="6" t="inlineStr">
        <is>
          <t>not selected</t>
        </is>
      </c>
    </row>
    <row r="5044">
      <c r="A5044" s="6" t="inlineStr">
        <is>
          <t>DJ30</t>
        </is>
      </c>
      <c r="B5044" s="6" t="inlineStr">
        <is>
          <t>2026-02-13</t>
        </is>
      </c>
      <c r="C5044" s="6" t="inlineStr">
        <is>
          <t>DIA</t>
        </is>
      </c>
      <c r="D5044" s="6" t="inlineStr">
        <is>
          <t>MSFT</t>
        </is>
      </c>
      <c r="E5044" s="6" t="inlineStr">
        <is>
          <t>MSFT</t>
        </is>
      </c>
      <c r="F5044" s="6" t="inlineStr">
        <is>
          <t>-</t>
        </is>
      </c>
      <c r="G5044" s="7" t="n">
        <v>399.5407409667969</v>
      </c>
      <c r="H5044" s="6">
        <f>P5013</f>
        <v/>
      </c>
      <c r="I5044" s="9">
        <f>Q5013</f>
        <v/>
      </c>
      <c r="J5044" s="7">
        <f>I5044*G5044</f>
        <v/>
      </c>
      <c r="K5044" s="8">
        <f>IF($J$5054=0,0,J5044/$J$5054)</f>
        <v/>
      </c>
      <c r="L5044" s="6" t="inlineStr">
        <is>
          <t>REJECTED</t>
        </is>
      </c>
      <c r="M5044" s="8" t="n">
        <v>0</v>
      </c>
      <c r="N5044" s="7">
        <f>M5044*$J$5054-J5044</f>
        <v/>
      </c>
      <c r="O5044" s="9">
        <f>IF(G5044=0,0,N5044/G5044)</f>
        <v/>
      </c>
      <c r="P5044" s="6">
        <f>IF(M5044&gt;0,D5044,"")</f>
        <v/>
      </c>
      <c r="Q5044" s="9">
        <f>I5044+O5044</f>
        <v/>
      </c>
      <c r="R5044" s="7">
        <f>Q5044*G5044</f>
        <v/>
      </c>
      <c r="S5044" s="8">
        <f>IF($R$5054=0,0,R5044/$R$5054)</f>
        <v/>
      </c>
      <c r="T5044" s="8" t="n">
        <v>-0.003842128512683507</v>
      </c>
      <c r="U5044" s="8" t="n">
        <v>-0.01147635462888463</v>
      </c>
      <c r="V5044" s="6" t="inlineStr">
        <is>
          <t>not selected</t>
        </is>
      </c>
    </row>
    <row r="5045">
      <c r="A5045" s="6" t="inlineStr">
        <is>
          <t>DJ30</t>
        </is>
      </c>
      <c r="B5045" s="6" t="inlineStr">
        <is>
          <t>2026-02-13</t>
        </is>
      </c>
      <c r="C5045" s="6" t="inlineStr">
        <is>
          <t>DIA</t>
        </is>
      </c>
      <c r="D5045" s="6" t="inlineStr">
        <is>
          <t>NKE</t>
        </is>
      </c>
      <c r="E5045" s="6" t="inlineStr">
        <is>
          <t>NKE</t>
        </is>
      </c>
      <c r="F5045" s="6" t="inlineStr">
        <is>
          <t>-</t>
        </is>
      </c>
      <c r="G5045" s="7" t="n">
        <v>62.15755081176758</v>
      </c>
      <c r="H5045" s="6">
        <f>P5014</f>
        <v/>
      </c>
      <c r="I5045" s="9">
        <f>Q5014</f>
        <v/>
      </c>
      <c r="J5045" s="7">
        <f>I5045*G5045</f>
        <v/>
      </c>
      <c r="K5045" s="8">
        <f>IF($J$5054=0,0,J5045/$J$5054)</f>
        <v/>
      </c>
      <c r="L5045" s="6" t="inlineStr">
        <is>
          <t>REJECTED</t>
        </is>
      </c>
      <c r="M5045" s="8" t="n">
        <v>0</v>
      </c>
      <c r="N5045" s="7">
        <f>M5045*$J$5054-J5045</f>
        <v/>
      </c>
      <c r="O5045" s="9">
        <f>IF(G5045=0,0,N5045/G5045)</f>
        <v/>
      </c>
      <c r="P5045" s="6">
        <f>IF(M5045&gt;0,D5045,"")</f>
        <v/>
      </c>
      <c r="Q5045" s="9">
        <f>I5045+O5045</f>
        <v/>
      </c>
      <c r="R5045" s="7">
        <f>Q5045*G5045</f>
        <v/>
      </c>
      <c r="S5045" s="8">
        <f>IF($R$5054=0,0,R5045/$R$5054)</f>
        <v/>
      </c>
      <c r="T5045" s="8" t="n">
        <v>-0.003842128512683507</v>
      </c>
      <c r="U5045" s="8" t="n">
        <v>-0.01147635462888463</v>
      </c>
      <c r="V5045" s="6" t="inlineStr">
        <is>
          <t>not selected</t>
        </is>
      </c>
    </row>
    <row r="5046">
      <c r="A5046" s="6" t="inlineStr">
        <is>
          <t>DJ30</t>
        </is>
      </c>
      <c r="B5046" s="6" t="inlineStr">
        <is>
          <t>2026-02-13</t>
        </is>
      </c>
      <c r="C5046" s="6" t="inlineStr">
        <is>
          <t>DIA</t>
        </is>
      </c>
      <c r="D5046" s="6" t="inlineStr">
        <is>
          <t>NVDA</t>
        </is>
      </c>
      <c r="E5046" s="6" t="inlineStr">
        <is>
          <t>NVDA</t>
        </is>
      </c>
      <c r="F5046" s="6" t="inlineStr">
        <is>
          <t>-</t>
        </is>
      </c>
      <c r="G5046" s="7" t="n">
        <v>182.5872955322266</v>
      </c>
      <c r="H5046" s="6">
        <f>P5015</f>
        <v/>
      </c>
      <c r="I5046" s="9">
        <f>Q5015</f>
        <v/>
      </c>
      <c r="J5046" s="7">
        <f>I5046*G5046</f>
        <v/>
      </c>
      <c r="K5046" s="8">
        <f>IF($J$5054=0,0,J5046/$J$5054)</f>
        <v/>
      </c>
      <c r="L5046" s="6" t="inlineStr">
        <is>
          <t>SELECTED</t>
        </is>
      </c>
      <c r="M5046" s="8" t="n">
        <v>0.2</v>
      </c>
      <c r="N5046" s="7">
        <f>M5046*$J$5054-J5046</f>
        <v/>
      </c>
      <c r="O5046" s="9">
        <f>IF(G5046=0,0,N5046/G5046)</f>
        <v/>
      </c>
      <c r="P5046" s="6">
        <f>IF(M5046&gt;0,D5046,"")</f>
        <v/>
      </c>
      <c r="Q5046" s="9">
        <f>I5046+O5046</f>
        <v/>
      </c>
      <c r="R5046" s="7">
        <f>Q5046*G5046</f>
        <v/>
      </c>
      <c r="S5046" s="8">
        <f>IF($R$5054=0,0,R5046/$R$5054)</f>
        <v/>
      </c>
      <c r="T5046" s="8" t="n">
        <v>-0.003842128512683507</v>
      </c>
      <c r="U5046" s="8" t="n">
        <v>-0.01147635462888463</v>
      </c>
      <c r="V5046" s="6" t="inlineStr">
        <is>
          <t>remained in weekly selection</t>
        </is>
      </c>
    </row>
    <row r="5047">
      <c r="A5047" s="6" t="inlineStr">
        <is>
          <t>DJ30</t>
        </is>
      </c>
      <c r="B5047" s="6" t="inlineStr">
        <is>
          <t>2026-02-13</t>
        </is>
      </c>
      <c r="C5047" s="6" t="inlineStr">
        <is>
          <t>DIA</t>
        </is>
      </c>
      <c r="D5047" s="6" t="inlineStr">
        <is>
          <t>PG</t>
        </is>
      </c>
      <c r="E5047" s="6" t="inlineStr">
        <is>
          <t>PG</t>
        </is>
      </c>
      <c r="F5047" s="6" t="inlineStr">
        <is>
          <t>-</t>
        </is>
      </c>
      <c r="G5047" s="7" t="n">
        <v>158.8736877441406</v>
      </c>
      <c r="H5047" s="6">
        <f>P5016</f>
        <v/>
      </c>
      <c r="I5047" s="9">
        <f>Q5016</f>
        <v/>
      </c>
      <c r="J5047" s="7">
        <f>I5047*G5047</f>
        <v/>
      </c>
      <c r="K5047" s="8">
        <f>IF($J$5054=0,0,J5047/$J$5054)</f>
        <v/>
      </c>
      <c r="L5047" s="6" t="inlineStr">
        <is>
          <t>REJECTED</t>
        </is>
      </c>
      <c r="M5047" s="8" t="n">
        <v>0</v>
      </c>
      <c r="N5047" s="7">
        <f>M5047*$J$5054-J5047</f>
        <v/>
      </c>
      <c r="O5047" s="9">
        <f>IF(G5047=0,0,N5047/G5047)</f>
        <v/>
      </c>
      <c r="P5047" s="6">
        <f>IF(M5047&gt;0,D5047,"")</f>
        <v/>
      </c>
      <c r="Q5047" s="9">
        <f>I5047+O5047</f>
        <v/>
      </c>
      <c r="R5047" s="7">
        <f>Q5047*G5047</f>
        <v/>
      </c>
      <c r="S5047" s="8">
        <f>IF($R$5054=0,0,R5047/$R$5054)</f>
        <v/>
      </c>
      <c r="T5047" s="8" t="n">
        <v>-0.003842128512683507</v>
      </c>
      <c r="U5047" s="8" t="n">
        <v>-0.01147635462888463</v>
      </c>
      <c r="V5047" s="6" t="inlineStr">
        <is>
          <t>not selected</t>
        </is>
      </c>
    </row>
    <row r="5048">
      <c r="A5048" s="6" t="inlineStr">
        <is>
          <t>DJ30</t>
        </is>
      </c>
      <c r="B5048" s="6" t="inlineStr">
        <is>
          <t>2026-02-13</t>
        </is>
      </c>
      <c r="C5048" s="6" t="inlineStr">
        <is>
          <t>DIA</t>
        </is>
      </c>
      <c r="D5048" s="6" t="inlineStr">
        <is>
          <t>SHW</t>
        </is>
      </c>
      <c r="E5048" s="6" t="inlineStr">
        <is>
          <t>SHW</t>
        </is>
      </c>
      <c r="F5048" s="6" t="inlineStr">
        <is>
          <t>-</t>
        </is>
      </c>
      <c r="G5048" s="7" t="n">
        <v>367.1242065429688</v>
      </c>
      <c r="H5048" s="6">
        <f>P5017</f>
        <v/>
      </c>
      <c r="I5048" s="9">
        <f>Q5017</f>
        <v/>
      </c>
      <c r="J5048" s="7">
        <f>I5048*G5048</f>
        <v/>
      </c>
      <c r="K5048" s="8">
        <f>IF($J$5054=0,0,J5048/$J$5054)</f>
        <v/>
      </c>
      <c r="L5048" s="6" t="inlineStr">
        <is>
          <t>REJECTED</t>
        </is>
      </c>
      <c r="M5048" s="8" t="n">
        <v>0</v>
      </c>
      <c r="N5048" s="7">
        <f>M5048*$J$5054-J5048</f>
        <v/>
      </c>
      <c r="O5048" s="9">
        <f>IF(G5048=0,0,N5048/G5048)</f>
        <v/>
      </c>
      <c r="P5048" s="6">
        <f>IF(M5048&gt;0,D5048,"")</f>
        <v/>
      </c>
      <c r="Q5048" s="9">
        <f>I5048+O5048</f>
        <v/>
      </c>
      <c r="R5048" s="7">
        <f>Q5048*G5048</f>
        <v/>
      </c>
      <c r="S5048" s="8">
        <f>IF($R$5054=0,0,R5048/$R$5054)</f>
        <v/>
      </c>
      <c r="T5048" s="8" t="n">
        <v>-0.003842128512683507</v>
      </c>
      <c r="U5048" s="8" t="n">
        <v>-0.01147635462888463</v>
      </c>
      <c r="V5048" s="6" t="inlineStr">
        <is>
          <t>not selected</t>
        </is>
      </c>
    </row>
    <row r="5049">
      <c r="A5049" s="6" t="inlineStr">
        <is>
          <t>DJ30</t>
        </is>
      </c>
      <c r="B5049" s="6" t="inlineStr">
        <is>
          <t>2026-02-13</t>
        </is>
      </c>
      <c r="C5049" s="6" t="inlineStr">
        <is>
          <t>DIA</t>
        </is>
      </c>
      <c r="D5049" s="6" t="inlineStr">
        <is>
          <t>TRV</t>
        </is>
      </c>
      <c r="E5049" s="6" t="inlineStr">
        <is>
          <t>TRV</t>
        </is>
      </c>
      <c r="F5049" s="6" t="inlineStr">
        <is>
          <t>-</t>
        </is>
      </c>
      <c r="G5049" s="7" t="n">
        <v>291.9221801757812</v>
      </c>
      <c r="H5049" s="6">
        <f>P5018</f>
        <v/>
      </c>
      <c r="I5049" s="9">
        <f>Q5018</f>
        <v/>
      </c>
      <c r="J5049" s="7">
        <f>I5049*G5049</f>
        <v/>
      </c>
      <c r="K5049" s="8">
        <f>IF($J$5054=0,0,J5049/$J$5054)</f>
        <v/>
      </c>
      <c r="L5049" s="6" t="inlineStr">
        <is>
          <t>WATCHLIST</t>
        </is>
      </c>
      <c r="M5049" s="8" t="n">
        <v>0</v>
      </c>
      <c r="N5049" s="7">
        <f>M5049*$J$5054-J5049</f>
        <v/>
      </c>
      <c r="O5049" s="9">
        <f>IF(G5049=0,0,N5049/G5049)</f>
        <v/>
      </c>
      <c r="P5049" s="6">
        <f>IF(M5049&gt;0,D5049,"")</f>
        <v/>
      </c>
      <c r="Q5049" s="9">
        <f>I5049+O5049</f>
        <v/>
      </c>
      <c r="R5049" s="7">
        <f>Q5049*G5049</f>
        <v/>
      </c>
      <c r="S5049" s="8">
        <f>IF($R$5054=0,0,R5049/$R$5054)</f>
        <v/>
      </c>
      <c r="T5049" s="8" t="n">
        <v>-0.003842128512683507</v>
      </c>
      <c r="U5049" s="8" t="n">
        <v>-0.01147635462888463</v>
      </c>
      <c r="V5049" s="6" t="inlineStr">
        <is>
          <t>not selected</t>
        </is>
      </c>
    </row>
    <row r="5050">
      <c r="A5050" s="6" t="inlineStr">
        <is>
          <t>DJ30</t>
        </is>
      </c>
      <c r="B5050" s="6" t="inlineStr">
        <is>
          <t>2026-02-13</t>
        </is>
      </c>
      <c r="C5050" s="6" t="inlineStr">
        <is>
          <t>DIA</t>
        </is>
      </c>
      <c r="D5050" s="6" t="inlineStr">
        <is>
          <t>UNH</t>
        </is>
      </c>
      <c r="E5050" s="6" t="inlineStr">
        <is>
          <t>UNH</t>
        </is>
      </c>
      <c r="F5050" s="6" t="inlineStr">
        <is>
          <t>-</t>
        </is>
      </c>
      <c r="G5050" s="7" t="n">
        <v>289.2760314941406</v>
      </c>
      <c r="H5050" s="6">
        <f>P5019</f>
        <v/>
      </c>
      <c r="I5050" s="9">
        <f>Q5019</f>
        <v/>
      </c>
      <c r="J5050" s="7">
        <f>I5050*G5050</f>
        <v/>
      </c>
      <c r="K5050" s="8">
        <f>IF($J$5054=0,0,J5050/$J$5054)</f>
        <v/>
      </c>
      <c r="L5050" s="6" t="inlineStr">
        <is>
          <t>REJECTED</t>
        </is>
      </c>
      <c r="M5050" s="8" t="n">
        <v>0</v>
      </c>
      <c r="N5050" s="7">
        <f>M5050*$J$5054-J5050</f>
        <v/>
      </c>
      <c r="O5050" s="9">
        <f>IF(G5050=0,0,N5050/G5050)</f>
        <v/>
      </c>
      <c r="P5050" s="6">
        <f>IF(M5050&gt;0,D5050,"")</f>
        <v/>
      </c>
      <c r="Q5050" s="9">
        <f>I5050+O5050</f>
        <v/>
      </c>
      <c r="R5050" s="7">
        <f>Q5050*G5050</f>
        <v/>
      </c>
      <c r="S5050" s="8">
        <f>IF($R$5054=0,0,R5050/$R$5054)</f>
        <v/>
      </c>
      <c r="T5050" s="8" t="n">
        <v>-0.003842128512683507</v>
      </c>
      <c r="U5050" s="8" t="n">
        <v>-0.01147635462888463</v>
      </c>
      <c r="V5050" s="6" t="inlineStr">
        <is>
          <t>not selected</t>
        </is>
      </c>
    </row>
    <row r="5051">
      <c r="A5051" s="6" t="inlineStr">
        <is>
          <t>DJ30</t>
        </is>
      </c>
      <c r="B5051" s="6" t="inlineStr">
        <is>
          <t>2026-02-13</t>
        </is>
      </c>
      <c r="C5051" s="6" t="inlineStr">
        <is>
          <t>DIA</t>
        </is>
      </c>
      <c r="D5051" s="6" t="inlineStr">
        <is>
          <t>V</t>
        </is>
      </c>
      <c r="E5051" s="6" t="inlineStr">
        <is>
          <t>V</t>
        </is>
      </c>
      <c r="F5051" s="6" t="inlineStr">
        <is>
          <t>-</t>
        </is>
      </c>
      <c r="G5051" s="7" t="n">
        <v>313.4302062988281</v>
      </c>
      <c r="H5051" s="6">
        <f>P5020</f>
        <v/>
      </c>
      <c r="I5051" s="9">
        <f>Q5020</f>
        <v/>
      </c>
      <c r="J5051" s="7">
        <f>I5051*G5051</f>
        <v/>
      </c>
      <c r="K5051" s="8">
        <f>IF($J$5054=0,0,J5051/$J$5054)</f>
        <v/>
      </c>
      <c r="L5051" s="6" t="inlineStr">
        <is>
          <t>REJECTED</t>
        </is>
      </c>
      <c r="M5051" s="8" t="n">
        <v>0</v>
      </c>
      <c r="N5051" s="7">
        <f>M5051*$J$5054-J5051</f>
        <v/>
      </c>
      <c r="O5051" s="9">
        <f>IF(G5051=0,0,N5051/G5051)</f>
        <v/>
      </c>
      <c r="P5051" s="6">
        <f>IF(M5051&gt;0,D5051,"")</f>
        <v/>
      </c>
      <c r="Q5051" s="9">
        <f>I5051+O5051</f>
        <v/>
      </c>
      <c r="R5051" s="7">
        <f>Q5051*G5051</f>
        <v/>
      </c>
      <c r="S5051" s="8">
        <f>IF($R$5054=0,0,R5051/$R$5054)</f>
        <v/>
      </c>
      <c r="T5051" s="8" t="n">
        <v>-0.003842128512683507</v>
      </c>
      <c r="U5051" s="8" t="n">
        <v>-0.01147635462888463</v>
      </c>
      <c r="V5051" s="6" t="inlineStr">
        <is>
          <t>not selected</t>
        </is>
      </c>
    </row>
    <row r="5052">
      <c r="A5052" s="6" t="inlineStr">
        <is>
          <t>DJ30</t>
        </is>
      </c>
      <c r="B5052" s="6" t="inlineStr">
        <is>
          <t>2026-02-13</t>
        </is>
      </c>
      <c r="C5052" s="6" t="inlineStr">
        <is>
          <t>DIA</t>
        </is>
      </c>
      <c r="D5052" s="6" t="inlineStr">
        <is>
          <t>VZ</t>
        </is>
      </c>
      <c r="E5052" s="6" t="inlineStr">
        <is>
          <t>VZ</t>
        </is>
      </c>
      <c r="F5052" s="6" t="inlineStr">
        <is>
          <t>-</t>
        </is>
      </c>
      <c r="G5052" s="7" t="n">
        <v>48.28377151489258</v>
      </c>
      <c r="H5052" s="6">
        <f>P5021</f>
        <v/>
      </c>
      <c r="I5052" s="9">
        <f>Q5021</f>
        <v/>
      </c>
      <c r="J5052" s="7">
        <f>I5052*G5052</f>
        <v/>
      </c>
      <c r="K5052" s="8">
        <f>IF($J$5054=0,0,J5052/$J$5054)</f>
        <v/>
      </c>
      <c r="L5052" s="6" t="inlineStr">
        <is>
          <t>REJECTED</t>
        </is>
      </c>
      <c r="M5052" s="8" t="n">
        <v>0</v>
      </c>
      <c r="N5052" s="7">
        <f>M5052*$J$5054-J5052</f>
        <v/>
      </c>
      <c r="O5052" s="9">
        <f>IF(G5052=0,0,N5052/G5052)</f>
        <v/>
      </c>
      <c r="P5052" s="6">
        <f>IF(M5052&gt;0,D5052,"")</f>
        <v/>
      </c>
      <c r="Q5052" s="9">
        <f>I5052+O5052</f>
        <v/>
      </c>
      <c r="R5052" s="7">
        <f>Q5052*G5052</f>
        <v/>
      </c>
      <c r="S5052" s="8">
        <f>IF($R$5054=0,0,R5052/$R$5054)</f>
        <v/>
      </c>
      <c r="T5052" s="8" t="n">
        <v>-0.003842128512683507</v>
      </c>
      <c r="U5052" s="8" t="n">
        <v>-0.01147635462888463</v>
      </c>
      <c r="V5052" s="6" t="inlineStr">
        <is>
          <t>not selected</t>
        </is>
      </c>
    </row>
    <row r="5053">
      <c r="A5053" s="6" t="inlineStr">
        <is>
          <t>DJ30</t>
        </is>
      </c>
      <c r="B5053" s="6" t="inlineStr">
        <is>
          <t>2026-02-13</t>
        </is>
      </c>
      <c r="C5053" s="6" t="inlineStr">
        <is>
          <t>DIA</t>
        </is>
      </c>
      <c r="D5053" s="6" t="inlineStr">
        <is>
          <t>WMT</t>
        </is>
      </c>
      <c r="E5053" s="6" t="inlineStr">
        <is>
          <t>WMT</t>
        </is>
      </c>
      <c r="F5053" s="6" t="inlineStr">
        <is>
          <t>-</t>
        </is>
      </c>
      <c r="G5053" s="7" t="n">
        <v>133.3612670898438</v>
      </c>
      <c r="H5053" s="6">
        <f>P5022</f>
        <v/>
      </c>
      <c r="I5053" s="9">
        <f>Q5022</f>
        <v/>
      </c>
      <c r="J5053" s="7">
        <f>I5053*G5053</f>
        <v/>
      </c>
      <c r="K5053" s="8">
        <f>IF($J$5054=0,0,J5053/$J$5054)</f>
        <v/>
      </c>
      <c r="L5053" s="6" t="inlineStr">
        <is>
          <t>WATCHLIST</t>
        </is>
      </c>
      <c r="M5053" s="8" t="n">
        <v>0</v>
      </c>
      <c r="N5053" s="7">
        <f>M5053*$J$5054-J5053</f>
        <v/>
      </c>
      <c r="O5053" s="9">
        <f>IF(G5053=0,0,N5053/G5053)</f>
        <v/>
      </c>
      <c r="P5053" s="6">
        <f>IF(M5053&gt;0,D5053,"")</f>
        <v/>
      </c>
      <c r="Q5053" s="9">
        <f>I5053+O5053</f>
        <v/>
      </c>
      <c r="R5053" s="7">
        <f>Q5053*G5053</f>
        <v/>
      </c>
      <c r="S5053" s="8">
        <f>IF($R$5054=0,0,R5053/$R$5054)</f>
        <v/>
      </c>
      <c r="T5053" s="8" t="n">
        <v>-0.003842128512683507</v>
      </c>
      <c r="U5053" s="8" t="n">
        <v>-0.01147635462888463</v>
      </c>
      <c r="V5053" s="6" t="inlineStr">
        <is>
          <t>not selected</t>
        </is>
      </c>
    </row>
    <row r="5054">
      <c r="A5054" s="10" t="inlineStr">
        <is>
          <t>DJ30</t>
        </is>
      </c>
      <c r="B5054" s="10" t="inlineStr">
        <is>
          <t>2026-02-13</t>
        </is>
      </c>
      <c r="C5054" s="10" t="inlineStr">
        <is>
          <t>DIA</t>
        </is>
      </c>
      <c r="D5054" s="10" t="inlineStr">
        <is>
          <t>Tot Portfolio</t>
        </is>
      </c>
      <c r="E5054" s="10" t="inlineStr"/>
      <c r="F5054" s="10" t="inlineStr"/>
      <c r="G5054" s="11" t="inlineStr"/>
      <c r="H5054" s="10" t="inlineStr"/>
      <c r="I5054" s="12" t="inlineStr"/>
      <c r="J5054" s="11">
        <f>SUM(J5024:J5053)</f>
        <v/>
      </c>
      <c r="K5054" s="13">
        <f>SUM(K5024:K5053)</f>
        <v/>
      </c>
      <c r="L5054" s="10" t="inlineStr">
        <is>
          <t>TOTAL</t>
        </is>
      </c>
      <c r="M5054" s="13">
        <f>SUM(M5024:M5053)</f>
        <v/>
      </c>
      <c r="N5054" s="11">
        <f>SUM(N5024:N5053)</f>
        <v/>
      </c>
      <c r="O5054" s="12">
        <f>SUM(O5024:O5053)</f>
        <v/>
      </c>
      <c r="P5054" s="10" t="inlineStr"/>
      <c r="Q5054" s="12" t="inlineStr"/>
      <c r="R5054" s="11">
        <f>SUM(R5024:R5053)</f>
        <v/>
      </c>
      <c r="S5054" s="13">
        <f>SUM(S5024:S5053)</f>
        <v/>
      </c>
      <c r="T5054" s="13" t="n">
        <v>-0.003842128512683507</v>
      </c>
      <c r="U5054" s="13" t="n">
        <v>-0.01147635462888463</v>
      </c>
      <c r="V5054" s="10" t="inlineStr"/>
    </row>
    <row r="5055">
      <c r="A5055" s="6" t="inlineStr">
        <is>
          <t>DJ30</t>
        </is>
      </c>
      <c r="B5055" s="6" t="inlineStr">
        <is>
          <t>2026-02-20</t>
        </is>
      </c>
      <c r="C5055" s="6" t="inlineStr">
        <is>
          <t>DIA</t>
        </is>
      </c>
      <c r="D5055" s="6" t="inlineStr">
        <is>
          <t>AAPL</t>
        </is>
      </c>
      <c r="E5055" s="6" t="inlineStr">
        <is>
          <t>AAPL</t>
        </is>
      </c>
      <c r="F5055" s="6" t="inlineStr">
        <is>
          <t>-</t>
        </is>
      </c>
      <c r="G5055" s="7" t="n">
        <v>264.3364562988281</v>
      </c>
      <c r="H5055" s="6">
        <f>P5024</f>
        <v/>
      </c>
      <c r="I5055" s="9">
        <f>Q5024</f>
        <v/>
      </c>
      <c r="J5055" s="7">
        <f>I5055*G5055</f>
        <v/>
      </c>
      <c r="K5055" s="8">
        <f>IF($J$5085=0,0,J5055/$J$5085)</f>
        <v/>
      </c>
      <c r="L5055" s="6" t="inlineStr">
        <is>
          <t>WATCHLIST</t>
        </is>
      </c>
      <c r="M5055" s="8" t="n">
        <v>0</v>
      </c>
      <c r="N5055" s="7">
        <f>M5055*$J$5085-J5055</f>
        <v/>
      </c>
      <c r="O5055" s="9">
        <f>IF(G5055=0,0,N5055/G5055)</f>
        <v/>
      </c>
      <c r="P5055" s="6">
        <f>IF(M5055&gt;0,D5055,"")</f>
        <v/>
      </c>
      <c r="Q5055" s="9">
        <f>I5055+O5055</f>
        <v/>
      </c>
      <c r="R5055" s="7">
        <f>Q5055*G5055</f>
        <v/>
      </c>
      <c r="S5055" s="8">
        <f>IF($R$5085=0,0,R5055/$R$5085)</f>
        <v/>
      </c>
      <c r="T5055" s="8" t="n">
        <v>0.01206716213484982</v>
      </c>
      <c r="U5055" s="8" t="n">
        <v>0.002858787868482704</v>
      </c>
      <c r="V5055" s="6" t="inlineStr">
        <is>
          <t>not selected</t>
        </is>
      </c>
    </row>
    <row r="5056">
      <c r="A5056" s="6" t="inlineStr">
        <is>
          <t>DJ30</t>
        </is>
      </c>
      <c r="B5056" s="6" t="inlineStr">
        <is>
          <t>2026-02-20</t>
        </is>
      </c>
      <c r="C5056" s="6" t="inlineStr">
        <is>
          <t>DIA</t>
        </is>
      </c>
      <c r="D5056" s="6" t="inlineStr">
        <is>
          <t>AMGN</t>
        </is>
      </c>
      <c r="E5056" s="6" t="inlineStr">
        <is>
          <t>AMGN</t>
        </is>
      </c>
      <c r="F5056" s="6" t="inlineStr">
        <is>
          <t>-</t>
        </is>
      </c>
      <c r="G5056" s="7" t="n">
        <v>371.9412841796875</v>
      </c>
      <c r="H5056" s="6">
        <f>P5025</f>
        <v/>
      </c>
      <c r="I5056" s="9">
        <f>Q5025</f>
        <v/>
      </c>
      <c r="J5056" s="7">
        <f>I5056*G5056</f>
        <v/>
      </c>
      <c r="K5056" s="8">
        <f>IF($J$5085=0,0,J5056/$J$5085)</f>
        <v/>
      </c>
      <c r="L5056" s="6" t="inlineStr">
        <is>
          <t>WATCHLIST</t>
        </is>
      </c>
      <c r="M5056" s="8" t="n">
        <v>0</v>
      </c>
      <c r="N5056" s="7">
        <f>M5056*$J$5085-J5056</f>
        <v/>
      </c>
      <c r="O5056" s="9">
        <f>IF(G5056=0,0,N5056/G5056)</f>
        <v/>
      </c>
      <c r="P5056" s="6">
        <f>IF(M5056&gt;0,D5056,"")</f>
        <v/>
      </c>
      <c r="Q5056" s="9">
        <f>I5056+O5056</f>
        <v/>
      </c>
      <c r="R5056" s="7">
        <f>Q5056*G5056</f>
        <v/>
      </c>
      <c r="S5056" s="8">
        <f>IF($R$5085=0,0,R5056/$R$5085)</f>
        <v/>
      </c>
      <c r="T5056" s="8" t="n">
        <v>0.01206716213484982</v>
      </c>
      <c r="U5056" s="8" t="n">
        <v>0.002858787868482704</v>
      </c>
      <c r="V5056" s="6" t="inlineStr">
        <is>
          <t>not selected</t>
        </is>
      </c>
    </row>
    <row r="5057">
      <c r="A5057" s="6" t="inlineStr">
        <is>
          <t>DJ30</t>
        </is>
      </c>
      <c r="B5057" s="6" t="inlineStr">
        <is>
          <t>2026-02-20</t>
        </is>
      </c>
      <c r="C5057" s="6" t="inlineStr">
        <is>
          <t>DIA</t>
        </is>
      </c>
      <c r="D5057" s="6" t="inlineStr">
        <is>
          <t>AMZN</t>
        </is>
      </c>
      <c r="E5057" s="6" t="inlineStr">
        <is>
          <t>AMZN</t>
        </is>
      </c>
      <c r="F5057" s="6" t="inlineStr">
        <is>
          <t>-</t>
        </is>
      </c>
      <c r="G5057" s="7" t="n">
        <v>210.1100006103516</v>
      </c>
      <c r="H5057" s="6">
        <f>P5026</f>
        <v/>
      </c>
      <c r="I5057" s="9">
        <f>Q5026</f>
        <v/>
      </c>
      <c r="J5057" s="7">
        <f>I5057*G5057</f>
        <v/>
      </c>
      <c r="K5057" s="8">
        <f>IF($J$5085=0,0,J5057/$J$5085)</f>
        <v/>
      </c>
      <c r="L5057" s="6" t="inlineStr">
        <is>
          <t>WATCHLIST</t>
        </is>
      </c>
      <c r="M5057" s="8" t="n">
        <v>0</v>
      </c>
      <c r="N5057" s="7">
        <f>M5057*$J$5085-J5057</f>
        <v/>
      </c>
      <c r="O5057" s="9">
        <f>IF(G5057=0,0,N5057/G5057)</f>
        <v/>
      </c>
      <c r="P5057" s="6">
        <f>IF(M5057&gt;0,D5057,"")</f>
        <v/>
      </c>
      <c r="Q5057" s="9">
        <f>I5057+O5057</f>
        <v/>
      </c>
      <c r="R5057" s="7">
        <f>Q5057*G5057</f>
        <v/>
      </c>
      <c r="S5057" s="8">
        <f>IF($R$5085=0,0,R5057/$R$5085)</f>
        <v/>
      </c>
      <c r="T5057" s="8" t="n">
        <v>0.01206716213484982</v>
      </c>
      <c r="U5057" s="8" t="n">
        <v>0.002858787868482704</v>
      </c>
      <c r="V5057" s="6" t="inlineStr">
        <is>
          <t>not selected</t>
        </is>
      </c>
    </row>
    <row r="5058">
      <c r="A5058" s="6" t="inlineStr">
        <is>
          <t>DJ30</t>
        </is>
      </c>
      <c r="B5058" s="6" t="inlineStr">
        <is>
          <t>2026-02-20</t>
        </is>
      </c>
      <c r="C5058" s="6" t="inlineStr">
        <is>
          <t>DIA</t>
        </is>
      </c>
      <c r="D5058" s="6" t="inlineStr">
        <is>
          <t>AXP</t>
        </is>
      </c>
      <c r="E5058" s="6" t="inlineStr">
        <is>
          <t>AXP</t>
        </is>
      </c>
      <c r="F5058" s="6" t="inlineStr">
        <is>
          <t>-</t>
        </is>
      </c>
      <c r="G5058" s="7" t="n">
        <v>345.0890502929688</v>
      </c>
      <c r="H5058" s="6">
        <f>P5027</f>
        <v/>
      </c>
      <c r="I5058" s="9">
        <f>Q5027</f>
        <v/>
      </c>
      <c r="J5058" s="7">
        <f>I5058*G5058</f>
        <v/>
      </c>
      <c r="K5058" s="8">
        <f>IF($J$5085=0,0,J5058/$J$5085)</f>
        <v/>
      </c>
      <c r="L5058" s="6" t="inlineStr">
        <is>
          <t>SELECTED</t>
        </is>
      </c>
      <c r="M5058" s="8" t="n">
        <v>0.2</v>
      </c>
      <c r="N5058" s="7">
        <f>M5058*$J$5085-J5058</f>
        <v/>
      </c>
      <c r="O5058" s="9">
        <f>IF(G5058=0,0,N5058/G5058)</f>
        <v/>
      </c>
      <c r="P5058" s="6">
        <f>IF(M5058&gt;0,D5058,"")</f>
        <v/>
      </c>
      <c r="Q5058" s="9">
        <f>I5058+O5058</f>
        <v/>
      </c>
      <c r="R5058" s="7">
        <f>Q5058*G5058</f>
        <v/>
      </c>
      <c r="S5058" s="8">
        <f>IF($R$5085=0,0,R5058/$R$5085)</f>
        <v/>
      </c>
      <c r="T5058" s="8" t="n">
        <v>0.01206716213484982</v>
      </c>
      <c r="U5058" s="8" t="n">
        <v>0.002858787868482704</v>
      </c>
      <c r="V5058" s="6" t="inlineStr">
        <is>
          <t>remained in weekly selection</t>
        </is>
      </c>
    </row>
    <row r="5059">
      <c r="A5059" s="6" t="inlineStr">
        <is>
          <t>DJ30</t>
        </is>
      </c>
      <c r="B5059" s="6" t="inlineStr">
        <is>
          <t>2026-02-20</t>
        </is>
      </c>
      <c r="C5059" s="6" t="inlineStr">
        <is>
          <t>DIA</t>
        </is>
      </c>
      <c r="D5059" s="6" t="inlineStr">
        <is>
          <t>BA</t>
        </is>
      </c>
      <c r="E5059" s="6" t="inlineStr">
        <is>
          <t>BA</t>
        </is>
      </c>
      <c r="F5059" s="6" t="inlineStr">
        <is>
          <t>-</t>
        </is>
      </c>
      <c r="G5059" s="7" t="n">
        <v>232.0299987792969</v>
      </c>
      <c r="H5059" s="6">
        <f>P5028</f>
        <v/>
      </c>
      <c r="I5059" s="9">
        <f>Q5028</f>
        <v/>
      </c>
      <c r="J5059" s="7">
        <f>I5059*G5059</f>
        <v/>
      </c>
      <c r="K5059" s="8">
        <f>IF($J$5085=0,0,J5059/$J$5085)</f>
        <v/>
      </c>
      <c r="L5059" s="6" t="inlineStr">
        <is>
          <t>WATCHLIST</t>
        </is>
      </c>
      <c r="M5059" s="8" t="n">
        <v>0</v>
      </c>
      <c r="N5059" s="7">
        <f>M5059*$J$5085-J5059</f>
        <v/>
      </c>
      <c r="O5059" s="9">
        <f>IF(G5059=0,0,N5059/G5059)</f>
        <v/>
      </c>
      <c r="P5059" s="6">
        <f>IF(M5059&gt;0,D5059,"")</f>
        <v/>
      </c>
      <c r="Q5059" s="9">
        <f>I5059+O5059</f>
        <v/>
      </c>
      <c r="R5059" s="7">
        <f>Q5059*G5059</f>
        <v/>
      </c>
      <c r="S5059" s="8">
        <f>IF($R$5085=0,0,R5059/$R$5085)</f>
        <v/>
      </c>
      <c r="T5059" s="8" t="n">
        <v>0.01206716213484982</v>
      </c>
      <c r="U5059" s="8" t="n">
        <v>0.002858787868482704</v>
      </c>
      <c r="V5059" s="6" t="inlineStr">
        <is>
          <t>not selected</t>
        </is>
      </c>
    </row>
    <row r="5060">
      <c r="A5060" s="6" t="inlineStr">
        <is>
          <t>DJ30</t>
        </is>
      </c>
      <c r="B5060" s="6" t="inlineStr">
        <is>
          <t>2026-02-20</t>
        </is>
      </c>
      <c r="C5060" s="6" t="inlineStr">
        <is>
          <t>DIA</t>
        </is>
      </c>
      <c r="D5060" s="6" t="inlineStr">
        <is>
          <t>CAT</t>
        </is>
      </c>
      <c r="E5060" s="6" t="inlineStr">
        <is>
          <t>CAT</t>
        </is>
      </c>
      <c r="F5060" s="6" t="inlineStr">
        <is>
          <t>-</t>
        </is>
      </c>
      <c r="G5060" s="7" t="n">
        <v>758.2963256835938</v>
      </c>
      <c r="H5060" s="6">
        <f>P5029</f>
        <v/>
      </c>
      <c r="I5060" s="9">
        <f>Q5029</f>
        <v/>
      </c>
      <c r="J5060" s="7">
        <f>I5060*G5060</f>
        <v/>
      </c>
      <c r="K5060" s="8">
        <f>IF($J$5085=0,0,J5060/$J$5085)</f>
        <v/>
      </c>
      <c r="L5060" s="6" t="inlineStr">
        <is>
          <t>SELECTED</t>
        </is>
      </c>
      <c r="M5060" s="8" t="n">
        <v>0.2</v>
      </c>
      <c r="N5060" s="7">
        <f>M5060*$J$5085-J5060</f>
        <v/>
      </c>
      <c r="O5060" s="9">
        <f>IF(G5060=0,0,N5060/G5060)</f>
        <v/>
      </c>
      <c r="P5060" s="6">
        <f>IF(M5060&gt;0,D5060,"")</f>
        <v/>
      </c>
      <c r="Q5060" s="9">
        <f>I5060+O5060</f>
        <v/>
      </c>
      <c r="R5060" s="7">
        <f>Q5060*G5060</f>
        <v/>
      </c>
      <c r="S5060" s="8">
        <f>IF($R$5085=0,0,R5060/$R$5085)</f>
        <v/>
      </c>
      <c r="T5060" s="8" t="n">
        <v>0.01206716213484982</v>
      </c>
      <c r="U5060" s="8" t="n">
        <v>0.002858787868482704</v>
      </c>
      <c r="V5060" s="6" t="inlineStr">
        <is>
          <t>remained in weekly selection</t>
        </is>
      </c>
    </row>
    <row r="5061">
      <c r="A5061" s="6" t="inlineStr">
        <is>
          <t>DJ30</t>
        </is>
      </c>
      <c r="B5061" s="6" t="inlineStr">
        <is>
          <t>2026-02-20</t>
        </is>
      </c>
      <c r="C5061" s="6" t="inlineStr">
        <is>
          <t>DIA</t>
        </is>
      </c>
      <c r="D5061" s="6" t="inlineStr">
        <is>
          <t>CRM</t>
        </is>
      </c>
      <c r="E5061" s="6" t="inlineStr">
        <is>
          <t>CRM</t>
        </is>
      </c>
      <c r="F5061" s="6" t="inlineStr">
        <is>
          <t>-</t>
        </is>
      </c>
      <c r="G5061" s="7" t="n">
        <v>184.2225952148437</v>
      </c>
      <c r="H5061" s="6">
        <f>P5030</f>
        <v/>
      </c>
      <c r="I5061" s="9">
        <f>Q5030</f>
        <v/>
      </c>
      <c r="J5061" s="7">
        <f>I5061*G5061</f>
        <v/>
      </c>
      <c r="K5061" s="8">
        <f>IF($J$5085=0,0,J5061/$J$5085)</f>
        <v/>
      </c>
      <c r="L5061" s="6" t="inlineStr">
        <is>
          <t>REJECTED</t>
        </is>
      </c>
      <c r="M5061" s="8" t="n">
        <v>0</v>
      </c>
      <c r="N5061" s="7">
        <f>M5061*$J$5085-J5061</f>
        <v/>
      </c>
      <c r="O5061" s="9">
        <f>IF(G5061=0,0,N5061/G5061)</f>
        <v/>
      </c>
      <c r="P5061" s="6">
        <f>IF(M5061&gt;0,D5061,"")</f>
        <v/>
      </c>
      <c r="Q5061" s="9">
        <f>I5061+O5061</f>
        <v/>
      </c>
      <c r="R5061" s="7">
        <f>Q5061*G5061</f>
        <v/>
      </c>
      <c r="S5061" s="8">
        <f>IF($R$5085=0,0,R5061/$R$5085)</f>
        <v/>
      </c>
      <c r="T5061" s="8" t="n">
        <v>0.01206716213484982</v>
      </c>
      <c r="U5061" s="8" t="n">
        <v>0.002858787868482704</v>
      </c>
      <c r="V5061" s="6" t="inlineStr">
        <is>
          <t>not selected</t>
        </is>
      </c>
    </row>
    <row r="5062">
      <c r="A5062" s="6" t="inlineStr">
        <is>
          <t>DJ30</t>
        </is>
      </c>
      <c r="B5062" s="6" t="inlineStr">
        <is>
          <t>2026-02-20</t>
        </is>
      </c>
      <c r="C5062" s="6" t="inlineStr">
        <is>
          <t>DIA</t>
        </is>
      </c>
      <c r="D5062" s="6" t="inlineStr">
        <is>
          <t>CSCO</t>
        </is>
      </c>
      <c r="E5062" s="6" t="inlineStr">
        <is>
          <t>CSCO</t>
        </is>
      </c>
      <c r="F5062" s="6" t="inlineStr">
        <is>
          <t>-</t>
        </is>
      </c>
      <c r="G5062" s="7" t="n">
        <v>78.77315521240234</v>
      </c>
      <c r="H5062" s="6">
        <f>P5031</f>
        <v/>
      </c>
      <c r="I5062" s="9">
        <f>Q5031</f>
        <v/>
      </c>
      <c r="J5062" s="7">
        <f>I5062*G5062</f>
        <v/>
      </c>
      <c r="K5062" s="8">
        <f>IF($J$5085=0,0,J5062/$J$5085)</f>
        <v/>
      </c>
      <c r="L5062" s="6" t="inlineStr">
        <is>
          <t>WATCHLIST</t>
        </is>
      </c>
      <c r="M5062" s="8" t="n">
        <v>0</v>
      </c>
      <c r="N5062" s="7">
        <f>M5062*$J$5085-J5062</f>
        <v/>
      </c>
      <c r="O5062" s="9">
        <f>IF(G5062=0,0,N5062/G5062)</f>
        <v/>
      </c>
      <c r="P5062" s="6">
        <f>IF(M5062&gt;0,D5062,"")</f>
        <v/>
      </c>
      <c r="Q5062" s="9">
        <f>I5062+O5062</f>
        <v/>
      </c>
      <c r="R5062" s="7">
        <f>Q5062*G5062</f>
        <v/>
      </c>
      <c r="S5062" s="8">
        <f>IF($R$5085=0,0,R5062/$R$5085)</f>
        <v/>
      </c>
      <c r="T5062" s="8" t="n">
        <v>0.01206716213484982</v>
      </c>
      <c r="U5062" s="8" t="n">
        <v>0.002858787868482704</v>
      </c>
      <c r="V5062" s="6" t="inlineStr">
        <is>
          <t>not selected</t>
        </is>
      </c>
    </row>
    <row r="5063">
      <c r="A5063" s="6" t="inlineStr">
        <is>
          <t>DJ30</t>
        </is>
      </c>
      <c r="B5063" s="6" t="inlineStr">
        <is>
          <t>2026-02-20</t>
        </is>
      </c>
      <c r="C5063" s="6" t="inlineStr">
        <is>
          <t>DIA</t>
        </is>
      </c>
      <c r="D5063" s="6" t="inlineStr">
        <is>
          <t>CVX</t>
        </is>
      </c>
      <c r="E5063" s="6" t="inlineStr">
        <is>
          <t>CVX</t>
        </is>
      </c>
      <c r="F5063" s="6" t="inlineStr">
        <is>
          <t>-</t>
        </is>
      </c>
      <c r="G5063" s="7" t="n">
        <v>182.2606353759766</v>
      </c>
      <c r="H5063" s="6">
        <f>P5032</f>
        <v/>
      </c>
      <c r="I5063" s="9">
        <f>Q5032</f>
        <v/>
      </c>
      <c r="J5063" s="7">
        <f>I5063*G5063</f>
        <v/>
      </c>
      <c r="K5063" s="8">
        <f>IF($J$5085=0,0,J5063/$J$5085)</f>
        <v/>
      </c>
      <c r="L5063" s="6" t="inlineStr">
        <is>
          <t>WATCHLIST</t>
        </is>
      </c>
      <c r="M5063" s="8" t="n">
        <v>0</v>
      </c>
      <c r="N5063" s="7">
        <f>M5063*$J$5085-J5063</f>
        <v/>
      </c>
      <c r="O5063" s="9">
        <f>IF(G5063=0,0,N5063/G5063)</f>
        <v/>
      </c>
      <c r="P5063" s="6">
        <f>IF(M5063&gt;0,D5063,"")</f>
        <v/>
      </c>
      <c r="Q5063" s="9">
        <f>I5063+O5063</f>
        <v/>
      </c>
      <c r="R5063" s="7">
        <f>Q5063*G5063</f>
        <v/>
      </c>
      <c r="S5063" s="8">
        <f>IF($R$5085=0,0,R5063/$R$5085)</f>
        <v/>
      </c>
      <c r="T5063" s="8" t="n">
        <v>0.01206716213484982</v>
      </c>
      <c r="U5063" s="8" t="n">
        <v>0.002858787868482704</v>
      </c>
      <c r="V5063" s="6" t="inlineStr">
        <is>
          <t>not selected</t>
        </is>
      </c>
    </row>
    <row r="5064">
      <c r="A5064" s="6" t="inlineStr">
        <is>
          <t>DJ30</t>
        </is>
      </c>
      <c r="B5064" s="6" t="inlineStr">
        <is>
          <t>2026-02-20</t>
        </is>
      </c>
      <c r="C5064" s="6" t="inlineStr">
        <is>
          <t>DIA</t>
        </is>
      </c>
      <c r="D5064" s="6" t="inlineStr">
        <is>
          <t>DIS</t>
        </is>
      </c>
      <c r="E5064" s="6" t="inlineStr">
        <is>
          <t>DIS</t>
        </is>
      </c>
      <c r="F5064" s="6" t="inlineStr">
        <is>
          <t>-</t>
        </is>
      </c>
      <c r="G5064" s="7" t="n">
        <v>105.5800018310547</v>
      </c>
      <c r="H5064" s="6">
        <f>P5033</f>
        <v/>
      </c>
      <c r="I5064" s="9">
        <f>Q5033</f>
        <v/>
      </c>
      <c r="J5064" s="7">
        <f>I5064*G5064</f>
        <v/>
      </c>
      <c r="K5064" s="8">
        <f>IF($J$5085=0,0,J5064/$J$5085)</f>
        <v/>
      </c>
      <c r="L5064" s="6" t="inlineStr">
        <is>
          <t>REJECTED</t>
        </is>
      </c>
      <c r="M5064" s="8" t="n">
        <v>0</v>
      </c>
      <c r="N5064" s="7">
        <f>M5064*$J$5085-J5064</f>
        <v/>
      </c>
      <c r="O5064" s="9">
        <f>IF(G5064=0,0,N5064/G5064)</f>
        <v/>
      </c>
      <c r="P5064" s="6">
        <f>IF(M5064&gt;0,D5064,"")</f>
        <v/>
      </c>
      <c r="Q5064" s="9">
        <f>I5064+O5064</f>
        <v/>
      </c>
      <c r="R5064" s="7">
        <f>Q5064*G5064</f>
        <v/>
      </c>
      <c r="S5064" s="8">
        <f>IF($R$5085=0,0,R5064/$R$5085)</f>
        <v/>
      </c>
      <c r="T5064" s="8" t="n">
        <v>0.01206716213484982</v>
      </c>
      <c r="U5064" s="8" t="n">
        <v>0.002858787868482704</v>
      </c>
      <c r="V5064" s="6" t="inlineStr">
        <is>
          <t>not selected</t>
        </is>
      </c>
    </row>
    <row r="5065">
      <c r="A5065" s="6" t="inlineStr">
        <is>
          <t>DJ30</t>
        </is>
      </c>
      <c r="B5065" s="6" t="inlineStr">
        <is>
          <t>2026-02-20</t>
        </is>
      </c>
      <c r="C5065" s="6" t="inlineStr">
        <is>
          <t>DIA</t>
        </is>
      </c>
      <c r="D5065" s="6" t="inlineStr">
        <is>
          <t>GS</t>
        </is>
      </c>
      <c r="E5065" s="6" t="inlineStr">
        <is>
          <t>GS</t>
        </is>
      </c>
      <c r="F5065" s="6" t="inlineStr">
        <is>
          <t>-</t>
        </is>
      </c>
      <c r="G5065" s="7" t="n">
        <v>913.3864135742188</v>
      </c>
      <c r="H5065" s="6">
        <f>P5034</f>
        <v/>
      </c>
      <c r="I5065" s="9">
        <f>Q5034</f>
        <v/>
      </c>
      <c r="J5065" s="7">
        <f>I5065*G5065</f>
        <v/>
      </c>
      <c r="K5065" s="8">
        <f>IF($J$5085=0,0,J5065/$J$5085)</f>
        <v/>
      </c>
      <c r="L5065" s="6" t="inlineStr">
        <is>
          <t>SELECTED</t>
        </is>
      </c>
      <c r="M5065" s="8" t="n">
        <v>0.2</v>
      </c>
      <c r="N5065" s="7">
        <f>M5065*$J$5085-J5065</f>
        <v/>
      </c>
      <c r="O5065" s="9">
        <f>IF(G5065=0,0,N5065/G5065)</f>
        <v/>
      </c>
      <c r="P5065" s="6">
        <f>IF(M5065&gt;0,D5065,"")</f>
        <v/>
      </c>
      <c r="Q5065" s="9">
        <f>I5065+O5065</f>
        <v/>
      </c>
      <c r="R5065" s="7">
        <f>Q5065*G5065</f>
        <v/>
      </c>
      <c r="S5065" s="8">
        <f>IF($R$5085=0,0,R5065/$R$5085)</f>
        <v/>
      </c>
      <c r="T5065" s="8" t="n">
        <v>0.01206716213484982</v>
      </c>
      <c r="U5065" s="8" t="n">
        <v>0.002858787868482704</v>
      </c>
      <c r="V5065" s="6" t="inlineStr">
        <is>
          <t>remained in weekly selection</t>
        </is>
      </c>
    </row>
    <row r="5066">
      <c r="A5066" s="6" t="inlineStr">
        <is>
          <t>DJ30</t>
        </is>
      </c>
      <c r="B5066" s="6" t="inlineStr">
        <is>
          <t>2026-02-20</t>
        </is>
      </c>
      <c r="C5066" s="6" t="inlineStr">
        <is>
          <t>DIA</t>
        </is>
      </c>
      <c r="D5066" s="6" t="inlineStr">
        <is>
          <t>HD</t>
        </is>
      </c>
      <c r="E5066" s="6" t="inlineStr">
        <is>
          <t>HD</t>
        </is>
      </c>
      <c r="F5066" s="6" t="inlineStr">
        <is>
          <t>-</t>
        </is>
      </c>
      <c r="G5066" s="7" t="n">
        <v>376.884521484375</v>
      </c>
      <c r="H5066" s="6">
        <f>P5035</f>
        <v/>
      </c>
      <c r="I5066" s="9">
        <f>Q5035</f>
        <v/>
      </c>
      <c r="J5066" s="7">
        <f>I5066*G5066</f>
        <v/>
      </c>
      <c r="K5066" s="8">
        <f>IF($J$5085=0,0,J5066/$J$5085)</f>
        <v/>
      </c>
      <c r="L5066" s="6" t="inlineStr">
        <is>
          <t>REJECTED</t>
        </is>
      </c>
      <c r="M5066" s="8" t="n">
        <v>0</v>
      </c>
      <c r="N5066" s="7">
        <f>M5066*$J$5085-J5066</f>
        <v/>
      </c>
      <c r="O5066" s="9">
        <f>IF(G5066=0,0,N5066/G5066)</f>
        <v/>
      </c>
      <c r="P5066" s="6">
        <f>IF(M5066&gt;0,D5066,"")</f>
        <v/>
      </c>
      <c r="Q5066" s="9">
        <f>I5066+O5066</f>
        <v/>
      </c>
      <c r="R5066" s="7">
        <f>Q5066*G5066</f>
        <v/>
      </c>
      <c r="S5066" s="8">
        <f>IF($R$5085=0,0,R5066/$R$5085)</f>
        <v/>
      </c>
      <c r="T5066" s="8" t="n">
        <v>0.01206716213484982</v>
      </c>
      <c r="U5066" s="8" t="n">
        <v>0.002858787868482704</v>
      </c>
      <c r="V5066" s="6" t="inlineStr">
        <is>
          <t>not selected</t>
        </is>
      </c>
    </row>
    <row r="5067">
      <c r="A5067" s="6" t="inlineStr">
        <is>
          <t>DJ30</t>
        </is>
      </c>
      <c r="B5067" s="6" t="inlineStr">
        <is>
          <t>2026-02-20</t>
        </is>
      </c>
      <c r="C5067" s="6" t="inlineStr">
        <is>
          <t>DIA</t>
        </is>
      </c>
      <c r="D5067" s="6" t="inlineStr">
        <is>
          <t>HON</t>
        </is>
      </c>
      <c r="E5067" s="6" t="inlineStr">
        <is>
          <t>HON</t>
        </is>
      </c>
      <c r="F5067" s="6" t="inlineStr">
        <is>
          <t>-</t>
        </is>
      </c>
      <c r="G5067" s="7" t="n">
        <v>241.4378509521484</v>
      </c>
      <c r="H5067" s="6">
        <f>P5036</f>
        <v/>
      </c>
      <c r="I5067" s="9">
        <f>Q5036</f>
        <v/>
      </c>
      <c r="J5067" s="7">
        <f>I5067*G5067</f>
        <v/>
      </c>
      <c r="K5067" s="8">
        <f>IF($J$5085=0,0,J5067/$J$5085)</f>
        <v/>
      </c>
      <c r="L5067" s="6" t="inlineStr">
        <is>
          <t>REJECTED</t>
        </is>
      </c>
      <c r="M5067" s="8" t="n">
        <v>0</v>
      </c>
      <c r="N5067" s="7">
        <f>M5067*$J$5085-J5067</f>
        <v/>
      </c>
      <c r="O5067" s="9">
        <f>IF(G5067=0,0,N5067/G5067)</f>
        <v/>
      </c>
      <c r="P5067" s="6">
        <f>IF(M5067&gt;0,D5067,"")</f>
        <v/>
      </c>
      <c r="Q5067" s="9">
        <f>I5067+O5067</f>
        <v/>
      </c>
      <c r="R5067" s="7">
        <f>Q5067*G5067</f>
        <v/>
      </c>
      <c r="S5067" s="8">
        <f>IF($R$5085=0,0,R5067/$R$5085)</f>
        <v/>
      </c>
      <c r="T5067" s="8" t="n">
        <v>0.01206716213484982</v>
      </c>
      <c r="U5067" s="8" t="n">
        <v>0.002858787868482704</v>
      </c>
      <c r="V5067" s="6" t="inlineStr">
        <is>
          <t>not selected</t>
        </is>
      </c>
    </row>
    <row r="5068">
      <c r="A5068" s="6" t="inlineStr">
        <is>
          <t>DJ30</t>
        </is>
      </c>
      <c r="B5068" s="6" t="inlineStr">
        <is>
          <t>2026-02-20</t>
        </is>
      </c>
      <c r="C5068" s="6" t="inlineStr">
        <is>
          <t>DIA</t>
        </is>
      </c>
      <c r="D5068" s="6" t="inlineStr">
        <is>
          <t>IBM</t>
        </is>
      </c>
      <c r="E5068" s="6" t="inlineStr">
        <is>
          <t>IBM</t>
        </is>
      </c>
      <c r="F5068" s="6" t="inlineStr">
        <is>
          <t>-</t>
        </is>
      </c>
      <c r="G5068" s="7" t="n">
        <v>255.2811431884766</v>
      </c>
      <c r="H5068" s="6">
        <f>P5037</f>
        <v/>
      </c>
      <c r="I5068" s="9">
        <f>Q5037</f>
        <v/>
      </c>
      <c r="J5068" s="7">
        <f>I5068*G5068</f>
        <v/>
      </c>
      <c r="K5068" s="8">
        <f>IF($J$5085=0,0,J5068/$J$5085)</f>
        <v/>
      </c>
      <c r="L5068" s="6" t="inlineStr">
        <is>
          <t>WATCHLIST</t>
        </is>
      </c>
      <c r="M5068" s="8" t="n">
        <v>0</v>
      </c>
      <c r="N5068" s="7">
        <f>M5068*$J$5085-J5068</f>
        <v/>
      </c>
      <c r="O5068" s="9">
        <f>IF(G5068=0,0,N5068/G5068)</f>
        <v/>
      </c>
      <c r="P5068" s="6">
        <f>IF(M5068&gt;0,D5068,"")</f>
        <v/>
      </c>
      <c r="Q5068" s="9">
        <f>I5068+O5068</f>
        <v/>
      </c>
      <c r="R5068" s="7">
        <f>Q5068*G5068</f>
        <v/>
      </c>
      <c r="S5068" s="8">
        <f>IF($R$5085=0,0,R5068/$R$5085)</f>
        <v/>
      </c>
      <c r="T5068" s="8" t="n">
        <v>0.01206716213484982</v>
      </c>
      <c r="U5068" s="8" t="n">
        <v>0.002858787868482704</v>
      </c>
      <c r="V5068" s="6" t="inlineStr">
        <is>
          <t>not selected</t>
        </is>
      </c>
    </row>
    <row r="5069">
      <c r="A5069" s="6" t="inlineStr">
        <is>
          <t>DJ30</t>
        </is>
      </c>
      <c r="B5069" s="6" t="inlineStr">
        <is>
          <t>2026-02-20</t>
        </is>
      </c>
      <c r="C5069" s="6" t="inlineStr">
        <is>
          <t>DIA</t>
        </is>
      </c>
      <c r="D5069" s="6" t="inlineStr">
        <is>
          <t>JNJ</t>
        </is>
      </c>
      <c r="E5069" s="6" t="inlineStr">
        <is>
          <t>JNJ</t>
        </is>
      </c>
      <c r="F5069" s="6" t="inlineStr">
        <is>
          <t>-</t>
        </is>
      </c>
      <c r="G5069" s="7" t="n">
        <v>239.8284454345703</v>
      </c>
      <c r="H5069" s="6">
        <f>P5038</f>
        <v/>
      </c>
      <c r="I5069" s="9">
        <f>Q5038</f>
        <v/>
      </c>
      <c r="J5069" s="7">
        <f>I5069*G5069</f>
        <v/>
      </c>
      <c r="K5069" s="8">
        <f>IF($J$5085=0,0,J5069/$J$5085)</f>
        <v/>
      </c>
      <c r="L5069" s="6" t="inlineStr">
        <is>
          <t>SELECTED</t>
        </is>
      </c>
      <c r="M5069" s="8" t="n">
        <v>0.2</v>
      </c>
      <c r="N5069" s="7">
        <f>M5069*$J$5085-J5069</f>
        <v/>
      </c>
      <c r="O5069" s="9">
        <f>IF(G5069=0,0,N5069/G5069)</f>
        <v/>
      </c>
      <c r="P5069" s="6">
        <f>IF(M5069&gt;0,D5069,"")</f>
        <v/>
      </c>
      <c r="Q5069" s="9">
        <f>I5069+O5069</f>
        <v/>
      </c>
      <c r="R5069" s="7">
        <f>Q5069*G5069</f>
        <v/>
      </c>
      <c r="S5069" s="8">
        <f>IF($R$5085=0,0,R5069/$R$5085)</f>
        <v/>
      </c>
      <c r="T5069" s="8" t="n">
        <v>0.01206716213484982</v>
      </c>
      <c r="U5069" s="8" t="n">
        <v>0.002858787868482704</v>
      </c>
      <c r="V5069" s="6" t="inlineStr">
        <is>
          <t>remained in weekly selection</t>
        </is>
      </c>
    </row>
    <row r="5070">
      <c r="A5070" s="6" t="inlineStr">
        <is>
          <t>DJ30</t>
        </is>
      </c>
      <c r="B5070" s="6" t="inlineStr">
        <is>
          <t>2026-02-20</t>
        </is>
      </c>
      <c r="C5070" s="6" t="inlineStr">
        <is>
          <t>DIA</t>
        </is>
      </c>
      <c r="D5070" s="6" t="inlineStr">
        <is>
          <t>JPM</t>
        </is>
      </c>
      <c r="E5070" s="6" t="inlineStr">
        <is>
          <t>JPM</t>
        </is>
      </c>
      <c r="F5070" s="6" t="inlineStr">
        <is>
          <t>-</t>
        </is>
      </c>
      <c r="G5070" s="7" t="n">
        <v>309.2075805664062</v>
      </c>
      <c r="H5070" s="6">
        <f>P5039</f>
        <v/>
      </c>
      <c r="I5070" s="9">
        <f>Q5039</f>
        <v/>
      </c>
      <c r="J5070" s="7">
        <f>I5070*G5070</f>
        <v/>
      </c>
      <c r="K5070" s="8">
        <f>IF($J$5085=0,0,J5070/$J$5085)</f>
        <v/>
      </c>
      <c r="L5070" s="6" t="inlineStr">
        <is>
          <t>WATCHLIST</t>
        </is>
      </c>
      <c r="M5070" s="8" t="n">
        <v>0</v>
      </c>
      <c r="N5070" s="7">
        <f>M5070*$J$5085-J5070</f>
        <v/>
      </c>
      <c r="O5070" s="9">
        <f>IF(G5070=0,0,N5070/G5070)</f>
        <v/>
      </c>
      <c r="P5070" s="6">
        <f>IF(M5070&gt;0,D5070,"")</f>
        <v/>
      </c>
      <c r="Q5070" s="9">
        <f>I5070+O5070</f>
        <v/>
      </c>
      <c r="R5070" s="7">
        <f>Q5070*G5070</f>
        <v/>
      </c>
      <c r="S5070" s="8">
        <f>IF($R$5085=0,0,R5070/$R$5085)</f>
        <v/>
      </c>
      <c r="T5070" s="8" t="n">
        <v>0.01206716213484982</v>
      </c>
      <c r="U5070" s="8" t="n">
        <v>0.002858787868482704</v>
      </c>
      <c r="V5070" s="6" t="inlineStr">
        <is>
          <t>not selected</t>
        </is>
      </c>
    </row>
    <row r="5071">
      <c r="A5071" s="6" t="inlineStr">
        <is>
          <t>DJ30</t>
        </is>
      </c>
      <c r="B5071" s="6" t="inlineStr">
        <is>
          <t>2026-02-20</t>
        </is>
      </c>
      <c r="C5071" s="6" t="inlineStr">
        <is>
          <t>DIA</t>
        </is>
      </c>
      <c r="D5071" s="6" t="inlineStr">
        <is>
          <t>KO</t>
        </is>
      </c>
      <c r="E5071" s="6" t="inlineStr">
        <is>
          <t>KO</t>
        </is>
      </c>
      <c r="F5071" s="6" t="inlineStr">
        <is>
          <t>-</t>
        </is>
      </c>
      <c r="G5071" s="7" t="n">
        <v>78.78610229492188</v>
      </c>
      <c r="H5071" s="6">
        <f>P5040</f>
        <v/>
      </c>
      <c r="I5071" s="9">
        <f>Q5040</f>
        <v/>
      </c>
      <c r="J5071" s="7">
        <f>I5071*G5071</f>
        <v/>
      </c>
      <c r="K5071" s="8">
        <f>IF($J$5085=0,0,J5071/$J$5085)</f>
        <v/>
      </c>
      <c r="L5071" s="6" t="inlineStr">
        <is>
          <t>REJECTED</t>
        </is>
      </c>
      <c r="M5071" s="8" t="n">
        <v>0</v>
      </c>
      <c r="N5071" s="7">
        <f>M5071*$J$5085-J5071</f>
        <v/>
      </c>
      <c r="O5071" s="9">
        <f>IF(G5071=0,0,N5071/G5071)</f>
        <v/>
      </c>
      <c r="P5071" s="6">
        <f>IF(M5071&gt;0,D5071,"")</f>
        <v/>
      </c>
      <c r="Q5071" s="9">
        <f>I5071+O5071</f>
        <v/>
      </c>
      <c r="R5071" s="7">
        <f>Q5071*G5071</f>
        <v/>
      </c>
      <c r="S5071" s="8">
        <f>IF($R$5085=0,0,R5071/$R$5085)</f>
        <v/>
      </c>
      <c r="T5071" s="8" t="n">
        <v>0.01206716213484982</v>
      </c>
      <c r="U5071" s="8" t="n">
        <v>0.002858787868482704</v>
      </c>
      <c r="V5071" s="6" t="inlineStr">
        <is>
          <t>not selected</t>
        </is>
      </c>
    </row>
    <row r="5072">
      <c r="A5072" s="6" t="inlineStr">
        <is>
          <t>DJ30</t>
        </is>
      </c>
      <c r="B5072" s="6" t="inlineStr">
        <is>
          <t>2026-02-20</t>
        </is>
      </c>
      <c r="C5072" s="6" t="inlineStr">
        <is>
          <t>DIA</t>
        </is>
      </c>
      <c r="D5072" s="6" t="inlineStr">
        <is>
          <t>MCD</t>
        </is>
      </c>
      <c r="E5072" s="6" t="inlineStr">
        <is>
          <t>MCD</t>
        </is>
      </c>
      <c r="F5072" s="6" t="inlineStr">
        <is>
          <t>-</t>
        </is>
      </c>
      <c r="G5072" s="7" t="n">
        <v>325.1955261230469</v>
      </c>
      <c r="H5072" s="6">
        <f>P5041</f>
        <v/>
      </c>
      <c r="I5072" s="9">
        <f>Q5041</f>
        <v/>
      </c>
      <c r="J5072" s="7">
        <f>I5072*G5072</f>
        <v/>
      </c>
      <c r="K5072" s="8">
        <f>IF($J$5085=0,0,J5072/$J$5085)</f>
        <v/>
      </c>
      <c r="L5072" s="6" t="inlineStr">
        <is>
          <t>REJECTED</t>
        </is>
      </c>
      <c r="M5072" s="8" t="n">
        <v>0</v>
      </c>
      <c r="N5072" s="7">
        <f>M5072*$J$5085-J5072</f>
        <v/>
      </c>
      <c r="O5072" s="9">
        <f>IF(G5072=0,0,N5072/G5072)</f>
        <v/>
      </c>
      <c r="P5072" s="6">
        <f>IF(M5072&gt;0,D5072,"")</f>
        <v/>
      </c>
      <c r="Q5072" s="9">
        <f>I5072+O5072</f>
        <v/>
      </c>
      <c r="R5072" s="7">
        <f>Q5072*G5072</f>
        <v/>
      </c>
      <c r="S5072" s="8">
        <f>IF($R$5085=0,0,R5072/$R$5085)</f>
        <v/>
      </c>
      <c r="T5072" s="8" t="n">
        <v>0.01206716213484982</v>
      </c>
      <c r="U5072" s="8" t="n">
        <v>0.002858787868482704</v>
      </c>
      <c r="V5072" s="6" t="inlineStr">
        <is>
          <t>not selected</t>
        </is>
      </c>
    </row>
    <row r="5073">
      <c r="A5073" s="6" t="inlineStr">
        <is>
          <t>DJ30</t>
        </is>
      </c>
      <c r="B5073" s="6" t="inlineStr">
        <is>
          <t>2026-02-20</t>
        </is>
      </c>
      <c r="C5073" s="6" t="inlineStr">
        <is>
          <t>DIA</t>
        </is>
      </c>
      <c r="D5073" s="6" t="inlineStr">
        <is>
          <t>MMM</t>
        </is>
      </c>
      <c r="E5073" s="6" t="inlineStr">
        <is>
          <t>MMM</t>
        </is>
      </c>
      <c r="F5073" s="6" t="inlineStr">
        <is>
          <t>-</t>
        </is>
      </c>
      <c r="G5073" s="7" t="n">
        <v>166.2004547119141</v>
      </c>
      <c r="H5073" s="6">
        <f>P5042</f>
        <v/>
      </c>
      <c r="I5073" s="9">
        <f>Q5042</f>
        <v/>
      </c>
      <c r="J5073" s="7">
        <f>I5073*G5073</f>
        <v/>
      </c>
      <c r="K5073" s="8">
        <f>IF($J$5085=0,0,J5073/$J$5085)</f>
        <v/>
      </c>
      <c r="L5073" s="6" t="inlineStr">
        <is>
          <t>WATCHLIST</t>
        </is>
      </c>
      <c r="M5073" s="8" t="n">
        <v>0</v>
      </c>
      <c r="N5073" s="7">
        <f>M5073*$J$5085-J5073</f>
        <v/>
      </c>
      <c r="O5073" s="9">
        <f>IF(G5073=0,0,N5073/G5073)</f>
        <v/>
      </c>
      <c r="P5073" s="6">
        <f>IF(M5073&gt;0,D5073,"")</f>
        <v/>
      </c>
      <c r="Q5073" s="9">
        <f>I5073+O5073</f>
        <v/>
      </c>
      <c r="R5073" s="7">
        <f>Q5073*G5073</f>
        <v/>
      </c>
      <c r="S5073" s="8">
        <f>IF($R$5085=0,0,R5073/$R$5085)</f>
        <v/>
      </c>
      <c r="T5073" s="8" t="n">
        <v>0.01206716213484982</v>
      </c>
      <c r="U5073" s="8" t="n">
        <v>0.002858787868482704</v>
      </c>
      <c r="V5073" s="6" t="inlineStr">
        <is>
          <t>not selected</t>
        </is>
      </c>
    </row>
    <row r="5074">
      <c r="A5074" s="6" t="inlineStr">
        <is>
          <t>DJ30</t>
        </is>
      </c>
      <c r="B5074" s="6" t="inlineStr">
        <is>
          <t>2026-02-20</t>
        </is>
      </c>
      <c r="C5074" s="6" t="inlineStr">
        <is>
          <t>DIA</t>
        </is>
      </c>
      <c r="D5074" s="6" t="inlineStr">
        <is>
          <t>MRK</t>
        </is>
      </c>
      <c r="E5074" s="6" t="inlineStr">
        <is>
          <t>MRK</t>
        </is>
      </c>
      <c r="F5074" s="6" t="inlineStr">
        <is>
          <t>-</t>
        </is>
      </c>
      <c r="G5074" s="7" t="n">
        <v>120.4946136474609</v>
      </c>
      <c r="H5074" s="6">
        <f>P5043</f>
        <v/>
      </c>
      <c r="I5074" s="9">
        <f>Q5043</f>
        <v/>
      </c>
      <c r="J5074" s="7">
        <f>I5074*G5074</f>
        <v/>
      </c>
      <c r="K5074" s="8">
        <f>IF($J$5085=0,0,J5074/$J$5085)</f>
        <v/>
      </c>
      <c r="L5074" s="6" t="inlineStr">
        <is>
          <t>WATCHLIST</t>
        </is>
      </c>
      <c r="M5074" s="8" t="n">
        <v>0</v>
      </c>
      <c r="N5074" s="7">
        <f>M5074*$J$5085-J5074</f>
        <v/>
      </c>
      <c r="O5074" s="9">
        <f>IF(G5074=0,0,N5074/G5074)</f>
        <v/>
      </c>
      <c r="P5074" s="6">
        <f>IF(M5074&gt;0,D5074,"")</f>
        <v/>
      </c>
      <c r="Q5074" s="9">
        <f>I5074+O5074</f>
        <v/>
      </c>
      <c r="R5074" s="7">
        <f>Q5074*G5074</f>
        <v/>
      </c>
      <c r="S5074" s="8">
        <f>IF($R$5085=0,0,R5074/$R$5085)</f>
        <v/>
      </c>
      <c r="T5074" s="8" t="n">
        <v>0.01206716213484982</v>
      </c>
      <c r="U5074" s="8" t="n">
        <v>0.002858787868482704</v>
      </c>
      <c r="V5074" s="6" t="inlineStr">
        <is>
          <t>not selected</t>
        </is>
      </c>
    </row>
    <row r="5075">
      <c r="A5075" s="6" t="inlineStr">
        <is>
          <t>DJ30</t>
        </is>
      </c>
      <c r="B5075" s="6" t="inlineStr">
        <is>
          <t>2026-02-20</t>
        </is>
      </c>
      <c r="C5075" s="6" t="inlineStr">
        <is>
          <t>DIA</t>
        </is>
      </c>
      <c r="D5075" s="6" t="inlineStr">
        <is>
          <t>MSFT</t>
        </is>
      </c>
      <c r="E5075" s="6" t="inlineStr">
        <is>
          <t>MSFT</t>
        </is>
      </c>
      <c r="F5075" s="6" t="inlineStr">
        <is>
          <t>-</t>
        </is>
      </c>
      <c r="G5075" s="7" t="n">
        <v>396.3715209960938</v>
      </c>
      <c r="H5075" s="6">
        <f>P5044</f>
        <v/>
      </c>
      <c r="I5075" s="9">
        <f>Q5044</f>
        <v/>
      </c>
      <c r="J5075" s="7">
        <f>I5075*G5075</f>
        <v/>
      </c>
      <c r="K5075" s="8">
        <f>IF($J$5085=0,0,J5075/$J$5085)</f>
        <v/>
      </c>
      <c r="L5075" s="6" t="inlineStr">
        <is>
          <t>REJECTED</t>
        </is>
      </c>
      <c r="M5075" s="8" t="n">
        <v>0</v>
      </c>
      <c r="N5075" s="7">
        <f>M5075*$J$5085-J5075</f>
        <v/>
      </c>
      <c r="O5075" s="9">
        <f>IF(G5075=0,0,N5075/G5075)</f>
        <v/>
      </c>
      <c r="P5075" s="6">
        <f>IF(M5075&gt;0,D5075,"")</f>
        <v/>
      </c>
      <c r="Q5075" s="9">
        <f>I5075+O5075</f>
        <v/>
      </c>
      <c r="R5075" s="7">
        <f>Q5075*G5075</f>
        <v/>
      </c>
      <c r="S5075" s="8">
        <f>IF($R$5085=0,0,R5075/$R$5085)</f>
        <v/>
      </c>
      <c r="T5075" s="8" t="n">
        <v>0.01206716213484982</v>
      </c>
      <c r="U5075" s="8" t="n">
        <v>0.002858787868482704</v>
      </c>
      <c r="V5075" s="6" t="inlineStr">
        <is>
          <t>not selected</t>
        </is>
      </c>
    </row>
    <row r="5076">
      <c r="A5076" s="6" t="inlineStr">
        <is>
          <t>DJ30</t>
        </is>
      </c>
      <c r="B5076" s="6" t="inlineStr">
        <is>
          <t>2026-02-20</t>
        </is>
      </c>
      <c r="C5076" s="6" t="inlineStr">
        <is>
          <t>DIA</t>
        </is>
      </c>
      <c r="D5076" s="6" t="inlineStr">
        <is>
          <t>NKE</t>
        </is>
      </c>
      <c r="E5076" s="6" t="inlineStr">
        <is>
          <t>NKE</t>
        </is>
      </c>
      <c r="F5076" s="6" t="inlineStr">
        <is>
          <t>-</t>
        </is>
      </c>
      <c r="G5076" s="7" t="n">
        <v>64.39258575439453</v>
      </c>
      <c r="H5076" s="6">
        <f>P5045</f>
        <v/>
      </c>
      <c r="I5076" s="9">
        <f>Q5045</f>
        <v/>
      </c>
      <c r="J5076" s="7">
        <f>I5076*G5076</f>
        <v/>
      </c>
      <c r="K5076" s="8">
        <f>IF($J$5085=0,0,J5076/$J$5085)</f>
        <v/>
      </c>
      <c r="L5076" s="6" t="inlineStr">
        <is>
          <t>REJECTED</t>
        </is>
      </c>
      <c r="M5076" s="8" t="n">
        <v>0</v>
      </c>
      <c r="N5076" s="7">
        <f>M5076*$J$5085-J5076</f>
        <v/>
      </c>
      <c r="O5076" s="9">
        <f>IF(G5076=0,0,N5076/G5076)</f>
        <v/>
      </c>
      <c r="P5076" s="6">
        <f>IF(M5076&gt;0,D5076,"")</f>
        <v/>
      </c>
      <c r="Q5076" s="9">
        <f>I5076+O5076</f>
        <v/>
      </c>
      <c r="R5076" s="7">
        <f>Q5076*G5076</f>
        <v/>
      </c>
      <c r="S5076" s="8">
        <f>IF($R$5085=0,0,R5076/$R$5085)</f>
        <v/>
      </c>
      <c r="T5076" s="8" t="n">
        <v>0.01206716213484982</v>
      </c>
      <c r="U5076" s="8" t="n">
        <v>0.002858787868482704</v>
      </c>
      <c r="V5076" s="6" t="inlineStr">
        <is>
          <t>not selected</t>
        </is>
      </c>
    </row>
    <row r="5077">
      <c r="A5077" s="6" t="inlineStr">
        <is>
          <t>DJ30</t>
        </is>
      </c>
      <c r="B5077" s="6" t="inlineStr">
        <is>
          <t>2026-02-20</t>
        </is>
      </c>
      <c r="C5077" s="6" t="inlineStr">
        <is>
          <t>DIA</t>
        </is>
      </c>
      <c r="D5077" s="6" t="inlineStr">
        <is>
          <t>NVDA</t>
        </is>
      </c>
      <c r="E5077" s="6" t="inlineStr">
        <is>
          <t>NVDA</t>
        </is>
      </c>
      <c r="F5077" s="6" t="inlineStr">
        <is>
          <t>-</t>
        </is>
      </c>
      <c r="G5077" s="7" t="n">
        <v>189.5887756347656</v>
      </c>
      <c r="H5077" s="6">
        <f>P5046</f>
        <v/>
      </c>
      <c r="I5077" s="9">
        <f>Q5046</f>
        <v/>
      </c>
      <c r="J5077" s="7">
        <f>I5077*G5077</f>
        <v/>
      </c>
      <c r="K5077" s="8">
        <f>IF($J$5085=0,0,J5077/$J$5085)</f>
        <v/>
      </c>
      <c r="L5077" s="6" t="inlineStr">
        <is>
          <t>SELECTED</t>
        </is>
      </c>
      <c r="M5077" s="8" t="n">
        <v>0.2</v>
      </c>
      <c r="N5077" s="7">
        <f>M5077*$J$5085-J5077</f>
        <v/>
      </c>
      <c r="O5077" s="9">
        <f>IF(G5077=0,0,N5077/G5077)</f>
        <v/>
      </c>
      <c r="P5077" s="6">
        <f>IF(M5077&gt;0,D5077,"")</f>
        <v/>
      </c>
      <c r="Q5077" s="9">
        <f>I5077+O5077</f>
        <v/>
      </c>
      <c r="R5077" s="7">
        <f>Q5077*G5077</f>
        <v/>
      </c>
      <c r="S5077" s="8">
        <f>IF($R$5085=0,0,R5077/$R$5085)</f>
        <v/>
      </c>
      <c r="T5077" s="8" t="n">
        <v>0.01206716213484982</v>
      </c>
      <c r="U5077" s="8" t="n">
        <v>0.002858787868482704</v>
      </c>
      <c r="V5077" s="6" t="inlineStr">
        <is>
          <t>remained in weekly selection</t>
        </is>
      </c>
    </row>
    <row r="5078">
      <c r="A5078" s="6" t="inlineStr">
        <is>
          <t>DJ30</t>
        </is>
      </c>
      <c r="B5078" s="6" t="inlineStr">
        <is>
          <t>2026-02-20</t>
        </is>
      </c>
      <c r="C5078" s="6" t="inlineStr">
        <is>
          <t>DIA</t>
        </is>
      </c>
      <c r="D5078" s="6" t="inlineStr">
        <is>
          <t>PG</t>
        </is>
      </c>
      <c r="E5078" s="6" t="inlineStr">
        <is>
          <t>PG</t>
        </is>
      </c>
      <c r="F5078" s="6" t="inlineStr">
        <is>
          <t>-</t>
        </is>
      </c>
      <c r="G5078" s="7" t="n">
        <v>159.578369140625</v>
      </c>
      <c r="H5078" s="6">
        <f>P5047</f>
        <v/>
      </c>
      <c r="I5078" s="9">
        <f>Q5047</f>
        <v/>
      </c>
      <c r="J5078" s="7">
        <f>I5078*G5078</f>
        <v/>
      </c>
      <c r="K5078" s="8">
        <f>IF($J$5085=0,0,J5078/$J$5085)</f>
        <v/>
      </c>
      <c r="L5078" s="6" t="inlineStr">
        <is>
          <t>REJECTED</t>
        </is>
      </c>
      <c r="M5078" s="8" t="n">
        <v>0</v>
      </c>
      <c r="N5078" s="7">
        <f>M5078*$J$5085-J5078</f>
        <v/>
      </c>
      <c r="O5078" s="9">
        <f>IF(G5078=0,0,N5078/G5078)</f>
        <v/>
      </c>
      <c r="P5078" s="6">
        <f>IF(M5078&gt;0,D5078,"")</f>
        <v/>
      </c>
      <c r="Q5078" s="9">
        <f>I5078+O5078</f>
        <v/>
      </c>
      <c r="R5078" s="7">
        <f>Q5078*G5078</f>
        <v/>
      </c>
      <c r="S5078" s="8">
        <f>IF($R$5085=0,0,R5078/$R$5085)</f>
        <v/>
      </c>
      <c r="T5078" s="8" t="n">
        <v>0.01206716213484982</v>
      </c>
      <c r="U5078" s="8" t="n">
        <v>0.002858787868482704</v>
      </c>
      <c r="V5078" s="6" t="inlineStr">
        <is>
          <t>not selected</t>
        </is>
      </c>
    </row>
    <row r="5079">
      <c r="A5079" s="6" t="inlineStr">
        <is>
          <t>DJ30</t>
        </is>
      </c>
      <c r="B5079" s="6" t="inlineStr">
        <is>
          <t>2026-02-20</t>
        </is>
      </c>
      <c r="C5079" s="6" t="inlineStr">
        <is>
          <t>DIA</t>
        </is>
      </c>
      <c r="D5079" s="6" t="inlineStr">
        <is>
          <t>SHW</t>
        </is>
      </c>
      <c r="E5079" s="6" t="inlineStr">
        <is>
          <t>SHW</t>
        </is>
      </c>
      <c r="F5079" s="6" t="inlineStr">
        <is>
          <t>-</t>
        </is>
      </c>
      <c r="G5079" s="7" t="n">
        <v>358.9037475585937</v>
      </c>
      <c r="H5079" s="6">
        <f>P5048</f>
        <v/>
      </c>
      <c r="I5079" s="9">
        <f>Q5048</f>
        <v/>
      </c>
      <c r="J5079" s="7">
        <f>I5079*G5079</f>
        <v/>
      </c>
      <c r="K5079" s="8">
        <f>IF($J$5085=0,0,J5079/$J$5085)</f>
        <v/>
      </c>
      <c r="L5079" s="6" t="inlineStr">
        <is>
          <t>REJECTED</t>
        </is>
      </c>
      <c r="M5079" s="8" t="n">
        <v>0</v>
      </c>
      <c r="N5079" s="7">
        <f>M5079*$J$5085-J5079</f>
        <v/>
      </c>
      <c r="O5079" s="9">
        <f>IF(G5079=0,0,N5079/G5079)</f>
        <v/>
      </c>
      <c r="P5079" s="6">
        <f>IF(M5079&gt;0,D5079,"")</f>
        <v/>
      </c>
      <c r="Q5079" s="9">
        <f>I5079+O5079</f>
        <v/>
      </c>
      <c r="R5079" s="7">
        <f>Q5079*G5079</f>
        <v/>
      </c>
      <c r="S5079" s="8">
        <f>IF($R$5085=0,0,R5079/$R$5085)</f>
        <v/>
      </c>
      <c r="T5079" s="8" t="n">
        <v>0.01206716213484982</v>
      </c>
      <c r="U5079" s="8" t="n">
        <v>0.002858787868482704</v>
      </c>
      <c r="V5079" s="6" t="inlineStr">
        <is>
          <t>not selected</t>
        </is>
      </c>
    </row>
    <row r="5080">
      <c r="A5080" s="6" t="inlineStr">
        <is>
          <t>DJ30</t>
        </is>
      </c>
      <c r="B5080" s="6" t="inlineStr">
        <is>
          <t>2026-02-20</t>
        </is>
      </c>
      <c r="C5080" s="6" t="inlineStr">
        <is>
          <t>DIA</t>
        </is>
      </c>
      <c r="D5080" s="6" t="inlineStr">
        <is>
          <t>TRV</t>
        </is>
      </c>
      <c r="E5080" s="6" t="inlineStr">
        <is>
          <t>TRV</t>
        </is>
      </c>
      <c r="F5080" s="6" t="inlineStr">
        <is>
          <t>-</t>
        </is>
      </c>
      <c r="G5080" s="7" t="n">
        <v>302.5587768554688</v>
      </c>
      <c r="H5080" s="6">
        <f>P5049</f>
        <v/>
      </c>
      <c r="I5080" s="9">
        <f>Q5049</f>
        <v/>
      </c>
      <c r="J5080" s="7">
        <f>I5080*G5080</f>
        <v/>
      </c>
      <c r="K5080" s="8">
        <f>IF($J$5085=0,0,J5080/$J$5085)</f>
        <v/>
      </c>
      <c r="L5080" s="6" t="inlineStr">
        <is>
          <t>WATCHLIST</t>
        </is>
      </c>
      <c r="M5080" s="8" t="n">
        <v>0</v>
      </c>
      <c r="N5080" s="7">
        <f>M5080*$J$5085-J5080</f>
        <v/>
      </c>
      <c r="O5080" s="9">
        <f>IF(G5080=0,0,N5080/G5080)</f>
        <v/>
      </c>
      <c r="P5080" s="6">
        <f>IF(M5080&gt;0,D5080,"")</f>
        <v/>
      </c>
      <c r="Q5080" s="9">
        <f>I5080+O5080</f>
        <v/>
      </c>
      <c r="R5080" s="7">
        <f>Q5080*G5080</f>
        <v/>
      </c>
      <c r="S5080" s="8">
        <f>IF($R$5085=0,0,R5080/$R$5085)</f>
        <v/>
      </c>
      <c r="T5080" s="8" t="n">
        <v>0.01206716213484982</v>
      </c>
      <c r="U5080" s="8" t="n">
        <v>0.002858787868482704</v>
      </c>
      <c r="V5080" s="6" t="inlineStr">
        <is>
          <t>not selected</t>
        </is>
      </c>
    </row>
    <row r="5081">
      <c r="A5081" s="6" t="inlineStr">
        <is>
          <t>DJ30</t>
        </is>
      </c>
      <c r="B5081" s="6" t="inlineStr">
        <is>
          <t>2026-02-20</t>
        </is>
      </c>
      <c r="C5081" s="6" t="inlineStr">
        <is>
          <t>DIA</t>
        </is>
      </c>
      <c r="D5081" s="6" t="inlineStr">
        <is>
          <t>UNH</t>
        </is>
      </c>
      <c r="E5081" s="6" t="inlineStr">
        <is>
          <t>UNH</t>
        </is>
      </c>
      <c r="F5081" s="6" t="inlineStr">
        <is>
          <t>-</t>
        </is>
      </c>
      <c r="G5081" s="7" t="n">
        <v>286.1286315917969</v>
      </c>
      <c r="H5081" s="6">
        <f>P5050</f>
        <v/>
      </c>
      <c r="I5081" s="9">
        <f>Q5050</f>
        <v/>
      </c>
      <c r="J5081" s="7">
        <f>I5081*G5081</f>
        <v/>
      </c>
      <c r="K5081" s="8">
        <f>IF($J$5085=0,0,J5081/$J$5085)</f>
        <v/>
      </c>
      <c r="L5081" s="6" t="inlineStr">
        <is>
          <t>REJECTED</t>
        </is>
      </c>
      <c r="M5081" s="8" t="n">
        <v>0</v>
      </c>
      <c r="N5081" s="7">
        <f>M5081*$J$5085-J5081</f>
        <v/>
      </c>
      <c r="O5081" s="9">
        <f>IF(G5081=0,0,N5081/G5081)</f>
        <v/>
      </c>
      <c r="P5081" s="6">
        <f>IF(M5081&gt;0,D5081,"")</f>
        <v/>
      </c>
      <c r="Q5081" s="9">
        <f>I5081+O5081</f>
        <v/>
      </c>
      <c r="R5081" s="7">
        <f>Q5081*G5081</f>
        <v/>
      </c>
      <c r="S5081" s="8">
        <f>IF($R$5085=0,0,R5081/$R$5085)</f>
        <v/>
      </c>
      <c r="T5081" s="8" t="n">
        <v>0.01206716213484982</v>
      </c>
      <c r="U5081" s="8" t="n">
        <v>0.002858787868482704</v>
      </c>
      <c r="V5081" s="6" t="inlineStr">
        <is>
          <t>not selected</t>
        </is>
      </c>
    </row>
    <row r="5082">
      <c r="A5082" s="6" t="inlineStr">
        <is>
          <t>DJ30</t>
        </is>
      </c>
      <c r="B5082" s="6" t="inlineStr">
        <is>
          <t>2026-02-20</t>
        </is>
      </c>
      <c r="C5082" s="6" t="inlineStr">
        <is>
          <t>DIA</t>
        </is>
      </c>
      <c r="D5082" s="6" t="inlineStr">
        <is>
          <t>V</t>
        </is>
      </c>
      <c r="E5082" s="6" t="inlineStr">
        <is>
          <t>V</t>
        </is>
      </c>
      <c r="F5082" s="6" t="inlineStr">
        <is>
          <t>-</t>
        </is>
      </c>
      <c r="G5082" s="7" t="n">
        <v>320.2860107421875</v>
      </c>
      <c r="H5082" s="6">
        <f>P5051</f>
        <v/>
      </c>
      <c r="I5082" s="9">
        <f>Q5051</f>
        <v/>
      </c>
      <c r="J5082" s="7">
        <f>I5082*G5082</f>
        <v/>
      </c>
      <c r="K5082" s="8">
        <f>IF($J$5085=0,0,J5082/$J$5085)</f>
        <v/>
      </c>
      <c r="L5082" s="6" t="inlineStr">
        <is>
          <t>REJECTED</t>
        </is>
      </c>
      <c r="M5082" s="8" t="n">
        <v>0</v>
      </c>
      <c r="N5082" s="7">
        <f>M5082*$J$5085-J5082</f>
        <v/>
      </c>
      <c r="O5082" s="9">
        <f>IF(G5082=0,0,N5082/G5082)</f>
        <v/>
      </c>
      <c r="P5082" s="6">
        <f>IF(M5082&gt;0,D5082,"")</f>
        <v/>
      </c>
      <c r="Q5082" s="9">
        <f>I5082+O5082</f>
        <v/>
      </c>
      <c r="R5082" s="7">
        <f>Q5082*G5082</f>
        <v/>
      </c>
      <c r="S5082" s="8">
        <f>IF($R$5085=0,0,R5082/$R$5085)</f>
        <v/>
      </c>
      <c r="T5082" s="8" t="n">
        <v>0.01206716213484982</v>
      </c>
      <c r="U5082" s="8" t="n">
        <v>0.002858787868482704</v>
      </c>
      <c r="V5082" s="6" t="inlineStr">
        <is>
          <t>not selected</t>
        </is>
      </c>
    </row>
    <row r="5083">
      <c r="A5083" s="6" t="inlineStr">
        <is>
          <t>DJ30</t>
        </is>
      </c>
      <c r="B5083" s="6" t="inlineStr">
        <is>
          <t>2026-02-20</t>
        </is>
      </c>
      <c r="C5083" s="6" t="inlineStr">
        <is>
          <t>DIA</t>
        </is>
      </c>
      <c r="D5083" s="6" t="inlineStr">
        <is>
          <t>VZ</t>
        </is>
      </c>
      <c r="E5083" s="6" t="inlineStr">
        <is>
          <t>VZ</t>
        </is>
      </c>
      <c r="F5083" s="6" t="inlineStr">
        <is>
          <t>-</t>
        </is>
      </c>
      <c r="G5083" s="7" t="n">
        <v>48.52021789550781</v>
      </c>
      <c r="H5083" s="6">
        <f>P5052</f>
        <v/>
      </c>
      <c r="I5083" s="9">
        <f>Q5052</f>
        <v/>
      </c>
      <c r="J5083" s="7">
        <f>I5083*G5083</f>
        <v/>
      </c>
      <c r="K5083" s="8">
        <f>IF($J$5085=0,0,J5083/$J$5085)</f>
        <v/>
      </c>
      <c r="L5083" s="6" t="inlineStr">
        <is>
          <t>REJECTED</t>
        </is>
      </c>
      <c r="M5083" s="8" t="n">
        <v>0</v>
      </c>
      <c r="N5083" s="7">
        <f>M5083*$J$5085-J5083</f>
        <v/>
      </c>
      <c r="O5083" s="9">
        <f>IF(G5083=0,0,N5083/G5083)</f>
        <v/>
      </c>
      <c r="P5083" s="6">
        <f>IF(M5083&gt;0,D5083,"")</f>
        <v/>
      </c>
      <c r="Q5083" s="9">
        <f>I5083+O5083</f>
        <v/>
      </c>
      <c r="R5083" s="7">
        <f>Q5083*G5083</f>
        <v/>
      </c>
      <c r="S5083" s="8">
        <f>IF($R$5085=0,0,R5083/$R$5085)</f>
        <v/>
      </c>
      <c r="T5083" s="8" t="n">
        <v>0.01206716213484982</v>
      </c>
      <c r="U5083" s="8" t="n">
        <v>0.002858787868482704</v>
      </c>
      <c r="V5083" s="6" t="inlineStr">
        <is>
          <t>not selected</t>
        </is>
      </c>
    </row>
    <row r="5084">
      <c r="A5084" s="6" t="inlineStr">
        <is>
          <t>DJ30</t>
        </is>
      </c>
      <c r="B5084" s="6" t="inlineStr">
        <is>
          <t>2026-02-20</t>
        </is>
      </c>
      <c r="C5084" s="6" t="inlineStr">
        <is>
          <t>DIA</t>
        </is>
      </c>
      <c r="D5084" s="6" t="inlineStr">
        <is>
          <t>WMT</t>
        </is>
      </c>
      <c r="E5084" s="6" t="inlineStr">
        <is>
          <t>WMT</t>
        </is>
      </c>
      <c r="F5084" s="6" t="inlineStr">
        <is>
          <t>-</t>
        </is>
      </c>
      <c r="G5084" s="7" t="n">
        <v>122.5043182373047</v>
      </c>
      <c r="H5084" s="6">
        <f>P5053</f>
        <v/>
      </c>
      <c r="I5084" s="9">
        <f>Q5053</f>
        <v/>
      </c>
      <c r="J5084" s="7">
        <f>I5084*G5084</f>
        <v/>
      </c>
      <c r="K5084" s="8">
        <f>IF($J$5085=0,0,J5084/$J$5085)</f>
        <v/>
      </c>
      <c r="L5084" s="6" t="inlineStr">
        <is>
          <t>WATCHLIST</t>
        </is>
      </c>
      <c r="M5084" s="8" t="n">
        <v>0</v>
      </c>
      <c r="N5084" s="7">
        <f>M5084*$J$5085-J5084</f>
        <v/>
      </c>
      <c r="O5084" s="9">
        <f>IF(G5084=0,0,N5084/G5084)</f>
        <v/>
      </c>
      <c r="P5084" s="6">
        <f>IF(M5084&gt;0,D5084,"")</f>
        <v/>
      </c>
      <c r="Q5084" s="9">
        <f>I5084+O5084</f>
        <v/>
      </c>
      <c r="R5084" s="7">
        <f>Q5084*G5084</f>
        <v/>
      </c>
      <c r="S5084" s="8">
        <f>IF($R$5085=0,0,R5084/$R$5085)</f>
        <v/>
      </c>
      <c r="T5084" s="8" t="n">
        <v>0.01206716213484982</v>
      </c>
      <c r="U5084" s="8" t="n">
        <v>0.002858787868482704</v>
      </c>
      <c r="V5084" s="6" t="inlineStr">
        <is>
          <t>not selected</t>
        </is>
      </c>
    </row>
    <row r="5085">
      <c r="A5085" s="10" t="inlineStr">
        <is>
          <t>DJ30</t>
        </is>
      </c>
      <c r="B5085" s="10" t="inlineStr">
        <is>
          <t>2026-02-20</t>
        </is>
      </c>
      <c r="C5085" s="10" t="inlineStr">
        <is>
          <t>DIA</t>
        </is>
      </c>
      <c r="D5085" s="10" t="inlineStr">
        <is>
          <t>Tot Portfolio</t>
        </is>
      </c>
      <c r="E5085" s="10" t="inlineStr"/>
      <c r="F5085" s="10" t="inlineStr"/>
      <c r="G5085" s="11" t="inlineStr"/>
      <c r="H5085" s="10" t="inlineStr"/>
      <c r="I5085" s="12" t="inlineStr"/>
      <c r="J5085" s="11">
        <f>SUM(J5055:J5084)</f>
        <v/>
      </c>
      <c r="K5085" s="13">
        <f>SUM(K5055:K5084)</f>
        <v/>
      </c>
      <c r="L5085" s="10" t="inlineStr">
        <is>
          <t>TOTAL</t>
        </is>
      </c>
      <c r="M5085" s="13">
        <f>SUM(M5055:M5084)</f>
        <v/>
      </c>
      <c r="N5085" s="11">
        <f>SUM(N5055:N5084)</f>
        <v/>
      </c>
      <c r="O5085" s="12">
        <f>SUM(O5055:O5084)</f>
        <v/>
      </c>
      <c r="P5085" s="10" t="inlineStr"/>
      <c r="Q5085" s="12" t="inlineStr"/>
      <c r="R5085" s="11">
        <f>SUM(R5055:R5084)</f>
        <v/>
      </c>
      <c r="S5085" s="13">
        <f>SUM(S5055:S5084)</f>
        <v/>
      </c>
      <c r="T5085" s="13" t="n">
        <v>0.01206716213484982</v>
      </c>
      <c r="U5085" s="13" t="n">
        <v>0.002858787868482704</v>
      </c>
      <c r="V5085" s="10" t="inlineStr"/>
    </row>
    <row r="5086">
      <c r="A5086" s="6" t="inlineStr">
        <is>
          <t>DJ30</t>
        </is>
      </c>
      <c r="B5086" s="6" t="inlineStr">
        <is>
          <t>2026-02-27</t>
        </is>
      </c>
      <c r="C5086" s="6" t="inlineStr">
        <is>
          <t>DIA</t>
        </is>
      </c>
      <c r="D5086" s="6" t="inlineStr">
        <is>
          <t>AAPL</t>
        </is>
      </c>
      <c r="E5086" s="6" t="inlineStr">
        <is>
          <t>AAPL</t>
        </is>
      </c>
      <c r="F5086" s="6" t="inlineStr">
        <is>
          <t>-</t>
        </is>
      </c>
      <c r="G5086" s="7" t="n">
        <v>263.9368286132812</v>
      </c>
      <c r="H5086" s="6">
        <f>P5055</f>
        <v/>
      </c>
      <c r="I5086" s="9">
        <f>Q5055</f>
        <v/>
      </c>
      <c r="J5086" s="7">
        <f>I5086*G5086</f>
        <v/>
      </c>
      <c r="K5086" s="8">
        <f>IF($J$5116=0,0,J5086/$J$5116)</f>
        <v/>
      </c>
      <c r="L5086" s="6" t="inlineStr">
        <is>
          <t>WATCHLIST</t>
        </is>
      </c>
      <c r="M5086" s="8" t="n">
        <v>0</v>
      </c>
      <c r="N5086" s="7">
        <f>M5086*$J$5116-J5086</f>
        <v/>
      </c>
      <c r="O5086" s="9">
        <f>IF(G5086=0,0,N5086/G5086)</f>
        <v/>
      </c>
      <c r="P5086" s="6">
        <f>IF(M5086&gt;0,D5086,"")</f>
        <v/>
      </c>
      <c r="Q5086" s="9">
        <f>I5086+O5086</f>
        <v/>
      </c>
      <c r="R5086" s="7">
        <f>Q5086*G5086</f>
        <v/>
      </c>
      <c r="S5086" s="8">
        <f>IF($R$5116=0,0,R5086/$R$5116)</f>
        <v/>
      </c>
      <c r="T5086" s="8" t="n">
        <v>-0.0472991879099075</v>
      </c>
      <c r="U5086" s="8" t="n">
        <v>-0.01294148295328312</v>
      </c>
      <c r="V5086" s="6" t="inlineStr">
        <is>
          <t>not selected</t>
        </is>
      </c>
    </row>
    <row r="5087">
      <c r="A5087" s="6" t="inlineStr">
        <is>
          <t>DJ30</t>
        </is>
      </c>
      <c r="B5087" s="6" t="inlineStr">
        <is>
          <t>2026-02-27</t>
        </is>
      </c>
      <c r="C5087" s="6" t="inlineStr">
        <is>
          <t>DIA</t>
        </is>
      </c>
      <c r="D5087" s="6" t="inlineStr">
        <is>
          <t>AMGN</t>
        </is>
      </c>
      <c r="E5087" s="6" t="inlineStr">
        <is>
          <t>AMGN</t>
        </is>
      </c>
      <c r="F5087" s="6" t="inlineStr">
        <is>
          <t>-</t>
        </is>
      </c>
      <c r="G5087" s="7" t="n">
        <v>385.2507934570313</v>
      </c>
      <c r="H5087" s="6">
        <f>P5056</f>
        <v/>
      </c>
      <c r="I5087" s="9">
        <f>Q5056</f>
        <v/>
      </c>
      <c r="J5087" s="7">
        <f>I5087*G5087</f>
        <v/>
      </c>
      <c r="K5087" s="8">
        <f>IF($J$5116=0,0,J5087/$J$5116)</f>
        <v/>
      </c>
      <c r="L5087" s="6" t="inlineStr">
        <is>
          <t>WATCHLIST</t>
        </is>
      </c>
      <c r="M5087" s="8" t="n">
        <v>0</v>
      </c>
      <c r="N5087" s="7">
        <f>M5087*$J$5116-J5087</f>
        <v/>
      </c>
      <c r="O5087" s="9">
        <f>IF(G5087=0,0,N5087/G5087)</f>
        <v/>
      </c>
      <c r="P5087" s="6">
        <f>IF(M5087&gt;0,D5087,"")</f>
        <v/>
      </c>
      <c r="Q5087" s="9">
        <f>I5087+O5087</f>
        <v/>
      </c>
      <c r="R5087" s="7">
        <f>Q5087*G5087</f>
        <v/>
      </c>
      <c r="S5087" s="8">
        <f>IF($R$5116=0,0,R5087/$R$5116)</f>
        <v/>
      </c>
      <c r="T5087" s="8" t="n">
        <v>-0.0472991879099075</v>
      </c>
      <c r="U5087" s="8" t="n">
        <v>-0.01294148295328312</v>
      </c>
      <c r="V5087" s="6" t="inlineStr">
        <is>
          <t>not selected</t>
        </is>
      </c>
    </row>
    <row r="5088">
      <c r="A5088" s="6" t="inlineStr">
        <is>
          <t>DJ30</t>
        </is>
      </c>
      <c r="B5088" s="6" t="inlineStr">
        <is>
          <t>2026-02-27</t>
        </is>
      </c>
      <c r="C5088" s="6" t="inlineStr">
        <is>
          <t>DIA</t>
        </is>
      </c>
      <c r="D5088" s="6" t="inlineStr">
        <is>
          <t>AMZN</t>
        </is>
      </c>
      <c r="E5088" s="6" t="inlineStr">
        <is>
          <t>AMZN</t>
        </is>
      </c>
      <c r="F5088" s="6" t="inlineStr">
        <is>
          <t>-</t>
        </is>
      </c>
      <c r="G5088" s="7" t="n">
        <v>210</v>
      </c>
      <c r="H5088" s="6">
        <f>P5057</f>
        <v/>
      </c>
      <c r="I5088" s="9">
        <f>Q5057</f>
        <v/>
      </c>
      <c r="J5088" s="7">
        <f>I5088*G5088</f>
        <v/>
      </c>
      <c r="K5088" s="8">
        <f>IF($J$5116=0,0,J5088/$J$5116)</f>
        <v/>
      </c>
      <c r="L5088" s="6" t="inlineStr">
        <is>
          <t>WATCHLIST</t>
        </is>
      </c>
      <c r="M5088" s="8" t="n">
        <v>0</v>
      </c>
      <c r="N5088" s="7">
        <f>M5088*$J$5116-J5088</f>
        <v/>
      </c>
      <c r="O5088" s="9">
        <f>IF(G5088=0,0,N5088/G5088)</f>
        <v/>
      </c>
      <c r="P5088" s="6">
        <f>IF(M5088&gt;0,D5088,"")</f>
        <v/>
      </c>
      <c r="Q5088" s="9">
        <f>I5088+O5088</f>
        <v/>
      </c>
      <c r="R5088" s="7">
        <f>Q5088*G5088</f>
        <v/>
      </c>
      <c r="S5088" s="8">
        <f>IF($R$5116=0,0,R5088/$R$5116)</f>
        <v/>
      </c>
      <c r="T5088" s="8" t="n">
        <v>-0.0472991879099075</v>
      </c>
      <c r="U5088" s="8" t="n">
        <v>-0.01294148295328312</v>
      </c>
      <c r="V5088" s="6" t="inlineStr">
        <is>
          <t>not selected</t>
        </is>
      </c>
    </row>
    <row r="5089">
      <c r="A5089" s="6" t="inlineStr">
        <is>
          <t>DJ30</t>
        </is>
      </c>
      <c r="B5089" s="6" t="inlineStr">
        <is>
          <t>2026-02-27</t>
        </is>
      </c>
      <c r="C5089" s="6" t="inlineStr">
        <is>
          <t>DIA</t>
        </is>
      </c>
      <c r="D5089" s="6" t="inlineStr">
        <is>
          <t>AXP</t>
        </is>
      </c>
      <c r="E5089" s="6" t="inlineStr">
        <is>
          <t>AXP</t>
        </is>
      </c>
      <c r="F5089" s="6" t="inlineStr">
        <is>
          <t>-</t>
        </is>
      </c>
      <c r="G5089" s="7" t="n">
        <v>307.926513671875</v>
      </c>
      <c r="H5089" s="6">
        <f>P5058</f>
        <v/>
      </c>
      <c r="I5089" s="9">
        <f>Q5058</f>
        <v/>
      </c>
      <c r="J5089" s="7">
        <f>I5089*G5089</f>
        <v/>
      </c>
      <c r="K5089" s="8">
        <f>IF($J$5116=0,0,J5089/$J$5116)</f>
        <v/>
      </c>
      <c r="L5089" s="6" t="inlineStr">
        <is>
          <t>WATCHLIST</t>
        </is>
      </c>
      <c r="M5089" s="8" t="n">
        <v>0</v>
      </c>
      <c r="N5089" s="7">
        <f>M5089*$J$5116-J5089</f>
        <v/>
      </c>
      <c r="O5089" s="9">
        <f>IF(G5089=0,0,N5089/G5089)</f>
        <v/>
      </c>
      <c r="P5089" s="6">
        <f>IF(M5089&gt;0,D5089,"")</f>
        <v/>
      </c>
      <c r="Q5089" s="9">
        <f>I5089+O5089</f>
        <v/>
      </c>
      <c r="R5089" s="7">
        <f>Q5089*G5089</f>
        <v/>
      </c>
      <c r="S5089" s="8">
        <f>IF($R$5116=0,0,R5089/$R$5116)</f>
        <v/>
      </c>
      <c r="T5089" s="8" t="n">
        <v>-0.0472991879099075</v>
      </c>
      <c r="U5089" s="8" t="n">
        <v>-0.01294148295328312</v>
      </c>
      <c r="V5089" s="6" t="inlineStr">
        <is>
          <t>removed from weekly selection</t>
        </is>
      </c>
    </row>
    <row r="5090">
      <c r="A5090" s="6" t="inlineStr">
        <is>
          <t>DJ30</t>
        </is>
      </c>
      <c r="B5090" s="6" t="inlineStr">
        <is>
          <t>2026-02-27</t>
        </is>
      </c>
      <c r="C5090" s="6" t="inlineStr">
        <is>
          <t>DIA</t>
        </is>
      </c>
      <c r="D5090" s="6" t="inlineStr">
        <is>
          <t>BA</t>
        </is>
      </c>
      <c r="E5090" s="6" t="inlineStr">
        <is>
          <t>BA</t>
        </is>
      </c>
      <c r="F5090" s="6" t="inlineStr">
        <is>
          <t>-</t>
        </is>
      </c>
      <c r="G5090" s="7" t="n">
        <v>227.5299987792969</v>
      </c>
      <c r="H5090" s="6">
        <f>P5059</f>
        <v/>
      </c>
      <c r="I5090" s="9">
        <f>Q5059</f>
        <v/>
      </c>
      <c r="J5090" s="7">
        <f>I5090*G5090</f>
        <v/>
      </c>
      <c r="K5090" s="8">
        <f>IF($J$5116=0,0,J5090/$J$5116)</f>
        <v/>
      </c>
      <c r="L5090" s="6" t="inlineStr">
        <is>
          <t>WATCHLIST</t>
        </is>
      </c>
      <c r="M5090" s="8" t="n">
        <v>0</v>
      </c>
      <c r="N5090" s="7">
        <f>M5090*$J$5116-J5090</f>
        <v/>
      </c>
      <c r="O5090" s="9">
        <f>IF(G5090=0,0,N5090/G5090)</f>
        <v/>
      </c>
      <c r="P5090" s="6">
        <f>IF(M5090&gt;0,D5090,"")</f>
        <v/>
      </c>
      <c r="Q5090" s="9">
        <f>I5090+O5090</f>
        <v/>
      </c>
      <c r="R5090" s="7">
        <f>Q5090*G5090</f>
        <v/>
      </c>
      <c r="S5090" s="8">
        <f>IF($R$5116=0,0,R5090/$R$5116)</f>
        <v/>
      </c>
      <c r="T5090" s="8" t="n">
        <v>-0.0472991879099075</v>
      </c>
      <c r="U5090" s="8" t="n">
        <v>-0.01294148295328312</v>
      </c>
      <c r="V5090" s="6" t="inlineStr">
        <is>
          <t>not selected</t>
        </is>
      </c>
    </row>
    <row r="5091">
      <c r="A5091" s="6" t="inlineStr">
        <is>
          <t>DJ30</t>
        </is>
      </c>
      <c r="B5091" s="6" t="inlineStr">
        <is>
          <t>2026-02-27</t>
        </is>
      </c>
      <c r="C5091" s="6" t="inlineStr">
        <is>
          <t>DIA</t>
        </is>
      </c>
      <c r="D5091" s="6" t="inlineStr">
        <is>
          <t>CAT</t>
        </is>
      </c>
      <c r="E5091" s="6" t="inlineStr">
        <is>
          <t>CAT</t>
        </is>
      </c>
      <c r="F5091" s="6" t="inlineStr">
        <is>
          <t>-</t>
        </is>
      </c>
      <c r="G5091" s="7" t="n">
        <v>741.4185180664062</v>
      </c>
      <c r="H5091" s="6">
        <f>P5060</f>
        <v/>
      </c>
      <c r="I5091" s="9">
        <f>Q5060</f>
        <v/>
      </c>
      <c r="J5091" s="7">
        <f>I5091*G5091</f>
        <v/>
      </c>
      <c r="K5091" s="8">
        <f>IF($J$5116=0,0,J5091/$J$5116)</f>
        <v/>
      </c>
      <c r="L5091" s="6" t="inlineStr">
        <is>
          <t>SELECTED</t>
        </is>
      </c>
      <c r="M5091" s="8" t="n">
        <v>0.2</v>
      </c>
      <c r="N5091" s="7">
        <f>M5091*$J$5116-J5091</f>
        <v/>
      </c>
      <c r="O5091" s="9">
        <f>IF(G5091=0,0,N5091/G5091)</f>
        <v/>
      </c>
      <c r="P5091" s="6">
        <f>IF(M5091&gt;0,D5091,"")</f>
        <v/>
      </c>
      <c r="Q5091" s="9">
        <f>I5091+O5091</f>
        <v/>
      </c>
      <c r="R5091" s="7">
        <f>Q5091*G5091</f>
        <v/>
      </c>
      <c r="S5091" s="8">
        <f>IF($R$5116=0,0,R5091/$R$5116)</f>
        <v/>
      </c>
      <c r="T5091" s="8" t="n">
        <v>-0.0472991879099075</v>
      </c>
      <c r="U5091" s="8" t="n">
        <v>-0.01294148295328312</v>
      </c>
      <c r="V5091" s="6" t="inlineStr">
        <is>
          <t>remained in weekly selection</t>
        </is>
      </c>
    </row>
    <row r="5092">
      <c r="A5092" s="6" t="inlineStr">
        <is>
          <t>DJ30</t>
        </is>
      </c>
      <c r="B5092" s="6" t="inlineStr">
        <is>
          <t>2026-02-27</t>
        </is>
      </c>
      <c r="C5092" s="6" t="inlineStr">
        <is>
          <t>DIA</t>
        </is>
      </c>
      <c r="D5092" s="6" t="inlineStr">
        <is>
          <t>CRM</t>
        </is>
      </c>
      <c r="E5092" s="6" t="inlineStr">
        <is>
          <t>CRM</t>
        </is>
      </c>
      <c r="F5092" s="6" t="inlineStr">
        <is>
          <t>-</t>
        </is>
      </c>
      <c r="G5092" s="7" t="n">
        <v>193.8038482666016</v>
      </c>
      <c r="H5092" s="6">
        <f>P5061</f>
        <v/>
      </c>
      <c r="I5092" s="9">
        <f>Q5061</f>
        <v/>
      </c>
      <c r="J5092" s="7">
        <f>I5092*G5092</f>
        <v/>
      </c>
      <c r="K5092" s="8">
        <f>IF($J$5116=0,0,J5092/$J$5116)</f>
        <v/>
      </c>
      <c r="L5092" s="6" t="inlineStr">
        <is>
          <t>REJECTED</t>
        </is>
      </c>
      <c r="M5092" s="8" t="n">
        <v>0</v>
      </c>
      <c r="N5092" s="7">
        <f>M5092*$J$5116-J5092</f>
        <v/>
      </c>
      <c r="O5092" s="9">
        <f>IF(G5092=0,0,N5092/G5092)</f>
        <v/>
      </c>
      <c r="P5092" s="6">
        <f>IF(M5092&gt;0,D5092,"")</f>
        <v/>
      </c>
      <c r="Q5092" s="9">
        <f>I5092+O5092</f>
        <v/>
      </c>
      <c r="R5092" s="7">
        <f>Q5092*G5092</f>
        <v/>
      </c>
      <c r="S5092" s="8">
        <f>IF($R$5116=0,0,R5092/$R$5116)</f>
        <v/>
      </c>
      <c r="T5092" s="8" t="n">
        <v>-0.0472991879099075</v>
      </c>
      <c r="U5092" s="8" t="n">
        <v>-0.01294148295328312</v>
      </c>
      <c r="V5092" s="6" t="inlineStr">
        <is>
          <t>not selected</t>
        </is>
      </c>
    </row>
    <row r="5093">
      <c r="A5093" s="6" t="inlineStr">
        <is>
          <t>DJ30</t>
        </is>
      </c>
      <c r="B5093" s="6" t="inlineStr">
        <is>
          <t>2026-02-27</t>
        </is>
      </c>
      <c r="C5093" s="6" t="inlineStr">
        <is>
          <t>DIA</t>
        </is>
      </c>
      <c r="D5093" s="6" t="inlineStr">
        <is>
          <t>CSCO</t>
        </is>
      </c>
      <c r="E5093" s="6" t="inlineStr">
        <is>
          <t>CSCO</t>
        </is>
      </c>
      <c r="F5093" s="6" t="inlineStr">
        <is>
          <t>-</t>
        </is>
      </c>
      <c r="G5093" s="7" t="n">
        <v>79.03175354003906</v>
      </c>
      <c r="H5093" s="6">
        <f>P5062</f>
        <v/>
      </c>
      <c r="I5093" s="9">
        <f>Q5062</f>
        <v/>
      </c>
      <c r="J5093" s="7">
        <f>I5093*G5093</f>
        <v/>
      </c>
      <c r="K5093" s="8">
        <f>IF($J$5116=0,0,J5093/$J$5116)</f>
        <v/>
      </c>
      <c r="L5093" s="6" t="inlineStr">
        <is>
          <t>SELECTED</t>
        </is>
      </c>
      <c r="M5093" s="8" t="n">
        <v>0.2</v>
      </c>
      <c r="N5093" s="7">
        <f>M5093*$J$5116-J5093</f>
        <v/>
      </c>
      <c r="O5093" s="9">
        <f>IF(G5093=0,0,N5093/G5093)</f>
        <v/>
      </c>
      <c r="P5093" s="6">
        <f>IF(M5093&gt;0,D5093,"")</f>
        <v/>
      </c>
      <c r="Q5093" s="9">
        <f>I5093+O5093</f>
        <v/>
      </c>
      <c r="R5093" s="7">
        <f>Q5093*G5093</f>
        <v/>
      </c>
      <c r="S5093" s="8">
        <f>IF($R$5116=0,0,R5093/$R$5116)</f>
        <v/>
      </c>
      <c r="T5093" s="8" t="n">
        <v>-0.0472991879099075</v>
      </c>
      <c r="U5093" s="8" t="n">
        <v>-0.01294148295328312</v>
      </c>
      <c r="V5093" s="6" t="inlineStr">
        <is>
          <t>entered weekly selection</t>
        </is>
      </c>
    </row>
    <row r="5094">
      <c r="A5094" s="6" t="inlineStr">
        <is>
          <t>DJ30</t>
        </is>
      </c>
      <c r="B5094" s="6" t="inlineStr">
        <is>
          <t>2026-02-27</t>
        </is>
      </c>
      <c r="C5094" s="6" t="inlineStr">
        <is>
          <t>DIA</t>
        </is>
      </c>
      <c r="D5094" s="6" t="inlineStr">
        <is>
          <t>CVX</t>
        </is>
      </c>
      <c r="E5094" s="6" t="inlineStr">
        <is>
          <t>CVX</t>
        </is>
      </c>
      <c r="F5094" s="6" t="inlineStr">
        <is>
          <t>-</t>
        </is>
      </c>
      <c r="G5094" s="7" t="n">
        <v>185.064956665039</v>
      </c>
      <c r="H5094" s="6">
        <f>P5063</f>
        <v/>
      </c>
      <c r="I5094" s="9">
        <f>Q5063</f>
        <v/>
      </c>
      <c r="J5094" s="7">
        <f>I5094*G5094</f>
        <v/>
      </c>
      <c r="K5094" s="8">
        <f>IF($J$5116=0,0,J5094/$J$5116)</f>
        <v/>
      </c>
      <c r="L5094" s="6" t="inlineStr">
        <is>
          <t>WATCHLIST</t>
        </is>
      </c>
      <c r="M5094" s="8" t="n">
        <v>0</v>
      </c>
      <c r="N5094" s="7">
        <f>M5094*$J$5116-J5094</f>
        <v/>
      </c>
      <c r="O5094" s="9">
        <f>IF(G5094=0,0,N5094/G5094)</f>
        <v/>
      </c>
      <c r="P5094" s="6">
        <f>IF(M5094&gt;0,D5094,"")</f>
        <v/>
      </c>
      <c r="Q5094" s="9">
        <f>I5094+O5094</f>
        <v/>
      </c>
      <c r="R5094" s="7">
        <f>Q5094*G5094</f>
        <v/>
      </c>
      <c r="S5094" s="8">
        <f>IF($R$5116=0,0,R5094/$R$5116)</f>
        <v/>
      </c>
      <c r="T5094" s="8" t="n">
        <v>-0.0472991879099075</v>
      </c>
      <c r="U5094" s="8" t="n">
        <v>-0.01294148295328312</v>
      </c>
      <c r="V5094" s="6" t="inlineStr">
        <is>
          <t>not selected</t>
        </is>
      </c>
    </row>
    <row r="5095">
      <c r="A5095" s="6" t="inlineStr">
        <is>
          <t>DJ30</t>
        </is>
      </c>
      <c r="B5095" s="6" t="inlineStr">
        <is>
          <t>2026-02-27</t>
        </is>
      </c>
      <c r="C5095" s="6" t="inlineStr">
        <is>
          <t>DIA</t>
        </is>
      </c>
      <c r="D5095" s="6" t="inlineStr">
        <is>
          <t>DIS</t>
        </is>
      </c>
      <c r="E5095" s="6" t="inlineStr">
        <is>
          <t>DIS</t>
        </is>
      </c>
      <c r="F5095" s="6" t="inlineStr">
        <is>
          <t>-</t>
        </is>
      </c>
      <c r="G5095" s="7" t="n">
        <v>106.0400009155273</v>
      </c>
      <c r="H5095" s="6">
        <f>P5064</f>
        <v/>
      </c>
      <c r="I5095" s="9">
        <f>Q5064</f>
        <v/>
      </c>
      <c r="J5095" s="7">
        <f>I5095*G5095</f>
        <v/>
      </c>
      <c r="K5095" s="8">
        <f>IF($J$5116=0,0,J5095/$J$5116)</f>
        <v/>
      </c>
      <c r="L5095" s="6" t="inlineStr">
        <is>
          <t>REJECTED</t>
        </is>
      </c>
      <c r="M5095" s="8" t="n">
        <v>0</v>
      </c>
      <c r="N5095" s="7">
        <f>M5095*$J$5116-J5095</f>
        <v/>
      </c>
      <c r="O5095" s="9">
        <f>IF(G5095=0,0,N5095/G5095)</f>
        <v/>
      </c>
      <c r="P5095" s="6">
        <f>IF(M5095&gt;0,D5095,"")</f>
        <v/>
      </c>
      <c r="Q5095" s="9">
        <f>I5095+O5095</f>
        <v/>
      </c>
      <c r="R5095" s="7">
        <f>Q5095*G5095</f>
        <v/>
      </c>
      <c r="S5095" s="8">
        <f>IF($R$5116=0,0,R5095/$R$5116)</f>
        <v/>
      </c>
      <c r="T5095" s="8" t="n">
        <v>-0.0472991879099075</v>
      </c>
      <c r="U5095" s="8" t="n">
        <v>-0.01294148295328312</v>
      </c>
      <c r="V5095" s="6" t="inlineStr">
        <is>
          <t>not selected</t>
        </is>
      </c>
    </row>
    <row r="5096">
      <c r="A5096" s="6" t="inlineStr">
        <is>
          <t>DJ30</t>
        </is>
      </c>
      <c r="B5096" s="6" t="inlineStr">
        <is>
          <t>2026-02-27</t>
        </is>
      </c>
      <c r="C5096" s="6" t="inlineStr">
        <is>
          <t>DIA</t>
        </is>
      </c>
      <c r="D5096" s="6" t="inlineStr">
        <is>
          <t>GS</t>
        </is>
      </c>
      <c r="E5096" s="6" t="inlineStr">
        <is>
          <t>GS</t>
        </is>
      </c>
      <c r="F5096" s="6" t="inlineStr">
        <is>
          <t>-</t>
        </is>
      </c>
      <c r="G5096" s="7" t="n">
        <v>851.3180541992188</v>
      </c>
      <c r="H5096" s="6">
        <f>P5065</f>
        <v/>
      </c>
      <c r="I5096" s="9">
        <f>Q5065</f>
        <v/>
      </c>
      <c r="J5096" s="7">
        <f>I5096*G5096</f>
        <v/>
      </c>
      <c r="K5096" s="8">
        <f>IF($J$5116=0,0,J5096/$J$5116)</f>
        <v/>
      </c>
      <c r="L5096" s="6" t="inlineStr">
        <is>
          <t>SELECTED</t>
        </is>
      </c>
      <c r="M5096" s="8" t="n">
        <v>0.2</v>
      </c>
      <c r="N5096" s="7">
        <f>M5096*$J$5116-J5096</f>
        <v/>
      </c>
      <c r="O5096" s="9">
        <f>IF(G5096=0,0,N5096/G5096)</f>
        <v/>
      </c>
      <c r="P5096" s="6">
        <f>IF(M5096&gt;0,D5096,"")</f>
        <v/>
      </c>
      <c r="Q5096" s="9">
        <f>I5096+O5096</f>
        <v/>
      </c>
      <c r="R5096" s="7">
        <f>Q5096*G5096</f>
        <v/>
      </c>
      <c r="S5096" s="8">
        <f>IF($R$5116=0,0,R5096/$R$5116)</f>
        <v/>
      </c>
      <c r="T5096" s="8" t="n">
        <v>-0.0472991879099075</v>
      </c>
      <c r="U5096" s="8" t="n">
        <v>-0.01294148295328312</v>
      </c>
      <c r="V5096" s="6" t="inlineStr">
        <is>
          <t>remained in weekly selection</t>
        </is>
      </c>
    </row>
    <row r="5097">
      <c r="A5097" s="6" t="inlineStr">
        <is>
          <t>DJ30</t>
        </is>
      </c>
      <c r="B5097" s="6" t="inlineStr">
        <is>
          <t>2026-02-27</t>
        </is>
      </c>
      <c r="C5097" s="6" t="inlineStr">
        <is>
          <t>DIA</t>
        </is>
      </c>
      <c r="D5097" s="6" t="inlineStr">
        <is>
          <t>HD</t>
        </is>
      </c>
      <c r="E5097" s="6" t="inlineStr">
        <is>
          <t>HD</t>
        </is>
      </c>
      <c r="F5097" s="6" t="inlineStr">
        <is>
          <t>-</t>
        </is>
      </c>
      <c r="G5097" s="7" t="n">
        <v>375.3760070800781</v>
      </c>
      <c r="H5097" s="6">
        <f>P5066</f>
        <v/>
      </c>
      <c r="I5097" s="9">
        <f>Q5066</f>
        <v/>
      </c>
      <c r="J5097" s="7">
        <f>I5097*G5097</f>
        <v/>
      </c>
      <c r="K5097" s="8">
        <f>IF($J$5116=0,0,J5097/$J$5116)</f>
        <v/>
      </c>
      <c r="L5097" s="6" t="inlineStr">
        <is>
          <t>REJECTED</t>
        </is>
      </c>
      <c r="M5097" s="8" t="n">
        <v>0</v>
      </c>
      <c r="N5097" s="7">
        <f>M5097*$J$5116-J5097</f>
        <v/>
      </c>
      <c r="O5097" s="9">
        <f>IF(G5097=0,0,N5097/G5097)</f>
        <v/>
      </c>
      <c r="P5097" s="6">
        <f>IF(M5097&gt;0,D5097,"")</f>
        <v/>
      </c>
      <c r="Q5097" s="9">
        <f>I5097+O5097</f>
        <v/>
      </c>
      <c r="R5097" s="7">
        <f>Q5097*G5097</f>
        <v/>
      </c>
      <c r="S5097" s="8">
        <f>IF($R$5116=0,0,R5097/$R$5116)</f>
        <v/>
      </c>
      <c r="T5097" s="8" t="n">
        <v>-0.0472991879099075</v>
      </c>
      <c r="U5097" s="8" t="n">
        <v>-0.01294148295328312</v>
      </c>
      <c r="V5097" s="6" t="inlineStr">
        <is>
          <t>not selected</t>
        </is>
      </c>
    </row>
    <row r="5098">
      <c r="A5098" s="6" t="inlineStr">
        <is>
          <t>DJ30</t>
        </is>
      </c>
      <c r="B5098" s="6" t="inlineStr">
        <is>
          <t>2026-02-27</t>
        </is>
      </c>
      <c r="C5098" s="6" t="inlineStr">
        <is>
          <t>DIA</t>
        </is>
      </c>
      <c r="D5098" s="6" t="inlineStr">
        <is>
          <t>HON</t>
        </is>
      </c>
      <c r="E5098" s="6" t="inlineStr">
        <is>
          <t>HON</t>
        </is>
      </c>
      <c r="F5098" s="6" t="inlineStr">
        <is>
          <t>-</t>
        </is>
      </c>
      <c r="G5098" s="7" t="n">
        <v>242.2585906982422</v>
      </c>
      <c r="H5098" s="6">
        <f>P5067</f>
        <v/>
      </c>
      <c r="I5098" s="9">
        <f>Q5067</f>
        <v/>
      </c>
      <c r="J5098" s="7">
        <f>I5098*G5098</f>
        <v/>
      </c>
      <c r="K5098" s="8">
        <f>IF($J$5116=0,0,J5098/$J$5116)</f>
        <v/>
      </c>
      <c r="L5098" s="6" t="inlineStr">
        <is>
          <t>REJECTED</t>
        </is>
      </c>
      <c r="M5098" s="8" t="n">
        <v>0</v>
      </c>
      <c r="N5098" s="7">
        <f>M5098*$J$5116-J5098</f>
        <v/>
      </c>
      <c r="O5098" s="9">
        <f>IF(G5098=0,0,N5098/G5098)</f>
        <v/>
      </c>
      <c r="P5098" s="6">
        <f>IF(M5098&gt;0,D5098,"")</f>
        <v/>
      </c>
      <c r="Q5098" s="9">
        <f>I5098+O5098</f>
        <v/>
      </c>
      <c r="R5098" s="7">
        <f>Q5098*G5098</f>
        <v/>
      </c>
      <c r="S5098" s="8">
        <f>IF($R$5116=0,0,R5098/$R$5116)</f>
        <v/>
      </c>
      <c r="T5098" s="8" t="n">
        <v>-0.0472991879099075</v>
      </c>
      <c r="U5098" s="8" t="n">
        <v>-0.01294148295328312</v>
      </c>
      <c r="V5098" s="6" t="inlineStr">
        <is>
          <t>not selected</t>
        </is>
      </c>
    </row>
    <row r="5099">
      <c r="A5099" s="6" t="inlineStr">
        <is>
          <t>DJ30</t>
        </is>
      </c>
      <c r="B5099" s="6" t="inlineStr">
        <is>
          <t>2026-02-27</t>
        </is>
      </c>
      <c r="C5099" s="6" t="inlineStr">
        <is>
          <t>DIA</t>
        </is>
      </c>
      <c r="D5099" s="6" t="inlineStr">
        <is>
          <t>IBM</t>
        </is>
      </c>
      <c r="E5099" s="6" t="inlineStr">
        <is>
          <t>IBM</t>
        </is>
      </c>
      <c r="F5099" s="6" t="inlineStr">
        <is>
          <t>-</t>
        </is>
      </c>
      <c r="G5099" s="7" t="n">
        <v>238.4549865722656</v>
      </c>
      <c r="H5099" s="6">
        <f>P5068</f>
        <v/>
      </c>
      <c r="I5099" s="9">
        <f>Q5068</f>
        <v/>
      </c>
      <c r="J5099" s="7">
        <f>I5099*G5099</f>
        <v/>
      </c>
      <c r="K5099" s="8">
        <f>IF($J$5116=0,0,J5099/$J$5116)</f>
        <v/>
      </c>
      <c r="L5099" s="6" t="inlineStr">
        <is>
          <t>WATCHLIST</t>
        </is>
      </c>
      <c r="M5099" s="8" t="n">
        <v>0</v>
      </c>
      <c r="N5099" s="7">
        <f>M5099*$J$5116-J5099</f>
        <v/>
      </c>
      <c r="O5099" s="9">
        <f>IF(G5099=0,0,N5099/G5099)</f>
        <v/>
      </c>
      <c r="P5099" s="6">
        <f>IF(M5099&gt;0,D5099,"")</f>
        <v/>
      </c>
      <c r="Q5099" s="9">
        <f>I5099+O5099</f>
        <v/>
      </c>
      <c r="R5099" s="7">
        <f>Q5099*G5099</f>
        <v/>
      </c>
      <c r="S5099" s="8">
        <f>IF($R$5116=0,0,R5099/$R$5116)</f>
        <v/>
      </c>
      <c r="T5099" s="8" t="n">
        <v>-0.0472991879099075</v>
      </c>
      <c r="U5099" s="8" t="n">
        <v>-0.01294148295328312</v>
      </c>
      <c r="V5099" s="6" t="inlineStr">
        <is>
          <t>not selected</t>
        </is>
      </c>
    </row>
    <row r="5100">
      <c r="A5100" s="6" t="inlineStr">
        <is>
          <t>DJ30</t>
        </is>
      </c>
      <c r="B5100" s="6" t="inlineStr">
        <is>
          <t>2026-02-27</t>
        </is>
      </c>
      <c r="C5100" s="6" t="inlineStr">
        <is>
          <t>DIA</t>
        </is>
      </c>
      <c r="D5100" s="6" t="inlineStr">
        <is>
          <t>JNJ</t>
        </is>
      </c>
      <c r="E5100" s="6" t="inlineStr">
        <is>
          <t>JNJ</t>
        </is>
      </c>
      <c r="F5100" s="6" t="inlineStr">
        <is>
          <t>-</t>
        </is>
      </c>
      <c r="G5100" s="7" t="n">
        <v>247.0094299316407</v>
      </c>
      <c r="H5100" s="6">
        <f>P5069</f>
        <v/>
      </c>
      <c r="I5100" s="9">
        <f>Q5069</f>
        <v/>
      </c>
      <c r="J5100" s="7">
        <f>I5100*G5100</f>
        <v/>
      </c>
      <c r="K5100" s="8">
        <f>IF($J$5116=0,0,J5100/$J$5116)</f>
        <v/>
      </c>
      <c r="L5100" s="6" t="inlineStr">
        <is>
          <t>SELECTED</t>
        </is>
      </c>
      <c r="M5100" s="8" t="n">
        <v>0.2</v>
      </c>
      <c r="N5100" s="7">
        <f>M5100*$J$5116-J5100</f>
        <v/>
      </c>
      <c r="O5100" s="9">
        <f>IF(G5100=0,0,N5100/G5100)</f>
        <v/>
      </c>
      <c r="P5100" s="6">
        <f>IF(M5100&gt;0,D5100,"")</f>
        <v/>
      </c>
      <c r="Q5100" s="9">
        <f>I5100+O5100</f>
        <v/>
      </c>
      <c r="R5100" s="7">
        <f>Q5100*G5100</f>
        <v/>
      </c>
      <c r="S5100" s="8">
        <f>IF($R$5116=0,0,R5100/$R$5116)</f>
        <v/>
      </c>
      <c r="T5100" s="8" t="n">
        <v>-0.0472991879099075</v>
      </c>
      <c r="U5100" s="8" t="n">
        <v>-0.01294148295328312</v>
      </c>
      <c r="V5100" s="6" t="inlineStr">
        <is>
          <t>remained in weekly selection</t>
        </is>
      </c>
    </row>
    <row r="5101">
      <c r="A5101" s="6" t="inlineStr">
        <is>
          <t>DJ30</t>
        </is>
      </c>
      <c r="B5101" s="6" t="inlineStr">
        <is>
          <t>2026-02-27</t>
        </is>
      </c>
      <c r="C5101" s="6" t="inlineStr">
        <is>
          <t>DIA</t>
        </is>
      </c>
      <c r="D5101" s="6" t="inlineStr">
        <is>
          <t>JPM</t>
        </is>
      </c>
      <c r="E5101" s="6" t="inlineStr">
        <is>
          <t>JPM</t>
        </is>
      </c>
      <c r="F5101" s="6" t="inlineStr">
        <is>
          <t>-</t>
        </is>
      </c>
      <c r="G5101" s="7" t="n">
        <v>298.7709655761719</v>
      </c>
      <c r="H5101" s="6">
        <f>P5070</f>
        <v/>
      </c>
      <c r="I5101" s="9">
        <f>Q5070</f>
        <v/>
      </c>
      <c r="J5101" s="7">
        <f>I5101*G5101</f>
        <v/>
      </c>
      <c r="K5101" s="8">
        <f>IF($J$5116=0,0,J5101/$J$5116)</f>
        <v/>
      </c>
      <c r="L5101" s="6" t="inlineStr">
        <is>
          <t>WATCHLIST</t>
        </is>
      </c>
      <c r="M5101" s="8" t="n">
        <v>0</v>
      </c>
      <c r="N5101" s="7">
        <f>M5101*$J$5116-J5101</f>
        <v/>
      </c>
      <c r="O5101" s="9">
        <f>IF(G5101=0,0,N5101/G5101)</f>
        <v/>
      </c>
      <c r="P5101" s="6">
        <f>IF(M5101&gt;0,D5101,"")</f>
        <v/>
      </c>
      <c r="Q5101" s="9">
        <f>I5101+O5101</f>
        <v/>
      </c>
      <c r="R5101" s="7">
        <f>Q5101*G5101</f>
        <v/>
      </c>
      <c r="S5101" s="8">
        <f>IF($R$5116=0,0,R5101/$R$5116)</f>
        <v/>
      </c>
      <c r="T5101" s="8" t="n">
        <v>-0.0472991879099075</v>
      </c>
      <c r="U5101" s="8" t="n">
        <v>-0.01294148295328312</v>
      </c>
      <c r="V5101" s="6" t="inlineStr">
        <is>
          <t>not selected</t>
        </is>
      </c>
    </row>
    <row r="5102">
      <c r="A5102" s="6" t="inlineStr">
        <is>
          <t>DJ30</t>
        </is>
      </c>
      <c r="B5102" s="6" t="inlineStr">
        <is>
          <t>2026-02-27</t>
        </is>
      </c>
      <c r="C5102" s="6" t="inlineStr">
        <is>
          <t>DIA</t>
        </is>
      </c>
      <c r="D5102" s="6" t="inlineStr">
        <is>
          <t>KO</t>
        </is>
      </c>
      <c r="E5102" s="6" t="inlineStr">
        <is>
          <t>KO</t>
        </is>
      </c>
      <c r="F5102" s="6" t="inlineStr">
        <is>
          <t>-</t>
        </is>
      </c>
      <c r="G5102" s="7" t="n">
        <v>80.4833984375</v>
      </c>
      <c r="H5102" s="6">
        <f>P5071</f>
        <v/>
      </c>
      <c r="I5102" s="9">
        <f>Q5071</f>
        <v/>
      </c>
      <c r="J5102" s="7">
        <f>I5102*G5102</f>
        <v/>
      </c>
      <c r="K5102" s="8">
        <f>IF($J$5116=0,0,J5102/$J$5116)</f>
        <v/>
      </c>
      <c r="L5102" s="6" t="inlineStr">
        <is>
          <t>REJECTED</t>
        </is>
      </c>
      <c r="M5102" s="8" t="n">
        <v>0</v>
      </c>
      <c r="N5102" s="7">
        <f>M5102*$J$5116-J5102</f>
        <v/>
      </c>
      <c r="O5102" s="9">
        <f>IF(G5102=0,0,N5102/G5102)</f>
        <v/>
      </c>
      <c r="P5102" s="6">
        <f>IF(M5102&gt;0,D5102,"")</f>
        <v/>
      </c>
      <c r="Q5102" s="9">
        <f>I5102+O5102</f>
        <v/>
      </c>
      <c r="R5102" s="7">
        <f>Q5102*G5102</f>
        <v/>
      </c>
      <c r="S5102" s="8">
        <f>IF($R$5116=0,0,R5102/$R$5116)</f>
        <v/>
      </c>
      <c r="T5102" s="8" t="n">
        <v>-0.0472991879099075</v>
      </c>
      <c r="U5102" s="8" t="n">
        <v>-0.01294148295328312</v>
      </c>
      <c r="V5102" s="6" t="inlineStr">
        <is>
          <t>not selected</t>
        </is>
      </c>
    </row>
    <row r="5103">
      <c r="A5103" s="6" t="inlineStr">
        <is>
          <t>DJ30</t>
        </is>
      </c>
      <c r="B5103" s="6" t="inlineStr">
        <is>
          <t>2026-02-27</t>
        </is>
      </c>
      <c r="C5103" s="6" t="inlineStr">
        <is>
          <t>DIA</t>
        </is>
      </c>
      <c r="D5103" s="6" t="inlineStr">
        <is>
          <t>MCD</t>
        </is>
      </c>
      <c r="E5103" s="6" t="inlineStr">
        <is>
          <t>MCD</t>
        </is>
      </c>
      <c r="F5103" s="6" t="inlineStr">
        <is>
          <t>-</t>
        </is>
      </c>
      <c r="G5103" s="7" t="n">
        <v>336.8805847167969</v>
      </c>
      <c r="H5103" s="6">
        <f>P5072</f>
        <v/>
      </c>
      <c r="I5103" s="9">
        <f>Q5072</f>
        <v/>
      </c>
      <c r="J5103" s="7">
        <f>I5103*G5103</f>
        <v/>
      </c>
      <c r="K5103" s="8">
        <f>IF($J$5116=0,0,J5103/$J$5116)</f>
        <v/>
      </c>
      <c r="L5103" s="6" t="inlineStr">
        <is>
          <t>REJECTED</t>
        </is>
      </c>
      <c r="M5103" s="8" t="n">
        <v>0</v>
      </c>
      <c r="N5103" s="7">
        <f>M5103*$J$5116-J5103</f>
        <v/>
      </c>
      <c r="O5103" s="9">
        <f>IF(G5103=0,0,N5103/G5103)</f>
        <v/>
      </c>
      <c r="P5103" s="6">
        <f>IF(M5103&gt;0,D5103,"")</f>
        <v/>
      </c>
      <c r="Q5103" s="9">
        <f>I5103+O5103</f>
        <v/>
      </c>
      <c r="R5103" s="7">
        <f>Q5103*G5103</f>
        <v/>
      </c>
      <c r="S5103" s="8">
        <f>IF($R$5116=0,0,R5103/$R$5116)</f>
        <v/>
      </c>
      <c r="T5103" s="8" t="n">
        <v>-0.0472991879099075</v>
      </c>
      <c r="U5103" s="8" t="n">
        <v>-0.01294148295328312</v>
      </c>
      <c r="V5103" s="6" t="inlineStr">
        <is>
          <t>not selected</t>
        </is>
      </c>
    </row>
    <row r="5104">
      <c r="A5104" s="6" t="inlineStr">
        <is>
          <t>DJ30</t>
        </is>
      </c>
      <c r="B5104" s="6" t="inlineStr">
        <is>
          <t>2026-02-27</t>
        </is>
      </c>
      <c r="C5104" s="6" t="inlineStr">
        <is>
          <t>DIA</t>
        </is>
      </c>
      <c r="D5104" s="6" t="inlineStr">
        <is>
          <t>MMM</t>
        </is>
      </c>
      <c r="E5104" s="6" t="inlineStr">
        <is>
          <t>MMM</t>
        </is>
      </c>
      <c r="F5104" s="6" t="inlineStr">
        <is>
          <t>-</t>
        </is>
      </c>
      <c r="G5104" s="7" t="n">
        <v>164.4694213867188</v>
      </c>
      <c r="H5104" s="6">
        <f>P5073</f>
        <v/>
      </c>
      <c r="I5104" s="9">
        <f>Q5073</f>
        <v/>
      </c>
      <c r="J5104" s="7">
        <f>I5104*G5104</f>
        <v/>
      </c>
      <c r="K5104" s="8">
        <f>IF($J$5116=0,0,J5104/$J$5116)</f>
        <v/>
      </c>
      <c r="L5104" s="6" t="inlineStr">
        <is>
          <t>WATCHLIST</t>
        </is>
      </c>
      <c r="M5104" s="8" t="n">
        <v>0</v>
      </c>
      <c r="N5104" s="7">
        <f>M5104*$J$5116-J5104</f>
        <v/>
      </c>
      <c r="O5104" s="9">
        <f>IF(G5104=0,0,N5104/G5104)</f>
        <v/>
      </c>
      <c r="P5104" s="6">
        <f>IF(M5104&gt;0,D5104,"")</f>
        <v/>
      </c>
      <c r="Q5104" s="9">
        <f>I5104+O5104</f>
        <v/>
      </c>
      <c r="R5104" s="7">
        <f>Q5104*G5104</f>
        <v/>
      </c>
      <c r="S5104" s="8">
        <f>IF($R$5116=0,0,R5104/$R$5116)</f>
        <v/>
      </c>
      <c r="T5104" s="8" t="n">
        <v>-0.0472991879099075</v>
      </c>
      <c r="U5104" s="8" t="n">
        <v>-0.01294148295328312</v>
      </c>
      <c r="V5104" s="6" t="inlineStr">
        <is>
          <t>not selected</t>
        </is>
      </c>
    </row>
    <row r="5105">
      <c r="A5105" s="6" t="inlineStr">
        <is>
          <t>DJ30</t>
        </is>
      </c>
      <c r="B5105" s="6" t="inlineStr">
        <is>
          <t>2026-02-27</t>
        </is>
      </c>
      <c r="C5105" s="6" t="inlineStr">
        <is>
          <t>DIA</t>
        </is>
      </c>
      <c r="D5105" s="6" t="inlineStr">
        <is>
          <t>MRK</t>
        </is>
      </c>
      <c r="E5105" s="6" t="inlineStr">
        <is>
          <t>MRK</t>
        </is>
      </c>
      <c r="F5105" s="6" t="inlineStr">
        <is>
          <t>-</t>
        </is>
      </c>
      <c r="G5105" s="7" t="n">
        <v>122.0320816040039</v>
      </c>
      <c r="H5105" s="6">
        <f>P5074</f>
        <v/>
      </c>
      <c r="I5105" s="9">
        <f>Q5074</f>
        <v/>
      </c>
      <c r="J5105" s="7">
        <f>I5105*G5105</f>
        <v/>
      </c>
      <c r="K5105" s="8">
        <f>IF($J$5116=0,0,J5105/$J$5116)</f>
        <v/>
      </c>
      <c r="L5105" s="6" t="inlineStr">
        <is>
          <t>WATCHLIST</t>
        </is>
      </c>
      <c r="M5105" s="8" t="n">
        <v>0</v>
      </c>
      <c r="N5105" s="7">
        <f>M5105*$J$5116-J5105</f>
        <v/>
      </c>
      <c r="O5105" s="9">
        <f>IF(G5105=0,0,N5105/G5105)</f>
        <v/>
      </c>
      <c r="P5105" s="6">
        <f>IF(M5105&gt;0,D5105,"")</f>
        <v/>
      </c>
      <c r="Q5105" s="9">
        <f>I5105+O5105</f>
        <v/>
      </c>
      <c r="R5105" s="7">
        <f>Q5105*G5105</f>
        <v/>
      </c>
      <c r="S5105" s="8">
        <f>IF($R$5116=0,0,R5105/$R$5116)</f>
        <v/>
      </c>
      <c r="T5105" s="8" t="n">
        <v>-0.0472991879099075</v>
      </c>
      <c r="U5105" s="8" t="n">
        <v>-0.01294148295328312</v>
      </c>
      <c r="V5105" s="6" t="inlineStr">
        <is>
          <t>not selected</t>
        </is>
      </c>
    </row>
    <row r="5106">
      <c r="A5106" s="6" t="inlineStr">
        <is>
          <t>DJ30</t>
        </is>
      </c>
      <c r="B5106" s="6" t="inlineStr">
        <is>
          <t>2026-02-27</t>
        </is>
      </c>
      <c r="C5106" s="6" t="inlineStr">
        <is>
          <t>DIA</t>
        </is>
      </c>
      <c r="D5106" s="6" t="inlineStr">
        <is>
          <t>MSFT</t>
        </is>
      </c>
      <c r="E5106" s="6" t="inlineStr">
        <is>
          <t>MSFT</t>
        </is>
      </c>
      <c r="F5106" s="6" t="inlineStr">
        <is>
          <t>-</t>
        </is>
      </c>
      <c r="G5106" s="7" t="n">
        <v>391.8912048339844</v>
      </c>
      <c r="H5106" s="6">
        <f>P5075</f>
        <v/>
      </c>
      <c r="I5106" s="9">
        <f>Q5075</f>
        <v/>
      </c>
      <c r="J5106" s="7">
        <f>I5106*G5106</f>
        <v/>
      </c>
      <c r="K5106" s="8">
        <f>IF($J$5116=0,0,J5106/$J$5116)</f>
        <v/>
      </c>
      <c r="L5106" s="6" t="inlineStr">
        <is>
          <t>REJECTED</t>
        </is>
      </c>
      <c r="M5106" s="8" t="n">
        <v>0</v>
      </c>
      <c r="N5106" s="7">
        <f>M5106*$J$5116-J5106</f>
        <v/>
      </c>
      <c r="O5106" s="9">
        <f>IF(G5106=0,0,N5106/G5106)</f>
        <v/>
      </c>
      <c r="P5106" s="6">
        <f>IF(M5106&gt;0,D5106,"")</f>
        <v/>
      </c>
      <c r="Q5106" s="9">
        <f>I5106+O5106</f>
        <v/>
      </c>
      <c r="R5106" s="7">
        <f>Q5106*G5106</f>
        <v/>
      </c>
      <c r="S5106" s="8">
        <f>IF($R$5116=0,0,R5106/$R$5116)</f>
        <v/>
      </c>
      <c r="T5106" s="8" t="n">
        <v>-0.0472991879099075</v>
      </c>
      <c r="U5106" s="8" t="n">
        <v>-0.01294148295328312</v>
      </c>
      <c r="V5106" s="6" t="inlineStr">
        <is>
          <t>not selected</t>
        </is>
      </c>
    </row>
    <row r="5107">
      <c r="A5107" s="6" t="inlineStr">
        <is>
          <t>DJ30</t>
        </is>
      </c>
      <c r="B5107" s="6" t="inlineStr">
        <is>
          <t>2026-02-27</t>
        </is>
      </c>
      <c r="C5107" s="6" t="inlineStr">
        <is>
          <t>DIA</t>
        </is>
      </c>
      <c r="D5107" s="6" t="inlineStr">
        <is>
          <t>NKE</t>
        </is>
      </c>
      <c r="E5107" s="6" t="inlineStr">
        <is>
          <t>NKE</t>
        </is>
      </c>
      <c r="F5107" s="6" t="inlineStr">
        <is>
          <t>-</t>
        </is>
      </c>
      <c r="G5107" s="7" t="n">
        <v>61.2221794128418</v>
      </c>
      <c r="H5107" s="6">
        <f>P5076</f>
        <v/>
      </c>
      <c r="I5107" s="9">
        <f>Q5076</f>
        <v/>
      </c>
      <c r="J5107" s="7">
        <f>I5107*G5107</f>
        <v/>
      </c>
      <c r="K5107" s="8">
        <f>IF($J$5116=0,0,J5107/$J$5116)</f>
        <v/>
      </c>
      <c r="L5107" s="6" t="inlineStr">
        <is>
          <t>REJECTED</t>
        </is>
      </c>
      <c r="M5107" s="8" t="n">
        <v>0</v>
      </c>
      <c r="N5107" s="7">
        <f>M5107*$J$5116-J5107</f>
        <v/>
      </c>
      <c r="O5107" s="9">
        <f>IF(G5107=0,0,N5107/G5107)</f>
        <v/>
      </c>
      <c r="P5107" s="6">
        <f>IF(M5107&gt;0,D5107,"")</f>
        <v/>
      </c>
      <c r="Q5107" s="9">
        <f>I5107+O5107</f>
        <v/>
      </c>
      <c r="R5107" s="7">
        <f>Q5107*G5107</f>
        <v/>
      </c>
      <c r="S5107" s="8">
        <f>IF($R$5116=0,0,R5107/$R$5116)</f>
        <v/>
      </c>
      <c r="T5107" s="8" t="n">
        <v>-0.0472991879099075</v>
      </c>
      <c r="U5107" s="8" t="n">
        <v>-0.01294148295328312</v>
      </c>
      <c r="V5107" s="6" t="inlineStr">
        <is>
          <t>not selected</t>
        </is>
      </c>
    </row>
    <row r="5108">
      <c r="A5108" s="6" t="inlineStr">
        <is>
          <t>DJ30</t>
        </is>
      </c>
      <c r="B5108" s="6" t="inlineStr">
        <is>
          <t>2026-02-27</t>
        </is>
      </c>
      <c r="C5108" s="6" t="inlineStr">
        <is>
          <t>DIA</t>
        </is>
      </c>
      <c r="D5108" s="6" t="inlineStr">
        <is>
          <t>NVDA</t>
        </is>
      </c>
      <c r="E5108" s="6" t="inlineStr">
        <is>
          <t>NVDA</t>
        </is>
      </c>
      <c r="F5108" s="6" t="inlineStr">
        <is>
          <t>-</t>
        </is>
      </c>
      <c r="G5108" s="7" t="n">
        <v>176.9741516113281</v>
      </c>
      <c r="H5108" s="6">
        <f>P5077</f>
        <v/>
      </c>
      <c r="I5108" s="9">
        <f>Q5077</f>
        <v/>
      </c>
      <c r="J5108" s="7">
        <f>I5108*G5108</f>
        <v/>
      </c>
      <c r="K5108" s="8">
        <f>IF($J$5116=0,0,J5108/$J$5116)</f>
        <v/>
      </c>
      <c r="L5108" s="6" t="inlineStr">
        <is>
          <t>SELECTED</t>
        </is>
      </c>
      <c r="M5108" s="8" t="n">
        <v>0.2</v>
      </c>
      <c r="N5108" s="7">
        <f>M5108*$J$5116-J5108</f>
        <v/>
      </c>
      <c r="O5108" s="9">
        <f>IF(G5108=0,0,N5108/G5108)</f>
        <v/>
      </c>
      <c r="P5108" s="6">
        <f>IF(M5108&gt;0,D5108,"")</f>
        <v/>
      </c>
      <c r="Q5108" s="9">
        <f>I5108+O5108</f>
        <v/>
      </c>
      <c r="R5108" s="7">
        <f>Q5108*G5108</f>
        <v/>
      </c>
      <c r="S5108" s="8">
        <f>IF($R$5116=0,0,R5108/$R$5116)</f>
        <v/>
      </c>
      <c r="T5108" s="8" t="n">
        <v>-0.0472991879099075</v>
      </c>
      <c r="U5108" s="8" t="n">
        <v>-0.01294148295328312</v>
      </c>
      <c r="V5108" s="6" t="inlineStr">
        <is>
          <t>remained in weekly selection</t>
        </is>
      </c>
    </row>
    <row r="5109">
      <c r="A5109" s="6" t="inlineStr">
        <is>
          <t>DJ30</t>
        </is>
      </c>
      <c r="B5109" s="6" t="inlineStr">
        <is>
          <t>2026-02-27</t>
        </is>
      </c>
      <c r="C5109" s="6" t="inlineStr">
        <is>
          <t>DIA</t>
        </is>
      </c>
      <c r="D5109" s="6" t="inlineStr">
        <is>
          <t>PG</t>
        </is>
      </c>
      <c r="E5109" s="6" t="inlineStr">
        <is>
          <t>PG</t>
        </is>
      </c>
      <c r="F5109" s="6" t="inlineStr">
        <is>
          <t>-</t>
        </is>
      </c>
      <c r="G5109" s="7" t="n">
        <v>165.9503784179688</v>
      </c>
      <c r="H5109" s="6">
        <f>P5078</f>
        <v/>
      </c>
      <c r="I5109" s="9">
        <f>Q5078</f>
        <v/>
      </c>
      <c r="J5109" s="7">
        <f>I5109*G5109</f>
        <v/>
      </c>
      <c r="K5109" s="8">
        <f>IF($J$5116=0,0,J5109/$J$5116)</f>
        <v/>
      </c>
      <c r="L5109" s="6" t="inlineStr">
        <is>
          <t>REJECTED</t>
        </is>
      </c>
      <c r="M5109" s="8" t="n">
        <v>0</v>
      </c>
      <c r="N5109" s="7">
        <f>M5109*$J$5116-J5109</f>
        <v/>
      </c>
      <c r="O5109" s="9">
        <f>IF(G5109=0,0,N5109/G5109)</f>
        <v/>
      </c>
      <c r="P5109" s="6">
        <f>IF(M5109&gt;0,D5109,"")</f>
        <v/>
      </c>
      <c r="Q5109" s="9">
        <f>I5109+O5109</f>
        <v/>
      </c>
      <c r="R5109" s="7">
        <f>Q5109*G5109</f>
        <v/>
      </c>
      <c r="S5109" s="8">
        <f>IF($R$5116=0,0,R5109/$R$5116)</f>
        <v/>
      </c>
      <c r="T5109" s="8" t="n">
        <v>-0.0472991879099075</v>
      </c>
      <c r="U5109" s="8" t="n">
        <v>-0.01294148295328312</v>
      </c>
      <c r="V5109" s="6" t="inlineStr">
        <is>
          <t>not selected</t>
        </is>
      </c>
    </row>
    <row r="5110">
      <c r="A5110" s="6" t="inlineStr">
        <is>
          <t>DJ30</t>
        </is>
      </c>
      <c r="B5110" s="6" t="inlineStr">
        <is>
          <t>2026-02-27</t>
        </is>
      </c>
      <c r="C5110" s="6" t="inlineStr">
        <is>
          <t>DIA</t>
        </is>
      </c>
      <c r="D5110" s="6" t="inlineStr">
        <is>
          <t>SHW</t>
        </is>
      </c>
      <c r="E5110" s="6" t="inlineStr">
        <is>
          <t>SHW</t>
        </is>
      </c>
      <c r="F5110" s="6" t="inlineStr">
        <is>
          <t>-</t>
        </is>
      </c>
      <c r="G5110" s="7" t="n">
        <v>360.8543701171875</v>
      </c>
      <c r="H5110" s="6">
        <f>P5079</f>
        <v/>
      </c>
      <c r="I5110" s="9">
        <f>Q5079</f>
        <v/>
      </c>
      <c r="J5110" s="7">
        <f>I5110*G5110</f>
        <v/>
      </c>
      <c r="K5110" s="8">
        <f>IF($J$5116=0,0,J5110/$J$5116)</f>
        <v/>
      </c>
      <c r="L5110" s="6" t="inlineStr">
        <is>
          <t>REJECTED</t>
        </is>
      </c>
      <c r="M5110" s="8" t="n">
        <v>0</v>
      </c>
      <c r="N5110" s="7">
        <f>M5110*$J$5116-J5110</f>
        <v/>
      </c>
      <c r="O5110" s="9">
        <f>IF(G5110=0,0,N5110/G5110)</f>
        <v/>
      </c>
      <c r="P5110" s="6">
        <f>IF(M5110&gt;0,D5110,"")</f>
        <v/>
      </c>
      <c r="Q5110" s="9">
        <f>I5110+O5110</f>
        <v/>
      </c>
      <c r="R5110" s="7">
        <f>Q5110*G5110</f>
        <v/>
      </c>
      <c r="S5110" s="8">
        <f>IF($R$5116=0,0,R5110/$R$5116)</f>
        <v/>
      </c>
      <c r="T5110" s="8" t="n">
        <v>-0.0472991879099075</v>
      </c>
      <c r="U5110" s="8" t="n">
        <v>-0.01294148295328312</v>
      </c>
      <c r="V5110" s="6" t="inlineStr">
        <is>
          <t>not selected</t>
        </is>
      </c>
    </row>
    <row r="5111">
      <c r="A5111" s="6" t="inlineStr">
        <is>
          <t>DJ30</t>
        </is>
      </c>
      <c r="B5111" s="6" t="inlineStr">
        <is>
          <t>2026-02-27</t>
        </is>
      </c>
      <c r="C5111" s="6" t="inlineStr">
        <is>
          <t>DIA</t>
        </is>
      </c>
      <c r="D5111" s="6" t="inlineStr">
        <is>
          <t>TRV</t>
        </is>
      </c>
      <c r="E5111" s="6" t="inlineStr">
        <is>
          <t>TRV</t>
        </is>
      </c>
      <c r="F5111" s="6" t="inlineStr">
        <is>
          <t>-</t>
        </is>
      </c>
      <c r="G5111" s="7" t="n">
        <v>306.2399597167969</v>
      </c>
      <c r="H5111" s="6">
        <f>P5080</f>
        <v/>
      </c>
      <c r="I5111" s="9">
        <f>Q5080</f>
        <v/>
      </c>
      <c r="J5111" s="7">
        <f>I5111*G5111</f>
        <v/>
      </c>
      <c r="K5111" s="8">
        <f>IF($J$5116=0,0,J5111/$J$5116)</f>
        <v/>
      </c>
      <c r="L5111" s="6" t="inlineStr">
        <is>
          <t>WATCHLIST</t>
        </is>
      </c>
      <c r="M5111" s="8" t="n">
        <v>0</v>
      </c>
      <c r="N5111" s="7">
        <f>M5111*$J$5116-J5111</f>
        <v/>
      </c>
      <c r="O5111" s="9">
        <f>IF(G5111=0,0,N5111/G5111)</f>
        <v/>
      </c>
      <c r="P5111" s="6">
        <f>IF(M5111&gt;0,D5111,"")</f>
        <v/>
      </c>
      <c r="Q5111" s="9">
        <f>I5111+O5111</f>
        <v/>
      </c>
      <c r="R5111" s="7">
        <f>Q5111*G5111</f>
        <v/>
      </c>
      <c r="S5111" s="8">
        <f>IF($R$5116=0,0,R5111/$R$5116)</f>
        <v/>
      </c>
      <c r="T5111" s="8" t="n">
        <v>-0.0472991879099075</v>
      </c>
      <c r="U5111" s="8" t="n">
        <v>-0.01294148295328312</v>
      </c>
      <c r="V5111" s="6" t="inlineStr">
        <is>
          <t>not selected</t>
        </is>
      </c>
    </row>
    <row r="5112">
      <c r="A5112" s="6" t="inlineStr">
        <is>
          <t>DJ30</t>
        </is>
      </c>
      <c r="B5112" s="6" t="inlineStr">
        <is>
          <t>2026-02-27</t>
        </is>
      </c>
      <c r="C5112" s="6" t="inlineStr">
        <is>
          <t>DIA</t>
        </is>
      </c>
      <c r="D5112" s="6" t="inlineStr">
        <is>
          <t>UNH</t>
        </is>
      </c>
      <c r="E5112" s="6" t="inlineStr">
        <is>
          <t>UNH</t>
        </is>
      </c>
      <c r="F5112" s="6" t="inlineStr">
        <is>
          <t>-</t>
        </is>
      </c>
      <c r="G5112" s="7" t="n">
        <v>289.3549499511719</v>
      </c>
      <c r="H5112" s="6">
        <f>P5081</f>
        <v/>
      </c>
      <c r="I5112" s="9">
        <f>Q5081</f>
        <v/>
      </c>
      <c r="J5112" s="7">
        <f>I5112*G5112</f>
        <v/>
      </c>
      <c r="K5112" s="8">
        <f>IF($J$5116=0,0,J5112/$J$5116)</f>
        <v/>
      </c>
      <c r="L5112" s="6" t="inlineStr">
        <is>
          <t>REJECTED</t>
        </is>
      </c>
      <c r="M5112" s="8" t="n">
        <v>0</v>
      </c>
      <c r="N5112" s="7">
        <f>M5112*$J$5116-J5112</f>
        <v/>
      </c>
      <c r="O5112" s="9">
        <f>IF(G5112=0,0,N5112/G5112)</f>
        <v/>
      </c>
      <c r="P5112" s="6">
        <f>IF(M5112&gt;0,D5112,"")</f>
        <v/>
      </c>
      <c r="Q5112" s="9">
        <f>I5112+O5112</f>
        <v/>
      </c>
      <c r="R5112" s="7">
        <f>Q5112*G5112</f>
        <v/>
      </c>
      <c r="S5112" s="8">
        <f>IF($R$5116=0,0,R5112/$R$5116)</f>
        <v/>
      </c>
      <c r="T5112" s="8" t="n">
        <v>-0.0472991879099075</v>
      </c>
      <c r="U5112" s="8" t="n">
        <v>-0.01294148295328312</v>
      </c>
      <c r="V5112" s="6" t="inlineStr">
        <is>
          <t>not selected</t>
        </is>
      </c>
    </row>
    <row r="5113">
      <c r="A5113" s="6" t="inlineStr">
        <is>
          <t>DJ30</t>
        </is>
      </c>
      <c r="B5113" s="6" t="inlineStr">
        <is>
          <t>2026-02-27</t>
        </is>
      </c>
      <c r="C5113" s="6" t="inlineStr">
        <is>
          <t>DIA</t>
        </is>
      </c>
      <c r="D5113" s="6" t="inlineStr">
        <is>
          <t>V</t>
        </is>
      </c>
      <c r="E5113" s="6" t="inlineStr">
        <is>
          <t>V</t>
        </is>
      </c>
      <c r="F5113" s="6" t="inlineStr">
        <is>
          <t>-</t>
        </is>
      </c>
      <c r="G5113" s="7" t="n">
        <v>319.4776916503906</v>
      </c>
      <c r="H5113" s="6">
        <f>P5082</f>
        <v/>
      </c>
      <c r="I5113" s="9">
        <f>Q5082</f>
        <v/>
      </c>
      <c r="J5113" s="7">
        <f>I5113*G5113</f>
        <v/>
      </c>
      <c r="K5113" s="8">
        <f>IF($J$5116=0,0,J5113/$J$5116)</f>
        <v/>
      </c>
      <c r="L5113" s="6" t="inlineStr">
        <is>
          <t>REJECTED</t>
        </is>
      </c>
      <c r="M5113" s="8" t="n">
        <v>0</v>
      </c>
      <c r="N5113" s="7">
        <f>M5113*$J$5116-J5113</f>
        <v/>
      </c>
      <c r="O5113" s="9">
        <f>IF(G5113=0,0,N5113/G5113)</f>
        <v/>
      </c>
      <c r="P5113" s="6">
        <f>IF(M5113&gt;0,D5113,"")</f>
        <v/>
      </c>
      <c r="Q5113" s="9">
        <f>I5113+O5113</f>
        <v/>
      </c>
      <c r="R5113" s="7">
        <f>Q5113*G5113</f>
        <v/>
      </c>
      <c r="S5113" s="8">
        <f>IF($R$5116=0,0,R5113/$R$5116)</f>
        <v/>
      </c>
      <c r="T5113" s="8" t="n">
        <v>-0.0472991879099075</v>
      </c>
      <c r="U5113" s="8" t="n">
        <v>-0.01294148295328312</v>
      </c>
      <c r="V5113" s="6" t="inlineStr">
        <is>
          <t>not selected</t>
        </is>
      </c>
    </row>
    <row r="5114">
      <c r="A5114" s="6" t="inlineStr">
        <is>
          <t>DJ30</t>
        </is>
      </c>
      <c r="B5114" s="6" t="inlineStr">
        <is>
          <t>2026-02-27</t>
        </is>
      </c>
      <c r="C5114" s="6" t="inlineStr">
        <is>
          <t>DIA</t>
        </is>
      </c>
      <c r="D5114" s="6" t="inlineStr">
        <is>
          <t>VZ</t>
        </is>
      </c>
      <c r="E5114" s="6" t="inlineStr">
        <is>
          <t>VZ</t>
        </is>
      </c>
      <c r="F5114" s="6" t="inlineStr">
        <is>
          <t>-</t>
        </is>
      </c>
      <c r="G5114" s="7" t="n">
        <v>49.39702987670898</v>
      </c>
      <c r="H5114" s="6">
        <f>P5083</f>
        <v/>
      </c>
      <c r="I5114" s="9">
        <f>Q5083</f>
        <v/>
      </c>
      <c r="J5114" s="7">
        <f>I5114*G5114</f>
        <v/>
      </c>
      <c r="K5114" s="8">
        <f>IF($J$5116=0,0,J5114/$J$5116)</f>
        <v/>
      </c>
      <c r="L5114" s="6" t="inlineStr">
        <is>
          <t>REJECTED</t>
        </is>
      </c>
      <c r="M5114" s="8" t="n">
        <v>0</v>
      </c>
      <c r="N5114" s="7">
        <f>M5114*$J$5116-J5114</f>
        <v/>
      </c>
      <c r="O5114" s="9">
        <f>IF(G5114=0,0,N5114/G5114)</f>
        <v/>
      </c>
      <c r="P5114" s="6">
        <f>IF(M5114&gt;0,D5114,"")</f>
        <v/>
      </c>
      <c r="Q5114" s="9">
        <f>I5114+O5114</f>
        <v/>
      </c>
      <c r="R5114" s="7">
        <f>Q5114*G5114</f>
        <v/>
      </c>
      <c r="S5114" s="8">
        <f>IF($R$5116=0,0,R5114/$R$5116)</f>
        <v/>
      </c>
      <c r="T5114" s="8" t="n">
        <v>-0.0472991879099075</v>
      </c>
      <c r="U5114" s="8" t="n">
        <v>-0.01294148295328312</v>
      </c>
      <c r="V5114" s="6" t="inlineStr">
        <is>
          <t>not selected</t>
        </is>
      </c>
    </row>
    <row r="5115">
      <c r="A5115" s="6" t="inlineStr">
        <is>
          <t>DJ30</t>
        </is>
      </c>
      <c r="B5115" s="6" t="inlineStr">
        <is>
          <t>2026-02-27</t>
        </is>
      </c>
      <c r="C5115" s="6" t="inlineStr">
        <is>
          <t>DIA</t>
        </is>
      </c>
      <c r="D5115" s="6" t="inlineStr">
        <is>
          <t>WMT</t>
        </is>
      </c>
      <c r="E5115" s="6" t="inlineStr">
        <is>
          <t>WMT</t>
        </is>
      </c>
      <c r="F5115" s="6" t="inlineStr">
        <is>
          <t>-</t>
        </is>
      </c>
      <c r="G5115" s="7" t="n">
        <v>127.4447250366211</v>
      </c>
      <c r="H5115" s="6">
        <f>P5084</f>
        <v/>
      </c>
      <c r="I5115" s="9">
        <f>Q5084</f>
        <v/>
      </c>
      <c r="J5115" s="7">
        <f>I5115*G5115</f>
        <v/>
      </c>
      <c r="K5115" s="8">
        <f>IF($J$5116=0,0,J5115/$J$5116)</f>
        <v/>
      </c>
      <c r="L5115" s="6" t="inlineStr">
        <is>
          <t>WATCHLIST</t>
        </is>
      </c>
      <c r="M5115" s="8" t="n">
        <v>0</v>
      </c>
      <c r="N5115" s="7">
        <f>M5115*$J$5116-J5115</f>
        <v/>
      </c>
      <c r="O5115" s="9">
        <f>IF(G5115=0,0,N5115/G5115)</f>
        <v/>
      </c>
      <c r="P5115" s="6">
        <f>IF(M5115&gt;0,D5115,"")</f>
        <v/>
      </c>
      <c r="Q5115" s="9">
        <f>I5115+O5115</f>
        <v/>
      </c>
      <c r="R5115" s="7">
        <f>Q5115*G5115</f>
        <v/>
      </c>
      <c r="S5115" s="8">
        <f>IF($R$5116=0,0,R5115/$R$5116)</f>
        <v/>
      </c>
      <c r="T5115" s="8" t="n">
        <v>-0.0472991879099075</v>
      </c>
      <c r="U5115" s="8" t="n">
        <v>-0.01294148295328312</v>
      </c>
      <c r="V5115" s="6" t="inlineStr">
        <is>
          <t>not selected</t>
        </is>
      </c>
    </row>
    <row r="5116">
      <c r="A5116" s="10" t="inlineStr">
        <is>
          <t>DJ30</t>
        </is>
      </c>
      <c r="B5116" s="10" t="inlineStr">
        <is>
          <t>2026-02-27</t>
        </is>
      </c>
      <c r="C5116" s="10" t="inlineStr">
        <is>
          <t>DIA</t>
        </is>
      </c>
      <c r="D5116" s="10" t="inlineStr">
        <is>
          <t>Tot Portfolio</t>
        </is>
      </c>
      <c r="E5116" s="10" t="inlineStr"/>
      <c r="F5116" s="10" t="inlineStr"/>
      <c r="G5116" s="11" t="inlineStr"/>
      <c r="H5116" s="10" t="inlineStr"/>
      <c r="I5116" s="12" t="inlineStr"/>
      <c r="J5116" s="11">
        <f>SUM(J5086:J5115)</f>
        <v/>
      </c>
      <c r="K5116" s="13">
        <f>SUM(K5086:K5115)</f>
        <v/>
      </c>
      <c r="L5116" s="10" t="inlineStr">
        <is>
          <t>TOTAL</t>
        </is>
      </c>
      <c r="M5116" s="13">
        <f>SUM(M5086:M5115)</f>
        <v/>
      </c>
      <c r="N5116" s="11">
        <f>SUM(N5086:N5115)</f>
        <v/>
      </c>
      <c r="O5116" s="12">
        <f>SUM(O5086:O5115)</f>
        <v/>
      </c>
      <c r="P5116" s="10" t="inlineStr"/>
      <c r="Q5116" s="12" t="inlineStr"/>
      <c r="R5116" s="11">
        <f>SUM(R5086:R5115)</f>
        <v/>
      </c>
      <c r="S5116" s="13">
        <f>SUM(S5086:S5115)</f>
        <v/>
      </c>
      <c r="T5116" s="13" t="n">
        <v>-0.0472991879099075</v>
      </c>
      <c r="U5116" s="13" t="n">
        <v>-0.01294148295328312</v>
      </c>
      <c r="V5116" s="10" t="inlineStr"/>
    </row>
    <row r="5117">
      <c r="A5117" s="6" t="inlineStr">
        <is>
          <t>DJ30</t>
        </is>
      </c>
      <c r="B5117" s="6" t="inlineStr">
        <is>
          <t>2026-03-06</t>
        </is>
      </c>
      <c r="C5117" s="6" t="inlineStr">
        <is>
          <t>DIA</t>
        </is>
      </c>
      <c r="D5117" s="6" t="inlineStr">
        <is>
          <t>AAPL</t>
        </is>
      </c>
      <c r="E5117" s="6" t="inlineStr">
        <is>
          <t>AAPL</t>
        </is>
      </c>
      <c r="F5117" s="6" t="inlineStr">
        <is>
          <t>-</t>
        </is>
      </c>
      <c r="G5117" s="7" t="n">
        <v>257.2229919433594</v>
      </c>
      <c r="H5117" s="6">
        <f>P5086</f>
        <v/>
      </c>
      <c r="I5117" s="9">
        <f>Q5086</f>
        <v/>
      </c>
      <c r="J5117" s="7">
        <f>I5117*G5117</f>
        <v/>
      </c>
      <c r="K5117" s="8">
        <f>IF($J$5147=0,0,J5117/$J$5147)</f>
        <v/>
      </c>
      <c r="L5117" s="6" t="inlineStr">
        <is>
          <t>WATCHLIST</t>
        </is>
      </c>
      <c r="M5117" s="8" t="n">
        <v>0</v>
      </c>
      <c r="N5117" s="7">
        <f>M5117*$J$5147-J5117</f>
        <v/>
      </c>
      <c r="O5117" s="9">
        <f>IF(G5117=0,0,N5117/G5117)</f>
        <v/>
      </c>
      <c r="P5117" s="6">
        <f>IF(M5117&gt;0,D5117,"")</f>
        <v/>
      </c>
      <c r="Q5117" s="9">
        <f>I5117+O5117</f>
        <v/>
      </c>
      <c r="R5117" s="7">
        <f>Q5117*G5117</f>
        <v/>
      </c>
      <c r="S5117" s="8">
        <f>IF($R$5147=0,0,R5117/$R$5147)</f>
        <v/>
      </c>
      <c r="T5117" s="8" t="n">
        <v>-0.03236218615014419</v>
      </c>
      <c r="U5117" s="8" t="n">
        <v>-0.02946942497007166</v>
      </c>
      <c r="V5117" s="6" t="inlineStr">
        <is>
          <t>not selected</t>
        </is>
      </c>
    </row>
    <row r="5118">
      <c r="A5118" s="6" t="inlineStr">
        <is>
          <t>DJ30</t>
        </is>
      </c>
      <c r="B5118" s="6" t="inlineStr">
        <is>
          <t>2026-03-06</t>
        </is>
      </c>
      <c r="C5118" s="6" t="inlineStr">
        <is>
          <t>DIA</t>
        </is>
      </c>
      <c r="D5118" s="6" t="inlineStr">
        <is>
          <t>AMGN</t>
        </is>
      </c>
      <c r="E5118" s="6" t="inlineStr">
        <is>
          <t>AMGN</t>
        </is>
      </c>
      <c r="F5118" s="6" t="inlineStr">
        <is>
          <t>-</t>
        </is>
      </c>
      <c r="G5118" s="7" t="n">
        <v>366.7604064941406</v>
      </c>
      <c r="H5118" s="6">
        <f>P5087</f>
        <v/>
      </c>
      <c r="I5118" s="9">
        <f>Q5087</f>
        <v/>
      </c>
      <c r="J5118" s="7">
        <f>I5118*G5118</f>
        <v/>
      </c>
      <c r="K5118" s="8">
        <f>IF($J$5147=0,0,J5118/$J$5147)</f>
        <v/>
      </c>
      <c r="L5118" s="6" t="inlineStr">
        <is>
          <t>WATCHLIST</t>
        </is>
      </c>
      <c r="M5118" s="8" t="n">
        <v>0</v>
      </c>
      <c r="N5118" s="7">
        <f>M5118*$J$5147-J5118</f>
        <v/>
      </c>
      <c r="O5118" s="9">
        <f>IF(G5118=0,0,N5118/G5118)</f>
        <v/>
      </c>
      <c r="P5118" s="6">
        <f>IF(M5118&gt;0,D5118,"")</f>
        <v/>
      </c>
      <c r="Q5118" s="9">
        <f>I5118+O5118</f>
        <v/>
      </c>
      <c r="R5118" s="7">
        <f>Q5118*G5118</f>
        <v/>
      </c>
      <c r="S5118" s="8">
        <f>IF($R$5147=0,0,R5118/$R$5147)</f>
        <v/>
      </c>
      <c r="T5118" s="8" t="n">
        <v>-0.03236218615014419</v>
      </c>
      <c r="U5118" s="8" t="n">
        <v>-0.02946942497007166</v>
      </c>
      <c r="V5118" s="6" t="inlineStr">
        <is>
          <t>not selected</t>
        </is>
      </c>
    </row>
    <row r="5119">
      <c r="A5119" s="6" t="inlineStr">
        <is>
          <t>DJ30</t>
        </is>
      </c>
      <c r="B5119" s="6" t="inlineStr">
        <is>
          <t>2026-03-06</t>
        </is>
      </c>
      <c r="C5119" s="6" t="inlineStr">
        <is>
          <t>DIA</t>
        </is>
      </c>
      <c r="D5119" s="6" t="inlineStr">
        <is>
          <t>AMZN</t>
        </is>
      </c>
      <c r="E5119" s="6" t="inlineStr">
        <is>
          <t>AMZN</t>
        </is>
      </c>
      <c r="F5119" s="6" t="inlineStr">
        <is>
          <t>-</t>
        </is>
      </c>
      <c r="G5119" s="7" t="n">
        <v>213.2100067138672</v>
      </c>
      <c r="H5119" s="6">
        <f>P5088</f>
        <v/>
      </c>
      <c r="I5119" s="9">
        <f>Q5088</f>
        <v/>
      </c>
      <c r="J5119" s="7">
        <f>I5119*G5119</f>
        <v/>
      </c>
      <c r="K5119" s="8">
        <f>IF($J$5147=0,0,J5119/$J$5147)</f>
        <v/>
      </c>
      <c r="L5119" s="6" t="inlineStr">
        <is>
          <t>WATCHLIST</t>
        </is>
      </c>
      <c r="M5119" s="8" t="n">
        <v>0</v>
      </c>
      <c r="N5119" s="7">
        <f>M5119*$J$5147-J5119</f>
        <v/>
      </c>
      <c r="O5119" s="9">
        <f>IF(G5119=0,0,N5119/G5119)</f>
        <v/>
      </c>
      <c r="P5119" s="6">
        <f>IF(M5119&gt;0,D5119,"")</f>
        <v/>
      </c>
      <c r="Q5119" s="9">
        <f>I5119+O5119</f>
        <v/>
      </c>
      <c r="R5119" s="7">
        <f>Q5119*G5119</f>
        <v/>
      </c>
      <c r="S5119" s="8">
        <f>IF($R$5147=0,0,R5119/$R$5147)</f>
        <v/>
      </c>
      <c r="T5119" s="8" t="n">
        <v>-0.03236218615014419</v>
      </c>
      <c r="U5119" s="8" t="n">
        <v>-0.02946942497007166</v>
      </c>
      <c r="V5119" s="6" t="inlineStr">
        <is>
          <t>not selected</t>
        </is>
      </c>
    </row>
    <row r="5120">
      <c r="A5120" s="6" t="inlineStr">
        <is>
          <t>DJ30</t>
        </is>
      </c>
      <c r="B5120" s="6" t="inlineStr">
        <is>
          <t>2026-03-06</t>
        </is>
      </c>
      <c r="C5120" s="6" t="inlineStr">
        <is>
          <t>DIA</t>
        </is>
      </c>
      <c r="D5120" s="6" t="inlineStr">
        <is>
          <t>AXP</t>
        </is>
      </c>
      <c r="E5120" s="6" t="inlineStr">
        <is>
          <t>AXP</t>
        </is>
      </c>
      <c r="F5120" s="6" t="inlineStr">
        <is>
          <t>-</t>
        </is>
      </c>
      <c r="G5120" s="7" t="n">
        <v>300.0514221191406</v>
      </c>
      <c r="H5120" s="6">
        <f>P5089</f>
        <v/>
      </c>
      <c r="I5120" s="9">
        <f>Q5089</f>
        <v/>
      </c>
      <c r="J5120" s="7">
        <f>I5120*G5120</f>
        <v/>
      </c>
      <c r="K5120" s="8">
        <f>IF($J$5147=0,0,J5120/$J$5147)</f>
        <v/>
      </c>
      <c r="L5120" s="6" t="inlineStr">
        <is>
          <t>WATCHLIST</t>
        </is>
      </c>
      <c r="M5120" s="8" t="n">
        <v>0</v>
      </c>
      <c r="N5120" s="7">
        <f>M5120*$J$5147-J5120</f>
        <v/>
      </c>
      <c r="O5120" s="9">
        <f>IF(G5120=0,0,N5120/G5120)</f>
        <v/>
      </c>
      <c r="P5120" s="6">
        <f>IF(M5120&gt;0,D5120,"")</f>
        <v/>
      </c>
      <c r="Q5120" s="9">
        <f>I5120+O5120</f>
        <v/>
      </c>
      <c r="R5120" s="7">
        <f>Q5120*G5120</f>
        <v/>
      </c>
      <c r="S5120" s="8">
        <f>IF($R$5147=0,0,R5120/$R$5147)</f>
        <v/>
      </c>
      <c r="T5120" s="8" t="n">
        <v>-0.03236218615014419</v>
      </c>
      <c r="U5120" s="8" t="n">
        <v>-0.02946942497007166</v>
      </c>
      <c r="V5120" s="6" t="inlineStr">
        <is>
          <t>not selected</t>
        </is>
      </c>
    </row>
    <row r="5121">
      <c r="A5121" s="6" t="inlineStr">
        <is>
          <t>DJ30</t>
        </is>
      </c>
      <c r="B5121" s="6" t="inlineStr">
        <is>
          <t>2026-03-06</t>
        </is>
      </c>
      <c r="C5121" s="6" t="inlineStr">
        <is>
          <t>DIA</t>
        </is>
      </c>
      <c r="D5121" s="6" t="inlineStr">
        <is>
          <t>BA</t>
        </is>
      </c>
      <c r="E5121" s="6" t="inlineStr">
        <is>
          <t>BA</t>
        </is>
      </c>
      <c r="F5121" s="6" t="inlineStr">
        <is>
          <t>-</t>
        </is>
      </c>
      <c r="G5121" s="7" t="n">
        <v>231.1100006103516</v>
      </c>
      <c r="H5121" s="6">
        <f>P5090</f>
        <v/>
      </c>
      <c r="I5121" s="9">
        <f>Q5090</f>
        <v/>
      </c>
      <c r="J5121" s="7">
        <f>I5121*G5121</f>
        <v/>
      </c>
      <c r="K5121" s="8">
        <f>IF($J$5147=0,0,J5121/$J$5147)</f>
        <v/>
      </c>
      <c r="L5121" s="6" t="inlineStr">
        <is>
          <t>WATCHLIST</t>
        </is>
      </c>
      <c r="M5121" s="8" t="n">
        <v>0</v>
      </c>
      <c r="N5121" s="7">
        <f>M5121*$J$5147-J5121</f>
        <v/>
      </c>
      <c r="O5121" s="9">
        <f>IF(G5121=0,0,N5121/G5121)</f>
        <v/>
      </c>
      <c r="P5121" s="6">
        <f>IF(M5121&gt;0,D5121,"")</f>
        <v/>
      </c>
      <c r="Q5121" s="9">
        <f>I5121+O5121</f>
        <v/>
      </c>
      <c r="R5121" s="7">
        <f>Q5121*G5121</f>
        <v/>
      </c>
      <c r="S5121" s="8">
        <f>IF($R$5147=0,0,R5121/$R$5147)</f>
        <v/>
      </c>
      <c r="T5121" s="8" t="n">
        <v>-0.03236218615014419</v>
      </c>
      <c r="U5121" s="8" t="n">
        <v>-0.02946942497007166</v>
      </c>
      <c r="V5121" s="6" t="inlineStr">
        <is>
          <t>not selected</t>
        </is>
      </c>
    </row>
    <row r="5122">
      <c r="A5122" s="6" t="inlineStr">
        <is>
          <t>DJ30</t>
        </is>
      </c>
      <c r="B5122" s="6" t="inlineStr">
        <is>
          <t>2026-03-06</t>
        </is>
      </c>
      <c r="C5122" s="6" t="inlineStr">
        <is>
          <t>DIA</t>
        </is>
      </c>
      <c r="D5122" s="6" t="inlineStr">
        <is>
          <t>CAT</t>
        </is>
      </c>
      <c r="E5122" s="6" t="inlineStr">
        <is>
          <t>CAT</t>
        </is>
      </c>
      <c r="F5122" s="6" t="inlineStr">
        <is>
          <t>-</t>
        </is>
      </c>
      <c r="G5122" s="7" t="n">
        <v>679.606201171875</v>
      </c>
      <c r="H5122" s="6">
        <f>P5091</f>
        <v/>
      </c>
      <c r="I5122" s="9">
        <f>Q5091</f>
        <v/>
      </c>
      <c r="J5122" s="7">
        <f>I5122*G5122</f>
        <v/>
      </c>
      <c r="K5122" s="8">
        <f>IF($J$5147=0,0,J5122/$J$5147)</f>
        <v/>
      </c>
      <c r="L5122" s="6" t="inlineStr">
        <is>
          <t>SELECTED</t>
        </is>
      </c>
      <c r="M5122" s="8" t="n">
        <v>0.2</v>
      </c>
      <c r="N5122" s="7">
        <f>M5122*$J$5147-J5122</f>
        <v/>
      </c>
      <c r="O5122" s="9">
        <f>IF(G5122=0,0,N5122/G5122)</f>
        <v/>
      </c>
      <c r="P5122" s="6">
        <f>IF(M5122&gt;0,D5122,"")</f>
        <v/>
      </c>
      <c r="Q5122" s="9">
        <f>I5122+O5122</f>
        <v/>
      </c>
      <c r="R5122" s="7">
        <f>Q5122*G5122</f>
        <v/>
      </c>
      <c r="S5122" s="8">
        <f>IF($R$5147=0,0,R5122/$R$5147)</f>
        <v/>
      </c>
      <c r="T5122" s="8" t="n">
        <v>-0.03236218615014419</v>
      </c>
      <c r="U5122" s="8" t="n">
        <v>-0.02946942497007166</v>
      </c>
      <c r="V5122" s="6" t="inlineStr">
        <is>
          <t>remained in weekly selection</t>
        </is>
      </c>
    </row>
    <row r="5123">
      <c r="A5123" s="6" t="inlineStr">
        <is>
          <t>DJ30</t>
        </is>
      </c>
      <c r="B5123" s="6" t="inlineStr">
        <is>
          <t>2026-03-06</t>
        </is>
      </c>
      <c r="C5123" s="6" t="inlineStr">
        <is>
          <t>DIA</t>
        </is>
      </c>
      <c r="D5123" s="6" t="inlineStr">
        <is>
          <t>CRM</t>
        </is>
      </c>
      <c r="E5123" s="6" t="inlineStr">
        <is>
          <t>CRM</t>
        </is>
      </c>
      <c r="F5123" s="6" t="inlineStr">
        <is>
          <t>-</t>
        </is>
      </c>
      <c r="G5123" s="7" t="n">
        <v>201.0867919921875</v>
      </c>
      <c r="H5123" s="6">
        <f>P5092</f>
        <v/>
      </c>
      <c r="I5123" s="9">
        <f>Q5092</f>
        <v/>
      </c>
      <c r="J5123" s="7">
        <f>I5123*G5123</f>
        <v/>
      </c>
      <c r="K5123" s="8">
        <f>IF($J$5147=0,0,J5123/$J$5147)</f>
        <v/>
      </c>
      <c r="L5123" s="6" t="inlineStr">
        <is>
          <t>REJECTED</t>
        </is>
      </c>
      <c r="M5123" s="8" t="n">
        <v>0</v>
      </c>
      <c r="N5123" s="7">
        <f>M5123*$J$5147-J5123</f>
        <v/>
      </c>
      <c r="O5123" s="9">
        <f>IF(G5123=0,0,N5123/G5123)</f>
        <v/>
      </c>
      <c r="P5123" s="6">
        <f>IF(M5123&gt;0,D5123,"")</f>
        <v/>
      </c>
      <c r="Q5123" s="9">
        <f>I5123+O5123</f>
        <v/>
      </c>
      <c r="R5123" s="7">
        <f>Q5123*G5123</f>
        <v/>
      </c>
      <c r="S5123" s="8">
        <f>IF($R$5147=0,0,R5123/$R$5147)</f>
        <v/>
      </c>
      <c r="T5123" s="8" t="n">
        <v>-0.03236218615014419</v>
      </c>
      <c r="U5123" s="8" t="n">
        <v>-0.02946942497007166</v>
      </c>
      <c r="V5123" s="6" t="inlineStr">
        <is>
          <t>not selected</t>
        </is>
      </c>
    </row>
    <row r="5124">
      <c r="A5124" s="6" t="inlineStr">
        <is>
          <t>DJ30</t>
        </is>
      </c>
      <c r="B5124" s="6" t="inlineStr">
        <is>
          <t>2026-03-06</t>
        </is>
      </c>
      <c r="C5124" s="6" t="inlineStr">
        <is>
          <t>DIA</t>
        </is>
      </c>
      <c r="D5124" s="6" t="inlineStr">
        <is>
          <t>CSCO</t>
        </is>
      </c>
      <c r="E5124" s="6" t="inlineStr">
        <is>
          <t>CSCO</t>
        </is>
      </c>
      <c r="F5124" s="6" t="inlineStr">
        <is>
          <t>-</t>
        </is>
      </c>
      <c r="G5124" s="7" t="n">
        <v>78.21617126464844</v>
      </c>
      <c r="H5124" s="6">
        <f>P5093</f>
        <v/>
      </c>
      <c r="I5124" s="9">
        <f>Q5093</f>
        <v/>
      </c>
      <c r="J5124" s="7">
        <f>I5124*G5124</f>
        <v/>
      </c>
      <c r="K5124" s="8">
        <f>IF($J$5147=0,0,J5124/$J$5147)</f>
        <v/>
      </c>
      <c r="L5124" s="6" t="inlineStr">
        <is>
          <t>SELECTED</t>
        </is>
      </c>
      <c r="M5124" s="8" t="n">
        <v>0.2</v>
      </c>
      <c r="N5124" s="7">
        <f>M5124*$J$5147-J5124</f>
        <v/>
      </c>
      <c r="O5124" s="9">
        <f>IF(G5124=0,0,N5124/G5124)</f>
        <v/>
      </c>
      <c r="P5124" s="6">
        <f>IF(M5124&gt;0,D5124,"")</f>
        <v/>
      </c>
      <c r="Q5124" s="9">
        <f>I5124+O5124</f>
        <v/>
      </c>
      <c r="R5124" s="7">
        <f>Q5124*G5124</f>
        <v/>
      </c>
      <c r="S5124" s="8">
        <f>IF($R$5147=0,0,R5124/$R$5147)</f>
        <v/>
      </c>
      <c r="T5124" s="8" t="n">
        <v>-0.03236218615014419</v>
      </c>
      <c r="U5124" s="8" t="n">
        <v>-0.02946942497007166</v>
      </c>
      <c r="V5124" s="6" t="inlineStr">
        <is>
          <t>remained in weekly selection</t>
        </is>
      </c>
    </row>
    <row r="5125">
      <c r="A5125" s="6" t="inlineStr">
        <is>
          <t>DJ30</t>
        </is>
      </c>
      <c r="B5125" s="6" t="inlineStr">
        <is>
          <t>2026-03-06</t>
        </is>
      </c>
      <c r="C5125" s="6" t="inlineStr">
        <is>
          <t>DIA</t>
        </is>
      </c>
      <c r="D5125" s="6" t="inlineStr">
        <is>
          <t>CVX</t>
        </is>
      </c>
      <c r="E5125" s="6" t="inlineStr">
        <is>
          <t>CVX</t>
        </is>
      </c>
      <c r="F5125" s="6" t="inlineStr">
        <is>
          <t>-</t>
        </is>
      </c>
      <c r="G5125" s="7" t="n">
        <v>188.2160949707031</v>
      </c>
      <c r="H5125" s="6">
        <f>P5094</f>
        <v/>
      </c>
      <c r="I5125" s="9">
        <f>Q5094</f>
        <v/>
      </c>
      <c r="J5125" s="7">
        <f>I5125*G5125</f>
        <v/>
      </c>
      <c r="K5125" s="8">
        <f>IF($J$5147=0,0,J5125/$J$5147)</f>
        <v/>
      </c>
      <c r="L5125" s="6" t="inlineStr">
        <is>
          <t>WATCHLIST</t>
        </is>
      </c>
      <c r="M5125" s="8" t="n">
        <v>0</v>
      </c>
      <c r="N5125" s="7">
        <f>M5125*$J$5147-J5125</f>
        <v/>
      </c>
      <c r="O5125" s="9">
        <f>IF(G5125=0,0,N5125/G5125)</f>
        <v/>
      </c>
      <c r="P5125" s="6">
        <f>IF(M5125&gt;0,D5125,"")</f>
        <v/>
      </c>
      <c r="Q5125" s="9">
        <f>I5125+O5125</f>
        <v/>
      </c>
      <c r="R5125" s="7">
        <f>Q5125*G5125</f>
        <v/>
      </c>
      <c r="S5125" s="8">
        <f>IF($R$5147=0,0,R5125/$R$5147)</f>
        <v/>
      </c>
      <c r="T5125" s="8" t="n">
        <v>-0.03236218615014419</v>
      </c>
      <c r="U5125" s="8" t="n">
        <v>-0.02946942497007166</v>
      </c>
      <c r="V5125" s="6" t="inlineStr">
        <is>
          <t>not selected</t>
        </is>
      </c>
    </row>
    <row r="5126">
      <c r="A5126" s="6" t="inlineStr">
        <is>
          <t>DJ30</t>
        </is>
      </c>
      <c r="B5126" s="6" t="inlineStr">
        <is>
          <t>2026-03-06</t>
        </is>
      </c>
      <c r="C5126" s="6" t="inlineStr">
        <is>
          <t>DIA</t>
        </is>
      </c>
      <c r="D5126" s="6" t="inlineStr">
        <is>
          <t>DIS</t>
        </is>
      </c>
      <c r="E5126" s="6" t="inlineStr">
        <is>
          <t>DIS</t>
        </is>
      </c>
      <c r="F5126" s="6" t="inlineStr">
        <is>
          <t>-</t>
        </is>
      </c>
      <c r="G5126" s="7" t="n">
        <v>101.5400009155273</v>
      </c>
      <c r="H5126" s="6">
        <f>P5095</f>
        <v/>
      </c>
      <c r="I5126" s="9">
        <f>Q5095</f>
        <v/>
      </c>
      <c r="J5126" s="7">
        <f>I5126*G5126</f>
        <v/>
      </c>
      <c r="K5126" s="8">
        <f>IF($J$5147=0,0,J5126/$J$5147)</f>
        <v/>
      </c>
      <c r="L5126" s="6" t="inlineStr">
        <is>
          <t>REJECTED</t>
        </is>
      </c>
      <c r="M5126" s="8" t="n">
        <v>0</v>
      </c>
      <c r="N5126" s="7">
        <f>M5126*$J$5147-J5126</f>
        <v/>
      </c>
      <c r="O5126" s="9">
        <f>IF(G5126=0,0,N5126/G5126)</f>
        <v/>
      </c>
      <c r="P5126" s="6">
        <f>IF(M5126&gt;0,D5126,"")</f>
        <v/>
      </c>
      <c r="Q5126" s="9">
        <f>I5126+O5126</f>
        <v/>
      </c>
      <c r="R5126" s="7">
        <f>Q5126*G5126</f>
        <v/>
      </c>
      <c r="S5126" s="8">
        <f>IF($R$5147=0,0,R5126/$R$5147)</f>
        <v/>
      </c>
      <c r="T5126" s="8" t="n">
        <v>-0.03236218615014419</v>
      </c>
      <c r="U5126" s="8" t="n">
        <v>-0.02946942497007166</v>
      </c>
      <c r="V5126" s="6" t="inlineStr">
        <is>
          <t>not selected</t>
        </is>
      </c>
    </row>
    <row r="5127">
      <c r="A5127" s="6" t="inlineStr">
        <is>
          <t>DJ30</t>
        </is>
      </c>
      <c r="B5127" s="6" t="inlineStr">
        <is>
          <t>2026-03-06</t>
        </is>
      </c>
      <c r="C5127" s="6" t="inlineStr">
        <is>
          <t>DIA</t>
        </is>
      </c>
      <c r="D5127" s="6" t="inlineStr">
        <is>
          <t>GS</t>
        </is>
      </c>
      <c r="E5127" s="6" t="inlineStr">
        <is>
          <t>GS</t>
        </is>
      </c>
      <c r="F5127" s="6" t="inlineStr">
        <is>
          <t>-</t>
        </is>
      </c>
      <c r="G5127" s="7" t="n">
        <v>817.8157348632812</v>
      </c>
      <c r="H5127" s="6">
        <f>P5096</f>
        <v/>
      </c>
      <c r="I5127" s="9">
        <f>Q5096</f>
        <v/>
      </c>
      <c r="J5127" s="7">
        <f>I5127*G5127</f>
        <v/>
      </c>
      <c r="K5127" s="8">
        <f>IF($J$5147=0,0,J5127/$J$5147)</f>
        <v/>
      </c>
      <c r="L5127" s="6" t="inlineStr">
        <is>
          <t>SELECTED</t>
        </is>
      </c>
      <c r="M5127" s="8" t="n">
        <v>0.2</v>
      </c>
      <c r="N5127" s="7">
        <f>M5127*$J$5147-J5127</f>
        <v/>
      </c>
      <c r="O5127" s="9">
        <f>IF(G5127=0,0,N5127/G5127)</f>
        <v/>
      </c>
      <c r="P5127" s="6">
        <f>IF(M5127&gt;0,D5127,"")</f>
        <v/>
      </c>
      <c r="Q5127" s="9">
        <f>I5127+O5127</f>
        <v/>
      </c>
      <c r="R5127" s="7">
        <f>Q5127*G5127</f>
        <v/>
      </c>
      <c r="S5127" s="8">
        <f>IF($R$5147=0,0,R5127/$R$5147)</f>
        <v/>
      </c>
      <c r="T5127" s="8" t="n">
        <v>-0.03236218615014419</v>
      </c>
      <c r="U5127" s="8" t="n">
        <v>-0.02946942497007166</v>
      </c>
      <c r="V5127" s="6" t="inlineStr">
        <is>
          <t>remained in weekly selection</t>
        </is>
      </c>
    </row>
    <row r="5128">
      <c r="A5128" s="6" t="inlineStr">
        <is>
          <t>DJ30</t>
        </is>
      </c>
      <c r="B5128" s="6" t="inlineStr">
        <is>
          <t>2026-03-06</t>
        </is>
      </c>
      <c r="C5128" s="6" t="inlineStr">
        <is>
          <t>DIA</t>
        </is>
      </c>
      <c r="D5128" s="6" t="inlineStr">
        <is>
          <t>HD</t>
        </is>
      </c>
      <c r="E5128" s="6" t="inlineStr">
        <is>
          <t>HD</t>
        </is>
      </c>
      <c r="F5128" s="6" t="inlineStr">
        <is>
          <t>-</t>
        </is>
      </c>
      <c r="G5128" s="7" t="n">
        <v>352.8960571289062</v>
      </c>
      <c r="H5128" s="6">
        <f>P5097</f>
        <v/>
      </c>
      <c r="I5128" s="9">
        <f>Q5097</f>
        <v/>
      </c>
      <c r="J5128" s="7">
        <f>I5128*G5128</f>
        <v/>
      </c>
      <c r="K5128" s="8">
        <f>IF($J$5147=0,0,J5128/$J$5147)</f>
        <v/>
      </c>
      <c r="L5128" s="6" t="inlineStr">
        <is>
          <t>REJECTED</t>
        </is>
      </c>
      <c r="M5128" s="8" t="n">
        <v>0</v>
      </c>
      <c r="N5128" s="7">
        <f>M5128*$J$5147-J5128</f>
        <v/>
      </c>
      <c r="O5128" s="9">
        <f>IF(G5128=0,0,N5128/G5128)</f>
        <v/>
      </c>
      <c r="P5128" s="6">
        <f>IF(M5128&gt;0,D5128,"")</f>
        <v/>
      </c>
      <c r="Q5128" s="9">
        <f>I5128+O5128</f>
        <v/>
      </c>
      <c r="R5128" s="7">
        <f>Q5128*G5128</f>
        <v/>
      </c>
      <c r="S5128" s="8">
        <f>IF($R$5147=0,0,R5128/$R$5147)</f>
        <v/>
      </c>
      <c r="T5128" s="8" t="n">
        <v>-0.03236218615014419</v>
      </c>
      <c r="U5128" s="8" t="n">
        <v>-0.02946942497007166</v>
      </c>
      <c r="V5128" s="6" t="inlineStr">
        <is>
          <t>not selected</t>
        </is>
      </c>
    </row>
    <row r="5129">
      <c r="A5129" s="6" t="inlineStr">
        <is>
          <t>DJ30</t>
        </is>
      </c>
      <c r="B5129" s="6" t="inlineStr">
        <is>
          <t>2026-03-06</t>
        </is>
      </c>
      <c r="C5129" s="6" t="inlineStr">
        <is>
          <t>DIA</t>
        </is>
      </c>
      <c r="D5129" s="6" t="inlineStr">
        <is>
          <t>HON</t>
        </is>
      </c>
      <c r="E5129" s="6" t="inlineStr">
        <is>
          <t>HON</t>
        </is>
      </c>
      <c r="F5129" s="6" t="inlineStr">
        <is>
          <t>-</t>
        </is>
      </c>
      <c r="G5129" s="7" t="n">
        <v>234.0039520263672</v>
      </c>
      <c r="H5129" s="6">
        <f>P5098</f>
        <v/>
      </c>
      <c r="I5129" s="9">
        <f>Q5098</f>
        <v/>
      </c>
      <c r="J5129" s="7">
        <f>I5129*G5129</f>
        <v/>
      </c>
      <c r="K5129" s="8">
        <f>IF($J$5147=0,0,J5129/$J$5147)</f>
        <v/>
      </c>
      <c r="L5129" s="6" t="inlineStr">
        <is>
          <t>REJECTED</t>
        </is>
      </c>
      <c r="M5129" s="8" t="n">
        <v>0</v>
      </c>
      <c r="N5129" s="7">
        <f>M5129*$J$5147-J5129</f>
        <v/>
      </c>
      <c r="O5129" s="9">
        <f>IF(G5129=0,0,N5129/G5129)</f>
        <v/>
      </c>
      <c r="P5129" s="6">
        <f>IF(M5129&gt;0,D5129,"")</f>
        <v/>
      </c>
      <c r="Q5129" s="9">
        <f>I5129+O5129</f>
        <v/>
      </c>
      <c r="R5129" s="7">
        <f>Q5129*G5129</f>
        <v/>
      </c>
      <c r="S5129" s="8">
        <f>IF($R$5147=0,0,R5129/$R$5147)</f>
        <v/>
      </c>
      <c r="T5129" s="8" t="n">
        <v>-0.03236218615014419</v>
      </c>
      <c r="U5129" s="8" t="n">
        <v>-0.02946942497007166</v>
      </c>
      <c r="V5129" s="6" t="inlineStr">
        <is>
          <t>not selected</t>
        </is>
      </c>
    </row>
    <row r="5130">
      <c r="A5130" s="6" t="inlineStr">
        <is>
          <t>DJ30</t>
        </is>
      </c>
      <c r="B5130" s="6" t="inlineStr">
        <is>
          <t>2026-03-06</t>
        </is>
      </c>
      <c r="C5130" s="6" t="inlineStr">
        <is>
          <t>DIA</t>
        </is>
      </c>
      <c r="D5130" s="6" t="inlineStr">
        <is>
          <t>IBM</t>
        </is>
      </c>
      <c r="E5130" s="6" t="inlineStr">
        <is>
          <t>IBM</t>
        </is>
      </c>
      <c r="F5130" s="6" t="inlineStr">
        <is>
          <t>-</t>
        </is>
      </c>
      <c r="G5130" s="7" t="n">
        <v>256.9588012695312</v>
      </c>
      <c r="H5130" s="6">
        <f>P5099</f>
        <v/>
      </c>
      <c r="I5130" s="9">
        <f>Q5099</f>
        <v/>
      </c>
      <c r="J5130" s="7">
        <f>I5130*G5130</f>
        <v/>
      </c>
      <c r="K5130" s="8">
        <f>IF($J$5147=0,0,J5130/$J$5147)</f>
        <v/>
      </c>
      <c r="L5130" s="6" t="inlineStr">
        <is>
          <t>WATCHLIST</t>
        </is>
      </c>
      <c r="M5130" s="8" t="n">
        <v>0</v>
      </c>
      <c r="N5130" s="7">
        <f>M5130*$J$5147-J5130</f>
        <v/>
      </c>
      <c r="O5130" s="9">
        <f>IF(G5130=0,0,N5130/G5130)</f>
        <v/>
      </c>
      <c r="P5130" s="6">
        <f>IF(M5130&gt;0,D5130,"")</f>
        <v/>
      </c>
      <c r="Q5130" s="9">
        <f>I5130+O5130</f>
        <v/>
      </c>
      <c r="R5130" s="7">
        <f>Q5130*G5130</f>
        <v/>
      </c>
      <c r="S5130" s="8">
        <f>IF($R$5147=0,0,R5130/$R$5147)</f>
        <v/>
      </c>
      <c r="T5130" s="8" t="n">
        <v>-0.03236218615014419</v>
      </c>
      <c r="U5130" s="8" t="n">
        <v>-0.02946942497007166</v>
      </c>
      <c r="V5130" s="6" t="inlineStr">
        <is>
          <t>not selected</t>
        </is>
      </c>
    </row>
    <row r="5131">
      <c r="A5131" s="6" t="inlineStr">
        <is>
          <t>DJ30</t>
        </is>
      </c>
      <c r="B5131" s="6" t="inlineStr">
        <is>
          <t>2026-03-06</t>
        </is>
      </c>
      <c r="C5131" s="6" t="inlineStr">
        <is>
          <t>DIA</t>
        </is>
      </c>
      <c r="D5131" s="6" t="inlineStr">
        <is>
          <t>JNJ</t>
        </is>
      </c>
      <c r="E5131" s="6" t="inlineStr">
        <is>
          <t>JNJ</t>
        </is>
      </c>
      <c r="F5131" s="6" t="inlineStr">
        <is>
          <t>-</t>
        </is>
      </c>
      <c r="G5131" s="7" t="n">
        <v>239.0253448486328</v>
      </c>
      <c r="H5131" s="6">
        <f>P5100</f>
        <v/>
      </c>
      <c r="I5131" s="9">
        <f>Q5100</f>
        <v/>
      </c>
      <c r="J5131" s="7">
        <f>I5131*G5131</f>
        <v/>
      </c>
      <c r="K5131" s="8">
        <f>IF($J$5147=0,0,J5131/$J$5147)</f>
        <v/>
      </c>
      <c r="L5131" s="6" t="inlineStr">
        <is>
          <t>SELECTED</t>
        </is>
      </c>
      <c r="M5131" s="8" t="n">
        <v>0.2</v>
      </c>
      <c r="N5131" s="7">
        <f>M5131*$J$5147-J5131</f>
        <v/>
      </c>
      <c r="O5131" s="9">
        <f>IF(G5131=0,0,N5131/G5131)</f>
        <v/>
      </c>
      <c r="P5131" s="6">
        <f>IF(M5131&gt;0,D5131,"")</f>
        <v/>
      </c>
      <c r="Q5131" s="9">
        <f>I5131+O5131</f>
        <v/>
      </c>
      <c r="R5131" s="7">
        <f>Q5131*G5131</f>
        <v/>
      </c>
      <c r="S5131" s="8">
        <f>IF($R$5147=0,0,R5131/$R$5147)</f>
        <v/>
      </c>
      <c r="T5131" s="8" t="n">
        <v>-0.03236218615014419</v>
      </c>
      <c r="U5131" s="8" t="n">
        <v>-0.02946942497007166</v>
      </c>
      <c r="V5131" s="6" t="inlineStr">
        <is>
          <t>remained in weekly selection</t>
        </is>
      </c>
    </row>
    <row r="5132">
      <c r="A5132" s="6" t="inlineStr">
        <is>
          <t>DJ30</t>
        </is>
      </c>
      <c r="B5132" s="6" t="inlineStr">
        <is>
          <t>2026-03-06</t>
        </is>
      </c>
      <c r="C5132" s="6" t="inlineStr">
        <is>
          <t>DIA</t>
        </is>
      </c>
      <c r="D5132" s="6" t="inlineStr">
        <is>
          <t>JPM</t>
        </is>
      </c>
      <c r="E5132" s="6" t="inlineStr">
        <is>
          <t>JPM</t>
        </is>
      </c>
      <c r="F5132" s="6" t="inlineStr">
        <is>
          <t>-</t>
        </is>
      </c>
      <c r="G5132" s="7" t="n">
        <v>288.0060729980469</v>
      </c>
      <c r="H5132" s="6">
        <f>P5101</f>
        <v/>
      </c>
      <c r="I5132" s="9">
        <f>Q5101</f>
        <v/>
      </c>
      <c r="J5132" s="7">
        <f>I5132*G5132</f>
        <v/>
      </c>
      <c r="K5132" s="8">
        <f>IF($J$5147=0,0,J5132/$J$5147)</f>
        <v/>
      </c>
      <c r="L5132" s="6" t="inlineStr">
        <is>
          <t>WATCHLIST</t>
        </is>
      </c>
      <c r="M5132" s="8" t="n">
        <v>0</v>
      </c>
      <c r="N5132" s="7">
        <f>M5132*$J$5147-J5132</f>
        <v/>
      </c>
      <c r="O5132" s="9">
        <f>IF(G5132=0,0,N5132/G5132)</f>
        <v/>
      </c>
      <c r="P5132" s="6">
        <f>IF(M5132&gt;0,D5132,"")</f>
        <v/>
      </c>
      <c r="Q5132" s="9">
        <f>I5132+O5132</f>
        <v/>
      </c>
      <c r="R5132" s="7">
        <f>Q5132*G5132</f>
        <v/>
      </c>
      <c r="S5132" s="8">
        <f>IF($R$5147=0,0,R5132/$R$5147)</f>
        <v/>
      </c>
      <c r="T5132" s="8" t="n">
        <v>-0.03236218615014419</v>
      </c>
      <c r="U5132" s="8" t="n">
        <v>-0.02946942497007166</v>
      </c>
      <c r="V5132" s="6" t="inlineStr">
        <is>
          <t>not selected</t>
        </is>
      </c>
    </row>
    <row r="5133">
      <c r="A5133" s="6" t="inlineStr">
        <is>
          <t>DJ30</t>
        </is>
      </c>
      <c r="B5133" s="6" t="inlineStr">
        <is>
          <t>2026-03-06</t>
        </is>
      </c>
      <c r="C5133" s="6" t="inlineStr">
        <is>
          <t>DIA</t>
        </is>
      </c>
      <c r="D5133" s="6" t="inlineStr">
        <is>
          <t>KO</t>
        </is>
      </c>
      <c r="E5133" s="6" t="inlineStr">
        <is>
          <t>KO</t>
        </is>
      </c>
      <c r="F5133" s="6" t="inlineStr">
        <is>
          <t>-</t>
        </is>
      </c>
      <c r="G5133" s="7" t="n">
        <v>76.02306365966797</v>
      </c>
      <c r="H5133" s="6">
        <f>P5102</f>
        <v/>
      </c>
      <c r="I5133" s="9">
        <f>Q5102</f>
        <v/>
      </c>
      <c r="J5133" s="7">
        <f>I5133*G5133</f>
        <v/>
      </c>
      <c r="K5133" s="8">
        <f>IF($J$5147=0,0,J5133/$J$5147)</f>
        <v/>
      </c>
      <c r="L5133" s="6" t="inlineStr">
        <is>
          <t>REJECTED</t>
        </is>
      </c>
      <c r="M5133" s="8" t="n">
        <v>0</v>
      </c>
      <c r="N5133" s="7">
        <f>M5133*$J$5147-J5133</f>
        <v/>
      </c>
      <c r="O5133" s="9">
        <f>IF(G5133=0,0,N5133/G5133)</f>
        <v/>
      </c>
      <c r="P5133" s="6">
        <f>IF(M5133&gt;0,D5133,"")</f>
        <v/>
      </c>
      <c r="Q5133" s="9">
        <f>I5133+O5133</f>
        <v/>
      </c>
      <c r="R5133" s="7">
        <f>Q5133*G5133</f>
        <v/>
      </c>
      <c r="S5133" s="8">
        <f>IF($R$5147=0,0,R5133/$R$5147)</f>
        <v/>
      </c>
      <c r="T5133" s="8" t="n">
        <v>-0.03236218615014419</v>
      </c>
      <c r="U5133" s="8" t="n">
        <v>-0.02946942497007166</v>
      </c>
      <c r="V5133" s="6" t="inlineStr">
        <is>
          <t>not selected</t>
        </is>
      </c>
    </row>
    <row r="5134">
      <c r="A5134" s="6" t="inlineStr">
        <is>
          <t>DJ30</t>
        </is>
      </c>
      <c r="B5134" s="6" t="inlineStr">
        <is>
          <t>2026-03-06</t>
        </is>
      </c>
      <c r="C5134" s="6" t="inlineStr">
        <is>
          <t>DIA</t>
        </is>
      </c>
      <c r="D5134" s="6" t="inlineStr">
        <is>
          <t>MCD</t>
        </is>
      </c>
      <c r="E5134" s="6" t="inlineStr">
        <is>
          <t>MCD</t>
        </is>
      </c>
      <c r="F5134" s="6" t="inlineStr">
        <is>
          <t>-</t>
        </is>
      </c>
      <c r="G5134" s="7" t="n">
        <v>325.8500366210937</v>
      </c>
      <c r="H5134" s="6">
        <f>P5103</f>
        <v/>
      </c>
      <c r="I5134" s="9">
        <f>Q5103</f>
        <v/>
      </c>
      <c r="J5134" s="7">
        <f>I5134*G5134</f>
        <v/>
      </c>
      <c r="K5134" s="8">
        <f>IF($J$5147=0,0,J5134/$J$5147)</f>
        <v/>
      </c>
      <c r="L5134" s="6" t="inlineStr">
        <is>
          <t>WATCHLIST</t>
        </is>
      </c>
      <c r="M5134" s="8" t="n">
        <v>0</v>
      </c>
      <c r="N5134" s="7">
        <f>M5134*$J$5147-J5134</f>
        <v/>
      </c>
      <c r="O5134" s="9">
        <f>IF(G5134=0,0,N5134/G5134)</f>
        <v/>
      </c>
      <c r="P5134" s="6">
        <f>IF(M5134&gt;0,D5134,"")</f>
        <v/>
      </c>
      <c r="Q5134" s="9">
        <f>I5134+O5134</f>
        <v/>
      </c>
      <c r="R5134" s="7">
        <f>Q5134*G5134</f>
        <v/>
      </c>
      <c r="S5134" s="8">
        <f>IF($R$5147=0,0,R5134/$R$5147)</f>
        <v/>
      </c>
      <c r="T5134" s="8" t="n">
        <v>-0.03236218615014419</v>
      </c>
      <c r="U5134" s="8" t="n">
        <v>-0.02946942497007166</v>
      </c>
      <c r="V5134" s="6" t="inlineStr">
        <is>
          <t>not selected</t>
        </is>
      </c>
    </row>
    <row r="5135">
      <c r="A5135" s="6" t="inlineStr">
        <is>
          <t>DJ30</t>
        </is>
      </c>
      <c r="B5135" s="6" t="inlineStr">
        <is>
          <t>2026-03-06</t>
        </is>
      </c>
      <c r="C5135" s="6" t="inlineStr">
        <is>
          <t>DIA</t>
        </is>
      </c>
      <c r="D5135" s="6" t="inlineStr">
        <is>
          <t>MMM</t>
        </is>
      </c>
      <c r="E5135" s="6" t="inlineStr">
        <is>
          <t>MMM</t>
        </is>
      </c>
      <c r="F5135" s="6" t="inlineStr">
        <is>
          <t>-</t>
        </is>
      </c>
      <c r="G5135" s="7" t="n">
        <v>152.6206817626953</v>
      </c>
      <c r="H5135" s="6">
        <f>P5104</f>
        <v/>
      </c>
      <c r="I5135" s="9">
        <f>Q5104</f>
        <v/>
      </c>
      <c r="J5135" s="7">
        <f>I5135*G5135</f>
        <v/>
      </c>
      <c r="K5135" s="8">
        <f>IF($J$5147=0,0,J5135/$J$5147)</f>
        <v/>
      </c>
      <c r="L5135" s="6" t="inlineStr">
        <is>
          <t>WATCHLIST</t>
        </is>
      </c>
      <c r="M5135" s="8" t="n">
        <v>0</v>
      </c>
      <c r="N5135" s="7">
        <f>M5135*$J$5147-J5135</f>
        <v/>
      </c>
      <c r="O5135" s="9">
        <f>IF(G5135=0,0,N5135/G5135)</f>
        <v/>
      </c>
      <c r="P5135" s="6">
        <f>IF(M5135&gt;0,D5135,"")</f>
        <v/>
      </c>
      <c r="Q5135" s="9">
        <f>I5135+O5135</f>
        <v/>
      </c>
      <c r="R5135" s="7">
        <f>Q5135*G5135</f>
        <v/>
      </c>
      <c r="S5135" s="8">
        <f>IF($R$5147=0,0,R5135/$R$5147)</f>
        <v/>
      </c>
      <c r="T5135" s="8" t="n">
        <v>-0.03236218615014419</v>
      </c>
      <c r="U5135" s="8" t="n">
        <v>-0.02946942497007166</v>
      </c>
      <c r="V5135" s="6" t="inlineStr">
        <is>
          <t>not selected</t>
        </is>
      </c>
    </row>
    <row r="5136">
      <c r="A5136" s="6" t="inlineStr">
        <is>
          <t>DJ30</t>
        </is>
      </c>
      <c r="B5136" s="6" t="inlineStr">
        <is>
          <t>2026-03-06</t>
        </is>
      </c>
      <c r="C5136" s="6" t="inlineStr">
        <is>
          <t>DIA</t>
        </is>
      </c>
      <c r="D5136" s="6" t="inlineStr">
        <is>
          <t>MRK</t>
        </is>
      </c>
      <c r="E5136" s="6" t="inlineStr">
        <is>
          <t>MRK</t>
        </is>
      </c>
      <c r="F5136" s="6" t="inlineStr">
        <is>
          <t>-</t>
        </is>
      </c>
      <c r="G5136" s="7" t="n">
        <v>114.118034362793</v>
      </c>
      <c r="H5136" s="6">
        <f>P5105</f>
        <v/>
      </c>
      <c r="I5136" s="9">
        <f>Q5105</f>
        <v/>
      </c>
      <c r="J5136" s="7">
        <f>I5136*G5136</f>
        <v/>
      </c>
      <c r="K5136" s="8">
        <f>IF($J$5147=0,0,J5136/$J$5147)</f>
        <v/>
      </c>
      <c r="L5136" s="6" t="inlineStr">
        <is>
          <t>WATCHLIST</t>
        </is>
      </c>
      <c r="M5136" s="8" t="n">
        <v>0</v>
      </c>
      <c r="N5136" s="7">
        <f>M5136*$J$5147-J5136</f>
        <v/>
      </c>
      <c r="O5136" s="9">
        <f>IF(G5136=0,0,N5136/G5136)</f>
        <v/>
      </c>
      <c r="P5136" s="6">
        <f>IF(M5136&gt;0,D5136,"")</f>
        <v/>
      </c>
      <c r="Q5136" s="9">
        <f>I5136+O5136</f>
        <v/>
      </c>
      <c r="R5136" s="7">
        <f>Q5136*G5136</f>
        <v/>
      </c>
      <c r="S5136" s="8">
        <f>IF($R$5147=0,0,R5136/$R$5147)</f>
        <v/>
      </c>
      <c r="T5136" s="8" t="n">
        <v>-0.03236218615014419</v>
      </c>
      <c r="U5136" s="8" t="n">
        <v>-0.02946942497007166</v>
      </c>
      <c r="V5136" s="6" t="inlineStr">
        <is>
          <t>not selected</t>
        </is>
      </c>
    </row>
    <row r="5137">
      <c r="A5137" s="6" t="inlineStr">
        <is>
          <t>DJ30</t>
        </is>
      </c>
      <c r="B5137" s="6" t="inlineStr">
        <is>
          <t>2026-03-06</t>
        </is>
      </c>
      <c r="C5137" s="6" t="inlineStr">
        <is>
          <t>DIA</t>
        </is>
      </c>
      <c r="D5137" s="6" t="inlineStr">
        <is>
          <t>MSFT</t>
        </is>
      </c>
      <c r="E5137" s="6" t="inlineStr">
        <is>
          <t>MSFT</t>
        </is>
      </c>
      <c r="F5137" s="6" t="inlineStr">
        <is>
          <t>-</t>
        </is>
      </c>
      <c r="G5137" s="7" t="n">
        <v>408.0761413574219</v>
      </c>
      <c r="H5137" s="6">
        <f>P5106</f>
        <v/>
      </c>
      <c r="I5137" s="9">
        <f>Q5106</f>
        <v/>
      </c>
      <c r="J5137" s="7">
        <f>I5137*G5137</f>
        <v/>
      </c>
      <c r="K5137" s="8">
        <f>IF($J$5147=0,0,J5137/$J$5147)</f>
        <v/>
      </c>
      <c r="L5137" s="6" t="inlineStr">
        <is>
          <t>REJECTED</t>
        </is>
      </c>
      <c r="M5137" s="8" t="n">
        <v>0</v>
      </c>
      <c r="N5137" s="7">
        <f>M5137*$J$5147-J5137</f>
        <v/>
      </c>
      <c r="O5137" s="9">
        <f>IF(G5137=0,0,N5137/G5137)</f>
        <v/>
      </c>
      <c r="P5137" s="6">
        <f>IF(M5137&gt;0,D5137,"")</f>
        <v/>
      </c>
      <c r="Q5137" s="9">
        <f>I5137+O5137</f>
        <v/>
      </c>
      <c r="R5137" s="7">
        <f>Q5137*G5137</f>
        <v/>
      </c>
      <c r="S5137" s="8">
        <f>IF($R$5147=0,0,R5137/$R$5147)</f>
        <v/>
      </c>
      <c r="T5137" s="8" t="n">
        <v>-0.03236218615014419</v>
      </c>
      <c r="U5137" s="8" t="n">
        <v>-0.02946942497007166</v>
      </c>
      <c r="V5137" s="6" t="inlineStr">
        <is>
          <t>not selected</t>
        </is>
      </c>
    </row>
    <row r="5138">
      <c r="A5138" s="6" t="inlineStr">
        <is>
          <t>DJ30</t>
        </is>
      </c>
      <c r="B5138" s="6" t="inlineStr">
        <is>
          <t>2026-03-06</t>
        </is>
      </c>
      <c r="C5138" s="6" t="inlineStr">
        <is>
          <t>DIA</t>
        </is>
      </c>
      <c r="D5138" s="6" t="inlineStr">
        <is>
          <t>NKE</t>
        </is>
      </c>
      <c r="E5138" s="6" t="inlineStr">
        <is>
          <t>NKE</t>
        </is>
      </c>
      <c r="F5138" s="6" t="inlineStr">
        <is>
          <t>-</t>
        </is>
      </c>
      <c r="G5138" s="7" t="n">
        <v>56.50439453125</v>
      </c>
      <c r="H5138" s="6">
        <f>P5107</f>
        <v/>
      </c>
      <c r="I5138" s="9">
        <f>Q5107</f>
        <v/>
      </c>
      <c r="J5138" s="7">
        <f>I5138*G5138</f>
        <v/>
      </c>
      <c r="K5138" s="8">
        <f>IF($J$5147=0,0,J5138/$J$5147)</f>
        <v/>
      </c>
      <c r="L5138" s="6" t="inlineStr">
        <is>
          <t>REJECTED</t>
        </is>
      </c>
      <c r="M5138" s="8" t="n">
        <v>0</v>
      </c>
      <c r="N5138" s="7">
        <f>M5138*$J$5147-J5138</f>
        <v/>
      </c>
      <c r="O5138" s="9">
        <f>IF(G5138=0,0,N5138/G5138)</f>
        <v/>
      </c>
      <c r="P5138" s="6">
        <f>IF(M5138&gt;0,D5138,"")</f>
        <v/>
      </c>
      <c r="Q5138" s="9">
        <f>I5138+O5138</f>
        <v/>
      </c>
      <c r="R5138" s="7">
        <f>Q5138*G5138</f>
        <v/>
      </c>
      <c r="S5138" s="8">
        <f>IF($R$5147=0,0,R5138/$R$5147)</f>
        <v/>
      </c>
      <c r="T5138" s="8" t="n">
        <v>-0.03236218615014419</v>
      </c>
      <c r="U5138" s="8" t="n">
        <v>-0.02946942497007166</v>
      </c>
      <c r="V5138" s="6" t="inlineStr">
        <is>
          <t>not selected</t>
        </is>
      </c>
    </row>
    <row r="5139">
      <c r="A5139" s="6" t="inlineStr">
        <is>
          <t>DJ30</t>
        </is>
      </c>
      <c r="B5139" s="6" t="inlineStr">
        <is>
          <t>2026-03-06</t>
        </is>
      </c>
      <c r="C5139" s="6" t="inlineStr">
        <is>
          <t>DIA</t>
        </is>
      </c>
      <c r="D5139" s="6" t="inlineStr">
        <is>
          <t>NVDA</t>
        </is>
      </c>
      <c r="E5139" s="6" t="inlineStr">
        <is>
          <t>NVDA</t>
        </is>
      </c>
      <c r="F5139" s="6" t="inlineStr">
        <is>
          <t>-</t>
        </is>
      </c>
      <c r="G5139" s="7" t="n">
        <v>177.6033935546875</v>
      </c>
      <c r="H5139" s="6">
        <f>P5108</f>
        <v/>
      </c>
      <c r="I5139" s="9">
        <f>Q5108</f>
        <v/>
      </c>
      <c r="J5139" s="7">
        <f>I5139*G5139</f>
        <v/>
      </c>
      <c r="K5139" s="8">
        <f>IF($J$5147=0,0,J5139/$J$5147)</f>
        <v/>
      </c>
      <c r="L5139" s="6" t="inlineStr">
        <is>
          <t>SELECTED</t>
        </is>
      </c>
      <c r="M5139" s="8" t="n">
        <v>0.2</v>
      </c>
      <c r="N5139" s="7">
        <f>M5139*$J$5147-J5139</f>
        <v/>
      </c>
      <c r="O5139" s="9">
        <f>IF(G5139=0,0,N5139/G5139)</f>
        <v/>
      </c>
      <c r="P5139" s="6">
        <f>IF(M5139&gt;0,D5139,"")</f>
        <v/>
      </c>
      <c r="Q5139" s="9">
        <f>I5139+O5139</f>
        <v/>
      </c>
      <c r="R5139" s="7">
        <f>Q5139*G5139</f>
        <v/>
      </c>
      <c r="S5139" s="8">
        <f>IF($R$5147=0,0,R5139/$R$5147)</f>
        <v/>
      </c>
      <c r="T5139" s="8" t="n">
        <v>-0.03236218615014419</v>
      </c>
      <c r="U5139" s="8" t="n">
        <v>-0.02946942497007166</v>
      </c>
      <c r="V5139" s="6" t="inlineStr">
        <is>
          <t>remained in weekly selection</t>
        </is>
      </c>
    </row>
    <row r="5140">
      <c r="A5140" s="6" t="inlineStr">
        <is>
          <t>DJ30</t>
        </is>
      </c>
      <c r="B5140" s="6" t="inlineStr">
        <is>
          <t>2026-03-06</t>
        </is>
      </c>
      <c r="C5140" s="6" t="inlineStr">
        <is>
          <t>DIA</t>
        </is>
      </c>
      <c r="D5140" s="6" t="inlineStr">
        <is>
          <t>PG</t>
        </is>
      </c>
      <c r="E5140" s="6" t="inlineStr">
        <is>
          <t>PG</t>
        </is>
      </c>
      <c r="F5140" s="6" t="inlineStr">
        <is>
          <t>-</t>
        </is>
      </c>
      <c r="G5140" s="7" t="n">
        <v>152.4818115234375</v>
      </c>
      <c r="H5140" s="6">
        <f>P5109</f>
        <v/>
      </c>
      <c r="I5140" s="9">
        <f>Q5109</f>
        <v/>
      </c>
      <c r="J5140" s="7">
        <f>I5140*G5140</f>
        <v/>
      </c>
      <c r="K5140" s="8">
        <f>IF($J$5147=0,0,J5140/$J$5147)</f>
        <v/>
      </c>
      <c r="L5140" s="6" t="inlineStr">
        <is>
          <t>REJECTED</t>
        </is>
      </c>
      <c r="M5140" s="8" t="n">
        <v>0</v>
      </c>
      <c r="N5140" s="7">
        <f>M5140*$J$5147-J5140</f>
        <v/>
      </c>
      <c r="O5140" s="9">
        <f>IF(G5140=0,0,N5140/G5140)</f>
        <v/>
      </c>
      <c r="P5140" s="6">
        <f>IF(M5140&gt;0,D5140,"")</f>
        <v/>
      </c>
      <c r="Q5140" s="9">
        <f>I5140+O5140</f>
        <v/>
      </c>
      <c r="R5140" s="7">
        <f>Q5140*G5140</f>
        <v/>
      </c>
      <c r="S5140" s="8">
        <f>IF($R$5147=0,0,R5140/$R$5147)</f>
        <v/>
      </c>
      <c r="T5140" s="8" t="n">
        <v>-0.03236218615014419</v>
      </c>
      <c r="U5140" s="8" t="n">
        <v>-0.02946942497007166</v>
      </c>
      <c r="V5140" s="6" t="inlineStr">
        <is>
          <t>not selected</t>
        </is>
      </c>
    </row>
    <row r="5141">
      <c r="A5141" s="6" t="inlineStr">
        <is>
          <t>DJ30</t>
        </is>
      </c>
      <c r="B5141" s="6" t="inlineStr">
        <is>
          <t>2026-03-06</t>
        </is>
      </c>
      <c r="C5141" s="6" t="inlineStr">
        <is>
          <t>DIA</t>
        </is>
      </c>
      <c r="D5141" s="6" t="inlineStr">
        <is>
          <t>SHW</t>
        </is>
      </c>
      <c r="E5141" s="6" t="inlineStr">
        <is>
          <t>SHW</t>
        </is>
      </c>
      <c r="F5141" s="6" t="inlineStr">
        <is>
          <t>-</t>
        </is>
      </c>
      <c r="G5141" s="7" t="n">
        <v>329.0268859863281</v>
      </c>
      <c r="H5141" s="6">
        <f>P5110</f>
        <v/>
      </c>
      <c r="I5141" s="9">
        <f>Q5110</f>
        <v/>
      </c>
      <c r="J5141" s="7">
        <f>I5141*G5141</f>
        <v/>
      </c>
      <c r="K5141" s="8">
        <f>IF($J$5147=0,0,J5141/$J$5147)</f>
        <v/>
      </c>
      <c r="L5141" s="6" t="inlineStr">
        <is>
          <t>REJECTED</t>
        </is>
      </c>
      <c r="M5141" s="8" t="n">
        <v>0</v>
      </c>
      <c r="N5141" s="7">
        <f>M5141*$J$5147-J5141</f>
        <v/>
      </c>
      <c r="O5141" s="9">
        <f>IF(G5141=0,0,N5141/G5141)</f>
        <v/>
      </c>
      <c r="P5141" s="6">
        <f>IF(M5141&gt;0,D5141,"")</f>
        <v/>
      </c>
      <c r="Q5141" s="9">
        <f>I5141+O5141</f>
        <v/>
      </c>
      <c r="R5141" s="7">
        <f>Q5141*G5141</f>
        <v/>
      </c>
      <c r="S5141" s="8">
        <f>IF($R$5147=0,0,R5141/$R$5147)</f>
        <v/>
      </c>
      <c r="T5141" s="8" t="n">
        <v>-0.03236218615014419</v>
      </c>
      <c r="U5141" s="8" t="n">
        <v>-0.02946942497007166</v>
      </c>
      <c r="V5141" s="6" t="inlineStr">
        <is>
          <t>not selected</t>
        </is>
      </c>
    </row>
    <row r="5142">
      <c r="A5142" s="6" t="inlineStr">
        <is>
          <t>DJ30</t>
        </is>
      </c>
      <c r="B5142" s="6" t="inlineStr">
        <is>
          <t>2026-03-06</t>
        </is>
      </c>
      <c r="C5142" s="6" t="inlineStr">
        <is>
          <t>DIA</t>
        </is>
      </c>
      <c r="D5142" s="6" t="inlineStr">
        <is>
          <t>TRV</t>
        </is>
      </c>
      <c r="E5142" s="6" t="inlineStr">
        <is>
          <t>TRV</t>
        </is>
      </c>
      <c r="F5142" s="6" t="inlineStr">
        <is>
          <t>-</t>
        </is>
      </c>
      <c r="G5142" s="7" t="n">
        <v>303.9280700683594</v>
      </c>
      <c r="H5142" s="6">
        <f>P5111</f>
        <v/>
      </c>
      <c r="I5142" s="9">
        <f>Q5111</f>
        <v/>
      </c>
      <c r="J5142" s="7">
        <f>I5142*G5142</f>
        <v/>
      </c>
      <c r="K5142" s="8">
        <f>IF($J$5147=0,0,J5142/$J$5147)</f>
        <v/>
      </c>
      <c r="L5142" s="6" t="inlineStr">
        <is>
          <t>WATCHLIST</t>
        </is>
      </c>
      <c r="M5142" s="8" t="n">
        <v>0</v>
      </c>
      <c r="N5142" s="7">
        <f>M5142*$J$5147-J5142</f>
        <v/>
      </c>
      <c r="O5142" s="9">
        <f>IF(G5142=0,0,N5142/G5142)</f>
        <v/>
      </c>
      <c r="P5142" s="6">
        <f>IF(M5142&gt;0,D5142,"")</f>
        <v/>
      </c>
      <c r="Q5142" s="9">
        <f>I5142+O5142</f>
        <v/>
      </c>
      <c r="R5142" s="7">
        <f>Q5142*G5142</f>
        <v/>
      </c>
      <c r="S5142" s="8">
        <f>IF($R$5147=0,0,R5142/$R$5147)</f>
        <v/>
      </c>
      <c r="T5142" s="8" t="n">
        <v>-0.03236218615014419</v>
      </c>
      <c r="U5142" s="8" t="n">
        <v>-0.02946942497007166</v>
      </c>
      <c r="V5142" s="6" t="inlineStr">
        <is>
          <t>not selected</t>
        </is>
      </c>
    </row>
    <row r="5143">
      <c r="A5143" s="6" t="inlineStr">
        <is>
          <t>DJ30</t>
        </is>
      </c>
      <c r="B5143" s="6" t="inlineStr">
        <is>
          <t>2026-03-06</t>
        </is>
      </c>
      <c r="C5143" s="6" t="inlineStr">
        <is>
          <t>DIA</t>
        </is>
      </c>
      <c r="D5143" s="6" t="inlineStr">
        <is>
          <t>UNH</t>
        </is>
      </c>
      <c r="E5143" s="6" t="inlineStr">
        <is>
          <t>UNH</t>
        </is>
      </c>
      <c r="F5143" s="6" t="inlineStr">
        <is>
          <t>-</t>
        </is>
      </c>
      <c r="G5143" s="7" t="n">
        <v>282.6556396484375</v>
      </c>
      <c r="H5143" s="6">
        <f>P5112</f>
        <v/>
      </c>
      <c r="I5143" s="9">
        <f>Q5112</f>
        <v/>
      </c>
      <c r="J5143" s="7">
        <f>I5143*G5143</f>
        <v/>
      </c>
      <c r="K5143" s="8">
        <f>IF($J$5147=0,0,J5143/$J$5147)</f>
        <v/>
      </c>
      <c r="L5143" s="6" t="inlineStr">
        <is>
          <t>REJECTED</t>
        </is>
      </c>
      <c r="M5143" s="8" t="n">
        <v>0</v>
      </c>
      <c r="N5143" s="7">
        <f>M5143*$J$5147-J5143</f>
        <v/>
      </c>
      <c r="O5143" s="9">
        <f>IF(G5143=0,0,N5143/G5143)</f>
        <v/>
      </c>
      <c r="P5143" s="6">
        <f>IF(M5143&gt;0,D5143,"")</f>
        <v/>
      </c>
      <c r="Q5143" s="9">
        <f>I5143+O5143</f>
        <v/>
      </c>
      <c r="R5143" s="7">
        <f>Q5143*G5143</f>
        <v/>
      </c>
      <c r="S5143" s="8">
        <f>IF($R$5147=0,0,R5143/$R$5147)</f>
        <v/>
      </c>
      <c r="T5143" s="8" t="n">
        <v>-0.03236218615014419</v>
      </c>
      <c r="U5143" s="8" t="n">
        <v>-0.02946942497007166</v>
      </c>
      <c r="V5143" s="6" t="inlineStr">
        <is>
          <t>not selected</t>
        </is>
      </c>
    </row>
    <row r="5144">
      <c r="A5144" s="6" t="inlineStr">
        <is>
          <t>DJ30</t>
        </is>
      </c>
      <c r="B5144" s="6" t="inlineStr">
        <is>
          <t>2026-03-06</t>
        </is>
      </c>
      <c r="C5144" s="6" t="inlineStr">
        <is>
          <t>DIA</t>
        </is>
      </c>
      <c r="D5144" s="6" t="inlineStr">
        <is>
          <t>V</t>
        </is>
      </c>
      <c r="E5144" s="6" t="inlineStr">
        <is>
          <t>V</t>
        </is>
      </c>
      <c r="F5144" s="6" t="inlineStr">
        <is>
          <t>-</t>
        </is>
      </c>
      <c r="G5144" s="7" t="n">
        <v>316.7034301757812</v>
      </c>
      <c r="H5144" s="6">
        <f>P5113</f>
        <v/>
      </c>
      <c r="I5144" s="9">
        <f>Q5113</f>
        <v/>
      </c>
      <c r="J5144" s="7">
        <f>I5144*G5144</f>
        <v/>
      </c>
      <c r="K5144" s="8">
        <f>IF($J$5147=0,0,J5144/$J$5147)</f>
        <v/>
      </c>
      <c r="L5144" s="6" t="inlineStr">
        <is>
          <t>REJECTED</t>
        </is>
      </c>
      <c r="M5144" s="8" t="n">
        <v>0</v>
      </c>
      <c r="N5144" s="7">
        <f>M5144*$J$5147-J5144</f>
        <v/>
      </c>
      <c r="O5144" s="9">
        <f>IF(G5144=0,0,N5144/G5144)</f>
        <v/>
      </c>
      <c r="P5144" s="6">
        <f>IF(M5144&gt;0,D5144,"")</f>
        <v/>
      </c>
      <c r="Q5144" s="9">
        <f>I5144+O5144</f>
        <v/>
      </c>
      <c r="R5144" s="7">
        <f>Q5144*G5144</f>
        <v/>
      </c>
      <c r="S5144" s="8">
        <f>IF($R$5147=0,0,R5144/$R$5147)</f>
        <v/>
      </c>
      <c r="T5144" s="8" t="n">
        <v>-0.03236218615014419</v>
      </c>
      <c r="U5144" s="8" t="n">
        <v>-0.02946942497007166</v>
      </c>
      <c r="V5144" s="6" t="inlineStr">
        <is>
          <t>not selected</t>
        </is>
      </c>
    </row>
    <row r="5145">
      <c r="A5145" s="6" t="inlineStr">
        <is>
          <t>DJ30</t>
        </is>
      </c>
      <c r="B5145" s="6" t="inlineStr">
        <is>
          <t>2026-03-06</t>
        </is>
      </c>
      <c r="C5145" s="6" t="inlineStr">
        <is>
          <t>DIA</t>
        </is>
      </c>
      <c r="D5145" s="6" t="inlineStr">
        <is>
          <t>VZ</t>
        </is>
      </c>
      <c r="E5145" s="6" t="inlineStr">
        <is>
          <t>VZ</t>
        </is>
      </c>
      <c r="F5145" s="6" t="inlineStr">
        <is>
          <t>-</t>
        </is>
      </c>
      <c r="G5145" s="7" t="n">
        <v>50.36250686645508</v>
      </c>
      <c r="H5145" s="6">
        <f>P5114</f>
        <v/>
      </c>
      <c r="I5145" s="9">
        <f>Q5114</f>
        <v/>
      </c>
      <c r="J5145" s="7">
        <f>I5145*G5145</f>
        <v/>
      </c>
      <c r="K5145" s="8">
        <f>IF($J$5147=0,0,J5145/$J$5147)</f>
        <v/>
      </c>
      <c r="L5145" s="6" t="inlineStr">
        <is>
          <t>REJECTED</t>
        </is>
      </c>
      <c r="M5145" s="8" t="n">
        <v>0</v>
      </c>
      <c r="N5145" s="7">
        <f>M5145*$J$5147-J5145</f>
        <v/>
      </c>
      <c r="O5145" s="9">
        <f>IF(G5145=0,0,N5145/G5145)</f>
        <v/>
      </c>
      <c r="P5145" s="6">
        <f>IF(M5145&gt;0,D5145,"")</f>
        <v/>
      </c>
      <c r="Q5145" s="9">
        <f>I5145+O5145</f>
        <v/>
      </c>
      <c r="R5145" s="7">
        <f>Q5145*G5145</f>
        <v/>
      </c>
      <c r="S5145" s="8">
        <f>IF($R$5147=0,0,R5145/$R$5147)</f>
        <v/>
      </c>
      <c r="T5145" s="8" t="n">
        <v>-0.03236218615014419</v>
      </c>
      <c r="U5145" s="8" t="n">
        <v>-0.02946942497007166</v>
      </c>
      <c r="V5145" s="6" t="inlineStr">
        <is>
          <t>not selected</t>
        </is>
      </c>
    </row>
    <row r="5146">
      <c r="A5146" s="6" t="inlineStr">
        <is>
          <t>DJ30</t>
        </is>
      </c>
      <c r="B5146" s="6" t="inlineStr">
        <is>
          <t>2026-03-06</t>
        </is>
      </c>
      <c r="C5146" s="6" t="inlineStr">
        <is>
          <t>DIA</t>
        </is>
      </c>
      <c r="D5146" s="6" t="inlineStr">
        <is>
          <t>WMT</t>
        </is>
      </c>
      <c r="E5146" s="6" t="inlineStr">
        <is>
          <t>WMT</t>
        </is>
      </c>
      <c r="F5146" s="6" t="inlineStr">
        <is>
          <t>-</t>
        </is>
      </c>
      <c r="G5146" s="7" t="n">
        <v>123.3111267089844</v>
      </c>
      <c r="H5146" s="6">
        <f>P5115</f>
        <v/>
      </c>
      <c r="I5146" s="9">
        <f>Q5115</f>
        <v/>
      </c>
      <c r="J5146" s="7">
        <f>I5146*G5146</f>
        <v/>
      </c>
      <c r="K5146" s="8">
        <f>IF($J$5147=0,0,J5146/$J$5147)</f>
        <v/>
      </c>
      <c r="L5146" s="6" t="inlineStr">
        <is>
          <t>WATCHLIST</t>
        </is>
      </c>
      <c r="M5146" s="8" t="n">
        <v>0</v>
      </c>
      <c r="N5146" s="7">
        <f>M5146*$J$5147-J5146</f>
        <v/>
      </c>
      <c r="O5146" s="9">
        <f>IF(G5146=0,0,N5146/G5146)</f>
        <v/>
      </c>
      <c r="P5146" s="6">
        <f>IF(M5146&gt;0,D5146,"")</f>
        <v/>
      </c>
      <c r="Q5146" s="9">
        <f>I5146+O5146</f>
        <v/>
      </c>
      <c r="R5146" s="7">
        <f>Q5146*G5146</f>
        <v/>
      </c>
      <c r="S5146" s="8">
        <f>IF($R$5147=0,0,R5146/$R$5147)</f>
        <v/>
      </c>
      <c r="T5146" s="8" t="n">
        <v>-0.03236218615014419</v>
      </c>
      <c r="U5146" s="8" t="n">
        <v>-0.02946942497007166</v>
      </c>
      <c r="V5146" s="6" t="inlineStr">
        <is>
          <t>not selected</t>
        </is>
      </c>
    </row>
    <row r="5147">
      <c r="A5147" s="10" t="inlineStr">
        <is>
          <t>DJ30</t>
        </is>
      </c>
      <c r="B5147" s="10" t="inlineStr">
        <is>
          <t>2026-03-06</t>
        </is>
      </c>
      <c r="C5147" s="10" t="inlineStr">
        <is>
          <t>DIA</t>
        </is>
      </c>
      <c r="D5147" s="10" t="inlineStr">
        <is>
          <t>Tot Portfolio</t>
        </is>
      </c>
      <c r="E5147" s="10" t="inlineStr"/>
      <c r="F5147" s="10" t="inlineStr"/>
      <c r="G5147" s="11" t="inlineStr"/>
      <c r="H5147" s="10" t="inlineStr"/>
      <c r="I5147" s="12" t="inlineStr"/>
      <c r="J5147" s="11">
        <f>SUM(J5117:J5146)</f>
        <v/>
      </c>
      <c r="K5147" s="13">
        <f>SUM(K5117:K5146)</f>
        <v/>
      </c>
      <c r="L5147" s="10" t="inlineStr">
        <is>
          <t>TOTAL</t>
        </is>
      </c>
      <c r="M5147" s="13">
        <f>SUM(M5117:M5146)</f>
        <v/>
      </c>
      <c r="N5147" s="11">
        <f>SUM(N5117:N5146)</f>
        <v/>
      </c>
      <c r="O5147" s="12">
        <f>SUM(O5117:O5146)</f>
        <v/>
      </c>
      <c r="P5147" s="10" t="inlineStr"/>
      <c r="Q5147" s="12" t="inlineStr"/>
      <c r="R5147" s="11">
        <f>SUM(R5117:R5146)</f>
        <v/>
      </c>
      <c r="S5147" s="13">
        <f>SUM(S5117:S5146)</f>
        <v/>
      </c>
      <c r="T5147" s="13" t="n">
        <v>-0.03236218615014419</v>
      </c>
      <c r="U5147" s="13" t="n">
        <v>-0.02946942497007166</v>
      </c>
      <c r="V5147" s="10" t="inlineStr"/>
    </row>
    <row r="5148">
      <c r="A5148" s="6" t="inlineStr">
        <is>
          <t>DJ30</t>
        </is>
      </c>
      <c r="B5148" s="6" t="inlineStr">
        <is>
          <t>2026-03-13</t>
        </is>
      </c>
      <c r="C5148" s="6" t="inlineStr">
        <is>
          <t>DIA</t>
        </is>
      </c>
      <c r="D5148" s="6" t="inlineStr">
        <is>
          <t>AAPL</t>
        </is>
      </c>
      <c r="E5148" s="6" t="inlineStr">
        <is>
          <t>AAPL</t>
        </is>
      </c>
      <c r="F5148" s="6" t="inlineStr">
        <is>
          <t>-</t>
        </is>
      </c>
      <c r="G5148" s="7" t="n">
        <v>249.8897705078125</v>
      </c>
      <c r="H5148" s="6">
        <f>P5117</f>
        <v/>
      </c>
      <c r="I5148" s="9">
        <f>Q5117</f>
        <v/>
      </c>
      <c r="J5148" s="7">
        <f>I5148*G5148</f>
        <v/>
      </c>
      <c r="K5148" s="8">
        <f>IF($J$5178=0,0,J5148/$J$5178)</f>
        <v/>
      </c>
      <c r="L5148" s="6" t="inlineStr">
        <is>
          <t>WATCHLIST</t>
        </is>
      </c>
      <c r="M5148" s="8" t="n">
        <v>0</v>
      </c>
      <c r="N5148" s="7">
        <f>M5148*$J$5178-J5148</f>
        <v/>
      </c>
      <c r="O5148" s="9">
        <f>IF(G5148=0,0,N5148/G5148)</f>
        <v/>
      </c>
      <c r="P5148" s="6">
        <f>IF(M5148&gt;0,D5148,"")</f>
        <v/>
      </c>
      <c r="Q5148" s="9">
        <f>I5148+O5148</f>
        <v/>
      </c>
      <c r="R5148" s="7">
        <f>Q5148*G5148</f>
        <v/>
      </c>
      <c r="S5148" s="8">
        <f>IF($R$5178=0,0,R5148/$R$5178)</f>
        <v/>
      </c>
      <c r="T5148" s="8" t="n">
        <v>-0.002814548345573709</v>
      </c>
      <c r="U5148" s="8" t="n">
        <v>-0.0185593417842661</v>
      </c>
      <c r="V5148" s="6" t="inlineStr">
        <is>
          <t>not selected</t>
        </is>
      </c>
    </row>
    <row r="5149">
      <c r="A5149" s="6" t="inlineStr">
        <is>
          <t>DJ30</t>
        </is>
      </c>
      <c r="B5149" s="6" t="inlineStr">
        <is>
          <t>2026-03-13</t>
        </is>
      </c>
      <c r="C5149" s="6" t="inlineStr">
        <is>
          <t>DIA</t>
        </is>
      </c>
      <c r="D5149" s="6" t="inlineStr">
        <is>
          <t>AMGN</t>
        </is>
      </c>
      <c r="E5149" s="6" t="inlineStr">
        <is>
          <t>AMGN</t>
        </is>
      </c>
      <c r="F5149" s="6" t="inlineStr">
        <is>
          <t>-</t>
        </is>
      </c>
      <c r="G5149" s="7" t="n">
        <v>363.4653015136719</v>
      </c>
      <c r="H5149" s="6">
        <f>P5118</f>
        <v/>
      </c>
      <c r="I5149" s="9">
        <f>Q5118</f>
        <v/>
      </c>
      <c r="J5149" s="7">
        <f>I5149*G5149</f>
        <v/>
      </c>
      <c r="K5149" s="8">
        <f>IF($J$5178=0,0,J5149/$J$5178)</f>
        <v/>
      </c>
      <c r="L5149" s="6" t="inlineStr">
        <is>
          <t>WATCHLIST</t>
        </is>
      </c>
      <c r="M5149" s="8" t="n">
        <v>0</v>
      </c>
      <c r="N5149" s="7">
        <f>M5149*$J$5178-J5149</f>
        <v/>
      </c>
      <c r="O5149" s="9">
        <f>IF(G5149=0,0,N5149/G5149)</f>
        <v/>
      </c>
      <c r="P5149" s="6">
        <f>IF(M5149&gt;0,D5149,"")</f>
        <v/>
      </c>
      <c r="Q5149" s="9">
        <f>I5149+O5149</f>
        <v/>
      </c>
      <c r="R5149" s="7">
        <f>Q5149*G5149</f>
        <v/>
      </c>
      <c r="S5149" s="8">
        <f>IF($R$5178=0,0,R5149/$R$5178)</f>
        <v/>
      </c>
      <c r="T5149" s="8" t="n">
        <v>-0.002814548345573709</v>
      </c>
      <c r="U5149" s="8" t="n">
        <v>-0.0185593417842661</v>
      </c>
      <c r="V5149" s="6" t="inlineStr">
        <is>
          <t>not selected</t>
        </is>
      </c>
    </row>
    <row r="5150">
      <c r="A5150" s="6" t="inlineStr">
        <is>
          <t>DJ30</t>
        </is>
      </c>
      <c r="B5150" s="6" t="inlineStr">
        <is>
          <t>2026-03-13</t>
        </is>
      </c>
      <c r="C5150" s="6" t="inlineStr">
        <is>
          <t>DIA</t>
        </is>
      </c>
      <c r="D5150" s="6" t="inlineStr">
        <is>
          <t>AMZN</t>
        </is>
      </c>
      <c r="E5150" s="6" t="inlineStr">
        <is>
          <t>AMZN</t>
        </is>
      </c>
      <c r="F5150" s="6" t="inlineStr">
        <is>
          <t>-</t>
        </is>
      </c>
      <c r="G5150" s="7" t="n">
        <v>207.6699981689453</v>
      </c>
      <c r="H5150" s="6">
        <f>P5119</f>
        <v/>
      </c>
      <c r="I5150" s="9">
        <f>Q5119</f>
        <v/>
      </c>
      <c r="J5150" s="7">
        <f>I5150*G5150</f>
        <v/>
      </c>
      <c r="K5150" s="8">
        <f>IF($J$5178=0,0,J5150/$J$5178)</f>
        <v/>
      </c>
      <c r="L5150" s="6" t="inlineStr">
        <is>
          <t>WATCHLIST</t>
        </is>
      </c>
      <c r="M5150" s="8" t="n">
        <v>0</v>
      </c>
      <c r="N5150" s="7">
        <f>M5150*$J$5178-J5150</f>
        <v/>
      </c>
      <c r="O5150" s="9">
        <f>IF(G5150=0,0,N5150/G5150)</f>
        <v/>
      </c>
      <c r="P5150" s="6">
        <f>IF(M5150&gt;0,D5150,"")</f>
        <v/>
      </c>
      <c r="Q5150" s="9">
        <f>I5150+O5150</f>
        <v/>
      </c>
      <c r="R5150" s="7">
        <f>Q5150*G5150</f>
        <v/>
      </c>
      <c r="S5150" s="8">
        <f>IF($R$5178=0,0,R5150/$R$5178)</f>
        <v/>
      </c>
      <c r="T5150" s="8" t="n">
        <v>-0.002814548345573709</v>
      </c>
      <c r="U5150" s="8" t="n">
        <v>-0.0185593417842661</v>
      </c>
      <c r="V5150" s="6" t="inlineStr">
        <is>
          <t>not selected</t>
        </is>
      </c>
    </row>
    <row r="5151">
      <c r="A5151" s="6" t="inlineStr">
        <is>
          <t>DJ30</t>
        </is>
      </c>
      <c r="B5151" s="6" t="inlineStr">
        <is>
          <t>2026-03-13</t>
        </is>
      </c>
      <c r="C5151" s="6" t="inlineStr">
        <is>
          <t>DIA</t>
        </is>
      </c>
      <c r="D5151" s="6" t="inlineStr">
        <is>
          <t>AXP</t>
        </is>
      </c>
      <c r="E5151" s="6" t="inlineStr">
        <is>
          <t>AXP</t>
        </is>
      </c>
      <c r="F5151" s="6" t="inlineStr">
        <is>
          <t>-</t>
        </is>
      </c>
      <c r="G5151" s="7" t="n">
        <v>299.0146789550781</v>
      </c>
      <c r="H5151" s="6">
        <f>P5120</f>
        <v/>
      </c>
      <c r="I5151" s="9">
        <f>Q5120</f>
        <v/>
      </c>
      <c r="J5151" s="7">
        <f>I5151*G5151</f>
        <v/>
      </c>
      <c r="K5151" s="8">
        <f>IF($J$5178=0,0,J5151/$J$5178)</f>
        <v/>
      </c>
      <c r="L5151" s="6" t="inlineStr">
        <is>
          <t>WATCHLIST</t>
        </is>
      </c>
      <c r="M5151" s="8" t="n">
        <v>0</v>
      </c>
      <c r="N5151" s="7">
        <f>M5151*$J$5178-J5151</f>
        <v/>
      </c>
      <c r="O5151" s="9">
        <f>IF(G5151=0,0,N5151/G5151)</f>
        <v/>
      </c>
      <c r="P5151" s="6">
        <f>IF(M5151&gt;0,D5151,"")</f>
        <v/>
      </c>
      <c r="Q5151" s="9">
        <f>I5151+O5151</f>
        <v/>
      </c>
      <c r="R5151" s="7">
        <f>Q5151*G5151</f>
        <v/>
      </c>
      <c r="S5151" s="8">
        <f>IF($R$5178=0,0,R5151/$R$5178)</f>
        <v/>
      </c>
      <c r="T5151" s="8" t="n">
        <v>-0.002814548345573709</v>
      </c>
      <c r="U5151" s="8" t="n">
        <v>-0.0185593417842661</v>
      </c>
      <c r="V5151" s="6" t="inlineStr">
        <is>
          <t>not selected</t>
        </is>
      </c>
    </row>
    <row r="5152">
      <c r="A5152" s="6" t="inlineStr">
        <is>
          <t>DJ30</t>
        </is>
      </c>
      <c r="B5152" s="6" t="inlineStr">
        <is>
          <t>2026-03-13</t>
        </is>
      </c>
      <c r="C5152" s="6" t="inlineStr">
        <is>
          <t>DIA</t>
        </is>
      </c>
      <c r="D5152" s="6" t="inlineStr">
        <is>
          <t>BA</t>
        </is>
      </c>
      <c r="E5152" s="6" t="inlineStr">
        <is>
          <t>BA</t>
        </is>
      </c>
      <c r="F5152" s="6" t="inlineStr">
        <is>
          <t>-</t>
        </is>
      </c>
      <c r="G5152" s="7" t="n">
        <v>209.8899993896484</v>
      </c>
      <c r="H5152" s="6">
        <f>P5121</f>
        <v/>
      </c>
      <c r="I5152" s="9">
        <f>Q5121</f>
        <v/>
      </c>
      <c r="J5152" s="7">
        <f>I5152*G5152</f>
        <v/>
      </c>
      <c r="K5152" s="8">
        <f>IF($J$5178=0,0,J5152/$J$5178)</f>
        <v/>
      </c>
      <c r="L5152" s="6" t="inlineStr">
        <is>
          <t>WATCHLIST</t>
        </is>
      </c>
      <c r="M5152" s="8" t="n">
        <v>0</v>
      </c>
      <c r="N5152" s="7">
        <f>M5152*$J$5178-J5152</f>
        <v/>
      </c>
      <c r="O5152" s="9">
        <f>IF(G5152=0,0,N5152/G5152)</f>
        <v/>
      </c>
      <c r="P5152" s="6">
        <f>IF(M5152&gt;0,D5152,"")</f>
        <v/>
      </c>
      <c r="Q5152" s="9">
        <f>I5152+O5152</f>
        <v/>
      </c>
      <c r="R5152" s="7">
        <f>Q5152*G5152</f>
        <v/>
      </c>
      <c r="S5152" s="8">
        <f>IF($R$5178=0,0,R5152/$R$5178)</f>
        <v/>
      </c>
      <c r="T5152" s="8" t="n">
        <v>-0.002814548345573709</v>
      </c>
      <c r="U5152" s="8" t="n">
        <v>-0.0185593417842661</v>
      </c>
      <c r="V5152" s="6" t="inlineStr">
        <is>
          <t>not selected</t>
        </is>
      </c>
    </row>
    <row r="5153">
      <c r="A5153" s="6" t="inlineStr">
        <is>
          <t>DJ30</t>
        </is>
      </c>
      <c r="B5153" s="6" t="inlineStr">
        <is>
          <t>2026-03-13</t>
        </is>
      </c>
      <c r="C5153" s="6" t="inlineStr">
        <is>
          <t>DIA</t>
        </is>
      </c>
      <c r="D5153" s="6" t="inlineStr">
        <is>
          <t>CAT</t>
        </is>
      </c>
      <c r="E5153" s="6" t="inlineStr">
        <is>
          <t>CAT</t>
        </is>
      </c>
      <c r="F5153" s="6" t="inlineStr">
        <is>
          <t>-</t>
        </is>
      </c>
      <c r="G5153" s="7" t="n">
        <v>692.6712646484375</v>
      </c>
      <c r="H5153" s="6">
        <f>P5122</f>
        <v/>
      </c>
      <c r="I5153" s="9">
        <f>Q5122</f>
        <v/>
      </c>
      <c r="J5153" s="7">
        <f>I5153*G5153</f>
        <v/>
      </c>
      <c r="K5153" s="8">
        <f>IF($J$5178=0,0,J5153/$J$5178)</f>
        <v/>
      </c>
      <c r="L5153" s="6" t="inlineStr">
        <is>
          <t>SELECTED</t>
        </is>
      </c>
      <c r="M5153" s="8" t="n">
        <v>0.2</v>
      </c>
      <c r="N5153" s="7">
        <f>M5153*$J$5178-J5153</f>
        <v/>
      </c>
      <c r="O5153" s="9">
        <f>IF(G5153=0,0,N5153/G5153)</f>
        <v/>
      </c>
      <c r="P5153" s="6">
        <f>IF(M5153&gt;0,D5153,"")</f>
        <v/>
      </c>
      <c r="Q5153" s="9">
        <f>I5153+O5153</f>
        <v/>
      </c>
      <c r="R5153" s="7">
        <f>Q5153*G5153</f>
        <v/>
      </c>
      <c r="S5153" s="8">
        <f>IF($R$5178=0,0,R5153/$R$5178)</f>
        <v/>
      </c>
      <c r="T5153" s="8" t="n">
        <v>-0.002814548345573709</v>
      </c>
      <c r="U5153" s="8" t="n">
        <v>-0.0185593417842661</v>
      </c>
      <c r="V5153" s="6" t="inlineStr">
        <is>
          <t>remained in weekly selection</t>
        </is>
      </c>
    </row>
    <row r="5154">
      <c r="A5154" s="6" t="inlineStr">
        <is>
          <t>DJ30</t>
        </is>
      </c>
      <c r="B5154" s="6" t="inlineStr">
        <is>
          <t>2026-03-13</t>
        </is>
      </c>
      <c r="C5154" s="6" t="inlineStr">
        <is>
          <t>DIA</t>
        </is>
      </c>
      <c r="D5154" s="6" t="inlineStr">
        <is>
          <t>CRM</t>
        </is>
      </c>
      <c r="E5154" s="6" t="inlineStr">
        <is>
          <t>CRM</t>
        </is>
      </c>
      <c r="F5154" s="6" t="inlineStr">
        <is>
          <t>-</t>
        </is>
      </c>
      <c r="G5154" s="7" t="n">
        <v>191.853759765625</v>
      </c>
      <c r="H5154" s="6">
        <f>P5123</f>
        <v/>
      </c>
      <c r="I5154" s="9">
        <f>Q5123</f>
        <v/>
      </c>
      <c r="J5154" s="7">
        <f>I5154*G5154</f>
        <v/>
      </c>
      <c r="K5154" s="8">
        <f>IF($J$5178=0,0,J5154/$J$5178)</f>
        <v/>
      </c>
      <c r="L5154" s="6" t="inlineStr">
        <is>
          <t>REJECTED</t>
        </is>
      </c>
      <c r="M5154" s="8" t="n">
        <v>0</v>
      </c>
      <c r="N5154" s="7">
        <f>M5154*$J$5178-J5154</f>
        <v/>
      </c>
      <c r="O5154" s="9">
        <f>IF(G5154=0,0,N5154/G5154)</f>
        <v/>
      </c>
      <c r="P5154" s="6">
        <f>IF(M5154&gt;0,D5154,"")</f>
        <v/>
      </c>
      <c r="Q5154" s="9">
        <f>I5154+O5154</f>
        <v/>
      </c>
      <c r="R5154" s="7">
        <f>Q5154*G5154</f>
        <v/>
      </c>
      <c r="S5154" s="8">
        <f>IF($R$5178=0,0,R5154/$R$5178)</f>
        <v/>
      </c>
      <c r="T5154" s="8" t="n">
        <v>-0.002814548345573709</v>
      </c>
      <c r="U5154" s="8" t="n">
        <v>-0.0185593417842661</v>
      </c>
      <c r="V5154" s="6" t="inlineStr">
        <is>
          <t>not selected</t>
        </is>
      </c>
    </row>
    <row r="5155">
      <c r="A5155" s="6" t="inlineStr">
        <is>
          <t>DJ30</t>
        </is>
      </c>
      <c r="B5155" s="6" t="inlineStr">
        <is>
          <t>2026-03-13</t>
        </is>
      </c>
      <c r="C5155" s="6" t="inlineStr">
        <is>
          <t>DIA</t>
        </is>
      </c>
      <c r="D5155" s="6" t="inlineStr">
        <is>
          <t>CSCO</t>
        </is>
      </c>
      <c r="E5155" s="6" t="inlineStr">
        <is>
          <t>CSCO</t>
        </is>
      </c>
      <c r="F5155" s="6" t="inlineStr">
        <is>
          <t>-</t>
        </is>
      </c>
      <c r="G5155" s="7" t="n">
        <v>77.90784454345703</v>
      </c>
      <c r="H5155" s="6">
        <f>P5124</f>
        <v/>
      </c>
      <c r="I5155" s="9">
        <f>Q5124</f>
        <v/>
      </c>
      <c r="J5155" s="7">
        <f>I5155*G5155</f>
        <v/>
      </c>
      <c r="K5155" s="8">
        <f>IF($J$5178=0,0,J5155/$J$5178)</f>
        <v/>
      </c>
      <c r="L5155" s="6" t="inlineStr">
        <is>
          <t>SELECTED</t>
        </is>
      </c>
      <c r="M5155" s="8" t="n">
        <v>0.2</v>
      </c>
      <c r="N5155" s="7">
        <f>M5155*$J$5178-J5155</f>
        <v/>
      </c>
      <c r="O5155" s="9">
        <f>IF(G5155=0,0,N5155/G5155)</f>
        <v/>
      </c>
      <c r="P5155" s="6">
        <f>IF(M5155&gt;0,D5155,"")</f>
        <v/>
      </c>
      <c r="Q5155" s="9">
        <f>I5155+O5155</f>
        <v/>
      </c>
      <c r="R5155" s="7">
        <f>Q5155*G5155</f>
        <v/>
      </c>
      <c r="S5155" s="8">
        <f>IF($R$5178=0,0,R5155/$R$5178)</f>
        <v/>
      </c>
      <c r="T5155" s="8" t="n">
        <v>-0.002814548345573709</v>
      </c>
      <c r="U5155" s="8" t="n">
        <v>-0.0185593417842661</v>
      </c>
      <c r="V5155" s="6" t="inlineStr">
        <is>
          <t>remained in weekly selection</t>
        </is>
      </c>
    </row>
    <row r="5156">
      <c r="A5156" s="6" t="inlineStr">
        <is>
          <t>DJ30</t>
        </is>
      </c>
      <c r="B5156" s="6" t="inlineStr">
        <is>
          <t>2026-03-13</t>
        </is>
      </c>
      <c r="C5156" s="6" t="inlineStr">
        <is>
          <t>DIA</t>
        </is>
      </c>
      <c r="D5156" s="6" t="inlineStr">
        <is>
          <t>CVX</t>
        </is>
      </c>
      <c r="E5156" s="6" t="inlineStr">
        <is>
          <t>CVX</t>
        </is>
      </c>
      <c r="F5156" s="6" t="inlineStr">
        <is>
          <t>-</t>
        </is>
      </c>
      <c r="G5156" s="7" t="n">
        <v>195.0336608886719</v>
      </c>
      <c r="H5156" s="6">
        <f>P5125</f>
        <v/>
      </c>
      <c r="I5156" s="9">
        <f>Q5125</f>
        <v/>
      </c>
      <c r="J5156" s="7">
        <f>I5156*G5156</f>
        <v/>
      </c>
      <c r="K5156" s="8">
        <f>IF($J$5178=0,0,J5156/$J$5178)</f>
        <v/>
      </c>
      <c r="L5156" s="6" t="inlineStr">
        <is>
          <t>WATCHLIST</t>
        </is>
      </c>
      <c r="M5156" s="8" t="n">
        <v>0</v>
      </c>
      <c r="N5156" s="7">
        <f>M5156*$J$5178-J5156</f>
        <v/>
      </c>
      <c r="O5156" s="9">
        <f>IF(G5156=0,0,N5156/G5156)</f>
        <v/>
      </c>
      <c r="P5156" s="6">
        <f>IF(M5156&gt;0,D5156,"")</f>
        <v/>
      </c>
      <c r="Q5156" s="9">
        <f>I5156+O5156</f>
        <v/>
      </c>
      <c r="R5156" s="7">
        <f>Q5156*G5156</f>
        <v/>
      </c>
      <c r="S5156" s="8">
        <f>IF($R$5178=0,0,R5156/$R$5178)</f>
        <v/>
      </c>
      <c r="T5156" s="8" t="n">
        <v>-0.002814548345573709</v>
      </c>
      <c r="U5156" s="8" t="n">
        <v>-0.0185593417842661</v>
      </c>
      <c r="V5156" s="6" t="inlineStr">
        <is>
          <t>not selected</t>
        </is>
      </c>
    </row>
    <row r="5157">
      <c r="A5157" s="6" t="inlineStr">
        <is>
          <t>DJ30</t>
        </is>
      </c>
      <c r="B5157" s="6" t="inlineStr">
        <is>
          <t>2026-03-13</t>
        </is>
      </c>
      <c r="C5157" s="6" t="inlineStr">
        <is>
          <t>DIA</t>
        </is>
      </c>
      <c r="D5157" s="6" t="inlineStr">
        <is>
          <t>DIS</t>
        </is>
      </c>
      <c r="E5157" s="6" t="inlineStr">
        <is>
          <t>DIS</t>
        </is>
      </c>
      <c r="F5157" s="6" t="inlineStr">
        <is>
          <t>-</t>
        </is>
      </c>
      <c r="G5157" s="7" t="n">
        <v>99.29000091552734</v>
      </c>
      <c r="H5157" s="6">
        <f>P5126</f>
        <v/>
      </c>
      <c r="I5157" s="9">
        <f>Q5126</f>
        <v/>
      </c>
      <c r="J5157" s="7">
        <f>I5157*G5157</f>
        <v/>
      </c>
      <c r="K5157" s="8">
        <f>IF($J$5178=0,0,J5157/$J$5178)</f>
        <v/>
      </c>
      <c r="L5157" s="6" t="inlineStr">
        <is>
          <t>REJECTED</t>
        </is>
      </c>
      <c r="M5157" s="8" t="n">
        <v>0</v>
      </c>
      <c r="N5157" s="7">
        <f>M5157*$J$5178-J5157</f>
        <v/>
      </c>
      <c r="O5157" s="9">
        <f>IF(G5157=0,0,N5157/G5157)</f>
        <v/>
      </c>
      <c r="P5157" s="6">
        <f>IF(M5157&gt;0,D5157,"")</f>
        <v/>
      </c>
      <c r="Q5157" s="9">
        <f>I5157+O5157</f>
        <v/>
      </c>
      <c r="R5157" s="7">
        <f>Q5157*G5157</f>
        <v/>
      </c>
      <c r="S5157" s="8">
        <f>IF($R$5178=0,0,R5157/$R$5178)</f>
        <v/>
      </c>
      <c r="T5157" s="8" t="n">
        <v>-0.002814548345573709</v>
      </c>
      <c r="U5157" s="8" t="n">
        <v>-0.0185593417842661</v>
      </c>
      <c r="V5157" s="6" t="inlineStr">
        <is>
          <t>not selected</t>
        </is>
      </c>
    </row>
    <row r="5158">
      <c r="A5158" s="6" t="inlineStr">
        <is>
          <t>DJ30</t>
        </is>
      </c>
      <c r="B5158" s="6" t="inlineStr">
        <is>
          <t>2026-03-13</t>
        </is>
      </c>
      <c r="C5158" s="6" t="inlineStr">
        <is>
          <t>DIA</t>
        </is>
      </c>
      <c r="D5158" s="6" t="inlineStr">
        <is>
          <t>GS</t>
        </is>
      </c>
      <c r="E5158" s="6" t="inlineStr">
        <is>
          <t>GS</t>
        </is>
      </c>
      <c r="F5158" s="6" t="inlineStr">
        <is>
          <t>-</t>
        </is>
      </c>
      <c r="G5158" s="7" t="n">
        <v>778.7777709960938</v>
      </c>
      <c r="H5158" s="6">
        <f>P5127</f>
        <v/>
      </c>
      <c r="I5158" s="9">
        <f>Q5127</f>
        <v/>
      </c>
      <c r="J5158" s="7">
        <f>I5158*G5158</f>
        <v/>
      </c>
      <c r="K5158" s="8">
        <f>IF($J$5178=0,0,J5158/$J$5178)</f>
        <v/>
      </c>
      <c r="L5158" s="6" t="inlineStr">
        <is>
          <t>SELECTED</t>
        </is>
      </c>
      <c r="M5158" s="8" t="n">
        <v>0.2</v>
      </c>
      <c r="N5158" s="7">
        <f>M5158*$J$5178-J5158</f>
        <v/>
      </c>
      <c r="O5158" s="9">
        <f>IF(G5158=0,0,N5158/G5158)</f>
        <v/>
      </c>
      <c r="P5158" s="6">
        <f>IF(M5158&gt;0,D5158,"")</f>
        <v/>
      </c>
      <c r="Q5158" s="9">
        <f>I5158+O5158</f>
        <v/>
      </c>
      <c r="R5158" s="7">
        <f>Q5158*G5158</f>
        <v/>
      </c>
      <c r="S5158" s="8">
        <f>IF($R$5178=0,0,R5158/$R$5178)</f>
        <v/>
      </c>
      <c r="T5158" s="8" t="n">
        <v>-0.002814548345573709</v>
      </c>
      <c r="U5158" s="8" t="n">
        <v>-0.0185593417842661</v>
      </c>
      <c r="V5158" s="6" t="inlineStr">
        <is>
          <t>remained in weekly selection</t>
        </is>
      </c>
    </row>
    <row r="5159">
      <c r="A5159" s="6" t="inlineStr">
        <is>
          <t>DJ30</t>
        </is>
      </c>
      <c r="B5159" s="6" t="inlineStr">
        <is>
          <t>2026-03-13</t>
        </is>
      </c>
      <c r="C5159" s="6" t="inlineStr">
        <is>
          <t>DIA</t>
        </is>
      </c>
      <c r="D5159" s="6" t="inlineStr">
        <is>
          <t>HD</t>
        </is>
      </c>
      <c r="E5159" s="6" t="inlineStr">
        <is>
          <t>HD</t>
        </is>
      </c>
      <c r="F5159" s="6" t="inlineStr">
        <is>
          <t>-</t>
        </is>
      </c>
      <c r="G5159" s="7" t="n">
        <v>336.5059814453125</v>
      </c>
      <c r="H5159" s="6">
        <f>P5128</f>
        <v/>
      </c>
      <c r="I5159" s="9">
        <f>Q5128</f>
        <v/>
      </c>
      <c r="J5159" s="7">
        <f>I5159*G5159</f>
        <v/>
      </c>
      <c r="K5159" s="8">
        <f>IF($J$5178=0,0,J5159/$J$5178)</f>
        <v/>
      </c>
      <c r="L5159" s="6" t="inlineStr">
        <is>
          <t>REJECTED</t>
        </is>
      </c>
      <c r="M5159" s="8" t="n">
        <v>0</v>
      </c>
      <c r="N5159" s="7">
        <f>M5159*$J$5178-J5159</f>
        <v/>
      </c>
      <c r="O5159" s="9">
        <f>IF(G5159=0,0,N5159/G5159)</f>
        <v/>
      </c>
      <c r="P5159" s="6">
        <f>IF(M5159&gt;0,D5159,"")</f>
        <v/>
      </c>
      <c r="Q5159" s="9">
        <f>I5159+O5159</f>
        <v/>
      </c>
      <c r="R5159" s="7">
        <f>Q5159*G5159</f>
        <v/>
      </c>
      <c r="S5159" s="8">
        <f>IF($R$5178=0,0,R5159/$R$5178)</f>
        <v/>
      </c>
      <c r="T5159" s="8" t="n">
        <v>-0.002814548345573709</v>
      </c>
      <c r="U5159" s="8" t="n">
        <v>-0.0185593417842661</v>
      </c>
      <c r="V5159" s="6" t="inlineStr">
        <is>
          <t>not selected</t>
        </is>
      </c>
    </row>
    <row r="5160">
      <c r="A5160" s="6" t="inlineStr">
        <is>
          <t>DJ30</t>
        </is>
      </c>
      <c r="B5160" s="6" t="inlineStr">
        <is>
          <t>2026-03-13</t>
        </is>
      </c>
      <c r="C5160" s="6" t="inlineStr">
        <is>
          <t>DIA</t>
        </is>
      </c>
      <c r="D5160" s="6" t="inlineStr">
        <is>
          <t>HON</t>
        </is>
      </c>
      <c r="E5160" s="6" t="inlineStr">
        <is>
          <t>HON</t>
        </is>
      </c>
      <c r="F5160" s="6" t="inlineStr">
        <is>
          <t>-</t>
        </is>
      </c>
      <c r="G5160" s="7" t="n">
        <v>233.218276977539</v>
      </c>
      <c r="H5160" s="6">
        <f>P5129</f>
        <v/>
      </c>
      <c r="I5160" s="9">
        <f>Q5129</f>
        <v/>
      </c>
      <c r="J5160" s="7">
        <f>I5160*G5160</f>
        <v/>
      </c>
      <c r="K5160" s="8">
        <f>IF($J$5178=0,0,J5160/$J$5178)</f>
        <v/>
      </c>
      <c r="L5160" s="6" t="inlineStr">
        <is>
          <t>REJECTED</t>
        </is>
      </c>
      <c r="M5160" s="8" t="n">
        <v>0</v>
      </c>
      <c r="N5160" s="7">
        <f>M5160*$J$5178-J5160</f>
        <v/>
      </c>
      <c r="O5160" s="9">
        <f>IF(G5160=0,0,N5160/G5160)</f>
        <v/>
      </c>
      <c r="P5160" s="6">
        <f>IF(M5160&gt;0,D5160,"")</f>
        <v/>
      </c>
      <c r="Q5160" s="9">
        <f>I5160+O5160</f>
        <v/>
      </c>
      <c r="R5160" s="7">
        <f>Q5160*G5160</f>
        <v/>
      </c>
      <c r="S5160" s="8">
        <f>IF($R$5178=0,0,R5160/$R$5178)</f>
        <v/>
      </c>
      <c r="T5160" s="8" t="n">
        <v>-0.002814548345573709</v>
      </c>
      <c r="U5160" s="8" t="n">
        <v>-0.0185593417842661</v>
      </c>
      <c r="V5160" s="6" t="inlineStr">
        <is>
          <t>not selected</t>
        </is>
      </c>
    </row>
    <row r="5161">
      <c r="A5161" s="6" t="inlineStr">
        <is>
          <t>DJ30</t>
        </is>
      </c>
      <c r="B5161" s="6" t="inlineStr">
        <is>
          <t>2026-03-13</t>
        </is>
      </c>
      <c r="C5161" s="6" t="inlineStr">
        <is>
          <t>DIA</t>
        </is>
      </c>
      <c r="D5161" s="6" t="inlineStr">
        <is>
          <t>IBM</t>
        </is>
      </c>
      <c r="E5161" s="6" t="inlineStr">
        <is>
          <t>IBM</t>
        </is>
      </c>
      <c r="F5161" s="6" t="inlineStr">
        <is>
          <t>-</t>
        </is>
      </c>
      <c r="G5161" s="7" t="n">
        <v>244.4806213378907</v>
      </c>
      <c r="H5161" s="6">
        <f>P5130</f>
        <v/>
      </c>
      <c r="I5161" s="9">
        <f>Q5130</f>
        <v/>
      </c>
      <c r="J5161" s="7">
        <f>I5161*G5161</f>
        <v/>
      </c>
      <c r="K5161" s="8">
        <f>IF($J$5178=0,0,J5161/$J$5178)</f>
        <v/>
      </c>
      <c r="L5161" s="6" t="inlineStr">
        <is>
          <t>WATCHLIST</t>
        </is>
      </c>
      <c r="M5161" s="8" t="n">
        <v>0</v>
      </c>
      <c r="N5161" s="7">
        <f>M5161*$J$5178-J5161</f>
        <v/>
      </c>
      <c r="O5161" s="9">
        <f>IF(G5161=0,0,N5161/G5161)</f>
        <v/>
      </c>
      <c r="P5161" s="6">
        <f>IF(M5161&gt;0,D5161,"")</f>
        <v/>
      </c>
      <c r="Q5161" s="9">
        <f>I5161+O5161</f>
        <v/>
      </c>
      <c r="R5161" s="7">
        <f>Q5161*G5161</f>
        <v/>
      </c>
      <c r="S5161" s="8">
        <f>IF($R$5178=0,0,R5161/$R$5178)</f>
        <v/>
      </c>
      <c r="T5161" s="8" t="n">
        <v>-0.002814548345573709</v>
      </c>
      <c r="U5161" s="8" t="n">
        <v>-0.0185593417842661</v>
      </c>
      <c r="V5161" s="6" t="inlineStr">
        <is>
          <t>not selected</t>
        </is>
      </c>
    </row>
    <row r="5162">
      <c r="A5162" s="6" t="inlineStr">
        <is>
          <t>DJ30</t>
        </is>
      </c>
      <c r="B5162" s="6" t="inlineStr">
        <is>
          <t>2026-03-13</t>
        </is>
      </c>
      <c r="C5162" s="6" t="inlineStr">
        <is>
          <t>DIA</t>
        </is>
      </c>
      <c r="D5162" s="6" t="inlineStr">
        <is>
          <t>JNJ</t>
        </is>
      </c>
      <c r="E5162" s="6" t="inlineStr">
        <is>
          <t>JNJ</t>
        </is>
      </c>
      <c r="F5162" s="6" t="inlineStr">
        <is>
          <t>-</t>
        </is>
      </c>
      <c r="G5162" s="7" t="n">
        <v>240.1389465332031</v>
      </c>
      <c r="H5162" s="6">
        <f>P5131</f>
        <v/>
      </c>
      <c r="I5162" s="9">
        <f>Q5131</f>
        <v/>
      </c>
      <c r="J5162" s="7">
        <f>I5162*G5162</f>
        <v/>
      </c>
      <c r="K5162" s="8">
        <f>IF($J$5178=0,0,J5162/$J$5178)</f>
        <v/>
      </c>
      <c r="L5162" s="6" t="inlineStr">
        <is>
          <t>SELECTED</t>
        </is>
      </c>
      <c r="M5162" s="8" t="n">
        <v>0.2</v>
      </c>
      <c r="N5162" s="7">
        <f>M5162*$J$5178-J5162</f>
        <v/>
      </c>
      <c r="O5162" s="9">
        <f>IF(G5162=0,0,N5162/G5162)</f>
        <v/>
      </c>
      <c r="P5162" s="6">
        <f>IF(M5162&gt;0,D5162,"")</f>
        <v/>
      </c>
      <c r="Q5162" s="9">
        <f>I5162+O5162</f>
        <v/>
      </c>
      <c r="R5162" s="7">
        <f>Q5162*G5162</f>
        <v/>
      </c>
      <c r="S5162" s="8">
        <f>IF($R$5178=0,0,R5162/$R$5178)</f>
        <v/>
      </c>
      <c r="T5162" s="8" t="n">
        <v>-0.002814548345573709</v>
      </c>
      <c r="U5162" s="8" t="n">
        <v>-0.0185593417842661</v>
      </c>
      <c r="V5162" s="6" t="inlineStr">
        <is>
          <t>remained in weekly selection</t>
        </is>
      </c>
    </row>
    <row r="5163">
      <c r="A5163" s="6" t="inlineStr">
        <is>
          <t>DJ30</t>
        </is>
      </c>
      <c r="B5163" s="6" t="inlineStr">
        <is>
          <t>2026-03-13</t>
        </is>
      </c>
      <c r="C5163" s="6" t="inlineStr">
        <is>
          <t>DIA</t>
        </is>
      </c>
      <c r="D5163" s="6" t="inlineStr">
        <is>
          <t>JPM</t>
        </is>
      </c>
      <c r="E5163" s="6" t="inlineStr">
        <is>
          <t>JPM</t>
        </is>
      </c>
      <c r="F5163" s="6" t="inlineStr">
        <is>
          <t>-</t>
        </is>
      </c>
      <c r="G5163" s="7" t="n">
        <v>281.996826171875</v>
      </c>
      <c r="H5163" s="6">
        <f>P5132</f>
        <v/>
      </c>
      <c r="I5163" s="9">
        <f>Q5132</f>
        <v/>
      </c>
      <c r="J5163" s="7">
        <f>I5163*G5163</f>
        <v/>
      </c>
      <c r="K5163" s="8">
        <f>IF($J$5178=0,0,J5163/$J$5178)</f>
        <v/>
      </c>
      <c r="L5163" s="6" t="inlineStr">
        <is>
          <t>WATCHLIST</t>
        </is>
      </c>
      <c r="M5163" s="8" t="n">
        <v>0</v>
      </c>
      <c r="N5163" s="7">
        <f>M5163*$J$5178-J5163</f>
        <v/>
      </c>
      <c r="O5163" s="9">
        <f>IF(G5163=0,0,N5163/G5163)</f>
        <v/>
      </c>
      <c r="P5163" s="6">
        <f>IF(M5163&gt;0,D5163,"")</f>
        <v/>
      </c>
      <c r="Q5163" s="9">
        <f>I5163+O5163</f>
        <v/>
      </c>
      <c r="R5163" s="7">
        <f>Q5163*G5163</f>
        <v/>
      </c>
      <c r="S5163" s="8">
        <f>IF($R$5178=0,0,R5163/$R$5178)</f>
        <v/>
      </c>
      <c r="T5163" s="8" t="n">
        <v>-0.002814548345573709</v>
      </c>
      <c r="U5163" s="8" t="n">
        <v>-0.0185593417842661</v>
      </c>
      <c r="V5163" s="6" t="inlineStr">
        <is>
          <t>not selected</t>
        </is>
      </c>
    </row>
    <row r="5164">
      <c r="A5164" s="6" t="inlineStr">
        <is>
          <t>DJ30</t>
        </is>
      </c>
      <c r="B5164" s="6" t="inlineStr">
        <is>
          <t>2026-03-13</t>
        </is>
      </c>
      <c r="C5164" s="6" t="inlineStr">
        <is>
          <t>DIA</t>
        </is>
      </c>
      <c r="D5164" s="6" t="inlineStr">
        <is>
          <t>KO</t>
        </is>
      </c>
      <c r="E5164" s="6" t="inlineStr">
        <is>
          <t>KO</t>
        </is>
      </c>
      <c r="F5164" s="6" t="inlineStr">
        <is>
          <t>-</t>
        </is>
      </c>
      <c r="G5164" s="7" t="n">
        <v>76.8438720703125</v>
      </c>
      <c r="H5164" s="6">
        <f>P5133</f>
        <v/>
      </c>
      <c r="I5164" s="9">
        <f>Q5133</f>
        <v/>
      </c>
      <c r="J5164" s="7">
        <f>I5164*G5164</f>
        <v/>
      </c>
      <c r="K5164" s="8">
        <f>IF($J$5178=0,0,J5164/$J$5178)</f>
        <v/>
      </c>
      <c r="L5164" s="6" t="inlineStr">
        <is>
          <t>WATCHLIST</t>
        </is>
      </c>
      <c r="M5164" s="8" t="n">
        <v>0</v>
      </c>
      <c r="N5164" s="7">
        <f>M5164*$J$5178-J5164</f>
        <v/>
      </c>
      <c r="O5164" s="9">
        <f>IF(G5164=0,0,N5164/G5164)</f>
        <v/>
      </c>
      <c r="P5164" s="6">
        <f>IF(M5164&gt;0,D5164,"")</f>
        <v/>
      </c>
      <c r="Q5164" s="9">
        <f>I5164+O5164</f>
        <v/>
      </c>
      <c r="R5164" s="7">
        <f>Q5164*G5164</f>
        <v/>
      </c>
      <c r="S5164" s="8">
        <f>IF($R$5178=0,0,R5164/$R$5178)</f>
        <v/>
      </c>
      <c r="T5164" s="8" t="n">
        <v>-0.002814548345573709</v>
      </c>
      <c r="U5164" s="8" t="n">
        <v>-0.0185593417842661</v>
      </c>
      <c r="V5164" s="6" t="inlineStr">
        <is>
          <t>not selected</t>
        </is>
      </c>
    </row>
    <row r="5165">
      <c r="A5165" s="6" t="inlineStr">
        <is>
          <t>DJ30</t>
        </is>
      </c>
      <c r="B5165" s="6" t="inlineStr">
        <is>
          <t>2026-03-13</t>
        </is>
      </c>
      <c r="C5165" s="6" t="inlineStr">
        <is>
          <t>DIA</t>
        </is>
      </c>
      <c r="D5165" s="6" t="inlineStr">
        <is>
          <t>MCD</t>
        </is>
      </c>
      <c r="E5165" s="6" t="inlineStr">
        <is>
          <t>MCD</t>
        </is>
      </c>
      <c r="F5165" s="6" t="inlineStr">
        <is>
          <t>-</t>
        </is>
      </c>
      <c r="G5165" s="7" t="n">
        <v>324.2608032226562</v>
      </c>
      <c r="H5165" s="6">
        <f>P5134</f>
        <v/>
      </c>
      <c r="I5165" s="9">
        <f>Q5134</f>
        <v/>
      </c>
      <c r="J5165" s="7">
        <f>I5165*G5165</f>
        <v/>
      </c>
      <c r="K5165" s="8">
        <f>IF($J$5178=0,0,J5165/$J$5178)</f>
        <v/>
      </c>
      <c r="L5165" s="6" t="inlineStr">
        <is>
          <t>WATCHLIST</t>
        </is>
      </c>
      <c r="M5165" s="8" t="n">
        <v>0</v>
      </c>
      <c r="N5165" s="7">
        <f>M5165*$J$5178-J5165</f>
        <v/>
      </c>
      <c r="O5165" s="9">
        <f>IF(G5165=0,0,N5165/G5165)</f>
        <v/>
      </c>
      <c r="P5165" s="6">
        <f>IF(M5165&gt;0,D5165,"")</f>
        <v/>
      </c>
      <c r="Q5165" s="9">
        <f>I5165+O5165</f>
        <v/>
      </c>
      <c r="R5165" s="7">
        <f>Q5165*G5165</f>
        <v/>
      </c>
      <c r="S5165" s="8">
        <f>IF($R$5178=0,0,R5165/$R$5178)</f>
        <v/>
      </c>
      <c r="T5165" s="8" t="n">
        <v>-0.002814548345573709</v>
      </c>
      <c r="U5165" s="8" t="n">
        <v>-0.0185593417842661</v>
      </c>
      <c r="V5165" s="6" t="inlineStr">
        <is>
          <t>not selected</t>
        </is>
      </c>
    </row>
    <row r="5166">
      <c r="A5166" s="6" t="inlineStr">
        <is>
          <t>DJ30</t>
        </is>
      </c>
      <c r="B5166" s="6" t="inlineStr">
        <is>
          <t>2026-03-13</t>
        </is>
      </c>
      <c r="C5166" s="6" t="inlineStr">
        <is>
          <t>DIA</t>
        </is>
      </c>
      <c r="D5166" s="6" t="inlineStr">
        <is>
          <t>MMM</t>
        </is>
      </c>
      <c r="E5166" s="6" t="inlineStr">
        <is>
          <t>MMM</t>
        </is>
      </c>
      <c r="F5166" s="6" t="inlineStr">
        <is>
          <t>-</t>
        </is>
      </c>
      <c r="G5166" s="7" t="n">
        <v>150.1833038330078</v>
      </c>
      <c r="H5166" s="6">
        <f>P5135</f>
        <v/>
      </c>
      <c r="I5166" s="9">
        <f>Q5135</f>
        <v/>
      </c>
      <c r="J5166" s="7">
        <f>I5166*G5166</f>
        <v/>
      </c>
      <c r="K5166" s="8">
        <f>IF($J$5178=0,0,J5166/$J$5178)</f>
        <v/>
      </c>
      <c r="L5166" s="6" t="inlineStr">
        <is>
          <t>WATCHLIST</t>
        </is>
      </c>
      <c r="M5166" s="8" t="n">
        <v>0</v>
      </c>
      <c r="N5166" s="7">
        <f>M5166*$J$5178-J5166</f>
        <v/>
      </c>
      <c r="O5166" s="9">
        <f>IF(G5166=0,0,N5166/G5166)</f>
        <v/>
      </c>
      <c r="P5166" s="6">
        <f>IF(M5166&gt;0,D5166,"")</f>
        <v/>
      </c>
      <c r="Q5166" s="9">
        <f>I5166+O5166</f>
        <v/>
      </c>
      <c r="R5166" s="7">
        <f>Q5166*G5166</f>
        <v/>
      </c>
      <c r="S5166" s="8">
        <f>IF($R$5178=0,0,R5166/$R$5178)</f>
        <v/>
      </c>
      <c r="T5166" s="8" t="n">
        <v>-0.002814548345573709</v>
      </c>
      <c r="U5166" s="8" t="n">
        <v>-0.0185593417842661</v>
      </c>
      <c r="V5166" s="6" t="inlineStr">
        <is>
          <t>not selected</t>
        </is>
      </c>
    </row>
    <row r="5167">
      <c r="A5167" s="6" t="inlineStr">
        <is>
          <t>DJ30</t>
        </is>
      </c>
      <c r="B5167" s="6" t="inlineStr">
        <is>
          <t>2026-03-13</t>
        </is>
      </c>
      <c r="C5167" s="6" t="inlineStr">
        <is>
          <t>DIA</t>
        </is>
      </c>
      <c r="D5167" s="6" t="inlineStr">
        <is>
          <t>MRK</t>
        </is>
      </c>
      <c r="E5167" s="6" t="inlineStr">
        <is>
          <t>MRK</t>
        </is>
      </c>
      <c r="F5167" s="6" t="inlineStr">
        <is>
          <t>-</t>
        </is>
      </c>
      <c r="G5167" s="7" t="n">
        <v>113.9406280517578</v>
      </c>
      <c r="H5167" s="6">
        <f>P5136</f>
        <v/>
      </c>
      <c r="I5167" s="9">
        <f>Q5136</f>
        <v/>
      </c>
      <c r="J5167" s="7">
        <f>I5167*G5167</f>
        <v/>
      </c>
      <c r="K5167" s="8">
        <f>IF($J$5178=0,0,J5167/$J$5178)</f>
        <v/>
      </c>
      <c r="L5167" s="6" t="inlineStr">
        <is>
          <t>WATCHLIST</t>
        </is>
      </c>
      <c r="M5167" s="8" t="n">
        <v>0</v>
      </c>
      <c r="N5167" s="7">
        <f>M5167*$J$5178-J5167</f>
        <v/>
      </c>
      <c r="O5167" s="9">
        <f>IF(G5167=0,0,N5167/G5167)</f>
        <v/>
      </c>
      <c r="P5167" s="6">
        <f>IF(M5167&gt;0,D5167,"")</f>
        <v/>
      </c>
      <c r="Q5167" s="9">
        <f>I5167+O5167</f>
        <v/>
      </c>
      <c r="R5167" s="7">
        <f>Q5167*G5167</f>
        <v/>
      </c>
      <c r="S5167" s="8">
        <f>IF($R$5178=0,0,R5167/$R$5178)</f>
        <v/>
      </c>
      <c r="T5167" s="8" t="n">
        <v>-0.002814548345573709</v>
      </c>
      <c r="U5167" s="8" t="n">
        <v>-0.0185593417842661</v>
      </c>
      <c r="V5167" s="6" t="inlineStr">
        <is>
          <t>not selected</t>
        </is>
      </c>
    </row>
    <row r="5168">
      <c r="A5168" s="6" t="inlineStr">
        <is>
          <t>DJ30</t>
        </is>
      </c>
      <c r="B5168" s="6" t="inlineStr">
        <is>
          <t>2026-03-13</t>
        </is>
      </c>
      <c r="C5168" s="6" t="inlineStr">
        <is>
          <t>DIA</t>
        </is>
      </c>
      <c r="D5168" s="6" t="inlineStr">
        <is>
          <t>MSFT</t>
        </is>
      </c>
      <c r="E5168" s="6" t="inlineStr">
        <is>
          <t>MSFT</t>
        </is>
      </c>
      <c r="F5168" s="6" t="inlineStr">
        <is>
          <t>-</t>
        </is>
      </c>
      <c r="G5168" s="7" t="n">
        <v>394.6951293945313</v>
      </c>
      <c r="H5168" s="6">
        <f>P5137</f>
        <v/>
      </c>
      <c r="I5168" s="9">
        <f>Q5137</f>
        <v/>
      </c>
      <c r="J5168" s="7">
        <f>I5168*G5168</f>
        <v/>
      </c>
      <c r="K5168" s="8">
        <f>IF($J$5178=0,0,J5168/$J$5178)</f>
        <v/>
      </c>
      <c r="L5168" s="6" t="inlineStr">
        <is>
          <t>REJECTED</t>
        </is>
      </c>
      <c r="M5168" s="8" t="n">
        <v>0</v>
      </c>
      <c r="N5168" s="7">
        <f>M5168*$J$5178-J5168</f>
        <v/>
      </c>
      <c r="O5168" s="9">
        <f>IF(G5168=0,0,N5168/G5168)</f>
        <v/>
      </c>
      <c r="P5168" s="6">
        <f>IF(M5168&gt;0,D5168,"")</f>
        <v/>
      </c>
      <c r="Q5168" s="9">
        <f>I5168+O5168</f>
        <v/>
      </c>
      <c r="R5168" s="7">
        <f>Q5168*G5168</f>
        <v/>
      </c>
      <c r="S5168" s="8">
        <f>IF($R$5178=0,0,R5168/$R$5178)</f>
        <v/>
      </c>
      <c r="T5168" s="8" t="n">
        <v>-0.002814548345573709</v>
      </c>
      <c r="U5168" s="8" t="n">
        <v>-0.0185593417842661</v>
      </c>
      <c r="V5168" s="6" t="inlineStr">
        <is>
          <t>not selected</t>
        </is>
      </c>
    </row>
    <row r="5169">
      <c r="A5169" s="6" t="inlineStr">
        <is>
          <t>DJ30</t>
        </is>
      </c>
      <c r="B5169" s="6" t="inlineStr">
        <is>
          <t>2026-03-13</t>
        </is>
      </c>
      <c r="C5169" s="6" t="inlineStr">
        <is>
          <t>DIA</t>
        </is>
      </c>
      <c r="D5169" s="6" t="inlineStr">
        <is>
          <t>NKE</t>
        </is>
      </c>
      <c r="E5169" s="6" t="inlineStr">
        <is>
          <t>NKE</t>
        </is>
      </c>
      <c r="F5169" s="6" t="inlineStr">
        <is>
          <t>-</t>
        </is>
      </c>
      <c r="G5169" s="7" t="n">
        <v>53.50126647949219</v>
      </c>
      <c r="H5169" s="6">
        <f>P5138</f>
        <v/>
      </c>
      <c r="I5169" s="9">
        <f>Q5138</f>
        <v/>
      </c>
      <c r="J5169" s="7">
        <f>I5169*G5169</f>
        <v/>
      </c>
      <c r="K5169" s="8">
        <f>IF($J$5178=0,0,J5169/$J$5178)</f>
        <v/>
      </c>
      <c r="L5169" s="6" t="inlineStr">
        <is>
          <t>REJECTED</t>
        </is>
      </c>
      <c r="M5169" s="8" t="n">
        <v>0</v>
      </c>
      <c r="N5169" s="7">
        <f>M5169*$J$5178-J5169</f>
        <v/>
      </c>
      <c r="O5169" s="9">
        <f>IF(G5169=0,0,N5169/G5169)</f>
        <v/>
      </c>
      <c r="P5169" s="6">
        <f>IF(M5169&gt;0,D5169,"")</f>
        <v/>
      </c>
      <c r="Q5169" s="9">
        <f>I5169+O5169</f>
        <v/>
      </c>
      <c r="R5169" s="7">
        <f>Q5169*G5169</f>
        <v/>
      </c>
      <c r="S5169" s="8">
        <f>IF($R$5178=0,0,R5169/$R$5178)</f>
        <v/>
      </c>
      <c r="T5169" s="8" t="n">
        <v>-0.002814548345573709</v>
      </c>
      <c r="U5169" s="8" t="n">
        <v>-0.0185593417842661</v>
      </c>
      <c r="V5169" s="6" t="inlineStr">
        <is>
          <t>not selected</t>
        </is>
      </c>
    </row>
    <row r="5170">
      <c r="A5170" s="6" t="inlineStr">
        <is>
          <t>DJ30</t>
        </is>
      </c>
      <c r="B5170" s="6" t="inlineStr">
        <is>
          <t>2026-03-13</t>
        </is>
      </c>
      <c r="C5170" s="6" t="inlineStr">
        <is>
          <t>DIA</t>
        </is>
      </c>
      <c r="D5170" s="6" t="inlineStr">
        <is>
          <t>NVDA</t>
        </is>
      </c>
      <c r="E5170" s="6" t="inlineStr">
        <is>
          <t>NVDA</t>
        </is>
      </c>
      <c r="F5170" s="6" t="inlineStr">
        <is>
          <t>-</t>
        </is>
      </c>
      <c r="G5170" s="7" t="n">
        <v>180.0401611328125</v>
      </c>
      <c r="H5170" s="6">
        <f>P5139</f>
        <v/>
      </c>
      <c r="I5170" s="9">
        <f>Q5139</f>
        <v/>
      </c>
      <c r="J5170" s="7">
        <f>I5170*G5170</f>
        <v/>
      </c>
      <c r="K5170" s="8">
        <f>IF($J$5178=0,0,J5170/$J$5178)</f>
        <v/>
      </c>
      <c r="L5170" s="6" t="inlineStr">
        <is>
          <t>SELECTED</t>
        </is>
      </c>
      <c r="M5170" s="8" t="n">
        <v>0.2</v>
      </c>
      <c r="N5170" s="7">
        <f>M5170*$J$5178-J5170</f>
        <v/>
      </c>
      <c r="O5170" s="9">
        <f>IF(G5170=0,0,N5170/G5170)</f>
        <v/>
      </c>
      <c r="P5170" s="6">
        <f>IF(M5170&gt;0,D5170,"")</f>
        <v/>
      </c>
      <c r="Q5170" s="9">
        <f>I5170+O5170</f>
        <v/>
      </c>
      <c r="R5170" s="7">
        <f>Q5170*G5170</f>
        <v/>
      </c>
      <c r="S5170" s="8">
        <f>IF($R$5178=0,0,R5170/$R$5178)</f>
        <v/>
      </c>
      <c r="T5170" s="8" t="n">
        <v>-0.002814548345573709</v>
      </c>
      <c r="U5170" s="8" t="n">
        <v>-0.0185593417842661</v>
      </c>
      <c r="V5170" s="6" t="inlineStr">
        <is>
          <t>remained in weekly selection</t>
        </is>
      </c>
    </row>
    <row r="5171">
      <c r="A5171" s="6" t="inlineStr">
        <is>
          <t>DJ30</t>
        </is>
      </c>
      <c r="B5171" s="6" t="inlineStr">
        <is>
          <t>2026-03-13</t>
        </is>
      </c>
      <c r="C5171" s="6" t="inlineStr">
        <is>
          <t>DIA</t>
        </is>
      </c>
      <c r="D5171" s="6" t="inlineStr">
        <is>
          <t>PG</t>
        </is>
      </c>
      <c r="E5171" s="6" t="inlineStr">
        <is>
          <t>PG</t>
        </is>
      </c>
      <c r="F5171" s="6" t="inlineStr">
        <is>
          <t>-</t>
        </is>
      </c>
      <c r="G5171" s="7" t="n">
        <v>149.5240783691406</v>
      </c>
      <c r="H5171" s="6">
        <f>P5140</f>
        <v/>
      </c>
      <c r="I5171" s="9">
        <f>Q5140</f>
        <v/>
      </c>
      <c r="J5171" s="7">
        <f>I5171*G5171</f>
        <v/>
      </c>
      <c r="K5171" s="8">
        <f>IF($J$5178=0,0,J5171/$J$5178)</f>
        <v/>
      </c>
      <c r="L5171" s="6" t="inlineStr">
        <is>
          <t>REJECTED</t>
        </is>
      </c>
      <c r="M5171" s="8" t="n">
        <v>0</v>
      </c>
      <c r="N5171" s="7">
        <f>M5171*$J$5178-J5171</f>
        <v/>
      </c>
      <c r="O5171" s="9">
        <f>IF(G5171=0,0,N5171/G5171)</f>
        <v/>
      </c>
      <c r="P5171" s="6">
        <f>IF(M5171&gt;0,D5171,"")</f>
        <v/>
      </c>
      <c r="Q5171" s="9">
        <f>I5171+O5171</f>
        <v/>
      </c>
      <c r="R5171" s="7">
        <f>Q5171*G5171</f>
        <v/>
      </c>
      <c r="S5171" s="8">
        <f>IF($R$5178=0,0,R5171/$R$5178)</f>
        <v/>
      </c>
      <c r="T5171" s="8" t="n">
        <v>-0.002814548345573709</v>
      </c>
      <c r="U5171" s="8" t="n">
        <v>-0.0185593417842661</v>
      </c>
      <c r="V5171" s="6" t="inlineStr">
        <is>
          <t>not selected</t>
        </is>
      </c>
    </row>
    <row r="5172">
      <c r="A5172" s="6" t="inlineStr">
        <is>
          <t>DJ30</t>
        </is>
      </c>
      <c r="B5172" s="6" t="inlineStr">
        <is>
          <t>2026-03-13</t>
        </is>
      </c>
      <c r="C5172" s="6" t="inlineStr">
        <is>
          <t>DIA</t>
        </is>
      </c>
      <c r="D5172" s="6" t="inlineStr">
        <is>
          <t>SHW</t>
        </is>
      </c>
      <c r="E5172" s="6" t="inlineStr">
        <is>
          <t>SHW</t>
        </is>
      </c>
      <c r="F5172" s="6" t="inlineStr">
        <is>
          <t>-</t>
        </is>
      </c>
      <c r="G5172" s="7" t="n">
        <v>318.9530029296875</v>
      </c>
      <c r="H5172" s="6">
        <f>P5141</f>
        <v/>
      </c>
      <c r="I5172" s="9">
        <f>Q5141</f>
        <v/>
      </c>
      <c r="J5172" s="7">
        <f>I5172*G5172</f>
        <v/>
      </c>
      <c r="K5172" s="8">
        <f>IF($J$5178=0,0,J5172/$J$5178)</f>
        <v/>
      </c>
      <c r="L5172" s="6" t="inlineStr">
        <is>
          <t>REJECTED</t>
        </is>
      </c>
      <c r="M5172" s="8" t="n">
        <v>0</v>
      </c>
      <c r="N5172" s="7">
        <f>M5172*$J$5178-J5172</f>
        <v/>
      </c>
      <c r="O5172" s="9">
        <f>IF(G5172=0,0,N5172/G5172)</f>
        <v/>
      </c>
      <c r="P5172" s="6">
        <f>IF(M5172&gt;0,D5172,"")</f>
        <v/>
      </c>
      <c r="Q5172" s="9">
        <f>I5172+O5172</f>
        <v/>
      </c>
      <c r="R5172" s="7">
        <f>Q5172*G5172</f>
        <v/>
      </c>
      <c r="S5172" s="8">
        <f>IF($R$5178=0,0,R5172/$R$5178)</f>
        <v/>
      </c>
      <c r="T5172" s="8" t="n">
        <v>-0.002814548345573709</v>
      </c>
      <c r="U5172" s="8" t="n">
        <v>-0.0185593417842661</v>
      </c>
      <c r="V5172" s="6" t="inlineStr">
        <is>
          <t>not selected</t>
        </is>
      </c>
    </row>
    <row r="5173">
      <c r="A5173" s="6" t="inlineStr">
        <is>
          <t>DJ30</t>
        </is>
      </c>
      <c r="B5173" s="6" t="inlineStr">
        <is>
          <t>2026-03-13</t>
        </is>
      </c>
      <c r="C5173" s="6" t="inlineStr">
        <is>
          <t>DIA</t>
        </is>
      </c>
      <c r="D5173" s="6" t="inlineStr">
        <is>
          <t>TRV</t>
        </is>
      </c>
      <c r="E5173" s="6" t="inlineStr">
        <is>
          <t>TRV</t>
        </is>
      </c>
      <c r="F5173" s="6" t="inlineStr">
        <is>
          <t>-</t>
        </is>
      </c>
      <c r="G5173" s="7" t="n">
        <v>301.2306518554688</v>
      </c>
      <c r="H5173" s="6">
        <f>P5142</f>
        <v/>
      </c>
      <c r="I5173" s="9">
        <f>Q5142</f>
        <v/>
      </c>
      <c r="J5173" s="7">
        <f>I5173*G5173</f>
        <v/>
      </c>
      <c r="K5173" s="8">
        <f>IF($J$5178=0,0,J5173/$J$5178)</f>
        <v/>
      </c>
      <c r="L5173" s="6" t="inlineStr">
        <is>
          <t>WATCHLIST</t>
        </is>
      </c>
      <c r="M5173" s="8" t="n">
        <v>0</v>
      </c>
      <c r="N5173" s="7">
        <f>M5173*$J$5178-J5173</f>
        <v/>
      </c>
      <c r="O5173" s="9">
        <f>IF(G5173=0,0,N5173/G5173)</f>
        <v/>
      </c>
      <c r="P5173" s="6">
        <f>IF(M5173&gt;0,D5173,"")</f>
        <v/>
      </c>
      <c r="Q5173" s="9">
        <f>I5173+O5173</f>
        <v/>
      </c>
      <c r="R5173" s="7">
        <f>Q5173*G5173</f>
        <v/>
      </c>
      <c r="S5173" s="8">
        <f>IF($R$5178=0,0,R5173/$R$5178)</f>
        <v/>
      </c>
      <c r="T5173" s="8" t="n">
        <v>-0.002814548345573709</v>
      </c>
      <c r="U5173" s="8" t="n">
        <v>-0.0185593417842661</v>
      </c>
      <c r="V5173" s="6" t="inlineStr">
        <is>
          <t>not selected</t>
        </is>
      </c>
    </row>
    <row r="5174">
      <c r="A5174" s="6" t="inlineStr">
        <is>
          <t>DJ30</t>
        </is>
      </c>
      <c r="B5174" s="6" t="inlineStr">
        <is>
          <t>2026-03-13</t>
        </is>
      </c>
      <c r="C5174" s="6" t="inlineStr">
        <is>
          <t>DIA</t>
        </is>
      </c>
      <c r="D5174" s="6" t="inlineStr">
        <is>
          <t>UNH</t>
        </is>
      </c>
      <c r="E5174" s="6" t="inlineStr">
        <is>
          <t>UNH</t>
        </is>
      </c>
      <c r="F5174" s="6" t="inlineStr">
        <is>
          <t>-</t>
        </is>
      </c>
      <c r="G5174" s="7" t="n">
        <v>280.4880065917969</v>
      </c>
      <c r="H5174" s="6">
        <f>P5143</f>
        <v/>
      </c>
      <c r="I5174" s="9">
        <f>Q5143</f>
        <v/>
      </c>
      <c r="J5174" s="7">
        <f>I5174*G5174</f>
        <v/>
      </c>
      <c r="K5174" s="8">
        <f>IF($J$5178=0,0,J5174/$J$5178)</f>
        <v/>
      </c>
      <c r="L5174" s="6" t="inlineStr">
        <is>
          <t>REJECTED</t>
        </is>
      </c>
      <c r="M5174" s="8" t="n">
        <v>0</v>
      </c>
      <c r="N5174" s="7">
        <f>M5174*$J$5178-J5174</f>
        <v/>
      </c>
      <c r="O5174" s="9">
        <f>IF(G5174=0,0,N5174/G5174)</f>
        <v/>
      </c>
      <c r="P5174" s="6">
        <f>IF(M5174&gt;0,D5174,"")</f>
        <v/>
      </c>
      <c r="Q5174" s="9">
        <f>I5174+O5174</f>
        <v/>
      </c>
      <c r="R5174" s="7">
        <f>Q5174*G5174</f>
        <v/>
      </c>
      <c r="S5174" s="8">
        <f>IF($R$5178=0,0,R5174/$R$5178)</f>
        <v/>
      </c>
      <c r="T5174" s="8" t="n">
        <v>-0.002814548345573709</v>
      </c>
      <c r="U5174" s="8" t="n">
        <v>-0.0185593417842661</v>
      </c>
      <c r="V5174" s="6" t="inlineStr">
        <is>
          <t>not selected</t>
        </is>
      </c>
    </row>
    <row r="5175">
      <c r="A5175" s="6" t="inlineStr">
        <is>
          <t>DJ30</t>
        </is>
      </c>
      <c r="B5175" s="6" t="inlineStr">
        <is>
          <t>2026-03-13</t>
        </is>
      </c>
      <c r="C5175" s="6" t="inlineStr">
        <is>
          <t>DIA</t>
        </is>
      </c>
      <c r="D5175" s="6" t="inlineStr">
        <is>
          <t>V</t>
        </is>
      </c>
      <c r="E5175" s="6" t="inlineStr">
        <is>
          <t>V</t>
        </is>
      </c>
      <c r="F5175" s="6" t="inlineStr">
        <is>
          <t>-</t>
        </is>
      </c>
      <c r="G5175" s="7" t="n">
        <v>306.5046081542969</v>
      </c>
      <c r="H5175" s="6">
        <f>P5144</f>
        <v/>
      </c>
      <c r="I5175" s="9">
        <f>Q5144</f>
        <v/>
      </c>
      <c r="J5175" s="7">
        <f>I5175*G5175</f>
        <v/>
      </c>
      <c r="K5175" s="8">
        <f>IF($J$5178=0,0,J5175/$J$5178)</f>
        <v/>
      </c>
      <c r="L5175" s="6" t="inlineStr">
        <is>
          <t>REJECTED</t>
        </is>
      </c>
      <c r="M5175" s="8" t="n">
        <v>0</v>
      </c>
      <c r="N5175" s="7">
        <f>M5175*$J$5178-J5175</f>
        <v/>
      </c>
      <c r="O5175" s="9">
        <f>IF(G5175=0,0,N5175/G5175)</f>
        <v/>
      </c>
      <c r="P5175" s="6">
        <f>IF(M5175&gt;0,D5175,"")</f>
        <v/>
      </c>
      <c r="Q5175" s="9">
        <f>I5175+O5175</f>
        <v/>
      </c>
      <c r="R5175" s="7">
        <f>Q5175*G5175</f>
        <v/>
      </c>
      <c r="S5175" s="8">
        <f>IF($R$5178=0,0,R5175/$R$5178)</f>
        <v/>
      </c>
      <c r="T5175" s="8" t="n">
        <v>-0.002814548345573709</v>
      </c>
      <c r="U5175" s="8" t="n">
        <v>-0.0185593417842661</v>
      </c>
      <c r="V5175" s="6" t="inlineStr">
        <is>
          <t>not selected</t>
        </is>
      </c>
    </row>
    <row r="5176">
      <c r="A5176" s="6" t="inlineStr">
        <is>
          <t>DJ30</t>
        </is>
      </c>
      <c r="B5176" s="6" t="inlineStr">
        <is>
          <t>2026-03-13</t>
        </is>
      </c>
      <c r="C5176" s="6" t="inlineStr">
        <is>
          <t>DIA</t>
        </is>
      </c>
      <c r="D5176" s="6" t="inlineStr">
        <is>
          <t>VZ</t>
        </is>
      </c>
      <c r="E5176" s="6" t="inlineStr">
        <is>
          <t>VZ</t>
        </is>
      </c>
      <c r="F5176" s="6" t="inlineStr">
        <is>
          <t>-</t>
        </is>
      </c>
      <c r="G5176" s="7" t="n">
        <v>50.61865615844727</v>
      </c>
      <c r="H5176" s="6">
        <f>P5145</f>
        <v/>
      </c>
      <c r="I5176" s="9">
        <f>Q5145</f>
        <v/>
      </c>
      <c r="J5176" s="7">
        <f>I5176*G5176</f>
        <v/>
      </c>
      <c r="K5176" s="8">
        <f>IF($J$5178=0,0,J5176/$J$5178)</f>
        <v/>
      </c>
      <c r="L5176" s="6" t="inlineStr">
        <is>
          <t>REJECTED</t>
        </is>
      </c>
      <c r="M5176" s="8" t="n">
        <v>0</v>
      </c>
      <c r="N5176" s="7">
        <f>M5176*$J$5178-J5176</f>
        <v/>
      </c>
      <c r="O5176" s="9">
        <f>IF(G5176=0,0,N5176/G5176)</f>
        <v/>
      </c>
      <c r="P5176" s="6">
        <f>IF(M5176&gt;0,D5176,"")</f>
        <v/>
      </c>
      <c r="Q5176" s="9">
        <f>I5176+O5176</f>
        <v/>
      </c>
      <c r="R5176" s="7">
        <f>Q5176*G5176</f>
        <v/>
      </c>
      <c r="S5176" s="8">
        <f>IF($R$5178=0,0,R5176/$R$5178)</f>
        <v/>
      </c>
      <c r="T5176" s="8" t="n">
        <v>-0.002814548345573709</v>
      </c>
      <c r="U5176" s="8" t="n">
        <v>-0.0185593417842661</v>
      </c>
      <c r="V5176" s="6" t="inlineStr">
        <is>
          <t>not selected</t>
        </is>
      </c>
    </row>
    <row r="5177">
      <c r="A5177" s="6" t="inlineStr">
        <is>
          <t>DJ30</t>
        </is>
      </c>
      <c r="B5177" s="6" t="inlineStr">
        <is>
          <t>2026-03-13</t>
        </is>
      </c>
      <c r="C5177" s="6" t="inlineStr">
        <is>
          <t>DIA</t>
        </is>
      </c>
      <c r="D5177" s="6" t="inlineStr">
        <is>
          <t>WMT</t>
        </is>
      </c>
      <c r="E5177" s="6" t="inlineStr">
        <is>
          <t>WMT</t>
        </is>
      </c>
      <c r="F5177" s="6" t="inlineStr">
        <is>
          <t>-</t>
        </is>
      </c>
      <c r="G5177" s="7" t="n">
        <v>126.020378112793</v>
      </c>
      <c r="H5177" s="6">
        <f>P5146</f>
        <v/>
      </c>
      <c r="I5177" s="9">
        <f>Q5146</f>
        <v/>
      </c>
      <c r="J5177" s="7">
        <f>I5177*G5177</f>
        <v/>
      </c>
      <c r="K5177" s="8">
        <f>IF($J$5178=0,0,J5177/$J$5178)</f>
        <v/>
      </c>
      <c r="L5177" s="6" t="inlineStr">
        <is>
          <t>WATCHLIST</t>
        </is>
      </c>
      <c r="M5177" s="8" t="n">
        <v>0</v>
      </c>
      <c r="N5177" s="7">
        <f>M5177*$J$5178-J5177</f>
        <v/>
      </c>
      <c r="O5177" s="9">
        <f>IF(G5177=0,0,N5177/G5177)</f>
        <v/>
      </c>
      <c r="P5177" s="6">
        <f>IF(M5177&gt;0,D5177,"")</f>
        <v/>
      </c>
      <c r="Q5177" s="9">
        <f>I5177+O5177</f>
        <v/>
      </c>
      <c r="R5177" s="7">
        <f>Q5177*G5177</f>
        <v/>
      </c>
      <c r="S5177" s="8">
        <f>IF($R$5178=0,0,R5177/$R$5178)</f>
        <v/>
      </c>
      <c r="T5177" s="8" t="n">
        <v>-0.002814548345573709</v>
      </c>
      <c r="U5177" s="8" t="n">
        <v>-0.0185593417842661</v>
      </c>
      <c r="V5177" s="6" t="inlineStr">
        <is>
          <t>not selected</t>
        </is>
      </c>
    </row>
    <row r="5178">
      <c r="A5178" s="10" t="inlineStr">
        <is>
          <t>DJ30</t>
        </is>
      </c>
      <c r="B5178" s="10" t="inlineStr">
        <is>
          <t>2026-03-13</t>
        </is>
      </c>
      <c r="C5178" s="10" t="inlineStr">
        <is>
          <t>DIA</t>
        </is>
      </c>
      <c r="D5178" s="10" t="inlineStr">
        <is>
          <t>Tot Portfolio</t>
        </is>
      </c>
      <c r="E5178" s="10" t="inlineStr"/>
      <c r="F5178" s="10" t="inlineStr"/>
      <c r="G5178" s="11" t="inlineStr"/>
      <c r="H5178" s="10" t="inlineStr"/>
      <c r="I5178" s="12" t="inlineStr"/>
      <c r="J5178" s="11">
        <f>SUM(J5148:J5177)</f>
        <v/>
      </c>
      <c r="K5178" s="13">
        <f>SUM(K5148:K5177)</f>
        <v/>
      </c>
      <c r="L5178" s="10" t="inlineStr">
        <is>
          <t>TOTAL</t>
        </is>
      </c>
      <c r="M5178" s="13">
        <f>SUM(M5148:M5177)</f>
        <v/>
      </c>
      <c r="N5178" s="11">
        <f>SUM(N5148:N5177)</f>
        <v/>
      </c>
      <c r="O5178" s="12">
        <f>SUM(O5148:O5177)</f>
        <v/>
      </c>
      <c r="P5178" s="10" t="inlineStr"/>
      <c r="Q5178" s="12" t="inlineStr"/>
      <c r="R5178" s="11">
        <f>SUM(R5148:R5177)</f>
        <v/>
      </c>
      <c r="S5178" s="13">
        <f>SUM(S5148:S5177)</f>
        <v/>
      </c>
      <c r="T5178" s="13" t="n">
        <v>-0.002814548345573709</v>
      </c>
      <c r="U5178" s="13" t="n">
        <v>-0.0185593417842661</v>
      </c>
      <c r="V5178" s="10" t="inlineStr"/>
    </row>
    <row r="5179">
      <c r="A5179" s="6" t="inlineStr">
        <is>
          <t>DJ30</t>
        </is>
      </c>
      <c r="B5179" s="6" t="inlineStr">
        <is>
          <t>2026-03-20</t>
        </is>
      </c>
      <c r="C5179" s="6" t="inlineStr">
        <is>
          <t>DIA</t>
        </is>
      </c>
      <c r="D5179" s="6" t="inlineStr">
        <is>
          <t>AAPL</t>
        </is>
      </c>
      <c r="E5179" s="6" t="inlineStr">
        <is>
          <t>AAPL</t>
        </is>
      </c>
      <c r="F5179" s="6" t="inlineStr">
        <is>
          <t>-</t>
        </is>
      </c>
      <c r="G5179" s="7" t="n">
        <v>247.761734008789</v>
      </c>
      <c r="H5179" s="6">
        <f>P5148</f>
        <v/>
      </c>
      <c r="I5179" s="9">
        <f>Q5148</f>
        <v/>
      </c>
      <c r="J5179" s="7">
        <f>I5179*G5179</f>
        <v/>
      </c>
      <c r="K5179" s="8">
        <f>IF($J$5209=0,0,J5179/$J$5209)</f>
        <v/>
      </c>
      <c r="L5179" s="6" t="inlineStr">
        <is>
          <t>WATCHLIST</t>
        </is>
      </c>
      <c r="M5179" s="8" t="n">
        <v>0</v>
      </c>
      <c r="N5179" s="7">
        <f>M5179*$J$5209-J5179</f>
        <v/>
      </c>
      <c r="O5179" s="9">
        <f>IF(G5179=0,0,N5179/G5179)</f>
        <v/>
      </c>
      <c r="P5179" s="6">
        <f>IF(M5179&gt;0,D5179,"")</f>
        <v/>
      </c>
      <c r="Q5179" s="9">
        <f>I5179+O5179</f>
        <v/>
      </c>
      <c r="R5179" s="7">
        <f>Q5179*G5179</f>
        <v/>
      </c>
      <c r="S5179" s="8">
        <f>IF($R$5209=0,0,R5179/$R$5209)</f>
        <v/>
      </c>
      <c r="T5179" s="8" t="n">
        <v>-0.01097629915669829</v>
      </c>
      <c r="U5179" s="8" t="n">
        <v>-0.02044347113908573</v>
      </c>
      <c r="V5179" s="6" t="inlineStr">
        <is>
          <t>not selected</t>
        </is>
      </c>
    </row>
    <row r="5180">
      <c r="A5180" s="6" t="inlineStr">
        <is>
          <t>DJ30</t>
        </is>
      </c>
      <c r="B5180" s="6" t="inlineStr">
        <is>
          <t>2026-03-20</t>
        </is>
      </c>
      <c r="C5180" s="6" t="inlineStr">
        <is>
          <t>DIA</t>
        </is>
      </c>
      <c r="D5180" s="6" t="inlineStr">
        <is>
          <t>AMGN</t>
        </is>
      </c>
      <c r="E5180" s="6" t="inlineStr">
        <is>
          <t>AMGN</t>
        </is>
      </c>
      <c r="F5180" s="6" t="inlineStr">
        <is>
          <t>-</t>
        </is>
      </c>
      <c r="G5180" s="7" t="n">
        <v>345.1932678222656</v>
      </c>
      <c r="H5180" s="6">
        <f>P5149</f>
        <v/>
      </c>
      <c r="I5180" s="9">
        <f>Q5149</f>
        <v/>
      </c>
      <c r="J5180" s="7">
        <f>I5180*G5180</f>
        <v/>
      </c>
      <c r="K5180" s="8">
        <f>IF($J$5209=0,0,J5180/$J$5209)</f>
        <v/>
      </c>
      <c r="L5180" s="6" t="inlineStr">
        <is>
          <t>WATCHLIST</t>
        </is>
      </c>
      <c r="M5180" s="8" t="n">
        <v>0</v>
      </c>
      <c r="N5180" s="7">
        <f>M5180*$J$5209-J5180</f>
        <v/>
      </c>
      <c r="O5180" s="9">
        <f>IF(G5180=0,0,N5180/G5180)</f>
        <v/>
      </c>
      <c r="P5180" s="6">
        <f>IF(M5180&gt;0,D5180,"")</f>
        <v/>
      </c>
      <c r="Q5180" s="9">
        <f>I5180+O5180</f>
        <v/>
      </c>
      <c r="R5180" s="7">
        <f>Q5180*G5180</f>
        <v/>
      </c>
      <c r="S5180" s="8">
        <f>IF($R$5209=0,0,R5180/$R$5209)</f>
        <v/>
      </c>
      <c r="T5180" s="8" t="n">
        <v>-0.01097629915669829</v>
      </c>
      <c r="U5180" s="8" t="n">
        <v>-0.02044347113908573</v>
      </c>
      <c r="V5180" s="6" t="inlineStr">
        <is>
          <t>not selected</t>
        </is>
      </c>
    </row>
    <row r="5181">
      <c r="A5181" s="6" t="inlineStr">
        <is>
          <t>DJ30</t>
        </is>
      </c>
      <c r="B5181" s="6" t="inlineStr">
        <is>
          <t>2026-03-20</t>
        </is>
      </c>
      <c r="C5181" s="6" t="inlineStr">
        <is>
          <t>DIA</t>
        </is>
      </c>
      <c r="D5181" s="6" t="inlineStr">
        <is>
          <t>AMZN</t>
        </is>
      </c>
      <c r="E5181" s="6" t="inlineStr">
        <is>
          <t>AMZN</t>
        </is>
      </c>
      <c r="F5181" s="6" t="inlineStr">
        <is>
          <t>-</t>
        </is>
      </c>
      <c r="G5181" s="7" t="n">
        <v>205.3699951171875</v>
      </c>
      <c r="H5181" s="6">
        <f>P5150</f>
        <v/>
      </c>
      <c r="I5181" s="9">
        <f>Q5150</f>
        <v/>
      </c>
      <c r="J5181" s="7">
        <f>I5181*G5181</f>
        <v/>
      </c>
      <c r="K5181" s="8">
        <f>IF($J$5209=0,0,J5181/$J$5209)</f>
        <v/>
      </c>
      <c r="L5181" s="6" t="inlineStr">
        <is>
          <t>REJECTED</t>
        </is>
      </c>
      <c r="M5181" s="8" t="n">
        <v>0</v>
      </c>
      <c r="N5181" s="7">
        <f>M5181*$J$5209-J5181</f>
        <v/>
      </c>
      <c r="O5181" s="9">
        <f>IF(G5181=0,0,N5181/G5181)</f>
        <v/>
      </c>
      <c r="P5181" s="6">
        <f>IF(M5181&gt;0,D5181,"")</f>
        <v/>
      </c>
      <c r="Q5181" s="9">
        <f>I5181+O5181</f>
        <v/>
      </c>
      <c r="R5181" s="7">
        <f>Q5181*G5181</f>
        <v/>
      </c>
      <c r="S5181" s="8">
        <f>IF($R$5209=0,0,R5181/$R$5209)</f>
        <v/>
      </c>
      <c r="T5181" s="8" t="n">
        <v>-0.01097629915669829</v>
      </c>
      <c r="U5181" s="8" t="n">
        <v>-0.02044347113908573</v>
      </c>
      <c r="V5181" s="6" t="inlineStr">
        <is>
          <t>not selected</t>
        </is>
      </c>
    </row>
    <row r="5182">
      <c r="A5182" s="6" t="inlineStr">
        <is>
          <t>DJ30</t>
        </is>
      </c>
      <c r="B5182" s="6" t="inlineStr">
        <is>
          <t>2026-03-20</t>
        </is>
      </c>
      <c r="C5182" s="6" t="inlineStr">
        <is>
          <t>DIA</t>
        </is>
      </c>
      <c r="D5182" s="6" t="inlineStr">
        <is>
          <t>AXP</t>
        </is>
      </c>
      <c r="E5182" s="6" t="inlineStr">
        <is>
          <t>AXP</t>
        </is>
      </c>
      <c r="F5182" s="6" t="inlineStr">
        <is>
          <t>-</t>
        </is>
      </c>
      <c r="G5182" s="7" t="n">
        <v>294.5687561035156</v>
      </c>
      <c r="H5182" s="6">
        <f>P5151</f>
        <v/>
      </c>
      <c r="I5182" s="9">
        <f>Q5151</f>
        <v/>
      </c>
      <c r="J5182" s="7">
        <f>I5182*G5182</f>
        <v/>
      </c>
      <c r="K5182" s="8">
        <f>IF($J$5209=0,0,J5182/$J$5209)</f>
        <v/>
      </c>
      <c r="L5182" s="6" t="inlineStr">
        <is>
          <t>WATCHLIST</t>
        </is>
      </c>
      <c r="M5182" s="8" t="n">
        <v>0</v>
      </c>
      <c r="N5182" s="7">
        <f>M5182*$J$5209-J5182</f>
        <v/>
      </c>
      <c r="O5182" s="9">
        <f>IF(G5182=0,0,N5182/G5182)</f>
        <v/>
      </c>
      <c r="P5182" s="6">
        <f>IF(M5182&gt;0,D5182,"")</f>
        <v/>
      </c>
      <c r="Q5182" s="9">
        <f>I5182+O5182</f>
        <v/>
      </c>
      <c r="R5182" s="7">
        <f>Q5182*G5182</f>
        <v/>
      </c>
      <c r="S5182" s="8">
        <f>IF($R$5209=0,0,R5182/$R$5209)</f>
        <v/>
      </c>
      <c r="T5182" s="8" t="n">
        <v>-0.01097629915669829</v>
      </c>
      <c r="U5182" s="8" t="n">
        <v>-0.02044347113908573</v>
      </c>
      <c r="V5182" s="6" t="inlineStr">
        <is>
          <t>not selected</t>
        </is>
      </c>
    </row>
    <row r="5183">
      <c r="A5183" s="6" t="inlineStr">
        <is>
          <t>DJ30</t>
        </is>
      </c>
      <c r="B5183" s="6" t="inlineStr">
        <is>
          <t>2026-03-20</t>
        </is>
      </c>
      <c r="C5183" s="6" t="inlineStr">
        <is>
          <t>DIA</t>
        </is>
      </c>
      <c r="D5183" s="6" t="inlineStr">
        <is>
          <t>BA</t>
        </is>
      </c>
      <c r="E5183" s="6" t="inlineStr">
        <is>
          <t>BA</t>
        </is>
      </c>
      <c r="F5183" s="6" t="inlineStr">
        <is>
          <t>-</t>
        </is>
      </c>
      <c r="G5183" s="7" t="n">
        <v>195.1199951171875</v>
      </c>
      <c r="H5183" s="6">
        <f>P5152</f>
        <v/>
      </c>
      <c r="I5183" s="9">
        <f>Q5152</f>
        <v/>
      </c>
      <c r="J5183" s="7">
        <f>I5183*G5183</f>
        <v/>
      </c>
      <c r="K5183" s="8">
        <f>IF($J$5209=0,0,J5183/$J$5209)</f>
        <v/>
      </c>
      <c r="L5183" s="6" t="inlineStr">
        <is>
          <t>REJECTED</t>
        </is>
      </c>
      <c r="M5183" s="8" t="n">
        <v>0</v>
      </c>
      <c r="N5183" s="7">
        <f>M5183*$J$5209-J5183</f>
        <v/>
      </c>
      <c r="O5183" s="9">
        <f>IF(G5183=0,0,N5183/G5183)</f>
        <v/>
      </c>
      <c r="P5183" s="6">
        <f>IF(M5183&gt;0,D5183,"")</f>
        <v/>
      </c>
      <c r="Q5183" s="9">
        <f>I5183+O5183</f>
        <v/>
      </c>
      <c r="R5183" s="7">
        <f>Q5183*G5183</f>
        <v/>
      </c>
      <c r="S5183" s="8">
        <f>IF($R$5209=0,0,R5183/$R$5209)</f>
        <v/>
      </c>
      <c r="T5183" s="8" t="n">
        <v>-0.01097629915669829</v>
      </c>
      <c r="U5183" s="8" t="n">
        <v>-0.02044347113908573</v>
      </c>
      <c r="V5183" s="6" t="inlineStr">
        <is>
          <t>not selected</t>
        </is>
      </c>
    </row>
    <row r="5184">
      <c r="A5184" s="6" t="inlineStr">
        <is>
          <t>DJ30</t>
        </is>
      </c>
      <c r="B5184" s="6" t="inlineStr">
        <is>
          <t>2026-03-20</t>
        </is>
      </c>
      <c r="C5184" s="6" t="inlineStr">
        <is>
          <t>DIA</t>
        </is>
      </c>
      <c r="D5184" s="6" t="inlineStr">
        <is>
          <t>CAT</t>
        </is>
      </c>
      <c r="E5184" s="6" t="inlineStr">
        <is>
          <t>CAT</t>
        </is>
      </c>
      <c r="F5184" s="6" t="inlineStr">
        <is>
          <t>-</t>
        </is>
      </c>
      <c r="G5184" s="7" t="n">
        <v>679.586181640625</v>
      </c>
      <c r="H5184" s="6">
        <f>P5153</f>
        <v/>
      </c>
      <c r="I5184" s="9">
        <f>Q5153</f>
        <v/>
      </c>
      <c r="J5184" s="7">
        <f>I5184*G5184</f>
        <v/>
      </c>
      <c r="K5184" s="8">
        <f>IF($J$5209=0,0,J5184/$J$5209)</f>
        <v/>
      </c>
      <c r="L5184" s="6" t="inlineStr">
        <is>
          <t>SELECTED</t>
        </is>
      </c>
      <c r="M5184" s="8" t="n">
        <v>0.2</v>
      </c>
      <c r="N5184" s="7">
        <f>M5184*$J$5209-J5184</f>
        <v/>
      </c>
      <c r="O5184" s="9">
        <f>IF(G5184=0,0,N5184/G5184)</f>
        <v/>
      </c>
      <c r="P5184" s="6">
        <f>IF(M5184&gt;0,D5184,"")</f>
        <v/>
      </c>
      <c r="Q5184" s="9">
        <f>I5184+O5184</f>
        <v/>
      </c>
      <c r="R5184" s="7">
        <f>Q5184*G5184</f>
        <v/>
      </c>
      <c r="S5184" s="8">
        <f>IF($R$5209=0,0,R5184/$R$5209)</f>
        <v/>
      </c>
      <c r="T5184" s="8" t="n">
        <v>-0.01097629915669829</v>
      </c>
      <c r="U5184" s="8" t="n">
        <v>-0.02044347113908573</v>
      </c>
      <c r="V5184" s="6" t="inlineStr">
        <is>
          <t>remained in weekly selection</t>
        </is>
      </c>
    </row>
    <row r="5185">
      <c r="A5185" s="6" t="inlineStr">
        <is>
          <t>DJ30</t>
        </is>
      </c>
      <c r="B5185" s="6" t="inlineStr">
        <is>
          <t>2026-03-20</t>
        </is>
      </c>
      <c r="C5185" s="6" t="inlineStr">
        <is>
          <t>DIA</t>
        </is>
      </c>
      <c r="D5185" s="6" t="inlineStr">
        <is>
          <t>CRM</t>
        </is>
      </c>
      <c r="E5185" s="6" t="inlineStr">
        <is>
          <t>CRM</t>
        </is>
      </c>
      <c r="F5185" s="6" t="inlineStr">
        <is>
          <t>-</t>
        </is>
      </c>
      <c r="G5185" s="7" t="n">
        <v>194.390853881836</v>
      </c>
      <c r="H5185" s="6">
        <f>P5154</f>
        <v/>
      </c>
      <c r="I5185" s="9">
        <f>Q5154</f>
        <v/>
      </c>
      <c r="J5185" s="7">
        <f>I5185*G5185</f>
        <v/>
      </c>
      <c r="K5185" s="8">
        <f>IF($J$5209=0,0,J5185/$J$5209)</f>
        <v/>
      </c>
      <c r="L5185" s="6" t="inlineStr">
        <is>
          <t>REJECTED</t>
        </is>
      </c>
      <c r="M5185" s="8" t="n">
        <v>0</v>
      </c>
      <c r="N5185" s="7">
        <f>M5185*$J$5209-J5185</f>
        <v/>
      </c>
      <c r="O5185" s="9">
        <f>IF(G5185=0,0,N5185/G5185)</f>
        <v/>
      </c>
      <c r="P5185" s="6">
        <f>IF(M5185&gt;0,D5185,"")</f>
        <v/>
      </c>
      <c r="Q5185" s="9">
        <f>I5185+O5185</f>
        <v/>
      </c>
      <c r="R5185" s="7">
        <f>Q5185*G5185</f>
        <v/>
      </c>
      <c r="S5185" s="8">
        <f>IF($R$5209=0,0,R5185/$R$5209)</f>
        <v/>
      </c>
      <c r="T5185" s="8" t="n">
        <v>-0.01097629915669829</v>
      </c>
      <c r="U5185" s="8" t="n">
        <v>-0.02044347113908573</v>
      </c>
      <c r="V5185" s="6" t="inlineStr">
        <is>
          <t>not selected</t>
        </is>
      </c>
    </row>
    <row r="5186">
      <c r="A5186" s="6" t="inlineStr">
        <is>
          <t>DJ30</t>
        </is>
      </c>
      <c r="B5186" s="6" t="inlineStr">
        <is>
          <t>2026-03-20</t>
        </is>
      </c>
      <c r="C5186" s="6" t="inlineStr">
        <is>
          <t>DIA</t>
        </is>
      </c>
      <c r="D5186" s="6" t="inlineStr">
        <is>
          <t>CSCO</t>
        </is>
      </c>
      <c r="E5186" s="6" t="inlineStr">
        <is>
          <t>CSCO</t>
        </is>
      </c>
      <c r="F5186" s="6" t="inlineStr">
        <is>
          <t>-</t>
        </is>
      </c>
      <c r="G5186" s="7" t="n">
        <v>77.23151397705078</v>
      </c>
      <c r="H5186" s="6">
        <f>P5155</f>
        <v/>
      </c>
      <c r="I5186" s="9">
        <f>Q5155</f>
        <v/>
      </c>
      <c r="J5186" s="7">
        <f>I5186*G5186</f>
        <v/>
      </c>
      <c r="K5186" s="8">
        <f>IF($J$5209=0,0,J5186/$J$5209)</f>
        <v/>
      </c>
      <c r="L5186" s="6" t="inlineStr">
        <is>
          <t>SELECTED</t>
        </is>
      </c>
      <c r="M5186" s="8" t="n">
        <v>0.2</v>
      </c>
      <c r="N5186" s="7">
        <f>M5186*$J$5209-J5186</f>
        <v/>
      </c>
      <c r="O5186" s="9">
        <f>IF(G5186=0,0,N5186/G5186)</f>
        <v/>
      </c>
      <c r="P5186" s="6">
        <f>IF(M5186&gt;0,D5186,"")</f>
        <v/>
      </c>
      <c r="Q5186" s="9">
        <f>I5186+O5186</f>
        <v/>
      </c>
      <c r="R5186" s="7">
        <f>Q5186*G5186</f>
        <v/>
      </c>
      <c r="S5186" s="8">
        <f>IF($R$5209=0,0,R5186/$R$5209)</f>
        <v/>
      </c>
      <c r="T5186" s="8" t="n">
        <v>-0.01097629915669829</v>
      </c>
      <c r="U5186" s="8" t="n">
        <v>-0.02044347113908573</v>
      </c>
      <c r="V5186" s="6" t="inlineStr">
        <is>
          <t>remained in weekly selection</t>
        </is>
      </c>
    </row>
    <row r="5187">
      <c r="A5187" s="6" t="inlineStr">
        <is>
          <t>DJ30</t>
        </is>
      </c>
      <c r="B5187" s="6" t="inlineStr">
        <is>
          <t>2026-03-20</t>
        </is>
      </c>
      <c r="C5187" s="6" t="inlineStr">
        <is>
          <t>DIA</t>
        </is>
      </c>
      <c r="D5187" s="6" t="inlineStr">
        <is>
          <t>CVX</t>
        </is>
      </c>
      <c r="E5187" s="6" t="inlineStr">
        <is>
          <t>CVX</t>
        </is>
      </c>
      <c r="F5187" s="6" t="inlineStr">
        <is>
          <t>-</t>
        </is>
      </c>
      <c r="G5187" s="7" t="n">
        <v>199.8990783691407</v>
      </c>
      <c r="H5187" s="6">
        <f>P5156</f>
        <v/>
      </c>
      <c r="I5187" s="9">
        <f>Q5156</f>
        <v/>
      </c>
      <c r="J5187" s="7">
        <f>I5187*G5187</f>
        <v/>
      </c>
      <c r="K5187" s="8">
        <f>IF($J$5209=0,0,J5187/$J$5209)</f>
        <v/>
      </c>
      <c r="L5187" s="6" t="inlineStr">
        <is>
          <t>WATCHLIST</t>
        </is>
      </c>
      <c r="M5187" s="8" t="n">
        <v>0</v>
      </c>
      <c r="N5187" s="7">
        <f>M5187*$J$5209-J5187</f>
        <v/>
      </c>
      <c r="O5187" s="9">
        <f>IF(G5187=0,0,N5187/G5187)</f>
        <v/>
      </c>
      <c r="P5187" s="6">
        <f>IF(M5187&gt;0,D5187,"")</f>
        <v/>
      </c>
      <c r="Q5187" s="9">
        <f>I5187+O5187</f>
        <v/>
      </c>
      <c r="R5187" s="7">
        <f>Q5187*G5187</f>
        <v/>
      </c>
      <c r="S5187" s="8">
        <f>IF($R$5209=0,0,R5187/$R$5209)</f>
        <v/>
      </c>
      <c r="T5187" s="8" t="n">
        <v>-0.01097629915669829</v>
      </c>
      <c r="U5187" s="8" t="n">
        <v>-0.02044347113908573</v>
      </c>
      <c r="V5187" s="6" t="inlineStr">
        <is>
          <t>not selected</t>
        </is>
      </c>
    </row>
    <row r="5188">
      <c r="A5188" s="6" t="inlineStr">
        <is>
          <t>DJ30</t>
        </is>
      </c>
      <c r="B5188" s="6" t="inlineStr">
        <is>
          <t>2026-03-20</t>
        </is>
      </c>
      <c r="C5188" s="6" t="inlineStr">
        <is>
          <t>DIA</t>
        </is>
      </c>
      <c r="D5188" s="6" t="inlineStr">
        <is>
          <t>DIS</t>
        </is>
      </c>
      <c r="E5188" s="6" t="inlineStr">
        <is>
          <t>DIS</t>
        </is>
      </c>
      <c r="F5188" s="6" t="inlineStr">
        <is>
          <t>-</t>
        </is>
      </c>
      <c r="G5188" s="7" t="n">
        <v>99.51000213623048</v>
      </c>
      <c r="H5188" s="6">
        <f>P5157</f>
        <v/>
      </c>
      <c r="I5188" s="9">
        <f>Q5157</f>
        <v/>
      </c>
      <c r="J5188" s="7">
        <f>I5188*G5188</f>
        <v/>
      </c>
      <c r="K5188" s="8">
        <f>IF($J$5209=0,0,J5188/$J$5209)</f>
        <v/>
      </c>
      <c r="L5188" s="6" t="inlineStr">
        <is>
          <t>REJECTED</t>
        </is>
      </c>
      <c r="M5188" s="8" t="n">
        <v>0</v>
      </c>
      <c r="N5188" s="7">
        <f>M5188*$J$5209-J5188</f>
        <v/>
      </c>
      <c r="O5188" s="9">
        <f>IF(G5188=0,0,N5188/G5188)</f>
        <v/>
      </c>
      <c r="P5188" s="6">
        <f>IF(M5188&gt;0,D5188,"")</f>
        <v/>
      </c>
      <c r="Q5188" s="9">
        <f>I5188+O5188</f>
        <v/>
      </c>
      <c r="R5188" s="7">
        <f>Q5188*G5188</f>
        <v/>
      </c>
      <c r="S5188" s="8">
        <f>IF($R$5209=0,0,R5188/$R$5209)</f>
        <v/>
      </c>
      <c r="T5188" s="8" t="n">
        <v>-0.01097629915669829</v>
      </c>
      <c r="U5188" s="8" t="n">
        <v>-0.02044347113908573</v>
      </c>
      <c r="V5188" s="6" t="inlineStr">
        <is>
          <t>not selected</t>
        </is>
      </c>
    </row>
    <row r="5189">
      <c r="A5189" s="6" t="inlineStr">
        <is>
          <t>DJ30</t>
        </is>
      </c>
      <c r="B5189" s="6" t="inlineStr">
        <is>
          <t>2026-03-20</t>
        </is>
      </c>
      <c r="C5189" s="6" t="inlineStr">
        <is>
          <t>DIA</t>
        </is>
      </c>
      <c r="D5189" s="6" t="inlineStr">
        <is>
          <t>GS</t>
        </is>
      </c>
      <c r="E5189" s="6" t="inlineStr">
        <is>
          <t>GS</t>
        </is>
      </c>
      <c r="F5189" s="6" t="inlineStr">
        <is>
          <t>-</t>
        </is>
      </c>
      <c r="G5189" s="7" t="n">
        <v>809.9603881835938</v>
      </c>
      <c r="H5189" s="6">
        <f>P5158</f>
        <v/>
      </c>
      <c r="I5189" s="9">
        <f>Q5158</f>
        <v/>
      </c>
      <c r="J5189" s="7">
        <f>I5189*G5189</f>
        <v/>
      </c>
      <c r="K5189" s="8">
        <f>IF($J$5209=0,0,J5189/$J$5209)</f>
        <v/>
      </c>
      <c r="L5189" s="6" t="inlineStr">
        <is>
          <t>SELECTED</t>
        </is>
      </c>
      <c r="M5189" s="8" t="n">
        <v>0.2</v>
      </c>
      <c r="N5189" s="7">
        <f>M5189*$J$5209-J5189</f>
        <v/>
      </c>
      <c r="O5189" s="9">
        <f>IF(G5189=0,0,N5189/G5189)</f>
        <v/>
      </c>
      <c r="P5189" s="6">
        <f>IF(M5189&gt;0,D5189,"")</f>
        <v/>
      </c>
      <c r="Q5189" s="9">
        <f>I5189+O5189</f>
        <v/>
      </c>
      <c r="R5189" s="7">
        <f>Q5189*G5189</f>
        <v/>
      </c>
      <c r="S5189" s="8">
        <f>IF($R$5209=0,0,R5189/$R$5209)</f>
        <v/>
      </c>
      <c r="T5189" s="8" t="n">
        <v>-0.01097629915669829</v>
      </c>
      <c r="U5189" s="8" t="n">
        <v>-0.02044347113908573</v>
      </c>
      <c r="V5189" s="6" t="inlineStr">
        <is>
          <t>remained in weekly selection</t>
        </is>
      </c>
    </row>
    <row r="5190">
      <c r="A5190" s="6" t="inlineStr">
        <is>
          <t>DJ30</t>
        </is>
      </c>
      <c r="B5190" s="6" t="inlineStr">
        <is>
          <t>2026-03-20</t>
        </is>
      </c>
      <c r="C5190" s="6" t="inlineStr">
        <is>
          <t>DIA</t>
        </is>
      </c>
      <c r="D5190" s="6" t="inlineStr">
        <is>
          <t>HD</t>
        </is>
      </c>
      <c r="E5190" s="6" t="inlineStr">
        <is>
          <t>HD</t>
        </is>
      </c>
      <c r="F5190" s="6" t="inlineStr">
        <is>
          <t>-</t>
        </is>
      </c>
      <c r="G5190" s="7" t="n">
        <v>318.3620910644531</v>
      </c>
      <c r="H5190" s="6">
        <f>P5159</f>
        <v/>
      </c>
      <c r="I5190" s="9">
        <f>Q5159</f>
        <v/>
      </c>
      <c r="J5190" s="7">
        <f>I5190*G5190</f>
        <v/>
      </c>
      <c r="K5190" s="8">
        <f>IF($J$5209=0,0,J5190/$J$5209)</f>
        <v/>
      </c>
      <c r="L5190" s="6" t="inlineStr">
        <is>
          <t>REJECTED</t>
        </is>
      </c>
      <c r="M5190" s="8" t="n">
        <v>0</v>
      </c>
      <c r="N5190" s="7">
        <f>M5190*$J$5209-J5190</f>
        <v/>
      </c>
      <c r="O5190" s="9">
        <f>IF(G5190=0,0,N5190/G5190)</f>
        <v/>
      </c>
      <c r="P5190" s="6">
        <f>IF(M5190&gt;0,D5190,"")</f>
        <v/>
      </c>
      <c r="Q5190" s="9">
        <f>I5190+O5190</f>
        <v/>
      </c>
      <c r="R5190" s="7">
        <f>Q5190*G5190</f>
        <v/>
      </c>
      <c r="S5190" s="8">
        <f>IF($R$5209=0,0,R5190/$R$5209)</f>
        <v/>
      </c>
      <c r="T5190" s="8" t="n">
        <v>-0.01097629915669829</v>
      </c>
      <c r="U5190" s="8" t="n">
        <v>-0.02044347113908573</v>
      </c>
      <c r="V5190" s="6" t="inlineStr">
        <is>
          <t>not selected</t>
        </is>
      </c>
    </row>
    <row r="5191">
      <c r="A5191" s="6" t="inlineStr">
        <is>
          <t>DJ30</t>
        </is>
      </c>
      <c r="B5191" s="6" t="inlineStr">
        <is>
          <t>2026-03-20</t>
        </is>
      </c>
      <c r="C5191" s="6" t="inlineStr">
        <is>
          <t>DIA</t>
        </is>
      </c>
      <c r="D5191" s="6" t="inlineStr">
        <is>
          <t>HON</t>
        </is>
      </c>
      <c r="E5191" s="6" t="inlineStr">
        <is>
          <t>HON</t>
        </is>
      </c>
      <c r="F5191" s="6" t="inlineStr">
        <is>
          <t>-</t>
        </is>
      </c>
      <c r="G5191" s="7" t="n">
        <v>220.2893371582031</v>
      </c>
      <c r="H5191" s="6">
        <f>P5160</f>
        <v/>
      </c>
      <c r="I5191" s="9">
        <f>Q5160</f>
        <v/>
      </c>
      <c r="J5191" s="7">
        <f>I5191*G5191</f>
        <v/>
      </c>
      <c r="K5191" s="8">
        <f>IF($J$5209=0,0,J5191/$J$5209)</f>
        <v/>
      </c>
      <c r="L5191" s="6" t="inlineStr">
        <is>
          <t>REJECTED</t>
        </is>
      </c>
      <c r="M5191" s="8" t="n">
        <v>0</v>
      </c>
      <c r="N5191" s="7">
        <f>M5191*$J$5209-J5191</f>
        <v/>
      </c>
      <c r="O5191" s="9">
        <f>IF(G5191=0,0,N5191/G5191)</f>
        <v/>
      </c>
      <c r="P5191" s="6">
        <f>IF(M5191&gt;0,D5191,"")</f>
        <v/>
      </c>
      <c r="Q5191" s="9">
        <f>I5191+O5191</f>
        <v/>
      </c>
      <c r="R5191" s="7">
        <f>Q5191*G5191</f>
        <v/>
      </c>
      <c r="S5191" s="8">
        <f>IF($R$5209=0,0,R5191/$R$5209)</f>
        <v/>
      </c>
      <c r="T5191" s="8" t="n">
        <v>-0.01097629915669829</v>
      </c>
      <c r="U5191" s="8" t="n">
        <v>-0.02044347113908573</v>
      </c>
      <c r="V5191" s="6" t="inlineStr">
        <is>
          <t>not selected</t>
        </is>
      </c>
    </row>
    <row r="5192">
      <c r="A5192" s="6" t="inlineStr">
        <is>
          <t>DJ30</t>
        </is>
      </c>
      <c r="B5192" s="6" t="inlineStr">
        <is>
          <t>2026-03-20</t>
        </is>
      </c>
      <c r="C5192" s="6" t="inlineStr">
        <is>
          <t>DIA</t>
        </is>
      </c>
      <c r="D5192" s="6" t="inlineStr">
        <is>
          <t>IBM</t>
        </is>
      </c>
      <c r="E5192" s="6" t="inlineStr">
        <is>
          <t>IBM</t>
        </is>
      </c>
      <c r="F5192" s="6" t="inlineStr">
        <is>
          <t>-</t>
        </is>
      </c>
      <c r="G5192" s="7" t="n">
        <v>240.0035858154297</v>
      </c>
      <c r="H5192" s="6">
        <f>P5161</f>
        <v/>
      </c>
      <c r="I5192" s="9">
        <f>Q5161</f>
        <v/>
      </c>
      <c r="J5192" s="7">
        <f>I5192*G5192</f>
        <v/>
      </c>
      <c r="K5192" s="8">
        <f>IF($J$5209=0,0,J5192/$J$5209)</f>
        <v/>
      </c>
      <c r="L5192" s="6" t="inlineStr">
        <is>
          <t>REJECTED</t>
        </is>
      </c>
      <c r="M5192" s="8" t="n">
        <v>0</v>
      </c>
      <c r="N5192" s="7">
        <f>M5192*$J$5209-J5192</f>
        <v/>
      </c>
      <c r="O5192" s="9">
        <f>IF(G5192=0,0,N5192/G5192)</f>
        <v/>
      </c>
      <c r="P5192" s="6">
        <f>IF(M5192&gt;0,D5192,"")</f>
        <v/>
      </c>
      <c r="Q5192" s="9">
        <f>I5192+O5192</f>
        <v/>
      </c>
      <c r="R5192" s="7">
        <f>Q5192*G5192</f>
        <v/>
      </c>
      <c r="S5192" s="8">
        <f>IF($R$5209=0,0,R5192/$R$5209)</f>
        <v/>
      </c>
      <c r="T5192" s="8" t="n">
        <v>-0.01097629915669829</v>
      </c>
      <c r="U5192" s="8" t="n">
        <v>-0.02044347113908573</v>
      </c>
      <c r="V5192" s="6" t="inlineStr">
        <is>
          <t>not selected</t>
        </is>
      </c>
    </row>
    <row r="5193">
      <c r="A5193" s="6" t="inlineStr">
        <is>
          <t>DJ30</t>
        </is>
      </c>
      <c r="B5193" s="6" t="inlineStr">
        <is>
          <t>2026-03-20</t>
        </is>
      </c>
      <c r="C5193" s="6" t="inlineStr">
        <is>
          <t>DIA</t>
        </is>
      </c>
      <c r="D5193" s="6" t="inlineStr">
        <is>
          <t>JNJ</t>
        </is>
      </c>
      <c r="E5193" s="6" t="inlineStr">
        <is>
          <t>JNJ</t>
        </is>
      </c>
      <c r="F5193" s="6" t="inlineStr">
        <is>
          <t>-</t>
        </is>
      </c>
      <c r="G5193" s="7" t="n">
        <v>234.0241088867188</v>
      </c>
      <c r="H5193" s="6">
        <f>P5162</f>
        <v/>
      </c>
      <c r="I5193" s="9">
        <f>Q5162</f>
        <v/>
      </c>
      <c r="J5193" s="7">
        <f>I5193*G5193</f>
        <v/>
      </c>
      <c r="K5193" s="8">
        <f>IF($J$5209=0,0,J5193/$J$5209)</f>
        <v/>
      </c>
      <c r="L5193" s="6" t="inlineStr">
        <is>
          <t>SELECTED</t>
        </is>
      </c>
      <c r="M5193" s="8" t="n">
        <v>0.2</v>
      </c>
      <c r="N5193" s="7">
        <f>M5193*$J$5209-J5193</f>
        <v/>
      </c>
      <c r="O5193" s="9">
        <f>IF(G5193=0,0,N5193/G5193)</f>
        <v/>
      </c>
      <c r="P5193" s="6">
        <f>IF(M5193&gt;0,D5193,"")</f>
        <v/>
      </c>
      <c r="Q5193" s="9">
        <f>I5193+O5193</f>
        <v/>
      </c>
      <c r="R5193" s="7">
        <f>Q5193*G5193</f>
        <v/>
      </c>
      <c r="S5193" s="8">
        <f>IF($R$5209=0,0,R5193/$R$5209)</f>
        <v/>
      </c>
      <c r="T5193" s="8" t="n">
        <v>-0.01097629915669829</v>
      </c>
      <c r="U5193" s="8" t="n">
        <v>-0.02044347113908573</v>
      </c>
      <c r="V5193" s="6" t="inlineStr">
        <is>
          <t>remained in weekly selection</t>
        </is>
      </c>
    </row>
    <row r="5194">
      <c r="A5194" s="6" t="inlineStr">
        <is>
          <t>DJ30</t>
        </is>
      </c>
      <c r="B5194" s="6" t="inlineStr">
        <is>
          <t>2026-03-20</t>
        </is>
      </c>
      <c r="C5194" s="6" t="inlineStr">
        <is>
          <t>DIA</t>
        </is>
      </c>
      <c r="D5194" s="6" t="inlineStr">
        <is>
          <t>JPM</t>
        </is>
      </c>
      <c r="E5194" s="6" t="inlineStr">
        <is>
          <t>JPM</t>
        </is>
      </c>
      <c r="F5194" s="6" t="inlineStr">
        <is>
          <t>-</t>
        </is>
      </c>
      <c r="G5194" s="7" t="n">
        <v>285.1009216308594</v>
      </c>
      <c r="H5194" s="6">
        <f>P5163</f>
        <v/>
      </c>
      <c r="I5194" s="9">
        <f>Q5163</f>
        <v/>
      </c>
      <c r="J5194" s="7">
        <f>I5194*G5194</f>
        <v/>
      </c>
      <c r="K5194" s="8">
        <f>IF($J$5209=0,0,J5194/$J$5209)</f>
        <v/>
      </c>
      <c r="L5194" s="6" t="inlineStr">
        <is>
          <t>WATCHLIST</t>
        </is>
      </c>
      <c r="M5194" s="8" t="n">
        <v>0</v>
      </c>
      <c r="N5194" s="7">
        <f>M5194*$J$5209-J5194</f>
        <v/>
      </c>
      <c r="O5194" s="9">
        <f>IF(G5194=0,0,N5194/G5194)</f>
        <v/>
      </c>
      <c r="P5194" s="6">
        <f>IF(M5194&gt;0,D5194,"")</f>
        <v/>
      </c>
      <c r="Q5194" s="9">
        <f>I5194+O5194</f>
        <v/>
      </c>
      <c r="R5194" s="7">
        <f>Q5194*G5194</f>
        <v/>
      </c>
      <c r="S5194" s="8">
        <f>IF($R$5209=0,0,R5194/$R$5209)</f>
        <v/>
      </c>
      <c r="T5194" s="8" t="n">
        <v>-0.01097629915669829</v>
      </c>
      <c r="U5194" s="8" t="n">
        <v>-0.02044347113908573</v>
      </c>
      <c r="V5194" s="6" t="inlineStr">
        <is>
          <t>not selected</t>
        </is>
      </c>
    </row>
    <row r="5195">
      <c r="A5195" s="6" t="inlineStr">
        <is>
          <t>DJ30</t>
        </is>
      </c>
      <c r="B5195" s="6" t="inlineStr">
        <is>
          <t>2026-03-20</t>
        </is>
      </c>
      <c r="C5195" s="6" t="inlineStr">
        <is>
          <t>DIA</t>
        </is>
      </c>
      <c r="D5195" s="6" t="inlineStr">
        <is>
          <t>KO</t>
        </is>
      </c>
      <c r="E5195" s="6" t="inlineStr">
        <is>
          <t>KO</t>
        </is>
      </c>
      <c r="F5195" s="6" t="inlineStr">
        <is>
          <t>-</t>
        </is>
      </c>
      <c r="G5195" s="7" t="n">
        <v>74.27048492431641</v>
      </c>
      <c r="H5195" s="6">
        <f>P5164</f>
        <v/>
      </c>
      <c r="I5195" s="9">
        <f>Q5164</f>
        <v/>
      </c>
      <c r="J5195" s="7">
        <f>I5195*G5195</f>
        <v/>
      </c>
      <c r="K5195" s="8">
        <f>IF($J$5209=0,0,J5195/$J$5209)</f>
        <v/>
      </c>
      <c r="L5195" s="6" t="inlineStr">
        <is>
          <t>WATCHLIST</t>
        </is>
      </c>
      <c r="M5195" s="8" t="n">
        <v>0</v>
      </c>
      <c r="N5195" s="7">
        <f>M5195*$J$5209-J5195</f>
        <v/>
      </c>
      <c r="O5195" s="9">
        <f>IF(G5195=0,0,N5195/G5195)</f>
        <v/>
      </c>
      <c r="P5195" s="6">
        <f>IF(M5195&gt;0,D5195,"")</f>
        <v/>
      </c>
      <c r="Q5195" s="9">
        <f>I5195+O5195</f>
        <v/>
      </c>
      <c r="R5195" s="7">
        <f>Q5195*G5195</f>
        <v/>
      </c>
      <c r="S5195" s="8">
        <f>IF($R$5209=0,0,R5195/$R$5209)</f>
        <v/>
      </c>
      <c r="T5195" s="8" t="n">
        <v>-0.01097629915669829</v>
      </c>
      <c r="U5195" s="8" t="n">
        <v>-0.02044347113908573</v>
      </c>
      <c r="V5195" s="6" t="inlineStr">
        <is>
          <t>not selected</t>
        </is>
      </c>
    </row>
    <row r="5196">
      <c r="A5196" s="6" t="inlineStr">
        <is>
          <t>DJ30</t>
        </is>
      </c>
      <c r="B5196" s="6" t="inlineStr">
        <is>
          <t>2026-03-20</t>
        </is>
      </c>
      <c r="C5196" s="6" t="inlineStr">
        <is>
          <t>DIA</t>
        </is>
      </c>
      <c r="D5196" s="6" t="inlineStr">
        <is>
          <t>MCD</t>
        </is>
      </c>
      <c r="E5196" s="6" t="inlineStr">
        <is>
          <t>MCD</t>
        </is>
      </c>
      <c r="F5196" s="6" t="inlineStr">
        <is>
          <t>-</t>
        </is>
      </c>
      <c r="G5196" s="7" t="n">
        <v>306.7694396972656</v>
      </c>
      <c r="H5196" s="6">
        <f>P5165</f>
        <v/>
      </c>
      <c r="I5196" s="9">
        <f>Q5165</f>
        <v/>
      </c>
      <c r="J5196" s="7">
        <f>I5196*G5196</f>
        <v/>
      </c>
      <c r="K5196" s="8">
        <f>IF($J$5209=0,0,J5196/$J$5209)</f>
        <v/>
      </c>
      <c r="L5196" s="6" t="inlineStr">
        <is>
          <t>WATCHLIST</t>
        </is>
      </c>
      <c r="M5196" s="8" t="n">
        <v>0</v>
      </c>
      <c r="N5196" s="7">
        <f>M5196*$J$5209-J5196</f>
        <v/>
      </c>
      <c r="O5196" s="9">
        <f>IF(G5196=0,0,N5196/G5196)</f>
        <v/>
      </c>
      <c r="P5196" s="6">
        <f>IF(M5196&gt;0,D5196,"")</f>
        <v/>
      </c>
      <c r="Q5196" s="9">
        <f>I5196+O5196</f>
        <v/>
      </c>
      <c r="R5196" s="7">
        <f>Q5196*G5196</f>
        <v/>
      </c>
      <c r="S5196" s="8">
        <f>IF($R$5209=0,0,R5196/$R$5209)</f>
        <v/>
      </c>
      <c r="T5196" s="8" t="n">
        <v>-0.01097629915669829</v>
      </c>
      <c r="U5196" s="8" t="n">
        <v>-0.02044347113908573</v>
      </c>
      <c r="V5196" s="6" t="inlineStr">
        <is>
          <t>not selected</t>
        </is>
      </c>
    </row>
    <row r="5197">
      <c r="A5197" s="6" t="inlineStr">
        <is>
          <t>DJ30</t>
        </is>
      </c>
      <c r="B5197" s="6" t="inlineStr">
        <is>
          <t>2026-03-20</t>
        </is>
      </c>
      <c r="C5197" s="6" t="inlineStr">
        <is>
          <t>DIA</t>
        </is>
      </c>
      <c r="D5197" s="6" t="inlineStr">
        <is>
          <t>MMM</t>
        </is>
      </c>
      <c r="E5197" s="6" t="inlineStr">
        <is>
          <t>MMM</t>
        </is>
      </c>
      <c r="F5197" s="6" t="inlineStr">
        <is>
          <t>-</t>
        </is>
      </c>
      <c r="G5197" s="7" t="n">
        <v>140.4735107421875</v>
      </c>
      <c r="H5197" s="6">
        <f>P5166</f>
        <v/>
      </c>
      <c r="I5197" s="9">
        <f>Q5166</f>
        <v/>
      </c>
      <c r="J5197" s="7">
        <f>I5197*G5197</f>
        <v/>
      </c>
      <c r="K5197" s="8">
        <f>IF($J$5209=0,0,J5197/$J$5209)</f>
        <v/>
      </c>
      <c r="L5197" s="6" t="inlineStr">
        <is>
          <t>WATCHLIST</t>
        </is>
      </c>
      <c r="M5197" s="8" t="n">
        <v>0</v>
      </c>
      <c r="N5197" s="7">
        <f>M5197*$J$5209-J5197</f>
        <v/>
      </c>
      <c r="O5197" s="9">
        <f>IF(G5197=0,0,N5197/G5197)</f>
        <v/>
      </c>
      <c r="P5197" s="6">
        <f>IF(M5197&gt;0,D5197,"")</f>
        <v/>
      </c>
      <c r="Q5197" s="9">
        <f>I5197+O5197</f>
        <v/>
      </c>
      <c r="R5197" s="7">
        <f>Q5197*G5197</f>
        <v/>
      </c>
      <c r="S5197" s="8">
        <f>IF($R$5209=0,0,R5197/$R$5209)</f>
        <v/>
      </c>
      <c r="T5197" s="8" t="n">
        <v>-0.01097629915669829</v>
      </c>
      <c r="U5197" s="8" t="n">
        <v>-0.02044347113908573</v>
      </c>
      <c r="V5197" s="6" t="inlineStr">
        <is>
          <t>not selected</t>
        </is>
      </c>
    </row>
    <row r="5198">
      <c r="A5198" s="6" t="inlineStr">
        <is>
          <t>DJ30</t>
        </is>
      </c>
      <c r="B5198" s="6" t="inlineStr">
        <is>
          <t>2026-03-20</t>
        </is>
      </c>
      <c r="C5198" s="6" t="inlineStr">
        <is>
          <t>DIA</t>
        </is>
      </c>
      <c r="D5198" s="6" t="inlineStr">
        <is>
          <t>MRK</t>
        </is>
      </c>
      <c r="E5198" s="6" t="inlineStr">
        <is>
          <t>MRK</t>
        </is>
      </c>
      <c r="F5198" s="6" t="inlineStr">
        <is>
          <t>-</t>
        </is>
      </c>
      <c r="G5198" s="7" t="n">
        <v>113.3647689819336</v>
      </c>
      <c r="H5198" s="6">
        <f>P5167</f>
        <v/>
      </c>
      <c r="I5198" s="9">
        <f>Q5167</f>
        <v/>
      </c>
      <c r="J5198" s="7">
        <f>I5198*G5198</f>
        <v/>
      </c>
      <c r="K5198" s="8">
        <f>IF($J$5209=0,0,J5198/$J$5209)</f>
        <v/>
      </c>
      <c r="L5198" s="6" t="inlineStr">
        <is>
          <t>WATCHLIST</t>
        </is>
      </c>
      <c r="M5198" s="8" t="n">
        <v>0</v>
      </c>
      <c r="N5198" s="7">
        <f>M5198*$J$5209-J5198</f>
        <v/>
      </c>
      <c r="O5198" s="9">
        <f>IF(G5198=0,0,N5198/G5198)</f>
        <v/>
      </c>
      <c r="P5198" s="6">
        <f>IF(M5198&gt;0,D5198,"")</f>
        <v/>
      </c>
      <c r="Q5198" s="9">
        <f>I5198+O5198</f>
        <v/>
      </c>
      <c r="R5198" s="7">
        <f>Q5198*G5198</f>
        <v/>
      </c>
      <c r="S5198" s="8">
        <f>IF($R$5209=0,0,R5198/$R$5209)</f>
        <v/>
      </c>
      <c r="T5198" s="8" t="n">
        <v>-0.01097629915669829</v>
      </c>
      <c r="U5198" s="8" t="n">
        <v>-0.02044347113908573</v>
      </c>
      <c r="V5198" s="6" t="inlineStr">
        <is>
          <t>not selected</t>
        </is>
      </c>
    </row>
    <row r="5199">
      <c r="A5199" s="6" t="inlineStr">
        <is>
          <t>DJ30</t>
        </is>
      </c>
      <c r="B5199" s="6" t="inlineStr">
        <is>
          <t>2026-03-20</t>
        </is>
      </c>
      <c r="C5199" s="6" t="inlineStr">
        <is>
          <t>DIA</t>
        </is>
      </c>
      <c r="D5199" s="6" t="inlineStr">
        <is>
          <t>MSFT</t>
        </is>
      </c>
      <c r="E5199" s="6" t="inlineStr">
        <is>
          <t>MSFT</t>
        </is>
      </c>
      <c r="F5199" s="6" t="inlineStr">
        <is>
          <t>-</t>
        </is>
      </c>
      <c r="G5199" s="7" t="n">
        <v>381.0447082519531</v>
      </c>
      <c r="H5199" s="6">
        <f>P5168</f>
        <v/>
      </c>
      <c r="I5199" s="9">
        <f>Q5168</f>
        <v/>
      </c>
      <c r="J5199" s="7">
        <f>I5199*G5199</f>
        <v/>
      </c>
      <c r="K5199" s="8">
        <f>IF($J$5209=0,0,J5199/$J$5209)</f>
        <v/>
      </c>
      <c r="L5199" s="6" t="inlineStr">
        <is>
          <t>REJECTED</t>
        </is>
      </c>
      <c r="M5199" s="8" t="n">
        <v>0</v>
      </c>
      <c r="N5199" s="7">
        <f>M5199*$J$5209-J5199</f>
        <v/>
      </c>
      <c r="O5199" s="9">
        <f>IF(G5199=0,0,N5199/G5199)</f>
        <v/>
      </c>
      <c r="P5199" s="6">
        <f>IF(M5199&gt;0,D5199,"")</f>
        <v/>
      </c>
      <c r="Q5199" s="9">
        <f>I5199+O5199</f>
        <v/>
      </c>
      <c r="R5199" s="7">
        <f>Q5199*G5199</f>
        <v/>
      </c>
      <c r="S5199" s="8">
        <f>IF($R$5209=0,0,R5199/$R$5209)</f>
        <v/>
      </c>
      <c r="T5199" s="8" t="n">
        <v>-0.01097629915669829</v>
      </c>
      <c r="U5199" s="8" t="n">
        <v>-0.02044347113908573</v>
      </c>
      <c r="V5199" s="6" t="inlineStr">
        <is>
          <t>not selected</t>
        </is>
      </c>
    </row>
    <row r="5200">
      <c r="A5200" s="6" t="inlineStr">
        <is>
          <t>DJ30</t>
        </is>
      </c>
      <c r="B5200" s="6" t="inlineStr">
        <is>
          <t>2026-03-20</t>
        </is>
      </c>
      <c r="C5200" s="6" t="inlineStr">
        <is>
          <t>DIA</t>
        </is>
      </c>
      <c r="D5200" s="6" t="inlineStr">
        <is>
          <t>NKE</t>
        </is>
      </c>
      <c r="E5200" s="6" t="inlineStr">
        <is>
          <t>NKE</t>
        </is>
      </c>
      <c r="F5200" s="6" t="inlineStr">
        <is>
          <t>-</t>
        </is>
      </c>
      <c r="G5200" s="7" t="n">
        <v>51.90554428100586</v>
      </c>
      <c r="H5200" s="6">
        <f>P5169</f>
        <v/>
      </c>
      <c r="I5200" s="9">
        <f>Q5169</f>
        <v/>
      </c>
      <c r="J5200" s="7">
        <f>I5200*G5200</f>
        <v/>
      </c>
      <c r="K5200" s="8">
        <f>IF($J$5209=0,0,J5200/$J$5209)</f>
        <v/>
      </c>
      <c r="L5200" s="6" t="inlineStr">
        <is>
          <t>REJECTED</t>
        </is>
      </c>
      <c r="M5200" s="8" t="n">
        <v>0</v>
      </c>
      <c r="N5200" s="7">
        <f>M5200*$J$5209-J5200</f>
        <v/>
      </c>
      <c r="O5200" s="9">
        <f>IF(G5200=0,0,N5200/G5200)</f>
        <v/>
      </c>
      <c r="P5200" s="6">
        <f>IF(M5200&gt;0,D5200,"")</f>
        <v/>
      </c>
      <c r="Q5200" s="9">
        <f>I5200+O5200</f>
        <v/>
      </c>
      <c r="R5200" s="7">
        <f>Q5200*G5200</f>
        <v/>
      </c>
      <c r="S5200" s="8">
        <f>IF($R$5209=0,0,R5200/$R$5209)</f>
        <v/>
      </c>
      <c r="T5200" s="8" t="n">
        <v>-0.01097629915669829</v>
      </c>
      <c r="U5200" s="8" t="n">
        <v>-0.02044347113908573</v>
      </c>
      <c r="V5200" s="6" t="inlineStr">
        <is>
          <t>not selected</t>
        </is>
      </c>
    </row>
    <row r="5201">
      <c r="A5201" s="6" t="inlineStr">
        <is>
          <t>DJ30</t>
        </is>
      </c>
      <c r="B5201" s="6" t="inlineStr">
        <is>
          <t>2026-03-20</t>
        </is>
      </c>
      <c r="C5201" s="6" t="inlineStr">
        <is>
          <t>DIA</t>
        </is>
      </c>
      <c r="D5201" s="6" t="inlineStr">
        <is>
          <t>NVDA</t>
        </is>
      </c>
      <c r="E5201" s="6" t="inlineStr">
        <is>
          <t>NVDA</t>
        </is>
      </c>
      <c r="F5201" s="6" t="inlineStr">
        <is>
          <t>-</t>
        </is>
      </c>
      <c r="G5201" s="7" t="n">
        <v>172.4989471435547</v>
      </c>
      <c r="H5201" s="6">
        <f>P5170</f>
        <v/>
      </c>
      <c r="I5201" s="9">
        <f>Q5170</f>
        <v/>
      </c>
      <c r="J5201" s="7">
        <f>I5201*G5201</f>
        <v/>
      </c>
      <c r="K5201" s="8">
        <f>IF($J$5209=0,0,J5201/$J$5209)</f>
        <v/>
      </c>
      <c r="L5201" s="6" t="inlineStr">
        <is>
          <t>SELECTED</t>
        </is>
      </c>
      <c r="M5201" s="8" t="n">
        <v>0.2</v>
      </c>
      <c r="N5201" s="7">
        <f>M5201*$J$5209-J5201</f>
        <v/>
      </c>
      <c r="O5201" s="9">
        <f>IF(G5201=0,0,N5201/G5201)</f>
        <v/>
      </c>
      <c r="P5201" s="6">
        <f>IF(M5201&gt;0,D5201,"")</f>
        <v/>
      </c>
      <c r="Q5201" s="9">
        <f>I5201+O5201</f>
        <v/>
      </c>
      <c r="R5201" s="7">
        <f>Q5201*G5201</f>
        <v/>
      </c>
      <c r="S5201" s="8">
        <f>IF($R$5209=0,0,R5201/$R$5209)</f>
        <v/>
      </c>
      <c r="T5201" s="8" t="n">
        <v>-0.01097629915669829</v>
      </c>
      <c r="U5201" s="8" t="n">
        <v>-0.02044347113908573</v>
      </c>
      <c r="V5201" s="6" t="inlineStr">
        <is>
          <t>remained in weekly selection</t>
        </is>
      </c>
    </row>
    <row r="5202">
      <c r="A5202" s="6" t="inlineStr">
        <is>
          <t>DJ30</t>
        </is>
      </c>
      <c r="B5202" s="6" t="inlineStr">
        <is>
          <t>2026-03-20</t>
        </is>
      </c>
      <c r="C5202" s="6" t="inlineStr">
        <is>
          <t>DIA</t>
        </is>
      </c>
      <c r="D5202" s="6" t="inlineStr">
        <is>
          <t>PG</t>
        </is>
      </c>
      <c r="E5202" s="6" t="inlineStr">
        <is>
          <t>PG</t>
        </is>
      </c>
      <c r="F5202" s="6" t="inlineStr">
        <is>
          <t>-</t>
        </is>
      </c>
      <c r="G5202" s="7" t="n">
        <v>143.2016906738281</v>
      </c>
      <c r="H5202" s="6">
        <f>P5171</f>
        <v/>
      </c>
      <c r="I5202" s="9">
        <f>Q5171</f>
        <v/>
      </c>
      <c r="J5202" s="7">
        <f>I5202*G5202</f>
        <v/>
      </c>
      <c r="K5202" s="8">
        <f>IF($J$5209=0,0,J5202/$J$5209)</f>
        <v/>
      </c>
      <c r="L5202" s="6" t="inlineStr">
        <is>
          <t>REJECTED</t>
        </is>
      </c>
      <c r="M5202" s="8" t="n">
        <v>0</v>
      </c>
      <c r="N5202" s="7">
        <f>M5202*$J$5209-J5202</f>
        <v/>
      </c>
      <c r="O5202" s="9">
        <f>IF(G5202=0,0,N5202/G5202)</f>
        <v/>
      </c>
      <c r="P5202" s="6">
        <f>IF(M5202&gt;0,D5202,"")</f>
        <v/>
      </c>
      <c r="Q5202" s="9">
        <f>I5202+O5202</f>
        <v/>
      </c>
      <c r="R5202" s="7">
        <f>Q5202*G5202</f>
        <v/>
      </c>
      <c r="S5202" s="8">
        <f>IF($R$5209=0,0,R5202/$R$5209)</f>
        <v/>
      </c>
      <c r="T5202" s="8" t="n">
        <v>-0.01097629915669829</v>
      </c>
      <c r="U5202" s="8" t="n">
        <v>-0.02044347113908573</v>
      </c>
      <c r="V5202" s="6" t="inlineStr">
        <is>
          <t>not selected</t>
        </is>
      </c>
    </row>
    <row r="5203">
      <c r="A5203" s="6" t="inlineStr">
        <is>
          <t>DJ30</t>
        </is>
      </c>
      <c r="B5203" s="6" t="inlineStr">
        <is>
          <t>2026-03-20</t>
        </is>
      </c>
      <c r="C5203" s="6" t="inlineStr">
        <is>
          <t>DIA</t>
        </is>
      </c>
      <c r="D5203" s="6" t="inlineStr">
        <is>
          <t>SHW</t>
        </is>
      </c>
      <c r="E5203" s="6" t="inlineStr">
        <is>
          <t>SHW</t>
        </is>
      </c>
      <c r="F5203" s="6" t="inlineStr">
        <is>
          <t>-</t>
        </is>
      </c>
      <c r="G5203" s="7" t="n">
        <v>302.7450256347656</v>
      </c>
      <c r="H5203" s="6">
        <f>P5172</f>
        <v/>
      </c>
      <c r="I5203" s="9">
        <f>Q5172</f>
        <v/>
      </c>
      <c r="J5203" s="7">
        <f>I5203*G5203</f>
        <v/>
      </c>
      <c r="K5203" s="8">
        <f>IF($J$5209=0,0,J5203/$J$5209)</f>
        <v/>
      </c>
      <c r="L5203" s="6" t="inlineStr">
        <is>
          <t>REJECTED</t>
        </is>
      </c>
      <c r="M5203" s="8" t="n">
        <v>0</v>
      </c>
      <c r="N5203" s="7">
        <f>M5203*$J$5209-J5203</f>
        <v/>
      </c>
      <c r="O5203" s="9">
        <f>IF(G5203=0,0,N5203/G5203)</f>
        <v/>
      </c>
      <c r="P5203" s="6">
        <f>IF(M5203&gt;0,D5203,"")</f>
        <v/>
      </c>
      <c r="Q5203" s="9">
        <f>I5203+O5203</f>
        <v/>
      </c>
      <c r="R5203" s="7">
        <f>Q5203*G5203</f>
        <v/>
      </c>
      <c r="S5203" s="8">
        <f>IF($R$5209=0,0,R5203/$R$5209)</f>
        <v/>
      </c>
      <c r="T5203" s="8" t="n">
        <v>-0.01097629915669829</v>
      </c>
      <c r="U5203" s="8" t="n">
        <v>-0.02044347113908573</v>
      </c>
      <c r="V5203" s="6" t="inlineStr">
        <is>
          <t>not selected</t>
        </is>
      </c>
    </row>
    <row r="5204">
      <c r="A5204" s="6" t="inlineStr">
        <is>
          <t>DJ30</t>
        </is>
      </c>
      <c r="B5204" s="6" t="inlineStr">
        <is>
          <t>2026-03-20</t>
        </is>
      </c>
      <c r="C5204" s="6" t="inlineStr">
        <is>
          <t>DIA</t>
        </is>
      </c>
      <c r="D5204" s="6" t="inlineStr">
        <is>
          <t>TRV</t>
        </is>
      </c>
      <c r="E5204" s="6" t="inlineStr">
        <is>
          <t>TRV</t>
        </is>
      </c>
      <c r="F5204" s="6" t="inlineStr">
        <is>
          <t>-</t>
        </is>
      </c>
      <c r="G5204" s="7" t="n">
        <v>295.3652038574219</v>
      </c>
      <c r="H5204" s="6">
        <f>P5173</f>
        <v/>
      </c>
      <c r="I5204" s="9">
        <f>Q5173</f>
        <v/>
      </c>
      <c r="J5204" s="7">
        <f>I5204*G5204</f>
        <v/>
      </c>
      <c r="K5204" s="8">
        <f>IF($J$5209=0,0,J5204/$J$5209)</f>
        <v/>
      </c>
      <c r="L5204" s="6" t="inlineStr">
        <is>
          <t>WATCHLIST</t>
        </is>
      </c>
      <c r="M5204" s="8" t="n">
        <v>0</v>
      </c>
      <c r="N5204" s="7">
        <f>M5204*$J$5209-J5204</f>
        <v/>
      </c>
      <c r="O5204" s="9">
        <f>IF(G5204=0,0,N5204/G5204)</f>
        <v/>
      </c>
      <c r="P5204" s="6">
        <f>IF(M5204&gt;0,D5204,"")</f>
        <v/>
      </c>
      <c r="Q5204" s="9">
        <f>I5204+O5204</f>
        <v/>
      </c>
      <c r="R5204" s="7">
        <f>Q5204*G5204</f>
        <v/>
      </c>
      <c r="S5204" s="8">
        <f>IF($R$5209=0,0,R5204/$R$5209)</f>
        <v/>
      </c>
      <c r="T5204" s="8" t="n">
        <v>-0.01097629915669829</v>
      </c>
      <c r="U5204" s="8" t="n">
        <v>-0.02044347113908573</v>
      </c>
      <c r="V5204" s="6" t="inlineStr">
        <is>
          <t>not selected</t>
        </is>
      </c>
    </row>
    <row r="5205">
      <c r="A5205" s="6" t="inlineStr">
        <is>
          <t>DJ30</t>
        </is>
      </c>
      <c r="B5205" s="6" t="inlineStr">
        <is>
          <t>2026-03-20</t>
        </is>
      </c>
      <c r="C5205" s="6" t="inlineStr">
        <is>
          <t>DIA</t>
        </is>
      </c>
      <c r="D5205" s="6" t="inlineStr">
        <is>
          <t>UNH</t>
        </is>
      </c>
      <c r="E5205" s="6" t="inlineStr">
        <is>
          <t>UNH</t>
        </is>
      </c>
      <c r="F5205" s="6" t="inlineStr">
        <is>
          <t>-</t>
        </is>
      </c>
      <c r="G5205" s="7" t="n">
        <v>274.0249328613281</v>
      </c>
      <c r="H5205" s="6">
        <f>P5174</f>
        <v/>
      </c>
      <c r="I5205" s="9">
        <f>Q5174</f>
        <v/>
      </c>
      <c r="J5205" s="7">
        <f>I5205*G5205</f>
        <v/>
      </c>
      <c r="K5205" s="8">
        <f>IF($J$5209=0,0,J5205/$J$5209)</f>
        <v/>
      </c>
      <c r="L5205" s="6" t="inlineStr">
        <is>
          <t>REJECTED</t>
        </is>
      </c>
      <c r="M5205" s="8" t="n">
        <v>0</v>
      </c>
      <c r="N5205" s="7">
        <f>M5205*$J$5209-J5205</f>
        <v/>
      </c>
      <c r="O5205" s="9">
        <f>IF(G5205=0,0,N5205/G5205)</f>
        <v/>
      </c>
      <c r="P5205" s="6">
        <f>IF(M5205&gt;0,D5205,"")</f>
        <v/>
      </c>
      <c r="Q5205" s="9">
        <f>I5205+O5205</f>
        <v/>
      </c>
      <c r="R5205" s="7">
        <f>Q5205*G5205</f>
        <v/>
      </c>
      <c r="S5205" s="8">
        <f>IF($R$5209=0,0,R5205/$R$5209)</f>
        <v/>
      </c>
      <c r="T5205" s="8" t="n">
        <v>-0.01097629915669829</v>
      </c>
      <c r="U5205" s="8" t="n">
        <v>-0.02044347113908573</v>
      </c>
      <c r="V5205" s="6" t="inlineStr">
        <is>
          <t>not selected</t>
        </is>
      </c>
    </row>
    <row r="5206">
      <c r="A5206" s="6" t="inlineStr">
        <is>
          <t>DJ30</t>
        </is>
      </c>
      <c r="B5206" s="6" t="inlineStr">
        <is>
          <t>2026-03-20</t>
        </is>
      </c>
      <c r="C5206" s="6" t="inlineStr">
        <is>
          <t>DIA</t>
        </is>
      </c>
      <c r="D5206" s="6" t="inlineStr">
        <is>
          <t>V</t>
        </is>
      </c>
      <c r="E5206" s="6" t="inlineStr">
        <is>
          <t>V</t>
        </is>
      </c>
      <c r="F5206" s="6" t="inlineStr">
        <is>
          <t>-</t>
        </is>
      </c>
      <c r="G5206" s="7" t="n">
        <v>300.9960021972656</v>
      </c>
      <c r="H5206" s="6">
        <f>P5175</f>
        <v/>
      </c>
      <c r="I5206" s="9">
        <f>Q5175</f>
        <v/>
      </c>
      <c r="J5206" s="7">
        <f>I5206*G5206</f>
        <v/>
      </c>
      <c r="K5206" s="8">
        <f>IF($J$5209=0,0,J5206/$J$5209)</f>
        <v/>
      </c>
      <c r="L5206" s="6" t="inlineStr">
        <is>
          <t>REJECTED</t>
        </is>
      </c>
      <c r="M5206" s="8" t="n">
        <v>0</v>
      </c>
      <c r="N5206" s="7">
        <f>M5206*$J$5209-J5206</f>
        <v/>
      </c>
      <c r="O5206" s="9">
        <f>IF(G5206=0,0,N5206/G5206)</f>
        <v/>
      </c>
      <c r="P5206" s="6">
        <f>IF(M5206&gt;0,D5206,"")</f>
        <v/>
      </c>
      <c r="Q5206" s="9">
        <f>I5206+O5206</f>
        <v/>
      </c>
      <c r="R5206" s="7">
        <f>Q5206*G5206</f>
        <v/>
      </c>
      <c r="S5206" s="8">
        <f>IF($R$5209=0,0,R5206/$R$5209)</f>
        <v/>
      </c>
      <c r="T5206" s="8" t="n">
        <v>-0.01097629915669829</v>
      </c>
      <c r="U5206" s="8" t="n">
        <v>-0.02044347113908573</v>
      </c>
      <c r="V5206" s="6" t="inlineStr">
        <is>
          <t>not selected</t>
        </is>
      </c>
    </row>
    <row r="5207">
      <c r="A5207" s="6" t="inlineStr">
        <is>
          <t>DJ30</t>
        </is>
      </c>
      <c r="B5207" s="6" t="inlineStr">
        <is>
          <t>2026-03-20</t>
        </is>
      </c>
      <c r="C5207" s="6" t="inlineStr">
        <is>
          <t>DIA</t>
        </is>
      </c>
      <c r="D5207" s="6" t="inlineStr">
        <is>
          <t>VZ</t>
        </is>
      </c>
      <c r="E5207" s="6" t="inlineStr">
        <is>
          <t>VZ</t>
        </is>
      </c>
      <c r="F5207" s="6" t="inlineStr">
        <is>
          <t>-</t>
        </is>
      </c>
      <c r="G5207" s="7" t="n">
        <v>49.23940277099609</v>
      </c>
      <c r="H5207" s="6">
        <f>P5176</f>
        <v/>
      </c>
      <c r="I5207" s="9">
        <f>Q5176</f>
        <v/>
      </c>
      <c r="J5207" s="7">
        <f>I5207*G5207</f>
        <v/>
      </c>
      <c r="K5207" s="8">
        <f>IF($J$5209=0,0,J5207/$J$5209)</f>
        <v/>
      </c>
      <c r="L5207" s="6" t="inlineStr">
        <is>
          <t>REJECTED</t>
        </is>
      </c>
      <c r="M5207" s="8" t="n">
        <v>0</v>
      </c>
      <c r="N5207" s="7">
        <f>M5207*$J$5209-J5207</f>
        <v/>
      </c>
      <c r="O5207" s="9">
        <f>IF(G5207=0,0,N5207/G5207)</f>
        <v/>
      </c>
      <c r="P5207" s="6">
        <f>IF(M5207&gt;0,D5207,"")</f>
        <v/>
      </c>
      <c r="Q5207" s="9">
        <f>I5207+O5207</f>
        <v/>
      </c>
      <c r="R5207" s="7">
        <f>Q5207*G5207</f>
        <v/>
      </c>
      <c r="S5207" s="8">
        <f>IF($R$5209=0,0,R5207/$R$5209)</f>
        <v/>
      </c>
      <c r="T5207" s="8" t="n">
        <v>-0.01097629915669829</v>
      </c>
      <c r="U5207" s="8" t="n">
        <v>-0.02044347113908573</v>
      </c>
      <c r="V5207" s="6" t="inlineStr">
        <is>
          <t>not selected</t>
        </is>
      </c>
    </row>
    <row r="5208">
      <c r="A5208" s="6" t="inlineStr">
        <is>
          <t>DJ30</t>
        </is>
      </c>
      <c r="B5208" s="6" t="inlineStr">
        <is>
          <t>2026-03-20</t>
        </is>
      </c>
      <c r="C5208" s="6" t="inlineStr">
        <is>
          <t>DIA</t>
        </is>
      </c>
      <c r="D5208" s="6" t="inlineStr">
        <is>
          <t>WMT</t>
        </is>
      </c>
      <c r="E5208" s="6" t="inlineStr">
        <is>
          <t>WMT</t>
        </is>
      </c>
      <c r="F5208" s="6" t="inlineStr">
        <is>
          <t>-</t>
        </is>
      </c>
      <c r="G5208" s="7" t="n">
        <v>118.7932891845703</v>
      </c>
      <c r="H5208" s="6">
        <f>P5177</f>
        <v/>
      </c>
      <c r="I5208" s="9">
        <f>Q5177</f>
        <v/>
      </c>
      <c r="J5208" s="7">
        <f>I5208*G5208</f>
        <v/>
      </c>
      <c r="K5208" s="8">
        <f>IF($J$5209=0,0,J5208/$J$5209)</f>
        <v/>
      </c>
      <c r="L5208" s="6" t="inlineStr">
        <is>
          <t>WATCHLIST</t>
        </is>
      </c>
      <c r="M5208" s="8" t="n">
        <v>0</v>
      </c>
      <c r="N5208" s="7">
        <f>M5208*$J$5209-J5208</f>
        <v/>
      </c>
      <c r="O5208" s="9">
        <f>IF(G5208=0,0,N5208/G5208)</f>
        <v/>
      </c>
      <c r="P5208" s="6">
        <f>IF(M5208&gt;0,D5208,"")</f>
        <v/>
      </c>
      <c r="Q5208" s="9">
        <f>I5208+O5208</f>
        <v/>
      </c>
      <c r="R5208" s="7">
        <f>Q5208*G5208</f>
        <v/>
      </c>
      <c r="S5208" s="8">
        <f>IF($R$5209=0,0,R5208/$R$5209)</f>
        <v/>
      </c>
      <c r="T5208" s="8" t="n">
        <v>-0.01097629915669829</v>
      </c>
      <c r="U5208" s="8" t="n">
        <v>-0.02044347113908573</v>
      </c>
      <c r="V5208" s="6" t="inlineStr">
        <is>
          <t>not selected</t>
        </is>
      </c>
    </row>
    <row r="5209">
      <c r="A5209" s="10" t="inlineStr">
        <is>
          <t>DJ30</t>
        </is>
      </c>
      <c r="B5209" s="10" t="inlineStr">
        <is>
          <t>2026-03-20</t>
        </is>
      </c>
      <c r="C5209" s="10" t="inlineStr">
        <is>
          <t>DIA</t>
        </is>
      </c>
      <c r="D5209" s="10" t="inlineStr">
        <is>
          <t>Tot Portfolio</t>
        </is>
      </c>
      <c r="E5209" s="10" t="inlineStr"/>
      <c r="F5209" s="10" t="inlineStr"/>
      <c r="G5209" s="11" t="inlineStr"/>
      <c r="H5209" s="10" t="inlineStr"/>
      <c r="I5209" s="12" t="inlineStr"/>
      <c r="J5209" s="11">
        <f>SUM(J5179:J5208)</f>
        <v/>
      </c>
      <c r="K5209" s="13">
        <f>SUM(K5179:K5208)</f>
        <v/>
      </c>
      <c r="L5209" s="10" t="inlineStr">
        <is>
          <t>TOTAL</t>
        </is>
      </c>
      <c r="M5209" s="13">
        <f>SUM(M5179:M5208)</f>
        <v/>
      </c>
      <c r="N5209" s="11">
        <f>SUM(N5179:N5208)</f>
        <v/>
      </c>
      <c r="O5209" s="12">
        <f>SUM(O5179:O5208)</f>
        <v/>
      </c>
      <c r="P5209" s="10" t="inlineStr"/>
      <c r="Q5209" s="12" t="inlineStr"/>
      <c r="R5209" s="11">
        <f>SUM(R5179:R5208)</f>
        <v/>
      </c>
      <c r="S5209" s="13">
        <f>SUM(S5179:S5208)</f>
        <v/>
      </c>
      <c r="T5209" s="13" t="n">
        <v>-0.01097629915669829</v>
      </c>
      <c r="U5209" s="13" t="n">
        <v>-0.02044347113908573</v>
      </c>
      <c r="V5209" s="10" t="inlineStr"/>
    </row>
    <row r="5210">
      <c r="A5210" s="6" t="inlineStr">
        <is>
          <t>DJ30</t>
        </is>
      </c>
      <c r="B5210" s="6" t="inlineStr">
        <is>
          <t>2026-03-27</t>
        </is>
      </c>
      <c r="C5210" s="6" t="inlineStr">
        <is>
          <t>DIA</t>
        </is>
      </c>
      <c r="D5210" s="6" t="inlineStr">
        <is>
          <t>AAPL</t>
        </is>
      </c>
      <c r="E5210" s="6" t="inlineStr">
        <is>
          <t>AAPL</t>
        </is>
      </c>
      <c r="F5210" s="6" t="inlineStr">
        <is>
          <t>-</t>
        </is>
      </c>
      <c r="G5210" s="7" t="n">
        <v>248.5709838867188</v>
      </c>
      <c r="H5210" s="6">
        <f>P5179</f>
        <v/>
      </c>
      <c r="I5210" s="9">
        <f>Q5179</f>
        <v/>
      </c>
      <c r="J5210" s="7">
        <f>I5210*G5210</f>
        <v/>
      </c>
      <c r="K5210" s="8">
        <f>IF($J$5240=0,0,J5210/$J$5240)</f>
        <v/>
      </c>
      <c r="L5210" s="6" t="inlineStr">
        <is>
          <t>WATCHLIST</t>
        </is>
      </c>
      <c r="M5210" s="8" t="n">
        <v>0</v>
      </c>
      <c r="N5210" s="7">
        <f>M5210*$J$5240-J5210</f>
        <v/>
      </c>
      <c r="O5210" s="9">
        <f>IF(G5210=0,0,N5210/G5210)</f>
        <v/>
      </c>
      <c r="P5210" s="6">
        <f>IF(M5210&gt;0,D5210,"")</f>
        <v/>
      </c>
      <c r="Q5210" s="9">
        <f>I5210+O5210</f>
        <v/>
      </c>
      <c r="R5210" s="7">
        <f>Q5210*G5210</f>
        <v/>
      </c>
      <c r="S5210" s="8">
        <f>IF($R$5240=0,0,R5210/$R$5240)</f>
        <v/>
      </c>
      <c r="T5210" s="8" t="n">
        <v>0.005413811015814618</v>
      </c>
      <c r="U5210" s="8" t="n">
        <v>-0.009870779071349478</v>
      </c>
      <c r="V5210" s="6" t="inlineStr">
        <is>
          <t>not selected</t>
        </is>
      </c>
    </row>
    <row r="5211">
      <c r="A5211" s="6" t="inlineStr">
        <is>
          <t>DJ30</t>
        </is>
      </c>
      <c r="B5211" s="6" t="inlineStr">
        <is>
          <t>2026-03-27</t>
        </is>
      </c>
      <c r="C5211" s="6" t="inlineStr">
        <is>
          <t>DIA</t>
        </is>
      </c>
      <c r="D5211" s="6" t="inlineStr">
        <is>
          <t>AMGN</t>
        </is>
      </c>
      <c r="E5211" s="6" t="inlineStr">
        <is>
          <t>AMGN</t>
        </is>
      </c>
      <c r="F5211" s="6" t="inlineStr">
        <is>
          <t>-</t>
        </is>
      </c>
      <c r="G5211" s="7" t="n">
        <v>346.156005859375</v>
      </c>
      <c r="H5211" s="6">
        <f>P5180</f>
        <v/>
      </c>
      <c r="I5211" s="9">
        <f>Q5180</f>
        <v/>
      </c>
      <c r="J5211" s="7">
        <f>I5211*G5211</f>
        <v/>
      </c>
      <c r="K5211" s="8">
        <f>IF($J$5240=0,0,J5211/$J$5240)</f>
        <v/>
      </c>
      <c r="L5211" s="6" t="inlineStr">
        <is>
          <t>WATCHLIST</t>
        </is>
      </c>
      <c r="M5211" s="8" t="n">
        <v>0</v>
      </c>
      <c r="N5211" s="7">
        <f>M5211*$J$5240-J5211</f>
        <v/>
      </c>
      <c r="O5211" s="9">
        <f>IF(G5211=0,0,N5211/G5211)</f>
        <v/>
      </c>
      <c r="P5211" s="6">
        <f>IF(M5211&gt;0,D5211,"")</f>
        <v/>
      </c>
      <c r="Q5211" s="9">
        <f>I5211+O5211</f>
        <v/>
      </c>
      <c r="R5211" s="7">
        <f>Q5211*G5211</f>
        <v/>
      </c>
      <c r="S5211" s="8">
        <f>IF($R$5240=0,0,R5211/$R$5240)</f>
        <v/>
      </c>
      <c r="T5211" s="8" t="n">
        <v>0.005413811015814618</v>
      </c>
      <c r="U5211" s="8" t="n">
        <v>-0.009870779071349478</v>
      </c>
      <c r="V5211" s="6" t="inlineStr">
        <is>
          <t>not selected</t>
        </is>
      </c>
    </row>
    <row r="5212">
      <c r="A5212" s="6" t="inlineStr">
        <is>
          <t>DJ30</t>
        </is>
      </c>
      <c r="B5212" s="6" t="inlineStr">
        <is>
          <t>2026-03-27</t>
        </is>
      </c>
      <c r="C5212" s="6" t="inlineStr">
        <is>
          <t>DIA</t>
        </is>
      </c>
      <c r="D5212" s="6" t="inlineStr">
        <is>
          <t>AMZN</t>
        </is>
      </c>
      <c r="E5212" s="6" t="inlineStr">
        <is>
          <t>AMZN</t>
        </is>
      </c>
      <c r="F5212" s="6" t="inlineStr">
        <is>
          <t>-</t>
        </is>
      </c>
      <c r="G5212" s="7" t="n">
        <v>199.3399963378907</v>
      </c>
      <c r="H5212" s="6">
        <f>P5181</f>
        <v/>
      </c>
      <c r="I5212" s="9">
        <f>Q5181</f>
        <v/>
      </c>
      <c r="J5212" s="7">
        <f>I5212*G5212</f>
        <v/>
      </c>
      <c r="K5212" s="8">
        <f>IF($J$5240=0,0,J5212/$J$5240)</f>
        <v/>
      </c>
      <c r="L5212" s="6" t="inlineStr">
        <is>
          <t>REJECTED</t>
        </is>
      </c>
      <c r="M5212" s="8" t="n">
        <v>0</v>
      </c>
      <c r="N5212" s="7">
        <f>M5212*$J$5240-J5212</f>
        <v/>
      </c>
      <c r="O5212" s="9">
        <f>IF(G5212=0,0,N5212/G5212)</f>
        <v/>
      </c>
      <c r="P5212" s="6">
        <f>IF(M5212&gt;0,D5212,"")</f>
        <v/>
      </c>
      <c r="Q5212" s="9">
        <f>I5212+O5212</f>
        <v/>
      </c>
      <c r="R5212" s="7">
        <f>Q5212*G5212</f>
        <v/>
      </c>
      <c r="S5212" s="8">
        <f>IF($R$5240=0,0,R5212/$R$5240)</f>
        <v/>
      </c>
      <c r="T5212" s="8" t="n">
        <v>0.005413811015814618</v>
      </c>
      <c r="U5212" s="8" t="n">
        <v>-0.009870779071349478</v>
      </c>
      <c r="V5212" s="6" t="inlineStr">
        <is>
          <t>not selected</t>
        </is>
      </c>
    </row>
    <row r="5213">
      <c r="A5213" s="6" t="inlineStr">
        <is>
          <t>DJ30</t>
        </is>
      </c>
      <c r="B5213" s="6" t="inlineStr">
        <is>
          <t>2026-03-27</t>
        </is>
      </c>
      <c r="C5213" s="6" t="inlineStr">
        <is>
          <t>DIA</t>
        </is>
      </c>
      <c r="D5213" s="6" t="inlineStr">
        <is>
          <t>AXP</t>
        </is>
      </c>
      <c r="E5213" s="6" t="inlineStr">
        <is>
          <t>AXP</t>
        </is>
      </c>
      <c r="F5213" s="6" t="inlineStr">
        <is>
          <t>-</t>
        </is>
      </c>
      <c r="G5213" s="7" t="n">
        <v>291.3489379882812</v>
      </c>
      <c r="H5213" s="6">
        <f>P5182</f>
        <v/>
      </c>
      <c r="I5213" s="9">
        <f>Q5182</f>
        <v/>
      </c>
      <c r="J5213" s="7">
        <f>I5213*G5213</f>
        <v/>
      </c>
      <c r="K5213" s="8">
        <f>IF($J$5240=0,0,J5213/$J$5240)</f>
        <v/>
      </c>
      <c r="L5213" s="6" t="inlineStr">
        <is>
          <t>WATCHLIST</t>
        </is>
      </c>
      <c r="M5213" s="8" t="n">
        <v>0</v>
      </c>
      <c r="N5213" s="7">
        <f>M5213*$J$5240-J5213</f>
        <v/>
      </c>
      <c r="O5213" s="9">
        <f>IF(G5213=0,0,N5213/G5213)</f>
        <v/>
      </c>
      <c r="P5213" s="6">
        <f>IF(M5213&gt;0,D5213,"")</f>
        <v/>
      </c>
      <c r="Q5213" s="9">
        <f>I5213+O5213</f>
        <v/>
      </c>
      <c r="R5213" s="7">
        <f>Q5213*G5213</f>
        <v/>
      </c>
      <c r="S5213" s="8">
        <f>IF($R$5240=0,0,R5213/$R$5240)</f>
        <v/>
      </c>
      <c r="T5213" s="8" t="n">
        <v>0.005413811015814618</v>
      </c>
      <c r="U5213" s="8" t="n">
        <v>-0.009870779071349478</v>
      </c>
      <c r="V5213" s="6" t="inlineStr">
        <is>
          <t>not selected</t>
        </is>
      </c>
    </row>
    <row r="5214">
      <c r="A5214" s="6" t="inlineStr">
        <is>
          <t>DJ30</t>
        </is>
      </c>
      <c r="B5214" s="6" t="inlineStr">
        <is>
          <t>2026-03-27</t>
        </is>
      </c>
      <c r="C5214" s="6" t="inlineStr">
        <is>
          <t>DIA</t>
        </is>
      </c>
      <c r="D5214" s="6" t="inlineStr">
        <is>
          <t>BA</t>
        </is>
      </c>
      <c r="E5214" s="6" t="inlineStr">
        <is>
          <t>BA</t>
        </is>
      </c>
      <c r="F5214" s="6" t="inlineStr">
        <is>
          <t>-</t>
        </is>
      </c>
      <c r="G5214" s="7" t="n">
        <v>190.5200042724609</v>
      </c>
      <c r="H5214" s="6">
        <f>P5183</f>
        <v/>
      </c>
      <c r="I5214" s="9">
        <f>Q5183</f>
        <v/>
      </c>
      <c r="J5214" s="7">
        <f>I5214*G5214</f>
        <v/>
      </c>
      <c r="K5214" s="8">
        <f>IF($J$5240=0,0,J5214/$J$5240)</f>
        <v/>
      </c>
      <c r="L5214" s="6" t="inlineStr">
        <is>
          <t>REJECTED</t>
        </is>
      </c>
      <c r="M5214" s="8" t="n">
        <v>0</v>
      </c>
      <c r="N5214" s="7">
        <f>M5214*$J$5240-J5214</f>
        <v/>
      </c>
      <c r="O5214" s="9">
        <f>IF(G5214=0,0,N5214/G5214)</f>
        <v/>
      </c>
      <c r="P5214" s="6">
        <f>IF(M5214&gt;0,D5214,"")</f>
        <v/>
      </c>
      <c r="Q5214" s="9">
        <f>I5214+O5214</f>
        <v/>
      </c>
      <c r="R5214" s="7">
        <f>Q5214*G5214</f>
        <v/>
      </c>
      <c r="S5214" s="8">
        <f>IF($R$5240=0,0,R5214/$R$5240)</f>
        <v/>
      </c>
      <c r="T5214" s="8" t="n">
        <v>0.005413811015814618</v>
      </c>
      <c r="U5214" s="8" t="n">
        <v>-0.009870779071349478</v>
      </c>
      <c r="V5214" s="6" t="inlineStr">
        <is>
          <t>not selected</t>
        </is>
      </c>
    </row>
    <row r="5215">
      <c r="A5215" s="6" t="inlineStr">
        <is>
          <t>DJ30</t>
        </is>
      </c>
      <c r="B5215" s="6" t="inlineStr">
        <is>
          <t>2026-03-27</t>
        </is>
      </c>
      <c r="C5215" s="6" t="inlineStr">
        <is>
          <t>DIA</t>
        </is>
      </c>
      <c r="D5215" s="6" t="inlineStr">
        <is>
          <t>CAT</t>
        </is>
      </c>
      <c r="E5215" s="6" t="inlineStr">
        <is>
          <t>CAT</t>
        </is>
      </c>
      <c r="F5215" s="6" t="inlineStr">
        <is>
          <t>-</t>
        </is>
      </c>
      <c r="G5215" s="7" t="n">
        <v>694.07861328125</v>
      </c>
      <c r="H5215" s="6">
        <f>P5184</f>
        <v/>
      </c>
      <c r="I5215" s="9">
        <f>Q5184</f>
        <v/>
      </c>
      <c r="J5215" s="7">
        <f>I5215*G5215</f>
        <v/>
      </c>
      <c r="K5215" s="8">
        <f>IF($J$5240=0,0,J5215/$J$5240)</f>
        <v/>
      </c>
      <c r="L5215" s="6" t="inlineStr">
        <is>
          <t>SELECTED</t>
        </is>
      </c>
      <c r="M5215" s="8" t="n">
        <v>0.2</v>
      </c>
      <c r="N5215" s="7">
        <f>M5215*$J$5240-J5215</f>
        <v/>
      </c>
      <c r="O5215" s="9">
        <f>IF(G5215=0,0,N5215/G5215)</f>
        <v/>
      </c>
      <c r="P5215" s="6">
        <f>IF(M5215&gt;0,D5215,"")</f>
        <v/>
      </c>
      <c r="Q5215" s="9">
        <f>I5215+O5215</f>
        <v/>
      </c>
      <c r="R5215" s="7">
        <f>Q5215*G5215</f>
        <v/>
      </c>
      <c r="S5215" s="8">
        <f>IF($R$5240=0,0,R5215/$R$5240)</f>
        <v/>
      </c>
      <c r="T5215" s="8" t="n">
        <v>0.005413811015814618</v>
      </c>
      <c r="U5215" s="8" t="n">
        <v>-0.009870779071349478</v>
      </c>
      <c r="V5215" s="6" t="inlineStr">
        <is>
          <t>remained in weekly selection</t>
        </is>
      </c>
    </row>
    <row r="5216">
      <c r="A5216" s="6" t="inlineStr">
        <is>
          <t>DJ30</t>
        </is>
      </c>
      <c r="B5216" s="6" t="inlineStr">
        <is>
          <t>2026-03-27</t>
        </is>
      </c>
      <c r="C5216" s="6" t="inlineStr">
        <is>
          <t>DIA</t>
        </is>
      </c>
      <c r="D5216" s="6" t="inlineStr">
        <is>
          <t>CRM</t>
        </is>
      </c>
      <c r="E5216" s="6" t="inlineStr">
        <is>
          <t>CRM</t>
        </is>
      </c>
      <c r="F5216" s="6" t="inlineStr">
        <is>
          <t>-</t>
        </is>
      </c>
      <c r="G5216" s="7" t="n">
        <v>178.4022064208984</v>
      </c>
      <c r="H5216" s="6">
        <f>P5185</f>
        <v/>
      </c>
      <c r="I5216" s="9">
        <f>Q5185</f>
        <v/>
      </c>
      <c r="J5216" s="7">
        <f>I5216*G5216</f>
        <v/>
      </c>
      <c r="K5216" s="8">
        <f>IF($J$5240=0,0,J5216/$J$5240)</f>
        <v/>
      </c>
      <c r="L5216" s="6" t="inlineStr">
        <is>
          <t>REJECTED</t>
        </is>
      </c>
      <c r="M5216" s="8" t="n">
        <v>0</v>
      </c>
      <c r="N5216" s="7">
        <f>M5216*$J$5240-J5216</f>
        <v/>
      </c>
      <c r="O5216" s="9">
        <f>IF(G5216=0,0,N5216/G5216)</f>
        <v/>
      </c>
      <c r="P5216" s="6">
        <f>IF(M5216&gt;0,D5216,"")</f>
        <v/>
      </c>
      <c r="Q5216" s="9">
        <f>I5216+O5216</f>
        <v/>
      </c>
      <c r="R5216" s="7">
        <f>Q5216*G5216</f>
        <v/>
      </c>
      <c r="S5216" s="8">
        <f>IF($R$5240=0,0,R5216/$R$5240)</f>
        <v/>
      </c>
      <c r="T5216" s="8" t="n">
        <v>0.005413811015814618</v>
      </c>
      <c r="U5216" s="8" t="n">
        <v>-0.009870779071349478</v>
      </c>
      <c r="V5216" s="6" t="inlineStr">
        <is>
          <t>not selected</t>
        </is>
      </c>
    </row>
    <row r="5217">
      <c r="A5217" s="6" t="inlineStr">
        <is>
          <t>DJ30</t>
        </is>
      </c>
      <c r="B5217" s="6" t="inlineStr">
        <is>
          <t>2026-03-27</t>
        </is>
      </c>
      <c r="C5217" s="6" t="inlineStr">
        <is>
          <t>DIA</t>
        </is>
      </c>
      <c r="D5217" s="6" t="inlineStr">
        <is>
          <t>CSCO</t>
        </is>
      </c>
      <c r="E5217" s="6" t="inlineStr">
        <is>
          <t>CSCO</t>
        </is>
      </c>
      <c r="F5217" s="6" t="inlineStr">
        <is>
          <t>-</t>
        </is>
      </c>
      <c r="G5217" s="7" t="n">
        <v>79.48927307128906</v>
      </c>
      <c r="H5217" s="6">
        <f>P5186</f>
        <v/>
      </c>
      <c r="I5217" s="9">
        <f>Q5186</f>
        <v/>
      </c>
      <c r="J5217" s="7">
        <f>I5217*G5217</f>
        <v/>
      </c>
      <c r="K5217" s="8">
        <f>IF($J$5240=0,0,J5217/$J$5240)</f>
        <v/>
      </c>
      <c r="L5217" s="6" t="inlineStr">
        <is>
          <t>SELECTED</t>
        </is>
      </c>
      <c r="M5217" s="8" t="n">
        <v>0.2</v>
      </c>
      <c r="N5217" s="7">
        <f>M5217*$J$5240-J5217</f>
        <v/>
      </c>
      <c r="O5217" s="9">
        <f>IF(G5217=0,0,N5217/G5217)</f>
        <v/>
      </c>
      <c r="P5217" s="6">
        <f>IF(M5217&gt;0,D5217,"")</f>
        <v/>
      </c>
      <c r="Q5217" s="9">
        <f>I5217+O5217</f>
        <v/>
      </c>
      <c r="R5217" s="7">
        <f>Q5217*G5217</f>
        <v/>
      </c>
      <c r="S5217" s="8">
        <f>IF($R$5240=0,0,R5217/$R$5240)</f>
        <v/>
      </c>
      <c r="T5217" s="8" t="n">
        <v>0.005413811015814618</v>
      </c>
      <c r="U5217" s="8" t="n">
        <v>-0.009870779071349478</v>
      </c>
      <c r="V5217" s="6" t="inlineStr">
        <is>
          <t>remained in weekly selection</t>
        </is>
      </c>
    </row>
    <row r="5218">
      <c r="A5218" s="6" t="inlineStr">
        <is>
          <t>DJ30</t>
        </is>
      </c>
      <c r="B5218" s="6" t="inlineStr">
        <is>
          <t>2026-03-27</t>
        </is>
      </c>
      <c r="C5218" s="6" t="inlineStr">
        <is>
          <t>DIA</t>
        </is>
      </c>
      <c r="D5218" s="6" t="inlineStr">
        <is>
          <t>CVX</t>
        </is>
      </c>
      <c r="E5218" s="6" t="inlineStr">
        <is>
          <t>CVX</t>
        </is>
      </c>
      <c r="F5218" s="6" t="inlineStr">
        <is>
          <t>-</t>
        </is>
      </c>
      <c r="G5218" s="7" t="n">
        <v>209.2335815429688</v>
      </c>
      <c r="H5218" s="6">
        <f>P5187</f>
        <v/>
      </c>
      <c r="I5218" s="9">
        <f>Q5187</f>
        <v/>
      </c>
      <c r="J5218" s="7">
        <f>I5218*G5218</f>
        <v/>
      </c>
      <c r="K5218" s="8">
        <f>IF($J$5240=0,0,J5218/$J$5240)</f>
        <v/>
      </c>
      <c r="L5218" s="6" t="inlineStr">
        <is>
          <t>WATCHLIST</t>
        </is>
      </c>
      <c r="M5218" s="8" t="n">
        <v>0</v>
      </c>
      <c r="N5218" s="7">
        <f>M5218*$J$5240-J5218</f>
        <v/>
      </c>
      <c r="O5218" s="9">
        <f>IF(G5218=0,0,N5218/G5218)</f>
        <v/>
      </c>
      <c r="P5218" s="6">
        <f>IF(M5218&gt;0,D5218,"")</f>
        <v/>
      </c>
      <c r="Q5218" s="9">
        <f>I5218+O5218</f>
        <v/>
      </c>
      <c r="R5218" s="7">
        <f>Q5218*G5218</f>
        <v/>
      </c>
      <c r="S5218" s="8">
        <f>IF($R$5240=0,0,R5218/$R$5240)</f>
        <v/>
      </c>
      <c r="T5218" s="8" t="n">
        <v>0.005413811015814618</v>
      </c>
      <c r="U5218" s="8" t="n">
        <v>-0.009870779071349478</v>
      </c>
      <c r="V5218" s="6" t="inlineStr">
        <is>
          <t>not selected</t>
        </is>
      </c>
    </row>
    <row r="5219">
      <c r="A5219" s="6" t="inlineStr">
        <is>
          <t>DJ30</t>
        </is>
      </c>
      <c r="B5219" s="6" t="inlineStr">
        <is>
          <t>2026-03-27</t>
        </is>
      </c>
      <c r="C5219" s="6" t="inlineStr">
        <is>
          <t>DIA</t>
        </is>
      </c>
      <c r="D5219" s="6" t="inlineStr">
        <is>
          <t>DIS</t>
        </is>
      </c>
      <c r="E5219" s="6" t="inlineStr">
        <is>
          <t>DIS</t>
        </is>
      </c>
      <c r="F5219" s="6" t="inlineStr">
        <is>
          <t>-</t>
        </is>
      </c>
      <c r="G5219" s="7" t="n">
        <v>92.41999816894533</v>
      </c>
      <c r="H5219" s="6">
        <f>P5188</f>
        <v/>
      </c>
      <c r="I5219" s="9">
        <f>Q5188</f>
        <v/>
      </c>
      <c r="J5219" s="7">
        <f>I5219*G5219</f>
        <v/>
      </c>
      <c r="K5219" s="8">
        <f>IF($J$5240=0,0,J5219/$J$5240)</f>
        <v/>
      </c>
      <c r="L5219" s="6" t="inlineStr">
        <is>
          <t>REJECTED</t>
        </is>
      </c>
      <c r="M5219" s="8" t="n">
        <v>0</v>
      </c>
      <c r="N5219" s="7">
        <f>M5219*$J$5240-J5219</f>
        <v/>
      </c>
      <c r="O5219" s="9">
        <f>IF(G5219=0,0,N5219/G5219)</f>
        <v/>
      </c>
      <c r="P5219" s="6">
        <f>IF(M5219&gt;0,D5219,"")</f>
        <v/>
      </c>
      <c r="Q5219" s="9">
        <f>I5219+O5219</f>
        <v/>
      </c>
      <c r="R5219" s="7">
        <f>Q5219*G5219</f>
        <v/>
      </c>
      <c r="S5219" s="8">
        <f>IF($R$5240=0,0,R5219/$R$5240)</f>
        <v/>
      </c>
      <c r="T5219" s="8" t="n">
        <v>0.005413811015814618</v>
      </c>
      <c r="U5219" s="8" t="n">
        <v>-0.009870779071349478</v>
      </c>
      <c r="V5219" s="6" t="inlineStr">
        <is>
          <t>not selected</t>
        </is>
      </c>
    </row>
    <row r="5220">
      <c r="A5220" s="6" t="inlineStr">
        <is>
          <t>DJ30</t>
        </is>
      </c>
      <c r="B5220" s="6" t="inlineStr">
        <is>
          <t>2026-03-27</t>
        </is>
      </c>
      <c r="C5220" s="6" t="inlineStr">
        <is>
          <t>DIA</t>
        </is>
      </c>
      <c r="D5220" s="6" t="inlineStr">
        <is>
          <t>GS</t>
        </is>
      </c>
      <c r="E5220" s="6" t="inlineStr">
        <is>
          <t>GS</t>
        </is>
      </c>
      <c r="F5220" s="6" t="inlineStr">
        <is>
          <t>-</t>
        </is>
      </c>
      <c r="G5220" s="7" t="n">
        <v>799.3670654296875</v>
      </c>
      <c r="H5220" s="6">
        <f>P5189</f>
        <v/>
      </c>
      <c r="I5220" s="9">
        <f>Q5189</f>
        <v/>
      </c>
      <c r="J5220" s="7">
        <f>I5220*G5220</f>
        <v/>
      </c>
      <c r="K5220" s="8">
        <f>IF($J$5240=0,0,J5220/$J$5240)</f>
        <v/>
      </c>
      <c r="L5220" s="6" t="inlineStr">
        <is>
          <t>SELECTED</t>
        </is>
      </c>
      <c r="M5220" s="8" t="n">
        <v>0.2</v>
      </c>
      <c r="N5220" s="7">
        <f>M5220*$J$5240-J5220</f>
        <v/>
      </c>
      <c r="O5220" s="9">
        <f>IF(G5220=0,0,N5220/G5220)</f>
        <v/>
      </c>
      <c r="P5220" s="6">
        <f>IF(M5220&gt;0,D5220,"")</f>
        <v/>
      </c>
      <c r="Q5220" s="9">
        <f>I5220+O5220</f>
        <v/>
      </c>
      <c r="R5220" s="7">
        <f>Q5220*G5220</f>
        <v/>
      </c>
      <c r="S5220" s="8">
        <f>IF($R$5240=0,0,R5220/$R$5240)</f>
        <v/>
      </c>
      <c r="T5220" s="8" t="n">
        <v>0.005413811015814618</v>
      </c>
      <c r="U5220" s="8" t="n">
        <v>-0.009870779071349478</v>
      </c>
      <c r="V5220" s="6" t="inlineStr">
        <is>
          <t>remained in weekly selection</t>
        </is>
      </c>
    </row>
    <row r="5221">
      <c r="A5221" s="6" t="inlineStr">
        <is>
          <t>DJ30</t>
        </is>
      </c>
      <c r="B5221" s="6" t="inlineStr">
        <is>
          <t>2026-03-27</t>
        </is>
      </c>
      <c r="C5221" s="6" t="inlineStr">
        <is>
          <t>DIA</t>
        </is>
      </c>
      <c r="D5221" s="6" t="inlineStr">
        <is>
          <t>HD</t>
        </is>
      </c>
      <c r="E5221" s="6" t="inlineStr">
        <is>
          <t>HD</t>
        </is>
      </c>
      <c r="F5221" s="6" t="inlineStr">
        <is>
          <t>-</t>
        </is>
      </c>
      <c r="G5221" s="7" t="n">
        <v>319.25537109375</v>
      </c>
      <c r="H5221" s="6">
        <f>P5190</f>
        <v/>
      </c>
      <c r="I5221" s="9">
        <f>Q5190</f>
        <v/>
      </c>
      <c r="J5221" s="7">
        <f>I5221*G5221</f>
        <v/>
      </c>
      <c r="K5221" s="8">
        <f>IF($J$5240=0,0,J5221/$J$5240)</f>
        <v/>
      </c>
      <c r="L5221" s="6" t="inlineStr">
        <is>
          <t>REJECTED</t>
        </is>
      </c>
      <c r="M5221" s="8" t="n">
        <v>0</v>
      </c>
      <c r="N5221" s="7">
        <f>M5221*$J$5240-J5221</f>
        <v/>
      </c>
      <c r="O5221" s="9">
        <f>IF(G5221=0,0,N5221/G5221)</f>
        <v/>
      </c>
      <c r="P5221" s="6">
        <f>IF(M5221&gt;0,D5221,"")</f>
        <v/>
      </c>
      <c r="Q5221" s="9">
        <f>I5221+O5221</f>
        <v/>
      </c>
      <c r="R5221" s="7">
        <f>Q5221*G5221</f>
        <v/>
      </c>
      <c r="S5221" s="8">
        <f>IF($R$5240=0,0,R5221/$R$5240)</f>
        <v/>
      </c>
      <c r="T5221" s="8" t="n">
        <v>0.005413811015814618</v>
      </c>
      <c r="U5221" s="8" t="n">
        <v>-0.009870779071349478</v>
      </c>
      <c r="V5221" s="6" t="inlineStr">
        <is>
          <t>not selected</t>
        </is>
      </c>
    </row>
    <row r="5222">
      <c r="A5222" s="6" t="inlineStr">
        <is>
          <t>DJ30</t>
        </is>
      </c>
      <c r="B5222" s="6" t="inlineStr">
        <is>
          <t>2026-03-27</t>
        </is>
      </c>
      <c r="C5222" s="6" t="inlineStr">
        <is>
          <t>DIA</t>
        </is>
      </c>
      <c r="D5222" s="6" t="inlineStr">
        <is>
          <t>HON</t>
        </is>
      </c>
      <c r="E5222" s="6" t="inlineStr">
        <is>
          <t>HON</t>
        </is>
      </c>
      <c r="F5222" s="6" t="inlineStr">
        <is>
          <t>-</t>
        </is>
      </c>
      <c r="G5222" s="7" t="n">
        <v>221.9004821777344</v>
      </c>
      <c r="H5222" s="6">
        <f>P5191</f>
        <v/>
      </c>
      <c r="I5222" s="9">
        <f>Q5191</f>
        <v/>
      </c>
      <c r="J5222" s="7">
        <f>I5222*G5222</f>
        <v/>
      </c>
      <c r="K5222" s="8">
        <f>IF($J$5240=0,0,J5222/$J$5240)</f>
        <v/>
      </c>
      <c r="L5222" s="6" t="inlineStr">
        <is>
          <t>REJECTED</t>
        </is>
      </c>
      <c r="M5222" s="8" t="n">
        <v>0</v>
      </c>
      <c r="N5222" s="7">
        <f>M5222*$J$5240-J5222</f>
        <v/>
      </c>
      <c r="O5222" s="9">
        <f>IF(G5222=0,0,N5222/G5222)</f>
        <v/>
      </c>
      <c r="P5222" s="6">
        <f>IF(M5222&gt;0,D5222,"")</f>
        <v/>
      </c>
      <c r="Q5222" s="9">
        <f>I5222+O5222</f>
        <v/>
      </c>
      <c r="R5222" s="7">
        <f>Q5222*G5222</f>
        <v/>
      </c>
      <c r="S5222" s="8">
        <f>IF($R$5240=0,0,R5222/$R$5240)</f>
        <v/>
      </c>
      <c r="T5222" s="8" t="n">
        <v>0.005413811015814618</v>
      </c>
      <c r="U5222" s="8" t="n">
        <v>-0.009870779071349478</v>
      </c>
      <c r="V5222" s="6" t="inlineStr">
        <is>
          <t>not selected</t>
        </is>
      </c>
    </row>
    <row r="5223">
      <c r="A5223" s="6" t="inlineStr">
        <is>
          <t>DJ30</t>
        </is>
      </c>
      <c r="B5223" s="6" t="inlineStr">
        <is>
          <t>2026-03-27</t>
        </is>
      </c>
      <c r="C5223" s="6" t="inlineStr">
        <is>
          <t>DIA</t>
        </is>
      </c>
      <c r="D5223" s="6" t="inlineStr">
        <is>
          <t>IBM</t>
        </is>
      </c>
      <c r="E5223" s="6" t="inlineStr">
        <is>
          <t>IBM</t>
        </is>
      </c>
      <c r="F5223" s="6" t="inlineStr">
        <is>
          <t>-</t>
        </is>
      </c>
      <c r="G5223" s="7" t="n">
        <v>234.6132507324219</v>
      </c>
      <c r="H5223" s="6">
        <f>P5192</f>
        <v/>
      </c>
      <c r="I5223" s="9">
        <f>Q5192</f>
        <v/>
      </c>
      <c r="J5223" s="7">
        <f>I5223*G5223</f>
        <v/>
      </c>
      <c r="K5223" s="8">
        <f>IF($J$5240=0,0,J5223/$J$5240)</f>
        <v/>
      </c>
      <c r="L5223" s="6" t="inlineStr">
        <is>
          <t>REJECTED</t>
        </is>
      </c>
      <c r="M5223" s="8" t="n">
        <v>0</v>
      </c>
      <c r="N5223" s="7">
        <f>M5223*$J$5240-J5223</f>
        <v/>
      </c>
      <c r="O5223" s="9">
        <f>IF(G5223=0,0,N5223/G5223)</f>
        <v/>
      </c>
      <c r="P5223" s="6">
        <f>IF(M5223&gt;0,D5223,"")</f>
        <v/>
      </c>
      <c r="Q5223" s="9">
        <f>I5223+O5223</f>
        <v/>
      </c>
      <c r="R5223" s="7">
        <f>Q5223*G5223</f>
        <v/>
      </c>
      <c r="S5223" s="8">
        <f>IF($R$5240=0,0,R5223/$R$5240)</f>
        <v/>
      </c>
      <c r="T5223" s="8" t="n">
        <v>0.005413811015814618</v>
      </c>
      <c r="U5223" s="8" t="n">
        <v>-0.009870779071349478</v>
      </c>
      <c r="V5223" s="6" t="inlineStr">
        <is>
          <t>not selected</t>
        </is>
      </c>
    </row>
    <row r="5224">
      <c r="A5224" s="6" t="inlineStr">
        <is>
          <t>DJ30</t>
        </is>
      </c>
      <c r="B5224" s="6" t="inlineStr">
        <is>
          <t>2026-03-27</t>
        </is>
      </c>
      <c r="C5224" s="6" t="inlineStr">
        <is>
          <t>DIA</t>
        </is>
      </c>
      <c r="D5224" s="6" t="inlineStr">
        <is>
          <t>JNJ</t>
        </is>
      </c>
      <c r="E5224" s="6" t="inlineStr">
        <is>
          <t>JNJ</t>
        </is>
      </c>
      <c r="F5224" s="6" t="inlineStr">
        <is>
          <t>-</t>
        </is>
      </c>
      <c r="G5224" s="7" t="n">
        <v>239.0750579833984</v>
      </c>
      <c r="H5224" s="6">
        <f>P5193</f>
        <v/>
      </c>
      <c r="I5224" s="9">
        <f>Q5193</f>
        <v/>
      </c>
      <c r="J5224" s="7">
        <f>I5224*G5224</f>
        <v/>
      </c>
      <c r="K5224" s="8">
        <f>IF($J$5240=0,0,J5224/$J$5240)</f>
        <v/>
      </c>
      <c r="L5224" s="6" t="inlineStr">
        <is>
          <t>SELECTED</t>
        </is>
      </c>
      <c r="M5224" s="8" t="n">
        <v>0.2</v>
      </c>
      <c r="N5224" s="7">
        <f>M5224*$J$5240-J5224</f>
        <v/>
      </c>
      <c r="O5224" s="9">
        <f>IF(G5224=0,0,N5224/G5224)</f>
        <v/>
      </c>
      <c r="P5224" s="6">
        <f>IF(M5224&gt;0,D5224,"")</f>
        <v/>
      </c>
      <c r="Q5224" s="9">
        <f>I5224+O5224</f>
        <v/>
      </c>
      <c r="R5224" s="7">
        <f>Q5224*G5224</f>
        <v/>
      </c>
      <c r="S5224" s="8">
        <f>IF($R$5240=0,0,R5224/$R$5240)</f>
        <v/>
      </c>
      <c r="T5224" s="8" t="n">
        <v>0.005413811015814618</v>
      </c>
      <c r="U5224" s="8" t="n">
        <v>-0.009870779071349478</v>
      </c>
      <c r="V5224" s="6" t="inlineStr">
        <is>
          <t>remained in weekly selection</t>
        </is>
      </c>
    </row>
    <row r="5225">
      <c r="A5225" s="6" t="inlineStr">
        <is>
          <t>DJ30</t>
        </is>
      </c>
      <c r="B5225" s="6" t="inlineStr">
        <is>
          <t>2026-03-27</t>
        </is>
      </c>
      <c r="C5225" s="6" t="inlineStr">
        <is>
          <t>DIA</t>
        </is>
      </c>
      <c r="D5225" s="6" t="inlineStr">
        <is>
          <t>JPM</t>
        </is>
      </c>
      <c r="E5225" s="6" t="inlineStr">
        <is>
          <t>JPM</t>
        </is>
      </c>
      <c r="F5225" s="6" t="inlineStr">
        <is>
          <t>-</t>
        </is>
      </c>
      <c r="G5225" s="7" t="n">
        <v>281.3998718261719</v>
      </c>
      <c r="H5225" s="6">
        <f>P5194</f>
        <v/>
      </c>
      <c r="I5225" s="9">
        <f>Q5194</f>
        <v/>
      </c>
      <c r="J5225" s="7">
        <f>I5225*G5225</f>
        <v/>
      </c>
      <c r="K5225" s="8">
        <f>IF($J$5240=0,0,J5225/$J$5240)</f>
        <v/>
      </c>
      <c r="L5225" s="6" t="inlineStr">
        <is>
          <t>WATCHLIST</t>
        </is>
      </c>
      <c r="M5225" s="8" t="n">
        <v>0</v>
      </c>
      <c r="N5225" s="7">
        <f>M5225*$J$5240-J5225</f>
        <v/>
      </c>
      <c r="O5225" s="9">
        <f>IF(G5225=0,0,N5225/G5225)</f>
        <v/>
      </c>
      <c r="P5225" s="6">
        <f>IF(M5225&gt;0,D5225,"")</f>
        <v/>
      </c>
      <c r="Q5225" s="9">
        <f>I5225+O5225</f>
        <v/>
      </c>
      <c r="R5225" s="7">
        <f>Q5225*G5225</f>
        <v/>
      </c>
      <c r="S5225" s="8">
        <f>IF($R$5240=0,0,R5225/$R$5240)</f>
        <v/>
      </c>
      <c r="T5225" s="8" t="n">
        <v>0.005413811015814618</v>
      </c>
      <c r="U5225" s="8" t="n">
        <v>-0.009870779071349478</v>
      </c>
      <c r="V5225" s="6" t="inlineStr">
        <is>
          <t>not selected</t>
        </is>
      </c>
    </row>
    <row r="5226">
      <c r="A5226" s="6" t="inlineStr">
        <is>
          <t>DJ30</t>
        </is>
      </c>
      <c r="B5226" s="6" t="inlineStr">
        <is>
          <t>2026-03-27</t>
        </is>
      </c>
      <c r="C5226" s="6" t="inlineStr">
        <is>
          <t>DIA</t>
        </is>
      </c>
      <c r="D5226" s="6" t="inlineStr">
        <is>
          <t>KO</t>
        </is>
      </c>
      <c r="E5226" s="6" t="inlineStr">
        <is>
          <t>KO</t>
        </is>
      </c>
      <c r="F5226" s="6" t="inlineStr">
        <is>
          <t>-</t>
        </is>
      </c>
      <c r="G5226" s="7" t="n">
        <v>75.22432708740234</v>
      </c>
      <c r="H5226" s="6">
        <f>P5195</f>
        <v/>
      </c>
      <c r="I5226" s="9">
        <f>Q5195</f>
        <v/>
      </c>
      <c r="J5226" s="7">
        <f>I5226*G5226</f>
        <v/>
      </c>
      <c r="K5226" s="8">
        <f>IF($J$5240=0,0,J5226/$J$5240)</f>
        <v/>
      </c>
      <c r="L5226" s="6" t="inlineStr">
        <is>
          <t>WATCHLIST</t>
        </is>
      </c>
      <c r="M5226" s="8" t="n">
        <v>0</v>
      </c>
      <c r="N5226" s="7">
        <f>M5226*$J$5240-J5226</f>
        <v/>
      </c>
      <c r="O5226" s="9">
        <f>IF(G5226=0,0,N5226/G5226)</f>
        <v/>
      </c>
      <c r="P5226" s="6">
        <f>IF(M5226&gt;0,D5226,"")</f>
        <v/>
      </c>
      <c r="Q5226" s="9">
        <f>I5226+O5226</f>
        <v/>
      </c>
      <c r="R5226" s="7">
        <f>Q5226*G5226</f>
        <v/>
      </c>
      <c r="S5226" s="8">
        <f>IF($R$5240=0,0,R5226/$R$5240)</f>
        <v/>
      </c>
      <c r="T5226" s="8" t="n">
        <v>0.005413811015814618</v>
      </c>
      <c r="U5226" s="8" t="n">
        <v>-0.009870779071349478</v>
      </c>
      <c r="V5226" s="6" t="inlineStr">
        <is>
          <t>not selected</t>
        </is>
      </c>
    </row>
    <row r="5227">
      <c r="A5227" s="6" t="inlineStr">
        <is>
          <t>DJ30</t>
        </is>
      </c>
      <c r="B5227" s="6" t="inlineStr">
        <is>
          <t>2026-03-27</t>
        </is>
      </c>
      <c r="C5227" s="6" t="inlineStr">
        <is>
          <t>DIA</t>
        </is>
      </c>
      <c r="D5227" s="6" t="inlineStr">
        <is>
          <t>MCD</t>
        </is>
      </c>
      <c r="E5227" s="6" t="inlineStr">
        <is>
          <t>MCD</t>
        </is>
      </c>
      <c r="F5227" s="6" t="inlineStr">
        <is>
          <t>-</t>
        </is>
      </c>
      <c r="G5227" s="7" t="n">
        <v>303.8393249511719</v>
      </c>
      <c r="H5227" s="6">
        <f>P5196</f>
        <v/>
      </c>
      <c r="I5227" s="9">
        <f>Q5196</f>
        <v/>
      </c>
      <c r="J5227" s="7">
        <f>I5227*G5227</f>
        <v/>
      </c>
      <c r="K5227" s="8">
        <f>IF($J$5240=0,0,J5227/$J$5240)</f>
        <v/>
      </c>
      <c r="L5227" s="6" t="inlineStr">
        <is>
          <t>WATCHLIST</t>
        </is>
      </c>
      <c r="M5227" s="8" t="n">
        <v>0</v>
      </c>
      <c r="N5227" s="7">
        <f>M5227*$J$5240-J5227</f>
        <v/>
      </c>
      <c r="O5227" s="9">
        <f>IF(G5227=0,0,N5227/G5227)</f>
        <v/>
      </c>
      <c r="P5227" s="6">
        <f>IF(M5227&gt;0,D5227,"")</f>
        <v/>
      </c>
      <c r="Q5227" s="9">
        <f>I5227+O5227</f>
        <v/>
      </c>
      <c r="R5227" s="7">
        <f>Q5227*G5227</f>
        <v/>
      </c>
      <c r="S5227" s="8">
        <f>IF($R$5240=0,0,R5227/$R$5240)</f>
        <v/>
      </c>
      <c r="T5227" s="8" t="n">
        <v>0.005413811015814618</v>
      </c>
      <c r="U5227" s="8" t="n">
        <v>-0.009870779071349478</v>
      </c>
      <c r="V5227" s="6" t="inlineStr">
        <is>
          <t>not selected</t>
        </is>
      </c>
    </row>
    <row r="5228">
      <c r="A5228" s="6" t="inlineStr">
        <is>
          <t>DJ30</t>
        </is>
      </c>
      <c r="B5228" s="6" t="inlineStr">
        <is>
          <t>2026-03-27</t>
        </is>
      </c>
      <c r="C5228" s="6" t="inlineStr">
        <is>
          <t>DIA</t>
        </is>
      </c>
      <c r="D5228" s="6" t="inlineStr">
        <is>
          <t>MMM</t>
        </is>
      </c>
      <c r="E5228" s="6" t="inlineStr">
        <is>
          <t>MMM</t>
        </is>
      </c>
      <c r="F5228" s="6" t="inlineStr">
        <is>
          <t>-</t>
        </is>
      </c>
      <c r="G5228" s="7" t="n">
        <v>142.3040313720703</v>
      </c>
      <c r="H5228" s="6">
        <f>P5197</f>
        <v/>
      </c>
      <c r="I5228" s="9">
        <f>Q5197</f>
        <v/>
      </c>
      <c r="J5228" s="7">
        <f>I5228*G5228</f>
        <v/>
      </c>
      <c r="K5228" s="8">
        <f>IF($J$5240=0,0,J5228/$J$5240)</f>
        <v/>
      </c>
      <c r="L5228" s="6" t="inlineStr">
        <is>
          <t>WATCHLIST</t>
        </is>
      </c>
      <c r="M5228" s="8" t="n">
        <v>0</v>
      </c>
      <c r="N5228" s="7">
        <f>M5228*$J$5240-J5228</f>
        <v/>
      </c>
      <c r="O5228" s="9">
        <f>IF(G5228=0,0,N5228/G5228)</f>
        <v/>
      </c>
      <c r="P5228" s="6">
        <f>IF(M5228&gt;0,D5228,"")</f>
        <v/>
      </c>
      <c r="Q5228" s="9">
        <f>I5228+O5228</f>
        <v/>
      </c>
      <c r="R5228" s="7">
        <f>Q5228*G5228</f>
        <v/>
      </c>
      <c r="S5228" s="8">
        <f>IF($R$5240=0,0,R5228/$R$5240)</f>
        <v/>
      </c>
      <c r="T5228" s="8" t="n">
        <v>0.005413811015814618</v>
      </c>
      <c r="U5228" s="8" t="n">
        <v>-0.009870779071349478</v>
      </c>
      <c r="V5228" s="6" t="inlineStr">
        <is>
          <t>not selected</t>
        </is>
      </c>
    </row>
    <row r="5229">
      <c r="A5229" s="6" t="inlineStr">
        <is>
          <t>DJ30</t>
        </is>
      </c>
      <c r="B5229" s="6" t="inlineStr">
        <is>
          <t>2026-03-27</t>
        </is>
      </c>
      <c r="C5229" s="6" t="inlineStr">
        <is>
          <t>DIA</t>
        </is>
      </c>
      <c r="D5229" s="6" t="inlineStr">
        <is>
          <t>MRK</t>
        </is>
      </c>
      <c r="E5229" s="6" t="inlineStr">
        <is>
          <t>MRK</t>
        </is>
      </c>
      <c r="F5229" s="6" t="inlineStr">
        <is>
          <t>-</t>
        </is>
      </c>
      <c r="G5229" s="7" t="n">
        <v>118.7758560180664</v>
      </c>
      <c r="H5229" s="6">
        <f>P5198</f>
        <v/>
      </c>
      <c r="I5229" s="9">
        <f>Q5198</f>
        <v/>
      </c>
      <c r="J5229" s="7">
        <f>I5229*G5229</f>
        <v/>
      </c>
      <c r="K5229" s="8">
        <f>IF($J$5240=0,0,J5229/$J$5240)</f>
        <v/>
      </c>
      <c r="L5229" s="6" t="inlineStr">
        <is>
          <t>SELECTED</t>
        </is>
      </c>
      <c r="M5229" s="8" t="n">
        <v>0.2</v>
      </c>
      <c r="N5229" s="7">
        <f>M5229*$J$5240-J5229</f>
        <v/>
      </c>
      <c r="O5229" s="9">
        <f>IF(G5229=0,0,N5229/G5229)</f>
        <v/>
      </c>
      <c r="P5229" s="6">
        <f>IF(M5229&gt;0,D5229,"")</f>
        <v/>
      </c>
      <c r="Q5229" s="9">
        <f>I5229+O5229</f>
        <v/>
      </c>
      <c r="R5229" s="7">
        <f>Q5229*G5229</f>
        <v/>
      </c>
      <c r="S5229" s="8">
        <f>IF($R$5240=0,0,R5229/$R$5240)</f>
        <v/>
      </c>
      <c r="T5229" s="8" t="n">
        <v>0.005413811015814618</v>
      </c>
      <c r="U5229" s="8" t="n">
        <v>-0.009870779071349478</v>
      </c>
      <c r="V5229" s="6" t="inlineStr">
        <is>
          <t>entered weekly selection</t>
        </is>
      </c>
    </row>
    <row r="5230">
      <c r="A5230" s="6" t="inlineStr">
        <is>
          <t>DJ30</t>
        </is>
      </c>
      <c r="B5230" s="6" t="inlineStr">
        <is>
          <t>2026-03-27</t>
        </is>
      </c>
      <c r="C5230" s="6" t="inlineStr">
        <is>
          <t>DIA</t>
        </is>
      </c>
      <c r="D5230" s="6" t="inlineStr">
        <is>
          <t>MSFT</t>
        </is>
      </c>
      <c r="E5230" s="6" t="inlineStr">
        <is>
          <t>MSFT</t>
        </is>
      </c>
      <c r="F5230" s="6" t="inlineStr">
        <is>
          <t>-</t>
        </is>
      </c>
      <c r="G5230" s="7" t="n">
        <v>355.9989318847656</v>
      </c>
      <c r="H5230" s="6">
        <f>P5199</f>
        <v/>
      </c>
      <c r="I5230" s="9">
        <f>Q5199</f>
        <v/>
      </c>
      <c r="J5230" s="7">
        <f>I5230*G5230</f>
        <v/>
      </c>
      <c r="K5230" s="8">
        <f>IF($J$5240=0,0,J5230/$J$5240)</f>
        <v/>
      </c>
      <c r="L5230" s="6" t="inlineStr">
        <is>
          <t>REJECTED</t>
        </is>
      </c>
      <c r="M5230" s="8" t="n">
        <v>0</v>
      </c>
      <c r="N5230" s="7">
        <f>M5230*$J$5240-J5230</f>
        <v/>
      </c>
      <c r="O5230" s="9">
        <f>IF(G5230=0,0,N5230/G5230)</f>
        <v/>
      </c>
      <c r="P5230" s="6">
        <f>IF(M5230&gt;0,D5230,"")</f>
        <v/>
      </c>
      <c r="Q5230" s="9">
        <f>I5230+O5230</f>
        <v/>
      </c>
      <c r="R5230" s="7">
        <f>Q5230*G5230</f>
        <v/>
      </c>
      <c r="S5230" s="8">
        <f>IF($R$5240=0,0,R5230/$R$5240)</f>
        <v/>
      </c>
      <c r="T5230" s="8" t="n">
        <v>0.005413811015814618</v>
      </c>
      <c r="U5230" s="8" t="n">
        <v>-0.009870779071349478</v>
      </c>
      <c r="V5230" s="6" t="inlineStr">
        <is>
          <t>not selected</t>
        </is>
      </c>
    </row>
    <row r="5231">
      <c r="A5231" s="6" t="inlineStr">
        <is>
          <t>DJ30</t>
        </is>
      </c>
      <c r="B5231" s="6" t="inlineStr">
        <is>
          <t>2026-03-27</t>
        </is>
      </c>
      <c r="C5231" s="6" t="inlineStr">
        <is>
          <t>DIA</t>
        </is>
      </c>
      <c r="D5231" s="6" t="inlineStr">
        <is>
          <t>NKE</t>
        </is>
      </c>
      <c r="E5231" s="6" t="inlineStr">
        <is>
          <t>NKE</t>
        </is>
      </c>
      <c r="F5231" s="6" t="inlineStr">
        <is>
          <t>-</t>
        </is>
      </c>
      <c r="G5231" s="7" t="n">
        <v>50.91441345214844</v>
      </c>
      <c r="H5231" s="6">
        <f>P5200</f>
        <v/>
      </c>
      <c r="I5231" s="9">
        <f>Q5200</f>
        <v/>
      </c>
      <c r="J5231" s="7">
        <f>I5231*G5231</f>
        <v/>
      </c>
      <c r="K5231" s="8">
        <f>IF($J$5240=0,0,J5231/$J$5240)</f>
        <v/>
      </c>
      <c r="L5231" s="6" t="inlineStr">
        <is>
          <t>REJECTED</t>
        </is>
      </c>
      <c r="M5231" s="8" t="n">
        <v>0</v>
      </c>
      <c r="N5231" s="7">
        <f>M5231*$J$5240-J5231</f>
        <v/>
      </c>
      <c r="O5231" s="9">
        <f>IF(G5231=0,0,N5231/G5231)</f>
        <v/>
      </c>
      <c r="P5231" s="6">
        <f>IF(M5231&gt;0,D5231,"")</f>
        <v/>
      </c>
      <c r="Q5231" s="9">
        <f>I5231+O5231</f>
        <v/>
      </c>
      <c r="R5231" s="7">
        <f>Q5231*G5231</f>
        <v/>
      </c>
      <c r="S5231" s="8">
        <f>IF($R$5240=0,0,R5231/$R$5240)</f>
        <v/>
      </c>
      <c r="T5231" s="8" t="n">
        <v>0.005413811015814618</v>
      </c>
      <c r="U5231" s="8" t="n">
        <v>-0.009870779071349478</v>
      </c>
      <c r="V5231" s="6" t="inlineStr">
        <is>
          <t>not selected</t>
        </is>
      </c>
    </row>
    <row r="5232">
      <c r="A5232" s="6" t="inlineStr">
        <is>
          <t>DJ30</t>
        </is>
      </c>
      <c r="B5232" s="6" t="inlineStr">
        <is>
          <t>2026-03-27</t>
        </is>
      </c>
      <c r="C5232" s="6" t="inlineStr">
        <is>
          <t>DIA</t>
        </is>
      </c>
      <c r="D5232" s="6" t="inlineStr">
        <is>
          <t>NVDA</t>
        </is>
      </c>
      <c r="E5232" s="6" t="inlineStr">
        <is>
          <t>NVDA</t>
        </is>
      </c>
      <c r="F5232" s="6" t="inlineStr">
        <is>
          <t>-</t>
        </is>
      </c>
      <c r="G5232" s="7" t="n">
        <v>167.3249816894531</v>
      </c>
      <c r="H5232" s="6">
        <f>P5201</f>
        <v/>
      </c>
      <c r="I5232" s="9">
        <f>Q5201</f>
        <v/>
      </c>
      <c r="J5232" s="7">
        <f>I5232*G5232</f>
        <v/>
      </c>
      <c r="K5232" s="8">
        <f>IF($J$5240=0,0,J5232/$J$5240)</f>
        <v/>
      </c>
      <c r="L5232" s="6" t="inlineStr">
        <is>
          <t>WATCHLIST</t>
        </is>
      </c>
      <c r="M5232" s="8" t="n">
        <v>0</v>
      </c>
      <c r="N5232" s="7">
        <f>M5232*$J$5240-J5232</f>
        <v/>
      </c>
      <c r="O5232" s="9">
        <f>IF(G5232=0,0,N5232/G5232)</f>
        <v/>
      </c>
      <c r="P5232" s="6">
        <f>IF(M5232&gt;0,D5232,"")</f>
        <v/>
      </c>
      <c r="Q5232" s="9">
        <f>I5232+O5232</f>
        <v/>
      </c>
      <c r="R5232" s="7">
        <f>Q5232*G5232</f>
        <v/>
      </c>
      <c r="S5232" s="8">
        <f>IF($R$5240=0,0,R5232/$R$5240)</f>
        <v/>
      </c>
      <c r="T5232" s="8" t="n">
        <v>0.005413811015814618</v>
      </c>
      <c r="U5232" s="8" t="n">
        <v>-0.009870779071349478</v>
      </c>
      <c r="V5232" s="6" t="inlineStr">
        <is>
          <t>removed from weekly selection</t>
        </is>
      </c>
    </row>
    <row r="5233">
      <c r="A5233" s="6" t="inlineStr">
        <is>
          <t>DJ30</t>
        </is>
      </c>
      <c r="B5233" s="6" t="inlineStr">
        <is>
          <t>2026-03-27</t>
        </is>
      </c>
      <c r="C5233" s="6" t="inlineStr">
        <is>
          <t>DIA</t>
        </is>
      </c>
      <c r="D5233" s="6" t="inlineStr">
        <is>
          <t>PG</t>
        </is>
      </c>
      <c r="E5233" s="6" t="inlineStr">
        <is>
          <t>PG</t>
        </is>
      </c>
      <c r="F5233" s="6" t="inlineStr">
        <is>
          <t>-</t>
        </is>
      </c>
      <c r="G5233" s="7" t="n">
        <v>141.6434326171875</v>
      </c>
      <c r="H5233" s="6">
        <f>P5202</f>
        <v/>
      </c>
      <c r="I5233" s="9">
        <f>Q5202</f>
        <v/>
      </c>
      <c r="J5233" s="7">
        <f>I5233*G5233</f>
        <v/>
      </c>
      <c r="K5233" s="8">
        <f>IF($J$5240=0,0,J5233/$J$5240)</f>
        <v/>
      </c>
      <c r="L5233" s="6" t="inlineStr">
        <is>
          <t>REJECTED</t>
        </is>
      </c>
      <c r="M5233" s="8" t="n">
        <v>0</v>
      </c>
      <c r="N5233" s="7">
        <f>M5233*$J$5240-J5233</f>
        <v/>
      </c>
      <c r="O5233" s="9">
        <f>IF(G5233=0,0,N5233/G5233)</f>
        <v/>
      </c>
      <c r="P5233" s="6">
        <f>IF(M5233&gt;0,D5233,"")</f>
        <v/>
      </c>
      <c r="Q5233" s="9">
        <f>I5233+O5233</f>
        <v/>
      </c>
      <c r="R5233" s="7">
        <f>Q5233*G5233</f>
        <v/>
      </c>
      <c r="S5233" s="8">
        <f>IF($R$5240=0,0,R5233/$R$5240)</f>
        <v/>
      </c>
      <c r="T5233" s="8" t="n">
        <v>0.005413811015814618</v>
      </c>
      <c r="U5233" s="8" t="n">
        <v>-0.009870779071349478</v>
      </c>
      <c r="V5233" s="6" t="inlineStr">
        <is>
          <t>not selected</t>
        </is>
      </c>
    </row>
    <row r="5234">
      <c r="A5234" s="6" t="inlineStr">
        <is>
          <t>DJ30</t>
        </is>
      </c>
      <c r="B5234" s="6" t="inlineStr">
        <is>
          <t>2026-03-27</t>
        </is>
      </c>
      <c r="C5234" s="6" t="inlineStr">
        <is>
          <t>DIA</t>
        </is>
      </c>
      <c r="D5234" s="6" t="inlineStr">
        <is>
          <t>SHW</t>
        </is>
      </c>
      <c r="E5234" s="6" t="inlineStr">
        <is>
          <t>SHW</t>
        </is>
      </c>
      <c r="F5234" s="6" t="inlineStr">
        <is>
          <t>-</t>
        </is>
      </c>
      <c r="G5234" s="7" t="n">
        <v>314.5544128417969</v>
      </c>
      <c r="H5234" s="6">
        <f>P5203</f>
        <v/>
      </c>
      <c r="I5234" s="9">
        <f>Q5203</f>
        <v/>
      </c>
      <c r="J5234" s="7">
        <f>I5234*G5234</f>
        <v/>
      </c>
      <c r="K5234" s="8">
        <f>IF($J$5240=0,0,J5234/$J$5240)</f>
        <v/>
      </c>
      <c r="L5234" s="6" t="inlineStr">
        <is>
          <t>REJECTED</t>
        </is>
      </c>
      <c r="M5234" s="8" t="n">
        <v>0</v>
      </c>
      <c r="N5234" s="7">
        <f>M5234*$J$5240-J5234</f>
        <v/>
      </c>
      <c r="O5234" s="9">
        <f>IF(G5234=0,0,N5234/G5234)</f>
        <v/>
      </c>
      <c r="P5234" s="6">
        <f>IF(M5234&gt;0,D5234,"")</f>
        <v/>
      </c>
      <c r="Q5234" s="9">
        <f>I5234+O5234</f>
        <v/>
      </c>
      <c r="R5234" s="7">
        <f>Q5234*G5234</f>
        <v/>
      </c>
      <c r="S5234" s="8">
        <f>IF($R$5240=0,0,R5234/$R$5240)</f>
        <v/>
      </c>
      <c r="T5234" s="8" t="n">
        <v>0.005413811015814618</v>
      </c>
      <c r="U5234" s="8" t="n">
        <v>-0.009870779071349478</v>
      </c>
      <c r="V5234" s="6" t="inlineStr">
        <is>
          <t>not selected</t>
        </is>
      </c>
    </row>
    <row r="5235">
      <c r="A5235" s="6" t="inlineStr">
        <is>
          <t>DJ30</t>
        </is>
      </c>
      <c r="B5235" s="6" t="inlineStr">
        <is>
          <t>2026-03-27</t>
        </is>
      </c>
      <c r="C5235" s="6" t="inlineStr">
        <is>
          <t>DIA</t>
        </is>
      </c>
      <c r="D5235" s="6" t="inlineStr">
        <is>
          <t>TRV</t>
        </is>
      </c>
      <c r="E5235" s="6" t="inlineStr">
        <is>
          <t>TRV</t>
        </is>
      </c>
      <c r="F5235" s="6" t="inlineStr">
        <is>
          <t>-</t>
        </is>
      </c>
      <c r="G5235" s="7" t="n">
        <v>284.0823364257812</v>
      </c>
      <c r="H5235" s="6">
        <f>P5204</f>
        <v/>
      </c>
      <c r="I5235" s="9">
        <f>Q5204</f>
        <v/>
      </c>
      <c r="J5235" s="7">
        <f>I5235*G5235</f>
        <v/>
      </c>
      <c r="K5235" s="8">
        <f>IF($J$5240=0,0,J5235/$J$5240)</f>
        <v/>
      </c>
      <c r="L5235" s="6" t="inlineStr">
        <is>
          <t>WATCHLIST</t>
        </is>
      </c>
      <c r="M5235" s="8" t="n">
        <v>0</v>
      </c>
      <c r="N5235" s="7">
        <f>M5235*$J$5240-J5235</f>
        <v/>
      </c>
      <c r="O5235" s="9">
        <f>IF(G5235=0,0,N5235/G5235)</f>
        <v/>
      </c>
      <c r="P5235" s="6">
        <f>IF(M5235&gt;0,D5235,"")</f>
        <v/>
      </c>
      <c r="Q5235" s="9">
        <f>I5235+O5235</f>
        <v/>
      </c>
      <c r="R5235" s="7">
        <f>Q5235*G5235</f>
        <v/>
      </c>
      <c r="S5235" s="8">
        <f>IF($R$5240=0,0,R5235/$R$5240)</f>
        <v/>
      </c>
      <c r="T5235" s="8" t="n">
        <v>0.005413811015814618</v>
      </c>
      <c r="U5235" s="8" t="n">
        <v>-0.009870779071349478</v>
      </c>
      <c r="V5235" s="6" t="inlineStr">
        <is>
          <t>not selected</t>
        </is>
      </c>
    </row>
    <row r="5236">
      <c r="A5236" s="6" t="inlineStr">
        <is>
          <t>DJ30</t>
        </is>
      </c>
      <c r="B5236" s="6" t="inlineStr">
        <is>
          <t>2026-03-27</t>
        </is>
      </c>
      <c r="C5236" s="6" t="inlineStr">
        <is>
          <t>DIA</t>
        </is>
      </c>
      <c r="D5236" s="6" t="inlineStr">
        <is>
          <t>UNH</t>
        </is>
      </c>
      <c r="E5236" s="6" t="inlineStr">
        <is>
          <t>UNH</t>
        </is>
      </c>
      <c r="F5236" s="6" t="inlineStr">
        <is>
          <t>-</t>
        </is>
      </c>
      <c r="G5236" s="7" t="n">
        <v>257.5490112304688</v>
      </c>
      <c r="H5236" s="6">
        <f>P5205</f>
        <v/>
      </c>
      <c r="I5236" s="9">
        <f>Q5205</f>
        <v/>
      </c>
      <c r="J5236" s="7">
        <f>I5236*G5236</f>
        <v/>
      </c>
      <c r="K5236" s="8">
        <f>IF($J$5240=0,0,J5236/$J$5240)</f>
        <v/>
      </c>
      <c r="L5236" s="6" t="inlineStr">
        <is>
          <t>REJECTED</t>
        </is>
      </c>
      <c r="M5236" s="8" t="n">
        <v>0</v>
      </c>
      <c r="N5236" s="7">
        <f>M5236*$J$5240-J5236</f>
        <v/>
      </c>
      <c r="O5236" s="9">
        <f>IF(G5236=0,0,N5236/G5236)</f>
        <v/>
      </c>
      <c r="P5236" s="6">
        <f>IF(M5236&gt;0,D5236,"")</f>
        <v/>
      </c>
      <c r="Q5236" s="9">
        <f>I5236+O5236</f>
        <v/>
      </c>
      <c r="R5236" s="7">
        <f>Q5236*G5236</f>
        <v/>
      </c>
      <c r="S5236" s="8">
        <f>IF($R$5240=0,0,R5236/$R$5240)</f>
        <v/>
      </c>
      <c r="T5236" s="8" t="n">
        <v>0.005413811015814618</v>
      </c>
      <c r="U5236" s="8" t="n">
        <v>-0.009870779071349478</v>
      </c>
      <c r="V5236" s="6" t="inlineStr">
        <is>
          <t>not selected</t>
        </is>
      </c>
    </row>
    <row r="5237">
      <c r="A5237" s="6" t="inlineStr">
        <is>
          <t>DJ30</t>
        </is>
      </c>
      <c r="B5237" s="6" t="inlineStr">
        <is>
          <t>2026-03-27</t>
        </is>
      </c>
      <c r="C5237" s="6" t="inlineStr">
        <is>
          <t>DIA</t>
        </is>
      </c>
      <c r="D5237" s="6" t="inlineStr">
        <is>
          <t>V</t>
        </is>
      </c>
      <c r="E5237" s="6" t="inlineStr">
        <is>
          <t>V</t>
        </is>
      </c>
      <c r="F5237" s="6" t="inlineStr">
        <is>
          <t>-</t>
        </is>
      </c>
      <c r="G5237" s="7" t="n">
        <v>294.9085998535156</v>
      </c>
      <c r="H5237" s="6">
        <f>P5206</f>
        <v/>
      </c>
      <c r="I5237" s="9">
        <f>Q5206</f>
        <v/>
      </c>
      <c r="J5237" s="7">
        <f>I5237*G5237</f>
        <v/>
      </c>
      <c r="K5237" s="8">
        <f>IF($J$5240=0,0,J5237/$J$5240)</f>
        <v/>
      </c>
      <c r="L5237" s="6" t="inlineStr">
        <is>
          <t>REJECTED</t>
        </is>
      </c>
      <c r="M5237" s="8" t="n">
        <v>0</v>
      </c>
      <c r="N5237" s="7">
        <f>M5237*$J$5240-J5237</f>
        <v/>
      </c>
      <c r="O5237" s="9">
        <f>IF(G5237=0,0,N5237/G5237)</f>
        <v/>
      </c>
      <c r="P5237" s="6">
        <f>IF(M5237&gt;0,D5237,"")</f>
        <v/>
      </c>
      <c r="Q5237" s="9">
        <f>I5237+O5237</f>
        <v/>
      </c>
      <c r="R5237" s="7">
        <f>Q5237*G5237</f>
        <v/>
      </c>
      <c r="S5237" s="8">
        <f>IF($R$5240=0,0,R5237/$R$5240)</f>
        <v/>
      </c>
      <c r="T5237" s="8" t="n">
        <v>0.005413811015814618</v>
      </c>
      <c r="U5237" s="8" t="n">
        <v>-0.009870779071349478</v>
      </c>
      <c r="V5237" s="6" t="inlineStr">
        <is>
          <t>not selected</t>
        </is>
      </c>
    </row>
    <row r="5238">
      <c r="A5238" s="6" t="inlineStr">
        <is>
          <t>DJ30</t>
        </is>
      </c>
      <c r="B5238" s="6" t="inlineStr">
        <is>
          <t>2026-03-27</t>
        </is>
      </c>
      <c r="C5238" s="6" t="inlineStr">
        <is>
          <t>DIA</t>
        </is>
      </c>
      <c r="D5238" s="6" t="inlineStr">
        <is>
          <t>VZ</t>
        </is>
      </c>
      <c r="E5238" s="6" t="inlineStr">
        <is>
          <t>VZ</t>
        </is>
      </c>
      <c r="F5238" s="6" t="inlineStr">
        <is>
          <t>-</t>
        </is>
      </c>
      <c r="G5238" s="7" t="n">
        <v>49.56451416015625</v>
      </c>
      <c r="H5238" s="6">
        <f>P5207</f>
        <v/>
      </c>
      <c r="I5238" s="9">
        <f>Q5207</f>
        <v/>
      </c>
      <c r="J5238" s="7">
        <f>I5238*G5238</f>
        <v/>
      </c>
      <c r="K5238" s="8">
        <f>IF($J$5240=0,0,J5238/$J$5240)</f>
        <v/>
      </c>
      <c r="L5238" s="6" t="inlineStr">
        <is>
          <t>REJECTED</t>
        </is>
      </c>
      <c r="M5238" s="8" t="n">
        <v>0</v>
      </c>
      <c r="N5238" s="7">
        <f>M5238*$J$5240-J5238</f>
        <v/>
      </c>
      <c r="O5238" s="9">
        <f>IF(G5238=0,0,N5238/G5238)</f>
        <v/>
      </c>
      <c r="P5238" s="6">
        <f>IF(M5238&gt;0,D5238,"")</f>
        <v/>
      </c>
      <c r="Q5238" s="9">
        <f>I5238+O5238</f>
        <v/>
      </c>
      <c r="R5238" s="7">
        <f>Q5238*G5238</f>
        <v/>
      </c>
      <c r="S5238" s="8">
        <f>IF($R$5240=0,0,R5238/$R$5240)</f>
        <v/>
      </c>
      <c r="T5238" s="8" t="n">
        <v>0.005413811015814618</v>
      </c>
      <c r="U5238" s="8" t="n">
        <v>-0.009870779071349478</v>
      </c>
      <c r="V5238" s="6" t="inlineStr">
        <is>
          <t>not selected</t>
        </is>
      </c>
    </row>
    <row r="5239">
      <c r="A5239" s="6" t="inlineStr">
        <is>
          <t>DJ30</t>
        </is>
      </c>
      <c r="B5239" s="6" t="inlineStr">
        <is>
          <t>2026-03-27</t>
        </is>
      </c>
      <c r="C5239" s="6" t="inlineStr">
        <is>
          <t>DIA</t>
        </is>
      </c>
      <c r="D5239" s="6" t="inlineStr">
        <is>
          <t>WMT</t>
        </is>
      </c>
      <c r="E5239" s="6" t="inlineStr">
        <is>
          <t>WMT</t>
        </is>
      </c>
      <c r="F5239" s="6" t="inlineStr">
        <is>
          <t>-</t>
        </is>
      </c>
      <c r="G5239" s="7" t="n">
        <v>122.6559219360352</v>
      </c>
      <c r="H5239" s="6">
        <f>P5208</f>
        <v/>
      </c>
      <c r="I5239" s="9">
        <f>Q5208</f>
        <v/>
      </c>
      <c r="J5239" s="7">
        <f>I5239*G5239</f>
        <v/>
      </c>
      <c r="K5239" s="8">
        <f>IF($J$5240=0,0,J5239/$J$5240)</f>
        <v/>
      </c>
      <c r="L5239" s="6" t="inlineStr">
        <is>
          <t>WATCHLIST</t>
        </is>
      </c>
      <c r="M5239" s="8" t="n">
        <v>0</v>
      </c>
      <c r="N5239" s="7">
        <f>M5239*$J$5240-J5239</f>
        <v/>
      </c>
      <c r="O5239" s="9">
        <f>IF(G5239=0,0,N5239/G5239)</f>
        <v/>
      </c>
      <c r="P5239" s="6">
        <f>IF(M5239&gt;0,D5239,"")</f>
        <v/>
      </c>
      <c r="Q5239" s="9">
        <f>I5239+O5239</f>
        <v/>
      </c>
      <c r="R5239" s="7">
        <f>Q5239*G5239</f>
        <v/>
      </c>
      <c r="S5239" s="8">
        <f>IF($R$5240=0,0,R5239/$R$5240)</f>
        <v/>
      </c>
      <c r="T5239" s="8" t="n">
        <v>0.005413811015814618</v>
      </c>
      <c r="U5239" s="8" t="n">
        <v>-0.009870779071349478</v>
      </c>
      <c r="V5239" s="6" t="inlineStr">
        <is>
          <t>not selected</t>
        </is>
      </c>
    </row>
    <row r="5240">
      <c r="A5240" s="10" t="inlineStr">
        <is>
          <t>DJ30</t>
        </is>
      </c>
      <c r="B5240" s="10" t="inlineStr">
        <is>
          <t>2026-03-27</t>
        </is>
      </c>
      <c r="C5240" s="10" t="inlineStr">
        <is>
          <t>DIA</t>
        </is>
      </c>
      <c r="D5240" s="10" t="inlineStr">
        <is>
          <t>Tot Portfolio</t>
        </is>
      </c>
      <c r="E5240" s="10" t="inlineStr"/>
      <c r="F5240" s="10" t="inlineStr"/>
      <c r="G5240" s="11" t="inlineStr"/>
      <c r="H5240" s="10" t="inlineStr"/>
      <c r="I5240" s="12" t="inlineStr"/>
      <c r="J5240" s="11">
        <f>SUM(J5210:J5239)</f>
        <v/>
      </c>
      <c r="K5240" s="13">
        <f>SUM(K5210:K5239)</f>
        <v/>
      </c>
      <c r="L5240" s="10" t="inlineStr">
        <is>
          <t>TOTAL</t>
        </is>
      </c>
      <c r="M5240" s="13">
        <f>SUM(M5210:M5239)</f>
        <v/>
      </c>
      <c r="N5240" s="11">
        <f>SUM(N5210:N5239)</f>
        <v/>
      </c>
      <c r="O5240" s="12">
        <f>SUM(O5210:O5239)</f>
        <v/>
      </c>
      <c r="P5240" s="10" t="inlineStr"/>
      <c r="Q5240" s="12" t="inlineStr"/>
      <c r="R5240" s="11">
        <f>SUM(R5210:R5239)</f>
        <v/>
      </c>
      <c r="S5240" s="13">
        <f>SUM(S5210:S5239)</f>
        <v/>
      </c>
      <c r="T5240" s="13" t="n">
        <v>0.005413811015814618</v>
      </c>
      <c r="U5240" s="13" t="n">
        <v>-0.009870779071349478</v>
      </c>
      <c r="V5240" s="10" t="inlineStr"/>
    </row>
    <row r="5241">
      <c r="A5241" s="6" t="inlineStr">
        <is>
          <t>DJ30</t>
        </is>
      </c>
      <c r="B5241" s="6" t="inlineStr">
        <is>
          <t>2026-04-03</t>
        </is>
      </c>
      <c r="C5241" s="6" t="inlineStr">
        <is>
          <t>DIA</t>
        </is>
      </c>
      <c r="D5241" s="6" t="inlineStr">
        <is>
          <t>AAPL</t>
        </is>
      </c>
      <c r="E5241" s="6" t="inlineStr">
        <is>
          <t>AAPL</t>
        </is>
      </c>
      <c r="F5241" s="6" t="inlineStr">
        <is>
          <t>-</t>
        </is>
      </c>
      <c r="G5241" s="7" t="n">
        <v>255.6844329833984</v>
      </c>
      <c r="H5241" s="6">
        <f>P5210</f>
        <v/>
      </c>
      <c r="I5241" s="9">
        <f>Q5210</f>
        <v/>
      </c>
      <c r="J5241" s="7">
        <f>I5241*G5241</f>
        <v/>
      </c>
      <c r="K5241" s="8">
        <f>IF($J$5271=0,0,J5241/$J$5271)</f>
        <v/>
      </c>
      <c r="L5241" s="6" t="inlineStr">
        <is>
          <t>WATCHLIST</t>
        </is>
      </c>
      <c r="M5241" s="8" t="n">
        <v>0</v>
      </c>
      <c r="N5241" s="7">
        <f>M5241*$J$5271-J5241</f>
        <v/>
      </c>
      <c r="O5241" s="9">
        <f>IF(G5241=0,0,N5241/G5241)</f>
        <v/>
      </c>
      <c r="P5241" s="6">
        <f>IF(M5241&gt;0,D5241,"")</f>
        <v/>
      </c>
      <c r="Q5241" s="9">
        <f>I5241+O5241</f>
        <v/>
      </c>
      <c r="R5241" s="7">
        <f>Q5241*G5241</f>
        <v/>
      </c>
      <c r="S5241" s="8">
        <f>IF($R$5271=0,0,R5241/$R$5271)</f>
        <v/>
      </c>
      <c r="T5241" s="8" t="n">
        <v>0.02390552425883219</v>
      </c>
      <c r="U5241" s="8" t="n">
        <v>0.03028409568233026</v>
      </c>
      <c r="V5241" s="6" t="inlineStr">
        <is>
          <t>not selected</t>
        </is>
      </c>
    </row>
    <row r="5242">
      <c r="A5242" s="6" t="inlineStr">
        <is>
          <t>DJ30</t>
        </is>
      </c>
      <c r="B5242" s="6" t="inlineStr">
        <is>
          <t>2026-04-03</t>
        </is>
      </c>
      <c r="C5242" s="6" t="inlineStr">
        <is>
          <t>DIA</t>
        </is>
      </c>
      <c r="D5242" s="6" t="inlineStr">
        <is>
          <t>AMGN</t>
        </is>
      </c>
      <c r="E5242" s="6" t="inlineStr">
        <is>
          <t>AMGN</t>
        </is>
      </c>
      <c r="F5242" s="6" t="inlineStr">
        <is>
          <t>-</t>
        </is>
      </c>
      <c r="G5242" s="7" t="n">
        <v>345.3322448730469</v>
      </c>
      <c r="H5242" s="6">
        <f>P5211</f>
        <v/>
      </c>
      <c r="I5242" s="9">
        <f>Q5211</f>
        <v/>
      </c>
      <c r="J5242" s="7">
        <f>I5242*G5242</f>
        <v/>
      </c>
      <c r="K5242" s="8">
        <f>IF($J$5271=0,0,J5242/$J$5271)</f>
        <v/>
      </c>
      <c r="L5242" s="6" t="inlineStr">
        <is>
          <t>WATCHLIST</t>
        </is>
      </c>
      <c r="M5242" s="8" t="n">
        <v>0</v>
      </c>
      <c r="N5242" s="7">
        <f>M5242*$J$5271-J5242</f>
        <v/>
      </c>
      <c r="O5242" s="9">
        <f>IF(G5242=0,0,N5242/G5242)</f>
        <v/>
      </c>
      <c r="P5242" s="6">
        <f>IF(M5242&gt;0,D5242,"")</f>
        <v/>
      </c>
      <c r="Q5242" s="9">
        <f>I5242+O5242</f>
        <v/>
      </c>
      <c r="R5242" s="7">
        <f>Q5242*G5242</f>
        <v/>
      </c>
      <c r="S5242" s="8">
        <f>IF($R$5271=0,0,R5242/$R$5271)</f>
        <v/>
      </c>
      <c r="T5242" s="8" t="n">
        <v>0.02390552425883219</v>
      </c>
      <c r="U5242" s="8" t="n">
        <v>0.03028409568233026</v>
      </c>
      <c r="V5242" s="6" t="inlineStr">
        <is>
          <t>not selected</t>
        </is>
      </c>
    </row>
    <row r="5243">
      <c r="A5243" s="6" t="inlineStr">
        <is>
          <t>DJ30</t>
        </is>
      </c>
      <c r="B5243" s="6" t="inlineStr">
        <is>
          <t>2026-04-03</t>
        </is>
      </c>
      <c r="C5243" s="6" t="inlineStr">
        <is>
          <t>DIA</t>
        </is>
      </c>
      <c r="D5243" s="6" t="inlineStr">
        <is>
          <t>AMZN</t>
        </is>
      </c>
      <c r="E5243" s="6" t="inlineStr">
        <is>
          <t>AMZN</t>
        </is>
      </c>
      <c r="F5243" s="6" t="inlineStr">
        <is>
          <t>-</t>
        </is>
      </c>
      <c r="G5243" s="7" t="n">
        <v>209.7700042724609</v>
      </c>
      <c r="H5243" s="6">
        <f>P5212</f>
        <v/>
      </c>
      <c r="I5243" s="9">
        <f>Q5212</f>
        <v/>
      </c>
      <c r="J5243" s="7">
        <f>I5243*G5243</f>
        <v/>
      </c>
      <c r="K5243" s="8">
        <f>IF($J$5271=0,0,J5243/$J$5271)</f>
        <v/>
      </c>
      <c r="L5243" s="6" t="inlineStr">
        <is>
          <t>REJECTED</t>
        </is>
      </c>
      <c r="M5243" s="8" t="n">
        <v>0</v>
      </c>
      <c r="N5243" s="7">
        <f>M5243*$J$5271-J5243</f>
        <v/>
      </c>
      <c r="O5243" s="9">
        <f>IF(G5243=0,0,N5243/G5243)</f>
        <v/>
      </c>
      <c r="P5243" s="6">
        <f>IF(M5243&gt;0,D5243,"")</f>
        <v/>
      </c>
      <c r="Q5243" s="9">
        <f>I5243+O5243</f>
        <v/>
      </c>
      <c r="R5243" s="7">
        <f>Q5243*G5243</f>
        <v/>
      </c>
      <c r="S5243" s="8">
        <f>IF($R$5271=0,0,R5243/$R$5271)</f>
        <v/>
      </c>
      <c r="T5243" s="8" t="n">
        <v>0.02390552425883219</v>
      </c>
      <c r="U5243" s="8" t="n">
        <v>0.03028409568233026</v>
      </c>
      <c r="V5243" s="6" t="inlineStr">
        <is>
          <t>not selected</t>
        </is>
      </c>
    </row>
    <row r="5244">
      <c r="A5244" s="6" t="inlineStr">
        <is>
          <t>DJ30</t>
        </is>
      </c>
      <c r="B5244" s="6" t="inlineStr">
        <is>
          <t>2026-04-03</t>
        </is>
      </c>
      <c r="C5244" s="6" t="inlineStr">
        <is>
          <t>DIA</t>
        </is>
      </c>
      <c r="D5244" s="6" t="inlineStr">
        <is>
          <t>AXP</t>
        </is>
      </c>
      <c r="E5244" s="6" t="inlineStr">
        <is>
          <t>AXP</t>
        </is>
      </c>
      <c r="F5244" s="6" t="inlineStr">
        <is>
          <t>-</t>
        </is>
      </c>
      <c r="G5244" s="7" t="n">
        <v>300.1799926757812</v>
      </c>
      <c r="H5244" s="6">
        <f>P5213</f>
        <v/>
      </c>
      <c r="I5244" s="9">
        <f>Q5213</f>
        <v/>
      </c>
      <c r="J5244" s="7">
        <f>I5244*G5244</f>
        <v/>
      </c>
      <c r="K5244" s="8">
        <f>IF($J$5271=0,0,J5244/$J$5271)</f>
        <v/>
      </c>
      <c r="L5244" s="6" t="inlineStr">
        <is>
          <t>WATCHLIST</t>
        </is>
      </c>
      <c r="M5244" s="8" t="n">
        <v>0</v>
      </c>
      <c r="N5244" s="7">
        <f>M5244*$J$5271-J5244</f>
        <v/>
      </c>
      <c r="O5244" s="9">
        <f>IF(G5244=0,0,N5244/G5244)</f>
        <v/>
      </c>
      <c r="P5244" s="6">
        <f>IF(M5244&gt;0,D5244,"")</f>
        <v/>
      </c>
      <c r="Q5244" s="9">
        <f>I5244+O5244</f>
        <v/>
      </c>
      <c r="R5244" s="7">
        <f>Q5244*G5244</f>
        <v/>
      </c>
      <c r="S5244" s="8">
        <f>IF($R$5271=0,0,R5244/$R$5271)</f>
        <v/>
      </c>
      <c r="T5244" s="8" t="n">
        <v>0.02390552425883219</v>
      </c>
      <c r="U5244" s="8" t="n">
        <v>0.03028409568233026</v>
      </c>
      <c r="V5244" s="6" t="inlineStr">
        <is>
          <t>not selected</t>
        </is>
      </c>
    </row>
    <row r="5245">
      <c r="A5245" s="6" t="inlineStr">
        <is>
          <t>DJ30</t>
        </is>
      </c>
      <c r="B5245" s="6" t="inlineStr">
        <is>
          <t>2026-04-03</t>
        </is>
      </c>
      <c r="C5245" s="6" t="inlineStr">
        <is>
          <t>DIA</t>
        </is>
      </c>
      <c r="D5245" s="6" t="inlineStr">
        <is>
          <t>BA</t>
        </is>
      </c>
      <c r="E5245" s="6" t="inlineStr">
        <is>
          <t>BA</t>
        </is>
      </c>
      <c r="F5245" s="6" t="inlineStr">
        <is>
          <t>-</t>
        </is>
      </c>
      <c r="G5245" s="7" t="n">
        <v>208.2200012207031</v>
      </c>
      <c r="H5245" s="6">
        <f>P5214</f>
        <v/>
      </c>
      <c r="I5245" s="9">
        <f>Q5214</f>
        <v/>
      </c>
      <c r="J5245" s="7">
        <f>I5245*G5245</f>
        <v/>
      </c>
      <c r="K5245" s="8">
        <f>IF($J$5271=0,0,J5245/$J$5271)</f>
        <v/>
      </c>
      <c r="L5245" s="6" t="inlineStr">
        <is>
          <t>REJECTED</t>
        </is>
      </c>
      <c r="M5245" s="8" t="n">
        <v>0</v>
      </c>
      <c r="N5245" s="7">
        <f>M5245*$J$5271-J5245</f>
        <v/>
      </c>
      <c r="O5245" s="9">
        <f>IF(G5245=0,0,N5245/G5245)</f>
        <v/>
      </c>
      <c r="P5245" s="6">
        <f>IF(M5245&gt;0,D5245,"")</f>
        <v/>
      </c>
      <c r="Q5245" s="9">
        <f>I5245+O5245</f>
        <v/>
      </c>
      <c r="R5245" s="7">
        <f>Q5245*G5245</f>
        <v/>
      </c>
      <c r="S5245" s="8">
        <f>IF($R$5271=0,0,R5245/$R$5271)</f>
        <v/>
      </c>
      <c r="T5245" s="8" t="n">
        <v>0.02390552425883219</v>
      </c>
      <c r="U5245" s="8" t="n">
        <v>0.03028409568233026</v>
      </c>
      <c r="V5245" s="6" t="inlineStr">
        <is>
          <t>not selected</t>
        </is>
      </c>
    </row>
    <row r="5246">
      <c r="A5246" s="6" t="inlineStr">
        <is>
          <t>DJ30</t>
        </is>
      </c>
      <c r="B5246" s="6" t="inlineStr">
        <is>
          <t>2026-04-03</t>
        </is>
      </c>
      <c r="C5246" s="6" t="inlineStr">
        <is>
          <t>DIA</t>
        </is>
      </c>
      <c r="D5246" s="6" t="inlineStr">
        <is>
          <t>CAT</t>
        </is>
      </c>
      <c r="E5246" s="6" t="inlineStr">
        <is>
          <t>CAT</t>
        </is>
      </c>
      <c r="F5246" s="6" t="inlineStr">
        <is>
          <t>-</t>
        </is>
      </c>
      <c r="G5246" s="7" t="n">
        <v>715.8571166992188</v>
      </c>
      <c r="H5246" s="6">
        <f>P5215</f>
        <v/>
      </c>
      <c r="I5246" s="9">
        <f>Q5215</f>
        <v/>
      </c>
      <c r="J5246" s="7">
        <f>I5246*G5246</f>
        <v/>
      </c>
      <c r="K5246" s="8">
        <f>IF($J$5271=0,0,J5246/$J$5271)</f>
        <v/>
      </c>
      <c r="L5246" s="6" t="inlineStr">
        <is>
          <t>SELECTED</t>
        </is>
      </c>
      <c r="M5246" s="8" t="n">
        <v>0.2</v>
      </c>
      <c r="N5246" s="7">
        <f>M5246*$J$5271-J5246</f>
        <v/>
      </c>
      <c r="O5246" s="9">
        <f>IF(G5246=0,0,N5246/G5246)</f>
        <v/>
      </c>
      <c r="P5246" s="6">
        <f>IF(M5246&gt;0,D5246,"")</f>
        <v/>
      </c>
      <c r="Q5246" s="9">
        <f>I5246+O5246</f>
        <v/>
      </c>
      <c r="R5246" s="7">
        <f>Q5246*G5246</f>
        <v/>
      </c>
      <c r="S5246" s="8">
        <f>IF($R$5271=0,0,R5246/$R$5271)</f>
        <v/>
      </c>
      <c r="T5246" s="8" t="n">
        <v>0.02390552425883219</v>
      </c>
      <c r="U5246" s="8" t="n">
        <v>0.03028409568233026</v>
      </c>
      <c r="V5246" s="6" t="inlineStr">
        <is>
          <t>remained in weekly selection</t>
        </is>
      </c>
    </row>
    <row r="5247">
      <c r="A5247" s="6" t="inlineStr">
        <is>
          <t>DJ30</t>
        </is>
      </c>
      <c r="B5247" s="6" t="inlineStr">
        <is>
          <t>2026-04-03</t>
        </is>
      </c>
      <c r="C5247" s="6" t="inlineStr">
        <is>
          <t>DIA</t>
        </is>
      </c>
      <c r="D5247" s="6" t="inlineStr">
        <is>
          <t>CRM</t>
        </is>
      </c>
      <c r="E5247" s="6" t="inlineStr">
        <is>
          <t>CRM</t>
        </is>
      </c>
      <c r="F5247" s="6" t="inlineStr">
        <is>
          <t>-</t>
        </is>
      </c>
      <c r="G5247" s="7" t="n">
        <v>186.2323760986328</v>
      </c>
      <c r="H5247" s="6">
        <f>P5216</f>
        <v/>
      </c>
      <c r="I5247" s="9">
        <f>Q5216</f>
        <v/>
      </c>
      <c r="J5247" s="7">
        <f>I5247*G5247</f>
        <v/>
      </c>
      <c r="K5247" s="8">
        <f>IF($J$5271=0,0,J5247/$J$5271)</f>
        <v/>
      </c>
      <c r="L5247" s="6" t="inlineStr">
        <is>
          <t>REJECTED</t>
        </is>
      </c>
      <c r="M5247" s="8" t="n">
        <v>0</v>
      </c>
      <c r="N5247" s="7">
        <f>M5247*$J$5271-J5247</f>
        <v/>
      </c>
      <c r="O5247" s="9">
        <f>IF(G5247=0,0,N5247/G5247)</f>
        <v/>
      </c>
      <c r="P5247" s="6">
        <f>IF(M5247&gt;0,D5247,"")</f>
        <v/>
      </c>
      <c r="Q5247" s="9">
        <f>I5247+O5247</f>
        <v/>
      </c>
      <c r="R5247" s="7">
        <f>Q5247*G5247</f>
        <v/>
      </c>
      <c r="S5247" s="8">
        <f>IF($R$5271=0,0,R5247/$R$5271)</f>
        <v/>
      </c>
      <c r="T5247" s="8" t="n">
        <v>0.02390552425883219</v>
      </c>
      <c r="U5247" s="8" t="n">
        <v>0.03028409568233026</v>
      </c>
      <c r="V5247" s="6" t="inlineStr">
        <is>
          <t>not selected</t>
        </is>
      </c>
    </row>
    <row r="5248">
      <c r="A5248" s="6" t="inlineStr">
        <is>
          <t>DJ30</t>
        </is>
      </c>
      <c r="B5248" s="6" t="inlineStr">
        <is>
          <t>2026-04-03</t>
        </is>
      </c>
      <c r="C5248" s="6" t="inlineStr">
        <is>
          <t>DIA</t>
        </is>
      </c>
      <c r="D5248" s="6" t="inlineStr">
        <is>
          <t>CSCO</t>
        </is>
      </c>
      <c r="E5248" s="6" t="inlineStr">
        <is>
          <t>CSCO</t>
        </is>
      </c>
      <c r="F5248" s="6" t="inlineStr">
        <is>
          <t>-</t>
        </is>
      </c>
      <c r="G5248" s="7" t="n">
        <v>79.01999664306641</v>
      </c>
      <c r="H5248" s="6">
        <f>P5217</f>
        <v/>
      </c>
      <c r="I5248" s="9">
        <f>Q5217</f>
        <v/>
      </c>
      <c r="J5248" s="7">
        <f>I5248*G5248</f>
        <v/>
      </c>
      <c r="K5248" s="8">
        <f>IF($J$5271=0,0,J5248/$J$5271)</f>
        <v/>
      </c>
      <c r="L5248" s="6" t="inlineStr">
        <is>
          <t>SELECTED</t>
        </is>
      </c>
      <c r="M5248" s="8" t="n">
        <v>0.2</v>
      </c>
      <c r="N5248" s="7">
        <f>M5248*$J$5271-J5248</f>
        <v/>
      </c>
      <c r="O5248" s="9">
        <f>IF(G5248=0,0,N5248/G5248)</f>
        <v/>
      </c>
      <c r="P5248" s="6">
        <f>IF(M5248&gt;0,D5248,"")</f>
        <v/>
      </c>
      <c r="Q5248" s="9">
        <f>I5248+O5248</f>
        <v/>
      </c>
      <c r="R5248" s="7">
        <f>Q5248*G5248</f>
        <v/>
      </c>
      <c r="S5248" s="8">
        <f>IF($R$5271=0,0,R5248/$R$5271)</f>
        <v/>
      </c>
      <c r="T5248" s="8" t="n">
        <v>0.02390552425883219</v>
      </c>
      <c r="U5248" s="8" t="n">
        <v>0.03028409568233026</v>
      </c>
      <c r="V5248" s="6" t="inlineStr">
        <is>
          <t>remained in weekly selection</t>
        </is>
      </c>
    </row>
    <row r="5249">
      <c r="A5249" s="6" t="inlineStr">
        <is>
          <t>DJ30</t>
        </is>
      </c>
      <c r="B5249" s="6" t="inlineStr">
        <is>
          <t>2026-04-03</t>
        </is>
      </c>
      <c r="C5249" s="6" t="inlineStr">
        <is>
          <t>DIA</t>
        </is>
      </c>
      <c r="D5249" s="6" t="inlineStr">
        <is>
          <t>CVX</t>
        </is>
      </c>
      <c r="E5249" s="6" t="inlineStr">
        <is>
          <t>CVX</t>
        </is>
      </c>
      <c r="F5249" s="6" t="inlineStr">
        <is>
          <t>-</t>
        </is>
      </c>
      <c r="G5249" s="7" t="n">
        <v>197.1641387939453</v>
      </c>
      <c r="H5249" s="6">
        <f>P5218</f>
        <v/>
      </c>
      <c r="I5249" s="9">
        <f>Q5218</f>
        <v/>
      </c>
      <c r="J5249" s="7">
        <f>I5249*G5249</f>
        <v/>
      </c>
      <c r="K5249" s="8">
        <f>IF($J$5271=0,0,J5249/$J$5271)</f>
        <v/>
      </c>
      <c r="L5249" s="6" t="inlineStr">
        <is>
          <t>SELECTED</t>
        </is>
      </c>
      <c r="M5249" s="8" t="n">
        <v>0.2</v>
      </c>
      <c r="N5249" s="7">
        <f>M5249*$J$5271-J5249</f>
        <v/>
      </c>
      <c r="O5249" s="9">
        <f>IF(G5249=0,0,N5249/G5249)</f>
        <v/>
      </c>
      <c r="P5249" s="6">
        <f>IF(M5249&gt;0,D5249,"")</f>
        <v/>
      </c>
      <c r="Q5249" s="9">
        <f>I5249+O5249</f>
        <v/>
      </c>
      <c r="R5249" s="7">
        <f>Q5249*G5249</f>
        <v/>
      </c>
      <c r="S5249" s="8">
        <f>IF($R$5271=0,0,R5249/$R$5271)</f>
        <v/>
      </c>
      <c r="T5249" s="8" t="n">
        <v>0.02390552425883219</v>
      </c>
      <c r="U5249" s="8" t="n">
        <v>0.03028409568233026</v>
      </c>
      <c r="V5249" s="6" t="inlineStr">
        <is>
          <t>entered weekly selection</t>
        </is>
      </c>
    </row>
    <row r="5250">
      <c r="A5250" s="6" t="inlineStr">
        <is>
          <t>DJ30</t>
        </is>
      </c>
      <c r="B5250" s="6" t="inlineStr">
        <is>
          <t>2026-04-03</t>
        </is>
      </c>
      <c r="C5250" s="6" t="inlineStr">
        <is>
          <t>DIA</t>
        </is>
      </c>
      <c r="D5250" s="6" t="inlineStr">
        <is>
          <t>DIS</t>
        </is>
      </c>
      <c r="E5250" s="6" t="inlineStr">
        <is>
          <t>DIS</t>
        </is>
      </c>
      <c r="F5250" s="6" t="inlineStr">
        <is>
          <t>-</t>
        </is>
      </c>
      <c r="G5250" s="7" t="n">
        <v>96.61000061035156</v>
      </c>
      <c r="H5250" s="6">
        <f>P5219</f>
        <v/>
      </c>
      <c r="I5250" s="9">
        <f>Q5219</f>
        <v/>
      </c>
      <c r="J5250" s="7">
        <f>I5250*G5250</f>
        <v/>
      </c>
      <c r="K5250" s="8">
        <f>IF($J$5271=0,0,J5250/$J$5271)</f>
        <v/>
      </c>
      <c r="L5250" s="6" t="inlineStr">
        <is>
          <t>REJECTED</t>
        </is>
      </c>
      <c r="M5250" s="8" t="n">
        <v>0</v>
      </c>
      <c r="N5250" s="7">
        <f>M5250*$J$5271-J5250</f>
        <v/>
      </c>
      <c r="O5250" s="9">
        <f>IF(G5250=0,0,N5250/G5250)</f>
        <v/>
      </c>
      <c r="P5250" s="6">
        <f>IF(M5250&gt;0,D5250,"")</f>
        <v/>
      </c>
      <c r="Q5250" s="9">
        <f>I5250+O5250</f>
        <v/>
      </c>
      <c r="R5250" s="7">
        <f>Q5250*G5250</f>
        <v/>
      </c>
      <c r="S5250" s="8">
        <f>IF($R$5271=0,0,R5250/$R$5271)</f>
        <v/>
      </c>
      <c r="T5250" s="8" t="n">
        <v>0.02390552425883219</v>
      </c>
      <c r="U5250" s="8" t="n">
        <v>0.03028409568233026</v>
      </c>
      <c r="V5250" s="6" t="inlineStr">
        <is>
          <t>not selected</t>
        </is>
      </c>
    </row>
    <row r="5251">
      <c r="A5251" s="6" t="inlineStr">
        <is>
          <t>DJ30</t>
        </is>
      </c>
      <c r="B5251" s="6" t="inlineStr">
        <is>
          <t>2026-04-03</t>
        </is>
      </c>
      <c r="C5251" s="6" t="inlineStr">
        <is>
          <t>DIA</t>
        </is>
      </c>
      <c r="D5251" s="6" t="inlineStr">
        <is>
          <t>GS</t>
        </is>
      </c>
      <c r="E5251" s="6" t="inlineStr">
        <is>
          <t>GS</t>
        </is>
      </c>
      <c r="F5251" s="6" t="inlineStr">
        <is>
          <t>-</t>
        </is>
      </c>
      <c r="G5251" s="7" t="n">
        <v>859.2531127929688</v>
      </c>
      <c r="H5251" s="6">
        <f>P5220</f>
        <v/>
      </c>
      <c r="I5251" s="9">
        <f>Q5220</f>
        <v/>
      </c>
      <c r="J5251" s="7">
        <f>I5251*G5251</f>
        <v/>
      </c>
      <c r="K5251" s="8">
        <f>IF($J$5271=0,0,J5251/$J$5271)</f>
        <v/>
      </c>
      <c r="L5251" s="6" t="inlineStr">
        <is>
          <t>SELECTED</t>
        </is>
      </c>
      <c r="M5251" s="8" t="n">
        <v>0.2</v>
      </c>
      <c r="N5251" s="7">
        <f>M5251*$J$5271-J5251</f>
        <v/>
      </c>
      <c r="O5251" s="9">
        <f>IF(G5251=0,0,N5251/G5251)</f>
        <v/>
      </c>
      <c r="P5251" s="6">
        <f>IF(M5251&gt;0,D5251,"")</f>
        <v/>
      </c>
      <c r="Q5251" s="9">
        <f>I5251+O5251</f>
        <v/>
      </c>
      <c r="R5251" s="7">
        <f>Q5251*G5251</f>
        <v/>
      </c>
      <c r="S5251" s="8">
        <f>IF($R$5271=0,0,R5251/$R$5271)</f>
        <v/>
      </c>
      <c r="T5251" s="8" t="n">
        <v>0.02390552425883219</v>
      </c>
      <c r="U5251" s="8" t="n">
        <v>0.03028409568233026</v>
      </c>
      <c r="V5251" s="6" t="inlineStr">
        <is>
          <t>remained in weekly selection</t>
        </is>
      </c>
    </row>
    <row r="5252">
      <c r="A5252" s="6" t="inlineStr">
        <is>
          <t>DJ30</t>
        </is>
      </c>
      <c r="B5252" s="6" t="inlineStr">
        <is>
          <t>2026-04-03</t>
        </is>
      </c>
      <c r="C5252" s="6" t="inlineStr">
        <is>
          <t>DIA</t>
        </is>
      </c>
      <c r="D5252" s="6" t="inlineStr">
        <is>
          <t>HD</t>
        </is>
      </c>
      <c r="E5252" s="6" t="inlineStr">
        <is>
          <t>HD</t>
        </is>
      </c>
      <c r="F5252" s="6" t="inlineStr">
        <is>
          <t>-</t>
        </is>
      </c>
      <c r="G5252" s="7" t="n">
        <v>319.2355346679688</v>
      </c>
      <c r="H5252" s="6">
        <f>P5221</f>
        <v/>
      </c>
      <c r="I5252" s="9">
        <f>Q5221</f>
        <v/>
      </c>
      <c r="J5252" s="7">
        <f>I5252*G5252</f>
        <v/>
      </c>
      <c r="K5252" s="8">
        <f>IF($J$5271=0,0,J5252/$J$5271)</f>
        <v/>
      </c>
      <c r="L5252" s="6" t="inlineStr">
        <is>
          <t>REJECTED</t>
        </is>
      </c>
      <c r="M5252" s="8" t="n">
        <v>0</v>
      </c>
      <c r="N5252" s="7">
        <f>M5252*$J$5271-J5252</f>
        <v/>
      </c>
      <c r="O5252" s="9">
        <f>IF(G5252=0,0,N5252/G5252)</f>
        <v/>
      </c>
      <c r="P5252" s="6">
        <f>IF(M5252&gt;0,D5252,"")</f>
        <v/>
      </c>
      <c r="Q5252" s="9">
        <f>I5252+O5252</f>
        <v/>
      </c>
      <c r="R5252" s="7">
        <f>Q5252*G5252</f>
        <v/>
      </c>
      <c r="S5252" s="8">
        <f>IF($R$5271=0,0,R5252/$R$5271)</f>
        <v/>
      </c>
      <c r="T5252" s="8" t="n">
        <v>0.02390552425883219</v>
      </c>
      <c r="U5252" s="8" t="n">
        <v>0.03028409568233026</v>
      </c>
      <c r="V5252" s="6" t="inlineStr">
        <is>
          <t>not selected</t>
        </is>
      </c>
    </row>
    <row r="5253">
      <c r="A5253" s="6" t="inlineStr">
        <is>
          <t>DJ30</t>
        </is>
      </c>
      <c r="B5253" s="6" t="inlineStr">
        <is>
          <t>2026-04-03</t>
        </is>
      </c>
      <c r="C5253" s="6" t="inlineStr">
        <is>
          <t>DIA</t>
        </is>
      </c>
      <c r="D5253" s="6" t="inlineStr">
        <is>
          <t>HON</t>
        </is>
      </c>
      <c r="E5253" s="6" t="inlineStr">
        <is>
          <t>HON</t>
        </is>
      </c>
      <c r="F5253" s="6" t="inlineStr">
        <is>
          <t>-</t>
        </is>
      </c>
      <c r="G5253" s="7" t="n">
        <v>228.1958770751953</v>
      </c>
      <c r="H5253" s="6">
        <f>P5222</f>
        <v/>
      </c>
      <c r="I5253" s="9">
        <f>Q5222</f>
        <v/>
      </c>
      <c r="J5253" s="7">
        <f>I5253*G5253</f>
        <v/>
      </c>
      <c r="K5253" s="8">
        <f>IF($J$5271=0,0,J5253/$J$5271)</f>
        <v/>
      </c>
      <c r="L5253" s="6" t="inlineStr">
        <is>
          <t>REJECTED</t>
        </is>
      </c>
      <c r="M5253" s="8" t="n">
        <v>0</v>
      </c>
      <c r="N5253" s="7">
        <f>M5253*$J$5271-J5253</f>
        <v/>
      </c>
      <c r="O5253" s="9">
        <f>IF(G5253=0,0,N5253/G5253)</f>
        <v/>
      </c>
      <c r="P5253" s="6">
        <f>IF(M5253&gt;0,D5253,"")</f>
        <v/>
      </c>
      <c r="Q5253" s="9">
        <f>I5253+O5253</f>
        <v/>
      </c>
      <c r="R5253" s="7">
        <f>Q5253*G5253</f>
        <v/>
      </c>
      <c r="S5253" s="8">
        <f>IF($R$5271=0,0,R5253/$R$5271)</f>
        <v/>
      </c>
      <c r="T5253" s="8" t="n">
        <v>0.02390552425883219</v>
      </c>
      <c r="U5253" s="8" t="n">
        <v>0.03028409568233026</v>
      </c>
      <c r="V5253" s="6" t="inlineStr">
        <is>
          <t>not selected</t>
        </is>
      </c>
    </row>
    <row r="5254">
      <c r="A5254" s="6" t="inlineStr">
        <is>
          <t>DJ30</t>
        </is>
      </c>
      <c r="B5254" s="6" t="inlineStr">
        <is>
          <t>2026-04-03</t>
        </is>
      </c>
      <c r="C5254" s="6" t="inlineStr">
        <is>
          <t>DIA</t>
        </is>
      </c>
      <c r="D5254" s="6" t="inlineStr">
        <is>
          <t>IBM</t>
        </is>
      </c>
      <c r="E5254" s="6" t="inlineStr">
        <is>
          <t>IBM</t>
        </is>
      </c>
      <c r="F5254" s="6" t="inlineStr">
        <is>
          <t>-</t>
        </is>
      </c>
      <c r="G5254" s="7" t="n">
        <v>246.3468933105469</v>
      </c>
      <c r="H5254" s="6">
        <f>P5223</f>
        <v/>
      </c>
      <c r="I5254" s="9">
        <f>Q5223</f>
        <v/>
      </c>
      <c r="J5254" s="7">
        <f>I5254*G5254</f>
        <v/>
      </c>
      <c r="K5254" s="8">
        <f>IF($J$5271=0,0,J5254/$J$5271)</f>
        <v/>
      </c>
      <c r="L5254" s="6" t="inlineStr">
        <is>
          <t>REJECTED</t>
        </is>
      </c>
      <c r="M5254" s="8" t="n">
        <v>0</v>
      </c>
      <c r="N5254" s="7">
        <f>M5254*$J$5271-J5254</f>
        <v/>
      </c>
      <c r="O5254" s="9">
        <f>IF(G5254=0,0,N5254/G5254)</f>
        <v/>
      </c>
      <c r="P5254" s="6">
        <f>IF(M5254&gt;0,D5254,"")</f>
        <v/>
      </c>
      <c r="Q5254" s="9">
        <f>I5254+O5254</f>
        <v/>
      </c>
      <c r="R5254" s="7">
        <f>Q5254*G5254</f>
        <v/>
      </c>
      <c r="S5254" s="8">
        <f>IF($R$5271=0,0,R5254/$R$5271)</f>
        <v/>
      </c>
      <c r="T5254" s="8" t="n">
        <v>0.02390552425883219</v>
      </c>
      <c r="U5254" s="8" t="n">
        <v>0.03028409568233026</v>
      </c>
      <c r="V5254" s="6" t="inlineStr">
        <is>
          <t>not selected</t>
        </is>
      </c>
    </row>
    <row r="5255">
      <c r="A5255" s="6" t="inlineStr">
        <is>
          <t>DJ30</t>
        </is>
      </c>
      <c r="B5255" s="6" t="inlineStr">
        <is>
          <t>2026-04-03</t>
        </is>
      </c>
      <c r="C5255" s="6" t="inlineStr">
        <is>
          <t>DIA</t>
        </is>
      </c>
      <c r="D5255" s="6" t="inlineStr">
        <is>
          <t>JNJ</t>
        </is>
      </c>
      <c r="E5255" s="6" t="inlineStr">
        <is>
          <t>JNJ</t>
        </is>
      </c>
      <c r="F5255" s="6" t="inlineStr">
        <is>
          <t>-</t>
        </is>
      </c>
      <c r="G5255" s="7" t="n">
        <v>241.6502532958984</v>
      </c>
      <c r="H5255" s="6">
        <f>P5224</f>
        <v/>
      </c>
      <c r="I5255" s="9">
        <f>Q5224</f>
        <v/>
      </c>
      <c r="J5255" s="7">
        <f>I5255*G5255</f>
        <v/>
      </c>
      <c r="K5255" s="8">
        <f>IF($J$5271=0,0,J5255/$J$5271)</f>
        <v/>
      </c>
      <c r="L5255" s="6" t="inlineStr">
        <is>
          <t>SELECTED</t>
        </is>
      </c>
      <c r="M5255" s="8" t="n">
        <v>0.2</v>
      </c>
      <c r="N5255" s="7">
        <f>M5255*$J$5271-J5255</f>
        <v/>
      </c>
      <c r="O5255" s="9">
        <f>IF(G5255=0,0,N5255/G5255)</f>
        <v/>
      </c>
      <c r="P5255" s="6">
        <f>IF(M5255&gt;0,D5255,"")</f>
        <v/>
      </c>
      <c r="Q5255" s="9">
        <f>I5255+O5255</f>
        <v/>
      </c>
      <c r="R5255" s="7">
        <f>Q5255*G5255</f>
        <v/>
      </c>
      <c r="S5255" s="8">
        <f>IF($R$5271=0,0,R5255/$R$5271)</f>
        <v/>
      </c>
      <c r="T5255" s="8" t="n">
        <v>0.02390552425883219</v>
      </c>
      <c r="U5255" s="8" t="n">
        <v>0.03028409568233026</v>
      </c>
      <c r="V5255" s="6" t="inlineStr">
        <is>
          <t>remained in weekly selection</t>
        </is>
      </c>
    </row>
    <row r="5256">
      <c r="A5256" s="6" t="inlineStr">
        <is>
          <t>DJ30</t>
        </is>
      </c>
      <c r="B5256" s="6" t="inlineStr">
        <is>
          <t>2026-04-03</t>
        </is>
      </c>
      <c r="C5256" s="6" t="inlineStr">
        <is>
          <t>DIA</t>
        </is>
      </c>
      <c r="D5256" s="6" t="inlineStr">
        <is>
          <t>JPM</t>
        </is>
      </c>
      <c r="E5256" s="6" t="inlineStr">
        <is>
          <t>JPM</t>
        </is>
      </c>
      <c r="F5256" s="6" t="inlineStr">
        <is>
          <t>-</t>
        </is>
      </c>
      <c r="G5256" s="7" t="n">
        <v>293.1000061035156</v>
      </c>
      <c r="H5256" s="6">
        <f>P5225</f>
        <v/>
      </c>
      <c r="I5256" s="9">
        <f>Q5225</f>
        <v/>
      </c>
      <c r="J5256" s="7">
        <f>I5256*G5256</f>
        <v/>
      </c>
      <c r="K5256" s="8">
        <f>IF($J$5271=0,0,J5256/$J$5271)</f>
        <v/>
      </c>
      <c r="L5256" s="6" t="inlineStr">
        <is>
          <t>WATCHLIST</t>
        </is>
      </c>
      <c r="M5256" s="8" t="n">
        <v>0</v>
      </c>
      <c r="N5256" s="7">
        <f>M5256*$J$5271-J5256</f>
        <v/>
      </c>
      <c r="O5256" s="9">
        <f>IF(G5256=0,0,N5256/G5256)</f>
        <v/>
      </c>
      <c r="P5256" s="6">
        <f>IF(M5256&gt;0,D5256,"")</f>
        <v/>
      </c>
      <c r="Q5256" s="9">
        <f>I5256+O5256</f>
        <v/>
      </c>
      <c r="R5256" s="7">
        <f>Q5256*G5256</f>
        <v/>
      </c>
      <c r="S5256" s="8">
        <f>IF($R$5271=0,0,R5256/$R$5271)</f>
        <v/>
      </c>
      <c r="T5256" s="8" t="n">
        <v>0.02390552425883219</v>
      </c>
      <c r="U5256" s="8" t="n">
        <v>0.03028409568233026</v>
      </c>
      <c r="V5256" s="6" t="inlineStr">
        <is>
          <t>not selected</t>
        </is>
      </c>
    </row>
    <row r="5257">
      <c r="A5257" s="6" t="inlineStr">
        <is>
          <t>DJ30</t>
        </is>
      </c>
      <c r="B5257" s="6" t="inlineStr">
        <is>
          <t>2026-04-03</t>
        </is>
      </c>
      <c r="C5257" s="6" t="inlineStr">
        <is>
          <t>DIA</t>
        </is>
      </c>
      <c r="D5257" s="6" t="inlineStr">
        <is>
          <t>KO</t>
        </is>
      </c>
      <c r="E5257" s="6" t="inlineStr">
        <is>
          <t>KO</t>
        </is>
      </c>
      <c r="F5257" s="6" t="inlineStr">
        <is>
          <t>-</t>
        </is>
      </c>
      <c r="G5257" s="7" t="n">
        <v>76.22785186767578</v>
      </c>
      <c r="H5257" s="6">
        <f>P5226</f>
        <v/>
      </c>
      <c r="I5257" s="9">
        <f>Q5226</f>
        <v/>
      </c>
      <c r="J5257" s="7">
        <f>I5257*G5257</f>
        <v/>
      </c>
      <c r="K5257" s="8">
        <f>IF($J$5271=0,0,J5257/$J$5271)</f>
        <v/>
      </c>
      <c r="L5257" s="6" t="inlineStr">
        <is>
          <t>WATCHLIST</t>
        </is>
      </c>
      <c r="M5257" s="8" t="n">
        <v>0</v>
      </c>
      <c r="N5257" s="7">
        <f>M5257*$J$5271-J5257</f>
        <v/>
      </c>
      <c r="O5257" s="9">
        <f>IF(G5257=0,0,N5257/G5257)</f>
        <v/>
      </c>
      <c r="P5257" s="6">
        <f>IF(M5257&gt;0,D5257,"")</f>
        <v/>
      </c>
      <c r="Q5257" s="9">
        <f>I5257+O5257</f>
        <v/>
      </c>
      <c r="R5257" s="7">
        <f>Q5257*G5257</f>
        <v/>
      </c>
      <c r="S5257" s="8">
        <f>IF($R$5271=0,0,R5257/$R$5271)</f>
        <v/>
      </c>
      <c r="T5257" s="8" t="n">
        <v>0.02390552425883219</v>
      </c>
      <c r="U5257" s="8" t="n">
        <v>0.03028409568233026</v>
      </c>
      <c r="V5257" s="6" t="inlineStr">
        <is>
          <t>not selected</t>
        </is>
      </c>
    </row>
    <row r="5258">
      <c r="A5258" s="6" t="inlineStr">
        <is>
          <t>DJ30</t>
        </is>
      </c>
      <c r="B5258" s="6" t="inlineStr">
        <is>
          <t>2026-04-03</t>
        </is>
      </c>
      <c r="C5258" s="6" t="inlineStr">
        <is>
          <t>DIA</t>
        </is>
      </c>
      <c r="D5258" s="6" t="inlineStr">
        <is>
          <t>MCD</t>
        </is>
      </c>
      <c r="E5258" s="6" t="inlineStr">
        <is>
          <t>MCD</t>
        </is>
      </c>
      <c r="F5258" s="6" t="inlineStr">
        <is>
          <t>-</t>
        </is>
      </c>
      <c r="G5258" s="7" t="n">
        <v>305.0709838867188</v>
      </c>
      <c r="H5258" s="6">
        <f>P5227</f>
        <v/>
      </c>
      <c r="I5258" s="9">
        <f>Q5227</f>
        <v/>
      </c>
      <c r="J5258" s="7">
        <f>I5258*G5258</f>
        <v/>
      </c>
      <c r="K5258" s="8">
        <f>IF($J$5271=0,0,J5258/$J$5271)</f>
        <v/>
      </c>
      <c r="L5258" s="6" t="inlineStr">
        <is>
          <t>REJECTED</t>
        </is>
      </c>
      <c r="M5258" s="8" t="n">
        <v>0</v>
      </c>
      <c r="N5258" s="7">
        <f>M5258*$J$5271-J5258</f>
        <v/>
      </c>
      <c r="O5258" s="9">
        <f>IF(G5258=0,0,N5258/G5258)</f>
        <v/>
      </c>
      <c r="P5258" s="6">
        <f>IF(M5258&gt;0,D5258,"")</f>
        <v/>
      </c>
      <c r="Q5258" s="9">
        <f>I5258+O5258</f>
        <v/>
      </c>
      <c r="R5258" s="7">
        <f>Q5258*G5258</f>
        <v/>
      </c>
      <c r="S5258" s="8">
        <f>IF($R$5271=0,0,R5258/$R$5271)</f>
        <v/>
      </c>
      <c r="T5258" s="8" t="n">
        <v>0.02390552425883219</v>
      </c>
      <c r="U5258" s="8" t="n">
        <v>0.03028409568233026</v>
      </c>
      <c r="V5258" s="6" t="inlineStr">
        <is>
          <t>not selected</t>
        </is>
      </c>
    </row>
    <row r="5259">
      <c r="A5259" s="6" t="inlineStr">
        <is>
          <t>DJ30</t>
        </is>
      </c>
      <c r="B5259" s="6" t="inlineStr">
        <is>
          <t>2026-04-03</t>
        </is>
      </c>
      <c r="C5259" s="6" t="inlineStr">
        <is>
          <t>DIA</t>
        </is>
      </c>
      <c r="D5259" s="6" t="inlineStr">
        <is>
          <t>MMM</t>
        </is>
      </c>
      <c r="E5259" s="6" t="inlineStr">
        <is>
          <t>MMM</t>
        </is>
      </c>
      <c r="F5259" s="6" t="inlineStr">
        <is>
          <t>-</t>
        </is>
      </c>
      <c r="G5259" s="7" t="n">
        <v>143.7266845703125</v>
      </c>
      <c r="H5259" s="6">
        <f>P5228</f>
        <v/>
      </c>
      <c r="I5259" s="9">
        <f>Q5228</f>
        <v/>
      </c>
      <c r="J5259" s="7">
        <f>I5259*G5259</f>
        <v/>
      </c>
      <c r="K5259" s="8">
        <f>IF($J$5271=0,0,J5259/$J$5271)</f>
        <v/>
      </c>
      <c r="L5259" s="6" t="inlineStr">
        <is>
          <t>WATCHLIST</t>
        </is>
      </c>
      <c r="M5259" s="8" t="n">
        <v>0</v>
      </c>
      <c r="N5259" s="7">
        <f>M5259*$J$5271-J5259</f>
        <v/>
      </c>
      <c r="O5259" s="9">
        <f>IF(G5259=0,0,N5259/G5259)</f>
        <v/>
      </c>
      <c r="P5259" s="6">
        <f>IF(M5259&gt;0,D5259,"")</f>
        <v/>
      </c>
      <c r="Q5259" s="9">
        <f>I5259+O5259</f>
        <v/>
      </c>
      <c r="R5259" s="7">
        <f>Q5259*G5259</f>
        <v/>
      </c>
      <c r="S5259" s="8">
        <f>IF($R$5271=0,0,R5259/$R$5271)</f>
        <v/>
      </c>
      <c r="T5259" s="8" t="n">
        <v>0.02390552425883219</v>
      </c>
      <c r="U5259" s="8" t="n">
        <v>0.03028409568233026</v>
      </c>
      <c r="V5259" s="6" t="inlineStr">
        <is>
          <t>not selected</t>
        </is>
      </c>
    </row>
    <row r="5260">
      <c r="A5260" s="6" t="inlineStr">
        <is>
          <t>DJ30</t>
        </is>
      </c>
      <c r="B5260" s="6" t="inlineStr">
        <is>
          <t>2026-04-03</t>
        </is>
      </c>
      <c r="C5260" s="6" t="inlineStr">
        <is>
          <t>DIA</t>
        </is>
      </c>
      <c r="D5260" s="6" t="inlineStr">
        <is>
          <t>MRK</t>
        </is>
      </c>
      <c r="E5260" s="6" t="inlineStr">
        <is>
          <t>MRK</t>
        </is>
      </c>
      <c r="F5260" s="6" t="inlineStr">
        <is>
          <t>-</t>
        </is>
      </c>
      <c r="G5260" s="7" t="n">
        <v>120.0070114135742</v>
      </c>
      <c r="H5260" s="6">
        <f>P5229</f>
        <v/>
      </c>
      <c r="I5260" s="9">
        <f>Q5229</f>
        <v/>
      </c>
      <c r="J5260" s="7">
        <f>I5260*G5260</f>
        <v/>
      </c>
      <c r="K5260" s="8">
        <f>IF($J$5271=0,0,J5260/$J$5271)</f>
        <v/>
      </c>
      <c r="L5260" s="6" t="inlineStr">
        <is>
          <t>WATCHLIST</t>
        </is>
      </c>
      <c r="M5260" s="8" t="n">
        <v>0</v>
      </c>
      <c r="N5260" s="7">
        <f>M5260*$J$5271-J5260</f>
        <v/>
      </c>
      <c r="O5260" s="9">
        <f>IF(G5260=0,0,N5260/G5260)</f>
        <v/>
      </c>
      <c r="P5260" s="6">
        <f>IF(M5260&gt;0,D5260,"")</f>
        <v/>
      </c>
      <c r="Q5260" s="9">
        <f>I5260+O5260</f>
        <v/>
      </c>
      <c r="R5260" s="7">
        <f>Q5260*G5260</f>
        <v/>
      </c>
      <c r="S5260" s="8">
        <f>IF($R$5271=0,0,R5260/$R$5271)</f>
        <v/>
      </c>
      <c r="T5260" s="8" t="n">
        <v>0.02390552425883219</v>
      </c>
      <c r="U5260" s="8" t="n">
        <v>0.03028409568233026</v>
      </c>
      <c r="V5260" s="6" t="inlineStr">
        <is>
          <t>removed from weekly selection</t>
        </is>
      </c>
    </row>
    <row r="5261">
      <c r="A5261" s="6" t="inlineStr">
        <is>
          <t>DJ30</t>
        </is>
      </c>
      <c r="B5261" s="6" t="inlineStr">
        <is>
          <t>2026-04-03</t>
        </is>
      </c>
      <c r="C5261" s="6" t="inlineStr">
        <is>
          <t>DIA</t>
        </is>
      </c>
      <c r="D5261" s="6" t="inlineStr">
        <is>
          <t>MSFT</t>
        </is>
      </c>
      <c r="E5261" s="6" t="inlineStr">
        <is>
          <t>MSFT</t>
        </is>
      </c>
      <c r="F5261" s="6" t="inlineStr">
        <is>
          <t>-</t>
        </is>
      </c>
      <c r="G5261" s="7" t="n">
        <v>372.6528625488281</v>
      </c>
      <c r="H5261" s="6">
        <f>P5230</f>
        <v/>
      </c>
      <c r="I5261" s="9">
        <f>Q5230</f>
        <v/>
      </c>
      <c r="J5261" s="7">
        <f>I5261*G5261</f>
        <v/>
      </c>
      <c r="K5261" s="8">
        <f>IF($J$5271=0,0,J5261/$J$5271)</f>
        <v/>
      </c>
      <c r="L5261" s="6" t="inlineStr">
        <is>
          <t>REJECTED</t>
        </is>
      </c>
      <c r="M5261" s="8" t="n">
        <v>0</v>
      </c>
      <c r="N5261" s="7">
        <f>M5261*$J$5271-J5261</f>
        <v/>
      </c>
      <c r="O5261" s="9">
        <f>IF(G5261=0,0,N5261/G5261)</f>
        <v/>
      </c>
      <c r="P5261" s="6">
        <f>IF(M5261&gt;0,D5261,"")</f>
        <v/>
      </c>
      <c r="Q5261" s="9">
        <f>I5261+O5261</f>
        <v/>
      </c>
      <c r="R5261" s="7">
        <f>Q5261*G5261</f>
        <v/>
      </c>
      <c r="S5261" s="8">
        <f>IF($R$5271=0,0,R5261/$R$5271)</f>
        <v/>
      </c>
      <c r="T5261" s="8" t="n">
        <v>0.02390552425883219</v>
      </c>
      <c r="U5261" s="8" t="n">
        <v>0.03028409568233026</v>
      </c>
      <c r="V5261" s="6" t="inlineStr">
        <is>
          <t>not selected</t>
        </is>
      </c>
    </row>
    <row r="5262">
      <c r="A5262" s="6" t="inlineStr">
        <is>
          <t>DJ30</t>
        </is>
      </c>
      <c r="B5262" s="6" t="inlineStr">
        <is>
          <t>2026-04-03</t>
        </is>
      </c>
      <c r="C5262" s="6" t="inlineStr">
        <is>
          <t>DIA</t>
        </is>
      </c>
      <c r="D5262" s="6" t="inlineStr">
        <is>
          <t>NKE</t>
        </is>
      </c>
      <c r="E5262" s="6" t="inlineStr">
        <is>
          <t>NKE</t>
        </is>
      </c>
      <c r="F5262" s="6" t="inlineStr">
        <is>
          <t>-</t>
        </is>
      </c>
      <c r="G5262" s="7" t="n">
        <v>43.79809188842773</v>
      </c>
      <c r="H5262" s="6">
        <f>P5231</f>
        <v/>
      </c>
      <c r="I5262" s="9">
        <f>Q5231</f>
        <v/>
      </c>
      <c r="J5262" s="7">
        <f>I5262*G5262</f>
        <v/>
      </c>
      <c r="K5262" s="8">
        <f>IF($J$5271=0,0,J5262/$J$5271)</f>
        <v/>
      </c>
      <c r="L5262" s="6" t="inlineStr">
        <is>
          <t>REJECTED</t>
        </is>
      </c>
      <c r="M5262" s="8" t="n">
        <v>0</v>
      </c>
      <c r="N5262" s="7">
        <f>M5262*$J$5271-J5262</f>
        <v/>
      </c>
      <c r="O5262" s="9">
        <f>IF(G5262=0,0,N5262/G5262)</f>
        <v/>
      </c>
      <c r="P5262" s="6">
        <f>IF(M5262&gt;0,D5262,"")</f>
        <v/>
      </c>
      <c r="Q5262" s="9">
        <f>I5262+O5262</f>
        <v/>
      </c>
      <c r="R5262" s="7">
        <f>Q5262*G5262</f>
        <v/>
      </c>
      <c r="S5262" s="8">
        <f>IF($R$5271=0,0,R5262/$R$5271)</f>
        <v/>
      </c>
      <c r="T5262" s="8" t="n">
        <v>0.02390552425883219</v>
      </c>
      <c r="U5262" s="8" t="n">
        <v>0.03028409568233026</v>
      </c>
      <c r="V5262" s="6" t="inlineStr">
        <is>
          <t>not selected</t>
        </is>
      </c>
    </row>
    <row r="5263">
      <c r="A5263" s="6" t="inlineStr">
        <is>
          <t>DJ30</t>
        </is>
      </c>
      <c r="B5263" s="6" t="inlineStr">
        <is>
          <t>2026-04-03</t>
        </is>
      </c>
      <c r="C5263" s="6" t="inlineStr">
        <is>
          <t>DIA</t>
        </is>
      </c>
      <c r="D5263" s="6" t="inlineStr">
        <is>
          <t>NVDA</t>
        </is>
      </c>
      <c r="E5263" s="6" t="inlineStr">
        <is>
          <t>NVDA</t>
        </is>
      </c>
      <c r="F5263" s="6" t="inlineStr">
        <is>
          <t>-</t>
        </is>
      </c>
      <c r="G5263" s="7" t="n">
        <v>177.1834869384766</v>
      </c>
      <c r="H5263" s="6">
        <f>P5232</f>
        <v/>
      </c>
      <c r="I5263" s="9">
        <f>Q5232</f>
        <v/>
      </c>
      <c r="J5263" s="7">
        <f>I5263*G5263</f>
        <v/>
      </c>
      <c r="K5263" s="8">
        <f>IF($J$5271=0,0,J5263/$J$5271)</f>
        <v/>
      </c>
      <c r="L5263" s="6" t="inlineStr">
        <is>
          <t>WATCHLIST</t>
        </is>
      </c>
      <c r="M5263" s="8" t="n">
        <v>0</v>
      </c>
      <c r="N5263" s="7">
        <f>M5263*$J$5271-J5263</f>
        <v/>
      </c>
      <c r="O5263" s="9">
        <f>IF(G5263=0,0,N5263/G5263)</f>
        <v/>
      </c>
      <c r="P5263" s="6">
        <f>IF(M5263&gt;0,D5263,"")</f>
        <v/>
      </c>
      <c r="Q5263" s="9">
        <f>I5263+O5263</f>
        <v/>
      </c>
      <c r="R5263" s="7">
        <f>Q5263*G5263</f>
        <v/>
      </c>
      <c r="S5263" s="8">
        <f>IF($R$5271=0,0,R5263/$R$5271)</f>
        <v/>
      </c>
      <c r="T5263" s="8" t="n">
        <v>0.02390552425883219</v>
      </c>
      <c r="U5263" s="8" t="n">
        <v>0.03028409568233026</v>
      </c>
      <c r="V5263" s="6" t="inlineStr">
        <is>
          <t>not selected</t>
        </is>
      </c>
    </row>
    <row r="5264">
      <c r="A5264" s="6" t="inlineStr">
        <is>
          <t>DJ30</t>
        </is>
      </c>
      <c r="B5264" s="6" t="inlineStr">
        <is>
          <t>2026-04-03</t>
        </is>
      </c>
      <c r="C5264" s="6" t="inlineStr">
        <is>
          <t>DIA</t>
        </is>
      </c>
      <c r="D5264" s="6" t="inlineStr">
        <is>
          <t>PG</t>
        </is>
      </c>
      <c r="E5264" s="6" t="inlineStr">
        <is>
          <t>PG</t>
        </is>
      </c>
      <c r="F5264" s="6" t="inlineStr">
        <is>
          <t>-</t>
        </is>
      </c>
      <c r="G5264" s="7" t="n">
        <v>142.0503540039062</v>
      </c>
      <c r="H5264" s="6">
        <f>P5233</f>
        <v/>
      </c>
      <c r="I5264" s="9">
        <f>Q5233</f>
        <v/>
      </c>
      <c r="J5264" s="7">
        <f>I5264*G5264</f>
        <v/>
      </c>
      <c r="K5264" s="8">
        <f>IF($J$5271=0,0,J5264/$J$5271)</f>
        <v/>
      </c>
      <c r="L5264" s="6" t="inlineStr">
        <is>
          <t>REJECTED</t>
        </is>
      </c>
      <c r="M5264" s="8" t="n">
        <v>0</v>
      </c>
      <c r="N5264" s="7">
        <f>M5264*$J$5271-J5264</f>
        <v/>
      </c>
      <c r="O5264" s="9">
        <f>IF(G5264=0,0,N5264/G5264)</f>
        <v/>
      </c>
      <c r="P5264" s="6">
        <f>IF(M5264&gt;0,D5264,"")</f>
        <v/>
      </c>
      <c r="Q5264" s="9">
        <f>I5264+O5264</f>
        <v/>
      </c>
      <c r="R5264" s="7">
        <f>Q5264*G5264</f>
        <v/>
      </c>
      <c r="S5264" s="8">
        <f>IF($R$5271=0,0,R5264/$R$5271)</f>
        <v/>
      </c>
      <c r="T5264" s="8" t="n">
        <v>0.02390552425883219</v>
      </c>
      <c r="U5264" s="8" t="n">
        <v>0.03028409568233026</v>
      </c>
      <c r="V5264" s="6" t="inlineStr">
        <is>
          <t>not selected</t>
        </is>
      </c>
    </row>
    <row r="5265">
      <c r="A5265" s="6" t="inlineStr">
        <is>
          <t>DJ30</t>
        </is>
      </c>
      <c r="B5265" s="6" t="inlineStr">
        <is>
          <t>2026-04-03</t>
        </is>
      </c>
      <c r="C5265" s="6" t="inlineStr">
        <is>
          <t>DIA</t>
        </is>
      </c>
      <c r="D5265" s="6" t="inlineStr">
        <is>
          <t>SHW</t>
        </is>
      </c>
      <c r="E5265" s="6" t="inlineStr">
        <is>
          <t>SHW</t>
        </is>
      </c>
      <c r="F5265" s="6" t="inlineStr">
        <is>
          <t>-</t>
        </is>
      </c>
      <c r="G5265" s="7" t="n">
        <v>317.1776123046875</v>
      </c>
      <c r="H5265" s="6">
        <f>P5234</f>
        <v/>
      </c>
      <c r="I5265" s="9">
        <f>Q5234</f>
        <v/>
      </c>
      <c r="J5265" s="7">
        <f>I5265*G5265</f>
        <v/>
      </c>
      <c r="K5265" s="8">
        <f>IF($J$5271=0,0,J5265/$J$5271)</f>
        <v/>
      </c>
      <c r="L5265" s="6" t="inlineStr">
        <is>
          <t>REJECTED</t>
        </is>
      </c>
      <c r="M5265" s="8" t="n">
        <v>0</v>
      </c>
      <c r="N5265" s="7">
        <f>M5265*$J$5271-J5265</f>
        <v/>
      </c>
      <c r="O5265" s="9">
        <f>IF(G5265=0,0,N5265/G5265)</f>
        <v/>
      </c>
      <c r="P5265" s="6">
        <f>IF(M5265&gt;0,D5265,"")</f>
        <v/>
      </c>
      <c r="Q5265" s="9">
        <f>I5265+O5265</f>
        <v/>
      </c>
      <c r="R5265" s="7">
        <f>Q5265*G5265</f>
        <v/>
      </c>
      <c r="S5265" s="8">
        <f>IF($R$5271=0,0,R5265/$R$5271)</f>
        <v/>
      </c>
      <c r="T5265" s="8" t="n">
        <v>0.02390552425883219</v>
      </c>
      <c r="U5265" s="8" t="n">
        <v>0.03028409568233026</v>
      </c>
      <c r="V5265" s="6" t="inlineStr">
        <is>
          <t>not selected</t>
        </is>
      </c>
    </row>
    <row r="5266">
      <c r="A5266" s="6" t="inlineStr">
        <is>
          <t>DJ30</t>
        </is>
      </c>
      <c r="B5266" s="6" t="inlineStr">
        <is>
          <t>2026-04-03</t>
        </is>
      </c>
      <c r="C5266" s="6" t="inlineStr">
        <is>
          <t>DIA</t>
        </is>
      </c>
      <c r="D5266" s="6" t="inlineStr">
        <is>
          <t>TRV</t>
        </is>
      </c>
      <c r="E5266" s="6" t="inlineStr">
        <is>
          <t>TRV</t>
        </is>
      </c>
      <c r="F5266" s="6" t="inlineStr">
        <is>
          <t>-</t>
        </is>
      </c>
      <c r="G5266" s="7" t="n">
        <v>292.7660522460937</v>
      </c>
      <c r="H5266" s="6">
        <f>P5235</f>
        <v/>
      </c>
      <c r="I5266" s="9">
        <f>Q5235</f>
        <v/>
      </c>
      <c r="J5266" s="7">
        <f>I5266*G5266</f>
        <v/>
      </c>
      <c r="K5266" s="8">
        <f>IF($J$5271=0,0,J5266/$J$5271)</f>
        <v/>
      </c>
      <c r="L5266" s="6" t="inlineStr">
        <is>
          <t>WATCHLIST</t>
        </is>
      </c>
      <c r="M5266" s="8" t="n">
        <v>0</v>
      </c>
      <c r="N5266" s="7">
        <f>M5266*$J$5271-J5266</f>
        <v/>
      </c>
      <c r="O5266" s="9">
        <f>IF(G5266=0,0,N5266/G5266)</f>
        <v/>
      </c>
      <c r="P5266" s="6">
        <f>IF(M5266&gt;0,D5266,"")</f>
        <v/>
      </c>
      <c r="Q5266" s="9">
        <f>I5266+O5266</f>
        <v/>
      </c>
      <c r="R5266" s="7">
        <f>Q5266*G5266</f>
        <v/>
      </c>
      <c r="S5266" s="8">
        <f>IF($R$5271=0,0,R5266/$R$5271)</f>
        <v/>
      </c>
      <c r="T5266" s="8" t="n">
        <v>0.02390552425883219</v>
      </c>
      <c r="U5266" s="8" t="n">
        <v>0.03028409568233026</v>
      </c>
      <c r="V5266" s="6" t="inlineStr">
        <is>
          <t>not selected</t>
        </is>
      </c>
    </row>
    <row r="5267">
      <c r="A5267" s="6" t="inlineStr">
        <is>
          <t>DJ30</t>
        </is>
      </c>
      <c r="B5267" s="6" t="inlineStr">
        <is>
          <t>2026-04-03</t>
        </is>
      </c>
      <c r="C5267" s="6" t="inlineStr">
        <is>
          <t>DIA</t>
        </is>
      </c>
      <c r="D5267" s="6" t="inlineStr">
        <is>
          <t>UNH</t>
        </is>
      </c>
      <c r="E5267" s="6" t="inlineStr">
        <is>
          <t>UNH</t>
        </is>
      </c>
      <c r="F5267" s="6" t="inlineStr">
        <is>
          <t>-</t>
        </is>
      </c>
      <c r="G5267" s="7" t="n">
        <v>275.6854553222656</v>
      </c>
      <c r="H5267" s="6">
        <f>P5236</f>
        <v/>
      </c>
      <c r="I5267" s="9">
        <f>Q5236</f>
        <v/>
      </c>
      <c r="J5267" s="7">
        <f>I5267*G5267</f>
        <v/>
      </c>
      <c r="K5267" s="8">
        <f>IF($J$5271=0,0,J5267/$J$5271)</f>
        <v/>
      </c>
      <c r="L5267" s="6" t="inlineStr">
        <is>
          <t>REJECTED</t>
        </is>
      </c>
      <c r="M5267" s="8" t="n">
        <v>0</v>
      </c>
      <c r="N5267" s="7">
        <f>M5267*$J$5271-J5267</f>
        <v/>
      </c>
      <c r="O5267" s="9">
        <f>IF(G5267=0,0,N5267/G5267)</f>
        <v/>
      </c>
      <c r="P5267" s="6">
        <f>IF(M5267&gt;0,D5267,"")</f>
        <v/>
      </c>
      <c r="Q5267" s="9">
        <f>I5267+O5267</f>
        <v/>
      </c>
      <c r="R5267" s="7">
        <f>Q5267*G5267</f>
        <v/>
      </c>
      <c r="S5267" s="8">
        <f>IF($R$5271=0,0,R5267/$R$5271)</f>
        <v/>
      </c>
      <c r="T5267" s="8" t="n">
        <v>0.02390552425883219</v>
      </c>
      <c r="U5267" s="8" t="n">
        <v>0.03028409568233026</v>
      </c>
      <c r="V5267" s="6" t="inlineStr">
        <is>
          <t>not selected</t>
        </is>
      </c>
    </row>
    <row r="5268">
      <c r="A5268" s="6" t="inlineStr">
        <is>
          <t>DJ30</t>
        </is>
      </c>
      <c r="B5268" s="6" t="inlineStr">
        <is>
          <t>2026-04-03</t>
        </is>
      </c>
      <c r="C5268" s="6" t="inlineStr">
        <is>
          <t>DIA</t>
        </is>
      </c>
      <c r="D5268" s="6" t="inlineStr">
        <is>
          <t>V</t>
        </is>
      </c>
      <c r="E5268" s="6" t="inlineStr">
        <is>
          <t>V</t>
        </is>
      </c>
      <c r="F5268" s="6" t="inlineStr">
        <is>
          <t>-</t>
        </is>
      </c>
      <c r="G5268" s="7" t="n">
        <v>300.1776733398437</v>
      </c>
      <c r="H5268" s="6">
        <f>P5237</f>
        <v/>
      </c>
      <c r="I5268" s="9">
        <f>Q5237</f>
        <v/>
      </c>
      <c r="J5268" s="7">
        <f>I5268*G5268</f>
        <v/>
      </c>
      <c r="K5268" s="8">
        <f>IF($J$5271=0,0,J5268/$J$5271)</f>
        <v/>
      </c>
      <c r="L5268" s="6" t="inlineStr">
        <is>
          <t>REJECTED</t>
        </is>
      </c>
      <c r="M5268" s="8" t="n">
        <v>0</v>
      </c>
      <c r="N5268" s="7">
        <f>M5268*$J$5271-J5268</f>
        <v/>
      </c>
      <c r="O5268" s="9">
        <f>IF(G5268=0,0,N5268/G5268)</f>
        <v/>
      </c>
      <c r="P5268" s="6">
        <f>IF(M5268&gt;0,D5268,"")</f>
        <v/>
      </c>
      <c r="Q5268" s="9">
        <f>I5268+O5268</f>
        <v/>
      </c>
      <c r="R5268" s="7">
        <f>Q5268*G5268</f>
        <v/>
      </c>
      <c r="S5268" s="8">
        <f>IF($R$5271=0,0,R5268/$R$5271)</f>
        <v/>
      </c>
      <c r="T5268" s="8" t="n">
        <v>0.02390552425883219</v>
      </c>
      <c r="U5268" s="8" t="n">
        <v>0.03028409568233026</v>
      </c>
      <c r="V5268" s="6" t="inlineStr">
        <is>
          <t>not selected</t>
        </is>
      </c>
    </row>
    <row r="5269">
      <c r="A5269" s="6" t="inlineStr">
        <is>
          <t>DJ30</t>
        </is>
      </c>
      <c r="B5269" s="6" t="inlineStr">
        <is>
          <t>2026-04-03</t>
        </is>
      </c>
      <c r="C5269" s="6" t="inlineStr">
        <is>
          <t>DIA</t>
        </is>
      </c>
      <c r="D5269" s="6" t="inlineStr">
        <is>
          <t>VZ</t>
        </is>
      </c>
      <c r="E5269" s="6" t="inlineStr">
        <is>
          <t>VZ</t>
        </is>
      </c>
      <c r="F5269" s="6" t="inlineStr">
        <is>
          <t>-</t>
        </is>
      </c>
      <c r="G5269" s="7" t="n">
        <v>48.66799926757812</v>
      </c>
      <c r="H5269" s="6">
        <f>P5238</f>
        <v/>
      </c>
      <c r="I5269" s="9">
        <f>Q5238</f>
        <v/>
      </c>
      <c r="J5269" s="7">
        <f>I5269*G5269</f>
        <v/>
      </c>
      <c r="K5269" s="8">
        <f>IF($J$5271=0,0,J5269/$J$5271)</f>
        <v/>
      </c>
      <c r="L5269" s="6" t="inlineStr">
        <is>
          <t>REJECTED</t>
        </is>
      </c>
      <c r="M5269" s="8" t="n">
        <v>0</v>
      </c>
      <c r="N5269" s="7">
        <f>M5269*$J$5271-J5269</f>
        <v/>
      </c>
      <c r="O5269" s="9">
        <f>IF(G5269=0,0,N5269/G5269)</f>
        <v/>
      </c>
      <c r="P5269" s="6">
        <f>IF(M5269&gt;0,D5269,"")</f>
        <v/>
      </c>
      <c r="Q5269" s="9">
        <f>I5269+O5269</f>
        <v/>
      </c>
      <c r="R5269" s="7">
        <f>Q5269*G5269</f>
        <v/>
      </c>
      <c r="S5269" s="8">
        <f>IF($R$5271=0,0,R5269/$R$5271)</f>
        <v/>
      </c>
      <c r="T5269" s="8" t="n">
        <v>0.02390552425883219</v>
      </c>
      <c r="U5269" s="8" t="n">
        <v>0.03028409568233026</v>
      </c>
      <c r="V5269" s="6" t="inlineStr">
        <is>
          <t>not selected</t>
        </is>
      </c>
    </row>
    <row r="5270">
      <c r="A5270" s="6" t="inlineStr">
        <is>
          <t>DJ30</t>
        </is>
      </c>
      <c r="B5270" s="6" t="inlineStr">
        <is>
          <t>2026-04-03</t>
        </is>
      </c>
      <c r="C5270" s="6" t="inlineStr">
        <is>
          <t>DIA</t>
        </is>
      </c>
      <c r="D5270" s="6" t="inlineStr">
        <is>
          <t>WMT</t>
        </is>
      </c>
      <c r="E5270" s="6" t="inlineStr">
        <is>
          <t>WMT</t>
        </is>
      </c>
      <c r="F5270" s="6" t="inlineStr">
        <is>
          <t>-</t>
        </is>
      </c>
      <c r="G5270" s="7" t="n">
        <v>125.5503997802734</v>
      </c>
      <c r="H5270" s="6">
        <f>P5239</f>
        <v/>
      </c>
      <c r="I5270" s="9">
        <f>Q5239</f>
        <v/>
      </c>
      <c r="J5270" s="7">
        <f>I5270*G5270</f>
        <v/>
      </c>
      <c r="K5270" s="8">
        <f>IF($J$5271=0,0,J5270/$J$5271)</f>
        <v/>
      </c>
      <c r="L5270" s="6" t="inlineStr">
        <is>
          <t>WATCHLIST</t>
        </is>
      </c>
      <c r="M5270" s="8" t="n">
        <v>0</v>
      </c>
      <c r="N5270" s="7">
        <f>M5270*$J$5271-J5270</f>
        <v/>
      </c>
      <c r="O5270" s="9">
        <f>IF(G5270=0,0,N5270/G5270)</f>
        <v/>
      </c>
      <c r="P5270" s="6">
        <f>IF(M5270&gt;0,D5270,"")</f>
        <v/>
      </c>
      <c r="Q5270" s="9">
        <f>I5270+O5270</f>
        <v/>
      </c>
      <c r="R5270" s="7">
        <f>Q5270*G5270</f>
        <v/>
      </c>
      <c r="S5270" s="8">
        <f>IF($R$5271=0,0,R5270/$R$5271)</f>
        <v/>
      </c>
      <c r="T5270" s="8" t="n">
        <v>0.02390552425883219</v>
      </c>
      <c r="U5270" s="8" t="n">
        <v>0.03028409568233026</v>
      </c>
      <c r="V5270" s="6" t="inlineStr">
        <is>
          <t>not selected</t>
        </is>
      </c>
    </row>
    <row r="5271">
      <c r="A5271" s="10" t="inlineStr">
        <is>
          <t>DJ30</t>
        </is>
      </c>
      <c r="B5271" s="10" t="inlineStr">
        <is>
          <t>2026-04-03</t>
        </is>
      </c>
      <c r="C5271" s="10" t="inlineStr">
        <is>
          <t>DIA</t>
        </is>
      </c>
      <c r="D5271" s="10" t="inlineStr">
        <is>
          <t>Tot Portfolio</t>
        </is>
      </c>
      <c r="E5271" s="10" t="inlineStr"/>
      <c r="F5271" s="10" t="inlineStr"/>
      <c r="G5271" s="11" t="inlineStr"/>
      <c r="H5271" s="10" t="inlineStr"/>
      <c r="I5271" s="12" t="inlineStr"/>
      <c r="J5271" s="11">
        <f>SUM(J5241:J5270)</f>
        <v/>
      </c>
      <c r="K5271" s="13">
        <f>SUM(K5241:K5270)</f>
        <v/>
      </c>
      <c r="L5271" s="10" t="inlineStr">
        <is>
          <t>TOTAL</t>
        </is>
      </c>
      <c r="M5271" s="13">
        <f>SUM(M5241:M5270)</f>
        <v/>
      </c>
      <c r="N5271" s="11">
        <f>SUM(N5241:N5270)</f>
        <v/>
      </c>
      <c r="O5271" s="12">
        <f>SUM(O5241:O5270)</f>
        <v/>
      </c>
      <c r="P5271" s="10" t="inlineStr"/>
      <c r="Q5271" s="12" t="inlineStr"/>
      <c r="R5271" s="11">
        <f>SUM(R5241:R5270)</f>
        <v/>
      </c>
      <c r="S5271" s="13">
        <f>SUM(S5241:S5270)</f>
        <v/>
      </c>
      <c r="T5271" s="13" t="n">
        <v>0.02390552425883219</v>
      </c>
      <c r="U5271" s="13" t="n">
        <v>0.03028409568233026</v>
      </c>
      <c r="V5271" s="10" t="inlineStr"/>
    </row>
    <row r="5272">
      <c r="A5272" s="6" t="inlineStr">
        <is>
          <t>DJ30</t>
        </is>
      </c>
      <c r="B5272" s="6" t="inlineStr">
        <is>
          <t>2026-04-10</t>
        </is>
      </c>
      <c r="C5272" s="6" t="inlineStr">
        <is>
          <t>DIA</t>
        </is>
      </c>
      <c r="D5272" s="6" t="inlineStr">
        <is>
          <t>AAPL</t>
        </is>
      </c>
      <c r="E5272" s="6" t="inlineStr">
        <is>
          <t>AAPL</t>
        </is>
      </c>
      <c r="F5272" s="6" t="inlineStr">
        <is>
          <t>-</t>
        </is>
      </c>
      <c r="G5272" s="7" t="n">
        <v>260.240234375</v>
      </c>
      <c r="H5272" s="6">
        <f>P5241</f>
        <v/>
      </c>
      <c r="I5272" s="9">
        <f>Q5241</f>
        <v/>
      </c>
      <c r="J5272" s="7">
        <f>I5272*G5272</f>
        <v/>
      </c>
      <c r="K5272" s="8">
        <f>IF($J$5302=0,0,J5272/$J$5302)</f>
        <v/>
      </c>
      <c r="L5272" s="6" t="inlineStr">
        <is>
          <t>WATCHLIST</t>
        </is>
      </c>
      <c r="M5272" s="8" t="n">
        <v>0</v>
      </c>
      <c r="N5272" s="7">
        <f>M5272*$J$5302-J5272</f>
        <v/>
      </c>
      <c r="O5272" s="9">
        <f>IF(G5272=0,0,N5272/G5272)</f>
        <v/>
      </c>
      <c r="P5272" s="6">
        <f>IF(M5272&gt;0,D5272,"")</f>
        <v/>
      </c>
      <c r="Q5272" s="9">
        <f>I5272+O5272</f>
        <v/>
      </c>
      <c r="R5272" s="7">
        <f>Q5272*G5272</f>
        <v/>
      </c>
      <c r="S5272" s="8">
        <f>IF($R$5302=0,0,R5272/$R$5302)</f>
        <v/>
      </c>
      <c r="T5272" s="8" t="n">
        <v>0.02470808587906292</v>
      </c>
      <c r="U5272" s="8" t="n">
        <v>0.0305122982617958</v>
      </c>
      <c r="V5272" s="6" t="inlineStr">
        <is>
          <t>not selected</t>
        </is>
      </c>
    </row>
    <row r="5273">
      <c r="A5273" s="6" t="inlineStr">
        <is>
          <t>DJ30</t>
        </is>
      </c>
      <c r="B5273" s="6" t="inlineStr">
        <is>
          <t>2026-04-10</t>
        </is>
      </c>
      <c r="C5273" s="6" t="inlineStr">
        <is>
          <t>DIA</t>
        </is>
      </c>
      <c r="D5273" s="6" t="inlineStr">
        <is>
          <t>AMGN</t>
        </is>
      </c>
      <c r="E5273" s="6" t="inlineStr">
        <is>
          <t>AMGN</t>
        </is>
      </c>
      <c r="F5273" s="6" t="inlineStr">
        <is>
          <t>-</t>
        </is>
      </c>
      <c r="G5273" s="7" t="n">
        <v>348.3891296386719</v>
      </c>
      <c r="H5273" s="6">
        <f>P5242</f>
        <v/>
      </c>
      <c r="I5273" s="9">
        <f>Q5242</f>
        <v/>
      </c>
      <c r="J5273" s="7">
        <f>I5273*G5273</f>
        <v/>
      </c>
      <c r="K5273" s="8">
        <f>IF($J$5302=0,0,J5273/$J$5302)</f>
        <v/>
      </c>
      <c r="L5273" s="6" t="inlineStr">
        <is>
          <t>WATCHLIST</t>
        </is>
      </c>
      <c r="M5273" s="8" t="n">
        <v>0</v>
      </c>
      <c r="N5273" s="7">
        <f>M5273*$J$5302-J5273</f>
        <v/>
      </c>
      <c r="O5273" s="9">
        <f>IF(G5273=0,0,N5273/G5273)</f>
        <v/>
      </c>
      <c r="P5273" s="6">
        <f>IF(M5273&gt;0,D5273,"")</f>
        <v/>
      </c>
      <c r="Q5273" s="9">
        <f>I5273+O5273</f>
        <v/>
      </c>
      <c r="R5273" s="7">
        <f>Q5273*G5273</f>
        <v/>
      </c>
      <c r="S5273" s="8">
        <f>IF($R$5302=0,0,R5273/$R$5302)</f>
        <v/>
      </c>
      <c r="T5273" s="8" t="n">
        <v>0.02470808587906292</v>
      </c>
      <c r="U5273" s="8" t="n">
        <v>0.0305122982617958</v>
      </c>
      <c r="V5273" s="6" t="inlineStr">
        <is>
          <t>not selected</t>
        </is>
      </c>
    </row>
    <row r="5274">
      <c r="A5274" s="6" t="inlineStr">
        <is>
          <t>DJ30</t>
        </is>
      </c>
      <c r="B5274" s="6" t="inlineStr">
        <is>
          <t>2026-04-10</t>
        </is>
      </c>
      <c r="C5274" s="6" t="inlineStr">
        <is>
          <t>DIA</t>
        </is>
      </c>
      <c r="D5274" s="6" t="inlineStr">
        <is>
          <t>AMZN</t>
        </is>
      </c>
      <c r="E5274" s="6" t="inlineStr">
        <is>
          <t>AMZN</t>
        </is>
      </c>
      <c r="F5274" s="6" t="inlineStr">
        <is>
          <t>-</t>
        </is>
      </c>
      <c r="G5274" s="7" t="n">
        <v>238.3800048828125</v>
      </c>
      <c r="H5274" s="6">
        <f>P5243</f>
        <v/>
      </c>
      <c r="I5274" s="9">
        <f>Q5243</f>
        <v/>
      </c>
      <c r="J5274" s="7">
        <f>I5274*G5274</f>
        <v/>
      </c>
      <c r="K5274" s="8">
        <f>IF($J$5302=0,0,J5274/$J$5302)</f>
        <v/>
      </c>
      <c r="L5274" s="6" t="inlineStr">
        <is>
          <t>REJECTED</t>
        </is>
      </c>
      <c r="M5274" s="8" t="n">
        <v>0</v>
      </c>
      <c r="N5274" s="7">
        <f>M5274*$J$5302-J5274</f>
        <v/>
      </c>
      <c r="O5274" s="9">
        <f>IF(G5274=0,0,N5274/G5274)</f>
        <v/>
      </c>
      <c r="P5274" s="6">
        <f>IF(M5274&gt;0,D5274,"")</f>
        <v/>
      </c>
      <c r="Q5274" s="9">
        <f>I5274+O5274</f>
        <v/>
      </c>
      <c r="R5274" s="7">
        <f>Q5274*G5274</f>
        <v/>
      </c>
      <c r="S5274" s="8">
        <f>IF($R$5302=0,0,R5274/$R$5302)</f>
        <v/>
      </c>
      <c r="T5274" s="8" t="n">
        <v>0.02470808587906292</v>
      </c>
      <c r="U5274" s="8" t="n">
        <v>0.0305122982617958</v>
      </c>
      <c r="V5274" s="6" t="inlineStr">
        <is>
          <t>not selected</t>
        </is>
      </c>
    </row>
    <row r="5275">
      <c r="A5275" s="6" t="inlineStr">
        <is>
          <t>DJ30</t>
        </is>
      </c>
      <c r="B5275" s="6" t="inlineStr">
        <is>
          <t>2026-04-10</t>
        </is>
      </c>
      <c r="C5275" s="6" t="inlineStr">
        <is>
          <t>DIA</t>
        </is>
      </c>
      <c r="D5275" s="6" t="inlineStr">
        <is>
          <t>AXP</t>
        </is>
      </c>
      <c r="E5275" s="6" t="inlineStr">
        <is>
          <t>AXP</t>
        </is>
      </c>
      <c r="F5275" s="6" t="inlineStr">
        <is>
          <t>-</t>
        </is>
      </c>
      <c r="G5275" s="7" t="n">
        <v>313.5</v>
      </c>
      <c r="H5275" s="6">
        <f>P5244</f>
        <v/>
      </c>
      <c r="I5275" s="9">
        <f>Q5244</f>
        <v/>
      </c>
      <c r="J5275" s="7">
        <f>I5275*G5275</f>
        <v/>
      </c>
      <c r="K5275" s="8">
        <f>IF($J$5302=0,0,J5275/$J$5302)</f>
        <v/>
      </c>
      <c r="L5275" s="6" t="inlineStr">
        <is>
          <t>REJECTED</t>
        </is>
      </c>
      <c r="M5275" s="8" t="n">
        <v>0</v>
      </c>
      <c r="N5275" s="7">
        <f>M5275*$J$5302-J5275</f>
        <v/>
      </c>
      <c r="O5275" s="9">
        <f>IF(G5275=0,0,N5275/G5275)</f>
        <v/>
      </c>
      <c r="P5275" s="6">
        <f>IF(M5275&gt;0,D5275,"")</f>
        <v/>
      </c>
      <c r="Q5275" s="9">
        <f>I5275+O5275</f>
        <v/>
      </c>
      <c r="R5275" s="7">
        <f>Q5275*G5275</f>
        <v/>
      </c>
      <c r="S5275" s="8">
        <f>IF($R$5302=0,0,R5275/$R$5302)</f>
        <v/>
      </c>
      <c r="T5275" s="8" t="n">
        <v>0.02470808587906292</v>
      </c>
      <c r="U5275" s="8" t="n">
        <v>0.0305122982617958</v>
      </c>
      <c r="V5275" s="6" t="inlineStr">
        <is>
          <t>not selected</t>
        </is>
      </c>
    </row>
    <row r="5276">
      <c r="A5276" s="6" t="inlineStr">
        <is>
          <t>DJ30</t>
        </is>
      </c>
      <c r="B5276" s="6" t="inlineStr">
        <is>
          <t>2026-04-10</t>
        </is>
      </c>
      <c r="C5276" s="6" t="inlineStr">
        <is>
          <t>DIA</t>
        </is>
      </c>
      <c r="D5276" s="6" t="inlineStr">
        <is>
          <t>BA</t>
        </is>
      </c>
      <c r="E5276" s="6" t="inlineStr">
        <is>
          <t>BA</t>
        </is>
      </c>
      <c r="F5276" s="6" t="inlineStr">
        <is>
          <t>-</t>
        </is>
      </c>
      <c r="G5276" s="7" t="n">
        <v>217.6300048828125</v>
      </c>
      <c r="H5276" s="6">
        <f>P5245</f>
        <v/>
      </c>
      <c r="I5276" s="9">
        <f>Q5245</f>
        <v/>
      </c>
      <c r="J5276" s="7">
        <f>I5276*G5276</f>
        <v/>
      </c>
      <c r="K5276" s="8">
        <f>IF($J$5302=0,0,J5276/$J$5302)</f>
        <v/>
      </c>
      <c r="L5276" s="6" t="inlineStr">
        <is>
          <t>REJECTED</t>
        </is>
      </c>
      <c r="M5276" s="8" t="n">
        <v>0</v>
      </c>
      <c r="N5276" s="7">
        <f>M5276*$J$5302-J5276</f>
        <v/>
      </c>
      <c r="O5276" s="9">
        <f>IF(G5276=0,0,N5276/G5276)</f>
        <v/>
      </c>
      <c r="P5276" s="6">
        <f>IF(M5276&gt;0,D5276,"")</f>
        <v/>
      </c>
      <c r="Q5276" s="9">
        <f>I5276+O5276</f>
        <v/>
      </c>
      <c r="R5276" s="7">
        <f>Q5276*G5276</f>
        <v/>
      </c>
      <c r="S5276" s="8">
        <f>IF($R$5302=0,0,R5276/$R$5302)</f>
        <v/>
      </c>
      <c r="T5276" s="8" t="n">
        <v>0.02470808587906292</v>
      </c>
      <c r="U5276" s="8" t="n">
        <v>0.0305122982617958</v>
      </c>
      <c r="V5276" s="6" t="inlineStr">
        <is>
          <t>not selected</t>
        </is>
      </c>
    </row>
    <row r="5277">
      <c r="A5277" s="6" t="inlineStr">
        <is>
          <t>DJ30</t>
        </is>
      </c>
      <c r="B5277" s="6" t="inlineStr">
        <is>
          <t>2026-04-10</t>
        </is>
      </c>
      <c r="C5277" s="6" t="inlineStr">
        <is>
          <t>DIA</t>
        </is>
      </c>
      <c r="D5277" s="6" t="inlineStr">
        <is>
          <t>CAT</t>
        </is>
      </c>
      <c r="E5277" s="6" t="inlineStr">
        <is>
          <t>CAT</t>
        </is>
      </c>
      <c r="F5277" s="6" t="inlineStr">
        <is>
          <t>-</t>
        </is>
      </c>
      <c r="G5277" s="7" t="n">
        <v>789.1575927734375</v>
      </c>
      <c r="H5277" s="6">
        <f>P5246</f>
        <v/>
      </c>
      <c r="I5277" s="9">
        <f>Q5246</f>
        <v/>
      </c>
      <c r="J5277" s="7">
        <f>I5277*G5277</f>
        <v/>
      </c>
      <c r="K5277" s="8">
        <f>IF($J$5302=0,0,J5277/$J$5302)</f>
        <v/>
      </c>
      <c r="L5277" s="6" t="inlineStr">
        <is>
          <t>SELECTED</t>
        </is>
      </c>
      <c r="M5277" s="8" t="n">
        <v>0.2</v>
      </c>
      <c r="N5277" s="7">
        <f>M5277*$J$5302-J5277</f>
        <v/>
      </c>
      <c r="O5277" s="9">
        <f>IF(G5277=0,0,N5277/G5277)</f>
        <v/>
      </c>
      <c r="P5277" s="6">
        <f>IF(M5277&gt;0,D5277,"")</f>
        <v/>
      </c>
      <c r="Q5277" s="9">
        <f>I5277+O5277</f>
        <v/>
      </c>
      <c r="R5277" s="7">
        <f>Q5277*G5277</f>
        <v/>
      </c>
      <c r="S5277" s="8">
        <f>IF($R$5302=0,0,R5277/$R$5302)</f>
        <v/>
      </c>
      <c r="T5277" s="8" t="n">
        <v>0.02470808587906292</v>
      </c>
      <c r="U5277" s="8" t="n">
        <v>0.0305122982617958</v>
      </c>
      <c r="V5277" s="6" t="inlineStr">
        <is>
          <t>remained in weekly selection</t>
        </is>
      </c>
    </row>
    <row r="5278">
      <c r="A5278" s="6" t="inlineStr">
        <is>
          <t>DJ30</t>
        </is>
      </c>
      <c r="B5278" s="6" t="inlineStr">
        <is>
          <t>2026-04-10</t>
        </is>
      </c>
      <c r="C5278" s="6" t="inlineStr">
        <is>
          <t>DIA</t>
        </is>
      </c>
      <c r="D5278" s="6" t="inlineStr">
        <is>
          <t>CRM</t>
        </is>
      </c>
      <c r="E5278" s="6" t="inlineStr">
        <is>
          <t>CRM</t>
        </is>
      </c>
      <c r="F5278" s="6" t="inlineStr">
        <is>
          <t>-</t>
        </is>
      </c>
      <c r="G5278" s="7" t="n">
        <v>164.5353393554688</v>
      </c>
      <c r="H5278" s="6">
        <f>P5247</f>
        <v/>
      </c>
      <c r="I5278" s="9">
        <f>Q5247</f>
        <v/>
      </c>
      <c r="J5278" s="7">
        <f>I5278*G5278</f>
        <v/>
      </c>
      <c r="K5278" s="8">
        <f>IF($J$5302=0,0,J5278/$J$5302)</f>
        <v/>
      </c>
      <c r="L5278" s="6" t="inlineStr">
        <is>
          <t>REJECTED</t>
        </is>
      </c>
      <c r="M5278" s="8" t="n">
        <v>0</v>
      </c>
      <c r="N5278" s="7">
        <f>M5278*$J$5302-J5278</f>
        <v/>
      </c>
      <c r="O5278" s="9">
        <f>IF(G5278=0,0,N5278/G5278)</f>
        <v/>
      </c>
      <c r="P5278" s="6">
        <f>IF(M5278&gt;0,D5278,"")</f>
        <v/>
      </c>
      <c r="Q5278" s="9">
        <f>I5278+O5278</f>
        <v/>
      </c>
      <c r="R5278" s="7">
        <f>Q5278*G5278</f>
        <v/>
      </c>
      <c r="S5278" s="8">
        <f>IF($R$5302=0,0,R5278/$R$5302)</f>
        <v/>
      </c>
      <c r="T5278" s="8" t="n">
        <v>0.02470808587906292</v>
      </c>
      <c r="U5278" s="8" t="n">
        <v>0.0305122982617958</v>
      </c>
      <c r="V5278" s="6" t="inlineStr">
        <is>
          <t>not selected</t>
        </is>
      </c>
    </row>
    <row r="5279">
      <c r="A5279" s="6" t="inlineStr">
        <is>
          <t>DJ30</t>
        </is>
      </c>
      <c r="B5279" s="6" t="inlineStr">
        <is>
          <t>2026-04-10</t>
        </is>
      </c>
      <c r="C5279" s="6" t="inlineStr">
        <is>
          <t>DIA</t>
        </is>
      </c>
      <c r="D5279" s="6" t="inlineStr">
        <is>
          <t>CSCO</t>
        </is>
      </c>
      <c r="E5279" s="6" t="inlineStr">
        <is>
          <t>CSCO</t>
        </is>
      </c>
      <c r="F5279" s="6" t="inlineStr">
        <is>
          <t>-</t>
        </is>
      </c>
      <c r="G5279" s="7" t="n">
        <v>82.22000122070312</v>
      </c>
      <c r="H5279" s="6">
        <f>P5248</f>
        <v/>
      </c>
      <c r="I5279" s="9">
        <f>Q5248</f>
        <v/>
      </c>
      <c r="J5279" s="7">
        <f>I5279*G5279</f>
        <v/>
      </c>
      <c r="K5279" s="8">
        <f>IF($J$5302=0,0,J5279/$J$5302)</f>
        <v/>
      </c>
      <c r="L5279" s="6" t="inlineStr">
        <is>
          <t>SELECTED</t>
        </is>
      </c>
      <c r="M5279" s="8" t="n">
        <v>0.2</v>
      </c>
      <c r="N5279" s="7">
        <f>M5279*$J$5302-J5279</f>
        <v/>
      </c>
      <c r="O5279" s="9">
        <f>IF(G5279=0,0,N5279/G5279)</f>
        <v/>
      </c>
      <c r="P5279" s="6">
        <f>IF(M5279&gt;0,D5279,"")</f>
        <v/>
      </c>
      <c r="Q5279" s="9">
        <f>I5279+O5279</f>
        <v/>
      </c>
      <c r="R5279" s="7">
        <f>Q5279*G5279</f>
        <v/>
      </c>
      <c r="S5279" s="8">
        <f>IF($R$5302=0,0,R5279/$R$5302)</f>
        <v/>
      </c>
      <c r="T5279" s="8" t="n">
        <v>0.02470808587906292</v>
      </c>
      <c r="U5279" s="8" t="n">
        <v>0.0305122982617958</v>
      </c>
      <c r="V5279" s="6" t="inlineStr">
        <is>
          <t>remained in weekly selection</t>
        </is>
      </c>
    </row>
    <row r="5280">
      <c r="A5280" s="6" t="inlineStr">
        <is>
          <t>DJ30</t>
        </is>
      </c>
      <c r="B5280" s="6" t="inlineStr">
        <is>
          <t>2026-04-10</t>
        </is>
      </c>
      <c r="C5280" s="6" t="inlineStr">
        <is>
          <t>DIA</t>
        </is>
      </c>
      <c r="D5280" s="6" t="inlineStr">
        <is>
          <t>CVX</t>
        </is>
      </c>
      <c r="E5280" s="6" t="inlineStr">
        <is>
          <t>CVX</t>
        </is>
      </c>
      <c r="F5280" s="6" t="inlineStr">
        <is>
          <t>-</t>
        </is>
      </c>
      <c r="G5280" s="7" t="n">
        <v>186.8387145996093</v>
      </c>
      <c r="H5280" s="6">
        <f>P5249</f>
        <v/>
      </c>
      <c r="I5280" s="9">
        <f>Q5249</f>
        <v/>
      </c>
      <c r="J5280" s="7">
        <f>I5280*G5280</f>
        <v/>
      </c>
      <c r="K5280" s="8">
        <f>IF($J$5302=0,0,J5280/$J$5302)</f>
        <v/>
      </c>
      <c r="L5280" s="6" t="inlineStr">
        <is>
          <t>SELECTED</t>
        </is>
      </c>
      <c r="M5280" s="8" t="n">
        <v>0.2</v>
      </c>
      <c r="N5280" s="7">
        <f>M5280*$J$5302-J5280</f>
        <v/>
      </c>
      <c r="O5280" s="9">
        <f>IF(G5280=0,0,N5280/G5280)</f>
        <v/>
      </c>
      <c r="P5280" s="6">
        <f>IF(M5280&gt;0,D5280,"")</f>
        <v/>
      </c>
      <c r="Q5280" s="9">
        <f>I5280+O5280</f>
        <v/>
      </c>
      <c r="R5280" s="7">
        <f>Q5280*G5280</f>
        <v/>
      </c>
      <c r="S5280" s="8">
        <f>IF($R$5302=0,0,R5280/$R$5302)</f>
        <v/>
      </c>
      <c r="T5280" s="8" t="n">
        <v>0.02470808587906292</v>
      </c>
      <c r="U5280" s="8" t="n">
        <v>0.0305122982617958</v>
      </c>
      <c r="V5280" s="6" t="inlineStr">
        <is>
          <t>remained in weekly selection</t>
        </is>
      </c>
    </row>
    <row r="5281">
      <c r="A5281" s="6" t="inlineStr">
        <is>
          <t>DJ30</t>
        </is>
      </c>
      <c r="B5281" s="6" t="inlineStr">
        <is>
          <t>2026-04-10</t>
        </is>
      </c>
      <c r="C5281" s="6" t="inlineStr">
        <is>
          <t>DIA</t>
        </is>
      </c>
      <c r="D5281" s="6" t="inlineStr">
        <is>
          <t>DIS</t>
        </is>
      </c>
      <c r="E5281" s="6" t="inlineStr">
        <is>
          <t>DIS</t>
        </is>
      </c>
      <c r="F5281" s="6" t="inlineStr">
        <is>
          <t>-</t>
        </is>
      </c>
      <c r="G5281" s="7" t="n">
        <v>99.16999816894533</v>
      </c>
      <c r="H5281" s="6">
        <f>P5250</f>
        <v/>
      </c>
      <c r="I5281" s="9">
        <f>Q5250</f>
        <v/>
      </c>
      <c r="J5281" s="7">
        <f>I5281*G5281</f>
        <v/>
      </c>
      <c r="K5281" s="8">
        <f>IF($J$5302=0,0,J5281/$J$5302)</f>
        <v/>
      </c>
      <c r="L5281" s="6" t="inlineStr">
        <is>
          <t>REJECTED</t>
        </is>
      </c>
      <c r="M5281" s="8" t="n">
        <v>0</v>
      </c>
      <c r="N5281" s="7">
        <f>M5281*$J$5302-J5281</f>
        <v/>
      </c>
      <c r="O5281" s="9">
        <f>IF(G5281=0,0,N5281/G5281)</f>
        <v/>
      </c>
      <c r="P5281" s="6">
        <f>IF(M5281&gt;0,D5281,"")</f>
        <v/>
      </c>
      <c r="Q5281" s="9">
        <f>I5281+O5281</f>
        <v/>
      </c>
      <c r="R5281" s="7">
        <f>Q5281*G5281</f>
        <v/>
      </c>
      <c r="S5281" s="8">
        <f>IF($R$5302=0,0,R5281/$R$5302)</f>
        <v/>
      </c>
      <c r="T5281" s="8" t="n">
        <v>0.02470808587906292</v>
      </c>
      <c r="U5281" s="8" t="n">
        <v>0.0305122982617958</v>
      </c>
      <c r="V5281" s="6" t="inlineStr">
        <is>
          <t>not selected</t>
        </is>
      </c>
    </row>
    <row r="5282">
      <c r="A5282" s="6" t="inlineStr">
        <is>
          <t>DJ30</t>
        </is>
      </c>
      <c r="B5282" s="6" t="inlineStr">
        <is>
          <t>2026-04-10</t>
        </is>
      </c>
      <c r="C5282" s="6" t="inlineStr">
        <is>
          <t>DIA</t>
        </is>
      </c>
      <c r="D5282" s="6" t="inlineStr">
        <is>
          <t>GS</t>
        </is>
      </c>
      <c r="E5282" s="6" t="inlineStr">
        <is>
          <t>GS</t>
        </is>
      </c>
      <c r="F5282" s="6" t="inlineStr">
        <is>
          <t>-</t>
        </is>
      </c>
      <c r="G5282" s="7" t="n">
        <v>903.8167114257812</v>
      </c>
      <c r="H5282" s="6">
        <f>P5251</f>
        <v/>
      </c>
      <c r="I5282" s="9">
        <f>Q5251</f>
        <v/>
      </c>
      <c r="J5282" s="7">
        <f>I5282*G5282</f>
        <v/>
      </c>
      <c r="K5282" s="8">
        <f>IF($J$5302=0,0,J5282/$J$5302)</f>
        <v/>
      </c>
      <c r="L5282" s="6" t="inlineStr">
        <is>
          <t>SELECTED</t>
        </is>
      </c>
      <c r="M5282" s="8" t="n">
        <v>0.2</v>
      </c>
      <c r="N5282" s="7">
        <f>M5282*$J$5302-J5282</f>
        <v/>
      </c>
      <c r="O5282" s="9">
        <f>IF(G5282=0,0,N5282/G5282)</f>
        <v/>
      </c>
      <c r="P5282" s="6">
        <f>IF(M5282&gt;0,D5282,"")</f>
        <v/>
      </c>
      <c r="Q5282" s="9">
        <f>I5282+O5282</f>
        <v/>
      </c>
      <c r="R5282" s="7">
        <f>Q5282*G5282</f>
        <v/>
      </c>
      <c r="S5282" s="8">
        <f>IF($R$5302=0,0,R5282/$R$5302)</f>
        <v/>
      </c>
      <c r="T5282" s="8" t="n">
        <v>0.02470808587906292</v>
      </c>
      <c r="U5282" s="8" t="n">
        <v>0.0305122982617958</v>
      </c>
      <c r="V5282" s="6" t="inlineStr">
        <is>
          <t>remained in weekly selection</t>
        </is>
      </c>
    </row>
    <row r="5283">
      <c r="A5283" s="6" t="inlineStr">
        <is>
          <t>DJ30</t>
        </is>
      </c>
      <c r="B5283" s="6" t="inlineStr">
        <is>
          <t>2026-04-10</t>
        </is>
      </c>
      <c r="C5283" s="6" t="inlineStr">
        <is>
          <t>DIA</t>
        </is>
      </c>
      <c r="D5283" s="6" t="inlineStr">
        <is>
          <t>HD</t>
        </is>
      </c>
      <c r="E5283" s="6" t="inlineStr">
        <is>
          <t>HD</t>
        </is>
      </c>
      <c r="F5283" s="6" t="inlineStr">
        <is>
          <t>-</t>
        </is>
      </c>
      <c r="G5283" s="7" t="n">
        <v>334.8285827636719</v>
      </c>
      <c r="H5283" s="6">
        <f>P5252</f>
        <v/>
      </c>
      <c r="I5283" s="9">
        <f>Q5252</f>
        <v/>
      </c>
      <c r="J5283" s="7">
        <f>I5283*G5283</f>
        <v/>
      </c>
      <c r="K5283" s="8">
        <f>IF($J$5302=0,0,J5283/$J$5302)</f>
        <v/>
      </c>
      <c r="L5283" s="6" t="inlineStr">
        <is>
          <t>REJECTED</t>
        </is>
      </c>
      <c r="M5283" s="8" t="n">
        <v>0</v>
      </c>
      <c r="N5283" s="7">
        <f>M5283*$J$5302-J5283</f>
        <v/>
      </c>
      <c r="O5283" s="9">
        <f>IF(G5283=0,0,N5283/G5283)</f>
        <v/>
      </c>
      <c r="P5283" s="6">
        <f>IF(M5283&gt;0,D5283,"")</f>
        <v/>
      </c>
      <c r="Q5283" s="9">
        <f>I5283+O5283</f>
        <v/>
      </c>
      <c r="R5283" s="7">
        <f>Q5283*G5283</f>
        <v/>
      </c>
      <c r="S5283" s="8">
        <f>IF($R$5302=0,0,R5283/$R$5302)</f>
        <v/>
      </c>
      <c r="T5283" s="8" t="n">
        <v>0.02470808587906292</v>
      </c>
      <c r="U5283" s="8" t="n">
        <v>0.0305122982617958</v>
      </c>
      <c r="V5283" s="6" t="inlineStr">
        <is>
          <t>not selected</t>
        </is>
      </c>
    </row>
    <row r="5284">
      <c r="A5284" s="6" t="inlineStr">
        <is>
          <t>DJ30</t>
        </is>
      </c>
      <c r="B5284" s="6" t="inlineStr">
        <is>
          <t>2026-04-10</t>
        </is>
      </c>
      <c r="C5284" s="6" t="inlineStr">
        <is>
          <t>DIA</t>
        </is>
      </c>
      <c r="D5284" s="6" t="inlineStr">
        <is>
          <t>HON</t>
        </is>
      </c>
      <c r="E5284" s="6" t="inlineStr">
        <is>
          <t>HON</t>
        </is>
      </c>
      <c r="F5284" s="6" t="inlineStr">
        <is>
          <t>-</t>
        </is>
      </c>
      <c r="G5284" s="7" t="n">
        <v>233.7553253173828</v>
      </c>
      <c r="H5284" s="6">
        <f>P5253</f>
        <v/>
      </c>
      <c r="I5284" s="9">
        <f>Q5253</f>
        <v/>
      </c>
      <c r="J5284" s="7">
        <f>I5284*G5284</f>
        <v/>
      </c>
      <c r="K5284" s="8">
        <f>IF($J$5302=0,0,J5284/$J$5302)</f>
        <v/>
      </c>
      <c r="L5284" s="6" t="inlineStr">
        <is>
          <t>REJECTED</t>
        </is>
      </c>
      <c r="M5284" s="8" t="n">
        <v>0</v>
      </c>
      <c r="N5284" s="7">
        <f>M5284*$J$5302-J5284</f>
        <v/>
      </c>
      <c r="O5284" s="9">
        <f>IF(G5284=0,0,N5284/G5284)</f>
        <v/>
      </c>
      <c r="P5284" s="6">
        <f>IF(M5284&gt;0,D5284,"")</f>
        <v/>
      </c>
      <c r="Q5284" s="9">
        <f>I5284+O5284</f>
        <v/>
      </c>
      <c r="R5284" s="7">
        <f>Q5284*G5284</f>
        <v/>
      </c>
      <c r="S5284" s="8">
        <f>IF($R$5302=0,0,R5284/$R$5302)</f>
        <v/>
      </c>
      <c r="T5284" s="8" t="n">
        <v>0.02470808587906292</v>
      </c>
      <c r="U5284" s="8" t="n">
        <v>0.0305122982617958</v>
      </c>
      <c r="V5284" s="6" t="inlineStr">
        <is>
          <t>not selected</t>
        </is>
      </c>
    </row>
    <row r="5285">
      <c r="A5285" s="6" t="inlineStr">
        <is>
          <t>DJ30</t>
        </is>
      </c>
      <c r="B5285" s="6" t="inlineStr">
        <is>
          <t>2026-04-10</t>
        </is>
      </c>
      <c r="C5285" s="6" t="inlineStr">
        <is>
          <t>DIA</t>
        </is>
      </c>
      <c r="D5285" s="6" t="inlineStr">
        <is>
          <t>IBM</t>
        </is>
      </c>
      <c r="E5285" s="6" t="inlineStr">
        <is>
          <t>IBM</t>
        </is>
      </c>
      <c r="F5285" s="6" t="inlineStr">
        <is>
          <t>-</t>
        </is>
      </c>
      <c r="G5285" s="7" t="n">
        <v>229.0740051269531</v>
      </c>
      <c r="H5285" s="6">
        <f>P5254</f>
        <v/>
      </c>
      <c r="I5285" s="9">
        <f>Q5254</f>
        <v/>
      </c>
      <c r="J5285" s="7">
        <f>I5285*G5285</f>
        <v/>
      </c>
      <c r="K5285" s="8">
        <f>IF($J$5302=0,0,J5285/$J$5302)</f>
        <v/>
      </c>
      <c r="L5285" s="6" t="inlineStr">
        <is>
          <t>REJECTED</t>
        </is>
      </c>
      <c r="M5285" s="8" t="n">
        <v>0</v>
      </c>
      <c r="N5285" s="7">
        <f>M5285*$J$5302-J5285</f>
        <v/>
      </c>
      <c r="O5285" s="9">
        <f>IF(G5285=0,0,N5285/G5285)</f>
        <v/>
      </c>
      <c r="P5285" s="6">
        <f>IF(M5285&gt;0,D5285,"")</f>
        <v/>
      </c>
      <c r="Q5285" s="9">
        <f>I5285+O5285</f>
        <v/>
      </c>
      <c r="R5285" s="7">
        <f>Q5285*G5285</f>
        <v/>
      </c>
      <c r="S5285" s="8">
        <f>IF($R$5302=0,0,R5285/$R$5302)</f>
        <v/>
      </c>
      <c r="T5285" s="8" t="n">
        <v>0.02470808587906292</v>
      </c>
      <c r="U5285" s="8" t="n">
        <v>0.0305122982617958</v>
      </c>
      <c r="V5285" s="6" t="inlineStr">
        <is>
          <t>not selected</t>
        </is>
      </c>
    </row>
    <row r="5286">
      <c r="A5286" s="6" t="inlineStr">
        <is>
          <t>DJ30</t>
        </is>
      </c>
      <c r="B5286" s="6" t="inlineStr">
        <is>
          <t>2026-04-10</t>
        </is>
      </c>
      <c r="C5286" s="6" t="inlineStr">
        <is>
          <t>DIA</t>
        </is>
      </c>
      <c r="D5286" s="6" t="inlineStr">
        <is>
          <t>JNJ</t>
        </is>
      </c>
      <c r="E5286" s="6" t="inlineStr">
        <is>
          <t>JNJ</t>
        </is>
      </c>
      <c r="F5286" s="6" t="inlineStr">
        <is>
          <t>-</t>
        </is>
      </c>
      <c r="G5286" s="7" t="n">
        <v>237.0964508056641</v>
      </c>
      <c r="H5286" s="6">
        <f>P5255</f>
        <v/>
      </c>
      <c r="I5286" s="9">
        <f>Q5255</f>
        <v/>
      </c>
      <c r="J5286" s="7">
        <f>I5286*G5286</f>
        <v/>
      </c>
      <c r="K5286" s="8">
        <f>IF($J$5302=0,0,J5286/$J$5302)</f>
        <v/>
      </c>
      <c r="L5286" s="6" t="inlineStr">
        <is>
          <t>SELECTED</t>
        </is>
      </c>
      <c r="M5286" s="8" t="n">
        <v>0.2</v>
      </c>
      <c r="N5286" s="7">
        <f>M5286*$J$5302-J5286</f>
        <v/>
      </c>
      <c r="O5286" s="9">
        <f>IF(G5286=0,0,N5286/G5286)</f>
        <v/>
      </c>
      <c r="P5286" s="6">
        <f>IF(M5286&gt;0,D5286,"")</f>
        <v/>
      </c>
      <c r="Q5286" s="9">
        <f>I5286+O5286</f>
        <v/>
      </c>
      <c r="R5286" s="7">
        <f>Q5286*G5286</f>
        <v/>
      </c>
      <c r="S5286" s="8">
        <f>IF($R$5302=0,0,R5286/$R$5302)</f>
        <v/>
      </c>
      <c r="T5286" s="8" t="n">
        <v>0.02470808587906292</v>
      </c>
      <c r="U5286" s="8" t="n">
        <v>0.0305122982617958</v>
      </c>
      <c r="V5286" s="6" t="inlineStr">
        <is>
          <t>remained in weekly selection</t>
        </is>
      </c>
    </row>
    <row r="5287">
      <c r="A5287" s="6" t="inlineStr">
        <is>
          <t>DJ30</t>
        </is>
      </c>
      <c r="B5287" s="6" t="inlineStr">
        <is>
          <t>2026-04-10</t>
        </is>
      </c>
      <c r="C5287" s="6" t="inlineStr">
        <is>
          <t>DIA</t>
        </is>
      </c>
      <c r="D5287" s="6" t="inlineStr">
        <is>
          <t>JPM</t>
        </is>
      </c>
      <c r="E5287" s="6" t="inlineStr">
        <is>
          <t>JPM</t>
        </is>
      </c>
      <c r="F5287" s="6" t="inlineStr">
        <is>
          <t>-</t>
        </is>
      </c>
      <c r="G5287" s="7" t="n">
        <v>309.8699951171875</v>
      </c>
      <c r="H5287" s="6">
        <f>P5256</f>
        <v/>
      </c>
      <c r="I5287" s="9">
        <f>Q5256</f>
        <v/>
      </c>
      <c r="J5287" s="7">
        <f>I5287*G5287</f>
        <v/>
      </c>
      <c r="K5287" s="8">
        <f>IF($J$5302=0,0,J5287/$J$5302)</f>
        <v/>
      </c>
      <c r="L5287" s="6" t="inlineStr">
        <is>
          <t>WATCHLIST</t>
        </is>
      </c>
      <c r="M5287" s="8" t="n">
        <v>0</v>
      </c>
      <c r="N5287" s="7">
        <f>M5287*$J$5302-J5287</f>
        <v/>
      </c>
      <c r="O5287" s="9">
        <f>IF(G5287=0,0,N5287/G5287)</f>
        <v/>
      </c>
      <c r="P5287" s="6">
        <f>IF(M5287&gt;0,D5287,"")</f>
        <v/>
      </c>
      <c r="Q5287" s="9">
        <f>I5287+O5287</f>
        <v/>
      </c>
      <c r="R5287" s="7">
        <f>Q5287*G5287</f>
        <v/>
      </c>
      <c r="S5287" s="8">
        <f>IF($R$5302=0,0,R5287/$R$5302)</f>
        <v/>
      </c>
      <c r="T5287" s="8" t="n">
        <v>0.02470808587906292</v>
      </c>
      <c r="U5287" s="8" t="n">
        <v>0.0305122982617958</v>
      </c>
      <c r="V5287" s="6" t="inlineStr">
        <is>
          <t>not selected</t>
        </is>
      </c>
    </row>
    <row r="5288">
      <c r="A5288" s="6" t="inlineStr">
        <is>
          <t>DJ30</t>
        </is>
      </c>
      <c r="B5288" s="6" t="inlineStr">
        <is>
          <t>2026-04-10</t>
        </is>
      </c>
      <c r="C5288" s="6" t="inlineStr">
        <is>
          <t>DIA</t>
        </is>
      </c>
      <c r="D5288" s="6" t="inlineStr">
        <is>
          <t>KO</t>
        </is>
      </c>
      <c r="E5288" s="6" t="inlineStr">
        <is>
          <t>KO</t>
        </is>
      </c>
      <c r="F5288" s="6" t="inlineStr">
        <is>
          <t>-</t>
        </is>
      </c>
      <c r="G5288" s="7" t="n">
        <v>76.97303771972656</v>
      </c>
      <c r="H5288" s="6">
        <f>P5257</f>
        <v/>
      </c>
      <c r="I5288" s="9">
        <f>Q5257</f>
        <v/>
      </c>
      <c r="J5288" s="7">
        <f>I5288*G5288</f>
        <v/>
      </c>
      <c r="K5288" s="8">
        <f>IF($J$5302=0,0,J5288/$J$5302)</f>
        <v/>
      </c>
      <c r="L5288" s="6" t="inlineStr">
        <is>
          <t>WATCHLIST</t>
        </is>
      </c>
      <c r="M5288" s="8" t="n">
        <v>0</v>
      </c>
      <c r="N5288" s="7">
        <f>M5288*$J$5302-J5288</f>
        <v/>
      </c>
      <c r="O5288" s="9">
        <f>IF(G5288=0,0,N5288/G5288)</f>
        <v/>
      </c>
      <c r="P5288" s="6">
        <f>IF(M5288&gt;0,D5288,"")</f>
        <v/>
      </c>
      <c r="Q5288" s="9">
        <f>I5288+O5288</f>
        <v/>
      </c>
      <c r="R5288" s="7">
        <f>Q5288*G5288</f>
        <v/>
      </c>
      <c r="S5288" s="8">
        <f>IF($R$5302=0,0,R5288/$R$5302)</f>
        <v/>
      </c>
      <c r="T5288" s="8" t="n">
        <v>0.02470808587906292</v>
      </c>
      <c r="U5288" s="8" t="n">
        <v>0.0305122982617958</v>
      </c>
      <c r="V5288" s="6" t="inlineStr">
        <is>
          <t>not selected</t>
        </is>
      </c>
    </row>
    <row r="5289">
      <c r="A5289" s="6" t="inlineStr">
        <is>
          <t>DJ30</t>
        </is>
      </c>
      <c r="B5289" s="6" t="inlineStr">
        <is>
          <t>2026-04-10</t>
        </is>
      </c>
      <c r="C5289" s="6" t="inlineStr">
        <is>
          <t>DIA</t>
        </is>
      </c>
      <c r="D5289" s="6" t="inlineStr">
        <is>
          <t>MCD</t>
        </is>
      </c>
      <c r="E5289" s="6" t="inlineStr">
        <is>
          <t>MCD</t>
        </is>
      </c>
      <c r="F5289" s="6" t="inlineStr">
        <is>
          <t>-</t>
        </is>
      </c>
      <c r="G5289" s="7" t="n">
        <v>303.6207885742188</v>
      </c>
      <c r="H5289" s="6">
        <f>P5258</f>
        <v/>
      </c>
      <c r="I5289" s="9">
        <f>Q5258</f>
        <v/>
      </c>
      <c r="J5289" s="7">
        <f>I5289*G5289</f>
        <v/>
      </c>
      <c r="K5289" s="8">
        <f>IF($J$5302=0,0,J5289/$J$5302)</f>
        <v/>
      </c>
      <c r="L5289" s="6" t="inlineStr">
        <is>
          <t>REJECTED</t>
        </is>
      </c>
      <c r="M5289" s="8" t="n">
        <v>0</v>
      </c>
      <c r="N5289" s="7">
        <f>M5289*$J$5302-J5289</f>
        <v/>
      </c>
      <c r="O5289" s="9">
        <f>IF(G5289=0,0,N5289/G5289)</f>
        <v/>
      </c>
      <c r="P5289" s="6">
        <f>IF(M5289&gt;0,D5289,"")</f>
        <v/>
      </c>
      <c r="Q5289" s="9">
        <f>I5289+O5289</f>
        <v/>
      </c>
      <c r="R5289" s="7">
        <f>Q5289*G5289</f>
        <v/>
      </c>
      <c r="S5289" s="8">
        <f>IF($R$5302=0,0,R5289/$R$5302)</f>
        <v/>
      </c>
      <c r="T5289" s="8" t="n">
        <v>0.02470808587906292</v>
      </c>
      <c r="U5289" s="8" t="n">
        <v>0.0305122982617958</v>
      </c>
      <c r="V5289" s="6" t="inlineStr">
        <is>
          <t>not selected</t>
        </is>
      </c>
    </row>
    <row r="5290">
      <c r="A5290" s="6" t="inlineStr">
        <is>
          <t>DJ30</t>
        </is>
      </c>
      <c r="B5290" s="6" t="inlineStr">
        <is>
          <t>2026-04-10</t>
        </is>
      </c>
      <c r="C5290" s="6" t="inlineStr">
        <is>
          <t>DIA</t>
        </is>
      </c>
      <c r="D5290" s="6" t="inlineStr">
        <is>
          <t>MMM</t>
        </is>
      </c>
      <c r="E5290" s="6" t="inlineStr">
        <is>
          <t>MMM</t>
        </is>
      </c>
      <c r="F5290" s="6" t="inlineStr">
        <is>
          <t>-</t>
        </is>
      </c>
      <c r="G5290" s="7" t="n">
        <v>149.5465850830078</v>
      </c>
      <c r="H5290" s="6">
        <f>P5259</f>
        <v/>
      </c>
      <c r="I5290" s="9">
        <f>Q5259</f>
        <v/>
      </c>
      <c r="J5290" s="7">
        <f>I5290*G5290</f>
        <v/>
      </c>
      <c r="K5290" s="8">
        <f>IF($J$5302=0,0,J5290/$J$5302)</f>
        <v/>
      </c>
      <c r="L5290" s="6" t="inlineStr">
        <is>
          <t>WATCHLIST</t>
        </is>
      </c>
      <c r="M5290" s="8" t="n">
        <v>0</v>
      </c>
      <c r="N5290" s="7">
        <f>M5290*$J$5302-J5290</f>
        <v/>
      </c>
      <c r="O5290" s="9">
        <f>IF(G5290=0,0,N5290/G5290)</f>
        <v/>
      </c>
      <c r="P5290" s="6">
        <f>IF(M5290&gt;0,D5290,"")</f>
        <v/>
      </c>
      <c r="Q5290" s="9">
        <f>I5290+O5290</f>
        <v/>
      </c>
      <c r="R5290" s="7">
        <f>Q5290*G5290</f>
        <v/>
      </c>
      <c r="S5290" s="8">
        <f>IF($R$5302=0,0,R5290/$R$5302)</f>
        <v/>
      </c>
      <c r="T5290" s="8" t="n">
        <v>0.02470808587906292</v>
      </c>
      <c r="U5290" s="8" t="n">
        <v>0.0305122982617958</v>
      </c>
      <c r="V5290" s="6" t="inlineStr">
        <is>
          <t>not selected</t>
        </is>
      </c>
    </row>
    <row r="5291">
      <c r="A5291" s="6" t="inlineStr">
        <is>
          <t>DJ30</t>
        </is>
      </c>
      <c r="B5291" s="6" t="inlineStr">
        <is>
          <t>2026-04-10</t>
        </is>
      </c>
      <c r="C5291" s="6" t="inlineStr">
        <is>
          <t>DIA</t>
        </is>
      </c>
      <c r="D5291" s="6" t="inlineStr">
        <is>
          <t>MRK</t>
        </is>
      </c>
      <c r="E5291" s="6" t="inlineStr">
        <is>
          <t>MRK</t>
        </is>
      </c>
      <c r="F5291" s="6" t="inlineStr">
        <is>
          <t>-</t>
        </is>
      </c>
      <c r="G5291" s="7" t="n">
        <v>120.5530776977539</v>
      </c>
      <c r="H5291" s="6">
        <f>P5260</f>
        <v/>
      </c>
      <c r="I5291" s="9">
        <f>Q5260</f>
        <v/>
      </c>
      <c r="J5291" s="7">
        <f>I5291*G5291</f>
        <v/>
      </c>
      <c r="K5291" s="8">
        <f>IF($J$5302=0,0,J5291/$J$5302)</f>
        <v/>
      </c>
      <c r="L5291" s="6" t="inlineStr">
        <is>
          <t>WATCHLIST</t>
        </is>
      </c>
      <c r="M5291" s="8" t="n">
        <v>0</v>
      </c>
      <c r="N5291" s="7">
        <f>M5291*$J$5302-J5291</f>
        <v/>
      </c>
      <c r="O5291" s="9">
        <f>IF(G5291=0,0,N5291/G5291)</f>
        <v/>
      </c>
      <c r="P5291" s="6">
        <f>IF(M5291&gt;0,D5291,"")</f>
        <v/>
      </c>
      <c r="Q5291" s="9">
        <f>I5291+O5291</f>
        <v/>
      </c>
      <c r="R5291" s="7">
        <f>Q5291*G5291</f>
        <v/>
      </c>
      <c r="S5291" s="8">
        <f>IF($R$5302=0,0,R5291/$R$5302)</f>
        <v/>
      </c>
      <c r="T5291" s="8" t="n">
        <v>0.02470808587906292</v>
      </c>
      <c r="U5291" s="8" t="n">
        <v>0.0305122982617958</v>
      </c>
      <c r="V5291" s="6" t="inlineStr">
        <is>
          <t>not selected</t>
        </is>
      </c>
    </row>
    <row r="5292">
      <c r="A5292" s="6" t="inlineStr">
        <is>
          <t>DJ30</t>
        </is>
      </c>
      <c r="B5292" s="6" t="inlineStr">
        <is>
          <t>2026-04-10</t>
        </is>
      </c>
      <c r="C5292" s="6" t="inlineStr">
        <is>
          <t>DIA</t>
        </is>
      </c>
      <c r="D5292" s="6" t="inlineStr">
        <is>
          <t>MSFT</t>
        </is>
      </c>
      <c r="E5292" s="6" t="inlineStr">
        <is>
          <t>MSFT</t>
        </is>
      </c>
      <c r="F5292" s="6" t="inlineStr">
        <is>
          <t>-</t>
        </is>
      </c>
      <c r="G5292" s="7" t="n">
        <v>370.0684814453125</v>
      </c>
      <c r="H5292" s="6">
        <f>P5261</f>
        <v/>
      </c>
      <c r="I5292" s="9">
        <f>Q5261</f>
        <v/>
      </c>
      <c r="J5292" s="7">
        <f>I5292*G5292</f>
        <v/>
      </c>
      <c r="K5292" s="8">
        <f>IF($J$5302=0,0,J5292/$J$5302)</f>
        <v/>
      </c>
      <c r="L5292" s="6" t="inlineStr">
        <is>
          <t>REJECTED</t>
        </is>
      </c>
      <c r="M5292" s="8" t="n">
        <v>0</v>
      </c>
      <c r="N5292" s="7">
        <f>M5292*$J$5302-J5292</f>
        <v/>
      </c>
      <c r="O5292" s="9">
        <f>IF(G5292=0,0,N5292/G5292)</f>
        <v/>
      </c>
      <c r="P5292" s="6">
        <f>IF(M5292&gt;0,D5292,"")</f>
        <v/>
      </c>
      <c r="Q5292" s="9">
        <f>I5292+O5292</f>
        <v/>
      </c>
      <c r="R5292" s="7">
        <f>Q5292*G5292</f>
        <v/>
      </c>
      <c r="S5292" s="8">
        <f>IF($R$5302=0,0,R5292/$R$5302)</f>
        <v/>
      </c>
      <c r="T5292" s="8" t="n">
        <v>0.02470808587906292</v>
      </c>
      <c r="U5292" s="8" t="n">
        <v>0.0305122982617958</v>
      </c>
      <c r="V5292" s="6" t="inlineStr">
        <is>
          <t>not selected</t>
        </is>
      </c>
    </row>
    <row r="5293">
      <c r="A5293" s="6" t="inlineStr">
        <is>
          <t>DJ30</t>
        </is>
      </c>
      <c r="B5293" s="6" t="inlineStr">
        <is>
          <t>2026-04-10</t>
        </is>
      </c>
      <c r="C5293" s="6" t="inlineStr">
        <is>
          <t>DIA</t>
        </is>
      </c>
      <c r="D5293" s="6" t="inlineStr">
        <is>
          <t>NKE</t>
        </is>
      </c>
      <c r="E5293" s="6" t="inlineStr">
        <is>
          <t>NKE</t>
        </is>
      </c>
      <c r="F5293" s="6" t="inlineStr">
        <is>
          <t>-</t>
        </is>
      </c>
      <c r="G5293" s="7" t="n">
        <v>42.24201583862305</v>
      </c>
      <c r="H5293" s="6">
        <f>P5262</f>
        <v/>
      </c>
      <c r="I5293" s="9">
        <f>Q5262</f>
        <v/>
      </c>
      <c r="J5293" s="7">
        <f>I5293*G5293</f>
        <v/>
      </c>
      <c r="K5293" s="8">
        <f>IF($J$5302=0,0,J5293/$J$5302)</f>
        <v/>
      </c>
      <c r="L5293" s="6" t="inlineStr">
        <is>
          <t>REJECTED</t>
        </is>
      </c>
      <c r="M5293" s="8" t="n">
        <v>0</v>
      </c>
      <c r="N5293" s="7">
        <f>M5293*$J$5302-J5293</f>
        <v/>
      </c>
      <c r="O5293" s="9">
        <f>IF(G5293=0,0,N5293/G5293)</f>
        <v/>
      </c>
      <c r="P5293" s="6">
        <f>IF(M5293&gt;0,D5293,"")</f>
        <v/>
      </c>
      <c r="Q5293" s="9">
        <f>I5293+O5293</f>
        <v/>
      </c>
      <c r="R5293" s="7">
        <f>Q5293*G5293</f>
        <v/>
      </c>
      <c r="S5293" s="8">
        <f>IF($R$5302=0,0,R5293/$R$5302)</f>
        <v/>
      </c>
      <c r="T5293" s="8" t="n">
        <v>0.02470808587906292</v>
      </c>
      <c r="U5293" s="8" t="n">
        <v>0.0305122982617958</v>
      </c>
      <c r="V5293" s="6" t="inlineStr">
        <is>
          <t>not selected</t>
        </is>
      </c>
    </row>
    <row r="5294">
      <c r="A5294" s="6" t="inlineStr">
        <is>
          <t>DJ30</t>
        </is>
      </c>
      <c r="B5294" s="6" t="inlineStr">
        <is>
          <t>2026-04-10</t>
        </is>
      </c>
      <c r="C5294" s="6" t="inlineStr">
        <is>
          <t>DIA</t>
        </is>
      </c>
      <c r="D5294" s="6" t="inlineStr">
        <is>
          <t>NVDA</t>
        </is>
      </c>
      <c r="E5294" s="6" t="inlineStr">
        <is>
          <t>NVDA</t>
        </is>
      </c>
      <c r="F5294" s="6" t="inlineStr">
        <is>
          <t>-</t>
        </is>
      </c>
      <c r="G5294" s="7" t="n">
        <v>188.4104156494141</v>
      </c>
      <c r="H5294" s="6">
        <f>P5263</f>
        <v/>
      </c>
      <c r="I5294" s="9">
        <f>Q5263</f>
        <v/>
      </c>
      <c r="J5294" s="7">
        <f>I5294*G5294</f>
        <v/>
      </c>
      <c r="K5294" s="8">
        <f>IF($J$5302=0,0,J5294/$J$5302)</f>
        <v/>
      </c>
      <c r="L5294" s="6" t="inlineStr">
        <is>
          <t>WATCHLIST</t>
        </is>
      </c>
      <c r="M5294" s="8" t="n">
        <v>0</v>
      </c>
      <c r="N5294" s="7">
        <f>M5294*$J$5302-J5294</f>
        <v/>
      </c>
      <c r="O5294" s="9">
        <f>IF(G5294=0,0,N5294/G5294)</f>
        <v/>
      </c>
      <c r="P5294" s="6">
        <f>IF(M5294&gt;0,D5294,"")</f>
        <v/>
      </c>
      <c r="Q5294" s="9">
        <f>I5294+O5294</f>
        <v/>
      </c>
      <c r="R5294" s="7">
        <f>Q5294*G5294</f>
        <v/>
      </c>
      <c r="S5294" s="8">
        <f>IF($R$5302=0,0,R5294/$R$5302)</f>
        <v/>
      </c>
      <c r="T5294" s="8" t="n">
        <v>0.02470808587906292</v>
      </c>
      <c r="U5294" s="8" t="n">
        <v>0.0305122982617958</v>
      </c>
      <c r="V5294" s="6" t="inlineStr">
        <is>
          <t>not selected</t>
        </is>
      </c>
    </row>
    <row r="5295">
      <c r="A5295" s="6" t="inlineStr">
        <is>
          <t>DJ30</t>
        </is>
      </c>
      <c r="B5295" s="6" t="inlineStr">
        <is>
          <t>2026-04-10</t>
        </is>
      </c>
      <c r="C5295" s="6" t="inlineStr">
        <is>
          <t>DIA</t>
        </is>
      </c>
      <c r="D5295" s="6" t="inlineStr">
        <is>
          <t>PG</t>
        </is>
      </c>
      <c r="E5295" s="6" t="inlineStr">
        <is>
          <t>PG</t>
        </is>
      </c>
      <c r="F5295" s="6" t="inlineStr">
        <is>
          <t>-</t>
        </is>
      </c>
      <c r="G5295" s="7" t="n">
        <v>144.0751190185547</v>
      </c>
      <c r="H5295" s="6">
        <f>P5264</f>
        <v/>
      </c>
      <c r="I5295" s="9">
        <f>Q5264</f>
        <v/>
      </c>
      <c r="J5295" s="7">
        <f>I5295*G5295</f>
        <v/>
      </c>
      <c r="K5295" s="8">
        <f>IF($J$5302=0,0,J5295/$J$5302)</f>
        <v/>
      </c>
      <c r="L5295" s="6" t="inlineStr">
        <is>
          <t>REJECTED</t>
        </is>
      </c>
      <c r="M5295" s="8" t="n">
        <v>0</v>
      </c>
      <c r="N5295" s="7">
        <f>M5295*$J$5302-J5295</f>
        <v/>
      </c>
      <c r="O5295" s="9">
        <f>IF(G5295=0,0,N5295/G5295)</f>
        <v/>
      </c>
      <c r="P5295" s="6">
        <f>IF(M5295&gt;0,D5295,"")</f>
        <v/>
      </c>
      <c r="Q5295" s="9">
        <f>I5295+O5295</f>
        <v/>
      </c>
      <c r="R5295" s="7">
        <f>Q5295*G5295</f>
        <v/>
      </c>
      <c r="S5295" s="8">
        <f>IF($R$5302=0,0,R5295/$R$5302)</f>
        <v/>
      </c>
      <c r="T5295" s="8" t="n">
        <v>0.02470808587906292</v>
      </c>
      <c r="U5295" s="8" t="n">
        <v>0.0305122982617958</v>
      </c>
      <c r="V5295" s="6" t="inlineStr">
        <is>
          <t>not selected</t>
        </is>
      </c>
    </row>
    <row r="5296">
      <c r="A5296" s="6" t="inlineStr">
        <is>
          <t>DJ30</t>
        </is>
      </c>
      <c r="B5296" s="6" t="inlineStr">
        <is>
          <t>2026-04-10</t>
        </is>
      </c>
      <c r="C5296" s="6" t="inlineStr">
        <is>
          <t>DIA</t>
        </is>
      </c>
      <c r="D5296" s="6" t="inlineStr">
        <is>
          <t>SHW</t>
        </is>
      </c>
      <c r="E5296" s="6" t="inlineStr">
        <is>
          <t>SHW</t>
        </is>
      </c>
      <c r="F5296" s="6" t="inlineStr">
        <is>
          <t>-</t>
        </is>
      </c>
      <c r="G5296" s="7" t="n">
        <v>335.2407531738281</v>
      </c>
      <c r="H5296" s="6">
        <f>P5265</f>
        <v/>
      </c>
      <c r="I5296" s="9">
        <f>Q5265</f>
        <v/>
      </c>
      <c r="J5296" s="7">
        <f>I5296*G5296</f>
        <v/>
      </c>
      <c r="K5296" s="8">
        <f>IF($J$5302=0,0,J5296/$J$5302)</f>
        <v/>
      </c>
      <c r="L5296" s="6" t="inlineStr">
        <is>
          <t>REJECTED</t>
        </is>
      </c>
      <c r="M5296" s="8" t="n">
        <v>0</v>
      </c>
      <c r="N5296" s="7">
        <f>M5296*$J$5302-J5296</f>
        <v/>
      </c>
      <c r="O5296" s="9">
        <f>IF(G5296=0,0,N5296/G5296)</f>
        <v/>
      </c>
      <c r="P5296" s="6">
        <f>IF(M5296&gt;0,D5296,"")</f>
        <v/>
      </c>
      <c r="Q5296" s="9">
        <f>I5296+O5296</f>
        <v/>
      </c>
      <c r="R5296" s="7">
        <f>Q5296*G5296</f>
        <v/>
      </c>
      <c r="S5296" s="8">
        <f>IF($R$5302=0,0,R5296/$R$5302)</f>
        <v/>
      </c>
      <c r="T5296" s="8" t="n">
        <v>0.02470808587906292</v>
      </c>
      <c r="U5296" s="8" t="n">
        <v>0.0305122982617958</v>
      </c>
      <c r="V5296" s="6" t="inlineStr">
        <is>
          <t>not selected</t>
        </is>
      </c>
    </row>
    <row r="5297">
      <c r="A5297" s="6" t="inlineStr">
        <is>
          <t>DJ30</t>
        </is>
      </c>
      <c r="B5297" s="6" t="inlineStr">
        <is>
          <t>2026-04-10</t>
        </is>
      </c>
      <c r="C5297" s="6" t="inlineStr">
        <is>
          <t>DIA</t>
        </is>
      </c>
      <c r="D5297" s="6" t="inlineStr">
        <is>
          <t>TRV</t>
        </is>
      </c>
      <c r="E5297" s="6" t="inlineStr">
        <is>
          <t>TRV</t>
        </is>
      </c>
      <c r="F5297" s="6" t="inlineStr">
        <is>
          <t>-</t>
        </is>
      </c>
      <c r="G5297" s="7" t="n">
        <v>296.0224609375</v>
      </c>
      <c r="H5297" s="6">
        <f>P5266</f>
        <v/>
      </c>
      <c r="I5297" s="9">
        <f>Q5266</f>
        <v/>
      </c>
      <c r="J5297" s="7">
        <f>I5297*G5297</f>
        <v/>
      </c>
      <c r="K5297" s="8">
        <f>IF($J$5302=0,0,J5297/$J$5302)</f>
        <v/>
      </c>
      <c r="L5297" s="6" t="inlineStr">
        <is>
          <t>WATCHLIST</t>
        </is>
      </c>
      <c r="M5297" s="8" t="n">
        <v>0</v>
      </c>
      <c r="N5297" s="7">
        <f>M5297*$J$5302-J5297</f>
        <v/>
      </c>
      <c r="O5297" s="9">
        <f>IF(G5297=0,0,N5297/G5297)</f>
        <v/>
      </c>
      <c r="P5297" s="6">
        <f>IF(M5297&gt;0,D5297,"")</f>
        <v/>
      </c>
      <c r="Q5297" s="9">
        <f>I5297+O5297</f>
        <v/>
      </c>
      <c r="R5297" s="7">
        <f>Q5297*G5297</f>
        <v/>
      </c>
      <c r="S5297" s="8">
        <f>IF($R$5302=0,0,R5297/$R$5302)</f>
        <v/>
      </c>
      <c r="T5297" s="8" t="n">
        <v>0.02470808587906292</v>
      </c>
      <c r="U5297" s="8" t="n">
        <v>0.0305122982617958</v>
      </c>
      <c r="V5297" s="6" t="inlineStr">
        <is>
          <t>not selected</t>
        </is>
      </c>
    </row>
    <row r="5298">
      <c r="A5298" s="6" t="inlineStr">
        <is>
          <t>DJ30</t>
        </is>
      </c>
      <c r="B5298" s="6" t="inlineStr">
        <is>
          <t>2026-04-10</t>
        </is>
      </c>
      <c r="C5298" s="6" t="inlineStr">
        <is>
          <t>DIA</t>
        </is>
      </c>
      <c r="D5298" s="6" t="inlineStr">
        <is>
          <t>UNH</t>
        </is>
      </c>
      <c r="E5298" s="6" t="inlineStr">
        <is>
          <t>UNH</t>
        </is>
      </c>
      <c r="F5298" s="6" t="inlineStr">
        <is>
          <t>-</t>
        </is>
      </c>
      <c r="G5298" s="7" t="n">
        <v>302.6016845703125</v>
      </c>
      <c r="H5298" s="6">
        <f>P5267</f>
        <v/>
      </c>
      <c r="I5298" s="9">
        <f>Q5267</f>
        <v/>
      </c>
      <c r="J5298" s="7">
        <f>I5298*G5298</f>
        <v/>
      </c>
      <c r="K5298" s="8">
        <f>IF($J$5302=0,0,J5298/$J$5302)</f>
        <v/>
      </c>
      <c r="L5298" s="6" t="inlineStr">
        <is>
          <t>REJECTED</t>
        </is>
      </c>
      <c r="M5298" s="8" t="n">
        <v>0</v>
      </c>
      <c r="N5298" s="7">
        <f>M5298*$J$5302-J5298</f>
        <v/>
      </c>
      <c r="O5298" s="9">
        <f>IF(G5298=0,0,N5298/G5298)</f>
        <v/>
      </c>
      <c r="P5298" s="6">
        <f>IF(M5298&gt;0,D5298,"")</f>
        <v/>
      </c>
      <c r="Q5298" s="9">
        <f>I5298+O5298</f>
        <v/>
      </c>
      <c r="R5298" s="7">
        <f>Q5298*G5298</f>
        <v/>
      </c>
      <c r="S5298" s="8">
        <f>IF($R$5302=0,0,R5298/$R$5302)</f>
        <v/>
      </c>
      <c r="T5298" s="8" t="n">
        <v>0.02470808587906292</v>
      </c>
      <c r="U5298" s="8" t="n">
        <v>0.0305122982617958</v>
      </c>
      <c r="V5298" s="6" t="inlineStr">
        <is>
          <t>not selected</t>
        </is>
      </c>
    </row>
    <row r="5299">
      <c r="A5299" s="6" t="inlineStr">
        <is>
          <t>DJ30</t>
        </is>
      </c>
      <c r="B5299" s="6" t="inlineStr">
        <is>
          <t>2026-04-10</t>
        </is>
      </c>
      <c r="C5299" s="6" t="inlineStr">
        <is>
          <t>DIA</t>
        </is>
      </c>
      <c r="D5299" s="6" t="inlineStr">
        <is>
          <t>V</t>
        </is>
      </c>
      <c r="E5299" s="6" t="inlineStr">
        <is>
          <t>V</t>
        </is>
      </c>
      <c r="F5299" s="6" t="inlineStr">
        <is>
          <t>-</t>
        </is>
      </c>
      <c r="G5299" s="7" t="n">
        <v>303.7303161621094</v>
      </c>
      <c r="H5299" s="6">
        <f>P5268</f>
        <v/>
      </c>
      <c r="I5299" s="9">
        <f>Q5268</f>
        <v/>
      </c>
      <c r="J5299" s="7">
        <f>I5299*G5299</f>
        <v/>
      </c>
      <c r="K5299" s="8">
        <f>IF($J$5302=0,0,J5299/$J$5302)</f>
        <v/>
      </c>
      <c r="L5299" s="6" t="inlineStr">
        <is>
          <t>REJECTED</t>
        </is>
      </c>
      <c r="M5299" s="8" t="n">
        <v>0</v>
      </c>
      <c r="N5299" s="7">
        <f>M5299*$J$5302-J5299</f>
        <v/>
      </c>
      <c r="O5299" s="9">
        <f>IF(G5299=0,0,N5299/G5299)</f>
        <v/>
      </c>
      <c r="P5299" s="6">
        <f>IF(M5299&gt;0,D5299,"")</f>
        <v/>
      </c>
      <c r="Q5299" s="9">
        <f>I5299+O5299</f>
        <v/>
      </c>
      <c r="R5299" s="7">
        <f>Q5299*G5299</f>
        <v/>
      </c>
      <c r="S5299" s="8">
        <f>IF($R$5302=0,0,R5299/$R$5302)</f>
        <v/>
      </c>
      <c r="T5299" s="8" t="n">
        <v>0.02470808587906292</v>
      </c>
      <c r="U5299" s="8" t="n">
        <v>0.0305122982617958</v>
      </c>
      <c r="V5299" s="6" t="inlineStr">
        <is>
          <t>not selected</t>
        </is>
      </c>
    </row>
    <row r="5300">
      <c r="A5300" s="6" t="inlineStr">
        <is>
          <t>DJ30</t>
        </is>
      </c>
      <c r="B5300" s="6" t="inlineStr">
        <is>
          <t>2026-04-10</t>
        </is>
      </c>
      <c r="C5300" s="6" t="inlineStr">
        <is>
          <t>DIA</t>
        </is>
      </c>
      <c r="D5300" s="6" t="inlineStr">
        <is>
          <t>VZ</t>
        </is>
      </c>
      <c r="E5300" s="6" t="inlineStr">
        <is>
          <t>VZ</t>
        </is>
      </c>
      <c r="F5300" s="6" t="inlineStr">
        <is>
          <t>-</t>
        </is>
      </c>
      <c r="G5300" s="7" t="n">
        <v>46.04000091552734</v>
      </c>
      <c r="H5300" s="6">
        <f>P5269</f>
        <v/>
      </c>
      <c r="I5300" s="9">
        <f>Q5269</f>
        <v/>
      </c>
      <c r="J5300" s="7">
        <f>I5300*G5300</f>
        <v/>
      </c>
      <c r="K5300" s="8">
        <f>IF($J$5302=0,0,J5300/$J$5302)</f>
        <v/>
      </c>
      <c r="L5300" s="6" t="inlineStr">
        <is>
          <t>REJECTED</t>
        </is>
      </c>
      <c r="M5300" s="8" t="n">
        <v>0</v>
      </c>
      <c r="N5300" s="7">
        <f>M5300*$J$5302-J5300</f>
        <v/>
      </c>
      <c r="O5300" s="9">
        <f>IF(G5300=0,0,N5300/G5300)</f>
        <v/>
      </c>
      <c r="P5300" s="6">
        <f>IF(M5300&gt;0,D5300,"")</f>
        <v/>
      </c>
      <c r="Q5300" s="9">
        <f>I5300+O5300</f>
        <v/>
      </c>
      <c r="R5300" s="7">
        <f>Q5300*G5300</f>
        <v/>
      </c>
      <c r="S5300" s="8">
        <f>IF($R$5302=0,0,R5300/$R$5302)</f>
        <v/>
      </c>
      <c r="T5300" s="8" t="n">
        <v>0.02470808587906292</v>
      </c>
      <c r="U5300" s="8" t="n">
        <v>0.0305122982617958</v>
      </c>
      <c r="V5300" s="6" t="inlineStr">
        <is>
          <t>not selected</t>
        </is>
      </c>
    </row>
    <row r="5301">
      <c r="A5301" s="6" t="inlineStr">
        <is>
          <t>DJ30</t>
        </is>
      </c>
      <c r="B5301" s="6" t="inlineStr">
        <is>
          <t>2026-04-10</t>
        </is>
      </c>
      <c r="C5301" s="6" t="inlineStr">
        <is>
          <t>DIA</t>
        </is>
      </c>
      <c r="D5301" s="6" t="inlineStr">
        <is>
          <t>WMT</t>
        </is>
      </c>
      <c r="E5301" s="6" t="inlineStr">
        <is>
          <t>WMT</t>
        </is>
      </c>
      <c r="F5301" s="6" t="inlineStr">
        <is>
          <t>-</t>
        </is>
      </c>
      <c r="G5301" s="7" t="n">
        <v>126.5285263061523</v>
      </c>
      <c r="H5301" s="6">
        <f>P5270</f>
        <v/>
      </c>
      <c r="I5301" s="9">
        <f>Q5270</f>
        <v/>
      </c>
      <c r="J5301" s="7">
        <f>I5301*G5301</f>
        <v/>
      </c>
      <c r="K5301" s="8">
        <f>IF($J$5302=0,0,J5301/$J$5302)</f>
        <v/>
      </c>
      <c r="L5301" s="6" t="inlineStr">
        <is>
          <t>WATCHLIST</t>
        </is>
      </c>
      <c r="M5301" s="8" t="n">
        <v>0</v>
      </c>
      <c r="N5301" s="7">
        <f>M5301*$J$5302-J5301</f>
        <v/>
      </c>
      <c r="O5301" s="9">
        <f>IF(G5301=0,0,N5301/G5301)</f>
        <v/>
      </c>
      <c r="P5301" s="6">
        <f>IF(M5301&gt;0,D5301,"")</f>
        <v/>
      </c>
      <c r="Q5301" s="9">
        <f>I5301+O5301</f>
        <v/>
      </c>
      <c r="R5301" s="7">
        <f>Q5301*G5301</f>
        <v/>
      </c>
      <c r="S5301" s="8">
        <f>IF($R$5302=0,0,R5301/$R$5302)</f>
        <v/>
      </c>
      <c r="T5301" s="8" t="n">
        <v>0.02470808587906292</v>
      </c>
      <c r="U5301" s="8" t="n">
        <v>0.0305122982617958</v>
      </c>
      <c r="V5301" s="6" t="inlineStr">
        <is>
          <t>not selected</t>
        </is>
      </c>
    </row>
    <row r="5302">
      <c r="A5302" s="10" t="inlineStr">
        <is>
          <t>DJ30</t>
        </is>
      </c>
      <c r="B5302" s="10" t="inlineStr">
        <is>
          <t>2026-04-10</t>
        </is>
      </c>
      <c r="C5302" s="10" t="inlineStr">
        <is>
          <t>DIA</t>
        </is>
      </c>
      <c r="D5302" s="10" t="inlineStr">
        <is>
          <t>Tot Portfolio</t>
        </is>
      </c>
      <c r="E5302" s="10" t="inlineStr"/>
      <c r="F5302" s="10" t="inlineStr"/>
      <c r="G5302" s="11" t="inlineStr"/>
      <c r="H5302" s="10" t="inlineStr"/>
      <c r="I5302" s="12" t="inlineStr"/>
      <c r="J5302" s="11">
        <f>SUM(J5272:J5301)</f>
        <v/>
      </c>
      <c r="K5302" s="13">
        <f>SUM(K5272:K5301)</f>
        <v/>
      </c>
      <c r="L5302" s="10" t="inlineStr">
        <is>
          <t>TOTAL</t>
        </is>
      </c>
      <c r="M5302" s="13">
        <f>SUM(M5272:M5301)</f>
        <v/>
      </c>
      <c r="N5302" s="11">
        <f>SUM(N5272:N5301)</f>
        <v/>
      </c>
      <c r="O5302" s="12">
        <f>SUM(O5272:O5301)</f>
        <v/>
      </c>
      <c r="P5302" s="10" t="inlineStr"/>
      <c r="Q5302" s="12" t="inlineStr"/>
      <c r="R5302" s="11">
        <f>SUM(R5272:R5301)</f>
        <v/>
      </c>
      <c r="S5302" s="13">
        <f>SUM(S5272:S5301)</f>
        <v/>
      </c>
      <c r="T5302" s="13" t="n">
        <v>0.02470808587906292</v>
      </c>
      <c r="U5302" s="13" t="n">
        <v>0.0305122982617958</v>
      </c>
      <c r="V5302" s="10" t="inlineStr"/>
    </row>
    <row r="5303">
      <c r="A5303" s="6" t="inlineStr">
        <is>
          <t>DJ30</t>
        </is>
      </c>
      <c r="B5303" s="6" t="inlineStr">
        <is>
          <t>2026-04-17</t>
        </is>
      </c>
      <c r="C5303" s="6" t="inlineStr">
        <is>
          <t>DIA</t>
        </is>
      </c>
      <c r="D5303" s="6" t="inlineStr">
        <is>
          <t>AAPL</t>
        </is>
      </c>
      <c r="E5303" s="6" t="inlineStr">
        <is>
          <t>AAPL</t>
        </is>
      </c>
      <c r="F5303" s="6" t="inlineStr">
        <is>
          <t>-</t>
        </is>
      </c>
      <c r="G5303" s="7" t="n">
        <v>269.9812622070312</v>
      </c>
      <c r="H5303" s="6">
        <f>P5272</f>
        <v/>
      </c>
      <c r="I5303" s="9">
        <f>Q5272</f>
        <v/>
      </c>
      <c r="J5303" s="7">
        <f>I5303*G5303</f>
        <v/>
      </c>
      <c r="K5303" s="8">
        <f>IF($J$5333=0,0,J5303/$J$5333)</f>
        <v/>
      </c>
      <c r="L5303" s="6" t="inlineStr">
        <is>
          <t>WATCHLIST</t>
        </is>
      </c>
      <c r="M5303" s="8" t="n">
        <v>0</v>
      </c>
      <c r="N5303" s="7">
        <f>M5303*$J$5333-J5303</f>
        <v/>
      </c>
      <c r="O5303" s="9">
        <f>IF(G5303=0,0,N5303/G5303)</f>
        <v/>
      </c>
      <c r="P5303" s="6">
        <f>IF(M5303&gt;0,D5303,"")</f>
        <v/>
      </c>
      <c r="Q5303" s="9">
        <f>I5303+O5303</f>
        <v/>
      </c>
      <c r="R5303" s="7">
        <f>Q5303*G5303</f>
        <v/>
      </c>
      <c r="S5303" s="8">
        <f>IF($R$5333=0,0,R5303/$R$5333)</f>
        <v/>
      </c>
      <c r="T5303" s="8" t="n">
        <v>0.006384302748752013</v>
      </c>
      <c r="U5303" s="8" t="n">
        <v>0.03167385676315382</v>
      </c>
      <c r="V5303" s="6" t="inlineStr">
        <is>
          <t>not selected</t>
        </is>
      </c>
    </row>
    <row r="5304">
      <c r="A5304" s="6" t="inlineStr">
        <is>
          <t>DJ30</t>
        </is>
      </c>
      <c r="B5304" s="6" t="inlineStr">
        <is>
          <t>2026-04-17</t>
        </is>
      </c>
      <c r="C5304" s="6" t="inlineStr">
        <is>
          <t>DIA</t>
        </is>
      </c>
      <c r="D5304" s="6" t="inlineStr">
        <is>
          <t>AMGN</t>
        </is>
      </c>
      <c r="E5304" s="6" t="inlineStr">
        <is>
          <t>AMGN</t>
        </is>
      </c>
      <c r="F5304" s="6" t="inlineStr">
        <is>
          <t>-</t>
        </is>
      </c>
      <c r="G5304" s="7" t="n">
        <v>352.6370544433594</v>
      </c>
      <c r="H5304" s="6">
        <f>P5273</f>
        <v/>
      </c>
      <c r="I5304" s="9">
        <f>Q5273</f>
        <v/>
      </c>
      <c r="J5304" s="7">
        <f>I5304*G5304</f>
        <v/>
      </c>
      <c r="K5304" s="8">
        <f>IF($J$5333=0,0,J5304/$J$5333)</f>
        <v/>
      </c>
      <c r="L5304" s="6" t="inlineStr">
        <is>
          <t>WATCHLIST</t>
        </is>
      </c>
      <c r="M5304" s="8" t="n">
        <v>0</v>
      </c>
      <c r="N5304" s="7">
        <f>M5304*$J$5333-J5304</f>
        <v/>
      </c>
      <c r="O5304" s="9">
        <f>IF(G5304=0,0,N5304/G5304)</f>
        <v/>
      </c>
      <c r="P5304" s="6">
        <f>IF(M5304&gt;0,D5304,"")</f>
        <v/>
      </c>
      <c r="Q5304" s="9">
        <f>I5304+O5304</f>
        <v/>
      </c>
      <c r="R5304" s="7">
        <f>Q5304*G5304</f>
        <v/>
      </c>
      <c r="S5304" s="8">
        <f>IF($R$5333=0,0,R5304/$R$5333)</f>
        <v/>
      </c>
      <c r="T5304" s="8" t="n">
        <v>0.006384302748752013</v>
      </c>
      <c r="U5304" s="8" t="n">
        <v>0.03167385676315382</v>
      </c>
      <c r="V5304" s="6" t="inlineStr">
        <is>
          <t>not selected</t>
        </is>
      </c>
    </row>
    <row r="5305">
      <c r="A5305" s="6" t="inlineStr">
        <is>
          <t>DJ30</t>
        </is>
      </c>
      <c r="B5305" s="6" t="inlineStr">
        <is>
          <t>2026-04-17</t>
        </is>
      </c>
      <c r="C5305" s="6" t="inlineStr">
        <is>
          <t>DIA</t>
        </is>
      </c>
      <c r="D5305" s="6" t="inlineStr">
        <is>
          <t>AMZN</t>
        </is>
      </c>
      <c r="E5305" s="6" t="inlineStr">
        <is>
          <t>AMZN</t>
        </is>
      </c>
      <c r="F5305" s="6" t="inlineStr">
        <is>
          <t>-</t>
        </is>
      </c>
      <c r="G5305" s="7" t="n">
        <v>250.5599975585937</v>
      </c>
      <c r="H5305" s="6">
        <f>P5274</f>
        <v/>
      </c>
      <c r="I5305" s="9">
        <f>Q5274</f>
        <v/>
      </c>
      <c r="J5305" s="7">
        <f>I5305*G5305</f>
        <v/>
      </c>
      <c r="K5305" s="8">
        <f>IF($J$5333=0,0,J5305/$J$5333)</f>
        <v/>
      </c>
      <c r="L5305" s="6" t="inlineStr">
        <is>
          <t>REJECTED</t>
        </is>
      </c>
      <c r="M5305" s="8" t="n">
        <v>0</v>
      </c>
      <c r="N5305" s="7">
        <f>M5305*$J$5333-J5305</f>
        <v/>
      </c>
      <c r="O5305" s="9">
        <f>IF(G5305=0,0,N5305/G5305)</f>
        <v/>
      </c>
      <c r="P5305" s="6">
        <f>IF(M5305&gt;0,D5305,"")</f>
        <v/>
      </c>
      <c r="Q5305" s="9">
        <f>I5305+O5305</f>
        <v/>
      </c>
      <c r="R5305" s="7">
        <f>Q5305*G5305</f>
        <v/>
      </c>
      <c r="S5305" s="8">
        <f>IF($R$5333=0,0,R5305/$R$5333)</f>
        <v/>
      </c>
      <c r="T5305" s="8" t="n">
        <v>0.006384302748752013</v>
      </c>
      <c r="U5305" s="8" t="n">
        <v>0.03167385676315382</v>
      </c>
      <c r="V5305" s="6" t="inlineStr">
        <is>
          <t>not selected</t>
        </is>
      </c>
    </row>
    <row r="5306">
      <c r="A5306" s="6" t="inlineStr">
        <is>
          <t>DJ30</t>
        </is>
      </c>
      <c r="B5306" s="6" t="inlineStr">
        <is>
          <t>2026-04-17</t>
        </is>
      </c>
      <c r="C5306" s="6" t="inlineStr">
        <is>
          <t>DIA</t>
        </is>
      </c>
      <c r="D5306" s="6" t="inlineStr">
        <is>
          <t>AXP</t>
        </is>
      </c>
      <c r="E5306" s="6" t="inlineStr">
        <is>
          <t>AXP</t>
        </is>
      </c>
      <c r="F5306" s="6" t="inlineStr">
        <is>
          <t>-</t>
        </is>
      </c>
      <c r="G5306" s="7" t="n">
        <v>331.6900024414062</v>
      </c>
      <c r="H5306" s="6">
        <f>P5275</f>
        <v/>
      </c>
      <c r="I5306" s="9">
        <f>Q5275</f>
        <v/>
      </c>
      <c r="J5306" s="7">
        <f>I5306*G5306</f>
        <v/>
      </c>
      <c r="K5306" s="8">
        <f>IF($J$5333=0,0,J5306/$J$5333)</f>
        <v/>
      </c>
      <c r="L5306" s="6" t="inlineStr">
        <is>
          <t>REJECTED</t>
        </is>
      </c>
      <c r="M5306" s="8" t="n">
        <v>0</v>
      </c>
      <c r="N5306" s="7">
        <f>M5306*$J$5333-J5306</f>
        <v/>
      </c>
      <c r="O5306" s="9">
        <f>IF(G5306=0,0,N5306/G5306)</f>
        <v/>
      </c>
      <c r="P5306" s="6">
        <f>IF(M5306&gt;0,D5306,"")</f>
        <v/>
      </c>
      <c r="Q5306" s="9">
        <f>I5306+O5306</f>
        <v/>
      </c>
      <c r="R5306" s="7">
        <f>Q5306*G5306</f>
        <v/>
      </c>
      <c r="S5306" s="8">
        <f>IF($R$5333=0,0,R5306/$R$5333)</f>
        <v/>
      </c>
      <c r="T5306" s="8" t="n">
        <v>0.006384302748752013</v>
      </c>
      <c r="U5306" s="8" t="n">
        <v>0.03167385676315382</v>
      </c>
      <c r="V5306" s="6" t="inlineStr">
        <is>
          <t>not selected</t>
        </is>
      </c>
    </row>
    <row r="5307">
      <c r="A5307" s="6" t="inlineStr">
        <is>
          <t>DJ30</t>
        </is>
      </c>
      <c r="B5307" s="6" t="inlineStr">
        <is>
          <t>2026-04-17</t>
        </is>
      </c>
      <c r="C5307" s="6" t="inlineStr">
        <is>
          <t>DIA</t>
        </is>
      </c>
      <c r="D5307" s="6" t="inlineStr">
        <is>
          <t>BA</t>
        </is>
      </c>
      <c r="E5307" s="6" t="inlineStr">
        <is>
          <t>BA</t>
        </is>
      </c>
      <c r="F5307" s="6" t="inlineStr">
        <is>
          <t>-</t>
        </is>
      </c>
      <c r="G5307" s="7" t="n">
        <v>223.3800048828125</v>
      </c>
      <c r="H5307" s="6">
        <f>P5276</f>
        <v/>
      </c>
      <c r="I5307" s="9">
        <f>Q5276</f>
        <v/>
      </c>
      <c r="J5307" s="7">
        <f>I5307*G5307</f>
        <v/>
      </c>
      <c r="K5307" s="8">
        <f>IF($J$5333=0,0,J5307/$J$5333)</f>
        <v/>
      </c>
      <c r="L5307" s="6" t="inlineStr">
        <is>
          <t>REJECTED</t>
        </is>
      </c>
      <c r="M5307" s="8" t="n">
        <v>0</v>
      </c>
      <c r="N5307" s="7">
        <f>M5307*$J$5333-J5307</f>
        <v/>
      </c>
      <c r="O5307" s="9">
        <f>IF(G5307=0,0,N5307/G5307)</f>
        <v/>
      </c>
      <c r="P5307" s="6">
        <f>IF(M5307&gt;0,D5307,"")</f>
        <v/>
      </c>
      <c r="Q5307" s="9">
        <f>I5307+O5307</f>
        <v/>
      </c>
      <c r="R5307" s="7">
        <f>Q5307*G5307</f>
        <v/>
      </c>
      <c r="S5307" s="8">
        <f>IF($R$5333=0,0,R5307/$R$5333)</f>
        <v/>
      </c>
      <c r="T5307" s="8" t="n">
        <v>0.006384302748752013</v>
      </c>
      <c r="U5307" s="8" t="n">
        <v>0.03167385676315382</v>
      </c>
      <c r="V5307" s="6" t="inlineStr">
        <is>
          <t>not selected</t>
        </is>
      </c>
    </row>
    <row r="5308">
      <c r="A5308" s="6" t="inlineStr">
        <is>
          <t>DJ30</t>
        </is>
      </c>
      <c r="B5308" s="6" t="inlineStr">
        <is>
          <t>2026-04-17</t>
        </is>
      </c>
      <c r="C5308" s="6" t="inlineStr">
        <is>
          <t>DIA</t>
        </is>
      </c>
      <c r="D5308" s="6" t="inlineStr">
        <is>
          <t>CAT</t>
        </is>
      </c>
      <c r="E5308" s="6" t="inlineStr">
        <is>
          <t>CAT</t>
        </is>
      </c>
      <c r="F5308" s="6" t="inlineStr">
        <is>
          <t>-</t>
        </is>
      </c>
      <c r="G5308" s="7" t="n">
        <v>793.1400146484375</v>
      </c>
      <c r="H5308" s="6">
        <f>P5277</f>
        <v/>
      </c>
      <c r="I5308" s="9">
        <f>Q5277</f>
        <v/>
      </c>
      <c r="J5308" s="7">
        <f>I5308*G5308</f>
        <v/>
      </c>
      <c r="K5308" s="8">
        <f>IF($J$5333=0,0,J5308/$J$5333)</f>
        <v/>
      </c>
      <c r="L5308" s="6" t="inlineStr">
        <is>
          <t>SELECTED</t>
        </is>
      </c>
      <c r="M5308" s="8" t="n">
        <v>0.2</v>
      </c>
      <c r="N5308" s="7">
        <f>M5308*$J$5333-J5308</f>
        <v/>
      </c>
      <c r="O5308" s="9">
        <f>IF(G5308=0,0,N5308/G5308)</f>
        <v/>
      </c>
      <c r="P5308" s="6">
        <f>IF(M5308&gt;0,D5308,"")</f>
        <v/>
      </c>
      <c r="Q5308" s="9">
        <f>I5308+O5308</f>
        <v/>
      </c>
      <c r="R5308" s="7">
        <f>Q5308*G5308</f>
        <v/>
      </c>
      <c r="S5308" s="8">
        <f>IF($R$5333=0,0,R5308/$R$5333)</f>
        <v/>
      </c>
      <c r="T5308" s="8" t="n">
        <v>0.006384302748752013</v>
      </c>
      <c r="U5308" s="8" t="n">
        <v>0.03167385676315382</v>
      </c>
      <c r="V5308" s="6" t="inlineStr">
        <is>
          <t>remained in weekly selection</t>
        </is>
      </c>
    </row>
    <row r="5309">
      <c r="A5309" s="6" t="inlineStr">
        <is>
          <t>DJ30</t>
        </is>
      </c>
      <c r="B5309" s="6" t="inlineStr">
        <is>
          <t>2026-04-17</t>
        </is>
      </c>
      <c r="C5309" s="6" t="inlineStr">
        <is>
          <t>DIA</t>
        </is>
      </c>
      <c r="D5309" s="6" t="inlineStr">
        <is>
          <t>CRM</t>
        </is>
      </c>
      <c r="E5309" s="6" t="inlineStr">
        <is>
          <t>CRM</t>
        </is>
      </c>
      <c r="F5309" s="6" t="inlineStr">
        <is>
          <t>-</t>
        </is>
      </c>
      <c r="G5309" s="7" t="n">
        <v>181.6711120605469</v>
      </c>
      <c r="H5309" s="6">
        <f>P5278</f>
        <v/>
      </c>
      <c r="I5309" s="9">
        <f>Q5278</f>
        <v/>
      </c>
      <c r="J5309" s="7">
        <f>I5309*G5309</f>
        <v/>
      </c>
      <c r="K5309" s="8">
        <f>IF($J$5333=0,0,J5309/$J$5333)</f>
        <v/>
      </c>
      <c r="L5309" s="6" t="inlineStr">
        <is>
          <t>REJECTED</t>
        </is>
      </c>
      <c r="M5309" s="8" t="n">
        <v>0</v>
      </c>
      <c r="N5309" s="7">
        <f>M5309*$J$5333-J5309</f>
        <v/>
      </c>
      <c r="O5309" s="9">
        <f>IF(G5309=0,0,N5309/G5309)</f>
        <v/>
      </c>
      <c r="P5309" s="6">
        <f>IF(M5309&gt;0,D5309,"")</f>
        <v/>
      </c>
      <c r="Q5309" s="9">
        <f>I5309+O5309</f>
        <v/>
      </c>
      <c r="R5309" s="7">
        <f>Q5309*G5309</f>
        <v/>
      </c>
      <c r="S5309" s="8">
        <f>IF($R$5333=0,0,R5309/$R$5333)</f>
        <v/>
      </c>
      <c r="T5309" s="8" t="n">
        <v>0.006384302748752013</v>
      </c>
      <c r="U5309" s="8" t="n">
        <v>0.03167385676315382</v>
      </c>
      <c r="V5309" s="6" t="inlineStr">
        <is>
          <t>not selected</t>
        </is>
      </c>
    </row>
    <row r="5310">
      <c r="A5310" s="6" t="inlineStr">
        <is>
          <t>DJ30</t>
        </is>
      </c>
      <c r="B5310" s="6" t="inlineStr">
        <is>
          <t>2026-04-17</t>
        </is>
      </c>
      <c r="C5310" s="6" t="inlineStr">
        <is>
          <t>DIA</t>
        </is>
      </c>
      <c r="D5310" s="6" t="inlineStr">
        <is>
          <t>CSCO</t>
        </is>
      </c>
      <c r="E5310" s="6" t="inlineStr">
        <is>
          <t>CSCO</t>
        </is>
      </c>
      <c r="F5310" s="6" t="inlineStr">
        <is>
          <t>-</t>
        </is>
      </c>
      <c r="G5310" s="7" t="n">
        <v>86.25</v>
      </c>
      <c r="H5310" s="6">
        <f>P5279</f>
        <v/>
      </c>
      <c r="I5310" s="9">
        <f>Q5279</f>
        <v/>
      </c>
      <c r="J5310" s="7">
        <f>I5310*G5310</f>
        <v/>
      </c>
      <c r="K5310" s="8">
        <f>IF($J$5333=0,0,J5310/$J$5333)</f>
        <v/>
      </c>
      <c r="L5310" s="6" t="inlineStr">
        <is>
          <t>SELECTED</t>
        </is>
      </c>
      <c r="M5310" s="8" t="n">
        <v>0.2</v>
      </c>
      <c r="N5310" s="7">
        <f>M5310*$J$5333-J5310</f>
        <v/>
      </c>
      <c r="O5310" s="9">
        <f>IF(G5310=0,0,N5310/G5310)</f>
        <v/>
      </c>
      <c r="P5310" s="6">
        <f>IF(M5310&gt;0,D5310,"")</f>
        <v/>
      </c>
      <c r="Q5310" s="9">
        <f>I5310+O5310</f>
        <v/>
      </c>
      <c r="R5310" s="7">
        <f>Q5310*G5310</f>
        <v/>
      </c>
      <c r="S5310" s="8">
        <f>IF($R$5333=0,0,R5310/$R$5333)</f>
        <v/>
      </c>
      <c r="T5310" s="8" t="n">
        <v>0.006384302748752013</v>
      </c>
      <c r="U5310" s="8" t="n">
        <v>0.03167385676315382</v>
      </c>
      <c r="V5310" s="6" t="inlineStr">
        <is>
          <t>remained in weekly selection</t>
        </is>
      </c>
    </row>
    <row r="5311">
      <c r="A5311" s="6" t="inlineStr">
        <is>
          <t>DJ30</t>
        </is>
      </c>
      <c r="B5311" s="6" t="inlineStr">
        <is>
          <t>2026-04-17</t>
        </is>
      </c>
      <c r="C5311" s="6" t="inlineStr">
        <is>
          <t>DIA</t>
        </is>
      </c>
      <c r="D5311" s="6" t="inlineStr">
        <is>
          <t>CVX</t>
        </is>
      </c>
      <c r="E5311" s="6" t="inlineStr">
        <is>
          <t>CVX</t>
        </is>
      </c>
      <c r="F5311" s="6" t="inlineStr">
        <is>
          <t>-</t>
        </is>
      </c>
      <c r="G5311" s="7" t="n">
        <v>182.3200988769531</v>
      </c>
      <c r="H5311" s="6">
        <f>P5280</f>
        <v/>
      </c>
      <c r="I5311" s="9">
        <f>Q5280</f>
        <v/>
      </c>
      <c r="J5311" s="7">
        <f>I5311*G5311</f>
        <v/>
      </c>
      <c r="K5311" s="8">
        <f>IF($J$5333=0,0,J5311/$J$5333)</f>
        <v/>
      </c>
      <c r="L5311" s="6" t="inlineStr">
        <is>
          <t>SELECTED</t>
        </is>
      </c>
      <c r="M5311" s="8" t="n">
        <v>0.2</v>
      </c>
      <c r="N5311" s="7">
        <f>M5311*$J$5333-J5311</f>
        <v/>
      </c>
      <c r="O5311" s="9">
        <f>IF(G5311=0,0,N5311/G5311)</f>
        <v/>
      </c>
      <c r="P5311" s="6">
        <f>IF(M5311&gt;0,D5311,"")</f>
        <v/>
      </c>
      <c r="Q5311" s="9">
        <f>I5311+O5311</f>
        <v/>
      </c>
      <c r="R5311" s="7">
        <f>Q5311*G5311</f>
        <v/>
      </c>
      <c r="S5311" s="8">
        <f>IF($R$5333=0,0,R5311/$R$5333)</f>
        <v/>
      </c>
      <c r="T5311" s="8" t="n">
        <v>0.006384302748752013</v>
      </c>
      <c r="U5311" s="8" t="n">
        <v>0.03167385676315382</v>
      </c>
      <c r="V5311" s="6" t="inlineStr">
        <is>
          <t>remained in weekly selection</t>
        </is>
      </c>
    </row>
    <row r="5312">
      <c r="A5312" s="6" t="inlineStr">
        <is>
          <t>DJ30</t>
        </is>
      </c>
      <c r="B5312" s="6" t="inlineStr">
        <is>
          <t>2026-04-17</t>
        </is>
      </c>
      <c r="C5312" s="6" t="inlineStr">
        <is>
          <t>DIA</t>
        </is>
      </c>
      <c r="D5312" s="6" t="inlineStr">
        <is>
          <t>DIS</t>
        </is>
      </c>
      <c r="E5312" s="6" t="inlineStr">
        <is>
          <t>DIS</t>
        </is>
      </c>
      <c r="F5312" s="6" t="inlineStr">
        <is>
          <t>-</t>
        </is>
      </c>
      <c r="G5312" s="7" t="n">
        <v>106.2900009155273</v>
      </c>
      <c r="H5312" s="6">
        <f>P5281</f>
        <v/>
      </c>
      <c r="I5312" s="9">
        <f>Q5281</f>
        <v/>
      </c>
      <c r="J5312" s="7">
        <f>I5312*G5312</f>
        <v/>
      </c>
      <c r="K5312" s="8">
        <f>IF($J$5333=0,0,J5312/$J$5333)</f>
        <v/>
      </c>
      <c r="L5312" s="6" t="inlineStr">
        <is>
          <t>REJECTED</t>
        </is>
      </c>
      <c r="M5312" s="8" t="n">
        <v>0</v>
      </c>
      <c r="N5312" s="7">
        <f>M5312*$J$5333-J5312</f>
        <v/>
      </c>
      <c r="O5312" s="9">
        <f>IF(G5312=0,0,N5312/G5312)</f>
        <v/>
      </c>
      <c r="P5312" s="6">
        <f>IF(M5312&gt;0,D5312,"")</f>
        <v/>
      </c>
      <c r="Q5312" s="9">
        <f>I5312+O5312</f>
        <v/>
      </c>
      <c r="R5312" s="7">
        <f>Q5312*G5312</f>
        <v/>
      </c>
      <c r="S5312" s="8">
        <f>IF($R$5333=0,0,R5312/$R$5333)</f>
        <v/>
      </c>
      <c r="T5312" s="8" t="n">
        <v>0.006384302748752013</v>
      </c>
      <c r="U5312" s="8" t="n">
        <v>0.03167385676315382</v>
      </c>
      <c r="V5312" s="6" t="inlineStr">
        <is>
          <t>not selected</t>
        </is>
      </c>
    </row>
    <row r="5313">
      <c r="A5313" s="6" t="inlineStr">
        <is>
          <t>DJ30</t>
        </is>
      </c>
      <c r="B5313" s="6" t="inlineStr">
        <is>
          <t>2026-04-17</t>
        </is>
      </c>
      <c r="C5313" s="6" t="inlineStr">
        <is>
          <t>DIA</t>
        </is>
      </c>
      <c r="D5313" s="6" t="inlineStr">
        <is>
          <t>GS</t>
        </is>
      </c>
      <c r="E5313" s="6" t="inlineStr">
        <is>
          <t>GS</t>
        </is>
      </c>
      <c r="F5313" s="6" t="inlineStr">
        <is>
          <t>-</t>
        </is>
      </c>
      <c r="G5313" s="7" t="n">
        <v>921.8870849609376</v>
      </c>
      <c r="H5313" s="6">
        <f>P5282</f>
        <v/>
      </c>
      <c r="I5313" s="9">
        <f>Q5282</f>
        <v/>
      </c>
      <c r="J5313" s="7">
        <f>I5313*G5313</f>
        <v/>
      </c>
      <c r="K5313" s="8">
        <f>IF($J$5333=0,0,J5313/$J$5333)</f>
        <v/>
      </c>
      <c r="L5313" s="6" t="inlineStr">
        <is>
          <t>SELECTED</t>
        </is>
      </c>
      <c r="M5313" s="8" t="n">
        <v>0.2</v>
      </c>
      <c r="N5313" s="7">
        <f>M5313*$J$5333-J5313</f>
        <v/>
      </c>
      <c r="O5313" s="9">
        <f>IF(G5313=0,0,N5313/G5313)</f>
        <v/>
      </c>
      <c r="P5313" s="6">
        <f>IF(M5313&gt;0,D5313,"")</f>
        <v/>
      </c>
      <c r="Q5313" s="9">
        <f>I5313+O5313</f>
        <v/>
      </c>
      <c r="R5313" s="7">
        <f>Q5313*G5313</f>
        <v/>
      </c>
      <c r="S5313" s="8">
        <f>IF($R$5333=0,0,R5313/$R$5333)</f>
        <v/>
      </c>
      <c r="T5313" s="8" t="n">
        <v>0.006384302748752013</v>
      </c>
      <c r="U5313" s="8" t="n">
        <v>0.03167385676315382</v>
      </c>
      <c r="V5313" s="6" t="inlineStr">
        <is>
          <t>remained in weekly selection</t>
        </is>
      </c>
    </row>
    <row r="5314">
      <c r="A5314" s="6" t="inlineStr">
        <is>
          <t>DJ30</t>
        </is>
      </c>
      <c r="B5314" s="6" t="inlineStr">
        <is>
          <t>2026-04-17</t>
        </is>
      </c>
      <c r="C5314" s="6" t="inlineStr">
        <is>
          <t>DIA</t>
        </is>
      </c>
      <c r="D5314" s="6" t="inlineStr">
        <is>
          <t>HD</t>
        </is>
      </c>
      <c r="E5314" s="6" t="inlineStr">
        <is>
          <t>HD</t>
        </is>
      </c>
      <c r="F5314" s="6" t="inlineStr">
        <is>
          <t>-</t>
        </is>
      </c>
      <c r="G5314" s="7" t="n">
        <v>346.7987670898437</v>
      </c>
      <c r="H5314" s="6">
        <f>P5283</f>
        <v/>
      </c>
      <c r="I5314" s="9">
        <f>Q5283</f>
        <v/>
      </c>
      <c r="J5314" s="7">
        <f>I5314*G5314</f>
        <v/>
      </c>
      <c r="K5314" s="8">
        <f>IF($J$5333=0,0,J5314/$J$5333)</f>
        <v/>
      </c>
      <c r="L5314" s="6" t="inlineStr">
        <is>
          <t>REJECTED</t>
        </is>
      </c>
      <c r="M5314" s="8" t="n">
        <v>0</v>
      </c>
      <c r="N5314" s="7">
        <f>M5314*$J$5333-J5314</f>
        <v/>
      </c>
      <c r="O5314" s="9">
        <f>IF(G5314=0,0,N5314/G5314)</f>
        <v/>
      </c>
      <c r="P5314" s="6">
        <f>IF(M5314&gt;0,D5314,"")</f>
        <v/>
      </c>
      <c r="Q5314" s="9">
        <f>I5314+O5314</f>
        <v/>
      </c>
      <c r="R5314" s="7">
        <f>Q5314*G5314</f>
        <v/>
      </c>
      <c r="S5314" s="8">
        <f>IF($R$5333=0,0,R5314/$R$5333)</f>
        <v/>
      </c>
      <c r="T5314" s="8" t="n">
        <v>0.006384302748752013</v>
      </c>
      <c r="U5314" s="8" t="n">
        <v>0.03167385676315382</v>
      </c>
      <c r="V5314" s="6" t="inlineStr">
        <is>
          <t>not selected</t>
        </is>
      </c>
    </row>
    <row r="5315">
      <c r="A5315" s="6" t="inlineStr">
        <is>
          <t>DJ30</t>
        </is>
      </c>
      <c r="B5315" s="6" t="inlineStr">
        <is>
          <t>2026-04-17</t>
        </is>
      </c>
      <c r="C5315" s="6" t="inlineStr">
        <is>
          <t>DIA</t>
        </is>
      </c>
      <c r="D5315" s="6" t="inlineStr">
        <is>
          <t>HON</t>
        </is>
      </c>
      <c r="E5315" s="6" t="inlineStr">
        <is>
          <t>HON</t>
        </is>
      </c>
      <c r="F5315" s="6" t="inlineStr">
        <is>
          <t>-</t>
        </is>
      </c>
      <c r="G5315" s="7" t="n">
        <v>232.2734832763672</v>
      </c>
      <c r="H5315" s="6">
        <f>P5284</f>
        <v/>
      </c>
      <c r="I5315" s="9">
        <f>Q5284</f>
        <v/>
      </c>
      <c r="J5315" s="7">
        <f>I5315*G5315</f>
        <v/>
      </c>
      <c r="K5315" s="8">
        <f>IF($J$5333=0,0,J5315/$J$5333)</f>
        <v/>
      </c>
      <c r="L5315" s="6" t="inlineStr">
        <is>
          <t>REJECTED</t>
        </is>
      </c>
      <c r="M5315" s="8" t="n">
        <v>0</v>
      </c>
      <c r="N5315" s="7">
        <f>M5315*$J$5333-J5315</f>
        <v/>
      </c>
      <c r="O5315" s="9">
        <f>IF(G5315=0,0,N5315/G5315)</f>
        <v/>
      </c>
      <c r="P5315" s="6">
        <f>IF(M5315&gt;0,D5315,"")</f>
        <v/>
      </c>
      <c r="Q5315" s="9">
        <f>I5315+O5315</f>
        <v/>
      </c>
      <c r="R5315" s="7">
        <f>Q5315*G5315</f>
        <v/>
      </c>
      <c r="S5315" s="8">
        <f>IF($R$5333=0,0,R5315/$R$5333)</f>
        <v/>
      </c>
      <c r="T5315" s="8" t="n">
        <v>0.006384302748752013</v>
      </c>
      <c r="U5315" s="8" t="n">
        <v>0.03167385676315382</v>
      </c>
      <c r="V5315" s="6" t="inlineStr">
        <is>
          <t>not selected</t>
        </is>
      </c>
    </row>
    <row r="5316">
      <c r="A5316" s="6" t="inlineStr">
        <is>
          <t>DJ30</t>
        </is>
      </c>
      <c r="B5316" s="6" t="inlineStr">
        <is>
          <t>2026-04-17</t>
        </is>
      </c>
      <c r="C5316" s="6" t="inlineStr">
        <is>
          <t>DIA</t>
        </is>
      </c>
      <c r="D5316" s="6" t="inlineStr">
        <is>
          <t>IBM</t>
        </is>
      </c>
      <c r="E5316" s="6" t="inlineStr">
        <is>
          <t>IBM</t>
        </is>
      </c>
      <c r="F5316" s="6" t="inlineStr">
        <is>
          <t>-</t>
        </is>
      </c>
      <c r="G5316" s="7" t="n">
        <v>251.6180877685547</v>
      </c>
      <c r="H5316" s="6">
        <f>P5285</f>
        <v/>
      </c>
      <c r="I5316" s="9">
        <f>Q5285</f>
        <v/>
      </c>
      <c r="J5316" s="7">
        <f>I5316*G5316</f>
        <v/>
      </c>
      <c r="K5316" s="8">
        <f>IF($J$5333=0,0,J5316/$J$5333)</f>
        <v/>
      </c>
      <c r="L5316" s="6" t="inlineStr">
        <is>
          <t>REJECTED</t>
        </is>
      </c>
      <c r="M5316" s="8" t="n">
        <v>0</v>
      </c>
      <c r="N5316" s="7">
        <f>M5316*$J$5333-J5316</f>
        <v/>
      </c>
      <c r="O5316" s="9">
        <f>IF(G5316=0,0,N5316/G5316)</f>
        <v/>
      </c>
      <c r="P5316" s="6">
        <f>IF(M5316&gt;0,D5316,"")</f>
        <v/>
      </c>
      <c r="Q5316" s="9">
        <f>I5316+O5316</f>
        <v/>
      </c>
      <c r="R5316" s="7">
        <f>Q5316*G5316</f>
        <v/>
      </c>
      <c r="S5316" s="8">
        <f>IF($R$5333=0,0,R5316/$R$5333)</f>
        <v/>
      </c>
      <c r="T5316" s="8" t="n">
        <v>0.006384302748752013</v>
      </c>
      <c r="U5316" s="8" t="n">
        <v>0.03167385676315382</v>
      </c>
      <c r="V5316" s="6" t="inlineStr">
        <is>
          <t>not selected</t>
        </is>
      </c>
    </row>
    <row r="5317">
      <c r="A5317" s="6" t="inlineStr">
        <is>
          <t>DJ30</t>
        </is>
      </c>
      <c r="B5317" s="6" t="inlineStr">
        <is>
          <t>2026-04-17</t>
        </is>
      </c>
      <c r="C5317" s="6" t="inlineStr">
        <is>
          <t>DIA</t>
        </is>
      </c>
      <c r="D5317" s="6" t="inlineStr">
        <is>
          <t>JNJ</t>
        </is>
      </c>
      <c r="E5317" s="6" t="inlineStr">
        <is>
          <t>JNJ</t>
        </is>
      </c>
      <c r="F5317" s="6" t="inlineStr">
        <is>
          <t>-</t>
        </is>
      </c>
      <c r="G5317" s="7" t="n">
        <v>232.8409118652344</v>
      </c>
      <c r="H5317" s="6">
        <f>P5286</f>
        <v/>
      </c>
      <c r="I5317" s="9">
        <f>Q5286</f>
        <v/>
      </c>
      <c r="J5317" s="7">
        <f>I5317*G5317</f>
        <v/>
      </c>
      <c r="K5317" s="8">
        <f>IF($J$5333=0,0,J5317/$J$5333)</f>
        <v/>
      </c>
      <c r="L5317" s="6" t="inlineStr">
        <is>
          <t>SELECTED</t>
        </is>
      </c>
      <c r="M5317" s="8" t="n">
        <v>0.2</v>
      </c>
      <c r="N5317" s="7">
        <f>M5317*$J$5333-J5317</f>
        <v/>
      </c>
      <c r="O5317" s="9">
        <f>IF(G5317=0,0,N5317/G5317)</f>
        <v/>
      </c>
      <c r="P5317" s="6">
        <f>IF(M5317&gt;0,D5317,"")</f>
        <v/>
      </c>
      <c r="Q5317" s="9">
        <f>I5317+O5317</f>
        <v/>
      </c>
      <c r="R5317" s="7">
        <f>Q5317*G5317</f>
        <v/>
      </c>
      <c r="S5317" s="8">
        <f>IF($R$5333=0,0,R5317/$R$5333)</f>
        <v/>
      </c>
      <c r="T5317" s="8" t="n">
        <v>0.006384302748752013</v>
      </c>
      <c r="U5317" s="8" t="n">
        <v>0.03167385676315382</v>
      </c>
      <c r="V5317" s="6" t="inlineStr">
        <is>
          <t>remained in weekly selection</t>
        </is>
      </c>
    </row>
    <row r="5318">
      <c r="A5318" s="6" t="inlineStr">
        <is>
          <t>DJ30</t>
        </is>
      </c>
      <c r="B5318" s="6" t="inlineStr">
        <is>
          <t>2026-04-17</t>
        </is>
      </c>
      <c r="C5318" s="6" t="inlineStr">
        <is>
          <t>DIA</t>
        </is>
      </c>
      <c r="D5318" s="6" t="inlineStr">
        <is>
          <t>JPM</t>
        </is>
      </c>
      <c r="E5318" s="6" t="inlineStr">
        <is>
          <t>JPM</t>
        </is>
      </c>
      <c r="F5318" s="6" t="inlineStr">
        <is>
          <t>-</t>
        </is>
      </c>
      <c r="G5318" s="7" t="n">
        <v>310.2900085449219</v>
      </c>
      <c r="H5318" s="6">
        <f>P5287</f>
        <v/>
      </c>
      <c r="I5318" s="9">
        <f>Q5287</f>
        <v/>
      </c>
      <c r="J5318" s="7">
        <f>I5318*G5318</f>
        <v/>
      </c>
      <c r="K5318" s="8">
        <f>IF($J$5333=0,0,J5318/$J$5333)</f>
        <v/>
      </c>
      <c r="L5318" s="6" t="inlineStr">
        <is>
          <t>WATCHLIST</t>
        </is>
      </c>
      <c r="M5318" s="8" t="n">
        <v>0</v>
      </c>
      <c r="N5318" s="7">
        <f>M5318*$J$5333-J5318</f>
        <v/>
      </c>
      <c r="O5318" s="9">
        <f>IF(G5318=0,0,N5318/G5318)</f>
        <v/>
      </c>
      <c r="P5318" s="6">
        <f>IF(M5318&gt;0,D5318,"")</f>
        <v/>
      </c>
      <c r="Q5318" s="9">
        <f>I5318+O5318</f>
        <v/>
      </c>
      <c r="R5318" s="7">
        <f>Q5318*G5318</f>
        <v/>
      </c>
      <c r="S5318" s="8">
        <f>IF($R$5333=0,0,R5318/$R$5333)</f>
        <v/>
      </c>
      <c r="T5318" s="8" t="n">
        <v>0.006384302748752013</v>
      </c>
      <c r="U5318" s="8" t="n">
        <v>0.03167385676315382</v>
      </c>
      <c r="V5318" s="6" t="inlineStr">
        <is>
          <t>not selected</t>
        </is>
      </c>
    </row>
    <row r="5319">
      <c r="A5319" s="6" t="inlineStr">
        <is>
          <t>DJ30</t>
        </is>
      </c>
      <c r="B5319" s="6" t="inlineStr">
        <is>
          <t>2026-04-17</t>
        </is>
      </c>
      <c r="C5319" s="6" t="inlineStr">
        <is>
          <t>DIA</t>
        </is>
      </c>
      <c r="D5319" s="6" t="inlineStr">
        <is>
          <t>KO</t>
        </is>
      </c>
      <c r="E5319" s="6" t="inlineStr">
        <is>
          <t>KO</t>
        </is>
      </c>
      <c r="F5319" s="6" t="inlineStr">
        <is>
          <t>-</t>
        </is>
      </c>
      <c r="G5319" s="7" t="n">
        <v>75.25413513183594</v>
      </c>
      <c r="H5319" s="6">
        <f>P5288</f>
        <v/>
      </c>
      <c r="I5319" s="9">
        <f>Q5288</f>
        <v/>
      </c>
      <c r="J5319" s="7">
        <f>I5319*G5319</f>
        <v/>
      </c>
      <c r="K5319" s="8">
        <f>IF($J$5333=0,0,J5319/$J$5333)</f>
        <v/>
      </c>
      <c r="L5319" s="6" t="inlineStr">
        <is>
          <t>WATCHLIST</t>
        </is>
      </c>
      <c r="M5319" s="8" t="n">
        <v>0</v>
      </c>
      <c r="N5319" s="7">
        <f>M5319*$J$5333-J5319</f>
        <v/>
      </c>
      <c r="O5319" s="9">
        <f>IF(G5319=0,0,N5319/G5319)</f>
        <v/>
      </c>
      <c r="P5319" s="6">
        <f>IF(M5319&gt;0,D5319,"")</f>
        <v/>
      </c>
      <c r="Q5319" s="9">
        <f>I5319+O5319</f>
        <v/>
      </c>
      <c r="R5319" s="7">
        <f>Q5319*G5319</f>
        <v/>
      </c>
      <c r="S5319" s="8">
        <f>IF($R$5333=0,0,R5319/$R$5333)</f>
        <v/>
      </c>
      <c r="T5319" s="8" t="n">
        <v>0.006384302748752013</v>
      </c>
      <c r="U5319" s="8" t="n">
        <v>0.03167385676315382</v>
      </c>
      <c r="V5319" s="6" t="inlineStr">
        <is>
          <t>not selected</t>
        </is>
      </c>
    </row>
    <row r="5320">
      <c r="A5320" s="6" t="inlineStr">
        <is>
          <t>DJ30</t>
        </is>
      </c>
      <c r="B5320" s="6" t="inlineStr">
        <is>
          <t>2026-04-17</t>
        </is>
      </c>
      <c r="C5320" s="6" t="inlineStr">
        <is>
          <t>DIA</t>
        </is>
      </c>
      <c r="D5320" s="6" t="inlineStr">
        <is>
          <t>MCD</t>
        </is>
      </c>
      <c r="E5320" s="6" t="inlineStr">
        <is>
          <t>MCD</t>
        </is>
      </c>
      <c r="F5320" s="6" t="inlineStr">
        <is>
          <t>-</t>
        </is>
      </c>
      <c r="G5320" s="7" t="n">
        <v>309.2625122070312</v>
      </c>
      <c r="H5320" s="6">
        <f>P5289</f>
        <v/>
      </c>
      <c r="I5320" s="9">
        <f>Q5289</f>
        <v/>
      </c>
      <c r="J5320" s="7">
        <f>I5320*G5320</f>
        <v/>
      </c>
      <c r="K5320" s="8">
        <f>IF($J$5333=0,0,J5320/$J$5333)</f>
        <v/>
      </c>
      <c r="L5320" s="6" t="inlineStr">
        <is>
          <t>WATCHLIST</t>
        </is>
      </c>
      <c r="M5320" s="8" t="n">
        <v>0</v>
      </c>
      <c r="N5320" s="7">
        <f>M5320*$J$5333-J5320</f>
        <v/>
      </c>
      <c r="O5320" s="9">
        <f>IF(G5320=0,0,N5320/G5320)</f>
        <v/>
      </c>
      <c r="P5320" s="6">
        <f>IF(M5320&gt;0,D5320,"")</f>
        <v/>
      </c>
      <c r="Q5320" s="9">
        <f>I5320+O5320</f>
        <v/>
      </c>
      <c r="R5320" s="7">
        <f>Q5320*G5320</f>
        <v/>
      </c>
      <c r="S5320" s="8">
        <f>IF($R$5333=0,0,R5320/$R$5333)</f>
        <v/>
      </c>
      <c r="T5320" s="8" t="n">
        <v>0.006384302748752013</v>
      </c>
      <c r="U5320" s="8" t="n">
        <v>0.03167385676315382</v>
      </c>
      <c r="V5320" s="6" t="inlineStr">
        <is>
          <t>not selected</t>
        </is>
      </c>
    </row>
    <row r="5321">
      <c r="A5321" s="6" t="inlineStr">
        <is>
          <t>DJ30</t>
        </is>
      </c>
      <c r="B5321" s="6" t="inlineStr">
        <is>
          <t>2026-04-17</t>
        </is>
      </c>
      <c r="C5321" s="6" t="inlineStr">
        <is>
          <t>DIA</t>
        </is>
      </c>
      <c r="D5321" s="6" t="inlineStr">
        <is>
          <t>MMM</t>
        </is>
      </c>
      <c r="E5321" s="6" t="inlineStr">
        <is>
          <t>MMM</t>
        </is>
      </c>
      <c r="F5321" s="6" t="inlineStr">
        <is>
          <t>-</t>
        </is>
      </c>
      <c r="G5321" s="7" t="n">
        <v>153.7548217773438</v>
      </c>
      <c r="H5321" s="6">
        <f>P5290</f>
        <v/>
      </c>
      <c r="I5321" s="9">
        <f>Q5290</f>
        <v/>
      </c>
      <c r="J5321" s="7">
        <f>I5321*G5321</f>
        <v/>
      </c>
      <c r="K5321" s="8">
        <f>IF($J$5333=0,0,J5321/$J$5333)</f>
        <v/>
      </c>
      <c r="L5321" s="6" t="inlineStr">
        <is>
          <t>REJECTED</t>
        </is>
      </c>
      <c r="M5321" s="8" t="n">
        <v>0</v>
      </c>
      <c r="N5321" s="7">
        <f>M5321*$J$5333-J5321</f>
        <v/>
      </c>
      <c r="O5321" s="9">
        <f>IF(G5321=0,0,N5321/G5321)</f>
        <v/>
      </c>
      <c r="P5321" s="6">
        <f>IF(M5321&gt;0,D5321,"")</f>
        <v/>
      </c>
      <c r="Q5321" s="9">
        <f>I5321+O5321</f>
        <v/>
      </c>
      <c r="R5321" s="7">
        <f>Q5321*G5321</f>
        <v/>
      </c>
      <c r="S5321" s="8">
        <f>IF($R$5333=0,0,R5321/$R$5333)</f>
        <v/>
      </c>
      <c r="T5321" s="8" t="n">
        <v>0.006384302748752013</v>
      </c>
      <c r="U5321" s="8" t="n">
        <v>0.03167385676315382</v>
      </c>
      <c r="V5321" s="6" t="inlineStr">
        <is>
          <t>not selected</t>
        </is>
      </c>
    </row>
    <row r="5322">
      <c r="A5322" s="6" t="inlineStr">
        <is>
          <t>DJ30</t>
        </is>
      </c>
      <c r="B5322" s="6" t="inlineStr">
        <is>
          <t>2026-04-17</t>
        </is>
      </c>
      <c r="C5322" s="6" t="inlineStr">
        <is>
          <t>DIA</t>
        </is>
      </c>
      <c r="D5322" s="6" t="inlineStr">
        <is>
          <t>MRK</t>
        </is>
      </c>
      <c r="E5322" s="6" t="inlineStr">
        <is>
          <t>MRK</t>
        </is>
      </c>
      <c r="F5322" s="6" t="inlineStr">
        <is>
          <t>-</t>
        </is>
      </c>
      <c r="G5322" s="7" t="n">
        <v>118.219856262207</v>
      </c>
      <c r="H5322" s="6">
        <f>P5291</f>
        <v/>
      </c>
      <c r="I5322" s="9">
        <f>Q5291</f>
        <v/>
      </c>
      <c r="J5322" s="7">
        <f>I5322*G5322</f>
        <v/>
      </c>
      <c r="K5322" s="8">
        <f>IF($J$5333=0,0,J5322/$J$5333)</f>
        <v/>
      </c>
      <c r="L5322" s="6" t="inlineStr">
        <is>
          <t>WATCHLIST</t>
        </is>
      </c>
      <c r="M5322" s="8" t="n">
        <v>0</v>
      </c>
      <c r="N5322" s="7">
        <f>M5322*$J$5333-J5322</f>
        <v/>
      </c>
      <c r="O5322" s="9">
        <f>IF(G5322=0,0,N5322/G5322)</f>
        <v/>
      </c>
      <c r="P5322" s="6">
        <f>IF(M5322&gt;0,D5322,"")</f>
        <v/>
      </c>
      <c r="Q5322" s="9">
        <f>I5322+O5322</f>
        <v/>
      </c>
      <c r="R5322" s="7">
        <f>Q5322*G5322</f>
        <v/>
      </c>
      <c r="S5322" s="8">
        <f>IF($R$5333=0,0,R5322/$R$5333)</f>
        <v/>
      </c>
      <c r="T5322" s="8" t="n">
        <v>0.006384302748752013</v>
      </c>
      <c r="U5322" s="8" t="n">
        <v>0.03167385676315382</v>
      </c>
      <c r="V5322" s="6" t="inlineStr">
        <is>
          <t>not selected</t>
        </is>
      </c>
    </row>
    <row r="5323">
      <c r="A5323" s="6" t="inlineStr">
        <is>
          <t>DJ30</t>
        </is>
      </c>
      <c r="B5323" s="6" t="inlineStr">
        <is>
          <t>2026-04-17</t>
        </is>
      </c>
      <c r="C5323" s="6" t="inlineStr">
        <is>
          <t>DIA</t>
        </is>
      </c>
      <c r="D5323" s="6" t="inlineStr">
        <is>
          <t>MSFT</t>
        </is>
      </c>
      <c r="E5323" s="6" t="inlineStr">
        <is>
          <t>MSFT</t>
        </is>
      </c>
      <c r="F5323" s="6" t="inlineStr">
        <is>
          <t>-</t>
        </is>
      </c>
      <c r="G5323" s="7" t="n">
        <v>421.8762817382813</v>
      </c>
      <c r="H5323" s="6">
        <f>P5292</f>
        <v/>
      </c>
      <c r="I5323" s="9">
        <f>Q5292</f>
        <v/>
      </c>
      <c r="J5323" s="7">
        <f>I5323*G5323</f>
        <v/>
      </c>
      <c r="K5323" s="8">
        <f>IF($J$5333=0,0,J5323/$J$5333)</f>
        <v/>
      </c>
      <c r="L5323" s="6" t="inlineStr">
        <is>
          <t>REJECTED</t>
        </is>
      </c>
      <c r="M5323" s="8" t="n">
        <v>0</v>
      </c>
      <c r="N5323" s="7">
        <f>M5323*$J$5333-J5323</f>
        <v/>
      </c>
      <c r="O5323" s="9">
        <f>IF(G5323=0,0,N5323/G5323)</f>
        <v/>
      </c>
      <c r="P5323" s="6">
        <f>IF(M5323&gt;0,D5323,"")</f>
        <v/>
      </c>
      <c r="Q5323" s="9">
        <f>I5323+O5323</f>
        <v/>
      </c>
      <c r="R5323" s="7">
        <f>Q5323*G5323</f>
        <v/>
      </c>
      <c r="S5323" s="8">
        <f>IF($R$5333=0,0,R5323/$R$5333)</f>
        <v/>
      </c>
      <c r="T5323" s="8" t="n">
        <v>0.006384302748752013</v>
      </c>
      <c r="U5323" s="8" t="n">
        <v>0.03167385676315382</v>
      </c>
      <c r="V5323" s="6" t="inlineStr">
        <is>
          <t>not selected</t>
        </is>
      </c>
    </row>
    <row r="5324">
      <c r="A5324" s="6" t="inlineStr">
        <is>
          <t>DJ30</t>
        </is>
      </c>
      <c r="B5324" s="6" t="inlineStr">
        <is>
          <t>2026-04-17</t>
        </is>
      </c>
      <c r="C5324" s="6" t="inlineStr">
        <is>
          <t>DIA</t>
        </is>
      </c>
      <c r="D5324" s="6" t="inlineStr">
        <is>
          <t>NKE</t>
        </is>
      </c>
      <c r="E5324" s="6" t="inlineStr">
        <is>
          <t>NKE</t>
        </is>
      </c>
      <c r="F5324" s="6" t="inlineStr">
        <is>
          <t>-</t>
        </is>
      </c>
      <c r="G5324" s="7" t="n">
        <v>45.62177276611328</v>
      </c>
      <c r="H5324" s="6">
        <f>P5293</f>
        <v/>
      </c>
      <c r="I5324" s="9">
        <f>Q5293</f>
        <v/>
      </c>
      <c r="J5324" s="7">
        <f>I5324*G5324</f>
        <v/>
      </c>
      <c r="K5324" s="8">
        <f>IF($J$5333=0,0,J5324/$J$5333)</f>
        <v/>
      </c>
      <c r="L5324" s="6" t="inlineStr">
        <is>
          <t>REJECTED</t>
        </is>
      </c>
      <c r="M5324" s="8" t="n">
        <v>0</v>
      </c>
      <c r="N5324" s="7">
        <f>M5324*$J$5333-J5324</f>
        <v/>
      </c>
      <c r="O5324" s="9">
        <f>IF(G5324=0,0,N5324/G5324)</f>
        <v/>
      </c>
      <c r="P5324" s="6">
        <f>IF(M5324&gt;0,D5324,"")</f>
        <v/>
      </c>
      <c r="Q5324" s="9">
        <f>I5324+O5324</f>
        <v/>
      </c>
      <c r="R5324" s="7">
        <f>Q5324*G5324</f>
        <v/>
      </c>
      <c r="S5324" s="8">
        <f>IF($R$5333=0,0,R5324/$R$5333)</f>
        <v/>
      </c>
      <c r="T5324" s="8" t="n">
        <v>0.006384302748752013</v>
      </c>
      <c r="U5324" s="8" t="n">
        <v>0.03167385676315382</v>
      </c>
      <c r="V5324" s="6" t="inlineStr">
        <is>
          <t>not selected</t>
        </is>
      </c>
    </row>
    <row r="5325">
      <c r="A5325" s="6" t="inlineStr">
        <is>
          <t>DJ30</t>
        </is>
      </c>
      <c r="B5325" s="6" t="inlineStr">
        <is>
          <t>2026-04-17</t>
        </is>
      </c>
      <c r="C5325" s="6" t="inlineStr">
        <is>
          <t>DIA</t>
        </is>
      </c>
      <c r="D5325" s="6" t="inlineStr">
        <is>
          <t>NVDA</t>
        </is>
      </c>
      <c r="E5325" s="6" t="inlineStr">
        <is>
          <t>NVDA</t>
        </is>
      </c>
      <c r="F5325" s="6" t="inlineStr">
        <is>
          <t>-</t>
        </is>
      </c>
      <c r="G5325" s="7" t="n">
        <v>201.4452056884766</v>
      </c>
      <c r="H5325" s="6">
        <f>P5294</f>
        <v/>
      </c>
      <c r="I5325" s="9">
        <f>Q5294</f>
        <v/>
      </c>
      <c r="J5325" s="7">
        <f>I5325*G5325</f>
        <v/>
      </c>
      <c r="K5325" s="8">
        <f>IF($J$5333=0,0,J5325/$J$5333)</f>
        <v/>
      </c>
      <c r="L5325" s="6" t="inlineStr">
        <is>
          <t>WATCHLIST</t>
        </is>
      </c>
      <c r="M5325" s="8" t="n">
        <v>0</v>
      </c>
      <c r="N5325" s="7">
        <f>M5325*$J$5333-J5325</f>
        <v/>
      </c>
      <c r="O5325" s="9">
        <f>IF(G5325=0,0,N5325/G5325)</f>
        <v/>
      </c>
      <c r="P5325" s="6">
        <f>IF(M5325&gt;0,D5325,"")</f>
        <v/>
      </c>
      <c r="Q5325" s="9">
        <f>I5325+O5325</f>
        <v/>
      </c>
      <c r="R5325" s="7">
        <f>Q5325*G5325</f>
        <v/>
      </c>
      <c r="S5325" s="8">
        <f>IF($R$5333=0,0,R5325/$R$5333)</f>
        <v/>
      </c>
      <c r="T5325" s="8" t="n">
        <v>0.006384302748752013</v>
      </c>
      <c r="U5325" s="8" t="n">
        <v>0.03167385676315382</v>
      </c>
      <c r="V5325" s="6" t="inlineStr">
        <is>
          <t>not selected</t>
        </is>
      </c>
    </row>
    <row r="5326">
      <c r="A5326" s="6" t="inlineStr">
        <is>
          <t>DJ30</t>
        </is>
      </c>
      <c r="B5326" s="6" t="inlineStr">
        <is>
          <t>2026-04-17</t>
        </is>
      </c>
      <c r="C5326" s="6" t="inlineStr">
        <is>
          <t>DIA</t>
        </is>
      </c>
      <c r="D5326" s="6" t="inlineStr">
        <is>
          <t>PG</t>
        </is>
      </c>
      <c r="E5326" s="6" t="inlineStr">
        <is>
          <t>PG</t>
        </is>
      </c>
      <c r="F5326" s="6" t="inlineStr">
        <is>
          <t>-</t>
        </is>
      </c>
      <c r="G5326" s="7" t="n">
        <v>145.8318786621094</v>
      </c>
      <c r="H5326" s="6">
        <f>P5295</f>
        <v/>
      </c>
      <c r="I5326" s="9">
        <f>Q5295</f>
        <v/>
      </c>
      <c r="J5326" s="7">
        <f>I5326*G5326</f>
        <v/>
      </c>
      <c r="K5326" s="8">
        <f>IF($J$5333=0,0,J5326/$J$5333)</f>
        <v/>
      </c>
      <c r="L5326" s="6" t="inlineStr">
        <is>
          <t>REJECTED</t>
        </is>
      </c>
      <c r="M5326" s="8" t="n">
        <v>0</v>
      </c>
      <c r="N5326" s="7">
        <f>M5326*$J$5333-J5326</f>
        <v/>
      </c>
      <c r="O5326" s="9">
        <f>IF(G5326=0,0,N5326/G5326)</f>
        <v/>
      </c>
      <c r="P5326" s="6">
        <f>IF(M5326&gt;0,D5326,"")</f>
        <v/>
      </c>
      <c r="Q5326" s="9">
        <f>I5326+O5326</f>
        <v/>
      </c>
      <c r="R5326" s="7">
        <f>Q5326*G5326</f>
        <v/>
      </c>
      <c r="S5326" s="8">
        <f>IF($R$5333=0,0,R5326/$R$5333)</f>
        <v/>
      </c>
      <c r="T5326" s="8" t="n">
        <v>0.006384302748752013</v>
      </c>
      <c r="U5326" s="8" t="n">
        <v>0.03167385676315382</v>
      </c>
      <c r="V5326" s="6" t="inlineStr">
        <is>
          <t>not selected</t>
        </is>
      </c>
    </row>
    <row r="5327">
      <c r="A5327" s="6" t="inlineStr">
        <is>
          <t>DJ30</t>
        </is>
      </c>
      <c r="B5327" s="6" t="inlineStr">
        <is>
          <t>2026-04-17</t>
        </is>
      </c>
      <c r="C5327" s="6" t="inlineStr">
        <is>
          <t>DIA</t>
        </is>
      </c>
      <c r="D5327" s="6" t="inlineStr">
        <is>
          <t>SHW</t>
        </is>
      </c>
      <c r="E5327" s="6" t="inlineStr">
        <is>
          <t>SHW</t>
        </is>
      </c>
      <c r="F5327" s="6" t="inlineStr">
        <is>
          <t>-</t>
        </is>
      </c>
      <c r="G5327" s="7" t="n">
        <v>344.6563415527344</v>
      </c>
      <c r="H5327" s="6">
        <f>P5296</f>
        <v/>
      </c>
      <c r="I5327" s="9">
        <f>Q5296</f>
        <v/>
      </c>
      <c r="J5327" s="7">
        <f>I5327*G5327</f>
        <v/>
      </c>
      <c r="K5327" s="8">
        <f>IF($J$5333=0,0,J5327/$J$5333)</f>
        <v/>
      </c>
      <c r="L5327" s="6" t="inlineStr">
        <is>
          <t>REJECTED</t>
        </is>
      </c>
      <c r="M5327" s="8" t="n">
        <v>0</v>
      </c>
      <c r="N5327" s="7">
        <f>M5327*$J$5333-J5327</f>
        <v/>
      </c>
      <c r="O5327" s="9">
        <f>IF(G5327=0,0,N5327/G5327)</f>
        <v/>
      </c>
      <c r="P5327" s="6">
        <f>IF(M5327&gt;0,D5327,"")</f>
        <v/>
      </c>
      <c r="Q5327" s="9">
        <f>I5327+O5327</f>
        <v/>
      </c>
      <c r="R5327" s="7">
        <f>Q5327*G5327</f>
        <v/>
      </c>
      <c r="S5327" s="8">
        <f>IF($R$5333=0,0,R5327/$R$5333)</f>
        <v/>
      </c>
      <c r="T5327" s="8" t="n">
        <v>0.006384302748752013</v>
      </c>
      <c r="U5327" s="8" t="n">
        <v>0.03167385676315382</v>
      </c>
      <c r="V5327" s="6" t="inlineStr">
        <is>
          <t>not selected</t>
        </is>
      </c>
    </row>
    <row r="5328">
      <c r="A5328" s="6" t="inlineStr">
        <is>
          <t>DJ30</t>
        </is>
      </c>
      <c r="B5328" s="6" t="inlineStr">
        <is>
          <t>2026-04-17</t>
        </is>
      </c>
      <c r="C5328" s="6" t="inlineStr">
        <is>
          <t>DIA</t>
        </is>
      </c>
      <c r="D5328" s="6" t="inlineStr">
        <is>
          <t>TRV</t>
        </is>
      </c>
      <c r="E5328" s="6" t="inlineStr">
        <is>
          <t>TRV</t>
        </is>
      </c>
      <c r="F5328" s="6" t="inlineStr">
        <is>
          <t>-</t>
        </is>
      </c>
      <c r="G5328" s="7" t="n">
        <v>299.5576782226562</v>
      </c>
      <c r="H5328" s="6">
        <f>P5297</f>
        <v/>
      </c>
      <c r="I5328" s="9">
        <f>Q5297</f>
        <v/>
      </c>
      <c r="J5328" s="7">
        <f>I5328*G5328</f>
        <v/>
      </c>
      <c r="K5328" s="8">
        <f>IF($J$5333=0,0,J5328/$J$5333)</f>
        <v/>
      </c>
      <c r="L5328" s="6" t="inlineStr">
        <is>
          <t>WATCHLIST</t>
        </is>
      </c>
      <c r="M5328" s="8" t="n">
        <v>0</v>
      </c>
      <c r="N5328" s="7">
        <f>M5328*$J$5333-J5328</f>
        <v/>
      </c>
      <c r="O5328" s="9">
        <f>IF(G5328=0,0,N5328/G5328)</f>
        <v/>
      </c>
      <c r="P5328" s="6">
        <f>IF(M5328&gt;0,D5328,"")</f>
        <v/>
      </c>
      <c r="Q5328" s="9">
        <f>I5328+O5328</f>
        <v/>
      </c>
      <c r="R5328" s="7">
        <f>Q5328*G5328</f>
        <v/>
      </c>
      <c r="S5328" s="8">
        <f>IF($R$5333=0,0,R5328/$R$5333)</f>
        <v/>
      </c>
      <c r="T5328" s="8" t="n">
        <v>0.006384302748752013</v>
      </c>
      <c r="U5328" s="8" t="n">
        <v>0.03167385676315382</v>
      </c>
      <c r="V5328" s="6" t="inlineStr">
        <is>
          <t>not selected</t>
        </is>
      </c>
    </row>
    <row r="5329">
      <c r="A5329" s="6" t="inlineStr">
        <is>
          <t>DJ30</t>
        </is>
      </c>
      <c r="B5329" s="6" t="inlineStr">
        <is>
          <t>2026-04-17</t>
        </is>
      </c>
      <c r="C5329" s="6" t="inlineStr">
        <is>
          <t>DIA</t>
        </is>
      </c>
      <c r="D5329" s="6" t="inlineStr">
        <is>
          <t>UNH</t>
        </is>
      </c>
      <c r="E5329" s="6" t="inlineStr">
        <is>
          <t>UNH</t>
        </is>
      </c>
      <c r="F5329" s="6" t="inlineStr">
        <is>
          <t>-</t>
        </is>
      </c>
      <c r="G5329" s="7" t="n">
        <v>322.7864379882812</v>
      </c>
      <c r="H5329" s="6">
        <f>P5298</f>
        <v/>
      </c>
      <c r="I5329" s="9">
        <f>Q5298</f>
        <v/>
      </c>
      <c r="J5329" s="7">
        <f>I5329*G5329</f>
        <v/>
      </c>
      <c r="K5329" s="8">
        <f>IF($J$5333=0,0,J5329/$J$5333)</f>
        <v/>
      </c>
      <c r="L5329" s="6" t="inlineStr">
        <is>
          <t>REJECTED</t>
        </is>
      </c>
      <c r="M5329" s="8" t="n">
        <v>0</v>
      </c>
      <c r="N5329" s="7">
        <f>M5329*$J$5333-J5329</f>
        <v/>
      </c>
      <c r="O5329" s="9">
        <f>IF(G5329=0,0,N5329/G5329)</f>
        <v/>
      </c>
      <c r="P5329" s="6">
        <f>IF(M5329&gt;0,D5329,"")</f>
        <v/>
      </c>
      <c r="Q5329" s="9">
        <f>I5329+O5329</f>
        <v/>
      </c>
      <c r="R5329" s="7">
        <f>Q5329*G5329</f>
        <v/>
      </c>
      <c r="S5329" s="8">
        <f>IF($R$5333=0,0,R5329/$R$5333)</f>
        <v/>
      </c>
      <c r="T5329" s="8" t="n">
        <v>0.006384302748752013</v>
      </c>
      <c r="U5329" s="8" t="n">
        <v>0.03167385676315382</v>
      </c>
      <c r="V5329" s="6" t="inlineStr">
        <is>
          <t>not selected</t>
        </is>
      </c>
    </row>
    <row r="5330">
      <c r="A5330" s="6" t="inlineStr">
        <is>
          <t>DJ30</t>
        </is>
      </c>
      <c r="B5330" s="6" t="inlineStr">
        <is>
          <t>2026-04-17</t>
        </is>
      </c>
      <c r="C5330" s="6" t="inlineStr">
        <is>
          <t>DIA</t>
        </is>
      </c>
      <c r="D5330" s="6" t="inlineStr">
        <is>
          <t>V</t>
        </is>
      </c>
      <c r="E5330" s="6" t="inlineStr">
        <is>
          <t>V</t>
        </is>
      </c>
      <c r="F5330" s="6" t="inlineStr">
        <is>
          <t>-</t>
        </is>
      </c>
      <c r="G5330" s="7" t="n">
        <v>316.3641357421875</v>
      </c>
      <c r="H5330" s="6">
        <f>P5299</f>
        <v/>
      </c>
      <c r="I5330" s="9">
        <f>Q5299</f>
        <v/>
      </c>
      <c r="J5330" s="7">
        <f>I5330*G5330</f>
        <v/>
      </c>
      <c r="K5330" s="8">
        <f>IF($J$5333=0,0,J5330/$J$5333)</f>
        <v/>
      </c>
      <c r="L5330" s="6" t="inlineStr">
        <is>
          <t>REJECTED</t>
        </is>
      </c>
      <c r="M5330" s="8" t="n">
        <v>0</v>
      </c>
      <c r="N5330" s="7">
        <f>M5330*$J$5333-J5330</f>
        <v/>
      </c>
      <c r="O5330" s="9">
        <f>IF(G5330=0,0,N5330/G5330)</f>
        <v/>
      </c>
      <c r="P5330" s="6">
        <f>IF(M5330&gt;0,D5330,"")</f>
        <v/>
      </c>
      <c r="Q5330" s="9">
        <f>I5330+O5330</f>
        <v/>
      </c>
      <c r="R5330" s="7">
        <f>Q5330*G5330</f>
        <v/>
      </c>
      <c r="S5330" s="8">
        <f>IF($R$5333=0,0,R5330/$R$5333)</f>
        <v/>
      </c>
      <c r="T5330" s="8" t="n">
        <v>0.006384302748752013</v>
      </c>
      <c r="U5330" s="8" t="n">
        <v>0.03167385676315382</v>
      </c>
      <c r="V5330" s="6" t="inlineStr">
        <is>
          <t>not selected</t>
        </is>
      </c>
    </row>
    <row r="5331">
      <c r="A5331" s="6" t="inlineStr">
        <is>
          <t>DJ30</t>
        </is>
      </c>
      <c r="B5331" s="6" t="inlineStr">
        <is>
          <t>2026-04-17</t>
        </is>
      </c>
      <c r="C5331" s="6" t="inlineStr">
        <is>
          <t>DIA</t>
        </is>
      </c>
      <c r="D5331" s="6" t="inlineStr">
        <is>
          <t>VZ</t>
        </is>
      </c>
      <c r="E5331" s="6" t="inlineStr">
        <is>
          <t>VZ</t>
        </is>
      </c>
      <c r="F5331" s="6" t="inlineStr">
        <is>
          <t>-</t>
        </is>
      </c>
      <c r="G5331" s="7" t="n">
        <v>46.54999923706055</v>
      </c>
      <c r="H5331" s="6">
        <f>P5300</f>
        <v/>
      </c>
      <c r="I5331" s="9">
        <f>Q5300</f>
        <v/>
      </c>
      <c r="J5331" s="7">
        <f>I5331*G5331</f>
        <v/>
      </c>
      <c r="K5331" s="8">
        <f>IF($J$5333=0,0,J5331/$J$5333)</f>
        <v/>
      </c>
      <c r="L5331" s="6" t="inlineStr">
        <is>
          <t>WATCHLIST</t>
        </is>
      </c>
      <c r="M5331" s="8" t="n">
        <v>0</v>
      </c>
      <c r="N5331" s="7">
        <f>M5331*$J$5333-J5331</f>
        <v/>
      </c>
      <c r="O5331" s="9">
        <f>IF(G5331=0,0,N5331/G5331)</f>
        <v/>
      </c>
      <c r="P5331" s="6">
        <f>IF(M5331&gt;0,D5331,"")</f>
        <v/>
      </c>
      <c r="Q5331" s="9">
        <f>I5331+O5331</f>
        <v/>
      </c>
      <c r="R5331" s="7">
        <f>Q5331*G5331</f>
        <v/>
      </c>
      <c r="S5331" s="8">
        <f>IF($R$5333=0,0,R5331/$R$5333)</f>
        <v/>
      </c>
      <c r="T5331" s="8" t="n">
        <v>0.006384302748752013</v>
      </c>
      <c r="U5331" s="8" t="n">
        <v>0.03167385676315382</v>
      </c>
      <c r="V5331" s="6" t="inlineStr">
        <is>
          <t>not selected</t>
        </is>
      </c>
    </row>
    <row r="5332">
      <c r="A5332" s="6" t="inlineStr">
        <is>
          <t>DJ30</t>
        </is>
      </c>
      <c r="B5332" s="6" t="inlineStr">
        <is>
          <t>2026-04-17</t>
        </is>
      </c>
      <c r="C5332" s="6" t="inlineStr">
        <is>
          <t>DIA</t>
        </is>
      </c>
      <c r="D5332" s="6" t="inlineStr">
        <is>
          <t>WMT</t>
        </is>
      </c>
      <c r="E5332" s="6" t="inlineStr">
        <is>
          <t>WMT</t>
        </is>
      </c>
      <c r="F5332" s="6" t="inlineStr">
        <is>
          <t>-</t>
        </is>
      </c>
      <c r="G5332" s="7" t="n">
        <v>127.2571411132812</v>
      </c>
      <c r="H5332" s="6">
        <f>P5301</f>
        <v/>
      </c>
      <c r="I5332" s="9">
        <f>Q5301</f>
        <v/>
      </c>
      <c r="J5332" s="7">
        <f>I5332*G5332</f>
        <v/>
      </c>
      <c r="K5332" s="8">
        <f>IF($J$5333=0,0,J5332/$J$5333)</f>
        <v/>
      </c>
      <c r="L5332" s="6" t="inlineStr">
        <is>
          <t>WATCHLIST</t>
        </is>
      </c>
      <c r="M5332" s="8" t="n">
        <v>0</v>
      </c>
      <c r="N5332" s="7">
        <f>M5332*$J$5333-J5332</f>
        <v/>
      </c>
      <c r="O5332" s="9">
        <f>IF(G5332=0,0,N5332/G5332)</f>
        <v/>
      </c>
      <c r="P5332" s="6">
        <f>IF(M5332&gt;0,D5332,"")</f>
        <v/>
      </c>
      <c r="Q5332" s="9">
        <f>I5332+O5332</f>
        <v/>
      </c>
      <c r="R5332" s="7">
        <f>Q5332*G5332</f>
        <v/>
      </c>
      <c r="S5332" s="8">
        <f>IF($R$5333=0,0,R5332/$R$5333)</f>
        <v/>
      </c>
      <c r="T5332" s="8" t="n">
        <v>0.006384302748752013</v>
      </c>
      <c r="U5332" s="8" t="n">
        <v>0.03167385676315382</v>
      </c>
      <c r="V5332" s="6" t="inlineStr">
        <is>
          <t>not selected</t>
        </is>
      </c>
    </row>
    <row r="5333">
      <c r="A5333" s="10" t="inlineStr">
        <is>
          <t>DJ30</t>
        </is>
      </c>
      <c r="B5333" s="10" t="inlineStr">
        <is>
          <t>2026-04-17</t>
        </is>
      </c>
      <c r="C5333" s="10" t="inlineStr">
        <is>
          <t>DIA</t>
        </is>
      </c>
      <c r="D5333" s="10" t="inlineStr">
        <is>
          <t>Tot Portfolio</t>
        </is>
      </c>
      <c r="E5333" s="10" t="inlineStr"/>
      <c r="F5333" s="10" t="inlineStr"/>
      <c r="G5333" s="11" t="inlineStr"/>
      <c r="H5333" s="10" t="inlineStr"/>
      <c r="I5333" s="12" t="inlineStr"/>
      <c r="J5333" s="11">
        <f>SUM(J5303:J5332)</f>
        <v/>
      </c>
      <c r="K5333" s="13">
        <f>SUM(K5303:K5332)</f>
        <v/>
      </c>
      <c r="L5333" s="10" t="inlineStr">
        <is>
          <t>TOTAL</t>
        </is>
      </c>
      <c r="M5333" s="13">
        <f>SUM(M5303:M5332)</f>
        <v/>
      </c>
      <c r="N5333" s="11">
        <f>SUM(N5303:N5332)</f>
        <v/>
      </c>
      <c r="O5333" s="12">
        <f>SUM(O5303:O5332)</f>
        <v/>
      </c>
      <c r="P5333" s="10" t="inlineStr"/>
      <c r="Q5333" s="12" t="inlineStr"/>
      <c r="R5333" s="11">
        <f>SUM(R5303:R5332)</f>
        <v/>
      </c>
      <c r="S5333" s="13">
        <f>SUM(S5303:S5332)</f>
        <v/>
      </c>
      <c r="T5333" s="13" t="n">
        <v>0.006384302748752013</v>
      </c>
      <c r="U5333" s="13" t="n">
        <v>0.03167385676315382</v>
      </c>
      <c r="V5333" s="10" t="inlineStr"/>
    </row>
    <row r="5334">
      <c r="A5334" s="6" t="inlineStr">
        <is>
          <t>DJ30</t>
        </is>
      </c>
      <c r="B5334" s="6" t="inlineStr">
        <is>
          <t>2026-04-24</t>
        </is>
      </c>
      <c r="C5334" s="6" t="inlineStr">
        <is>
          <t>DIA</t>
        </is>
      </c>
      <c r="D5334" s="6" t="inlineStr">
        <is>
          <t>AAPL</t>
        </is>
      </c>
      <c r="E5334" s="6" t="inlineStr">
        <is>
          <t>AAPL</t>
        </is>
      </c>
      <c r="F5334" s="6" t="inlineStr">
        <is>
          <t>-</t>
        </is>
      </c>
      <c r="G5334" s="7" t="n">
        <v>270.8104858398437</v>
      </c>
      <c r="H5334" s="6">
        <f>P5303</f>
        <v/>
      </c>
      <c r="I5334" s="9">
        <f>Q5303</f>
        <v/>
      </c>
      <c r="J5334" s="7">
        <f>I5334*G5334</f>
        <v/>
      </c>
      <c r="K5334" s="8">
        <f>IF($J$5364=0,0,J5334/$J$5364)</f>
        <v/>
      </c>
      <c r="L5334" s="6" t="inlineStr">
        <is>
          <t>WATCHLIST</t>
        </is>
      </c>
      <c r="M5334" s="8" t="n">
        <v>0</v>
      </c>
      <c r="N5334" s="7">
        <f>M5334*$J$5364-J5334</f>
        <v/>
      </c>
      <c r="O5334" s="9">
        <f>IF(G5334=0,0,N5334/G5334)</f>
        <v/>
      </c>
      <c r="P5334" s="6">
        <f>IF(M5334&gt;0,D5334,"")</f>
        <v/>
      </c>
      <c r="Q5334" s="9">
        <f>I5334+O5334</f>
        <v/>
      </c>
      <c r="R5334" s="7">
        <f>Q5334*G5334</f>
        <v/>
      </c>
      <c r="S5334" s="8">
        <f>IF($R$5364=0,0,R5334/$R$5364)</f>
        <v/>
      </c>
      <c r="T5334" s="8" t="n">
        <v>0.01172239582429913</v>
      </c>
      <c r="U5334" s="8" t="n">
        <v>-0.004066937729766851</v>
      </c>
      <c r="V5334" s="6" t="inlineStr">
        <is>
          <t>not selected</t>
        </is>
      </c>
    </row>
    <row r="5335">
      <c r="A5335" s="6" t="inlineStr">
        <is>
          <t>DJ30</t>
        </is>
      </c>
      <c r="B5335" s="6" t="inlineStr">
        <is>
          <t>2026-04-24</t>
        </is>
      </c>
      <c r="C5335" s="6" t="inlineStr">
        <is>
          <t>DIA</t>
        </is>
      </c>
      <c r="D5335" s="6" t="inlineStr">
        <is>
          <t>AMGN</t>
        </is>
      </c>
      <c r="E5335" s="6" t="inlineStr">
        <is>
          <t>AMGN</t>
        </is>
      </c>
      <c r="F5335" s="6" t="inlineStr">
        <is>
          <t>-</t>
        </is>
      </c>
      <c r="G5335" s="7" t="n">
        <v>341.9676208496094</v>
      </c>
      <c r="H5335" s="6">
        <f>P5304</f>
        <v/>
      </c>
      <c r="I5335" s="9">
        <f>Q5304</f>
        <v/>
      </c>
      <c r="J5335" s="7">
        <f>I5335*G5335</f>
        <v/>
      </c>
      <c r="K5335" s="8">
        <f>IF($J$5364=0,0,J5335/$J$5364)</f>
        <v/>
      </c>
      <c r="L5335" s="6" t="inlineStr">
        <is>
          <t>WATCHLIST</t>
        </is>
      </c>
      <c r="M5335" s="8" t="n">
        <v>0</v>
      </c>
      <c r="N5335" s="7">
        <f>M5335*$J$5364-J5335</f>
        <v/>
      </c>
      <c r="O5335" s="9">
        <f>IF(G5335=0,0,N5335/G5335)</f>
        <v/>
      </c>
      <c r="P5335" s="6">
        <f>IF(M5335&gt;0,D5335,"")</f>
        <v/>
      </c>
      <c r="Q5335" s="9">
        <f>I5335+O5335</f>
        <v/>
      </c>
      <c r="R5335" s="7">
        <f>Q5335*G5335</f>
        <v/>
      </c>
      <c r="S5335" s="8">
        <f>IF($R$5364=0,0,R5335/$R$5364)</f>
        <v/>
      </c>
      <c r="T5335" s="8" t="n">
        <v>0.01172239582429913</v>
      </c>
      <c r="U5335" s="8" t="n">
        <v>-0.004066937729766851</v>
      </c>
      <c r="V5335" s="6" t="inlineStr">
        <is>
          <t>not selected</t>
        </is>
      </c>
    </row>
    <row r="5336">
      <c r="A5336" s="6" t="inlineStr">
        <is>
          <t>DJ30</t>
        </is>
      </c>
      <c r="B5336" s="6" t="inlineStr">
        <is>
          <t>2026-04-24</t>
        </is>
      </c>
      <c r="C5336" s="6" t="inlineStr">
        <is>
          <t>DIA</t>
        </is>
      </c>
      <c r="D5336" s="6" t="inlineStr">
        <is>
          <t>AMZN</t>
        </is>
      </c>
      <c r="E5336" s="6" t="inlineStr">
        <is>
          <t>AMZN</t>
        </is>
      </c>
      <c r="F5336" s="6" t="inlineStr">
        <is>
          <t>-</t>
        </is>
      </c>
      <c r="G5336" s="7" t="n">
        <v>263.989990234375</v>
      </c>
      <c r="H5336" s="6">
        <f>P5305</f>
        <v/>
      </c>
      <c r="I5336" s="9">
        <f>Q5305</f>
        <v/>
      </c>
      <c r="J5336" s="7">
        <f>I5336*G5336</f>
        <v/>
      </c>
      <c r="K5336" s="8">
        <f>IF($J$5364=0,0,J5336/$J$5364)</f>
        <v/>
      </c>
      <c r="L5336" s="6" t="inlineStr">
        <is>
          <t>REJECTED</t>
        </is>
      </c>
      <c r="M5336" s="8" t="n">
        <v>0</v>
      </c>
      <c r="N5336" s="7">
        <f>M5336*$J$5364-J5336</f>
        <v/>
      </c>
      <c r="O5336" s="9">
        <f>IF(G5336=0,0,N5336/G5336)</f>
        <v/>
      </c>
      <c r="P5336" s="6">
        <f>IF(M5336&gt;0,D5336,"")</f>
        <v/>
      </c>
      <c r="Q5336" s="9">
        <f>I5336+O5336</f>
        <v/>
      </c>
      <c r="R5336" s="7">
        <f>Q5336*G5336</f>
        <v/>
      </c>
      <c r="S5336" s="8">
        <f>IF($R$5364=0,0,R5336/$R$5364)</f>
        <v/>
      </c>
      <c r="T5336" s="8" t="n">
        <v>0.01172239582429913</v>
      </c>
      <c r="U5336" s="8" t="n">
        <v>-0.004066937729766851</v>
      </c>
      <c r="V5336" s="6" t="inlineStr">
        <is>
          <t>not selected</t>
        </is>
      </c>
    </row>
    <row r="5337">
      <c r="A5337" s="6" t="inlineStr">
        <is>
          <t>DJ30</t>
        </is>
      </c>
      <c r="B5337" s="6" t="inlineStr">
        <is>
          <t>2026-04-24</t>
        </is>
      </c>
      <c r="C5337" s="6" t="inlineStr">
        <is>
          <t>DIA</t>
        </is>
      </c>
      <c r="D5337" s="6" t="inlineStr">
        <is>
          <t>AXP</t>
        </is>
      </c>
      <c r="E5337" s="6" t="inlineStr">
        <is>
          <t>AXP</t>
        </is>
      </c>
      <c r="F5337" s="6" t="inlineStr">
        <is>
          <t>-</t>
        </is>
      </c>
      <c r="G5337" s="7" t="n">
        <v>314.0799865722656</v>
      </c>
      <c r="H5337" s="6">
        <f>P5306</f>
        <v/>
      </c>
      <c r="I5337" s="9">
        <f>Q5306</f>
        <v/>
      </c>
      <c r="J5337" s="7">
        <f>I5337*G5337</f>
        <v/>
      </c>
      <c r="K5337" s="8">
        <f>IF($J$5364=0,0,J5337/$J$5364)</f>
        <v/>
      </c>
      <c r="L5337" s="6" t="inlineStr">
        <is>
          <t>REJECTED</t>
        </is>
      </c>
      <c r="M5337" s="8" t="n">
        <v>0</v>
      </c>
      <c r="N5337" s="7">
        <f>M5337*$J$5364-J5337</f>
        <v/>
      </c>
      <c r="O5337" s="9">
        <f>IF(G5337=0,0,N5337/G5337)</f>
        <v/>
      </c>
      <c r="P5337" s="6">
        <f>IF(M5337&gt;0,D5337,"")</f>
        <v/>
      </c>
      <c r="Q5337" s="9">
        <f>I5337+O5337</f>
        <v/>
      </c>
      <c r="R5337" s="7">
        <f>Q5337*G5337</f>
        <v/>
      </c>
      <c r="S5337" s="8">
        <f>IF($R$5364=0,0,R5337/$R$5364)</f>
        <v/>
      </c>
      <c r="T5337" s="8" t="n">
        <v>0.01172239582429913</v>
      </c>
      <c r="U5337" s="8" t="n">
        <v>-0.004066937729766851</v>
      </c>
      <c r="V5337" s="6" t="inlineStr">
        <is>
          <t>not selected</t>
        </is>
      </c>
    </row>
    <row r="5338">
      <c r="A5338" s="6" t="inlineStr">
        <is>
          <t>DJ30</t>
        </is>
      </c>
      <c r="B5338" s="6" t="inlineStr">
        <is>
          <t>2026-04-24</t>
        </is>
      </c>
      <c r="C5338" s="6" t="inlineStr">
        <is>
          <t>DIA</t>
        </is>
      </c>
      <c r="D5338" s="6" t="inlineStr">
        <is>
          <t>BA</t>
        </is>
      </c>
      <c r="E5338" s="6" t="inlineStr">
        <is>
          <t>BA</t>
        </is>
      </c>
      <c r="F5338" s="6" t="inlineStr">
        <is>
          <t>-</t>
        </is>
      </c>
      <c r="G5338" s="7" t="n">
        <v>232.4400024414062</v>
      </c>
      <c r="H5338" s="6">
        <f>P5307</f>
        <v/>
      </c>
      <c r="I5338" s="9">
        <f>Q5307</f>
        <v/>
      </c>
      <c r="J5338" s="7">
        <f>I5338*G5338</f>
        <v/>
      </c>
      <c r="K5338" s="8">
        <f>IF($J$5364=0,0,J5338/$J$5364)</f>
        <v/>
      </c>
      <c r="L5338" s="6" t="inlineStr">
        <is>
          <t>REJECTED</t>
        </is>
      </c>
      <c r="M5338" s="8" t="n">
        <v>0</v>
      </c>
      <c r="N5338" s="7">
        <f>M5338*$J$5364-J5338</f>
        <v/>
      </c>
      <c r="O5338" s="9">
        <f>IF(G5338=0,0,N5338/G5338)</f>
        <v/>
      </c>
      <c r="P5338" s="6">
        <f>IF(M5338&gt;0,D5338,"")</f>
        <v/>
      </c>
      <c r="Q5338" s="9">
        <f>I5338+O5338</f>
        <v/>
      </c>
      <c r="R5338" s="7">
        <f>Q5338*G5338</f>
        <v/>
      </c>
      <c r="S5338" s="8">
        <f>IF($R$5364=0,0,R5338/$R$5364)</f>
        <v/>
      </c>
      <c r="T5338" s="8" t="n">
        <v>0.01172239582429913</v>
      </c>
      <c r="U5338" s="8" t="n">
        <v>-0.004066937729766851</v>
      </c>
      <c r="V5338" s="6" t="inlineStr">
        <is>
          <t>not selected</t>
        </is>
      </c>
    </row>
    <row r="5339">
      <c r="A5339" s="6" t="inlineStr">
        <is>
          <t>DJ30</t>
        </is>
      </c>
      <c r="B5339" s="6" t="inlineStr">
        <is>
          <t>2026-04-24</t>
        </is>
      </c>
      <c r="C5339" s="6" t="inlineStr">
        <is>
          <t>DIA</t>
        </is>
      </c>
      <c r="D5339" s="6" t="inlineStr">
        <is>
          <t>CAT</t>
        </is>
      </c>
      <c r="E5339" s="6" t="inlineStr">
        <is>
          <t>CAT</t>
        </is>
      </c>
      <c r="F5339" s="6" t="inlineStr">
        <is>
          <t>-</t>
        </is>
      </c>
      <c r="G5339" s="7" t="n">
        <v>830.7899780273438</v>
      </c>
      <c r="H5339" s="6">
        <f>P5308</f>
        <v/>
      </c>
      <c r="I5339" s="9">
        <f>Q5308</f>
        <v/>
      </c>
      <c r="J5339" s="7">
        <f>I5339*G5339</f>
        <v/>
      </c>
      <c r="K5339" s="8">
        <f>IF($J$5364=0,0,J5339/$J$5364)</f>
        <v/>
      </c>
      <c r="L5339" s="6" t="inlineStr">
        <is>
          <t>SELECTED</t>
        </is>
      </c>
      <c r="M5339" s="8" t="n">
        <v>0.2</v>
      </c>
      <c r="N5339" s="7">
        <f>M5339*$J$5364-J5339</f>
        <v/>
      </c>
      <c r="O5339" s="9">
        <f>IF(G5339=0,0,N5339/G5339)</f>
        <v/>
      </c>
      <c r="P5339" s="6">
        <f>IF(M5339&gt;0,D5339,"")</f>
        <v/>
      </c>
      <c r="Q5339" s="9">
        <f>I5339+O5339</f>
        <v/>
      </c>
      <c r="R5339" s="7">
        <f>Q5339*G5339</f>
        <v/>
      </c>
      <c r="S5339" s="8">
        <f>IF($R$5364=0,0,R5339/$R$5364)</f>
        <v/>
      </c>
      <c r="T5339" s="8" t="n">
        <v>0.01172239582429913</v>
      </c>
      <c r="U5339" s="8" t="n">
        <v>-0.004066937729766851</v>
      </c>
      <c r="V5339" s="6" t="inlineStr">
        <is>
          <t>remained in weekly selection</t>
        </is>
      </c>
    </row>
    <row r="5340">
      <c r="A5340" s="6" t="inlineStr">
        <is>
          <t>DJ30</t>
        </is>
      </c>
      <c r="B5340" s="6" t="inlineStr">
        <is>
          <t>2026-04-24</t>
        </is>
      </c>
      <c r="C5340" s="6" t="inlineStr">
        <is>
          <t>DIA</t>
        </is>
      </c>
      <c r="D5340" s="6" t="inlineStr">
        <is>
          <t>CRM</t>
        </is>
      </c>
      <c r="E5340" s="6" t="inlineStr">
        <is>
          <t>CRM</t>
        </is>
      </c>
      <c r="F5340" s="6" t="inlineStr">
        <is>
          <t>-</t>
        </is>
      </c>
      <c r="G5340" s="7" t="n">
        <v>177.7013549804688</v>
      </c>
      <c r="H5340" s="6">
        <f>P5309</f>
        <v/>
      </c>
      <c r="I5340" s="9">
        <f>Q5309</f>
        <v/>
      </c>
      <c r="J5340" s="7">
        <f>I5340*G5340</f>
        <v/>
      </c>
      <c r="K5340" s="8">
        <f>IF($J$5364=0,0,J5340/$J$5364)</f>
        <v/>
      </c>
      <c r="L5340" s="6" t="inlineStr">
        <is>
          <t>REJECTED</t>
        </is>
      </c>
      <c r="M5340" s="8" t="n">
        <v>0</v>
      </c>
      <c r="N5340" s="7">
        <f>M5340*$J$5364-J5340</f>
        <v/>
      </c>
      <c r="O5340" s="9">
        <f>IF(G5340=0,0,N5340/G5340)</f>
        <v/>
      </c>
      <c r="P5340" s="6">
        <f>IF(M5340&gt;0,D5340,"")</f>
        <v/>
      </c>
      <c r="Q5340" s="9">
        <f>I5340+O5340</f>
        <v/>
      </c>
      <c r="R5340" s="7">
        <f>Q5340*G5340</f>
        <v/>
      </c>
      <c r="S5340" s="8">
        <f>IF($R$5364=0,0,R5340/$R$5364)</f>
        <v/>
      </c>
      <c r="T5340" s="8" t="n">
        <v>0.01172239582429913</v>
      </c>
      <c r="U5340" s="8" t="n">
        <v>-0.004066937729766851</v>
      </c>
      <c r="V5340" s="6" t="inlineStr">
        <is>
          <t>not selected</t>
        </is>
      </c>
    </row>
    <row r="5341">
      <c r="A5341" s="6" t="inlineStr">
        <is>
          <t>DJ30</t>
        </is>
      </c>
      <c r="B5341" s="6" t="inlineStr">
        <is>
          <t>2026-04-24</t>
        </is>
      </c>
      <c r="C5341" s="6" t="inlineStr">
        <is>
          <t>DIA</t>
        </is>
      </c>
      <c r="D5341" s="6" t="inlineStr">
        <is>
          <t>CSCO</t>
        </is>
      </c>
      <c r="E5341" s="6" t="inlineStr">
        <is>
          <t>CSCO</t>
        </is>
      </c>
      <c r="F5341" s="6" t="inlineStr">
        <is>
          <t>-</t>
        </is>
      </c>
      <c r="G5341" s="7" t="n">
        <v>89.01000213623047</v>
      </c>
      <c r="H5341" s="6">
        <f>P5310</f>
        <v/>
      </c>
      <c r="I5341" s="9">
        <f>Q5310</f>
        <v/>
      </c>
      <c r="J5341" s="7">
        <f>I5341*G5341</f>
        <v/>
      </c>
      <c r="K5341" s="8">
        <f>IF($J$5364=0,0,J5341/$J$5364)</f>
        <v/>
      </c>
      <c r="L5341" s="6" t="inlineStr">
        <is>
          <t>SELECTED</t>
        </is>
      </c>
      <c r="M5341" s="8" t="n">
        <v>0.2</v>
      </c>
      <c r="N5341" s="7">
        <f>M5341*$J$5364-J5341</f>
        <v/>
      </c>
      <c r="O5341" s="9">
        <f>IF(G5341=0,0,N5341/G5341)</f>
        <v/>
      </c>
      <c r="P5341" s="6">
        <f>IF(M5341&gt;0,D5341,"")</f>
        <v/>
      </c>
      <c r="Q5341" s="9">
        <f>I5341+O5341</f>
        <v/>
      </c>
      <c r="R5341" s="7">
        <f>Q5341*G5341</f>
        <v/>
      </c>
      <c r="S5341" s="8">
        <f>IF($R$5364=0,0,R5341/$R$5364)</f>
        <v/>
      </c>
      <c r="T5341" s="8" t="n">
        <v>0.01172239582429913</v>
      </c>
      <c r="U5341" s="8" t="n">
        <v>-0.004066937729766851</v>
      </c>
      <c r="V5341" s="6" t="inlineStr">
        <is>
          <t>remained in weekly selection</t>
        </is>
      </c>
    </row>
    <row r="5342">
      <c r="A5342" s="6" t="inlineStr">
        <is>
          <t>DJ30</t>
        </is>
      </c>
      <c r="B5342" s="6" t="inlineStr">
        <is>
          <t>2026-04-24</t>
        </is>
      </c>
      <c r="C5342" s="6" t="inlineStr">
        <is>
          <t>DIA</t>
        </is>
      </c>
      <c r="D5342" s="6" t="inlineStr">
        <is>
          <t>CVX</t>
        </is>
      </c>
      <c r="E5342" s="6" t="inlineStr">
        <is>
          <t>CVX</t>
        </is>
      </c>
      <c r="F5342" s="6" t="inlineStr">
        <is>
          <t>-</t>
        </is>
      </c>
      <c r="G5342" s="7" t="n">
        <v>183.5290222167969</v>
      </c>
      <c r="H5342" s="6">
        <f>P5311</f>
        <v/>
      </c>
      <c r="I5342" s="9">
        <f>Q5311</f>
        <v/>
      </c>
      <c r="J5342" s="7">
        <f>I5342*G5342</f>
        <v/>
      </c>
      <c r="K5342" s="8">
        <f>IF($J$5364=0,0,J5342/$J$5364)</f>
        <v/>
      </c>
      <c r="L5342" s="6" t="inlineStr">
        <is>
          <t>SELECTED</t>
        </is>
      </c>
      <c r="M5342" s="8" t="n">
        <v>0.2</v>
      </c>
      <c r="N5342" s="7">
        <f>M5342*$J$5364-J5342</f>
        <v/>
      </c>
      <c r="O5342" s="9">
        <f>IF(G5342=0,0,N5342/G5342)</f>
        <v/>
      </c>
      <c r="P5342" s="6">
        <f>IF(M5342&gt;0,D5342,"")</f>
        <v/>
      </c>
      <c r="Q5342" s="9">
        <f>I5342+O5342</f>
        <v/>
      </c>
      <c r="R5342" s="7">
        <f>Q5342*G5342</f>
        <v/>
      </c>
      <c r="S5342" s="8">
        <f>IF($R$5364=0,0,R5342/$R$5364)</f>
        <v/>
      </c>
      <c r="T5342" s="8" t="n">
        <v>0.01172239582429913</v>
      </c>
      <c r="U5342" s="8" t="n">
        <v>-0.004066937729766851</v>
      </c>
      <c r="V5342" s="6" t="inlineStr">
        <is>
          <t>remained in weekly selection</t>
        </is>
      </c>
    </row>
    <row r="5343">
      <c r="A5343" s="6" t="inlineStr">
        <is>
          <t>DJ30</t>
        </is>
      </c>
      <c r="B5343" s="6" t="inlineStr">
        <is>
          <t>2026-04-24</t>
        </is>
      </c>
      <c r="C5343" s="6" t="inlineStr">
        <is>
          <t>DIA</t>
        </is>
      </c>
      <c r="D5343" s="6" t="inlineStr">
        <is>
          <t>DIS</t>
        </is>
      </c>
      <c r="E5343" s="6" t="inlineStr">
        <is>
          <t>DIS</t>
        </is>
      </c>
      <c r="F5343" s="6" t="inlineStr">
        <is>
          <t>-</t>
        </is>
      </c>
      <c r="G5343" s="7" t="n">
        <v>102.5999984741211</v>
      </c>
      <c r="H5343" s="6">
        <f>P5312</f>
        <v/>
      </c>
      <c r="I5343" s="9">
        <f>Q5312</f>
        <v/>
      </c>
      <c r="J5343" s="7">
        <f>I5343*G5343</f>
        <v/>
      </c>
      <c r="K5343" s="8">
        <f>IF($J$5364=0,0,J5343/$J$5364)</f>
        <v/>
      </c>
      <c r="L5343" s="6" t="inlineStr">
        <is>
          <t>REJECTED</t>
        </is>
      </c>
      <c r="M5343" s="8" t="n">
        <v>0</v>
      </c>
      <c r="N5343" s="7">
        <f>M5343*$J$5364-J5343</f>
        <v/>
      </c>
      <c r="O5343" s="9">
        <f>IF(G5343=0,0,N5343/G5343)</f>
        <v/>
      </c>
      <c r="P5343" s="6">
        <f>IF(M5343&gt;0,D5343,"")</f>
        <v/>
      </c>
      <c r="Q5343" s="9">
        <f>I5343+O5343</f>
        <v/>
      </c>
      <c r="R5343" s="7">
        <f>Q5343*G5343</f>
        <v/>
      </c>
      <c r="S5343" s="8">
        <f>IF($R$5364=0,0,R5343/$R$5364)</f>
        <v/>
      </c>
      <c r="T5343" s="8" t="n">
        <v>0.01172239582429913</v>
      </c>
      <c r="U5343" s="8" t="n">
        <v>-0.004066937729766851</v>
      </c>
      <c r="V5343" s="6" t="inlineStr">
        <is>
          <t>not selected</t>
        </is>
      </c>
    </row>
    <row r="5344">
      <c r="A5344" s="6" t="inlineStr">
        <is>
          <t>DJ30</t>
        </is>
      </c>
      <c r="B5344" s="6" t="inlineStr">
        <is>
          <t>2026-04-24</t>
        </is>
      </c>
      <c r="C5344" s="6" t="inlineStr">
        <is>
          <t>DIA</t>
        </is>
      </c>
      <c r="D5344" s="6" t="inlineStr">
        <is>
          <t>GS</t>
        </is>
      </c>
      <c r="E5344" s="6" t="inlineStr">
        <is>
          <t>GS</t>
        </is>
      </c>
      <c r="F5344" s="6" t="inlineStr">
        <is>
          <t>-</t>
        </is>
      </c>
      <c r="G5344" s="7" t="n">
        <v>922.8428344726562</v>
      </c>
      <c r="H5344" s="6">
        <f>P5313</f>
        <v/>
      </c>
      <c r="I5344" s="9">
        <f>Q5313</f>
        <v/>
      </c>
      <c r="J5344" s="7">
        <f>I5344*G5344</f>
        <v/>
      </c>
      <c r="K5344" s="8">
        <f>IF($J$5364=0,0,J5344/$J$5364)</f>
        <v/>
      </c>
      <c r="L5344" s="6" t="inlineStr">
        <is>
          <t>SELECTED</t>
        </is>
      </c>
      <c r="M5344" s="8" t="n">
        <v>0.2</v>
      </c>
      <c r="N5344" s="7">
        <f>M5344*$J$5364-J5344</f>
        <v/>
      </c>
      <c r="O5344" s="9">
        <f>IF(G5344=0,0,N5344/G5344)</f>
        <v/>
      </c>
      <c r="P5344" s="6">
        <f>IF(M5344&gt;0,D5344,"")</f>
        <v/>
      </c>
      <c r="Q5344" s="9">
        <f>I5344+O5344</f>
        <v/>
      </c>
      <c r="R5344" s="7">
        <f>Q5344*G5344</f>
        <v/>
      </c>
      <c r="S5344" s="8">
        <f>IF($R$5364=0,0,R5344/$R$5364)</f>
        <v/>
      </c>
      <c r="T5344" s="8" t="n">
        <v>0.01172239582429913</v>
      </c>
      <c r="U5344" s="8" t="n">
        <v>-0.004066937729766851</v>
      </c>
      <c r="V5344" s="6" t="inlineStr">
        <is>
          <t>remained in weekly selection</t>
        </is>
      </c>
    </row>
    <row r="5345">
      <c r="A5345" s="6" t="inlineStr">
        <is>
          <t>DJ30</t>
        </is>
      </c>
      <c r="B5345" s="6" t="inlineStr">
        <is>
          <t>2026-04-24</t>
        </is>
      </c>
      <c r="C5345" s="6" t="inlineStr">
        <is>
          <t>DIA</t>
        </is>
      </c>
      <c r="D5345" s="6" t="inlineStr">
        <is>
          <t>HD</t>
        </is>
      </c>
      <c r="E5345" s="6" t="inlineStr">
        <is>
          <t>HD</t>
        </is>
      </c>
      <c r="F5345" s="6" t="inlineStr">
        <is>
          <t>-</t>
        </is>
      </c>
      <c r="G5345" s="7" t="n">
        <v>333.3893737792969</v>
      </c>
      <c r="H5345" s="6">
        <f>P5314</f>
        <v/>
      </c>
      <c r="I5345" s="9">
        <f>Q5314</f>
        <v/>
      </c>
      <c r="J5345" s="7">
        <f>I5345*G5345</f>
        <v/>
      </c>
      <c r="K5345" s="8">
        <f>IF($J$5364=0,0,J5345/$J$5364)</f>
        <v/>
      </c>
      <c r="L5345" s="6" t="inlineStr">
        <is>
          <t>REJECTED</t>
        </is>
      </c>
      <c r="M5345" s="8" t="n">
        <v>0</v>
      </c>
      <c r="N5345" s="7">
        <f>M5345*$J$5364-J5345</f>
        <v/>
      </c>
      <c r="O5345" s="9">
        <f>IF(G5345=0,0,N5345/G5345)</f>
        <v/>
      </c>
      <c r="P5345" s="6">
        <f>IF(M5345&gt;0,D5345,"")</f>
        <v/>
      </c>
      <c r="Q5345" s="9">
        <f>I5345+O5345</f>
        <v/>
      </c>
      <c r="R5345" s="7">
        <f>Q5345*G5345</f>
        <v/>
      </c>
      <c r="S5345" s="8">
        <f>IF($R$5364=0,0,R5345/$R$5364)</f>
        <v/>
      </c>
      <c r="T5345" s="8" t="n">
        <v>0.01172239582429913</v>
      </c>
      <c r="U5345" s="8" t="n">
        <v>-0.004066937729766851</v>
      </c>
      <c r="V5345" s="6" t="inlineStr">
        <is>
          <t>not selected</t>
        </is>
      </c>
    </row>
    <row r="5346">
      <c r="A5346" s="6" t="inlineStr">
        <is>
          <t>DJ30</t>
        </is>
      </c>
      <c r="B5346" s="6" t="inlineStr">
        <is>
          <t>2026-04-24</t>
        </is>
      </c>
      <c r="C5346" s="6" t="inlineStr">
        <is>
          <t>DIA</t>
        </is>
      </c>
      <c r="D5346" s="6" t="inlineStr">
        <is>
          <t>HON</t>
        </is>
      </c>
      <c r="E5346" s="6" t="inlineStr">
        <is>
          <t>HON</t>
        </is>
      </c>
      <c r="F5346" s="6" t="inlineStr">
        <is>
          <t>-</t>
        </is>
      </c>
      <c r="G5346" s="7" t="n">
        <v>212.0048675537109</v>
      </c>
      <c r="H5346" s="6">
        <f>P5315</f>
        <v/>
      </c>
      <c r="I5346" s="9">
        <f>Q5315</f>
        <v/>
      </c>
      <c r="J5346" s="7">
        <f>I5346*G5346</f>
        <v/>
      </c>
      <c r="K5346" s="8">
        <f>IF($J$5364=0,0,J5346/$J$5364)</f>
        <v/>
      </c>
      <c r="L5346" s="6" t="inlineStr">
        <is>
          <t>REJECTED</t>
        </is>
      </c>
      <c r="M5346" s="8" t="n">
        <v>0</v>
      </c>
      <c r="N5346" s="7">
        <f>M5346*$J$5364-J5346</f>
        <v/>
      </c>
      <c r="O5346" s="9">
        <f>IF(G5346=0,0,N5346/G5346)</f>
        <v/>
      </c>
      <c r="P5346" s="6">
        <f>IF(M5346&gt;0,D5346,"")</f>
        <v/>
      </c>
      <c r="Q5346" s="9">
        <f>I5346+O5346</f>
        <v/>
      </c>
      <c r="R5346" s="7">
        <f>Q5346*G5346</f>
        <v/>
      </c>
      <c r="S5346" s="8">
        <f>IF($R$5364=0,0,R5346/$R$5364)</f>
        <v/>
      </c>
      <c r="T5346" s="8" t="n">
        <v>0.01172239582429913</v>
      </c>
      <c r="U5346" s="8" t="n">
        <v>-0.004066937729766851</v>
      </c>
      <c r="V5346" s="6" t="inlineStr">
        <is>
          <t>not selected</t>
        </is>
      </c>
    </row>
    <row r="5347">
      <c r="A5347" s="6" t="inlineStr">
        <is>
          <t>DJ30</t>
        </is>
      </c>
      <c r="B5347" s="6" t="inlineStr">
        <is>
          <t>2026-04-24</t>
        </is>
      </c>
      <c r="C5347" s="6" t="inlineStr">
        <is>
          <t>DIA</t>
        </is>
      </c>
      <c r="D5347" s="6" t="inlineStr">
        <is>
          <t>IBM</t>
        </is>
      </c>
      <c r="E5347" s="6" t="inlineStr">
        <is>
          <t>IBM</t>
        </is>
      </c>
      <c r="F5347" s="6" t="inlineStr">
        <is>
          <t>-</t>
        </is>
      </c>
      <c r="G5347" s="7" t="n">
        <v>230.2850952148437</v>
      </c>
      <c r="H5347" s="6">
        <f>P5316</f>
        <v/>
      </c>
      <c r="I5347" s="9">
        <f>Q5316</f>
        <v/>
      </c>
      <c r="J5347" s="7">
        <f>I5347*G5347</f>
        <v/>
      </c>
      <c r="K5347" s="8">
        <f>IF($J$5364=0,0,J5347/$J$5364)</f>
        <v/>
      </c>
      <c r="L5347" s="6" t="inlineStr">
        <is>
          <t>REJECTED</t>
        </is>
      </c>
      <c r="M5347" s="8" t="n">
        <v>0</v>
      </c>
      <c r="N5347" s="7">
        <f>M5347*$J$5364-J5347</f>
        <v/>
      </c>
      <c r="O5347" s="9">
        <f>IF(G5347=0,0,N5347/G5347)</f>
        <v/>
      </c>
      <c r="P5347" s="6">
        <f>IF(M5347&gt;0,D5347,"")</f>
        <v/>
      </c>
      <c r="Q5347" s="9">
        <f>I5347+O5347</f>
        <v/>
      </c>
      <c r="R5347" s="7">
        <f>Q5347*G5347</f>
        <v/>
      </c>
      <c r="S5347" s="8">
        <f>IF($R$5364=0,0,R5347/$R$5364)</f>
        <v/>
      </c>
      <c r="T5347" s="8" t="n">
        <v>0.01172239582429913</v>
      </c>
      <c r="U5347" s="8" t="n">
        <v>-0.004066937729766851</v>
      </c>
      <c r="V5347" s="6" t="inlineStr">
        <is>
          <t>not selected</t>
        </is>
      </c>
    </row>
    <row r="5348">
      <c r="A5348" s="6" t="inlineStr">
        <is>
          <t>DJ30</t>
        </is>
      </c>
      <c r="B5348" s="6" t="inlineStr">
        <is>
          <t>2026-04-24</t>
        </is>
      </c>
      <c r="C5348" s="6" t="inlineStr">
        <is>
          <t>DIA</t>
        </is>
      </c>
      <c r="D5348" s="6" t="inlineStr">
        <is>
          <t>JNJ</t>
        </is>
      </c>
      <c r="E5348" s="6" t="inlineStr">
        <is>
          <t>JNJ</t>
        </is>
      </c>
      <c r="F5348" s="6" t="inlineStr">
        <is>
          <t>-</t>
        </is>
      </c>
      <c r="G5348" s="7" t="n">
        <v>226.1991119384766</v>
      </c>
      <c r="H5348" s="6">
        <f>P5317</f>
        <v/>
      </c>
      <c r="I5348" s="9">
        <f>Q5317</f>
        <v/>
      </c>
      <c r="J5348" s="7">
        <f>I5348*G5348</f>
        <v/>
      </c>
      <c r="K5348" s="8">
        <f>IF($J$5364=0,0,J5348/$J$5364)</f>
        <v/>
      </c>
      <c r="L5348" s="6" t="inlineStr">
        <is>
          <t>SELECTED</t>
        </is>
      </c>
      <c r="M5348" s="8" t="n">
        <v>0.2</v>
      </c>
      <c r="N5348" s="7">
        <f>M5348*$J$5364-J5348</f>
        <v/>
      </c>
      <c r="O5348" s="9">
        <f>IF(G5348=0,0,N5348/G5348)</f>
        <v/>
      </c>
      <c r="P5348" s="6">
        <f>IF(M5348&gt;0,D5348,"")</f>
        <v/>
      </c>
      <c r="Q5348" s="9">
        <f>I5348+O5348</f>
        <v/>
      </c>
      <c r="R5348" s="7">
        <f>Q5348*G5348</f>
        <v/>
      </c>
      <c r="S5348" s="8">
        <f>IF($R$5364=0,0,R5348/$R$5364)</f>
        <v/>
      </c>
      <c r="T5348" s="8" t="n">
        <v>0.01172239582429913</v>
      </c>
      <c r="U5348" s="8" t="n">
        <v>-0.004066937729766851</v>
      </c>
      <c r="V5348" s="6" t="inlineStr">
        <is>
          <t>remained in weekly selection</t>
        </is>
      </c>
    </row>
    <row r="5349">
      <c r="A5349" s="6" t="inlineStr">
        <is>
          <t>DJ30</t>
        </is>
      </c>
      <c r="B5349" s="6" t="inlineStr">
        <is>
          <t>2026-04-24</t>
        </is>
      </c>
      <c r="C5349" s="6" t="inlineStr">
        <is>
          <t>DIA</t>
        </is>
      </c>
      <c r="D5349" s="6" t="inlineStr">
        <is>
          <t>JPM</t>
        </is>
      </c>
      <c r="E5349" s="6" t="inlineStr">
        <is>
          <t>JPM</t>
        </is>
      </c>
      <c r="F5349" s="6" t="inlineStr">
        <is>
          <t>-</t>
        </is>
      </c>
      <c r="G5349" s="7" t="n">
        <v>308.2799987792969</v>
      </c>
      <c r="H5349" s="6">
        <f>P5318</f>
        <v/>
      </c>
      <c r="I5349" s="9">
        <f>Q5318</f>
        <v/>
      </c>
      <c r="J5349" s="7">
        <f>I5349*G5349</f>
        <v/>
      </c>
      <c r="K5349" s="8">
        <f>IF($J$5364=0,0,J5349/$J$5364)</f>
        <v/>
      </c>
      <c r="L5349" s="6" t="inlineStr">
        <is>
          <t>WATCHLIST</t>
        </is>
      </c>
      <c r="M5349" s="8" t="n">
        <v>0</v>
      </c>
      <c r="N5349" s="7">
        <f>M5349*$J$5364-J5349</f>
        <v/>
      </c>
      <c r="O5349" s="9">
        <f>IF(G5349=0,0,N5349/G5349)</f>
        <v/>
      </c>
      <c r="P5349" s="6">
        <f>IF(M5349&gt;0,D5349,"")</f>
        <v/>
      </c>
      <c r="Q5349" s="9">
        <f>I5349+O5349</f>
        <v/>
      </c>
      <c r="R5349" s="7">
        <f>Q5349*G5349</f>
        <v/>
      </c>
      <c r="S5349" s="8">
        <f>IF($R$5364=0,0,R5349/$R$5364)</f>
        <v/>
      </c>
      <c r="T5349" s="8" t="n">
        <v>0.01172239582429913</v>
      </c>
      <c r="U5349" s="8" t="n">
        <v>-0.004066937729766851</v>
      </c>
      <c r="V5349" s="6" t="inlineStr">
        <is>
          <t>not selected</t>
        </is>
      </c>
    </row>
    <row r="5350">
      <c r="A5350" s="6" t="inlineStr">
        <is>
          <t>DJ30</t>
        </is>
      </c>
      <c r="B5350" s="6" t="inlineStr">
        <is>
          <t>2026-04-24</t>
        </is>
      </c>
      <c r="C5350" s="6" t="inlineStr">
        <is>
          <t>DIA</t>
        </is>
      </c>
      <c r="D5350" s="6" t="inlineStr">
        <is>
          <t>KO</t>
        </is>
      </c>
      <c r="E5350" s="6" t="inlineStr">
        <is>
          <t>KO</t>
        </is>
      </c>
      <c r="F5350" s="6" t="inlineStr">
        <is>
          <t>-</t>
        </is>
      </c>
      <c r="G5350" s="7" t="n">
        <v>76.138427734375</v>
      </c>
      <c r="H5350" s="6">
        <f>P5319</f>
        <v/>
      </c>
      <c r="I5350" s="9">
        <f>Q5319</f>
        <v/>
      </c>
      <c r="J5350" s="7">
        <f>I5350*G5350</f>
        <v/>
      </c>
      <c r="K5350" s="8">
        <f>IF($J$5364=0,0,J5350/$J$5364)</f>
        <v/>
      </c>
      <c r="L5350" s="6" t="inlineStr">
        <is>
          <t>WATCHLIST</t>
        </is>
      </c>
      <c r="M5350" s="8" t="n">
        <v>0</v>
      </c>
      <c r="N5350" s="7">
        <f>M5350*$J$5364-J5350</f>
        <v/>
      </c>
      <c r="O5350" s="9">
        <f>IF(G5350=0,0,N5350/G5350)</f>
        <v/>
      </c>
      <c r="P5350" s="6">
        <f>IF(M5350&gt;0,D5350,"")</f>
        <v/>
      </c>
      <c r="Q5350" s="9">
        <f>I5350+O5350</f>
        <v/>
      </c>
      <c r="R5350" s="7">
        <f>Q5350*G5350</f>
        <v/>
      </c>
      <c r="S5350" s="8">
        <f>IF($R$5364=0,0,R5350/$R$5364)</f>
        <v/>
      </c>
      <c r="T5350" s="8" t="n">
        <v>0.01172239582429913</v>
      </c>
      <c r="U5350" s="8" t="n">
        <v>-0.004066937729766851</v>
      </c>
      <c r="V5350" s="6" t="inlineStr">
        <is>
          <t>not selected</t>
        </is>
      </c>
    </row>
    <row r="5351">
      <c r="A5351" s="6" t="inlineStr">
        <is>
          <t>DJ30</t>
        </is>
      </c>
      <c r="B5351" s="6" t="inlineStr">
        <is>
          <t>2026-04-24</t>
        </is>
      </c>
      <c r="C5351" s="6" t="inlineStr">
        <is>
          <t>DIA</t>
        </is>
      </c>
      <c r="D5351" s="6" t="inlineStr">
        <is>
          <t>MCD</t>
        </is>
      </c>
      <c r="E5351" s="6" t="inlineStr">
        <is>
          <t>MCD</t>
        </is>
      </c>
      <c r="F5351" s="6" t="inlineStr">
        <is>
          <t>-</t>
        </is>
      </c>
      <c r="G5351" s="7" t="n">
        <v>297.3433532714844</v>
      </c>
      <c r="H5351" s="6">
        <f>P5320</f>
        <v/>
      </c>
      <c r="I5351" s="9">
        <f>Q5320</f>
        <v/>
      </c>
      <c r="J5351" s="7">
        <f>I5351*G5351</f>
        <v/>
      </c>
      <c r="K5351" s="8">
        <f>IF($J$5364=0,0,J5351/$J$5364)</f>
        <v/>
      </c>
      <c r="L5351" s="6" t="inlineStr">
        <is>
          <t>REJECTED</t>
        </is>
      </c>
      <c r="M5351" s="8" t="n">
        <v>0</v>
      </c>
      <c r="N5351" s="7">
        <f>M5351*$J$5364-J5351</f>
        <v/>
      </c>
      <c r="O5351" s="9">
        <f>IF(G5351=0,0,N5351/G5351)</f>
        <v/>
      </c>
      <c r="P5351" s="6">
        <f>IF(M5351&gt;0,D5351,"")</f>
        <v/>
      </c>
      <c r="Q5351" s="9">
        <f>I5351+O5351</f>
        <v/>
      </c>
      <c r="R5351" s="7">
        <f>Q5351*G5351</f>
        <v/>
      </c>
      <c r="S5351" s="8">
        <f>IF($R$5364=0,0,R5351/$R$5364)</f>
        <v/>
      </c>
      <c r="T5351" s="8" t="n">
        <v>0.01172239582429913</v>
      </c>
      <c r="U5351" s="8" t="n">
        <v>-0.004066937729766851</v>
      </c>
      <c r="V5351" s="6" t="inlineStr">
        <is>
          <t>not selected</t>
        </is>
      </c>
    </row>
    <row r="5352">
      <c r="A5352" s="6" t="inlineStr">
        <is>
          <t>DJ30</t>
        </is>
      </c>
      <c r="B5352" s="6" t="inlineStr">
        <is>
          <t>2026-04-24</t>
        </is>
      </c>
      <c r="C5352" s="6" t="inlineStr">
        <is>
          <t>DIA</t>
        </is>
      </c>
      <c r="D5352" s="6" t="inlineStr">
        <is>
          <t>MMM</t>
        </is>
      </c>
      <c r="E5352" s="6" t="inlineStr">
        <is>
          <t>MMM</t>
        </is>
      </c>
      <c r="F5352" s="6" t="inlineStr">
        <is>
          <t>-</t>
        </is>
      </c>
      <c r="G5352" s="7" t="n">
        <v>145.2388610839844</v>
      </c>
      <c r="H5352" s="6">
        <f>P5321</f>
        <v/>
      </c>
      <c r="I5352" s="9">
        <f>Q5321</f>
        <v/>
      </c>
      <c r="J5352" s="7">
        <f>I5352*G5352</f>
        <v/>
      </c>
      <c r="K5352" s="8">
        <f>IF($J$5364=0,0,J5352/$J$5364)</f>
        <v/>
      </c>
      <c r="L5352" s="6" t="inlineStr">
        <is>
          <t>REJECTED</t>
        </is>
      </c>
      <c r="M5352" s="8" t="n">
        <v>0</v>
      </c>
      <c r="N5352" s="7">
        <f>M5352*$J$5364-J5352</f>
        <v/>
      </c>
      <c r="O5352" s="9">
        <f>IF(G5352=0,0,N5352/G5352)</f>
        <v/>
      </c>
      <c r="P5352" s="6">
        <f>IF(M5352&gt;0,D5352,"")</f>
        <v/>
      </c>
      <c r="Q5352" s="9">
        <f>I5352+O5352</f>
        <v/>
      </c>
      <c r="R5352" s="7">
        <f>Q5352*G5352</f>
        <v/>
      </c>
      <c r="S5352" s="8">
        <f>IF($R$5364=0,0,R5352/$R$5364)</f>
        <v/>
      </c>
      <c r="T5352" s="8" t="n">
        <v>0.01172239582429913</v>
      </c>
      <c r="U5352" s="8" t="n">
        <v>-0.004066937729766851</v>
      </c>
      <c r="V5352" s="6" t="inlineStr">
        <is>
          <t>not selected</t>
        </is>
      </c>
    </row>
    <row r="5353">
      <c r="A5353" s="6" t="inlineStr">
        <is>
          <t>DJ30</t>
        </is>
      </c>
      <c r="B5353" s="6" t="inlineStr">
        <is>
          <t>2026-04-24</t>
        </is>
      </c>
      <c r="C5353" s="6" t="inlineStr">
        <is>
          <t>DIA</t>
        </is>
      </c>
      <c r="D5353" s="6" t="inlineStr">
        <is>
          <t>MRK</t>
        </is>
      </c>
      <c r="E5353" s="6" t="inlineStr">
        <is>
          <t>MRK</t>
        </is>
      </c>
      <c r="F5353" s="6" t="inlineStr">
        <is>
          <t>-</t>
        </is>
      </c>
      <c r="G5353" s="7" t="n">
        <v>111.1010513305664</v>
      </c>
      <c r="H5353" s="6">
        <f>P5322</f>
        <v/>
      </c>
      <c r="I5353" s="9">
        <f>Q5322</f>
        <v/>
      </c>
      <c r="J5353" s="7">
        <f>I5353*G5353</f>
        <v/>
      </c>
      <c r="K5353" s="8">
        <f>IF($J$5364=0,0,J5353/$J$5364)</f>
        <v/>
      </c>
      <c r="L5353" s="6" t="inlineStr">
        <is>
          <t>WATCHLIST</t>
        </is>
      </c>
      <c r="M5353" s="8" t="n">
        <v>0</v>
      </c>
      <c r="N5353" s="7">
        <f>M5353*$J$5364-J5353</f>
        <v/>
      </c>
      <c r="O5353" s="9">
        <f>IF(G5353=0,0,N5353/G5353)</f>
        <v/>
      </c>
      <c r="P5353" s="6">
        <f>IF(M5353&gt;0,D5353,"")</f>
        <v/>
      </c>
      <c r="Q5353" s="9">
        <f>I5353+O5353</f>
        <v/>
      </c>
      <c r="R5353" s="7">
        <f>Q5353*G5353</f>
        <v/>
      </c>
      <c r="S5353" s="8">
        <f>IF($R$5364=0,0,R5353/$R$5364)</f>
        <v/>
      </c>
      <c r="T5353" s="8" t="n">
        <v>0.01172239582429913</v>
      </c>
      <c r="U5353" s="8" t="n">
        <v>-0.004066937729766851</v>
      </c>
      <c r="V5353" s="6" t="inlineStr">
        <is>
          <t>not selected</t>
        </is>
      </c>
    </row>
    <row r="5354">
      <c r="A5354" s="6" t="inlineStr">
        <is>
          <t>DJ30</t>
        </is>
      </c>
      <c r="B5354" s="6" t="inlineStr">
        <is>
          <t>2026-04-24</t>
        </is>
      </c>
      <c r="C5354" s="6" t="inlineStr">
        <is>
          <t>DIA</t>
        </is>
      </c>
      <c r="D5354" s="6" t="inlineStr">
        <is>
          <t>MSFT</t>
        </is>
      </c>
      <c r="E5354" s="6" t="inlineStr">
        <is>
          <t>MSFT</t>
        </is>
      </c>
      <c r="F5354" s="6" t="inlineStr">
        <is>
          <t>-</t>
        </is>
      </c>
      <c r="G5354" s="7" t="n">
        <v>423.7023010253906</v>
      </c>
      <c r="H5354" s="6">
        <f>P5323</f>
        <v/>
      </c>
      <c r="I5354" s="9">
        <f>Q5323</f>
        <v/>
      </c>
      <c r="J5354" s="7">
        <f>I5354*G5354</f>
        <v/>
      </c>
      <c r="K5354" s="8">
        <f>IF($J$5364=0,0,J5354/$J$5364)</f>
        <v/>
      </c>
      <c r="L5354" s="6" t="inlineStr">
        <is>
          <t>REJECTED</t>
        </is>
      </c>
      <c r="M5354" s="8" t="n">
        <v>0</v>
      </c>
      <c r="N5354" s="7">
        <f>M5354*$J$5364-J5354</f>
        <v/>
      </c>
      <c r="O5354" s="9">
        <f>IF(G5354=0,0,N5354/G5354)</f>
        <v/>
      </c>
      <c r="P5354" s="6">
        <f>IF(M5354&gt;0,D5354,"")</f>
        <v/>
      </c>
      <c r="Q5354" s="9">
        <f>I5354+O5354</f>
        <v/>
      </c>
      <c r="R5354" s="7">
        <f>Q5354*G5354</f>
        <v/>
      </c>
      <c r="S5354" s="8">
        <f>IF($R$5364=0,0,R5354/$R$5364)</f>
        <v/>
      </c>
      <c r="T5354" s="8" t="n">
        <v>0.01172239582429913</v>
      </c>
      <c r="U5354" s="8" t="n">
        <v>-0.004066937729766851</v>
      </c>
      <c r="V5354" s="6" t="inlineStr">
        <is>
          <t>not selected</t>
        </is>
      </c>
    </row>
    <row r="5355">
      <c r="A5355" s="6" t="inlineStr">
        <is>
          <t>DJ30</t>
        </is>
      </c>
      <c r="B5355" s="6" t="inlineStr">
        <is>
          <t>2026-04-24</t>
        </is>
      </c>
      <c r="C5355" s="6" t="inlineStr">
        <is>
          <t>DIA</t>
        </is>
      </c>
      <c r="D5355" s="6" t="inlineStr">
        <is>
          <t>NKE</t>
        </is>
      </c>
      <c r="E5355" s="6" t="inlineStr">
        <is>
          <t>NKE</t>
        </is>
      </c>
      <c r="F5355" s="6" t="inlineStr">
        <is>
          <t>-</t>
        </is>
      </c>
      <c r="G5355" s="7" t="n">
        <v>44.29365539550781</v>
      </c>
      <c r="H5355" s="6">
        <f>P5324</f>
        <v/>
      </c>
      <c r="I5355" s="9">
        <f>Q5324</f>
        <v/>
      </c>
      <c r="J5355" s="7">
        <f>I5355*G5355</f>
        <v/>
      </c>
      <c r="K5355" s="8">
        <f>IF($J$5364=0,0,J5355/$J$5364)</f>
        <v/>
      </c>
      <c r="L5355" s="6" t="inlineStr">
        <is>
          <t>REJECTED</t>
        </is>
      </c>
      <c r="M5355" s="8" t="n">
        <v>0</v>
      </c>
      <c r="N5355" s="7">
        <f>M5355*$J$5364-J5355</f>
        <v/>
      </c>
      <c r="O5355" s="9">
        <f>IF(G5355=0,0,N5355/G5355)</f>
        <v/>
      </c>
      <c r="P5355" s="6">
        <f>IF(M5355&gt;0,D5355,"")</f>
        <v/>
      </c>
      <c r="Q5355" s="9">
        <f>I5355+O5355</f>
        <v/>
      </c>
      <c r="R5355" s="7">
        <f>Q5355*G5355</f>
        <v/>
      </c>
      <c r="S5355" s="8">
        <f>IF($R$5364=0,0,R5355/$R$5364)</f>
        <v/>
      </c>
      <c r="T5355" s="8" t="n">
        <v>0.01172239582429913</v>
      </c>
      <c r="U5355" s="8" t="n">
        <v>-0.004066937729766851</v>
      </c>
      <c r="V5355" s="6" t="inlineStr">
        <is>
          <t>not selected</t>
        </is>
      </c>
    </row>
    <row r="5356">
      <c r="A5356" s="6" t="inlineStr">
        <is>
          <t>DJ30</t>
        </is>
      </c>
      <c r="B5356" s="6" t="inlineStr">
        <is>
          <t>2026-04-24</t>
        </is>
      </c>
      <c r="C5356" s="6" t="inlineStr">
        <is>
          <t>DIA</t>
        </is>
      </c>
      <c r="D5356" s="6" t="inlineStr">
        <is>
          <t>NVDA</t>
        </is>
      </c>
      <c r="E5356" s="6" t="inlineStr">
        <is>
          <t>NVDA</t>
        </is>
      </c>
      <c r="F5356" s="6" t="inlineStr">
        <is>
          <t>-</t>
        </is>
      </c>
      <c r="G5356" s="7" t="n">
        <v>208.0275421142578</v>
      </c>
      <c r="H5356" s="6">
        <f>P5325</f>
        <v/>
      </c>
      <c r="I5356" s="9">
        <f>Q5325</f>
        <v/>
      </c>
      <c r="J5356" s="7">
        <f>I5356*G5356</f>
        <v/>
      </c>
      <c r="K5356" s="8">
        <f>IF($J$5364=0,0,J5356/$J$5364)</f>
        <v/>
      </c>
      <c r="L5356" s="6" t="inlineStr">
        <is>
          <t>WATCHLIST</t>
        </is>
      </c>
      <c r="M5356" s="8" t="n">
        <v>0</v>
      </c>
      <c r="N5356" s="7">
        <f>M5356*$J$5364-J5356</f>
        <v/>
      </c>
      <c r="O5356" s="9">
        <f>IF(G5356=0,0,N5356/G5356)</f>
        <v/>
      </c>
      <c r="P5356" s="6">
        <f>IF(M5356&gt;0,D5356,"")</f>
        <v/>
      </c>
      <c r="Q5356" s="9">
        <f>I5356+O5356</f>
        <v/>
      </c>
      <c r="R5356" s="7">
        <f>Q5356*G5356</f>
        <v/>
      </c>
      <c r="S5356" s="8">
        <f>IF($R$5364=0,0,R5356/$R$5364)</f>
        <v/>
      </c>
      <c r="T5356" s="8" t="n">
        <v>0.01172239582429913</v>
      </c>
      <c r="U5356" s="8" t="n">
        <v>-0.004066937729766851</v>
      </c>
      <c r="V5356" s="6" t="inlineStr">
        <is>
          <t>not selected</t>
        </is>
      </c>
    </row>
    <row r="5357">
      <c r="A5357" s="6" t="inlineStr">
        <is>
          <t>DJ30</t>
        </is>
      </c>
      <c r="B5357" s="6" t="inlineStr">
        <is>
          <t>2026-04-24</t>
        </is>
      </c>
      <c r="C5357" s="6" t="inlineStr">
        <is>
          <t>DIA</t>
        </is>
      </c>
      <c r="D5357" s="6" t="inlineStr">
        <is>
          <t>PG</t>
        </is>
      </c>
      <c r="E5357" s="6" t="inlineStr">
        <is>
          <t>PG</t>
        </is>
      </c>
      <c r="F5357" s="6" t="inlineStr">
        <is>
          <t>-</t>
        </is>
      </c>
      <c r="G5357" s="7" t="n">
        <v>148.1799926757812</v>
      </c>
      <c r="H5357" s="6">
        <f>P5326</f>
        <v/>
      </c>
      <c r="I5357" s="9">
        <f>Q5326</f>
        <v/>
      </c>
      <c r="J5357" s="7">
        <f>I5357*G5357</f>
        <v/>
      </c>
      <c r="K5357" s="8">
        <f>IF($J$5364=0,0,J5357/$J$5364)</f>
        <v/>
      </c>
      <c r="L5357" s="6" t="inlineStr">
        <is>
          <t>REJECTED</t>
        </is>
      </c>
      <c r="M5357" s="8" t="n">
        <v>0</v>
      </c>
      <c r="N5357" s="7">
        <f>M5357*$J$5364-J5357</f>
        <v/>
      </c>
      <c r="O5357" s="9">
        <f>IF(G5357=0,0,N5357/G5357)</f>
        <v/>
      </c>
      <c r="P5357" s="6">
        <f>IF(M5357&gt;0,D5357,"")</f>
        <v/>
      </c>
      <c r="Q5357" s="9">
        <f>I5357+O5357</f>
        <v/>
      </c>
      <c r="R5357" s="7">
        <f>Q5357*G5357</f>
        <v/>
      </c>
      <c r="S5357" s="8">
        <f>IF($R$5364=0,0,R5357/$R$5364)</f>
        <v/>
      </c>
      <c r="T5357" s="8" t="n">
        <v>0.01172239582429913</v>
      </c>
      <c r="U5357" s="8" t="n">
        <v>-0.004066937729766851</v>
      </c>
      <c r="V5357" s="6" t="inlineStr">
        <is>
          <t>not selected</t>
        </is>
      </c>
    </row>
    <row r="5358">
      <c r="A5358" s="6" t="inlineStr">
        <is>
          <t>DJ30</t>
        </is>
      </c>
      <c r="B5358" s="6" t="inlineStr">
        <is>
          <t>2026-04-24</t>
        </is>
      </c>
      <c r="C5358" s="6" t="inlineStr">
        <is>
          <t>DIA</t>
        </is>
      </c>
      <c r="D5358" s="6" t="inlineStr">
        <is>
          <t>SHW</t>
        </is>
      </c>
      <c r="E5358" s="6" t="inlineStr">
        <is>
          <t>SHW</t>
        </is>
      </c>
      <c r="F5358" s="6" t="inlineStr">
        <is>
          <t>-</t>
        </is>
      </c>
      <c r="G5358" s="7" t="n">
        <v>336.8266906738281</v>
      </c>
      <c r="H5358" s="6">
        <f>P5327</f>
        <v/>
      </c>
      <c r="I5358" s="9">
        <f>Q5327</f>
        <v/>
      </c>
      <c r="J5358" s="7">
        <f>I5358*G5358</f>
        <v/>
      </c>
      <c r="K5358" s="8">
        <f>IF($J$5364=0,0,J5358/$J$5364)</f>
        <v/>
      </c>
      <c r="L5358" s="6" t="inlineStr">
        <is>
          <t>REJECTED</t>
        </is>
      </c>
      <c r="M5358" s="8" t="n">
        <v>0</v>
      </c>
      <c r="N5358" s="7">
        <f>M5358*$J$5364-J5358</f>
        <v/>
      </c>
      <c r="O5358" s="9">
        <f>IF(G5358=0,0,N5358/G5358)</f>
        <v/>
      </c>
      <c r="P5358" s="6">
        <f>IF(M5358&gt;0,D5358,"")</f>
        <v/>
      </c>
      <c r="Q5358" s="9">
        <f>I5358+O5358</f>
        <v/>
      </c>
      <c r="R5358" s="7">
        <f>Q5358*G5358</f>
        <v/>
      </c>
      <c r="S5358" s="8">
        <f>IF($R$5364=0,0,R5358/$R$5364)</f>
        <v/>
      </c>
      <c r="T5358" s="8" t="n">
        <v>0.01172239582429913</v>
      </c>
      <c r="U5358" s="8" t="n">
        <v>-0.004066937729766851</v>
      </c>
      <c r="V5358" s="6" t="inlineStr">
        <is>
          <t>not selected</t>
        </is>
      </c>
    </row>
    <row r="5359">
      <c r="A5359" s="6" t="inlineStr">
        <is>
          <t>DJ30</t>
        </is>
      </c>
      <c r="B5359" s="6" t="inlineStr">
        <is>
          <t>2026-04-24</t>
        </is>
      </c>
      <c r="C5359" s="6" t="inlineStr">
        <is>
          <t>DIA</t>
        </is>
      </c>
      <c r="D5359" s="6" t="inlineStr">
        <is>
          <t>TRV</t>
        </is>
      </c>
      <c r="E5359" s="6" t="inlineStr">
        <is>
          <t>TRV</t>
        </is>
      </c>
      <c r="F5359" s="6" t="inlineStr">
        <is>
          <t>-</t>
        </is>
      </c>
      <c r="G5359" s="7" t="n">
        <v>301.4696960449219</v>
      </c>
      <c r="H5359" s="6">
        <f>P5328</f>
        <v/>
      </c>
      <c r="I5359" s="9">
        <f>Q5328</f>
        <v/>
      </c>
      <c r="J5359" s="7">
        <f>I5359*G5359</f>
        <v/>
      </c>
      <c r="K5359" s="8">
        <f>IF($J$5364=0,0,J5359/$J$5364)</f>
        <v/>
      </c>
      <c r="L5359" s="6" t="inlineStr">
        <is>
          <t>WATCHLIST</t>
        </is>
      </c>
      <c r="M5359" s="8" t="n">
        <v>0</v>
      </c>
      <c r="N5359" s="7">
        <f>M5359*$J$5364-J5359</f>
        <v/>
      </c>
      <c r="O5359" s="9">
        <f>IF(G5359=0,0,N5359/G5359)</f>
        <v/>
      </c>
      <c r="P5359" s="6">
        <f>IF(M5359&gt;0,D5359,"")</f>
        <v/>
      </c>
      <c r="Q5359" s="9">
        <f>I5359+O5359</f>
        <v/>
      </c>
      <c r="R5359" s="7">
        <f>Q5359*G5359</f>
        <v/>
      </c>
      <c r="S5359" s="8">
        <f>IF($R$5364=0,0,R5359/$R$5364)</f>
        <v/>
      </c>
      <c r="T5359" s="8" t="n">
        <v>0.01172239582429913</v>
      </c>
      <c r="U5359" s="8" t="n">
        <v>-0.004066937729766851</v>
      </c>
      <c r="V5359" s="6" t="inlineStr">
        <is>
          <t>not selected</t>
        </is>
      </c>
    </row>
    <row r="5360">
      <c r="A5360" s="6" t="inlineStr">
        <is>
          <t>DJ30</t>
        </is>
      </c>
      <c r="B5360" s="6" t="inlineStr">
        <is>
          <t>2026-04-24</t>
        </is>
      </c>
      <c r="C5360" s="6" t="inlineStr">
        <is>
          <t>DIA</t>
        </is>
      </c>
      <c r="D5360" s="6" t="inlineStr">
        <is>
          <t>UNH</t>
        </is>
      </c>
      <c r="E5360" s="6" t="inlineStr">
        <is>
          <t>UNH</t>
        </is>
      </c>
      <c r="F5360" s="6" t="inlineStr">
        <is>
          <t>-</t>
        </is>
      </c>
      <c r="G5360" s="7" t="n">
        <v>352.9044189453125</v>
      </c>
      <c r="H5360" s="6">
        <f>P5329</f>
        <v/>
      </c>
      <c r="I5360" s="9">
        <f>Q5329</f>
        <v/>
      </c>
      <c r="J5360" s="7">
        <f>I5360*G5360</f>
        <v/>
      </c>
      <c r="K5360" s="8">
        <f>IF($J$5364=0,0,J5360/$J$5364)</f>
        <v/>
      </c>
      <c r="L5360" s="6" t="inlineStr">
        <is>
          <t>REJECTED</t>
        </is>
      </c>
      <c r="M5360" s="8" t="n">
        <v>0</v>
      </c>
      <c r="N5360" s="7">
        <f>M5360*$J$5364-J5360</f>
        <v/>
      </c>
      <c r="O5360" s="9">
        <f>IF(G5360=0,0,N5360/G5360)</f>
        <v/>
      </c>
      <c r="P5360" s="6">
        <f>IF(M5360&gt;0,D5360,"")</f>
        <v/>
      </c>
      <c r="Q5360" s="9">
        <f>I5360+O5360</f>
        <v/>
      </c>
      <c r="R5360" s="7">
        <f>Q5360*G5360</f>
        <v/>
      </c>
      <c r="S5360" s="8">
        <f>IF($R$5364=0,0,R5360/$R$5364)</f>
        <v/>
      </c>
      <c r="T5360" s="8" t="n">
        <v>0.01172239582429913</v>
      </c>
      <c r="U5360" s="8" t="n">
        <v>-0.004066937729766851</v>
      </c>
      <c r="V5360" s="6" t="inlineStr">
        <is>
          <t>not selected</t>
        </is>
      </c>
    </row>
    <row r="5361">
      <c r="A5361" s="6" t="inlineStr">
        <is>
          <t>DJ30</t>
        </is>
      </c>
      <c r="B5361" s="6" t="inlineStr">
        <is>
          <t>2026-04-24</t>
        </is>
      </c>
      <c r="C5361" s="6" t="inlineStr">
        <is>
          <t>DIA</t>
        </is>
      </c>
      <c r="D5361" s="6" t="inlineStr">
        <is>
          <t>V</t>
        </is>
      </c>
      <c r="E5361" s="6" t="inlineStr">
        <is>
          <t>V</t>
        </is>
      </c>
      <c r="F5361" s="6" t="inlineStr">
        <is>
          <t>-</t>
        </is>
      </c>
      <c r="G5361" s="7" t="n">
        <v>308.7798767089844</v>
      </c>
      <c r="H5361" s="6">
        <f>P5330</f>
        <v/>
      </c>
      <c r="I5361" s="9">
        <f>Q5330</f>
        <v/>
      </c>
      <c r="J5361" s="7">
        <f>I5361*G5361</f>
        <v/>
      </c>
      <c r="K5361" s="8">
        <f>IF($J$5364=0,0,J5361/$J$5364)</f>
        <v/>
      </c>
      <c r="L5361" s="6" t="inlineStr">
        <is>
          <t>REJECTED</t>
        </is>
      </c>
      <c r="M5361" s="8" t="n">
        <v>0</v>
      </c>
      <c r="N5361" s="7">
        <f>M5361*$J$5364-J5361</f>
        <v/>
      </c>
      <c r="O5361" s="9">
        <f>IF(G5361=0,0,N5361/G5361)</f>
        <v/>
      </c>
      <c r="P5361" s="6">
        <f>IF(M5361&gt;0,D5361,"")</f>
        <v/>
      </c>
      <c r="Q5361" s="9">
        <f>I5361+O5361</f>
        <v/>
      </c>
      <c r="R5361" s="7">
        <f>Q5361*G5361</f>
        <v/>
      </c>
      <c r="S5361" s="8">
        <f>IF($R$5364=0,0,R5361/$R$5364)</f>
        <v/>
      </c>
      <c r="T5361" s="8" t="n">
        <v>0.01172239582429913</v>
      </c>
      <c r="U5361" s="8" t="n">
        <v>-0.004066937729766851</v>
      </c>
      <c r="V5361" s="6" t="inlineStr">
        <is>
          <t>not selected</t>
        </is>
      </c>
    </row>
    <row r="5362">
      <c r="A5362" s="6" t="inlineStr">
        <is>
          <t>DJ30</t>
        </is>
      </c>
      <c r="B5362" s="6" t="inlineStr">
        <is>
          <t>2026-04-24</t>
        </is>
      </c>
      <c r="C5362" s="6" t="inlineStr">
        <is>
          <t>DIA</t>
        </is>
      </c>
      <c r="D5362" s="6" t="inlineStr">
        <is>
          <t>VZ</t>
        </is>
      </c>
      <c r="E5362" s="6" t="inlineStr">
        <is>
          <t>VZ</t>
        </is>
      </c>
      <c r="F5362" s="6" t="inlineStr">
        <is>
          <t>-</t>
        </is>
      </c>
      <c r="G5362" s="7" t="n">
        <v>46.38000106811523</v>
      </c>
      <c r="H5362" s="6">
        <f>P5331</f>
        <v/>
      </c>
      <c r="I5362" s="9">
        <f>Q5331</f>
        <v/>
      </c>
      <c r="J5362" s="7">
        <f>I5362*G5362</f>
        <v/>
      </c>
      <c r="K5362" s="8">
        <f>IF($J$5364=0,0,J5362/$J$5364)</f>
        <v/>
      </c>
      <c r="L5362" s="6" t="inlineStr">
        <is>
          <t>WATCHLIST</t>
        </is>
      </c>
      <c r="M5362" s="8" t="n">
        <v>0</v>
      </c>
      <c r="N5362" s="7">
        <f>M5362*$J$5364-J5362</f>
        <v/>
      </c>
      <c r="O5362" s="9">
        <f>IF(G5362=0,0,N5362/G5362)</f>
        <v/>
      </c>
      <c r="P5362" s="6">
        <f>IF(M5362&gt;0,D5362,"")</f>
        <v/>
      </c>
      <c r="Q5362" s="9">
        <f>I5362+O5362</f>
        <v/>
      </c>
      <c r="R5362" s="7">
        <f>Q5362*G5362</f>
        <v/>
      </c>
      <c r="S5362" s="8">
        <f>IF($R$5364=0,0,R5362/$R$5364)</f>
        <v/>
      </c>
      <c r="T5362" s="8" t="n">
        <v>0.01172239582429913</v>
      </c>
      <c r="U5362" s="8" t="n">
        <v>-0.004066937729766851</v>
      </c>
      <c r="V5362" s="6" t="inlineStr">
        <is>
          <t>not selected</t>
        </is>
      </c>
    </row>
    <row r="5363">
      <c r="A5363" s="6" t="inlineStr">
        <is>
          <t>DJ30</t>
        </is>
      </c>
      <c r="B5363" s="6" t="inlineStr">
        <is>
          <t>2026-04-24</t>
        </is>
      </c>
      <c r="C5363" s="6" t="inlineStr">
        <is>
          <t>DIA</t>
        </is>
      </c>
      <c r="D5363" s="6" t="inlineStr">
        <is>
          <t>WMT</t>
        </is>
      </c>
      <c r="E5363" s="6" t="inlineStr">
        <is>
          <t>WMT</t>
        </is>
      </c>
      <c r="F5363" s="6" t="inlineStr">
        <is>
          <t>-</t>
        </is>
      </c>
      <c r="G5363" s="7" t="n">
        <v>129.6725311279297</v>
      </c>
      <c r="H5363" s="6">
        <f>P5332</f>
        <v/>
      </c>
      <c r="I5363" s="9">
        <f>Q5332</f>
        <v/>
      </c>
      <c r="J5363" s="7">
        <f>I5363*G5363</f>
        <v/>
      </c>
      <c r="K5363" s="8">
        <f>IF($J$5364=0,0,J5363/$J$5364)</f>
        <v/>
      </c>
      <c r="L5363" s="6" t="inlineStr">
        <is>
          <t>WATCHLIST</t>
        </is>
      </c>
      <c r="M5363" s="8" t="n">
        <v>0</v>
      </c>
      <c r="N5363" s="7">
        <f>M5363*$J$5364-J5363</f>
        <v/>
      </c>
      <c r="O5363" s="9">
        <f>IF(G5363=0,0,N5363/G5363)</f>
        <v/>
      </c>
      <c r="P5363" s="6">
        <f>IF(M5363&gt;0,D5363,"")</f>
        <v/>
      </c>
      <c r="Q5363" s="9">
        <f>I5363+O5363</f>
        <v/>
      </c>
      <c r="R5363" s="7">
        <f>Q5363*G5363</f>
        <v/>
      </c>
      <c r="S5363" s="8">
        <f>IF($R$5364=0,0,R5363/$R$5364)</f>
        <v/>
      </c>
      <c r="T5363" s="8" t="n">
        <v>0.01172239582429913</v>
      </c>
      <c r="U5363" s="8" t="n">
        <v>-0.004066937729766851</v>
      </c>
      <c r="V5363" s="6" t="inlineStr">
        <is>
          <t>not selected</t>
        </is>
      </c>
    </row>
    <row r="5364">
      <c r="A5364" s="10" t="inlineStr">
        <is>
          <t>DJ30</t>
        </is>
      </c>
      <c r="B5364" s="10" t="inlineStr">
        <is>
          <t>2026-04-24</t>
        </is>
      </c>
      <c r="C5364" s="10" t="inlineStr">
        <is>
          <t>DIA</t>
        </is>
      </c>
      <c r="D5364" s="10" t="inlineStr">
        <is>
          <t>Tot Portfolio</t>
        </is>
      </c>
      <c r="E5364" s="10" t="inlineStr"/>
      <c r="F5364" s="10" t="inlineStr"/>
      <c r="G5364" s="11" t="inlineStr"/>
      <c r="H5364" s="10" t="inlineStr"/>
      <c r="I5364" s="12" t="inlineStr"/>
      <c r="J5364" s="11">
        <f>SUM(J5334:J5363)</f>
        <v/>
      </c>
      <c r="K5364" s="13">
        <f>SUM(K5334:K5363)</f>
        <v/>
      </c>
      <c r="L5364" s="10" t="inlineStr">
        <is>
          <t>TOTAL</t>
        </is>
      </c>
      <c r="M5364" s="13">
        <f>SUM(M5334:M5363)</f>
        <v/>
      </c>
      <c r="N5364" s="11">
        <f>SUM(N5334:N5363)</f>
        <v/>
      </c>
      <c r="O5364" s="12">
        <f>SUM(O5334:O5363)</f>
        <v/>
      </c>
      <c r="P5364" s="10" t="inlineStr"/>
      <c r="Q5364" s="12" t="inlineStr"/>
      <c r="R5364" s="11">
        <f>SUM(R5334:R5363)</f>
        <v/>
      </c>
      <c r="S5364" s="13">
        <f>SUM(S5334:S5363)</f>
        <v/>
      </c>
      <c r="T5364" s="13" t="n">
        <v>0.01172239582429913</v>
      </c>
      <c r="U5364" s="13" t="n">
        <v>-0.004066937729766851</v>
      </c>
      <c r="V5364" s="10" t="inlineStr"/>
    </row>
    <row r="5365">
      <c r="A5365" s="6" t="inlineStr">
        <is>
          <t>DJ30</t>
        </is>
      </c>
      <c r="B5365" s="6" t="inlineStr">
        <is>
          <t>2026-05-01</t>
        </is>
      </c>
      <c r="C5365" s="6" t="inlineStr">
        <is>
          <t>DIA</t>
        </is>
      </c>
      <c r="D5365" s="6" t="inlineStr">
        <is>
          <t>AAPL</t>
        </is>
      </c>
      <c r="E5365" s="6" t="inlineStr">
        <is>
          <t>AAPL</t>
        </is>
      </c>
      <c r="F5365" s="6" t="inlineStr">
        <is>
          <t>-</t>
        </is>
      </c>
      <c r="G5365" s="7" t="n">
        <v>279.8821411132812</v>
      </c>
      <c r="H5365" s="6">
        <f>P5334</f>
        <v/>
      </c>
      <c r="I5365" s="9">
        <f>Q5334</f>
        <v/>
      </c>
      <c r="J5365" s="7">
        <f>I5365*G5365</f>
        <v/>
      </c>
      <c r="K5365" s="8">
        <f>IF($J$5395=0,0,J5365/$J$5395)</f>
        <v/>
      </c>
      <c r="L5365" s="6" t="inlineStr">
        <is>
          <t>WATCHLIST</t>
        </is>
      </c>
      <c r="M5365" s="8" t="n">
        <v>0</v>
      </c>
      <c r="N5365" s="7">
        <f>M5365*$J$5395-J5365</f>
        <v/>
      </c>
      <c r="O5365" s="9">
        <f>IF(G5365=0,0,N5365/G5365)</f>
        <v/>
      </c>
      <c r="P5365" s="6">
        <f>IF(M5365&gt;0,D5365,"")</f>
        <v/>
      </c>
      <c r="Q5365" s="9">
        <f>I5365+O5365</f>
        <v/>
      </c>
      <c r="R5365" s="7">
        <f>Q5365*G5365</f>
        <v/>
      </c>
      <c r="S5365" s="8">
        <f>IF($R$5395=0,0,R5365/$R$5395)</f>
        <v/>
      </c>
      <c r="T5365" s="8" t="n">
        <v>0.02544560329782208</v>
      </c>
      <c r="U5365" s="8" t="n">
        <v>0.005708889198805966</v>
      </c>
      <c r="V5365" s="6" t="inlineStr">
        <is>
          <t>not selected</t>
        </is>
      </c>
    </row>
    <row r="5366">
      <c r="A5366" s="6" t="inlineStr">
        <is>
          <t>DJ30</t>
        </is>
      </c>
      <c r="B5366" s="6" t="inlineStr">
        <is>
          <t>2026-05-01</t>
        </is>
      </c>
      <c r="C5366" s="6" t="inlineStr">
        <is>
          <t>DIA</t>
        </is>
      </c>
      <c r="D5366" s="6" t="inlineStr">
        <is>
          <t>AMGN</t>
        </is>
      </c>
      <c r="E5366" s="6" t="inlineStr">
        <is>
          <t>AMGN</t>
        </is>
      </c>
      <c r="F5366" s="6" t="inlineStr">
        <is>
          <t>-</t>
        </is>
      </c>
      <c r="G5366" s="7" t="n">
        <v>327.3480529785156</v>
      </c>
      <c r="H5366" s="6">
        <f>P5335</f>
        <v/>
      </c>
      <c r="I5366" s="9">
        <f>Q5335</f>
        <v/>
      </c>
      <c r="J5366" s="7">
        <f>I5366*G5366</f>
        <v/>
      </c>
      <c r="K5366" s="8">
        <f>IF($J$5395=0,0,J5366/$J$5395)</f>
        <v/>
      </c>
      <c r="L5366" s="6" t="inlineStr">
        <is>
          <t>WATCHLIST</t>
        </is>
      </c>
      <c r="M5366" s="8" t="n">
        <v>0</v>
      </c>
      <c r="N5366" s="7">
        <f>M5366*$J$5395-J5366</f>
        <v/>
      </c>
      <c r="O5366" s="9">
        <f>IF(G5366=0,0,N5366/G5366)</f>
        <v/>
      </c>
      <c r="P5366" s="6">
        <f>IF(M5366&gt;0,D5366,"")</f>
        <v/>
      </c>
      <c r="Q5366" s="9">
        <f>I5366+O5366</f>
        <v/>
      </c>
      <c r="R5366" s="7">
        <f>Q5366*G5366</f>
        <v/>
      </c>
      <c r="S5366" s="8">
        <f>IF($R$5395=0,0,R5366/$R$5395)</f>
        <v/>
      </c>
      <c r="T5366" s="8" t="n">
        <v>0.02544560329782208</v>
      </c>
      <c r="U5366" s="8" t="n">
        <v>0.005708889198805966</v>
      </c>
      <c r="V5366" s="6" t="inlineStr">
        <is>
          <t>not selected</t>
        </is>
      </c>
    </row>
    <row r="5367">
      <c r="A5367" s="6" t="inlineStr">
        <is>
          <t>DJ30</t>
        </is>
      </c>
      <c r="B5367" s="6" t="inlineStr">
        <is>
          <t>2026-05-01</t>
        </is>
      </c>
      <c r="C5367" s="6" t="inlineStr">
        <is>
          <t>DIA</t>
        </is>
      </c>
      <c r="D5367" s="6" t="inlineStr">
        <is>
          <t>AMZN</t>
        </is>
      </c>
      <c r="E5367" s="6" t="inlineStr">
        <is>
          <t>AMZN</t>
        </is>
      </c>
      <c r="F5367" s="6" t="inlineStr">
        <is>
          <t>-</t>
        </is>
      </c>
      <c r="G5367" s="7" t="n">
        <v>268.260009765625</v>
      </c>
      <c r="H5367" s="6">
        <f>P5336</f>
        <v/>
      </c>
      <c r="I5367" s="9">
        <f>Q5336</f>
        <v/>
      </c>
      <c r="J5367" s="7">
        <f>I5367*G5367</f>
        <v/>
      </c>
      <c r="K5367" s="8">
        <f>IF($J$5395=0,0,J5367/$J$5395)</f>
        <v/>
      </c>
      <c r="L5367" s="6" t="inlineStr">
        <is>
          <t>REJECTED</t>
        </is>
      </c>
      <c r="M5367" s="8" t="n">
        <v>0</v>
      </c>
      <c r="N5367" s="7">
        <f>M5367*$J$5395-J5367</f>
        <v/>
      </c>
      <c r="O5367" s="9">
        <f>IF(G5367=0,0,N5367/G5367)</f>
        <v/>
      </c>
      <c r="P5367" s="6">
        <f>IF(M5367&gt;0,D5367,"")</f>
        <v/>
      </c>
      <c r="Q5367" s="9">
        <f>I5367+O5367</f>
        <v/>
      </c>
      <c r="R5367" s="7">
        <f>Q5367*G5367</f>
        <v/>
      </c>
      <c r="S5367" s="8">
        <f>IF($R$5395=0,0,R5367/$R$5395)</f>
        <v/>
      </c>
      <c r="T5367" s="8" t="n">
        <v>0.02544560329782208</v>
      </c>
      <c r="U5367" s="8" t="n">
        <v>0.005708889198805966</v>
      </c>
      <c r="V5367" s="6" t="inlineStr">
        <is>
          <t>not selected</t>
        </is>
      </c>
    </row>
    <row r="5368">
      <c r="A5368" s="6" t="inlineStr">
        <is>
          <t>DJ30</t>
        </is>
      </c>
      <c r="B5368" s="6" t="inlineStr">
        <is>
          <t>2026-05-01</t>
        </is>
      </c>
      <c r="C5368" s="6" t="inlineStr">
        <is>
          <t>DIA</t>
        </is>
      </c>
      <c r="D5368" s="6" t="inlineStr">
        <is>
          <t>AXP</t>
        </is>
      </c>
      <c r="E5368" s="6" t="inlineStr">
        <is>
          <t>AXP</t>
        </is>
      </c>
      <c r="F5368" s="6" t="inlineStr">
        <is>
          <t>-</t>
        </is>
      </c>
      <c r="G5368" s="7" t="n">
        <v>319.6799926757812</v>
      </c>
      <c r="H5368" s="6">
        <f>P5337</f>
        <v/>
      </c>
      <c r="I5368" s="9">
        <f>Q5337</f>
        <v/>
      </c>
      <c r="J5368" s="7">
        <f>I5368*G5368</f>
        <v/>
      </c>
      <c r="K5368" s="8">
        <f>IF($J$5395=0,0,J5368/$J$5395)</f>
        <v/>
      </c>
      <c r="L5368" s="6" t="inlineStr">
        <is>
          <t>REJECTED</t>
        </is>
      </c>
      <c r="M5368" s="8" t="n">
        <v>0</v>
      </c>
      <c r="N5368" s="7">
        <f>M5368*$J$5395-J5368</f>
        <v/>
      </c>
      <c r="O5368" s="9">
        <f>IF(G5368=0,0,N5368/G5368)</f>
        <v/>
      </c>
      <c r="P5368" s="6">
        <f>IF(M5368&gt;0,D5368,"")</f>
        <v/>
      </c>
      <c r="Q5368" s="9">
        <f>I5368+O5368</f>
        <v/>
      </c>
      <c r="R5368" s="7">
        <f>Q5368*G5368</f>
        <v/>
      </c>
      <c r="S5368" s="8">
        <f>IF($R$5395=0,0,R5368/$R$5395)</f>
        <v/>
      </c>
      <c r="T5368" s="8" t="n">
        <v>0.02544560329782208</v>
      </c>
      <c r="U5368" s="8" t="n">
        <v>0.005708889198805966</v>
      </c>
      <c r="V5368" s="6" t="inlineStr">
        <is>
          <t>not selected</t>
        </is>
      </c>
    </row>
    <row r="5369">
      <c r="A5369" s="6" t="inlineStr">
        <is>
          <t>DJ30</t>
        </is>
      </c>
      <c r="B5369" s="6" t="inlineStr">
        <is>
          <t>2026-05-01</t>
        </is>
      </c>
      <c r="C5369" s="6" t="inlineStr">
        <is>
          <t>DIA</t>
        </is>
      </c>
      <c r="D5369" s="6" t="inlineStr">
        <is>
          <t>BA</t>
        </is>
      </c>
      <c r="E5369" s="6" t="inlineStr">
        <is>
          <t>BA</t>
        </is>
      </c>
      <c r="F5369" s="6" t="inlineStr">
        <is>
          <t>-</t>
        </is>
      </c>
      <c r="G5369" s="7" t="n">
        <v>227.3800048828125</v>
      </c>
      <c r="H5369" s="6">
        <f>P5338</f>
        <v/>
      </c>
      <c r="I5369" s="9">
        <f>Q5338</f>
        <v/>
      </c>
      <c r="J5369" s="7">
        <f>I5369*G5369</f>
        <v/>
      </c>
      <c r="K5369" s="8">
        <f>IF($J$5395=0,0,J5369/$J$5395)</f>
        <v/>
      </c>
      <c r="L5369" s="6" t="inlineStr">
        <is>
          <t>REJECTED</t>
        </is>
      </c>
      <c r="M5369" s="8" t="n">
        <v>0</v>
      </c>
      <c r="N5369" s="7">
        <f>M5369*$J$5395-J5369</f>
        <v/>
      </c>
      <c r="O5369" s="9">
        <f>IF(G5369=0,0,N5369/G5369)</f>
        <v/>
      </c>
      <c r="P5369" s="6">
        <f>IF(M5369&gt;0,D5369,"")</f>
        <v/>
      </c>
      <c r="Q5369" s="9">
        <f>I5369+O5369</f>
        <v/>
      </c>
      <c r="R5369" s="7">
        <f>Q5369*G5369</f>
        <v/>
      </c>
      <c r="S5369" s="8">
        <f>IF($R$5395=0,0,R5369/$R$5395)</f>
        <v/>
      </c>
      <c r="T5369" s="8" t="n">
        <v>0.02544560329782208</v>
      </c>
      <c r="U5369" s="8" t="n">
        <v>0.005708889198805966</v>
      </c>
      <c r="V5369" s="6" t="inlineStr">
        <is>
          <t>not selected</t>
        </is>
      </c>
    </row>
    <row r="5370">
      <c r="A5370" s="6" t="inlineStr">
        <is>
          <t>DJ30</t>
        </is>
      </c>
      <c r="B5370" s="6" t="inlineStr">
        <is>
          <t>2026-05-01</t>
        </is>
      </c>
      <c r="C5370" s="6" t="inlineStr">
        <is>
          <t>DIA</t>
        </is>
      </c>
      <c r="D5370" s="6" t="inlineStr">
        <is>
          <t>CAT</t>
        </is>
      </c>
      <c r="E5370" s="6" t="inlineStr">
        <is>
          <t>CAT</t>
        </is>
      </c>
      <c r="F5370" s="6" t="inlineStr">
        <is>
          <t>-</t>
        </is>
      </c>
      <c r="G5370" s="7" t="n">
        <v>889.6699829101562</v>
      </c>
      <c r="H5370" s="6">
        <f>P5339</f>
        <v/>
      </c>
      <c r="I5370" s="9">
        <f>Q5339</f>
        <v/>
      </c>
      <c r="J5370" s="7">
        <f>I5370*G5370</f>
        <v/>
      </c>
      <c r="K5370" s="8">
        <f>IF($J$5395=0,0,J5370/$J$5395)</f>
        <v/>
      </c>
      <c r="L5370" s="6" t="inlineStr">
        <is>
          <t>SELECTED</t>
        </is>
      </c>
      <c r="M5370" s="8" t="n">
        <v>0.2</v>
      </c>
      <c r="N5370" s="7">
        <f>M5370*$J$5395-J5370</f>
        <v/>
      </c>
      <c r="O5370" s="9">
        <f>IF(G5370=0,0,N5370/G5370)</f>
        <v/>
      </c>
      <c r="P5370" s="6">
        <f>IF(M5370&gt;0,D5370,"")</f>
        <v/>
      </c>
      <c r="Q5370" s="9">
        <f>I5370+O5370</f>
        <v/>
      </c>
      <c r="R5370" s="7">
        <f>Q5370*G5370</f>
        <v/>
      </c>
      <c r="S5370" s="8">
        <f>IF($R$5395=0,0,R5370/$R$5395)</f>
        <v/>
      </c>
      <c r="T5370" s="8" t="n">
        <v>0.02544560329782208</v>
      </c>
      <c r="U5370" s="8" t="n">
        <v>0.005708889198805966</v>
      </c>
      <c r="V5370" s="6" t="inlineStr">
        <is>
          <t>remained in weekly selection</t>
        </is>
      </c>
    </row>
    <row r="5371">
      <c r="A5371" s="6" t="inlineStr">
        <is>
          <t>DJ30</t>
        </is>
      </c>
      <c r="B5371" s="6" t="inlineStr">
        <is>
          <t>2026-05-01</t>
        </is>
      </c>
      <c r="C5371" s="6" t="inlineStr">
        <is>
          <t>DIA</t>
        </is>
      </c>
      <c r="D5371" s="6" t="inlineStr">
        <is>
          <t>CRM</t>
        </is>
      </c>
      <c r="E5371" s="6" t="inlineStr">
        <is>
          <t>CRM</t>
        </is>
      </c>
      <c r="F5371" s="6" t="inlineStr">
        <is>
          <t>-</t>
        </is>
      </c>
      <c r="G5371" s="7" t="n">
        <v>183.3468017578125</v>
      </c>
      <c r="H5371" s="6">
        <f>P5340</f>
        <v/>
      </c>
      <c r="I5371" s="9">
        <f>Q5340</f>
        <v/>
      </c>
      <c r="J5371" s="7">
        <f>I5371*G5371</f>
        <v/>
      </c>
      <c r="K5371" s="8">
        <f>IF($J$5395=0,0,J5371/$J$5395)</f>
        <v/>
      </c>
      <c r="L5371" s="6" t="inlineStr">
        <is>
          <t>REJECTED</t>
        </is>
      </c>
      <c r="M5371" s="8" t="n">
        <v>0</v>
      </c>
      <c r="N5371" s="7">
        <f>M5371*$J$5395-J5371</f>
        <v/>
      </c>
      <c r="O5371" s="9">
        <f>IF(G5371=0,0,N5371/G5371)</f>
        <v/>
      </c>
      <c r="P5371" s="6">
        <f>IF(M5371&gt;0,D5371,"")</f>
        <v/>
      </c>
      <c r="Q5371" s="9">
        <f>I5371+O5371</f>
        <v/>
      </c>
      <c r="R5371" s="7">
        <f>Q5371*G5371</f>
        <v/>
      </c>
      <c r="S5371" s="8">
        <f>IF($R$5395=0,0,R5371/$R$5395)</f>
        <v/>
      </c>
      <c r="T5371" s="8" t="n">
        <v>0.02544560329782208</v>
      </c>
      <c r="U5371" s="8" t="n">
        <v>0.005708889198805966</v>
      </c>
      <c r="V5371" s="6" t="inlineStr">
        <is>
          <t>not selected</t>
        </is>
      </c>
    </row>
    <row r="5372">
      <c r="A5372" s="6" t="inlineStr">
        <is>
          <t>DJ30</t>
        </is>
      </c>
      <c r="B5372" s="6" t="inlineStr">
        <is>
          <t>2026-05-01</t>
        </is>
      </c>
      <c r="C5372" s="6" t="inlineStr">
        <is>
          <t>DIA</t>
        </is>
      </c>
      <c r="D5372" s="6" t="inlineStr">
        <is>
          <t>CSCO</t>
        </is>
      </c>
      <c r="E5372" s="6" t="inlineStr">
        <is>
          <t>CSCO</t>
        </is>
      </c>
      <c r="F5372" s="6" t="inlineStr">
        <is>
          <t>-</t>
        </is>
      </c>
      <c r="G5372" s="7" t="n">
        <v>91.84999847412109</v>
      </c>
      <c r="H5372" s="6">
        <f>P5341</f>
        <v/>
      </c>
      <c r="I5372" s="9">
        <f>Q5341</f>
        <v/>
      </c>
      <c r="J5372" s="7">
        <f>I5372*G5372</f>
        <v/>
      </c>
      <c r="K5372" s="8">
        <f>IF($J$5395=0,0,J5372/$J$5395)</f>
        <v/>
      </c>
      <c r="L5372" s="6" t="inlineStr">
        <is>
          <t>SELECTED</t>
        </is>
      </c>
      <c r="M5372" s="8" t="n">
        <v>0.2</v>
      </c>
      <c r="N5372" s="7">
        <f>M5372*$J$5395-J5372</f>
        <v/>
      </c>
      <c r="O5372" s="9">
        <f>IF(G5372=0,0,N5372/G5372)</f>
        <v/>
      </c>
      <c r="P5372" s="6">
        <f>IF(M5372&gt;0,D5372,"")</f>
        <v/>
      </c>
      <c r="Q5372" s="9">
        <f>I5372+O5372</f>
        <v/>
      </c>
      <c r="R5372" s="7">
        <f>Q5372*G5372</f>
        <v/>
      </c>
      <c r="S5372" s="8">
        <f>IF($R$5395=0,0,R5372/$R$5395)</f>
        <v/>
      </c>
      <c r="T5372" s="8" t="n">
        <v>0.02544560329782208</v>
      </c>
      <c r="U5372" s="8" t="n">
        <v>0.005708889198805966</v>
      </c>
      <c r="V5372" s="6" t="inlineStr">
        <is>
          <t>remained in weekly selection</t>
        </is>
      </c>
    </row>
    <row r="5373">
      <c r="A5373" s="6" t="inlineStr">
        <is>
          <t>DJ30</t>
        </is>
      </c>
      <c r="B5373" s="6" t="inlineStr">
        <is>
          <t>2026-05-01</t>
        </is>
      </c>
      <c r="C5373" s="6" t="inlineStr">
        <is>
          <t>DIA</t>
        </is>
      </c>
      <c r="D5373" s="6" t="inlineStr">
        <is>
          <t>CVX</t>
        </is>
      </c>
      <c r="E5373" s="6" t="inlineStr">
        <is>
          <t>CVX</t>
        </is>
      </c>
      <c r="F5373" s="6" t="inlineStr">
        <is>
          <t>-</t>
        </is>
      </c>
      <c r="G5373" s="7" t="n">
        <v>188.8998413085937</v>
      </c>
      <c r="H5373" s="6">
        <f>P5342</f>
        <v/>
      </c>
      <c r="I5373" s="9">
        <f>Q5342</f>
        <v/>
      </c>
      <c r="J5373" s="7">
        <f>I5373*G5373</f>
        <v/>
      </c>
      <c r="K5373" s="8">
        <f>IF($J$5395=0,0,J5373/$J$5395)</f>
        <v/>
      </c>
      <c r="L5373" s="6" t="inlineStr">
        <is>
          <t>SELECTED</t>
        </is>
      </c>
      <c r="M5373" s="8" t="n">
        <v>0.2</v>
      </c>
      <c r="N5373" s="7">
        <f>M5373*$J$5395-J5373</f>
        <v/>
      </c>
      <c r="O5373" s="9">
        <f>IF(G5373=0,0,N5373/G5373)</f>
        <v/>
      </c>
      <c r="P5373" s="6">
        <f>IF(M5373&gt;0,D5373,"")</f>
        <v/>
      </c>
      <c r="Q5373" s="9">
        <f>I5373+O5373</f>
        <v/>
      </c>
      <c r="R5373" s="7">
        <f>Q5373*G5373</f>
        <v/>
      </c>
      <c r="S5373" s="8">
        <f>IF($R$5395=0,0,R5373/$R$5395)</f>
        <v/>
      </c>
      <c r="T5373" s="8" t="n">
        <v>0.02544560329782208</v>
      </c>
      <c r="U5373" s="8" t="n">
        <v>0.005708889198805966</v>
      </c>
      <c r="V5373" s="6" t="inlineStr">
        <is>
          <t>remained in weekly selection</t>
        </is>
      </c>
    </row>
    <row r="5374">
      <c r="A5374" s="6" t="inlineStr">
        <is>
          <t>DJ30</t>
        </is>
      </c>
      <c r="B5374" s="6" t="inlineStr">
        <is>
          <t>2026-05-01</t>
        </is>
      </c>
      <c r="C5374" s="6" t="inlineStr">
        <is>
          <t>DIA</t>
        </is>
      </c>
      <c r="D5374" s="6" t="inlineStr">
        <is>
          <t>DIS</t>
        </is>
      </c>
      <c r="E5374" s="6" t="inlineStr">
        <is>
          <t>DIS</t>
        </is>
      </c>
      <c r="F5374" s="6" t="inlineStr">
        <is>
          <t>-</t>
        </is>
      </c>
      <c r="G5374" s="7" t="n">
        <v>103.0800018310547</v>
      </c>
      <c r="H5374" s="6">
        <f>P5343</f>
        <v/>
      </c>
      <c r="I5374" s="9">
        <f>Q5343</f>
        <v/>
      </c>
      <c r="J5374" s="7">
        <f>I5374*G5374</f>
        <v/>
      </c>
      <c r="K5374" s="8">
        <f>IF($J$5395=0,0,J5374/$J$5395)</f>
        <v/>
      </c>
      <c r="L5374" s="6" t="inlineStr">
        <is>
          <t>REJECTED</t>
        </is>
      </c>
      <c r="M5374" s="8" t="n">
        <v>0</v>
      </c>
      <c r="N5374" s="7">
        <f>M5374*$J$5395-J5374</f>
        <v/>
      </c>
      <c r="O5374" s="9">
        <f>IF(G5374=0,0,N5374/G5374)</f>
        <v/>
      </c>
      <c r="P5374" s="6">
        <f>IF(M5374&gt;0,D5374,"")</f>
        <v/>
      </c>
      <c r="Q5374" s="9">
        <f>I5374+O5374</f>
        <v/>
      </c>
      <c r="R5374" s="7">
        <f>Q5374*G5374</f>
        <v/>
      </c>
      <c r="S5374" s="8">
        <f>IF($R$5395=0,0,R5374/$R$5395)</f>
        <v/>
      </c>
      <c r="T5374" s="8" t="n">
        <v>0.02544560329782208</v>
      </c>
      <c r="U5374" s="8" t="n">
        <v>0.005708889198805966</v>
      </c>
      <c r="V5374" s="6" t="inlineStr">
        <is>
          <t>not selected</t>
        </is>
      </c>
    </row>
    <row r="5375">
      <c r="A5375" s="6" t="inlineStr">
        <is>
          <t>DJ30</t>
        </is>
      </c>
      <c r="B5375" s="6" t="inlineStr">
        <is>
          <t>2026-05-01</t>
        </is>
      </c>
      <c r="C5375" s="6" t="inlineStr">
        <is>
          <t>DIA</t>
        </is>
      </c>
      <c r="D5375" s="6" t="inlineStr">
        <is>
          <t>GS</t>
        </is>
      </c>
      <c r="E5375" s="6" t="inlineStr">
        <is>
          <t>GS</t>
        </is>
      </c>
      <c r="F5375" s="6" t="inlineStr">
        <is>
          <t>-</t>
        </is>
      </c>
      <c r="G5375" s="7" t="n">
        <v>919.6569213867188</v>
      </c>
      <c r="H5375" s="6">
        <f>P5344</f>
        <v/>
      </c>
      <c r="I5375" s="9">
        <f>Q5344</f>
        <v/>
      </c>
      <c r="J5375" s="7">
        <f>I5375*G5375</f>
        <v/>
      </c>
      <c r="K5375" s="8">
        <f>IF($J$5395=0,0,J5375/$J$5395)</f>
        <v/>
      </c>
      <c r="L5375" s="6" t="inlineStr">
        <is>
          <t>SELECTED</t>
        </is>
      </c>
      <c r="M5375" s="8" t="n">
        <v>0.2</v>
      </c>
      <c r="N5375" s="7">
        <f>M5375*$J$5395-J5375</f>
        <v/>
      </c>
      <c r="O5375" s="9">
        <f>IF(G5375=0,0,N5375/G5375)</f>
        <v/>
      </c>
      <c r="P5375" s="6">
        <f>IF(M5375&gt;0,D5375,"")</f>
        <v/>
      </c>
      <c r="Q5375" s="9">
        <f>I5375+O5375</f>
        <v/>
      </c>
      <c r="R5375" s="7">
        <f>Q5375*G5375</f>
        <v/>
      </c>
      <c r="S5375" s="8">
        <f>IF($R$5395=0,0,R5375/$R$5395)</f>
        <v/>
      </c>
      <c r="T5375" s="8" t="n">
        <v>0.02544560329782208</v>
      </c>
      <c r="U5375" s="8" t="n">
        <v>0.005708889198805966</v>
      </c>
      <c r="V5375" s="6" t="inlineStr">
        <is>
          <t>remained in weekly selection</t>
        </is>
      </c>
    </row>
    <row r="5376">
      <c r="A5376" s="6" t="inlineStr">
        <is>
          <t>DJ30</t>
        </is>
      </c>
      <c r="B5376" s="6" t="inlineStr">
        <is>
          <t>2026-05-01</t>
        </is>
      </c>
      <c r="C5376" s="6" t="inlineStr">
        <is>
          <t>DIA</t>
        </is>
      </c>
      <c r="D5376" s="6" t="inlineStr">
        <is>
          <t>HD</t>
        </is>
      </c>
      <c r="E5376" s="6" t="inlineStr">
        <is>
          <t>HD</t>
        </is>
      </c>
      <c r="F5376" s="6" t="inlineStr">
        <is>
          <t>-</t>
        </is>
      </c>
      <c r="G5376" s="7" t="n">
        <v>321.4687805175781</v>
      </c>
      <c r="H5376" s="6">
        <f>P5345</f>
        <v/>
      </c>
      <c r="I5376" s="9">
        <f>Q5345</f>
        <v/>
      </c>
      <c r="J5376" s="7">
        <f>I5376*G5376</f>
        <v/>
      </c>
      <c r="K5376" s="8">
        <f>IF($J$5395=0,0,J5376/$J$5395)</f>
        <v/>
      </c>
      <c r="L5376" s="6" t="inlineStr">
        <is>
          <t>REJECTED</t>
        </is>
      </c>
      <c r="M5376" s="8" t="n">
        <v>0</v>
      </c>
      <c r="N5376" s="7">
        <f>M5376*$J$5395-J5376</f>
        <v/>
      </c>
      <c r="O5376" s="9">
        <f>IF(G5376=0,0,N5376/G5376)</f>
        <v/>
      </c>
      <c r="P5376" s="6">
        <f>IF(M5376&gt;0,D5376,"")</f>
        <v/>
      </c>
      <c r="Q5376" s="9">
        <f>I5376+O5376</f>
        <v/>
      </c>
      <c r="R5376" s="7">
        <f>Q5376*G5376</f>
        <v/>
      </c>
      <c r="S5376" s="8">
        <f>IF($R$5395=0,0,R5376/$R$5395)</f>
        <v/>
      </c>
      <c r="T5376" s="8" t="n">
        <v>0.02544560329782208</v>
      </c>
      <c r="U5376" s="8" t="n">
        <v>0.005708889198805966</v>
      </c>
      <c r="V5376" s="6" t="inlineStr">
        <is>
          <t>not selected</t>
        </is>
      </c>
    </row>
    <row r="5377">
      <c r="A5377" s="6" t="inlineStr">
        <is>
          <t>DJ30</t>
        </is>
      </c>
      <c r="B5377" s="6" t="inlineStr">
        <is>
          <t>2026-05-01</t>
        </is>
      </c>
      <c r="C5377" s="6" t="inlineStr">
        <is>
          <t>DIA</t>
        </is>
      </c>
      <c r="D5377" s="6" t="inlineStr">
        <is>
          <t>HON</t>
        </is>
      </c>
      <c r="E5377" s="6" t="inlineStr">
        <is>
          <t>HON</t>
        </is>
      </c>
      <c r="F5377" s="6" t="inlineStr">
        <is>
          <t>-</t>
        </is>
      </c>
      <c r="G5377" s="7" t="n">
        <v>211.3385314941407</v>
      </c>
      <c r="H5377" s="6">
        <f>P5346</f>
        <v/>
      </c>
      <c r="I5377" s="9">
        <f>Q5346</f>
        <v/>
      </c>
      <c r="J5377" s="7">
        <f>I5377*G5377</f>
        <v/>
      </c>
      <c r="K5377" s="8">
        <f>IF($J$5395=0,0,J5377/$J$5395)</f>
        <v/>
      </c>
      <c r="L5377" s="6" t="inlineStr">
        <is>
          <t>REJECTED</t>
        </is>
      </c>
      <c r="M5377" s="8" t="n">
        <v>0</v>
      </c>
      <c r="N5377" s="7">
        <f>M5377*$J$5395-J5377</f>
        <v/>
      </c>
      <c r="O5377" s="9">
        <f>IF(G5377=0,0,N5377/G5377)</f>
        <v/>
      </c>
      <c r="P5377" s="6">
        <f>IF(M5377&gt;0,D5377,"")</f>
        <v/>
      </c>
      <c r="Q5377" s="9">
        <f>I5377+O5377</f>
        <v/>
      </c>
      <c r="R5377" s="7">
        <f>Q5377*G5377</f>
        <v/>
      </c>
      <c r="S5377" s="8">
        <f>IF($R$5395=0,0,R5377/$R$5395)</f>
        <v/>
      </c>
      <c r="T5377" s="8" t="n">
        <v>0.02544560329782208</v>
      </c>
      <c r="U5377" s="8" t="n">
        <v>0.005708889198805966</v>
      </c>
      <c r="V5377" s="6" t="inlineStr">
        <is>
          <t>not selected</t>
        </is>
      </c>
    </row>
    <row r="5378">
      <c r="A5378" s="6" t="inlineStr">
        <is>
          <t>DJ30</t>
        </is>
      </c>
      <c r="B5378" s="6" t="inlineStr">
        <is>
          <t>2026-05-01</t>
        </is>
      </c>
      <c r="C5378" s="6" t="inlineStr">
        <is>
          <t>DIA</t>
        </is>
      </c>
      <c r="D5378" s="6" t="inlineStr">
        <is>
          <t>IBM</t>
        </is>
      </c>
      <c r="E5378" s="6" t="inlineStr">
        <is>
          <t>IBM</t>
        </is>
      </c>
      <c r="F5378" s="6" t="inlineStr">
        <is>
          <t>-</t>
        </is>
      </c>
      <c r="G5378" s="7" t="n">
        <v>230.5034942626953</v>
      </c>
      <c r="H5378" s="6">
        <f>P5347</f>
        <v/>
      </c>
      <c r="I5378" s="9">
        <f>Q5347</f>
        <v/>
      </c>
      <c r="J5378" s="7">
        <f>I5378*G5378</f>
        <v/>
      </c>
      <c r="K5378" s="8">
        <f>IF($J$5395=0,0,J5378/$J$5395)</f>
        <v/>
      </c>
      <c r="L5378" s="6" t="inlineStr">
        <is>
          <t>REJECTED</t>
        </is>
      </c>
      <c r="M5378" s="8" t="n">
        <v>0</v>
      </c>
      <c r="N5378" s="7">
        <f>M5378*$J$5395-J5378</f>
        <v/>
      </c>
      <c r="O5378" s="9">
        <f>IF(G5378=0,0,N5378/G5378)</f>
        <v/>
      </c>
      <c r="P5378" s="6">
        <f>IF(M5378&gt;0,D5378,"")</f>
        <v/>
      </c>
      <c r="Q5378" s="9">
        <f>I5378+O5378</f>
        <v/>
      </c>
      <c r="R5378" s="7">
        <f>Q5378*G5378</f>
        <v/>
      </c>
      <c r="S5378" s="8">
        <f>IF($R$5395=0,0,R5378/$R$5395)</f>
        <v/>
      </c>
      <c r="T5378" s="8" t="n">
        <v>0.02544560329782208</v>
      </c>
      <c r="U5378" s="8" t="n">
        <v>0.005708889198805966</v>
      </c>
      <c r="V5378" s="6" t="inlineStr">
        <is>
          <t>not selected</t>
        </is>
      </c>
    </row>
    <row r="5379">
      <c r="A5379" s="6" t="inlineStr">
        <is>
          <t>DJ30</t>
        </is>
      </c>
      <c r="B5379" s="6" t="inlineStr">
        <is>
          <t>2026-05-01</t>
        </is>
      </c>
      <c r="C5379" s="6" t="inlineStr">
        <is>
          <t>DIA</t>
        </is>
      </c>
      <c r="D5379" s="6" t="inlineStr">
        <is>
          <t>JNJ</t>
        </is>
      </c>
      <c r="E5379" s="6" t="inlineStr">
        <is>
          <t>JNJ</t>
        </is>
      </c>
      <c r="F5379" s="6" t="inlineStr">
        <is>
          <t>-</t>
        </is>
      </c>
      <c r="G5379" s="7" t="n">
        <v>225.8908843994141</v>
      </c>
      <c r="H5379" s="6">
        <f>P5348</f>
        <v/>
      </c>
      <c r="I5379" s="9">
        <f>Q5348</f>
        <v/>
      </c>
      <c r="J5379" s="7">
        <f>I5379*G5379</f>
        <v/>
      </c>
      <c r="K5379" s="8">
        <f>IF($J$5395=0,0,J5379/$J$5395)</f>
        <v/>
      </c>
      <c r="L5379" s="6" t="inlineStr">
        <is>
          <t>SELECTED</t>
        </is>
      </c>
      <c r="M5379" s="8" t="n">
        <v>0.2</v>
      </c>
      <c r="N5379" s="7">
        <f>M5379*$J$5395-J5379</f>
        <v/>
      </c>
      <c r="O5379" s="9">
        <f>IF(G5379=0,0,N5379/G5379)</f>
        <v/>
      </c>
      <c r="P5379" s="6">
        <f>IF(M5379&gt;0,D5379,"")</f>
        <v/>
      </c>
      <c r="Q5379" s="9">
        <f>I5379+O5379</f>
        <v/>
      </c>
      <c r="R5379" s="7">
        <f>Q5379*G5379</f>
        <v/>
      </c>
      <c r="S5379" s="8">
        <f>IF($R$5395=0,0,R5379/$R$5395)</f>
        <v/>
      </c>
      <c r="T5379" s="8" t="n">
        <v>0.02544560329782208</v>
      </c>
      <c r="U5379" s="8" t="n">
        <v>0.005708889198805966</v>
      </c>
      <c r="V5379" s="6" t="inlineStr">
        <is>
          <t>remained in weekly selection</t>
        </is>
      </c>
    </row>
    <row r="5380">
      <c r="A5380" s="6" t="inlineStr">
        <is>
          <t>DJ30</t>
        </is>
      </c>
      <c r="B5380" s="6" t="inlineStr">
        <is>
          <t>2026-05-01</t>
        </is>
      </c>
      <c r="C5380" s="6" t="inlineStr">
        <is>
          <t>DIA</t>
        </is>
      </c>
      <c r="D5380" s="6" t="inlineStr">
        <is>
          <t>JPM</t>
        </is>
      </c>
      <c r="E5380" s="6" t="inlineStr">
        <is>
          <t>JPM</t>
        </is>
      </c>
      <c r="F5380" s="6" t="inlineStr">
        <is>
          <t>-</t>
        </is>
      </c>
      <c r="G5380" s="7" t="n">
        <v>312.4700012207031</v>
      </c>
      <c r="H5380" s="6">
        <f>P5349</f>
        <v/>
      </c>
      <c r="I5380" s="9">
        <f>Q5349</f>
        <v/>
      </c>
      <c r="J5380" s="7">
        <f>I5380*G5380</f>
        <v/>
      </c>
      <c r="K5380" s="8">
        <f>IF($J$5395=0,0,J5380/$J$5395)</f>
        <v/>
      </c>
      <c r="L5380" s="6" t="inlineStr">
        <is>
          <t>WATCHLIST</t>
        </is>
      </c>
      <c r="M5380" s="8" t="n">
        <v>0</v>
      </c>
      <c r="N5380" s="7">
        <f>M5380*$J$5395-J5380</f>
        <v/>
      </c>
      <c r="O5380" s="9">
        <f>IF(G5380=0,0,N5380/G5380)</f>
        <v/>
      </c>
      <c r="P5380" s="6">
        <f>IF(M5380&gt;0,D5380,"")</f>
        <v/>
      </c>
      <c r="Q5380" s="9">
        <f>I5380+O5380</f>
        <v/>
      </c>
      <c r="R5380" s="7">
        <f>Q5380*G5380</f>
        <v/>
      </c>
      <c r="S5380" s="8">
        <f>IF($R$5395=0,0,R5380/$R$5395)</f>
        <v/>
      </c>
      <c r="T5380" s="8" t="n">
        <v>0.02544560329782208</v>
      </c>
      <c r="U5380" s="8" t="n">
        <v>0.005708889198805966</v>
      </c>
      <c r="V5380" s="6" t="inlineStr">
        <is>
          <t>not selected</t>
        </is>
      </c>
    </row>
    <row r="5381">
      <c r="A5381" s="6" t="inlineStr">
        <is>
          <t>DJ30</t>
        </is>
      </c>
      <c r="B5381" s="6" t="inlineStr">
        <is>
          <t>2026-05-01</t>
        </is>
      </c>
      <c r="C5381" s="6" t="inlineStr">
        <is>
          <t>DIA</t>
        </is>
      </c>
      <c r="D5381" s="6" t="inlineStr">
        <is>
          <t>KO</t>
        </is>
      </c>
      <c r="E5381" s="6" t="inlineStr">
        <is>
          <t>KO</t>
        </is>
      </c>
      <c r="F5381" s="6" t="inlineStr">
        <is>
          <t>-</t>
        </is>
      </c>
      <c r="G5381" s="7" t="n">
        <v>78.07592010498047</v>
      </c>
      <c r="H5381" s="6">
        <f>P5350</f>
        <v/>
      </c>
      <c r="I5381" s="9">
        <f>Q5350</f>
        <v/>
      </c>
      <c r="J5381" s="7">
        <f>I5381*G5381</f>
        <v/>
      </c>
      <c r="K5381" s="8">
        <f>IF($J$5395=0,0,J5381/$J$5395)</f>
        <v/>
      </c>
      <c r="L5381" s="6" t="inlineStr">
        <is>
          <t>WATCHLIST</t>
        </is>
      </c>
      <c r="M5381" s="8" t="n">
        <v>0</v>
      </c>
      <c r="N5381" s="7">
        <f>M5381*$J$5395-J5381</f>
        <v/>
      </c>
      <c r="O5381" s="9">
        <f>IF(G5381=0,0,N5381/G5381)</f>
        <v/>
      </c>
      <c r="P5381" s="6">
        <f>IF(M5381&gt;0,D5381,"")</f>
        <v/>
      </c>
      <c r="Q5381" s="9">
        <f>I5381+O5381</f>
        <v/>
      </c>
      <c r="R5381" s="7">
        <f>Q5381*G5381</f>
        <v/>
      </c>
      <c r="S5381" s="8">
        <f>IF($R$5395=0,0,R5381/$R$5395)</f>
        <v/>
      </c>
      <c r="T5381" s="8" t="n">
        <v>0.02544560329782208</v>
      </c>
      <c r="U5381" s="8" t="n">
        <v>0.005708889198805966</v>
      </c>
      <c r="V5381" s="6" t="inlineStr">
        <is>
          <t>not selected</t>
        </is>
      </c>
    </row>
    <row r="5382">
      <c r="A5382" s="6" t="inlineStr">
        <is>
          <t>DJ30</t>
        </is>
      </c>
      <c r="B5382" s="6" t="inlineStr">
        <is>
          <t>2026-05-01</t>
        </is>
      </c>
      <c r="C5382" s="6" t="inlineStr">
        <is>
          <t>DIA</t>
        </is>
      </c>
      <c r="D5382" s="6" t="inlineStr">
        <is>
          <t>MCD</t>
        </is>
      </c>
      <c r="E5382" s="6" t="inlineStr">
        <is>
          <t>MCD</t>
        </is>
      </c>
      <c r="F5382" s="6" t="inlineStr">
        <is>
          <t>-</t>
        </is>
      </c>
      <c r="G5382" s="7" t="n">
        <v>284.7090759277344</v>
      </c>
      <c r="H5382" s="6">
        <f>P5351</f>
        <v/>
      </c>
      <c r="I5382" s="9">
        <f>Q5351</f>
        <v/>
      </c>
      <c r="J5382" s="7">
        <f>I5382*G5382</f>
        <v/>
      </c>
      <c r="K5382" s="8">
        <f>IF($J$5395=0,0,J5382/$J$5395)</f>
        <v/>
      </c>
      <c r="L5382" s="6" t="inlineStr">
        <is>
          <t>REJECTED</t>
        </is>
      </c>
      <c r="M5382" s="8" t="n">
        <v>0</v>
      </c>
      <c r="N5382" s="7">
        <f>M5382*$J$5395-J5382</f>
        <v/>
      </c>
      <c r="O5382" s="9">
        <f>IF(G5382=0,0,N5382/G5382)</f>
        <v/>
      </c>
      <c r="P5382" s="6">
        <f>IF(M5382&gt;0,D5382,"")</f>
        <v/>
      </c>
      <c r="Q5382" s="9">
        <f>I5382+O5382</f>
        <v/>
      </c>
      <c r="R5382" s="7">
        <f>Q5382*G5382</f>
        <v/>
      </c>
      <c r="S5382" s="8">
        <f>IF($R$5395=0,0,R5382/$R$5395)</f>
        <v/>
      </c>
      <c r="T5382" s="8" t="n">
        <v>0.02544560329782208</v>
      </c>
      <c r="U5382" s="8" t="n">
        <v>0.005708889198805966</v>
      </c>
      <c r="V5382" s="6" t="inlineStr">
        <is>
          <t>not selected</t>
        </is>
      </c>
    </row>
    <row r="5383">
      <c r="A5383" s="6" t="inlineStr">
        <is>
          <t>DJ30</t>
        </is>
      </c>
      <c r="B5383" s="6" t="inlineStr">
        <is>
          <t>2026-05-01</t>
        </is>
      </c>
      <c r="C5383" s="6" t="inlineStr">
        <is>
          <t>DIA</t>
        </is>
      </c>
      <c r="D5383" s="6" t="inlineStr">
        <is>
          <t>MMM</t>
        </is>
      </c>
      <c r="E5383" s="6" t="inlineStr">
        <is>
          <t>MMM</t>
        </is>
      </c>
      <c r="F5383" s="6" t="inlineStr">
        <is>
          <t>-</t>
        </is>
      </c>
      <c r="G5383" s="7" t="n">
        <v>141.7668151855469</v>
      </c>
      <c r="H5383" s="6">
        <f>P5352</f>
        <v/>
      </c>
      <c r="I5383" s="9">
        <f>Q5352</f>
        <v/>
      </c>
      <c r="J5383" s="7">
        <f>I5383*G5383</f>
        <v/>
      </c>
      <c r="K5383" s="8">
        <f>IF($J$5395=0,0,J5383/$J$5395)</f>
        <v/>
      </c>
      <c r="L5383" s="6" t="inlineStr">
        <is>
          <t>REJECTED</t>
        </is>
      </c>
      <c r="M5383" s="8" t="n">
        <v>0</v>
      </c>
      <c r="N5383" s="7">
        <f>M5383*$J$5395-J5383</f>
        <v/>
      </c>
      <c r="O5383" s="9">
        <f>IF(G5383=0,0,N5383/G5383)</f>
        <v/>
      </c>
      <c r="P5383" s="6">
        <f>IF(M5383&gt;0,D5383,"")</f>
        <v/>
      </c>
      <c r="Q5383" s="9">
        <f>I5383+O5383</f>
        <v/>
      </c>
      <c r="R5383" s="7">
        <f>Q5383*G5383</f>
        <v/>
      </c>
      <c r="S5383" s="8">
        <f>IF($R$5395=0,0,R5383/$R$5395)</f>
        <v/>
      </c>
      <c r="T5383" s="8" t="n">
        <v>0.02544560329782208</v>
      </c>
      <c r="U5383" s="8" t="n">
        <v>0.005708889198805966</v>
      </c>
      <c r="V5383" s="6" t="inlineStr">
        <is>
          <t>not selected</t>
        </is>
      </c>
    </row>
    <row r="5384">
      <c r="A5384" s="6" t="inlineStr">
        <is>
          <t>DJ30</t>
        </is>
      </c>
      <c r="B5384" s="6" t="inlineStr">
        <is>
          <t>2026-05-01</t>
        </is>
      </c>
      <c r="C5384" s="6" t="inlineStr">
        <is>
          <t>DIA</t>
        </is>
      </c>
      <c r="D5384" s="6" t="inlineStr">
        <is>
          <t>MRK</t>
        </is>
      </c>
      <c r="E5384" s="6" t="inlineStr">
        <is>
          <t>MRK</t>
        </is>
      </c>
      <c r="F5384" s="6" t="inlineStr">
        <is>
          <t>-</t>
        </is>
      </c>
      <c r="G5384" s="7" t="n">
        <v>111.3591995239258</v>
      </c>
      <c r="H5384" s="6">
        <f>P5353</f>
        <v/>
      </c>
      <c r="I5384" s="9">
        <f>Q5353</f>
        <v/>
      </c>
      <c r="J5384" s="7">
        <f>I5384*G5384</f>
        <v/>
      </c>
      <c r="K5384" s="8">
        <f>IF($J$5395=0,0,J5384/$J$5395)</f>
        <v/>
      </c>
      <c r="L5384" s="6" t="inlineStr">
        <is>
          <t>WATCHLIST</t>
        </is>
      </c>
      <c r="M5384" s="8" t="n">
        <v>0</v>
      </c>
      <c r="N5384" s="7">
        <f>M5384*$J$5395-J5384</f>
        <v/>
      </c>
      <c r="O5384" s="9">
        <f>IF(G5384=0,0,N5384/G5384)</f>
        <v/>
      </c>
      <c r="P5384" s="6">
        <f>IF(M5384&gt;0,D5384,"")</f>
        <v/>
      </c>
      <c r="Q5384" s="9">
        <f>I5384+O5384</f>
        <v/>
      </c>
      <c r="R5384" s="7">
        <f>Q5384*G5384</f>
        <v/>
      </c>
      <c r="S5384" s="8">
        <f>IF($R$5395=0,0,R5384/$R$5395)</f>
        <v/>
      </c>
      <c r="T5384" s="8" t="n">
        <v>0.02544560329782208</v>
      </c>
      <c r="U5384" s="8" t="n">
        <v>0.005708889198805966</v>
      </c>
      <c r="V5384" s="6" t="inlineStr">
        <is>
          <t>not selected</t>
        </is>
      </c>
    </row>
    <row r="5385">
      <c r="A5385" s="6" t="inlineStr">
        <is>
          <t>DJ30</t>
        </is>
      </c>
      <c r="B5385" s="6" t="inlineStr">
        <is>
          <t>2026-05-01</t>
        </is>
      </c>
      <c r="C5385" s="6" t="inlineStr">
        <is>
          <t>DIA</t>
        </is>
      </c>
      <c r="D5385" s="6" t="inlineStr">
        <is>
          <t>MSFT</t>
        </is>
      </c>
      <c r="E5385" s="6" t="inlineStr">
        <is>
          <t>MSFT</t>
        </is>
      </c>
      <c r="F5385" s="6" t="inlineStr">
        <is>
          <t>-</t>
        </is>
      </c>
      <c r="G5385" s="7" t="n">
        <v>413.5443115234375</v>
      </c>
      <c r="H5385" s="6">
        <f>P5354</f>
        <v/>
      </c>
      <c r="I5385" s="9">
        <f>Q5354</f>
        <v/>
      </c>
      <c r="J5385" s="7">
        <f>I5385*G5385</f>
        <v/>
      </c>
      <c r="K5385" s="8">
        <f>IF($J$5395=0,0,J5385/$J$5395)</f>
        <v/>
      </c>
      <c r="L5385" s="6" t="inlineStr">
        <is>
          <t>REJECTED</t>
        </is>
      </c>
      <c r="M5385" s="8" t="n">
        <v>0</v>
      </c>
      <c r="N5385" s="7">
        <f>M5385*$J$5395-J5385</f>
        <v/>
      </c>
      <c r="O5385" s="9">
        <f>IF(G5385=0,0,N5385/G5385)</f>
        <v/>
      </c>
      <c r="P5385" s="6">
        <f>IF(M5385&gt;0,D5385,"")</f>
        <v/>
      </c>
      <c r="Q5385" s="9">
        <f>I5385+O5385</f>
        <v/>
      </c>
      <c r="R5385" s="7">
        <f>Q5385*G5385</f>
        <v/>
      </c>
      <c r="S5385" s="8">
        <f>IF($R$5395=0,0,R5385/$R$5395)</f>
        <v/>
      </c>
      <c r="T5385" s="8" t="n">
        <v>0.02544560329782208</v>
      </c>
      <c r="U5385" s="8" t="n">
        <v>0.005708889198805966</v>
      </c>
      <c r="V5385" s="6" t="inlineStr">
        <is>
          <t>not selected</t>
        </is>
      </c>
    </row>
    <row r="5386">
      <c r="A5386" s="6" t="inlineStr">
        <is>
          <t>DJ30</t>
        </is>
      </c>
      <c r="B5386" s="6" t="inlineStr">
        <is>
          <t>2026-05-01</t>
        </is>
      </c>
      <c r="C5386" s="6" t="inlineStr">
        <is>
          <t>DIA</t>
        </is>
      </c>
      <c r="D5386" s="6" t="inlineStr">
        <is>
          <t>NKE</t>
        </is>
      </c>
      <c r="E5386" s="6" t="inlineStr">
        <is>
          <t>NKE</t>
        </is>
      </c>
      <c r="F5386" s="6" t="inlineStr">
        <is>
          <t>-</t>
        </is>
      </c>
      <c r="G5386" s="7" t="n">
        <v>44.00623321533203</v>
      </c>
      <c r="H5386" s="6">
        <f>P5355</f>
        <v/>
      </c>
      <c r="I5386" s="9">
        <f>Q5355</f>
        <v/>
      </c>
      <c r="J5386" s="7">
        <f>I5386*G5386</f>
        <v/>
      </c>
      <c r="K5386" s="8">
        <f>IF($J$5395=0,0,J5386/$J$5395)</f>
        <v/>
      </c>
      <c r="L5386" s="6" t="inlineStr">
        <is>
          <t>REJECTED</t>
        </is>
      </c>
      <c r="M5386" s="8" t="n">
        <v>0</v>
      </c>
      <c r="N5386" s="7">
        <f>M5386*$J$5395-J5386</f>
        <v/>
      </c>
      <c r="O5386" s="9">
        <f>IF(G5386=0,0,N5386/G5386)</f>
        <v/>
      </c>
      <c r="P5386" s="6">
        <f>IF(M5386&gt;0,D5386,"")</f>
        <v/>
      </c>
      <c r="Q5386" s="9">
        <f>I5386+O5386</f>
        <v/>
      </c>
      <c r="R5386" s="7">
        <f>Q5386*G5386</f>
        <v/>
      </c>
      <c r="S5386" s="8">
        <f>IF($R$5395=0,0,R5386/$R$5395)</f>
        <v/>
      </c>
      <c r="T5386" s="8" t="n">
        <v>0.02544560329782208</v>
      </c>
      <c r="U5386" s="8" t="n">
        <v>0.005708889198805966</v>
      </c>
      <c r="V5386" s="6" t="inlineStr">
        <is>
          <t>not selected</t>
        </is>
      </c>
    </row>
    <row r="5387">
      <c r="A5387" s="6" t="inlineStr">
        <is>
          <t>DJ30</t>
        </is>
      </c>
      <c r="B5387" s="6" t="inlineStr">
        <is>
          <t>2026-05-01</t>
        </is>
      </c>
      <c r="C5387" s="6" t="inlineStr">
        <is>
          <t>DIA</t>
        </is>
      </c>
      <c r="D5387" s="6" t="inlineStr">
        <is>
          <t>NVDA</t>
        </is>
      </c>
      <c r="E5387" s="6" t="inlineStr">
        <is>
          <t>NVDA</t>
        </is>
      </c>
      <c r="F5387" s="6" t="inlineStr">
        <is>
          <t>-</t>
        </is>
      </c>
      <c r="G5387" s="7" t="n">
        <v>198.218978881836</v>
      </c>
      <c r="H5387" s="6">
        <f>P5356</f>
        <v/>
      </c>
      <c r="I5387" s="9">
        <f>Q5356</f>
        <v/>
      </c>
      <c r="J5387" s="7">
        <f>I5387*G5387</f>
        <v/>
      </c>
      <c r="K5387" s="8">
        <f>IF($J$5395=0,0,J5387/$J$5395)</f>
        <v/>
      </c>
      <c r="L5387" s="6" t="inlineStr">
        <is>
          <t>WATCHLIST</t>
        </is>
      </c>
      <c r="M5387" s="8" t="n">
        <v>0</v>
      </c>
      <c r="N5387" s="7">
        <f>M5387*$J$5395-J5387</f>
        <v/>
      </c>
      <c r="O5387" s="9">
        <f>IF(G5387=0,0,N5387/G5387)</f>
        <v/>
      </c>
      <c r="P5387" s="6">
        <f>IF(M5387&gt;0,D5387,"")</f>
        <v/>
      </c>
      <c r="Q5387" s="9">
        <f>I5387+O5387</f>
        <v/>
      </c>
      <c r="R5387" s="7">
        <f>Q5387*G5387</f>
        <v/>
      </c>
      <c r="S5387" s="8">
        <f>IF($R$5395=0,0,R5387/$R$5395)</f>
        <v/>
      </c>
      <c r="T5387" s="8" t="n">
        <v>0.02544560329782208</v>
      </c>
      <c r="U5387" s="8" t="n">
        <v>0.005708889198805966</v>
      </c>
      <c r="V5387" s="6" t="inlineStr">
        <is>
          <t>not selected</t>
        </is>
      </c>
    </row>
    <row r="5388">
      <c r="A5388" s="6" t="inlineStr">
        <is>
          <t>DJ30</t>
        </is>
      </c>
      <c r="B5388" s="6" t="inlineStr">
        <is>
          <t>2026-05-01</t>
        </is>
      </c>
      <c r="C5388" s="6" t="inlineStr">
        <is>
          <t>DIA</t>
        </is>
      </c>
      <c r="D5388" s="6" t="inlineStr">
        <is>
          <t>PG</t>
        </is>
      </c>
      <c r="E5388" s="6" t="inlineStr">
        <is>
          <t>PG</t>
        </is>
      </c>
      <c r="F5388" s="6" t="inlineStr">
        <is>
          <t>-</t>
        </is>
      </c>
      <c r="G5388" s="7" t="n">
        <v>147.2599945068359</v>
      </c>
      <c r="H5388" s="6">
        <f>P5357</f>
        <v/>
      </c>
      <c r="I5388" s="9">
        <f>Q5357</f>
        <v/>
      </c>
      <c r="J5388" s="7">
        <f>I5388*G5388</f>
        <v/>
      </c>
      <c r="K5388" s="8">
        <f>IF($J$5395=0,0,J5388/$J$5395)</f>
        <v/>
      </c>
      <c r="L5388" s="6" t="inlineStr">
        <is>
          <t>REJECTED</t>
        </is>
      </c>
      <c r="M5388" s="8" t="n">
        <v>0</v>
      </c>
      <c r="N5388" s="7">
        <f>M5388*$J$5395-J5388</f>
        <v/>
      </c>
      <c r="O5388" s="9">
        <f>IF(G5388=0,0,N5388/G5388)</f>
        <v/>
      </c>
      <c r="P5388" s="6">
        <f>IF(M5388&gt;0,D5388,"")</f>
        <v/>
      </c>
      <c r="Q5388" s="9">
        <f>I5388+O5388</f>
        <v/>
      </c>
      <c r="R5388" s="7">
        <f>Q5388*G5388</f>
        <v/>
      </c>
      <c r="S5388" s="8">
        <f>IF($R$5395=0,0,R5388/$R$5395)</f>
        <v/>
      </c>
      <c r="T5388" s="8" t="n">
        <v>0.02544560329782208</v>
      </c>
      <c r="U5388" s="8" t="n">
        <v>0.005708889198805966</v>
      </c>
      <c r="V5388" s="6" t="inlineStr">
        <is>
          <t>not selected</t>
        </is>
      </c>
    </row>
    <row r="5389">
      <c r="A5389" s="6" t="inlineStr">
        <is>
          <t>DJ30</t>
        </is>
      </c>
      <c r="B5389" s="6" t="inlineStr">
        <is>
          <t>2026-05-01</t>
        </is>
      </c>
      <c r="C5389" s="6" t="inlineStr">
        <is>
          <t>DIA</t>
        </is>
      </c>
      <c r="D5389" s="6" t="inlineStr">
        <is>
          <t>SHW</t>
        </is>
      </c>
      <c r="E5389" s="6" t="inlineStr">
        <is>
          <t>SHW</t>
        </is>
      </c>
      <c r="F5389" s="6" t="inlineStr">
        <is>
          <t>-</t>
        </is>
      </c>
      <c r="G5389" s="7" t="n">
        <v>317.1776123046875</v>
      </c>
      <c r="H5389" s="6">
        <f>P5358</f>
        <v/>
      </c>
      <c r="I5389" s="9">
        <f>Q5358</f>
        <v/>
      </c>
      <c r="J5389" s="7">
        <f>I5389*G5389</f>
        <v/>
      </c>
      <c r="K5389" s="8">
        <f>IF($J$5395=0,0,J5389/$J$5395)</f>
        <v/>
      </c>
      <c r="L5389" s="6" t="inlineStr">
        <is>
          <t>REJECTED</t>
        </is>
      </c>
      <c r="M5389" s="8" t="n">
        <v>0</v>
      </c>
      <c r="N5389" s="7">
        <f>M5389*$J$5395-J5389</f>
        <v/>
      </c>
      <c r="O5389" s="9">
        <f>IF(G5389=0,0,N5389/G5389)</f>
        <v/>
      </c>
      <c r="P5389" s="6">
        <f>IF(M5389&gt;0,D5389,"")</f>
        <v/>
      </c>
      <c r="Q5389" s="9">
        <f>I5389+O5389</f>
        <v/>
      </c>
      <c r="R5389" s="7">
        <f>Q5389*G5389</f>
        <v/>
      </c>
      <c r="S5389" s="8">
        <f>IF($R$5395=0,0,R5389/$R$5395)</f>
        <v/>
      </c>
      <c r="T5389" s="8" t="n">
        <v>0.02544560329782208</v>
      </c>
      <c r="U5389" s="8" t="n">
        <v>0.005708889198805966</v>
      </c>
      <c r="V5389" s="6" t="inlineStr">
        <is>
          <t>not selected</t>
        </is>
      </c>
    </row>
    <row r="5390">
      <c r="A5390" s="6" t="inlineStr">
        <is>
          <t>DJ30</t>
        </is>
      </c>
      <c r="B5390" s="6" t="inlineStr">
        <is>
          <t>2026-05-01</t>
        </is>
      </c>
      <c r="C5390" s="6" t="inlineStr">
        <is>
          <t>DIA</t>
        </is>
      </c>
      <c r="D5390" s="6" t="inlineStr">
        <is>
          <t>TRV</t>
        </is>
      </c>
      <c r="E5390" s="6" t="inlineStr">
        <is>
          <t>TRV</t>
        </is>
      </c>
      <c r="F5390" s="6" t="inlineStr">
        <is>
          <t>-</t>
        </is>
      </c>
      <c r="G5390" s="7" t="n">
        <v>303.4513854980469</v>
      </c>
      <c r="H5390" s="6">
        <f>P5359</f>
        <v/>
      </c>
      <c r="I5390" s="9">
        <f>Q5359</f>
        <v/>
      </c>
      <c r="J5390" s="7">
        <f>I5390*G5390</f>
        <v/>
      </c>
      <c r="K5390" s="8">
        <f>IF($J$5395=0,0,J5390/$J$5395)</f>
        <v/>
      </c>
      <c r="L5390" s="6" t="inlineStr">
        <is>
          <t>WATCHLIST</t>
        </is>
      </c>
      <c r="M5390" s="8" t="n">
        <v>0</v>
      </c>
      <c r="N5390" s="7">
        <f>M5390*$J$5395-J5390</f>
        <v/>
      </c>
      <c r="O5390" s="9">
        <f>IF(G5390=0,0,N5390/G5390)</f>
        <v/>
      </c>
      <c r="P5390" s="6">
        <f>IF(M5390&gt;0,D5390,"")</f>
        <v/>
      </c>
      <c r="Q5390" s="9">
        <f>I5390+O5390</f>
        <v/>
      </c>
      <c r="R5390" s="7">
        <f>Q5390*G5390</f>
        <v/>
      </c>
      <c r="S5390" s="8">
        <f>IF($R$5395=0,0,R5390/$R$5395)</f>
        <v/>
      </c>
      <c r="T5390" s="8" t="n">
        <v>0.02544560329782208</v>
      </c>
      <c r="U5390" s="8" t="n">
        <v>0.005708889198805966</v>
      </c>
      <c r="V5390" s="6" t="inlineStr">
        <is>
          <t>not selected</t>
        </is>
      </c>
    </row>
    <row r="5391">
      <c r="A5391" s="6" t="inlineStr">
        <is>
          <t>DJ30</t>
        </is>
      </c>
      <c r="B5391" s="6" t="inlineStr">
        <is>
          <t>2026-05-01</t>
        </is>
      </c>
      <c r="C5391" s="6" t="inlineStr">
        <is>
          <t>DIA</t>
        </is>
      </c>
      <c r="D5391" s="6" t="inlineStr">
        <is>
          <t>UNH</t>
        </is>
      </c>
      <c r="E5391" s="6" t="inlineStr">
        <is>
          <t>UNH</t>
        </is>
      </c>
      <c r="F5391" s="6" t="inlineStr">
        <is>
          <t>-</t>
        </is>
      </c>
      <c r="G5391" s="7" t="n">
        <v>366.6856994628906</v>
      </c>
      <c r="H5391" s="6">
        <f>P5360</f>
        <v/>
      </c>
      <c r="I5391" s="9">
        <f>Q5360</f>
        <v/>
      </c>
      <c r="J5391" s="7">
        <f>I5391*G5391</f>
        <v/>
      </c>
      <c r="K5391" s="8">
        <f>IF($J$5395=0,0,J5391/$J$5395)</f>
        <v/>
      </c>
      <c r="L5391" s="6" t="inlineStr">
        <is>
          <t>REJECTED</t>
        </is>
      </c>
      <c r="M5391" s="8" t="n">
        <v>0</v>
      </c>
      <c r="N5391" s="7">
        <f>M5391*$J$5395-J5391</f>
        <v/>
      </c>
      <c r="O5391" s="9">
        <f>IF(G5391=0,0,N5391/G5391)</f>
        <v/>
      </c>
      <c r="P5391" s="6">
        <f>IF(M5391&gt;0,D5391,"")</f>
        <v/>
      </c>
      <c r="Q5391" s="9">
        <f>I5391+O5391</f>
        <v/>
      </c>
      <c r="R5391" s="7">
        <f>Q5391*G5391</f>
        <v/>
      </c>
      <c r="S5391" s="8">
        <f>IF($R$5395=0,0,R5391/$R$5395)</f>
        <v/>
      </c>
      <c r="T5391" s="8" t="n">
        <v>0.02544560329782208</v>
      </c>
      <c r="U5391" s="8" t="n">
        <v>0.005708889198805966</v>
      </c>
      <c r="V5391" s="6" t="inlineStr">
        <is>
          <t>not selected</t>
        </is>
      </c>
    </row>
    <row r="5392">
      <c r="A5392" s="6" t="inlineStr">
        <is>
          <t>DJ30</t>
        </is>
      </c>
      <c r="B5392" s="6" t="inlineStr">
        <is>
          <t>2026-05-01</t>
        </is>
      </c>
      <c r="C5392" s="6" t="inlineStr">
        <is>
          <t>DIA</t>
        </is>
      </c>
      <c r="D5392" s="6" t="inlineStr">
        <is>
          <t>V</t>
        </is>
      </c>
      <c r="E5392" s="6" t="inlineStr">
        <is>
          <t>V</t>
        </is>
      </c>
      <c r="F5392" s="6" t="inlineStr">
        <is>
          <t>-</t>
        </is>
      </c>
      <c r="G5392" s="7" t="n">
        <v>327.3513793945312</v>
      </c>
      <c r="H5392" s="6">
        <f>P5361</f>
        <v/>
      </c>
      <c r="I5392" s="9">
        <f>Q5361</f>
        <v/>
      </c>
      <c r="J5392" s="7">
        <f>I5392*G5392</f>
        <v/>
      </c>
      <c r="K5392" s="8">
        <f>IF($J$5395=0,0,J5392/$J$5395)</f>
        <v/>
      </c>
      <c r="L5392" s="6" t="inlineStr">
        <is>
          <t>REJECTED</t>
        </is>
      </c>
      <c r="M5392" s="8" t="n">
        <v>0</v>
      </c>
      <c r="N5392" s="7">
        <f>M5392*$J$5395-J5392</f>
        <v/>
      </c>
      <c r="O5392" s="9">
        <f>IF(G5392=0,0,N5392/G5392)</f>
        <v/>
      </c>
      <c r="P5392" s="6">
        <f>IF(M5392&gt;0,D5392,"")</f>
        <v/>
      </c>
      <c r="Q5392" s="9">
        <f>I5392+O5392</f>
        <v/>
      </c>
      <c r="R5392" s="7">
        <f>Q5392*G5392</f>
        <v/>
      </c>
      <c r="S5392" s="8">
        <f>IF($R$5395=0,0,R5392/$R$5395)</f>
        <v/>
      </c>
      <c r="T5392" s="8" t="n">
        <v>0.02544560329782208</v>
      </c>
      <c r="U5392" s="8" t="n">
        <v>0.005708889198805966</v>
      </c>
      <c r="V5392" s="6" t="inlineStr">
        <is>
          <t>not selected</t>
        </is>
      </c>
    </row>
    <row r="5393">
      <c r="A5393" s="6" t="inlineStr">
        <is>
          <t>DJ30</t>
        </is>
      </c>
      <c r="B5393" s="6" t="inlineStr">
        <is>
          <t>2026-05-01</t>
        </is>
      </c>
      <c r="C5393" s="6" t="inlineStr">
        <is>
          <t>DIA</t>
        </is>
      </c>
      <c r="D5393" s="6" t="inlineStr">
        <is>
          <t>VZ</t>
        </is>
      </c>
      <c r="E5393" s="6" t="inlineStr">
        <is>
          <t>VZ</t>
        </is>
      </c>
      <c r="F5393" s="6" t="inlineStr">
        <is>
          <t>-</t>
        </is>
      </c>
      <c r="G5393" s="7" t="n">
        <v>48.11000061035156</v>
      </c>
      <c r="H5393" s="6">
        <f>P5362</f>
        <v/>
      </c>
      <c r="I5393" s="9">
        <f>Q5362</f>
        <v/>
      </c>
      <c r="J5393" s="7">
        <f>I5393*G5393</f>
        <v/>
      </c>
      <c r="K5393" s="8">
        <f>IF($J$5395=0,0,J5393/$J$5395)</f>
        <v/>
      </c>
      <c r="L5393" s="6" t="inlineStr">
        <is>
          <t>WATCHLIST</t>
        </is>
      </c>
      <c r="M5393" s="8" t="n">
        <v>0</v>
      </c>
      <c r="N5393" s="7">
        <f>M5393*$J$5395-J5393</f>
        <v/>
      </c>
      <c r="O5393" s="9">
        <f>IF(G5393=0,0,N5393/G5393)</f>
        <v/>
      </c>
      <c r="P5393" s="6">
        <f>IF(M5393&gt;0,D5393,"")</f>
        <v/>
      </c>
      <c r="Q5393" s="9">
        <f>I5393+O5393</f>
        <v/>
      </c>
      <c r="R5393" s="7">
        <f>Q5393*G5393</f>
        <v/>
      </c>
      <c r="S5393" s="8">
        <f>IF($R$5395=0,0,R5393/$R$5395)</f>
        <v/>
      </c>
      <c r="T5393" s="8" t="n">
        <v>0.02544560329782208</v>
      </c>
      <c r="U5393" s="8" t="n">
        <v>0.005708889198805966</v>
      </c>
      <c r="V5393" s="6" t="inlineStr">
        <is>
          <t>not selected</t>
        </is>
      </c>
    </row>
    <row r="5394">
      <c r="A5394" s="6" t="inlineStr">
        <is>
          <t>DJ30</t>
        </is>
      </c>
      <c r="B5394" s="6" t="inlineStr">
        <is>
          <t>2026-05-01</t>
        </is>
      </c>
      <c r="C5394" s="6" t="inlineStr">
        <is>
          <t>DIA</t>
        </is>
      </c>
      <c r="D5394" s="6" t="inlineStr">
        <is>
          <t>WMT</t>
        </is>
      </c>
      <c r="E5394" s="6" t="inlineStr">
        <is>
          <t>WMT</t>
        </is>
      </c>
      <c r="F5394" s="6" t="inlineStr">
        <is>
          <t>-</t>
        </is>
      </c>
      <c r="G5394" s="7" t="n">
        <v>131.3493347167969</v>
      </c>
      <c r="H5394" s="6">
        <f>P5363</f>
        <v/>
      </c>
      <c r="I5394" s="9">
        <f>Q5363</f>
        <v/>
      </c>
      <c r="J5394" s="7">
        <f>I5394*G5394</f>
        <v/>
      </c>
      <c r="K5394" s="8">
        <f>IF($J$5395=0,0,J5394/$J$5395)</f>
        <v/>
      </c>
      <c r="L5394" s="6" t="inlineStr">
        <is>
          <t>WATCHLIST</t>
        </is>
      </c>
      <c r="M5394" s="8" t="n">
        <v>0</v>
      </c>
      <c r="N5394" s="7">
        <f>M5394*$J$5395-J5394</f>
        <v/>
      </c>
      <c r="O5394" s="9">
        <f>IF(G5394=0,0,N5394/G5394)</f>
        <v/>
      </c>
      <c r="P5394" s="6">
        <f>IF(M5394&gt;0,D5394,"")</f>
        <v/>
      </c>
      <c r="Q5394" s="9">
        <f>I5394+O5394</f>
        <v/>
      </c>
      <c r="R5394" s="7">
        <f>Q5394*G5394</f>
        <v/>
      </c>
      <c r="S5394" s="8">
        <f>IF($R$5395=0,0,R5394/$R$5395)</f>
        <v/>
      </c>
      <c r="T5394" s="8" t="n">
        <v>0.02544560329782208</v>
      </c>
      <c r="U5394" s="8" t="n">
        <v>0.005708889198805966</v>
      </c>
      <c r="V5394" s="6" t="inlineStr">
        <is>
          <t>not selected</t>
        </is>
      </c>
    </row>
    <row r="5395">
      <c r="A5395" s="10" t="inlineStr">
        <is>
          <t>DJ30</t>
        </is>
      </c>
      <c r="B5395" s="10" t="inlineStr">
        <is>
          <t>2026-05-01</t>
        </is>
      </c>
      <c r="C5395" s="10" t="inlineStr">
        <is>
          <t>DIA</t>
        </is>
      </c>
      <c r="D5395" s="10" t="inlineStr">
        <is>
          <t>Tot Portfolio</t>
        </is>
      </c>
      <c r="E5395" s="10" t="inlineStr"/>
      <c r="F5395" s="10" t="inlineStr"/>
      <c r="G5395" s="11" t="inlineStr"/>
      <c r="H5395" s="10" t="inlineStr"/>
      <c r="I5395" s="12" t="inlineStr"/>
      <c r="J5395" s="11">
        <f>SUM(J5365:J5394)</f>
        <v/>
      </c>
      <c r="K5395" s="13">
        <f>SUM(K5365:K5394)</f>
        <v/>
      </c>
      <c r="L5395" s="10" t="inlineStr">
        <is>
          <t>TOTAL</t>
        </is>
      </c>
      <c r="M5395" s="13">
        <f>SUM(M5365:M5394)</f>
        <v/>
      </c>
      <c r="N5395" s="11">
        <f>SUM(N5365:N5394)</f>
        <v/>
      </c>
      <c r="O5395" s="12">
        <f>SUM(O5365:O5394)</f>
        <v/>
      </c>
      <c r="P5395" s="10" t="inlineStr"/>
      <c r="Q5395" s="12" t="inlineStr"/>
      <c r="R5395" s="11">
        <f>SUM(R5365:R5394)</f>
        <v/>
      </c>
      <c r="S5395" s="13">
        <f>SUM(S5365:S5394)</f>
        <v/>
      </c>
      <c r="T5395" s="13" t="n">
        <v>0.02544560329782208</v>
      </c>
      <c r="U5395" s="13" t="n">
        <v>0.005708889198805966</v>
      </c>
      <c r="V5395" s="10" t="inlineStr"/>
    </row>
    <row r="5396">
      <c r="A5396" s="6" t="inlineStr">
        <is>
          <t>DJ30</t>
        </is>
      </c>
      <c r="B5396" s="6" t="inlineStr">
        <is>
          <t>2026-05-08</t>
        </is>
      </c>
      <c r="C5396" s="6" t="inlineStr">
        <is>
          <t>DIA</t>
        </is>
      </c>
      <c r="D5396" s="6" t="inlineStr">
        <is>
          <t>AAPL</t>
        </is>
      </c>
      <c r="E5396" s="6" t="inlineStr">
        <is>
          <t>AAPL</t>
        </is>
      </c>
      <c r="F5396" s="6" t="inlineStr">
        <is>
          <t>-</t>
        </is>
      </c>
      <c r="G5396" s="7" t="n">
        <v>293.0500183105469</v>
      </c>
      <c r="H5396" s="6">
        <f>P5365</f>
        <v/>
      </c>
      <c r="I5396" s="9">
        <f>Q5365</f>
        <v/>
      </c>
      <c r="J5396" s="7">
        <f>I5396*G5396</f>
        <v/>
      </c>
      <c r="K5396" s="8">
        <f>IF($J$5426=0,0,J5396/$J$5426)</f>
        <v/>
      </c>
      <c r="L5396" s="6" t="inlineStr">
        <is>
          <t>WATCHLIST</t>
        </is>
      </c>
      <c r="M5396" s="8" t="n">
        <v>0</v>
      </c>
      <c r="N5396" s="7">
        <f>M5396*$J$5426-J5396</f>
        <v/>
      </c>
      <c r="O5396" s="9">
        <f>IF(G5396=0,0,N5396/G5396)</f>
        <v/>
      </c>
      <c r="P5396" s="6">
        <f>IF(M5396&gt;0,D5396,"")</f>
        <v/>
      </c>
      <c r="Q5396" s="9">
        <f>I5396+O5396</f>
        <v/>
      </c>
      <c r="R5396" s="7">
        <f>Q5396*G5396</f>
        <v/>
      </c>
      <c r="S5396" s="8">
        <f>IF($R$5426=0,0,R5396/$R$5426)</f>
        <v/>
      </c>
      <c r="T5396" s="8" t="n">
        <v>0.0001711738673380037</v>
      </c>
      <c r="U5396" s="8" t="n">
        <v>0.002242364092782667</v>
      </c>
      <c r="V5396" s="6" t="inlineStr">
        <is>
          <t>not selected</t>
        </is>
      </c>
    </row>
    <row r="5397">
      <c r="A5397" s="6" t="inlineStr">
        <is>
          <t>DJ30</t>
        </is>
      </c>
      <c r="B5397" s="6" t="inlineStr">
        <is>
          <t>2026-05-08</t>
        </is>
      </c>
      <c r="C5397" s="6" t="inlineStr">
        <is>
          <t>DIA</t>
        </is>
      </c>
      <c r="D5397" s="6" t="inlineStr">
        <is>
          <t>AMGN</t>
        </is>
      </c>
      <c r="E5397" s="6" t="inlineStr">
        <is>
          <t>AMGN</t>
        </is>
      </c>
      <c r="F5397" s="6" t="inlineStr">
        <is>
          <t>-</t>
        </is>
      </c>
      <c r="G5397" s="7" t="n">
        <v>329.2139587402344</v>
      </c>
      <c r="H5397" s="6">
        <f>P5366</f>
        <v/>
      </c>
      <c r="I5397" s="9">
        <f>Q5366</f>
        <v/>
      </c>
      <c r="J5397" s="7">
        <f>I5397*G5397</f>
        <v/>
      </c>
      <c r="K5397" s="8">
        <f>IF($J$5426=0,0,J5397/$J$5426)</f>
        <v/>
      </c>
      <c r="L5397" s="6" t="inlineStr">
        <is>
          <t>WATCHLIST</t>
        </is>
      </c>
      <c r="M5397" s="8" t="n">
        <v>0</v>
      </c>
      <c r="N5397" s="7">
        <f>M5397*$J$5426-J5397</f>
        <v/>
      </c>
      <c r="O5397" s="9">
        <f>IF(G5397=0,0,N5397/G5397)</f>
        <v/>
      </c>
      <c r="P5397" s="6">
        <f>IF(M5397&gt;0,D5397,"")</f>
        <v/>
      </c>
      <c r="Q5397" s="9">
        <f>I5397+O5397</f>
        <v/>
      </c>
      <c r="R5397" s="7">
        <f>Q5397*G5397</f>
        <v/>
      </c>
      <c r="S5397" s="8">
        <f>IF($R$5426=0,0,R5397/$R$5426)</f>
        <v/>
      </c>
      <c r="T5397" s="8" t="n">
        <v>0.0001711738673380037</v>
      </c>
      <c r="U5397" s="8" t="n">
        <v>0.002242364092782667</v>
      </c>
      <c r="V5397" s="6" t="inlineStr">
        <is>
          <t>not selected</t>
        </is>
      </c>
    </row>
    <row r="5398">
      <c r="A5398" s="6" t="inlineStr">
        <is>
          <t>DJ30</t>
        </is>
      </c>
      <c r="B5398" s="6" t="inlineStr">
        <is>
          <t>2026-05-08</t>
        </is>
      </c>
      <c r="C5398" s="6" t="inlineStr">
        <is>
          <t>DIA</t>
        </is>
      </c>
      <c r="D5398" s="6" t="inlineStr">
        <is>
          <t>AMZN</t>
        </is>
      </c>
      <c r="E5398" s="6" t="inlineStr">
        <is>
          <t>AMZN</t>
        </is>
      </c>
      <c r="F5398" s="6" t="inlineStr">
        <is>
          <t>-</t>
        </is>
      </c>
      <c r="G5398" s="7" t="n">
        <v>272.6799926757812</v>
      </c>
      <c r="H5398" s="6">
        <f>P5367</f>
        <v/>
      </c>
      <c r="I5398" s="9">
        <f>Q5367</f>
        <v/>
      </c>
      <c r="J5398" s="7">
        <f>I5398*G5398</f>
        <v/>
      </c>
      <c r="K5398" s="8">
        <f>IF($J$5426=0,0,J5398/$J$5426)</f>
        <v/>
      </c>
      <c r="L5398" s="6" t="inlineStr">
        <is>
          <t>REJECTED</t>
        </is>
      </c>
      <c r="M5398" s="8" t="n">
        <v>0</v>
      </c>
      <c r="N5398" s="7">
        <f>M5398*$J$5426-J5398</f>
        <v/>
      </c>
      <c r="O5398" s="9">
        <f>IF(G5398=0,0,N5398/G5398)</f>
        <v/>
      </c>
      <c r="P5398" s="6">
        <f>IF(M5398&gt;0,D5398,"")</f>
        <v/>
      </c>
      <c r="Q5398" s="9">
        <f>I5398+O5398</f>
        <v/>
      </c>
      <c r="R5398" s="7">
        <f>Q5398*G5398</f>
        <v/>
      </c>
      <c r="S5398" s="8">
        <f>IF($R$5426=0,0,R5398/$R$5426)</f>
        <v/>
      </c>
      <c r="T5398" s="8" t="n">
        <v>0.0001711738673380037</v>
      </c>
      <c r="U5398" s="8" t="n">
        <v>0.002242364092782667</v>
      </c>
      <c r="V5398" s="6" t="inlineStr">
        <is>
          <t>not selected</t>
        </is>
      </c>
    </row>
    <row r="5399">
      <c r="A5399" s="6" t="inlineStr">
        <is>
          <t>DJ30</t>
        </is>
      </c>
      <c r="B5399" s="6" t="inlineStr">
        <is>
          <t>2026-05-08</t>
        </is>
      </c>
      <c r="C5399" s="6" t="inlineStr">
        <is>
          <t>DIA</t>
        </is>
      </c>
      <c r="D5399" s="6" t="inlineStr">
        <is>
          <t>AXP</t>
        </is>
      </c>
      <c r="E5399" s="6" t="inlineStr">
        <is>
          <t>AXP</t>
        </is>
      </c>
      <c r="F5399" s="6" t="inlineStr">
        <is>
          <t>-</t>
        </is>
      </c>
      <c r="G5399" s="7" t="n">
        <v>316.0299987792969</v>
      </c>
      <c r="H5399" s="6">
        <f>P5368</f>
        <v/>
      </c>
      <c r="I5399" s="9">
        <f>Q5368</f>
        <v/>
      </c>
      <c r="J5399" s="7">
        <f>I5399*G5399</f>
        <v/>
      </c>
      <c r="K5399" s="8">
        <f>IF($J$5426=0,0,J5399/$J$5426)</f>
        <v/>
      </c>
      <c r="L5399" s="6" t="inlineStr">
        <is>
          <t>REJECTED</t>
        </is>
      </c>
      <c r="M5399" s="8" t="n">
        <v>0</v>
      </c>
      <c r="N5399" s="7">
        <f>M5399*$J$5426-J5399</f>
        <v/>
      </c>
      <c r="O5399" s="9">
        <f>IF(G5399=0,0,N5399/G5399)</f>
        <v/>
      </c>
      <c r="P5399" s="6">
        <f>IF(M5399&gt;0,D5399,"")</f>
        <v/>
      </c>
      <c r="Q5399" s="9">
        <f>I5399+O5399</f>
        <v/>
      </c>
      <c r="R5399" s="7">
        <f>Q5399*G5399</f>
        <v/>
      </c>
      <c r="S5399" s="8">
        <f>IF($R$5426=0,0,R5399/$R$5426)</f>
        <v/>
      </c>
      <c r="T5399" s="8" t="n">
        <v>0.0001711738673380037</v>
      </c>
      <c r="U5399" s="8" t="n">
        <v>0.002242364092782667</v>
      </c>
      <c r="V5399" s="6" t="inlineStr">
        <is>
          <t>not selected</t>
        </is>
      </c>
    </row>
    <row r="5400">
      <c r="A5400" s="6" t="inlineStr">
        <is>
          <t>DJ30</t>
        </is>
      </c>
      <c r="B5400" s="6" t="inlineStr">
        <is>
          <t>2026-05-08</t>
        </is>
      </c>
      <c r="C5400" s="6" t="inlineStr">
        <is>
          <t>DIA</t>
        </is>
      </c>
      <c r="D5400" s="6" t="inlineStr">
        <is>
          <t>BA</t>
        </is>
      </c>
      <c r="E5400" s="6" t="inlineStr">
        <is>
          <t>BA</t>
        </is>
      </c>
      <c r="F5400" s="6" t="inlineStr">
        <is>
          <t>-</t>
        </is>
      </c>
      <c r="G5400" s="7" t="n">
        <v>237.3600006103516</v>
      </c>
      <c r="H5400" s="6">
        <f>P5369</f>
        <v/>
      </c>
      <c r="I5400" s="9">
        <f>Q5369</f>
        <v/>
      </c>
      <c r="J5400" s="7">
        <f>I5400*G5400</f>
        <v/>
      </c>
      <c r="K5400" s="8">
        <f>IF($J$5426=0,0,J5400/$J$5426)</f>
        <v/>
      </c>
      <c r="L5400" s="6" t="inlineStr">
        <is>
          <t>REJECTED</t>
        </is>
      </c>
      <c r="M5400" s="8" t="n">
        <v>0</v>
      </c>
      <c r="N5400" s="7">
        <f>M5400*$J$5426-J5400</f>
        <v/>
      </c>
      <c r="O5400" s="9">
        <f>IF(G5400=0,0,N5400/G5400)</f>
        <v/>
      </c>
      <c r="P5400" s="6">
        <f>IF(M5400&gt;0,D5400,"")</f>
        <v/>
      </c>
      <c r="Q5400" s="9">
        <f>I5400+O5400</f>
        <v/>
      </c>
      <c r="R5400" s="7">
        <f>Q5400*G5400</f>
        <v/>
      </c>
      <c r="S5400" s="8">
        <f>IF($R$5426=0,0,R5400/$R$5426)</f>
        <v/>
      </c>
      <c r="T5400" s="8" t="n">
        <v>0.0001711738673380037</v>
      </c>
      <c r="U5400" s="8" t="n">
        <v>0.002242364092782667</v>
      </c>
      <c r="V5400" s="6" t="inlineStr">
        <is>
          <t>not selected</t>
        </is>
      </c>
    </row>
    <row r="5401">
      <c r="A5401" s="6" t="inlineStr">
        <is>
          <t>DJ30</t>
        </is>
      </c>
      <c r="B5401" s="6" t="inlineStr">
        <is>
          <t>2026-05-08</t>
        </is>
      </c>
      <c r="C5401" s="6" t="inlineStr">
        <is>
          <t>DIA</t>
        </is>
      </c>
      <c r="D5401" s="6" t="inlineStr">
        <is>
          <t>CAT</t>
        </is>
      </c>
      <c r="E5401" s="6" t="inlineStr">
        <is>
          <t>CAT</t>
        </is>
      </c>
      <c r="F5401" s="6" t="inlineStr">
        <is>
          <t>-</t>
        </is>
      </c>
      <c r="G5401" s="7" t="n">
        <v>897.4500122070312</v>
      </c>
      <c r="H5401" s="6">
        <f>P5370</f>
        <v/>
      </c>
      <c r="I5401" s="9">
        <f>Q5370</f>
        <v/>
      </c>
      <c r="J5401" s="7">
        <f>I5401*G5401</f>
        <v/>
      </c>
      <c r="K5401" s="8">
        <f>IF($J$5426=0,0,J5401/$J$5426)</f>
        <v/>
      </c>
      <c r="L5401" s="6" t="inlineStr">
        <is>
          <t>SELECTED</t>
        </is>
      </c>
      <c r="M5401" s="8" t="n">
        <v>0.2</v>
      </c>
      <c r="N5401" s="7">
        <f>M5401*$J$5426-J5401</f>
        <v/>
      </c>
      <c r="O5401" s="9">
        <f>IF(G5401=0,0,N5401/G5401)</f>
        <v/>
      </c>
      <c r="P5401" s="6">
        <f>IF(M5401&gt;0,D5401,"")</f>
        <v/>
      </c>
      <c r="Q5401" s="9">
        <f>I5401+O5401</f>
        <v/>
      </c>
      <c r="R5401" s="7">
        <f>Q5401*G5401</f>
        <v/>
      </c>
      <c r="S5401" s="8">
        <f>IF($R$5426=0,0,R5401/$R$5426)</f>
        <v/>
      </c>
      <c r="T5401" s="8" t="n">
        <v>0.0001711738673380037</v>
      </c>
      <c r="U5401" s="8" t="n">
        <v>0.002242364092782667</v>
      </c>
      <c r="V5401" s="6" t="inlineStr">
        <is>
          <t>remained in weekly selection</t>
        </is>
      </c>
    </row>
    <row r="5402">
      <c r="A5402" s="6" t="inlineStr">
        <is>
          <t>DJ30</t>
        </is>
      </c>
      <c r="B5402" s="6" t="inlineStr">
        <is>
          <t>2026-05-08</t>
        </is>
      </c>
      <c r="C5402" s="6" t="inlineStr">
        <is>
          <t>DIA</t>
        </is>
      </c>
      <c r="D5402" s="6" t="inlineStr">
        <is>
          <t>CRM</t>
        </is>
      </c>
      <c r="E5402" s="6" t="inlineStr">
        <is>
          <t>CRM</t>
        </is>
      </c>
      <c r="F5402" s="6" t="inlineStr">
        <is>
          <t>-</t>
        </is>
      </c>
      <c r="G5402" s="7" t="n">
        <v>181.3519439697266</v>
      </c>
      <c r="H5402" s="6">
        <f>P5371</f>
        <v/>
      </c>
      <c r="I5402" s="9">
        <f>Q5371</f>
        <v/>
      </c>
      <c r="J5402" s="7">
        <f>I5402*G5402</f>
        <v/>
      </c>
      <c r="K5402" s="8">
        <f>IF($J$5426=0,0,J5402/$J$5426)</f>
        <v/>
      </c>
      <c r="L5402" s="6" t="inlineStr">
        <is>
          <t>REJECTED</t>
        </is>
      </c>
      <c r="M5402" s="8" t="n">
        <v>0</v>
      </c>
      <c r="N5402" s="7">
        <f>M5402*$J$5426-J5402</f>
        <v/>
      </c>
      <c r="O5402" s="9">
        <f>IF(G5402=0,0,N5402/G5402)</f>
        <v/>
      </c>
      <c r="P5402" s="6">
        <f>IF(M5402&gt;0,D5402,"")</f>
        <v/>
      </c>
      <c r="Q5402" s="9">
        <f>I5402+O5402</f>
        <v/>
      </c>
      <c r="R5402" s="7">
        <f>Q5402*G5402</f>
        <v/>
      </c>
      <c r="S5402" s="8">
        <f>IF($R$5426=0,0,R5402/$R$5426)</f>
        <v/>
      </c>
      <c r="T5402" s="8" t="n">
        <v>0.0001711738673380037</v>
      </c>
      <c r="U5402" s="8" t="n">
        <v>0.002242364092782667</v>
      </c>
      <c r="V5402" s="6" t="inlineStr">
        <is>
          <t>not selected</t>
        </is>
      </c>
    </row>
    <row r="5403">
      <c r="A5403" s="6" t="inlineStr">
        <is>
          <t>DJ30</t>
        </is>
      </c>
      <c r="B5403" s="6" t="inlineStr">
        <is>
          <t>2026-05-08</t>
        </is>
      </c>
      <c r="C5403" s="6" t="inlineStr">
        <is>
          <t>DIA</t>
        </is>
      </c>
      <c r="D5403" s="6" t="inlineStr">
        <is>
          <t>CSCO</t>
        </is>
      </c>
      <c r="E5403" s="6" t="inlineStr">
        <is>
          <t>CSCO</t>
        </is>
      </c>
      <c r="F5403" s="6" t="inlineStr">
        <is>
          <t>-</t>
        </is>
      </c>
      <c r="G5403" s="7" t="n">
        <v>96.56999969482422</v>
      </c>
      <c r="H5403" s="6">
        <f>P5372</f>
        <v/>
      </c>
      <c r="I5403" s="9">
        <f>Q5372</f>
        <v/>
      </c>
      <c r="J5403" s="7">
        <f>I5403*G5403</f>
        <v/>
      </c>
      <c r="K5403" s="8">
        <f>IF($J$5426=0,0,J5403/$J$5426)</f>
        <v/>
      </c>
      <c r="L5403" s="6" t="inlineStr">
        <is>
          <t>SELECTED</t>
        </is>
      </c>
      <c r="M5403" s="8" t="n">
        <v>0.2</v>
      </c>
      <c r="N5403" s="7">
        <f>M5403*$J$5426-J5403</f>
        <v/>
      </c>
      <c r="O5403" s="9">
        <f>IF(G5403=0,0,N5403/G5403)</f>
        <v/>
      </c>
      <c r="P5403" s="6">
        <f>IF(M5403&gt;0,D5403,"")</f>
        <v/>
      </c>
      <c r="Q5403" s="9">
        <f>I5403+O5403</f>
        <v/>
      </c>
      <c r="R5403" s="7">
        <f>Q5403*G5403</f>
        <v/>
      </c>
      <c r="S5403" s="8">
        <f>IF($R$5426=0,0,R5403/$R$5426)</f>
        <v/>
      </c>
      <c r="T5403" s="8" t="n">
        <v>0.0001711738673380037</v>
      </c>
      <c r="U5403" s="8" t="n">
        <v>0.002242364092782667</v>
      </c>
      <c r="V5403" s="6" t="inlineStr">
        <is>
          <t>remained in weekly selection</t>
        </is>
      </c>
    </row>
    <row r="5404">
      <c r="A5404" s="6" t="inlineStr">
        <is>
          <t>DJ30</t>
        </is>
      </c>
      <c r="B5404" s="6" t="inlineStr">
        <is>
          <t>2026-05-08</t>
        </is>
      </c>
      <c r="C5404" s="6" t="inlineStr">
        <is>
          <t>DIA</t>
        </is>
      </c>
      <c r="D5404" s="6" t="inlineStr">
        <is>
          <t>CVX</t>
        </is>
      </c>
      <c r="E5404" s="6" t="inlineStr">
        <is>
          <t>CVX</t>
        </is>
      </c>
      <c r="F5404" s="6" t="inlineStr">
        <is>
          <t>-</t>
        </is>
      </c>
      <c r="G5404" s="7" t="n">
        <v>179.9716033935547</v>
      </c>
      <c r="H5404" s="6">
        <f>P5373</f>
        <v/>
      </c>
      <c r="I5404" s="9">
        <f>Q5373</f>
        <v/>
      </c>
      <c r="J5404" s="7">
        <f>I5404*G5404</f>
        <v/>
      </c>
      <c r="K5404" s="8">
        <f>IF($J$5426=0,0,J5404/$J$5426)</f>
        <v/>
      </c>
      <c r="L5404" s="6" t="inlineStr">
        <is>
          <t>SELECTED</t>
        </is>
      </c>
      <c r="M5404" s="8" t="n">
        <v>0.2</v>
      </c>
      <c r="N5404" s="7">
        <f>M5404*$J$5426-J5404</f>
        <v/>
      </c>
      <c r="O5404" s="9">
        <f>IF(G5404=0,0,N5404/G5404)</f>
        <v/>
      </c>
      <c r="P5404" s="6">
        <f>IF(M5404&gt;0,D5404,"")</f>
        <v/>
      </c>
      <c r="Q5404" s="9">
        <f>I5404+O5404</f>
        <v/>
      </c>
      <c r="R5404" s="7">
        <f>Q5404*G5404</f>
        <v/>
      </c>
      <c r="S5404" s="8">
        <f>IF($R$5426=0,0,R5404/$R$5426)</f>
        <v/>
      </c>
      <c r="T5404" s="8" t="n">
        <v>0.0001711738673380037</v>
      </c>
      <c r="U5404" s="8" t="n">
        <v>0.002242364092782667</v>
      </c>
      <c r="V5404" s="6" t="inlineStr">
        <is>
          <t>remained in weekly selection</t>
        </is>
      </c>
    </row>
    <row r="5405">
      <c r="A5405" s="6" t="inlineStr">
        <is>
          <t>DJ30</t>
        </is>
      </c>
      <c r="B5405" s="6" t="inlineStr">
        <is>
          <t>2026-05-08</t>
        </is>
      </c>
      <c r="C5405" s="6" t="inlineStr">
        <is>
          <t>DIA</t>
        </is>
      </c>
      <c r="D5405" s="6" t="inlineStr">
        <is>
          <t>DIS</t>
        </is>
      </c>
      <c r="E5405" s="6" t="inlineStr">
        <is>
          <t>DIS</t>
        </is>
      </c>
      <c r="F5405" s="6" t="inlineStr">
        <is>
          <t>-</t>
        </is>
      </c>
      <c r="G5405" s="7" t="n">
        <v>108.0199966430664</v>
      </c>
      <c r="H5405" s="6">
        <f>P5374</f>
        <v/>
      </c>
      <c r="I5405" s="9">
        <f>Q5374</f>
        <v/>
      </c>
      <c r="J5405" s="7">
        <f>I5405*G5405</f>
        <v/>
      </c>
      <c r="K5405" s="8">
        <f>IF($J$5426=0,0,J5405/$J$5426)</f>
        <v/>
      </c>
      <c r="L5405" s="6" t="inlineStr">
        <is>
          <t>REJECTED</t>
        </is>
      </c>
      <c r="M5405" s="8" t="n">
        <v>0</v>
      </c>
      <c r="N5405" s="7">
        <f>M5405*$J$5426-J5405</f>
        <v/>
      </c>
      <c r="O5405" s="9">
        <f>IF(G5405=0,0,N5405/G5405)</f>
        <v/>
      </c>
      <c r="P5405" s="6">
        <f>IF(M5405&gt;0,D5405,"")</f>
        <v/>
      </c>
      <c r="Q5405" s="9">
        <f>I5405+O5405</f>
        <v/>
      </c>
      <c r="R5405" s="7">
        <f>Q5405*G5405</f>
        <v/>
      </c>
      <c r="S5405" s="8">
        <f>IF($R$5426=0,0,R5405/$R$5426)</f>
        <v/>
      </c>
      <c r="T5405" s="8" t="n">
        <v>0.0001711738673380037</v>
      </c>
      <c r="U5405" s="8" t="n">
        <v>0.002242364092782667</v>
      </c>
      <c r="V5405" s="6" t="inlineStr">
        <is>
          <t>not selected</t>
        </is>
      </c>
    </row>
    <row r="5406">
      <c r="A5406" s="6" t="inlineStr">
        <is>
          <t>DJ30</t>
        </is>
      </c>
      <c r="B5406" s="6" t="inlineStr">
        <is>
          <t>2026-05-08</t>
        </is>
      </c>
      <c r="C5406" s="6" t="inlineStr">
        <is>
          <t>DIA</t>
        </is>
      </c>
      <c r="D5406" s="6" t="inlineStr">
        <is>
          <t>GS</t>
        </is>
      </c>
      <c r="E5406" s="6" t="inlineStr">
        <is>
          <t>GS</t>
        </is>
      </c>
      <c r="F5406" s="6" t="inlineStr">
        <is>
          <t>-</t>
        </is>
      </c>
      <c r="G5406" s="7" t="n">
        <v>932.370849609375</v>
      </c>
      <c r="H5406" s="6">
        <f>P5375</f>
        <v/>
      </c>
      <c r="I5406" s="9">
        <f>Q5375</f>
        <v/>
      </c>
      <c r="J5406" s="7">
        <f>I5406*G5406</f>
        <v/>
      </c>
      <c r="K5406" s="8">
        <f>IF($J$5426=0,0,J5406/$J$5426)</f>
        <v/>
      </c>
      <c r="L5406" s="6" t="inlineStr">
        <is>
          <t>SELECTED</t>
        </is>
      </c>
      <c r="M5406" s="8" t="n">
        <v>0.2</v>
      </c>
      <c r="N5406" s="7">
        <f>M5406*$J$5426-J5406</f>
        <v/>
      </c>
      <c r="O5406" s="9">
        <f>IF(G5406=0,0,N5406/G5406)</f>
        <v/>
      </c>
      <c r="P5406" s="6">
        <f>IF(M5406&gt;0,D5406,"")</f>
        <v/>
      </c>
      <c r="Q5406" s="9">
        <f>I5406+O5406</f>
        <v/>
      </c>
      <c r="R5406" s="7">
        <f>Q5406*G5406</f>
        <v/>
      </c>
      <c r="S5406" s="8">
        <f>IF($R$5426=0,0,R5406/$R$5426)</f>
        <v/>
      </c>
      <c r="T5406" s="8" t="n">
        <v>0.0001711738673380037</v>
      </c>
      <c r="U5406" s="8" t="n">
        <v>0.002242364092782667</v>
      </c>
      <c r="V5406" s="6" t="inlineStr">
        <is>
          <t>remained in weekly selection</t>
        </is>
      </c>
    </row>
    <row r="5407">
      <c r="A5407" s="6" t="inlineStr">
        <is>
          <t>DJ30</t>
        </is>
      </c>
      <c r="B5407" s="6" t="inlineStr">
        <is>
          <t>2026-05-08</t>
        </is>
      </c>
      <c r="C5407" s="6" t="inlineStr">
        <is>
          <t>DIA</t>
        </is>
      </c>
      <c r="D5407" s="6" t="inlineStr">
        <is>
          <t>HD</t>
        </is>
      </c>
      <c r="E5407" s="6" t="inlineStr">
        <is>
          <t>HD</t>
        </is>
      </c>
      <c r="F5407" s="6" t="inlineStr">
        <is>
          <t>-</t>
        </is>
      </c>
      <c r="G5407" s="7" t="n">
        <v>315.086669921875</v>
      </c>
      <c r="H5407" s="6">
        <f>P5376</f>
        <v/>
      </c>
      <c r="I5407" s="9">
        <f>Q5376</f>
        <v/>
      </c>
      <c r="J5407" s="7">
        <f>I5407*G5407</f>
        <v/>
      </c>
      <c r="K5407" s="8">
        <f>IF($J$5426=0,0,J5407/$J$5426)</f>
        <v/>
      </c>
      <c r="L5407" s="6" t="inlineStr">
        <is>
          <t>REJECTED</t>
        </is>
      </c>
      <c r="M5407" s="8" t="n">
        <v>0</v>
      </c>
      <c r="N5407" s="7">
        <f>M5407*$J$5426-J5407</f>
        <v/>
      </c>
      <c r="O5407" s="9">
        <f>IF(G5407=0,0,N5407/G5407)</f>
        <v/>
      </c>
      <c r="P5407" s="6">
        <f>IF(M5407&gt;0,D5407,"")</f>
        <v/>
      </c>
      <c r="Q5407" s="9">
        <f>I5407+O5407</f>
        <v/>
      </c>
      <c r="R5407" s="7">
        <f>Q5407*G5407</f>
        <v/>
      </c>
      <c r="S5407" s="8">
        <f>IF($R$5426=0,0,R5407/$R$5426)</f>
        <v/>
      </c>
      <c r="T5407" s="8" t="n">
        <v>0.0001711738673380037</v>
      </c>
      <c r="U5407" s="8" t="n">
        <v>0.002242364092782667</v>
      </c>
      <c r="V5407" s="6" t="inlineStr">
        <is>
          <t>not selected</t>
        </is>
      </c>
    </row>
    <row r="5408">
      <c r="A5408" s="6" t="inlineStr">
        <is>
          <t>DJ30</t>
        </is>
      </c>
      <c r="B5408" s="6" t="inlineStr">
        <is>
          <t>2026-05-08</t>
        </is>
      </c>
      <c r="C5408" s="6" t="inlineStr">
        <is>
          <t>DIA</t>
        </is>
      </c>
      <c r="D5408" s="6" t="inlineStr">
        <is>
          <t>HON</t>
        </is>
      </c>
      <c r="E5408" s="6" t="inlineStr">
        <is>
          <t>HON</t>
        </is>
      </c>
      <c r="F5408" s="6" t="inlineStr">
        <is>
          <t>-</t>
        </is>
      </c>
      <c r="G5408" s="7" t="n">
        <v>211.9551391601562</v>
      </c>
      <c r="H5408" s="6">
        <f>P5377</f>
        <v/>
      </c>
      <c r="I5408" s="9">
        <f>Q5377</f>
        <v/>
      </c>
      <c r="J5408" s="7">
        <f>I5408*G5408</f>
        <v/>
      </c>
      <c r="K5408" s="8">
        <f>IF($J$5426=0,0,J5408/$J$5426)</f>
        <v/>
      </c>
      <c r="L5408" s="6" t="inlineStr">
        <is>
          <t>REJECTED</t>
        </is>
      </c>
      <c r="M5408" s="8" t="n">
        <v>0</v>
      </c>
      <c r="N5408" s="7">
        <f>M5408*$J$5426-J5408</f>
        <v/>
      </c>
      <c r="O5408" s="9">
        <f>IF(G5408=0,0,N5408/G5408)</f>
        <v/>
      </c>
      <c r="P5408" s="6">
        <f>IF(M5408&gt;0,D5408,"")</f>
        <v/>
      </c>
      <c r="Q5408" s="9">
        <f>I5408+O5408</f>
        <v/>
      </c>
      <c r="R5408" s="7">
        <f>Q5408*G5408</f>
        <v/>
      </c>
      <c r="S5408" s="8">
        <f>IF($R$5426=0,0,R5408/$R$5426)</f>
        <v/>
      </c>
      <c r="T5408" s="8" t="n">
        <v>0.0001711738673380037</v>
      </c>
      <c r="U5408" s="8" t="n">
        <v>0.002242364092782667</v>
      </c>
      <c r="V5408" s="6" t="inlineStr">
        <is>
          <t>not selected</t>
        </is>
      </c>
    </row>
    <row r="5409">
      <c r="A5409" s="6" t="inlineStr">
        <is>
          <t>DJ30</t>
        </is>
      </c>
      <c r="B5409" s="6" t="inlineStr">
        <is>
          <t>2026-05-08</t>
        </is>
      </c>
      <c r="C5409" s="6" t="inlineStr">
        <is>
          <t>DIA</t>
        </is>
      </c>
      <c r="D5409" s="6" t="inlineStr">
        <is>
          <t>IBM</t>
        </is>
      </c>
      <c r="E5409" s="6" t="inlineStr">
        <is>
          <t>IBM</t>
        </is>
      </c>
      <c r="F5409" s="6" t="inlineStr">
        <is>
          <t>-</t>
        </is>
      </c>
      <c r="G5409" s="7" t="n">
        <v>229.759994506836</v>
      </c>
      <c r="H5409" s="6">
        <f>P5378</f>
        <v/>
      </c>
      <c r="I5409" s="9">
        <f>Q5378</f>
        <v/>
      </c>
      <c r="J5409" s="7">
        <f>I5409*G5409</f>
        <v/>
      </c>
      <c r="K5409" s="8">
        <f>IF($J$5426=0,0,J5409/$J$5426)</f>
        <v/>
      </c>
      <c r="L5409" s="6" t="inlineStr">
        <is>
          <t>REJECTED</t>
        </is>
      </c>
      <c r="M5409" s="8" t="n">
        <v>0</v>
      </c>
      <c r="N5409" s="7">
        <f>M5409*$J$5426-J5409</f>
        <v/>
      </c>
      <c r="O5409" s="9">
        <f>IF(G5409=0,0,N5409/G5409)</f>
        <v/>
      </c>
      <c r="P5409" s="6">
        <f>IF(M5409&gt;0,D5409,"")</f>
        <v/>
      </c>
      <c r="Q5409" s="9">
        <f>I5409+O5409</f>
        <v/>
      </c>
      <c r="R5409" s="7">
        <f>Q5409*G5409</f>
        <v/>
      </c>
      <c r="S5409" s="8">
        <f>IF($R$5426=0,0,R5409/$R$5426)</f>
        <v/>
      </c>
      <c r="T5409" s="8" t="n">
        <v>0.0001711738673380037</v>
      </c>
      <c r="U5409" s="8" t="n">
        <v>0.002242364092782667</v>
      </c>
      <c r="V5409" s="6" t="inlineStr">
        <is>
          <t>not selected</t>
        </is>
      </c>
    </row>
    <row r="5410">
      <c r="A5410" s="6" t="inlineStr">
        <is>
          <t>DJ30</t>
        </is>
      </c>
      <c r="B5410" s="6" t="inlineStr">
        <is>
          <t>2026-05-08</t>
        </is>
      </c>
      <c r="C5410" s="6" t="inlineStr">
        <is>
          <t>DIA</t>
        </is>
      </c>
      <c r="D5410" s="6" t="inlineStr">
        <is>
          <t>JNJ</t>
        </is>
      </c>
      <c r="E5410" s="6" t="inlineStr">
        <is>
          <t>JNJ</t>
        </is>
      </c>
      <c r="F5410" s="6" t="inlineStr">
        <is>
          <t>-</t>
        </is>
      </c>
      <c r="G5410" s="7" t="n">
        <v>220.0544586181641</v>
      </c>
      <c r="H5410" s="6">
        <f>P5379</f>
        <v/>
      </c>
      <c r="I5410" s="9">
        <f>Q5379</f>
        <v/>
      </c>
      <c r="J5410" s="7">
        <f>I5410*G5410</f>
        <v/>
      </c>
      <c r="K5410" s="8">
        <f>IF($J$5426=0,0,J5410/$J$5426)</f>
        <v/>
      </c>
      <c r="L5410" s="6" t="inlineStr">
        <is>
          <t>SELECTED</t>
        </is>
      </c>
      <c r="M5410" s="8" t="n">
        <v>0.2</v>
      </c>
      <c r="N5410" s="7">
        <f>M5410*$J$5426-J5410</f>
        <v/>
      </c>
      <c r="O5410" s="9">
        <f>IF(G5410=0,0,N5410/G5410)</f>
        <v/>
      </c>
      <c r="P5410" s="6">
        <f>IF(M5410&gt;0,D5410,"")</f>
        <v/>
      </c>
      <c r="Q5410" s="9">
        <f>I5410+O5410</f>
        <v/>
      </c>
      <c r="R5410" s="7">
        <f>Q5410*G5410</f>
        <v/>
      </c>
      <c r="S5410" s="8">
        <f>IF($R$5426=0,0,R5410/$R$5426)</f>
        <v/>
      </c>
      <c r="T5410" s="8" t="n">
        <v>0.0001711738673380037</v>
      </c>
      <c r="U5410" s="8" t="n">
        <v>0.002242364092782667</v>
      </c>
      <c r="V5410" s="6" t="inlineStr">
        <is>
          <t>remained in weekly selection</t>
        </is>
      </c>
    </row>
    <row r="5411">
      <c r="A5411" s="6" t="inlineStr">
        <is>
          <t>DJ30</t>
        </is>
      </c>
      <c r="B5411" s="6" t="inlineStr">
        <is>
          <t>2026-05-08</t>
        </is>
      </c>
      <c r="C5411" s="6" t="inlineStr">
        <is>
          <t>DIA</t>
        </is>
      </c>
      <c r="D5411" s="6" t="inlineStr">
        <is>
          <t>JPM</t>
        </is>
      </c>
      <c r="E5411" s="6" t="inlineStr">
        <is>
          <t>JPM</t>
        </is>
      </c>
      <c r="F5411" s="6" t="inlineStr">
        <is>
          <t>-</t>
        </is>
      </c>
      <c r="G5411" s="7" t="n">
        <v>302.1000061035156</v>
      </c>
      <c r="H5411" s="6">
        <f>P5380</f>
        <v/>
      </c>
      <c r="I5411" s="9">
        <f>Q5380</f>
        <v/>
      </c>
      <c r="J5411" s="7">
        <f>I5411*G5411</f>
        <v/>
      </c>
      <c r="K5411" s="8">
        <f>IF($J$5426=0,0,J5411/$J$5426)</f>
        <v/>
      </c>
      <c r="L5411" s="6" t="inlineStr">
        <is>
          <t>WATCHLIST</t>
        </is>
      </c>
      <c r="M5411" s="8" t="n">
        <v>0</v>
      </c>
      <c r="N5411" s="7">
        <f>M5411*$J$5426-J5411</f>
        <v/>
      </c>
      <c r="O5411" s="9">
        <f>IF(G5411=0,0,N5411/G5411)</f>
        <v/>
      </c>
      <c r="P5411" s="6">
        <f>IF(M5411&gt;0,D5411,"")</f>
        <v/>
      </c>
      <c r="Q5411" s="9">
        <f>I5411+O5411</f>
        <v/>
      </c>
      <c r="R5411" s="7">
        <f>Q5411*G5411</f>
        <v/>
      </c>
      <c r="S5411" s="8">
        <f>IF($R$5426=0,0,R5411/$R$5426)</f>
        <v/>
      </c>
      <c r="T5411" s="8" t="n">
        <v>0.0001711738673380037</v>
      </c>
      <c r="U5411" s="8" t="n">
        <v>0.002242364092782667</v>
      </c>
      <c r="V5411" s="6" t="inlineStr">
        <is>
          <t>not selected</t>
        </is>
      </c>
    </row>
    <row r="5412">
      <c r="A5412" s="6" t="inlineStr">
        <is>
          <t>DJ30</t>
        </is>
      </c>
      <c r="B5412" s="6" t="inlineStr">
        <is>
          <t>2026-05-08</t>
        </is>
      </c>
      <c r="C5412" s="6" t="inlineStr">
        <is>
          <t>DIA</t>
        </is>
      </c>
      <c r="D5412" s="6" t="inlineStr">
        <is>
          <t>KO</t>
        </is>
      </c>
      <c r="E5412" s="6" t="inlineStr">
        <is>
          <t>KO</t>
        </is>
      </c>
      <c r="F5412" s="6" t="inlineStr">
        <is>
          <t>-</t>
        </is>
      </c>
      <c r="G5412" s="7" t="n">
        <v>77.91693878173828</v>
      </c>
      <c r="H5412" s="6">
        <f>P5381</f>
        <v/>
      </c>
      <c r="I5412" s="9">
        <f>Q5381</f>
        <v/>
      </c>
      <c r="J5412" s="7">
        <f>I5412*G5412</f>
        <v/>
      </c>
      <c r="K5412" s="8">
        <f>IF($J$5426=0,0,J5412/$J$5426)</f>
        <v/>
      </c>
      <c r="L5412" s="6" t="inlineStr">
        <is>
          <t>WATCHLIST</t>
        </is>
      </c>
      <c r="M5412" s="8" t="n">
        <v>0</v>
      </c>
      <c r="N5412" s="7">
        <f>M5412*$J$5426-J5412</f>
        <v/>
      </c>
      <c r="O5412" s="9">
        <f>IF(G5412=0,0,N5412/G5412)</f>
        <v/>
      </c>
      <c r="P5412" s="6">
        <f>IF(M5412&gt;0,D5412,"")</f>
        <v/>
      </c>
      <c r="Q5412" s="9">
        <f>I5412+O5412</f>
        <v/>
      </c>
      <c r="R5412" s="7">
        <f>Q5412*G5412</f>
        <v/>
      </c>
      <c r="S5412" s="8">
        <f>IF($R$5426=0,0,R5412/$R$5426)</f>
        <v/>
      </c>
      <c r="T5412" s="8" t="n">
        <v>0.0001711738673380037</v>
      </c>
      <c r="U5412" s="8" t="n">
        <v>0.002242364092782667</v>
      </c>
      <c r="V5412" s="6" t="inlineStr">
        <is>
          <t>not selected</t>
        </is>
      </c>
    </row>
    <row r="5413">
      <c r="A5413" s="6" t="inlineStr">
        <is>
          <t>DJ30</t>
        </is>
      </c>
      <c r="B5413" s="6" t="inlineStr">
        <is>
          <t>2026-05-08</t>
        </is>
      </c>
      <c r="C5413" s="6" t="inlineStr">
        <is>
          <t>DIA</t>
        </is>
      </c>
      <c r="D5413" s="6" t="inlineStr">
        <is>
          <t>MCD</t>
        </is>
      </c>
      <c r="E5413" s="6" t="inlineStr">
        <is>
          <t>MCD</t>
        </is>
      </c>
      <c r="F5413" s="6" t="inlineStr">
        <is>
          <t>-</t>
        </is>
      </c>
      <c r="G5413" s="7" t="n">
        <v>273.8924255371094</v>
      </c>
      <c r="H5413" s="6">
        <f>P5382</f>
        <v/>
      </c>
      <c r="I5413" s="9">
        <f>Q5382</f>
        <v/>
      </c>
      <c r="J5413" s="7">
        <f>I5413*G5413</f>
        <v/>
      </c>
      <c r="K5413" s="8">
        <f>IF($J$5426=0,0,J5413/$J$5426)</f>
        <v/>
      </c>
      <c r="L5413" s="6" t="inlineStr">
        <is>
          <t>REJECTED</t>
        </is>
      </c>
      <c r="M5413" s="8" t="n">
        <v>0</v>
      </c>
      <c r="N5413" s="7">
        <f>M5413*$J$5426-J5413</f>
        <v/>
      </c>
      <c r="O5413" s="9">
        <f>IF(G5413=0,0,N5413/G5413)</f>
        <v/>
      </c>
      <c r="P5413" s="6">
        <f>IF(M5413&gt;0,D5413,"")</f>
        <v/>
      </c>
      <c r="Q5413" s="9">
        <f>I5413+O5413</f>
        <v/>
      </c>
      <c r="R5413" s="7">
        <f>Q5413*G5413</f>
        <v/>
      </c>
      <c r="S5413" s="8">
        <f>IF($R$5426=0,0,R5413/$R$5426)</f>
        <v/>
      </c>
      <c r="T5413" s="8" t="n">
        <v>0.0001711738673380037</v>
      </c>
      <c r="U5413" s="8" t="n">
        <v>0.002242364092782667</v>
      </c>
      <c r="V5413" s="6" t="inlineStr">
        <is>
          <t>not selected</t>
        </is>
      </c>
    </row>
    <row r="5414">
      <c r="A5414" s="6" t="inlineStr">
        <is>
          <t>DJ30</t>
        </is>
      </c>
      <c r="B5414" s="6" t="inlineStr">
        <is>
          <t>2026-05-08</t>
        </is>
      </c>
      <c r="C5414" s="6" t="inlineStr">
        <is>
          <t>DIA</t>
        </is>
      </c>
      <c r="D5414" s="6" t="inlineStr">
        <is>
          <t>MMM</t>
        </is>
      </c>
      <c r="E5414" s="6" t="inlineStr">
        <is>
          <t>MMM</t>
        </is>
      </c>
      <c r="F5414" s="6" t="inlineStr">
        <is>
          <t>-</t>
        </is>
      </c>
      <c r="G5414" s="7" t="n">
        <v>142.5527496337891</v>
      </c>
      <c r="H5414" s="6">
        <f>P5383</f>
        <v/>
      </c>
      <c r="I5414" s="9">
        <f>Q5383</f>
        <v/>
      </c>
      <c r="J5414" s="7">
        <f>I5414*G5414</f>
        <v/>
      </c>
      <c r="K5414" s="8">
        <f>IF($J$5426=0,0,J5414/$J$5426)</f>
        <v/>
      </c>
      <c r="L5414" s="6" t="inlineStr">
        <is>
          <t>REJECTED</t>
        </is>
      </c>
      <c r="M5414" s="8" t="n">
        <v>0</v>
      </c>
      <c r="N5414" s="7">
        <f>M5414*$J$5426-J5414</f>
        <v/>
      </c>
      <c r="O5414" s="9">
        <f>IF(G5414=0,0,N5414/G5414)</f>
        <v/>
      </c>
      <c r="P5414" s="6">
        <f>IF(M5414&gt;0,D5414,"")</f>
        <v/>
      </c>
      <c r="Q5414" s="9">
        <f>I5414+O5414</f>
        <v/>
      </c>
      <c r="R5414" s="7">
        <f>Q5414*G5414</f>
        <v/>
      </c>
      <c r="S5414" s="8">
        <f>IF($R$5426=0,0,R5414/$R$5426)</f>
        <v/>
      </c>
      <c r="T5414" s="8" t="n">
        <v>0.0001711738673380037</v>
      </c>
      <c r="U5414" s="8" t="n">
        <v>0.002242364092782667</v>
      </c>
      <c r="V5414" s="6" t="inlineStr">
        <is>
          <t>not selected</t>
        </is>
      </c>
    </row>
    <row r="5415">
      <c r="A5415" s="6" t="inlineStr">
        <is>
          <t>DJ30</t>
        </is>
      </c>
      <c r="B5415" s="6" t="inlineStr">
        <is>
          <t>2026-05-08</t>
        </is>
      </c>
      <c r="C5415" s="6" t="inlineStr">
        <is>
          <t>DIA</t>
        </is>
      </c>
      <c r="D5415" s="6" t="inlineStr">
        <is>
          <t>MRK</t>
        </is>
      </c>
      <c r="E5415" s="6" t="inlineStr">
        <is>
          <t>MRK</t>
        </is>
      </c>
      <c r="F5415" s="6" t="inlineStr">
        <is>
          <t>-</t>
        </is>
      </c>
      <c r="G5415" s="7" t="n">
        <v>110.5847625732422</v>
      </c>
      <c r="H5415" s="6">
        <f>P5384</f>
        <v/>
      </c>
      <c r="I5415" s="9">
        <f>Q5384</f>
        <v/>
      </c>
      <c r="J5415" s="7">
        <f>I5415*G5415</f>
        <v/>
      </c>
      <c r="K5415" s="8">
        <f>IF($J$5426=0,0,J5415/$J$5426)</f>
        <v/>
      </c>
      <c r="L5415" s="6" t="inlineStr">
        <is>
          <t>WATCHLIST</t>
        </is>
      </c>
      <c r="M5415" s="8" t="n">
        <v>0</v>
      </c>
      <c r="N5415" s="7">
        <f>M5415*$J$5426-J5415</f>
        <v/>
      </c>
      <c r="O5415" s="9">
        <f>IF(G5415=0,0,N5415/G5415)</f>
        <v/>
      </c>
      <c r="P5415" s="6">
        <f>IF(M5415&gt;0,D5415,"")</f>
        <v/>
      </c>
      <c r="Q5415" s="9">
        <f>I5415+O5415</f>
        <v/>
      </c>
      <c r="R5415" s="7">
        <f>Q5415*G5415</f>
        <v/>
      </c>
      <c r="S5415" s="8">
        <f>IF($R$5426=0,0,R5415/$R$5426)</f>
        <v/>
      </c>
      <c r="T5415" s="8" t="n">
        <v>0.0001711738673380037</v>
      </c>
      <c r="U5415" s="8" t="n">
        <v>0.002242364092782667</v>
      </c>
      <c r="V5415" s="6" t="inlineStr">
        <is>
          <t>not selected</t>
        </is>
      </c>
    </row>
    <row r="5416">
      <c r="A5416" s="6" t="inlineStr">
        <is>
          <t>DJ30</t>
        </is>
      </c>
      <c r="B5416" s="6" t="inlineStr">
        <is>
          <t>2026-05-08</t>
        </is>
      </c>
      <c r="C5416" s="6" t="inlineStr">
        <is>
          <t>DIA</t>
        </is>
      </c>
      <c r="D5416" s="6" t="inlineStr">
        <is>
          <t>MSFT</t>
        </is>
      </c>
      <c r="E5416" s="6" t="inlineStr">
        <is>
          <t>MSFT</t>
        </is>
      </c>
      <c r="F5416" s="6" t="inlineStr">
        <is>
          <t>-</t>
        </is>
      </c>
      <c r="G5416" s="7" t="n">
        <v>414.2228393554688</v>
      </c>
      <c r="H5416" s="6">
        <f>P5385</f>
        <v/>
      </c>
      <c r="I5416" s="9">
        <f>Q5385</f>
        <v/>
      </c>
      <c r="J5416" s="7">
        <f>I5416*G5416</f>
        <v/>
      </c>
      <c r="K5416" s="8">
        <f>IF($J$5426=0,0,J5416/$J$5426)</f>
        <v/>
      </c>
      <c r="L5416" s="6" t="inlineStr">
        <is>
          <t>REJECTED</t>
        </is>
      </c>
      <c r="M5416" s="8" t="n">
        <v>0</v>
      </c>
      <c r="N5416" s="7">
        <f>M5416*$J$5426-J5416</f>
        <v/>
      </c>
      <c r="O5416" s="9">
        <f>IF(G5416=0,0,N5416/G5416)</f>
        <v/>
      </c>
      <c r="P5416" s="6">
        <f>IF(M5416&gt;0,D5416,"")</f>
        <v/>
      </c>
      <c r="Q5416" s="9">
        <f>I5416+O5416</f>
        <v/>
      </c>
      <c r="R5416" s="7">
        <f>Q5416*G5416</f>
        <v/>
      </c>
      <c r="S5416" s="8">
        <f>IF($R$5426=0,0,R5416/$R$5426)</f>
        <v/>
      </c>
      <c r="T5416" s="8" t="n">
        <v>0.0001711738673380037</v>
      </c>
      <c r="U5416" s="8" t="n">
        <v>0.002242364092782667</v>
      </c>
      <c r="V5416" s="6" t="inlineStr">
        <is>
          <t>not selected</t>
        </is>
      </c>
    </row>
    <row r="5417">
      <c r="A5417" s="6" t="inlineStr">
        <is>
          <t>DJ30</t>
        </is>
      </c>
      <c r="B5417" s="6" t="inlineStr">
        <is>
          <t>2026-05-08</t>
        </is>
      </c>
      <c r="C5417" s="6" t="inlineStr">
        <is>
          <t>DIA</t>
        </is>
      </c>
      <c r="D5417" s="6" t="inlineStr">
        <is>
          <t>NKE</t>
        </is>
      </c>
      <c r="E5417" s="6" t="inlineStr">
        <is>
          <t>NKE</t>
        </is>
      </c>
      <c r="F5417" s="6" t="inlineStr">
        <is>
          <t>-</t>
        </is>
      </c>
      <c r="G5417" s="7" t="n">
        <v>43.74853515625</v>
      </c>
      <c r="H5417" s="6">
        <f>P5386</f>
        <v/>
      </c>
      <c r="I5417" s="9">
        <f>Q5386</f>
        <v/>
      </c>
      <c r="J5417" s="7">
        <f>I5417*G5417</f>
        <v/>
      </c>
      <c r="K5417" s="8">
        <f>IF($J$5426=0,0,J5417/$J$5426)</f>
        <v/>
      </c>
      <c r="L5417" s="6" t="inlineStr">
        <is>
          <t>REJECTED</t>
        </is>
      </c>
      <c r="M5417" s="8" t="n">
        <v>0</v>
      </c>
      <c r="N5417" s="7">
        <f>M5417*$J$5426-J5417</f>
        <v/>
      </c>
      <c r="O5417" s="9">
        <f>IF(G5417=0,0,N5417/G5417)</f>
        <v/>
      </c>
      <c r="P5417" s="6">
        <f>IF(M5417&gt;0,D5417,"")</f>
        <v/>
      </c>
      <c r="Q5417" s="9">
        <f>I5417+O5417</f>
        <v/>
      </c>
      <c r="R5417" s="7">
        <f>Q5417*G5417</f>
        <v/>
      </c>
      <c r="S5417" s="8">
        <f>IF($R$5426=0,0,R5417/$R$5426)</f>
        <v/>
      </c>
      <c r="T5417" s="8" t="n">
        <v>0.0001711738673380037</v>
      </c>
      <c r="U5417" s="8" t="n">
        <v>0.002242364092782667</v>
      </c>
      <c r="V5417" s="6" t="inlineStr">
        <is>
          <t>not selected</t>
        </is>
      </c>
    </row>
    <row r="5418">
      <c r="A5418" s="6" t="inlineStr">
        <is>
          <t>DJ30</t>
        </is>
      </c>
      <c r="B5418" s="6" t="inlineStr">
        <is>
          <t>2026-05-08</t>
        </is>
      </c>
      <c r="C5418" s="6" t="inlineStr">
        <is>
          <t>DIA</t>
        </is>
      </c>
      <c r="D5418" s="6" t="inlineStr">
        <is>
          <t>NVDA</t>
        </is>
      </c>
      <c r="E5418" s="6" t="inlineStr">
        <is>
          <t>NVDA</t>
        </is>
      </c>
      <c r="F5418" s="6" t="inlineStr">
        <is>
          <t>-</t>
        </is>
      </c>
      <c r="G5418" s="7" t="n">
        <v>214.9494781494141</v>
      </c>
      <c r="H5418" s="6">
        <f>P5387</f>
        <v/>
      </c>
      <c r="I5418" s="9">
        <f>Q5387</f>
        <v/>
      </c>
      <c r="J5418" s="7">
        <f>I5418*G5418</f>
        <v/>
      </c>
      <c r="K5418" s="8">
        <f>IF($J$5426=0,0,J5418/$J$5426)</f>
        <v/>
      </c>
      <c r="L5418" s="6" t="inlineStr">
        <is>
          <t>WATCHLIST</t>
        </is>
      </c>
      <c r="M5418" s="8" t="n">
        <v>0</v>
      </c>
      <c r="N5418" s="7">
        <f>M5418*$J$5426-J5418</f>
        <v/>
      </c>
      <c r="O5418" s="9">
        <f>IF(G5418=0,0,N5418/G5418)</f>
        <v/>
      </c>
      <c r="P5418" s="6">
        <f>IF(M5418&gt;0,D5418,"")</f>
        <v/>
      </c>
      <c r="Q5418" s="9">
        <f>I5418+O5418</f>
        <v/>
      </c>
      <c r="R5418" s="7">
        <f>Q5418*G5418</f>
        <v/>
      </c>
      <c r="S5418" s="8">
        <f>IF($R$5426=0,0,R5418/$R$5426)</f>
        <v/>
      </c>
      <c r="T5418" s="8" t="n">
        <v>0.0001711738673380037</v>
      </c>
      <c r="U5418" s="8" t="n">
        <v>0.002242364092782667</v>
      </c>
      <c r="V5418" s="6" t="inlineStr">
        <is>
          <t>not selected</t>
        </is>
      </c>
    </row>
    <row r="5419">
      <c r="A5419" s="6" t="inlineStr">
        <is>
          <t>DJ30</t>
        </is>
      </c>
      <c r="B5419" s="6" t="inlineStr">
        <is>
          <t>2026-05-08</t>
        </is>
      </c>
      <c r="C5419" s="6" t="inlineStr">
        <is>
          <t>DIA</t>
        </is>
      </c>
      <c r="D5419" s="6" t="inlineStr">
        <is>
          <t>PG</t>
        </is>
      </c>
      <c r="E5419" s="6" t="inlineStr">
        <is>
          <t>PG</t>
        </is>
      </c>
      <c r="F5419" s="6" t="inlineStr">
        <is>
          <t>-</t>
        </is>
      </c>
      <c r="G5419" s="7" t="n">
        <v>146.4199981689453</v>
      </c>
      <c r="H5419" s="6">
        <f>P5388</f>
        <v/>
      </c>
      <c r="I5419" s="9">
        <f>Q5388</f>
        <v/>
      </c>
      <c r="J5419" s="7">
        <f>I5419*G5419</f>
        <v/>
      </c>
      <c r="K5419" s="8">
        <f>IF($J$5426=0,0,J5419/$J$5426)</f>
        <v/>
      </c>
      <c r="L5419" s="6" t="inlineStr">
        <is>
          <t>REJECTED</t>
        </is>
      </c>
      <c r="M5419" s="8" t="n">
        <v>0</v>
      </c>
      <c r="N5419" s="7">
        <f>M5419*$J$5426-J5419</f>
        <v/>
      </c>
      <c r="O5419" s="9">
        <f>IF(G5419=0,0,N5419/G5419)</f>
        <v/>
      </c>
      <c r="P5419" s="6">
        <f>IF(M5419&gt;0,D5419,"")</f>
        <v/>
      </c>
      <c r="Q5419" s="9">
        <f>I5419+O5419</f>
        <v/>
      </c>
      <c r="R5419" s="7">
        <f>Q5419*G5419</f>
        <v/>
      </c>
      <c r="S5419" s="8">
        <f>IF($R$5426=0,0,R5419/$R$5426)</f>
        <v/>
      </c>
      <c r="T5419" s="8" t="n">
        <v>0.0001711738673380037</v>
      </c>
      <c r="U5419" s="8" t="n">
        <v>0.002242364092782667</v>
      </c>
      <c r="V5419" s="6" t="inlineStr">
        <is>
          <t>not selected</t>
        </is>
      </c>
    </row>
    <row r="5420">
      <c r="A5420" s="6" t="inlineStr">
        <is>
          <t>DJ30</t>
        </is>
      </c>
      <c r="B5420" s="6" t="inlineStr">
        <is>
          <t>2026-05-08</t>
        </is>
      </c>
      <c r="C5420" s="6" t="inlineStr">
        <is>
          <t>DIA</t>
        </is>
      </c>
      <c r="D5420" s="6" t="inlineStr">
        <is>
          <t>SHW</t>
        </is>
      </c>
      <c r="E5420" s="6" t="inlineStr">
        <is>
          <t>SHW</t>
        </is>
      </c>
      <c r="F5420" s="6" t="inlineStr">
        <is>
          <t>-</t>
        </is>
      </c>
      <c r="G5420" s="7" t="n">
        <v>316.0006713867188</v>
      </c>
      <c r="H5420" s="6">
        <f>P5389</f>
        <v/>
      </c>
      <c r="I5420" s="9">
        <f>Q5389</f>
        <v/>
      </c>
      <c r="J5420" s="7">
        <f>I5420*G5420</f>
        <v/>
      </c>
      <c r="K5420" s="8">
        <f>IF($J$5426=0,0,J5420/$J$5426)</f>
        <v/>
      </c>
      <c r="L5420" s="6" t="inlineStr">
        <is>
          <t>REJECTED</t>
        </is>
      </c>
      <c r="M5420" s="8" t="n">
        <v>0</v>
      </c>
      <c r="N5420" s="7">
        <f>M5420*$J$5426-J5420</f>
        <v/>
      </c>
      <c r="O5420" s="9">
        <f>IF(G5420=0,0,N5420/G5420)</f>
        <v/>
      </c>
      <c r="P5420" s="6">
        <f>IF(M5420&gt;0,D5420,"")</f>
        <v/>
      </c>
      <c r="Q5420" s="9">
        <f>I5420+O5420</f>
        <v/>
      </c>
      <c r="R5420" s="7">
        <f>Q5420*G5420</f>
        <v/>
      </c>
      <c r="S5420" s="8">
        <f>IF($R$5426=0,0,R5420/$R$5426)</f>
        <v/>
      </c>
      <c r="T5420" s="8" t="n">
        <v>0.0001711738673380037</v>
      </c>
      <c r="U5420" s="8" t="n">
        <v>0.002242364092782667</v>
      </c>
      <c r="V5420" s="6" t="inlineStr">
        <is>
          <t>not selected</t>
        </is>
      </c>
    </row>
    <row r="5421">
      <c r="A5421" s="6" t="inlineStr">
        <is>
          <t>DJ30</t>
        </is>
      </c>
      <c r="B5421" s="6" t="inlineStr">
        <is>
          <t>2026-05-08</t>
        </is>
      </c>
      <c r="C5421" s="6" t="inlineStr">
        <is>
          <t>DIA</t>
        </is>
      </c>
      <c r="D5421" s="6" t="inlineStr">
        <is>
          <t>TRV</t>
        </is>
      </c>
      <c r="E5421" s="6" t="inlineStr">
        <is>
          <t>TRV</t>
        </is>
      </c>
      <c r="F5421" s="6" t="inlineStr">
        <is>
          <t>-</t>
        </is>
      </c>
      <c r="G5421" s="7" t="n">
        <v>296.7991943359375</v>
      </c>
      <c r="H5421" s="6">
        <f>P5390</f>
        <v/>
      </c>
      <c r="I5421" s="9">
        <f>Q5390</f>
        <v/>
      </c>
      <c r="J5421" s="7">
        <f>I5421*G5421</f>
        <v/>
      </c>
      <c r="K5421" s="8">
        <f>IF($J$5426=0,0,J5421/$J$5426)</f>
        <v/>
      </c>
      <c r="L5421" s="6" t="inlineStr">
        <is>
          <t>WATCHLIST</t>
        </is>
      </c>
      <c r="M5421" s="8" t="n">
        <v>0</v>
      </c>
      <c r="N5421" s="7">
        <f>M5421*$J$5426-J5421</f>
        <v/>
      </c>
      <c r="O5421" s="9">
        <f>IF(G5421=0,0,N5421/G5421)</f>
        <v/>
      </c>
      <c r="P5421" s="6">
        <f>IF(M5421&gt;0,D5421,"")</f>
        <v/>
      </c>
      <c r="Q5421" s="9">
        <f>I5421+O5421</f>
        <v/>
      </c>
      <c r="R5421" s="7">
        <f>Q5421*G5421</f>
        <v/>
      </c>
      <c r="S5421" s="8">
        <f>IF($R$5426=0,0,R5421/$R$5426)</f>
        <v/>
      </c>
      <c r="T5421" s="8" t="n">
        <v>0.0001711738673380037</v>
      </c>
      <c r="U5421" s="8" t="n">
        <v>0.002242364092782667</v>
      </c>
      <c r="V5421" s="6" t="inlineStr">
        <is>
          <t>not selected</t>
        </is>
      </c>
    </row>
    <row r="5422">
      <c r="A5422" s="6" t="inlineStr">
        <is>
          <t>DJ30</t>
        </is>
      </c>
      <c r="B5422" s="6" t="inlineStr">
        <is>
          <t>2026-05-08</t>
        </is>
      </c>
      <c r="C5422" s="6" t="inlineStr">
        <is>
          <t>DIA</t>
        </is>
      </c>
      <c r="D5422" s="6" t="inlineStr">
        <is>
          <t>UNH</t>
        </is>
      </c>
      <c r="E5422" s="6" t="inlineStr">
        <is>
          <t>UNH</t>
        </is>
      </c>
      <c r="F5422" s="6" t="inlineStr">
        <is>
          <t>-</t>
        </is>
      </c>
      <c r="G5422" s="7" t="n">
        <v>377.8221130371094</v>
      </c>
      <c r="H5422" s="6">
        <f>P5391</f>
        <v/>
      </c>
      <c r="I5422" s="9">
        <f>Q5391</f>
        <v/>
      </c>
      <c r="J5422" s="7">
        <f>I5422*G5422</f>
        <v/>
      </c>
      <c r="K5422" s="8">
        <f>IF($J$5426=0,0,J5422/$J$5426)</f>
        <v/>
      </c>
      <c r="L5422" s="6" t="inlineStr">
        <is>
          <t>REJECTED</t>
        </is>
      </c>
      <c r="M5422" s="8" t="n">
        <v>0</v>
      </c>
      <c r="N5422" s="7">
        <f>M5422*$J$5426-J5422</f>
        <v/>
      </c>
      <c r="O5422" s="9">
        <f>IF(G5422=0,0,N5422/G5422)</f>
        <v/>
      </c>
      <c r="P5422" s="6">
        <f>IF(M5422&gt;0,D5422,"")</f>
        <v/>
      </c>
      <c r="Q5422" s="9">
        <f>I5422+O5422</f>
        <v/>
      </c>
      <c r="R5422" s="7">
        <f>Q5422*G5422</f>
        <v/>
      </c>
      <c r="S5422" s="8">
        <f>IF($R$5426=0,0,R5422/$R$5426)</f>
        <v/>
      </c>
      <c r="T5422" s="8" t="n">
        <v>0.0001711738673380037</v>
      </c>
      <c r="U5422" s="8" t="n">
        <v>0.002242364092782667</v>
      </c>
      <c r="V5422" s="6" t="inlineStr">
        <is>
          <t>not selected</t>
        </is>
      </c>
    </row>
    <row r="5423">
      <c r="A5423" s="6" t="inlineStr">
        <is>
          <t>DJ30</t>
        </is>
      </c>
      <c r="B5423" s="6" t="inlineStr">
        <is>
          <t>2026-05-08</t>
        </is>
      </c>
      <c r="C5423" s="6" t="inlineStr">
        <is>
          <t>DIA</t>
        </is>
      </c>
      <c r="D5423" s="6" t="inlineStr">
        <is>
          <t>V</t>
        </is>
      </c>
      <c r="E5423" s="6" t="inlineStr">
        <is>
          <t>V</t>
        </is>
      </c>
      <c r="F5423" s="6" t="inlineStr">
        <is>
          <t>-</t>
        </is>
      </c>
      <c r="G5423" s="7" t="n">
        <v>318.1304931640625</v>
      </c>
      <c r="H5423" s="6">
        <f>P5392</f>
        <v/>
      </c>
      <c r="I5423" s="9">
        <f>Q5392</f>
        <v/>
      </c>
      <c r="J5423" s="7">
        <f>I5423*G5423</f>
        <v/>
      </c>
      <c r="K5423" s="8">
        <f>IF($J$5426=0,0,J5423/$J$5426)</f>
        <v/>
      </c>
      <c r="L5423" s="6" t="inlineStr">
        <is>
          <t>REJECTED</t>
        </is>
      </c>
      <c r="M5423" s="8" t="n">
        <v>0</v>
      </c>
      <c r="N5423" s="7">
        <f>M5423*$J$5426-J5423</f>
        <v/>
      </c>
      <c r="O5423" s="9">
        <f>IF(G5423=0,0,N5423/G5423)</f>
        <v/>
      </c>
      <c r="P5423" s="6">
        <f>IF(M5423&gt;0,D5423,"")</f>
        <v/>
      </c>
      <c r="Q5423" s="9">
        <f>I5423+O5423</f>
        <v/>
      </c>
      <c r="R5423" s="7">
        <f>Q5423*G5423</f>
        <v/>
      </c>
      <c r="S5423" s="8">
        <f>IF($R$5426=0,0,R5423/$R$5426)</f>
        <v/>
      </c>
      <c r="T5423" s="8" t="n">
        <v>0.0001711738673380037</v>
      </c>
      <c r="U5423" s="8" t="n">
        <v>0.002242364092782667</v>
      </c>
      <c r="V5423" s="6" t="inlineStr">
        <is>
          <t>not selected</t>
        </is>
      </c>
    </row>
    <row r="5424">
      <c r="A5424" s="6" t="inlineStr">
        <is>
          <t>DJ30</t>
        </is>
      </c>
      <c r="B5424" s="6" t="inlineStr">
        <is>
          <t>2026-05-08</t>
        </is>
      </c>
      <c r="C5424" s="6" t="inlineStr">
        <is>
          <t>DIA</t>
        </is>
      </c>
      <c r="D5424" s="6" t="inlineStr">
        <is>
          <t>VZ</t>
        </is>
      </c>
      <c r="E5424" s="6" t="inlineStr">
        <is>
          <t>VZ</t>
        </is>
      </c>
      <c r="F5424" s="6" t="inlineStr">
        <is>
          <t>-</t>
        </is>
      </c>
      <c r="G5424" s="7" t="n">
        <v>47.22000122070312</v>
      </c>
      <c r="H5424" s="6">
        <f>P5393</f>
        <v/>
      </c>
      <c r="I5424" s="9">
        <f>Q5393</f>
        <v/>
      </c>
      <c r="J5424" s="7">
        <f>I5424*G5424</f>
        <v/>
      </c>
      <c r="K5424" s="8">
        <f>IF($J$5426=0,0,J5424/$J$5426)</f>
        <v/>
      </c>
      <c r="L5424" s="6" t="inlineStr">
        <is>
          <t>WATCHLIST</t>
        </is>
      </c>
      <c r="M5424" s="8" t="n">
        <v>0</v>
      </c>
      <c r="N5424" s="7">
        <f>M5424*$J$5426-J5424</f>
        <v/>
      </c>
      <c r="O5424" s="9">
        <f>IF(G5424=0,0,N5424/G5424)</f>
        <v/>
      </c>
      <c r="P5424" s="6">
        <f>IF(M5424&gt;0,D5424,"")</f>
        <v/>
      </c>
      <c r="Q5424" s="9">
        <f>I5424+O5424</f>
        <v/>
      </c>
      <c r="R5424" s="7">
        <f>Q5424*G5424</f>
        <v/>
      </c>
      <c r="S5424" s="8">
        <f>IF($R$5426=0,0,R5424/$R$5426)</f>
        <v/>
      </c>
      <c r="T5424" s="8" t="n">
        <v>0.0001711738673380037</v>
      </c>
      <c r="U5424" s="8" t="n">
        <v>0.002242364092782667</v>
      </c>
      <c r="V5424" s="6" t="inlineStr">
        <is>
          <t>not selected</t>
        </is>
      </c>
    </row>
    <row r="5425">
      <c r="A5425" s="6" t="inlineStr">
        <is>
          <t>DJ30</t>
        </is>
      </c>
      <c r="B5425" s="6" t="inlineStr">
        <is>
          <t>2026-05-08</t>
        </is>
      </c>
      <c r="C5425" s="6" t="inlineStr">
        <is>
          <t>DIA</t>
        </is>
      </c>
      <c r="D5425" s="6" t="inlineStr">
        <is>
          <t>WMT</t>
        </is>
      </c>
      <c r="E5425" s="6" t="inlineStr">
        <is>
          <t>WMT</t>
        </is>
      </c>
      <c r="F5425" s="6" t="inlineStr">
        <is>
          <t>-</t>
        </is>
      </c>
      <c r="G5425" s="7" t="n">
        <v>130.4299926757812</v>
      </c>
      <c r="H5425" s="6">
        <f>P5394</f>
        <v/>
      </c>
      <c r="I5425" s="9">
        <f>Q5394</f>
        <v/>
      </c>
      <c r="J5425" s="7">
        <f>I5425*G5425</f>
        <v/>
      </c>
      <c r="K5425" s="8">
        <f>IF($J$5426=0,0,J5425/$J$5426)</f>
        <v/>
      </c>
      <c r="L5425" s="6" t="inlineStr">
        <is>
          <t>WATCHLIST</t>
        </is>
      </c>
      <c r="M5425" s="8" t="n">
        <v>0</v>
      </c>
      <c r="N5425" s="7">
        <f>M5425*$J$5426-J5425</f>
        <v/>
      </c>
      <c r="O5425" s="9">
        <f>IF(G5425=0,0,N5425/G5425)</f>
        <v/>
      </c>
      <c r="P5425" s="6">
        <f>IF(M5425&gt;0,D5425,"")</f>
        <v/>
      </c>
      <c r="Q5425" s="9">
        <f>I5425+O5425</f>
        <v/>
      </c>
      <c r="R5425" s="7">
        <f>Q5425*G5425</f>
        <v/>
      </c>
      <c r="S5425" s="8">
        <f>IF($R$5426=0,0,R5425/$R$5426)</f>
        <v/>
      </c>
      <c r="T5425" s="8" t="n">
        <v>0.0001711738673380037</v>
      </c>
      <c r="U5425" s="8" t="n">
        <v>0.002242364092782667</v>
      </c>
      <c r="V5425" s="6" t="inlineStr">
        <is>
          <t>not selected</t>
        </is>
      </c>
    </row>
    <row r="5426">
      <c r="A5426" s="10" t="inlineStr">
        <is>
          <t>DJ30</t>
        </is>
      </c>
      <c r="B5426" s="10" t="inlineStr">
        <is>
          <t>2026-05-08</t>
        </is>
      </c>
      <c r="C5426" s="10" t="inlineStr">
        <is>
          <t>DIA</t>
        </is>
      </c>
      <c r="D5426" s="10" t="inlineStr">
        <is>
          <t>Tot Portfolio</t>
        </is>
      </c>
      <c r="E5426" s="10" t="inlineStr"/>
      <c r="F5426" s="10" t="inlineStr"/>
      <c r="G5426" s="11" t="inlineStr"/>
      <c r="H5426" s="10" t="inlineStr"/>
      <c r="I5426" s="12" t="inlineStr"/>
      <c r="J5426" s="11">
        <f>SUM(J5396:J5425)</f>
        <v/>
      </c>
      <c r="K5426" s="13">
        <f>SUM(K5396:K5425)</f>
        <v/>
      </c>
      <c r="L5426" s="10" t="inlineStr">
        <is>
          <t>TOTAL</t>
        </is>
      </c>
      <c r="M5426" s="13">
        <f>SUM(M5396:M5425)</f>
        <v/>
      </c>
      <c r="N5426" s="11">
        <f>SUM(N5396:N5425)</f>
        <v/>
      </c>
      <c r="O5426" s="12">
        <f>SUM(O5396:O5425)</f>
        <v/>
      </c>
      <c r="P5426" s="10" t="inlineStr"/>
      <c r="Q5426" s="12" t="inlineStr"/>
      <c r="R5426" s="11">
        <f>SUM(R5396:R5425)</f>
        <v/>
      </c>
      <c r="S5426" s="13">
        <f>SUM(S5396:S5425)</f>
        <v/>
      </c>
      <c r="T5426" s="13" t="n">
        <v>0.0001711738673380037</v>
      </c>
      <c r="U5426" s="13" t="n">
        <v>0.002242364092782667</v>
      </c>
      <c r="V5426" s="10" t="inlineStr"/>
    </row>
    <row r="5427">
      <c r="A5427" s="6" t="inlineStr">
        <is>
          <t>DJ30</t>
        </is>
      </c>
      <c r="B5427" s="6" t="inlineStr">
        <is>
          <t>2026-05-15</t>
        </is>
      </c>
      <c r="C5427" s="6" t="inlineStr">
        <is>
          <t>DIA</t>
        </is>
      </c>
      <c r="D5427" s="6" t="inlineStr">
        <is>
          <t>AAPL</t>
        </is>
      </c>
      <c r="E5427" s="6" t="inlineStr">
        <is>
          <t>AAPL</t>
        </is>
      </c>
      <c r="F5427" s="6" t="inlineStr">
        <is>
          <t>-</t>
        </is>
      </c>
      <c r="G5427" s="7" t="n">
        <v>300.2300109863281</v>
      </c>
      <c r="H5427" s="6">
        <f>P5396</f>
        <v/>
      </c>
      <c r="I5427" s="9">
        <f>Q5396</f>
        <v/>
      </c>
      <c r="J5427" s="7">
        <f>I5427*G5427</f>
        <v/>
      </c>
      <c r="K5427" s="8">
        <f>IF($J$5457=0,0,J5427/$J$5457)</f>
        <v/>
      </c>
      <c r="L5427" s="6" t="inlineStr">
        <is>
          <t>WATCHLIST</t>
        </is>
      </c>
      <c r="M5427" s="8" t="n">
        <v>0</v>
      </c>
      <c r="N5427" s="7">
        <f>M5427*$J$5457-J5427</f>
        <v/>
      </c>
      <c r="O5427" s="9">
        <f>IF(G5427=0,0,N5427/G5427)</f>
        <v/>
      </c>
      <c r="P5427" s="6">
        <f>IF(M5427&gt;0,D5427,"")</f>
        <v/>
      </c>
      <c r="Q5427" s="9">
        <f>I5427+O5427</f>
        <v/>
      </c>
      <c r="R5427" s="7">
        <f>Q5427*G5427</f>
        <v/>
      </c>
      <c r="S5427" s="8">
        <f>IF($R$5457=0,0,R5427/$R$5457)</f>
        <v/>
      </c>
      <c r="T5427" s="8" t="n">
        <v>0.06065115527857201</v>
      </c>
      <c r="U5427" s="8" t="n">
        <v>-0.0009813001866451065</v>
      </c>
      <c r="V5427" s="6" t="inlineStr">
        <is>
          <t>not selected</t>
        </is>
      </c>
    </row>
    <row r="5428">
      <c r="A5428" s="6" t="inlineStr">
        <is>
          <t>DJ30</t>
        </is>
      </c>
      <c r="B5428" s="6" t="inlineStr">
        <is>
          <t>2026-05-15</t>
        </is>
      </c>
      <c r="C5428" s="6" t="inlineStr">
        <is>
          <t>DIA</t>
        </is>
      </c>
      <c r="D5428" s="6" t="inlineStr">
        <is>
          <t>AMGN</t>
        </is>
      </c>
      <c r="E5428" s="6" t="inlineStr">
        <is>
          <t>AMGN</t>
        </is>
      </c>
      <c r="F5428" s="6" t="inlineStr">
        <is>
          <t>-</t>
        </is>
      </c>
      <c r="G5428" s="7" t="n">
        <v>326.3099975585937</v>
      </c>
      <c r="H5428" s="6">
        <f>P5397</f>
        <v/>
      </c>
      <c r="I5428" s="9">
        <f>Q5397</f>
        <v/>
      </c>
      <c r="J5428" s="7">
        <f>I5428*G5428</f>
        <v/>
      </c>
      <c r="K5428" s="8">
        <f>IF($J$5457=0,0,J5428/$J$5457)</f>
        <v/>
      </c>
      <c r="L5428" s="6" t="inlineStr">
        <is>
          <t>WATCHLIST</t>
        </is>
      </c>
      <c r="M5428" s="8" t="n">
        <v>0</v>
      </c>
      <c r="N5428" s="7">
        <f>M5428*$J$5457-J5428</f>
        <v/>
      </c>
      <c r="O5428" s="9">
        <f>IF(G5428=0,0,N5428/G5428)</f>
        <v/>
      </c>
      <c r="P5428" s="6">
        <f>IF(M5428&gt;0,D5428,"")</f>
        <v/>
      </c>
      <c r="Q5428" s="9">
        <f>I5428+O5428</f>
        <v/>
      </c>
      <c r="R5428" s="7">
        <f>Q5428*G5428</f>
        <v/>
      </c>
      <c r="S5428" s="8">
        <f>IF($R$5457=0,0,R5428/$R$5457)</f>
        <v/>
      </c>
      <c r="T5428" s="8" t="n">
        <v>0.06065115527857201</v>
      </c>
      <c r="U5428" s="8" t="n">
        <v>-0.0009813001866451065</v>
      </c>
      <c r="V5428" s="6" t="inlineStr">
        <is>
          <t>not selected</t>
        </is>
      </c>
    </row>
    <row r="5429">
      <c r="A5429" s="6" t="inlineStr">
        <is>
          <t>DJ30</t>
        </is>
      </c>
      <c r="B5429" s="6" t="inlineStr">
        <is>
          <t>2026-05-15</t>
        </is>
      </c>
      <c r="C5429" s="6" t="inlineStr">
        <is>
          <t>DIA</t>
        </is>
      </c>
      <c r="D5429" s="6" t="inlineStr">
        <is>
          <t>AMZN</t>
        </is>
      </c>
      <c r="E5429" s="6" t="inlineStr">
        <is>
          <t>AMZN</t>
        </is>
      </c>
      <c r="F5429" s="6" t="inlineStr">
        <is>
          <t>-</t>
        </is>
      </c>
      <c r="G5429" s="7" t="n">
        <v>264.1400146484375</v>
      </c>
      <c r="H5429" s="6">
        <f>P5398</f>
        <v/>
      </c>
      <c r="I5429" s="9">
        <f>Q5398</f>
        <v/>
      </c>
      <c r="J5429" s="7">
        <f>I5429*G5429</f>
        <v/>
      </c>
      <c r="K5429" s="8">
        <f>IF($J$5457=0,0,J5429/$J$5457)</f>
        <v/>
      </c>
      <c r="L5429" s="6" t="inlineStr">
        <is>
          <t>REJECTED</t>
        </is>
      </c>
      <c r="M5429" s="8" t="n">
        <v>0</v>
      </c>
      <c r="N5429" s="7">
        <f>M5429*$J$5457-J5429</f>
        <v/>
      </c>
      <c r="O5429" s="9">
        <f>IF(G5429=0,0,N5429/G5429)</f>
        <v/>
      </c>
      <c r="P5429" s="6">
        <f>IF(M5429&gt;0,D5429,"")</f>
        <v/>
      </c>
      <c r="Q5429" s="9">
        <f>I5429+O5429</f>
        <v/>
      </c>
      <c r="R5429" s="7">
        <f>Q5429*G5429</f>
        <v/>
      </c>
      <c r="S5429" s="8">
        <f>IF($R$5457=0,0,R5429/$R$5457)</f>
        <v/>
      </c>
      <c r="T5429" s="8" t="n">
        <v>0.06065115527857201</v>
      </c>
      <c r="U5429" s="8" t="n">
        <v>-0.0009813001866451065</v>
      </c>
      <c r="V5429" s="6" t="inlineStr">
        <is>
          <t>not selected</t>
        </is>
      </c>
    </row>
    <row r="5430">
      <c r="A5430" s="6" t="inlineStr">
        <is>
          <t>DJ30</t>
        </is>
      </c>
      <c r="B5430" s="6" t="inlineStr">
        <is>
          <t>2026-05-15</t>
        </is>
      </c>
      <c r="C5430" s="6" t="inlineStr">
        <is>
          <t>DIA</t>
        </is>
      </c>
      <c r="D5430" s="6" t="inlineStr">
        <is>
          <t>AXP</t>
        </is>
      </c>
      <c r="E5430" s="6" t="inlineStr">
        <is>
          <t>AXP</t>
        </is>
      </c>
      <c r="F5430" s="6" t="inlineStr">
        <is>
          <t>-</t>
        </is>
      </c>
      <c r="G5430" s="7" t="n">
        <v>313.4800109863281</v>
      </c>
      <c r="H5430" s="6">
        <f>P5399</f>
        <v/>
      </c>
      <c r="I5430" s="9">
        <f>Q5399</f>
        <v/>
      </c>
      <c r="J5430" s="7">
        <f>I5430*G5430</f>
        <v/>
      </c>
      <c r="K5430" s="8">
        <f>IF($J$5457=0,0,J5430/$J$5457)</f>
        <v/>
      </c>
      <c r="L5430" s="6" t="inlineStr">
        <is>
          <t>REJECTED</t>
        </is>
      </c>
      <c r="M5430" s="8" t="n">
        <v>0</v>
      </c>
      <c r="N5430" s="7">
        <f>M5430*$J$5457-J5430</f>
        <v/>
      </c>
      <c r="O5430" s="9">
        <f>IF(G5430=0,0,N5430/G5430)</f>
        <v/>
      </c>
      <c r="P5430" s="6">
        <f>IF(M5430&gt;0,D5430,"")</f>
        <v/>
      </c>
      <c r="Q5430" s="9">
        <f>I5430+O5430</f>
        <v/>
      </c>
      <c r="R5430" s="7">
        <f>Q5430*G5430</f>
        <v/>
      </c>
      <c r="S5430" s="8">
        <f>IF($R$5457=0,0,R5430/$R$5457)</f>
        <v/>
      </c>
      <c r="T5430" s="8" t="n">
        <v>0.06065115527857201</v>
      </c>
      <c r="U5430" s="8" t="n">
        <v>-0.0009813001866451065</v>
      </c>
      <c r="V5430" s="6" t="inlineStr">
        <is>
          <t>not selected</t>
        </is>
      </c>
    </row>
    <row r="5431">
      <c r="A5431" s="6" t="inlineStr">
        <is>
          <t>DJ30</t>
        </is>
      </c>
      <c r="B5431" s="6" t="inlineStr">
        <is>
          <t>2026-05-15</t>
        </is>
      </c>
      <c r="C5431" s="6" t="inlineStr">
        <is>
          <t>DIA</t>
        </is>
      </c>
      <c r="D5431" s="6" t="inlineStr">
        <is>
          <t>BA</t>
        </is>
      </c>
      <c r="E5431" s="6" t="inlineStr">
        <is>
          <t>BA</t>
        </is>
      </c>
      <c r="F5431" s="6" t="inlineStr">
        <is>
          <t>-</t>
        </is>
      </c>
      <c r="G5431" s="7" t="n">
        <v>220.4900054931641</v>
      </c>
      <c r="H5431" s="6">
        <f>P5400</f>
        <v/>
      </c>
      <c r="I5431" s="9">
        <f>Q5400</f>
        <v/>
      </c>
      <c r="J5431" s="7">
        <f>I5431*G5431</f>
        <v/>
      </c>
      <c r="K5431" s="8">
        <f>IF($J$5457=0,0,J5431/$J$5457)</f>
        <v/>
      </c>
      <c r="L5431" s="6" t="inlineStr">
        <is>
          <t>REJECTED</t>
        </is>
      </c>
      <c r="M5431" s="8" t="n">
        <v>0</v>
      </c>
      <c r="N5431" s="7">
        <f>M5431*$J$5457-J5431</f>
        <v/>
      </c>
      <c r="O5431" s="9">
        <f>IF(G5431=0,0,N5431/G5431)</f>
        <v/>
      </c>
      <c r="P5431" s="6">
        <f>IF(M5431&gt;0,D5431,"")</f>
        <v/>
      </c>
      <c r="Q5431" s="9">
        <f>I5431+O5431</f>
        <v/>
      </c>
      <c r="R5431" s="7">
        <f>Q5431*G5431</f>
        <v/>
      </c>
      <c r="S5431" s="8">
        <f>IF($R$5457=0,0,R5431/$R$5457)</f>
        <v/>
      </c>
      <c r="T5431" s="8" t="n">
        <v>0.06065115527857201</v>
      </c>
      <c r="U5431" s="8" t="n">
        <v>-0.0009813001866451065</v>
      </c>
      <c r="V5431" s="6" t="inlineStr">
        <is>
          <t>not selected</t>
        </is>
      </c>
    </row>
    <row r="5432">
      <c r="A5432" s="6" t="inlineStr">
        <is>
          <t>DJ30</t>
        </is>
      </c>
      <c r="B5432" s="6" t="inlineStr">
        <is>
          <t>2026-05-15</t>
        </is>
      </c>
      <c r="C5432" s="6" t="inlineStr">
        <is>
          <t>DIA</t>
        </is>
      </c>
      <c r="D5432" s="6" t="inlineStr">
        <is>
          <t>CAT</t>
        </is>
      </c>
      <c r="E5432" s="6" t="inlineStr">
        <is>
          <t>CAT</t>
        </is>
      </c>
      <c r="F5432" s="6" t="inlineStr">
        <is>
          <t>-</t>
        </is>
      </c>
      <c r="G5432" s="7" t="n">
        <v>888.3099975585938</v>
      </c>
      <c r="H5432" s="6">
        <f>P5401</f>
        <v/>
      </c>
      <c r="I5432" s="9">
        <f>Q5401</f>
        <v/>
      </c>
      <c r="J5432" s="7">
        <f>I5432*G5432</f>
        <v/>
      </c>
      <c r="K5432" s="8">
        <f>IF($J$5457=0,0,J5432/$J$5457)</f>
        <v/>
      </c>
      <c r="L5432" s="6" t="inlineStr">
        <is>
          <t>SELECTED</t>
        </is>
      </c>
      <c r="M5432" s="8" t="n">
        <v>0.2</v>
      </c>
      <c r="N5432" s="7">
        <f>M5432*$J$5457-J5432</f>
        <v/>
      </c>
      <c r="O5432" s="9">
        <f>IF(G5432=0,0,N5432/G5432)</f>
        <v/>
      </c>
      <c r="P5432" s="6">
        <f>IF(M5432&gt;0,D5432,"")</f>
        <v/>
      </c>
      <c r="Q5432" s="9">
        <f>I5432+O5432</f>
        <v/>
      </c>
      <c r="R5432" s="7">
        <f>Q5432*G5432</f>
        <v/>
      </c>
      <c r="S5432" s="8">
        <f>IF($R$5457=0,0,R5432/$R$5457)</f>
        <v/>
      </c>
      <c r="T5432" s="8" t="n">
        <v>0.06065115527857201</v>
      </c>
      <c r="U5432" s="8" t="n">
        <v>-0.0009813001866451065</v>
      </c>
      <c r="V5432" s="6" t="inlineStr">
        <is>
          <t>remained in weekly selection</t>
        </is>
      </c>
    </row>
    <row r="5433">
      <c r="A5433" s="6" t="inlineStr">
        <is>
          <t>DJ30</t>
        </is>
      </c>
      <c r="B5433" s="6" t="inlineStr">
        <is>
          <t>2026-05-15</t>
        </is>
      </c>
      <c r="C5433" s="6" t="inlineStr">
        <is>
          <t>DIA</t>
        </is>
      </c>
      <c r="D5433" s="6" t="inlineStr">
        <is>
          <t>CRM</t>
        </is>
      </c>
      <c r="E5433" s="6" t="inlineStr">
        <is>
          <t>CRM</t>
        </is>
      </c>
      <c r="F5433" s="6" t="inlineStr">
        <is>
          <t>-</t>
        </is>
      </c>
      <c r="G5433" s="7" t="n">
        <v>173.0633239746094</v>
      </c>
      <c r="H5433" s="6">
        <f>P5402</f>
        <v/>
      </c>
      <c r="I5433" s="9">
        <f>Q5402</f>
        <v/>
      </c>
      <c r="J5433" s="7">
        <f>I5433*G5433</f>
        <v/>
      </c>
      <c r="K5433" s="8">
        <f>IF($J$5457=0,0,J5433/$J$5457)</f>
        <v/>
      </c>
      <c r="L5433" s="6" t="inlineStr">
        <is>
          <t>REJECTED</t>
        </is>
      </c>
      <c r="M5433" s="8" t="n">
        <v>0</v>
      </c>
      <c r="N5433" s="7">
        <f>M5433*$J$5457-J5433</f>
        <v/>
      </c>
      <c r="O5433" s="9">
        <f>IF(G5433=0,0,N5433/G5433)</f>
        <v/>
      </c>
      <c r="P5433" s="6">
        <f>IF(M5433&gt;0,D5433,"")</f>
        <v/>
      </c>
      <c r="Q5433" s="9">
        <f>I5433+O5433</f>
        <v/>
      </c>
      <c r="R5433" s="7">
        <f>Q5433*G5433</f>
        <v/>
      </c>
      <c r="S5433" s="8">
        <f>IF($R$5457=0,0,R5433/$R$5457)</f>
        <v/>
      </c>
      <c r="T5433" s="8" t="n">
        <v>0.06065115527857201</v>
      </c>
      <c r="U5433" s="8" t="n">
        <v>-0.0009813001866451065</v>
      </c>
      <c r="V5433" s="6" t="inlineStr">
        <is>
          <t>not selected</t>
        </is>
      </c>
    </row>
    <row r="5434">
      <c r="A5434" s="6" t="inlineStr">
        <is>
          <t>DJ30</t>
        </is>
      </c>
      <c r="B5434" s="6" t="inlineStr">
        <is>
          <t>2026-05-15</t>
        </is>
      </c>
      <c r="C5434" s="6" t="inlineStr">
        <is>
          <t>DIA</t>
        </is>
      </c>
      <c r="D5434" s="6" t="inlineStr">
        <is>
          <t>CSCO</t>
        </is>
      </c>
      <c r="E5434" s="6" t="inlineStr">
        <is>
          <t>CSCO</t>
        </is>
      </c>
      <c r="F5434" s="6" t="inlineStr">
        <is>
          <t>-</t>
        </is>
      </c>
      <c r="G5434" s="7" t="n">
        <v>118.2099990844727</v>
      </c>
      <c r="H5434" s="6">
        <f>P5403</f>
        <v/>
      </c>
      <c r="I5434" s="9">
        <f>Q5403</f>
        <v/>
      </c>
      <c r="J5434" s="7">
        <f>I5434*G5434</f>
        <v/>
      </c>
      <c r="K5434" s="8">
        <f>IF($J$5457=0,0,J5434/$J$5457)</f>
        <v/>
      </c>
      <c r="L5434" s="6" t="inlineStr">
        <is>
          <t>SELECTED</t>
        </is>
      </c>
      <c r="M5434" s="8" t="n">
        <v>0.2</v>
      </c>
      <c r="N5434" s="7">
        <f>M5434*$J$5457-J5434</f>
        <v/>
      </c>
      <c r="O5434" s="9">
        <f>IF(G5434=0,0,N5434/G5434)</f>
        <v/>
      </c>
      <c r="P5434" s="6">
        <f>IF(M5434&gt;0,D5434,"")</f>
        <v/>
      </c>
      <c r="Q5434" s="9">
        <f>I5434+O5434</f>
        <v/>
      </c>
      <c r="R5434" s="7">
        <f>Q5434*G5434</f>
        <v/>
      </c>
      <c r="S5434" s="8">
        <f>IF($R$5457=0,0,R5434/$R$5457)</f>
        <v/>
      </c>
      <c r="T5434" s="8" t="n">
        <v>0.06065115527857201</v>
      </c>
      <c r="U5434" s="8" t="n">
        <v>-0.0009813001866451065</v>
      </c>
      <c r="V5434" s="6" t="inlineStr">
        <is>
          <t>remained in weekly selection</t>
        </is>
      </c>
    </row>
    <row r="5435">
      <c r="A5435" s="6" t="inlineStr">
        <is>
          <t>DJ30</t>
        </is>
      </c>
      <c r="B5435" s="6" t="inlineStr">
        <is>
          <t>2026-05-15</t>
        </is>
      </c>
      <c r="C5435" s="6" t="inlineStr">
        <is>
          <t>DIA</t>
        </is>
      </c>
      <c r="D5435" s="6" t="inlineStr">
        <is>
          <t>CVX</t>
        </is>
      </c>
      <c r="E5435" s="6" t="inlineStr">
        <is>
          <t>CVX</t>
        </is>
      </c>
      <c r="F5435" s="6" t="inlineStr">
        <is>
          <t>-</t>
        </is>
      </c>
      <c r="G5435" s="7" t="n">
        <v>189.3655700683593</v>
      </c>
      <c r="H5435" s="6">
        <f>P5404</f>
        <v/>
      </c>
      <c r="I5435" s="9">
        <f>Q5404</f>
        <v/>
      </c>
      <c r="J5435" s="7">
        <f>I5435*G5435</f>
        <v/>
      </c>
      <c r="K5435" s="8">
        <f>IF($J$5457=0,0,J5435/$J$5457)</f>
        <v/>
      </c>
      <c r="L5435" s="6" t="inlineStr">
        <is>
          <t>SELECTED</t>
        </is>
      </c>
      <c r="M5435" s="8" t="n">
        <v>0.2</v>
      </c>
      <c r="N5435" s="7">
        <f>M5435*$J$5457-J5435</f>
        <v/>
      </c>
      <c r="O5435" s="9">
        <f>IF(G5435=0,0,N5435/G5435)</f>
        <v/>
      </c>
      <c r="P5435" s="6">
        <f>IF(M5435&gt;0,D5435,"")</f>
        <v/>
      </c>
      <c r="Q5435" s="9">
        <f>I5435+O5435</f>
        <v/>
      </c>
      <c r="R5435" s="7">
        <f>Q5435*G5435</f>
        <v/>
      </c>
      <c r="S5435" s="8">
        <f>IF($R$5457=0,0,R5435/$R$5457)</f>
        <v/>
      </c>
      <c r="T5435" s="8" t="n">
        <v>0.06065115527857201</v>
      </c>
      <c r="U5435" s="8" t="n">
        <v>-0.0009813001866451065</v>
      </c>
      <c r="V5435" s="6" t="inlineStr">
        <is>
          <t>remained in weekly selection</t>
        </is>
      </c>
    </row>
    <row r="5436">
      <c r="A5436" s="6" t="inlineStr">
        <is>
          <t>DJ30</t>
        </is>
      </c>
      <c r="B5436" s="6" t="inlineStr">
        <is>
          <t>2026-05-15</t>
        </is>
      </c>
      <c r="C5436" s="6" t="inlineStr">
        <is>
          <t>DIA</t>
        </is>
      </c>
      <c r="D5436" s="6" t="inlineStr">
        <is>
          <t>DIS</t>
        </is>
      </c>
      <c r="E5436" s="6" t="inlineStr">
        <is>
          <t>DIS</t>
        </is>
      </c>
      <c r="F5436" s="6" t="inlineStr">
        <is>
          <t>-</t>
        </is>
      </c>
      <c r="G5436" s="7" t="n">
        <v>102.7200012207031</v>
      </c>
      <c r="H5436" s="6">
        <f>P5405</f>
        <v/>
      </c>
      <c r="I5436" s="9">
        <f>Q5405</f>
        <v/>
      </c>
      <c r="J5436" s="7">
        <f>I5436*G5436</f>
        <v/>
      </c>
      <c r="K5436" s="8">
        <f>IF($J$5457=0,0,J5436/$J$5457)</f>
        <v/>
      </c>
      <c r="L5436" s="6" t="inlineStr">
        <is>
          <t>REJECTED</t>
        </is>
      </c>
      <c r="M5436" s="8" t="n">
        <v>0</v>
      </c>
      <c r="N5436" s="7">
        <f>M5436*$J$5457-J5436</f>
        <v/>
      </c>
      <c r="O5436" s="9">
        <f>IF(G5436=0,0,N5436/G5436)</f>
        <v/>
      </c>
      <c r="P5436" s="6">
        <f>IF(M5436&gt;0,D5436,"")</f>
        <v/>
      </c>
      <c r="Q5436" s="9">
        <f>I5436+O5436</f>
        <v/>
      </c>
      <c r="R5436" s="7">
        <f>Q5436*G5436</f>
        <v/>
      </c>
      <c r="S5436" s="8">
        <f>IF($R$5457=0,0,R5436/$R$5457)</f>
        <v/>
      </c>
      <c r="T5436" s="8" t="n">
        <v>0.06065115527857201</v>
      </c>
      <c r="U5436" s="8" t="n">
        <v>-0.0009813001866451065</v>
      </c>
      <c r="V5436" s="6" t="inlineStr">
        <is>
          <t>not selected</t>
        </is>
      </c>
    </row>
    <row r="5437">
      <c r="A5437" s="6" t="inlineStr">
        <is>
          <t>DJ30</t>
        </is>
      </c>
      <c r="B5437" s="6" t="inlineStr">
        <is>
          <t>2026-05-15</t>
        </is>
      </c>
      <c r="C5437" s="6" t="inlineStr">
        <is>
          <t>DIA</t>
        </is>
      </c>
      <c r="D5437" s="6" t="inlineStr">
        <is>
          <t>GS</t>
        </is>
      </c>
      <c r="E5437" s="6" t="inlineStr">
        <is>
          <t>GS</t>
        </is>
      </c>
      <c r="F5437" s="6" t="inlineStr">
        <is>
          <t>-</t>
        </is>
      </c>
      <c r="G5437" s="7" t="n">
        <v>944.3082275390624</v>
      </c>
      <c r="H5437" s="6">
        <f>P5406</f>
        <v/>
      </c>
      <c r="I5437" s="9">
        <f>Q5406</f>
        <v/>
      </c>
      <c r="J5437" s="7">
        <f>I5437*G5437</f>
        <v/>
      </c>
      <c r="K5437" s="8">
        <f>IF($J$5457=0,0,J5437/$J$5457)</f>
        <v/>
      </c>
      <c r="L5437" s="6" t="inlineStr">
        <is>
          <t>SELECTED</t>
        </is>
      </c>
      <c r="M5437" s="8" t="n">
        <v>0.2</v>
      </c>
      <c r="N5437" s="7">
        <f>M5437*$J$5457-J5437</f>
        <v/>
      </c>
      <c r="O5437" s="9">
        <f>IF(G5437=0,0,N5437/G5437)</f>
        <v/>
      </c>
      <c r="P5437" s="6">
        <f>IF(M5437&gt;0,D5437,"")</f>
        <v/>
      </c>
      <c r="Q5437" s="9">
        <f>I5437+O5437</f>
        <v/>
      </c>
      <c r="R5437" s="7">
        <f>Q5437*G5437</f>
        <v/>
      </c>
      <c r="S5437" s="8">
        <f>IF($R$5457=0,0,R5437/$R$5457)</f>
        <v/>
      </c>
      <c r="T5437" s="8" t="n">
        <v>0.06065115527857201</v>
      </c>
      <c r="U5437" s="8" t="n">
        <v>-0.0009813001866451065</v>
      </c>
      <c r="V5437" s="6" t="inlineStr">
        <is>
          <t>remained in weekly selection</t>
        </is>
      </c>
    </row>
    <row r="5438">
      <c r="A5438" s="6" t="inlineStr">
        <is>
          <t>DJ30</t>
        </is>
      </c>
      <c r="B5438" s="6" t="inlineStr">
        <is>
          <t>2026-05-15</t>
        </is>
      </c>
      <c r="C5438" s="6" t="inlineStr">
        <is>
          <t>DIA</t>
        </is>
      </c>
      <c r="D5438" s="6" t="inlineStr">
        <is>
          <t>HD</t>
        </is>
      </c>
      <c r="E5438" s="6" t="inlineStr">
        <is>
          <t>HD</t>
        </is>
      </c>
      <c r="F5438" s="6" t="inlineStr">
        <is>
          <t>-</t>
        </is>
      </c>
      <c r="G5438" s="7" t="n">
        <v>295.2951049804688</v>
      </c>
      <c r="H5438" s="6">
        <f>P5407</f>
        <v/>
      </c>
      <c r="I5438" s="9">
        <f>Q5407</f>
        <v/>
      </c>
      <c r="J5438" s="7">
        <f>I5438*G5438</f>
        <v/>
      </c>
      <c r="K5438" s="8">
        <f>IF($J$5457=0,0,J5438/$J$5457)</f>
        <v/>
      </c>
      <c r="L5438" s="6" t="inlineStr">
        <is>
          <t>REJECTED</t>
        </is>
      </c>
      <c r="M5438" s="8" t="n">
        <v>0</v>
      </c>
      <c r="N5438" s="7">
        <f>M5438*$J$5457-J5438</f>
        <v/>
      </c>
      <c r="O5438" s="9">
        <f>IF(G5438=0,0,N5438/G5438)</f>
        <v/>
      </c>
      <c r="P5438" s="6">
        <f>IF(M5438&gt;0,D5438,"")</f>
        <v/>
      </c>
      <c r="Q5438" s="9">
        <f>I5438+O5438</f>
        <v/>
      </c>
      <c r="R5438" s="7">
        <f>Q5438*G5438</f>
        <v/>
      </c>
      <c r="S5438" s="8">
        <f>IF($R$5457=0,0,R5438/$R$5457)</f>
        <v/>
      </c>
      <c r="T5438" s="8" t="n">
        <v>0.06065115527857201</v>
      </c>
      <c r="U5438" s="8" t="n">
        <v>-0.0009813001866451065</v>
      </c>
      <c r="V5438" s="6" t="inlineStr">
        <is>
          <t>not selected</t>
        </is>
      </c>
    </row>
    <row r="5439">
      <c r="A5439" s="6" t="inlineStr">
        <is>
          <t>DJ30</t>
        </is>
      </c>
      <c r="B5439" s="6" t="inlineStr">
        <is>
          <t>2026-05-15</t>
        </is>
      </c>
      <c r="C5439" s="6" t="inlineStr">
        <is>
          <t>DIA</t>
        </is>
      </c>
      <c r="D5439" s="6" t="inlineStr">
        <is>
          <t>HON</t>
        </is>
      </c>
      <c r="E5439" s="6" t="inlineStr">
        <is>
          <t>HON</t>
        </is>
      </c>
      <c r="F5439" s="6" t="inlineStr">
        <is>
          <t>-</t>
        </is>
      </c>
      <c r="G5439" s="7" t="n">
        <v>213.2400054931641</v>
      </c>
      <c r="H5439" s="6">
        <f>P5408</f>
        <v/>
      </c>
      <c r="I5439" s="9">
        <f>Q5408</f>
        <v/>
      </c>
      <c r="J5439" s="7">
        <f>I5439*G5439</f>
        <v/>
      </c>
      <c r="K5439" s="8">
        <f>IF($J$5457=0,0,J5439/$J$5457)</f>
        <v/>
      </c>
      <c r="L5439" s="6" t="inlineStr">
        <is>
          <t>REJECTED</t>
        </is>
      </c>
      <c r="M5439" s="8" t="n">
        <v>0</v>
      </c>
      <c r="N5439" s="7">
        <f>M5439*$J$5457-J5439</f>
        <v/>
      </c>
      <c r="O5439" s="9">
        <f>IF(G5439=0,0,N5439/G5439)</f>
        <v/>
      </c>
      <c r="P5439" s="6">
        <f>IF(M5439&gt;0,D5439,"")</f>
        <v/>
      </c>
      <c r="Q5439" s="9">
        <f>I5439+O5439</f>
        <v/>
      </c>
      <c r="R5439" s="7">
        <f>Q5439*G5439</f>
        <v/>
      </c>
      <c r="S5439" s="8">
        <f>IF($R$5457=0,0,R5439/$R$5457)</f>
        <v/>
      </c>
      <c r="T5439" s="8" t="n">
        <v>0.06065115527857201</v>
      </c>
      <c r="U5439" s="8" t="n">
        <v>-0.0009813001866451065</v>
      </c>
      <c r="V5439" s="6" t="inlineStr">
        <is>
          <t>not selected</t>
        </is>
      </c>
    </row>
    <row r="5440">
      <c r="A5440" s="6" t="inlineStr">
        <is>
          <t>DJ30</t>
        </is>
      </c>
      <c r="B5440" s="6" t="inlineStr">
        <is>
          <t>2026-05-15</t>
        </is>
      </c>
      <c r="C5440" s="6" t="inlineStr">
        <is>
          <t>DIA</t>
        </is>
      </c>
      <c r="D5440" s="6" t="inlineStr">
        <is>
          <t>IBM</t>
        </is>
      </c>
      <c r="E5440" s="6" t="inlineStr">
        <is>
          <t>IBM</t>
        </is>
      </c>
      <c r="F5440" s="6" t="inlineStr">
        <is>
          <t>-</t>
        </is>
      </c>
      <c r="G5440" s="7" t="n">
        <v>219.3000030517578</v>
      </c>
      <c r="H5440" s="6">
        <f>P5409</f>
        <v/>
      </c>
      <c r="I5440" s="9">
        <f>Q5409</f>
        <v/>
      </c>
      <c r="J5440" s="7">
        <f>I5440*G5440</f>
        <v/>
      </c>
      <c r="K5440" s="8">
        <f>IF($J$5457=0,0,J5440/$J$5457)</f>
        <v/>
      </c>
      <c r="L5440" s="6" t="inlineStr">
        <is>
          <t>REJECTED</t>
        </is>
      </c>
      <c r="M5440" s="8" t="n">
        <v>0</v>
      </c>
      <c r="N5440" s="7">
        <f>M5440*$J$5457-J5440</f>
        <v/>
      </c>
      <c r="O5440" s="9">
        <f>IF(G5440=0,0,N5440/G5440)</f>
        <v/>
      </c>
      <c r="P5440" s="6">
        <f>IF(M5440&gt;0,D5440,"")</f>
        <v/>
      </c>
      <c r="Q5440" s="9">
        <f>I5440+O5440</f>
        <v/>
      </c>
      <c r="R5440" s="7">
        <f>Q5440*G5440</f>
        <v/>
      </c>
      <c r="S5440" s="8">
        <f>IF($R$5457=0,0,R5440/$R$5457)</f>
        <v/>
      </c>
      <c r="T5440" s="8" t="n">
        <v>0.06065115527857201</v>
      </c>
      <c r="U5440" s="8" t="n">
        <v>-0.0009813001866451065</v>
      </c>
      <c r="V5440" s="6" t="inlineStr">
        <is>
          <t>not selected</t>
        </is>
      </c>
    </row>
    <row r="5441">
      <c r="A5441" s="6" t="inlineStr">
        <is>
          <t>DJ30</t>
        </is>
      </c>
      <c r="B5441" s="6" t="inlineStr">
        <is>
          <t>2026-05-15</t>
        </is>
      </c>
      <c r="C5441" s="6" t="inlineStr">
        <is>
          <t>DIA</t>
        </is>
      </c>
      <c r="D5441" s="6" t="inlineStr">
        <is>
          <t>JNJ</t>
        </is>
      </c>
      <c r="E5441" s="6" t="inlineStr">
        <is>
          <t>JNJ</t>
        </is>
      </c>
      <c r="F5441" s="6" t="inlineStr">
        <is>
          <t>-</t>
        </is>
      </c>
      <c r="G5441" s="7" t="n">
        <v>225.4136352539062</v>
      </c>
      <c r="H5441" s="6">
        <f>P5410</f>
        <v/>
      </c>
      <c r="I5441" s="9">
        <f>Q5410</f>
        <v/>
      </c>
      <c r="J5441" s="7">
        <f>I5441*G5441</f>
        <v/>
      </c>
      <c r="K5441" s="8">
        <f>IF($J$5457=0,0,J5441/$J$5457)</f>
        <v/>
      </c>
      <c r="L5441" s="6" t="inlineStr">
        <is>
          <t>SELECTED</t>
        </is>
      </c>
      <c r="M5441" s="8" t="n">
        <v>0.2</v>
      </c>
      <c r="N5441" s="7">
        <f>M5441*$J$5457-J5441</f>
        <v/>
      </c>
      <c r="O5441" s="9">
        <f>IF(G5441=0,0,N5441/G5441)</f>
        <v/>
      </c>
      <c r="P5441" s="6">
        <f>IF(M5441&gt;0,D5441,"")</f>
        <v/>
      </c>
      <c r="Q5441" s="9">
        <f>I5441+O5441</f>
        <v/>
      </c>
      <c r="R5441" s="7">
        <f>Q5441*G5441</f>
        <v/>
      </c>
      <c r="S5441" s="8">
        <f>IF($R$5457=0,0,R5441/$R$5457)</f>
        <v/>
      </c>
      <c r="T5441" s="8" t="n">
        <v>0.06065115527857201</v>
      </c>
      <c r="U5441" s="8" t="n">
        <v>-0.0009813001866451065</v>
      </c>
      <c r="V5441" s="6" t="inlineStr">
        <is>
          <t>remained in weekly selection</t>
        </is>
      </c>
    </row>
    <row r="5442">
      <c r="A5442" s="6" t="inlineStr">
        <is>
          <t>DJ30</t>
        </is>
      </c>
      <c r="B5442" s="6" t="inlineStr">
        <is>
          <t>2026-05-15</t>
        </is>
      </c>
      <c r="C5442" s="6" t="inlineStr">
        <is>
          <t>DIA</t>
        </is>
      </c>
      <c r="D5442" s="6" t="inlineStr">
        <is>
          <t>JPM</t>
        </is>
      </c>
      <c r="E5442" s="6" t="inlineStr">
        <is>
          <t>JPM</t>
        </is>
      </c>
      <c r="F5442" s="6" t="inlineStr">
        <is>
          <t>-</t>
        </is>
      </c>
      <c r="G5442" s="7" t="n">
        <v>297.8099975585937</v>
      </c>
      <c r="H5442" s="6">
        <f>P5411</f>
        <v/>
      </c>
      <c r="I5442" s="9">
        <f>Q5411</f>
        <v/>
      </c>
      <c r="J5442" s="7">
        <f>I5442*G5442</f>
        <v/>
      </c>
      <c r="K5442" s="8">
        <f>IF($J$5457=0,0,J5442/$J$5457)</f>
        <v/>
      </c>
      <c r="L5442" s="6" t="inlineStr">
        <is>
          <t>WATCHLIST</t>
        </is>
      </c>
      <c r="M5442" s="8" t="n">
        <v>0</v>
      </c>
      <c r="N5442" s="7">
        <f>M5442*$J$5457-J5442</f>
        <v/>
      </c>
      <c r="O5442" s="9">
        <f>IF(G5442=0,0,N5442/G5442)</f>
        <v/>
      </c>
      <c r="P5442" s="6">
        <f>IF(M5442&gt;0,D5442,"")</f>
        <v/>
      </c>
      <c r="Q5442" s="9">
        <f>I5442+O5442</f>
        <v/>
      </c>
      <c r="R5442" s="7">
        <f>Q5442*G5442</f>
        <v/>
      </c>
      <c r="S5442" s="8">
        <f>IF($R$5457=0,0,R5442/$R$5457)</f>
        <v/>
      </c>
      <c r="T5442" s="8" t="n">
        <v>0.06065115527857201</v>
      </c>
      <c r="U5442" s="8" t="n">
        <v>-0.0009813001866451065</v>
      </c>
      <c r="V5442" s="6" t="inlineStr">
        <is>
          <t>not selected</t>
        </is>
      </c>
    </row>
    <row r="5443">
      <c r="A5443" s="6" t="inlineStr">
        <is>
          <t>DJ30</t>
        </is>
      </c>
      <c r="B5443" s="6" t="inlineStr">
        <is>
          <t>2026-05-15</t>
        </is>
      </c>
      <c r="C5443" s="6" t="inlineStr">
        <is>
          <t>DIA</t>
        </is>
      </c>
      <c r="D5443" s="6" t="inlineStr">
        <is>
          <t>KO</t>
        </is>
      </c>
      <c r="E5443" s="6" t="inlineStr">
        <is>
          <t>KO</t>
        </is>
      </c>
      <c r="F5443" s="6" t="inlineStr">
        <is>
          <t>-</t>
        </is>
      </c>
      <c r="G5443" s="7" t="n">
        <v>80.30155181884766</v>
      </c>
      <c r="H5443" s="6">
        <f>P5412</f>
        <v/>
      </c>
      <c r="I5443" s="9">
        <f>Q5412</f>
        <v/>
      </c>
      <c r="J5443" s="7">
        <f>I5443*G5443</f>
        <v/>
      </c>
      <c r="K5443" s="8">
        <f>IF($J$5457=0,0,J5443/$J$5457)</f>
        <v/>
      </c>
      <c r="L5443" s="6" t="inlineStr">
        <is>
          <t>WATCHLIST</t>
        </is>
      </c>
      <c r="M5443" s="8" t="n">
        <v>0</v>
      </c>
      <c r="N5443" s="7">
        <f>M5443*$J$5457-J5443</f>
        <v/>
      </c>
      <c r="O5443" s="9">
        <f>IF(G5443=0,0,N5443/G5443)</f>
        <v/>
      </c>
      <c r="P5443" s="6">
        <f>IF(M5443&gt;0,D5443,"")</f>
        <v/>
      </c>
      <c r="Q5443" s="9">
        <f>I5443+O5443</f>
        <v/>
      </c>
      <c r="R5443" s="7">
        <f>Q5443*G5443</f>
        <v/>
      </c>
      <c r="S5443" s="8">
        <f>IF($R$5457=0,0,R5443/$R$5457)</f>
        <v/>
      </c>
      <c r="T5443" s="8" t="n">
        <v>0.06065115527857201</v>
      </c>
      <c r="U5443" s="8" t="n">
        <v>-0.0009813001866451065</v>
      </c>
      <c r="V5443" s="6" t="inlineStr">
        <is>
          <t>not selected</t>
        </is>
      </c>
    </row>
    <row r="5444">
      <c r="A5444" s="6" t="inlineStr">
        <is>
          <t>DJ30</t>
        </is>
      </c>
      <c r="B5444" s="6" t="inlineStr">
        <is>
          <t>2026-05-15</t>
        </is>
      </c>
      <c r="C5444" s="6" t="inlineStr">
        <is>
          <t>DIA</t>
        </is>
      </c>
      <c r="D5444" s="6" t="inlineStr">
        <is>
          <t>MCD</t>
        </is>
      </c>
      <c r="E5444" s="6" t="inlineStr">
        <is>
          <t>MCD</t>
        </is>
      </c>
      <c r="F5444" s="6" t="inlineStr">
        <is>
          <t>-</t>
        </is>
      </c>
      <c r="G5444" s="7" t="n">
        <v>274.5281372070312</v>
      </c>
      <c r="H5444" s="6">
        <f>P5413</f>
        <v/>
      </c>
      <c r="I5444" s="9">
        <f>Q5413</f>
        <v/>
      </c>
      <c r="J5444" s="7">
        <f>I5444*G5444</f>
        <v/>
      </c>
      <c r="K5444" s="8">
        <f>IF($J$5457=0,0,J5444/$J$5457)</f>
        <v/>
      </c>
      <c r="L5444" s="6" t="inlineStr">
        <is>
          <t>REJECTED</t>
        </is>
      </c>
      <c r="M5444" s="8" t="n">
        <v>0</v>
      </c>
      <c r="N5444" s="7">
        <f>M5444*$J$5457-J5444</f>
        <v/>
      </c>
      <c r="O5444" s="9">
        <f>IF(G5444=0,0,N5444/G5444)</f>
        <v/>
      </c>
      <c r="P5444" s="6">
        <f>IF(M5444&gt;0,D5444,"")</f>
        <v/>
      </c>
      <c r="Q5444" s="9">
        <f>I5444+O5444</f>
        <v/>
      </c>
      <c r="R5444" s="7">
        <f>Q5444*G5444</f>
        <v/>
      </c>
      <c r="S5444" s="8">
        <f>IF($R$5457=0,0,R5444/$R$5457)</f>
        <v/>
      </c>
      <c r="T5444" s="8" t="n">
        <v>0.06065115527857201</v>
      </c>
      <c r="U5444" s="8" t="n">
        <v>-0.0009813001866451065</v>
      </c>
      <c r="V5444" s="6" t="inlineStr">
        <is>
          <t>not selected</t>
        </is>
      </c>
    </row>
    <row r="5445">
      <c r="A5445" s="6" t="inlineStr">
        <is>
          <t>DJ30</t>
        </is>
      </c>
      <c r="B5445" s="6" t="inlineStr">
        <is>
          <t>2026-05-15</t>
        </is>
      </c>
      <c r="C5445" s="6" t="inlineStr">
        <is>
          <t>DIA</t>
        </is>
      </c>
      <c r="D5445" s="6" t="inlineStr">
        <is>
          <t>MMM</t>
        </is>
      </c>
      <c r="E5445" s="6" t="inlineStr">
        <is>
          <t>MMM</t>
        </is>
      </c>
      <c r="F5445" s="6" t="inlineStr">
        <is>
          <t>-</t>
        </is>
      </c>
      <c r="G5445" s="7" t="n">
        <v>145.4676818847656</v>
      </c>
      <c r="H5445" s="6">
        <f>P5414</f>
        <v/>
      </c>
      <c r="I5445" s="9">
        <f>Q5414</f>
        <v/>
      </c>
      <c r="J5445" s="7">
        <f>I5445*G5445</f>
        <v/>
      </c>
      <c r="K5445" s="8">
        <f>IF($J$5457=0,0,J5445/$J$5457)</f>
        <v/>
      </c>
      <c r="L5445" s="6" t="inlineStr">
        <is>
          <t>REJECTED</t>
        </is>
      </c>
      <c r="M5445" s="8" t="n">
        <v>0</v>
      </c>
      <c r="N5445" s="7">
        <f>M5445*$J$5457-J5445</f>
        <v/>
      </c>
      <c r="O5445" s="9">
        <f>IF(G5445=0,0,N5445/G5445)</f>
        <v/>
      </c>
      <c r="P5445" s="6">
        <f>IF(M5445&gt;0,D5445,"")</f>
        <v/>
      </c>
      <c r="Q5445" s="9">
        <f>I5445+O5445</f>
        <v/>
      </c>
      <c r="R5445" s="7">
        <f>Q5445*G5445</f>
        <v/>
      </c>
      <c r="S5445" s="8">
        <f>IF($R$5457=0,0,R5445/$R$5457)</f>
        <v/>
      </c>
      <c r="T5445" s="8" t="n">
        <v>0.06065115527857201</v>
      </c>
      <c r="U5445" s="8" t="n">
        <v>-0.0009813001866451065</v>
      </c>
      <c r="V5445" s="6" t="inlineStr">
        <is>
          <t>not selected</t>
        </is>
      </c>
    </row>
    <row r="5446">
      <c r="A5446" s="6" t="inlineStr">
        <is>
          <t>DJ30</t>
        </is>
      </c>
      <c r="B5446" s="6" t="inlineStr">
        <is>
          <t>2026-05-15</t>
        </is>
      </c>
      <c r="C5446" s="6" t="inlineStr">
        <is>
          <t>DIA</t>
        </is>
      </c>
      <c r="D5446" s="6" t="inlineStr">
        <is>
          <t>MRK</t>
        </is>
      </c>
      <c r="E5446" s="6" t="inlineStr">
        <is>
          <t>MRK</t>
        </is>
      </c>
      <c r="F5446" s="6" t="inlineStr">
        <is>
          <t>-</t>
        </is>
      </c>
      <c r="G5446" s="7" t="n">
        <v>110.5847625732422</v>
      </c>
      <c r="H5446" s="6">
        <f>P5415</f>
        <v/>
      </c>
      <c r="I5446" s="9">
        <f>Q5415</f>
        <v/>
      </c>
      <c r="J5446" s="7">
        <f>I5446*G5446</f>
        <v/>
      </c>
      <c r="K5446" s="8">
        <f>IF($J$5457=0,0,J5446/$J$5457)</f>
        <v/>
      </c>
      <c r="L5446" s="6" t="inlineStr">
        <is>
          <t>WATCHLIST</t>
        </is>
      </c>
      <c r="M5446" s="8" t="n">
        <v>0</v>
      </c>
      <c r="N5446" s="7">
        <f>M5446*$J$5457-J5446</f>
        <v/>
      </c>
      <c r="O5446" s="9">
        <f>IF(G5446=0,0,N5446/G5446)</f>
        <v/>
      </c>
      <c r="P5446" s="6">
        <f>IF(M5446&gt;0,D5446,"")</f>
        <v/>
      </c>
      <c r="Q5446" s="9">
        <f>I5446+O5446</f>
        <v/>
      </c>
      <c r="R5446" s="7">
        <f>Q5446*G5446</f>
        <v/>
      </c>
      <c r="S5446" s="8">
        <f>IF($R$5457=0,0,R5446/$R$5457)</f>
        <v/>
      </c>
      <c r="T5446" s="8" t="n">
        <v>0.06065115527857201</v>
      </c>
      <c r="U5446" s="8" t="n">
        <v>-0.0009813001866451065</v>
      </c>
      <c r="V5446" s="6" t="inlineStr">
        <is>
          <t>not selected</t>
        </is>
      </c>
    </row>
    <row r="5447">
      <c r="A5447" s="6" t="inlineStr">
        <is>
          <t>DJ30</t>
        </is>
      </c>
      <c r="B5447" s="6" t="inlineStr">
        <is>
          <t>2026-05-15</t>
        </is>
      </c>
      <c r="C5447" s="6" t="inlineStr">
        <is>
          <t>DIA</t>
        </is>
      </c>
      <c r="D5447" s="6" t="inlineStr">
        <is>
          <t>MSFT</t>
        </is>
      </c>
      <c r="E5447" s="6" t="inlineStr">
        <is>
          <t>MSFT</t>
        </is>
      </c>
      <c r="F5447" s="6" t="inlineStr">
        <is>
          <t>-</t>
        </is>
      </c>
      <c r="G5447" s="7" t="n">
        <v>421.0081481933594</v>
      </c>
      <c r="H5447" s="6">
        <f>P5416</f>
        <v/>
      </c>
      <c r="I5447" s="9">
        <f>Q5416</f>
        <v/>
      </c>
      <c r="J5447" s="7">
        <f>I5447*G5447</f>
        <v/>
      </c>
      <c r="K5447" s="8">
        <f>IF($J$5457=0,0,J5447/$J$5457)</f>
        <v/>
      </c>
      <c r="L5447" s="6" t="inlineStr">
        <is>
          <t>REJECTED</t>
        </is>
      </c>
      <c r="M5447" s="8" t="n">
        <v>0</v>
      </c>
      <c r="N5447" s="7">
        <f>M5447*$J$5457-J5447</f>
        <v/>
      </c>
      <c r="O5447" s="9">
        <f>IF(G5447=0,0,N5447/G5447)</f>
        <v/>
      </c>
      <c r="P5447" s="6">
        <f>IF(M5447&gt;0,D5447,"")</f>
        <v/>
      </c>
      <c r="Q5447" s="9">
        <f>I5447+O5447</f>
        <v/>
      </c>
      <c r="R5447" s="7">
        <f>Q5447*G5447</f>
        <v/>
      </c>
      <c r="S5447" s="8">
        <f>IF($R$5457=0,0,R5447/$R$5457)</f>
        <v/>
      </c>
      <c r="T5447" s="8" t="n">
        <v>0.06065115527857201</v>
      </c>
      <c r="U5447" s="8" t="n">
        <v>-0.0009813001866451065</v>
      </c>
      <c r="V5447" s="6" t="inlineStr">
        <is>
          <t>not selected</t>
        </is>
      </c>
    </row>
    <row r="5448">
      <c r="A5448" s="6" t="inlineStr">
        <is>
          <t>DJ30</t>
        </is>
      </c>
      <c r="B5448" s="6" t="inlineStr">
        <is>
          <t>2026-05-15</t>
        </is>
      </c>
      <c r="C5448" s="6" t="inlineStr">
        <is>
          <t>DIA</t>
        </is>
      </c>
      <c r="D5448" s="6" t="inlineStr">
        <is>
          <t>NKE</t>
        </is>
      </c>
      <c r="E5448" s="6" t="inlineStr">
        <is>
          <t>NKE</t>
        </is>
      </c>
      <c r="F5448" s="6" t="inlineStr">
        <is>
          <t>-</t>
        </is>
      </c>
      <c r="G5448" s="7" t="n">
        <v>41.50857925415039</v>
      </c>
      <c r="H5448" s="6">
        <f>P5417</f>
        <v/>
      </c>
      <c r="I5448" s="9">
        <f>Q5417</f>
        <v/>
      </c>
      <c r="J5448" s="7">
        <f>I5448*G5448</f>
        <v/>
      </c>
      <c r="K5448" s="8">
        <f>IF($J$5457=0,0,J5448/$J$5457)</f>
        <v/>
      </c>
      <c r="L5448" s="6" t="inlineStr">
        <is>
          <t>REJECTED</t>
        </is>
      </c>
      <c r="M5448" s="8" t="n">
        <v>0</v>
      </c>
      <c r="N5448" s="7">
        <f>M5448*$J$5457-J5448</f>
        <v/>
      </c>
      <c r="O5448" s="9">
        <f>IF(G5448=0,0,N5448/G5448)</f>
        <v/>
      </c>
      <c r="P5448" s="6">
        <f>IF(M5448&gt;0,D5448,"")</f>
        <v/>
      </c>
      <c r="Q5448" s="9">
        <f>I5448+O5448</f>
        <v/>
      </c>
      <c r="R5448" s="7">
        <f>Q5448*G5448</f>
        <v/>
      </c>
      <c r="S5448" s="8">
        <f>IF($R$5457=0,0,R5448/$R$5457)</f>
        <v/>
      </c>
      <c r="T5448" s="8" t="n">
        <v>0.06065115527857201</v>
      </c>
      <c r="U5448" s="8" t="n">
        <v>-0.0009813001866451065</v>
      </c>
      <c r="V5448" s="6" t="inlineStr">
        <is>
          <t>not selected</t>
        </is>
      </c>
    </row>
    <row r="5449">
      <c r="A5449" s="6" t="inlineStr">
        <is>
          <t>DJ30</t>
        </is>
      </c>
      <c r="B5449" s="6" t="inlineStr">
        <is>
          <t>2026-05-15</t>
        </is>
      </c>
      <c r="C5449" s="6" t="inlineStr">
        <is>
          <t>DIA</t>
        </is>
      </c>
      <c r="D5449" s="6" t="inlineStr">
        <is>
          <t>NVDA</t>
        </is>
      </c>
      <c r="E5449" s="6" t="inlineStr">
        <is>
          <t>NVDA</t>
        </is>
      </c>
      <c r="F5449" s="6" t="inlineStr">
        <is>
          <t>-</t>
        </is>
      </c>
      <c r="G5449" s="7" t="n">
        <v>225.0577087402344</v>
      </c>
      <c r="H5449" s="6">
        <f>P5418</f>
        <v/>
      </c>
      <c r="I5449" s="9">
        <f>Q5418</f>
        <v/>
      </c>
      <c r="J5449" s="7">
        <f>I5449*G5449</f>
        <v/>
      </c>
      <c r="K5449" s="8">
        <f>IF($J$5457=0,0,J5449/$J$5457)</f>
        <v/>
      </c>
      <c r="L5449" s="6" t="inlineStr">
        <is>
          <t>WATCHLIST</t>
        </is>
      </c>
      <c r="M5449" s="8" t="n">
        <v>0</v>
      </c>
      <c r="N5449" s="7">
        <f>M5449*$J$5457-J5449</f>
        <v/>
      </c>
      <c r="O5449" s="9">
        <f>IF(G5449=0,0,N5449/G5449)</f>
        <v/>
      </c>
      <c r="P5449" s="6">
        <f>IF(M5449&gt;0,D5449,"")</f>
        <v/>
      </c>
      <c r="Q5449" s="9">
        <f>I5449+O5449</f>
        <v/>
      </c>
      <c r="R5449" s="7">
        <f>Q5449*G5449</f>
        <v/>
      </c>
      <c r="S5449" s="8">
        <f>IF($R$5457=0,0,R5449/$R$5457)</f>
        <v/>
      </c>
      <c r="T5449" s="8" t="n">
        <v>0.06065115527857201</v>
      </c>
      <c r="U5449" s="8" t="n">
        <v>-0.0009813001866451065</v>
      </c>
      <c r="V5449" s="6" t="inlineStr">
        <is>
          <t>not selected</t>
        </is>
      </c>
    </row>
    <row r="5450">
      <c r="A5450" s="6" t="inlineStr">
        <is>
          <t>DJ30</t>
        </is>
      </c>
      <c r="B5450" s="6" t="inlineStr">
        <is>
          <t>2026-05-15</t>
        </is>
      </c>
      <c r="C5450" s="6" t="inlineStr">
        <is>
          <t>DIA</t>
        </is>
      </c>
      <c r="D5450" s="6" t="inlineStr">
        <is>
          <t>PG</t>
        </is>
      </c>
      <c r="E5450" s="6" t="inlineStr">
        <is>
          <t>PG</t>
        </is>
      </c>
      <c r="F5450" s="6" t="inlineStr">
        <is>
          <t>-</t>
        </is>
      </c>
      <c r="G5450" s="7" t="n">
        <v>141.5700073242188</v>
      </c>
      <c r="H5450" s="6">
        <f>P5419</f>
        <v/>
      </c>
      <c r="I5450" s="9">
        <f>Q5419</f>
        <v/>
      </c>
      <c r="J5450" s="7">
        <f>I5450*G5450</f>
        <v/>
      </c>
      <c r="K5450" s="8">
        <f>IF($J$5457=0,0,J5450/$J$5457)</f>
        <v/>
      </c>
      <c r="L5450" s="6" t="inlineStr">
        <is>
          <t>REJECTED</t>
        </is>
      </c>
      <c r="M5450" s="8" t="n">
        <v>0</v>
      </c>
      <c r="N5450" s="7">
        <f>M5450*$J$5457-J5450</f>
        <v/>
      </c>
      <c r="O5450" s="9">
        <f>IF(G5450=0,0,N5450/G5450)</f>
        <v/>
      </c>
      <c r="P5450" s="6">
        <f>IF(M5450&gt;0,D5450,"")</f>
        <v/>
      </c>
      <c r="Q5450" s="9">
        <f>I5450+O5450</f>
        <v/>
      </c>
      <c r="R5450" s="7">
        <f>Q5450*G5450</f>
        <v/>
      </c>
      <c r="S5450" s="8">
        <f>IF($R$5457=0,0,R5450/$R$5457)</f>
        <v/>
      </c>
      <c r="T5450" s="8" t="n">
        <v>0.06065115527857201</v>
      </c>
      <c r="U5450" s="8" t="n">
        <v>-0.0009813001866451065</v>
      </c>
      <c r="V5450" s="6" t="inlineStr">
        <is>
          <t>not selected</t>
        </is>
      </c>
    </row>
    <row r="5451">
      <c r="A5451" s="6" t="inlineStr">
        <is>
          <t>DJ30</t>
        </is>
      </c>
      <c r="B5451" s="6" t="inlineStr">
        <is>
          <t>2026-05-15</t>
        </is>
      </c>
      <c r="C5451" s="6" t="inlineStr">
        <is>
          <t>DIA</t>
        </is>
      </c>
      <c r="D5451" s="6" t="inlineStr">
        <is>
          <t>SHW</t>
        </is>
      </c>
      <c r="E5451" s="6" t="inlineStr">
        <is>
          <t>SHW</t>
        </is>
      </c>
      <c r="F5451" s="6" t="inlineStr">
        <is>
          <t>-</t>
        </is>
      </c>
      <c r="G5451" s="7" t="n">
        <v>299.3239135742188</v>
      </c>
      <c r="H5451" s="6">
        <f>P5420</f>
        <v/>
      </c>
      <c r="I5451" s="9">
        <f>Q5420</f>
        <v/>
      </c>
      <c r="J5451" s="7">
        <f>I5451*G5451</f>
        <v/>
      </c>
      <c r="K5451" s="8">
        <f>IF($J$5457=0,0,J5451/$J$5457)</f>
        <v/>
      </c>
      <c r="L5451" s="6" t="inlineStr">
        <is>
          <t>REJECTED</t>
        </is>
      </c>
      <c r="M5451" s="8" t="n">
        <v>0</v>
      </c>
      <c r="N5451" s="7">
        <f>M5451*$J$5457-J5451</f>
        <v/>
      </c>
      <c r="O5451" s="9">
        <f>IF(G5451=0,0,N5451/G5451)</f>
        <v/>
      </c>
      <c r="P5451" s="6">
        <f>IF(M5451&gt;0,D5451,"")</f>
        <v/>
      </c>
      <c r="Q5451" s="9">
        <f>I5451+O5451</f>
        <v/>
      </c>
      <c r="R5451" s="7">
        <f>Q5451*G5451</f>
        <v/>
      </c>
      <c r="S5451" s="8">
        <f>IF($R$5457=0,0,R5451/$R$5457)</f>
        <v/>
      </c>
      <c r="T5451" s="8" t="n">
        <v>0.06065115527857201</v>
      </c>
      <c r="U5451" s="8" t="n">
        <v>-0.0009813001866451065</v>
      </c>
      <c r="V5451" s="6" t="inlineStr">
        <is>
          <t>not selected</t>
        </is>
      </c>
    </row>
    <row r="5452">
      <c r="A5452" s="6" t="inlineStr">
        <is>
          <t>DJ30</t>
        </is>
      </c>
      <c r="B5452" s="6" t="inlineStr">
        <is>
          <t>2026-05-15</t>
        </is>
      </c>
      <c r="C5452" s="6" t="inlineStr">
        <is>
          <t>DIA</t>
        </is>
      </c>
      <c r="D5452" s="6" t="inlineStr">
        <is>
          <t>TRV</t>
        </is>
      </c>
      <c r="E5452" s="6" t="inlineStr">
        <is>
          <t>TRV</t>
        </is>
      </c>
      <c r="F5452" s="6" t="inlineStr">
        <is>
          <t>-</t>
        </is>
      </c>
      <c r="G5452" s="7" t="n">
        <v>298.5120544433594</v>
      </c>
      <c r="H5452" s="6">
        <f>P5421</f>
        <v/>
      </c>
      <c r="I5452" s="9">
        <f>Q5421</f>
        <v/>
      </c>
      <c r="J5452" s="7">
        <f>I5452*G5452</f>
        <v/>
      </c>
      <c r="K5452" s="8">
        <f>IF($J$5457=0,0,J5452/$J$5457)</f>
        <v/>
      </c>
      <c r="L5452" s="6" t="inlineStr">
        <is>
          <t>WATCHLIST</t>
        </is>
      </c>
      <c r="M5452" s="8" t="n">
        <v>0</v>
      </c>
      <c r="N5452" s="7">
        <f>M5452*$J$5457-J5452</f>
        <v/>
      </c>
      <c r="O5452" s="9">
        <f>IF(G5452=0,0,N5452/G5452)</f>
        <v/>
      </c>
      <c r="P5452" s="6">
        <f>IF(M5452&gt;0,D5452,"")</f>
        <v/>
      </c>
      <c r="Q5452" s="9">
        <f>I5452+O5452</f>
        <v/>
      </c>
      <c r="R5452" s="7">
        <f>Q5452*G5452</f>
        <v/>
      </c>
      <c r="S5452" s="8">
        <f>IF($R$5457=0,0,R5452/$R$5457)</f>
        <v/>
      </c>
      <c r="T5452" s="8" t="n">
        <v>0.06065115527857201</v>
      </c>
      <c r="U5452" s="8" t="n">
        <v>-0.0009813001866451065</v>
      </c>
      <c r="V5452" s="6" t="inlineStr">
        <is>
          <t>not selected</t>
        </is>
      </c>
    </row>
    <row r="5453">
      <c r="A5453" s="6" t="inlineStr">
        <is>
          <t>DJ30</t>
        </is>
      </c>
      <c r="B5453" s="6" t="inlineStr">
        <is>
          <t>2026-05-15</t>
        </is>
      </c>
      <c r="C5453" s="6" t="inlineStr">
        <is>
          <t>DIA</t>
        </is>
      </c>
      <c r="D5453" s="6" t="inlineStr">
        <is>
          <t>UNH</t>
        </is>
      </c>
      <c r="E5453" s="6" t="inlineStr">
        <is>
          <t>UNH</t>
        </is>
      </c>
      <c r="F5453" s="6" t="inlineStr">
        <is>
          <t>-</t>
        </is>
      </c>
      <c r="G5453" s="7" t="n">
        <v>391.6133422851562</v>
      </c>
      <c r="H5453" s="6">
        <f>P5422</f>
        <v/>
      </c>
      <c r="I5453" s="9">
        <f>Q5422</f>
        <v/>
      </c>
      <c r="J5453" s="7">
        <f>I5453*G5453</f>
        <v/>
      </c>
      <c r="K5453" s="8">
        <f>IF($J$5457=0,0,J5453/$J$5457)</f>
        <v/>
      </c>
      <c r="L5453" s="6" t="inlineStr">
        <is>
          <t>REJECTED</t>
        </is>
      </c>
      <c r="M5453" s="8" t="n">
        <v>0</v>
      </c>
      <c r="N5453" s="7">
        <f>M5453*$J$5457-J5453</f>
        <v/>
      </c>
      <c r="O5453" s="9">
        <f>IF(G5453=0,0,N5453/G5453)</f>
        <v/>
      </c>
      <c r="P5453" s="6">
        <f>IF(M5453&gt;0,D5453,"")</f>
        <v/>
      </c>
      <c r="Q5453" s="9">
        <f>I5453+O5453</f>
        <v/>
      </c>
      <c r="R5453" s="7">
        <f>Q5453*G5453</f>
        <v/>
      </c>
      <c r="S5453" s="8">
        <f>IF($R$5457=0,0,R5453/$R$5457)</f>
        <v/>
      </c>
      <c r="T5453" s="8" t="n">
        <v>0.06065115527857201</v>
      </c>
      <c r="U5453" s="8" t="n">
        <v>-0.0009813001866451065</v>
      </c>
      <c r="V5453" s="6" t="inlineStr">
        <is>
          <t>not selected</t>
        </is>
      </c>
    </row>
    <row r="5454">
      <c r="A5454" s="6" t="inlineStr">
        <is>
          <t>DJ30</t>
        </is>
      </c>
      <c r="B5454" s="6" t="inlineStr">
        <is>
          <t>2026-05-15</t>
        </is>
      </c>
      <c r="C5454" s="6" t="inlineStr">
        <is>
          <t>DIA</t>
        </is>
      </c>
      <c r="D5454" s="6" t="inlineStr">
        <is>
          <t>V</t>
        </is>
      </c>
      <c r="E5454" s="6" t="inlineStr">
        <is>
          <t>V</t>
        </is>
      </c>
      <c r="F5454" s="6" t="inlineStr">
        <is>
          <t>-</t>
        </is>
      </c>
      <c r="G5454" s="7" t="n">
        <v>325.75</v>
      </c>
      <c r="H5454" s="6">
        <f>P5423</f>
        <v/>
      </c>
      <c r="I5454" s="9">
        <f>Q5423</f>
        <v/>
      </c>
      <c r="J5454" s="7">
        <f>I5454*G5454</f>
        <v/>
      </c>
      <c r="K5454" s="8">
        <f>IF($J$5457=0,0,J5454/$J$5457)</f>
        <v/>
      </c>
      <c r="L5454" s="6" t="inlineStr">
        <is>
          <t>REJECTED</t>
        </is>
      </c>
      <c r="M5454" s="8" t="n">
        <v>0</v>
      </c>
      <c r="N5454" s="7">
        <f>M5454*$J$5457-J5454</f>
        <v/>
      </c>
      <c r="O5454" s="9">
        <f>IF(G5454=0,0,N5454/G5454)</f>
        <v/>
      </c>
      <c r="P5454" s="6">
        <f>IF(M5454&gt;0,D5454,"")</f>
        <v/>
      </c>
      <c r="Q5454" s="9">
        <f>I5454+O5454</f>
        <v/>
      </c>
      <c r="R5454" s="7">
        <f>Q5454*G5454</f>
        <v/>
      </c>
      <c r="S5454" s="8">
        <f>IF($R$5457=0,0,R5454/$R$5457)</f>
        <v/>
      </c>
      <c r="T5454" s="8" t="n">
        <v>0.06065115527857201</v>
      </c>
      <c r="U5454" s="8" t="n">
        <v>-0.0009813001866451065</v>
      </c>
      <c r="V5454" s="6" t="inlineStr">
        <is>
          <t>not selected</t>
        </is>
      </c>
    </row>
    <row r="5455">
      <c r="A5455" s="6" t="inlineStr">
        <is>
          <t>DJ30</t>
        </is>
      </c>
      <c r="B5455" s="6" t="inlineStr">
        <is>
          <t>2026-05-15</t>
        </is>
      </c>
      <c r="C5455" s="6" t="inlineStr">
        <is>
          <t>DIA</t>
        </is>
      </c>
      <c r="D5455" s="6" t="inlineStr">
        <is>
          <t>VZ</t>
        </is>
      </c>
      <c r="E5455" s="6" t="inlineStr">
        <is>
          <t>VZ</t>
        </is>
      </c>
      <c r="F5455" s="6" t="inlineStr">
        <is>
          <t>-</t>
        </is>
      </c>
      <c r="G5455" s="7" t="n">
        <v>46.36999893188477</v>
      </c>
      <c r="H5455" s="6">
        <f>P5424</f>
        <v/>
      </c>
      <c r="I5455" s="9">
        <f>Q5424</f>
        <v/>
      </c>
      <c r="J5455" s="7">
        <f>I5455*G5455</f>
        <v/>
      </c>
      <c r="K5455" s="8">
        <f>IF($J$5457=0,0,J5455/$J$5457)</f>
        <v/>
      </c>
      <c r="L5455" s="6" t="inlineStr">
        <is>
          <t>WATCHLIST</t>
        </is>
      </c>
      <c r="M5455" s="8" t="n">
        <v>0</v>
      </c>
      <c r="N5455" s="7">
        <f>M5455*$J$5457-J5455</f>
        <v/>
      </c>
      <c r="O5455" s="9">
        <f>IF(G5455=0,0,N5455/G5455)</f>
        <v/>
      </c>
      <c r="P5455" s="6">
        <f>IF(M5455&gt;0,D5455,"")</f>
        <v/>
      </c>
      <c r="Q5455" s="9">
        <f>I5455+O5455</f>
        <v/>
      </c>
      <c r="R5455" s="7">
        <f>Q5455*G5455</f>
        <v/>
      </c>
      <c r="S5455" s="8">
        <f>IF($R$5457=0,0,R5455/$R$5457)</f>
        <v/>
      </c>
      <c r="T5455" s="8" t="n">
        <v>0.06065115527857201</v>
      </c>
      <c r="U5455" s="8" t="n">
        <v>-0.0009813001866451065</v>
      </c>
      <c r="V5455" s="6" t="inlineStr">
        <is>
          <t>not selected</t>
        </is>
      </c>
    </row>
    <row r="5456">
      <c r="A5456" s="6" t="inlineStr">
        <is>
          <t>DJ30</t>
        </is>
      </c>
      <c r="B5456" s="6" t="inlineStr">
        <is>
          <t>2026-05-15</t>
        </is>
      </c>
      <c r="C5456" s="6" t="inlineStr">
        <is>
          <t>DIA</t>
        </is>
      </c>
      <c r="D5456" s="6" t="inlineStr">
        <is>
          <t>WMT</t>
        </is>
      </c>
      <c r="E5456" s="6" t="inlineStr">
        <is>
          <t>WMT</t>
        </is>
      </c>
      <c r="F5456" s="6" t="inlineStr">
        <is>
          <t>-</t>
        </is>
      </c>
      <c r="G5456" s="7" t="n">
        <v>131.4499969482422</v>
      </c>
      <c r="H5456" s="6">
        <f>P5425</f>
        <v/>
      </c>
      <c r="I5456" s="9">
        <f>Q5425</f>
        <v/>
      </c>
      <c r="J5456" s="7">
        <f>I5456*G5456</f>
        <v/>
      </c>
      <c r="K5456" s="8">
        <f>IF($J$5457=0,0,J5456/$J$5457)</f>
        <v/>
      </c>
      <c r="L5456" s="6" t="inlineStr">
        <is>
          <t>WATCHLIST</t>
        </is>
      </c>
      <c r="M5456" s="8" t="n">
        <v>0</v>
      </c>
      <c r="N5456" s="7">
        <f>M5456*$J$5457-J5456</f>
        <v/>
      </c>
      <c r="O5456" s="9">
        <f>IF(G5456=0,0,N5456/G5456)</f>
        <v/>
      </c>
      <c r="P5456" s="6">
        <f>IF(M5456&gt;0,D5456,"")</f>
        <v/>
      </c>
      <c r="Q5456" s="9">
        <f>I5456+O5456</f>
        <v/>
      </c>
      <c r="R5456" s="7">
        <f>Q5456*G5456</f>
        <v/>
      </c>
      <c r="S5456" s="8">
        <f>IF($R$5457=0,0,R5456/$R$5457)</f>
        <v/>
      </c>
      <c r="T5456" s="8" t="n">
        <v>0.06065115527857201</v>
      </c>
      <c r="U5456" s="8" t="n">
        <v>-0.0009813001866451065</v>
      </c>
      <c r="V5456" s="6" t="inlineStr">
        <is>
          <t>not selected</t>
        </is>
      </c>
    </row>
    <row r="5457">
      <c r="A5457" s="10" t="inlineStr">
        <is>
          <t>DJ30</t>
        </is>
      </c>
      <c r="B5457" s="10" t="inlineStr">
        <is>
          <t>2026-05-15</t>
        </is>
      </c>
      <c r="C5457" s="10" t="inlineStr">
        <is>
          <t>DIA</t>
        </is>
      </c>
      <c r="D5457" s="10" t="inlineStr">
        <is>
          <t>Tot Portfolio</t>
        </is>
      </c>
      <c r="E5457" s="10" t="inlineStr"/>
      <c r="F5457" s="10" t="inlineStr"/>
      <c r="G5457" s="11" t="inlineStr"/>
      <c r="H5457" s="10" t="inlineStr"/>
      <c r="I5457" s="12" t="inlineStr"/>
      <c r="J5457" s="11">
        <f>SUM(J5427:J5456)</f>
        <v/>
      </c>
      <c r="K5457" s="13">
        <f>SUM(K5427:K5456)</f>
        <v/>
      </c>
      <c r="L5457" s="10" t="inlineStr">
        <is>
          <t>TOTAL</t>
        </is>
      </c>
      <c r="M5457" s="13">
        <f>SUM(M5427:M5456)</f>
        <v/>
      </c>
      <c r="N5457" s="11">
        <f>SUM(N5427:N5456)</f>
        <v/>
      </c>
      <c r="O5457" s="12">
        <f>SUM(O5427:O5456)</f>
        <v/>
      </c>
      <c r="P5457" s="10" t="inlineStr"/>
      <c r="Q5457" s="12" t="inlineStr"/>
      <c r="R5457" s="11">
        <f>SUM(R5427:R5456)</f>
        <v/>
      </c>
      <c r="S5457" s="13">
        <f>SUM(S5427:S5456)</f>
        <v/>
      </c>
      <c r="T5457" s="13" t="n">
        <v>0.06065115527857201</v>
      </c>
      <c r="U5457" s="13" t="n">
        <v>-0.0009813001866451065</v>
      </c>
      <c r="V5457" s="10" t="inlineStr"/>
    </row>
    <row r="5458">
      <c r="A5458" s="6" t="inlineStr">
        <is>
          <t>DJ30</t>
        </is>
      </c>
      <c r="B5458" s="6" t="inlineStr">
        <is>
          <t>2026-05-22</t>
        </is>
      </c>
      <c r="C5458" s="6" t="inlineStr">
        <is>
          <t>DIA</t>
        </is>
      </c>
      <c r="D5458" s="6" t="inlineStr">
        <is>
          <t>AAPL</t>
        </is>
      </c>
      <c r="E5458" s="6" t="inlineStr">
        <is>
          <t>AAPL</t>
        </is>
      </c>
      <c r="F5458" s="6" t="inlineStr">
        <is>
          <t>-</t>
        </is>
      </c>
      <c r="G5458" s="7" t="n">
        <v>308.8200073242188</v>
      </c>
      <c r="H5458" s="6">
        <f>P5427</f>
        <v/>
      </c>
      <c r="I5458" s="9">
        <f>Q5427</f>
        <v/>
      </c>
      <c r="J5458" s="7">
        <f>I5458*G5458</f>
        <v/>
      </c>
      <c r="K5458" s="8">
        <f>IF($J$5488=0,0,J5458/$J$5488)</f>
        <v/>
      </c>
      <c r="L5458" s="6" t="inlineStr">
        <is>
          <t>WATCHLIST</t>
        </is>
      </c>
      <c r="M5458" s="8" t="n">
        <v>0</v>
      </c>
      <c r="N5458" s="7">
        <f>M5458*$J$5488-J5458</f>
        <v/>
      </c>
      <c r="O5458" s="9">
        <f>IF(G5458=0,0,N5458/G5458)</f>
        <v/>
      </c>
      <c r="P5458" s="6">
        <f>IF(M5458&gt;0,D5458,"")</f>
        <v/>
      </c>
      <c r="Q5458" s="9">
        <f>I5458+O5458</f>
        <v/>
      </c>
      <c r="R5458" s="7">
        <f>Q5458*G5458</f>
        <v/>
      </c>
      <c r="S5458" s="8">
        <f>IF($R$5488=0,0,R5458/$R$5488)</f>
        <v/>
      </c>
      <c r="T5458" s="8" t="n">
        <v>0.0205142687429829</v>
      </c>
      <c r="U5458" s="8" t="n">
        <v>0.02170092606852037</v>
      </c>
      <c r="V5458" s="6" t="inlineStr">
        <is>
          <t>not selected</t>
        </is>
      </c>
    </row>
    <row r="5459">
      <c r="A5459" s="6" t="inlineStr">
        <is>
          <t>DJ30</t>
        </is>
      </c>
      <c r="B5459" s="6" t="inlineStr">
        <is>
          <t>2026-05-22</t>
        </is>
      </c>
      <c r="C5459" s="6" t="inlineStr">
        <is>
          <t>DIA</t>
        </is>
      </c>
      <c r="D5459" s="6" t="inlineStr">
        <is>
          <t>AMGN</t>
        </is>
      </c>
      <c r="E5459" s="6" t="inlineStr">
        <is>
          <t>AMGN</t>
        </is>
      </c>
      <c r="F5459" s="6" t="inlineStr">
        <is>
          <t>-</t>
        </is>
      </c>
      <c r="G5459" s="7" t="n">
        <v>339.2999877929688</v>
      </c>
      <c r="H5459" s="6">
        <f>P5428</f>
        <v/>
      </c>
      <c r="I5459" s="9">
        <f>Q5428</f>
        <v/>
      </c>
      <c r="J5459" s="7">
        <f>I5459*G5459</f>
        <v/>
      </c>
      <c r="K5459" s="8">
        <f>IF($J$5488=0,0,J5459/$J$5488)</f>
        <v/>
      </c>
      <c r="L5459" s="6" t="inlineStr">
        <is>
          <t>WATCHLIST</t>
        </is>
      </c>
      <c r="M5459" s="8" t="n">
        <v>0</v>
      </c>
      <c r="N5459" s="7">
        <f>M5459*$J$5488-J5459</f>
        <v/>
      </c>
      <c r="O5459" s="9">
        <f>IF(G5459=0,0,N5459/G5459)</f>
        <v/>
      </c>
      <c r="P5459" s="6">
        <f>IF(M5459&gt;0,D5459,"")</f>
        <v/>
      </c>
      <c r="Q5459" s="9">
        <f>I5459+O5459</f>
        <v/>
      </c>
      <c r="R5459" s="7">
        <f>Q5459*G5459</f>
        <v/>
      </c>
      <c r="S5459" s="8">
        <f>IF($R$5488=0,0,R5459/$R$5488)</f>
        <v/>
      </c>
      <c r="T5459" s="8" t="n">
        <v>0.0205142687429829</v>
      </c>
      <c r="U5459" s="8" t="n">
        <v>0.02170092606852037</v>
      </c>
      <c r="V5459" s="6" t="inlineStr">
        <is>
          <t>not selected</t>
        </is>
      </c>
    </row>
    <row r="5460">
      <c r="A5460" s="6" t="inlineStr">
        <is>
          <t>DJ30</t>
        </is>
      </c>
      <c r="B5460" s="6" t="inlineStr">
        <is>
          <t>2026-05-22</t>
        </is>
      </c>
      <c r="C5460" s="6" t="inlineStr">
        <is>
          <t>DIA</t>
        </is>
      </c>
      <c r="D5460" s="6" t="inlineStr">
        <is>
          <t>AMZN</t>
        </is>
      </c>
      <c r="E5460" s="6" t="inlineStr">
        <is>
          <t>AMZN</t>
        </is>
      </c>
      <c r="F5460" s="6" t="inlineStr">
        <is>
          <t>-</t>
        </is>
      </c>
      <c r="G5460" s="7" t="n">
        <v>266.3200073242188</v>
      </c>
      <c r="H5460" s="6">
        <f>P5429</f>
        <v/>
      </c>
      <c r="I5460" s="9">
        <f>Q5429</f>
        <v/>
      </c>
      <c r="J5460" s="7">
        <f>I5460*G5460</f>
        <v/>
      </c>
      <c r="K5460" s="8">
        <f>IF($J$5488=0,0,J5460/$J$5488)</f>
        <v/>
      </c>
      <c r="L5460" s="6" t="inlineStr">
        <is>
          <t>REJECTED</t>
        </is>
      </c>
      <c r="M5460" s="8" t="n">
        <v>0</v>
      </c>
      <c r="N5460" s="7">
        <f>M5460*$J$5488-J5460</f>
        <v/>
      </c>
      <c r="O5460" s="9">
        <f>IF(G5460=0,0,N5460/G5460)</f>
        <v/>
      </c>
      <c r="P5460" s="6">
        <f>IF(M5460&gt;0,D5460,"")</f>
        <v/>
      </c>
      <c r="Q5460" s="9">
        <f>I5460+O5460</f>
        <v/>
      </c>
      <c r="R5460" s="7">
        <f>Q5460*G5460</f>
        <v/>
      </c>
      <c r="S5460" s="8">
        <f>IF($R$5488=0,0,R5460/$R$5488)</f>
        <v/>
      </c>
      <c r="T5460" s="8" t="n">
        <v>0.0205142687429829</v>
      </c>
      <c r="U5460" s="8" t="n">
        <v>0.02170092606852037</v>
      </c>
      <c r="V5460" s="6" t="inlineStr">
        <is>
          <t>not selected</t>
        </is>
      </c>
    </row>
    <row r="5461">
      <c r="A5461" s="6" t="inlineStr">
        <is>
          <t>DJ30</t>
        </is>
      </c>
      <c r="B5461" s="6" t="inlineStr">
        <is>
          <t>2026-05-22</t>
        </is>
      </c>
      <c r="C5461" s="6" t="inlineStr">
        <is>
          <t>DIA</t>
        </is>
      </c>
      <c r="D5461" s="6" t="inlineStr">
        <is>
          <t>AXP</t>
        </is>
      </c>
      <c r="E5461" s="6" t="inlineStr">
        <is>
          <t>AXP</t>
        </is>
      </c>
      <c r="F5461" s="6" t="inlineStr">
        <is>
          <t>-</t>
        </is>
      </c>
      <c r="G5461" s="7" t="n">
        <v>311.7799987792969</v>
      </c>
      <c r="H5461" s="6">
        <f>P5430</f>
        <v/>
      </c>
      <c r="I5461" s="9">
        <f>Q5430</f>
        <v/>
      </c>
      <c r="J5461" s="7">
        <f>I5461*G5461</f>
        <v/>
      </c>
      <c r="K5461" s="8">
        <f>IF($J$5488=0,0,J5461/$J$5488)</f>
        <v/>
      </c>
      <c r="L5461" s="6" t="inlineStr">
        <is>
          <t>REJECTED</t>
        </is>
      </c>
      <c r="M5461" s="8" t="n">
        <v>0</v>
      </c>
      <c r="N5461" s="7">
        <f>M5461*$J$5488-J5461</f>
        <v/>
      </c>
      <c r="O5461" s="9">
        <f>IF(G5461=0,0,N5461/G5461)</f>
        <v/>
      </c>
      <c r="P5461" s="6">
        <f>IF(M5461&gt;0,D5461,"")</f>
        <v/>
      </c>
      <c r="Q5461" s="9">
        <f>I5461+O5461</f>
        <v/>
      </c>
      <c r="R5461" s="7">
        <f>Q5461*G5461</f>
        <v/>
      </c>
      <c r="S5461" s="8">
        <f>IF($R$5488=0,0,R5461/$R$5488)</f>
        <v/>
      </c>
      <c r="T5461" s="8" t="n">
        <v>0.0205142687429829</v>
      </c>
      <c r="U5461" s="8" t="n">
        <v>0.02170092606852037</v>
      </c>
      <c r="V5461" s="6" t="inlineStr">
        <is>
          <t>not selected</t>
        </is>
      </c>
    </row>
    <row r="5462">
      <c r="A5462" s="6" t="inlineStr">
        <is>
          <t>DJ30</t>
        </is>
      </c>
      <c r="B5462" s="6" t="inlineStr">
        <is>
          <t>2026-05-22</t>
        </is>
      </c>
      <c r="C5462" s="6" t="inlineStr">
        <is>
          <t>DIA</t>
        </is>
      </c>
      <c r="D5462" s="6" t="inlineStr">
        <is>
          <t>BA</t>
        </is>
      </c>
      <c r="E5462" s="6" t="inlineStr">
        <is>
          <t>BA</t>
        </is>
      </c>
      <c r="F5462" s="6" t="inlineStr">
        <is>
          <t>-</t>
        </is>
      </c>
      <c r="G5462" s="7" t="n">
        <v>219.0200042724609</v>
      </c>
      <c r="H5462" s="6">
        <f>P5431</f>
        <v/>
      </c>
      <c r="I5462" s="9">
        <f>Q5431</f>
        <v/>
      </c>
      <c r="J5462" s="7">
        <f>I5462*G5462</f>
        <v/>
      </c>
      <c r="K5462" s="8">
        <f>IF($J$5488=0,0,J5462/$J$5488)</f>
        <v/>
      </c>
      <c r="L5462" s="6" t="inlineStr">
        <is>
          <t>REJECTED</t>
        </is>
      </c>
      <c r="M5462" s="8" t="n">
        <v>0</v>
      </c>
      <c r="N5462" s="7">
        <f>M5462*$J$5488-J5462</f>
        <v/>
      </c>
      <c r="O5462" s="9">
        <f>IF(G5462=0,0,N5462/G5462)</f>
        <v/>
      </c>
      <c r="P5462" s="6">
        <f>IF(M5462&gt;0,D5462,"")</f>
        <v/>
      </c>
      <c r="Q5462" s="9">
        <f>I5462+O5462</f>
        <v/>
      </c>
      <c r="R5462" s="7">
        <f>Q5462*G5462</f>
        <v/>
      </c>
      <c r="S5462" s="8">
        <f>IF($R$5488=0,0,R5462/$R$5488)</f>
        <v/>
      </c>
      <c r="T5462" s="8" t="n">
        <v>0.0205142687429829</v>
      </c>
      <c r="U5462" s="8" t="n">
        <v>0.02170092606852037</v>
      </c>
      <c r="V5462" s="6" t="inlineStr">
        <is>
          <t>not selected</t>
        </is>
      </c>
    </row>
    <row r="5463">
      <c r="A5463" s="6" t="inlineStr">
        <is>
          <t>DJ30</t>
        </is>
      </c>
      <c r="B5463" s="6" t="inlineStr">
        <is>
          <t>2026-05-22</t>
        </is>
      </c>
      <c r="C5463" s="6" t="inlineStr">
        <is>
          <t>DIA</t>
        </is>
      </c>
      <c r="D5463" s="6" t="inlineStr">
        <is>
          <t>CAT</t>
        </is>
      </c>
      <c r="E5463" s="6" t="inlineStr">
        <is>
          <t>CAT</t>
        </is>
      </c>
      <c r="F5463" s="6" t="inlineStr">
        <is>
          <t>-</t>
        </is>
      </c>
      <c r="G5463" s="7" t="n">
        <v>879.8900146484375</v>
      </c>
      <c r="H5463" s="6">
        <f>P5432</f>
        <v/>
      </c>
      <c r="I5463" s="9">
        <f>Q5432</f>
        <v/>
      </c>
      <c r="J5463" s="7">
        <f>I5463*G5463</f>
        <v/>
      </c>
      <c r="K5463" s="8">
        <f>IF($J$5488=0,0,J5463/$J$5488)</f>
        <v/>
      </c>
      <c r="L5463" s="6" t="inlineStr">
        <is>
          <t>SELECTED</t>
        </is>
      </c>
      <c r="M5463" s="8" t="n">
        <v>0.2</v>
      </c>
      <c r="N5463" s="7">
        <f>M5463*$J$5488-J5463</f>
        <v/>
      </c>
      <c r="O5463" s="9">
        <f>IF(G5463=0,0,N5463/G5463)</f>
        <v/>
      </c>
      <c r="P5463" s="6">
        <f>IF(M5463&gt;0,D5463,"")</f>
        <v/>
      </c>
      <c r="Q5463" s="9">
        <f>I5463+O5463</f>
        <v/>
      </c>
      <c r="R5463" s="7">
        <f>Q5463*G5463</f>
        <v/>
      </c>
      <c r="S5463" s="8">
        <f>IF($R$5488=0,0,R5463/$R$5488)</f>
        <v/>
      </c>
      <c r="T5463" s="8" t="n">
        <v>0.0205142687429829</v>
      </c>
      <c r="U5463" s="8" t="n">
        <v>0.02170092606852037</v>
      </c>
      <c r="V5463" s="6" t="inlineStr">
        <is>
          <t>remained in weekly selection</t>
        </is>
      </c>
    </row>
    <row r="5464">
      <c r="A5464" s="6" t="inlineStr">
        <is>
          <t>DJ30</t>
        </is>
      </c>
      <c r="B5464" s="6" t="inlineStr">
        <is>
          <t>2026-05-22</t>
        </is>
      </c>
      <c r="C5464" s="6" t="inlineStr">
        <is>
          <t>DIA</t>
        </is>
      </c>
      <c r="D5464" s="6" t="inlineStr">
        <is>
          <t>CRM</t>
        </is>
      </c>
      <c r="E5464" s="6" t="inlineStr">
        <is>
          <t>CRM</t>
        </is>
      </c>
      <c r="F5464" s="6" t="inlineStr">
        <is>
          <t>-</t>
        </is>
      </c>
      <c r="G5464" s="7" t="n">
        <v>179.6064453125</v>
      </c>
      <c r="H5464" s="6">
        <f>P5433</f>
        <v/>
      </c>
      <c r="I5464" s="9">
        <f>Q5433</f>
        <v/>
      </c>
      <c r="J5464" s="7">
        <f>I5464*G5464</f>
        <v/>
      </c>
      <c r="K5464" s="8">
        <f>IF($J$5488=0,0,J5464/$J$5488)</f>
        <v/>
      </c>
      <c r="L5464" s="6" t="inlineStr">
        <is>
          <t>REJECTED</t>
        </is>
      </c>
      <c r="M5464" s="8" t="n">
        <v>0</v>
      </c>
      <c r="N5464" s="7">
        <f>M5464*$J$5488-J5464</f>
        <v/>
      </c>
      <c r="O5464" s="9">
        <f>IF(G5464=0,0,N5464/G5464)</f>
        <v/>
      </c>
      <c r="P5464" s="6">
        <f>IF(M5464&gt;0,D5464,"")</f>
        <v/>
      </c>
      <c r="Q5464" s="9">
        <f>I5464+O5464</f>
        <v/>
      </c>
      <c r="R5464" s="7">
        <f>Q5464*G5464</f>
        <v/>
      </c>
      <c r="S5464" s="8">
        <f>IF($R$5488=0,0,R5464/$R$5488)</f>
        <v/>
      </c>
      <c r="T5464" s="8" t="n">
        <v>0.0205142687429829</v>
      </c>
      <c r="U5464" s="8" t="n">
        <v>0.02170092606852037</v>
      </c>
      <c r="V5464" s="6" t="inlineStr">
        <is>
          <t>not selected</t>
        </is>
      </c>
    </row>
    <row r="5465">
      <c r="A5465" s="6" t="inlineStr">
        <is>
          <t>DJ30</t>
        </is>
      </c>
      <c r="B5465" s="6" t="inlineStr">
        <is>
          <t>2026-05-22</t>
        </is>
      </c>
      <c r="C5465" s="6" t="inlineStr">
        <is>
          <t>DIA</t>
        </is>
      </c>
      <c r="D5465" s="6" t="inlineStr">
        <is>
          <t>CSCO</t>
        </is>
      </c>
      <c r="E5465" s="6" t="inlineStr">
        <is>
          <t>CSCO</t>
        </is>
      </c>
      <c r="F5465" s="6" t="inlineStr">
        <is>
          <t>-</t>
        </is>
      </c>
      <c r="G5465" s="7" t="n">
        <v>120.4100036621094</v>
      </c>
      <c r="H5465" s="6">
        <f>P5434</f>
        <v/>
      </c>
      <c r="I5465" s="9">
        <f>Q5434</f>
        <v/>
      </c>
      <c r="J5465" s="7">
        <f>I5465*G5465</f>
        <v/>
      </c>
      <c r="K5465" s="8">
        <f>IF($J$5488=0,0,J5465/$J$5488)</f>
        <v/>
      </c>
      <c r="L5465" s="6" t="inlineStr">
        <is>
          <t>SELECTED</t>
        </is>
      </c>
      <c r="M5465" s="8" t="n">
        <v>0.2</v>
      </c>
      <c r="N5465" s="7">
        <f>M5465*$J$5488-J5465</f>
        <v/>
      </c>
      <c r="O5465" s="9">
        <f>IF(G5465=0,0,N5465/G5465)</f>
        <v/>
      </c>
      <c r="P5465" s="6">
        <f>IF(M5465&gt;0,D5465,"")</f>
        <v/>
      </c>
      <c r="Q5465" s="9">
        <f>I5465+O5465</f>
        <v/>
      </c>
      <c r="R5465" s="7">
        <f>Q5465*G5465</f>
        <v/>
      </c>
      <c r="S5465" s="8">
        <f>IF($R$5488=0,0,R5465/$R$5488)</f>
        <v/>
      </c>
      <c r="T5465" s="8" t="n">
        <v>0.0205142687429829</v>
      </c>
      <c r="U5465" s="8" t="n">
        <v>0.02170092606852037</v>
      </c>
      <c r="V5465" s="6" t="inlineStr">
        <is>
          <t>remained in weekly selection</t>
        </is>
      </c>
    </row>
    <row r="5466">
      <c r="A5466" s="6" t="inlineStr">
        <is>
          <t>DJ30</t>
        </is>
      </c>
      <c r="B5466" s="6" t="inlineStr">
        <is>
          <t>2026-05-22</t>
        </is>
      </c>
      <c r="C5466" s="6" t="inlineStr">
        <is>
          <t>DIA</t>
        </is>
      </c>
      <c r="D5466" s="6" t="inlineStr">
        <is>
          <t>CVX</t>
        </is>
      </c>
      <c r="E5466" s="6" t="inlineStr">
        <is>
          <t>CVX</t>
        </is>
      </c>
      <c r="F5466" s="6" t="inlineStr">
        <is>
          <t>-</t>
        </is>
      </c>
      <c r="G5466" s="7" t="n">
        <v>191.4299926757812</v>
      </c>
      <c r="H5466" s="6">
        <f>P5435</f>
        <v/>
      </c>
      <c r="I5466" s="9">
        <f>Q5435</f>
        <v/>
      </c>
      <c r="J5466" s="7">
        <f>I5466*G5466</f>
        <v/>
      </c>
      <c r="K5466" s="8">
        <f>IF($J$5488=0,0,J5466/$J$5488)</f>
        <v/>
      </c>
      <c r="L5466" s="6" t="inlineStr">
        <is>
          <t>SELECTED</t>
        </is>
      </c>
      <c r="M5466" s="8" t="n">
        <v>0.2</v>
      </c>
      <c r="N5466" s="7">
        <f>M5466*$J$5488-J5466</f>
        <v/>
      </c>
      <c r="O5466" s="9">
        <f>IF(G5466=0,0,N5466/G5466)</f>
        <v/>
      </c>
      <c r="P5466" s="6">
        <f>IF(M5466&gt;0,D5466,"")</f>
        <v/>
      </c>
      <c r="Q5466" s="9">
        <f>I5466+O5466</f>
        <v/>
      </c>
      <c r="R5466" s="7">
        <f>Q5466*G5466</f>
        <v/>
      </c>
      <c r="S5466" s="8">
        <f>IF($R$5488=0,0,R5466/$R$5488)</f>
        <v/>
      </c>
      <c r="T5466" s="8" t="n">
        <v>0.0205142687429829</v>
      </c>
      <c r="U5466" s="8" t="n">
        <v>0.02170092606852037</v>
      </c>
      <c r="V5466" s="6" t="inlineStr">
        <is>
          <t>remained in weekly selection</t>
        </is>
      </c>
    </row>
    <row r="5467">
      <c r="A5467" s="6" t="inlineStr">
        <is>
          <t>DJ30</t>
        </is>
      </c>
      <c r="B5467" s="6" t="inlineStr">
        <is>
          <t>2026-05-22</t>
        </is>
      </c>
      <c r="C5467" s="6" t="inlineStr">
        <is>
          <t>DIA</t>
        </is>
      </c>
      <c r="D5467" s="6" t="inlineStr">
        <is>
          <t>DIS</t>
        </is>
      </c>
      <c r="E5467" s="6" t="inlineStr">
        <is>
          <t>DIS</t>
        </is>
      </c>
      <c r="F5467" s="6" t="inlineStr">
        <is>
          <t>-</t>
        </is>
      </c>
      <c r="G5467" s="7" t="n">
        <v>103</v>
      </c>
      <c r="H5467" s="6">
        <f>P5436</f>
        <v/>
      </c>
      <c r="I5467" s="9">
        <f>Q5436</f>
        <v/>
      </c>
      <c r="J5467" s="7">
        <f>I5467*G5467</f>
        <v/>
      </c>
      <c r="K5467" s="8">
        <f>IF($J$5488=0,0,J5467/$J$5488)</f>
        <v/>
      </c>
      <c r="L5467" s="6" t="inlineStr">
        <is>
          <t>REJECTED</t>
        </is>
      </c>
      <c r="M5467" s="8" t="n">
        <v>0</v>
      </c>
      <c r="N5467" s="7">
        <f>M5467*$J$5488-J5467</f>
        <v/>
      </c>
      <c r="O5467" s="9">
        <f>IF(G5467=0,0,N5467/G5467)</f>
        <v/>
      </c>
      <c r="P5467" s="6">
        <f>IF(M5467&gt;0,D5467,"")</f>
        <v/>
      </c>
      <c r="Q5467" s="9">
        <f>I5467+O5467</f>
        <v/>
      </c>
      <c r="R5467" s="7">
        <f>Q5467*G5467</f>
        <v/>
      </c>
      <c r="S5467" s="8">
        <f>IF($R$5488=0,0,R5467/$R$5488)</f>
        <v/>
      </c>
      <c r="T5467" s="8" t="n">
        <v>0.0205142687429829</v>
      </c>
      <c r="U5467" s="8" t="n">
        <v>0.02170092606852037</v>
      </c>
      <c r="V5467" s="6" t="inlineStr">
        <is>
          <t>not selected</t>
        </is>
      </c>
    </row>
    <row r="5468">
      <c r="A5468" s="6" t="inlineStr">
        <is>
          <t>DJ30</t>
        </is>
      </c>
      <c r="B5468" s="6" t="inlineStr">
        <is>
          <t>2026-05-22</t>
        </is>
      </c>
      <c r="C5468" s="6" t="inlineStr">
        <is>
          <t>DIA</t>
        </is>
      </c>
      <c r="D5468" s="6" t="inlineStr">
        <is>
          <t>GS</t>
        </is>
      </c>
      <c r="E5468" s="6" t="inlineStr">
        <is>
          <t>GS</t>
        </is>
      </c>
      <c r="F5468" s="6" t="inlineStr">
        <is>
          <t>-</t>
        </is>
      </c>
      <c r="G5468" s="7" t="n">
        <v>992.3564453125</v>
      </c>
      <c r="H5468" s="6">
        <f>P5437</f>
        <v/>
      </c>
      <c r="I5468" s="9">
        <f>Q5437</f>
        <v/>
      </c>
      <c r="J5468" s="7">
        <f>I5468*G5468</f>
        <v/>
      </c>
      <c r="K5468" s="8">
        <f>IF($J$5488=0,0,J5468/$J$5488)</f>
        <v/>
      </c>
      <c r="L5468" s="6" t="inlineStr">
        <is>
          <t>SELECTED</t>
        </is>
      </c>
      <c r="M5468" s="8" t="n">
        <v>0.2</v>
      </c>
      <c r="N5468" s="7">
        <f>M5468*$J$5488-J5468</f>
        <v/>
      </c>
      <c r="O5468" s="9">
        <f>IF(G5468=0,0,N5468/G5468)</f>
        <v/>
      </c>
      <c r="P5468" s="6">
        <f>IF(M5468&gt;0,D5468,"")</f>
        <v/>
      </c>
      <c r="Q5468" s="9">
        <f>I5468+O5468</f>
        <v/>
      </c>
      <c r="R5468" s="7">
        <f>Q5468*G5468</f>
        <v/>
      </c>
      <c r="S5468" s="8">
        <f>IF($R$5488=0,0,R5468/$R$5488)</f>
        <v/>
      </c>
      <c r="T5468" s="8" t="n">
        <v>0.0205142687429829</v>
      </c>
      <c r="U5468" s="8" t="n">
        <v>0.02170092606852037</v>
      </c>
      <c r="V5468" s="6" t="inlineStr">
        <is>
          <t>remained in weekly selection</t>
        </is>
      </c>
    </row>
    <row r="5469">
      <c r="A5469" s="6" t="inlineStr">
        <is>
          <t>DJ30</t>
        </is>
      </c>
      <c r="B5469" s="6" t="inlineStr">
        <is>
          <t>2026-05-22</t>
        </is>
      </c>
      <c r="C5469" s="6" t="inlineStr">
        <is>
          <t>DIA</t>
        </is>
      </c>
      <c r="D5469" s="6" t="inlineStr">
        <is>
          <t>HD</t>
        </is>
      </c>
      <c r="E5469" s="6" t="inlineStr">
        <is>
          <t>HD</t>
        </is>
      </c>
      <c r="F5469" s="6" t="inlineStr">
        <is>
          <t>-</t>
        </is>
      </c>
      <c r="G5469" s="7" t="n">
        <v>310.7392578125</v>
      </c>
      <c r="H5469" s="6">
        <f>P5438</f>
        <v/>
      </c>
      <c r="I5469" s="9">
        <f>Q5438</f>
        <v/>
      </c>
      <c r="J5469" s="7">
        <f>I5469*G5469</f>
        <v/>
      </c>
      <c r="K5469" s="8">
        <f>IF($J$5488=0,0,J5469/$J$5488)</f>
        <v/>
      </c>
      <c r="L5469" s="6" t="inlineStr">
        <is>
          <t>REJECTED</t>
        </is>
      </c>
      <c r="M5469" s="8" t="n">
        <v>0</v>
      </c>
      <c r="N5469" s="7">
        <f>M5469*$J$5488-J5469</f>
        <v/>
      </c>
      <c r="O5469" s="9">
        <f>IF(G5469=0,0,N5469/G5469)</f>
        <v/>
      </c>
      <c r="P5469" s="6">
        <f>IF(M5469&gt;0,D5469,"")</f>
        <v/>
      </c>
      <c r="Q5469" s="9">
        <f>I5469+O5469</f>
        <v/>
      </c>
      <c r="R5469" s="7">
        <f>Q5469*G5469</f>
        <v/>
      </c>
      <c r="S5469" s="8">
        <f>IF($R$5488=0,0,R5469/$R$5488)</f>
        <v/>
      </c>
      <c r="T5469" s="8" t="n">
        <v>0.0205142687429829</v>
      </c>
      <c r="U5469" s="8" t="n">
        <v>0.02170092606852037</v>
      </c>
      <c r="V5469" s="6" t="inlineStr">
        <is>
          <t>not selected</t>
        </is>
      </c>
    </row>
    <row r="5470">
      <c r="A5470" s="6" t="inlineStr">
        <is>
          <t>DJ30</t>
        </is>
      </c>
      <c r="B5470" s="6" t="inlineStr">
        <is>
          <t>2026-05-22</t>
        </is>
      </c>
      <c r="C5470" s="6" t="inlineStr">
        <is>
          <t>DIA</t>
        </is>
      </c>
      <c r="D5470" s="6" t="inlineStr">
        <is>
          <t>HON</t>
        </is>
      </c>
      <c r="E5470" s="6" t="inlineStr">
        <is>
          <t>HON</t>
        </is>
      </c>
      <c r="F5470" s="6" t="inlineStr">
        <is>
          <t>-</t>
        </is>
      </c>
      <c r="G5470" s="7" t="n">
        <v>227.9199981689453</v>
      </c>
      <c r="H5470" s="6">
        <f>P5439</f>
        <v/>
      </c>
      <c r="I5470" s="9">
        <f>Q5439</f>
        <v/>
      </c>
      <c r="J5470" s="7">
        <f>I5470*G5470</f>
        <v/>
      </c>
      <c r="K5470" s="8">
        <f>IF($J$5488=0,0,J5470/$J$5488)</f>
        <v/>
      </c>
      <c r="L5470" s="6" t="inlineStr">
        <is>
          <t>REJECTED</t>
        </is>
      </c>
      <c r="M5470" s="8" t="n">
        <v>0</v>
      </c>
      <c r="N5470" s="7">
        <f>M5470*$J$5488-J5470</f>
        <v/>
      </c>
      <c r="O5470" s="9">
        <f>IF(G5470=0,0,N5470/G5470)</f>
        <v/>
      </c>
      <c r="P5470" s="6">
        <f>IF(M5470&gt;0,D5470,"")</f>
        <v/>
      </c>
      <c r="Q5470" s="9">
        <f>I5470+O5470</f>
        <v/>
      </c>
      <c r="R5470" s="7">
        <f>Q5470*G5470</f>
        <v/>
      </c>
      <c r="S5470" s="8">
        <f>IF($R$5488=0,0,R5470/$R$5488)</f>
        <v/>
      </c>
      <c r="T5470" s="8" t="n">
        <v>0.0205142687429829</v>
      </c>
      <c r="U5470" s="8" t="n">
        <v>0.02170092606852037</v>
      </c>
      <c r="V5470" s="6" t="inlineStr">
        <is>
          <t>not selected</t>
        </is>
      </c>
    </row>
    <row r="5471">
      <c r="A5471" s="6" t="inlineStr">
        <is>
          <t>DJ30</t>
        </is>
      </c>
      <c r="B5471" s="6" t="inlineStr">
        <is>
          <t>2026-05-22</t>
        </is>
      </c>
      <c r="C5471" s="6" t="inlineStr">
        <is>
          <t>DIA</t>
        </is>
      </c>
      <c r="D5471" s="6" t="inlineStr">
        <is>
          <t>IBM</t>
        </is>
      </c>
      <c r="E5471" s="6" t="inlineStr">
        <is>
          <t>IBM</t>
        </is>
      </c>
      <c r="F5471" s="6" t="inlineStr">
        <is>
          <t>-</t>
        </is>
      </c>
      <c r="G5471" s="7" t="n">
        <v>253.8399963378907</v>
      </c>
      <c r="H5471" s="6">
        <f>P5440</f>
        <v/>
      </c>
      <c r="I5471" s="9">
        <f>Q5440</f>
        <v/>
      </c>
      <c r="J5471" s="7">
        <f>I5471*G5471</f>
        <v/>
      </c>
      <c r="K5471" s="8">
        <f>IF($J$5488=0,0,J5471/$J$5488)</f>
        <v/>
      </c>
      <c r="L5471" s="6" t="inlineStr">
        <is>
          <t>REJECTED</t>
        </is>
      </c>
      <c r="M5471" s="8" t="n">
        <v>0</v>
      </c>
      <c r="N5471" s="7">
        <f>M5471*$J$5488-J5471</f>
        <v/>
      </c>
      <c r="O5471" s="9">
        <f>IF(G5471=0,0,N5471/G5471)</f>
        <v/>
      </c>
      <c r="P5471" s="6">
        <f>IF(M5471&gt;0,D5471,"")</f>
        <v/>
      </c>
      <c r="Q5471" s="9">
        <f>I5471+O5471</f>
        <v/>
      </c>
      <c r="R5471" s="7">
        <f>Q5471*G5471</f>
        <v/>
      </c>
      <c r="S5471" s="8">
        <f>IF($R$5488=0,0,R5471/$R$5488)</f>
        <v/>
      </c>
      <c r="T5471" s="8" t="n">
        <v>0.0205142687429829</v>
      </c>
      <c r="U5471" s="8" t="n">
        <v>0.02170092606852037</v>
      </c>
      <c r="V5471" s="6" t="inlineStr">
        <is>
          <t>not selected</t>
        </is>
      </c>
    </row>
    <row r="5472">
      <c r="A5472" s="6" t="inlineStr">
        <is>
          <t>DJ30</t>
        </is>
      </c>
      <c r="B5472" s="6" t="inlineStr">
        <is>
          <t>2026-05-22</t>
        </is>
      </c>
      <c r="C5472" s="6" t="inlineStr">
        <is>
          <t>DIA</t>
        </is>
      </c>
      <c r="D5472" s="6" t="inlineStr">
        <is>
          <t>JNJ</t>
        </is>
      </c>
      <c r="E5472" s="6" t="inlineStr">
        <is>
          <t>JNJ</t>
        </is>
      </c>
      <c r="F5472" s="6" t="inlineStr">
        <is>
          <t>-</t>
        </is>
      </c>
      <c r="G5472" s="7" t="n">
        <v>233</v>
      </c>
      <c r="H5472" s="6">
        <f>P5441</f>
        <v/>
      </c>
      <c r="I5472" s="9">
        <f>Q5441</f>
        <v/>
      </c>
      <c r="J5472" s="7">
        <f>I5472*G5472</f>
        <v/>
      </c>
      <c r="K5472" s="8">
        <f>IF($J$5488=0,0,J5472/$J$5488)</f>
        <v/>
      </c>
      <c r="L5472" s="6" t="inlineStr">
        <is>
          <t>WATCHLIST</t>
        </is>
      </c>
      <c r="M5472" s="8" t="n">
        <v>0</v>
      </c>
      <c r="N5472" s="7">
        <f>M5472*$J$5488-J5472</f>
        <v/>
      </c>
      <c r="O5472" s="9">
        <f>IF(G5472=0,0,N5472/G5472)</f>
        <v/>
      </c>
      <c r="P5472" s="6">
        <f>IF(M5472&gt;0,D5472,"")</f>
        <v/>
      </c>
      <c r="Q5472" s="9">
        <f>I5472+O5472</f>
        <v/>
      </c>
      <c r="R5472" s="7">
        <f>Q5472*G5472</f>
        <v/>
      </c>
      <c r="S5472" s="8">
        <f>IF($R$5488=0,0,R5472/$R$5488)</f>
        <v/>
      </c>
      <c r="T5472" s="8" t="n">
        <v>0.0205142687429829</v>
      </c>
      <c r="U5472" s="8" t="n">
        <v>0.02170092606852037</v>
      </c>
      <c r="V5472" s="6" t="inlineStr">
        <is>
          <t>removed from weekly selection</t>
        </is>
      </c>
    </row>
    <row r="5473">
      <c r="A5473" s="6" t="inlineStr">
        <is>
          <t>DJ30</t>
        </is>
      </c>
      <c r="B5473" s="6" t="inlineStr">
        <is>
          <t>2026-05-22</t>
        </is>
      </c>
      <c r="C5473" s="6" t="inlineStr">
        <is>
          <t>DIA</t>
        </is>
      </c>
      <c r="D5473" s="6" t="inlineStr">
        <is>
          <t>JPM</t>
        </is>
      </c>
      <c r="E5473" s="6" t="inlineStr">
        <is>
          <t>JPM</t>
        </is>
      </c>
      <c r="F5473" s="6" t="inlineStr">
        <is>
          <t>-</t>
        </is>
      </c>
      <c r="G5473" s="7" t="n">
        <v>306.3800048828125</v>
      </c>
      <c r="H5473" s="6">
        <f>P5442</f>
        <v/>
      </c>
      <c r="I5473" s="9">
        <f>Q5442</f>
        <v/>
      </c>
      <c r="J5473" s="7">
        <f>I5473*G5473</f>
        <v/>
      </c>
      <c r="K5473" s="8">
        <f>IF($J$5488=0,0,J5473/$J$5488)</f>
        <v/>
      </c>
      <c r="L5473" s="6" t="inlineStr">
        <is>
          <t>REJECTED</t>
        </is>
      </c>
      <c r="M5473" s="8" t="n">
        <v>0</v>
      </c>
      <c r="N5473" s="7">
        <f>M5473*$J$5488-J5473</f>
        <v/>
      </c>
      <c r="O5473" s="9">
        <f>IF(G5473=0,0,N5473/G5473)</f>
        <v/>
      </c>
      <c r="P5473" s="6">
        <f>IF(M5473&gt;0,D5473,"")</f>
        <v/>
      </c>
      <c r="Q5473" s="9">
        <f>I5473+O5473</f>
        <v/>
      </c>
      <c r="R5473" s="7">
        <f>Q5473*G5473</f>
        <v/>
      </c>
      <c r="S5473" s="8">
        <f>IF($R$5488=0,0,R5473/$R$5488)</f>
        <v/>
      </c>
      <c r="T5473" s="8" t="n">
        <v>0.0205142687429829</v>
      </c>
      <c r="U5473" s="8" t="n">
        <v>0.02170092606852037</v>
      </c>
      <c r="V5473" s="6" t="inlineStr">
        <is>
          <t>not selected</t>
        </is>
      </c>
    </row>
    <row r="5474">
      <c r="A5474" s="6" t="inlineStr">
        <is>
          <t>DJ30</t>
        </is>
      </c>
      <c r="B5474" s="6" t="inlineStr">
        <is>
          <t>2026-05-22</t>
        </is>
      </c>
      <c r="C5474" s="6" t="inlineStr">
        <is>
          <t>DIA</t>
        </is>
      </c>
      <c r="D5474" s="6" t="inlineStr">
        <is>
          <t>KO</t>
        </is>
      </c>
      <c r="E5474" s="6" t="inlineStr">
        <is>
          <t>KO</t>
        </is>
      </c>
      <c r="F5474" s="6" t="inlineStr">
        <is>
          <t>-</t>
        </is>
      </c>
      <c r="G5474" s="7" t="n">
        <v>80.95732116699219</v>
      </c>
      <c r="H5474" s="6">
        <f>P5443</f>
        <v/>
      </c>
      <c r="I5474" s="9">
        <f>Q5443</f>
        <v/>
      </c>
      <c r="J5474" s="7">
        <f>I5474*G5474</f>
        <v/>
      </c>
      <c r="K5474" s="8">
        <f>IF($J$5488=0,0,J5474/$J$5488)</f>
        <v/>
      </c>
      <c r="L5474" s="6" t="inlineStr">
        <is>
          <t>WATCHLIST</t>
        </is>
      </c>
      <c r="M5474" s="8" t="n">
        <v>0</v>
      </c>
      <c r="N5474" s="7">
        <f>M5474*$J$5488-J5474</f>
        <v/>
      </c>
      <c r="O5474" s="9">
        <f>IF(G5474=0,0,N5474/G5474)</f>
        <v/>
      </c>
      <c r="P5474" s="6">
        <f>IF(M5474&gt;0,D5474,"")</f>
        <v/>
      </c>
      <c r="Q5474" s="9">
        <f>I5474+O5474</f>
        <v/>
      </c>
      <c r="R5474" s="7">
        <f>Q5474*G5474</f>
        <v/>
      </c>
      <c r="S5474" s="8">
        <f>IF($R$5488=0,0,R5474/$R$5488)</f>
        <v/>
      </c>
      <c r="T5474" s="8" t="n">
        <v>0.0205142687429829</v>
      </c>
      <c r="U5474" s="8" t="n">
        <v>0.02170092606852037</v>
      </c>
      <c r="V5474" s="6" t="inlineStr">
        <is>
          <t>not selected</t>
        </is>
      </c>
    </row>
    <row r="5475">
      <c r="A5475" s="6" t="inlineStr">
        <is>
          <t>DJ30</t>
        </is>
      </c>
      <c r="B5475" s="6" t="inlineStr">
        <is>
          <t>2026-05-22</t>
        </is>
      </c>
      <c r="C5475" s="6" t="inlineStr">
        <is>
          <t>DIA</t>
        </is>
      </c>
      <c r="D5475" s="6" t="inlineStr">
        <is>
          <t>MCD</t>
        </is>
      </c>
      <c r="E5475" s="6" t="inlineStr">
        <is>
          <t>MCD</t>
        </is>
      </c>
      <c r="F5475" s="6" t="inlineStr">
        <is>
          <t>-</t>
        </is>
      </c>
      <c r="G5475" s="7" t="n">
        <v>280.3684997558594</v>
      </c>
      <c r="H5475" s="6">
        <f>P5444</f>
        <v/>
      </c>
      <c r="I5475" s="9">
        <f>Q5444</f>
        <v/>
      </c>
      <c r="J5475" s="7">
        <f>I5475*G5475</f>
        <v/>
      </c>
      <c r="K5475" s="8">
        <f>IF($J$5488=0,0,J5475/$J$5488)</f>
        <v/>
      </c>
      <c r="L5475" s="6" t="inlineStr">
        <is>
          <t>REJECTED</t>
        </is>
      </c>
      <c r="M5475" s="8" t="n">
        <v>0</v>
      </c>
      <c r="N5475" s="7">
        <f>M5475*$J$5488-J5475</f>
        <v/>
      </c>
      <c r="O5475" s="9">
        <f>IF(G5475=0,0,N5475/G5475)</f>
        <v/>
      </c>
      <c r="P5475" s="6">
        <f>IF(M5475&gt;0,D5475,"")</f>
        <v/>
      </c>
      <c r="Q5475" s="9">
        <f>I5475+O5475</f>
        <v/>
      </c>
      <c r="R5475" s="7">
        <f>Q5475*G5475</f>
        <v/>
      </c>
      <c r="S5475" s="8">
        <f>IF($R$5488=0,0,R5475/$R$5488)</f>
        <v/>
      </c>
      <c r="T5475" s="8" t="n">
        <v>0.0205142687429829</v>
      </c>
      <c r="U5475" s="8" t="n">
        <v>0.02170092606852037</v>
      </c>
      <c r="V5475" s="6" t="inlineStr">
        <is>
          <t>not selected</t>
        </is>
      </c>
    </row>
    <row r="5476">
      <c r="A5476" s="6" t="inlineStr">
        <is>
          <t>DJ30</t>
        </is>
      </c>
      <c r="B5476" s="6" t="inlineStr">
        <is>
          <t>2026-05-22</t>
        </is>
      </c>
      <c r="C5476" s="6" t="inlineStr">
        <is>
          <t>DIA</t>
        </is>
      </c>
      <c r="D5476" s="6" t="inlineStr">
        <is>
          <t>MMM</t>
        </is>
      </c>
      <c r="E5476" s="6" t="inlineStr">
        <is>
          <t>MMM</t>
        </is>
      </c>
      <c r="F5476" s="6" t="inlineStr">
        <is>
          <t>-</t>
        </is>
      </c>
      <c r="G5476" s="7" t="n">
        <v>152.4400024414062</v>
      </c>
      <c r="H5476" s="6">
        <f>P5445</f>
        <v/>
      </c>
      <c r="I5476" s="9">
        <f>Q5445</f>
        <v/>
      </c>
      <c r="J5476" s="7">
        <f>I5476*G5476</f>
        <v/>
      </c>
      <c r="K5476" s="8">
        <f>IF($J$5488=0,0,J5476/$J$5488)</f>
        <v/>
      </c>
      <c r="L5476" s="6" t="inlineStr">
        <is>
          <t>REJECTED</t>
        </is>
      </c>
      <c r="M5476" s="8" t="n">
        <v>0</v>
      </c>
      <c r="N5476" s="7">
        <f>M5476*$J$5488-J5476</f>
        <v/>
      </c>
      <c r="O5476" s="9">
        <f>IF(G5476=0,0,N5476/G5476)</f>
        <v/>
      </c>
      <c r="P5476" s="6">
        <f>IF(M5476&gt;0,D5476,"")</f>
        <v/>
      </c>
      <c r="Q5476" s="9">
        <f>I5476+O5476</f>
        <v/>
      </c>
      <c r="R5476" s="7">
        <f>Q5476*G5476</f>
        <v/>
      </c>
      <c r="S5476" s="8">
        <f>IF($R$5488=0,0,R5476/$R$5488)</f>
        <v/>
      </c>
      <c r="T5476" s="8" t="n">
        <v>0.0205142687429829</v>
      </c>
      <c r="U5476" s="8" t="n">
        <v>0.02170092606852037</v>
      </c>
      <c r="V5476" s="6" t="inlineStr">
        <is>
          <t>not selected</t>
        </is>
      </c>
    </row>
    <row r="5477">
      <c r="A5477" s="6" t="inlineStr">
        <is>
          <t>DJ30</t>
        </is>
      </c>
      <c r="B5477" s="6" t="inlineStr">
        <is>
          <t>2026-05-22</t>
        </is>
      </c>
      <c r="C5477" s="6" t="inlineStr">
        <is>
          <t>DIA</t>
        </is>
      </c>
      <c r="D5477" s="6" t="inlineStr">
        <is>
          <t>MRK</t>
        </is>
      </c>
      <c r="E5477" s="6" t="inlineStr">
        <is>
          <t>MRK</t>
        </is>
      </c>
      <c r="F5477" s="6" t="inlineStr">
        <is>
          <t>-</t>
        </is>
      </c>
      <c r="G5477" s="7" t="n">
        <v>121.5360107421875</v>
      </c>
      <c r="H5477" s="6">
        <f>P5446</f>
        <v/>
      </c>
      <c r="I5477" s="9">
        <f>Q5446</f>
        <v/>
      </c>
      <c r="J5477" s="7">
        <f>I5477*G5477</f>
        <v/>
      </c>
      <c r="K5477" s="8">
        <f>IF($J$5488=0,0,J5477/$J$5488)</f>
        <v/>
      </c>
      <c r="L5477" s="6" t="inlineStr">
        <is>
          <t>SELECTED</t>
        </is>
      </c>
      <c r="M5477" s="8" t="n">
        <v>0.2</v>
      </c>
      <c r="N5477" s="7">
        <f>M5477*$J$5488-J5477</f>
        <v/>
      </c>
      <c r="O5477" s="9">
        <f>IF(G5477=0,0,N5477/G5477)</f>
        <v/>
      </c>
      <c r="P5477" s="6">
        <f>IF(M5477&gt;0,D5477,"")</f>
        <v/>
      </c>
      <c r="Q5477" s="9">
        <f>I5477+O5477</f>
        <v/>
      </c>
      <c r="R5477" s="7">
        <f>Q5477*G5477</f>
        <v/>
      </c>
      <c r="S5477" s="8">
        <f>IF($R$5488=0,0,R5477/$R$5488)</f>
        <v/>
      </c>
      <c r="T5477" s="8" t="n">
        <v>0.0205142687429829</v>
      </c>
      <c r="U5477" s="8" t="n">
        <v>0.02170092606852037</v>
      </c>
      <c r="V5477" s="6" t="inlineStr">
        <is>
          <t>entered weekly selection</t>
        </is>
      </c>
    </row>
    <row r="5478">
      <c r="A5478" s="6" t="inlineStr">
        <is>
          <t>DJ30</t>
        </is>
      </c>
      <c r="B5478" s="6" t="inlineStr">
        <is>
          <t>2026-05-22</t>
        </is>
      </c>
      <c r="C5478" s="6" t="inlineStr">
        <is>
          <t>DIA</t>
        </is>
      </c>
      <c r="D5478" s="6" t="inlineStr">
        <is>
          <t>MSFT</t>
        </is>
      </c>
      <c r="E5478" s="6" t="inlineStr">
        <is>
          <t>MSFT</t>
        </is>
      </c>
      <c r="F5478" s="6" t="inlineStr">
        <is>
          <t>-</t>
        </is>
      </c>
      <c r="G5478" s="7" t="n">
        <v>418.5700073242188</v>
      </c>
      <c r="H5478" s="6">
        <f>P5447</f>
        <v/>
      </c>
      <c r="I5478" s="9">
        <f>Q5447</f>
        <v/>
      </c>
      <c r="J5478" s="7">
        <f>I5478*G5478</f>
        <v/>
      </c>
      <c r="K5478" s="8">
        <f>IF($J$5488=0,0,J5478/$J$5488)</f>
        <v/>
      </c>
      <c r="L5478" s="6" t="inlineStr">
        <is>
          <t>REJECTED</t>
        </is>
      </c>
      <c r="M5478" s="8" t="n">
        <v>0</v>
      </c>
      <c r="N5478" s="7">
        <f>M5478*$J$5488-J5478</f>
        <v/>
      </c>
      <c r="O5478" s="9">
        <f>IF(G5478=0,0,N5478/G5478)</f>
        <v/>
      </c>
      <c r="P5478" s="6">
        <f>IF(M5478&gt;0,D5478,"")</f>
        <v/>
      </c>
      <c r="Q5478" s="9">
        <f>I5478+O5478</f>
        <v/>
      </c>
      <c r="R5478" s="7">
        <f>Q5478*G5478</f>
        <v/>
      </c>
      <c r="S5478" s="8">
        <f>IF($R$5488=0,0,R5478/$R$5488)</f>
        <v/>
      </c>
      <c r="T5478" s="8" t="n">
        <v>0.0205142687429829</v>
      </c>
      <c r="U5478" s="8" t="n">
        <v>0.02170092606852037</v>
      </c>
      <c r="V5478" s="6" t="inlineStr">
        <is>
          <t>not selected</t>
        </is>
      </c>
    </row>
    <row r="5479">
      <c r="A5479" s="6" t="inlineStr">
        <is>
          <t>DJ30</t>
        </is>
      </c>
      <c r="B5479" s="6" t="inlineStr">
        <is>
          <t>2026-05-22</t>
        </is>
      </c>
      <c r="C5479" s="6" t="inlineStr">
        <is>
          <t>DIA</t>
        </is>
      </c>
      <c r="D5479" s="6" t="inlineStr">
        <is>
          <t>NKE</t>
        </is>
      </c>
      <c r="E5479" s="6" t="inlineStr">
        <is>
          <t>NKE</t>
        </is>
      </c>
      <c r="F5479" s="6" t="inlineStr">
        <is>
          <t>-</t>
        </is>
      </c>
      <c r="G5479" s="7" t="n">
        <v>44.27383422851562</v>
      </c>
      <c r="H5479" s="6">
        <f>P5448</f>
        <v/>
      </c>
      <c r="I5479" s="9">
        <f>Q5448</f>
        <v/>
      </c>
      <c r="J5479" s="7">
        <f>I5479*G5479</f>
        <v/>
      </c>
      <c r="K5479" s="8">
        <f>IF($J$5488=0,0,J5479/$J$5488)</f>
        <v/>
      </c>
      <c r="L5479" s="6" t="inlineStr">
        <is>
          <t>REJECTED</t>
        </is>
      </c>
      <c r="M5479" s="8" t="n">
        <v>0</v>
      </c>
      <c r="N5479" s="7">
        <f>M5479*$J$5488-J5479</f>
        <v/>
      </c>
      <c r="O5479" s="9">
        <f>IF(G5479=0,0,N5479/G5479)</f>
        <v/>
      </c>
      <c r="P5479" s="6">
        <f>IF(M5479&gt;0,D5479,"")</f>
        <v/>
      </c>
      <c r="Q5479" s="9">
        <f>I5479+O5479</f>
        <v/>
      </c>
      <c r="R5479" s="7">
        <f>Q5479*G5479</f>
        <v/>
      </c>
      <c r="S5479" s="8">
        <f>IF($R$5488=0,0,R5479/$R$5488)</f>
        <v/>
      </c>
      <c r="T5479" s="8" t="n">
        <v>0.0205142687429829</v>
      </c>
      <c r="U5479" s="8" t="n">
        <v>0.02170092606852037</v>
      </c>
      <c r="V5479" s="6" t="inlineStr">
        <is>
          <t>not selected</t>
        </is>
      </c>
    </row>
    <row r="5480">
      <c r="A5480" s="6" t="inlineStr">
        <is>
          <t>DJ30</t>
        </is>
      </c>
      <c r="B5480" s="6" t="inlineStr">
        <is>
          <t>2026-05-22</t>
        </is>
      </c>
      <c r="C5480" s="6" t="inlineStr">
        <is>
          <t>DIA</t>
        </is>
      </c>
      <c r="D5480" s="6" t="inlineStr">
        <is>
          <t>NVDA</t>
        </is>
      </c>
      <c r="E5480" s="6" t="inlineStr">
        <is>
          <t>NVDA</t>
        </is>
      </c>
      <c r="F5480" s="6" t="inlineStr">
        <is>
          <t>-</t>
        </is>
      </c>
      <c r="G5480" s="7" t="n">
        <v>215.079330444336</v>
      </c>
      <c r="H5480" s="6">
        <f>P5449</f>
        <v/>
      </c>
      <c r="I5480" s="9">
        <f>Q5449</f>
        <v/>
      </c>
      <c r="J5480" s="7">
        <f>I5480*G5480</f>
        <v/>
      </c>
      <c r="K5480" s="8">
        <f>IF($J$5488=0,0,J5480/$J$5488)</f>
        <v/>
      </c>
      <c r="L5480" s="6" t="inlineStr">
        <is>
          <t>WATCHLIST</t>
        </is>
      </c>
      <c r="M5480" s="8" t="n">
        <v>0</v>
      </c>
      <c r="N5480" s="7">
        <f>M5480*$J$5488-J5480</f>
        <v/>
      </c>
      <c r="O5480" s="9">
        <f>IF(G5480=0,0,N5480/G5480)</f>
        <v/>
      </c>
      <c r="P5480" s="6">
        <f>IF(M5480&gt;0,D5480,"")</f>
        <v/>
      </c>
      <c r="Q5480" s="9">
        <f>I5480+O5480</f>
        <v/>
      </c>
      <c r="R5480" s="7">
        <f>Q5480*G5480</f>
        <v/>
      </c>
      <c r="S5480" s="8">
        <f>IF($R$5488=0,0,R5480/$R$5488)</f>
        <v/>
      </c>
      <c r="T5480" s="8" t="n">
        <v>0.0205142687429829</v>
      </c>
      <c r="U5480" s="8" t="n">
        <v>0.02170092606852037</v>
      </c>
      <c r="V5480" s="6" t="inlineStr">
        <is>
          <t>not selected</t>
        </is>
      </c>
    </row>
    <row r="5481">
      <c r="A5481" s="6" t="inlineStr">
        <is>
          <t>DJ30</t>
        </is>
      </c>
      <c r="B5481" s="6" t="inlineStr">
        <is>
          <t>2026-05-22</t>
        </is>
      </c>
      <c r="C5481" s="6" t="inlineStr">
        <is>
          <t>DIA</t>
        </is>
      </c>
      <c r="D5481" s="6" t="inlineStr">
        <is>
          <t>PG</t>
        </is>
      </c>
      <c r="E5481" s="6" t="inlineStr">
        <is>
          <t>PG</t>
        </is>
      </c>
      <c r="F5481" s="6" t="inlineStr">
        <is>
          <t>-</t>
        </is>
      </c>
      <c r="G5481" s="7" t="n">
        <v>144.4400024414062</v>
      </c>
      <c r="H5481" s="6">
        <f>P5450</f>
        <v/>
      </c>
      <c r="I5481" s="9">
        <f>Q5450</f>
        <v/>
      </c>
      <c r="J5481" s="7">
        <f>I5481*G5481</f>
        <v/>
      </c>
      <c r="K5481" s="8">
        <f>IF($J$5488=0,0,J5481/$J$5488)</f>
        <v/>
      </c>
      <c r="L5481" s="6" t="inlineStr">
        <is>
          <t>REJECTED</t>
        </is>
      </c>
      <c r="M5481" s="8" t="n">
        <v>0</v>
      </c>
      <c r="N5481" s="7">
        <f>M5481*$J$5488-J5481</f>
        <v/>
      </c>
      <c r="O5481" s="9">
        <f>IF(G5481=0,0,N5481/G5481)</f>
        <v/>
      </c>
      <c r="P5481" s="6">
        <f>IF(M5481&gt;0,D5481,"")</f>
        <v/>
      </c>
      <c r="Q5481" s="9">
        <f>I5481+O5481</f>
        <v/>
      </c>
      <c r="R5481" s="7">
        <f>Q5481*G5481</f>
        <v/>
      </c>
      <c r="S5481" s="8">
        <f>IF($R$5488=0,0,R5481/$R$5488)</f>
        <v/>
      </c>
      <c r="T5481" s="8" t="n">
        <v>0.0205142687429829</v>
      </c>
      <c r="U5481" s="8" t="n">
        <v>0.02170092606852037</v>
      </c>
      <c r="V5481" s="6" t="inlineStr">
        <is>
          <t>not selected</t>
        </is>
      </c>
    </row>
    <row r="5482">
      <c r="A5482" s="6" t="inlineStr">
        <is>
          <t>DJ30</t>
        </is>
      </c>
      <c r="B5482" s="6" t="inlineStr">
        <is>
          <t>2026-05-22</t>
        </is>
      </c>
      <c r="C5482" s="6" t="inlineStr">
        <is>
          <t>DIA</t>
        </is>
      </c>
      <c r="D5482" s="6" t="inlineStr">
        <is>
          <t>SHW</t>
        </is>
      </c>
      <c r="E5482" s="6" t="inlineStr">
        <is>
          <t>SHW</t>
        </is>
      </c>
      <c r="F5482" s="6" t="inlineStr">
        <is>
          <t>-</t>
        </is>
      </c>
      <c r="G5482" s="7" t="n">
        <v>309.0799865722656</v>
      </c>
      <c r="H5482" s="6">
        <f>P5451</f>
        <v/>
      </c>
      <c r="I5482" s="9">
        <f>Q5451</f>
        <v/>
      </c>
      <c r="J5482" s="7">
        <f>I5482*G5482</f>
        <v/>
      </c>
      <c r="K5482" s="8">
        <f>IF($J$5488=0,0,J5482/$J$5488)</f>
        <v/>
      </c>
      <c r="L5482" s="6" t="inlineStr">
        <is>
          <t>REJECTED</t>
        </is>
      </c>
      <c r="M5482" s="8" t="n">
        <v>0</v>
      </c>
      <c r="N5482" s="7">
        <f>M5482*$J$5488-J5482</f>
        <v/>
      </c>
      <c r="O5482" s="9">
        <f>IF(G5482=0,0,N5482/G5482)</f>
        <v/>
      </c>
      <c r="P5482" s="6">
        <f>IF(M5482&gt;0,D5482,"")</f>
        <v/>
      </c>
      <c r="Q5482" s="9">
        <f>I5482+O5482</f>
        <v/>
      </c>
      <c r="R5482" s="7">
        <f>Q5482*G5482</f>
        <v/>
      </c>
      <c r="S5482" s="8">
        <f>IF($R$5488=0,0,R5482/$R$5488)</f>
        <v/>
      </c>
      <c r="T5482" s="8" t="n">
        <v>0.0205142687429829</v>
      </c>
      <c r="U5482" s="8" t="n">
        <v>0.02170092606852037</v>
      </c>
      <c r="V5482" s="6" t="inlineStr">
        <is>
          <t>not selected</t>
        </is>
      </c>
    </row>
    <row r="5483">
      <c r="A5483" s="6" t="inlineStr">
        <is>
          <t>DJ30</t>
        </is>
      </c>
      <c r="B5483" s="6" t="inlineStr">
        <is>
          <t>2026-05-22</t>
        </is>
      </c>
      <c r="C5483" s="6" t="inlineStr">
        <is>
          <t>DIA</t>
        </is>
      </c>
      <c r="D5483" s="6" t="inlineStr">
        <is>
          <t>TRV</t>
        </is>
      </c>
      <c r="E5483" s="6" t="inlineStr">
        <is>
          <t>TRV</t>
        </is>
      </c>
      <c r="F5483" s="6" t="inlineStr">
        <is>
          <t>-</t>
        </is>
      </c>
      <c r="G5483" s="7" t="n">
        <v>305.1841430664062</v>
      </c>
      <c r="H5483" s="6">
        <f>P5452</f>
        <v/>
      </c>
      <c r="I5483" s="9">
        <f>Q5452</f>
        <v/>
      </c>
      <c r="J5483" s="7">
        <f>I5483*G5483</f>
        <v/>
      </c>
      <c r="K5483" s="8">
        <f>IF($J$5488=0,0,J5483/$J$5488)</f>
        <v/>
      </c>
      <c r="L5483" s="6" t="inlineStr">
        <is>
          <t>WATCHLIST</t>
        </is>
      </c>
      <c r="M5483" s="8" t="n">
        <v>0</v>
      </c>
      <c r="N5483" s="7">
        <f>M5483*$J$5488-J5483</f>
        <v/>
      </c>
      <c r="O5483" s="9">
        <f>IF(G5483=0,0,N5483/G5483)</f>
        <v/>
      </c>
      <c r="P5483" s="6">
        <f>IF(M5483&gt;0,D5483,"")</f>
        <v/>
      </c>
      <c r="Q5483" s="9">
        <f>I5483+O5483</f>
        <v/>
      </c>
      <c r="R5483" s="7">
        <f>Q5483*G5483</f>
        <v/>
      </c>
      <c r="S5483" s="8">
        <f>IF($R$5488=0,0,R5483/$R$5488)</f>
        <v/>
      </c>
      <c r="T5483" s="8" t="n">
        <v>0.0205142687429829</v>
      </c>
      <c r="U5483" s="8" t="n">
        <v>0.02170092606852037</v>
      </c>
      <c r="V5483" s="6" t="inlineStr">
        <is>
          <t>not selected</t>
        </is>
      </c>
    </row>
    <row r="5484">
      <c r="A5484" s="6" t="inlineStr">
        <is>
          <t>DJ30</t>
        </is>
      </c>
      <c r="B5484" s="6" t="inlineStr">
        <is>
          <t>2026-05-22</t>
        </is>
      </c>
      <c r="C5484" s="6" t="inlineStr">
        <is>
          <t>DIA</t>
        </is>
      </c>
      <c r="D5484" s="6" t="inlineStr">
        <is>
          <t>UNH</t>
        </is>
      </c>
      <c r="E5484" s="6" t="inlineStr">
        <is>
          <t>UNH</t>
        </is>
      </c>
      <c r="F5484" s="6" t="inlineStr">
        <is>
          <t>-</t>
        </is>
      </c>
      <c r="G5484" s="7" t="n">
        <v>386.2638854980469</v>
      </c>
      <c r="H5484" s="6">
        <f>P5453</f>
        <v/>
      </c>
      <c r="I5484" s="9">
        <f>Q5453</f>
        <v/>
      </c>
      <c r="J5484" s="7">
        <f>I5484*G5484</f>
        <v/>
      </c>
      <c r="K5484" s="8">
        <f>IF($J$5488=0,0,J5484/$J$5488)</f>
        <v/>
      </c>
      <c r="L5484" s="6" t="inlineStr">
        <is>
          <t>REJECTED</t>
        </is>
      </c>
      <c r="M5484" s="8" t="n">
        <v>0</v>
      </c>
      <c r="N5484" s="7">
        <f>M5484*$J$5488-J5484</f>
        <v/>
      </c>
      <c r="O5484" s="9">
        <f>IF(G5484=0,0,N5484/G5484)</f>
        <v/>
      </c>
      <c r="P5484" s="6">
        <f>IF(M5484&gt;0,D5484,"")</f>
        <v/>
      </c>
      <c r="Q5484" s="9">
        <f>I5484+O5484</f>
        <v/>
      </c>
      <c r="R5484" s="7">
        <f>Q5484*G5484</f>
        <v/>
      </c>
      <c r="S5484" s="8">
        <f>IF($R$5488=0,0,R5484/$R$5488)</f>
        <v/>
      </c>
      <c r="T5484" s="8" t="n">
        <v>0.0205142687429829</v>
      </c>
      <c r="U5484" s="8" t="n">
        <v>0.02170092606852037</v>
      </c>
      <c r="V5484" s="6" t="inlineStr">
        <is>
          <t>not selected</t>
        </is>
      </c>
    </row>
    <row r="5485">
      <c r="A5485" s="6" t="inlineStr">
        <is>
          <t>DJ30</t>
        </is>
      </c>
      <c r="B5485" s="6" t="inlineStr">
        <is>
          <t>2026-05-22</t>
        </is>
      </c>
      <c r="C5485" s="6" t="inlineStr">
        <is>
          <t>DIA</t>
        </is>
      </c>
      <c r="D5485" s="6" t="inlineStr">
        <is>
          <t>V</t>
        </is>
      </c>
      <c r="E5485" s="6" t="inlineStr">
        <is>
          <t>V</t>
        </is>
      </c>
      <c r="F5485" s="6" t="inlineStr">
        <is>
          <t>-</t>
        </is>
      </c>
      <c r="G5485" s="7" t="n">
        <v>328.8800048828125</v>
      </c>
      <c r="H5485" s="6">
        <f>P5454</f>
        <v/>
      </c>
      <c r="I5485" s="9">
        <f>Q5454</f>
        <v/>
      </c>
      <c r="J5485" s="7">
        <f>I5485*G5485</f>
        <v/>
      </c>
      <c r="K5485" s="8">
        <f>IF($J$5488=0,0,J5485/$J$5488)</f>
        <v/>
      </c>
      <c r="L5485" s="6" t="inlineStr">
        <is>
          <t>REJECTED</t>
        </is>
      </c>
      <c r="M5485" s="8" t="n">
        <v>0</v>
      </c>
      <c r="N5485" s="7">
        <f>M5485*$J$5488-J5485</f>
        <v/>
      </c>
      <c r="O5485" s="9">
        <f>IF(G5485=0,0,N5485/G5485)</f>
        <v/>
      </c>
      <c r="P5485" s="6">
        <f>IF(M5485&gt;0,D5485,"")</f>
        <v/>
      </c>
      <c r="Q5485" s="9">
        <f>I5485+O5485</f>
        <v/>
      </c>
      <c r="R5485" s="7">
        <f>Q5485*G5485</f>
        <v/>
      </c>
      <c r="S5485" s="8">
        <f>IF($R$5488=0,0,R5485/$R$5488)</f>
        <v/>
      </c>
      <c r="T5485" s="8" t="n">
        <v>0.0205142687429829</v>
      </c>
      <c r="U5485" s="8" t="n">
        <v>0.02170092606852037</v>
      </c>
      <c r="V5485" s="6" t="inlineStr">
        <is>
          <t>not selected</t>
        </is>
      </c>
    </row>
    <row r="5486">
      <c r="A5486" s="6" t="inlineStr">
        <is>
          <t>DJ30</t>
        </is>
      </c>
      <c r="B5486" s="6" t="inlineStr">
        <is>
          <t>2026-05-22</t>
        </is>
      </c>
      <c r="C5486" s="6" t="inlineStr">
        <is>
          <t>DIA</t>
        </is>
      </c>
      <c r="D5486" s="6" t="inlineStr">
        <is>
          <t>VZ</t>
        </is>
      </c>
      <c r="E5486" s="6" t="inlineStr">
        <is>
          <t>VZ</t>
        </is>
      </c>
      <c r="F5486" s="6" t="inlineStr">
        <is>
          <t>-</t>
        </is>
      </c>
      <c r="G5486" s="7" t="n">
        <v>48.34999847412109</v>
      </c>
      <c r="H5486" s="6">
        <f>P5455</f>
        <v/>
      </c>
      <c r="I5486" s="9">
        <f>Q5455</f>
        <v/>
      </c>
      <c r="J5486" s="7">
        <f>I5486*G5486</f>
        <v/>
      </c>
      <c r="K5486" s="8">
        <f>IF($J$5488=0,0,J5486/$J$5488)</f>
        <v/>
      </c>
      <c r="L5486" s="6" t="inlineStr">
        <is>
          <t>WATCHLIST</t>
        </is>
      </c>
      <c r="M5486" s="8" t="n">
        <v>0</v>
      </c>
      <c r="N5486" s="7">
        <f>M5486*$J$5488-J5486</f>
        <v/>
      </c>
      <c r="O5486" s="9">
        <f>IF(G5486=0,0,N5486/G5486)</f>
        <v/>
      </c>
      <c r="P5486" s="6">
        <f>IF(M5486&gt;0,D5486,"")</f>
        <v/>
      </c>
      <c r="Q5486" s="9">
        <f>I5486+O5486</f>
        <v/>
      </c>
      <c r="R5486" s="7">
        <f>Q5486*G5486</f>
        <v/>
      </c>
      <c r="S5486" s="8">
        <f>IF($R$5488=0,0,R5486/$R$5488)</f>
        <v/>
      </c>
      <c r="T5486" s="8" t="n">
        <v>0.0205142687429829</v>
      </c>
      <c r="U5486" s="8" t="n">
        <v>0.02170092606852037</v>
      </c>
      <c r="V5486" s="6" t="inlineStr">
        <is>
          <t>not selected</t>
        </is>
      </c>
    </row>
    <row r="5487">
      <c r="A5487" s="6" t="inlineStr">
        <is>
          <t>DJ30</t>
        </is>
      </c>
      <c r="B5487" s="6" t="inlineStr">
        <is>
          <t>2026-05-22</t>
        </is>
      </c>
      <c r="C5487" s="6" t="inlineStr">
        <is>
          <t>DIA</t>
        </is>
      </c>
      <c r="D5487" s="6" t="inlineStr">
        <is>
          <t>WMT</t>
        </is>
      </c>
      <c r="E5487" s="6" t="inlineStr">
        <is>
          <t>WMT</t>
        </is>
      </c>
      <c r="F5487" s="6" t="inlineStr">
        <is>
          <t>-</t>
        </is>
      </c>
      <c r="G5487" s="7" t="n">
        <v>120.2699966430664</v>
      </c>
      <c r="H5487" s="6">
        <f>P5456</f>
        <v/>
      </c>
      <c r="I5487" s="9">
        <f>Q5456</f>
        <v/>
      </c>
      <c r="J5487" s="7">
        <f>I5487*G5487</f>
        <v/>
      </c>
      <c r="K5487" s="8">
        <f>IF($J$5488=0,0,J5487/$J$5488)</f>
        <v/>
      </c>
      <c r="L5487" s="6" t="inlineStr">
        <is>
          <t>WATCHLIST</t>
        </is>
      </c>
      <c r="M5487" s="8" t="n">
        <v>0</v>
      </c>
      <c r="N5487" s="7">
        <f>M5487*$J$5488-J5487</f>
        <v/>
      </c>
      <c r="O5487" s="9">
        <f>IF(G5487=0,0,N5487/G5487)</f>
        <v/>
      </c>
      <c r="P5487" s="6">
        <f>IF(M5487&gt;0,D5487,"")</f>
        <v/>
      </c>
      <c r="Q5487" s="9">
        <f>I5487+O5487</f>
        <v/>
      </c>
      <c r="R5487" s="7">
        <f>Q5487*G5487</f>
        <v/>
      </c>
      <c r="S5487" s="8">
        <f>IF($R$5488=0,0,R5487/$R$5488)</f>
        <v/>
      </c>
      <c r="T5487" s="8" t="n">
        <v>0.0205142687429829</v>
      </c>
      <c r="U5487" s="8" t="n">
        <v>0.02170092606852037</v>
      </c>
      <c r="V5487" s="6" t="inlineStr">
        <is>
          <t>not selected</t>
        </is>
      </c>
    </row>
    <row r="5488">
      <c r="A5488" s="10" t="inlineStr">
        <is>
          <t>DJ30</t>
        </is>
      </c>
      <c r="B5488" s="10" t="inlineStr">
        <is>
          <t>2026-05-22</t>
        </is>
      </c>
      <c r="C5488" s="10" t="inlineStr">
        <is>
          <t>DIA</t>
        </is>
      </c>
      <c r="D5488" s="10" t="inlineStr">
        <is>
          <t>Tot Portfolio</t>
        </is>
      </c>
      <c r="E5488" s="10" t="inlineStr"/>
      <c r="F5488" s="10" t="inlineStr"/>
      <c r="G5488" s="11" t="inlineStr"/>
      <c r="H5488" s="10" t="inlineStr"/>
      <c r="I5488" s="12" t="inlineStr"/>
      <c r="J5488" s="11">
        <f>SUM(J5458:J5487)</f>
        <v/>
      </c>
      <c r="K5488" s="13">
        <f>SUM(K5458:K5487)</f>
        <v/>
      </c>
      <c r="L5488" s="10" t="inlineStr">
        <is>
          <t>TOTAL</t>
        </is>
      </c>
      <c r="M5488" s="13">
        <f>SUM(M5458:M5487)</f>
        <v/>
      </c>
      <c r="N5488" s="11">
        <f>SUM(N5458:N5487)</f>
        <v/>
      </c>
      <c r="O5488" s="12">
        <f>SUM(O5458:O5487)</f>
        <v/>
      </c>
      <c r="P5488" s="10" t="inlineStr"/>
      <c r="Q5488" s="12" t="inlineStr"/>
      <c r="R5488" s="11">
        <f>SUM(R5458:R5487)</f>
        <v/>
      </c>
      <c r="S5488" s="13">
        <f>SUM(S5458:S5487)</f>
        <v/>
      </c>
      <c r="T5488" s="13" t="n">
        <v>0.0205142687429829</v>
      </c>
      <c r="U5488" s="13" t="n">
        <v>0.02170092606852037</v>
      </c>
      <c r="V5488" s="10" t="inlineStr"/>
    </row>
    <row r="5489">
      <c r="A5489" s="6" t="inlineStr">
        <is>
          <t>DJ30</t>
        </is>
      </c>
      <c r="B5489" s="6" t="inlineStr">
        <is>
          <t>2026-05-29</t>
        </is>
      </c>
      <c r="C5489" s="6" t="inlineStr">
        <is>
          <t>DIA</t>
        </is>
      </c>
      <c r="D5489" s="6" t="inlineStr">
        <is>
          <t>AAPL</t>
        </is>
      </c>
      <c r="E5489" s="6" t="inlineStr">
        <is>
          <t>AAPL</t>
        </is>
      </c>
      <c r="F5489" s="6" t="inlineStr">
        <is>
          <t>-</t>
        </is>
      </c>
      <c r="G5489" s="7" t="n">
        <v>312.0599975585937</v>
      </c>
      <c r="H5489" s="6">
        <f>P5458</f>
        <v/>
      </c>
      <c r="I5489" s="9">
        <f>Q5458</f>
        <v/>
      </c>
      <c r="J5489" s="7">
        <f>I5489*G5489</f>
        <v/>
      </c>
      <c r="K5489" s="8">
        <f>IF($J$5519=0,0,J5489/$J$5519)</f>
        <v/>
      </c>
      <c r="L5489" s="6" t="inlineStr">
        <is>
          <t>WATCHLIST</t>
        </is>
      </c>
      <c r="M5489" s="8" t="n">
        <v>0</v>
      </c>
      <c r="N5489" s="7">
        <f>M5489*$J$5519-J5489</f>
        <v/>
      </c>
      <c r="O5489" s="9">
        <f>IF(G5489=0,0,N5489/G5489)</f>
        <v/>
      </c>
      <c r="P5489" s="6">
        <f>IF(M5489&gt;0,D5489,"")</f>
        <v/>
      </c>
      <c r="Q5489" s="9">
        <f>I5489+O5489</f>
        <v/>
      </c>
      <c r="R5489" s="7">
        <f>Q5489*G5489</f>
        <v/>
      </c>
      <c r="S5489" s="8">
        <f>IF($R$5519=0,0,R5489/$R$5519)</f>
        <v/>
      </c>
      <c r="T5489" s="8" t="n">
        <v>-0.01051268515304227</v>
      </c>
      <c r="U5489" s="8" t="n">
        <v>0.009207342850481748</v>
      </c>
      <c r="V5489" s="6" t="inlineStr">
        <is>
          <t>not selected</t>
        </is>
      </c>
    </row>
    <row r="5490">
      <c r="A5490" s="6" t="inlineStr">
        <is>
          <t>DJ30</t>
        </is>
      </c>
      <c r="B5490" s="6" t="inlineStr">
        <is>
          <t>2026-05-29</t>
        </is>
      </c>
      <c r="C5490" s="6" t="inlineStr">
        <is>
          <t>DIA</t>
        </is>
      </c>
      <c r="D5490" s="6" t="inlineStr">
        <is>
          <t>AMGN</t>
        </is>
      </c>
      <c r="E5490" s="6" t="inlineStr">
        <is>
          <t>AMGN</t>
        </is>
      </c>
      <c r="F5490" s="6" t="inlineStr">
        <is>
          <t>-</t>
        </is>
      </c>
      <c r="G5490" s="7" t="n">
        <v>336.7900085449219</v>
      </c>
      <c r="H5490" s="6">
        <f>P5459</f>
        <v/>
      </c>
      <c r="I5490" s="9">
        <f>Q5459</f>
        <v/>
      </c>
      <c r="J5490" s="7">
        <f>I5490*G5490</f>
        <v/>
      </c>
      <c r="K5490" s="8">
        <f>IF($J$5519=0,0,J5490/$J$5519)</f>
        <v/>
      </c>
      <c r="L5490" s="6" t="inlineStr">
        <is>
          <t>WATCHLIST</t>
        </is>
      </c>
      <c r="M5490" s="8" t="n">
        <v>0</v>
      </c>
      <c r="N5490" s="7">
        <f>M5490*$J$5519-J5490</f>
        <v/>
      </c>
      <c r="O5490" s="9">
        <f>IF(G5490=0,0,N5490/G5490)</f>
        <v/>
      </c>
      <c r="P5490" s="6">
        <f>IF(M5490&gt;0,D5490,"")</f>
        <v/>
      </c>
      <c r="Q5490" s="9">
        <f>I5490+O5490</f>
        <v/>
      </c>
      <c r="R5490" s="7">
        <f>Q5490*G5490</f>
        <v/>
      </c>
      <c r="S5490" s="8">
        <f>IF($R$5519=0,0,R5490/$R$5519)</f>
        <v/>
      </c>
      <c r="T5490" s="8" t="n">
        <v>-0.01051268515304227</v>
      </c>
      <c r="U5490" s="8" t="n">
        <v>0.009207342850481748</v>
      </c>
      <c r="V5490" s="6" t="inlineStr">
        <is>
          <t>not selected</t>
        </is>
      </c>
    </row>
    <row r="5491">
      <c r="A5491" s="6" t="inlineStr">
        <is>
          <t>DJ30</t>
        </is>
      </c>
      <c r="B5491" s="6" t="inlineStr">
        <is>
          <t>2026-05-29</t>
        </is>
      </c>
      <c r="C5491" s="6" t="inlineStr">
        <is>
          <t>DIA</t>
        </is>
      </c>
      <c r="D5491" s="6" t="inlineStr">
        <is>
          <t>AMZN</t>
        </is>
      </c>
      <c r="E5491" s="6" t="inlineStr">
        <is>
          <t>AMZN</t>
        </is>
      </c>
      <c r="F5491" s="6" t="inlineStr">
        <is>
          <t>-</t>
        </is>
      </c>
      <c r="G5491" s="7" t="n">
        <v>270.6400146484375</v>
      </c>
      <c r="H5491" s="6">
        <f>P5460</f>
        <v/>
      </c>
      <c r="I5491" s="9">
        <f>Q5460</f>
        <v/>
      </c>
      <c r="J5491" s="7">
        <f>I5491*G5491</f>
        <v/>
      </c>
      <c r="K5491" s="8">
        <f>IF($J$5519=0,0,J5491/$J$5519)</f>
        <v/>
      </c>
      <c r="L5491" s="6" t="inlineStr">
        <is>
          <t>REJECTED</t>
        </is>
      </c>
      <c r="M5491" s="8" t="n">
        <v>0</v>
      </c>
      <c r="N5491" s="7">
        <f>M5491*$J$5519-J5491</f>
        <v/>
      </c>
      <c r="O5491" s="9">
        <f>IF(G5491=0,0,N5491/G5491)</f>
        <v/>
      </c>
      <c r="P5491" s="6">
        <f>IF(M5491&gt;0,D5491,"")</f>
        <v/>
      </c>
      <c r="Q5491" s="9">
        <f>I5491+O5491</f>
        <v/>
      </c>
      <c r="R5491" s="7">
        <f>Q5491*G5491</f>
        <v/>
      </c>
      <c r="S5491" s="8">
        <f>IF($R$5519=0,0,R5491/$R$5519)</f>
        <v/>
      </c>
      <c r="T5491" s="8" t="n">
        <v>-0.01051268515304227</v>
      </c>
      <c r="U5491" s="8" t="n">
        <v>0.009207342850481748</v>
      </c>
      <c r="V5491" s="6" t="inlineStr">
        <is>
          <t>not selected</t>
        </is>
      </c>
    </row>
    <row r="5492">
      <c r="A5492" s="6" t="inlineStr">
        <is>
          <t>DJ30</t>
        </is>
      </c>
      <c r="B5492" s="6" t="inlineStr">
        <is>
          <t>2026-05-29</t>
        </is>
      </c>
      <c r="C5492" s="6" t="inlineStr">
        <is>
          <t>DIA</t>
        </is>
      </c>
      <c r="D5492" s="6" t="inlineStr">
        <is>
          <t>AXP</t>
        </is>
      </c>
      <c r="E5492" s="6" t="inlineStr">
        <is>
          <t>AXP</t>
        </is>
      </c>
      <c r="F5492" s="6" t="inlineStr">
        <is>
          <t>-</t>
        </is>
      </c>
      <c r="G5492" s="7" t="n">
        <v>316.4700012207031</v>
      </c>
      <c r="H5492" s="6">
        <f>P5461</f>
        <v/>
      </c>
      <c r="I5492" s="9">
        <f>Q5461</f>
        <v/>
      </c>
      <c r="J5492" s="7">
        <f>I5492*G5492</f>
        <v/>
      </c>
      <c r="K5492" s="8">
        <f>IF($J$5519=0,0,J5492/$J$5519)</f>
        <v/>
      </c>
      <c r="L5492" s="6" t="inlineStr">
        <is>
          <t>REJECTED</t>
        </is>
      </c>
      <c r="M5492" s="8" t="n">
        <v>0</v>
      </c>
      <c r="N5492" s="7">
        <f>M5492*$J$5519-J5492</f>
        <v/>
      </c>
      <c r="O5492" s="9">
        <f>IF(G5492=0,0,N5492/G5492)</f>
        <v/>
      </c>
      <c r="P5492" s="6">
        <f>IF(M5492&gt;0,D5492,"")</f>
        <v/>
      </c>
      <c r="Q5492" s="9">
        <f>I5492+O5492</f>
        <v/>
      </c>
      <c r="R5492" s="7">
        <f>Q5492*G5492</f>
        <v/>
      </c>
      <c r="S5492" s="8">
        <f>IF($R$5519=0,0,R5492/$R$5519)</f>
        <v/>
      </c>
      <c r="T5492" s="8" t="n">
        <v>-0.01051268515304227</v>
      </c>
      <c r="U5492" s="8" t="n">
        <v>0.009207342850481748</v>
      </c>
      <c r="V5492" s="6" t="inlineStr">
        <is>
          <t>not selected</t>
        </is>
      </c>
    </row>
    <row r="5493">
      <c r="A5493" s="6" t="inlineStr">
        <is>
          <t>DJ30</t>
        </is>
      </c>
      <c r="B5493" s="6" t="inlineStr">
        <is>
          <t>2026-05-29</t>
        </is>
      </c>
      <c r="C5493" s="6" t="inlineStr">
        <is>
          <t>DIA</t>
        </is>
      </c>
      <c r="D5493" s="6" t="inlineStr">
        <is>
          <t>BA</t>
        </is>
      </c>
      <c r="E5493" s="6" t="inlineStr">
        <is>
          <t>BA</t>
        </is>
      </c>
      <c r="F5493" s="6" t="inlineStr">
        <is>
          <t>-</t>
        </is>
      </c>
      <c r="G5493" s="7" t="n">
        <v>231.1499938964844</v>
      </c>
      <c r="H5493" s="6">
        <f>P5462</f>
        <v/>
      </c>
      <c r="I5493" s="9">
        <f>Q5462</f>
        <v/>
      </c>
      <c r="J5493" s="7">
        <f>I5493*G5493</f>
        <v/>
      </c>
      <c r="K5493" s="8">
        <f>IF($J$5519=0,0,J5493/$J$5519)</f>
        <v/>
      </c>
      <c r="L5493" s="6" t="inlineStr">
        <is>
          <t>REJECTED</t>
        </is>
      </c>
      <c r="M5493" s="8" t="n">
        <v>0</v>
      </c>
      <c r="N5493" s="7">
        <f>M5493*$J$5519-J5493</f>
        <v/>
      </c>
      <c r="O5493" s="9">
        <f>IF(G5493=0,0,N5493/G5493)</f>
        <v/>
      </c>
      <c r="P5493" s="6">
        <f>IF(M5493&gt;0,D5493,"")</f>
        <v/>
      </c>
      <c r="Q5493" s="9">
        <f>I5493+O5493</f>
        <v/>
      </c>
      <c r="R5493" s="7">
        <f>Q5493*G5493</f>
        <v/>
      </c>
      <c r="S5493" s="8">
        <f>IF($R$5519=0,0,R5493/$R$5519)</f>
        <v/>
      </c>
      <c r="T5493" s="8" t="n">
        <v>-0.01051268515304227</v>
      </c>
      <c r="U5493" s="8" t="n">
        <v>0.009207342850481748</v>
      </c>
      <c r="V5493" s="6" t="inlineStr">
        <is>
          <t>not selected</t>
        </is>
      </c>
    </row>
    <row r="5494">
      <c r="A5494" s="6" t="inlineStr">
        <is>
          <t>DJ30</t>
        </is>
      </c>
      <c r="B5494" s="6" t="inlineStr">
        <is>
          <t>2026-05-29</t>
        </is>
      </c>
      <c r="C5494" s="6" t="inlineStr">
        <is>
          <t>DIA</t>
        </is>
      </c>
      <c r="D5494" s="6" t="inlineStr">
        <is>
          <t>CAT</t>
        </is>
      </c>
      <c r="E5494" s="6" t="inlineStr">
        <is>
          <t>CAT</t>
        </is>
      </c>
      <c r="F5494" s="6" t="inlineStr">
        <is>
          <t>-</t>
        </is>
      </c>
      <c r="G5494" s="7" t="n">
        <v>875.8699951171875</v>
      </c>
      <c r="H5494" s="6">
        <f>P5463</f>
        <v/>
      </c>
      <c r="I5494" s="9">
        <f>Q5463</f>
        <v/>
      </c>
      <c r="J5494" s="7">
        <f>I5494*G5494</f>
        <v/>
      </c>
      <c r="K5494" s="8">
        <f>IF($J$5519=0,0,J5494/$J$5519)</f>
        <v/>
      </c>
      <c r="L5494" s="6" t="inlineStr">
        <is>
          <t>SELECTED</t>
        </is>
      </c>
      <c r="M5494" s="8" t="n">
        <v>0.2</v>
      </c>
      <c r="N5494" s="7">
        <f>M5494*$J$5519-J5494</f>
        <v/>
      </c>
      <c r="O5494" s="9">
        <f>IF(G5494=0,0,N5494/G5494)</f>
        <v/>
      </c>
      <c r="P5494" s="6">
        <f>IF(M5494&gt;0,D5494,"")</f>
        <v/>
      </c>
      <c r="Q5494" s="9">
        <f>I5494+O5494</f>
        <v/>
      </c>
      <c r="R5494" s="7">
        <f>Q5494*G5494</f>
        <v/>
      </c>
      <c r="S5494" s="8">
        <f>IF($R$5519=0,0,R5494/$R$5519)</f>
        <v/>
      </c>
      <c r="T5494" s="8" t="n">
        <v>-0.01051268515304227</v>
      </c>
      <c r="U5494" s="8" t="n">
        <v>0.009207342850481748</v>
      </c>
      <c r="V5494" s="6" t="inlineStr">
        <is>
          <t>remained in weekly selection</t>
        </is>
      </c>
    </row>
    <row r="5495">
      <c r="A5495" s="6" t="inlineStr">
        <is>
          <t>DJ30</t>
        </is>
      </c>
      <c r="B5495" s="6" t="inlineStr">
        <is>
          <t>2026-05-29</t>
        </is>
      </c>
      <c r="C5495" s="6" t="inlineStr">
        <is>
          <t>DIA</t>
        </is>
      </c>
      <c r="D5495" s="6" t="inlineStr">
        <is>
          <t>CRM</t>
        </is>
      </c>
      <c r="E5495" s="6" t="inlineStr">
        <is>
          <t>CRM</t>
        </is>
      </c>
      <c r="F5495" s="6" t="inlineStr">
        <is>
          <t>-</t>
        </is>
      </c>
      <c r="G5495" s="7" t="n">
        <v>190.6080474853516</v>
      </c>
      <c r="H5495" s="6">
        <f>P5464</f>
        <v/>
      </c>
      <c r="I5495" s="9">
        <f>Q5464</f>
        <v/>
      </c>
      <c r="J5495" s="7">
        <f>I5495*G5495</f>
        <v/>
      </c>
      <c r="K5495" s="8">
        <f>IF($J$5519=0,0,J5495/$J$5519)</f>
        <v/>
      </c>
      <c r="L5495" s="6" t="inlineStr">
        <is>
          <t>REJECTED</t>
        </is>
      </c>
      <c r="M5495" s="8" t="n">
        <v>0</v>
      </c>
      <c r="N5495" s="7">
        <f>M5495*$J$5519-J5495</f>
        <v/>
      </c>
      <c r="O5495" s="9">
        <f>IF(G5495=0,0,N5495/G5495)</f>
        <v/>
      </c>
      <c r="P5495" s="6">
        <f>IF(M5495&gt;0,D5495,"")</f>
        <v/>
      </c>
      <c r="Q5495" s="9">
        <f>I5495+O5495</f>
        <v/>
      </c>
      <c r="R5495" s="7">
        <f>Q5495*G5495</f>
        <v/>
      </c>
      <c r="S5495" s="8">
        <f>IF($R$5519=0,0,R5495/$R$5519)</f>
        <v/>
      </c>
      <c r="T5495" s="8" t="n">
        <v>-0.01051268515304227</v>
      </c>
      <c r="U5495" s="8" t="n">
        <v>0.009207342850481748</v>
      </c>
      <c r="V5495" s="6" t="inlineStr">
        <is>
          <t>not selected</t>
        </is>
      </c>
    </row>
    <row r="5496">
      <c r="A5496" s="6" t="inlineStr">
        <is>
          <t>DJ30</t>
        </is>
      </c>
      <c r="B5496" s="6" t="inlineStr">
        <is>
          <t>2026-05-29</t>
        </is>
      </c>
      <c r="C5496" s="6" t="inlineStr">
        <is>
          <t>DIA</t>
        </is>
      </c>
      <c r="D5496" s="6" t="inlineStr">
        <is>
          <t>CSCO</t>
        </is>
      </c>
      <c r="E5496" s="6" t="inlineStr">
        <is>
          <t>CSCO</t>
        </is>
      </c>
      <c r="F5496" s="6" t="inlineStr">
        <is>
          <t>-</t>
        </is>
      </c>
      <c r="G5496" s="7" t="n">
        <v>120.4199981689453</v>
      </c>
      <c r="H5496" s="6">
        <f>P5465</f>
        <v/>
      </c>
      <c r="I5496" s="9">
        <f>Q5465</f>
        <v/>
      </c>
      <c r="J5496" s="7">
        <f>I5496*G5496</f>
        <v/>
      </c>
      <c r="K5496" s="8">
        <f>IF($J$5519=0,0,J5496/$J$5519)</f>
        <v/>
      </c>
      <c r="L5496" s="6" t="inlineStr">
        <is>
          <t>SELECTED</t>
        </is>
      </c>
      <c r="M5496" s="8" t="n">
        <v>0.2</v>
      </c>
      <c r="N5496" s="7">
        <f>M5496*$J$5519-J5496</f>
        <v/>
      </c>
      <c r="O5496" s="9">
        <f>IF(G5496=0,0,N5496/G5496)</f>
        <v/>
      </c>
      <c r="P5496" s="6">
        <f>IF(M5496&gt;0,D5496,"")</f>
        <v/>
      </c>
      <c r="Q5496" s="9">
        <f>I5496+O5496</f>
        <v/>
      </c>
      <c r="R5496" s="7">
        <f>Q5496*G5496</f>
        <v/>
      </c>
      <c r="S5496" s="8">
        <f>IF($R$5519=0,0,R5496/$R$5519)</f>
        <v/>
      </c>
      <c r="T5496" s="8" t="n">
        <v>-0.01051268515304227</v>
      </c>
      <c r="U5496" s="8" t="n">
        <v>0.009207342850481748</v>
      </c>
      <c r="V5496" s="6" t="inlineStr">
        <is>
          <t>remained in weekly selection</t>
        </is>
      </c>
    </row>
    <row r="5497">
      <c r="A5497" s="6" t="inlineStr">
        <is>
          <t>DJ30</t>
        </is>
      </c>
      <c r="B5497" s="6" t="inlineStr">
        <is>
          <t>2026-05-29</t>
        </is>
      </c>
      <c r="C5497" s="6" t="inlineStr">
        <is>
          <t>DIA</t>
        </is>
      </c>
      <c r="D5497" s="6" t="inlineStr">
        <is>
          <t>CVX</t>
        </is>
      </c>
      <c r="E5497" s="6" t="inlineStr">
        <is>
          <t>CVX</t>
        </is>
      </c>
      <c r="F5497" s="6" t="inlineStr">
        <is>
          <t>-</t>
        </is>
      </c>
      <c r="G5497" s="7" t="n">
        <v>182.4600067138672</v>
      </c>
      <c r="H5497" s="6">
        <f>P5466</f>
        <v/>
      </c>
      <c r="I5497" s="9">
        <f>Q5466</f>
        <v/>
      </c>
      <c r="J5497" s="7">
        <f>I5497*G5497</f>
        <v/>
      </c>
      <c r="K5497" s="8">
        <f>IF($J$5519=0,0,J5497/$J$5519)</f>
        <v/>
      </c>
      <c r="L5497" s="6" t="inlineStr">
        <is>
          <t>SELECTED</t>
        </is>
      </c>
      <c r="M5497" s="8" t="n">
        <v>0.2</v>
      </c>
      <c r="N5497" s="7">
        <f>M5497*$J$5519-J5497</f>
        <v/>
      </c>
      <c r="O5497" s="9">
        <f>IF(G5497=0,0,N5497/G5497)</f>
        <v/>
      </c>
      <c r="P5497" s="6">
        <f>IF(M5497&gt;0,D5497,"")</f>
        <v/>
      </c>
      <c r="Q5497" s="9">
        <f>I5497+O5497</f>
        <v/>
      </c>
      <c r="R5497" s="7">
        <f>Q5497*G5497</f>
        <v/>
      </c>
      <c r="S5497" s="8">
        <f>IF($R$5519=0,0,R5497/$R$5519)</f>
        <v/>
      </c>
      <c r="T5497" s="8" t="n">
        <v>-0.01051268515304227</v>
      </c>
      <c r="U5497" s="8" t="n">
        <v>0.009207342850481748</v>
      </c>
      <c r="V5497" s="6" t="inlineStr">
        <is>
          <t>remained in weekly selection</t>
        </is>
      </c>
    </row>
    <row r="5498">
      <c r="A5498" s="6" t="inlineStr">
        <is>
          <t>DJ30</t>
        </is>
      </c>
      <c r="B5498" s="6" t="inlineStr">
        <is>
          <t>2026-05-29</t>
        </is>
      </c>
      <c r="C5498" s="6" t="inlineStr">
        <is>
          <t>DIA</t>
        </is>
      </c>
      <c r="D5498" s="6" t="inlineStr">
        <is>
          <t>DIS</t>
        </is>
      </c>
      <c r="E5498" s="6" t="inlineStr">
        <is>
          <t>DIS</t>
        </is>
      </c>
      <c r="F5498" s="6" t="inlineStr">
        <is>
          <t>-</t>
        </is>
      </c>
      <c r="G5498" s="7" t="n">
        <v>101.8300018310547</v>
      </c>
      <c r="H5498" s="6">
        <f>P5467</f>
        <v/>
      </c>
      <c r="I5498" s="9">
        <f>Q5467</f>
        <v/>
      </c>
      <c r="J5498" s="7">
        <f>I5498*G5498</f>
        <v/>
      </c>
      <c r="K5498" s="8">
        <f>IF($J$5519=0,0,J5498/$J$5519)</f>
        <v/>
      </c>
      <c r="L5498" s="6" t="inlineStr">
        <is>
          <t>REJECTED</t>
        </is>
      </c>
      <c r="M5498" s="8" t="n">
        <v>0</v>
      </c>
      <c r="N5498" s="7">
        <f>M5498*$J$5519-J5498</f>
        <v/>
      </c>
      <c r="O5498" s="9">
        <f>IF(G5498=0,0,N5498/G5498)</f>
        <v/>
      </c>
      <c r="P5498" s="6">
        <f>IF(M5498&gt;0,D5498,"")</f>
        <v/>
      </c>
      <c r="Q5498" s="9">
        <f>I5498+O5498</f>
        <v/>
      </c>
      <c r="R5498" s="7">
        <f>Q5498*G5498</f>
        <v/>
      </c>
      <c r="S5498" s="8">
        <f>IF($R$5519=0,0,R5498/$R$5519)</f>
        <v/>
      </c>
      <c r="T5498" s="8" t="n">
        <v>-0.01051268515304227</v>
      </c>
      <c r="U5498" s="8" t="n">
        <v>0.009207342850481748</v>
      </c>
      <c r="V5498" s="6" t="inlineStr">
        <is>
          <t>not selected</t>
        </is>
      </c>
    </row>
    <row r="5499">
      <c r="A5499" s="6" t="inlineStr">
        <is>
          <t>DJ30</t>
        </is>
      </c>
      <c r="B5499" s="6" t="inlineStr">
        <is>
          <t>2026-05-29</t>
        </is>
      </c>
      <c r="C5499" s="6" t="inlineStr">
        <is>
          <t>DIA</t>
        </is>
      </c>
      <c r="D5499" s="6" t="inlineStr">
        <is>
          <t>GS</t>
        </is>
      </c>
      <c r="E5499" s="6" t="inlineStr">
        <is>
          <t>GS</t>
        </is>
      </c>
      <c r="F5499" s="6" t="inlineStr">
        <is>
          <t>-</t>
        </is>
      </c>
      <c r="G5499" s="7" t="n">
        <v>1021.06005859375</v>
      </c>
      <c r="H5499" s="6">
        <f>P5468</f>
        <v/>
      </c>
      <c r="I5499" s="9">
        <f>Q5468</f>
        <v/>
      </c>
      <c r="J5499" s="7">
        <f>I5499*G5499</f>
        <v/>
      </c>
      <c r="K5499" s="8">
        <f>IF($J$5519=0,0,J5499/$J$5519)</f>
        <v/>
      </c>
      <c r="L5499" s="6" t="inlineStr">
        <is>
          <t>SELECTED</t>
        </is>
      </c>
      <c r="M5499" s="8" t="n">
        <v>0.2</v>
      </c>
      <c r="N5499" s="7">
        <f>M5499*$J$5519-J5499</f>
        <v/>
      </c>
      <c r="O5499" s="9">
        <f>IF(G5499=0,0,N5499/G5499)</f>
        <v/>
      </c>
      <c r="P5499" s="6">
        <f>IF(M5499&gt;0,D5499,"")</f>
        <v/>
      </c>
      <c r="Q5499" s="9">
        <f>I5499+O5499</f>
        <v/>
      </c>
      <c r="R5499" s="7">
        <f>Q5499*G5499</f>
        <v/>
      </c>
      <c r="S5499" s="8">
        <f>IF($R$5519=0,0,R5499/$R$5519)</f>
        <v/>
      </c>
      <c r="T5499" s="8" t="n">
        <v>-0.01051268515304227</v>
      </c>
      <c r="U5499" s="8" t="n">
        <v>0.009207342850481748</v>
      </c>
      <c r="V5499" s="6" t="inlineStr">
        <is>
          <t>remained in weekly selection</t>
        </is>
      </c>
    </row>
    <row r="5500">
      <c r="A5500" s="6" t="inlineStr">
        <is>
          <t>DJ30</t>
        </is>
      </c>
      <c r="B5500" s="6" t="inlineStr">
        <is>
          <t>2026-05-29</t>
        </is>
      </c>
      <c r="C5500" s="6" t="inlineStr">
        <is>
          <t>DIA</t>
        </is>
      </c>
      <c r="D5500" s="6" t="inlineStr">
        <is>
          <t>HD</t>
        </is>
      </c>
      <c r="E5500" s="6" t="inlineStr">
        <is>
          <t>HD</t>
        </is>
      </c>
      <c r="F5500" s="6" t="inlineStr">
        <is>
          <t>-</t>
        </is>
      </c>
      <c r="G5500" s="7" t="n">
        <v>314.7789611816406</v>
      </c>
      <c r="H5500" s="6">
        <f>P5469</f>
        <v/>
      </c>
      <c r="I5500" s="9">
        <f>Q5469</f>
        <v/>
      </c>
      <c r="J5500" s="7">
        <f>I5500*G5500</f>
        <v/>
      </c>
      <c r="K5500" s="8">
        <f>IF($J$5519=0,0,J5500/$J$5519)</f>
        <v/>
      </c>
      <c r="L5500" s="6" t="inlineStr">
        <is>
          <t>REJECTED</t>
        </is>
      </c>
      <c r="M5500" s="8" t="n">
        <v>0</v>
      </c>
      <c r="N5500" s="7">
        <f>M5500*$J$5519-J5500</f>
        <v/>
      </c>
      <c r="O5500" s="9">
        <f>IF(G5500=0,0,N5500/G5500)</f>
        <v/>
      </c>
      <c r="P5500" s="6">
        <f>IF(M5500&gt;0,D5500,"")</f>
        <v/>
      </c>
      <c r="Q5500" s="9">
        <f>I5500+O5500</f>
        <v/>
      </c>
      <c r="R5500" s="7">
        <f>Q5500*G5500</f>
        <v/>
      </c>
      <c r="S5500" s="8">
        <f>IF($R$5519=0,0,R5500/$R$5519)</f>
        <v/>
      </c>
      <c r="T5500" s="8" t="n">
        <v>-0.01051268515304227</v>
      </c>
      <c r="U5500" s="8" t="n">
        <v>0.009207342850481748</v>
      </c>
      <c r="V5500" s="6" t="inlineStr">
        <is>
          <t>not selected</t>
        </is>
      </c>
    </row>
    <row r="5501">
      <c r="A5501" s="6" t="inlineStr">
        <is>
          <t>DJ30</t>
        </is>
      </c>
      <c r="B5501" s="6" t="inlineStr">
        <is>
          <t>2026-05-29</t>
        </is>
      </c>
      <c r="C5501" s="6" t="inlineStr">
        <is>
          <t>DIA</t>
        </is>
      </c>
      <c r="D5501" s="6" t="inlineStr">
        <is>
          <t>HON</t>
        </is>
      </c>
      <c r="E5501" s="6" t="inlineStr">
        <is>
          <t>HON</t>
        </is>
      </c>
      <c r="F5501" s="6" t="inlineStr">
        <is>
          <t>-</t>
        </is>
      </c>
      <c r="G5501" s="7" t="n">
        <v>237.8600006103516</v>
      </c>
      <c r="H5501" s="6">
        <f>P5470</f>
        <v/>
      </c>
      <c r="I5501" s="9">
        <f>Q5470</f>
        <v/>
      </c>
      <c r="J5501" s="7">
        <f>I5501*G5501</f>
        <v/>
      </c>
      <c r="K5501" s="8">
        <f>IF($J$5519=0,0,J5501/$J$5519)</f>
        <v/>
      </c>
      <c r="L5501" s="6" t="inlineStr">
        <is>
          <t>REJECTED</t>
        </is>
      </c>
      <c r="M5501" s="8" t="n">
        <v>0</v>
      </c>
      <c r="N5501" s="7">
        <f>M5501*$J$5519-J5501</f>
        <v/>
      </c>
      <c r="O5501" s="9">
        <f>IF(G5501=0,0,N5501/G5501)</f>
        <v/>
      </c>
      <c r="P5501" s="6">
        <f>IF(M5501&gt;0,D5501,"")</f>
        <v/>
      </c>
      <c r="Q5501" s="9">
        <f>I5501+O5501</f>
        <v/>
      </c>
      <c r="R5501" s="7">
        <f>Q5501*G5501</f>
        <v/>
      </c>
      <c r="S5501" s="8">
        <f>IF($R$5519=0,0,R5501/$R$5519)</f>
        <v/>
      </c>
      <c r="T5501" s="8" t="n">
        <v>-0.01051268515304227</v>
      </c>
      <c r="U5501" s="8" t="n">
        <v>0.009207342850481748</v>
      </c>
      <c r="V5501" s="6" t="inlineStr">
        <is>
          <t>not selected</t>
        </is>
      </c>
    </row>
    <row r="5502">
      <c r="A5502" s="6" t="inlineStr">
        <is>
          <t>DJ30</t>
        </is>
      </c>
      <c r="B5502" s="6" t="inlineStr">
        <is>
          <t>2026-05-29</t>
        </is>
      </c>
      <c r="C5502" s="6" t="inlineStr">
        <is>
          <t>DIA</t>
        </is>
      </c>
      <c r="D5502" s="6" t="inlineStr">
        <is>
          <t>IBM</t>
        </is>
      </c>
      <c r="E5502" s="6" t="inlineStr">
        <is>
          <t>IBM</t>
        </is>
      </c>
      <c r="F5502" s="6" t="inlineStr">
        <is>
          <t>-</t>
        </is>
      </c>
      <c r="G5502" s="7" t="n">
        <v>297.7999877929688</v>
      </c>
      <c r="H5502" s="6">
        <f>P5471</f>
        <v/>
      </c>
      <c r="I5502" s="9">
        <f>Q5471</f>
        <v/>
      </c>
      <c r="J5502" s="7">
        <f>I5502*G5502</f>
        <v/>
      </c>
      <c r="K5502" s="8">
        <f>IF($J$5519=0,0,J5502/$J$5519)</f>
        <v/>
      </c>
      <c r="L5502" s="6" t="inlineStr">
        <is>
          <t>REJECTED</t>
        </is>
      </c>
      <c r="M5502" s="8" t="n">
        <v>0</v>
      </c>
      <c r="N5502" s="7">
        <f>M5502*$J$5519-J5502</f>
        <v/>
      </c>
      <c r="O5502" s="9">
        <f>IF(G5502=0,0,N5502/G5502)</f>
        <v/>
      </c>
      <c r="P5502" s="6">
        <f>IF(M5502&gt;0,D5502,"")</f>
        <v/>
      </c>
      <c r="Q5502" s="9">
        <f>I5502+O5502</f>
        <v/>
      </c>
      <c r="R5502" s="7">
        <f>Q5502*G5502</f>
        <v/>
      </c>
      <c r="S5502" s="8">
        <f>IF($R$5519=0,0,R5502/$R$5519)</f>
        <v/>
      </c>
      <c r="T5502" s="8" t="n">
        <v>-0.01051268515304227</v>
      </c>
      <c r="U5502" s="8" t="n">
        <v>0.009207342850481748</v>
      </c>
      <c r="V5502" s="6" t="inlineStr">
        <is>
          <t>not selected</t>
        </is>
      </c>
    </row>
    <row r="5503">
      <c r="A5503" s="6" t="inlineStr">
        <is>
          <t>DJ30</t>
        </is>
      </c>
      <c r="B5503" s="6" t="inlineStr">
        <is>
          <t>2026-05-29</t>
        </is>
      </c>
      <c r="C5503" s="6" t="inlineStr">
        <is>
          <t>DIA</t>
        </is>
      </c>
      <c r="D5503" s="6" t="inlineStr">
        <is>
          <t>JNJ</t>
        </is>
      </c>
      <c r="E5503" s="6" t="inlineStr">
        <is>
          <t>JNJ</t>
        </is>
      </c>
      <c r="F5503" s="6" t="inlineStr">
        <is>
          <t>-</t>
        </is>
      </c>
      <c r="G5503" s="7" t="n">
        <v>225.3300018310547</v>
      </c>
      <c r="H5503" s="6">
        <f>P5472</f>
        <v/>
      </c>
      <c r="I5503" s="9">
        <f>Q5472</f>
        <v/>
      </c>
      <c r="J5503" s="7">
        <f>I5503*G5503</f>
        <v/>
      </c>
      <c r="K5503" s="8">
        <f>IF($J$5519=0,0,J5503/$J$5519)</f>
        <v/>
      </c>
      <c r="L5503" s="6" t="inlineStr">
        <is>
          <t>WATCHLIST</t>
        </is>
      </c>
      <c r="M5503" s="8" t="n">
        <v>0</v>
      </c>
      <c r="N5503" s="7">
        <f>M5503*$J$5519-J5503</f>
        <v/>
      </c>
      <c r="O5503" s="9">
        <f>IF(G5503=0,0,N5503/G5503)</f>
        <v/>
      </c>
      <c r="P5503" s="6">
        <f>IF(M5503&gt;0,D5503,"")</f>
        <v/>
      </c>
      <c r="Q5503" s="9">
        <f>I5503+O5503</f>
        <v/>
      </c>
      <c r="R5503" s="7">
        <f>Q5503*G5503</f>
        <v/>
      </c>
      <c r="S5503" s="8">
        <f>IF($R$5519=0,0,R5503/$R$5519)</f>
        <v/>
      </c>
      <c r="T5503" s="8" t="n">
        <v>-0.01051268515304227</v>
      </c>
      <c r="U5503" s="8" t="n">
        <v>0.009207342850481748</v>
      </c>
      <c r="V5503" s="6" t="inlineStr">
        <is>
          <t>not selected</t>
        </is>
      </c>
    </row>
    <row r="5504">
      <c r="A5504" s="6" t="inlineStr">
        <is>
          <t>DJ30</t>
        </is>
      </c>
      <c r="B5504" s="6" t="inlineStr">
        <is>
          <t>2026-05-29</t>
        </is>
      </c>
      <c r="C5504" s="6" t="inlineStr">
        <is>
          <t>DIA</t>
        </is>
      </c>
      <c r="D5504" s="6" t="inlineStr">
        <is>
          <t>JPM</t>
        </is>
      </c>
      <c r="E5504" s="6" t="inlineStr">
        <is>
          <t>JPM</t>
        </is>
      </c>
      <c r="F5504" s="6" t="inlineStr">
        <is>
          <t>-</t>
        </is>
      </c>
      <c r="G5504" s="7" t="n">
        <v>299.3099975585937</v>
      </c>
      <c r="H5504" s="6">
        <f>P5473</f>
        <v/>
      </c>
      <c r="I5504" s="9">
        <f>Q5473</f>
        <v/>
      </c>
      <c r="J5504" s="7">
        <f>I5504*G5504</f>
        <v/>
      </c>
      <c r="K5504" s="8">
        <f>IF($J$5519=0,0,J5504/$J$5519)</f>
        <v/>
      </c>
      <c r="L5504" s="6" t="inlineStr">
        <is>
          <t>REJECTED</t>
        </is>
      </c>
      <c r="M5504" s="8" t="n">
        <v>0</v>
      </c>
      <c r="N5504" s="7">
        <f>M5504*$J$5519-J5504</f>
        <v/>
      </c>
      <c r="O5504" s="9">
        <f>IF(G5504=0,0,N5504/G5504)</f>
        <v/>
      </c>
      <c r="P5504" s="6">
        <f>IF(M5504&gt;0,D5504,"")</f>
        <v/>
      </c>
      <c r="Q5504" s="9">
        <f>I5504+O5504</f>
        <v/>
      </c>
      <c r="R5504" s="7">
        <f>Q5504*G5504</f>
        <v/>
      </c>
      <c r="S5504" s="8">
        <f>IF($R$5519=0,0,R5504/$R$5519)</f>
        <v/>
      </c>
      <c r="T5504" s="8" t="n">
        <v>-0.01051268515304227</v>
      </c>
      <c r="U5504" s="8" t="n">
        <v>0.009207342850481748</v>
      </c>
      <c r="V5504" s="6" t="inlineStr">
        <is>
          <t>not selected</t>
        </is>
      </c>
    </row>
    <row r="5505">
      <c r="A5505" s="6" t="inlineStr">
        <is>
          <t>DJ30</t>
        </is>
      </c>
      <c r="B5505" s="6" t="inlineStr">
        <is>
          <t>2026-05-29</t>
        </is>
      </c>
      <c r="C5505" s="6" t="inlineStr">
        <is>
          <t>DIA</t>
        </is>
      </c>
      <c r="D5505" s="6" t="inlineStr">
        <is>
          <t>KO</t>
        </is>
      </c>
      <c r="E5505" s="6" t="inlineStr">
        <is>
          <t>KO</t>
        </is>
      </c>
      <c r="F5505" s="6" t="inlineStr">
        <is>
          <t>-</t>
        </is>
      </c>
      <c r="G5505" s="7" t="n">
        <v>78.50315856933594</v>
      </c>
      <c r="H5505" s="6">
        <f>P5474</f>
        <v/>
      </c>
      <c r="I5505" s="9">
        <f>Q5474</f>
        <v/>
      </c>
      <c r="J5505" s="7">
        <f>I5505*G5505</f>
        <v/>
      </c>
      <c r="K5505" s="8">
        <f>IF($J$5519=0,0,J5505/$J$5519)</f>
        <v/>
      </c>
      <c r="L5505" s="6" t="inlineStr">
        <is>
          <t>WATCHLIST</t>
        </is>
      </c>
      <c r="M5505" s="8" t="n">
        <v>0</v>
      </c>
      <c r="N5505" s="7">
        <f>M5505*$J$5519-J5505</f>
        <v/>
      </c>
      <c r="O5505" s="9">
        <f>IF(G5505=0,0,N5505/G5505)</f>
        <v/>
      </c>
      <c r="P5505" s="6">
        <f>IF(M5505&gt;0,D5505,"")</f>
        <v/>
      </c>
      <c r="Q5505" s="9">
        <f>I5505+O5505</f>
        <v/>
      </c>
      <c r="R5505" s="7">
        <f>Q5505*G5505</f>
        <v/>
      </c>
      <c r="S5505" s="8">
        <f>IF($R$5519=0,0,R5505/$R$5519)</f>
        <v/>
      </c>
      <c r="T5505" s="8" t="n">
        <v>-0.01051268515304227</v>
      </c>
      <c r="U5505" s="8" t="n">
        <v>0.009207342850481748</v>
      </c>
      <c r="V5505" s="6" t="inlineStr">
        <is>
          <t>not selected</t>
        </is>
      </c>
    </row>
    <row r="5506">
      <c r="A5506" s="6" t="inlineStr">
        <is>
          <t>DJ30</t>
        </is>
      </c>
      <c r="B5506" s="6" t="inlineStr">
        <is>
          <t>2026-05-29</t>
        </is>
      </c>
      <c r="C5506" s="6" t="inlineStr">
        <is>
          <t>DIA</t>
        </is>
      </c>
      <c r="D5506" s="6" t="inlineStr">
        <is>
          <t>MCD</t>
        </is>
      </c>
      <c r="E5506" s="6" t="inlineStr">
        <is>
          <t>MCD</t>
        </is>
      </c>
      <c r="F5506" s="6" t="inlineStr">
        <is>
          <t>-</t>
        </is>
      </c>
      <c r="G5506" s="7" t="n">
        <v>277.3191833496094</v>
      </c>
      <c r="H5506" s="6">
        <f>P5475</f>
        <v/>
      </c>
      <c r="I5506" s="9">
        <f>Q5475</f>
        <v/>
      </c>
      <c r="J5506" s="7">
        <f>I5506*G5506</f>
        <v/>
      </c>
      <c r="K5506" s="8">
        <f>IF($J$5519=0,0,J5506/$J$5519)</f>
        <v/>
      </c>
      <c r="L5506" s="6" t="inlineStr">
        <is>
          <t>REJECTED</t>
        </is>
      </c>
      <c r="M5506" s="8" t="n">
        <v>0</v>
      </c>
      <c r="N5506" s="7">
        <f>M5506*$J$5519-J5506</f>
        <v/>
      </c>
      <c r="O5506" s="9">
        <f>IF(G5506=0,0,N5506/G5506)</f>
        <v/>
      </c>
      <c r="P5506" s="6">
        <f>IF(M5506&gt;0,D5506,"")</f>
        <v/>
      </c>
      <c r="Q5506" s="9">
        <f>I5506+O5506</f>
        <v/>
      </c>
      <c r="R5506" s="7">
        <f>Q5506*G5506</f>
        <v/>
      </c>
      <c r="S5506" s="8">
        <f>IF($R$5519=0,0,R5506/$R$5519)</f>
        <v/>
      </c>
      <c r="T5506" s="8" t="n">
        <v>-0.01051268515304227</v>
      </c>
      <c r="U5506" s="8" t="n">
        <v>0.009207342850481748</v>
      </c>
      <c r="V5506" s="6" t="inlineStr">
        <is>
          <t>not selected</t>
        </is>
      </c>
    </row>
    <row r="5507">
      <c r="A5507" s="6" t="inlineStr">
        <is>
          <t>DJ30</t>
        </is>
      </c>
      <c r="B5507" s="6" t="inlineStr">
        <is>
          <t>2026-05-29</t>
        </is>
      </c>
      <c r="C5507" s="6" t="inlineStr">
        <is>
          <t>DIA</t>
        </is>
      </c>
      <c r="D5507" s="6" t="inlineStr">
        <is>
          <t>MMM</t>
        </is>
      </c>
      <c r="E5507" s="6" t="inlineStr">
        <is>
          <t>MMM</t>
        </is>
      </c>
      <c r="F5507" s="6" t="inlineStr">
        <is>
          <t>-</t>
        </is>
      </c>
      <c r="G5507" s="7" t="n">
        <v>153.1300048828125</v>
      </c>
      <c r="H5507" s="6">
        <f>P5476</f>
        <v/>
      </c>
      <c r="I5507" s="9">
        <f>Q5476</f>
        <v/>
      </c>
      <c r="J5507" s="7">
        <f>I5507*G5507</f>
        <v/>
      </c>
      <c r="K5507" s="8">
        <f>IF($J$5519=0,0,J5507/$J$5519)</f>
        <v/>
      </c>
      <c r="L5507" s="6" t="inlineStr">
        <is>
          <t>REJECTED</t>
        </is>
      </c>
      <c r="M5507" s="8" t="n">
        <v>0</v>
      </c>
      <c r="N5507" s="7">
        <f>M5507*$J$5519-J5507</f>
        <v/>
      </c>
      <c r="O5507" s="9">
        <f>IF(G5507=0,0,N5507/G5507)</f>
        <v/>
      </c>
      <c r="P5507" s="6">
        <f>IF(M5507&gt;0,D5507,"")</f>
        <v/>
      </c>
      <c r="Q5507" s="9">
        <f>I5507+O5507</f>
        <v/>
      </c>
      <c r="R5507" s="7">
        <f>Q5507*G5507</f>
        <v/>
      </c>
      <c r="S5507" s="8">
        <f>IF($R$5519=0,0,R5507/$R$5519)</f>
        <v/>
      </c>
      <c r="T5507" s="8" t="n">
        <v>-0.01051268515304227</v>
      </c>
      <c r="U5507" s="8" t="n">
        <v>0.009207342850481748</v>
      </c>
      <c r="V5507" s="6" t="inlineStr">
        <is>
          <t>not selected</t>
        </is>
      </c>
    </row>
    <row r="5508">
      <c r="A5508" s="6" t="inlineStr">
        <is>
          <t>DJ30</t>
        </is>
      </c>
      <c r="B5508" s="6" t="inlineStr">
        <is>
          <t>2026-05-29</t>
        </is>
      </c>
      <c r="C5508" s="6" t="inlineStr">
        <is>
          <t>DIA</t>
        </is>
      </c>
      <c r="D5508" s="6" t="inlineStr">
        <is>
          <t>MRK</t>
        </is>
      </c>
      <c r="E5508" s="6" t="inlineStr">
        <is>
          <t>MRK</t>
        </is>
      </c>
      <c r="F5508" s="6" t="inlineStr">
        <is>
          <t>-</t>
        </is>
      </c>
      <c r="G5508" s="7" t="n">
        <v>117.8723602294922</v>
      </c>
      <c r="H5508" s="6">
        <f>P5477</f>
        <v/>
      </c>
      <c r="I5508" s="9">
        <f>Q5477</f>
        <v/>
      </c>
      <c r="J5508" s="7">
        <f>I5508*G5508</f>
        <v/>
      </c>
      <c r="K5508" s="8">
        <f>IF($J$5519=0,0,J5508/$J$5519)</f>
        <v/>
      </c>
      <c r="L5508" s="6" t="inlineStr">
        <is>
          <t>SELECTED</t>
        </is>
      </c>
      <c r="M5508" s="8" t="n">
        <v>0.2</v>
      </c>
      <c r="N5508" s="7">
        <f>M5508*$J$5519-J5508</f>
        <v/>
      </c>
      <c r="O5508" s="9">
        <f>IF(G5508=0,0,N5508/G5508)</f>
        <v/>
      </c>
      <c r="P5508" s="6">
        <f>IF(M5508&gt;0,D5508,"")</f>
        <v/>
      </c>
      <c r="Q5508" s="9">
        <f>I5508+O5508</f>
        <v/>
      </c>
      <c r="R5508" s="7">
        <f>Q5508*G5508</f>
        <v/>
      </c>
      <c r="S5508" s="8">
        <f>IF($R$5519=0,0,R5508/$R$5519)</f>
        <v/>
      </c>
      <c r="T5508" s="8" t="n">
        <v>-0.01051268515304227</v>
      </c>
      <c r="U5508" s="8" t="n">
        <v>0.009207342850481748</v>
      </c>
      <c r="V5508" s="6" t="inlineStr">
        <is>
          <t>remained in weekly selection</t>
        </is>
      </c>
    </row>
    <row r="5509">
      <c r="A5509" s="6" t="inlineStr">
        <is>
          <t>DJ30</t>
        </is>
      </c>
      <c r="B5509" s="6" t="inlineStr">
        <is>
          <t>2026-05-29</t>
        </is>
      </c>
      <c r="C5509" s="6" t="inlineStr">
        <is>
          <t>DIA</t>
        </is>
      </c>
      <c r="D5509" s="6" t="inlineStr">
        <is>
          <t>MSFT</t>
        </is>
      </c>
      <c r="E5509" s="6" t="inlineStr">
        <is>
          <t>MSFT</t>
        </is>
      </c>
      <c r="F5509" s="6" t="inlineStr">
        <is>
          <t>-</t>
        </is>
      </c>
      <c r="G5509" s="7" t="n">
        <v>450.239990234375</v>
      </c>
      <c r="H5509" s="6">
        <f>P5478</f>
        <v/>
      </c>
      <c r="I5509" s="9">
        <f>Q5478</f>
        <v/>
      </c>
      <c r="J5509" s="7">
        <f>I5509*G5509</f>
        <v/>
      </c>
      <c r="K5509" s="8">
        <f>IF($J$5519=0,0,J5509/$J$5519)</f>
        <v/>
      </c>
      <c r="L5509" s="6" t="inlineStr">
        <is>
          <t>REJECTED</t>
        </is>
      </c>
      <c r="M5509" s="8" t="n">
        <v>0</v>
      </c>
      <c r="N5509" s="7">
        <f>M5509*$J$5519-J5509</f>
        <v/>
      </c>
      <c r="O5509" s="9">
        <f>IF(G5509=0,0,N5509/G5509)</f>
        <v/>
      </c>
      <c r="P5509" s="6">
        <f>IF(M5509&gt;0,D5509,"")</f>
        <v/>
      </c>
      <c r="Q5509" s="9">
        <f>I5509+O5509</f>
        <v/>
      </c>
      <c r="R5509" s="7">
        <f>Q5509*G5509</f>
        <v/>
      </c>
      <c r="S5509" s="8">
        <f>IF($R$5519=0,0,R5509/$R$5519)</f>
        <v/>
      </c>
      <c r="T5509" s="8" t="n">
        <v>-0.01051268515304227</v>
      </c>
      <c r="U5509" s="8" t="n">
        <v>0.009207342850481748</v>
      </c>
      <c r="V5509" s="6" t="inlineStr">
        <is>
          <t>not selected</t>
        </is>
      </c>
    </row>
    <row r="5510">
      <c r="A5510" s="6" t="inlineStr">
        <is>
          <t>DJ30</t>
        </is>
      </c>
      <c r="B5510" s="6" t="inlineStr">
        <is>
          <t>2026-05-29</t>
        </is>
      </c>
      <c r="C5510" s="6" t="inlineStr">
        <is>
          <t>DIA</t>
        </is>
      </c>
      <c r="D5510" s="6" t="inlineStr">
        <is>
          <t>NKE</t>
        </is>
      </c>
      <c r="E5510" s="6" t="inlineStr">
        <is>
          <t>NKE</t>
        </is>
      </c>
      <c r="F5510" s="6" t="inlineStr">
        <is>
          <t>-</t>
        </is>
      </c>
      <c r="G5510" s="7" t="n">
        <v>45.81999969482422</v>
      </c>
      <c r="H5510" s="6">
        <f>P5479</f>
        <v/>
      </c>
      <c r="I5510" s="9">
        <f>Q5479</f>
        <v/>
      </c>
      <c r="J5510" s="7">
        <f>I5510*G5510</f>
        <v/>
      </c>
      <c r="K5510" s="8">
        <f>IF($J$5519=0,0,J5510/$J$5519)</f>
        <v/>
      </c>
      <c r="L5510" s="6" t="inlineStr">
        <is>
          <t>REJECTED</t>
        </is>
      </c>
      <c r="M5510" s="8" t="n">
        <v>0</v>
      </c>
      <c r="N5510" s="7">
        <f>M5510*$J$5519-J5510</f>
        <v/>
      </c>
      <c r="O5510" s="9">
        <f>IF(G5510=0,0,N5510/G5510)</f>
        <v/>
      </c>
      <c r="P5510" s="6">
        <f>IF(M5510&gt;0,D5510,"")</f>
        <v/>
      </c>
      <c r="Q5510" s="9">
        <f>I5510+O5510</f>
        <v/>
      </c>
      <c r="R5510" s="7">
        <f>Q5510*G5510</f>
        <v/>
      </c>
      <c r="S5510" s="8">
        <f>IF($R$5519=0,0,R5510/$R$5519)</f>
        <v/>
      </c>
      <c r="T5510" s="8" t="n">
        <v>-0.01051268515304227</v>
      </c>
      <c r="U5510" s="8" t="n">
        <v>0.009207342850481748</v>
      </c>
      <c r="V5510" s="6" t="inlineStr">
        <is>
          <t>not selected</t>
        </is>
      </c>
    </row>
    <row r="5511">
      <c r="A5511" s="6" t="inlineStr">
        <is>
          <t>DJ30</t>
        </is>
      </c>
      <c r="B5511" s="6" t="inlineStr">
        <is>
          <t>2026-05-29</t>
        </is>
      </c>
      <c r="C5511" s="6" t="inlineStr">
        <is>
          <t>DIA</t>
        </is>
      </c>
      <c r="D5511" s="6" t="inlineStr">
        <is>
          <t>NVDA</t>
        </is>
      </c>
      <c r="E5511" s="6" t="inlineStr">
        <is>
          <t>NVDA</t>
        </is>
      </c>
      <c r="F5511" s="6" t="inlineStr">
        <is>
          <t>-</t>
        </is>
      </c>
      <c r="G5511" s="7" t="n">
        <v>210.8942108154297</v>
      </c>
      <c r="H5511" s="6">
        <f>P5480</f>
        <v/>
      </c>
      <c r="I5511" s="9">
        <f>Q5480</f>
        <v/>
      </c>
      <c r="J5511" s="7">
        <f>I5511*G5511</f>
        <v/>
      </c>
      <c r="K5511" s="8">
        <f>IF($J$5519=0,0,J5511/$J$5519)</f>
        <v/>
      </c>
      <c r="L5511" s="6" t="inlineStr">
        <is>
          <t>WATCHLIST</t>
        </is>
      </c>
      <c r="M5511" s="8" t="n">
        <v>0</v>
      </c>
      <c r="N5511" s="7">
        <f>M5511*$J$5519-J5511</f>
        <v/>
      </c>
      <c r="O5511" s="9">
        <f>IF(G5511=0,0,N5511/G5511)</f>
        <v/>
      </c>
      <c r="P5511" s="6">
        <f>IF(M5511&gt;0,D5511,"")</f>
        <v/>
      </c>
      <c r="Q5511" s="9">
        <f>I5511+O5511</f>
        <v/>
      </c>
      <c r="R5511" s="7">
        <f>Q5511*G5511</f>
        <v/>
      </c>
      <c r="S5511" s="8">
        <f>IF($R$5519=0,0,R5511/$R$5519)</f>
        <v/>
      </c>
      <c r="T5511" s="8" t="n">
        <v>-0.01051268515304227</v>
      </c>
      <c r="U5511" s="8" t="n">
        <v>0.009207342850481748</v>
      </c>
      <c r="V5511" s="6" t="inlineStr">
        <is>
          <t>not selected</t>
        </is>
      </c>
    </row>
    <row r="5512">
      <c r="A5512" s="6" t="inlineStr">
        <is>
          <t>DJ30</t>
        </is>
      </c>
      <c r="B5512" s="6" t="inlineStr">
        <is>
          <t>2026-05-29</t>
        </is>
      </c>
      <c r="C5512" s="6" t="inlineStr">
        <is>
          <t>DIA</t>
        </is>
      </c>
      <c r="D5512" s="6" t="inlineStr">
        <is>
          <t>PG</t>
        </is>
      </c>
      <c r="E5512" s="6" t="inlineStr">
        <is>
          <t>PG</t>
        </is>
      </c>
      <c r="F5512" s="6" t="inlineStr">
        <is>
          <t>-</t>
        </is>
      </c>
      <c r="G5512" s="7" t="n">
        <v>143.5599975585938</v>
      </c>
      <c r="H5512" s="6">
        <f>P5481</f>
        <v/>
      </c>
      <c r="I5512" s="9">
        <f>Q5481</f>
        <v/>
      </c>
      <c r="J5512" s="7">
        <f>I5512*G5512</f>
        <v/>
      </c>
      <c r="K5512" s="8">
        <f>IF($J$5519=0,0,J5512/$J$5519)</f>
        <v/>
      </c>
      <c r="L5512" s="6" t="inlineStr">
        <is>
          <t>REJECTED</t>
        </is>
      </c>
      <c r="M5512" s="8" t="n">
        <v>0</v>
      </c>
      <c r="N5512" s="7">
        <f>M5512*$J$5519-J5512</f>
        <v/>
      </c>
      <c r="O5512" s="9">
        <f>IF(G5512=0,0,N5512/G5512)</f>
        <v/>
      </c>
      <c r="P5512" s="6">
        <f>IF(M5512&gt;0,D5512,"")</f>
        <v/>
      </c>
      <c r="Q5512" s="9">
        <f>I5512+O5512</f>
        <v/>
      </c>
      <c r="R5512" s="7">
        <f>Q5512*G5512</f>
        <v/>
      </c>
      <c r="S5512" s="8">
        <f>IF($R$5519=0,0,R5512/$R$5519)</f>
        <v/>
      </c>
      <c r="T5512" s="8" t="n">
        <v>-0.01051268515304227</v>
      </c>
      <c r="U5512" s="8" t="n">
        <v>0.009207342850481748</v>
      </c>
      <c r="V5512" s="6" t="inlineStr">
        <is>
          <t>not selected</t>
        </is>
      </c>
    </row>
    <row r="5513">
      <c r="A5513" s="6" t="inlineStr">
        <is>
          <t>DJ30</t>
        </is>
      </c>
      <c r="B5513" s="6" t="inlineStr">
        <is>
          <t>2026-05-29</t>
        </is>
      </c>
      <c r="C5513" s="6" t="inlineStr">
        <is>
          <t>DIA</t>
        </is>
      </c>
      <c r="D5513" s="6" t="inlineStr">
        <is>
          <t>SHW</t>
        </is>
      </c>
      <c r="E5513" s="6" t="inlineStr">
        <is>
          <t>SHW</t>
        </is>
      </c>
      <c r="F5513" s="6" t="inlineStr">
        <is>
          <t>-</t>
        </is>
      </c>
      <c r="G5513" s="7" t="n">
        <v>303.8399963378906</v>
      </c>
      <c r="H5513" s="6">
        <f>P5482</f>
        <v/>
      </c>
      <c r="I5513" s="9">
        <f>Q5482</f>
        <v/>
      </c>
      <c r="J5513" s="7">
        <f>I5513*G5513</f>
        <v/>
      </c>
      <c r="K5513" s="8">
        <f>IF($J$5519=0,0,J5513/$J$5519)</f>
        <v/>
      </c>
      <c r="L5513" s="6" t="inlineStr">
        <is>
          <t>REJECTED</t>
        </is>
      </c>
      <c r="M5513" s="8" t="n">
        <v>0</v>
      </c>
      <c r="N5513" s="7">
        <f>M5513*$J$5519-J5513</f>
        <v/>
      </c>
      <c r="O5513" s="9">
        <f>IF(G5513=0,0,N5513/G5513)</f>
        <v/>
      </c>
      <c r="P5513" s="6">
        <f>IF(M5513&gt;0,D5513,"")</f>
        <v/>
      </c>
      <c r="Q5513" s="9">
        <f>I5513+O5513</f>
        <v/>
      </c>
      <c r="R5513" s="7">
        <f>Q5513*G5513</f>
        <v/>
      </c>
      <c r="S5513" s="8">
        <f>IF($R$5519=0,0,R5513/$R$5519)</f>
        <v/>
      </c>
      <c r="T5513" s="8" t="n">
        <v>-0.01051268515304227</v>
      </c>
      <c r="U5513" s="8" t="n">
        <v>0.009207342850481748</v>
      </c>
      <c r="V5513" s="6" t="inlineStr">
        <is>
          <t>not selected</t>
        </is>
      </c>
    </row>
    <row r="5514">
      <c r="A5514" s="6" t="inlineStr">
        <is>
          <t>DJ30</t>
        </is>
      </c>
      <c r="B5514" s="6" t="inlineStr">
        <is>
          <t>2026-05-29</t>
        </is>
      </c>
      <c r="C5514" s="6" t="inlineStr">
        <is>
          <t>DIA</t>
        </is>
      </c>
      <c r="D5514" s="6" t="inlineStr">
        <is>
          <t>TRV</t>
        </is>
      </c>
      <c r="E5514" s="6" t="inlineStr">
        <is>
          <t>TRV</t>
        </is>
      </c>
      <c r="F5514" s="6" t="inlineStr">
        <is>
          <t>-</t>
        </is>
      </c>
      <c r="G5514" s="7" t="n">
        <v>290.6748046875</v>
      </c>
      <c r="H5514" s="6">
        <f>P5483</f>
        <v/>
      </c>
      <c r="I5514" s="9">
        <f>Q5483</f>
        <v/>
      </c>
      <c r="J5514" s="7">
        <f>I5514*G5514</f>
        <v/>
      </c>
      <c r="K5514" s="8">
        <f>IF($J$5519=0,0,J5514/$J$5519)</f>
        <v/>
      </c>
      <c r="L5514" s="6" t="inlineStr">
        <is>
          <t>WATCHLIST</t>
        </is>
      </c>
      <c r="M5514" s="8" t="n">
        <v>0</v>
      </c>
      <c r="N5514" s="7">
        <f>M5514*$J$5519-J5514</f>
        <v/>
      </c>
      <c r="O5514" s="9">
        <f>IF(G5514=0,0,N5514/G5514)</f>
        <v/>
      </c>
      <c r="P5514" s="6">
        <f>IF(M5514&gt;0,D5514,"")</f>
        <v/>
      </c>
      <c r="Q5514" s="9">
        <f>I5514+O5514</f>
        <v/>
      </c>
      <c r="R5514" s="7">
        <f>Q5514*G5514</f>
        <v/>
      </c>
      <c r="S5514" s="8">
        <f>IF($R$5519=0,0,R5514/$R$5519)</f>
        <v/>
      </c>
      <c r="T5514" s="8" t="n">
        <v>-0.01051268515304227</v>
      </c>
      <c r="U5514" s="8" t="n">
        <v>0.009207342850481748</v>
      </c>
      <c r="V5514" s="6" t="inlineStr">
        <is>
          <t>not selected</t>
        </is>
      </c>
    </row>
    <row r="5515">
      <c r="A5515" s="6" t="inlineStr">
        <is>
          <t>DJ30</t>
        </is>
      </c>
      <c r="B5515" s="6" t="inlineStr">
        <is>
          <t>2026-05-29</t>
        </is>
      </c>
      <c r="C5515" s="6" t="inlineStr">
        <is>
          <t>DIA</t>
        </is>
      </c>
      <c r="D5515" s="6" t="inlineStr">
        <is>
          <t>UNH</t>
        </is>
      </c>
      <c r="E5515" s="6" t="inlineStr">
        <is>
          <t>UNH</t>
        </is>
      </c>
      <c r="F5515" s="6" t="inlineStr">
        <is>
          <t>-</t>
        </is>
      </c>
      <c r="G5515" s="7" t="n">
        <v>378.1502075195313</v>
      </c>
      <c r="H5515" s="6">
        <f>P5484</f>
        <v/>
      </c>
      <c r="I5515" s="9">
        <f>Q5484</f>
        <v/>
      </c>
      <c r="J5515" s="7">
        <f>I5515*G5515</f>
        <v/>
      </c>
      <c r="K5515" s="8">
        <f>IF($J$5519=0,0,J5515/$J$5519)</f>
        <v/>
      </c>
      <c r="L5515" s="6" t="inlineStr">
        <is>
          <t>REJECTED</t>
        </is>
      </c>
      <c r="M5515" s="8" t="n">
        <v>0</v>
      </c>
      <c r="N5515" s="7">
        <f>M5515*$J$5519-J5515</f>
        <v/>
      </c>
      <c r="O5515" s="9">
        <f>IF(G5515=0,0,N5515/G5515)</f>
        <v/>
      </c>
      <c r="P5515" s="6">
        <f>IF(M5515&gt;0,D5515,"")</f>
        <v/>
      </c>
      <c r="Q5515" s="9">
        <f>I5515+O5515</f>
        <v/>
      </c>
      <c r="R5515" s="7">
        <f>Q5515*G5515</f>
        <v/>
      </c>
      <c r="S5515" s="8">
        <f>IF($R$5519=0,0,R5515/$R$5519)</f>
        <v/>
      </c>
      <c r="T5515" s="8" t="n">
        <v>-0.01051268515304227</v>
      </c>
      <c r="U5515" s="8" t="n">
        <v>0.009207342850481748</v>
      </c>
      <c r="V5515" s="6" t="inlineStr">
        <is>
          <t>not selected</t>
        </is>
      </c>
    </row>
    <row r="5516">
      <c r="A5516" s="6" t="inlineStr">
        <is>
          <t>DJ30</t>
        </is>
      </c>
      <c r="B5516" s="6" t="inlineStr">
        <is>
          <t>2026-05-29</t>
        </is>
      </c>
      <c r="C5516" s="6" t="inlineStr">
        <is>
          <t>DIA</t>
        </is>
      </c>
      <c r="D5516" s="6" t="inlineStr">
        <is>
          <t>V</t>
        </is>
      </c>
      <c r="E5516" s="6" t="inlineStr">
        <is>
          <t>V</t>
        </is>
      </c>
      <c r="F5516" s="6" t="inlineStr">
        <is>
          <t>-</t>
        </is>
      </c>
      <c r="G5516" s="7" t="n">
        <v>326.3599853515625</v>
      </c>
      <c r="H5516" s="6">
        <f>P5485</f>
        <v/>
      </c>
      <c r="I5516" s="9">
        <f>Q5485</f>
        <v/>
      </c>
      <c r="J5516" s="7">
        <f>I5516*G5516</f>
        <v/>
      </c>
      <c r="K5516" s="8">
        <f>IF($J$5519=0,0,J5516/$J$5519)</f>
        <v/>
      </c>
      <c r="L5516" s="6" t="inlineStr">
        <is>
          <t>REJECTED</t>
        </is>
      </c>
      <c r="M5516" s="8" t="n">
        <v>0</v>
      </c>
      <c r="N5516" s="7">
        <f>M5516*$J$5519-J5516</f>
        <v/>
      </c>
      <c r="O5516" s="9">
        <f>IF(G5516=0,0,N5516/G5516)</f>
        <v/>
      </c>
      <c r="P5516" s="6">
        <f>IF(M5516&gt;0,D5516,"")</f>
        <v/>
      </c>
      <c r="Q5516" s="9">
        <f>I5516+O5516</f>
        <v/>
      </c>
      <c r="R5516" s="7">
        <f>Q5516*G5516</f>
        <v/>
      </c>
      <c r="S5516" s="8">
        <f>IF($R$5519=0,0,R5516/$R$5519)</f>
        <v/>
      </c>
      <c r="T5516" s="8" t="n">
        <v>-0.01051268515304227</v>
      </c>
      <c r="U5516" s="8" t="n">
        <v>0.009207342850481748</v>
      </c>
      <c r="V5516" s="6" t="inlineStr">
        <is>
          <t>not selected</t>
        </is>
      </c>
    </row>
    <row r="5517">
      <c r="A5517" s="6" t="inlineStr">
        <is>
          <t>DJ30</t>
        </is>
      </c>
      <c r="B5517" s="6" t="inlineStr">
        <is>
          <t>2026-05-29</t>
        </is>
      </c>
      <c r="C5517" s="6" t="inlineStr">
        <is>
          <t>DIA</t>
        </is>
      </c>
      <c r="D5517" s="6" t="inlineStr">
        <is>
          <t>VZ</t>
        </is>
      </c>
      <c r="E5517" s="6" t="inlineStr">
        <is>
          <t>VZ</t>
        </is>
      </c>
      <c r="F5517" s="6" t="inlineStr">
        <is>
          <t>-</t>
        </is>
      </c>
      <c r="G5517" s="7" t="n">
        <v>47.81000137329102</v>
      </c>
      <c r="H5517" s="6">
        <f>P5486</f>
        <v/>
      </c>
      <c r="I5517" s="9">
        <f>Q5486</f>
        <v/>
      </c>
      <c r="J5517" s="7">
        <f>I5517*G5517</f>
        <v/>
      </c>
      <c r="K5517" s="8">
        <f>IF($J$5519=0,0,J5517/$J$5519)</f>
        <v/>
      </c>
      <c r="L5517" s="6" t="inlineStr">
        <is>
          <t>WATCHLIST</t>
        </is>
      </c>
      <c r="M5517" s="8" t="n">
        <v>0</v>
      </c>
      <c r="N5517" s="7">
        <f>M5517*$J$5519-J5517</f>
        <v/>
      </c>
      <c r="O5517" s="9">
        <f>IF(G5517=0,0,N5517/G5517)</f>
        <v/>
      </c>
      <c r="P5517" s="6">
        <f>IF(M5517&gt;0,D5517,"")</f>
        <v/>
      </c>
      <c r="Q5517" s="9">
        <f>I5517+O5517</f>
        <v/>
      </c>
      <c r="R5517" s="7">
        <f>Q5517*G5517</f>
        <v/>
      </c>
      <c r="S5517" s="8">
        <f>IF($R$5519=0,0,R5517/$R$5519)</f>
        <v/>
      </c>
      <c r="T5517" s="8" t="n">
        <v>-0.01051268515304227</v>
      </c>
      <c r="U5517" s="8" t="n">
        <v>0.009207342850481748</v>
      </c>
      <c r="V5517" s="6" t="inlineStr">
        <is>
          <t>not selected</t>
        </is>
      </c>
    </row>
    <row r="5518">
      <c r="A5518" s="6" t="inlineStr">
        <is>
          <t>DJ30</t>
        </is>
      </c>
      <c r="B5518" s="6" t="inlineStr">
        <is>
          <t>2026-05-29</t>
        </is>
      </c>
      <c r="C5518" s="6" t="inlineStr">
        <is>
          <t>DIA</t>
        </is>
      </c>
      <c r="D5518" s="6" t="inlineStr">
        <is>
          <t>WMT</t>
        </is>
      </c>
      <c r="E5518" s="6" t="inlineStr">
        <is>
          <t>WMT</t>
        </is>
      </c>
      <c r="F5518" s="6" t="inlineStr">
        <is>
          <t>-</t>
        </is>
      </c>
      <c r="G5518" s="7" t="n">
        <v>115.75</v>
      </c>
      <c r="H5518" s="6">
        <f>P5487</f>
        <v/>
      </c>
      <c r="I5518" s="9">
        <f>Q5487</f>
        <v/>
      </c>
      <c r="J5518" s="7">
        <f>I5518*G5518</f>
        <v/>
      </c>
      <c r="K5518" s="8">
        <f>IF($J$5519=0,0,J5518/$J$5519)</f>
        <v/>
      </c>
      <c r="L5518" s="6" t="inlineStr">
        <is>
          <t>WATCHLIST</t>
        </is>
      </c>
      <c r="M5518" s="8" t="n">
        <v>0</v>
      </c>
      <c r="N5518" s="7">
        <f>M5518*$J$5519-J5518</f>
        <v/>
      </c>
      <c r="O5518" s="9">
        <f>IF(G5518=0,0,N5518/G5518)</f>
        <v/>
      </c>
      <c r="P5518" s="6">
        <f>IF(M5518&gt;0,D5518,"")</f>
        <v/>
      </c>
      <c r="Q5518" s="9">
        <f>I5518+O5518</f>
        <v/>
      </c>
      <c r="R5518" s="7">
        <f>Q5518*G5518</f>
        <v/>
      </c>
      <c r="S5518" s="8">
        <f>IF($R$5519=0,0,R5518/$R$5519)</f>
        <v/>
      </c>
      <c r="T5518" s="8" t="n">
        <v>-0.01051268515304227</v>
      </c>
      <c r="U5518" s="8" t="n">
        <v>0.009207342850481748</v>
      </c>
      <c r="V5518" s="6" t="inlineStr">
        <is>
          <t>not selected</t>
        </is>
      </c>
    </row>
    <row r="5519">
      <c r="A5519" s="10" t="inlineStr">
        <is>
          <t>DJ30</t>
        </is>
      </c>
      <c r="B5519" s="10" t="inlineStr">
        <is>
          <t>2026-05-29</t>
        </is>
      </c>
      <c r="C5519" s="10" t="inlineStr">
        <is>
          <t>DIA</t>
        </is>
      </c>
      <c r="D5519" s="10" t="inlineStr">
        <is>
          <t>Tot Portfolio</t>
        </is>
      </c>
      <c r="E5519" s="10" t="inlineStr"/>
      <c r="F5519" s="10" t="inlineStr"/>
      <c r="G5519" s="11" t="inlineStr"/>
      <c r="H5519" s="10" t="inlineStr"/>
      <c r="I5519" s="12" t="inlineStr"/>
      <c r="J5519" s="11">
        <f>SUM(J5489:J5518)</f>
        <v/>
      </c>
      <c r="K5519" s="13">
        <f>SUM(K5489:K5518)</f>
        <v/>
      </c>
      <c r="L5519" s="10" t="inlineStr">
        <is>
          <t>TOTAL</t>
        </is>
      </c>
      <c r="M5519" s="13">
        <f>SUM(M5489:M5518)</f>
        <v/>
      </c>
      <c r="N5519" s="11">
        <f>SUM(N5489:N5518)</f>
        <v/>
      </c>
      <c r="O5519" s="12">
        <f>SUM(O5489:O5518)</f>
        <v/>
      </c>
      <c r="P5519" s="10" t="inlineStr"/>
      <c r="Q5519" s="12" t="inlineStr"/>
      <c r="R5519" s="11">
        <f>SUM(R5489:R5518)</f>
        <v/>
      </c>
      <c r="S5519" s="13">
        <f>SUM(S5489:S5518)</f>
        <v/>
      </c>
      <c r="T5519" s="13" t="n">
        <v>-0.01051268515304227</v>
      </c>
      <c r="U5519" s="13" t="n">
        <v>0.009207342850481748</v>
      </c>
      <c r="V5519" s="10" t="inlineStr"/>
    </row>
    <row r="5520">
      <c r="A5520" s="6" t="inlineStr">
        <is>
          <t>DJ30</t>
        </is>
      </c>
      <c r="B5520" s="6" t="inlineStr">
        <is>
          <t>2026-06-05</t>
        </is>
      </c>
      <c r="C5520" s="6" t="inlineStr">
        <is>
          <t>DIA</t>
        </is>
      </c>
      <c r="D5520" s="6" t="inlineStr">
        <is>
          <t>AAPL</t>
        </is>
      </c>
      <c r="E5520" s="6" t="inlineStr">
        <is>
          <t>AAPL</t>
        </is>
      </c>
      <c r="F5520" s="6" t="inlineStr">
        <is>
          <t>-</t>
        </is>
      </c>
      <c r="G5520" s="7" t="n">
        <v>307.3399963378906</v>
      </c>
      <c r="H5520" s="6">
        <f>P5489</f>
        <v/>
      </c>
      <c r="I5520" s="9">
        <f>Q5489</f>
        <v/>
      </c>
      <c r="J5520" s="7">
        <f>I5520*G5520</f>
        <v/>
      </c>
      <c r="K5520" s="8">
        <f>IF($J$5550=0,0,J5520/$J$5550)</f>
        <v/>
      </c>
      <c r="L5520" s="6" t="inlineStr">
        <is>
          <t>WATCHLIST</t>
        </is>
      </c>
      <c r="M5520" s="8" t="n">
        <v>0</v>
      </c>
      <c r="N5520" s="7">
        <f>M5520*$J$5550-J5520</f>
        <v/>
      </c>
      <c r="O5520" s="9">
        <f>IF(G5520=0,0,N5520/G5520)</f>
        <v/>
      </c>
      <c r="P5520" s="6">
        <f>IF(M5520&gt;0,D5520,"")</f>
        <v/>
      </c>
      <c r="Q5520" s="9">
        <f>I5520+O5520</f>
        <v/>
      </c>
      <c r="R5520" s="7">
        <f>Q5520*G5520</f>
        <v/>
      </c>
      <c r="S5520" s="8">
        <f>IF($R$5550=0,0,R5520/$R$5550)</f>
        <v/>
      </c>
      <c r="T5520" s="8" t="n">
        <v>0.02076823859003629</v>
      </c>
      <c r="U5520" s="8" t="n">
        <v>-0.002114405178336609</v>
      </c>
      <c r="V5520" s="6" t="inlineStr">
        <is>
          <t>not selected</t>
        </is>
      </c>
    </row>
    <row r="5521">
      <c r="A5521" s="6" t="inlineStr">
        <is>
          <t>DJ30</t>
        </is>
      </c>
      <c r="B5521" s="6" t="inlineStr">
        <is>
          <t>2026-06-05</t>
        </is>
      </c>
      <c r="C5521" s="6" t="inlineStr">
        <is>
          <t>DIA</t>
        </is>
      </c>
      <c r="D5521" s="6" t="inlineStr">
        <is>
          <t>AMGN</t>
        </is>
      </c>
      <c r="E5521" s="6" t="inlineStr">
        <is>
          <t>AMGN</t>
        </is>
      </c>
      <c r="F5521" s="6" t="inlineStr">
        <is>
          <t>-</t>
        </is>
      </c>
      <c r="G5521" s="7" t="n">
        <v>349.5799865722656</v>
      </c>
      <c r="H5521" s="6">
        <f>P5490</f>
        <v/>
      </c>
      <c r="I5521" s="9">
        <f>Q5490</f>
        <v/>
      </c>
      <c r="J5521" s="7">
        <f>I5521*G5521</f>
        <v/>
      </c>
      <c r="K5521" s="8">
        <f>IF($J$5550=0,0,J5521/$J$5550)</f>
        <v/>
      </c>
      <c r="L5521" s="6" t="inlineStr">
        <is>
          <t>WATCHLIST</t>
        </is>
      </c>
      <c r="M5521" s="8" t="n">
        <v>0</v>
      </c>
      <c r="N5521" s="7">
        <f>M5521*$J$5550-J5521</f>
        <v/>
      </c>
      <c r="O5521" s="9">
        <f>IF(G5521=0,0,N5521/G5521)</f>
        <v/>
      </c>
      <c r="P5521" s="6">
        <f>IF(M5521&gt;0,D5521,"")</f>
        <v/>
      </c>
      <c r="Q5521" s="9">
        <f>I5521+O5521</f>
        <v/>
      </c>
      <c r="R5521" s="7">
        <f>Q5521*G5521</f>
        <v/>
      </c>
      <c r="S5521" s="8">
        <f>IF($R$5550=0,0,R5521/$R$5550)</f>
        <v/>
      </c>
      <c r="T5521" s="8" t="n">
        <v>0.02076823859003629</v>
      </c>
      <c r="U5521" s="8" t="n">
        <v>-0.002114405178336609</v>
      </c>
      <c r="V5521" s="6" t="inlineStr">
        <is>
          <t>not selected</t>
        </is>
      </c>
    </row>
    <row r="5522">
      <c r="A5522" s="6" t="inlineStr">
        <is>
          <t>DJ30</t>
        </is>
      </c>
      <c r="B5522" s="6" t="inlineStr">
        <is>
          <t>2026-06-05</t>
        </is>
      </c>
      <c r="C5522" s="6" t="inlineStr">
        <is>
          <t>DIA</t>
        </is>
      </c>
      <c r="D5522" s="6" t="inlineStr">
        <is>
          <t>AMZN</t>
        </is>
      </c>
      <c r="E5522" s="6" t="inlineStr">
        <is>
          <t>AMZN</t>
        </is>
      </c>
      <c r="F5522" s="6" t="inlineStr">
        <is>
          <t>-</t>
        </is>
      </c>
      <c r="G5522" s="7" t="n">
        <v>246.0299987792969</v>
      </c>
      <c r="H5522" s="6">
        <f>P5491</f>
        <v/>
      </c>
      <c r="I5522" s="9">
        <f>Q5491</f>
        <v/>
      </c>
      <c r="J5522" s="7">
        <f>I5522*G5522</f>
        <v/>
      </c>
      <c r="K5522" s="8">
        <f>IF($J$5550=0,0,J5522/$J$5550)</f>
        <v/>
      </c>
      <c r="L5522" s="6" t="inlineStr">
        <is>
          <t>REJECTED</t>
        </is>
      </c>
      <c r="M5522" s="8" t="n">
        <v>0</v>
      </c>
      <c r="N5522" s="7">
        <f>M5522*$J$5550-J5522</f>
        <v/>
      </c>
      <c r="O5522" s="9">
        <f>IF(G5522=0,0,N5522/G5522)</f>
        <v/>
      </c>
      <c r="P5522" s="6">
        <f>IF(M5522&gt;0,D5522,"")</f>
        <v/>
      </c>
      <c r="Q5522" s="9">
        <f>I5522+O5522</f>
        <v/>
      </c>
      <c r="R5522" s="7">
        <f>Q5522*G5522</f>
        <v/>
      </c>
      <c r="S5522" s="8">
        <f>IF($R$5550=0,0,R5522/$R$5550)</f>
        <v/>
      </c>
      <c r="T5522" s="8" t="n">
        <v>0.02076823859003629</v>
      </c>
      <c r="U5522" s="8" t="n">
        <v>-0.002114405178336609</v>
      </c>
      <c r="V5522" s="6" t="inlineStr">
        <is>
          <t>not selected</t>
        </is>
      </c>
    </row>
    <row r="5523">
      <c r="A5523" s="6" t="inlineStr">
        <is>
          <t>DJ30</t>
        </is>
      </c>
      <c r="B5523" s="6" t="inlineStr">
        <is>
          <t>2026-06-05</t>
        </is>
      </c>
      <c r="C5523" s="6" t="inlineStr">
        <is>
          <t>DIA</t>
        </is>
      </c>
      <c r="D5523" s="6" t="inlineStr">
        <is>
          <t>AXP</t>
        </is>
      </c>
      <c r="E5523" s="6" t="inlineStr">
        <is>
          <t>AXP</t>
        </is>
      </c>
      <c r="F5523" s="6" t="inlineStr">
        <is>
          <t>-</t>
        </is>
      </c>
      <c r="G5523" s="7" t="n">
        <v>310.6600036621094</v>
      </c>
      <c r="H5523" s="6">
        <f>P5492</f>
        <v/>
      </c>
      <c r="I5523" s="9">
        <f>Q5492</f>
        <v/>
      </c>
      <c r="J5523" s="7">
        <f>I5523*G5523</f>
        <v/>
      </c>
      <c r="K5523" s="8">
        <f>IF($J$5550=0,0,J5523/$J$5550)</f>
        <v/>
      </c>
      <c r="L5523" s="6" t="inlineStr">
        <is>
          <t>REJECTED</t>
        </is>
      </c>
      <c r="M5523" s="8" t="n">
        <v>0</v>
      </c>
      <c r="N5523" s="7">
        <f>M5523*$J$5550-J5523</f>
        <v/>
      </c>
      <c r="O5523" s="9">
        <f>IF(G5523=0,0,N5523/G5523)</f>
        <v/>
      </c>
      <c r="P5523" s="6">
        <f>IF(M5523&gt;0,D5523,"")</f>
        <v/>
      </c>
      <c r="Q5523" s="9">
        <f>I5523+O5523</f>
        <v/>
      </c>
      <c r="R5523" s="7">
        <f>Q5523*G5523</f>
        <v/>
      </c>
      <c r="S5523" s="8">
        <f>IF($R$5550=0,0,R5523/$R$5550)</f>
        <v/>
      </c>
      <c r="T5523" s="8" t="n">
        <v>0.02076823859003629</v>
      </c>
      <c r="U5523" s="8" t="n">
        <v>-0.002114405178336609</v>
      </c>
      <c r="V5523" s="6" t="inlineStr">
        <is>
          <t>not selected</t>
        </is>
      </c>
    </row>
    <row r="5524">
      <c r="A5524" s="6" t="inlineStr">
        <is>
          <t>DJ30</t>
        </is>
      </c>
      <c r="B5524" s="6" t="inlineStr">
        <is>
          <t>2026-06-05</t>
        </is>
      </c>
      <c r="C5524" s="6" t="inlineStr">
        <is>
          <t>DIA</t>
        </is>
      </c>
      <c r="D5524" s="6" t="inlineStr">
        <is>
          <t>BA</t>
        </is>
      </c>
      <c r="E5524" s="6" t="inlineStr">
        <is>
          <t>BA</t>
        </is>
      </c>
      <c r="F5524" s="6" t="inlineStr">
        <is>
          <t>-</t>
        </is>
      </c>
      <c r="G5524" s="7" t="n">
        <v>215.4499969482422</v>
      </c>
      <c r="H5524" s="6">
        <f>P5493</f>
        <v/>
      </c>
      <c r="I5524" s="9">
        <f>Q5493</f>
        <v/>
      </c>
      <c r="J5524" s="7">
        <f>I5524*G5524</f>
        <v/>
      </c>
      <c r="K5524" s="8">
        <f>IF($J$5550=0,0,J5524/$J$5550)</f>
        <v/>
      </c>
      <c r="L5524" s="6" t="inlineStr">
        <is>
          <t>REJECTED</t>
        </is>
      </c>
      <c r="M5524" s="8" t="n">
        <v>0</v>
      </c>
      <c r="N5524" s="7">
        <f>M5524*$J$5550-J5524</f>
        <v/>
      </c>
      <c r="O5524" s="9">
        <f>IF(G5524=0,0,N5524/G5524)</f>
        <v/>
      </c>
      <c r="P5524" s="6">
        <f>IF(M5524&gt;0,D5524,"")</f>
        <v/>
      </c>
      <c r="Q5524" s="9">
        <f>I5524+O5524</f>
        <v/>
      </c>
      <c r="R5524" s="7">
        <f>Q5524*G5524</f>
        <v/>
      </c>
      <c r="S5524" s="8">
        <f>IF($R$5550=0,0,R5524/$R$5550)</f>
        <v/>
      </c>
      <c r="T5524" s="8" t="n">
        <v>0.02076823859003629</v>
      </c>
      <c r="U5524" s="8" t="n">
        <v>-0.002114405178336609</v>
      </c>
      <c r="V5524" s="6" t="inlineStr">
        <is>
          <t>not selected</t>
        </is>
      </c>
    </row>
    <row r="5525">
      <c r="A5525" s="6" t="inlineStr">
        <is>
          <t>DJ30</t>
        </is>
      </c>
      <c r="B5525" s="6" t="inlineStr">
        <is>
          <t>2026-06-05</t>
        </is>
      </c>
      <c r="C5525" s="6" t="inlineStr">
        <is>
          <t>DIA</t>
        </is>
      </c>
      <c r="D5525" s="6" t="inlineStr">
        <is>
          <t>CAT</t>
        </is>
      </c>
      <c r="E5525" s="6" t="inlineStr">
        <is>
          <t>CAT</t>
        </is>
      </c>
      <c r="F5525" s="6" t="inlineStr">
        <is>
          <t>-</t>
        </is>
      </c>
      <c r="G5525" s="7" t="n">
        <v>904.280029296875</v>
      </c>
      <c r="H5525" s="6">
        <f>P5494</f>
        <v/>
      </c>
      <c r="I5525" s="9">
        <f>Q5494</f>
        <v/>
      </c>
      <c r="J5525" s="7">
        <f>I5525*G5525</f>
        <v/>
      </c>
      <c r="K5525" s="8">
        <f>IF($J$5550=0,0,J5525/$J$5550)</f>
        <v/>
      </c>
      <c r="L5525" s="6" t="inlineStr">
        <is>
          <t>SELECTED</t>
        </is>
      </c>
      <c r="M5525" s="8" t="n">
        <v>0.2</v>
      </c>
      <c r="N5525" s="7">
        <f>M5525*$J$5550-J5525</f>
        <v/>
      </c>
      <c r="O5525" s="9">
        <f>IF(G5525=0,0,N5525/G5525)</f>
        <v/>
      </c>
      <c r="P5525" s="6">
        <f>IF(M5525&gt;0,D5525,"")</f>
        <v/>
      </c>
      <c r="Q5525" s="9">
        <f>I5525+O5525</f>
        <v/>
      </c>
      <c r="R5525" s="7">
        <f>Q5525*G5525</f>
        <v/>
      </c>
      <c r="S5525" s="8">
        <f>IF($R$5550=0,0,R5525/$R$5550)</f>
        <v/>
      </c>
      <c r="T5525" s="8" t="n">
        <v>0.02076823859003629</v>
      </c>
      <c r="U5525" s="8" t="n">
        <v>-0.002114405178336609</v>
      </c>
      <c r="V5525" s="6" t="inlineStr">
        <is>
          <t>remained in weekly selection</t>
        </is>
      </c>
    </row>
    <row r="5526">
      <c r="A5526" s="6" t="inlineStr">
        <is>
          <t>DJ30</t>
        </is>
      </c>
      <c r="B5526" s="6" t="inlineStr">
        <is>
          <t>2026-06-05</t>
        </is>
      </c>
      <c r="C5526" s="6" t="inlineStr">
        <is>
          <t>DIA</t>
        </is>
      </c>
      <c r="D5526" s="6" t="inlineStr">
        <is>
          <t>CRM</t>
        </is>
      </c>
      <c r="E5526" s="6" t="inlineStr">
        <is>
          <t>CRM</t>
        </is>
      </c>
      <c r="F5526" s="6" t="inlineStr">
        <is>
          <t>-</t>
        </is>
      </c>
      <c r="G5526" s="7" t="n">
        <v>185.1820526123047</v>
      </c>
      <c r="H5526" s="6">
        <f>P5495</f>
        <v/>
      </c>
      <c r="I5526" s="9">
        <f>Q5495</f>
        <v/>
      </c>
      <c r="J5526" s="7">
        <f>I5526*G5526</f>
        <v/>
      </c>
      <c r="K5526" s="8">
        <f>IF($J$5550=0,0,J5526/$J$5550)</f>
        <v/>
      </c>
      <c r="L5526" s="6" t="inlineStr">
        <is>
          <t>REJECTED</t>
        </is>
      </c>
      <c r="M5526" s="8" t="n">
        <v>0</v>
      </c>
      <c r="N5526" s="7">
        <f>M5526*$J$5550-J5526</f>
        <v/>
      </c>
      <c r="O5526" s="9">
        <f>IF(G5526=0,0,N5526/G5526)</f>
        <v/>
      </c>
      <c r="P5526" s="6">
        <f>IF(M5526&gt;0,D5526,"")</f>
        <v/>
      </c>
      <c r="Q5526" s="9">
        <f>I5526+O5526</f>
        <v/>
      </c>
      <c r="R5526" s="7">
        <f>Q5526*G5526</f>
        <v/>
      </c>
      <c r="S5526" s="8">
        <f>IF($R$5550=0,0,R5526/$R$5550)</f>
        <v/>
      </c>
      <c r="T5526" s="8" t="n">
        <v>0.02076823859003629</v>
      </c>
      <c r="U5526" s="8" t="n">
        <v>-0.002114405178336609</v>
      </c>
      <c r="V5526" s="6" t="inlineStr">
        <is>
          <t>not selected</t>
        </is>
      </c>
    </row>
    <row r="5527">
      <c r="A5527" s="6" t="inlineStr">
        <is>
          <t>DJ30</t>
        </is>
      </c>
      <c r="B5527" s="6" t="inlineStr">
        <is>
          <t>2026-06-05</t>
        </is>
      </c>
      <c r="C5527" s="6" t="inlineStr">
        <is>
          <t>DIA</t>
        </is>
      </c>
      <c r="D5527" s="6" t="inlineStr">
        <is>
          <t>CSCO</t>
        </is>
      </c>
      <c r="E5527" s="6" t="inlineStr">
        <is>
          <t>CSCO</t>
        </is>
      </c>
      <c r="F5527" s="6" t="inlineStr">
        <is>
          <t>-</t>
        </is>
      </c>
      <c r="G5527" s="7" t="n">
        <v>121.6399993896484</v>
      </c>
      <c r="H5527" s="6">
        <f>P5496</f>
        <v/>
      </c>
      <c r="I5527" s="9">
        <f>Q5496</f>
        <v/>
      </c>
      <c r="J5527" s="7">
        <f>I5527*G5527</f>
        <v/>
      </c>
      <c r="K5527" s="8">
        <f>IF($J$5550=0,0,J5527/$J$5550)</f>
        <v/>
      </c>
      <c r="L5527" s="6" t="inlineStr">
        <is>
          <t>SELECTED</t>
        </is>
      </c>
      <c r="M5527" s="8" t="n">
        <v>0.2</v>
      </c>
      <c r="N5527" s="7">
        <f>M5527*$J$5550-J5527</f>
        <v/>
      </c>
      <c r="O5527" s="9">
        <f>IF(G5527=0,0,N5527/G5527)</f>
        <v/>
      </c>
      <c r="P5527" s="6">
        <f>IF(M5527&gt;0,D5527,"")</f>
        <v/>
      </c>
      <c r="Q5527" s="9">
        <f>I5527+O5527</f>
        <v/>
      </c>
      <c r="R5527" s="7">
        <f>Q5527*G5527</f>
        <v/>
      </c>
      <c r="S5527" s="8">
        <f>IF($R$5550=0,0,R5527/$R$5550)</f>
        <v/>
      </c>
      <c r="T5527" s="8" t="n">
        <v>0.02076823859003629</v>
      </c>
      <c r="U5527" s="8" t="n">
        <v>-0.002114405178336609</v>
      </c>
      <c r="V5527" s="6" t="inlineStr">
        <is>
          <t>remained in weekly selection</t>
        </is>
      </c>
    </row>
    <row r="5528">
      <c r="A5528" s="6" t="inlineStr">
        <is>
          <t>DJ30</t>
        </is>
      </c>
      <c r="B5528" s="6" t="inlineStr">
        <is>
          <t>2026-06-05</t>
        </is>
      </c>
      <c r="C5528" s="6" t="inlineStr">
        <is>
          <t>DIA</t>
        </is>
      </c>
      <c r="D5528" s="6" t="inlineStr">
        <is>
          <t>CVX</t>
        </is>
      </c>
      <c r="E5528" s="6" t="inlineStr">
        <is>
          <t>CVX</t>
        </is>
      </c>
      <c r="F5528" s="6" t="inlineStr">
        <is>
          <t>-</t>
        </is>
      </c>
      <c r="G5528" s="7" t="n">
        <v>187.3099975585937</v>
      </c>
      <c r="H5528" s="6">
        <f>P5497</f>
        <v/>
      </c>
      <c r="I5528" s="9">
        <f>Q5497</f>
        <v/>
      </c>
      <c r="J5528" s="7">
        <f>I5528*G5528</f>
        <v/>
      </c>
      <c r="K5528" s="8">
        <f>IF($J$5550=0,0,J5528/$J$5550)</f>
        <v/>
      </c>
      <c r="L5528" s="6" t="inlineStr">
        <is>
          <t>SELECTED</t>
        </is>
      </c>
      <c r="M5528" s="8" t="n">
        <v>0.2</v>
      </c>
      <c r="N5528" s="7">
        <f>M5528*$J$5550-J5528</f>
        <v/>
      </c>
      <c r="O5528" s="9">
        <f>IF(G5528=0,0,N5528/G5528)</f>
        <v/>
      </c>
      <c r="P5528" s="6">
        <f>IF(M5528&gt;0,D5528,"")</f>
        <v/>
      </c>
      <c r="Q5528" s="9">
        <f>I5528+O5528</f>
        <v/>
      </c>
      <c r="R5528" s="7">
        <f>Q5528*G5528</f>
        <v/>
      </c>
      <c r="S5528" s="8">
        <f>IF($R$5550=0,0,R5528/$R$5550)</f>
        <v/>
      </c>
      <c r="T5528" s="8" t="n">
        <v>0.02076823859003629</v>
      </c>
      <c r="U5528" s="8" t="n">
        <v>-0.002114405178336609</v>
      </c>
      <c r="V5528" s="6" t="inlineStr">
        <is>
          <t>remained in weekly selection</t>
        </is>
      </c>
    </row>
    <row r="5529">
      <c r="A5529" s="6" t="inlineStr">
        <is>
          <t>DJ30</t>
        </is>
      </c>
      <c r="B5529" s="6" t="inlineStr">
        <is>
          <t>2026-06-05</t>
        </is>
      </c>
      <c r="C5529" s="6" t="inlineStr">
        <is>
          <t>DIA</t>
        </is>
      </c>
      <c r="D5529" s="6" t="inlineStr">
        <is>
          <t>DIS</t>
        </is>
      </c>
      <c r="E5529" s="6" t="inlineStr">
        <is>
          <t>DIS</t>
        </is>
      </c>
      <c r="F5529" s="6" t="inlineStr">
        <is>
          <t>-</t>
        </is>
      </c>
      <c r="G5529" s="7" t="n">
        <v>99.70999908447266</v>
      </c>
      <c r="H5529" s="6">
        <f>P5498</f>
        <v/>
      </c>
      <c r="I5529" s="9">
        <f>Q5498</f>
        <v/>
      </c>
      <c r="J5529" s="7">
        <f>I5529*G5529</f>
        <v/>
      </c>
      <c r="K5529" s="8">
        <f>IF($J$5550=0,0,J5529/$J$5550)</f>
        <v/>
      </c>
      <c r="L5529" s="6" t="inlineStr">
        <is>
          <t>REJECTED</t>
        </is>
      </c>
      <c r="M5529" s="8" t="n">
        <v>0</v>
      </c>
      <c r="N5529" s="7">
        <f>M5529*$J$5550-J5529</f>
        <v/>
      </c>
      <c r="O5529" s="9">
        <f>IF(G5529=0,0,N5529/G5529)</f>
        <v/>
      </c>
      <c r="P5529" s="6">
        <f>IF(M5529&gt;0,D5529,"")</f>
        <v/>
      </c>
      <c r="Q5529" s="9">
        <f>I5529+O5529</f>
        <v/>
      </c>
      <c r="R5529" s="7">
        <f>Q5529*G5529</f>
        <v/>
      </c>
      <c r="S5529" s="8">
        <f>IF($R$5550=0,0,R5529/$R$5550)</f>
        <v/>
      </c>
      <c r="T5529" s="8" t="n">
        <v>0.02076823859003629</v>
      </c>
      <c r="U5529" s="8" t="n">
        <v>-0.002114405178336609</v>
      </c>
      <c r="V5529" s="6" t="inlineStr">
        <is>
          <t>not selected</t>
        </is>
      </c>
    </row>
    <row r="5530">
      <c r="A5530" s="6" t="inlineStr">
        <is>
          <t>DJ30</t>
        </is>
      </c>
      <c r="B5530" s="6" t="inlineStr">
        <is>
          <t>2026-06-05</t>
        </is>
      </c>
      <c r="C5530" s="6" t="inlineStr">
        <is>
          <t>DIA</t>
        </is>
      </c>
      <c r="D5530" s="6" t="inlineStr">
        <is>
          <t>GS</t>
        </is>
      </c>
      <c r="E5530" s="6" t="inlineStr">
        <is>
          <t>GS</t>
        </is>
      </c>
      <c r="F5530" s="6" t="inlineStr">
        <is>
          <t>-</t>
        </is>
      </c>
      <c r="G5530" s="7" t="n">
        <v>1038.680053710938</v>
      </c>
      <c r="H5530" s="6">
        <f>P5499</f>
        <v/>
      </c>
      <c r="I5530" s="9">
        <f>Q5499</f>
        <v/>
      </c>
      <c r="J5530" s="7">
        <f>I5530*G5530</f>
        <v/>
      </c>
      <c r="K5530" s="8">
        <f>IF($J$5550=0,0,J5530/$J$5550)</f>
        <v/>
      </c>
      <c r="L5530" s="6" t="inlineStr">
        <is>
          <t>SELECTED</t>
        </is>
      </c>
      <c r="M5530" s="8" t="n">
        <v>0.2</v>
      </c>
      <c r="N5530" s="7">
        <f>M5530*$J$5550-J5530</f>
        <v/>
      </c>
      <c r="O5530" s="9">
        <f>IF(G5530=0,0,N5530/G5530)</f>
        <v/>
      </c>
      <c r="P5530" s="6">
        <f>IF(M5530&gt;0,D5530,"")</f>
        <v/>
      </c>
      <c r="Q5530" s="9">
        <f>I5530+O5530</f>
        <v/>
      </c>
      <c r="R5530" s="7">
        <f>Q5530*G5530</f>
        <v/>
      </c>
      <c r="S5530" s="8">
        <f>IF($R$5550=0,0,R5530/$R$5550)</f>
        <v/>
      </c>
      <c r="T5530" s="8" t="n">
        <v>0.02076823859003629</v>
      </c>
      <c r="U5530" s="8" t="n">
        <v>-0.002114405178336609</v>
      </c>
      <c r="V5530" s="6" t="inlineStr">
        <is>
          <t>remained in weekly selection</t>
        </is>
      </c>
    </row>
    <row r="5531">
      <c r="A5531" s="6" t="inlineStr">
        <is>
          <t>DJ30</t>
        </is>
      </c>
      <c r="B5531" s="6" t="inlineStr">
        <is>
          <t>2026-06-05</t>
        </is>
      </c>
      <c r="C5531" s="6" t="inlineStr">
        <is>
          <t>DIA</t>
        </is>
      </c>
      <c r="D5531" s="6" t="inlineStr">
        <is>
          <t>HD</t>
        </is>
      </c>
      <c r="E5531" s="6" t="inlineStr">
        <is>
          <t>HD</t>
        </is>
      </c>
      <c r="F5531" s="6" t="inlineStr">
        <is>
          <t>-</t>
        </is>
      </c>
      <c r="G5531" s="7" t="n">
        <v>310.7799987792969</v>
      </c>
      <c r="H5531" s="6">
        <f>P5500</f>
        <v/>
      </c>
      <c r="I5531" s="9">
        <f>Q5500</f>
        <v/>
      </c>
      <c r="J5531" s="7">
        <f>I5531*G5531</f>
        <v/>
      </c>
      <c r="K5531" s="8">
        <f>IF($J$5550=0,0,J5531/$J$5550)</f>
        <v/>
      </c>
      <c r="L5531" s="6" t="inlineStr">
        <is>
          <t>REJECTED</t>
        </is>
      </c>
      <c r="M5531" s="8" t="n">
        <v>0</v>
      </c>
      <c r="N5531" s="7">
        <f>M5531*$J$5550-J5531</f>
        <v/>
      </c>
      <c r="O5531" s="9">
        <f>IF(G5531=0,0,N5531/G5531)</f>
        <v/>
      </c>
      <c r="P5531" s="6">
        <f>IF(M5531&gt;0,D5531,"")</f>
        <v/>
      </c>
      <c r="Q5531" s="9">
        <f>I5531+O5531</f>
        <v/>
      </c>
      <c r="R5531" s="7">
        <f>Q5531*G5531</f>
        <v/>
      </c>
      <c r="S5531" s="8">
        <f>IF($R$5550=0,0,R5531/$R$5550)</f>
        <v/>
      </c>
      <c r="T5531" s="8" t="n">
        <v>0.02076823859003629</v>
      </c>
      <c r="U5531" s="8" t="n">
        <v>-0.002114405178336609</v>
      </c>
      <c r="V5531" s="6" t="inlineStr">
        <is>
          <t>not selected</t>
        </is>
      </c>
    </row>
    <row r="5532">
      <c r="A5532" s="6" t="inlineStr">
        <is>
          <t>DJ30</t>
        </is>
      </c>
      <c r="B5532" s="6" t="inlineStr">
        <is>
          <t>2026-06-05</t>
        </is>
      </c>
      <c r="C5532" s="6" t="inlineStr">
        <is>
          <t>DIA</t>
        </is>
      </c>
      <c r="D5532" s="6" t="inlineStr">
        <is>
          <t>HON</t>
        </is>
      </c>
      <c r="E5532" s="6" t="inlineStr">
        <is>
          <t>HON</t>
        </is>
      </c>
      <c r="F5532" s="6" t="inlineStr">
        <is>
          <t>-</t>
        </is>
      </c>
      <c r="G5532" s="7" t="n">
        <v>213.9700012207031</v>
      </c>
      <c r="H5532" s="6">
        <f>P5501</f>
        <v/>
      </c>
      <c r="I5532" s="9">
        <f>Q5501</f>
        <v/>
      </c>
      <c r="J5532" s="7">
        <f>I5532*G5532</f>
        <v/>
      </c>
      <c r="K5532" s="8">
        <f>IF($J$5550=0,0,J5532/$J$5550)</f>
        <v/>
      </c>
      <c r="L5532" s="6" t="inlineStr">
        <is>
          <t>REJECTED</t>
        </is>
      </c>
      <c r="M5532" s="8" t="n">
        <v>0</v>
      </c>
      <c r="N5532" s="7">
        <f>M5532*$J$5550-J5532</f>
        <v/>
      </c>
      <c r="O5532" s="9">
        <f>IF(G5532=0,0,N5532/G5532)</f>
        <v/>
      </c>
      <c r="P5532" s="6">
        <f>IF(M5532&gt;0,D5532,"")</f>
        <v/>
      </c>
      <c r="Q5532" s="9">
        <f>I5532+O5532</f>
        <v/>
      </c>
      <c r="R5532" s="7">
        <f>Q5532*G5532</f>
        <v/>
      </c>
      <c r="S5532" s="8">
        <f>IF($R$5550=0,0,R5532/$R$5550)</f>
        <v/>
      </c>
      <c r="T5532" s="8" t="n">
        <v>0.02076823859003629</v>
      </c>
      <c r="U5532" s="8" t="n">
        <v>-0.002114405178336609</v>
      </c>
      <c r="V5532" s="6" t="inlineStr">
        <is>
          <t>not selected</t>
        </is>
      </c>
    </row>
    <row r="5533">
      <c r="A5533" s="6" t="inlineStr">
        <is>
          <t>DJ30</t>
        </is>
      </c>
      <c r="B5533" s="6" t="inlineStr">
        <is>
          <t>2026-06-05</t>
        </is>
      </c>
      <c r="C5533" s="6" t="inlineStr">
        <is>
          <t>DIA</t>
        </is>
      </c>
      <c r="D5533" s="6" t="inlineStr">
        <is>
          <t>IBM</t>
        </is>
      </c>
      <c r="E5533" s="6" t="inlineStr">
        <is>
          <t>IBM</t>
        </is>
      </c>
      <c r="F5533" s="6" t="inlineStr">
        <is>
          <t>-</t>
        </is>
      </c>
      <c r="G5533" s="7" t="n">
        <v>284.8399963378906</v>
      </c>
      <c r="H5533" s="6">
        <f>P5502</f>
        <v/>
      </c>
      <c r="I5533" s="9">
        <f>Q5502</f>
        <v/>
      </c>
      <c r="J5533" s="7">
        <f>I5533*G5533</f>
        <v/>
      </c>
      <c r="K5533" s="8">
        <f>IF($J$5550=0,0,J5533/$J$5550)</f>
        <v/>
      </c>
      <c r="L5533" s="6" t="inlineStr">
        <is>
          <t>REJECTED</t>
        </is>
      </c>
      <c r="M5533" s="8" t="n">
        <v>0</v>
      </c>
      <c r="N5533" s="7">
        <f>M5533*$J$5550-J5533</f>
        <v/>
      </c>
      <c r="O5533" s="9">
        <f>IF(G5533=0,0,N5533/G5533)</f>
        <v/>
      </c>
      <c r="P5533" s="6">
        <f>IF(M5533&gt;0,D5533,"")</f>
        <v/>
      </c>
      <c r="Q5533" s="9">
        <f>I5533+O5533</f>
        <v/>
      </c>
      <c r="R5533" s="7">
        <f>Q5533*G5533</f>
        <v/>
      </c>
      <c r="S5533" s="8">
        <f>IF($R$5550=0,0,R5533/$R$5550)</f>
        <v/>
      </c>
      <c r="T5533" s="8" t="n">
        <v>0.02076823859003629</v>
      </c>
      <c r="U5533" s="8" t="n">
        <v>-0.002114405178336609</v>
      </c>
      <c r="V5533" s="6" t="inlineStr">
        <is>
          <t>not selected</t>
        </is>
      </c>
    </row>
    <row r="5534">
      <c r="A5534" s="6" t="inlineStr">
        <is>
          <t>DJ30</t>
        </is>
      </c>
      <c r="B5534" s="6" t="inlineStr">
        <is>
          <t>2026-06-05</t>
        </is>
      </c>
      <c r="C5534" s="6" t="inlineStr">
        <is>
          <t>DIA</t>
        </is>
      </c>
      <c r="D5534" s="6" t="inlineStr">
        <is>
          <t>JNJ</t>
        </is>
      </c>
      <c r="E5534" s="6" t="inlineStr">
        <is>
          <t>JNJ</t>
        </is>
      </c>
      <c r="F5534" s="6" t="inlineStr">
        <is>
          <t>-</t>
        </is>
      </c>
      <c r="G5534" s="7" t="n">
        <v>232.7700042724609</v>
      </c>
      <c r="H5534" s="6">
        <f>P5503</f>
        <v/>
      </c>
      <c r="I5534" s="9">
        <f>Q5503</f>
        <v/>
      </c>
      <c r="J5534" s="7">
        <f>I5534*G5534</f>
        <v/>
      </c>
      <c r="K5534" s="8">
        <f>IF($J$5550=0,0,J5534/$J$5550)</f>
        <v/>
      </c>
      <c r="L5534" s="6" t="inlineStr">
        <is>
          <t>WATCHLIST</t>
        </is>
      </c>
      <c r="M5534" s="8" t="n">
        <v>0</v>
      </c>
      <c r="N5534" s="7">
        <f>M5534*$J$5550-J5534</f>
        <v/>
      </c>
      <c r="O5534" s="9">
        <f>IF(G5534=0,0,N5534/G5534)</f>
        <v/>
      </c>
      <c r="P5534" s="6">
        <f>IF(M5534&gt;0,D5534,"")</f>
        <v/>
      </c>
      <c r="Q5534" s="9">
        <f>I5534+O5534</f>
        <v/>
      </c>
      <c r="R5534" s="7">
        <f>Q5534*G5534</f>
        <v/>
      </c>
      <c r="S5534" s="8">
        <f>IF($R$5550=0,0,R5534/$R$5550)</f>
        <v/>
      </c>
      <c r="T5534" s="8" t="n">
        <v>0.02076823859003629</v>
      </c>
      <c r="U5534" s="8" t="n">
        <v>-0.002114405178336609</v>
      </c>
      <c r="V5534" s="6" t="inlineStr">
        <is>
          <t>not selected</t>
        </is>
      </c>
    </row>
    <row r="5535">
      <c r="A5535" s="6" t="inlineStr">
        <is>
          <t>DJ30</t>
        </is>
      </c>
      <c r="B5535" s="6" t="inlineStr">
        <is>
          <t>2026-06-05</t>
        </is>
      </c>
      <c r="C5535" s="6" t="inlineStr">
        <is>
          <t>DIA</t>
        </is>
      </c>
      <c r="D5535" s="6" t="inlineStr">
        <is>
          <t>JPM</t>
        </is>
      </c>
      <c r="E5535" s="6" t="inlineStr">
        <is>
          <t>JPM</t>
        </is>
      </c>
      <c r="F5535" s="6" t="inlineStr">
        <is>
          <t>-</t>
        </is>
      </c>
      <c r="G5535" s="7" t="n">
        <v>312.3699951171875</v>
      </c>
      <c r="H5535" s="6">
        <f>P5504</f>
        <v/>
      </c>
      <c r="I5535" s="9">
        <f>Q5504</f>
        <v/>
      </c>
      <c r="J5535" s="7">
        <f>I5535*G5535</f>
        <v/>
      </c>
      <c r="K5535" s="8">
        <f>IF($J$5550=0,0,J5535/$J$5550)</f>
        <v/>
      </c>
      <c r="L5535" s="6" t="inlineStr">
        <is>
          <t>REJECTED</t>
        </is>
      </c>
      <c r="M5535" s="8" t="n">
        <v>0</v>
      </c>
      <c r="N5535" s="7">
        <f>M5535*$J$5550-J5535</f>
        <v/>
      </c>
      <c r="O5535" s="9">
        <f>IF(G5535=0,0,N5535/G5535)</f>
        <v/>
      </c>
      <c r="P5535" s="6">
        <f>IF(M5535&gt;0,D5535,"")</f>
        <v/>
      </c>
      <c r="Q5535" s="9">
        <f>I5535+O5535</f>
        <v/>
      </c>
      <c r="R5535" s="7">
        <f>Q5535*G5535</f>
        <v/>
      </c>
      <c r="S5535" s="8">
        <f>IF($R$5550=0,0,R5535/$R$5550)</f>
        <v/>
      </c>
      <c r="T5535" s="8" t="n">
        <v>0.02076823859003629</v>
      </c>
      <c r="U5535" s="8" t="n">
        <v>-0.002114405178336609</v>
      </c>
      <c r="V5535" s="6" t="inlineStr">
        <is>
          <t>not selected</t>
        </is>
      </c>
    </row>
    <row r="5536">
      <c r="A5536" s="6" t="inlineStr">
        <is>
          <t>DJ30</t>
        </is>
      </c>
      <c r="B5536" s="6" t="inlineStr">
        <is>
          <t>2026-06-05</t>
        </is>
      </c>
      <c r="C5536" s="6" t="inlineStr">
        <is>
          <t>DIA</t>
        </is>
      </c>
      <c r="D5536" s="6" t="inlineStr">
        <is>
          <t>KO</t>
        </is>
      </c>
      <c r="E5536" s="6" t="inlineStr">
        <is>
          <t>KO</t>
        </is>
      </c>
      <c r="F5536" s="6" t="inlineStr">
        <is>
          <t>-</t>
        </is>
      </c>
      <c r="G5536" s="7" t="n">
        <v>78.97014617919922</v>
      </c>
      <c r="H5536" s="6">
        <f>P5505</f>
        <v/>
      </c>
      <c r="I5536" s="9">
        <f>Q5505</f>
        <v/>
      </c>
      <c r="J5536" s="7">
        <f>I5536*G5536</f>
        <v/>
      </c>
      <c r="K5536" s="8">
        <f>IF($J$5550=0,0,J5536/$J$5550)</f>
        <v/>
      </c>
      <c r="L5536" s="6" t="inlineStr">
        <is>
          <t>WATCHLIST</t>
        </is>
      </c>
      <c r="M5536" s="8" t="n">
        <v>0</v>
      </c>
      <c r="N5536" s="7">
        <f>M5536*$J$5550-J5536</f>
        <v/>
      </c>
      <c r="O5536" s="9">
        <f>IF(G5536=0,0,N5536/G5536)</f>
        <v/>
      </c>
      <c r="P5536" s="6">
        <f>IF(M5536&gt;0,D5536,"")</f>
        <v/>
      </c>
      <c r="Q5536" s="9">
        <f>I5536+O5536</f>
        <v/>
      </c>
      <c r="R5536" s="7">
        <f>Q5536*G5536</f>
        <v/>
      </c>
      <c r="S5536" s="8">
        <f>IF($R$5550=0,0,R5536/$R$5550)</f>
        <v/>
      </c>
      <c r="T5536" s="8" t="n">
        <v>0.02076823859003629</v>
      </c>
      <c r="U5536" s="8" t="n">
        <v>-0.002114405178336609</v>
      </c>
      <c r="V5536" s="6" t="inlineStr">
        <is>
          <t>not selected</t>
        </is>
      </c>
    </row>
    <row r="5537">
      <c r="A5537" s="6" t="inlineStr">
        <is>
          <t>DJ30</t>
        </is>
      </c>
      <c r="B5537" s="6" t="inlineStr">
        <is>
          <t>2026-06-05</t>
        </is>
      </c>
      <c r="C5537" s="6" t="inlineStr">
        <is>
          <t>DIA</t>
        </is>
      </c>
      <c r="D5537" s="6" t="inlineStr">
        <is>
          <t>MCD</t>
        </is>
      </c>
      <c r="E5537" s="6" t="inlineStr">
        <is>
          <t>MCD</t>
        </is>
      </c>
      <c r="F5537" s="6" t="inlineStr">
        <is>
          <t>-</t>
        </is>
      </c>
      <c r="G5537" s="7" t="n">
        <v>279.8399963378906</v>
      </c>
      <c r="H5537" s="6">
        <f>P5506</f>
        <v/>
      </c>
      <c r="I5537" s="9">
        <f>Q5506</f>
        <v/>
      </c>
      <c r="J5537" s="7">
        <f>I5537*G5537</f>
        <v/>
      </c>
      <c r="K5537" s="8">
        <f>IF($J$5550=0,0,J5537/$J$5550)</f>
        <v/>
      </c>
      <c r="L5537" s="6" t="inlineStr">
        <is>
          <t>REJECTED</t>
        </is>
      </c>
      <c r="M5537" s="8" t="n">
        <v>0</v>
      </c>
      <c r="N5537" s="7">
        <f>M5537*$J$5550-J5537</f>
        <v/>
      </c>
      <c r="O5537" s="9">
        <f>IF(G5537=0,0,N5537/G5537)</f>
        <v/>
      </c>
      <c r="P5537" s="6">
        <f>IF(M5537&gt;0,D5537,"")</f>
        <v/>
      </c>
      <c r="Q5537" s="9">
        <f>I5537+O5537</f>
        <v/>
      </c>
      <c r="R5537" s="7">
        <f>Q5537*G5537</f>
        <v/>
      </c>
      <c r="S5537" s="8">
        <f>IF($R$5550=0,0,R5537/$R$5550)</f>
        <v/>
      </c>
      <c r="T5537" s="8" t="n">
        <v>0.02076823859003629</v>
      </c>
      <c r="U5537" s="8" t="n">
        <v>-0.002114405178336609</v>
      </c>
      <c r="V5537" s="6" t="inlineStr">
        <is>
          <t>not selected</t>
        </is>
      </c>
    </row>
    <row r="5538">
      <c r="A5538" s="6" t="inlineStr">
        <is>
          <t>DJ30</t>
        </is>
      </c>
      <c r="B5538" s="6" t="inlineStr">
        <is>
          <t>2026-06-05</t>
        </is>
      </c>
      <c r="C5538" s="6" t="inlineStr">
        <is>
          <t>DIA</t>
        </is>
      </c>
      <c r="D5538" s="6" t="inlineStr">
        <is>
          <t>MMM</t>
        </is>
      </c>
      <c r="E5538" s="6" t="inlineStr">
        <is>
          <t>MMM</t>
        </is>
      </c>
      <c r="F5538" s="6" t="inlineStr">
        <is>
          <t>-</t>
        </is>
      </c>
      <c r="G5538" s="7" t="n">
        <v>153.7599945068359</v>
      </c>
      <c r="H5538" s="6">
        <f>P5507</f>
        <v/>
      </c>
      <c r="I5538" s="9">
        <f>Q5507</f>
        <v/>
      </c>
      <c r="J5538" s="7">
        <f>I5538*G5538</f>
        <v/>
      </c>
      <c r="K5538" s="8">
        <f>IF($J$5550=0,0,J5538/$J$5550)</f>
        <v/>
      </c>
      <c r="L5538" s="6" t="inlineStr">
        <is>
          <t>REJECTED</t>
        </is>
      </c>
      <c r="M5538" s="8" t="n">
        <v>0</v>
      </c>
      <c r="N5538" s="7">
        <f>M5538*$J$5550-J5538</f>
        <v/>
      </c>
      <c r="O5538" s="9">
        <f>IF(G5538=0,0,N5538/G5538)</f>
        <v/>
      </c>
      <c r="P5538" s="6">
        <f>IF(M5538&gt;0,D5538,"")</f>
        <v/>
      </c>
      <c r="Q5538" s="9">
        <f>I5538+O5538</f>
        <v/>
      </c>
      <c r="R5538" s="7">
        <f>Q5538*G5538</f>
        <v/>
      </c>
      <c r="S5538" s="8">
        <f>IF($R$5550=0,0,R5538/$R$5550)</f>
        <v/>
      </c>
      <c r="T5538" s="8" t="n">
        <v>0.02076823859003629</v>
      </c>
      <c r="U5538" s="8" t="n">
        <v>-0.002114405178336609</v>
      </c>
      <c r="V5538" s="6" t="inlineStr">
        <is>
          <t>not selected</t>
        </is>
      </c>
    </row>
    <row r="5539">
      <c r="A5539" s="6" t="inlineStr">
        <is>
          <t>DJ30</t>
        </is>
      </c>
      <c r="B5539" s="6" t="inlineStr">
        <is>
          <t>2026-06-05</t>
        </is>
      </c>
      <c r="C5539" s="6" t="inlineStr">
        <is>
          <t>DIA</t>
        </is>
      </c>
      <c r="D5539" s="6" t="inlineStr">
        <is>
          <t>MRK</t>
        </is>
      </c>
      <c r="E5539" s="6" t="inlineStr">
        <is>
          <t>MRK</t>
        </is>
      </c>
      <c r="F5539" s="6" t="inlineStr">
        <is>
          <t>-</t>
        </is>
      </c>
      <c r="G5539" s="7" t="n">
        <v>119.9275741577148</v>
      </c>
      <c r="H5539" s="6">
        <f>P5508</f>
        <v/>
      </c>
      <c r="I5539" s="9">
        <f>Q5508</f>
        <v/>
      </c>
      <c r="J5539" s="7">
        <f>I5539*G5539</f>
        <v/>
      </c>
      <c r="K5539" s="8">
        <f>IF($J$5550=0,0,J5539/$J$5550)</f>
        <v/>
      </c>
      <c r="L5539" s="6" t="inlineStr">
        <is>
          <t>SELECTED</t>
        </is>
      </c>
      <c r="M5539" s="8" t="n">
        <v>0.2</v>
      </c>
      <c r="N5539" s="7">
        <f>M5539*$J$5550-J5539</f>
        <v/>
      </c>
      <c r="O5539" s="9">
        <f>IF(G5539=0,0,N5539/G5539)</f>
        <v/>
      </c>
      <c r="P5539" s="6">
        <f>IF(M5539&gt;0,D5539,"")</f>
        <v/>
      </c>
      <c r="Q5539" s="9">
        <f>I5539+O5539</f>
        <v/>
      </c>
      <c r="R5539" s="7">
        <f>Q5539*G5539</f>
        <v/>
      </c>
      <c r="S5539" s="8">
        <f>IF($R$5550=0,0,R5539/$R$5550)</f>
        <v/>
      </c>
      <c r="T5539" s="8" t="n">
        <v>0.02076823859003629</v>
      </c>
      <c r="U5539" s="8" t="n">
        <v>-0.002114405178336609</v>
      </c>
      <c r="V5539" s="6" t="inlineStr">
        <is>
          <t>remained in weekly selection</t>
        </is>
      </c>
    </row>
    <row r="5540">
      <c r="A5540" s="6" t="inlineStr">
        <is>
          <t>DJ30</t>
        </is>
      </c>
      <c r="B5540" s="6" t="inlineStr">
        <is>
          <t>2026-06-05</t>
        </is>
      </c>
      <c r="C5540" s="6" t="inlineStr">
        <is>
          <t>DIA</t>
        </is>
      </c>
      <c r="D5540" s="6" t="inlineStr">
        <is>
          <t>MSFT</t>
        </is>
      </c>
      <c r="E5540" s="6" t="inlineStr">
        <is>
          <t>MSFT</t>
        </is>
      </c>
      <c r="F5540" s="6" t="inlineStr">
        <is>
          <t>-</t>
        </is>
      </c>
      <c r="G5540" s="7" t="n">
        <v>416.6700134277344</v>
      </c>
      <c r="H5540" s="6">
        <f>P5509</f>
        <v/>
      </c>
      <c r="I5540" s="9">
        <f>Q5509</f>
        <v/>
      </c>
      <c r="J5540" s="7">
        <f>I5540*G5540</f>
        <v/>
      </c>
      <c r="K5540" s="8">
        <f>IF($J$5550=0,0,J5540/$J$5550)</f>
        <v/>
      </c>
      <c r="L5540" s="6" t="inlineStr">
        <is>
          <t>REJECTED</t>
        </is>
      </c>
      <c r="M5540" s="8" t="n">
        <v>0</v>
      </c>
      <c r="N5540" s="7">
        <f>M5540*$J$5550-J5540</f>
        <v/>
      </c>
      <c r="O5540" s="9">
        <f>IF(G5540=0,0,N5540/G5540)</f>
        <v/>
      </c>
      <c r="P5540" s="6">
        <f>IF(M5540&gt;0,D5540,"")</f>
        <v/>
      </c>
      <c r="Q5540" s="9">
        <f>I5540+O5540</f>
        <v/>
      </c>
      <c r="R5540" s="7">
        <f>Q5540*G5540</f>
        <v/>
      </c>
      <c r="S5540" s="8">
        <f>IF($R$5550=0,0,R5540/$R$5550)</f>
        <v/>
      </c>
      <c r="T5540" s="8" t="n">
        <v>0.02076823859003629</v>
      </c>
      <c r="U5540" s="8" t="n">
        <v>-0.002114405178336609</v>
      </c>
      <c r="V5540" s="6" t="inlineStr">
        <is>
          <t>not selected</t>
        </is>
      </c>
    </row>
    <row r="5541">
      <c r="A5541" s="6" t="inlineStr">
        <is>
          <t>DJ30</t>
        </is>
      </c>
      <c r="B5541" s="6" t="inlineStr">
        <is>
          <t>2026-06-05</t>
        </is>
      </c>
      <c r="C5541" s="6" t="inlineStr">
        <is>
          <t>DIA</t>
        </is>
      </c>
      <c r="D5541" s="6" t="inlineStr">
        <is>
          <t>NKE</t>
        </is>
      </c>
      <c r="E5541" s="6" t="inlineStr">
        <is>
          <t>NKE</t>
        </is>
      </c>
      <c r="F5541" s="6" t="inlineStr">
        <is>
          <t>-</t>
        </is>
      </c>
      <c r="G5541" s="7" t="n">
        <v>42.97999954223633</v>
      </c>
      <c r="H5541" s="6">
        <f>P5510</f>
        <v/>
      </c>
      <c r="I5541" s="9">
        <f>Q5510</f>
        <v/>
      </c>
      <c r="J5541" s="7">
        <f>I5541*G5541</f>
        <v/>
      </c>
      <c r="K5541" s="8">
        <f>IF($J$5550=0,0,J5541/$J$5550)</f>
        <v/>
      </c>
      <c r="L5541" s="6" t="inlineStr">
        <is>
          <t>REJECTED</t>
        </is>
      </c>
      <c r="M5541" s="8" t="n">
        <v>0</v>
      </c>
      <c r="N5541" s="7">
        <f>M5541*$J$5550-J5541</f>
        <v/>
      </c>
      <c r="O5541" s="9">
        <f>IF(G5541=0,0,N5541/G5541)</f>
        <v/>
      </c>
      <c r="P5541" s="6">
        <f>IF(M5541&gt;0,D5541,"")</f>
        <v/>
      </c>
      <c r="Q5541" s="9">
        <f>I5541+O5541</f>
        <v/>
      </c>
      <c r="R5541" s="7">
        <f>Q5541*G5541</f>
        <v/>
      </c>
      <c r="S5541" s="8">
        <f>IF($R$5550=0,0,R5541/$R$5550)</f>
        <v/>
      </c>
      <c r="T5541" s="8" t="n">
        <v>0.02076823859003629</v>
      </c>
      <c r="U5541" s="8" t="n">
        <v>-0.002114405178336609</v>
      </c>
      <c r="V5541" s="6" t="inlineStr">
        <is>
          <t>not selected</t>
        </is>
      </c>
    </row>
    <row r="5542">
      <c r="A5542" s="6" t="inlineStr">
        <is>
          <t>DJ30</t>
        </is>
      </c>
      <c r="B5542" s="6" t="inlineStr">
        <is>
          <t>2026-06-05</t>
        </is>
      </c>
      <c r="C5542" s="6" t="inlineStr">
        <is>
          <t>DIA</t>
        </is>
      </c>
      <c r="D5542" s="6" t="inlineStr">
        <is>
          <t>NVDA</t>
        </is>
      </c>
      <c r="E5542" s="6" t="inlineStr">
        <is>
          <t>NVDA</t>
        </is>
      </c>
      <c r="F5542" s="6" t="inlineStr">
        <is>
          <t>-</t>
        </is>
      </c>
      <c r="G5542" s="7" t="n">
        <v>205.1000061035156</v>
      </c>
      <c r="H5542" s="6">
        <f>P5511</f>
        <v/>
      </c>
      <c r="I5542" s="9">
        <f>Q5511</f>
        <v/>
      </c>
      <c r="J5542" s="7">
        <f>I5542*G5542</f>
        <v/>
      </c>
      <c r="K5542" s="8">
        <f>IF($J$5550=0,0,J5542/$J$5550)</f>
        <v/>
      </c>
      <c r="L5542" s="6" t="inlineStr">
        <is>
          <t>WATCHLIST</t>
        </is>
      </c>
      <c r="M5542" s="8" t="n">
        <v>0</v>
      </c>
      <c r="N5542" s="7">
        <f>M5542*$J$5550-J5542</f>
        <v/>
      </c>
      <c r="O5542" s="9">
        <f>IF(G5542=0,0,N5542/G5542)</f>
        <v/>
      </c>
      <c r="P5542" s="6">
        <f>IF(M5542&gt;0,D5542,"")</f>
        <v/>
      </c>
      <c r="Q5542" s="9">
        <f>I5542+O5542</f>
        <v/>
      </c>
      <c r="R5542" s="7">
        <f>Q5542*G5542</f>
        <v/>
      </c>
      <c r="S5542" s="8">
        <f>IF($R$5550=0,0,R5542/$R$5550)</f>
        <v/>
      </c>
      <c r="T5542" s="8" t="n">
        <v>0.02076823859003629</v>
      </c>
      <c r="U5542" s="8" t="n">
        <v>-0.002114405178336609</v>
      </c>
      <c r="V5542" s="6" t="inlineStr">
        <is>
          <t>not selected</t>
        </is>
      </c>
    </row>
    <row r="5543">
      <c r="A5543" s="6" t="inlineStr">
        <is>
          <t>DJ30</t>
        </is>
      </c>
      <c r="B5543" s="6" t="inlineStr">
        <is>
          <t>2026-06-05</t>
        </is>
      </c>
      <c r="C5543" s="6" t="inlineStr">
        <is>
          <t>DIA</t>
        </is>
      </c>
      <c r="D5543" s="6" t="inlineStr">
        <is>
          <t>PG</t>
        </is>
      </c>
      <c r="E5543" s="6" t="inlineStr">
        <is>
          <t>PG</t>
        </is>
      </c>
      <c r="F5543" s="6" t="inlineStr">
        <is>
          <t>-</t>
        </is>
      </c>
      <c r="G5543" s="7" t="n">
        <v>146.5399932861328</v>
      </c>
      <c r="H5543" s="6">
        <f>P5512</f>
        <v/>
      </c>
      <c r="I5543" s="9">
        <f>Q5512</f>
        <v/>
      </c>
      <c r="J5543" s="7">
        <f>I5543*G5543</f>
        <v/>
      </c>
      <c r="K5543" s="8">
        <f>IF($J$5550=0,0,J5543/$J$5550)</f>
        <v/>
      </c>
      <c r="L5543" s="6" t="inlineStr">
        <is>
          <t>REJECTED</t>
        </is>
      </c>
      <c r="M5543" s="8" t="n">
        <v>0</v>
      </c>
      <c r="N5543" s="7">
        <f>M5543*$J$5550-J5543</f>
        <v/>
      </c>
      <c r="O5543" s="9">
        <f>IF(G5543=0,0,N5543/G5543)</f>
        <v/>
      </c>
      <c r="P5543" s="6">
        <f>IF(M5543&gt;0,D5543,"")</f>
        <v/>
      </c>
      <c r="Q5543" s="9">
        <f>I5543+O5543</f>
        <v/>
      </c>
      <c r="R5543" s="7">
        <f>Q5543*G5543</f>
        <v/>
      </c>
      <c r="S5543" s="8">
        <f>IF($R$5550=0,0,R5543/$R$5550)</f>
        <v/>
      </c>
      <c r="T5543" s="8" t="n">
        <v>0.02076823859003629</v>
      </c>
      <c r="U5543" s="8" t="n">
        <v>-0.002114405178336609</v>
      </c>
      <c r="V5543" s="6" t="inlineStr">
        <is>
          <t>not selected</t>
        </is>
      </c>
    </row>
    <row r="5544">
      <c r="A5544" s="6" t="inlineStr">
        <is>
          <t>DJ30</t>
        </is>
      </c>
      <c r="B5544" s="6" t="inlineStr">
        <is>
          <t>2026-06-05</t>
        </is>
      </c>
      <c r="C5544" s="6" t="inlineStr">
        <is>
          <t>DIA</t>
        </is>
      </c>
      <c r="D5544" s="6" t="inlineStr">
        <is>
          <t>SHW</t>
        </is>
      </c>
      <c r="E5544" s="6" t="inlineStr">
        <is>
          <t>SHW</t>
        </is>
      </c>
      <c r="F5544" s="6" t="inlineStr">
        <is>
          <t>-</t>
        </is>
      </c>
      <c r="G5544" s="7" t="n">
        <v>305.2999877929688</v>
      </c>
      <c r="H5544" s="6">
        <f>P5513</f>
        <v/>
      </c>
      <c r="I5544" s="9">
        <f>Q5513</f>
        <v/>
      </c>
      <c r="J5544" s="7">
        <f>I5544*G5544</f>
        <v/>
      </c>
      <c r="K5544" s="8">
        <f>IF($J$5550=0,0,J5544/$J$5550)</f>
        <v/>
      </c>
      <c r="L5544" s="6" t="inlineStr">
        <is>
          <t>REJECTED</t>
        </is>
      </c>
      <c r="M5544" s="8" t="n">
        <v>0</v>
      </c>
      <c r="N5544" s="7">
        <f>M5544*$J$5550-J5544</f>
        <v/>
      </c>
      <c r="O5544" s="9">
        <f>IF(G5544=0,0,N5544/G5544)</f>
        <v/>
      </c>
      <c r="P5544" s="6">
        <f>IF(M5544&gt;0,D5544,"")</f>
        <v/>
      </c>
      <c r="Q5544" s="9">
        <f>I5544+O5544</f>
        <v/>
      </c>
      <c r="R5544" s="7">
        <f>Q5544*G5544</f>
        <v/>
      </c>
      <c r="S5544" s="8">
        <f>IF($R$5550=0,0,R5544/$R$5550)</f>
        <v/>
      </c>
      <c r="T5544" s="8" t="n">
        <v>0.02076823859003629</v>
      </c>
      <c r="U5544" s="8" t="n">
        <v>-0.002114405178336609</v>
      </c>
      <c r="V5544" s="6" t="inlineStr">
        <is>
          <t>not selected</t>
        </is>
      </c>
    </row>
    <row r="5545">
      <c r="A5545" s="6" t="inlineStr">
        <is>
          <t>DJ30</t>
        </is>
      </c>
      <c r="B5545" s="6" t="inlineStr">
        <is>
          <t>2026-06-05</t>
        </is>
      </c>
      <c r="C5545" s="6" t="inlineStr">
        <is>
          <t>DIA</t>
        </is>
      </c>
      <c r="D5545" s="6" t="inlineStr">
        <is>
          <t>TRV</t>
        </is>
      </c>
      <c r="E5545" s="6" t="inlineStr">
        <is>
          <t>TRV</t>
        </is>
      </c>
      <c r="F5545" s="6" t="inlineStr">
        <is>
          <t>-</t>
        </is>
      </c>
      <c r="G5545" s="7" t="n">
        <v>301.9875183105469</v>
      </c>
      <c r="H5545" s="6">
        <f>P5514</f>
        <v/>
      </c>
      <c r="I5545" s="9">
        <f>Q5514</f>
        <v/>
      </c>
      <c r="J5545" s="7">
        <f>I5545*G5545</f>
        <v/>
      </c>
      <c r="K5545" s="8">
        <f>IF($J$5550=0,0,J5545/$J$5550)</f>
        <v/>
      </c>
      <c r="L5545" s="6" t="inlineStr">
        <is>
          <t>WATCHLIST</t>
        </is>
      </c>
      <c r="M5545" s="8" t="n">
        <v>0</v>
      </c>
      <c r="N5545" s="7">
        <f>M5545*$J$5550-J5545</f>
        <v/>
      </c>
      <c r="O5545" s="9">
        <f>IF(G5545=0,0,N5545/G5545)</f>
        <v/>
      </c>
      <c r="P5545" s="6">
        <f>IF(M5545&gt;0,D5545,"")</f>
        <v/>
      </c>
      <c r="Q5545" s="9">
        <f>I5545+O5545</f>
        <v/>
      </c>
      <c r="R5545" s="7">
        <f>Q5545*G5545</f>
        <v/>
      </c>
      <c r="S5545" s="8">
        <f>IF($R$5550=0,0,R5545/$R$5550)</f>
        <v/>
      </c>
      <c r="T5545" s="8" t="n">
        <v>0.02076823859003629</v>
      </c>
      <c r="U5545" s="8" t="n">
        <v>-0.002114405178336609</v>
      </c>
      <c r="V5545" s="6" t="inlineStr">
        <is>
          <t>not selected</t>
        </is>
      </c>
    </row>
    <row r="5546">
      <c r="A5546" s="6" t="inlineStr">
        <is>
          <t>DJ30</t>
        </is>
      </c>
      <c r="B5546" s="6" t="inlineStr">
        <is>
          <t>2026-06-05</t>
        </is>
      </c>
      <c r="C5546" s="6" t="inlineStr">
        <is>
          <t>DIA</t>
        </is>
      </c>
      <c r="D5546" s="6" t="inlineStr">
        <is>
          <t>UNH</t>
        </is>
      </c>
      <c r="E5546" s="6" t="inlineStr">
        <is>
          <t>UNH</t>
        </is>
      </c>
      <c r="F5546" s="6" t="inlineStr">
        <is>
          <t>-</t>
        </is>
      </c>
      <c r="G5546" s="7" t="n">
        <v>397.201416015625</v>
      </c>
      <c r="H5546" s="6">
        <f>P5515</f>
        <v/>
      </c>
      <c r="I5546" s="9">
        <f>Q5515</f>
        <v/>
      </c>
      <c r="J5546" s="7">
        <f>I5546*G5546</f>
        <v/>
      </c>
      <c r="K5546" s="8">
        <f>IF($J$5550=0,0,J5546/$J$5550)</f>
        <v/>
      </c>
      <c r="L5546" s="6" t="inlineStr">
        <is>
          <t>REJECTED</t>
        </is>
      </c>
      <c r="M5546" s="8" t="n">
        <v>0</v>
      </c>
      <c r="N5546" s="7">
        <f>M5546*$J$5550-J5546</f>
        <v/>
      </c>
      <c r="O5546" s="9">
        <f>IF(G5546=0,0,N5546/G5546)</f>
        <v/>
      </c>
      <c r="P5546" s="6">
        <f>IF(M5546&gt;0,D5546,"")</f>
        <v/>
      </c>
      <c r="Q5546" s="9">
        <f>I5546+O5546</f>
        <v/>
      </c>
      <c r="R5546" s="7">
        <f>Q5546*G5546</f>
        <v/>
      </c>
      <c r="S5546" s="8">
        <f>IF($R$5550=0,0,R5546/$R$5550)</f>
        <v/>
      </c>
      <c r="T5546" s="8" t="n">
        <v>0.02076823859003629</v>
      </c>
      <c r="U5546" s="8" t="n">
        <v>-0.002114405178336609</v>
      </c>
      <c r="V5546" s="6" t="inlineStr">
        <is>
          <t>not selected</t>
        </is>
      </c>
    </row>
    <row r="5547">
      <c r="A5547" s="6" t="inlineStr">
        <is>
          <t>DJ30</t>
        </is>
      </c>
      <c r="B5547" s="6" t="inlineStr">
        <is>
          <t>2026-06-05</t>
        </is>
      </c>
      <c r="C5547" s="6" t="inlineStr">
        <is>
          <t>DIA</t>
        </is>
      </c>
      <c r="D5547" s="6" t="inlineStr">
        <is>
          <t>V</t>
        </is>
      </c>
      <c r="E5547" s="6" t="inlineStr">
        <is>
          <t>V</t>
        </is>
      </c>
      <c r="F5547" s="6" t="inlineStr">
        <is>
          <t>-</t>
        </is>
      </c>
      <c r="G5547" s="7" t="n">
        <v>323.5700073242188</v>
      </c>
      <c r="H5547" s="6">
        <f>P5516</f>
        <v/>
      </c>
      <c r="I5547" s="9">
        <f>Q5516</f>
        <v/>
      </c>
      <c r="J5547" s="7">
        <f>I5547*G5547</f>
        <v/>
      </c>
      <c r="K5547" s="8">
        <f>IF($J$5550=0,0,J5547/$J$5550)</f>
        <v/>
      </c>
      <c r="L5547" s="6" t="inlineStr">
        <is>
          <t>REJECTED</t>
        </is>
      </c>
      <c r="M5547" s="8" t="n">
        <v>0</v>
      </c>
      <c r="N5547" s="7">
        <f>M5547*$J$5550-J5547</f>
        <v/>
      </c>
      <c r="O5547" s="9">
        <f>IF(G5547=0,0,N5547/G5547)</f>
        <v/>
      </c>
      <c r="P5547" s="6">
        <f>IF(M5547&gt;0,D5547,"")</f>
        <v/>
      </c>
      <c r="Q5547" s="9">
        <f>I5547+O5547</f>
        <v/>
      </c>
      <c r="R5547" s="7">
        <f>Q5547*G5547</f>
        <v/>
      </c>
      <c r="S5547" s="8">
        <f>IF($R$5550=0,0,R5547/$R$5550)</f>
        <v/>
      </c>
      <c r="T5547" s="8" t="n">
        <v>0.02076823859003629</v>
      </c>
      <c r="U5547" s="8" t="n">
        <v>-0.002114405178336609</v>
      </c>
      <c r="V5547" s="6" t="inlineStr">
        <is>
          <t>not selected</t>
        </is>
      </c>
    </row>
    <row r="5548">
      <c r="A5548" s="6" t="inlineStr">
        <is>
          <t>DJ30</t>
        </is>
      </c>
      <c r="B5548" s="6" t="inlineStr">
        <is>
          <t>2026-06-05</t>
        </is>
      </c>
      <c r="C5548" s="6" t="inlineStr">
        <is>
          <t>DIA</t>
        </is>
      </c>
      <c r="D5548" s="6" t="inlineStr">
        <is>
          <t>VZ</t>
        </is>
      </c>
      <c r="E5548" s="6" t="inlineStr">
        <is>
          <t>VZ</t>
        </is>
      </c>
      <c r="F5548" s="6" t="inlineStr">
        <is>
          <t>-</t>
        </is>
      </c>
      <c r="G5548" s="7" t="n">
        <v>45.36999893188477</v>
      </c>
      <c r="H5548" s="6">
        <f>P5517</f>
        <v/>
      </c>
      <c r="I5548" s="9">
        <f>Q5517</f>
        <v/>
      </c>
      <c r="J5548" s="7">
        <f>I5548*G5548</f>
        <v/>
      </c>
      <c r="K5548" s="8">
        <f>IF($J$5550=0,0,J5548/$J$5550)</f>
        <v/>
      </c>
      <c r="L5548" s="6" t="inlineStr">
        <is>
          <t>WATCHLIST</t>
        </is>
      </c>
      <c r="M5548" s="8" t="n">
        <v>0</v>
      </c>
      <c r="N5548" s="7">
        <f>M5548*$J$5550-J5548</f>
        <v/>
      </c>
      <c r="O5548" s="9">
        <f>IF(G5548=0,0,N5548/G5548)</f>
        <v/>
      </c>
      <c r="P5548" s="6">
        <f>IF(M5548&gt;0,D5548,"")</f>
        <v/>
      </c>
      <c r="Q5548" s="9">
        <f>I5548+O5548</f>
        <v/>
      </c>
      <c r="R5548" s="7">
        <f>Q5548*G5548</f>
        <v/>
      </c>
      <c r="S5548" s="8">
        <f>IF($R$5550=0,0,R5548/$R$5550)</f>
        <v/>
      </c>
      <c r="T5548" s="8" t="n">
        <v>0.02076823859003629</v>
      </c>
      <c r="U5548" s="8" t="n">
        <v>-0.002114405178336609</v>
      </c>
      <c r="V5548" s="6" t="inlineStr">
        <is>
          <t>not selected</t>
        </is>
      </c>
    </row>
    <row r="5549">
      <c r="A5549" s="6" t="inlineStr">
        <is>
          <t>DJ30</t>
        </is>
      </c>
      <c r="B5549" s="6" t="inlineStr">
        <is>
          <t>2026-06-05</t>
        </is>
      </c>
      <c r="C5549" s="6" t="inlineStr">
        <is>
          <t>DIA</t>
        </is>
      </c>
      <c r="D5549" s="6" t="inlineStr">
        <is>
          <t>WMT</t>
        </is>
      </c>
      <c r="E5549" s="6" t="inlineStr">
        <is>
          <t>WMT</t>
        </is>
      </c>
      <c r="F5549" s="6" t="inlineStr">
        <is>
          <t>-</t>
        </is>
      </c>
      <c r="G5549" s="7" t="n">
        <v>118.879997253418</v>
      </c>
      <c r="H5549" s="6">
        <f>P5518</f>
        <v/>
      </c>
      <c r="I5549" s="9">
        <f>Q5518</f>
        <v/>
      </c>
      <c r="J5549" s="7">
        <f>I5549*G5549</f>
        <v/>
      </c>
      <c r="K5549" s="8">
        <f>IF($J$5550=0,0,J5549/$J$5550)</f>
        <v/>
      </c>
      <c r="L5549" s="6" t="inlineStr">
        <is>
          <t>WATCHLIST</t>
        </is>
      </c>
      <c r="M5549" s="8" t="n">
        <v>0</v>
      </c>
      <c r="N5549" s="7">
        <f>M5549*$J$5550-J5549</f>
        <v/>
      </c>
      <c r="O5549" s="9">
        <f>IF(G5549=0,0,N5549/G5549)</f>
        <v/>
      </c>
      <c r="P5549" s="6">
        <f>IF(M5549&gt;0,D5549,"")</f>
        <v/>
      </c>
      <c r="Q5549" s="9">
        <f>I5549+O5549</f>
        <v/>
      </c>
      <c r="R5549" s="7">
        <f>Q5549*G5549</f>
        <v/>
      </c>
      <c r="S5549" s="8">
        <f>IF($R$5550=0,0,R5549/$R$5550)</f>
        <v/>
      </c>
      <c r="T5549" s="8" t="n">
        <v>0.02076823859003629</v>
      </c>
      <c r="U5549" s="8" t="n">
        <v>-0.002114405178336609</v>
      </c>
      <c r="V5549" s="6" t="inlineStr">
        <is>
          <t>not selected</t>
        </is>
      </c>
    </row>
    <row r="5550">
      <c r="A5550" s="10" t="inlineStr">
        <is>
          <t>DJ30</t>
        </is>
      </c>
      <c r="B5550" s="10" t="inlineStr">
        <is>
          <t>2026-06-05</t>
        </is>
      </c>
      <c r="C5550" s="10" t="inlineStr">
        <is>
          <t>DIA</t>
        </is>
      </c>
      <c r="D5550" s="10" t="inlineStr">
        <is>
          <t>Tot Portfolio</t>
        </is>
      </c>
      <c r="E5550" s="10" t="inlineStr"/>
      <c r="F5550" s="10" t="inlineStr"/>
      <c r="G5550" s="11" t="inlineStr"/>
      <c r="H5550" s="10" t="inlineStr"/>
      <c r="I5550" s="12" t="inlineStr"/>
      <c r="J5550" s="11">
        <f>SUM(J5520:J5549)</f>
        <v/>
      </c>
      <c r="K5550" s="13">
        <f>SUM(K5520:K5549)</f>
        <v/>
      </c>
      <c r="L5550" s="10" t="inlineStr">
        <is>
          <t>TOTAL</t>
        </is>
      </c>
      <c r="M5550" s="13">
        <f>SUM(M5520:M5549)</f>
        <v/>
      </c>
      <c r="N5550" s="11">
        <f>SUM(N5520:N5549)</f>
        <v/>
      </c>
      <c r="O5550" s="12">
        <f>SUM(O5520:O5549)</f>
        <v/>
      </c>
      <c r="P5550" s="10" t="inlineStr"/>
      <c r="Q5550" s="12" t="inlineStr"/>
      <c r="R5550" s="11">
        <f>SUM(R5520:R5549)</f>
        <v/>
      </c>
      <c r="S5550" s="13">
        <f>SUM(S5520:S5549)</f>
        <v/>
      </c>
      <c r="T5550" s="13" t="n">
        <v>0.02076823859003629</v>
      </c>
      <c r="U5550" s="13" t="n">
        <v>-0.002114405178336609</v>
      </c>
      <c r="V5550" s="10" t="inlineStr"/>
    </row>
    <row r="5551">
      <c r="A5551" s="6" t="inlineStr">
        <is>
          <t>DJ30</t>
        </is>
      </c>
      <c r="B5551" s="6" t="inlineStr">
        <is>
          <t>2026-06-12</t>
        </is>
      </c>
      <c r="C5551" s="6" t="inlineStr">
        <is>
          <t>DIA</t>
        </is>
      </c>
      <c r="D5551" s="6" t="inlineStr">
        <is>
          <t>AAPL</t>
        </is>
      </c>
      <c r="E5551" s="6" t="inlineStr">
        <is>
          <t>AAPL</t>
        </is>
      </c>
      <c r="F5551" s="6" t="inlineStr">
        <is>
          <t>-</t>
        </is>
      </c>
      <c r="G5551" s="7" t="n">
        <v>291.1300048828125</v>
      </c>
      <c r="H5551" s="6">
        <f>P5520</f>
        <v/>
      </c>
      <c r="I5551" s="9">
        <f>Q5520</f>
        <v/>
      </c>
      <c r="J5551" s="7">
        <f>I5551*G5551</f>
        <v/>
      </c>
      <c r="K5551" s="8">
        <f>IF($J$5581=0,0,J5551/$J$5581)</f>
        <v/>
      </c>
      <c r="L5551" s="6" t="inlineStr">
        <is>
          <t>WATCHLIST</t>
        </is>
      </c>
      <c r="M5551" s="8" t="n">
        <v>0</v>
      </c>
      <c r="N5551" s="7">
        <f>M5551*$J$5581-J5551</f>
        <v/>
      </c>
      <c r="O5551" s="9">
        <f>IF(G5551=0,0,N5551/G5551)</f>
        <v/>
      </c>
      <c r="P5551" s="6">
        <f>IF(M5551&gt;0,D5551,"")</f>
        <v/>
      </c>
      <c r="Q5551" s="9">
        <f>I5551+O5551</f>
        <v/>
      </c>
      <c r="R5551" s="7">
        <f>Q5551*G5551</f>
        <v/>
      </c>
      <c r="S5551" s="8">
        <f>IF($R$5581=0,0,R5551/$R$5581)</f>
        <v/>
      </c>
      <c r="T5551" s="8" t="n">
        <v>0.002160892953709803</v>
      </c>
      <c r="U5551" s="8" t="n">
        <v>0.006592061105164415</v>
      </c>
      <c r="V5551" s="6" t="inlineStr">
        <is>
          <t>not selected</t>
        </is>
      </c>
    </row>
    <row r="5552">
      <c r="A5552" s="6" t="inlineStr">
        <is>
          <t>DJ30</t>
        </is>
      </c>
      <c r="B5552" s="6" t="inlineStr">
        <is>
          <t>2026-06-12</t>
        </is>
      </c>
      <c r="C5552" s="6" t="inlineStr">
        <is>
          <t>DIA</t>
        </is>
      </c>
      <c r="D5552" s="6" t="inlineStr">
        <is>
          <t>AMGN</t>
        </is>
      </c>
      <c r="E5552" s="6" t="inlineStr">
        <is>
          <t>AMGN</t>
        </is>
      </c>
      <c r="F5552" s="6" t="inlineStr">
        <is>
          <t>-</t>
        </is>
      </c>
      <c r="G5552" s="7" t="n">
        <v>355.2000122070312</v>
      </c>
      <c r="H5552" s="6">
        <f>P5521</f>
        <v/>
      </c>
      <c r="I5552" s="9">
        <f>Q5521</f>
        <v/>
      </c>
      <c r="J5552" s="7">
        <f>I5552*G5552</f>
        <v/>
      </c>
      <c r="K5552" s="8">
        <f>IF($J$5581=0,0,J5552/$J$5581)</f>
        <v/>
      </c>
      <c r="L5552" s="6" t="inlineStr">
        <is>
          <t>WATCHLIST</t>
        </is>
      </c>
      <c r="M5552" s="8" t="n">
        <v>0</v>
      </c>
      <c r="N5552" s="7">
        <f>M5552*$J$5581-J5552</f>
        <v/>
      </c>
      <c r="O5552" s="9">
        <f>IF(G5552=0,0,N5552/G5552)</f>
        <v/>
      </c>
      <c r="P5552" s="6">
        <f>IF(M5552&gt;0,D5552,"")</f>
        <v/>
      </c>
      <c r="Q5552" s="9">
        <f>I5552+O5552</f>
        <v/>
      </c>
      <c r="R5552" s="7">
        <f>Q5552*G5552</f>
        <v/>
      </c>
      <c r="S5552" s="8">
        <f>IF($R$5581=0,0,R5552/$R$5581)</f>
        <v/>
      </c>
      <c r="T5552" s="8" t="n">
        <v>0.002160892953709803</v>
      </c>
      <c r="U5552" s="8" t="n">
        <v>0.006592061105164415</v>
      </c>
      <c r="V5552" s="6" t="inlineStr">
        <is>
          <t>not selected</t>
        </is>
      </c>
    </row>
    <row r="5553">
      <c r="A5553" s="6" t="inlineStr">
        <is>
          <t>DJ30</t>
        </is>
      </c>
      <c r="B5553" s="6" t="inlineStr">
        <is>
          <t>2026-06-12</t>
        </is>
      </c>
      <c r="C5553" s="6" t="inlineStr">
        <is>
          <t>DIA</t>
        </is>
      </c>
      <c r="D5553" s="6" t="inlineStr">
        <is>
          <t>AMZN</t>
        </is>
      </c>
      <c r="E5553" s="6" t="inlineStr">
        <is>
          <t>AMZN</t>
        </is>
      </c>
      <c r="F5553" s="6" t="inlineStr">
        <is>
          <t>-</t>
        </is>
      </c>
      <c r="G5553" s="7" t="n">
        <v>238.5500030517578</v>
      </c>
      <c r="H5553" s="6">
        <f>P5522</f>
        <v/>
      </c>
      <c r="I5553" s="9">
        <f>Q5522</f>
        <v/>
      </c>
      <c r="J5553" s="7">
        <f>I5553*G5553</f>
        <v/>
      </c>
      <c r="K5553" s="8">
        <f>IF($J$5581=0,0,J5553/$J$5581)</f>
        <v/>
      </c>
      <c r="L5553" s="6" t="inlineStr">
        <is>
          <t>REJECTED</t>
        </is>
      </c>
      <c r="M5553" s="8" t="n">
        <v>0</v>
      </c>
      <c r="N5553" s="7">
        <f>M5553*$J$5581-J5553</f>
        <v/>
      </c>
      <c r="O5553" s="9">
        <f>IF(G5553=0,0,N5553/G5553)</f>
        <v/>
      </c>
      <c r="P5553" s="6">
        <f>IF(M5553&gt;0,D5553,"")</f>
        <v/>
      </c>
      <c r="Q5553" s="9">
        <f>I5553+O5553</f>
        <v/>
      </c>
      <c r="R5553" s="7">
        <f>Q5553*G5553</f>
        <v/>
      </c>
      <c r="S5553" s="8">
        <f>IF($R$5581=0,0,R5553/$R$5581)</f>
        <v/>
      </c>
      <c r="T5553" s="8" t="n">
        <v>0.002160892953709803</v>
      </c>
      <c r="U5553" s="8" t="n">
        <v>0.006592061105164415</v>
      </c>
      <c r="V5553" s="6" t="inlineStr">
        <is>
          <t>not selected</t>
        </is>
      </c>
    </row>
    <row r="5554">
      <c r="A5554" s="6" t="inlineStr">
        <is>
          <t>DJ30</t>
        </is>
      </c>
      <c r="B5554" s="6" t="inlineStr">
        <is>
          <t>2026-06-12</t>
        </is>
      </c>
      <c r="C5554" s="6" t="inlineStr">
        <is>
          <t>DIA</t>
        </is>
      </c>
      <c r="D5554" s="6" t="inlineStr">
        <is>
          <t>AXP</t>
        </is>
      </c>
      <c r="E5554" s="6" t="inlineStr">
        <is>
          <t>AXP</t>
        </is>
      </c>
      <c r="F5554" s="6" t="inlineStr">
        <is>
          <t>-</t>
        </is>
      </c>
      <c r="G5554" s="7" t="n">
        <v>325.4400024414062</v>
      </c>
      <c r="H5554" s="6">
        <f>P5523</f>
        <v/>
      </c>
      <c r="I5554" s="9">
        <f>Q5523</f>
        <v/>
      </c>
      <c r="J5554" s="7">
        <f>I5554*G5554</f>
        <v/>
      </c>
      <c r="K5554" s="8">
        <f>IF($J$5581=0,0,J5554/$J$5581)</f>
        <v/>
      </c>
      <c r="L5554" s="6" t="inlineStr">
        <is>
          <t>REJECTED</t>
        </is>
      </c>
      <c r="M5554" s="8" t="n">
        <v>0</v>
      </c>
      <c r="N5554" s="7">
        <f>M5554*$J$5581-J5554</f>
        <v/>
      </c>
      <c r="O5554" s="9">
        <f>IF(G5554=0,0,N5554/G5554)</f>
        <v/>
      </c>
      <c r="P5554" s="6">
        <f>IF(M5554&gt;0,D5554,"")</f>
        <v/>
      </c>
      <c r="Q5554" s="9">
        <f>I5554+O5554</f>
        <v/>
      </c>
      <c r="R5554" s="7">
        <f>Q5554*G5554</f>
        <v/>
      </c>
      <c r="S5554" s="8">
        <f>IF($R$5581=0,0,R5554/$R$5581)</f>
        <v/>
      </c>
      <c r="T5554" s="8" t="n">
        <v>0.002160892953709803</v>
      </c>
      <c r="U5554" s="8" t="n">
        <v>0.006592061105164415</v>
      </c>
      <c r="V5554" s="6" t="inlineStr">
        <is>
          <t>not selected</t>
        </is>
      </c>
    </row>
    <row r="5555">
      <c r="A5555" s="6" t="inlineStr">
        <is>
          <t>DJ30</t>
        </is>
      </c>
      <c r="B5555" s="6" t="inlineStr">
        <is>
          <t>2026-06-12</t>
        </is>
      </c>
      <c r="C5555" s="6" t="inlineStr">
        <is>
          <t>DIA</t>
        </is>
      </c>
      <c r="D5555" s="6" t="inlineStr">
        <is>
          <t>BA</t>
        </is>
      </c>
      <c r="E5555" s="6" t="inlineStr">
        <is>
          <t>BA</t>
        </is>
      </c>
      <c r="F5555" s="6" t="inlineStr">
        <is>
          <t>-</t>
        </is>
      </c>
      <c r="G5555" s="7" t="n">
        <v>219.0500030517578</v>
      </c>
      <c r="H5555" s="6">
        <f>P5524</f>
        <v/>
      </c>
      <c r="I5555" s="9">
        <f>Q5524</f>
        <v/>
      </c>
      <c r="J5555" s="7">
        <f>I5555*G5555</f>
        <v/>
      </c>
      <c r="K5555" s="8">
        <f>IF($J$5581=0,0,J5555/$J$5581)</f>
        <v/>
      </c>
      <c r="L5555" s="6" t="inlineStr">
        <is>
          <t>REJECTED</t>
        </is>
      </c>
      <c r="M5555" s="8" t="n">
        <v>0</v>
      </c>
      <c r="N5555" s="7">
        <f>M5555*$J$5581-J5555</f>
        <v/>
      </c>
      <c r="O5555" s="9">
        <f>IF(G5555=0,0,N5555/G5555)</f>
        <v/>
      </c>
      <c r="P5555" s="6">
        <f>IF(M5555&gt;0,D5555,"")</f>
        <v/>
      </c>
      <c r="Q5555" s="9">
        <f>I5555+O5555</f>
        <v/>
      </c>
      <c r="R5555" s="7">
        <f>Q5555*G5555</f>
        <v/>
      </c>
      <c r="S5555" s="8">
        <f>IF($R$5581=0,0,R5555/$R$5581)</f>
        <v/>
      </c>
      <c r="T5555" s="8" t="n">
        <v>0.002160892953709803</v>
      </c>
      <c r="U5555" s="8" t="n">
        <v>0.006592061105164415</v>
      </c>
      <c r="V5555" s="6" t="inlineStr">
        <is>
          <t>not selected</t>
        </is>
      </c>
    </row>
    <row r="5556">
      <c r="A5556" s="6" t="inlineStr">
        <is>
          <t>DJ30</t>
        </is>
      </c>
      <c r="B5556" s="6" t="inlineStr">
        <is>
          <t>2026-06-12</t>
        </is>
      </c>
      <c r="C5556" s="6" t="inlineStr">
        <is>
          <t>DIA</t>
        </is>
      </c>
      <c r="D5556" s="6" t="inlineStr">
        <is>
          <t>CAT</t>
        </is>
      </c>
      <c r="E5556" s="6" t="inlineStr">
        <is>
          <t>CAT</t>
        </is>
      </c>
      <c r="F5556" s="6" t="inlineStr">
        <is>
          <t>-</t>
        </is>
      </c>
      <c r="G5556" s="7" t="n">
        <v>910.5700073242188</v>
      </c>
      <c r="H5556" s="6">
        <f>P5525</f>
        <v/>
      </c>
      <c r="I5556" s="9">
        <f>Q5525</f>
        <v/>
      </c>
      <c r="J5556" s="7">
        <f>I5556*G5556</f>
        <v/>
      </c>
      <c r="K5556" s="8">
        <f>IF($J$5581=0,0,J5556/$J$5581)</f>
        <v/>
      </c>
      <c r="L5556" s="6" t="inlineStr">
        <is>
          <t>SELECTED</t>
        </is>
      </c>
      <c r="M5556" s="8" t="n">
        <v>0.2</v>
      </c>
      <c r="N5556" s="7">
        <f>M5556*$J$5581-J5556</f>
        <v/>
      </c>
      <c r="O5556" s="9">
        <f>IF(G5556=0,0,N5556/G5556)</f>
        <v/>
      </c>
      <c r="P5556" s="6">
        <f>IF(M5556&gt;0,D5556,"")</f>
        <v/>
      </c>
      <c r="Q5556" s="9">
        <f>I5556+O5556</f>
        <v/>
      </c>
      <c r="R5556" s="7">
        <f>Q5556*G5556</f>
        <v/>
      </c>
      <c r="S5556" s="8">
        <f>IF($R$5581=0,0,R5556/$R$5581)</f>
        <v/>
      </c>
      <c r="T5556" s="8" t="n">
        <v>0.002160892953709803</v>
      </c>
      <c r="U5556" s="8" t="n">
        <v>0.006592061105164415</v>
      </c>
      <c r="V5556" s="6" t="inlineStr">
        <is>
          <t>remained in weekly selection</t>
        </is>
      </c>
    </row>
    <row r="5557">
      <c r="A5557" s="6" t="inlineStr">
        <is>
          <t>DJ30</t>
        </is>
      </c>
      <c r="B5557" s="6" t="inlineStr">
        <is>
          <t>2026-06-12</t>
        </is>
      </c>
      <c r="C5557" s="6" t="inlineStr">
        <is>
          <t>DIA</t>
        </is>
      </c>
      <c r="D5557" s="6" t="inlineStr">
        <is>
          <t>CRM</t>
        </is>
      </c>
      <c r="E5557" s="6" t="inlineStr">
        <is>
          <t>CRM</t>
        </is>
      </c>
      <c r="F5557" s="6" t="inlineStr">
        <is>
          <t>-</t>
        </is>
      </c>
      <c r="G5557" s="7" t="n">
        <v>165.8899993896484</v>
      </c>
      <c r="H5557" s="6">
        <f>P5526</f>
        <v/>
      </c>
      <c r="I5557" s="9">
        <f>Q5526</f>
        <v/>
      </c>
      <c r="J5557" s="7">
        <f>I5557*G5557</f>
        <v/>
      </c>
      <c r="K5557" s="8">
        <f>IF($J$5581=0,0,J5557/$J$5581)</f>
        <v/>
      </c>
      <c r="L5557" s="6" t="inlineStr">
        <is>
          <t>REJECTED</t>
        </is>
      </c>
      <c r="M5557" s="8" t="n">
        <v>0</v>
      </c>
      <c r="N5557" s="7">
        <f>M5557*$J$5581-J5557</f>
        <v/>
      </c>
      <c r="O5557" s="9">
        <f>IF(G5557=0,0,N5557/G5557)</f>
        <v/>
      </c>
      <c r="P5557" s="6">
        <f>IF(M5557&gt;0,D5557,"")</f>
        <v/>
      </c>
      <c r="Q5557" s="9">
        <f>I5557+O5557</f>
        <v/>
      </c>
      <c r="R5557" s="7">
        <f>Q5557*G5557</f>
        <v/>
      </c>
      <c r="S5557" s="8">
        <f>IF($R$5581=0,0,R5557/$R$5581)</f>
        <v/>
      </c>
      <c r="T5557" s="8" t="n">
        <v>0.002160892953709803</v>
      </c>
      <c r="U5557" s="8" t="n">
        <v>0.006592061105164415</v>
      </c>
      <c r="V5557" s="6" t="inlineStr">
        <is>
          <t>not selected</t>
        </is>
      </c>
    </row>
    <row r="5558">
      <c r="A5558" s="6" t="inlineStr">
        <is>
          <t>DJ30</t>
        </is>
      </c>
      <c r="B5558" s="6" t="inlineStr">
        <is>
          <t>2026-06-12</t>
        </is>
      </c>
      <c r="C5558" s="6" t="inlineStr">
        <is>
          <t>DIA</t>
        </is>
      </c>
      <c r="D5558" s="6" t="inlineStr">
        <is>
          <t>CSCO</t>
        </is>
      </c>
      <c r="E5558" s="6" t="inlineStr">
        <is>
          <t>CSCO</t>
        </is>
      </c>
      <c r="F5558" s="6" t="inlineStr">
        <is>
          <t>-</t>
        </is>
      </c>
      <c r="G5558" s="7" t="n">
        <v>121.0999984741211</v>
      </c>
      <c r="H5558" s="6">
        <f>P5527</f>
        <v/>
      </c>
      <c r="I5558" s="9">
        <f>Q5527</f>
        <v/>
      </c>
      <c r="J5558" s="7">
        <f>I5558*G5558</f>
        <v/>
      </c>
      <c r="K5558" s="8">
        <f>IF($J$5581=0,0,J5558/$J$5581)</f>
        <v/>
      </c>
      <c r="L5558" s="6" t="inlineStr">
        <is>
          <t>SELECTED</t>
        </is>
      </c>
      <c r="M5558" s="8" t="n">
        <v>0.2</v>
      </c>
      <c r="N5558" s="7">
        <f>M5558*$J$5581-J5558</f>
        <v/>
      </c>
      <c r="O5558" s="9">
        <f>IF(G5558=0,0,N5558/G5558)</f>
        <v/>
      </c>
      <c r="P5558" s="6">
        <f>IF(M5558&gt;0,D5558,"")</f>
        <v/>
      </c>
      <c r="Q5558" s="9">
        <f>I5558+O5558</f>
        <v/>
      </c>
      <c r="R5558" s="7">
        <f>Q5558*G5558</f>
        <v/>
      </c>
      <c r="S5558" s="8">
        <f>IF($R$5581=0,0,R5558/$R$5581)</f>
        <v/>
      </c>
      <c r="T5558" s="8" t="n">
        <v>0.002160892953709803</v>
      </c>
      <c r="U5558" s="8" t="n">
        <v>0.006592061105164415</v>
      </c>
      <c r="V5558" s="6" t="inlineStr">
        <is>
          <t>remained in weekly selection</t>
        </is>
      </c>
    </row>
    <row r="5559">
      <c r="A5559" s="6" t="inlineStr">
        <is>
          <t>DJ30</t>
        </is>
      </c>
      <c r="B5559" s="6" t="inlineStr">
        <is>
          <t>2026-06-12</t>
        </is>
      </c>
      <c r="C5559" s="6" t="inlineStr">
        <is>
          <t>DIA</t>
        </is>
      </c>
      <c r="D5559" s="6" t="inlineStr">
        <is>
          <t>CVX</t>
        </is>
      </c>
      <c r="E5559" s="6" t="inlineStr">
        <is>
          <t>CVX</t>
        </is>
      </c>
      <c r="F5559" s="6" t="inlineStr">
        <is>
          <t>-</t>
        </is>
      </c>
      <c r="G5559" s="7" t="n">
        <v>187.2200012207031</v>
      </c>
      <c r="H5559" s="6">
        <f>P5528</f>
        <v/>
      </c>
      <c r="I5559" s="9">
        <f>Q5528</f>
        <v/>
      </c>
      <c r="J5559" s="7">
        <f>I5559*G5559</f>
        <v/>
      </c>
      <c r="K5559" s="8">
        <f>IF($J$5581=0,0,J5559/$J$5581)</f>
        <v/>
      </c>
      <c r="L5559" s="6" t="inlineStr">
        <is>
          <t>SELECTED</t>
        </is>
      </c>
      <c r="M5559" s="8" t="n">
        <v>0.2</v>
      </c>
      <c r="N5559" s="7">
        <f>M5559*$J$5581-J5559</f>
        <v/>
      </c>
      <c r="O5559" s="9">
        <f>IF(G5559=0,0,N5559/G5559)</f>
        <v/>
      </c>
      <c r="P5559" s="6">
        <f>IF(M5559&gt;0,D5559,"")</f>
        <v/>
      </c>
      <c r="Q5559" s="9">
        <f>I5559+O5559</f>
        <v/>
      </c>
      <c r="R5559" s="7">
        <f>Q5559*G5559</f>
        <v/>
      </c>
      <c r="S5559" s="8">
        <f>IF($R$5581=0,0,R5559/$R$5581)</f>
        <v/>
      </c>
      <c r="T5559" s="8" t="n">
        <v>0.002160892953709803</v>
      </c>
      <c r="U5559" s="8" t="n">
        <v>0.006592061105164415</v>
      </c>
      <c r="V5559" s="6" t="inlineStr">
        <is>
          <t>remained in weekly selection</t>
        </is>
      </c>
    </row>
    <row r="5560">
      <c r="A5560" s="6" t="inlineStr">
        <is>
          <t>DJ30</t>
        </is>
      </c>
      <c r="B5560" s="6" t="inlineStr">
        <is>
          <t>2026-06-12</t>
        </is>
      </c>
      <c r="C5560" s="6" t="inlineStr">
        <is>
          <t>DIA</t>
        </is>
      </c>
      <c r="D5560" s="6" t="inlineStr">
        <is>
          <t>DIS</t>
        </is>
      </c>
      <c r="E5560" s="6" t="inlineStr">
        <is>
          <t>DIS</t>
        </is>
      </c>
      <c r="F5560" s="6" t="inlineStr">
        <is>
          <t>-</t>
        </is>
      </c>
      <c r="G5560" s="7" t="n">
        <v>100.0400009155273</v>
      </c>
      <c r="H5560" s="6">
        <f>P5529</f>
        <v/>
      </c>
      <c r="I5560" s="9">
        <f>Q5529</f>
        <v/>
      </c>
      <c r="J5560" s="7">
        <f>I5560*G5560</f>
        <v/>
      </c>
      <c r="K5560" s="8">
        <f>IF($J$5581=0,0,J5560/$J$5581)</f>
        <v/>
      </c>
      <c r="L5560" s="6" t="inlineStr">
        <is>
          <t>REJECTED</t>
        </is>
      </c>
      <c r="M5560" s="8" t="n">
        <v>0</v>
      </c>
      <c r="N5560" s="7">
        <f>M5560*$J$5581-J5560</f>
        <v/>
      </c>
      <c r="O5560" s="9">
        <f>IF(G5560=0,0,N5560/G5560)</f>
        <v/>
      </c>
      <c r="P5560" s="6">
        <f>IF(M5560&gt;0,D5560,"")</f>
        <v/>
      </c>
      <c r="Q5560" s="9">
        <f>I5560+O5560</f>
        <v/>
      </c>
      <c r="R5560" s="7">
        <f>Q5560*G5560</f>
        <v/>
      </c>
      <c r="S5560" s="8">
        <f>IF($R$5581=0,0,R5560/$R$5581)</f>
        <v/>
      </c>
      <c r="T5560" s="8" t="n">
        <v>0.002160892953709803</v>
      </c>
      <c r="U5560" s="8" t="n">
        <v>0.006592061105164415</v>
      </c>
      <c r="V5560" s="6" t="inlineStr">
        <is>
          <t>not selected</t>
        </is>
      </c>
    </row>
    <row r="5561">
      <c r="A5561" s="6" t="inlineStr">
        <is>
          <t>DJ30</t>
        </is>
      </c>
      <c r="B5561" s="6" t="inlineStr">
        <is>
          <t>2026-06-12</t>
        </is>
      </c>
      <c r="C5561" s="6" t="inlineStr">
        <is>
          <t>DIA</t>
        </is>
      </c>
      <c r="D5561" s="6" t="inlineStr">
        <is>
          <t>GS</t>
        </is>
      </c>
      <c r="E5561" s="6" t="inlineStr">
        <is>
          <t>GS</t>
        </is>
      </c>
      <c r="F5561" s="6" t="inlineStr">
        <is>
          <t>-</t>
        </is>
      </c>
      <c r="G5561" s="7" t="n">
        <v>1062.75</v>
      </c>
      <c r="H5561" s="6">
        <f>P5530</f>
        <v/>
      </c>
      <c r="I5561" s="9">
        <f>Q5530</f>
        <v/>
      </c>
      <c r="J5561" s="7">
        <f>I5561*G5561</f>
        <v/>
      </c>
      <c r="K5561" s="8">
        <f>IF($J$5581=0,0,J5561/$J$5581)</f>
        <v/>
      </c>
      <c r="L5561" s="6" t="inlineStr">
        <is>
          <t>SELECTED</t>
        </is>
      </c>
      <c r="M5561" s="8" t="n">
        <v>0.2</v>
      </c>
      <c r="N5561" s="7">
        <f>M5561*$J$5581-J5561</f>
        <v/>
      </c>
      <c r="O5561" s="9">
        <f>IF(G5561=0,0,N5561/G5561)</f>
        <v/>
      </c>
      <c r="P5561" s="6">
        <f>IF(M5561&gt;0,D5561,"")</f>
        <v/>
      </c>
      <c r="Q5561" s="9">
        <f>I5561+O5561</f>
        <v/>
      </c>
      <c r="R5561" s="7">
        <f>Q5561*G5561</f>
        <v/>
      </c>
      <c r="S5561" s="8">
        <f>IF($R$5581=0,0,R5561/$R$5581)</f>
        <v/>
      </c>
      <c r="T5561" s="8" t="n">
        <v>0.002160892953709803</v>
      </c>
      <c r="U5561" s="8" t="n">
        <v>0.006592061105164415</v>
      </c>
      <c r="V5561" s="6" t="inlineStr">
        <is>
          <t>remained in weekly selection</t>
        </is>
      </c>
    </row>
    <row r="5562">
      <c r="A5562" s="6" t="inlineStr">
        <is>
          <t>DJ30</t>
        </is>
      </c>
      <c r="B5562" s="6" t="inlineStr">
        <is>
          <t>2026-06-12</t>
        </is>
      </c>
      <c r="C5562" s="6" t="inlineStr">
        <is>
          <t>DIA</t>
        </is>
      </c>
      <c r="D5562" s="6" t="inlineStr">
        <is>
          <t>HD</t>
        </is>
      </c>
      <c r="E5562" s="6" t="inlineStr">
        <is>
          <t>HD</t>
        </is>
      </c>
      <c r="F5562" s="6" t="inlineStr">
        <is>
          <t>-</t>
        </is>
      </c>
      <c r="G5562" s="7" t="n">
        <v>328.3900146484375</v>
      </c>
      <c r="H5562" s="6">
        <f>P5531</f>
        <v/>
      </c>
      <c r="I5562" s="9">
        <f>Q5531</f>
        <v/>
      </c>
      <c r="J5562" s="7">
        <f>I5562*G5562</f>
        <v/>
      </c>
      <c r="K5562" s="8">
        <f>IF($J$5581=0,0,J5562/$J$5581)</f>
        <v/>
      </c>
      <c r="L5562" s="6" t="inlineStr">
        <is>
          <t>REJECTED</t>
        </is>
      </c>
      <c r="M5562" s="8" t="n">
        <v>0</v>
      </c>
      <c r="N5562" s="7">
        <f>M5562*$J$5581-J5562</f>
        <v/>
      </c>
      <c r="O5562" s="9">
        <f>IF(G5562=0,0,N5562/G5562)</f>
        <v/>
      </c>
      <c r="P5562" s="6">
        <f>IF(M5562&gt;0,D5562,"")</f>
        <v/>
      </c>
      <c r="Q5562" s="9">
        <f>I5562+O5562</f>
        <v/>
      </c>
      <c r="R5562" s="7">
        <f>Q5562*G5562</f>
        <v/>
      </c>
      <c r="S5562" s="8">
        <f>IF($R$5581=0,0,R5562/$R$5581)</f>
        <v/>
      </c>
      <c r="T5562" s="8" t="n">
        <v>0.002160892953709803</v>
      </c>
      <c r="U5562" s="8" t="n">
        <v>0.006592061105164415</v>
      </c>
      <c r="V5562" s="6" t="inlineStr">
        <is>
          <t>not selected</t>
        </is>
      </c>
    </row>
    <row r="5563">
      <c r="A5563" s="6" t="inlineStr">
        <is>
          <t>DJ30</t>
        </is>
      </c>
      <c r="B5563" s="6" t="inlineStr">
        <is>
          <t>2026-06-12</t>
        </is>
      </c>
      <c r="C5563" s="6" t="inlineStr">
        <is>
          <t>DIA</t>
        </is>
      </c>
      <c r="D5563" s="6" t="inlineStr">
        <is>
          <t>HON</t>
        </is>
      </c>
      <c r="E5563" s="6" t="inlineStr">
        <is>
          <t>HON</t>
        </is>
      </c>
      <c r="F5563" s="6" t="inlineStr">
        <is>
          <t>-</t>
        </is>
      </c>
      <c r="G5563" s="7" t="n">
        <v>220.3099975585937</v>
      </c>
      <c r="H5563" s="6">
        <f>P5532</f>
        <v/>
      </c>
      <c r="I5563" s="9">
        <f>Q5532</f>
        <v/>
      </c>
      <c r="J5563" s="7">
        <f>I5563*G5563</f>
        <v/>
      </c>
      <c r="K5563" s="8">
        <f>IF($J$5581=0,0,J5563/$J$5581)</f>
        <v/>
      </c>
      <c r="L5563" s="6" t="inlineStr">
        <is>
          <t>REJECTED</t>
        </is>
      </c>
      <c r="M5563" s="8" t="n">
        <v>0</v>
      </c>
      <c r="N5563" s="7">
        <f>M5563*$J$5581-J5563</f>
        <v/>
      </c>
      <c r="O5563" s="9">
        <f>IF(G5563=0,0,N5563/G5563)</f>
        <v/>
      </c>
      <c r="P5563" s="6">
        <f>IF(M5563&gt;0,D5563,"")</f>
        <v/>
      </c>
      <c r="Q5563" s="9">
        <f>I5563+O5563</f>
        <v/>
      </c>
      <c r="R5563" s="7">
        <f>Q5563*G5563</f>
        <v/>
      </c>
      <c r="S5563" s="8">
        <f>IF($R$5581=0,0,R5563/$R$5581)</f>
        <v/>
      </c>
      <c r="T5563" s="8" t="n">
        <v>0.002160892953709803</v>
      </c>
      <c r="U5563" s="8" t="n">
        <v>0.006592061105164415</v>
      </c>
      <c r="V5563" s="6" t="inlineStr">
        <is>
          <t>not selected</t>
        </is>
      </c>
    </row>
    <row r="5564">
      <c r="A5564" s="6" t="inlineStr">
        <is>
          <t>DJ30</t>
        </is>
      </c>
      <c r="B5564" s="6" t="inlineStr">
        <is>
          <t>2026-06-12</t>
        </is>
      </c>
      <c r="C5564" s="6" t="inlineStr">
        <is>
          <t>DIA</t>
        </is>
      </c>
      <c r="D5564" s="6" t="inlineStr">
        <is>
          <t>IBM</t>
        </is>
      </c>
      <c r="E5564" s="6" t="inlineStr">
        <is>
          <t>IBM</t>
        </is>
      </c>
      <c r="F5564" s="6" t="inlineStr">
        <is>
          <t>-</t>
        </is>
      </c>
      <c r="G5564" s="7" t="n">
        <v>272.239990234375</v>
      </c>
      <c r="H5564" s="6">
        <f>P5533</f>
        <v/>
      </c>
      <c r="I5564" s="9">
        <f>Q5533</f>
        <v/>
      </c>
      <c r="J5564" s="7">
        <f>I5564*G5564</f>
        <v/>
      </c>
      <c r="K5564" s="8">
        <f>IF($J$5581=0,0,J5564/$J$5581)</f>
        <v/>
      </c>
      <c r="L5564" s="6" t="inlineStr">
        <is>
          <t>REJECTED</t>
        </is>
      </c>
      <c r="M5564" s="8" t="n">
        <v>0</v>
      </c>
      <c r="N5564" s="7">
        <f>M5564*$J$5581-J5564</f>
        <v/>
      </c>
      <c r="O5564" s="9">
        <f>IF(G5564=0,0,N5564/G5564)</f>
        <v/>
      </c>
      <c r="P5564" s="6">
        <f>IF(M5564&gt;0,D5564,"")</f>
        <v/>
      </c>
      <c r="Q5564" s="9">
        <f>I5564+O5564</f>
        <v/>
      </c>
      <c r="R5564" s="7">
        <f>Q5564*G5564</f>
        <v/>
      </c>
      <c r="S5564" s="8">
        <f>IF($R$5581=0,0,R5564/$R$5581)</f>
        <v/>
      </c>
      <c r="T5564" s="8" t="n">
        <v>0.002160892953709803</v>
      </c>
      <c r="U5564" s="8" t="n">
        <v>0.006592061105164415</v>
      </c>
      <c r="V5564" s="6" t="inlineStr">
        <is>
          <t>not selected</t>
        </is>
      </c>
    </row>
    <row r="5565">
      <c r="A5565" s="6" t="inlineStr">
        <is>
          <t>DJ30</t>
        </is>
      </c>
      <c r="B5565" s="6" t="inlineStr">
        <is>
          <t>2026-06-12</t>
        </is>
      </c>
      <c r="C5565" s="6" t="inlineStr">
        <is>
          <t>DIA</t>
        </is>
      </c>
      <c r="D5565" s="6" t="inlineStr">
        <is>
          <t>JNJ</t>
        </is>
      </c>
      <c r="E5565" s="6" t="inlineStr">
        <is>
          <t>JNJ</t>
        </is>
      </c>
      <c r="F5565" s="6" t="inlineStr">
        <is>
          <t>-</t>
        </is>
      </c>
      <c r="G5565" s="7" t="n">
        <v>240.8699951171875</v>
      </c>
      <c r="H5565" s="6">
        <f>P5534</f>
        <v/>
      </c>
      <c r="I5565" s="9">
        <f>Q5534</f>
        <v/>
      </c>
      <c r="J5565" s="7">
        <f>I5565*G5565</f>
        <v/>
      </c>
      <c r="K5565" s="8">
        <f>IF($J$5581=0,0,J5565/$J$5581)</f>
        <v/>
      </c>
      <c r="L5565" s="6" t="inlineStr">
        <is>
          <t>WATCHLIST</t>
        </is>
      </c>
      <c r="M5565" s="8" t="n">
        <v>0</v>
      </c>
      <c r="N5565" s="7">
        <f>M5565*$J$5581-J5565</f>
        <v/>
      </c>
      <c r="O5565" s="9">
        <f>IF(G5565=0,0,N5565/G5565)</f>
        <v/>
      </c>
      <c r="P5565" s="6">
        <f>IF(M5565&gt;0,D5565,"")</f>
        <v/>
      </c>
      <c r="Q5565" s="9">
        <f>I5565+O5565</f>
        <v/>
      </c>
      <c r="R5565" s="7">
        <f>Q5565*G5565</f>
        <v/>
      </c>
      <c r="S5565" s="8">
        <f>IF($R$5581=0,0,R5565/$R$5581)</f>
        <v/>
      </c>
      <c r="T5565" s="8" t="n">
        <v>0.002160892953709803</v>
      </c>
      <c r="U5565" s="8" t="n">
        <v>0.006592061105164415</v>
      </c>
      <c r="V5565" s="6" t="inlineStr">
        <is>
          <t>not selected</t>
        </is>
      </c>
    </row>
    <row r="5566">
      <c r="A5566" s="6" t="inlineStr">
        <is>
          <t>DJ30</t>
        </is>
      </c>
      <c r="B5566" s="6" t="inlineStr">
        <is>
          <t>2026-06-12</t>
        </is>
      </c>
      <c r="C5566" s="6" t="inlineStr">
        <is>
          <t>DIA</t>
        </is>
      </c>
      <c r="D5566" s="6" t="inlineStr">
        <is>
          <t>JPM</t>
        </is>
      </c>
      <c r="E5566" s="6" t="inlineStr">
        <is>
          <t>JPM</t>
        </is>
      </c>
      <c r="F5566" s="6" t="inlineStr">
        <is>
          <t>-</t>
        </is>
      </c>
      <c r="G5566" s="7" t="n">
        <v>320.7200012207031</v>
      </c>
      <c r="H5566" s="6">
        <f>P5535</f>
        <v/>
      </c>
      <c r="I5566" s="9">
        <f>Q5535</f>
        <v/>
      </c>
      <c r="J5566" s="7">
        <f>I5566*G5566</f>
        <v/>
      </c>
      <c r="K5566" s="8">
        <f>IF($J$5581=0,0,J5566/$J$5581)</f>
        <v/>
      </c>
      <c r="L5566" s="6" t="inlineStr">
        <is>
          <t>REJECTED</t>
        </is>
      </c>
      <c r="M5566" s="8" t="n">
        <v>0</v>
      </c>
      <c r="N5566" s="7">
        <f>M5566*$J$5581-J5566</f>
        <v/>
      </c>
      <c r="O5566" s="9">
        <f>IF(G5566=0,0,N5566/G5566)</f>
        <v/>
      </c>
      <c r="P5566" s="6">
        <f>IF(M5566&gt;0,D5566,"")</f>
        <v/>
      </c>
      <c r="Q5566" s="9">
        <f>I5566+O5566</f>
        <v/>
      </c>
      <c r="R5566" s="7">
        <f>Q5566*G5566</f>
        <v/>
      </c>
      <c r="S5566" s="8">
        <f>IF($R$5581=0,0,R5566/$R$5581)</f>
        <v/>
      </c>
      <c r="T5566" s="8" t="n">
        <v>0.002160892953709803</v>
      </c>
      <c r="U5566" s="8" t="n">
        <v>0.006592061105164415</v>
      </c>
      <c r="V5566" s="6" t="inlineStr">
        <is>
          <t>not selected</t>
        </is>
      </c>
    </row>
    <row r="5567">
      <c r="A5567" s="6" t="inlineStr">
        <is>
          <t>DJ30</t>
        </is>
      </c>
      <c r="B5567" s="6" t="inlineStr">
        <is>
          <t>2026-06-12</t>
        </is>
      </c>
      <c r="C5567" s="6" t="inlineStr">
        <is>
          <t>DIA</t>
        </is>
      </c>
      <c r="D5567" s="6" t="inlineStr">
        <is>
          <t>KO</t>
        </is>
      </c>
      <c r="E5567" s="6" t="inlineStr">
        <is>
          <t>KO</t>
        </is>
      </c>
      <c r="F5567" s="6" t="inlineStr">
        <is>
          <t>-</t>
        </is>
      </c>
      <c r="G5567" s="7" t="n">
        <v>82.09000396728516</v>
      </c>
      <c r="H5567" s="6">
        <f>P5536</f>
        <v/>
      </c>
      <c r="I5567" s="9">
        <f>Q5536</f>
        <v/>
      </c>
      <c r="J5567" s="7">
        <f>I5567*G5567</f>
        <v/>
      </c>
      <c r="K5567" s="8">
        <f>IF($J$5581=0,0,J5567/$J$5581)</f>
        <v/>
      </c>
      <c r="L5567" s="6" t="inlineStr">
        <is>
          <t>WATCHLIST</t>
        </is>
      </c>
      <c r="M5567" s="8" t="n">
        <v>0</v>
      </c>
      <c r="N5567" s="7">
        <f>M5567*$J$5581-J5567</f>
        <v/>
      </c>
      <c r="O5567" s="9">
        <f>IF(G5567=0,0,N5567/G5567)</f>
        <v/>
      </c>
      <c r="P5567" s="6">
        <f>IF(M5567&gt;0,D5567,"")</f>
        <v/>
      </c>
      <c r="Q5567" s="9">
        <f>I5567+O5567</f>
        <v/>
      </c>
      <c r="R5567" s="7">
        <f>Q5567*G5567</f>
        <v/>
      </c>
      <c r="S5567" s="8">
        <f>IF($R$5581=0,0,R5567/$R$5581)</f>
        <v/>
      </c>
      <c r="T5567" s="8" t="n">
        <v>0.002160892953709803</v>
      </c>
      <c r="U5567" s="8" t="n">
        <v>0.006592061105164415</v>
      </c>
      <c r="V5567" s="6" t="inlineStr">
        <is>
          <t>not selected</t>
        </is>
      </c>
    </row>
    <row r="5568">
      <c r="A5568" s="6" t="inlineStr">
        <is>
          <t>DJ30</t>
        </is>
      </c>
      <c r="B5568" s="6" t="inlineStr">
        <is>
          <t>2026-06-12</t>
        </is>
      </c>
      <c r="C5568" s="6" t="inlineStr">
        <is>
          <t>DIA</t>
        </is>
      </c>
      <c r="D5568" s="6" t="inlineStr">
        <is>
          <t>MCD</t>
        </is>
      </c>
      <c r="E5568" s="6" t="inlineStr">
        <is>
          <t>MCD</t>
        </is>
      </c>
      <c r="F5568" s="6" t="inlineStr">
        <is>
          <t>-</t>
        </is>
      </c>
      <c r="G5568" s="7" t="n">
        <v>284.8099975585937</v>
      </c>
      <c r="H5568" s="6">
        <f>P5537</f>
        <v/>
      </c>
      <c r="I5568" s="9">
        <f>Q5537</f>
        <v/>
      </c>
      <c r="J5568" s="7">
        <f>I5568*G5568</f>
        <v/>
      </c>
      <c r="K5568" s="8">
        <f>IF($J$5581=0,0,J5568/$J$5581)</f>
        <v/>
      </c>
      <c r="L5568" s="6" t="inlineStr">
        <is>
          <t>REJECTED</t>
        </is>
      </c>
      <c r="M5568" s="8" t="n">
        <v>0</v>
      </c>
      <c r="N5568" s="7">
        <f>M5568*$J$5581-J5568</f>
        <v/>
      </c>
      <c r="O5568" s="9">
        <f>IF(G5568=0,0,N5568/G5568)</f>
        <v/>
      </c>
      <c r="P5568" s="6">
        <f>IF(M5568&gt;0,D5568,"")</f>
        <v/>
      </c>
      <c r="Q5568" s="9">
        <f>I5568+O5568</f>
        <v/>
      </c>
      <c r="R5568" s="7">
        <f>Q5568*G5568</f>
        <v/>
      </c>
      <c r="S5568" s="8">
        <f>IF($R$5581=0,0,R5568/$R$5581)</f>
        <v/>
      </c>
      <c r="T5568" s="8" t="n">
        <v>0.002160892953709803</v>
      </c>
      <c r="U5568" s="8" t="n">
        <v>0.006592061105164415</v>
      </c>
      <c r="V5568" s="6" t="inlineStr">
        <is>
          <t>not selected</t>
        </is>
      </c>
    </row>
    <row r="5569">
      <c r="A5569" s="6" t="inlineStr">
        <is>
          <t>DJ30</t>
        </is>
      </c>
      <c r="B5569" s="6" t="inlineStr">
        <is>
          <t>2026-06-12</t>
        </is>
      </c>
      <c r="C5569" s="6" t="inlineStr">
        <is>
          <t>DIA</t>
        </is>
      </c>
      <c r="D5569" s="6" t="inlineStr">
        <is>
          <t>MMM</t>
        </is>
      </c>
      <c r="E5569" s="6" t="inlineStr">
        <is>
          <t>MMM</t>
        </is>
      </c>
      <c r="F5569" s="6" t="inlineStr">
        <is>
          <t>-</t>
        </is>
      </c>
      <c r="G5569" s="7" t="n">
        <v>158.3200073242188</v>
      </c>
      <c r="H5569" s="6">
        <f>P5538</f>
        <v/>
      </c>
      <c r="I5569" s="9">
        <f>Q5538</f>
        <v/>
      </c>
      <c r="J5569" s="7">
        <f>I5569*G5569</f>
        <v/>
      </c>
      <c r="K5569" s="8">
        <f>IF($J$5581=0,0,J5569/$J$5581)</f>
        <v/>
      </c>
      <c r="L5569" s="6" t="inlineStr">
        <is>
          <t>REJECTED</t>
        </is>
      </c>
      <c r="M5569" s="8" t="n">
        <v>0</v>
      </c>
      <c r="N5569" s="7">
        <f>M5569*$J$5581-J5569</f>
        <v/>
      </c>
      <c r="O5569" s="9">
        <f>IF(G5569=0,0,N5569/G5569)</f>
        <v/>
      </c>
      <c r="P5569" s="6">
        <f>IF(M5569&gt;0,D5569,"")</f>
        <v/>
      </c>
      <c r="Q5569" s="9">
        <f>I5569+O5569</f>
        <v/>
      </c>
      <c r="R5569" s="7">
        <f>Q5569*G5569</f>
        <v/>
      </c>
      <c r="S5569" s="8">
        <f>IF($R$5581=0,0,R5569/$R$5581)</f>
        <v/>
      </c>
      <c r="T5569" s="8" t="n">
        <v>0.002160892953709803</v>
      </c>
      <c r="U5569" s="8" t="n">
        <v>0.006592061105164415</v>
      </c>
      <c r="V5569" s="6" t="inlineStr">
        <is>
          <t>not selected</t>
        </is>
      </c>
    </row>
    <row r="5570">
      <c r="A5570" s="6" t="inlineStr">
        <is>
          <t>DJ30</t>
        </is>
      </c>
      <c r="B5570" s="6" t="inlineStr">
        <is>
          <t>2026-06-12</t>
        </is>
      </c>
      <c r="C5570" s="6" t="inlineStr">
        <is>
          <t>DIA</t>
        </is>
      </c>
      <c r="D5570" s="6" t="inlineStr">
        <is>
          <t>MRK</t>
        </is>
      </c>
      <c r="E5570" s="6" t="inlineStr">
        <is>
          <t>MRK</t>
        </is>
      </c>
      <c r="F5570" s="6" t="inlineStr">
        <is>
          <t>-</t>
        </is>
      </c>
      <c r="G5570" s="7" t="n">
        <v>118.2000045776367</v>
      </c>
      <c r="H5570" s="6">
        <f>P5539</f>
        <v/>
      </c>
      <c r="I5570" s="9">
        <f>Q5539</f>
        <v/>
      </c>
      <c r="J5570" s="7">
        <f>I5570*G5570</f>
        <v/>
      </c>
      <c r="K5570" s="8">
        <f>IF($J$5581=0,0,J5570/$J$5581)</f>
        <v/>
      </c>
      <c r="L5570" s="6" t="inlineStr">
        <is>
          <t>SELECTED</t>
        </is>
      </c>
      <c r="M5570" s="8" t="n">
        <v>0.2</v>
      </c>
      <c r="N5570" s="7">
        <f>M5570*$J$5581-J5570</f>
        <v/>
      </c>
      <c r="O5570" s="9">
        <f>IF(G5570=0,0,N5570/G5570)</f>
        <v/>
      </c>
      <c r="P5570" s="6">
        <f>IF(M5570&gt;0,D5570,"")</f>
        <v/>
      </c>
      <c r="Q5570" s="9">
        <f>I5570+O5570</f>
        <v/>
      </c>
      <c r="R5570" s="7">
        <f>Q5570*G5570</f>
        <v/>
      </c>
      <c r="S5570" s="8">
        <f>IF($R$5581=0,0,R5570/$R$5581)</f>
        <v/>
      </c>
      <c r="T5570" s="8" t="n">
        <v>0.002160892953709803</v>
      </c>
      <c r="U5570" s="8" t="n">
        <v>0.006592061105164415</v>
      </c>
      <c r="V5570" s="6" t="inlineStr">
        <is>
          <t>remained in weekly selection</t>
        </is>
      </c>
    </row>
    <row r="5571">
      <c r="A5571" s="6" t="inlineStr">
        <is>
          <t>DJ30</t>
        </is>
      </c>
      <c r="B5571" s="6" t="inlineStr">
        <is>
          <t>2026-06-12</t>
        </is>
      </c>
      <c r="C5571" s="6" t="inlineStr">
        <is>
          <t>DIA</t>
        </is>
      </c>
      <c r="D5571" s="6" t="inlineStr">
        <is>
          <t>MSFT</t>
        </is>
      </c>
      <c r="E5571" s="6" t="inlineStr">
        <is>
          <t>MSFT</t>
        </is>
      </c>
      <c r="F5571" s="6" t="inlineStr">
        <is>
          <t>-</t>
        </is>
      </c>
      <c r="G5571" s="7" t="n">
        <v>390.739990234375</v>
      </c>
      <c r="H5571" s="6">
        <f>P5540</f>
        <v/>
      </c>
      <c r="I5571" s="9">
        <f>Q5540</f>
        <v/>
      </c>
      <c r="J5571" s="7">
        <f>I5571*G5571</f>
        <v/>
      </c>
      <c r="K5571" s="8">
        <f>IF($J$5581=0,0,J5571/$J$5581)</f>
        <v/>
      </c>
      <c r="L5571" s="6" t="inlineStr">
        <is>
          <t>REJECTED</t>
        </is>
      </c>
      <c r="M5571" s="8" t="n">
        <v>0</v>
      </c>
      <c r="N5571" s="7">
        <f>M5571*$J$5581-J5571</f>
        <v/>
      </c>
      <c r="O5571" s="9">
        <f>IF(G5571=0,0,N5571/G5571)</f>
        <v/>
      </c>
      <c r="P5571" s="6">
        <f>IF(M5571&gt;0,D5571,"")</f>
        <v/>
      </c>
      <c r="Q5571" s="9">
        <f>I5571+O5571</f>
        <v/>
      </c>
      <c r="R5571" s="7">
        <f>Q5571*G5571</f>
        <v/>
      </c>
      <c r="S5571" s="8">
        <f>IF($R$5581=0,0,R5571/$R$5581)</f>
        <v/>
      </c>
      <c r="T5571" s="8" t="n">
        <v>0.002160892953709803</v>
      </c>
      <c r="U5571" s="8" t="n">
        <v>0.006592061105164415</v>
      </c>
      <c r="V5571" s="6" t="inlineStr">
        <is>
          <t>not selected</t>
        </is>
      </c>
    </row>
    <row r="5572">
      <c r="A5572" s="6" t="inlineStr">
        <is>
          <t>DJ30</t>
        </is>
      </c>
      <c r="B5572" s="6" t="inlineStr">
        <is>
          <t>2026-06-12</t>
        </is>
      </c>
      <c r="C5572" s="6" t="inlineStr">
        <is>
          <t>DIA</t>
        </is>
      </c>
      <c r="D5572" s="6" t="inlineStr">
        <is>
          <t>NKE</t>
        </is>
      </c>
      <c r="E5572" s="6" t="inlineStr">
        <is>
          <t>NKE</t>
        </is>
      </c>
      <c r="F5572" s="6" t="inlineStr">
        <is>
          <t>-</t>
        </is>
      </c>
      <c r="G5572" s="7" t="n">
        <v>44.93000030517578</v>
      </c>
      <c r="H5572" s="6">
        <f>P5541</f>
        <v/>
      </c>
      <c r="I5572" s="9">
        <f>Q5541</f>
        <v/>
      </c>
      <c r="J5572" s="7">
        <f>I5572*G5572</f>
        <v/>
      </c>
      <c r="K5572" s="8">
        <f>IF($J$5581=0,0,J5572/$J$5581)</f>
        <v/>
      </c>
      <c r="L5572" s="6" t="inlineStr">
        <is>
          <t>REJECTED</t>
        </is>
      </c>
      <c r="M5572" s="8" t="n">
        <v>0</v>
      </c>
      <c r="N5572" s="7">
        <f>M5572*$J$5581-J5572</f>
        <v/>
      </c>
      <c r="O5572" s="9">
        <f>IF(G5572=0,0,N5572/G5572)</f>
        <v/>
      </c>
      <c r="P5572" s="6">
        <f>IF(M5572&gt;0,D5572,"")</f>
        <v/>
      </c>
      <c r="Q5572" s="9">
        <f>I5572+O5572</f>
        <v/>
      </c>
      <c r="R5572" s="7">
        <f>Q5572*G5572</f>
        <v/>
      </c>
      <c r="S5572" s="8">
        <f>IF($R$5581=0,0,R5572/$R$5581)</f>
        <v/>
      </c>
      <c r="T5572" s="8" t="n">
        <v>0.002160892953709803</v>
      </c>
      <c r="U5572" s="8" t="n">
        <v>0.006592061105164415</v>
      </c>
      <c r="V5572" s="6" t="inlineStr">
        <is>
          <t>not selected</t>
        </is>
      </c>
    </row>
    <row r="5573">
      <c r="A5573" s="6" t="inlineStr">
        <is>
          <t>DJ30</t>
        </is>
      </c>
      <c r="B5573" s="6" t="inlineStr">
        <is>
          <t>2026-06-12</t>
        </is>
      </c>
      <c r="C5573" s="6" t="inlineStr">
        <is>
          <t>DIA</t>
        </is>
      </c>
      <c r="D5573" s="6" t="inlineStr">
        <is>
          <t>NVDA</t>
        </is>
      </c>
      <c r="E5573" s="6" t="inlineStr">
        <is>
          <t>NVDA</t>
        </is>
      </c>
      <c r="F5573" s="6" t="inlineStr">
        <is>
          <t>-</t>
        </is>
      </c>
      <c r="G5573" s="7" t="n">
        <v>205.1900024414062</v>
      </c>
      <c r="H5573" s="6">
        <f>P5542</f>
        <v/>
      </c>
      <c r="I5573" s="9">
        <f>Q5542</f>
        <v/>
      </c>
      <c r="J5573" s="7">
        <f>I5573*G5573</f>
        <v/>
      </c>
      <c r="K5573" s="8">
        <f>IF($J$5581=0,0,J5573/$J$5581)</f>
        <v/>
      </c>
      <c r="L5573" s="6" t="inlineStr">
        <is>
          <t>WATCHLIST</t>
        </is>
      </c>
      <c r="M5573" s="8" t="n">
        <v>0</v>
      </c>
      <c r="N5573" s="7">
        <f>M5573*$J$5581-J5573</f>
        <v/>
      </c>
      <c r="O5573" s="9">
        <f>IF(G5573=0,0,N5573/G5573)</f>
        <v/>
      </c>
      <c r="P5573" s="6">
        <f>IF(M5573&gt;0,D5573,"")</f>
        <v/>
      </c>
      <c r="Q5573" s="9">
        <f>I5573+O5573</f>
        <v/>
      </c>
      <c r="R5573" s="7">
        <f>Q5573*G5573</f>
        <v/>
      </c>
      <c r="S5573" s="8">
        <f>IF($R$5581=0,0,R5573/$R$5581)</f>
        <v/>
      </c>
      <c r="T5573" s="8" t="n">
        <v>0.002160892953709803</v>
      </c>
      <c r="U5573" s="8" t="n">
        <v>0.006592061105164415</v>
      </c>
      <c r="V5573" s="6" t="inlineStr">
        <is>
          <t>not selected</t>
        </is>
      </c>
    </row>
    <row r="5574">
      <c r="A5574" s="6" t="inlineStr">
        <is>
          <t>DJ30</t>
        </is>
      </c>
      <c r="B5574" s="6" t="inlineStr">
        <is>
          <t>2026-06-12</t>
        </is>
      </c>
      <c r="C5574" s="6" t="inlineStr">
        <is>
          <t>DIA</t>
        </is>
      </c>
      <c r="D5574" s="6" t="inlineStr">
        <is>
          <t>PG</t>
        </is>
      </c>
      <c r="E5574" s="6" t="inlineStr">
        <is>
          <t>PG</t>
        </is>
      </c>
      <c r="F5574" s="6" t="inlineStr">
        <is>
          <t>-</t>
        </is>
      </c>
      <c r="G5574" s="7" t="n">
        <v>149.6100006103516</v>
      </c>
      <c r="H5574" s="6">
        <f>P5543</f>
        <v/>
      </c>
      <c r="I5574" s="9">
        <f>Q5543</f>
        <v/>
      </c>
      <c r="J5574" s="7">
        <f>I5574*G5574</f>
        <v/>
      </c>
      <c r="K5574" s="8">
        <f>IF($J$5581=0,0,J5574/$J$5581)</f>
        <v/>
      </c>
      <c r="L5574" s="6" t="inlineStr">
        <is>
          <t>REJECTED</t>
        </is>
      </c>
      <c r="M5574" s="8" t="n">
        <v>0</v>
      </c>
      <c r="N5574" s="7">
        <f>M5574*$J$5581-J5574</f>
        <v/>
      </c>
      <c r="O5574" s="9">
        <f>IF(G5574=0,0,N5574/G5574)</f>
        <v/>
      </c>
      <c r="P5574" s="6">
        <f>IF(M5574&gt;0,D5574,"")</f>
        <v/>
      </c>
      <c r="Q5574" s="9">
        <f>I5574+O5574</f>
        <v/>
      </c>
      <c r="R5574" s="7">
        <f>Q5574*G5574</f>
        <v/>
      </c>
      <c r="S5574" s="8">
        <f>IF($R$5581=0,0,R5574/$R$5581)</f>
        <v/>
      </c>
      <c r="T5574" s="8" t="n">
        <v>0.002160892953709803</v>
      </c>
      <c r="U5574" s="8" t="n">
        <v>0.006592061105164415</v>
      </c>
      <c r="V5574" s="6" t="inlineStr">
        <is>
          <t>not selected</t>
        </is>
      </c>
    </row>
    <row r="5575">
      <c r="A5575" s="6" t="inlineStr">
        <is>
          <t>DJ30</t>
        </is>
      </c>
      <c r="B5575" s="6" t="inlineStr">
        <is>
          <t>2026-06-12</t>
        </is>
      </c>
      <c r="C5575" s="6" t="inlineStr">
        <is>
          <t>DIA</t>
        </is>
      </c>
      <c r="D5575" s="6" t="inlineStr">
        <is>
          <t>SHW</t>
        </is>
      </c>
      <c r="E5575" s="6" t="inlineStr">
        <is>
          <t>SHW</t>
        </is>
      </c>
      <c r="F5575" s="6" t="inlineStr">
        <is>
          <t>-</t>
        </is>
      </c>
      <c r="G5575" s="7" t="n">
        <v>317.2999877929688</v>
      </c>
      <c r="H5575" s="6">
        <f>P5544</f>
        <v/>
      </c>
      <c r="I5575" s="9">
        <f>Q5544</f>
        <v/>
      </c>
      <c r="J5575" s="7">
        <f>I5575*G5575</f>
        <v/>
      </c>
      <c r="K5575" s="8">
        <f>IF($J$5581=0,0,J5575/$J$5581)</f>
        <v/>
      </c>
      <c r="L5575" s="6" t="inlineStr">
        <is>
          <t>REJECTED</t>
        </is>
      </c>
      <c r="M5575" s="8" t="n">
        <v>0</v>
      </c>
      <c r="N5575" s="7">
        <f>M5575*$J$5581-J5575</f>
        <v/>
      </c>
      <c r="O5575" s="9">
        <f>IF(G5575=0,0,N5575/G5575)</f>
        <v/>
      </c>
      <c r="P5575" s="6">
        <f>IF(M5575&gt;0,D5575,"")</f>
        <v/>
      </c>
      <c r="Q5575" s="9">
        <f>I5575+O5575</f>
        <v/>
      </c>
      <c r="R5575" s="7">
        <f>Q5575*G5575</f>
        <v/>
      </c>
      <c r="S5575" s="8">
        <f>IF($R$5581=0,0,R5575/$R$5581)</f>
        <v/>
      </c>
      <c r="T5575" s="8" t="n">
        <v>0.002160892953709803</v>
      </c>
      <c r="U5575" s="8" t="n">
        <v>0.006592061105164415</v>
      </c>
      <c r="V5575" s="6" t="inlineStr">
        <is>
          <t>not selected</t>
        </is>
      </c>
    </row>
    <row r="5576">
      <c r="A5576" s="6" t="inlineStr">
        <is>
          <t>DJ30</t>
        </is>
      </c>
      <c r="B5576" s="6" t="inlineStr">
        <is>
          <t>2026-06-12</t>
        </is>
      </c>
      <c r="C5576" s="6" t="inlineStr">
        <is>
          <t>DIA</t>
        </is>
      </c>
      <c r="D5576" s="6" t="inlineStr">
        <is>
          <t>TRV</t>
        </is>
      </c>
      <c r="E5576" s="6" t="inlineStr">
        <is>
          <t>TRV</t>
        </is>
      </c>
      <c r="F5576" s="6" t="inlineStr">
        <is>
          <t>-</t>
        </is>
      </c>
      <c r="G5576" s="7" t="n">
        <v>304.4599914550781</v>
      </c>
      <c r="H5576" s="6">
        <f>P5545</f>
        <v/>
      </c>
      <c r="I5576" s="9">
        <f>Q5545</f>
        <v/>
      </c>
      <c r="J5576" s="7">
        <f>I5576*G5576</f>
        <v/>
      </c>
      <c r="K5576" s="8">
        <f>IF($J$5581=0,0,J5576/$J$5581)</f>
        <v/>
      </c>
      <c r="L5576" s="6" t="inlineStr">
        <is>
          <t>WATCHLIST</t>
        </is>
      </c>
      <c r="M5576" s="8" t="n">
        <v>0</v>
      </c>
      <c r="N5576" s="7">
        <f>M5576*$J$5581-J5576</f>
        <v/>
      </c>
      <c r="O5576" s="9">
        <f>IF(G5576=0,0,N5576/G5576)</f>
        <v/>
      </c>
      <c r="P5576" s="6">
        <f>IF(M5576&gt;0,D5576,"")</f>
        <v/>
      </c>
      <c r="Q5576" s="9">
        <f>I5576+O5576</f>
        <v/>
      </c>
      <c r="R5576" s="7">
        <f>Q5576*G5576</f>
        <v/>
      </c>
      <c r="S5576" s="8">
        <f>IF($R$5581=0,0,R5576/$R$5581)</f>
        <v/>
      </c>
      <c r="T5576" s="8" t="n">
        <v>0.002160892953709803</v>
      </c>
      <c r="U5576" s="8" t="n">
        <v>0.006592061105164415</v>
      </c>
      <c r="V5576" s="6" t="inlineStr">
        <is>
          <t>not selected</t>
        </is>
      </c>
    </row>
    <row r="5577">
      <c r="A5577" s="6" t="inlineStr">
        <is>
          <t>DJ30</t>
        </is>
      </c>
      <c r="B5577" s="6" t="inlineStr">
        <is>
          <t>2026-06-12</t>
        </is>
      </c>
      <c r="C5577" s="6" t="inlineStr">
        <is>
          <t>DIA</t>
        </is>
      </c>
      <c r="D5577" s="6" t="inlineStr">
        <is>
          <t>UNH</t>
        </is>
      </c>
      <c r="E5577" s="6" t="inlineStr">
        <is>
          <t>UNH</t>
        </is>
      </c>
      <c r="F5577" s="6" t="inlineStr">
        <is>
          <t>-</t>
        </is>
      </c>
      <c r="G5577" s="7" t="n">
        <v>406.2000122070313</v>
      </c>
      <c r="H5577" s="6">
        <f>P5546</f>
        <v/>
      </c>
      <c r="I5577" s="9">
        <f>Q5546</f>
        <v/>
      </c>
      <c r="J5577" s="7">
        <f>I5577*G5577</f>
        <v/>
      </c>
      <c r="K5577" s="8">
        <f>IF($J$5581=0,0,J5577/$J$5581)</f>
        <v/>
      </c>
      <c r="L5577" s="6" t="inlineStr">
        <is>
          <t>REJECTED</t>
        </is>
      </c>
      <c r="M5577" s="8" t="n">
        <v>0</v>
      </c>
      <c r="N5577" s="7">
        <f>M5577*$J$5581-J5577</f>
        <v/>
      </c>
      <c r="O5577" s="9">
        <f>IF(G5577=0,0,N5577/G5577)</f>
        <v/>
      </c>
      <c r="P5577" s="6">
        <f>IF(M5577&gt;0,D5577,"")</f>
        <v/>
      </c>
      <c r="Q5577" s="9">
        <f>I5577+O5577</f>
        <v/>
      </c>
      <c r="R5577" s="7">
        <f>Q5577*G5577</f>
        <v/>
      </c>
      <c r="S5577" s="8">
        <f>IF($R$5581=0,0,R5577/$R$5581)</f>
        <v/>
      </c>
      <c r="T5577" s="8" t="n">
        <v>0.002160892953709803</v>
      </c>
      <c r="U5577" s="8" t="n">
        <v>0.006592061105164415</v>
      </c>
      <c r="V5577" s="6" t="inlineStr">
        <is>
          <t>not selected</t>
        </is>
      </c>
    </row>
    <row r="5578">
      <c r="A5578" s="6" t="inlineStr">
        <is>
          <t>DJ30</t>
        </is>
      </c>
      <c r="B5578" s="6" t="inlineStr">
        <is>
          <t>2026-06-12</t>
        </is>
      </c>
      <c r="C5578" s="6" t="inlineStr">
        <is>
          <t>DIA</t>
        </is>
      </c>
      <c r="D5578" s="6" t="inlineStr">
        <is>
          <t>V</t>
        </is>
      </c>
      <c r="E5578" s="6" t="inlineStr">
        <is>
          <t>V</t>
        </is>
      </c>
      <c r="F5578" s="6" t="inlineStr">
        <is>
          <t>-</t>
        </is>
      </c>
      <c r="G5578" s="7" t="n">
        <v>322.3900146484375</v>
      </c>
      <c r="H5578" s="6">
        <f>P5547</f>
        <v/>
      </c>
      <c r="I5578" s="9">
        <f>Q5547</f>
        <v/>
      </c>
      <c r="J5578" s="7">
        <f>I5578*G5578</f>
        <v/>
      </c>
      <c r="K5578" s="8">
        <f>IF($J$5581=0,0,J5578/$J$5581)</f>
        <v/>
      </c>
      <c r="L5578" s="6" t="inlineStr">
        <is>
          <t>REJECTED</t>
        </is>
      </c>
      <c r="M5578" s="8" t="n">
        <v>0</v>
      </c>
      <c r="N5578" s="7">
        <f>M5578*$J$5581-J5578</f>
        <v/>
      </c>
      <c r="O5578" s="9">
        <f>IF(G5578=0,0,N5578/G5578)</f>
        <v/>
      </c>
      <c r="P5578" s="6">
        <f>IF(M5578&gt;0,D5578,"")</f>
        <v/>
      </c>
      <c r="Q5578" s="9">
        <f>I5578+O5578</f>
        <v/>
      </c>
      <c r="R5578" s="7">
        <f>Q5578*G5578</f>
        <v/>
      </c>
      <c r="S5578" s="8">
        <f>IF($R$5581=0,0,R5578/$R$5581)</f>
        <v/>
      </c>
      <c r="T5578" s="8" t="n">
        <v>0.002160892953709803</v>
      </c>
      <c r="U5578" s="8" t="n">
        <v>0.006592061105164415</v>
      </c>
      <c r="V5578" s="6" t="inlineStr">
        <is>
          <t>not selected</t>
        </is>
      </c>
    </row>
    <row r="5579">
      <c r="A5579" s="6" t="inlineStr">
        <is>
          <t>DJ30</t>
        </is>
      </c>
      <c r="B5579" s="6" t="inlineStr">
        <is>
          <t>2026-06-12</t>
        </is>
      </c>
      <c r="C5579" s="6" t="inlineStr">
        <is>
          <t>DIA</t>
        </is>
      </c>
      <c r="D5579" s="6" t="inlineStr">
        <is>
          <t>VZ</t>
        </is>
      </c>
      <c r="E5579" s="6" t="inlineStr">
        <is>
          <t>VZ</t>
        </is>
      </c>
      <c r="F5579" s="6" t="inlineStr">
        <is>
          <t>-</t>
        </is>
      </c>
      <c r="G5579" s="7" t="n">
        <v>48.11000061035156</v>
      </c>
      <c r="H5579" s="6">
        <f>P5548</f>
        <v/>
      </c>
      <c r="I5579" s="9">
        <f>Q5548</f>
        <v/>
      </c>
      <c r="J5579" s="7">
        <f>I5579*G5579</f>
        <v/>
      </c>
      <c r="K5579" s="8">
        <f>IF($J$5581=0,0,J5579/$J$5581)</f>
        <v/>
      </c>
      <c r="L5579" s="6" t="inlineStr">
        <is>
          <t>WATCHLIST</t>
        </is>
      </c>
      <c r="M5579" s="8" t="n">
        <v>0</v>
      </c>
      <c r="N5579" s="7">
        <f>M5579*$J$5581-J5579</f>
        <v/>
      </c>
      <c r="O5579" s="9">
        <f>IF(G5579=0,0,N5579/G5579)</f>
        <v/>
      </c>
      <c r="P5579" s="6">
        <f>IF(M5579&gt;0,D5579,"")</f>
        <v/>
      </c>
      <c r="Q5579" s="9">
        <f>I5579+O5579</f>
        <v/>
      </c>
      <c r="R5579" s="7">
        <f>Q5579*G5579</f>
        <v/>
      </c>
      <c r="S5579" s="8">
        <f>IF($R$5581=0,0,R5579/$R$5581)</f>
        <v/>
      </c>
      <c r="T5579" s="8" t="n">
        <v>0.002160892953709803</v>
      </c>
      <c r="U5579" s="8" t="n">
        <v>0.006592061105164415</v>
      </c>
      <c r="V5579" s="6" t="inlineStr">
        <is>
          <t>not selected</t>
        </is>
      </c>
    </row>
    <row r="5580">
      <c r="A5580" s="6" t="inlineStr">
        <is>
          <t>DJ30</t>
        </is>
      </c>
      <c r="B5580" s="6" t="inlineStr">
        <is>
          <t>2026-06-12</t>
        </is>
      </c>
      <c r="C5580" s="6" t="inlineStr">
        <is>
          <t>DIA</t>
        </is>
      </c>
      <c r="D5580" s="6" t="inlineStr">
        <is>
          <t>WMT</t>
        </is>
      </c>
      <c r="E5580" s="6" t="inlineStr">
        <is>
          <t>WMT</t>
        </is>
      </c>
      <c r="F5580" s="6" t="inlineStr">
        <is>
          <t>-</t>
        </is>
      </c>
      <c r="G5580" s="7" t="n">
        <v>121.0400009155273</v>
      </c>
      <c r="H5580" s="6">
        <f>P5549</f>
        <v/>
      </c>
      <c r="I5580" s="9">
        <f>Q5549</f>
        <v/>
      </c>
      <c r="J5580" s="7">
        <f>I5580*G5580</f>
        <v/>
      </c>
      <c r="K5580" s="8">
        <f>IF($J$5581=0,0,J5580/$J$5581)</f>
        <v/>
      </c>
      <c r="L5580" s="6" t="inlineStr">
        <is>
          <t>WATCHLIST</t>
        </is>
      </c>
      <c r="M5580" s="8" t="n">
        <v>0</v>
      </c>
      <c r="N5580" s="7">
        <f>M5580*$J$5581-J5580</f>
        <v/>
      </c>
      <c r="O5580" s="9">
        <f>IF(G5580=0,0,N5580/G5580)</f>
        <v/>
      </c>
      <c r="P5580" s="6">
        <f>IF(M5580&gt;0,D5580,"")</f>
        <v/>
      </c>
      <c r="Q5580" s="9">
        <f>I5580+O5580</f>
        <v/>
      </c>
      <c r="R5580" s="7">
        <f>Q5580*G5580</f>
        <v/>
      </c>
      <c r="S5580" s="8">
        <f>IF($R$5581=0,0,R5580/$R$5581)</f>
        <v/>
      </c>
      <c r="T5580" s="8" t="n">
        <v>0.002160892953709803</v>
      </c>
      <c r="U5580" s="8" t="n">
        <v>0.006592061105164415</v>
      </c>
      <c r="V5580" s="6" t="inlineStr">
        <is>
          <t>not selected</t>
        </is>
      </c>
    </row>
    <row r="5581">
      <c r="A5581" s="10" t="inlineStr">
        <is>
          <t>DJ30</t>
        </is>
      </c>
      <c r="B5581" s="10" t="inlineStr">
        <is>
          <t>2026-06-12</t>
        </is>
      </c>
      <c r="C5581" s="10" t="inlineStr">
        <is>
          <t>DIA</t>
        </is>
      </c>
      <c r="D5581" s="10" t="inlineStr">
        <is>
          <t>Tot Portfolio</t>
        </is>
      </c>
      <c r="E5581" s="10" t="inlineStr"/>
      <c r="F5581" s="10" t="inlineStr"/>
      <c r="G5581" s="11" t="inlineStr"/>
      <c r="H5581" s="10" t="inlineStr"/>
      <c r="I5581" s="12" t="inlineStr"/>
      <c r="J5581" s="11">
        <f>SUM(J5551:J5580)</f>
        <v/>
      </c>
      <c r="K5581" s="13">
        <f>SUM(K5551:K5580)</f>
        <v/>
      </c>
      <c r="L5581" s="10" t="inlineStr">
        <is>
          <t>TOTAL</t>
        </is>
      </c>
      <c r="M5581" s="13">
        <f>SUM(M5551:M5580)</f>
        <v/>
      </c>
      <c r="N5581" s="11">
        <f>SUM(N5551:N5580)</f>
        <v/>
      </c>
      <c r="O5581" s="12">
        <f>SUM(O5551:O5580)</f>
        <v/>
      </c>
      <c r="P5581" s="10" t="inlineStr"/>
      <c r="Q5581" s="12" t="inlineStr"/>
      <c r="R5581" s="11">
        <f>SUM(R5551:R5580)</f>
        <v/>
      </c>
      <c r="S5581" s="13">
        <f>SUM(S5551:S5580)</f>
        <v/>
      </c>
      <c r="T5581" s="13" t="n">
        <v>0.002160892953709803</v>
      </c>
      <c r="U5581" s="13" t="n">
        <v>0.006592061105164415</v>
      </c>
      <c r="V5581" s="10" t="inlineStr"/>
    </row>
    <row r="5582">
      <c r="A5582" s="6" t="inlineStr">
        <is>
          <t>DJ30</t>
        </is>
      </c>
      <c r="B5582" s="6" t="inlineStr">
        <is>
          <t>2026-06-19</t>
        </is>
      </c>
      <c r="C5582" s="6" t="inlineStr">
        <is>
          <t>DIA</t>
        </is>
      </c>
      <c r="D5582" s="6" t="inlineStr">
        <is>
          <t>AAPL</t>
        </is>
      </c>
      <c r="E5582" s="6" t="inlineStr">
        <is>
          <t>AAPL</t>
        </is>
      </c>
      <c r="F5582" s="6" t="inlineStr">
        <is>
          <t>-</t>
        </is>
      </c>
      <c r="G5582" s="7" t="n">
        <v>298.010009765625</v>
      </c>
      <c r="H5582" s="6">
        <f>P5551</f>
        <v/>
      </c>
      <c r="I5582" s="9">
        <f>Q5551</f>
        <v/>
      </c>
      <c r="J5582" s="7">
        <f>I5582*G5582</f>
        <v/>
      </c>
      <c r="K5582" s="8">
        <f>IF($J$5612=0,0,J5582/$J$5612)</f>
        <v/>
      </c>
      <c r="L5582" s="6" t="inlineStr">
        <is>
          <t>WATCHLIST</t>
        </is>
      </c>
      <c r="M5582" s="8" t="n">
        <v>0</v>
      </c>
      <c r="N5582" s="7">
        <f>M5582*$J$5612-J5582</f>
        <v/>
      </c>
      <c r="O5582" s="9">
        <f>IF(G5582=0,0,N5582/G5582)</f>
        <v/>
      </c>
      <c r="P5582" s="6">
        <f>IF(M5582&gt;0,D5582,"")</f>
        <v/>
      </c>
      <c r="Q5582" s="9">
        <f>I5582+O5582</f>
        <v/>
      </c>
      <c r="R5582" s="7">
        <f>Q5582*G5582</f>
        <v/>
      </c>
      <c r="S5582" s="8">
        <f>IF($R$5612=0,0,R5582/$R$5612)</f>
        <v/>
      </c>
      <c r="T5582" s="8" t="n">
        <v>-0.001529765001304528</v>
      </c>
      <c r="U5582" s="8" t="n">
        <v>0.00753665156902894</v>
      </c>
      <c r="V5582" s="6" t="inlineStr">
        <is>
          <t>not selected</t>
        </is>
      </c>
    </row>
    <row r="5583">
      <c r="A5583" s="6" t="inlineStr">
        <is>
          <t>DJ30</t>
        </is>
      </c>
      <c r="B5583" s="6" t="inlineStr">
        <is>
          <t>2026-06-19</t>
        </is>
      </c>
      <c r="C5583" s="6" t="inlineStr">
        <is>
          <t>DIA</t>
        </is>
      </c>
      <c r="D5583" s="6" t="inlineStr">
        <is>
          <t>AMGN</t>
        </is>
      </c>
      <c r="E5583" s="6" t="inlineStr">
        <is>
          <t>AMGN</t>
        </is>
      </c>
      <c r="F5583" s="6" t="inlineStr">
        <is>
          <t>-</t>
        </is>
      </c>
      <c r="G5583" s="7" t="n">
        <v>337.6000061035156</v>
      </c>
      <c r="H5583" s="6">
        <f>P5552</f>
        <v/>
      </c>
      <c r="I5583" s="9">
        <f>Q5552</f>
        <v/>
      </c>
      <c r="J5583" s="7">
        <f>I5583*G5583</f>
        <v/>
      </c>
      <c r="K5583" s="8">
        <f>IF($J$5612=0,0,J5583/$J$5612)</f>
        <v/>
      </c>
      <c r="L5583" s="6" t="inlineStr">
        <is>
          <t>WATCHLIST</t>
        </is>
      </c>
      <c r="M5583" s="8" t="n">
        <v>0</v>
      </c>
      <c r="N5583" s="7">
        <f>M5583*$J$5612-J5583</f>
        <v/>
      </c>
      <c r="O5583" s="9">
        <f>IF(G5583=0,0,N5583/G5583)</f>
        <v/>
      </c>
      <c r="P5583" s="6">
        <f>IF(M5583&gt;0,D5583,"")</f>
        <v/>
      </c>
      <c r="Q5583" s="9">
        <f>I5583+O5583</f>
        <v/>
      </c>
      <c r="R5583" s="7">
        <f>Q5583*G5583</f>
        <v/>
      </c>
      <c r="S5583" s="8">
        <f>IF($R$5612=0,0,R5583/$R$5612)</f>
        <v/>
      </c>
      <c r="T5583" s="8" t="n">
        <v>-0.001529765001304528</v>
      </c>
      <c r="U5583" s="8" t="n">
        <v>0.00753665156902894</v>
      </c>
      <c r="V5583" s="6" t="inlineStr">
        <is>
          <t>not selected</t>
        </is>
      </c>
    </row>
    <row r="5584">
      <c r="A5584" s="6" t="inlineStr">
        <is>
          <t>DJ30</t>
        </is>
      </c>
      <c r="B5584" s="6" t="inlineStr">
        <is>
          <t>2026-06-19</t>
        </is>
      </c>
      <c r="C5584" s="6" t="inlineStr">
        <is>
          <t>DIA</t>
        </is>
      </c>
      <c r="D5584" s="6" t="inlineStr">
        <is>
          <t>AMZN</t>
        </is>
      </c>
      <c r="E5584" s="6" t="inlineStr">
        <is>
          <t>AMZN</t>
        </is>
      </c>
      <c r="F5584" s="6" t="inlineStr">
        <is>
          <t>-</t>
        </is>
      </c>
      <c r="G5584" s="7" t="n">
        <v>244.3899993896484</v>
      </c>
      <c r="H5584" s="6">
        <f>P5553</f>
        <v/>
      </c>
      <c r="I5584" s="9">
        <f>Q5553</f>
        <v/>
      </c>
      <c r="J5584" s="7">
        <f>I5584*G5584</f>
        <v/>
      </c>
      <c r="K5584" s="8">
        <f>IF($J$5612=0,0,J5584/$J$5612)</f>
        <v/>
      </c>
      <c r="L5584" s="6" t="inlineStr">
        <is>
          <t>REJECTED</t>
        </is>
      </c>
      <c r="M5584" s="8" t="n">
        <v>0</v>
      </c>
      <c r="N5584" s="7">
        <f>M5584*$J$5612-J5584</f>
        <v/>
      </c>
      <c r="O5584" s="9">
        <f>IF(G5584=0,0,N5584/G5584)</f>
        <v/>
      </c>
      <c r="P5584" s="6">
        <f>IF(M5584&gt;0,D5584,"")</f>
        <v/>
      </c>
      <c r="Q5584" s="9">
        <f>I5584+O5584</f>
        <v/>
      </c>
      <c r="R5584" s="7">
        <f>Q5584*G5584</f>
        <v/>
      </c>
      <c r="S5584" s="8">
        <f>IF($R$5612=0,0,R5584/$R$5612)</f>
        <v/>
      </c>
      <c r="T5584" s="8" t="n">
        <v>-0.001529765001304528</v>
      </c>
      <c r="U5584" s="8" t="n">
        <v>0.00753665156902894</v>
      </c>
      <c r="V5584" s="6" t="inlineStr">
        <is>
          <t>not selected</t>
        </is>
      </c>
    </row>
    <row r="5585">
      <c r="A5585" s="6" t="inlineStr">
        <is>
          <t>DJ30</t>
        </is>
      </c>
      <c r="B5585" s="6" t="inlineStr">
        <is>
          <t>2026-06-19</t>
        </is>
      </c>
      <c r="C5585" s="6" t="inlineStr">
        <is>
          <t>DIA</t>
        </is>
      </c>
      <c r="D5585" s="6" t="inlineStr">
        <is>
          <t>AXP</t>
        </is>
      </c>
      <c r="E5585" s="6" t="inlineStr">
        <is>
          <t>AXP</t>
        </is>
      </c>
      <c r="F5585" s="6" t="inlineStr">
        <is>
          <t>-</t>
        </is>
      </c>
      <c r="G5585" s="7" t="n">
        <v>338</v>
      </c>
      <c r="H5585" s="6">
        <f>P5554</f>
        <v/>
      </c>
      <c r="I5585" s="9">
        <f>Q5554</f>
        <v/>
      </c>
      <c r="J5585" s="7">
        <f>I5585*G5585</f>
        <v/>
      </c>
      <c r="K5585" s="8">
        <f>IF($J$5612=0,0,J5585/$J$5612)</f>
        <v/>
      </c>
      <c r="L5585" s="6" t="inlineStr">
        <is>
          <t>REJECTED</t>
        </is>
      </c>
      <c r="M5585" s="8" t="n">
        <v>0</v>
      </c>
      <c r="N5585" s="7">
        <f>M5585*$J$5612-J5585</f>
        <v/>
      </c>
      <c r="O5585" s="9">
        <f>IF(G5585=0,0,N5585/G5585)</f>
        <v/>
      </c>
      <c r="P5585" s="6">
        <f>IF(M5585&gt;0,D5585,"")</f>
        <v/>
      </c>
      <c r="Q5585" s="9">
        <f>I5585+O5585</f>
        <v/>
      </c>
      <c r="R5585" s="7">
        <f>Q5585*G5585</f>
        <v/>
      </c>
      <c r="S5585" s="8">
        <f>IF($R$5612=0,0,R5585/$R$5612)</f>
        <v/>
      </c>
      <c r="T5585" s="8" t="n">
        <v>-0.001529765001304528</v>
      </c>
      <c r="U5585" s="8" t="n">
        <v>0.00753665156902894</v>
      </c>
      <c r="V5585" s="6" t="inlineStr">
        <is>
          <t>not selected</t>
        </is>
      </c>
    </row>
    <row r="5586">
      <c r="A5586" s="6" t="inlineStr">
        <is>
          <t>DJ30</t>
        </is>
      </c>
      <c r="B5586" s="6" t="inlineStr">
        <is>
          <t>2026-06-19</t>
        </is>
      </c>
      <c r="C5586" s="6" t="inlineStr">
        <is>
          <t>DIA</t>
        </is>
      </c>
      <c r="D5586" s="6" t="inlineStr">
        <is>
          <t>BA</t>
        </is>
      </c>
      <c r="E5586" s="6" t="inlineStr">
        <is>
          <t>BA</t>
        </is>
      </c>
      <c r="F5586" s="6" t="inlineStr">
        <is>
          <t>-</t>
        </is>
      </c>
      <c r="G5586" s="7" t="n">
        <v>222.7200012207031</v>
      </c>
      <c r="H5586" s="6">
        <f>P5555</f>
        <v/>
      </c>
      <c r="I5586" s="9">
        <f>Q5555</f>
        <v/>
      </c>
      <c r="J5586" s="7">
        <f>I5586*G5586</f>
        <v/>
      </c>
      <c r="K5586" s="8">
        <f>IF($J$5612=0,0,J5586/$J$5612)</f>
        <v/>
      </c>
      <c r="L5586" s="6" t="inlineStr">
        <is>
          <t>REJECTED</t>
        </is>
      </c>
      <c r="M5586" s="8" t="n">
        <v>0</v>
      </c>
      <c r="N5586" s="7">
        <f>M5586*$J$5612-J5586</f>
        <v/>
      </c>
      <c r="O5586" s="9">
        <f>IF(G5586=0,0,N5586/G5586)</f>
        <v/>
      </c>
      <c r="P5586" s="6">
        <f>IF(M5586&gt;0,D5586,"")</f>
        <v/>
      </c>
      <c r="Q5586" s="9">
        <f>I5586+O5586</f>
        <v/>
      </c>
      <c r="R5586" s="7">
        <f>Q5586*G5586</f>
        <v/>
      </c>
      <c r="S5586" s="8">
        <f>IF($R$5612=0,0,R5586/$R$5612)</f>
        <v/>
      </c>
      <c r="T5586" s="8" t="n">
        <v>-0.001529765001304528</v>
      </c>
      <c r="U5586" s="8" t="n">
        <v>0.00753665156902894</v>
      </c>
      <c r="V5586" s="6" t="inlineStr">
        <is>
          <t>not selected</t>
        </is>
      </c>
    </row>
    <row r="5587">
      <c r="A5587" s="6" t="inlineStr">
        <is>
          <t>DJ30</t>
        </is>
      </c>
      <c r="B5587" s="6" t="inlineStr">
        <is>
          <t>2026-06-19</t>
        </is>
      </c>
      <c r="C5587" s="6" t="inlineStr">
        <is>
          <t>DIA</t>
        </is>
      </c>
      <c r="D5587" s="6" t="inlineStr">
        <is>
          <t>CAT</t>
        </is>
      </c>
      <c r="E5587" s="6" t="inlineStr">
        <is>
          <t>CAT</t>
        </is>
      </c>
      <c r="F5587" s="6" t="inlineStr">
        <is>
          <t>-</t>
        </is>
      </c>
      <c r="G5587" s="7" t="n">
        <v>985.8200073242188</v>
      </c>
      <c r="H5587" s="6">
        <f>P5556</f>
        <v/>
      </c>
      <c r="I5587" s="9">
        <f>Q5556</f>
        <v/>
      </c>
      <c r="J5587" s="7">
        <f>I5587*G5587</f>
        <v/>
      </c>
      <c r="K5587" s="8">
        <f>IF($J$5612=0,0,J5587/$J$5612)</f>
        <v/>
      </c>
      <c r="L5587" s="6" t="inlineStr">
        <is>
          <t>SELECTED</t>
        </is>
      </c>
      <c r="M5587" s="8" t="n">
        <v>0.2</v>
      </c>
      <c r="N5587" s="7">
        <f>M5587*$J$5612-J5587</f>
        <v/>
      </c>
      <c r="O5587" s="9">
        <f>IF(G5587=0,0,N5587/G5587)</f>
        <v/>
      </c>
      <c r="P5587" s="6">
        <f>IF(M5587&gt;0,D5587,"")</f>
        <v/>
      </c>
      <c r="Q5587" s="9">
        <f>I5587+O5587</f>
        <v/>
      </c>
      <c r="R5587" s="7">
        <f>Q5587*G5587</f>
        <v/>
      </c>
      <c r="S5587" s="8">
        <f>IF($R$5612=0,0,R5587/$R$5612)</f>
        <v/>
      </c>
      <c r="T5587" s="8" t="n">
        <v>-0.001529765001304528</v>
      </c>
      <c r="U5587" s="8" t="n">
        <v>0.00753665156902894</v>
      </c>
      <c r="V5587" s="6" t="inlineStr">
        <is>
          <t>remained in weekly selection</t>
        </is>
      </c>
    </row>
    <row r="5588">
      <c r="A5588" s="6" t="inlineStr">
        <is>
          <t>DJ30</t>
        </is>
      </c>
      <c r="B5588" s="6" t="inlineStr">
        <is>
          <t>2026-06-19</t>
        </is>
      </c>
      <c r="C5588" s="6" t="inlineStr">
        <is>
          <t>DIA</t>
        </is>
      </c>
      <c r="D5588" s="6" t="inlineStr">
        <is>
          <t>CRM</t>
        </is>
      </c>
      <c r="E5588" s="6" t="inlineStr">
        <is>
          <t>CRM</t>
        </is>
      </c>
      <c r="F5588" s="6" t="inlineStr">
        <is>
          <t>-</t>
        </is>
      </c>
      <c r="G5588" s="7" t="n">
        <v>151.7799987792969</v>
      </c>
      <c r="H5588" s="6">
        <f>P5557</f>
        <v/>
      </c>
      <c r="I5588" s="9">
        <f>Q5557</f>
        <v/>
      </c>
      <c r="J5588" s="7">
        <f>I5588*G5588</f>
        <v/>
      </c>
      <c r="K5588" s="8">
        <f>IF($J$5612=0,0,J5588/$J$5612)</f>
        <v/>
      </c>
      <c r="L5588" s="6" t="inlineStr">
        <is>
          <t>REJECTED</t>
        </is>
      </c>
      <c r="M5588" s="8" t="n">
        <v>0</v>
      </c>
      <c r="N5588" s="7">
        <f>M5588*$J$5612-J5588</f>
        <v/>
      </c>
      <c r="O5588" s="9">
        <f>IF(G5588=0,0,N5588/G5588)</f>
        <v/>
      </c>
      <c r="P5588" s="6">
        <f>IF(M5588&gt;0,D5588,"")</f>
        <v/>
      </c>
      <c r="Q5588" s="9">
        <f>I5588+O5588</f>
        <v/>
      </c>
      <c r="R5588" s="7">
        <f>Q5588*G5588</f>
        <v/>
      </c>
      <c r="S5588" s="8">
        <f>IF($R$5612=0,0,R5588/$R$5612)</f>
        <v/>
      </c>
      <c r="T5588" s="8" t="n">
        <v>-0.001529765001304528</v>
      </c>
      <c r="U5588" s="8" t="n">
        <v>0.00753665156902894</v>
      </c>
      <c r="V5588" s="6" t="inlineStr">
        <is>
          <t>not selected</t>
        </is>
      </c>
    </row>
    <row r="5589">
      <c r="A5589" s="6" t="inlineStr">
        <is>
          <t>DJ30</t>
        </is>
      </c>
      <c r="B5589" s="6" t="inlineStr">
        <is>
          <t>2026-06-19</t>
        </is>
      </c>
      <c r="C5589" s="6" t="inlineStr">
        <is>
          <t>DIA</t>
        </is>
      </c>
      <c r="D5589" s="6" t="inlineStr">
        <is>
          <t>CSCO</t>
        </is>
      </c>
      <c r="E5589" s="6" t="inlineStr">
        <is>
          <t>CSCO</t>
        </is>
      </c>
      <c r="F5589" s="6" t="inlineStr">
        <is>
          <t>-</t>
        </is>
      </c>
      <c r="G5589" s="7" t="n">
        <v>119.5400009155273</v>
      </c>
      <c r="H5589" s="6">
        <f>P5558</f>
        <v/>
      </c>
      <c r="I5589" s="9">
        <f>Q5558</f>
        <v/>
      </c>
      <c r="J5589" s="7">
        <f>I5589*G5589</f>
        <v/>
      </c>
      <c r="K5589" s="8">
        <f>IF($J$5612=0,0,J5589/$J$5612)</f>
        <v/>
      </c>
      <c r="L5589" s="6" t="inlineStr">
        <is>
          <t>SELECTED</t>
        </is>
      </c>
      <c r="M5589" s="8" t="n">
        <v>0.2</v>
      </c>
      <c r="N5589" s="7">
        <f>M5589*$J$5612-J5589</f>
        <v/>
      </c>
      <c r="O5589" s="9">
        <f>IF(G5589=0,0,N5589/G5589)</f>
        <v/>
      </c>
      <c r="P5589" s="6">
        <f>IF(M5589&gt;0,D5589,"")</f>
        <v/>
      </c>
      <c r="Q5589" s="9">
        <f>I5589+O5589</f>
        <v/>
      </c>
      <c r="R5589" s="7">
        <f>Q5589*G5589</f>
        <v/>
      </c>
      <c r="S5589" s="8">
        <f>IF($R$5612=0,0,R5589/$R$5612)</f>
        <v/>
      </c>
      <c r="T5589" s="8" t="n">
        <v>-0.001529765001304528</v>
      </c>
      <c r="U5589" s="8" t="n">
        <v>0.00753665156902894</v>
      </c>
      <c r="V5589" s="6" t="inlineStr">
        <is>
          <t>remained in weekly selection</t>
        </is>
      </c>
    </row>
    <row r="5590">
      <c r="A5590" s="6" t="inlineStr">
        <is>
          <t>DJ30</t>
        </is>
      </c>
      <c r="B5590" s="6" t="inlineStr">
        <is>
          <t>2026-06-19</t>
        </is>
      </c>
      <c r="C5590" s="6" t="inlineStr">
        <is>
          <t>DIA</t>
        </is>
      </c>
      <c r="D5590" s="6" t="inlineStr">
        <is>
          <t>CVX</t>
        </is>
      </c>
      <c r="E5590" s="6" t="inlineStr">
        <is>
          <t>CVX</t>
        </is>
      </c>
      <c r="F5590" s="6" t="inlineStr">
        <is>
          <t>-</t>
        </is>
      </c>
      <c r="G5590" s="7" t="n">
        <v>173.6300048828125</v>
      </c>
      <c r="H5590" s="6">
        <f>P5559</f>
        <v/>
      </c>
      <c r="I5590" s="9">
        <f>Q5559</f>
        <v/>
      </c>
      <c r="J5590" s="7">
        <f>I5590*G5590</f>
        <v/>
      </c>
      <c r="K5590" s="8">
        <f>IF($J$5612=0,0,J5590/$J$5612)</f>
        <v/>
      </c>
      <c r="L5590" s="6" t="inlineStr">
        <is>
          <t>SELECTED</t>
        </is>
      </c>
      <c r="M5590" s="8" t="n">
        <v>0.2</v>
      </c>
      <c r="N5590" s="7">
        <f>M5590*$J$5612-J5590</f>
        <v/>
      </c>
      <c r="O5590" s="9">
        <f>IF(G5590=0,0,N5590/G5590)</f>
        <v/>
      </c>
      <c r="P5590" s="6">
        <f>IF(M5590&gt;0,D5590,"")</f>
        <v/>
      </c>
      <c r="Q5590" s="9">
        <f>I5590+O5590</f>
        <v/>
      </c>
      <c r="R5590" s="7">
        <f>Q5590*G5590</f>
        <v/>
      </c>
      <c r="S5590" s="8">
        <f>IF($R$5612=0,0,R5590/$R$5612)</f>
        <v/>
      </c>
      <c r="T5590" s="8" t="n">
        <v>-0.001529765001304528</v>
      </c>
      <c r="U5590" s="8" t="n">
        <v>0.00753665156902894</v>
      </c>
      <c r="V5590" s="6" t="inlineStr">
        <is>
          <t>remained in weekly selection</t>
        </is>
      </c>
    </row>
    <row r="5591">
      <c r="A5591" s="6" t="inlineStr">
        <is>
          <t>DJ30</t>
        </is>
      </c>
      <c r="B5591" s="6" t="inlineStr">
        <is>
          <t>2026-06-19</t>
        </is>
      </c>
      <c r="C5591" s="6" t="inlineStr">
        <is>
          <t>DIA</t>
        </is>
      </c>
      <c r="D5591" s="6" t="inlineStr">
        <is>
          <t>DIS</t>
        </is>
      </c>
      <c r="E5591" s="6" t="inlineStr">
        <is>
          <t>DIS</t>
        </is>
      </c>
      <c r="F5591" s="6" t="inlineStr">
        <is>
          <t>-</t>
        </is>
      </c>
      <c r="G5591" s="7" t="n">
        <v>103.8899993896484</v>
      </c>
      <c r="H5591" s="6">
        <f>P5560</f>
        <v/>
      </c>
      <c r="I5591" s="9">
        <f>Q5560</f>
        <v/>
      </c>
      <c r="J5591" s="7">
        <f>I5591*G5591</f>
        <v/>
      </c>
      <c r="K5591" s="8">
        <f>IF($J$5612=0,0,J5591/$J$5612)</f>
        <v/>
      </c>
      <c r="L5591" s="6" t="inlineStr">
        <is>
          <t>REJECTED</t>
        </is>
      </c>
      <c r="M5591" s="8" t="n">
        <v>0</v>
      </c>
      <c r="N5591" s="7">
        <f>M5591*$J$5612-J5591</f>
        <v/>
      </c>
      <c r="O5591" s="9">
        <f>IF(G5591=0,0,N5591/G5591)</f>
        <v/>
      </c>
      <c r="P5591" s="6">
        <f>IF(M5591&gt;0,D5591,"")</f>
        <v/>
      </c>
      <c r="Q5591" s="9">
        <f>I5591+O5591</f>
        <v/>
      </c>
      <c r="R5591" s="7">
        <f>Q5591*G5591</f>
        <v/>
      </c>
      <c r="S5591" s="8">
        <f>IF($R$5612=0,0,R5591/$R$5612)</f>
        <v/>
      </c>
      <c r="T5591" s="8" t="n">
        <v>-0.001529765001304528</v>
      </c>
      <c r="U5591" s="8" t="n">
        <v>0.00753665156902894</v>
      </c>
      <c r="V5591" s="6" t="inlineStr">
        <is>
          <t>not selected</t>
        </is>
      </c>
    </row>
    <row r="5592">
      <c r="A5592" s="6" t="inlineStr">
        <is>
          <t>DJ30</t>
        </is>
      </c>
      <c r="B5592" s="6" t="inlineStr">
        <is>
          <t>2026-06-19</t>
        </is>
      </c>
      <c r="C5592" s="6" t="inlineStr">
        <is>
          <t>DIA</t>
        </is>
      </c>
      <c r="D5592" s="6" t="inlineStr">
        <is>
          <t>GS</t>
        </is>
      </c>
      <c r="E5592" s="6" t="inlineStr">
        <is>
          <t>GS</t>
        </is>
      </c>
      <c r="F5592" s="6" t="inlineStr">
        <is>
          <t>-</t>
        </is>
      </c>
      <c r="G5592" s="7" t="n">
        <v>1096.56005859375</v>
      </c>
      <c r="H5592" s="6">
        <f>P5561</f>
        <v/>
      </c>
      <c r="I5592" s="9">
        <f>Q5561</f>
        <v/>
      </c>
      <c r="J5592" s="7">
        <f>I5592*G5592</f>
        <v/>
      </c>
      <c r="K5592" s="8">
        <f>IF($J$5612=0,0,J5592/$J$5612)</f>
        <v/>
      </c>
      <c r="L5592" s="6" t="inlineStr">
        <is>
          <t>SELECTED</t>
        </is>
      </c>
      <c r="M5592" s="8" t="n">
        <v>0.2</v>
      </c>
      <c r="N5592" s="7">
        <f>M5592*$J$5612-J5592</f>
        <v/>
      </c>
      <c r="O5592" s="9">
        <f>IF(G5592=0,0,N5592/G5592)</f>
        <v/>
      </c>
      <c r="P5592" s="6">
        <f>IF(M5592&gt;0,D5592,"")</f>
        <v/>
      </c>
      <c r="Q5592" s="9">
        <f>I5592+O5592</f>
        <v/>
      </c>
      <c r="R5592" s="7">
        <f>Q5592*G5592</f>
        <v/>
      </c>
      <c r="S5592" s="8">
        <f>IF($R$5612=0,0,R5592/$R$5612)</f>
        <v/>
      </c>
      <c r="T5592" s="8" t="n">
        <v>-0.001529765001304528</v>
      </c>
      <c r="U5592" s="8" t="n">
        <v>0.00753665156902894</v>
      </c>
      <c r="V5592" s="6" t="inlineStr">
        <is>
          <t>remained in weekly selection</t>
        </is>
      </c>
    </row>
    <row r="5593">
      <c r="A5593" s="6" t="inlineStr">
        <is>
          <t>DJ30</t>
        </is>
      </c>
      <c r="B5593" s="6" t="inlineStr">
        <is>
          <t>2026-06-19</t>
        </is>
      </c>
      <c r="C5593" s="6" t="inlineStr">
        <is>
          <t>DIA</t>
        </is>
      </c>
      <c r="D5593" s="6" t="inlineStr">
        <is>
          <t>HD</t>
        </is>
      </c>
      <c r="E5593" s="6" t="inlineStr">
        <is>
          <t>HD</t>
        </is>
      </c>
      <c r="F5593" s="6" t="inlineStr">
        <is>
          <t>-</t>
        </is>
      </c>
      <c r="G5593" s="7" t="n">
        <v>334.2799987792969</v>
      </c>
      <c r="H5593" s="6">
        <f>P5562</f>
        <v/>
      </c>
      <c r="I5593" s="9">
        <f>Q5562</f>
        <v/>
      </c>
      <c r="J5593" s="7">
        <f>I5593*G5593</f>
        <v/>
      </c>
      <c r="K5593" s="8">
        <f>IF($J$5612=0,0,J5593/$J$5612)</f>
        <v/>
      </c>
      <c r="L5593" s="6" t="inlineStr">
        <is>
          <t>REJECTED</t>
        </is>
      </c>
      <c r="M5593" s="8" t="n">
        <v>0</v>
      </c>
      <c r="N5593" s="7">
        <f>M5593*$J$5612-J5593</f>
        <v/>
      </c>
      <c r="O5593" s="9">
        <f>IF(G5593=0,0,N5593/G5593)</f>
        <v/>
      </c>
      <c r="P5593" s="6">
        <f>IF(M5593&gt;0,D5593,"")</f>
        <v/>
      </c>
      <c r="Q5593" s="9">
        <f>I5593+O5593</f>
        <v/>
      </c>
      <c r="R5593" s="7">
        <f>Q5593*G5593</f>
        <v/>
      </c>
      <c r="S5593" s="8">
        <f>IF($R$5612=0,0,R5593/$R$5612)</f>
        <v/>
      </c>
      <c r="T5593" s="8" t="n">
        <v>-0.001529765001304528</v>
      </c>
      <c r="U5593" s="8" t="n">
        <v>0.00753665156902894</v>
      </c>
      <c r="V5593" s="6" t="inlineStr">
        <is>
          <t>not selected</t>
        </is>
      </c>
    </row>
    <row r="5594">
      <c r="A5594" s="6" t="inlineStr">
        <is>
          <t>DJ30</t>
        </is>
      </c>
      <c r="B5594" s="6" t="inlineStr">
        <is>
          <t>2026-06-19</t>
        </is>
      </c>
      <c r="C5594" s="6" t="inlineStr">
        <is>
          <t>DIA</t>
        </is>
      </c>
      <c r="D5594" s="6" t="inlineStr">
        <is>
          <t>HON</t>
        </is>
      </c>
      <c r="E5594" s="6" t="inlineStr">
        <is>
          <t>HON</t>
        </is>
      </c>
      <c r="F5594" s="6" t="inlineStr">
        <is>
          <t>-</t>
        </is>
      </c>
      <c r="G5594" s="7" t="n">
        <v>229.009994506836</v>
      </c>
      <c r="H5594" s="6">
        <f>P5563</f>
        <v/>
      </c>
      <c r="I5594" s="9">
        <f>Q5563</f>
        <v/>
      </c>
      <c r="J5594" s="7">
        <f>I5594*G5594</f>
        <v/>
      </c>
      <c r="K5594" s="8">
        <f>IF($J$5612=0,0,J5594/$J$5612)</f>
        <v/>
      </c>
      <c r="L5594" s="6" t="inlineStr">
        <is>
          <t>WATCHLIST</t>
        </is>
      </c>
      <c r="M5594" s="8" t="n">
        <v>0</v>
      </c>
      <c r="N5594" s="7">
        <f>M5594*$J$5612-J5594</f>
        <v/>
      </c>
      <c r="O5594" s="9">
        <f>IF(G5594=0,0,N5594/G5594)</f>
        <v/>
      </c>
      <c r="P5594" s="6">
        <f>IF(M5594&gt;0,D5594,"")</f>
        <v/>
      </c>
      <c r="Q5594" s="9">
        <f>I5594+O5594</f>
        <v/>
      </c>
      <c r="R5594" s="7">
        <f>Q5594*G5594</f>
        <v/>
      </c>
      <c r="S5594" s="8">
        <f>IF($R$5612=0,0,R5594/$R$5612)</f>
        <v/>
      </c>
      <c r="T5594" s="8" t="n">
        <v>-0.001529765001304528</v>
      </c>
      <c r="U5594" s="8" t="n">
        <v>0.00753665156902894</v>
      </c>
      <c r="V5594" s="6" t="inlineStr">
        <is>
          <t>not selected</t>
        </is>
      </c>
    </row>
    <row r="5595">
      <c r="A5595" s="6" t="inlineStr">
        <is>
          <t>DJ30</t>
        </is>
      </c>
      <c r="B5595" s="6" t="inlineStr">
        <is>
          <t>2026-06-19</t>
        </is>
      </c>
      <c r="C5595" s="6" t="inlineStr">
        <is>
          <t>DIA</t>
        </is>
      </c>
      <c r="D5595" s="6" t="inlineStr">
        <is>
          <t>IBM</t>
        </is>
      </c>
      <c r="E5595" s="6" t="inlineStr">
        <is>
          <t>IBM</t>
        </is>
      </c>
      <c r="F5595" s="6" t="inlineStr">
        <is>
          <t>-</t>
        </is>
      </c>
      <c r="G5595" s="7" t="n">
        <v>249.1000061035156</v>
      </c>
      <c r="H5595" s="6">
        <f>P5564</f>
        <v/>
      </c>
      <c r="I5595" s="9">
        <f>Q5564</f>
        <v/>
      </c>
      <c r="J5595" s="7">
        <f>I5595*G5595</f>
        <v/>
      </c>
      <c r="K5595" s="8">
        <f>IF($J$5612=0,0,J5595/$J$5612)</f>
        <v/>
      </c>
      <c r="L5595" s="6" t="inlineStr">
        <is>
          <t>REJECTED</t>
        </is>
      </c>
      <c r="M5595" s="8" t="n">
        <v>0</v>
      </c>
      <c r="N5595" s="7">
        <f>M5595*$J$5612-J5595</f>
        <v/>
      </c>
      <c r="O5595" s="9">
        <f>IF(G5595=0,0,N5595/G5595)</f>
        <v/>
      </c>
      <c r="P5595" s="6">
        <f>IF(M5595&gt;0,D5595,"")</f>
        <v/>
      </c>
      <c r="Q5595" s="9">
        <f>I5595+O5595</f>
        <v/>
      </c>
      <c r="R5595" s="7">
        <f>Q5595*G5595</f>
        <v/>
      </c>
      <c r="S5595" s="8">
        <f>IF($R$5612=0,0,R5595/$R$5612)</f>
        <v/>
      </c>
      <c r="T5595" s="8" t="n">
        <v>-0.001529765001304528</v>
      </c>
      <c r="U5595" s="8" t="n">
        <v>0.00753665156902894</v>
      </c>
      <c r="V5595" s="6" t="inlineStr">
        <is>
          <t>not selected</t>
        </is>
      </c>
    </row>
    <row r="5596">
      <c r="A5596" s="6" t="inlineStr">
        <is>
          <t>DJ30</t>
        </is>
      </c>
      <c r="B5596" s="6" t="inlineStr">
        <is>
          <t>2026-06-19</t>
        </is>
      </c>
      <c r="C5596" s="6" t="inlineStr">
        <is>
          <t>DIA</t>
        </is>
      </c>
      <c r="D5596" s="6" t="inlineStr">
        <is>
          <t>JNJ</t>
        </is>
      </c>
      <c r="E5596" s="6" t="inlineStr">
        <is>
          <t>JNJ</t>
        </is>
      </c>
      <c r="F5596" s="6" t="inlineStr">
        <is>
          <t>-</t>
        </is>
      </c>
      <c r="G5596" s="7" t="n">
        <v>228.3899993896484</v>
      </c>
      <c r="H5596" s="6">
        <f>P5565</f>
        <v/>
      </c>
      <c r="I5596" s="9">
        <f>Q5565</f>
        <v/>
      </c>
      <c r="J5596" s="7">
        <f>I5596*G5596</f>
        <v/>
      </c>
      <c r="K5596" s="8">
        <f>IF($J$5612=0,0,J5596/$J$5612)</f>
        <v/>
      </c>
      <c r="L5596" s="6" t="inlineStr">
        <is>
          <t>WATCHLIST</t>
        </is>
      </c>
      <c r="M5596" s="8" t="n">
        <v>0</v>
      </c>
      <c r="N5596" s="7">
        <f>M5596*$J$5612-J5596</f>
        <v/>
      </c>
      <c r="O5596" s="9">
        <f>IF(G5596=0,0,N5596/G5596)</f>
        <v/>
      </c>
      <c r="P5596" s="6">
        <f>IF(M5596&gt;0,D5596,"")</f>
        <v/>
      </c>
      <c r="Q5596" s="9">
        <f>I5596+O5596</f>
        <v/>
      </c>
      <c r="R5596" s="7">
        <f>Q5596*G5596</f>
        <v/>
      </c>
      <c r="S5596" s="8">
        <f>IF($R$5612=0,0,R5596/$R$5612)</f>
        <v/>
      </c>
      <c r="T5596" s="8" t="n">
        <v>-0.001529765001304528</v>
      </c>
      <c r="U5596" s="8" t="n">
        <v>0.00753665156902894</v>
      </c>
      <c r="V5596" s="6" t="inlineStr">
        <is>
          <t>not selected</t>
        </is>
      </c>
    </row>
    <row r="5597">
      <c r="A5597" s="6" t="inlineStr">
        <is>
          <t>DJ30</t>
        </is>
      </c>
      <c r="B5597" s="6" t="inlineStr">
        <is>
          <t>2026-06-19</t>
        </is>
      </c>
      <c r="C5597" s="6" t="inlineStr">
        <is>
          <t>DIA</t>
        </is>
      </c>
      <c r="D5597" s="6" t="inlineStr">
        <is>
          <t>JPM</t>
        </is>
      </c>
      <c r="E5597" s="6" t="inlineStr">
        <is>
          <t>JPM</t>
        </is>
      </c>
      <c r="F5597" s="6" t="inlineStr">
        <is>
          <t>-</t>
        </is>
      </c>
      <c r="G5597" s="7" t="n">
        <v>325.2200012207031</v>
      </c>
      <c r="H5597" s="6">
        <f>P5566</f>
        <v/>
      </c>
      <c r="I5597" s="9">
        <f>Q5566</f>
        <v/>
      </c>
      <c r="J5597" s="7">
        <f>I5597*G5597</f>
        <v/>
      </c>
      <c r="K5597" s="8">
        <f>IF($J$5612=0,0,J5597/$J$5612)</f>
        <v/>
      </c>
      <c r="L5597" s="6" t="inlineStr">
        <is>
          <t>REJECTED</t>
        </is>
      </c>
      <c r="M5597" s="8" t="n">
        <v>0</v>
      </c>
      <c r="N5597" s="7">
        <f>M5597*$J$5612-J5597</f>
        <v/>
      </c>
      <c r="O5597" s="9">
        <f>IF(G5597=0,0,N5597/G5597)</f>
        <v/>
      </c>
      <c r="P5597" s="6">
        <f>IF(M5597&gt;0,D5597,"")</f>
        <v/>
      </c>
      <c r="Q5597" s="9">
        <f>I5597+O5597</f>
        <v/>
      </c>
      <c r="R5597" s="7">
        <f>Q5597*G5597</f>
        <v/>
      </c>
      <c r="S5597" s="8">
        <f>IF($R$5612=0,0,R5597/$R$5612)</f>
        <v/>
      </c>
      <c r="T5597" s="8" t="n">
        <v>-0.001529765001304528</v>
      </c>
      <c r="U5597" s="8" t="n">
        <v>0.00753665156902894</v>
      </c>
      <c r="V5597" s="6" t="inlineStr">
        <is>
          <t>not selected</t>
        </is>
      </c>
    </row>
    <row r="5598">
      <c r="A5598" s="6" t="inlineStr">
        <is>
          <t>DJ30</t>
        </is>
      </c>
      <c r="B5598" s="6" t="inlineStr">
        <is>
          <t>2026-06-19</t>
        </is>
      </c>
      <c r="C5598" s="6" t="inlineStr">
        <is>
          <t>DIA</t>
        </is>
      </c>
      <c r="D5598" s="6" t="inlineStr">
        <is>
          <t>KO</t>
        </is>
      </c>
      <c r="E5598" s="6" t="inlineStr">
        <is>
          <t>KO</t>
        </is>
      </c>
      <c r="F5598" s="6" t="inlineStr">
        <is>
          <t>-</t>
        </is>
      </c>
      <c r="G5598" s="7" t="n">
        <v>79.38999938964844</v>
      </c>
      <c r="H5598" s="6">
        <f>P5567</f>
        <v/>
      </c>
      <c r="I5598" s="9">
        <f>Q5567</f>
        <v/>
      </c>
      <c r="J5598" s="7">
        <f>I5598*G5598</f>
        <v/>
      </c>
      <c r="K5598" s="8">
        <f>IF($J$5612=0,0,J5598/$J$5612)</f>
        <v/>
      </c>
      <c r="L5598" s="6" t="inlineStr">
        <is>
          <t>WATCHLIST</t>
        </is>
      </c>
      <c r="M5598" s="8" t="n">
        <v>0</v>
      </c>
      <c r="N5598" s="7">
        <f>M5598*$J$5612-J5598</f>
        <v/>
      </c>
      <c r="O5598" s="9">
        <f>IF(G5598=0,0,N5598/G5598)</f>
        <v/>
      </c>
      <c r="P5598" s="6">
        <f>IF(M5598&gt;0,D5598,"")</f>
        <v/>
      </c>
      <c r="Q5598" s="9">
        <f>I5598+O5598</f>
        <v/>
      </c>
      <c r="R5598" s="7">
        <f>Q5598*G5598</f>
        <v/>
      </c>
      <c r="S5598" s="8">
        <f>IF($R$5612=0,0,R5598/$R$5612)</f>
        <v/>
      </c>
      <c r="T5598" s="8" t="n">
        <v>-0.001529765001304528</v>
      </c>
      <c r="U5598" s="8" t="n">
        <v>0.00753665156902894</v>
      </c>
      <c r="V5598" s="6" t="inlineStr">
        <is>
          <t>not selected</t>
        </is>
      </c>
    </row>
    <row r="5599">
      <c r="A5599" s="6" t="inlineStr">
        <is>
          <t>DJ30</t>
        </is>
      </c>
      <c r="B5599" s="6" t="inlineStr">
        <is>
          <t>2026-06-19</t>
        </is>
      </c>
      <c r="C5599" s="6" t="inlineStr">
        <is>
          <t>DIA</t>
        </is>
      </c>
      <c r="D5599" s="6" t="inlineStr">
        <is>
          <t>MCD</t>
        </is>
      </c>
      <c r="E5599" s="6" t="inlineStr">
        <is>
          <t>MCD</t>
        </is>
      </c>
      <c r="F5599" s="6" t="inlineStr">
        <is>
          <t>-</t>
        </is>
      </c>
      <c r="G5599" s="7" t="n">
        <v>278.6099853515625</v>
      </c>
      <c r="H5599" s="6">
        <f>P5568</f>
        <v/>
      </c>
      <c r="I5599" s="9">
        <f>Q5568</f>
        <v/>
      </c>
      <c r="J5599" s="7">
        <f>I5599*G5599</f>
        <v/>
      </c>
      <c r="K5599" s="8">
        <f>IF($J$5612=0,0,J5599/$J$5612)</f>
        <v/>
      </c>
      <c r="L5599" s="6" t="inlineStr">
        <is>
          <t>REJECTED</t>
        </is>
      </c>
      <c r="M5599" s="8" t="n">
        <v>0</v>
      </c>
      <c r="N5599" s="7">
        <f>M5599*$J$5612-J5599</f>
        <v/>
      </c>
      <c r="O5599" s="9">
        <f>IF(G5599=0,0,N5599/G5599)</f>
        <v/>
      </c>
      <c r="P5599" s="6">
        <f>IF(M5599&gt;0,D5599,"")</f>
        <v/>
      </c>
      <c r="Q5599" s="9">
        <f>I5599+O5599</f>
        <v/>
      </c>
      <c r="R5599" s="7">
        <f>Q5599*G5599</f>
        <v/>
      </c>
      <c r="S5599" s="8">
        <f>IF($R$5612=0,0,R5599/$R$5612)</f>
        <v/>
      </c>
      <c r="T5599" s="8" t="n">
        <v>-0.001529765001304528</v>
      </c>
      <c r="U5599" s="8" t="n">
        <v>0.00753665156902894</v>
      </c>
      <c r="V5599" s="6" t="inlineStr">
        <is>
          <t>not selected</t>
        </is>
      </c>
    </row>
    <row r="5600">
      <c r="A5600" s="6" t="inlineStr">
        <is>
          <t>DJ30</t>
        </is>
      </c>
      <c r="B5600" s="6" t="inlineStr">
        <is>
          <t>2026-06-19</t>
        </is>
      </c>
      <c r="C5600" s="6" t="inlineStr">
        <is>
          <t>DIA</t>
        </is>
      </c>
      <c r="D5600" s="6" t="inlineStr">
        <is>
          <t>MMM</t>
        </is>
      </c>
      <c r="E5600" s="6" t="inlineStr">
        <is>
          <t>MMM</t>
        </is>
      </c>
      <c r="F5600" s="6" t="inlineStr">
        <is>
          <t>-</t>
        </is>
      </c>
      <c r="G5600" s="7" t="n">
        <v>160.6000061035156</v>
      </c>
      <c r="H5600" s="6">
        <f>P5569</f>
        <v/>
      </c>
      <c r="I5600" s="9">
        <f>Q5569</f>
        <v/>
      </c>
      <c r="J5600" s="7">
        <f>I5600*G5600</f>
        <v/>
      </c>
      <c r="K5600" s="8">
        <f>IF($J$5612=0,0,J5600/$J$5612)</f>
        <v/>
      </c>
      <c r="L5600" s="6" t="inlineStr">
        <is>
          <t>REJECTED</t>
        </is>
      </c>
      <c r="M5600" s="8" t="n">
        <v>0</v>
      </c>
      <c r="N5600" s="7">
        <f>M5600*$J$5612-J5600</f>
        <v/>
      </c>
      <c r="O5600" s="9">
        <f>IF(G5600=0,0,N5600/G5600)</f>
        <v/>
      </c>
      <c r="P5600" s="6">
        <f>IF(M5600&gt;0,D5600,"")</f>
        <v/>
      </c>
      <c r="Q5600" s="9">
        <f>I5600+O5600</f>
        <v/>
      </c>
      <c r="R5600" s="7">
        <f>Q5600*G5600</f>
        <v/>
      </c>
      <c r="S5600" s="8">
        <f>IF($R$5612=0,0,R5600/$R$5612)</f>
        <v/>
      </c>
      <c r="T5600" s="8" t="n">
        <v>-0.001529765001304528</v>
      </c>
      <c r="U5600" s="8" t="n">
        <v>0.00753665156902894</v>
      </c>
      <c r="V5600" s="6" t="inlineStr">
        <is>
          <t>not selected</t>
        </is>
      </c>
    </row>
    <row r="5601">
      <c r="A5601" s="6" t="inlineStr">
        <is>
          <t>DJ30</t>
        </is>
      </c>
      <c r="B5601" s="6" t="inlineStr">
        <is>
          <t>2026-06-19</t>
        </is>
      </c>
      <c r="C5601" s="6" t="inlineStr">
        <is>
          <t>DIA</t>
        </is>
      </c>
      <c r="D5601" s="6" t="inlineStr">
        <is>
          <t>MRK</t>
        </is>
      </c>
      <c r="E5601" s="6" t="inlineStr">
        <is>
          <t>MRK</t>
        </is>
      </c>
      <c r="F5601" s="6" t="inlineStr">
        <is>
          <t>-</t>
        </is>
      </c>
      <c r="G5601" s="7" t="n">
        <v>113.870002746582</v>
      </c>
      <c r="H5601" s="6">
        <f>P5570</f>
        <v/>
      </c>
      <c r="I5601" s="9">
        <f>Q5570</f>
        <v/>
      </c>
      <c r="J5601" s="7">
        <f>I5601*G5601</f>
        <v/>
      </c>
      <c r="K5601" s="8">
        <f>IF($J$5612=0,0,J5601/$J$5612)</f>
        <v/>
      </c>
      <c r="L5601" s="6" t="inlineStr">
        <is>
          <t>SELECTED</t>
        </is>
      </c>
      <c r="M5601" s="8" t="n">
        <v>0.2</v>
      </c>
      <c r="N5601" s="7">
        <f>M5601*$J$5612-J5601</f>
        <v/>
      </c>
      <c r="O5601" s="9">
        <f>IF(G5601=0,0,N5601/G5601)</f>
        <v/>
      </c>
      <c r="P5601" s="6">
        <f>IF(M5601&gt;0,D5601,"")</f>
        <v/>
      </c>
      <c r="Q5601" s="9">
        <f>I5601+O5601</f>
        <v/>
      </c>
      <c r="R5601" s="7">
        <f>Q5601*G5601</f>
        <v/>
      </c>
      <c r="S5601" s="8">
        <f>IF($R$5612=0,0,R5601/$R$5612)</f>
        <v/>
      </c>
      <c r="T5601" s="8" t="n">
        <v>-0.001529765001304528</v>
      </c>
      <c r="U5601" s="8" t="n">
        <v>0.00753665156902894</v>
      </c>
      <c r="V5601" s="6" t="inlineStr">
        <is>
          <t>remained in weekly selection</t>
        </is>
      </c>
    </row>
    <row r="5602">
      <c r="A5602" s="6" t="inlineStr">
        <is>
          <t>DJ30</t>
        </is>
      </c>
      <c r="B5602" s="6" t="inlineStr">
        <is>
          <t>2026-06-19</t>
        </is>
      </c>
      <c r="C5602" s="6" t="inlineStr">
        <is>
          <t>DIA</t>
        </is>
      </c>
      <c r="D5602" s="6" t="inlineStr">
        <is>
          <t>MSFT</t>
        </is>
      </c>
      <c r="E5602" s="6" t="inlineStr">
        <is>
          <t>MSFT</t>
        </is>
      </c>
      <c r="F5602" s="6" t="inlineStr">
        <is>
          <t>-</t>
        </is>
      </c>
      <c r="G5602" s="7" t="n">
        <v>379.3999938964844</v>
      </c>
      <c r="H5602" s="6">
        <f>P5571</f>
        <v/>
      </c>
      <c r="I5602" s="9">
        <f>Q5571</f>
        <v/>
      </c>
      <c r="J5602" s="7">
        <f>I5602*G5602</f>
        <v/>
      </c>
      <c r="K5602" s="8">
        <f>IF($J$5612=0,0,J5602/$J$5612)</f>
        <v/>
      </c>
      <c r="L5602" s="6" t="inlineStr">
        <is>
          <t>REJECTED</t>
        </is>
      </c>
      <c r="M5602" s="8" t="n">
        <v>0</v>
      </c>
      <c r="N5602" s="7">
        <f>M5602*$J$5612-J5602</f>
        <v/>
      </c>
      <c r="O5602" s="9">
        <f>IF(G5602=0,0,N5602/G5602)</f>
        <v/>
      </c>
      <c r="P5602" s="6">
        <f>IF(M5602&gt;0,D5602,"")</f>
        <v/>
      </c>
      <c r="Q5602" s="9">
        <f>I5602+O5602</f>
        <v/>
      </c>
      <c r="R5602" s="7">
        <f>Q5602*G5602</f>
        <v/>
      </c>
      <c r="S5602" s="8">
        <f>IF($R$5612=0,0,R5602/$R$5612)</f>
        <v/>
      </c>
      <c r="T5602" s="8" t="n">
        <v>-0.001529765001304528</v>
      </c>
      <c r="U5602" s="8" t="n">
        <v>0.00753665156902894</v>
      </c>
      <c r="V5602" s="6" t="inlineStr">
        <is>
          <t>not selected</t>
        </is>
      </c>
    </row>
    <row r="5603">
      <c r="A5603" s="6" t="inlineStr">
        <is>
          <t>DJ30</t>
        </is>
      </c>
      <c r="B5603" s="6" t="inlineStr">
        <is>
          <t>2026-06-19</t>
        </is>
      </c>
      <c r="C5603" s="6" t="inlineStr">
        <is>
          <t>DIA</t>
        </is>
      </c>
      <c r="D5603" s="6" t="inlineStr">
        <is>
          <t>NKE</t>
        </is>
      </c>
      <c r="E5603" s="6" t="inlineStr">
        <is>
          <t>NKE</t>
        </is>
      </c>
      <c r="F5603" s="6" t="inlineStr">
        <is>
          <t>-</t>
        </is>
      </c>
      <c r="G5603" s="7" t="n">
        <v>45.20000076293945</v>
      </c>
      <c r="H5603" s="6">
        <f>P5572</f>
        <v/>
      </c>
      <c r="I5603" s="9">
        <f>Q5572</f>
        <v/>
      </c>
      <c r="J5603" s="7">
        <f>I5603*G5603</f>
        <v/>
      </c>
      <c r="K5603" s="8">
        <f>IF($J$5612=0,0,J5603/$J$5612)</f>
        <v/>
      </c>
      <c r="L5603" s="6" t="inlineStr">
        <is>
          <t>REJECTED</t>
        </is>
      </c>
      <c r="M5603" s="8" t="n">
        <v>0</v>
      </c>
      <c r="N5603" s="7">
        <f>M5603*$J$5612-J5603</f>
        <v/>
      </c>
      <c r="O5603" s="9">
        <f>IF(G5603=0,0,N5603/G5603)</f>
        <v/>
      </c>
      <c r="P5603" s="6">
        <f>IF(M5603&gt;0,D5603,"")</f>
        <v/>
      </c>
      <c r="Q5603" s="9">
        <f>I5603+O5603</f>
        <v/>
      </c>
      <c r="R5603" s="7">
        <f>Q5603*G5603</f>
        <v/>
      </c>
      <c r="S5603" s="8">
        <f>IF($R$5612=0,0,R5603/$R$5612)</f>
        <v/>
      </c>
      <c r="T5603" s="8" t="n">
        <v>-0.001529765001304528</v>
      </c>
      <c r="U5603" s="8" t="n">
        <v>0.00753665156902894</v>
      </c>
      <c r="V5603" s="6" t="inlineStr">
        <is>
          <t>not selected</t>
        </is>
      </c>
    </row>
    <row r="5604">
      <c r="A5604" s="6" t="inlineStr">
        <is>
          <t>DJ30</t>
        </is>
      </c>
      <c r="B5604" s="6" t="inlineStr">
        <is>
          <t>2026-06-19</t>
        </is>
      </c>
      <c r="C5604" s="6" t="inlineStr">
        <is>
          <t>DIA</t>
        </is>
      </c>
      <c r="D5604" s="6" t="inlineStr">
        <is>
          <t>NVDA</t>
        </is>
      </c>
      <c r="E5604" s="6" t="inlineStr">
        <is>
          <t>NVDA</t>
        </is>
      </c>
      <c r="F5604" s="6" t="inlineStr">
        <is>
          <t>-</t>
        </is>
      </c>
      <c r="G5604" s="7" t="n">
        <v>210.6900024414062</v>
      </c>
      <c r="H5604" s="6">
        <f>P5573</f>
        <v/>
      </c>
      <c r="I5604" s="9">
        <f>Q5573</f>
        <v/>
      </c>
      <c r="J5604" s="7">
        <f>I5604*G5604</f>
        <v/>
      </c>
      <c r="K5604" s="8">
        <f>IF($J$5612=0,0,J5604/$J$5612)</f>
        <v/>
      </c>
      <c r="L5604" s="6" t="inlineStr">
        <is>
          <t>WATCHLIST</t>
        </is>
      </c>
      <c r="M5604" s="8" t="n">
        <v>0</v>
      </c>
      <c r="N5604" s="7">
        <f>M5604*$J$5612-J5604</f>
        <v/>
      </c>
      <c r="O5604" s="9">
        <f>IF(G5604=0,0,N5604/G5604)</f>
        <v/>
      </c>
      <c r="P5604" s="6">
        <f>IF(M5604&gt;0,D5604,"")</f>
        <v/>
      </c>
      <c r="Q5604" s="9">
        <f>I5604+O5604</f>
        <v/>
      </c>
      <c r="R5604" s="7">
        <f>Q5604*G5604</f>
        <v/>
      </c>
      <c r="S5604" s="8">
        <f>IF($R$5612=0,0,R5604/$R$5612)</f>
        <v/>
      </c>
      <c r="T5604" s="8" t="n">
        <v>-0.001529765001304528</v>
      </c>
      <c r="U5604" s="8" t="n">
        <v>0.00753665156902894</v>
      </c>
      <c r="V5604" s="6" t="inlineStr">
        <is>
          <t>not selected</t>
        </is>
      </c>
    </row>
    <row r="5605">
      <c r="A5605" s="6" t="inlineStr">
        <is>
          <t>DJ30</t>
        </is>
      </c>
      <c r="B5605" s="6" t="inlineStr">
        <is>
          <t>2026-06-19</t>
        </is>
      </c>
      <c r="C5605" s="6" t="inlineStr">
        <is>
          <t>DIA</t>
        </is>
      </c>
      <c r="D5605" s="6" t="inlineStr">
        <is>
          <t>PG</t>
        </is>
      </c>
      <c r="E5605" s="6" t="inlineStr">
        <is>
          <t>PG</t>
        </is>
      </c>
      <c r="F5605" s="6" t="inlineStr">
        <is>
          <t>-</t>
        </is>
      </c>
      <c r="G5605" s="7" t="n">
        <v>150.3800048828125</v>
      </c>
      <c r="H5605" s="6">
        <f>P5574</f>
        <v/>
      </c>
      <c r="I5605" s="9">
        <f>Q5574</f>
        <v/>
      </c>
      <c r="J5605" s="7">
        <f>I5605*G5605</f>
        <v/>
      </c>
      <c r="K5605" s="8">
        <f>IF($J$5612=0,0,J5605/$J$5612)</f>
        <v/>
      </c>
      <c r="L5605" s="6" t="inlineStr">
        <is>
          <t>REJECTED</t>
        </is>
      </c>
      <c r="M5605" s="8" t="n">
        <v>0</v>
      </c>
      <c r="N5605" s="7">
        <f>M5605*$J$5612-J5605</f>
        <v/>
      </c>
      <c r="O5605" s="9">
        <f>IF(G5605=0,0,N5605/G5605)</f>
        <v/>
      </c>
      <c r="P5605" s="6">
        <f>IF(M5605&gt;0,D5605,"")</f>
        <v/>
      </c>
      <c r="Q5605" s="9">
        <f>I5605+O5605</f>
        <v/>
      </c>
      <c r="R5605" s="7">
        <f>Q5605*G5605</f>
        <v/>
      </c>
      <c r="S5605" s="8">
        <f>IF($R$5612=0,0,R5605/$R$5612)</f>
        <v/>
      </c>
      <c r="T5605" s="8" t="n">
        <v>-0.001529765001304528</v>
      </c>
      <c r="U5605" s="8" t="n">
        <v>0.00753665156902894</v>
      </c>
      <c r="V5605" s="6" t="inlineStr">
        <is>
          <t>not selected</t>
        </is>
      </c>
    </row>
    <row r="5606">
      <c r="A5606" s="6" t="inlineStr">
        <is>
          <t>DJ30</t>
        </is>
      </c>
      <c r="B5606" s="6" t="inlineStr">
        <is>
          <t>2026-06-19</t>
        </is>
      </c>
      <c r="C5606" s="6" t="inlineStr">
        <is>
          <t>DIA</t>
        </is>
      </c>
      <c r="D5606" s="6" t="inlineStr">
        <is>
          <t>SHW</t>
        </is>
      </c>
      <c r="E5606" s="6" t="inlineStr">
        <is>
          <t>SHW</t>
        </is>
      </c>
      <c r="F5606" s="6" t="inlineStr">
        <is>
          <t>-</t>
        </is>
      </c>
      <c r="G5606" s="7" t="n">
        <v>320.7900085449219</v>
      </c>
      <c r="H5606" s="6">
        <f>P5575</f>
        <v/>
      </c>
      <c r="I5606" s="9">
        <f>Q5575</f>
        <v/>
      </c>
      <c r="J5606" s="7">
        <f>I5606*G5606</f>
        <v/>
      </c>
      <c r="K5606" s="8">
        <f>IF($J$5612=0,0,J5606/$J$5612)</f>
        <v/>
      </c>
      <c r="L5606" s="6" t="inlineStr">
        <is>
          <t>REJECTED</t>
        </is>
      </c>
      <c r="M5606" s="8" t="n">
        <v>0</v>
      </c>
      <c r="N5606" s="7">
        <f>M5606*$J$5612-J5606</f>
        <v/>
      </c>
      <c r="O5606" s="9">
        <f>IF(G5606=0,0,N5606/G5606)</f>
        <v/>
      </c>
      <c r="P5606" s="6">
        <f>IF(M5606&gt;0,D5606,"")</f>
        <v/>
      </c>
      <c r="Q5606" s="9">
        <f>I5606+O5606</f>
        <v/>
      </c>
      <c r="R5606" s="7">
        <f>Q5606*G5606</f>
        <v/>
      </c>
      <c r="S5606" s="8">
        <f>IF($R$5612=0,0,R5606/$R$5612)</f>
        <v/>
      </c>
      <c r="T5606" s="8" t="n">
        <v>-0.001529765001304528</v>
      </c>
      <c r="U5606" s="8" t="n">
        <v>0.00753665156902894</v>
      </c>
      <c r="V5606" s="6" t="inlineStr">
        <is>
          <t>not selected</t>
        </is>
      </c>
    </row>
    <row r="5607">
      <c r="A5607" s="6" t="inlineStr">
        <is>
          <t>DJ30</t>
        </is>
      </c>
      <c r="B5607" s="6" t="inlineStr">
        <is>
          <t>2026-06-19</t>
        </is>
      </c>
      <c r="C5607" s="6" t="inlineStr">
        <is>
          <t>DIA</t>
        </is>
      </c>
      <c r="D5607" s="6" t="inlineStr">
        <is>
          <t>TRV</t>
        </is>
      </c>
      <c r="E5607" s="6" t="inlineStr">
        <is>
          <t>TRV</t>
        </is>
      </c>
      <c r="F5607" s="6" t="inlineStr">
        <is>
          <t>-</t>
        </is>
      </c>
      <c r="G5607" s="7" t="n">
        <v>307.8099975585937</v>
      </c>
      <c r="H5607" s="6">
        <f>P5576</f>
        <v/>
      </c>
      <c r="I5607" s="9">
        <f>Q5576</f>
        <v/>
      </c>
      <c r="J5607" s="7">
        <f>I5607*G5607</f>
        <v/>
      </c>
      <c r="K5607" s="8">
        <f>IF($J$5612=0,0,J5607/$J$5612)</f>
        <v/>
      </c>
      <c r="L5607" s="6" t="inlineStr">
        <is>
          <t>WATCHLIST</t>
        </is>
      </c>
      <c r="M5607" s="8" t="n">
        <v>0</v>
      </c>
      <c r="N5607" s="7">
        <f>M5607*$J$5612-J5607</f>
        <v/>
      </c>
      <c r="O5607" s="9">
        <f>IF(G5607=0,0,N5607/G5607)</f>
        <v/>
      </c>
      <c r="P5607" s="6">
        <f>IF(M5607&gt;0,D5607,"")</f>
        <v/>
      </c>
      <c r="Q5607" s="9">
        <f>I5607+O5607</f>
        <v/>
      </c>
      <c r="R5607" s="7">
        <f>Q5607*G5607</f>
        <v/>
      </c>
      <c r="S5607" s="8">
        <f>IF($R$5612=0,0,R5607/$R$5612)</f>
        <v/>
      </c>
      <c r="T5607" s="8" t="n">
        <v>-0.001529765001304528</v>
      </c>
      <c r="U5607" s="8" t="n">
        <v>0.00753665156902894</v>
      </c>
      <c r="V5607" s="6" t="inlineStr">
        <is>
          <t>not selected</t>
        </is>
      </c>
    </row>
    <row r="5608">
      <c r="A5608" s="6" t="inlineStr">
        <is>
          <t>DJ30</t>
        </is>
      </c>
      <c r="B5608" s="6" t="inlineStr">
        <is>
          <t>2026-06-19</t>
        </is>
      </c>
      <c r="C5608" s="6" t="inlineStr">
        <is>
          <t>DIA</t>
        </is>
      </c>
      <c r="D5608" s="6" t="inlineStr">
        <is>
          <t>UNH</t>
        </is>
      </c>
      <c r="E5608" s="6" t="inlineStr">
        <is>
          <t>UNH</t>
        </is>
      </c>
      <c r="F5608" s="6" t="inlineStr">
        <is>
          <t>-</t>
        </is>
      </c>
      <c r="G5608" s="7" t="n">
        <v>400.9599914550781</v>
      </c>
      <c r="H5608" s="6">
        <f>P5577</f>
        <v/>
      </c>
      <c r="I5608" s="9">
        <f>Q5577</f>
        <v/>
      </c>
      <c r="J5608" s="7">
        <f>I5608*G5608</f>
        <v/>
      </c>
      <c r="K5608" s="8">
        <f>IF($J$5612=0,0,J5608/$J$5612)</f>
        <v/>
      </c>
      <c r="L5608" s="6" t="inlineStr">
        <is>
          <t>REJECTED</t>
        </is>
      </c>
      <c r="M5608" s="8" t="n">
        <v>0</v>
      </c>
      <c r="N5608" s="7">
        <f>M5608*$J$5612-J5608</f>
        <v/>
      </c>
      <c r="O5608" s="9">
        <f>IF(G5608=0,0,N5608/G5608)</f>
        <v/>
      </c>
      <c r="P5608" s="6">
        <f>IF(M5608&gt;0,D5608,"")</f>
        <v/>
      </c>
      <c r="Q5608" s="9">
        <f>I5608+O5608</f>
        <v/>
      </c>
      <c r="R5608" s="7">
        <f>Q5608*G5608</f>
        <v/>
      </c>
      <c r="S5608" s="8">
        <f>IF($R$5612=0,0,R5608/$R$5612)</f>
        <v/>
      </c>
      <c r="T5608" s="8" t="n">
        <v>-0.001529765001304528</v>
      </c>
      <c r="U5608" s="8" t="n">
        <v>0.00753665156902894</v>
      </c>
      <c r="V5608" s="6" t="inlineStr">
        <is>
          <t>not selected</t>
        </is>
      </c>
    </row>
    <row r="5609">
      <c r="A5609" s="6" t="inlineStr">
        <is>
          <t>DJ30</t>
        </is>
      </c>
      <c r="B5609" s="6" t="inlineStr">
        <is>
          <t>2026-06-19</t>
        </is>
      </c>
      <c r="C5609" s="6" t="inlineStr">
        <is>
          <t>DIA</t>
        </is>
      </c>
      <c r="D5609" s="6" t="inlineStr">
        <is>
          <t>V</t>
        </is>
      </c>
      <c r="E5609" s="6" t="inlineStr">
        <is>
          <t>V</t>
        </is>
      </c>
      <c r="F5609" s="6" t="inlineStr">
        <is>
          <t>-</t>
        </is>
      </c>
      <c r="G5609" s="7" t="n">
        <v>327.239990234375</v>
      </c>
      <c r="H5609" s="6">
        <f>P5578</f>
        <v/>
      </c>
      <c r="I5609" s="9">
        <f>Q5578</f>
        <v/>
      </c>
      <c r="J5609" s="7">
        <f>I5609*G5609</f>
        <v/>
      </c>
      <c r="K5609" s="8">
        <f>IF($J$5612=0,0,J5609/$J$5612)</f>
        <v/>
      </c>
      <c r="L5609" s="6" t="inlineStr">
        <is>
          <t>REJECTED</t>
        </is>
      </c>
      <c r="M5609" s="8" t="n">
        <v>0</v>
      </c>
      <c r="N5609" s="7">
        <f>M5609*$J$5612-J5609</f>
        <v/>
      </c>
      <c r="O5609" s="9">
        <f>IF(G5609=0,0,N5609/G5609)</f>
        <v/>
      </c>
      <c r="P5609" s="6">
        <f>IF(M5609&gt;0,D5609,"")</f>
        <v/>
      </c>
      <c r="Q5609" s="9">
        <f>I5609+O5609</f>
        <v/>
      </c>
      <c r="R5609" s="7">
        <f>Q5609*G5609</f>
        <v/>
      </c>
      <c r="S5609" s="8">
        <f>IF($R$5612=0,0,R5609/$R$5612)</f>
        <v/>
      </c>
      <c r="T5609" s="8" t="n">
        <v>-0.001529765001304528</v>
      </c>
      <c r="U5609" s="8" t="n">
        <v>0.00753665156902894</v>
      </c>
      <c r="V5609" s="6" t="inlineStr">
        <is>
          <t>not selected</t>
        </is>
      </c>
    </row>
    <row r="5610">
      <c r="A5610" s="6" t="inlineStr">
        <is>
          <t>DJ30</t>
        </is>
      </c>
      <c r="B5610" s="6" t="inlineStr">
        <is>
          <t>2026-06-19</t>
        </is>
      </c>
      <c r="C5610" s="6" t="inlineStr">
        <is>
          <t>DIA</t>
        </is>
      </c>
      <c r="D5610" s="6" t="inlineStr">
        <is>
          <t>VZ</t>
        </is>
      </c>
      <c r="E5610" s="6" t="inlineStr">
        <is>
          <t>VZ</t>
        </is>
      </c>
      <c r="F5610" s="6" t="inlineStr">
        <is>
          <t>-</t>
        </is>
      </c>
      <c r="G5610" s="7" t="n">
        <v>45.36999893188477</v>
      </c>
      <c r="H5610" s="6">
        <f>P5579</f>
        <v/>
      </c>
      <c r="I5610" s="9">
        <f>Q5579</f>
        <v/>
      </c>
      <c r="J5610" s="7">
        <f>I5610*G5610</f>
        <v/>
      </c>
      <c r="K5610" s="8">
        <f>IF($J$5612=0,0,J5610/$J$5612)</f>
        <v/>
      </c>
      <c r="L5610" s="6" t="inlineStr">
        <is>
          <t>WATCHLIST</t>
        </is>
      </c>
      <c r="M5610" s="8" t="n">
        <v>0</v>
      </c>
      <c r="N5610" s="7">
        <f>M5610*$J$5612-J5610</f>
        <v/>
      </c>
      <c r="O5610" s="9">
        <f>IF(G5610=0,0,N5610/G5610)</f>
        <v/>
      </c>
      <c r="P5610" s="6">
        <f>IF(M5610&gt;0,D5610,"")</f>
        <v/>
      </c>
      <c r="Q5610" s="9">
        <f>I5610+O5610</f>
        <v/>
      </c>
      <c r="R5610" s="7">
        <f>Q5610*G5610</f>
        <v/>
      </c>
      <c r="S5610" s="8">
        <f>IF($R$5612=0,0,R5610/$R$5612)</f>
        <v/>
      </c>
      <c r="T5610" s="8" t="n">
        <v>-0.001529765001304528</v>
      </c>
      <c r="U5610" s="8" t="n">
        <v>0.00753665156902894</v>
      </c>
      <c r="V5610" s="6" t="inlineStr">
        <is>
          <t>not selected</t>
        </is>
      </c>
    </row>
    <row r="5611">
      <c r="A5611" s="6" t="inlineStr">
        <is>
          <t>DJ30</t>
        </is>
      </c>
      <c r="B5611" s="6" t="inlineStr">
        <is>
          <t>2026-06-19</t>
        </is>
      </c>
      <c r="C5611" s="6" t="inlineStr">
        <is>
          <t>DIA</t>
        </is>
      </c>
      <c r="D5611" s="6" t="inlineStr">
        <is>
          <t>WMT</t>
        </is>
      </c>
      <c r="E5611" s="6" t="inlineStr">
        <is>
          <t>WMT</t>
        </is>
      </c>
      <c r="F5611" s="6" t="inlineStr">
        <is>
          <t>-</t>
        </is>
      </c>
      <c r="G5611" s="7" t="n">
        <v>117.1800003051758</v>
      </c>
      <c r="H5611" s="6">
        <f>P5580</f>
        <v/>
      </c>
      <c r="I5611" s="9">
        <f>Q5580</f>
        <v/>
      </c>
      <c r="J5611" s="7">
        <f>I5611*G5611</f>
        <v/>
      </c>
      <c r="K5611" s="8">
        <f>IF($J$5612=0,0,J5611/$J$5612)</f>
        <v/>
      </c>
      <c r="L5611" s="6" t="inlineStr">
        <is>
          <t>WATCHLIST</t>
        </is>
      </c>
      <c r="M5611" s="8" t="n">
        <v>0</v>
      </c>
      <c r="N5611" s="7">
        <f>M5611*$J$5612-J5611</f>
        <v/>
      </c>
      <c r="O5611" s="9">
        <f>IF(G5611=0,0,N5611/G5611)</f>
        <v/>
      </c>
      <c r="P5611" s="6">
        <f>IF(M5611&gt;0,D5611,"")</f>
        <v/>
      </c>
      <c r="Q5611" s="9">
        <f>I5611+O5611</f>
        <v/>
      </c>
      <c r="R5611" s="7">
        <f>Q5611*G5611</f>
        <v/>
      </c>
      <c r="S5611" s="8">
        <f>IF($R$5612=0,0,R5611/$R$5612)</f>
        <v/>
      </c>
      <c r="T5611" s="8" t="n">
        <v>-0.001529765001304528</v>
      </c>
      <c r="U5611" s="8" t="n">
        <v>0.00753665156902894</v>
      </c>
      <c r="V5611" s="6" t="inlineStr">
        <is>
          <t>not selected</t>
        </is>
      </c>
    </row>
    <row r="5612">
      <c r="A5612" s="10" t="inlineStr">
        <is>
          <t>DJ30</t>
        </is>
      </c>
      <c r="B5612" s="10" t="inlineStr">
        <is>
          <t>2026-06-19</t>
        </is>
      </c>
      <c r="C5612" s="10" t="inlineStr">
        <is>
          <t>DIA</t>
        </is>
      </c>
      <c r="D5612" s="10" t="inlineStr">
        <is>
          <t>Tot Portfolio</t>
        </is>
      </c>
      <c r="E5612" s="10" t="inlineStr"/>
      <c r="F5612" s="10" t="inlineStr"/>
      <c r="G5612" s="11" t="inlineStr"/>
      <c r="H5612" s="10" t="inlineStr"/>
      <c r="I5612" s="12" t="inlineStr"/>
      <c r="J5612" s="11">
        <f>SUM(J5582:J5611)</f>
        <v/>
      </c>
      <c r="K5612" s="13">
        <f>SUM(K5582:K5611)</f>
        <v/>
      </c>
      <c r="L5612" s="10" t="inlineStr">
        <is>
          <t>TOTAL</t>
        </is>
      </c>
      <c r="M5612" s="13">
        <f>SUM(M5582:M5611)</f>
        <v/>
      </c>
      <c r="N5612" s="11">
        <f>SUM(N5582:N5611)</f>
        <v/>
      </c>
      <c r="O5612" s="12">
        <f>SUM(O5582:O5611)</f>
        <v/>
      </c>
      <c r="P5612" s="10" t="inlineStr"/>
      <c r="Q5612" s="12" t="inlineStr"/>
      <c r="R5612" s="11">
        <f>SUM(R5582:R5611)</f>
        <v/>
      </c>
      <c r="S5612" s="13">
        <f>SUM(S5582:S5611)</f>
        <v/>
      </c>
      <c r="T5612" s="13" t="n">
        <v>-0.001529765001304528</v>
      </c>
      <c r="U5612" s="13" t="n">
        <v>0.00753665156902894</v>
      </c>
      <c r="V5612" s="10" t="inlineStr"/>
    </row>
    <row r="5613">
      <c r="A5613" s="6" t="inlineStr">
        <is>
          <t>DJ30</t>
        </is>
      </c>
      <c r="B5613" s="6" t="inlineStr">
        <is>
          <t>2026-06-26</t>
        </is>
      </c>
      <c r="C5613" s="6" t="inlineStr">
        <is>
          <t>DIA</t>
        </is>
      </c>
      <c r="D5613" s="6" t="inlineStr">
        <is>
          <t>AAPL</t>
        </is>
      </c>
      <c r="E5613" s="6" t="inlineStr">
        <is>
          <t>AAPL</t>
        </is>
      </c>
      <c r="F5613" s="6" t="inlineStr">
        <is>
          <t>-</t>
        </is>
      </c>
      <c r="G5613" s="7" t="n">
        <v>275.1499938964844</v>
      </c>
      <c r="H5613" s="6">
        <f>P5582</f>
        <v/>
      </c>
      <c r="I5613" s="9">
        <f>Q5582</f>
        <v/>
      </c>
      <c r="J5613" s="7">
        <f>I5613*G5613</f>
        <v/>
      </c>
      <c r="K5613" s="8">
        <f>IF($J$5643=0,0,J5613/$J$5643)</f>
        <v/>
      </c>
      <c r="L5613" s="6" t="inlineStr">
        <is>
          <t>WATCHLIST</t>
        </is>
      </c>
      <c r="M5613" s="8" t="n">
        <v>0</v>
      </c>
      <c r="N5613" s="7">
        <f>M5613*$J$5643-J5613</f>
        <v/>
      </c>
      <c r="O5613" s="9">
        <f>IF(G5613=0,0,N5613/G5613)</f>
        <v/>
      </c>
      <c r="P5613" s="6">
        <f>IF(M5613&gt;0,D5613,"")</f>
        <v/>
      </c>
      <c r="Q5613" s="9">
        <f>I5613+O5613</f>
        <v/>
      </c>
      <c r="R5613" s="7">
        <f>Q5613*G5613</f>
        <v/>
      </c>
      <c r="S5613" s="8">
        <f>IF($R$5643=0,0,R5613/$R$5643)</f>
        <v/>
      </c>
      <c r="T5613" s="8" t="n">
        <v>0.02608722682266307</v>
      </c>
      <c r="U5613" s="8" t="n">
        <v>0.007254791458488175</v>
      </c>
      <c r="V5613" s="6" t="inlineStr">
        <is>
          <t>not selected</t>
        </is>
      </c>
    </row>
    <row r="5614">
      <c r="A5614" s="6" t="inlineStr">
        <is>
          <t>DJ30</t>
        </is>
      </c>
      <c r="B5614" s="6" t="inlineStr">
        <is>
          <t>2026-06-26</t>
        </is>
      </c>
      <c r="C5614" s="6" t="inlineStr">
        <is>
          <t>DIA</t>
        </is>
      </c>
      <c r="D5614" s="6" t="inlineStr">
        <is>
          <t>AMGN</t>
        </is>
      </c>
      <c r="E5614" s="6" t="inlineStr">
        <is>
          <t>AMGN</t>
        </is>
      </c>
      <c r="F5614" s="6" t="inlineStr">
        <is>
          <t>-</t>
        </is>
      </c>
      <c r="G5614" s="7" t="n">
        <v>352.8200073242188</v>
      </c>
      <c r="H5614" s="6">
        <f>P5583</f>
        <v/>
      </c>
      <c r="I5614" s="9">
        <f>Q5583</f>
        <v/>
      </c>
      <c r="J5614" s="7">
        <f>I5614*G5614</f>
        <v/>
      </c>
      <c r="K5614" s="8">
        <f>IF($J$5643=0,0,J5614/$J$5643)</f>
        <v/>
      </c>
      <c r="L5614" s="6" t="inlineStr">
        <is>
          <t>WATCHLIST</t>
        </is>
      </c>
      <c r="M5614" s="8" t="n">
        <v>0</v>
      </c>
      <c r="N5614" s="7">
        <f>M5614*$J$5643-J5614</f>
        <v/>
      </c>
      <c r="O5614" s="9">
        <f>IF(G5614=0,0,N5614/G5614)</f>
        <v/>
      </c>
      <c r="P5614" s="6">
        <f>IF(M5614&gt;0,D5614,"")</f>
        <v/>
      </c>
      <c r="Q5614" s="9">
        <f>I5614+O5614</f>
        <v/>
      </c>
      <c r="R5614" s="7">
        <f>Q5614*G5614</f>
        <v/>
      </c>
      <c r="S5614" s="8">
        <f>IF($R$5643=0,0,R5614/$R$5643)</f>
        <v/>
      </c>
      <c r="T5614" s="8" t="n">
        <v>0.02608722682266307</v>
      </c>
      <c r="U5614" s="8" t="n">
        <v>0.007254791458488175</v>
      </c>
      <c r="V5614" s="6" t="inlineStr">
        <is>
          <t>not selected</t>
        </is>
      </c>
    </row>
    <row r="5615">
      <c r="A5615" s="6" t="inlineStr">
        <is>
          <t>DJ30</t>
        </is>
      </c>
      <c r="B5615" s="6" t="inlineStr">
        <is>
          <t>2026-06-26</t>
        </is>
      </c>
      <c r="C5615" s="6" t="inlineStr">
        <is>
          <t>DIA</t>
        </is>
      </c>
      <c r="D5615" s="6" t="inlineStr">
        <is>
          <t>AMZN</t>
        </is>
      </c>
      <c r="E5615" s="6" t="inlineStr">
        <is>
          <t>AMZN</t>
        </is>
      </c>
      <c r="F5615" s="6" t="inlineStr">
        <is>
          <t>-</t>
        </is>
      </c>
      <c r="G5615" s="7" t="n">
        <v>227.009994506836</v>
      </c>
      <c r="H5615" s="6">
        <f>P5584</f>
        <v/>
      </c>
      <c r="I5615" s="9">
        <f>Q5584</f>
        <v/>
      </c>
      <c r="J5615" s="7">
        <f>I5615*G5615</f>
        <v/>
      </c>
      <c r="K5615" s="8">
        <f>IF($J$5643=0,0,J5615/$J$5643)</f>
        <v/>
      </c>
      <c r="L5615" s="6" t="inlineStr">
        <is>
          <t>REJECTED</t>
        </is>
      </c>
      <c r="M5615" s="8" t="n">
        <v>0</v>
      </c>
      <c r="N5615" s="7">
        <f>M5615*$J$5643-J5615</f>
        <v/>
      </c>
      <c r="O5615" s="9">
        <f>IF(G5615=0,0,N5615/G5615)</f>
        <v/>
      </c>
      <c r="P5615" s="6">
        <f>IF(M5615&gt;0,D5615,"")</f>
        <v/>
      </c>
      <c r="Q5615" s="9">
        <f>I5615+O5615</f>
        <v/>
      </c>
      <c r="R5615" s="7">
        <f>Q5615*G5615</f>
        <v/>
      </c>
      <c r="S5615" s="8">
        <f>IF($R$5643=0,0,R5615/$R$5643)</f>
        <v/>
      </c>
      <c r="T5615" s="8" t="n">
        <v>0.02608722682266307</v>
      </c>
      <c r="U5615" s="8" t="n">
        <v>0.007254791458488175</v>
      </c>
      <c r="V5615" s="6" t="inlineStr">
        <is>
          <t>not selected</t>
        </is>
      </c>
    </row>
    <row r="5616">
      <c r="A5616" s="6" t="inlineStr">
        <is>
          <t>DJ30</t>
        </is>
      </c>
      <c r="B5616" s="6" t="inlineStr">
        <is>
          <t>2026-06-26</t>
        </is>
      </c>
      <c r="C5616" s="6" t="inlineStr">
        <is>
          <t>DIA</t>
        </is>
      </c>
      <c r="D5616" s="6" t="inlineStr">
        <is>
          <t>AXP</t>
        </is>
      </c>
      <c r="E5616" s="6" t="inlineStr">
        <is>
          <t>AXP</t>
        </is>
      </c>
      <c r="F5616" s="6" t="inlineStr">
        <is>
          <t>-</t>
        </is>
      </c>
      <c r="G5616" s="7" t="n">
        <v>342.4599914550781</v>
      </c>
      <c r="H5616" s="6">
        <f>P5585</f>
        <v/>
      </c>
      <c r="I5616" s="9">
        <f>Q5585</f>
        <v/>
      </c>
      <c r="J5616" s="7">
        <f>I5616*G5616</f>
        <v/>
      </c>
      <c r="K5616" s="8">
        <f>IF($J$5643=0,0,J5616/$J$5643)</f>
        <v/>
      </c>
      <c r="L5616" s="6" t="inlineStr">
        <is>
          <t>REJECTED</t>
        </is>
      </c>
      <c r="M5616" s="8" t="n">
        <v>0</v>
      </c>
      <c r="N5616" s="7">
        <f>M5616*$J$5643-J5616</f>
        <v/>
      </c>
      <c r="O5616" s="9">
        <f>IF(G5616=0,0,N5616/G5616)</f>
        <v/>
      </c>
      <c r="P5616" s="6">
        <f>IF(M5616&gt;0,D5616,"")</f>
        <v/>
      </c>
      <c r="Q5616" s="9">
        <f>I5616+O5616</f>
        <v/>
      </c>
      <c r="R5616" s="7">
        <f>Q5616*G5616</f>
        <v/>
      </c>
      <c r="S5616" s="8">
        <f>IF($R$5643=0,0,R5616/$R$5643)</f>
        <v/>
      </c>
      <c r="T5616" s="8" t="n">
        <v>0.02608722682266307</v>
      </c>
      <c r="U5616" s="8" t="n">
        <v>0.007254791458488175</v>
      </c>
      <c r="V5616" s="6" t="inlineStr">
        <is>
          <t>not selected</t>
        </is>
      </c>
    </row>
    <row r="5617">
      <c r="A5617" s="6" t="inlineStr">
        <is>
          <t>DJ30</t>
        </is>
      </c>
      <c r="B5617" s="6" t="inlineStr">
        <is>
          <t>2026-06-26</t>
        </is>
      </c>
      <c r="C5617" s="6" t="inlineStr">
        <is>
          <t>DIA</t>
        </is>
      </c>
      <c r="D5617" s="6" t="inlineStr">
        <is>
          <t>BA</t>
        </is>
      </c>
      <c r="E5617" s="6" t="inlineStr">
        <is>
          <t>BA</t>
        </is>
      </c>
      <c r="F5617" s="6" t="inlineStr">
        <is>
          <t>-</t>
        </is>
      </c>
      <c r="G5617" s="7" t="n">
        <v>218.1199951171875</v>
      </c>
      <c r="H5617" s="6">
        <f>P5586</f>
        <v/>
      </c>
      <c r="I5617" s="9">
        <f>Q5586</f>
        <v/>
      </c>
      <c r="J5617" s="7">
        <f>I5617*G5617</f>
        <v/>
      </c>
      <c r="K5617" s="8">
        <f>IF($J$5643=0,0,J5617/$J$5643)</f>
        <v/>
      </c>
      <c r="L5617" s="6" t="inlineStr">
        <is>
          <t>REJECTED</t>
        </is>
      </c>
      <c r="M5617" s="8" t="n">
        <v>0</v>
      </c>
      <c r="N5617" s="7">
        <f>M5617*$J$5643-J5617</f>
        <v/>
      </c>
      <c r="O5617" s="9">
        <f>IF(G5617=0,0,N5617/G5617)</f>
        <v/>
      </c>
      <c r="P5617" s="6">
        <f>IF(M5617&gt;0,D5617,"")</f>
        <v/>
      </c>
      <c r="Q5617" s="9">
        <f>I5617+O5617</f>
        <v/>
      </c>
      <c r="R5617" s="7">
        <f>Q5617*G5617</f>
        <v/>
      </c>
      <c r="S5617" s="8">
        <f>IF($R$5643=0,0,R5617/$R$5643)</f>
        <v/>
      </c>
      <c r="T5617" s="8" t="n">
        <v>0.02608722682266307</v>
      </c>
      <c r="U5617" s="8" t="n">
        <v>0.007254791458488175</v>
      </c>
      <c r="V5617" s="6" t="inlineStr">
        <is>
          <t>not selected</t>
        </is>
      </c>
    </row>
    <row r="5618">
      <c r="A5618" s="6" t="inlineStr">
        <is>
          <t>DJ30</t>
        </is>
      </c>
      <c r="B5618" s="6" t="inlineStr">
        <is>
          <t>2026-06-26</t>
        </is>
      </c>
      <c r="C5618" s="6" t="inlineStr">
        <is>
          <t>DIA</t>
        </is>
      </c>
      <c r="D5618" s="6" t="inlineStr">
        <is>
          <t>CAT</t>
        </is>
      </c>
      <c r="E5618" s="6" t="inlineStr">
        <is>
          <t>CAT</t>
        </is>
      </c>
      <c r="F5618" s="6" t="inlineStr">
        <is>
          <t>-</t>
        </is>
      </c>
      <c r="G5618" s="7" t="n">
        <v>1057.010009765625</v>
      </c>
      <c r="H5618" s="6">
        <f>P5587</f>
        <v/>
      </c>
      <c r="I5618" s="9">
        <f>Q5587</f>
        <v/>
      </c>
      <c r="J5618" s="7">
        <f>I5618*G5618</f>
        <v/>
      </c>
      <c r="K5618" s="8">
        <f>IF($J$5643=0,0,J5618/$J$5643)</f>
        <v/>
      </c>
      <c r="L5618" s="6" t="inlineStr">
        <is>
          <t>SELECTED</t>
        </is>
      </c>
      <c r="M5618" s="8" t="n">
        <v>0.2</v>
      </c>
      <c r="N5618" s="7">
        <f>M5618*$J$5643-J5618</f>
        <v/>
      </c>
      <c r="O5618" s="9">
        <f>IF(G5618=0,0,N5618/G5618)</f>
        <v/>
      </c>
      <c r="P5618" s="6">
        <f>IF(M5618&gt;0,D5618,"")</f>
        <v/>
      </c>
      <c r="Q5618" s="9">
        <f>I5618+O5618</f>
        <v/>
      </c>
      <c r="R5618" s="7">
        <f>Q5618*G5618</f>
        <v/>
      </c>
      <c r="S5618" s="8">
        <f>IF($R$5643=0,0,R5618/$R$5643)</f>
        <v/>
      </c>
      <c r="T5618" s="8" t="n">
        <v>0.02608722682266307</v>
      </c>
      <c r="U5618" s="8" t="n">
        <v>0.007254791458488175</v>
      </c>
      <c r="V5618" s="6" t="inlineStr">
        <is>
          <t>remained in weekly selection</t>
        </is>
      </c>
    </row>
    <row r="5619">
      <c r="A5619" s="6" t="inlineStr">
        <is>
          <t>DJ30</t>
        </is>
      </c>
      <c r="B5619" s="6" t="inlineStr">
        <is>
          <t>2026-06-26</t>
        </is>
      </c>
      <c r="C5619" s="6" t="inlineStr">
        <is>
          <t>DIA</t>
        </is>
      </c>
      <c r="D5619" s="6" t="inlineStr">
        <is>
          <t>CRM</t>
        </is>
      </c>
      <c r="E5619" s="6" t="inlineStr">
        <is>
          <t>CRM</t>
        </is>
      </c>
      <c r="F5619" s="6" t="inlineStr">
        <is>
          <t>-</t>
        </is>
      </c>
      <c r="G5619" s="7" t="n">
        <v>150.1900024414062</v>
      </c>
      <c r="H5619" s="6">
        <f>P5588</f>
        <v/>
      </c>
      <c r="I5619" s="9">
        <f>Q5588</f>
        <v/>
      </c>
      <c r="J5619" s="7">
        <f>I5619*G5619</f>
        <v/>
      </c>
      <c r="K5619" s="8">
        <f>IF($J$5643=0,0,J5619/$J$5643)</f>
        <v/>
      </c>
      <c r="L5619" s="6" t="inlineStr">
        <is>
          <t>REJECTED</t>
        </is>
      </c>
      <c r="M5619" s="8" t="n">
        <v>0</v>
      </c>
      <c r="N5619" s="7">
        <f>M5619*$J$5643-J5619</f>
        <v/>
      </c>
      <c r="O5619" s="9">
        <f>IF(G5619=0,0,N5619/G5619)</f>
        <v/>
      </c>
      <c r="P5619" s="6">
        <f>IF(M5619&gt;0,D5619,"")</f>
        <v/>
      </c>
      <c r="Q5619" s="9">
        <f>I5619+O5619</f>
        <v/>
      </c>
      <c r="R5619" s="7">
        <f>Q5619*G5619</f>
        <v/>
      </c>
      <c r="S5619" s="8">
        <f>IF($R$5643=0,0,R5619/$R$5643)</f>
        <v/>
      </c>
      <c r="T5619" s="8" t="n">
        <v>0.02608722682266307</v>
      </c>
      <c r="U5619" s="8" t="n">
        <v>0.007254791458488175</v>
      </c>
      <c r="V5619" s="6" t="inlineStr">
        <is>
          <t>not selected</t>
        </is>
      </c>
    </row>
    <row r="5620">
      <c r="A5620" s="6" t="inlineStr">
        <is>
          <t>DJ30</t>
        </is>
      </c>
      <c r="B5620" s="6" t="inlineStr">
        <is>
          <t>2026-06-26</t>
        </is>
      </c>
      <c r="C5620" s="6" t="inlineStr">
        <is>
          <t>DIA</t>
        </is>
      </c>
      <c r="D5620" s="6" t="inlineStr">
        <is>
          <t>CSCO</t>
        </is>
      </c>
      <c r="E5620" s="6" t="inlineStr">
        <is>
          <t>CSCO</t>
        </is>
      </c>
      <c r="F5620" s="6" t="inlineStr">
        <is>
          <t>-</t>
        </is>
      </c>
      <c r="G5620" s="7" t="n">
        <v>118.9700012207031</v>
      </c>
      <c r="H5620" s="6">
        <f>P5589</f>
        <v/>
      </c>
      <c r="I5620" s="9">
        <f>Q5589</f>
        <v/>
      </c>
      <c r="J5620" s="7">
        <f>I5620*G5620</f>
        <v/>
      </c>
      <c r="K5620" s="8">
        <f>IF($J$5643=0,0,J5620/$J$5643)</f>
        <v/>
      </c>
      <c r="L5620" s="6" t="inlineStr">
        <is>
          <t>SELECTED</t>
        </is>
      </c>
      <c r="M5620" s="8" t="n">
        <v>0.2</v>
      </c>
      <c r="N5620" s="7">
        <f>M5620*$J$5643-J5620</f>
        <v/>
      </c>
      <c r="O5620" s="9">
        <f>IF(G5620=0,0,N5620/G5620)</f>
        <v/>
      </c>
      <c r="P5620" s="6">
        <f>IF(M5620&gt;0,D5620,"")</f>
        <v/>
      </c>
      <c r="Q5620" s="9">
        <f>I5620+O5620</f>
        <v/>
      </c>
      <c r="R5620" s="7">
        <f>Q5620*G5620</f>
        <v/>
      </c>
      <c r="S5620" s="8">
        <f>IF($R$5643=0,0,R5620/$R$5643)</f>
        <v/>
      </c>
      <c r="T5620" s="8" t="n">
        <v>0.02608722682266307</v>
      </c>
      <c r="U5620" s="8" t="n">
        <v>0.007254791458488175</v>
      </c>
      <c r="V5620" s="6" t="inlineStr">
        <is>
          <t>remained in weekly selection</t>
        </is>
      </c>
    </row>
    <row r="5621">
      <c r="A5621" s="6" t="inlineStr">
        <is>
          <t>DJ30</t>
        </is>
      </c>
      <c r="B5621" s="6" t="inlineStr">
        <is>
          <t>2026-06-26</t>
        </is>
      </c>
      <c r="C5621" s="6" t="inlineStr">
        <is>
          <t>DIA</t>
        </is>
      </c>
      <c r="D5621" s="6" t="inlineStr">
        <is>
          <t>CVX</t>
        </is>
      </c>
      <c r="E5621" s="6" t="inlineStr">
        <is>
          <t>CVX</t>
        </is>
      </c>
      <c r="F5621" s="6" t="inlineStr">
        <is>
          <t>-</t>
        </is>
      </c>
      <c r="G5621" s="7" t="n">
        <v>172.2400054931641</v>
      </c>
      <c r="H5621" s="6">
        <f>P5590</f>
        <v/>
      </c>
      <c r="I5621" s="9">
        <f>Q5590</f>
        <v/>
      </c>
      <c r="J5621" s="7">
        <f>I5621*G5621</f>
        <v/>
      </c>
      <c r="K5621" s="8">
        <f>IF($J$5643=0,0,J5621/$J$5643)</f>
        <v/>
      </c>
      <c r="L5621" s="6" t="inlineStr">
        <is>
          <t>WATCHLIST</t>
        </is>
      </c>
      <c r="M5621" s="8" t="n">
        <v>0</v>
      </c>
      <c r="N5621" s="7">
        <f>M5621*$J$5643-J5621</f>
        <v/>
      </c>
      <c r="O5621" s="9">
        <f>IF(G5621=0,0,N5621/G5621)</f>
        <v/>
      </c>
      <c r="P5621" s="6">
        <f>IF(M5621&gt;0,D5621,"")</f>
        <v/>
      </c>
      <c r="Q5621" s="9">
        <f>I5621+O5621</f>
        <v/>
      </c>
      <c r="R5621" s="7">
        <f>Q5621*G5621</f>
        <v/>
      </c>
      <c r="S5621" s="8">
        <f>IF($R$5643=0,0,R5621/$R$5643)</f>
        <v/>
      </c>
      <c r="T5621" s="8" t="n">
        <v>0.02608722682266307</v>
      </c>
      <c r="U5621" s="8" t="n">
        <v>0.007254791458488175</v>
      </c>
      <c r="V5621" s="6" t="inlineStr">
        <is>
          <t>removed from weekly selection</t>
        </is>
      </c>
    </row>
    <row r="5622">
      <c r="A5622" s="6" t="inlineStr">
        <is>
          <t>DJ30</t>
        </is>
      </c>
      <c r="B5622" s="6" t="inlineStr">
        <is>
          <t>2026-06-26</t>
        </is>
      </c>
      <c r="C5622" s="6" t="inlineStr">
        <is>
          <t>DIA</t>
        </is>
      </c>
      <c r="D5622" s="6" t="inlineStr">
        <is>
          <t>DIS</t>
        </is>
      </c>
      <c r="E5622" s="6" t="inlineStr">
        <is>
          <t>DIS</t>
        </is>
      </c>
      <c r="F5622" s="6" t="inlineStr">
        <is>
          <t>-</t>
        </is>
      </c>
      <c r="G5622" s="7" t="n">
        <v>98.0500030517578</v>
      </c>
      <c r="H5622" s="6">
        <f>P5591</f>
        <v/>
      </c>
      <c r="I5622" s="9">
        <f>Q5591</f>
        <v/>
      </c>
      <c r="J5622" s="7">
        <f>I5622*G5622</f>
        <v/>
      </c>
      <c r="K5622" s="8">
        <f>IF($J$5643=0,0,J5622/$J$5643)</f>
        <v/>
      </c>
      <c r="L5622" s="6" t="inlineStr">
        <is>
          <t>REJECTED</t>
        </is>
      </c>
      <c r="M5622" s="8" t="n">
        <v>0</v>
      </c>
      <c r="N5622" s="7">
        <f>M5622*$J$5643-J5622</f>
        <v/>
      </c>
      <c r="O5622" s="9">
        <f>IF(G5622=0,0,N5622/G5622)</f>
        <v/>
      </c>
      <c r="P5622" s="6">
        <f>IF(M5622&gt;0,D5622,"")</f>
        <v/>
      </c>
      <c r="Q5622" s="9">
        <f>I5622+O5622</f>
        <v/>
      </c>
      <c r="R5622" s="7">
        <f>Q5622*G5622</f>
        <v/>
      </c>
      <c r="S5622" s="8">
        <f>IF($R$5643=0,0,R5622/$R$5643)</f>
        <v/>
      </c>
      <c r="T5622" s="8" t="n">
        <v>0.02608722682266307</v>
      </c>
      <c r="U5622" s="8" t="n">
        <v>0.007254791458488175</v>
      </c>
      <c r="V5622" s="6" t="inlineStr">
        <is>
          <t>not selected</t>
        </is>
      </c>
    </row>
    <row r="5623">
      <c r="A5623" s="6" t="inlineStr">
        <is>
          <t>DJ30</t>
        </is>
      </c>
      <c r="B5623" s="6" t="inlineStr">
        <is>
          <t>2026-06-26</t>
        </is>
      </c>
      <c r="C5623" s="6" t="inlineStr">
        <is>
          <t>DIA</t>
        </is>
      </c>
      <c r="D5623" s="6" t="inlineStr">
        <is>
          <t>GS</t>
        </is>
      </c>
      <c r="E5623" s="6" t="inlineStr">
        <is>
          <t>GS</t>
        </is>
      </c>
      <c r="F5623" s="6" t="inlineStr">
        <is>
          <t>-</t>
        </is>
      </c>
      <c r="G5623" s="7" t="n">
        <v>1065.089965820312</v>
      </c>
      <c r="H5623" s="6">
        <f>P5592</f>
        <v/>
      </c>
      <c r="I5623" s="9">
        <f>Q5592</f>
        <v/>
      </c>
      <c r="J5623" s="7">
        <f>I5623*G5623</f>
        <v/>
      </c>
      <c r="K5623" s="8">
        <f>IF($J$5643=0,0,J5623/$J$5643)</f>
        <v/>
      </c>
      <c r="L5623" s="6" t="inlineStr">
        <is>
          <t>SELECTED</t>
        </is>
      </c>
      <c r="M5623" s="8" t="n">
        <v>0.2</v>
      </c>
      <c r="N5623" s="7">
        <f>M5623*$J$5643-J5623</f>
        <v/>
      </c>
      <c r="O5623" s="9">
        <f>IF(G5623=0,0,N5623/G5623)</f>
        <v/>
      </c>
      <c r="P5623" s="6">
        <f>IF(M5623&gt;0,D5623,"")</f>
        <v/>
      </c>
      <c r="Q5623" s="9">
        <f>I5623+O5623</f>
        <v/>
      </c>
      <c r="R5623" s="7">
        <f>Q5623*G5623</f>
        <v/>
      </c>
      <c r="S5623" s="8">
        <f>IF($R$5643=0,0,R5623/$R$5643)</f>
        <v/>
      </c>
      <c r="T5623" s="8" t="n">
        <v>0.02608722682266307</v>
      </c>
      <c r="U5623" s="8" t="n">
        <v>0.007254791458488175</v>
      </c>
      <c r="V5623" s="6" t="inlineStr">
        <is>
          <t>remained in weekly selection</t>
        </is>
      </c>
    </row>
    <row r="5624">
      <c r="A5624" s="6" t="inlineStr">
        <is>
          <t>DJ30</t>
        </is>
      </c>
      <c r="B5624" s="6" t="inlineStr">
        <is>
          <t>2026-06-26</t>
        </is>
      </c>
      <c r="C5624" s="6" t="inlineStr">
        <is>
          <t>DIA</t>
        </is>
      </c>
      <c r="D5624" s="6" t="inlineStr">
        <is>
          <t>HD</t>
        </is>
      </c>
      <c r="E5624" s="6" t="inlineStr">
        <is>
          <t>HD</t>
        </is>
      </c>
      <c r="F5624" s="6" t="inlineStr">
        <is>
          <t>-</t>
        </is>
      </c>
      <c r="G5624" s="7" t="n">
        <v>345</v>
      </c>
      <c r="H5624" s="6">
        <f>P5593</f>
        <v/>
      </c>
      <c r="I5624" s="9">
        <f>Q5593</f>
        <v/>
      </c>
      <c r="J5624" s="7">
        <f>I5624*G5624</f>
        <v/>
      </c>
      <c r="K5624" s="8">
        <f>IF($J$5643=0,0,J5624/$J$5643)</f>
        <v/>
      </c>
      <c r="L5624" s="6" t="inlineStr">
        <is>
          <t>REJECTED</t>
        </is>
      </c>
      <c r="M5624" s="8" t="n">
        <v>0</v>
      </c>
      <c r="N5624" s="7">
        <f>M5624*$J$5643-J5624</f>
        <v/>
      </c>
      <c r="O5624" s="9">
        <f>IF(G5624=0,0,N5624/G5624)</f>
        <v/>
      </c>
      <c r="P5624" s="6">
        <f>IF(M5624&gt;0,D5624,"")</f>
        <v/>
      </c>
      <c r="Q5624" s="9">
        <f>I5624+O5624</f>
        <v/>
      </c>
      <c r="R5624" s="7">
        <f>Q5624*G5624</f>
        <v/>
      </c>
      <c r="S5624" s="8">
        <f>IF($R$5643=0,0,R5624/$R$5643)</f>
        <v/>
      </c>
      <c r="T5624" s="8" t="n">
        <v>0.02608722682266307</v>
      </c>
      <c r="U5624" s="8" t="n">
        <v>0.007254791458488175</v>
      </c>
      <c r="V5624" s="6" t="inlineStr">
        <is>
          <t>not selected</t>
        </is>
      </c>
    </row>
    <row r="5625">
      <c r="A5625" s="6" t="inlineStr">
        <is>
          <t>DJ30</t>
        </is>
      </c>
      <c r="B5625" s="6" t="inlineStr">
        <is>
          <t>2026-06-26</t>
        </is>
      </c>
      <c r="C5625" s="6" t="inlineStr">
        <is>
          <t>DIA</t>
        </is>
      </c>
      <c r="D5625" s="6" t="inlineStr">
        <is>
          <t>HON</t>
        </is>
      </c>
      <c r="E5625" s="6" t="inlineStr">
        <is>
          <t>HON</t>
        </is>
      </c>
      <c r="F5625" s="6" t="inlineStr">
        <is>
          <t>-</t>
        </is>
      </c>
      <c r="G5625" s="7" t="n">
        <v>231.2400054931641</v>
      </c>
      <c r="H5625" s="6">
        <f>P5594</f>
        <v/>
      </c>
      <c r="I5625" s="9">
        <f>Q5594</f>
        <v/>
      </c>
      <c r="J5625" s="7">
        <f>I5625*G5625</f>
        <v/>
      </c>
      <c r="K5625" s="8">
        <f>IF($J$5643=0,0,J5625/$J$5643)</f>
        <v/>
      </c>
      <c r="L5625" s="6" t="inlineStr">
        <is>
          <t>WATCHLIST</t>
        </is>
      </c>
      <c r="M5625" s="8" t="n">
        <v>0</v>
      </c>
      <c r="N5625" s="7">
        <f>M5625*$J$5643-J5625</f>
        <v/>
      </c>
      <c r="O5625" s="9">
        <f>IF(G5625=0,0,N5625/G5625)</f>
        <v/>
      </c>
      <c r="P5625" s="6">
        <f>IF(M5625&gt;0,D5625,"")</f>
        <v/>
      </c>
      <c r="Q5625" s="9">
        <f>I5625+O5625</f>
        <v/>
      </c>
      <c r="R5625" s="7">
        <f>Q5625*G5625</f>
        <v/>
      </c>
      <c r="S5625" s="8">
        <f>IF($R$5643=0,0,R5625/$R$5643)</f>
        <v/>
      </c>
      <c r="T5625" s="8" t="n">
        <v>0.02608722682266307</v>
      </c>
      <c r="U5625" s="8" t="n">
        <v>0.007254791458488175</v>
      </c>
      <c r="V5625" s="6" t="inlineStr">
        <is>
          <t>not selected</t>
        </is>
      </c>
    </row>
    <row r="5626">
      <c r="A5626" s="6" t="inlineStr">
        <is>
          <t>DJ30</t>
        </is>
      </c>
      <c r="B5626" s="6" t="inlineStr">
        <is>
          <t>2026-06-26</t>
        </is>
      </c>
      <c r="C5626" s="6" t="inlineStr">
        <is>
          <t>DIA</t>
        </is>
      </c>
      <c r="D5626" s="6" t="inlineStr">
        <is>
          <t>IBM</t>
        </is>
      </c>
      <c r="E5626" s="6" t="inlineStr">
        <is>
          <t>IBM</t>
        </is>
      </c>
      <c r="F5626" s="6" t="inlineStr">
        <is>
          <t>-</t>
        </is>
      </c>
      <c r="G5626" s="7" t="n">
        <v>258.2699890136719</v>
      </c>
      <c r="H5626" s="6">
        <f>P5595</f>
        <v/>
      </c>
      <c r="I5626" s="9">
        <f>Q5595</f>
        <v/>
      </c>
      <c r="J5626" s="7">
        <f>I5626*G5626</f>
        <v/>
      </c>
      <c r="K5626" s="8">
        <f>IF($J$5643=0,0,J5626/$J$5643)</f>
        <v/>
      </c>
      <c r="L5626" s="6" t="inlineStr">
        <is>
          <t>REJECTED</t>
        </is>
      </c>
      <c r="M5626" s="8" t="n">
        <v>0</v>
      </c>
      <c r="N5626" s="7">
        <f>M5626*$J$5643-J5626</f>
        <v/>
      </c>
      <c r="O5626" s="9">
        <f>IF(G5626=0,0,N5626/G5626)</f>
        <v/>
      </c>
      <c r="P5626" s="6">
        <f>IF(M5626&gt;0,D5626,"")</f>
        <v/>
      </c>
      <c r="Q5626" s="9">
        <f>I5626+O5626</f>
        <v/>
      </c>
      <c r="R5626" s="7">
        <f>Q5626*G5626</f>
        <v/>
      </c>
      <c r="S5626" s="8">
        <f>IF($R$5643=0,0,R5626/$R$5643)</f>
        <v/>
      </c>
      <c r="T5626" s="8" t="n">
        <v>0.02608722682266307</v>
      </c>
      <c r="U5626" s="8" t="n">
        <v>0.007254791458488175</v>
      </c>
      <c r="V5626" s="6" t="inlineStr">
        <is>
          <t>not selected</t>
        </is>
      </c>
    </row>
    <row r="5627">
      <c r="A5627" s="6" t="inlineStr">
        <is>
          <t>DJ30</t>
        </is>
      </c>
      <c r="B5627" s="6" t="inlineStr">
        <is>
          <t>2026-06-26</t>
        </is>
      </c>
      <c r="C5627" s="6" t="inlineStr">
        <is>
          <t>DIA</t>
        </is>
      </c>
      <c r="D5627" s="6" t="inlineStr">
        <is>
          <t>JNJ</t>
        </is>
      </c>
      <c r="E5627" s="6" t="inlineStr">
        <is>
          <t>JNJ</t>
        </is>
      </c>
      <c r="F5627" s="6" t="inlineStr">
        <is>
          <t>-</t>
        </is>
      </c>
      <c r="G5627" s="7" t="n">
        <v>244.8800048828125</v>
      </c>
      <c r="H5627" s="6">
        <f>P5596</f>
        <v/>
      </c>
      <c r="I5627" s="9">
        <f>Q5596</f>
        <v/>
      </c>
      <c r="J5627" s="7">
        <f>I5627*G5627</f>
        <v/>
      </c>
      <c r="K5627" s="8">
        <f>IF($J$5643=0,0,J5627/$J$5643)</f>
        <v/>
      </c>
      <c r="L5627" s="6" t="inlineStr">
        <is>
          <t>WATCHLIST</t>
        </is>
      </c>
      <c r="M5627" s="8" t="n">
        <v>0</v>
      </c>
      <c r="N5627" s="7">
        <f>M5627*$J$5643-J5627</f>
        <v/>
      </c>
      <c r="O5627" s="9">
        <f>IF(G5627=0,0,N5627/G5627)</f>
        <v/>
      </c>
      <c r="P5627" s="6">
        <f>IF(M5627&gt;0,D5627,"")</f>
        <v/>
      </c>
      <c r="Q5627" s="9">
        <f>I5627+O5627</f>
        <v/>
      </c>
      <c r="R5627" s="7">
        <f>Q5627*G5627</f>
        <v/>
      </c>
      <c r="S5627" s="8">
        <f>IF($R$5643=0,0,R5627/$R$5643)</f>
        <v/>
      </c>
      <c r="T5627" s="8" t="n">
        <v>0.02608722682266307</v>
      </c>
      <c r="U5627" s="8" t="n">
        <v>0.007254791458488175</v>
      </c>
      <c r="V5627" s="6" t="inlineStr">
        <is>
          <t>not selected</t>
        </is>
      </c>
    </row>
    <row r="5628">
      <c r="A5628" s="6" t="inlineStr">
        <is>
          <t>DJ30</t>
        </is>
      </c>
      <c r="B5628" s="6" t="inlineStr">
        <is>
          <t>2026-06-26</t>
        </is>
      </c>
      <c r="C5628" s="6" t="inlineStr">
        <is>
          <t>DIA</t>
        </is>
      </c>
      <c r="D5628" s="6" t="inlineStr">
        <is>
          <t>JPM</t>
        </is>
      </c>
      <c r="E5628" s="6" t="inlineStr">
        <is>
          <t>JPM</t>
        </is>
      </c>
      <c r="F5628" s="6" t="inlineStr">
        <is>
          <t>-</t>
        </is>
      </c>
      <c r="G5628" s="7" t="n">
        <v>335.1199951171875</v>
      </c>
      <c r="H5628" s="6">
        <f>P5597</f>
        <v/>
      </c>
      <c r="I5628" s="9">
        <f>Q5597</f>
        <v/>
      </c>
      <c r="J5628" s="7">
        <f>I5628*G5628</f>
        <v/>
      </c>
      <c r="K5628" s="8">
        <f>IF($J$5643=0,0,J5628/$J$5643)</f>
        <v/>
      </c>
      <c r="L5628" s="6" t="inlineStr">
        <is>
          <t>REJECTED</t>
        </is>
      </c>
      <c r="M5628" s="8" t="n">
        <v>0</v>
      </c>
      <c r="N5628" s="7">
        <f>M5628*$J$5643-J5628</f>
        <v/>
      </c>
      <c r="O5628" s="9">
        <f>IF(G5628=0,0,N5628/G5628)</f>
        <v/>
      </c>
      <c r="P5628" s="6">
        <f>IF(M5628&gt;0,D5628,"")</f>
        <v/>
      </c>
      <c r="Q5628" s="9">
        <f>I5628+O5628</f>
        <v/>
      </c>
      <c r="R5628" s="7">
        <f>Q5628*G5628</f>
        <v/>
      </c>
      <c r="S5628" s="8">
        <f>IF($R$5643=0,0,R5628/$R$5643)</f>
        <v/>
      </c>
      <c r="T5628" s="8" t="n">
        <v>0.02608722682266307</v>
      </c>
      <c r="U5628" s="8" t="n">
        <v>0.007254791458488175</v>
      </c>
      <c r="V5628" s="6" t="inlineStr">
        <is>
          <t>not selected</t>
        </is>
      </c>
    </row>
    <row r="5629">
      <c r="A5629" s="6" t="inlineStr">
        <is>
          <t>DJ30</t>
        </is>
      </c>
      <c r="B5629" s="6" t="inlineStr">
        <is>
          <t>2026-06-26</t>
        </is>
      </c>
      <c r="C5629" s="6" t="inlineStr">
        <is>
          <t>DIA</t>
        </is>
      </c>
      <c r="D5629" s="6" t="inlineStr">
        <is>
          <t>KO</t>
        </is>
      </c>
      <c r="E5629" s="6" t="inlineStr">
        <is>
          <t>KO</t>
        </is>
      </c>
      <c r="F5629" s="6" t="inlineStr">
        <is>
          <t>-</t>
        </is>
      </c>
      <c r="G5629" s="7" t="n">
        <v>80.41999816894531</v>
      </c>
      <c r="H5629" s="6">
        <f>P5598</f>
        <v/>
      </c>
      <c r="I5629" s="9">
        <f>Q5598</f>
        <v/>
      </c>
      <c r="J5629" s="7">
        <f>I5629*G5629</f>
        <v/>
      </c>
      <c r="K5629" s="8">
        <f>IF($J$5643=0,0,J5629/$J$5643)</f>
        <v/>
      </c>
      <c r="L5629" s="6" t="inlineStr">
        <is>
          <t>WATCHLIST</t>
        </is>
      </c>
      <c r="M5629" s="8" t="n">
        <v>0</v>
      </c>
      <c r="N5629" s="7">
        <f>M5629*$J$5643-J5629</f>
        <v/>
      </c>
      <c r="O5629" s="9">
        <f>IF(G5629=0,0,N5629/G5629)</f>
        <v/>
      </c>
      <c r="P5629" s="6">
        <f>IF(M5629&gt;0,D5629,"")</f>
        <v/>
      </c>
      <c r="Q5629" s="9">
        <f>I5629+O5629</f>
        <v/>
      </c>
      <c r="R5629" s="7">
        <f>Q5629*G5629</f>
        <v/>
      </c>
      <c r="S5629" s="8">
        <f>IF($R$5643=0,0,R5629/$R$5643)</f>
        <v/>
      </c>
      <c r="T5629" s="8" t="n">
        <v>0.02608722682266307</v>
      </c>
      <c r="U5629" s="8" t="n">
        <v>0.007254791458488175</v>
      </c>
      <c r="V5629" s="6" t="inlineStr">
        <is>
          <t>not selected</t>
        </is>
      </c>
    </row>
    <row r="5630">
      <c r="A5630" s="6" t="inlineStr">
        <is>
          <t>DJ30</t>
        </is>
      </c>
      <c r="B5630" s="6" t="inlineStr">
        <is>
          <t>2026-06-26</t>
        </is>
      </c>
      <c r="C5630" s="6" t="inlineStr">
        <is>
          <t>DIA</t>
        </is>
      </c>
      <c r="D5630" s="6" t="inlineStr">
        <is>
          <t>MCD</t>
        </is>
      </c>
      <c r="E5630" s="6" t="inlineStr">
        <is>
          <t>MCD</t>
        </is>
      </c>
      <c r="F5630" s="6" t="inlineStr">
        <is>
          <t>-</t>
        </is>
      </c>
      <c r="G5630" s="7" t="n">
        <v>264.5400085449219</v>
      </c>
      <c r="H5630" s="6">
        <f>P5599</f>
        <v/>
      </c>
      <c r="I5630" s="9">
        <f>Q5599</f>
        <v/>
      </c>
      <c r="J5630" s="7">
        <f>I5630*G5630</f>
        <v/>
      </c>
      <c r="K5630" s="8">
        <f>IF($J$5643=0,0,J5630/$J$5643)</f>
        <v/>
      </c>
      <c r="L5630" s="6" t="inlineStr">
        <is>
          <t>REJECTED</t>
        </is>
      </c>
      <c r="M5630" s="8" t="n">
        <v>0</v>
      </c>
      <c r="N5630" s="7">
        <f>M5630*$J$5643-J5630</f>
        <v/>
      </c>
      <c r="O5630" s="9">
        <f>IF(G5630=0,0,N5630/G5630)</f>
        <v/>
      </c>
      <c r="P5630" s="6">
        <f>IF(M5630&gt;0,D5630,"")</f>
        <v/>
      </c>
      <c r="Q5630" s="9">
        <f>I5630+O5630</f>
        <v/>
      </c>
      <c r="R5630" s="7">
        <f>Q5630*G5630</f>
        <v/>
      </c>
      <c r="S5630" s="8">
        <f>IF($R$5643=0,0,R5630/$R$5643)</f>
        <v/>
      </c>
      <c r="T5630" s="8" t="n">
        <v>0.02608722682266307</v>
      </c>
      <c r="U5630" s="8" t="n">
        <v>0.007254791458488175</v>
      </c>
      <c r="V5630" s="6" t="inlineStr">
        <is>
          <t>not selected</t>
        </is>
      </c>
    </row>
    <row r="5631">
      <c r="A5631" s="6" t="inlineStr">
        <is>
          <t>DJ30</t>
        </is>
      </c>
      <c r="B5631" s="6" t="inlineStr">
        <is>
          <t>2026-06-26</t>
        </is>
      </c>
      <c r="C5631" s="6" t="inlineStr">
        <is>
          <t>DIA</t>
        </is>
      </c>
      <c r="D5631" s="6" t="inlineStr">
        <is>
          <t>MMM</t>
        </is>
      </c>
      <c r="E5631" s="6" t="inlineStr">
        <is>
          <t>MMM</t>
        </is>
      </c>
      <c r="F5631" s="6" t="inlineStr">
        <is>
          <t>-</t>
        </is>
      </c>
      <c r="G5631" s="7" t="n">
        <v>167.9700012207031</v>
      </c>
      <c r="H5631" s="6">
        <f>P5600</f>
        <v/>
      </c>
      <c r="I5631" s="9">
        <f>Q5600</f>
        <v/>
      </c>
      <c r="J5631" s="7">
        <f>I5631*G5631</f>
        <v/>
      </c>
      <c r="K5631" s="8">
        <f>IF($J$5643=0,0,J5631/$J$5643)</f>
        <v/>
      </c>
      <c r="L5631" s="6" t="inlineStr">
        <is>
          <t>REJECTED</t>
        </is>
      </c>
      <c r="M5631" s="8" t="n">
        <v>0</v>
      </c>
      <c r="N5631" s="7">
        <f>M5631*$J$5643-J5631</f>
        <v/>
      </c>
      <c r="O5631" s="9">
        <f>IF(G5631=0,0,N5631/G5631)</f>
        <v/>
      </c>
      <c r="P5631" s="6">
        <f>IF(M5631&gt;0,D5631,"")</f>
        <v/>
      </c>
      <c r="Q5631" s="9">
        <f>I5631+O5631</f>
        <v/>
      </c>
      <c r="R5631" s="7">
        <f>Q5631*G5631</f>
        <v/>
      </c>
      <c r="S5631" s="8">
        <f>IF($R$5643=0,0,R5631/$R$5643)</f>
        <v/>
      </c>
      <c r="T5631" s="8" t="n">
        <v>0.02608722682266307</v>
      </c>
      <c r="U5631" s="8" t="n">
        <v>0.007254791458488175</v>
      </c>
      <c r="V5631" s="6" t="inlineStr">
        <is>
          <t>not selected</t>
        </is>
      </c>
    </row>
    <row r="5632">
      <c r="A5632" s="6" t="inlineStr">
        <is>
          <t>DJ30</t>
        </is>
      </c>
      <c r="B5632" s="6" t="inlineStr">
        <is>
          <t>2026-06-26</t>
        </is>
      </c>
      <c r="C5632" s="6" t="inlineStr">
        <is>
          <t>DIA</t>
        </is>
      </c>
      <c r="D5632" s="6" t="inlineStr">
        <is>
          <t>MRK</t>
        </is>
      </c>
      <c r="E5632" s="6" t="inlineStr">
        <is>
          <t>MRK</t>
        </is>
      </c>
      <c r="F5632" s="6" t="inlineStr">
        <is>
          <t>-</t>
        </is>
      </c>
      <c r="G5632" s="7" t="n">
        <v>125.4499969482422</v>
      </c>
      <c r="H5632" s="6">
        <f>P5601</f>
        <v/>
      </c>
      <c r="I5632" s="9">
        <f>Q5601</f>
        <v/>
      </c>
      <c r="J5632" s="7">
        <f>I5632*G5632</f>
        <v/>
      </c>
      <c r="K5632" s="8">
        <f>IF($J$5643=0,0,J5632/$J$5643)</f>
        <v/>
      </c>
      <c r="L5632" s="6" t="inlineStr">
        <is>
          <t>SELECTED</t>
        </is>
      </c>
      <c r="M5632" s="8" t="n">
        <v>0.2</v>
      </c>
      <c r="N5632" s="7">
        <f>M5632*$J$5643-J5632</f>
        <v/>
      </c>
      <c r="O5632" s="9">
        <f>IF(G5632=0,0,N5632/G5632)</f>
        <v/>
      </c>
      <c r="P5632" s="6">
        <f>IF(M5632&gt;0,D5632,"")</f>
        <v/>
      </c>
      <c r="Q5632" s="9">
        <f>I5632+O5632</f>
        <v/>
      </c>
      <c r="R5632" s="7">
        <f>Q5632*G5632</f>
        <v/>
      </c>
      <c r="S5632" s="8">
        <f>IF($R$5643=0,0,R5632/$R$5643)</f>
        <v/>
      </c>
      <c r="T5632" s="8" t="n">
        <v>0.02608722682266307</v>
      </c>
      <c r="U5632" s="8" t="n">
        <v>0.007254791458488175</v>
      </c>
      <c r="V5632" s="6" t="inlineStr">
        <is>
          <t>remained in weekly selection</t>
        </is>
      </c>
    </row>
    <row r="5633">
      <c r="A5633" s="6" t="inlineStr">
        <is>
          <t>DJ30</t>
        </is>
      </c>
      <c r="B5633" s="6" t="inlineStr">
        <is>
          <t>2026-06-26</t>
        </is>
      </c>
      <c r="C5633" s="6" t="inlineStr">
        <is>
          <t>DIA</t>
        </is>
      </c>
      <c r="D5633" s="6" t="inlineStr">
        <is>
          <t>MSFT</t>
        </is>
      </c>
      <c r="E5633" s="6" t="inlineStr">
        <is>
          <t>MSFT</t>
        </is>
      </c>
      <c r="F5633" s="6" t="inlineStr">
        <is>
          <t>-</t>
        </is>
      </c>
      <c r="G5633" s="7" t="n">
        <v>352.8299865722656</v>
      </c>
      <c r="H5633" s="6">
        <f>P5602</f>
        <v/>
      </c>
      <c r="I5633" s="9">
        <f>Q5602</f>
        <v/>
      </c>
      <c r="J5633" s="7">
        <f>I5633*G5633</f>
        <v/>
      </c>
      <c r="K5633" s="8">
        <f>IF($J$5643=0,0,J5633/$J$5643)</f>
        <v/>
      </c>
      <c r="L5633" s="6" t="inlineStr">
        <is>
          <t>REJECTED</t>
        </is>
      </c>
      <c r="M5633" s="8" t="n">
        <v>0</v>
      </c>
      <c r="N5633" s="7">
        <f>M5633*$J$5643-J5633</f>
        <v/>
      </c>
      <c r="O5633" s="9">
        <f>IF(G5633=0,0,N5633/G5633)</f>
        <v/>
      </c>
      <c r="P5633" s="6">
        <f>IF(M5633&gt;0,D5633,"")</f>
        <v/>
      </c>
      <c r="Q5633" s="9">
        <f>I5633+O5633</f>
        <v/>
      </c>
      <c r="R5633" s="7">
        <f>Q5633*G5633</f>
        <v/>
      </c>
      <c r="S5633" s="8">
        <f>IF($R$5643=0,0,R5633/$R$5643)</f>
        <v/>
      </c>
      <c r="T5633" s="8" t="n">
        <v>0.02608722682266307</v>
      </c>
      <c r="U5633" s="8" t="n">
        <v>0.007254791458488175</v>
      </c>
      <c r="V5633" s="6" t="inlineStr">
        <is>
          <t>not selected</t>
        </is>
      </c>
    </row>
    <row r="5634">
      <c r="A5634" s="6" t="inlineStr">
        <is>
          <t>DJ30</t>
        </is>
      </c>
      <c r="B5634" s="6" t="inlineStr">
        <is>
          <t>2026-06-26</t>
        </is>
      </c>
      <c r="C5634" s="6" t="inlineStr">
        <is>
          <t>DIA</t>
        </is>
      </c>
      <c r="D5634" s="6" t="inlineStr">
        <is>
          <t>NKE</t>
        </is>
      </c>
      <c r="E5634" s="6" t="inlineStr">
        <is>
          <t>NKE</t>
        </is>
      </c>
      <c r="F5634" s="6" t="inlineStr">
        <is>
          <t>-</t>
        </is>
      </c>
      <c r="G5634" s="7" t="n">
        <v>40.90000152587891</v>
      </c>
      <c r="H5634" s="6">
        <f>P5603</f>
        <v/>
      </c>
      <c r="I5634" s="9">
        <f>Q5603</f>
        <v/>
      </c>
      <c r="J5634" s="7">
        <f>I5634*G5634</f>
        <v/>
      </c>
      <c r="K5634" s="8">
        <f>IF($J$5643=0,0,J5634/$J$5643)</f>
        <v/>
      </c>
      <c r="L5634" s="6" t="inlineStr">
        <is>
          <t>REJECTED</t>
        </is>
      </c>
      <c r="M5634" s="8" t="n">
        <v>0</v>
      </c>
      <c r="N5634" s="7">
        <f>M5634*$J$5643-J5634</f>
        <v/>
      </c>
      <c r="O5634" s="9">
        <f>IF(G5634=0,0,N5634/G5634)</f>
        <v/>
      </c>
      <c r="P5634" s="6">
        <f>IF(M5634&gt;0,D5634,"")</f>
        <v/>
      </c>
      <c r="Q5634" s="9">
        <f>I5634+O5634</f>
        <v/>
      </c>
      <c r="R5634" s="7">
        <f>Q5634*G5634</f>
        <v/>
      </c>
      <c r="S5634" s="8">
        <f>IF($R$5643=0,0,R5634/$R$5643)</f>
        <v/>
      </c>
      <c r="T5634" s="8" t="n">
        <v>0.02608722682266307</v>
      </c>
      <c r="U5634" s="8" t="n">
        <v>0.007254791458488175</v>
      </c>
      <c r="V5634" s="6" t="inlineStr">
        <is>
          <t>not selected</t>
        </is>
      </c>
    </row>
    <row r="5635">
      <c r="A5635" s="6" t="inlineStr">
        <is>
          <t>DJ30</t>
        </is>
      </c>
      <c r="B5635" s="6" t="inlineStr">
        <is>
          <t>2026-06-26</t>
        </is>
      </c>
      <c r="C5635" s="6" t="inlineStr">
        <is>
          <t>DIA</t>
        </is>
      </c>
      <c r="D5635" s="6" t="inlineStr">
        <is>
          <t>NVDA</t>
        </is>
      </c>
      <c r="E5635" s="6" t="inlineStr">
        <is>
          <t>NVDA</t>
        </is>
      </c>
      <c r="F5635" s="6" t="inlineStr">
        <is>
          <t>-</t>
        </is>
      </c>
      <c r="G5635" s="7" t="n">
        <v>195.7400054931641</v>
      </c>
      <c r="H5635" s="6">
        <f>P5604</f>
        <v/>
      </c>
      <c r="I5635" s="9">
        <f>Q5604</f>
        <v/>
      </c>
      <c r="J5635" s="7">
        <f>I5635*G5635</f>
        <v/>
      </c>
      <c r="K5635" s="8">
        <f>IF($J$5643=0,0,J5635/$J$5643)</f>
        <v/>
      </c>
      <c r="L5635" s="6" t="inlineStr">
        <is>
          <t>WATCHLIST</t>
        </is>
      </c>
      <c r="M5635" s="8" t="n">
        <v>0</v>
      </c>
      <c r="N5635" s="7">
        <f>M5635*$J$5643-J5635</f>
        <v/>
      </c>
      <c r="O5635" s="9">
        <f>IF(G5635=0,0,N5635/G5635)</f>
        <v/>
      </c>
      <c r="P5635" s="6">
        <f>IF(M5635&gt;0,D5635,"")</f>
        <v/>
      </c>
      <c r="Q5635" s="9">
        <f>I5635+O5635</f>
        <v/>
      </c>
      <c r="R5635" s="7">
        <f>Q5635*G5635</f>
        <v/>
      </c>
      <c r="S5635" s="8">
        <f>IF($R$5643=0,0,R5635/$R$5643)</f>
        <v/>
      </c>
      <c r="T5635" s="8" t="n">
        <v>0.02608722682266307</v>
      </c>
      <c r="U5635" s="8" t="n">
        <v>0.007254791458488175</v>
      </c>
      <c r="V5635" s="6" t="inlineStr">
        <is>
          <t>not selected</t>
        </is>
      </c>
    </row>
    <row r="5636">
      <c r="A5636" s="6" t="inlineStr">
        <is>
          <t>DJ30</t>
        </is>
      </c>
      <c r="B5636" s="6" t="inlineStr">
        <is>
          <t>2026-06-26</t>
        </is>
      </c>
      <c r="C5636" s="6" t="inlineStr">
        <is>
          <t>DIA</t>
        </is>
      </c>
      <c r="D5636" s="6" t="inlineStr">
        <is>
          <t>PG</t>
        </is>
      </c>
      <c r="E5636" s="6" t="inlineStr">
        <is>
          <t>PG</t>
        </is>
      </c>
      <c r="F5636" s="6" t="inlineStr">
        <is>
          <t>-</t>
        </is>
      </c>
      <c r="G5636" s="7" t="n">
        <v>148.5</v>
      </c>
      <c r="H5636" s="6">
        <f>P5605</f>
        <v/>
      </c>
      <c r="I5636" s="9">
        <f>Q5605</f>
        <v/>
      </c>
      <c r="J5636" s="7">
        <f>I5636*G5636</f>
        <v/>
      </c>
      <c r="K5636" s="8">
        <f>IF($J$5643=0,0,J5636/$J$5643)</f>
        <v/>
      </c>
      <c r="L5636" s="6" t="inlineStr">
        <is>
          <t>REJECTED</t>
        </is>
      </c>
      <c r="M5636" s="8" t="n">
        <v>0</v>
      </c>
      <c r="N5636" s="7">
        <f>M5636*$J$5643-J5636</f>
        <v/>
      </c>
      <c r="O5636" s="9">
        <f>IF(G5636=0,0,N5636/G5636)</f>
        <v/>
      </c>
      <c r="P5636" s="6">
        <f>IF(M5636&gt;0,D5636,"")</f>
        <v/>
      </c>
      <c r="Q5636" s="9">
        <f>I5636+O5636</f>
        <v/>
      </c>
      <c r="R5636" s="7">
        <f>Q5636*G5636</f>
        <v/>
      </c>
      <c r="S5636" s="8">
        <f>IF($R$5643=0,0,R5636/$R$5643)</f>
        <v/>
      </c>
      <c r="T5636" s="8" t="n">
        <v>0.02608722682266307</v>
      </c>
      <c r="U5636" s="8" t="n">
        <v>0.007254791458488175</v>
      </c>
      <c r="V5636" s="6" t="inlineStr">
        <is>
          <t>not selected</t>
        </is>
      </c>
    </row>
    <row r="5637">
      <c r="A5637" s="6" t="inlineStr">
        <is>
          <t>DJ30</t>
        </is>
      </c>
      <c r="B5637" s="6" t="inlineStr">
        <is>
          <t>2026-06-26</t>
        </is>
      </c>
      <c r="C5637" s="6" t="inlineStr">
        <is>
          <t>DIA</t>
        </is>
      </c>
      <c r="D5637" s="6" t="inlineStr">
        <is>
          <t>SHW</t>
        </is>
      </c>
      <c r="E5637" s="6" t="inlineStr">
        <is>
          <t>SHW</t>
        </is>
      </c>
      <c r="F5637" s="6" t="inlineStr">
        <is>
          <t>-</t>
        </is>
      </c>
      <c r="G5637" s="7" t="n">
        <v>339.0799865722656</v>
      </c>
      <c r="H5637" s="6">
        <f>P5606</f>
        <v/>
      </c>
      <c r="I5637" s="9">
        <f>Q5606</f>
        <v/>
      </c>
      <c r="J5637" s="7">
        <f>I5637*G5637</f>
        <v/>
      </c>
      <c r="K5637" s="8">
        <f>IF($J$5643=0,0,J5637/$J$5643)</f>
        <v/>
      </c>
      <c r="L5637" s="6" t="inlineStr">
        <is>
          <t>REJECTED</t>
        </is>
      </c>
      <c r="M5637" s="8" t="n">
        <v>0</v>
      </c>
      <c r="N5637" s="7">
        <f>M5637*$J$5643-J5637</f>
        <v/>
      </c>
      <c r="O5637" s="9">
        <f>IF(G5637=0,0,N5637/G5637)</f>
        <v/>
      </c>
      <c r="P5637" s="6">
        <f>IF(M5637&gt;0,D5637,"")</f>
        <v/>
      </c>
      <c r="Q5637" s="9">
        <f>I5637+O5637</f>
        <v/>
      </c>
      <c r="R5637" s="7">
        <f>Q5637*G5637</f>
        <v/>
      </c>
      <c r="S5637" s="8">
        <f>IF($R$5643=0,0,R5637/$R$5643)</f>
        <v/>
      </c>
      <c r="T5637" s="8" t="n">
        <v>0.02608722682266307</v>
      </c>
      <c r="U5637" s="8" t="n">
        <v>0.007254791458488175</v>
      </c>
      <c r="V5637" s="6" t="inlineStr">
        <is>
          <t>not selected</t>
        </is>
      </c>
    </row>
    <row r="5638">
      <c r="A5638" s="6" t="inlineStr">
        <is>
          <t>DJ30</t>
        </is>
      </c>
      <c r="B5638" s="6" t="inlineStr">
        <is>
          <t>2026-06-26</t>
        </is>
      </c>
      <c r="C5638" s="6" t="inlineStr">
        <is>
          <t>DIA</t>
        </is>
      </c>
      <c r="D5638" s="6" t="inlineStr">
        <is>
          <t>TRV</t>
        </is>
      </c>
      <c r="E5638" s="6" t="inlineStr">
        <is>
          <t>TRV</t>
        </is>
      </c>
      <c r="F5638" s="6" t="inlineStr">
        <is>
          <t>-</t>
        </is>
      </c>
      <c r="G5638" s="7" t="n">
        <v>318.2900085449219</v>
      </c>
      <c r="H5638" s="6">
        <f>P5607</f>
        <v/>
      </c>
      <c r="I5638" s="9">
        <f>Q5607</f>
        <v/>
      </c>
      <c r="J5638" s="7">
        <f>I5638*G5638</f>
        <v/>
      </c>
      <c r="K5638" s="8">
        <f>IF($J$5643=0,0,J5638/$J$5643)</f>
        <v/>
      </c>
      <c r="L5638" s="6" t="inlineStr">
        <is>
          <t>WATCHLIST</t>
        </is>
      </c>
      <c r="M5638" s="8" t="n">
        <v>0</v>
      </c>
      <c r="N5638" s="7">
        <f>M5638*$J$5643-J5638</f>
        <v/>
      </c>
      <c r="O5638" s="9">
        <f>IF(G5638=0,0,N5638/G5638)</f>
        <v/>
      </c>
      <c r="P5638" s="6">
        <f>IF(M5638&gt;0,D5638,"")</f>
        <v/>
      </c>
      <c r="Q5638" s="9">
        <f>I5638+O5638</f>
        <v/>
      </c>
      <c r="R5638" s="7">
        <f>Q5638*G5638</f>
        <v/>
      </c>
      <c r="S5638" s="8">
        <f>IF($R$5643=0,0,R5638/$R$5643)</f>
        <v/>
      </c>
      <c r="T5638" s="8" t="n">
        <v>0.02608722682266307</v>
      </c>
      <c r="U5638" s="8" t="n">
        <v>0.007254791458488175</v>
      </c>
      <c r="V5638" s="6" t="inlineStr">
        <is>
          <t>not selected</t>
        </is>
      </c>
    </row>
    <row r="5639">
      <c r="A5639" s="6" t="inlineStr">
        <is>
          <t>DJ30</t>
        </is>
      </c>
      <c r="B5639" s="6" t="inlineStr">
        <is>
          <t>2026-06-26</t>
        </is>
      </c>
      <c r="C5639" s="6" t="inlineStr">
        <is>
          <t>DIA</t>
        </is>
      </c>
      <c r="D5639" s="6" t="inlineStr">
        <is>
          <t>UNH</t>
        </is>
      </c>
      <c r="E5639" s="6" t="inlineStr">
        <is>
          <t>UNH</t>
        </is>
      </c>
      <c r="F5639" s="6" t="inlineStr">
        <is>
          <t>-</t>
        </is>
      </c>
      <c r="G5639" s="7" t="n">
        <v>415.5299987792969</v>
      </c>
      <c r="H5639" s="6">
        <f>P5608</f>
        <v/>
      </c>
      <c r="I5639" s="9">
        <f>Q5608</f>
        <v/>
      </c>
      <c r="J5639" s="7">
        <f>I5639*G5639</f>
        <v/>
      </c>
      <c r="K5639" s="8">
        <f>IF($J$5643=0,0,J5639/$J$5643)</f>
        <v/>
      </c>
      <c r="L5639" s="6" t="inlineStr">
        <is>
          <t>REJECTED</t>
        </is>
      </c>
      <c r="M5639" s="8" t="n">
        <v>0</v>
      </c>
      <c r="N5639" s="7">
        <f>M5639*$J$5643-J5639</f>
        <v/>
      </c>
      <c r="O5639" s="9">
        <f>IF(G5639=0,0,N5639/G5639)</f>
        <v/>
      </c>
      <c r="P5639" s="6">
        <f>IF(M5639&gt;0,D5639,"")</f>
        <v/>
      </c>
      <c r="Q5639" s="9">
        <f>I5639+O5639</f>
        <v/>
      </c>
      <c r="R5639" s="7">
        <f>Q5639*G5639</f>
        <v/>
      </c>
      <c r="S5639" s="8">
        <f>IF($R$5643=0,0,R5639/$R$5643)</f>
        <v/>
      </c>
      <c r="T5639" s="8" t="n">
        <v>0.02608722682266307</v>
      </c>
      <c r="U5639" s="8" t="n">
        <v>0.007254791458488175</v>
      </c>
      <c r="V5639" s="6" t="inlineStr">
        <is>
          <t>not selected</t>
        </is>
      </c>
    </row>
    <row r="5640">
      <c r="A5640" s="6" t="inlineStr">
        <is>
          <t>DJ30</t>
        </is>
      </c>
      <c r="B5640" s="6" t="inlineStr">
        <is>
          <t>2026-06-26</t>
        </is>
      </c>
      <c r="C5640" s="6" t="inlineStr">
        <is>
          <t>DIA</t>
        </is>
      </c>
      <c r="D5640" s="6" t="inlineStr">
        <is>
          <t>V</t>
        </is>
      </c>
      <c r="E5640" s="6" t="inlineStr">
        <is>
          <t>V</t>
        </is>
      </c>
      <c r="F5640" s="6" t="inlineStr">
        <is>
          <t>-</t>
        </is>
      </c>
      <c r="G5640" s="7" t="n">
        <v>330.5199890136719</v>
      </c>
      <c r="H5640" s="6">
        <f>P5609</f>
        <v/>
      </c>
      <c r="I5640" s="9">
        <f>Q5609</f>
        <v/>
      </c>
      <c r="J5640" s="7">
        <f>I5640*G5640</f>
        <v/>
      </c>
      <c r="K5640" s="8">
        <f>IF($J$5643=0,0,J5640/$J$5643)</f>
        <v/>
      </c>
      <c r="L5640" s="6" t="inlineStr">
        <is>
          <t>REJECTED</t>
        </is>
      </c>
      <c r="M5640" s="8" t="n">
        <v>0</v>
      </c>
      <c r="N5640" s="7">
        <f>M5640*$J$5643-J5640</f>
        <v/>
      </c>
      <c r="O5640" s="9">
        <f>IF(G5640=0,0,N5640/G5640)</f>
        <v/>
      </c>
      <c r="P5640" s="6">
        <f>IF(M5640&gt;0,D5640,"")</f>
        <v/>
      </c>
      <c r="Q5640" s="9">
        <f>I5640+O5640</f>
        <v/>
      </c>
      <c r="R5640" s="7">
        <f>Q5640*G5640</f>
        <v/>
      </c>
      <c r="S5640" s="8">
        <f>IF($R$5643=0,0,R5640/$R$5643)</f>
        <v/>
      </c>
      <c r="T5640" s="8" t="n">
        <v>0.02608722682266307</v>
      </c>
      <c r="U5640" s="8" t="n">
        <v>0.007254791458488175</v>
      </c>
      <c r="V5640" s="6" t="inlineStr">
        <is>
          <t>not selected</t>
        </is>
      </c>
    </row>
    <row r="5641">
      <c r="A5641" s="6" t="inlineStr">
        <is>
          <t>DJ30</t>
        </is>
      </c>
      <c r="B5641" s="6" t="inlineStr">
        <is>
          <t>2026-06-26</t>
        </is>
      </c>
      <c r="C5641" s="6" t="inlineStr">
        <is>
          <t>DIA</t>
        </is>
      </c>
      <c r="D5641" s="6" t="inlineStr">
        <is>
          <t>VZ</t>
        </is>
      </c>
      <c r="E5641" s="6" t="inlineStr">
        <is>
          <t>VZ</t>
        </is>
      </c>
      <c r="F5641" s="6" t="inlineStr">
        <is>
          <t>-</t>
        </is>
      </c>
      <c r="G5641" s="7" t="n">
        <v>46.06999969482422</v>
      </c>
      <c r="H5641" s="6">
        <f>P5610</f>
        <v/>
      </c>
      <c r="I5641" s="9">
        <f>Q5610</f>
        <v/>
      </c>
      <c r="J5641" s="7">
        <f>I5641*G5641</f>
        <v/>
      </c>
      <c r="K5641" s="8">
        <f>IF($J$5643=0,0,J5641/$J$5643)</f>
        <v/>
      </c>
      <c r="L5641" s="6" t="inlineStr">
        <is>
          <t>WATCHLIST</t>
        </is>
      </c>
      <c r="M5641" s="8" t="n">
        <v>0</v>
      </c>
      <c r="N5641" s="7">
        <f>M5641*$J$5643-J5641</f>
        <v/>
      </c>
      <c r="O5641" s="9">
        <f>IF(G5641=0,0,N5641/G5641)</f>
        <v/>
      </c>
      <c r="P5641" s="6">
        <f>IF(M5641&gt;0,D5641,"")</f>
        <v/>
      </c>
      <c r="Q5641" s="9">
        <f>I5641+O5641</f>
        <v/>
      </c>
      <c r="R5641" s="7">
        <f>Q5641*G5641</f>
        <v/>
      </c>
      <c r="S5641" s="8">
        <f>IF($R$5643=0,0,R5641/$R$5643)</f>
        <v/>
      </c>
      <c r="T5641" s="8" t="n">
        <v>0.02608722682266307</v>
      </c>
      <c r="U5641" s="8" t="n">
        <v>0.007254791458488175</v>
      </c>
      <c r="V5641" s="6" t="inlineStr">
        <is>
          <t>not selected</t>
        </is>
      </c>
    </row>
    <row r="5642">
      <c r="A5642" s="6" t="inlineStr">
        <is>
          <t>DJ30</t>
        </is>
      </c>
      <c r="B5642" s="6" t="inlineStr">
        <is>
          <t>2026-06-26</t>
        </is>
      </c>
      <c r="C5642" s="6" t="inlineStr">
        <is>
          <t>DIA</t>
        </is>
      </c>
      <c r="D5642" s="6" t="inlineStr">
        <is>
          <t>WMT</t>
        </is>
      </c>
      <c r="E5642" s="6" t="inlineStr">
        <is>
          <t>WMT</t>
        </is>
      </c>
      <c r="F5642" s="6" t="inlineStr">
        <is>
          <t>-</t>
        </is>
      </c>
      <c r="G5642" s="7" t="n">
        <v>115.7799987792969</v>
      </c>
      <c r="H5642" s="6">
        <f>P5611</f>
        <v/>
      </c>
      <c r="I5642" s="9">
        <f>Q5611</f>
        <v/>
      </c>
      <c r="J5642" s="7">
        <f>I5642*G5642</f>
        <v/>
      </c>
      <c r="K5642" s="8">
        <f>IF($J$5643=0,0,J5642/$J$5643)</f>
        <v/>
      </c>
      <c r="L5642" s="6" t="inlineStr">
        <is>
          <t>SELECTED</t>
        </is>
      </c>
      <c r="M5642" s="8" t="n">
        <v>0.2</v>
      </c>
      <c r="N5642" s="7">
        <f>M5642*$J$5643-J5642</f>
        <v/>
      </c>
      <c r="O5642" s="9">
        <f>IF(G5642=0,0,N5642/G5642)</f>
        <v/>
      </c>
      <c r="P5642" s="6">
        <f>IF(M5642&gt;0,D5642,"")</f>
        <v/>
      </c>
      <c r="Q5642" s="9">
        <f>I5642+O5642</f>
        <v/>
      </c>
      <c r="R5642" s="7">
        <f>Q5642*G5642</f>
        <v/>
      </c>
      <c r="S5642" s="8">
        <f>IF($R$5643=0,0,R5642/$R$5643)</f>
        <v/>
      </c>
      <c r="T5642" s="8" t="n">
        <v>0.02608722682266307</v>
      </c>
      <c r="U5642" s="8" t="n">
        <v>0.007254791458488175</v>
      </c>
      <c r="V5642" s="6" t="inlineStr">
        <is>
          <t>entered weekly selection</t>
        </is>
      </c>
    </row>
    <row r="5643">
      <c r="A5643" s="10" t="inlineStr">
        <is>
          <t>DJ30</t>
        </is>
      </c>
      <c r="B5643" s="10" t="inlineStr">
        <is>
          <t>2026-06-26</t>
        </is>
      </c>
      <c r="C5643" s="10" t="inlineStr">
        <is>
          <t>DIA</t>
        </is>
      </c>
      <c r="D5643" s="10" t="inlineStr">
        <is>
          <t>Tot Portfolio</t>
        </is>
      </c>
      <c r="E5643" s="10" t="inlineStr"/>
      <c r="F5643" s="10" t="inlineStr"/>
      <c r="G5643" s="11" t="inlineStr"/>
      <c r="H5643" s="10" t="inlineStr"/>
      <c r="I5643" s="12" t="inlineStr"/>
      <c r="J5643" s="11">
        <f>SUM(J5613:J5642)</f>
        <v/>
      </c>
      <c r="K5643" s="13">
        <f>SUM(K5613:K5642)</f>
        <v/>
      </c>
      <c r="L5643" s="10" t="inlineStr">
        <is>
          <t>TOTAL</t>
        </is>
      </c>
      <c r="M5643" s="13">
        <f>SUM(M5613:M5642)</f>
        <v/>
      </c>
      <c r="N5643" s="11">
        <f>SUM(N5613:N5642)</f>
        <v/>
      </c>
      <c r="O5643" s="12">
        <f>SUM(O5613:O5642)</f>
        <v/>
      </c>
      <c r="P5643" s="10" t="inlineStr"/>
      <c r="Q5643" s="12" t="inlineStr"/>
      <c r="R5643" s="11">
        <f>SUM(R5613:R5642)</f>
        <v/>
      </c>
      <c r="S5643" s="13">
        <f>SUM(S5613:S5642)</f>
        <v/>
      </c>
      <c r="T5643" s="13" t="n">
        <v>0.02608722682266307</v>
      </c>
      <c r="U5643" s="13" t="n">
        <v>0.007254791458488175</v>
      </c>
      <c r="V5643" s="10" t="inlineStr"/>
    </row>
  </sheetData>
  <autoFilter ref="A1:V5643"/>
  <conditionalFormatting sqref="N2:N564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O2:O5643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4" customWidth="1" min="9" max="9"/>
    <col width="15" customWidth="1" min="10" max="10"/>
  </cols>
  <sheetData>
    <row r="1">
      <c r="A1" s="5" t="inlineStr">
        <is>
          <t>Market</t>
        </is>
      </c>
      <c r="B1" s="5" t="inlineStr">
        <is>
          <t>WeekEnding</t>
        </is>
      </c>
      <c r="C1" s="5" t="inlineStr">
        <is>
          <t>Benchmark</t>
        </is>
      </c>
      <c r="D1" s="5" t="inlineStr">
        <is>
          <t>Asset</t>
        </is>
      </c>
      <c r="E1" s="5" t="inlineStr">
        <is>
          <t>Company</t>
        </is>
      </c>
      <c r="F1" s="5" t="inlineStr">
        <is>
          <t>Sector</t>
        </is>
      </c>
      <c r="G1" s="5" t="inlineStr">
        <is>
          <t>last_price</t>
        </is>
      </c>
      <c r="H1" s="5" t="inlineStr">
        <is>
          <t>qty_after</t>
        </is>
      </c>
      <c r="I1" s="5" t="inlineStr">
        <is>
          <t>value_after</t>
        </is>
      </c>
      <c r="J1" s="5" t="inlineStr">
        <is>
          <t>weight_after</t>
        </is>
      </c>
    </row>
    <row r="2">
      <c r="A2" s="6" t="inlineStr">
        <is>
          <t>DJ30</t>
        </is>
      </c>
      <c r="B2" s="6" t="inlineStr">
        <is>
          <t>2024-01-05</t>
        </is>
      </c>
      <c r="C2" s="6" t="inlineStr">
        <is>
          <t>DIA</t>
        </is>
      </c>
      <c r="D2" s="6" t="inlineStr">
        <is>
          <t>NVDA</t>
        </is>
      </c>
      <c r="E2" s="6" t="inlineStr">
        <is>
          <t>NVDA</t>
        </is>
      </c>
      <c r="F2" s="6" t="inlineStr">
        <is>
          <t>-</t>
        </is>
      </c>
      <c r="G2" s="7">
        <f>Rebalance_Audit!G1636</f>
        <v/>
      </c>
      <c r="H2" s="9">
        <f>Rebalance_Audit!Q1636</f>
        <v/>
      </c>
      <c r="I2" s="7">
        <f>Rebalance_Audit!R1636</f>
        <v/>
      </c>
      <c r="J2" s="8">
        <f>Rebalance_Audit!S1636</f>
        <v/>
      </c>
    </row>
    <row r="3">
      <c r="A3" s="6" t="inlineStr">
        <is>
          <t>DJ30</t>
        </is>
      </c>
      <c r="B3" s="6" t="inlineStr">
        <is>
          <t>2024-01-05</t>
        </is>
      </c>
      <c r="C3" s="6" t="inlineStr">
        <is>
          <t>DIA</t>
        </is>
      </c>
      <c r="D3" s="6" t="inlineStr">
        <is>
          <t>AMZN</t>
        </is>
      </c>
      <c r="E3" s="6" t="inlineStr">
        <is>
          <t>AMZN</t>
        </is>
      </c>
      <c r="F3" s="6" t="inlineStr">
        <is>
          <t>-</t>
        </is>
      </c>
      <c r="G3" s="7">
        <f>Rebalance_Audit!G1616</f>
        <v/>
      </c>
      <c r="H3" s="9">
        <f>Rebalance_Audit!Q1616</f>
        <v/>
      </c>
      <c r="I3" s="7">
        <f>Rebalance_Audit!R1616</f>
        <v/>
      </c>
      <c r="J3" s="8">
        <f>Rebalance_Audit!S1616</f>
        <v/>
      </c>
    </row>
    <row r="4">
      <c r="A4" s="6" t="inlineStr">
        <is>
          <t>DJ30</t>
        </is>
      </c>
      <c r="B4" s="6" t="inlineStr">
        <is>
          <t>2024-01-05</t>
        </is>
      </c>
      <c r="C4" s="6" t="inlineStr">
        <is>
          <t>DIA</t>
        </is>
      </c>
      <c r="D4" s="6" t="inlineStr">
        <is>
          <t>CRM</t>
        </is>
      </c>
      <c r="E4" s="6" t="inlineStr">
        <is>
          <t>CRM</t>
        </is>
      </c>
      <c r="F4" s="6" t="inlineStr">
        <is>
          <t>-</t>
        </is>
      </c>
      <c r="G4" s="7">
        <f>Rebalance_Audit!G1620</f>
        <v/>
      </c>
      <c r="H4" s="9">
        <f>Rebalance_Audit!Q1620</f>
        <v/>
      </c>
      <c r="I4" s="7">
        <f>Rebalance_Audit!R1620</f>
        <v/>
      </c>
      <c r="J4" s="8">
        <f>Rebalance_Audit!S1620</f>
        <v/>
      </c>
    </row>
    <row r="5">
      <c r="A5" s="6" t="inlineStr">
        <is>
          <t>DJ30</t>
        </is>
      </c>
      <c r="B5" s="6" t="inlineStr">
        <is>
          <t>2024-01-05</t>
        </is>
      </c>
      <c r="C5" s="6" t="inlineStr">
        <is>
          <t>DIA</t>
        </is>
      </c>
      <c r="D5" s="6" t="inlineStr">
        <is>
          <t>IBM</t>
        </is>
      </c>
      <c r="E5" s="6" t="inlineStr">
        <is>
          <t>IBM</t>
        </is>
      </c>
      <c r="F5" s="6" t="inlineStr">
        <is>
          <t>-</t>
        </is>
      </c>
      <c r="G5" s="7">
        <f>Rebalance_Audit!G1627</f>
        <v/>
      </c>
      <c r="H5" s="9">
        <f>Rebalance_Audit!Q1627</f>
        <v/>
      </c>
      <c r="I5" s="7">
        <f>Rebalance_Audit!R1627</f>
        <v/>
      </c>
      <c r="J5" s="8">
        <f>Rebalance_Audit!S1627</f>
        <v/>
      </c>
    </row>
    <row r="6">
      <c r="A6" s="6" t="inlineStr">
        <is>
          <t>DJ30</t>
        </is>
      </c>
      <c r="B6" s="6" t="inlineStr">
        <is>
          <t>2024-01-05</t>
        </is>
      </c>
      <c r="C6" s="6" t="inlineStr">
        <is>
          <t>DIA</t>
        </is>
      </c>
      <c r="D6" s="6" t="inlineStr">
        <is>
          <t>JPM</t>
        </is>
      </c>
      <c r="E6" s="6" t="inlineStr">
        <is>
          <t>JPM</t>
        </is>
      </c>
      <c r="F6" s="6" t="inlineStr">
        <is>
          <t>-</t>
        </is>
      </c>
      <c r="G6" s="7">
        <f>Rebalance_Audit!G1629</f>
        <v/>
      </c>
      <c r="H6" s="9">
        <f>Rebalance_Audit!Q1629</f>
        <v/>
      </c>
      <c r="I6" s="7">
        <f>Rebalance_Audit!R1629</f>
        <v/>
      </c>
      <c r="J6" s="8">
        <f>Rebalance_Audit!S1629</f>
        <v/>
      </c>
    </row>
    <row r="7">
      <c r="A7" s="6" t="inlineStr">
        <is>
          <t>DJ30</t>
        </is>
      </c>
      <c r="B7" s="6" t="inlineStr">
        <is>
          <t>2024-01-12</t>
        </is>
      </c>
      <c r="C7" s="6" t="inlineStr">
        <is>
          <t>DIA</t>
        </is>
      </c>
      <c r="D7" s="6" t="inlineStr">
        <is>
          <t>NVDA</t>
        </is>
      </c>
      <c r="E7" s="6" t="inlineStr">
        <is>
          <t>NVDA</t>
        </is>
      </c>
      <c r="F7" s="6" t="inlineStr">
        <is>
          <t>-</t>
        </is>
      </c>
      <c r="G7" s="7">
        <f>Rebalance_Audit!G1667</f>
        <v/>
      </c>
      <c r="H7" s="9">
        <f>Rebalance_Audit!Q1667</f>
        <v/>
      </c>
      <c r="I7" s="7">
        <f>Rebalance_Audit!R1667</f>
        <v/>
      </c>
      <c r="J7" s="8">
        <f>Rebalance_Audit!S1667</f>
        <v/>
      </c>
    </row>
    <row r="8">
      <c r="A8" s="6" t="inlineStr">
        <is>
          <t>DJ30</t>
        </is>
      </c>
      <c r="B8" s="6" t="inlineStr">
        <is>
          <t>2024-01-12</t>
        </is>
      </c>
      <c r="C8" s="6" t="inlineStr">
        <is>
          <t>DIA</t>
        </is>
      </c>
      <c r="D8" s="6" t="inlineStr">
        <is>
          <t>AMZN</t>
        </is>
      </c>
      <c r="E8" s="6" t="inlineStr">
        <is>
          <t>AMZN</t>
        </is>
      </c>
      <c r="F8" s="6" t="inlineStr">
        <is>
          <t>-</t>
        </is>
      </c>
      <c r="G8" s="7">
        <f>Rebalance_Audit!G1647</f>
        <v/>
      </c>
      <c r="H8" s="9">
        <f>Rebalance_Audit!Q1647</f>
        <v/>
      </c>
      <c r="I8" s="7">
        <f>Rebalance_Audit!R1647</f>
        <v/>
      </c>
      <c r="J8" s="8">
        <f>Rebalance_Audit!S1647</f>
        <v/>
      </c>
    </row>
    <row r="9">
      <c r="A9" s="6" t="inlineStr">
        <is>
          <t>DJ30</t>
        </is>
      </c>
      <c r="B9" s="6" t="inlineStr">
        <is>
          <t>2024-01-12</t>
        </is>
      </c>
      <c r="C9" s="6" t="inlineStr">
        <is>
          <t>DIA</t>
        </is>
      </c>
      <c r="D9" s="6" t="inlineStr">
        <is>
          <t>CRM</t>
        </is>
      </c>
      <c r="E9" s="6" t="inlineStr">
        <is>
          <t>CRM</t>
        </is>
      </c>
      <c r="F9" s="6" t="inlineStr">
        <is>
          <t>-</t>
        </is>
      </c>
      <c r="G9" s="7">
        <f>Rebalance_Audit!G1651</f>
        <v/>
      </c>
      <c r="H9" s="9">
        <f>Rebalance_Audit!Q1651</f>
        <v/>
      </c>
      <c r="I9" s="7">
        <f>Rebalance_Audit!R1651</f>
        <v/>
      </c>
      <c r="J9" s="8">
        <f>Rebalance_Audit!S1651</f>
        <v/>
      </c>
    </row>
    <row r="10">
      <c r="A10" s="6" t="inlineStr">
        <is>
          <t>DJ30</t>
        </is>
      </c>
      <c r="B10" s="6" t="inlineStr">
        <is>
          <t>2024-01-12</t>
        </is>
      </c>
      <c r="C10" s="6" t="inlineStr">
        <is>
          <t>DIA</t>
        </is>
      </c>
      <c r="D10" s="6" t="inlineStr">
        <is>
          <t>AMGN</t>
        </is>
      </c>
      <c r="E10" s="6" t="inlineStr">
        <is>
          <t>AMGN</t>
        </is>
      </c>
      <c r="F10" s="6" t="inlineStr">
        <is>
          <t>-</t>
        </is>
      </c>
      <c r="G10" s="7">
        <f>Rebalance_Audit!G1646</f>
        <v/>
      </c>
      <c r="H10" s="9">
        <f>Rebalance_Audit!Q1646</f>
        <v/>
      </c>
      <c r="I10" s="7">
        <f>Rebalance_Audit!R1646</f>
        <v/>
      </c>
      <c r="J10" s="8">
        <f>Rebalance_Audit!S1646</f>
        <v/>
      </c>
    </row>
    <row r="11">
      <c r="A11" s="6" t="inlineStr">
        <is>
          <t>DJ30</t>
        </is>
      </c>
      <c r="B11" s="6" t="inlineStr">
        <is>
          <t>2024-01-12</t>
        </is>
      </c>
      <c r="C11" s="6" t="inlineStr">
        <is>
          <t>DIA</t>
        </is>
      </c>
      <c r="D11" s="6" t="inlineStr">
        <is>
          <t>JPM</t>
        </is>
      </c>
      <c r="E11" s="6" t="inlineStr">
        <is>
          <t>JPM</t>
        </is>
      </c>
      <c r="F11" s="6" t="inlineStr">
        <is>
          <t>-</t>
        </is>
      </c>
      <c r="G11" s="7">
        <f>Rebalance_Audit!G1660</f>
        <v/>
      </c>
      <c r="H11" s="9">
        <f>Rebalance_Audit!Q1660</f>
        <v/>
      </c>
      <c r="I11" s="7">
        <f>Rebalance_Audit!R1660</f>
        <v/>
      </c>
      <c r="J11" s="8">
        <f>Rebalance_Audit!S1660</f>
        <v/>
      </c>
    </row>
    <row r="12">
      <c r="A12" s="6" t="inlineStr">
        <is>
          <t>DJ30</t>
        </is>
      </c>
      <c r="B12" s="6" t="inlineStr">
        <is>
          <t>2024-01-19</t>
        </is>
      </c>
      <c r="C12" s="6" t="inlineStr">
        <is>
          <t>DIA</t>
        </is>
      </c>
      <c r="D12" s="6" t="inlineStr">
        <is>
          <t>NVDA</t>
        </is>
      </c>
      <c r="E12" s="6" t="inlineStr">
        <is>
          <t>NVDA</t>
        </is>
      </c>
      <c r="F12" s="6" t="inlineStr">
        <is>
          <t>-</t>
        </is>
      </c>
      <c r="G12" s="7">
        <f>Rebalance_Audit!G1698</f>
        <v/>
      </c>
      <c r="H12" s="9">
        <f>Rebalance_Audit!Q1698</f>
        <v/>
      </c>
      <c r="I12" s="7">
        <f>Rebalance_Audit!R1698</f>
        <v/>
      </c>
      <c r="J12" s="8">
        <f>Rebalance_Audit!S1698</f>
        <v/>
      </c>
    </row>
    <row r="13">
      <c r="A13" s="6" t="inlineStr">
        <is>
          <t>DJ30</t>
        </is>
      </c>
      <c r="B13" s="6" t="inlineStr">
        <is>
          <t>2024-01-19</t>
        </is>
      </c>
      <c r="C13" s="6" t="inlineStr">
        <is>
          <t>DIA</t>
        </is>
      </c>
      <c r="D13" s="6" t="inlineStr">
        <is>
          <t>AMZN</t>
        </is>
      </c>
      <c r="E13" s="6" t="inlineStr">
        <is>
          <t>AMZN</t>
        </is>
      </c>
      <c r="F13" s="6" t="inlineStr">
        <is>
          <t>-</t>
        </is>
      </c>
      <c r="G13" s="7">
        <f>Rebalance_Audit!G1678</f>
        <v/>
      </c>
      <c r="H13" s="9">
        <f>Rebalance_Audit!Q1678</f>
        <v/>
      </c>
      <c r="I13" s="7">
        <f>Rebalance_Audit!R1678</f>
        <v/>
      </c>
      <c r="J13" s="8">
        <f>Rebalance_Audit!S1678</f>
        <v/>
      </c>
    </row>
    <row r="14">
      <c r="A14" s="6" t="inlineStr">
        <is>
          <t>DJ30</t>
        </is>
      </c>
      <c r="B14" s="6" t="inlineStr">
        <is>
          <t>2024-01-19</t>
        </is>
      </c>
      <c r="C14" s="6" t="inlineStr">
        <is>
          <t>DIA</t>
        </is>
      </c>
      <c r="D14" s="6" t="inlineStr">
        <is>
          <t>CRM</t>
        </is>
      </c>
      <c r="E14" s="6" t="inlineStr">
        <is>
          <t>CRM</t>
        </is>
      </c>
      <c r="F14" s="6" t="inlineStr">
        <is>
          <t>-</t>
        </is>
      </c>
      <c r="G14" s="7">
        <f>Rebalance_Audit!G1682</f>
        <v/>
      </c>
      <c r="H14" s="9">
        <f>Rebalance_Audit!Q1682</f>
        <v/>
      </c>
      <c r="I14" s="7">
        <f>Rebalance_Audit!R1682</f>
        <v/>
      </c>
      <c r="J14" s="8">
        <f>Rebalance_Audit!S1682</f>
        <v/>
      </c>
    </row>
    <row r="15">
      <c r="A15" s="6" t="inlineStr">
        <is>
          <t>DJ30</t>
        </is>
      </c>
      <c r="B15" s="6" t="inlineStr">
        <is>
          <t>2024-01-19</t>
        </is>
      </c>
      <c r="C15" s="6" t="inlineStr">
        <is>
          <t>DIA</t>
        </is>
      </c>
      <c r="D15" s="6" t="inlineStr">
        <is>
          <t>AMGN</t>
        </is>
      </c>
      <c r="E15" s="6" t="inlineStr">
        <is>
          <t>AMGN</t>
        </is>
      </c>
      <c r="F15" s="6" t="inlineStr">
        <is>
          <t>-</t>
        </is>
      </c>
      <c r="G15" s="7">
        <f>Rebalance_Audit!G1677</f>
        <v/>
      </c>
      <c r="H15" s="9">
        <f>Rebalance_Audit!Q1677</f>
        <v/>
      </c>
      <c r="I15" s="7">
        <f>Rebalance_Audit!R1677</f>
        <v/>
      </c>
      <c r="J15" s="8">
        <f>Rebalance_Audit!S1677</f>
        <v/>
      </c>
    </row>
    <row r="16">
      <c r="A16" s="6" t="inlineStr">
        <is>
          <t>DJ30</t>
        </is>
      </c>
      <c r="B16" s="6" t="inlineStr">
        <is>
          <t>2024-01-19</t>
        </is>
      </c>
      <c r="C16" s="6" t="inlineStr">
        <is>
          <t>DIA</t>
        </is>
      </c>
      <c r="D16" s="6" t="inlineStr">
        <is>
          <t>JPM</t>
        </is>
      </c>
      <c r="E16" s="6" t="inlineStr">
        <is>
          <t>JPM</t>
        </is>
      </c>
      <c r="F16" s="6" t="inlineStr">
        <is>
          <t>-</t>
        </is>
      </c>
      <c r="G16" s="7">
        <f>Rebalance_Audit!G1691</f>
        <v/>
      </c>
      <c r="H16" s="9">
        <f>Rebalance_Audit!Q1691</f>
        <v/>
      </c>
      <c r="I16" s="7">
        <f>Rebalance_Audit!R1691</f>
        <v/>
      </c>
      <c r="J16" s="8">
        <f>Rebalance_Audit!S1691</f>
        <v/>
      </c>
    </row>
    <row r="17">
      <c r="A17" s="6" t="inlineStr">
        <is>
          <t>DJ30</t>
        </is>
      </c>
      <c r="B17" s="6" t="inlineStr">
        <is>
          <t>2024-01-26</t>
        </is>
      </c>
      <c r="C17" s="6" t="inlineStr">
        <is>
          <t>DIA</t>
        </is>
      </c>
      <c r="D17" s="6" t="inlineStr">
        <is>
          <t>NVDA</t>
        </is>
      </c>
      <c r="E17" s="6" t="inlineStr">
        <is>
          <t>NVDA</t>
        </is>
      </c>
      <c r="F17" s="6" t="inlineStr">
        <is>
          <t>-</t>
        </is>
      </c>
      <c r="G17" s="7">
        <f>Rebalance_Audit!G1729</f>
        <v/>
      </c>
      <c r="H17" s="9">
        <f>Rebalance_Audit!Q1729</f>
        <v/>
      </c>
      <c r="I17" s="7">
        <f>Rebalance_Audit!R1729</f>
        <v/>
      </c>
      <c r="J17" s="8">
        <f>Rebalance_Audit!S1729</f>
        <v/>
      </c>
    </row>
    <row r="18">
      <c r="A18" s="6" t="inlineStr">
        <is>
          <t>DJ30</t>
        </is>
      </c>
      <c r="B18" s="6" t="inlineStr">
        <is>
          <t>2024-01-26</t>
        </is>
      </c>
      <c r="C18" s="6" t="inlineStr">
        <is>
          <t>DIA</t>
        </is>
      </c>
      <c r="D18" s="6" t="inlineStr">
        <is>
          <t>IBM</t>
        </is>
      </c>
      <c r="E18" s="6" t="inlineStr">
        <is>
          <t>IBM</t>
        </is>
      </c>
      <c r="F18" s="6" t="inlineStr">
        <is>
          <t>-</t>
        </is>
      </c>
      <c r="G18" s="7">
        <f>Rebalance_Audit!G1720</f>
        <v/>
      </c>
      <c r="H18" s="9">
        <f>Rebalance_Audit!Q1720</f>
        <v/>
      </c>
      <c r="I18" s="7">
        <f>Rebalance_Audit!R1720</f>
        <v/>
      </c>
      <c r="J18" s="8">
        <f>Rebalance_Audit!S1720</f>
        <v/>
      </c>
    </row>
    <row r="19">
      <c r="A19" s="6" t="inlineStr">
        <is>
          <t>DJ30</t>
        </is>
      </c>
      <c r="B19" s="6" t="inlineStr">
        <is>
          <t>2024-01-26</t>
        </is>
      </c>
      <c r="C19" s="6" t="inlineStr">
        <is>
          <t>DIA</t>
        </is>
      </c>
      <c r="D19" s="6" t="inlineStr">
        <is>
          <t>CRM</t>
        </is>
      </c>
      <c r="E19" s="6" t="inlineStr">
        <is>
          <t>CRM</t>
        </is>
      </c>
      <c r="F19" s="6" t="inlineStr">
        <is>
          <t>-</t>
        </is>
      </c>
      <c r="G19" s="7">
        <f>Rebalance_Audit!G1713</f>
        <v/>
      </c>
      <c r="H19" s="9">
        <f>Rebalance_Audit!Q1713</f>
        <v/>
      </c>
      <c r="I19" s="7">
        <f>Rebalance_Audit!R1713</f>
        <v/>
      </c>
      <c r="J19" s="8">
        <f>Rebalance_Audit!S1713</f>
        <v/>
      </c>
    </row>
    <row r="20">
      <c r="A20" s="6" t="inlineStr">
        <is>
          <t>DJ30</t>
        </is>
      </c>
      <c r="B20" s="6" t="inlineStr">
        <is>
          <t>2024-01-26</t>
        </is>
      </c>
      <c r="C20" s="6" t="inlineStr">
        <is>
          <t>DIA</t>
        </is>
      </c>
      <c r="D20" s="6" t="inlineStr">
        <is>
          <t>AMGN</t>
        </is>
      </c>
      <c r="E20" s="6" t="inlineStr">
        <is>
          <t>AMGN</t>
        </is>
      </c>
      <c r="F20" s="6" t="inlineStr">
        <is>
          <t>-</t>
        </is>
      </c>
      <c r="G20" s="7">
        <f>Rebalance_Audit!G1708</f>
        <v/>
      </c>
      <c r="H20" s="9">
        <f>Rebalance_Audit!Q1708</f>
        <v/>
      </c>
      <c r="I20" s="7">
        <f>Rebalance_Audit!R1708</f>
        <v/>
      </c>
      <c r="J20" s="8">
        <f>Rebalance_Audit!S1708</f>
        <v/>
      </c>
    </row>
    <row r="21">
      <c r="A21" s="6" t="inlineStr">
        <is>
          <t>DJ30</t>
        </is>
      </c>
      <c r="B21" s="6" t="inlineStr">
        <is>
          <t>2024-01-26</t>
        </is>
      </c>
      <c r="C21" s="6" t="inlineStr">
        <is>
          <t>DIA</t>
        </is>
      </c>
      <c r="D21" s="6" t="inlineStr">
        <is>
          <t>JPM</t>
        </is>
      </c>
      <c r="E21" s="6" t="inlineStr">
        <is>
          <t>JPM</t>
        </is>
      </c>
      <c r="F21" s="6" t="inlineStr">
        <is>
          <t>-</t>
        </is>
      </c>
      <c r="G21" s="7">
        <f>Rebalance_Audit!G1722</f>
        <v/>
      </c>
      <c r="H21" s="9">
        <f>Rebalance_Audit!Q1722</f>
        <v/>
      </c>
      <c r="I21" s="7">
        <f>Rebalance_Audit!R1722</f>
        <v/>
      </c>
      <c r="J21" s="8">
        <f>Rebalance_Audit!S1722</f>
        <v/>
      </c>
    </row>
    <row r="22">
      <c r="A22" s="6" t="inlineStr">
        <is>
          <t>DJ30</t>
        </is>
      </c>
      <c r="B22" s="6" t="inlineStr">
        <is>
          <t>2024-02-02</t>
        </is>
      </c>
      <c r="C22" s="6" t="inlineStr">
        <is>
          <t>DIA</t>
        </is>
      </c>
      <c r="D22" s="6" t="inlineStr">
        <is>
          <t>NVDA</t>
        </is>
      </c>
      <c r="E22" s="6" t="inlineStr">
        <is>
          <t>NVDA</t>
        </is>
      </c>
      <c r="F22" s="6" t="inlineStr">
        <is>
          <t>-</t>
        </is>
      </c>
      <c r="G22" s="7">
        <f>Rebalance_Audit!G1760</f>
        <v/>
      </c>
      <c r="H22" s="9">
        <f>Rebalance_Audit!Q1760</f>
        <v/>
      </c>
      <c r="I22" s="7">
        <f>Rebalance_Audit!R1760</f>
        <v/>
      </c>
      <c r="J22" s="8">
        <f>Rebalance_Audit!S1760</f>
        <v/>
      </c>
    </row>
    <row r="23">
      <c r="A23" s="6" t="inlineStr">
        <is>
          <t>DJ30</t>
        </is>
      </c>
      <c r="B23" s="6" t="inlineStr">
        <is>
          <t>2024-02-02</t>
        </is>
      </c>
      <c r="C23" s="6" t="inlineStr">
        <is>
          <t>DIA</t>
        </is>
      </c>
      <c r="D23" s="6" t="inlineStr">
        <is>
          <t>IBM</t>
        </is>
      </c>
      <c r="E23" s="6" t="inlineStr">
        <is>
          <t>IBM</t>
        </is>
      </c>
      <c r="F23" s="6" t="inlineStr">
        <is>
          <t>-</t>
        </is>
      </c>
      <c r="G23" s="7">
        <f>Rebalance_Audit!G1751</f>
        <v/>
      </c>
      <c r="H23" s="9">
        <f>Rebalance_Audit!Q1751</f>
        <v/>
      </c>
      <c r="I23" s="7">
        <f>Rebalance_Audit!R1751</f>
        <v/>
      </c>
      <c r="J23" s="8">
        <f>Rebalance_Audit!S1751</f>
        <v/>
      </c>
    </row>
    <row r="24">
      <c r="A24" s="6" t="inlineStr">
        <is>
          <t>DJ30</t>
        </is>
      </c>
      <c r="B24" s="6" t="inlineStr">
        <is>
          <t>2024-02-02</t>
        </is>
      </c>
      <c r="C24" s="6" t="inlineStr">
        <is>
          <t>DIA</t>
        </is>
      </c>
      <c r="D24" s="6" t="inlineStr">
        <is>
          <t>CRM</t>
        </is>
      </c>
      <c r="E24" s="6" t="inlineStr">
        <is>
          <t>CRM</t>
        </is>
      </c>
      <c r="F24" s="6" t="inlineStr">
        <is>
          <t>-</t>
        </is>
      </c>
      <c r="G24" s="7">
        <f>Rebalance_Audit!G1744</f>
        <v/>
      </c>
      <c r="H24" s="9">
        <f>Rebalance_Audit!Q1744</f>
        <v/>
      </c>
      <c r="I24" s="7">
        <f>Rebalance_Audit!R1744</f>
        <v/>
      </c>
      <c r="J24" s="8">
        <f>Rebalance_Audit!S1744</f>
        <v/>
      </c>
    </row>
    <row r="25">
      <c r="A25" s="6" t="inlineStr">
        <is>
          <t>DJ30</t>
        </is>
      </c>
      <c r="B25" s="6" t="inlineStr">
        <is>
          <t>2024-02-02</t>
        </is>
      </c>
      <c r="C25" s="6" t="inlineStr">
        <is>
          <t>DIA</t>
        </is>
      </c>
      <c r="D25" s="6" t="inlineStr">
        <is>
          <t>AMGN</t>
        </is>
      </c>
      <c r="E25" s="6" t="inlineStr">
        <is>
          <t>AMGN</t>
        </is>
      </c>
      <c r="F25" s="6" t="inlineStr">
        <is>
          <t>-</t>
        </is>
      </c>
      <c r="G25" s="7">
        <f>Rebalance_Audit!G1739</f>
        <v/>
      </c>
      <c r="H25" s="9">
        <f>Rebalance_Audit!Q1739</f>
        <v/>
      </c>
      <c r="I25" s="7">
        <f>Rebalance_Audit!R1739</f>
        <v/>
      </c>
      <c r="J25" s="8">
        <f>Rebalance_Audit!S1739</f>
        <v/>
      </c>
    </row>
    <row r="26">
      <c r="A26" s="6" t="inlineStr">
        <is>
          <t>DJ30</t>
        </is>
      </c>
      <c r="B26" s="6" t="inlineStr">
        <is>
          <t>2024-02-02</t>
        </is>
      </c>
      <c r="C26" s="6" t="inlineStr">
        <is>
          <t>DIA</t>
        </is>
      </c>
      <c r="D26" s="6" t="inlineStr">
        <is>
          <t>CAT</t>
        </is>
      </c>
      <c r="E26" s="6" t="inlineStr">
        <is>
          <t>CAT</t>
        </is>
      </c>
      <c r="F26" s="6" t="inlineStr">
        <is>
          <t>-</t>
        </is>
      </c>
      <c r="G26" s="7">
        <f>Rebalance_Audit!G1743</f>
        <v/>
      </c>
      <c r="H26" s="9">
        <f>Rebalance_Audit!Q1743</f>
        <v/>
      </c>
      <c r="I26" s="7">
        <f>Rebalance_Audit!R1743</f>
        <v/>
      </c>
      <c r="J26" s="8">
        <f>Rebalance_Audit!S1743</f>
        <v/>
      </c>
    </row>
    <row r="27">
      <c r="A27" s="6" t="inlineStr">
        <is>
          <t>DJ30</t>
        </is>
      </c>
      <c r="B27" s="6" t="inlineStr">
        <is>
          <t>2024-02-09</t>
        </is>
      </c>
      <c r="C27" s="6" t="inlineStr">
        <is>
          <t>DIA</t>
        </is>
      </c>
      <c r="D27" s="6" t="inlineStr">
        <is>
          <t>NVDA</t>
        </is>
      </c>
      <c r="E27" s="6" t="inlineStr">
        <is>
          <t>NVDA</t>
        </is>
      </c>
      <c r="F27" s="6" t="inlineStr">
        <is>
          <t>-</t>
        </is>
      </c>
      <c r="G27" s="7">
        <f>Rebalance_Audit!G1791</f>
        <v/>
      </c>
      <c r="H27" s="9">
        <f>Rebalance_Audit!Q1791</f>
        <v/>
      </c>
      <c r="I27" s="7">
        <f>Rebalance_Audit!R1791</f>
        <v/>
      </c>
      <c r="J27" s="8">
        <f>Rebalance_Audit!S1791</f>
        <v/>
      </c>
    </row>
    <row r="28">
      <c r="A28" s="6" t="inlineStr">
        <is>
          <t>DJ30</t>
        </is>
      </c>
      <c r="B28" s="6" t="inlineStr">
        <is>
          <t>2024-02-09</t>
        </is>
      </c>
      <c r="C28" s="6" t="inlineStr">
        <is>
          <t>DIA</t>
        </is>
      </c>
      <c r="D28" s="6" t="inlineStr">
        <is>
          <t>IBM</t>
        </is>
      </c>
      <c r="E28" s="6" t="inlineStr">
        <is>
          <t>IBM</t>
        </is>
      </c>
      <c r="F28" s="6" t="inlineStr">
        <is>
          <t>-</t>
        </is>
      </c>
      <c r="G28" s="7">
        <f>Rebalance_Audit!G1782</f>
        <v/>
      </c>
      <c r="H28" s="9">
        <f>Rebalance_Audit!Q1782</f>
        <v/>
      </c>
      <c r="I28" s="7">
        <f>Rebalance_Audit!R1782</f>
        <v/>
      </c>
      <c r="J28" s="8">
        <f>Rebalance_Audit!S1782</f>
        <v/>
      </c>
    </row>
    <row r="29">
      <c r="A29" s="6" t="inlineStr">
        <is>
          <t>DJ30</t>
        </is>
      </c>
      <c r="B29" s="6" t="inlineStr">
        <is>
          <t>2024-02-09</t>
        </is>
      </c>
      <c r="C29" s="6" t="inlineStr">
        <is>
          <t>DIA</t>
        </is>
      </c>
      <c r="D29" s="6" t="inlineStr">
        <is>
          <t>CRM</t>
        </is>
      </c>
      <c r="E29" s="6" t="inlineStr">
        <is>
          <t>CRM</t>
        </is>
      </c>
      <c r="F29" s="6" t="inlineStr">
        <is>
          <t>-</t>
        </is>
      </c>
      <c r="G29" s="7">
        <f>Rebalance_Audit!G1775</f>
        <v/>
      </c>
      <c r="H29" s="9">
        <f>Rebalance_Audit!Q1775</f>
        <v/>
      </c>
      <c r="I29" s="7">
        <f>Rebalance_Audit!R1775</f>
        <v/>
      </c>
      <c r="J29" s="8">
        <f>Rebalance_Audit!S1775</f>
        <v/>
      </c>
    </row>
    <row r="30">
      <c r="A30" s="6" t="inlineStr">
        <is>
          <t>DJ30</t>
        </is>
      </c>
      <c r="B30" s="6" t="inlineStr">
        <is>
          <t>2024-02-09</t>
        </is>
      </c>
      <c r="C30" s="6" t="inlineStr">
        <is>
          <t>DIA</t>
        </is>
      </c>
      <c r="D30" s="6" t="inlineStr">
        <is>
          <t>AMGN</t>
        </is>
      </c>
      <c r="E30" s="6" t="inlineStr">
        <is>
          <t>AMGN</t>
        </is>
      </c>
      <c r="F30" s="6" t="inlineStr">
        <is>
          <t>-</t>
        </is>
      </c>
      <c r="G30" s="7">
        <f>Rebalance_Audit!G1770</f>
        <v/>
      </c>
      <c r="H30" s="9">
        <f>Rebalance_Audit!Q1770</f>
        <v/>
      </c>
      <c r="I30" s="7">
        <f>Rebalance_Audit!R1770</f>
        <v/>
      </c>
      <c r="J30" s="8">
        <f>Rebalance_Audit!S1770</f>
        <v/>
      </c>
    </row>
    <row r="31">
      <c r="A31" s="6" t="inlineStr">
        <is>
          <t>DJ30</t>
        </is>
      </c>
      <c r="B31" s="6" t="inlineStr">
        <is>
          <t>2024-02-09</t>
        </is>
      </c>
      <c r="C31" s="6" t="inlineStr">
        <is>
          <t>DIA</t>
        </is>
      </c>
      <c r="D31" s="6" t="inlineStr">
        <is>
          <t>CAT</t>
        </is>
      </c>
      <c r="E31" s="6" t="inlineStr">
        <is>
          <t>CAT</t>
        </is>
      </c>
      <c r="F31" s="6" t="inlineStr">
        <is>
          <t>-</t>
        </is>
      </c>
      <c r="G31" s="7">
        <f>Rebalance_Audit!G1774</f>
        <v/>
      </c>
      <c r="H31" s="9">
        <f>Rebalance_Audit!Q1774</f>
        <v/>
      </c>
      <c r="I31" s="7">
        <f>Rebalance_Audit!R1774</f>
        <v/>
      </c>
      <c r="J31" s="8">
        <f>Rebalance_Audit!S1774</f>
        <v/>
      </c>
    </row>
    <row r="32">
      <c r="A32" s="6" t="inlineStr">
        <is>
          <t>DJ30</t>
        </is>
      </c>
      <c r="B32" s="6" t="inlineStr">
        <is>
          <t>2024-02-16</t>
        </is>
      </c>
      <c r="C32" s="6" t="inlineStr">
        <is>
          <t>DIA</t>
        </is>
      </c>
      <c r="D32" s="6" t="inlineStr">
        <is>
          <t>NVDA</t>
        </is>
      </c>
      <c r="E32" s="6" t="inlineStr">
        <is>
          <t>NVDA</t>
        </is>
      </c>
      <c r="F32" s="6" t="inlineStr">
        <is>
          <t>-</t>
        </is>
      </c>
      <c r="G32" s="7">
        <f>Rebalance_Audit!G1822</f>
        <v/>
      </c>
      <c r="H32" s="9">
        <f>Rebalance_Audit!Q1822</f>
        <v/>
      </c>
      <c r="I32" s="7">
        <f>Rebalance_Audit!R1822</f>
        <v/>
      </c>
      <c r="J32" s="8">
        <f>Rebalance_Audit!S1822</f>
        <v/>
      </c>
    </row>
    <row r="33">
      <c r="A33" s="6" t="inlineStr">
        <is>
          <t>DJ30</t>
        </is>
      </c>
      <c r="B33" s="6" t="inlineStr">
        <is>
          <t>2024-02-16</t>
        </is>
      </c>
      <c r="C33" s="6" t="inlineStr">
        <is>
          <t>DIA</t>
        </is>
      </c>
      <c r="D33" s="6" t="inlineStr">
        <is>
          <t>IBM</t>
        </is>
      </c>
      <c r="E33" s="6" t="inlineStr">
        <is>
          <t>IBM</t>
        </is>
      </c>
      <c r="F33" s="6" t="inlineStr">
        <is>
          <t>-</t>
        </is>
      </c>
      <c r="G33" s="7">
        <f>Rebalance_Audit!G1813</f>
        <v/>
      </c>
      <c r="H33" s="9">
        <f>Rebalance_Audit!Q1813</f>
        <v/>
      </c>
      <c r="I33" s="7">
        <f>Rebalance_Audit!R1813</f>
        <v/>
      </c>
      <c r="J33" s="8">
        <f>Rebalance_Audit!S1813</f>
        <v/>
      </c>
    </row>
    <row r="34">
      <c r="A34" s="6" t="inlineStr">
        <is>
          <t>DJ30</t>
        </is>
      </c>
      <c r="B34" s="6" t="inlineStr">
        <is>
          <t>2024-02-16</t>
        </is>
      </c>
      <c r="C34" s="6" t="inlineStr">
        <is>
          <t>DIA</t>
        </is>
      </c>
      <c r="D34" s="6" t="inlineStr">
        <is>
          <t>CRM</t>
        </is>
      </c>
      <c r="E34" s="6" t="inlineStr">
        <is>
          <t>CRM</t>
        </is>
      </c>
      <c r="F34" s="6" t="inlineStr">
        <is>
          <t>-</t>
        </is>
      </c>
      <c r="G34" s="7">
        <f>Rebalance_Audit!G1806</f>
        <v/>
      </c>
      <c r="H34" s="9">
        <f>Rebalance_Audit!Q1806</f>
        <v/>
      </c>
      <c r="I34" s="7">
        <f>Rebalance_Audit!R1806</f>
        <v/>
      </c>
      <c r="J34" s="8">
        <f>Rebalance_Audit!S1806</f>
        <v/>
      </c>
    </row>
    <row r="35">
      <c r="A35" s="6" t="inlineStr">
        <is>
          <t>DJ30</t>
        </is>
      </c>
      <c r="B35" s="6" t="inlineStr">
        <is>
          <t>2024-02-16</t>
        </is>
      </c>
      <c r="C35" s="6" t="inlineStr">
        <is>
          <t>DIA</t>
        </is>
      </c>
      <c r="D35" s="6" t="inlineStr">
        <is>
          <t>AMGN</t>
        </is>
      </c>
      <c r="E35" s="6" t="inlineStr">
        <is>
          <t>AMGN</t>
        </is>
      </c>
      <c r="F35" s="6" t="inlineStr">
        <is>
          <t>-</t>
        </is>
      </c>
      <c r="G35" s="7">
        <f>Rebalance_Audit!G1801</f>
        <v/>
      </c>
      <c r="H35" s="9">
        <f>Rebalance_Audit!Q1801</f>
        <v/>
      </c>
      <c r="I35" s="7">
        <f>Rebalance_Audit!R1801</f>
        <v/>
      </c>
      <c r="J35" s="8">
        <f>Rebalance_Audit!S1801</f>
        <v/>
      </c>
    </row>
    <row r="36">
      <c r="A36" s="6" t="inlineStr">
        <is>
          <t>DJ30</t>
        </is>
      </c>
      <c r="B36" s="6" t="inlineStr">
        <is>
          <t>2024-02-16</t>
        </is>
      </c>
      <c r="C36" s="6" t="inlineStr">
        <is>
          <t>DIA</t>
        </is>
      </c>
      <c r="D36" s="6" t="inlineStr">
        <is>
          <t>CAT</t>
        </is>
      </c>
      <c r="E36" s="6" t="inlineStr">
        <is>
          <t>CAT</t>
        </is>
      </c>
      <c r="F36" s="6" t="inlineStr">
        <is>
          <t>-</t>
        </is>
      </c>
      <c r="G36" s="7">
        <f>Rebalance_Audit!G1805</f>
        <v/>
      </c>
      <c r="H36" s="9">
        <f>Rebalance_Audit!Q1805</f>
        <v/>
      </c>
      <c r="I36" s="7">
        <f>Rebalance_Audit!R1805</f>
        <v/>
      </c>
      <c r="J36" s="8">
        <f>Rebalance_Audit!S1805</f>
        <v/>
      </c>
    </row>
    <row r="37">
      <c r="A37" s="6" t="inlineStr">
        <is>
          <t>DJ30</t>
        </is>
      </c>
      <c r="B37" s="6" t="inlineStr">
        <is>
          <t>2024-02-23</t>
        </is>
      </c>
      <c r="C37" s="6" t="inlineStr">
        <is>
          <t>DIA</t>
        </is>
      </c>
      <c r="D37" s="6" t="inlineStr">
        <is>
          <t>NVDA</t>
        </is>
      </c>
      <c r="E37" s="6" t="inlineStr">
        <is>
          <t>NVDA</t>
        </is>
      </c>
      <c r="F37" s="6" t="inlineStr">
        <is>
          <t>-</t>
        </is>
      </c>
      <c r="G37" s="7">
        <f>Rebalance_Audit!G1853</f>
        <v/>
      </c>
      <c r="H37" s="9">
        <f>Rebalance_Audit!Q1853</f>
        <v/>
      </c>
      <c r="I37" s="7">
        <f>Rebalance_Audit!R1853</f>
        <v/>
      </c>
      <c r="J37" s="8">
        <f>Rebalance_Audit!S1853</f>
        <v/>
      </c>
    </row>
    <row r="38">
      <c r="A38" s="6" t="inlineStr">
        <is>
          <t>DJ30</t>
        </is>
      </c>
      <c r="B38" s="6" t="inlineStr">
        <is>
          <t>2024-02-23</t>
        </is>
      </c>
      <c r="C38" s="6" t="inlineStr">
        <is>
          <t>DIA</t>
        </is>
      </c>
      <c r="D38" s="6" t="inlineStr">
        <is>
          <t>IBM</t>
        </is>
      </c>
      <c r="E38" s="6" t="inlineStr">
        <is>
          <t>IBM</t>
        </is>
      </c>
      <c r="F38" s="6" t="inlineStr">
        <is>
          <t>-</t>
        </is>
      </c>
      <c r="G38" s="7">
        <f>Rebalance_Audit!G1844</f>
        <v/>
      </c>
      <c r="H38" s="9">
        <f>Rebalance_Audit!Q1844</f>
        <v/>
      </c>
      <c r="I38" s="7">
        <f>Rebalance_Audit!R1844</f>
        <v/>
      </c>
      <c r="J38" s="8">
        <f>Rebalance_Audit!S1844</f>
        <v/>
      </c>
    </row>
    <row r="39">
      <c r="A39" s="6" t="inlineStr">
        <is>
          <t>DJ30</t>
        </is>
      </c>
      <c r="B39" s="6" t="inlineStr">
        <is>
          <t>2024-02-23</t>
        </is>
      </c>
      <c r="C39" s="6" t="inlineStr">
        <is>
          <t>DIA</t>
        </is>
      </c>
      <c r="D39" s="6" t="inlineStr">
        <is>
          <t>CRM</t>
        </is>
      </c>
      <c r="E39" s="6" t="inlineStr">
        <is>
          <t>CRM</t>
        </is>
      </c>
      <c r="F39" s="6" t="inlineStr">
        <is>
          <t>-</t>
        </is>
      </c>
      <c r="G39" s="7">
        <f>Rebalance_Audit!G1837</f>
        <v/>
      </c>
      <c r="H39" s="9">
        <f>Rebalance_Audit!Q1837</f>
        <v/>
      </c>
      <c r="I39" s="7">
        <f>Rebalance_Audit!R1837</f>
        <v/>
      </c>
      <c r="J39" s="8">
        <f>Rebalance_Audit!S1837</f>
        <v/>
      </c>
    </row>
    <row r="40">
      <c r="A40" s="6" t="inlineStr">
        <is>
          <t>DJ30</t>
        </is>
      </c>
      <c r="B40" s="6" t="inlineStr">
        <is>
          <t>2024-02-23</t>
        </is>
      </c>
      <c r="C40" s="6" t="inlineStr">
        <is>
          <t>DIA</t>
        </is>
      </c>
      <c r="D40" s="6" t="inlineStr">
        <is>
          <t>AMGN</t>
        </is>
      </c>
      <c r="E40" s="6" t="inlineStr">
        <is>
          <t>AMGN</t>
        </is>
      </c>
      <c r="F40" s="6" t="inlineStr">
        <is>
          <t>-</t>
        </is>
      </c>
      <c r="G40" s="7">
        <f>Rebalance_Audit!G1832</f>
        <v/>
      </c>
      <c r="H40" s="9">
        <f>Rebalance_Audit!Q1832</f>
        <v/>
      </c>
      <c r="I40" s="7">
        <f>Rebalance_Audit!R1832</f>
        <v/>
      </c>
      <c r="J40" s="8">
        <f>Rebalance_Audit!S1832</f>
        <v/>
      </c>
    </row>
    <row r="41">
      <c r="A41" s="6" t="inlineStr">
        <is>
          <t>DJ30</t>
        </is>
      </c>
      <c r="B41" s="6" t="inlineStr">
        <is>
          <t>2024-02-23</t>
        </is>
      </c>
      <c r="C41" s="6" t="inlineStr">
        <is>
          <t>DIA</t>
        </is>
      </c>
      <c r="D41" s="6" t="inlineStr">
        <is>
          <t>CAT</t>
        </is>
      </c>
      <c r="E41" s="6" t="inlineStr">
        <is>
          <t>CAT</t>
        </is>
      </c>
      <c r="F41" s="6" t="inlineStr">
        <is>
          <t>-</t>
        </is>
      </c>
      <c r="G41" s="7">
        <f>Rebalance_Audit!G1836</f>
        <v/>
      </c>
      <c r="H41" s="9">
        <f>Rebalance_Audit!Q1836</f>
        <v/>
      </c>
      <c r="I41" s="7">
        <f>Rebalance_Audit!R1836</f>
        <v/>
      </c>
      <c r="J41" s="8">
        <f>Rebalance_Audit!S1836</f>
        <v/>
      </c>
    </row>
    <row r="42">
      <c r="A42" s="6" t="inlineStr">
        <is>
          <t>DJ30</t>
        </is>
      </c>
      <c r="B42" s="6" t="inlineStr">
        <is>
          <t>2024-03-01</t>
        </is>
      </c>
      <c r="C42" s="6" t="inlineStr">
        <is>
          <t>DIA</t>
        </is>
      </c>
      <c r="D42" s="6" t="inlineStr">
        <is>
          <t>NVDA</t>
        </is>
      </c>
      <c r="E42" s="6" t="inlineStr">
        <is>
          <t>NVDA</t>
        </is>
      </c>
      <c r="F42" s="6" t="inlineStr">
        <is>
          <t>-</t>
        </is>
      </c>
      <c r="G42" s="7">
        <f>Rebalance_Audit!G1884</f>
        <v/>
      </c>
      <c r="H42" s="9">
        <f>Rebalance_Audit!Q1884</f>
        <v/>
      </c>
      <c r="I42" s="7">
        <f>Rebalance_Audit!R1884</f>
        <v/>
      </c>
      <c r="J42" s="8">
        <f>Rebalance_Audit!S1884</f>
        <v/>
      </c>
    </row>
    <row r="43">
      <c r="A43" s="6" t="inlineStr">
        <is>
          <t>DJ30</t>
        </is>
      </c>
      <c r="B43" s="6" t="inlineStr">
        <is>
          <t>2024-03-01</t>
        </is>
      </c>
      <c r="C43" s="6" t="inlineStr">
        <is>
          <t>DIA</t>
        </is>
      </c>
      <c r="D43" s="6" t="inlineStr">
        <is>
          <t>IBM</t>
        </is>
      </c>
      <c r="E43" s="6" t="inlineStr">
        <is>
          <t>IBM</t>
        </is>
      </c>
      <c r="F43" s="6" t="inlineStr">
        <is>
          <t>-</t>
        </is>
      </c>
      <c r="G43" s="7">
        <f>Rebalance_Audit!G1875</f>
        <v/>
      </c>
      <c r="H43" s="9">
        <f>Rebalance_Audit!Q1875</f>
        <v/>
      </c>
      <c r="I43" s="7">
        <f>Rebalance_Audit!R1875</f>
        <v/>
      </c>
      <c r="J43" s="8">
        <f>Rebalance_Audit!S1875</f>
        <v/>
      </c>
    </row>
    <row r="44">
      <c r="A44" s="6" t="inlineStr">
        <is>
          <t>DJ30</t>
        </is>
      </c>
      <c r="B44" s="6" t="inlineStr">
        <is>
          <t>2024-03-01</t>
        </is>
      </c>
      <c r="C44" s="6" t="inlineStr">
        <is>
          <t>DIA</t>
        </is>
      </c>
      <c r="D44" s="6" t="inlineStr">
        <is>
          <t>CAT</t>
        </is>
      </c>
      <c r="E44" s="6" t="inlineStr">
        <is>
          <t>CAT</t>
        </is>
      </c>
      <c r="F44" s="6" t="inlineStr">
        <is>
          <t>-</t>
        </is>
      </c>
      <c r="G44" s="7">
        <f>Rebalance_Audit!G1867</f>
        <v/>
      </c>
      <c r="H44" s="9">
        <f>Rebalance_Audit!Q1867</f>
        <v/>
      </c>
      <c r="I44" s="7">
        <f>Rebalance_Audit!R1867</f>
        <v/>
      </c>
      <c r="J44" s="8">
        <f>Rebalance_Audit!S1867</f>
        <v/>
      </c>
    </row>
    <row r="45">
      <c r="A45" s="6" t="inlineStr">
        <is>
          <t>DJ30</t>
        </is>
      </c>
      <c r="B45" s="6" t="inlineStr">
        <is>
          <t>2024-03-01</t>
        </is>
      </c>
      <c r="C45" s="6" t="inlineStr">
        <is>
          <t>DIA</t>
        </is>
      </c>
      <c r="D45" s="6" t="inlineStr">
        <is>
          <t>CRM</t>
        </is>
      </c>
      <c r="E45" s="6" t="inlineStr">
        <is>
          <t>CRM</t>
        </is>
      </c>
      <c r="F45" s="6" t="inlineStr">
        <is>
          <t>-</t>
        </is>
      </c>
      <c r="G45" s="7">
        <f>Rebalance_Audit!G1868</f>
        <v/>
      </c>
      <c r="H45" s="9">
        <f>Rebalance_Audit!Q1868</f>
        <v/>
      </c>
      <c r="I45" s="7">
        <f>Rebalance_Audit!R1868</f>
        <v/>
      </c>
      <c r="J45" s="8">
        <f>Rebalance_Audit!S1868</f>
        <v/>
      </c>
    </row>
    <row r="46">
      <c r="A46" s="6" t="inlineStr">
        <is>
          <t>DJ30</t>
        </is>
      </c>
      <c r="B46" s="6" t="inlineStr">
        <is>
          <t>2024-03-01</t>
        </is>
      </c>
      <c r="C46" s="6" t="inlineStr">
        <is>
          <t>DIA</t>
        </is>
      </c>
      <c r="D46" s="6" t="inlineStr">
        <is>
          <t>AMGN</t>
        </is>
      </c>
      <c r="E46" s="6" t="inlineStr">
        <is>
          <t>AMGN</t>
        </is>
      </c>
      <c r="F46" s="6" t="inlineStr">
        <is>
          <t>-</t>
        </is>
      </c>
      <c r="G46" s="7">
        <f>Rebalance_Audit!G1863</f>
        <v/>
      </c>
      <c r="H46" s="9">
        <f>Rebalance_Audit!Q1863</f>
        <v/>
      </c>
      <c r="I46" s="7">
        <f>Rebalance_Audit!R1863</f>
        <v/>
      </c>
      <c r="J46" s="8">
        <f>Rebalance_Audit!S1863</f>
        <v/>
      </c>
    </row>
    <row r="47">
      <c r="A47" s="6" t="inlineStr">
        <is>
          <t>DJ30</t>
        </is>
      </c>
      <c r="B47" s="6" t="inlineStr">
        <is>
          <t>2024-03-08</t>
        </is>
      </c>
      <c r="C47" s="6" t="inlineStr">
        <is>
          <t>DIA</t>
        </is>
      </c>
      <c r="D47" s="6" t="inlineStr">
        <is>
          <t>NVDA</t>
        </is>
      </c>
      <c r="E47" s="6" t="inlineStr">
        <is>
          <t>NVDA</t>
        </is>
      </c>
      <c r="F47" s="6" t="inlineStr">
        <is>
          <t>-</t>
        </is>
      </c>
      <c r="G47" s="7">
        <f>Rebalance_Audit!G1915</f>
        <v/>
      </c>
      <c r="H47" s="9">
        <f>Rebalance_Audit!Q1915</f>
        <v/>
      </c>
      <c r="I47" s="7">
        <f>Rebalance_Audit!R1915</f>
        <v/>
      </c>
      <c r="J47" s="8">
        <f>Rebalance_Audit!S1915</f>
        <v/>
      </c>
    </row>
    <row r="48">
      <c r="A48" s="6" t="inlineStr">
        <is>
          <t>DJ30</t>
        </is>
      </c>
      <c r="B48" s="6" t="inlineStr">
        <is>
          <t>2024-03-08</t>
        </is>
      </c>
      <c r="C48" s="6" t="inlineStr">
        <is>
          <t>DIA</t>
        </is>
      </c>
      <c r="D48" s="6" t="inlineStr">
        <is>
          <t>IBM</t>
        </is>
      </c>
      <c r="E48" s="6" t="inlineStr">
        <is>
          <t>IBM</t>
        </is>
      </c>
      <c r="F48" s="6" t="inlineStr">
        <is>
          <t>-</t>
        </is>
      </c>
      <c r="G48" s="7">
        <f>Rebalance_Audit!G1906</f>
        <v/>
      </c>
      <c r="H48" s="9">
        <f>Rebalance_Audit!Q1906</f>
        <v/>
      </c>
      <c r="I48" s="7">
        <f>Rebalance_Audit!R1906</f>
        <v/>
      </c>
      <c r="J48" s="8">
        <f>Rebalance_Audit!S1906</f>
        <v/>
      </c>
    </row>
    <row r="49">
      <c r="A49" s="6" t="inlineStr">
        <is>
          <t>DJ30</t>
        </is>
      </c>
      <c r="B49" s="6" t="inlineStr">
        <is>
          <t>2024-03-08</t>
        </is>
      </c>
      <c r="C49" s="6" t="inlineStr">
        <is>
          <t>DIA</t>
        </is>
      </c>
      <c r="D49" s="6" t="inlineStr">
        <is>
          <t>CAT</t>
        </is>
      </c>
      <c r="E49" s="6" t="inlineStr">
        <is>
          <t>CAT</t>
        </is>
      </c>
      <c r="F49" s="6" t="inlineStr">
        <is>
          <t>-</t>
        </is>
      </c>
      <c r="G49" s="7">
        <f>Rebalance_Audit!G1898</f>
        <v/>
      </c>
      <c r="H49" s="9">
        <f>Rebalance_Audit!Q1898</f>
        <v/>
      </c>
      <c r="I49" s="7">
        <f>Rebalance_Audit!R1898</f>
        <v/>
      </c>
      <c r="J49" s="8">
        <f>Rebalance_Audit!S1898</f>
        <v/>
      </c>
    </row>
    <row r="50">
      <c r="A50" s="6" t="inlineStr">
        <is>
          <t>DJ30</t>
        </is>
      </c>
      <c r="B50" s="6" t="inlineStr">
        <is>
          <t>2024-03-08</t>
        </is>
      </c>
      <c r="C50" s="6" t="inlineStr">
        <is>
          <t>DIA</t>
        </is>
      </c>
      <c r="D50" s="6" t="inlineStr">
        <is>
          <t>CRM</t>
        </is>
      </c>
      <c r="E50" s="6" t="inlineStr">
        <is>
          <t>CRM</t>
        </is>
      </c>
      <c r="F50" s="6" t="inlineStr">
        <is>
          <t>-</t>
        </is>
      </c>
      <c r="G50" s="7">
        <f>Rebalance_Audit!G1899</f>
        <v/>
      </c>
      <c r="H50" s="9">
        <f>Rebalance_Audit!Q1899</f>
        <v/>
      </c>
      <c r="I50" s="7">
        <f>Rebalance_Audit!R1899</f>
        <v/>
      </c>
      <c r="J50" s="8">
        <f>Rebalance_Audit!S1899</f>
        <v/>
      </c>
    </row>
    <row r="51">
      <c r="A51" s="6" t="inlineStr">
        <is>
          <t>DJ30</t>
        </is>
      </c>
      <c r="B51" s="6" t="inlineStr">
        <is>
          <t>2024-03-08</t>
        </is>
      </c>
      <c r="C51" s="6" t="inlineStr">
        <is>
          <t>DIA</t>
        </is>
      </c>
      <c r="D51" s="6" t="inlineStr">
        <is>
          <t>AMGN</t>
        </is>
      </c>
      <c r="E51" s="6" t="inlineStr">
        <is>
          <t>AMGN</t>
        </is>
      </c>
      <c r="F51" s="6" t="inlineStr">
        <is>
          <t>-</t>
        </is>
      </c>
      <c r="G51" s="7">
        <f>Rebalance_Audit!G1894</f>
        <v/>
      </c>
      <c r="H51" s="9">
        <f>Rebalance_Audit!Q1894</f>
        <v/>
      </c>
      <c r="I51" s="7">
        <f>Rebalance_Audit!R1894</f>
        <v/>
      </c>
      <c r="J51" s="8">
        <f>Rebalance_Audit!S1894</f>
        <v/>
      </c>
    </row>
    <row r="52">
      <c r="A52" s="6" t="inlineStr">
        <is>
          <t>DJ30</t>
        </is>
      </c>
      <c r="B52" s="6" t="inlineStr">
        <is>
          <t>2024-03-15</t>
        </is>
      </c>
      <c r="C52" s="6" t="inlineStr">
        <is>
          <t>DIA</t>
        </is>
      </c>
      <c r="D52" s="6" t="inlineStr">
        <is>
          <t>NVDA</t>
        </is>
      </c>
      <c r="E52" s="6" t="inlineStr">
        <is>
          <t>NVDA</t>
        </is>
      </c>
      <c r="F52" s="6" t="inlineStr">
        <is>
          <t>-</t>
        </is>
      </c>
      <c r="G52" s="7">
        <f>Rebalance_Audit!G1946</f>
        <v/>
      </c>
      <c r="H52" s="9">
        <f>Rebalance_Audit!Q1946</f>
        <v/>
      </c>
      <c r="I52" s="7">
        <f>Rebalance_Audit!R1946</f>
        <v/>
      </c>
      <c r="J52" s="8">
        <f>Rebalance_Audit!S1946</f>
        <v/>
      </c>
    </row>
    <row r="53">
      <c r="A53" s="6" t="inlineStr">
        <is>
          <t>DJ30</t>
        </is>
      </c>
      <c r="B53" s="6" t="inlineStr">
        <is>
          <t>2024-03-15</t>
        </is>
      </c>
      <c r="C53" s="6" t="inlineStr">
        <is>
          <t>DIA</t>
        </is>
      </c>
      <c r="D53" s="6" t="inlineStr">
        <is>
          <t>IBM</t>
        </is>
      </c>
      <c r="E53" s="6" t="inlineStr">
        <is>
          <t>IBM</t>
        </is>
      </c>
      <c r="F53" s="6" t="inlineStr">
        <is>
          <t>-</t>
        </is>
      </c>
      <c r="G53" s="7">
        <f>Rebalance_Audit!G1937</f>
        <v/>
      </c>
      <c r="H53" s="9">
        <f>Rebalance_Audit!Q1937</f>
        <v/>
      </c>
      <c r="I53" s="7">
        <f>Rebalance_Audit!R1937</f>
        <v/>
      </c>
      <c r="J53" s="8">
        <f>Rebalance_Audit!S1937</f>
        <v/>
      </c>
    </row>
    <row r="54">
      <c r="A54" s="6" t="inlineStr">
        <is>
          <t>DJ30</t>
        </is>
      </c>
      <c r="B54" s="6" t="inlineStr">
        <is>
          <t>2024-03-15</t>
        </is>
      </c>
      <c r="C54" s="6" t="inlineStr">
        <is>
          <t>DIA</t>
        </is>
      </c>
      <c r="D54" s="6" t="inlineStr">
        <is>
          <t>CAT</t>
        </is>
      </c>
      <c r="E54" s="6" t="inlineStr">
        <is>
          <t>CAT</t>
        </is>
      </c>
      <c r="F54" s="6" t="inlineStr">
        <is>
          <t>-</t>
        </is>
      </c>
      <c r="G54" s="7">
        <f>Rebalance_Audit!G1929</f>
        <v/>
      </c>
      <c r="H54" s="9">
        <f>Rebalance_Audit!Q1929</f>
        <v/>
      </c>
      <c r="I54" s="7">
        <f>Rebalance_Audit!R1929</f>
        <v/>
      </c>
      <c r="J54" s="8">
        <f>Rebalance_Audit!S1929</f>
        <v/>
      </c>
    </row>
    <row r="55">
      <c r="A55" s="6" t="inlineStr">
        <is>
          <t>DJ30</t>
        </is>
      </c>
      <c r="B55" s="6" t="inlineStr">
        <is>
          <t>2024-03-15</t>
        </is>
      </c>
      <c r="C55" s="6" t="inlineStr">
        <is>
          <t>DIA</t>
        </is>
      </c>
      <c r="D55" s="6" t="inlineStr">
        <is>
          <t>CRM</t>
        </is>
      </c>
      <c r="E55" s="6" t="inlineStr">
        <is>
          <t>CRM</t>
        </is>
      </c>
      <c r="F55" s="6" t="inlineStr">
        <is>
          <t>-</t>
        </is>
      </c>
      <c r="G55" s="7">
        <f>Rebalance_Audit!G1930</f>
        <v/>
      </c>
      <c r="H55" s="9">
        <f>Rebalance_Audit!Q1930</f>
        <v/>
      </c>
      <c r="I55" s="7">
        <f>Rebalance_Audit!R1930</f>
        <v/>
      </c>
      <c r="J55" s="8">
        <f>Rebalance_Audit!S1930</f>
        <v/>
      </c>
    </row>
    <row r="56">
      <c r="A56" s="6" t="inlineStr">
        <is>
          <t>DJ30</t>
        </is>
      </c>
      <c r="B56" s="6" t="inlineStr">
        <is>
          <t>2024-03-15</t>
        </is>
      </c>
      <c r="C56" s="6" t="inlineStr">
        <is>
          <t>DIA</t>
        </is>
      </c>
      <c r="D56" s="6" t="inlineStr">
        <is>
          <t>AMGN</t>
        </is>
      </c>
      <c r="E56" s="6" t="inlineStr">
        <is>
          <t>AMGN</t>
        </is>
      </c>
      <c r="F56" s="6" t="inlineStr">
        <is>
          <t>-</t>
        </is>
      </c>
      <c r="G56" s="7">
        <f>Rebalance_Audit!G1925</f>
        <v/>
      </c>
      <c r="H56" s="9">
        <f>Rebalance_Audit!Q1925</f>
        <v/>
      </c>
      <c r="I56" s="7">
        <f>Rebalance_Audit!R1925</f>
        <v/>
      </c>
      <c r="J56" s="8">
        <f>Rebalance_Audit!S1925</f>
        <v/>
      </c>
    </row>
    <row r="57">
      <c r="A57" s="6" t="inlineStr">
        <is>
          <t>DJ30</t>
        </is>
      </c>
      <c r="B57" s="6" t="inlineStr">
        <is>
          <t>2024-03-22</t>
        </is>
      </c>
      <c r="C57" s="6" t="inlineStr">
        <is>
          <t>DIA</t>
        </is>
      </c>
      <c r="D57" s="6" t="inlineStr">
        <is>
          <t>NVDA</t>
        </is>
      </c>
      <c r="E57" s="6" t="inlineStr">
        <is>
          <t>NVDA</t>
        </is>
      </c>
      <c r="F57" s="6" t="inlineStr">
        <is>
          <t>-</t>
        </is>
      </c>
      <c r="G57" s="7">
        <f>Rebalance_Audit!G1977</f>
        <v/>
      </c>
      <c r="H57" s="9">
        <f>Rebalance_Audit!Q1977</f>
        <v/>
      </c>
      <c r="I57" s="7">
        <f>Rebalance_Audit!R1977</f>
        <v/>
      </c>
      <c r="J57" s="8">
        <f>Rebalance_Audit!S1977</f>
        <v/>
      </c>
    </row>
    <row r="58">
      <c r="A58" s="6" t="inlineStr">
        <is>
          <t>DJ30</t>
        </is>
      </c>
      <c r="B58" s="6" t="inlineStr">
        <is>
          <t>2024-03-22</t>
        </is>
      </c>
      <c r="C58" s="6" t="inlineStr">
        <is>
          <t>DIA</t>
        </is>
      </c>
      <c r="D58" s="6" t="inlineStr">
        <is>
          <t>IBM</t>
        </is>
      </c>
      <c r="E58" s="6" t="inlineStr">
        <is>
          <t>IBM</t>
        </is>
      </c>
      <c r="F58" s="6" t="inlineStr">
        <is>
          <t>-</t>
        </is>
      </c>
      <c r="G58" s="7">
        <f>Rebalance_Audit!G1968</f>
        <v/>
      </c>
      <c r="H58" s="9">
        <f>Rebalance_Audit!Q1968</f>
        <v/>
      </c>
      <c r="I58" s="7">
        <f>Rebalance_Audit!R1968</f>
        <v/>
      </c>
      <c r="J58" s="8">
        <f>Rebalance_Audit!S1968</f>
        <v/>
      </c>
    </row>
    <row r="59">
      <c r="A59" s="6" t="inlineStr">
        <is>
          <t>DJ30</t>
        </is>
      </c>
      <c r="B59" s="6" t="inlineStr">
        <is>
          <t>2024-03-22</t>
        </is>
      </c>
      <c r="C59" s="6" t="inlineStr">
        <is>
          <t>DIA</t>
        </is>
      </c>
      <c r="D59" s="6" t="inlineStr">
        <is>
          <t>CAT</t>
        </is>
      </c>
      <c r="E59" s="6" t="inlineStr">
        <is>
          <t>CAT</t>
        </is>
      </c>
      <c r="F59" s="6" t="inlineStr">
        <is>
          <t>-</t>
        </is>
      </c>
      <c r="G59" s="7">
        <f>Rebalance_Audit!G1960</f>
        <v/>
      </c>
      <c r="H59" s="9">
        <f>Rebalance_Audit!Q1960</f>
        <v/>
      </c>
      <c r="I59" s="7">
        <f>Rebalance_Audit!R1960</f>
        <v/>
      </c>
      <c r="J59" s="8">
        <f>Rebalance_Audit!S1960</f>
        <v/>
      </c>
    </row>
    <row r="60">
      <c r="A60" s="6" t="inlineStr">
        <is>
          <t>DJ30</t>
        </is>
      </c>
      <c r="B60" s="6" t="inlineStr">
        <is>
          <t>2024-03-22</t>
        </is>
      </c>
      <c r="C60" s="6" t="inlineStr">
        <is>
          <t>DIA</t>
        </is>
      </c>
      <c r="D60" s="6" t="inlineStr">
        <is>
          <t>CRM</t>
        </is>
      </c>
      <c r="E60" s="6" t="inlineStr">
        <is>
          <t>CRM</t>
        </is>
      </c>
      <c r="F60" s="6" t="inlineStr">
        <is>
          <t>-</t>
        </is>
      </c>
      <c r="G60" s="7">
        <f>Rebalance_Audit!G1961</f>
        <v/>
      </c>
      <c r="H60" s="9">
        <f>Rebalance_Audit!Q1961</f>
        <v/>
      </c>
      <c r="I60" s="7">
        <f>Rebalance_Audit!R1961</f>
        <v/>
      </c>
      <c r="J60" s="8">
        <f>Rebalance_Audit!S1961</f>
        <v/>
      </c>
    </row>
    <row r="61">
      <c r="A61" s="6" t="inlineStr">
        <is>
          <t>DJ30</t>
        </is>
      </c>
      <c r="B61" s="6" t="inlineStr">
        <is>
          <t>2024-03-22</t>
        </is>
      </c>
      <c r="C61" s="6" t="inlineStr">
        <is>
          <t>DIA</t>
        </is>
      </c>
      <c r="D61" s="6" t="inlineStr">
        <is>
          <t>AMGN</t>
        </is>
      </c>
      <c r="E61" s="6" t="inlineStr">
        <is>
          <t>AMGN</t>
        </is>
      </c>
      <c r="F61" s="6" t="inlineStr">
        <is>
          <t>-</t>
        </is>
      </c>
      <c r="G61" s="7">
        <f>Rebalance_Audit!G1956</f>
        <v/>
      </c>
      <c r="H61" s="9">
        <f>Rebalance_Audit!Q1956</f>
        <v/>
      </c>
      <c r="I61" s="7">
        <f>Rebalance_Audit!R1956</f>
        <v/>
      </c>
      <c r="J61" s="8">
        <f>Rebalance_Audit!S1956</f>
        <v/>
      </c>
    </row>
    <row r="62">
      <c r="A62" s="6" t="inlineStr">
        <is>
          <t>DJ30</t>
        </is>
      </c>
      <c r="B62" s="6" t="inlineStr">
        <is>
          <t>2024-03-29</t>
        </is>
      </c>
      <c r="C62" s="6" t="inlineStr">
        <is>
          <t>DIA</t>
        </is>
      </c>
      <c r="D62" s="6" t="inlineStr">
        <is>
          <t>NVDA</t>
        </is>
      </c>
      <c r="E62" s="6" t="inlineStr">
        <is>
          <t>NVDA</t>
        </is>
      </c>
      <c r="F62" s="6" t="inlineStr">
        <is>
          <t>-</t>
        </is>
      </c>
      <c r="G62" s="7">
        <f>Rebalance_Audit!G2008</f>
        <v/>
      </c>
      <c r="H62" s="9">
        <f>Rebalance_Audit!Q2008</f>
        <v/>
      </c>
      <c r="I62" s="7">
        <f>Rebalance_Audit!R2008</f>
        <v/>
      </c>
      <c r="J62" s="8">
        <f>Rebalance_Audit!S2008</f>
        <v/>
      </c>
    </row>
    <row r="63">
      <c r="A63" s="6" t="inlineStr">
        <is>
          <t>DJ30</t>
        </is>
      </c>
      <c r="B63" s="6" t="inlineStr">
        <is>
          <t>2024-03-29</t>
        </is>
      </c>
      <c r="C63" s="6" t="inlineStr">
        <is>
          <t>DIA</t>
        </is>
      </c>
      <c r="D63" s="6" t="inlineStr">
        <is>
          <t>IBM</t>
        </is>
      </c>
      <c r="E63" s="6" t="inlineStr">
        <is>
          <t>IBM</t>
        </is>
      </c>
      <c r="F63" s="6" t="inlineStr">
        <is>
          <t>-</t>
        </is>
      </c>
      <c r="G63" s="7">
        <f>Rebalance_Audit!G1999</f>
        <v/>
      </c>
      <c r="H63" s="9">
        <f>Rebalance_Audit!Q1999</f>
        <v/>
      </c>
      <c r="I63" s="7">
        <f>Rebalance_Audit!R1999</f>
        <v/>
      </c>
      <c r="J63" s="8">
        <f>Rebalance_Audit!S1999</f>
        <v/>
      </c>
    </row>
    <row r="64">
      <c r="A64" s="6" t="inlineStr">
        <is>
          <t>DJ30</t>
        </is>
      </c>
      <c r="B64" s="6" t="inlineStr">
        <is>
          <t>2024-03-29</t>
        </is>
      </c>
      <c r="C64" s="6" t="inlineStr">
        <is>
          <t>DIA</t>
        </is>
      </c>
      <c r="D64" s="6" t="inlineStr">
        <is>
          <t>CAT</t>
        </is>
      </c>
      <c r="E64" s="6" t="inlineStr">
        <is>
          <t>CAT</t>
        </is>
      </c>
      <c r="F64" s="6" t="inlineStr">
        <is>
          <t>-</t>
        </is>
      </c>
      <c r="G64" s="7">
        <f>Rebalance_Audit!G1991</f>
        <v/>
      </c>
      <c r="H64" s="9">
        <f>Rebalance_Audit!Q1991</f>
        <v/>
      </c>
      <c r="I64" s="7">
        <f>Rebalance_Audit!R1991</f>
        <v/>
      </c>
      <c r="J64" s="8">
        <f>Rebalance_Audit!S1991</f>
        <v/>
      </c>
    </row>
    <row r="65">
      <c r="A65" s="6" t="inlineStr">
        <is>
          <t>DJ30</t>
        </is>
      </c>
      <c r="B65" s="6" t="inlineStr">
        <is>
          <t>2024-03-29</t>
        </is>
      </c>
      <c r="C65" s="6" t="inlineStr">
        <is>
          <t>DIA</t>
        </is>
      </c>
      <c r="D65" s="6" t="inlineStr">
        <is>
          <t>CRM</t>
        </is>
      </c>
      <c r="E65" s="6" t="inlineStr">
        <is>
          <t>CRM</t>
        </is>
      </c>
      <c r="F65" s="6" t="inlineStr">
        <is>
          <t>-</t>
        </is>
      </c>
      <c r="G65" s="7">
        <f>Rebalance_Audit!G1992</f>
        <v/>
      </c>
      <c r="H65" s="9">
        <f>Rebalance_Audit!Q1992</f>
        <v/>
      </c>
      <c r="I65" s="7">
        <f>Rebalance_Audit!R1992</f>
        <v/>
      </c>
      <c r="J65" s="8">
        <f>Rebalance_Audit!S1992</f>
        <v/>
      </c>
    </row>
    <row r="66">
      <c r="A66" s="6" t="inlineStr">
        <is>
          <t>DJ30</t>
        </is>
      </c>
      <c r="B66" s="6" t="inlineStr">
        <is>
          <t>2024-03-29</t>
        </is>
      </c>
      <c r="C66" s="6" t="inlineStr">
        <is>
          <t>DIA</t>
        </is>
      </c>
      <c r="D66" s="6" t="inlineStr">
        <is>
          <t>AMGN</t>
        </is>
      </c>
      <c r="E66" s="6" t="inlineStr">
        <is>
          <t>AMGN</t>
        </is>
      </c>
      <c r="F66" s="6" t="inlineStr">
        <is>
          <t>-</t>
        </is>
      </c>
      <c r="G66" s="7">
        <f>Rebalance_Audit!G1987</f>
        <v/>
      </c>
      <c r="H66" s="9">
        <f>Rebalance_Audit!Q1987</f>
        <v/>
      </c>
      <c r="I66" s="7">
        <f>Rebalance_Audit!R1987</f>
        <v/>
      </c>
      <c r="J66" s="8">
        <f>Rebalance_Audit!S1987</f>
        <v/>
      </c>
    </row>
    <row r="67">
      <c r="A67" s="6" t="inlineStr">
        <is>
          <t>DJ30</t>
        </is>
      </c>
      <c r="B67" s="6" t="inlineStr">
        <is>
          <t>2024-04-05</t>
        </is>
      </c>
      <c r="C67" s="6" t="inlineStr">
        <is>
          <t>DIA</t>
        </is>
      </c>
      <c r="D67" s="6" t="inlineStr">
        <is>
          <t>NVDA</t>
        </is>
      </c>
      <c r="E67" s="6" t="inlineStr">
        <is>
          <t>NVDA</t>
        </is>
      </c>
      <c r="F67" s="6" t="inlineStr">
        <is>
          <t>-</t>
        </is>
      </c>
      <c r="G67" s="7">
        <f>Rebalance_Audit!G2039</f>
        <v/>
      </c>
      <c r="H67" s="9">
        <f>Rebalance_Audit!Q2039</f>
        <v/>
      </c>
      <c r="I67" s="7">
        <f>Rebalance_Audit!R2039</f>
        <v/>
      </c>
      <c r="J67" s="8">
        <f>Rebalance_Audit!S2039</f>
        <v/>
      </c>
    </row>
    <row r="68">
      <c r="A68" s="6" t="inlineStr">
        <is>
          <t>DJ30</t>
        </is>
      </c>
      <c r="B68" s="6" t="inlineStr">
        <is>
          <t>2024-04-05</t>
        </is>
      </c>
      <c r="C68" s="6" t="inlineStr">
        <is>
          <t>DIA</t>
        </is>
      </c>
      <c r="D68" s="6" t="inlineStr">
        <is>
          <t>IBM</t>
        </is>
      </c>
      <c r="E68" s="6" t="inlineStr">
        <is>
          <t>IBM</t>
        </is>
      </c>
      <c r="F68" s="6" t="inlineStr">
        <is>
          <t>-</t>
        </is>
      </c>
      <c r="G68" s="7">
        <f>Rebalance_Audit!G2030</f>
        <v/>
      </c>
      <c r="H68" s="9">
        <f>Rebalance_Audit!Q2030</f>
        <v/>
      </c>
      <c r="I68" s="7">
        <f>Rebalance_Audit!R2030</f>
        <v/>
      </c>
      <c r="J68" s="8">
        <f>Rebalance_Audit!S2030</f>
        <v/>
      </c>
    </row>
    <row r="69">
      <c r="A69" s="6" t="inlineStr">
        <is>
          <t>DJ30</t>
        </is>
      </c>
      <c r="B69" s="6" t="inlineStr">
        <is>
          <t>2024-04-05</t>
        </is>
      </c>
      <c r="C69" s="6" t="inlineStr">
        <is>
          <t>DIA</t>
        </is>
      </c>
      <c r="D69" s="6" t="inlineStr">
        <is>
          <t>CAT</t>
        </is>
      </c>
      <c r="E69" s="6" t="inlineStr">
        <is>
          <t>CAT</t>
        </is>
      </c>
      <c r="F69" s="6" t="inlineStr">
        <is>
          <t>-</t>
        </is>
      </c>
      <c r="G69" s="7">
        <f>Rebalance_Audit!G2022</f>
        <v/>
      </c>
      <c r="H69" s="9">
        <f>Rebalance_Audit!Q2022</f>
        <v/>
      </c>
      <c r="I69" s="7">
        <f>Rebalance_Audit!R2022</f>
        <v/>
      </c>
      <c r="J69" s="8">
        <f>Rebalance_Audit!S2022</f>
        <v/>
      </c>
    </row>
    <row r="70">
      <c r="A70" s="6" t="inlineStr">
        <is>
          <t>DJ30</t>
        </is>
      </c>
      <c r="B70" s="6" t="inlineStr">
        <is>
          <t>2024-04-05</t>
        </is>
      </c>
      <c r="C70" s="6" t="inlineStr">
        <is>
          <t>DIA</t>
        </is>
      </c>
      <c r="D70" s="6" t="inlineStr">
        <is>
          <t>CRM</t>
        </is>
      </c>
      <c r="E70" s="6" t="inlineStr">
        <is>
          <t>CRM</t>
        </is>
      </c>
      <c r="F70" s="6" t="inlineStr">
        <is>
          <t>-</t>
        </is>
      </c>
      <c r="G70" s="7">
        <f>Rebalance_Audit!G2023</f>
        <v/>
      </c>
      <c r="H70" s="9">
        <f>Rebalance_Audit!Q2023</f>
        <v/>
      </c>
      <c r="I70" s="7">
        <f>Rebalance_Audit!R2023</f>
        <v/>
      </c>
      <c r="J70" s="8">
        <f>Rebalance_Audit!S2023</f>
        <v/>
      </c>
    </row>
    <row r="71">
      <c r="A71" s="6" t="inlineStr">
        <is>
          <t>DJ30</t>
        </is>
      </c>
      <c r="B71" s="6" t="inlineStr">
        <is>
          <t>2024-04-05</t>
        </is>
      </c>
      <c r="C71" s="6" t="inlineStr">
        <is>
          <t>DIA</t>
        </is>
      </c>
      <c r="D71" s="6" t="inlineStr">
        <is>
          <t>AMGN</t>
        </is>
      </c>
      <c r="E71" s="6" t="inlineStr">
        <is>
          <t>AMGN</t>
        </is>
      </c>
      <c r="F71" s="6" t="inlineStr">
        <is>
          <t>-</t>
        </is>
      </c>
      <c r="G71" s="7">
        <f>Rebalance_Audit!G2018</f>
        <v/>
      </c>
      <c r="H71" s="9">
        <f>Rebalance_Audit!Q2018</f>
        <v/>
      </c>
      <c r="I71" s="7">
        <f>Rebalance_Audit!R2018</f>
        <v/>
      </c>
      <c r="J71" s="8">
        <f>Rebalance_Audit!S2018</f>
        <v/>
      </c>
    </row>
    <row r="72">
      <c r="A72" s="6" t="inlineStr">
        <is>
          <t>DJ30</t>
        </is>
      </c>
      <c r="B72" s="6" t="inlineStr">
        <is>
          <t>2024-04-12</t>
        </is>
      </c>
      <c r="C72" s="6" t="inlineStr">
        <is>
          <t>DIA</t>
        </is>
      </c>
      <c r="D72" s="6" t="inlineStr">
        <is>
          <t>NVDA</t>
        </is>
      </c>
      <c r="E72" s="6" t="inlineStr">
        <is>
          <t>NVDA</t>
        </is>
      </c>
      <c r="F72" s="6" t="inlineStr">
        <is>
          <t>-</t>
        </is>
      </c>
      <c r="G72" s="7">
        <f>Rebalance_Audit!G2070</f>
        <v/>
      </c>
      <c r="H72" s="9">
        <f>Rebalance_Audit!Q2070</f>
        <v/>
      </c>
      <c r="I72" s="7">
        <f>Rebalance_Audit!R2070</f>
        <v/>
      </c>
      <c r="J72" s="8">
        <f>Rebalance_Audit!S2070</f>
        <v/>
      </c>
    </row>
    <row r="73">
      <c r="A73" s="6" t="inlineStr">
        <is>
          <t>DJ30</t>
        </is>
      </c>
      <c r="B73" s="6" t="inlineStr">
        <is>
          <t>2024-04-12</t>
        </is>
      </c>
      <c r="C73" s="6" t="inlineStr">
        <is>
          <t>DIA</t>
        </is>
      </c>
      <c r="D73" s="6" t="inlineStr">
        <is>
          <t>IBM</t>
        </is>
      </c>
      <c r="E73" s="6" t="inlineStr">
        <is>
          <t>IBM</t>
        </is>
      </c>
      <c r="F73" s="6" t="inlineStr">
        <is>
          <t>-</t>
        </is>
      </c>
      <c r="G73" s="7">
        <f>Rebalance_Audit!G2061</f>
        <v/>
      </c>
      <c r="H73" s="9">
        <f>Rebalance_Audit!Q2061</f>
        <v/>
      </c>
      <c r="I73" s="7">
        <f>Rebalance_Audit!R2061</f>
        <v/>
      </c>
      <c r="J73" s="8">
        <f>Rebalance_Audit!S2061</f>
        <v/>
      </c>
    </row>
    <row r="74">
      <c r="A74" s="6" t="inlineStr">
        <is>
          <t>DJ30</t>
        </is>
      </c>
      <c r="B74" s="6" t="inlineStr">
        <is>
          <t>2024-04-12</t>
        </is>
      </c>
      <c r="C74" s="6" t="inlineStr">
        <is>
          <t>DIA</t>
        </is>
      </c>
      <c r="D74" s="6" t="inlineStr">
        <is>
          <t>CAT</t>
        </is>
      </c>
      <c r="E74" s="6" t="inlineStr">
        <is>
          <t>CAT</t>
        </is>
      </c>
      <c r="F74" s="6" t="inlineStr">
        <is>
          <t>-</t>
        </is>
      </c>
      <c r="G74" s="7">
        <f>Rebalance_Audit!G2053</f>
        <v/>
      </c>
      <c r="H74" s="9">
        <f>Rebalance_Audit!Q2053</f>
        <v/>
      </c>
      <c r="I74" s="7">
        <f>Rebalance_Audit!R2053</f>
        <v/>
      </c>
      <c r="J74" s="8">
        <f>Rebalance_Audit!S2053</f>
        <v/>
      </c>
    </row>
    <row r="75">
      <c r="A75" s="6" t="inlineStr">
        <is>
          <t>DJ30</t>
        </is>
      </c>
      <c r="B75" s="6" t="inlineStr">
        <is>
          <t>2024-04-12</t>
        </is>
      </c>
      <c r="C75" s="6" t="inlineStr">
        <is>
          <t>DIA</t>
        </is>
      </c>
      <c r="D75" s="6" t="inlineStr">
        <is>
          <t>CRM</t>
        </is>
      </c>
      <c r="E75" s="6" t="inlineStr">
        <is>
          <t>CRM</t>
        </is>
      </c>
      <c r="F75" s="6" t="inlineStr">
        <is>
          <t>-</t>
        </is>
      </c>
      <c r="G75" s="7">
        <f>Rebalance_Audit!G2054</f>
        <v/>
      </c>
      <c r="H75" s="9">
        <f>Rebalance_Audit!Q2054</f>
        <v/>
      </c>
      <c r="I75" s="7">
        <f>Rebalance_Audit!R2054</f>
        <v/>
      </c>
      <c r="J75" s="8">
        <f>Rebalance_Audit!S2054</f>
        <v/>
      </c>
    </row>
    <row r="76">
      <c r="A76" s="6" t="inlineStr">
        <is>
          <t>DJ30</t>
        </is>
      </c>
      <c r="B76" s="6" t="inlineStr">
        <is>
          <t>2024-04-12</t>
        </is>
      </c>
      <c r="C76" s="6" t="inlineStr">
        <is>
          <t>DIA</t>
        </is>
      </c>
      <c r="D76" s="6" t="inlineStr">
        <is>
          <t>AMGN</t>
        </is>
      </c>
      <c r="E76" s="6" t="inlineStr">
        <is>
          <t>AMGN</t>
        </is>
      </c>
      <c r="F76" s="6" t="inlineStr">
        <is>
          <t>-</t>
        </is>
      </c>
      <c r="G76" s="7">
        <f>Rebalance_Audit!G2049</f>
        <v/>
      </c>
      <c r="H76" s="9">
        <f>Rebalance_Audit!Q2049</f>
        <v/>
      </c>
      <c r="I76" s="7">
        <f>Rebalance_Audit!R2049</f>
        <v/>
      </c>
      <c r="J76" s="8">
        <f>Rebalance_Audit!S2049</f>
        <v/>
      </c>
    </row>
    <row r="77">
      <c r="A77" s="6" t="inlineStr">
        <is>
          <t>DJ30</t>
        </is>
      </c>
      <c r="B77" s="6" t="inlineStr">
        <is>
          <t>2024-04-19</t>
        </is>
      </c>
      <c r="C77" s="6" t="inlineStr">
        <is>
          <t>DIA</t>
        </is>
      </c>
      <c r="D77" s="6" t="inlineStr">
        <is>
          <t>NVDA</t>
        </is>
      </c>
      <c r="E77" s="6" t="inlineStr">
        <is>
          <t>NVDA</t>
        </is>
      </c>
      <c r="F77" s="6" t="inlineStr">
        <is>
          <t>-</t>
        </is>
      </c>
      <c r="G77" s="7">
        <f>Rebalance_Audit!G2101</f>
        <v/>
      </c>
      <c r="H77" s="9">
        <f>Rebalance_Audit!Q2101</f>
        <v/>
      </c>
      <c r="I77" s="7">
        <f>Rebalance_Audit!R2101</f>
        <v/>
      </c>
      <c r="J77" s="8">
        <f>Rebalance_Audit!S2101</f>
        <v/>
      </c>
    </row>
    <row r="78">
      <c r="A78" s="6" t="inlineStr">
        <is>
          <t>DJ30</t>
        </is>
      </c>
      <c r="B78" s="6" t="inlineStr">
        <is>
          <t>2024-04-19</t>
        </is>
      </c>
      <c r="C78" s="6" t="inlineStr">
        <is>
          <t>DIA</t>
        </is>
      </c>
      <c r="D78" s="6" t="inlineStr">
        <is>
          <t>IBM</t>
        </is>
      </c>
      <c r="E78" s="6" t="inlineStr">
        <is>
          <t>IBM</t>
        </is>
      </c>
      <c r="F78" s="6" t="inlineStr">
        <is>
          <t>-</t>
        </is>
      </c>
      <c r="G78" s="7">
        <f>Rebalance_Audit!G2092</f>
        <v/>
      </c>
      <c r="H78" s="9">
        <f>Rebalance_Audit!Q2092</f>
        <v/>
      </c>
      <c r="I78" s="7">
        <f>Rebalance_Audit!R2092</f>
        <v/>
      </c>
      <c r="J78" s="8">
        <f>Rebalance_Audit!S2092</f>
        <v/>
      </c>
    </row>
    <row r="79">
      <c r="A79" s="6" t="inlineStr">
        <is>
          <t>DJ30</t>
        </is>
      </c>
      <c r="B79" s="6" t="inlineStr">
        <is>
          <t>2024-04-19</t>
        </is>
      </c>
      <c r="C79" s="6" t="inlineStr">
        <is>
          <t>DIA</t>
        </is>
      </c>
      <c r="D79" s="6" t="inlineStr">
        <is>
          <t>CAT</t>
        </is>
      </c>
      <c r="E79" s="6" t="inlineStr">
        <is>
          <t>CAT</t>
        </is>
      </c>
      <c r="F79" s="6" t="inlineStr">
        <is>
          <t>-</t>
        </is>
      </c>
      <c r="G79" s="7">
        <f>Rebalance_Audit!G2084</f>
        <v/>
      </c>
      <c r="H79" s="9">
        <f>Rebalance_Audit!Q2084</f>
        <v/>
      </c>
      <c r="I79" s="7">
        <f>Rebalance_Audit!R2084</f>
        <v/>
      </c>
      <c r="J79" s="8">
        <f>Rebalance_Audit!S2084</f>
        <v/>
      </c>
    </row>
    <row r="80">
      <c r="A80" s="6" t="inlineStr">
        <is>
          <t>DJ30</t>
        </is>
      </c>
      <c r="B80" s="6" t="inlineStr">
        <is>
          <t>2024-04-19</t>
        </is>
      </c>
      <c r="C80" s="6" t="inlineStr">
        <is>
          <t>DIA</t>
        </is>
      </c>
      <c r="D80" s="6" t="inlineStr">
        <is>
          <t>CRM</t>
        </is>
      </c>
      <c r="E80" s="6" t="inlineStr">
        <is>
          <t>CRM</t>
        </is>
      </c>
      <c r="F80" s="6" t="inlineStr">
        <is>
          <t>-</t>
        </is>
      </c>
      <c r="G80" s="7">
        <f>Rebalance_Audit!G2085</f>
        <v/>
      </c>
      <c r="H80" s="9">
        <f>Rebalance_Audit!Q2085</f>
        <v/>
      </c>
      <c r="I80" s="7">
        <f>Rebalance_Audit!R2085</f>
        <v/>
      </c>
      <c r="J80" s="8">
        <f>Rebalance_Audit!S2085</f>
        <v/>
      </c>
    </row>
    <row r="81">
      <c r="A81" s="6" t="inlineStr">
        <is>
          <t>DJ30</t>
        </is>
      </c>
      <c r="B81" s="6" t="inlineStr">
        <is>
          <t>2024-04-19</t>
        </is>
      </c>
      <c r="C81" s="6" t="inlineStr">
        <is>
          <t>DIA</t>
        </is>
      </c>
      <c r="D81" s="6" t="inlineStr">
        <is>
          <t>JPM</t>
        </is>
      </c>
      <c r="E81" s="6" t="inlineStr">
        <is>
          <t>JPM</t>
        </is>
      </c>
      <c r="F81" s="6" t="inlineStr">
        <is>
          <t>-</t>
        </is>
      </c>
      <c r="G81" s="7">
        <f>Rebalance_Audit!G2094</f>
        <v/>
      </c>
      <c r="H81" s="9">
        <f>Rebalance_Audit!Q2094</f>
        <v/>
      </c>
      <c r="I81" s="7">
        <f>Rebalance_Audit!R2094</f>
        <v/>
      </c>
      <c r="J81" s="8">
        <f>Rebalance_Audit!S2094</f>
        <v/>
      </c>
    </row>
    <row r="82">
      <c r="A82" s="6" t="inlineStr">
        <is>
          <t>DJ30</t>
        </is>
      </c>
      <c r="B82" s="6" t="inlineStr">
        <is>
          <t>2024-04-26</t>
        </is>
      </c>
      <c r="C82" s="6" t="inlineStr">
        <is>
          <t>DIA</t>
        </is>
      </c>
      <c r="D82" s="6" t="inlineStr">
        <is>
          <t>NVDA</t>
        </is>
      </c>
      <c r="E82" s="6" t="inlineStr">
        <is>
          <t>NVDA</t>
        </is>
      </c>
      <c r="F82" s="6" t="inlineStr">
        <is>
          <t>-</t>
        </is>
      </c>
      <c r="G82" s="7">
        <f>Rebalance_Audit!G2132</f>
        <v/>
      </c>
      <c r="H82" s="9">
        <f>Rebalance_Audit!Q2132</f>
        <v/>
      </c>
      <c r="I82" s="7">
        <f>Rebalance_Audit!R2132</f>
        <v/>
      </c>
      <c r="J82" s="8">
        <f>Rebalance_Audit!S2132</f>
        <v/>
      </c>
    </row>
    <row r="83">
      <c r="A83" s="6" t="inlineStr">
        <is>
          <t>DJ30</t>
        </is>
      </c>
      <c r="B83" s="6" t="inlineStr">
        <is>
          <t>2024-04-26</t>
        </is>
      </c>
      <c r="C83" s="6" t="inlineStr">
        <is>
          <t>DIA</t>
        </is>
      </c>
      <c r="D83" s="6" t="inlineStr">
        <is>
          <t>IBM</t>
        </is>
      </c>
      <c r="E83" s="6" t="inlineStr">
        <is>
          <t>IBM</t>
        </is>
      </c>
      <c r="F83" s="6" t="inlineStr">
        <is>
          <t>-</t>
        </is>
      </c>
      <c r="G83" s="7">
        <f>Rebalance_Audit!G2123</f>
        <v/>
      </c>
      <c r="H83" s="9">
        <f>Rebalance_Audit!Q2123</f>
        <v/>
      </c>
      <c r="I83" s="7">
        <f>Rebalance_Audit!R2123</f>
        <v/>
      </c>
      <c r="J83" s="8">
        <f>Rebalance_Audit!S2123</f>
        <v/>
      </c>
    </row>
    <row r="84">
      <c r="A84" s="6" t="inlineStr">
        <is>
          <t>DJ30</t>
        </is>
      </c>
      <c r="B84" s="6" t="inlineStr">
        <is>
          <t>2024-04-26</t>
        </is>
      </c>
      <c r="C84" s="6" t="inlineStr">
        <is>
          <t>DIA</t>
        </is>
      </c>
      <c r="D84" s="6" t="inlineStr">
        <is>
          <t>CAT</t>
        </is>
      </c>
      <c r="E84" s="6" t="inlineStr">
        <is>
          <t>CAT</t>
        </is>
      </c>
      <c r="F84" s="6" t="inlineStr">
        <is>
          <t>-</t>
        </is>
      </c>
      <c r="G84" s="7">
        <f>Rebalance_Audit!G2115</f>
        <v/>
      </c>
      <c r="H84" s="9">
        <f>Rebalance_Audit!Q2115</f>
        <v/>
      </c>
      <c r="I84" s="7">
        <f>Rebalance_Audit!R2115</f>
        <v/>
      </c>
      <c r="J84" s="8">
        <f>Rebalance_Audit!S2115</f>
        <v/>
      </c>
    </row>
    <row r="85">
      <c r="A85" s="6" t="inlineStr">
        <is>
          <t>DJ30</t>
        </is>
      </c>
      <c r="B85" s="6" t="inlineStr">
        <is>
          <t>2024-04-26</t>
        </is>
      </c>
      <c r="C85" s="6" t="inlineStr">
        <is>
          <t>DIA</t>
        </is>
      </c>
      <c r="D85" s="6" t="inlineStr">
        <is>
          <t>CRM</t>
        </is>
      </c>
      <c r="E85" s="6" t="inlineStr">
        <is>
          <t>CRM</t>
        </is>
      </c>
      <c r="F85" s="6" t="inlineStr">
        <is>
          <t>-</t>
        </is>
      </c>
      <c r="G85" s="7">
        <f>Rebalance_Audit!G2116</f>
        <v/>
      </c>
      <c r="H85" s="9">
        <f>Rebalance_Audit!Q2116</f>
        <v/>
      </c>
      <c r="I85" s="7">
        <f>Rebalance_Audit!R2116</f>
        <v/>
      </c>
      <c r="J85" s="8">
        <f>Rebalance_Audit!S2116</f>
        <v/>
      </c>
    </row>
    <row r="86">
      <c r="A86" s="6" t="inlineStr">
        <is>
          <t>DJ30</t>
        </is>
      </c>
      <c r="B86" s="6" t="inlineStr">
        <is>
          <t>2024-04-26</t>
        </is>
      </c>
      <c r="C86" s="6" t="inlineStr">
        <is>
          <t>DIA</t>
        </is>
      </c>
      <c r="D86" s="6" t="inlineStr">
        <is>
          <t>JPM</t>
        </is>
      </c>
      <c r="E86" s="6" t="inlineStr">
        <is>
          <t>JPM</t>
        </is>
      </c>
      <c r="F86" s="6" t="inlineStr">
        <is>
          <t>-</t>
        </is>
      </c>
      <c r="G86" s="7">
        <f>Rebalance_Audit!G2125</f>
        <v/>
      </c>
      <c r="H86" s="9">
        <f>Rebalance_Audit!Q2125</f>
        <v/>
      </c>
      <c r="I86" s="7">
        <f>Rebalance_Audit!R2125</f>
        <v/>
      </c>
      <c r="J86" s="8">
        <f>Rebalance_Audit!S2125</f>
        <v/>
      </c>
    </row>
    <row r="87">
      <c r="A87" s="6" t="inlineStr">
        <is>
          <t>DJ30</t>
        </is>
      </c>
      <c r="B87" s="6" t="inlineStr">
        <is>
          <t>2024-05-03</t>
        </is>
      </c>
      <c r="C87" s="6" t="inlineStr">
        <is>
          <t>DIA</t>
        </is>
      </c>
      <c r="D87" s="6" t="inlineStr">
        <is>
          <t>NVDA</t>
        </is>
      </c>
      <c r="E87" s="6" t="inlineStr">
        <is>
          <t>NVDA</t>
        </is>
      </c>
      <c r="F87" s="6" t="inlineStr">
        <is>
          <t>-</t>
        </is>
      </c>
      <c r="G87" s="7">
        <f>Rebalance_Audit!G2163</f>
        <v/>
      </c>
      <c r="H87" s="9">
        <f>Rebalance_Audit!Q2163</f>
        <v/>
      </c>
      <c r="I87" s="7">
        <f>Rebalance_Audit!R2163</f>
        <v/>
      </c>
      <c r="J87" s="8">
        <f>Rebalance_Audit!S2163</f>
        <v/>
      </c>
    </row>
    <row r="88">
      <c r="A88" s="6" t="inlineStr">
        <is>
          <t>DJ30</t>
        </is>
      </c>
      <c r="B88" s="6" t="inlineStr">
        <is>
          <t>2024-05-03</t>
        </is>
      </c>
      <c r="C88" s="6" t="inlineStr">
        <is>
          <t>DIA</t>
        </is>
      </c>
      <c r="D88" s="6" t="inlineStr">
        <is>
          <t>IBM</t>
        </is>
      </c>
      <c r="E88" s="6" t="inlineStr">
        <is>
          <t>IBM</t>
        </is>
      </c>
      <c r="F88" s="6" t="inlineStr">
        <is>
          <t>-</t>
        </is>
      </c>
      <c r="G88" s="7">
        <f>Rebalance_Audit!G2154</f>
        <v/>
      </c>
      <c r="H88" s="9">
        <f>Rebalance_Audit!Q2154</f>
        <v/>
      </c>
      <c r="I88" s="7">
        <f>Rebalance_Audit!R2154</f>
        <v/>
      </c>
      <c r="J88" s="8">
        <f>Rebalance_Audit!S2154</f>
        <v/>
      </c>
    </row>
    <row r="89">
      <c r="A89" s="6" t="inlineStr">
        <is>
          <t>DJ30</t>
        </is>
      </c>
      <c r="B89" s="6" t="inlineStr">
        <is>
          <t>2024-05-03</t>
        </is>
      </c>
      <c r="C89" s="6" t="inlineStr">
        <is>
          <t>DIA</t>
        </is>
      </c>
      <c r="D89" s="6" t="inlineStr">
        <is>
          <t>CAT</t>
        </is>
      </c>
      <c r="E89" s="6" t="inlineStr">
        <is>
          <t>CAT</t>
        </is>
      </c>
      <c r="F89" s="6" t="inlineStr">
        <is>
          <t>-</t>
        </is>
      </c>
      <c r="G89" s="7">
        <f>Rebalance_Audit!G2146</f>
        <v/>
      </c>
      <c r="H89" s="9">
        <f>Rebalance_Audit!Q2146</f>
        <v/>
      </c>
      <c r="I89" s="7">
        <f>Rebalance_Audit!R2146</f>
        <v/>
      </c>
      <c r="J89" s="8">
        <f>Rebalance_Audit!S2146</f>
        <v/>
      </c>
    </row>
    <row r="90">
      <c r="A90" s="6" t="inlineStr">
        <is>
          <t>DJ30</t>
        </is>
      </c>
      <c r="B90" s="6" t="inlineStr">
        <is>
          <t>2024-05-03</t>
        </is>
      </c>
      <c r="C90" s="6" t="inlineStr">
        <is>
          <t>DIA</t>
        </is>
      </c>
      <c r="D90" s="6" t="inlineStr">
        <is>
          <t>JPM</t>
        </is>
      </c>
      <c r="E90" s="6" t="inlineStr">
        <is>
          <t>JPM</t>
        </is>
      </c>
      <c r="F90" s="6" t="inlineStr">
        <is>
          <t>-</t>
        </is>
      </c>
      <c r="G90" s="7">
        <f>Rebalance_Audit!G2156</f>
        <v/>
      </c>
      <c r="H90" s="9">
        <f>Rebalance_Audit!Q2156</f>
        <v/>
      </c>
      <c r="I90" s="7">
        <f>Rebalance_Audit!R2156</f>
        <v/>
      </c>
      <c r="J90" s="8">
        <f>Rebalance_Audit!S2156</f>
        <v/>
      </c>
    </row>
    <row r="91">
      <c r="A91" s="6" t="inlineStr">
        <is>
          <t>DJ30</t>
        </is>
      </c>
      <c r="B91" s="6" t="inlineStr">
        <is>
          <t>2024-05-03</t>
        </is>
      </c>
      <c r="C91" s="6" t="inlineStr">
        <is>
          <t>DIA</t>
        </is>
      </c>
      <c r="D91" s="6" t="inlineStr">
        <is>
          <t>CRM</t>
        </is>
      </c>
      <c r="E91" s="6" t="inlineStr">
        <is>
          <t>CRM</t>
        </is>
      </c>
      <c r="F91" s="6" t="inlineStr">
        <is>
          <t>-</t>
        </is>
      </c>
      <c r="G91" s="7">
        <f>Rebalance_Audit!G2147</f>
        <v/>
      </c>
      <c r="H91" s="9">
        <f>Rebalance_Audit!Q2147</f>
        <v/>
      </c>
      <c r="I91" s="7">
        <f>Rebalance_Audit!R2147</f>
        <v/>
      </c>
      <c r="J91" s="8">
        <f>Rebalance_Audit!S2147</f>
        <v/>
      </c>
    </row>
    <row r="92">
      <c r="A92" s="6" t="inlineStr">
        <is>
          <t>DJ30</t>
        </is>
      </c>
      <c r="B92" s="6" t="inlineStr">
        <is>
          <t>2024-05-10</t>
        </is>
      </c>
      <c r="C92" s="6" t="inlineStr">
        <is>
          <t>DIA</t>
        </is>
      </c>
      <c r="D92" s="6" t="inlineStr">
        <is>
          <t>NVDA</t>
        </is>
      </c>
      <c r="E92" s="6" t="inlineStr">
        <is>
          <t>NVDA</t>
        </is>
      </c>
      <c r="F92" s="6" t="inlineStr">
        <is>
          <t>-</t>
        </is>
      </c>
      <c r="G92" s="7">
        <f>Rebalance_Audit!G2194</f>
        <v/>
      </c>
      <c r="H92" s="9">
        <f>Rebalance_Audit!Q2194</f>
        <v/>
      </c>
      <c r="I92" s="7">
        <f>Rebalance_Audit!R2194</f>
        <v/>
      </c>
      <c r="J92" s="8">
        <f>Rebalance_Audit!S2194</f>
        <v/>
      </c>
    </row>
    <row r="93">
      <c r="A93" s="6" t="inlineStr">
        <is>
          <t>DJ30</t>
        </is>
      </c>
      <c r="B93" s="6" t="inlineStr">
        <is>
          <t>2024-05-10</t>
        </is>
      </c>
      <c r="C93" s="6" t="inlineStr">
        <is>
          <t>DIA</t>
        </is>
      </c>
      <c r="D93" s="6" t="inlineStr">
        <is>
          <t>IBM</t>
        </is>
      </c>
      <c r="E93" s="6" t="inlineStr">
        <is>
          <t>IBM</t>
        </is>
      </c>
      <c r="F93" s="6" t="inlineStr">
        <is>
          <t>-</t>
        </is>
      </c>
      <c r="G93" s="7">
        <f>Rebalance_Audit!G2185</f>
        <v/>
      </c>
      <c r="H93" s="9">
        <f>Rebalance_Audit!Q2185</f>
        <v/>
      </c>
      <c r="I93" s="7">
        <f>Rebalance_Audit!R2185</f>
        <v/>
      </c>
      <c r="J93" s="8">
        <f>Rebalance_Audit!S2185</f>
        <v/>
      </c>
    </row>
    <row r="94">
      <c r="A94" s="6" t="inlineStr">
        <is>
          <t>DJ30</t>
        </is>
      </c>
      <c r="B94" s="6" t="inlineStr">
        <is>
          <t>2024-05-10</t>
        </is>
      </c>
      <c r="C94" s="6" t="inlineStr">
        <is>
          <t>DIA</t>
        </is>
      </c>
      <c r="D94" s="6" t="inlineStr">
        <is>
          <t>CAT</t>
        </is>
      </c>
      <c r="E94" s="6" t="inlineStr">
        <is>
          <t>CAT</t>
        </is>
      </c>
      <c r="F94" s="6" t="inlineStr">
        <is>
          <t>-</t>
        </is>
      </c>
      <c r="G94" s="7">
        <f>Rebalance_Audit!G2177</f>
        <v/>
      </c>
      <c r="H94" s="9">
        <f>Rebalance_Audit!Q2177</f>
        <v/>
      </c>
      <c r="I94" s="7">
        <f>Rebalance_Audit!R2177</f>
        <v/>
      </c>
      <c r="J94" s="8">
        <f>Rebalance_Audit!S2177</f>
        <v/>
      </c>
    </row>
    <row r="95">
      <c r="A95" s="6" t="inlineStr">
        <is>
          <t>DJ30</t>
        </is>
      </c>
      <c r="B95" s="6" t="inlineStr">
        <is>
          <t>2024-05-10</t>
        </is>
      </c>
      <c r="C95" s="6" t="inlineStr">
        <is>
          <t>DIA</t>
        </is>
      </c>
      <c r="D95" s="6" t="inlineStr">
        <is>
          <t>JPM</t>
        </is>
      </c>
      <c r="E95" s="6" t="inlineStr">
        <is>
          <t>JPM</t>
        </is>
      </c>
      <c r="F95" s="6" t="inlineStr">
        <is>
          <t>-</t>
        </is>
      </c>
      <c r="G95" s="7">
        <f>Rebalance_Audit!G2187</f>
        <v/>
      </c>
      <c r="H95" s="9">
        <f>Rebalance_Audit!Q2187</f>
        <v/>
      </c>
      <c r="I95" s="7">
        <f>Rebalance_Audit!R2187</f>
        <v/>
      </c>
      <c r="J95" s="8">
        <f>Rebalance_Audit!S2187</f>
        <v/>
      </c>
    </row>
    <row r="96">
      <c r="A96" s="6" t="inlineStr">
        <is>
          <t>DJ30</t>
        </is>
      </c>
      <c r="B96" s="6" t="inlineStr">
        <is>
          <t>2024-05-10</t>
        </is>
      </c>
      <c r="C96" s="6" t="inlineStr">
        <is>
          <t>DIA</t>
        </is>
      </c>
      <c r="D96" s="6" t="inlineStr">
        <is>
          <t>CRM</t>
        </is>
      </c>
      <c r="E96" s="6" t="inlineStr">
        <is>
          <t>CRM</t>
        </is>
      </c>
      <c r="F96" s="6" t="inlineStr">
        <is>
          <t>-</t>
        </is>
      </c>
      <c r="G96" s="7">
        <f>Rebalance_Audit!G2178</f>
        <v/>
      </c>
      <c r="H96" s="9">
        <f>Rebalance_Audit!Q2178</f>
        <v/>
      </c>
      <c r="I96" s="7">
        <f>Rebalance_Audit!R2178</f>
        <v/>
      </c>
      <c r="J96" s="8">
        <f>Rebalance_Audit!S2178</f>
        <v/>
      </c>
    </row>
    <row r="97">
      <c r="A97" s="6" t="inlineStr">
        <is>
          <t>DJ30</t>
        </is>
      </c>
      <c r="B97" s="6" t="inlineStr">
        <is>
          <t>2024-05-17</t>
        </is>
      </c>
      <c r="C97" s="6" t="inlineStr">
        <is>
          <t>DIA</t>
        </is>
      </c>
      <c r="D97" s="6" t="inlineStr">
        <is>
          <t>NVDA</t>
        </is>
      </c>
      <c r="E97" s="6" t="inlineStr">
        <is>
          <t>NVDA</t>
        </is>
      </c>
      <c r="F97" s="6" t="inlineStr">
        <is>
          <t>-</t>
        </is>
      </c>
      <c r="G97" s="7">
        <f>Rebalance_Audit!G2225</f>
        <v/>
      </c>
      <c r="H97" s="9">
        <f>Rebalance_Audit!Q2225</f>
        <v/>
      </c>
      <c r="I97" s="7">
        <f>Rebalance_Audit!R2225</f>
        <v/>
      </c>
      <c r="J97" s="8">
        <f>Rebalance_Audit!S2225</f>
        <v/>
      </c>
    </row>
    <row r="98">
      <c r="A98" s="6" t="inlineStr">
        <is>
          <t>DJ30</t>
        </is>
      </c>
      <c r="B98" s="6" t="inlineStr">
        <is>
          <t>2024-05-17</t>
        </is>
      </c>
      <c r="C98" s="6" t="inlineStr">
        <is>
          <t>DIA</t>
        </is>
      </c>
      <c r="D98" s="6" t="inlineStr">
        <is>
          <t>IBM</t>
        </is>
      </c>
      <c r="E98" s="6" t="inlineStr">
        <is>
          <t>IBM</t>
        </is>
      </c>
      <c r="F98" s="6" t="inlineStr">
        <is>
          <t>-</t>
        </is>
      </c>
      <c r="G98" s="7">
        <f>Rebalance_Audit!G2216</f>
        <v/>
      </c>
      <c r="H98" s="9">
        <f>Rebalance_Audit!Q2216</f>
        <v/>
      </c>
      <c r="I98" s="7">
        <f>Rebalance_Audit!R2216</f>
        <v/>
      </c>
      <c r="J98" s="8">
        <f>Rebalance_Audit!S2216</f>
        <v/>
      </c>
    </row>
    <row r="99">
      <c r="A99" s="6" t="inlineStr">
        <is>
          <t>DJ30</t>
        </is>
      </c>
      <c r="B99" s="6" t="inlineStr">
        <is>
          <t>2024-05-17</t>
        </is>
      </c>
      <c r="C99" s="6" t="inlineStr">
        <is>
          <t>DIA</t>
        </is>
      </c>
      <c r="D99" s="6" t="inlineStr">
        <is>
          <t>CAT</t>
        </is>
      </c>
      <c r="E99" s="6" t="inlineStr">
        <is>
          <t>CAT</t>
        </is>
      </c>
      <c r="F99" s="6" t="inlineStr">
        <is>
          <t>-</t>
        </is>
      </c>
      <c r="G99" s="7">
        <f>Rebalance_Audit!G2208</f>
        <v/>
      </c>
      <c r="H99" s="9">
        <f>Rebalance_Audit!Q2208</f>
        <v/>
      </c>
      <c r="I99" s="7">
        <f>Rebalance_Audit!R2208</f>
        <v/>
      </c>
      <c r="J99" s="8">
        <f>Rebalance_Audit!S2208</f>
        <v/>
      </c>
    </row>
    <row r="100">
      <c r="A100" s="6" t="inlineStr">
        <is>
          <t>DJ30</t>
        </is>
      </c>
      <c r="B100" s="6" t="inlineStr">
        <is>
          <t>2024-05-17</t>
        </is>
      </c>
      <c r="C100" s="6" t="inlineStr">
        <is>
          <t>DIA</t>
        </is>
      </c>
      <c r="D100" s="6" t="inlineStr">
        <is>
          <t>JPM</t>
        </is>
      </c>
      <c r="E100" s="6" t="inlineStr">
        <is>
          <t>JPM</t>
        </is>
      </c>
      <c r="F100" s="6" t="inlineStr">
        <is>
          <t>-</t>
        </is>
      </c>
      <c r="G100" s="7">
        <f>Rebalance_Audit!G2218</f>
        <v/>
      </c>
      <c r="H100" s="9">
        <f>Rebalance_Audit!Q2218</f>
        <v/>
      </c>
      <c r="I100" s="7">
        <f>Rebalance_Audit!R2218</f>
        <v/>
      </c>
      <c r="J100" s="8">
        <f>Rebalance_Audit!S2218</f>
        <v/>
      </c>
    </row>
    <row r="101">
      <c r="A101" s="6" t="inlineStr">
        <is>
          <t>DJ30</t>
        </is>
      </c>
      <c r="B101" s="6" t="inlineStr">
        <is>
          <t>2024-05-17</t>
        </is>
      </c>
      <c r="C101" s="6" t="inlineStr">
        <is>
          <t>DIA</t>
        </is>
      </c>
      <c r="D101" s="6" t="inlineStr">
        <is>
          <t>CRM</t>
        </is>
      </c>
      <c r="E101" s="6" t="inlineStr">
        <is>
          <t>CRM</t>
        </is>
      </c>
      <c r="F101" s="6" t="inlineStr">
        <is>
          <t>-</t>
        </is>
      </c>
      <c r="G101" s="7">
        <f>Rebalance_Audit!G2209</f>
        <v/>
      </c>
      <c r="H101" s="9">
        <f>Rebalance_Audit!Q2209</f>
        <v/>
      </c>
      <c r="I101" s="7">
        <f>Rebalance_Audit!R2209</f>
        <v/>
      </c>
      <c r="J101" s="8">
        <f>Rebalance_Audit!S2209</f>
        <v/>
      </c>
    </row>
    <row r="102">
      <c r="A102" s="6" t="inlineStr">
        <is>
          <t>DJ30</t>
        </is>
      </c>
      <c r="B102" s="6" t="inlineStr">
        <is>
          <t>2024-05-24</t>
        </is>
      </c>
      <c r="C102" s="6" t="inlineStr">
        <is>
          <t>DIA</t>
        </is>
      </c>
      <c r="D102" s="6" t="inlineStr">
        <is>
          <t>NVDA</t>
        </is>
      </c>
      <c r="E102" s="6" t="inlineStr">
        <is>
          <t>NVDA</t>
        </is>
      </c>
      <c r="F102" s="6" t="inlineStr">
        <is>
          <t>-</t>
        </is>
      </c>
      <c r="G102" s="7">
        <f>Rebalance_Audit!G2256</f>
        <v/>
      </c>
      <c r="H102" s="9">
        <f>Rebalance_Audit!Q2256</f>
        <v/>
      </c>
      <c r="I102" s="7">
        <f>Rebalance_Audit!R2256</f>
        <v/>
      </c>
      <c r="J102" s="8">
        <f>Rebalance_Audit!S2256</f>
        <v/>
      </c>
    </row>
    <row r="103">
      <c r="A103" s="6" t="inlineStr">
        <is>
          <t>DJ30</t>
        </is>
      </c>
      <c r="B103" s="6" t="inlineStr">
        <is>
          <t>2024-05-24</t>
        </is>
      </c>
      <c r="C103" s="6" t="inlineStr">
        <is>
          <t>DIA</t>
        </is>
      </c>
      <c r="D103" s="6" t="inlineStr">
        <is>
          <t>AMZN</t>
        </is>
      </c>
      <c r="E103" s="6" t="inlineStr">
        <is>
          <t>AMZN</t>
        </is>
      </c>
      <c r="F103" s="6" t="inlineStr">
        <is>
          <t>-</t>
        </is>
      </c>
      <c r="G103" s="7">
        <f>Rebalance_Audit!G2236</f>
        <v/>
      </c>
      <c r="H103" s="9">
        <f>Rebalance_Audit!Q2236</f>
        <v/>
      </c>
      <c r="I103" s="7">
        <f>Rebalance_Audit!R2236</f>
        <v/>
      </c>
      <c r="J103" s="8">
        <f>Rebalance_Audit!S2236</f>
        <v/>
      </c>
    </row>
    <row r="104">
      <c r="A104" s="6" t="inlineStr">
        <is>
          <t>DJ30</t>
        </is>
      </c>
      <c r="B104" s="6" t="inlineStr">
        <is>
          <t>2024-05-24</t>
        </is>
      </c>
      <c r="C104" s="6" t="inlineStr">
        <is>
          <t>DIA</t>
        </is>
      </c>
      <c r="D104" s="6" t="inlineStr">
        <is>
          <t>JPM</t>
        </is>
      </c>
      <c r="E104" s="6" t="inlineStr">
        <is>
          <t>JPM</t>
        </is>
      </c>
      <c r="F104" s="6" t="inlineStr">
        <is>
          <t>-</t>
        </is>
      </c>
      <c r="G104" s="7">
        <f>Rebalance_Audit!G2249</f>
        <v/>
      </c>
      <c r="H104" s="9">
        <f>Rebalance_Audit!Q2249</f>
        <v/>
      </c>
      <c r="I104" s="7">
        <f>Rebalance_Audit!R2249</f>
        <v/>
      </c>
      <c r="J104" s="8">
        <f>Rebalance_Audit!S2249</f>
        <v/>
      </c>
    </row>
    <row r="105">
      <c r="A105" s="6" t="inlineStr">
        <is>
          <t>DJ30</t>
        </is>
      </c>
      <c r="B105" s="6" t="inlineStr">
        <is>
          <t>2024-05-24</t>
        </is>
      </c>
      <c r="C105" s="6" t="inlineStr">
        <is>
          <t>DIA</t>
        </is>
      </c>
      <c r="D105" s="6" t="inlineStr">
        <is>
          <t>CAT</t>
        </is>
      </c>
      <c r="E105" s="6" t="inlineStr">
        <is>
          <t>CAT</t>
        </is>
      </c>
      <c r="F105" s="6" t="inlineStr">
        <is>
          <t>-</t>
        </is>
      </c>
      <c r="G105" s="7">
        <f>Rebalance_Audit!G2239</f>
        <v/>
      </c>
      <c r="H105" s="9">
        <f>Rebalance_Audit!Q2239</f>
        <v/>
      </c>
      <c r="I105" s="7">
        <f>Rebalance_Audit!R2239</f>
        <v/>
      </c>
      <c r="J105" s="8">
        <f>Rebalance_Audit!S2239</f>
        <v/>
      </c>
    </row>
    <row r="106">
      <c r="A106" s="6" t="inlineStr">
        <is>
          <t>DJ30</t>
        </is>
      </c>
      <c r="B106" s="6" t="inlineStr">
        <is>
          <t>2024-05-24</t>
        </is>
      </c>
      <c r="C106" s="6" t="inlineStr">
        <is>
          <t>DIA</t>
        </is>
      </c>
      <c r="D106" s="6" t="inlineStr">
        <is>
          <t>IBM</t>
        </is>
      </c>
      <c r="E106" s="6" t="inlineStr">
        <is>
          <t>IBM</t>
        </is>
      </c>
      <c r="F106" s="6" t="inlineStr">
        <is>
          <t>-</t>
        </is>
      </c>
      <c r="G106" s="7">
        <f>Rebalance_Audit!G2247</f>
        <v/>
      </c>
      <c r="H106" s="9">
        <f>Rebalance_Audit!Q2247</f>
        <v/>
      </c>
      <c r="I106" s="7">
        <f>Rebalance_Audit!R2247</f>
        <v/>
      </c>
      <c r="J106" s="8">
        <f>Rebalance_Audit!S2247</f>
        <v/>
      </c>
    </row>
    <row r="107">
      <c r="A107" s="6" t="inlineStr">
        <is>
          <t>DJ30</t>
        </is>
      </c>
      <c r="B107" s="6" t="inlineStr">
        <is>
          <t>2024-05-31</t>
        </is>
      </c>
      <c r="C107" s="6" t="inlineStr">
        <is>
          <t>DIA</t>
        </is>
      </c>
      <c r="D107" s="6" t="inlineStr">
        <is>
          <t>NVDA</t>
        </is>
      </c>
      <c r="E107" s="6" t="inlineStr">
        <is>
          <t>NVDA</t>
        </is>
      </c>
      <c r="F107" s="6" t="inlineStr">
        <is>
          <t>-</t>
        </is>
      </c>
      <c r="G107" s="7">
        <f>Rebalance_Audit!G2287</f>
        <v/>
      </c>
      <c r="H107" s="9">
        <f>Rebalance_Audit!Q2287</f>
        <v/>
      </c>
      <c r="I107" s="7">
        <f>Rebalance_Audit!R2287</f>
        <v/>
      </c>
      <c r="J107" s="8">
        <f>Rebalance_Audit!S2287</f>
        <v/>
      </c>
    </row>
    <row r="108">
      <c r="A108" s="6" t="inlineStr">
        <is>
          <t>DJ30</t>
        </is>
      </c>
      <c r="B108" s="6" t="inlineStr">
        <is>
          <t>2024-05-31</t>
        </is>
      </c>
      <c r="C108" s="6" t="inlineStr">
        <is>
          <t>DIA</t>
        </is>
      </c>
      <c r="D108" s="6" t="inlineStr">
        <is>
          <t>AMZN</t>
        </is>
      </c>
      <c r="E108" s="6" t="inlineStr">
        <is>
          <t>AMZN</t>
        </is>
      </c>
      <c r="F108" s="6" t="inlineStr">
        <is>
          <t>-</t>
        </is>
      </c>
      <c r="G108" s="7">
        <f>Rebalance_Audit!G2267</f>
        <v/>
      </c>
      <c r="H108" s="9">
        <f>Rebalance_Audit!Q2267</f>
        <v/>
      </c>
      <c r="I108" s="7">
        <f>Rebalance_Audit!R2267</f>
        <v/>
      </c>
      <c r="J108" s="8">
        <f>Rebalance_Audit!S2267</f>
        <v/>
      </c>
    </row>
    <row r="109">
      <c r="A109" s="6" t="inlineStr">
        <is>
          <t>DJ30</t>
        </is>
      </c>
      <c r="B109" s="6" t="inlineStr">
        <is>
          <t>2024-05-31</t>
        </is>
      </c>
      <c r="C109" s="6" t="inlineStr">
        <is>
          <t>DIA</t>
        </is>
      </c>
      <c r="D109" s="6" t="inlineStr">
        <is>
          <t>JPM</t>
        </is>
      </c>
      <c r="E109" s="6" t="inlineStr">
        <is>
          <t>JPM</t>
        </is>
      </c>
      <c r="F109" s="6" t="inlineStr">
        <is>
          <t>-</t>
        </is>
      </c>
      <c r="G109" s="7">
        <f>Rebalance_Audit!G2280</f>
        <v/>
      </c>
      <c r="H109" s="9">
        <f>Rebalance_Audit!Q2280</f>
        <v/>
      </c>
      <c r="I109" s="7">
        <f>Rebalance_Audit!R2280</f>
        <v/>
      </c>
      <c r="J109" s="8">
        <f>Rebalance_Audit!S2280</f>
        <v/>
      </c>
    </row>
    <row r="110">
      <c r="A110" s="6" t="inlineStr">
        <is>
          <t>DJ30</t>
        </is>
      </c>
      <c r="B110" s="6" t="inlineStr">
        <is>
          <t>2024-05-31</t>
        </is>
      </c>
      <c r="C110" s="6" t="inlineStr">
        <is>
          <t>DIA</t>
        </is>
      </c>
      <c r="D110" s="6" t="inlineStr">
        <is>
          <t>CAT</t>
        </is>
      </c>
      <c r="E110" s="6" t="inlineStr">
        <is>
          <t>CAT</t>
        </is>
      </c>
      <c r="F110" s="6" t="inlineStr">
        <is>
          <t>-</t>
        </is>
      </c>
      <c r="G110" s="7">
        <f>Rebalance_Audit!G2270</f>
        <v/>
      </c>
      <c r="H110" s="9">
        <f>Rebalance_Audit!Q2270</f>
        <v/>
      </c>
      <c r="I110" s="7">
        <f>Rebalance_Audit!R2270</f>
        <v/>
      </c>
      <c r="J110" s="8">
        <f>Rebalance_Audit!S2270</f>
        <v/>
      </c>
    </row>
    <row r="111">
      <c r="A111" s="6" t="inlineStr">
        <is>
          <t>DJ30</t>
        </is>
      </c>
      <c r="B111" s="6" t="inlineStr">
        <is>
          <t>2024-05-31</t>
        </is>
      </c>
      <c r="C111" s="6" t="inlineStr">
        <is>
          <t>DIA</t>
        </is>
      </c>
      <c r="D111" s="6" t="inlineStr">
        <is>
          <t>IBM</t>
        </is>
      </c>
      <c r="E111" s="6" t="inlineStr">
        <is>
          <t>IBM</t>
        </is>
      </c>
      <c r="F111" s="6" t="inlineStr">
        <is>
          <t>-</t>
        </is>
      </c>
      <c r="G111" s="7">
        <f>Rebalance_Audit!G2278</f>
        <v/>
      </c>
      <c r="H111" s="9">
        <f>Rebalance_Audit!Q2278</f>
        <v/>
      </c>
      <c r="I111" s="7">
        <f>Rebalance_Audit!R2278</f>
        <v/>
      </c>
      <c r="J111" s="8">
        <f>Rebalance_Audit!S2278</f>
        <v/>
      </c>
    </row>
    <row r="112">
      <c r="A112" s="6" t="inlineStr">
        <is>
          <t>DJ30</t>
        </is>
      </c>
      <c r="B112" s="6" t="inlineStr">
        <is>
          <t>2024-06-07</t>
        </is>
      </c>
      <c r="C112" s="6" t="inlineStr">
        <is>
          <t>DIA</t>
        </is>
      </c>
      <c r="D112" s="6" t="inlineStr">
        <is>
          <t>NVDA</t>
        </is>
      </c>
      <c r="E112" s="6" t="inlineStr">
        <is>
          <t>NVDA</t>
        </is>
      </c>
      <c r="F112" s="6" t="inlineStr">
        <is>
          <t>-</t>
        </is>
      </c>
      <c r="G112" s="7">
        <f>Rebalance_Audit!G2318</f>
        <v/>
      </c>
      <c r="H112" s="9">
        <f>Rebalance_Audit!Q2318</f>
        <v/>
      </c>
      <c r="I112" s="7">
        <f>Rebalance_Audit!R2318</f>
        <v/>
      </c>
      <c r="J112" s="8">
        <f>Rebalance_Audit!S2318</f>
        <v/>
      </c>
    </row>
    <row r="113">
      <c r="A113" s="6" t="inlineStr">
        <is>
          <t>DJ30</t>
        </is>
      </c>
      <c r="B113" s="6" t="inlineStr">
        <is>
          <t>2024-06-07</t>
        </is>
      </c>
      <c r="C113" s="6" t="inlineStr">
        <is>
          <t>DIA</t>
        </is>
      </c>
      <c r="D113" s="6" t="inlineStr">
        <is>
          <t>AXP</t>
        </is>
      </c>
      <c r="E113" s="6" t="inlineStr">
        <is>
          <t>AXP</t>
        </is>
      </c>
      <c r="F113" s="6" t="inlineStr">
        <is>
          <t>-</t>
        </is>
      </c>
      <c r="G113" s="7">
        <f>Rebalance_Audit!G2299</f>
        <v/>
      </c>
      <c r="H113" s="9">
        <f>Rebalance_Audit!Q2299</f>
        <v/>
      </c>
      <c r="I113" s="7">
        <f>Rebalance_Audit!R2299</f>
        <v/>
      </c>
      <c r="J113" s="8">
        <f>Rebalance_Audit!S2299</f>
        <v/>
      </c>
    </row>
    <row r="114">
      <c r="A114" s="6" t="inlineStr">
        <is>
          <t>DJ30</t>
        </is>
      </c>
      <c r="B114" s="6" t="inlineStr">
        <is>
          <t>2024-06-07</t>
        </is>
      </c>
      <c r="C114" s="6" t="inlineStr">
        <is>
          <t>DIA</t>
        </is>
      </c>
      <c r="D114" s="6" t="inlineStr">
        <is>
          <t>CAT</t>
        </is>
      </c>
      <c r="E114" s="6" t="inlineStr">
        <is>
          <t>CAT</t>
        </is>
      </c>
      <c r="F114" s="6" t="inlineStr">
        <is>
          <t>-</t>
        </is>
      </c>
      <c r="G114" s="7">
        <f>Rebalance_Audit!G2301</f>
        <v/>
      </c>
      <c r="H114" s="9">
        <f>Rebalance_Audit!Q2301</f>
        <v/>
      </c>
      <c r="I114" s="7">
        <f>Rebalance_Audit!R2301</f>
        <v/>
      </c>
      <c r="J114" s="8">
        <f>Rebalance_Audit!S2301</f>
        <v/>
      </c>
    </row>
    <row r="115">
      <c r="A115" s="6" t="inlineStr">
        <is>
          <t>DJ30</t>
        </is>
      </c>
      <c r="B115" s="6" t="inlineStr">
        <is>
          <t>2024-06-07</t>
        </is>
      </c>
      <c r="C115" s="6" t="inlineStr">
        <is>
          <t>DIA</t>
        </is>
      </c>
      <c r="D115" s="6" t="inlineStr">
        <is>
          <t>GS</t>
        </is>
      </c>
      <c r="E115" s="6" t="inlineStr">
        <is>
          <t>GS</t>
        </is>
      </c>
      <c r="F115" s="6" t="inlineStr">
        <is>
          <t>-</t>
        </is>
      </c>
      <c r="G115" s="7">
        <f>Rebalance_Audit!G2306</f>
        <v/>
      </c>
      <c r="H115" s="9">
        <f>Rebalance_Audit!Q2306</f>
        <v/>
      </c>
      <c r="I115" s="7">
        <f>Rebalance_Audit!R2306</f>
        <v/>
      </c>
      <c r="J115" s="8">
        <f>Rebalance_Audit!S2306</f>
        <v/>
      </c>
    </row>
    <row r="116">
      <c r="A116" s="6" t="inlineStr">
        <is>
          <t>DJ30</t>
        </is>
      </c>
      <c r="B116" s="6" t="inlineStr">
        <is>
          <t>2024-06-07</t>
        </is>
      </c>
      <c r="C116" s="6" t="inlineStr">
        <is>
          <t>DIA</t>
        </is>
      </c>
      <c r="D116" s="6" t="inlineStr">
        <is>
          <t>TRV</t>
        </is>
      </c>
      <c r="E116" s="6" t="inlineStr">
        <is>
          <t>TRV</t>
        </is>
      </c>
      <c r="F116" s="6" t="inlineStr">
        <is>
          <t>-</t>
        </is>
      </c>
      <c r="G116" s="7">
        <f>Rebalance_Audit!G2321</f>
        <v/>
      </c>
      <c r="H116" s="9">
        <f>Rebalance_Audit!Q2321</f>
        <v/>
      </c>
      <c r="I116" s="7">
        <f>Rebalance_Audit!R2321</f>
        <v/>
      </c>
      <c r="J116" s="8">
        <f>Rebalance_Audit!S2321</f>
        <v/>
      </c>
    </row>
    <row r="117">
      <c r="A117" s="6" t="inlineStr">
        <is>
          <t>DJ30</t>
        </is>
      </c>
      <c r="B117" s="6" t="inlineStr">
        <is>
          <t>2024-06-14</t>
        </is>
      </c>
      <c r="C117" s="6" t="inlineStr">
        <is>
          <t>DIA</t>
        </is>
      </c>
      <c r="D117" s="6" t="inlineStr">
        <is>
          <t>NVDA</t>
        </is>
      </c>
      <c r="E117" s="6" t="inlineStr">
        <is>
          <t>NVDA</t>
        </is>
      </c>
      <c r="F117" s="6" t="inlineStr">
        <is>
          <t>-</t>
        </is>
      </c>
      <c r="G117" s="7">
        <f>Rebalance_Audit!G2349</f>
        <v/>
      </c>
      <c r="H117" s="9">
        <f>Rebalance_Audit!Q2349</f>
        <v/>
      </c>
      <c r="I117" s="7">
        <f>Rebalance_Audit!R2349</f>
        <v/>
      </c>
      <c r="J117" s="8">
        <f>Rebalance_Audit!S2349</f>
        <v/>
      </c>
    </row>
    <row r="118">
      <c r="A118" s="6" t="inlineStr">
        <is>
          <t>DJ30</t>
        </is>
      </c>
      <c r="B118" s="6" t="inlineStr">
        <is>
          <t>2024-06-14</t>
        </is>
      </c>
      <c r="C118" s="6" t="inlineStr">
        <is>
          <t>DIA</t>
        </is>
      </c>
      <c r="D118" s="6" t="inlineStr">
        <is>
          <t>AXP</t>
        </is>
      </c>
      <c r="E118" s="6" t="inlineStr">
        <is>
          <t>AXP</t>
        </is>
      </c>
      <c r="F118" s="6" t="inlineStr">
        <is>
          <t>-</t>
        </is>
      </c>
      <c r="G118" s="7">
        <f>Rebalance_Audit!G2330</f>
        <v/>
      </c>
      <c r="H118" s="9">
        <f>Rebalance_Audit!Q2330</f>
        <v/>
      </c>
      <c r="I118" s="7">
        <f>Rebalance_Audit!R2330</f>
        <v/>
      </c>
      <c r="J118" s="8">
        <f>Rebalance_Audit!S2330</f>
        <v/>
      </c>
    </row>
    <row r="119">
      <c r="A119" s="6" t="inlineStr">
        <is>
          <t>DJ30</t>
        </is>
      </c>
      <c r="B119" s="6" t="inlineStr">
        <is>
          <t>2024-06-14</t>
        </is>
      </c>
      <c r="C119" s="6" t="inlineStr">
        <is>
          <t>DIA</t>
        </is>
      </c>
      <c r="D119" s="6" t="inlineStr">
        <is>
          <t>GS</t>
        </is>
      </c>
      <c r="E119" s="6" t="inlineStr">
        <is>
          <t>GS</t>
        </is>
      </c>
      <c r="F119" s="6" t="inlineStr">
        <is>
          <t>-</t>
        </is>
      </c>
      <c r="G119" s="7">
        <f>Rebalance_Audit!G2337</f>
        <v/>
      </c>
      <c r="H119" s="9">
        <f>Rebalance_Audit!Q2337</f>
        <v/>
      </c>
      <c r="I119" s="7">
        <f>Rebalance_Audit!R2337</f>
        <v/>
      </c>
      <c r="J119" s="8">
        <f>Rebalance_Audit!S2337</f>
        <v/>
      </c>
    </row>
    <row r="120">
      <c r="A120" s="6" t="inlineStr">
        <is>
          <t>DJ30</t>
        </is>
      </c>
      <c r="B120" s="6" t="inlineStr">
        <is>
          <t>2024-06-14</t>
        </is>
      </c>
      <c r="C120" s="6" t="inlineStr">
        <is>
          <t>DIA</t>
        </is>
      </c>
      <c r="D120" s="6" t="inlineStr">
        <is>
          <t>TRV</t>
        </is>
      </c>
      <c r="E120" s="6" t="inlineStr">
        <is>
          <t>TRV</t>
        </is>
      </c>
      <c r="F120" s="6" t="inlineStr">
        <is>
          <t>-</t>
        </is>
      </c>
      <c r="G120" s="7">
        <f>Rebalance_Audit!G2352</f>
        <v/>
      </c>
      <c r="H120" s="9">
        <f>Rebalance_Audit!Q2352</f>
        <v/>
      </c>
      <c r="I120" s="7">
        <f>Rebalance_Audit!R2352</f>
        <v/>
      </c>
      <c r="J120" s="8">
        <f>Rebalance_Audit!S2352</f>
        <v/>
      </c>
    </row>
    <row r="121">
      <c r="A121" s="6" t="inlineStr">
        <is>
          <t>DJ30</t>
        </is>
      </c>
      <c r="B121" s="6" t="inlineStr">
        <is>
          <t>2024-06-14</t>
        </is>
      </c>
      <c r="C121" s="6" t="inlineStr">
        <is>
          <t>DIA</t>
        </is>
      </c>
      <c r="D121" s="6" t="inlineStr">
        <is>
          <t>CAT</t>
        </is>
      </c>
      <c r="E121" s="6" t="inlineStr">
        <is>
          <t>CAT</t>
        </is>
      </c>
      <c r="F121" s="6" t="inlineStr">
        <is>
          <t>-</t>
        </is>
      </c>
      <c r="G121" s="7">
        <f>Rebalance_Audit!G2332</f>
        <v/>
      </c>
      <c r="H121" s="9">
        <f>Rebalance_Audit!Q2332</f>
        <v/>
      </c>
      <c r="I121" s="7">
        <f>Rebalance_Audit!R2332</f>
        <v/>
      </c>
      <c r="J121" s="8">
        <f>Rebalance_Audit!S2332</f>
        <v/>
      </c>
    </row>
    <row r="122">
      <c r="A122" s="6" t="inlineStr">
        <is>
          <t>DJ30</t>
        </is>
      </c>
      <c r="B122" s="6" t="inlineStr">
        <is>
          <t>2024-06-21</t>
        </is>
      </c>
      <c r="C122" s="6" t="inlineStr">
        <is>
          <t>DIA</t>
        </is>
      </c>
      <c r="D122" s="6" t="inlineStr">
        <is>
          <t>NVDA</t>
        </is>
      </c>
      <c r="E122" s="6" t="inlineStr">
        <is>
          <t>NVDA</t>
        </is>
      </c>
      <c r="F122" s="6" t="inlineStr">
        <is>
          <t>-</t>
        </is>
      </c>
      <c r="G122" s="7">
        <f>Rebalance_Audit!G2380</f>
        <v/>
      </c>
      <c r="H122" s="9">
        <f>Rebalance_Audit!Q2380</f>
        <v/>
      </c>
      <c r="I122" s="7">
        <f>Rebalance_Audit!R2380</f>
        <v/>
      </c>
      <c r="J122" s="8">
        <f>Rebalance_Audit!S2380</f>
        <v/>
      </c>
    </row>
    <row r="123">
      <c r="A123" s="6" t="inlineStr">
        <is>
          <t>DJ30</t>
        </is>
      </c>
      <c r="B123" s="6" t="inlineStr">
        <is>
          <t>2024-06-21</t>
        </is>
      </c>
      <c r="C123" s="6" t="inlineStr">
        <is>
          <t>DIA</t>
        </is>
      </c>
      <c r="D123" s="6" t="inlineStr">
        <is>
          <t>AXP</t>
        </is>
      </c>
      <c r="E123" s="6" t="inlineStr">
        <is>
          <t>AXP</t>
        </is>
      </c>
      <c r="F123" s="6" t="inlineStr">
        <is>
          <t>-</t>
        </is>
      </c>
      <c r="G123" s="7">
        <f>Rebalance_Audit!G2361</f>
        <v/>
      </c>
      <c r="H123" s="9">
        <f>Rebalance_Audit!Q2361</f>
        <v/>
      </c>
      <c r="I123" s="7">
        <f>Rebalance_Audit!R2361</f>
        <v/>
      </c>
      <c r="J123" s="8">
        <f>Rebalance_Audit!S2361</f>
        <v/>
      </c>
    </row>
    <row r="124">
      <c r="A124" s="6" t="inlineStr">
        <is>
          <t>DJ30</t>
        </is>
      </c>
      <c r="B124" s="6" t="inlineStr">
        <is>
          <t>2024-06-21</t>
        </is>
      </c>
      <c r="C124" s="6" t="inlineStr">
        <is>
          <t>DIA</t>
        </is>
      </c>
      <c r="D124" s="6" t="inlineStr">
        <is>
          <t>AMZN</t>
        </is>
      </c>
      <c r="E124" s="6" t="inlineStr">
        <is>
          <t>AMZN</t>
        </is>
      </c>
      <c r="F124" s="6" t="inlineStr">
        <is>
          <t>-</t>
        </is>
      </c>
      <c r="G124" s="7">
        <f>Rebalance_Audit!G2360</f>
        <v/>
      </c>
      <c r="H124" s="9">
        <f>Rebalance_Audit!Q2360</f>
        <v/>
      </c>
      <c r="I124" s="7">
        <f>Rebalance_Audit!R2360</f>
        <v/>
      </c>
      <c r="J124" s="8">
        <f>Rebalance_Audit!S2360</f>
        <v/>
      </c>
    </row>
    <row r="125">
      <c r="A125" s="6" t="inlineStr">
        <is>
          <t>DJ30</t>
        </is>
      </c>
      <c r="B125" s="6" t="inlineStr">
        <is>
          <t>2024-06-21</t>
        </is>
      </c>
      <c r="C125" s="6" t="inlineStr">
        <is>
          <t>DIA</t>
        </is>
      </c>
      <c r="D125" s="6" t="inlineStr">
        <is>
          <t>GS</t>
        </is>
      </c>
      <c r="E125" s="6" t="inlineStr">
        <is>
          <t>GS</t>
        </is>
      </c>
      <c r="F125" s="6" t="inlineStr">
        <is>
          <t>-</t>
        </is>
      </c>
      <c r="G125" s="7">
        <f>Rebalance_Audit!G2368</f>
        <v/>
      </c>
      <c r="H125" s="9">
        <f>Rebalance_Audit!Q2368</f>
        <v/>
      </c>
      <c r="I125" s="7">
        <f>Rebalance_Audit!R2368</f>
        <v/>
      </c>
      <c r="J125" s="8">
        <f>Rebalance_Audit!S2368</f>
        <v/>
      </c>
    </row>
    <row r="126">
      <c r="A126" s="6" t="inlineStr">
        <is>
          <t>DJ30</t>
        </is>
      </c>
      <c r="B126" s="6" t="inlineStr">
        <is>
          <t>2024-06-21</t>
        </is>
      </c>
      <c r="C126" s="6" t="inlineStr">
        <is>
          <t>DIA</t>
        </is>
      </c>
      <c r="D126" s="6" t="inlineStr">
        <is>
          <t>TRV</t>
        </is>
      </c>
      <c r="E126" s="6" t="inlineStr">
        <is>
          <t>TRV</t>
        </is>
      </c>
      <c r="F126" s="6" t="inlineStr">
        <is>
          <t>-</t>
        </is>
      </c>
      <c r="G126" s="7">
        <f>Rebalance_Audit!G2383</f>
        <v/>
      </c>
      <c r="H126" s="9">
        <f>Rebalance_Audit!Q2383</f>
        <v/>
      </c>
      <c r="I126" s="7">
        <f>Rebalance_Audit!R2383</f>
        <v/>
      </c>
      <c r="J126" s="8">
        <f>Rebalance_Audit!S2383</f>
        <v/>
      </c>
    </row>
    <row r="127">
      <c r="A127" s="6" t="inlineStr">
        <is>
          <t>DJ30</t>
        </is>
      </c>
      <c r="B127" s="6" t="inlineStr">
        <is>
          <t>2024-06-28</t>
        </is>
      </c>
      <c r="C127" s="6" t="inlineStr">
        <is>
          <t>DIA</t>
        </is>
      </c>
      <c r="D127" s="6" t="inlineStr">
        <is>
          <t>NVDA</t>
        </is>
      </c>
      <c r="E127" s="6" t="inlineStr">
        <is>
          <t>NVDA</t>
        </is>
      </c>
      <c r="F127" s="6" t="inlineStr">
        <is>
          <t>-</t>
        </is>
      </c>
      <c r="G127" s="7">
        <f>Rebalance_Audit!G2411</f>
        <v/>
      </c>
      <c r="H127" s="9">
        <f>Rebalance_Audit!Q2411</f>
        <v/>
      </c>
      <c r="I127" s="7">
        <f>Rebalance_Audit!R2411</f>
        <v/>
      </c>
      <c r="J127" s="8">
        <f>Rebalance_Audit!S2411</f>
        <v/>
      </c>
    </row>
    <row r="128">
      <c r="A128" s="6" t="inlineStr">
        <is>
          <t>DJ30</t>
        </is>
      </c>
      <c r="B128" s="6" t="inlineStr">
        <is>
          <t>2024-06-28</t>
        </is>
      </c>
      <c r="C128" s="6" t="inlineStr">
        <is>
          <t>DIA</t>
        </is>
      </c>
      <c r="D128" s="6" t="inlineStr">
        <is>
          <t>AXP</t>
        </is>
      </c>
      <c r="E128" s="6" t="inlineStr">
        <is>
          <t>AXP</t>
        </is>
      </c>
      <c r="F128" s="6" t="inlineStr">
        <is>
          <t>-</t>
        </is>
      </c>
      <c r="G128" s="7">
        <f>Rebalance_Audit!G2392</f>
        <v/>
      </c>
      <c r="H128" s="9">
        <f>Rebalance_Audit!Q2392</f>
        <v/>
      </c>
      <c r="I128" s="7">
        <f>Rebalance_Audit!R2392</f>
        <v/>
      </c>
      <c r="J128" s="8">
        <f>Rebalance_Audit!S2392</f>
        <v/>
      </c>
    </row>
    <row r="129">
      <c r="A129" s="6" t="inlineStr">
        <is>
          <t>DJ30</t>
        </is>
      </c>
      <c r="B129" s="6" t="inlineStr">
        <is>
          <t>2024-06-28</t>
        </is>
      </c>
      <c r="C129" s="6" t="inlineStr">
        <is>
          <t>DIA</t>
        </is>
      </c>
      <c r="D129" s="6" t="inlineStr">
        <is>
          <t>AMZN</t>
        </is>
      </c>
      <c r="E129" s="6" t="inlineStr">
        <is>
          <t>AMZN</t>
        </is>
      </c>
      <c r="F129" s="6" t="inlineStr">
        <is>
          <t>-</t>
        </is>
      </c>
      <c r="G129" s="7">
        <f>Rebalance_Audit!G2391</f>
        <v/>
      </c>
      <c r="H129" s="9">
        <f>Rebalance_Audit!Q2391</f>
        <v/>
      </c>
      <c r="I129" s="7">
        <f>Rebalance_Audit!R2391</f>
        <v/>
      </c>
      <c r="J129" s="8">
        <f>Rebalance_Audit!S2391</f>
        <v/>
      </c>
    </row>
    <row r="130">
      <c r="A130" s="6" t="inlineStr">
        <is>
          <t>DJ30</t>
        </is>
      </c>
      <c r="B130" s="6" t="inlineStr">
        <is>
          <t>2024-06-28</t>
        </is>
      </c>
      <c r="C130" s="6" t="inlineStr">
        <is>
          <t>DIA</t>
        </is>
      </c>
      <c r="D130" s="6" t="inlineStr">
        <is>
          <t>GS</t>
        </is>
      </c>
      <c r="E130" s="6" t="inlineStr">
        <is>
          <t>GS</t>
        </is>
      </c>
      <c r="F130" s="6" t="inlineStr">
        <is>
          <t>-</t>
        </is>
      </c>
      <c r="G130" s="7">
        <f>Rebalance_Audit!G2399</f>
        <v/>
      </c>
      <c r="H130" s="9">
        <f>Rebalance_Audit!Q2399</f>
        <v/>
      </c>
      <c r="I130" s="7">
        <f>Rebalance_Audit!R2399</f>
        <v/>
      </c>
      <c r="J130" s="8">
        <f>Rebalance_Audit!S2399</f>
        <v/>
      </c>
    </row>
    <row r="131">
      <c r="A131" s="6" t="inlineStr">
        <is>
          <t>DJ30</t>
        </is>
      </c>
      <c r="B131" s="6" t="inlineStr">
        <is>
          <t>2024-06-28</t>
        </is>
      </c>
      <c r="C131" s="6" t="inlineStr">
        <is>
          <t>DIA</t>
        </is>
      </c>
      <c r="D131" s="6" t="inlineStr">
        <is>
          <t>TRV</t>
        </is>
      </c>
      <c r="E131" s="6" t="inlineStr">
        <is>
          <t>TRV</t>
        </is>
      </c>
      <c r="F131" s="6" t="inlineStr">
        <is>
          <t>-</t>
        </is>
      </c>
      <c r="G131" s="7">
        <f>Rebalance_Audit!G2414</f>
        <v/>
      </c>
      <c r="H131" s="9">
        <f>Rebalance_Audit!Q2414</f>
        <v/>
      </c>
      <c r="I131" s="7">
        <f>Rebalance_Audit!R2414</f>
        <v/>
      </c>
      <c r="J131" s="8">
        <f>Rebalance_Audit!S2414</f>
        <v/>
      </c>
    </row>
    <row r="132">
      <c r="A132" s="6" t="inlineStr">
        <is>
          <t>DJ30</t>
        </is>
      </c>
      <c r="B132" s="6" t="inlineStr">
        <is>
          <t>2024-07-05</t>
        </is>
      </c>
      <c r="C132" s="6" t="inlineStr">
        <is>
          <t>DIA</t>
        </is>
      </c>
      <c r="D132" s="6" t="inlineStr">
        <is>
          <t>NVDA</t>
        </is>
      </c>
      <c r="E132" s="6" t="inlineStr">
        <is>
          <t>NVDA</t>
        </is>
      </c>
      <c r="F132" s="6" t="inlineStr">
        <is>
          <t>-</t>
        </is>
      </c>
      <c r="G132" s="7">
        <f>Rebalance_Audit!G2442</f>
        <v/>
      </c>
      <c r="H132" s="9">
        <f>Rebalance_Audit!Q2442</f>
        <v/>
      </c>
      <c r="I132" s="7">
        <f>Rebalance_Audit!R2442</f>
        <v/>
      </c>
      <c r="J132" s="8">
        <f>Rebalance_Audit!S2442</f>
        <v/>
      </c>
    </row>
    <row r="133">
      <c r="A133" s="6" t="inlineStr">
        <is>
          <t>DJ30</t>
        </is>
      </c>
      <c r="B133" s="6" t="inlineStr">
        <is>
          <t>2024-07-05</t>
        </is>
      </c>
      <c r="C133" s="6" t="inlineStr">
        <is>
          <t>DIA</t>
        </is>
      </c>
      <c r="D133" s="6" t="inlineStr">
        <is>
          <t>AXP</t>
        </is>
      </c>
      <c r="E133" s="6" t="inlineStr">
        <is>
          <t>AXP</t>
        </is>
      </c>
      <c r="F133" s="6" t="inlineStr">
        <is>
          <t>-</t>
        </is>
      </c>
      <c r="G133" s="7">
        <f>Rebalance_Audit!G2423</f>
        <v/>
      </c>
      <c r="H133" s="9">
        <f>Rebalance_Audit!Q2423</f>
        <v/>
      </c>
      <c r="I133" s="7">
        <f>Rebalance_Audit!R2423</f>
        <v/>
      </c>
      <c r="J133" s="8">
        <f>Rebalance_Audit!S2423</f>
        <v/>
      </c>
    </row>
    <row r="134">
      <c r="A134" s="6" t="inlineStr">
        <is>
          <t>DJ30</t>
        </is>
      </c>
      <c r="B134" s="6" t="inlineStr">
        <is>
          <t>2024-07-05</t>
        </is>
      </c>
      <c r="C134" s="6" t="inlineStr">
        <is>
          <t>DIA</t>
        </is>
      </c>
      <c r="D134" s="6" t="inlineStr">
        <is>
          <t>AMZN</t>
        </is>
      </c>
      <c r="E134" s="6" t="inlineStr">
        <is>
          <t>AMZN</t>
        </is>
      </c>
      <c r="F134" s="6" t="inlineStr">
        <is>
          <t>-</t>
        </is>
      </c>
      <c r="G134" s="7">
        <f>Rebalance_Audit!G2422</f>
        <v/>
      </c>
      <c r="H134" s="9">
        <f>Rebalance_Audit!Q2422</f>
        <v/>
      </c>
      <c r="I134" s="7">
        <f>Rebalance_Audit!R2422</f>
        <v/>
      </c>
      <c r="J134" s="8">
        <f>Rebalance_Audit!S2422</f>
        <v/>
      </c>
    </row>
    <row r="135">
      <c r="A135" s="6" t="inlineStr">
        <is>
          <t>DJ30</t>
        </is>
      </c>
      <c r="B135" s="6" t="inlineStr">
        <is>
          <t>2024-07-05</t>
        </is>
      </c>
      <c r="C135" s="6" t="inlineStr">
        <is>
          <t>DIA</t>
        </is>
      </c>
      <c r="D135" s="6" t="inlineStr">
        <is>
          <t>GS</t>
        </is>
      </c>
      <c r="E135" s="6" t="inlineStr">
        <is>
          <t>GS</t>
        </is>
      </c>
      <c r="F135" s="6" t="inlineStr">
        <is>
          <t>-</t>
        </is>
      </c>
      <c r="G135" s="7">
        <f>Rebalance_Audit!G2430</f>
        <v/>
      </c>
      <c r="H135" s="9">
        <f>Rebalance_Audit!Q2430</f>
        <v/>
      </c>
      <c r="I135" s="7">
        <f>Rebalance_Audit!R2430</f>
        <v/>
      </c>
      <c r="J135" s="8">
        <f>Rebalance_Audit!S2430</f>
        <v/>
      </c>
    </row>
    <row r="136">
      <c r="A136" s="6" t="inlineStr">
        <is>
          <t>DJ30</t>
        </is>
      </c>
      <c r="B136" s="6" t="inlineStr">
        <is>
          <t>2024-07-05</t>
        </is>
      </c>
      <c r="C136" s="6" t="inlineStr">
        <is>
          <t>DIA</t>
        </is>
      </c>
      <c r="D136" s="6" t="inlineStr">
        <is>
          <t>TRV</t>
        </is>
      </c>
      <c r="E136" s="6" t="inlineStr">
        <is>
          <t>TRV</t>
        </is>
      </c>
      <c r="F136" s="6" t="inlineStr">
        <is>
          <t>-</t>
        </is>
      </c>
      <c r="G136" s="7">
        <f>Rebalance_Audit!G2445</f>
        <v/>
      </c>
      <c r="H136" s="9">
        <f>Rebalance_Audit!Q2445</f>
        <v/>
      </c>
      <c r="I136" s="7">
        <f>Rebalance_Audit!R2445</f>
        <v/>
      </c>
      <c r="J136" s="8">
        <f>Rebalance_Audit!S2445</f>
        <v/>
      </c>
    </row>
    <row r="137">
      <c r="A137" s="6" t="inlineStr">
        <is>
          <t>DJ30</t>
        </is>
      </c>
      <c r="B137" s="6" t="inlineStr">
        <is>
          <t>2024-07-12</t>
        </is>
      </c>
      <c r="C137" s="6" t="inlineStr">
        <is>
          <t>DIA</t>
        </is>
      </c>
      <c r="D137" s="6" t="inlineStr">
        <is>
          <t>NVDA</t>
        </is>
      </c>
      <c r="E137" s="6" t="inlineStr">
        <is>
          <t>NVDA</t>
        </is>
      </c>
      <c r="F137" s="6" t="inlineStr">
        <is>
          <t>-</t>
        </is>
      </c>
      <c r="G137" s="7">
        <f>Rebalance_Audit!G2473</f>
        <v/>
      </c>
      <c r="H137" s="9">
        <f>Rebalance_Audit!Q2473</f>
        <v/>
      </c>
      <c r="I137" s="7">
        <f>Rebalance_Audit!R2473</f>
        <v/>
      </c>
      <c r="J137" s="8">
        <f>Rebalance_Audit!S2473</f>
        <v/>
      </c>
    </row>
    <row r="138">
      <c r="A138" s="6" t="inlineStr">
        <is>
          <t>DJ30</t>
        </is>
      </c>
      <c r="B138" s="6" t="inlineStr">
        <is>
          <t>2024-07-12</t>
        </is>
      </c>
      <c r="C138" s="6" t="inlineStr">
        <is>
          <t>DIA</t>
        </is>
      </c>
      <c r="D138" s="6" t="inlineStr">
        <is>
          <t>AXP</t>
        </is>
      </c>
      <c r="E138" s="6" t="inlineStr">
        <is>
          <t>AXP</t>
        </is>
      </c>
      <c r="F138" s="6" t="inlineStr">
        <is>
          <t>-</t>
        </is>
      </c>
      <c r="G138" s="7">
        <f>Rebalance_Audit!G2454</f>
        <v/>
      </c>
      <c r="H138" s="9">
        <f>Rebalance_Audit!Q2454</f>
        <v/>
      </c>
      <c r="I138" s="7">
        <f>Rebalance_Audit!R2454</f>
        <v/>
      </c>
      <c r="J138" s="8">
        <f>Rebalance_Audit!S2454</f>
        <v/>
      </c>
    </row>
    <row r="139">
      <c r="A139" s="6" t="inlineStr">
        <is>
          <t>DJ30</t>
        </is>
      </c>
      <c r="B139" s="6" t="inlineStr">
        <is>
          <t>2024-07-12</t>
        </is>
      </c>
      <c r="C139" s="6" t="inlineStr">
        <is>
          <t>DIA</t>
        </is>
      </c>
      <c r="D139" s="6" t="inlineStr">
        <is>
          <t>AMZN</t>
        </is>
      </c>
      <c r="E139" s="6" t="inlineStr">
        <is>
          <t>AMZN</t>
        </is>
      </c>
      <c r="F139" s="6" t="inlineStr">
        <is>
          <t>-</t>
        </is>
      </c>
      <c r="G139" s="7">
        <f>Rebalance_Audit!G2453</f>
        <v/>
      </c>
      <c r="H139" s="9">
        <f>Rebalance_Audit!Q2453</f>
        <v/>
      </c>
      <c r="I139" s="7">
        <f>Rebalance_Audit!R2453</f>
        <v/>
      </c>
      <c r="J139" s="8">
        <f>Rebalance_Audit!S2453</f>
        <v/>
      </c>
    </row>
    <row r="140">
      <c r="A140" s="6" t="inlineStr">
        <is>
          <t>DJ30</t>
        </is>
      </c>
      <c r="B140" s="6" t="inlineStr">
        <is>
          <t>2024-07-12</t>
        </is>
      </c>
      <c r="C140" s="6" t="inlineStr">
        <is>
          <t>DIA</t>
        </is>
      </c>
      <c r="D140" s="6" t="inlineStr">
        <is>
          <t>GS</t>
        </is>
      </c>
      <c r="E140" s="6" t="inlineStr">
        <is>
          <t>GS</t>
        </is>
      </c>
      <c r="F140" s="6" t="inlineStr">
        <is>
          <t>-</t>
        </is>
      </c>
      <c r="G140" s="7">
        <f>Rebalance_Audit!G2461</f>
        <v/>
      </c>
      <c r="H140" s="9">
        <f>Rebalance_Audit!Q2461</f>
        <v/>
      </c>
      <c r="I140" s="7">
        <f>Rebalance_Audit!R2461</f>
        <v/>
      </c>
      <c r="J140" s="8">
        <f>Rebalance_Audit!S2461</f>
        <v/>
      </c>
    </row>
    <row r="141">
      <c r="A141" s="6" t="inlineStr">
        <is>
          <t>DJ30</t>
        </is>
      </c>
      <c r="B141" s="6" t="inlineStr">
        <is>
          <t>2024-07-12</t>
        </is>
      </c>
      <c r="C141" s="6" t="inlineStr">
        <is>
          <t>DIA</t>
        </is>
      </c>
      <c r="D141" s="6" t="inlineStr">
        <is>
          <t>TRV</t>
        </is>
      </c>
      <c r="E141" s="6" t="inlineStr">
        <is>
          <t>TRV</t>
        </is>
      </c>
      <c r="F141" s="6" t="inlineStr">
        <is>
          <t>-</t>
        </is>
      </c>
      <c r="G141" s="7">
        <f>Rebalance_Audit!G2476</f>
        <v/>
      </c>
      <c r="H141" s="9">
        <f>Rebalance_Audit!Q2476</f>
        <v/>
      </c>
      <c r="I141" s="7">
        <f>Rebalance_Audit!R2476</f>
        <v/>
      </c>
      <c r="J141" s="8">
        <f>Rebalance_Audit!S2476</f>
        <v/>
      </c>
    </row>
    <row r="142">
      <c r="A142" s="6" t="inlineStr">
        <is>
          <t>DJ30</t>
        </is>
      </c>
      <c r="B142" s="6" t="inlineStr">
        <is>
          <t>2024-07-19</t>
        </is>
      </c>
      <c r="C142" s="6" t="inlineStr">
        <is>
          <t>DIA</t>
        </is>
      </c>
      <c r="D142" s="6" t="inlineStr">
        <is>
          <t>NVDA</t>
        </is>
      </c>
      <c r="E142" s="6" t="inlineStr">
        <is>
          <t>NVDA</t>
        </is>
      </c>
      <c r="F142" s="6" t="inlineStr">
        <is>
          <t>-</t>
        </is>
      </c>
      <c r="G142" s="7">
        <f>Rebalance_Audit!G2504</f>
        <v/>
      </c>
      <c r="H142" s="9">
        <f>Rebalance_Audit!Q2504</f>
        <v/>
      </c>
      <c r="I142" s="7">
        <f>Rebalance_Audit!R2504</f>
        <v/>
      </c>
      <c r="J142" s="8">
        <f>Rebalance_Audit!S2504</f>
        <v/>
      </c>
    </row>
    <row r="143">
      <c r="A143" s="6" t="inlineStr">
        <is>
          <t>DJ30</t>
        </is>
      </c>
      <c r="B143" s="6" t="inlineStr">
        <is>
          <t>2024-07-19</t>
        </is>
      </c>
      <c r="C143" s="6" t="inlineStr">
        <is>
          <t>DIA</t>
        </is>
      </c>
      <c r="D143" s="6" t="inlineStr">
        <is>
          <t>AXP</t>
        </is>
      </c>
      <c r="E143" s="6" t="inlineStr">
        <is>
          <t>AXP</t>
        </is>
      </c>
      <c r="F143" s="6" t="inlineStr">
        <is>
          <t>-</t>
        </is>
      </c>
      <c r="G143" s="7">
        <f>Rebalance_Audit!G2485</f>
        <v/>
      </c>
      <c r="H143" s="9">
        <f>Rebalance_Audit!Q2485</f>
        <v/>
      </c>
      <c r="I143" s="7">
        <f>Rebalance_Audit!R2485</f>
        <v/>
      </c>
      <c r="J143" s="8">
        <f>Rebalance_Audit!S2485</f>
        <v/>
      </c>
    </row>
    <row r="144">
      <c r="A144" s="6" t="inlineStr">
        <is>
          <t>DJ30</t>
        </is>
      </c>
      <c r="B144" s="6" t="inlineStr">
        <is>
          <t>2024-07-19</t>
        </is>
      </c>
      <c r="C144" s="6" t="inlineStr">
        <is>
          <t>DIA</t>
        </is>
      </c>
      <c r="D144" s="6" t="inlineStr">
        <is>
          <t>AMZN</t>
        </is>
      </c>
      <c r="E144" s="6" t="inlineStr">
        <is>
          <t>AMZN</t>
        </is>
      </c>
      <c r="F144" s="6" t="inlineStr">
        <is>
          <t>-</t>
        </is>
      </c>
      <c r="G144" s="7">
        <f>Rebalance_Audit!G2484</f>
        <v/>
      </c>
      <c r="H144" s="9">
        <f>Rebalance_Audit!Q2484</f>
        <v/>
      </c>
      <c r="I144" s="7">
        <f>Rebalance_Audit!R2484</f>
        <v/>
      </c>
      <c r="J144" s="8">
        <f>Rebalance_Audit!S2484</f>
        <v/>
      </c>
    </row>
    <row r="145">
      <c r="A145" s="6" t="inlineStr">
        <is>
          <t>DJ30</t>
        </is>
      </c>
      <c r="B145" s="6" t="inlineStr">
        <is>
          <t>2024-07-19</t>
        </is>
      </c>
      <c r="C145" s="6" t="inlineStr">
        <is>
          <t>DIA</t>
        </is>
      </c>
      <c r="D145" s="6" t="inlineStr">
        <is>
          <t>TRV</t>
        </is>
      </c>
      <c r="E145" s="6" t="inlineStr">
        <is>
          <t>TRV</t>
        </is>
      </c>
      <c r="F145" s="6" t="inlineStr">
        <is>
          <t>-</t>
        </is>
      </c>
      <c r="G145" s="7">
        <f>Rebalance_Audit!G2507</f>
        <v/>
      </c>
      <c r="H145" s="9">
        <f>Rebalance_Audit!Q2507</f>
        <v/>
      </c>
      <c r="I145" s="7">
        <f>Rebalance_Audit!R2507</f>
        <v/>
      </c>
      <c r="J145" s="8">
        <f>Rebalance_Audit!S2507</f>
        <v/>
      </c>
    </row>
    <row r="146">
      <c r="A146" s="6" t="inlineStr">
        <is>
          <t>DJ30</t>
        </is>
      </c>
      <c r="B146" s="6" t="inlineStr">
        <is>
          <t>2024-07-19</t>
        </is>
      </c>
      <c r="C146" s="6" t="inlineStr">
        <is>
          <t>DIA</t>
        </is>
      </c>
      <c r="D146" s="6" t="inlineStr">
        <is>
          <t>VZ</t>
        </is>
      </c>
      <c r="E146" s="6" t="inlineStr">
        <is>
          <t>VZ</t>
        </is>
      </c>
      <c r="F146" s="6" t="inlineStr">
        <is>
          <t>-</t>
        </is>
      </c>
      <c r="G146" s="7">
        <f>Rebalance_Audit!G2510</f>
        <v/>
      </c>
      <c r="H146" s="9">
        <f>Rebalance_Audit!Q2510</f>
        <v/>
      </c>
      <c r="I146" s="7">
        <f>Rebalance_Audit!R2510</f>
        <v/>
      </c>
      <c r="J146" s="8">
        <f>Rebalance_Audit!S2510</f>
        <v/>
      </c>
    </row>
    <row r="147">
      <c r="A147" s="6" t="inlineStr">
        <is>
          <t>DJ30</t>
        </is>
      </c>
      <c r="B147" s="6" t="inlineStr">
        <is>
          <t>2024-07-26</t>
        </is>
      </c>
      <c r="C147" s="6" t="inlineStr">
        <is>
          <t>DIA</t>
        </is>
      </c>
      <c r="D147" s="6" t="inlineStr">
        <is>
          <t>NVDA</t>
        </is>
      </c>
      <c r="E147" s="6" t="inlineStr">
        <is>
          <t>NVDA</t>
        </is>
      </c>
      <c r="F147" s="6" t="inlineStr">
        <is>
          <t>-</t>
        </is>
      </c>
      <c r="G147" s="7">
        <f>Rebalance_Audit!G2535</f>
        <v/>
      </c>
      <c r="H147" s="9">
        <f>Rebalance_Audit!Q2535</f>
        <v/>
      </c>
      <c r="I147" s="7">
        <f>Rebalance_Audit!R2535</f>
        <v/>
      </c>
      <c r="J147" s="8">
        <f>Rebalance_Audit!S2535</f>
        <v/>
      </c>
    </row>
    <row r="148">
      <c r="A148" s="6" t="inlineStr">
        <is>
          <t>DJ30</t>
        </is>
      </c>
      <c r="B148" s="6" t="inlineStr">
        <is>
          <t>2024-07-26</t>
        </is>
      </c>
      <c r="C148" s="6" t="inlineStr">
        <is>
          <t>DIA</t>
        </is>
      </c>
      <c r="D148" s="6" t="inlineStr">
        <is>
          <t>AXP</t>
        </is>
      </c>
      <c r="E148" s="6" t="inlineStr">
        <is>
          <t>AXP</t>
        </is>
      </c>
      <c r="F148" s="6" t="inlineStr">
        <is>
          <t>-</t>
        </is>
      </c>
      <c r="G148" s="7">
        <f>Rebalance_Audit!G2516</f>
        <v/>
      </c>
      <c r="H148" s="9">
        <f>Rebalance_Audit!Q2516</f>
        <v/>
      </c>
      <c r="I148" s="7">
        <f>Rebalance_Audit!R2516</f>
        <v/>
      </c>
      <c r="J148" s="8">
        <f>Rebalance_Audit!S2516</f>
        <v/>
      </c>
    </row>
    <row r="149">
      <c r="A149" s="6" t="inlineStr">
        <is>
          <t>DJ30</t>
        </is>
      </c>
      <c r="B149" s="6" t="inlineStr">
        <is>
          <t>2024-07-26</t>
        </is>
      </c>
      <c r="C149" s="6" t="inlineStr">
        <is>
          <t>DIA</t>
        </is>
      </c>
      <c r="D149" s="6" t="inlineStr">
        <is>
          <t>AMZN</t>
        </is>
      </c>
      <c r="E149" s="6" t="inlineStr">
        <is>
          <t>AMZN</t>
        </is>
      </c>
      <c r="F149" s="6" t="inlineStr">
        <is>
          <t>-</t>
        </is>
      </c>
      <c r="G149" s="7">
        <f>Rebalance_Audit!G2515</f>
        <v/>
      </c>
      <c r="H149" s="9">
        <f>Rebalance_Audit!Q2515</f>
        <v/>
      </c>
      <c r="I149" s="7">
        <f>Rebalance_Audit!R2515</f>
        <v/>
      </c>
      <c r="J149" s="8">
        <f>Rebalance_Audit!S2515</f>
        <v/>
      </c>
    </row>
    <row r="150">
      <c r="A150" s="6" t="inlineStr">
        <is>
          <t>DJ30</t>
        </is>
      </c>
      <c r="B150" s="6" t="inlineStr">
        <is>
          <t>2024-07-26</t>
        </is>
      </c>
      <c r="C150" s="6" t="inlineStr">
        <is>
          <t>DIA</t>
        </is>
      </c>
      <c r="D150" s="6" t="inlineStr">
        <is>
          <t>TRV</t>
        </is>
      </c>
      <c r="E150" s="6" t="inlineStr">
        <is>
          <t>TRV</t>
        </is>
      </c>
      <c r="F150" s="6" t="inlineStr">
        <is>
          <t>-</t>
        </is>
      </c>
      <c r="G150" s="7">
        <f>Rebalance_Audit!G2538</f>
        <v/>
      </c>
      <c r="H150" s="9">
        <f>Rebalance_Audit!Q2538</f>
        <v/>
      </c>
      <c r="I150" s="7">
        <f>Rebalance_Audit!R2538</f>
        <v/>
      </c>
      <c r="J150" s="8">
        <f>Rebalance_Audit!S2538</f>
        <v/>
      </c>
    </row>
    <row r="151">
      <c r="A151" s="6" t="inlineStr">
        <is>
          <t>DJ30</t>
        </is>
      </c>
      <c r="B151" s="6" t="inlineStr">
        <is>
          <t>2024-07-26</t>
        </is>
      </c>
      <c r="C151" s="6" t="inlineStr">
        <is>
          <t>DIA</t>
        </is>
      </c>
      <c r="D151" s="6" t="inlineStr">
        <is>
          <t>VZ</t>
        </is>
      </c>
      <c r="E151" s="6" t="inlineStr">
        <is>
          <t>VZ</t>
        </is>
      </c>
      <c r="F151" s="6" t="inlineStr">
        <is>
          <t>-</t>
        </is>
      </c>
      <c r="G151" s="7">
        <f>Rebalance_Audit!G2541</f>
        <v/>
      </c>
      <c r="H151" s="9">
        <f>Rebalance_Audit!Q2541</f>
        <v/>
      </c>
      <c r="I151" s="7">
        <f>Rebalance_Audit!R2541</f>
        <v/>
      </c>
      <c r="J151" s="8">
        <f>Rebalance_Audit!S2541</f>
        <v/>
      </c>
    </row>
    <row r="152">
      <c r="A152" s="6" t="inlineStr">
        <is>
          <t>DJ30</t>
        </is>
      </c>
      <c r="B152" s="6" t="inlineStr">
        <is>
          <t>2024-08-02</t>
        </is>
      </c>
      <c r="C152" s="6" t="inlineStr">
        <is>
          <t>DIA</t>
        </is>
      </c>
      <c r="D152" s="6" t="inlineStr">
        <is>
          <t>NVDA</t>
        </is>
      </c>
      <c r="E152" s="6" t="inlineStr">
        <is>
          <t>NVDA</t>
        </is>
      </c>
      <c r="F152" s="6" t="inlineStr">
        <is>
          <t>-</t>
        </is>
      </c>
      <c r="G152" s="7">
        <f>Rebalance_Audit!G2566</f>
        <v/>
      </c>
      <c r="H152" s="9">
        <f>Rebalance_Audit!Q2566</f>
        <v/>
      </c>
      <c r="I152" s="7">
        <f>Rebalance_Audit!R2566</f>
        <v/>
      </c>
      <c r="J152" s="8">
        <f>Rebalance_Audit!S2566</f>
        <v/>
      </c>
    </row>
    <row r="153">
      <c r="A153" s="6" t="inlineStr">
        <is>
          <t>DJ30</t>
        </is>
      </c>
      <c r="B153" s="6" t="inlineStr">
        <is>
          <t>2024-08-02</t>
        </is>
      </c>
      <c r="C153" s="6" t="inlineStr">
        <is>
          <t>DIA</t>
        </is>
      </c>
      <c r="D153" s="6" t="inlineStr">
        <is>
          <t>AXP</t>
        </is>
      </c>
      <c r="E153" s="6" t="inlineStr">
        <is>
          <t>AXP</t>
        </is>
      </c>
      <c r="F153" s="6" t="inlineStr">
        <is>
          <t>-</t>
        </is>
      </c>
      <c r="G153" s="7">
        <f>Rebalance_Audit!G2547</f>
        <v/>
      </c>
      <c r="H153" s="9">
        <f>Rebalance_Audit!Q2547</f>
        <v/>
      </c>
      <c r="I153" s="7">
        <f>Rebalance_Audit!R2547</f>
        <v/>
      </c>
      <c r="J153" s="8">
        <f>Rebalance_Audit!S2547</f>
        <v/>
      </c>
    </row>
    <row r="154">
      <c r="A154" s="6" t="inlineStr">
        <is>
          <t>DJ30</t>
        </is>
      </c>
      <c r="B154" s="6" t="inlineStr">
        <is>
          <t>2024-08-02</t>
        </is>
      </c>
      <c r="C154" s="6" t="inlineStr">
        <is>
          <t>DIA</t>
        </is>
      </c>
      <c r="D154" s="6" t="inlineStr">
        <is>
          <t>AMZN</t>
        </is>
      </c>
      <c r="E154" s="6" t="inlineStr">
        <is>
          <t>AMZN</t>
        </is>
      </c>
      <c r="F154" s="6" t="inlineStr">
        <is>
          <t>-</t>
        </is>
      </c>
      <c r="G154" s="7">
        <f>Rebalance_Audit!G2546</f>
        <v/>
      </c>
      <c r="H154" s="9">
        <f>Rebalance_Audit!Q2546</f>
        <v/>
      </c>
      <c r="I154" s="7">
        <f>Rebalance_Audit!R2546</f>
        <v/>
      </c>
      <c r="J154" s="8">
        <f>Rebalance_Audit!S2546</f>
        <v/>
      </c>
    </row>
    <row r="155">
      <c r="A155" s="6" t="inlineStr">
        <is>
          <t>DJ30</t>
        </is>
      </c>
      <c r="B155" s="6" t="inlineStr">
        <is>
          <t>2024-08-02</t>
        </is>
      </c>
      <c r="C155" s="6" t="inlineStr">
        <is>
          <t>DIA</t>
        </is>
      </c>
      <c r="D155" s="6" t="inlineStr">
        <is>
          <t>TRV</t>
        </is>
      </c>
      <c r="E155" s="6" t="inlineStr">
        <is>
          <t>TRV</t>
        </is>
      </c>
      <c r="F155" s="6" t="inlineStr">
        <is>
          <t>-</t>
        </is>
      </c>
      <c r="G155" s="7">
        <f>Rebalance_Audit!G2569</f>
        <v/>
      </c>
      <c r="H155" s="9">
        <f>Rebalance_Audit!Q2569</f>
        <v/>
      </c>
      <c r="I155" s="7">
        <f>Rebalance_Audit!R2569</f>
        <v/>
      </c>
      <c r="J155" s="8">
        <f>Rebalance_Audit!S2569</f>
        <v/>
      </c>
    </row>
    <row r="156">
      <c r="A156" s="6" t="inlineStr">
        <is>
          <t>DJ30</t>
        </is>
      </c>
      <c r="B156" s="6" t="inlineStr">
        <is>
          <t>2024-08-02</t>
        </is>
      </c>
      <c r="C156" s="6" t="inlineStr">
        <is>
          <t>DIA</t>
        </is>
      </c>
      <c r="D156" s="6" t="inlineStr">
        <is>
          <t>WMT</t>
        </is>
      </c>
      <c r="E156" s="6" t="inlineStr">
        <is>
          <t>WMT</t>
        </is>
      </c>
      <c r="F156" s="6" t="inlineStr">
        <is>
          <t>-</t>
        </is>
      </c>
      <c r="G156" s="7">
        <f>Rebalance_Audit!G2573</f>
        <v/>
      </c>
      <c r="H156" s="9">
        <f>Rebalance_Audit!Q2573</f>
        <v/>
      </c>
      <c r="I156" s="7">
        <f>Rebalance_Audit!R2573</f>
        <v/>
      </c>
      <c r="J156" s="8">
        <f>Rebalance_Audit!S2573</f>
        <v/>
      </c>
    </row>
    <row r="157">
      <c r="A157" s="6" t="inlineStr">
        <is>
          <t>DJ30</t>
        </is>
      </c>
      <c r="B157" s="6" t="inlineStr">
        <is>
          <t>2024-08-09</t>
        </is>
      </c>
      <c r="C157" s="6" t="inlineStr">
        <is>
          <t>DIA</t>
        </is>
      </c>
      <c r="D157" s="6" t="inlineStr">
        <is>
          <t>NVDA</t>
        </is>
      </c>
      <c r="E157" s="6" t="inlineStr">
        <is>
          <t>NVDA</t>
        </is>
      </c>
      <c r="F157" s="6" t="inlineStr">
        <is>
          <t>-</t>
        </is>
      </c>
      <c r="G157" s="7">
        <f>Rebalance_Audit!G2597</f>
        <v/>
      </c>
      <c r="H157" s="9">
        <f>Rebalance_Audit!Q2597</f>
        <v/>
      </c>
      <c r="I157" s="7">
        <f>Rebalance_Audit!R2597</f>
        <v/>
      </c>
      <c r="J157" s="8">
        <f>Rebalance_Audit!S2597</f>
        <v/>
      </c>
    </row>
    <row r="158">
      <c r="A158" s="6" t="inlineStr">
        <is>
          <t>DJ30</t>
        </is>
      </c>
      <c r="B158" s="6" t="inlineStr">
        <is>
          <t>2024-08-09</t>
        </is>
      </c>
      <c r="C158" s="6" t="inlineStr">
        <is>
          <t>DIA</t>
        </is>
      </c>
      <c r="D158" s="6" t="inlineStr">
        <is>
          <t>AXP</t>
        </is>
      </c>
      <c r="E158" s="6" t="inlineStr">
        <is>
          <t>AXP</t>
        </is>
      </c>
      <c r="F158" s="6" t="inlineStr">
        <is>
          <t>-</t>
        </is>
      </c>
      <c r="G158" s="7">
        <f>Rebalance_Audit!G2578</f>
        <v/>
      </c>
      <c r="H158" s="9">
        <f>Rebalance_Audit!Q2578</f>
        <v/>
      </c>
      <c r="I158" s="7">
        <f>Rebalance_Audit!R2578</f>
        <v/>
      </c>
      <c r="J158" s="8">
        <f>Rebalance_Audit!S2578</f>
        <v/>
      </c>
    </row>
    <row r="159">
      <c r="A159" s="6" t="inlineStr">
        <is>
          <t>DJ30</t>
        </is>
      </c>
      <c r="B159" s="6" t="inlineStr">
        <is>
          <t>2024-08-09</t>
        </is>
      </c>
      <c r="C159" s="6" t="inlineStr">
        <is>
          <t>DIA</t>
        </is>
      </c>
      <c r="D159" s="6" t="inlineStr">
        <is>
          <t>AMZN</t>
        </is>
      </c>
      <c r="E159" s="6" t="inlineStr">
        <is>
          <t>AMZN</t>
        </is>
      </c>
      <c r="F159" s="6" t="inlineStr">
        <is>
          <t>-</t>
        </is>
      </c>
      <c r="G159" s="7">
        <f>Rebalance_Audit!G2577</f>
        <v/>
      </c>
      <c r="H159" s="9">
        <f>Rebalance_Audit!Q2577</f>
        <v/>
      </c>
      <c r="I159" s="7">
        <f>Rebalance_Audit!R2577</f>
        <v/>
      </c>
      <c r="J159" s="8">
        <f>Rebalance_Audit!S2577</f>
        <v/>
      </c>
    </row>
    <row r="160">
      <c r="A160" s="6" t="inlineStr">
        <is>
          <t>DJ30</t>
        </is>
      </c>
      <c r="B160" s="6" t="inlineStr">
        <is>
          <t>2024-08-09</t>
        </is>
      </c>
      <c r="C160" s="6" t="inlineStr">
        <is>
          <t>DIA</t>
        </is>
      </c>
      <c r="D160" s="6" t="inlineStr">
        <is>
          <t>WMT</t>
        </is>
      </c>
      <c r="E160" s="6" t="inlineStr">
        <is>
          <t>WMT</t>
        </is>
      </c>
      <c r="F160" s="6" t="inlineStr">
        <is>
          <t>-</t>
        </is>
      </c>
      <c r="G160" s="7">
        <f>Rebalance_Audit!G2604</f>
        <v/>
      </c>
      <c r="H160" s="9">
        <f>Rebalance_Audit!Q2604</f>
        <v/>
      </c>
      <c r="I160" s="7">
        <f>Rebalance_Audit!R2604</f>
        <v/>
      </c>
      <c r="J160" s="8">
        <f>Rebalance_Audit!S2604</f>
        <v/>
      </c>
    </row>
    <row r="161">
      <c r="A161" s="6" t="inlineStr">
        <is>
          <t>DJ30</t>
        </is>
      </c>
      <c r="B161" s="6" t="inlineStr">
        <is>
          <t>2024-08-09</t>
        </is>
      </c>
      <c r="C161" s="6" t="inlineStr">
        <is>
          <t>DIA</t>
        </is>
      </c>
      <c r="D161" s="6" t="inlineStr">
        <is>
          <t>MMM</t>
        </is>
      </c>
      <c r="E161" s="6" t="inlineStr">
        <is>
          <t>MMM</t>
        </is>
      </c>
      <c r="F161" s="6" t="inlineStr">
        <is>
          <t>-</t>
        </is>
      </c>
      <c r="G161" s="7">
        <f>Rebalance_Audit!G2593</f>
        <v/>
      </c>
      <c r="H161" s="9">
        <f>Rebalance_Audit!Q2593</f>
        <v/>
      </c>
      <c r="I161" s="7">
        <f>Rebalance_Audit!R2593</f>
        <v/>
      </c>
      <c r="J161" s="8">
        <f>Rebalance_Audit!S2593</f>
        <v/>
      </c>
    </row>
    <row r="162">
      <c r="A162" s="6" t="inlineStr">
        <is>
          <t>DJ30</t>
        </is>
      </c>
      <c r="B162" s="6" t="inlineStr">
        <is>
          <t>2024-08-16</t>
        </is>
      </c>
      <c r="C162" s="6" t="inlineStr">
        <is>
          <t>DIA</t>
        </is>
      </c>
      <c r="D162" s="6" t="inlineStr">
        <is>
          <t>NVDA</t>
        </is>
      </c>
      <c r="E162" s="6" t="inlineStr">
        <is>
          <t>NVDA</t>
        </is>
      </c>
      <c r="F162" s="6" t="inlineStr">
        <is>
          <t>-</t>
        </is>
      </c>
      <c r="G162" s="7">
        <f>Rebalance_Audit!G2628</f>
        <v/>
      </c>
      <c r="H162" s="9">
        <f>Rebalance_Audit!Q2628</f>
        <v/>
      </c>
      <c r="I162" s="7">
        <f>Rebalance_Audit!R2628</f>
        <v/>
      </c>
      <c r="J162" s="8">
        <f>Rebalance_Audit!S2628</f>
        <v/>
      </c>
    </row>
    <row r="163">
      <c r="A163" s="6" t="inlineStr">
        <is>
          <t>DJ30</t>
        </is>
      </c>
      <c r="B163" s="6" t="inlineStr">
        <is>
          <t>2024-08-16</t>
        </is>
      </c>
      <c r="C163" s="6" t="inlineStr">
        <is>
          <t>DIA</t>
        </is>
      </c>
      <c r="D163" s="6" t="inlineStr">
        <is>
          <t>AXP</t>
        </is>
      </c>
      <c r="E163" s="6" t="inlineStr">
        <is>
          <t>AXP</t>
        </is>
      </c>
      <c r="F163" s="6" t="inlineStr">
        <is>
          <t>-</t>
        </is>
      </c>
      <c r="G163" s="7">
        <f>Rebalance_Audit!G2609</f>
        <v/>
      </c>
      <c r="H163" s="9">
        <f>Rebalance_Audit!Q2609</f>
        <v/>
      </c>
      <c r="I163" s="7">
        <f>Rebalance_Audit!R2609</f>
        <v/>
      </c>
      <c r="J163" s="8">
        <f>Rebalance_Audit!S2609</f>
        <v/>
      </c>
    </row>
    <row r="164">
      <c r="A164" s="6" t="inlineStr">
        <is>
          <t>DJ30</t>
        </is>
      </c>
      <c r="B164" s="6" t="inlineStr">
        <is>
          <t>2024-08-16</t>
        </is>
      </c>
      <c r="C164" s="6" t="inlineStr">
        <is>
          <t>DIA</t>
        </is>
      </c>
      <c r="D164" s="6" t="inlineStr">
        <is>
          <t>MMM</t>
        </is>
      </c>
      <c r="E164" s="6" t="inlineStr">
        <is>
          <t>MMM</t>
        </is>
      </c>
      <c r="F164" s="6" t="inlineStr">
        <is>
          <t>-</t>
        </is>
      </c>
      <c r="G164" s="7">
        <f>Rebalance_Audit!G2624</f>
        <v/>
      </c>
      <c r="H164" s="9">
        <f>Rebalance_Audit!Q2624</f>
        <v/>
      </c>
      <c r="I164" s="7">
        <f>Rebalance_Audit!R2624</f>
        <v/>
      </c>
      <c r="J164" s="8">
        <f>Rebalance_Audit!S2624</f>
        <v/>
      </c>
    </row>
    <row r="165">
      <c r="A165" s="6" t="inlineStr">
        <is>
          <t>DJ30</t>
        </is>
      </c>
      <c r="B165" s="6" t="inlineStr">
        <is>
          <t>2024-08-16</t>
        </is>
      </c>
      <c r="C165" s="6" t="inlineStr">
        <is>
          <t>DIA</t>
        </is>
      </c>
      <c r="D165" s="6" t="inlineStr">
        <is>
          <t>WMT</t>
        </is>
      </c>
      <c r="E165" s="6" t="inlineStr">
        <is>
          <t>WMT</t>
        </is>
      </c>
      <c r="F165" s="6" t="inlineStr">
        <is>
          <t>-</t>
        </is>
      </c>
      <c r="G165" s="7">
        <f>Rebalance_Audit!G2635</f>
        <v/>
      </c>
      <c r="H165" s="9">
        <f>Rebalance_Audit!Q2635</f>
        <v/>
      </c>
      <c r="I165" s="7">
        <f>Rebalance_Audit!R2635</f>
        <v/>
      </c>
      <c r="J165" s="8">
        <f>Rebalance_Audit!S2635</f>
        <v/>
      </c>
    </row>
    <row r="166">
      <c r="A166" s="6" t="inlineStr">
        <is>
          <t>DJ30</t>
        </is>
      </c>
      <c r="B166" s="6" t="inlineStr">
        <is>
          <t>2024-08-16</t>
        </is>
      </c>
      <c r="C166" s="6" t="inlineStr">
        <is>
          <t>DIA</t>
        </is>
      </c>
      <c r="D166" s="6" t="inlineStr">
        <is>
          <t>VZ</t>
        </is>
      </c>
      <c r="E166" s="6" t="inlineStr">
        <is>
          <t>VZ</t>
        </is>
      </c>
      <c r="F166" s="6" t="inlineStr">
        <is>
          <t>-</t>
        </is>
      </c>
      <c r="G166" s="7">
        <f>Rebalance_Audit!G2634</f>
        <v/>
      </c>
      <c r="H166" s="9">
        <f>Rebalance_Audit!Q2634</f>
        <v/>
      </c>
      <c r="I166" s="7">
        <f>Rebalance_Audit!R2634</f>
        <v/>
      </c>
      <c r="J166" s="8">
        <f>Rebalance_Audit!S2634</f>
        <v/>
      </c>
    </row>
    <row r="167">
      <c r="A167" s="6" t="inlineStr">
        <is>
          <t>DJ30</t>
        </is>
      </c>
      <c r="B167" s="6" t="inlineStr">
        <is>
          <t>2024-08-23</t>
        </is>
      </c>
      <c r="C167" s="6" t="inlineStr">
        <is>
          <t>DIA</t>
        </is>
      </c>
      <c r="D167" s="6" t="inlineStr">
        <is>
          <t>NVDA</t>
        </is>
      </c>
      <c r="E167" s="6" t="inlineStr">
        <is>
          <t>NVDA</t>
        </is>
      </c>
      <c r="F167" s="6" t="inlineStr">
        <is>
          <t>-</t>
        </is>
      </c>
      <c r="G167" s="7">
        <f>Rebalance_Audit!G2659</f>
        <v/>
      </c>
      <c r="H167" s="9">
        <f>Rebalance_Audit!Q2659</f>
        <v/>
      </c>
      <c r="I167" s="7">
        <f>Rebalance_Audit!R2659</f>
        <v/>
      </c>
      <c r="J167" s="8">
        <f>Rebalance_Audit!S2659</f>
        <v/>
      </c>
    </row>
    <row r="168">
      <c r="A168" s="6" t="inlineStr">
        <is>
          <t>DJ30</t>
        </is>
      </c>
      <c r="B168" s="6" t="inlineStr">
        <is>
          <t>2024-08-23</t>
        </is>
      </c>
      <c r="C168" s="6" t="inlineStr">
        <is>
          <t>DIA</t>
        </is>
      </c>
      <c r="D168" s="6" t="inlineStr">
        <is>
          <t>AXP</t>
        </is>
      </c>
      <c r="E168" s="6" t="inlineStr">
        <is>
          <t>AXP</t>
        </is>
      </c>
      <c r="F168" s="6" t="inlineStr">
        <is>
          <t>-</t>
        </is>
      </c>
      <c r="G168" s="7">
        <f>Rebalance_Audit!G2640</f>
        <v/>
      </c>
      <c r="H168" s="9">
        <f>Rebalance_Audit!Q2640</f>
        <v/>
      </c>
      <c r="I168" s="7">
        <f>Rebalance_Audit!R2640</f>
        <v/>
      </c>
      <c r="J168" s="8">
        <f>Rebalance_Audit!S2640</f>
        <v/>
      </c>
    </row>
    <row r="169">
      <c r="A169" s="6" t="inlineStr">
        <is>
          <t>DJ30</t>
        </is>
      </c>
      <c r="B169" s="6" t="inlineStr">
        <is>
          <t>2024-08-23</t>
        </is>
      </c>
      <c r="C169" s="6" t="inlineStr">
        <is>
          <t>DIA</t>
        </is>
      </c>
      <c r="D169" s="6" t="inlineStr">
        <is>
          <t>MMM</t>
        </is>
      </c>
      <c r="E169" s="6" t="inlineStr">
        <is>
          <t>MMM</t>
        </is>
      </c>
      <c r="F169" s="6" t="inlineStr">
        <is>
          <t>-</t>
        </is>
      </c>
      <c r="G169" s="7">
        <f>Rebalance_Audit!G2655</f>
        <v/>
      </c>
      <c r="H169" s="9">
        <f>Rebalance_Audit!Q2655</f>
        <v/>
      </c>
      <c r="I169" s="7">
        <f>Rebalance_Audit!R2655</f>
        <v/>
      </c>
      <c r="J169" s="8">
        <f>Rebalance_Audit!S2655</f>
        <v/>
      </c>
    </row>
    <row r="170">
      <c r="A170" s="6" t="inlineStr">
        <is>
          <t>DJ30</t>
        </is>
      </c>
      <c r="B170" s="6" t="inlineStr">
        <is>
          <t>2024-08-23</t>
        </is>
      </c>
      <c r="C170" s="6" t="inlineStr">
        <is>
          <t>DIA</t>
        </is>
      </c>
      <c r="D170" s="6" t="inlineStr">
        <is>
          <t>WMT</t>
        </is>
      </c>
      <c r="E170" s="6" t="inlineStr">
        <is>
          <t>WMT</t>
        </is>
      </c>
      <c r="F170" s="6" t="inlineStr">
        <is>
          <t>-</t>
        </is>
      </c>
      <c r="G170" s="7">
        <f>Rebalance_Audit!G2666</f>
        <v/>
      </c>
      <c r="H170" s="9">
        <f>Rebalance_Audit!Q2666</f>
        <v/>
      </c>
      <c r="I170" s="7">
        <f>Rebalance_Audit!R2666</f>
        <v/>
      </c>
      <c r="J170" s="8">
        <f>Rebalance_Audit!S2666</f>
        <v/>
      </c>
    </row>
    <row r="171">
      <c r="A171" s="6" t="inlineStr">
        <is>
          <t>DJ30</t>
        </is>
      </c>
      <c r="B171" s="6" t="inlineStr">
        <is>
          <t>2024-08-23</t>
        </is>
      </c>
      <c r="C171" s="6" t="inlineStr">
        <is>
          <t>DIA</t>
        </is>
      </c>
      <c r="D171" s="6" t="inlineStr">
        <is>
          <t>VZ</t>
        </is>
      </c>
      <c r="E171" s="6" t="inlineStr">
        <is>
          <t>VZ</t>
        </is>
      </c>
      <c r="F171" s="6" t="inlineStr">
        <is>
          <t>-</t>
        </is>
      </c>
      <c r="G171" s="7">
        <f>Rebalance_Audit!G2665</f>
        <v/>
      </c>
      <c r="H171" s="9">
        <f>Rebalance_Audit!Q2665</f>
        <v/>
      </c>
      <c r="I171" s="7">
        <f>Rebalance_Audit!R2665</f>
        <v/>
      </c>
      <c r="J171" s="8">
        <f>Rebalance_Audit!S2665</f>
        <v/>
      </c>
    </row>
    <row r="172">
      <c r="A172" s="6" t="inlineStr">
        <is>
          <t>DJ30</t>
        </is>
      </c>
      <c r="B172" s="6" t="inlineStr">
        <is>
          <t>2024-08-30</t>
        </is>
      </c>
      <c r="C172" s="6" t="inlineStr">
        <is>
          <t>DIA</t>
        </is>
      </c>
      <c r="D172" s="6" t="inlineStr">
        <is>
          <t>NVDA</t>
        </is>
      </c>
      <c r="E172" s="6" t="inlineStr">
        <is>
          <t>NVDA</t>
        </is>
      </c>
      <c r="F172" s="6" t="inlineStr">
        <is>
          <t>-</t>
        </is>
      </c>
      <c r="G172" s="7">
        <f>Rebalance_Audit!G2690</f>
        <v/>
      </c>
      <c r="H172" s="9">
        <f>Rebalance_Audit!Q2690</f>
        <v/>
      </c>
      <c r="I172" s="7">
        <f>Rebalance_Audit!R2690</f>
        <v/>
      </c>
      <c r="J172" s="8">
        <f>Rebalance_Audit!S2690</f>
        <v/>
      </c>
    </row>
    <row r="173">
      <c r="A173" s="6" t="inlineStr">
        <is>
          <t>DJ30</t>
        </is>
      </c>
      <c r="B173" s="6" t="inlineStr">
        <is>
          <t>2024-08-30</t>
        </is>
      </c>
      <c r="C173" s="6" t="inlineStr">
        <is>
          <t>DIA</t>
        </is>
      </c>
      <c r="D173" s="6" t="inlineStr">
        <is>
          <t>AXP</t>
        </is>
      </c>
      <c r="E173" s="6" t="inlineStr">
        <is>
          <t>AXP</t>
        </is>
      </c>
      <c r="F173" s="6" t="inlineStr">
        <is>
          <t>-</t>
        </is>
      </c>
      <c r="G173" s="7">
        <f>Rebalance_Audit!G2671</f>
        <v/>
      </c>
      <c r="H173" s="9">
        <f>Rebalance_Audit!Q2671</f>
        <v/>
      </c>
      <c r="I173" s="7">
        <f>Rebalance_Audit!R2671</f>
        <v/>
      </c>
      <c r="J173" s="8">
        <f>Rebalance_Audit!S2671</f>
        <v/>
      </c>
    </row>
    <row r="174">
      <c r="A174" s="6" t="inlineStr">
        <is>
          <t>DJ30</t>
        </is>
      </c>
      <c r="B174" s="6" t="inlineStr">
        <is>
          <t>2024-08-30</t>
        </is>
      </c>
      <c r="C174" s="6" t="inlineStr">
        <is>
          <t>DIA</t>
        </is>
      </c>
      <c r="D174" s="6" t="inlineStr">
        <is>
          <t>MMM</t>
        </is>
      </c>
      <c r="E174" s="6" t="inlineStr">
        <is>
          <t>MMM</t>
        </is>
      </c>
      <c r="F174" s="6" t="inlineStr">
        <is>
          <t>-</t>
        </is>
      </c>
      <c r="G174" s="7">
        <f>Rebalance_Audit!G2686</f>
        <v/>
      </c>
      <c r="H174" s="9">
        <f>Rebalance_Audit!Q2686</f>
        <v/>
      </c>
      <c r="I174" s="7">
        <f>Rebalance_Audit!R2686</f>
        <v/>
      </c>
      <c r="J174" s="8">
        <f>Rebalance_Audit!S2686</f>
        <v/>
      </c>
    </row>
    <row r="175">
      <c r="A175" s="6" t="inlineStr">
        <is>
          <t>DJ30</t>
        </is>
      </c>
      <c r="B175" s="6" t="inlineStr">
        <is>
          <t>2024-08-30</t>
        </is>
      </c>
      <c r="C175" s="6" t="inlineStr">
        <is>
          <t>DIA</t>
        </is>
      </c>
      <c r="D175" s="6" t="inlineStr">
        <is>
          <t>WMT</t>
        </is>
      </c>
      <c r="E175" s="6" t="inlineStr">
        <is>
          <t>WMT</t>
        </is>
      </c>
      <c r="F175" s="6" t="inlineStr">
        <is>
          <t>-</t>
        </is>
      </c>
      <c r="G175" s="7">
        <f>Rebalance_Audit!G2697</f>
        <v/>
      </c>
      <c r="H175" s="9">
        <f>Rebalance_Audit!Q2697</f>
        <v/>
      </c>
      <c r="I175" s="7">
        <f>Rebalance_Audit!R2697</f>
        <v/>
      </c>
      <c r="J175" s="8">
        <f>Rebalance_Audit!S2697</f>
        <v/>
      </c>
    </row>
    <row r="176">
      <c r="A176" s="6" t="inlineStr">
        <is>
          <t>DJ30</t>
        </is>
      </c>
      <c r="B176" s="6" t="inlineStr">
        <is>
          <t>2024-08-30</t>
        </is>
      </c>
      <c r="C176" s="6" t="inlineStr">
        <is>
          <t>DIA</t>
        </is>
      </c>
      <c r="D176" s="6" t="inlineStr">
        <is>
          <t>VZ</t>
        </is>
      </c>
      <c r="E176" s="6" t="inlineStr">
        <is>
          <t>VZ</t>
        </is>
      </c>
      <c r="F176" s="6" t="inlineStr">
        <is>
          <t>-</t>
        </is>
      </c>
      <c r="G176" s="7">
        <f>Rebalance_Audit!G2696</f>
        <v/>
      </c>
      <c r="H176" s="9">
        <f>Rebalance_Audit!Q2696</f>
        <v/>
      </c>
      <c r="I176" s="7">
        <f>Rebalance_Audit!R2696</f>
        <v/>
      </c>
      <c r="J176" s="8">
        <f>Rebalance_Audit!S2696</f>
        <v/>
      </c>
    </row>
    <row r="177">
      <c r="A177" s="6" t="inlineStr">
        <is>
          <t>DJ30</t>
        </is>
      </c>
      <c r="B177" s="6" t="inlineStr">
        <is>
          <t>2024-09-06</t>
        </is>
      </c>
      <c r="C177" s="6" t="inlineStr">
        <is>
          <t>DIA</t>
        </is>
      </c>
      <c r="D177" s="6" t="inlineStr">
        <is>
          <t>NVDA</t>
        </is>
      </c>
      <c r="E177" s="6" t="inlineStr">
        <is>
          <t>NVDA</t>
        </is>
      </c>
      <c r="F177" s="6" t="inlineStr">
        <is>
          <t>-</t>
        </is>
      </c>
      <c r="G177" s="7">
        <f>Rebalance_Audit!G2721</f>
        <v/>
      </c>
      <c r="H177" s="9">
        <f>Rebalance_Audit!Q2721</f>
        <v/>
      </c>
      <c r="I177" s="7">
        <f>Rebalance_Audit!R2721</f>
        <v/>
      </c>
      <c r="J177" s="8">
        <f>Rebalance_Audit!S2721</f>
        <v/>
      </c>
    </row>
    <row r="178">
      <c r="A178" s="6" t="inlineStr">
        <is>
          <t>DJ30</t>
        </is>
      </c>
      <c r="B178" s="6" t="inlineStr">
        <is>
          <t>2024-09-06</t>
        </is>
      </c>
      <c r="C178" s="6" t="inlineStr">
        <is>
          <t>DIA</t>
        </is>
      </c>
      <c r="D178" s="6" t="inlineStr">
        <is>
          <t>AXP</t>
        </is>
      </c>
      <c r="E178" s="6" t="inlineStr">
        <is>
          <t>AXP</t>
        </is>
      </c>
      <c r="F178" s="6" t="inlineStr">
        <is>
          <t>-</t>
        </is>
      </c>
      <c r="G178" s="7">
        <f>Rebalance_Audit!G2702</f>
        <v/>
      </c>
      <c r="H178" s="9">
        <f>Rebalance_Audit!Q2702</f>
        <v/>
      </c>
      <c r="I178" s="7">
        <f>Rebalance_Audit!R2702</f>
        <v/>
      </c>
      <c r="J178" s="8">
        <f>Rebalance_Audit!S2702</f>
        <v/>
      </c>
    </row>
    <row r="179">
      <c r="A179" s="6" t="inlineStr">
        <is>
          <t>DJ30</t>
        </is>
      </c>
      <c r="B179" s="6" t="inlineStr">
        <is>
          <t>2024-09-06</t>
        </is>
      </c>
      <c r="C179" s="6" t="inlineStr">
        <is>
          <t>DIA</t>
        </is>
      </c>
      <c r="D179" s="6" t="inlineStr">
        <is>
          <t>MMM</t>
        </is>
      </c>
      <c r="E179" s="6" t="inlineStr">
        <is>
          <t>MMM</t>
        </is>
      </c>
      <c r="F179" s="6" t="inlineStr">
        <is>
          <t>-</t>
        </is>
      </c>
      <c r="G179" s="7">
        <f>Rebalance_Audit!G2717</f>
        <v/>
      </c>
      <c r="H179" s="9">
        <f>Rebalance_Audit!Q2717</f>
        <v/>
      </c>
      <c r="I179" s="7">
        <f>Rebalance_Audit!R2717</f>
        <v/>
      </c>
      <c r="J179" s="8">
        <f>Rebalance_Audit!S2717</f>
        <v/>
      </c>
    </row>
    <row r="180">
      <c r="A180" s="6" t="inlineStr">
        <is>
          <t>DJ30</t>
        </is>
      </c>
      <c r="B180" s="6" t="inlineStr">
        <is>
          <t>2024-09-06</t>
        </is>
      </c>
      <c r="C180" s="6" t="inlineStr">
        <is>
          <t>DIA</t>
        </is>
      </c>
      <c r="D180" s="6" t="inlineStr">
        <is>
          <t>WMT</t>
        </is>
      </c>
      <c r="E180" s="6" t="inlineStr">
        <is>
          <t>WMT</t>
        </is>
      </c>
      <c r="F180" s="6" t="inlineStr">
        <is>
          <t>-</t>
        </is>
      </c>
      <c r="G180" s="7">
        <f>Rebalance_Audit!G2728</f>
        <v/>
      </c>
      <c r="H180" s="9">
        <f>Rebalance_Audit!Q2728</f>
        <v/>
      </c>
      <c r="I180" s="7">
        <f>Rebalance_Audit!R2728</f>
        <v/>
      </c>
      <c r="J180" s="8">
        <f>Rebalance_Audit!S2728</f>
        <v/>
      </c>
    </row>
    <row r="181">
      <c r="A181" s="6" t="inlineStr">
        <is>
          <t>DJ30</t>
        </is>
      </c>
      <c r="B181" s="6" t="inlineStr">
        <is>
          <t>2024-09-06</t>
        </is>
      </c>
      <c r="C181" s="6" t="inlineStr">
        <is>
          <t>DIA</t>
        </is>
      </c>
      <c r="D181" s="6" t="inlineStr">
        <is>
          <t>TRV</t>
        </is>
      </c>
      <c r="E181" s="6" t="inlineStr">
        <is>
          <t>TRV</t>
        </is>
      </c>
      <c r="F181" s="6" t="inlineStr">
        <is>
          <t>-</t>
        </is>
      </c>
      <c r="G181" s="7">
        <f>Rebalance_Audit!G2724</f>
        <v/>
      </c>
      <c r="H181" s="9">
        <f>Rebalance_Audit!Q2724</f>
        <v/>
      </c>
      <c r="I181" s="7">
        <f>Rebalance_Audit!R2724</f>
        <v/>
      </c>
      <c r="J181" s="8">
        <f>Rebalance_Audit!S2724</f>
        <v/>
      </c>
    </row>
    <row r="182">
      <c r="A182" s="6" t="inlineStr">
        <is>
          <t>DJ30</t>
        </is>
      </c>
      <c r="B182" s="6" t="inlineStr">
        <is>
          <t>2024-09-13</t>
        </is>
      </c>
      <c r="C182" s="6" t="inlineStr">
        <is>
          <t>DIA</t>
        </is>
      </c>
      <c r="D182" s="6" t="inlineStr">
        <is>
          <t>NVDA</t>
        </is>
      </c>
      <c r="E182" s="6" t="inlineStr">
        <is>
          <t>NVDA</t>
        </is>
      </c>
      <c r="F182" s="6" t="inlineStr">
        <is>
          <t>-</t>
        </is>
      </c>
      <c r="G182" s="7">
        <f>Rebalance_Audit!G2752</f>
        <v/>
      </c>
      <c r="H182" s="9">
        <f>Rebalance_Audit!Q2752</f>
        <v/>
      </c>
      <c r="I182" s="7">
        <f>Rebalance_Audit!R2752</f>
        <v/>
      </c>
      <c r="J182" s="8">
        <f>Rebalance_Audit!S2752</f>
        <v/>
      </c>
    </row>
    <row r="183">
      <c r="A183" s="6" t="inlineStr">
        <is>
          <t>DJ30</t>
        </is>
      </c>
      <c r="B183" s="6" t="inlineStr">
        <is>
          <t>2024-09-13</t>
        </is>
      </c>
      <c r="C183" s="6" t="inlineStr">
        <is>
          <t>DIA</t>
        </is>
      </c>
      <c r="D183" s="6" t="inlineStr">
        <is>
          <t>AXP</t>
        </is>
      </c>
      <c r="E183" s="6" t="inlineStr">
        <is>
          <t>AXP</t>
        </is>
      </c>
      <c r="F183" s="6" t="inlineStr">
        <is>
          <t>-</t>
        </is>
      </c>
      <c r="G183" s="7">
        <f>Rebalance_Audit!G2733</f>
        <v/>
      </c>
      <c r="H183" s="9">
        <f>Rebalance_Audit!Q2733</f>
        <v/>
      </c>
      <c r="I183" s="7">
        <f>Rebalance_Audit!R2733</f>
        <v/>
      </c>
      <c r="J183" s="8">
        <f>Rebalance_Audit!S2733</f>
        <v/>
      </c>
    </row>
    <row r="184">
      <c r="A184" s="6" t="inlineStr">
        <is>
          <t>DJ30</t>
        </is>
      </c>
      <c r="B184" s="6" t="inlineStr">
        <is>
          <t>2024-09-13</t>
        </is>
      </c>
      <c r="C184" s="6" t="inlineStr">
        <is>
          <t>DIA</t>
        </is>
      </c>
      <c r="D184" s="6" t="inlineStr">
        <is>
          <t>MMM</t>
        </is>
      </c>
      <c r="E184" s="6" t="inlineStr">
        <is>
          <t>MMM</t>
        </is>
      </c>
      <c r="F184" s="6" t="inlineStr">
        <is>
          <t>-</t>
        </is>
      </c>
      <c r="G184" s="7">
        <f>Rebalance_Audit!G2748</f>
        <v/>
      </c>
      <c r="H184" s="9">
        <f>Rebalance_Audit!Q2748</f>
        <v/>
      </c>
      <c r="I184" s="7">
        <f>Rebalance_Audit!R2748</f>
        <v/>
      </c>
      <c r="J184" s="8">
        <f>Rebalance_Audit!S2748</f>
        <v/>
      </c>
    </row>
    <row r="185">
      <c r="A185" s="6" t="inlineStr">
        <is>
          <t>DJ30</t>
        </is>
      </c>
      <c r="B185" s="6" t="inlineStr">
        <is>
          <t>2024-09-13</t>
        </is>
      </c>
      <c r="C185" s="6" t="inlineStr">
        <is>
          <t>DIA</t>
        </is>
      </c>
      <c r="D185" s="6" t="inlineStr">
        <is>
          <t>KO</t>
        </is>
      </c>
      <c r="E185" s="6" t="inlineStr">
        <is>
          <t>KO</t>
        </is>
      </c>
      <c r="F185" s="6" t="inlineStr">
        <is>
          <t>-</t>
        </is>
      </c>
      <c r="G185" s="7">
        <f>Rebalance_Audit!G2746</f>
        <v/>
      </c>
      <c r="H185" s="9">
        <f>Rebalance_Audit!Q2746</f>
        <v/>
      </c>
      <c r="I185" s="7">
        <f>Rebalance_Audit!R2746</f>
        <v/>
      </c>
      <c r="J185" s="8">
        <f>Rebalance_Audit!S2746</f>
        <v/>
      </c>
    </row>
    <row r="186">
      <c r="A186" s="6" t="inlineStr">
        <is>
          <t>DJ30</t>
        </is>
      </c>
      <c r="B186" s="6" t="inlineStr">
        <is>
          <t>2024-09-13</t>
        </is>
      </c>
      <c r="C186" s="6" t="inlineStr">
        <is>
          <t>DIA</t>
        </is>
      </c>
      <c r="D186" s="6" t="inlineStr">
        <is>
          <t>IBM</t>
        </is>
      </c>
      <c r="E186" s="6" t="inlineStr">
        <is>
          <t>IBM</t>
        </is>
      </c>
      <c r="F186" s="6" t="inlineStr">
        <is>
          <t>-</t>
        </is>
      </c>
      <c r="G186" s="7">
        <f>Rebalance_Audit!G2743</f>
        <v/>
      </c>
      <c r="H186" s="9">
        <f>Rebalance_Audit!Q2743</f>
        <v/>
      </c>
      <c r="I186" s="7">
        <f>Rebalance_Audit!R2743</f>
        <v/>
      </c>
      <c r="J186" s="8">
        <f>Rebalance_Audit!S2743</f>
        <v/>
      </c>
    </row>
    <row r="187">
      <c r="A187" s="6" t="inlineStr">
        <is>
          <t>DJ30</t>
        </is>
      </c>
      <c r="B187" s="6" t="inlineStr">
        <is>
          <t>2024-09-20</t>
        </is>
      </c>
      <c r="C187" s="6" t="inlineStr">
        <is>
          <t>DIA</t>
        </is>
      </c>
      <c r="D187" s="6" t="inlineStr">
        <is>
          <t>NVDA</t>
        </is>
      </c>
      <c r="E187" s="6" t="inlineStr">
        <is>
          <t>NVDA</t>
        </is>
      </c>
      <c r="F187" s="6" t="inlineStr">
        <is>
          <t>-</t>
        </is>
      </c>
      <c r="G187" s="7">
        <f>Rebalance_Audit!G2783</f>
        <v/>
      </c>
      <c r="H187" s="9">
        <f>Rebalance_Audit!Q2783</f>
        <v/>
      </c>
      <c r="I187" s="7">
        <f>Rebalance_Audit!R2783</f>
        <v/>
      </c>
      <c r="J187" s="8">
        <f>Rebalance_Audit!S2783</f>
        <v/>
      </c>
    </row>
    <row r="188">
      <c r="A188" s="6" t="inlineStr">
        <is>
          <t>DJ30</t>
        </is>
      </c>
      <c r="B188" s="6" t="inlineStr">
        <is>
          <t>2024-09-20</t>
        </is>
      </c>
      <c r="C188" s="6" t="inlineStr">
        <is>
          <t>DIA</t>
        </is>
      </c>
      <c r="D188" s="6" t="inlineStr">
        <is>
          <t>AXP</t>
        </is>
      </c>
      <c r="E188" s="6" t="inlineStr">
        <is>
          <t>AXP</t>
        </is>
      </c>
      <c r="F188" s="6" t="inlineStr">
        <is>
          <t>-</t>
        </is>
      </c>
      <c r="G188" s="7">
        <f>Rebalance_Audit!G2764</f>
        <v/>
      </c>
      <c r="H188" s="9">
        <f>Rebalance_Audit!Q2764</f>
        <v/>
      </c>
      <c r="I188" s="7">
        <f>Rebalance_Audit!R2764</f>
        <v/>
      </c>
      <c r="J188" s="8">
        <f>Rebalance_Audit!S2764</f>
        <v/>
      </c>
    </row>
    <row r="189">
      <c r="A189" s="6" t="inlineStr">
        <is>
          <t>DJ30</t>
        </is>
      </c>
      <c r="B189" s="6" t="inlineStr">
        <is>
          <t>2024-09-20</t>
        </is>
      </c>
      <c r="C189" s="6" t="inlineStr">
        <is>
          <t>DIA</t>
        </is>
      </c>
      <c r="D189" s="6" t="inlineStr">
        <is>
          <t>MMM</t>
        </is>
      </c>
      <c r="E189" s="6" t="inlineStr">
        <is>
          <t>MMM</t>
        </is>
      </c>
      <c r="F189" s="6" t="inlineStr">
        <is>
          <t>-</t>
        </is>
      </c>
      <c r="G189" s="7">
        <f>Rebalance_Audit!G2779</f>
        <v/>
      </c>
      <c r="H189" s="9">
        <f>Rebalance_Audit!Q2779</f>
        <v/>
      </c>
      <c r="I189" s="7">
        <f>Rebalance_Audit!R2779</f>
        <v/>
      </c>
      <c r="J189" s="8">
        <f>Rebalance_Audit!S2779</f>
        <v/>
      </c>
    </row>
    <row r="190">
      <c r="A190" s="6" t="inlineStr">
        <is>
          <t>DJ30</t>
        </is>
      </c>
      <c r="B190" s="6" t="inlineStr">
        <is>
          <t>2024-09-20</t>
        </is>
      </c>
      <c r="C190" s="6" t="inlineStr">
        <is>
          <t>DIA</t>
        </is>
      </c>
      <c r="D190" s="6" t="inlineStr">
        <is>
          <t>KO</t>
        </is>
      </c>
      <c r="E190" s="6" t="inlineStr">
        <is>
          <t>KO</t>
        </is>
      </c>
      <c r="F190" s="6" t="inlineStr">
        <is>
          <t>-</t>
        </is>
      </c>
      <c r="G190" s="7">
        <f>Rebalance_Audit!G2777</f>
        <v/>
      </c>
      <c r="H190" s="9">
        <f>Rebalance_Audit!Q2777</f>
        <v/>
      </c>
      <c r="I190" s="7">
        <f>Rebalance_Audit!R2777</f>
        <v/>
      </c>
      <c r="J190" s="8">
        <f>Rebalance_Audit!S2777</f>
        <v/>
      </c>
    </row>
    <row r="191">
      <c r="A191" s="6" t="inlineStr">
        <is>
          <t>DJ30</t>
        </is>
      </c>
      <c r="B191" s="6" t="inlineStr">
        <is>
          <t>2024-09-20</t>
        </is>
      </c>
      <c r="C191" s="6" t="inlineStr">
        <is>
          <t>DIA</t>
        </is>
      </c>
      <c r="D191" s="6" t="inlineStr">
        <is>
          <t>IBM</t>
        </is>
      </c>
      <c r="E191" s="6" t="inlineStr">
        <is>
          <t>IBM</t>
        </is>
      </c>
      <c r="F191" s="6" t="inlineStr">
        <is>
          <t>-</t>
        </is>
      </c>
      <c r="G191" s="7">
        <f>Rebalance_Audit!G2774</f>
        <v/>
      </c>
      <c r="H191" s="9">
        <f>Rebalance_Audit!Q2774</f>
        <v/>
      </c>
      <c r="I191" s="7">
        <f>Rebalance_Audit!R2774</f>
        <v/>
      </c>
      <c r="J191" s="8">
        <f>Rebalance_Audit!S2774</f>
        <v/>
      </c>
    </row>
    <row r="192">
      <c r="A192" s="6" t="inlineStr">
        <is>
          <t>DJ30</t>
        </is>
      </c>
      <c r="B192" s="6" t="inlineStr">
        <is>
          <t>2024-09-27</t>
        </is>
      </c>
      <c r="C192" s="6" t="inlineStr">
        <is>
          <t>DIA</t>
        </is>
      </c>
      <c r="D192" s="6" t="inlineStr">
        <is>
          <t>NVDA</t>
        </is>
      </c>
      <c r="E192" s="6" t="inlineStr">
        <is>
          <t>NVDA</t>
        </is>
      </c>
      <c r="F192" s="6" t="inlineStr">
        <is>
          <t>-</t>
        </is>
      </c>
      <c r="G192" s="7">
        <f>Rebalance_Audit!G2814</f>
        <v/>
      </c>
      <c r="H192" s="9">
        <f>Rebalance_Audit!Q2814</f>
        <v/>
      </c>
      <c r="I192" s="7">
        <f>Rebalance_Audit!R2814</f>
        <v/>
      </c>
      <c r="J192" s="8">
        <f>Rebalance_Audit!S2814</f>
        <v/>
      </c>
    </row>
    <row r="193">
      <c r="A193" s="6" t="inlineStr">
        <is>
          <t>DJ30</t>
        </is>
      </c>
      <c r="B193" s="6" t="inlineStr">
        <is>
          <t>2024-09-27</t>
        </is>
      </c>
      <c r="C193" s="6" t="inlineStr">
        <is>
          <t>DIA</t>
        </is>
      </c>
      <c r="D193" s="6" t="inlineStr">
        <is>
          <t>MMM</t>
        </is>
      </c>
      <c r="E193" s="6" t="inlineStr">
        <is>
          <t>MMM</t>
        </is>
      </c>
      <c r="F193" s="6" t="inlineStr">
        <is>
          <t>-</t>
        </is>
      </c>
      <c r="G193" s="7">
        <f>Rebalance_Audit!G2810</f>
        <v/>
      </c>
      <c r="H193" s="9">
        <f>Rebalance_Audit!Q2810</f>
        <v/>
      </c>
      <c r="I193" s="7">
        <f>Rebalance_Audit!R2810</f>
        <v/>
      </c>
      <c r="J193" s="8">
        <f>Rebalance_Audit!S2810</f>
        <v/>
      </c>
    </row>
    <row r="194">
      <c r="A194" s="6" t="inlineStr">
        <is>
          <t>DJ30</t>
        </is>
      </c>
      <c r="B194" s="6" t="inlineStr">
        <is>
          <t>2024-09-27</t>
        </is>
      </c>
      <c r="C194" s="6" t="inlineStr">
        <is>
          <t>DIA</t>
        </is>
      </c>
      <c r="D194" s="6" t="inlineStr">
        <is>
          <t>AXP</t>
        </is>
      </c>
      <c r="E194" s="6" t="inlineStr">
        <is>
          <t>AXP</t>
        </is>
      </c>
      <c r="F194" s="6" t="inlineStr">
        <is>
          <t>-</t>
        </is>
      </c>
      <c r="G194" s="7">
        <f>Rebalance_Audit!G2795</f>
        <v/>
      </c>
      <c r="H194" s="9">
        <f>Rebalance_Audit!Q2795</f>
        <v/>
      </c>
      <c r="I194" s="7">
        <f>Rebalance_Audit!R2795</f>
        <v/>
      </c>
      <c r="J194" s="8">
        <f>Rebalance_Audit!S2795</f>
        <v/>
      </c>
    </row>
    <row r="195">
      <c r="A195" s="6" t="inlineStr">
        <is>
          <t>DJ30</t>
        </is>
      </c>
      <c r="B195" s="6" t="inlineStr">
        <is>
          <t>2024-09-27</t>
        </is>
      </c>
      <c r="C195" s="6" t="inlineStr">
        <is>
          <t>DIA</t>
        </is>
      </c>
      <c r="D195" s="6" t="inlineStr">
        <is>
          <t>KO</t>
        </is>
      </c>
      <c r="E195" s="6" t="inlineStr">
        <is>
          <t>KO</t>
        </is>
      </c>
      <c r="F195" s="6" t="inlineStr">
        <is>
          <t>-</t>
        </is>
      </c>
      <c r="G195" s="7">
        <f>Rebalance_Audit!G2808</f>
        <v/>
      </c>
      <c r="H195" s="9">
        <f>Rebalance_Audit!Q2808</f>
        <v/>
      </c>
      <c r="I195" s="7">
        <f>Rebalance_Audit!R2808</f>
        <v/>
      </c>
      <c r="J195" s="8">
        <f>Rebalance_Audit!S2808</f>
        <v/>
      </c>
    </row>
    <row r="196">
      <c r="A196" s="6" t="inlineStr">
        <is>
          <t>DJ30</t>
        </is>
      </c>
      <c r="B196" s="6" t="inlineStr">
        <is>
          <t>2024-09-27</t>
        </is>
      </c>
      <c r="C196" s="6" t="inlineStr">
        <is>
          <t>DIA</t>
        </is>
      </c>
      <c r="D196" s="6" t="inlineStr">
        <is>
          <t>IBM</t>
        </is>
      </c>
      <c r="E196" s="6" t="inlineStr">
        <is>
          <t>IBM</t>
        </is>
      </c>
      <c r="F196" s="6" t="inlineStr">
        <is>
          <t>-</t>
        </is>
      </c>
      <c r="G196" s="7">
        <f>Rebalance_Audit!G2805</f>
        <v/>
      </c>
      <c r="H196" s="9">
        <f>Rebalance_Audit!Q2805</f>
        <v/>
      </c>
      <c r="I196" s="7">
        <f>Rebalance_Audit!R2805</f>
        <v/>
      </c>
      <c r="J196" s="8">
        <f>Rebalance_Audit!S2805</f>
        <v/>
      </c>
    </row>
    <row r="197">
      <c r="A197" s="6" t="inlineStr">
        <is>
          <t>DJ30</t>
        </is>
      </c>
      <c r="B197" s="6" t="inlineStr">
        <is>
          <t>2024-10-04</t>
        </is>
      </c>
      <c r="C197" s="6" t="inlineStr">
        <is>
          <t>DIA</t>
        </is>
      </c>
      <c r="D197" s="6" t="inlineStr">
        <is>
          <t>NVDA</t>
        </is>
      </c>
      <c r="E197" s="6" t="inlineStr">
        <is>
          <t>NVDA</t>
        </is>
      </c>
      <c r="F197" s="6" t="inlineStr">
        <is>
          <t>-</t>
        </is>
      </c>
      <c r="G197" s="7">
        <f>Rebalance_Audit!G2845</f>
        <v/>
      </c>
      <c r="H197" s="9">
        <f>Rebalance_Audit!Q2845</f>
        <v/>
      </c>
      <c r="I197" s="7">
        <f>Rebalance_Audit!R2845</f>
        <v/>
      </c>
      <c r="J197" s="8">
        <f>Rebalance_Audit!S2845</f>
        <v/>
      </c>
    </row>
    <row r="198">
      <c r="A198" s="6" t="inlineStr">
        <is>
          <t>DJ30</t>
        </is>
      </c>
      <c r="B198" s="6" t="inlineStr">
        <is>
          <t>2024-10-04</t>
        </is>
      </c>
      <c r="C198" s="6" t="inlineStr">
        <is>
          <t>DIA</t>
        </is>
      </c>
      <c r="D198" s="6" t="inlineStr">
        <is>
          <t>MMM</t>
        </is>
      </c>
      <c r="E198" s="6" t="inlineStr">
        <is>
          <t>MMM</t>
        </is>
      </c>
      <c r="F198" s="6" t="inlineStr">
        <is>
          <t>-</t>
        </is>
      </c>
      <c r="G198" s="7">
        <f>Rebalance_Audit!G2841</f>
        <v/>
      </c>
      <c r="H198" s="9">
        <f>Rebalance_Audit!Q2841</f>
        <v/>
      </c>
      <c r="I198" s="7">
        <f>Rebalance_Audit!R2841</f>
        <v/>
      </c>
      <c r="J198" s="8">
        <f>Rebalance_Audit!S2841</f>
        <v/>
      </c>
    </row>
    <row r="199">
      <c r="A199" s="6" t="inlineStr">
        <is>
          <t>DJ30</t>
        </is>
      </c>
      <c r="B199" s="6" t="inlineStr">
        <is>
          <t>2024-10-04</t>
        </is>
      </c>
      <c r="C199" s="6" t="inlineStr">
        <is>
          <t>DIA</t>
        </is>
      </c>
      <c r="D199" s="6" t="inlineStr">
        <is>
          <t>AXP</t>
        </is>
      </c>
      <c r="E199" s="6" t="inlineStr">
        <is>
          <t>AXP</t>
        </is>
      </c>
      <c r="F199" s="6" t="inlineStr">
        <is>
          <t>-</t>
        </is>
      </c>
      <c r="G199" s="7">
        <f>Rebalance_Audit!G2826</f>
        <v/>
      </c>
      <c r="H199" s="9">
        <f>Rebalance_Audit!Q2826</f>
        <v/>
      </c>
      <c r="I199" s="7">
        <f>Rebalance_Audit!R2826</f>
        <v/>
      </c>
      <c r="J199" s="8">
        <f>Rebalance_Audit!S2826</f>
        <v/>
      </c>
    </row>
    <row r="200">
      <c r="A200" s="6" t="inlineStr">
        <is>
          <t>DJ30</t>
        </is>
      </c>
      <c r="B200" s="6" t="inlineStr">
        <is>
          <t>2024-10-04</t>
        </is>
      </c>
      <c r="C200" s="6" t="inlineStr">
        <is>
          <t>DIA</t>
        </is>
      </c>
      <c r="D200" s="6" t="inlineStr">
        <is>
          <t>KO</t>
        </is>
      </c>
      <c r="E200" s="6" t="inlineStr">
        <is>
          <t>KO</t>
        </is>
      </c>
      <c r="F200" s="6" t="inlineStr">
        <is>
          <t>-</t>
        </is>
      </c>
      <c r="G200" s="7">
        <f>Rebalance_Audit!G2839</f>
        <v/>
      </c>
      <c r="H200" s="9">
        <f>Rebalance_Audit!Q2839</f>
        <v/>
      </c>
      <c r="I200" s="7">
        <f>Rebalance_Audit!R2839</f>
        <v/>
      </c>
      <c r="J200" s="8">
        <f>Rebalance_Audit!S2839</f>
        <v/>
      </c>
    </row>
    <row r="201">
      <c r="A201" s="6" t="inlineStr">
        <is>
          <t>DJ30</t>
        </is>
      </c>
      <c r="B201" s="6" t="inlineStr">
        <is>
          <t>2024-10-04</t>
        </is>
      </c>
      <c r="C201" s="6" t="inlineStr">
        <is>
          <t>DIA</t>
        </is>
      </c>
      <c r="D201" s="6" t="inlineStr">
        <is>
          <t>IBM</t>
        </is>
      </c>
      <c r="E201" s="6" t="inlineStr">
        <is>
          <t>IBM</t>
        </is>
      </c>
      <c r="F201" s="6" t="inlineStr">
        <is>
          <t>-</t>
        </is>
      </c>
      <c r="G201" s="7">
        <f>Rebalance_Audit!G2836</f>
        <v/>
      </c>
      <c r="H201" s="9">
        <f>Rebalance_Audit!Q2836</f>
        <v/>
      </c>
      <c r="I201" s="7">
        <f>Rebalance_Audit!R2836</f>
        <v/>
      </c>
      <c r="J201" s="8">
        <f>Rebalance_Audit!S2836</f>
        <v/>
      </c>
    </row>
    <row r="202">
      <c r="A202" s="6" t="inlineStr">
        <is>
          <t>DJ30</t>
        </is>
      </c>
      <c r="B202" s="6" t="inlineStr">
        <is>
          <t>2024-10-11</t>
        </is>
      </c>
      <c r="C202" s="6" t="inlineStr">
        <is>
          <t>DIA</t>
        </is>
      </c>
      <c r="D202" s="6" t="inlineStr">
        <is>
          <t>NVDA</t>
        </is>
      </c>
      <c r="E202" s="6" t="inlineStr">
        <is>
          <t>NVDA</t>
        </is>
      </c>
      <c r="F202" s="6" t="inlineStr">
        <is>
          <t>-</t>
        </is>
      </c>
      <c r="G202" s="7">
        <f>Rebalance_Audit!G2876</f>
        <v/>
      </c>
      <c r="H202" s="9">
        <f>Rebalance_Audit!Q2876</f>
        <v/>
      </c>
      <c r="I202" s="7">
        <f>Rebalance_Audit!R2876</f>
        <v/>
      </c>
      <c r="J202" s="8">
        <f>Rebalance_Audit!S2876</f>
        <v/>
      </c>
    </row>
    <row r="203">
      <c r="A203" s="6" t="inlineStr">
        <is>
          <t>DJ30</t>
        </is>
      </c>
      <c r="B203" s="6" t="inlineStr">
        <is>
          <t>2024-10-11</t>
        </is>
      </c>
      <c r="C203" s="6" t="inlineStr">
        <is>
          <t>DIA</t>
        </is>
      </c>
      <c r="D203" s="6" t="inlineStr">
        <is>
          <t>MMM</t>
        </is>
      </c>
      <c r="E203" s="6" t="inlineStr">
        <is>
          <t>MMM</t>
        </is>
      </c>
      <c r="F203" s="6" t="inlineStr">
        <is>
          <t>-</t>
        </is>
      </c>
      <c r="G203" s="7">
        <f>Rebalance_Audit!G2872</f>
        <v/>
      </c>
      <c r="H203" s="9">
        <f>Rebalance_Audit!Q2872</f>
        <v/>
      </c>
      <c r="I203" s="7">
        <f>Rebalance_Audit!R2872</f>
        <v/>
      </c>
      <c r="J203" s="8">
        <f>Rebalance_Audit!S2872</f>
        <v/>
      </c>
    </row>
    <row r="204">
      <c r="A204" s="6" t="inlineStr">
        <is>
          <t>DJ30</t>
        </is>
      </c>
      <c r="B204" s="6" t="inlineStr">
        <is>
          <t>2024-10-11</t>
        </is>
      </c>
      <c r="C204" s="6" t="inlineStr">
        <is>
          <t>DIA</t>
        </is>
      </c>
      <c r="D204" s="6" t="inlineStr">
        <is>
          <t>AXP</t>
        </is>
      </c>
      <c r="E204" s="6" t="inlineStr">
        <is>
          <t>AXP</t>
        </is>
      </c>
      <c r="F204" s="6" t="inlineStr">
        <is>
          <t>-</t>
        </is>
      </c>
      <c r="G204" s="7">
        <f>Rebalance_Audit!G2857</f>
        <v/>
      </c>
      <c r="H204" s="9">
        <f>Rebalance_Audit!Q2857</f>
        <v/>
      </c>
      <c r="I204" s="7">
        <f>Rebalance_Audit!R2857</f>
        <v/>
      </c>
      <c r="J204" s="8">
        <f>Rebalance_Audit!S2857</f>
        <v/>
      </c>
    </row>
    <row r="205">
      <c r="A205" s="6" t="inlineStr">
        <is>
          <t>DJ30</t>
        </is>
      </c>
      <c r="B205" s="6" t="inlineStr">
        <is>
          <t>2024-10-11</t>
        </is>
      </c>
      <c r="C205" s="6" t="inlineStr">
        <is>
          <t>DIA</t>
        </is>
      </c>
      <c r="D205" s="6" t="inlineStr">
        <is>
          <t>WMT</t>
        </is>
      </c>
      <c r="E205" s="6" t="inlineStr">
        <is>
          <t>WMT</t>
        </is>
      </c>
      <c r="F205" s="6" t="inlineStr">
        <is>
          <t>-</t>
        </is>
      </c>
      <c r="G205" s="7">
        <f>Rebalance_Audit!G2883</f>
        <v/>
      </c>
      <c r="H205" s="9">
        <f>Rebalance_Audit!Q2883</f>
        <v/>
      </c>
      <c r="I205" s="7">
        <f>Rebalance_Audit!R2883</f>
        <v/>
      </c>
      <c r="J205" s="8">
        <f>Rebalance_Audit!S2883</f>
        <v/>
      </c>
    </row>
    <row r="206">
      <c r="A206" s="6" t="inlineStr">
        <is>
          <t>DJ30</t>
        </is>
      </c>
      <c r="B206" s="6" t="inlineStr">
        <is>
          <t>2024-10-11</t>
        </is>
      </c>
      <c r="C206" s="6" t="inlineStr">
        <is>
          <t>DIA</t>
        </is>
      </c>
      <c r="D206" s="6" t="inlineStr">
        <is>
          <t>KO</t>
        </is>
      </c>
      <c r="E206" s="6" t="inlineStr">
        <is>
          <t>KO</t>
        </is>
      </c>
      <c r="F206" s="6" t="inlineStr">
        <is>
          <t>-</t>
        </is>
      </c>
      <c r="G206" s="7">
        <f>Rebalance_Audit!G2870</f>
        <v/>
      </c>
      <c r="H206" s="9">
        <f>Rebalance_Audit!Q2870</f>
        <v/>
      </c>
      <c r="I206" s="7">
        <f>Rebalance_Audit!R2870</f>
        <v/>
      </c>
      <c r="J206" s="8">
        <f>Rebalance_Audit!S2870</f>
        <v/>
      </c>
    </row>
    <row r="207">
      <c r="A207" s="6" t="inlineStr">
        <is>
          <t>DJ30</t>
        </is>
      </c>
      <c r="B207" s="6" t="inlineStr">
        <is>
          <t>2024-10-18</t>
        </is>
      </c>
      <c r="C207" s="6" t="inlineStr">
        <is>
          <t>DIA</t>
        </is>
      </c>
      <c r="D207" s="6" t="inlineStr">
        <is>
          <t>NVDA</t>
        </is>
      </c>
      <c r="E207" s="6" t="inlineStr">
        <is>
          <t>NVDA</t>
        </is>
      </c>
      <c r="F207" s="6" t="inlineStr">
        <is>
          <t>-</t>
        </is>
      </c>
      <c r="G207" s="7">
        <f>Rebalance_Audit!G2907</f>
        <v/>
      </c>
      <c r="H207" s="9">
        <f>Rebalance_Audit!Q2907</f>
        <v/>
      </c>
      <c r="I207" s="7">
        <f>Rebalance_Audit!R2907</f>
        <v/>
      </c>
      <c r="J207" s="8">
        <f>Rebalance_Audit!S2907</f>
        <v/>
      </c>
    </row>
    <row r="208">
      <c r="A208" s="6" t="inlineStr">
        <is>
          <t>DJ30</t>
        </is>
      </c>
      <c r="B208" s="6" t="inlineStr">
        <is>
          <t>2024-10-18</t>
        </is>
      </c>
      <c r="C208" s="6" t="inlineStr">
        <is>
          <t>DIA</t>
        </is>
      </c>
      <c r="D208" s="6" t="inlineStr">
        <is>
          <t>MMM</t>
        </is>
      </c>
      <c r="E208" s="6" t="inlineStr">
        <is>
          <t>MMM</t>
        </is>
      </c>
      <c r="F208" s="6" t="inlineStr">
        <is>
          <t>-</t>
        </is>
      </c>
      <c r="G208" s="7">
        <f>Rebalance_Audit!G2903</f>
        <v/>
      </c>
      <c r="H208" s="9">
        <f>Rebalance_Audit!Q2903</f>
        <v/>
      </c>
      <c r="I208" s="7">
        <f>Rebalance_Audit!R2903</f>
        <v/>
      </c>
      <c r="J208" s="8">
        <f>Rebalance_Audit!S2903</f>
        <v/>
      </c>
    </row>
    <row r="209">
      <c r="A209" s="6" t="inlineStr">
        <is>
          <t>DJ30</t>
        </is>
      </c>
      <c r="B209" s="6" t="inlineStr">
        <is>
          <t>2024-10-18</t>
        </is>
      </c>
      <c r="C209" s="6" t="inlineStr">
        <is>
          <t>DIA</t>
        </is>
      </c>
      <c r="D209" s="6" t="inlineStr">
        <is>
          <t>AXP</t>
        </is>
      </c>
      <c r="E209" s="6" t="inlineStr">
        <is>
          <t>AXP</t>
        </is>
      </c>
      <c r="F209" s="6" t="inlineStr">
        <is>
          <t>-</t>
        </is>
      </c>
      <c r="G209" s="7">
        <f>Rebalance_Audit!G2888</f>
        <v/>
      </c>
      <c r="H209" s="9">
        <f>Rebalance_Audit!Q2888</f>
        <v/>
      </c>
      <c r="I209" s="7">
        <f>Rebalance_Audit!R2888</f>
        <v/>
      </c>
      <c r="J209" s="8">
        <f>Rebalance_Audit!S2888</f>
        <v/>
      </c>
    </row>
    <row r="210">
      <c r="A210" s="6" t="inlineStr">
        <is>
          <t>DJ30</t>
        </is>
      </c>
      <c r="B210" s="6" t="inlineStr">
        <is>
          <t>2024-10-18</t>
        </is>
      </c>
      <c r="C210" s="6" t="inlineStr">
        <is>
          <t>DIA</t>
        </is>
      </c>
      <c r="D210" s="6" t="inlineStr">
        <is>
          <t>KO</t>
        </is>
      </c>
      <c r="E210" s="6" t="inlineStr">
        <is>
          <t>KO</t>
        </is>
      </c>
      <c r="F210" s="6" t="inlineStr">
        <is>
          <t>-</t>
        </is>
      </c>
      <c r="G210" s="7">
        <f>Rebalance_Audit!G2901</f>
        <v/>
      </c>
      <c r="H210" s="9">
        <f>Rebalance_Audit!Q2901</f>
        <v/>
      </c>
      <c r="I210" s="7">
        <f>Rebalance_Audit!R2901</f>
        <v/>
      </c>
      <c r="J210" s="8">
        <f>Rebalance_Audit!S2901</f>
        <v/>
      </c>
    </row>
    <row r="211">
      <c r="A211" s="6" t="inlineStr">
        <is>
          <t>DJ30</t>
        </is>
      </c>
      <c r="B211" s="6" t="inlineStr">
        <is>
          <t>2024-10-18</t>
        </is>
      </c>
      <c r="C211" s="6" t="inlineStr">
        <is>
          <t>DIA</t>
        </is>
      </c>
      <c r="D211" s="6" t="inlineStr">
        <is>
          <t>TRV</t>
        </is>
      </c>
      <c r="E211" s="6" t="inlineStr">
        <is>
          <t>TRV</t>
        </is>
      </c>
      <c r="F211" s="6" t="inlineStr">
        <is>
          <t>-</t>
        </is>
      </c>
      <c r="G211" s="7">
        <f>Rebalance_Audit!G2910</f>
        <v/>
      </c>
      <c r="H211" s="9">
        <f>Rebalance_Audit!Q2910</f>
        <v/>
      </c>
      <c r="I211" s="7">
        <f>Rebalance_Audit!R2910</f>
        <v/>
      </c>
      <c r="J211" s="8">
        <f>Rebalance_Audit!S2910</f>
        <v/>
      </c>
    </row>
    <row r="212">
      <c r="A212" s="6" t="inlineStr">
        <is>
          <t>DJ30</t>
        </is>
      </c>
      <c r="B212" s="6" t="inlineStr">
        <is>
          <t>2024-10-25</t>
        </is>
      </c>
      <c r="C212" s="6" t="inlineStr">
        <is>
          <t>DIA</t>
        </is>
      </c>
      <c r="D212" s="6" t="inlineStr">
        <is>
          <t>NVDA</t>
        </is>
      </c>
      <c r="E212" s="6" t="inlineStr">
        <is>
          <t>NVDA</t>
        </is>
      </c>
      <c r="F212" s="6" t="inlineStr">
        <is>
          <t>-</t>
        </is>
      </c>
      <c r="G212" s="7">
        <f>Rebalance_Audit!G2938</f>
        <v/>
      </c>
      <c r="H212" s="9">
        <f>Rebalance_Audit!Q2938</f>
        <v/>
      </c>
      <c r="I212" s="7">
        <f>Rebalance_Audit!R2938</f>
        <v/>
      </c>
      <c r="J212" s="8">
        <f>Rebalance_Audit!S2938</f>
        <v/>
      </c>
    </row>
    <row r="213">
      <c r="A213" s="6" t="inlineStr">
        <is>
          <t>DJ30</t>
        </is>
      </c>
      <c r="B213" s="6" t="inlineStr">
        <is>
          <t>2024-10-25</t>
        </is>
      </c>
      <c r="C213" s="6" t="inlineStr">
        <is>
          <t>DIA</t>
        </is>
      </c>
      <c r="D213" s="6" t="inlineStr">
        <is>
          <t>MMM</t>
        </is>
      </c>
      <c r="E213" s="6" t="inlineStr">
        <is>
          <t>MMM</t>
        </is>
      </c>
      <c r="F213" s="6" t="inlineStr">
        <is>
          <t>-</t>
        </is>
      </c>
      <c r="G213" s="7">
        <f>Rebalance_Audit!G2934</f>
        <v/>
      </c>
      <c r="H213" s="9">
        <f>Rebalance_Audit!Q2934</f>
        <v/>
      </c>
      <c r="I213" s="7">
        <f>Rebalance_Audit!R2934</f>
        <v/>
      </c>
      <c r="J213" s="8">
        <f>Rebalance_Audit!S2934</f>
        <v/>
      </c>
    </row>
    <row r="214">
      <c r="A214" s="6" t="inlineStr">
        <is>
          <t>DJ30</t>
        </is>
      </c>
      <c r="B214" s="6" t="inlineStr">
        <is>
          <t>2024-10-25</t>
        </is>
      </c>
      <c r="C214" s="6" t="inlineStr">
        <is>
          <t>DIA</t>
        </is>
      </c>
      <c r="D214" s="6" t="inlineStr">
        <is>
          <t>AXP</t>
        </is>
      </c>
      <c r="E214" s="6" t="inlineStr">
        <is>
          <t>AXP</t>
        </is>
      </c>
      <c r="F214" s="6" t="inlineStr">
        <is>
          <t>-</t>
        </is>
      </c>
      <c r="G214" s="7">
        <f>Rebalance_Audit!G2919</f>
        <v/>
      </c>
      <c r="H214" s="9">
        <f>Rebalance_Audit!Q2919</f>
        <v/>
      </c>
      <c r="I214" s="7">
        <f>Rebalance_Audit!R2919</f>
        <v/>
      </c>
      <c r="J214" s="8">
        <f>Rebalance_Audit!S2919</f>
        <v/>
      </c>
    </row>
    <row r="215">
      <c r="A215" s="6" t="inlineStr">
        <is>
          <t>DJ30</t>
        </is>
      </c>
      <c r="B215" s="6" t="inlineStr">
        <is>
          <t>2024-10-25</t>
        </is>
      </c>
      <c r="C215" s="6" t="inlineStr">
        <is>
          <t>DIA</t>
        </is>
      </c>
      <c r="D215" s="6" t="inlineStr">
        <is>
          <t>TRV</t>
        </is>
      </c>
      <c r="E215" s="6" t="inlineStr">
        <is>
          <t>TRV</t>
        </is>
      </c>
      <c r="F215" s="6" t="inlineStr">
        <is>
          <t>-</t>
        </is>
      </c>
      <c r="G215" s="7">
        <f>Rebalance_Audit!G2941</f>
        <v/>
      </c>
      <c r="H215" s="9">
        <f>Rebalance_Audit!Q2941</f>
        <v/>
      </c>
      <c r="I215" s="7">
        <f>Rebalance_Audit!R2941</f>
        <v/>
      </c>
      <c r="J215" s="8">
        <f>Rebalance_Audit!S2941</f>
        <v/>
      </c>
    </row>
    <row r="216">
      <c r="A216" s="6" t="inlineStr">
        <is>
          <t>DJ30</t>
        </is>
      </c>
      <c r="B216" s="6" t="inlineStr">
        <is>
          <t>2024-10-25</t>
        </is>
      </c>
      <c r="C216" s="6" t="inlineStr">
        <is>
          <t>DIA</t>
        </is>
      </c>
      <c r="D216" s="6" t="inlineStr">
        <is>
          <t>PG</t>
        </is>
      </c>
      <c r="E216" s="6" t="inlineStr">
        <is>
          <t>PG</t>
        </is>
      </c>
      <c r="F216" s="6" t="inlineStr">
        <is>
          <t>-</t>
        </is>
      </c>
      <c r="G216" s="7">
        <f>Rebalance_Audit!G2939</f>
        <v/>
      </c>
      <c r="H216" s="9">
        <f>Rebalance_Audit!Q2939</f>
        <v/>
      </c>
      <c r="I216" s="7">
        <f>Rebalance_Audit!R2939</f>
        <v/>
      </c>
      <c r="J216" s="8">
        <f>Rebalance_Audit!S2939</f>
        <v/>
      </c>
    </row>
    <row r="217">
      <c r="A217" s="6" t="inlineStr">
        <is>
          <t>DJ30</t>
        </is>
      </c>
      <c r="B217" s="6" t="inlineStr">
        <is>
          <t>2024-11-01</t>
        </is>
      </c>
      <c r="C217" s="6" t="inlineStr">
        <is>
          <t>DIA</t>
        </is>
      </c>
      <c r="D217" s="6" t="inlineStr">
        <is>
          <t>NVDA</t>
        </is>
      </c>
      <c r="E217" s="6" t="inlineStr">
        <is>
          <t>NVDA</t>
        </is>
      </c>
      <c r="F217" s="6" t="inlineStr">
        <is>
          <t>-</t>
        </is>
      </c>
      <c r="G217" s="7">
        <f>Rebalance_Audit!G2969</f>
        <v/>
      </c>
      <c r="H217" s="9">
        <f>Rebalance_Audit!Q2969</f>
        <v/>
      </c>
      <c r="I217" s="7">
        <f>Rebalance_Audit!R2969</f>
        <v/>
      </c>
      <c r="J217" s="8">
        <f>Rebalance_Audit!S2969</f>
        <v/>
      </c>
    </row>
    <row r="218">
      <c r="A218" s="6" t="inlineStr">
        <is>
          <t>DJ30</t>
        </is>
      </c>
      <c r="B218" s="6" t="inlineStr">
        <is>
          <t>2024-11-01</t>
        </is>
      </c>
      <c r="C218" s="6" t="inlineStr">
        <is>
          <t>DIA</t>
        </is>
      </c>
      <c r="D218" s="6" t="inlineStr">
        <is>
          <t>MMM</t>
        </is>
      </c>
      <c r="E218" s="6" t="inlineStr">
        <is>
          <t>MMM</t>
        </is>
      </c>
      <c r="F218" s="6" t="inlineStr">
        <is>
          <t>-</t>
        </is>
      </c>
      <c r="G218" s="7">
        <f>Rebalance_Audit!G2965</f>
        <v/>
      </c>
      <c r="H218" s="9">
        <f>Rebalance_Audit!Q2965</f>
        <v/>
      </c>
      <c r="I218" s="7">
        <f>Rebalance_Audit!R2965</f>
        <v/>
      </c>
      <c r="J218" s="8">
        <f>Rebalance_Audit!S2965</f>
        <v/>
      </c>
    </row>
    <row r="219">
      <c r="A219" s="6" t="inlineStr">
        <is>
          <t>DJ30</t>
        </is>
      </c>
      <c r="B219" s="6" t="inlineStr">
        <is>
          <t>2024-11-01</t>
        </is>
      </c>
      <c r="C219" s="6" t="inlineStr">
        <is>
          <t>DIA</t>
        </is>
      </c>
      <c r="D219" s="6" t="inlineStr">
        <is>
          <t>GS</t>
        </is>
      </c>
      <c r="E219" s="6" t="inlineStr">
        <is>
          <t>GS</t>
        </is>
      </c>
      <c r="F219" s="6" t="inlineStr">
        <is>
          <t>-</t>
        </is>
      </c>
      <c r="G219" s="7">
        <f>Rebalance_Audit!G2957</f>
        <v/>
      </c>
      <c r="H219" s="9">
        <f>Rebalance_Audit!Q2957</f>
        <v/>
      </c>
      <c r="I219" s="7">
        <f>Rebalance_Audit!R2957</f>
        <v/>
      </c>
      <c r="J219" s="8">
        <f>Rebalance_Audit!S2957</f>
        <v/>
      </c>
    </row>
    <row r="220">
      <c r="A220" s="6" t="inlineStr">
        <is>
          <t>DJ30</t>
        </is>
      </c>
      <c r="B220" s="6" t="inlineStr">
        <is>
          <t>2024-11-01</t>
        </is>
      </c>
      <c r="C220" s="6" t="inlineStr">
        <is>
          <t>DIA</t>
        </is>
      </c>
      <c r="D220" s="6" t="inlineStr">
        <is>
          <t>KO</t>
        </is>
      </c>
      <c r="E220" s="6" t="inlineStr">
        <is>
          <t>KO</t>
        </is>
      </c>
      <c r="F220" s="6" t="inlineStr">
        <is>
          <t>-</t>
        </is>
      </c>
      <c r="G220" s="7">
        <f>Rebalance_Audit!G2963</f>
        <v/>
      </c>
      <c r="H220" s="9">
        <f>Rebalance_Audit!Q2963</f>
        <v/>
      </c>
      <c r="I220" s="7">
        <f>Rebalance_Audit!R2963</f>
        <v/>
      </c>
      <c r="J220" s="8">
        <f>Rebalance_Audit!S2963</f>
        <v/>
      </c>
    </row>
    <row r="221">
      <c r="A221" s="6" t="inlineStr">
        <is>
          <t>DJ30</t>
        </is>
      </c>
      <c r="B221" s="6" t="inlineStr">
        <is>
          <t>2024-11-01</t>
        </is>
      </c>
      <c r="C221" s="6" t="inlineStr">
        <is>
          <t>DIA</t>
        </is>
      </c>
      <c r="D221" s="6" t="inlineStr">
        <is>
          <t>TRV</t>
        </is>
      </c>
      <c r="E221" s="6" t="inlineStr">
        <is>
          <t>TRV</t>
        </is>
      </c>
      <c r="F221" s="6" t="inlineStr">
        <is>
          <t>-</t>
        </is>
      </c>
      <c r="G221" s="7">
        <f>Rebalance_Audit!G2972</f>
        <v/>
      </c>
      <c r="H221" s="9">
        <f>Rebalance_Audit!Q2972</f>
        <v/>
      </c>
      <c r="I221" s="7">
        <f>Rebalance_Audit!R2972</f>
        <v/>
      </c>
      <c r="J221" s="8">
        <f>Rebalance_Audit!S2972</f>
        <v/>
      </c>
    </row>
    <row r="222">
      <c r="A222" s="6" t="inlineStr">
        <is>
          <t>DJ30</t>
        </is>
      </c>
      <c r="B222" s="6" t="inlineStr">
        <is>
          <t>2024-11-08</t>
        </is>
      </c>
      <c r="C222" s="6" t="inlineStr">
        <is>
          <t>DIA</t>
        </is>
      </c>
      <c r="D222" s="6" t="inlineStr">
        <is>
          <t>NVDA</t>
        </is>
      </c>
      <c r="E222" s="6" t="inlineStr">
        <is>
          <t>NVDA</t>
        </is>
      </c>
      <c r="F222" s="6" t="inlineStr">
        <is>
          <t>-</t>
        </is>
      </c>
      <c r="G222" s="7">
        <f>Rebalance_Audit!G3000</f>
        <v/>
      </c>
      <c r="H222" s="9">
        <f>Rebalance_Audit!Q3000</f>
        <v/>
      </c>
      <c r="I222" s="7">
        <f>Rebalance_Audit!R3000</f>
        <v/>
      </c>
      <c r="J222" s="8">
        <f>Rebalance_Audit!S3000</f>
        <v/>
      </c>
    </row>
    <row r="223">
      <c r="A223" s="6" t="inlineStr">
        <is>
          <t>DJ30</t>
        </is>
      </c>
      <c r="B223" s="6" t="inlineStr">
        <is>
          <t>2024-11-08</t>
        </is>
      </c>
      <c r="C223" s="6" t="inlineStr">
        <is>
          <t>DIA</t>
        </is>
      </c>
      <c r="D223" s="6" t="inlineStr">
        <is>
          <t>MMM</t>
        </is>
      </c>
      <c r="E223" s="6" t="inlineStr">
        <is>
          <t>MMM</t>
        </is>
      </c>
      <c r="F223" s="6" t="inlineStr">
        <is>
          <t>-</t>
        </is>
      </c>
      <c r="G223" s="7">
        <f>Rebalance_Audit!G2996</f>
        <v/>
      </c>
      <c r="H223" s="9">
        <f>Rebalance_Audit!Q2996</f>
        <v/>
      </c>
      <c r="I223" s="7">
        <f>Rebalance_Audit!R2996</f>
        <v/>
      </c>
      <c r="J223" s="8">
        <f>Rebalance_Audit!S2996</f>
        <v/>
      </c>
    </row>
    <row r="224">
      <c r="A224" s="6" t="inlineStr">
        <is>
          <t>DJ30</t>
        </is>
      </c>
      <c r="B224" s="6" t="inlineStr">
        <is>
          <t>2024-11-08</t>
        </is>
      </c>
      <c r="C224" s="6" t="inlineStr">
        <is>
          <t>DIA</t>
        </is>
      </c>
      <c r="D224" s="6" t="inlineStr">
        <is>
          <t>GS</t>
        </is>
      </c>
      <c r="E224" s="6" t="inlineStr">
        <is>
          <t>GS</t>
        </is>
      </c>
      <c r="F224" s="6" t="inlineStr">
        <is>
          <t>-</t>
        </is>
      </c>
      <c r="G224" s="7">
        <f>Rebalance_Audit!G2988</f>
        <v/>
      </c>
      <c r="H224" s="9">
        <f>Rebalance_Audit!Q2988</f>
        <v/>
      </c>
      <c r="I224" s="7">
        <f>Rebalance_Audit!R2988</f>
        <v/>
      </c>
      <c r="J224" s="8">
        <f>Rebalance_Audit!S2988</f>
        <v/>
      </c>
    </row>
    <row r="225">
      <c r="A225" s="6" t="inlineStr">
        <is>
          <t>DJ30</t>
        </is>
      </c>
      <c r="B225" s="6" t="inlineStr">
        <is>
          <t>2024-11-08</t>
        </is>
      </c>
      <c r="C225" s="6" t="inlineStr">
        <is>
          <t>DIA</t>
        </is>
      </c>
      <c r="D225" s="6" t="inlineStr">
        <is>
          <t>KO</t>
        </is>
      </c>
      <c r="E225" s="6" t="inlineStr">
        <is>
          <t>KO</t>
        </is>
      </c>
      <c r="F225" s="6" t="inlineStr">
        <is>
          <t>-</t>
        </is>
      </c>
      <c r="G225" s="7">
        <f>Rebalance_Audit!G2994</f>
        <v/>
      </c>
      <c r="H225" s="9">
        <f>Rebalance_Audit!Q2994</f>
        <v/>
      </c>
      <c r="I225" s="7">
        <f>Rebalance_Audit!R2994</f>
        <v/>
      </c>
      <c r="J225" s="8">
        <f>Rebalance_Audit!S2994</f>
        <v/>
      </c>
    </row>
    <row r="226">
      <c r="A226" s="6" t="inlineStr">
        <is>
          <t>DJ30</t>
        </is>
      </c>
      <c r="B226" s="6" t="inlineStr">
        <is>
          <t>2024-11-08</t>
        </is>
      </c>
      <c r="C226" s="6" t="inlineStr">
        <is>
          <t>DIA</t>
        </is>
      </c>
      <c r="D226" s="6" t="inlineStr">
        <is>
          <t>TRV</t>
        </is>
      </c>
      <c r="E226" s="6" t="inlineStr">
        <is>
          <t>TRV</t>
        </is>
      </c>
      <c r="F226" s="6" t="inlineStr">
        <is>
          <t>-</t>
        </is>
      </c>
      <c r="G226" s="7">
        <f>Rebalance_Audit!G3003</f>
        <v/>
      </c>
      <c r="H226" s="9">
        <f>Rebalance_Audit!Q3003</f>
        <v/>
      </c>
      <c r="I226" s="7">
        <f>Rebalance_Audit!R3003</f>
        <v/>
      </c>
      <c r="J226" s="8">
        <f>Rebalance_Audit!S3003</f>
        <v/>
      </c>
    </row>
    <row r="227">
      <c r="A227" s="6" t="inlineStr">
        <is>
          <t>DJ30</t>
        </is>
      </c>
      <c r="B227" s="6" t="inlineStr">
        <is>
          <t>2024-11-15</t>
        </is>
      </c>
      <c r="C227" s="6" t="inlineStr">
        <is>
          <t>DIA</t>
        </is>
      </c>
      <c r="D227" s="6" t="inlineStr">
        <is>
          <t>NVDA</t>
        </is>
      </c>
      <c r="E227" s="6" t="inlineStr">
        <is>
          <t>NVDA</t>
        </is>
      </c>
      <c r="F227" s="6" t="inlineStr">
        <is>
          <t>-</t>
        </is>
      </c>
      <c r="G227" s="7">
        <f>Rebalance_Audit!G3031</f>
        <v/>
      </c>
      <c r="H227" s="9">
        <f>Rebalance_Audit!Q3031</f>
        <v/>
      </c>
      <c r="I227" s="7">
        <f>Rebalance_Audit!R3031</f>
        <v/>
      </c>
      <c r="J227" s="8">
        <f>Rebalance_Audit!S3031</f>
        <v/>
      </c>
    </row>
    <row r="228">
      <c r="A228" s="6" t="inlineStr">
        <is>
          <t>DJ30</t>
        </is>
      </c>
      <c r="B228" s="6" t="inlineStr">
        <is>
          <t>2024-11-15</t>
        </is>
      </c>
      <c r="C228" s="6" t="inlineStr">
        <is>
          <t>DIA</t>
        </is>
      </c>
      <c r="D228" s="6" t="inlineStr">
        <is>
          <t>MMM</t>
        </is>
      </c>
      <c r="E228" s="6" t="inlineStr">
        <is>
          <t>MMM</t>
        </is>
      </c>
      <c r="F228" s="6" t="inlineStr">
        <is>
          <t>-</t>
        </is>
      </c>
      <c r="G228" s="7">
        <f>Rebalance_Audit!G3027</f>
        <v/>
      </c>
      <c r="H228" s="9">
        <f>Rebalance_Audit!Q3027</f>
        <v/>
      </c>
      <c r="I228" s="7">
        <f>Rebalance_Audit!R3027</f>
        <v/>
      </c>
      <c r="J228" s="8">
        <f>Rebalance_Audit!S3027</f>
        <v/>
      </c>
    </row>
    <row r="229">
      <c r="A229" s="6" t="inlineStr">
        <is>
          <t>DJ30</t>
        </is>
      </c>
      <c r="B229" s="6" t="inlineStr">
        <is>
          <t>2024-11-15</t>
        </is>
      </c>
      <c r="C229" s="6" t="inlineStr">
        <is>
          <t>DIA</t>
        </is>
      </c>
      <c r="D229" s="6" t="inlineStr">
        <is>
          <t>GS</t>
        </is>
      </c>
      <c r="E229" s="6" t="inlineStr">
        <is>
          <t>GS</t>
        </is>
      </c>
      <c r="F229" s="6" t="inlineStr">
        <is>
          <t>-</t>
        </is>
      </c>
      <c r="G229" s="7">
        <f>Rebalance_Audit!G3019</f>
        <v/>
      </c>
      <c r="H229" s="9">
        <f>Rebalance_Audit!Q3019</f>
        <v/>
      </c>
      <c r="I229" s="7">
        <f>Rebalance_Audit!R3019</f>
        <v/>
      </c>
      <c r="J229" s="8">
        <f>Rebalance_Audit!S3019</f>
        <v/>
      </c>
    </row>
    <row r="230">
      <c r="A230" s="6" t="inlineStr">
        <is>
          <t>DJ30</t>
        </is>
      </c>
      <c r="B230" s="6" t="inlineStr">
        <is>
          <t>2024-11-15</t>
        </is>
      </c>
      <c r="C230" s="6" t="inlineStr">
        <is>
          <t>DIA</t>
        </is>
      </c>
      <c r="D230" s="6" t="inlineStr">
        <is>
          <t>KO</t>
        </is>
      </c>
      <c r="E230" s="6" t="inlineStr">
        <is>
          <t>KO</t>
        </is>
      </c>
      <c r="F230" s="6" t="inlineStr">
        <is>
          <t>-</t>
        </is>
      </c>
      <c r="G230" s="7">
        <f>Rebalance_Audit!G3025</f>
        <v/>
      </c>
      <c r="H230" s="9">
        <f>Rebalance_Audit!Q3025</f>
        <v/>
      </c>
      <c r="I230" s="7">
        <f>Rebalance_Audit!R3025</f>
        <v/>
      </c>
      <c r="J230" s="8">
        <f>Rebalance_Audit!S3025</f>
        <v/>
      </c>
    </row>
    <row r="231">
      <c r="A231" s="6" t="inlineStr">
        <is>
          <t>DJ30</t>
        </is>
      </c>
      <c r="B231" s="6" t="inlineStr">
        <is>
          <t>2024-11-15</t>
        </is>
      </c>
      <c r="C231" s="6" t="inlineStr">
        <is>
          <t>DIA</t>
        </is>
      </c>
      <c r="D231" s="6" t="inlineStr">
        <is>
          <t>TRV</t>
        </is>
      </c>
      <c r="E231" s="6" t="inlineStr">
        <is>
          <t>TRV</t>
        </is>
      </c>
      <c r="F231" s="6" t="inlineStr">
        <is>
          <t>-</t>
        </is>
      </c>
      <c r="G231" s="7">
        <f>Rebalance_Audit!G3034</f>
        <v/>
      </c>
      <c r="H231" s="9">
        <f>Rebalance_Audit!Q3034</f>
        <v/>
      </c>
      <c r="I231" s="7">
        <f>Rebalance_Audit!R3034</f>
        <v/>
      </c>
      <c r="J231" s="8">
        <f>Rebalance_Audit!S3034</f>
        <v/>
      </c>
    </row>
    <row r="232">
      <c r="A232" s="6" t="inlineStr">
        <is>
          <t>DJ30</t>
        </is>
      </c>
      <c r="B232" s="6" t="inlineStr">
        <is>
          <t>2024-11-22</t>
        </is>
      </c>
      <c r="C232" s="6" t="inlineStr">
        <is>
          <t>DIA</t>
        </is>
      </c>
      <c r="D232" s="6" t="inlineStr">
        <is>
          <t>NVDA</t>
        </is>
      </c>
      <c r="E232" s="6" t="inlineStr">
        <is>
          <t>NVDA</t>
        </is>
      </c>
      <c r="F232" s="6" t="inlineStr">
        <is>
          <t>-</t>
        </is>
      </c>
      <c r="G232" s="7">
        <f>Rebalance_Audit!G3062</f>
        <v/>
      </c>
      <c r="H232" s="9">
        <f>Rebalance_Audit!Q3062</f>
        <v/>
      </c>
      <c r="I232" s="7">
        <f>Rebalance_Audit!R3062</f>
        <v/>
      </c>
      <c r="J232" s="8">
        <f>Rebalance_Audit!S3062</f>
        <v/>
      </c>
    </row>
    <row r="233">
      <c r="A233" s="6" t="inlineStr">
        <is>
          <t>DJ30</t>
        </is>
      </c>
      <c r="B233" s="6" t="inlineStr">
        <is>
          <t>2024-11-22</t>
        </is>
      </c>
      <c r="C233" s="6" t="inlineStr">
        <is>
          <t>DIA</t>
        </is>
      </c>
      <c r="D233" s="6" t="inlineStr">
        <is>
          <t>MMM</t>
        </is>
      </c>
      <c r="E233" s="6" t="inlineStr">
        <is>
          <t>MMM</t>
        </is>
      </c>
      <c r="F233" s="6" t="inlineStr">
        <is>
          <t>-</t>
        </is>
      </c>
      <c r="G233" s="7">
        <f>Rebalance_Audit!G3058</f>
        <v/>
      </c>
      <c r="H233" s="9">
        <f>Rebalance_Audit!Q3058</f>
        <v/>
      </c>
      <c r="I233" s="7">
        <f>Rebalance_Audit!R3058</f>
        <v/>
      </c>
      <c r="J233" s="8">
        <f>Rebalance_Audit!S3058</f>
        <v/>
      </c>
    </row>
    <row r="234">
      <c r="A234" s="6" t="inlineStr">
        <is>
          <t>DJ30</t>
        </is>
      </c>
      <c r="B234" s="6" t="inlineStr">
        <is>
          <t>2024-11-22</t>
        </is>
      </c>
      <c r="C234" s="6" t="inlineStr">
        <is>
          <t>DIA</t>
        </is>
      </c>
      <c r="D234" s="6" t="inlineStr">
        <is>
          <t>GS</t>
        </is>
      </c>
      <c r="E234" s="6" t="inlineStr">
        <is>
          <t>GS</t>
        </is>
      </c>
      <c r="F234" s="6" t="inlineStr">
        <is>
          <t>-</t>
        </is>
      </c>
      <c r="G234" s="7">
        <f>Rebalance_Audit!G3050</f>
        <v/>
      </c>
      <c r="H234" s="9">
        <f>Rebalance_Audit!Q3050</f>
        <v/>
      </c>
      <c r="I234" s="7">
        <f>Rebalance_Audit!R3050</f>
        <v/>
      </c>
      <c r="J234" s="8">
        <f>Rebalance_Audit!S3050</f>
        <v/>
      </c>
    </row>
    <row r="235">
      <c r="A235" s="6" t="inlineStr">
        <is>
          <t>DJ30</t>
        </is>
      </c>
      <c r="B235" s="6" t="inlineStr">
        <is>
          <t>2024-11-22</t>
        </is>
      </c>
      <c r="C235" s="6" t="inlineStr">
        <is>
          <t>DIA</t>
        </is>
      </c>
      <c r="D235" s="6" t="inlineStr">
        <is>
          <t>IBM</t>
        </is>
      </c>
      <c r="E235" s="6" t="inlineStr">
        <is>
          <t>IBM</t>
        </is>
      </c>
      <c r="F235" s="6" t="inlineStr">
        <is>
          <t>-</t>
        </is>
      </c>
      <c r="G235" s="7">
        <f>Rebalance_Audit!G3053</f>
        <v/>
      </c>
      <c r="H235" s="9">
        <f>Rebalance_Audit!Q3053</f>
        <v/>
      </c>
      <c r="I235" s="7">
        <f>Rebalance_Audit!R3053</f>
        <v/>
      </c>
      <c r="J235" s="8">
        <f>Rebalance_Audit!S3053</f>
        <v/>
      </c>
    </row>
    <row r="236">
      <c r="A236" s="6" t="inlineStr">
        <is>
          <t>DJ30</t>
        </is>
      </c>
      <c r="B236" s="6" t="inlineStr">
        <is>
          <t>2024-11-22</t>
        </is>
      </c>
      <c r="C236" s="6" t="inlineStr">
        <is>
          <t>DIA</t>
        </is>
      </c>
      <c r="D236" s="6" t="inlineStr">
        <is>
          <t>TRV</t>
        </is>
      </c>
      <c r="E236" s="6" t="inlineStr">
        <is>
          <t>TRV</t>
        </is>
      </c>
      <c r="F236" s="6" t="inlineStr">
        <is>
          <t>-</t>
        </is>
      </c>
      <c r="G236" s="7">
        <f>Rebalance_Audit!G3065</f>
        <v/>
      </c>
      <c r="H236" s="9">
        <f>Rebalance_Audit!Q3065</f>
        <v/>
      </c>
      <c r="I236" s="7">
        <f>Rebalance_Audit!R3065</f>
        <v/>
      </c>
      <c r="J236" s="8">
        <f>Rebalance_Audit!S3065</f>
        <v/>
      </c>
    </row>
    <row r="237">
      <c r="A237" s="6" t="inlineStr">
        <is>
          <t>DJ30</t>
        </is>
      </c>
      <c r="B237" s="6" t="inlineStr">
        <is>
          <t>2024-11-29</t>
        </is>
      </c>
      <c r="C237" s="6" t="inlineStr">
        <is>
          <t>DIA</t>
        </is>
      </c>
      <c r="D237" s="6" t="inlineStr">
        <is>
          <t>NVDA</t>
        </is>
      </c>
      <c r="E237" s="6" t="inlineStr">
        <is>
          <t>NVDA</t>
        </is>
      </c>
      <c r="F237" s="6" t="inlineStr">
        <is>
          <t>-</t>
        </is>
      </c>
      <c r="G237" s="7">
        <f>Rebalance_Audit!G3093</f>
        <v/>
      </c>
      <c r="H237" s="9">
        <f>Rebalance_Audit!Q3093</f>
        <v/>
      </c>
      <c r="I237" s="7">
        <f>Rebalance_Audit!R3093</f>
        <v/>
      </c>
      <c r="J237" s="8">
        <f>Rebalance_Audit!S3093</f>
        <v/>
      </c>
    </row>
    <row r="238">
      <c r="A238" s="6" t="inlineStr">
        <is>
          <t>DJ30</t>
        </is>
      </c>
      <c r="B238" s="6" t="inlineStr">
        <is>
          <t>2024-11-29</t>
        </is>
      </c>
      <c r="C238" s="6" t="inlineStr">
        <is>
          <t>DIA</t>
        </is>
      </c>
      <c r="D238" s="6" t="inlineStr">
        <is>
          <t>MMM</t>
        </is>
      </c>
      <c r="E238" s="6" t="inlineStr">
        <is>
          <t>MMM</t>
        </is>
      </c>
      <c r="F238" s="6" t="inlineStr">
        <is>
          <t>-</t>
        </is>
      </c>
      <c r="G238" s="7">
        <f>Rebalance_Audit!G3089</f>
        <v/>
      </c>
      <c r="H238" s="9">
        <f>Rebalance_Audit!Q3089</f>
        <v/>
      </c>
      <c r="I238" s="7">
        <f>Rebalance_Audit!R3089</f>
        <v/>
      </c>
      <c r="J238" s="8">
        <f>Rebalance_Audit!S3089</f>
        <v/>
      </c>
    </row>
    <row r="239">
      <c r="A239" s="6" t="inlineStr">
        <is>
          <t>DJ30</t>
        </is>
      </c>
      <c r="B239" s="6" t="inlineStr">
        <is>
          <t>2024-11-29</t>
        </is>
      </c>
      <c r="C239" s="6" t="inlineStr">
        <is>
          <t>DIA</t>
        </is>
      </c>
      <c r="D239" s="6" t="inlineStr">
        <is>
          <t>GS</t>
        </is>
      </c>
      <c r="E239" s="6" t="inlineStr">
        <is>
          <t>GS</t>
        </is>
      </c>
      <c r="F239" s="6" t="inlineStr">
        <is>
          <t>-</t>
        </is>
      </c>
      <c r="G239" s="7">
        <f>Rebalance_Audit!G3081</f>
        <v/>
      </c>
      <c r="H239" s="9">
        <f>Rebalance_Audit!Q3081</f>
        <v/>
      </c>
      <c r="I239" s="7">
        <f>Rebalance_Audit!R3081</f>
        <v/>
      </c>
      <c r="J239" s="8">
        <f>Rebalance_Audit!S3081</f>
        <v/>
      </c>
    </row>
    <row r="240">
      <c r="A240" s="6" t="inlineStr">
        <is>
          <t>DJ30</t>
        </is>
      </c>
      <c r="B240" s="6" t="inlineStr">
        <is>
          <t>2024-11-29</t>
        </is>
      </c>
      <c r="C240" s="6" t="inlineStr">
        <is>
          <t>DIA</t>
        </is>
      </c>
      <c r="D240" s="6" t="inlineStr">
        <is>
          <t>IBM</t>
        </is>
      </c>
      <c r="E240" s="6" t="inlineStr">
        <is>
          <t>IBM</t>
        </is>
      </c>
      <c r="F240" s="6" t="inlineStr">
        <is>
          <t>-</t>
        </is>
      </c>
      <c r="G240" s="7">
        <f>Rebalance_Audit!G3084</f>
        <v/>
      </c>
      <c r="H240" s="9">
        <f>Rebalance_Audit!Q3084</f>
        <v/>
      </c>
      <c r="I240" s="7">
        <f>Rebalance_Audit!R3084</f>
        <v/>
      </c>
      <c r="J240" s="8">
        <f>Rebalance_Audit!S3084</f>
        <v/>
      </c>
    </row>
    <row r="241">
      <c r="A241" s="6" t="inlineStr">
        <is>
          <t>DJ30</t>
        </is>
      </c>
      <c r="B241" s="6" t="inlineStr">
        <is>
          <t>2024-11-29</t>
        </is>
      </c>
      <c r="C241" s="6" t="inlineStr">
        <is>
          <t>DIA</t>
        </is>
      </c>
      <c r="D241" s="6" t="inlineStr">
        <is>
          <t>TRV</t>
        </is>
      </c>
      <c r="E241" s="6" t="inlineStr">
        <is>
          <t>TRV</t>
        </is>
      </c>
      <c r="F241" s="6" t="inlineStr">
        <is>
          <t>-</t>
        </is>
      </c>
      <c r="G241" s="7">
        <f>Rebalance_Audit!G3096</f>
        <v/>
      </c>
      <c r="H241" s="9">
        <f>Rebalance_Audit!Q3096</f>
        <v/>
      </c>
      <c r="I241" s="7">
        <f>Rebalance_Audit!R3096</f>
        <v/>
      </c>
      <c r="J241" s="8">
        <f>Rebalance_Audit!S3096</f>
        <v/>
      </c>
    </row>
    <row r="242">
      <c r="A242" s="6" t="inlineStr">
        <is>
          <t>DJ30</t>
        </is>
      </c>
      <c r="B242" s="6" t="inlineStr">
        <is>
          <t>2024-12-06</t>
        </is>
      </c>
      <c r="C242" s="6" t="inlineStr">
        <is>
          <t>DIA</t>
        </is>
      </c>
      <c r="D242" s="6" t="inlineStr">
        <is>
          <t>NVDA</t>
        </is>
      </c>
      <c r="E242" s="6" t="inlineStr">
        <is>
          <t>NVDA</t>
        </is>
      </c>
      <c r="F242" s="6" t="inlineStr">
        <is>
          <t>-</t>
        </is>
      </c>
      <c r="G242" s="7">
        <f>Rebalance_Audit!G3124</f>
        <v/>
      </c>
      <c r="H242" s="9">
        <f>Rebalance_Audit!Q3124</f>
        <v/>
      </c>
      <c r="I242" s="7">
        <f>Rebalance_Audit!R3124</f>
        <v/>
      </c>
      <c r="J242" s="8">
        <f>Rebalance_Audit!S3124</f>
        <v/>
      </c>
    </row>
    <row r="243">
      <c r="A243" s="6" t="inlineStr">
        <is>
          <t>DJ30</t>
        </is>
      </c>
      <c r="B243" s="6" t="inlineStr">
        <is>
          <t>2024-12-06</t>
        </is>
      </c>
      <c r="C243" s="6" t="inlineStr">
        <is>
          <t>DIA</t>
        </is>
      </c>
      <c r="D243" s="6" t="inlineStr">
        <is>
          <t>MMM</t>
        </is>
      </c>
      <c r="E243" s="6" t="inlineStr">
        <is>
          <t>MMM</t>
        </is>
      </c>
      <c r="F243" s="6" t="inlineStr">
        <is>
          <t>-</t>
        </is>
      </c>
      <c r="G243" s="7">
        <f>Rebalance_Audit!G3120</f>
        <v/>
      </c>
      <c r="H243" s="9">
        <f>Rebalance_Audit!Q3120</f>
        <v/>
      </c>
      <c r="I243" s="7">
        <f>Rebalance_Audit!R3120</f>
        <v/>
      </c>
      <c r="J243" s="8">
        <f>Rebalance_Audit!S3120</f>
        <v/>
      </c>
    </row>
    <row r="244">
      <c r="A244" s="6" t="inlineStr">
        <is>
          <t>DJ30</t>
        </is>
      </c>
      <c r="B244" s="6" t="inlineStr">
        <is>
          <t>2024-12-06</t>
        </is>
      </c>
      <c r="C244" s="6" t="inlineStr">
        <is>
          <t>DIA</t>
        </is>
      </c>
      <c r="D244" s="6" t="inlineStr">
        <is>
          <t>GS</t>
        </is>
      </c>
      <c r="E244" s="6" t="inlineStr">
        <is>
          <t>GS</t>
        </is>
      </c>
      <c r="F244" s="6" t="inlineStr">
        <is>
          <t>-</t>
        </is>
      </c>
      <c r="G244" s="7">
        <f>Rebalance_Audit!G3112</f>
        <v/>
      </c>
      <c r="H244" s="9">
        <f>Rebalance_Audit!Q3112</f>
        <v/>
      </c>
      <c r="I244" s="7">
        <f>Rebalance_Audit!R3112</f>
        <v/>
      </c>
      <c r="J244" s="8">
        <f>Rebalance_Audit!S3112</f>
        <v/>
      </c>
    </row>
    <row r="245">
      <c r="A245" s="6" t="inlineStr">
        <is>
          <t>DJ30</t>
        </is>
      </c>
      <c r="B245" s="6" t="inlineStr">
        <is>
          <t>2024-12-06</t>
        </is>
      </c>
      <c r="C245" s="6" t="inlineStr">
        <is>
          <t>DIA</t>
        </is>
      </c>
      <c r="D245" s="6" t="inlineStr">
        <is>
          <t>AAPL</t>
        </is>
      </c>
      <c r="E245" s="6" t="inlineStr">
        <is>
          <t>AAPL</t>
        </is>
      </c>
      <c r="F245" s="6" t="inlineStr">
        <is>
          <t>-</t>
        </is>
      </c>
      <c r="G245" s="7">
        <f>Rebalance_Audit!G3102</f>
        <v/>
      </c>
      <c r="H245" s="9">
        <f>Rebalance_Audit!Q3102</f>
        <v/>
      </c>
      <c r="I245" s="7">
        <f>Rebalance_Audit!R3102</f>
        <v/>
      </c>
      <c r="J245" s="8">
        <f>Rebalance_Audit!S3102</f>
        <v/>
      </c>
    </row>
    <row r="246">
      <c r="A246" s="6" t="inlineStr">
        <is>
          <t>DJ30</t>
        </is>
      </c>
      <c r="B246" s="6" t="inlineStr">
        <is>
          <t>2024-12-06</t>
        </is>
      </c>
      <c r="C246" s="6" t="inlineStr">
        <is>
          <t>DIA</t>
        </is>
      </c>
      <c r="D246" s="6" t="inlineStr">
        <is>
          <t>IBM</t>
        </is>
      </c>
      <c r="E246" s="6" t="inlineStr">
        <is>
          <t>IBM</t>
        </is>
      </c>
      <c r="F246" s="6" t="inlineStr">
        <is>
          <t>-</t>
        </is>
      </c>
      <c r="G246" s="7">
        <f>Rebalance_Audit!G3115</f>
        <v/>
      </c>
      <c r="H246" s="9">
        <f>Rebalance_Audit!Q3115</f>
        <v/>
      </c>
      <c r="I246" s="7">
        <f>Rebalance_Audit!R3115</f>
        <v/>
      </c>
      <c r="J246" s="8">
        <f>Rebalance_Audit!S3115</f>
        <v/>
      </c>
    </row>
    <row r="247">
      <c r="A247" s="6" t="inlineStr">
        <is>
          <t>DJ30</t>
        </is>
      </c>
      <c r="B247" s="6" t="inlineStr">
        <is>
          <t>2024-12-13</t>
        </is>
      </c>
      <c r="C247" s="6" t="inlineStr">
        <is>
          <t>DIA</t>
        </is>
      </c>
      <c r="D247" s="6" t="inlineStr">
        <is>
          <t>NVDA</t>
        </is>
      </c>
      <c r="E247" s="6" t="inlineStr">
        <is>
          <t>NVDA</t>
        </is>
      </c>
      <c r="F247" s="6" t="inlineStr">
        <is>
          <t>-</t>
        </is>
      </c>
      <c r="G247" s="7">
        <f>Rebalance_Audit!G3155</f>
        <v/>
      </c>
      <c r="H247" s="9">
        <f>Rebalance_Audit!Q3155</f>
        <v/>
      </c>
      <c r="I247" s="7">
        <f>Rebalance_Audit!R3155</f>
        <v/>
      </c>
      <c r="J247" s="8">
        <f>Rebalance_Audit!S3155</f>
        <v/>
      </c>
    </row>
    <row r="248">
      <c r="A248" s="6" t="inlineStr">
        <is>
          <t>DJ30</t>
        </is>
      </c>
      <c r="B248" s="6" t="inlineStr">
        <is>
          <t>2024-12-13</t>
        </is>
      </c>
      <c r="C248" s="6" t="inlineStr">
        <is>
          <t>DIA</t>
        </is>
      </c>
      <c r="D248" s="6" t="inlineStr">
        <is>
          <t>MMM</t>
        </is>
      </c>
      <c r="E248" s="6" t="inlineStr">
        <is>
          <t>MMM</t>
        </is>
      </c>
      <c r="F248" s="6" t="inlineStr">
        <is>
          <t>-</t>
        </is>
      </c>
      <c r="G248" s="7">
        <f>Rebalance_Audit!G3151</f>
        <v/>
      </c>
      <c r="H248" s="9">
        <f>Rebalance_Audit!Q3151</f>
        <v/>
      </c>
      <c r="I248" s="7">
        <f>Rebalance_Audit!R3151</f>
        <v/>
      </c>
      <c r="J248" s="8">
        <f>Rebalance_Audit!S3151</f>
        <v/>
      </c>
    </row>
    <row r="249">
      <c r="A249" s="6" t="inlineStr">
        <is>
          <t>DJ30</t>
        </is>
      </c>
      <c r="B249" s="6" t="inlineStr">
        <is>
          <t>2024-12-13</t>
        </is>
      </c>
      <c r="C249" s="6" t="inlineStr">
        <is>
          <t>DIA</t>
        </is>
      </c>
      <c r="D249" s="6" t="inlineStr">
        <is>
          <t>GS</t>
        </is>
      </c>
      <c r="E249" s="6" t="inlineStr">
        <is>
          <t>GS</t>
        </is>
      </c>
      <c r="F249" s="6" t="inlineStr">
        <is>
          <t>-</t>
        </is>
      </c>
      <c r="G249" s="7">
        <f>Rebalance_Audit!G3143</f>
        <v/>
      </c>
      <c r="H249" s="9">
        <f>Rebalance_Audit!Q3143</f>
        <v/>
      </c>
      <c r="I249" s="7">
        <f>Rebalance_Audit!R3143</f>
        <v/>
      </c>
      <c r="J249" s="8">
        <f>Rebalance_Audit!S3143</f>
        <v/>
      </c>
    </row>
    <row r="250">
      <c r="A250" s="6" t="inlineStr">
        <is>
          <t>DJ30</t>
        </is>
      </c>
      <c r="B250" s="6" t="inlineStr">
        <is>
          <t>2024-12-13</t>
        </is>
      </c>
      <c r="C250" s="6" t="inlineStr">
        <is>
          <t>DIA</t>
        </is>
      </c>
      <c r="D250" s="6" t="inlineStr">
        <is>
          <t>AAPL</t>
        </is>
      </c>
      <c r="E250" s="6" t="inlineStr">
        <is>
          <t>AAPL</t>
        </is>
      </c>
      <c r="F250" s="6" t="inlineStr">
        <is>
          <t>-</t>
        </is>
      </c>
      <c r="G250" s="7">
        <f>Rebalance_Audit!G3133</f>
        <v/>
      </c>
      <c r="H250" s="9">
        <f>Rebalance_Audit!Q3133</f>
        <v/>
      </c>
      <c r="I250" s="7">
        <f>Rebalance_Audit!R3133</f>
        <v/>
      </c>
      <c r="J250" s="8">
        <f>Rebalance_Audit!S3133</f>
        <v/>
      </c>
    </row>
    <row r="251">
      <c r="A251" s="6" t="inlineStr">
        <is>
          <t>DJ30</t>
        </is>
      </c>
      <c r="B251" s="6" t="inlineStr">
        <is>
          <t>2024-12-13</t>
        </is>
      </c>
      <c r="C251" s="6" t="inlineStr">
        <is>
          <t>DIA</t>
        </is>
      </c>
      <c r="D251" s="6" t="inlineStr">
        <is>
          <t>IBM</t>
        </is>
      </c>
      <c r="E251" s="6" t="inlineStr">
        <is>
          <t>IBM</t>
        </is>
      </c>
      <c r="F251" s="6" t="inlineStr">
        <is>
          <t>-</t>
        </is>
      </c>
      <c r="G251" s="7">
        <f>Rebalance_Audit!G3146</f>
        <v/>
      </c>
      <c r="H251" s="9">
        <f>Rebalance_Audit!Q3146</f>
        <v/>
      </c>
      <c r="I251" s="7">
        <f>Rebalance_Audit!R3146</f>
        <v/>
      </c>
      <c r="J251" s="8">
        <f>Rebalance_Audit!S3146</f>
        <v/>
      </c>
    </row>
    <row r="252">
      <c r="A252" s="6" t="inlineStr">
        <is>
          <t>DJ30</t>
        </is>
      </c>
      <c r="B252" s="6" t="inlineStr">
        <is>
          <t>2024-12-20</t>
        </is>
      </c>
      <c r="C252" s="6" t="inlineStr">
        <is>
          <t>DIA</t>
        </is>
      </c>
      <c r="D252" s="6" t="inlineStr">
        <is>
          <t>NVDA</t>
        </is>
      </c>
      <c r="E252" s="6" t="inlineStr">
        <is>
          <t>NVDA</t>
        </is>
      </c>
      <c r="F252" s="6" t="inlineStr">
        <is>
          <t>-</t>
        </is>
      </c>
      <c r="G252" s="7">
        <f>Rebalance_Audit!G3186</f>
        <v/>
      </c>
      <c r="H252" s="9">
        <f>Rebalance_Audit!Q3186</f>
        <v/>
      </c>
      <c r="I252" s="7">
        <f>Rebalance_Audit!R3186</f>
        <v/>
      </c>
      <c r="J252" s="8">
        <f>Rebalance_Audit!S3186</f>
        <v/>
      </c>
    </row>
    <row r="253">
      <c r="A253" s="6" t="inlineStr">
        <is>
          <t>DJ30</t>
        </is>
      </c>
      <c r="B253" s="6" t="inlineStr">
        <is>
          <t>2024-12-20</t>
        </is>
      </c>
      <c r="C253" s="6" t="inlineStr">
        <is>
          <t>DIA</t>
        </is>
      </c>
      <c r="D253" s="6" t="inlineStr">
        <is>
          <t>MMM</t>
        </is>
      </c>
      <c r="E253" s="6" t="inlineStr">
        <is>
          <t>MMM</t>
        </is>
      </c>
      <c r="F253" s="6" t="inlineStr">
        <is>
          <t>-</t>
        </is>
      </c>
      <c r="G253" s="7">
        <f>Rebalance_Audit!G3182</f>
        <v/>
      </c>
      <c r="H253" s="9">
        <f>Rebalance_Audit!Q3182</f>
        <v/>
      </c>
      <c r="I253" s="7">
        <f>Rebalance_Audit!R3182</f>
        <v/>
      </c>
      <c r="J253" s="8">
        <f>Rebalance_Audit!S3182</f>
        <v/>
      </c>
    </row>
    <row r="254">
      <c r="A254" s="6" t="inlineStr">
        <is>
          <t>DJ30</t>
        </is>
      </c>
      <c r="B254" s="6" t="inlineStr">
        <is>
          <t>2024-12-20</t>
        </is>
      </c>
      <c r="C254" s="6" t="inlineStr">
        <is>
          <t>DIA</t>
        </is>
      </c>
      <c r="D254" s="6" t="inlineStr">
        <is>
          <t>GS</t>
        </is>
      </c>
      <c r="E254" s="6" t="inlineStr">
        <is>
          <t>GS</t>
        </is>
      </c>
      <c r="F254" s="6" t="inlineStr">
        <is>
          <t>-</t>
        </is>
      </c>
      <c r="G254" s="7">
        <f>Rebalance_Audit!G3174</f>
        <v/>
      </c>
      <c r="H254" s="9">
        <f>Rebalance_Audit!Q3174</f>
        <v/>
      </c>
      <c r="I254" s="7">
        <f>Rebalance_Audit!R3174</f>
        <v/>
      </c>
      <c r="J254" s="8">
        <f>Rebalance_Audit!S3174</f>
        <v/>
      </c>
    </row>
    <row r="255">
      <c r="A255" s="6" t="inlineStr">
        <is>
          <t>DJ30</t>
        </is>
      </c>
      <c r="B255" s="6" t="inlineStr">
        <is>
          <t>2024-12-20</t>
        </is>
      </c>
      <c r="C255" s="6" t="inlineStr">
        <is>
          <t>DIA</t>
        </is>
      </c>
      <c r="D255" s="6" t="inlineStr">
        <is>
          <t>AAPL</t>
        </is>
      </c>
      <c r="E255" s="6" t="inlineStr">
        <is>
          <t>AAPL</t>
        </is>
      </c>
      <c r="F255" s="6" t="inlineStr">
        <is>
          <t>-</t>
        </is>
      </c>
      <c r="G255" s="7">
        <f>Rebalance_Audit!G3164</f>
        <v/>
      </c>
      <c r="H255" s="9">
        <f>Rebalance_Audit!Q3164</f>
        <v/>
      </c>
      <c r="I255" s="7">
        <f>Rebalance_Audit!R3164</f>
        <v/>
      </c>
      <c r="J255" s="8">
        <f>Rebalance_Audit!S3164</f>
        <v/>
      </c>
    </row>
    <row r="256">
      <c r="A256" s="6" t="inlineStr">
        <is>
          <t>DJ30</t>
        </is>
      </c>
      <c r="B256" s="6" t="inlineStr">
        <is>
          <t>2024-12-20</t>
        </is>
      </c>
      <c r="C256" s="6" t="inlineStr">
        <is>
          <t>DIA</t>
        </is>
      </c>
      <c r="D256" s="6" t="inlineStr">
        <is>
          <t>IBM</t>
        </is>
      </c>
      <c r="E256" s="6" t="inlineStr">
        <is>
          <t>IBM</t>
        </is>
      </c>
      <c r="F256" s="6" t="inlineStr">
        <is>
          <t>-</t>
        </is>
      </c>
      <c r="G256" s="7">
        <f>Rebalance_Audit!G3177</f>
        <v/>
      </c>
      <c r="H256" s="9">
        <f>Rebalance_Audit!Q3177</f>
        <v/>
      </c>
      <c r="I256" s="7">
        <f>Rebalance_Audit!R3177</f>
        <v/>
      </c>
      <c r="J256" s="8">
        <f>Rebalance_Audit!S3177</f>
        <v/>
      </c>
    </row>
    <row r="257">
      <c r="A257" s="6" t="inlineStr">
        <is>
          <t>DJ30</t>
        </is>
      </c>
      <c r="B257" s="6" t="inlineStr">
        <is>
          <t>2024-12-27</t>
        </is>
      </c>
      <c r="C257" s="6" t="inlineStr">
        <is>
          <t>DIA</t>
        </is>
      </c>
      <c r="D257" s="6" t="inlineStr">
        <is>
          <t>NVDA</t>
        </is>
      </c>
      <c r="E257" s="6" t="inlineStr">
        <is>
          <t>NVDA</t>
        </is>
      </c>
      <c r="F257" s="6" t="inlineStr">
        <is>
          <t>-</t>
        </is>
      </c>
      <c r="G257" s="7">
        <f>Rebalance_Audit!G3217</f>
        <v/>
      </c>
      <c r="H257" s="9">
        <f>Rebalance_Audit!Q3217</f>
        <v/>
      </c>
      <c r="I257" s="7">
        <f>Rebalance_Audit!R3217</f>
        <v/>
      </c>
      <c r="J257" s="8">
        <f>Rebalance_Audit!S3217</f>
        <v/>
      </c>
    </row>
    <row r="258">
      <c r="A258" s="6" t="inlineStr">
        <is>
          <t>DJ30</t>
        </is>
      </c>
      <c r="B258" s="6" t="inlineStr">
        <is>
          <t>2024-12-27</t>
        </is>
      </c>
      <c r="C258" s="6" t="inlineStr">
        <is>
          <t>DIA</t>
        </is>
      </c>
      <c r="D258" s="6" t="inlineStr">
        <is>
          <t>MMM</t>
        </is>
      </c>
      <c r="E258" s="6" t="inlineStr">
        <is>
          <t>MMM</t>
        </is>
      </c>
      <c r="F258" s="6" t="inlineStr">
        <is>
          <t>-</t>
        </is>
      </c>
      <c r="G258" s="7">
        <f>Rebalance_Audit!G3213</f>
        <v/>
      </c>
      <c r="H258" s="9">
        <f>Rebalance_Audit!Q3213</f>
        <v/>
      </c>
      <c r="I258" s="7">
        <f>Rebalance_Audit!R3213</f>
        <v/>
      </c>
      <c r="J258" s="8">
        <f>Rebalance_Audit!S3213</f>
        <v/>
      </c>
    </row>
    <row r="259">
      <c r="A259" s="6" t="inlineStr">
        <is>
          <t>DJ30</t>
        </is>
      </c>
      <c r="B259" s="6" t="inlineStr">
        <is>
          <t>2024-12-27</t>
        </is>
      </c>
      <c r="C259" s="6" t="inlineStr">
        <is>
          <t>DIA</t>
        </is>
      </c>
      <c r="D259" s="6" t="inlineStr">
        <is>
          <t>GS</t>
        </is>
      </c>
      <c r="E259" s="6" t="inlineStr">
        <is>
          <t>GS</t>
        </is>
      </c>
      <c r="F259" s="6" t="inlineStr">
        <is>
          <t>-</t>
        </is>
      </c>
      <c r="G259" s="7">
        <f>Rebalance_Audit!G3205</f>
        <v/>
      </c>
      <c r="H259" s="9">
        <f>Rebalance_Audit!Q3205</f>
        <v/>
      </c>
      <c r="I259" s="7">
        <f>Rebalance_Audit!R3205</f>
        <v/>
      </c>
      <c r="J259" s="8">
        <f>Rebalance_Audit!S3205</f>
        <v/>
      </c>
    </row>
    <row r="260">
      <c r="A260" s="6" t="inlineStr">
        <is>
          <t>DJ30</t>
        </is>
      </c>
      <c r="B260" s="6" t="inlineStr">
        <is>
          <t>2024-12-27</t>
        </is>
      </c>
      <c r="C260" s="6" t="inlineStr">
        <is>
          <t>DIA</t>
        </is>
      </c>
      <c r="D260" s="6" t="inlineStr">
        <is>
          <t>IBM</t>
        </is>
      </c>
      <c r="E260" s="6" t="inlineStr">
        <is>
          <t>IBM</t>
        </is>
      </c>
      <c r="F260" s="6" t="inlineStr">
        <is>
          <t>-</t>
        </is>
      </c>
      <c r="G260" s="7">
        <f>Rebalance_Audit!G3208</f>
        <v/>
      </c>
      <c r="H260" s="9">
        <f>Rebalance_Audit!Q3208</f>
        <v/>
      </c>
      <c r="I260" s="7">
        <f>Rebalance_Audit!R3208</f>
        <v/>
      </c>
      <c r="J260" s="8">
        <f>Rebalance_Audit!S3208</f>
        <v/>
      </c>
    </row>
    <row r="261">
      <c r="A261" s="6" t="inlineStr">
        <is>
          <t>DJ30</t>
        </is>
      </c>
      <c r="B261" s="6" t="inlineStr">
        <is>
          <t>2024-12-27</t>
        </is>
      </c>
      <c r="C261" s="6" t="inlineStr">
        <is>
          <t>DIA</t>
        </is>
      </c>
      <c r="D261" s="6" t="inlineStr">
        <is>
          <t>TRV</t>
        </is>
      </c>
      <c r="E261" s="6" t="inlineStr">
        <is>
          <t>TRV</t>
        </is>
      </c>
      <c r="F261" s="6" t="inlineStr">
        <is>
          <t>-</t>
        </is>
      </c>
      <c r="G261" s="7">
        <f>Rebalance_Audit!G3220</f>
        <v/>
      </c>
      <c r="H261" s="9">
        <f>Rebalance_Audit!Q3220</f>
        <v/>
      </c>
      <c r="I261" s="7">
        <f>Rebalance_Audit!R3220</f>
        <v/>
      </c>
      <c r="J261" s="8">
        <f>Rebalance_Audit!S3220</f>
        <v/>
      </c>
    </row>
    <row r="262">
      <c r="A262" s="6" t="inlineStr">
        <is>
          <t>DJ30</t>
        </is>
      </c>
      <c r="B262" s="6" t="inlineStr">
        <is>
          <t>2025-01-03</t>
        </is>
      </c>
      <c r="C262" s="6" t="inlineStr">
        <is>
          <t>DIA</t>
        </is>
      </c>
      <c r="D262" s="6" t="inlineStr">
        <is>
          <t>NVDA</t>
        </is>
      </c>
      <c r="E262" s="6" t="inlineStr">
        <is>
          <t>NVDA</t>
        </is>
      </c>
      <c r="F262" s="6" t="inlineStr">
        <is>
          <t>-</t>
        </is>
      </c>
      <c r="G262" s="7">
        <f>Rebalance_Audit!G3248</f>
        <v/>
      </c>
      <c r="H262" s="9">
        <f>Rebalance_Audit!Q3248</f>
        <v/>
      </c>
      <c r="I262" s="7">
        <f>Rebalance_Audit!R3248</f>
        <v/>
      </c>
      <c r="J262" s="8">
        <f>Rebalance_Audit!S3248</f>
        <v/>
      </c>
    </row>
    <row r="263">
      <c r="A263" s="6" t="inlineStr">
        <is>
          <t>DJ30</t>
        </is>
      </c>
      <c r="B263" s="6" t="inlineStr">
        <is>
          <t>2025-01-03</t>
        </is>
      </c>
      <c r="C263" s="6" t="inlineStr">
        <is>
          <t>DIA</t>
        </is>
      </c>
      <c r="D263" s="6" t="inlineStr">
        <is>
          <t>MMM</t>
        </is>
      </c>
      <c r="E263" s="6" t="inlineStr">
        <is>
          <t>MMM</t>
        </is>
      </c>
      <c r="F263" s="6" t="inlineStr">
        <is>
          <t>-</t>
        </is>
      </c>
      <c r="G263" s="7">
        <f>Rebalance_Audit!G3244</f>
        <v/>
      </c>
      <c r="H263" s="9">
        <f>Rebalance_Audit!Q3244</f>
        <v/>
      </c>
      <c r="I263" s="7">
        <f>Rebalance_Audit!R3244</f>
        <v/>
      </c>
      <c r="J263" s="8">
        <f>Rebalance_Audit!S3244</f>
        <v/>
      </c>
    </row>
    <row r="264">
      <c r="A264" s="6" t="inlineStr">
        <is>
          <t>DJ30</t>
        </is>
      </c>
      <c r="B264" s="6" t="inlineStr">
        <is>
          <t>2025-01-03</t>
        </is>
      </c>
      <c r="C264" s="6" t="inlineStr">
        <is>
          <t>DIA</t>
        </is>
      </c>
      <c r="D264" s="6" t="inlineStr">
        <is>
          <t>GS</t>
        </is>
      </c>
      <c r="E264" s="6" t="inlineStr">
        <is>
          <t>GS</t>
        </is>
      </c>
      <c r="F264" s="6" t="inlineStr">
        <is>
          <t>-</t>
        </is>
      </c>
      <c r="G264" s="7">
        <f>Rebalance_Audit!G3236</f>
        <v/>
      </c>
      <c r="H264" s="9">
        <f>Rebalance_Audit!Q3236</f>
        <v/>
      </c>
      <c r="I264" s="7">
        <f>Rebalance_Audit!R3236</f>
        <v/>
      </c>
      <c r="J264" s="8">
        <f>Rebalance_Audit!S3236</f>
        <v/>
      </c>
    </row>
    <row r="265">
      <c r="A265" s="6" t="inlineStr">
        <is>
          <t>DJ30</t>
        </is>
      </c>
      <c r="B265" s="6" t="inlineStr">
        <is>
          <t>2025-01-03</t>
        </is>
      </c>
      <c r="C265" s="6" t="inlineStr">
        <is>
          <t>DIA</t>
        </is>
      </c>
      <c r="D265" s="6" t="inlineStr">
        <is>
          <t>AAPL</t>
        </is>
      </c>
      <c r="E265" s="6" t="inlineStr">
        <is>
          <t>AAPL</t>
        </is>
      </c>
      <c r="F265" s="6" t="inlineStr">
        <is>
          <t>-</t>
        </is>
      </c>
      <c r="G265" s="7">
        <f>Rebalance_Audit!G3226</f>
        <v/>
      </c>
      <c r="H265" s="9">
        <f>Rebalance_Audit!Q3226</f>
        <v/>
      </c>
      <c r="I265" s="7">
        <f>Rebalance_Audit!R3226</f>
        <v/>
      </c>
      <c r="J265" s="8">
        <f>Rebalance_Audit!S3226</f>
        <v/>
      </c>
    </row>
    <row r="266">
      <c r="A266" s="6" t="inlineStr">
        <is>
          <t>DJ30</t>
        </is>
      </c>
      <c r="B266" s="6" t="inlineStr">
        <is>
          <t>2025-01-03</t>
        </is>
      </c>
      <c r="C266" s="6" t="inlineStr">
        <is>
          <t>DIA</t>
        </is>
      </c>
      <c r="D266" s="6" t="inlineStr">
        <is>
          <t>IBM</t>
        </is>
      </c>
      <c r="E266" s="6" t="inlineStr">
        <is>
          <t>IBM</t>
        </is>
      </c>
      <c r="F266" s="6" t="inlineStr">
        <is>
          <t>-</t>
        </is>
      </c>
      <c r="G266" s="7">
        <f>Rebalance_Audit!G3239</f>
        <v/>
      </c>
      <c r="H266" s="9">
        <f>Rebalance_Audit!Q3239</f>
        <v/>
      </c>
      <c r="I266" s="7">
        <f>Rebalance_Audit!R3239</f>
        <v/>
      </c>
      <c r="J266" s="8">
        <f>Rebalance_Audit!S3239</f>
        <v/>
      </c>
    </row>
    <row r="267">
      <c r="A267" s="6" t="inlineStr">
        <is>
          <t>DJ30</t>
        </is>
      </c>
      <c r="B267" s="6" t="inlineStr">
        <is>
          <t>2025-01-10</t>
        </is>
      </c>
      <c r="C267" s="6" t="inlineStr">
        <is>
          <t>DIA</t>
        </is>
      </c>
      <c r="D267" s="6" t="inlineStr">
        <is>
          <t>NVDA</t>
        </is>
      </c>
      <c r="E267" s="6" t="inlineStr">
        <is>
          <t>NVDA</t>
        </is>
      </c>
      <c r="F267" s="6" t="inlineStr">
        <is>
          <t>-</t>
        </is>
      </c>
      <c r="G267" s="7">
        <f>Rebalance_Audit!G3279</f>
        <v/>
      </c>
      <c r="H267" s="9">
        <f>Rebalance_Audit!Q3279</f>
        <v/>
      </c>
      <c r="I267" s="7">
        <f>Rebalance_Audit!R3279</f>
        <v/>
      </c>
      <c r="J267" s="8">
        <f>Rebalance_Audit!S3279</f>
        <v/>
      </c>
    </row>
    <row r="268">
      <c r="A268" s="6" t="inlineStr">
        <is>
          <t>DJ30</t>
        </is>
      </c>
      <c r="B268" s="6" t="inlineStr">
        <is>
          <t>2025-01-10</t>
        </is>
      </c>
      <c r="C268" s="6" t="inlineStr">
        <is>
          <t>DIA</t>
        </is>
      </c>
      <c r="D268" s="6" t="inlineStr">
        <is>
          <t>MMM</t>
        </is>
      </c>
      <c r="E268" s="6" t="inlineStr">
        <is>
          <t>MMM</t>
        </is>
      </c>
      <c r="F268" s="6" t="inlineStr">
        <is>
          <t>-</t>
        </is>
      </c>
      <c r="G268" s="7">
        <f>Rebalance_Audit!G3275</f>
        <v/>
      </c>
      <c r="H268" s="9">
        <f>Rebalance_Audit!Q3275</f>
        <v/>
      </c>
      <c r="I268" s="7">
        <f>Rebalance_Audit!R3275</f>
        <v/>
      </c>
      <c r="J268" s="8">
        <f>Rebalance_Audit!S3275</f>
        <v/>
      </c>
    </row>
    <row r="269">
      <c r="A269" s="6" t="inlineStr">
        <is>
          <t>DJ30</t>
        </is>
      </c>
      <c r="B269" s="6" t="inlineStr">
        <is>
          <t>2025-01-10</t>
        </is>
      </c>
      <c r="C269" s="6" t="inlineStr">
        <is>
          <t>DIA</t>
        </is>
      </c>
      <c r="D269" s="6" t="inlineStr">
        <is>
          <t>GS</t>
        </is>
      </c>
      <c r="E269" s="6" t="inlineStr">
        <is>
          <t>GS</t>
        </is>
      </c>
      <c r="F269" s="6" t="inlineStr">
        <is>
          <t>-</t>
        </is>
      </c>
      <c r="G269" s="7">
        <f>Rebalance_Audit!G3267</f>
        <v/>
      </c>
      <c r="H269" s="9">
        <f>Rebalance_Audit!Q3267</f>
        <v/>
      </c>
      <c r="I269" s="7">
        <f>Rebalance_Audit!R3267</f>
        <v/>
      </c>
      <c r="J269" s="8">
        <f>Rebalance_Audit!S3267</f>
        <v/>
      </c>
    </row>
    <row r="270">
      <c r="A270" s="6" t="inlineStr">
        <is>
          <t>DJ30</t>
        </is>
      </c>
      <c r="B270" s="6" t="inlineStr">
        <is>
          <t>2025-01-10</t>
        </is>
      </c>
      <c r="C270" s="6" t="inlineStr">
        <is>
          <t>DIA</t>
        </is>
      </c>
      <c r="D270" s="6" t="inlineStr">
        <is>
          <t>AAPL</t>
        </is>
      </c>
      <c r="E270" s="6" t="inlineStr">
        <is>
          <t>AAPL</t>
        </is>
      </c>
      <c r="F270" s="6" t="inlineStr">
        <is>
          <t>-</t>
        </is>
      </c>
      <c r="G270" s="7">
        <f>Rebalance_Audit!G3257</f>
        <v/>
      </c>
      <c r="H270" s="9">
        <f>Rebalance_Audit!Q3257</f>
        <v/>
      </c>
      <c r="I270" s="7">
        <f>Rebalance_Audit!R3257</f>
        <v/>
      </c>
      <c r="J270" s="8">
        <f>Rebalance_Audit!S3257</f>
        <v/>
      </c>
    </row>
    <row r="271">
      <c r="A271" s="6" t="inlineStr">
        <is>
          <t>DJ30</t>
        </is>
      </c>
      <c r="B271" s="6" t="inlineStr">
        <is>
          <t>2025-01-10</t>
        </is>
      </c>
      <c r="C271" s="6" t="inlineStr">
        <is>
          <t>DIA</t>
        </is>
      </c>
      <c r="D271" s="6" t="inlineStr">
        <is>
          <t>IBM</t>
        </is>
      </c>
      <c r="E271" s="6" t="inlineStr">
        <is>
          <t>IBM</t>
        </is>
      </c>
      <c r="F271" s="6" t="inlineStr">
        <is>
          <t>-</t>
        </is>
      </c>
      <c r="G271" s="7">
        <f>Rebalance_Audit!G3270</f>
        <v/>
      </c>
      <c r="H271" s="9">
        <f>Rebalance_Audit!Q3270</f>
        <v/>
      </c>
      <c r="I271" s="7">
        <f>Rebalance_Audit!R3270</f>
        <v/>
      </c>
      <c r="J271" s="8">
        <f>Rebalance_Audit!S3270</f>
        <v/>
      </c>
    </row>
    <row r="272">
      <c r="A272" s="6" t="inlineStr">
        <is>
          <t>DJ30</t>
        </is>
      </c>
      <c r="B272" s="6" t="inlineStr">
        <is>
          <t>2025-01-17</t>
        </is>
      </c>
      <c r="C272" s="6" t="inlineStr">
        <is>
          <t>DIA</t>
        </is>
      </c>
      <c r="D272" s="6" t="inlineStr">
        <is>
          <t>MMM</t>
        </is>
      </c>
      <c r="E272" s="6" t="inlineStr">
        <is>
          <t>MMM</t>
        </is>
      </c>
      <c r="F272" s="6" t="inlineStr">
        <is>
          <t>-</t>
        </is>
      </c>
      <c r="G272" s="7">
        <f>Rebalance_Audit!G3306</f>
        <v/>
      </c>
      <c r="H272" s="9">
        <f>Rebalance_Audit!Q3306</f>
        <v/>
      </c>
      <c r="I272" s="7">
        <f>Rebalance_Audit!R3306</f>
        <v/>
      </c>
      <c r="J272" s="8">
        <f>Rebalance_Audit!S3306</f>
        <v/>
      </c>
    </row>
    <row r="273">
      <c r="A273" s="6" t="inlineStr">
        <is>
          <t>DJ30</t>
        </is>
      </c>
      <c r="B273" s="6" t="inlineStr">
        <is>
          <t>2025-01-17</t>
        </is>
      </c>
      <c r="C273" s="6" t="inlineStr">
        <is>
          <t>DIA</t>
        </is>
      </c>
      <c r="D273" s="6" t="inlineStr">
        <is>
          <t>NVDA</t>
        </is>
      </c>
      <c r="E273" s="6" t="inlineStr">
        <is>
          <t>NVDA</t>
        </is>
      </c>
      <c r="F273" s="6" t="inlineStr">
        <is>
          <t>-</t>
        </is>
      </c>
      <c r="G273" s="7">
        <f>Rebalance_Audit!G3310</f>
        <v/>
      </c>
      <c r="H273" s="9">
        <f>Rebalance_Audit!Q3310</f>
        <v/>
      </c>
      <c r="I273" s="7">
        <f>Rebalance_Audit!R3310</f>
        <v/>
      </c>
      <c r="J273" s="8">
        <f>Rebalance_Audit!S3310</f>
        <v/>
      </c>
    </row>
    <row r="274">
      <c r="A274" s="6" t="inlineStr">
        <is>
          <t>DJ30</t>
        </is>
      </c>
      <c r="B274" s="6" t="inlineStr">
        <is>
          <t>2025-01-17</t>
        </is>
      </c>
      <c r="C274" s="6" t="inlineStr">
        <is>
          <t>DIA</t>
        </is>
      </c>
      <c r="D274" s="6" t="inlineStr">
        <is>
          <t>AAPL</t>
        </is>
      </c>
      <c r="E274" s="6" t="inlineStr">
        <is>
          <t>AAPL</t>
        </is>
      </c>
      <c r="F274" s="6" t="inlineStr">
        <is>
          <t>-</t>
        </is>
      </c>
      <c r="G274" s="7">
        <f>Rebalance_Audit!G3288</f>
        <v/>
      </c>
      <c r="H274" s="9">
        <f>Rebalance_Audit!Q3288</f>
        <v/>
      </c>
      <c r="I274" s="7">
        <f>Rebalance_Audit!R3288</f>
        <v/>
      </c>
      <c r="J274" s="8">
        <f>Rebalance_Audit!S3288</f>
        <v/>
      </c>
    </row>
    <row r="275">
      <c r="A275" s="6" t="inlineStr">
        <is>
          <t>DJ30</t>
        </is>
      </c>
      <c r="B275" s="6" t="inlineStr">
        <is>
          <t>2025-01-17</t>
        </is>
      </c>
      <c r="C275" s="6" t="inlineStr">
        <is>
          <t>DIA</t>
        </is>
      </c>
      <c r="D275" s="6" t="inlineStr">
        <is>
          <t>TRV</t>
        </is>
      </c>
      <c r="E275" s="6" t="inlineStr">
        <is>
          <t>TRV</t>
        </is>
      </c>
      <c r="F275" s="6" t="inlineStr">
        <is>
          <t>-</t>
        </is>
      </c>
      <c r="G275" s="7">
        <f>Rebalance_Audit!G3313</f>
        <v/>
      </c>
      <c r="H275" s="9">
        <f>Rebalance_Audit!Q3313</f>
        <v/>
      </c>
      <c r="I275" s="7">
        <f>Rebalance_Audit!R3313</f>
        <v/>
      </c>
      <c r="J275" s="8">
        <f>Rebalance_Audit!S3313</f>
        <v/>
      </c>
    </row>
    <row r="276">
      <c r="A276" s="6" t="inlineStr">
        <is>
          <t>DJ30</t>
        </is>
      </c>
      <c r="B276" s="6" t="inlineStr">
        <is>
          <t>2025-01-17</t>
        </is>
      </c>
      <c r="C276" s="6" t="inlineStr">
        <is>
          <t>DIA</t>
        </is>
      </c>
      <c r="D276" s="6" t="inlineStr">
        <is>
          <t>UNH</t>
        </is>
      </c>
      <c r="E276" s="6" t="inlineStr">
        <is>
          <t>UNH</t>
        </is>
      </c>
      <c r="F276" s="6" t="inlineStr">
        <is>
          <t>-</t>
        </is>
      </c>
      <c r="G276" s="7">
        <f>Rebalance_Audit!G3314</f>
        <v/>
      </c>
      <c r="H276" s="9">
        <f>Rebalance_Audit!Q3314</f>
        <v/>
      </c>
      <c r="I276" s="7">
        <f>Rebalance_Audit!R3314</f>
        <v/>
      </c>
      <c r="J276" s="8">
        <f>Rebalance_Audit!S3314</f>
        <v/>
      </c>
    </row>
    <row r="277">
      <c r="A277" s="6" t="inlineStr">
        <is>
          <t>DJ30</t>
        </is>
      </c>
      <c r="B277" s="6" t="inlineStr">
        <is>
          <t>2025-01-24</t>
        </is>
      </c>
      <c r="C277" s="6" t="inlineStr">
        <is>
          <t>DIA</t>
        </is>
      </c>
      <c r="D277" s="6" t="inlineStr">
        <is>
          <t>MMM</t>
        </is>
      </c>
      <c r="E277" s="6" t="inlineStr">
        <is>
          <t>MMM</t>
        </is>
      </c>
      <c r="F277" s="6" t="inlineStr">
        <is>
          <t>-</t>
        </is>
      </c>
      <c r="G277" s="7">
        <f>Rebalance_Audit!G3337</f>
        <v/>
      </c>
      <c r="H277" s="9">
        <f>Rebalance_Audit!Q3337</f>
        <v/>
      </c>
      <c r="I277" s="7">
        <f>Rebalance_Audit!R3337</f>
        <v/>
      </c>
      <c r="J277" s="8">
        <f>Rebalance_Audit!S3337</f>
        <v/>
      </c>
    </row>
    <row r="278">
      <c r="A278" s="6" t="inlineStr">
        <is>
          <t>DJ30</t>
        </is>
      </c>
      <c r="B278" s="6" t="inlineStr">
        <is>
          <t>2025-01-24</t>
        </is>
      </c>
      <c r="C278" s="6" t="inlineStr">
        <is>
          <t>DIA</t>
        </is>
      </c>
      <c r="D278" s="6" t="inlineStr">
        <is>
          <t>WMT</t>
        </is>
      </c>
      <c r="E278" s="6" t="inlineStr">
        <is>
          <t>WMT</t>
        </is>
      </c>
      <c r="F278" s="6" t="inlineStr">
        <is>
          <t>-</t>
        </is>
      </c>
      <c r="G278" s="7">
        <f>Rebalance_Audit!G3348</f>
        <v/>
      </c>
      <c r="H278" s="9">
        <f>Rebalance_Audit!Q3348</f>
        <v/>
      </c>
      <c r="I278" s="7">
        <f>Rebalance_Audit!R3348</f>
        <v/>
      </c>
      <c r="J278" s="8">
        <f>Rebalance_Audit!S3348</f>
        <v/>
      </c>
    </row>
    <row r="279">
      <c r="A279" s="6" t="inlineStr">
        <is>
          <t>DJ30</t>
        </is>
      </c>
      <c r="B279" s="6" t="inlineStr">
        <is>
          <t>2025-01-24</t>
        </is>
      </c>
      <c r="C279" s="6" t="inlineStr">
        <is>
          <t>DIA</t>
        </is>
      </c>
      <c r="D279" s="6" t="inlineStr">
        <is>
          <t>AAPL</t>
        </is>
      </c>
      <c r="E279" s="6" t="inlineStr">
        <is>
          <t>AAPL</t>
        </is>
      </c>
      <c r="F279" s="6" t="inlineStr">
        <is>
          <t>-</t>
        </is>
      </c>
      <c r="G279" s="7">
        <f>Rebalance_Audit!G3319</f>
        <v/>
      </c>
      <c r="H279" s="9">
        <f>Rebalance_Audit!Q3319</f>
        <v/>
      </c>
      <c r="I279" s="7">
        <f>Rebalance_Audit!R3319</f>
        <v/>
      </c>
      <c r="J279" s="8">
        <f>Rebalance_Audit!S3319</f>
        <v/>
      </c>
    </row>
    <row r="280">
      <c r="A280" s="6" t="inlineStr">
        <is>
          <t>DJ30</t>
        </is>
      </c>
      <c r="B280" s="6" t="inlineStr">
        <is>
          <t>2025-01-24</t>
        </is>
      </c>
      <c r="C280" s="6" t="inlineStr">
        <is>
          <t>DIA</t>
        </is>
      </c>
      <c r="D280" s="6" t="inlineStr">
        <is>
          <t>TRV</t>
        </is>
      </c>
      <c r="E280" s="6" t="inlineStr">
        <is>
          <t>TRV</t>
        </is>
      </c>
      <c r="F280" s="6" t="inlineStr">
        <is>
          <t>-</t>
        </is>
      </c>
      <c r="G280" s="7">
        <f>Rebalance_Audit!G3344</f>
        <v/>
      </c>
      <c r="H280" s="9">
        <f>Rebalance_Audit!Q3344</f>
        <v/>
      </c>
      <c r="I280" s="7">
        <f>Rebalance_Audit!R3344</f>
        <v/>
      </c>
      <c r="J280" s="8">
        <f>Rebalance_Audit!S3344</f>
        <v/>
      </c>
    </row>
    <row r="281">
      <c r="A281" s="6" t="inlineStr">
        <is>
          <t>DJ30</t>
        </is>
      </c>
      <c r="B281" s="6" t="inlineStr">
        <is>
          <t>2025-01-24</t>
        </is>
      </c>
      <c r="C281" s="6" t="inlineStr">
        <is>
          <t>DIA</t>
        </is>
      </c>
      <c r="D281" s="6" t="inlineStr">
        <is>
          <t>UNH</t>
        </is>
      </c>
      <c r="E281" s="6" t="inlineStr">
        <is>
          <t>UNH</t>
        </is>
      </c>
      <c r="F281" s="6" t="inlineStr">
        <is>
          <t>-</t>
        </is>
      </c>
      <c r="G281" s="7">
        <f>Rebalance_Audit!G3345</f>
        <v/>
      </c>
      <c r="H281" s="9">
        <f>Rebalance_Audit!Q3345</f>
        <v/>
      </c>
      <c r="I281" s="7">
        <f>Rebalance_Audit!R3345</f>
        <v/>
      </c>
      <c r="J281" s="8">
        <f>Rebalance_Audit!S3345</f>
        <v/>
      </c>
    </row>
    <row r="282">
      <c r="A282" s="6" t="inlineStr">
        <is>
          <t>DJ30</t>
        </is>
      </c>
      <c r="B282" s="6" t="inlineStr">
        <is>
          <t>2025-01-31</t>
        </is>
      </c>
      <c r="C282" s="6" t="inlineStr">
        <is>
          <t>DIA</t>
        </is>
      </c>
      <c r="D282" s="6" t="inlineStr">
        <is>
          <t>MMM</t>
        </is>
      </c>
      <c r="E282" s="6" t="inlineStr">
        <is>
          <t>MMM</t>
        </is>
      </c>
      <c r="F282" s="6" t="inlineStr">
        <is>
          <t>-</t>
        </is>
      </c>
      <c r="G282" s="7">
        <f>Rebalance_Audit!G3368</f>
        <v/>
      </c>
      <c r="H282" s="9">
        <f>Rebalance_Audit!Q3368</f>
        <v/>
      </c>
      <c r="I282" s="7">
        <f>Rebalance_Audit!R3368</f>
        <v/>
      </c>
      <c r="J282" s="8">
        <f>Rebalance_Audit!S3368</f>
        <v/>
      </c>
    </row>
    <row r="283">
      <c r="A283" s="6" t="inlineStr">
        <is>
          <t>DJ30</t>
        </is>
      </c>
      <c r="B283" s="6" t="inlineStr">
        <is>
          <t>2025-01-31</t>
        </is>
      </c>
      <c r="C283" s="6" t="inlineStr">
        <is>
          <t>DIA</t>
        </is>
      </c>
      <c r="D283" s="6" t="inlineStr">
        <is>
          <t>WMT</t>
        </is>
      </c>
      <c r="E283" s="6" t="inlineStr">
        <is>
          <t>WMT</t>
        </is>
      </c>
      <c r="F283" s="6" t="inlineStr">
        <is>
          <t>-</t>
        </is>
      </c>
      <c r="G283" s="7">
        <f>Rebalance_Audit!G3379</f>
        <v/>
      </c>
      <c r="H283" s="9">
        <f>Rebalance_Audit!Q3379</f>
        <v/>
      </c>
      <c r="I283" s="7">
        <f>Rebalance_Audit!R3379</f>
        <v/>
      </c>
      <c r="J283" s="8">
        <f>Rebalance_Audit!S3379</f>
        <v/>
      </c>
    </row>
    <row r="284">
      <c r="A284" s="6" t="inlineStr">
        <is>
          <t>DJ30</t>
        </is>
      </c>
      <c r="B284" s="6" t="inlineStr">
        <is>
          <t>2025-01-31</t>
        </is>
      </c>
      <c r="C284" s="6" t="inlineStr">
        <is>
          <t>DIA</t>
        </is>
      </c>
      <c r="D284" s="6" t="inlineStr">
        <is>
          <t>NVDA</t>
        </is>
      </c>
      <c r="E284" s="6" t="inlineStr">
        <is>
          <t>NVDA</t>
        </is>
      </c>
      <c r="F284" s="6" t="inlineStr">
        <is>
          <t>-</t>
        </is>
      </c>
      <c r="G284" s="7">
        <f>Rebalance_Audit!G3372</f>
        <v/>
      </c>
      <c r="H284" s="9">
        <f>Rebalance_Audit!Q3372</f>
        <v/>
      </c>
      <c r="I284" s="7">
        <f>Rebalance_Audit!R3372</f>
        <v/>
      </c>
      <c r="J284" s="8">
        <f>Rebalance_Audit!S3372</f>
        <v/>
      </c>
    </row>
    <row r="285">
      <c r="A285" s="6" t="inlineStr">
        <is>
          <t>DJ30</t>
        </is>
      </c>
      <c r="B285" s="6" t="inlineStr">
        <is>
          <t>2025-01-31</t>
        </is>
      </c>
      <c r="C285" s="6" t="inlineStr">
        <is>
          <t>DIA</t>
        </is>
      </c>
      <c r="D285" s="6" t="inlineStr">
        <is>
          <t>AAPL</t>
        </is>
      </c>
      <c r="E285" s="6" t="inlineStr">
        <is>
          <t>AAPL</t>
        </is>
      </c>
      <c r="F285" s="6" t="inlineStr">
        <is>
          <t>-</t>
        </is>
      </c>
      <c r="G285" s="7">
        <f>Rebalance_Audit!G3350</f>
        <v/>
      </c>
      <c r="H285" s="9">
        <f>Rebalance_Audit!Q3350</f>
        <v/>
      </c>
      <c r="I285" s="7">
        <f>Rebalance_Audit!R3350</f>
        <v/>
      </c>
      <c r="J285" s="8">
        <f>Rebalance_Audit!S3350</f>
        <v/>
      </c>
    </row>
    <row r="286">
      <c r="A286" s="6" t="inlineStr">
        <is>
          <t>DJ30</t>
        </is>
      </c>
      <c r="B286" s="6" t="inlineStr">
        <is>
          <t>2025-01-31</t>
        </is>
      </c>
      <c r="C286" s="6" t="inlineStr">
        <is>
          <t>DIA</t>
        </is>
      </c>
      <c r="D286" s="6" t="inlineStr">
        <is>
          <t>TRV</t>
        </is>
      </c>
      <c r="E286" s="6" t="inlineStr">
        <is>
          <t>TRV</t>
        </is>
      </c>
      <c r="F286" s="6" t="inlineStr">
        <is>
          <t>-</t>
        </is>
      </c>
      <c r="G286" s="7">
        <f>Rebalance_Audit!G3375</f>
        <v/>
      </c>
      <c r="H286" s="9">
        <f>Rebalance_Audit!Q3375</f>
        <v/>
      </c>
      <c r="I286" s="7">
        <f>Rebalance_Audit!R3375</f>
        <v/>
      </c>
      <c r="J286" s="8">
        <f>Rebalance_Audit!S3375</f>
        <v/>
      </c>
    </row>
    <row r="287">
      <c r="A287" s="6" t="inlineStr">
        <is>
          <t>DJ30</t>
        </is>
      </c>
      <c r="B287" s="6" t="inlineStr">
        <is>
          <t>2025-02-07</t>
        </is>
      </c>
      <c r="C287" s="6" t="inlineStr">
        <is>
          <t>DIA</t>
        </is>
      </c>
      <c r="D287" s="6" t="inlineStr">
        <is>
          <t>WMT</t>
        </is>
      </c>
      <c r="E287" s="6" t="inlineStr">
        <is>
          <t>WMT</t>
        </is>
      </c>
      <c r="F287" s="6" t="inlineStr">
        <is>
          <t>-</t>
        </is>
      </c>
      <c r="G287" s="7">
        <f>Rebalance_Audit!G3410</f>
        <v/>
      </c>
      <c r="H287" s="9">
        <f>Rebalance_Audit!Q3410</f>
        <v/>
      </c>
      <c r="I287" s="7">
        <f>Rebalance_Audit!R3410</f>
        <v/>
      </c>
      <c r="J287" s="8">
        <f>Rebalance_Audit!S3410</f>
        <v/>
      </c>
    </row>
    <row r="288">
      <c r="A288" s="6" t="inlineStr">
        <is>
          <t>DJ30</t>
        </is>
      </c>
      <c r="B288" s="6" t="inlineStr">
        <is>
          <t>2025-02-07</t>
        </is>
      </c>
      <c r="C288" s="6" t="inlineStr">
        <is>
          <t>DIA</t>
        </is>
      </c>
      <c r="D288" s="6" t="inlineStr">
        <is>
          <t>MMM</t>
        </is>
      </c>
      <c r="E288" s="6" t="inlineStr">
        <is>
          <t>MMM</t>
        </is>
      </c>
      <c r="F288" s="6" t="inlineStr">
        <is>
          <t>-</t>
        </is>
      </c>
      <c r="G288" s="7">
        <f>Rebalance_Audit!G3399</f>
        <v/>
      </c>
      <c r="H288" s="9">
        <f>Rebalance_Audit!Q3399</f>
        <v/>
      </c>
      <c r="I288" s="7">
        <f>Rebalance_Audit!R3399</f>
        <v/>
      </c>
      <c r="J288" s="8">
        <f>Rebalance_Audit!S3399</f>
        <v/>
      </c>
    </row>
    <row r="289">
      <c r="A289" s="6" t="inlineStr">
        <is>
          <t>DJ30</t>
        </is>
      </c>
      <c r="B289" s="6" t="inlineStr">
        <is>
          <t>2025-02-07</t>
        </is>
      </c>
      <c r="C289" s="6" t="inlineStr">
        <is>
          <t>DIA</t>
        </is>
      </c>
      <c r="D289" s="6" t="inlineStr">
        <is>
          <t>NVDA</t>
        </is>
      </c>
      <c r="E289" s="6" t="inlineStr">
        <is>
          <t>NVDA</t>
        </is>
      </c>
      <c r="F289" s="6" t="inlineStr">
        <is>
          <t>-</t>
        </is>
      </c>
      <c r="G289" s="7">
        <f>Rebalance_Audit!G3403</f>
        <v/>
      </c>
      <c r="H289" s="9">
        <f>Rebalance_Audit!Q3403</f>
        <v/>
      </c>
      <c r="I289" s="7">
        <f>Rebalance_Audit!R3403</f>
        <v/>
      </c>
      <c r="J289" s="8">
        <f>Rebalance_Audit!S3403</f>
        <v/>
      </c>
    </row>
    <row r="290">
      <c r="A290" s="6" t="inlineStr">
        <is>
          <t>DJ30</t>
        </is>
      </c>
      <c r="B290" s="6" t="inlineStr">
        <is>
          <t>2025-02-07</t>
        </is>
      </c>
      <c r="C290" s="6" t="inlineStr">
        <is>
          <t>DIA</t>
        </is>
      </c>
      <c r="D290" s="6" t="inlineStr">
        <is>
          <t>JPM</t>
        </is>
      </c>
      <c r="E290" s="6" t="inlineStr">
        <is>
          <t>JPM</t>
        </is>
      </c>
      <c r="F290" s="6" t="inlineStr">
        <is>
          <t>-</t>
        </is>
      </c>
      <c r="G290" s="7">
        <f>Rebalance_Audit!G3396</f>
        <v/>
      </c>
      <c r="H290" s="9">
        <f>Rebalance_Audit!Q3396</f>
        <v/>
      </c>
      <c r="I290" s="7">
        <f>Rebalance_Audit!R3396</f>
        <v/>
      </c>
      <c r="J290" s="8">
        <f>Rebalance_Audit!S3396</f>
        <v/>
      </c>
    </row>
    <row r="291">
      <c r="A291" s="6" t="inlineStr">
        <is>
          <t>DJ30</t>
        </is>
      </c>
      <c r="B291" s="6" t="inlineStr">
        <is>
          <t>2025-02-07</t>
        </is>
      </c>
      <c r="C291" s="6" t="inlineStr">
        <is>
          <t>DIA</t>
        </is>
      </c>
      <c r="D291" s="6" t="inlineStr">
        <is>
          <t>AAPL</t>
        </is>
      </c>
      <c r="E291" s="6" t="inlineStr">
        <is>
          <t>AAPL</t>
        </is>
      </c>
      <c r="F291" s="6" t="inlineStr">
        <is>
          <t>-</t>
        </is>
      </c>
      <c r="G291" s="7">
        <f>Rebalance_Audit!G3381</f>
        <v/>
      </c>
      <c r="H291" s="9">
        <f>Rebalance_Audit!Q3381</f>
        <v/>
      </c>
      <c r="I291" s="7">
        <f>Rebalance_Audit!R3381</f>
        <v/>
      </c>
      <c r="J291" s="8">
        <f>Rebalance_Audit!S3381</f>
        <v/>
      </c>
    </row>
    <row r="292">
      <c r="A292" s="6" t="inlineStr">
        <is>
          <t>DJ30</t>
        </is>
      </c>
      <c r="B292" s="6" t="inlineStr">
        <is>
          <t>2025-02-14</t>
        </is>
      </c>
      <c r="C292" s="6" t="inlineStr">
        <is>
          <t>DIA</t>
        </is>
      </c>
      <c r="D292" s="6" t="inlineStr">
        <is>
          <t>WMT</t>
        </is>
      </c>
      <c r="E292" s="6" t="inlineStr">
        <is>
          <t>WMT</t>
        </is>
      </c>
      <c r="F292" s="6" t="inlineStr">
        <is>
          <t>-</t>
        </is>
      </c>
      <c r="G292" s="7">
        <f>Rebalance_Audit!G3441</f>
        <v/>
      </c>
      <c r="H292" s="9">
        <f>Rebalance_Audit!Q3441</f>
        <v/>
      </c>
      <c r="I292" s="7">
        <f>Rebalance_Audit!R3441</f>
        <v/>
      </c>
      <c r="J292" s="8">
        <f>Rebalance_Audit!S3441</f>
        <v/>
      </c>
    </row>
    <row r="293">
      <c r="A293" s="6" t="inlineStr">
        <is>
          <t>DJ30</t>
        </is>
      </c>
      <c r="B293" s="6" t="inlineStr">
        <is>
          <t>2025-02-14</t>
        </is>
      </c>
      <c r="C293" s="6" t="inlineStr">
        <is>
          <t>DIA</t>
        </is>
      </c>
      <c r="D293" s="6" t="inlineStr">
        <is>
          <t>MMM</t>
        </is>
      </c>
      <c r="E293" s="6" t="inlineStr">
        <is>
          <t>MMM</t>
        </is>
      </c>
      <c r="F293" s="6" t="inlineStr">
        <is>
          <t>-</t>
        </is>
      </c>
      <c r="G293" s="7">
        <f>Rebalance_Audit!G3430</f>
        <v/>
      </c>
      <c r="H293" s="9">
        <f>Rebalance_Audit!Q3430</f>
        <v/>
      </c>
      <c r="I293" s="7">
        <f>Rebalance_Audit!R3430</f>
        <v/>
      </c>
      <c r="J293" s="8">
        <f>Rebalance_Audit!S3430</f>
        <v/>
      </c>
    </row>
    <row r="294">
      <c r="A294" s="6" t="inlineStr">
        <is>
          <t>DJ30</t>
        </is>
      </c>
      <c r="B294" s="6" t="inlineStr">
        <is>
          <t>2025-02-14</t>
        </is>
      </c>
      <c r="C294" s="6" t="inlineStr">
        <is>
          <t>DIA</t>
        </is>
      </c>
      <c r="D294" s="6" t="inlineStr">
        <is>
          <t>NVDA</t>
        </is>
      </c>
      <c r="E294" s="6" t="inlineStr">
        <is>
          <t>NVDA</t>
        </is>
      </c>
      <c r="F294" s="6" t="inlineStr">
        <is>
          <t>-</t>
        </is>
      </c>
      <c r="G294" s="7">
        <f>Rebalance_Audit!G3434</f>
        <v/>
      </c>
      <c r="H294" s="9">
        <f>Rebalance_Audit!Q3434</f>
        <v/>
      </c>
      <c r="I294" s="7">
        <f>Rebalance_Audit!R3434</f>
        <v/>
      </c>
      <c r="J294" s="8">
        <f>Rebalance_Audit!S3434</f>
        <v/>
      </c>
    </row>
    <row r="295">
      <c r="A295" s="6" t="inlineStr">
        <is>
          <t>DJ30</t>
        </is>
      </c>
      <c r="B295" s="6" t="inlineStr">
        <is>
          <t>2025-02-14</t>
        </is>
      </c>
      <c r="C295" s="6" t="inlineStr">
        <is>
          <t>DIA</t>
        </is>
      </c>
      <c r="D295" s="6" t="inlineStr">
        <is>
          <t>JPM</t>
        </is>
      </c>
      <c r="E295" s="6" t="inlineStr">
        <is>
          <t>JPM</t>
        </is>
      </c>
      <c r="F295" s="6" t="inlineStr">
        <is>
          <t>-</t>
        </is>
      </c>
      <c r="G295" s="7">
        <f>Rebalance_Audit!G3427</f>
        <v/>
      </c>
      <c r="H295" s="9">
        <f>Rebalance_Audit!Q3427</f>
        <v/>
      </c>
      <c r="I295" s="7">
        <f>Rebalance_Audit!R3427</f>
        <v/>
      </c>
      <c r="J295" s="8">
        <f>Rebalance_Audit!S3427</f>
        <v/>
      </c>
    </row>
    <row r="296">
      <c r="A296" s="6" t="inlineStr">
        <is>
          <t>DJ30</t>
        </is>
      </c>
      <c r="B296" s="6" t="inlineStr">
        <is>
          <t>2025-02-14</t>
        </is>
      </c>
      <c r="C296" s="6" t="inlineStr">
        <is>
          <t>DIA</t>
        </is>
      </c>
      <c r="D296" s="6" t="inlineStr">
        <is>
          <t>AAPL</t>
        </is>
      </c>
      <c r="E296" s="6" t="inlineStr">
        <is>
          <t>AAPL</t>
        </is>
      </c>
      <c r="F296" s="6" t="inlineStr">
        <is>
          <t>-</t>
        </is>
      </c>
      <c r="G296" s="7">
        <f>Rebalance_Audit!G3412</f>
        <v/>
      </c>
      <c r="H296" s="9">
        <f>Rebalance_Audit!Q3412</f>
        <v/>
      </c>
      <c r="I296" s="7">
        <f>Rebalance_Audit!R3412</f>
        <v/>
      </c>
      <c r="J296" s="8">
        <f>Rebalance_Audit!S3412</f>
        <v/>
      </c>
    </row>
    <row r="297">
      <c r="A297" s="6" t="inlineStr">
        <is>
          <t>DJ30</t>
        </is>
      </c>
      <c r="B297" s="6" t="inlineStr">
        <is>
          <t>2025-02-21</t>
        </is>
      </c>
      <c r="C297" s="6" t="inlineStr">
        <is>
          <t>DIA</t>
        </is>
      </c>
      <c r="D297" s="6" t="inlineStr">
        <is>
          <t>WMT</t>
        </is>
      </c>
      <c r="E297" s="6" t="inlineStr">
        <is>
          <t>WMT</t>
        </is>
      </c>
      <c r="F297" s="6" t="inlineStr">
        <is>
          <t>-</t>
        </is>
      </c>
      <c r="G297" s="7">
        <f>Rebalance_Audit!G3472</f>
        <v/>
      </c>
      <c r="H297" s="9">
        <f>Rebalance_Audit!Q3472</f>
        <v/>
      </c>
      <c r="I297" s="7">
        <f>Rebalance_Audit!R3472</f>
        <v/>
      </c>
      <c r="J297" s="8">
        <f>Rebalance_Audit!S3472</f>
        <v/>
      </c>
    </row>
    <row r="298">
      <c r="A298" s="6" t="inlineStr">
        <is>
          <t>DJ30</t>
        </is>
      </c>
      <c r="B298" s="6" t="inlineStr">
        <is>
          <t>2025-02-21</t>
        </is>
      </c>
      <c r="C298" s="6" t="inlineStr">
        <is>
          <t>DIA</t>
        </is>
      </c>
      <c r="D298" s="6" t="inlineStr">
        <is>
          <t>MMM</t>
        </is>
      </c>
      <c r="E298" s="6" t="inlineStr">
        <is>
          <t>MMM</t>
        </is>
      </c>
      <c r="F298" s="6" t="inlineStr">
        <is>
          <t>-</t>
        </is>
      </c>
      <c r="G298" s="7">
        <f>Rebalance_Audit!G3461</f>
        <v/>
      </c>
      <c r="H298" s="9">
        <f>Rebalance_Audit!Q3461</f>
        <v/>
      </c>
      <c r="I298" s="7">
        <f>Rebalance_Audit!R3461</f>
        <v/>
      </c>
      <c r="J298" s="8">
        <f>Rebalance_Audit!S3461</f>
        <v/>
      </c>
    </row>
    <row r="299">
      <c r="A299" s="6" t="inlineStr">
        <is>
          <t>DJ30</t>
        </is>
      </c>
      <c r="B299" s="6" t="inlineStr">
        <is>
          <t>2025-02-21</t>
        </is>
      </c>
      <c r="C299" s="6" t="inlineStr">
        <is>
          <t>DIA</t>
        </is>
      </c>
      <c r="D299" s="6" t="inlineStr">
        <is>
          <t>NVDA</t>
        </is>
      </c>
      <c r="E299" s="6" t="inlineStr">
        <is>
          <t>NVDA</t>
        </is>
      </c>
      <c r="F299" s="6" t="inlineStr">
        <is>
          <t>-</t>
        </is>
      </c>
      <c r="G299" s="7">
        <f>Rebalance_Audit!G3465</f>
        <v/>
      </c>
      <c r="H299" s="9">
        <f>Rebalance_Audit!Q3465</f>
        <v/>
      </c>
      <c r="I299" s="7">
        <f>Rebalance_Audit!R3465</f>
        <v/>
      </c>
      <c r="J299" s="8">
        <f>Rebalance_Audit!S3465</f>
        <v/>
      </c>
    </row>
    <row r="300">
      <c r="A300" s="6" t="inlineStr">
        <is>
          <t>DJ30</t>
        </is>
      </c>
      <c r="B300" s="6" t="inlineStr">
        <is>
          <t>2025-02-21</t>
        </is>
      </c>
      <c r="C300" s="6" t="inlineStr">
        <is>
          <t>DIA</t>
        </is>
      </c>
      <c r="D300" s="6" t="inlineStr">
        <is>
          <t>IBM</t>
        </is>
      </c>
      <c r="E300" s="6" t="inlineStr">
        <is>
          <t>IBM</t>
        </is>
      </c>
      <c r="F300" s="6" t="inlineStr">
        <is>
          <t>-</t>
        </is>
      </c>
      <c r="G300" s="7">
        <f>Rebalance_Audit!G3456</f>
        <v/>
      </c>
      <c r="H300" s="9">
        <f>Rebalance_Audit!Q3456</f>
        <v/>
      </c>
      <c r="I300" s="7">
        <f>Rebalance_Audit!R3456</f>
        <v/>
      </c>
      <c r="J300" s="8">
        <f>Rebalance_Audit!S3456</f>
        <v/>
      </c>
    </row>
    <row r="301">
      <c r="A301" s="6" t="inlineStr">
        <is>
          <t>DJ30</t>
        </is>
      </c>
      <c r="B301" s="6" t="inlineStr">
        <is>
          <t>2025-02-21</t>
        </is>
      </c>
      <c r="C301" s="6" t="inlineStr">
        <is>
          <t>DIA</t>
        </is>
      </c>
      <c r="D301" s="6" t="inlineStr">
        <is>
          <t>TRV</t>
        </is>
      </c>
      <c r="E301" s="6" t="inlineStr">
        <is>
          <t>TRV</t>
        </is>
      </c>
      <c r="F301" s="6" t="inlineStr">
        <is>
          <t>-</t>
        </is>
      </c>
      <c r="G301" s="7">
        <f>Rebalance_Audit!G3468</f>
        <v/>
      </c>
      <c r="H301" s="9">
        <f>Rebalance_Audit!Q3468</f>
        <v/>
      </c>
      <c r="I301" s="7">
        <f>Rebalance_Audit!R3468</f>
        <v/>
      </c>
      <c r="J301" s="8">
        <f>Rebalance_Audit!S3468</f>
        <v/>
      </c>
    </row>
    <row r="302">
      <c r="A302" s="6" t="inlineStr">
        <is>
          <t>DJ30</t>
        </is>
      </c>
      <c r="B302" s="6" t="inlineStr">
        <is>
          <t>2025-02-28</t>
        </is>
      </c>
      <c r="C302" s="6" t="inlineStr">
        <is>
          <t>DIA</t>
        </is>
      </c>
      <c r="D302" s="6" t="inlineStr">
        <is>
          <t>WMT</t>
        </is>
      </c>
      <c r="E302" s="6" t="inlineStr">
        <is>
          <t>WMT</t>
        </is>
      </c>
      <c r="F302" s="6" t="inlineStr">
        <is>
          <t>-</t>
        </is>
      </c>
      <c r="G302" s="7">
        <f>Rebalance_Audit!G3503</f>
        <v/>
      </c>
      <c r="H302" s="9">
        <f>Rebalance_Audit!Q3503</f>
        <v/>
      </c>
      <c r="I302" s="7">
        <f>Rebalance_Audit!R3503</f>
        <v/>
      </c>
      <c r="J302" s="8">
        <f>Rebalance_Audit!S3503</f>
        <v/>
      </c>
    </row>
    <row r="303">
      <c r="A303" s="6" t="inlineStr">
        <is>
          <t>DJ30</t>
        </is>
      </c>
      <c r="B303" s="6" t="inlineStr">
        <is>
          <t>2025-02-28</t>
        </is>
      </c>
      <c r="C303" s="6" t="inlineStr">
        <is>
          <t>DIA</t>
        </is>
      </c>
      <c r="D303" s="6" t="inlineStr">
        <is>
          <t>MMM</t>
        </is>
      </c>
      <c r="E303" s="6" t="inlineStr">
        <is>
          <t>MMM</t>
        </is>
      </c>
      <c r="F303" s="6" t="inlineStr">
        <is>
          <t>-</t>
        </is>
      </c>
      <c r="G303" s="7">
        <f>Rebalance_Audit!G3492</f>
        <v/>
      </c>
      <c r="H303" s="9">
        <f>Rebalance_Audit!Q3492</f>
        <v/>
      </c>
      <c r="I303" s="7">
        <f>Rebalance_Audit!R3492</f>
        <v/>
      </c>
      <c r="J303" s="8">
        <f>Rebalance_Audit!S3492</f>
        <v/>
      </c>
    </row>
    <row r="304">
      <c r="A304" s="6" t="inlineStr">
        <is>
          <t>DJ30</t>
        </is>
      </c>
      <c r="B304" s="6" t="inlineStr">
        <is>
          <t>2025-02-28</t>
        </is>
      </c>
      <c r="C304" s="6" t="inlineStr">
        <is>
          <t>DIA</t>
        </is>
      </c>
      <c r="D304" s="6" t="inlineStr">
        <is>
          <t>JPM</t>
        </is>
      </c>
      <c r="E304" s="6" t="inlineStr">
        <is>
          <t>JPM</t>
        </is>
      </c>
      <c r="F304" s="6" t="inlineStr">
        <is>
          <t>-</t>
        </is>
      </c>
      <c r="G304" s="7">
        <f>Rebalance_Audit!G3489</f>
        <v/>
      </c>
      <c r="H304" s="9">
        <f>Rebalance_Audit!Q3489</f>
        <v/>
      </c>
      <c r="I304" s="7">
        <f>Rebalance_Audit!R3489</f>
        <v/>
      </c>
      <c r="J304" s="8">
        <f>Rebalance_Audit!S3489</f>
        <v/>
      </c>
    </row>
    <row r="305">
      <c r="A305" s="6" t="inlineStr">
        <is>
          <t>DJ30</t>
        </is>
      </c>
      <c r="B305" s="6" t="inlineStr">
        <is>
          <t>2025-02-28</t>
        </is>
      </c>
      <c r="C305" s="6" t="inlineStr">
        <is>
          <t>DIA</t>
        </is>
      </c>
      <c r="D305" s="6" t="inlineStr">
        <is>
          <t>IBM</t>
        </is>
      </c>
      <c r="E305" s="6" t="inlineStr">
        <is>
          <t>IBM</t>
        </is>
      </c>
      <c r="F305" s="6" t="inlineStr">
        <is>
          <t>-</t>
        </is>
      </c>
      <c r="G305" s="7">
        <f>Rebalance_Audit!G3487</f>
        <v/>
      </c>
      <c r="H305" s="9">
        <f>Rebalance_Audit!Q3487</f>
        <v/>
      </c>
      <c r="I305" s="7">
        <f>Rebalance_Audit!R3487</f>
        <v/>
      </c>
      <c r="J305" s="8">
        <f>Rebalance_Audit!S3487</f>
        <v/>
      </c>
    </row>
    <row r="306">
      <c r="A306" s="6" t="inlineStr">
        <is>
          <t>DJ30</t>
        </is>
      </c>
      <c r="B306" s="6" t="inlineStr">
        <is>
          <t>2025-02-28</t>
        </is>
      </c>
      <c r="C306" s="6" t="inlineStr">
        <is>
          <t>DIA</t>
        </is>
      </c>
      <c r="D306" s="6" t="inlineStr">
        <is>
          <t>NVDA</t>
        </is>
      </c>
      <c r="E306" s="6" t="inlineStr">
        <is>
          <t>NVDA</t>
        </is>
      </c>
      <c r="F306" s="6" t="inlineStr">
        <is>
          <t>-</t>
        </is>
      </c>
      <c r="G306" s="7">
        <f>Rebalance_Audit!G3496</f>
        <v/>
      </c>
      <c r="H306" s="9">
        <f>Rebalance_Audit!Q3496</f>
        <v/>
      </c>
      <c r="I306" s="7">
        <f>Rebalance_Audit!R3496</f>
        <v/>
      </c>
      <c r="J306" s="8">
        <f>Rebalance_Audit!S3496</f>
        <v/>
      </c>
    </row>
    <row r="307">
      <c r="A307" s="6" t="inlineStr">
        <is>
          <t>DJ30</t>
        </is>
      </c>
      <c r="B307" s="6" t="inlineStr">
        <is>
          <t>2025-03-07</t>
        </is>
      </c>
      <c r="C307" s="6" t="inlineStr">
        <is>
          <t>DIA</t>
        </is>
      </c>
      <c r="D307" s="6" t="inlineStr">
        <is>
          <t>WMT</t>
        </is>
      </c>
      <c r="E307" s="6" t="inlineStr">
        <is>
          <t>WMT</t>
        </is>
      </c>
      <c r="F307" s="6" t="inlineStr">
        <is>
          <t>-</t>
        </is>
      </c>
      <c r="G307" s="7">
        <f>Rebalance_Audit!G3534</f>
        <v/>
      </c>
      <c r="H307" s="9">
        <f>Rebalance_Audit!Q3534</f>
        <v/>
      </c>
      <c r="I307" s="7">
        <f>Rebalance_Audit!R3534</f>
        <v/>
      </c>
      <c r="J307" s="8">
        <f>Rebalance_Audit!S3534</f>
        <v/>
      </c>
    </row>
    <row r="308">
      <c r="A308" s="6" t="inlineStr">
        <is>
          <t>DJ30</t>
        </is>
      </c>
      <c r="B308" s="6" t="inlineStr">
        <is>
          <t>2025-03-07</t>
        </is>
      </c>
      <c r="C308" s="6" t="inlineStr">
        <is>
          <t>DIA</t>
        </is>
      </c>
      <c r="D308" s="6" t="inlineStr">
        <is>
          <t>MMM</t>
        </is>
      </c>
      <c r="E308" s="6" t="inlineStr">
        <is>
          <t>MMM</t>
        </is>
      </c>
      <c r="F308" s="6" t="inlineStr">
        <is>
          <t>-</t>
        </is>
      </c>
      <c r="G308" s="7">
        <f>Rebalance_Audit!G3523</f>
        <v/>
      </c>
      <c r="H308" s="9">
        <f>Rebalance_Audit!Q3523</f>
        <v/>
      </c>
      <c r="I308" s="7">
        <f>Rebalance_Audit!R3523</f>
        <v/>
      </c>
      <c r="J308" s="8">
        <f>Rebalance_Audit!S3523</f>
        <v/>
      </c>
    </row>
    <row r="309">
      <c r="A309" s="6" t="inlineStr">
        <is>
          <t>DJ30</t>
        </is>
      </c>
      <c r="B309" s="6" t="inlineStr">
        <is>
          <t>2025-03-07</t>
        </is>
      </c>
      <c r="C309" s="6" t="inlineStr">
        <is>
          <t>DIA</t>
        </is>
      </c>
      <c r="D309" s="6" t="inlineStr">
        <is>
          <t>IBM</t>
        </is>
      </c>
      <c r="E309" s="6" t="inlineStr">
        <is>
          <t>IBM</t>
        </is>
      </c>
      <c r="F309" s="6" t="inlineStr">
        <is>
          <t>-</t>
        </is>
      </c>
      <c r="G309" s="7">
        <f>Rebalance_Audit!G3518</f>
        <v/>
      </c>
      <c r="H309" s="9">
        <f>Rebalance_Audit!Q3518</f>
        <v/>
      </c>
      <c r="I309" s="7">
        <f>Rebalance_Audit!R3518</f>
        <v/>
      </c>
      <c r="J309" s="8">
        <f>Rebalance_Audit!S3518</f>
        <v/>
      </c>
    </row>
    <row r="310">
      <c r="A310" s="6" t="inlineStr">
        <is>
          <t>DJ30</t>
        </is>
      </c>
      <c r="B310" s="6" t="inlineStr">
        <is>
          <t>2025-03-07</t>
        </is>
      </c>
      <c r="C310" s="6" t="inlineStr">
        <is>
          <t>DIA</t>
        </is>
      </c>
      <c r="D310" s="6" t="inlineStr">
        <is>
          <t>CSCO</t>
        </is>
      </c>
      <c r="E310" s="6" t="inlineStr">
        <is>
          <t>CSCO</t>
        </is>
      </c>
      <c r="F310" s="6" t="inlineStr">
        <is>
          <t>-</t>
        </is>
      </c>
      <c r="G310" s="7">
        <f>Rebalance_Audit!G3512</f>
        <v/>
      </c>
      <c r="H310" s="9">
        <f>Rebalance_Audit!Q3512</f>
        <v/>
      </c>
      <c r="I310" s="7">
        <f>Rebalance_Audit!R3512</f>
        <v/>
      </c>
      <c r="J310" s="8">
        <f>Rebalance_Audit!S3512</f>
        <v/>
      </c>
    </row>
    <row r="311">
      <c r="A311" s="6" t="inlineStr">
        <is>
          <t>DJ30</t>
        </is>
      </c>
      <c r="B311" s="6" t="inlineStr">
        <is>
          <t>2025-03-07</t>
        </is>
      </c>
      <c r="C311" s="6" t="inlineStr">
        <is>
          <t>DIA</t>
        </is>
      </c>
      <c r="D311" s="6" t="inlineStr">
        <is>
          <t>TRV</t>
        </is>
      </c>
      <c r="E311" s="6" t="inlineStr">
        <is>
          <t>TRV</t>
        </is>
      </c>
      <c r="F311" s="6" t="inlineStr">
        <is>
          <t>-</t>
        </is>
      </c>
      <c r="G311" s="7">
        <f>Rebalance_Audit!G3530</f>
        <v/>
      </c>
      <c r="H311" s="9">
        <f>Rebalance_Audit!Q3530</f>
        <v/>
      </c>
      <c r="I311" s="7">
        <f>Rebalance_Audit!R3530</f>
        <v/>
      </c>
      <c r="J311" s="8">
        <f>Rebalance_Audit!S3530</f>
        <v/>
      </c>
    </row>
    <row r="312">
      <c r="A312" s="6" t="inlineStr">
        <is>
          <t>DJ30</t>
        </is>
      </c>
      <c r="B312" s="6" t="inlineStr">
        <is>
          <t>2025-03-14</t>
        </is>
      </c>
      <c r="C312" s="6" t="inlineStr">
        <is>
          <t>DIA</t>
        </is>
      </c>
      <c r="D312" s="6" t="inlineStr">
        <is>
          <t>WMT</t>
        </is>
      </c>
      <c r="E312" s="6" t="inlineStr">
        <is>
          <t>WMT</t>
        </is>
      </c>
      <c r="F312" s="6" t="inlineStr">
        <is>
          <t>-</t>
        </is>
      </c>
      <c r="G312" s="7">
        <f>Rebalance_Audit!G3565</f>
        <v/>
      </c>
      <c r="H312" s="9">
        <f>Rebalance_Audit!Q3565</f>
        <v/>
      </c>
      <c r="I312" s="7">
        <f>Rebalance_Audit!R3565</f>
        <v/>
      </c>
      <c r="J312" s="8">
        <f>Rebalance_Audit!S3565</f>
        <v/>
      </c>
    </row>
    <row r="313">
      <c r="A313" s="6" t="inlineStr">
        <is>
          <t>DJ30</t>
        </is>
      </c>
      <c r="B313" s="6" t="inlineStr">
        <is>
          <t>2025-03-14</t>
        </is>
      </c>
      <c r="C313" s="6" t="inlineStr">
        <is>
          <t>DIA</t>
        </is>
      </c>
      <c r="D313" s="6" t="inlineStr">
        <is>
          <t>MMM</t>
        </is>
      </c>
      <c r="E313" s="6" t="inlineStr">
        <is>
          <t>MMM</t>
        </is>
      </c>
      <c r="F313" s="6" t="inlineStr">
        <is>
          <t>-</t>
        </is>
      </c>
      <c r="G313" s="7">
        <f>Rebalance_Audit!G3554</f>
        <v/>
      </c>
      <c r="H313" s="9">
        <f>Rebalance_Audit!Q3554</f>
        <v/>
      </c>
      <c r="I313" s="7">
        <f>Rebalance_Audit!R3554</f>
        <v/>
      </c>
      <c r="J313" s="8">
        <f>Rebalance_Audit!S3554</f>
        <v/>
      </c>
    </row>
    <row r="314">
      <c r="A314" s="6" t="inlineStr">
        <is>
          <t>DJ30</t>
        </is>
      </c>
      <c r="B314" s="6" t="inlineStr">
        <is>
          <t>2025-03-14</t>
        </is>
      </c>
      <c r="C314" s="6" t="inlineStr">
        <is>
          <t>DIA</t>
        </is>
      </c>
      <c r="D314" s="6" t="inlineStr">
        <is>
          <t>IBM</t>
        </is>
      </c>
      <c r="E314" s="6" t="inlineStr">
        <is>
          <t>IBM</t>
        </is>
      </c>
      <c r="F314" s="6" t="inlineStr">
        <is>
          <t>-</t>
        </is>
      </c>
      <c r="G314" s="7">
        <f>Rebalance_Audit!G3549</f>
        <v/>
      </c>
      <c r="H314" s="9">
        <f>Rebalance_Audit!Q3549</f>
        <v/>
      </c>
      <c r="I314" s="7">
        <f>Rebalance_Audit!R3549</f>
        <v/>
      </c>
      <c r="J314" s="8">
        <f>Rebalance_Audit!S3549</f>
        <v/>
      </c>
    </row>
    <row r="315">
      <c r="A315" s="6" t="inlineStr">
        <is>
          <t>DJ30</t>
        </is>
      </c>
      <c r="B315" s="6" t="inlineStr">
        <is>
          <t>2025-03-14</t>
        </is>
      </c>
      <c r="C315" s="6" t="inlineStr">
        <is>
          <t>DIA</t>
        </is>
      </c>
      <c r="D315" s="6" t="inlineStr">
        <is>
          <t>CSCO</t>
        </is>
      </c>
      <c r="E315" s="6" t="inlineStr">
        <is>
          <t>CSCO</t>
        </is>
      </c>
      <c r="F315" s="6" t="inlineStr">
        <is>
          <t>-</t>
        </is>
      </c>
      <c r="G315" s="7">
        <f>Rebalance_Audit!G3543</f>
        <v/>
      </c>
      <c r="H315" s="9">
        <f>Rebalance_Audit!Q3543</f>
        <v/>
      </c>
      <c r="I315" s="7">
        <f>Rebalance_Audit!R3543</f>
        <v/>
      </c>
      <c r="J315" s="8">
        <f>Rebalance_Audit!S3543</f>
        <v/>
      </c>
    </row>
    <row r="316">
      <c r="A316" s="6" t="inlineStr">
        <is>
          <t>DJ30</t>
        </is>
      </c>
      <c r="B316" s="6" t="inlineStr">
        <is>
          <t>2025-03-14</t>
        </is>
      </c>
      <c r="C316" s="6" t="inlineStr">
        <is>
          <t>DIA</t>
        </is>
      </c>
      <c r="D316" s="6" t="inlineStr">
        <is>
          <t>NVDA</t>
        </is>
      </c>
      <c r="E316" s="6" t="inlineStr">
        <is>
          <t>NVDA</t>
        </is>
      </c>
      <c r="F316" s="6" t="inlineStr">
        <is>
          <t>-</t>
        </is>
      </c>
      <c r="G316" s="7">
        <f>Rebalance_Audit!G3558</f>
        <v/>
      </c>
      <c r="H316" s="9">
        <f>Rebalance_Audit!Q3558</f>
        <v/>
      </c>
      <c r="I316" s="7">
        <f>Rebalance_Audit!R3558</f>
        <v/>
      </c>
      <c r="J316" s="8">
        <f>Rebalance_Audit!S3558</f>
        <v/>
      </c>
    </row>
    <row r="317">
      <c r="A317" s="6" t="inlineStr">
        <is>
          <t>DJ30</t>
        </is>
      </c>
      <c r="B317" s="6" t="inlineStr">
        <is>
          <t>2025-03-21</t>
        </is>
      </c>
      <c r="C317" s="6" t="inlineStr">
        <is>
          <t>DIA</t>
        </is>
      </c>
      <c r="D317" s="6" t="inlineStr">
        <is>
          <t>WMT</t>
        </is>
      </c>
      <c r="E317" s="6" t="inlineStr">
        <is>
          <t>WMT</t>
        </is>
      </c>
      <c r="F317" s="6" t="inlineStr">
        <is>
          <t>-</t>
        </is>
      </c>
      <c r="G317" s="7">
        <f>Rebalance_Audit!G3596</f>
        <v/>
      </c>
      <c r="H317" s="9">
        <f>Rebalance_Audit!Q3596</f>
        <v/>
      </c>
      <c r="I317" s="7">
        <f>Rebalance_Audit!R3596</f>
        <v/>
      </c>
      <c r="J317" s="8">
        <f>Rebalance_Audit!S3596</f>
        <v/>
      </c>
    </row>
    <row r="318">
      <c r="A318" s="6" t="inlineStr">
        <is>
          <t>DJ30</t>
        </is>
      </c>
      <c r="B318" s="6" t="inlineStr">
        <is>
          <t>2025-03-21</t>
        </is>
      </c>
      <c r="C318" s="6" t="inlineStr">
        <is>
          <t>DIA</t>
        </is>
      </c>
      <c r="D318" s="6" t="inlineStr">
        <is>
          <t>MMM</t>
        </is>
      </c>
      <c r="E318" s="6" t="inlineStr">
        <is>
          <t>MMM</t>
        </is>
      </c>
      <c r="F318" s="6" t="inlineStr">
        <is>
          <t>-</t>
        </is>
      </c>
      <c r="G318" s="7">
        <f>Rebalance_Audit!G3585</f>
        <v/>
      </c>
      <c r="H318" s="9">
        <f>Rebalance_Audit!Q3585</f>
        <v/>
      </c>
      <c r="I318" s="7">
        <f>Rebalance_Audit!R3585</f>
        <v/>
      </c>
      <c r="J318" s="8">
        <f>Rebalance_Audit!S3585</f>
        <v/>
      </c>
    </row>
    <row r="319">
      <c r="A319" s="6" t="inlineStr">
        <is>
          <t>DJ30</t>
        </is>
      </c>
      <c r="B319" s="6" t="inlineStr">
        <is>
          <t>2025-03-21</t>
        </is>
      </c>
      <c r="C319" s="6" t="inlineStr">
        <is>
          <t>DIA</t>
        </is>
      </c>
      <c r="D319" s="6" t="inlineStr">
        <is>
          <t>IBM</t>
        </is>
      </c>
      <c r="E319" s="6" t="inlineStr">
        <is>
          <t>IBM</t>
        </is>
      </c>
      <c r="F319" s="6" t="inlineStr">
        <is>
          <t>-</t>
        </is>
      </c>
      <c r="G319" s="7">
        <f>Rebalance_Audit!G3580</f>
        <v/>
      </c>
      <c r="H319" s="9">
        <f>Rebalance_Audit!Q3580</f>
        <v/>
      </c>
      <c r="I319" s="7">
        <f>Rebalance_Audit!R3580</f>
        <v/>
      </c>
      <c r="J319" s="8">
        <f>Rebalance_Audit!S3580</f>
        <v/>
      </c>
    </row>
    <row r="320">
      <c r="A320" s="6" t="inlineStr">
        <is>
          <t>DJ30</t>
        </is>
      </c>
      <c r="B320" s="6" t="inlineStr">
        <is>
          <t>2025-03-21</t>
        </is>
      </c>
      <c r="C320" s="6" t="inlineStr">
        <is>
          <t>DIA</t>
        </is>
      </c>
      <c r="D320" s="6" t="inlineStr">
        <is>
          <t>CSCO</t>
        </is>
      </c>
      <c r="E320" s="6" t="inlineStr">
        <is>
          <t>CSCO</t>
        </is>
      </c>
      <c r="F320" s="6" t="inlineStr">
        <is>
          <t>-</t>
        </is>
      </c>
      <c r="G320" s="7">
        <f>Rebalance_Audit!G3574</f>
        <v/>
      </c>
      <c r="H320" s="9">
        <f>Rebalance_Audit!Q3574</f>
        <v/>
      </c>
      <c r="I320" s="7">
        <f>Rebalance_Audit!R3574</f>
        <v/>
      </c>
      <c r="J320" s="8">
        <f>Rebalance_Audit!S3574</f>
        <v/>
      </c>
    </row>
    <row r="321">
      <c r="A321" s="6" t="inlineStr">
        <is>
          <t>DJ30</t>
        </is>
      </c>
      <c r="B321" s="6" t="inlineStr">
        <is>
          <t>2025-03-21</t>
        </is>
      </c>
      <c r="C321" s="6" t="inlineStr">
        <is>
          <t>DIA</t>
        </is>
      </c>
      <c r="D321" s="6" t="inlineStr">
        <is>
          <t>NVDA</t>
        </is>
      </c>
      <c r="E321" s="6" t="inlineStr">
        <is>
          <t>NVDA</t>
        </is>
      </c>
      <c r="F321" s="6" t="inlineStr">
        <is>
          <t>-</t>
        </is>
      </c>
      <c r="G321" s="7">
        <f>Rebalance_Audit!G3589</f>
        <v/>
      </c>
      <c r="H321" s="9">
        <f>Rebalance_Audit!Q3589</f>
        <v/>
      </c>
      <c r="I321" s="7">
        <f>Rebalance_Audit!R3589</f>
        <v/>
      </c>
      <c r="J321" s="8">
        <f>Rebalance_Audit!S3589</f>
        <v/>
      </c>
    </row>
    <row r="322">
      <c r="A322" s="6" t="inlineStr">
        <is>
          <t>DJ30</t>
        </is>
      </c>
      <c r="B322" s="6" t="inlineStr">
        <is>
          <t>2025-03-28</t>
        </is>
      </c>
      <c r="C322" s="6" t="inlineStr">
        <is>
          <t>DIA</t>
        </is>
      </c>
      <c r="D322" s="6" t="inlineStr">
        <is>
          <t>WMT</t>
        </is>
      </c>
      <c r="E322" s="6" t="inlineStr">
        <is>
          <t>WMT</t>
        </is>
      </c>
      <c r="F322" s="6" t="inlineStr">
        <is>
          <t>-</t>
        </is>
      </c>
      <c r="G322" s="7">
        <f>Rebalance_Audit!G3627</f>
        <v/>
      </c>
      <c r="H322" s="9">
        <f>Rebalance_Audit!Q3627</f>
        <v/>
      </c>
      <c r="I322" s="7">
        <f>Rebalance_Audit!R3627</f>
        <v/>
      </c>
      <c r="J322" s="8">
        <f>Rebalance_Audit!S3627</f>
        <v/>
      </c>
    </row>
    <row r="323">
      <c r="A323" s="6" t="inlineStr">
        <is>
          <t>DJ30</t>
        </is>
      </c>
      <c r="B323" s="6" t="inlineStr">
        <is>
          <t>2025-03-28</t>
        </is>
      </c>
      <c r="C323" s="6" t="inlineStr">
        <is>
          <t>DIA</t>
        </is>
      </c>
      <c r="D323" s="6" t="inlineStr">
        <is>
          <t>MMM</t>
        </is>
      </c>
      <c r="E323" s="6" t="inlineStr">
        <is>
          <t>MMM</t>
        </is>
      </c>
      <c r="F323" s="6" t="inlineStr">
        <is>
          <t>-</t>
        </is>
      </c>
      <c r="G323" s="7">
        <f>Rebalance_Audit!G3616</f>
        <v/>
      </c>
      <c r="H323" s="9">
        <f>Rebalance_Audit!Q3616</f>
        <v/>
      </c>
      <c r="I323" s="7">
        <f>Rebalance_Audit!R3616</f>
        <v/>
      </c>
      <c r="J323" s="8">
        <f>Rebalance_Audit!S3616</f>
        <v/>
      </c>
    </row>
    <row r="324">
      <c r="A324" s="6" t="inlineStr">
        <is>
          <t>DJ30</t>
        </is>
      </c>
      <c r="B324" s="6" t="inlineStr">
        <is>
          <t>2025-03-28</t>
        </is>
      </c>
      <c r="C324" s="6" t="inlineStr">
        <is>
          <t>DIA</t>
        </is>
      </c>
      <c r="D324" s="6" t="inlineStr">
        <is>
          <t>IBM</t>
        </is>
      </c>
      <c r="E324" s="6" t="inlineStr">
        <is>
          <t>IBM</t>
        </is>
      </c>
      <c r="F324" s="6" t="inlineStr">
        <is>
          <t>-</t>
        </is>
      </c>
      <c r="G324" s="7">
        <f>Rebalance_Audit!G3611</f>
        <v/>
      </c>
      <c r="H324" s="9">
        <f>Rebalance_Audit!Q3611</f>
        <v/>
      </c>
      <c r="I324" s="7">
        <f>Rebalance_Audit!R3611</f>
        <v/>
      </c>
      <c r="J324" s="8">
        <f>Rebalance_Audit!S3611</f>
        <v/>
      </c>
    </row>
    <row r="325">
      <c r="A325" s="6" t="inlineStr">
        <is>
          <t>DJ30</t>
        </is>
      </c>
      <c r="B325" s="6" t="inlineStr">
        <is>
          <t>2025-03-28</t>
        </is>
      </c>
      <c r="C325" s="6" t="inlineStr">
        <is>
          <t>DIA</t>
        </is>
      </c>
      <c r="D325" s="6" t="inlineStr">
        <is>
          <t>CSCO</t>
        </is>
      </c>
      <c r="E325" s="6" t="inlineStr">
        <is>
          <t>CSCO</t>
        </is>
      </c>
      <c r="F325" s="6" t="inlineStr">
        <is>
          <t>-</t>
        </is>
      </c>
      <c r="G325" s="7">
        <f>Rebalance_Audit!G3605</f>
        <v/>
      </c>
      <c r="H325" s="9">
        <f>Rebalance_Audit!Q3605</f>
        <v/>
      </c>
      <c r="I325" s="7">
        <f>Rebalance_Audit!R3605</f>
        <v/>
      </c>
      <c r="J325" s="8">
        <f>Rebalance_Audit!S3605</f>
        <v/>
      </c>
    </row>
    <row r="326">
      <c r="A326" s="6" t="inlineStr">
        <is>
          <t>DJ30</t>
        </is>
      </c>
      <c r="B326" s="6" t="inlineStr">
        <is>
          <t>2025-03-28</t>
        </is>
      </c>
      <c r="C326" s="6" t="inlineStr">
        <is>
          <t>DIA</t>
        </is>
      </c>
      <c r="D326" s="6" t="inlineStr">
        <is>
          <t>TRV</t>
        </is>
      </c>
      <c r="E326" s="6" t="inlineStr">
        <is>
          <t>TRV</t>
        </is>
      </c>
      <c r="F326" s="6" t="inlineStr">
        <is>
          <t>-</t>
        </is>
      </c>
      <c r="G326" s="7">
        <f>Rebalance_Audit!G3623</f>
        <v/>
      </c>
      <c r="H326" s="9">
        <f>Rebalance_Audit!Q3623</f>
        <v/>
      </c>
      <c r="I326" s="7">
        <f>Rebalance_Audit!R3623</f>
        <v/>
      </c>
      <c r="J326" s="8">
        <f>Rebalance_Audit!S3623</f>
        <v/>
      </c>
    </row>
    <row r="327">
      <c r="A327" s="6" t="inlineStr">
        <is>
          <t>DJ30</t>
        </is>
      </c>
      <c r="B327" s="6" t="inlineStr">
        <is>
          <t>2025-04-04</t>
        </is>
      </c>
      <c r="C327" s="6" t="inlineStr">
        <is>
          <t>DIA</t>
        </is>
      </c>
      <c r="D327" s="6" t="inlineStr">
        <is>
          <t>WMT</t>
        </is>
      </c>
      <c r="E327" s="6" t="inlineStr">
        <is>
          <t>WMT</t>
        </is>
      </c>
      <c r="F327" s="6" t="inlineStr">
        <is>
          <t>-</t>
        </is>
      </c>
      <c r="G327" s="7">
        <f>Rebalance_Audit!G3658</f>
        <v/>
      </c>
      <c r="H327" s="9">
        <f>Rebalance_Audit!Q3658</f>
        <v/>
      </c>
      <c r="I327" s="7">
        <f>Rebalance_Audit!R3658</f>
        <v/>
      </c>
      <c r="J327" s="8">
        <f>Rebalance_Audit!S3658</f>
        <v/>
      </c>
    </row>
    <row r="328">
      <c r="A328" s="6" t="inlineStr">
        <is>
          <t>DJ30</t>
        </is>
      </c>
      <c r="B328" s="6" t="inlineStr">
        <is>
          <t>2025-04-04</t>
        </is>
      </c>
      <c r="C328" s="6" t="inlineStr">
        <is>
          <t>DIA</t>
        </is>
      </c>
      <c r="D328" s="6" t="inlineStr">
        <is>
          <t>IBM</t>
        </is>
      </c>
      <c r="E328" s="6" t="inlineStr">
        <is>
          <t>IBM</t>
        </is>
      </c>
      <c r="F328" s="6" t="inlineStr">
        <is>
          <t>-</t>
        </is>
      </c>
      <c r="G328" s="7">
        <f>Rebalance_Audit!G3642</f>
        <v/>
      </c>
      <c r="H328" s="9">
        <f>Rebalance_Audit!Q3642</f>
        <v/>
      </c>
      <c r="I328" s="7">
        <f>Rebalance_Audit!R3642</f>
        <v/>
      </c>
      <c r="J328" s="8">
        <f>Rebalance_Audit!S3642</f>
        <v/>
      </c>
    </row>
    <row r="329">
      <c r="A329" s="6" t="inlineStr">
        <is>
          <t>DJ30</t>
        </is>
      </c>
      <c r="B329" s="6" t="inlineStr">
        <is>
          <t>2025-04-04</t>
        </is>
      </c>
      <c r="C329" s="6" t="inlineStr">
        <is>
          <t>DIA</t>
        </is>
      </c>
      <c r="D329" s="6" t="inlineStr">
        <is>
          <t>MMM</t>
        </is>
      </c>
      <c r="E329" s="6" t="inlineStr">
        <is>
          <t>MMM</t>
        </is>
      </c>
      <c r="F329" s="6" t="inlineStr">
        <is>
          <t>-</t>
        </is>
      </c>
      <c r="G329" s="7">
        <f>Rebalance_Audit!G3647</f>
        <v/>
      </c>
      <c r="H329" s="9">
        <f>Rebalance_Audit!Q3647</f>
        <v/>
      </c>
      <c r="I329" s="7">
        <f>Rebalance_Audit!R3647</f>
        <v/>
      </c>
      <c r="J329" s="8">
        <f>Rebalance_Audit!S3647</f>
        <v/>
      </c>
    </row>
    <row r="330">
      <c r="A330" s="6" t="inlineStr">
        <is>
          <t>DJ30</t>
        </is>
      </c>
      <c r="B330" s="6" t="inlineStr">
        <is>
          <t>2025-04-04</t>
        </is>
      </c>
      <c r="C330" s="6" t="inlineStr">
        <is>
          <t>DIA</t>
        </is>
      </c>
      <c r="D330" s="6" t="inlineStr">
        <is>
          <t>CRM</t>
        </is>
      </c>
      <c r="E330" s="6" t="inlineStr">
        <is>
          <t>CRM</t>
        </is>
      </c>
      <c r="F330" s="6" t="inlineStr">
        <is>
          <t>-</t>
        </is>
      </c>
      <c r="G330" s="7">
        <f>Rebalance_Audit!G3635</f>
        <v/>
      </c>
      <c r="H330" s="9">
        <f>Rebalance_Audit!Q3635</f>
        <v/>
      </c>
      <c r="I330" s="7">
        <f>Rebalance_Audit!R3635</f>
        <v/>
      </c>
      <c r="J330" s="8">
        <f>Rebalance_Audit!S3635</f>
        <v/>
      </c>
    </row>
    <row r="331">
      <c r="A331" s="6" t="inlineStr">
        <is>
          <t>DJ30</t>
        </is>
      </c>
      <c r="B331" s="6" t="inlineStr">
        <is>
          <t>2025-04-04</t>
        </is>
      </c>
      <c r="C331" s="6" t="inlineStr">
        <is>
          <t>DIA</t>
        </is>
      </c>
      <c r="D331" s="6" t="inlineStr">
        <is>
          <t>VZ</t>
        </is>
      </c>
      <c r="E331" s="6" t="inlineStr">
        <is>
          <t>VZ</t>
        </is>
      </c>
      <c r="F331" s="6" t="inlineStr">
        <is>
          <t>-</t>
        </is>
      </c>
      <c r="G331" s="7">
        <f>Rebalance_Audit!G3657</f>
        <v/>
      </c>
      <c r="H331" s="9">
        <f>Rebalance_Audit!Q3657</f>
        <v/>
      </c>
      <c r="I331" s="7">
        <f>Rebalance_Audit!R3657</f>
        <v/>
      </c>
      <c r="J331" s="8">
        <f>Rebalance_Audit!S3657</f>
        <v/>
      </c>
    </row>
    <row r="332">
      <c r="A332" s="6" t="inlineStr">
        <is>
          <t>DJ30</t>
        </is>
      </c>
      <c r="B332" s="6" t="inlineStr">
        <is>
          <t>2025-04-11</t>
        </is>
      </c>
      <c r="C332" s="6" t="inlineStr">
        <is>
          <t>DIA</t>
        </is>
      </c>
      <c r="D332" s="6" t="inlineStr">
        <is>
          <t>IBM</t>
        </is>
      </c>
      <c r="E332" s="6" t="inlineStr">
        <is>
          <t>IBM</t>
        </is>
      </c>
      <c r="F332" s="6" t="inlineStr">
        <is>
          <t>-</t>
        </is>
      </c>
      <c r="G332" s="7">
        <f>Rebalance_Audit!G3673</f>
        <v/>
      </c>
      <c r="H332" s="9">
        <f>Rebalance_Audit!Q3673</f>
        <v/>
      </c>
      <c r="I332" s="7">
        <f>Rebalance_Audit!R3673</f>
        <v/>
      </c>
      <c r="J332" s="8">
        <f>Rebalance_Audit!S3673</f>
        <v/>
      </c>
    </row>
    <row r="333">
      <c r="A333" s="6" t="inlineStr">
        <is>
          <t>DJ30</t>
        </is>
      </c>
      <c r="B333" s="6" t="inlineStr">
        <is>
          <t>2025-04-11</t>
        </is>
      </c>
      <c r="C333" s="6" t="inlineStr">
        <is>
          <t>DIA</t>
        </is>
      </c>
      <c r="D333" s="6" t="inlineStr">
        <is>
          <t>WMT</t>
        </is>
      </c>
      <c r="E333" s="6" t="inlineStr">
        <is>
          <t>WMT</t>
        </is>
      </c>
      <c r="F333" s="6" t="inlineStr">
        <is>
          <t>-</t>
        </is>
      </c>
      <c r="G333" s="7">
        <f>Rebalance_Audit!G3689</f>
        <v/>
      </c>
      <c r="H333" s="9">
        <f>Rebalance_Audit!Q3689</f>
        <v/>
      </c>
      <c r="I333" s="7">
        <f>Rebalance_Audit!R3689</f>
        <v/>
      </c>
      <c r="J333" s="8">
        <f>Rebalance_Audit!S3689</f>
        <v/>
      </c>
    </row>
    <row r="334">
      <c r="A334" s="6" t="inlineStr">
        <is>
          <t>DJ30</t>
        </is>
      </c>
      <c r="B334" s="6" t="inlineStr">
        <is>
          <t>2025-04-11</t>
        </is>
      </c>
      <c r="C334" s="6" t="inlineStr">
        <is>
          <t>DIA</t>
        </is>
      </c>
      <c r="D334" s="6" t="inlineStr">
        <is>
          <t>MMM</t>
        </is>
      </c>
      <c r="E334" s="6" t="inlineStr">
        <is>
          <t>MMM</t>
        </is>
      </c>
      <c r="F334" s="6" t="inlineStr">
        <is>
          <t>-</t>
        </is>
      </c>
      <c r="G334" s="7">
        <f>Rebalance_Audit!G3678</f>
        <v/>
      </c>
      <c r="H334" s="9">
        <f>Rebalance_Audit!Q3678</f>
        <v/>
      </c>
      <c r="I334" s="7">
        <f>Rebalance_Audit!R3678</f>
        <v/>
      </c>
      <c r="J334" s="8">
        <f>Rebalance_Audit!S3678</f>
        <v/>
      </c>
    </row>
    <row r="335">
      <c r="A335" s="6" t="inlineStr">
        <is>
          <t>DJ30</t>
        </is>
      </c>
      <c r="B335" s="6" t="inlineStr">
        <is>
          <t>2025-04-11</t>
        </is>
      </c>
      <c r="C335" s="6" t="inlineStr">
        <is>
          <t>DIA</t>
        </is>
      </c>
      <c r="D335" s="6" t="inlineStr">
        <is>
          <t>VZ</t>
        </is>
      </c>
      <c r="E335" s="6" t="inlineStr">
        <is>
          <t>VZ</t>
        </is>
      </c>
      <c r="F335" s="6" t="inlineStr">
        <is>
          <t>-</t>
        </is>
      </c>
      <c r="G335" s="7">
        <f>Rebalance_Audit!G3688</f>
        <v/>
      </c>
      <c r="H335" s="9">
        <f>Rebalance_Audit!Q3688</f>
        <v/>
      </c>
      <c r="I335" s="7">
        <f>Rebalance_Audit!R3688</f>
        <v/>
      </c>
      <c r="J335" s="8">
        <f>Rebalance_Audit!S3688</f>
        <v/>
      </c>
    </row>
    <row r="336">
      <c r="A336" s="6" t="inlineStr">
        <is>
          <t>DJ30</t>
        </is>
      </c>
      <c r="B336" s="6" t="inlineStr">
        <is>
          <t>2025-04-18</t>
        </is>
      </c>
      <c r="C336" s="6" t="inlineStr">
        <is>
          <t>DIA</t>
        </is>
      </c>
      <c r="D336" s="6" t="inlineStr">
        <is>
          <t>IBM</t>
        </is>
      </c>
      <c r="E336" s="6" t="inlineStr">
        <is>
          <t>IBM</t>
        </is>
      </c>
      <c r="F336" s="6" t="inlineStr">
        <is>
          <t>-</t>
        </is>
      </c>
      <c r="G336" s="7">
        <f>Rebalance_Audit!G3704</f>
        <v/>
      </c>
      <c r="H336" s="9">
        <f>Rebalance_Audit!Q3704</f>
        <v/>
      </c>
      <c r="I336" s="7">
        <f>Rebalance_Audit!R3704</f>
        <v/>
      </c>
      <c r="J336" s="8">
        <f>Rebalance_Audit!S3704</f>
        <v/>
      </c>
    </row>
    <row r="337">
      <c r="A337" s="6" t="inlineStr">
        <is>
          <t>DJ30</t>
        </is>
      </c>
      <c r="B337" s="6" t="inlineStr">
        <is>
          <t>2025-04-18</t>
        </is>
      </c>
      <c r="C337" s="6" t="inlineStr">
        <is>
          <t>DIA</t>
        </is>
      </c>
      <c r="D337" s="6" t="inlineStr">
        <is>
          <t>WMT</t>
        </is>
      </c>
      <c r="E337" s="6" t="inlineStr">
        <is>
          <t>WMT</t>
        </is>
      </c>
      <c r="F337" s="6" t="inlineStr">
        <is>
          <t>-</t>
        </is>
      </c>
      <c r="G337" s="7">
        <f>Rebalance_Audit!G3720</f>
        <v/>
      </c>
      <c r="H337" s="9">
        <f>Rebalance_Audit!Q3720</f>
        <v/>
      </c>
      <c r="I337" s="7">
        <f>Rebalance_Audit!R3720</f>
        <v/>
      </c>
      <c r="J337" s="8">
        <f>Rebalance_Audit!S3720</f>
        <v/>
      </c>
    </row>
    <row r="338">
      <c r="A338" s="6" t="inlineStr">
        <is>
          <t>DJ30</t>
        </is>
      </c>
      <c r="B338" s="6" t="inlineStr">
        <is>
          <t>2025-04-18</t>
        </is>
      </c>
      <c r="C338" s="6" t="inlineStr">
        <is>
          <t>DIA</t>
        </is>
      </c>
      <c r="D338" s="6" t="inlineStr">
        <is>
          <t>MMM</t>
        </is>
      </c>
      <c r="E338" s="6" t="inlineStr">
        <is>
          <t>MMM</t>
        </is>
      </c>
      <c r="F338" s="6" t="inlineStr">
        <is>
          <t>-</t>
        </is>
      </c>
      <c r="G338" s="7">
        <f>Rebalance_Audit!G3709</f>
        <v/>
      </c>
      <c r="H338" s="9">
        <f>Rebalance_Audit!Q3709</f>
        <v/>
      </c>
      <c r="I338" s="7">
        <f>Rebalance_Audit!R3709</f>
        <v/>
      </c>
      <c r="J338" s="8">
        <f>Rebalance_Audit!S3709</f>
        <v/>
      </c>
    </row>
    <row r="339">
      <c r="A339" s="6" t="inlineStr">
        <is>
          <t>DJ30</t>
        </is>
      </c>
      <c r="B339" s="6" t="inlineStr">
        <is>
          <t>2025-04-18</t>
        </is>
      </c>
      <c r="C339" s="6" t="inlineStr">
        <is>
          <t>DIA</t>
        </is>
      </c>
      <c r="D339" s="6" t="inlineStr">
        <is>
          <t>MCD</t>
        </is>
      </c>
      <c r="E339" s="6" t="inlineStr">
        <is>
          <t>MCD</t>
        </is>
      </c>
      <c r="F339" s="6" t="inlineStr">
        <is>
          <t>-</t>
        </is>
      </c>
      <c r="G339" s="7">
        <f>Rebalance_Audit!G3708</f>
        <v/>
      </c>
      <c r="H339" s="9">
        <f>Rebalance_Audit!Q3708</f>
        <v/>
      </c>
      <c r="I339" s="7">
        <f>Rebalance_Audit!R3708</f>
        <v/>
      </c>
      <c r="J339" s="8">
        <f>Rebalance_Audit!S3708</f>
        <v/>
      </c>
    </row>
    <row r="340">
      <c r="A340" s="6" t="inlineStr">
        <is>
          <t>DJ30</t>
        </is>
      </c>
      <c r="B340" s="6" t="inlineStr">
        <is>
          <t>2025-04-25</t>
        </is>
      </c>
      <c r="C340" s="6" t="inlineStr">
        <is>
          <t>DIA</t>
        </is>
      </c>
      <c r="D340" s="6" t="inlineStr">
        <is>
          <t>IBM</t>
        </is>
      </c>
      <c r="E340" s="6" t="inlineStr">
        <is>
          <t>IBM</t>
        </is>
      </c>
      <c r="F340" s="6" t="inlineStr">
        <is>
          <t>-</t>
        </is>
      </c>
      <c r="G340" s="7">
        <f>Rebalance_Audit!G3735</f>
        <v/>
      </c>
      <c r="H340" s="9">
        <f>Rebalance_Audit!Q3735</f>
        <v/>
      </c>
      <c r="I340" s="7">
        <f>Rebalance_Audit!R3735</f>
        <v/>
      </c>
      <c r="J340" s="8">
        <f>Rebalance_Audit!S3735</f>
        <v/>
      </c>
    </row>
    <row r="341">
      <c r="A341" s="6" t="inlineStr">
        <is>
          <t>DJ30</t>
        </is>
      </c>
      <c r="B341" s="6" t="inlineStr">
        <is>
          <t>2025-04-25</t>
        </is>
      </c>
      <c r="C341" s="6" t="inlineStr">
        <is>
          <t>DIA</t>
        </is>
      </c>
      <c r="D341" s="6" t="inlineStr">
        <is>
          <t>WMT</t>
        </is>
      </c>
      <c r="E341" s="6" t="inlineStr">
        <is>
          <t>WMT</t>
        </is>
      </c>
      <c r="F341" s="6" t="inlineStr">
        <is>
          <t>-</t>
        </is>
      </c>
      <c r="G341" s="7">
        <f>Rebalance_Audit!G3751</f>
        <v/>
      </c>
      <c r="H341" s="9">
        <f>Rebalance_Audit!Q3751</f>
        <v/>
      </c>
      <c r="I341" s="7">
        <f>Rebalance_Audit!R3751</f>
        <v/>
      </c>
      <c r="J341" s="8">
        <f>Rebalance_Audit!S3751</f>
        <v/>
      </c>
    </row>
    <row r="342">
      <c r="A342" s="6" t="inlineStr">
        <is>
          <t>DJ30</t>
        </is>
      </c>
      <c r="B342" s="6" t="inlineStr">
        <is>
          <t>2025-04-25</t>
        </is>
      </c>
      <c r="C342" s="6" t="inlineStr">
        <is>
          <t>DIA</t>
        </is>
      </c>
      <c r="D342" s="6" t="inlineStr">
        <is>
          <t>MMM</t>
        </is>
      </c>
      <c r="E342" s="6" t="inlineStr">
        <is>
          <t>MMM</t>
        </is>
      </c>
      <c r="F342" s="6" t="inlineStr">
        <is>
          <t>-</t>
        </is>
      </c>
      <c r="G342" s="7">
        <f>Rebalance_Audit!G3740</f>
        <v/>
      </c>
      <c r="H342" s="9">
        <f>Rebalance_Audit!Q3740</f>
        <v/>
      </c>
      <c r="I342" s="7">
        <f>Rebalance_Audit!R3740</f>
        <v/>
      </c>
      <c r="J342" s="8">
        <f>Rebalance_Audit!S3740</f>
        <v/>
      </c>
    </row>
    <row r="343">
      <c r="A343" s="6" t="inlineStr">
        <is>
          <t>DJ30</t>
        </is>
      </c>
      <c r="B343" s="6" t="inlineStr">
        <is>
          <t>2025-04-25</t>
        </is>
      </c>
      <c r="C343" s="6" t="inlineStr">
        <is>
          <t>DIA</t>
        </is>
      </c>
      <c r="D343" s="6" t="inlineStr">
        <is>
          <t>MCD</t>
        </is>
      </c>
      <c r="E343" s="6" t="inlineStr">
        <is>
          <t>MCD</t>
        </is>
      </c>
      <c r="F343" s="6" t="inlineStr">
        <is>
          <t>-</t>
        </is>
      </c>
      <c r="G343" s="7">
        <f>Rebalance_Audit!G3739</f>
        <v/>
      </c>
      <c r="H343" s="9">
        <f>Rebalance_Audit!Q3739</f>
        <v/>
      </c>
      <c r="I343" s="7">
        <f>Rebalance_Audit!R3739</f>
        <v/>
      </c>
      <c r="J343" s="8">
        <f>Rebalance_Audit!S3739</f>
        <v/>
      </c>
    </row>
    <row r="344">
      <c r="A344" s="6" t="inlineStr">
        <is>
          <t>DJ30</t>
        </is>
      </c>
      <c r="B344" s="6" t="inlineStr">
        <is>
          <t>2025-05-02</t>
        </is>
      </c>
      <c r="C344" s="6" t="inlineStr">
        <is>
          <t>DIA</t>
        </is>
      </c>
      <c r="D344" s="6" t="inlineStr">
        <is>
          <t>IBM</t>
        </is>
      </c>
      <c r="E344" s="6" t="inlineStr">
        <is>
          <t>IBM</t>
        </is>
      </c>
      <c r="F344" s="6" t="inlineStr">
        <is>
          <t>-</t>
        </is>
      </c>
      <c r="G344" s="7">
        <f>Rebalance_Audit!G3766</f>
        <v/>
      </c>
      <c r="H344" s="9">
        <f>Rebalance_Audit!Q3766</f>
        <v/>
      </c>
      <c r="I344" s="7">
        <f>Rebalance_Audit!R3766</f>
        <v/>
      </c>
      <c r="J344" s="8">
        <f>Rebalance_Audit!S3766</f>
        <v/>
      </c>
    </row>
    <row r="345">
      <c r="A345" s="6" t="inlineStr">
        <is>
          <t>DJ30</t>
        </is>
      </c>
      <c r="B345" s="6" t="inlineStr">
        <is>
          <t>2025-05-02</t>
        </is>
      </c>
      <c r="C345" s="6" t="inlineStr">
        <is>
          <t>DIA</t>
        </is>
      </c>
      <c r="D345" s="6" t="inlineStr">
        <is>
          <t>WMT</t>
        </is>
      </c>
      <c r="E345" s="6" t="inlineStr">
        <is>
          <t>WMT</t>
        </is>
      </c>
      <c r="F345" s="6" t="inlineStr">
        <is>
          <t>-</t>
        </is>
      </c>
      <c r="G345" s="7">
        <f>Rebalance_Audit!G3782</f>
        <v/>
      </c>
      <c r="H345" s="9">
        <f>Rebalance_Audit!Q3782</f>
        <v/>
      </c>
      <c r="I345" s="7">
        <f>Rebalance_Audit!R3782</f>
        <v/>
      </c>
      <c r="J345" s="8">
        <f>Rebalance_Audit!S3782</f>
        <v/>
      </c>
    </row>
    <row r="346">
      <c r="A346" s="6" t="inlineStr">
        <is>
          <t>DJ30</t>
        </is>
      </c>
      <c r="B346" s="6" t="inlineStr">
        <is>
          <t>2025-05-02</t>
        </is>
      </c>
      <c r="C346" s="6" t="inlineStr">
        <is>
          <t>DIA</t>
        </is>
      </c>
      <c r="D346" s="6" t="inlineStr">
        <is>
          <t>MMM</t>
        </is>
      </c>
      <c r="E346" s="6" t="inlineStr">
        <is>
          <t>MMM</t>
        </is>
      </c>
      <c r="F346" s="6" t="inlineStr">
        <is>
          <t>-</t>
        </is>
      </c>
      <c r="G346" s="7">
        <f>Rebalance_Audit!G3771</f>
        <v/>
      </c>
      <c r="H346" s="9">
        <f>Rebalance_Audit!Q3771</f>
        <v/>
      </c>
      <c r="I346" s="7">
        <f>Rebalance_Audit!R3771</f>
        <v/>
      </c>
      <c r="J346" s="8">
        <f>Rebalance_Audit!S3771</f>
        <v/>
      </c>
    </row>
    <row r="347">
      <c r="A347" s="6" t="inlineStr">
        <is>
          <t>DJ30</t>
        </is>
      </c>
      <c r="B347" s="6" t="inlineStr">
        <is>
          <t>2025-05-02</t>
        </is>
      </c>
      <c r="C347" s="6" t="inlineStr">
        <is>
          <t>DIA</t>
        </is>
      </c>
      <c r="D347" s="6" t="inlineStr">
        <is>
          <t>MCD</t>
        </is>
      </c>
      <c r="E347" s="6" t="inlineStr">
        <is>
          <t>MCD</t>
        </is>
      </c>
      <c r="F347" s="6" t="inlineStr">
        <is>
          <t>-</t>
        </is>
      </c>
      <c r="G347" s="7">
        <f>Rebalance_Audit!G3770</f>
        <v/>
      </c>
      <c r="H347" s="9">
        <f>Rebalance_Audit!Q3770</f>
        <v/>
      </c>
      <c r="I347" s="7">
        <f>Rebalance_Audit!R3770</f>
        <v/>
      </c>
      <c r="J347" s="8">
        <f>Rebalance_Audit!S3770</f>
        <v/>
      </c>
    </row>
    <row r="348">
      <c r="A348" s="6" t="inlineStr">
        <is>
          <t>DJ30</t>
        </is>
      </c>
      <c r="B348" s="6" t="inlineStr">
        <is>
          <t>2025-05-02</t>
        </is>
      </c>
      <c r="C348" s="6" t="inlineStr">
        <is>
          <t>DIA</t>
        </is>
      </c>
      <c r="D348" s="6" t="inlineStr">
        <is>
          <t>VZ</t>
        </is>
      </c>
      <c r="E348" s="6" t="inlineStr">
        <is>
          <t>VZ</t>
        </is>
      </c>
      <c r="F348" s="6" t="inlineStr">
        <is>
          <t>-</t>
        </is>
      </c>
      <c r="G348" s="7">
        <f>Rebalance_Audit!G3781</f>
        <v/>
      </c>
      <c r="H348" s="9">
        <f>Rebalance_Audit!Q3781</f>
        <v/>
      </c>
      <c r="I348" s="7">
        <f>Rebalance_Audit!R3781</f>
        <v/>
      </c>
      <c r="J348" s="8">
        <f>Rebalance_Audit!S3781</f>
        <v/>
      </c>
    </row>
    <row r="349">
      <c r="A349" s="6" t="inlineStr">
        <is>
          <t>DJ30</t>
        </is>
      </c>
      <c r="B349" s="6" t="inlineStr">
        <is>
          <t>2025-05-09</t>
        </is>
      </c>
      <c r="C349" s="6" t="inlineStr">
        <is>
          <t>DIA</t>
        </is>
      </c>
      <c r="D349" s="6" t="inlineStr">
        <is>
          <t>IBM</t>
        </is>
      </c>
      <c r="E349" s="6" t="inlineStr">
        <is>
          <t>IBM</t>
        </is>
      </c>
      <c r="F349" s="6" t="inlineStr">
        <is>
          <t>-</t>
        </is>
      </c>
      <c r="G349" s="7">
        <f>Rebalance_Audit!G3797</f>
        <v/>
      </c>
      <c r="H349" s="9">
        <f>Rebalance_Audit!Q3797</f>
        <v/>
      </c>
      <c r="I349" s="7">
        <f>Rebalance_Audit!R3797</f>
        <v/>
      </c>
      <c r="J349" s="8">
        <f>Rebalance_Audit!S3797</f>
        <v/>
      </c>
    </row>
    <row r="350">
      <c r="A350" s="6" t="inlineStr">
        <is>
          <t>DJ30</t>
        </is>
      </c>
      <c r="B350" s="6" t="inlineStr">
        <is>
          <t>2025-05-09</t>
        </is>
      </c>
      <c r="C350" s="6" t="inlineStr">
        <is>
          <t>DIA</t>
        </is>
      </c>
      <c r="D350" s="6" t="inlineStr">
        <is>
          <t>WMT</t>
        </is>
      </c>
      <c r="E350" s="6" t="inlineStr">
        <is>
          <t>WMT</t>
        </is>
      </c>
      <c r="F350" s="6" t="inlineStr">
        <is>
          <t>-</t>
        </is>
      </c>
      <c r="G350" s="7">
        <f>Rebalance_Audit!G3813</f>
        <v/>
      </c>
      <c r="H350" s="9">
        <f>Rebalance_Audit!Q3813</f>
        <v/>
      </c>
      <c r="I350" s="7">
        <f>Rebalance_Audit!R3813</f>
        <v/>
      </c>
      <c r="J350" s="8">
        <f>Rebalance_Audit!S3813</f>
        <v/>
      </c>
    </row>
    <row r="351">
      <c r="A351" s="6" t="inlineStr">
        <is>
          <t>DJ30</t>
        </is>
      </c>
      <c r="B351" s="6" t="inlineStr">
        <is>
          <t>2025-05-09</t>
        </is>
      </c>
      <c r="C351" s="6" t="inlineStr">
        <is>
          <t>DIA</t>
        </is>
      </c>
      <c r="D351" s="6" t="inlineStr">
        <is>
          <t>MMM</t>
        </is>
      </c>
      <c r="E351" s="6" t="inlineStr">
        <is>
          <t>MMM</t>
        </is>
      </c>
      <c r="F351" s="6" t="inlineStr">
        <is>
          <t>-</t>
        </is>
      </c>
      <c r="G351" s="7">
        <f>Rebalance_Audit!G3802</f>
        <v/>
      </c>
      <c r="H351" s="9">
        <f>Rebalance_Audit!Q3802</f>
        <v/>
      </c>
      <c r="I351" s="7">
        <f>Rebalance_Audit!R3802</f>
        <v/>
      </c>
      <c r="J351" s="8">
        <f>Rebalance_Audit!S3802</f>
        <v/>
      </c>
    </row>
    <row r="352">
      <c r="A352" s="6" t="inlineStr">
        <is>
          <t>DJ30</t>
        </is>
      </c>
      <c r="B352" s="6" t="inlineStr">
        <is>
          <t>2025-05-09</t>
        </is>
      </c>
      <c r="C352" s="6" t="inlineStr">
        <is>
          <t>DIA</t>
        </is>
      </c>
      <c r="D352" s="6" t="inlineStr">
        <is>
          <t>MCD</t>
        </is>
      </c>
      <c r="E352" s="6" t="inlineStr">
        <is>
          <t>MCD</t>
        </is>
      </c>
      <c r="F352" s="6" t="inlineStr">
        <is>
          <t>-</t>
        </is>
      </c>
      <c r="G352" s="7">
        <f>Rebalance_Audit!G3801</f>
        <v/>
      </c>
      <c r="H352" s="9">
        <f>Rebalance_Audit!Q3801</f>
        <v/>
      </c>
      <c r="I352" s="7">
        <f>Rebalance_Audit!R3801</f>
        <v/>
      </c>
      <c r="J352" s="8">
        <f>Rebalance_Audit!S3801</f>
        <v/>
      </c>
    </row>
    <row r="353">
      <c r="A353" s="6" t="inlineStr">
        <is>
          <t>DJ30</t>
        </is>
      </c>
      <c r="B353" s="6" t="inlineStr">
        <is>
          <t>2025-05-16</t>
        </is>
      </c>
      <c r="C353" s="6" t="inlineStr">
        <is>
          <t>DIA</t>
        </is>
      </c>
      <c r="D353" s="6" t="inlineStr">
        <is>
          <t>IBM</t>
        </is>
      </c>
      <c r="E353" s="6" t="inlineStr">
        <is>
          <t>IBM</t>
        </is>
      </c>
      <c r="F353" s="6" t="inlineStr">
        <is>
          <t>-</t>
        </is>
      </c>
      <c r="G353" s="7">
        <f>Rebalance_Audit!G3828</f>
        <v/>
      </c>
      <c r="H353" s="9">
        <f>Rebalance_Audit!Q3828</f>
        <v/>
      </c>
      <c r="I353" s="7">
        <f>Rebalance_Audit!R3828</f>
        <v/>
      </c>
      <c r="J353" s="8">
        <f>Rebalance_Audit!S3828</f>
        <v/>
      </c>
    </row>
    <row r="354">
      <c r="A354" s="6" t="inlineStr">
        <is>
          <t>DJ30</t>
        </is>
      </c>
      <c r="B354" s="6" t="inlineStr">
        <is>
          <t>2025-05-16</t>
        </is>
      </c>
      <c r="C354" s="6" t="inlineStr">
        <is>
          <t>DIA</t>
        </is>
      </c>
      <c r="D354" s="6" t="inlineStr">
        <is>
          <t>WMT</t>
        </is>
      </c>
      <c r="E354" s="6" t="inlineStr">
        <is>
          <t>WMT</t>
        </is>
      </c>
      <c r="F354" s="6" t="inlineStr">
        <is>
          <t>-</t>
        </is>
      </c>
      <c r="G354" s="7">
        <f>Rebalance_Audit!G3844</f>
        <v/>
      </c>
      <c r="H354" s="9">
        <f>Rebalance_Audit!Q3844</f>
        <v/>
      </c>
      <c r="I354" s="7">
        <f>Rebalance_Audit!R3844</f>
        <v/>
      </c>
      <c r="J354" s="8">
        <f>Rebalance_Audit!S3844</f>
        <v/>
      </c>
    </row>
    <row r="355">
      <c r="A355" s="6" t="inlineStr">
        <is>
          <t>DJ30</t>
        </is>
      </c>
      <c r="B355" s="6" t="inlineStr">
        <is>
          <t>2025-05-16</t>
        </is>
      </c>
      <c r="C355" s="6" t="inlineStr">
        <is>
          <t>DIA</t>
        </is>
      </c>
      <c r="D355" s="6" t="inlineStr">
        <is>
          <t>MMM</t>
        </is>
      </c>
      <c r="E355" s="6" t="inlineStr">
        <is>
          <t>MMM</t>
        </is>
      </c>
      <c r="F355" s="6" t="inlineStr">
        <is>
          <t>-</t>
        </is>
      </c>
      <c r="G355" s="7">
        <f>Rebalance_Audit!G3833</f>
        <v/>
      </c>
      <c r="H355" s="9">
        <f>Rebalance_Audit!Q3833</f>
        <v/>
      </c>
      <c r="I355" s="7">
        <f>Rebalance_Audit!R3833</f>
        <v/>
      </c>
      <c r="J355" s="8">
        <f>Rebalance_Audit!S3833</f>
        <v/>
      </c>
    </row>
    <row r="356">
      <c r="A356" s="6" t="inlineStr">
        <is>
          <t>DJ30</t>
        </is>
      </c>
      <c r="B356" s="6" t="inlineStr">
        <is>
          <t>2025-05-16</t>
        </is>
      </c>
      <c r="C356" s="6" t="inlineStr">
        <is>
          <t>DIA</t>
        </is>
      </c>
      <c r="D356" s="6" t="inlineStr">
        <is>
          <t>MCD</t>
        </is>
      </c>
      <c r="E356" s="6" t="inlineStr">
        <is>
          <t>MCD</t>
        </is>
      </c>
      <c r="F356" s="6" t="inlineStr">
        <is>
          <t>-</t>
        </is>
      </c>
      <c r="G356" s="7">
        <f>Rebalance_Audit!G3832</f>
        <v/>
      </c>
      <c r="H356" s="9">
        <f>Rebalance_Audit!Q3832</f>
        <v/>
      </c>
      <c r="I356" s="7">
        <f>Rebalance_Audit!R3832</f>
        <v/>
      </c>
      <c r="J356" s="8">
        <f>Rebalance_Audit!S3832</f>
        <v/>
      </c>
    </row>
    <row r="357">
      <c r="A357" s="6" t="inlineStr">
        <is>
          <t>DJ30</t>
        </is>
      </c>
      <c r="B357" s="6" t="inlineStr">
        <is>
          <t>2025-05-23</t>
        </is>
      </c>
      <c r="C357" s="6" t="inlineStr">
        <is>
          <t>DIA</t>
        </is>
      </c>
      <c r="D357" s="6" t="inlineStr">
        <is>
          <t>IBM</t>
        </is>
      </c>
      <c r="E357" s="6" t="inlineStr">
        <is>
          <t>IBM</t>
        </is>
      </c>
      <c r="F357" s="6" t="inlineStr">
        <is>
          <t>-</t>
        </is>
      </c>
      <c r="G357" s="7">
        <f>Rebalance_Audit!G3859</f>
        <v/>
      </c>
      <c r="H357" s="9">
        <f>Rebalance_Audit!Q3859</f>
        <v/>
      </c>
      <c r="I357" s="7">
        <f>Rebalance_Audit!R3859</f>
        <v/>
      </c>
      <c r="J357" s="8">
        <f>Rebalance_Audit!S3859</f>
        <v/>
      </c>
    </row>
    <row r="358">
      <c r="A358" s="6" t="inlineStr">
        <is>
          <t>DJ30</t>
        </is>
      </c>
      <c r="B358" s="6" t="inlineStr">
        <is>
          <t>2025-05-23</t>
        </is>
      </c>
      <c r="C358" s="6" t="inlineStr">
        <is>
          <t>DIA</t>
        </is>
      </c>
      <c r="D358" s="6" t="inlineStr">
        <is>
          <t>WMT</t>
        </is>
      </c>
      <c r="E358" s="6" t="inlineStr">
        <is>
          <t>WMT</t>
        </is>
      </c>
      <c r="F358" s="6" t="inlineStr">
        <is>
          <t>-</t>
        </is>
      </c>
      <c r="G358" s="7">
        <f>Rebalance_Audit!G3875</f>
        <v/>
      </c>
      <c r="H358" s="9">
        <f>Rebalance_Audit!Q3875</f>
        <v/>
      </c>
      <c r="I358" s="7">
        <f>Rebalance_Audit!R3875</f>
        <v/>
      </c>
      <c r="J358" s="8">
        <f>Rebalance_Audit!S3875</f>
        <v/>
      </c>
    </row>
    <row r="359">
      <c r="A359" s="6" t="inlineStr">
        <is>
          <t>DJ30</t>
        </is>
      </c>
      <c r="B359" s="6" t="inlineStr">
        <is>
          <t>2025-05-23</t>
        </is>
      </c>
      <c r="C359" s="6" t="inlineStr">
        <is>
          <t>DIA</t>
        </is>
      </c>
      <c r="D359" s="6" t="inlineStr">
        <is>
          <t>MMM</t>
        </is>
      </c>
      <c r="E359" s="6" t="inlineStr">
        <is>
          <t>MMM</t>
        </is>
      </c>
      <c r="F359" s="6" t="inlineStr">
        <is>
          <t>-</t>
        </is>
      </c>
      <c r="G359" s="7">
        <f>Rebalance_Audit!G3864</f>
        <v/>
      </c>
      <c r="H359" s="9">
        <f>Rebalance_Audit!Q3864</f>
        <v/>
      </c>
      <c r="I359" s="7">
        <f>Rebalance_Audit!R3864</f>
        <v/>
      </c>
      <c r="J359" s="8">
        <f>Rebalance_Audit!S3864</f>
        <v/>
      </c>
    </row>
    <row r="360">
      <c r="A360" s="6" t="inlineStr">
        <is>
          <t>DJ30</t>
        </is>
      </c>
      <c r="B360" s="6" t="inlineStr">
        <is>
          <t>2025-05-23</t>
        </is>
      </c>
      <c r="C360" s="6" t="inlineStr">
        <is>
          <t>DIA</t>
        </is>
      </c>
      <c r="D360" s="6" t="inlineStr">
        <is>
          <t>MCD</t>
        </is>
      </c>
      <c r="E360" s="6" t="inlineStr">
        <is>
          <t>MCD</t>
        </is>
      </c>
      <c r="F360" s="6" t="inlineStr">
        <is>
          <t>-</t>
        </is>
      </c>
      <c r="G360" s="7">
        <f>Rebalance_Audit!G3863</f>
        <v/>
      </c>
      <c r="H360" s="9">
        <f>Rebalance_Audit!Q3863</f>
        <v/>
      </c>
      <c r="I360" s="7">
        <f>Rebalance_Audit!R3863</f>
        <v/>
      </c>
      <c r="J360" s="8">
        <f>Rebalance_Audit!S3863</f>
        <v/>
      </c>
    </row>
    <row r="361">
      <c r="A361" s="6" t="inlineStr">
        <is>
          <t>DJ30</t>
        </is>
      </c>
      <c r="B361" s="6" t="inlineStr">
        <is>
          <t>2025-05-30</t>
        </is>
      </c>
      <c r="C361" s="6" t="inlineStr">
        <is>
          <t>DIA</t>
        </is>
      </c>
      <c r="D361" s="6" t="inlineStr">
        <is>
          <t>IBM</t>
        </is>
      </c>
      <c r="E361" s="6" t="inlineStr">
        <is>
          <t>IBM</t>
        </is>
      </c>
      <c r="F361" s="6" t="inlineStr">
        <is>
          <t>-</t>
        </is>
      </c>
      <c r="G361" s="7">
        <f>Rebalance_Audit!G3890</f>
        <v/>
      </c>
      <c r="H361" s="9">
        <f>Rebalance_Audit!Q3890</f>
        <v/>
      </c>
      <c r="I361" s="7">
        <f>Rebalance_Audit!R3890</f>
        <v/>
      </c>
      <c r="J361" s="8">
        <f>Rebalance_Audit!S3890</f>
        <v/>
      </c>
    </row>
    <row r="362">
      <c r="A362" s="6" t="inlineStr">
        <is>
          <t>DJ30</t>
        </is>
      </c>
      <c r="B362" s="6" t="inlineStr">
        <is>
          <t>2025-05-30</t>
        </is>
      </c>
      <c r="C362" s="6" t="inlineStr">
        <is>
          <t>DIA</t>
        </is>
      </c>
      <c r="D362" s="6" t="inlineStr">
        <is>
          <t>WMT</t>
        </is>
      </c>
      <c r="E362" s="6" t="inlineStr">
        <is>
          <t>WMT</t>
        </is>
      </c>
      <c r="F362" s="6" t="inlineStr">
        <is>
          <t>-</t>
        </is>
      </c>
      <c r="G362" s="7">
        <f>Rebalance_Audit!G3906</f>
        <v/>
      </c>
      <c r="H362" s="9">
        <f>Rebalance_Audit!Q3906</f>
        <v/>
      </c>
      <c r="I362" s="7">
        <f>Rebalance_Audit!R3906</f>
        <v/>
      </c>
      <c r="J362" s="8">
        <f>Rebalance_Audit!S3906</f>
        <v/>
      </c>
    </row>
    <row r="363">
      <c r="A363" s="6" t="inlineStr">
        <is>
          <t>DJ30</t>
        </is>
      </c>
      <c r="B363" s="6" t="inlineStr">
        <is>
          <t>2025-05-30</t>
        </is>
      </c>
      <c r="C363" s="6" t="inlineStr">
        <is>
          <t>DIA</t>
        </is>
      </c>
      <c r="D363" s="6" t="inlineStr">
        <is>
          <t>TRV</t>
        </is>
      </c>
      <c r="E363" s="6" t="inlineStr">
        <is>
          <t>TRV</t>
        </is>
      </c>
      <c r="F363" s="6" t="inlineStr">
        <is>
          <t>-</t>
        </is>
      </c>
      <c r="G363" s="7">
        <f>Rebalance_Audit!G3902</f>
        <v/>
      </c>
      <c r="H363" s="9">
        <f>Rebalance_Audit!Q3902</f>
        <v/>
      </c>
      <c r="I363" s="7">
        <f>Rebalance_Audit!R3902</f>
        <v/>
      </c>
      <c r="J363" s="8">
        <f>Rebalance_Audit!S3902</f>
        <v/>
      </c>
    </row>
    <row r="364">
      <c r="A364" s="6" t="inlineStr">
        <is>
          <t>DJ30</t>
        </is>
      </c>
      <c r="B364" s="6" t="inlineStr">
        <is>
          <t>2025-05-30</t>
        </is>
      </c>
      <c r="C364" s="6" t="inlineStr">
        <is>
          <t>DIA</t>
        </is>
      </c>
      <c r="D364" s="6" t="inlineStr">
        <is>
          <t>MCD</t>
        </is>
      </c>
      <c r="E364" s="6" t="inlineStr">
        <is>
          <t>MCD</t>
        </is>
      </c>
      <c r="F364" s="6" t="inlineStr">
        <is>
          <t>-</t>
        </is>
      </c>
      <c r="G364" s="7">
        <f>Rebalance_Audit!G3894</f>
        <v/>
      </c>
      <c r="H364" s="9">
        <f>Rebalance_Audit!Q3894</f>
        <v/>
      </c>
      <c r="I364" s="7">
        <f>Rebalance_Audit!R3894</f>
        <v/>
      </c>
      <c r="J364" s="8">
        <f>Rebalance_Audit!S3894</f>
        <v/>
      </c>
    </row>
    <row r="365">
      <c r="A365" s="6" t="inlineStr">
        <is>
          <t>DJ30</t>
        </is>
      </c>
      <c r="B365" s="6" t="inlineStr">
        <is>
          <t>2025-06-06</t>
        </is>
      </c>
      <c r="C365" s="6" t="inlineStr">
        <is>
          <t>DIA</t>
        </is>
      </c>
      <c r="D365" s="6" t="inlineStr">
        <is>
          <t>IBM</t>
        </is>
      </c>
      <c r="E365" s="6" t="inlineStr">
        <is>
          <t>IBM</t>
        </is>
      </c>
      <c r="F365" s="6" t="inlineStr">
        <is>
          <t>-</t>
        </is>
      </c>
      <c r="G365" s="7">
        <f>Rebalance_Audit!G3921</f>
        <v/>
      </c>
      <c r="H365" s="9">
        <f>Rebalance_Audit!Q3921</f>
        <v/>
      </c>
      <c r="I365" s="7">
        <f>Rebalance_Audit!R3921</f>
        <v/>
      </c>
      <c r="J365" s="8">
        <f>Rebalance_Audit!S3921</f>
        <v/>
      </c>
    </row>
    <row r="366">
      <c r="A366" s="6" t="inlineStr">
        <is>
          <t>DJ30</t>
        </is>
      </c>
      <c r="B366" s="6" t="inlineStr">
        <is>
          <t>2025-06-06</t>
        </is>
      </c>
      <c r="C366" s="6" t="inlineStr">
        <is>
          <t>DIA</t>
        </is>
      </c>
      <c r="D366" s="6" t="inlineStr">
        <is>
          <t>WMT</t>
        </is>
      </c>
      <c r="E366" s="6" t="inlineStr">
        <is>
          <t>WMT</t>
        </is>
      </c>
      <c r="F366" s="6" t="inlineStr">
        <is>
          <t>-</t>
        </is>
      </c>
      <c r="G366" s="7">
        <f>Rebalance_Audit!G3937</f>
        <v/>
      </c>
      <c r="H366" s="9">
        <f>Rebalance_Audit!Q3937</f>
        <v/>
      </c>
      <c r="I366" s="7">
        <f>Rebalance_Audit!R3937</f>
        <v/>
      </c>
      <c r="J366" s="8">
        <f>Rebalance_Audit!S3937</f>
        <v/>
      </c>
    </row>
    <row r="367">
      <c r="A367" s="6" t="inlineStr">
        <is>
          <t>DJ30</t>
        </is>
      </c>
      <c r="B367" s="6" t="inlineStr">
        <is>
          <t>2025-06-06</t>
        </is>
      </c>
      <c r="C367" s="6" t="inlineStr">
        <is>
          <t>DIA</t>
        </is>
      </c>
      <c r="D367" s="6" t="inlineStr">
        <is>
          <t>CSCO</t>
        </is>
      </c>
      <c r="E367" s="6" t="inlineStr">
        <is>
          <t>CSCO</t>
        </is>
      </c>
      <c r="F367" s="6" t="inlineStr">
        <is>
          <t>-</t>
        </is>
      </c>
      <c r="G367" s="7">
        <f>Rebalance_Audit!G3915</f>
        <v/>
      </c>
      <c r="H367" s="9">
        <f>Rebalance_Audit!Q3915</f>
        <v/>
      </c>
      <c r="I367" s="7">
        <f>Rebalance_Audit!R3915</f>
        <v/>
      </c>
      <c r="J367" s="8">
        <f>Rebalance_Audit!S3915</f>
        <v/>
      </c>
    </row>
    <row r="368">
      <c r="A368" s="6" t="inlineStr">
        <is>
          <t>DJ30</t>
        </is>
      </c>
      <c r="B368" s="6" t="inlineStr">
        <is>
          <t>2025-06-06</t>
        </is>
      </c>
      <c r="C368" s="6" t="inlineStr">
        <is>
          <t>DIA</t>
        </is>
      </c>
      <c r="D368" s="6" t="inlineStr">
        <is>
          <t>TRV</t>
        </is>
      </c>
      <c r="E368" s="6" t="inlineStr">
        <is>
          <t>TRV</t>
        </is>
      </c>
      <c r="F368" s="6" t="inlineStr">
        <is>
          <t>-</t>
        </is>
      </c>
      <c r="G368" s="7">
        <f>Rebalance_Audit!G3933</f>
        <v/>
      </c>
      <c r="H368" s="9">
        <f>Rebalance_Audit!Q3933</f>
        <v/>
      </c>
      <c r="I368" s="7">
        <f>Rebalance_Audit!R3933</f>
        <v/>
      </c>
      <c r="J368" s="8">
        <f>Rebalance_Audit!S3933</f>
        <v/>
      </c>
    </row>
    <row r="369">
      <c r="A369" s="6" t="inlineStr">
        <is>
          <t>DJ30</t>
        </is>
      </c>
      <c r="B369" s="6" t="inlineStr">
        <is>
          <t>2025-06-06</t>
        </is>
      </c>
      <c r="C369" s="6" t="inlineStr">
        <is>
          <t>DIA</t>
        </is>
      </c>
      <c r="D369" s="6" t="inlineStr">
        <is>
          <t>MCD</t>
        </is>
      </c>
      <c r="E369" s="6" t="inlineStr">
        <is>
          <t>MCD</t>
        </is>
      </c>
      <c r="F369" s="6" t="inlineStr">
        <is>
          <t>-</t>
        </is>
      </c>
      <c r="G369" s="7">
        <f>Rebalance_Audit!G3925</f>
        <v/>
      </c>
      <c r="H369" s="9">
        <f>Rebalance_Audit!Q3925</f>
        <v/>
      </c>
      <c r="I369" s="7">
        <f>Rebalance_Audit!R3925</f>
        <v/>
      </c>
      <c r="J369" s="8">
        <f>Rebalance_Audit!S3925</f>
        <v/>
      </c>
    </row>
    <row r="370">
      <c r="A370" s="6" t="inlineStr">
        <is>
          <t>DJ30</t>
        </is>
      </c>
      <c r="B370" s="6" t="inlineStr">
        <is>
          <t>2025-06-13</t>
        </is>
      </c>
      <c r="C370" s="6" t="inlineStr">
        <is>
          <t>DIA</t>
        </is>
      </c>
      <c r="D370" s="6" t="inlineStr">
        <is>
          <t>IBM</t>
        </is>
      </c>
      <c r="E370" s="6" t="inlineStr">
        <is>
          <t>IBM</t>
        </is>
      </c>
      <c r="F370" s="6" t="inlineStr">
        <is>
          <t>-</t>
        </is>
      </c>
      <c r="G370" s="7">
        <f>Rebalance_Audit!G3952</f>
        <v/>
      </c>
      <c r="H370" s="9">
        <f>Rebalance_Audit!Q3952</f>
        <v/>
      </c>
      <c r="I370" s="7">
        <f>Rebalance_Audit!R3952</f>
        <v/>
      </c>
      <c r="J370" s="8">
        <f>Rebalance_Audit!S3952</f>
        <v/>
      </c>
    </row>
    <row r="371">
      <c r="A371" s="6" t="inlineStr">
        <is>
          <t>DJ30</t>
        </is>
      </c>
      <c r="B371" s="6" t="inlineStr">
        <is>
          <t>2025-06-13</t>
        </is>
      </c>
      <c r="C371" s="6" t="inlineStr">
        <is>
          <t>DIA</t>
        </is>
      </c>
      <c r="D371" s="6" t="inlineStr">
        <is>
          <t>V</t>
        </is>
      </c>
      <c r="E371" s="6" t="inlineStr">
        <is>
          <t>V</t>
        </is>
      </c>
      <c r="F371" s="6" t="inlineStr">
        <is>
          <t>-</t>
        </is>
      </c>
      <c r="G371" s="7">
        <f>Rebalance_Audit!G3966</f>
        <v/>
      </c>
      <c r="H371" s="9">
        <f>Rebalance_Audit!Q3966</f>
        <v/>
      </c>
      <c r="I371" s="7">
        <f>Rebalance_Audit!R3966</f>
        <v/>
      </c>
      <c r="J371" s="8">
        <f>Rebalance_Audit!S3966</f>
        <v/>
      </c>
    </row>
    <row r="372">
      <c r="A372" s="6" t="inlineStr">
        <is>
          <t>DJ30</t>
        </is>
      </c>
      <c r="B372" s="6" t="inlineStr">
        <is>
          <t>2025-06-13</t>
        </is>
      </c>
      <c r="C372" s="6" t="inlineStr">
        <is>
          <t>DIA</t>
        </is>
      </c>
      <c r="D372" s="6" t="inlineStr">
        <is>
          <t>MCD</t>
        </is>
      </c>
      <c r="E372" s="6" t="inlineStr">
        <is>
          <t>MCD</t>
        </is>
      </c>
      <c r="F372" s="6" t="inlineStr">
        <is>
          <t>-</t>
        </is>
      </c>
      <c r="G372" s="7">
        <f>Rebalance_Audit!G3956</f>
        <v/>
      </c>
      <c r="H372" s="9">
        <f>Rebalance_Audit!Q3956</f>
        <v/>
      </c>
      <c r="I372" s="7">
        <f>Rebalance_Audit!R3956</f>
        <v/>
      </c>
      <c r="J372" s="8">
        <f>Rebalance_Audit!S3956</f>
        <v/>
      </c>
    </row>
    <row r="373">
      <c r="A373" s="6" t="inlineStr">
        <is>
          <t>DJ30</t>
        </is>
      </c>
      <c r="B373" s="6" t="inlineStr">
        <is>
          <t>2025-06-20</t>
        </is>
      </c>
      <c r="C373" s="6" t="inlineStr">
        <is>
          <t>DIA</t>
        </is>
      </c>
      <c r="D373" s="6" t="inlineStr">
        <is>
          <t>IBM</t>
        </is>
      </c>
      <c r="E373" s="6" t="inlineStr">
        <is>
          <t>IBM</t>
        </is>
      </c>
      <c r="F373" s="6" t="inlineStr">
        <is>
          <t>-</t>
        </is>
      </c>
      <c r="G373" s="7">
        <f>Rebalance_Audit!G3983</f>
        <v/>
      </c>
      <c r="H373" s="9">
        <f>Rebalance_Audit!Q3983</f>
        <v/>
      </c>
      <c r="I373" s="7">
        <f>Rebalance_Audit!R3983</f>
        <v/>
      </c>
      <c r="J373" s="8">
        <f>Rebalance_Audit!S3983</f>
        <v/>
      </c>
    </row>
    <row r="374">
      <c r="A374" s="6" t="inlineStr">
        <is>
          <t>DJ30</t>
        </is>
      </c>
      <c r="B374" s="6" t="inlineStr">
        <is>
          <t>2025-06-20</t>
        </is>
      </c>
      <c r="C374" s="6" t="inlineStr">
        <is>
          <t>DIA</t>
        </is>
      </c>
      <c r="D374" s="6" t="inlineStr">
        <is>
          <t>V</t>
        </is>
      </c>
      <c r="E374" s="6" t="inlineStr">
        <is>
          <t>V</t>
        </is>
      </c>
      <c r="F374" s="6" t="inlineStr">
        <is>
          <t>-</t>
        </is>
      </c>
      <c r="G374" s="7">
        <f>Rebalance_Audit!G3997</f>
        <v/>
      </c>
      <c r="H374" s="9">
        <f>Rebalance_Audit!Q3997</f>
        <v/>
      </c>
      <c r="I374" s="7">
        <f>Rebalance_Audit!R3997</f>
        <v/>
      </c>
      <c r="J374" s="8">
        <f>Rebalance_Audit!S3997</f>
        <v/>
      </c>
    </row>
    <row r="375">
      <c r="A375" s="6" t="inlineStr">
        <is>
          <t>DJ30</t>
        </is>
      </c>
      <c r="B375" s="6" t="inlineStr">
        <is>
          <t>2025-06-20</t>
        </is>
      </c>
      <c r="C375" s="6" t="inlineStr">
        <is>
          <t>DIA</t>
        </is>
      </c>
      <c r="D375" s="6" t="inlineStr">
        <is>
          <t>MCD</t>
        </is>
      </c>
      <c r="E375" s="6" t="inlineStr">
        <is>
          <t>MCD</t>
        </is>
      </c>
      <c r="F375" s="6" t="inlineStr">
        <is>
          <t>-</t>
        </is>
      </c>
      <c r="G375" s="7">
        <f>Rebalance_Audit!G3987</f>
        <v/>
      </c>
      <c r="H375" s="9">
        <f>Rebalance_Audit!Q3987</f>
        <v/>
      </c>
      <c r="I375" s="7">
        <f>Rebalance_Audit!R3987</f>
        <v/>
      </c>
      <c r="J375" s="8">
        <f>Rebalance_Audit!S3987</f>
        <v/>
      </c>
    </row>
    <row r="376">
      <c r="A376" s="6" t="inlineStr">
        <is>
          <t>DJ30</t>
        </is>
      </c>
      <c r="B376" s="6" t="inlineStr">
        <is>
          <t>2025-06-27</t>
        </is>
      </c>
      <c r="C376" s="6" t="inlineStr">
        <is>
          <t>DIA</t>
        </is>
      </c>
      <c r="D376" s="6" t="inlineStr">
        <is>
          <t>IBM</t>
        </is>
      </c>
      <c r="E376" s="6" t="inlineStr">
        <is>
          <t>IBM</t>
        </is>
      </c>
      <c r="F376" s="6" t="inlineStr">
        <is>
          <t>-</t>
        </is>
      </c>
      <c r="G376" s="7">
        <f>Rebalance_Audit!G4014</f>
        <v/>
      </c>
      <c r="H376" s="9">
        <f>Rebalance_Audit!Q4014</f>
        <v/>
      </c>
      <c r="I376" s="7">
        <f>Rebalance_Audit!R4014</f>
        <v/>
      </c>
      <c r="J376" s="8">
        <f>Rebalance_Audit!S4014</f>
        <v/>
      </c>
    </row>
    <row r="377">
      <c r="A377" s="6" t="inlineStr">
        <is>
          <t>DJ30</t>
        </is>
      </c>
      <c r="B377" s="6" t="inlineStr">
        <is>
          <t>2025-06-27</t>
        </is>
      </c>
      <c r="C377" s="6" t="inlineStr">
        <is>
          <t>DIA</t>
        </is>
      </c>
      <c r="D377" s="6" t="inlineStr">
        <is>
          <t>V</t>
        </is>
      </c>
      <c r="E377" s="6" t="inlineStr">
        <is>
          <t>V</t>
        </is>
      </c>
      <c r="F377" s="6" t="inlineStr">
        <is>
          <t>-</t>
        </is>
      </c>
      <c r="G377" s="7">
        <f>Rebalance_Audit!G4028</f>
        <v/>
      </c>
      <c r="H377" s="9">
        <f>Rebalance_Audit!Q4028</f>
        <v/>
      </c>
      <c r="I377" s="7">
        <f>Rebalance_Audit!R4028</f>
        <v/>
      </c>
      <c r="J377" s="8">
        <f>Rebalance_Audit!S4028</f>
        <v/>
      </c>
    </row>
    <row r="378">
      <c r="A378" s="6" t="inlineStr">
        <is>
          <t>DJ30</t>
        </is>
      </c>
      <c r="B378" s="6" t="inlineStr">
        <is>
          <t>2025-06-27</t>
        </is>
      </c>
      <c r="C378" s="6" t="inlineStr">
        <is>
          <t>DIA</t>
        </is>
      </c>
      <c r="D378" s="6" t="inlineStr">
        <is>
          <t>MCD</t>
        </is>
      </c>
      <c r="E378" s="6" t="inlineStr">
        <is>
          <t>MCD</t>
        </is>
      </c>
      <c r="F378" s="6" t="inlineStr">
        <is>
          <t>-</t>
        </is>
      </c>
      <c r="G378" s="7">
        <f>Rebalance_Audit!G4018</f>
        <v/>
      </c>
      <c r="H378" s="9">
        <f>Rebalance_Audit!Q4018</f>
        <v/>
      </c>
      <c r="I378" s="7">
        <f>Rebalance_Audit!R4018</f>
        <v/>
      </c>
      <c r="J378" s="8">
        <f>Rebalance_Audit!S4018</f>
        <v/>
      </c>
    </row>
    <row r="379">
      <c r="A379" s="6" t="inlineStr">
        <is>
          <t>DJ30</t>
        </is>
      </c>
      <c r="B379" s="6" t="inlineStr">
        <is>
          <t>2025-07-04</t>
        </is>
      </c>
      <c r="C379" s="6" t="inlineStr">
        <is>
          <t>DIA</t>
        </is>
      </c>
      <c r="D379" s="6" t="inlineStr">
        <is>
          <t>IBM</t>
        </is>
      </c>
      <c r="E379" s="6" t="inlineStr">
        <is>
          <t>IBM</t>
        </is>
      </c>
      <c r="F379" s="6" t="inlineStr">
        <is>
          <t>-</t>
        </is>
      </c>
      <c r="G379" s="7">
        <f>Rebalance_Audit!G4045</f>
        <v/>
      </c>
      <c r="H379" s="9">
        <f>Rebalance_Audit!Q4045</f>
        <v/>
      </c>
      <c r="I379" s="7">
        <f>Rebalance_Audit!R4045</f>
        <v/>
      </c>
      <c r="J379" s="8">
        <f>Rebalance_Audit!S4045</f>
        <v/>
      </c>
    </row>
    <row r="380">
      <c r="A380" s="6" t="inlineStr">
        <is>
          <t>DJ30</t>
        </is>
      </c>
      <c r="B380" s="6" t="inlineStr">
        <is>
          <t>2025-07-04</t>
        </is>
      </c>
      <c r="C380" s="6" t="inlineStr">
        <is>
          <t>DIA</t>
        </is>
      </c>
      <c r="D380" s="6" t="inlineStr">
        <is>
          <t>V</t>
        </is>
      </c>
      <c r="E380" s="6" t="inlineStr">
        <is>
          <t>V</t>
        </is>
      </c>
      <c r="F380" s="6" t="inlineStr">
        <is>
          <t>-</t>
        </is>
      </c>
      <c r="G380" s="7">
        <f>Rebalance_Audit!G4059</f>
        <v/>
      </c>
      <c r="H380" s="9">
        <f>Rebalance_Audit!Q4059</f>
        <v/>
      </c>
      <c r="I380" s="7">
        <f>Rebalance_Audit!R4059</f>
        <v/>
      </c>
      <c r="J380" s="8">
        <f>Rebalance_Audit!S4059</f>
        <v/>
      </c>
    </row>
    <row r="381">
      <c r="A381" s="6" t="inlineStr">
        <is>
          <t>DJ30</t>
        </is>
      </c>
      <c r="B381" s="6" t="inlineStr">
        <is>
          <t>2025-07-04</t>
        </is>
      </c>
      <c r="C381" s="6" t="inlineStr">
        <is>
          <t>DIA</t>
        </is>
      </c>
      <c r="D381" s="6" t="inlineStr">
        <is>
          <t>MCD</t>
        </is>
      </c>
      <c r="E381" s="6" t="inlineStr">
        <is>
          <t>MCD</t>
        </is>
      </c>
      <c r="F381" s="6" t="inlineStr">
        <is>
          <t>-</t>
        </is>
      </c>
      <c r="G381" s="7">
        <f>Rebalance_Audit!G4049</f>
        <v/>
      </c>
      <c r="H381" s="9">
        <f>Rebalance_Audit!Q4049</f>
        <v/>
      </c>
      <c r="I381" s="7">
        <f>Rebalance_Audit!R4049</f>
        <v/>
      </c>
      <c r="J381" s="8">
        <f>Rebalance_Audit!S4049</f>
        <v/>
      </c>
    </row>
    <row r="382">
      <c r="A382" s="6" t="inlineStr">
        <is>
          <t>DJ30</t>
        </is>
      </c>
      <c r="B382" s="6" t="inlineStr">
        <is>
          <t>2025-07-11</t>
        </is>
      </c>
      <c r="C382" s="6" t="inlineStr">
        <is>
          <t>DIA</t>
        </is>
      </c>
      <c r="D382" s="6" t="inlineStr">
        <is>
          <t>IBM</t>
        </is>
      </c>
      <c r="E382" s="6" t="inlineStr">
        <is>
          <t>IBM</t>
        </is>
      </c>
      <c r="F382" s="6" t="inlineStr">
        <is>
          <t>-</t>
        </is>
      </c>
      <c r="G382" s="7">
        <f>Rebalance_Audit!G4076</f>
        <v/>
      </c>
      <c r="H382" s="9">
        <f>Rebalance_Audit!Q4076</f>
        <v/>
      </c>
      <c r="I382" s="7">
        <f>Rebalance_Audit!R4076</f>
        <v/>
      </c>
      <c r="J382" s="8">
        <f>Rebalance_Audit!S4076</f>
        <v/>
      </c>
    </row>
    <row r="383">
      <c r="A383" s="6" t="inlineStr">
        <is>
          <t>DJ30</t>
        </is>
      </c>
      <c r="B383" s="6" t="inlineStr">
        <is>
          <t>2025-07-11</t>
        </is>
      </c>
      <c r="C383" s="6" t="inlineStr">
        <is>
          <t>DIA</t>
        </is>
      </c>
      <c r="D383" s="6" t="inlineStr">
        <is>
          <t>V</t>
        </is>
      </c>
      <c r="E383" s="6" t="inlineStr">
        <is>
          <t>V</t>
        </is>
      </c>
      <c r="F383" s="6" t="inlineStr">
        <is>
          <t>-</t>
        </is>
      </c>
      <c r="G383" s="7">
        <f>Rebalance_Audit!G4090</f>
        <v/>
      </c>
      <c r="H383" s="9">
        <f>Rebalance_Audit!Q4090</f>
        <v/>
      </c>
      <c r="I383" s="7">
        <f>Rebalance_Audit!R4090</f>
        <v/>
      </c>
      <c r="J383" s="8">
        <f>Rebalance_Audit!S4090</f>
        <v/>
      </c>
    </row>
    <row r="384">
      <c r="A384" s="6" t="inlineStr">
        <is>
          <t>DJ30</t>
        </is>
      </c>
      <c r="B384" s="6" t="inlineStr">
        <is>
          <t>2025-07-11</t>
        </is>
      </c>
      <c r="C384" s="6" t="inlineStr">
        <is>
          <t>DIA</t>
        </is>
      </c>
      <c r="D384" s="6" t="inlineStr">
        <is>
          <t>MCD</t>
        </is>
      </c>
      <c r="E384" s="6" t="inlineStr">
        <is>
          <t>MCD</t>
        </is>
      </c>
      <c r="F384" s="6" t="inlineStr">
        <is>
          <t>-</t>
        </is>
      </c>
      <c r="G384" s="7">
        <f>Rebalance_Audit!G4080</f>
        <v/>
      </c>
      <c r="H384" s="9">
        <f>Rebalance_Audit!Q4080</f>
        <v/>
      </c>
      <c r="I384" s="7">
        <f>Rebalance_Audit!R4080</f>
        <v/>
      </c>
      <c r="J384" s="8">
        <f>Rebalance_Audit!S4080</f>
        <v/>
      </c>
    </row>
    <row r="385">
      <c r="A385" s="6" t="inlineStr">
        <is>
          <t>DJ30</t>
        </is>
      </c>
      <c r="B385" s="6" t="inlineStr">
        <is>
          <t>2025-07-18</t>
        </is>
      </c>
      <c r="C385" s="6" t="inlineStr">
        <is>
          <t>DIA</t>
        </is>
      </c>
      <c r="D385" s="6" t="inlineStr">
        <is>
          <t>IBM</t>
        </is>
      </c>
      <c r="E385" s="6" t="inlineStr">
        <is>
          <t>IBM</t>
        </is>
      </c>
      <c r="F385" s="6" t="inlineStr">
        <is>
          <t>-</t>
        </is>
      </c>
      <c r="G385" s="7">
        <f>Rebalance_Audit!G4107</f>
        <v/>
      </c>
      <c r="H385" s="9">
        <f>Rebalance_Audit!Q4107</f>
        <v/>
      </c>
      <c r="I385" s="7">
        <f>Rebalance_Audit!R4107</f>
        <v/>
      </c>
      <c r="J385" s="8">
        <f>Rebalance_Audit!S4107</f>
        <v/>
      </c>
    </row>
    <row r="386">
      <c r="A386" s="6" t="inlineStr">
        <is>
          <t>DJ30</t>
        </is>
      </c>
      <c r="B386" s="6" t="inlineStr">
        <is>
          <t>2025-07-18</t>
        </is>
      </c>
      <c r="C386" s="6" t="inlineStr">
        <is>
          <t>DIA</t>
        </is>
      </c>
      <c r="D386" s="6" t="inlineStr">
        <is>
          <t>V</t>
        </is>
      </c>
      <c r="E386" s="6" t="inlineStr">
        <is>
          <t>V</t>
        </is>
      </c>
      <c r="F386" s="6" t="inlineStr">
        <is>
          <t>-</t>
        </is>
      </c>
      <c r="G386" s="7">
        <f>Rebalance_Audit!G4121</f>
        <v/>
      </c>
      <c r="H386" s="9">
        <f>Rebalance_Audit!Q4121</f>
        <v/>
      </c>
      <c r="I386" s="7">
        <f>Rebalance_Audit!R4121</f>
        <v/>
      </c>
      <c r="J386" s="8">
        <f>Rebalance_Audit!S4121</f>
        <v/>
      </c>
    </row>
    <row r="387">
      <c r="A387" s="6" t="inlineStr">
        <is>
          <t>DJ30</t>
        </is>
      </c>
      <c r="B387" s="6" t="inlineStr">
        <is>
          <t>2025-07-18</t>
        </is>
      </c>
      <c r="C387" s="6" t="inlineStr">
        <is>
          <t>DIA</t>
        </is>
      </c>
      <c r="D387" s="6" t="inlineStr">
        <is>
          <t>MCD</t>
        </is>
      </c>
      <c r="E387" s="6" t="inlineStr">
        <is>
          <t>MCD</t>
        </is>
      </c>
      <c r="F387" s="6" t="inlineStr">
        <is>
          <t>-</t>
        </is>
      </c>
      <c r="G387" s="7">
        <f>Rebalance_Audit!G4111</f>
        <v/>
      </c>
      <c r="H387" s="9">
        <f>Rebalance_Audit!Q4111</f>
        <v/>
      </c>
      <c r="I387" s="7">
        <f>Rebalance_Audit!R4111</f>
        <v/>
      </c>
      <c r="J387" s="8">
        <f>Rebalance_Audit!S4111</f>
        <v/>
      </c>
    </row>
    <row r="388">
      <c r="A388" s="6" t="inlineStr">
        <is>
          <t>DJ30</t>
        </is>
      </c>
      <c r="B388" s="6" t="inlineStr">
        <is>
          <t>2025-07-25</t>
        </is>
      </c>
      <c r="C388" s="6" t="inlineStr">
        <is>
          <t>DIA</t>
        </is>
      </c>
      <c r="D388" s="6" t="inlineStr">
        <is>
          <t>IBM</t>
        </is>
      </c>
      <c r="E388" s="6" t="inlineStr">
        <is>
          <t>IBM</t>
        </is>
      </c>
      <c r="F388" s="6" t="inlineStr">
        <is>
          <t>-</t>
        </is>
      </c>
      <c r="G388" s="7">
        <f>Rebalance_Audit!G4138</f>
        <v/>
      </c>
      <c r="H388" s="9">
        <f>Rebalance_Audit!Q4138</f>
        <v/>
      </c>
      <c r="I388" s="7">
        <f>Rebalance_Audit!R4138</f>
        <v/>
      </c>
      <c r="J388" s="8">
        <f>Rebalance_Audit!S4138</f>
        <v/>
      </c>
    </row>
    <row r="389">
      <c r="A389" s="6" t="inlineStr">
        <is>
          <t>DJ30</t>
        </is>
      </c>
      <c r="B389" s="6" t="inlineStr">
        <is>
          <t>2025-07-25</t>
        </is>
      </c>
      <c r="C389" s="6" t="inlineStr">
        <is>
          <t>DIA</t>
        </is>
      </c>
      <c r="D389" s="6" t="inlineStr">
        <is>
          <t>V</t>
        </is>
      </c>
      <c r="E389" s="6" t="inlineStr">
        <is>
          <t>V</t>
        </is>
      </c>
      <c r="F389" s="6" t="inlineStr">
        <is>
          <t>-</t>
        </is>
      </c>
      <c r="G389" s="7">
        <f>Rebalance_Audit!G4152</f>
        <v/>
      </c>
      <c r="H389" s="9">
        <f>Rebalance_Audit!Q4152</f>
        <v/>
      </c>
      <c r="I389" s="7">
        <f>Rebalance_Audit!R4152</f>
        <v/>
      </c>
      <c r="J389" s="8">
        <f>Rebalance_Audit!S4152</f>
        <v/>
      </c>
    </row>
    <row r="390">
      <c r="A390" s="6" t="inlineStr">
        <is>
          <t>DJ30</t>
        </is>
      </c>
      <c r="B390" s="6" t="inlineStr">
        <is>
          <t>2025-07-25</t>
        </is>
      </c>
      <c r="C390" s="6" t="inlineStr">
        <is>
          <t>DIA</t>
        </is>
      </c>
      <c r="D390" s="6" t="inlineStr">
        <is>
          <t>VZ</t>
        </is>
      </c>
      <c r="E390" s="6" t="inlineStr">
        <is>
          <t>VZ</t>
        </is>
      </c>
      <c r="F390" s="6" t="inlineStr">
        <is>
          <t>-</t>
        </is>
      </c>
      <c r="G390" s="7">
        <f>Rebalance_Audit!G4153</f>
        <v/>
      </c>
      <c r="H390" s="9">
        <f>Rebalance_Audit!Q4153</f>
        <v/>
      </c>
      <c r="I390" s="7">
        <f>Rebalance_Audit!R4153</f>
        <v/>
      </c>
      <c r="J390" s="8">
        <f>Rebalance_Audit!S4153</f>
        <v/>
      </c>
    </row>
    <row r="391">
      <c r="A391" s="6" t="inlineStr">
        <is>
          <t>DJ30</t>
        </is>
      </c>
      <c r="B391" s="6" t="inlineStr">
        <is>
          <t>2025-08-01</t>
        </is>
      </c>
      <c r="C391" s="6" t="inlineStr">
        <is>
          <t>DIA</t>
        </is>
      </c>
      <c r="D391" s="6" t="inlineStr">
        <is>
          <t>IBM</t>
        </is>
      </c>
      <c r="E391" s="6" t="inlineStr">
        <is>
          <t>IBM</t>
        </is>
      </c>
      <c r="F391" s="6" t="inlineStr">
        <is>
          <t>-</t>
        </is>
      </c>
      <c r="G391" s="7">
        <f>Rebalance_Audit!G4169</f>
        <v/>
      </c>
      <c r="H391" s="9">
        <f>Rebalance_Audit!Q4169</f>
        <v/>
      </c>
      <c r="I391" s="7">
        <f>Rebalance_Audit!R4169</f>
        <v/>
      </c>
      <c r="J391" s="8">
        <f>Rebalance_Audit!S4169</f>
        <v/>
      </c>
    </row>
    <row r="392">
      <c r="A392" s="6" t="inlineStr">
        <is>
          <t>DJ30</t>
        </is>
      </c>
      <c r="B392" s="6" t="inlineStr">
        <is>
          <t>2025-08-01</t>
        </is>
      </c>
      <c r="C392" s="6" t="inlineStr">
        <is>
          <t>DIA</t>
        </is>
      </c>
      <c r="D392" s="6" t="inlineStr">
        <is>
          <t>V</t>
        </is>
      </c>
      <c r="E392" s="6" t="inlineStr">
        <is>
          <t>V</t>
        </is>
      </c>
      <c r="F392" s="6" t="inlineStr">
        <is>
          <t>-</t>
        </is>
      </c>
      <c r="G392" s="7">
        <f>Rebalance_Audit!G4183</f>
        <v/>
      </c>
      <c r="H392" s="9">
        <f>Rebalance_Audit!Q4183</f>
        <v/>
      </c>
      <c r="I392" s="7">
        <f>Rebalance_Audit!R4183</f>
        <v/>
      </c>
      <c r="J392" s="8">
        <f>Rebalance_Audit!S4183</f>
        <v/>
      </c>
    </row>
    <row r="393">
      <c r="A393" s="6" t="inlineStr">
        <is>
          <t>DJ30</t>
        </is>
      </c>
      <c r="B393" s="6" t="inlineStr">
        <is>
          <t>2025-08-01</t>
        </is>
      </c>
      <c r="C393" s="6" t="inlineStr">
        <is>
          <t>DIA</t>
        </is>
      </c>
      <c r="D393" s="6" t="inlineStr">
        <is>
          <t>VZ</t>
        </is>
      </c>
      <c r="E393" s="6" t="inlineStr">
        <is>
          <t>VZ</t>
        </is>
      </c>
      <c r="F393" s="6" t="inlineStr">
        <is>
          <t>-</t>
        </is>
      </c>
      <c r="G393" s="7">
        <f>Rebalance_Audit!G4184</f>
        <v/>
      </c>
      <c r="H393" s="9">
        <f>Rebalance_Audit!Q4184</f>
        <v/>
      </c>
      <c r="I393" s="7">
        <f>Rebalance_Audit!R4184</f>
        <v/>
      </c>
      <c r="J393" s="8">
        <f>Rebalance_Audit!S4184</f>
        <v/>
      </c>
    </row>
    <row r="394">
      <c r="A394" s="6" t="inlineStr">
        <is>
          <t>DJ30</t>
        </is>
      </c>
      <c r="B394" s="6" t="inlineStr">
        <is>
          <t>2025-08-08</t>
        </is>
      </c>
      <c r="C394" s="6" t="inlineStr">
        <is>
          <t>DIA</t>
        </is>
      </c>
      <c r="D394" s="6" t="inlineStr">
        <is>
          <t>IBM</t>
        </is>
      </c>
      <c r="E394" s="6" t="inlineStr">
        <is>
          <t>IBM</t>
        </is>
      </c>
      <c r="F394" s="6" t="inlineStr">
        <is>
          <t>-</t>
        </is>
      </c>
      <c r="G394" s="7">
        <f>Rebalance_Audit!G4200</f>
        <v/>
      </c>
      <c r="H394" s="9">
        <f>Rebalance_Audit!Q4200</f>
        <v/>
      </c>
      <c r="I394" s="7">
        <f>Rebalance_Audit!R4200</f>
        <v/>
      </c>
      <c r="J394" s="8">
        <f>Rebalance_Audit!S4200</f>
        <v/>
      </c>
    </row>
    <row r="395">
      <c r="A395" s="6" t="inlineStr">
        <is>
          <t>DJ30</t>
        </is>
      </c>
      <c r="B395" s="6" t="inlineStr">
        <is>
          <t>2025-08-08</t>
        </is>
      </c>
      <c r="C395" s="6" t="inlineStr">
        <is>
          <t>DIA</t>
        </is>
      </c>
      <c r="D395" s="6" t="inlineStr">
        <is>
          <t>V</t>
        </is>
      </c>
      <c r="E395" s="6" t="inlineStr">
        <is>
          <t>V</t>
        </is>
      </c>
      <c r="F395" s="6" t="inlineStr">
        <is>
          <t>-</t>
        </is>
      </c>
      <c r="G395" s="7">
        <f>Rebalance_Audit!G4214</f>
        <v/>
      </c>
      <c r="H395" s="9">
        <f>Rebalance_Audit!Q4214</f>
        <v/>
      </c>
      <c r="I395" s="7">
        <f>Rebalance_Audit!R4214</f>
        <v/>
      </c>
      <c r="J395" s="8">
        <f>Rebalance_Audit!S4214</f>
        <v/>
      </c>
    </row>
    <row r="396">
      <c r="A396" s="6" t="inlineStr">
        <is>
          <t>DJ30</t>
        </is>
      </c>
      <c r="B396" s="6" t="inlineStr">
        <is>
          <t>2025-08-08</t>
        </is>
      </c>
      <c r="C396" s="6" t="inlineStr">
        <is>
          <t>DIA</t>
        </is>
      </c>
      <c r="D396" s="6" t="inlineStr">
        <is>
          <t>VZ</t>
        </is>
      </c>
      <c r="E396" s="6" t="inlineStr">
        <is>
          <t>VZ</t>
        </is>
      </c>
      <c r="F396" s="6" t="inlineStr">
        <is>
          <t>-</t>
        </is>
      </c>
      <c r="G396" s="7">
        <f>Rebalance_Audit!G4215</f>
        <v/>
      </c>
      <c r="H396" s="9">
        <f>Rebalance_Audit!Q4215</f>
        <v/>
      </c>
      <c r="I396" s="7">
        <f>Rebalance_Audit!R4215</f>
        <v/>
      </c>
      <c r="J396" s="8">
        <f>Rebalance_Audit!S4215</f>
        <v/>
      </c>
    </row>
    <row r="397">
      <c r="A397" s="6" t="inlineStr">
        <is>
          <t>DJ30</t>
        </is>
      </c>
      <c r="B397" s="6" t="inlineStr">
        <is>
          <t>2025-08-15</t>
        </is>
      </c>
      <c r="C397" s="6" t="inlineStr">
        <is>
          <t>DIA</t>
        </is>
      </c>
      <c r="D397" s="6" t="inlineStr">
        <is>
          <t>BA</t>
        </is>
      </c>
      <c r="E397" s="6" t="inlineStr">
        <is>
          <t>BA</t>
        </is>
      </c>
      <c r="F397" s="6" t="inlineStr">
        <is>
          <t>-</t>
        </is>
      </c>
      <c r="G397" s="7">
        <f>Rebalance_Audit!G4222</f>
        <v/>
      </c>
      <c r="H397" s="9">
        <f>Rebalance_Audit!Q4222</f>
        <v/>
      </c>
      <c r="I397" s="7">
        <f>Rebalance_Audit!R4222</f>
        <v/>
      </c>
      <c r="J397" s="8">
        <f>Rebalance_Audit!S4222</f>
        <v/>
      </c>
    </row>
    <row r="398">
      <c r="A398" s="6" t="inlineStr">
        <is>
          <t>DJ30</t>
        </is>
      </c>
      <c r="B398" s="6" t="inlineStr">
        <is>
          <t>2025-08-15</t>
        </is>
      </c>
      <c r="C398" s="6" t="inlineStr">
        <is>
          <t>DIA</t>
        </is>
      </c>
      <c r="D398" s="6" t="inlineStr">
        <is>
          <t>IBM</t>
        </is>
      </c>
      <c r="E398" s="6" t="inlineStr">
        <is>
          <t>IBM</t>
        </is>
      </c>
      <c r="F398" s="6" t="inlineStr">
        <is>
          <t>-</t>
        </is>
      </c>
      <c r="G398" s="7">
        <f>Rebalance_Audit!G4231</f>
        <v/>
      </c>
      <c r="H398" s="9">
        <f>Rebalance_Audit!Q4231</f>
        <v/>
      </c>
      <c r="I398" s="7">
        <f>Rebalance_Audit!R4231</f>
        <v/>
      </c>
      <c r="J398" s="8">
        <f>Rebalance_Audit!S4231</f>
        <v/>
      </c>
    </row>
    <row r="399">
      <c r="A399" s="6" t="inlineStr">
        <is>
          <t>DJ30</t>
        </is>
      </c>
      <c r="B399" s="6" t="inlineStr">
        <is>
          <t>2025-08-15</t>
        </is>
      </c>
      <c r="C399" s="6" t="inlineStr">
        <is>
          <t>DIA</t>
        </is>
      </c>
      <c r="D399" s="6" t="inlineStr">
        <is>
          <t>WMT</t>
        </is>
      </c>
      <c r="E399" s="6" t="inlineStr">
        <is>
          <t>WMT</t>
        </is>
      </c>
      <c r="F399" s="6" t="inlineStr">
        <is>
          <t>-</t>
        </is>
      </c>
      <c r="G399" s="7">
        <f>Rebalance_Audit!G4247</f>
        <v/>
      </c>
      <c r="H399" s="9">
        <f>Rebalance_Audit!Q4247</f>
        <v/>
      </c>
      <c r="I399" s="7">
        <f>Rebalance_Audit!R4247</f>
        <v/>
      </c>
      <c r="J399" s="8">
        <f>Rebalance_Audit!S4247</f>
        <v/>
      </c>
    </row>
    <row r="400">
      <c r="A400" s="6" t="inlineStr">
        <is>
          <t>DJ30</t>
        </is>
      </c>
      <c r="B400" s="6" t="inlineStr">
        <is>
          <t>2025-08-15</t>
        </is>
      </c>
      <c r="C400" s="6" t="inlineStr">
        <is>
          <t>DIA</t>
        </is>
      </c>
      <c r="D400" s="6" t="inlineStr">
        <is>
          <t>TRV</t>
        </is>
      </c>
      <c r="E400" s="6" t="inlineStr">
        <is>
          <t>TRV</t>
        </is>
      </c>
      <c r="F400" s="6" t="inlineStr">
        <is>
          <t>-</t>
        </is>
      </c>
      <c r="G400" s="7">
        <f>Rebalance_Audit!G4243</f>
        <v/>
      </c>
      <c r="H400" s="9">
        <f>Rebalance_Audit!Q4243</f>
        <v/>
      </c>
      <c r="I400" s="7">
        <f>Rebalance_Audit!R4243</f>
        <v/>
      </c>
      <c r="J400" s="8">
        <f>Rebalance_Audit!S4243</f>
        <v/>
      </c>
    </row>
    <row r="401">
      <c r="A401" s="6" t="inlineStr">
        <is>
          <t>DJ30</t>
        </is>
      </c>
      <c r="B401" s="6" t="inlineStr">
        <is>
          <t>2025-08-15</t>
        </is>
      </c>
      <c r="C401" s="6" t="inlineStr">
        <is>
          <t>DIA</t>
        </is>
      </c>
      <c r="D401" s="6" t="inlineStr">
        <is>
          <t>VZ</t>
        </is>
      </c>
      <c r="E401" s="6" t="inlineStr">
        <is>
          <t>VZ</t>
        </is>
      </c>
      <c r="F401" s="6" t="inlineStr">
        <is>
          <t>-</t>
        </is>
      </c>
      <c r="G401" s="7">
        <f>Rebalance_Audit!G4246</f>
        <v/>
      </c>
      <c r="H401" s="9">
        <f>Rebalance_Audit!Q4246</f>
        <v/>
      </c>
      <c r="I401" s="7">
        <f>Rebalance_Audit!R4246</f>
        <v/>
      </c>
      <c r="J401" s="8">
        <f>Rebalance_Audit!S4246</f>
        <v/>
      </c>
    </row>
    <row r="402">
      <c r="A402" s="6" t="inlineStr">
        <is>
          <t>DJ30</t>
        </is>
      </c>
      <c r="B402" s="6" t="inlineStr">
        <is>
          <t>2025-08-22</t>
        </is>
      </c>
      <c r="C402" s="6" t="inlineStr">
        <is>
          <t>DIA</t>
        </is>
      </c>
      <c r="D402" s="6" t="inlineStr">
        <is>
          <t>BA</t>
        </is>
      </c>
      <c r="E402" s="6" t="inlineStr">
        <is>
          <t>BA</t>
        </is>
      </c>
      <c r="F402" s="6" t="inlineStr">
        <is>
          <t>-</t>
        </is>
      </c>
      <c r="G402" s="7">
        <f>Rebalance_Audit!G4253</f>
        <v/>
      </c>
      <c r="H402" s="9">
        <f>Rebalance_Audit!Q4253</f>
        <v/>
      </c>
      <c r="I402" s="7">
        <f>Rebalance_Audit!R4253</f>
        <v/>
      </c>
      <c r="J402" s="8">
        <f>Rebalance_Audit!S4253</f>
        <v/>
      </c>
    </row>
    <row r="403">
      <c r="A403" s="6" t="inlineStr">
        <is>
          <t>DJ30</t>
        </is>
      </c>
      <c r="B403" s="6" t="inlineStr">
        <is>
          <t>2025-08-22</t>
        </is>
      </c>
      <c r="C403" s="6" t="inlineStr">
        <is>
          <t>DIA</t>
        </is>
      </c>
      <c r="D403" s="6" t="inlineStr">
        <is>
          <t>IBM</t>
        </is>
      </c>
      <c r="E403" s="6" t="inlineStr">
        <is>
          <t>IBM</t>
        </is>
      </c>
      <c r="F403" s="6" t="inlineStr">
        <is>
          <t>-</t>
        </is>
      </c>
      <c r="G403" s="7">
        <f>Rebalance_Audit!G4262</f>
        <v/>
      </c>
      <c r="H403" s="9">
        <f>Rebalance_Audit!Q4262</f>
        <v/>
      </c>
      <c r="I403" s="7">
        <f>Rebalance_Audit!R4262</f>
        <v/>
      </c>
      <c r="J403" s="8">
        <f>Rebalance_Audit!S4262</f>
        <v/>
      </c>
    </row>
    <row r="404">
      <c r="A404" s="6" t="inlineStr">
        <is>
          <t>DJ30</t>
        </is>
      </c>
      <c r="B404" s="6" t="inlineStr">
        <is>
          <t>2025-08-22</t>
        </is>
      </c>
      <c r="C404" s="6" t="inlineStr">
        <is>
          <t>DIA</t>
        </is>
      </c>
      <c r="D404" s="6" t="inlineStr">
        <is>
          <t>TRV</t>
        </is>
      </c>
      <c r="E404" s="6" t="inlineStr">
        <is>
          <t>TRV</t>
        </is>
      </c>
      <c r="F404" s="6" t="inlineStr">
        <is>
          <t>-</t>
        </is>
      </c>
      <c r="G404" s="7">
        <f>Rebalance_Audit!G4274</f>
        <v/>
      </c>
      <c r="H404" s="9">
        <f>Rebalance_Audit!Q4274</f>
        <v/>
      </c>
      <c r="I404" s="7">
        <f>Rebalance_Audit!R4274</f>
        <v/>
      </c>
      <c r="J404" s="8">
        <f>Rebalance_Audit!S4274</f>
        <v/>
      </c>
    </row>
    <row r="405">
      <c r="A405" s="6" t="inlineStr">
        <is>
          <t>DJ30</t>
        </is>
      </c>
      <c r="B405" s="6" t="inlineStr">
        <is>
          <t>2025-08-22</t>
        </is>
      </c>
      <c r="C405" s="6" t="inlineStr">
        <is>
          <t>DIA</t>
        </is>
      </c>
      <c r="D405" s="6" t="inlineStr">
        <is>
          <t>VZ</t>
        </is>
      </c>
      <c r="E405" s="6" t="inlineStr">
        <is>
          <t>VZ</t>
        </is>
      </c>
      <c r="F405" s="6" t="inlineStr">
        <is>
          <t>-</t>
        </is>
      </c>
      <c r="G405" s="7">
        <f>Rebalance_Audit!G4277</f>
        <v/>
      </c>
      <c r="H405" s="9">
        <f>Rebalance_Audit!Q4277</f>
        <v/>
      </c>
      <c r="I405" s="7">
        <f>Rebalance_Audit!R4277</f>
        <v/>
      </c>
      <c r="J405" s="8">
        <f>Rebalance_Audit!S4277</f>
        <v/>
      </c>
    </row>
    <row r="406">
      <c r="A406" s="6" t="inlineStr">
        <is>
          <t>DJ30</t>
        </is>
      </c>
      <c r="B406" s="6" t="inlineStr">
        <is>
          <t>2025-08-29</t>
        </is>
      </c>
      <c r="C406" s="6" t="inlineStr">
        <is>
          <t>DIA</t>
        </is>
      </c>
      <c r="D406" s="6" t="inlineStr">
        <is>
          <t>BA</t>
        </is>
      </c>
      <c r="E406" s="6" t="inlineStr">
        <is>
          <t>BA</t>
        </is>
      </c>
      <c r="F406" s="6" t="inlineStr">
        <is>
          <t>-</t>
        </is>
      </c>
      <c r="G406" s="7">
        <f>Rebalance_Audit!G4284</f>
        <v/>
      </c>
      <c r="H406" s="9">
        <f>Rebalance_Audit!Q4284</f>
        <v/>
      </c>
      <c r="I406" s="7">
        <f>Rebalance_Audit!R4284</f>
        <v/>
      </c>
      <c r="J406" s="8">
        <f>Rebalance_Audit!S4284</f>
        <v/>
      </c>
    </row>
    <row r="407">
      <c r="A407" s="6" t="inlineStr">
        <is>
          <t>DJ30</t>
        </is>
      </c>
      <c r="B407" s="6" t="inlineStr">
        <is>
          <t>2025-08-29</t>
        </is>
      </c>
      <c r="C407" s="6" t="inlineStr">
        <is>
          <t>DIA</t>
        </is>
      </c>
      <c r="D407" s="6" t="inlineStr">
        <is>
          <t>IBM</t>
        </is>
      </c>
      <c r="E407" s="6" t="inlineStr">
        <is>
          <t>IBM</t>
        </is>
      </c>
      <c r="F407" s="6" t="inlineStr">
        <is>
          <t>-</t>
        </is>
      </c>
      <c r="G407" s="7">
        <f>Rebalance_Audit!G4293</f>
        <v/>
      </c>
      <c r="H407" s="9">
        <f>Rebalance_Audit!Q4293</f>
        <v/>
      </c>
      <c r="I407" s="7">
        <f>Rebalance_Audit!R4293</f>
        <v/>
      </c>
      <c r="J407" s="8">
        <f>Rebalance_Audit!S4293</f>
        <v/>
      </c>
    </row>
    <row r="408">
      <c r="A408" s="6" t="inlineStr">
        <is>
          <t>DJ30</t>
        </is>
      </c>
      <c r="B408" s="6" t="inlineStr">
        <is>
          <t>2025-08-29</t>
        </is>
      </c>
      <c r="C408" s="6" t="inlineStr">
        <is>
          <t>DIA</t>
        </is>
      </c>
      <c r="D408" s="6" t="inlineStr">
        <is>
          <t>WMT</t>
        </is>
      </c>
      <c r="E408" s="6" t="inlineStr">
        <is>
          <t>WMT</t>
        </is>
      </c>
      <c r="F408" s="6" t="inlineStr">
        <is>
          <t>-</t>
        </is>
      </c>
      <c r="G408" s="7">
        <f>Rebalance_Audit!G4309</f>
        <v/>
      </c>
      <c r="H408" s="9">
        <f>Rebalance_Audit!Q4309</f>
        <v/>
      </c>
      <c r="I408" s="7">
        <f>Rebalance_Audit!R4309</f>
        <v/>
      </c>
      <c r="J408" s="8">
        <f>Rebalance_Audit!S4309</f>
        <v/>
      </c>
    </row>
    <row r="409">
      <c r="A409" s="6" t="inlineStr">
        <is>
          <t>DJ30</t>
        </is>
      </c>
      <c r="B409" s="6" t="inlineStr">
        <is>
          <t>2025-08-29</t>
        </is>
      </c>
      <c r="C409" s="6" t="inlineStr">
        <is>
          <t>DIA</t>
        </is>
      </c>
      <c r="D409" s="6" t="inlineStr">
        <is>
          <t>TRV</t>
        </is>
      </c>
      <c r="E409" s="6" t="inlineStr">
        <is>
          <t>TRV</t>
        </is>
      </c>
      <c r="F409" s="6" t="inlineStr">
        <is>
          <t>-</t>
        </is>
      </c>
      <c r="G409" s="7">
        <f>Rebalance_Audit!G4305</f>
        <v/>
      </c>
      <c r="H409" s="9">
        <f>Rebalance_Audit!Q4305</f>
        <v/>
      </c>
      <c r="I409" s="7">
        <f>Rebalance_Audit!R4305</f>
        <v/>
      </c>
      <c r="J409" s="8">
        <f>Rebalance_Audit!S4305</f>
        <v/>
      </c>
    </row>
    <row r="410">
      <c r="A410" s="6" t="inlineStr">
        <is>
          <t>DJ30</t>
        </is>
      </c>
      <c r="B410" s="6" t="inlineStr">
        <is>
          <t>2025-09-05</t>
        </is>
      </c>
      <c r="C410" s="6" t="inlineStr">
        <is>
          <t>DIA</t>
        </is>
      </c>
      <c r="D410" s="6" t="inlineStr">
        <is>
          <t>BA</t>
        </is>
      </c>
      <c r="E410" s="6" t="inlineStr">
        <is>
          <t>BA</t>
        </is>
      </c>
      <c r="F410" s="6" t="inlineStr">
        <is>
          <t>-</t>
        </is>
      </c>
      <c r="G410" s="7">
        <f>Rebalance_Audit!G4315</f>
        <v/>
      </c>
      <c r="H410" s="9">
        <f>Rebalance_Audit!Q4315</f>
        <v/>
      </c>
      <c r="I410" s="7">
        <f>Rebalance_Audit!R4315</f>
        <v/>
      </c>
      <c r="J410" s="8">
        <f>Rebalance_Audit!S4315</f>
        <v/>
      </c>
    </row>
    <row r="411">
      <c r="A411" s="6" t="inlineStr">
        <is>
          <t>DJ30</t>
        </is>
      </c>
      <c r="B411" s="6" t="inlineStr">
        <is>
          <t>2025-09-05</t>
        </is>
      </c>
      <c r="C411" s="6" t="inlineStr">
        <is>
          <t>DIA</t>
        </is>
      </c>
      <c r="D411" s="6" t="inlineStr">
        <is>
          <t>IBM</t>
        </is>
      </c>
      <c r="E411" s="6" t="inlineStr">
        <is>
          <t>IBM</t>
        </is>
      </c>
      <c r="F411" s="6" t="inlineStr">
        <is>
          <t>-</t>
        </is>
      </c>
      <c r="G411" s="7">
        <f>Rebalance_Audit!G4324</f>
        <v/>
      </c>
      <c r="H411" s="9">
        <f>Rebalance_Audit!Q4324</f>
        <v/>
      </c>
      <c r="I411" s="7">
        <f>Rebalance_Audit!R4324</f>
        <v/>
      </c>
      <c r="J411" s="8">
        <f>Rebalance_Audit!S4324</f>
        <v/>
      </c>
    </row>
    <row r="412">
      <c r="A412" s="6" t="inlineStr">
        <is>
          <t>DJ30</t>
        </is>
      </c>
      <c r="B412" s="6" t="inlineStr">
        <is>
          <t>2025-09-05</t>
        </is>
      </c>
      <c r="C412" s="6" t="inlineStr">
        <is>
          <t>DIA</t>
        </is>
      </c>
      <c r="D412" s="6" t="inlineStr">
        <is>
          <t>WMT</t>
        </is>
      </c>
      <c r="E412" s="6" t="inlineStr">
        <is>
          <t>WMT</t>
        </is>
      </c>
      <c r="F412" s="6" t="inlineStr">
        <is>
          <t>-</t>
        </is>
      </c>
      <c r="G412" s="7">
        <f>Rebalance_Audit!G4340</f>
        <v/>
      </c>
      <c r="H412" s="9">
        <f>Rebalance_Audit!Q4340</f>
        <v/>
      </c>
      <c r="I412" s="7">
        <f>Rebalance_Audit!R4340</f>
        <v/>
      </c>
      <c r="J412" s="8">
        <f>Rebalance_Audit!S4340</f>
        <v/>
      </c>
    </row>
    <row r="413">
      <c r="A413" s="6" t="inlineStr">
        <is>
          <t>DJ30</t>
        </is>
      </c>
      <c r="B413" s="6" t="inlineStr">
        <is>
          <t>2025-09-05</t>
        </is>
      </c>
      <c r="C413" s="6" t="inlineStr">
        <is>
          <t>DIA</t>
        </is>
      </c>
      <c r="D413" s="6" t="inlineStr">
        <is>
          <t>TRV</t>
        </is>
      </c>
      <c r="E413" s="6" t="inlineStr">
        <is>
          <t>TRV</t>
        </is>
      </c>
      <c r="F413" s="6" t="inlineStr">
        <is>
          <t>-</t>
        </is>
      </c>
      <c r="G413" s="7">
        <f>Rebalance_Audit!G4336</f>
        <v/>
      </c>
      <c r="H413" s="9">
        <f>Rebalance_Audit!Q4336</f>
        <v/>
      </c>
      <c r="I413" s="7">
        <f>Rebalance_Audit!R4336</f>
        <v/>
      </c>
      <c r="J413" s="8">
        <f>Rebalance_Audit!S4336</f>
        <v/>
      </c>
    </row>
    <row r="414">
      <c r="A414" s="6" t="inlineStr">
        <is>
          <t>DJ30</t>
        </is>
      </c>
      <c r="B414" s="6" t="inlineStr">
        <is>
          <t>2025-09-05</t>
        </is>
      </c>
      <c r="C414" s="6" t="inlineStr">
        <is>
          <t>DIA</t>
        </is>
      </c>
      <c r="D414" s="6" t="inlineStr">
        <is>
          <t>VZ</t>
        </is>
      </c>
      <c r="E414" s="6" t="inlineStr">
        <is>
          <t>VZ</t>
        </is>
      </c>
      <c r="F414" s="6" t="inlineStr">
        <is>
          <t>-</t>
        </is>
      </c>
      <c r="G414" s="7">
        <f>Rebalance_Audit!G4339</f>
        <v/>
      </c>
      <c r="H414" s="9">
        <f>Rebalance_Audit!Q4339</f>
        <v/>
      </c>
      <c r="I414" s="7">
        <f>Rebalance_Audit!R4339</f>
        <v/>
      </c>
      <c r="J414" s="8">
        <f>Rebalance_Audit!S4339</f>
        <v/>
      </c>
    </row>
    <row r="415">
      <c r="A415" s="6" t="inlineStr">
        <is>
          <t>DJ30</t>
        </is>
      </c>
      <c r="B415" s="6" t="inlineStr">
        <is>
          <t>2025-09-12</t>
        </is>
      </c>
      <c r="C415" s="6" t="inlineStr">
        <is>
          <t>DIA</t>
        </is>
      </c>
      <c r="D415" s="6" t="inlineStr">
        <is>
          <t>BA</t>
        </is>
      </c>
      <c r="E415" s="6" t="inlineStr">
        <is>
          <t>BA</t>
        </is>
      </c>
      <c r="F415" s="6" t="inlineStr">
        <is>
          <t>-</t>
        </is>
      </c>
      <c r="G415" s="7">
        <f>Rebalance_Audit!G4346</f>
        <v/>
      </c>
      <c r="H415" s="9">
        <f>Rebalance_Audit!Q4346</f>
        <v/>
      </c>
      <c r="I415" s="7">
        <f>Rebalance_Audit!R4346</f>
        <v/>
      </c>
      <c r="J415" s="8">
        <f>Rebalance_Audit!S4346</f>
        <v/>
      </c>
    </row>
    <row r="416">
      <c r="A416" s="6" t="inlineStr">
        <is>
          <t>DJ30</t>
        </is>
      </c>
      <c r="B416" s="6" t="inlineStr">
        <is>
          <t>2025-09-12</t>
        </is>
      </c>
      <c r="C416" s="6" t="inlineStr">
        <is>
          <t>DIA</t>
        </is>
      </c>
      <c r="D416" s="6" t="inlineStr">
        <is>
          <t>IBM</t>
        </is>
      </c>
      <c r="E416" s="6" t="inlineStr">
        <is>
          <t>IBM</t>
        </is>
      </c>
      <c r="F416" s="6" t="inlineStr">
        <is>
          <t>-</t>
        </is>
      </c>
      <c r="G416" s="7">
        <f>Rebalance_Audit!G4355</f>
        <v/>
      </c>
      <c r="H416" s="9">
        <f>Rebalance_Audit!Q4355</f>
        <v/>
      </c>
      <c r="I416" s="7">
        <f>Rebalance_Audit!R4355</f>
        <v/>
      </c>
      <c r="J416" s="8">
        <f>Rebalance_Audit!S4355</f>
        <v/>
      </c>
    </row>
    <row r="417">
      <c r="A417" s="6" t="inlineStr">
        <is>
          <t>DJ30</t>
        </is>
      </c>
      <c r="B417" s="6" t="inlineStr">
        <is>
          <t>2025-09-12</t>
        </is>
      </c>
      <c r="C417" s="6" t="inlineStr">
        <is>
          <t>DIA</t>
        </is>
      </c>
      <c r="D417" s="6" t="inlineStr">
        <is>
          <t>WMT</t>
        </is>
      </c>
      <c r="E417" s="6" t="inlineStr">
        <is>
          <t>WMT</t>
        </is>
      </c>
      <c r="F417" s="6" t="inlineStr">
        <is>
          <t>-</t>
        </is>
      </c>
      <c r="G417" s="7">
        <f>Rebalance_Audit!G4371</f>
        <v/>
      </c>
      <c r="H417" s="9">
        <f>Rebalance_Audit!Q4371</f>
        <v/>
      </c>
      <c r="I417" s="7">
        <f>Rebalance_Audit!R4371</f>
        <v/>
      </c>
      <c r="J417" s="8">
        <f>Rebalance_Audit!S4371</f>
        <v/>
      </c>
    </row>
    <row r="418">
      <c r="A418" s="6" t="inlineStr">
        <is>
          <t>DJ30</t>
        </is>
      </c>
      <c r="B418" s="6" t="inlineStr">
        <is>
          <t>2025-09-12</t>
        </is>
      </c>
      <c r="C418" s="6" t="inlineStr">
        <is>
          <t>DIA</t>
        </is>
      </c>
      <c r="D418" s="6" t="inlineStr">
        <is>
          <t>TRV</t>
        </is>
      </c>
      <c r="E418" s="6" t="inlineStr">
        <is>
          <t>TRV</t>
        </is>
      </c>
      <c r="F418" s="6" t="inlineStr">
        <is>
          <t>-</t>
        </is>
      </c>
      <c r="G418" s="7">
        <f>Rebalance_Audit!G4367</f>
        <v/>
      </c>
      <c r="H418" s="9">
        <f>Rebalance_Audit!Q4367</f>
        <v/>
      </c>
      <c r="I418" s="7">
        <f>Rebalance_Audit!R4367</f>
        <v/>
      </c>
      <c r="J418" s="8">
        <f>Rebalance_Audit!S4367</f>
        <v/>
      </c>
    </row>
    <row r="419">
      <c r="A419" s="6" t="inlineStr">
        <is>
          <t>DJ30</t>
        </is>
      </c>
      <c r="B419" s="6" t="inlineStr">
        <is>
          <t>2025-09-12</t>
        </is>
      </c>
      <c r="C419" s="6" t="inlineStr">
        <is>
          <t>DIA</t>
        </is>
      </c>
      <c r="D419" s="6" t="inlineStr">
        <is>
          <t>VZ</t>
        </is>
      </c>
      <c r="E419" s="6" t="inlineStr">
        <is>
          <t>VZ</t>
        </is>
      </c>
      <c r="F419" s="6" t="inlineStr">
        <is>
          <t>-</t>
        </is>
      </c>
      <c r="G419" s="7">
        <f>Rebalance_Audit!G4370</f>
        <v/>
      </c>
      <c r="H419" s="9">
        <f>Rebalance_Audit!Q4370</f>
        <v/>
      </c>
      <c r="I419" s="7">
        <f>Rebalance_Audit!R4370</f>
        <v/>
      </c>
      <c r="J419" s="8">
        <f>Rebalance_Audit!S4370</f>
        <v/>
      </c>
    </row>
    <row r="420">
      <c r="A420" s="6" t="inlineStr">
        <is>
          <t>DJ30</t>
        </is>
      </c>
      <c r="B420" s="6" t="inlineStr">
        <is>
          <t>2025-09-19</t>
        </is>
      </c>
      <c r="C420" s="6" t="inlineStr">
        <is>
          <t>DIA</t>
        </is>
      </c>
      <c r="D420" s="6" t="inlineStr">
        <is>
          <t>BA</t>
        </is>
      </c>
      <c r="E420" s="6" t="inlineStr">
        <is>
          <t>BA</t>
        </is>
      </c>
      <c r="F420" s="6" t="inlineStr">
        <is>
          <t>-</t>
        </is>
      </c>
      <c r="G420" s="7">
        <f>Rebalance_Audit!G4377</f>
        <v/>
      </c>
      <c r="H420" s="9">
        <f>Rebalance_Audit!Q4377</f>
        <v/>
      </c>
      <c r="I420" s="7">
        <f>Rebalance_Audit!R4377</f>
        <v/>
      </c>
      <c r="J420" s="8">
        <f>Rebalance_Audit!S4377</f>
        <v/>
      </c>
    </row>
    <row r="421">
      <c r="A421" s="6" t="inlineStr">
        <is>
          <t>DJ30</t>
        </is>
      </c>
      <c r="B421" s="6" t="inlineStr">
        <is>
          <t>2025-09-19</t>
        </is>
      </c>
      <c r="C421" s="6" t="inlineStr">
        <is>
          <t>DIA</t>
        </is>
      </c>
      <c r="D421" s="6" t="inlineStr">
        <is>
          <t>IBM</t>
        </is>
      </c>
      <c r="E421" s="6" t="inlineStr">
        <is>
          <t>IBM</t>
        </is>
      </c>
      <c r="F421" s="6" t="inlineStr">
        <is>
          <t>-</t>
        </is>
      </c>
      <c r="G421" s="7">
        <f>Rebalance_Audit!G4386</f>
        <v/>
      </c>
      <c r="H421" s="9">
        <f>Rebalance_Audit!Q4386</f>
        <v/>
      </c>
      <c r="I421" s="7">
        <f>Rebalance_Audit!R4386</f>
        <v/>
      </c>
      <c r="J421" s="8">
        <f>Rebalance_Audit!S4386</f>
        <v/>
      </c>
    </row>
    <row r="422">
      <c r="A422" s="6" t="inlineStr">
        <is>
          <t>DJ30</t>
        </is>
      </c>
      <c r="B422" s="6" t="inlineStr">
        <is>
          <t>2025-09-19</t>
        </is>
      </c>
      <c r="C422" s="6" t="inlineStr">
        <is>
          <t>DIA</t>
        </is>
      </c>
      <c r="D422" s="6" t="inlineStr">
        <is>
          <t>WMT</t>
        </is>
      </c>
      <c r="E422" s="6" t="inlineStr">
        <is>
          <t>WMT</t>
        </is>
      </c>
      <c r="F422" s="6" t="inlineStr">
        <is>
          <t>-</t>
        </is>
      </c>
      <c r="G422" s="7">
        <f>Rebalance_Audit!G4402</f>
        <v/>
      </c>
      <c r="H422" s="9">
        <f>Rebalance_Audit!Q4402</f>
        <v/>
      </c>
      <c r="I422" s="7">
        <f>Rebalance_Audit!R4402</f>
        <v/>
      </c>
      <c r="J422" s="8">
        <f>Rebalance_Audit!S4402</f>
        <v/>
      </c>
    </row>
    <row r="423">
      <c r="A423" s="6" t="inlineStr">
        <is>
          <t>DJ30</t>
        </is>
      </c>
      <c r="B423" s="6" t="inlineStr">
        <is>
          <t>2025-09-19</t>
        </is>
      </c>
      <c r="C423" s="6" t="inlineStr">
        <is>
          <t>DIA</t>
        </is>
      </c>
      <c r="D423" s="6" t="inlineStr">
        <is>
          <t>TRV</t>
        </is>
      </c>
      <c r="E423" s="6" t="inlineStr">
        <is>
          <t>TRV</t>
        </is>
      </c>
      <c r="F423" s="6" t="inlineStr">
        <is>
          <t>-</t>
        </is>
      </c>
      <c r="G423" s="7">
        <f>Rebalance_Audit!G4398</f>
        <v/>
      </c>
      <c r="H423" s="9">
        <f>Rebalance_Audit!Q4398</f>
        <v/>
      </c>
      <c r="I423" s="7">
        <f>Rebalance_Audit!R4398</f>
        <v/>
      </c>
      <c r="J423" s="8">
        <f>Rebalance_Audit!S4398</f>
        <v/>
      </c>
    </row>
    <row r="424">
      <c r="A424" s="6" t="inlineStr">
        <is>
          <t>DJ30</t>
        </is>
      </c>
      <c r="B424" s="6" t="inlineStr">
        <is>
          <t>2025-09-19</t>
        </is>
      </c>
      <c r="C424" s="6" t="inlineStr">
        <is>
          <t>DIA</t>
        </is>
      </c>
      <c r="D424" s="6" t="inlineStr">
        <is>
          <t>VZ</t>
        </is>
      </c>
      <c r="E424" s="6" t="inlineStr">
        <is>
          <t>VZ</t>
        </is>
      </c>
      <c r="F424" s="6" t="inlineStr">
        <is>
          <t>-</t>
        </is>
      </c>
      <c r="G424" s="7">
        <f>Rebalance_Audit!G4401</f>
        <v/>
      </c>
      <c r="H424" s="9">
        <f>Rebalance_Audit!Q4401</f>
        <v/>
      </c>
      <c r="I424" s="7">
        <f>Rebalance_Audit!R4401</f>
        <v/>
      </c>
      <c r="J424" s="8">
        <f>Rebalance_Audit!S4401</f>
        <v/>
      </c>
    </row>
    <row r="425">
      <c r="A425" s="6" t="inlineStr">
        <is>
          <t>DJ30</t>
        </is>
      </c>
      <c r="B425" s="6" t="inlineStr">
        <is>
          <t>2025-09-26</t>
        </is>
      </c>
      <c r="C425" s="6" t="inlineStr">
        <is>
          <t>DIA</t>
        </is>
      </c>
      <c r="D425" s="6" t="inlineStr">
        <is>
          <t>BA</t>
        </is>
      </c>
      <c r="E425" s="6" t="inlineStr">
        <is>
          <t>BA</t>
        </is>
      </c>
      <c r="F425" s="6" t="inlineStr">
        <is>
          <t>-</t>
        </is>
      </c>
      <c r="G425" s="7">
        <f>Rebalance_Audit!G4408</f>
        <v/>
      </c>
      <c r="H425" s="9">
        <f>Rebalance_Audit!Q4408</f>
        <v/>
      </c>
      <c r="I425" s="7">
        <f>Rebalance_Audit!R4408</f>
        <v/>
      </c>
      <c r="J425" s="8">
        <f>Rebalance_Audit!S4408</f>
        <v/>
      </c>
    </row>
    <row r="426">
      <c r="A426" s="6" t="inlineStr">
        <is>
          <t>DJ30</t>
        </is>
      </c>
      <c r="B426" s="6" t="inlineStr">
        <is>
          <t>2025-09-26</t>
        </is>
      </c>
      <c r="C426" s="6" t="inlineStr">
        <is>
          <t>DIA</t>
        </is>
      </c>
      <c r="D426" s="6" t="inlineStr">
        <is>
          <t>GS</t>
        </is>
      </c>
      <c r="E426" s="6" t="inlineStr">
        <is>
          <t>GS</t>
        </is>
      </c>
      <c r="F426" s="6" t="inlineStr">
        <is>
          <t>-</t>
        </is>
      </c>
      <c r="G426" s="7">
        <f>Rebalance_Audit!G4414</f>
        <v/>
      </c>
      <c r="H426" s="9">
        <f>Rebalance_Audit!Q4414</f>
        <v/>
      </c>
      <c r="I426" s="7">
        <f>Rebalance_Audit!R4414</f>
        <v/>
      </c>
      <c r="J426" s="8">
        <f>Rebalance_Audit!S4414</f>
        <v/>
      </c>
    </row>
    <row r="427">
      <c r="A427" s="6" t="inlineStr">
        <is>
          <t>DJ30</t>
        </is>
      </c>
      <c r="B427" s="6" t="inlineStr">
        <is>
          <t>2025-09-26</t>
        </is>
      </c>
      <c r="C427" s="6" t="inlineStr">
        <is>
          <t>DIA</t>
        </is>
      </c>
      <c r="D427" s="6" t="inlineStr">
        <is>
          <t>IBM</t>
        </is>
      </c>
      <c r="E427" s="6" t="inlineStr">
        <is>
          <t>IBM</t>
        </is>
      </c>
      <c r="F427" s="6" t="inlineStr">
        <is>
          <t>-</t>
        </is>
      </c>
      <c r="G427" s="7">
        <f>Rebalance_Audit!G4417</f>
        <v/>
      </c>
      <c r="H427" s="9">
        <f>Rebalance_Audit!Q4417</f>
        <v/>
      </c>
      <c r="I427" s="7">
        <f>Rebalance_Audit!R4417</f>
        <v/>
      </c>
      <c r="J427" s="8">
        <f>Rebalance_Audit!S4417</f>
        <v/>
      </c>
    </row>
    <row r="428">
      <c r="A428" s="6" t="inlineStr">
        <is>
          <t>DJ30</t>
        </is>
      </c>
      <c r="B428" s="6" t="inlineStr">
        <is>
          <t>2025-09-26</t>
        </is>
      </c>
      <c r="C428" s="6" t="inlineStr">
        <is>
          <t>DIA</t>
        </is>
      </c>
      <c r="D428" s="6" t="inlineStr">
        <is>
          <t>MSFT</t>
        </is>
      </c>
      <c r="E428" s="6" t="inlineStr">
        <is>
          <t>MSFT</t>
        </is>
      </c>
      <c r="F428" s="6" t="inlineStr">
        <is>
          <t>-</t>
        </is>
      </c>
      <c r="G428" s="7">
        <f>Rebalance_Audit!G4424</f>
        <v/>
      </c>
      <c r="H428" s="9">
        <f>Rebalance_Audit!Q4424</f>
        <v/>
      </c>
      <c r="I428" s="7">
        <f>Rebalance_Audit!R4424</f>
        <v/>
      </c>
      <c r="J428" s="8">
        <f>Rebalance_Audit!S4424</f>
        <v/>
      </c>
    </row>
    <row r="429">
      <c r="A429" s="6" t="inlineStr">
        <is>
          <t>DJ30</t>
        </is>
      </c>
      <c r="B429" s="6" t="inlineStr">
        <is>
          <t>2025-09-26</t>
        </is>
      </c>
      <c r="C429" s="6" t="inlineStr">
        <is>
          <t>DIA</t>
        </is>
      </c>
      <c r="D429" s="6" t="inlineStr">
        <is>
          <t>WMT</t>
        </is>
      </c>
      <c r="E429" s="6" t="inlineStr">
        <is>
          <t>WMT</t>
        </is>
      </c>
      <c r="F429" s="6" t="inlineStr">
        <is>
          <t>-</t>
        </is>
      </c>
      <c r="G429" s="7">
        <f>Rebalance_Audit!G4433</f>
        <v/>
      </c>
      <c r="H429" s="9">
        <f>Rebalance_Audit!Q4433</f>
        <v/>
      </c>
      <c r="I429" s="7">
        <f>Rebalance_Audit!R4433</f>
        <v/>
      </c>
      <c r="J429" s="8">
        <f>Rebalance_Audit!S4433</f>
        <v/>
      </c>
    </row>
    <row r="430">
      <c r="A430" s="6" t="inlineStr">
        <is>
          <t>DJ30</t>
        </is>
      </c>
      <c r="B430" s="6" t="inlineStr">
        <is>
          <t>2025-10-03</t>
        </is>
      </c>
      <c r="C430" s="6" t="inlineStr">
        <is>
          <t>DIA</t>
        </is>
      </c>
      <c r="D430" s="6" t="inlineStr">
        <is>
          <t>BA</t>
        </is>
      </c>
      <c r="E430" s="6" t="inlineStr">
        <is>
          <t>BA</t>
        </is>
      </c>
      <c r="F430" s="6" t="inlineStr">
        <is>
          <t>-</t>
        </is>
      </c>
      <c r="G430" s="7">
        <f>Rebalance_Audit!G4439</f>
        <v/>
      </c>
      <c r="H430" s="9">
        <f>Rebalance_Audit!Q4439</f>
        <v/>
      </c>
      <c r="I430" s="7">
        <f>Rebalance_Audit!R4439</f>
        <v/>
      </c>
      <c r="J430" s="8">
        <f>Rebalance_Audit!S4439</f>
        <v/>
      </c>
    </row>
    <row r="431">
      <c r="A431" s="6" t="inlineStr">
        <is>
          <t>DJ30</t>
        </is>
      </c>
      <c r="B431" s="6" t="inlineStr">
        <is>
          <t>2025-10-03</t>
        </is>
      </c>
      <c r="C431" s="6" t="inlineStr">
        <is>
          <t>DIA</t>
        </is>
      </c>
      <c r="D431" s="6" t="inlineStr">
        <is>
          <t>JPM</t>
        </is>
      </c>
      <c r="E431" s="6" t="inlineStr">
        <is>
          <t>JPM</t>
        </is>
      </c>
      <c r="F431" s="6" t="inlineStr">
        <is>
          <t>-</t>
        </is>
      </c>
      <c r="G431" s="7">
        <f>Rebalance_Audit!G4450</f>
        <v/>
      </c>
      <c r="H431" s="9">
        <f>Rebalance_Audit!Q4450</f>
        <v/>
      </c>
      <c r="I431" s="7">
        <f>Rebalance_Audit!R4450</f>
        <v/>
      </c>
      <c r="J431" s="8">
        <f>Rebalance_Audit!S4450</f>
        <v/>
      </c>
    </row>
    <row r="432">
      <c r="A432" s="6" t="inlineStr">
        <is>
          <t>DJ30</t>
        </is>
      </c>
      <c r="B432" s="6" t="inlineStr">
        <is>
          <t>2025-10-03</t>
        </is>
      </c>
      <c r="C432" s="6" t="inlineStr">
        <is>
          <t>DIA</t>
        </is>
      </c>
      <c r="D432" s="6" t="inlineStr">
        <is>
          <t>IBM</t>
        </is>
      </c>
      <c r="E432" s="6" t="inlineStr">
        <is>
          <t>IBM</t>
        </is>
      </c>
      <c r="F432" s="6" t="inlineStr">
        <is>
          <t>-</t>
        </is>
      </c>
      <c r="G432" s="7">
        <f>Rebalance_Audit!G4448</f>
        <v/>
      </c>
      <c r="H432" s="9">
        <f>Rebalance_Audit!Q4448</f>
        <v/>
      </c>
      <c r="I432" s="7">
        <f>Rebalance_Audit!R4448</f>
        <v/>
      </c>
      <c r="J432" s="8">
        <f>Rebalance_Audit!S4448</f>
        <v/>
      </c>
    </row>
    <row r="433">
      <c r="A433" s="6" t="inlineStr">
        <is>
          <t>DJ30</t>
        </is>
      </c>
      <c r="B433" s="6" t="inlineStr">
        <is>
          <t>2025-10-03</t>
        </is>
      </c>
      <c r="C433" s="6" t="inlineStr">
        <is>
          <t>DIA</t>
        </is>
      </c>
      <c r="D433" s="6" t="inlineStr">
        <is>
          <t>WMT</t>
        </is>
      </c>
      <c r="E433" s="6" t="inlineStr">
        <is>
          <t>WMT</t>
        </is>
      </c>
      <c r="F433" s="6" t="inlineStr">
        <is>
          <t>-</t>
        </is>
      </c>
      <c r="G433" s="7">
        <f>Rebalance_Audit!G4464</f>
        <v/>
      </c>
      <c r="H433" s="9">
        <f>Rebalance_Audit!Q4464</f>
        <v/>
      </c>
      <c r="I433" s="7">
        <f>Rebalance_Audit!R4464</f>
        <v/>
      </c>
      <c r="J433" s="8">
        <f>Rebalance_Audit!S4464</f>
        <v/>
      </c>
    </row>
    <row r="434">
      <c r="A434" s="6" t="inlineStr">
        <is>
          <t>DJ30</t>
        </is>
      </c>
      <c r="B434" s="6" t="inlineStr">
        <is>
          <t>2025-10-03</t>
        </is>
      </c>
      <c r="C434" s="6" t="inlineStr">
        <is>
          <t>DIA</t>
        </is>
      </c>
      <c r="D434" s="6" t="inlineStr">
        <is>
          <t>JNJ</t>
        </is>
      </c>
      <c r="E434" s="6" t="inlineStr">
        <is>
          <t>JNJ</t>
        </is>
      </c>
      <c r="F434" s="6" t="inlineStr">
        <is>
          <t>-</t>
        </is>
      </c>
      <c r="G434" s="7">
        <f>Rebalance_Audit!G4449</f>
        <v/>
      </c>
      <c r="H434" s="9">
        <f>Rebalance_Audit!Q4449</f>
        <v/>
      </c>
      <c r="I434" s="7">
        <f>Rebalance_Audit!R4449</f>
        <v/>
      </c>
      <c r="J434" s="8">
        <f>Rebalance_Audit!S4449</f>
        <v/>
      </c>
    </row>
    <row r="435">
      <c r="A435" s="6" t="inlineStr">
        <is>
          <t>DJ30</t>
        </is>
      </c>
      <c r="B435" s="6" t="inlineStr">
        <is>
          <t>2025-10-10</t>
        </is>
      </c>
      <c r="C435" s="6" t="inlineStr">
        <is>
          <t>DIA</t>
        </is>
      </c>
      <c r="D435" s="6" t="inlineStr">
        <is>
          <t>BA</t>
        </is>
      </c>
      <c r="E435" s="6" t="inlineStr">
        <is>
          <t>BA</t>
        </is>
      </c>
      <c r="F435" s="6" t="inlineStr">
        <is>
          <t>-</t>
        </is>
      </c>
      <c r="G435" s="7">
        <f>Rebalance_Audit!G4470</f>
        <v/>
      </c>
      <c r="H435" s="9">
        <f>Rebalance_Audit!Q4470</f>
        <v/>
      </c>
      <c r="I435" s="7">
        <f>Rebalance_Audit!R4470</f>
        <v/>
      </c>
      <c r="J435" s="8">
        <f>Rebalance_Audit!S4470</f>
        <v/>
      </c>
    </row>
    <row r="436">
      <c r="A436" s="6" t="inlineStr">
        <is>
          <t>DJ30</t>
        </is>
      </c>
      <c r="B436" s="6" t="inlineStr">
        <is>
          <t>2025-10-10</t>
        </is>
      </c>
      <c r="C436" s="6" t="inlineStr">
        <is>
          <t>DIA</t>
        </is>
      </c>
      <c r="D436" s="6" t="inlineStr">
        <is>
          <t>JPM</t>
        </is>
      </c>
      <c r="E436" s="6" t="inlineStr">
        <is>
          <t>JPM</t>
        </is>
      </c>
      <c r="F436" s="6" t="inlineStr">
        <is>
          <t>-</t>
        </is>
      </c>
      <c r="G436" s="7">
        <f>Rebalance_Audit!G4481</f>
        <v/>
      </c>
      <c r="H436" s="9">
        <f>Rebalance_Audit!Q4481</f>
        <v/>
      </c>
      <c r="I436" s="7">
        <f>Rebalance_Audit!R4481</f>
        <v/>
      </c>
      <c r="J436" s="8">
        <f>Rebalance_Audit!S4481</f>
        <v/>
      </c>
    </row>
    <row r="437">
      <c r="A437" s="6" t="inlineStr">
        <is>
          <t>DJ30</t>
        </is>
      </c>
      <c r="B437" s="6" t="inlineStr">
        <is>
          <t>2025-10-10</t>
        </is>
      </c>
      <c r="C437" s="6" t="inlineStr">
        <is>
          <t>DIA</t>
        </is>
      </c>
      <c r="D437" s="6" t="inlineStr">
        <is>
          <t>CSCO</t>
        </is>
      </c>
      <c r="E437" s="6" t="inlineStr">
        <is>
          <t>CSCO</t>
        </is>
      </c>
      <c r="F437" s="6" t="inlineStr">
        <is>
          <t>-</t>
        </is>
      </c>
      <c r="G437" s="7">
        <f>Rebalance_Audit!G4473</f>
        <v/>
      </c>
      <c r="H437" s="9">
        <f>Rebalance_Audit!Q4473</f>
        <v/>
      </c>
      <c r="I437" s="7">
        <f>Rebalance_Audit!R4473</f>
        <v/>
      </c>
      <c r="J437" s="8">
        <f>Rebalance_Audit!S4473</f>
        <v/>
      </c>
    </row>
    <row r="438">
      <c r="A438" s="6" t="inlineStr">
        <is>
          <t>DJ30</t>
        </is>
      </c>
      <c r="B438" s="6" t="inlineStr">
        <is>
          <t>2025-10-10</t>
        </is>
      </c>
      <c r="C438" s="6" t="inlineStr">
        <is>
          <t>DIA</t>
        </is>
      </c>
      <c r="D438" s="6" t="inlineStr">
        <is>
          <t>IBM</t>
        </is>
      </c>
      <c r="E438" s="6" t="inlineStr">
        <is>
          <t>IBM</t>
        </is>
      </c>
      <c r="F438" s="6" t="inlineStr">
        <is>
          <t>-</t>
        </is>
      </c>
      <c r="G438" s="7">
        <f>Rebalance_Audit!G4479</f>
        <v/>
      </c>
      <c r="H438" s="9">
        <f>Rebalance_Audit!Q4479</f>
        <v/>
      </c>
      <c r="I438" s="7">
        <f>Rebalance_Audit!R4479</f>
        <v/>
      </c>
      <c r="J438" s="8">
        <f>Rebalance_Audit!S4479</f>
        <v/>
      </c>
    </row>
    <row r="439">
      <c r="A439" s="6" t="inlineStr">
        <is>
          <t>DJ30</t>
        </is>
      </c>
      <c r="B439" s="6" t="inlineStr">
        <is>
          <t>2025-10-10</t>
        </is>
      </c>
      <c r="C439" s="6" t="inlineStr">
        <is>
          <t>DIA</t>
        </is>
      </c>
      <c r="D439" s="6" t="inlineStr">
        <is>
          <t>JNJ</t>
        </is>
      </c>
      <c r="E439" s="6" t="inlineStr">
        <is>
          <t>JNJ</t>
        </is>
      </c>
      <c r="F439" s="6" t="inlineStr">
        <is>
          <t>-</t>
        </is>
      </c>
      <c r="G439" s="7">
        <f>Rebalance_Audit!G4480</f>
        <v/>
      </c>
      <c r="H439" s="9">
        <f>Rebalance_Audit!Q4480</f>
        <v/>
      </c>
      <c r="I439" s="7">
        <f>Rebalance_Audit!R4480</f>
        <v/>
      </c>
      <c r="J439" s="8">
        <f>Rebalance_Audit!S4480</f>
        <v/>
      </c>
    </row>
    <row r="440">
      <c r="A440" s="6" t="inlineStr">
        <is>
          <t>DJ30</t>
        </is>
      </c>
      <c r="B440" s="6" t="inlineStr">
        <is>
          <t>2025-10-17</t>
        </is>
      </c>
      <c r="C440" s="6" t="inlineStr">
        <is>
          <t>DIA</t>
        </is>
      </c>
      <c r="D440" s="6" t="inlineStr">
        <is>
          <t>BA</t>
        </is>
      </c>
      <c r="E440" s="6" t="inlineStr">
        <is>
          <t>BA</t>
        </is>
      </c>
      <c r="F440" s="6" t="inlineStr">
        <is>
          <t>-</t>
        </is>
      </c>
      <c r="G440" s="7">
        <f>Rebalance_Audit!G4501</f>
        <v/>
      </c>
      <c r="H440" s="9">
        <f>Rebalance_Audit!Q4501</f>
        <v/>
      </c>
      <c r="I440" s="7">
        <f>Rebalance_Audit!R4501</f>
        <v/>
      </c>
      <c r="J440" s="8">
        <f>Rebalance_Audit!S4501</f>
        <v/>
      </c>
    </row>
    <row r="441">
      <c r="A441" s="6" t="inlineStr">
        <is>
          <t>DJ30</t>
        </is>
      </c>
      <c r="B441" s="6" t="inlineStr">
        <is>
          <t>2025-10-17</t>
        </is>
      </c>
      <c r="C441" s="6" t="inlineStr">
        <is>
          <t>DIA</t>
        </is>
      </c>
      <c r="D441" s="6" t="inlineStr">
        <is>
          <t>JPM</t>
        </is>
      </c>
      <c r="E441" s="6" t="inlineStr">
        <is>
          <t>JPM</t>
        </is>
      </c>
      <c r="F441" s="6" t="inlineStr">
        <is>
          <t>-</t>
        </is>
      </c>
      <c r="G441" s="7">
        <f>Rebalance_Audit!G4512</f>
        <v/>
      </c>
      <c r="H441" s="9">
        <f>Rebalance_Audit!Q4512</f>
        <v/>
      </c>
      <c r="I441" s="7">
        <f>Rebalance_Audit!R4512</f>
        <v/>
      </c>
      <c r="J441" s="8">
        <f>Rebalance_Audit!S4512</f>
        <v/>
      </c>
    </row>
    <row r="442">
      <c r="A442" s="6" t="inlineStr">
        <is>
          <t>DJ30</t>
        </is>
      </c>
      <c r="B442" s="6" t="inlineStr">
        <is>
          <t>2025-10-17</t>
        </is>
      </c>
      <c r="C442" s="6" t="inlineStr">
        <is>
          <t>DIA</t>
        </is>
      </c>
      <c r="D442" s="6" t="inlineStr">
        <is>
          <t>CSCO</t>
        </is>
      </c>
      <c r="E442" s="6" t="inlineStr">
        <is>
          <t>CSCO</t>
        </is>
      </c>
      <c r="F442" s="6" t="inlineStr">
        <is>
          <t>-</t>
        </is>
      </c>
      <c r="G442" s="7">
        <f>Rebalance_Audit!G4504</f>
        <v/>
      </c>
      <c r="H442" s="9">
        <f>Rebalance_Audit!Q4504</f>
        <v/>
      </c>
      <c r="I442" s="7">
        <f>Rebalance_Audit!R4504</f>
        <v/>
      </c>
      <c r="J442" s="8">
        <f>Rebalance_Audit!S4504</f>
        <v/>
      </c>
    </row>
    <row r="443">
      <c r="A443" s="6" t="inlineStr">
        <is>
          <t>DJ30</t>
        </is>
      </c>
      <c r="B443" s="6" t="inlineStr">
        <is>
          <t>2025-10-17</t>
        </is>
      </c>
      <c r="C443" s="6" t="inlineStr">
        <is>
          <t>DIA</t>
        </is>
      </c>
      <c r="D443" s="6" t="inlineStr">
        <is>
          <t>IBM</t>
        </is>
      </c>
      <c r="E443" s="6" t="inlineStr">
        <is>
          <t>IBM</t>
        </is>
      </c>
      <c r="F443" s="6" t="inlineStr">
        <is>
          <t>-</t>
        </is>
      </c>
      <c r="G443" s="7">
        <f>Rebalance_Audit!G4510</f>
        <v/>
      </c>
      <c r="H443" s="9">
        <f>Rebalance_Audit!Q4510</f>
        <v/>
      </c>
      <c r="I443" s="7">
        <f>Rebalance_Audit!R4510</f>
        <v/>
      </c>
      <c r="J443" s="8">
        <f>Rebalance_Audit!S4510</f>
        <v/>
      </c>
    </row>
    <row r="444">
      <c r="A444" s="6" t="inlineStr">
        <is>
          <t>DJ30</t>
        </is>
      </c>
      <c r="B444" s="6" t="inlineStr">
        <is>
          <t>2025-10-17</t>
        </is>
      </c>
      <c r="C444" s="6" t="inlineStr">
        <is>
          <t>DIA</t>
        </is>
      </c>
      <c r="D444" s="6" t="inlineStr">
        <is>
          <t>MSFT</t>
        </is>
      </c>
      <c r="E444" s="6" t="inlineStr">
        <is>
          <t>MSFT</t>
        </is>
      </c>
      <c r="F444" s="6" t="inlineStr">
        <is>
          <t>-</t>
        </is>
      </c>
      <c r="G444" s="7">
        <f>Rebalance_Audit!G4517</f>
        <v/>
      </c>
      <c r="H444" s="9">
        <f>Rebalance_Audit!Q4517</f>
        <v/>
      </c>
      <c r="I444" s="7">
        <f>Rebalance_Audit!R4517</f>
        <v/>
      </c>
      <c r="J444" s="8">
        <f>Rebalance_Audit!S4517</f>
        <v/>
      </c>
    </row>
    <row r="445">
      <c r="A445" s="6" t="inlineStr">
        <is>
          <t>DJ30</t>
        </is>
      </c>
      <c r="B445" s="6" t="inlineStr">
        <is>
          <t>2025-10-24</t>
        </is>
      </c>
      <c r="C445" s="6" t="inlineStr">
        <is>
          <t>DIA</t>
        </is>
      </c>
      <c r="D445" s="6" t="inlineStr">
        <is>
          <t>BA</t>
        </is>
      </c>
      <c r="E445" s="6" t="inlineStr">
        <is>
          <t>BA</t>
        </is>
      </c>
      <c r="F445" s="6" t="inlineStr">
        <is>
          <t>-</t>
        </is>
      </c>
      <c r="G445" s="7">
        <f>Rebalance_Audit!G4532</f>
        <v/>
      </c>
      <c r="H445" s="9">
        <f>Rebalance_Audit!Q4532</f>
        <v/>
      </c>
      <c r="I445" s="7">
        <f>Rebalance_Audit!R4532</f>
        <v/>
      </c>
      <c r="J445" s="8">
        <f>Rebalance_Audit!S4532</f>
        <v/>
      </c>
    </row>
    <row r="446">
      <c r="A446" s="6" t="inlineStr">
        <is>
          <t>DJ30</t>
        </is>
      </c>
      <c r="B446" s="6" t="inlineStr">
        <is>
          <t>2025-10-24</t>
        </is>
      </c>
      <c r="C446" s="6" t="inlineStr">
        <is>
          <t>DIA</t>
        </is>
      </c>
      <c r="D446" s="6" t="inlineStr">
        <is>
          <t>JPM</t>
        </is>
      </c>
      <c r="E446" s="6" t="inlineStr">
        <is>
          <t>JPM</t>
        </is>
      </c>
      <c r="F446" s="6" t="inlineStr">
        <is>
          <t>-</t>
        </is>
      </c>
      <c r="G446" s="7">
        <f>Rebalance_Audit!G4543</f>
        <v/>
      </c>
      <c r="H446" s="9">
        <f>Rebalance_Audit!Q4543</f>
        <v/>
      </c>
      <c r="I446" s="7">
        <f>Rebalance_Audit!R4543</f>
        <v/>
      </c>
      <c r="J446" s="8">
        <f>Rebalance_Audit!S4543</f>
        <v/>
      </c>
    </row>
    <row r="447">
      <c r="A447" s="6" t="inlineStr">
        <is>
          <t>DJ30</t>
        </is>
      </c>
      <c r="B447" s="6" t="inlineStr">
        <is>
          <t>2025-10-24</t>
        </is>
      </c>
      <c r="C447" s="6" t="inlineStr">
        <is>
          <t>DIA</t>
        </is>
      </c>
      <c r="D447" s="6" t="inlineStr">
        <is>
          <t>MSFT</t>
        </is>
      </c>
      <c r="E447" s="6" t="inlineStr">
        <is>
          <t>MSFT</t>
        </is>
      </c>
      <c r="F447" s="6" t="inlineStr">
        <is>
          <t>-</t>
        </is>
      </c>
      <c r="G447" s="7">
        <f>Rebalance_Audit!G4548</f>
        <v/>
      </c>
      <c r="H447" s="9">
        <f>Rebalance_Audit!Q4548</f>
        <v/>
      </c>
      <c r="I447" s="7">
        <f>Rebalance_Audit!R4548</f>
        <v/>
      </c>
      <c r="J447" s="8">
        <f>Rebalance_Audit!S4548</f>
        <v/>
      </c>
    </row>
    <row r="448">
      <c r="A448" s="6" t="inlineStr">
        <is>
          <t>DJ30</t>
        </is>
      </c>
      <c r="B448" s="6" t="inlineStr">
        <is>
          <t>2025-10-24</t>
        </is>
      </c>
      <c r="C448" s="6" t="inlineStr">
        <is>
          <t>DIA</t>
        </is>
      </c>
      <c r="D448" s="6" t="inlineStr">
        <is>
          <t>IBM</t>
        </is>
      </c>
      <c r="E448" s="6" t="inlineStr">
        <is>
          <t>IBM</t>
        </is>
      </c>
      <c r="F448" s="6" t="inlineStr">
        <is>
          <t>-</t>
        </is>
      </c>
      <c r="G448" s="7">
        <f>Rebalance_Audit!G4541</f>
        <v/>
      </c>
      <c r="H448" s="9">
        <f>Rebalance_Audit!Q4541</f>
        <v/>
      </c>
      <c r="I448" s="7">
        <f>Rebalance_Audit!R4541</f>
        <v/>
      </c>
      <c r="J448" s="8">
        <f>Rebalance_Audit!S4541</f>
        <v/>
      </c>
    </row>
    <row r="449">
      <c r="A449" s="6" t="inlineStr">
        <is>
          <t>DJ30</t>
        </is>
      </c>
      <c r="B449" s="6" t="inlineStr">
        <is>
          <t>2025-10-24</t>
        </is>
      </c>
      <c r="C449" s="6" t="inlineStr">
        <is>
          <t>DIA</t>
        </is>
      </c>
      <c r="D449" s="6" t="inlineStr">
        <is>
          <t>JNJ</t>
        </is>
      </c>
      <c r="E449" s="6" t="inlineStr">
        <is>
          <t>JNJ</t>
        </is>
      </c>
      <c r="F449" s="6" t="inlineStr">
        <is>
          <t>-</t>
        </is>
      </c>
      <c r="G449" s="7">
        <f>Rebalance_Audit!G4542</f>
        <v/>
      </c>
      <c r="H449" s="9">
        <f>Rebalance_Audit!Q4542</f>
        <v/>
      </c>
      <c r="I449" s="7">
        <f>Rebalance_Audit!R4542</f>
        <v/>
      </c>
      <c r="J449" s="8">
        <f>Rebalance_Audit!S4542</f>
        <v/>
      </c>
    </row>
    <row r="450">
      <c r="A450" s="6" t="inlineStr">
        <is>
          <t>DJ30</t>
        </is>
      </c>
      <c r="B450" s="6" t="inlineStr">
        <is>
          <t>2025-10-31</t>
        </is>
      </c>
      <c r="C450" s="6" t="inlineStr">
        <is>
          <t>DIA</t>
        </is>
      </c>
      <c r="D450" s="6" t="inlineStr">
        <is>
          <t>BA</t>
        </is>
      </c>
      <c r="E450" s="6" t="inlineStr">
        <is>
          <t>BA</t>
        </is>
      </c>
      <c r="F450" s="6" t="inlineStr">
        <is>
          <t>-</t>
        </is>
      </c>
      <c r="G450" s="7">
        <f>Rebalance_Audit!G4563</f>
        <v/>
      </c>
      <c r="H450" s="9">
        <f>Rebalance_Audit!Q4563</f>
        <v/>
      </c>
      <c r="I450" s="7">
        <f>Rebalance_Audit!R4563</f>
        <v/>
      </c>
      <c r="J450" s="8">
        <f>Rebalance_Audit!S4563</f>
        <v/>
      </c>
    </row>
    <row r="451">
      <c r="A451" s="6" t="inlineStr">
        <is>
          <t>DJ30</t>
        </is>
      </c>
      <c r="B451" s="6" t="inlineStr">
        <is>
          <t>2025-10-31</t>
        </is>
      </c>
      <c r="C451" s="6" t="inlineStr">
        <is>
          <t>DIA</t>
        </is>
      </c>
      <c r="D451" s="6" t="inlineStr">
        <is>
          <t>GS</t>
        </is>
      </c>
      <c r="E451" s="6" t="inlineStr">
        <is>
          <t>GS</t>
        </is>
      </c>
      <c r="F451" s="6" t="inlineStr">
        <is>
          <t>-</t>
        </is>
      </c>
      <c r="G451" s="7">
        <f>Rebalance_Audit!G4569</f>
        <v/>
      </c>
      <c r="H451" s="9">
        <f>Rebalance_Audit!Q4569</f>
        <v/>
      </c>
      <c r="I451" s="7">
        <f>Rebalance_Audit!R4569</f>
        <v/>
      </c>
      <c r="J451" s="8">
        <f>Rebalance_Audit!S4569</f>
        <v/>
      </c>
    </row>
    <row r="452">
      <c r="A452" s="6" t="inlineStr">
        <is>
          <t>DJ30</t>
        </is>
      </c>
      <c r="B452" s="6" t="inlineStr">
        <is>
          <t>2025-10-31</t>
        </is>
      </c>
      <c r="C452" s="6" t="inlineStr">
        <is>
          <t>DIA</t>
        </is>
      </c>
      <c r="D452" s="6" t="inlineStr">
        <is>
          <t>JNJ</t>
        </is>
      </c>
      <c r="E452" s="6" t="inlineStr">
        <is>
          <t>JNJ</t>
        </is>
      </c>
      <c r="F452" s="6" t="inlineStr">
        <is>
          <t>-</t>
        </is>
      </c>
      <c r="G452" s="7">
        <f>Rebalance_Audit!G4573</f>
        <v/>
      </c>
      <c r="H452" s="9">
        <f>Rebalance_Audit!Q4573</f>
        <v/>
      </c>
      <c r="I452" s="7">
        <f>Rebalance_Audit!R4573</f>
        <v/>
      </c>
      <c r="J452" s="8">
        <f>Rebalance_Audit!S4573</f>
        <v/>
      </c>
    </row>
    <row r="453">
      <c r="A453" s="6" t="inlineStr">
        <is>
          <t>DJ30</t>
        </is>
      </c>
      <c r="B453" s="6" t="inlineStr">
        <is>
          <t>2025-10-31</t>
        </is>
      </c>
      <c r="C453" s="6" t="inlineStr">
        <is>
          <t>DIA</t>
        </is>
      </c>
      <c r="D453" s="6" t="inlineStr">
        <is>
          <t>IBM</t>
        </is>
      </c>
      <c r="E453" s="6" t="inlineStr">
        <is>
          <t>IBM</t>
        </is>
      </c>
      <c r="F453" s="6" t="inlineStr">
        <is>
          <t>-</t>
        </is>
      </c>
      <c r="G453" s="7">
        <f>Rebalance_Audit!G4572</f>
        <v/>
      </c>
      <c r="H453" s="9">
        <f>Rebalance_Audit!Q4572</f>
        <v/>
      </c>
      <c r="I453" s="7">
        <f>Rebalance_Audit!R4572</f>
        <v/>
      </c>
      <c r="J453" s="8">
        <f>Rebalance_Audit!S4572</f>
        <v/>
      </c>
    </row>
    <row r="454">
      <c r="A454" s="6" t="inlineStr">
        <is>
          <t>DJ30</t>
        </is>
      </c>
      <c r="B454" s="6" t="inlineStr">
        <is>
          <t>2025-10-31</t>
        </is>
      </c>
      <c r="C454" s="6" t="inlineStr">
        <is>
          <t>DIA</t>
        </is>
      </c>
      <c r="D454" s="6" t="inlineStr">
        <is>
          <t>CSCO</t>
        </is>
      </c>
      <c r="E454" s="6" t="inlineStr">
        <is>
          <t>CSCO</t>
        </is>
      </c>
      <c r="F454" s="6" t="inlineStr">
        <is>
          <t>-</t>
        </is>
      </c>
      <c r="G454" s="7">
        <f>Rebalance_Audit!G4566</f>
        <v/>
      </c>
      <c r="H454" s="9">
        <f>Rebalance_Audit!Q4566</f>
        <v/>
      </c>
      <c r="I454" s="7">
        <f>Rebalance_Audit!R4566</f>
        <v/>
      </c>
      <c r="J454" s="8">
        <f>Rebalance_Audit!S4566</f>
        <v/>
      </c>
    </row>
    <row r="455">
      <c r="A455" s="6" t="inlineStr">
        <is>
          <t>DJ30</t>
        </is>
      </c>
      <c r="B455" s="6" t="inlineStr">
        <is>
          <t>2025-11-07</t>
        </is>
      </c>
      <c r="C455" s="6" t="inlineStr">
        <is>
          <t>DIA</t>
        </is>
      </c>
      <c r="D455" s="6" t="inlineStr">
        <is>
          <t>BA</t>
        </is>
      </c>
      <c r="E455" s="6" t="inlineStr">
        <is>
          <t>BA</t>
        </is>
      </c>
      <c r="F455" s="6" t="inlineStr">
        <is>
          <t>-</t>
        </is>
      </c>
      <c r="G455" s="7">
        <f>Rebalance_Audit!G4594</f>
        <v/>
      </c>
      <c r="H455" s="9">
        <f>Rebalance_Audit!Q4594</f>
        <v/>
      </c>
      <c r="I455" s="7">
        <f>Rebalance_Audit!R4594</f>
        <v/>
      </c>
      <c r="J455" s="8">
        <f>Rebalance_Audit!S4594</f>
        <v/>
      </c>
    </row>
    <row r="456">
      <c r="A456" s="6" t="inlineStr">
        <is>
          <t>DJ30</t>
        </is>
      </c>
      <c r="B456" s="6" t="inlineStr">
        <is>
          <t>2025-11-07</t>
        </is>
      </c>
      <c r="C456" s="6" t="inlineStr">
        <is>
          <t>DIA</t>
        </is>
      </c>
      <c r="D456" s="6" t="inlineStr">
        <is>
          <t>GS</t>
        </is>
      </c>
      <c r="E456" s="6" t="inlineStr">
        <is>
          <t>GS</t>
        </is>
      </c>
      <c r="F456" s="6" t="inlineStr">
        <is>
          <t>-</t>
        </is>
      </c>
      <c r="G456" s="7">
        <f>Rebalance_Audit!G4600</f>
        <v/>
      </c>
      <c r="H456" s="9">
        <f>Rebalance_Audit!Q4600</f>
        <v/>
      </c>
      <c r="I456" s="7">
        <f>Rebalance_Audit!R4600</f>
        <v/>
      </c>
      <c r="J456" s="8">
        <f>Rebalance_Audit!S4600</f>
        <v/>
      </c>
    </row>
    <row r="457">
      <c r="A457" s="6" t="inlineStr">
        <is>
          <t>DJ30</t>
        </is>
      </c>
      <c r="B457" s="6" t="inlineStr">
        <is>
          <t>2025-11-07</t>
        </is>
      </c>
      <c r="C457" s="6" t="inlineStr">
        <is>
          <t>DIA</t>
        </is>
      </c>
      <c r="D457" s="6" t="inlineStr">
        <is>
          <t>NVDA</t>
        </is>
      </c>
      <c r="E457" s="6" t="inlineStr">
        <is>
          <t>NVDA</t>
        </is>
      </c>
      <c r="F457" s="6" t="inlineStr">
        <is>
          <t>-</t>
        </is>
      </c>
      <c r="G457" s="7">
        <f>Rebalance_Audit!G4612</f>
        <v/>
      </c>
      <c r="H457" s="9">
        <f>Rebalance_Audit!Q4612</f>
        <v/>
      </c>
      <c r="I457" s="7">
        <f>Rebalance_Audit!R4612</f>
        <v/>
      </c>
      <c r="J457" s="8">
        <f>Rebalance_Audit!S4612</f>
        <v/>
      </c>
    </row>
    <row r="458">
      <c r="A458" s="6" t="inlineStr">
        <is>
          <t>DJ30</t>
        </is>
      </c>
      <c r="B458" s="6" t="inlineStr">
        <is>
          <t>2025-11-07</t>
        </is>
      </c>
      <c r="C458" s="6" t="inlineStr">
        <is>
          <t>DIA</t>
        </is>
      </c>
      <c r="D458" s="6" t="inlineStr">
        <is>
          <t>JNJ</t>
        </is>
      </c>
      <c r="E458" s="6" t="inlineStr">
        <is>
          <t>JNJ</t>
        </is>
      </c>
      <c r="F458" s="6" t="inlineStr">
        <is>
          <t>-</t>
        </is>
      </c>
      <c r="G458" s="7">
        <f>Rebalance_Audit!G4604</f>
        <v/>
      </c>
      <c r="H458" s="9">
        <f>Rebalance_Audit!Q4604</f>
        <v/>
      </c>
      <c r="I458" s="7">
        <f>Rebalance_Audit!R4604</f>
        <v/>
      </c>
      <c r="J458" s="8">
        <f>Rebalance_Audit!S4604</f>
        <v/>
      </c>
    </row>
    <row r="459">
      <c r="A459" s="6" t="inlineStr">
        <is>
          <t>DJ30</t>
        </is>
      </c>
      <c r="B459" s="6" t="inlineStr">
        <is>
          <t>2025-11-07</t>
        </is>
      </c>
      <c r="C459" s="6" t="inlineStr">
        <is>
          <t>DIA</t>
        </is>
      </c>
      <c r="D459" s="6" t="inlineStr">
        <is>
          <t>IBM</t>
        </is>
      </c>
      <c r="E459" s="6" t="inlineStr">
        <is>
          <t>IBM</t>
        </is>
      </c>
      <c r="F459" s="6" t="inlineStr">
        <is>
          <t>-</t>
        </is>
      </c>
      <c r="G459" s="7">
        <f>Rebalance_Audit!G4603</f>
        <v/>
      </c>
      <c r="H459" s="9">
        <f>Rebalance_Audit!Q4603</f>
        <v/>
      </c>
      <c r="I459" s="7">
        <f>Rebalance_Audit!R4603</f>
        <v/>
      </c>
      <c r="J459" s="8">
        <f>Rebalance_Audit!S4603</f>
        <v/>
      </c>
    </row>
    <row r="460">
      <c r="A460" s="6" t="inlineStr">
        <is>
          <t>DJ30</t>
        </is>
      </c>
      <c r="B460" s="6" t="inlineStr">
        <is>
          <t>2025-11-14</t>
        </is>
      </c>
      <c r="C460" s="6" t="inlineStr">
        <is>
          <t>DIA</t>
        </is>
      </c>
      <c r="D460" s="6" t="inlineStr">
        <is>
          <t>NVDA</t>
        </is>
      </c>
      <c r="E460" s="6" t="inlineStr">
        <is>
          <t>NVDA</t>
        </is>
      </c>
      <c r="F460" s="6" t="inlineStr">
        <is>
          <t>-</t>
        </is>
      </c>
      <c r="G460" s="7">
        <f>Rebalance_Audit!G4643</f>
        <v/>
      </c>
      <c r="H460" s="9">
        <f>Rebalance_Audit!Q4643</f>
        <v/>
      </c>
      <c r="I460" s="7">
        <f>Rebalance_Audit!R4643</f>
        <v/>
      </c>
      <c r="J460" s="8">
        <f>Rebalance_Audit!S4643</f>
        <v/>
      </c>
    </row>
    <row r="461">
      <c r="A461" s="6" t="inlineStr">
        <is>
          <t>DJ30</t>
        </is>
      </c>
      <c r="B461" s="6" t="inlineStr">
        <is>
          <t>2025-11-14</t>
        </is>
      </c>
      <c r="C461" s="6" t="inlineStr">
        <is>
          <t>DIA</t>
        </is>
      </c>
      <c r="D461" s="6" t="inlineStr">
        <is>
          <t>GS</t>
        </is>
      </c>
      <c r="E461" s="6" t="inlineStr">
        <is>
          <t>GS</t>
        </is>
      </c>
      <c r="F461" s="6" t="inlineStr">
        <is>
          <t>-</t>
        </is>
      </c>
      <c r="G461" s="7">
        <f>Rebalance_Audit!G4631</f>
        <v/>
      </c>
      <c r="H461" s="9">
        <f>Rebalance_Audit!Q4631</f>
        <v/>
      </c>
      <c r="I461" s="7">
        <f>Rebalance_Audit!R4631</f>
        <v/>
      </c>
      <c r="J461" s="8">
        <f>Rebalance_Audit!S4631</f>
        <v/>
      </c>
    </row>
    <row r="462">
      <c r="A462" s="6" t="inlineStr">
        <is>
          <t>DJ30</t>
        </is>
      </c>
      <c r="B462" s="6" t="inlineStr">
        <is>
          <t>2025-11-14</t>
        </is>
      </c>
      <c r="C462" s="6" t="inlineStr">
        <is>
          <t>DIA</t>
        </is>
      </c>
      <c r="D462" s="6" t="inlineStr">
        <is>
          <t>BA</t>
        </is>
      </c>
      <c r="E462" s="6" t="inlineStr">
        <is>
          <t>BA</t>
        </is>
      </c>
      <c r="F462" s="6" t="inlineStr">
        <is>
          <t>-</t>
        </is>
      </c>
      <c r="G462" s="7">
        <f>Rebalance_Audit!G4625</f>
        <v/>
      </c>
      <c r="H462" s="9">
        <f>Rebalance_Audit!Q4625</f>
        <v/>
      </c>
      <c r="I462" s="7">
        <f>Rebalance_Audit!R4625</f>
        <v/>
      </c>
      <c r="J462" s="8">
        <f>Rebalance_Audit!S4625</f>
        <v/>
      </c>
    </row>
    <row r="463">
      <c r="A463" s="6" t="inlineStr">
        <is>
          <t>DJ30</t>
        </is>
      </c>
      <c r="B463" s="6" t="inlineStr">
        <is>
          <t>2025-11-14</t>
        </is>
      </c>
      <c r="C463" s="6" t="inlineStr">
        <is>
          <t>DIA</t>
        </is>
      </c>
      <c r="D463" s="6" t="inlineStr">
        <is>
          <t>JNJ</t>
        </is>
      </c>
      <c r="E463" s="6" t="inlineStr">
        <is>
          <t>JNJ</t>
        </is>
      </c>
      <c r="F463" s="6" t="inlineStr">
        <is>
          <t>-</t>
        </is>
      </c>
      <c r="G463" s="7">
        <f>Rebalance_Audit!G4635</f>
        <v/>
      </c>
      <c r="H463" s="9">
        <f>Rebalance_Audit!Q4635</f>
        <v/>
      </c>
      <c r="I463" s="7">
        <f>Rebalance_Audit!R4635</f>
        <v/>
      </c>
      <c r="J463" s="8">
        <f>Rebalance_Audit!S4635</f>
        <v/>
      </c>
    </row>
    <row r="464">
      <c r="A464" s="6" t="inlineStr">
        <is>
          <t>DJ30</t>
        </is>
      </c>
      <c r="B464" s="6" t="inlineStr">
        <is>
          <t>2025-11-14</t>
        </is>
      </c>
      <c r="C464" s="6" t="inlineStr">
        <is>
          <t>DIA</t>
        </is>
      </c>
      <c r="D464" s="6" t="inlineStr">
        <is>
          <t>CAT</t>
        </is>
      </c>
      <c r="E464" s="6" t="inlineStr">
        <is>
          <t>CAT</t>
        </is>
      </c>
      <c r="F464" s="6" t="inlineStr">
        <is>
          <t>-</t>
        </is>
      </c>
      <c r="G464" s="7">
        <f>Rebalance_Audit!G4626</f>
        <v/>
      </c>
      <c r="H464" s="9">
        <f>Rebalance_Audit!Q4626</f>
        <v/>
      </c>
      <c r="I464" s="7">
        <f>Rebalance_Audit!R4626</f>
        <v/>
      </c>
      <c r="J464" s="8">
        <f>Rebalance_Audit!S4626</f>
        <v/>
      </c>
    </row>
    <row r="465">
      <c r="A465" s="6" t="inlineStr">
        <is>
          <t>DJ30</t>
        </is>
      </c>
      <c r="B465" s="6" t="inlineStr">
        <is>
          <t>2025-11-21</t>
        </is>
      </c>
      <c r="C465" s="6" t="inlineStr">
        <is>
          <t>DIA</t>
        </is>
      </c>
      <c r="D465" s="6" t="inlineStr">
        <is>
          <t>NVDA</t>
        </is>
      </c>
      <c r="E465" s="6" t="inlineStr">
        <is>
          <t>NVDA</t>
        </is>
      </c>
      <c r="F465" s="6" t="inlineStr">
        <is>
          <t>-</t>
        </is>
      </c>
      <c r="G465" s="7">
        <f>Rebalance_Audit!G4674</f>
        <v/>
      </c>
      <c r="H465" s="9">
        <f>Rebalance_Audit!Q4674</f>
        <v/>
      </c>
      <c r="I465" s="7">
        <f>Rebalance_Audit!R4674</f>
        <v/>
      </c>
      <c r="J465" s="8">
        <f>Rebalance_Audit!S4674</f>
        <v/>
      </c>
    </row>
    <row r="466">
      <c r="A466" s="6" t="inlineStr">
        <is>
          <t>DJ30</t>
        </is>
      </c>
      <c r="B466" s="6" t="inlineStr">
        <is>
          <t>2025-11-21</t>
        </is>
      </c>
      <c r="C466" s="6" t="inlineStr">
        <is>
          <t>DIA</t>
        </is>
      </c>
      <c r="D466" s="6" t="inlineStr">
        <is>
          <t>GS</t>
        </is>
      </c>
      <c r="E466" s="6" t="inlineStr">
        <is>
          <t>GS</t>
        </is>
      </c>
      <c r="F466" s="6" t="inlineStr">
        <is>
          <t>-</t>
        </is>
      </c>
      <c r="G466" s="7">
        <f>Rebalance_Audit!G4662</f>
        <v/>
      </c>
      <c r="H466" s="9">
        <f>Rebalance_Audit!Q4662</f>
        <v/>
      </c>
      <c r="I466" s="7">
        <f>Rebalance_Audit!R4662</f>
        <v/>
      </c>
      <c r="J466" s="8">
        <f>Rebalance_Audit!S4662</f>
        <v/>
      </c>
    </row>
    <row r="467">
      <c r="A467" s="6" t="inlineStr">
        <is>
          <t>DJ30</t>
        </is>
      </c>
      <c r="B467" s="6" t="inlineStr">
        <is>
          <t>2025-11-21</t>
        </is>
      </c>
      <c r="C467" s="6" t="inlineStr">
        <is>
          <t>DIA</t>
        </is>
      </c>
      <c r="D467" s="6" t="inlineStr">
        <is>
          <t>JNJ</t>
        </is>
      </c>
      <c r="E467" s="6" t="inlineStr">
        <is>
          <t>JNJ</t>
        </is>
      </c>
      <c r="F467" s="6" t="inlineStr">
        <is>
          <t>-</t>
        </is>
      </c>
      <c r="G467" s="7">
        <f>Rebalance_Audit!G4666</f>
        <v/>
      </c>
      <c r="H467" s="9">
        <f>Rebalance_Audit!Q4666</f>
        <v/>
      </c>
      <c r="I467" s="7">
        <f>Rebalance_Audit!R4666</f>
        <v/>
      </c>
      <c r="J467" s="8">
        <f>Rebalance_Audit!S4666</f>
        <v/>
      </c>
    </row>
    <row r="468">
      <c r="A468" s="6" t="inlineStr">
        <is>
          <t>DJ30</t>
        </is>
      </c>
      <c r="B468" s="6" t="inlineStr">
        <is>
          <t>2025-11-21</t>
        </is>
      </c>
      <c r="C468" s="6" t="inlineStr">
        <is>
          <t>DIA</t>
        </is>
      </c>
      <c r="D468" s="6" t="inlineStr">
        <is>
          <t>CAT</t>
        </is>
      </c>
      <c r="E468" s="6" t="inlineStr">
        <is>
          <t>CAT</t>
        </is>
      </c>
      <c r="F468" s="6" t="inlineStr">
        <is>
          <t>-</t>
        </is>
      </c>
      <c r="G468" s="7">
        <f>Rebalance_Audit!G4657</f>
        <v/>
      </c>
      <c r="H468" s="9">
        <f>Rebalance_Audit!Q4657</f>
        <v/>
      </c>
      <c r="I468" s="7">
        <f>Rebalance_Audit!R4657</f>
        <v/>
      </c>
      <c r="J468" s="8">
        <f>Rebalance_Audit!S4657</f>
        <v/>
      </c>
    </row>
    <row r="469">
      <c r="A469" s="6" t="inlineStr">
        <is>
          <t>DJ30</t>
        </is>
      </c>
      <c r="B469" s="6" t="inlineStr">
        <is>
          <t>2025-11-21</t>
        </is>
      </c>
      <c r="C469" s="6" t="inlineStr">
        <is>
          <t>DIA</t>
        </is>
      </c>
      <c r="D469" s="6" t="inlineStr">
        <is>
          <t>CSCO</t>
        </is>
      </c>
      <c r="E469" s="6" t="inlineStr">
        <is>
          <t>CSCO</t>
        </is>
      </c>
      <c r="F469" s="6" t="inlineStr">
        <is>
          <t>-</t>
        </is>
      </c>
      <c r="G469" s="7">
        <f>Rebalance_Audit!G4659</f>
        <v/>
      </c>
      <c r="H469" s="9">
        <f>Rebalance_Audit!Q4659</f>
        <v/>
      </c>
      <c r="I469" s="7">
        <f>Rebalance_Audit!R4659</f>
        <v/>
      </c>
      <c r="J469" s="8">
        <f>Rebalance_Audit!S4659</f>
        <v/>
      </c>
    </row>
    <row r="470">
      <c r="A470" s="6" t="inlineStr">
        <is>
          <t>DJ30</t>
        </is>
      </c>
      <c r="B470" s="6" t="inlineStr">
        <is>
          <t>2025-11-28</t>
        </is>
      </c>
      <c r="C470" s="6" t="inlineStr">
        <is>
          <t>DIA</t>
        </is>
      </c>
      <c r="D470" s="6" t="inlineStr">
        <is>
          <t>CAT</t>
        </is>
      </c>
      <c r="E470" s="6" t="inlineStr">
        <is>
          <t>CAT</t>
        </is>
      </c>
      <c r="F470" s="6" t="inlineStr">
        <is>
          <t>-</t>
        </is>
      </c>
      <c r="G470" s="7">
        <f>Rebalance_Audit!G4688</f>
        <v/>
      </c>
      <c r="H470" s="9">
        <f>Rebalance_Audit!Q4688</f>
        <v/>
      </c>
      <c r="I470" s="7">
        <f>Rebalance_Audit!R4688</f>
        <v/>
      </c>
      <c r="J470" s="8">
        <f>Rebalance_Audit!S4688</f>
        <v/>
      </c>
    </row>
    <row r="471">
      <c r="A471" s="6" t="inlineStr">
        <is>
          <t>DJ30</t>
        </is>
      </c>
      <c r="B471" s="6" t="inlineStr">
        <is>
          <t>2025-11-28</t>
        </is>
      </c>
      <c r="C471" s="6" t="inlineStr">
        <is>
          <t>DIA</t>
        </is>
      </c>
      <c r="D471" s="6" t="inlineStr">
        <is>
          <t>NVDA</t>
        </is>
      </c>
      <c r="E471" s="6" t="inlineStr">
        <is>
          <t>NVDA</t>
        </is>
      </c>
      <c r="F471" s="6" t="inlineStr">
        <is>
          <t>-</t>
        </is>
      </c>
      <c r="G471" s="7">
        <f>Rebalance_Audit!G4705</f>
        <v/>
      </c>
      <c r="H471" s="9">
        <f>Rebalance_Audit!Q4705</f>
        <v/>
      </c>
      <c r="I471" s="7">
        <f>Rebalance_Audit!R4705</f>
        <v/>
      </c>
      <c r="J471" s="8">
        <f>Rebalance_Audit!S4705</f>
        <v/>
      </c>
    </row>
    <row r="472">
      <c r="A472" s="6" t="inlineStr">
        <is>
          <t>DJ30</t>
        </is>
      </c>
      <c r="B472" s="6" t="inlineStr">
        <is>
          <t>2025-11-28</t>
        </is>
      </c>
      <c r="C472" s="6" t="inlineStr">
        <is>
          <t>DIA</t>
        </is>
      </c>
      <c r="D472" s="6" t="inlineStr">
        <is>
          <t>GS</t>
        </is>
      </c>
      <c r="E472" s="6" t="inlineStr">
        <is>
          <t>GS</t>
        </is>
      </c>
      <c r="F472" s="6" t="inlineStr">
        <is>
          <t>-</t>
        </is>
      </c>
      <c r="G472" s="7">
        <f>Rebalance_Audit!G4693</f>
        <v/>
      </c>
      <c r="H472" s="9">
        <f>Rebalance_Audit!Q4693</f>
        <v/>
      </c>
      <c r="I472" s="7">
        <f>Rebalance_Audit!R4693</f>
        <v/>
      </c>
      <c r="J472" s="8">
        <f>Rebalance_Audit!S4693</f>
        <v/>
      </c>
    </row>
    <row r="473">
      <c r="A473" s="6" t="inlineStr">
        <is>
          <t>DJ30</t>
        </is>
      </c>
      <c r="B473" s="6" t="inlineStr">
        <is>
          <t>2025-11-28</t>
        </is>
      </c>
      <c r="C473" s="6" t="inlineStr">
        <is>
          <t>DIA</t>
        </is>
      </c>
      <c r="D473" s="6" t="inlineStr">
        <is>
          <t>JNJ</t>
        </is>
      </c>
      <c r="E473" s="6" t="inlineStr">
        <is>
          <t>JNJ</t>
        </is>
      </c>
      <c r="F473" s="6" t="inlineStr">
        <is>
          <t>-</t>
        </is>
      </c>
      <c r="G473" s="7">
        <f>Rebalance_Audit!G4697</f>
        <v/>
      </c>
      <c r="H473" s="9">
        <f>Rebalance_Audit!Q4697</f>
        <v/>
      </c>
      <c r="I473" s="7">
        <f>Rebalance_Audit!R4697</f>
        <v/>
      </c>
      <c r="J473" s="8">
        <f>Rebalance_Audit!S4697</f>
        <v/>
      </c>
    </row>
    <row r="474">
      <c r="A474" s="6" t="inlineStr">
        <is>
          <t>DJ30</t>
        </is>
      </c>
      <c r="B474" s="6" t="inlineStr">
        <is>
          <t>2025-11-28</t>
        </is>
      </c>
      <c r="C474" s="6" t="inlineStr">
        <is>
          <t>DIA</t>
        </is>
      </c>
      <c r="D474" s="6" t="inlineStr">
        <is>
          <t>CSCO</t>
        </is>
      </c>
      <c r="E474" s="6" t="inlineStr">
        <is>
          <t>CSCO</t>
        </is>
      </c>
      <c r="F474" s="6" t="inlineStr">
        <is>
          <t>-</t>
        </is>
      </c>
      <c r="G474" s="7">
        <f>Rebalance_Audit!G4690</f>
        <v/>
      </c>
      <c r="H474" s="9">
        <f>Rebalance_Audit!Q4690</f>
        <v/>
      </c>
      <c r="I474" s="7">
        <f>Rebalance_Audit!R4690</f>
        <v/>
      </c>
      <c r="J474" s="8">
        <f>Rebalance_Audit!S4690</f>
        <v/>
      </c>
    </row>
    <row r="475">
      <c r="A475" s="6" t="inlineStr">
        <is>
          <t>DJ30</t>
        </is>
      </c>
      <c r="B475" s="6" t="inlineStr">
        <is>
          <t>2025-12-05</t>
        </is>
      </c>
      <c r="C475" s="6" t="inlineStr">
        <is>
          <t>DIA</t>
        </is>
      </c>
      <c r="D475" s="6" t="inlineStr">
        <is>
          <t>CAT</t>
        </is>
      </c>
      <c r="E475" s="6" t="inlineStr">
        <is>
          <t>CAT</t>
        </is>
      </c>
      <c r="F475" s="6" t="inlineStr">
        <is>
          <t>-</t>
        </is>
      </c>
      <c r="G475" s="7">
        <f>Rebalance_Audit!G4719</f>
        <v/>
      </c>
      <c r="H475" s="9">
        <f>Rebalance_Audit!Q4719</f>
        <v/>
      </c>
      <c r="I475" s="7">
        <f>Rebalance_Audit!R4719</f>
        <v/>
      </c>
      <c r="J475" s="8">
        <f>Rebalance_Audit!S4719</f>
        <v/>
      </c>
    </row>
    <row r="476">
      <c r="A476" s="6" t="inlineStr">
        <is>
          <t>DJ30</t>
        </is>
      </c>
      <c r="B476" s="6" t="inlineStr">
        <is>
          <t>2025-12-05</t>
        </is>
      </c>
      <c r="C476" s="6" t="inlineStr">
        <is>
          <t>DIA</t>
        </is>
      </c>
      <c r="D476" s="6" t="inlineStr">
        <is>
          <t>NVDA</t>
        </is>
      </c>
      <c r="E476" s="6" t="inlineStr">
        <is>
          <t>NVDA</t>
        </is>
      </c>
      <c r="F476" s="6" t="inlineStr">
        <is>
          <t>-</t>
        </is>
      </c>
      <c r="G476" s="7">
        <f>Rebalance_Audit!G4736</f>
        <v/>
      </c>
      <c r="H476" s="9">
        <f>Rebalance_Audit!Q4736</f>
        <v/>
      </c>
      <c r="I476" s="7">
        <f>Rebalance_Audit!R4736</f>
        <v/>
      </c>
      <c r="J476" s="8">
        <f>Rebalance_Audit!S4736</f>
        <v/>
      </c>
    </row>
    <row r="477">
      <c r="A477" s="6" t="inlineStr">
        <is>
          <t>DJ30</t>
        </is>
      </c>
      <c r="B477" s="6" t="inlineStr">
        <is>
          <t>2025-12-05</t>
        </is>
      </c>
      <c r="C477" s="6" t="inlineStr">
        <is>
          <t>DIA</t>
        </is>
      </c>
      <c r="D477" s="6" t="inlineStr">
        <is>
          <t>GS</t>
        </is>
      </c>
      <c r="E477" s="6" t="inlineStr">
        <is>
          <t>GS</t>
        </is>
      </c>
      <c r="F477" s="6" t="inlineStr">
        <is>
          <t>-</t>
        </is>
      </c>
      <c r="G477" s="7">
        <f>Rebalance_Audit!G4724</f>
        <v/>
      </c>
      <c r="H477" s="9">
        <f>Rebalance_Audit!Q4724</f>
        <v/>
      </c>
      <c r="I477" s="7">
        <f>Rebalance_Audit!R4724</f>
        <v/>
      </c>
      <c r="J477" s="8">
        <f>Rebalance_Audit!S4724</f>
        <v/>
      </c>
    </row>
    <row r="478">
      <c r="A478" s="6" t="inlineStr">
        <is>
          <t>DJ30</t>
        </is>
      </c>
      <c r="B478" s="6" t="inlineStr">
        <is>
          <t>2025-12-05</t>
        </is>
      </c>
      <c r="C478" s="6" t="inlineStr">
        <is>
          <t>DIA</t>
        </is>
      </c>
      <c r="D478" s="6" t="inlineStr">
        <is>
          <t>JNJ</t>
        </is>
      </c>
      <c r="E478" s="6" t="inlineStr">
        <is>
          <t>JNJ</t>
        </is>
      </c>
      <c r="F478" s="6" t="inlineStr">
        <is>
          <t>-</t>
        </is>
      </c>
      <c r="G478" s="7">
        <f>Rebalance_Audit!G4728</f>
        <v/>
      </c>
      <c r="H478" s="9">
        <f>Rebalance_Audit!Q4728</f>
        <v/>
      </c>
      <c r="I478" s="7">
        <f>Rebalance_Audit!R4728</f>
        <v/>
      </c>
      <c r="J478" s="8">
        <f>Rebalance_Audit!S4728</f>
        <v/>
      </c>
    </row>
    <row r="479">
      <c r="A479" s="6" t="inlineStr">
        <is>
          <t>DJ30</t>
        </is>
      </c>
      <c r="B479" s="6" t="inlineStr">
        <is>
          <t>2025-12-05</t>
        </is>
      </c>
      <c r="C479" s="6" t="inlineStr">
        <is>
          <t>DIA</t>
        </is>
      </c>
      <c r="D479" s="6" t="inlineStr">
        <is>
          <t>CSCO</t>
        </is>
      </c>
      <c r="E479" s="6" t="inlineStr">
        <is>
          <t>CSCO</t>
        </is>
      </c>
      <c r="F479" s="6" t="inlineStr">
        <is>
          <t>-</t>
        </is>
      </c>
      <c r="G479" s="7">
        <f>Rebalance_Audit!G4721</f>
        <v/>
      </c>
      <c r="H479" s="9">
        <f>Rebalance_Audit!Q4721</f>
        <v/>
      </c>
      <c r="I479" s="7">
        <f>Rebalance_Audit!R4721</f>
        <v/>
      </c>
      <c r="J479" s="8">
        <f>Rebalance_Audit!S4721</f>
        <v/>
      </c>
    </row>
    <row r="480">
      <c r="A480" s="6" t="inlineStr">
        <is>
          <t>DJ30</t>
        </is>
      </c>
      <c r="B480" s="6" t="inlineStr">
        <is>
          <t>2025-12-12</t>
        </is>
      </c>
      <c r="C480" s="6" t="inlineStr">
        <is>
          <t>DIA</t>
        </is>
      </c>
      <c r="D480" s="6" t="inlineStr">
        <is>
          <t>CAT</t>
        </is>
      </c>
      <c r="E480" s="6" t="inlineStr">
        <is>
          <t>CAT</t>
        </is>
      </c>
      <c r="F480" s="6" t="inlineStr">
        <is>
          <t>-</t>
        </is>
      </c>
      <c r="G480" s="7">
        <f>Rebalance_Audit!G4750</f>
        <v/>
      </c>
      <c r="H480" s="9">
        <f>Rebalance_Audit!Q4750</f>
        <v/>
      </c>
      <c r="I480" s="7">
        <f>Rebalance_Audit!R4750</f>
        <v/>
      </c>
      <c r="J480" s="8">
        <f>Rebalance_Audit!S4750</f>
        <v/>
      </c>
    </row>
    <row r="481">
      <c r="A481" s="6" t="inlineStr">
        <is>
          <t>DJ30</t>
        </is>
      </c>
      <c r="B481" s="6" t="inlineStr">
        <is>
          <t>2025-12-12</t>
        </is>
      </c>
      <c r="C481" s="6" t="inlineStr">
        <is>
          <t>DIA</t>
        </is>
      </c>
      <c r="D481" s="6" t="inlineStr">
        <is>
          <t>NVDA</t>
        </is>
      </c>
      <c r="E481" s="6" t="inlineStr">
        <is>
          <t>NVDA</t>
        </is>
      </c>
      <c r="F481" s="6" t="inlineStr">
        <is>
          <t>-</t>
        </is>
      </c>
      <c r="G481" s="7">
        <f>Rebalance_Audit!G4767</f>
        <v/>
      </c>
      <c r="H481" s="9">
        <f>Rebalance_Audit!Q4767</f>
        <v/>
      </c>
      <c r="I481" s="7">
        <f>Rebalance_Audit!R4767</f>
        <v/>
      </c>
      <c r="J481" s="8">
        <f>Rebalance_Audit!S4767</f>
        <v/>
      </c>
    </row>
    <row r="482">
      <c r="A482" s="6" t="inlineStr">
        <is>
          <t>DJ30</t>
        </is>
      </c>
      <c r="B482" s="6" t="inlineStr">
        <is>
          <t>2025-12-12</t>
        </is>
      </c>
      <c r="C482" s="6" t="inlineStr">
        <is>
          <t>DIA</t>
        </is>
      </c>
      <c r="D482" s="6" t="inlineStr">
        <is>
          <t>GS</t>
        </is>
      </c>
      <c r="E482" s="6" t="inlineStr">
        <is>
          <t>GS</t>
        </is>
      </c>
      <c r="F482" s="6" t="inlineStr">
        <is>
          <t>-</t>
        </is>
      </c>
      <c r="G482" s="7">
        <f>Rebalance_Audit!G4755</f>
        <v/>
      </c>
      <c r="H482" s="9">
        <f>Rebalance_Audit!Q4755</f>
        <v/>
      </c>
      <c r="I482" s="7">
        <f>Rebalance_Audit!R4755</f>
        <v/>
      </c>
      <c r="J482" s="8">
        <f>Rebalance_Audit!S4755</f>
        <v/>
      </c>
    </row>
    <row r="483">
      <c r="A483" s="6" t="inlineStr">
        <is>
          <t>DJ30</t>
        </is>
      </c>
      <c r="B483" s="6" t="inlineStr">
        <is>
          <t>2025-12-12</t>
        </is>
      </c>
      <c r="C483" s="6" t="inlineStr">
        <is>
          <t>DIA</t>
        </is>
      </c>
      <c r="D483" s="6" t="inlineStr">
        <is>
          <t>JNJ</t>
        </is>
      </c>
      <c r="E483" s="6" t="inlineStr">
        <is>
          <t>JNJ</t>
        </is>
      </c>
      <c r="F483" s="6" t="inlineStr">
        <is>
          <t>-</t>
        </is>
      </c>
      <c r="G483" s="7">
        <f>Rebalance_Audit!G4759</f>
        <v/>
      </c>
      <c r="H483" s="9">
        <f>Rebalance_Audit!Q4759</f>
        <v/>
      </c>
      <c r="I483" s="7">
        <f>Rebalance_Audit!R4759</f>
        <v/>
      </c>
      <c r="J483" s="8">
        <f>Rebalance_Audit!S4759</f>
        <v/>
      </c>
    </row>
    <row r="484">
      <c r="A484" s="6" t="inlineStr">
        <is>
          <t>DJ30</t>
        </is>
      </c>
      <c r="B484" s="6" t="inlineStr">
        <is>
          <t>2025-12-12</t>
        </is>
      </c>
      <c r="C484" s="6" t="inlineStr">
        <is>
          <t>DIA</t>
        </is>
      </c>
      <c r="D484" s="6" t="inlineStr">
        <is>
          <t>CSCO</t>
        </is>
      </c>
      <c r="E484" s="6" t="inlineStr">
        <is>
          <t>CSCO</t>
        </is>
      </c>
      <c r="F484" s="6" t="inlineStr">
        <is>
          <t>-</t>
        </is>
      </c>
      <c r="G484" s="7">
        <f>Rebalance_Audit!G4752</f>
        <v/>
      </c>
      <c r="H484" s="9">
        <f>Rebalance_Audit!Q4752</f>
        <v/>
      </c>
      <c r="I484" s="7">
        <f>Rebalance_Audit!R4752</f>
        <v/>
      </c>
      <c r="J484" s="8">
        <f>Rebalance_Audit!S4752</f>
        <v/>
      </c>
    </row>
    <row r="485">
      <c r="A485" s="6" t="inlineStr">
        <is>
          <t>DJ30</t>
        </is>
      </c>
      <c r="B485" s="6" t="inlineStr">
        <is>
          <t>2025-12-19</t>
        </is>
      </c>
      <c r="C485" s="6" t="inlineStr">
        <is>
          <t>DIA</t>
        </is>
      </c>
      <c r="D485" s="6" t="inlineStr">
        <is>
          <t>CAT</t>
        </is>
      </c>
      <c r="E485" s="6" t="inlineStr">
        <is>
          <t>CAT</t>
        </is>
      </c>
      <c r="F485" s="6" t="inlineStr">
        <is>
          <t>-</t>
        </is>
      </c>
      <c r="G485" s="7">
        <f>Rebalance_Audit!G4781</f>
        <v/>
      </c>
      <c r="H485" s="9">
        <f>Rebalance_Audit!Q4781</f>
        <v/>
      </c>
      <c r="I485" s="7">
        <f>Rebalance_Audit!R4781</f>
        <v/>
      </c>
      <c r="J485" s="8">
        <f>Rebalance_Audit!S4781</f>
        <v/>
      </c>
    </row>
    <row r="486">
      <c r="A486" s="6" t="inlineStr">
        <is>
          <t>DJ30</t>
        </is>
      </c>
      <c r="B486" s="6" t="inlineStr">
        <is>
          <t>2025-12-19</t>
        </is>
      </c>
      <c r="C486" s="6" t="inlineStr">
        <is>
          <t>DIA</t>
        </is>
      </c>
      <c r="D486" s="6" t="inlineStr">
        <is>
          <t>GS</t>
        </is>
      </c>
      <c r="E486" s="6" t="inlineStr">
        <is>
          <t>GS</t>
        </is>
      </c>
      <c r="F486" s="6" t="inlineStr">
        <is>
          <t>-</t>
        </is>
      </c>
      <c r="G486" s="7">
        <f>Rebalance_Audit!G4786</f>
        <v/>
      </c>
      <c r="H486" s="9">
        <f>Rebalance_Audit!Q4786</f>
        <v/>
      </c>
      <c r="I486" s="7">
        <f>Rebalance_Audit!R4786</f>
        <v/>
      </c>
      <c r="J486" s="8">
        <f>Rebalance_Audit!S4786</f>
        <v/>
      </c>
    </row>
    <row r="487">
      <c r="A487" s="6" t="inlineStr">
        <is>
          <t>DJ30</t>
        </is>
      </c>
      <c r="B487" s="6" t="inlineStr">
        <is>
          <t>2025-12-19</t>
        </is>
      </c>
      <c r="C487" s="6" t="inlineStr">
        <is>
          <t>DIA</t>
        </is>
      </c>
      <c r="D487" s="6" t="inlineStr">
        <is>
          <t>NVDA</t>
        </is>
      </c>
      <c r="E487" s="6" t="inlineStr">
        <is>
          <t>NVDA</t>
        </is>
      </c>
      <c r="F487" s="6" t="inlineStr">
        <is>
          <t>-</t>
        </is>
      </c>
      <c r="G487" s="7">
        <f>Rebalance_Audit!G4798</f>
        <v/>
      </c>
      <c r="H487" s="9">
        <f>Rebalance_Audit!Q4798</f>
        <v/>
      </c>
      <c r="I487" s="7">
        <f>Rebalance_Audit!R4798</f>
        <v/>
      </c>
      <c r="J487" s="8">
        <f>Rebalance_Audit!S4798</f>
        <v/>
      </c>
    </row>
    <row r="488">
      <c r="A488" s="6" t="inlineStr">
        <is>
          <t>DJ30</t>
        </is>
      </c>
      <c r="B488" s="6" t="inlineStr">
        <is>
          <t>2025-12-19</t>
        </is>
      </c>
      <c r="C488" s="6" t="inlineStr">
        <is>
          <t>DIA</t>
        </is>
      </c>
      <c r="D488" s="6" t="inlineStr">
        <is>
          <t>JNJ</t>
        </is>
      </c>
      <c r="E488" s="6" t="inlineStr">
        <is>
          <t>JNJ</t>
        </is>
      </c>
      <c r="F488" s="6" t="inlineStr">
        <is>
          <t>-</t>
        </is>
      </c>
      <c r="G488" s="7">
        <f>Rebalance_Audit!G4790</f>
        <v/>
      </c>
      <c r="H488" s="9">
        <f>Rebalance_Audit!Q4790</f>
        <v/>
      </c>
      <c r="I488" s="7">
        <f>Rebalance_Audit!R4790</f>
        <v/>
      </c>
      <c r="J488" s="8">
        <f>Rebalance_Audit!S4790</f>
        <v/>
      </c>
    </row>
    <row r="489">
      <c r="A489" s="6" t="inlineStr">
        <is>
          <t>DJ30</t>
        </is>
      </c>
      <c r="B489" s="6" t="inlineStr">
        <is>
          <t>2025-12-19</t>
        </is>
      </c>
      <c r="C489" s="6" t="inlineStr">
        <is>
          <t>DIA</t>
        </is>
      </c>
      <c r="D489" s="6" t="inlineStr">
        <is>
          <t>CSCO</t>
        </is>
      </c>
      <c r="E489" s="6" t="inlineStr">
        <is>
          <t>CSCO</t>
        </is>
      </c>
      <c r="F489" s="6" t="inlineStr">
        <is>
          <t>-</t>
        </is>
      </c>
      <c r="G489" s="7">
        <f>Rebalance_Audit!G4783</f>
        <v/>
      </c>
      <c r="H489" s="9">
        <f>Rebalance_Audit!Q4783</f>
        <v/>
      </c>
      <c r="I489" s="7">
        <f>Rebalance_Audit!R4783</f>
        <v/>
      </c>
      <c r="J489" s="8">
        <f>Rebalance_Audit!S4783</f>
        <v/>
      </c>
    </row>
    <row r="490">
      <c r="A490" s="6" t="inlineStr">
        <is>
          <t>DJ30</t>
        </is>
      </c>
      <c r="B490" s="6" t="inlineStr">
        <is>
          <t>2025-12-26</t>
        </is>
      </c>
      <c r="C490" s="6" t="inlineStr">
        <is>
          <t>DIA</t>
        </is>
      </c>
      <c r="D490" s="6" t="inlineStr">
        <is>
          <t>CAT</t>
        </is>
      </c>
      <c r="E490" s="6" t="inlineStr">
        <is>
          <t>CAT</t>
        </is>
      </c>
      <c r="F490" s="6" t="inlineStr">
        <is>
          <t>-</t>
        </is>
      </c>
      <c r="G490" s="7">
        <f>Rebalance_Audit!G4812</f>
        <v/>
      </c>
      <c r="H490" s="9">
        <f>Rebalance_Audit!Q4812</f>
        <v/>
      </c>
      <c r="I490" s="7">
        <f>Rebalance_Audit!R4812</f>
        <v/>
      </c>
      <c r="J490" s="8">
        <f>Rebalance_Audit!S4812</f>
        <v/>
      </c>
    </row>
    <row r="491">
      <c r="A491" s="6" t="inlineStr">
        <is>
          <t>DJ30</t>
        </is>
      </c>
      <c r="B491" s="6" t="inlineStr">
        <is>
          <t>2025-12-26</t>
        </is>
      </c>
      <c r="C491" s="6" t="inlineStr">
        <is>
          <t>DIA</t>
        </is>
      </c>
      <c r="D491" s="6" t="inlineStr">
        <is>
          <t>NVDA</t>
        </is>
      </c>
      <c r="E491" s="6" t="inlineStr">
        <is>
          <t>NVDA</t>
        </is>
      </c>
      <c r="F491" s="6" t="inlineStr">
        <is>
          <t>-</t>
        </is>
      </c>
      <c r="G491" s="7">
        <f>Rebalance_Audit!G4829</f>
        <v/>
      </c>
      <c r="H491" s="9">
        <f>Rebalance_Audit!Q4829</f>
        <v/>
      </c>
      <c r="I491" s="7">
        <f>Rebalance_Audit!R4829</f>
        <v/>
      </c>
      <c r="J491" s="8">
        <f>Rebalance_Audit!S4829</f>
        <v/>
      </c>
    </row>
    <row r="492">
      <c r="A492" s="6" t="inlineStr">
        <is>
          <t>DJ30</t>
        </is>
      </c>
      <c r="B492" s="6" t="inlineStr">
        <is>
          <t>2025-12-26</t>
        </is>
      </c>
      <c r="C492" s="6" t="inlineStr">
        <is>
          <t>DIA</t>
        </is>
      </c>
      <c r="D492" s="6" t="inlineStr">
        <is>
          <t>GS</t>
        </is>
      </c>
      <c r="E492" s="6" t="inlineStr">
        <is>
          <t>GS</t>
        </is>
      </c>
      <c r="F492" s="6" t="inlineStr">
        <is>
          <t>-</t>
        </is>
      </c>
      <c r="G492" s="7">
        <f>Rebalance_Audit!G4817</f>
        <v/>
      </c>
      <c r="H492" s="9">
        <f>Rebalance_Audit!Q4817</f>
        <v/>
      </c>
      <c r="I492" s="7">
        <f>Rebalance_Audit!R4817</f>
        <v/>
      </c>
      <c r="J492" s="8">
        <f>Rebalance_Audit!S4817</f>
        <v/>
      </c>
    </row>
    <row r="493">
      <c r="A493" s="6" t="inlineStr">
        <is>
          <t>DJ30</t>
        </is>
      </c>
      <c r="B493" s="6" t="inlineStr">
        <is>
          <t>2025-12-26</t>
        </is>
      </c>
      <c r="C493" s="6" t="inlineStr">
        <is>
          <t>DIA</t>
        </is>
      </c>
      <c r="D493" s="6" t="inlineStr">
        <is>
          <t>JNJ</t>
        </is>
      </c>
      <c r="E493" s="6" t="inlineStr">
        <is>
          <t>JNJ</t>
        </is>
      </c>
      <c r="F493" s="6" t="inlineStr">
        <is>
          <t>-</t>
        </is>
      </c>
      <c r="G493" s="7">
        <f>Rebalance_Audit!G4821</f>
        <v/>
      </c>
      <c r="H493" s="9">
        <f>Rebalance_Audit!Q4821</f>
        <v/>
      </c>
      <c r="I493" s="7">
        <f>Rebalance_Audit!R4821</f>
        <v/>
      </c>
      <c r="J493" s="8">
        <f>Rebalance_Audit!S4821</f>
        <v/>
      </c>
    </row>
    <row r="494">
      <c r="A494" s="6" t="inlineStr">
        <is>
          <t>DJ30</t>
        </is>
      </c>
      <c r="B494" s="6" t="inlineStr">
        <is>
          <t>2025-12-26</t>
        </is>
      </c>
      <c r="C494" s="6" t="inlineStr">
        <is>
          <t>DIA</t>
        </is>
      </c>
      <c r="D494" s="6" t="inlineStr">
        <is>
          <t>CSCO</t>
        </is>
      </c>
      <c r="E494" s="6" t="inlineStr">
        <is>
          <t>CSCO</t>
        </is>
      </c>
      <c r="F494" s="6" t="inlineStr">
        <is>
          <t>-</t>
        </is>
      </c>
      <c r="G494" s="7">
        <f>Rebalance_Audit!G4814</f>
        <v/>
      </c>
      <c r="H494" s="9">
        <f>Rebalance_Audit!Q4814</f>
        <v/>
      </c>
      <c r="I494" s="7">
        <f>Rebalance_Audit!R4814</f>
        <v/>
      </c>
      <c r="J494" s="8">
        <f>Rebalance_Audit!S4814</f>
        <v/>
      </c>
    </row>
    <row r="495">
      <c r="A495" s="6" t="inlineStr">
        <is>
          <t>DJ30</t>
        </is>
      </c>
      <c r="B495" s="6" t="inlineStr">
        <is>
          <t>2026-01-02</t>
        </is>
      </c>
      <c r="C495" s="6" t="inlineStr">
        <is>
          <t>DIA</t>
        </is>
      </c>
      <c r="D495" s="6" t="inlineStr">
        <is>
          <t>CAT</t>
        </is>
      </c>
      <c r="E495" s="6" t="inlineStr">
        <is>
          <t>CAT</t>
        </is>
      </c>
      <c r="F495" s="6" t="inlineStr">
        <is>
          <t>-</t>
        </is>
      </c>
      <c r="G495" s="7">
        <f>Rebalance_Audit!G4843</f>
        <v/>
      </c>
      <c r="H495" s="9">
        <f>Rebalance_Audit!Q4843</f>
        <v/>
      </c>
      <c r="I495" s="7">
        <f>Rebalance_Audit!R4843</f>
        <v/>
      </c>
      <c r="J495" s="8">
        <f>Rebalance_Audit!S4843</f>
        <v/>
      </c>
    </row>
    <row r="496">
      <c r="A496" s="6" t="inlineStr">
        <is>
          <t>DJ30</t>
        </is>
      </c>
      <c r="B496" s="6" t="inlineStr">
        <is>
          <t>2026-01-02</t>
        </is>
      </c>
      <c r="C496" s="6" t="inlineStr">
        <is>
          <t>DIA</t>
        </is>
      </c>
      <c r="D496" s="6" t="inlineStr">
        <is>
          <t>NVDA</t>
        </is>
      </c>
      <c r="E496" s="6" t="inlineStr">
        <is>
          <t>NVDA</t>
        </is>
      </c>
      <c r="F496" s="6" t="inlineStr">
        <is>
          <t>-</t>
        </is>
      </c>
      <c r="G496" s="7">
        <f>Rebalance_Audit!G4860</f>
        <v/>
      </c>
      <c r="H496" s="9">
        <f>Rebalance_Audit!Q4860</f>
        <v/>
      </c>
      <c r="I496" s="7">
        <f>Rebalance_Audit!R4860</f>
        <v/>
      </c>
      <c r="J496" s="8">
        <f>Rebalance_Audit!S4860</f>
        <v/>
      </c>
    </row>
    <row r="497">
      <c r="A497" s="6" t="inlineStr">
        <is>
          <t>DJ30</t>
        </is>
      </c>
      <c r="B497" s="6" t="inlineStr">
        <is>
          <t>2026-01-02</t>
        </is>
      </c>
      <c r="C497" s="6" t="inlineStr">
        <is>
          <t>DIA</t>
        </is>
      </c>
      <c r="D497" s="6" t="inlineStr">
        <is>
          <t>GS</t>
        </is>
      </c>
      <c r="E497" s="6" t="inlineStr">
        <is>
          <t>GS</t>
        </is>
      </c>
      <c r="F497" s="6" t="inlineStr">
        <is>
          <t>-</t>
        </is>
      </c>
      <c r="G497" s="7">
        <f>Rebalance_Audit!G4848</f>
        <v/>
      </c>
      <c r="H497" s="9">
        <f>Rebalance_Audit!Q4848</f>
        <v/>
      </c>
      <c r="I497" s="7">
        <f>Rebalance_Audit!R4848</f>
        <v/>
      </c>
      <c r="J497" s="8">
        <f>Rebalance_Audit!S4848</f>
        <v/>
      </c>
    </row>
    <row r="498">
      <c r="A498" s="6" t="inlineStr">
        <is>
          <t>DJ30</t>
        </is>
      </c>
      <c r="B498" s="6" t="inlineStr">
        <is>
          <t>2026-01-02</t>
        </is>
      </c>
      <c r="C498" s="6" t="inlineStr">
        <is>
          <t>DIA</t>
        </is>
      </c>
      <c r="D498" s="6" t="inlineStr">
        <is>
          <t>JNJ</t>
        </is>
      </c>
      <c r="E498" s="6" t="inlineStr">
        <is>
          <t>JNJ</t>
        </is>
      </c>
      <c r="F498" s="6" t="inlineStr">
        <is>
          <t>-</t>
        </is>
      </c>
      <c r="G498" s="7">
        <f>Rebalance_Audit!G4852</f>
        <v/>
      </c>
      <c r="H498" s="9">
        <f>Rebalance_Audit!Q4852</f>
        <v/>
      </c>
      <c r="I498" s="7">
        <f>Rebalance_Audit!R4852</f>
        <v/>
      </c>
      <c r="J498" s="8">
        <f>Rebalance_Audit!S4852</f>
        <v/>
      </c>
    </row>
    <row r="499">
      <c r="A499" s="6" t="inlineStr">
        <is>
          <t>DJ30</t>
        </is>
      </c>
      <c r="B499" s="6" t="inlineStr">
        <is>
          <t>2026-01-02</t>
        </is>
      </c>
      <c r="C499" s="6" t="inlineStr">
        <is>
          <t>DIA</t>
        </is>
      </c>
      <c r="D499" s="6" t="inlineStr">
        <is>
          <t>CSCO</t>
        </is>
      </c>
      <c r="E499" s="6" t="inlineStr">
        <is>
          <t>CSCO</t>
        </is>
      </c>
      <c r="F499" s="6" t="inlineStr">
        <is>
          <t>-</t>
        </is>
      </c>
      <c r="G499" s="7">
        <f>Rebalance_Audit!G4845</f>
        <v/>
      </c>
      <c r="H499" s="9">
        <f>Rebalance_Audit!Q4845</f>
        <v/>
      </c>
      <c r="I499" s="7">
        <f>Rebalance_Audit!R4845</f>
        <v/>
      </c>
      <c r="J499" s="8">
        <f>Rebalance_Audit!S4845</f>
        <v/>
      </c>
    </row>
    <row r="500">
      <c r="A500" s="6" t="inlineStr">
        <is>
          <t>DJ30</t>
        </is>
      </c>
      <c r="B500" s="6" t="inlineStr">
        <is>
          <t>2026-01-09</t>
        </is>
      </c>
      <c r="C500" s="6" t="inlineStr">
        <is>
          <t>DIA</t>
        </is>
      </c>
      <c r="D500" s="6" t="inlineStr">
        <is>
          <t>CAT</t>
        </is>
      </c>
      <c r="E500" s="6" t="inlineStr">
        <is>
          <t>CAT</t>
        </is>
      </c>
      <c r="F500" s="6" t="inlineStr">
        <is>
          <t>-</t>
        </is>
      </c>
      <c r="G500" s="7">
        <f>Rebalance_Audit!G4874</f>
        <v/>
      </c>
      <c r="H500" s="9">
        <f>Rebalance_Audit!Q4874</f>
        <v/>
      </c>
      <c r="I500" s="7">
        <f>Rebalance_Audit!R4874</f>
        <v/>
      </c>
      <c r="J500" s="8">
        <f>Rebalance_Audit!S4874</f>
        <v/>
      </c>
    </row>
    <row r="501">
      <c r="A501" s="6" t="inlineStr">
        <is>
          <t>DJ30</t>
        </is>
      </c>
      <c r="B501" s="6" t="inlineStr">
        <is>
          <t>2026-01-09</t>
        </is>
      </c>
      <c r="C501" s="6" t="inlineStr">
        <is>
          <t>DIA</t>
        </is>
      </c>
      <c r="D501" s="6" t="inlineStr">
        <is>
          <t>NVDA</t>
        </is>
      </c>
      <c r="E501" s="6" t="inlineStr">
        <is>
          <t>NVDA</t>
        </is>
      </c>
      <c r="F501" s="6" t="inlineStr">
        <is>
          <t>-</t>
        </is>
      </c>
      <c r="G501" s="7">
        <f>Rebalance_Audit!G4891</f>
        <v/>
      </c>
      <c r="H501" s="9">
        <f>Rebalance_Audit!Q4891</f>
        <v/>
      </c>
      <c r="I501" s="7">
        <f>Rebalance_Audit!R4891</f>
        <v/>
      </c>
      <c r="J501" s="8">
        <f>Rebalance_Audit!S4891</f>
        <v/>
      </c>
    </row>
    <row r="502">
      <c r="A502" s="6" t="inlineStr">
        <is>
          <t>DJ30</t>
        </is>
      </c>
      <c r="B502" s="6" t="inlineStr">
        <is>
          <t>2026-01-09</t>
        </is>
      </c>
      <c r="C502" s="6" t="inlineStr">
        <is>
          <t>DIA</t>
        </is>
      </c>
      <c r="D502" s="6" t="inlineStr">
        <is>
          <t>GS</t>
        </is>
      </c>
      <c r="E502" s="6" t="inlineStr">
        <is>
          <t>GS</t>
        </is>
      </c>
      <c r="F502" s="6" t="inlineStr">
        <is>
          <t>-</t>
        </is>
      </c>
      <c r="G502" s="7">
        <f>Rebalance_Audit!G4879</f>
        <v/>
      </c>
      <c r="H502" s="9">
        <f>Rebalance_Audit!Q4879</f>
        <v/>
      </c>
      <c r="I502" s="7">
        <f>Rebalance_Audit!R4879</f>
        <v/>
      </c>
      <c r="J502" s="8">
        <f>Rebalance_Audit!S4879</f>
        <v/>
      </c>
    </row>
    <row r="503">
      <c r="A503" s="6" t="inlineStr">
        <is>
          <t>DJ30</t>
        </is>
      </c>
      <c r="B503" s="6" t="inlineStr">
        <is>
          <t>2026-01-09</t>
        </is>
      </c>
      <c r="C503" s="6" t="inlineStr">
        <is>
          <t>DIA</t>
        </is>
      </c>
      <c r="D503" s="6" t="inlineStr">
        <is>
          <t>JNJ</t>
        </is>
      </c>
      <c r="E503" s="6" t="inlineStr">
        <is>
          <t>JNJ</t>
        </is>
      </c>
      <c r="F503" s="6" t="inlineStr">
        <is>
          <t>-</t>
        </is>
      </c>
      <c r="G503" s="7">
        <f>Rebalance_Audit!G4883</f>
        <v/>
      </c>
      <c r="H503" s="9">
        <f>Rebalance_Audit!Q4883</f>
        <v/>
      </c>
      <c r="I503" s="7">
        <f>Rebalance_Audit!R4883</f>
        <v/>
      </c>
      <c r="J503" s="8">
        <f>Rebalance_Audit!S4883</f>
        <v/>
      </c>
    </row>
    <row r="504">
      <c r="A504" s="6" t="inlineStr">
        <is>
          <t>DJ30</t>
        </is>
      </c>
      <c r="B504" s="6" t="inlineStr">
        <is>
          <t>2026-01-09</t>
        </is>
      </c>
      <c r="C504" s="6" t="inlineStr">
        <is>
          <t>DIA</t>
        </is>
      </c>
      <c r="D504" s="6" t="inlineStr">
        <is>
          <t>CSCO</t>
        </is>
      </c>
      <c r="E504" s="6" t="inlineStr">
        <is>
          <t>CSCO</t>
        </is>
      </c>
      <c r="F504" s="6" t="inlineStr">
        <is>
          <t>-</t>
        </is>
      </c>
      <c r="G504" s="7">
        <f>Rebalance_Audit!G4876</f>
        <v/>
      </c>
      <c r="H504" s="9">
        <f>Rebalance_Audit!Q4876</f>
        <v/>
      </c>
      <c r="I504" s="7">
        <f>Rebalance_Audit!R4876</f>
        <v/>
      </c>
      <c r="J504" s="8">
        <f>Rebalance_Audit!S4876</f>
        <v/>
      </c>
    </row>
    <row r="505">
      <c r="A505" s="6" t="inlineStr">
        <is>
          <t>DJ30</t>
        </is>
      </c>
      <c r="B505" s="6" t="inlineStr">
        <is>
          <t>2026-01-16</t>
        </is>
      </c>
      <c r="C505" s="6" t="inlineStr">
        <is>
          <t>DIA</t>
        </is>
      </c>
      <c r="D505" s="6" t="inlineStr">
        <is>
          <t>CAT</t>
        </is>
      </c>
      <c r="E505" s="6" t="inlineStr">
        <is>
          <t>CAT</t>
        </is>
      </c>
      <c r="F505" s="6" t="inlineStr">
        <is>
          <t>-</t>
        </is>
      </c>
      <c r="G505" s="7">
        <f>Rebalance_Audit!G4905</f>
        <v/>
      </c>
      <c r="H505" s="9">
        <f>Rebalance_Audit!Q4905</f>
        <v/>
      </c>
      <c r="I505" s="7">
        <f>Rebalance_Audit!R4905</f>
        <v/>
      </c>
      <c r="J505" s="8">
        <f>Rebalance_Audit!S4905</f>
        <v/>
      </c>
    </row>
    <row r="506">
      <c r="A506" s="6" t="inlineStr">
        <is>
          <t>DJ30</t>
        </is>
      </c>
      <c r="B506" s="6" t="inlineStr">
        <is>
          <t>2026-01-16</t>
        </is>
      </c>
      <c r="C506" s="6" t="inlineStr">
        <is>
          <t>DIA</t>
        </is>
      </c>
      <c r="D506" s="6" t="inlineStr">
        <is>
          <t>NVDA</t>
        </is>
      </c>
      <c r="E506" s="6" t="inlineStr">
        <is>
          <t>NVDA</t>
        </is>
      </c>
      <c r="F506" s="6" t="inlineStr">
        <is>
          <t>-</t>
        </is>
      </c>
      <c r="G506" s="7">
        <f>Rebalance_Audit!G4922</f>
        <v/>
      </c>
      <c r="H506" s="9">
        <f>Rebalance_Audit!Q4922</f>
        <v/>
      </c>
      <c r="I506" s="7">
        <f>Rebalance_Audit!R4922</f>
        <v/>
      </c>
      <c r="J506" s="8">
        <f>Rebalance_Audit!S4922</f>
        <v/>
      </c>
    </row>
    <row r="507">
      <c r="A507" s="6" t="inlineStr">
        <is>
          <t>DJ30</t>
        </is>
      </c>
      <c r="B507" s="6" t="inlineStr">
        <is>
          <t>2026-01-16</t>
        </is>
      </c>
      <c r="C507" s="6" t="inlineStr">
        <is>
          <t>DIA</t>
        </is>
      </c>
      <c r="D507" s="6" t="inlineStr">
        <is>
          <t>GS</t>
        </is>
      </c>
      <c r="E507" s="6" t="inlineStr">
        <is>
          <t>GS</t>
        </is>
      </c>
      <c r="F507" s="6" t="inlineStr">
        <is>
          <t>-</t>
        </is>
      </c>
      <c r="G507" s="7">
        <f>Rebalance_Audit!G4910</f>
        <v/>
      </c>
      <c r="H507" s="9">
        <f>Rebalance_Audit!Q4910</f>
        <v/>
      </c>
      <c r="I507" s="7">
        <f>Rebalance_Audit!R4910</f>
        <v/>
      </c>
      <c r="J507" s="8">
        <f>Rebalance_Audit!S4910</f>
        <v/>
      </c>
    </row>
    <row r="508">
      <c r="A508" s="6" t="inlineStr">
        <is>
          <t>DJ30</t>
        </is>
      </c>
      <c r="B508" s="6" t="inlineStr">
        <is>
          <t>2026-01-16</t>
        </is>
      </c>
      <c r="C508" s="6" t="inlineStr">
        <is>
          <t>DIA</t>
        </is>
      </c>
      <c r="D508" s="6" t="inlineStr">
        <is>
          <t>JNJ</t>
        </is>
      </c>
      <c r="E508" s="6" t="inlineStr">
        <is>
          <t>JNJ</t>
        </is>
      </c>
      <c r="F508" s="6" t="inlineStr">
        <is>
          <t>-</t>
        </is>
      </c>
      <c r="G508" s="7">
        <f>Rebalance_Audit!G4914</f>
        <v/>
      </c>
      <c r="H508" s="9">
        <f>Rebalance_Audit!Q4914</f>
        <v/>
      </c>
      <c r="I508" s="7">
        <f>Rebalance_Audit!R4914</f>
        <v/>
      </c>
      <c r="J508" s="8">
        <f>Rebalance_Audit!S4914</f>
        <v/>
      </c>
    </row>
    <row r="509">
      <c r="A509" s="6" t="inlineStr">
        <is>
          <t>DJ30</t>
        </is>
      </c>
      <c r="B509" s="6" t="inlineStr">
        <is>
          <t>2026-01-16</t>
        </is>
      </c>
      <c r="C509" s="6" t="inlineStr">
        <is>
          <t>DIA</t>
        </is>
      </c>
      <c r="D509" s="6" t="inlineStr">
        <is>
          <t>CSCO</t>
        </is>
      </c>
      <c r="E509" s="6" t="inlineStr">
        <is>
          <t>CSCO</t>
        </is>
      </c>
      <c r="F509" s="6" t="inlineStr">
        <is>
          <t>-</t>
        </is>
      </c>
      <c r="G509" s="7">
        <f>Rebalance_Audit!G4907</f>
        <v/>
      </c>
      <c r="H509" s="9">
        <f>Rebalance_Audit!Q4907</f>
        <v/>
      </c>
      <c r="I509" s="7">
        <f>Rebalance_Audit!R4907</f>
        <v/>
      </c>
      <c r="J509" s="8">
        <f>Rebalance_Audit!S4907</f>
        <v/>
      </c>
    </row>
    <row r="510">
      <c r="A510" s="6" t="inlineStr">
        <is>
          <t>DJ30</t>
        </is>
      </c>
      <c r="B510" s="6" t="inlineStr">
        <is>
          <t>2026-01-23</t>
        </is>
      </c>
      <c r="C510" s="6" t="inlineStr">
        <is>
          <t>DIA</t>
        </is>
      </c>
      <c r="D510" s="6" t="inlineStr">
        <is>
          <t>CAT</t>
        </is>
      </c>
      <c r="E510" s="6" t="inlineStr">
        <is>
          <t>CAT</t>
        </is>
      </c>
      <c r="F510" s="6" t="inlineStr">
        <is>
          <t>-</t>
        </is>
      </c>
      <c r="G510" s="7">
        <f>Rebalance_Audit!G4936</f>
        <v/>
      </c>
      <c r="H510" s="9">
        <f>Rebalance_Audit!Q4936</f>
        <v/>
      </c>
      <c r="I510" s="7">
        <f>Rebalance_Audit!R4936</f>
        <v/>
      </c>
      <c r="J510" s="8">
        <f>Rebalance_Audit!S4936</f>
        <v/>
      </c>
    </row>
    <row r="511">
      <c r="A511" s="6" t="inlineStr">
        <is>
          <t>DJ30</t>
        </is>
      </c>
      <c r="B511" s="6" t="inlineStr">
        <is>
          <t>2026-01-23</t>
        </is>
      </c>
      <c r="C511" s="6" t="inlineStr">
        <is>
          <t>DIA</t>
        </is>
      </c>
      <c r="D511" s="6" t="inlineStr">
        <is>
          <t>GS</t>
        </is>
      </c>
      <c r="E511" s="6" t="inlineStr">
        <is>
          <t>GS</t>
        </is>
      </c>
      <c r="F511" s="6" t="inlineStr">
        <is>
          <t>-</t>
        </is>
      </c>
      <c r="G511" s="7">
        <f>Rebalance_Audit!G4941</f>
        <v/>
      </c>
      <c r="H511" s="9">
        <f>Rebalance_Audit!Q4941</f>
        <v/>
      </c>
      <c r="I511" s="7">
        <f>Rebalance_Audit!R4941</f>
        <v/>
      </c>
      <c r="J511" s="8">
        <f>Rebalance_Audit!S4941</f>
        <v/>
      </c>
    </row>
    <row r="512">
      <c r="A512" s="6" t="inlineStr">
        <is>
          <t>DJ30</t>
        </is>
      </c>
      <c r="B512" s="6" t="inlineStr">
        <is>
          <t>2026-01-23</t>
        </is>
      </c>
      <c r="C512" s="6" t="inlineStr">
        <is>
          <t>DIA</t>
        </is>
      </c>
      <c r="D512" s="6" t="inlineStr">
        <is>
          <t>NVDA</t>
        </is>
      </c>
      <c r="E512" s="6" t="inlineStr">
        <is>
          <t>NVDA</t>
        </is>
      </c>
      <c r="F512" s="6" t="inlineStr">
        <is>
          <t>-</t>
        </is>
      </c>
      <c r="G512" s="7">
        <f>Rebalance_Audit!G4953</f>
        <v/>
      </c>
      <c r="H512" s="9">
        <f>Rebalance_Audit!Q4953</f>
        <v/>
      </c>
      <c r="I512" s="7">
        <f>Rebalance_Audit!R4953</f>
        <v/>
      </c>
      <c r="J512" s="8">
        <f>Rebalance_Audit!S4953</f>
        <v/>
      </c>
    </row>
    <row r="513">
      <c r="A513" s="6" t="inlineStr">
        <is>
          <t>DJ30</t>
        </is>
      </c>
      <c r="B513" s="6" t="inlineStr">
        <is>
          <t>2026-01-23</t>
        </is>
      </c>
      <c r="C513" s="6" t="inlineStr">
        <is>
          <t>DIA</t>
        </is>
      </c>
      <c r="D513" s="6" t="inlineStr">
        <is>
          <t>JNJ</t>
        </is>
      </c>
      <c r="E513" s="6" t="inlineStr">
        <is>
          <t>JNJ</t>
        </is>
      </c>
      <c r="F513" s="6" t="inlineStr">
        <is>
          <t>-</t>
        </is>
      </c>
      <c r="G513" s="7">
        <f>Rebalance_Audit!G4945</f>
        <v/>
      </c>
      <c r="H513" s="9">
        <f>Rebalance_Audit!Q4945</f>
        <v/>
      </c>
      <c r="I513" s="7">
        <f>Rebalance_Audit!R4945</f>
        <v/>
      </c>
      <c r="J513" s="8">
        <f>Rebalance_Audit!S4945</f>
        <v/>
      </c>
    </row>
    <row r="514">
      <c r="A514" s="6" t="inlineStr">
        <is>
          <t>DJ30</t>
        </is>
      </c>
      <c r="B514" s="6" t="inlineStr">
        <is>
          <t>2026-01-23</t>
        </is>
      </c>
      <c r="C514" s="6" t="inlineStr">
        <is>
          <t>DIA</t>
        </is>
      </c>
      <c r="D514" s="6" t="inlineStr">
        <is>
          <t>AXP</t>
        </is>
      </c>
      <c r="E514" s="6" t="inlineStr">
        <is>
          <t>AXP</t>
        </is>
      </c>
      <c r="F514" s="6" t="inlineStr">
        <is>
          <t>-</t>
        </is>
      </c>
      <c r="G514" s="7">
        <f>Rebalance_Audit!G4934</f>
        <v/>
      </c>
      <c r="H514" s="9">
        <f>Rebalance_Audit!Q4934</f>
        <v/>
      </c>
      <c r="I514" s="7">
        <f>Rebalance_Audit!R4934</f>
        <v/>
      </c>
      <c r="J514" s="8">
        <f>Rebalance_Audit!S4934</f>
        <v/>
      </c>
    </row>
    <row r="515">
      <c r="A515" s="6" t="inlineStr">
        <is>
          <t>DJ30</t>
        </is>
      </c>
      <c r="B515" s="6" t="inlineStr">
        <is>
          <t>2026-01-30</t>
        </is>
      </c>
      <c r="C515" s="6" t="inlineStr">
        <is>
          <t>DIA</t>
        </is>
      </c>
      <c r="D515" s="6" t="inlineStr">
        <is>
          <t>CAT</t>
        </is>
      </c>
      <c r="E515" s="6" t="inlineStr">
        <is>
          <t>CAT</t>
        </is>
      </c>
      <c r="F515" s="6" t="inlineStr">
        <is>
          <t>-</t>
        </is>
      </c>
      <c r="G515" s="7">
        <f>Rebalance_Audit!G4967</f>
        <v/>
      </c>
      <c r="H515" s="9">
        <f>Rebalance_Audit!Q4967</f>
        <v/>
      </c>
      <c r="I515" s="7">
        <f>Rebalance_Audit!R4967</f>
        <v/>
      </c>
      <c r="J515" s="8">
        <f>Rebalance_Audit!S4967</f>
        <v/>
      </c>
    </row>
    <row r="516">
      <c r="A516" s="6" t="inlineStr">
        <is>
          <t>DJ30</t>
        </is>
      </c>
      <c r="B516" s="6" t="inlineStr">
        <is>
          <t>2026-01-30</t>
        </is>
      </c>
      <c r="C516" s="6" t="inlineStr">
        <is>
          <t>DIA</t>
        </is>
      </c>
      <c r="D516" s="6" t="inlineStr">
        <is>
          <t>GS</t>
        </is>
      </c>
      <c r="E516" s="6" t="inlineStr">
        <is>
          <t>GS</t>
        </is>
      </c>
      <c r="F516" s="6" t="inlineStr">
        <is>
          <t>-</t>
        </is>
      </c>
      <c r="G516" s="7">
        <f>Rebalance_Audit!G4972</f>
        <v/>
      </c>
      <c r="H516" s="9">
        <f>Rebalance_Audit!Q4972</f>
        <v/>
      </c>
      <c r="I516" s="7">
        <f>Rebalance_Audit!R4972</f>
        <v/>
      </c>
      <c r="J516" s="8">
        <f>Rebalance_Audit!S4972</f>
        <v/>
      </c>
    </row>
    <row r="517">
      <c r="A517" s="6" t="inlineStr">
        <is>
          <t>DJ30</t>
        </is>
      </c>
      <c r="B517" s="6" t="inlineStr">
        <is>
          <t>2026-01-30</t>
        </is>
      </c>
      <c r="C517" s="6" t="inlineStr">
        <is>
          <t>DIA</t>
        </is>
      </c>
      <c r="D517" s="6" t="inlineStr">
        <is>
          <t>NVDA</t>
        </is>
      </c>
      <c r="E517" s="6" t="inlineStr">
        <is>
          <t>NVDA</t>
        </is>
      </c>
      <c r="F517" s="6" t="inlineStr">
        <is>
          <t>-</t>
        </is>
      </c>
      <c r="G517" s="7">
        <f>Rebalance_Audit!G4984</f>
        <v/>
      </c>
      <c r="H517" s="9">
        <f>Rebalance_Audit!Q4984</f>
        <v/>
      </c>
      <c r="I517" s="7">
        <f>Rebalance_Audit!R4984</f>
        <v/>
      </c>
      <c r="J517" s="8">
        <f>Rebalance_Audit!S4984</f>
        <v/>
      </c>
    </row>
    <row r="518">
      <c r="A518" s="6" t="inlineStr">
        <is>
          <t>DJ30</t>
        </is>
      </c>
      <c r="B518" s="6" t="inlineStr">
        <is>
          <t>2026-01-30</t>
        </is>
      </c>
      <c r="C518" s="6" t="inlineStr">
        <is>
          <t>DIA</t>
        </is>
      </c>
      <c r="D518" s="6" t="inlineStr">
        <is>
          <t>JNJ</t>
        </is>
      </c>
      <c r="E518" s="6" t="inlineStr">
        <is>
          <t>JNJ</t>
        </is>
      </c>
      <c r="F518" s="6" t="inlineStr">
        <is>
          <t>-</t>
        </is>
      </c>
      <c r="G518" s="7">
        <f>Rebalance_Audit!G4976</f>
        <v/>
      </c>
      <c r="H518" s="9">
        <f>Rebalance_Audit!Q4976</f>
        <v/>
      </c>
      <c r="I518" s="7">
        <f>Rebalance_Audit!R4976</f>
        <v/>
      </c>
      <c r="J518" s="8">
        <f>Rebalance_Audit!S4976</f>
        <v/>
      </c>
    </row>
    <row r="519">
      <c r="A519" s="6" t="inlineStr">
        <is>
          <t>DJ30</t>
        </is>
      </c>
      <c r="B519" s="6" t="inlineStr">
        <is>
          <t>2026-01-30</t>
        </is>
      </c>
      <c r="C519" s="6" t="inlineStr">
        <is>
          <t>DIA</t>
        </is>
      </c>
      <c r="D519" s="6" t="inlineStr">
        <is>
          <t>AXP</t>
        </is>
      </c>
      <c r="E519" s="6" t="inlineStr">
        <is>
          <t>AXP</t>
        </is>
      </c>
      <c r="F519" s="6" t="inlineStr">
        <is>
          <t>-</t>
        </is>
      </c>
      <c r="G519" s="7">
        <f>Rebalance_Audit!G4965</f>
        <v/>
      </c>
      <c r="H519" s="9">
        <f>Rebalance_Audit!Q4965</f>
        <v/>
      </c>
      <c r="I519" s="7">
        <f>Rebalance_Audit!R4965</f>
        <v/>
      </c>
      <c r="J519" s="8">
        <f>Rebalance_Audit!S4965</f>
        <v/>
      </c>
    </row>
    <row r="520">
      <c r="A520" s="6" t="inlineStr">
        <is>
          <t>DJ30</t>
        </is>
      </c>
      <c r="B520" s="6" t="inlineStr">
        <is>
          <t>2026-02-06</t>
        </is>
      </c>
      <c r="C520" s="6" t="inlineStr">
        <is>
          <t>DIA</t>
        </is>
      </c>
      <c r="D520" s="6" t="inlineStr">
        <is>
          <t>CAT</t>
        </is>
      </c>
      <c r="E520" s="6" t="inlineStr">
        <is>
          <t>CAT</t>
        </is>
      </c>
      <c r="F520" s="6" t="inlineStr">
        <is>
          <t>-</t>
        </is>
      </c>
      <c r="G520" s="7">
        <f>Rebalance_Audit!G4998</f>
        <v/>
      </c>
      <c r="H520" s="9">
        <f>Rebalance_Audit!Q4998</f>
        <v/>
      </c>
      <c r="I520" s="7">
        <f>Rebalance_Audit!R4998</f>
        <v/>
      </c>
      <c r="J520" s="8">
        <f>Rebalance_Audit!S4998</f>
        <v/>
      </c>
    </row>
    <row r="521">
      <c r="A521" s="6" t="inlineStr">
        <is>
          <t>DJ30</t>
        </is>
      </c>
      <c r="B521" s="6" t="inlineStr">
        <is>
          <t>2026-02-06</t>
        </is>
      </c>
      <c r="C521" s="6" t="inlineStr">
        <is>
          <t>DIA</t>
        </is>
      </c>
      <c r="D521" s="6" t="inlineStr">
        <is>
          <t>GS</t>
        </is>
      </c>
      <c r="E521" s="6" t="inlineStr">
        <is>
          <t>GS</t>
        </is>
      </c>
      <c r="F521" s="6" t="inlineStr">
        <is>
          <t>-</t>
        </is>
      </c>
      <c r="G521" s="7">
        <f>Rebalance_Audit!G5003</f>
        <v/>
      </c>
      <c r="H521" s="9">
        <f>Rebalance_Audit!Q5003</f>
        <v/>
      </c>
      <c r="I521" s="7">
        <f>Rebalance_Audit!R5003</f>
        <v/>
      </c>
      <c r="J521" s="8">
        <f>Rebalance_Audit!S5003</f>
        <v/>
      </c>
    </row>
    <row r="522">
      <c r="A522" s="6" t="inlineStr">
        <is>
          <t>DJ30</t>
        </is>
      </c>
      <c r="B522" s="6" t="inlineStr">
        <is>
          <t>2026-02-06</t>
        </is>
      </c>
      <c r="C522" s="6" t="inlineStr">
        <is>
          <t>DIA</t>
        </is>
      </c>
      <c r="D522" s="6" t="inlineStr">
        <is>
          <t>NVDA</t>
        </is>
      </c>
      <c r="E522" s="6" t="inlineStr">
        <is>
          <t>NVDA</t>
        </is>
      </c>
      <c r="F522" s="6" t="inlineStr">
        <is>
          <t>-</t>
        </is>
      </c>
      <c r="G522" s="7">
        <f>Rebalance_Audit!G5015</f>
        <v/>
      </c>
      <c r="H522" s="9">
        <f>Rebalance_Audit!Q5015</f>
        <v/>
      </c>
      <c r="I522" s="7">
        <f>Rebalance_Audit!R5015</f>
        <v/>
      </c>
      <c r="J522" s="8">
        <f>Rebalance_Audit!S5015</f>
        <v/>
      </c>
    </row>
    <row r="523">
      <c r="A523" s="6" t="inlineStr">
        <is>
          <t>DJ30</t>
        </is>
      </c>
      <c r="B523" s="6" t="inlineStr">
        <is>
          <t>2026-02-06</t>
        </is>
      </c>
      <c r="C523" s="6" t="inlineStr">
        <is>
          <t>DIA</t>
        </is>
      </c>
      <c r="D523" s="6" t="inlineStr">
        <is>
          <t>JNJ</t>
        </is>
      </c>
      <c r="E523" s="6" t="inlineStr">
        <is>
          <t>JNJ</t>
        </is>
      </c>
      <c r="F523" s="6" t="inlineStr">
        <is>
          <t>-</t>
        </is>
      </c>
      <c r="G523" s="7">
        <f>Rebalance_Audit!G5007</f>
        <v/>
      </c>
      <c r="H523" s="9">
        <f>Rebalance_Audit!Q5007</f>
        <v/>
      </c>
      <c r="I523" s="7">
        <f>Rebalance_Audit!R5007</f>
        <v/>
      </c>
      <c r="J523" s="8">
        <f>Rebalance_Audit!S5007</f>
        <v/>
      </c>
    </row>
    <row r="524">
      <c r="A524" s="6" t="inlineStr">
        <is>
          <t>DJ30</t>
        </is>
      </c>
      <c r="B524" s="6" t="inlineStr">
        <is>
          <t>2026-02-06</t>
        </is>
      </c>
      <c r="C524" s="6" t="inlineStr">
        <is>
          <t>DIA</t>
        </is>
      </c>
      <c r="D524" s="6" t="inlineStr">
        <is>
          <t>AXP</t>
        </is>
      </c>
      <c r="E524" s="6" t="inlineStr">
        <is>
          <t>AXP</t>
        </is>
      </c>
      <c r="F524" s="6" t="inlineStr">
        <is>
          <t>-</t>
        </is>
      </c>
      <c r="G524" s="7">
        <f>Rebalance_Audit!G4996</f>
        <v/>
      </c>
      <c r="H524" s="9">
        <f>Rebalance_Audit!Q4996</f>
        <v/>
      </c>
      <c r="I524" s="7">
        <f>Rebalance_Audit!R4996</f>
        <v/>
      </c>
      <c r="J524" s="8">
        <f>Rebalance_Audit!S4996</f>
        <v/>
      </c>
    </row>
    <row r="525">
      <c r="A525" s="6" t="inlineStr">
        <is>
          <t>DJ30</t>
        </is>
      </c>
      <c r="B525" s="6" t="inlineStr">
        <is>
          <t>2026-02-13</t>
        </is>
      </c>
      <c r="C525" s="6" t="inlineStr">
        <is>
          <t>DIA</t>
        </is>
      </c>
      <c r="D525" s="6" t="inlineStr">
        <is>
          <t>CAT</t>
        </is>
      </c>
      <c r="E525" s="6" t="inlineStr">
        <is>
          <t>CAT</t>
        </is>
      </c>
      <c r="F525" s="6" t="inlineStr">
        <is>
          <t>-</t>
        </is>
      </c>
      <c r="G525" s="7">
        <f>Rebalance_Audit!G5029</f>
        <v/>
      </c>
      <c r="H525" s="9">
        <f>Rebalance_Audit!Q5029</f>
        <v/>
      </c>
      <c r="I525" s="7">
        <f>Rebalance_Audit!R5029</f>
        <v/>
      </c>
      <c r="J525" s="8">
        <f>Rebalance_Audit!S5029</f>
        <v/>
      </c>
    </row>
    <row r="526">
      <c r="A526" s="6" t="inlineStr">
        <is>
          <t>DJ30</t>
        </is>
      </c>
      <c r="B526" s="6" t="inlineStr">
        <is>
          <t>2026-02-13</t>
        </is>
      </c>
      <c r="C526" s="6" t="inlineStr">
        <is>
          <t>DIA</t>
        </is>
      </c>
      <c r="D526" s="6" t="inlineStr">
        <is>
          <t>GS</t>
        </is>
      </c>
      <c r="E526" s="6" t="inlineStr">
        <is>
          <t>GS</t>
        </is>
      </c>
      <c r="F526" s="6" t="inlineStr">
        <is>
          <t>-</t>
        </is>
      </c>
      <c r="G526" s="7">
        <f>Rebalance_Audit!G5034</f>
        <v/>
      </c>
      <c r="H526" s="9">
        <f>Rebalance_Audit!Q5034</f>
        <v/>
      </c>
      <c r="I526" s="7">
        <f>Rebalance_Audit!R5034</f>
        <v/>
      </c>
      <c r="J526" s="8">
        <f>Rebalance_Audit!S5034</f>
        <v/>
      </c>
    </row>
    <row r="527">
      <c r="A527" s="6" t="inlineStr">
        <is>
          <t>DJ30</t>
        </is>
      </c>
      <c r="B527" s="6" t="inlineStr">
        <is>
          <t>2026-02-13</t>
        </is>
      </c>
      <c r="C527" s="6" t="inlineStr">
        <is>
          <t>DIA</t>
        </is>
      </c>
      <c r="D527" s="6" t="inlineStr">
        <is>
          <t>NVDA</t>
        </is>
      </c>
      <c r="E527" s="6" t="inlineStr">
        <is>
          <t>NVDA</t>
        </is>
      </c>
      <c r="F527" s="6" t="inlineStr">
        <is>
          <t>-</t>
        </is>
      </c>
      <c r="G527" s="7">
        <f>Rebalance_Audit!G5046</f>
        <v/>
      </c>
      <c r="H527" s="9">
        <f>Rebalance_Audit!Q5046</f>
        <v/>
      </c>
      <c r="I527" s="7">
        <f>Rebalance_Audit!R5046</f>
        <v/>
      </c>
      <c r="J527" s="8">
        <f>Rebalance_Audit!S5046</f>
        <v/>
      </c>
    </row>
    <row r="528">
      <c r="A528" s="6" t="inlineStr">
        <is>
          <t>DJ30</t>
        </is>
      </c>
      <c r="B528" s="6" t="inlineStr">
        <is>
          <t>2026-02-13</t>
        </is>
      </c>
      <c r="C528" s="6" t="inlineStr">
        <is>
          <t>DIA</t>
        </is>
      </c>
      <c r="D528" s="6" t="inlineStr">
        <is>
          <t>JNJ</t>
        </is>
      </c>
      <c r="E528" s="6" t="inlineStr">
        <is>
          <t>JNJ</t>
        </is>
      </c>
      <c r="F528" s="6" t="inlineStr">
        <is>
          <t>-</t>
        </is>
      </c>
      <c r="G528" s="7">
        <f>Rebalance_Audit!G5038</f>
        <v/>
      </c>
      <c r="H528" s="9">
        <f>Rebalance_Audit!Q5038</f>
        <v/>
      </c>
      <c r="I528" s="7">
        <f>Rebalance_Audit!R5038</f>
        <v/>
      </c>
      <c r="J528" s="8">
        <f>Rebalance_Audit!S5038</f>
        <v/>
      </c>
    </row>
    <row r="529">
      <c r="A529" s="6" t="inlineStr">
        <is>
          <t>DJ30</t>
        </is>
      </c>
      <c r="B529" s="6" t="inlineStr">
        <is>
          <t>2026-02-13</t>
        </is>
      </c>
      <c r="C529" s="6" t="inlineStr">
        <is>
          <t>DIA</t>
        </is>
      </c>
      <c r="D529" s="6" t="inlineStr">
        <is>
          <t>AXP</t>
        </is>
      </c>
      <c r="E529" s="6" t="inlineStr">
        <is>
          <t>AXP</t>
        </is>
      </c>
      <c r="F529" s="6" t="inlineStr">
        <is>
          <t>-</t>
        </is>
      </c>
      <c r="G529" s="7">
        <f>Rebalance_Audit!G5027</f>
        <v/>
      </c>
      <c r="H529" s="9">
        <f>Rebalance_Audit!Q5027</f>
        <v/>
      </c>
      <c r="I529" s="7">
        <f>Rebalance_Audit!R5027</f>
        <v/>
      </c>
      <c r="J529" s="8">
        <f>Rebalance_Audit!S5027</f>
        <v/>
      </c>
    </row>
    <row r="530">
      <c r="A530" s="6" t="inlineStr">
        <is>
          <t>DJ30</t>
        </is>
      </c>
      <c r="B530" s="6" t="inlineStr">
        <is>
          <t>2026-02-20</t>
        </is>
      </c>
      <c r="C530" s="6" t="inlineStr">
        <is>
          <t>DIA</t>
        </is>
      </c>
      <c r="D530" s="6" t="inlineStr">
        <is>
          <t>CAT</t>
        </is>
      </c>
      <c r="E530" s="6" t="inlineStr">
        <is>
          <t>CAT</t>
        </is>
      </c>
      <c r="F530" s="6" t="inlineStr">
        <is>
          <t>-</t>
        </is>
      </c>
      <c r="G530" s="7">
        <f>Rebalance_Audit!G5060</f>
        <v/>
      </c>
      <c r="H530" s="9">
        <f>Rebalance_Audit!Q5060</f>
        <v/>
      </c>
      <c r="I530" s="7">
        <f>Rebalance_Audit!R5060</f>
        <v/>
      </c>
      <c r="J530" s="8">
        <f>Rebalance_Audit!S5060</f>
        <v/>
      </c>
    </row>
    <row r="531">
      <c r="A531" s="6" t="inlineStr">
        <is>
          <t>DJ30</t>
        </is>
      </c>
      <c r="B531" s="6" t="inlineStr">
        <is>
          <t>2026-02-20</t>
        </is>
      </c>
      <c r="C531" s="6" t="inlineStr">
        <is>
          <t>DIA</t>
        </is>
      </c>
      <c r="D531" s="6" t="inlineStr">
        <is>
          <t>GS</t>
        </is>
      </c>
      <c r="E531" s="6" t="inlineStr">
        <is>
          <t>GS</t>
        </is>
      </c>
      <c r="F531" s="6" t="inlineStr">
        <is>
          <t>-</t>
        </is>
      </c>
      <c r="G531" s="7">
        <f>Rebalance_Audit!G5065</f>
        <v/>
      </c>
      <c r="H531" s="9">
        <f>Rebalance_Audit!Q5065</f>
        <v/>
      </c>
      <c r="I531" s="7">
        <f>Rebalance_Audit!R5065</f>
        <v/>
      </c>
      <c r="J531" s="8">
        <f>Rebalance_Audit!S5065</f>
        <v/>
      </c>
    </row>
    <row r="532">
      <c r="A532" s="6" t="inlineStr">
        <is>
          <t>DJ30</t>
        </is>
      </c>
      <c r="B532" s="6" t="inlineStr">
        <is>
          <t>2026-02-20</t>
        </is>
      </c>
      <c r="C532" s="6" t="inlineStr">
        <is>
          <t>DIA</t>
        </is>
      </c>
      <c r="D532" s="6" t="inlineStr">
        <is>
          <t>NVDA</t>
        </is>
      </c>
      <c r="E532" s="6" t="inlineStr">
        <is>
          <t>NVDA</t>
        </is>
      </c>
      <c r="F532" s="6" t="inlineStr">
        <is>
          <t>-</t>
        </is>
      </c>
      <c r="G532" s="7">
        <f>Rebalance_Audit!G5077</f>
        <v/>
      </c>
      <c r="H532" s="9">
        <f>Rebalance_Audit!Q5077</f>
        <v/>
      </c>
      <c r="I532" s="7">
        <f>Rebalance_Audit!R5077</f>
        <v/>
      </c>
      <c r="J532" s="8">
        <f>Rebalance_Audit!S5077</f>
        <v/>
      </c>
    </row>
    <row r="533">
      <c r="A533" s="6" t="inlineStr">
        <is>
          <t>DJ30</t>
        </is>
      </c>
      <c r="B533" s="6" t="inlineStr">
        <is>
          <t>2026-02-20</t>
        </is>
      </c>
      <c r="C533" s="6" t="inlineStr">
        <is>
          <t>DIA</t>
        </is>
      </c>
      <c r="D533" s="6" t="inlineStr">
        <is>
          <t>JNJ</t>
        </is>
      </c>
      <c r="E533" s="6" t="inlineStr">
        <is>
          <t>JNJ</t>
        </is>
      </c>
      <c r="F533" s="6" t="inlineStr">
        <is>
          <t>-</t>
        </is>
      </c>
      <c r="G533" s="7">
        <f>Rebalance_Audit!G5069</f>
        <v/>
      </c>
      <c r="H533" s="9">
        <f>Rebalance_Audit!Q5069</f>
        <v/>
      </c>
      <c r="I533" s="7">
        <f>Rebalance_Audit!R5069</f>
        <v/>
      </c>
      <c r="J533" s="8">
        <f>Rebalance_Audit!S5069</f>
        <v/>
      </c>
    </row>
    <row r="534">
      <c r="A534" s="6" t="inlineStr">
        <is>
          <t>DJ30</t>
        </is>
      </c>
      <c r="B534" s="6" t="inlineStr">
        <is>
          <t>2026-02-20</t>
        </is>
      </c>
      <c r="C534" s="6" t="inlineStr">
        <is>
          <t>DIA</t>
        </is>
      </c>
      <c r="D534" s="6" t="inlineStr">
        <is>
          <t>AXP</t>
        </is>
      </c>
      <c r="E534" s="6" t="inlineStr">
        <is>
          <t>AXP</t>
        </is>
      </c>
      <c r="F534" s="6" t="inlineStr">
        <is>
          <t>-</t>
        </is>
      </c>
      <c r="G534" s="7">
        <f>Rebalance_Audit!G5058</f>
        <v/>
      </c>
      <c r="H534" s="9">
        <f>Rebalance_Audit!Q5058</f>
        <v/>
      </c>
      <c r="I534" s="7">
        <f>Rebalance_Audit!R5058</f>
        <v/>
      </c>
      <c r="J534" s="8">
        <f>Rebalance_Audit!S5058</f>
        <v/>
      </c>
    </row>
    <row r="535">
      <c r="A535" s="6" t="inlineStr">
        <is>
          <t>DJ30</t>
        </is>
      </c>
      <c r="B535" s="6" t="inlineStr">
        <is>
          <t>2026-02-27</t>
        </is>
      </c>
      <c r="C535" s="6" t="inlineStr">
        <is>
          <t>DIA</t>
        </is>
      </c>
      <c r="D535" s="6" t="inlineStr">
        <is>
          <t>CAT</t>
        </is>
      </c>
      <c r="E535" s="6" t="inlineStr">
        <is>
          <t>CAT</t>
        </is>
      </c>
      <c r="F535" s="6" t="inlineStr">
        <is>
          <t>-</t>
        </is>
      </c>
      <c r="G535" s="7">
        <f>Rebalance_Audit!G5091</f>
        <v/>
      </c>
      <c r="H535" s="9">
        <f>Rebalance_Audit!Q5091</f>
        <v/>
      </c>
      <c r="I535" s="7">
        <f>Rebalance_Audit!R5091</f>
        <v/>
      </c>
      <c r="J535" s="8">
        <f>Rebalance_Audit!S5091</f>
        <v/>
      </c>
    </row>
    <row r="536">
      <c r="A536" s="6" t="inlineStr">
        <is>
          <t>DJ30</t>
        </is>
      </c>
      <c r="B536" s="6" t="inlineStr">
        <is>
          <t>2026-02-27</t>
        </is>
      </c>
      <c r="C536" s="6" t="inlineStr">
        <is>
          <t>DIA</t>
        </is>
      </c>
      <c r="D536" s="6" t="inlineStr">
        <is>
          <t>GS</t>
        </is>
      </c>
      <c r="E536" s="6" t="inlineStr">
        <is>
          <t>GS</t>
        </is>
      </c>
      <c r="F536" s="6" t="inlineStr">
        <is>
          <t>-</t>
        </is>
      </c>
      <c r="G536" s="7">
        <f>Rebalance_Audit!G5096</f>
        <v/>
      </c>
      <c r="H536" s="9">
        <f>Rebalance_Audit!Q5096</f>
        <v/>
      </c>
      <c r="I536" s="7">
        <f>Rebalance_Audit!R5096</f>
        <v/>
      </c>
      <c r="J536" s="8">
        <f>Rebalance_Audit!S5096</f>
        <v/>
      </c>
    </row>
    <row r="537">
      <c r="A537" s="6" t="inlineStr">
        <is>
          <t>DJ30</t>
        </is>
      </c>
      <c r="B537" s="6" t="inlineStr">
        <is>
          <t>2026-02-27</t>
        </is>
      </c>
      <c r="C537" s="6" t="inlineStr">
        <is>
          <t>DIA</t>
        </is>
      </c>
      <c r="D537" s="6" t="inlineStr">
        <is>
          <t>NVDA</t>
        </is>
      </c>
      <c r="E537" s="6" t="inlineStr">
        <is>
          <t>NVDA</t>
        </is>
      </c>
      <c r="F537" s="6" t="inlineStr">
        <is>
          <t>-</t>
        </is>
      </c>
      <c r="G537" s="7">
        <f>Rebalance_Audit!G5108</f>
        <v/>
      </c>
      <c r="H537" s="9">
        <f>Rebalance_Audit!Q5108</f>
        <v/>
      </c>
      <c r="I537" s="7">
        <f>Rebalance_Audit!R5108</f>
        <v/>
      </c>
      <c r="J537" s="8">
        <f>Rebalance_Audit!S5108</f>
        <v/>
      </c>
    </row>
    <row r="538">
      <c r="A538" s="6" t="inlineStr">
        <is>
          <t>DJ30</t>
        </is>
      </c>
      <c r="B538" s="6" t="inlineStr">
        <is>
          <t>2026-02-27</t>
        </is>
      </c>
      <c r="C538" s="6" t="inlineStr">
        <is>
          <t>DIA</t>
        </is>
      </c>
      <c r="D538" s="6" t="inlineStr">
        <is>
          <t>JNJ</t>
        </is>
      </c>
      <c r="E538" s="6" t="inlineStr">
        <is>
          <t>JNJ</t>
        </is>
      </c>
      <c r="F538" s="6" t="inlineStr">
        <is>
          <t>-</t>
        </is>
      </c>
      <c r="G538" s="7">
        <f>Rebalance_Audit!G5100</f>
        <v/>
      </c>
      <c r="H538" s="9">
        <f>Rebalance_Audit!Q5100</f>
        <v/>
      </c>
      <c r="I538" s="7">
        <f>Rebalance_Audit!R5100</f>
        <v/>
      </c>
      <c r="J538" s="8">
        <f>Rebalance_Audit!S5100</f>
        <v/>
      </c>
    </row>
    <row r="539">
      <c r="A539" s="6" t="inlineStr">
        <is>
          <t>DJ30</t>
        </is>
      </c>
      <c r="B539" s="6" t="inlineStr">
        <is>
          <t>2026-02-27</t>
        </is>
      </c>
      <c r="C539" s="6" t="inlineStr">
        <is>
          <t>DIA</t>
        </is>
      </c>
      <c r="D539" s="6" t="inlineStr">
        <is>
          <t>CSCO</t>
        </is>
      </c>
      <c r="E539" s="6" t="inlineStr">
        <is>
          <t>CSCO</t>
        </is>
      </c>
      <c r="F539" s="6" t="inlineStr">
        <is>
          <t>-</t>
        </is>
      </c>
      <c r="G539" s="7">
        <f>Rebalance_Audit!G5093</f>
        <v/>
      </c>
      <c r="H539" s="9">
        <f>Rebalance_Audit!Q5093</f>
        <v/>
      </c>
      <c r="I539" s="7">
        <f>Rebalance_Audit!R5093</f>
        <v/>
      </c>
      <c r="J539" s="8">
        <f>Rebalance_Audit!S5093</f>
        <v/>
      </c>
    </row>
    <row r="540">
      <c r="A540" s="6" t="inlineStr">
        <is>
          <t>DJ30</t>
        </is>
      </c>
      <c r="B540" s="6" t="inlineStr">
        <is>
          <t>2026-03-06</t>
        </is>
      </c>
      <c r="C540" s="6" t="inlineStr">
        <is>
          <t>DIA</t>
        </is>
      </c>
      <c r="D540" s="6" t="inlineStr">
        <is>
          <t>CAT</t>
        </is>
      </c>
      <c r="E540" s="6" t="inlineStr">
        <is>
          <t>CAT</t>
        </is>
      </c>
      <c r="F540" s="6" t="inlineStr">
        <is>
          <t>-</t>
        </is>
      </c>
      <c r="G540" s="7">
        <f>Rebalance_Audit!G5122</f>
        <v/>
      </c>
      <c r="H540" s="9">
        <f>Rebalance_Audit!Q5122</f>
        <v/>
      </c>
      <c r="I540" s="7">
        <f>Rebalance_Audit!R5122</f>
        <v/>
      </c>
      <c r="J540" s="8">
        <f>Rebalance_Audit!S5122</f>
        <v/>
      </c>
    </row>
    <row r="541">
      <c r="A541" s="6" t="inlineStr">
        <is>
          <t>DJ30</t>
        </is>
      </c>
      <c r="B541" s="6" t="inlineStr">
        <is>
          <t>2026-03-06</t>
        </is>
      </c>
      <c r="C541" s="6" t="inlineStr">
        <is>
          <t>DIA</t>
        </is>
      </c>
      <c r="D541" s="6" t="inlineStr">
        <is>
          <t>GS</t>
        </is>
      </c>
      <c r="E541" s="6" t="inlineStr">
        <is>
          <t>GS</t>
        </is>
      </c>
      <c r="F541" s="6" t="inlineStr">
        <is>
          <t>-</t>
        </is>
      </c>
      <c r="G541" s="7">
        <f>Rebalance_Audit!G5127</f>
        <v/>
      </c>
      <c r="H541" s="9">
        <f>Rebalance_Audit!Q5127</f>
        <v/>
      </c>
      <c r="I541" s="7">
        <f>Rebalance_Audit!R5127</f>
        <v/>
      </c>
      <c r="J541" s="8">
        <f>Rebalance_Audit!S5127</f>
        <v/>
      </c>
    </row>
    <row r="542">
      <c r="A542" s="6" t="inlineStr">
        <is>
          <t>DJ30</t>
        </is>
      </c>
      <c r="B542" s="6" t="inlineStr">
        <is>
          <t>2026-03-06</t>
        </is>
      </c>
      <c r="C542" s="6" t="inlineStr">
        <is>
          <t>DIA</t>
        </is>
      </c>
      <c r="D542" s="6" t="inlineStr">
        <is>
          <t>JNJ</t>
        </is>
      </c>
      <c r="E542" s="6" t="inlineStr">
        <is>
          <t>JNJ</t>
        </is>
      </c>
      <c r="F542" s="6" t="inlineStr">
        <is>
          <t>-</t>
        </is>
      </c>
      <c r="G542" s="7">
        <f>Rebalance_Audit!G5131</f>
        <v/>
      </c>
      <c r="H542" s="9">
        <f>Rebalance_Audit!Q5131</f>
        <v/>
      </c>
      <c r="I542" s="7">
        <f>Rebalance_Audit!R5131</f>
        <v/>
      </c>
      <c r="J542" s="8">
        <f>Rebalance_Audit!S5131</f>
        <v/>
      </c>
    </row>
    <row r="543">
      <c r="A543" s="6" t="inlineStr">
        <is>
          <t>DJ30</t>
        </is>
      </c>
      <c r="B543" s="6" t="inlineStr">
        <is>
          <t>2026-03-06</t>
        </is>
      </c>
      <c r="C543" s="6" t="inlineStr">
        <is>
          <t>DIA</t>
        </is>
      </c>
      <c r="D543" s="6" t="inlineStr">
        <is>
          <t>NVDA</t>
        </is>
      </c>
      <c r="E543" s="6" t="inlineStr">
        <is>
          <t>NVDA</t>
        </is>
      </c>
      <c r="F543" s="6" t="inlineStr">
        <is>
          <t>-</t>
        </is>
      </c>
      <c r="G543" s="7">
        <f>Rebalance_Audit!G5139</f>
        <v/>
      </c>
      <c r="H543" s="9">
        <f>Rebalance_Audit!Q5139</f>
        <v/>
      </c>
      <c r="I543" s="7">
        <f>Rebalance_Audit!R5139</f>
        <v/>
      </c>
      <c r="J543" s="8">
        <f>Rebalance_Audit!S5139</f>
        <v/>
      </c>
    </row>
    <row r="544">
      <c r="A544" s="6" t="inlineStr">
        <is>
          <t>DJ30</t>
        </is>
      </c>
      <c r="B544" s="6" t="inlineStr">
        <is>
          <t>2026-03-06</t>
        </is>
      </c>
      <c r="C544" s="6" t="inlineStr">
        <is>
          <t>DIA</t>
        </is>
      </c>
      <c r="D544" s="6" t="inlineStr">
        <is>
          <t>CSCO</t>
        </is>
      </c>
      <c r="E544" s="6" t="inlineStr">
        <is>
          <t>CSCO</t>
        </is>
      </c>
      <c r="F544" s="6" t="inlineStr">
        <is>
          <t>-</t>
        </is>
      </c>
      <c r="G544" s="7">
        <f>Rebalance_Audit!G5124</f>
        <v/>
      </c>
      <c r="H544" s="9">
        <f>Rebalance_Audit!Q5124</f>
        <v/>
      </c>
      <c r="I544" s="7">
        <f>Rebalance_Audit!R5124</f>
        <v/>
      </c>
      <c r="J544" s="8">
        <f>Rebalance_Audit!S5124</f>
        <v/>
      </c>
    </row>
    <row r="545">
      <c r="A545" s="6" t="inlineStr">
        <is>
          <t>DJ30</t>
        </is>
      </c>
      <c r="B545" s="6" t="inlineStr">
        <is>
          <t>2026-03-13</t>
        </is>
      </c>
      <c r="C545" s="6" t="inlineStr">
        <is>
          <t>DIA</t>
        </is>
      </c>
      <c r="D545" s="6" t="inlineStr">
        <is>
          <t>CAT</t>
        </is>
      </c>
      <c r="E545" s="6" t="inlineStr">
        <is>
          <t>CAT</t>
        </is>
      </c>
      <c r="F545" s="6" t="inlineStr">
        <is>
          <t>-</t>
        </is>
      </c>
      <c r="G545" s="7">
        <f>Rebalance_Audit!G5153</f>
        <v/>
      </c>
      <c r="H545" s="9">
        <f>Rebalance_Audit!Q5153</f>
        <v/>
      </c>
      <c r="I545" s="7">
        <f>Rebalance_Audit!R5153</f>
        <v/>
      </c>
      <c r="J545" s="8">
        <f>Rebalance_Audit!S5153</f>
        <v/>
      </c>
    </row>
    <row r="546">
      <c r="A546" s="6" t="inlineStr">
        <is>
          <t>DJ30</t>
        </is>
      </c>
      <c r="B546" s="6" t="inlineStr">
        <is>
          <t>2026-03-13</t>
        </is>
      </c>
      <c r="C546" s="6" t="inlineStr">
        <is>
          <t>DIA</t>
        </is>
      </c>
      <c r="D546" s="6" t="inlineStr">
        <is>
          <t>GS</t>
        </is>
      </c>
      <c r="E546" s="6" t="inlineStr">
        <is>
          <t>GS</t>
        </is>
      </c>
      <c r="F546" s="6" t="inlineStr">
        <is>
          <t>-</t>
        </is>
      </c>
      <c r="G546" s="7">
        <f>Rebalance_Audit!G5158</f>
        <v/>
      </c>
      <c r="H546" s="9">
        <f>Rebalance_Audit!Q5158</f>
        <v/>
      </c>
      <c r="I546" s="7">
        <f>Rebalance_Audit!R5158</f>
        <v/>
      </c>
      <c r="J546" s="8">
        <f>Rebalance_Audit!S5158</f>
        <v/>
      </c>
    </row>
    <row r="547">
      <c r="A547" s="6" t="inlineStr">
        <is>
          <t>DJ30</t>
        </is>
      </c>
      <c r="B547" s="6" t="inlineStr">
        <is>
          <t>2026-03-13</t>
        </is>
      </c>
      <c r="C547" s="6" t="inlineStr">
        <is>
          <t>DIA</t>
        </is>
      </c>
      <c r="D547" s="6" t="inlineStr">
        <is>
          <t>JNJ</t>
        </is>
      </c>
      <c r="E547" s="6" t="inlineStr">
        <is>
          <t>JNJ</t>
        </is>
      </c>
      <c r="F547" s="6" t="inlineStr">
        <is>
          <t>-</t>
        </is>
      </c>
      <c r="G547" s="7">
        <f>Rebalance_Audit!G5162</f>
        <v/>
      </c>
      <c r="H547" s="9">
        <f>Rebalance_Audit!Q5162</f>
        <v/>
      </c>
      <c r="I547" s="7">
        <f>Rebalance_Audit!R5162</f>
        <v/>
      </c>
      <c r="J547" s="8">
        <f>Rebalance_Audit!S5162</f>
        <v/>
      </c>
    </row>
    <row r="548">
      <c r="A548" s="6" t="inlineStr">
        <is>
          <t>DJ30</t>
        </is>
      </c>
      <c r="B548" s="6" t="inlineStr">
        <is>
          <t>2026-03-13</t>
        </is>
      </c>
      <c r="C548" s="6" t="inlineStr">
        <is>
          <t>DIA</t>
        </is>
      </c>
      <c r="D548" s="6" t="inlineStr">
        <is>
          <t>NVDA</t>
        </is>
      </c>
      <c r="E548" s="6" t="inlineStr">
        <is>
          <t>NVDA</t>
        </is>
      </c>
      <c r="F548" s="6" t="inlineStr">
        <is>
          <t>-</t>
        </is>
      </c>
      <c r="G548" s="7">
        <f>Rebalance_Audit!G5170</f>
        <v/>
      </c>
      <c r="H548" s="9">
        <f>Rebalance_Audit!Q5170</f>
        <v/>
      </c>
      <c r="I548" s="7">
        <f>Rebalance_Audit!R5170</f>
        <v/>
      </c>
      <c r="J548" s="8">
        <f>Rebalance_Audit!S5170</f>
        <v/>
      </c>
    </row>
    <row r="549">
      <c r="A549" s="6" t="inlineStr">
        <is>
          <t>DJ30</t>
        </is>
      </c>
      <c r="B549" s="6" t="inlineStr">
        <is>
          <t>2026-03-13</t>
        </is>
      </c>
      <c r="C549" s="6" t="inlineStr">
        <is>
          <t>DIA</t>
        </is>
      </c>
      <c r="D549" s="6" t="inlineStr">
        <is>
          <t>CSCO</t>
        </is>
      </c>
      <c r="E549" s="6" t="inlineStr">
        <is>
          <t>CSCO</t>
        </is>
      </c>
      <c r="F549" s="6" t="inlineStr">
        <is>
          <t>-</t>
        </is>
      </c>
      <c r="G549" s="7">
        <f>Rebalance_Audit!G5155</f>
        <v/>
      </c>
      <c r="H549" s="9">
        <f>Rebalance_Audit!Q5155</f>
        <v/>
      </c>
      <c r="I549" s="7">
        <f>Rebalance_Audit!R5155</f>
        <v/>
      </c>
      <c r="J549" s="8">
        <f>Rebalance_Audit!S5155</f>
        <v/>
      </c>
    </row>
    <row r="550">
      <c r="A550" s="6" t="inlineStr">
        <is>
          <t>DJ30</t>
        </is>
      </c>
      <c r="B550" s="6" t="inlineStr">
        <is>
          <t>2026-03-20</t>
        </is>
      </c>
      <c r="C550" s="6" t="inlineStr">
        <is>
          <t>DIA</t>
        </is>
      </c>
      <c r="D550" s="6" t="inlineStr">
        <is>
          <t>CAT</t>
        </is>
      </c>
      <c r="E550" s="6" t="inlineStr">
        <is>
          <t>CAT</t>
        </is>
      </c>
      <c r="F550" s="6" t="inlineStr">
        <is>
          <t>-</t>
        </is>
      </c>
      <c r="G550" s="7">
        <f>Rebalance_Audit!G5184</f>
        <v/>
      </c>
      <c r="H550" s="9">
        <f>Rebalance_Audit!Q5184</f>
        <v/>
      </c>
      <c r="I550" s="7">
        <f>Rebalance_Audit!R5184</f>
        <v/>
      </c>
      <c r="J550" s="8">
        <f>Rebalance_Audit!S5184</f>
        <v/>
      </c>
    </row>
    <row r="551">
      <c r="A551" s="6" t="inlineStr">
        <is>
          <t>DJ30</t>
        </is>
      </c>
      <c r="B551" s="6" t="inlineStr">
        <is>
          <t>2026-03-20</t>
        </is>
      </c>
      <c r="C551" s="6" t="inlineStr">
        <is>
          <t>DIA</t>
        </is>
      </c>
      <c r="D551" s="6" t="inlineStr">
        <is>
          <t>JNJ</t>
        </is>
      </c>
      <c r="E551" s="6" t="inlineStr">
        <is>
          <t>JNJ</t>
        </is>
      </c>
      <c r="F551" s="6" t="inlineStr">
        <is>
          <t>-</t>
        </is>
      </c>
      <c r="G551" s="7">
        <f>Rebalance_Audit!G5193</f>
        <v/>
      </c>
      <c r="H551" s="9">
        <f>Rebalance_Audit!Q5193</f>
        <v/>
      </c>
      <c r="I551" s="7">
        <f>Rebalance_Audit!R5193</f>
        <v/>
      </c>
      <c r="J551" s="8">
        <f>Rebalance_Audit!S5193</f>
        <v/>
      </c>
    </row>
    <row r="552">
      <c r="A552" s="6" t="inlineStr">
        <is>
          <t>DJ30</t>
        </is>
      </c>
      <c r="B552" s="6" t="inlineStr">
        <is>
          <t>2026-03-20</t>
        </is>
      </c>
      <c r="C552" s="6" t="inlineStr">
        <is>
          <t>DIA</t>
        </is>
      </c>
      <c r="D552" s="6" t="inlineStr">
        <is>
          <t>GS</t>
        </is>
      </c>
      <c r="E552" s="6" t="inlineStr">
        <is>
          <t>GS</t>
        </is>
      </c>
      <c r="F552" s="6" t="inlineStr">
        <is>
          <t>-</t>
        </is>
      </c>
      <c r="G552" s="7">
        <f>Rebalance_Audit!G5189</f>
        <v/>
      </c>
      <c r="H552" s="9">
        <f>Rebalance_Audit!Q5189</f>
        <v/>
      </c>
      <c r="I552" s="7">
        <f>Rebalance_Audit!R5189</f>
        <v/>
      </c>
      <c r="J552" s="8">
        <f>Rebalance_Audit!S5189</f>
        <v/>
      </c>
    </row>
    <row r="553">
      <c r="A553" s="6" t="inlineStr">
        <is>
          <t>DJ30</t>
        </is>
      </c>
      <c r="B553" s="6" t="inlineStr">
        <is>
          <t>2026-03-20</t>
        </is>
      </c>
      <c r="C553" s="6" t="inlineStr">
        <is>
          <t>DIA</t>
        </is>
      </c>
      <c r="D553" s="6" t="inlineStr">
        <is>
          <t>NVDA</t>
        </is>
      </c>
      <c r="E553" s="6" t="inlineStr">
        <is>
          <t>NVDA</t>
        </is>
      </c>
      <c r="F553" s="6" t="inlineStr">
        <is>
          <t>-</t>
        </is>
      </c>
      <c r="G553" s="7">
        <f>Rebalance_Audit!G5201</f>
        <v/>
      </c>
      <c r="H553" s="9">
        <f>Rebalance_Audit!Q5201</f>
        <v/>
      </c>
      <c r="I553" s="7">
        <f>Rebalance_Audit!R5201</f>
        <v/>
      </c>
      <c r="J553" s="8">
        <f>Rebalance_Audit!S5201</f>
        <v/>
      </c>
    </row>
    <row r="554">
      <c r="A554" s="6" t="inlineStr">
        <is>
          <t>DJ30</t>
        </is>
      </c>
      <c r="B554" s="6" t="inlineStr">
        <is>
          <t>2026-03-20</t>
        </is>
      </c>
      <c r="C554" s="6" t="inlineStr">
        <is>
          <t>DIA</t>
        </is>
      </c>
      <c r="D554" s="6" t="inlineStr">
        <is>
          <t>CSCO</t>
        </is>
      </c>
      <c r="E554" s="6" t="inlineStr">
        <is>
          <t>CSCO</t>
        </is>
      </c>
      <c r="F554" s="6" t="inlineStr">
        <is>
          <t>-</t>
        </is>
      </c>
      <c r="G554" s="7">
        <f>Rebalance_Audit!G5186</f>
        <v/>
      </c>
      <c r="H554" s="9">
        <f>Rebalance_Audit!Q5186</f>
        <v/>
      </c>
      <c r="I554" s="7">
        <f>Rebalance_Audit!R5186</f>
        <v/>
      </c>
      <c r="J554" s="8">
        <f>Rebalance_Audit!S5186</f>
        <v/>
      </c>
    </row>
    <row r="555">
      <c r="A555" s="6" t="inlineStr">
        <is>
          <t>DJ30</t>
        </is>
      </c>
      <c r="B555" s="6" t="inlineStr">
        <is>
          <t>2026-03-27</t>
        </is>
      </c>
      <c r="C555" s="6" t="inlineStr">
        <is>
          <t>DIA</t>
        </is>
      </c>
      <c r="D555" s="6" t="inlineStr">
        <is>
          <t>CAT</t>
        </is>
      </c>
      <c r="E555" s="6" t="inlineStr">
        <is>
          <t>CAT</t>
        </is>
      </c>
      <c r="F555" s="6" t="inlineStr">
        <is>
          <t>-</t>
        </is>
      </c>
      <c r="G555" s="7">
        <f>Rebalance_Audit!G5215</f>
        <v/>
      </c>
      <c r="H555" s="9">
        <f>Rebalance_Audit!Q5215</f>
        <v/>
      </c>
      <c r="I555" s="7">
        <f>Rebalance_Audit!R5215</f>
        <v/>
      </c>
      <c r="J555" s="8">
        <f>Rebalance_Audit!S5215</f>
        <v/>
      </c>
    </row>
    <row r="556">
      <c r="A556" s="6" t="inlineStr">
        <is>
          <t>DJ30</t>
        </is>
      </c>
      <c r="B556" s="6" t="inlineStr">
        <is>
          <t>2026-03-27</t>
        </is>
      </c>
      <c r="C556" s="6" t="inlineStr">
        <is>
          <t>DIA</t>
        </is>
      </c>
      <c r="D556" s="6" t="inlineStr">
        <is>
          <t>JNJ</t>
        </is>
      </c>
      <c r="E556" s="6" t="inlineStr">
        <is>
          <t>JNJ</t>
        </is>
      </c>
      <c r="F556" s="6" t="inlineStr">
        <is>
          <t>-</t>
        </is>
      </c>
      <c r="G556" s="7">
        <f>Rebalance_Audit!G5224</f>
        <v/>
      </c>
      <c r="H556" s="9">
        <f>Rebalance_Audit!Q5224</f>
        <v/>
      </c>
      <c r="I556" s="7">
        <f>Rebalance_Audit!R5224</f>
        <v/>
      </c>
      <c r="J556" s="8">
        <f>Rebalance_Audit!S5224</f>
        <v/>
      </c>
    </row>
    <row r="557">
      <c r="A557" s="6" t="inlineStr">
        <is>
          <t>DJ30</t>
        </is>
      </c>
      <c r="B557" s="6" t="inlineStr">
        <is>
          <t>2026-03-27</t>
        </is>
      </c>
      <c r="C557" s="6" t="inlineStr">
        <is>
          <t>DIA</t>
        </is>
      </c>
      <c r="D557" s="6" t="inlineStr">
        <is>
          <t>GS</t>
        </is>
      </c>
      <c r="E557" s="6" t="inlineStr">
        <is>
          <t>GS</t>
        </is>
      </c>
      <c r="F557" s="6" t="inlineStr">
        <is>
          <t>-</t>
        </is>
      </c>
      <c r="G557" s="7">
        <f>Rebalance_Audit!G5220</f>
        <v/>
      </c>
      <c r="H557" s="9">
        <f>Rebalance_Audit!Q5220</f>
        <v/>
      </c>
      <c r="I557" s="7">
        <f>Rebalance_Audit!R5220</f>
        <v/>
      </c>
      <c r="J557" s="8">
        <f>Rebalance_Audit!S5220</f>
        <v/>
      </c>
    </row>
    <row r="558">
      <c r="A558" s="6" t="inlineStr">
        <is>
          <t>DJ30</t>
        </is>
      </c>
      <c r="B558" s="6" t="inlineStr">
        <is>
          <t>2026-03-27</t>
        </is>
      </c>
      <c r="C558" s="6" t="inlineStr">
        <is>
          <t>DIA</t>
        </is>
      </c>
      <c r="D558" s="6" t="inlineStr">
        <is>
          <t>MRK</t>
        </is>
      </c>
      <c r="E558" s="6" t="inlineStr">
        <is>
          <t>MRK</t>
        </is>
      </c>
      <c r="F558" s="6" t="inlineStr">
        <is>
          <t>-</t>
        </is>
      </c>
      <c r="G558" s="7">
        <f>Rebalance_Audit!G5229</f>
        <v/>
      </c>
      <c r="H558" s="9">
        <f>Rebalance_Audit!Q5229</f>
        <v/>
      </c>
      <c r="I558" s="7">
        <f>Rebalance_Audit!R5229</f>
        <v/>
      </c>
      <c r="J558" s="8">
        <f>Rebalance_Audit!S5229</f>
        <v/>
      </c>
    </row>
    <row r="559">
      <c r="A559" s="6" t="inlineStr">
        <is>
          <t>DJ30</t>
        </is>
      </c>
      <c r="B559" s="6" t="inlineStr">
        <is>
          <t>2026-03-27</t>
        </is>
      </c>
      <c r="C559" s="6" t="inlineStr">
        <is>
          <t>DIA</t>
        </is>
      </c>
      <c r="D559" s="6" t="inlineStr">
        <is>
          <t>CSCO</t>
        </is>
      </c>
      <c r="E559" s="6" t="inlineStr">
        <is>
          <t>CSCO</t>
        </is>
      </c>
      <c r="F559" s="6" t="inlineStr">
        <is>
          <t>-</t>
        </is>
      </c>
      <c r="G559" s="7">
        <f>Rebalance_Audit!G5217</f>
        <v/>
      </c>
      <c r="H559" s="9">
        <f>Rebalance_Audit!Q5217</f>
        <v/>
      </c>
      <c r="I559" s="7">
        <f>Rebalance_Audit!R5217</f>
        <v/>
      </c>
      <c r="J559" s="8">
        <f>Rebalance_Audit!S5217</f>
        <v/>
      </c>
    </row>
    <row r="560">
      <c r="A560" s="6" t="inlineStr">
        <is>
          <t>DJ30</t>
        </is>
      </c>
      <c r="B560" s="6" t="inlineStr">
        <is>
          <t>2026-04-03</t>
        </is>
      </c>
      <c r="C560" s="6" t="inlineStr">
        <is>
          <t>DIA</t>
        </is>
      </c>
      <c r="D560" s="6" t="inlineStr">
        <is>
          <t>CAT</t>
        </is>
      </c>
      <c r="E560" s="6" t="inlineStr">
        <is>
          <t>CAT</t>
        </is>
      </c>
      <c r="F560" s="6" t="inlineStr">
        <is>
          <t>-</t>
        </is>
      </c>
      <c r="G560" s="7">
        <f>Rebalance_Audit!G5246</f>
        <v/>
      </c>
      <c r="H560" s="9">
        <f>Rebalance_Audit!Q5246</f>
        <v/>
      </c>
      <c r="I560" s="7">
        <f>Rebalance_Audit!R5246</f>
        <v/>
      </c>
      <c r="J560" s="8">
        <f>Rebalance_Audit!S5246</f>
        <v/>
      </c>
    </row>
    <row r="561">
      <c r="A561" s="6" t="inlineStr">
        <is>
          <t>DJ30</t>
        </is>
      </c>
      <c r="B561" s="6" t="inlineStr">
        <is>
          <t>2026-04-03</t>
        </is>
      </c>
      <c r="C561" s="6" t="inlineStr">
        <is>
          <t>DIA</t>
        </is>
      </c>
      <c r="D561" s="6" t="inlineStr">
        <is>
          <t>JNJ</t>
        </is>
      </c>
      <c r="E561" s="6" t="inlineStr">
        <is>
          <t>JNJ</t>
        </is>
      </c>
      <c r="F561" s="6" t="inlineStr">
        <is>
          <t>-</t>
        </is>
      </c>
      <c r="G561" s="7">
        <f>Rebalance_Audit!G5255</f>
        <v/>
      </c>
      <c r="H561" s="9">
        <f>Rebalance_Audit!Q5255</f>
        <v/>
      </c>
      <c r="I561" s="7">
        <f>Rebalance_Audit!R5255</f>
        <v/>
      </c>
      <c r="J561" s="8">
        <f>Rebalance_Audit!S5255</f>
        <v/>
      </c>
    </row>
    <row r="562">
      <c r="A562" s="6" t="inlineStr">
        <is>
          <t>DJ30</t>
        </is>
      </c>
      <c r="B562" s="6" t="inlineStr">
        <is>
          <t>2026-04-03</t>
        </is>
      </c>
      <c r="C562" s="6" t="inlineStr">
        <is>
          <t>DIA</t>
        </is>
      </c>
      <c r="D562" s="6" t="inlineStr">
        <is>
          <t>GS</t>
        </is>
      </c>
      <c r="E562" s="6" t="inlineStr">
        <is>
          <t>GS</t>
        </is>
      </c>
      <c r="F562" s="6" t="inlineStr">
        <is>
          <t>-</t>
        </is>
      </c>
      <c r="G562" s="7">
        <f>Rebalance_Audit!G5251</f>
        <v/>
      </c>
      <c r="H562" s="9">
        <f>Rebalance_Audit!Q5251</f>
        <v/>
      </c>
      <c r="I562" s="7">
        <f>Rebalance_Audit!R5251</f>
        <v/>
      </c>
      <c r="J562" s="8">
        <f>Rebalance_Audit!S5251</f>
        <v/>
      </c>
    </row>
    <row r="563">
      <c r="A563" s="6" t="inlineStr">
        <is>
          <t>DJ30</t>
        </is>
      </c>
      <c r="B563" s="6" t="inlineStr">
        <is>
          <t>2026-04-03</t>
        </is>
      </c>
      <c r="C563" s="6" t="inlineStr">
        <is>
          <t>DIA</t>
        </is>
      </c>
      <c r="D563" s="6" t="inlineStr">
        <is>
          <t>CSCO</t>
        </is>
      </c>
      <c r="E563" s="6" t="inlineStr">
        <is>
          <t>CSCO</t>
        </is>
      </c>
      <c r="F563" s="6" t="inlineStr">
        <is>
          <t>-</t>
        </is>
      </c>
      <c r="G563" s="7">
        <f>Rebalance_Audit!G5248</f>
        <v/>
      </c>
      <c r="H563" s="9">
        <f>Rebalance_Audit!Q5248</f>
        <v/>
      </c>
      <c r="I563" s="7">
        <f>Rebalance_Audit!R5248</f>
        <v/>
      </c>
      <c r="J563" s="8">
        <f>Rebalance_Audit!S5248</f>
        <v/>
      </c>
    </row>
    <row r="564">
      <c r="A564" s="6" t="inlineStr">
        <is>
          <t>DJ30</t>
        </is>
      </c>
      <c r="B564" s="6" t="inlineStr">
        <is>
          <t>2026-04-03</t>
        </is>
      </c>
      <c r="C564" s="6" t="inlineStr">
        <is>
          <t>DIA</t>
        </is>
      </c>
      <c r="D564" s="6" t="inlineStr">
        <is>
          <t>CVX</t>
        </is>
      </c>
      <c r="E564" s="6" t="inlineStr">
        <is>
          <t>CVX</t>
        </is>
      </c>
      <c r="F564" s="6" t="inlineStr">
        <is>
          <t>-</t>
        </is>
      </c>
      <c r="G564" s="7">
        <f>Rebalance_Audit!G5249</f>
        <v/>
      </c>
      <c r="H564" s="9">
        <f>Rebalance_Audit!Q5249</f>
        <v/>
      </c>
      <c r="I564" s="7">
        <f>Rebalance_Audit!R5249</f>
        <v/>
      </c>
      <c r="J564" s="8">
        <f>Rebalance_Audit!S5249</f>
        <v/>
      </c>
    </row>
    <row r="565">
      <c r="A565" s="6" t="inlineStr">
        <is>
          <t>DJ30</t>
        </is>
      </c>
      <c r="B565" s="6" t="inlineStr">
        <is>
          <t>2026-04-10</t>
        </is>
      </c>
      <c r="C565" s="6" t="inlineStr">
        <is>
          <t>DIA</t>
        </is>
      </c>
      <c r="D565" s="6" t="inlineStr">
        <is>
          <t>CAT</t>
        </is>
      </c>
      <c r="E565" s="6" t="inlineStr">
        <is>
          <t>CAT</t>
        </is>
      </c>
      <c r="F565" s="6" t="inlineStr">
        <is>
          <t>-</t>
        </is>
      </c>
      <c r="G565" s="7">
        <f>Rebalance_Audit!G5277</f>
        <v/>
      </c>
      <c r="H565" s="9">
        <f>Rebalance_Audit!Q5277</f>
        <v/>
      </c>
      <c r="I565" s="7">
        <f>Rebalance_Audit!R5277</f>
        <v/>
      </c>
      <c r="J565" s="8">
        <f>Rebalance_Audit!S5277</f>
        <v/>
      </c>
    </row>
    <row r="566">
      <c r="A566" s="6" t="inlineStr">
        <is>
          <t>DJ30</t>
        </is>
      </c>
      <c r="B566" s="6" t="inlineStr">
        <is>
          <t>2026-04-10</t>
        </is>
      </c>
      <c r="C566" s="6" t="inlineStr">
        <is>
          <t>DIA</t>
        </is>
      </c>
      <c r="D566" s="6" t="inlineStr">
        <is>
          <t>JNJ</t>
        </is>
      </c>
      <c r="E566" s="6" t="inlineStr">
        <is>
          <t>JNJ</t>
        </is>
      </c>
      <c r="F566" s="6" t="inlineStr">
        <is>
          <t>-</t>
        </is>
      </c>
      <c r="G566" s="7">
        <f>Rebalance_Audit!G5286</f>
        <v/>
      </c>
      <c r="H566" s="9">
        <f>Rebalance_Audit!Q5286</f>
        <v/>
      </c>
      <c r="I566" s="7">
        <f>Rebalance_Audit!R5286</f>
        <v/>
      </c>
      <c r="J566" s="8">
        <f>Rebalance_Audit!S5286</f>
        <v/>
      </c>
    </row>
    <row r="567">
      <c r="A567" s="6" t="inlineStr">
        <is>
          <t>DJ30</t>
        </is>
      </c>
      <c r="B567" s="6" t="inlineStr">
        <is>
          <t>2026-04-10</t>
        </is>
      </c>
      <c r="C567" s="6" t="inlineStr">
        <is>
          <t>DIA</t>
        </is>
      </c>
      <c r="D567" s="6" t="inlineStr">
        <is>
          <t>GS</t>
        </is>
      </c>
      <c r="E567" s="6" t="inlineStr">
        <is>
          <t>GS</t>
        </is>
      </c>
      <c r="F567" s="6" t="inlineStr">
        <is>
          <t>-</t>
        </is>
      </c>
      <c r="G567" s="7">
        <f>Rebalance_Audit!G5282</f>
        <v/>
      </c>
      <c r="H567" s="9">
        <f>Rebalance_Audit!Q5282</f>
        <v/>
      </c>
      <c r="I567" s="7">
        <f>Rebalance_Audit!R5282</f>
        <v/>
      </c>
      <c r="J567" s="8">
        <f>Rebalance_Audit!S5282</f>
        <v/>
      </c>
    </row>
    <row r="568">
      <c r="A568" s="6" t="inlineStr">
        <is>
          <t>DJ30</t>
        </is>
      </c>
      <c r="B568" s="6" t="inlineStr">
        <is>
          <t>2026-04-10</t>
        </is>
      </c>
      <c r="C568" s="6" t="inlineStr">
        <is>
          <t>DIA</t>
        </is>
      </c>
      <c r="D568" s="6" t="inlineStr">
        <is>
          <t>CVX</t>
        </is>
      </c>
      <c r="E568" s="6" t="inlineStr">
        <is>
          <t>CVX</t>
        </is>
      </c>
      <c r="F568" s="6" t="inlineStr">
        <is>
          <t>-</t>
        </is>
      </c>
      <c r="G568" s="7">
        <f>Rebalance_Audit!G5280</f>
        <v/>
      </c>
      <c r="H568" s="9">
        <f>Rebalance_Audit!Q5280</f>
        <v/>
      </c>
      <c r="I568" s="7">
        <f>Rebalance_Audit!R5280</f>
        <v/>
      </c>
      <c r="J568" s="8">
        <f>Rebalance_Audit!S5280</f>
        <v/>
      </c>
    </row>
    <row r="569">
      <c r="A569" s="6" t="inlineStr">
        <is>
          <t>DJ30</t>
        </is>
      </c>
      <c r="B569" s="6" t="inlineStr">
        <is>
          <t>2026-04-10</t>
        </is>
      </c>
      <c r="C569" s="6" t="inlineStr">
        <is>
          <t>DIA</t>
        </is>
      </c>
      <c r="D569" s="6" t="inlineStr">
        <is>
          <t>CSCO</t>
        </is>
      </c>
      <c r="E569" s="6" t="inlineStr">
        <is>
          <t>CSCO</t>
        </is>
      </c>
      <c r="F569" s="6" t="inlineStr">
        <is>
          <t>-</t>
        </is>
      </c>
      <c r="G569" s="7">
        <f>Rebalance_Audit!G5279</f>
        <v/>
      </c>
      <c r="H569" s="9">
        <f>Rebalance_Audit!Q5279</f>
        <v/>
      </c>
      <c r="I569" s="7">
        <f>Rebalance_Audit!R5279</f>
        <v/>
      </c>
      <c r="J569" s="8">
        <f>Rebalance_Audit!S5279</f>
        <v/>
      </c>
    </row>
    <row r="570">
      <c r="A570" s="6" t="inlineStr">
        <is>
          <t>DJ30</t>
        </is>
      </c>
      <c r="B570" s="6" t="inlineStr">
        <is>
          <t>2026-04-17</t>
        </is>
      </c>
      <c r="C570" s="6" t="inlineStr">
        <is>
          <t>DIA</t>
        </is>
      </c>
      <c r="D570" s="6" t="inlineStr">
        <is>
          <t>CAT</t>
        </is>
      </c>
      <c r="E570" s="6" t="inlineStr">
        <is>
          <t>CAT</t>
        </is>
      </c>
      <c r="F570" s="6" t="inlineStr">
        <is>
          <t>-</t>
        </is>
      </c>
      <c r="G570" s="7">
        <f>Rebalance_Audit!G5308</f>
        <v/>
      </c>
      <c r="H570" s="9">
        <f>Rebalance_Audit!Q5308</f>
        <v/>
      </c>
      <c r="I570" s="7">
        <f>Rebalance_Audit!R5308</f>
        <v/>
      </c>
      <c r="J570" s="8">
        <f>Rebalance_Audit!S5308</f>
        <v/>
      </c>
    </row>
    <row r="571">
      <c r="A571" s="6" t="inlineStr">
        <is>
          <t>DJ30</t>
        </is>
      </c>
      <c r="B571" s="6" t="inlineStr">
        <is>
          <t>2026-04-17</t>
        </is>
      </c>
      <c r="C571" s="6" t="inlineStr">
        <is>
          <t>DIA</t>
        </is>
      </c>
      <c r="D571" s="6" t="inlineStr">
        <is>
          <t>JNJ</t>
        </is>
      </c>
      <c r="E571" s="6" t="inlineStr">
        <is>
          <t>JNJ</t>
        </is>
      </c>
      <c r="F571" s="6" t="inlineStr">
        <is>
          <t>-</t>
        </is>
      </c>
      <c r="G571" s="7">
        <f>Rebalance_Audit!G5317</f>
        <v/>
      </c>
      <c r="H571" s="9">
        <f>Rebalance_Audit!Q5317</f>
        <v/>
      </c>
      <c r="I571" s="7">
        <f>Rebalance_Audit!R5317</f>
        <v/>
      </c>
      <c r="J571" s="8">
        <f>Rebalance_Audit!S5317</f>
        <v/>
      </c>
    </row>
    <row r="572">
      <c r="A572" s="6" t="inlineStr">
        <is>
          <t>DJ30</t>
        </is>
      </c>
      <c r="B572" s="6" t="inlineStr">
        <is>
          <t>2026-04-17</t>
        </is>
      </c>
      <c r="C572" s="6" t="inlineStr">
        <is>
          <t>DIA</t>
        </is>
      </c>
      <c r="D572" s="6" t="inlineStr">
        <is>
          <t>GS</t>
        </is>
      </c>
      <c r="E572" s="6" t="inlineStr">
        <is>
          <t>GS</t>
        </is>
      </c>
      <c r="F572" s="6" t="inlineStr">
        <is>
          <t>-</t>
        </is>
      </c>
      <c r="G572" s="7">
        <f>Rebalance_Audit!G5313</f>
        <v/>
      </c>
      <c r="H572" s="9">
        <f>Rebalance_Audit!Q5313</f>
        <v/>
      </c>
      <c r="I572" s="7">
        <f>Rebalance_Audit!R5313</f>
        <v/>
      </c>
      <c r="J572" s="8">
        <f>Rebalance_Audit!S5313</f>
        <v/>
      </c>
    </row>
    <row r="573">
      <c r="A573" s="6" t="inlineStr">
        <is>
          <t>DJ30</t>
        </is>
      </c>
      <c r="B573" s="6" t="inlineStr">
        <is>
          <t>2026-04-17</t>
        </is>
      </c>
      <c r="C573" s="6" t="inlineStr">
        <is>
          <t>DIA</t>
        </is>
      </c>
      <c r="D573" s="6" t="inlineStr">
        <is>
          <t>CVX</t>
        </is>
      </c>
      <c r="E573" s="6" t="inlineStr">
        <is>
          <t>CVX</t>
        </is>
      </c>
      <c r="F573" s="6" t="inlineStr">
        <is>
          <t>-</t>
        </is>
      </c>
      <c r="G573" s="7">
        <f>Rebalance_Audit!G5311</f>
        <v/>
      </c>
      <c r="H573" s="9">
        <f>Rebalance_Audit!Q5311</f>
        <v/>
      </c>
      <c r="I573" s="7">
        <f>Rebalance_Audit!R5311</f>
        <v/>
      </c>
      <c r="J573" s="8">
        <f>Rebalance_Audit!S5311</f>
        <v/>
      </c>
    </row>
    <row r="574">
      <c r="A574" s="6" t="inlineStr">
        <is>
          <t>DJ30</t>
        </is>
      </c>
      <c r="B574" s="6" t="inlineStr">
        <is>
          <t>2026-04-17</t>
        </is>
      </c>
      <c r="C574" s="6" t="inlineStr">
        <is>
          <t>DIA</t>
        </is>
      </c>
      <c r="D574" s="6" t="inlineStr">
        <is>
          <t>CSCO</t>
        </is>
      </c>
      <c r="E574" s="6" t="inlineStr">
        <is>
          <t>CSCO</t>
        </is>
      </c>
      <c r="F574" s="6" t="inlineStr">
        <is>
          <t>-</t>
        </is>
      </c>
      <c r="G574" s="7">
        <f>Rebalance_Audit!G5310</f>
        <v/>
      </c>
      <c r="H574" s="9">
        <f>Rebalance_Audit!Q5310</f>
        <v/>
      </c>
      <c r="I574" s="7">
        <f>Rebalance_Audit!R5310</f>
        <v/>
      </c>
      <c r="J574" s="8">
        <f>Rebalance_Audit!S5310</f>
        <v/>
      </c>
    </row>
    <row r="575">
      <c r="A575" s="6" t="inlineStr">
        <is>
          <t>DJ30</t>
        </is>
      </c>
      <c r="B575" s="6" t="inlineStr">
        <is>
          <t>2026-04-24</t>
        </is>
      </c>
      <c r="C575" s="6" t="inlineStr">
        <is>
          <t>DIA</t>
        </is>
      </c>
      <c r="D575" s="6" t="inlineStr">
        <is>
          <t>CAT</t>
        </is>
      </c>
      <c r="E575" s="6" t="inlineStr">
        <is>
          <t>CAT</t>
        </is>
      </c>
      <c r="F575" s="6" t="inlineStr">
        <is>
          <t>-</t>
        </is>
      </c>
      <c r="G575" s="7">
        <f>Rebalance_Audit!G5339</f>
        <v/>
      </c>
      <c r="H575" s="9">
        <f>Rebalance_Audit!Q5339</f>
        <v/>
      </c>
      <c r="I575" s="7">
        <f>Rebalance_Audit!R5339</f>
        <v/>
      </c>
      <c r="J575" s="8">
        <f>Rebalance_Audit!S5339</f>
        <v/>
      </c>
    </row>
    <row r="576">
      <c r="A576" s="6" t="inlineStr">
        <is>
          <t>DJ30</t>
        </is>
      </c>
      <c r="B576" s="6" t="inlineStr">
        <is>
          <t>2026-04-24</t>
        </is>
      </c>
      <c r="C576" s="6" t="inlineStr">
        <is>
          <t>DIA</t>
        </is>
      </c>
      <c r="D576" s="6" t="inlineStr">
        <is>
          <t>JNJ</t>
        </is>
      </c>
      <c r="E576" s="6" t="inlineStr">
        <is>
          <t>JNJ</t>
        </is>
      </c>
      <c r="F576" s="6" t="inlineStr">
        <is>
          <t>-</t>
        </is>
      </c>
      <c r="G576" s="7">
        <f>Rebalance_Audit!G5348</f>
        <v/>
      </c>
      <c r="H576" s="9">
        <f>Rebalance_Audit!Q5348</f>
        <v/>
      </c>
      <c r="I576" s="7">
        <f>Rebalance_Audit!R5348</f>
        <v/>
      </c>
      <c r="J576" s="8">
        <f>Rebalance_Audit!S5348</f>
        <v/>
      </c>
    </row>
    <row r="577">
      <c r="A577" s="6" t="inlineStr">
        <is>
          <t>DJ30</t>
        </is>
      </c>
      <c r="B577" s="6" t="inlineStr">
        <is>
          <t>2026-04-24</t>
        </is>
      </c>
      <c r="C577" s="6" t="inlineStr">
        <is>
          <t>DIA</t>
        </is>
      </c>
      <c r="D577" s="6" t="inlineStr">
        <is>
          <t>GS</t>
        </is>
      </c>
      <c r="E577" s="6" t="inlineStr">
        <is>
          <t>GS</t>
        </is>
      </c>
      <c r="F577" s="6" t="inlineStr">
        <is>
          <t>-</t>
        </is>
      </c>
      <c r="G577" s="7">
        <f>Rebalance_Audit!G5344</f>
        <v/>
      </c>
      <c r="H577" s="9">
        <f>Rebalance_Audit!Q5344</f>
        <v/>
      </c>
      <c r="I577" s="7">
        <f>Rebalance_Audit!R5344</f>
        <v/>
      </c>
      <c r="J577" s="8">
        <f>Rebalance_Audit!S5344</f>
        <v/>
      </c>
    </row>
    <row r="578">
      <c r="A578" s="6" t="inlineStr">
        <is>
          <t>DJ30</t>
        </is>
      </c>
      <c r="B578" s="6" t="inlineStr">
        <is>
          <t>2026-04-24</t>
        </is>
      </c>
      <c r="C578" s="6" t="inlineStr">
        <is>
          <t>DIA</t>
        </is>
      </c>
      <c r="D578" s="6" t="inlineStr">
        <is>
          <t>CVX</t>
        </is>
      </c>
      <c r="E578" s="6" t="inlineStr">
        <is>
          <t>CVX</t>
        </is>
      </c>
      <c r="F578" s="6" t="inlineStr">
        <is>
          <t>-</t>
        </is>
      </c>
      <c r="G578" s="7">
        <f>Rebalance_Audit!G5342</f>
        <v/>
      </c>
      <c r="H578" s="9">
        <f>Rebalance_Audit!Q5342</f>
        <v/>
      </c>
      <c r="I578" s="7">
        <f>Rebalance_Audit!R5342</f>
        <v/>
      </c>
      <c r="J578" s="8">
        <f>Rebalance_Audit!S5342</f>
        <v/>
      </c>
    </row>
    <row r="579">
      <c r="A579" s="6" t="inlineStr">
        <is>
          <t>DJ30</t>
        </is>
      </c>
      <c r="B579" s="6" t="inlineStr">
        <is>
          <t>2026-04-24</t>
        </is>
      </c>
      <c r="C579" s="6" t="inlineStr">
        <is>
          <t>DIA</t>
        </is>
      </c>
      <c r="D579" s="6" t="inlineStr">
        <is>
          <t>CSCO</t>
        </is>
      </c>
      <c r="E579" s="6" t="inlineStr">
        <is>
          <t>CSCO</t>
        </is>
      </c>
      <c r="F579" s="6" t="inlineStr">
        <is>
          <t>-</t>
        </is>
      </c>
      <c r="G579" s="7">
        <f>Rebalance_Audit!G5341</f>
        <v/>
      </c>
      <c r="H579" s="9">
        <f>Rebalance_Audit!Q5341</f>
        <v/>
      </c>
      <c r="I579" s="7">
        <f>Rebalance_Audit!R5341</f>
        <v/>
      </c>
      <c r="J579" s="8">
        <f>Rebalance_Audit!S5341</f>
        <v/>
      </c>
    </row>
    <row r="580">
      <c r="A580" s="6" t="inlineStr">
        <is>
          <t>DJ30</t>
        </is>
      </c>
      <c r="B580" s="6" t="inlineStr">
        <is>
          <t>2026-05-01</t>
        </is>
      </c>
      <c r="C580" s="6" t="inlineStr">
        <is>
          <t>DIA</t>
        </is>
      </c>
      <c r="D580" s="6" t="inlineStr">
        <is>
          <t>CAT</t>
        </is>
      </c>
      <c r="E580" s="6" t="inlineStr">
        <is>
          <t>CAT</t>
        </is>
      </c>
      <c r="F580" s="6" t="inlineStr">
        <is>
          <t>-</t>
        </is>
      </c>
      <c r="G580" s="7">
        <f>Rebalance_Audit!G5370</f>
        <v/>
      </c>
      <c r="H580" s="9">
        <f>Rebalance_Audit!Q5370</f>
        <v/>
      </c>
      <c r="I580" s="7">
        <f>Rebalance_Audit!R5370</f>
        <v/>
      </c>
      <c r="J580" s="8">
        <f>Rebalance_Audit!S5370</f>
        <v/>
      </c>
    </row>
    <row r="581">
      <c r="A581" s="6" t="inlineStr">
        <is>
          <t>DJ30</t>
        </is>
      </c>
      <c r="B581" s="6" t="inlineStr">
        <is>
          <t>2026-05-01</t>
        </is>
      </c>
      <c r="C581" s="6" t="inlineStr">
        <is>
          <t>DIA</t>
        </is>
      </c>
      <c r="D581" s="6" t="inlineStr">
        <is>
          <t>JNJ</t>
        </is>
      </c>
      <c r="E581" s="6" t="inlineStr">
        <is>
          <t>JNJ</t>
        </is>
      </c>
      <c r="F581" s="6" t="inlineStr">
        <is>
          <t>-</t>
        </is>
      </c>
      <c r="G581" s="7">
        <f>Rebalance_Audit!G5379</f>
        <v/>
      </c>
      <c r="H581" s="9">
        <f>Rebalance_Audit!Q5379</f>
        <v/>
      </c>
      <c r="I581" s="7">
        <f>Rebalance_Audit!R5379</f>
        <v/>
      </c>
      <c r="J581" s="8">
        <f>Rebalance_Audit!S5379</f>
        <v/>
      </c>
    </row>
    <row r="582">
      <c r="A582" s="6" t="inlineStr">
        <is>
          <t>DJ30</t>
        </is>
      </c>
      <c r="B582" s="6" t="inlineStr">
        <is>
          <t>2026-05-01</t>
        </is>
      </c>
      <c r="C582" s="6" t="inlineStr">
        <is>
          <t>DIA</t>
        </is>
      </c>
      <c r="D582" s="6" t="inlineStr">
        <is>
          <t>GS</t>
        </is>
      </c>
      <c r="E582" s="6" t="inlineStr">
        <is>
          <t>GS</t>
        </is>
      </c>
      <c r="F582" s="6" t="inlineStr">
        <is>
          <t>-</t>
        </is>
      </c>
      <c r="G582" s="7">
        <f>Rebalance_Audit!G5375</f>
        <v/>
      </c>
      <c r="H582" s="9">
        <f>Rebalance_Audit!Q5375</f>
        <v/>
      </c>
      <c r="I582" s="7">
        <f>Rebalance_Audit!R5375</f>
        <v/>
      </c>
      <c r="J582" s="8">
        <f>Rebalance_Audit!S5375</f>
        <v/>
      </c>
    </row>
    <row r="583">
      <c r="A583" s="6" t="inlineStr">
        <is>
          <t>DJ30</t>
        </is>
      </c>
      <c r="B583" s="6" t="inlineStr">
        <is>
          <t>2026-05-01</t>
        </is>
      </c>
      <c r="C583" s="6" t="inlineStr">
        <is>
          <t>DIA</t>
        </is>
      </c>
      <c r="D583" s="6" t="inlineStr">
        <is>
          <t>CVX</t>
        </is>
      </c>
      <c r="E583" s="6" t="inlineStr">
        <is>
          <t>CVX</t>
        </is>
      </c>
      <c r="F583" s="6" t="inlineStr">
        <is>
          <t>-</t>
        </is>
      </c>
      <c r="G583" s="7">
        <f>Rebalance_Audit!G5373</f>
        <v/>
      </c>
      <c r="H583" s="9">
        <f>Rebalance_Audit!Q5373</f>
        <v/>
      </c>
      <c r="I583" s="7">
        <f>Rebalance_Audit!R5373</f>
        <v/>
      </c>
      <c r="J583" s="8">
        <f>Rebalance_Audit!S5373</f>
        <v/>
      </c>
    </row>
    <row r="584">
      <c r="A584" s="6" t="inlineStr">
        <is>
          <t>DJ30</t>
        </is>
      </c>
      <c r="B584" s="6" t="inlineStr">
        <is>
          <t>2026-05-01</t>
        </is>
      </c>
      <c r="C584" s="6" t="inlineStr">
        <is>
          <t>DIA</t>
        </is>
      </c>
      <c r="D584" s="6" t="inlineStr">
        <is>
          <t>CSCO</t>
        </is>
      </c>
      <c r="E584" s="6" t="inlineStr">
        <is>
          <t>CSCO</t>
        </is>
      </c>
      <c r="F584" s="6" t="inlineStr">
        <is>
          <t>-</t>
        </is>
      </c>
      <c r="G584" s="7">
        <f>Rebalance_Audit!G5372</f>
        <v/>
      </c>
      <c r="H584" s="9">
        <f>Rebalance_Audit!Q5372</f>
        <v/>
      </c>
      <c r="I584" s="7">
        <f>Rebalance_Audit!R5372</f>
        <v/>
      </c>
      <c r="J584" s="8">
        <f>Rebalance_Audit!S5372</f>
        <v/>
      </c>
    </row>
    <row r="585">
      <c r="A585" s="6" t="inlineStr">
        <is>
          <t>DJ30</t>
        </is>
      </c>
      <c r="B585" s="6" t="inlineStr">
        <is>
          <t>2026-05-08</t>
        </is>
      </c>
      <c r="C585" s="6" t="inlineStr">
        <is>
          <t>DIA</t>
        </is>
      </c>
      <c r="D585" s="6" t="inlineStr">
        <is>
          <t>CAT</t>
        </is>
      </c>
      <c r="E585" s="6" t="inlineStr">
        <is>
          <t>CAT</t>
        </is>
      </c>
      <c r="F585" s="6" t="inlineStr">
        <is>
          <t>-</t>
        </is>
      </c>
      <c r="G585" s="7">
        <f>Rebalance_Audit!G5401</f>
        <v/>
      </c>
      <c r="H585" s="9">
        <f>Rebalance_Audit!Q5401</f>
        <v/>
      </c>
      <c r="I585" s="7">
        <f>Rebalance_Audit!R5401</f>
        <v/>
      </c>
      <c r="J585" s="8">
        <f>Rebalance_Audit!S5401</f>
        <v/>
      </c>
    </row>
    <row r="586">
      <c r="A586" s="6" t="inlineStr">
        <is>
          <t>DJ30</t>
        </is>
      </c>
      <c r="B586" s="6" t="inlineStr">
        <is>
          <t>2026-05-08</t>
        </is>
      </c>
      <c r="C586" s="6" t="inlineStr">
        <is>
          <t>DIA</t>
        </is>
      </c>
      <c r="D586" s="6" t="inlineStr">
        <is>
          <t>JNJ</t>
        </is>
      </c>
      <c r="E586" s="6" t="inlineStr">
        <is>
          <t>JNJ</t>
        </is>
      </c>
      <c r="F586" s="6" t="inlineStr">
        <is>
          <t>-</t>
        </is>
      </c>
      <c r="G586" s="7">
        <f>Rebalance_Audit!G5410</f>
        <v/>
      </c>
      <c r="H586" s="9">
        <f>Rebalance_Audit!Q5410</f>
        <v/>
      </c>
      <c r="I586" s="7">
        <f>Rebalance_Audit!R5410</f>
        <v/>
      </c>
      <c r="J586" s="8">
        <f>Rebalance_Audit!S5410</f>
        <v/>
      </c>
    </row>
    <row r="587">
      <c r="A587" s="6" t="inlineStr">
        <is>
          <t>DJ30</t>
        </is>
      </c>
      <c r="B587" s="6" t="inlineStr">
        <is>
          <t>2026-05-08</t>
        </is>
      </c>
      <c r="C587" s="6" t="inlineStr">
        <is>
          <t>DIA</t>
        </is>
      </c>
      <c r="D587" s="6" t="inlineStr">
        <is>
          <t>GS</t>
        </is>
      </c>
      <c r="E587" s="6" t="inlineStr">
        <is>
          <t>GS</t>
        </is>
      </c>
      <c r="F587" s="6" t="inlineStr">
        <is>
          <t>-</t>
        </is>
      </c>
      <c r="G587" s="7">
        <f>Rebalance_Audit!G5406</f>
        <v/>
      </c>
      <c r="H587" s="9">
        <f>Rebalance_Audit!Q5406</f>
        <v/>
      </c>
      <c r="I587" s="7">
        <f>Rebalance_Audit!R5406</f>
        <v/>
      </c>
      <c r="J587" s="8">
        <f>Rebalance_Audit!S5406</f>
        <v/>
      </c>
    </row>
    <row r="588">
      <c r="A588" s="6" t="inlineStr">
        <is>
          <t>DJ30</t>
        </is>
      </c>
      <c r="B588" s="6" t="inlineStr">
        <is>
          <t>2026-05-08</t>
        </is>
      </c>
      <c r="C588" s="6" t="inlineStr">
        <is>
          <t>DIA</t>
        </is>
      </c>
      <c r="D588" s="6" t="inlineStr">
        <is>
          <t>CSCO</t>
        </is>
      </c>
      <c r="E588" s="6" t="inlineStr">
        <is>
          <t>CSCO</t>
        </is>
      </c>
      <c r="F588" s="6" t="inlineStr">
        <is>
          <t>-</t>
        </is>
      </c>
      <c r="G588" s="7">
        <f>Rebalance_Audit!G5403</f>
        <v/>
      </c>
      <c r="H588" s="9">
        <f>Rebalance_Audit!Q5403</f>
        <v/>
      </c>
      <c r="I588" s="7">
        <f>Rebalance_Audit!R5403</f>
        <v/>
      </c>
      <c r="J588" s="8">
        <f>Rebalance_Audit!S5403</f>
        <v/>
      </c>
    </row>
    <row r="589">
      <c r="A589" s="6" t="inlineStr">
        <is>
          <t>DJ30</t>
        </is>
      </c>
      <c r="B589" s="6" t="inlineStr">
        <is>
          <t>2026-05-08</t>
        </is>
      </c>
      <c r="C589" s="6" t="inlineStr">
        <is>
          <t>DIA</t>
        </is>
      </c>
      <c r="D589" s="6" t="inlineStr">
        <is>
          <t>CVX</t>
        </is>
      </c>
      <c r="E589" s="6" t="inlineStr">
        <is>
          <t>CVX</t>
        </is>
      </c>
      <c r="F589" s="6" t="inlineStr">
        <is>
          <t>-</t>
        </is>
      </c>
      <c r="G589" s="7">
        <f>Rebalance_Audit!G5404</f>
        <v/>
      </c>
      <c r="H589" s="9">
        <f>Rebalance_Audit!Q5404</f>
        <v/>
      </c>
      <c r="I589" s="7">
        <f>Rebalance_Audit!R5404</f>
        <v/>
      </c>
      <c r="J589" s="8">
        <f>Rebalance_Audit!S5404</f>
        <v/>
      </c>
    </row>
    <row r="590">
      <c r="A590" s="6" t="inlineStr">
        <is>
          <t>DJ30</t>
        </is>
      </c>
      <c r="B590" s="6" t="inlineStr">
        <is>
          <t>2026-05-15</t>
        </is>
      </c>
      <c r="C590" s="6" t="inlineStr">
        <is>
          <t>DIA</t>
        </is>
      </c>
      <c r="D590" s="6" t="inlineStr">
        <is>
          <t>CAT</t>
        </is>
      </c>
      <c r="E590" s="6" t="inlineStr">
        <is>
          <t>CAT</t>
        </is>
      </c>
      <c r="F590" s="6" t="inlineStr">
        <is>
          <t>-</t>
        </is>
      </c>
      <c r="G590" s="7">
        <f>Rebalance_Audit!G5432</f>
        <v/>
      </c>
      <c r="H590" s="9">
        <f>Rebalance_Audit!Q5432</f>
        <v/>
      </c>
      <c r="I590" s="7">
        <f>Rebalance_Audit!R5432</f>
        <v/>
      </c>
      <c r="J590" s="8">
        <f>Rebalance_Audit!S5432</f>
        <v/>
      </c>
    </row>
    <row r="591">
      <c r="A591" s="6" t="inlineStr">
        <is>
          <t>DJ30</t>
        </is>
      </c>
      <c r="B591" s="6" t="inlineStr">
        <is>
          <t>2026-05-15</t>
        </is>
      </c>
      <c r="C591" s="6" t="inlineStr">
        <is>
          <t>DIA</t>
        </is>
      </c>
      <c r="D591" s="6" t="inlineStr">
        <is>
          <t>JNJ</t>
        </is>
      </c>
      <c r="E591" s="6" t="inlineStr">
        <is>
          <t>JNJ</t>
        </is>
      </c>
      <c r="F591" s="6" t="inlineStr">
        <is>
          <t>-</t>
        </is>
      </c>
      <c r="G591" s="7">
        <f>Rebalance_Audit!G5441</f>
        <v/>
      </c>
      <c r="H591" s="9">
        <f>Rebalance_Audit!Q5441</f>
        <v/>
      </c>
      <c r="I591" s="7">
        <f>Rebalance_Audit!R5441</f>
        <v/>
      </c>
      <c r="J591" s="8">
        <f>Rebalance_Audit!S5441</f>
        <v/>
      </c>
    </row>
    <row r="592">
      <c r="A592" s="6" t="inlineStr">
        <is>
          <t>DJ30</t>
        </is>
      </c>
      <c r="B592" s="6" t="inlineStr">
        <is>
          <t>2026-05-15</t>
        </is>
      </c>
      <c r="C592" s="6" t="inlineStr">
        <is>
          <t>DIA</t>
        </is>
      </c>
      <c r="D592" s="6" t="inlineStr">
        <is>
          <t>GS</t>
        </is>
      </c>
      <c r="E592" s="6" t="inlineStr">
        <is>
          <t>GS</t>
        </is>
      </c>
      <c r="F592" s="6" t="inlineStr">
        <is>
          <t>-</t>
        </is>
      </c>
      <c r="G592" s="7">
        <f>Rebalance_Audit!G5437</f>
        <v/>
      </c>
      <c r="H592" s="9">
        <f>Rebalance_Audit!Q5437</f>
        <v/>
      </c>
      <c r="I592" s="7">
        <f>Rebalance_Audit!R5437</f>
        <v/>
      </c>
      <c r="J592" s="8">
        <f>Rebalance_Audit!S5437</f>
        <v/>
      </c>
    </row>
    <row r="593">
      <c r="A593" s="6" t="inlineStr">
        <is>
          <t>DJ30</t>
        </is>
      </c>
      <c r="B593" s="6" t="inlineStr">
        <is>
          <t>2026-05-15</t>
        </is>
      </c>
      <c r="C593" s="6" t="inlineStr">
        <is>
          <t>DIA</t>
        </is>
      </c>
      <c r="D593" s="6" t="inlineStr">
        <is>
          <t>CSCO</t>
        </is>
      </c>
      <c r="E593" s="6" t="inlineStr">
        <is>
          <t>CSCO</t>
        </is>
      </c>
      <c r="F593" s="6" t="inlineStr">
        <is>
          <t>-</t>
        </is>
      </c>
      <c r="G593" s="7">
        <f>Rebalance_Audit!G5434</f>
        <v/>
      </c>
      <c r="H593" s="9">
        <f>Rebalance_Audit!Q5434</f>
        <v/>
      </c>
      <c r="I593" s="7">
        <f>Rebalance_Audit!R5434</f>
        <v/>
      </c>
      <c r="J593" s="8">
        <f>Rebalance_Audit!S5434</f>
        <v/>
      </c>
    </row>
    <row r="594">
      <c r="A594" s="6" t="inlineStr">
        <is>
          <t>DJ30</t>
        </is>
      </c>
      <c r="B594" s="6" t="inlineStr">
        <is>
          <t>2026-05-15</t>
        </is>
      </c>
      <c r="C594" s="6" t="inlineStr">
        <is>
          <t>DIA</t>
        </is>
      </c>
      <c r="D594" s="6" t="inlineStr">
        <is>
          <t>CVX</t>
        </is>
      </c>
      <c r="E594" s="6" t="inlineStr">
        <is>
          <t>CVX</t>
        </is>
      </c>
      <c r="F594" s="6" t="inlineStr">
        <is>
          <t>-</t>
        </is>
      </c>
      <c r="G594" s="7">
        <f>Rebalance_Audit!G5435</f>
        <v/>
      </c>
      <c r="H594" s="9">
        <f>Rebalance_Audit!Q5435</f>
        <v/>
      </c>
      <c r="I594" s="7">
        <f>Rebalance_Audit!R5435</f>
        <v/>
      </c>
      <c r="J594" s="8">
        <f>Rebalance_Audit!S5435</f>
        <v/>
      </c>
    </row>
    <row r="595">
      <c r="A595" s="6" t="inlineStr">
        <is>
          <t>DJ30</t>
        </is>
      </c>
      <c r="B595" s="6" t="inlineStr">
        <is>
          <t>2026-05-22</t>
        </is>
      </c>
      <c r="C595" s="6" t="inlineStr">
        <is>
          <t>DIA</t>
        </is>
      </c>
      <c r="D595" s="6" t="inlineStr">
        <is>
          <t>CAT</t>
        </is>
      </c>
      <c r="E595" s="6" t="inlineStr">
        <is>
          <t>CAT</t>
        </is>
      </c>
      <c r="F595" s="6" t="inlineStr">
        <is>
          <t>-</t>
        </is>
      </c>
      <c r="G595" s="7">
        <f>Rebalance_Audit!G5463</f>
        <v/>
      </c>
      <c r="H595" s="9">
        <f>Rebalance_Audit!Q5463</f>
        <v/>
      </c>
      <c r="I595" s="7">
        <f>Rebalance_Audit!R5463</f>
        <v/>
      </c>
      <c r="J595" s="8">
        <f>Rebalance_Audit!S5463</f>
        <v/>
      </c>
    </row>
    <row r="596">
      <c r="A596" s="6" t="inlineStr">
        <is>
          <t>DJ30</t>
        </is>
      </c>
      <c r="B596" s="6" t="inlineStr">
        <is>
          <t>2026-05-22</t>
        </is>
      </c>
      <c r="C596" s="6" t="inlineStr">
        <is>
          <t>DIA</t>
        </is>
      </c>
      <c r="D596" s="6" t="inlineStr">
        <is>
          <t>MRK</t>
        </is>
      </c>
      <c r="E596" s="6" t="inlineStr">
        <is>
          <t>MRK</t>
        </is>
      </c>
      <c r="F596" s="6" t="inlineStr">
        <is>
          <t>-</t>
        </is>
      </c>
      <c r="G596" s="7">
        <f>Rebalance_Audit!G5477</f>
        <v/>
      </c>
      <c r="H596" s="9">
        <f>Rebalance_Audit!Q5477</f>
        <v/>
      </c>
      <c r="I596" s="7">
        <f>Rebalance_Audit!R5477</f>
        <v/>
      </c>
      <c r="J596" s="8">
        <f>Rebalance_Audit!S5477</f>
        <v/>
      </c>
    </row>
    <row r="597">
      <c r="A597" s="6" t="inlineStr">
        <is>
          <t>DJ30</t>
        </is>
      </c>
      <c r="B597" s="6" t="inlineStr">
        <is>
          <t>2026-05-22</t>
        </is>
      </c>
      <c r="C597" s="6" t="inlineStr">
        <is>
          <t>DIA</t>
        </is>
      </c>
      <c r="D597" s="6" t="inlineStr">
        <is>
          <t>GS</t>
        </is>
      </c>
      <c r="E597" s="6" t="inlineStr">
        <is>
          <t>GS</t>
        </is>
      </c>
      <c r="F597" s="6" t="inlineStr">
        <is>
          <t>-</t>
        </is>
      </c>
      <c r="G597" s="7">
        <f>Rebalance_Audit!G5468</f>
        <v/>
      </c>
      <c r="H597" s="9">
        <f>Rebalance_Audit!Q5468</f>
        <v/>
      </c>
      <c r="I597" s="7">
        <f>Rebalance_Audit!R5468</f>
        <v/>
      </c>
      <c r="J597" s="8">
        <f>Rebalance_Audit!S5468</f>
        <v/>
      </c>
    </row>
    <row r="598">
      <c r="A598" s="6" t="inlineStr">
        <is>
          <t>DJ30</t>
        </is>
      </c>
      <c r="B598" s="6" t="inlineStr">
        <is>
          <t>2026-05-22</t>
        </is>
      </c>
      <c r="C598" s="6" t="inlineStr">
        <is>
          <t>DIA</t>
        </is>
      </c>
      <c r="D598" s="6" t="inlineStr">
        <is>
          <t>CSCO</t>
        </is>
      </c>
      <c r="E598" s="6" t="inlineStr">
        <is>
          <t>CSCO</t>
        </is>
      </c>
      <c r="F598" s="6" t="inlineStr">
        <is>
          <t>-</t>
        </is>
      </c>
      <c r="G598" s="7">
        <f>Rebalance_Audit!G5465</f>
        <v/>
      </c>
      <c r="H598" s="9">
        <f>Rebalance_Audit!Q5465</f>
        <v/>
      </c>
      <c r="I598" s="7">
        <f>Rebalance_Audit!R5465</f>
        <v/>
      </c>
      <c r="J598" s="8">
        <f>Rebalance_Audit!S5465</f>
        <v/>
      </c>
    </row>
    <row r="599">
      <c r="A599" s="6" t="inlineStr">
        <is>
          <t>DJ30</t>
        </is>
      </c>
      <c r="B599" s="6" t="inlineStr">
        <is>
          <t>2026-05-22</t>
        </is>
      </c>
      <c r="C599" s="6" t="inlineStr">
        <is>
          <t>DIA</t>
        </is>
      </c>
      <c r="D599" s="6" t="inlineStr">
        <is>
          <t>CVX</t>
        </is>
      </c>
      <c r="E599" s="6" t="inlineStr">
        <is>
          <t>CVX</t>
        </is>
      </c>
      <c r="F599" s="6" t="inlineStr">
        <is>
          <t>-</t>
        </is>
      </c>
      <c r="G599" s="7">
        <f>Rebalance_Audit!G5466</f>
        <v/>
      </c>
      <c r="H599" s="9">
        <f>Rebalance_Audit!Q5466</f>
        <v/>
      </c>
      <c r="I599" s="7">
        <f>Rebalance_Audit!R5466</f>
        <v/>
      </c>
      <c r="J599" s="8">
        <f>Rebalance_Audit!S5466</f>
        <v/>
      </c>
    </row>
    <row r="600">
      <c r="A600" s="6" t="inlineStr">
        <is>
          <t>DJ30</t>
        </is>
      </c>
      <c r="B600" s="6" t="inlineStr">
        <is>
          <t>2026-05-29</t>
        </is>
      </c>
      <c r="C600" s="6" t="inlineStr">
        <is>
          <t>DIA</t>
        </is>
      </c>
      <c r="D600" s="6" t="inlineStr">
        <is>
          <t>CAT</t>
        </is>
      </c>
      <c r="E600" s="6" t="inlineStr">
        <is>
          <t>CAT</t>
        </is>
      </c>
      <c r="F600" s="6" t="inlineStr">
        <is>
          <t>-</t>
        </is>
      </c>
      <c r="G600" s="7">
        <f>Rebalance_Audit!G5494</f>
        <v/>
      </c>
      <c r="H600" s="9">
        <f>Rebalance_Audit!Q5494</f>
        <v/>
      </c>
      <c r="I600" s="7">
        <f>Rebalance_Audit!R5494</f>
        <v/>
      </c>
      <c r="J600" s="8">
        <f>Rebalance_Audit!S5494</f>
        <v/>
      </c>
    </row>
    <row r="601">
      <c r="A601" s="6" t="inlineStr">
        <is>
          <t>DJ30</t>
        </is>
      </c>
      <c r="B601" s="6" t="inlineStr">
        <is>
          <t>2026-05-29</t>
        </is>
      </c>
      <c r="C601" s="6" t="inlineStr">
        <is>
          <t>DIA</t>
        </is>
      </c>
      <c r="D601" s="6" t="inlineStr">
        <is>
          <t>MRK</t>
        </is>
      </c>
      <c r="E601" s="6" t="inlineStr">
        <is>
          <t>MRK</t>
        </is>
      </c>
      <c r="F601" s="6" t="inlineStr">
        <is>
          <t>-</t>
        </is>
      </c>
      <c r="G601" s="7">
        <f>Rebalance_Audit!G5508</f>
        <v/>
      </c>
      <c r="H601" s="9">
        <f>Rebalance_Audit!Q5508</f>
        <v/>
      </c>
      <c r="I601" s="7">
        <f>Rebalance_Audit!R5508</f>
        <v/>
      </c>
      <c r="J601" s="8">
        <f>Rebalance_Audit!S5508</f>
        <v/>
      </c>
    </row>
    <row r="602">
      <c r="A602" s="6" t="inlineStr">
        <is>
          <t>DJ30</t>
        </is>
      </c>
      <c r="B602" s="6" t="inlineStr">
        <is>
          <t>2026-05-29</t>
        </is>
      </c>
      <c r="C602" s="6" t="inlineStr">
        <is>
          <t>DIA</t>
        </is>
      </c>
      <c r="D602" s="6" t="inlineStr">
        <is>
          <t>CSCO</t>
        </is>
      </c>
      <c r="E602" s="6" t="inlineStr">
        <is>
          <t>CSCO</t>
        </is>
      </c>
      <c r="F602" s="6" t="inlineStr">
        <is>
          <t>-</t>
        </is>
      </c>
      <c r="G602" s="7">
        <f>Rebalance_Audit!G5496</f>
        <v/>
      </c>
      <c r="H602" s="9">
        <f>Rebalance_Audit!Q5496</f>
        <v/>
      </c>
      <c r="I602" s="7">
        <f>Rebalance_Audit!R5496</f>
        <v/>
      </c>
      <c r="J602" s="8">
        <f>Rebalance_Audit!S5496</f>
        <v/>
      </c>
    </row>
    <row r="603">
      <c r="A603" s="6" t="inlineStr">
        <is>
          <t>DJ30</t>
        </is>
      </c>
      <c r="B603" s="6" t="inlineStr">
        <is>
          <t>2026-05-29</t>
        </is>
      </c>
      <c r="C603" s="6" t="inlineStr">
        <is>
          <t>DIA</t>
        </is>
      </c>
      <c r="D603" s="6" t="inlineStr">
        <is>
          <t>GS</t>
        </is>
      </c>
      <c r="E603" s="6" t="inlineStr">
        <is>
          <t>GS</t>
        </is>
      </c>
      <c r="F603" s="6" t="inlineStr">
        <is>
          <t>-</t>
        </is>
      </c>
      <c r="G603" s="7">
        <f>Rebalance_Audit!G5499</f>
        <v/>
      </c>
      <c r="H603" s="9">
        <f>Rebalance_Audit!Q5499</f>
        <v/>
      </c>
      <c r="I603" s="7">
        <f>Rebalance_Audit!R5499</f>
        <v/>
      </c>
      <c r="J603" s="8">
        <f>Rebalance_Audit!S5499</f>
        <v/>
      </c>
    </row>
    <row r="604">
      <c r="A604" s="6" t="inlineStr">
        <is>
          <t>DJ30</t>
        </is>
      </c>
      <c r="B604" s="6" t="inlineStr">
        <is>
          <t>2026-05-29</t>
        </is>
      </c>
      <c r="C604" s="6" t="inlineStr">
        <is>
          <t>DIA</t>
        </is>
      </c>
      <c r="D604" s="6" t="inlineStr">
        <is>
          <t>CVX</t>
        </is>
      </c>
      <c r="E604" s="6" t="inlineStr">
        <is>
          <t>CVX</t>
        </is>
      </c>
      <c r="F604" s="6" t="inlineStr">
        <is>
          <t>-</t>
        </is>
      </c>
      <c r="G604" s="7">
        <f>Rebalance_Audit!G5497</f>
        <v/>
      </c>
      <c r="H604" s="9">
        <f>Rebalance_Audit!Q5497</f>
        <v/>
      </c>
      <c r="I604" s="7">
        <f>Rebalance_Audit!R5497</f>
        <v/>
      </c>
      <c r="J604" s="8">
        <f>Rebalance_Audit!S5497</f>
        <v/>
      </c>
    </row>
    <row r="605">
      <c r="A605" s="6" t="inlineStr">
        <is>
          <t>DJ30</t>
        </is>
      </c>
      <c r="B605" s="6" t="inlineStr">
        <is>
          <t>2026-06-05</t>
        </is>
      </c>
      <c r="C605" s="6" t="inlineStr">
        <is>
          <t>DIA</t>
        </is>
      </c>
      <c r="D605" s="6" t="inlineStr">
        <is>
          <t>CAT</t>
        </is>
      </c>
      <c r="E605" s="6" t="inlineStr">
        <is>
          <t>CAT</t>
        </is>
      </c>
      <c r="F605" s="6" t="inlineStr">
        <is>
          <t>-</t>
        </is>
      </c>
      <c r="G605" s="7">
        <f>Rebalance_Audit!G5525</f>
        <v/>
      </c>
      <c r="H605" s="9">
        <f>Rebalance_Audit!Q5525</f>
        <v/>
      </c>
      <c r="I605" s="7">
        <f>Rebalance_Audit!R5525</f>
        <v/>
      </c>
      <c r="J605" s="8">
        <f>Rebalance_Audit!S5525</f>
        <v/>
      </c>
    </row>
    <row r="606">
      <c r="A606" s="6" t="inlineStr">
        <is>
          <t>DJ30</t>
        </is>
      </c>
      <c r="B606" s="6" t="inlineStr">
        <is>
          <t>2026-06-05</t>
        </is>
      </c>
      <c r="C606" s="6" t="inlineStr">
        <is>
          <t>DIA</t>
        </is>
      </c>
      <c r="D606" s="6" t="inlineStr">
        <is>
          <t>MRK</t>
        </is>
      </c>
      <c r="E606" s="6" t="inlineStr">
        <is>
          <t>MRK</t>
        </is>
      </c>
      <c r="F606" s="6" t="inlineStr">
        <is>
          <t>-</t>
        </is>
      </c>
      <c r="G606" s="7">
        <f>Rebalance_Audit!G5539</f>
        <v/>
      </c>
      <c r="H606" s="9">
        <f>Rebalance_Audit!Q5539</f>
        <v/>
      </c>
      <c r="I606" s="7">
        <f>Rebalance_Audit!R5539</f>
        <v/>
      </c>
      <c r="J606" s="8">
        <f>Rebalance_Audit!S5539</f>
        <v/>
      </c>
    </row>
    <row r="607">
      <c r="A607" s="6" t="inlineStr">
        <is>
          <t>DJ30</t>
        </is>
      </c>
      <c r="B607" s="6" t="inlineStr">
        <is>
          <t>2026-06-05</t>
        </is>
      </c>
      <c r="C607" s="6" t="inlineStr">
        <is>
          <t>DIA</t>
        </is>
      </c>
      <c r="D607" s="6" t="inlineStr">
        <is>
          <t>CSCO</t>
        </is>
      </c>
      <c r="E607" s="6" t="inlineStr">
        <is>
          <t>CSCO</t>
        </is>
      </c>
      <c r="F607" s="6" t="inlineStr">
        <is>
          <t>-</t>
        </is>
      </c>
      <c r="G607" s="7">
        <f>Rebalance_Audit!G5527</f>
        <v/>
      </c>
      <c r="H607" s="9">
        <f>Rebalance_Audit!Q5527</f>
        <v/>
      </c>
      <c r="I607" s="7">
        <f>Rebalance_Audit!R5527</f>
        <v/>
      </c>
      <c r="J607" s="8">
        <f>Rebalance_Audit!S5527</f>
        <v/>
      </c>
    </row>
    <row r="608">
      <c r="A608" s="6" t="inlineStr">
        <is>
          <t>DJ30</t>
        </is>
      </c>
      <c r="B608" s="6" t="inlineStr">
        <is>
          <t>2026-06-05</t>
        </is>
      </c>
      <c r="C608" s="6" t="inlineStr">
        <is>
          <t>DIA</t>
        </is>
      </c>
      <c r="D608" s="6" t="inlineStr">
        <is>
          <t>GS</t>
        </is>
      </c>
      <c r="E608" s="6" t="inlineStr">
        <is>
          <t>GS</t>
        </is>
      </c>
      <c r="F608" s="6" t="inlineStr">
        <is>
          <t>-</t>
        </is>
      </c>
      <c r="G608" s="7">
        <f>Rebalance_Audit!G5530</f>
        <v/>
      </c>
      <c r="H608" s="9">
        <f>Rebalance_Audit!Q5530</f>
        <v/>
      </c>
      <c r="I608" s="7">
        <f>Rebalance_Audit!R5530</f>
        <v/>
      </c>
      <c r="J608" s="8">
        <f>Rebalance_Audit!S5530</f>
        <v/>
      </c>
    </row>
    <row r="609">
      <c r="A609" s="6" t="inlineStr">
        <is>
          <t>DJ30</t>
        </is>
      </c>
      <c r="B609" s="6" t="inlineStr">
        <is>
          <t>2026-06-05</t>
        </is>
      </c>
      <c r="C609" s="6" t="inlineStr">
        <is>
          <t>DIA</t>
        </is>
      </c>
      <c r="D609" s="6" t="inlineStr">
        <is>
          <t>CVX</t>
        </is>
      </c>
      <c r="E609" s="6" t="inlineStr">
        <is>
          <t>CVX</t>
        </is>
      </c>
      <c r="F609" s="6" t="inlineStr">
        <is>
          <t>-</t>
        </is>
      </c>
      <c r="G609" s="7">
        <f>Rebalance_Audit!G5528</f>
        <v/>
      </c>
      <c r="H609" s="9">
        <f>Rebalance_Audit!Q5528</f>
        <v/>
      </c>
      <c r="I609" s="7">
        <f>Rebalance_Audit!R5528</f>
        <v/>
      </c>
      <c r="J609" s="8">
        <f>Rebalance_Audit!S5528</f>
        <v/>
      </c>
    </row>
    <row r="610">
      <c r="A610" s="6" t="inlineStr">
        <is>
          <t>DJ30</t>
        </is>
      </c>
      <c r="B610" s="6" t="inlineStr">
        <is>
          <t>2026-06-12</t>
        </is>
      </c>
      <c r="C610" s="6" t="inlineStr">
        <is>
          <t>DIA</t>
        </is>
      </c>
      <c r="D610" s="6" t="inlineStr">
        <is>
          <t>CAT</t>
        </is>
      </c>
      <c r="E610" s="6" t="inlineStr">
        <is>
          <t>CAT</t>
        </is>
      </c>
      <c r="F610" s="6" t="inlineStr">
        <is>
          <t>-</t>
        </is>
      </c>
      <c r="G610" s="7">
        <f>Rebalance_Audit!G5556</f>
        <v/>
      </c>
      <c r="H610" s="9">
        <f>Rebalance_Audit!Q5556</f>
        <v/>
      </c>
      <c r="I610" s="7">
        <f>Rebalance_Audit!R5556</f>
        <v/>
      </c>
      <c r="J610" s="8">
        <f>Rebalance_Audit!S5556</f>
        <v/>
      </c>
    </row>
    <row r="611">
      <c r="A611" s="6" t="inlineStr">
        <is>
          <t>DJ30</t>
        </is>
      </c>
      <c r="B611" s="6" t="inlineStr">
        <is>
          <t>2026-06-12</t>
        </is>
      </c>
      <c r="C611" s="6" t="inlineStr">
        <is>
          <t>DIA</t>
        </is>
      </c>
      <c r="D611" s="6" t="inlineStr">
        <is>
          <t>MRK</t>
        </is>
      </c>
      <c r="E611" s="6" t="inlineStr">
        <is>
          <t>MRK</t>
        </is>
      </c>
      <c r="F611" s="6" t="inlineStr">
        <is>
          <t>-</t>
        </is>
      </c>
      <c r="G611" s="7">
        <f>Rebalance_Audit!G5570</f>
        <v/>
      </c>
      <c r="H611" s="9">
        <f>Rebalance_Audit!Q5570</f>
        <v/>
      </c>
      <c r="I611" s="7">
        <f>Rebalance_Audit!R5570</f>
        <v/>
      </c>
      <c r="J611" s="8">
        <f>Rebalance_Audit!S5570</f>
        <v/>
      </c>
    </row>
    <row r="612">
      <c r="A612" s="6" t="inlineStr">
        <is>
          <t>DJ30</t>
        </is>
      </c>
      <c r="B612" s="6" t="inlineStr">
        <is>
          <t>2026-06-12</t>
        </is>
      </c>
      <c r="C612" s="6" t="inlineStr">
        <is>
          <t>DIA</t>
        </is>
      </c>
      <c r="D612" s="6" t="inlineStr">
        <is>
          <t>CSCO</t>
        </is>
      </c>
      <c r="E612" s="6" t="inlineStr">
        <is>
          <t>CSCO</t>
        </is>
      </c>
      <c r="F612" s="6" t="inlineStr">
        <is>
          <t>-</t>
        </is>
      </c>
      <c r="G612" s="7">
        <f>Rebalance_Audit!G5558</f>
        <v/>
      </c>
      <c r="H612" s="9">
        <f>Rebalance_Audit!Q5558</f>
        <v/>
      </c>
      <c r="I612" s="7">
        <f>Rebalance_Audit!R5558</f>
        <v/>
      </c>
      <c r="J612" s="8">
        <f>Rebalance_Audit!S5558</f>
        <v/>
      </c>
    </row>
    <row r="613">
      <c r="A613" s="6" t="inlineStr">
        <is>
          <t>DJ30</t>
        </is>
      </c>
      <c r="B613" s="6" t="inlineStr">
        <is>
          <t>2026-06-12</t>
        </is>
      </c>
      <c r="C613" s="6" t="inlineStr">
        <is>
          <t>DIA</t>
        </is>
      </c>
      <c r="D613" s="6" t="inlineStr">
        <is>
          <t>GS</t>
        </is>
      </c>
      <c r="E613" s="6" t="inlineStr">
        <is>
          <t>GS</t>
        </is>
      </c>
      <c r="F613" s="6" t="inlineStr">
        <is>
          <t>-</t>
        </is>
      </c>
      <c r="G613" s="7">
        <f>Rebalance_Audit!G5561</f>
        <v/>
      </c>
      <c r="H613" s="9">
        <f>Rebalance_Audit!Q5561</f>
        <v/>
      </c>
      <c r="I613" s="7">
        <f>Rebalance_Audit!R5561</f>
        <v/>
      </c>
      <c r="J613" s="8">
        <f>Rebalance_Audit!S5561</f>
        <v/>
      </c>
    </row>
    <row r="614">
      <c r="A614" s="6" t="inlineStr">
        <is>
          <t>DJ30</t>
        </is>
      </c>
      <c r="B614" s="6" t="inlineStr">
        <is>
          <t>2026-06-12</t>
        </is>
      </c>
      <c r="C614" s="6" t="inlineStr">
        <is>
          <t>DIA</t>
        </is>
      </c>
      <c r="D614" s="6" t="inlineStr">
        <is>
          <t>CVX</t>
        </is>
      </c>
      <c r="E614" s="6" t="inlineStr">
        <is>
          <t>CVX</t>
        </is>
      </c>
      <c r="F614" s="6" t="inlineStr">
        <is>
          <t>-</t>
        </is>
      </c>
      <c r="G614" s="7">
        <f>Rebalance_Audit!G5559</f>
        <v/>
      </c>
      <c r="H614" s="9">
        <f>Rebalance_Audit!Q5559</f>
        <v/>
      </c>
      <c r="I614" s="7">
        <f>Rebalance_Audit!R5559</f>
        <v/>
      </c>
      <c r="J614" s="8">
        <f>Rebalance_Audit!S5559</f>
        <v/>
      </c>
    </row>
    <row r="615">
      <c r="A615" s="6" t="inlineStr">
        <is>
          <t>DJ30</t>
        </is>
      </c>
      <c r="B615" s="6" t="inlineStr">
        <is>
          <t>2026-06-19</t>
        </is>
      </c>
      <c r="C615" s="6" t="inlineStr">
        <is>
          <t>DIA</t>
        </is>
      </c>
      <c r="D615" s="6" t="inlineStr">
        <is>
          <t>CAT</t>
        </is>
      </c>
      <c r="E615" s="6" t="inlineStr">
        <is>
          <t>CAT</t>
        </is>
      </c>
      <c r="F615" s="6" t="inlineStr">
        <is>
          <t>-</t>
        </is>
      </c>
      <c r="G615" s="7">
        <f>Rebalance_Audit!G5587</f>
        <v/>
      </c>
      <c r="H615" s="9">
        <f>Rebalance_Audit!Q5587</f>
        <v/>
      </c>
      <c r="I615" s="7">
        <f>Rebalance_Audit!R5587</f>
        <v/>
      </c>
      <c r="J615" s="8">
        <f>Rebalance_Audit!S5587</f>
        <v/>
      </c>
    </row>
    <row r="616">
      <c r="A616" s="6" t="inlineStr">
        <is>
          <t>DJ30</t>
        </is>
      </c>
      <c r="B616" s="6" t="inlineStr">
        <is>
          <t>2026-06-19</t>
        </is>
      </c>
      <c r="C616" s="6" t="inlineStr">
        <is>
          <t>DIA</t>
        </is>
      </c>
      <c r="D616" s="6" t="inlineStr">
        <is>
          <t>MRK</t>
        </is>
      </c>
      <c r="E616" s="6" t="inlineStr">
        <is>
          <t>MRK</t>
        </is>
      </c>
      <c r="F616" s="6" t="inlineStr">
        <is>
          <t>-</t>
        </is>
      </c>
      <c r="G616" s="7">
        <f>Rebalance_Audit!G5601</f>
        <v/>
      </c>
      <c r="H616" s="9">
        <f>Rebalance_Audit!Q5601</f>
        <v/>
      </c>
      <c r="I616" s="7">
        <f>Rebalance_Audit!R5601</f>
        <v/>
      </c>
      <c r="J616" s="8">
        <f>Rebalance_Audit!S5601</f>
        <v/>
      </c>
    </row>
    <row r="617">
      <c r="A617" s="6" t="inlineStr">
        <is>
          <t>DJ30</t>
        </is>
      </c>
      <c r="B617" s="6" t="inlineStr">
        <is>
          <t>2026-06-19</t>
        </is>
      </c>
      <c r="C617" s="6" t="inlineStr">
        <is>
          <t>DIA</t>
        </is>
      </c>
      <c r="D617" s="6" t="inlineStr">
        <is>
          <t>CSCO</t>
        </is>
      </c>
      <c r="E617" s="6" t="inlineStr">
        <is>
          <t>CSCO</t>
        </is>
      </c>
      <c r="F617" s="6" t="inlineStr">
        <is>
          <t>-</t>
        </is>
      </c>
      <c r="G617" s="7">
        <f>Rebalance_Audit!G5589</f>
        <v/>
      </c>
      <c r="H617" s="9">
        <f>Rebalance_Audit!Q5589</f>
        <v/>
      </c>
      <c r="I617" s="7">
        <f>Rebalance_Audit!R5589</f>
        <v/>
      </c>
      <c r="J617" s="8">
        <f>Rebalance_Audit!S5589</f>
        <v/>
      </c>
    </row>
    <row r="618">
      <c r="A618" s="6" t="inlineStr">
        <is>
          <t>DJ30</t>
        </is>
      </c>
      <c r="B618" s="6" t="inlineStr">
        <is>
          <t>2026-06-19</t>
        </is>
      </c>
      <c r="C618" s="6" t="inlineStr">
        <is>
          <t>DIA</t>
        </is>
      </c>
      <c r="D618" s="6" t="inlineStr">
        <is>
          <t>GS</t>
        </is>
      </c>
      <c r="E618" s="6" t="inlineStr">
        <is>
          <t>GS</t>
        </is>
      </c>
      <c r="F618" s="6" t="inlineStr">
        <is>
          <t>-</t>
        </is>
      </c>
      <c r="G618" s="7">
        <f>Rebalance_Audit!G5592</f>
        <v/>
      </c>
      <c r="H618" s="9">
        <f>Rebalance_Audit!Q5592</f>
        <v/>
      </c>
      <c r="I618" s="7">
        <f>Rebalance_Audit!R5592</f>
        <v/>
      </c>
      <c r="J618" s="8">
        <f>Rebalance_Audit!S5592</f>
        <v/>
      </c>
    </row>
    <row r="619">
      <c r="A619" s="6" t="inlineStr">
        <is>
          <t>DJ30</t>
        </is>
      </c>
      <c r="B619" s="6" t="inlineStr">
        <is>
          <t>2026-06-19</t>
        </is>
      </c>
      <c r="C619" s="6" t="inlineStr">
        <is>
          <t>DIA</t>
        </is>
      </c>
      <c r="D619" s="6" t="inlineStr">
        <is>
          <t>CVX</t>
        </is>
      </c>
      <c r="E619" s="6" t="inlineStr">
        <is>
          <t>CVX</t>
        </is>
      </c>
      <c r="F619" s="6" t="inlineStr">
        <is>
          <t>-</t>
        </is>
      </c>
      <c r="G619" s="7">
        <f>Rebalance_Audit!G5590</f>
        <v/>
      </c>
      <c r="H619" s="9">
        <f>Rebalance_Audit!Q5590</f>
        <v/>
      </c>
      <c r="I619" s="7">
        <f>Rebalance_Audit!R5590</f>
        <v/>
      </c>
      <c r="J619" s="8">
        <f>Rebalance_Audit!S5590</f>
        <v/>
      </c>
    </row>
    <row r="620">
      <c r="A620" s="6" t="inlineStr">
        <is>
          <t>DJ30</t>
        </is>
      </c>
      <c r="B620" s="6" t="inlineStr">
        <is>
          <t>2026-06-26</t>
        </is>
      </c>
      <c r="C620" s="6" t="inlineStr">
        <is>
          <t>DIA</t>
        </is>
      </c>
      <c r="D620" s="6" t="inlineStr">
        <is>
          <t>CAT</t>
        </is>
      </c>
      <c r="E620" s="6" t="inlineStr">
        <is>
          <t>CAT</t>
        </is>
      </c>
      <c r="F620" s="6" t="inlineStr">
        <is>
          <t>-</t>
        </is>
      </c>
      <c r="G620" s="7">
        <f>Rebalance_Audit!G5618</f>
        <v/>
      </c>
      <c r="H620" s="9">
        <f>Rebalance_Audit!Q5618</f>
        <v/>
      </c>
      <c r="I620" s="7">
        <f>Rebalance_Audit!R5618</f>
        <v/>
      </c>
      <c r="J620" s="8">
        <f>Rebalance_Audit!S5618</f>
        <v/>
      </c>
    </row>
    <row r="621">
      <c r="A621" s="6" t="inlineStr">
        <is>
          <t>DJ30</t>
        </is>
      </c>
      <c r="B621" s="6" t="inlineStr">
        <is>
          <t>2026-06-26</t>
        </is>
      </c>
      <c r="C621" s="6" t="inlineStr">
        <is>
          <t>DIA</t>
        </is>
      </c>
      <c r="D621" s="6" t="inlineStr">
        <is>
          <t>MRK</t>
        </is>
      </c>
      <c r="E621" s="6" t="inlineStr">
        <is>
          <t>MRK</t>
        </is>
      </c>
      <c r="F621" s="6" t="inlineStr">
        <is>
          <t>-</t>
        </is>
      </c>
      <c r="G621" s="7">
        <f>Rebalance_Audit!G5632</f>
        <v/>
      </c>
      <c r="H621" s="9">
        <f>Rebalance_Audit!Q5632</f>
        <v/>
      </c>
      <c r="I621" s="7">
        <f>Rebalance_Audit!R5632</f>
        <v/>
      </c>
      <c r="J621" s="8">
        <f>Rebalance_Audit!S5632</f>
        <v/>
      </c>
    </row>
    <row r="622">
      <c r="A622" s="6" t="inlineStr">
        <is>
          <t>DJ30</t>
        </is>
      </c>
      <c r="B622" s="6" t="inlineStr">
        <is>
          <t>2026-06-26</t>
        </is>
      </c>
      <c r="C622" s="6" t="inlineStr">
        <is>
          <t>DIA</t>
        </is>
      </c>
      <c r="D622" s="6" t="inlineStr">
        <is>
          <t>CSCO</t>
        </is>
      </c>
      <c r="E622" s="6" t="inlineStr">
        <is>
          <t>CSCO</t>
        </is>
      </c>
      <c r="F622" s="6" t="inlineStr">
        <is>
          <t>-</t>
        </is>
      </c>
      <c r="G622" s="7">
        <f>Rebalance_Audit!G5620</f>
        <v/>
      </c>
      <c r="H622" s="9">
        <f>Rebalance_Audit!Q5620</f>
        <v/>
      </c>
      <c r="I622" s="7">
        <f>Rebalance_Audit!R5620</f>
        <v/>
      </c>
      <c r="J622" s="8">
        <f>Rebalance_Audit!S5620</f>
        <v/>
      </c>
    </row>
    <row r="623">
      <c r="A623" s="6" t="inlineStr">
        <is>
          <t>DJ30</t>
        </is>
      </c>
      <c r="B623" s="6" t="inlineStr">
        <is>
          <t>2026-06-26</t>
        </is>
      </c>
      <c r="C623" s="6" t="inlineStr">
        <is>
          <t>DIA</t>
        </is>
      </c>
      <c r="D623" s="6" t="inlineStr">
        <is>
          <t>GS</t>
        </is>
      </c>
      <c r="E623" s="6" t="inlineStr">
        <is>
          <t>GS</t>
        </is>
      </c>
      <c r="F623" s="6" t="inlineStr">
        <is>
          <t>-</t>
        </is>
      </c>
      <c r="G623" s="7">
        <f>Rebalance_Audit!G5623</f>
        <v/>
      </c>
      <c r="H623" s="9">
        <f>Rebalance_Audit!Q5623</f>
        <v/>
      </c>
      <c r="I623" s="7">
        <f>Rebalance_Audit!R5623</f>
        <v/>
      </c>
      <c r="J623" s="8">
        <f>Rebalance_Audit!S5623</f>
        <v/>
      </c>
    </row>
    <row r="624">
      <c r="A624" s="6" t="inlineStr">
        <is>
          <t>DJ30</t>
        </is>
      </c>
      <c r="B624" s="6" t="inlineStr">
        <is>
          <t>2026-06-26</t>
        </is>
      </c>
      <c r="C624" s="6" t="inlineStr">
        <is>
          <t>DIA</t>
        </is>
      </c>
      <c r="D624" s="6" t="inlineStr">
        <is>
          <t>WMT</t>
        </is>
      </c>
      <c r="E624" s="6" t="inlineStr">
        <is>
          <t>WMT</t>
        </is>
      </c>
      <c r="F624" s="6" t="inlineStr">
        <is>
          <t>-</t>
        </is>
      </c>
      <c r="G624" s="7">
        <f>Rebalance_Audit!G5642</f>
        <v/>
      </c>
      <c r="H624" s="9">
        <f>Rebalance_Audit!Q5642</f>
        <v/>
      </c>
      <c r="I624" s="7">
        <f>Rebalance_Audit!R5642</f>
        <v/>
      </c>
      <c r="J624" s="8">
        <f>Rebalance_Audit!S5642</f>
        <v/>
      </c>
    </row>
  </sheetData>
  <autoFilter ref="A1:J6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2026-07-01T15:10:30Z</dcterms:created>
  <dcterms:modified xmlns:dcterms="http://purl.org/dc/terms/" xmlns:xsi="http://www.w3.org/2001/XMLSchema-instance" xsi:type="dcterms:W3CDTF">2026-07-01T15:47:43Z</dcterms:modified>
</cp:coreProperties>
</file>